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do Manuel Herrera\Downloads\Ejecucion presupuestaria inversion\"/>
    </mc:Choice>
  </mc:AlternateContent>
  <xr:revisionPtr revIDLastSave="0" documentId="13_ncr:1_{47FEC363-1306-4AA3-9BBD-0EC41733C31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INVU_Mes_Corriente" sheetId="1" r:id="rId1"/>
    <sheet name="SALUD_Mes_Constante" sheetId="2" r:id="rId2"/>
    <sheet name="Dashbo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N334" i="2" l="1"/>
  <c r="FM334" i="2"/>
  <c r="FL334" i="2"/>
  <c r="FK334" i="2"/>
  <c r="FJ334" i="2"/>
  <c r="FI333" i="2"/>
  <c r="FO333" i="2" s="1"/>
  <c r="FH333" i="2"/>
  <c r="FG333" i="2"/>
  <c r="FF333" i="2"/>
  <c r="FE333" i="2"/>
  <c r="FD333" i="2"/>
  <c r="FC333" i="2"/>
  <c r="FA333" i="2"/>
  <c r="FB333" i="2" s="1"/>
  <c r="EZ333" i="2"/>
  <c r="EY333" i="2"/>
  <c r="EX333" i="2"/>
  <c r="EW333" i="2"/>
  <c r="EV333" i="2"/>
  <c r="EU333" i="2"/>
  <c r="ET333" i="2"/>
  <c r="ES333" i="2"/>
  <c r="ER333" i="2"/>
  <c r="EQ333" i="2"/>
  <c r="EP333" i="2"/>
  <c r="EN333" i="2"/>
  <c r="EO333" i="2" s="1"/>
  <c r="EM333" i="2"/>
  <c r="EL333" i="2"/>
  <c r="EK333" i="2"/>
  <c r="EJ333" i="2"/>
  <c r="EI333" i="2"/>
  <c r="EH333" i="2"/>
  <c r="EG333" i="2"/>
  <c r="EF333" i="2"/>
  <c r="EE333" i="2"/>
  <c r="ED333" i="2"/>
  <c r="EC333" i="2"/>
  <c r="EA333" i="2"/>
  <c r="EB333" i="2" s="1"/>
  <c r="DZ333" i="2"/>
  <c r="DY333" i="2"/>
  <c r="DX333" i="2"/>
  <c r="DW333" i="2"/>
  <c r="DV333" i="2"/>
  <c r="DU333" i="2"/>
  <c r="DT333" i="2"/>
  <c r="DS333" i="2"/>
  <c r="DR333" i="2"/>
  <c r="DQ333" i="2"/>
  <c r="DP333" i="2"/>
  <c r="DN333" i="2"/>
  <c r="DO333" i="2" s="1"/>
  <c r="DM333" i="2"/>
  <c r="DL333" i="2"/>
  <c r="DK333" i="2"/>
  <c r="DJ333" i="2"/>
  <c r="DI333" i="2"/>
  <c r="DH333" i="2"/>
  <c r="DG333" i="2"/>
  <c r="DF333" i="2"/>
  <c r="DE333" i="2"/>
  <c r="DD333" i="2"/>
  <c r="DC333" i="2"/>
  <c r="DA333" i="2"/>
  <c r="DB333" i="2" s="1"/>
  <c r="CZ333" i="2"/>
  <c r="CY333" i="2"/>
  <c r="CX333" i="2"/>
  <c r="CW333" i="2"/>
  <c r="CV333" i="2"/>
  <c r="CU333" i="2"/>
  <c r="CT333" i="2"/>
  <c r="CS333" i="2"/>
  <c r="CR333" i="2"/>
  <c r="CQ333" i="2"/>
  <c r="CP333" i="2"/>
  <c r="CN333" i="2"/>
  <c r="CO333" i="2" s="1"/>
  <c r="CM333" i="2"/>
  <c r="CL333" i="2"/>
  <c r="CK333" i="2"/>
  <c r="CJ333" i="2"/>
  <c r="CI333" i="2"/>
  <c r="CH333" i="2"/>
  <c r="CG333" i="2"/>
  <c r="CF333" i="2"/>
  <c r="CE333" i="2"/>
  <c r="CD333" i="2"/>
  <c r="CC333" i="2"/>
  <c r="CA333" i="2"/>
  <c r="CB333" i="2" s="1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A333" i="2"/>
  <c r="BB333" i="2" s="1"/>
  <c r="AZ333" i="2"/>
  <c r="AY333" i="2"/>
  <c r="AX333" i="2"/>
  <c r="AW333" i="2"/>
  <c r="AV333" i="2"/>
  <c r="AU333" i="2"/>
  <c r="AT333" i="2"/>
  <c r="AS333" i="2"/>
  <c r="AR333" i="2"/>
  <c r="AQ333" i="2"/>
  <c r="AP333" i="2"/>
  <c r="AN333" i="2"/>
  <c r="AO333" i="2" s="1"/>
  <c r="AM333" i="2"/>
  <c r="AL333" i="2"/>
  <c r="AK333" i="2"/>
  <c r="AJ333" i="2"/>
  <c r="AI333" i="2"/>
  <c r="AH333" i="2"/>
  <c r="AG333" i="2"/>
  <c r="AF333" i="2"/>
  <c r="AE333" i="2"/>
  <c r="AD333" i="2"/>
  <c r="AC333" i="2"/>
  <c r="AA333" i="2"/>
  <c r="AB333" i="2" s="1"/>
  <c r="Z333" i="2"/>
  <c r="Y333" i="2"/>
  <c r="X333" i="2"/>
  <c r="W333" i="2"/>
  <c r="V333" i="2"/>
  <c r="U333" i="2"/>
  <c r="T333" i="2"/>
  <c r="S333" i="2"/>
  <c r="R333" i="2"/>
  <c r="Q333" i="2"/>
  <c r="P333" i="2"/>
  <c r="N333" i="2"/>
  <c r="O333" i="2" s="1"/>
  <c r="M333" i="2"/>
  <c r="L333" i="2"/>
  <c r="K333" i="2"/>
  <c r="J333" i="2"/>
  <c r="I333" i="2"/>
  <c r="H333" i="2"/>
  <c r="G333" i="2"/>
  <c r="F333" i="2"/>
  <c r="E333" i="2"/>
  <c r="D333" i="2"/>
  <c r="C333" i="2"/>
  <c r="FO332" i="2"/>
  <c r="FI332" i="2"/>
  <c r="FH332" i="2"/>
  <c r="FG332" i="2"/>
  <c r="FF332" i="2"/>
  <c r="FE332" i="2"/>
  <c r="FD332" i="2"/>
  <c r="FC332" i="2"/>
  <c r="FA332" i="2"/>
  <c r="FB332" i="2" s="1"/>
  <c r="EZ332" i="2"/>
  <c r="EY332" i="2"/>
  <c r="EX332" i="2"/>
  <c r="EW332" i="2"/>
  <c r="EV332" i="2"/>
  <c r="EU332" i="2"/>
  <c r="ET332" i="2"/>
  <c r="ES332" i="2"/>
  <c r="ER332" i="2"/>
  <c r="EQ332" i="2"/>
  <c r="EP332" i="2"/>
  <c r="EN332" i="2"/>
  <c r="EO332" i="2" s="1"/>
  <c r="EM332" i="2"/>
  <c r="EL332" i="2"/>
  <c r="EK332" i="2"/>
  <c r="EJ332" i="2"/>
  <c r="EI332" i="2"/>
  <c r="EH332" i="2"/>
  <c r="EG332" i="2"/>
  <c r="EF332" i="2"/>
  <c r="EE332" i="2"/>
  <c r="ED332" i="2"/>
  <c r="EC332" i="2"/>
  <c r="EA332" i="2"/>
  <c r="EB332" i="2" s="1"/>
  <c r="DZ332" i="2"/>
  <c r="DY332" i="2"/>
  <c r="DX332" i="2"/>
  <c r="DW332" i="2"/>
  <c r="DV332" i="2"/>
  <c r="DU332" i="2"/>
  <c r="DT332" i="2"/>
  <c r="DS332" i="2"/>
  <c r="DR332" i="2"/>
  <c r="DQ332" i="2"/>
  <c r="DP332" i="2"/>
  <c r="DN332" i="2"/>
  <c r="DO332" i="2" s="1"/>
  <c r="DM332" i="2"/>
  <c r="DL332" i="2"/>
  <c r="DK332" i="2"/>
  <c r="DJ332" i="2"/>
  <c r="DI332" i="2"/>
  <c r="DH332" i="2"/>
  <c r="DG332" i="2"/>
  <c r="DF332" i="2"/>
  <c r="DE332" i="2"/>
  <c r="DD332" i="2"/>
  <c r="DC332" i="2"/>
  <c r="DA332" i="2"/>
  <c r="DB332" i="2" s="1"/>
  <c r="CZ332" i="2"/>
  <c r="CY332" i="2"/>
  <c r="CX332" i="2"/>
  <c r="CW332" i="2"/>
  <c r="CV332" i="2"/>
  <c r="CU332" i="2"/>
  <c r="CT332" i="2"/>
  <c r="CS332" i="2"/>
  <c r="CR332" i="2"/>
  <c r="CQ332" i="2"/>
  <c r="CP332" i="2"/>
  <c r="CO332" i="2"/>
  <c r="CN332" i="2"/>
  <c r="CM332" i="2"/>
  <c r="CL332" i="2"/>
  <c r="CK332" i="2"/>
  <c r="CJ332" i="2"/>
  <c r="CI332" i="2"/>
  <c r="CH332" i="2"/>
  <c r="CG332" i="2"/>
  <c r="CF332" i="2"/>
  <c r="CE332" i="2"/>
  <c r="CD332" i="2"/>
  <c r="CC332" i="2"/>
  <c r="CA332" i="2"/>
  <c r="CB332" i="2" s="1"/>
  <c r="BZ332" i="2"/>
  <c r="BY332" i="2"/>
  <c r="BX332" i="2"/>
  <c r="BW332" i="2"/>
  <c r="BV332" i="2"/>
  <c r="BU332" i="2"/>
  <c r="BT332" i="2"/>
  <c r="BS332" i="2"/>
  <c r="BR332" i="2"/>
  <c r="BQ332" i="2"/>
  <c r="BP332" i="2"/>
  <c r="BN332" i="2"/>
  <c r="BO332" i="2" s="1"/>
  <c r="BM332" i="2"/>
  <c r="BL332" i="2"/>
  <c r="BK332" i="2"/>
  <c r="BJ332" i="2"/>
  <c r="BI332" i="2"/>
  <c r="BH332" i="2"/>
  <c r="BG332" i="2"/>
  <c r="BF332" i="2"/>
  <c r="BE332" i="2"/>
  <c r="BD332" i="2"/>
  <c r="BC332" i="2"/>
  <c r="BA332" i="2"/>
  <c r="BB332" i="2" s="1"/>
  <c r="AZ332" i="2"/>
  <c r="AY332" i="2"/>
  <c r="AX332" i="2"/>
  <c r="AW332" i="2"/>
  <c r="AV332" i="2"/>
  <c r="AU332" i="2"/>
  <c r="AT332" i="2"/>
  <c r="AS332" i="2"/>
  <c r="AR332" i="2"/>
  <c r="AQ332" i="2"/>
  <c r="AP332" i="2"/>
  <c r="AN332" i="2"/>
  <c r="AO332" i="2" s="1"/>
  <c r="AM332" i="2"/>
  <c r="AL332" i="2"/>
  <c r="AK332" i="2"/>
  <c r="AJ332" i="2"/>
  <c r="AI332" i="2"/>
  <c r="AH332" i="2"/>
  <c r="AG332" i="2"/>
  <c r="AF332" i="2"/>
  <c r="AE332" i="2"/>
  <c r="AD332" i="2"/>
  <c r="AC332" i="2"/>
  <c r="AA332" i="2"/>
  <c r="AB332" i="2" s="1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FI331" i="2"/>
  <c r="FO331" i="2" s="1"/>
  <c r="FH331" i="2"/>
  <c r="FG331" i="2"/>
  <c r="FF331" i="2"/>
  <c r="FE331" i="2"/>
  <c r="FD331" i="2"/>
  <c r="FC331" i="2"/>
  <c r="FA331" i="2"/>
  <c r="FB331" i="2" s="1"/>
  <c r="EZ331" i="2"/>
  <c r="EY331" i="2"/>
  <c r="EX331" i="2"/>
  <c r="EW331" i="2"/>
  <c r="EV331" i="2"/>
  <c r="EU331" i="2"/>
  <c r="ET331" i="2"/>
  <c r="ES331" i="2"/>
  <c r="ER331" i="2"/>
  <c r="EQ331" i="2"/>
  <c r="EP331" i="2"/>
  <c r="EN331" i="2"/>
  <c r="EO331" i="2" s="1"/>
  <c r="EM331" i="2"/>
  <c r="EL331" i="2"/>
  <c r="EK331" i="2"/>
  <c r="EJ331" i="2"/>
  <c r="EI331" i="2"/>
  <c r="EH331" i="2"/>
  <c r="EG331" i="2"/>
  <c r="EF331" i="2"/>
  <c r="EE331" i="2"/>
  <c r="ED331" i="2"/>
  <c r="EC331" i="2"/>
  <c r="EA331" i="2"/>
  <c r="EB331" i="2" s="1"/>
  <c r="DZ331" i="2"/>
  <c r="DY331" i="2"/>
  <c r="DX331" i="2"/>
  <c r="DW331" i="2"/>
  <c r="DV331" i="2"/>
  <c r="DU331" i="2"/>
  <c r="DT331" i="2"/>
  <c r="DS331" i="2"/>
  <c r="DR331" i="2"/>
  <c r="DQ331" i="2"/>
  <c r="DP331" i="2"/>
  <c r="DN331" i="2"/>
  <c r="DO331" i="2" s="1"/>
  <c r="DM331" i="2"/>
  <c r="DL331" i="2"/>
  <c r="DK331" i="2"/>
  <c r="DJ331" i="2"/>
  <c r="DI331" i="2"/>
  <c r="DH331" i="2"/>
  <c r="DG331" i="2"/>
  <c r="DF331" i="2"/>
  <c r="DE331" i="2"/>
  <c r="DD331" i="2"/>
  <c r="DC331" i="2"/>
  <c r="DA331" i="2"/>
  <c r="DB331" i="2" s="1"/>
  <c r="CZ331" i="2"/>
  <c r="CY331" i="2"/>
  <c r="CX331" i="2"/>
  <c r="CW331" i="2"/>
  <c r="CV331" i="2"/>
  <c r="CU331" i="2"/>
  <c r="CT331" i="2"/>
  <c r="CS331" i="2"/>
  <c r="CR331" i="2"/>
  <c r="CQ331" i="2"/>
  <c r="CP331" i="2"/>
  <c r="CN331" i="2"/>
  <c r="CO331" i="2" s="1"/>
  <c r="CM331" i="2"/>
  <c r="CL331" i="2"/>
  <c r="CK331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N331" i="2"/>
  <c r="BO331" i="2" s="1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N331" i="2"/>
  <c r="AO331" i="2" s="1"/>
  <c r="AM331" i="2"/>
  <c r="AL331" i="2"/>
  <c r="AK331" i="2"/>
  <c r="AJ331" i="2"/>
  <c r="AI331" i="2"/>
  <c r="AH331" i="2"/>
  <c r="AG331" i="2"/>
  <c r="AF331" i="2"/>
  <c r="AE331" i="2"/>
  <c r="AD331" i="2"/>
  <c r="AC331" i="2"/>
  <c r="AA331" i="2"/>
  <c r="AB331" i="2" s="1"/>
  <c r="Z331" i="2"/>
  <c r="Y331" i="2"/>
  <c r="X331" i="2"/>
  <c r="W331" i="2"/>
  <c r="V331" i="2"/>
  <c r="U331" i="2"/>
  <c r="T331" i="2"/>
  <c r="S331" i="2"/>
  <c r="R331" i="2"/>
  <c r="Q331" i="2"/>
  <c r="P331" i="2"/>
  <c r="N331" i="2"/>
  <c r="O331" i="2" s="1"/>
  <c r="M331" i="2"/>
  <c r="L331" i="2"/>
  <c r="K331" i="2"/>
  <c r="J331" i="2"/>
  <c r="I331" i="2"/>
  <c r="H331" i="2"/>
  <c r="G331" i="2"/>
  <c r="F331" i="2"/>
  <c r="E331" i="2"/>
  <c r="D331" i="2"/>
  <c r="C331" i="2"/>
  <c r="FO330" i="2"/>
  <c r="FI330" i="2"/>
  <c r="FH330" i="2"/>
  <c r="FG330" i="2"/>
  <c r="FF330" i="2"/>
  <c r="FE330" i="2"/>
  <c r="FD330" i="2"/>
  <c r="FC330" i="2"/>
  <c r="FA330" i="2"/>
  <c r="FB330" i="2" s="1"/>
  <c r="EZ330" i="2"/>
  <c r="EY330" i="2"/>
  <c r="EX330" i="2"/>
  <c r="EW330" i="2"/>
  <c r="EV330" i="2"/>
  <c r="EU330" i="2"/>
  <c r="ET330" i="2"/>
  <c r="ES330" i="2"/>
  <c r="ER330" i="2"/>
  <c r="EQ330" i="2"/>
  <c r="EP330" i="2"/>
  <c r="EO330" i="2"/>
  <c r="EN330" i="2"/>
  <c r="EM330" i="2"/>
  <c r="EL330" i="2"/>
  <c r="EK330" i="2"/>
  <c r="EJ330" i="2"/>
  <c r="EI330" i="2"/>
  <c r="EH330" i="2"/>
  <c r="EG330" i="2"/>
  <c r="EF330" i="2"/>
  <c r="EE330" i="2"/>
  <c r="ED330" i="2"/>
  <c r="EC330" i="2"/>
  <c r="EA330" i="2"/>
  <c r="EB330" i="2" s="1"/>
  <c r="DZ330" i="2"/>
  <c r="DY330" i="2"/>
  <c r="DX330" i="2"/>
  <c r="DW330" i="2"/>
  <c r="DV330" i="2"/>
  <c r="DU330" i="2"/>
  <c r="DT330" i="2"/>
  <c r="DS330" i="2"/>
  <c r="DR330" i="2"/>
  <c r="DQ330" i="2"/>
  <c r="DP330" i="2"/>
  <c r="DN330" i="2"/>
  <c r="DO330" i="2" s="1"/>
  <c r="DM330" i="2"/>
  <c r="DL330" i="2"/>
  <c r="DK330" i="2"/>
  <c r="DJ330" i="2"/>
  <c r="DI330" i="2"/>
  <c r="DH330" i="2"/>
  <c r="DG330" i="2"/>
  <c r="DF330" i="2"/>
  <c r="DE330" i="2"/>
  <c r="DD330" i="2"/>
  <c r="DC330" i="2"/>
  <c r="DA330" i="2"/>
  <c r="DB330" i="2" s="1"/>
  <c r="CZ330" i="2"/>
  <c r="CY330" i="2"/>
  <c r="CX330" i="2"/>
  <c r="CW330" i="2"/>
  <c r="CV330" i="2"/>
  <c r="CU330" i="2"/>
  <c r="CT330" i="2"/>
  <c r="CS330" i="2"/>
  <c r="CR330" i="2"/>
  <c r="CQ330" i="2"/>
  <c r="CP330" i="2"/>
  <c r="CN330" i="2"/>
  <c r="CO330" i="2" s="1"/>
  <c r="CM330" i="2"/>
  <c r="CL330" i="2"/>
  <c r="CK330" i="2"/>
  <c r="CJ330" i="2"/>
  <c r="CI330" i="2"/>
  <c r="CH330" i="2"/>
  <c r="CG330" i="2"/>
  <c r="CF330" i="2"/>
  <c r="CE330" i="2"/>
  <c r="CD330" i="2"/>
  <c r="CC330" i="2"/>
  <c r="CA330" i="2"/>
  <c r="CB330" i="2" s="1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A330" i="2"/>
  <c r="BB330" i="2" s="1"/>
  <c r="AZ330" i="2"/>
  <c r="AY330" i="2"/>
  <c r="AX330" i="2"/>
  <c r="AW330" i="2"/>
  <c r="AV330" i="2"/>
  <c r="AU330" i="2"/>
  <c r="AT330" i="2"/>
  <c r="AS330" i="2"/>
  <c r="AR330" i="2"/>
  <c r="AQ330" i="2"/>
  <c r="AP330" i="2"/>
  <c r="AN330" i="2"/>
  <c r="AO330" i="2" s="1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N330" i="2"/>
  <c r="O330" i="2" s="1"/>
  <c r="M330" i="2"/>
  <c r="L330" i="2"/>
  <c r="K330" i="2"/>
  <c r="J330" i="2"/>
  <c r="I330" i="2"/>
  <c r="H330" i="2"/>
  <c r="G330" i="2"/>
  <c r="F330" i="2"/>
  <c r="E330" i="2"/>
  <c r="D330" i="2"/>
  <c r="C330" i="2"/>
  <c r="FO329" i="2"/>
  <c r="FI329" i="2"/>
  <c r="FH329" i="2"/>
  <c r="FG329" i="2"/>
  <c r="FF329" i="2"/>
  <c r="FE329" i="2"/>
  <c r="FD329" i="2"/>
  <c r="FC329" i="2"/>
  <c r="FA329" i="2"/>
  <c r="FB329" i="2" s="1"/>
  <c r="EZ329" i="2"/>
  <c r="EY329" i="2"/>
  <c r="EX329" i="2"/>
  <c r="EW329" i="2"/>
  <c r="EV329" i="2"/>
  <c r="EU329" i="2"/>
  <c r="ET329" i="2"/>
  <c r="ES329" i="2"/>
  <c r="ER329" i="2"/>
  <c r="EQ329" i="2"/>
  <c r="EP329" i="2"/>
  <c r="EN329" i="2"/>
  <c r="EO329" i="2" s="1"/>
  <c r="EM329" i="2"/>
  <c r="EL329" i="2"/>
  <c r="EK329" i="2"/>
  <c r="EJ329" i="2"/>
  <c r="EI329" i="2"/>
  <c r="EH329" i="2"/>
  <c r="EG329" i="2"/>
  <c r="EF329" i="2"/>
  <c r="EE329" i="2"/>
  <c r="ED329" i="2"/>
  <c r="EC329" i="2"/>
  <c r="EA329" i="2"/>
  <c r="EB329" i="2" s="1"/>
  <c r="DZ329" i="2"/>
  <c r="DY329" i="2"/>
  <c r="DX329" i="2"/>
  <c r="DW329" i="2"/>
  <c r="DV329" i="2"/>
  <c r="DU329" i="2"/>
  <c r="DT329" i="2"/>
  <c r="DS329" i="2"/>
  <c r="DR329" i="2"/>
  <c r="DQ329" i="2"/>
  <c r="DP329" i="2"/>
  <c r="DN329" i="2"/>
  <c r="DO329" i="2" s="1"/>
  <c r="DM329" i="2"/>
  <c r="DL329" i="2"/>
  <c r="DK329" i="2"/>
  <c r="DJ329" i="2"/>
  <c r="DI329" i="2"/>
  <c r="DH329" i="2"/>
  <c r="DG329" i="2"/>
  <c r="DF329" i="2"/>
  <c r="DE329" i="2"/>
  <c r="DD329" i="2"/>
  <c r="DC329" i="2"/>
  <c r="DA329" i="2"/>
  <c r="DB329" i="2" s="1"/>
  <c r="CZ329" i="2"/>
  <c r="CY329" i="2"/>
  <c r="CX329" i="2"/>
  <c r="CW329" i="2"/>
  <c r="CV329" i="2"/>
  <c r="CU329" i="2"/>
  <c r="CT329" i="2"/>
  <c r="CS329" i="2"/>
  <c r="CR329" i="2"/>
  <c r="CQ329" i="2"/>
  <c r="CP329" i="2"/>
  <c r="CO329" i="2"/>
  <c r="CN329" i="2"/>
  <c r="CM329" i="2"/>
  <c r="CL329" i="2"/>
  <c r="CK329" i="2"/>
  <c r="CJ329" i="2"/>
  <c r="CI329" i="2"/>
  <c r="CH329" i="2"/>
  <c r="CG329" i="2"/>
  <c r="CF329" i="2"/>
  <c r="CE329" i="2"/>
  <c r="CD329" i="2"/>
  <c r="CC329" i="2"/>
  <c r="CA329" i="2"/>
  <c r="CB329" i="2" s="1"/>
  <c r="BZ329" i="2"/>
  <c r="BY329" i="2"/>
  <c r="BX329" i="2"/>
  <c r="BW329" i="2"/>
  <c r="BV329" i="2"/>
  <c r="BU329" i="2"/>
  <c r="BT329" i="2"/>
  <c r="BS329" i="2"/>
  <c r="BR329" i="2"/>
  <c r="BQ329" i="2"/>
  <c r="BP329" i="2"/>
  <c r="BN329" i="2"/>
  <c r="BO329" i="2" s="1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AP329" i="2"/>
  <c r="AN329" i="2"/>
  <c r="AO329" i="2" s="1"/>
  <c r="AM329" i="2"/>
  <c r="AL329" i="2"/>
  <c r="AK329" i="2"/>
  <c r="AJ329" i="2"/>
  <c r="AI329" i="2"/>
  <c r="AH329" i="2"/>
  <c r="AG329" i="2"/>
  <c r="AF329" i="2"/>
  <c r="AE329" i="2"/>
  <c r="AD329" i="2"/>
  <c r="AC329" i="2"/>
  <c r="AA329" i="2"/>
  <c r="AB329" i="2" s="1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FI328" i="2"/>
  <c r="FO328" i="2" s="1"/>
  <c r="FH328" i="2"/>
  <c r="FG328" i="2"/>
  <c r="FF328" i="2"/>
  <c r="FE328" i="2"/>
  <c r="FD328" i="2"/>
  <c r="FC328" i="2"/>
  <c r="FA328" i="2"/>
  <c r="FB328" i="2" s="1"/>
  <c r="EZ328" i="2"/>
  <c r="EY328" i="2"/>
  <c r="EX328" i="2"/>
  <c r="EW328" i="2"/>
  <c r="EV328" i="2"/>
  <c r="EU328" i="2"/>
  <c r="ET328" i="2"/>
  <c r="ES328" i="2"/>
  <c r="ER328" i="2"/>
  <c r="EQ328" i="2"/>
  <c r="EP328" i="2"/>
  <c r="EN328" i="2"/>
  <c r="EO328" i="2" s="1"/>
  <c r="EM328" i="2"/>
  <c r="EL328" i="2"/>
  <c r="EK328" i="2"/>
  <c r="EJ328" i="2"/>
  <c r="EI328" i="2"/>
  <c r="EH328" i="2"/>
  <c r="EG328" i="2"/>
  <c r="EF328" i="2"/>
  <c r="EE328" i="2"/>
  <c r="ED328" i="2"/>
  <c r="EC328" i="2"/>
  <c r="EA328" i="2"/>
  <c r="EB328" i="2" s="1"/>
  <c r="DZ328" i="2"/>
  <c r="DY328" i="2"/>
  <c r="DX328" i="2"/>
  <c r="DW328" i="2"/>
  <c r="DV328" i="2"/>
  <c r="DU328" i="2"/>
  <c r="DT328" i="2"/>
  <c r="DS328" i="2"/>
  <c r="DR328" i="2"/>
  <c r="DQ328" i="2"/>
  <c r="DP328" i="2"/>
  <c r="DO328" i="2"/>
  <c r="DN328" i="2"/>
  <c r="DM328" i="2"/>
  <c r="DL328" i="2"/>
  <c r="DK328" i="2"/>
  <c r="DJ328" i="2"/>
  <c r="DI328" i="2"/>
  <c r="DH328" i="2"/>
  <c r="DG328" i="2"/>
  <c r="DF328" i="2"/>
  <c r="DE328" i="2"/>
  <c r="DD328" i="2"/>
  <c r="DC328" i="2"/>
  <c r="DA328" i="2"/>
  <c r="DB328" i="2" s="1"/>
  <c r="CZ328" i="2"/>
  <c r="CY328" i="2"/>
  <c r="CX328" i="2"/>
  <c r="CW328" i="2"/>
  <c r="CV328" i="2"/>
  <c r="CU328" i="2"/>
  <c r="CT328" i="2"/>
  <c r="CS328" i="2"/>
  <c r="CR328" i="2"/>
  <c r="CQ328" i="2"/>
  <c r="CP328" i="2"/>
  <c r="CN328" i="2"/>
  <c r="CO328" i="2" s="1"/>
  <c r="CM328" i="2"/>
  <c r="CL328" i="2"/>
  <c r="CK328" i="2"/>
  <c r="CJ328" i="2"/>
  <c r="CI328" i="2"/>
  <c r="CH328" i="2"/>
  <c r="CG328" i="2"/>
  <c r="CF328" i="2"/>
  <c r="CE328" i="2"/>
  <c r="CD328" i="2"/>
  <c r="CC328" i="2"/>
  <c r="CA328" i="2"/>
  <c r="CB328" i="2" s="1"/>
  <c r="BZ328" i="2"/>
  <c r="BY328" i="2"/>
  <c r="BX328" i="2"/>
  <c r="BW328" i="2"/>
  <c r="BV328" i="2"/>
  <c r="BU328" i="2"/>
  <c r="BT328" i="2"/>
  <c r="BS328" i="2"/>
  <c r="BR328" i="2"/>
  <c r="BQ328" i="2"/>
  <c r="BP328" i="2"/>
  <c r="BN328" i="2"/>
  <c r="BO328" i="2" s="1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A328" i="2"/>
  <c r="AB328" i="2" s="1"/>
  <c r="Z328" i="2"/>
  <c r="Y328" i="2"/>
  <c r="X328" i="2"/>
  <c r="W328" i="2"/>
  <c r="V328" i="2"/>
  <c r="U328" i="2"/>
  <c r="T328" i="2"/>
  <c r="S328" i="2"/>
  <c r="R328" i="2"/>
  <c r="Q328" i="2"/>
  <c r="P328" i="2"/>
  <c r="N328" i="2"/>
  <c r="O328" i="2" s="1"/>
  <c r="M328" i="2"/>
  <c r="L328" i="2"/>
  <c r="K328" i="2"/>
  <c r="J328" i="2"/>
  <c r="I328" i="2"/>
  <c r="H328" i="2"/>
  <c r="G328" i="2"/>
  <c r="F328" i="2"/>
  <c r="E328" i="2"/>
  <c r="D328" i="2"/>
  <c r="C328" i="2"/>
  <c r="FI327" i="2"/>
  <c r="FO327" i="2" s="1"/>
  <c r="FH327" i="2"/>
  <c r="FG327" i="2"/>
  <c r="FF327" i="2"/>
  <c r="FE327" i="2"/>
  <c r="FD327" i="2"/>
  <c r="FC327" i="2"/>
  <c r="FA327" i="2"/>
  <c r="FB327" i="2" s="1"/>
  <c r="EZ327" i="2"/>
  <c r="EY327" i="2"/>
  <c r="EX327" i="2"/>
  <c r="EW327" i="2"/>
  <c r="EV327" i="2"/>
  <c r="EU327" i="2"/>
  <c r="ET327" i="2"/>
  <c r="ES327" i="2"/>
  <c r="ER327" i="2"/>
  <c r="EQ327" i="2"/>
  <c r="EP327" i="2"/>
  <c r="EO327" i="2"/>
  <c r="EN327" i="2"/>
  <c r="EM327" i="2"/>
  <c r="EL327" i="2"/>
  <c r="EK327" i="2"/>
  <c r="EJ327" i="2"/>
  <c r="EI327" i="2"/>
  <c r="EH327" i="2"/>
  <c r="EG327" i="2"/>
  <c r="EF327" i="2"/>
  <c r="EE327" i="2"/>
  <c r="ED327" i="2"/>
  <c r="EC327" i="2"/>
  <c r="EA327" i="2"/>
  <c r="EB327" i="2" s="1"/>
  <c r="DZ327" i="2"/>
  <c r="DY327" i="2"/>
  <c r="DX327" i="2"/>
  <c r="DW327" i="2"/>
  <c r="DV327" i="2"/>
  <c r="DU327" i="2"/>
  <c r="DT327" i="2"/>
  <c r="DS327" i="2"/>
  <c r="DR327" i="2"/>
  <c r="DQ327" i="2"/>
  <c r="DP327" i="2"/>
  <c r="DN327" i="2"/>
  <c r="DO327" i="2" s="1"/>
  <c r="DM327" i="2"/>
  <c r="DL327" i="2"/>
  <c r="DK327" i="2"/>
  <c r="DJ327" i="2"/>
  <c r="DI327" i="2"/>
  <c r="DH327" i="2"/>
  <c r="DG327" i="2"/>
  <c r="DF327" i="2"/>
  <c r="DE327" i="2"/>
  <c r="DD327" i="2"/>
  <c r="DC327" i="2"/>
  <c r="DB327" i="2"/>
  <c r="DA327" i="2"/>
  <c r="CZ327" i="2"/>
  <c r="CY327" i="2"/>
  <c r="CX327" i="2"/>
  <c r="CW327" i="2"/>
  <c r="CV327" i="2"/>
  <c r="CU327" i="2"/>
  <c r="CT327" i="2"/>
  <c r="CS327" i="2"/>
  <c r="CR327" i="2"/>
  <c r="CQ327" i="2"/>
  <c r="CP327" i="2"/>
  <c r="CN327" i="2"/>
  <c r="CO327" i="2" s="1"/>
  <c r="CM327" i="2"/>
  <c r="CL327" i="2"/>
  <c r="CK327" i="2"/>
  <c r="CJ327" i="2"/>
  <c r="CI327" i="2"/>
  <c r="CH327" i="2"/>
  <c r="CG327" i="2"/>
  <c r="CF327" i="2"/>
  <c r="CE327" i="2"/>
  <c r="CD327" i="2"/>
  <c r="CC327" i="2"/>
  <c r="CA327" i="2"/>
  <c r="CB327" i="2" s="1"/>
  <c r="BZ327" i="2"/>
  <c r="BY327" i="2"/>
  <c r="BX327" i="2"/>
  <c r="BW327" i="2"/>
  <c r="BV327" i="2"/>
  <c r="BU327" i="2"/>
  <c r="BT327" i="2"/>
  <c r="BS327" i="2"/>
  <c r="BR327" i="2"/>
  <c r="BQ327" i="2"/>
  <c r="BP327" i="2"/>
  <c r="BO327" i="2"/>
  <c r="BN327" i="2"/>
  <c r="BM327" i="2"/>
  <c r="BL327" i="2"/>
  <c r="BK327" i="2"/>
  <c r="BJ327" i="2"/>
  <c r="BI327" i="2"/>
  <c r="BH327" i="2"/>
  <c r="BG327" i="2"/>
  <c r="BF327" i="2"/>
  <c r="BE327" i="2"/>
  <c r="BD327" i="2"/>
  <c r="BC327" i="2"/>
  <c r="BA327" i="2"/>
  <c r="BB327" i="2" s="1"/>
  <c r="AZ327" i="2"/>
  <c r="AY327" i="2"/>
  <c r="AX327" i="2"/>
  <c r="AW327" i="2"/>
  <c r="AV327" i="2"/>
  <c r="AU327" i="2"/>
  <c r="AT327" i="2"/>
  <c r="AS327" i="2"/>
  <c r="AR327" i="2"/>
  <c r="AQ327" i="2"/>
  <c r="AP327" i="2"/>
  <c r="AN327" i="2"/>
  <c r="AO327" i="2" s="1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N327" i="2"/>
  <c r="O327" i="2" s="1"/>
  <c r="M327" i="2"/>
  <c r="L327" i="2"/>
  <c r="K327" i="2"/>
  <c r="J327" i="2"/>
  <c r="I327" i="2"/>
  <c r="H327" i="2"/>
  <c r="G327" i="2"/>
  <c r="F327" i="2"/>
  <c r="E327" i="2"/>
  <c r="D327" i="2"/>
  <c r="C327" i="2"/>
  <c r="FI326" i="2"/>
  <c r="FO326" i="2" s="1"/>
  <c r="FH326" i="2"/>
  <c r="FG326" i="2"/>
  <c r="FF326" i="2"/>
  <c r="FE326" i="2"/>
  <c r="FD326" i="2"/>
  <c r="FC326" i="2"/>
  <c r="FA326" i="2"/>
  <c r="FB326" i="2" s="1"/>
  <c r="EZ326" i="2"/>
  <c r="EY326" i="2"/>
  <c r="EX326" i="2"/>
  <c r="EW326" i="2"/>
  <c r="EV326" i="2"/>
  <c r="EU326" i="2"/>
  <c r="ET326" i="2"/>
  <c r="ES326" i="2"/>
  <c r="ER326" i="2"/>
  <c r="EQ326" i="2"/>
  <c r="EP326" i="2"/>
  <c r="EN326" i="2"/>
  <c r="EO326" i="2" s="1"/>
  <c r="EM326" i="2"/>
  <c r="EL326" i="2"/>
  <c r="EK326" i="2"/>
  <c r="EJ326" i="2"/>
  <c r="EI326" i="2"/>
  <c r="EH326" i="2"/>
  <c r="EG326" i="2"/>
  <c r="EF326" i="2"/>
  <c r="EE326" i="2"/>
  <c r="ED326" i="2"/>
  <c r="EC326" i="2"/>
  <c r="EA326" i="2"/>
  <c r="EB326" i="2" s="1"/>
  <c r="DZ326" i="2"/>
  <c r="DY326" i="2"/>
  <c r="DX326" i="2"/>
  <c r="DW326" i="2"/>
  <c r="DV326" i="2"/>
  <c r="DU326" i="2"/>
  <c r="DT326" i="2"/>
  <c r="DS326" i="2"/>
  <c r="DR326" i="2"/>
  <c r="DQ326" i="2"/>
  <c r="DP326" i="2"/>
  <c r="DO326" i="2"/>
  <c r="DN326" i="2"/>
  <c r="DM326" i="2"/>
  <c r="DL326" i="2"/>
  <c r="DK326" i="2"/>
  <c r="DJ326" i="2"/>
  <c r="DI326" i="2"/>
  <c r="DH326" i="2"/>
  <c r="DG326" i="2"/>
  <c r="DF326" i="2"/>
  <c r="DE326" i="2"/>
  <c r="DD326" i="2"/>
  <c r="DC326" i="2"/>
  <c r="DB326" i="2"/>
  <c r="DA326" i="2"/>
  <c r="CZ326" i="2"/>
  <c r="CY326" i="2"/>
  <c r="CX326" i="2"/>
  <c r="CW326" i="2"/>
  <c r="CV326" i="2"/>
  <c r="CU326" i="2"/>
  <c r="CT326" i="2"/>
  <c r="CS326" i="2"/>
  <c r="CR326" i="2"/>
  <c r="CQ326" i="2"/>
  <c r="CP326" i="2"/>
  <c r="CN326" i="2"/>
  <c r="CO326" i="2" s="1"/>
  <c r="CM326" i="2"/>
  <c r="CL326" i="2"/>
  <c r="CK326" i="2"/>
  <c r="CJ326" i="2"/>
  <c r="CI326" i="2"/>
  <c r="CH326" i="2"/>
  <c r="CG326" i="2"/>
  <c r="CF326" i="2"/>
  <c r="CE326" i="2"/>
  <c r="CD326" i="2"/>
  <c r="CC326" i="2"/>
  <c r="CA326" i="2"/>
  <c r="CB326" i="2" s="1"/>
  <c r="BZ326" i="2"/>
  <c r="BY326" i="2"/>
  <c r="BX326" i="2"/>
  <c r="BW326" i="2"/>
  <c r="BV326" i="2"/>
  <c r="BU326" i="2"/>
  <c r="BT326" i="2"/>
  <c r="BS326" i="2"/>
  <c r="BR326" i="2"/>
  <c r="BQ326" i="2"/>
  <c r="BP326" i="2"/>
  <c r="BN326" i="2"/>
  <c r="BO326" i="2" s="1"/>
  <c r="BM326" i="2"/>
  <c r="BL326" i="2"/>
  <c r="BK326" i="2"/>
  <c r="BJ326" i="2"/>
  <c r="BI326" i="2"/>
  <c r="BH326" i="2"/>
  <c r="BG326" i="2"/>
  <c r="BF326" i="2"/>
  <c r="BE326" i="2"/>
  <c r="BD326" i="2"/>
  <c r="BC326" i="2"/>
  <c r="BA326" i="2"/>
  <c r="BB326" i="2" s="1"/>
  <c r="AZ326" i="2"/>
  <c r="AY326" i="2"/>
  <c r="AX326" i="2"/>
  <c r="AW326" i="2"/>
  <c r="AV326" i="2"/>
  <c r="AU326" i="2"/>
  <c r="AT326" i="2"/>
  <c r="AS326" i="2"/>
  <c r="AR326" i="2"/>
  <c r="AQ326" i="2"/>
  <c r="AP326" i="2"/>
  <c r="AN326" i="2"/>
  <c r="AO326" i="2" s="1"/>
  <c r="AM326" i="2"/>
  <c r="AL326" i="2"/>
  <c r="AK326" i="2"/>
  <c r="AJ326" i="2"/>
  <c r="AI326" i="2"/>
  <c r="AH326" i="2"/>
  <c r="AG326" i="2"/>
  <c r="AF326" i="2"/>
  <c r="AE326" i="2"/>
  <c r="AD326" i="2"/>
  <c r="AC326" i="2"/>
  <c r="AA326" i="2"/>
  <c r="AB326" i="2" s="1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FI325" i="2"/>
  <c r="FO325" i="2" s="1"/>
  <c r="FH325" i="2"/>
  <c r="FG325" i="2"/>
  <c r="FF325" i="2"/>
  <c r="FE325" i="2"/>
  <c r="FD325" i="2"/>
  <c r="FC325" i="2"/>
  <c r="FA325" i="2"/>
  <c r="FB325" i="2" s="1"/>
  <c r="EZ325" i="2"/>
  <c r="EY325" i="2"/>
  <c r="EX325" i="2"/>
  <c r="EW325" i="2"/>
  <c r="EV325" i="2"/>
  <c r="EU325" i="2"/>
  <c r="ET325" i="2"/>
  <c r="ES325" i="2"/>
  <c r="ER325" i="2"/>
  <c r="EQ325" i="2"/>
  <c r="EP325" i="2"/>
  <c r="EN325" i="2"/>
  <c r="EO325" i="2" s="1"/>
  <c r="EM325" i="2"/>
  <c r="EL325" i="2"/>
  <c r="EK325" i="2"/>
  <c r="EJ325" i="2"/>
  <c r="EI325" i="2"/>
  <c r="EH325" i="2"/>
  <c r="EG325" i="2"/>
  <c r="EF325" i="2"/>
  <c r="EE325" i="2"/>
  <c r="ED325" i="2"/>
  <c r="EC325" i="2"/>
  <c r="EA325" i="2"/>
  <c r="EB325" i="2" s="1"/>
  <c r="DZ325" i="2"/>
  <c r="DY325" i="2"/>
  <c r="DX325" i="2"/>
  <c r="DW325" i="2"/>
  <c r="DV325" i="2"/>
  <c r="DU325" i="2"/>
  <c r="DT325" i="2"/>
  <c r="DS325" i="2"/>
  <c r="DR325" i="2"/>
  <c r="DQ325" i="2"/>
  <c r="DP325" i="2"/>
  <c r="DO325" i="2"/>
  <c r="DN325" i="2"/>
  <c r="DM325" i="2"/>
  <c r="DL325" i="2"/>
  <c r="DK325" i="2"/>
  <c r="DJ325" i="2"/>
  <c r="DI325" i="2"/>
  <c r="DH325" i="2"/>
  <c r="DG325" i="2"/>
  <c r="DF325" i="2"/>
  <c r="DE325" i="2"/>
  <c r="DD325" i="2"/>
  <c r="DC325" i="2"/>
  <c r="DA325" i="2"/>
  <c r="DB325" i="2" s="1"/>
  <c r="CZ325" i="2"/>
  <c r="CY325" i="2"/>
  <c r="CX325" i="2"/>
  <c r="CW325" i="2"/>
  <c r="CV325" i="2"/>
  <c r="CU325" i="2"/>
  <c r="CT325" i="2"/>
  <c r="CS325" i="2"/>
  <c r="CR325" i="2"/>
  <c r="CQ325" i="2"/>
  <c r="CP325" i="2"/>
  <c r="CN325" i="2"/>
  <c r="CO325" i="2" s="1"/>
  <c r="CM325" i="2"/>
  <c r="CL325" i="2"/>
  <c r="CK325" i="2"/>
  <c r="CJ325" i="2"/>
  <c r="CI325" i="2"/>
  <c r="CH325" i="2"/>
  <c r="CG325" i="2"/>
  <c r="CF325" i="2"/>
  <c r="CE325" i="2"/>
  <c r="CD325" i="2"/>
  <c r="CC325" i="2"/>
  <c r="CA325" i="2"/>
  <c r="CB325" i="2" s="1"/>
  <c r="BZ325" i="2"/>
  <c r="BY325" i="2"/>
  <c r="BX325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A325" i="2"/>
  <c r="BB325" i="2" s="1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A325" i="2"/>
  <c r="AB325" i="2" s="1"/>
  <c r="Z325" i="2"/>
  <c r="Y325" i="2"/>
  <c r="X325" i="2"/>
  <c r="W325" i="2"/>
  <c r="V325" i="2"/>
  <c r="U325" i="2"/>
  <c r="T325" i="2"/>
  <c r="S325" i="2"/>
  <c r="R325" i="2"/>
  <c r="Q325" i="2"/>
  <c r="P325" i="2"/>
  <c r="N325" i="2"/>
  <c r="O325" i="2" s="1"/>
  <c r="M325" i="2"/>
  <c r="L325" i="2"/>
  <c r="K325" i="2"/>
  <c r="J325" i="2"/>
  <c r="I325" i="2"/>
  <c r="H325" i="2"/>
  <c r="G325" i="2"/>
  <c r="F325" i="2"/>
  <c r="E325" i="2"/>
  <c r="D325" i="2"/>
  <c r="C325" i="2"/>
  <c r="FO324" i="2"/>
  <c r="FI324" i="2"/>
  <c r="FH324" i="2"/>
  <c r="FG324" i="2"/>
  <c r="FF324" i="2"/>
  <c r="FE324" i="2"/>
  <c r="FD324" i="2"/>
  <c r="FC324" i="2"/>
  <c r="FB324" i="2"/>
  <c r="FA324" i="2"/>
  <c r="EZ324" i="2"/>
  <c r="EY324" i="2"/>
  <c r="EX324" i="2"/>
  <c r="EW324" i="2"/>
  <c r="EV324" i="2"/>
  <c r="EU324" i="2"/>
  <c r="ET324" i="2"/>
  <c r="ES324" i="2"/>
  <c r="ER324" i="2"/>
  <c r="EQ324" i="2"/>
  <c r="EP324" i="2"/>
  <c r="EN324" i="2"/>
  <c r="EO324" i="2" s="1"/>
  <c r="EM324" i="2"/>
  <c r="EL324" i="2"/>
  <c r="EK324" i="2"/>
  <c r="EJ324" i="2"/>
  <c r="EI324" i="2"/>
  <c r="EH324" i="2"/>
  <c r="EG324" i="2"/>
  <c r="EF324" i="2"/>
  <c r="EE324" i="2"/>
  <c r="ED324" i="2"/>
  <c r="EC324" i="2"/>
  <c r="EB324" i="2"/>
  <c r="EA324" i="2"/>
  <c r="DZ324" i="2"/>
  <c r="DY324" i="2"/>
  <c r="DX324" i="2"/>
  <c r="DW324" i="2"/>
  <c r="DV324" i="2"/>
  <c r="DU324" i="2"/>
  <c r="DT324" i="2"/>
  <c r="DS324" i="2"/>
  <c r="DR324" i="2"/>
  <c r="DQ324" i="2"/>
  <c r="DP324" i="2"/>
  <c r="DN324" i="2"/>
  <c r="DO324" i="2" s="1"/>
  <c r="DM324" i="2"/>
  <c r="DL324" i="2"/>
  <c r="DK324" i="2"/>
  <c r="DJ324" i="2"/>
  <c r="DI324" i="2"/>
  <c r="DH324" i="2"/>
  <c r="DG324" i="2"/>
  <c r="DF324" i="2"/>
  <c r="DE324" i="2"/>
  <c r="DD324" i="2"/>
  <c r="DC324" i="2"/>
  <c r="DA324" i="2"/>
  <c r="DB324" i="2" s="1"/>
  <c r="CZ324" i="2"/>
  <c r="CY324" i="2"/>
  <c r="CX324" i="2"/>
  <c r="CW324" i="2"/>
  <c r="CV324" i="2"/>
  <c r="CU324" i="2"/>
  <c r="CT324" i="2"/>
  <c r="CS324" i="2"/>
  <c r="CR324" i="2"/>
  <c r="CQ324" i="2"/>
  <c r="CP324" i="2"/>
  <c r="CN324" i="2"/>
  <c r="CO324" i="2" s="1"/>
  <c r="CM324" i="2"/>
  <c r="CL324" i="2"/>
  <c r="CK324" i="2"/>
  <c r="CJ324" i="2"/>
  <c r="CI324" i="2"/>
  <c r="CH324" i="2"/>
  <c r="CG324" i="2"/>
  <c r="CF324" i="2"/>
  <c r="CE324" i="2"/>
  <c r="CD324" i="2"/>
  <c r="CC324" i="2"/>
  <c r="CA324" i="2"/>
  <c r="CB324" i="2" s="1"/>
  <c r="BZ324" i="2"/>
  <c r="BY324" i="2"/>
  <c r="BX324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A324" i="2"/>
  <c r="BB324" i="2" s="1"/>
  <c r="AZ324" i="2"/>
  <c r="AY324" i="2"/>
  <c r="AX324" i="2"/>
  <c r="AW324" i="2"/>
  <c r="AV324" i="2"/>
  <c r="AU324" i="2"/>
  <c r="AT324" i="2"/>
  <c r="AS324" i="2"/>
  <c r="AR324" i="2"/>
  <c r="AQ324" i="2"/>
  <c r="AP324" i="2"/>
  <c r="AN324" i="2"/>
  <c r="AO324" i="2" s="1"/>
  <c r="AM324" i="2"/>
  <c r="AL324" i="2"/>
  <c r="AK324" i="2"/>
  <c r="AJ324" i="2"/>
  <c r="AI324" i="2"/>
  <c r="AH324" i="2"/>
  <c r="AG324" i="2"/>
  <c r="AF324" i="2"/>
  <c r="AE324" i="2"/>
  <c r="AD324" i="2"/>
  <c r="AC324" i="2"/>
  <c r="AA324" i="2"/>
  <c r="AB324" i="2" s="1"/>
  <c r="Z324" i="2"/>
  <c r="Y324" i="2"/>
  <c r="X324" i="2"/>
  <c r="W324" i="2"/>
  <c r="V324" i="2"/>
  <c r="U324" i="2"/>
  <c r="T324" i="2"/>
  <c r="S324" i="2"/>
  <c r="R324" i="2"/>
  <c r="Q324" i="2"/>
  <c r="P324" i="2"/>
  <c r="N324" i="2"/>
  <c r="O324" i="2" s="1"/>
  <c r="M324" i="2"/>
  <c r="L324" i="2"/>
  <c r="K324" i="2"/>
  <c r="J324" i="2"/>
  <c r="I324" i="2"/>
  <c r="H324" i="2"/>
  <c r="G324" i="2"/>
  <c r="F324" i="2"/>
  <c r="E324" i="2"/>
  <c r="D324" i="2"/>
  <c r="C324" i="2"/>
  <c r="FI323" i="2"/>
  <c r="FO323" i="2" s="1"/>
  <c r="FH323" i="2"/>
  <c r="FG323" i="2"/>
  <c r="FF323" i="2"/>
  <c r="FE323" i="2"/>
  <c r="FD323" i="2"/>
  <c r="FC323" i="2"/>
  <c r="FA323" i="2"/>
  <c r="FB323" i="2" s="1"/>
  <c r="EZ323" i="2"/>
  <c r="EY323" i="2"/>
  <c r="EX323" i="2"/>
  <c r="EW323" i="2"/>
  <c r="EV323" i="2"/>
  <c r="EU323" i="2"/>
  <c r="ET323" i="2"/>
  <c r="ES323" i="2"/>
  <c r="ER323" i="2"/>
  <c r="EQ323" i="2"/>
  <c r="EP323" i="2"/>
  <c r="EN323" i="2"/>
  <c r="EO323" i="2" s="1"/>
  <c r="EM323" i="2"/>
  <c r="EL323" i="2"/>
  <c r="EK323" i="2"/>
  <c r="EJ323" i="2"/>
  <c r="EI323" i="2"/>
  <c r="EH323" i="2"/>
  <c r="EG323" i="2"/>
  <c r="EF323" i="2"/>
  <c r="EE323" i="2"/>
  <c r="ED323" i="2"/>
  <c r="EC323" i="2"/>
  <c r="EA323" i="2"/>
  <c r="EB323" i="2" s="1"/>
  <c r="DZ323" i="2"/>
  <c r="DY323" i="2"/>
  <c r="DX323" i="2"/>
  <c r="DW323" i="2"/>
  <c r="DV323" i="2"/>
  <c r="DU323" i="2"/>
  <c r="DT323" i="2"/>
  <c r="DS323" i="2"/>
  <c r="DR323" i="2"/>
  <c r="DQ323" i="2"/>
  <c r="DP323" i="2"/>
  <c r="DO323" i="2"/>
  <c r="DN323" i="2"/>
  <c r="DM323" i="2"/>
  <c r="DL323" i="2"/>
  <c r="DK323" i="2"/>
  <c r="DJ323" i="2"/>
  <c r="DI323" i="2"/>
  <c r="DH323" i="2"/>
  <c r="DG323" i="2"/>
  <c r="DF323" i="2"/>
  <c r="DE323" i="2"/>
  <c r="DD323" i="2"/>
  <c r="DC323" i="2"/>
  <c r="DA323" i="2"/>
  <c r="DB323" i="2" s="1"/>
  <c r="CZ323" i="2"/>
  <c r="CY323" i="2"/>
  <c r="CX323" i="2"/>
  <c r="CW323" i="2"/>
  <c r="CV323" i="2"/>
  <c r="CU323" i="2"/>
  <c r="CT323" i="2"/>
  <c r="CS323" i="2"/>
  <c r="CR323" i="2"/>
  <c r="CQ323" i="2"/>
  <c r="CP323" i="2"/>
  <c r="CO323" i="2"/>
  <c r="CN323" i="2"/>
  <c r="CM323" i="2"/>
  <c r="CL323" i="2"/>
  <c r="CK323" i="2"/>
  <c r="CJ323" i="2"/>
  <c r="CI323" i="2"/>
  <c r="CH323" i="2"/>
  <c r="CG323" i="2"/>
  <c r="CF323" i="2"/>
  <c r="CE323" i="2"/>
  <c r="CD323" i="2"/>
  <c r="CC323" i="2"/>
  <c r="CA323" i="2"/>
  <c r="CB323" i="2" s="1"/>
  <c r="BZ323" i="2"/>
  <c r="BY323" i="2"/>
  <c r="BX323" i="2"/>
  <c r="BW323" i="2"/>
  <c r="BV323" i="2"/>
  <c r="BU323" i="2"/>
  <c r="BT323" i="2"/>
  <c r="BS323" i="2"/>
  <c r="BR323" i="2"/>
  <c r="BQ323" i="2"/>
  <c r="BP323" i="2"/>
  <c r="BN323" i="2"/>
  <c r="BO323" i="2" s="1"/>
  <c r="BM323" i="2"/>
  <c r="BL323" i="2"/>
  <c r="BK323" i="2"/>
  <c r="BJ323" i="2"/>
  <c r="BI323" i="2"/>
  <c r="BH323" i="2"/>
  <c r="BG323" i="2"/>
  <c r="BF323" i="2"/>
  <c r="BE323" i="2"/>
  <c r="BD323" i="2"/>
  <c r="BC323" i="2"/>
  <c r="BA323" i="2"/>
  <c r="BB323" i="2" s="1"/>
  <c r="AZ323" i="2"/>
  <c r="AY323" i="2"/>
  <c r="AX323" i="2"/>
  <c r="AW323" i="2"/>
  <c r="AV323" i="2"/>
  <c r="AU323" i="2"/>
  <c r="AT323" i="2"/>
  <c r="AS323" i="2"/>
  <c r="AR323" i="2"/>
  <c r="AQ323" i="2"/>
  <c r="AP323" i="2"/>
  <c r="AN323" i="2"/>
  <c r="AO323" i="2" s="1"/>
  <c r="AM323" i="2"/>
  <c r="AL323" i="2"/>
  <c r="AK323" i="2"/>
  <c r="AJ323" i="2"/>
  <c r="AI323" i="2"/>
  <c r="AH323" i="2"/>
  <c r="AG323" i="2"/>
  <c r="AF323" i="2"/>
  <c r="AE323" i="2"/>
  <c r="AD323" i="2"/>
  <c r="AC323" i="2"/>
  <c r="AA323" i="2"/>
  <c r="AB323" i="2" s="1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FI322" i="2"/>
  <c r="FO322" i="2" s="1"/>
  <c r="FH322" i="2"/>
  <c r="FG322" i="2"/>
  <c r="FF322" i="2"/>
  <c r="FE322" i="2"/>
  <c r="FD322" i="2"/>
  <c r="FC322" i="2"/>
  <c r="FA322" i="2"/>
  <c r="FB322" i="2" s="1"/>
  <c r="EZ322" i="2"/>
  <c r="EY322" i="2"/>
  <c r="EX322" i="2"/>
  <c r="EW322" i="2"/>
  <c r="EV322" i="2"/>
  <c r="EU322" i="2"/>
  <c r="ET322" i="2"/>
  <c r="ES322" i="2"/>
  <c r="ER322" i="2"/>
  <c r="EQ322" i="2"/>
  <c r="EP322" i="2"/>
  <c r="EN322" i="2"/>
  <c r="EO322" i="2" s="1"/>
  <c r="EM322" i="2"/>
  <c r="EL322" i="2"/>
  <c r="EK322" i="2"/>
  <c r="EJ322" i="2"/>
  <c r="EI322" i="2"/>
  <c r="EH322" i="2"/>
  <c r="EG322" i="2"/>
  <c r="EF322" i="2"/>
  <c r="EE322" i="2"/>
  <c r="ED322" i="2"/>
  <c r="EC322" i="2"/>
  <c r="EA322" i="2"/>
  <c r="EB322" i="2" s="1"/>
  <c r="DZ322" i="2"/>
  <c r="DY322" i="2"/>
  <c r="DX322" i="2"/>
  <c r="DW322" i="2"/>
  <c r="DV322" i="2"/>
  <c r="DU322" i="2"/>
  <c r="DT322" i="2"/>
  <c r="DS322" i="2"/>
  <c r="DR322" i="2"/>
  <c r="DQ322" i="2"/>
  <c r="DP322" i="2"/>
  <c r="DO322" i="2"/>
  <c r="DN322" i="2"/>
  <c r="DM322" i="2"/>
  <c r="DL322" i="2"/>
  <c r="DK322" i="2"/>
  <c r="DJ322" i="2"/>
  <c r="DI322" i="2"/>
  <c r="DH322" i="2"/>
  <c r="DG322" i="2"/>
  <c r="DF322" i="2"/>
  <c r="DE322" i="2"/>
  <c r="DD322" i="2"/>
  <c r="DC322" i="2"/>
  <c r="DA322" i="2"/>
  <c r="DB322" i="2" s="1"/>
  <c r="CZ322" i="2"/>
  <c r="CY322" i="2"/>
  <c r="CX322" i="2"/>
  <c r="CW322" i="2"/>
  <c r="CV322" i="2"/>
  <c r="CU322" i="2"/>
  <c r="CT322" i="2"/>
  <c r="CS322" i="2"/>
  <c r="CR322" i="2"/>
  <c r="CQ322" i="2"/>
  <c r="CP322" i="2"/>
  <c r="CN322" i="2"/>
  <c r="CO322" i="2" s="1"/>
  <c r="CM322" i="2"/>
  <c r="CL322" i="2"/>
  <c r="CK322" i="2"/>
  <c r="CJ322" i="2"/>
  <c r="CI322" i="2"/>
  <c r="CH322" i="2"/>
  <c r="CG322" i="2"/>
  <c r="CF322" i="2"/>
  <c r="CE322" i="2"/>
  <c r="CD322" i="2"/>
  <c r="CC322" i="2"/>
  <c r="CA322" i="2"/>
  <c r="CB322" i="2" s="1"/>
  <c r="BZ322" i="2"/>
  <c r="BY322" i="2"/>
  <c r="BX322" i="2"/>
  <c r="BW322" i="2"/>
  <c r="BV322" i="2"/>
  <c r="BU322" i="2"/>
  <c r="BT322" i="2"/>
  <c r="BS322" i="2"/>
  <c r="BR322" i="2"/>
  <c r="BQ322" i="2"/>
  <c r="BP322" i="2"/>
  <c r="BN322" i="2"/>
  <c r="BO322" i="2" s="1"/>
  <c r="BM322" i="2"/>
  <c r="BL322" i="2"/>
  <c r="BK322" i="2"/>
  <c r="BJ322" i="2"/>
  <c r="BI322" i="2"/>
  <c r="BH322" i="2"/>
  <c r="BG322" i="2"/>
  <c r="BF322" i="2"/>
  <c r="BE322" i="2"/>
  <c r="BD322" i="2"/>
  <c r="BC322" i="2"/>
  <c r="BA322" i="2"/>
  <c r="BB322" i="2" s="1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A322" i="2"/>
  <c r="AB322" i="2" s="1"/>
  <c r="Z322" i="2"/>
  <c r="Y322" i="2"/>
  <c r="X322" i="2"/>
  <c r="W322" i="2"/>
  <c r="V322" i="2"/>
  <c r="U322" i="2"/>
  <c r="T322" i="2"/>
  <c r="S322" i="2"/>
  <c r="R322" i="2"/>
  <c r="Q322" i="2"/>
  <c r="P322" i="2"/>
  <c r="N322" i="2"/>
  <c r="O322" i="2" s="1"/>
  <c r="M322" i="2"/>
  <c r="L322" i="2"/>
  <c r="K322" i="2"/>
  <c r="J322" i="2"/>
  <c r="I322" i="2"/>
  <c r="H322" i="2"/>
  <c r="G322" i="2"/>
  <c r="F322" i="2"/>
  <c r="E322" i="2"/>
  <c r="D322" i="2"/>
  <c r="C322" i="2"/>
  <c r="FI321" i="2"/>
  <c r="FO321" i="2" s="1"/>
  <c r="FH321" i="2"/>
  <c r="FG321" i="2"/>
  <c r="FF321" i="2"/>
  <c r="FE321" i="2"/>
  <c r="FD321" i="2"/>
  <c r="FC321" i="2"/>
  <c r="FA321" i="2"/>
  <c r="FB321" i="2" s="1"/>
  <c r="EZ321" i="2"/>
  <c r="EY321" i="2"/>
  <c r="EX321" i="2"/>
  <c r="EW321" i="2"/>
  <c r="EV321" i="2"/>
  <c r="EU321" i="2"/>
  <c r="ET321" i="2"/>
  <c r="ES321" i="2"/>
  <c r="ER321" i="2"/>
  <c r="EQ321" i="2"/>
  <c r="EP321" i="2"/>
  <c r="EN321" i="2"/>
  <c r="EO321" i="2" s="1"/>
  <c r="EM321" i="2"/>
  <c r="EL321" i="2"/>
  <c r="EK321" i="2"/>
  <c r="EJ321" i="2"/>
  <c r="EI321" i="2"/>
  <c r="EH321" i="2"/>
  <c r="EG321" i="2"/>
  <c r="EF321" i="2"/>
  <c r="EE321" i="2"/>
  <c r="ED321" i="2"/>
  <c r="EC321" i="2"/>
  <c r="EB321" i="2"/>
  <c r="EA321" i="2"/>
  <c r="DZ321" i="2"/>
  <c r="DY321" i="2"/>
  <c r="DX321" i="2"/>
  <c r="DW321" i="2"/>
  <c r="DV321" i="2"/>
  <c r="DU321" i="2"/>
  <c r="DT321" i="2"/>
  <c r="DS321" i="2"/>
  <c r="DR321" i="2"/>
  <c r="DQ321" i="2"/>
  <c r="DP321" i="2"/>
  <c r="DN321" i="2"/>
  <c r="DO321" i="2" s="1"/>
  <c r="DM321" i="2"/>
  <c r="DL321" i="2"/>
  <c r="DK321" i="2"/>
  <c r="DJ321" i="2"/>
  <c r="DI321" i="2"/>
  <c r="DH321" i="2"/>
  <c r="DG321" i="2"/>
  <c r="DF321" i="2"/>
  <c r="DE321" i="2"/>
  <c r="DD321" i="2"/>
  <c r="DC321" i="2"/>
  <c r="DB321" i="2"/>
  <c r="DA321" i="2"/>
  <c r="CZ321" i="2"/>
  <c r="CY321" i="2"/>
  <c r="CX321" i="2"/>
  <c r="CW321" i="2"/>
  <c r="CV321" i="2"/>
  <c r="CU321" i="2"/>
  <c r="CT321" i="2"/>
  <c r="CS321" i="2"/>
  <c r="CR321" i="2"/>
  <c r="CQ321" i="2"/>
  <c r="CP321" i="2"/>
  <c r="CN321" i="2"/>
  <c r="CO321" i="2" s="1"/>
  <c r="CM321" i="2"/>
  <c r="CL321" i="2"/>
  <c r="CK321" i="2"/>
  <c r="CJ321" i="2"/>
  <c r="CI321" i="2"/>
  <c r="CH321" i="2"/>
  <c r="CG321" i="2"/>
  <c r="CF321" i="2"/>
  <c r="CE321" i="2"/>
  <c r="CD321" i="2"/>
  <c r="CC321" i="2"/>
  <c r="CA321" i="2"/>
  <c r="CB321" i="2" s="1"/>
  <c r="BZ321" i="2"/>
  <c r="BY321" i="2"/>
  <c r="BX321" i="2"/>
  <c r="BW321" i="2"/>
  <c r="BV321" i="2"/>
  <c r="BU321" i="2"/>
  <c r="BT321" i="2"/>
  <c r="BS321" i="2"/>
  <c r="BR321" i="2"/>
  <c r="BQ321" i="2"/>
  <c r="BP321" i="2"/>
  <c r="BO321" i="2"/>
  <c r="BN321" i="2"/>
  <c r="BM321" i="2"/>
  <c r="BL321" i="2"/>
  <c r="BK321" i="2"/>
  <c r="BJ321" i="2"/>
  <c r="BI321" i="2"/>
  <c r="BH321" i="2"/>
  <c r="BG321" i="2"/>
  <c r="BF321" i="2"/>
  <c r="BE321" i="2"/>
  <c r="BD321" i="2"/>
  <c r="BC321" i="2"/>
  <c r="BA321" i="2"/>
  <c r="BB321" i="2" s="1"/>
  <c r="AZ321" i="2"/>
  <c r="AY321" i="2"/>
  <c r="AX321" i="2"/>
  <c r="AW321" i="2"/>
  <c r="AV321" i="2"/>
  <c r="AU321" i="2"/>
  <c r="AT321" i="2"/>
  <c r="AS321" i="2"/>
  <c r="AR321" i="2"/>
  <c r="AQ321" i="2"/>
  <c r="AP321" i="2"/>
  <c r="AN321" i="2"/>
  <c r="AO321" i="2" s="1"/>
  <c r="AM321" i="2"/>
  <c r="AL321" i="2"/>
  <c r="AK321" i="2"/>
  <c r="AJ321" i="2"/>
  <c r="AI321" i="2"/>
  <c r="AH321" i="2"/>
  <c r="AG321" i="2"/>
  <c r="AF321" i="2"/>
  <c r="AE321" i="2"/>
  <c r="AD321" i="2"/>
  <c r="AC321" i="2"/>
  <c r="AA321" i="2"/>
  <c r="AB321" i="2" s="1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FI320" i="2"/>
  <c r="FO320" i="2" s="1"/>
  <c r="FH320" i="2"/>
  <c r="FG320" i="2"/>
  <c r="FF320" i="2"/>
  <c r="FE320" i="2"/>
  <c r="FD320" i="2"/>
  <c r="FC320" i="2"/>
  <c r="FA320" i="2"/>
  <c r="FB320" i="2" s="1"/>
  <c r="EZ320" i="2"/>
  <c r="EY320" i="2"/>
  <c r="EX320" i="2"/>
  <c r="EW320" i="2"/>
  <c r="EV320" i="2"/>
  <c r="EU320" i="2"/>
  <c r="ET320" i="2"/>
  <c r="ES320" i="2"/>
  <c r="ER320" i="2"/>
  <c r="EQ320" i="2"/>
  <c r="EP320" i="2"/>
  <c r="EN320" i="2"/>
  <c r="EO320" i="2" s="1"/>
  <c r="EM320" i="2"/>
  <c r="EL320" i="2"/>
  <c r="EK320" i="2"/>
  <c r="EJ320" i="2"/>
  <c r="EI320" i="2"/>
  <c r="EH320" i="2"/>
  <c r="EG320" i="2"/>
  <c r="EF320" i="2"/>
  <c r="EE320" i="2"/>
  <c r="ED320" i="2"/>
  <c r="EC320" i="2"/>
  <c r="EA320" i="2"/>
  <c r="EB320" i="2" s="1"/>
  <c r="DZ320" i="2"/>
  <c r="DY320" i="2"/>
  <c r="DX320" i="2"/>
  <c r="DW320" i="2"/>
  <c r="DV320" i="2"/>
  <c r="DU320" i="2"/>
  <c r="DT320" i="2"/>
  <c r="DS320" i="2"/>
  <c r="DR320" i="2"/>
  <c r="DQ320" i="2"/>
  <c r="DP320" i="2"/>
  <c r="DO320" i="2"/>
  <c r="DN320" i="2"/>
  <c r="DM320" i="2"/>
  <c r="DL320" i="2"/>
  <c r="DK320" i="2"/>
  <c r="DJ320" i="2"/>
  <c r="DI320" i="2"/>
  <c r="DH320" i="2"/>
  <c r="DG320" i="2"/>
  <c r="DF320" i="2"/>
  <c r="DE320" i="2"/>
  <c r="DD320" i="2"/>
  <c r="DC320" i="2"/>
  <c r="DA320" i="2"/>
  <c r="DB320" i="2" s="1"/>
  <c r="CZ320" i="2"/>
  <c r="CY320" i="2"/>
  <c r="CX320" i="2"/>
  <c r="CW320" i="2"/>
  <c r="CV320" i="2"/>
  <c r="CU320" i="2"/>
  <c r="CT320" i="2"/>
  <c r="CS320" i="2"/>
  <c r="CR320" i="2"/>
  <c r="CQ320" i="2"/>
  <c r="CP320" i="2"/>
  <c r="CO320" i="2"/>
  <c r="CN320" i="2"/>
  <c r="CM320" i="2"/>
  <c r="CL320" i="2"/>
  <c r="CK320" i="2"/>
  <c r="CJ320" i="2"/>
  <c r="CI320" i="2"/>
  <c r="CH320" i="2"/>
  <c r="CG320" i="2"/>
  <c r="CF320" i="2"/>
  <c r="CE320" i="2"/>
  <c r="CD320" i="2"/>
  <c r="CC320" i="2"/>
  <c r="CB320" i="2"/>
  <c r="CA320" i="2"/>
  <c r="BZ320" i="2"/>
  <c r="BY320" i="2"/>
  <c r="BX320" i="2"/>
  <c r="BW320" i="2"/>
  <c r="BV320" i="2"/>
  <c r="BU320" i="2"/>
  <c r="BT320" i="2"/>
  <c r="BS320" i="2"/>
  <c r="BR320" i="2"/>
  <c r="BQ320" i="2"/>
  <c r="BP320" i="2"/>
  <c r="BN320" i="2"/>
  <c r="BO320" i="2" s="1"/>
  <c r="BM320" i="2"/>
  <c r="BL320" i="2"/>
  <c r="BK320" i="2"/>
  <c r="BJ320" i="2"/>
  <c r="BI320" i="2"/>
  <c r="BH320" i="2"/>
  <c r="BG320" i="2"/>
  <c r="BF320" i="2"/>
  <c r="BE320" i="2"/>
  <c r="BD320" i="2"/>
  <c r="BC320" i="2"/>
  <c r="BA320" i="2"/>
  <c r="BB320" i="2" s="1"/>
  <c r="AZ320" i="2"/>
  <c r="AY320" i="2"/>
  <c r="AX320" i="2"/>
  <c r="AW320" i="2"/>
  <c r="AV320" i="2"/>
  <c r="AU320" i="2"/>
  <c r="AT320" i="2"/>
  <c r="AS320" i="2"/>
  <c r="AR320" i="2"/>
  <c r="AQ320" i="2"/>
  <c r="AP320" i="2"/>
  <c r="AN320" i="2"/>
  <c r="AO320" i="2" s="1"/>
  <c r="AM320" i="2"/>
  <c r="AL320" i="2"/>
  <c r="AK320" i="2"/>
  <c r="AJ320" i="2"/>
  <c r="AI320" i="2"/>
  <c r="AH320" i="2"/>
  <c r="AG320" i="2"/>
  <c r="AF320" i="2"/>
  <c r="AE320" i="2"/>
  <c r="AD320" i="2"/>
  <c r="AC320" i="2"/>
  <c r="AA320" i="2"/>
  <c r="AB320" i="2" s="1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FI319" i="2"/>
  <c r="FO319" i="2" s="1"/>
  <c r="FH319" i="2"/>
  <c r="FG319" i="2"/>
  <c r="FF319" i="2"/>
  <c r="FE319" i="2"/>
  <c r="FD319" i="2"/>
  <c r="FC319" i="2"/>
  <c r="FB319" i="2"/>
  <c r="FA319" i="2"/>
  <c r="EZ319" i="2"/>
  <c r="EY319" i="2"/>
  <c r="EX319" i="2"/>
  <c r="EW319" i="2"/>
  <c r="EV319" i="2"/>
  <c r="EU319" i="2"/>
  <c r="ET319" i="2"/>
  <c r="ES319" i="2"/>
  <c r="ER319" i="2"/>
  <c r="EQ319" i="2"/>
  <c r="EP319" i="2"/>
  <c r="EN319" i="2"/>
  <c r="EO319" i="2" s="1"/>
  <c r="EM319" i="2"/>
  <c r="EL319" i="2"/>
  <c r="EK319" i="2"/>
  <c r="EJ319" i="2"/>
  <c r="EI319" i="2"/>
  <c r="EH319" i="2"/>
  <c r="EG319" i="2"/>
  <c r="EF319" i="2"/>
  <c r="EE319" i="2"/>
  <c r="ED319" i="2"/>
  <c r="EC319" i="2"/>
  <c r="EA319" i="2"/>
  <c r="EB319" i="2" s="1"/>
  <c r="DZ319" i="2"/>
  <c r="DY319" i="2"/>
  <c r="DX319" i="2"/>
  <c r="DW319" i="2"/>
  <c r="DV319" i="2"/>
  <c r="DU319" i="2"/>
  <c r="DT319" i="2"/>
  <c r="DS319" i="2"/>
  <c r="DR319" i="2"/>
  <c r="DQ319" i="2"/>
  <c r="DP319" i="2"/>
  <c r="DO319" i="2"/>
  <c r="DN319" i="2"/>
  <c r="DM319" i="2"/>
  <c r="DL319" i="2"/>
  <c r="DK319" i="2"/>
  <c r="DJ319" i="2"/>
  <c r="DI319" i="2"/>
  <c r="DH319" i="2"/>
  <c r="DG319" i="2"/>
  <c r="DF319" i="2"/>
  <c r="DE319" i="2"/>
  <c r="DD319" i="2"/>
  <c r="DC319" i="2"/>
  <c r="DA319" i="2"/>
  <c r="DB319" i="2" s="1"/>
  <c r="CZ319" i="2"/>
  <c r="CY319" i="2"/>
  <c r="CX319" i="2"/>
  <c r="CW319" i="2"/>
  <c r="CV319" i="2"/>
  <c r="CU319" i="2"/>
  <c r="CT319" i="2"/>
  <c r="CS319" i="2"/>
  <c r="CR319" i="2"/>
  <c r="CQ319" i="2"/>
  <c r="CP319" i="2"/>
  <c r="CN319" i="2"/>
  <c r="CO319" i="2" s="1"/>
  <c r="CM319" i="2"/>
  <c r="CL319" i="2"/>
  <c r="CK319" i="2"/>
  <c r="CJ319" i="2"/>
  <c r="CI319" i="2"/>
  <c r="CH319" i="2"/>
  <c r="CG319" i="2"/>
  <c r="CF319" i="2"/>
  <c r="CE319" i="2"/>
  <c r="CD319" i="2"/>
  <c r="CC319" i="2"/>
  <c r="CA319" i="2"/>
  <c r="CB319" i="2" s="1"/>
  <c r="BZ319" i="2"/>
  <c r="BY319" i="2"/>
  <c r="BX319" i="2"/>
  <c r="BW319" i="2"/>
  <c r="BV319" i="2"/>
  <c r="BU319" i="2"/>
  <c r="BT319" i="2"/>
  <c r="BS319" i="2"/>
  <c r="BR319" i="2"/>
  <c r="BQ319" i="2"/>
  <c r="BP319" i="2"/>
  <c r="BN319" i="2"/>
  <c r="BO319" i="2" s="1"/>
  <c r="BM319" i="2"/>
  <c r="BL319" i="2"/>
  <c r="BK319" i="2"/>
  <c r="BJ319" i="2"/>
  <c r="BI319" i="2"/>
  <c r="BH319" i="2"/>
  <c r="BG319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N319" i="2"/>
  <c r="AO319" i="2" s="1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N319" i="2"/>
  <c r="O319" i="2" s="1"/>
  <c r="M319" i="2"/>
  <c r="L319" i="2"/>
  <c r="K319" i="2"/>
  <c r="J319" i="2"/>
  <c r="I319" i="2"/>
  <c r="H319" i="2"/>
  <c r="G319" i="2"/>
  <c r="F319" i="2"/>
  <c r="E319" i="2"/>
  <c r="D319" i="2"/>
  <c r="C319" i="2"/>
  <c r="FI318" i="2"/>
  <c r="FO318" i="2" s="1"/>
  <c r="FH318" i="2"/>
  <c r="FG318" i="2"/>
  <c r="FF318" i="2"/>
  <c r="FE318" i="2"/>
  <c r="FD318" i="2"/>
  <c r="FC318" i="2"/>
  <c r="FA318" i="2"/>
  <c r="FB318" i="2" s="1"/>
  <c r="EZ318" i="2"/>
  <c r="EY318" i="2"/>
  <c r="EX318" i="2"/>
  <c r="EW318" i="2"/>
  <c r="EV318" i="2"/>
  <c r="EU318" i="2"/>
  <c r="ET318" i="2"/>
  <c r="ES318" i="2"/>
  <c r="ER318" i="2"/>
  <c r="EQ318" i="2"/>
  <c r="EP318" i="2"/>
  <c r="EO318" i="2"/>
  <c r="EN318" i="2"/>
  <c r="EM318" i="2"/>
  <c r="EL318" i="2"/>
  <c r="EK318" i="2"/>
  <c r="EJ318" i="2"/>
  <c r="EI318" i="2"/>
  <c r="EH318" i="2"/>
  <c r="EG318" i="2"/>
  <c r="EF318" i="2"/>
  <c r="EE318" i="2"/>
  <c r="ED318" i="2"/>
  <c r="EC318" i="2"/>
  <c r="EA318" i="2"/>
  <c r="EB318" i="2" s="1"/>
  <c r="DZ318" i="2"/>
  <c r="DY318" i="2"/>
  <c r="DX318" i="2"/>
  <c r="DW318" i="2"/>
  <c r="DV318" i="2"/>
  <c r="DU318" i="2"/>
  <c r="DT318" i="2"/>
  <c r="DS318" i="2"/>
  <c r="DR318" i="2"/>
  <c r="DQ318" i="2"/>
  <c r="DP318" i="2"/>
  <c r="DN318" i="2"/>
  <c r="DO318" i="2" s="1"/>
  <c r="DM318" i="2"/>
  <c r="DL318" i="2"/>
  <c r="DK318" i="2"/>
  <c r="DJ318" i="2"/>
  <c r="DI318" i="2"/>
  <c r="DH318" i="2"/>
  <c r="DG318" i="2"/>
  <c r="DF318" i="2"/>
  <c r="DE318" i="2"/>
  <c r="DD318" i="2"/>
  <c r="DC318" i="2"/>
  <c r="DA318" i="2"/>
  <c r="DB318" i="2" s="1"/>
  <c r="CZ318" i="2"/>
  <c r="CY318" i="2"/>
  <c r="CX318" i="2"/>
  <c r="CW318" i="2"/>
  <c r="CV318" i="2"/>
  <c r="CU318" i="2"/>
  <c r="CT318" i="2"/>
  <c r="CS318" i="2"/>
  <c r="CR318" i="2"/>
  <c r="CQ318" i="2"/>
  <c r="CP318" i="2"/>
  <c r="CN318" i="2"/>
  <c r="CO318" i="2" s="1"/>
  <c r="CM318" i="2"/>
  <c r="CL318" i="2"/>
  <c r="CK318" i="2"/>
  <c r="CJ318" i="2"/>
  <c r="CI318" i="2"/>
  <c r="CH318" i="2"/>
  <c r="CG318" i="2"/>
  <c r="CF318" i="2"/>
  <c r="CE318" i="2"/>
  <c r="CD318" i="2"/>
  <c r="CC318" i="2"/>
  <c r="CA318" i="2"/>
  <c r="CB318" i="2" s="1"/>
  <c r="BZ318" i="2"/>
  <c r="BY318" i="2"/>
  <c r="BX318" i="2"/>
  <c r="BW318" i="2"/>
  <c r="BV318" i="2"/>
  <c r="BU318" i="2"/>
  <c r="BT318" i="2"/>
  <c r="BS318" i="2"/>
  <c r="BR318" i="2"/>
  <c r="BQ318" i="2"/>
  <c r="BP318" i="2"/>
  <c r="BN318" i="2"/>
  <c r="BO318" i="2" s="1"/>
  <c r="BM318" i="2"/>
  <c r="BL318" i="2"/>
  <c r="BK318" i="2"/>
  <c r="BJ318" i="2"/>
  <c r="BI318" i="2"/>
  <c r="BH318" i="2"/>
  <c r="BG318" i="2"/>
  <c r="BF318" i="2"/>
  <c r="BE318" i="2"/>
  <c r="BD318" i="2"/>
  <c r="BC318" i="2"/>
  <c r="BA318" i="2"/>
  <c r="BB318" i="2" s="1"/>
  <c r="AZ318" i="2"/>
  <c r="AY318" i="2"/>
  <c r="AX318" i="2"/>
  <c r="AW318" i="2"/>
  <c r="AV318" i="2"/>
  <c r="AU318" i="2"/>
  <c r="AT318" i="2"/>
  <c r="AS318" i="2"/>
  <c r="AR318" i="2"/>
  <c r="AQ318" i="2"/>
  <c r="AP318" i="2"/>
  <c r="AN318" i="2"/>
  <c r="AO318" i="2" s="1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N318" i="2"/>
  <c r="O318" i="2" s="1"/>
  <c r="M318" i="2"/>
  <c r="L318" i="2"/>
  <c r="K318" i="2"/>
  <c r="J318" i="2"/>
  <c r="I318" i="2"/>
  <c r="H318" i="2"/>
  <c r="G318" i="2"/>
  <c r="F318" i="2"/>
  <c r="E318" i="2"/>
  <c r="D318" i="2"/>
  <c r="C318" i="2"/>
  <c r="FO317" i="2"/>
  <c r="FI317" i="2"/>
  <c r="FH317" i="2"/>
  <c r="FG317" i="2"/>
  <c r="FF317" i="2"/>
  <c r="FE317" i="2"/>
  <c r="FD317" i="2"/>
  <c r="FC317" i="2"/>
  <c r="FA317" i="2"/>
  <c r="FB317" i="2" s="1"/>
  <c r="EZ317" i="2"/>
  <c r="EY317" i="2"/>
  <c r="EX317" i="2"/>
  <c r="EW317" i="2"/>
  <c r="EV317" i="2"/>
  <c r="EU317" i="2"/>
  <c r="ET317" i="2"/>
  <c r="ES317" i="2"/>
  <c r="ER317" i="2"/>
  <c r="EQ317" i="2"/>
  <c r="EP317" i="2"/>
  <c r="EN317" i="2"/>
  <c r="EO317" i="2" s="1"/>
  <c r="EM317" i="2"/>
  <c r="EL317" i="2"/>
  <c r="EK317" i="2"/>
  <c r="EJ317" i="2"/>
  <c r="EI317" i="2"/>
  <c r="EH317" i="2"/>
  <c r="EG317" i="2"/>
  <c r="EF317" i="2"/>
  <c r="EE317" i="2"/>
  <c r="ED317" i="2"/>
  <c r="EC317" i="2"/>
  <c r="EA317" i="2"/>
  <c r="EB317" i="2" s="1"/>
  <c r="DZ317" i="2"/>
  <c r="DY317" i="2"/>
  <c r="DX317" i="2"/>
  <c r="DW317" i="2"/>
  <c r="DV317" i="2"/>
  <c r="DU317" i="2"/>
  <c r="DT317" i="2"/>
  <c r="DS317" i="2"/>
  <c r="DR317" i="2"/>
  <c r="DQ317" i="2"/>
  <c r="DP317" i="2"/>
  <c r="DO317" i="2"/>
  <c r="DN317" i="2"/>
  <c r="DM317" i="2"/>
  <c r="DL317" i="2"/>
  <c r="DK317" i="2"/>
  <c r="DJ317" i="2"/>
  <c r="DI317" i="2"/>
  <c r="DH317" i="2"/>
  <c r="DG317" i="2"/>
  <c r="DF317" i="2"/>
  <c r="DE317" i="2"/>
  <c r="DD317" i="2"/>
  <c r="DC317" i="2"/>
  <c r="DA317" i="2"/>
  <c r="DB317" i="2" s="1"/>
  <c r="CZ317" i="2"/>
  <c r="CY317" i="2"/>
  <c r="CX317" i="2"/>
  <c r="CW317" i="2"/>
  <c r="CV317" i="2"/>
  <c r="CU317" i="2"/>
  <c r="CT317" i="2"/>
  <c r="CS317" i="2"/>
  <c r="CR317" i="2"/>
  <c r="CQ317" i="2"/>
  <c r="CP317" i="2"/>
  <c r="CN317" i="2"/>
  <c r="CO317" i="2" s="1"/>
  <c r="CM317" i="2"/>
  <c r="CL317" i="2"/>
  <c r="CK317" i="2"/>
  <c r="CJ317" i="2"/>
  <c r="CI317" i="2"/>
  <c r="CH317" i="2"/>
  <c r="CG317" i="2"/>
  <c r="CF317" i="2"/>
  <c r="CE317" i="2"/>
  <c r="CD317" i="2"/>
  <c r="CC317" i="2"/>
  <c r="CB317" i="2"/>
  <c r="CA317" i="2"/>
  <c r="BZ317" i="2"/>
  <c r="BY317" i="2"/>
  <c r="BX317" i="2"/>
  <c r="BW317" i="2"/>
  <c r="BV317" i="2"/>
  <c r="BU317" i="2"/>
  <c r="BT317" i="2"/>
  <c r="BS317" i="2"/>
  <c r="BR317" i="2"/>
  <c r="BQ317" i="2"/>
  <c r="BP317" i="2"/>
  <c r="BN317" i="2"/>
  <c r="BO317" i="2" s="1"/>
  <c r="BM317" i="2"/>
  <c r="BL317" i="2"/>
  <c r="BK317" i="2"/>
  <c r="BJ317" i="2"/>
  <c r="BI317" i="2"/>
  <c r="BH317" i="2"/>
  <c r="BG317" i="2"/>
  <c r="BF317" i="2"/>
  <c r="BE317" i="2"/>
  <c r="BD317" i="2"/>
  <c r="BC317" i="2"/>
  <c r="BA317" i="2"/>
  <c r="BB317" i="2" s="1"/>
  <c r="AZ317" i="2"/>
  <c r="AY317" i="2"/>
  <c r="AX317" i="2"/>
  <c r="AW317" i="2"/>
  <c r="AV317" i="2"/>
  <c r="AU317" i="2"/>
  <c r="AT317" i="2"/>
  <c r="AS317" i="2"/>
  <c r="AR317" i="2"/>
  <c r="AQ317" i="2"/>
  <c r="AP317" i="2"/>
  <c r="AN317" i="2"/>
  <c r="AO317" i="2" s="1"/>
  <c r="AM317" i="2"/>
  <c r="AL317" i="2"/>
  <c r="AK317" i="2"/>
  <c r="AJ317" i="2"/>
  <c r="AI317" i="2"/>
  <c r="AH317" i="2"/>
  <c r="AG317" i="2"/>
  <c r="AF317" i="2"/>
  <c r="AE317" i="2"/>
  <c r="AD317" i="2"/>
  <c r="AC317" i="2"/>
  <c r="AA317" i="2"/>
  <c r="AB317" i="2" s="1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FI316" i="2"/>
  <c r="FO316" i="2" s="1"/>
  <c r="FH316" i="2"/>
  <c r="FG316" i="2"/>
  <c r="FF316" i="2"/>
  <c r="FE316" i="2"/>
  <c r="FD316" i="2"/>
  <c r="FC316" i="2"/>
  <c r="FB316" i="2"/>
  <c r="FA316" i="2"/>
  <c r="EZ316" i="2"/>
  <c r="EY316" i="2"/>
  <c r="EX316" i="2"/>
  <c r="EW316" i="2"/>
  <c r="EV316" i="2"/>
  <c r="EU316" i="2"/>
  <c r="ET316" i="2"/>
  <c r="ES316" i="2"/>
  <c r="ER316" i="2"/>
  <c r="EQ316" i="2"/>
  <c r="EP316" i="2"/>
  <c r="EN316" i="2"/>
  <c r="EO316" i="2" s="1"/>
  <c r="EM316" i="2"/>
  <c r="EL316" i="2"/>
  <c r="EK316" i="2"/>
  <c r="EJ316" i="2"/>
  <c r="EI316" i="2"/>
  <c r="EH316" i="2"/>
  <c r="EG316" i="2"/>
  <c r="EF316" i="2"/>
  <c r="EE316" i="2"/>
  <c r="ED316" i="2"/>
  <c r="EC316" i="2"/>
  <c r="EA316" i="2"/>
  <c r="EB316" i="2" s="1"/>
  <c r="DZ316" i="2"/>
  <c r="DY316" i="2"/>
  <c r="DX316" i="2"/>
  <c r="DW316" i="2"/>
  <c r="DV316" i="2"/>
  <c r="DU316" i="2"/>
  <c r="DT316" i="2"/>
  <c r="DS316" i="2"/>
  <c r="DR316" i="2"/>
  <c r="DQ316" i="2"/>
  <c r="DP316" i="2"/>
  <c r="DO316" i="2"/>
  <c r="DN316" i="2"/>
  <c r="DM316" i="2"/>
  <c r="DL316" i="2"/>
  <c r="DK316" i="2"/>
  <c r="DJ316" i="2"/>
  <c r="DI316" i="2"/>
  <c r="DH316" i="2"/>
  <c r="DG316" i="2"/>
  <c r="DF316" i="2"/>
  <c r="DE316" i="2"/>
  <c r="DD316" i="2"/>
  <c r="DC316" i="2"/>
  <c r="DA316" i="2"/>
  <c r="DB316" i="2" s="1"/>
  <c r="CZ316" i="2"/>
  <c r="CY316" i="2"/>
  <c r="CX316" i="2"/>
  <c r="CW316" i="2"/>
  <c r="CV316" i="2"/>
  <c r="CU316" i="2"/>
  <c r="CT316" i="2"/>
  <c r="CS316" i="2"/>
  <c r="CR316" i="2"/>
  <c r="CQ316" i="2"/>
  <c r="CP316" i="2"/>
  <c r="CN316" i="2"/>
  <c r="CO316" i="2" s="1"/>
  <c r="CM316" i="2"/>
  <c r="CL316" i="2"/>
  <c r="CK316" i="2"/>
  <c r="CJ316" i="2"/>
  <c r="CI316" i="2"/>
  <c r="CH316" i="2"/>
  <c r="CG316" i="2"/>
  <c r="CF316" i="2"/>
  <c r="CE316" i="2"/>
  <c r="CD316" i="2"/>
  <c r="CC316" i="2"/>
  <c r="CA316" i="2"/>
  <c r="CB316" i="2" s="1"/>
  <c r="BZ316" i="2"/>
  <c r="BY316" i="2"/>
  <c r="BX316" i="2"/>
  <c r="BW316" i="2"/>
  <c r="BV316" i="2"/>
  <c r="BU316" i="2"/>
  <c r="BT316" i="2"/>
  <c r="BS316" i="2"/>
  <c r="BR316" i="2"/>
  <c r="BQ316" i="2"/>
  <c r="BP316" i="2"/>
  <c r="BN316" i="2"/>
  <c r="BO316" i="2" s="1"/>
  <c r="BM316" i="2"/>
  <c r="BL316" i="2"/>
  <c r="BK316" i="2"/>
  <c r="BJ316" i="2"/>
  <c r="BI316" i="2"/>
  <c r="BH316" i="2"/>
  <c r="BG316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N316" i="2"/>
  <c r="AO316" i="2" s="1"/>
  <c r="AM316" i="2"/>
  <c r="AL316" i="2"/>
  <c r="AK316" i="2"/>
  <c r="AJ316" i="2"/>
  <c r="AI316" i="2"/>
  <c r="AH316" i="2"/>
  <c r="AG316" i="2"/>
  <c r="AF316" i="2"/>
  <c r="AE316" i="2"/>
  <c r="AD316" i="2"/>
  <c r="AC316" i="2"/>
  <c r="AA316" i="2"/>
  <c r="AB316" i="2" s="1"/>
  <c r="Z316" i="2"/>
  <c r="Y316" i="2"/>
  <c r="X316" i="2"/>
  <c r="W316" i="2"/>
  <c r="V316" i="2"/>
  <c r="U316" i="2"/>
  <c r="T316" i="2"/>
  <c r="S316" i="2"/>
  <c r="R316" i="2"/>
  <c r="Q316" i="2"/>
  <c r="P316" i="2"/>
  <c r="N316" i="2"/>
  <c r="O316" i="2" s="1"/>
  <c r="M316" i="2"/>
  <c r="L316" i="2"/>
  <c r="K316" i="2"/>
  <c r="J316" i="2"/>
  <c r="I316" i="2"/>
  <c r="H316" i="2"/>
  <c r="G316" i="2"/>
  <c r="F316" i="2"/>
  <c r="E316" i="2"/>
  <c r="D316" i="2"/>
  <c r="C316" i="2"/>
  <c r="FI315" i="2"/>
  <c r="FO315" i="2" s="1"/>
  <c r="FH315" i="2"/>
  <c r="FG315" i="2"/>
  <c r="FF315" i="2"/>
  <c r="FE315" i="2"/>
  <c r="FD315" i="2"/>
  <c r="FC315" i="2"/>
  <c r="FB315" i="2"/>
  <c r="FA315" i="2"/>
  <c r="EZ315" i="2"/>
  <c r="EY315" i="2"/>
  <c r="EX315" i="2"/>
  <c r="EW315" i="2"/>
  <c r="EV315" i="2"/>
  <c r="EU315" i="2"/>
  <c r="ET315" i="2"/>
  <c r="ES315" i="2"/>
  <c r="ER315" i="2"/>
  <c r="EQ315" i="2"/>
  <c r="EP315" i="2"/>
  <c r="EN315" i="2"/>
  <c r="EO315" i="2" s="1"/>
  <c r="EM315" i="2"/>
  <c r="EL315" i="2"/>
  <c r="EK315" i="2"/>
  <c r="EJ315" i="2"/>
  <c r="EJ334" i="2" s="1"/>
  <c r="EI315" i="2"/>
  <c r="EH315" i="2"/>
  <c r="EG315" i="2"/>
  <c r="EF315" i="2"/>
  <c r="EE315" i="2"/>
  <c r="ED315" i="2"/>
  <c r="EC315" i="2"/>
  <c r="EA315" i="2"/>
  <c r="EB315" i="2" s="1"/>
  <c r="DZ315" i="2"/>
  <c r="DY315" i="2"/>
  <c r="DX315" i="2"/>
  <c r="DW315" i="2"/>
  <c r="DV315" i="2"/>
  <c r="DU315" i="2"/>
  <c r="DT315" i="2"/>
  <c r="DS315" i="2"/>
  <c r="DR315" i="2"/>
  <c r="DQ315" i="2"/>
  <c r="DP315" i="2"/>
  <c r="DN315" i="2"/>
  <c r="DO315" i="2" s="1"/>
  <c r="DM315" i="2"/>
  <c r="DL315" i="2"/>
  <c r="DK315" i="2"/>
  <c r="DJ315" i="2"/>
  <c r="DI315" i="2"/>
  <c r="DH315" i="2"/>
  <c r="DG315" i="2"/>
  <c r="DF315" i="2"/>
  <c r="DE315" i="2"/>
  <c r="DD315" i="2"/>
  <c r="DC315" i="2"/>
  <c r="DB315" i="2"/>
  <c r="DA315" i="2"/>
  <c r="CZ315" i="2"/>
  <c r="CY315" i="2"/>
  <c r="CX315" i="2"/>
  <c r="CW315" i="2"/>
  <c r="CV315" i="2"/>
  <c r="CU315" i="2"/>
  <c r="CT315" i="2"/>
  <c r="CS315" i="2"/>
  <c r="CR315" i="2"/>
  <c r="CQ315" i="2"/>
  <c r="CP315" i="2"/>
  <c r="CN315" i="2"/>
  <c r="CO315" i="2" s="1"/>
  <c r="CM315" i="2"/>
  <c r="CL315" i="2"/>
  <c r="CK315" i="2"/>
  <c r="CJ315" i="2"/>
  <c r="CI315" i="2"/>
  <c r="CH315" i="2"/>
  <c r="CG315" i="2"/>
  <c r="CF315" i="2"/>
  <c r="CE315" i="2"/>
  <c r="CD315" i="2"/>
  <c r="CC315" i="2"/>
  <c r="CA315" i="2"/>
  <c r="CB315" i="2" s="1"/>
  <c r="BZ315" i="2"/>
  <c r="BY315" i="2"/>
  <c r="BX315" i="2"/>
  <c r="BW315" i="2"/>
  <c r="BV315" i="2"/>
  <c r="BU315" i="2"/>
  <c r="BT315" i="2"/>
  <c r="BS315" i="2"/>
  <c r="BR315" i="2"/>
  <c r="BQ315" i="2"/>
  <c r="BP315" i="2"/>
  <c r="BN315" i="2"/>
  <c r="BO315" i="2" s="1"/>
  <c r="BM315" i="2"/>
  <c r="BL315" i="2"/>
  <c r="BK315" i="2"/>
  <c r="BJ315" i="2"/>
  <c r="BI315" i="2"/>
  <c r="BH315" i="2"/>
  <c r="BG315" i="2"/>
  <c r="BF315" i="2"/>
  <c r="BE315" i="2"/>
  <c r="BD315" i="2"/>
  <c r="BC315" i="2"/>
  <c r="BA315" i="2"/>
  <c r="BB315" i="2" s="1"/>
  <c r="AZ315" i="2"/>
  <c r="AY315" i="2"/>
  <c r="AX315" i="2"/>
  <c r="AW315" i="2"/>
  <c r="AV315" i="2"/>
  <c r="AU315" i="2"/>
  <c r="AT315" i="2"/>
  <c r="AS315" i="2"/>
  <c r="AR315" i="2"/>
  <c r="AQ315" i="2"/>
  <c r="AP315" i="2"/>
  <c r="AN315" i="2"/>
  <c r="AO315" i="2" s="1"/>
  <c r="AM315" i="2"/>
  <c r="AL315" i="2"/>
  <c r="AK315" i="2"/>
  <c r="AJ315" i="2"/>
  <c r="AI315" i="2"/>
  <c r="AH315" i="2"/>
  <c r="AG315" i="2"/>
  <c r="AF315" i="2"/>
  <c r="AE315" i="2"/>
  <c r="AD315" i="2"/>
  <c r="AC315" i="2"/>
  <c r="AA315" i="2"/>
  <c r="AB315" i="2" s="1"/>
  <c r="Z315" i="2"/>
  <c r="Y315" i="2"/>
  <c r="X315" i="2"/>
  <c r="W315" i="2"/>
  <c r="V315" i="2"/>
  <c r="U315" i="2"/>
  <c r="T315" i="2"/>
  <c r="S315" i="2"/>
  <c r="R315" i="2"/>
  <c r="Q315" i="2"/>
  <c r="P315" i="2"/>
  <c r="N315" i="2"/>
  <c r="O315" i="2" s="1"/>
  <c r="M315" i="2"/>
  <c r="L315" i="2"/>
  <c r="K315" i="2"/>
  <c r="J315" i="2"/>
  <c r="I315" i="2"/>
  <c r="H315" i="2"/>
  <c r="G315" i="2"/>
  <c r="F315" i="2"/>
  <c r="E315" i="2"/>
  <c r="D315" i="2"/>
  <c r="C315" i="2"/>
  <c r="FO314" i="2"/>
  <c r="FI314" i="2"/>
  <c r="FH314" i="2"/>
  <c r="FG314" i="2"/>
  <c r="FF314" i="2"/>
  <c r="FE314" i="2"/>
  <c r="FD314" i="2"/>
  <c r="FC314" i="2"/>
  <c r="FA314" i="2"/>
  <c r="FB314" i="2" s="1"/>
  <c r="EZ314" i="2"/>
  <c r="EY314" i="2"/>
  <c r="EX314" i="2"/>
  <c r="EW314" i="2"/>
  <c r="EV314" i="2"/>
  <c r="EU314" i="2"/>
  <c r="ET314" i="2"/>
  <c r="ES314" i="2"/>
  <c r="ER314" i="2"/>
  <c r="EQ314" i="2"/>
  <c r="EP314" i="2"/>
  <c r="EN314" i="2"/>
  <c r="EO314" i="2" s="1"/>
  <c r="EM314" i="2"/>
  <c r="EL314" i="2"/>
  <c r="EK314" i="2"/>
  <c r="EJ314" i="2"/>
  <c r="EI314" i="2"/>
  <c r="EH314" i="2"/>
  <c r="EG314" i="2"/>
  <c r="EF314" i="2"/>
  <c r="EE314" i="2"/>
  <c r="ED314" i="2"/>
  <c r="EC314" i="2"/>
  <c r="EA314" i="2"/>
  <c r="EB314" i="2" s="1"/>
  <c r="DZ314" i="2"/>
  <c r="DY314" i="2"/>
  <c r="DX314" i="2"/>
  <c r="DW314" i="2"/>
  <c r="DV314" i="2"/>
  <c r="DU314" i="2"/>
  <c r="DT314" i="2"/>
  <c r="DS314" i="2"/>
  <c r="DR314" i="2"/>
  <c r="DQ314" i="2"/>
  <c r="DP314" i="2"/>
  <c r="DN314" i="2"/>
  <c r="DO314" i="2" s="1"/>
  <c r="DM314" i="2"/>
  <c r="DL314" i="2"/>
  <c r="DK314" i="2"/>
  <c r="DJ314" i="2"/>
  <c r="DI314" i="2"/>
  <c r="DH314" i="2"/>
  <c r="DG314" i="2"/>
  <c r="DF314" i="2"/>
  <c r="DE314" i="2"/>
  <c r="DD314" i="2"/>
  <c r="DC314" i="2"/>
  <c r="DA314" i="2"/>
  <c r="DB314" i="2" s="1"/>
  <c r="CZ314" i="2"/>
  <c r="CY314" i="2"/>
  <c r="CX314" i="2"/>
  <c r="CW314" i="2"/>
  <c r="CV314" i="2"/>
  <c r="CU314" i="2"/>
  <c r="CT314" i="2"/>
  <c r="CS314" i="2"/>
  <c r="CR314" i="2"/>
  <c r="CQ314" i="2"/>
  <c r="CP314" i="2"/>
  <c r="CO314" i="2"/>
  <c r="CN314" i="2"/>
  <c r="CM314" i="2"/>
  <c r="CL314" i="2"/>
  <c r="CK314" i="2"/>
  <c r="CJ314" i="2"/>
  <c r="CI314" i="2"/>
  <c r="CH314" i="2"/>
  <c r="CG314" i="2"/>
  <c r="CF314" i="2"/>
  <c r="CE314" i="2"/>
  <c r="CD314" i="2"/>
  <c r="CC314" i="2"/>
  <c r="CA314" i="2"/>
  <c r="CB314" i="2" s="1"/>
  <c r="BZ314" i="2"/>
  <c r="BY314" i="2"/>
  <c r="BX314" i="2"/>
  <c r="BW314" i="2"/>
  <c r="BV314" i="2"/>
  <c r="BU314" i="2"/>
  <c r="BT314" i="2"/>
  <c r="BS314" i="2"/>
  <c r="BR314" i="2"/>
  <c r="BQ314" i="2"/>
  <c r="BP314" i="2"/>
  <c r="BN314" i="2"/>
  <c r="BO314" i="2" s="1"/>
  <c r="BM314" i="2"/>
  <c r="BL314" i="2"/>
  <c r="BK314" i="2"/>
  <c r="BJ314" i="2"/>
  <c r="BI314" i="2"/>
  <c r="BH314" i="2"/>
  <c r="BG314" i="2"/>
  <c r="BF314" i="2"/>
  <c r="BE314" i="2"/>
  <c r="BD314" i="2"/>
  <c r="BC314" i="2"/>
  <c r="BA314" i="2"/>
  <c r="BB314" i="2" s="1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A314" i="2"/>
  <c r="AB314" i="2" s="1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FI313" i="2"/>
  <c r="FO313" i="2" s="1"/>
  <c r="FH313" i="2"/>
  <c r="FG313" i="2"/>
  <c r="FF313" i="2"/>
  <c r="FE313" i="2"/>
  <c r="FD313" i="2"/>
  <c r="FC313" i="2"/>
  <c r="FA313" i="2"/>
  <c r="FB313" i="2" s="1"/>
  <c r="EZ313" i="2"/>
  <c r="EY313" i="2"/>
  <c r="EX313" i="2"/>
  <c r="EW313" i="2"/>
  <c r="EV313" i="2"/>
  <c r="EU313" i="2"/>
  <c r="ET313" i="2"/>
  <c r="ES313" i="2"/>
  <c r="ER313" i="2"/>
  <c r="EQ313" i="2"/>
  <c r="EP313" i="2"/>
  <c r="EN313" i="2"/>
  <c r="EO313" i="2" s="1"/>
  <c r="EM313" i="2"/>
  <c r="EL313" i="2"/>
  <c r="EK313" i="2"/>
  <c r="EJ313" i="2"/>
  <c r="EI313" i="2"/>
  <c r="EH313" i="2"/>
  <c r="EG313" i="2"/>
  <c r="EF313" i="2"/>
  <c r="EE313" i="2"/>
  <c r="ED313" i="2"/>
  <c r="EC313" i="2"/>
  <c r="EA313" i="2"/>
  <c r="EB313" i="2" s="1"/>
  <c r="DZ313" i="2"/>
  <c r="DY313" i="2"/>
  <c r="DX313" i="2"/>
  <c r="DW313" i="2"/>
  <c r="DV313" i="2"/>
  <c r="DU313" i="2"/>
  <c r="DT313" i="2"/>
  <c r="DS313" i="2"/>
  <c r="DR313" i="2"/>
  <c r="DQ313" i="2"/>
  <c r="DP313" i="2"/>
  <c r="DN313" i="2"/>
  <c r="DO313" i="2" s="1"/>
  <c r="DM313" i="2"/>
  <c r="DL313" i="2"/>
  <c r="DK313" i="2"/>
  <c r="DJ313" i="2"/>
  <c r="DI313" i="2"/>
  <c r="DH313" i="2"/>
  <c r="DG313" i="2"/>
  <c r="DF313" i="2"/>
  <c r="DE313" i="2"/>
  <c r="DD313" i="2"/>
  <c r="DC313" i="2"/>
  <c r="DA313" i="2"/>
  <c r="DB313" i="2" s="1"/>
  <c r="CZ313" i="2"/>
  <c r="CY313" i="2"/>
  <c r="CX313" i="2"/>
  <c r="CW313" i="2"/>
  <c r="CV313" i="2"/>
  <c r="CU313" i="2"/>
  <c r="CT313" i="2"/>
  <c r="CS313" i="2"/>
  <c r="CR313" i="2"/>
  <c r="CQ313" i="2"/>
  <c r="CP313" i="2"/>
  <c r="CO313" i="2"/>
  <c r="CN313" i="2"/>
  <c r="CM313" i="2"/>
  <c r="CL313" i="2"/>
  <c r="CK313" i="2"/>
  <c r="CJ313" i="2"/>
  <c r="CI313" i="2"/>
  <c r="CH313" i="2"/>
  <c r="CG313" i="2"/>
  <c r="CF313" i="2"/>
  <c r="CE313" i="2"/>
  <c r="CD313" i="2"/>
  <c r="CC313" i="2"/>
  <c r="CA313" i="2"/>
  <c r="CB313" i="2" s="1"/>
  <c r="BZ313" i="2"/>
  <c r="BY313" i="2"/>
  <c r="BX313" i="2"/>
  <c r="BW313" i="2"/>
  <c r="BV313" i="2"/>
  <c r="BU313" i="2"/>
  <c r="BT313" i="2"/>
  <c r="BS313" i="2"/>
  <c r="BR313" i="2"/>
  <c r="BQ313" i="2"/>
  <c r="BP313" i="2"/>
  <c r="BO313" i="2"/>
  <c r="BN313" i="2"/>
  <c r="BM313" i="2"/>
  <c r="BL313" i="2"/>
  <c r="BK313" i="2"/>
  <c r="BJ313" i="2"/>
  <c r="BI313" i="2"/>
  <c r="BH313" i="2"/>
  <c r="BG313" i="2"/>
  <c r="BF313" i="2"/>
  <c r="BE313" i="2"/>
  <c r="BD313" i="2"/>
  <c r="BC313" i="2"/>
  <c r="BA313" i="2"/>
  <c r="BB313" i="2" s="1"/>
  <c r="AZ313" i="2"/>
  <c r="AY313" i="2"/>
  <c r="AX313" i="2"/>
  <c r="AW313" i="2"/>
  <c r="AV313" i="2"/>
  <c r="AU313" i="2"/>
  <c r="AT313" i="2"/>
  <c r="AS313" i="2"/>
  <c r="AR313" i="2"/>
  <c r="AQ313" i="2"/>
  <c r="AP313" i="2"/>
  <c r="AN313" i="2"/>
  <c r="AO313" i="2" s="1"/>
  <c r="AM313" i="2"/>
  <c r="AL313" i="2"/>
  <c r="AK313" i="2"/>
  <c r="AJ313" i="2"/>
  <c r="AI313" i="2"/>
  <c r="AH313" i="2"/>
  <c r="AG313" i="2"/>
  <c r="AF313" i="2"/>
  <c r="AE313" i="2"/>
  <c r="AD313" i="2"/>
  <c r="AC313" i="2"/>
  <c r="AA313" i="2"/>
  <c r="AB313" i="2" s="1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FI312" i="2"/>
  <c r="FO312" i="2" s="1"/>
  <c r="FH312" i="2"/>
  <c r="FG312" i="2"/>
  <c r="FF312" i="2"/>
  <c r="FE312" i="2"/>
  <c r="FD312" i="2"/>
  <c r="FC312" i="2"/>
  <c r="FA312" i="2"/>
  <c r="FB312" i="2" s="1"/>
  <c r="EZ312" i="2"/>
  <c r="EY312" i="2"/>
  <c r="EX312" i="2"/>
  <c r="EW312" i="2"/>
  <c r="EV312" i="2"/>
  <c r="EU312" i="2"/>
  <c r="ET312" i="2"/>
  <c r="ES312" i="2"/>
  <c r="ER312" i="2"/>
  <c r="EQ312" i="2"/>
  <c r="EP312" i="2"/>
  <c r="EN312" i="2"/>
  <c r="EO312" i="2" s="1"/>
  <c r="EM312" i="2"/>
  <c r="EL312" i="2"/>
  <c r="EK312" i="2"/>
  <c r="EJ312" i="2"/>
  <c r="EI312" i="2"/>
  <c r="EH312" i="2"/>
  <c r="EG312" i="2"/>
  <c r="EF312" i="2"/>
  <c r="EE312" i="2"/>
  <c r="ED312" i="2"/>
  <c r="EC312" i="2"/>
  <c r="EA312" i="2"/>
  <c r="EB312" i="2" s="1"/>
  <c r="DZ312" i="2"/>
  <c r="DY312" i="2"/>
  <c r="DX312" i="2"/>
  <c r="DW312" i="2"/>
  <c r="DV312" i="2"/>
  <c r="DU312" i="2"/>
  <c r="DT312" i="2"/>
  <c r="DS312" i="2"/>
  <c r="DR312" i="2"/>
  <c r="DQ312" i="2"/>
  <c r="DP312" i="2"/>
  <c r="DN312" i="2"/>
  <c r="DO312" i="2" s="1"/>
  <c r="DM312" i="2"/>
  <c r="DL312" i="2"/>
  <c r="DK312" i="2"/>
  <c r="DJ312" i="2"/>
  <c r="DI312" i="2"/>
  <c r="DH312" i="2"/>
  <c r="DG312" i="2"/>
  <c r="DF312" i="2"/>
  <c r="DE312" i="2"/>
  <c r="DD312" i="2"/>
  <c r="DC312" i="2"/>
  <c r="DA312" i="2"/>
  <c r="DB312" i="2" s="1"/>
  <c r="CZ312" i="2"/>
  <c r="CY312" i="2"/>
  <c r="CX312" i="2"/>
  <c r="CW312" i="2"/>
  <c r="CV312" i="2"/>
  <c r="CU312" i="2"/>
  <c r="CT312" i="2"/>
  <c r="CS312" i="2"/>
  <c r="CR312" i="2"/>
  <c r="CQ312" i="2"/>
  <c r="CP312" i="2"/>
  <c r="CN312" i="2"/>
  <c r="CO312" i="2" s="1"/>
  <c r="CM312" i="2"/>
  <c r="CL312" i="2"/>
  <c r="CK312" i="2"/>
  <c r="CJ312" i="2"/>
  <c r="CI312" i="2"/>
  <c r="CH312" i="2"/>
  <c r="CG312" i="2"/>
  <c r="CF312" i="2"/>
  <c r="CE312" i="2"/>
  <c r="CD312" i="2"/>
  <c r="CC312" i="2"/>
  <c r="CB312" i="2"/>
  <c r="CA312" i="2"/>
  <c r="BZ312" i="2"/>
  <c r="BY312" i="2"/>
  <c r="BX312" i="2"/>
  <c r="BW312" i="2"/>
  <c r="BV312" i="2"/>
  <c r="BU312" i="2"/>
  <c r="BT312" i="2"/>
  <c r="BS312" i="2"/>
  <c r="BR312" i="2"/>
  <c r="BQ312" i="2"/>
  <c r="BP312" i="2"/>
  <c r="BN312" i="2"/>
  <c r="BO312" i="2" s="1"/>
  <c r="BM312" i="2"/>
  <c r="BL312" i="2"/>
  <c r="BK312" i="2"/>
  <c r="BJ312" i="2"/>
  <c r="BI312" i="2"/>
  <c r="BH312" i="2"/>
  <c r="BG312" i="2"/>
  <c r="BF312" i="2"/>
  <c r="BE312" i="2"/>
  <c r="BD312" i="2"/>
  <c r="BC312" i="2"/>
  <c r="BA312" i="2"/>
  <c r="BB312" i="2" s="1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A312" i="2"/>
  <c r="AB312" i="2" s="1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FI311" i="2"/>
  <c r="FO311" i="2" s="1"/>
  <c r="FH311" i="2"/>
  <c r="FG311" i="2"/>
  <c r="FF311" i="2"/>
  <c r="FE311" i="2"/>
  <c r="FD311" i="2"/>
  <c r="FC311" i="2"/>
  <c r="FA311" i="2"/>
  <c r="FB311" i="2" s="1"/>
  <c r="EZ311" i="2"/>
  <c r="EY311" i="2"/>
  <c r="EX311" i="2"/>
  <c r="EW311" i="2"/>
  <c r="EV311" i="2"/>
  <c r="EU311" i="2"/>
  <c r="ET311" i="2"/>
  <c r="ES311" i="2"/>
  <c r="ER311" i="2"/>
  <c r="EQ311" i="2"/>
  <c r="EP311" i="2"/>
  <c r="EN311" i="2"/>
  <c r="EO311" i="2" s="1"/>
  <c r="EM311" i="2"/>
  <c r="EL311" i="2"/>
  <c r="EK311" i="2"/>
  <c r="EJ311" i="2"/>
  <c r="EI311" i="2"/>
  <c r="EH311" i="2"/>
  <c r="EG311" i="2"/>
  <c r="EF311" i="2"/>
  <c r="EE311" i="2"/>
  <c r="ED311" i="2"/>
  <c r="EC311" i="2"/>
  <c r="EA311" i="2"/>
  <c r="EB311" i="2" s="1"/>
  <c r="DZ311" i="2"/>
  <c r="DY311" i="2"/>
  <c r="DX311" i="2"/>
  <c r="DW311" i="2"/>
  <c r="DV311" i="2"/>
  <c r="DU311" i="2"/>
  <c r="DT311" i="2"/>
  <c r="DS311" i="2"/>
  <c r="DR311" i="2"/>
  <c r="DQ311" i="2"/>
  <c r="DP311" i="2"/>
  <c r="DN311" i="2"/>
  <c r="DO311" i="2" s="1"/>
  <c r="DM311" i="2"/>
  <c r="DL311" i="2"/>
  <c r="DK311" i="2"/>
  <c r="DJ311" i="2"/>
  <c r="DI311" i="2"/>
  <c r="DH311" i="2"/>
  <c r="DG311" i="2"/>
  <c r="DF311" i="2"/>
  <c r="DE311" i="2"/>
  <c r="DD311" i="2"/>
  <c r="DC311" i="2"/>
  <c r="DA311" i="2"/>
  <c r="DB311" i="2" s="1"/>
  <c r="CZ311" i="2"/>
  <c r="CY311" i="2"/>
  <c r="CX311" i="2"/>
  <c r="CW311" i="2"/>
  <c r="CV311" i="2"/>
  <c r="CU311" i="2"/>
  <c r="CT311" i="2"/>
  <c r="CS311" i="2"/>
  <c r="CR311" i="2"/>
  <c r="CQ311" i="2"/>
  <c r="CP311" i="2"/>
  <c r="CN311" i="2"/>
  <c r="CO311" i="2" s="1"/>
  <c r="CM311" i="2"/>
  <c r="CL311" i="2"/>
  <c r="CK311" i="2"/>
  <c r="CJ311" i="2"/>
  <c r="CI311" i="2"/>
  <c r="CH311" i="2"/>
  <c r="CG311" i="2"/>
  <c r="CF311" i="2"/>
  <c r="CE311" i="2"/>
  <c r="CD311" i="2"/>
  <c r="CC311" i="2"/>
  <c r="CA311" i="2"/>
  <c r="CB311" i="2" s="1"/>
  <c r="BZ311" i="2"/>
  <c r="BY311" i="2"/>
  <c r="BX311" i="2"/>
  <c r="BW311" i="2"/>
  <c r="BV311" i="2"/>
  <c r="BU311" i="2"/>
  <c r="BT311" i="2"/>
  <c r="BS311" i="2"/>
  <c r="BR311" i="2"/>
  <c r="BQ311" i="2"/>
  <c r="BP311" i="2"/>
  <c r="BO311" i="2"/>
  <c r="BN311" i="2"/>
  <c r="BM311" i="2"/>
  <c r="BL311" i="2"/>
  <c r="BK311" i="2"/>
  <c r="BJ311" i="2"/>
  <c r="BI311" i="2"/>
  <c r="BH311" i="2"/>
  <c r="BG311" i="2"/>
  <c r="BF311" i="2"/>
  <c r="BE311" i="2"/>
  <c r="BD311" i="2"/>
  <c r="BC311" i="2"/>
  <c r="BA311" i="2"/>
  <c r="BB311" i="2" s="1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N311" i="2"/>
  <c r="O311" i="2" s="1"/>
  <c r="M311" i="2"/>
  <c r="L311" i="2"/>
  <c r="K311" i="2"/>
  <c r="J311" i="2"/>
  <c r="I311" i="2"/>
  <c r="H311" i="2"/>
  <c r="G311" i="2"/>
  <c r="F311" i="2"/>
  <c r="E311" i="2"/>
  <c r="D311" i="2"/>
  <c r="C311" i="2"/>
  <c r="FI310" i="2"/>
  <c r="FO310" i="2" s="1"/>
  <c r="FH310" i="2"/>
  <c r="FG310" i="2"/>
  <c r="FF310" i="2"/>
  <c r="FE310" i="2"/>
  <c r="FD310" i="2"/>
  <c r="FC310" i="2"/>
  <c r="FA310" i="2"/>
  <c r="FB310" i="2" s="1"/>
  <c r="EZ310" i="2"/>
  <c r="EY310" i="2"/>
  <c r="EX310" i="2"/>
  <c r="EW310" i="2"/>
  <c r="EV310" i="2"/>
  <c r="EU310" i="2"/>
  <c r="ET310" i="2"/>
  <c r="ES310" i="2"/>
  <c r="ER310" i="2"/>
  <c r="EQ310" i="2"/>
  <c r="EP310" i="2"/>
  <c r="EN310" i="2"/>
  <c r="EO310" i="2" s="1"/>
  <c r="EM310" i="2"/>
  <c r="EL310" i="2"/>
  <c r="EK310" i="2"/>
  <c r="EJ310" i="2"/>
  <c r="EI310" i="2"/>
  <c r="EH310" i="2"/>
  <c r="EG310" i="2"/>
  <c r="EF310" i="2"/>
  <c r="EE310" i="2"/>
  <c r="ED310" i="2"/>
  <c r="EC310" i="2"/>
  <c r="EA310" i="2"/>
  <c r="EB310" i="2" s="1"/>
  <c r="DZ310" i="2"/>
  <c r="DY310" i="2"/>
  <c r="DX310" i="2"/>
  <c r="DW310" i="2"/>
  <c r="DV310" i="2"/>
  <c r="DU310" i="2"/>
  <c r="DT310" i="2"/>
  <c r="DS310" i="2"/>
  <c r="DR310" i="2"/>
  <c r="DQ310" i="2"/>
  <c r="DP310" i="2"/>
  <c r="DN310" i="2"/>
  <c r="DO310" i="2" s="1"/>
  <c r="DM310" i="2"/>
  <c r="DL310" i="2"/>
  <c r="DK310" i="2"/>
  <c r="DJ310" i="2"/>
  <c r="DI310" i="2"/>
  <c r="DH310" i="2"/>
  <c r="DG310" i="2"/>
  <c r="DF310" i="2"/>
  <c r="DE310" i="2"/>
  <c r="DD310" i="2"/>
  <c r="DC310" i="2"/>
  <c r="DA310" i="2"/>
  <c r="DB310" i="2" s="1"/>
  <c r="CZ310" i="2"/>
  <c r="CY310" i="2"/>
  <c r="CX310" i="2"/>
  <c r="CW310" i="2"/>
  <c r="CV310" i="2"/>
  <c r="CU310" i="2"/>
  <c r="CT310" i="2"/>
  <c r="CS310" i="2"/>
  <c r="CR310" i="2"/>
  <c r="CQ310" i="2"/>
  <c r="CP310" i="2"/>
  <c r="CO310" i="2"/>
  <c r="CN310" i="2"/>
  <c r="CM310" i="2"/>
  <c r="CL310" i="2"/>
  <c r="CK310" i="2"/>
  <c r="CJ310" i="2"/>
  <c r="CI310" i="2"/>
  <c r="CH310" i="2"/>
  <c r="CG310" i="2"/>
  <c r="CF310" i="2"/>
  <c r="CE310" i="2"/>
  <c r="CD310" i="2"/>
  <c r="CC310" i="2"/>
  <c r="CA310" i="2"/>
  <c r="CB310" i="2" s="1"/>
  <c r="BZ310" i="2"/>
  <c r="BY310" i="2"/>
  <c r="BX310" i="2"/>
  <c r="BW310" i="2"/>
  <c r="BV310" i="2"/>
  <c r="BU310" i="2"/>
  <c r="BT310" i="2"/>
  <c r="BS310" i="2"/>
  <c r="BR310" i="2"/>
  <c r="BQ310" i="2"/>
  <c r="BP310" i="2"/>
  <c r="BO310" i="2"/>
  <c r="BN310" i="2"/>
  <c r="BM310" i="2"/>
  <c r="BL310" i="2"/>
  <c r="BK310" i="2"/>
  <c r="BJ310" i="2"/>
  <c r="BI310" i="2"/>
  <c r="BH310" i="2"/>
  <c r="BG310" i="2"/>
  <c r="BF310" i="2"/>
  <c r="BE310" i="2"/>
  <c r="BD310" i="2"/>
  <c r="BC310" i="2"/>
  <c r="BA310" i="2"/>
  <c r="BB310" i="2" s="1"/>
  <c r="AZ310" i="2"/>
  <c r="AY310" i="2"/>
  <c r="AX310" i="2"/>
  <c r="AW310" i="2"/>
  <c r="AV310" i="2"/>
  <c r="AU310" i="2"/>
  <c r="AT310" i="2"/>
  <c r="AS310" i="2"/>
  <c r="AR310" i="2"/>
  <c r="AQ310" i="2"/>
  <c r="AP310" i="2"/>
  <c r="AN310" i="2"/>
  <c r="AO310" i="2" s="1"/>
  <c r="AM310" i="2"/>
  <c r="AL310" i="2"/>
  <c r="AK310" i="2"/>
  <c r="AJ310" i="2"/>
  <c r="AI310" i="2"/>
  <c r="AH310" i="2"/>
  <c r="AG310" i="2"/>
  <c r="AF310" i="2"/>
  <c r="AE310" i="2"/>
  <c r="AD310" i="2"/>
  <c r="AC310" i="2"/>
  <c r="AA310" i="2"/>
  <c r="AB310" i="2" s="1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FI309" i="2"/>
  <c r="FO309" i="2" s="1"/>
  <c r="FH309" i="2"/>
  <c r="FG309" i="2"/>
  <c r="FF309" i="2"/>
  <c r="FE309" i="2"/>
  <c r="FD309" i="2"/>
  <c r="FC309" i="2"/>
  <c r="FA309" i="2"/>
  <c r="FB309" i="2" s="1"/>
  <c r="EZ309" i="2"/>
  <c r="EY309" i="2"/>
  <c r="EX309" i="2"/>
  <c r="EW309" i="2"/>
  <c r="EV309" i="2"/>
  <c r="EU309" i="2"/>
  <c r="ET309" i="2"/>
  <c r="ES309" i="2"/>
  <c r="ER309" i="2"/>
  <c r="EQ309" i="2"/>
  <c r="EP309" i="2"/>
  <c r="EN309" i="2"/>
  <c r="EO309" i="2" s="1"/>
  <c r="EM309" i="2"/>
  <c r="EL309" i="2"/>
  <c r="EK309" i="2"/>
  <c r="EJ309" i="2"/>
  <c r="EI309" i="2"/>
  <c r="EH309" i="2"/>
  <c r="EG309" i="2"/>
  <c r="EF309" i="2"/>
  <c r="EE309" i="2"/>
  <c r="ED309" i="2"/>
  <c r="EC309" i="2"/>
  <c r="EA309" i="2"/>
  <c r="EB309" i="2" s="1"/>
  <c r="DZ309" i="2"/>
  <c r="DY309" i="2"/>
  <c r="DX309" i="2"/>
  <c r="DW309" i="2"/>
  <c r="DV309" i="2"/>
  <c r="DU309" i="2"/>
  <c r="DT309" i="2"/>
  <c r="DS309" i="2"/>
  <c r="DR309" i="2"/>
  <c r="DQ309" i="2"/>
  <c r="DP309" i="2"/>
  <c r="DN309" i="2"/>
  <c r="DO309" i="2" s="1"/>
  <c r="DM309" i="2"/>
  <c r="DL309" i="2"/>
  <c r="DK309" i="2"/>
  <c r="DJ309" i="2"/>
  <c r="DI309" i="2"/>
  <c r="DH309" i="2"/>
  <c r="DG309" i="2"/>
  <c r="DF309" i="2"/>
  <c r="DE309" i="2"/>
  <c r="DD309" i="2"/>
  <c r="DC309" i="2"/>
  <c r="DA309" i="2"/>
  <c r="DB309" i="2" s="1"/>
  <c r="CZ309" i="2"/>
  <c r="CY309" i="2"/>
  <c r="CX309" i="2"/>
  <c r="CW309" i="2"/>
  <c r="CV309" i="2"/>
  <c r="CU309" i="2"/>
  <c r="CT309" i="2"/>
  <c r="CS309" i="2"/>
  <c r="CR309" i="2"/>
  <c r="CQ309" i="2"/>
  <c r="CP309" i="2"/>
  <c r="CN309" i="2"/>
  <c r="CO309" i="2" s="1"/>
  <c r="CM309" i="2"/>
  <c r="CL309" i="2"/>
  <c r="CK309" i="2"/>
  <c r="CJ309" i="2"/>
  <c r="CI309" i="2"/>
  <c r="CH309" i="2"/>
  <c r="CG309" i="2"/>
  <c r="CF309" i="2"/>
  <c r="CE309" i="2"/>
  <c r="CD309" i="2"/>
  <c r="CC309" i="2"/>
  <c r="CB309" i="2"/>
  <c r="CA309" i="2"/>
  <c r="BZ309" i="2"/>
  <c r="BY309" i="2"/>
  <c r="BX309" i="2"/>
  <c r="BW309" i="2"/>
  <c r="BV309" i="2"/>
  <c r="BU309" i="2"/>
  <c r="BT309" i="2"/>
  <c r="BS309" i="2"/>
  <c r="BR309" i="2"/>
  <c r="BQ309" i="2"/>
  <c r="BP309" i="2"/>
  <c r="BN309" i="2"/>
  <c r="BO309" i="2" s="1"/>
  <c r="BM309" i="2"/>
  <c r="BL309" i="2"/>
  <c r="BK309" i="2"/>
  <c r="BJ309" i="2"/>
  <c r="BI309" i="2"/>
  <c r="BH309" i="2"/>
  <c r="BG309" i="2"/>
  <c r="BF309" i="2"/>
  <c r="BE309" i="2"/>
  <c r="BD309" i="2"/>
  <c r="BC309" i="2"/>
  <c r="BA309" i="2"/>
  <c r="BB309" i="2" s="1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A309" i="2"/>
  <c r="AB309" i="2" s="1"/>
  <c r="Z309" i="2"/>
  <c r="Y309" i="2"/>
  <c r="X309" i="2"/>
  <c r="W309" i="2"/>
  <c r="V309" i="2"/>
  <c r="U309" i="2"/>
  <c r="T309" i="2"/>
  <c r="S309" i="2"/>
  <c r="R309" i="2"/>
  <c r="Q309" i="2"/>
  <c r="P309" i="2"/>
  <c r="N309" i="2"/>
  <c r="O309" i="2" s="1"/>
  <c r="M309" i="2"/>
  <c r="L309" i="2"/>
  <c r="K309" i="2"/>
  <c r="J309" i="2"/>
  <c r="I309" i="2"/>
  <c r="H309" i="2"/>
  <c r="G309" i="2"/>
  <c r="F309" i="2"/>
  <c r="E309" i="2"/>
  <c r="D309" i="2"/>
  <c r="C309" i="2"/>
  <c r="FI308" i="2"/>
  <c r="FO308" i="2" s="1"/>
  <c r="FH308" i="2"/>
  <c r="FG308" i="2"/>
  <c r="FF308" i="2"/>
  <c r="FE308" i="2"/>
  <c r="FD308" i="2"/>
  <c r="FC308" i="2"/>
  <c r="FA308" i="2"/>
  <c r="FB308" i="2" s="1"/>
  <c r="EZ308" i="2"/>
  <c r="EY308" i="2"/>
  <c r="EX308" i="2"/>
  <c r="EW308" i="2"/>
  <c r="EV308" i="2"/>
  <c r="EU308" i="2"/>
  <c r="ET308" i="2"/>
  <c r="ES308" i="2"/>
  <c r="ER308" i="2"/>
  <c r="EQ308" i="2"/>
  <c r="EP308" i="2"/>
  <c r="EN308" i="2"/>
  <c r="EO308" i="2" s="1"/>
  <c r="EM308" i="2"/>
  <c r="EL308" i="2"/>
  <c r="EK308" i="2"/>
  <c r="EJ308" i="2"/>
  <c r="EI308" i="2"/>
  <c r="EH308" i="2"/>
  <c r="EG308" i="2"/>
  <c r="EF308" i="2"/>
  <c r="EE308" i="2"/>
  <c r="ED308" i="2"/>
  <c r="EC308" i="2"/>
  <c r="EA308" i="2"/>
  <c r="EB308" i="2" s="1"/>
  <c r="DZ308" i="2"/>
  <c r="DY308" i="2"/>
  <c r="DX308" i="2"/>
  <c r="DW308" i="2"/>
  <c r="DV308" i="2"/>
  <c r="DU308" i="2"/>
  <c r="DT308" i="2"/>
  <c r="DS308" i="2"/>
  <c r="DR308" i="2"/>
  <c r="DQ308" i="2"/>
  <c r="DP308" i="2"/>
  <c r="DN308" i="2"/>
  <c r="DO308" i="2" s="1"/>
  <c r="DM308" i="2"/>
  <c r="DL308" i="2"/>
  <c r="DK308" i="2"/>
  <c r="DJ308" i="2"/>
  <c r="DI308" i="2"/>
  <c r="DH308" i="2"/>
  <c r="DG308" i="2"/>
  <c r="DF308" i="2"/>
  <c r="DE308" i="2"/>
  <c r="DD308" i="2"/>
  <c r="DC308" i="2"/>
  <c r="DA308" i="2"/>
  <c r="DB308" i="2" s="1"/>
  <c r="CZ308" i="2"/>
  <c r="CY308" i="2"/>
  <c r="CX308" i="2"/>
  <c r="CW308" i="2"/>
  <c r="CV308" i="2"/>
  <c r="CU308" i="2"/>
  <c r="CT308" i="2"/>
  <c r="CS308" i="2"/>
  <c r="CR308" i="2"/>
  <c r="CQ308" i="2"/>
  <c r="CP308" i="2"/>
  <c r="CN308" i="2"/>
  <c r="CO308" i="2" s="1"/>
  <c r="CM308" i="2"/>
  <c r="CL308" i="2"/>
  <c r="CK308" i="2"/>
  <c r="CJ308" i="2"/>
  <c r="CI308" i="2"/>
  <c r="CH308" i="2"/>
  <c r="CG308" i="2"/>
  <c r="CF308" i="2"/>
  <c r="CE308" i="2"/>
  <c r="CD308" i="2"/>
  <c r="CC308" i="2"/>
  <c r="CA308" i="2"/>
  <c r="CB308" i="2" s="1"/>
  <c r="BZ308" i="2"/>
  <c r="BY308" i="2"/>
  <c r="BX308" i="2"/>
  <c r="BW308" i="2"/>
  <c r="BV308" i="2"/>
  <c r="BU308" i="2"/>
  <c r="BT308" i="2"/>
  <c r="BS308" i="2"/>
  <c r="BR308" i="2"/>
  <c r="BQ308" i="2"/>
  <c r="BP308" i="2"/>
  <c r="BO308" i="2"/>
  <c r="BN308" i="2"/>
  <c r="BM308" i="2"/>
  <c r="BL308" i="2"/>
  <c r="BK308" i="2"/>
  <c r="BJ308" i="2"/>
  <c r="BI308" i="2"/>
  <c r="BH308" i="2"/>
  <c r="BG308" i="2"/>
  <c r="BF308" i="2"/>
  <c r="BE308" i="2"/>
  <c r="BD308" i="2"/>
  <c r="BC308" i="2"/>
  <c r="BA308" i="2"/>
  <c r="BB308" i="2" s="1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A308" i="2"/>
  <c r="AB308" i="2" s="1"/>
  <c r="Z308" i="2"/>
  <c r="Y308" i="2"/>
  <c r="X308" i="2"/>
  <c r="W308" i="2"/>
  <c r="V308" i="2"/>
  <c r="U308" i="2"/>
  <c r="T308" i="2"/>
  <c r="S308" i="2"/>
  <c r="R308" i="2"/>
  <c r="Q308" i="2"/>
  <c r="P308" i="2"/>
  <c r="N308" i="2"/>
  <c r="O308" i="2" s="1"/>
  <c r="M308" i="2"/>
  <c r="L308" i="2"/>
  <c r="K308" i="2"/>
  <c r="J308" i="2"/>
  <c r="I308" i="2"/>
  <c r="H308" i="2"/>
  <c r="G308" i="2"/>
  <c r="F308" i="2"/>
  <c r="E308" i="2"/>
  <c r="D308" i="2"/>
  <c r="C308" i="2"/>
  <c r="FI307" i="2"/>
  <c r="FO307" i="2" s="1"/>
  <c r="FH307" i="2"/>
  <c r="FG307" i="2"/>
  <c r="FF307" i="2"/>
  <c r="FE307" i="2"/>
  <c r="FD307" i="2"/>
  <c r="FC307" i="2"/>
  <c r="FA307" i="2"/>
  <c r="FB307" i="2" s="1"/>
  <c r="EZ307" i="2"/>
  <c r="EY307" i="2"/>
  <c r="EX307" i="2"/>
  <c r="EW307" i="2"/>
  <c r="EV307" i="2"/>
  <c r="EU307" i="2"/>
  <c r="ET307" i="2"/>
  <c r="ES307" i="2"/>
  <c r="ER307" i="2"/>
  <c r="EQ307" i="2"/>
  <c r="EP307" i="2"/>
  <c r="EN307" i="2"/>
  <c r="EO307" i="2" s="1"/>
  <c r="EM307" i="2"/>
  <c r="EL307" i="2"/>
  <c r="EK307" i="2"/>
  <c r="EJ307" i="2"/>
  <c r="EI307" i="2"/>
  <c r="EH307" i="2"/>
  <c r="EG307" i="2"/>
  <c r="EF307" i="2"/>
  <c r="EE307" i="2"/>
  <c r="ED307" i="2"/>
  <c r="EC307" i="2"/>
  <c r="EA307" i="2"/>
  <c r="EB307" i="2" s="1"/>
  <c r="DZ307" i="2"/>
  <c r="DY307" i="2"/>
  <c r="DX307" i="2"/>
  <c r="DW307" i="2"/>
  <c r="DV307" i="2"/>
  <c r="DU307" i="2"/>
  <c r="DT307" i="2"/>
  <c r="DS307" i="2"/>
  <c r="DR307" i="2"/>
  <c r="DQ307" i="2"/>
  <c r="DP307" i="2"/>
  <c r="DN307" i="2"/>
  <c r="DO307" i="2" s="1"/>
  <c r="DM307" i="2"/>
  <c r="DL307" i="2"/>
  <c r="DK307" i="2"/>
  <c r="DJ307" i="2"/>
  <c r="DI307" i="2"/>
  <c r="DH307" i="2"/>
  <c r="DG307" i="2"/>
  <c r="DF307" i="2"/>
  <c r="DE307" i="2"/>
  <c r="DD307" i="2"/>
  <c r="DC307" i="2"/>
  <c r="DA307" i="2"/>
  <c r="DB307" i="2" s="1"/>
  <c r="CZ307" i="2"/>
  <c r="CY307" i="2"/>
  <c r="CX307" i="2"/>
  <c r="CW307" i="2"/>
  <c r="CV307" i="2"/>
  <c r="CU307" i="2"/>
  <c r="CT307" i="2"/>
  <c r="CS307" i="2"/>
  <c r="CR307" i="2"/>
  <c r="CQ307" i="2"/>
  <c r="CP307" i="2"/>
  <c r="CO307" i="2"/>
  <c r="CN307" i="2"/>
  <c r="CM307" i="2"/>
  <c r="CL307" i="2"/>
  <c r="CK307" i="2"/>
  <c r="CJ307" i="2"/>
  <c r="CI307" i="2"/>
  <c r="CH307" i="2"/>
  <c r="CG307" i="2"/>
  <c r="CF307" i="2"/>
  <c r="CE307" i="2"/>
  <c r="CD307" i="2"/>
  <c r="CC307" i="2"/>
  <c r="CA307" i="2"/>
  <c r="CB307" i="2" s="1"/>
  <c r="BZ307" i="2"/>
  <c r="BY307" i="2"/>
  <c r="BX307" i="2"/>
  <c r="BW307" i="2"/>
  <c r="BV307" i="2"/>
  <c r="BU307" i="2"/>
  <c r="BT307" i="2"/>
  <c r="BS307" i="2"/>
  <c r="BR307" i="2"/>
  <c r="BQ307" i="2"/>
  <c r="BP307" i="2"/>
  <c r="BO307" i="2"/>
  <c r="BN307" i="2"/>
  <c r="BM307" i="2"/>
  <c r="BL307" i="2"/>
  <c r="BK307" i="2"/>
  <c r="BJ307" i="2"/>
  <c r="BI307" i="2"/>
  <c r="BH307" i="2"/>
  <c r="BG307" i="2"/>
  <c r="BF307" i="2"/>
  <c r="BE307" i="2"/>
  <c r="BD307" i="2"/>
  <c r="BC307" i="2"/>
  <c r="BA307" i="2"/>
  <c r="BB307" i="2" s="1"/>
  <c r="AZ307" i="2"/>
  <c r="AY307" i="2"/>
  <c r="AX307" i="2"/>
  <c r="AW307" i="2"/>
  <c r="AV307" i="2"/>
  <c r="AU307" i="2"/>
  <c r="AT307" i="2"/>
  <c r="AS307" i="2"/>
  <c r="AR307" i="2"/>
  <c r="AQ307" i="2"/>
  <c r="AP307" i="2"/>
  <c r="AN307" i="2"/>
  <c r="AO307" i="2" s="1"/>
  <c r="AM307" i="2"/>
  <c r="AL307" i="2"/>
  <c r="AK307" i="2"/>
  <c r="AJ307" i="2"/>
  <c r="AI307" i="2"/>
  <c r="AH307" i="2"/>
  <c r="AG307" i="2"/>
  <c r="AF307" i="2"/>
  <c r="AE307" i="2"/>
  <c r="AD307" i="2"/>
  <c r="AC307" i="2"/>
  <c r="AA307" i="2"/>
  <c r="AB307" i="2" s="1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FI306" i="2"/>
  <c r="FO306" i="2" s="1"/>
  <c r="FH306" i="2"/>
  <c r="FG306" i="2"/>
  <c r="FF306" i="2"/>
  <c r="FE306" i="2"/>
  <c r="FD306" i="2"/>
  <c r="FC306" i="2"/>
  <c r="FA306" i="2"/>
  <c r="FB306" i="2" s="1"/>
  <c r="EZ306" i="2"/>
  <c r="EY306" i="2"/>
  <c r="EX306" i="2"/>
  <c r="EW306" i="2"/>
  <c r="EV306" i="2"/>
  <c r="EU306" i="2"/>
  <c r="ET306" i="2"/>
  <c r="ES306" i="2"/>
  <c r="ER306" i="2"/>
  <c r="EQ306" i="2"/>
  <c r="EP306" i="2"/>
  <c r="EN306" i="2"/>
  <c r="EO306" i="2" s="1"/>
  <c r="EM306" i="2"/>
  <c r="EL306" i="2"/>
  <c r="EK306" i="2"/>
  <c r="EJ306" i="2"/>
  <c r="EI306" i="2"/>
  <c r="EH306" i="2"/>
  <c r="EG306" i="2"/>
  <c r="EF306" i="2"/>
  <c r="EE306" i="2"/>
  <c r="ED306" i="2"/>
  <c r="EC306" i="2"/>
  <c r="EA306" i="2"/>
  <c r="EB306" i="2" s="1"/>
  <c r="DZ306" i="2"/>
  <c r="DY306" i="2"/>
  <c r="DX306" i="2"/>
  <c r="DW306" i="2"/>
  <c r="DV306" i="2"/>
  <c r="DU306" i="2"/>
  <c r="DT306" i="2"/>
  <c r="DS306" i="2"/>
  <c r="DR306" i="2"/>
  <c r="DQ306" i="2"/>
  <c r="DP306" i="2"/>
  <c r="DN306" i="2"/>
  <c r="DO306" i="2" s="1"/>
  <c r="DM306" i="2"/>
  <c r="DL306" i="2"/>
  <c r="DK306" i="2"/>
  <c r="DJ306" i="2"/>
  <c r="DI306" i="2"/>
  <c r="DH306" i="2"/>
  <c r="DG306" i="2"/>
  <c r="DF306" i="2"/>
  <c r="DE306" i="2"/>
  <c r="DD306" i="2"/>
  <c r="DC306" i="2"/>
  <c r="DA306" i="2"/>
  <c r="DB306" i="2" s="1"/>
  <c r="CZ306" i="2"/>
  <c r="CY306" i="2"/>
  <c r="CX306" i="2"/>
  <c r="CW306" i="2"/>
  <c r="CV306" i="2"/>
  <c r="CU306" i="2"/>
  <c r="CT306" i="2"/>
  <c r="CS306" i="2"/>
  <c r="CR306" i="2"/>
  <c r="CQ306" i="2"/>
  <c r="CP306" i="2"/>
  <c r="CN306" i="2"/>
  <c r="CO306" i="2" s="1"/>
  <c r="CM306" i="2"/>
  <c r="CL306" i="2"/>
  <c r="CK306" i="2"/>
  <c r="CJ306" i="2"/>
  <c r="CI306" i="2"/>
  <c r="CH306" i="2"/>
  <c r="CG306" i="2"/>
  <c r="CF306" i="2"/>
  <c r="CE306" i="2"/>
  <c r="CD306" i="2"/>
  <c r="CC306" i="2"/>
  <c r="CB306" i="2"/>
  <c r="CA306" i="2"/>
  <c r="BZ306" i="2"/>
  <c r="BY306" i="2"/>
  <c r="BX306" i="2"/>
  <c r="BW306" i="2"/>
  <c r="BV306" i="2"/>
  <c r="BU306" i="2"/>
  <c r="BT306" i="2"/>
  <c r="BS306" i="2"/>
  <c r="BR306" i="2"/>
  <c r="BQ306" i="2"/>
  <c r="BP306" i="2"/>
  <c r="BN306" i="2"/>
  <c r="BO306" i="2" s="1"/>
  <c r="BM306" i="2"/>
  <c r="BL306" i="2"/>
  <c r="BK306" i="2"/>
  <c r="BJ306" i="2"/>
  <c r="BI306" i="2"/>
  <c r="BH306" i="2"/>
  <c r="BG306" i="2"/>
  <c r="BF306" i="2"/>
  <c r="BE306" i="2"/>
  <c r="BD306" i="2"/>
  <c r="BC306" i="2"/>
  <c r="BA306" i="2"/>
  <c r="BB306" i="2" s="1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A306" i="2"/>
  <c r="AB306" i="2" s="1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FI305" i="2"/>
  <c r="FO305" i="2" s="1"/>
  <c r="FH305" i="2"/>
  <c r="FG305" i="2"/>
  <c r="FF305" i="2"/>
  <c r="FE305" i="2"/>
  <c r="FD305" i="2"/>
  <c r="FC305" i="2"/>
  <c r="FA305" i="2"/>
  <c r="FB305" i="2" s="1"/>
  <c r="EZ305" i="2"/>
  <c r="EY305" i="2"/>
  <c r="EX305" i="2"/>
  <c r="EW305" i="2"/>
  <c r="EV305" i="2"/>
  <c r="EU305" i="2"/>
  <c r="ET305" i="2"/>
  <c r="ES305" i="2"/>
  <c r="ER305" i="2"/>
  <c r="EQ305" i="2"/>
  <c r="EP305" i="2"/>
  <c r="EN305" i="2"/>
  <c r="EO305" i="2" s="1"/>
  <c r="EM305" i="2"/>
  <c r="EL305" i="2"/>
  <c r="EK305" i="2"/>
  <c r="EJ305" i="2"/>
  <c r="EI305" i="2"/>
  <c r="EH305" i="2"/>
  <c r="EG305" i="2"/>
  <c r="EF305" i="2"/>
  <c r="EE305" i="2"/>
  <c r="ED305" i="2"/>
  <c r="EC305" i="2"/>
  <c r="EA305" i="2"/>
  <c r="EB305" i="2" s="1"/>
  <c r="DZ305" i="2"/>
  <c r="DY305" i="2"/>
  <c r="DX305" i="2"/>
  <c r="DW305" i="2"/>
  <c r="DV305" i="2"/>
  <c r="DU305" i="2"/>
  <c r="DT305" i="2"/>
  <c r="DS305" i="2"/>
  <c r="DR305" i="2"/>
  <c r="DQ305" i="2"/>
  <c r="DP305" i="2"/>
  <c r="DN305" i="2"/>
  <c r="DO305" i="2" s="1"/>
  <c r="DM305" i="2"/>
  <c r="DL305" i="2"/>
  <c r="DK305" i="2"/>
  <c r="DJ305" i="2"/>
  <c r="DI305" i="2"/>
  <c r="DH305" i="2"/>
  <c r="DG305" i="2"/>
  <c r="DF305" i="2"/>
  <c r="DE305" i="2"/>
  <c r="DD305" i="2"/>
  <c r="DC305" i="2"/>
  <c r="DA305" i="2"/>
  <c r="DB305" i="2" s="1"/>
  <c r="CZ305" i="2"/>
  <c r="CY305" i="2"/>
  <c r="CX305" i="2"/>
  <c r="CW305" i="2"/>
  <c r="CV305" i="2"/>
  <c r="CU305" i="2"/>
  <c r="CT305" i="2"/>
  <c r="CS305" i="2"/>
  <c r="CR305" i="2"/>
  <c r="CQ305" i="2"/>
  <c r="CP305" i="2"/>
  <c r="CN305" i="2"/>
  <c r="CO305" i="2" s="1"/>
  <c r="CM305" i="2"/>
  <c r="CL305" i="2"/>
  <c r="CK305" i="2"/>
  <c r="CJ305" i="2"/>
  <c r="CI305" i="2"/>
  <c r="CH305" i="2"/>
  <c r="CG305" i="2"/>
  <c r="CF305" i="2"/>
  <c r="CE305" i="2"/>
  <c r="CD305" i="2"/>
  <c r="CC305" i="2"/>
  <c r="CA305" i="2"/>
  <c r="CB305" i="2" s="1"/>
  <c r="BZ305" i="2"/>
  <c r="BY305" i="2"/>
  <c r="BX305" i="2"/>
  <c r="BW305" i="2"/>
  <c r="BV305" i="2"/>
  <c r="BU305" i="2"/>
  <c r="BT305" i="2"/>
  <c r="BS305" i="2"/>
  <c r="BR305" i="2"/>
  <c r="BQ305" i="2"/>
  <c r="BP305" i="2"/>
  <c r="BO305" i="2"/>
  <c r="BN305" i="2"/>
  <c r="BM305" i="2"/>
  <c r="BL305" i="2"/>
  <c r="BK305" i="2"/>
  <c r="BJ305" i="2"/>
  <c r="BI305" i="2"/>
  <c r="BH305" i="2"/>
  <c r="BG305" i="2"/>
  <c r="BF305" i="2"/>
  <c r="BE305" i="2"/>
  <c r="BD305" i="2"/>
  <c r="BC305" i="2"/>
  <c r="BA305" i="2"/>
  <c r="BB305" i="2" s="1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A305" i="2"/>
  <c r="AB305" i="2" s="1"/>
  <c r="Z305" i="2"/>
  <c r="Y305" i="2"/>
  <c r="X305" i="2"/>
  <c r="W305" i="2"/>
  <c r="V305" i="2"/>
  <c r="U305" i="2"/>
  <c r="T305" i="2"/>
  <c r="S305" i="2"/>
  <c r="R305" i="2"/>
  <c r="Q305" i="2"/>
  <c r="P305" i="2"/>
  <c r="N305" i="2"/>
  <c r="O305" i="2" s="1"/>
  <c r="M305" i="2"/>
  <c r="L305" i="2"/>
  <c r="K305" i="2"/>
  <c r="J305" i="2"/>
  <c r="I305" i="2"/>
  <c r="H305" i="2"/>
  <c r="G305" i="2"/>
  <c r="F305" i="2"/>
  <c r="E305" i="2"/>
  <c r="D305" i="2"/>
  <c r="C305" i="2"/>
  <c r="FI304" i="2"/>
  <c r="FO304" i="2" s="1"/>
  <c r="FH304" i="2"/>
  <c r="FG304" i="2"/>
  <c r="FF304" i="2"/>
  <c r="FE304" i="2"/>
  <c r="FD304" i="2"/>
  <c r="FC304" i="2"/>
  <c r="FA304" i="2"/>
  <c r="FB304" i="2" s="1"/>
  <c r="EZ304" i="2"/>
  <c r="EY304" i="2"/>
  <c r="EX304" i="2"/>
  <c r="EW304" i="2"/>
  <c r="EV304" i="2"/>
  <c r="EU304" i="2"/>
  <c r="ET304" i="2"/>
  <c r="ES304" i="2"/>
  <c r="ER304" i="2"/>
  <c r="EQ304" i="2"/>
  <c r="EP304" i="2"/>
  <c r="EN304" i="2"/>
  <c r="EO304" i="2" s="1"/>
  <c r="EM304" i="2"/>
  <c r="EL304" i="2"/>
  <c r="EK304" i="2"/>
  <c r="EJ304" i="2"/>
  <c r="EI304" i="2"/>
  <c r="EH304" i="2"/>
  <c r="EG304" i="2"/>
  <c r="EF304" i="2"/>
  <c r="EE304" i="2"/>
  <c r="ED304" i="2"/>
  <c r="EC304" i="2"/>
  <c r="EA304" i="2"/>
  <c r="EB304" i="2" s="1"/>
  <c r="DZ304" i="2"/>
  <c r="DY304" i="2"/>
  <c r="DX304" i="2"/>
  <c r="DW304" i="2"/>
  <c r="DV304" i="2"/>
  <c r="DU304" i="2"/>
  <c r="DT304" i="2"/>
  <c r="DS304" i="2"/>
  <c r="DR304" i="2"/>
  <c r="DQ304" i="2"/>
  <c r="DP304" i="2"/>
  <c r="DN304" i="2"/>
  <c r="DO304" i="2" s="1"/>
  <c r="DM304" i="2"/>
  <c r="DL304" i="2"/>
  <c r="DK304" i="2"/>
  <c r="DJ304" i="2"/>
  <c r="DI304" i="2"/>
  <c r="DH304" i="2"/>
  <c r="DG304" i="2"/>
  <c r="DF304" i="2"/>
  <c r="DE304" i="2"/>
  <c r="DD304" i="2"/>
  <c r="DC304" i="2"/>
  <c r="DA304" i="2"/>
  <c r="DB304" i="2" s="1"/>
  <c r="CZ304" i="2"/>
  <c r="CY304" i="2"/>
  <c r="CX304" i="2"/>
  <c r="CW304" i="2"/>
  <c r="CV304" i="2"/>
  <c r="CU304" i="2"/>
  <c r="CT304" i="2"/>
  <c r="CS304" i="2"/>
  <c r="CR304" i="2"/>
  <c r="CQ304" i="2"/>
  <c r="CP304" i="2"/>
  <c r="CN304" i="2"/>
  <c r="CO304" i="2" s="1"/>
  <c r="CM304" i="2"/>
  <c r="CL304" i="2"/>
  <c r="CK304" i="2"/>
  <c r="CJ304" i="2"/>
  <c r="CI304" i="2"/>
  <c r="CH304" i="2"/>
  <c r="CG304" i="2"/>
  <c r="CF304" i="2"/>
  <c r="CE304" i="2"/>
  <c r="CD304" i="2"/>
  <c r="CC304" i="2"/>
  <c r="CA304" i="2"/>
  <c r="CB304" i="2" s="1"/>
  <c r="BZ304" i="2"/>
  <c r="BY304" i="2"/>
  <c r="BX304" i="2"/>
  <c r="BW304" i="2"/>
  <c r="BV304" i="2"/>
  <c r="BU304" i="2"/>
  <c r="BT304" i="2"/>
  <c r="BS304" i="2"/>
  <c r="BR304" i="2"/>
  <c r="BQ304" i="2"/>
  <c r="BP304" i="2"/>
  <c r="BO304" i="2"/>
  <c r="BN304" i="2"/>
  <c r="BM304" i="2"/>
  <c r="BL304" i="2"/>
  <c r="BK304" i="2"/>
  <c r="BJ304" i="2"/>
  <c r="BI304" i="2"/>
  <c r="BH304" i="2"/>
  <c r="BG304" i="2"/>
  <c r="BF304" i="2"/>
  <c r="BE304" i="2"/>
  <c r="BD304" i="2"/>
  <c r="BC304" i="2"/>
  <c r="BA304" i="2"/>
  <c r="BB304" i="2" s="1"/>
  <c r="AZ304" i="2"/>
  <c r="AY304" i="2"/>
  <c r="AX304" i="2"/>
  <c r="AW304" i="2"/>
  <c r="AV304" i="2"/>
  <c r="AU304" i="2"/>
  <c r="AT304" i="2"/>
  <c r="AS304" i="2"/>
  <c r="AR304" i="2"/>
  <c r="AQ304" i="2"/>
  <c r="AP304" i="2"/>
  <c r="AN304" i="2"/>
  <c r="AO304" i="2" s="1"/>
  <c r="AM304" i="2"/>
  <c r="AL304" i="2"/>
  <c r="AK304" i="2"/>
  <c r="AJ304" i="2"/>
  <c r="AI304" i="2"/>
  <c r="AH304" i="2"/>
  <c r="AG304" i="2"/>
  <c r="AF304" i="2"/>
  <c r="AE304" i="2"/>
  <c r="AD304" i="2"/>
  <c r="AC304" i="2"/>
  <c r="AA304" i="2"/>
  <c r="AB304" i="2" s="1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FI303" i="2"/>
  <c r="FO303" i="2" s="1"/>
  <c r="FH303" i="2"/>
  <c r="FG303" i="2"/>
  <c r="FF303" i="2"/>
  <c r="FE303" i="2"/>
  <c r="FD303" i="2"/>
  <c r="FC303" i="2"/>
  <c r="FA303" i="2"/>
  <c r="FB303" i="2" s="1"/>
  <c r="EZ303" i="2"/>
  <c r="EY303" i="2"/>
  <c r="EX303" i="2"/>
  <c r="EW303" i="2"/>
  <c r="EV303" i="2"/>
  <c r="EU303" i="2"/>
  <c r="ET303" i="2"/>
  <c r="ES303" i="2"/>
  <c r="ER303" i="2"/>
  <c r="EQ303" i="2"/>
  <c r="EP303" i="2"/>
  <c r="EN303" i="2"/>
  <c r="EO303" i="2" s="1"/>
  <c r="EM303" i="2"/>
  <c r="EL303" i="2"/>
  <c r="EK303" i="2"/>
  <c r="EJ303" i="2"/>
  <c r="EI303" i="2"/>
  <c r="EH303" i="2"/>
  <c r="EG303" i="2"/>
  <c r="EF303" i="2"/>
  <c r="EE303" i="2"/>
  <c r="ED303" i="2"/>
  <c r="EC303" i="2"/>
  <c r="EA303" i="2"/>
  <c r="EB303" i="2" s="1"/>
  <c r="DZ303" i="2"/>
  <c r="DY303" i="2"/>
  <c r="DX303" i="2"/>
  <c r="DW303" i="2"/>
  <c r="DV303" i="2"/>
  <c r="DU303" i="2"/>
  <c r="DT303" i="2"/>
  <c r="DS303" i="2"/>
  <c r="DR303" i="2"/>
  <c r="DQ303" i="2"/>
  <c r="DP303" i="2"/>
  <c r="DO303" i="2"/>
  <c r="DN303" i="2"/>
  <c r="DM303" i="2"/>
  <c r="DL303" i="2"/>
  <c r="DK303" i="2"/>
  <c r="DJ303" i="2"/>
  <c r="DI303" i="2"/>
  <c r="DH303" i="2"/>
  <c r="DG303" i="2"/>
  <c r="DF303" i="2"/>
  <c r="DE303" i="2"/>
  <c r="DD303" i="2"/>
  <c r="DC303" i="2"/>
  <c r="DA303" i="2"/>
  <c r="DB303" i="2" s="1"/>
  <c r="CZ303" i="2"/>
  <c r="CY303" i="2"/>
  <c r="CX303" i="2"/>
  <c r="CW303" i="2"/>
  <c r="CV303" i="2"/>
  <c r="CU303" i="2"/>
  <c r="CT303" i="2"/>
  <c r="CS303" i="2"/>
  <c r="CR303" i="2"/>
  <c r="CQ303" i="2"/>
  <c r="CP303" i="2"/>
  <c r="CN303" i="2"/>
  <c r="CO303" i="2" s="1"/>
  <c r="CM303" i="2"/>
  <c r="CL303" i="2"/>
  <c r="CK303" i="2"/>
  <c r="CJ303" i="2"/>
  <c r="CI303" i="2"/>
  <c r="CH303" i="2"/>
  <c r="CG303" i="2"/>
  <c r="CF303" i="2"/>
  <c r="CE303" i="2"/>
  <c r="CD303" i="2"/>
  <c r="CC303" i="2"/>
  <c r="CA303" i="2"/>
  <c r="CB303" i="2" s="1"/>
  <c r="BZ303" i="2"/>
  <c r="BY303" i="2"/>
  <c r="BX303" i="2"/>
  <c r="BW303" i="2"/>
  <c r="BV303" i="2"/>
  <c r="BU303" i="2"/>
  <c r="BT303" i="2"/>
  <c r="BS303" i="2"/>
  <c r="BR303" i="2"/>
  <c r="BQ303" i="2"/>
  <c r="BP303" i="2"/>
  <c r="BN303" i="2"/>
  <c r="BO303" i="2" s="1"/>
  <c r="BM303" i="2"/>
  <c r="BL303" i="2"/>
  <c r="BK303" i="2"/>
  <c r="BJ303" i="2"/>
  <c r="BI303" i="2"/>
  <c r="BH303" i="2"/>
  <c r="BG303" i="2"/>
  <c r="BF303" i="2"/>
  <c r="BE303" i="2"/>
  <c r="BD303" i="2"/>
  <c r="BC303" i="2"/>
  <c r="BA303" i="2"/>
  <c r="BB303" i="2" s="1"/>
  <c r="AZ303" i="2"/>
  <c r="AY303" i="2"/>
  <c r="AX303" i="2"/>
  <c r="AW303" i="2"/>
  <c r="AV303" i="2"/>
  <c r="AU303" i="2"/>
  <c r="AT303" i="2"/>
  <c r="AS303" i="2"/>
  <c r="AR303" i="2"/>
  <c r="AQ303" i="2"/>
  <c r="AP303" i="2"/>
  <c r="AN303" i="2"/>
  <c r="AO303" i="2" s="1"/>
  <c r="AM303" i="2"/>
  <c r="AL303" i="2"/>
  <c r="AK303" i="2"/>
  <c r="AJ303" i="2"/>
  <c r="AI303" i="2"/>
  <c r="AH303" i="2"/>
  <c r="AG303" i="2"/>
  <c r="AF303" i="2"/>
  <c r="AE303" i="2"/>
  <c r="AD303" i="2"/>
  <c r="AC303" i="2"/>
  <c r="AA303" i="2"/>
  <c r="AB303" i="2" s="1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FI302" i="2"/>
  <c r="FH302" i="2"/>
  <c r="FG302" i="2"/>
  <c r="FF302" i="2"/>
  <c r="FE302" i="2"/>
  <c r="FD302" i="2"/>
  <c r="FC302" i="2"/>
  <c r="FA302" i="2"/>
  <c r="EZ302" i="2"/>
  <c r="EY302" i="2"/>
  <c r="EX302" i="2"/>
  <c r="EW302" i="2"/>
  <c r="EV302" i="2"/>
  <c r="EU302" i="2"/>
  <c r="ET302" i="2"/>
  <c r="ES302" i="2"/>
  <c r="ER302" i="2"/>
  <c r="EQ302" i="2"/>
  <c r="EP302" i="2"/>
  <c r="EN302" i="2"/>
  <c r="EO302" i="2" s="1"/>
  <c r="EM302" i="2"/>
  <c r="EL302" i="2"/>
  <c r="EK302" i="2"/>
  <c r="EJ302" i="2"/>
  <c r="EI302" i="2"/>
  <c r="EH302" i="2"/>
  <c r="EG302" i="2"/>
  <c r="EF302" i="2"/>
  <c r="EE302" i="2"/>
  <c r="ED302" i="2"/>
  <c r="EC302" i="2"/>
  <c r="EA302" i="2"/>
  <c r="DZ302" i="2"/>
  <c r="DY302" i="2"/>
  <c r="DX302" i="2"/>
  <c r="DW302" i="2"/>
  <c r="DV302" i="2"/>
  <c r="DU302" i="2"/>
  <c r="DT302" i="2"/>
  <c r="DS302" i="2"/>
  <c r="DR302" i="2"/>
  <c r="DQ302" i="2"/>
  <c r="DP302" i="2"/>
  <c r="DO302" i="2"/>
  <c r="DN302" i="2"/>
  <c r="DM302" i="2"/>
  <c r="DL302" i="2"/>
  <c r="DK302" i="2"/>
  <c r="DJ302" i="2"/>
  <c r="DI302" i="2"/>
  <c r="DH302" i="2"/>
  <c r="DG302" i="2"/>
  <c r="DF302" i="2"/>
  <c r="DE302" i="2"/>
  <c r="DD302" i="2"/>
  <c r="DC302" i="2"/>
  <c r="DA302" i="2"/>
  <c r="CZ302" i="2"/>
  <c r="CY302" i="2"/>
  <c r="CX302" i="2"/>
  <c r="CW302" i="2"/>
  <c r="CV302" i="2"/>
  <c r="CU302" i="2"/>
  <c r="CT302" i="2"/>
  <c r="CS302" i="2"/>
  <c r="CR302" i="2"/>
  <c r="CQ302" i="2"/>
  <c r="CP302" i="2"/>
  <c r="CN302" i="2"/>
  <c r="CM302" i="2"/>
  <c r="CL302" i="2"/>
  <c r="CK302" i="2"/>
  <c r="CJ302" i="2"/>
  <c r="CI302" i="2"/>
  <c r="CH302" i="2"/>
  <c r="CG302" i="2"/>
  <c r="CF302" i="2"/>
  <c r="CE302" i="2"/>
  <c r="CD302" i="2"/>
  <c r="CC302" i="2"/>
  <c r="CA302" i="2"/>
  <c r="BZ302" i="2"/>
  <c r="BY302" i="2"/>
  <c r="BY334" i="2" s="1"/>
  <c r="BX302" i="2"/>
  <c r="BW302" i="2"/>
  <c r="BV302" i="2"/>
  <c r="BU302" i="2"/>
  <c r="BT302" i="2"/>
  <c r="BS302" i="2"/>
  <c r="BR302" i="2"/>
  <c r="BQ302" i="2"/>
  <c r="BP302" i="2"/>
  <c r="BN302" i="2"/>
  <c r="BO302" i="2" s="1"/>
  <c r="BM302" i="2"/>
  <c r="BM334" i="2" s="1"/>
  <c r="BL302" i="2"/>
  <c r="BK302" i="2"/>
  <c r="BJ302" i="2"/>
  <c r="BI302" i="2"/>
  <c r="BH302" i="2"/>
  <c r="BG302" i="2"/>
  <c r="BF302" i="2"/>
  <c r="BE302" i="2"/>
  <c r="BD302" i="2"/>
  <c r="BC302" i="2"/>
  <c r="BA302" i="2"/>
  <c r="AZ302" i="2"/>
  <c r="AY302" i="2"/>
  <c r="AX302" i="2"/>
  <c r="AW302" i="2"/>
  <c r="AV302" i="2"/>
  <c r="AU302" i="2"/>
  <c r="AT302" i="2"/>
  <c r="AS302" i="2"/>
  <c r="AR302" i="2"/>
  <c r="AQ302" i="2"/>
  <c r="AQ334" i="2" s="1"/>
  <c r="AP302" i="2"/>
  <c r="AN302" i="2"/>
  <c r="AM302" i="2"/>
  <c r="AL302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S302" i="2"/>
  <c r="S334" i="2" s="1"/>
  <c r="R302" i="2"/>
  <c r="Q302" i="2"/>
  <c r="P302" i="2"/>
  <c r="P334" i="2" s="1"/>
  <c r="N302" i="2"/>
  <c r="M302" i="2"/>
  <c r="L302" i="2"/>
  <c r="K302" i="2"/>
  <c r="J302" i="2"/>
  <c r="I302" i="2"/>
  <c r="H302" i="2"/>
  <c r="G302" i="2"/>
  <c r="F302" i="2"/>
  <c r="E302" i="2"/>
  <c r="D302" i="2"/>
  <c r="C302" i="2"/>
  <c r="FN298" i="2"/>
  <c r="FM298" i="2"/>
  <c r="FL298" i="2"/>
  <c r="FK298" i="2"/>
  <c r="FJ298" i="2"/>
  <c r="FO297" i="2"/>
  <c r="FI297" i="2"/>
  <c r="FH297" i="2"/>
  <c r="FG297" i="2"/>
  <c r="FF297" i="2"/>
  <c r="FE297" i="2"/>
  <c r="FD297" i="2"/>
  <c r="FC297" i="2"/>
  <c r="FA297" i="2"/>
  <c r="FB297" i="2" s="1"/>
  <c r="EZ297" i="2"/>
  <c r="EY297" i="2"/>
  <c r="EX297" i="2"/>
  <c r="EW297" i="2"/>
  <c r="EV297" i="2"/>
  <c r="EU297" i="2"/>
  <c r="ET297" i="2"/>
  <c r="ES297" i="2"/>
  <c r="ER297" i="2"/>
  <c r="EQ297" i="2"/>
  <c r="EP297" i="2"/>
  <c r="EN297" i="2"/>
  <c r="EO297" i="2" s="1"/>
  <c r="EM297" i="2"/>
  <c r="EL297" i="2"/>
  <c r="EK297" i="2"/>
  <c r="EJ297" i="2"/>
  <c r="EI297" i="2"/>
  <c r="EH297" i="2"/>
  <c r="EG297" i="2"/>
  <c r="EF297" i="2"/>
  <c r="EE297" i="2"/>
  <c r="ED297" i="2"/>
  <c r="EC297" i="2"/>
  <c r="EA297" i="2"/>
  <c r="EB297" i="2" s="1"/>
  <c r="DZ297" i="2"/>
  <c r="DY297" i="2"/>
  <c r="DX297" i="2"/>
  <c r="DW297" i="2"/>
  <c r="DV297" i="2"/>
  <c r="DU297" i="2"/>
  <c r="DT297" i="2"/>
  <c r="DS297" i="2"/>
  <c r="DR297" i="2"/>
  <c r="DQ297" i="2"/>
  <c r="DP297" i="2"/>
  <c r="DN297" i="2"/>
  <c r="DO297" i="2" s="1"/>
  <c r="DM297" i="2"/>
  <c r="DL297" i="2"/>
  <c r="DK297" i="2"/>
  <c r="DJ297" i="2"/>
  <c r="DI297" i="2"/>
  <c r="DH297" i="2"/>
  <c r="DG297" i="2"/>
  <c r="DF297" i="2"/>
  <c r="DE297" i="2"/>
  <c r="DD297" i="2"/>
  <c r="DC297" i="2"/>
  <c r="DB297" i="2"/>
  <c r="DA297" i="2"/>
  <c r="CZ297" i="2"/>
  <c r="CY297" i="2"/>
  <c r="CX297" i="2"/>
  <c r="CW297" i="2"/>
  <c r="CV297" i="2"/>
  <c r="CU297" i="2"/>
  <c r="CT297" i="2"/>
  <c r="CS297" i="2"/>
  <c r="CR297" i="2"/>
  <c r="CQ297" i="2"/>
  <c r="CP297" i="2"/>
  <c r="CN297" i="2"/>
  <c r="CO297" i="2" s="1"/>
  <c r="CM297" i="2"/>
  <c r="CL297" i="2"/>
  <c r="CK297" i="2"/>
  <c r="CJ297" i="2"/>
  <c r="CI297" i="2"/>
  <c r="CH297" i="2"/>
  <c r="CG297" i="2"/>
  <c r="CF297" i="2"/>
  <c r="CE297" i="2"/>
  <c r="CD297" i="2"/>
  <c r="CC297" i="2"/>
  <c r="CB297" i="2"/>
  <c r="CA297" i="2"/>
  <c r="BZ297" i="2"/>
  <c r="BY297" i="2"/>
  <c r="BX297" i="2"/>
  <c r="BW297" i="2"/>
  <c r="BV297" i="2"/>
  <c r="BU297" i="2"/>
  <c r="BT297" i="2"/>
  <c r="BS297" i="2"/>
  <c r="BR297" i="2"/>
  <c r="BQ297" i="2"/>
  <c r="BP297" i="2"/>
  <c r="BN297" i="2"/>
  <c r="BO297" i="2" s="1"/>
  <c r="BM297" i="2"/>
  <c r="BL297" i="2"/>
  <c r="BK297" i="2"/>
  <c r="BJ297" i="2"/>
  <c r="BI297" i="2"/>
  <c r="BH297" i="2"/>
  <c r="BG297" i="2"/>
  <c r="BF297" i="2"/>
  <c r="BE297" i="2"/>
  <c r="BD297" i="2"/>
  <c r="BC297" i="2"/>
  <c r="BA297" i="2"/>
  <c r="BB297" i="2" s="1"/>
  <c r="AZ297" i="2"/>
  <c r="AY297" i="2"/>
  <c r="AX297" i="2"/>
  <c r="AW297" i="2"/>
  <c r="AV297" i="2"/>
  <c r="AU297" i="2"/>
  <c r="AT297" i="2"/>
  <c r="AS297" i="2"/>
  <c r="AR297" i="2"/>
  <c r="AQ297" i="2"/>
  <c r="AP297" i="2"/>
  <c r="AN297" i="2"/>
  <c r="AO297" i="2" s="1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N297" i="2"/>
  <c r="O297" i="2" s="1"/>
  <c r="M297" i="2"/>
  <c r="L297" i="2"/>
  <c r="K297" i="2"/>
  <c r="J297" i="2"/>
  <c r="I297" i="2"/>
  <c r="H297" i="2"/>
  <c r="G297" i="2"/>
  <c r="F297" i="2"/>
  <c r="E297" i="2"/>
  <c r="D297" i="2"/>
  <c r="C297" i="2"/>
  <c r="FI296" i="2"/>
  <c r="FO296" i="2" s="1"/>
  <c r="FH296" i="2"/>
  <c r="FG296" i="2"/>
  <c r="FF296" i="2"/>
  <c r="FE296" i="2"/>
  <c r="FD296" i="2"/>
  <c r="FC296" i="2"/>
  <c r="FA296" i="2"/>
  <c r="FB296" i="2" s="1"/>
  <c r="EZ296" i="2"/>
  <c r="EY296" i="2"/>
  <c r="EX296" i="2"/>
  <c r="EW296" i="2"/>
  <c r="EV296" i="2"/>
  <c r="EU296" i="2"/>
  <c r="ET296" i="2"/>
  <c r="ES296" i="2"/>
  <c r="ER296" i="2"/>
  <c r="EQ296" i="2"/>
  <c r="EP296" i="2"/>
  <c r="EN296" i="2"/>
  <c r="EO296" i="2" s="1"/>
  <c r="EM296" i="2"/>
  <c r="EL296" i="2"/>
  <c r="EK296" i="2"/>
  <c r="EJ296" i="2"/>
  <c r="EI296" i="2"/>
  <c r="EH296" i="2"/>
  <c r="EG296" i="2"/>
  <c r="EF296" i="2"/>
  <c r="EE296" i="2"/>
  <c r="ED296" i="2"/>
  <c r="EC296" i="2"/>
  <c r="EB296" i="2"/>
  <c r="EA296" i="2"/>
  <c r="DZ296" i="2"/>
  <c r="DY296" i="2"/>
  <c r="DX296" i="2"/>
  <c r="DW296" i="2"/>
  <c r="DV296" i="2"/>
  <c r="DU296" i="2"/>
  <c r="DT296" i="2"/>
  <c r="DS296" i="2"/>
  <c r="DR296" i="2"/>
  <c r="DQ296" i="2"/>
  <c r="DP296" i="2"/>
  <c r="DN296" i="2"/>
  <c r="DO296" i="2" s="1"/>
  <c r="DM296" i="2"/>
  <c r="DL296" i="2"/>
  <c r="DK296" i="2"/>
  <c r="DJ296" i="2"/>
  <c r="DI296" i="2"/>
  <c r="DH296" i="2"/>
  <c r="DG296" i="2"/>
  <c r="DF296" i="2"/>
  <c r="DE296" i="2"/>
  <c r="DD296" i="2"/>
  <c r="DC296" i="2"/>
  <c r="DB296" i="2"/>
  <c r="DA296" i="2"/>
  <c r="CZ296" i="2"/>
  <c r="CY296" i="2"/>
  <c r="CX296" i="2"/>
  <c r="CW296" i="2"/>
  <c r="CV296" i="2"/>
  <c r="CU296" i="2"/>
  <c r="CT296" i="2"/>
  <c r="CS296" i="2"/>
  <c r="CR296" i="2"/>
  <c r="CQ296" i="2"/>
  <c r="CP296" i="2"/>
  <c r="CN296" i="2"/>
  <c r="CO296" i="2" s="1"/>
  <c r="CM296" i="2"/>
  <c r="CL296" i="2"/>
  <c r="CK296" i="2"/>
  <c r="CJ296" i="2"/>
  <c r="CI296" i="2"/>
  <c r="CH296" i="2"/>
  <c r="CG296" i="2"/>
  <c r="CF296" i="2"/>
  <c r="CE296" i="2"/>
  <c r="CD296" i="2"/>
  <c r="CC296" i="2"/>
  <c r="CB296" i="2"/>
  <c r="CA296" i="2"/>
  <c r="BZ296" i="2"/>
  <c r="BY296" i="2"/>
  <c r="BX296" i="2"/>
  <c r="BW296" i="2"/>
  <c r="BV296" i="2"/>
  <c r="BU296" i="2"/>
  <c r="BT296" i="2"/>
  <c r="BS296" i="2"/>
  <c r="BR296" i="2"/>
  <c r="BQ296" i="2"/>
  <c r="BP296" i="2"/>
  <c r="BN296" i="2"/>
  <c r="BO296" i="2" s="1"/>
  <c r="BM296" i="2"/>
  <c r="BL296" i="2"/>
  <c r="BK296" i="2"/>
  <c r="BJ296" i="2"/>
  <c r="BI296" i="2"/>
  <c r="BH296" i="2"/>
  <c r="BG296" i="2"/>
  <c r="BF296" i="2"/>
  <c r="BE296" i="2"/>
  <c r="BD296" i="2"/>
  <c r="BC296" i="2"/>
  <c r="BA296" i="2"/>
  <c r="BB296" i="2" s="1"/>
  <c r="AZ296" i="2"/>
  <c r="AY296" i="2"/>
  <c r="AX296" i="2"/>
  <c r="AW296" i="2"/>
  <c r="AV296" i="2"/>
  <c r="AU296" i="2"/>
  <c r="AT296" i="2"/>
  <c r="AS296" i="2"/>
  <c r="AR296" i="2"/>
  <c r="AQ296" i="2"/>
  <c r="AP296" i="2"/>
  <c r="AN296" i="2"/>
  <c r="AO296" i="2" s="1"/>
  <c r="AM296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N296" i="2"/>
  <c r="O296" i="2" s="1"/>
  <c r="M296" i="2"/>
  <c r="L296" i="2"/>
  <c r="K296" i="2"/>
  <c r="J296" i="2"/>
  <c r="I296" i="2"/>
  <c r="H296" i="2"/>
  <c r="G296" i="2"/>
  <c r="F296" i="2"/>
  <c r="E296" i="2"/>
  <c r="D296" i="2"/>
  <c r="C296" i="2"/>
  <c r="FI295" i="2"/>
  <c r="FO295" i="2" s="1"/>
  <c r="FH295" i="2"/>
  <c r="FG295" i="2"/>
  <c r="FF295" i="2"/>
  <c r="FE295" i="2"/>
  <c r="FD295" i="2"/>
  <c r="FC295" i="2"/>
  <c r="FA295" i="2"/>
  <c r="FB295" i="2" s="1"/>
  <c r="EZ295" i="2"/>
  <c r="EY295" i="2"/>
  <c r="EX295" i="2"/>
  <c r="EW295" i="2"/>
  <c r="EV295" i="2"/>
  <c r="EU295" i="2"/>
  <c r="ET295" i="2"/>
  <c r="ES295" i="2"/>
  <c r="ER295" i="2"/>
  <c r="EQ295" i="2"/>
  <c r="EP295" i="2"/>
  <c r="EN295" i="2"/>
  <c r="EO295" i="2" s="1"/>
  <c r="EM295" i="2"/>
  <c r="EL295" i="2"/>
  <c r="EK295" i="2"/>
  <c r="EJ295" i="2"/>
  <c r="EI295" i="2"/>
  <c r="EH295" i="2"/>
  <c r="EG295" i="2"/>
  <c r="EF295" i="2"/>
  <c r="EE295" i="2"/>
  <c r="ED295" i="2"/>
  <c r="EC295" i="2"/>
  <c r="EB295" i="2"/>
  <c r="EA295" i="2"/>
  <c r="DZ295" i="2"/>
  <c r="DY295" i="2"/>
  <c r="DX295" i="2"/>
  <c r="DW295" i="2"/>
  <c r="DV295" i="2"/>
  <c r="DU295" i="2"/>
  <c r="DT295" i="2"/>
  <c r="DS295" i="2"/>
  <c r="DR295" i="2"/>
  <c r="DQ295" i="2"/>
  <c r="DP295" i="2"/>
  <c r="DN295" i="2"/>
  <c r="DO295" i="2" s="1"/>
  <c r="DM295" i="2"/>
  <c r="DL295" i="2"/>
  <c r="DK295" i="2"/>
  <c r="DJ295" i="2"/>
  <c r="DI295" i="2"/>
  <c r="DH295" i="2"/>
  <c r="DG295" i="2"/>
  <c r="DF295" i="2"/>
  <c r="DE295" i="2"/>
  <c r="DD295" i="2"/>
  <c r="DC295" i="2"/>
  <c r="DA295" i="2"/>
  <c r="DB295" i="2" s="1"/>
  <c r="CZ295" i="2"/>
  <c r="CY295" i="2"/>
  <c r="CX295" i="2"/>
  <c r="CW295" i="2"/>
  <c r="CV295" i="2"/>
  <c r="CU295" i="2"/>
  <c r="CT295" i="2"/>
  <c r="CS295" i="2"/>
  <c r="CR295" i="2"/>
  <c r="CQ295" i="2"/>
  <c r="CP295" i="2"/>
  <c r="CN295" i="2"/>
  <c r="CO295" i="2" s="1"/>
  <c r="CM295" i="2"/>
  <c r="CL295" i="2"/>
  <c r="CK295" i="2"/>
  <c r="CJ295" i="2"/>
  <c r="CI295" i="2"/>
  <c r="CH295" i="2"/>
  <c r="CG295" i="2"/>
  <c r="CF295" i="2"/>
  <c r="CE295" i="2"/>
  <c r="CD295" i="2"/>
  <c r="CC295" i="2"/>
  <c r="CB295" i="2"/>
  <c r="CA295" i="2"/>
  <c r="BZ295" i="2"/>
  <c r="BY295" i="2"/>
  <c r="BX295" i="2"/>
  <c r="BW295" i="2"/>
  <c r="BV295" i="2"/>
  <c r="BU295" i="2"/>
  <c r="BT295" i="2"/>
  <c r="BS295" i="2"/>
  <c r="BR295" i="2"/>
  <c r="BQ295" i="2"/>
  <c r="BP295" i="2"/>
  <c r="BN295" i="2"/>
  <c r="BO295" i="2" s="1"/>
  <c r="BM295" i="2"/>
  <c r="BL295" i="2"/>
  <c r="BK295" i="2"/>
  <c r="BJ295" i="2"/>
  <c r="BI295" i="2"/>
  <c r="BH295" i="2"/>
  <c r="BG295" i="2"/>
  <c r="BF295" i="2"/>
  <c r="BE295" i="2"/>
  <c r="BD295" i="2"/>
  <c r="BC295" i="2"/>
  <c r="BA295" i="2"/>
  <c r="BB295" i="2" s="1"/>
  <c r="AZ295" i="2"/>
  <c r="AY295" i="2"/>
  <c r="AX295" i="2"/>
  <c r="AW295" i="2"/>
  <c r="AV295" i="2"/>
  <c r="AU295" i="2"/>
  <c r="AT295" i="2"/>
  <c r="AS295" i="2"/>
  <c r="AR295" i="2"/>
  <c r="AQ295" i="2"/>
  <c r="AP295" i="2"/>
  <c r="AN295" i="2"/>
  <c r="AO295" i="2" s="1"/>
  <c r="AM295" i="2"/>
  <c r="AL295" i="2"/>
  <c r="AK295" i="2"/>
  <c r="AJ295" i="2"/>
  <c r="AI295" i="2"/>
  <c r="AH295" i="2"/>
  <c r="AG295" i="2"/>
  <c r="AF295" i="2"/>
  <c r="AE295" i="2"/>
  <c r="AD295" i="2"/>
  <c r="AC295" i="2"/>
  <c r="AA295" i="2"/>
  <c r="AB295" i="2" s="1"/>
  <c r="Z295" i="2"/>
  <c r="Y295" i="2"/>
  <c r="X295" i="2"/>
  <c r="W295" i="2"/>
  <c r="V295" i="2"/>
  <c r="U295" i="2"/>
  <c r="T295" i="2"/>
  <c r="S295" i="2"/>
  <c r="R295" i="2"/>
  <c r="Q295" i="2"/>
  <c r="P295" i="2"/>
  <c r="N295" i="2"/>
  <c r="O295" i="2" s="1"/>
  <c r="M295" i="2"/>
  <c r="L295" i="2"/>
  <c r="K295" i="2"/>
  <c r="J295" i="2"/>
  <c r="I295" i="2"/>
  <c r="H295" i="2"/>
  <c r="G295" i="2"/>
  <c r="F295" i="2"/>
  <c r="E295" i="2"/>
  <c r="D295" i="2"/>
  <c r="C295" i="2"/>
  <c r="FO294" i="2"/>
  <c r="FI294" i="2"/>
  <c r="FH294" i="2"/>
  <c r="FG294" i="2"/>
  <c r="FF294" i="2"/>
  <c r="FE294" i="2"/>
  <c r="FD294" i="2"/>
  <c r="FC294" i="2"/>
  <c r="FA294" i="2"/>
  <c r="FB294" i="2" s="1"/>
  <c r="EZ294" i="2"/>
  <c r="EY294" i="2"/>
  <c r="EX294" i="2"/>
  <c r="EW294" i="2"/>
  <c r="EV294" i="2"/>
  <c r="EU294" i="2"/>
  <c r="ET294" i="2"/>
  <c r="ES294" i="2"/>
  <c r="ER294" i="2"/>
  <c r="EQ294" i="2"/>
  <c r="EP294" i="2"/>
  <c r="EN294" i="2"/>
  <c r="EO294" i="2" s="1"/>
  <c r="EM294" i="2"/>
  <c r="EL294" i="2"/>
  <c r="EK294" i="2"/>
  <c r="EJ294" i="2"/>
  <c r="EI294" i="2"/>
  <c r="EH294" i="2"/>
  <c r="EG294" i="2"/>
  <c r="EF294" i="2"/>
  <c r="EE294" i="2"/>
  <c r="ED294" i="2"/>
  <c r="EC294" i="2"/>
  <c r="EB294" i="2"/>
  <c r="EA294" i="2"/>
  <c r="DZ294" i="2"/>
  <c r="DY294" i="2"/>
  <c r="DX294" i="2"/>
  <c r="DW294" i="2"/>
  <c r="DV294" i="2"/>
  <c r="DU294" i="2"/>
  <c r="DT294" i="2"/>
  <c r="DS294" i="2"/>
  <c r="DR294" i="2"/>
  <c r="DQ294" i="2"/>
  <c r="DP294" i="2"/>
  <c r="DN294" i="2"/>
  <c r="DO294" i="2" s="1"/>
  <c r="DM294" i="2"/>
  <c r="DL294" i="2"/>
  <c r="DK294" i="2"/>
  <c r="DJ294" i="2"/>
  <c r="DI294" i="2"/>
  <c r="DH294" i="2"/>
  <c r="DG294" i="2"/>
  <c r="DF294" i="2"/>
  <c r="DE294" i="2"/>
  <c r="DD294" i="2"/>
  <c r="DC294" i="2"/>
  <c r="DA294" i="2"/>
  <c r="DB294" i="2" s="1"/>
  <c r="CZ294" i="2"/>
  <c r="CY294" i="2"/>
  <c r="CX294" i="2"/>
  <c r="CW294" i="2"/>
  <c r="CV294" i="2"/>
  <c r="CU294" i="2"/>
  <c r="CT294" i="2"/>
  <c r="CS294" i="2"/>
  <c r="CR294" i="2"/>
  <c r="CQ294" i="2"/>
  <c r="CP294" i="2"/>
  <c r="CN294" i="2"/>
  <c r="CO294" i="2" s="1"/>
  <c r="CM294" i="2"/>
  <c r="CL294" i="2"/>
  <c r="CK294" i="2"/>
  <c r="CJ294" i="2"/>
  <c r="CI294" i="2"/>
  <c r="CH294" i="2"/>
  <c r="CG294" i="2"/>
  <c r="CF294" i="2"/>
  <c r="CE294" i="2"/>
  <c r="CD294" i="2"/>
  <c r="CC294" i="2"/>
  <c r="CA294" i="2"/>
  <c r="CB294" i="2" s="1"/>
  <c r="BZ294" i="2"/>
  <c r="BY294" i="2"/>
  <c r="BX294" i="2"/>
  <c r="BW294" i="2"/>
  <c r="BV294" i="2"/>
  <c r="BU294" i="2"/>
  <c r="BT294" i="2"/>
  <c r="BS294" i="2"/>
  <c r="BR294" i="2"/>
  <c r="BQ294" i="2"/>
  <c r="BP294" i="2"/>
  <c r="BO294" i="2"/>
  <c r="BN294" i="2"/>
  <c r="BM294" i="2"/>
  <c r="BL294" i="2"/>
  <c r="BK294" i="2"/>
  <c r="BJ294" i="2"/>
  <c r="BI294" i="2"/>
  <c r="BH294" i="2"/>
  <c r="BG294" i="2"/>
  <c r="BF294" i="2"/>
  <c r="BE294" i="2"/>
  <c r="BD294" i="2"/>
  <c r="BC294" i="2"/>
  <c r="BA294" i="2"/>
  <c r="BB294" i="2" s="1"/>
  <c r="AZ294" i="2"/>
  <c r="AY294" i="2"/>
  <c r="AX294" i="2"/>
  <c r="AW294" i="2"/>
  <c r="AV294" i="2"/>
  <c r="AU294" i="2"/>
  <c r="AT294" i="2"/>
  <c r="AS294" i="2"/>
  <c r="AR294" i="2"/>
  <c r="AQ294" i="2"/>
  <c r="AP294" i="2"/>
  <c r="AN294" i="2"/>
  <c r="AO294" i="2" s="1"/>
  <c r="AM294" i="2"/>
  <c r="AL294" i="2"/>
  <c r="AK294" i="2"/>
  <c r="AJ294" i="2"/>
  <c r="AI294" i="2"/>
  <c r="AH294" i="2"/>
  <c r="AG294" i="2"/>
  <c r="AF294" i="2"/>
  <c r="AE294" i="2"/>
  <c r="AD294" i="2"/>
  <c r="AC294" i="2"/>
  <c r="AA294" i="2"/>
  <c r="AB294" i="2" s="1"/>
  <c r="Z294" i="2"/>
  <c r="Y294" i="2"/>
  <c r="X294" i="2"/>
  <c r="W294" i="2"/>
  <c r="V294" i="2"/>
  <c r="U294" i="2"/>
  <c r="T294" i="2"/>
  <c r="S294" i="2"/>
  <c r="R294" i="2"/>
  <c r="Q294" i="2"/>
  <c r="P294" i="2"/>
  <c r="N294" i="2"/>
  <c r="O294" i="2" s="1"/>
  <c r="M294" i="2"/>
  <c r="L294" i="2"/>
  <c r="K294" i="2"/>
  <c r="J294" i="2"/>
  <c r="I294" i="2"/>
  <c r="H294" i="2"/>
  <c r="G294" i="2"/>
  <c r="F294" i="2"/>
  <c r="E294" i="2"/>
  <c r="D294" i="2"/>
  <c r="C294" i="2"/>
  <c r="FO293" i="2"/>
  <c r="FI293" i="2"/>
  <c r="FH293" i="2"/>
  <c r="FG293" i="2"/>
  <c r="FF293" i="2"/>
  <c r="FE293" i="2"/>
  <c r="FD293" i="2"/>
  <c r="FC293" i="2"/>
  <c r="FA293" i="2"/>
  <c r="FB293" i="2" s="1"/>
  <c r="EZ293" i="2"/>
  <c r="EY293" i="2"/>
  <c r="EX293" i="2"/>
  <c r="EW293" i="2"/>
  <c r="EV293" i="2"/>
  <c r="EU293" i="2"/>
  <c r="ET293" i="2"/>
  <c r="ES293" i="2"/>
  <c r="ER293" i="2"/>
  <c r="EQ293" i="2"/>
  <c r="EP293" i="2"/>
  <c r="EN293" i="2"/>
  <c r="EO293" i="2" s="1"/>
  <c r="EM293" i="2"/>
  <c r="EL293" i="2"/>
  <c r="EK293" i="2"/>
  <c r="EJ293" i="2"/>
  <c r="EI293" i="2"/>
  <c r="EH293" i="2"/>
  <c r="EG293" i="2"/>
  <c r="EF293" i="2"/>
  <c r="EE293" i="2"/>
  <c r="ED293" i="2"/>
  <c r="EC293" i="2"/>
  <c r="EA293" i="2"/>
  <c r="EB293" i="2" s="1"/>
  <c r="DZ293" i="2"/>
  <c r="DY293" i="2"/>
  <c r="DX293" i="2"/>
  <c r="DW293" i="2"/>
  <c r="DV293" i="2"/>
  <c r="DU293" i="2"/>
  <c r="DT293" i="2"/>
  <c r="DS293" i="2"/>
  <c r="DR293" i="2"/>
  <c r="DQ293" i="2"/>
  <c r="DP293" i="2"/>
  <c r="DN293" i="2"/>
  <c r="DO293" i="2" s="1"/>
  <c r="DM293" i="2"/>
  <c r="DL293" i="2"/>
  <c r="DK293" i="2"/>
  <c r="DJ293" i="2"/>
  <c r="DI293" i="2"/>
  <c r="DH293" i="2"/>
  <c r="DG293" i="2"/>
  <c r="DF293" i="2"/>
  <c r="DE293" i="2"/>
  <c r="DD293" i="2"/>
  <c r="DC293" i="2"/>
  <c r="DA293" i="2"/>
  <c r="DB293" i="2" s="1"/>
  <c r="CZ293" i="2"/>
  <c r="CY293" i="2"/>
  <c r="CX293" i="2"/>
  <c r="CW293" i="2"/>
  <c r="CV293" i="2"/>
  <c r="CU293" i="2"/>
  <c r="CT293" i="2"/>
  <c r="CS293" i="2"/>
  <c r="CR293" i="2"/>
  <c r="CQ293" i="2"/>
  <c r="CP293" i="2"/>
  <c r="CO293" i="2"/>
  <c r="CN293" i="2"/>
  <c r="CM293" i="2"/>
  <c r="CL293" i="2"/>
  <c r="CK293" i="2"/>
  <c r="CJ293" i="2"/>
  <c r="CI293" i="2"/>
  <c r="CH293" i="2"/>
  <c r="CG293" i="2"/>
  <c r="CF293" i="2"/>
  <c r="CE293" i="2"/>
  <c r="CD293" i="2"/>
  <c r="CC293" i="2"/>
  <c r="CA293" i="2"/>
  <c r="CB293" i="2" s="1"/>
  <c r="BZ293" i="2"/>
  <c r="BY293" i="2"/>
  <c r="BX293" i="2"/>
  <c r="BW293" i="2"/>
  <c r="BV293" i="2"/>
  <c r="BU293" i="2"/>
  <c r="BT293" i="2"/>
  <c r="BS293" i="2"/>
  <c r="BR293" i="2"/>
  <c r="BQ293" i="2"/>
  <c r="BP293" i="2"/>
  <c r="BN293" i="2"/>
  <c r="BO293" i="2" s="1"/>
  <c r="BM293" i="2"/>
  <c r="BL293" i="2"/>
  <c r="BK293" i="2"/>
  <c r="BJ293" i="2"/>
  <c r="BI293" i="2"/>
  <c r="BH293" i="2"/>
  <c r="BG293" i="2"/>
  <c r="BF293" i="2"/>
  <c r="BE293" i="2"/>
  <c r="BD293" i="2"/>
  <c r="BC293" i="2"/>
  <c r="BB293" i="2"/>
  <c r="BA293" i="2"/>
  <c r="AZ293" i="2"/>
  <c r="AY293" i="2"/>
  <c r="AX293" i="2"/>
  <c r="AW293" i="2"/>
  <c r="AV293" i="2"/>
  <c r="AU293" i="2"/>
  <c r="AT293" i="2"/>
  <c r="AS293" i="2"/>
  <c r="AR293" i="2"/>
  <c r="AQ293" i="2"/>
  <c r="AP293" i="2"/>
  <c r="AN293" i="2"/>
  <c r="AO293" i="2" s="1"/>
  <c r="AM293" i="2"/>
  <c r="AL293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N293" i="2"/>
  <c r="O293" i="2" s="1"/>
  <c r="M293" i="2"/>
  <c r="L293" i="2"/>
  <c r="K293" i="2"/>
  <c r="J293" i="2"/>
  <c r="I293" i="2"/>
  <c r="H293" i="2"/>
  <c r="G293" i="2"/>
  <c r="F293" i="2"/>
  <c r="E293" i="2"/>
  <c r="D293" i="2"/>
  <c r="C293" i="2"/>
  <c r="FI292" i="2"/>
  <c r="FO292" i="2" s="1"/>
  <c r="FH292" i="2"/>
  <c r="FG292" i="2"/>
  <c r="FF292" i="2"/>
  <c r="FE292" i="2"/>
  <c r="FD292" i="2"/>
  <c r="FC292" i="2"/>
  <c r="FB292" i="2"/>
  <c r="FA292" i="2"/>
  <c r="EZ292" i="2"/>
  <c r="EY292" i="2"/>
  <c r="EX292" i="2"/>
  <c r="EW292" i="2"/>
  <c r="EV292" i="2"/>
  <c r="EU292" i="2"/>
  <c r="ET292" i="2"/>
  <c r="ES292" i="2"/>
  <c r="ER292" i="2"/>
  <c r="EQ292" i="2"/>
  <c r="EP292" i="2"/>
  <c r="EN292" i="2"/>
  <c r="EO292" i="2" s="1"/>
  <c r="EM292" i="2"/>
  <c r="EL292" i="2"/>
  <c r="EK292" i="2"/>
  <c r="EJ292" i="2"/>
  <c r="EI292" i="2"/>
  <c r="EH292" i="2"/>
  <c r="EG292" i="2"/>
  <c r="EF292" i="2"/>
  <c r="EE292" i="2"/>
  <c r="ED292" i="2"/>
  <c r="EC292" i="2"/>
  <c r="EB292" i="2"/>
  <c r="EA292" i="2"/>
  <c r="DZ292" i="2"/>
  <c r="DY292" i="2"/>
  <c r="DX292" i="2"/>
  <c r="DW292" i="2"/>
  <c r="DV292" i="2"/>
  <c r="DU292" i="2"/>
  <c r="DT292" i="2"/>
  <c r="DS292" i="2"/>
  <c r="DR292" i="2"/>
  <c r="DQ292" i="2"/>
  <c r="DP292" i="2"/>
  <c r="DO292" i="2"/>
  <c r="DN292" i="2"/>
  <c r="DM292" i="2"/>
  <c r="DL292" i="2"/>
  <c r="DK292" i="2"/>
  <c r="DJ292" i="2"/>
  <c r="DI292" i="2"/>
  <c r="DH292" i="2"/>
  <c r="DG292" i="2"/>
  <c r="DF292" i="2"/>
  <c r="DE292" i="2"/>
  <c r="DD292" i="2"/>
  <c r="DC292" i="2"/>
  <c r="DA292" i="2"/>
  <c r="DB292" i="2" s="1"/>
  <c r="CZ292" i="2"/>
  <c r="CY292" i="2"/>
  <c r="CX292" i="2"/>
  <c r="CW292" i="2"/>
  <c r="CV292" i="2"/>
  <c r="CU292" i="2"/>
  <c r="CT292" i="2"/>
  <c r="CS292" i="2"/>
  <c r="CR292" i="2"/>
  <c r="CQ292" i="2"/>
  <c r="CP292" i="2"/>
  <c r="CN292" i="2"/>
  <c r="CO292" i="2" s="1"/>
  <c r="CM292" i="2"/>
  <c r="CL292" i="2"/>
  <c r="CK292" i="2"/>
  <c r="CJ292" i="2"/>
  <c r="CI292" i="2"/>
  <c r="CH292" i="2"/>
  <c r="CG292" i="2"/>
  <c r="CF292" i="2"/>
  <c r="CE292" i="2"/>
  <c r="CD292" i="2"/>
  <c r="CC292" i="2"/>
  <c r="CB292" i="2"/>
  <c r="CA292" i="2"/>
  <c r="BZ292" i="2"/>
  <c r="BY292" i="2"/>
  <c r="BX292" i="2"/>
  <c r="BW292" i="2"/>
  <c r="BV292" i="2"/>
  <c r="BU292" i="2"/>
  <c r="BT292" i="2"/>
  <c r="BS292" i="2"/>
  <c r="BR292" i="2"/>
  <c r="BQ292" i="2"/>
  <c r="BP292" i="2"/>
  <c r="BN292" i="2"/>
  <c r="BO292" i="2" s="1"/>
  <c r="BM292" i="2"/>
  <c r="BL292" i="2"/>
  <c r="BK292" i="2"/>
  <c r="BJ292" i="2"/>
  <c r="BI292" i="2"/>
  <c r="BH292" i="2"/>
  <c r="BG292" i="2"/>
  <c r="BF292" i="2"/>
  <c r="BE292" i="2"/>
  <c r="BD292" i="2"/>
  <c r="BC292" i="2"/>
  <c r="BA292" i="2"/>
  <c r="BB292" i="2" s="1"/>
  <c r="AZ292" i="2"/>
  <c r="AY292" i="2"/>
  <c r="AX292" i="2"/>
  <c r="AW292" i="2"/>
  <c r="AV292" i="2"/>
  <c r="AU292" i="2"/>
  <c r="AT292" i="2"/>
  <c r="AS292" i="2"/>
  <c r="AR292" i="2"/>
  <c r="AQ292" i="2"/>
  <c r="AP292" i="2"/>
  <c r="AN292" i="2"/>
  <c r="AO292" i="2" s="1"/>
  <c r="AM292" i="2"/>
  <c r="AL292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N292" i="2"/>
  <c r="O292" i="2" s="1"/>
  <c r="M292" i="2"/>
  <c r="L292" i="2"/>
  <c r="K292" i="2"/>
  <c r="J292" i="2"/>
  <c r="I292" i="2"/>
  <c r="H292" i="2"/>
  <c r="G292" i="2"/>
  <c r="F292" i="2"/>
  <c r="E292" i="2"/>
  <c r="D292" i="2"/>
  <c r="C292" i="2"/>
  <c r="FI291" i="2"/>
  <c r="FO291" i="2" s="1"/>
  <c r="FH291" i="2"/>
  <c r="FG291" i="2"/>
  <c r="FF291" i="2"/>
  <c r="FE291" i="2"/>
  <c r="FD291" i="2"/>
  <c r="FC291" i="2"/>
  <c r="FA291" i="2"/>
  <c r="FB291" i="2" s="1"/>
  <c r="EZ291" i="2"/>
  <c r="EY291" i="2"/>
  <c r="EX291" i="2"/>
  <c r="EW291" i="2"/>
  <c r="EV291" i="2"/>
  <c r="EU291" i="2"/>
  <c r="ET291" i="2"/>
  <c r="ES291" i="2"/>
  <c r="ER291" i="2"/>
  <c r="EQ291" i="2"/>
  <c r="EP291" i="2"/>
  <c r="EN291" i="2"/>
  <c r="EO291" i="2" s="1"/>
  <c r="EM291" i="2"/>
  <c r="EL291" i="2"/>
  <c r="EK291" i="2"/>
  <c r="EJ291" i="2"/>
  <c r="EI291" i="2"/>
  <c r="EH291" i="2"/>
  <c r="EG291" i="2"/>
  <c r="EF291" i="2"/>
  <c r="EE291" i="2"/>
  <c r="ED291" i="2"/>
  <c r="EC291" i="2"/>
  <c r="EB291" i="2"/>
  <c r="EA291" i="2"/>
  <c r="DZ291" i="2"/>
  <c r="DY291" i="2"/>
  <c r="DX291" i="2"/>
  <c r="DW291" i="2"/>
  <c r="DV291" i="2"/>
  <c r="DU291" i="2"/>
  <c r="DT291" i="2"/>
  <c r="DS291" i="2"/>
  <c r="DR291" i="2"/>
  <c r="DQ291" i="2"/>
  <c r="DP291" i="2"/>
  <c r="DN291" i="2"/>
  <c r="DO291" i="2" s="1"/>
  <c r="DM291" i="2"/>
  <c r="DL291" i="2"/>
  <c r="DK291" i="2"/>
  <c r="DJ291" i="2"/>
  <c r="DI291" i="2"/>
  <c r="DH291" i="2"/>
  <c r="DG291" i="2"/>
  <c r="DF291" i="2"/>
  <c r="DE291" i="2"/>
  <c r="DD291" i="2"/>
  <c r="DC291" i="2"/>
  <c r="DA291" i="2"/>
  <c r="DB291" i="2" s="1"/>
  <c r="CZ291" i="2"/>
  <c r="CY291" i="2"/>
  <c r="CX291" i="2"/>
  <c r="CW291" i="2"/>
  <c r="CV291" i="2"/>
  <c r="CU291" i="2"/>
  <c r="CT291" i="2"/>
  <c r="CS291" i="2"/>
  <c r="CR291" i="2"/>
  <c r="CQ291" i="2"/>
  <c r="CP291" i="2"/>
  <c r="CN291" i="2"/>
  <c r="CO291" i="2" s="1"/>
  <c r="CM291" i="2"/>
  <c r="CL291" i="2"/>
  <c r="CK291" i="2"/>
  <c r="CJ291" i="2"/>
  <c r="CI291" i="2"/>
  <c r="CH291" i="2"/>
  <c r="CG291" i="2"/>
  <c r="CF291" i="2"/>
  <c r="CE291" i="2"/>
  <c r="CD291" i="2"/>
  <c r="CC291" i="2"/>
  <c r="CB291" i="2"/>
  <c r="CA291" i="2"/>
  <c r="BZ291" i="2"/>
  <c r="BY291" i="2"/>
  <c r="BX291" i="2"/>
  <c r="BW291" i="2"/>
  <c r="BV291" i="2"/>
  <c r="BU291" i="2"/>
  <c r="BT291" i="2"/>
  <c r="BS291" i="2"/>
  <c r="BR291" i="2"/>
  <c r="BQ291" i="2"/>
  <c r="BP291" i="2"/>
  <c r="BN291" i="2"/>
  <c r="BO291" i="2" s="1"/>
  <c r="BM291" i="2"/>
  <c r="BL291" i="2"/>
  <c r="BK291" i="2"/>
  <c r="BJ291" i="2"/>
  <c r="BI291" i="2"/>
  <c r="BH291" i="2"/>
  <c r="BG291" i="2"/>
  <c r="BF291" i="2"/>
  <c r="BE291" i="2"/>
  <c r="BD291" i="2"/>
  <c r="BC291" i="2"/>
  <c r="BA291" i="2"/>
  <c r="BB291" i="2" s="1"/>
  <c r="AZ291" i="2"/>
  <c r="AY291" i="2"/>
  <c r="AX291" i="2"/>
  <c r="AW291" i="2"/>
  <c r="AV291" i="2"/>
  <c r="AU291" i="2"/>
  <c r="AT291" i="2"/>
  <c r="AS291" i="2"/>
  <c r="AR291" i="2"/>
  <c r="AQ291" i="2"/>
  <c r="AP291" i="2"/>
  <c r="AN291" i="2"/>
  <c r="AO291" i="2" s="1"/>
  <c r="AM291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N291" i="2"/>
  <c r="O291" i="2" s="1"/>
  <c r="M291" i="2"/>
  <c r="L291" i="2"/>
  <c r="K291" i="2"/>
  <c r="J291" i="2"/>
  <c r="I291" i="2"/>
  <c r="H291" i="2"/>
  <c r="G291" i="2"/>
  <c r="F291" i="2"/>
  <c r="E291" i="2"/>
  <c r="D291" i="2"/>
  <c r="C291" i="2"/>
  <c r="FI290" i="2"/>
  <c r="FO290" i="2" s="1"/>
  <c r="FH290" i="2"/>
  <c r="FG290" i="2"/>
  <c r="FF290" i="2"/>
  <c r="FE290" i="2"/>
  <c r="FD290" i="2"/>
  <c r="FC290" i="2"/>
  <c r="FA290" i="2"/>
  <c r="FB290" i="2" s="1"/>
  <c r="EZ290" i="2"/>
  <c r="EY290" i="2"/>
  <c r="EX290" i="2"/>
  <c r="EW290" i="2"/>
  <c r="EV290" i="2"/>
  <c r="EU290" i="2"/>
  <c r="ET290" i="2"/>
  <c r="ES290" i="2"/>
  <c r="ER290" i="2"/>
  <c r="EQ290" i="2"/>
  <c r="EP290" i="2"/>
  <c r="EN290" i="2"/>
  <c r="EO290" i="2" s="1"/>
  <c r="EM290" i="2"/>
  <c r="EL290" i="2"/>
  <c r="EK290" i="2"/>
  <c r="EJ290" i="2"/>
  <c r="EI290" i="2"/>
  <c r="EH290" i="2"/>
  <c r="EG290" i="2"/>
  <c r="EF290" i="2"/>
  <c r="EE290" i="2"/>
  <c r="ED290" i="2"/>
  <c r="EC290" i="2"/>
  <c r="EB290" i="2"/>
  <c r="EA290" i="2"/>
  <c r="DZ290" i="2"/>
  <c r="DY290" i="2"/>
  <c r="DX290" i="2"/>
  <c r="DW290" i="2"/>
  <c r="DV290" i="2"/>
  <c r="DU290" i="2"/>
  <c r="DT290" i="2"/>
  <c r="DS290" i="2"/>
  <c r="DR290" i="2"/>
  <c r="DQ290" i="2"/>
  <c r="DP290" i="2"/>
  <c r="DN290" i="2"/>
  <c r="DO290" i="2" s="1"/>
  <c r="DM290" i="2"/>
  <c r="DL290" i="2"/>
  <c r="DK290" i="2"/>
  <c r="DJ290" i="2"/>
  <c r="DI290" i="2"/>
  <c r="DH290" i="2"/>
  <c r="DG290" i="2"/>
  <c r="DF290" i="2"/>
  <c r="DE290" i="2"/>
  <c r="DD290" i="2"/>
  <c r="DC290" i="2"/>
  <c r="DA290" i="2"/>
  <c r="DB290" i="2" s="1"/>
  <c r="CZ290" i="2"/>
  <c r="CY290" i="2"/>
  <c r="CX290" i="2"/>
  <c r="CW290" i="2"/>
  <c r="CV290" i="2"/>
  <c r="CU290" i="2"/>
  <c r="CT290" i="2"/>
  <c r="CS290" i="2"/>
  <c r="CR290" i="2"/>
  <c r="CQ290" i="2"/>
  <c r="CP290" i="2"/>
  <c r="CN290" i="2"/>
  <c r="CO290" i="2" s="1"/>
  <c r="CM290" i="2"/>
  <c r="CL290" i="2"/>
  <c r="CK290" i="2"/>
  <c r="CJ290" i="2"/>
  <c r="CI290" i="2"/>
  <c r="CH290" i="2"/>
  <c r="CG290" i="2"/>
  <c r="CF290" i="2"/>
  <c r="CE290" i="2"/>
  <c r="CD290" i="2"/>
  <c r="CC290" i="2"/>
  <c r="CA290" i="2"/>
  <c r="CB290" i="2" s="1"/>
  <c r="BZ290" i="2"/>
  <c r="BY290" i="2"/>
  <c r="BX290" i="2"/>
  <c r="BW290" i="2"/>
  <c r="BV290" i="2"/>
  <c r="BU290" i="2"/>
  <c r="BT290" i="2"/>
  <c r="BS290" i="2"/>
  <c r="BR290" i="2"/>
  <c r="BQ290" i="2"/>
  <c r="BP290" i="2"/>
  <c r="BN290" i="2"/>
  <c r="BO290" i="2" s="1"/>
  <c r="BM290" i="2"/>
  <c r="BL290" i="2"/>
  <c r="BK290" i="2"/>
  <c r="BJ290" i="2"/>
  <c r="BI290" i="2"/>
  <c r="BH290" i="2"/>
  <c r="BG290" i="2"/>
  <c r="BF290" i="2"/>
  <c r="BE290" i="2"/>
  <c r="BD290" i="2"/>
  <c r="BC290" i="2"/>
  <c r="BA290" i="2"/>
  <c r="BB290" i="2" s="1"/>
  <c r="AZ290" i="2"/>
  <c r="AY290" i="2"/>
  <c r="AX290" i="2"/>
  <c r="AW290" i="2"/>
  <c r="AV290" i="2"/>
  <c r="AU290" i="2"/>
  <c r="AT290" i="2"/>
  <c r="AS290" i="2"/>
  <c r="AR290" i="2"/>
  <c r="AQ290" i="2"/>
  <c r="AP290" i="2"/>
  <c r="AN290" i="2"/>
  <c r="AO290" i="2" s="1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N290" i="2"/>
  <c r="O290" i="2" s="1"/>
  <c r="M290" i="2"/>
  <c r="L290" i="2"/>
  <c r="K290" i="2"/>
  <c r="J290" i="2"/>
  <c r="I290" i="2"/>
  <c r="H290" i="2"/>
  <c r="G290" i="2"/>
  <c r="F290" i="2"/>
  <c r="E290" i="2"/>
  <c r="D290" i="2"/>
  <c r="C290" i="2"/>
  <c r="FI289" i="2"/>
  <c r="FO289" i="2" s="1"/>
  <c r="FH289" i="2"/>
  <c r="FG289" i="2"/>
  <c r="FF289" i="2"/>
  <c r="FE289" i="2"/>
  <c r="FD289" i="2"/>
  <c r="FC289" i="2"/>
  <c r="FA289" i="2"/>
  <c r="FB289" i="2" s="1"/>
  <c r="EZ289" i="2"/>
  <c r="EY289" i="2"/>
  <c r="EX289" i="2"/>
  <c r="EW289" i="2"/>
  <c r="EV289" i="2"/>
  <c r="EU289" i="2"/>
  <c r="ET289" i="2"/>
  <c r="ES289" i="2"/>
  <c r="ER289" i="2"/>
  <c r="EQ289" i="2"/>
  <c r="EP289" i="2"/>
  <c r="EN289" i="2"/>
  <c r="EO289" i="2" s="1"/>
  <c r="EM289" i="2"/>
  <c r="EL289" i="2"/>
  <c r="EK289" i="2"/>
  <c r="EJ289" i="2"/>
  <c r="EI289" i="2"/>
  <c r="EH289" i="2"/>
  <c r="EG289" i="2"/>
  <c r="EF289" i="2"/>
  <c r="EE289" i="2"/>
  <c r="ED289" i="2"/>
  <c r="EC289" i="2"/>
  <c r="EB289" i="2"/>
  <c r="EA289" i="2"/>
  <c r="DZ289" i="2"/>
  <c r="DY289" i="2"/>
  <c r="DX289" i="2"/>
  <c r="DW289" i="2"/>
  <c r="DV289" i="2"/>
  <c r="DU289" i="2"/>
  <c r="DT289" i="2"/>
  <c r="DS289" i="2"/>
  <c r="DR289" i="2"/>
  <c r="DQ289" i="2"/>
  <c r="DP289" i="2"/>
  <c r="DN289" i="2"/>
  <c r="DO289" i="2" s="1"/>
  <c r="DM289" i="2"/>
  <c r="DL289" i="2"/>
  <c r="DK289" i="2"/>
  <c r="DJ289" i="2"/>
  <c r="DI289" i="2"/>
  <c r="DH289" i="2"/>
  <c r="DG289" i="2"/>
  <c r="DF289" i="2"/>
  <c r="DE289" i="2"/>
  <c r="DD289" i="2"/>
  <c r="DC289" i="2"/>
  <c r="DA289" i="2"/>
  <c r="DB289" i="2" s="1"/>
  <c r="CZ289" i="2"/>
  <c r="CY289" i="2"/>
  <c r="CX289" i="2"/>
  <c r="CW289" i="2"/>
  <c r="CV289" i="2"/>
  <c r="CU289" i="2"/>
  <c r="CT289" i="2"/>
  <c r="CS289" i="2"/>
  <c r="CR289" i="2"/>
  <c r="CQ289" i="2"/>
  <c r="CP289" i="2"/>
  <c r="CN289" i="2"/>
  <c r="CO289" i="2" s="1"/>
  <c r="CM289" i="2"/>
  <c r="CL289" i="2"/>
  <c r="CK289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N289" i="2"/>
  <c r="BO289" i="2" s="1"/>
  <c r="BM289" i="2"/>
  <c r="BL289" i="2"/>
  <c r="BK289" i="2"/>
  <c r="BJ289" i="2"/>
  <c r="BI289" i="2"/>
  <c r="BH289" i="2"/>
  <c r="BG289" i="2"/>
  <c r="BF289" i="2"/>
  <c r="BE289" i="2"/>
  <c r="BD289" i="2"/>
  <c r="BC289" i="2"/>
  <c r="BA289" i="2"/>
  <c r="BB289" i="2" s="1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A289" i="2"/>
  <c r="AB289" i="2" s="1"/>
  <c r="Z289" i="2"/>
  <c r="Y289" i="2"/>
  <c r="X289" i="2"/>
  <c r="W289" i="2"/>
  <c r="V289" i="2"/>
  <c r="U289" i="2"/>
  <c r="T289" i="2"/>
  <c r="S289" i="2"/>
  <c r="R289" i="2"/>
  <c r="Q289" i="2"/>
  <c r="P289" i="2"/>
  <c r="N289" i="2"/>
  <c r="O289" i="2" s="1"/>
  <c r="M289" i="2"/>
  <c r="L289" i="2"/>
  <c r="K289" i="2"/>
  <c r="J289" i="2"/>
  <c r="I289" i="2"/>
  <c r="H289" i="2"/>
  <c r="G289" i="2"/>
  <c r="F289" i="2"/>
  <c r="E289" i="2"/>
  <c r="D289" i="2"/>
  <c r="C289" i="2"/>
  <c r="FI288" i="2"/>
  <c r="FO288" i="2" s="1"/>
  <c r="FH288" i="2"/>
  <c r="FG288" i="2"/>
  <c r="FF288" i="2"/>
  <c r="FE288" i="2"/>
  <c r="FD288" i="2"/>
  <c r="FC288" i="2"/>
  <c r="FB288" i="2"/>
  <c r="FA288" i="2"/>
  <c r="EZ288" i="2"/>
  <c r="EY288" i="2"/>
  <c r="EX288" i="2"/>
  <c r="EW288" i="2"/>
  <c r="EV288" i="2"/>
  <c r="EU288" i="2"/>
  <c r="ET288" i="2"/>
  <c r="ES288" i="2"/>
  <c r="ER288" i="2"/>
  <c r="EQ288" i="2"/>
  <c r="EP288" i="2"/>
  <c r="EN288" i="2"/>
  <c r="EO288" i="2" s="1"/>
  <c r="EM288" i="2"/>
  <c r="EL288" i="2"/>
  <c r="EK288" i="2"/>
  <c r="EJ288" i="2"/>
  <c r="EI288" i="2"/>
  <c r="EH288" i="2"/>
  <c r="EG288" i="2"/>
  <c r="EF288" i="2"/>
  <c r="EE288" i="2"/>
  <c r="ED288" i="2"/>
  <c r="EC288" i="2"/>
  <c r="EB288" i="2"/>
  <c r="EA288" i="2"/>
  <c r="DZ288" i="2"/>
  <c r="DY288" i="2"/>
  <c r="DX288" i="2"/>
  <c r="DW288" i="2"/>
  <c r="DV288" i="2"/>
  <c r="DU288" i="2"/>
  <c r="DT288" i="2"/>
  <c r="DS288" i="2"/>
  <c r="DR288" i="2"/>
  <c r="DQ288" i="2"/>
  <c r="DP288" i="2"/>
  <c r="DN288" i="2"/>
  <c r="DO288" i="2" s="1"/>
  <c r="DM288" i="2"/>
  <c r="DL288" i="2"/>
  <c r="DK288" i="2"/>
  <c r="DJ288" i="2"/>
  <c r="DI288" i="2"/>
  <c r="DH288" i="2"/>
  <c r="DG288" i="2"/>
  <c r="DF288" i="2"/>
  <c r="DE288" i="2"/>
  <c r="DD288" i="2"/>
  <c r="DC288" i="2"/>
  <c r="DA288" i="2"/>
  <c r="DB288" i="2" s="1"/>
  <c r="CZ288" i="2"/>
  <c r="CY288" i="2"/>
  <c r="CX288" i="2"/>
  <c r="CW288" i="2"/>
  <c r="CV288" i="2"/>
  <c r="CU288" i="2"/>
  <c r="CT288" i="2"/>
  <c r="CS288" i="2"/>
  <c r="CR288" i="2"/>
  <c r="CQ288" i="2"/>
  <c r="CP288" i="2"/>
  <c r="CN288" i="2"/>
  <c r="CO288" i="2" s="1"/>
  <c r="CM288" i="2"/>
  <c r="CL288" i="2"/>
  <c r="CK288" i="2"/>
  <c r="CJ288" i="2"/>
  <c r="CI288" i="2"/>
  <c r="CH288" i="2"/>
  <c r="CG288" i="2"/>
  <c r="CF288" i="2"/>
  <c r="CE288" i="2"/>
  <c r="CD288" i="2"/>
  <c r="CC288" i="2"/>
  <c r="CA288" i="2"/>
  <c r="CB288" i="2" s="1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A288" i="2"/>
  <c r="BB288" i="2" s="1"/>
  <c r="AZ288" i="2"/>
  <c r="AY288" i="2"/>
  <c r="AX288" i="2"/>
  <c r="AW288" i="2"/>
  <c r="AV288" i="2"/>
  <c r="AU288" i="2"/>
  <c r="AT288" i="2"/>
  <c r="AS288" i="2"/>
  <c r="AR288" i="2"/>
  <c r="AQ288" i="2"/>
  <c r="AP288" i="2"/>
  <c r="AN288" i="2"/>
  <c r="AO288" i="2" s="1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N288" i="2"/>
  <c r="O288" i="2" s="1"/>
  <c r="M288" i="2"/>
  <c r="L288" i="2"/>
  <c r="K288" i="2"/>
  <c r="J288" i="2"/>
  <c r="I288" i="2"/>
  <c r="H288" i="2"/>
  <c r="G288" i="2"/>
  <c r="F288" i="2"/>
  <c r="E288" i="2"/>
  <c r="D288" i="2"/>
  <c r="C288" i="2"/>
  <c r="FI287" i="2"/>
  <c r="FO287" i="2" s="1"/>
  <c r="FH287" i="2"/>
  <c r="FG287" i="2"/>
  <c r="FF287" i="2"/>
  <c r="FE287" i="2"/>
  <c r="FD287" i="2"/>
  <c r="FC287" i="2"/>
  <c r="FA287" i="2"/>
  <c r="FB287" i="2" s="1"/>
  <c r="EZ287" i="2"/>
  <c r="EY287" i="2"/>
  <c r="EX287" i="2"/>
  <c r="EW287" i="2"/>
  <c r="EV287" i="2"/>
  <c r="EU287" i="2"/>
  <c r="ET287" i="2"/>
  <c r="ES287" i="2"/>
  <c r="ER287" i="2"/>
  <c r="EQ287" i="2"/>
  <c r="EP287" i="2"/>
  <c r="EN287" i="2"/>
  <c r="EO287" i="2" s="1"/>
  <c r="EM287" i="2"/>
  <c r="EL287" i="2"/>
  <c r="EK287" i="2"/>
  <c r="EJ287" i="2"/>
  <c r="EI287" i="2"/>
  <c r="EH287" i="2"/>
  <c r="EG287" i="2"/>
  <c r="EF287" i="2"/>
  <c r="EE287" i="2"/>
  <c r="ED287" i="2"/>
  <c r="EC287" i="2"/>
  <c r="EA287" i="2"/>
  <c r="EB287" i="2" s="1"/>
  <c r="DZ287" i="2"/>
  <c r="DY287" i="2"/>
  <c r="DX287" i="2"/>
  <c r="DW287" i="2"/>
  <c r="DV287" i="2"/>
  <c r="DU287" i="2"/>
  <c r="DT287" i="2"/>
  <c r="DS287" i="2"/>
  <c r="DR287" i="2"/>
  <c r="DQ287" i="2"/>
  <c r="DP287" i="2"/>
  <c r="DN287" i="2"/>
  <c r="DO287" i="2" s="1"/>
  <c r="DM287" i="2"/>
  <c r="DL287" i="2"/>
  <c r="DK287" i="2"/>
  <c r="DJ287" i="2"/>
  <c r="DI287" i="2"/>
  <c r="DH287" i="2"/>
  <c r="DG287" i="2"/>
  <c r="DF287" i="2"/>
  <c r="DE287" i="2"/>
  <c r="DD287" i="2"/>
  <c r="DC287" i="2"/>
  <c r="DA287" i="2"/>
  <c r="DB287" i="2" s="1"/>
  <c r="CZ287" i="2"/>
  <c r="CY287" i="2"/>
  <c r="CX287" i="2"/>
  <c r="CW287" i="2"/>
  <c r="CV287" i="2"/>
  <c r="CU287" i="2"/>
  <c r="CT287" i="2"/>
  <c r="CS287" i="2"/>
  <c r="CR287" i="2"/>
  <c r="CQ287" i="2"/>
  <c r="CP287" i="2"/>
  <c r="CN287" i="2"/>
  <c r="CO287" i="2" s="1"/>
  <c r="CM287" i="2"/>
  <c r="CL287" i="2"/>
  <c r="CK287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N287" i="2"/>
  <c r="BO287" i="2" s="1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N287" i="2"/>
  <c r="AO287" i="2" s="1"/>
  <c r="AM287" i="2"/>
  <c r="AL287" i="2"/>
  <c r="AK287" i="2"/>
  <c r="AJ287" i="2"/>
  <c r="AI287" i="2"/>
  <c r="AH287" i="2"/>
  <c r="AG287" i="2"/>
  <c r="AF287" i="2"/>
  <c r="AE287" i="2"/>
  <c r="AD287" i="2"/>
  <c r="AC287" i="2"/>
  <c r="AA287" i="2"/>
  <c r="AB287" i="2" s="1"/>
  <c r="Z287" i="2"/>
  <c r="Y287" i="2"/>
  <c r="X287" i="2"/>
  <c r="W287" i="2"/>
  <c r="V287" i="2"/>
  <c r="U287" i="2"/>
  <c r="T287" i="2"/>
  <c r="S287" i="2"/>
  <c r="R287" i="2"/>
  <c r="Q287" i="2"/>
  <c r="P287" i="2"/>
  <c r="N287" i="2"/>
  <c r="O287" i="2" s="1"/>
  <c r="M287" i="2"/>
  <c r="L287" i="2"/>
  <c r="K287" i="2"/>
  <c r="J287" i="2"/>
  <c r="I287" i="2"/>
  <c r="H287" i="2"/>
  <c r="G287" i="2"/>
  <c r="F287" i="2"/>
  <c r="E287" i="2"/>
  <c r="D287" i="2"/>
  <c r="C287" i="2"/>
  <c r="FI286" i="2"/>
  <c r="FO286" i="2" s="1"/>
  <c r="FH286" i="2"/>
  <c r="FG286" i="2"/>
  <c r="FF286" i="2"/>
  <c r="FE286" i="2"/>
  <c r="FD286" i="2"/>
  <c r="FC286" i="2"/>
  <c r="FA286" i="2"/>
  <c r="FB286" i="2" s="1"/>
  <c r="EZ286" i="2"/>
  <c r="EY286" i="2"/>
  <c r="EX286" i="2"/>
  <c r="EW286" i="2"/>
  <c r="EV286" i="2"/>
  <c r="EU286" i="2"/>
  <c r="ET286" i="2"/>
  <c r="ES286" i="2"/>
  <c r="ER286" i="2"/>
  <c r="EQ286" i="2"/>
  <c r="EP286" i="2"/>
  <c r="EN286" i="2"/>
  <c r="EO286" i="2" s="1"/>
  <c r="EM286" i="2"/>
  <c r="EL286" i="2"/>
  <c r="EK286" i="2"/>
  <c r="EJ286" i="2"/>
  <c r="EI286" i="2"/>
  <c r="EH286" i="2"/>
  <c r="EG286" i="2"/>
  <c r="EF286" i="2"/>
  <c r="EE286" i="2"/>
  <c r="ED286" i="2"/>
  <c r="EC286" i="2"/>
  <c r="EA286" i="2"/>
  <c r="EB286" i="2" s="1"/>
  <c r="DZ286" i="2"/>
  <c r="DY286" i="2"/>
  <c r="DX286" i="2"/>
  <c r="DW286" i="2"/>
  <c r="DV286" i="2"/>
  <c r="DU286" i="2"/>
  <c r="DT286" i="2"/>
  <c r="DS286" i="2"/>
  <c r="DR286" i="2"/>
  <c r="DQ286" i="2"/>
  <c r="DP286" i="2"/>
  <c r="DN286" i="2"/>
  <c r="DO286" i="2" s="1"/>
  <c r="DM286" i="2"/>
  <c r="DL286" i="2"/>
  <c r="DK286" i="2"/>
  <c r="DJ286" i="2"/>
  <c r="DI286" i="2"/>
  <c r="DH286" i="2"/>
  <c r="DG286" i="2"/>
  <c r="DF286" i="2"/>
  <c r="DE286" i="2"/>
  <c r="DD286" i="2"/>
  <c r="DC286" i="2"/>
  <c r="DA286" i="2"/>
  <c r="DB286" i="2" s="1"/>
  <c r="CZ286" i="2"/>
  <c r="CY286" i="2"/>
  <c r="CX286" i="2"/>
  <c r="CW286" i="2"/>
  <c r="CV286" i="2"/>
  <c r="CU286" i="2"/>
  <c r="CT286" i="2"/>
  <c r="CS286" i="2"/>
  <c r="CR286" i="2"/>
  <c r="CQ286" i="2"/>
  <c r="CP286" i="2"/>
  <c r="CN286" i="2"/>
  <c r="CO286" i="2" s="1"/>
  <c r="CM286" i="2"/>
  <c r="CL286" i="2"/>
  <c r="CK286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N286" i="2"/>
  <c r="BO286" i="2" s="1"/>
  <c r="BM286" i="2"/>
  <c r="BL286" i="2"/>
  <c r="BK286" i="2"/>
  <c r="BJ286" i="2"/>
  <c r="BI286" i="2"/>
  <c r="BH286" i="2"/>
  <c r="BG286" i="2"/>
  <c r="BF286" i="2"/>
  <c r="BE286" i="2"/>
  <c r="BD286" i="2"/>
  <c r="BC286" i="2"/>
  <c r="BA286" i="2"/>
  <c r="BB286" i="2" s="1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A286" i="2"/>
  <c r="AB286" i="2" s="1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FI285" i="2"/>
  <c r="FO285" i="2" s="1"/>
  <c r="FH285" i="2"/>
  <c r="FG285" i="2"/>
  <c r="FF285" i="2"/>
  <c r="FE285" i="2"/>
  <c r="FD285" i="2"/>
  <c r="FC285" i="2"/>
  <c r="FA285" i="2"/>
  <c r="FB285" i="2" s="1"/>
  <c r="EZ285" i="2"/>
  <c r="EY285" i="2"/>
  <c r="EX285" i="2"/>
  <c r="EW285" i="2"/>
  <c r="EV285" i="2"/>
  <c r="EU285" i="2"/>
  <c r="ET285" i="2"/>
  <c r="ES285" i="2"/>
  <c r="ER285" i="2"/>
  <c r="EQ285" i="2"/>
  <c r="EP285" i="2"/>
  <c r="EO285" i="2"/>
  <c r="EN285" i="2"/>
  <c r="EM285" i="2"/>
  <c r="EL285" i="2"/>
  <c r="EK285" i="2"/>
  <c r="EJ285" i="2"/>
  <c r="EI285" i="2"/>
  <c r="EH285" i="2"/>
  <c r="EG285" i="2"/>
  <c r="EF285" i="2"/>
  <c r="EE285" i="2"/>
  <c r="ED285" i="2"/>
  <c r="EC285" i="2"/>
  <c r="EB285" i="2"/>
  <c r="EA285" i="2"/>
  <c r="DZ285" i="2"/>
  <c r="DY285" i="2"/>
  <c r="DX285" i="2"/>
  <c r="DW285" i="2"/>
  <c r="DV285" i="2"/>
  <c r="DU285" i="2"/>
  <c r="DT285" i="2"/>
  <c r="DS285" i="2"/>
  <c r="DR285" i="2"/>
  <c r="DQ285" i="2"/>
  <c r="DP285" i="2"/>
  <c r="DN285" i="2"/>
  <c r="DO285" i="2" s="1"/>
  <c r="DM285" i="2"/>
  <c r="DL285" i="2"/>
  <c r="DK285" i="2"/>
  <c r="DJ285" i="2"/>
  <c r="DI285" i="2"/>
  <c r="DH285" i="2"/>
  <c r="DG285" i="2"/>
  <c r="DF285" i="2"/>
  <c r="DE285" i="2"/>
  <c r="DD285" i="2"/>
  <c r="DC285" i="2"/>
  <c r="DB285" i="2"/>
  <c r="DA285" i="2"/>
  <c r="CZ285" i="2"/>
  <c r="CY285" i="2"/>
  <c r="CX285" i="2"/>
  <c r="CW285" i="2"/>
  <c r="CV285" i="2"/>
  <c r="CU285" i="2"/>
  <c r="CT285" i="2"/>
  <c r="CS285" i="2"/>
  <c r="CR285" i="2"/>
  <c r="CQ285" i="2"/>
  <c r="CP285" i="2"/>
  <c r="CN285" i="2"/>
  <c r="CO285" i="2" s="1"/>
  <c r="CM285" i="2"/>
  <c r="CL285" i="2"/>
  <c r="CK285" i="2"/>
  <c r="CJ285" i="2"/>
  <c r="CI285" i="2"/>
  <c r="CH285" i="2"/>
  <c r="CG285" i="2"/>
  <c r="CF285" i="2"/>
  <c r="CE285" i="2"/>
  <c r="CD285" i="2"/>
  <c r="CC285" i="2"/>
  <c r="CA285" i="2"/>
  <c r="CB285" i="2" s="1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A285" i="2"/>
  <c r="BB285" i="2" s="1"/>
  <c r="AZ285" i="2"/>
  <c r="AY285" i="2"/>
  <c r="AX285" i="2"/>
  <c r="AW285" i="2"/>
  <c r="AV285" i="2"/>
  <c r="AU285" i="2"/>
  <c r="AT285" i="2"/>
  <c r="AS285" i="2"/>
  <c r="AR285" i="2"/>
  <c r="AQ285" i="2"/>
  <c r="AP285" i="2"/>
  <c r="AN285" i="2"/>
  <c r="AO285" i="2" s="1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N285" i="2"/>
  <c r="O285" i="2" s="1"/>
  <c r="M285" i="2"/>
  <c r="L285" i="2"/>
  <c r="K285" i="2"/>
  <c r="J285" i="2"/>
  <c r="I285" i="2"/>
  <c r="H285" i="2"/>
  <c r="G285" i="2"/>
  <c r="F285" i="2"/>
  <c r="E285" i="2"/>
  <c r="D285" i="2"/>
  <c r="C285" i="2"/>
  <c r="FI284" i="2"/>
  <c r="FO284" i="2" s="1"/>
  <c r="FH284" i="2"/>
  <c r="FG284" i="2"/>
  <c r="FF284" i="2"/>
  <c r="FE284" i="2"/>
  <c r="FD284" i="2"/>
  <c r="FC284" i="2"/>
  <c r="FA284" i="2"/>
  <c r="FB284" i="2" s="1"/>
  <c r="EZ284" i="2"/>
  <c r="EY284" i="2"/>
  <c r="EX284" i="2"/>
  <c r="EW284" i="2"/>
  <c r="EV284" i="2"/>
  <c r="EU284" i="2"/>
  <c r="ET284" i="2"/>
  <c r="ES284" i="2"/>
  <c r="ER284" i="2"/>
  <c r="EQ284" i="2"/>
  <c r="EP284" i="2"/>
  <c r="EN284" i="2"/>
  <c r="EO284" i="2" s="1"/>
  <c r="EM284" i="2"/>
  <c r="EL284" i="2"/>
  <c r="EK284" i="2"/>
  <c r="EJ284" i="2"/>
  <c r="EI284" i="2"/>
  <c r="EH284" i="2"/>
  <c r="EG284" i="2"/>
  <c r="EF284" i="2"/>
  <c r="EE284" i="2"/>
  <c r="ED284" i="2"/>
  <c r="EC284" i="2"/>
  <c r="EA284" i="2"/>
  <c r="EB284" i="2" s="1"/>
  <c r="DZ284" i="2"/>
  <c r="DY284" i="2"/>
  <c r="DX284" i="2"/>
  <c r="DW284" i="2"/>
  <c r="DV284" i="2"/>
  <c r="DU284" i="2"/>
  <c r="DT284" i="2"/>
  <c r="DS284" i="2"/>
  <c r="DR284" i="2"/>
  <c r="DQ284" i="2"/>
  <c r="DP284" i="2"/>
  <c r="DN284" i="2"/>
  <c r="DO284" i="2" s="1"/>
  <c r="DM284" i="2"/>
  <c r="DL284" i="2"/>
  <c r="DK284" i="2"/>
  <c r="DJ284" i="2"/>
  <c r="DI284" i="2"/>
  <c r="DH284" i="2"/>
  <c r="DG284" i="2"/>
  <c r="DF284" i="2"/>
  <c r="DE284" i="2"/>
  <c r="DD284" i="2"/>
  <c r="DC284" i="2"/>
  <c r="DA284" i="2"/>
  <c r="DB284" i="2" s="1"/>
  <c r="CZ284" i="2"/>
  <c r="CY284" i="2"/>
  <c r="CX284" i="2"/>
  <c r="CW284" i="2"/>
  <c r="CV284" i="2"/>
  <c r="CU284" i="2"/>
  <c r="CT284" i="2"/>
  <c r="CS284" i="2"/>
  <c r="CR284" i="2"/>
  <c r="CQ284" i="2"/>
  <c r="CP284" i="2"/>
  <c r="CO284" i="2"/>
  <c r="CN284" i="2"/>
  <c r="CM284" i="2"/>
  <c r="CL284" i="2"/>
  <c r="CK284" i="2"/>
  <c r="CJ284" i="2"/>
  <c r="CI284" i="2"/>
  <c r="CH284" i="2"/>
  <c r="CG284" i="2"/>
  <c r="CF284" i="2"/>
  <c r="CE284" i="2"/>
  <c r="CD284" i="2"/>
  <c r="CC284" i="2"/>
  <c r="CA284" i="2"/>
  <c r="CB284" i="2" s="1"/>
  <c r="BZ284" i="2"/>
  <c r="BY284" i="2"/>
  <c r="BX284" i="2"/>
  <c r="BW284" i="2"/>
  <c r="BV284" i="2"/>
  <c r="BU284" i="2"/>
  <c r="BT284" i="2"/>
  <c r="BS284" i="2"/>
  <c r="BR284" i="2"/>
  <c r="BQ284" i="2"/>
  <c r="BP284" i="2"/>
  <c r="BN284" i="2"/>
  <c r="BO284" i="2" s="1"/>
  <c r="BM284" i="2"/>
  <c r="BL284" i="2"/>
  <c r="BK284" i="2"/>
  <c r="BJ284" i="2"/>
  <c r="BI284" i="2"/>
  <c r="BH284" i="2"/>
  <c r="BG284" i="2"/>
  <c r="BF284" i="2"/>
  <c r="BE284" i="2"/>
  <c r="BD284" i="2"/>
  <c r="BC284" i="2"/>
  <c r="BA284" i="2"/>
  <c r="BB284" i="2" s="1"/>
  <c r="AZ284" i="2"/>
  <c r="AY284" i="2"/>
  <c r="AX284" i="2"/>
  <c r="AW284" i="2"/>
  <c r="AV284" i="2"/>
  <c r="AU284" i="2"/>
  <c r="AT284" i="2"/>
  <c r="AS284" i="2"/>
  <c r="AR284" i="2"/>
  <c r="AQ284" i="2"/>
  <c r="AP284" i="2"/>
  <c r="AN284" i="2"/>
  <c r="AO284" i="2" s="1"/>
  <c r="AM284" i="2"/>
  <c r="AL284" i="2"/>
  <c r="AK284" i="2"/>
  <c r="AJ284" i="2"/>
  <c r="AI284" i="2"/>
  <c r="AH284" i="2"/>
  <c r="AG284" i="2"/>
  <c r="AF284" i="2"/>
  <c r="AE284" i="2"/>
  <c r="AD284" i="2"/>
  <c r="AC284" i="2"/>
  <c r="AA284" i="2"/>
  <c r="AB284" i="2" s="1"/>
  <c r="Z284" i="2"/>
  <c r="Y284" i="2"/>
  <c r="X284" i="2"/>
  <c r="W284" i="2"/>
  <c r="V284" i="2"/>
  <c r="U284" i="2"/>
  <c r="T284" i="2"/>
  <c r="S284" i="2"/>
  <c r="R284" i="2"/>
  <c r="Q284" i="2"/>
  <c r="P284" i="2"/>
  <c r="N284" i="2"/>
  <c r="O284" i="2" s="1"/>
  <c r="M284" i="2"/>
  <c r="L284" i="2"/>
  <c r="K284" i="2"/>
  <c r="J284" i="2"/>
  <c r="I284" i="2"/>
  <c r="H284" i="2"/>
  <c r="G284" i="2"/>
  <c r="F284" i="2"/>
  <c r="E284" i="2"/>
  <c r="D284" i="2"/>
  <c r="C284" i="2"/>
  <c r="FI283" i="2"/>
  <c r="FO283" i="2" s="1"/>
  <c r="FH283" i="2"/>
  <c r="FG283" i="2"/>
  <c r="FF283" i="2"/>
  <c r="FE283" i="2"/>
  <c r="FD283" i="2"/>
  <c r="FC283" i="2"/>
  <c r="FA283" i="2"/>
  <c r="FB283" i="2" s="1"/>
  <c r="EZ283" i="2"/>
  <c r="EY283" i="2"/>
  <c r="EX283" i="2"/>
  <c r="EW283" i="2"/>
  <c r="EV283" i="2"/>
  <c r="EU283" i="2"/>
  <c r="ET283" i="2"/>
  <c r="ES283" i="2"/>
  <c r="ER283" i="2"/>
  <c r="EQ283" i="2"/>
  <c r="EP283" i="2"/>
  <c r="EN283" i="2"/>
  <c r="EO283" i="2" s="1"/>
  <c r="EM283" i="2"/>
  <c r="EL283" i="2"/>
  <c r="EK283" i="2"/>
  <c r="EJ283" i="2"/>
  <c r="EI283" i="2"/>
  <c r="EH283" i="2"/>
  <c r="EG283" i="2"/>
  <c r="EF283" i="2"/>
  <c r="EE283" i="2"/>
  <c r="ED283" i="2"/>
  <c r="EC283" i="2"/>
  <c r="EB283" i="2"/>
  <c r="EA283" i="2"/>
  <c r="DZ283" i="2"/>
  <c r="DY283" i="2"/>
  <c r="DX283" i="2"/>
  <c r="DW283" i="2"/>
  <c r="DV283" i="2"/>
  <c r="DU283" i="2"/>
  <c r="DT283" i="2"/>
  <c r="DS283" i="2"/>
  <c r="DR283" i="2"/>
  <c r="DQ283" i="2"/>
  <c r="DP283" i="2"/>
  <c r="DN283" i="2"/>
  <c r="DO283" i="2" s="1"/>
  <c r="DM283" i="2"/>
  <c r="DL283" i="2"/>
  <c r="DK283" i="2"/>
  <c r="DJ283" i="2"/>
  <c r="DI283" i="2"/>
  <c r="DH283" i="2"/>
  <c r="DG283" i="2"/>
  <c r="DF283" i="2"/>
  <c r="DE283" i="2"/>
  <c r="DD283" i="2"/>
  <c r="DC283" i="2"/>
  <c r="DA283" i="2"/>
  <c r="DB283" i="2" s="1"/>
  <c r="CZ283" i="2"/>
  <c r="CY283" i="2"/>
  <c r="CX283" i="2"/>
  <c r="CW283" i="2"/>
  <c r="CV283" i="2"/>
  <c r="CU283" i="2"/>
  <c r="CT283" i="2"/>
  <c r="CS283" i="2"/>
  <c r="CR283" i="2"/>
  <c r="CQ283" i="2"/>
  <c r="CP283" i="2"/>
  <c r="CN283" i="2"/>
  <c r="CO283" i="2" s="1"/>
  <c r="CM283" i="2"/>
  <c r="CL283" i="2"/>
  <c r="CK283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N283" i="2"/>
  <c r="BO283" i="2" s="1"/>
  <c r="BM283" i="2"/>
  <c r="BL283" i="2"/>
  <c r="BK283" i="2"/>
  <c r="BJ283" i="2"/>
  <c r="BI283" i="2"/>
  <c r="BH283" i="2"/>
  <c r="BG283" i="2"/>
  <c r="BF283" i="2"/>
  <c r="BE283" i="2"/>
  <c r="BD283" i="2"/>
  <c r="BC283" i="2"/>
  <c r="BA283" i="2"/>
  <c r="BB283" i="2" s="1"/>
  <c r="AZ283" i="2"/>
  <c r="AY283" i="2"/>
  <c r="AX283" i="2"/>
  <c r="AW283" i="2"/>
  <c r="AV283" i="2"/>
  <c r="AU283" i="2"/>
  <c r="AT283" i="2"/>
  <c r="AS283" i="2"/>
  <c r="AR283" i="2"/>
  <c r="AQ283" i="2"/>
  <c r="AP283" i="2"/>
  <c r="AN283" i="2"/>
  <c r="AO283" i="2" s="1"/>
  <c r="AM283" i="2"/>
  <c r="AL283" i="2"/>
  <c r="AK283" i="2"/>
  <c r="AJ283" i="2"/>
  <c r="AI283" i="2"/>
  <c r="AH283" i="2"/>
  <c r="AG283" i="2"/>
  <c r="AF283" i="2"/>
  <c r="AE283" i="2"/>
  <c r="AD283" i="2"/>
  <c r="AC283" i="2"/>
  <c r="AA283" i="2"/>
  <c r="AB283" i="2" s="1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FI282" i="2"/>
  <c r="FO282" i="2" s="1"/>
  <c r="FH282" i="2"/>
  <c r="FG282" i="2"/>
  <c r="FF282" i="2"/>
  <c r="FE282" i="2"/>
  <c r="FD282" i="2"/>
  <c r="FC282" i="2"/>
  <c r="FA282" i="2"/>
  <c r="FB282" i="2" s="1"/>
  <c r="EZ282" i="2"/>
  <c r="EY282" i="2"/>
  <c r="EX282" i="2"/>
  <c r="EW282" i="2"/>
  <c r="EV282" i="2"/>
  <c r="EU282" i="2"/>
  <c r="ET282" i="2"/>
  <c r="ES282" i="2"/>
  <c r="ER282" i="2"/>
  <c r="EQ282" i="2"/>
  <c r="EP282" i="2"/>
  <c r="EN282" i="2"/>
  <c r="EO282" i="2" s="1"/>
  <c r="EM282" i="2"/>
  <c r="EL282" i="2"/>
  <c r="EK282" i="2"/>
  <c r="EJ282" i="2"/>
  <c r="EI282" i="2"/>
  <c r="EH282" i="2"/>
  <c r="EG282" i="2"/>
  <c r="EF282" i="2"/>
  <c r="EE282" i="2"/>
  <c r="ED282" i="2"/>
  <c r="EC282" i="2"/>
  <c r="EA282" i="2"/>
  <c r="EB282" i="2" s="1"/>
  <c r="DZ282" i="2"/>
  <c r="DY282" i="2"/>
  <c r="DX282" i="2"/>
  <c r="DW282" i="2"/>
  <c r="DV282" i="2"/>
  <c r="DU282" i="2"/>
  <c r="DT282" i="2"/>
  <c r="DS282" i="2"/>
  <c r="DR282" i="2"/>
  <c r="DQ282" i="2"/>
  <c r="DP282" i="2"/>
  <c r="DO282" i="2"/>
  <c r="DN282" i="2"/>
  <c r="DM282" i="2"/>
  <c r="DL282" i="2"/>
  <c r="DK282" i="2"/>
  <c r="DJ282" i="2"/>
  <c r="DI282" i="2"/>
  <c r="DH282" i="2"/>
  <c r="DG282" i="2"/>
  <c r="DF282" i="2"/>
  <c r="DE282" i="2"/>
  <c r="DD282" i="2"/>
  <c r="DC282" i="2"/>
  <c r="DA282" i="2"/>
  <c r="DB282" i="2" s="1"/>
  <c r="CZ282" i="2"/>
  <c r="CY282" i="2"/>
  <c r="CX282" i="2"/>
  <c r="CW282" i="2"/>
  <c r="CV282" i="2"/>
  <c r="CU282" i="2"/>
  <c r="CT282" i="2"/>
  <c r="CS282" i="2"/>
  <c r="CR282" i="2"/>
  <c r="CQ282" i="2"/>
  <c r="CP282" i="2"/>
  <c r="CN282" i="2"/>
  <c r="CO282" i="2" s="1"/>
  <c r="CM282" i="2"/>
  <c r="CL282" i="2"/>
  <c r="CK282" i="2"/>
  <c r="CJ282" i="2"/>
  <c r="CI282" i="2"/>
  <c r="CH282" i="2"/>
  <c r="CG282" i="2"/>
  <c r="CF282" i="2"/>
  <c r="CE282" i="2"/>
  <c r="CD282" i="2"/>
  <c r="CC282" i="2"/>
  <c r="CB282" i="2"/>
  <c r="CA282" i="2"/>
  <c r="BZ282" i="2"/>
  <c r="BY282" i="2"/>
  <c r="BX282" i="2"/>
  <c r="BW282" i="2"/>
  <c r="BV282" i="2"/>
  <c r="BU282" i="2"/>
  <c r="BT282" i="2"/>
  <c r="BS282" i="2"/>
  <c r="BR282" i="2"/>
  <c r="BQ282" i="2"/>
  <c r="BP282" i="2"/>
  <c r="BN282" i="2"/>
  <c r="BO282" i="2" s="1"/>
  <c r="BM282" i="2"/>
  <c r="BL282" i="2"/>
  <c r="BK282" i="2"/>
  <c r="BJ282" i="2"/>
  <c r="BI282" i="2"/>
  <c r="BH282" i="2"/>
  <c r="BG282" i="2"/>
  <c r="BF282" i="2"/>
  <c r="BE282" i="2"/>
  <c r="BD282" i="2"/>
  <c r="BC282" i="2"/>
  <c r="BA282" i="2"/>
  <c r="BB282" i="2" s="1"/>
  <c r="AZ282" i="2"/>
  <c r="AY282" i="2"/>
  <c r="AX282" i="2"/>
  <c r="AW282" i="2"/>
  <c r="AV282" i="2"/>
  <c r="AU282" i="2"/>
  <c r="AT282" i="2"/>
  <c r="AS282" i="2"/>
  <c r="AR282" i="2"/>
  <c r="AQ282" i="2"/>
  <c r="AP282" i="2"/>
  <c r="AN282" i="2"/>
  <c r="AO282" i="2" s="1"/>
  <c r="AM282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N282" i="2"/>
  <c r="O282" i="2" s="1"/>
  <c r="M282" i="2"/>
  <c r="L282" i="2"/>
  <c r="K282" i="2"/>
  <c r="J282" i="2"/>
  <c r="I282" i="2"/>
  <c r="H282" i="2"/>
  <c r="G282" i="2"/>
  <c r="F282" i="2"/>
  <c r="E282" i="2"/>
  <c r="D282" i="2"/>
  <c r="C282" i="2"/>
  <c r="FO281" i="2"/>
  <c r="FI281" i="2"/>
  <c r="FH281" i="2"/>
  <c r="FG281" i="2"/>
  <c r="FF281" i="2"/>
  <c r="FE281" i="2"/>
  <c r="FD281" i="2"/>
  <c r="FC281" i="2"/>
  <c r="FA281" i="2"/>
  <c r="FB281" i="2" s="1"/>
  <c r="EZ281" i="2"/>
  <c r="EY281" i="2"/>
  <c r="EX281" i="2"/>
  <c r="EW281" i="2"/>
  <c r="EV281" i="2"/>
  <c r="EU281" i="2"/>
  <c r="ET281" i="2"/>
  <c r="ES281" i="2"/>
  <c r="ER281" i="2"/>
  <c r="EQ281" i="2"/>
  <c r="EP281" i="2"/>
  <c r="EN281" i="2"/>
  <c r="EO281" i="2" s="1"/>
  <c r="EM281" i="2"/>
  <c r="EL281" i="2"/>
  <c r="EK281" i="2"/>
  <c r="EJ281" i="2"/>
  <c r="EI281" i="2"/>
  <c r="EH281" i="2"/>
  <c r="EG281" i="2"/>
  <c r="EF281" i="2"/>
  <c r="EE281" i="2"/>
  <c r="ED281" i="2"/>
  <c r="EC281" i="2"/>
  <c r="EA281" i="2"/>
  <c r="EB281" i="2" s="1"/>
  <c r="DZ281" i="2"/>
  <c r="DY281" i="2"/>
  <c r="DX281" i="2"/>
  <c r="DW281" i="2"/>
  <c r="DV281" i="2"/>
  <c r="DU281" i="2"/>
  <c r="DT281" i="2"/>
  <c r="DS281" i="2"/>
  <c r="DR281" i="2"/>
  <c r="DQ281" i="2"/>
  <c r="DP281" i="2"/>
  <c r="DN281" i="2"/>
  <c r="DO281" i="2" s="1"/>
  <c r="DM281" i="2"/>
  <c r="DL281" i="2"/>
  <c r="DK281" i="2"/>
  <c r="DJ281" i="2"/>
  <c r="DI281" i="2"/>
  <c r="DH281" i="2"/>
  <c r="DG281" i="2"/>
  <c r="DF281" i="2"/>
  <c r="DE281" i="2"/>
  <c r="DD281" i="2"/>
  <c r="DC281" i="2"/>
  <c r="DB281" i="2"/>
  <c r="DA281" i="2"/>
  <c r="CZ281" i="2"/>
  <c r="CY281" i="2"/>
  <c r="CX281" i="2"/>
  <c r="CW281" i="2"/>
  <c r="CV281" i="2"/>
  <c r="CU281" i="2"/>
  <c r="CT281" i="2"/>
  <c r="CS281" i="2"/>
  <c r="CR281" i="2"/>
  <c r="CQ281" i="2"/>
  <c r="CP281" i="2"/>
  <c r="CN281" i="2"/>
  <c r="CO281" i="2" s="1"/>
  <c r="CM281" i="2"/>
  <c r="CL281" i="2"/>
  <c r="CK281" i="2"/>
  <c r="CJ281" i="2"/>
  <c r="CI281" i="2"/>
  <c r="CH281" i="2"/>
  <c r="CG281" i="2"/>
  <c r="CF281" i="2"/>
  <c r="CE281" i="2"/>
  <c r="CD281" i="2"/>
  <c r="CC281" i="2"/>
  <c r="CA281" i="2"/>
  <c r="CB281" i="2" s="1"/>
  <c r="BZ281" i="2"/>
  <c r="BY281" i="2"/>
  <c r="BX281" i="2"/>
  <c r="BW281" i="2"/>
  <c r="BV281" i="2"/>
  <c r="BU281" i="2"/>
  <c r="BT281" i="2"/>
  <c r="BS281" i="2"/>
  <c r="BR281" i="2"/>
  <c r="BQ281" i="2"/>
  <c r="BP281" i="2"/>
  <c r="BN281" i="2"/>
  <c r="BO281" i="2" s="1"/>
  <c r="BM281" i="2"/>
  <c r="BL281" i="2"/>
  <c r="BK281" i="2"/>
  <c r="BJ281" i="2"/>
  <c r="BI281" i="2"/>
  <c r="BH281" i="2"/>
  <c r="BG281" i="2"/>
  <c r="BF281" i="2"/>
  <c r="BE281" i="2"/>
  <c r="BD281" i="2"/>
  <c r="BC281" i="2"/>
  <c r="BB281" i="2"/>
  <c r="BA281" i="2"/>
  <c r="AZ281" i="2"/>
  <c r="AY281" i="2"/>
  <c r="AX281" i="2"/>
  <c r="AW281" i="2"/>
  <c r="AV281" i="2"/>
  <c r="AU281" i="2"/>
  <c r="AT281" i="2"/>
  <c r="AS281" i="2"/>
  <c r="AR281" i="2"/>
  <c r="AQ281" i="2"/>
  <c r="AP281" i="2"/>
  <c r="AN281" i="2"/>
  <c r="AO281" i="2" s="1"/>
  <c r="AM281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N281" i="2"/>
  <c r="O281" i="2" s="1"/>
  <c r="M281" i="2"/>
  <c r="L281" i="2"/>
  <c r="K281" i="2"/>
  <c r="J281" i="2"/>
  <c r="I281" i="2"/>
  <c r="H281" i="2"/>
  <c r="G281" i="2"/>
  <c r="F281" i="2"/>
  <c r="E281" i="2"/>
  <c r="D281" i="2"/>
  <c r="C281" i="2"/>
  <c r="FI280" i="2"/>
  <c r="FO280" i="2" s="1"/>
  <c r="FH280" i="2"/>
  <c r="FG280" i="2"/>
  <c r="FF280" i="2"/>
  <c r="FE280" i="2"/>
  <c r="FD280" i="2"/>
  <c r="FC280" i="2"/>
  <c r="FA280" i="2"/>
  <c r="FB280" i="2" s="1"/>
  <c r="EZ280" i="2"/>
  <c r="EY280" i="2"/>
  <c r="EX280" i="2"/>
  <c r="EW280" i="2"/>
  <c r="EV280" i="2"/>
  <c r="EU280" i="2"/>
  <c r="ET280" i="2"/>
  <c r="ES280" i="2"/>
  <c r="ER280" i="2"/>
  <c r="EQ280" i="2"/>
  <c r="EP280" i="2"/>
  <c r="EO280" i="2"/>
  <c r="EN280" i="2"/>
  <c r="EM280" i="2"/>
  <c r="EL280" i="2"/>
  <c r="EK280" i="2"/>
  <c r="EJ280" i="2"/>
  <c r="EI280" i="2"/>
  <c r="EH280" i="2"/>
  <c r="EG280" i="2"/>
  <c r="EF280" i="2"/>
  <c r="EE280" i="2"/>
  <c r="ED280" i="2"/>
  <c r="EC280" i="2"/>
  <c r="EA280" i="2"/>
  <c r="EB280" i="2" s="1"/>
  <c r="DZ280" i="2"/>
  <c r="DY280" i="2"/>
  <c r="DX280" i="2"/>
  <c r="DW280" i="2"/>
  <c r="DV280" i="2"/>
  <c r="DU280" i="2"/>
  <c r="DT280" i="2"/>
  <c r="DS280" i="2"/>
  <c r="DR280" i="2"/>
  <c r="DQ280" i="2"/>
  <c r="DP280" i="2"/>
  <c r="DN280" i="2"/>
  <c r="DO280" i="2" s="1"/>
  <c r="DM280" i="2"/>
  <c r="DL280" i="2"/>
  <c r="DK280" i="2"/>
  <c r="DJ280" i="2"/>
  <c r="DI280" i="2"/>
  <c r="DH280" i="2"/>
  <c r="DG280" i="2"/>
  <c r="DF280" i="2"/>
  <c r="DE280" i="2"/>
  <c r="DD280" i="2"/>
  <c r="DC280" i="2"/>
  <c r="DA280" i="2"/>
  <c r="DB280" i="2" s="1"/>
  <c r="CZ280" i="2"/>
  <c r="CY280" i="2"/>
  <c r="CX280" i="2"/>
  <c r="CW280" i="2"/>
  <c r="CV280" i="2"/>
  <c r="CU280" i="2"/>
  <c r="CT280" i="2"/>
  <c r="CS280" i="2"/>
  <c r="CR280" i="2"/>
  <c r="CQ280" i="2"/>
  <c r="CP280" i="2"/>
  <c r="CN280" i="2"/>
  <c r="CO280" i="2" s="1"/>
  <c r="CM280" i="2"/>
  <c r="CL280" i="2"/>
  <c r="CK280" i="2"/>
  <c r="CJ280" i="2"/>
  <c r="CI280" i="2"/>
  <c r="CH280" i="2"/>
  <c r="CG280" i="2"/>
  <c r="CF280" i="2"/>
  <c r="CE280" i="2"/>
  <c r="CD280" i="2"/>
  <c r="CC280" i="2"/>
  <c r="CA280" i="2"/>
  <c r="CB280" i="2" s="1"/>
  <c r="BZ280" i="2"/>
  <c r="BY280" i="2"/>
  <c r="BX280" i="2"/>
  <c r="BW280" i="2"/>
  <c r="BV280" i="2"/>
  <c r="BU280" i="2"/>
  <c r="BT280" i="2"/>
  <c r="BS280" i="2"/>
  <c r="BR280" i="2"/>
  <c r="BQ280" i="2"/>
  <c r="BP280" i="2"/>
  <c r="BN280" i="2"/>
  <c r="BO280" i="2" s="1"/>
  <c r="BM280" i="2"/>
  <c r="BL280" i="2"/>
  <c r="BK280" i="2"/>
  <c r="BJ280" i="2"/>
  <c r="BI280" i="2"/>
  <c r="BH280" i="2"/>
  <c r="BG280" i="2"/>
  <c r="BF280" i="2"/>
  <c r="BE280" i="2"/>
  <c r="BD280" i="2"/>
  <c r="BC280" i="2"/>
  <c r="BB280" i="2"/>
  <c r="BA280" i="2"/>
  <c r="AZ280" i="2"/>
  <c r="AY280" i="2"/>
  <c r="AX280" i="2"/>
  <c r="AW280" i="2"/>
  <c r="AV280" i="2"/>
  <c r="AU280" i="2"/>
  <c r="AT280" i="2"/>
  <c r="AS280" i="2"/>
  <c r="AR280" i="2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A280" i="2"/>
  <c r="AB280" i="2" s="1"/>
  <c r="Z280" i="2"/>
  <c r="Y280" i="2"/>
  <c r="X280" i="2"/>
  <c r="W280" i="2"/>
  <c r="V280" i="2"/>
  <c r="U280" i="2"/>
  <c r="T280" i="2"/>
  <c r="S280" i="2"/>
  <c r="R280" i="2"/>
  <c r="Q280" i="2"/>
  <c r="P280" i="2"/>
  <c r="N280" i="2"/>
  <c r="O280" i="2" s="1"/>
  <c r="M280" i="2"/>
  <c r="L280" i="2"/>
  <c r="K280" i="2"/>
  <c r="J280" i="2"/>
  <c r="I280" i="2"/>
  <c r="H280" i="2"/>
  <c r="G280" i="2"/>
  <c r="F280" i="2"/>
  <c r="E280" i="2"/>
  <c r="D280" i="2"/>
  <c r="C280" i="2"/>
  <c r="FI279" i="2"/>
  <c r="FO279" i="2" s="1"/>
  <c r="FH279" i="2"/>
  <c r="FG279" i="2"/>
  <c r="FF279" i="2"/>
  <c r="FE279" i="2"/>
  <c r="FD279" i="2"/>
  <c r="FC279" i="2"/>
  <c r="FB279" i="2"/>
  <c r="FA279" i="2"/>
  <c r="EZ279" i="2"/>
  <c r="EY279" i="2"/>
  <c r="EX279" i="2"/>
  <c r="EW279" i="2"/>
  <c r="EV279" i="2"/>
  <c r="EU279" i="2"/>
  <c r="ET279" i="2"/>
  <c r="ES279" i="2"/>
  <c r="ER279" i="2"/>
  <c r="EQ279" i="2"/>
  <c r="EP279" i="2"/>
  <c r="EN279" i="2"/>
  <c r="EO279" i="2" s="1"/>
  <c r="EM279" i="2"/>
  <c r="EL279" i="2"/>
  <c r="EK279" i="2"/>
  <c r="EJ279" i="2"/>
  <c r="EI279" i="2"/>
  <c r="EH279" i="2"/>
  <c r="EG279" i="2"/>
  <c r="EF279" i="2"/>
  <c r="EE279" i="2"/>
  <c r="ED279" i="2"/>
  <c r="EC279" i="2"/>
  <c r="EA279" i="2"/>
  <c r="EB279" i="2" s="1"/>
  <c r="DZ279" i="2"/>
  <c r="DY279" i="2"/>
  <c r="DX279" i="2"/>
  <c r="DW279" i="2"/>
  <c r="DV279" i="2"/>
  <c r="DU279" i="2"/>
  <c r="DT279" i="2"/>
  <c r="DS279" i="2"/>
  <c r="DR279" i="2"/>
  <c r="DQ279" i="2"/>
  <c r="DP279" i="2"/>
  <c r="DO279" i="2"/>
  <c r="DN279" i="2"/>
  <c r="DM279" i="2"/>
  <c r="DL279" i="2"/>
  <c r="DK279" i="2"/>
  <c r="DJ279" i="2"/>
  <c r="DI279" i="2"/>
  <c r="DH279" i="2"/>
  <c r="DG279" i="2"/>
  <c r="DF279" i="2"/>
  <c r="DE279" i="2"/>
  <c r="DD279" i="2"/>
  <c r="DC279" i="2"/>
  <c r="DA279" i="2"/>
  <c r="DB279" i="2" s="1"/>
  <c r="CZ279" i="2"/>
  <c r="CY279" i="2"/>
  <c r="CX279" i="2"/>
  <c r="CW279" i="2"/>
  <c r="CV279" i="2"/>
  <c r="CU279" i="2"/>
  <c r="CT279" i="2"/>
  <c r="CS279" i="2"/>
  <c r="CR279" i="2"/>
  <c r="CQ279" i="2"/>
  <c r="CP279" i="2"/>
  <c r="CO279" i="2"/>
  <c r="CN279" i="2"/>
  <c r="CM279" i="2"/>
  <c r="CL279" i="2"/>
  <c r="CK279" i="2"/>
  <c r="CJ279" i="2"/>
  <c r="CI279" i="2"/>
  <c r="CH279" i="2"/>
  <c r="CG279" i="2"/>
  <c r="CF279" i="2"/>
  <c r="CE279" i="2"/>
  <c r="CD279" i="2"/>
  <c r="CC279" i="2"/>
  <c r="CA279" i="2"/>
  <c r="CB279" i="2" s="1"/>
  <c r="BZ279" i="2"/>
  <c r="BY279" i="2"/>
  <c r="BX279" i="2"/>
  <c r="BW279" i="2"/>
  <c r="BV279" i="2"/>
  <c r="BU279" i="2"/>
  <c r="BT279" i="2"/>
  <c r="BS279" i="2"/>
  <c r="BR279" i="2"/>
  <c r="BQ279" i="2"/>
  <c r="BP279" i="2"/>
  <c r="BN279" i="2"/>
  <c r="BO279" i="2" s="1"/>
  <c r="BM279" i="2"/>
  <c r="BL279" i="2"/>
  <c r="BK279" i="2"/>
  <c r="BJ279" i="2"/>
  <c r="BI279" i="2"/>
  <c r="BH279" i="2"/>
  <c r="BG279" i="2"/>
  <c r="BF279" i="2"/>
  <c r="BE279" i="2"/>
  <c r="BD279" i="2"/>
  <c r="BC279" i="2"/>
  <c r="BA279" i="2"/>
  <c r="BB279" i="2" s="1"/>
  <c r="AZ279" i="2"/>
  <c r="AY279" i="2"/>
  <c r="AX279" i="2"/>
  <c r="AW279" i="2"/>
  <c r="AV279" i="2"/>
  <c r="AU279" i="2"/>
  <c r="AT279" i="2"/>
  <c r="AS279" i="2"/>
  <c r="AR279" i="2"/>
  <c r="AQ279" i="2"/>
  <c r="AP279" i="2"/>
  <c r="AN279" i="2"/>
  <c r="AO279" i="2" s="1"/>
  <c r="AM279" i="2"/>
  <c r="AL279" i="2"/>
  <c r="AK279" i="2"/>
  <c r="AJ279" i="2"/>
  <c r="AI279" i="2"/>
  <c r="AH279" i="2"/>
  <c r="AG279" i="2"/>
  <c r="AF279" i="2"/>
  <c r="AE279" i="2"/>
  <c r="AD279" i="2"/>
  <c r="AC279" i="2"/>
  <c r="AA279" i="2"/>
  <c r="AB279" i="2" s="1"/>
  <c r="Z279" i="2"/>
  <c r="Y279" i="2"/>
  <c r="X279" i="2"/>
  <c r="W279" i="2"/>
  <c r="V279" i="2"/>
  <c r="U279" i="2"/>
  <c r="T279" i="2"/>
  <c r="S279" i="2"/>
  <c r="R279" i="2"/>
  <c r="Q279" i="2"/>
  <c r="P279" i="2"/>
  <c r="N279" i="2"/>
  <c r="O279" i="2" s="1"/>
  <c r="M279" i="2"/>
  <c r="L279" i="2"/>
  <c r="K279" i="2"/>
  <c r="J279" i="2"/>
  <c r="I279" i="2"/>
  <c r="H279" i="2"/>
  <c r="G279" i="2"/>
  <c r="F279" i="2"/>
  <c r="E279" i="2"/>
  <c r="D279" i="2"/>
  <c r="C279" i="2"/>
  <c r="FO278" i="2"/>
  <c r="FI278" i="2"/>
  <c r="FH278" i="2"/>
  <c r="FG278" i="2"/>
  <c r="FF278" i="2"/>
  <c r="FE278" i="2"/>
  <c r="FD278" i="2"/>
  <c r="FC278" i="2"/>
  <c r="FA278" i="2"/>
  <c r="FB278" i="2" s="1"/>
  <c r="EZ278" i="2"/>
  <c r="EY278" i="2"/>
  <c r="EX278" i="2"/>
  <c r="EW278" i="2"/>
  <c r="EV278" i="2"/>
  <c r="EU278" i="2"/>
  <c r="ET278" i="2"/>
  <c r="ES278" i="2"/>
  <c r="ER278" i="2"/>
  <c r="EQ278" i="2"/>
  <c r="EP278" i="2"/>
  <c r="EN278" i="2"/>
  <c r="EO278" i="2" s="1"/>
  <c r="EM278" i="2"/>
  <c r="EL278" i="2"/>
  <c r="EK278" i="2"/>
  <c r="EJ278" i="2"/>
  <c r="EI278" i="2"/>
  <c r="EH278" i="2"/>
  <c r="EG278" i="2"/>
  <c r="EF278" i="2"/>
  <c r="EE278" i="2"/>
  <c r="ED278" i="2"/>
  <c r="EC278" i="2"/>
  <c r="EA278" i="2"/>
  <c r="EB278" i="2" s="1"/>
  <c r="DZ278" i="2"/>
  <c r="DY278" i="2"/>
  <c r="DX278" i="2"/>
  <c r="DW278" i="2"/>
  <c r="DV278" i="2"/>
  <c r="DU278" i="2"/>
  <c r="DT278" i="2"/>
  <c r="DS278" i="2"/>
  <c r="DR278" i="2"/>
  <c r="DQ278" i="2"/>
  <c r="DP278" i="2"/>
  <c r="DN278" i="2"/>
  <c r="DO278" i="2" s="1"/>
  <c r="DM278" i="2"/>
  <c r="DL278" i="2"/>
  <c r="DK278" i="2"/>
  <c r="DJ278" i="2"/>
  <c r="DI278" i="2"/>
  <c r="DH278" i="2"/>
  <c r="DG278" i="2"/>
  <c r="DF278" i="2"/>
  <c r="DE278" i="2"/>
  <c r="DD278" i="2"/>
  <c r="DC278" i="2"/>
  <c r="DB278" i="2"/>
  <c r="DA278" i="2"/>
  <c r="CZ278" i="2"/>
  <c r="CY278" i="2"/>
  <c r="CX278" i="2"/>
  <c r="CW278" i="2"/>
  <c r="CV278" i="2"/>
  <c r="CU278" i="2"/>
  <c r="CT278" i="2"/>
  <c r="CS278" i="2"/>
  <c r="CR278" i="2"/>
  <c r="CQ278" i="2"/>
  <c r="CP278" i="2"/>
  <c r="CO278" i="2"/>
  <c r="CN278" i="2"/>
  <c r="CM278" i="2"/>
  <c r="CL278" i="2"/>
  <c r="CK278" i="2"/>
  <c r="CJ278" i="2"/>
  <c r="CI278" i="2"/>
  <c r="CH278" i="2"/>
  <c r="CG278" i="2"/>
  <c r="CF278" i="2"/>
  <c r="CE278" i="2"/>
  <c r="CD278" i="2"/>
  <c r="CC278" i="2"/>
  <c r="CA278" i="2"/>
  <c r="CB278" i="2" s="1"/>
  <c r="BZ278" i="2"/>
  <c r="BY278" i="2"/>
  <c r="BX278" i="2"/>
  <c r="BW278" i="2"/>
  <c r="BV278" i="2"/>
  <c r="BU278" i="2"/>
  <c r="BT278" i="2"/>
  <c r="BS278" i="2"/>
  <c r="BR278" i="2"/>
  <c r="BQ278" i="2"/>
  <c r="BP278" i="2"/>
  <c r="BN278" i="2"/>
  <c r="BO278" i="2" s="1"/>
  <c r="BM278" i="2"/>
  <c r="BL278" i="2"/>
  <c r="BK278" i="2"/>
  <c r="BJ278" i="2"/>
  <c r="BI278" i="2"/>
  <c r="BH278" i="2"/>
  <c r="BG278" i="2"/>
  <c r="BF278" i="2"/>
  <c r="BE278" i="2"/>
  <c r="BD278" i="2"/>
  <c r="BC278" i="2"/>
  <c r="BA278" i="2"/>
  <c r="BB278" i="2" s="1"/>
  <c r="AZ278" i="2"/>
  <c r="AY278" i="2"/>
  <c r="AX278" i="2"/>
  <c r="AW278" i="2"/>
  <c r="AV278" i="2"/>
  <c r="AU278" i="2"/>
  <c r="AT278" i="2"/>
  <c r="AS278" i="2"/>
  <c r="AR278" i="2"/>
  <c r="AQ278" i="2"/>
  <c r="AP278" i="2"/>
  <c r="AO278" i="2"/>
  <c r="AN278" i="2"/>
  <c r="AM278" i="2"/>
  <c r="AL278" i="2"/>
  <c r="AK278" i="2"/>
  <c r="AJ278" i="2"/>
  <c r="AI278" i="2"/>
  <c r="AH278" i="2"/>
  <c r="AG278" i="2"/>
  <c r="AF278" i="2"/>
  <c r="AE278" i="2"/>
  <c r="AD278" i="2"/>
  <c r="AC278" i="2"/>
  <c r="AA278" i="2"/>
  <c r="AB278" i="2" s="1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FI277" i="2"/>
  <c r="FO277" i="2" s="1"/>
  <c r="FH277" i="2"/>
  <c r="FG277" i="2"/>
  <c r="FF277" i="2"/>
  <c r="FE277" i="2"/>
  <c r="FD277" i="2"/>
  <c r="FC277" i="2"/>
  <c r="FA277" i="2"/>
  <c r="FB277" i="2" s="1"/>
  <c r="EZ277" i="2"/>
  <c r="EY277" i="2"/>
  <c r="EX277" i="2"/>
  <c r="EW277" i="2"/>
  <c r="EV277" i="2"/>
  <c r="EU277" i="2"/>
  <c r="ET277" i="2"/>
  <c r="ES277" i="2"/>
  <c r="ER277" i="2"/>
  <c r="EQ277" i="2"/>
  <c r="EP277" i="2"/>
  <c r="EO277" i="2"/>
  <c r="EN277" i="2"/>
  <c r="EM277" i="2"/>
  <c r="EL277" i="2"/>
  <c r="EK277" i="2"/>
  <c r="EJ277" i="2"/>
  <c r="EI277" i="2"/>
  <c r="EH277" i="2"/>
  <c r="EG277" i="2"/>
  <c r="EF277" i="2"/>
  <c r="EE277" i="2"/>
  <c r="ED277" i="2"/>
  <c r="EC277" i="2"/>
  <c r="EA277" i="2"/>
  <c r="EB277" i="2" s="1"/>
  <c r="DZ277" i="2"/>
  <c r="DY277" i="2"/>
  <c r="DX277" i="2"/>
  <c r="DW277" i="2"/>
  <c r="DV277" i="2"/>
  <c r="DU277" i="2"/>
  <c r="DT277" i="2"/>
  <c r="DS277" i="2"/>
  <c r="DR277" i="2"/>
  <c r="DQ277" i="2"/>
  <c r="DP277" i="2"/>
  <c r="DO277" i="2"/>
  <c r="DN277" i="2"/>
  <c r="DM277" i="2"/>
  <c r="DL277" i="2"/>
  <c r="DK277" i="2"/>
  <c r="DJ277" i="2"/>
  <c r="DI277" i="2"/>
  <c r="DH277" i="2"/>
  <c r="DG277" i="2"/>
  <c r="DF277" i="2"/>
  <c r="DE277" i="2"/>
  <c r="DD277" i="2"/>
  <c r="DC277" i="2"/>
  <c r="DA277" i="2"/>
  <c r="DB277" i="2" s="1"/>
  <c r="CZ277" i="2"/>
  <c r="CY277" i="2"/>
  <c r="CX277" i="2"/>
  <c r="CW277" i="2"/>
  <c r="CV277" i="2"/>
  <c r="CU277" i="2"/>
  <c r="CT277" i="2"/>
  <c r="CS277" i="2"/>
  <c r="CR277" i="2"/>
  <c r="CQ277" i="2"/>
  <c r="CP277" i="2"/>
  <c r="CN277" i="2"/>
  <c r="CO277" i="2" s="1"/>
  <c r="CM277" i="2"/>
  <c r="CL277" i="2"/>
  <c r="CK277" i="2"/>
  <c r="CJ277" i="2"/>
  <c r="CI277" i="2"/>
  <c r="CH277" i="2"/>
  <c r="CG277" i="2"/>
  <c r="CF277" i="2"/>
  <c r="CE277" i="2"/>
  <c r="CD277" i="2"/>
  <c r="CC277" i="2"/>
  <c r="CA277" i="2"/>
  <c r="CB277" i="2" s="1"/>
  <c r="BZ277" i="2"/>
  <c r="BY277" i="2"/>
  <c r="BX277" i="2"/>
  <c r="BW277" i="2"/>
  <c r="BV277" i="2"/>
  <c r="BU277" i="2"/>
  <c r="BT277" i="2"/>
  <c r="BS277" i="2"/>
  <c r="BR277" i="2"/>
  <c r="BQ277" i="2"/>
  <c r="BP277" i="2"/>
  <c r="BN277" i="2"/>
  <c r="BO277" i="2" s="1"/>
  <c r="BM277" i="2"/>
  <c r="BL277" i="2"/>
  <c r="BK277" i="2"/>
  <c r="BJ277" i="2"/>
  <c r="BI277" i="2"/>
  <c r="BH277" i="2"/>
  <c r="BG277" i="2"/>
  <c r="BF277" i="2"/>
  <c r="BE277" i="2"/>
  <c r="BD277" i="2"/>
  <c r="BC277" i="2"/>
  <c r="BA277" i="2"/>
  <c r="BB277" i="2" s="1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A277" i="2"/>
  <c r="AB277" i="2" s="1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FI276" i="2"/>
  <c r="FO276" i="2" s="1"/>
  <c r="FH276" i="2"/>
  <c r="FG276" i="2"/>
  <c r="FF276" i="2"/>
  <c r="FE276" i="2"/>
  <c r="FD276" i="2"/>
  <c r="FC276" i="2"/>
  <c r="FB276" i="2"/>
  <c r="FA276" i="2"/>
  <c r="EZ276" i="2"/>
  <c r="EY276" i="2"/>
  <c r="EX276" i="2"/>
  <c r="EW276" i="2"/>
  <c r="EV276" i="2"/>
  <c r="EU276" i="2"/>
  <c r="ET276" i="2"/>
  <c r="ES276" i="2"/>
  <c r="ER276" i="2"/>
  <c r="EQ276" i="2"/>
  <c r="EP276" i="2"/>
  <c r="EN276" i="2"/>
  <c r="EO276" i="2" s="1"/>
  <c r="EM276" i="2"/>
  <c r="EL276" i="2"/>
  <c r="EK276" i="2"/>
  <c r="EJ276" i="2"/>
  <c r="EI276" i="2"/>
  <c r="EH276" i="2"/>
  <c r="EG276" i="2"/>
  <c r="EF276" i="2"/>
  <c r="EE276" i="2"/>
  <c r="ED276" i="2"/>
  <c r="EC276" i="2"/>
  <c r="EA276" i="2"/>
  <c r="EB276" i="2" s="1"/>
  <c r="DZ276" i="2"/>
  <c r="DY276" i="2"/>
  <c r="DX276" i="2"/>
  <c r="DW276" i="2"/>
  <c r="DV276" i="2"/>
  <c r="DU276" i="2"/>
  <c r="DT276" i="2"/>
  <c r="DS276" i="2"/>
  <c r="DR276" i="2"/>
  <c r="DQ276" i="2"/>
  <c r="DP276" i="2"/>
  <c r="DN276" i="2"/>
  <c r="DO276" i="2" s="1"/>
  <c r="DM276" i="2"/>
  <c r="DL276" i="2"/>
  <c r="DK276" i="2"/>
  <c r="DJ276" i="2"/>
  <c r="DI276" i="2"/>
  <c r="DH276" i="2"/>
  <c r="DG276" i="2"/>
  <c r="DF276" i="2"/>
  <c r="DE276" i="2"/>
  <c r="DD276" i="2"/>
  <c r="DC276" i="2"/>
  <c r="DA276" i="2"/>
  <c r="DB276" i="2" s="1"/>
  <c r="CZ276" i="2"/>
  <c r="CY276" i="2"/>
  <c r="CX276" i="2"/>
  <c r="CW276" i="2"/>
  <c r="CV276" i="2"/>
  <c r="CU276" i="2"/>
  <c r="CT276" i="2"/>
  <c r="CS276" i="2"/>
  <c r="CR276" i="2"/>
  <c r="CQ276" i="2"/>
  <c r="CP276" i="2"/>
  <c r="CN276" i="2"/>
  <c r="CO276" i="2" s="1"/>
  <c r="CM276" i="2"/>
  <c r="CL276" i="2"/>
  <c r="CK276" i="2"/>
  <c r="CJ276" i="2"/>
  <c r="CI276" i="2"/>
  <c r="CH276" i="2"/>
  <c r="CG276" i="2"/>
  <c r="CF276" i="2"/>
  <c r="CE276" i="2"/>
  <c r="CD276" i="2"/>
  <c r="CC276" i="2"/>
  <c r="CA276" i="2"/>
  <c r="CB276" i="2" s="1"/>
  <c r="BZ276" i="2"/>
  <c r="BY276" i="2"/>
  <c r="BX276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A276" i="2"/>
  <c r="BB276" i="2" s="1"/>
  <c r="AZ276" i="2"/>
  <c r="AY276" i="2"/>
  <c r="AX276" i="2"/>
  <c r="AW276" i="2"/>
  <c r="AV276" i="2"/>
  <c r="AU276" i="2"/>
  <c r="AT276" i="2"/>
  <c r="AS276" i="2"/>
  <c r="AR276" i="2"/>
  <c r="AQ276" i="2"/>
  <c r="AP276" i="2"/>
  <c r="AN276" i="2"/>
  <c r="AO276" i="2" s="1"/>
  <c r="AM276" i="2"/>
  <c r="AL276" i="2"/>
  <c r="AK276" i="2"/>
  <c r="AJ276" i="2"/>
  <c r="AI276" i="2"/>
  <c r="AH276" i="2"/>
  <c r="AG276" i="2"/>
  <c r="AF276" i="2"/>
  <c r="AE276" i="2"/>
  <c r="AD276" i="2"/>
  <c r="AC276" i="2"/>
  <c r="AA276" i="2"/>
  <c r="AB276" i="2" s="1"/>
  <c r="Z276" i="2"/>
  <c r="Y276" i="2"/>
  <c r="X276" i="2"/>
  <c r="W276" i="2"/>
  <c r="V276" i="2"/>
  <c r="U276" i="2"/>
  <c r="T276" i="2"/>
  <c r="S276" i="2"/>
  <c r="R276" i="2"/>
  <c r="Q276" i="2"/>
  <c r="P276" i="2"/>
  <c r="N276" i="2"/>
  <c r="O276" i="2" s="1"/>
  <c r="M276" i="2"/>
  <c r="L276" i="2"/>
  <c r="K276" i="2"/>
  <c r="J276" i="2"/>
  <c r="I276" i="2"/>
  <c r="H276" i="2"/>
  <c r="G276" i="2"/>
  <c r="F276" i="2"/>
  <c r="E276" i="2"/>
  <c r="D276" i="2"/>
  <c r="C276" i="2"/>
  <c r="FO275" i="2"/>
  <c r="FI275" i="2"/>
  <c r="FH275" i="2"/>
  <c r="FG275" i="2"/>
  <c r="FF275" i="2"/>
  <c r="FE275" i="2"/>
  <c r="FD275" i="2"/>
  <c r="FC275" i="2"/>
  <c r="FA275" i="2"/>
  <c r="FB275" i="2" s="1"/>
  <c r="EZ275" i="2"/>
  <c r="EY275" i="2"/>
  <c r="EX275" i="2"/>
  <c r="EW275" i="2"/>
  <c r="EV275" i="2"/>
  <c r="EU275" i="2"/>
  <c r="ET275" i="2"/>
  <c r="ES275" i="2"/>
  <c r="ER275" i="2"/>
  <c r="EQ275" i="2"/>
  <c r="EP275" i="2"/>
  <c r="EN275" i="2"/>
  <c r="EO275" i="2" s="1"/>
  <c r="EM275" i="2"/>
  <c r="EL275" i="2"/>
  <c r="EK275" i="2"/>
  <c r="EJ275" i="2"/>
  <c r="EI275" i="2"/>
  <c r="EH275" i="2"/>
  <c r="EG275" i="2"/>
  <c r="EF275" i="2"/>
  <c r="EE275" i="2"/>
  <c r="ED275" i="2"/>
  <c r="EC275" i="2"/>
  <c r="EA275" i="2"/>
  <c r="EB275" i="2" s="1"/>
  <c r="DZ275" i="2"/>
  <c r="DY275" i="2"/>
  <c r="DX275" i="2"/>
  <c r="DW275" i="2"/>
  <c r="DV275" i="2"/>
  <c r="DU275" i="2"/>
  <c r="DT275" i="2"/>
  <c r="DS275" i="2"/>
  <c r="DR275" i="2"/>
  <c r="DQ275" i="2"/>
  <c r="DP275" i="2"/>
  <c r="DN275" i="2"/>
  <c r="DO275" i="2" s="1"/>
  <c r="DM275" i="2"/>
  <c r="DL275" i="2"/>
  <c r="DK275" i="2"/>
  <c r="DJ275" i="2"/>
  <c r="DI275" i="2"/>
  <c r="DH275" i="2"/>
  <c r="DG275" i="2"/>
  <c r="DF275" i="2"/>
  <c r="DE275" i="2"/>
  <c r="DD275" i="2"/>
  <c r="DC275" i="2"/>
  <c r="DB275" i="2"/>
  <c r="DA275" i="2"/>
  <c r="CZ275" i="2"/>
  <c r="CY275" i="2"/>
  <c r="CX275" i="2"/>
  <c r="CW275" i="2"/>
  <c r="CV275" i="2"/>
  <c r="CU275" i="2"/>
  <c r="CT275" i="2"/>
  <c r="CS275" i="2"/>
  <c r="CR275" i="2"/>
  <c r="CQ275" i="2"/>
  <c r="CP275" i="2"/>
  <c r="CO275" i="2"/>
  <c r="CN275" i="2"/>
  <c r="CM275" i="2"/>
  <c r="CL275" i="2"/>
  <c r="CK275" i="2"/>
  <c r="CJ275" i="2"/>
  <c r="CI275" i="2"/>
  <c r="CH275" i="2"/>
  <c r="CG275" i="2"/>
  <c r="CF275" i="2"/>
  <c r="CE275" i="2"/>
  <c r="CD275" i="2"/>
  <c r="CC275" i="2"/>
  <c r="CA275" i="2"/>
  <c r="CB275" i="2" s="1"/>
  <c r="BZ275" i="2"/>
  <c r="BY275" i="2"/>
  <c r="BX275" i="2"/>
  <c r="BW275" i="2"/>
  <c r="BV275" i="2"/>
  <c r="BU275" i="2"/>
  <c r="BT275" i="2"/>
  <c r="BS275" i="2"/>
  <c r="BR275" i="2"/>
  <c r="BQ275" i="2"/>
  <c r="BP275" i="2"/>
  <c r="BN275" i="2"/>
  <c r="BO275" i="2" s="1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N275" i="2"/>
  <c r="AO275" i="2" s="1"/>
  <c r="AM275" i="2"/>
  <c r="AL275" i="2"/>
  <c r="AK275" i="2"/>
  <c r="AJ275" i="2"/>
  <c r="AI275" i="2"/>
  <c r="AH275" i="2"/>
  <c r="AG275" i="2"/>
  <c r="AF275" i="2"/>
  <c r="AE275" i="2"/>
  <c r="AD275" i="2"/>
  <c r="AC275" i="2"/>
  <c r="AA275" i="2"/>
  <c r="AB275" i="2" s="1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FI274" i="2"/>
  <c r="FO274" i="2" s="1"/>
  <c r="FH274" i="2"/>
  <c r="FG274" i="2"/>
  <c r="FF274" i="2"/>
  <c r="FE274" i="2"/>
  <c r="FD274" i="2"/>
  <c r="FC274" i="2"/>
  <c r="FB274" i="2"/>
  <c r="FA274" i="2"/>
  <c r="EZ274" i="2"/>
  <c r="EY274" i="2"/>
  <c r="EX274" i="2"/>
  <c r="EW274" i="2"/>
  <c r="EV274" i="2"/>
  <c r="EU274" i="2"/>
  <c r="ET274" i="2"/>
  <c r="ES274" i="2"/>
  <c r="ER274" i="2"/>
  <c r="EQ274" i="2"/>
  <c r="EP274" i="2"/>
  <c r="EN274" i="2"/>
  <c r="EO274" i="2" s="1"/>
  <c r="EM274" i="2"/>
  <c r="EL274" i="2"/>
  <c r="EK274" i="2"/>
  <c r="EJ274" i="2"/>
  <c r="EI274" i="2"/>
  <c r="EH274" i="2"/>
  <c r="EG274" i="2"/>
  <c r="EF274" i="2"/>
  <c r="EE274" i="2"/>
  <c r="ED274" i="2"/>
  <c r="EC274" i="2"/>
  <c r="EA274" i="2"/>
  <c r="EB274" i="2" s="1"/>
  <c r="DZ274" i="2"/>
  <c r="DY274" i="2"/>
  <c r="DX274" i="2"/>
  <c r="DW274" i="2"/>
  <c r="DV274" i="2"/>
  <c r="DU274" i="2"/>
  <c r="DT274" i="2"/>
  <c r="DS274" i="2"/>
  <c r="DR274" i="2"/>
  <c r="DQ274" i="2"/>
  <c r="DP274" i="2"/>
  <c r="DO274" i="2"/>
  <c r="DN274" i="2"/>
  <c r="DM274" i="2"/>
  <c r="DL274" i="2"/>
  <c r="DK274" i="2"/>
  <c r="DJ274" i="2"/>
  <c r="DI274" i="2"/>
  <c r="DH274" i="2"/>
  <c r="DG274" i="2"/>
  <c r="DF274" i="2"/>
  <c r="DE274" i="2"/>
  <c r="DD274" i="2"/>
  <c r="DC274" i="2"/>
  <c r="DA274" i="2"/>
  <c r="DB274" i="2" s="1"/>
  <c r="CZ274" i="2"/>
  <c r="CY274" i="2"/>
  <c r="CX274" i="2"/>
  <c r="CW274" i="2"/>
  <c r="CV274" i="2"/>
  <c r="CU274" i="2"/>
  <c r="CT274" i="2"/>
  <c r="CS274" i="2"/>
  <c r="CR274" i="2"/>
  <c r="CQ274" i="2"/>
  <c r="CP274" i="2"/>
  <c r="CN274" i="2"/>
  <c r="CO274" i="2" s="1"/>
  <c r="CM274" i="2"/>
  <c r="CL274" i="2"/>
  <c r="CK274" i="2"/>
  <c r="CJ274" i="2"/>
  <c r="CI274" i="2"/>
  <c r="CH274" i="2"/>
  <c r="CG274" i="2"/>
  <c r="CF274" i="2"/>
  <c r="CE274" i="2"/>
  <c r="CD274" i="2"/>
  <c r="CC274" i="2"/>
  <c r="CA274" i="2"/>
  <c r="CB274" i="2" s="1"/>
  <c r="BZ274" i="2"/>
  <c r="BY274" i="2"/>
  <c r="BX274" i="2"/>
  <c r="BW274" i="2"/>
  <c r="BV274" i="2"/>
  <c r="BU274" i="2"/>
  <c r="BT274" i="2"/>
  <c r="BS274" i="2"/>
  <c r="BR274" i="2"/>
  <c r="BQ274" i="2"/>
  <c r="BP274" i="2"/>
  <c r="BN274" i="2"/>
  <c r="BO274" i="2" s="1"/>
  <c r="BM274" i="2"/>
  <c r="BL274" i="2"/>
  <c r="BK274" i="2"/>
  <c r="BJ274" i="2"/>
  <c r="BI274" i="2"/>
  <c r="BH274" i="2"/>
  <c r="BG274" i="2"/>
  <c r="BF274" i="2"/>
  <c r="BE274" i="2"/>
  <c r="BD274" i="2"/>
  <c r="BC274" i="2"/>
  <c r="BA274" i="2"/>
  <c r="BB274" i="2" s="1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A274" i="2"/>
  <c r="AB274" i="2" s="1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FI273" i="2"/>
  <c r="FO273" i="2" s="1"/>
  <c r="FH273" i="2"/>
  <c r="FG273" i="2"/>
  <c r="FF273" i="2"/>
  <c r="FE273" i="2"/>
  <c r="FD273" i="2"/>
  <c r="FC273" i="2"/>
  <c r="FB273" i="2"/>
  <c r="FA273" i="2"/>
  <c r="EZ273" i="2"/>
  <c r="EY273" i="2"/>
  <c r="EX273" i="2"/>
  <c r="EW273" i="2"/>
  <c r="EV273" i="2"/>
  <c r="EU273" i="2"/>
  <c r="ET273" i="2"/>
  <c r="ES273" i="2"/>
  <c r="ER273" i="2"/>
  <c r="EQ273" i="2"/>
  <c r="EP273" i="2"/>
  <c r="EN273" i="2"/>
  <c r="EO273" i="2" s="1"/>
  <c r="EM273" i="2"/>
  <c r="EL273" i="2"/>
  <c r="EK273" i="2"/>
  <c r="EJ273" i="2"/>
  <c r="EI273" i="2"/>
  <c r="EH273" i="2"/>
  <c r="EG273" i="2"/>
  <c r="EF273" i="2"/>
  <c r="EE273" i="2"/>
  <c r="ED273" i="2"/>
  <c r="EC273" i="2"/>
  <c r="EA273" i="2"/>
  <c r="EB273" i="2" s="1"/>
  <c r="DZ273" i="2"/>
  <c r="DY273" i="2"/>
  <c r="DX273" i="2"/>
  <c r="DW273" i="2"/>
  <c r="DV273" i="2"/>
  <c r="DU273" i="2"/>
  <c r="DT273" i="2"/>
  <c r="DS273" i="2"/>
  <c r="DR273" i="2"/>
  <c r="DQ273" i="2"/>
  <c r="DP273" i="2"/>
  <c r="DO273" i="2"/>
  <c r="DN273" i="2"/>
  <c r="DM273" i="2"/>
  <c r="DL273" i="2"/>
  <c r="DK273" i="2"/>
  <c r="DJ273" i="2"/>
  <c r="DI273" i="2"/>
  <c r="DH273" i="2"/>
  <c r="DG273" i="2"/>
  <c r="DF273" i="2"/>
  <c r="DE273" i="2"/>
  <c r="DD273" i="2"/>
  <c r="DC273" i="2"/>
  <c r="DA273" i="2"/>
  <c r="DB273" i="2" s="1"/>
  <c r="CZ273" i="2"/>
  <c r="CY273" i="2"/>
  <c r="CX273" i="2"/>
  <c r="CW273" i="2"/>
  <c r="CV273" i="2"/>
  <c r="CU273" i="2"/>
  <c r="CT273" i="2"/>
  <c r="CS273" i="2"/>
  <c r="CR273" i="2"/>
  <c r="CQ273" i="2"/>
  <c r="CP273" i="2"/>
  <c r="CN273" i="2"/>
  <c r="CO273" i="2" s="1"/>
  <c r="CM273" i="2"/>
  <c r="CL273" i="2"/>
  <c r="CK273" i="2"/>
  <c r="CJ273" i="2"/>
  <c r="CI273" i="2"/>
  <c r="CH273" i="2"/>
  <c r="CG273" i="2"/>
  <c r="CF273" i="2"/>
  <c r="CE273" i="2"/>
  <c r="CD273" i="2"/>
  <c r="CC273" i="2"/>
  <c r="CA273" i="2"/>
  <c r="CB273" i="2" s="1"/>
  <c r="BZ273" i="2"/>
  <c r="BY273" i="2"/>
  <c r="BX273" i="2"/>
  <c r="BW273" i="2"/>
  <c r="BV273" i="2"/>
  <c r="BU273" i="2"/>
  <c r="BT273" i="2"/>
  <c r="BS273" i="2"/>
  <c r="BR273" i="2"/>
  <c r="BQ273" i="2"/>
  <c r="BP273" i="2"/>
  <c r="BO273" i="2"/>
  <c r="BN273" i="2"/>
  <c r="BM273" i="2"/>
  <c r="BL273" i="2"/>
  <c r="BK273" i="2"/>
  <c r="BJ273" i="2"/>
  <c r="BI273" i="2"/>
  <c r="BH273" i="2"/>
  <c r="BG273" i="2"/>
  <c r="BF273" i="2"/>
  <c r="BE273" i="2"/>
  <c r="BD273" i="2"/>
  <c r="BC273" i="2"/>
  <c r="BA273" i="2"/>
  <c r="BB273" i="2" s="1"/>
  <c r="AZ273" i="2"/>
  <c r="AY273" i="2"/>
  <c r="AX273" i="2"/>
  <c r="AW273" i="2"/>
  <c r="AV273" i="2"/>
  <c r="AU273" i="2"/>
  <c r="AT273" i="2"/>
  <c r="AS273" i="2"/>
  <c r="AR273" i="2"/>
  <c r="AQ273" i="2"/>
  <c r="AP273" i="2"/>
  <c r="AN273" i="2"/>
  <c r="AO273" i="2" s="1"/>
  <c r="AM273" i="2"/>
  <c r="AL273" i="2"/>
  <c r="AK273" i="2"/>
  <c r="AJ273" i="2"/>
  <c r="AI273" i="2"/>
  <c r="AH273" i="2"/>
  <c r="AG273" i="2"/>
  <c r="AF273" i="2"/>
  <c r="AE273" i="2"/>
  <c r="AD273" i="2"/>
  <c r="AC273" i="2"/>
  <c r="AA273" i="2"/>
  <c r="AB273" i="2" s="1"/>
  <c r="Z273" i="2"/>
  <c r="Y273" i="2"/>
  <c r="X273" i="2"/>
  <c r="W273" i="2"/>
  <c r="V273" i="2"/>
  <c r="U273" i="2"/>
  <c r="T273" i="2"/>
  <c r="S273" i="2"/>
  <c r="R273" i="2"/>
  <c r="Q273" i="2"/>
  <c r="P273" i="2"/>
  <c r="N273" i="2"/>
  <c r="O273" i="2" s="1"/>
  <c r="M273" i="2"/>
  <c r="L273" i="2"/>
  <c r="K273" i="2"/>
  <c r="J273" i="2"/>
  <c r="I273" i="2"/>
  <c r="H273" i="2"/>
  <c r="G273" i="2"/>
  <c r="F273" i="2"/>
  <c r="E273" i="2"/>
  <c r="D273" i="2"/>
  <c r="C273" i="2"/>
  <c r="FI272" i="2"/>
  <c r="FO272" i="2" s="1"/>
  <c r="FH272" i="2"/>
  <c r="FG272" i="2"/>
  <c r="FF272" i="2"/>
  <c r="FE272" i="2"/>
  <c r="FD272" i="2"/>
  <c r="FC272" i="2"/>
  <c r="FA272" i="2"/>
  <c r="FB272" i="2" s="1"/>
  <c r="EZ272" i="2"/>
  <c r="EY272" i="2"/>
  <c r="EX272" i="2"/>
  <c r="EW272" i="2"/>
  <c r="EV272" i="2"/>
  <c r="EU272" i="2"/>
  <c r="ET272" i="2"/>
  <c r="ES272" i="2"/>
  <c r="ER272" i="2"/>
  <c r="EQ272" i="2"/>
  <c r="EP272" i="2"/>
  <c r="EN272" i="2"/>
  <c r="EO272" i="2" s="1"/>
  <c r="EM272" i="2"/>
  <c r="EL272" i="2"/>
  <c r="EK272" i="2"/>
  <c r="EJ272" i="2"/>
  <c r="EI272" i="2"/>
  <c r="EH272" i="2"/>
  <c r="EG272" i="2"/>
  <c r="EF272" i="2"/>
  <c r="EE272" i="2"/>
  <c r="ED272" i="2"/>
  <c r="EC272" i="2"/>
  <c r="EA272" i="2"/>
  <c r="EB272" i="2" s="1"/>
  <c r="DZ272" i="2"/>
  <c r="DY272" i="2"/>
  <c r="DX272" i="2"/>
  <c r="DW272" i="2"/>
  <c r="DV272" i="2"/>
  <c r="DU272" i="2"/>
  <c r="DT272" i="2"/>
  <c r="DS272" i="2"/>
  <c r="DR272" i="2"/>
  <c r="DQ272" i="2"/>
  <c r="DP272" i="2"/>
  <c r="DO272" i="2"/>
  <c r="DN272" i="2"/>
  <c r="DM272" i="2"/>
  <c r="DL272" i="2"/>
  <c r="DK272" i="2"/>
  <c r="DJ272" i="2"/>
  <c r="DI272" i="2"/>
  <c r="DH272" i="2"/>
  <c r="DG272" i="2"/>
  <c r="DF272" i="2"/>
  <c r="DE272" i="2"/>
  <c r="DD272" i="2"/>
  <c r="DC272" i="2"/>
  <c r="DA272" i="2"/>
  <c r="DB272" i="2" s="1"/>
  <c r="CZ272" i="2"/>
  <c r="CY272" i="2"/>
  <c r="CX272" i="2"/>
  <c r="CW272" i="2"/>
  <c r="CV272" i="2"/>
  <c r="CU272" i="2"/>
  <c r="CT272" i="2"/>
  <c r="CS272" i="2"/>
  <c r="CR272" i="2"/>
  <c r="CQ272" i="2"/>
  <c r="CP272" i="2"/>
  <c r="CN272" i="2"/>
  <c r="CO272" i="2" s="1"/>
  <c r="CM272" i="2"/>
  <c r="CL272" i="2"/>
  <c r="CK272" i="2"/>
  <c r="CJ272" i="2"/>
  <c r="CI272" i="2"/>
  <c r="CH272" i="2"/>
  <c r="CG272" i="2"/>
  <c r="CF272" i="2"/>
  <c r="CE272" i="2"/>
  <c r="CD272" i="2"/>
  <c r="CC272" i="2"/>
  <c r="CA272" i="2"/>
  <c r="CB272" i="2" s="1"/>
  <c r="BZ272" i="2"/>
  <c r="BY272" i="2"/>
  <c r="BX272" i="2"/>
  <c r="BW272" i="2"/>
  <c r="BV272" i="2"/>
  <c r="BU272" i="2"/>
  <c r="BT272" i="2"/>
  <c r="BS272" i="2"/>
  <c r="BR272" i="2"/>
  <c r="BQ272" i="2"/>
  <c r="BP272" i="2"/>
  <c r="BO272" i="2"/>
  <c r="BN272" i="2"/>
  <c r="BM272" i="2"/>
  <c r="BL272" i="2"/>
  <c r="BK272" i="2"/>
  <c r="BJ272" i="2"/>
  <c r="BI272" i="2"/>
  <c r="BH272" i="2"/>
  <c r="BG272" i="2"/>
  <c r="BF272" i="2"/>
  <c r="BE272" i="2"/>
  <c r="BD272" i="2"/>
  <c r="BC272" i="2"/>
  <c r="BA272" i="2"/>
  <c r="BB272" i="2" s="1"/>
  <c r="AZ272" i="2"/>
  <c r="AY272" i="2"/>
  <c r="AX272" i="2"/>
  <c r="AW272" i="2"/>
  <c r="AV272" i="2"/>
  <c r="AU272" i="2"/>
  <c r="AT272" i="2"/>
  <c r="AS272" i="2"/>
  <c r="AR272" i="2"/>
  <c r="AQ272" i="2"/>
  <c r="AP272" i="2"/>
  <c r="AN272" i="2"/>
  <c r="AO272" i="2" s="1"/>
  <c r="AM272" i="2"/>
  <c r="AL272" i="2"/>
  <c r="AK272" i="2"/>
  <c r="AJ272" i="2"/>
  <c r="AI272" i="2"/>
  <c r="AH272" i="2"/>
  <c r="AG272" i="2"/>
  <c r="AF272" i="2"/>
  <c r="AE272" i="2"/>
  <c r="AD272" i="2"/>
  <c r="AC272" i="2"/>
  <c r="AA272" i="2"/>
  <c r="AB272" i="2" s="1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FI271" i="2"/>
  <c r="FO271" i="2" s="1"/>
  <c r="FH271" i="2"/>
  <c r="FG271" i="2"/>
  <c r="FF271" i="2"/>
  <c r="FE271" i="2"/>
  <c r="FD271" i="2"/>
  <c r="FC271" i="2"/>
  <c r="FA271" i="2"/>
  <c r="FB271" i="2" s="1"/>
  <c r="EZ271" i="2"/>
  <c r="EY271" i="2"/>
  <c r="EX271" i="2"/>
  <c r="EW271" i="2"/>
  <c r="EV271" i="2"/>
  <c r="EU271" i="2"/>
  <c r="ET271" i="2"/>
  <c r="ES271" i="2"/>
  <c r="ER271" i="2"/>
  <c r="EQ271" i="2"/>
  <c r="EP271" i="2"/>
  <c r="EN271" i="2"/>
  <c r="EO271" i="2" s="1"/>
  <c r="EM271" i="2"/>
  <c r="EL271" i="2"/>
  <c r="EK271" i="2"/>
  <c r="EJ271" i="2"/>
  <c r="EI271" i="2"/>
  <c r="EH271" i="2"/>
  <c r="EG271" i="2"/>
  <c r="EF271" i="2"/>
  <c r="EE271" i="2"/>
  <c r="ED271" i="2"/>
  <c r="EC271" i="2"/>
  <c r="EA271" i="2"/>
  <c r="EB271" i="2" s="1"/>
  <c r="DZ271" i="2"/>
  <c r="DY271" i="2"/>
  <c r="DX271" i="2"/>
  <c r="DW271" i="2"/>
  <c r="DV271" i="2"/>
  <c r="DU271" i="2"/>
  <c r="DT271" i="2"/>
  <c r="DS271" i="2"/>
  <c r="DR271" i="2"/>
  <c r="DQ271" i="2"/>
  <c r="DP271" i="2"/>
  <c r="DO271" i="2"/>
  <c r="DN271" i="2"/>
  <c r="DM271" i="2"/>
  <c r="DL271" i="2"/>
  <c r="DK271" i="2"/>
  <c r="DJ271" i="2"/>
  <c r="DI271" i="2"/>
  <c r="DH271" i="2"/>
  <c r="DG271" i="2"/>
  <c r="DF271" i="2"/>
  <c r="DE271" i="2"/>
  <c r="DD271" i="2"/>
  <c r="DC271" i="2"/>
  <c r="DA271" i="2"/>
  <c r="DB271" i="2" s="1"/>
  <c r="CZ271" i="2"/>
  <c r="CY271" i="2"/>
  <c r="CX271" i="2"/>
  <c r="CW271" i="2"/>
  <c r="CV271" i="2"/>
  <c r="CU271" i="2"/>
  <c r="CT271" i="2"/>
  <c r="CS271" i="2"/>
  <c r="CR271" i="2"/>
  <c r="CQ271" i="2"/>
  <c r="CP271" i="2"/>
  <c r="CN271" i="2"/>
  <c r="CO271" i="2" s="1"/>
  <c r="CM271" i="2"/>
  <c r="CL271" i="2"/>
  <c r="CK271" i="2"/>
  <c r="CJ271" i="2"/>
  <c r="CI271" i="2"/>
  <c r="CH271" i="2"/>
  <c r="CG271" i="2"/>
  <c r="CF271" i="2"/>
  <c r="CE271" i="2"/>
  <c r="CD271" i="2"/>
  <c r="CC271" i="2"/>
  <c r="CA271" i="2"/>
  <c r="CB271" i="2" s="1"/>
  <c r="BZ271" i="2"/>
  <c r="BY271" i="2"/>
  <c r="BX271" i="2"/>
  <c r="BW271" i="2"/>
  <c r="BV271" i="2"/>
  <c r="BU271" i="2"/>
  <c r="BT271" i="2"/>
  <c r="BS271" i="2"/>
  <c r="BR271" i="2"/>
  <c r="BQ271" i="2"/>
  <c r="BP271" i="2"/>
  <c r="BN271" i="2"/>
  <c r="BO271" i="2" s="1"/>
  <c r="BM271" i="2"/>
  <c r="BL271" i="2"/>
  <c r="BK271" i="2"/>
  <c r="BJ271" i="2"/>
  <c r="BI271" i="2"/>
  <c r="BH271" i="2"/>
  <c r="BG271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N271" i="2"/>
  <c r="AO271" i="2" s="1"/>
  <c r="AM271" i="2"/>
  <c r="AL271" i="2"/>
  <c r="AK271" i="2"/>
  <c r="AJ271" i="2"/>
  <c r="AI271" i="2"/>
  <c r="AH271" i="2"/>
  <c r="AG271" i="2"/>
  <c r="AF271" i="2"/>
  <c r="AE271" i="2"/>
  <c r="AD271" i="2"/>
  <c r="AC271" i="2"/>
  <c r="AA271" i="2"/>
  <c r="AB271" i="2" s="1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FI270" i="2"/>
  <c r="FO270" i="2" s="1"/>
  <c r="FH270" i="2"/>
  <c r="FG270" i="2"/>
  <c r="FF270" i="2"/>
  <c r="FE270" i="2"/>
  <c r="FD270" i="2"/>
  <c r="FC270" i="2"/>
  <c r="FB270" i="2"/>
  <c r="FA270" i="2"/>
  <c r="EZ270" i="2"/>
  <c r="EY270" i="2"/>
  <c r="EX270" i="2"/>
  <c r="EW270" i="2"/>
  <c r="EV270" i="2"/>
  <c r="EU270" i="2"/>
  <c r="ET270" i="2"/>
  <c r="ES270" i="2"/>
  <c r="ER270" i="2"/>
  <c r="EQ270" i="2"/>
  <c r="EP270" i="2"/>
  <c r="EN270" i="2"/>
  <c r="EO270" i="2" s="1"/>
  <c r="EM270" i="2"/>
  <c r="EL270" i="2"/>
  <c r="EK270" i="2"/>
  <c r="EJ270" i="2"/>
  <c r="EI270" i="2"/>
  <c r="EH270" i="2"/>
  <c r="EG270" i="2"/>
  <c r="EF270" i="2"/>
  <c r="EE270" i="2"/>
  <c r="ED270" i="2"/>
  <c r="EC270" i="2"/>
  <c r="EA270" i="2"/>
  <c r="EB270" i="2" s="1"/>
  <c r="DZ270" i="2"/>
  <c r="DY270" i="2"/>
  <c r="DX270" i="2"/>
  <c r="DW270" i="2"/>
  <c r="DV270" i="2"/>
  <c r="DU270" i="2"/>
  <c r="DT270" i="2"/>
  <c r="DS270" i="2"/>
  <c r="DR270" i="2"/>
  <c r="DQ270" i="2"/>
  <c r="DP270" i="2"/>
  <c r="DO270" i="2"/>
  <c r="DN270" i="2"/>
  <c r="DM270" i="2"/>
  <c r="DL270" i="2"/>
  <c r="DK270" i="2"/>
  <c r="DJ270" i="2"/>
  <c r="DI270" i="2"/>
  <c r="DH270" i="2"/>
  <c r="DG270" i="2"/>
  <c r="DF270" i="2"/>
  <c r="DE270" i="2"/>
  <c r="DD270" i="2"/>
  <c r="DC270" i="2"/>
  <c r="DA270" i="2"/>
  <c r="DB270" i="2" s="1"/>
  <c r="CZ270" i="2"/>
  <c r="CY270" i="2"/>
  <c r="CX270" i="2"/>
  <c r="CW270" i="2"/>
  <c r="CV270" i="2"/>
  <c r="CU270" i="2"/>
  <c r="CT270" i="2"/>
  <c r="CS270" i="2"/>
  <c r="CR270" i="2"/>
  <c r="CQ270" i="2"/>
  <c r="CP270" i="2"/>
  <c r="CN270" i="2"/>
  <c r="CO270" i="2" s="1"/>
  <c r="CM270" i="2"/>
  <c r="CL270" i="2"/>
  <c r="CK270" i="2"/>
  <c r="CJ270" i="2"/>
  <c r="CI270" i="2"/>
  <c r="CH270" i="2"/>
  <c r="CG270" i="2"/>
  <c r="CF270" i="2"/>
  <c r="CE270" i="2"/>
  <c r="CD270" i="2"/>
  <c r="CC270" i="2"/>
  <c r="CA270" i="2"/>
  <c r="CB270" i="2" s="1"/>
  <c r="BZ270" i="2"/>
  <c r="BY270" i="2"/>
  <c r="BX270" i="2"/>
  <c r="BW270" i="2"/>
  <c r="BV270" i="2"/>
  <c r="BU270" i="2"/>
  <c r="BT270" i="2"/>
  <c r="BS270" i="2"/>
  <c r="BR270" i="2"/>
  <c r="BQ270" i="2"/>
  <c r="BP270" i="2"/>
  <c r="BO270" i="2"/>
  <c r="BN270" i="2"/>
  <c r="BM270" i="2"/>
  <c r="BL270" i="2"/>
  <c r="BK270" i="2"/>
  <c r="BJ270" i="2"/>
  <c r="BI270" i="2"/>
  <c r="BH270" i="2"/>
  <c r="BG270" i="2"/>
  <c r="BF270" i="2"/>
  <c r="BE270" i="2"/>
  <c r="BD270" i="2"/>
  <c r="BC270" i="2"/>
  <c r="BB270" i="2"/>
  <c r="BA270" i="2"/>
  <c r="AZ270" i="2"/>
  <c r="AY270" i="2"/>
  <c r="AX270" i="2"/>
  <c r="AW270" i="2"/>
  <c r="AV270" i="2"/>
  <c r="AU270" i="2"/>
  <c r="AT270" i="2"/>
  <c r="AS270" i="2"/>
  <c r="AR270" i="2"/>
  <c r="AQ270" i="2"/>
  <c r="AP270" i="2"/>
  <c r="AN270" i="2"/>
  <c r="AO270" i="2" s="1"/>
  <c r="AM270" i="2"/>
  <c r="AL270" i="2"/>
  <c r="AK270" i="2"/>
  <c r="AJ270" i="2"/>
  <c r="AI270" i="2"/>
  <c r="AH270" i="2"/>
  <c r="AG270" i="2"/>
  <c r="AF270" i="2"/>
  <c r="AE270" i="2"/>
  <c r="AD270" i="2"/>
  <c r="AC270" i="2"/>
  <c r="AA270" i="2"/>
  <c r="AB270" i="2" s="1"/>
  <c r="Z270" i="2"/>
  <c r="Y270" i="2"/>
  <c r="X270" i="2"/>
  <c r="W270" i="2"/>
  <c r="V270" i="2"/>
  <c r="U270" i="2"/>
  <c r="T270" i="2"/>
  <c r="S270" i="2"/>
  <c r="R270" i="2"/>
  <c r="Q270" i="2"/>
  <c r="P270" i="2"/>
  <c r="N270" i="2"/>
  <c r="O270" i="2" s="1"/>
  <c r="M270" i="2"/>
  <c r="L270" i="2"/>
  <c r="K270" i="2"/>
  <c r="J270" i="2"/>
  <c r="I270" i="2"/>
  <c r="H270" i="2"/>
  <c r="G270" i="2"/>
  <c r="F270" i="2"/>
  <c r="E270" i="2"/>
  <c r="D270" i="2"/>
  <c r="C270" i="2"/>
  <c r="FI269" i="2"/>
  <c r="FO269" i="2" s="1"/>
  <c r="FH269" i="2"/>
  <c r="FG269" i="2"/>
  <c r="FF269" i="2"/>
  <c r="FE269" i="2"/>
  <c r="FD269" i="2"/>
  <c r="FC269" i="2"/>
  <c r="FB269" i="2"/>
  <c r="FA269" i="2"/>
  <c r="EZ269" i="2"/>
  <c r="EY269" i="2"/>
  <c r="EX269" i="2"/>
  <c r="EW269" i="2"/>
  <c r="EV269" i="2"/>
  <c r="EU269" i="2"/>
  <c r="ET269" i="2"/>
  <c r="ES269" i="2"/>
  <c r="ER269" i="2"/>
  <c r="EQ269" i="2"/>
  <c r="EP269" i="2"/>
  <c r="EN269" i="2"/>
  <c r="EO269" i="2" s="1"/>
  <c r="EM269" i="2"/>
  <c r="EL269" i="2"/>
  <c r="EK269" i="2"/>
  <c r="EJ269" i="2"/>
  <c r="EI269" i="2"/>
  <c r="EH269" i="2"/>
  <c r="EG269" i="2"/>
  <c r="EF269" i="2"/>
  <c r="EE269" i="2"/>
  <c r="ED269" i="2"/>
  <c r="EC269" i="2"/>
  <c r="EA269" i="2"/>
  <c r="EB269" i="2" s="1"/>
  <c r="DZ269" i="2"/>
  <c r="DY269" i="2"/>
  <c r="DX269" i="2"/>
  <c r="DW269" i="2"/>
  <c r="DV269" i="2"/>
  <c r="DU269" i="2"/>
  <c r="DT269" i="2"/>
  <c r="DS269" i="2"/>
  <c r="DR269" i="2"/>
  <c r="DQ269" i="2"/>
  <c r="DP269" i="2"/>
  <c r="DN269" i="2"/>
  <c r="DO269" i="2" s="1"/>
  <c r="DM269" i="2"/>
  <c r="DL269" i="2"/>
  <c r="DK269" i="2"/>
  <c r="DJ269" i="2"/>
  <c r="DI269" i="2"/>
  <c r="DH269" i="2"/>
  <c r="DG269" i="2"/>
  <c r="DF269" i="2"/>
  <c r="DE269" i="2"/>
  <c r="DD269" i="2"/>
  <c r="DC269" i="2"/>
  <c r="DA269" i="2"/>
  <c r="DB269" i="2" s="1"/>
  <c r="CZ269" i="2"/>
  <c r="CY269" i="2"/>
  <c r="CX269" i="2"/>
  <c r="CW269" i="2"/>
  <c r="CV269" i="2"/>
  <c r="CU269" i="2"/>
  <c r="CT269" i="2"/>
  <c r="CS269" i="2"/>
  <c r="CR269" i="2"/>
  <c r="CQ269" i="2"/>
  <c r="CP269" i="2"/>
  <c r="CO269" i="2"/>
  <c r="CN269" i="2"/>
  <c r="CM269" i="2"/>
  <c r="CL269" i="2"/>
  <c r="CK269" i="2"/>
  <c r="CJ269" i="2"/>
  <c r="CI269" i="2"/>
  <c r="CH269" i="2"/>
  <c r="CG269" i="2"/>
  <c r="CF269" i="2"/>
  <c r="CE269" i="2"/>
  <c r="CD269" i="2"/>
  <c r="CC269" i="2"/>
  <c r="CA269" i="2"/>
  <c r="CB269" i="2" s="1"/>
  <c r="BZ269" i="2"/>
  <c r="BY269" i="2"/>
  <c r="BX269" i="2"/>
  <c r="BW269" i="2"/>
  <c r="BV269" i="2"/>
  <c r="BU269" i="2"/>
  <c r="BT269" i="2"/>
  <c r="BS269" i="2"/>
  <c r="BR269" i="2"/>
  <c r="BQ269" i="2"/>
  <c r="BP269" i="2"/>
  <c r="BO269" i="2"/>
  <c r="BN269" i="2"/>
  <c r="BM269" i="2"/>
  <c r="BL269" i="2"/>
  <c r="BK269" i="2"/>
  <c r="BJ269" i="2"/>
  <c r="BI269" i="2"/>
  <c r="BH269" i="2"/>
  <c r="BG269" i="2"/>
  <c r="BF269" i="2"/>
  <c r="BE269" i="2"/>
  <c r="BD269" i="2"/>
  <c r="BC269" i="2"/>
  <c r="BA269" i="2"/>
  <c r="BB269" i="2" s="1"/>
  <c r="AZ269" i="2"/>
  <c r="AY269" i="2"/>
  <c r="AX269" i="2"/>
  <c r="AW269" i="2"/>
  <c r="AV269" i="2"/>
  <c r="AU269" i="2"/>
  <c r="AT269" i="2"/>
  <c r="AS269" i="2"/>
  <c r="AR269" i="2"/>
  <c r="AQ269" i="2"/>
  <c r="AP269" i="2"/>
  <c r="AN269" i="2"/>
  <c r="AO269" i="2" s="1"/>
  <c r="AM269" i="2"/>
  <c r="AL269" i="2"/>
  <c r="AK269" i="2"/>
  <c r="AJ269" i="2"/>
  <c r="AI269" i="2"/>
  <c r="AH269" i="2"/>
  <c r="AG269" i="2"/>
  <c r="AF269" i="2"/>
  <c r="AE269" i="2"/>
  <c r="AD269" i="2"/>
  <c r="AC269" i="2"/>
  <c r="AA269" i="2"/>
  <c r="AB269" i="2" s="1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FI268" i="2"/>
  <c r="FO268" i="2" s="1"/>
  <c r="FH268" i="2"/>
  <c r="FG268" i="2"/>
  <c r="FF268" i="2"/>
  <c r="FE268" i="2"/>
  <c r="FD268" i="2"/>
  <c r="FC268" i="2"/>
  <c r="FA268" i="2"/>
  <c r="FB268" i="2" s="1"/>
  <c r="EZ268" i="2"/>
  <c r="EY268" i="2"/>
  <c r="EX268" i="2"/>
  <c r="EW268" i="2"/>
  <c r="EV268" i="2"/>
  <c r="EU268" i="2"/>
  <c r="ET268" i="2"/>
  <c r="ES268" i="2"/>
  <c r="ER268" i="2"/>
  <c r="EQ268" i="2"/>
  <c r="EP268" i="2"/>
  <c r="EO268" i="2"/>
  <c r="EN268" i="2"/>
  <c r="EM268" i="2"/>
  <c r="EL268" i="2"/>
  <c r="EK268" i="2"/>
  <c r="EJ268" i="2"/>
  <c r="EI268" i="2"/>
  <c r="EH268" i="2"/>
  <c r="EG268" i="2"/>
  <c r="EF268" i="2"/>
  <c r="EE268" i="2"/>
  <c r="ED268" i="2"/>
  <c r="EC268" i="2"/>
  <c r="EA268" i="2"/>
  <c r="EB268" i="2" s="1"/>
  <c r="DZ268" i="2"/>
  <c r="DY268" i="2"/>
  <c r="DX268" i="2"/>
  <c r="DW268" i="2"/>
  <c r="DV268" i="2"/>
  <c r="DU268" i="2"/>
  <c r="DT268" i="2"/>
  <c r="DS268" i="2"/>
  <c r="DR268" i="2"/>
  <c r="DQ268" i="2"/>
  <c r="DP268" i="2"/>
  <c r="DO268" i="2"/>
  <c r="DN268" i="2"/>
  <c r="DM268" i="2"/>
  <c r="DL268" i="2"/>
  <c r="DK268" i="2"/>
  <c r="DJ268" i="2"/>
  <c r="DI268" i="2"/>
  <c r="DH268" i="2"/>
  <c r="DG268" i="2"/>
  <c r="DF268" i="2"/>
  <c r="DE268" i="2"/>
  <c r="DD268" i="2"/>
  <c r="DC268" i="2"/>
  <c r="DA268" i="2"/>
  <c r="DB268" i="2" s="1"/>
  <c r="CZ268" i="2"/>
  <c r="CY268" i="2"/>
  <c r="CX268" i="2"/>
  <c r="CW268" i="2"/>
  <c r="CV268" i="2"/>
  <c r="CU268" i="2"/>
  <c r="CT268" i="2"/>
  <c r="CS268" i="2"/>
  <c r="CR268" i="2"/>
  <c r="CQ268" i="2"/>
  <c r="CP268" i="2"/>
  <c r="CN268" i="2"/>
  <c r="CO268" i="2" s="1"/>
  <c r="CM268" i="2"/>
  <c r="CL268" i="2"/>
  <c r="CK268" i="2"/>
  <c r="CJ268" i="2"/>
  <c r="CI268" i="2"/>
  <c r="CH268" i="2"/>
  <c r="CG268" i="2"/>
  <c r="CF268" i="2"/>
  <c r="CE268" i="2"/>
  <c r="CD268" i="2"/>
  <c r="CC268" i="2"/>
  <c r="CA268" i="2"/>
  <c r="CB268" i="2" s="1"/>
  <c r="BZ268" i="2"/>
  <c r="BY268" i="2"/>
  <c r="BX268" i="2"/>
  <c r="BW268" i="2"/>
  <c r="BV268" i="2"/>
  <c r="BU268" i="2"/>
  <c r="BT268" i="2"/>
  <c r="BS268" i="2"/>
  <c r="BR268" i="2"/>
  <c r="BQ268" i="2"/>
  <c r="BP268" i="2"/>
  <c r="BN268" i="2"/>
  <c r="BM268" i="2"/>
  <c r="BL268" i="2"/>
  <c r="BK268" i="2"/>
  <c r="BJ268" i="2"/>
  <c r="BI268" i="2"/>
  <c r="BH268" i="2"/>
  <c r="BG268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A268" i="2"/>
  <c r="AB268" i="2" s="1"/>
  <c r="Z268" i="2"/>
  <c r="Y268" i="2"/>
  <c r="X268" i="2"/>
  <c r="W268" i="2"/>
  <c r="V268" i="2"/>
  <c r="U268" i="2"/>
  <c r="T268" i="2"/>
  <c r="S268" i="2"/>
  <c r="R268" i="2"/>
  <c r="Q268" i="2"/>
  <c r="P268" i="2"/>
  <c r="N268" i="2"/>
  <c r="O268" i="2" s="1"/>
  <c r="M268" i="2"/>
  <c r="L268" i="2"/>
  <c r="K268" i="2"/>
  <c r="J268" i="2"/>
  <c r="I268" i="2"/>
  <c r="H268" i="2"/>
  <c r="G268" i="2"/>
  <c r="F268" i="2"/>
  <c r="E268" i="2"/>
  <c r="D268" i="2"/>
  <c r="C268" i="2"/>
  <c r="FI267" i="2"/>
  <c r="FO267" i="2" s="1"/>
  <c r="FH267" i="2"/>
  <c r="FG267" i="2"/>
  <c r="FF267" i="2"/>
  <c r="FE267" i="2"/>
  <c r="FD267" i="2"/>
  <c r="FC267" i="2"/>
  <c r="FA267" i="2"/>
  <c r="FB267" i="2" s="1"/>
  <c r="EZ267" i="2"/>
  <c r="EY267" i="2"/>
  <c r="EX267" i="2"/>
  <c r="EW267" i="2"/>
  <c r="EV267" i="2"/>
  <c r="EU267" i="2"/>
  <c r="ET267" i="2"/>
  <c r="ES267" i="2"/>
  <c r="ER267" i="2"/>
  <c r="EQ267" i="2"/>
  <c r="EP267" i="2"/>
  <c r="EN267" i="2"/>
  <c r="EO267" i="2" s="1"/>
  <c r="EM267" i="2"/>
  <c r="EL267" i="2"/>
  <c r="EK267" i="2"/>
  <c r="EJ267" i="2"/>
  <c r="EI267" i="2"/>
  <c r="EH267" i="2"/>
  <c r="EG267" i="2"/>
  <c r="EF267" i="2"/>
  <c r="EE267" i="2"/>
  <c r="ED267" i="2"/>
  <c r="EC267" i="2"/>
  <c r="EA267" i="2"/>
  <c r="EB267" i="2" s="1"/>
  <c r="DZ267" i="2"/>
  <c r="DY267" i="2"/>
  <c r="DX267" i="2"/>
  <c r="DW267" i="2"/>
  <c r="DV267" i="2"/>
  <c r="DU267" i="2"/>
  <c r="DT267" i="2"/>
  <c r="DS267" i="2"/>
  <c r="DR267" i="2"/>
  <c r="DQ267" i="2"/>
  <c r="DP267" i="2"/>
  <c r="DO267" i="2"/>
  <c r="DN267" i="2"/>
  <c r="DM267" i="2"/>
  <c r="DL267" i="2"/>
  <c r="DK267" i="2"/>
  <c r="DJ267" i="2"/>
  <c r="DI267" i="2"/>
  <c r="DH267" i="2"/>
  <c r="DG267" i="2"/>
  <c r="DF267" i="2"/>
  <c r="DE267" i="2"/>
  <c r="DD267" i="2"/>
  <c r="DC267" i="2"/>
  <c r="DA267" i="2"/>
  <c r="DB267" i="2" s="1"/>
  <c r="CZ267" i="2"/>
  <c r="CY267" i="2"/>
  <c r="CX267" i="2"/>
  <c r="CW267" i="2"/>
  <c r="CV267" i="2"/>
  <c r="CU267" i="2"/>
  <c r="CT267" i="2"/>
  <c r="CS267" i="2"/>
  <c r="CR267" i="2"/>
  <c r="CQ267" i="2"/>
  <c r="CP267" i="2"/>
  <c r="CN267" i="2"/>
  <c r="CO267" i="2" s="1"/>
  <c r="CM267" i="2"/>
  <c r="CL267" i="2"/>
  <c r="CK267" i="2"/>
  <c r="CJ267" i="2"/>
  <c r="CI267" i="2"/>
  <c r="CH267" i="2"/>
  <c r="CG267" i="2"/>
  <c r="CF267" i="2"/>
  <c r="CE267" i="2"/>
  <c r="CD267" i="2"/>
  <c r="CC267" i="2"/>
  <c r="CA267" i="2"/>
  <c r="CB267" i="2" s="1"/>
  <c r="BZ267" i="2"/>
  <c r="BY267" i="2"/>
  <c r="BX267" i="2"/>
  <c r="BW267" i="2"/>
  <c r="BV267" i="2"/>
  <c r="BU267" i="2"/>
  <c r="BT267" i="2"/>
  <c r="BS267" i="2"/>
  <c r="BR267" i="2"/>
  <c r="BQ267" i="2"/>
  <c r="BP267" i="2"/>
  <c r="BN267" i="2"/>
  <c r="BO267" i="2" s="1"/>
  <c r="BM267" i="2"/>
  <c r="BL267" i="2"/>
  <c r="BK267" i="2"/>
  <c r="BJ267" i="2"/>
  <c r="BI267" i="2"/>
  <c r="BH267" i="2"/>
  <c r="BG267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N267" i="2"/>
  <c r="AO267" i="2" s="1"/>
  <c r="AM267" i="2"/>
  <c r="AL267" i="2"/>
  <c r="AK267" i="2"/>
  <c r="AJ267" i="2"/>
  <c r="AI267" i="2"/>
  <c r="AH267" i="2"/>
  <c r="AG267" i="2"/>
  <c r="AF267" i="2"/>
  <c r="AE267" i="2"/>
  <c r="AD267" i="2"/>
  <c r="AC267" i="2"/>
  <c r="AA267" i="2"/>
  <c r="AB267" i="2" s="1"/>
  <c r="Z267" i="2"/>
  <c r="Y267" i="2"/>
  <c r="X267" i="2"/>
  <c r="W267" i="2"/>
  <c r="V267" i="2"/>
  <c r="U267" i="2"/>
  <c r="T267" i="2"/>
  <c r="S267" i="2"/>
  <c r="R267" i="2"/>
  <c r="Q267" i="2"/>
  <c r="P267" i="2"/>
  <c r="N267" i="2"/>
  <c r="O267" i="2" s="1"/>
  <c r="M267" i="2"/>
  <c r="L267" i="2"/>
  <c r="K267" i="2"/>
  <c r="J267" i="2"/>
  <c r="I267" i="2"/>
  <c r="H267" i="2"/>
  <c r="G267" i="2"/>
  <c r="F267" i="2"/>
  <c r="E267" i="2"/>
  <c r="D267" i="2"/>
  <c r="C267" i="2"/>
  <c r="FI266" i="2"/>
  <c r="FO266" i="2" s="1"/>
  <c r="FH266" i="2"/>
  <c r="FG266" i="2"/>
  <c r="FF266" i="2"/>
  <c r="FE266" i="2"/>
  <c r="FD266" i="2"/>
  <c r="FC266" i="2"/>
  <c r="FA266" i="2"/>
  <c r="FB266" i="2" s="1"/>
  <c r="EZ266" i="2"/>
  <c r="EY266" i="2"/>
  <c r="EX266" i="2"/>
  <c r="EW266" i="2"/>
  <c r="EV266" i="2"/>
  <c r="EU266" i="2"/>
  <c r="ET266" i="2"/>
  <c r="ES266" i="2"/>
  <c r="ER266" i="2"/>
  <c r="EQ266" i="2"/>
  <c r="EP266" i="2"/>
  <c r="EN266" i="2"/>
  <c r="EM266" i="2"/>
  <c r="EL266" i="2"/>
  <c r="EK266" i="2"/>
  <c r="EJ266" i="2"/>
  <c r="EI266" i="2"/>
  <c r="EH266" i="2"/>
  <c r="EG266" i="2"/>
  <c r="EF266" i="2"/>
  <c r="EE266" i="2"/>
  <c r="ED266" i="2"/>
  <c r="EC266" i="2"/>
  <c r="EA266" i="2"/>
  <c r="DZ266" i="2"/>
  <c r="DY266" i="2"/>
  <c r="DX266" i="2"/>
  <c r="DW266" i="2"/>
  <c r="DV266" i="2"/>
  <c r="DU266" i="2"/>
  <c r="DT266" i="2"/>
  <c r="DS266" i="2"/>
  <c r="DR266" i="2"/>
  <c r="DQ266" i="2"/>
  <c r="DP266" i="2"/>
  <c r="DO266" i="2"/>
  <c r="DN266" i="2"/>
  <c r="DM266" i="2"/>
  <c r="DL266" i="2"/>
  <c r="DL298" i="2" s="1"/>
  <c r="DK266" i="2"/>
  <c r="DJ266" i="2"/>
  <c r="DI266" i="2"/>
  <c r="DH266" i="2"/>
  <c r="DG266" i="2"/>
  <c r="DF266" i="2"/>
  <c r="DE266" i="2"/>
  <c r="DD266" i="2"/>
  <c r="DC266" i="2"/>
  <c r="DA266" i="2"/>
  <c r="CZ266" i="2"/>
  <c r="CY266" i="2"/>
  <c r="CX266" i="2"/>
  <c r="CW266" i="2"/>
  <c r="CV266" i="2"/>
  <c r="CU266" i="2"/>
  <c r="CT266" i="2"/>
  <c r="CS266" i="2"/>
  <c r="CR266" i="2"/>
  <c r="CQ266" i="2"/>
  <c r="CP266" i="2"/>
  <c r="CN266" i="2"/>
  <c r="CM266" i="2"/>
  <c r="CL266" i="2"/>
  <c r="CK266" i="2"/>
  <c r="CJ266" i="2"/>
  <c r="CI266" i="2"/>
  <c r="CH266" i="2"/>
  <c r="CG266" i="2"/>
  <c r="CF266" i="2"/>
  <c r="CE266" i="2"/>
  <c r="CD266" i="2"/>
  <c r="CC266" i="2"/>
  <c r="CA266" i="2"/>
  <c r="BZ266" i="2"/>
  <c r="BY266" i="2"/>
  <c r="BX266" i="2"/>
  <c r="BW266" i="2"/>
  <c r="BV266" i="2"/>
  <c r="BU266" i="2"/>
  <c r="BT266" i="2"/>
  <c r="BS266" i="2"/>
  <c r="BR266" i="2"/>
  <c r="BQ266" i="2"/>
  <c r="BP266" i="2"/>
  <c r="BO266" i="2"/>
  <c r="BN266" i="2"/>
  <c r="BM266" i="2"/>
  <c r="BM298" i="2" s="1"/>
  <c r="BL266" i="2"/>
  <c r="BK266" i="2"/>
  <c r="BJ266" i="2"/>
  <c r="BI266" i="2"/>
  <c r="BH266" i="2"/>
  <c r="BG266" i="2"/>
  <c r="BF266" i="2"/>
  <c r="BE266" i="2"/>
  <c r="BD266" i="2"/>
  <c r="BC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N266" i="2"/>
  <c r="AO266" i="2" s="1"/>
  <c r="AM266" i="2"/>
  <c r="AL266" i="2"/>
  <c r="AK266" i="2"/>
  <c r="AJ266" i="2"/>
  <c r="AI266" i="2"/>
  <c r="AH266" i="2"/>
  <c r="AG266" i="2"/>
  <c r="AF266" i="2"/>
  <c r="AE266" i="2"/>
  <c r="AD266" i="2"/>
  <c r="AC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FN262" i="2"/>
  <c r="FM262" i="2"/>
  <c r="FL262" i="2"/>
  <c r="FK262" i="2"/>
  <c r="FJ262" i="2"/>
  <c r="FI261" i="2"/>
  <c r="FO261" i="2" s="1"/>
  <c r="FH261" i="2"/>
  <c r="FG261" i="2"/>
  <c r="FF261" i="2"/>
  <c r="FE261" i="2"/>
  <c r="FD261" i="2"/>
  <c r="FC261" i="2"/>
  <c r="FA261" i="2"/>
  <c r="FB261" i="2" s="1"/>
  <c r="EZ261" i="2"/>
  <c r="EY261" i="2"/>
  <c r="EX261" i="2"/>
  <c r="EW261" i="2"/>
  <c r="EV261" i="2"/>
  <c r="EU261" i="2"/>
  <c r="ET261" i="2"/>
  <c r="ES261" i="2"/>
  <c r="ER261" i="2"/>
  <c r="EQ261" i="2"/>
  <c r="EP261" i="2"/>
  <c r="EN261" i="2"/>
  <c r="EO261" i="2" s="1"/>
  <c r="EM261" i="2"/>
  <c r="EL261" i="2"/>
  <c r="EK261" i="2"/>
  <c r="EJ261" i="2"/>
  <c r="EI261" i="2"/>
  <c r="EH261" i="2"/>
  <c r="EG261" i="2"/>
  <c r="EF261" i="2"/>
  <c r="EE261" i="2"/>
  <c r="ED261" i="2"/>
  <c r="EC261" i="2"/>
  <c r="EB261" i="2"/>
  <c r="EA261" i="2"/>
  <c r="DZ261" i="2"/>
  <c r="DY261" i="2"/>
  <c r="DX261" i="2"/>
  <c r="DW261" i="2"/>
  <c r="DV261" i="2"/>
  <c r="DU261" i="2"/>
  <c r="DT261" i="2"/>
  <c r="DS261" i="2"/>
  <c r="DR261" i="2"/>
  <c r="DQ261" i="2"/>
  <c r="DP261" i="2"/>
  <c r="DO261" i="2"/>
  <c r="DN261" i="2"/>
  <c r="DM261" i="2"/>
  <c r="DL261" i="2"/>
  <c r="DK261" i="2"/>
  <c r="DJ261" i="2"/>
  <c r="DI261" i="2"/>
  <c r="DH261" i="2"/>
  <c r="DG261" i="2"/>
  <c r="DF261" i="2"/>
  <c r="DE261" i="2"/>
  <c r="DD261" i="2"/>
  <c r="DC261" i="2"/>
  <c r="DA261" i="2"/>
  <c r="DB261" i="2" s="1"/>
  <c r="CZ261" i="2"/>
  <c r="CY261" i="2"/>
  <c r="CX261" i="2"/>
  <c r="CW261" i="2"/>
  <c r="CV261" i="2"/>
  <c r="CU261" i="2"/>
  <c r="CT261" i="2"/>
  <c r="CS261" i="2"/>
  <c r="CR261" i="2"/>
  <c r="CQ261" i="2"/>
  <c r="CP261" i="2"/>
  <c r="CN261" i="2"/>
  <c r="CO261" i="2" s="1"/>
  <c r="CM261" i="2"/>
  <c r="CL261" i="2"/>
  <c r="CK261" i="2"/>
  <c r="CJ261" i="2"/>
  <c r="CI261" i="2"/>
  <c r="CH261" i="2"/>
  <c r="CG261" i="2"/>
  <c r="CF261" i="2"/>
  <c r="CE261" i="2"/>
  <c r="CD261" i="2"/>
  <c r="CC261" i="2"/>
  <c r="CA261" i="2"/>
  <c r="CB261" i="2" s="1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N261" i="2"/>
  <c r="AO261" i="2" s="1"/>
  <c r="AM261" i="2"/>
  <c r="AL261" i="2"/>
  <c r="AK261" i="2"/>
  <c r="AJ261" i="2"/>
  <c r="AI261" i="2"/>
  <c r="AH261" i="2"/>
  <c r="AG261" i="2"/>
  <c r="AF261" i="2"/>
  <c r="AE261" i="2"/>
  <c r="AD261" i="2"/>
  <c r="AC261" i="2"/>
  <c r="AA261" i="2"/>
  <c r="AB261" i="2" s="1"/>
  <c r="Z261" i="2"/>
  <c r="Y261" i="2"/>
  <c r="X261" i="2"/>
  <c r="W261" i="2"/>
  <c r="V261" i="2"/>
  <c r="U261" i="2"/>
  <c r="T261" i="2"/>
  <c r="S261" i="2"/>
  <c r="R261" i="2"/>
  <c r="Q261" i="2"/>
  <c r="P261" i="2"/>
  <c r="N261" i="2"/>
  <c r="O261" i="2" s="1"/>
  <c r="M261" i="2"/>
  <c r="L261" i="2"/>
  <c r="K261" i="2"/>
  <c r="J261" i="2"/>
  <c r="I261" i="2"/>
  <c r="H261" i="2"/>
  <c r="G261" i="2"/>
  <c r="F261" i="2"/>
  <c r="E261" i="2"/>
  <c r="D261" i="2"/>
  <c r="C261" i="2"/>
  <c r="FO260" i="2"/>
  <c r="FI260" i="2"/>
  <c r="FH260" i="2"/>
  <c r="FG260" i="2"/>
  <c r="FF260" i="2"/>
  <c r="FE260" i="2"/>
  <c r="FD260" i="2"/>
  <c r="FC260" i="2"/>
  <c r="FA260" i="2"/>
  <c r="FB260" i="2" s="1"/>
  <c r="EZ260" i="2"/>
  <c r="EY260" i="2"/>
  <c r="EX260" i="2"/>
  <c r="EW260" i="2"/>
  <c r="EV260" i="2"/>
  <c r="EU260" i="2"/>
  <c r="ET260" i="2"/>
  <c r="ES260" i="2"/>
  <c r="ER260" i="2"/>
  <c r="EQ260" i="2"/>
  <c r="EP260" i="2"/>
  <c r="EN260" i="2"/>
  <c r="EO260" i="2" s="1"/>
  <c r="EM260" i="2"/>
  <c r="EL260" i="2"/>
  <c r="EK260" i="2"/>
  <c r="EJ260" i="2"/>
  <c r="EI260" i="2"/>
  <c r="EH260" i="2"/>
  <c r="EG260" i="2"/>
  <c r="EF260" i="2"/>
  <c r="EE260" i="2"/>
  <c r="ED260" i="2"/>
  <c r="EC260" i="2"/>
  <c r="EB260" i="2"/>
  <c r="EA260" i="2"/>
  <c r="DZ260" i="2"/>
  <c r="DY260" i="2"/>
  <c r="DX260" i="2"/>
  <c r="DW260" i="2"/>
  <c r="DV260" i="2"/>
  <c r="DU260" i="2"/>
  <c r="DT260" i="2"/>
  <c r="DS260" i="2"/>
  <c r="DR260" i="2"/>
  <c r="DQ260" i="2"/>
  <c r="DP260" i="2"/>
  <c r="DN260" i="2"/>
  <c r="DO260" i="2" s="1"/>
  <c r="DM260" i="2"/>
  <c r="DL260" i="2"/>
  <c r="DK260" i="2"/>
  <c r="DJ260" i="2"/>
  <c r="DI260" i="2"/>
  <c r="DH260" i="2"/>
  <c r="DG260" i="2"/>
  <c r="DF260" i="2"/>
  <c r="DE260" i="2"/>
  <c r="DD260" i="2"/>
  <c r="DC260" i="2"/>
  <c r="DA260" i="2"/>
  <c r="DB260" i="2" s="1"/>
  <c r="CZ260" i="2"/>
  <c r="CY260" i="2"/>
  <c r="CX260" i="2"/>
  <c r="CW260" i="2"/>
  <c r="CV260" i="2"/>
  <c r="CU260" i="2"/>
  <c r="CT260" i="2"/>
  <c r="CS260" i="2"/>
  <c r="CR260" i="2"/>
  <c r="CQ260" i="2"/>
  <c r="CP260" i="2"/>
  <c r="CN260" i="2"/>
  <c r="CO260" i="2" s="1"/>
  <c r="CM260" i="2"/>
  <c r="CL260" i="2"/>
  <c r="CK260" i="2"/>
  <c r="CJ260" i="2"/>
  <c r="CI260" i="2"/>
  <c r="CH260" i="2"/>
  <c r="CG260" i="2"/>
  <c r="CF260" i="2"/>
  <c r="CE260" i="2"/>
  <c r="CD260" i="2"/>
  <c r="CC260" i="2"/>
  <c r="CA260" i="2"/>
  <c r="CB260" i="2" s="1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A260" i="2"/>
  <c r="BB260" i="2" s="1"/>
  <c r="AZ260" i="2"/>
  <c r="AY260" i="2"/>
  <c r="AX260" i="2"/>
  <c r="AW260" i="2"/>
  <c r="AV260" i="2"/>
  <c r="AU260" i="2"/>
  <c r="AT260" i="2"/>
  <c r="AS260" i="2"/>
  <c r="AR260" i="2"/>
  <c r="AQ260" i="2"/>
  <c r="AP260" i="2"/>
  <c r="AN260" i="2"/>
  <c r="AO260" i="2" s="1"/>
  <c r="AM260" i="2"/>
  <c r="AL260" i="2"/>
  <c r="AK260" i="2"/>
  <c r="AJ260" i="2"/>
  <c r="AI260" i="2"/>
  <c r="AH260" i="2"/>
  <c r="AG260" i="2"/>
  <c r="AF260" i="2"/>
  <c r="AE260" i="2"/>
  <c r="AD260" i="2"/>
  <c r="AC260" i="2"/>
  <c r="AA260" i="2"/>
  <c r="AB260" i="2" s="1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FO259" i="2"/>
  <c r="FI259" i="2"/>
  <c r="FH259" i="2"/>
  <c r="FG259" i="2"/>
  <c r="FF259" i="2"/>
  <c r="FE259" i="2"/>
  <c r="FD259" i="2"/>
  <c r="FC259" i="2"/>
  <c r="FA259" i="2"/>
  <c r="FB259" i="2" s="1"/>
  <c r="EZ259" i="2"/>
  <c r="EY259" i="2"/>
  <c r="EX259" i="2"/>
  <c r="EW259" i="2"/>
  <c r="EV259" i="2"/>
  <c r="EU259" i="2"/>
  <c r="ET259" i="2"/>
  <c r="ES259" i="2"/>
  <c r="ER259" i="2"/>
  <c r="EQ259" i="2"/>
  <c r="EP259" i="2"/>
  <c r="EN259" i="2"/>
  <c r="EO259" i="2" s="1"/>
  <c r="EM259" i="2"/>
  <c r="EL259" i="2"/>
  <c r="EK259" i="2"/>
  <c r="EJ259" i="2"/>
  <c r="EI259" i="2"/>
  <c r="EH259" i="2"/>
  <c r="EG259" i="2"/>
  <c r="EF259" i="2"/>
  <c r="EE259" i="2"/>
  <c r="ED259" i="2"/>
  <c r="EC259" i="2"/>
  <c r="EB259" i="2"/>
  <c r="EA259" i="2"/>
  <c r="DZ259" i="2"/>
  <c r="DY259" i="2"/>
  <c r="DX259" i="2"/>
  <c r="DW259" i="2"/>
  <c r="DV259" i="2"/>
  <c r="DU259" i="2"/>
  <c r="DT259" i="2"/>
  <c r="DS259" i="2"/>
  <c r="DR259" i="2"/>
  <c r="DQ259" i="2"/>
  <c r="DP259" i="2"/>
  <c r="DN259" i="2"/>
  <c r="DO259" i="2" s="1"/>
  <c r="DM259" i="2"/>
  <c r="DL259" i="2"/>
  <c r="DK259" i="2"/>
  <c r="DJ259" i="2"/>
  <c r="DI259" i="2"/>
  <c r="DH259" i="2"/>
  <c r="DG259" i="2"/>
  <c r="DF259" i="2"/>
  <c r="DE259" i="2"/>
  <c r="DD259" i="2"/>
  <c r="DC259" i="2"/>
  <c r="DA259" i="2"/>
  <c r="DB259" i="2" s="1"/>
  <c r="CZ259" i="2"/>
  <c r="CY259" i="2"/>
  <c r="CX259" i="2"/>
  <c r="CW259" i="2"/>
  <c r="CV259" i="2"/>
  <c r="CU259" i="2"/>
  <c r="CT259" i="2"/>
  <c r="CS259" i="2"/>
  <c r="CR259" i="2"/>
  <c r="CQ259" i="2"/>
  <c r="CP259" i="2"/>
  <c r="CN259" i="2"/>
  <c r="CO259" i="2" s="1"/>
  <c r="CM259" i="2"/>
  <c r="CL259" i="2"/>
  <c r="CK259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N259" i="2"/>
  <c r="BO259" i="2" s="1"/>
  <c r="BM259" i="2"/>
  <c r="BL259" i="2"/>
  <c r="BK259" i="2"/>
  <c r="BJ259" i="2"/>
  <c r="BI259" i="2"/>
  <c r="BH259" i="2"/>
  <c r="BG259" i="2"/>
  <c r="BF259" i="2"/>
  <c r="BE259" i="2"/>
  <c r="BD259" i="2"/>
  <c r="BC259" i="2"/>
  <c r="BA259" i="2"/>
  <c r="BB259" i="2" s="1"/>
  <c r="AZ259" i="2"/>
  <c r="AY259" i="2"/>
  <c r="AX259" i="2"/>
  <c r="AW259" i="2"/>
  <c r="AV259" i="2"/>
  <c r="AU259" i="2"/>
  <c r="AT259" i="2"/>
  <c r="AS259" i="2"/>
  <c r="AR259" i="2"/>
  <c r="AQ259" i="2"/>
  <c r="AP259" i="2"/>
  <c r="AN259" i="2"/>
  <c r="AO259" i="2" s="1"/>
  <c r="AM259" i="2"/>
  <c r="AL259" i="2"/>
  <c r="AK259" i="2"/>
  <c r="AJ259" i="2"/>
  <c r="AI259" i="2"/>
  <c r="AH259" i="2"/>
  <c r="AG259" i="2"/>
  <c r="AF259" i="2"/>
  <c r="AE259" i="2"/>
  <c r="AD259" i="2"/>
  <c r="AC259" i="2"/>
  <c r="AA259" i="2"/>
  <c r="AB259" i="2" s="1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FI258" i="2"/>
  <c r="FO258" i="2" s="1"/>
  <c r="FH258" i="2"/>
  <c r="FG258" i="2"/>
  <c r="FF258" i="2"/>
  <c r="FE258" i="2"/>
  <c r="FD258" i="2"/>
  <c r="FC258" i="2"/>
  <c r="FA258" i="2"/>
  <c r="FB258" i="2" s="1"/>
  <c r="EZ258" i="2"/>
  <c r="EY258" i="2"/>
  <c r="EX258" i="2"/>
  <c r="EW258" i="2"/>
  <c r="EV258" i="2"/>
  <c r="EU258" i="2"/>
  <c r="ET258" i="2"/>
  <c r="ES258" i="2"/>
  <c r="ER258" i="2"/>
  <c r="EQ258" i="2"/>
  <c r="EP258" i="2"/>
  <c r="EN258" i="2"/>
  <c r="EO258" i="2" s="1"/>
  <c r="EM258" i="2"/>
  <c r="EL258" i="2"/>
  <c r="EK258" i="2"/>
  <c r="EJ258" i="2"/>
  <c r="EI258" i="2"/>
  <c r="EH258" i="2"/>
  <c r="EG258" i="2"/>
  <c r="EF258" i="2"/>
  <c r="EE258" i="2"/>
  <c r="ED258" i="2"/>
  <c r="EC258" i="2"/>
  <c r="EB258" i="2"/>
  <c r="EA258" i="2"/>
  <c r="DZ258" i="2"/>
  <c r="DY258" i="2"/>
  <c r="DX258" i="2"/>
  <c r="DW258" i="2"/>
  <c r="DV258" i="2"/>
  <c r="DU258" i="2"/>
  <c r="DT258" i="2"/>
  <c r="DS258" i="2"/>
  <c r="DR258" i="2"/>
  <c r="DQ258" i="2"/>
  <c r="DP258" i="2"/>
  <c r="DN258" i="2"/>
  <c r="DO258" i="2" s="1"/>
  <c r="DM258" i="2"/>
  <c r="DL258" i="2"/>
  <c r="DK258" i="2"/>
  <c r="DJ258" i="2"/>
  <c r="DI258" i="2"/>
  <c r="DH258" i="2"/>
  <c r="DG258" i="2"/>
  <c r="DF258" i="2"/>
  <c r="DE258" i="2"/>
  <c r="DD258" i="2"/>
  <c r="DC258" i="2"/>
  <c r="DA258" i="2"/>
  <c r="DB258" i="2" s="1"/>
  <c r="CZ258" i="2"/>
  <c r="CY258" i="2"/>
  <c r="CX258" i="2"/>
  <c r="CW258" i="2"/>
  <c r="CV258" i="2"/>
  <c r="CU258" i="2"/>
  <c r="CT258" i="2"/>
  <c r="CS258" i="2"/>
  <c r="CR258" i="2"/>
  <c r="CQ258" i="2"/>
  <c r="CP258" i="2"/>
  <c r="CN258" i="2"/>
  <c r="CO258" i="2" s="1"/>
  <c r="CM258" i="2"/>
  <c r="CL258" i="2"/>
  <c r="CK258" i="2"/>
  <c r="CJ258" i="2"/>
  <c r="CI258" i="2"/>
  <c r="CH258" i="2"/>
  <c r="CG258" i="2"/>
  <c r="CF258" i="2"/>
  <c r="CE258" i="2"/>
  <c r="CD258" i="2"/>
  <c r="CC258" i="2"/>
  <c r="CA258" i="2"/>
  <c r="CB258" i="2" s="1"/>
  <c r="BZ258" i="2"/>
  <c r="BY258" i="2"/>
  <c r="BX258" i="2"/>
  <c r="BW258" i="2"/>
  <c r="BV258" i="2"/>
  <c r="BU258" i="2"/>
  <c r="BT258" i="2"/>
  <c r="BS258" i="2"/>
  <c r="BR258" i="2"/>
  <c r="BQ258" i="2"/>
  <c r="BP258" i="2"/>
  <c r="BN258" i="2"/>
  <c r="BO258" i="2" s="1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N258" i="2"/>
  <c r="AO258" i="2" s="1"/>
  <c r="AM258" i="2"/>
  <c r="AL258" i="2"/>
  <c r="AK258" i="2"/>
  <c r="AJ258" i="2"/>
  <c r="AI258" i="2"/>
  <c r="AH258" i="2"/>
  <c r="AG258" i="2"/>
  <c r="AF258" i="2"/>
  <c r="AE258" i="2"/>
  <c r="AD258" i="2"/>
  <c r="AC258" i="2"/>
  <c r="AA258" i="2"/>
  <c r="AB258" i="2" s="1"/>
  <c r="Z258" i="2"/>
  <c r="Y258" i="2"/>
  <c r="X258" i="2"/>
  <c r="W258" i="2"/>
  <c r="V258" i="2"/>
  <c r="U258" i="2"/>
  <c r="T258" i="2"/>
  <c r="S258" i="2"/>
  <c r="R258" i="2"/>
  <c r="Q258" i="2"/>
  <c r="P258" i="2"/>
  <c r="N258" i="2"/>
  <c r="O258" i="2" s="1"/>
  <c r="M258" i="2"/>
  <c r="L258" i="2"/>
  <c r="K258" i="2"/>
  <c r="J258" i="2"/>
  <c r="I258" i="2"/>
  <c r="H258" i="2"/>
  <c r="G258" i="2"/>
  <c r="F258" i="2"/>
  <c r="E258" i="2"/>
  <c r="D258" i="2"/>
  <c r="C258" i="2"/>
  <c r="FO257" i="2"/>
  <c r="FI257" i="2"/>
  <c r="FH257" i="2"/>
  <c r="FG257" i="2"/>
  <c r="FF257" i="2"/>
  <c r="FE257" i="2"/>
  <c r="FD257" i="2"/>
  <c r="FC257" i="2"/>
  <c r="FB257" i="2"/>
  <c r="FA257" i="2"/>
  <c r="EZ257" i="2"/>
  <c r="EY257" i="2"/>
  <c r="EX257" i="2"/>
  <c r="EW257" i="2"/>
  <c r="EV257" i="2"/>
  <c r="EU257" i="2"/>
  <c r="ET257" i="2"/>
  <c r="ES257" i="2"/>
  <c r="ER257" i="2"/>
  <c r="EQ257" i="2"/>
  <c r="EP257" i="2"/>
  <c r="EN257" i="2"/>
  <c r="EO257" i="2" s="1"/>
  <c r="EM257" i="2"/>
  <c r="EL257" i="2"/>
  <c r="EK257" i="2"/>
  <c r="EJ257" i="2"/>
  <c r="EI257" i="2"/>
  <c r="EH257" i="2"/>
  <c r="EG257" i="2"/>
  <c r="EF257" i="2"/>
  <c r="EE257" i="2"/>
  <c r="ED257" i="2"/>
  <c r="EC257" i="2"/>
  <c r="EA257" i="2"/>
  <c r="EB257" i="2" s="1"/>
  <c r="DZ257" i="2"/>
  <c r="DY257" i="2"/>
  <c r="DX257" i="2"/>
  <c r="DW257" i="2"/>
  <c r="DV257" i="2"/>
  <c r="DU257" i="2"/>
  <c r="DT257" i="2"/>
  <c r="DS257" i="2"/>
  <c r="DR257" i="2"/>
  <c r="DQ257" i="2"/>
  <c r="DP257" i="2"/>
  <c r="DN257" i="2"/>
  <c r="DO257" i="2" s="1"/>
  <c r="DM257" i="2"/>
  <c r="DL257" i="2"/>
  <c r="DK257" i="2"/>
  <c r="DJ257" i="2"/>
  <c r="DI257" i="2"/>
  <c r="DH257" i="2"/>
  <c r="DG257" i="2"/>
  <c r="DF257" i="2"/>
  <c r="DE257" i="2"/>
  <c r="DD257" i="2"/>
  <c r="DC257" i="2"/>
  <c r="DB257" i="2"/>
  <c r="DA257" i="2"/>
  <c r="CZ257" i="2"/>
  <c r="CY257" i="2"/>
  <c r="CX257" i="2"/>
  <c r="CW257" i="2"/>
  <c r="CV257" i="2"/>
  <c r="CU257" i="2"/>
  <c r="CT257" i="2"/>
  <c r="CS257" i="2"/>
  <c r="CR257" i="2"/>
  <c r="CQ257" i="2"/>
  <c r="CP257" i="2"/>
  <c r="CN257" i="2"/>
  <c r="CO257" i="2" s="1"/>
  <c r="CM257" i="2"/>
  <c r="CL257" i="2"/>
  <c r="CK257" i="2"/>
  <c r="CJ257" i="2"/>
  <c r="CI257" i="2"/>
  <c r="CH257" i="2"/>
  <c r="CG257" i="2"/>
  <c r="CF257" i="2"/>
  <c r="CE257" i="2"/>
  <c r="CD257" i="2"/>
  <c r="CC257" i="2"/>
  <c r="CA257" i="2"/>
  <c r="CB257" i="2" s="1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A257" i="2"/>
  <c r="BB257" i="2" s="1"/>
  <c r="AZ257" i="2"/>
  <c r="AY257" i="2"/>
  <c r="AX257" i="2"/>
  <c r="AW257" i="2"/>
  <c r="AV257" i="2"/>
  <c r="AU257" i="2"/>
  <c r="AT257" i="2"/>
  <c r="AS257" i="2"/>
  <c r="AR257" i="2"/>
  <c r="AQ257" i="2"/>
  <c r="AP257" i="2"/>
  <c r="AN257" i="2"/>
  <c r="AO257" i="2" s="1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N257" i="2"/>
  <c r="O257" i="2" s="1"/>
  <c r="M257" i="2"/>
  <c r="L257" i="2"/>
  <c r="K257" i="2"/>
  <c r="J257" i="2"/>
  <c r="I257" i="2"/>
  <c r="H257" i="2"/>
  <c r="G257" i="2"/>
  <c r="F257" i="2"/>
  <c r="E257" i="2"/>
  <c r="D257" i="2"/>
  <c r="C257" i="2"/>
  <c r="FO256" i="2"/>
  <c r="FI256" i="2"/>
  <c r="FH256" i="2"/>
  <c r="FG256" i="2"/>
  <c r="FF256" i="2"/>
  <c r="FE256" i="2"/>
  <c r="FD256" i="2"/>
  <c r="FC256" i="2"/>
  <c r="FA256" i="2"/>
  <c r="FB256" i="2" s="1"/>
  <c r="EZ256" i="2"/>
  <c r="EY256" i="2"/>
  <c r="EX256" i="2"/>
  <c r="EW256" i="2"/>
  <c r="EV256" i="2"/>
  <c r="EU256" i="2"/>
  <c r="ET256" i="2"/>
  <c r="ES256" i="2"/>
  <c r="ER256" i="2"/>
  <c r="EQ256" i="2"/>
  <c r="EP256" i="2"/>
  <c r="EN256" i="2"/>
  <c r="EO256" i="2" s="1"/>
  <c r="EM256" i="2"/>
  <c r="EL256" i="2"/>
  <c r="EK256" i="2"/>
  <c r="EJ256" i="2"/>
  <c r="EI256" i="2"/>
  <c r="EH256" i="2"/>
  <c r="EG256" i="2"/>
  <c r="EF256" i="2"/>
  <c r="EE256" i="2"/>
  <c r="ED256" i="2"/>
  <c r="EC256" i="2"/>
  <c r="EA256" i="2"/>
  <c r="EB256" i="2" s="1"/>
  <c r="DZ256" i="2"/>
  <c r="DY256" i="2"/>
  <c r="DX256" i="2"/>
  <c r="DW256" i="2"/>
  <c r="DV256" i="2"/>
  <c r="DU256" i="2"/>
  <c r="DT256" i="2"/>
  <c r="DS256" i="2"/>
  <c r="DR256" i="2"/>
  <c r="DQ256" i="2"/>
  <c r="DP256" i="2"/>
  <c r="DO256" i="2"/>
  <c r="DN256" i="2"/>
  <c r="DM256" i="2"/>
  <c r="DL256" i="2"/>
  <c r="DK256" i="2"/>
  <c r="DJ256" i="2"/>
  <c r="DI256" i="2"/>
  <c r="DH256" i="2"/>
  <c r="DG256" i="2"/>
  <c r="DF256" i="2"/>
  <c r="DE256" i="2"/>
  <c r="DD256" i="2"/>
  <c r="DC256" i="2"/>
  <c r="DA256" i="2"/>
  <c r="DB256" i="2" s="1"/>
  <c r="CZ256" i="2"/>
  <c r="CY256" i="2"/>
  <c r="CX256" i="2"/>
  <c r="CW256" i="2"/>
  <c r="CV256" i="2"/>
  <c r="CU256" i="2"/>
  <c r="CT256" i="2"/>
  <c r="CS256" i="2"/>
  <c r="CR256" i="2"/>
  <c r="CQ256" i="2"/>
  <c r="CP256" i="2"/>
  <c r="CN256" i="2"/>
  <c r="CO256" i="2" s="1"/>
  <c r="CM256" i="2"/>
  <c r="CL256" i="2"/>
  <c r="CK256" i="2"/>
  <c r="CJ256" i="2"/>
  <c r="CI256" i="2"/>
  <c r="CH256" i="2"/>
  <c r="CG256" i="2"/>
  <c r="CF256" i="2"/>
  <c r="CE256" i="2"/>
  <c r="CD256" i="2"/>
  <c r="CC256" i="2"/>
  <c r="CA256" i="2"/>
  <c r="CB256" i="2" s="1"/>
  <c r="BZ256" i="2"/>
  <c r="BY256" i="2"/>
  <c r="BX256" i="2"/>
  <c r="BW256" i="2"/>
  <c r="BV256" i="2"/>
  <c r="BU256" i="2"/>
  <c r="BT256" i="2"/>
  <c r="BS256" i="2"/>
  <c r="BR256" i="2"/>
  <c r="BQ256" i="2"/>
  <c r="BP256" i="2"/>
  <c r="BN256" i="2"/>
  <c r="BO256" i="2" s="1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N256" i="2"/>
  <c r="AO256" i="2" s="1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FI255" i="2"/>
  <c r="FO255" i="2" s="1"/>
  <c r="FH255" i="2"/>
  <c r="FG255" i="2"/>
  <c r="FF255" i="2"/>
  <c r="FE255" i="2"/>
  <c r="FD255" i="2"/>
  <c r="FC255" i="2"/>
  <c r="FA255" i="2"/>
  <c r="FB255" i="2" s="1"/>
  <c r="EZ255" i="2"/>
  <c r="EY255" i="2"/>
  <c r="EX255" i="2"/>
  <c r="EW255" i="2"/>
  <c r="EV255" i="2"/>
  <c r="EU255" i="2"/>
  <c r="ET255" i="2"/>
  <c r="ES255" i="2"/>
  <c r="ER255" i="2"/>
  <c r="EQ255" i="2"/>
  <c r="EP255" i="2"/>
  <c r="EN255" i="2"/>
  <c r="EO255" i="2" s="1"/>
  <c r="EM255" i="2"/>
  <c r="EL255" i="2"/>
  <c r="EK255" i="2"/>
  <c r="EJ255" i="2"/>
  <c r="EI255" i="2"/>
  <c r="EH255" i="2"/>
  <c r="EG255" i="2"/>
  <c r="EF255" i="2"/>
  <c r="EE255" i="2"/>
  <c r="ED255" i="2"/>
  <c r="EC255" i="2"/>
  <c r="EA255" i="2"/>
  <c r="EB255" i="2" s="1"/>
  <c r="DZ255" i="2"/>
  <c r="DY255" i="2"/>
  <c r="DX255" i="2"/>
  <c r="DW255" i="2"/>
  <c r="DV255" i="2"/>
  <c r="DU255" i="2"/>
  <c r="DT255" i="2"/>
  <c r="DS255" i="2"/>
  <c r="DR255" i="2"/>
  <c r="DQ255" i="2"/>
  <c r="DP255" i="2"/>
  <c r="DO255" i="2"/>
  <c r="DN255" i="2"/>
  <c r="DM255" i="2"/>
  <c r="DL255" i="2"/>
  <c r="DK255" i="2"/>
  <c r="DJ255" i="2"/>
  <c r="DI255" i="2"/>
  <c r="DH255" i="2"/>
  <c r="DG255" i="2"/>
  <c r="DF255" i="2"/>
  <c r="DE255" i="2"/>
  <c r="DD255" i="2"/>
  <c r="DC255" i="2"/>
  <c r="DA255" i="2"/>
  <c r="DB255" i="2" s="1"/>
  <c r="CZ255" i="2"/>
  <c r="CY255" i="2"/>
  <c r="CX255" i="2"/>
  <c r="CW255" i="2"/>
  <c r="CV255" i="2"/>
  <c r="CU255" i="2"/>
  <c r="CT255" i="2"/>
  <c r="CS255" i="2"/>
  <c r="CR255" i="2"/>
  <c r="CQ255" i="2"/>
  <c r="CP255" i="2"/>
  <c r="CN255" i="2"/>
  <c r="CO255" i="2" s="1"/>
  <c r="CM255" i="2"/>
  <c r="CL255" i="2"/>
  <c r="CK255" i="2"/>
  <c r="CJ255" i="2"/>
  <c r="CI255" i="2"/>
  <c r="CH255" i="2"/>
  <c r="CG255" i="2"/>
  <c r="CF255" i="2"/>
  <c r="CE255" i="2"/>
  <c r="CD255" i="2"/>
  <c r="CC255" i="2"/>
  <c r="CB255" i="2"/>
  <c r="CA255" i="2"/>
  <c r="BZ255" i="2"/>
  <c r="BY255" i="2"/>
  <c r="BX255" i="2"/>
  <c r="BW255" i="2"/>
  <c r="BV255" i="2"/>
  <c r="BU255" i="2"/>
  <c r="BT255" i="2"/>
  <c r="BS255" i="2"/>
  <c r="BR255" i="2"/>
  <c r="BQ255" i="2"/>
  <c r="BP255" i="2"/>
  <c r="BN255" i="2"/>
  <c r="BO255" i="2" s="1"/>
  <c r="BM255" i="2"/>
  <c r="BL255" i="2"/>
  <c r="BK255" i="2"/>
  <c r="BJ255" i="2"/>
  <c r="BI255" i="2"/>
  <c r="BH255" i="2"/>
  <c r="BG255" i="2"/>
  <c r="BF255" i="2"/>
  <c r="BE255" i="2"/>
  <c r="BD255" i="2"/>
  <c r="BC255" i="2"/>
  <c r="BB255" i="2"/>
  <c r="BA255" i="2"/>
  <c r="AZ255" i="2"/>
  <c r="AY255" i="2"/>
  <c r="AX255" i="2"/>
  <c r="AW255" i="2"/>
  <c r="AV255" i="2"/>
  <c r="AU255" i="2"/>
  <c r="AT255" i="2"/>
  <c r="AS255" i="2"/>
  <c r="AR255" i="2"/>
  <c r="AQ255" i="2"/>
  <c r="AP255" i="2"/>
  <c r="AN255" i="2"/>
  <c r="AO255" i="2" s="1"/>
  <c r="AM255" i="2"/>
  <c r="AL255" i="2"/>
  <c r="AK255" i="2"/>
  <c r="AJ255" i="2"/>
  <c r="AI255" i="2"/>
  <c r="AH255" i="2"/>
  <c r="AG255" i="2"/>
  <c r="AF255" i="2"/>
  <c r="AE255" i="2"/>
  <c r="AD255" i="2"/>
  <c r="AC255" i="2"/>
  <c r="AA255" i="2"/>
  <c r="AB255" i="2" s="1"/>
  <c r="Z255" i="2"/>
  <c r="Y255" i="2"/>
  <c r="X255" i="2"/>
  <c r="W255" i="2"/>
  <c r="V255" i="2"/>
  <c r="U255" i="2"/>
  <c r="T255" i="2"/>
  <c r="S255" i="2"/>
  <c r="R255" i="2"/>
  <c r="Q255" i="2"/>
  <c r="P255" i="2"/>
  <c r="N255" i="2"/>
  <c r="O255" i="2" s="1"/>
  <c r="M255" i="2"/>
  <c r="L255" i="2"/>
  <c r="K255" i="2"/>
  <c r="J255" i="2"/>
  <c r="I255" i="2"/>
  <c r="H255" i="2"/>
  <c r="G255" i="2"/>
  <c r="F255" i="2"/>
  <c r="E255" i="2"/>
  <c r="D255" i="2"/>
  <c r="C255" i="2"/>
  <c r="FO254" i="2"/>
  <c r="FI254" i="2"/>
  <c r="FH254" i="2"/>
  <c r="FG254" i="2"/>
  <c r="FF254" i="2"/>
  <c r="FE254" i="2"/>
  <c r="FD254" i="2"/>
  <c r="FC254" i="2"/>
  <c r="FB254" i="2"/>
  <c r="FA254" i="2"/>
  <c r="EZ254" i="2"/>
  <c r="EY254" i="2"/>
  <c r="EX254" i="2"/>
  <c r="EW254" i="2"/>
  <c r="EV254" i="2"/>
  <c r="EU254" i="2"/>
  <c r="ET254" i="2"/>
  <c r="ES254" i="2"/>
  <c r="ER254" i="2"/>
  <c r="EQ254" i="2"/>
  <c r="EP254" i="2"/>
  <c r="EN254" i="2"/>
  <c r="EO254" i="2" s="1"/>
  <c r="EM254" i="2"/>
  <c r="EL254" i="2"/>
  <c r="EK254" i="2"/>
  <c r="EJ254" i="2"/>
  <c r="EI254" i="2"/>
  <c r="EH254" i="2"/>
  <c r="EG254" i="2"/>
  <c r="EF254" i="2"/>
  <c r="EE254" i="2"/>
  <c r="ED254" i="2"/>
  <c r="EC254" i="2"/>
  <c r="EB254" i="2"/>
  <c r="EA254" i="2"/>
  <c r="DZ254" i="2"/>
  <c r="DY254" i="2"/>
  <c r="DX254" i="2"/>
  <c r="DW254" i="2"/>
  <c r="DV254" i="2"/>
  <c r="DU254" i="2"/>
  <c r="DT254" i="2"/>
  <c r="DS254" i="2"/>
  <c r="DR254" i="2"/>
  <c r="DQ254" i="2"/>
  <c r="DP254" i="2"/>
  <c r="DN254" i="2"/>
  <c r="DO254" i="2" s="1"/>
  <c r="DM254" i="2"/>
  <c r="DL254" i="2"/>
  <c r="DK254" i="2"/>
  <c r="DJ254" i="2"/>
  <c r="DI254" i="2"/>
  <c r="DH254" i="2"/>
  <c r="DG254" i="2"/>
  <c r="DF254" i="2"/>
  <c r="DE254" i="2"/>
  <c r="DD254" i="2"/>
  <c r="DC254" i="2"/>
  <c r="DA254" i="2"/>
  <c r="DB254" i="2" s="1"/>
  <c r="CZ254" i="2"/>
  <c r="CY254" i="2"/>
  <c r="CX254" i="2"/>
  <c r="CW254" i="2"/>
  <c r="CV254" i="2"/>
  <c r="CU254" i="2"/>
  <c r="CT254" i="2"/>
  <c r="CS254" i="2"/>
  <c r="CR254" i="2"/>
  <c r="CQ254" i="2"/>
  <c r="CP254" i="2"/>
  <c r="CN254" i="2"/>
  <c r="CO254" i="2" s="1"/>
  <c r="CM254" i="2"/>
  <c r="CL254" i="2"/>
  <c r="CK254" i="2"/>
  <c r="CJ254" i="2"/>
  <c r="CI254" i="2"/>
  <c r="CH254" i="2"/>
  <c r="CG254" i="2"/>
  <c r="CF254" i="2"/>
  <c r="CE254" i="2"/>
  <c r="CD254" i="2"/>
  <c r="CC254" i="2"/>
  <c r="CB254" i="2"/>
  <c r="CA254" i="2"/>
  <c r="BZ254" i="2"/>
  <c r="BY254" i="2"/>
  <c r="BX254" i="2"/>
  <c r="BW254" i="2"/>
  <c r="BV254" i="2"/>
  <c r="BU254" i="2"/>
  <c r="BT254" i="2"/>
  <c r="BS254" i="2"/>
  <c r="BR254" i="2"/>
  <c r="BQ254" i="2"/>
  <c r="BP254" i="2"/>
  <c r="BO254" i="2"/>
  <c r="BN254" i="2"/>
  <c r="BM254" i="2"/>
  <c r="BL254" i="2"/>
  <c r="BK254" i="2"/>
  <c r="BJ254" i="2"/>
  <c r="BI254" i="2"/>
  <c r="BH254" i="2"/>
  <c r="BG254" i="2"/>
  <c r="BF254" i="2"/>
  <c r="BE254" i="2"/>
  <c r="BD254" i="2"/>
  <c r="BC254" i="2"/>
  <c r="BA254" i="2"/>
  <c r="BB254" i="2" s="1"/>
  <c r="AZ254" i="2"/>
  <c r="AY254" i="2"/>
  <c r="AX254" i="2"/>
  <c r="AW254" i="2"/>
  <c r="AV254" i="2"/>
  <c r="AU254" i="2"/>
  <c r="AT254" i="2"/>
  <c r="AS254" i="2"/>
  <c r="AR254" i="2"/>
  <c r="AQ254" i="2"/>
  <c r="AP254" i="2"/>
  <c r="AN254" i="2"/>
  <c r="AO254" i="2" s="1"/>
  <c r="AM254" i="2"/>
  <c r="AL254" i="2"/>
  <c r="AK254" i="2"/>
  <c r="AJ254" i="2"/>
  <c r="AI254" i="2"/>
  <c r="AH254" i="2"/>
  <c r="AG254" i="2"/>
  <c r="AF254" i="2"/>
  <c r="AE254" i="2"/>
  <c r="AD254" i="2"/>
  <c r="AC254" i="2"/>
  <c r="AA254" i="2"/>
  <c r="AB254" i="2" s="1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FI253" i="2"/>
  <c r="FO253" i="2" s="1"/>
  <c r="FH253" i="2"/>
  <c r="FG253" i="2"/>
  <c r="FF253" i="2"/>
  <c r="FE253" i="2"/>
  <c r="FD253" i="2"/>
  <c r="FC253" i="2"/>
  <c r="FA253" i="2"/>
  <c r="FB253" i="2" s="1"/>
  <c r="EZ253" i="2"/>
  <c r="EY253" i="2"/>
  <c r="EX253" i="2"/>
  <c r="EW253" i="2"/>
  <c r="EV253" i="2"/>
  <c r="EU253" i="2"/>
  <c r="ET253" i="2"/>
  <c r="ES253" i="2"/>
  <c r="ER253" i="2"/>
  <c r="EQ253" i="2"/>
  <c r="EP253" i="2"/>
  <c r="EN253" i="2"/>
  <c r="EO253" i="2" s="1"/>
  <c r="EM253" i="2"/>
  <c r="EL253" i="2"/>
  <c r="EK253" i="2"/>
  <c r="EJ253" i="2"/>
  <c r="EI253" i="2"/>
  <c r="EH253" i="2"/>
  <c r="EG253" i="2"/>
  <c r="EF253" i="2"/>
  <c r="EE253" i="2"/>
  <c r="ED253" i="2"/>
  <c r="EC253" i="2"/>
  <c r="EA253" i="2"/>
  <c r="EB253" i="2" s="1"/>
  <c r="DZ253" i="2"/>
  <c r="DY253" i="2"/>
  <c r="DX253" i="2"/>
  <c r="DW253" i="2"/>
  <c r="DV253" i="2"/>
  <c r="DU253" i="2"/>
  <c r="DT253" i="2"/>
  <c r="DS253" i="2"/>
  <c r="DR253" i="2"/>
  <c r="DQ253" i="2"/>
  <c r="DP253" i="2"/>
  <c r="DO253" i="2"/>
  <c r="DN253" i="2"/>
  <c r="DM253" i="2"/>
  <c r="DL253" i="2"/>
  <c r="DK253" i="2"/>
  <c r="DJ253" i="2"/>
  <c r="DI253" i="2"/>
  <c r="DH253" i="2"/>
  <c r="DG253" i="2"/>
  <c r="DF253" i="2"/>
  <c r="DE253" i="2"/>
  <c r="DD253" i="2"/>
  <c r="DC253" i="2"/>
  <c r="DA253" i="2"/>
  <c r="DB253" i="2" s="1"/>
  <c r="CZ253" i="2"/>
  <c r="CY253" i="2"/>
  <c r="CX253" i="2"/>
  <c r="CW253" i="2"/>
  <c r="CV253" i="2"/>
  <c r="CU253" i="2"/>
  <c r="CT253" i="2"/>
  <c r="CS253" i="2"/>
  <c r="CR253" i="2"/>
  <c r="CQ253" i="2"/>
  <c r="CP253" i="2"/>
  <c r="CN253" i="2"/>
  <c r="CO253" i="2" s="1"/>
  <c r="CM253" i="2"/>
  <c r="CL253" i="2"/>
  <c r="CK253" i="2"/>
  <c r="CJ253" i="2"/>
  <c r="CI253" i="2"/>
  <c r="CH253" i="2"/>
  <c r="CG253" i="2"/>
  <c r="CF253" i="2"/>
  <c r="CE253" i="2"/>
  <c r="CD253" i="2"/>
  <c r="CC253" i="2"/>
  <c r="CA253" i="2"/>
  <c r="CB253" i="2" s="1"/>
  <c r="BZ253" i="2"/>
  <c r="BY253" i="2"/>
  <c r="BX253" i="2"/>
  <c r="BW253" i="2"/>
  <c r="BV253" i="2"/>
  <c r="BU253" i="2"/>
  <c r="BT253" i="2"/>
  <c r="BS253" i="2"/>
  <c r="BR253" i="2"/>
  <c r="BQ253" i="2"/>
  <c r="BP253" i="2"/>
  <c r="BN253" i="2"/>
  <c r="BO253" i="2" s="1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AN253" i="2"/>
  <c r="AO253" i="2" s="1"/>
  <c r="AM253" i="2"/>
  <c r="AL253" i="2"/>
  <c r="AK253" i="2"/>
  <c r="AJ253" i="2"/>
  <c r="AI253" i="2"/>
  <c r="AH253" i="2"/>
  <c r="AG253" i="2"/>
  <c r="AF253" i="2"/>
  <c r="AE253" i="2"/>
  <c r="AD253" i="2"/>
  <c r="AC253" i="2"/>
  <c r="AA253" i="2"/>
  <c r="AB253" i="2" s="1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FI252" i="2"/>
  <c r="FO252" i="2" s="1"/>
  <c r="FH252" i="2"/>
  <c r="FG252" i="2"/>
  <c r="FF252" i="2"/>
  <c r="FE252" i="2"/>
  <c r="FD252" i="2"/>
  <c r="FC252" i="2"/>
  <c r="FA252" i="2"/>
  <c r="FB252" i="2" s="1"/>
  <c r="EZ252" i="2"/>
  <c r="EY252" i="2"/>
  <c r="EX252" i="2"/>
  <c r="EW252" i="2"/>
  <c r="EV252" i="2"/>
  <c r="EU252" i="2"/>
  <c r="ET252" i="2"/>
  <c r="ES252" i="2"/>
  <c r="ER252" i="2"/>
  <c r="EQ252" i="2"/>
  <c r="EP252" i="2"/>
  <c r="EN252" i="2"/>
  <c r="EO252" i="2" s="1"/>
  <c r="EM252" i="2"/>
  <c r="EL252" i="2"/>
  <c r="EK252" i="2"/>
  <c r="EJ252" i="2"/>
  <c r="EI252" i="2"/>
  <c r="EH252" i="2"/>
  <c r="EG252" i="2"/>
  <c r="EF252" i="2"/>
  <c r="EE252" i="2"/>
  <c r="ED252" i="2"/>
  <c r="EC252" i="2"/>
  <c r="EA252" i="2"/>
  <c r="EB252" i="2" s="1"/>
  <c r="DZ252" i="2"/>
  <c r="DY252" i="2"/>
  <c r="DX252" i="2"/>
  <c r="DW252" i="2"/>
  <c r="DV252" i="2"/>
  <c r="DU252" i="2"/>
  <c r="DT252" i="2"/>
  <c r="DS252" i="2"/>
  <c r="DR252" i="2"/>
  <c r="DQ252" i="2"/>
  <c r="DP252" i="2"/>
  <c r="DO252" i="2"/>
  <c r="DN252" i="2"/>
  <c r="DM252" i="2"/>
  <c r="DL252" i="2"/>
  <c r="DK252" i="2"/>
  <c r="DJ252" i="2"/>
  <c r="DI252" i="2"/>
  <c r="DH252" i="2"/>
  <c r="DG252" i="2"/>
  <c r="DF252" i="2"/>
  <c r="DE252" i="2"/>
  <c r="DD252" i="2"/>
  <c r="DC252" i="2"/>
  <c r="DA252" i="2"/>
  <c r="DB252" i="2" s="1"/>
  <c r="CZ252" i="2"/>
  <c r="CY252" i="2"/>
  <c r="CX252" i="2"/>
  <c r="CW252" i="2"/>
  <c r="CV252" i="2"/>
  <c r="CU252" i="2"/>
  <c r="CT252" i="2"/>
  <c r="CS252" i="2"/>
  <c r="CR252" i="2"/>
  <c r="CQ252" i="2"/>
  <c r="CP252" i="2"/>
  <c r="CN252" i="2"/>
  <c r="CO252" i="2" s="1"/>
  <c r="CM252" i="2"/>
  <c r="CL252" i="2"/>
  <c r="CK252" i="2"/>
  <c r="CJ252" i="2"/>
  <c r="CI252" i="2"/>
  <c r="CH252" i="2"/>
  <c r="CG252" i="2"/>
  <c r="CF252" i="2"/>
  <c r="CE252" i="2"/>
  <c r="CD252" i="2"/>
  <c r="CC252" i="2"/>
  <c r="CA252" i="2"/>
  <c r="CB252" i="2" s="1"/>
  <c r="BZ252" i="2"/>
  <c r="BY252" i="2"/>
  <c r="BX252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A252" i="2"/>
  <c r="BB252" i="2" s="1"/>
  <c r="AZ252" i="2"/>
  <c r="AY252" i="2"/>
  <c r="AX252" i="2"/>
  <c r="AW252" i="2"/>
  <c r="AV252" i="2"/>
  <c r="AU252" i="2"/>
  <c r="AT252" i="2"/>
  <c r="AS252" i="2"/>
  <c r="AR252" i="2"/>
  <c r="AQ252" i="2"/>
  <c r="AP252" i="2"/>
  <c r="AN252" i="2"/>
  <c r="AO252" i="2" s="1"/>
  <c r="AM252" i="2"/>
  <c r="AL252" i="2"/>
  <c r="AK252" i="2"/>
  <c r="AJ252" i="2"/>
  <c r="AI252" i="2"/>
  <c r="AH252" i="2"/>
  <c r="AG252" i="2"/>
  <c r="AF252" i="2"/>
  <c r="AE252" i="2"/>
  <c r="AD252" i="2"/>
  <c r="AC252" i="2"/>
  <c r="AA252" i="2"/>
  <c r="AB252" i="2" s="1"/>
  <c r="Z252" i="2"/>
  <c r="Y252" i="2"/>
  <c r="X252" i="2"/>
  <c r="W252" i="2"/>
  <c r="V252" i="2"/>
  <c r="U252" i="2"/>
  <c r="T252" i="2"/>
  <c r="S252" i="2"/>
  <c r="R252" i="2"/>
  <c r="Q252" i="2"/>
  <c r="P252" i="2"/>
  <c r="N252" i="2"/>
  <c r="O252" i="2" s="1"/>
  <c r="M252" i="2"/>
  <c r="L252" i="2"/>
  <c r="K252" i="2"/>
  <c r="J252" i="2"/>
  <c r="I252" i="2"/>
  <c r="H252" i="2"/>
  <c r="G252" i="2"/>
  <c r="F252" i="2"/>
  <c r="E252" i="2"/>
  <c r="D252" i="2"/>
  <c r="C252" i="2"/>
  <c r="FO251" i="2"/>
  <c r="FI251" i="2"/>
  <c r="FH251" i="2"/>
  <c r="FG251" i="2"/>
  <c r="FF251" i="2"/>
  <c r="FE251" i="2"/>
  <c r="FD251" i="2"/>
  <c r="FC251" i="2"/>
  <c r="FA251" i="2"/>
  <c r="FB251" i="2" s="1"/>
  <c r="EZ251" i="2"/>
  <c r="EY251" i="2"/>
  <c r="EX251" i="2"/>
  <c r="EW251" i="2"/>
  <c r="EV251" i="2"/>
  <c r="EU251" i="2"/>
  <c r="ET251" i="2"/>
  <c r="ES251" i="2"/>
  <c r="ER251" i="2"/>
  <c r="EQ251" i="2"/>
  <c r="EP251" i="2"/>
  <c r="EN251" i="2"/>
  <c r="EO251" i="2" s="1"/>
  <c r="EM251" i="2"/>
  <c r="EL251" i="2"/>
  <c r="EK251" i="2"/>
  <c r="EJ251" i="2"/>
  <c r="EI251" i="2"/>
  <c r="EH251" i="2"/>
  <c r="EG251" i="2"/>
  <c r="EF251" i="2"/>
  <c r="EE251" i="2"/>
  <c r="ED251" i="2"/>
  <c r="EC251" i="2"/>
  <c r="EB251" i="2"/>
  <c r="EA251" i="2"/>
  <c r="DZ251" i="2"/>
  <c r="DY251" i="2"/>
  <c r="DX251" i="2"/>
  <c r="DW251" i="2"/>
  <c r="DV251" i="2"/>
  <c r="DU251" i="2"/>
  <c r="DT251" i="2"/>
  <c r="DS251" i="2"/>
  <c r="DR251" i="2"/>
  <c r="DQ251" i="2"/>
  <c r="DP251" i="2"/>
  <c r="DN251" i="2"/>
  <c r="DO251" i="2" s="1"/>
  <c r="DM251" i="2"/>
  <c r="DL251" i="2"/>
  <c r="DK251" i="2"/>
  <c r="DJ251" i="2"/>
  <c r="DI251" i="2"/>
  <c r="DH251" i="2"/>
  <c r="DG251" i="2"/>
  <c r="DF251" i="2"/>
  <c r="DE251" i="2"/>
  <c r="DD251" i="2"/>
  <c r="DC251" i="2"/>
  <c r="DA251" i="2"/>
  <c r="DB251" i="2" s="1"/>
  <c r="CZ251" i="2"/>
  <c r="CY251" i="2"/>
  <c r="CX251" i="2"/>
  <c r="CW251" i="2"/>
  <c r="CV251" i="2"/>
  <c r="CU251" i="2"/>
  <c r="CT251" i="2"/>
  <c r="CS251" i="2"/>
  <c r="CR251" i="2"/>
  <c r="CQ251" i="2"/>
  <c r="CP251" i="2"/>
  <c r="CN251" i="2"/>
  <c r="CO251" i="2" s="1"/>
  <c r="CM251" i="2"/>
  <c r="CL251" i="2"/>
  <c r="CK251" i="2"/>
  <c r="CJ251" i="2"/>
  <c r="CI251" i="2"/>
  <c r="CH251" i="2"/>
  <c r="CG251" i="2"/>
  <c r="CF251" i="2"/>
  <c r="CE251" i="2"/>
  <c r="CD251" i="2"/>
  <c r="CC251" i="2"/>
  <c r="CA251" i="2"/>
  <c r="CB251" i="2" s="1"/>
  <c r="BZ251" i="2"/>
  <c r="BY251" i="2"/>
  <c r="BX251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A251" i="2"/>
  <c r="BB251" i="2" s="1"/>
  <c r="AZ251" i="2"/>
  <c r="AY251" i="2"/>
  <c r="AX251" i="2"/>
  <c r="AW251" i="2"/>
  <c r="AV251" i="2"/>
  <c r="AU251" i="2"/>
  <c r="AT251" i="2"/>
  <c r="AS251" i="2"/>
  <c r="AR251" i="2"/>
  <c r="AQ251" i="2"/>
  <c r="AP251" i="2"/>
  <c r="AN251" i="2"/>
  <c r="AO251" i="2" s="1"/>
  <c r="AM251" i="2"/>
  <c r="AL251" i="2"/>
  <c r="AK251" i="2"/>
  <c r="AJ251" i="2"/>
  <c r="AI251" i="2"/>
  <c r="AH251" i="2"/>
  <c r="AG251" i="2"/>
  <c r="AF251" i="2"/>
  <c r="AE251" i="2"/>
  <c r="AD251" i="2"/>
  <c r="AC251" i="2"/>
  <c r="AA251" i="2"/>
  <c r="AB251" i="2" s="1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FI250" i="2"/>
  <c r="FO250" i="2" s="1"/>
  <c r="FH250" i="2"/>
  <c r="FG250" i="2"/>
  <c r="FF250" i="2"/>
  <c r="FE250" i="2"/>
  <c r="FD250" i="2"/>
  <c r="FC250" i="2"/>
  <c r="FA250" i="2"/>
  <c r="FB250" i="2" s="1"/>
  <c r="EZ250" i="2"/>
  <c r="EY250" i="2"/>
  <c r="EX250" i="2"/>
  <c r="EW250" i="2"/>
  <c r="EV250" i="2"/>
  <c r="EU250" i="2"/>
  <c r="ET250" i="2"/>
  <c r="ES250" i="2"/>
  <c r="ER250" i="2"/>
  <c r="EQ250" i="2"/>
  <c r="EP250" i="2"/>
  <c r="EN250" i="2"/>
  <c r="EO250" i="2" s="1"/>
  <c r="EM250" i="2"/>
  <c r="EL250" i="2"/>
  <c r="EK250" i="2"/>
  <c r="EJ250" i="2"/>
  <c r="EI250" i="2"/>
  <c r="EH250" i="2"/>
  <c r="EG250" i="2"/>
  <c r="EF250" i="2"/>
  <c r="EE250" i="2"/>
  <c r="ED250" i="2"/>
  <c r="EC250" i="2"/>
  <c r="EB250" i="2"/>
  <c r="EA250" i="2"/>
  <c r="DZ250" i="2"/>
  <c r="DY250" i="2"/>
  <c r="DX250" i="2"/>
  <c r="DW250" i="2"/>
  <c r="DV250" i="2"/>
  <c r="DU250" i="2"/>
  <c r="DT250" i="2"/>
  <c r="DS250" i="2"/>
  <c r="DR250" i="2"/>
  <c r="DQ250" i="2"/>
  <c r="DP250" i="2"/>
  <c r="DN250" i="2"/>
  <c r="DO250" i="2" s="1"/>
  <c r="DM250" i="2"/>
  <c r="DL250" i="2"/>
  <c r="DK250" i="2"/>
  <c r="DJ250" i="2"/>
  <c r="DI250" i="2"/>
  <c r="DH250" i="2"/>
  <c r="DG250" i="2"/>
  <c r="DF250" i="2"/>
  <c r="DE250" i="2"/>
  <c r="DD250" i="2"/>
  <c r="DC250" i="2"/>
  <c r="DB250" i="2"/>
  <c r="DA250" i="2"/>
  <c r="CZ250" i="2"/>
  <c r="CY250" i="2"/>
  <c r="CX250" i="2"/>
  <c r="CW250" i="2"/>
  <c r="CV250" i="2"/>
  <c r="CU250" i="2"/>
  <c r="CT250" i="2"/>
  <c r="CS250" i="2"/>
  <c r="CR250" i="2"/>
  <c r="CQ250" i="2"/>
  <c r="CP250" i="2"/>
  <c r="CN250" i="2"/>
  <c r="CO250" i="2" s="1"/>
  <c r="CM250" i="2"/>
  <c r="CL250" i="2"/>
  <c r="CK250" i="2"/>
  <c r="CJ250" i="2"/>
  <c r="CI250" i="2"/>
  <c r="CH250" i="2"/>
  <c r="CG250" i="2"/>
  <c r="CF250" i="2"/>
  <c r="CE250" i="2"/>
  <c r="CD250" i="2"/>
  <c r="CC250" i="2"/>
  <c r="CA250" i="2"/>
  <c r="CB250" i="2" s="1"/>
  <c r="BZ250" i="2"/>
  <c r="BY250" i="2"/>
  <c r="BX250" i="2"/>
  <c r="BW250" i="2"/>
  <c r="BV250" i="2"/>
  <c r="BU250" i="2"/>
  <c r="BT250" i="2"/>
  <c r="BS250" i="2"/>
  <c r="BR250" i="2"/>
  <c r="BQ250" i="2"/>
  <c r="BP250" i="2"/>
  <c r="BN250" i="2"/>
  <c r="BO250" i="2" s="1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N250" i="2"/>
  <c r="AO250" i="2" s="1"/>
  <c r="AM250" i="2"/>
  <c r="AL250" i="2"/>
  <c r="AK250" i="2"/>
  <c r="AJ250" i="2"/>
  <c r="AI250" i="2"/>
  <c r="AH250" i="2"/>
  <c r="AG250" i="2"/>
  <c r="AF250" i="2"/>
  <c r="AE250" i="2"/>
  <c r="AD250" i="2"/>
  <c r="AC250" i="2"/>
  <c r="AA250" i="2"/>
  <c r="AB250" i="2" s="1"/>
  <c r="Z250" i="2"/>
  <c r="Y250" i="2"/>
  <c r="X250" i="2"/>
  <c r="W250" i="2"/>
  <c r="V250" i="2"/>
  <c r="U250" i="2"/>
  <c r="T250" i="2"/>
  <c r="S250" i="2"/>
  <c r="R250" i="2"/>
  <c r="Q250" i="2"/>
  <c r="P250" i="2"/>
  <c r="N250" i="2"/>
  <c r="O250" i="2" s="1"/>
  <c r="M250" i="2"/>
  <c r="L250" i="2"/>
  <c r="K250" i="2"/>
  <c r="J250" i="2"/>
  <c r="I250" i="2"/>
  <c r="H250" i="2"/>
  <c r="G250" i="2"/>
  <c r="F250" i="2"/>
  <c r="E250" i="2"/>
  <c r="D250" i="2"/>
  <c r="C250" i="2"/>
  <c r="FI249" i="2"/>
  <c r="FO249" i="2" s="1"/>
  <c r="FH249" i="2"/>
  <c r="FG249" i="2"/>
  <c r="FF249" i="2"/>
  <c r="FE249" i="2"/>
  <c r="FD249" i="2"/>
  <c r="FC249" i="2"/>
  <c r="FB249" i="2"/>
  <c r="FA249" i="2"/>
  <c r="EZ249" i="2"/>
  <c r="EY249" i="2"/>
  <c r="EX249" i="2"/>
  <c r="EW249" i="2"/>
  <c r="EV249" i="2"/>
  <c r="EU249" i="2"/>
  <c r="ET249" i="2"/>
  <c r="ES249" i="2"/>
  <c r="ER249" i="2"/>
  <c r="EQ249" i="2"/>
  <c r="EP249" i="2"/>
  <c r="EN249" i="2"/>
  <c r="EO249" i="2" s="1"/>
  <c r="EM249" i="2"/>
  <c r="EL249" i="2"/>
  <c r="EK249" i="2"/>
  <c r="EJ249" i="2"/>
  <c r="EI249" i="2"/>
  <c r="EH249" i="2"/>
  <c r="EG249" i="2"/>
  <c r="EF249" i="2"/>
  <c r="EE249" i="2"/>
  <c r="ED249" i="2"/>
  <c r="EC249" i="2"/>
  <c r="EB249" i="2"/>
  <c r="EA249" i="2"/>
  <c r="DZ249" i="2"/>
  <c r="DY249" i="2"/>
  <c r="DX249" i="2"/>
  <c r="DW249" i="2"/>
  <c r="DV249" i="2"/>
  <c r="DU249" i="2"/>
  <c r="DT249" i="2"/>
  <c r="DS249" i="2"/>
  <c r="DR249" i="2"/>
  <c r="DQ249" i="2"/>
  <c r="DP249" i="2"/>
  <c r="DN249" i="2"/>
  <c r="DO249" i="2" s="1"/>
  <c r="DM249" i="2"/>
  <c r="DL249" i="2"/>
  <c r="DK249" i="2"/>
  <c r="DJ249" i="2"/>
  <c r="DI249" i="2"/>
  <c r="DH249" i="2"/>
  <c r="DG249" i="2"/>
  <c r="DF249" i="2"/>
  <c r="DE249" i="2"/>
  <c r="DD249" i="2"/>
  <c r="DC249" i="2"/>
  <c r="DA249" i="2"/>
  <c r="DB249" i="2" s="1"/>
  <c r="CZ249" i="2"/>
  <c r="CY249" i="2"/>
  <c r="CX249" i="2"/>
  <c r="CW249" i="2"/>
  <c r="CV249" i="2"/>
  <c r="CU249" i="2"/>
  <c r="CT249" i="2"/>
  <c r="CS249" i="2"/>
  <c r="CR249" i="2"/>
  <c r="CQ249" i="2"/>
  <c r="CP249" i="2"/>
  <c r="CN249" i="2"/>
  <c r="CO249" i="2" s="1"/>
  <c r="CM249" i="2"/>
  <c r="CL249" i="2"/>
  <c r="CK249" i="2"/>
  <c r="CJ249" i="2"/>
  <c r="CI249" i="2"/>
  <c r="CH249" i="2"/>
  <c r="CG249" i="2"/>
  <c r="CF249" i="2"/>
  <c r="CE249" i="2"/>
  <c r="CD249" i="2"/>
  <c r="CC249" i="2"/>
  <c r="CA249" i="2"/>
  <c r="CB249" i="2" s="1"/>
  <c r="BZ249" i="2"/>
  <c r="BY249" i="2"/>
  <c r="BX249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A249" i="2"/>
  <c r="BB249" i="2" s="1"/>
  <c r="AZ249" i="2"/>
  <c r="AY249" i="2"/>
  <c r="AX249" i="2"/>
  <c r="AW249" i="2"/>
  <c r="AV249" i="2"/>
  <c r="AU249" i="2"/>
  <c r="AT249" i="2"/>
  <c r="AS249" i="2"/>
  <c r="AR249" i="2"/>
  <c r="AQ249" i="2"/>
  <c r="AP249" i="2"/>
  <c r="AN249" i="2"/>
  <c r="AO249" i="2" s="1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N249" i="2"/>
  <c r="O249" i="2" s="1"/>
  <c r="M249" i="2"/>
  <c r="L249" i="2"/>
  <c r="K249" i="2"/>
  <c r="J249" i="2"/>
  <c r="I249" i="2"/>
  <c r="H249" i="2"/>
  <c r="G249" i="2"/>
  <c r="F249" i="2"/>
  <c r="E249" i="2"/>
  <c r="D249" i="2"/>
  <c r="C249" i="2"/>
  <c r="FI248" i="2"/>
  <c r="FO248" i="2" s="1"/>
  <c r="FH248" i="2"/>
  <c r="FG248" i="2"/>
  <c r="FF248" i="2"/>
  <c r="FE248" i="2"/>
  <c r="FD248" i="2"/>
  <c r="FC248" i="2"/>
  <c r="FA248" i="2"/>
  <c r="FB248" i="2" s="1"/>
  <c r="EZ248" i="2"/>
  <c r="EY248" i="2"/>
  <c r="EX248" i="2"/>
  <c r="EW248" i="2"/>
  <c r="EV248" i="2"/>
  <c r="EU248" i="2"/>
  <c r="ET248" i="2"/>
  <c r="ES248" i="2"/>
  <c r="ER248" i="2"/>
  <c r="EQ248" i="2"/>
  <c r="EP248" i="2"/>
  <c r="EN248" i="2"/>
  <c r="EO248" i="2" s="1"/>
  <c r="EM248" i="2"/>
  <c r="EL248" i="2"/>
  <c r="EK248" i="2"/>
  <c r="EJ248" i="2"/>
  <c r="EI248" i="2"/>
  <c r="EH248" i="2"/>
  <c r="EG248" i="2"/>
  <c r="EF248" i="2"/>
  <c r="EE248" i="2"/>
  <c r="ED248" i="2"/>
  <c r="EC248" i="2"/>
  <c r="EB248" i="2"/>
  <c r="EA248" i="2"/>
  <c r="DZ248" i="2"/>
  <c r="DY248" i="2"/>
  <c r="DX248" i="2"/>
  <c r="DW248" i="2"/>
  <c r="DV248" i="2"/>
  <c r="DU248" i="2"/>
  <c r="DT248" i="2"/>
  <c r="DS248" i="2"/>
  <c r="DR248" i="2"/>
  <c r="DQ248" i="2"/>
  <c r="DP248" i="2"/>
  <c r="DN248" i="2"/>
  <c r="DO248" i="2" s="1"/>
  <c r="DM248" i="2"/>
  <c r="DL248" i="2"/>
  <c r="DK248" i="2"/>
  <c r="DJ248" i="2"/>
  <c r="DI248" i="2"/>
  <c r="DH248" i="2"/>
  <c r="DG248" i="2"/>
  <c r="DF248" i="2"/>
  <c r="DE248" i="2"/>
  <c r="DD248" i="2"/>
  <c r="DC248" i="2"/>
  <c r="DB248" i="2"/>
  <c r="DA248" i="2"/>
  <c r="CZ248" i="2"/>
  <c r="CY248" i="2"/>
  <c r="CX248" i="2"/>
  <c r="CW248" i="2"/>
  <c r="CV248" i="2"/>
  <c r="CU248" i="2"/>
  <c r="CT248" i="2"/>
  <c r="CS248" i="2"/>
  <c r="CR248" i="2"/>
  <c r="CQ248" i="2"/>
  <c r="CP248" i="2"/>
  <c r="CN248" i="2"/>
  <c r="CO248" i="2" s="1"/>
  <c r="CM248" i="2"/>
  <c r="CL248" i="2"/>
  <c r="CK248" i="2"/>
  <c r="CJ248" i="2"/>
  <c r="CI248" i="2"/>
  <c r="CH248" i="2"/>
  <c r="CG248" i="2"/>
  <c r="CF248" i="2"/>
  <c r="CE248" i="2"/>
  <c r="CD248" i="2"/>
  <c r="CC248" i="2"/>
  <c r="CA248" i="2"/>
  <c r="CB248" i="2" s="1"/>
  <c r="BZ248" i="2"/>
  <c r="BY248" i="2"/>
  <c r="BX248" i="2"/>
  <c r="BW248" i="2"/>
  <c r="BV248" i="2"/>
  <c r="BU248" i="2"/>
  <c r="BT248" i="2"/>
  <c r="BS248" i="2"/>
  <c r="BR248" i="2"/>
  <c r="BQ248" i="2"/>
  <c r="BP248" i="2"/>
  <c r="BN248" i="2"/>
  <c r="BO248" i="2" s="1"/>
  <c r="BM248" i="2"/>
  <c r="BL248" i="2"/>
  <c r="BK248" i="2"/>
  <c r="BJ248" i="2"/>
  <c r="BI248" i="2"/>
  <c r="BH248" i="2"/>
  <c r="BG248" i="2"/>
  <c r="BF248" i="2"/>
  <c r="BE248" i="2"/>
  <c r="BD248" i="2"/>
  <c r="BC248" i="2"/>
  <c r="BA248" i="2"/>
  <c r="BB248" i="2" s="1"/>
  <c r="AZ248" i="2"/>
  <c r="AY248" i="2"/>
  <c r="AX248" i="2"/>
  <c r="AW248" i="2"/>
  <c r="AV248" i="2"/>
  <c r="AU248" i="2"/>
  <c r="AT248" i="2"/>
  <c r="AS248" i="2"/>
  <c r="AR248" i="2"/>
  <c r="AQ248" i="2"/>
  <c r="AP248" i="2"/>
  <c r="AN248" i="2"/>
  <c r="AO248" i="2" s="1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N248" i="2"/>
  <c r="O248" i="2" s="1"/>
  <c r="M248" i="2"/>
  <c r="L248" i="2"/>
  <c r="K248" i="2"/>
  <c r="J248" i="2"/>
  <c r="I248" i="2"/>
  <c r="H248" i="2"/>
  <c r="G248" i="2"/>
  <c r="F248" i="2"/>
  <c r="E248" i="2"/>
  <c r="D248" i="2"/>
  <c r="C248" i="2"/>
  <c r="FO247" i="2"/>
  <c r="FI247" i="2"/>
  <c r="FH247" i="2"/>
  <c r="FG247" i="2"/>
  <c r="FF247" i="2"/>
  <c r="FE247" i="2"/>
  <c r="FD247" i="2"/>
  <c r="FC247" i="2"/>
  <c r="FA247" i="2"/>
  <c r="FB247" i="2" s="1"/>
  <c r="EZ247" i="2"/>
  <c r="EY247" i="2"/>
  <c r="EX247" i="2"/>
  <c r="EW247" i="2"/>
  <c r="EV247" i="2"/>
  <c r="EU247" i="2"/>
  <c r="ET247" i="2"/>
  <c r="ES247" i="2"/>
  <c r="ER247" i="2"/>
  <c r="EQ247" i="2"/>
  <c r="EP247" i="2"/>
  <c r="EN247" i="2"/>
  <c r="EO247" i="2" s="1"/>
  <c r="EM247" i="2"/>
  <c r="EL247" i="2"/>
  <c r="EK247" i="2"/>
  <c r="EJ247" i="2"/>
  <c r="EI247" i="2"/>
  <c r="EH247" i="2"/>
  <c r="EG247" i="2"/>
  <c r="EF247" i="2"/>
  <c r="EE247" i="2"/>
  <c r="ED247" i="2"/>
  <c r="EC247" i="2"/>
  <c r="EB247" i="2"/>
  <c r="EA247" i="2"/>
  <c r="DZ247" i="2"/>
  <c r="DY247" i="2"/>
  <c r="DX247" i="2"/>
  <c r="DW247" i="2"/>
  <c r="DV247" i="2"/>
  <c r="DU247" i="2"/>
  <c r="DT247" i="2"/>
  <c r="DS247" i="2"/>
  <c r="DR247" i="2"/>
  <c r="DQ247" i="2"/>
  <c r="DP247" i="2"/>
  <c r="DN247" i="2"/>
  <c r="DO247" i="2" s="1"/>
  <c r="DM247" i="2"/>
  <c r="DL247" i="2"/>
  <c r="DK247" i="2"/>
  <c r="DJ247" i="2"/>
  <c r="DI247" i="2"/>
  <c r="DH247" i="2"/>
  <c r="DG247" i="2"/>
  <c r="DF247" i="2"/>
  <c r="DE247" i="2"/>
  <c r="DD247" i="2"/>
  <c r="DC247" i="2"/>
  <c r="DB247" i="2"/>
  <c r="DA247" i="2"/>
  <c r="CZ247" i="2"/>
  <c r="CY247" i="2"/>
  <c r="CX247" i="2"/>
  <c r="CW247" i="2"/>
  <c r="CV247" i="2"/>
  <c r="CU247" i="2"/>
  <c r="CT247" i="2"/>
  <c r="CS247" i="2"/>
  <c r="CR247" i="2"/>
  <c r="CQ247" i="2"/>
  <c r="CP247" i="2"/>
  <c r="CN247" i="2"/>
  <c r="CO247" i="2" s="1"/>
  <c r="CM247" i="2"/>
  <c r="CL247" i="2"/>
  <c r="CK247" i="2"/>
  <c r="CJ247" i="2"/>
  <c r="CI247" i="2"/>
  <c r="CH247" i="2"/>
  <c r="CG247" i="2"/>
  <c r="CF247" i="2"/>
  <c r="CE247" i="2"/>
  <c r="CD247" i="2"/>
  <c r="CC247" i="2"/>
  <c r="CA247" i="2"/>
  <c r="CB247" i="2" s="1"/>
  <c r="BZ247" i="2"/>
  <c r="BY247" i="2"/>
  <c r="BX247" i="2"/>
  <c r="BW247" i="2"/>
  <c r="BV247" i="2"/>
  <c r="BU247" i="2"/>
  <c r="BT247" i="2"/>
  <c r="BS247" i="2"/>
  <c r="BR247" i="2"/>
  <c r="BQ247" i="2"/>
  <c r="BP247" i="2"/>
  <c r="BN247" i="2"/>
  <c r="BO247" i="2" s="1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N247" i="2"/>
  <c r="AO247" i="2" s="1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N247" i="2"/>
  <c r="O247" i="2" s="1"/>
  <c r="M247" i="2"/>
  <c r="L247" i="2"/>
  <c r="K247" i="2"/>
  <c r="J247" i="2"/>
  <c r="I247" i="2"/>
  <c r="H247" i="2"/>
  <c r="G247" i="2"/>
  <c r="F247" i="2"/>
  <c r="E247" i="2"/>
  <c r="D247" i="2"/>
  <c r="C247" i="2"/>
  <c r="FI246" i="2"/>
  <c r="FO246" i="2" s="1"/>
  <c r="FH246" i="2"/>
  <c r="FG246" i="2"/>
  <c r="FF246" i="2"/>
  <c r="FE246" i="2"/>
  <c r="FD246" i="2"/>
  <c r="FC246" i="2"/>
  <c r="FB246" i="2"/>
  <c r="FA246" i="2"/>
  <c r="EZ246" i="2"/>
  <c r="EY246" i="2"/>
  <c r="EX246" i="2"/>
  <c r="EW246" i="2"/>
  <c r="EV246" i="2"/>
  <c r="EU246" i="2"/>
  <c r="ET246" i="2"/>
  <c r="ES246" i="2"/>
  <c r="ER246" i="2"/>
  <c r="EQ246" i="2"/>
  <c r="EP246" i="2"/>
  <c r="EN246" i="2"/>
  <c r="EO246" i="2" s="1"/>
  <c r="EM246" i="2"/>
  <c r="EL246" i="2"/>
  <c r="EK246" i="2"/>
  <c r="EJ246" i="2"/>
  <c r="EI246" i="2"/>
  <c r="EH246" i="2"/>
  <c r="EG246" i="2"/>
  <c r="EF246" i="2"/>
  <c r="EE246" i="2"/>
  <c r="ED246" i="2"/>
  <c r="EC246" i="2"/>
  <c r="EA246" i="2"/>
  <c r="EB246" i="2" s="1"/>
  <c r="DZ246" i="2"/>
  <c r="DY246" i="2"/>
  <c r="DX246" i="2"/>
  <c r="DW246" i="2"/>
  <c r="DV246" i="2"/>
  <c r="DU246" i="2"/>
  <c r="DT246" i="2"/>
  <c r="DS246" i="2"/>
  <c r="DR246" i="2"/>
  <c r="DQ246" i="2"/>
  <c r="DP246" i="2"/>
  <c r="DO246" i="2"/>
  <c r="DN246" i="2"/>
  <c r="DM246" i="2"/>
  <c r="DL246" i="2"/>
  <c r="DK246" i="2"/>
  <c r="DJ246" i="2"/>
  <c r="DI246" i="2"/>
  <c r="DH246" i="2"/>
  <c r="DG246" i="2"/>
  <c r="DF246" i="2"/>
  <c r="DE246" i="2"/>
  <c r="DD246" i="2"/>
  <c r="DC246" i="2"/>
  <c r="DA246" i="2"/>
  <c r="DB246" i="2" s="1"/>
  <c r="CZ246" i="2"/>
  <c r="CY246" i="2"/>
  <c r="CX246" i="2"/>
  <c r="CW246" i="2"/>
  <c r="CV246" i="2"/>
  <c r="CU246" i="2"/>
  <c r="CT246" i="2"/>
  <c r="CS246" i="2"/>
  <c r="CR246" i="2"/>
  <c r="CQ246" i="2"/>
  <c r="CP246" i="2"/>
  <c r="CN246" i="2"/>
  <c r="CO246" i="2" s="1"/>
  <c r="CM246" i="2"/>
  <c r="CL246" i="2"/>
  <c r="CK246" i="2"/>
  <c r="CJ246" i="2"/>
  <c r="CI246" i="2"/>
  <c r="CH246" i="2"/>
  <c r="CG246" i="2"/>
  <c r="CF246" i="2"/>
  <c r="CE246" i="2"/>
  <c r="CD246" i="2"/>
  <c r="CC246" i="2"/>
  <c r="CB246" i="2"/>
  <c r="CA246" i="2"/>
  <c r="BZ246" i="2"/>
  <c r="BY246" i="2"/>
  <c r="BX246" i="2"/>
  <c r="BW246" i="2"/>
  <c r="BV246" i="2"/>
  <c r="BU246" i="2"/>
  <c r="BT246" i="2"/>
  <c r="BS246" i="2"/>
  <c r="BR246" i="2"/>
  <c r="BQ246" i="2"/>
  <c r="BP246" i="2"/>
  <c r="BN246" i="2"/>
  <c r="BO246" i="2" s="1"/>
  <c r="BM246" i="2"/>
  <c r="BL246" i="2"/>
  <c r="BK246" i="2"/>
  <c r="BJ246" i="2"/>
  <c r="BI246" i="2"/>
  <c r="BH246" i="2"/>
  <c r="BG246" i="2"/>
  <c r="BF246" i="2"/>
  <c r="BE246" i="2"/>
  <c r="BD246" i="2"/>
  <c r="BC246" i="2"/>
  <c r="BA246" i="2"/>
  <c r="BB246" i="2" s="1"/>
  <c r="AZ246" i="2"/>
  <c r="AY246" i="2"/>
  <c r="AX246" i="2"/>
  <c r="AW246" i="2"/>
  <c r="AV246" i="2"/>
  <c r="AU246" i="2"/>
  <c r="AT246" i="2"/>
  <c r="AS246" i="2"/>
  <c r="AR246" i="2"/>
  <c r="AQ246" i="2"/>
  <c r="AP246" i="2"/>
  <c r="AN246" i="2"/>
  <c r="AO246" i="2" s="1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N246" i="2"/>
  <c r="O246" i="2" s="1"/>
  <c r="M246" i="2"/>
  <c r="L246" i="2"/>
  <c r="K246" i="2"/>
  <c r="J246" i="2"/>
  <c r="I246" i="2"/>
  <c r="H246" i="2"/>
  <c r="G246" i="2"/>
  <c r="F246" i="2"/>
  <c r="E246" i="2"/>
  <c r="D246" i="2"/>
  <c r="C246" i="2"/>
  <c r="FI245" i="2"/>
  <c r="FO245" i="2" s="1"/>
  <c r="FH245" i="2"/>
  <c r="FG245" i="2"/>
  <c r="FF245" i="2"/>
  <c r="FE245" i="2"/>
  <c r="FD245" i="2"/>
  <c r="FC245" i="2"/>
  <c r="FB245" i="2"/>
  <c r="FA245" i="2"/>
  <c r="EZ245" i="2"/>
  <c r="EY245" i="2"/>
  <c r="EX245" i="2"/>
  <c r="EW245" i="2"/>
  <c r="EV245" i="2"/>
  <c r="EU245" i="2"/>
  <c r="ET245" i="2"/>
  <c r="ES245" i="2"/>
  <c r="ER245" i="2"/>
  <c r="EQ245" i="2"/>
  <c r="EP245" i="2"/>
  <c r="EN245" i="2"/>
  <c r="EO245" i="2" s="1"/>
  <c r="EM245" i="2"/>
  <c r="EL245" i="2"/>
  <c r="EK245" i="2"/>
  <c r="EJ245" i="2"/>
  <c r="EI245" i="2"/>
  <c r="EH245" i="2"/>
  <c r="EG245" i="2"/>
  <c r="EF245" i="2"/>
  <c r="EE245" i="2"/>
  <c r="ED245" i="2"/>
  <c r="EC245" i="2"/>
  <c r="EB245" i="2"/>
  <c r="EA245" i="2"/>
  <c r="DZ245" i="2"/>
  <c r="DY245" i="2"/>
  <c r="DX245" i="2"/>
  <c r="DW245" i="2"/>
  <c r="DV245" i="2"/>
  <c r="DU245" i="2"/>
  <c r="DT245" i="2"/>
  <c r="DS245" i="2"/>
  <c r="DR245" i="2"/>
  <c r="DQ245" i="2"/>
  <c r="DP245" i="2"/>
  <c r="DN245" i="2"/>
  <c r="DO245" i="2" s="1"/>
  <c r="DM245" i="2"/>
  <c r="DL245" i="2"/>
  <c r="DK245" i="2"/>
  <c r="DJ245" i="2"/>
  <c r="DI245" i="2"/>
  <c r="DH245" i="2"/>
  <c r="DG245" i="2"/>
  <c r="DF245" i="2"/>
  <c r="DE245" i="2"/>
  <c r="DD245" i="2"/>
  <c r="DC245" i="2"/>
  <c r="DA245" i="2"/>
  <c r="DB245" i="2" s="1"/>
  <c r="CZ245" i="2"/>
  <c r="CY245" i="2"/>
  <c r="CX245" i="2"/>
  <c r="CW245" i="2"/>
  <c r="CV245" i="2"/>
  <c r="CU245" i="2"/>
  <c r="CT245" i="2"/>
  <c r="CS245" i="2"/>
  <c r="CR245" i="2"/>
  <c r="CQ245" i="2"/>
  <c r="CP245" i="2"/>
  <c r="CN245" i="2"/>
  <c r="CO245" i="2" s="1"/>
  <c r="CM245" i="2"/>
  <c r="CL245" i="2"/>
  <c r="CK245" i="2"/>
  <c r="CJ245" i="2"/>
  <c r="CI245" i="2"/>
  <c r="CH245" i="2"/>
  <c r="CG245" i="2"/>
  <c r="CF245" i="2"/>
  <c r="CE245" i="2"/>
  <c r="CD245" i="2"/>
  <c r="CC245" i="2"/>
  <c r="CB245" i="2"/>
  <c r="CA245" i="2"/>
  <c r="BZ245" i="2"/>
  <c r="BY245" i="2"/>
  <c r="BX245" i="2"/>
  <c r="BW245" i="2"/>
  <c r="BV245" i="2"/>
  <c r="BU245" i="2"/>
  <c r="BT245" i="2"/>
  <c r="BS245" i="2"/>
  <c r="BR245" i="2"/>
  <c r="BQ245" i="2"/>
  <c r="BP245" i="2"/>
  <c r="BO245" i="2"/>
  <c r="BN245" i="2"/>
  <c r="BM245" i="2"/>
  <c r="BL245" i="2"/>
  <c r="BK245" i="2"/>
  <c r="BJ245" i="2"/>
  <c r="BI245" i="2"/>
  <c r="BH245" i="2"/>
  <c r="BG245" i="2"/>
  <c r="BF245" i="2"/>
  <c r="BE245" i="2"/>
  <c r="BD245" i="2"/>
  <c r="BC245" i="2"/>
  <c r="BA245" i="2"/>
  <c r="BB245" i="2" s="1"/>
  <c r="AZ245" i="2"/>
  <c r="AY245" i="2"/>
  <c r="AX245" i="2"/>
  <c r="AW245" i="2"/>
  <c r="AV245" i="2"/>
  <c r="AU245" i="2"/>
  <c r="AT245" i="2"/>
  <c r="AS245" i="2"/>
  <c r="AR245" i="2"/>
  <c r="AQ245" i="2"/>
  <c r="AP245" i="2"/>
  <c r="AN245" i="2"/>
  <c r="AO245" i="2" s="1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N245" i="2"/>
  <c r="O245" i="2" s="1"/>
  <c r="M245" i="2"/>
  <c r="L245" i="2"/>
  <c r="K245" i="2"/>
  <c r="J245" i="2"/>
  <c r="I245" i="2"/>
  <c r="H245" i="2"/>
  <c r="G245" i="2"/>
  <c r="F245" i="2"/>
  <c r="E245" i="2"/>
  <c r="D245" i="2"/>
  <c r="C245" i="2"/>
  <c r="FO244" i="2"/>
  <c r="FI244" i="2"/>
  <c r="FH244" i="2"/>
  <c r="FG244" i="2"/>
  <c r="FF244" i="2"/>
  <c r="FE244" i="2"/>
  <c r="FD244" i="2"/>
  <c r="FC244" i="2"/>
  <c r="FA244" i="2"/>
  <c r="FB244" i="2" s="1"/>
  <c r="EZ244" i="2"/>
  <c r="EY244" i="2"/>
  <c r="EX244" i="2"/>
  <c r="EW244" i="2"/>
  <c r="EV244" i="2"/>
  <c r="EU244" i="2"/>
  <c r="ET244" i="2"/>
  <c r="ES244" i="2"/>
  <c r="ER244" i="2"/>
  <c r="EQ244" i="2"/>
  <c r="EP244" i="2"/>
  <c r="EN244" i="2"/>
  <c r="EO244" i="2" s="1"/>
  <c r="EM244" i="2"/>
  <c r="EL244" i="2"/>
  <c r="EK244" i="2"/>
  <c r="EJ244" i="2"/>
  <c r="EI244" i="2"/>
  <c r="EH244" i="2"/>
  <c r="EG244" i="2"/>
  <c r="EF244" i="2"/>
  <c r="EE244" i="2"/>
  <c r="ED244" i="2"/>
  <c r="EC244" i="2"/>
  <c r="EA244" i="2"/>
  <c r="EB244" i="2" s="1"/>
  <c r="DZ244" i="2"/>
  <c r="DY244" i="2"/>
  <c r="DX244" i="2"/>
  <c r="DW244" i="2"/>
  <c r="DV244" i="2"/>
  <c r="DU244" i="2"/>
  <c r="DT244" i="2"/>
  <c r="DS244" i="2"/>
  <c r="DR244" i="2"/>
  <c r="DQ244" i="2"/>
  <c r="DP244" i="2"/>
  <c r="DN244" i="2"/>
  <c r="DO244" i="2" s="1"/>
  <c r="DM244" i="2"/>
  <c r="DL244" i="2"/>
  <c r="DK244" i="2"/>
  <c r="DJ244" i="2"/>
  <c r="DI244" i="2"/>
  <c r="DH244" i="2"/>
  <c r="DG244" i="2"/>
  <c r="DF244" i="2"/>
  <c r="DE244" i="2"/>
  <c r="DD244" i="2"/>
  <c r="DC244" i="2"/>
  <c r="DA244" i="2"/>
  <c r="DB244" i="2" s="1"/>
  <c r="CZ244" i="2"/>
  <c r="CY244" i="2"/>
  <c r="CX244" i="2"/>
  <c r="CW244" i="2"/>
  <c r="CV244" i="2"/>
  <c r="CU244" i="2"/>
  <c r="CT244" i="2"/>
  <c r="CS244" i="2"/>
  <c r="CR244" i="2"/>
  <c r="CQ244" i="2"/>
  <c r="CP244" i="2"/>
  <c r="CN244" i="2"/>
  <c r="CO244" i="2" s="1"/>
  <c r="CM244" i="2"/>
  <c r="CL244" i="2"/>
  <c r="CK244" i="2"/>
  <c r="CJ244" i="2"/>
  <c r="CI244" i="2"/>
  <c r="CH244" i="2"/>
  <c r="CG244" i="2"/>
  <c r="CF244" i="2"/>
  <c r="CE244" i="2"/>
  <c r="CD244" i="2"/>
  <c r="CC244" i="2"/>
  <c r="CB244" i="2"/>
  <c r="CA244" i="2"/>
  <c r="BZ244" i="2"/>
  <c r="BY244" i="2"/>
  <c r="BX244" i="2"/>
  <c r="BW244" i="2"/>
  <c r="BV244" i="2"/>
  <c r="BU244" i="2"/>
  <c r="BT244" i="2"/>
  <c r="BS244" i="2"/>
  <c r="BR244" i="2"/>
  <c r="BQ244" i="2"/>
  <c r="BP244" i="2"/>
  <c r="BN244" i="2"/>
  <c r="BO244" i="2" s="1"/>
  <c r="BM244" i="2"/>
  <c r="BL244" i="2"/>
  <c r="BK244" i="2"/>
  <c r="BJ244" i="2"/>
  <c r="BI244" i="2"/>
  <c r="BH244" i="2"/>
  <c r="BG244" i="2"/>
  <c r="BF244" i="2"/>
  <c r="BE244" i="2"/>
  <c r="BD244" i="2"/>
  <c r="BC244" i="2"/>
  <c r="BB244" i="2"/>
  <c r="BA244" i="2"/>
  <c r="AZ244" i="2"/>
  <c r="AY244" i="2"/>
  <c r="AX244" i="2"/>
  <c r="AW244" i="2"/>
  <c r="AV244" i="2"/>
  <c r="AU244" i="2"/>
  <c r="AT244" i="2"/>
  <c r="AS244" i="2"/>
  <c r="AR244" i="2"/>
  <c r="AQ244" i="2"/>
  <c r="AP244" i="2"/>
  <c r="AN244" i="2"/>
  <c r="AO244" i="2" s="1"/>
  <c r="AM244" i="2"/>
  <c r="AL244" i="2"/>
  <c r="AK244" i="2"/>
  <c r="AJ244" i="2"/>
  <c r="AI244" i="2"/>
  <c r="AH244" i="2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FI243" i="2"/>
  <c r="FO243" i="2" s="1"/>
  <c r="FH243" i="2"/>
  <c r="FG243" i="2"/>
  <c r="FF243" i="2"/>
  <c r="FE243" i="2"/>
  <c r="FD243" i="2"/>
  <c r="FC243" i="2"/>
  <c r="FA243" i="2"/>
  <c r="FB243" i="2" s="1"/>
  <c r="EZ243" i="2"/>
  <c r="EY243" i="2"/>
  <c r="EX243" i="2"/>
  <c r="EW243" i="2"/>
  <c r="EV243" i="2"/>
  <c r="EU243" i="2"/>
  <c r="ET243" i="2"/>
  <c r="ES243" i="2"/>
  <c r="ER243" i="2"/>
  <c r="EQ243" i="2"/>
  <c r="EP243" i="2"/>
  <c r="EN243" i="2"/>
  <c r="EO243" i="2" s="1"/>
  <c r="EM243" i="2"/>
  <c r="EL243" i="2"/>
  <c r="EK243" i="2"/>
  <c r="EJ243" i="2"/>
  <c r="EI243" i="2"/>
  <c r="EH243" i="2"/>
  <c r="EG243" i="2"/>
  <c r="EF243" i="2"/>
  <c r="EE243" i="2"/>
  <c r="ED243" i="2"/>
  <c r="EC243" i="2"/>
  <c r="EB243" i="2"/>
  <c r="EA243" i="2"/>
  <c r="DZ243" i="2"/>
  <c r="DY243" i="2"/>
  <c r="DX243" i="2"/>
  <c r="DW243" i="2"/>
  <c r="DV243" i="2"/>
  <c r="DU243" i="2"/>
  <c r="DT243" i="2"/>
  <c r="DS243" i="2"/>
  <c r="DR243" i="2"/>
  <c r="DQ243" i="2"/>
  <c r="DP243" i="2"/>
  <c r="DN243" i="2"/>
  <c r="DO243" i="2" s="1"/>
  <c r="DM243" i="2"/>
  <c r="DL243" i="2"/>
  <c r="DK243" i="2"/>
  <c r="DJ243" i="2"/>
  <c r="DI243" i="2"/>
  <c r="DH243" i="2"/>
  <c r="DG243" i="2"/>
  <c r="DF243" i="2"/>
  <c r="DE243" i="2"/>
  <c r="DD243" i="2"/>
  <c r="DC243" i="2"/>
  <c r="DA243" i="2"/>
  <c r="DB243" i="2" s="1"/>
  <c r="CZ243" i="2"/>
  <c r="CY243" i="2"/>
  <c r="CX243" i="2"/>
  <c r="CW243" i="2"/>
  <c r="CV243" i="2"/>
  <c r="CU243" i="2"/>
  <c r="CT243" i="2"/>
  <c r="CS243" i="2"/>
  <c r="CR243" i="2"/>
  <c r="CQ243" i="2"/>
  <c r="CP243" i="2"/>
  <c r="CN243" i="2"/>
  <c r="CO243" i="2" s="1"/>
  <c r="CM243" i="2"/>
  <c r="CL243" i="2"/>
  <c r="CK243" i="2"/>
  <c r="CJ243" i="2"/>
  <c r="CI243" i="2"/>
  <c r="CH243" i="2"/>
  <c r="CG243" i="2"/>
  <c r="CF243" i="2"/>
  <c r="CE243" i="2"/>
  <c r="CD243" i="2"/>
  <c r="CC243" i="2"/>
  <c r="CB243" i="2"/>
  <c r="CA243" i="2"/>
  <c r="BZ243" i="2"/>
  <c r="BY243" i="2"/>
  <c r="BX243" i="2"/>
  <c r="BW243" i="2"/>
  <c r="BV243" i="2"/>
  <c r="BU243" i="2"/>
  <c r="BT243" i="2"/>
  <c r="BS243" i="2"/>
  <c r="BR243" i="2"/>
  <c r="BQ243" i="2"/>
  <c r="BP243" i="2"/>
  <c r="BN243" i="2"/>
  <c r="BO243" i="2" s="1"/>
  <c r="BM243" i="2"/>
  <c r="BL243" i="2"/>
  <c r="BK243" i="2"/>
  <c r="BJ243" i="2"/>
  <c r="BI243" i="2"/>
  <c r="BH243" i="2"/>
  <c r="BG243" i="2"/>
  <c r="BF243" i="2"/>
  <c r="BE243" i="2"/>
  <c r="BD243" i="2"/>
  <c r="BC243" i="2"/>
  <c r="BA243" i="2"/>
  <c r="BB243" i="2" s="1"/>
  <c r="AZ243" i="2"/>
  <c r="AY243" i="2"/>
  <c r="AX243" i="2"/>
  <c r="AW243" i="2"/>
  <c r="AV243" i="2"/>
  <c r="AU243" i="2"/>
  <c r="AT243" i="2"/>
  <c r="AS243" i="2"/>
  <c r="AR243" i="2"/>
  <c r="AQ243" i="2"/>
  <c r="AP243" i="2"/>
  <c r="AN243" i="2"/>
  <c r="AO243" i="2" s="1"/>
  <c r="AM243" i="2"/>
  <c r="AL243" i="2"/>
  <c r="AK243" i="2"/>
  <c r="AJ243" i="2"/>
  <c r="AI243" i="2"/>
  <c r="AH243" i="2"/>
  <c r="AG243" i="2"/>
  <c r="AF243" i="2"/>
  <c r="AE243" i="2"/>
  <c r="AD243" i="2"/>
  <c r="AC243" i="2"/>
  <c r="AA243" i="2"/>
  <c r="AB243" i="2" s="1"/>
  <c r="Z243" i="2"/>
  <c r="Y243" i="2"/>
  <c r="X243" i="2"/>
  <c r="W243" i="2"/>
  <c r="V243" i="2"/>
  <c r="U243" i="2"/>
  <c r="T243" i="2"/>
  <c r="S243" i="2"/>
  <c r="R243" i="2"/>
  <c r="Q243" i="2"/>
  <c r="P243" i="2"/>
  <c r="N243" i="2"/>
  <c r="O243" i="2" s="1"/>
  <c r="M243" i="2"/>
  <c r="L243" i="2"/>
  <c r="K243" i="2"/>
  <c r="J243" i="2"/>
  <c r="I243" i="2"/>
  <c r="H243" i="2"/>
  <c r="G243" i="2"/>
  <c r="F243" i="2"/>
  <c r="E243" i="2"/>
  <c r="D243" i="2"/>
  <c r="C243" i="2"/>
  <c r="FI242" i="2"/>
  <c r="FO242" i="2" s="1"/>
  <c r="FH242" i="2"/>
  <c r="FG242" i="2"/>
  <c r="FF242" i="2"/>
  <c r="FE242" i="2"/>
  <c r="FD242" i="2"/>
  <c r="FC242" i="2"/>
  <c r="FA242" i="2"/>
  <c r="FB242" i="2" s="1"/>
  <c r="EZ242" i="2"/>
  <c r="EY242" i="2"/>
  <c r="EX242" i="2"/>
  <c r="EW242" i="2"/>
  <c r="EV242" i="2"/>
  <c r="EU242" i="2"/>
  <c r="ET242" i="2"/>
  <c r="ES242" i="2"/>
  <c r="ER242" i="2"/>
  <c r="EQ242" i="2"/>
  <c r="EP242" i="2"/>
  <c r="EO242" i="2"/>
  <c r="EN242" i="2"/>
  <c r="EM242" i="2"/>
  <c r="EL242" i="2"/>
  <c r="EK242" i="2"/>
  <c r="EJ242" i="2"/>
  <c r="EI242" i="2"/>
  <c r="EH242" i="2"/>
  <c r="EG242" i="2"/>
  <c r="EF242" i="2"/>
  <c r="EE242" i="2"/>
  <c r="ED242" i="2"/>
  <c r="EC242" i="2"/>
  <c r="EA242" i="2"/>
  <c r="EB242" i="2" s="1"/>
  <c r="DZ242" i="2"/>
  <c r="DY242" i="2"/>
  <c r="DX242" i="2"/>
  <c r="DW242" i="2"/>
  <c r="DV242" i="2"/>
  <c r="DU242" i="2"/>
  <c r="DT242" i="2"/>
  <c r="DS242" i="2"/>
  <c r="DR242" i="2"/>
  <c r="DQ242" i="2"/>
  <c r="DP242" i="2"/>
  <c r="DN242" i="2"/>
  <c r="DO242" i="2" s="1"/>
  <c r="DM242" i="2"/>
  <c r="DL242" i="2"/>
  <c r="DK242" i="2"/>
  <c r="DJ242" i="2"/>
  <c r="DI242" i="2"/>
  <c r="DH242" i="2"/>
  <c r="DG242" i="2"/>
  <c r="DF242" i="2"/>
  <c r="DE242" i="2"/>
  <c r="DD242" i="2"/>
  <c r="DC242" i="2"/>
  <c r="DA242" i="2"/>
  <c r="DB242" i="2" s="1"/>
  <c r="CZ242" i="2"/>
  <c r="CY242" i="2"/>
  <c r="CX242" i="2"/>
  <c r="CW242" i="2"/>
  <c r="CV242" i="2"/>
  <c r="CU242" i="2"/>
  <c r="CT242" i="2"/>
  <c r="CS242" i="2"/>
  <c r="CR242" i="2"/>
  <c r="CQ242" i="2"/>
  <c r="CP242" i="2"/>
  <c r="CN242" i="2"/>
  <c r="CO242" i="2" s="1"/>
  <c r="CM242" i="2"/>
  <c r="CL242" i="2"/>
  <c r="CK242" i="2"/>
  <c r="CJ242" i="2"/>
  <c r="CI242" i="2"/>
  <c r="CH242" i="2"/>
  <c r="CG242" i="2"/>
  <c r="CF242" i="2"/>
  <c r="CE242" i="2"/>
  <c r="CD242" i="2"/>
  <c r="CC242" i="2"/>
  <c r="CB242" i="2"/>
  <c r="CA242" i="2"/>
  <c r="BZ242" i="2"/>
  <c r="BY242" i="2"/>
  <c r="BX242" i="2"/>
  <c r="BW242" i="2"/>
  <c r="BV242" i="2"/>
  <c r="BU242" i="2"/>
  <c r="BT242" i="2"/>
  <c r="BS242" i="2"/>
  <c r="BR242" i="2"/>
  <c r="BQ242" i="2"/>
  <c r="BP242" i="2"/>
  <c r="BN242" i="2"/>
  <c r="BO242" i="2" s="1"/>
  <c r="BM242" i="2"/>
  <c r="BL242" i="2"/>
  <c r="BK242" i="2"/>
  <c r="BJ242" i="2"/>
  <c r="BI242" i="2"/>
  <c r="BH242" i="2"/>
  <c r="BG242" i="2"/>
  <c r="BF242" i="2"/>
  <c r="BE242" i="2"/>
  <c r="BD242" i="2"/>
  <c r="BC242" i="2"/>
  <c r="BA242" i="2"/>
  <c r="BB242" i="2" s="1"/>
  <c r="AZ242" i="2"/>
  <c r="AY242" i="2"/>
  <c r="AX242" i="2"/>
  <c r="AW242" i="2"/>
  <c r="AV242" i="2"/>
  <c r="AU242" i="2"/>
  <c r="AT242" i="2"/>
  <c r="AS242" i="2"/>
  <c r="AR242" i="2"/>
  <c r="AQ242" i="2"/>
  <c r="AP242" i="2"/>
  <c r="AN242" i="2"/>
  <c r="AO242" i="2" s="1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N242" i="2"/>
  <c r="O242" i="2" s="1"/>
  <c r="M242" i="2"/>
  <c r="L242" i="2"/>
  <c r="K242" i="2"/>
  <c r="J242" i="2"/>
  <c r="I242" i="2"/>
  <c r="H242" i="2"/>
  <c r="G242" i="2"/>
  <c r="F242" i="2"/>
  <c r="E242" i="2"/>
  <c r="D242" i="2"/>
  <c r="C242" i="2"/>
  <c r="FI241" i="2"/>
  <c r="FO241" i="2" s="1"/>
  <c r="FH241" i="2"/>
  <c r="FG241" i="2"/>
  <c r="FF241" i="2"/>
  <c r="FE241" i="2"/>
  <c r="FD241" i="2"/>
  <c r="FC241" i="2"/>
  <c r="FA241" i="2"/>
  <c r="FB241" i="2" s="1"/>
  <c r="EZ241" i="2"/>
  <c r="EY241" i="2"/>
  <c r="EX241" i="2"/>
  <c r="EW241" i="2"/>
  <c r="EV241" i="2"/>
  <c r="EU241" i="2"/>
  <c r="ET241" i="2"/>
  <c r="ES241" i="2"/>
  <c r="ER241" i="2"/>
  <c r="EQ241" i="2"/>
  <c r="EP241" i="2"/>
  <c r="EN241" i="2"/>
  <c r="EO241" i="2" s="1"/>
  <c r="EM241" i="2"/>
  <c r="EL241" i="2"/>
  <c r="EK241" i="2"/>
  <c r="EJ241" i="2"/>
  <c r="EI241" i="2"/>
  <c r="EH241" i="2"/>
  <c r="EG241" i="2"/>
  <c r="EF241" i="2"/>
  <c r="EE241" i="2"/>
  <c r="ED241" i="2"/>
  <c r="EC241" i="2"/>
  <c r="EA241" i="2"/>
  <c r="EB241" i="2" s="1"/>
  <c r="DZ241" i="2"/>
  <c r="DY241" i="2"/>
  <c r="DX241" i="2"/>
  <c r="DW241" i="2"/>
  <c r="DV241" i="2"/>
  <c r="DU241" i="2"/>
  <c r="DT241" i="2"/>
  <c r="DS241" i="2"/>
  <c r="DR241" i="2"/>
  <c r="DQ241" i="2"/>
  <c r="DP241" i="2"/>
  <c r="DO241" i="2"/>
  <c r="DN241" i="2"/>
  <c r="DM241" i="2"/>
  <c r="DL241" i="2"/>
  <c r="DK241" i="2"/>
  <c r="DJ241" i="2"/>
  <c r="DI241" i="2"/>
  <c r="DH241" i="2"/>
  <c r="DG241" i="2"/>
  <c r="DF241" i="2"/>
  <c r="DE241" i="2"/>
  <c r="DD241" i="2"/>
  <c r="DC241" i="2"/>
  <c r="DA241" i="2"/>
  <c r="DB241" i="2" s="1"/>
  <c r="CZ241" i="2"/>
  <c r="CY241" i="2"/>
  <c r="CX241" i="2"/>
  <c r="CW241" i="2"/>
  <c r="CV241" i="2"/>
  <c r="CU241" i="2"/>
  <c r="CT241" i="2"/>
  <c r="CS241" i="2"/>
  <c r="CR241" i="2"/>
  <c r="CQ241" i="2"/>
  <c r="CP241" i="2"/>
  <c r="CO241" i="2"/>
  <c r="CN241" i="2"/>
  <c r="CM241" i="2"/>
  <c r="CL241" i="2"/>
  <c r="CK241" i="2"/>
  <c r="CJ241" i="2"/>
  <c r="CI241" i="2"/>
  <c r="CH241" i="2"/>
  <c r="CG241" i="2"/>
  <c r="CF241" i="2"/>
  <c r="CE241" i="2"/>
  <c r="CD241" i="2"/>
  <c r="CC241" i="2"/>
  <c r="CA241" i="2"/>
  <c r="CB241" i="2" s="1"/>
  <c r="BZ241" i="2"/>
  <c r="BY241" i="2"/>
  <c r="BX241" i="2"/>
  <c r="BW241" i="2"/>
  <c r="BV241" i="2"/>
  <c r="BU241" i="2"/>
  <c r="BT241" i="2"/>
  <c r="BS241" i="2"/>
  <c r="BR241" i="2"/>
  <c r="BQ241" i="2"/>
  <c r="BP241" i="2"/>
  <c r="BN241" i="2"/>
  <c r="BO241" i="2" s="1"/>
  <c r="BM241" i="2"/>
  <c r="BL241" i="2"/>
  <c r="BK241" i="2"/>
  <c r="BJ241" i="2"/>
  <c r="BI241" i="2"/>
  <c r="BH241" i="2"/>
  <c r="BG241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N241" i="2"/>
  <c r="AO241" i="2" s="1"/>
  <c r="AM241" i="2"/>
  <c r="AL241" i="2"/>
  <c r="AK241" i="2"/>
  <c r="AJ241" i="2"/>
  <c r="AI241" i="2"/>
  <c r="AH241" i="2"/>
  <c r="AG241" i="2"/>
  <c r="AF241" i="2"/>
  <c r="AE241" i="2"/>
  <c r="AD241" i="2"/>
  <c r="AC241" i="2"/>
  <c r="AA241" i="2"/>
  <c r="AB241" i="2" s="1"/>
  <c r="Z241" i="2"/>
  <c r="Y241" i="2"/>
  <c r="X241" i="2"/>
  <c r="W241" i="2"/>
  <c r="V241" i="2"/>
  <c r="U241" i="2"/>
  <c r="T241" i="2"/>
  <c r="S241" i="2"/>
  <c r="R241" i="2"/>
  <c r="Q241" i="2"/>
  <c r="P241" i="2"/>
  <c r="N241" i="2"/>
  <c r="O241" i="2" s="1"/>
  <c r="M241" i="2"/>
  <c r="L241" i="2"/>
  <c r="K241" i="2"/>
  <c r="J241" i="2"/>
  <c r="I241" i="2"/>
  <c r="H241" i="2"/>
  <c r="G241" i="2"/>
  <c r="F241" i="2"/>
  <c r="E241" i="2"/>
  <c r="D241" i="2"/>
  <c r="C241" i="2"/>
  <c r="FI240" i="2"/>
  <c r="FO240" i="2" s="1"/>
  <c r="FH240" i="2"/>
  <c r="FG240" i="2"/>
  <c r="FF240" i="2"/>
  <c r="FE240" i="2"/>
  <c r="FD240" i="2"/>
  <c r="FC240" i="2"/>
  <c r="FA240" i="2"/>
  <c r="FB240" i="2" s="1"/>
  <c r="EZ240" i="2"/>
  <c r="EY240" i="2"/>
  <c r="EX240" i="2"/>
  <c r="EW240" i="2"/>
  <c r="EV240" i="2"/>
  <c r="EU240" i="2"/>
  <c r="ET240" i="2"/>
  <c r="ES240" i="2"/>
  <c r="ER240" i="2"/>
  <c r="EQ240" i="2"/>
  <c r="EP240" i="2"/>
  <c r="EN240" i="2"/>
  <c r="EO240" i="2" s="1"/>
  <c r="EM240" i="2"/>
  <c r="EL240" i="2"/>
  <c r="EK240" i="2"/>
  <c r="EJ240" i="2"/>
  <c r="EI240" i="2"/>
  <c r="EH240" i="2"/>
  <c r="EG240" i="2"/>
  <c r="EF240" i="2"/>
  <c r="EE240" i="2"/>
  <c r="ED240" i="2"/>
  <c r="EC240" i="2"/>
  <c r="EA240" i="2"/>
  <c r="EB240" i="2" s="1"/>
  <c r="DZ240" i="2"/>
  <c r="DY240" i="2"/>
  <c r="DX240" i="2"/>
  <c r="DW240" i="2"/>
  <c r="DV240" i="2"/>
  <c r="DU240" i="2"/>
  <c r="DT240" i="2"/>
  <c r="DS240" i="2"/>
  <c r="DR240" i="2"/>
  <c r="DQ240" i="2"/>
  <c r="DP240" i="2"/>
  <c r="DN240" i="2"/>
  <c r="DO240" i="2" s="1"/>
  <c r="DM240" i="2"/>
  <c r="DL240" i="2"/>
  <c r="DK240" i="2"/>
  <c r="DJ240" i="2"/>
  <c r="DI240" i="2"/>
  <c r="DH240" i="2"/>
  <c r="DG240" i="2"/>
  <c r="DF240" i="2"/>
  <c r="DE240" i="2"/>
  <c r="DD240" i="2"/>
  <c r="DC240" i="2"/>
  <c r="DA240" i="2"/>
  <c r="DB240" i="2" s="1"/>
  <c r="CZ240" i="2"/>
  <c r="CY240" i="2"/>
  <c r="CX240" i="2"/>
  <c r="CW240" i="2"/>
  <c r="CV240" i="2"/>
  <c r="CU240" i="2"/>
  <c r="CT240" i="2"/>
  <c r="CS240" i="2"/>
  <c r="CR240" i="2"/>
  <c r="CQ240" i="2"/>
  <c r="CP240" i="2"/>
  <c r="CN240" i="2"/>
  <c r="CO240" i="2" s="1"/>
  <c r="CM240" i="2"/>
  <c r="CL240" i="2"/>
  <c r="CK240" i="2"/>
  <c r="CJ240" i="2"/>
  <c r="CI240" i="2"/>
  <c r="CH240" i="2"/>
  <c r="CG240" i="2"/>
  <c r="CF240" i="2"/>
  <c r="CE240" i="2"/>
  <c r="CD240" i="2"/>
  <c r="CC240" i="2"/>
  <c r="CB240" i="2"/>
  <c r="CA240" i="2"/>
  <c r="BZ240" i="2"/>
  <c r="BY240" i="2"/>
  <c r="BX240" i="2"/>
  <c r="BW240" i="2"/>
  <c r="BV240" i="2"/>
  <c r="BU240" i="2"/>
  <c r="BT240" i="2"/>
  <c r="BS240" i="2"/>
  <c r="BR240" i="2"/>
  <c r="BQ240" i="2"/>
  <c r="BP240" i="2"/>
  <c r="BN240" i="2"/>
  <c r="BO240" i="2" s="1"/>
  <c r="BM240" i="2"/>
  <c r="BL240" i="2"/>
  <c r="BK240" i="2"/>
  <c r="BJ240" i="2"/>
  <c r="BI240" i="2"/>
  <c r="BH240" i="2"/>
  <c r="BG240" i="2"/>
  <c r="BF240" i="2"/>
  <c r="BE240" i="2"/>
  <c r="BD240" i="2"/>
  <c r="BC240" i="2"/>
  <c r="BA240" i="2"/>
  <c r="BB240" i="2" s="1"/>
  <c r="AZ240" i="2"/>
  <c r="AY240" i="2"/>
  <c r="AX240" i="2"/>
  <c r="AW240" i="2"/>
  <c r="AV240" i="2"/>
  <c r="AU240" i="2"/>
  <c r="AT240" i="2"/>
  <c r="AS240" i="2"/>
  <c r="AR240" i="2"/>
  <c r="AQ240" i="2"/>
  <c r="AP240" i="2"/>
  <c r="AN240" i="2"/>
  <c r="AO240" i="2" s="1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N240" i="2"/>
  <c r="O240" i="2" s="1"/>
  <c r="M240" i="2"/>
  <c r="L240" i="2"/>
  <c r="K240" i="2"/>
  <c r="J240" i="2"/>
  <c r="I240" i="2"/>
  <c r="H240" i="2"/>
  <c r="G240" i="2"/>
  <c r="F240" i="2"/>
  <c r="E240" i="2"/>
  <c r="D240" i="2"/>
  <c r="C240" i="2"/>
  <c r="FO239" i="2"/>
  <c r="FI239" i="2"/>
  <c r="FH239" i="2"/>
  <c r="FG239" i="2"/>
  <c r="FF239" i="2"/>
  <c r="FE239" i="2"/>
  <c r="FD239" i="2"/>
  <c r="FC239" i="2"/>
  <c r="FA239" i="2"/>
  <c r="FB239" i="2" s="1"/>
  <c r="EZ239" i="2"/>
  <c r="EY239" i="2"/>
  <c r="EX239" i="2"/>
  <c r="EW239" i="2"/>
  <c r="EV239" i="2"/>
  <c r="EU239" i="2"/>
  <c r="ET239" i="2"/>
  <c r="ES239" i="2"/>
  <c r="ER239" i="2"/>
  <c r="EQ239" i="2"/>
  <c r="EP239" i="2"/>
  <c r="EN239" i="2"/>
  <c r="EO239" i="2" s="1"/>
  <c r="EM239" i="2"/>
  <c r="EL239" i="2"/>
  <c r="EK239" i="2"/>
  <c r="EJ239" i="2"/>
  <c r="EI239" i="2"/>
  <c r="EH239" i="2"/>
  <c r="EG239" i="2"/>
  <c r="EF239" i="2"/>
  <c r="EE239" i="2"/>
  <c r="ED239" i="2"/>
  <c r="EC239" i="2"/>
  <c r="EB239" i="2"/>
  <c r="EA239" i="2"/>
  <c r="DZ239" i="2"/>
  <c r="DY239" i="2"/>
  <c r="DX239" i="2"/>
  <c r="DW239" i="2"/>
  <c r="DV239" i="2"/>
  <c r="DU239" i="2"/>
  <c r="DT239" i="2"/>
  <c r="DS239" i="2"/>
  <c r="DR239" i="2"/>
  <c r="DQ239" i="2"/>
  <c r="DP239" i="2"/>
  <c r="DN239" i="2"/>
  <c r="DO239" i="2" s="1"/>
  <c r="DM239" i="2"/>
  <c r="DL239" i="2"/>
  <c r="DK239" i="2"/>
  <c r="DJ239" i="2"/>
  <c r="DI239" i="2"/>
  <c r="DH239" i="2"/>
  <c r="DG239" i="2"/>
  <c r="DF239" i="2"/>
  <c r="DE239" i="2"/>
  <c r="DD239" i="2"/>
  <c r="DC239" i="2"/>
  <c r="DA239" i="2"/>
  <c r="DB239" i="2" s="1"/>
  <c r="CZ239" i="2"/>
  <c r="CY239" i="2"/>
  <c r="CX239" i="2"/>
  <c r="CW239" i="2"/>
  <c r="CV239" i="2"/>
  <c r="CU239" i="2"/>
  <c r="CT239" i="2"/>
  <c r="CS239" i="2"/>
  <c r="CR239" i="2"/>
  <c r="CQ239" i="2"/>
  <c r="CP239" i="2"/>
  <c r="CN239" i="2"/>
  <c r="CO239" i="2" s="1"/>
  <c r="CM239" i="2"/>
  <c r="CL239" i="2"/>
  <c r="CK239" i="2"/>
  <c r="CJ239" i="2"/>
  <c r="CI239" i="2"/>
  <c r="CH239" i="2"/>
  <c r="CG239" i="2"/>
  <c r="CF239" i="2"/>
  <c r="CE239" i="2"/>
  <c r="CD239" i="2"/>
  <c r="CC239" i="2"/>
  <c r="CA239" i="2"/>
  <c r="CB239" i="2" s="1"/>
  <c r="BZ239" i="2"/>
  <c r="BY239" i="2"/>
  <c r="BX239" i="2"/>
  <c r="BW239" i="2"/>
  <c r="BV239" i="2"/>
  <c r="BU239" i="2"/>
  <c r="BT239" i="2"/>
  <c r="BS239" i="2"/>
  <c r="BR239" i="2"/>
  <c r="BQ239" i="2"/>
  <c r="BP239" i="2"/>
  <c r="BO239" i="2"/>
  <c r="BN239" i="2"/>
  <c r="BM239" i="2"/>
  <c r="BL239" i="2"/>
  <c r="BK239" i="2"/>
  <c r="BJ239" i="2"/>
  <c r="BI239" i="2"/>
  <c r="BH239" i="2"/>
  <c r="BG239" i="2"/>
  <c r="BF239" i="2"/>
  <c r="BE239" i="2"/>
  <c r="BD239" i="2"/>
  <c r="BC239" i="2"/>
  <c r="BA239" i="2"/>
  <c r="BB239" i="2" s="1"/>
  <c r="AZ239" i="2"/>
  <c r="AY239" i="2"/>
  <c r="AX239" i="2"/>
  <c r="AW239" i="2"/>
  <c r="AV239" i="2"/>
  <c r="AU239" i="2"/>
  <c r="AT239" i="2"/>
  <c r="AS239" i="2"/>
  <c r="AR239" i="2"/>
  <c r="AQ239" i="2"/>
  <c r="AP239" i="2"/>
  <c r="AN239" i="2"/>
  <c r="AO239" i="2" s="1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N239" i="2"/>
  <c r="O239" i="2" s="1"/>
  <c r="M239" i="2"/>
  <c r="L239" i="2"/>
  <c r="K239" i="2"/>
  <c r="J239" i="2"/>
  <c r="I239" i="2"/>
  <c r="H239" i="2"/>
  <c r="G239" i="2"/>
  <c r="F239" i="2"/>
  <c r="E239" i="2"/>
  <c r="D239" i="2"/>
  <c r="C239" i="2"/>
  <c r="FO238" i="2"/>
  <c r="FI238" i="2"/>
  <c r="FH238" i="2"/>
  <c r="FG238" i="2"/>
  <c r="FF238" i="2"/>
  <c r="FE238" i="2"/>
  <c r="FD238" i="2"/>
  <c r="FC238" i="2"/>
  <c r="FA238" i="2"/>
  <c r="FB238" i="2" s="1"/>
  <c r="EZ238" i="2"/>
  <c r="EY238" i="2"/>
  <c r="EX238" i="2"/>
  <c r="EW238" i="2"/>
  <c r="EV238" i="2"/>
  <c r="EU238" i="2"/>
  <c r="ET238" i="2"/>
  <c r="ES238" i="2"/>
  <c r="ER238" i="2"/>
  <c r="EQ238" i="2"/>
  <c r="EP238" i="2"/>
  <c r="EN238" i="2"/>
  <c r="EO238" i="2" s="1"/>
  <c r="EM238" i="2"/>
  <c r="EL238" i="2"/>
  <c r="EK238" i="2"/>
  <c r="EJ238" i="2"/>
  <c r="EI238" i="2"/>
  <c r="EH238" i="2"/>
  <c r="EG238" i="2"/>
  <c r="EF238" i="2"/>
  <c r="EE238" i="2"/>
  <c r="ED238" i="2"/>
  <c r="EC238" i="2"/>
  <c r="EA238" i="2"/>
  <c r="EB238" i="2" s="1"/>
  <c r="DZ238" i="2"/>
  <c r="DY238" i="2"/>
  <c r="DX238" i="2"/>
  <c r="DW238" i="2"/>
  <c r="DV238" i="2"/>
  <c r="DU238" i="2"/>
  <c r="DT238" i="2"/>
  <c r="DS238" i="2"/>
  <c r="DR238" i="2"/>
  <c r="DQ238" i="2"/>
  <c r="DP238" i="2"/>
  <c r="DO238" i="2"/>
  <c r="DN238" i="2"/>
  <c r="DM238" i="2"/>
  <c r="DL238" i="2"/>
  <c r="DK238" i="2"/>
  <c r="DJ238" i="2"/>
  <c r="DI238" i="2"/>
  <c r="DH238" i="2"/>
  <c r="DG238" i="2"/>
  <c r="DF238" i="2"/>
  <c r="DE238" i="2"/>
  <c r="DD238" i="2"/>
  <c r="DC238" i="2"/>
  <c r="DB238" i="2"/>
  <c r="DA238" i="2"/>
  <c r="CZ238" i="2"/>
  <c r="CY238" i="2"/>
  <c r="CX238" i="2"/>
  <c r="CW238" i="2"/>
  <c r="CV238" i="2"/>
  <c r="CU238" i="2"/>
  <c r="CT238" i="2"/>
  <c r="CS238" i="2"/>
  <c r="CR238" i="2"/>
  <c r="CQ238" i="2"/>
  <c r="CP238" i="2"/>
  <c r="CN238" i="2"/>
  <c r="CO238" i="2" s="1"/>
  <c r="CM238" i="2"/>
  <c r="CL238" i="2"/>
  <c r="CK238" i="2"/>
  <c r="CJ238" i="2"/>
  <c r="CI238" i="2"/>
  <c r="CH238" i="2"/>
  <c r="CG238" i="2"/>
  <c r="CF238" i="2"/>
  <c r="CE238" i="2"/>
  <c r="CD238" i="2"/>
  <c r="CC238" i="2"/>
  <c r="CB238" i="2"/>
  <c r="CA238" i="2"/>
  <c r="BZ238" i="2"/>
  <c r="BY238" i="2"/>
  <c r="BX238" i="2"/>
  <c r="BW238" i="2"/>
  <c r="BV238" i="2"/>
  <c r="BU238" i="2"/>
  <c r="BT238" i="2"/>
  <c r="BS238" i="2"/>
  <c r="BR238" i="2"/>
  <c r="BQ238" i="2"/>
  <c r="BP238" i="2"/>
  <c r="BN238" i="2"/>
  <c r="BO238" i="2" s="1"/>
  <c r="BM238" i="2"/>
  <c r="BL238" i="2"/>
  <c r="BK238" i="2"/>
  <c r="BJ238" i="2"/>
  <c r="BI238" i="2"/>
  <c r="BH238" i="2"/>
  <c r="BG238" i="2"/>
  <c r="BF238" i="2"/>
  <c r="BE238" i="2"/>
  <c r="BD238" i="2"/>
  <c r="BC238" i="2"/>
  <c r="BA238" i="2"/>
  <c r="BB238" i="2" s="1"/>
  <c r="AZ238" i="2"/>
  <c r="AY238" i="2"/>
  <c r="AX238" i="2"/>
  <c r="AW238" i="2"/>
  <c r="AV238" i="2"/>
  <c r="AU238" i="2"/>
  <c r="AT238" i="2"/>
  <c r="AS238" i="2"/>
  <c r="AR238" i="2"/>
  <c r="AQ238" i="2"/>
  <c r="AP238" i="2"/>
  <c r="AN238" i="2"/>
  <c r="AO238" i="2" s="1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N238" i="2"/>
  <c r="O238" i="2" s="1"/>
  <c r="M238" i="2"/>
  <c r="L238" i="2"/>
  <c r="K238" i="2"/>
  <c r="J238" i="2"/>
  <c r="I238" i="2"/>
  <c r="H238" i="2"/>
  <c r="G238" i="2"/>
  <c r="F238" i="2"/>
  <c r="E238" i="2"/>
  <c r="D238" i="2"/>
  <c r="C238" i="2"/>
  <c r="FI237" i="2"/>
  <c r="FO237" i="2" s="1"/>
  <c r="FH237" i="2"/>
  <c r="FG237" i="2"/>
  <c r="FF237" i="2"/>
  <c r="FE237" i="2"/>
  <c r="FD237" i="2"/>
  <c r="FC237" i="2"/>
  <c r="FA237" i="2"/>
  <c r="FB237" i="2" s="1"/>
  <c r="EZ237" i="2"/>
  <c r="EY237" i="2"/>
  <c r="EX237" i="2"/>
  <c r="EW237" i="2"/>
  <c r="EV237" i="2"/>
  <c r="EU237" i="2"/>
  <c r="ET237" i="2"/>
  <c r="ES237" i="2"/>
  <c r="ER237" i="2"/>
  <c r="EQ237" i="2"/>
  <c r="EP237" i="2"/>
  <c r="EN237" i="2"/>
  <c r="EO237" i="2" s="1"/>
  <c r="EM237" i="2"/>
  <c r="EL237" i="2"/>
  <c r="EK237" i="2"/>
  <c r="EJ237" i="2"/>
  <c r="EI237" i="2"/>
  <c r="EH237" i="2"/>
  <c r="EG237" i="2"/>
  <c r="EF237" i="2"/>
  <c r="EE237" i="2"/>
  <c r="ED237" i="2"/>
  <c r="EC237" i="2"/>
  <c r="EB237" i="2"/>
  <c r="EA237" i="2"/>
  <c r="DZ237" i="2"/>
  <c r="DY237" i="2"/>
  <c r="DX237" i="2"/>
  <c r="DW237" i="2"/>
  <c r="DV237" i="2"/>
  <c r="DU237" i="2"/>
  <c r="DT237" i="2"/>
  <c r="DS237" i="2"/>
  <c r="DR237" i="2"/>
  <c r="DQ237" i="2"/>
  <c r="DP237" i="2"/>
  <c r="DN237" i="2"/>
  <c r="DO237" i="2" s="1"/>
  <c r="DM237" i="2"/>
  <c r="DL237" i="2"/>
  <c r="DK237" i="2"/>
  <c r="DJ237" i="2"/>
  <c r="DI237" i="2"/>
  <c r="DH237" i="2"/>
  <c r="DG237" i="2"/>
  <c r="DF237" i="2"/>
  <c r="DE237" i="2"/>
  <c r="DD237" i="2"/>
  <c r="DC237" i="2"/>
  <c r="DA237" i="2"/>
  <c r="DB237" i="2" s="1"/>
  <c r="CZ237" i="2"/>
  <c r="CY237" i="2"/>
  <c r="CX237" i="2"/>
  <c r="CW237" i="2"/>
  <c r="CV237" i="2"/>
  <c r="CU237" i="2"/>
  <c r="CT237" i="2"/>
  <c r="CS237" i="2"/>
  <c r="CR237" i="2"/>
  <c r="CQ237" i="2"/>
  <c r="CP237" i="2"/>
  <c r="CN237" i="2"/>
  <c r="CO237" i="2" s="1"/>
  <c r="CM237" i="2"/>
  <c r="CL237" i="2"/>
  <c r="CK237" i="2"/>
  <c r="CJ237" i="2"/>
  <c r="CI237" i="2"/>
  <c r="CH237" i="2"/>
  <c r="CG237" i="2"/>
  <c r="CF237" i="2"/>
  <c r="CE237" i="2"/>
  <c r="CD237" i="2"/>
  <c r="CC237" i="2"/>
  <c r="CA237" i="2"/>
  <c r="CB237" i="2" s="1"/>
  <c r="BZ237" i="2"/>
  <c r="BY237" i="2"/>
  <c r="BX237" i="2"/>
  <c r="BW237" i="2"/>
  <c r="BV237" i="2"/>
  <c r="BU237" i="2"/>
  <c r="BT237" i="2"/>
  <c r="BS237" i="2"/>
  <c r="BR237" i="2"/>
  <c r="BQ237" i="2"/>
  <c r="BP237" i="2"/>
  <c r="BN237" i="2"/>
  <c r="BO237" i="2" s="1"/>
  <c r="BM237" i="2"/>
  <c r="BL237" i="2"/>
  <c r="BK237" i="2"/>
  <c r="BJ237" i="2"/>
  <c r="BI237" i="2"/>
  <c r="BH237" i="2"/>
  <c r="BG237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N237" i="2"/>
  <c r="AO237" i="2" s="1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FI236" i="2"/>
  <c r="FO236" i="2" s="1"/>
  <c r="FH236" i="2"/>
  <c r="FG236" i="2"/>
  <c r="FF236" i="2"/>
  <c r="FE236" i="2"/>
  <c r="FD236" i="2"/>
  <c r="FC236" i="2"/>
  <c r="FA236" i="2"/>
  <c r="FB236" i="2" s="1"/>
  <c r="EZ236" i="2"/>
  <c r="EY236" i="2"/>
  <c r="EX236" i="2"/>
  <c r="EW236" i="2"/>
  <c r="EV236" i="2"/>
  <c r="EU236" i="2"/>
  <c r="ET236" i="2"/>
  <c r="ES236" i="2"/>
  <c r="ER236" i="2"/>
  <c r="EQ236" i="2"/>
  <c r="EP236" i="2"/>
  <c r="EN236" i="2"/>
  <c r="EO236" i="2" s="1"/>
  <c r="EM236" i="2"/>
  <c r="EL236" i="2"/>
  <c r="EK236" i="2"/>
  <c r="EJ236" i="2"/>
  <c r="EI236" i="2"/>
  <c r="EH236" i="2"/>
  <c r="EG236" i="2"/>
  <c r="EF236" i="2"/>
  <c r="EE236" i="2"/>
  <c r="ED236" i="2"/>
  <c r="EC236" i="2"/>
  <c r="EB236" i="2"/>
  <c r="EA236" i="2"/>
  <c r="DZ236" i="2"/>
  <c r="DY236" i="2"/>
  <c r="DX236" i="2"/>
  <c r="DW236" i="2"/>
  <c r="DV236" i="2"/>
  <c r="DU236" i="2"/>
  <c r="DT236" i="2"/>
  <c r="DS236" i="2"/>
  <c r="DR236" i="2"/>
  <c r="DQ236" i="2"/>
  <c r="DP236" i="2"/>
  <c r="DO236" i="2"/>
  <c r="DN236" i="2"/>
  <c r="DM236" i="2"/>
  <c r="DL236" i="2"/>
  <c r="DK236" i="2"/>
  <c r="DJ236" i="2"/>
  <c r="DI236" i="2"/>
  <c r="DH236" i="2"/>
  <c r="DG236" i="2"/>
  <c r="DF236" i="2"/>
  <c r="DE236" i="2"/>
  <c r="DD236" i="2"/>
  <c r="DC236" i="2"/>
  <c r="DA236" i="2"/>
  <c r="DB236" i="2" s="1"/>
  <c r="CZ236" i="2"/>
  <c r="CY236" i="2"/>
  <c r="CX236" i="2"/>
  <c r="CW236" i="2"/>
  <c r="CV236" i="2"/>
  <c r="CU236" i="2"/>
  <c r="CT236" i="2"/>
  <c r="CS236" i="2"/>
  <c r="CR236" i="2"/>
  <c r="CQ236" i="2"/>
  <c r="CP236" i="2"/>
  <c r="CN236" i="2"/>
  <c r="CO236" i="2" s="1"/>
  <c r="CM236" i="2"/>
  <c r="CL236" i="2"/>
  <c r="CK236" i="2"/>
  <c r="CJ236" i="2"/>
  <c r="CI236" i="2"/>
  <c r="CH236" i="2"/>
  <c r="CG236" i="2"/>
  <c r="CF236" i="2"/>
  <c r="CE236" i="2"/>
  <c r="CD236" i="2"/>
  <c r="CC236" i="2"/>
  <c r="CB236" i="2"/>
  <c r="CA236" i="2"/>
  <c r="BZ236" i="2"/>
  <c r="BY236" i="2"/>
  <c r="BX236" i="2"/>
  <c r="BW236" i="2"/>
  <c r="BV236" i="2"/>
  <c r="BU236" i="2"/>
  <c r="BT236" i="2"/>
  <c r="BS236" i="2"/>
  <c r="BR236" i="2"/>
  <c r="BQ236" i="2"/>
  <c r="BP236" i="2"/>
  <c r="BN236" i="2"/>
  <c r="BO236" i="2" s="1"/>
  <c r="BM236" i="2"/>
  <c r="BL236" i="2"/>
  <c r="BK236" i="2"/>
  <c r="BJ236" i="2"/>
  <c r="BI236" i="2"/>
  <c r="BH236" i="2"/>
  <c r="BG236" i="2"/>
  <c r="BF236" i="2"/>
  <c r="BE236" i="2"/>
  <c r="BD236" i="2"/>
  <c r="BC236" i="2"/>
  <c r="BA236" i="2"/>
  <c r="BB236" i="2" s="1"/>
  <c r="AZ236" i="2"/>
  <c r="AY236" i="2"/>
  <c r="AX236" i="2"/>
  <c r="AW236" i="2"/>
  <c r="AV236" i="2"/>
  <c r="AU236" i="2"/>
  <c r="AT236" i="2"/>
  <c r="AS236" i="2"/>
  <c r="AR236" i="2"/>
  <c r="AQ236" i="2"/>
  <c r="AP236" i="2"/>
  <c r="AN236" i="2"/>
  <c r="AO236" i="2" s="1"/>
  <c r="AM236" i="2"/>
  <c r="AL236" i="2"/>
  <c r="AK236" i="2"/>
  <c r="AJ236" i="2"/>
  <c r="AI236" i="2"/>
  <c r="AH236" i="2"/>
  <c r="AG236" i="2"/>
  <c r="AF236" i="2"/>
  <c r="AE236" i="2"/>
  <c r="AD236" i="2"/>
  <c r="AC236" i="2"/>
  <c r="AA236" i="2"/>
  <c r="AB236" i="2" s="1"/>
  <c r="Z236" i="2"/>
  <c r="Y236" i="2"/>
  <c r="X236" i="2"/>
  <c r="W236" i="2"/>
  <c r="V236" i="2"/>
  <c r="U236" i="2"/>
  <c r="T236" i="2"/>
  <c r="S236" i="2"/>
  <c r="R236" i="2"/>
  <c r="Q236" i="2"/>
  <c r="P236" i="2"/>
  <c r="N236" i="2"/>
  <c r="O236" i="2" s="1"/>
  <c r="M236" i="2"/>
  <c r="L236" i="2"/>
  <c r="K236" i="2"/>
  <c r="J236" i="2"/>
  <c r="I236" i="2"/>
  <c r="H236" i="2"/>
  <c r="G236" i="2"/>
  <c r="F236" i="2"/>
  <c r="E236" i="2"/>
  <c r="D236" i="2"/>
  <c r="C236" i="2"/>
  <c r="FO235" i="2"/>
  <c r="FI235" i="2"/>
  <c r="FH235" i="2"/>
  <c r="FG235" i="2"/>
  <c r="FF235" i="2"/>
  <c r="FE235" i="2"/>
  <c r="FD235" i="2"/>
  <c r="FC235" i="2"/>
  <c r="FA235" i="2"/>
  <c r="FB235" i="2" s="1"/>
  <c r="EZ235" i="2"/>
  <c r="EY235" i="2"/>
  <c r="EX235" i="2"/>
  <c r="EW235" i="2"/>
  <c r="EV235" i="2"/>
  <c r="EU235" i="2"/>
  <c r="ET235" i="2"/>
  <c r="ES235" i="2"/>
  <c r="ER235" i="2"/>
  <c r="EQ235" i="2"/>
  <c r="EP235" i="2"/>
  <c r="EN235" i="2"/>
  <c r="EO235" i="2" s="1"/>
  <c r="EM235" i="2"/>
  <c r="EL235" i="2"/>
  <c r="EK235" i="2"/>
  <c r="EJ235" i="2"/>
  <c r="EI235" i="2"/>
  <c r="EH235" i="2"/>
  <c r="EG235" i="2"/>
  <c r="EF235" i="2"/>
  <c r="EE235" i="2"/>
  <c r="ED235" i="2"/>
  <c r="EC235" i="2"/>
  <c r="EA235" i="2"/>
  <c r="EB235" i="2" s="1"/>
  <c r="DZ235" i="2"/>
  <c r="DY235" i="2"/>
  <c r="DX235" i="2"/>
  <c r="DW235" i="2"/>
  <c r="DV235" i="2"/>
  <c r="DU235" i="2"/>
  <c r="DT235" i="2"/>
  <c r="DS235" i="2"/>
  <c r="DR235" i="2"/>
  <c r="DQ235" i="2"/>
  <c r="DP235" i="2"/>
  <c r="DN235" i="2"/>
  <c r="DO235" i="2" s="1"/>
  <c r="DM235" i="2"/>
  <c r="DL235" i="2"/>
  <c r="DK235" i="2"/>
  <c r="DJ235" i="2"/>
  <c r="DI235" i="2"/>
  <c r="DH235" i="2"/>
  <c r="DG235" i="2"/>
  <c r="DF235" i="2"/>
  <c r="DE235" i="2"/>
  <c r="DD235" i="2"/>
  <c r="DC235" i="2"/>
  <c r="DB235" i="2"/>
  <c r="DA235" i="2"/>
  <c r="CZ235" i="2"/>
  <c r="CY235" i="2"/>
  <c r="CX235" i="2"/>
  <c r="CW235" i="2"/>
  <c r="CV235" i="2"/>
  <c r="CU235" i="2"/>
  <c r="CT235" i="2"/>
  <c r="CS235" i="2"/>
  <c r="CR235" i="2"/>
  <c r="CQ235" i="2"/>
  <c r="CP235" i="2"/>
  <c r="CN235" i="2"/>
  <c r="CO235" i="2" s="1"/>
  <c r="CM235" i="2"/>
  <c r="CL235" i="2"/>
  <c r="CK235" i="2"/>
  <c r="CJ235" i="2"/>
  <c r="CI235" i="2"/>
  <c r="CH235" i="2"/>
  <c r="CG235" i="2"/>
  <c r="CF235" i="2"/>
  <c r="CE235" i="2"/>
  <c r="CD235" i="2"/>
  <c r="CC235" i="2"/>
  <c r="CA235" i="2"/>
  <c r="CB235" i="2" s="1"/>
  <c r="BZ235" i="2"/>
  <c r="BY235" i="2"/>
  <c r="BX235" i="2"/>
  <c r="BW235" i="2"/>
  <c r="BV235" i="2"/>
  <c r="BU235" i="2"/>
  <c r="BT235" i="2"/>
  <c r="BS235" i="2"/>
  <c r="BR235" i="2"/>
  <c r="BQ235" i="2"/>
  <c r="BP235" i="2"/>
  <c r="BN235" i="2"/>
  <c r="BO235" i="2" s="1"/>
  <c r="BM235" i="2"/>
  <c r="BL235" i="2"/>
  <c r="BK235" i="2"/>
  <c r="BJ235" i="2"/>
  <c r="BI235" i="2"/>
  <c r="BH235" i="2"/>
  <c r="BG235" i="2"/>
  <c r="BF235" i="2"/>
  <c r="BE235" i="2"/>
  <c r="BD235" i="2"/>
  <c r="BC235" i="2"/>
  <c r="BA235" i="2"/>
  <c r="BB235" i="2" s="1"/>
  <c r="AZ235" i="2"/>
  <c r="AY235" i="2"/>
  <c r="AX235" i="2"/>
  <c r="AW235" i="2"/>
  <c r="AV235" i="2"/>
  <c r="AU235" i="2"/>
  <c r="AT235" i="2"/>
  <c r="AS235" i="2"/>
  <c r="AR235" i="2"/>
  <c r="AQ235" i="2"/>
  <c r="AP235" i="2"/>
  <c r="AN235" i="2"/>
  <c r="AO235" i="2" s="1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N235" i="2"/>
  <c r="O235" i="2" s="1"/>
  <c r="M235" i="2"/>
  <c r="L235" i="2"/>
  <c r="K235" i="2"/>
  <c r="J235" i="2"/>
  <c r="I235" i="2"/>
  <c r="H235" i="2"/>
  <c r="G235" i="2"/>
  <c r="F235" i="2"/>
  <c r="E235" i="2"/>
  <c r="D235" i="2"/>
  <c r="C235" i="2"/>
  <c r="FI234" i="2"/>
  <c r="FO234" i="2" s="1"/>
  <c r="FH234" i="2"/>
  <c r="FG234" i="2"/>
  <c r="FF234" i="2"/>
  <c r="FE234" i="2"/>
  <c r="FD234" i="2"/>
  <c r="FC234" i="2"/>
  <c r="FA234" i="2"/>
  <c r="FB234" i="2" s="1"/>
  <c r="EZ234" i="2"/>
  <c r="EY234" i="2"/>
  <c r="EX234" i="2"/>
  <c r="EW234" i="2"/>
  <c r="EV234" i="2"/>
  <c r="EU234" i="2"/>
  <c r="ET234" i="2"/>
  <c r="ES234" i="2"/>
  <c r="ER234" i="2"/>
  <c r="EQ234" i="2"/>
  <c r="EP234" i="2"/>
  <c r="EN234" i="2"/>
  <c r="EO234" i="2" s="1"/>
  <c r="EM234" i="2"/>
  <c r="EL234" i="2"/>
  <c r="EK234" i="2"/>
  <c r="EJ234" i="2"/>
  <c r="EI234" i="2"/>
  <c r="EH234" i="2"/>
  <c r="EG234" i="2"/>
  <c r="EF234" i="2"/>
  <c r="EE234" i="2"/>
  <c r="ED234" i="2"/>
  <c r="EC234" i="2"/>
  <c r="EB234" i="2"/>
  <c r="EA234" i="2"/>
  <c r="DZ234" i="2"/>
  <c r="DY234" i="2"/>
  <c r="DX234" i="2"/>
  <c r="DW234" i="2"/>
  <c r="DV234" i="2"/>
  <c r="DU234" i="2"/>
  <c r="DT234" i="2"/>
  <c r="DS234" i="2"/>
  <c r="DR234" i="2"/>
  <c r="DQ234" i="2"/>
  <c r="DP234" i="2"/>
  <c r="DN234" i="2"/>
  <c r="DO234" i="2" s="1"/>
  <c r="DM234" i="2"/>
  <c r="DL234" i="2"/>
  <c r="DK234" i="2"/>
  <c r="DJ234" i="2"/>
  <c r="DI234" i="2"/>
  <c r="DH234" i="2"/>
  <c r="DG234" i="2"/>
  <c r="DF234" i="2"/>
  <c r="DE234" i="2"/>
  <c r="DD234" i="2"/>
  <c r="DC234" i="2"/>
  <c r="DA234" i="2"/>
  <c r="DB234" i="2" s="1"/>
  <c r="CZ234" i="2"/>
  <c r="CY234" i="2"/>
  <c r="CX234" i="2"/>
  <c r="CW234" i="2"/>
  <c r="CV234" i="2"/>
  <c r="CU234" i="2"/>
  <c r="CT234" i="2"/>
  <c r="CS234" i="2"/>
  <c r="CR234" i="2"/>
  <c r="CQ234" i="2"/>
  <c r="CP234" i="2"/>
  <c r="CN234" i="2"/>
  <c r="CO234" i="2" s="1"/>
  <c r="CM234" i="2"/>
  <c r="CL234" i="2"/>
  <c r="CK234" i="2"/>
  <c r="CJ234" i="2"/>
  <c r="CI234" i="2"/>
  <c r="CH234" i="2"/>
  <c r="CG234" i="2"/>
  <c r="CF234" i="2"/>
  <c r="CE234" i="2"/>
  <c r="CD234" i="2"/>
  <c r="CC234" i="2"/>
  <c r="CA234" i="2"/>
  <c r="CB234" i="2" s="1"/>
  <c r="BZ234" i="2"/>
  <c r="BY234" i="2"/>
  <c r="BX234" i="2"/>
  <c r="BW234" i="2"/>
  <c r="BV234" i="2"/>
  <c r="BU234" i="2"/>
  <c r="BT234" i="2"/>
  <c r="BS234" i="2"/>
  <c r="BR234" i="2"/>
  <c r="BQ234" i="2"/>
  <c r="BP234" i="2"/>
  <c r="BN234" i="2"/>
  <c r="BO234" i="2" s="1"/>
  <c r="BM234" i="2"/>
  <c r="BL234" i="2"/>
  <c r="BK234" i="2"/>
  <c r="BJ234" i="2"/>
  <c r="BI234" i="2"/>
  <c r="BH234" i="2"/>
  <c r="BG234" i="2"/>
  <c r="BF234" i="2"/>
  <c r="BE234" i="2"/>
  <c r="BD234" i="2"/>
  <c r="BC234" i="2"/>
  <c r="BB234" i="2"/>
  <c r="BA234" i="2"/>
  <c r="AZ234" i="2"/>
  <c r="AY234" i="2"/>
  <c r="AX234" i="2"/>
  <c r="AW234" i="2"/>
  <c r="AV234" i="2"/>
  <c r="AU234" i="2"/>
  <c r="AT234" i="2"/>
  <c r="AS234" i="2"/>
  <c r="AR234" i="2"/>
  <c r="AQ234" i="2"/>
  <c r="AP234" i="2"/>
  <c r="AN234" i="2"/>
  <c r="AO234" i="2" s="1"/>
  <c r="AM234" i="2"/>
  <c r="AL234" i="2"/>
  <c r="AK234" i="2"/>
  <c r="AJ234" i="2"/>
  <c r="AI234" i="2"/>
  <c r="AH234" i="2"/>
  <c r="AG234" i="2"/>
  <c r="AF234" i="2"/>
  <c r="AE234" i="2"/>
  <c r="AD234" i="2"/>
  <c r="AC234" i="2"/>
  <c r="AA234" i="2"/>
  <c r="AB234" i="2" s="1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FO233" i="2"/>
  <c r="FI233" i="2"/>
  <c r="FH233" i="2"/>
  <c r="FG233" i="2"/>
  <c r="FF233" i="2"/>
  <c r="FE233" i="2"/>
  <c r="FD233" i="2"/>
  <c r="FC233" i="2"/>
  <c r="FA233" i="2"/>
  <c r="FB233" i="2" s="1"/>
  <c r="EZ233" i="2"/>
  <c r="EY233" i="2"/>
  <c r="EX233" i="2"/>
  <c r="EW233" i="2"/>
  <c r="EV233" i="2"/>
  <c r="EU233" i="2"/>
  <c r="ET233" i="2"/>
  <c r="ES233" i="2"/>
  <c r="ER233" i="2"/>
  <c r="EQ233" i="2"/>
  <c r="EP233" i="2"/>
  <c r="EN233" i="2"/>
  <c r="EO233" i="2" s="1"/>
  <c r="EM233" i="2"/>
  <c r="EL233" i="2"/>
  <c r="EK233" i="2"/>
  <c r="EJ233" i="2"/>
  <c r="EI233" i="2"/>
  <c r="EH233" i="2"/>
  <c r="EG233" i="2"/>
  <c r="EF233" i="2"/>
  <c r="EE233" i="2"/>
  <c r="ED233" i="2"/>
  <c r="EC233" i="2"/>
  <c r="EB233" i="2"/>
  <c r="EA233" i="2"/>
  <c r="DZ233" i="2"/>
  <c r="DY233" i="2"/>
  <c r="DX233" i="2"/>
  <c r="DW233" i="2"/>
  <c r="DV233" i="2"/>
  <c r="DU233" i="2"/>
  <c r="DT233" i="2"/>
  <c r="DS233" i="2"/>
  <c r="DR233" i="2"/>
  <c r="DQ233" i="2"/>
  <c r="DP233" i="2"/>
  <c r="DN233" i="2"/>
  <c r="DO233" i="2" s="1"/>
  <c r="DM233" i="2"/>
  <c r="DL233" i="2"/>
  <c r="DK233" i="2"/>
  <c r="DJ233" i="2"/>
  <c r="DI233" i="2"/>
  <c r="DH233" i="2"/>
  <c r="DG233" i="2"/>
  <c r="DF233" i="2"/>
  <c r="DE233" i="2"/>
  <c r="DD233" i="2"/>
  <c r="DC233" i="2"/>
  <c r="DB233" i="2"/>
  <c r="DA233" i="2"/>
  <c r="CZ233" i="2"/>
  <c r="CY233" i="2"/>
  <c r="CX233" i="2"/>
  <c r="CW233" i="2"/>
  <c r="CV233" i="2"/>
  <c r="CU233" i="2"/>
  <c r="CT233" i="2"/>
  <c r="CS233" i="2"/>
  <c r="CR233" i="2"/>
  <c r="CQ233" i="2"/>
  <c r="CP233" i="2"/>
  <c r="CN233" i="2"/>
  <c r="CO233" i="2" s="1"/>
  <c r="CM233" i="2"/>
  <c r="CL233" i="2"/>
  <c r="CK233" i="2"/>
  <c r="CJ233" i="2"/>
  <c r="CI233" i="2"/>
  <c r="CH233" i="2"/>
  <c r="CG233" i="2"/>
  <c r="CF233" i="2"/>
  <c r="CE233" i="2"/>
  <c r="CD233" i="2"/>
  <c r="CC233" i="2"/>
  <c r="CB233" i="2"/>
  <c r="CA233" i="2"/>
  <c r="BZ233" i="2"/>
  <c r="BY233" i="2"/>
  <c r="BX233" i="2"/>
  <c r="BW233" i="2"/>
  <c r="BV233" i="2"/>
  <c r="BU233" i="2"/>
  <c r="BT233" i="2"/>
  <c r="BS233" i="2"/>
  <c r="BR233" i="2"/>
  <c r="BQ233" i="2"/>
  <c r="BP233" i="2"/>
  <c r="BN233" i="2"/>
  <c r="BO233" i="2" s="1"/>
  <c r="BM233" i="2"/>
  <c r="BL233" i="2"/>
  <c r="BK233" i="2"/>
  <c r="BJ233" i="2"/>
  <c r="BI233" i="2"/>
  <c r="BH233" i="2"/>
  <c r="BG233" i="2"/>
  <c r="BF233" i="2"/>
  <c r="BE233" i="2"/>
  <c r="BD233" i="2"/>
  <c r="BC233" i="2"/>
  <c r="BA233" i="2"/>
  <c r="BB233" i="2" s="1"/>
  <c r="AZ233" i="2"/>
  <c r="AY233" i="2"/>
  <c r="AX233" i="2"/>
  <c r="AW233" i="2"/>
  <c r="AV233" i="2"/>
  <c r="AU233" i="2"/>
  <c r="AT233" i="2"/>
  <c r="AS233" i="2"/>
  <c r="AR233" i="2"/>
  <c r="AQ233" i="2"/>
  <c r="AP233" i="2"/>
  <c r="AN233" i="2"/>
  <c r="AO233" i="2" s="1"/>
  <c r="AM233" i="2"/>
  <c r="AL233" i="2"/>
  <c r="AK233" i="2"/>
  <c r="AJ233" i="2"/>
  <c r="AI233" i="2"/>
  <c r="AH233" i="2"/>
  <c r="AG233" i="2"/>
  <c r="AF233" i="2"/>
  <c r="AE233" i="2"/>
  <c r="AD233" i="2"/>
  <c r="AC233" i="2"/>
  <c r="AA233" i="2"/>
  <c r="AB233" i="2" s="1"/>
  <c r="Z233" i="2"/>
  <c r="Y233" i="2"/>
  <c r="X233" i="2"/>
  <c r="W233" i="2"/>
  <c r="V233" i="2"/>
  <c r="U233" i="2"/>
  <c r="T233" i="2"/>
  <c r="S233" i="2"/>
  <c r="R233" i="2"/>
  <c r="Q233" i="2"/>
  <c r="P233" i="2"/>
  <c r="N233" i="2"/>
  <c r="O233" i="2" s="1"/>
  <c r="M233" i="2"/>
  <c r="L233" i="2"/>
  <c r="K233" i="2"/>
  <c r="J233" i="2"/>
  <c r="I233" i="2"/>
  <c r="H233" i="2"/>
  <c r="G233" i="2"/>
  <c r="F233" i="2"/>
  <c r="E233" i="2"/>
  <c r="D233" i="2"/>
  <c r="C233" i="2"/>
  <c r="FI232" i="2"/>
  <c r="FO232" i="2" s="1"/>
  <c r="FH232" i="2"/>
  <c r="FG232" i="2"/>
  <c r="FF232" i="2"/>
  <c r="FE232" i="2"/>
  <c r="FD232" i="2"/>
  <c r="FC232" i="2"/>
  <c r="FA232" i="2"/>
  <c r="FB232" i="2" s="1"/>
  <c r="EZ232" i="2"/>
  <c r="EY232" i="2"/>
  <c r="EX232" i="2"/>
  <c r="EW232" i="2"/>
  <c r="EV232" i="2"/>
  <c r="EU232" i="2"/>
  <c r="ET232" i="2"/>
  <c r="ES232" i="2"/>
  <c r="ER232" i="2"/>
  <c r="EQ232" i="2"/>
  <c r="EP232" i="2"/>
  <c r="EN232" i="2"/>
  <c r="EO232" i="2" s="1"/>
  <c r="EM232" i="2"/>
  <c r="EL232" i="2"/>
  <c r="EK232" i="2"/>
  <c r="EJ232" i="2"/>
  <c r="EI232" i="2"/>
  <c r="EH232" i="2"/>
  <c r="EG232" i="2"/>
  <c r="EF232" i="2"/>
  <c r="EE232" i="2"/>
  <c r="ED232" i="2"/>
  <c r="EC232" i="2"/>
  <c r="EA232" i="2"/>
  <c r="EB232" i="2" s="1"/>
  <c r="DZ232" i="2"/>
  <c r="DY232" i="2"/>
  <c r="DX232" i="2"/>
  <c r="DW232" i="2"/>
  <c r="DV232" i="2"/>
  <c r="DU232" i="2"/>
  <c r="DT232" i="2"/>
  <c r="DS232" i="2"/>
  <c r="DR232" i="2"/>
  <c r="DQ232" i="2"/>
  <c r="DP232" i="2"/>
  <c r="DN232" i="2"/>
  <c r="DO232" i="2" s="1"/>
  <c r="DM232" i="2"/>
  <c r="DL232" i="2"/>
  <c r="DK232" i="2"/>
  <c r="DJ232" i="2"/>
  <c r="DI232" i="2"/>
  <c r="DH232" i="2"/>
  <c r="DG232" i="2"/>
  <c r="DF232" i="2"/>
  <c r="DE232" i="2"/>
  <c r="DD232" i="2"/>
  <c r="DC232" i="2"/>
  <c r="DA232" i="2"/>
  <c r="DB232" i="2" s="1"/>
  <c r="CZ232" i="2"/>
  <c r="CY232" i="2"/>
  <c r="CX232" i="2"/>
  <c r="CW232" i="2"/>
  <c r="CV232" i="2"/>
  <c r="CU232" i="2"/>
  <c r="CT232" i="2"/>
  <c r="CS232" i="2"/>
  <c r="CR232" i="2"/>
  <c r="CQ232" i="2"/>
  <c r="CP232" i="2"/>
  <c r="CN232" i="2"/>
  <c r="CO232" i="2" s="1"/>
  <c r="CM232" i="2"/>
  <c r="CL232" i="2"/>
  <c r="CK232" i="2"/>
  <c r="CJ232" i="2"/>
  <c r="CI232" i="2"/>
  <c r="CH232" i="2"/>
  <c r="CG232" i="2"/>
  <c r="CF232" i="2"/>
  <c r="CE232" i="2"/>
  <c r="CD232" i="2"/>
  <c r="CC232" i="2"/>
  <c r="CB232" i="2"/>
  <c r="CA232" i="2"/>
  <c r="BZ232" i="2"/>
  <c r="BY232" i="2"/>
  <c r="BX232" i="2"/>
  <c r="BW232" i="2"/>
  <c r="BV232" i="2"/>
  <c r="BU232" i="2"/>
  <c r="BT232" i="2"/>
  <c r="BS232" i="2"/>
  <c r="BR232" i="2"/>
  <c r="BQ232" i="2"/>
  <c r="BP232" i="2"/>
  <c r="BN232" i="2"/>
  <c r="BO232" i="2" s="1"/>
  <c r="BM232" i="2"/>
  <c r="BL232" i="2"/>
  <c r="BK232" i="2"/>
  <c r="BJ232" i="2"/>
  <c r="BI232" i="2"/>
  <c r="BH232" i="2"/>
  <c r="BG232" i="2"/>
  <c r="BF232" i="2"/>
  <c r="BE232" i="2"/>
  <c r="BD232" i="2"/>
  <c r="BC232" i="2"/>
  <c r="BA232" i="2"/>
  <c r="BB232" i="2" s="1"/>
  <c r="AZ232" i="2"/>
  <c r="AY232" i="2"/>
  <c r="AX232" i="2"/>
  <c r="AW232" i="2"/>
  <c r="AV232" i="2"/>
  <c r="AU232" i="2"/>
  <c r="AT232" i="2"/>
  <c r="AS232" i="2"/>
  <c r="AR232" i="2"/>
  <c r="AQ232" i="2"/>
  <c r="AP232" i="2"/>
  <c r="AN232" i="2"/>
  <c r="AO232" i="2" s="1"/>
  <c r="AM232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FI231" i="2"/>
  <c r="FO231" i="2" s="1"/>
  <c r="FH231" i="2"/>
  <c r="FG231" i="2"/>
  <c r="FF231" i="2"/>
  <c r="FE231" i="2"/>
  <c r="FD231" i="2"/>
  <c r="FC231" i="2"/>
  <c r="FB231" i="2"/>
  <c r="FA231" i="2"/>
  <c r="EZ231" i="2"/>
  <c r="EY231" i="2"/>
  <c r="EX231" i="2"/>
  <c r="EW231" i="2"/>
  <c r="EV231" i="2"/>
  <c r="EU231" i="2"/>
  <c r="ET231" i="2"/>
  <c r="ES231" i="2"/>
  <c r="ER231" i="2"/>
  <c r="EQ231" i="2"/>
  <c r="EP231" i="2"/>
  <c r="EN231" i="2"/>
  <c r="EO231" i="2" s="1"/>
  <c r="EM231" i="2"/>
  <c r="EL231" i="2"/>
  <c r="EK231" i="2"/>
  <c r="EJ231" i="2"/>
  <c r="EI231" i="2"/>
  <c r="EH231" i="2"/>
  <c r="EG231" i="2"/>
  <c r="EF231" i="2"/>
  <c r="EE231" i="2"/>
  <c r="ED231" i="2"/>
  <c r="EC231" i="2"/>
  <c r="EA231" i="2"/>
  <c r="EB231" i="2" s="1"/>
  <c r="DZ231" i="2"/>
  <c r="DY231" i="2"/>
  <c r="DX231" i="2"/>
  <c r="DW231" i="2"/>
  <c r="DV231" i="2"/>
  <c r="DU231" i="2"/>
  <c r="DT231" i="2"/>
  <c r="DS231" i="2"/>
  <c r="DR231" i="2"/>
  <c r="DQ231" i="2"/>
  <c r="DP231" i="2"/>
  <c r="DN231" i="2"/>
  <c r="DO231" i="2" s="1"/>
  <c r="DM231" i="2"/>
  <c r="DL231" i="2"/>
  <c r="DK231" i="2"/>
  <c r="DJ231" i="2"/>
  <c r="DI231" i="2"/>
  <c r="DH231" i="2"/>
  <c r="DG231" i="2"/>
  <c r="DF231" i="2"/>
  <c r="DE231" i="2"/>
  <c r="DD231" i="2"/>
  <c r="DC231" i="2"/>
  <c r="DA231" i="2"/>
  <c r="DB231" i="2" s="1"/>
  <c r="CZ231" i="2"/>
  <c r="CY231" i="2"/>
  <c r="CX231" i="2"/>
  <c r="CW231" i="2"/>
  <c r="CV231" i="2"/>
  <c r="CU231" i="2"/>
  <c r="CT231" i="2"/>
  <c r="CS231" i="2"/>
  <c r="CR231" i="2"/>
  <c r="CQ231" i="2"/>
  <c r="CP231" i="2"/>
  <c r="CN231" i="2"/>
  <c r="CO231" i="2" s="1"/>
  <c r="CM231" i="2"/>
  <c r="CL231" i="2"/>
  <c r="CK231" i="2"/>
  <c r="CJ231" i="2"/>
  <c r="CI231" i="2"/>
  <c r="CH231" i="2"/>
  <c r="CG231" i="2"/>
  <c r="CF231" i="2"/>
  <c r="CE231" i="2"/>
  <c r="CD231" i="2"/>
  <c r="CC231" i="2"/>
  <c r="CA231" i="2"/>
  <c r="CB231" i="2" s="1"/>
  <c r="BZ231" i="2"/>
  <c r="BY231" i="2"/>
  <c r="BX231" i="2"/>
  <c r="BW231" i="2"/>
  <c r="BV231" i="2"/>
  <c r="BU231" i="2"/>
  <c r="BT231" i="2"/>
  <c r="BS231" i="2"/>
  <c r="BR231" i="2"/>
  <c r="BQ231" i="2"/>
  <c r="BP231" i="2"/>
  <c r="BN231" i="2"/>
  <c r="BO231" i="2" s="1"/>
  <c r="BM231" i="2"/>
  <c r="BL231" i="2"/>
  <c r="BK231" i="2"/>
  <c r="BJ231" i="2"/>
  <c r="BI231" i="2"/>
  <c r="BH231" i="2"/>
  <c r="BG231" i="2"/>
  <c r="BF231" i="2"/>
  <c r="BE231" i="2"/>
  <c r="BD231" i="2"/>
  <c r="BC231" i="2"/>
  <c r="BA231" i="2"/>
  <c r="BB231" i="2" s="1"/>
  <c r="AZ231" i="2"/>
  <c r="AY231" i="2"/>
  <c r="AX231" i="2"/>
  <c r="AW231" i="2"/>
  <c r="AV231" i="2"/>
  <c r="AU231" i="2"/>
  <c r="AT231" i="2"/>
  <c r="AS231" i="2"/>
  <c r="AR231" i="2"/>
  <c r="AQ231" i="2"/>
  <c r="AP231" i="2"/>
  <c r="AN231" i="2"/>
  <c r="AO231" i="2" s="1"/>
  <c r="AM231" i="2"/>
  <c r="AL231" i="2"/>
  <c r="AK231" i="2"/>
  <c r="AJ231" i="2"/>
  <c r="AI231" i="2"/>
  <c r="AH231" i="2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FO230" i="2"/>
  <c r="FI230" i="2"/>
  <c r="FH230" i="2"/>
  <c r="FG230" i="2"/>
  <c r="FF230" i="2"/>
  <c r="FE230" i="2"/>
  <c r="FD230" i="2"/>
  <c r="FC230" i="2"/>
  <c r="FA230" i="2"/>
  <c r="FB230" i="2" s="1"/>
  <c r="EZ230" i="2"/>
  <c r="EY230" i="2"/>
  <c r="EX230" i="2"/>
  <c r="EW230" i="2"/>
  <c r="EV230" i="2"/>
  <c r="EU230" i="2"/>
  <c r="ET230" i="2"/>
  <c r="ES230" i="2"/>
  <c r="ER230" i="2"/>
  <c r="EQ230" i="2"/>
  <c r="EP230" i="2"/>
  <c r="EN230" i="2"/>
  <c r="EM230" i="2"/>
  <c r="EL230" i="2"/>
  <c r="EK230" i="2"/>
  <c r="EJ230" i="2"/>
  <c r="EI230" i="2"/>
  <c r="EH230" i="2"/>
  <c r="EG230" i="2"/>
  <c r="EF230" i="2"/>
  <c r="EE230" i="2"/>
  <c r="ED230" i="2"/>
  <c r="EC230" i="2"/>
  <c r="EB230" i="2"/>
  <c r="EA230" i="2"/>
  <c r="DZ230" i="2"/>
  <c r="DY230" i="2"/>
  <c r="DX230" i="2"/>
  <c r="DW230" i="2"/>
  <c r="DV230" i="2"/>
  <c r="DU230" i="2"/>
  <c r="DT230" i="2"/>
  <c r="DS230" i="2"/>
  <c r="DR230" i="2"/>
  <c r="DQ230" i="2"/>
  <c r="DP230" i="2"/>
  <c r="DO230" i="2"/>
  <c r="DN230" i="2"/>
  <c r="DM230" i="2"/>
  <c r="DL230" i="2"/>
  <c r="DK230" i="2"/>
  <c r="DJ230" i="2"/>
  <c r="DI230" i="2"/>
  <c r="DH230" i="2"/>
  <c r="DG230" i="2"/>
  <c r="DF230" i="2"/>
  <c r="DE230" i="2"/>
  <c r="DD230" i="2"/>
  <c r="DC230" i="2"/>
  <c r="DB230" i="2"/>
  <c r="DA230" i="2"/>
  <c r="CZ230" i="2"/>
  <c r="CY230" i="2"/>
  <c r="CX230" i="2"/>
  <c r="CW230" i="2"/>
  <c r="CV230" i="2"/>
  <c r="CU230" i="2"/>
  <c r="CT230" i="2"/>
  <c r="CS230" i="2"/>
  <c r="CR230" i="2"/>
  <c r="CQ230" i="2"/>
  <c r="CP230" i="2"/>
  <c r="CN230" i="2"/>
  <c r="CM230" i="2"/>
  <c r="CL230" i="2"/>
  <c r="CK230" i="2"/>
  <c r="CJ230" i="2"/>
  <c r="CI230" i="2"/>
  <c r="CH230" i="2"/>
  <c r="CG230" i="2"/>
  <c r="CF230" i="2"/>
  <c r="CE230" i="2"/>
  <c r="CD230" i="2"/>
  <c r="CC230" i="2"/>
  <c r="CB230" i="2"/>
  <c r="CA230" i="2"/>
  <c r="BZ230" i="2"/>
  <c r="BY230" i="2"/>
  <c r="BX230" i="2"/>
  <c r="BW230" i="2"/>
  <c r="BV230" i="2"/>
  <c r="BU230" i="2"/>
  <c r="BT230" i="2"/>
  <c r="BS230" i="2"/>
  <c r="BR230" i="2"/>
  <c r="BQ230" i="2"/>
  <c r="BP230" i="2"/>
  <c r="BN230" i="2"/>
  <c r="BO230" i="2" s="1"/>
  <c r="BM230" i="2"/>
  <c r="BL230" i="2"/>
  <c r="BK230" i="2"/>
  <c r="BJ230" i="2"/>
  <c r="BI230" i="2"/>
  <c r="BH230" i="2"/>
  <c r="BG230" i="2"/>
  <c r="BG262" i="2" s="1"/>
  <c r="BF230" i="2"/>
  <c r="BE230" i="2"/>
  <c r="BD230" i="2"/>
  <c r="BC230" i="2"/>
  <c r="BA230" i="2"/>
  <c r="AZ230" i="2"/>
  <c r="AY230" i="2"/>
  <c r="AX230" i="2"/>
  <c r="AW230" i="2"/>
  <c r="AV230" i="2"/>
  <c r="AU230" i="2"/>
  <c r="AT230" i="2"/>
  <c r="AS230" i="2"/>
  <c r="AR230" i="2"/>
  <c r="AQ230" i="2"/>
  <c r="AP230" i="2"/>
  <c r="AN230" i="2"/>
  <c r="AM230" i="2"/>
  <c r="AL230" i="2"/>
  <c r="AK230" i="2"/>
  <c r="AJ230" i="2"/>
  <c r="AI230" i="2"/>
  <c r="AH230" i="2"/>
  <c r="AG230" i="2"/>
  <c r="AF230" i="2"/>
  <c r="AE230" i="2"/>
  <c r="AD230" i="2"/>
  <c r="AC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FN223" i="2"/>
  <c r="FM223" i="2"/>
  <c r="FL223" i="2"/>
  <c r="FK223" i="2"/>
  <c r="FJ223" i="2"/>
  <c r="FI222" i="2"/>
  <c r="FO222" i="2" s="1"/>
  <c r="FH222" i="2"/>
  <c r="FG222" i="2"/>
  <c r="FF222" i="2"/>
  <c r="FE222" i="2"/>
  <c r="FD222" i="2"/>
  <c r="FC222" i="2"/>
  <c r="FA222" i="2"/>
  <c r="FB222" i="2" s="1"/>
  <c r="EZ222" i="2"/>
  <c r="EY222" i="2"/>
  <c r="EX222" i="2"/>
  <c r="EW222" i="2"/>
  <c r="EV222" i="2"/>
  <c r="EU222" i="2"/>
  <c r="ET222" i="2"/>
  <c r="ES222" i="2"/>
  <c r="ER222" i="2"/>
  <c r="EQ222" i="2"/>
  <c r="EP222" i="2"/>
  <c r="EN222" i="2"/>
  <c r="EO222" i="2" s="1"/>
  <c r="EM222" i="2"/>
  <c r="EL222" i="2"/>
  <c r="EK222" i="2"/>
  <c r="EJ222" i="2"/>
  <c r="EI222" i="2"/>
  <c r="EH222" i="2"/>
  <c r="EG222" i="2"/>
  <c r="EF222" i="2"/>
  <c r="EE222" i="2"/>
  <c r="ED222" i="2"/>
  <c r="EC222" i="2"/>
  <c r="EA222" i="2"/>
  <c r="EB222" i="2" s="1"/>
  <c r="DZ222" i="2"/>
  <c r="DY222" i="2"/>
  <c r="DX222" i="2"/>
  <c r="DW222" i="2"/>
  <c r="DV222" i="2"/>
  <c r="DU222" i="2"/>
  <c r="DT222" i="2"/>
  <c r="DS222" i="2"/>
  <c r="DR222" i="2"/>
  <c r="DQ222" i="2"/>
  <c r="DP222" i="2"/>
  <c r="DO222" i="2"/>
  <c r="DN222" i="2"/>
  <c r="DM222" i="2"/>
  <c r="DL222" i="2"/>
  <c r="DK222" i="2"/>
  <c r="DJ222" i="2"/>
  <c r="DI222" i="2"/>
  <c r="DH222" i="2"/>
  <c r="DG222" i="2"/>
  <c r="DF222" i="2"/>
  <c r="DE222" i="2"/>
  <c r="DD222" i="2"/>
  <c r="DC222" i="2"/>
  <c r="DA222" i="2"/>
  <c r="DB222" i="2" s="1"/>
  <c r="CZ222" i="2"/>
  <c r="CY222" i="2"/>
  <c r="CX222" i="2"/>
  <c r="CW222" i="2"/>
  <c r="CV222" i="2"/>
  <c r="CU222" i="2"/>
  <c r="CT222" i="2"/>
  <c r="CS222" i="2"/>
  <c r="CR222" i="2"/>
  <c r="CQ222" i="2"/>
  <c r="CP222" i="2"/>
  <c r="CN222" i="2"/>
  <c r="CO222" i="2" s="1"/>
  <c r="CM222" i="2"/>
  <c r="CL222" i="2"/>
  <c r="CK222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A222" i="2"/>
  <c r="BB222" i="2" s="1"/>
  <c r="AZ222" i="2"/>
  <c r="AY222" i="2"/>
  <c r="AX222" i="2"/>
  <c r="AW222" i="2"/>
  <c r="AV222" i="2"/>
  <c r="AU222" i="2"/>
  <c r="AT222" i="2"/>
  <c r="AS222" i="2"/>
  <c r="AR222" i="2"/>
  <c r="AQ222" i="2"/>
  <c r="AP222" i="2"/>
  <c r="AN222" i="2"/>
  <c r="AO222" i="2" s="1"/>
  <c r="AM222" i="2"/>
  <c r="AL222" i="2"/>
  <c r="AK222" i="2"/>
  <c r="AJ222" i="2"/>
  <c r="AI222" i="2"/>
  <c r="AH222" i="2"/>
  <c r="AG222" i="2"/>
  <c r="AF222" i="2"/>
  <c r="AE222" i="2"/>
  <c r="AD222" i="2"/>
  <c r="AC222" i="2"/>
  <c r="AA222" i="2"/>
  <c r="AB222" i="2" s="1"/>
  <c r="Z222" i="2"/>
  <c r="Y222" i="2"/>
  <c r="X222" i="2"/>
  <c r="W222" i="2"/>
  <c r="V222" i="2"/>
  <c r="U222" i="2"/>
  <c r="T222" i="2"/>
  <c r="S222" i="2"/>
  <c r="R222" i="2"/>
  <c r="Q222" i="2"/>
  <c r="P222" i="2"/>
  <c r="N222" i="2"/>
  <c r="O222" i="2" s="1"/>
  <c r="M222" i="2"/>
  <c r="L222" i="2"/>
  <c r="K222" i="2"/>
  <c r="J222" i="2"/>
  <c r="I222" i="2"/>
  <c r="H222" i="2"/>
  <c r="G222" i="2"/>
  <c r="F222" i="2"/>
  <c r="E222" i="2"/>
  <c r="D222" i="2"/>
  <c r="C222" i="2"/>
  <c r="FO221" i="2"/>
  <c r="FI221" i="2"/>
  <c r="FH221" i="2"/>
  <c r="FG221" i="2"/>
  <c r="FF221" i="2"/>
  <c r="FE221" i="2"/>
  <c r="FD221" i="2"/>
  <c r="FC221" i="2"/>
  <c r="FA221" i="2"/>
  <c r="FB221" i="2" s="1"/>
  <c r="EZ221" i="2"/>
  <c r="EY221" i="2"/>
  <c r="EX221" i="2"/>
  <c r="EW221" i="2"/>
  <c r="EV221" i="2"/>
  <c r="EU221" i="2"/>
  <c r="ET221" i="2"/>
  <c r="ES221" i="2"/>
  <c r="ER221" i="2"/>
  <c r="EQ221" i="2"/>
  <c r="EP221" i="2"/>
  <c r="EO221" i="2"/>
  <c r="EN221" i="2"/>
  <c r="EM221" i="2"/>
  <c r="EL221" i="2"/>
  <c r="EK221" i="2"/>
  <c r="EJ221" i="2"/>
  <c r="EI221" i="2"/>
  <c r="EH221" i="2"/>
  <c r="EG221" i="2"/>
  <c r="EF221" i="2"/>
  <c r="EE221" i="2"/>
  <c r="ED221" i="2"/>
  <c r="EC221" i="2"/>
  <c r="EB221" i="2"/>
  <c r="EA221" i="2"/>
  <c r="DZ221" i="2"/>
  <c r="DY221" i="2"/>
  <c r="DX221" i="2"/>
  <c r="DW221" i="2"/>
  <c r="DV221" i="2"/>
  <c r="DU221" i="2"/>
  <c r="DT221" i="2"/>
  <c r="DS221" i="2"/>
  <c r="DR221" i="2"/>
  <c r="DQ221" i="2"/>
  <c r="DP221" i="2"/>
  <c r="DN221" i="2"/>
  <c r="DO221" i="2" s="1"/>
  <c r="DM221" i="2"/>
  <c r="DL221" i="2"/>
  <c r="DK221" i="2"/>
  <c r="DJ221" i="2"/>
  <c r="DI221" i="2"/>
  <c r="DH221" i="2"/>
  <c r="DG221" i="2"/>
  <c r="DF221" i="2"/>
  <c r="DE221" i="2"/>
  <c r="DD221" i="2"/>
  <c r="DC221" i="2"/>
  <c r="DA221" i="2"/>
  <c r="DB221" i="2" s="1"/>
  <c r="CZ221" i="2"/>
  <c r="CY221" i="2"/>
  <c r="CX221" i="2"/>
  <c r="CW221" i="2"/>
  <c r="CV221" i="2"/>
  <c r="CU221" i="2"/>
  <c r="CT221" i="2"/>
  <c r="CS221" i="2"/>
  <c r="CR221" i="2"/>
  <c r="CQ221" i="2"/>
  <c r="CP221" i="2"/>
  <c r="CN221" i="2"/>
  <c r="CO221" i="2" s="1"/>
  <c r="CM221" i="2"/>
  <c r="CL221" i="2"/>
  <c r="CK221" i="2"/>
  <c r="CJ221" i="2"/>
  <c r="CI221" i="2"/>
  <c r="CH221" i="2"/>
  <c r="CG221" i="2"/>
  <c r="CF221" i="2"/>
  <c r="CE221" i="2"/>
  <c r="CD221" i="2"/>
  <c r="CC221" i="2"/>
  <c r="CA221" i="2"/>
  <c r="CB221" i="2" s="1"/>
  <c r="BZ221" i="2"/>
  <c r="BY221" i="2"/>
  <c r="BX221" i="2"/>
  <c r="BW221" i="2"/>
  <c r="BV221" i="2"/>
  <c r="BU221" i="2"/>
  <c r="BT221" i="2"/>
  <c r="BS221" i="2"/>
  <c r="BR221" i="2"/>
  <c r="BQ221" i="2"/>
  <c r="BP221" i="2"/>
  <c r="BN221" i="2"/>
  <c r="BO221" i="2" s="1"/>
  <c r="BM221" i="2"/>
  <c r="BL221" i="2"/>
  <c r="BK221" i="2"/>
  <c r="BJ221" i="2"/>
  <c r="BI221" i="2"/>
  <c r="BH221" i="2"/>
  <c r="BG221" i="2"/>
  <c r="BF221" i="2"/>
  <c r="BE221" i="2"/>
  <c r="BD221" i="2"/>
  <c r="BC221" i="2"/>
  <c r="BA221" i="2"/>
  <c r="BB221" i="2" s="1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N221" i="2"/>
  <c r="O221" i="2" s="1"/>
  <c r="M221" i="2"/>
  <c r="L221" i="2"/>
  <c r="K221" i="2"/>
  <c r="J221" i="2"/>
  <c r="I221" i="2"/>
  <c r="H221" i="2"/>
  <c r="G221" i="2"/>
  <c r="F221" i="2"/>
  <c r="E221" i="2"/>
  <c r="D221" i="2"/>
  <c r="C221" i="2"/>
  <c r="FI220" i="2"/>
  <c r="FO220" i="2" s="1"/>
  <c r="FH220" i="2"/>
  <c r="FG220" i="2"/>
  <c r="FF220" i="2"/>
  <c r="FE220" i="2"/>
  <c r="FD220" i="2"/>
  <c r="FC220" i="2"/>
  <c r="FA220" i="2"/>
  <c r="FB220" i="2" s="1"/>
  <c r="EZ220" i="2"/>
  <c r="EY220" i="2"/>
  <c r="EX220" i="2"/>
  <c r="EW220" i="2"/>
  <c r="EV220" i="2"/>
  <c r="EU220" i="2"/>
  <c r="ET220" i="2"/>
  <c r="ES220" i="2"/>
  <c r="ER220" i="2"/>
  <c r="EQ220" i="2"/>
  <c r="EP220" i="2"/>
  <c r="EN220" i="2"/>
  <c r="EO220" i="2" s="1"/>
  <c r="EM220" i="2"/>
  <c r="EL220" i="2"/>
  <c r="EK220" i="2"/>
  <c r="EJ220" i="2"/>
  <c r="EI220" i="2"/>
  <c r="EH220" i="2"/>
  <c r="EG220" i="2"/>
  <c r="EF220" i="2"/>
  <c r="EE220" i="2"/>
  <c r="ED220" i="2"/>
  <c r="EC220" i="2"/>
  <c r="EA220" i="2"/>
  <c r="EB220" i="2" s="1"/>
  <c r="DZ220" i="2"/>
  <c r="DY220" i="2"/>
  <c r="DX220" i="2"/>
  <c r="DW220" i="2"/>
  <c r="DV220" i="2"/>
  <c r="DU220" i="2"/>
  <c r="DT220" i="2"/>
  <c r="DS220" i="2"/>
  <c r="DR220" i="2"/>
  <c r="DQ220" i="2"/>
  <c r="DP220" i="2"/>
  <c r="DO220" i="2"/>
  <c r="DN220" i="2"/>
  <c r="DM220" i="2"/>
  <c r="DL220" i="2"/>
  <c r="DK220" i="2"/>
  <c r="DJ220" i="2"/>
  <c r="DI220" i="2"/>
  <c r="DH220" i="2"/>
  <c r="DG220" i="2"/>
  <c r="DF220" i="2"/>
  <c r="DE220" i="2"/>
  <c r="DD220" i="2"/>
  <c r="DC220" i="2"/>
  <c r="DA220" i="2"/>
  <c r="DB220" i="2" s="1"/>
  <c r="CZ220" i="2"/>
  <c r="CY220" i="2"/>
  <c r="CX220" i="2"/>
  <c r="CW220" i="2"/>
  <c r="CV220" i="2"/>
  <c r="CU220" i="2"/>
  <c r="CT220" i="2"/>
  <c r="CS220" i="2"/>
  <c r="CR220" i="2"/>
  <c r="CQ220" i="2"/>
  <c r="CP220" i="2"/>
  <c r="CO220" i="2"/>
  <c r="CN220" i="2"/>
  <c r="CM220" i="2"/>
  <c r="CL220" i="2"/>
  <c r="CK220" i="2"/>
  <c r="CJ220" i="2"/>
  <c r="CI220" i="2"/>
  <c r="CH220" i="2"/>
  <c r="CG220" i="2"/>
  <c r="CF220" i="2"/>
  <c r="CE220" i="2"/>
  <c r="CD220" i="2"/>
  <c r="CC220" i="2"/>
  <c r="CA220" i="2"/>
  <c r="CB220" i="2" s="1"/>
  <c r="BZ220" i="2"/>
  <c r="BY220" i="2"/>
  <c r="BX220" i="2"/>
  <c r="BW220" i="2"/>
  <c r="BV220" i="2"/>
  <c r="BU220" i="2"/>
  <c r="BT220" i="2"/>
  <c r="BS220" i="2"/>
  <c r="BR220" i="2"/>
  <c r="BQ220" i="2"/>
  <c r="BP220" i="2"/>
  <c r="BN220" i="2"/>
  <c r="BO220" i="2" s="1"/>
  <c r="BM220" i="2"/>
  <c r="BL220" i="2"/>
  <c r="BK220" i="2"/>
  <c r="BJ220" i="2"/>
  <c r="BI220" i="2"/>
  <c r="BH220" i="2"/>
  <c r="BG220" i="2"/>
  <c r="BF220" i="2"/>
  <c r="BE220" i="2"/>
  <c r="BD220" i="2"/>
  <c r="BC220" i="2"/>
  <c r="BA220" i="2"/>
  <c r="BB220" i="2" s="1"/>
  <c r="AZ220" i="2"/>
  <c r="AY220" i="2"/>
  <c r="AX220" i="2"/>
  <c r="AW220" i="2"/>
  <c r="AV220" i="2"/>
  <c r="AU220" i="2"/>
  <c r="AT220" i="2"/>
  <c r="AS220" i="2"/>
  <c r="AR220" i="2"/>
  <c r="AQ220" i="2"/>
  <c r="AP220" i="2"/>
  <c r="AN220" i="2"/>
  <c r="AO220" i="2" s="1"/>
  <c r="AM220" i="2"/>
  <c r="AL220" i="2"/>
  <c r="AK220" i="2"/>
  <c r="AJ220" i="2"/>
  <c r="AI220" i="2"/>
  <c r="AH220" i="2"/>
  <c r="AG220" i="2"/>
  <c r="AF220" i="2"/>
  <c r="AE220" i="2"/>
  <c r="AD220" i="2"/>
  <c r="AC220" i="2"/>
  <c r="AA220" i="2"/>
  <c r="AB220" i="2" s="1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FI219" i="2"/>
  <c r="FO219" i="2" s="1"/>
  <c r="FH219" i="2"/>
  <c r="FG219" i="2"/>
  <c r="FF219" i="2"/>
  <c r="FE219" i="2"/>
  <c r="FD219" i="2"/>
  <c r="FC219" i="2"/>
  <c r="FB219" i="2"/>
  <c r="FA219" i="2"/>
  <c r="EZ219" i="2"/>
  <c r="EY219" i="2"/>
  <c r="EX219" i="2"/>
  <c r="EW219" i="2"/>
  <c r="EV219" i="2"/>
  <c r="EU219" i="2"/>
  <c r="ET219" i="2"/>
  <c r="ES219" i="2"/>
  <c r="ER219" i="2"/>
  <c r="EQ219" i="2"/>
  <c r="EP219" i="2"/>
  <c r="EN219" i="2"/>
  <c r="EO219" i="2" s="1"/>
  <c r="EM219" i="2"/>
  <c r="EL219" i="2"/>
  <c r="EK219" i="2"/>
  <c r="EJ219" i="2"/>
  <c r="EI219" i="2"/>
  <c r="EH219" i="2"/>
  <c r="EG219" i="2"/>
  <c r="EF219" i="2"/>
  <c r="EE219" i="2"/>
  <c r="ED219" i="2"/>
  <c r="EC219" i="2"/>
  <c r="EA219" i="2"/>
  <c r="EB219" i="2" s="1"/>
  <c r="DZ219" i="2"/>
  <c r="DY219" i="2"/>
  <c r="DX219" i="2"/>
  <c r="DW219" i="2"/>
  <c r="DV219" i="2"/>
  <c r="DU219" i="2"/>
  <c r="DT219" i="2"/>
  <c r="DS219" i="2"/>
  <c r="DR219" i="2"/>
  <c r="DQ219" i="2"/>
  <c r="DP219" i="2"/>
  <c r="DO219" i="2"/>
  <c r="DN219" i="2"/>
  <c r="DM219" i="2"/>
  <c r="DL219" i="2"/>
  <c r="DK219" i="2"/>
  <c r="DJ219" i="2"/>
  <c r="DI219" i="2"/>
  <c r="DH219" i="2"/>
  <c r="DG219" i="2"/>
  <c r="DF219" i="2"/>
  <c r="DE219" i="2"/>
  <c r="DD219" i="2"/>
  <c r="DC219" i="2"/>
  <c r="DA219" i="2"/>
  <c r="DB219" i="2" s="1"/>
  <c r="CZ219" i="2"/>
  <c r="CY219" i="2"/>
  <c r="CX219" i="2"/>
  <c r="CW219" i="2"/>
  <c r="CV219" i="2"/>
  <c r="CU219" i="2"/>
  <c r="CT219" i="2"/>
  <c r="CS219" i="2"/>
  <c r="CR219" i="2"/>
  <c r="CQ219" i="2"/>
  <c r="CP219" i="2"/>
  <c r="CN219" i="2"/>
  <c r="CO219" i="2" s="1"/>
  <c r="CM219" i="2"/>
  <c r="CL219" i="2"/>
  <c r="CK219" i="2"/>
  <c r="CJ219" i="2"/>
  <c r="CI219" i="2"/>
  <c r="CH219" i="2"/>
  <c r="CG219" i="2"/>
  <c r="CF219" i="2"/>
  <c r="CE219" i="2"/>
  <c r="CD219" i="2"/>
  <c r="CC219" i="2"/>
  <c r="CA219" i="2"/>
  <c r="CB219" i="2" s="1"/>
  <c r="BZ219" i="2"/>
  <c r="BY219" i="2"/>
  <c r="BX219" i="2"/>
  <c r="BW219" i="2"/>
  <c r="BV219" i="2"/>
  <c r="BU219" i="2"/>
  <c r="BT219" i="2"/>
  <c r="BS219" i="2"/>
  <c r="BR219" i="2"/>
  <c r="BQ219" i="2"/>
  <c r="BP219" i="2"/>
  <c r="BN219" i="2"/>
  <c r="BO219" i="2" s="1"/>
  <c r="BM219" i="2"/>
  <c r="BL219" i="2"/>
  <c r="BK219" i="2"/>
  <c r="BJ219" i="2"/>
  <c r="BI219" i="2"/>
  <c r="BH219" i="2"/>
  <c r="BG219" i="2"/>
  <c r="BF219" i="2"/>
  <c r="BE219" i="2"/>
  <c r="BD219" i="2"/>
  <c r="BC219" i="2"/>
  <c r="BA219" i="2"/>
  <c r="BB219" i="2" s="1"/>
  <c r="AZ219" i="2"/>
  <c r="AY219" i="2"/>
  <c r="AX219" i="2"/>
  <c r="AW219" i="2"/>
  <c r="AV219" i="2"/>
  <c r="AU219" i="2"/>
  <c r="AT219" i="2"/>
  <c r="AS219" i="2"/>
  <c r="AR219" i="2"/>
  <c r="AQ219" i="2"/>
  <c r="AP219" i="2"/>
  <c r="AN219" i="2"/>
  <c r="AO219" i="2" s="1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N219" i="2"/>
  <c r="O219" i="2" s="1"/>
  <c r="M219" i="2"/>
  <c r="L219" i="2"/>
  <c r="K219" i="2"/>
  <c r="J219" i="2"/>
  <c r="I219" i="2"/>
  <c r="H219" i="2"/>
  <c r="G219" i="2"/>
  <c r="F219" i="2"/>
  <c r="E219" i="2"/>
  <c r="D219" i="2"/>
  <c r="C219" i="2"/>
  <c r="FI218" i="2"/>
  <c r="FO218" i="2" s="1"/>
  <c r="FH218" i="2"/>
  <c r="FG218" i="2"/>
  <c r="FF218" i="2"/>
  <c r="FE218" i="2"/>
  <c r="FD218" i="2"/>
  <c r="FC218" i="2"/>
  <c r="FA218" i="2"/>
  <c r="FB218" i="2" s="1"/>
  <c r="EZ218" i="2"/>
  <c r="EY218" i="2"/>
  <c r="EX218" i="2"/>
  <c r="EW218" i="2"/>
  <c r="EV218" i="2"/>
  <c r="EU218" i="2"/>
  <c r="ET218" i="2"/>
  <c r="ES218" i="2"/>
  <c r="ER218" i="2"/>
  <c r="EQ218" i="2"/>
  <c r="EP218" i="2"/>
  <c r="EN218" i="2"/>
  <c r="EO218" i="2" s="1"/>
  <c r="EM218" i="2"/>
  <c r="EL218" i="2"/>
  <c r="EK218" i="2"/>
  <c r="EJ218" i="2"/>
  <c r="EI218" i="2"/>
  <c r="EH218" i="2"/>
  <c r="EG218" i="2"/>
  <c r="EF218" i="2"/>
  <c r="EE218" i="2"/>
  <c r="ED218" i="2"/>
  <c r="EC218" i="2"/>
  <c r="EA218" i="2"/>
  <c r="EB218" i="2" s="1"/>
  <c r="DZ218" i="2"/>
  <c r="DY218" i="2"/>
  <c r="DX218" i="2"/>
  <c r="DW218" i="2"/>
  <c r="DV218" i="2"/>
  <c r="DU218" i="2"/>
  <c r="DT218" i="2"/>
  <c r="DS218" i="2"/>
  <c r="DR218" i="2"/>
  <c r="DQ218" i="2"/>
  <c r="DP218" i="2"/>
  <c r="DN218" i="2"/>
  <c r="DO218" i="2" s="1"/>
  <c r="DM218" i="2"/>
  <c r="DL218" i="2"/>
  <c r="DK218" i="2"/>
  <c r="DJ218" i="2"/>
  <c r="DI218" i="2"/>
  <c r="DH218" i="2"/>
  <c r="DG218" i="2"/>
  <c r="DF218" i="2"/>
  <c r="DE218" i="2"/>
  <c r="DD218" i="2"/>
  <c r="DC218" i="2"/>
  <c r="DA218" i="2"/>
  <c r="DB218" i="2" s="1"/>
  <c r="CZ218" i="2"/>
  <c r="CY218" i="2"/>
  <c r="CX218" i="2"/>
  <c r="CW218" i="2"/>
  <c r="CV218" i="2"/>
  <c r="CU218" i="2"/>
  <c r="CT218" i="2"/>
  <c r="CS218" i="2"/>
  <c r="CR218" i="2"/>
  <c r="CQ218" i="2"/>
  <c r="CP218" i="2"/>
  <c r="CN218" i="2"/>
  <c r="CO218" i="2" s="1"/>
  <c r="CM218" i="2"/>
  <c r="CL218" i="2"/>
  <c r="CK218" i="2"/>
  <c r="CJ218" i="2"/>
  <c r="CI218" i="2"/>
  <c r="CH218" i="2"/>
  <c r="CG218" i="2"/>
  <c r="CF218" i="2"/>
  <c r="CE218" i="2"/>
  <c r="CD218" i="2"/>
  <c r="CC218" i="2"/>
  <c r="CA218" i="2"/>
  <c r="CB218" i="2" s="1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A218" i="2"/>
  <c r="BB218" i="2" s="1"/>
  <c r="AZ218" i="2"/>
  <c r="AY218" i="2"/>
  <c r="AX218" i="2"/>
  <c r="AW218" i="2"/>
  <c r="AV218" i="2"/>
  <c r="AU218" i="2"/>
  <c r="AT218" i="2"/>
  <c r="AS218" i="2"/>
  <c r="AR218" i="2"/>
  <c r="AQ218" i="2"/>
  <c r="AP218" i="2"/>
  <c r="AN218" i="2"/>
  <c r="AO218" i="2" s="1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N218" i="2"/>
  <c r="O218" i="2" s="1"/>
  <c r="M218" i="2"/>
  <c r="L218" i="2"/>
  <c r="K218" i="2"/>
  <c r="J218" i="2"/>
  <c r="I218" i="2"/>
  <c r="H218" i="2"/>
  <c r="G218" i="2"/>
  <c r="F218" i="2"/>
  <c r="E218" i="2"/>
  <c r="D218" i="2"/>
  <c r="C218" i="2"/>
  <c r="FI217" i="2"/>
  <c r="FO217" i="2" s="1"/>
  <c r="FH217" i="2"/>
  <c r="FG217" i="2"/>
  <c r="FF217" i="2"/>
  <c r="FE217" i="2"/>
  <c r="FD217" i="2"/>
  <c r="FC217" i="2"/>
  <c r="FA217" i="2"/>
  <c r="FB217" i="2" s="1"/>
  <c r="EZ217" i="2"/>
  <c r="EY217" i="2"/>
  <c r="EX217" i="2"/>
  <c r="EW217" i="2"/>
  <c r="EV217" i="2"/>
  <c r="EU217" i="2"/>
  <c r="ET217" i="2"/>
  <c r="ES217" i="2"/>
  <c r="ER217" i="2"/>
  <c r="EQ217" i="2"/>
  <c r="EP217" i="2"/>
  <c r="EN217" i="2"/>
  <c r="EO217" i="2" s="1"/>
  <c r="EM217" i="2"/>
  <c r="EL217" i="2"/>
  <c r="EK217" i="2"/>
  <c r="EJ217" i="2"/>
  <c r="EI217" i="2"/>
  <c r="EH217" i="2"/>
  <c r="EG217" i="2"/>
  <c r="EF217" i="2"/>
  <c r="EE217" i="2"/>
  <c r="ED217" i="2"/>
  <c r="EC217" i="2"/>
  <c r="EB217" i="2"/>
  <c r="EA217" i="2"/>
  <c r="DZ217" i="2"/>
  <c r="DY217" i="2"/>
  <c r="DX217" i="2"/>
  <c r="DW217" i="2"/>
  <c r="DV217" i="2"/>
  <c r="DU217" i="2"/>
  <c r="DT217" i="2"/>
  <c r="DS217" i="2"/>
  <c r="DR217" i="2"/>
  <c r="DQ217" i="2"/>
  <c r="DP217" i="2"/>
  <c r="DN217" i="2"/>
  <c r="DO217" i="2" s="1"/>
  <c r="DM217" i="2"/>
  <c r="DL217" i="2"/>
  <c r="DK217" i="2"/>
  <c r="DJ217" i="2"/>
  <c r="DI217" i="2"/>
  <c r="DH217" i="2"/>
  <c r="DG217" i="2"/>
  <c r="DF217" i="2"/>
  <c r="DE217" i="2"/>
  <c r="DD217" i="2"/>
  <c r="DC217" i="2"/>
  <c r="DA217" i="2"/>
  <c r="DB217" i="2" s="1"/>
  <c r="CZ217" i="2"/>
  <c r="CY217" i="2"/>
  <c r="CX217" i="2"/>
  <c r="CW217" i="2"/>
  <c r="CV217" i="2"/>
  <c r="CU217" i="2"/>
  <c r="CT217" i="2"/>
  <c r="CS217" i="2"/>
  <c r="CR217" i="2"/>
  <c r="CQ217" i="2"/>
  <c r="CP217" i="2"/>
  <c r="CO217" i="2"/>
  <c r="CN217" i="2"/>
  <c r="CM217" i="2"/>
  <c r="CL217" i="2"/>
  <c r="CK217" i="2"/>
  <c r="CJ217" i="2"/>
  <c r="CI217" i="2"/>
  <c r="CH217" i="2"/>
  <c r="CG217" i="2"/>
  <c r="CF217" i="2"/>
  <c r="CE217" i="2"/>
  <c r="CD217" i="2"/>
  <c r="CC217" i="2"/>
  <c r="CB217" i="2"/>
  <c r="CA217" i="2"/>
  <c r="BZ217" i="2"/>
  <c r="BY217" i="2"/>
  <c r="BX217" i="2"/>
  <c r="BW217" i="2"/>
  <c r="BV217" i="2"/>
  <c r="BU217" i="2"/>
  <c r="BT217" i="2"/>
  <c r="BS217" i="2"/>
  <c r="BR217" i="2"/>
  <c r="BQ217" i="2"/>
  <c r="BP217" i="2"/>
  <c r="BN217" i="2"/>
  <c r="BO217" i="2" s="1"/>
  <c r="BM217" i="2"/>
  <c r="BL217" i="2"/>
  <c r="BK217" i="2"/>
  <c r="BJ217" i="2"/>
  <c r="BI217" i="2"/>
  <c r="BH217" i="2"/>
  <c r="BG217" i="2"/>
  <c r="BF217" i="2"/>
  <c r="BE217" i="2"/>
  <c r="BD217" i="2"/>
  <c r="BC217" i="2"/>
  <c r="BA217" i="2"/>
  <c r="BB217" i="2" s="1"/>
  <c r="AZ217" i="2"/>
  <c r="AY217" i="2"/>
  <c r="AX217" i="2"/>
  <c r="AW217" i="2"/>
  <c r="AV217" i="2"/>
  <c r="AU217" i="2"/>
  <c r="AT217" i="2"/>
  <c r="AS217" i="2"/>
  <c r="AR217" i="2"/>
  <c r="AQ217" i="2"/>
  <c r="AP217" i="2"/>
  <c r="AN217" i="2"/>
  <c r="AO217" i="2" s="1"/>
  <c r="AM217" i="2"/>
  <c r="AL217" i="2"/>
  <c r="AK217" i="2"/>
  <c r="AJ217" i="2"/>
  <c r="AI217" i="2"/>
  <c r="AH217" i="2"/>
  <c r="AG217" i="2"/>
  <c r="AF217" i="2"/>
  <c r="AE217" i="2"/>
  <c r="AD217" i="2"/>
  <c r="AC217" i="2"/>
  <c r="AA217" i="2"/>
  <c r="AB217" i="2" s="1"/>
  <c r="Z217" i="2"/>
  <c r="Y217" i="2"/>
  <c r="X217" i="2"/>
  <c r="W217" i="2"/>
  <c r="V217" i="2"/>
  <c r="U217" i="2"/>
  <c r="T217" i="2"/>
  <c r="S217" i="2"/>
  <c r="R217" i="2"/>
  <c r="Q217" i="2"/>
  <c r="P217" i="2"/>
  <c r="N217" i="2"/>
  <c r="O217" i="2" s="1"/>
  <c r="M217" i="2"/>
  <c r="L217" i="2"/>
  <c r="K217" i="2"/>
  <c r="J217" i="2"/>
  <c r="I217" i="2"/>
  <c r="H217" i="2"/>
  <c r="G217" i="2"/>
  <c r="F217" i="2"/>
  <c r="E217" i="2"/>
  <c r="D217" i="2"/>
  <c r="C217" i="2"/>
  <c r="FI216" i="2"/>
  <c r="FO216" i="2" s="1"/>
  <c r="FH216" i="2"/>
  <c r="FG216" i="2"/>
  <c r="FF216" i="2"/>
  <c r="FE216" i="2"/>
  <c r="FD216" i="2"/>
  <c r="FC216" i="2"/>
  <c r="FA216" i="2"/>
  <c r="FB216" i="2" s="1"/>
  <c r="EZ216" i="2"/>
  <c r="EY216" i="2"/>
  <c r="EX216" i="2"/>
  <c r="EW216" i="2"/>
  <c r="EV216" i="2"/>
  <c r="EU216" i="2"/>
  <c r="ET216" i="2"/>
  <c r="ES216" i="2"/>
  <c r="ER216" i="2"/>
  <c r="EQ216" i="2"/>
  <c r="EP216" i="2"/>
  <c r="EN216" i="2"/>
  <c r="EO216" i="2" s="1"/>
  <c r="EM216" i="2"/>
  <c r="EL216" i="2"/>
  <c r="EK216" i="2"/>
  <c r="EJ216" i="2"/>
  <c r="EI216" i="2"/>
  <c r="EH216" i="2"/>
  <c r="EG216" i="2"/>
  <c r="EF216" i="2"/>
  <c r="EE216" i="2"/>
  <c r="ED216" i="2"/>
  <c r="EC216" i="2"/>
  <c r="EA216" i="2"/>
  <c r="EB216" i="2" s="1"/>
  <c r="DZ216" i="2"/>
  <c r="DY216" i="2"/>
  <c r="DX216" i="2"/>
  <c r="DW216" i="2"/>
  <c r="DV216" i="2"/>
  <c r="DU216" i="2"/>
  <c r="DT216" i="2"/>
  <c r="DS216" i="2"/>
  <c r="DR216" i="2"/>
  <c r="DQ216" i="2"/>
  <c r="DP216" i="2"/>
  <c r="DO216" i="2"/>
  <c r="DN216" i="2"/>
  <c r="DM216" i="2"/>
  <c r="DL216" i="2"/>
  <c r="DK216" i="2"/>
  <c r="DJ216" i="2"/>
  <c r="DI216" i="2"/>
  <c r="DH216" i="2"/>
  <c r="DG216" i="2"/>
  <c r="DF216" i="2"/>
  <c r="DE216" i="2"/>
  <c r="DD216" i="2"/>
  <c r="DC216" i="2"/>
  <c r="DA216" i="2"/>
  <c r="DB216" i="2" s="1"/>
  <c r="CZ216" i="2"/>
  <c r="CY216" i="2"/>
  <c r="CX216" i="2"/>
  <c r="CW216" i="2"/>
  <c r="CV216" i="2"/>
  <c r="CU216" i="2"/>
  <c r="CT216" i="2"/>
  <c r="CS216" i="2"/>
  <c r="CR216" i="2"/>
  <c r="CQ216" i="2"/>
  <c r="CP216" i="2"/>
  <c r="CO216" i="2"/>
  <c r="CN216" i="2"/>
  <c r="CM216" i="2"/>
  <c r="CL216" i="2"/>
  <c r="CK216" i="2"/>
  <c r="CJ216" i="2"/>
  <c r="CI216" i="2"/>
  <c r="CH216" i="2"/>
  <c r="CG216" i="2"/>
  <c r="CF216" i="2"/>
  <c r="CE216" i="2"/>
  <c r="CD216" i="2"/>
  <c r="CC216" i="2"/>
  <c r="CA216" i="2"/>
  <c r="CB216" i="2" s="1"/>
  <c r="BZ216" i="2"/>
  <c r="BY216" i="2"/>
  <c r="BX216" i="2"/>
  <c r="BW216" i="2"/>
  <c r="BV216" i="2"/>
  <c r="BU216" i="2"/>
  <c r="BT216" i="2"/>
  <c r="BS216" i="2"/>
  <c r="BR216" i="2"/>
  <c r="BQ216" i="2"/>
  <c r="BP216" i="2"/>
  <c r="BN216" i="2"/>
  <c r="BO216" i="2" s="1"/>
  <c r="BM216" i="2"/>
  <c r="BL216" i="2"/>
  <c r="BK216" i="2"/>
  <c r="BJ216" i="2"/>
  <c r="BI216" i="2"/>
  <c r="BH216" i="2"/>
  <c r="BG216" i="2"/>
  <c r="BF216" i="2"/>
  <c r="BE216" i="2"/>
  <c r="BD216" i="2"/>
  <c r="BC216" i="2"/>
  <c r="BA216" i="2"/>
  <c r="BB216" i="2" s="1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N216" i="2"/>
  <c r="O216" i="2" s="1"/>
  <c r="M216" i="2"/>
  <c r="L216" i="2"/>
  <c r="K216" i="2"/>
  <c r="J216" i="2"/>
  <c r="I216" i="2"/>
  <c r="H216" i="2"/>
  <c r="G216" i="2"/>
  <c r="F216" i="2"/>
  <c r="E216" i="2"/>
  <c r="D216" i="2"/>
  <c r="C216" i="2"/>
  <c r="FI215" i="2"/>
  <c r="FO215" i="2" s="1"/>
  <c r="FH215" i="2"/>
  <c r="FG215" i="2"/>
  <c r="FF215" i="2"/>
  <c r="FE215" i="2"/>
  <c r="FD215" i="2"/>
  <c r="FC215" i="2"/>
  <c r="FA215" i="2"/>
  <c r="FB215" i="2" s="1"/>
  <c r="EZ215" i="2"/>
  <c r="EY215" i="2"/>
  <c r="EX215" i="2"/>
  <c r="EW215" i="2"/>
  <c r="EV215" i="2"/>
  <c r="EU215" i="2"/>
  <c r="ET215" i="2"/>
  <c r="ES215" i="2"/>
  <c r="ER215" i="2"/>
  <c r="EQ215" i="2"/>
  <c r="EP215" i="2"/>
  <c r="EN215" i="2"/>
  <c r="EO215" i="2" s="1"/>
  <c r="EM215" i="2"/>
  <c r="EL215" i="2"/>
  <c r="EK215" i="2"/>
  <c r="EJ215" i="2"/>
  <c r="EI215" i="2"/>
  <c r="EH215" i="2"/>
  <c r="EG215" i="2"/>
  <c r="EF215" i="2"/>
  <c r="EE215" i="2"/>
  <c r="ED215" i="2"/>
  <c r="EC215" i="2"/>
  <c r="EB215" i="2"/>
  <c r="EA215" i="2"/>
  <c r="DZ215" i="2"/>
  <c r="DY215" i="2"/>
  <c r="DX215" i="2"/>
  <c r="DW215" i="2"/>
  <c r="DV215" i="2"/>
  <c r="DU215" i="2"/>
  <c r="DT215" i="2"/>
  <c r="DS215" i="2"/>
  <c r="DR215" i="2"/>
  <c r="DQ215" i="2"/>
  <c r="DP215" i="2"/>
  <c r="DN215" i="2"/>
  <c r="DO215" i="2" s="1"/>
  <c r="DM215" i="2"/>
  <c r="DL215" i="2"/>
  <c r="DK215" i="2"/>
  <c r="DJ215" i="2"/>
  <c r="DI215" i="2"/>
  <c r="DH215" i="2"/>
  <c r="DG215" i="2"/>
  <c r="DF215" i="2"/>
  <c r="DE215" i="2"/>
  <c r="DD215" i="2"/>
  <c r="DC215" i="2"/>
  <c r="DB215" i="2"/>
  <c r="DA215" i="2"/>
  <c r="CZ215" i="2"/>
  <c r="CY215" i="2"/>
  <c r="CX215" i="2"/>
  <c r="CW215" i="2"/>
  <c r="CV215" i="2"/>
  <c r="CU215" i="2"/>
  <c r="CT215" i="2"/>
  <c r="CS215" i="2"/>
  <c r="CR215" i="2"/>
  <c r="CQ215" i="2"/>
  <c r="CP215" i="2"/>
  <c r="CN215" i="2"/>
  <c r="CO215" i="2" s="1"/>
  <c r="CM215" i="2"/>
  <c r="CL215" i="2"/>
  <c r="CK215" i="2"/>
  <c r="CJ215" i="2"/>
  <c r="CI215" i="2"/>
  <c r="CH215" i="2"/>
  <c r="CG215" i="2"/>
  <c r="CF215" i="2"/>
  <c r="CE215" i="2"/>
  <c r="CD215" i="2"/>
  <c r="CC215" i="2"/>
  <c r="CA215" i="2"/>
  <c r="CB215" i="2" s="1"/>
  <c r="BZ215" i="2"/>
  <c r="BY215" i="2"/>
  <c r="BX215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D215" i="2"/>
  <c r="BC215" i="2"/>
  <c r="BA215" i="2"/>
  <c r="BB215" i="2" s="1"/>
  <c r="AZ215" i="2"/>
  <c r="AY215" i="2"/>
  <c r="AX215" i="2"/>
  <c r="AW215" i="2"/>
  <c r="AV215" i="2"/>
  <c r="AU215" i="2"/>
  <c r="AT215" i="2"/>
  <c r="AS215" i="2"/>
  <c r="AR215" i="2"/>
  <c r="AQ215" i="2"/>
  <c r="AP215" i="2"/>
  <c r="AO215" i="2"/>
  <c r="AN215" i="2"/>
  <c r="AM215" i="2"/>
  <c r="AL215" i="2"/>
  <c r="AK215" i="2"/>
  <c r="AJ215" i="2"/>
  <c r="AI215" i="2"/>
  <c r="AH215" i="2"/>
  <c r="AG215" i="2"/>
  <c r="AF215" i="2"/>
  <c r="AE215" i="2"/>
  <c r="AD215" i="2"/>
  <c r="AC215" i="2"/>
  <c r="AA215" i="2"/>
  <c r="AB215" i="2" s="1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FI214" i="2"/>
  <c r="FO214" i="2" s="1"/>
  <c r="FH214" i="2"/>
  <c r="FG214" i="2"/>
  <c r="FF214" i="2"/>
  <c r="FE214" i="2"/>
  <c r="FD214" i="2"/>
  <c r="FC214" i="2"/>
  <c r="FA214" i="2"/>
  <c r="FB214" i="2" s="1"/>
  <c r="EZ214" i="2"/>
  <c r="EY214" i="2"/>
  <c r="EX214" i="2"/>
  <c r="EW214" i="2"/>
  <c r="EV214" i="2"/>
  <c r="EU214" i="2"/>
  <c r="ET214" i="2"/>
  <c r="ES214" i="2"/>
  <c r="ER214" i="2"/>
  <c r="EQ214" i="2"/>
  <c r="EP214" i="2"/>
  <c r="EO214" i="2"/>
  <c r="EN214" i="2"/>
  <c r="EM214" i="2"/>
  <c r="EL214" i="2"/>
  <c r="EK214" i="2"/>
  <c r="EJ214" i="2"/>
  <c r="EI214" i="2"/>
  <c r="EH214" i="2"/>
  <c r="EG214" i="2"/>
  <c r="EF214" i="2"/>
  <c r="EE214" i="2"/>
  <c r="ED214" i="2"/>
  <c r="EC214" i="2"/>
  <c r="EB214" i="2"/>
  <c r="EA214" i="2"/>
  <c r="DZ214" i="2"/>
  <c r="DY214" i="2"/>
  <c r="DX214" i="2"/>
  <c r="DW214" i="2"/>
  <c r="DV214" i="2"/>
  <c r="DU214" i="2"/>
  <c r="DT214" i="2"/>
  <c r="DS214" i="2"/>
  <c r="DR214" i="2"/>
  <c r="DQ214" i="2"/>
  <c r="DP214" i="2"/>
  <c r="DO214" i="2"/>
  <c r="DN214" i="2"/>
  <c r="DM214" i="2"/>
  <c r="DL214" i="2"/>
  <c r="DK214" i="2"/>
  <c r="DJ214" i="2"/>
  <c r="DI214" i="2"/>
  <c r="DH214" i="2"/>
  <c r="DG214" i="2"/>
  <c r="DF214" i="2"/>
  <c r="DE214" i="2"/>
  <c r="DD214" i="2"/>
  <c r="DC214" i="2"/>
  <c r="DA214" i="2"/>
  <c r="DB214" i="2" s="1"/>
  <c r="CZ214" i="2"/>
  <c r="CY214" i="2"/>
  <c r="CX214" i="2"/>
  <c r="CW214" i="2"/>
  <c r="CV214" i="2"/>
  <c r="CU214" i="2"/>
  <c r="CT214" i="2"/>
  <c r="CS214" i="2"/>
  <c r="CR214" i="2"/>
  <c r="CQ214" i="2"/>
  <c r="CP214" i="2"/>
  <c r="CO214" i="2"/>
  <c r="CN214" i="2"/>
  <c r="CM214" i="2"/>
  <c r="CL214" i="2"/>
  <c r="CK214" i="2"/>
  <c r="CJ214" i="2"/>
  <c r="CI214" i="2"/>
  <c r="CH214" i="2"/>
  <c r="CG214" i="2"/>
  <c r="CF214" i="2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N214" i="2"/>
  <c r="BO214" i="2" s="1"/>
  <c r="BM214" i="2"/>
  <c r="BL214" i="2"/>
  <c r="BK214" i="2"/>
  <c r="BJ214" i="2"/>
  <c r="BI214" i="2"/>
  <c r="BH214" i="2"/>
  <c r="BG214" i="2"/>
  <c r="BF214" i="2"/>
  <c r="BE214" i="2"/>
  <c r="BD214" i="2"/>
  <c r="BC214" i="2"/>
  <c r="BA214" i="2"/>
  <c r="BB214" i="2" s="1"/>
  <c r="AZ214" i="2"/>
  <c r="AY214" i="2"/>
  <c r="AX214" i="2"/>
  <c r="AW214" i="2"/>
  <c r="AV214" i="2"/>
  <c r="AU214" i="2"/>
  <c r="AT214" i="2"/>
  <c r="AS214" i="2"/>
  <c r="AR214" i="2"/>
  <c r="AQ214" i="2"/>
  <c r="AP214" i="2"/>
  <c r="AN214" i="2"/>
  <c r="AO214" i="2" s="1"/>
  <c r="AM214" i="2"/>
  <c r="AL214" i="2"/>
  <c r="AK214" i="2"/>
  <c r="AJ214" i="2"/>
  <c r="AI214" i="2"/>
  <c r="AH214" i="2"/>
  <c r="AG214" i="2"/>
  <c r="AF214" i="2"/>
  <c r="AE214" i="2"/>
  <c r="AD214" i="2"/>
  <c r="AC214" i="2"/>
  <c r="AA214" i="2"/>
  <c r="AB214" i="2" s="1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FI213" i="2"/>
  <c r="FO213" i="2" s="1"/>
  <c r="FH213" i="2"/>
  <c r="FG213" i="2"/>
  <c r="FF213" i="2"/>
  <c r="FE213" i="2"/>
  <c r="FD213" i="2"/>
  <c r="FC213" i="2"/>
  <c r="FA213" i="2"/>
  <c r="FB213" i="2" s="1"/>
  <c r="EZ213" i="2"/>
  <c r="EY213" i="2"/>
  <c r="EX213" i="2"/>
  <c r="EW213" i="2"/>
  <c r="EV213" i="2"/>
  <c r="EU213" i="2"/>
  <c r="ET213" i="2"/>
  <c r="ES213" i="2"/>
  <c r="ER213" i="2"/>
  <c r="EQ213" i="2"/>
  <c r="EP213" i="2"/>
  <c r="EN213" i="2"/>
  <c r="EO213" i="2" s="1"/>
  <c r="EM213" i="2"/>
  <c r="EL213" i="2"/>
  <c r="EK213" i="2"/>
  <c r="EJ213" i="2"/>
  <c r="EI213" i="2"/>
  <c r="EH213" i="2"/>
  <c r="EG213" i="2"/>
  <c r="EF213" i="2"/>
  <c r="EE213" i="2"/>
  <c r="ED213" i="2"/>
  <c r="EC213" i="2"/>
  <c r="EA213" i="2"/>
  <c r="EB213" i="2" s="1"/>
  <c r="DZ213" i="2"/>
  <c r="DY213" i="2"/>
  <c r="DX213" i="2"/>
  <c r="DW213" i="2"/>
  <c r="DV213" i="2"/>
  <c r="DU213" i="2"/>
  <c r="DT213" i="2"/>
  <c r="DS213" i="2"/>
  <c r="DR213" i="2"/>
  <c r="DQ213" i="2"/>
  <c r="DP213" i="2"/>
  <c r="DO213" i="2"/>
  <c r="DN213" i="2"/>
  <c r="DM213" i="2"/>
  <c r="DL213" i="2"/>
  <c r="DK213" i="2"/>
  <c r="DJ213" i="2"/>
  <c r="DI213" i="2"/>
  <c r="DH213" i="2"/>
  <c r="DG213" i="2"/>
  <c r="DF213" i="2"/>
  <c r="DE213" i="2"/>
  <c r="DD213" i="2"/>
  <c r="DC213" i="2"/>
  <c r="DA213" i="2"/>
  <c r="DB213" i="2" s="1"/>
  <c r="CZ213" i="2"/>
  <c r="CY213" i="2"/>
  <c r="CX213" i="2"/>
  <c r="CW213" i="2"/>
  <c r="CV213" i="2"/>
  <c r="CU213" i="2"/>
  <c r="CT213" i="2"/>
  <c r="CS213" i="2"/>
  <c r="CR213" i="2"/>
  <c r="CQ213" i="2"/>
  <c r="CP213" i="2"/>
  <c r="CO213" i="2"/>
  <c r="CN213" i="2"/>
  <c r="CM213" i="2"/>
  <c r="CL213" i="2"/>
  <c r="CK213" i="2"/>
  <c r="CJ213" i="2"/>
  <c r="CI213" i="2"/>
  <c r="CH213" i="2"/>
  <c r="CG213" i="2"/>
  <c r="CF213" i="2"/>
  <c r="CE213" i="2"/>
  <c r="CD213" i="2"/>
  <c r="CC213" i="2"/>
  <c r="CA213" i="2"/>
  <c r="CB213" i="2" s="1"/>
  <c r="BZ213" i="2"/>
  <c r="BY213" i="2"/>
  <c r="BX213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C213" i="2"/>
  <c r="BA213" i="2"/>
  <c r="BB213" i="2" s="1"/>
  <c r="AZ213" i="2"/>
  <c r="AY213" i="2"/>
  <c r="AX213" i="2"/>
  <c r="AW213" i="2"/>
  <c r="AV213" i="2"/>
  <c r="AU213" i="2"/>
  <c r="AT213" i="2"/>
  <c r="AS213" i="2"/>
  <c r="AR213" i="2"/>
  <c r="AQ213" i="2"/>
  <c r="AP213" i="2"/>
  <c r="AN213" i="2"/>
  <c r="AO213" i="2" s="1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N213" i="2"/>
  <c r="O213" i="2" s="1"/>
  <c r="M213" i="2"/>
  <c r="L213" i="2"/>
  <c r="K213" i="2"/>
  <c r="J213" i="2"/>
  <c r="I213" i="2"/>
  <c r="H213" i="2"/>
  <c r="G213" i="2"/>
  <c r="F213" i="2"/>
  <c r="E213" i="2"/>
  <c r="D213" i="2"/>
  <c r="C213" i="2"/>
  <c r="FI212" i="2"/>
  <c r="FO212" i="2" s="1"/>
  <c r="FH212" i="2"/>
  <c r="FG212" i="2"/>
  <c r="FF212" i="2"/>
  <c r="FE212" i="2"/>
  <c r="FD212" i="2"/>
  <c r="FC212" i="2"/>
  <c r="FA212" i="2"/>
  <c r="FB212" i="2" s="1"/>
  <c r="EZ212" i="2"/>
  <c r="EY212" i="2"/>
  <c r="EX212" i="2"/>
  <c r="EW212" i="2"/>
  <c r="EV212" i="2"/>
  <c r="EU212" i="2"/>
  <c r="ET212" i="2"/>
  <c r="ES212" i="2"/>
  <c r="ER212" i="2"/>
  <c r="EQ212" i="2"/>
  <c r="EP212" i="2"/>
  <c r="EO212" i="2"/>
  <c r="EN212" i="2"/>
  <c r="EM212" i="2"/>
  <c r="EL212" i="2"/>
  <c r="EK212" i="2"/>
  <c r="EJ212" i="2"/>
  <c r="EI212" i="2"/>
  <c r="EH212" i="2"/>
  <c r="EG212" i="2"/>
  <c r="EF212" i="2"/>
  <c r="EE212" i="2"/>
  <c r="ED212" i="2"/>
  <c r="EC212" i="2"/>
  <c r="EA212" i="2"/>
  <c r="EB212" i="2" s="1"/>
  <c r="DZ212" i="2"/>
  <c r="DY212" i="2"/>
  <c r="DX212" i="2"/>
  <c r="DW212" i="2"/>
  <c r="DV212" i="2"/>
  <c r="DU212" i="2"/>
  <c r="DT212" i="2"/>
  <c r="DS212" i="2"/>
  <c r="DR212" i="2"/>
  <c r="DQ212" i="2"/>
  <c r="DP212" i="2"/>
  <c r="DN212" i="2"/>
  <c r="DO212" i="2" s="1"/>
  <c r="DM212" i="2"/>
  <c r="DL212" i="2"/>
  <c r="DK212" i="2"/>
  <c r="DJ212" i="2"/>
  <c r="DI212" i="2"/>
  <c r="DH212" i="2"/>
  <c r="DG212" i="2"/>
  <c r="DF212" i="2"/>
  <c r="DE212" i="2"/>
  <c r="DD212" i="2"/>
  <c r="DC212" i="2"/>
  <c r="DA212" i="2"/>
  <c r="DB212" i="2" s="1"/>
  <c r="CZ212" i="2"/>
  <c r="CY212" i="2"/>
  <c r="CX212" i="2"/>
  <c r="CW212" i="2"/>
  <c r="CV212" i="2"/>
  <c r="CU212" i="2"/>
  <c r="CT212" i="2"/>
  <c r="CS212" i="2"/>
  <c r="CR212" i="2"/>
  <c r="CQ212" i="2"/>
  <c r="CP212" i="2"/>
  <c r="CN212" i="2"/>
  <c r="CO212" i="2" s="1"/>
  <c r="CM212" i="2"/>
  <c r="CL212" i="2"/>
  <c r="CK212" i="2"/>
  <c r="CJ212" i="2"/>
  <c r="CI212" i="2"/>
  <c r="CH212" i="2"/>
  <c r="CG212" i="2"/>
  <c r="CF212" i="2"/>
  <c r="CE212" i="2"/>
  <c r="CD212" i="2"/>
  <c r="CC212" i="2"/>
  <c r="CA212" i="2"/>
  <c r="CB212" i="2" s="1"/>
  <c r="BZ212" i="2"/>
  <c r="BY212" i="2"/>
  <c r="BX212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E212" i="2"/>
  <c r="BD212" i="2"/>
  <c r="BC212" i="2"/>
  <c r="BA212" i="2"/>
  <c r="BB212" i="2" s="1"/>
  <c r="AZ212" i="2"/>
  <c r="AY212" i="2"/>
  <c r="AX212" i="2"/>
  <c r="AW212" i="2"/>
  <c r="AV212" i="2"/>
  <c r="AU212" i="2"/>
  <c r="AT212" i="2"/>
  <c r="AS212" i="2"/>
  <c r="AR212" i="2"/>
  <c r="AQ212" i="2"/>
  <c r="AP212" i="2"/>
  <c r="AN212" i="2"/>
  <c r="AO212" i="2" s="1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FI211" i="2"/>
  <c r="FO211" i="2" s="1"/>
  <c r="FH211" i="2"/>
  <c r="FG211" i="2"/>
  <c r="FF211" i="2"/>
  <c r="FE211" i="2"/>
  <c r="FD211" i="2"/>
  <c r="FC211" i="2"/>
  <c r="FA211" i="2"/>
  <c r="FB211" i="2" s="1"/>
  <c r="EZ211" i="2"/>
  <c r="EY211" i="2"/>
  <c r="EX211" i="2"/>
  <c r="EW211" i="2"/>
  <c r="EV211" i="2"/>
  <c r="EU211" i="2"/>
  <c r="ET211" i="2"/>
  <c r="ES211" i="2"/>
  <c r="ER211" i="2"/>
  <c r="EQ211" i="2"/>
  <c r="EP211" i="2"/>
  <c r="EN211" i="2"/>
  <c r="EO211" i="2" s="1"/>
  <c r="EM211" i="2"/>
  <c r="EL211" i="2"/>
  <c r="EK211" i="2"/>
  <c r="EJ211" i="2"/>
  <c r="EI211" i="2"/>
  <c r="EH211" i="2"/>
  <c r="EG211" i="2"/>
  <c r="EF211" i="2"/>
  <c r="EE211" i="2"/>
  <c r="ED211" i="2"/>
  <c r="EC211" i="2"/>
  <c r="EB211" i="2"/>
  <c r="EA211" i="2"/>
  <c r="DZ211" i="2"/>
  <c r="DY211" i="2"/>
  <c r="DX211" i="2"/>
  <c r="DW211" i="2"/>
  <c r="DV211" i="2"/>
  <c r="DU211" i="2"/>
  <c r="DT211" i="2"/>
  <c r="DS211" i="2"/>
  <c r="DR211" i="2"/>
  <c r="DQ211" i="2"/>
  <c r="DP211" i="2"/>
  <c r="DN211" i="2"/>
  <c r="DO211" i="2" s="1"/>
  <c r="DM211" i="2"/>
  <c r="DL211" i="2"/>
  <c r="DK211" i="2"/>
  <c r="DJ211" i="2"/>
  <c r="DI211" i="2"/>
  <c r="DH211" i="2"/>
  <c r="DG211" i="2"/>
  <c r="DF211" i="2"/>
  <c r="DE211" i="2"/>
  <c r="DD211" i="2"/>
  <c r="DC211" i="2"/>
  <c r="DA211" i="2"/>
  <c r="DB211" i="2" s="1"/>
  <c r="CZ211" i="2"/>
  <c r="CY211" i="2"/>
  <c r="CX211" i="2"/>
  <c r="CW211" i="2"/>
  <c r="CV211" i="2"/>
  <c r="CU211" i="2"/>
  <c r="CT211" i="2"/>
  <c r="CS211" i="2"/>
  <c r="CR211" i="2"/>
  <c r="CQ211" i="2"/>
  <c r="CP211" i="2"/>
  <c r="CO211" i="2"/>
  <c r="CN211" i="2"/>
  <c r="CM211" i="2"/>
  <c r="CL211" i="2"/>
  <c r="CK211" i="2"/>
  <c r="CJ211" i="2"/>
  <c r="CI211" i="2"/>
  <c r="CH211" i="2"/>
  <c r="CG211" i="2"/>
  <c r="CF211" i="2"/>
  <c r="CE211" i="2"/>
  <c r="CD211" i="2"/>
  <c r="CC211" i="2"/>
  <c r="CA211" i="2"/>
  <c r="CB211" i="2" s="1"/>
  <c r="BZ211" i="2"/>
  <c r="BY211" i="2"/>
  <c r="BX211" i="2"/>
  <c r="BW211" i="2"/>
  <c r="BV211" i="2"/>
  <c r="BU211" i="2"/>
  <c r="BT211" i="2"/>
  <c r="BS211" i="2"/>
  <c r="BR211" i="2"/>
  <c r="BQ211" i="2"/>
  <c r="BP211" i="2"/>
  <c r="BN211" i="2"/>
  <c r="BO211" i="2" s="1"/>
  <c r="BM211" i="2"/>
  <c r="BL211" i="2"/>
  <c r="BK211" i="2"/>
  <c r="BJ211" i="2"/>
  <c r="BI211" i="2"/>
  <c r="BH211" i="2"/>
  <c r="BG211" i="2"/>
  <c r="BF211" i="2"/>
  <c r="BE211" i="2"/>
  <c r="BD211" i="2"/>
  <c r="BC211" i="2"/>
  <c r="BA211" i="2"/>
  <c r="BB211" i="2" s="1"/>
  <c r="AZ211" i="2"/>
  <c r="AY211" i="2"/>
  <c r="AX211" i="2"/>
  <c r="AW211" i="2"/>
  <c r="AV211" i="2"/>
  <c r="AU211" i="2"/>
  <c r="AT211" i="2"/>
  <c r="AS211" i="2"/>
  <c r="AR211" i="2"/>
  <c r="AQ211" i="2"/>
  <c r="AP211" i="2"/>
  <c r="AN211" i="2"/>
  <c r="AO211" i="2" s="1"/>
  <c r="AM211" i="2"/>
  <c r="AL211" i="2"/>
  <c r="AK211" i="2"/>
  <c r="AJ211" i="2"/>
  <c r="AI211" i="2"/>
  <c r="AH211" i="2"/>
  <c r="AG211" i="2"/>
  <c r="AF211" i="2"/>
  <c r="AE211" i="2"/>
  <c r="AD211" i="2"/>
  <c r="AC211" i="2"/>
  <c r="AA211" i="2"/>
  <c r="AB211" i="2" s="1"/>
  <c r="Z211" i="2"/>
  <c r="Y211" i="2"/>
  <c r="X211" i="2"/>
  <c r="W211" i="2"/>
  <c r="V211" i="2"/>
  <c r="U211" i="2"/>
  <c r="T211" i="2"/>
  <c r="S211" i="2"/>
  <c r="R211" i="2"/>
  <c r="Q211" i="2"/>
  <c r="P211" i="2"/>
  <c r="N211" i="2"/>
  <c r="O211" i="2" s="1"/>
  <c r="M211" i="2"/>
  <c r="L211" i="2"/>
  <c r="K211" i="2"/>
  <c r="J211" i="2"/>
  <c r="I211" i="2"/>
  <c r="H211" i="2"/>
  <c r="G211" i="2"/>
  <c r="F211" i="2"/>
  <c r="E211" i="2"/>
  <c r="D211" i="2"/>
  <c r="C211" i="2"/>
  <c r="FI210" i="2"/>
  <c r="FO210" i="2" s="1"/>
  <c r="FH210" i="2"/>
  <c r="FG210" i="2"/>
  <c r="FF210" i="2"/>
  <c r="FE210" i="2"/>
  <c r="FD210" i="2"/>
  <c r="FC210" i="2"/>
  <c r="FA210" i="2"/>
  <c r="FB210" i="2" s="1"/>
  <c r="EZ210" i="2"/>
  <c r="EY210" i="2"/>
  <c r="EX210" i="2"/>
  <c r="EW210" i="2"/>
  <c r="EV210" i="2"/>
  <c r="EU210" i="2"/>
  <c r="ET210" i="2"/>
  <c r="ES210" i="2"/>
  <c r="ER210" i="2"/>
  <c r="EQ210" i="2"/>
  <c r="EP210" i="2"/>
  <c r="EN210" i="2"/>
  <c r="EO210" i="2" s="1"/>
  <c r="EM210" i="2"/>
  <c r="EL210" i="2"/>
  <c r="EK210" i="2"/>
  <c r="EJ210" i="2"/>
  <c r="EI210" i="2"/>
  <c r="EH210" i="2"/>
  <c r="EG210" i="2"/>
  <c r="EF210" i="2"/>
  <c r="EE210" i="2"/>
  <c r="ED210" i="2"/>
  <c r="EC210" i="2"/>
  <c r="EA210" i="2"/>
  <c r="EB210" i="2" s="1"/>
  <c r="DZ210" i="2"/>
  <c r="DY210" i="2"/>
  <c r="DX210" i="2"/>
  <c r="DW210" i="2"/>
  <c r="DV210" i="2"/>
  <c r="DU210" i="2"/>
  <c r="DT210" i="2"/>
  <c r="DS210" i="2"/>
  <c r="DR210" i="2"/>
  <c r="DQ210" i="2"/>
  <c r="DP210" i="2"/>
  <c r="DO210" i="2"/>
  <c r="DN210" i="2"/>
  <c r="DM210" i="2"/>
  <c r="DL210" i="2"/>
  <c r="DK210" i="2"/>
  <c r="DJ210" i="2"/>
  <c r="DI210" i="2"/>
  <c r="DH210" i="2"/>
  <c r="DG210" i="2"/>
  <c r="DF210" i="2"/>
  <c r="DE210" i="2"/>
  <c r="DD210" i="2"/>
  <c r="DC210" i="2"/>
  <c r="DA210" i="2"/>
  <c r="DB210" i="2" s="1"/>
  <c r="CZ210" i="2"/>
  <c r="CY210" i="2"/>
  <c r="CX210" i="2"/>
  <c r="CW210" i="2"/>
  <c r="CV210" i="2"/>
  <c r="CU210" i="2"/>
  <c r="CT210" i="2"/>
  <c r="CS210" i="2"/>
  <c r="CR210" i="2"/>
  <c r="CQ210" i="2"/>
  <c r="CP210" i="2"/>
  <c r="CN210" i="2"/>
  <c r="CO210" i="2" s="1"/>
  <c r="CM210" i="2"/>
  <c r="CL210" i="2"/>
  <c r="CK210" i="2"/>
  <c r="CJ210" i="2"/>
  <c r="CI210" i="2"/>
  <c r="CH210" i="2"/>
  <c r="CG210" i="2"/>
  <c r="CF210" i="2"/>
  <c r="CE210" i="2"/>
  <c r="CD210" i="2"/>
  <c r="CC210" i="2"/>
  <c r="CB210" i="2"/>
  <c r="CA210" i="2"/>
  <c r="BZ210" i="2"/>
  <c r="BY210" i="2"/>
  <c r="BX210" i="2"/>
  <c r="BW210" i="2"/>
  <c r="BV210" i="2"/>
  <c r="BU210" i="2"/>
  <c r="BT210" i="2"/>
  <c r="BS210" i="2"/>
  <c r="BR210" i="2"/>
  <c r="BQ210" i="2"/>
  <c r="BP210" i="2"/>
  <c r="BN210" i="2"/>
  <c r="BO210" i="2" s="1"/>
  <c r="BM210" i="2"/>
  <c r="BL210" i="2"/>
  <c r="BK210" i="2"/>
  <c r="BJ210" i="2"/>
  <c r="BI210" i="2"/>
  <c r="BH210" i="2"/>
  <c r="BG210" i="2"/>
  <c r="BF210" i="2"/>
  <c r="BE210" i="2"/>
  <c r="BD210" i="2"/>
  <c r="BC210" i="2"/>
  <c r="BA210" i="2"/>
  <c r="BB210" i="2" s="1"/>
  <c r="AZ210" i="2"/>
  <c r="AY210" i="2"/>
  <c r="AX210" i="2"/>
  <c r="AW210" i="2"/>
  <c r="AV210" i="2"/>
  <c r="AU210" i="2"/>
  <c r="AT210" i="2"/>
  <c r="AS210" i="2"/>
  <c r="AR210" i="2"/>
  <c r="AQ210" i="2"/>
  <c r="AP210" i="2"/>
  <c r="AN210" i="2"/>
  <c r="AO210" i="2" s="1"/>
  <c r="AM210" i="2"/>
  <c r="AL210" i="2"/>
  <c r="AK210" i="2"/>
  <c r="AJ210" i="2"/>
  <c r="AI210" i="2"/>
  <c r="AH210" i="2"/>
  <c r="AG210" i="2"/>
  <c r="AF210" i="2"/>
  <c r="AE210" i="2"/>
  <c r="AD210" i="2"/>
  <c r="AC210" i="2"/>
  <c r="AA210" i="2"/>
  <c r="AB210" i="2" s="1"/>
  <c r="Z210" i="2"/>
  <c r="Y210" i="2"/>
  <c r="X210" i="2"/>
  <c r="W210" i="2"/>
  <c r="V210" i="2"/>
  <c r="U210" i="2"/>
  <c r="T210" i="2"/>
  <c r="S210" i="2"/>
  <c r="R210" i="2"/>
  <c r="Q210" i="2"/>
  <c r="P210" i="2"/>
  <c r="N210" i="2"/>
  <c r="O210" i="2" s="1"/>
  <c r="M210" i="2"/>
  <c r="L210" i="2"/>
  <c r="K210" i="2"/>
  <c r="J210" i="2"/>
  <c r="I210" i="2"/>
  <c r="H210" i="2"/>
  <c r="G210" i="2"/>
  <c r="F210" i="2"/>
  <c r="E210" i="2"/>
  <c r="D210" i="2"/>
  <c r="C210" i="2"/>
  <c r="FI209" i="2"/>
  <c r="FO209" i="2" s="1"/>
  <c r="FH209" i="2"/>
  <c r="FG209" i="2"/>
  <c r="FF209" i="2"/>
  <c r="FE209" i="2"/>
  <c r="FD209" i="2"/>
  <c r="FC209" i="2"/>
  <c r="FA209" i="2"/>
  <c r="FB209" i="2" s="1"/>
  <c r="EZ209" i="2"/>
  <c r="EY209" i="2"/>
  <c r="EX209" i="2"/>
  <c r="EW209" i="2"/>
  <c r="EV209" i="2"/>
  <c r="EU209" i="2"/>
  <c r="ET209" i="2"/>
  <c r="ES209" i="2"/>
  <c r="ER209" i="2"/>
  <c r="EQ209" i="2"/>
  <c r="EP209" i="2"/>
  <c r="EN209" i="2"/>
  <c r="EO209" i="2" s="1"/>
  <c r="EM209" i="2"/>
  <c r="EL209" i="2"/>
  <c r="EK209" i="2"/>
  <c r="EJ209" i="2"/>
  <c r="EI209" i="2"/>
  <c r="EH209" i="2"/>
  <c r="EG209" i="2"/>
  <c r="EF209" i="2"/>
  <c r="EE209" i="2"/>
  <c r="ED209" i="2"/>
  <c r="EC209" i="2"/>
  <c r="EB209" i="2"/>
  <c r="EA209" i="2"/>
  <c r="DZ209" i="2"/>
  <c r="DY209" i="2"/>
  <c r="DX209" i="2"/>
  <c r="DW209" i="2"/>
  <c r="DV209" i="2"/>
  <c r="DU209" i="2"/>
  <c r="DT209" i="2"/>
  <c r="DS209" i="2"/>
  <c r="DR209" i="2"/>
  <c r="DQ209" i="2"/>
  <c r="DP209" i="2"/>
  <c r="DN209" i="2"/>
  <c r="DO209" i="2" s="1"/>
  <c r="DM209" i="2"/>
  <c r="DL209" i="2"/>
  <c r="DK209" i="2"/>
  <c r="DJ209" i="2"/>
  <c r="DI209" i="2"/>
  <c r="DH209" i="2"/>
  <c r="DG209" i="2"/>
  <c r="DF209" i="2"/>
  <c r="DE209" i="2"/>
  <c r="DD209" i="2"/>
  <c r="DC209" i="2"/>
  <c r="DA209" i="2"/>
  <c r="DB209" i="2" s="1"/>
  <c r="CZ209" i="2"/>
  <c r="CY209" i="2"/>
  <c r="CX209" i="2"/>
  <c r="CW209" i="2"/>
  <c r="CV209" i="2"/>
  <c r="CU209" i="2"/>
  <c r="CT209" i="2"/>
  <c r="CS209" i="2"/>
  <c r="CR209" i="2"/>
  <c r="CQ209" i="2"/>
  <c r="CP209" i="2"/>
  <c r="CN209" i="2"/>
  <c r="CO209" i="2" s="1"/>
  <c r="CM209" i="2"/>
  <c r="CL209" i="2"/>
  <c r="CK209" i="2"/>
  <c r="CJ209" i="2"/>
  <c r="CI209" i="2"/>
  <c r="CH209" i="2"/>
  <c r="CG209" i="2"/>
  <c r="CF209" i="2"/>
  <c r="CE209" i="2"/>
  <c r="CD209" i="2"/>
  <c r="CC209" i="2"/>
  <c r="CA209" i="2"/>
  <c r="CB209" i="2" s="1"/>
  <c r="BZ209" i="2"/>
  <c r="BY209" i="2"/>
  <c r="BX209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C209" i="2"/>
  <c r="BA209" i="2"/>
  <c r="BB209" i="2" s="1"/>
  <c r="AZ209" i="2"/>
  <c r="AY209" i="2"/>
  <c r="AX209" i="2"/>
  <c r="AW209" i="2"/>
  <c r="AV209" i="2"/>
  <c r="AU209" i="2"/>
  <c r="AT209" i="2"/>
  <c r="AS209" i="2"/>
  <c r="AR209" i="2"/>
  <c r="AQ209" i="2"/>
  <c r="AP209" i="2"/>
  <c r="AN209" i="2"/>
  <c r="AO209" i="2" s="1"/>
  <c r="AM209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FI208" i="2"/>
  <c r="FO208" i="2" s="1"/>
  <c r="FH208" i="2"/>
  <c r="FG208" i="2"/>
  <c r="FF208" i="2"/>
  <c r="FE208" i="2"/>
  <c r="FD208" i="2"/>
  <c r="FC208" i="2"/>
  <c r="FA208" i="2"/>
  <c r="FB208" i="2" s="1"/>
  <c r="EZ208" i="2"/>
  <c r="EY208" i="2"/>
  <c r="EX208" i="2"/>
  <c r="EW208" i="2"/>
  <c r="EV208" i="2"/>
  <c r="EU208" i="2"/>
  <c r="ET208" i="2"/>
  <c r="ES208" i="2"/>
  <c r="ER208" i="2"/>
  <c r="EQ208" i="2"/>
  <c r="EP208" i="2"/>
  <c r="EO208" i="2"/>
  <c r="EN208" i="2"/>
  <c r="EM208" i="2"/>
  <c r="EL208" i="2"/>
  <c r="EK208" i="2"/>
  <c r="EJ208" i="2"/>
  <c r="EI208" i="2"/>
  <c r="EH208" i="2"/>
  <c r="EG208" i="2"/>
  <c r="EF208" i="2"/>
  <c r="EE208" i="2"/>
  <c r="ED208" i="2"/>
  <c r="EC208" i="2"/>
  <c r="EA208" i="2"/>
  <c r="EB208" i="2" s="1"/>
  <c r="DZ208" i="2"/>
  <c r="DY208" i="2"/>
  <c r="DX208" i="2"/>
  <c r="DW208" i="2"/>
  <c r="DV208" i="2"/>
  <c r="DU208" i="2"/>
  <c r="DT208" i="2"/>
  <c r="DS208" i="2"/>
  <c r="DR208" i="2"/>
  <c r="DQ208" i="2"/>
  <c r="DP208" i="2"/>
  <c r="DN208" i="2"/>
  <c r="DO208" i="2" s="1"/>
  <c r="DM208" i="2"/>
  <c r="DL208" i="2"/>
  <c r="DK208" i="2"/>
  <c r="DJ208" i="2"/>
  <c r="DI208" i="2"/>
  <c r="DH208" i="2"/>
  <c r="DG208" i="2"/>
  <c r="DF208" i="2"/>
  <c r="DE208" i="2"/>
  <c r="DD208" i="2"/>
  <c r="DC208" i="2"/>
  <c r="DA208" i="2"/>
  <c r="DB208" i="2" s="1"/>
  <c r="CZ208" i="2"/>
  <c r="CY208" i="2"/>
  <c r="CX208" i="2"/>
  <c r="CW208" i="2"/>
  <c r="CV208" i="2"/>
  <c r="CU208" i="2"/>
  <c r="CT208" i="2"/>
  <c r="CS208" i="2"/>
  <c r="CR208" i="2"/>
  <c r="CQ208" i="2"/>
  <c r="CP208" i="2"/>
  <c r="CO208" i="2"/>
  <c r="CN208" i="2"/>
  <c r="CM208" i="2"/>
  <c r="CL208" i="2"/>
  <c r="CK208" i="2"/>
  <c r="CJ208" i="2"/>
  <c r="CI208" i="2"/>
  <c r="CH208" i="2"/>
  <c r="CG208" i="2"/>
  <c r="CF208" i="2"/>
  <c r="CE208" i="2"/>
  <c r="CD208" i="2"/>
  <c r="CC208" i="2"/>
  <c r="CB208" i="2"/>
  <c r="CA208" i="2"/>
  <c r="BZ208" i="2"/>
  <c r="BY208" i="2"/>
  <c r="BX208" i="2"/>
  <c r="BW208" i="2"/>
  <c r="BV208" i="2"/>
  <c r="BU208" i="2"/>
  <c r="BT208" i="2"/>
  <c r="BS208" i="2"/>
  <c r="BR208" i="2"/>
  <c r="BQ208" i="2"/>
  <c r="BP208" i="2"/>
  <c r="BN208" i="2"/>
  <c r="BO208" i="2" s="1"/>
  <c r="BM208" i="2"/>
  <c r="BL208" i="2"/>
  <c r="BK208" i="2"/>
  <c r="BJ208" i="2"/>
  <c r="BI208" i="2"/>
  <c r="BH208" i="2"/>
  <c r="BG208" i="2"/>
  <c r="BF208" i="2"/>
  <c r="BE208" i="2"/>
  <c r="BD208" i="2"/>
  <c r="BC208" i="2"/>
  <c r="BA208" i="2"/>
  <c r="BB208" i="2" s="1"/>
  <c r="AZ208" i="2"/>
  <c r="AY208" i="2"/>
  <c r="AX208" i="2"/>
  <c r="AW208" i="2"/>
  <c r="AV208" i="2"/>
  <c r="AU208" i="2"/>
  <c r="AT208" i="2"/>
  <c r="AS208" i="2"/>
  <c r="AR208" i="2"/>
  <c r="AQ208" i="2"/>
  <c r="AP208" i="2"/>
  <c r="AN208" i="2"/>
  <c r="AO208" i="2" s="1"/>
  <c r="AM208" i="2"/>
  <c r="AL208" i="2"/>
  <c r="AK208" i="2"/>
  <c r="AJ208" i="2"/>
  <c r="AI208" i="2"/>
  <c r="AH208" i="2"/>
  <c r="AG208" i="2"/>
  <c r="AF208" i="2"/>
  <c r="AE208" i="2"/>
  <c r="AD208" i="2"/>
  <c r="AC208" i="2"/>
  <c r="AA208" i="2"/>
  <c r="AB208" i="2" s="1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FI207" i="2"/>
  <c r="FO207" i="2" s="1"/>
  <c r="FH207" i="2"/>
  <c r="FG207" i="2"/>
  <c r="FF207" i="2"/>
  <c r="FE207" i="2"/>
  <c r="FD207" i="2"/>
  <c r="FC207" i="2"/>
  <c r="FA207" i="2"/>
  <c r="FB207" i="2" s="1"/>
  <c r="EZ207" i="2"/>
  <c r="EY207" i="2"/>
  <c r="EX207" i="2"/>
  <c r="EW207" i="2"/>
  <c r="EV207" i="2"/>
  <c r="EU207" i="2"/>
  <c r="ET207" i="2"/>
  <c r="ES207" i="2"/>
  <c r="ER207" i="2"/>
  <c r="EQ207" i="2"/>
  <c r="EP207" i="2"/>
  <c r="EN207" i="2"/>
  <c r="EO207" i="2" s="1"/>
  <c r="EM207" i="2"/>
  <c r="EL207" i="2"/>
  <c r="EK207" i="2"/>
  <c r="EJ207" i="2"/>
  <c r="EI207" i="2"/>
  <c r="EH207" i="2"/>
  <c r="EG207" i="2"/>
  <c r="EF207" i="2"/>
  <c r="EE207" i="2"/>
  <c r="ED207" i="2"/>
  <c r="EC207" i="2"/>
  <c r="EA207" i="2"/>
  <c r="EB207" i="2" s="1"/>
  <c r="DZ207" i="2"/>
  <c r="DY207" i="2"/>
  <c r="DX207" i="2"/>
  <c r="DW207" i="2"/>
  <c r="DV207" i="2"/>
  <c r="DU207" i="2"/>
  <c r="DT207" i="2"/>
  <c r="DS207" i="2"/>
  <c r="DR207" i="2"/>
  <c r="DQ207" i="2"/>
  <c r="DP207" i="2"/>
  <c r="DO207" i="2"/>
  <c r="DN207" i="2"/>
  <c r="DM207" i="2"/>
  <c r="DL207" i="2"/>
  <c r="DK207" i="2"/>
  <c r="DJ207" i="2"/>
  <c r="DI207" i="2"/>
  <c r="DH207" i="2"/>
  <c r="DG207" i="2"/>
  <c r="DF207" i="2"/>
  <c r="DE207" i="2"/>
  <c r="DD207" i="2"/>
  <c r="DC207" i="2"/>
  <c r="DA207" i="2"/>
  <c r="DB207" i="2" s="1"/>
  <c r="CZ207" i="2"/>
  <c r="CY207" i="2"/>
  <c r="CX207" i="2"/>
  <c r="CW207" i="2"/>
  <c r="CV207" i="2"/>
  <c r="CU207" i="2"/>
  <c r="CT207" i="2"/>
  <c r="CS207" i="2"/>
  <c r="CR207" i="2"/>
  <c r="CQ207" i="2"/>
  <c r="CP207" i="2"/>
  <c r="CN207" i="2"/>
  <c r="CO207" i="2" s="1"/>
  <c r="CM207" i="2"/>
  <c r="CL207" i="2"/>
  <c r="CK207" i="2"/>
  <c r="CJ207" i="2"/>
  <c r="CI207" i="2"/>
  <c r="CH207" i="2"/>
  <c r="CG207" i="2"/>
  <c r="CF207" i="2"/>
  <c r="CE207" i="2"/>
  <c r="CD207" i="2"/>
  <c r="CC207" i="2"/>
  <c r="CA207" i="2"/>
  <c r="CB207" i="2" s="1"/>
  <c r="BZ207" i="2"/>
  <c r="BY207" i="2"/>
  <c r="BX207" i="2"/>
  <c r="BW207" i="2"/>
  <c r="BV207" i="2"/>
  <c r="BU207" i="2"/>
  <c r="BT207" i="2"/>
  <c r="BS207" i="2"/>
  <c r="BR207" i="2"/>
  <c r="BQ207" i="2"/>
  <c r="BP207" i="2"/>
  <c r="BO207" i="2"/>
  <c r="BN207" i="2"/>
  <c r="BM207" i="2"/>
  <c r="BL207" i="2"/>
  <c r="BK207" i="2"/>
  <c r="BJ207" i="2"/>
  <c r="BI207" i="2"/>
  <c r="BH207" i="2"/>
  <c r="BG207" i="2"/>
  <c r="BF207" i="2"/>
  <c r="BE207" i="2"/>
  <c r="BD207" i="2"/>
  <c r="BC207" i="2"/>
  <c r="BA207" i="2"/>
  <c r="BB207" i="2" s="1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A207" i="2"/>
  <c r="AB207" i="2" s="1"/>
  <c r="Z207" i="2"/>
  <c r="Y207" i="2"/>
  <c r="X207" i="2"/>
  <c r="W207" i="2"/>
  <c r="V207" i="2"/>
  <c r="U207" i="2"/>
  <c r="T207" i="2"/>
  <c r="S207" i="2"/>
  <c r="R207" i="2"/>
  <c r="Q207" i="2"/>
  <c r="P207" i="2"/>
  <c r="N207" i="2"/>
  <c r="O207" i="2" s="1"/>
  <c r="M207" i="2"/>
  <c r="L207" i="2"/>
  <c r="K207" i="2"/>
  <c r="J207" i="2"/>
  <c r="I207" i="2"/>
  <c r="H207" i="2"/>
  <c r="G207" i="2"/>
  <c r="F207" i="2"/>
  <c r="E207" i="2"/>
  <c r="D207" i="2"/>
  <c r="C207" i="2"/>
  <c r="FI206" i="2"/>
  <c r="FO206" i="2" s="1"/>
  <c r="FH206" i="2"/>
  <c r="FG206" i="2"/>
  <c r="FF206" i="2"/>
  <c r="FE206" i="2"/>
  <c r="FD206" i="2"/>
  <c r="FC206" i="2"/>
  <c r="FA206" i="2"/>
  <c r="FB206" i="2" s="1"/>
  <c r="EZ206" i="2"/>
  <c r="EY206" i="2"/>
  <c r="EX206" i="2"/>
  <c r="EW206" i="2"/>
  <c r="EV206" i="2"/>
  <c r="EU206" i="2"/>
  <c r="ET206" i="2"/>
  <c r="ES206" i="2"/>
  <c r="ER206" i="2"/>
  <c r="EQ206" i="2"/>
  <c r="EP206" i="2"/>
  <c r="EN206" i="2"/>
  <c r="EO206" i="2" s="1"/>
  <c r="EM206" i="2"/>
  <c r="EL206" i="2"/>
  <c r="EK206" i="2"/>
  <c r="EJ206" i="2"/>
  <c r="EI206" i="2"/>
  <c r="EH206" i="2"/>
  <c r="EG206" i="2"/>
  <c r="EF206" i="2"/>
  <c r="EE206" i="2"/>
  <c r="ED206" i="2"/>
  <c r="EC206" i="2"/>
  <c r="EB206" i="2"/>
  <c r="EA206" i="2"/>
  <c r="DZ206" i="2"/>
  <c r="DY206" i="2"/>
  <c r="DX206" i="2"/>
  <c r="DW206" i="2"/>
  <c r="DV206" i="2"/>
  <c r="DU206" i="2"/>
  <c r="DT206" i="2"/>
  <c r="DS206" i="2"/>
  <c r="DR206" i="2"/>
  <c r="DQ206" i="2"/>
  <c r="DP206" i="2"/>
  <c r="DN206" i="2"/>
  <c r="DO206" i="2" s="1"/>
  <c r="DM206" i="2"/>
  <c r="DL206" i="2"/>
  <c r="DK206" i="2"/>
  <c r="DJ206" i="2"/>
  <c r="DI206" i="2"/>
  <c r="DH206" i="2"/>
  <c r="DG206" i="2"/>
  <c r="DF206" i="2"/>
  <c r="DE206" i="2"/>
  <c r="DD206" i="2"/>
  <c r="DC206" i="2"/>
  <c r="DA206" i="2"/>
  <c r="DB206" i="2" s="1"/>
  <c r="CZ206" i="2"/>
  <c r="CY206" i="2"/>
  <c r="CX206" i="2"/>
  <c r="CW206" i="2"/>
  <c r="CV206" i="2"/>
  <c r="CU206" i="2"/>
  <c r="CT206" i="2"/>
  <c r="CS206" i="2"/>
  <c r="CR206" i="2"/>
  <c r="CQ206" i="2"/>
  <c r="CP206" i="2"/>
  <c r="CN206" i="2"/>
  <c r="CO206" i="2" s="1"/>
  <c r="CM206" i="2"/>
  <c r="CL206" i="2"/>
  <c r="CK206" i="2"/>
  <c r="CJ206" i="2"/>
  <c r="CI206" i="2"/>
  <c r="CH206" i="2"/>
  <c r="CG206" i="2"/>
  <c r="CF206" i="2"/>
  <c r="CE206" i="2"/>
  <c r="CD206" i="2"/>
  <c r="CC206" i="2"/>
  <c r="CA206" i="2"/>
  <c r="CB206" i="2" s="1"/>
  <c r="BZ206" i="2"/>
  <c r="BY206" i="2"/>
  <c r="BX206" i="2"/>
  <c r="BW206" i="2"/>
  <c r="BV206" i="2"/>
  <c r="BU206" i="2"/>
  <c r="BT206" i="2"/>
  <c r="BS206" i="2"/>
  <c r="BR206" i="2"/>
  <c r="BQ206" i="2"/>
  <c r="BP206" i="2"/>
  <c r="BO206" i="2"/>
  <c r="BN206" i="2"/>
  <c r="BM206" i="2"/>
  <c r="BL206" i="2"/>
  <c r="BK206" i="2"/>
  <c r="BJ206" i="2"/>
  <c r="BI206" i="2"/>
  <c r="BH206" i="2"/>
  <c r="BG206" i="2"/>
  <c r="BF206" i="2"/>
  <c r="BE206" i="2"/>
  <c r="BD206" i="2"/>
  <c r="BC206" i="2"/>
  <c r="BA206" i="2"/>
  <c r="BB206" i="2" s="1"/>
  <c r="AZ206" i="2"/>
  <c r="AY206" i="2"/>
  <c r="AX206" i="2"/>
  <c r="AW206" i="2"/>
  <c r="AV206" i="2"/>
  <c r="AU206" i="2"/>
  <c r="AT206" i="2"/>
  <c r="AS206" i="2"/>
  <c r="AR206" i="2"/>
  <c r="AQ206" i="2"/>
  <c r="AP206" i="2"/>
  <c r="AN206" i="2"/>
  <c r="AO206" i="2" s="1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N206" i="2"/>
  <c r="O206" i="2" s="1"/>
  <c r="M206" i="2"/>
  <c r="L206" i="2"/>
  <c r="K206" i="2"/>
  <c r="J206" i="2"/>
  <c r="I206" i="2"/>
  <c r="H206" i="2"/>
  <c r="G206" i="2"/>
  <c r="F206" i="2"/>
  <c r="E206" i="2"/>
  <c r="D206" i="2"/>
  <c r="C206" i="2"/>
  <c r="FI205" i="2"/>
  <c r="FO205" i="2" s="1"/>
  <c r="FH205" i="2"/>
  <c r="FG205" i="2"/>
  <c r="FF205" i="2"/>
  <c r="FE205" i="2"/>
  <c r="FD205" i="2"/>
  <c r="FC205" i="2"/>
  <c r="FA205" i="2"/>
  <c r="FB205" i="2" s="1"/>
  <c r="EZ205" i="2"/>
  <c r="EY205" i="2"/>
  <c r="EX205" i="2"/>
  <c r="EW205" i="2"/>
  <c r="EV205" i="2"/>
  <c r="EU205" i="2"/>
  <c r="ET205" i="2"/>
  <c r="ES205" i="2"/>
  <c r="ER205" i="2"/>
  <c r="EQ205" i="2"/>
  <c r="EP205" i="2"/>
  <c r="EN205" i="2"/>
  <c r="EO205" i="2" s="1"/>
  <c r="EM205" i="2"/>
  <c r="EL205" i="2"/>
  <c r="EK205" i="2"/>
  <c r="EJ205" i="2"/>
  <c r="EI205" i="2"/>
  <c r="EH205" i="2"/>
  <c r="EG205" i="2"/>
  <c r="EF205" i="2"/>
  <c r="EE205" i="2"/>
  <c r="ED205" i="2"/>
  <c r="EC205" i="2"/>
  <c r="EA205" i="2"/>
  <c r="EB205" i="2" s="1"/>
  <c r="DZ205" i="2"/>
  <c r="DY205" i="2"/>
  <c r="DX205" i="2"/>
  <c r="DW205" i="2"/>
  <c r="DV205" i="2"/>
  <c r="DU205" i="2"/>
  <c r="DT205" i="2"/>
  <c r="DS205" i="2"/>
  <c r="DR205" i="2"/>
  <c r="DQ205" i="2"/>
  <c r="DP205" i="2"/>
  <c r="DO205" i="2"/>
  <c r="DN205" i="2"/>
  <c r="DM205" i="2"/>
  <c r="DL205" i="2"/>
  <c r="DK205" i="2"/>
  <c r="DJ205" i="2"/>
  <c r="DI205" i="2"/>
  <c r="DH205" i="2"/>
  <c r="DG205" i="2"/>
  <c r="DF205" i="2"/>
  <c r="DE205" i="2"/>
  <c r="DD205" i="2"/>
  <c r="DC205" i="2"/>
  <c r="DA205" i="2"/>
  <c r="DB205" i="2" s="1"/>
  <c r="CZ205" i="2"/>
  <c r="CY205" i="2"/>
  <c r="CX205" i="2"/>
  <c r="CW205" i="2"/>
  <c r="CV205" i="2"/>
  <c r="CU205" i="2"/>
  <c r="CT205" i="2"/>
  <c r="CS205" i="2"/>
  <c r="CR205" i="2"/>
  <c r="CQ205" i="2"/>
  <c r="CP205" i="2"/>
  <c r="CN205" i="2"/>
  <c r="CO205" i="2" s="1"/>
  <c r="CM205" i="2"/>
  <c r="CL205" i="2"/>
  <c r="CK205" i="2"/>
  <c r="CJ205" i="2"/>
  <c r="CI205" i="2"/>
  <c r="CH205" i="2"/>
  <c r="CG205" i="2"/>
  <c r="CF205" i="2"/>
  <c r="CE205" i="2"/>
  <c r="CD205" i="2"/>
  <c r="CC205" i="2"/>
  <c r="CA205" i="2"/>
  <c r="CB205" i="2" s="1"/>
  <c r="BZ205" i="2"/>
  <c r="BY205" i="2"/>
  <c r="BX205" i="2"/>
  <c r="BW205" i="2"/>
  <c r="BV205" i="2"/>
  <c r="BU205" i="2"/>
  <c r="BT205" i="2"/>
  <c r="BS205" i="2"/>
  <c r="BR205" i="2"/>
  <c r="BQ205" i="2"/>
  <c r="BP205" i="2"/>
  <c r="BN205" i="2"/>
  <c r="BO205" i="2" s="1"/>
  <c r="BM205" i="2"/>
  <c r="BL205" i="2"/>
  <c r="BK205" i="2"/>
  <c r="BJ205" i="2"/>
  <c r="BI205" i="2"/>
  <c r="BH205" i="2"/>
  <c r="BG205" i="2"/>
  <c r="BF205" i="2"/>
  <c r="BE205" i="2"/>
  <c r="BD205" i="2"/>
  <c r="BC205" i="2"/>
  <c r="BA205" i="2"/>
  <c r="BB205" i="2" s="1"/>
  <c r="AZ205" i="2"/>
  <c r="AY205" i="2"/>
  <c r="AX205" i="2"/>
  <c r="AW205" i="2"/>
  <c r="AV205" i="2"/>
  <c r="AU205" i="2"/>
  <c r="AT205" i="2"/>
  <c r="AS205" i="2"/>
  <c r="AR205" i="2"/>
  <c r="AQ205" i="2"/>
  <c r="AP205" i="2"/>
  <c r="AN205" i="2"/>
  <c r="AO205" i="2" s="1"/>
  <c r="AM205" i="2"/>
  <c r="AL205" i="2"/>
  <c r="AK205" i="2"/>
  <c r="AJ205" i="2"/>
  <c r="AI205" i="2"/>
  <c r="AH205" i="2"/>
  <c r="AG205" i="2"/>
  <c r="AF205" i="2"/>
  <c r="AE205" i="2"/>
  <c r="AD205" i="2"/>
  <c r="AC205" i="2"/>
  <c r="AA205" i="2"/>
  <c r="AB205" i="2" s="1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FI204" i="2"/>
  <c r="FO204" i="2" s="1"/>
  <c r="FH204" i="2"/>
  <c r="FG204" i="2"/>
  <c r="FF204" i="2"/>
  <c r="FE204" i="2"/>
  <c r="FD204" i="2"/>
  <c r="FC204" i="2"/>
  <c r="FA204" i="2"/>
  <c r="FB204" i="2" s="1"/>
  <c r="EZ204" i="2"/>
  <c r="EY204" i="2"/>
  <c r="EX204" i="2"/>
  <c r="EW204" i="2"/>
  <c r="EV204" i="2"/>
  <c r="EU204" i="2"/>
  <c r="ET204" i="2"/>
  <c r="ES204" i="2"/>
  <c r="ER204" i="2"/>
  <c r="EQ204" i="2"/>
  <c r="EP204" i="2"/>
  <c r="EN204" i="2"/>
  <c r="EO204" i="2" s="1"/>
  <c r="EM204" i="2"/>
  <c r="EL204" i="2"/>
  <c r="EK204" i="2"/>
  <c r="EJ204" i="2"/>
  <c r="EI204" i="2"/>
  <c r="EH204" i="2"/>
  <c r="EG204" i="2"/>
  <c r="EF204" i="2"/>
  <c r="EE204" i="2"/>
  <c r="ED204" i="2"/>
  <c r="EC204" i="2"/>
  <c r="EA204" i="2"/>
  <c r="EB204" i="2" s="1"/>
  <c r="DZ204" i="2"/>
  <c r="DY204" i="2"/>
  <c r="DX204" i="2"/>
  <c r="DW204" i="2"/>
  <c r="DV204" i="2"/>
  <c r="DU204" i="2"/>
  <c r="DT204" i="2"/>
  <c r="DS204" i="2"/>
  <c r="DR204" i="2"/>
  <c r="DQ204" i="2"/>
  <c r="DP204" i="2"/>
  <c r="DN204" i="2"/>
  <c r="DO204" i="2" s="1"/>
  <c r="DM204" i="2"/>
  <c r="DL204" i="2"/>
  <c r="DK204" i="2"/>
  <c r="DJ204" i="2"/>
  <c r="DI204" i="2"/>
  <c r="DH204" i="2"/>
  <c r="DG204" i="2"/>
  <c r="DF204" i="2"/>
  <c r="DE204" i="2"/>
  <c r="DD204" i="2"/>
  <c r="DC204" i="2"/>
  <c r="DA204" i="2"/>
  <c r="DB204" i="2" s="1"/>
  <c r="CZ204" i="2"/>
  <c r="CY204" i="2"/>
  <c r="CX204" i="2"/>
  <c r="CW204" i="2"/>
  <c r="CV204" i="2"/>
  <c r="CU204" i="2"/>
  <c r="CT204" i="2"/>
  <c r="CS204" i="2"/>
  <c r="CR204" i="2"/>
  <c r="CQ204" i="2"/>
  <c r="CP204" i="2"/>
  <c r="CO204" i="2"/>
  <c r="CN204" i="2"/>
  <c r="CM204" i="2"/>
  <c r="CL204" i="2"/>
  <c r="CK204" i="2"/>
  <c r="CJ204" i="2"/>
  <c r="CI204" i="2"/>
  <c r="CH204" i="2"/>
  <c r="CG204" i="2"/>
  <c r="CF204" i="2"/>
  <c r="CE204" i="2"/>
  <c r="CD204" i="2"/>
  <c r="CC204" i="2"/>
  <c r="CB204" i="2"/>
  <c r="CA204" i="2"/>
  <c r="BZ204" i="2"/>
  <c r="BY204" i="2"/>
  <c r="BX204" i="2"/>
  <c r="BW204" i="2"/>
  <c r="BV204" i="2"/>
  <c r="BU204" i="2"/>
  <c r="BT204" i="2"/>
  <c r="BS204" i="2"/>
  <c r="BR204" i="2"/>
  <c r="BQ204" i="2"/>
  <c r="BP204" i="2"/>
  <c r="BN204" i="2"/>
  <c r="BO204" i="2" s="1"/>
  <c r="BM204" i="2"/>
  <c r="BL204" i="2"/>
  <c r="BK204" i="2"/>
  <c r="BJ204" i="2"/>
  <c r="BI204" i="2"/>
  <c r="BH204" i="2"/>
  <c r="BG204" i="2"/>
  <c r="BF204" i="2"/>
  <c r="BE204" i="2"/>
  <c r="BD204" i="2"/>
  <c r="BC204" i="2"/>
  <c r="BA204" i="2"/>
  <c r="BB204" i="2" s="1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A204" i="2"/>
  <c r="AB204" i="2" s="1"/>
  <c r="Z204" i="2"/>
  <c r="Y204" i="2"/>
  <c r="X204" i="2"/>
  <c r="W204" i="2"/>
  <c r="V204" i="2"/>
  <c r="U204" i="2"/>
  <c r="T204" i="2"/>
  <c r="S204" i="2"/>
  <c r="R204" i="2"/>
  <c r="Q204" i="2"/>
  <c r="P204" i="2"/>
  <c r="N204" i="2"/>
  <c r="O204" i="2" s="1"/>
  <c r="M204" i="2"/>
  <c r="L204" i="2"/>
  <c r="K204" i="2"/>
  <c r="J204" i="2"/>
  <c r="I204" i="2"/>
  <c r="H204" i="2"/>
  <c r="G204" i="2"/>
  <c r="F204" i="2"/>
  <c r="E204" i="2"/>
  <c r="D204" i="2"/>
  <c r="C204" i="2"/>
  <c r="FI203" i="2"/>
  <c r="FO203" i="2" s="1"/>
  <c r="FH203" i="2"/>
  <c r="FG203" i="2"/>
  <c r="FF203" i="2"/>
  <c r="FE203" i="2"/>
  <c r="FD203" i="2"/>
  <c r="FC203" i="2"/>
  <c r="FA203" i="2"/>
  <c r="FB203" i="2" s="1"/>
  <c r="EZ203" i="2"/>
  <c r="EY203" i="2"/>
  <c r="EX203" i="2"/>
  <c r="EW203" i="2"/>
  <c r="EV203" i="2"/>
  <c r="EU203" i="2"/>
  <c r="ET203" i="2"/>
  <c r="ES203" i="2"/>
  <c r="ER203" i="2"/>
  <c r="EQ203" i="2"/>
  <c r="EP203" i="2"/>
  <c r="EO203" i="2"/>
  <c r="EN203" i="2"/>
  <c r="EM203" i="2"/>
  <c r="EL203" i="2"/>
  <c r="EK203" i="2"/>
  <c r="EJ203" i="2"/>
  <c r="EI203" i="2"/>
  <c r="EH203" i="2"/>
  <c r="EG203" i="2"/>
  <c r="EF203" i="2"/>
  <c r="EE203" i="2"/>
  <c r="ED203" i="2"/>
  <c r="EC203" i="2"/>
  <c r="EB203" i="2"/>
  <c r="EA203" i="2"/>
  <c r="DZ203" i="2"/>
  <c r="DY203" i="2"/>
  <c r="DX203" i="2"/>
  <c r="DW203" i="2"/>
  <c r="DV203" i="2"/>
  <c r="DU203" i="2"/>
  <c r="DT203" i="2"/>
  <c r="DS203" i="2"/>
  <c r="DR203" i="2"/>
  <c r="DQ203" i="2"/>
  <c r="DP203" i="2"/>
  <c r="DN203" i="2"/>
  <c r="DO203" i="2" s="1"/>
  <c r="DM203" i="2"/>
  <c r="DL203" i="2"/>
  <c r="DK203" i="2"/>
  <c r="DJ203" i="2"/>
  <c r="DI203" i="2"/>
  <c r="DH203" i="2"/>
  <c r="DG203" i="2"/>
  <c r="DF203" i="2"/>
  <c r="DE203" i="2"/>
  <c r="DD203" i="2"/>
  <c r="DC203" i="2"/>
  <c r="DA203" i="2"/>
  <c r="DB203" i="2" s="1"/>
  <c r="CZ203" i="2"/>
  <c r="CY203" i="2"/>
  <c r="CX203" i="2"/>
  <c r="CW203" i="2"/>
  <c r="CV203" i="2"/>
  <c r="CU203" i="2"/>
  <c r="CT203" i="2"/>
  <c r="CS203" i="2"/>
  <c r="CR203" i="2"/>
  <c r="CQ203" i="2"/>
  <c r="CP203" i="2"/>
  <c r="CN203" i="2"/>
  <c r="CO203" i="2" s="1"/>
  <c r="CM203" i="2"/>
  <c r="CL203" i="2"/>
  <c r="CK203" i="2"/>
  <c r="CJ203" i="2"/>
  <c r="CI203" i="2"/>
  <c r="CH203" i="2"/>
  <c r="CG203" i="2"/>
  <c r="CF203" i="2"/>
  <c r="CE203" i="2"/>
  <c r="CD203" i="2"/>
  <c r="CC203" i="2"/>
  <c r="CA203" i="2"/>
  <c r="CB203" i="2" s="1"/>
  <c r="BZ203" i="2"/>
  <c r="BY203" i="2"/>
  <c r="BX203" i="2"/>
  <c r="BW203" i="2"/>
  <c r="BV203" i="2"/>
  <c r="BU203" i="2"/>
  <c r="BT203" i="2"/>
  <c r="BS203" i="2"/>
  <c r="BR203" i="2"/>
  <c r="BQ203" i="2"/>
  <c r="BP203" i="2"/>
  <c r="BN203" i="2"/>
  <c r="BO203" i="2" s="1"/>
  <c r="BM203" i="2"/>
  <c r="BL203" i="2"/>
  <c r="BK203" i="2"/>
  <c r="BJ203" i="2"/>
  <c r="BI203" i="2"/>
  <c r="BH203" i="2"/>
  <c r="BG203" i="2"/>
  <c r="BF203" i="2"/>
  <c r="BE203" i="2"/>
  <c r="BD203" i="2"/>
  <c r="BC203" i="2"/>
  <c r="BA203" i="2"/>
  <c r="BB203" i="2" s="1"/>
  <c r="AZ203" i="2"/>
  <c r="AY203" i="2"/>
  <c r="AX203" i="2"/>
  <c r="AW203" i="2"/>
  <c r="AV203" i="2"/>
  <c r="AU203" i="2"/>
  <c r="AT203" i="2"/>
  <c r="AS203" i="2"/>
  <c r="AR203" i="2"/>
  <c r="AQ203" i="2"/>
  <c r="AP203" i="2"/>
  <c r="AO203" i="2"/>
  <c r="AN203" i="2"/>
  <c r="AM203" i="2"/>
  <c r="AL203" i="2"/>
  <c r="AK203" i="2"/>
  <c r="AJ203" i="2"/>
  <c r="AI203" i="2"/>
  <c r="AH203" i="2"/>
  <c r="AG203" i="2"/>
  <c r="AF203" i="2"/>
  <c r="AE203" i="2"/>
  <c r="AD203" i="2"/>
  <c r="AC203" i="2"/>
  <c r="AA203" i="2"/>
  <c r="AB203" i="2" s="1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FI202" i="2"/>
  <c r="FO202" i="2" s="1"/>
  <c r="FH202" i="2"/>
  <c r="FG202" i="2"/>
  <c r="FF202" i="2"/>
  <c r="FE202" i="2"/>
  <c r="FD202" i="2"/>
  <c r="FC202" i="2"/>
  <c r="FA202" i="2"/>
  <c r="FB202" i="2" s="1"/>
  <c r="EZ202" i="2"/>
  <c r="EY202" i="2"/>
  <c r="EX202" i="2"/>
  <c r="EW202" i="2"/>
  <c r="EV202" i="2"/>
  <c r="EU202" i="2"/>
  <c r="ET202" i="2"/>
  <c r="ES202" i="2"/>
  <c r="ER202" i="2"/>
  <c r="EQ202" i="2"/>
  <c r="EP202" i="2"/>
  <c r="EN202" i="2"/>
  <c r="EO202" i="2" s="1"/>
  <c r="EM202" i="2"/>
  <c r="EL202" i="2"/>
  <c r="EK202" i="2"/>
  <c r="EJ202" i="2"/>
  <c r="EI202" i="2"/>
  <c r="EH202" i="2"/>
  <c r="EG202" i="2"/>
  <c r="EF202" i="2"/>
  <c r="EE202" i="2"/>
  <c r="ED202" i="2"/>
  <c r="EC202" i="2"/>
  <c r="EB202" i="2"/>
  <c r="EA202" i="2"/>
  <c r="DZ202" i="2"/>
  <c r="DY202" i="2"/>
  <c r="DX202" i="2"/>
  <c r="DW202" i="2"/>
  <c r="DV202" i="2"/>
  <c r="DU202" i="2"/>
  <c r="DT202" i="2"/>
  <c r="DS202" i="2"/>
  <c r="DR202" i="2"/>
  <c r="DQ202" i="2"/>
  <c r="DP202" i="2"/>
  <c r="DN202" i="2"/>
  <c r="DO202" i="2" s="1"/>
  <c r="DM202" i="2"/>
  <c r="DL202" i="2"/>
  <c r="DK202" i="2"/>
  <c r="DJ202" i="2"/>
  <c r="DI202" i="2"/>
  <c r="DH202" i="2"/>
  <c r="DG202" i="2"/>
  <c r="DF202" i="2"/>
  <c r="DE202" i="2"/>
  <c r="DD202" i="2"/>
  <c r="DC202" i="2"/>
  <c r="DA202" i="2"/>
  <c r="DB202" i="2" s="1"/>
  <c r="CZ202" i="2"/>
  <c r="CY202" i="2"/>
  <c r="CX202" i="2"/>
  <c r="CW202" i="2"/>
  <c r="CV202" i="2"/>
  <c r="CU202" i="2"/>
  <c r="CT202" i="2"/>
  <c r="CS202" i="2"/>
  <c r="CR202" i="2"/>
  <c r="CQ202" i="2"/>
  <c r="CP202" i="2"/>
  <c r="CO202" i="2"/>
  <c r="CN202" i="2"/>
  <c r="CM202" i="2"/>
  <c r="CL202" i="2"/>
  <c r="CK202" i="2"/>
  <c r="CJ202" i="2"/>
  <c r="CI202" i="2"/>
  <c r="CH202" i="2"/>
  <c r="CG202" i="2"/>
  <c r="CF202" i="2"/>
  <c r="CE202" i="2"/>
  <c r="CD202" i="2"/>
  <c r="CC202" i="2"/>
  <c r="CA202" i="2"/>
  <c r="CB202" i="2" s="1"/>
  <c r="BZ202" i="2"/>
  <c r="BY202" i="2"/>
  <c r="BX202" i="2"/>
  <c r="BW202" i="2"/>
  <c r="BV202" i="2"/>
  <c r="BU202" i="2"/>
  <c r="BT202" i="2"/>
  <c r="BS202" i="2"/>
  <c r="BR202" i="2"/>
  <c r="BQ202" i="2"/>
  <c r="BP202" i="2"/>
  <c r="BN202" i="2"/>
  <c r="BO202" i="2" s="1"/>
  <c r="BM202" i="2"/>
  <c r="BL202" i="2"/>
  <c r="BK202" i="2"/>
  <c r="BJ202" i="2"/>
  <c r="BI202" i="2"/>
  <c r="BH202" i="2"/>
  <c r="BG202" i="2"/>
  <c r="BF202" i="2"/>
  <c r="BE202" i="2"/>
  <c r="BD202" i="2"/>
  <c r="BC202" i="2"/>
  <c r="BA202" i="2"/>
  <c r="BB202" i="2" s="1"/>
  <c r="AZ202" i="2"/>
  <c r="AY202" i="2"/>
  <c r="AX202" i="2"/>
  <c r="AW202" i="2"/>
  <c r="AV202" i="2"/>
  <c r="AU202" i="2"/>
  <c r="AT202" i="2"/>
  <c r="AS202" i="2"/>
  <c r="AR202" i="2"/>
  <c r="AQ202" i="2"/>
  <c r="AP202" i="2"/>
  <c r="AN202" i="2"/>
  <c r="AO202" i="2" s="1"/>
  <c r="AM202" i="2"/>
  <c r="AL202" i="2"/>
  <c r="AK202" i="2"/>
  <c r="AJ202" i="2"/>
  <c r="AI202" i="2"/>
  <c r="AH202" i="2"/>
  <c r="AG202" i="2"/>
  <c r="AF202" i="2"/>
  <c r="AE202" i="2"/>
  <c r="AD202" i="2"/>
  <c r="AC202" i="2"/>
  <c r="AA202" i="2"/>
  <c r="AB202" i="2" s="1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FI201" i="2"/>
  <c r="FO201" i="2" s="1"/>
  <c r="FH201" i="2"/>
  <c r="FG201" i="2"/>
  <c r="FF201" i="2"/>
  <c r="FE201" i="2"/>
  <c r="FD201" i="2"/>
  <c r="FC201" i="2"/>
  <c r="FA201" i="2"/>
  <c r="FB201" i="2" s="1"/>
  <c r="EZ201" i="2"/>
  <c r="EY201" i="2"/>
  <c r="EX201" i="2"/>
  <c r="EW201" i="2"/>
  <c r="EV201" i="2"/>
  <c r="EU201" i="2"/>
  <c r="ET201" i="2"/>
  <c r="ES201" i="2"/>
  <c r="ER201" i="2"/>
  <c r="EQ201" i="2"/>
  <c r="EP201" i="2"/>
  <c r="EN201" i="2"/>
  <c r="EO201" i="2" s="1"/>
  <c r="EM201" i="2"/>
  <c r="EL201" i="2"/>
  <c r="EK201" i="2"/>
  <c r="EJ201" i="2"/>
  <c r="EI201" i="2"/>
  <c r="EH201" i="2"/>
  <c r="EG201" i="2"/>
  <c r="EF201" i="2"/>
  <c r="EE201" i="2"/>
  <c r="ED201" i="2"/>
  <c r="EC201" i="2"/>
  <c r="EA201" i="2"/>
  <c r="EB201" i="2" s="1"/>
  <c r="DZ201" i="2"/>
  <c r="DY201" i="2"/>
  <c r="DX201" i="2"/>
  <c r="DW201" i="2"/>
  <c r="DV201" i="2"/>
  <c r="DU201" i="2"/>
  <c r="DT201" i="2"/>
  <c r="DS201" i="2"/>
  <c r="DR201" i="2"/>
  <c r="DQ201" i="2"/>
  <c r="DP201" i="2"/>
  <c r="DN201" i="2"/>
  <c r="DO201" i="2" s="1"/>
  <c r="DM201" i="2"/>
  <c r="DL201" i="2"/>
  <c r="DK201" i="2"/>
  <c r="DJ201" i="2"/>
  <c r="DI201" i="2"/>
  <c r="DH201" i="2"/>
  <c r="DG201" i="2"/>
  <c r="DF201" i="2"/>
  <c r="DE201" i="2"/>
  <c r="DD201" i="2"/>
  <c r="DC201" i="2"/>
  <c r="DA201" i="2"/>
  <c r="DB201" i="2" s="1"/>
  <c r="CZ201" i="2"/>
  <c r="CY201" i="2"/>
  <c r="CX201" i="2"/>
  <c r="CW201" i="2"/>
  <c r="CV201" i="2"/>
  <c r="CU201" i="2"/>
  <c r="CT201" i="2"/>
  <c r="CS201" i="2"/>
  <c r="CR201" i="2"/>
  <c r="CQ201" i="2"/>
  <c r="CP201" i="2"/>
  <c r="CO201" i="2"/>
  <c r="CN201" i="2"/>
  <c r="CM201" i="2"/>
  <c r="CL201" i="2"/>
  <c r="CK201" i="2"/>
  <c r="CJ201" i="2"/>
  <c r="CI201" i="2"/>
  <c r="CH201" i="2"/>
  <c r="CG201" i="2"/>
  <c r="CF201" i="2"/>
  <c r="CE201" i="2"/>
  <c r="CD201" i="2"/>
  <c r="CC201" i="2"/>
  <c r="CA201" i="2"/>
  <c r="CB201" i="2" s="1"/>
  <c r="BZ201" i="2"/>
  <c r="BY201" i="2"/>
  <c r="BX201" i="2"/>
  <c r="BW201" i="2"/>
  <c r="BV201" i="2"/>
  <c r="BU201" i="2"/>
  <c r="BT201" i="2"/>
  <c r="BS201" i="2"/>
  <c r="BR201" i="2"/>
  <c r="BQ201" i="2"/>
  <c r="BP201" i="2"/>
  <c r="BO201" i="2"/>
  <c r="BN201" i="2"/>
  <c r="BM201" i="2"/>
  <c r="BL201" i="2"/>
  <c r="BK201" i="2"/>
  <c r="BJ201" i="2"/>
  <c r="BI201" i="2"/>
  <c r="BH201" i="2"/>
  <c r="BG201" i="2"/>
  <c r="BF201" i="2"/>
  <c r="BE201" i="2"/>
  <c r="BD201" i="2"/>
  <c r="BC201" i="2"/>
  <c r="BA201" i="2"/>
  <c r="BB201" i="2" s="1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A201" i="2"/>
  <c r="AB201" i="2" s="1"/>
  <c r="Z201" i="2"/>
  <c r="Y201" i="2"/>
  <c r="X201" i="2"/>
  <c r="W201" i="2"/>
  <c r="V201" i="2"/>
  <c r="U201" i="2"/>
  <c r="T201" i="2"/>
  <c r="S201" i="2"/>
  <c r="R201" i="2"/>
  <c r="Q201" i="2"/>
  <c r="P201" i="2"/>
  <c r="N201" i="2"/>
  <c r="O201" i="2" s="1"/>
  <c r="M201" i="2"/>
  <c r="L201" i="2"/>
  <c r="K201" i="2"/>
  <c r="J201" i="2"/>
  <c r="I201" i="2"/>
  <c r="H201" i="2"/>
  <c r="G201" i="2"/>
  <c r="F201" i="2"/>
  <c r="E201" i="2"/>
  <c r="D201" i="2"/>
  <c r="C201" i="2"/>
  <c r="FI200" i="2"/>
  <c r="FO200" i="2" s="1"/>
  <c r="FH200" i="2"/>
  <c r="FG200" i="2"/>
  <c r="FF200" i="2"/>
  <c r="FE200" i="2"/>
  <c r="FD200" i="2"/>
  <c r="FC200" i="2"/>
  <c r="FA200" i="2"/>
  <c r="FB200" i="2" s="1"/>
  <c r="EZ200" i="2"/>
  <c r="EY200" i="2"/>
  <c r="EX200" i="2"/>
  <c r="EW200" i="2"/>
  <c r="EV200" i="2"/>
  <c r="EU200" i="2"/>
  <c r="ET200" i="2"/>
  <c r="ES200" i="2"/>
  <c r="ER200" i="2"/>
  <c r="EQ200" i="2"/>
  <c r="EP200" i="2"/>
  <c r="EO200" i="2"/>
  <c r="EN200" i="2"/>
  <c r="EM200" i="2"/>
  <c r="EL200" i="2"/>
  <c r="EK200" i="2"/>
  <c r="EJ200" i="2"/>
  <c r="EI200" i="2"/>
  <c r="EH200" i="2"/>
  <c r="EG200" i="2"/>
  <c r="EF200" i="2"/>
  <c r="EE200" i="2"/>
  <c r="ED200" i="2"/>
  <c r="EC200" i="2"/>
  <c r="EA200" i="2"/>
  <c r="EB200" i="2" s="1"/>
  <c r="DZ200" i="2"/>
  <c r="DY200" i="2"/>
  <c r="DX200" i="2"/>
  <c r="DW200" i="2"/>
  <c r="DV200" i="2"/>
  <c r="DU200" i="2"/>
  <c r="DT200" i="2"/>
  <c r="DS200" i="2"/>
  <c r="DR200" i="2"/>
  <c r="DQ200" i="2"/>
  <c r="DP200" i="2"/>
  <c r="DN200" i="2"/>
  <c r="DO200" i="2" s="1"/>
  <c r="DM200" i="2"/>
  <c r="DL200" i="2"/>
  <c r="DK200" i="2"/>
  <c r="DJ200" i="2"/>
  <c r="DI200" i="2"/>
  <c r="DH200" i="2"/>
  <c r="DG200" i="2"/>
  <c r="DF200" i="2"/>
  <c r="DE200" i="2"/>
  <c r="DD200" i="2"/>
  <c r="DC200" i="2"/>
  <c r="DA200" i="2"/>
  <c r="DB200" i="2" s="1"/>
  <c r="CZ200" i="2"/>
  <c r="CY200" i="2"/>
  <c r="CX200" i="2"/>
  <c r="CW200" i="2"/>
  <c r="CV200" i="2"/>
  <c r="CU200" i="2"/>
  <c r="CT200" i="2"/>
  <c r="CS200" i="2"/>
  <c r="CR200" i="2"/>
  <c r="CQ200" i="2"/>
  <c r="CP200" i="2"/>
  <c r="CN200" i="2"/>
  <c r="CO200" i="2" s="1"/>
  <c r="CM200" i="2"/>
  <c r="CL200" i="2"/>
  <c r="CK200" i="2"/>
  <c r="CJ200" i="2"/>
  <c r="CI200" i="2"/>
  <c r="CH200" i="2"/>
  <c r="CG200" i="2"/>
  <c r="CF200" i="2"/>
  <c r="CE200" i="2"/>
  <c r="CD200" i="2"/>
  <c r="CC200" i="2"/>
  <c r="CA200" i="2"/>
  <c r="CB200" i="2" s="1"/>
  <c r="BZ200" i="2"/>
  <c r="BY200" i="2"/>
  <c r="BX200" i="2"/>
  <c r="BW200" i="2"/>
  <c r="BV200" i="2"/>
  <c r="BU200" i="2"/>
  <c r="BT200" i="2"/>
  <c r="BS200" i="2"/>
  <c r="BR200" i="2"/>
  <c r="BQ200" i="2"/>
  <c r="BP200" i="2"/>
  <c r="BO200" i="2"/>
  <c r="BN200" i="2"/>
  <c r="BM200" i="2"/>
  <c r="BL200" i="2"/>
  <c r="BK200" i="2"/>
  <c r="BJ200" i="2"/>
  <c r="BI200" i="2"/>
  <c r="BH200" i="2"/>
  <c r="BG200" i="2"/>
  <c r="BF200" i="2"/>
  <c r="BE200" i="2"/>
  <c r="BD200" i="2"/>
  <c r="BC200" i="2"/>
  <c r="BA200" i="2"/>
  <c r="BB200" i="2" s="1"/>
  <c r="AZ200" i="2"/>
  <c r="AY200" i="2"/>
  <c r="AX200" i="2"/>
  <c r="AW200" i="2"/>
  <c r="AV200" i="2"/>
  <c r="AU200" i="2"/>
  <c r="AT200" i="2"/>
  <c r="AS200" i="2"/>
  <c r="AR200" i="2"/>
  <c r="AQ200" i="2"/>
  <c r="AP200" i="2"/>
  <c r="AN200" i="2"/>
  <c r="AO200" i="2" s="1"/>
  <c r="AM200" i="2"/>
  <c r="AL200" i="2"/>
  <c r="AK200" i="2"/>
  <c r="AJ200" i="2"/>
  <c r="AI200" i="2"/>
  <c r="AH200" i="2"/>
  <c r="AG200" i="2"/>
  <c r="AF200" i="2"/>
  <c r="AE200" i="2"/>
  <c r="AD200" i="2"/>
  <c r="AC200" i="2"/>
  <c r="AA200" i="2"/>
  <c r="AB200" i="2" s="1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FI199" i="2"/>
  <c r="FO199" i="2" s="1"/>
  <c r="FH199" i="2"/>
  <c r="FG199" i="2"/>
  <c r="FF199" i="2"/>
  <c r="FE199" i="2"/>
  <c r="FD199" i="2"/>
  <c r="FC199" i="2"/>
  <c r="FA199" i="2"/>
  <c r="FB199" i="2" s="1"/>
  <c r="EZ199" i="2"/>
  <c r="EY199" i="2"/>
  <c r="EX199" i="2"/>
  <c r="EW199" i="2"/>
  <c r="EV199" i="2"/>
  <c r="EU199" i="2"/>
  <c r="ET199" i="2"/>
  <c r="ES199" i="2"/>
  <c r="ER199" i="2"/>
  <c r="EQ199" i="2"/>
  <c r="EP199" i="2"/>
  <c r="EO199" i="2"/>
  <c r="EN199" i="2"/>
  <c r="EM199" i="2"/>
  <c r="EL199" i="2"/>
  <c r="EK199" i="2"/>
  <c r="EJ199" i="2"/>
  <c r="EI199" i="2"/>
  <c r="EH199" i="2"/>
  <c r="EG199" i="2"/>
  <c r="EF199" i="2"/>
  <c r="EE199" i="2"/>
  <c r="ED199" i="2"/>
  <c r="EC199" i="2"/>
  <c r="EA199" i="2"/>
  <c r="EB199" i="2" s="1"/>
  <c r="DZ199" i="2"/>
  <c r="DY199" i="2"/>
  <c r="DX199" i="2"/>
  <c r="DW199" i="2"/>
  <c r="DV199" i="2"/>
  <c r="DU199" i="2"/>
  <c r="DT199" i="2"/>
  <c r="DS199" i="2"/>
  <c r="DR199" i="2"/>
  <c r="DQ199" i="2"/>
  <c r="DP199" i="2"/>
  <c r="DN199" i="2"/>
  <c r="DO199" i="2" s="1"/>
  <c r="DM199" i="2"/>
  <c r="DL199" i="2"/>
  <c r="DK199" i="2"/>
  <c r="DJ199" i="2"/>
  <c r="DI199" i="2"/>
  <c r="DH199" i="2"/>
  <c r="DG199" i="2"/>
  <c r="DF199" i="2"/>
  <c r="DE199" i="2"/>
  <c r="DD199" i="2"/>
  <c r="DC199" i="2"/>
  <c r="DA199" i="2"/>
  <c r="DB199" i="2" s="1"/>
  <c r="CZ199" i="2"/>
  <c r="CY199" i="2"/>
  <c r="CX199" i="2"/>
  <c r="CW199" i="2"/>
  <c r="CV199" i="2"/>
  <c r="CU199" i="2"/>
  <c r="CT199" i="2"/>
  <c r="CS199" i="2"/>
  <c r="CR199" i="2"/>
  <c r="CQ199" i="2"/>
  <c r="CP199" i="2"/>
  <c r="CN199" i="2"/>
  <c r="CO199" i="2" s="1"/>
  <c r="CM199" i="2"/>
  <c r="CL199" i="2"/>
  <c r="CK199" i="2"/>
  <c r="CJ199" i="2"/>
  <c r="CI199" i="2"/>
  <c r="CH199" i="2"/>
  <c r="CG199" i="2"/>
  <c r="CF199" i="2"/>
  <c r="CE199" i="2"/>
  <c r="CD199" i="2"/>
  <c r="CC199" i="2"/>
  <c r="CA199" i="2"/>
  <c r="CB199" i="2" s="1"/>
  <c r="BZ199" i="2"/>
  <c r="BY199" i="2"/>
  <c r="BX199" i="2"/>
  <c r="BW199" i="2"/>
  <c r="BV199" i="2"/>
  <c r="BU199" i="2"/>
  <c r="BT199" i="2"/>
  <c r="BS199" i="2"/>
  <c r="BR199" i="2"/>
  <c r="BQ199" i="2"/>
  <c r="BP199" i="2"/>
  <c r="BO199" i="2"/>
  <c r="BN199" i="2"/>
  <c r="BM199" i="2"/>
  <c r="BL199" i="2"/>
  <c r="BK199" i="2"/>
  <c r="BJ199" i="2"/>
  <c r="BI199" i="2"/>
  <c r="BH199" i="2"/>
  <c r="BG199" i="2"/>
  <c r="BF199" i="2"/>
  <c r="BE199" i="2"/>
  <c r="BD199" i="2"/>
  <c r="BC199" i="2"/>
  <c r="BA199" i="2"/>
  <c r="BB199" i="2" s="1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A199" i="2"/>
  <c r="AB199" i="2" s="1"/>
  <c r="Z199" i="2"/>
  <c r="Y199" i="2"/>
  <c r="X199" i="2"/>
  <c r="W199" i="2"/>
  <c r="V199" i="2"/>
  <c r="U199" i="2"/>
  <c r="T199" i="2"/>
  <c r="S199" i="2"/>
  <c r="R199" i="2"/>
  <c r="Q199" i="2"/>
  <c r="P199" i="2"/>
  <c r="N199" i="2"/>
  <c r="O199" i="2" s="1"/>
  <c r="M199" i="2"/>
  <c r="L199" i="2"/>
  <c r="K199" i="2"/>
  <c r="J199" i="2"/>
  <c r="I199" i="2"/>
  <c r="H199" i="2"/>
  <c r="G199" i="2"/>
  <c r="F199" i="2"/>
  <c r="E199" i="2"/>
  <c r="D199" i="2"/>
  <c r="C199" i="2"/>
  <c r="FI198" i="2"/>
  <c r="FO198" i="2" s="1"/>
  <c r="FH198" i="2"/>
  <c r="FG198" i="2"/>
  <c r="FF198" i="2"/>
  <c r="FE198" i="2"/>
  <c r="FD198" i="2"/>
  <c r="FC198" i="2"/>
  <c r="FA198" i="2"/>
  <c r="FB198" i="2" s="1"/>
  <c r="EZ198" i="2"/>
  <c r="EY198" i="2"/>
  <c r="EX198" i="2"/>
  <c r="EW198" i="2"/>
  <c r="EV198" i="2"/>
  <c r="EU198" i="2"/>
  <c r="ET198" i="2"/>
  <c r="ES198" i="2"/>
  <c r="ER198" i="2"/>
  <c r="EQ198" i="2"/>
  <c r="EP198" i="2"/>
  <c r="EN198" i="2"/>
  <c r="EO198" i="2" s="1"/>
  <c r="EM198" i="2"/>
  <c r="EL198" i="2"/>
  <c r="EK198" i="2"/>
  <c r="EJ198" i="2"/>
  <c r="EI198" i="2"/>
  <c r="EH198" i="2"/>
  <c r="EG198" i="2"/>
  <c r="EF198" i="2"/>
  <c r="EE198" i="2"/>
  <c r="ED198" i="2"/>
  <c r="EC198" i="2"/>
  <c r="EA198" i="2"/>
  <c r="EB198" i="2" s="1"/>
  <c r="DZ198" i="2"/>
  <c r="DY198" i="2"/>
  <c r="DX198" i="2"/>
  <c r="DW198" i="2"/>
  <c r="DV198" i="2"/>
  <c r="DU198" i="2"/>
  <c r="DT198" i="2"/>
  <c r="DS198" i="2"/>
  <c r="DR198" i="2"/>
  <c r="DQ198" i="2"/>
  <c r="DP198" i="2"/>
  <c r="DO198" i="2"/>
  <c r="DN198" i="2"/>
  <c r="DM198" i="2"/>
  <c r="DL198" i="2"/>
  <c r="DK198" i="2"/>
  <c r="DJ198" i="2"/>
  <c r="DI198" i="2"/>
  <c r="DH198" i="2"/>
  <c r="DG198" i="2"/>
  <c r="DF198" i="2"/>
  <c r="DE198" i="2"/>
  <c r="DD198" i="2"/>
  <c r="DC198" i="2"/>
  <c r="DA198" i="2"/>
  <c r="DB198" i="2" s="1"/>
  <c r="CZ198" i="2"/>
  <c r="CY198" i="2"/>
  <c r="CX198" i="2"/>
  <c r="CW198" i="2"/>
  <c r="CV198" i="2"/>
  <c r="CU198" i="2"/>
  <c r="CT198" i="2"/>
  <c r="CS198" i="2"/>
  <c r="CR198" i="2"/>
  <c r="CQ198" i="2"/>
  <c r="CP198" i="2"/>
  <c r="CN198" i="2"/>
  <c r="CO198" i="2" s="1"/>
  <c r="CM198" i="2"/>
  <c r="CL198" i="2"/>
  <c r="CK198" i="2"/>
  <c r="CJ198" i="2"/>
  <c r="CI198" i="2"/>
  <c r="CH198" i="2"/>
  <c r="CG198" i="2"/>
  <c r="CF198" i="2"/>
  <c r="CE198" i="2"/>
  <c r="CD198" i="2"/>
  <c r="CC198" i="2"/>
  <c r="CA198" i="2"/>
  <c r="CB198" i="2" s="1"/>
  <c r="BZ198" i="2"/>
  <c r="BY198" i="2"/>
  <c r="BX198" i="2"/>
  <c r="BW198" i="2"/>
  <c r="BV198" i="2"/>
  <c r="BU198" i="2"/>
  <c r="BT198" i="2"/>
  <c r="BS198" i="2"/>
  <c r="BR198" i="2"/>
  <c r="BQ198" i="2"/>
  <c r="BP198" i="2"/>
  <c r="BO198" i="2"/>
  <c r="BN198" i="2"/>
  <c r="BM198" i="2"/>
  <c r="BL198" i="2"/>
  <c r="BK198" i="2"/>
  <c r="BJ198" i="2"/>
  <c r="BI198" i="2"/>
  <c r="BH198" i="2"/>
  <c r="BG198" i="2"/>
  <c r="BF198" i="2"/>
  <c r="BE198" i="2"/>
  <c r="BD198" i="2"/>
  <c r="BC198" i="2"/>
  <c r="BA198" i="2"/>
  <c r="BB198" i="2" s="1"/>
  <c r="AZ198" i="2"/>
  <c r="AY198" i="2"/>
  <c r="AX198" i="2"/>
  <c r="AW198" i="2"/>
  <c r="AV198" i="2"/>
  <c r="AU198" i="2"/>
  <c r="AT198" i="2"/>
  <c r="AS198" i="2"/>
  <c r="AR198" i="2"/>
  <c r="AQ198" i="2"/>
  <c r="AP198" i="2"/>
  <c r="AN198" i="2"/>
  <c r="AO198" i="2" s="1"/>
  <c r="AM198" i="2"/>
  <c r="AL198" i="2"/>
  <c r="AK198" i="2"/>
  <c r="AJ198" i="2"/>
  <c r="AI198" i="2"/>
  <c r="AH198" i="2"/>
  <c r="AG198" i="2"/>
  <c r="AF198" i="2"/>
  <c r="AE198" i="2"/>
  <c r="AD198" i="2"/>
  <c r="AC198" i="2"/>
  <c r="AA198" i="2"/>
  <c r="AB198" i="2" s="1"/>
  <c r="Z198" i="2"/>
  <c r="Y198" i="2"/>
  <c r="X198" i="2"/>
  <c r="W198" i="2"/>
  <c r="V198" i="2"/>
  <c r="U198" i="2"/>
  <c r="T198" i="2"/>
  <c r="S198" i="2"/>
  <c r="R198" i="2"/>
  <c r="Q198" i="2"/>
  <c r="P198" i="2"/>
  <c r="N198" i="2"/>
  <c r="O198" i="2" s="1"/>
  <c r="M198" i="2"/>
  <c r="L198" i="2"/>
  <c r="K198" i="2"/>
  <c r="J198" i="2"/>
  <c r="I198" i="2"/>
  <c r="H198" i="2"/>
  <c r="G198" i="2"/>
  <c r="F198" i="2"/>
  <c r="E198" i="2"/>
  <c r="D198" i="2"/>
  <c r="C198" i="2"/>
  <c r="FI197" i="2"/>
  <c r="FO197" i="2" s="1"/>
  <c r="FH197" i="2"/>
  <c r="FG197" i="2"/>
  <c r="FF197" i="2"/>
  <c r="FE197" i="2"/>
  <c r="FD197" i="2"/>
  <c r="FC197" i="2"/>
  <c r="FA197" i="2"/>
  <c r="FB197" i="2" s="1"/>
  <c r="EZ197" i="2"/>
  <c r="EY197" i="2"/>
  <c r="EX197" i="2"/>
  <c r="EW197" i="2"/>
  <c r="EV197" i="2"/>
  <c r="EU197" i="2"/>
  <c r="ET197" i="2"/>
  <c r="ES197" i="2"/>
  <c r="ER197" i="2"/>
  <c r="EQ197" i="2"/>
  <c r="EP197" i="2"/>
  <c r="EN197" i="2"/>
  <c r="EO197" i="2" s="1"/>
  <c r="EM197" i="2"/>
  <c r="EL197" i="2"/>
  <c r="EK197" i="2"/>
  <c r="EJ197" i="2"/>
  <c r="EI197" i="2"/>
  <c r="EH197" i="2"/>
  <c r="EG197" i="2"/>
  <c r="EF197" i="2"/>
  <c r="EE197" i="2"/>
  <c r="ED197" i="2"/>
  <c r="EC197" i="2"/>
  <c r="EA197" i="2"/>
  <c r="EB197" i="2" s="1"/>
  <c r="DZ197" i="2"/>
  <c r="DY197" i="2"/>
  <c r="DX197" i="2"/>
  <c r="DW197" i="2"/>
  <c r="DV197" i="2"/>
  <c r="DU197" i="2"/>
  <c r="DT197" i="2"/>
  <c r="DS197" i="2"/>
  <c r="DR197" i="2"/>
  <c r="DQ197" i="2"/>
  <c r="DP197" i="2"/>
  <c r="DO197" i="2"/>
  <c r="DN197" i="2"/>
  <c r="DM197" i="2"/>
  <c r="DL197" i="2"/>
  <c r="DK197" i="2"/>
  <c r="DJ197" i="2"/>
  <c r="DI197" i="2"/>
  <c r="DH197" i="2"/>
  <c r="DG197" i="2"/>
  <c r="DF197" i="2"/>
  <c r="DE197" i="2"/>
  <c r="DD197" i="2"/>
  <c r="DC197" i="2"/>
  <c r="DA197" i="2"/>
  <c r="DB197" i="2" s="1"/>
  <c r="CZ197" i="2"/>
  <c r="CY197" i="2"/>
  <c r="CX197" i="2"/>
  <c r="CW197" i="2"/>
  <c r="CV197" i="2"/>
  <c r="CU197" i="2"/>
  <c r="CT197" i="2"/>
  <c r="CS197" i="2"/>
  <c r="CR197" i="2"/>
  <c r="CQ197" i="2"/>
  <c r="CP197" i="2"/>
  <c r="CN197" i="2"/>
  <c r="CO197" i="2" s="1"/>
  <c r="CM197" i="2"/>
  <c r="CL197" i="2"/>
  <c r="CK197" i="2"/>
  <c r="CJ197" i="2"/>
  <c r="CI197" i="2"/>
  <c r="CH197" i="2"/>
  <c r="CG197" i="2"/>
  <c r="CF197" i="2"/>
  <c r="CE197" i="2"/>
  <c r="CD197" i="2"/>
  <c r="CC197" i="2"/>
  <c r="CA197" i="2"/>
  <c r="CB197" i="2" s="1"/>
  <c r="BZ197" i="2"/>
  <c r="BY197" i="2"/>
  <c r="BX197" i="2"/>
  <c r="BW197" i="2"/>
  <c r="BV197" i="2"/>
  <c r="BU197" i="2"/>
  <c r="BT197" i="2"/>
  <c r="BS197" i="2"/>
  <c r="BR197" i="2"/>
  <c r="BQ197" i="2"/>
  <c r="BP197" i="2"/>
  <c r="BN197" i="2"/>
  <c r="BO197" i="2" s="1"/>
  <c r="BM197" i="2"/>
  <c r="BL197" i="2"/>
  <c r="BK197" i="2"/>
  <c r="BJ197" i="2"/>
  <c r="BI197" i="2"/>
  <c r="BH197" i="2"/>
  <c r="BG197" i="2"/>
  <c r="BF197" i="2"/>
  <c r="BE197" i="2"/>
  <c r="BD197" i="2"/>
  <c r="BC197" i="2"/>
  <c r="BA197" i="2"/>
  <c r="BB197" i="2" s="1"/>
  <c r="AZ197" i="2"/>
  <c r="AY197" i="2"/>
  <c r="AX197" i="2"/>
  <c r="AW197" i="2"/>
  <c r="AV197" i="2"/>
  <c r="AU197" i="2"/>
  <c r="AT197" i="2"/>
  <c r="AS197" i="2"/>
  <c r="AR197" i="2"/>
  <c r="AQ197" i="2"/>
  <c r="AP197" i="2"/>
  <c r="AN197" i="2"/>
  <c r="AO197" i="2" s="1"/>
  <c r="AM197" i="2"/>
  <c r="AL197" i="2"/>
  <c r="AK197" i="2"/>
  <c r="AJ197" i="2"/>
  <c r="AI197" i="2"/>
  <c r="AH197" i="2"/>
  <c r="AG197" i="2"/>
  <c r="AF197" i="2"/>
  <c r="AE197" i="2"/>
  <c r="AD197" i="2"/>
  <c r="AC197" i="2"/>
  <c r="AA197" i="2"/>
  <c r="AB197" i="2" s="1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FI196" i="2"/>
  <c r="FO196" i="2" s="1"/>
  <c r="FH196" i="2"/>
  <c r="FG196" i="2"/>
  <c r="FF196" i="2"/>
  <c r="FE196" i="2"/>
  <c r="FD196" i="2"/>
  <c r="FC196" i="2"/>
  <c r="FA196" i="2"/>
  <c r="FB196" i="2" s="1"/>
  <c r="EZ196" i="2"/>
  <c r="EY196" i="2"/>
  <c r="EX196" i="2"/>
  <c r="EW196" i="2"/>
  <c r="EV196" i="2"/>
  <c r="EU196" i="2"/>
  <c r="ET196" i="2"/>
  <c r="ES196" i="2"/>
  <c r="ER196" i="2"/>
  <c r="EQ196" i="2"/>
  <c r="EP196" i="2"/>
  <c r="EN196" i="2"/>
  <c r="EO196" i="2" s="1"/>
  <c r="EM196" i="2"/>
  <c r="EL196" i="2"/>
  <c r="EK196" i="2"/>
  <c r="EJ196" i="2"/>
  <c r="EI196" i="2"/>
  <c r="EH196" i="2"/>
  <c r="EG196" i="2"/>
  <c r="EF196" i="2"/>
  <c r="EE196" i="2"/>
  <c r="ED196" i="2"/>
  <c r="EC196" i="2"/>
  <c r="EA196" i="2"/>
  <c r="EB196" i="2" s="1"/>
  <c r="DZ196" i="2"/>
  <c r="DY196" i="2"/>
  <c r="DX196" i="2"/>
  <c r="DW196" i="2"/>
  <c r="DV196" i="2"/>
  <c r="DU196" i="2"/>
  <c r="DT196" i="2"/>
  <c r="DS196" i="2"/>
  <c r="DR196" i="2"/>
  <c r="DQ196" i="2"/>
  <c r="DP196" i="2"/>
  <c r="DO196" i="2"/>
  <c r="DN196" i="2"/>
  <c r="DM196" i="2"/>
  <c r="DL196" i="2"/>
  <c r="DK196" i="2"/>
  <c r="DJ196" i="2"/>
  <c r="DI196" i="2"/>
  <c r="DH196" i="2"/>
  <c r="DG196" i="2"/>
  <c r="DF196" i="2"/>
  <c r="DE196" i="2"/>
  <c r="DD196" i="2"/>
  <c r="DC196" i="2"/>
  <c r="DA196" i="2"/>
  <c r="DB196" i="2" s="1"/>
  <c r="CZ196" i="2"/>
  <c r="CY196" i="2"/>
  <c r="CX196" i="2"/>
  <c r="CW196" i="2"/>
  <c r="CV196" i="2"/>
  <c r="CU196" i="2"/>
  <c r="CT196" i="2"/>
  <c r="CS196" i="2"/>
  <c r="CR196" i="2"/>
  <c r="CQ196" i="2"/>
  <c r="CP196" i="2"/>
  <c r="CN196" i="2"/>
  <c r="CO196" i="2" s="1"/>
  <c r="CM196" i="2"/>
  <c r="CL196" i="2"/>
  <c r="CK196" i="2"/>
  <c r="CJ196" i="2"/>
  <c r="CI196" i="2"/>
  <c r="CH196" i="2"/>
  <c r="CG196" i="2"/>
  <c r="CF196" i="2"/>
  <c r="CE196" i="2"/>
  <c r="CD196" i="2"/>
  <c r="CC196" i="2"/>
  <c r="CA196" i="2"/>
  <c r="CB196" i="2" s="1"/>
  <c r="BZ196" i="2"/>
  <c r="BY196" i="2"/>
  <c r="BX196" i="2"/>
  <c r="BW196" i="2"/>
  <c r="BV196" i="2"/>
  <c r="BU196" i="2"/>
  <c r="BT196" i="2"/>
  <c r="BS196" i="2"/>
  <c r="BR196" i="2"/>
  <c r="BQ196" i="2"/>
  <c r="BP196" i="2"/>
  <c r="BN196" i="2"/>
  <c r="BO196" i="2" s="1"/>
  <c r="BM196" i="2"/>
  <c r="BL196" i="2"/>
  <c r="BK196" i="2"/>
  <c r="BJ196" i="2"/>
  <c r="BI196" i="2"/>
  <c r="BH196" i="2"/>
  <c r="BG196" i="2"/>
  <c r="BF196" i="2"/>
  <c r="BE196" i="2"/>
  <c r="BD196" i="2"/>
  <c r="BC196" i="2"/>
  <c r="BA196" i="2"/>
  <c r="BB196" i="2" s="1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A196" i="2"/>
  <c r="AB196" i="2" s="1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FI195" i="2"/>
  <c r="FO195" i="2" s="1"/>
  <c r="FH195" i="2"/>
  <c r="FG195" i="2"/>
  <c r="FF195" i="2"/>
  <c r="FE195" i="2"/>
  <c r="FD195" i="2"/>
  <c r="FC195" i="2"/>
  <c r="FA195" i="2"/>
  <c r="FB195" i="2" s="1"/>
  <c r="EZ195" i="2"/>
  <c r="EY195" i="2"/>
  <c r="EX195" i="2"/>
  <c r="EW195" i="2"/>
  <c r="EV195" i="2"/>
  <c r="EU195" i="2"/>
  <c r="ET195" i="2"/>
  <c r="ES195" i="2"/>
  <c r="ER195" i="2"/>
  <c r="EQ195" i="2"/>
  <c r="EP195" i="2"/>
  <c r="EN195" i="2"/>
  <c r="EO195" i="2" s="1"/>
  <c r="EM195" i="2"/>
  <c r="EL195" i="2"/>
  <c r="EK195" i="2"/>
  <c r="EJ195" i="2"/>
  <c r="EI195" i="2"/>
  <c r="EH195" i="2"/>
  <c r="EG195" i="2"/>
  <c r="EF195" i="2"/>
  <c r="EE195" i="2"/>
  <c r="ED195" i="2"/>
  <c r="EC195" i="2"/>
  <c r="EA195" i="2"/>
  <c r="EB195" i="2" s="1"/>
  <c r="DZ195" i="2"/>
  <c r="DY195" i="2"/>
  <c r="DX195" i="2"/>
  <c r="DW195" i="2"/>
  <c r="DV195" i="2"/>
  <c r="DU195" i="2"/>
  <c r="DT195" i="2"/>
  <c r="DS195" i="2"/>
  <c r="DR195" i="2"/>
  <c r="DQ195" i="2"/>
  <c r="DP195" i="2"/>
  <c r="DN195" i="2"/>
  <c r="DO195" i="2" s="1"/>
  <c r="DM195" i="2"/>
  <c r="DL195" i="2"/>
  <c r="DK195" i="2"/>
  <c r="DJ195" i="2"/>
  <c r="DI195" i="2"/>
  <c r="DH195" i="2"/>
  <c r="DG195" i="2"/>
  <c r="DF195" i="2"/>
  <c r="DE195" i="2"/>
  <c r="DD195" i="2"/>
  <c r="DC195" i="2"/>
  <c r="DB195" i="2"/>
  <c r="DA195" i="2"/>
  <c r="CZ195" i="2"/>
  <c r="CY195" i="2"/>
  <c r="CX195" i="2"/>
  <c r="CW195" i="2"/>
  <c r="CV195" i="2"/>
  <c r="CU195" i="2"/>
  <c r="CT195" i="2"/>
  <c r="CS195" i="2"/>
  <c r="CR195" i="2"/>
  <c r="CQ195" i="2"/>
  <c r="CP195" i="2"/>
  <c r="CN195" i="2"/>
  <c r="CO195" i="2" s="1"/>
  <c r="CM195" i="2"/>
  <c r="CL195" i="2"/>
  <c r="CK195" i="2"/>
  <c r="CJ195" i="2"/>
  <c r="CI195" i="2"/>
  <c r="CH195" i="2"/>
  <c r="CG195" i="2"/>
  <c r="CF195" i="2"/>
  <c r="CE195" i="2"/>
  <c r="CD195" i="2"/>
  <c r="CC195" i="2"/>
  <c r="CA195" i="2"/>
  <c r="CB195" i="2" s="1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A195" i="2"/>
  <c r="BB195" i="2" s="1"/>
  <c r="AZ195" i="2"/>
  <c r="AY195" i="2"/>
  <c r="AX195" i="2"/>
  <c r="AW195" i="2"/>
  <c r="AV195" i="2"/>
  <c r="AU195" i="2"/>
  <c r="AT195" i="2"/>
  <c r="AS195" i="2"/>
  <c r="AR195" i="2"/>
  <c r="AQ195" i="2"/>
  <c r="AP195" i="2"/>
  <c r="AN195" i="2"/>
  <c r="AO195" i="2" s="1"/>
  <c r="AM195" i="2"/>
  <c r="AL195" i="2"/>
  <c r="AK195" i="2"/>
  <c r="AJ195" i="2"/>
  <c r="AI195" i="2"/>
  <c r="AH195" i="2"/>
  <c r="AG195" i="2"/>
  <c r="AF195" i="2"/>
  <c r="AE195" i="2"/>
  <c r="AD195" i="2"/>
  <c r="AC195" i="2"/>
  <c r="AA195" i="2"/>
  <c r="AB195" i="2" s="1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FI194" i="2"/>
  <c r="FO194" i="2" s="1"/>
  <c r="FH194" i="2"/>
  <c r="FG194" i="2"/>
  <c r="FF194" i="2"/>
  <c r="FE194" i="2"/>
  <c r="FD194" i="2"/>
  <c r="FC194" i="2"/>
  <c r="FA194" i="2"/>
  <c r="FB194" i="2" s="1"/>
  <c r="EZ194" i="2"/>
  <c r="EY194" i="2"/>
  <c r="EX194" i="2"/>
  <c r="EW194" i="2"/>
  <c r="EV194" i="2"/>
  <c r="EU194" i="2"/>
  <c r="ET194" i="2"/>
  <c r="ES194" i="2"/>
  <c r="ER194" i="2"/>
  <c r="EQ194" i="2"/>
  <c r="EP194" i="2"/>
  <c r="EN194" i="2"/>
  <c r="EO194" i="2" s="1"/>
  <c r="EM194" i="2"/>
  <c r="EL194" i="2"/>
  <c r="EK194" i="2"/>
  <c r="EJ194" i="2"/>
  <c r="EI194" i="2"/>
  <c r="EH194" i="2"/>
  <c r="EG194" i="2"/>
  <c r="EF194" i="2"/>
  <c r="EE194" i="2"/>
  <c r="ED194" i="2"/>
  <c r="EC194" i="2"/>
  <c r="EA194" i="2"/>
  <c r="EB194" i="2" s="1"/>
  <c r="DZ194" i="2"/>
  <c r="DY194" i="2"/>
  <c r="DX194" i="2"/>
  <c r="DW194" i="2"/>
  <c r="DV194" i="2"/>
  <c r="DU194" i="2"/>
  <c r="DT194" i="2"/>
  <c r="DS194" i="2"/>
  <c r="DR194" i="2"/>
  <c r="DQ194" i="2"/>
  <c r="DP194" i="2"/>
  <c r="DO194" i="2"/>
  <c r="DN194" i="2"/>
  <c r="DM194" i="2"/>
  <c r="DL194" i="2"/>
  <c r="DK194" i="2"/>
  <c r="DJ194" i="2"/>
  <c r="DI194" i="2"/>
  <c r="DH194" i="2"/>
  <c r="DG194" i="2"/>
  <c r="DF194" i="2"/>
  <c r="DE194" i="2"/>
  <c r="DD194" i="2"/>
  <c r="DC194" i="2"/>
  <c r="DA194" i="2"/>
  <c r="DB194" i="2" s="1"/>
  <c r="CZ194" i="2"/>
  <c r="CY194" i="2"/>
  <c r="CX194" i="2"/>
  <c r="CW194" i="2"/>
  <c r="CV194" i="2"/>
  <c r="CU194" i="2"/>
  <c r="CT194" i="2"/>
  <c r="CS194" i="2"/>
  <c r="CR194" i="2"/>
  <c r="CQ194" i="2"/>
  <c r="CP194" i="2"/>
  <c r="CO194" i="2"/>
  <c r="CN194" i="2"/>
  <c r="CM194" i="2"/>
  <c r="CL194" i="2"/>
  <c r="CK194" i="2"/>
  <c r="CJ194" i="2"/>
  <c r="CI194" i="2"/>
  <c r="CH194" i="2"/>
  <c r="CG194" i="2"/>
  <c r="CF194" i="2"/>
  <c r="CE194" i="2"/>
  <c r="CD194" i="2"/>
  <c r="CC194" i="2"/>
  <c r="CA194" i="2"/>
  <c r="CB194" i="2" s="1"/>
  <c r="BZ194" i="2"/>
  <c r="BY194" i="2"/>
  <c r="BX194" i="2"/>
  <c r="BW194" i="2"/>
  <c r="BV194" i="2"/>
  <c r="BU194" i="2"/>
  <c r="BT194" i="2"/>
  <c r="BS194" i="2"/>
  <c r="BR194" i="2"/>
  <c r="BQ194" i="2"/>
  <c r="BP194" i="2"/>
  <c r="BN194" i="2"/>
  <c r="BO194" i="2" s="1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N194" i="2"/>
  <c r="AO194" i="2" s="1"/>
  <c r="AM194" i="2"/>
  <c r="AL194" i="2"/>
  <c r="AK194" i="2"/>
  <c r="AJ194" i="2"/>
  <c r="AI194" i="2"/>
  <c r="AH194" i="2"/>
  <c r="AG194" i="2"/>
  <c r="AF194" i="2"/>
  <c r="AE194" i="2"/>
  <c r="AD194" i="2"/>
  <c r="AC194" i="2"/>
  <c r="AA194" i="2"/>
  <c r="AB194" i="2" s="1"/>
  <c r="Z194" i="2"/>
  <c r="Y194" i="2"/>
  <c r="X194" i="2"/>
  <c r="W194" i="2"/>
  <c r="V194" i="2"/>
  <c r="U194" i="2"/>
  <c r="T194" i="2"/>
  <c r="S194" i="2"/>
  <c r="R194" i="2"/>
  <c r="Q194" i="2"/>
  <c r="P194" i="2"/>
  <c r="N194" i="2"/>
  <c r="O194" i="2" s="1"/>
  <c r="M194" i="2"/>
  <c r="L194" i="2"/>
  <c r="K194" i="2"/>
  <c r="J194" i="2"/>
  <c r="I194" i="2"/>
  <c r="H194" i="2"/>
  <c r="G194" i="2"/>
  <c r="F194" i="2"/>
  <c r="E194" i="2"/>
  <c r="D194" i="2"/>
  <c r="C194" i="2"/>
  <c r="FI193" i="2"/>
  <c r="FO193" i="2" s="1"/>
  <c r="FH193" i="2"/>
  <c r="FG193" i="2"/>
  <c r="FF193" i="2"/>
  <c r="FE193" i="2"/>
  <c r="FD193" i="2"/>
  <c r="FC193" i="2"/>
  <c r="FB193" i="2"/>
  <c r="FA193" i="2"/>
  <c r="EZ193" i="2"/>
  <c r="EY193" i="2"/>
  <c r="EX193" i="2"/>
  <c r="EW193" i="2"/>
  <c r="EV193" i="2"/>
  <c r="EU193" i="2"/>
  <c r="ET193" i="2"/>
  <c r="ES193" i="2"/>
  <c r="ER193" i="2"/>
  <c r="EQ193" i="2"/>
  <c r="EP193" i="2"/>
  <c r="EN193" i="2"/>
  <c r="EO193" i="2" s="1"/>
  <c r="EM193" i="2"/>
  <c r="EL193" i="2"/>
  <c r="EK193" i="2"/>
  <c r="EJ193" i="2"/>
  <c r="EI193" i="2"/>
  <c r="EH193" i="2"/>
  <c r="EG193" i="2"/>
  <c r="EF193" i="2"/>
  <c r="EE193" i="2"/>
  <c r="ED193" i="2"/>
  <c r="EC193" i="2"/>
  <c r="EA193" i="2"/>
  <c r="EB193" i="2" s="1"/>
  <c r="DZ193" i="2"/>
  <c r="DY193" i="2"/>
  <c r="DX193" i="2"/>
  <c r="DW193" i="2"/>
  <c r="DV193" i="2"/>
  <c r="DU193" i="2"/>
  <c r="DT193" i="2"/>
  <c r="DS193" i="2"/>
  <c r="DR193" i="2"/>
  <c r="DQ193" i="2"/>
  <c r="DP193" i="2"/>
  <c r="DO193" i="2"/>
  <c r="DN193" i="2"/>
  <c r="DM193" i="2"/>
  <c r="DL193" i="2"/>
  <c r="DK193" i="2"/>
  <c r="DJ193" i="2"/>
  <c r="DI193" i="2"/>
  <c r="DH193" i="2"/>
  <c r="DG193" i="2"/>
  <c r="DF193" i="2"/>
  <c r="DE193" i="2"/>
  <c r="DD193" i="2"/>
  <c r="DC193" i="2"/>
  <c r="DA193" i="2"/>
  <c r="DB193" i="2" s="1"/>
  <c r="CZ193" i="2"/>
  <c r="CY193" i="2"/>
  <c r="CX193" i="2"/>
  <c r="CW193" i="2"/>
  <c r="CV193" i="2"/>
  <c r="CU193" i="2"/>
  <c r="CT193" i="2"/>
  <c r="CS193" i="2"/>
  <c r="CR193" i="2"/>
  <c r="CQ193" i="2"/>
  <c r="CP193" i="2"/>
  <c r="CN193" i="2"/>
  <c r="CO193" i="2" s="1"/>
  <c r="CM193" i="2"/>
  <c r="CL193" i="2"/>
  <c r="CK193" i="2"/>
  <c r="CJ193" i="2"/>
  <c r="CI193" i="2"/>
  <c r="CH193" i="2"/>
  <c r="CG193" i="2"/>
  <c r="CF193" i="2"/>
  <c r="CE193" i="2"/>
  <c r="CD193" i="2"/>
  <c r="CC193" i="2"/>
  <c r="CA193" i="2"/>
  <c r="CB193" i="2" s="1"/>
  <c r="BZ193" i="2"/>
  <c r="BY193" i="2"/>
  <c r="BX193" i="2"/>
  <c r="BW193" i="2"/>
  <c r="BV193" i="2"/>
  <c r="BU193" i="2"/>
  <c r="BT193" i="2"/>
  <c r="BS193" i="2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A193" i="2"/>
  <c r="BB193" i="2" s="1"/>
  <c r="AZ193" i="2"/>
  <c r="AY193" i="2"/>
  <c r="AX193" i="2"/>
  <c r="AW193" i="2"/>
  <c r="AV193" i="2"/>
  <c r="AU193" i="2"/>
  <c r="AT193" i="2"/>
  <c r="AS193" i="2"/>
  <c r="AR193" i="2"/>
  <c r="AQ193" i="2"/>
  <c r="AP193" i="2"/>
  <c r="AN193" i="2"/>
  <c r="AO193" i="2" s="1"/>
  <c r="AM193" i="2"/>
  <c r="AL193" i="2"/>
  <c r="AK193" i="2"/>
  <c r="AJ193" i="2"/>
  <c r="AI193" i="2"/>
  <c r="AH193" i="2"/>
  <c r="AG193" i="2"/>
  <c r="AF193" i="2"/>
  <c r="AE193" i="2"/>
  <c r="AD193" i="2"/>
  <c r="AC193" i="2"/>
  <c r="AA193" i="2"/>
  <c r="AB193" i="2" s="1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FO192" i="2"/>
  <c r="FI192" i="2"/>
  <c r="FH192" i="2"/>
  <c r="FG192" i="2"/>
  <c r="FF192" i="2"/>
  <c r="FE192" i="2"/>
  <c r="FD192" i="2"/>
  <c r="FC192" i="2"/>
  <c r="FA192" i="2"/>
  <c r="FB192" i="2" s="1"/>
  <c r="EZ192" i="2"/>
  <c r="EY192" i="2"/>
  <c r="EX192" i="2"/>
  <c r="EW192" i="2"/>
  <c r="EV192" i="2"/>
  <c r="EU192" i="2"/>
  <c r="ET192" i="2"/>
  <c r="ES192" i="2"/>
  <c r="ER192" i="2"/>
  <c r="EQ192" i="2"/>
  <c r="EP192" i="2"/>
  <c r="EN192" i="2"/>
  <c r="EO192" i="2" s="1"/>
  <c r="EM192" i="2"/>
  <c r="EL192" i="2"/>
  <c r="EK192" i="2"/>
  <c r="EJ192" i="2"/>
  <c r="EI192" i="2"/>
  <c r="EH192" i="2"/>
  <c r="EG192" i="2"/>
  <c r="EF192" i="2"/>
  <c r="EE192" i="2"/>
  <c r="ED192" i="2"/>
  <c r="EC192" i="2"/>
  <c r="EA192" i="2"/>
  <c r="EB192" i="2" s="1"/>
  <c r="DZ192" i="2"/>
  <c r="DY192" i="2"/>
  <c r="DX192" i="2"/>
  <c r="DW192" i="2"/>
  <c r="DV192" i="2"/>
  <c r="DU192" i="2"/>
  <c r="DT192" i="2"/>
  <c r="DS192" i="2"/>
  <c r="DR192" i="2"/>
  <c r="DQ192" i="2"/>
  <c r="DP192" i="2"/>
  <c r="DO192" i="2"/>
  <c r="DN192" i="2"/>
  <c r="DM192" i="2"/>
  <c r="DL192" i="2"/>
  <c r="DK192" i="2"/>
  <c r="DJ192" i="2"/>
  <c r="DI192" i="2"/>
  <c r="DH192" i="2"/>
  <c r="DG192" i="2"/>
  <c r="DF192" i="2"/>
  <c r="DE192" i="2"/>
  <c r="DD192" i="2"/>
  <c r="DC192" i="2"/>
  <c r="DA192" i="2"/>
  <c r="DB192" i="2" s="1"/>
  <c r="CZ192" i="2"/>
  <c r="CY192" i="2"/>
  <c r="CX192" i="2"/>
  <c r="CW192" i="2"/>
  <c r="CV192" i="2"/>
  <c r="CU192" i="2"/>
  <c r="CT192" i="2"/>
  <c r="CS192" i="2"/>
  <c r="CR192" i="2"/>
  <c r="CQ192" i="2"/>
  <c r="CP192" i="2"/>
  <c r="CN192" i="2"/>
  <c r="CO192" i="2" s="1"/>
  <c r="CM192" i="2"/>
  <c r="CL192" i="2"/>
  <c r="CK192" i="2"/>
  <c r="CJ192" i="2"/>
  <c r="CI192" i="2"/>
  <c r="CH192" i="2"/>
  <c r="CG192" i="2"/>
  <c r="CF192" i="2"/>
  <c r="CE192" i="2"/>
  <c r="CD192" i="2"/>
  <c r="CC192" i="2"/>
  <c r="CA192" i="2"/>
  <c r="CB192" i="2" s="1"/>
  <c r="BZ192" i="2"/>
  <c r="BY192" i="2"/>
  <c r="BX192" i="2"/>
  <c r="BW192" i="2"/>
  <c r="BV192" i="2"/>
  <c r="BU192" i="2"/>
  <c r="BT192" i="2"/>
  <c r="BS192" i="2"/>
  <c r="BR192" i="2"/>
  <c r="BQ192" i="2"/>
  <c r="BP192" i="2"/>
  <c r="BN192" i="2"/>
  <c r="BO192" i="2" s="1"/>
  <c r="BM192" i="2"/>
  <c r="BL192" i="2"/>
  <c r="BK192" i="2"/>
  <c r="BJ192" i="2"/>
  <c r="BI192" i="2"/>
  <c r="BH192" i="2"/>
  <c r="BG192" i="2"/>
  <c r="BF192" i="2"/>
  <c r="BE192" i="2"/>
  <c r="BD192" i="2"/>
  <c r="BC192" i="2"/>
  <c r="BA192" i="2"/>
  <c r="BB192" i="2" s="1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A192" i="2"/>
  <c r="AB192" i="2" s="1"/>
  <c r="Z192" i="2"/>
  <c r="Y192" i="2"/>
  <c r="X192" i="2"/>
  <c r="W192" i="2"/>
  <c r="V192" i="2"/>
  <c r="U192" i="2"/>
  <c r="T192" i="2"/>
  <c r="S192" i="2"/>
  <c r="R192" i="2"/>
  <c r="Q192" i="2"/>
  <c r="P192" i="2"/>
  <c r="N192" i="2"/>
  <c r="O192" i="2" s="1"/>
  <c r="M192" i="2"/>
  <c r="L192" i="2"/>
  <c r="K192" i="2"/>
  <c r="J192" i="2"/>
  <c r="I192" i="2"/>
  <c r="H192" i="2"/>
  <c r="G192" i="2"/>
  <c r="F192" i="2"/>
  <c r="E192" i="2"/>
  <c r="D192" i="2"/>
  <c r="C192" i="2"/>
  <c r="FI191" i="2"/>
  <c r="FH191" i="2"/>
  <c r="FG191" i="2"/>
  <c r="FF191" i="2"/>
  <c r="FE191" i="2"/>
  <c r="FD191" i="2"/>
  <c r="FC191" i="2"/>
  <c r="FA191" i="2"/>
  <c r="FB191" i="2" s="1"/>
  <c r="EZ191" i="2"/>
  <c r="EY191" i="2"/>
  <c r="EX191" i="2"/>
  <c r="EW191" i="2"/>
  <c r="EV191" i="2"/>
  <c r="EU191" i="2"/>
  <c r="ET191" i="2"/>
  <c r="ES191" i="2"/>
  <c r="ER191" i="2"/>
  <c r="EQ191" i="2"/>
  <c r="EP191" i="2"/>
  <c r="EO191" i="2"/>
  <c r="EN191" i="2"/>
  <c r="EM191" i="2"/>
  <c r="EL191" i="2"/>
  <c r="EK191" i="2"/>
  <c r="EJ191" i="2"/>
  <c r="EI191" i="2"/>
  <c r="EH191" i="2"/>
  <c r="EG191" i="2"/>
  <c r="EF191" i="2"/>
  <c r="EE191" i="2"/>
  <c r="ED191" i="2"/>
  <c r="EC191" i="2"/>
  <c r="EA191" i="2"/>
  <c r="DZ191" i="2"/>
  <c r="DY191" i="2"/>
  <c r="DX191" i="2"/>
  <c r="DW191" i="2"/>
  <c r="DV191" i="2"/>
  <c r="DU191" i="2"/>
  <c r="DT191" i="2"/>
  <c r="DS191" i="2"/>
  <c r="DR191" i="2"/>
  <c r="DQ191" i="2"/>
  <c r="DP191" i="2"/>
  <c r="DN191" i="2"/>
  <c r="DO191" i="2" s="1"/>
  <c r="DM191" i="2"/>
  <c r="DL191" i="2"/>
  <c r="DK191" i="2"/>
  <c r="DJ191" i="2"/>
  <c r="DI191" i="2"/>
  <c r="DH191" i="2"/>
  <c r="DG191" i="2"/>
  <c r="DF191" i="2"/>
  <c r="DE191" i="2"/>
  <c r="DD191" i="2"/>
  <c r="DC191" i="2"/>
  <c r="DA191" i="2"/>
  <c r="CZ191" i="2"/>
  <c r="CY191" i="2"/>
  <c r="CX191" i="2"/>
  <c r="CW191" i="2"/>
  <c r="CV191" i="2"/>
  <c r="CU191" i="2"/>
  <c r="CT191" i="2"/>
  <c r="CS191" i="2"/>
  <c r="CR191" i="2"/>
  <c r="CQ191" i="2"/>
  <c r="CP191" i="2"/>
  <c r="CN191" i="2"/>
  <c r="CM191" i="2"/>
  <c r="CL191" i="2"/>
  <c r="CK191" i="2"/>
  <c r="CJ191" i="2"/>
  <c r="CI191" i="2"/>
  <c r="CH191" i="2"/>
  <c r="CG191" i="2"/>
  <c r="CF191" i="2"/>
  <c r="CE191" i="2"/>
  <c r="CD191" i="2"/>
  <c r="CC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F191" i="2"/>
  <c r="BE191" i="2"/>
  <c r="BD191" i="2"/>
  <c r="BC191" i="2"/>
  <c r="BB191" i="2"/>
  <c r="BA191" i="2"/>
  <c r="AZ191" i="2"/>
  <c r="AY191" i="2"/>
  <c r="AX191" i="2"/>
  <c r="AW191" i="2"/>
  <c r="AV191" i="2"/>
  <c r="AU191" i="2"/>
  <c r="AT191" i="2"/>
  <c r="AS191" i="2"/>
  <c r="AR191" i="2"/>
  <c r="AQ191" i="2"/>
  <c r="AP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FN187" i="2"/>
  <c r="FM187" i="2"/>
  <c r="FL187" i="2"/>
  <c r="FK187" i="2"/>
  <c r="FJ187" i="2"/>
  <c r="FO186" i="2"/>
  <c r="FI186" i="2"/>
  <c r="FH186" i="2"/>
  <c r="FG186" i="2"/>
  <c r="FF186" i="2"/>
  <c r="FE186" i="2"/>
  <c r="FD186" i="2"/>
  <c r="FC186" i="2"/>
  <c r="FA186" i="2"/>
  <c r="FB186" i="2" s="1"/>
  <c r="EZ186" i="2"/>
  <c r="EY186" i="2"/>
  <c r="EX186" i="2"/>
  <c r="EW186" i="2"/>
  <c r="EV186" i="2"/>
  <c r="EU186" i="2"/>
  <c r="ET186" i="2"/>
  <c r="ES186" i="2"/>
  <c r="ER186" i="2"/>
  <c r="EQ186" i="2"/>
  <c r="EP186" i="2"/>
  <c r="EN186" i="2"/>
  <c r="EO186" i="2" s="1"/>
  <c r="EM186" i="2"/>
  <c r="EL186" i="2"/>
  <c r="EK186" i="2"/>
  <c r="EJ186" i="2"/>
  <c r="EI186" i="2"/>
  <c r="EH186" i="2"/>
  <c r="EG186" i="2"/>
  <c r="EF186" i="2"/>
  <c r="EE186" i="2"/>
  <c r="ED186" i="2"/>
  <c r="EC186" i="2"/>
  <c r="EB186" i="2"/>
  <c r="EA186" i="2"/>
  <c r="DZ186" i="2"/>
  <c r="DY186" i="2"/>
  <c r="DX186" i="2"/>
  <c r="DW186" i="2"/>
  <c r="DV186" i="2"/>
  <c r="DU186" i="2"/>
  <c r="DT186" i="2"/>
  <c r="DS186" i="2"/>
  <c r="DR186" i="2"/>
  <c r="DQ186" i="2"/>
  <c r="DP186" i="2"/>
  <c r="DN186" i="2"/>
  <c r="DO186" i="2" s="1"/>
  <c r="DM186" i="2"/>
  <c r="DL186" i="2"/>
  <c r="DK186" i="2"/>
  <c r="DJ186" i="2"/>
  <c r="DI186" i="2"/>
  <c r="DH186" i="2"/>
  <c r="DG186" i="2"/>
  <c r="DF186" i="2"/>
  <c r="DE186" i="2"/>
  <c r="DD186" i="2"/>
  <c r="DC186" i="2"/>
  <c r="DB186" i="2"/>
  <c r="DA186" i="2"/>
  <c r="CZ186" i="2"/>
  <c r="CY186" i="2"/>
  <c r="CX186" i="2"/>
  <c r="CW186" i="2"/>
  <c r="CV186" i="2"/>
  <c r="CU186" i="2"/>
  <c r="CT186" i="2"/>
  <c r="CS186" i="2"/>
  <c r="CR186" i="2"/>
  <c r="CQ186" i="2"/>
  <c r="CP186" i="2"/>
  <c r="CN186" i="2"/>
  <c r="CO186" i="2" s="1"/>
  <c r="CM186" i="2"/>
  <c r="CL186" i="2"/>
  <c r="CK186" i="2"/>
  <c r="CJ186" i="2"/>
  <c r="CI186" i="2"/>
  <c r="CH186" i="2"/>
  <c r="CG186" i="2"/>
  <c r="CF186" i="2"/>
  <c r="CE186" i="2"/>
  <c r="CD186" i="2"/>
  <c r="CC186" i="2"/>
  <c r="CA186" i="2"/>
  <c r="CB186" i="2" s="1"/>
  <c r="BZ186" i="2"/>
  <c r="BY186" i="2"/>
  <c r="BX186" i="2"/>
  <c r="BW186" i="2"/>
  <c r="BV186" i="2"/>
  <c r="BU186" i="2"/>
  <c r="BT186" i="2"/>
  <c r="BS186" i="2"/>
  <c r="BR186" i="2"/>
  <c r="BQ186" i="2"/>
  <c r="BP186" i="2"/>
  <c r="BN186" i="2"/>
  <c r="BO186" i="2" s="1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N186" i="2"/>
  <c r="AO186" i="2" s="1"/>
  <c r="AM186" i="2"/>
  <c r="AL186" i="2"/>
  <c r="AK186" i="2"/>
  <c r="AJ186" i="2"/>
  <c r="AI186" i="2"/>
  <c r="AH186" i="2"/>
  <c r="AG186" i="2"/>
  <c r="AF186" i="2"/>
  <c r="AE186" i="2"/>
  <c r="AD186" i="2"/>
  <c r="AC186" i="2"/>
  <c r="AA186" i="2"/>
  <c r="AB186" i="2" s="1"/>
  <c r="Z186" i="2"/>
  <c r="Y186" i="2"/>
  <c r="X186" i="2"/>
  <c r="W186" i="2"/>
  <c r="V186" i="2"/>
  <c r="U186" i="2"/>
  <c r="T186" i="2"/>
  <c r="S186" i="2"/>
  <c r="R186" i="2"/>
  <c r="Q186" i="2"/>
  <c r="P186" i="2"/>
  <c r="N186" i="2"/>
  <c r="O186" i="2" s="1"/>
  <c r="M186" i="2"/>
  <c r="L186" i="2"/>
  <c r="K186" i="2"/>
  <c r="J186" i="2"/>
  <c r="I186" i="2"/>
  <c r="H186" i="2"/>
  <c r="G186" i="2"/>
  <c r="F186" i="2"/>
  <c r="E186" i="2"/>
  <c r="D186" i="2"/>
  <c r="C186" i="2"/>
  <c r="FI185" i="2"/>
  <c r="FO185" i="2" s="1"/>
  <c r="FH185" i="2"/>
  <c r="FG185" i="2"/>
  <c r="FF185" i="2"/>
  <c r="FE185" i="2"/>
  <c r="FD185" i="2"/>
  <c r="FC185" i="2"/>
  <c r="FA185" i="2"/>
  <c r="FB185" i="2" s="1"/>
  <c r="EZ185" i="2"/>
  <c r="EY185" i="2"/>
  <c r="EX185" i="2"/>
  <c r="EW185" i="2"/>
  <c r="EV185" i="2"/>
  <c r="EU185" i="2"/>
  <c r="ET185" i="2"/>
  <c r="ES185" i="2"/>
  <c r="ER185" i="2"/>
  <c r="EQ185" i="2"/>
  <c r="EP185" i="2"/>
  <c r="EN185" i="2"/>
  <c r="EO185" i="2" s="1"/>
  <c r="EM185" i="2"/>
  <c r="EL185" i="2"/>
  <c r="EK185" i="2"/>
  <c r="EJ185" i="2"/>
  <c r="EI185" i="2"/>
  <c r="EH185" i="2"/>
  <c r="EG185" i="2"/>
  <c r="EF185" i="2"/>
  <c r="EE185" i="2"/>
  <c r="ED185" i="2"/>
  <c r="EC185" i="2"/>
  <c r="EA185" i="2"/>
  <c r="EB185" i="2" s="1"/>
  <c r="DZ185" i="2"/>
  <c r="DY185" i="2"/>
  <c r="DX185" i="2"/>
  <c r="DW185" i="2"/>
  <c r="DV185" i="2"/>
  <c r="DU185" i="2"/>
  <c r="DT185" i="2"/>
  <c r="DS185" i="2"/>
  <c r="DR185" i="2"/>
  <c r="DQ185" i="2"/>
  <c r="DP185" i="2"/>
  <c r="DO185" i="2"/>
  <c r="DN185" i="2"/>
  <c r="DM185" i="2"/>
  <c r="DL185" i="2"/>
  <c r="DK185" i="2"/>
  <c r="DJ185" i="2"/>
  <c r="DI185" i="2"/>
  <c r="DH185" i="2"/>
  <c r="DG185" i="2"/>
  <c r="DF185" i="2"/>
  <c r="DE185" i="2"/>
  <c r="DD185" i="2"/>
  <c r="DC185" i="2"/>
  <c r="DA185" i="2"/>
  <c r="DB185" i="2" s="1"/>
  <c r="CZ185" i="2"/>
  <c r="CY185" i="2"/>
  <c r="CX185" i="2"/>
  <c r="CW185" i="2"/>
  <c r="CV185" i="2"/>
  <c r="CU185" i="2"/>
  <c r="CT185" i="2"/>
  <c r="CS185" i="2"/>
  <c r="CR185" i="2"/>
  <c r="CQ185" i="2"/>
  <c r="CP185" i="2"/>
  <c r="CN185" i="2"/>
  <c r="CO185" i="2" s="1"/>
  <c r="CM185" i="2"/>
  <c r="CL185" i="2"/>
  <c r="CK185" i="2"/>
  <c r="CJ185" i="2"/>
  <c r="CI185" i="2"/>
  <c r="CH185" i="2"/>
  <c r="CG185" i="2"/>
  <c r="CF185" i="2"/>
  <c r="CE185" i="2"/>
  <c r="CD185" i="2"/>
  <c r="CC185" i="2"/>
  <c r="CB185" i="2"/>
  <c r="CA185" i="2"/>
  <c r="BZ185" i="2"/>
  <c r="BY185" i="2"/>
  <c r="BX185" i="2"/>
  <c r="BW185" i="2"/>
  <c r="BV185" i="2"/>
  <c r="BU185" i="2"/>
  <c r="BT185" i="2"/>
  <c r="BS185" i="2"/>
  <c r="BR185" i="2"/>
  <c r="BQ185" i="2"/>
  <c r="BP185" i="2"/>
  <c r="BN185" i="2"/>
  <c r="BO185" i="2" s="1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N185" i="2"/>
  <c r="AO185" i="2" s="1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N185" i="2"/>
  <c r="O185" i="2" s="1"/>
  <c r="M185" i="2"/>
  <c r="L185" i="2"/>
  <c r="K185" i="2"/>
  <c r="J185" i="2"/>
  <c r="I185" i="2"/>
  <c r="H185" i="2"/>
  <c r="G185" i="2"/>
  <c r="F185" i="2"/>
  <c r="E185" i="2"/>
  <c r="D185" i="2"/>
  <c r="C185" i="2"/>
  <c r="FI184" i="2"/>
  <c r="FO184" i="2" s="1"/>
  <c r="FH184" i="2"/>
  <c r="FG184" i="2"/>
  <c r="FF184" i="2"/>
  <c r="FE184" i="2"/>
  <c r="FD184" i="2"/>
  <c r="FC184" i="2"/>
  <c r="FA184" i="2"/>
  <c r="FB184" i="2" s="1"/>
  <c r="EZ184" i="2"/>
  <c r="EY184" i="2"/>
  <c r="EX184" i="2"/>
  <c r="EW184" i="2"/>
  <c r="EV184" i="2"/>
  <c r="EU184" i="2"/>
  <c r="ET184" i="2"/>
  <c r="ES184" i="2"/>
  <c r="ER184" i="2"/>
  <c r="EQ184" i="2"/>
  <c r="EP184" i="2"/>
  <c r="EN184" i="2"/>
  <c r="EO184" i="2" s="1"/>
  <c r="EM184" i="2"/>
  <c r="EL184" i="2"/>
  <c r="EK184" i="2"/>
  <c r="EJ184" i="2"/>
  <c r="EI184" i="2"/>
  <c r="EH184" i="2"/>
  <c r="EG184" i="2"/>
  <c r="EF184" i="2"/>
  <c r="EE184" i="2"/>
  <c r="ED184" i="2"/>
  <c r="EC184" i="2"/>
  <c r="EA184" i="2"/>
  <c r="EB184" i="2" s="1"/>
  <c r="DZ184" i="2"/>
  <c r="DY184" i="2"/>
  <c r="DX184" i="2"/>
  <c r="DW184" i="2"/>
  <c r="DV184" i="2"/>
  <c r="DU184" i="2"/>
  <c r="DT184" i="2"/>
  <c r="DS184" i="2"/>
  <c r="DR184" i="2"/>
  <c r="DQ184" i="2"/>
  <c r="DP184" i="2"/>
  <c r="DN184" i="2"/>
  <c r="DO184" i="2" s="1"/>
  <c r="DM184" i="2"/>
  <c r="DL184" i="2"/>
  <c r="DK184" i="2"/>
  <c r="DJ184" i="2"/>
  <c r="DI184" i="2"/>
  <c r="DH184" i="2"/>
  <c r="DG184" i="2"/>
  <c r="DF184" i="2"/>
  <c r="DE184" i="2"/>
  <c r="DD184" i="2"/>
  <c r="DC184" i="2"/>
  <c r="DB184" i="2"/>
  <c r="DA184" i="2"/>
  <c r="CZ184" i="2"/>
  <c r="CY184" i="2"/>
  <c r="CX184" i="2"/>
  <c r="CW184" i="2"/>
  <c r="CV184" i="2"/>
  <c r="CU184" i="2"/>
  <c r="CT184" i="2"/>
  <c r="CS184" i="2"/>
  <c r="CR184" i="2"/>
  <c r="CQ184" i="2"/>
  <c r="CP184" i="2"/>
  <c r="CN184" i="2"/>
  <c r="CO184" i="2" s="1"/>
  <c r="CM184" i="2"/>
  <c r="CL184" i="2"/>
  <c r="CK184" i="2"/>
  <c r="CJ184" i="2"/>
  <c r="CI184" i="2"/>
  <c r="CH184" i="2"/>
  <c r="CG184" i="2"/>
  <c r="CF184" i="2"/>
  <c r="CE184" i="2"/>
  <c r="CD184" i="2"/>
  <c r="CC184" i="2"/>
  <c r="CB184" i="2"/>
  <c r="CA184" i="2"/>
  <c r="BZ184" i="2"/>
  <c r="BY184" i="2"/>
  <c r="BX184" i="2"/>
  <c r="BW184" i="2"/>
  <c r="BV184" i="2"/>
  <c r="BU184" i="2"/>
  <c r="BT184" i="2"/>
  <c r="BS184" i="2"/>
  <c r="BR184" i="2"/>
  <c r="BQ184" i="2"/>
  <c r="BP184" i="2"/>
  <c r="BN184" i="2"/>
  <c r="BO184" i="2" s="1"/>
  <c r="BM184" i="2"/>
  <c r="BL184" i="2"/>
  <c r="BK184" i="2"/>
  <c r="BJ184" i="2"/>
  <c r="BI184" i="2"/>
  <c r="BH184" i="2"/>
  <c r="BG184" i="2"/>
  <c r="BF184" i="2"/>
  <c r="BE184" i="2"/>
  <c r="BD184" i="2"/>
  <c r="BC184" i="2"/>
  <c r="BA184" i="2"/>
  <c r="BB184" i="2" s="1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A184" i="2"/>
  <c r="AB184" i="2" s="1"/>
  <c r="Z184" i="2"/>
  <c r="Y184" i="2"/>
  <c r="X184" i="2"/>
  <c r="W184" i="2"/>
  <c r="V184" i="2"/>
  <c r="U184" i="2"/>
  <c r="T184" i="2"/>
  <c r="S184" i="2"/>
  <c r="R184" i="2"/>
  <c r="Q184" i="2"/>
  <c r="P184" i="2"/>
  <c r="N184" i="2"/>
  <c r="O184" i="2" s="1"/>
  <c r="M184" i="2"/>
  <c r="L184" i="2"/>
  <c r="K184" i="2"/>
  <c r="J184" i="2"/>
  <c r="I184" i="2"/>
  <c r="H184" i="2"/>
  <c r="G184" i="2"/>
  <c r="F184" i="2"/>
  <c r="E184" i="2"/>
  <c r="D184" i="2"/>
  <c r="C184" i="2"/>
  <c r="FI183" i="2"/>
  <c r="FO183" i="2" s="1"/>
  <c r="FH183" i="2"/>
  <c r="FG183" i="2"/>
  <c r="FF183" i="2"/>
  <c r="FE183" i="2"/>
  <c r="FD183" i="2"/>
  <c r="FC183" i="2"/>
  <c r="FA183" i="2"/>
  <c r="FB183" i="2" s="1"/>
  <c r="EZ183" i="2"/>
  <c r="EY183" i="2"/>
  <c r="EX183" i="2"/>
  <c r="EW183" i="2"/>
  <c r="EV183" i="2"/>
  <c r="EU183" i="2"/>
  <c r="ET183" i="2"/>
  <c r="ES183" i="2"/>
  <c r="ER183" i="2"/>
  <c r="EQ183" i="2"/>
  <c r="EP183" i="2"/>
  <c r="EO183" i="2"/>
  <c r="EN183" i="2"/>
  <c r="EM183" i="2"/>
  <c r="EL183" i="2"/>
  <c r="EK183" i="2"/>
  <c r="EJ183" i="2"/>
  <c r="EI183" i="2"/>
  <c r="EH183" i="2"/>
  <c r="EG183" i="2"/>
  <c r="EF183" i="2"/>
  <c r="EE183" i="2"/>
  <c r="ED183" i="2"/>
  <c r="EC183" i="2"/>
  <c r="EA183" i="2"/>
  <c r="EB183" i="2" s="1"/>
  <c r="DZ183" i="2"/>
  <c r="DY183" i="2"/>
  <c r="DX183" i="2"/>
  <c r="DW183" i="2"/>
  <c r="DV183" i="2"/>
  <c r="DU183" i="2"/>
  <c r="DT183" i="2"/>
  <c r="DS183" i="2"/>
  <c r="DR183" i="2"/>
  <c r="DQ183" i="2"/>
  <c r="DP183" i="2"/>
  <c r="DN183" i="2"/>
  <c r="DO183" i="2" s="1"/>
  <c r="DM183" i="2"/>
  <c r="DL183" i="2"/>
  <c r="DK183" i="2"/>
  <c r="DJ183" i="2"/>
  <c r="DI183" i="2"/>
  <c r="DH183" i="2"/>
  <c r="DG183" i="2"/>
  <c r="DF183" i="2"/>
  <c r="DE183" i="2"/>
  <c r="DD183" i="2"/>
  <c r="DC183" i="2"/>
  <c r="DB183" i="2"/>
  <c r="DA183" i="2"/>
  <c r="CZ183" i="2"/>
  <c r="CY183" i="2"/>
  <c r="CX183" i="2"/>
  <c r="CW183" i="2"/>
  <c r="CV183" i="2"/>
  <c r="CU183" i="2"/>
  <c r="CT183" i="2"/>
  <c r="CS183" i="2"/>
  <c r="CR183" i="2"/>
  <c r="CQ183" i="2"/>
  <c r="CP183" i="2"/>
  <c r="CN183" i="2"/>
  <c r="CO183" i="2" s="1"/>
  <c r="CM183" i="2"/>
  <c r="CL183" i="2"/>
  <c r="CK183" i="2"/>
  <c r="CJ183" i="2"/>
  <c r="CI183" i="2"/>
  <c r="CH183" i="2"/>
  <c r="CG183" i="2"/>
  <c r="CF183" i="2"/>
  <c r="CE183" i="2"/>
  <c r="CD183" i="2"/>
  <c r="CC183" i="2"/>
  <c r="CA183" i="2"/>
  <c r="CB183" i="2" s="1"/>
  <c r="BZ183" i="2"/>
  <c r="BY183" i="2"/>
  <c r="BX183" i="2"/>
  <c r="BW183" i="2"/>
  <c r="BV183" i="2"/>
  <c r="BU183" i="2"/>
  <c r="BT183" i="2"/>
  <c r="BS183" i="2"/>
  <c r="BR183" i="2"/>
  <c r="BQ183" i="2"/>
  <c r="BP183" i="2"/>
  <c r="BN183" i="2"/>
  <c r="BO183" i="2" s="1"/>
  <c r="BM183" i="2"/>
  <c r="BL183" i="2"/>
  <c r="BK183" i="2"/>
  <c r="BJ183" i="2"/>
  <c r="BI183" i="2"/>
  <c r="BH183" i="2"/>
  <c r="BG183" i="2"/>
  <c r="BF183" i="2"/>
  <c r="BE183" i="2"/>
  <c r="BD183" i="2"/>
  <c r="BC183" i="2"/>
  <c r="BA183" i="2"/>
  <c r="BB183" i="2" s="1"/>
  <c r="AZ183" i="2"/>
  <c r="AY183" i="2"/>
  <c r="AX183" i="2"/>
  <c r="AW183" i="2"/>
  <c r="AV183" i="2"/>
  <c r="AU183" i="2"/>
  <c r="AT183" i="2"/>
  <c r="AS183" i="2"/>
  <c r="AR183" i="2"/>
  <c r="AQ183" i="2"/>
  <c r="AP183" i="2"/>
  <c r="AN183" i="2"/>
  <c r="AO183" i="2" s="1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FI182" i="2"/>
  <c r="FO182" i="2" s="1"/>
  <c r="FH182" i="2"/>
  <c r="FG182" i="2"/>
  <c r="FF182" i="2"/>
  <c r="FE182" i="2"/>
  <c r="FD182" i="2"/>
  <c r="FC182" i="2"/>
  <c r="FB182" i="2"/>
  <c r="FA182" i="2"/>
  <c r="EZ182" i="2"/>
  <c r="EY182" i="2"/>
  <c r="EX182" i="2"/>
  <c r="EW182" i="2"/>
  <c r="EV182" i="2"/>
  <c r="EU182" i="2"/>
  <c r="ET182" i="2"/>
  <c r="ES182" i="2"/>
  <c r="ER182" i="2"/>
  <c r="EQ182" i="2"/>
  <c r="EP182" i="2"/>
  <c r="EN182" i="2"/>
  <c r="EO182" i="2" s="1"/>
  <c r="EM182" i="2"/>
  <c r="EL182" i="2"/>
  <c r="EK182" i="2"/>
  <c r="EJ182" i="2"/>
  <c r="EI182" i="2"/>
  <c r="EH182" i="2"/>
  <c r="EG182" i="2"/>
  <c r="EF182" i="2"/>
  <c r="EE182" i="2"/>
  <c r="ED182" i="2"/>
  <c r="EC182" i="2"/>
  <c r="EA182" i="2"/>
  <c r="EB182" i="2" s="1"/>
  <c r="DZ182" i="2"/>
  <c r="DY182" i="2"/>
  <c r="DX182" i="2"/>
  <c r="DW182" i="2"/>
  <c r="DV182" i="2"/>
  <c r="DU182" i="2"/>
  <c r="DT182" i="2"/>
  <c r="DS182" i="2"/>
  <c r="DR182" i="2"/>
  <c r="DQ182" i="2"/>
  <c r="DP182" i="2"/>
  <c r="DN182" i="2"/>
  <c r="DO182" i="2" s="1"/>
  <c r="DM182" i="2"/>
  <c r="DL182" i="2"/>
  <c r="DK182" i="2"/>
  <c r="DJ182" i="2"/>
  <c r="DI182" i="2"/>
  <c r="DH182" i="2"/>
  <c r="DG182" i="2"/>
  <c r="DF182" i="2"/>
  <c r="DE182" i="2"/>
  <c r="DD182" i="2"/>
  <c r="DC182" i="2"/>
  <c r="DA182" i="2"/>
  <c r="DB182" i="2" s="1"/>
  <c r="CZ182" i="2"/>
  <c r="CY182" i="2"/>
  <c r="CX182" i="2"/>
  <c r="CW182" i="2"/>
  <c r="CV182" i="2"/>
  <c r="CU182" i="2"/>
  <c r="CT182" i="2"/>
  <c r="CS182" i="2"/>
  <c r="CR182" i="2"/>
  <c r="CQ182" i="2"/>
  <c r="CP182" i="2"/>
  <c r="CO182" i="2"/>
  <c r="CN182" i="2"/>
  <c r="CM182" i="2"/>
  <c r="CL182" i="2"/>
  <c r="CK182" i="2"/>
  <c r="CJ182" i="2"/>
  <c r="CI182" i="2"/>
  <c r="CH182" i="2"/>
  <c r="CG182" i="2"/>
  <c r="CF182" i="2"/>
  <c r="CE182" i="2"/>
  <c r="CD182" i="2"/>
  <c r="CC182" i="2"/>
  <c r="CA182" i="2"/>
  <c r="CB182" i="2" s="1"/>
  <c r="BZ182" i="2"/>
  <c r="BY182" i="2"/>
  <c r="BX182" i="2"/>
  <c r="BW182" i="2"/>
  <c r="BV182" i="2"/>
  <c r="BU182" i="2"/>
  <c r="BT182" i="2"/>
  <c r="BS182" i="2"/>
  <c r="BR182" i="2"/>
  <c r="BQ182" i="2"/>
  <c r="BP182" i="2"/>
  <c r="BN182" i="2"/>
  <c r="BO182" i="2" s="1"/>
  <c r="BM182" i="2"/>
  <c r="BL182" i="2"/>
  <c r="BK182" i="2"/>
  <c r="BJ182" i="2"/>
  <c r="BI182" i="2"/>
  <c r="BH182" i="2"/>
  <c r="BG182" i="2"/>
  <c r="BF182" i="2"/>
  <c r="BE182" i="2"/>
  <c r="BD182" i="2"/>
  <c r="BC182" i="2"/>
  <c r="BA182" i="2"/>
  <c r="BB182" i="2" s="1"/>
  <c r="AZ182" i="2"/>
  <c r="AY182" i="2"/>
  <c r="AX182" i="2"/>
  <c r="AW182" i="2"/>
  <c r="AV182" i="2"/>
  <c r="AU182" i="2"/>
  <c r="AT182" i="2"/>
  <c r="AS182" i="2"/>
  <c r="AR182" i="2"/>
  <c r="AQ182" i="2"/>
  <c r="AP182" i="2"/>
  <c r="AN182" i="2"/>
  <c r="AO182" i="2" s="1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N182" i="2"/>
  <c r="O182" i="2" s="1"/>
  <c r="M182" i="2"/>
  <c r="L182" i="2"/>
  <c r="K182" i="2"/>
  <c r="J182" i="2"/>
  <c r="I182" i="2"/>
  <c r="H182" i="2"/>
  <c r="G182" i="2"/>
  <c r="F182" i="2"/>
  <c r="E182" i="2"/>
  <c r="D182" i="2"/>
  <c r="C182" i="2"/>
  <c r="FI181" i="2"/>
  <c r="FO181" i="2" s="1"/>
  <c r="FH181" i="2"/>
  <c r="FG181" i="2"/>
  <c r="FF181" i="2"/>
  <c r="FE181" i="2"/>
  <c r="FD181" i="2"/>
  <c r="FC181" i="2"/>
  <c r="FB181" i="2"/>
  <c r="FA181" i="2"/>
  <c r="EZ181" i="2"/>
  <c r="EY181" i="2"/>
  <c r="EX181" i="2"/>
  <c r="EW181" i="2"/>
  <c r="EV181" i="2"/>
  <c r="EU181" i="2"/>
  <c r="ET181" i="2"/>
  <c r="ES181" i="2"/>
  <c r="ER181" i="2"/>
  <c r="EQ181" i="2"/>
  <c r="EP181" i="2"/>
  <c r="EN181" i="2"/>
  <c r="EO181" i="2" s="1"/>
  <c r="EM181" i="2"/>
  <c r="EL181" i="2"/>
  <c r="EK181" i="2"/>
  <c r="EJ181" i="2"/>
  <c r="EI181" i="2"/>
  <c r="EH181" i="2"/>
  <c r="EG181" i="2"/>
  <c r="EF181" i="2"/>
  <c r="EE181" i="2"/>
  <c r="ED181" i="2"/>
  <c r="EC181" i="2"/>
  <c r="EA181" i="2"/>
  <c r="EB181" i="2" s="1"/>
  <c r="DZ181" i="2"/>
  <c r="DY181" i="2"/>
  <c r="DX181" i="2"/>
  <c r="DW181" i="2"/>
  <c r="DV181" i="2"/>
  <c r="DU181" i="2"/>
  <c r="DT181" i="2"/>
  <c r="DS181" i="2"/>
  <c r="DR181" i="2"/>
  <c r="DQ181" i="2"/>
  <c r="DP181" i="2"/>
  <c r="DN181" i="2"/>
  <c r="DO181" i="2" s="1"/>
  <c r="DM181" i="2"/>
  <c r="DL181" i="2"/>
  <c r="DK181" i="2"/>
  <c r="DJ181" i="2"/>
  <c r="DI181" i="2"/>
  <c r="DH181" i="2"/>
  <c r="DG181" i="2"/>
  <c r="DF181" i="2"/>
  <c r="DE181" i="2"/>
  <c r="DD181" i="2"/>
  <c r="DC181" i="2"/>
  <c r="DA181" i="2"/>
  <c r="DB181" i="2" s="1"/>
  <c r="CZ181" i="2"/>
  <c r="CY181" i="2"/>
  <c r="CX181" i="2"/>
  <c r="CW181" i="2"/>
  <c r="CV181" i="2"/>
  <c r="CU181" i="2"/>
  <c r="CT181" i="2"/>
  <c r="CS181" i="2"/>
  <c r="CR181" i="2"/>
  <c r="CQ181" i="2"/>
  <c r="CP181" i="2"/>
  <c r="CN181" i="2"/>
  <c r="CO181" i="2" s="1"/>
  <c r="CM181" i="2"/>
  <c r="CL181" i="2"/>
  <c r="CK181" i="2"/>
  <c r="CJ181" i="2"/>
  <c r="CI181" i="2"/>
  <c r="CH181" i="2"/>
  <c r="CG181" i="2"/>
  <c r="CF181" i="2"/>
  <c r="CE181" i="2"/>
  <c r="CD181" i="2"/>
  <c r="CC181" i="2"/>
  <c r="CB181" i="2"/>
  <c r="CA181" i="2"/>
  <c r="BZ181" i="2"/>
  <c r="BY181" i="2"/>
  <c r="BX181" i="2"/>
  <c r="BW181" i="2"/>
  <c r="BV181" i="2"/>
  <c r="BU181" i="2"/>
  <c r="BT181" i="2"/>
  <c r="BS181" i="2"/>
  <c r="BR181" i="2"/>
  <c r="BQ181" i="2"/>
  <c r="BP181" i="2"/>
  <c r="BN181" i="2"/>
  <c r="BO181" i="2" s="1"/>
  <c r="BM181" i="2"/>
  <c r="BL181" i="2"/>
  <c r="BK181" i="2"/>
  <c r="BJ181" i="2"/>
  <c r="BI181" i="2"/>
  <c r="BH181" i="2"/>
  <c r="BG181" i="2"/>
  <c r="BF181" i="2"/>
  <c r="BE181" i="2"/>
  <c r="BD181" i="2"/>
  <c r="BC181" i="2"/>
  <c r="BA181" i="2"/>
  <c r="BB181" i="2" s="1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N181" i="2"/>
  <c r="O181" i="2" s="1"/>
  <c r="M181" i="2"/>
  <c r="L181" i="2"/>
  <c r="K181" i="2"/>
  <c r="J181" i="2"/>
  <c r="I181" i="2"/>
  <c r="H181" i="2"/>
  <c r="G181" i="2"/>
  <c r="F181" i="2"/>
  <c r="E181" i="2"/>
  <c r="D181" i="2"/>
  <c r="C181" i="2"/>
  <c r="FO180" i="2"/>
  <c r="FI180" i="2"/>
  <c r="FH180" i="2"/>
  <c r="FG180" i="2"/>
  <c r="FF180" i="2"/>
  <c r="FE180" i="2"/>
  <c r="FD180" i="2"/>
  <c r="FC180" i="2"/>
  <c r="FA180" i="2"/>
  <c r="FB180" i="2" s="1"/>
  <c r="EZ180" i="2"/>
  <c r="EY180" i="2"/>
  <c r="EX180" i="2"/>
  <c r="EW180" i="2"/>
  <c r="EV180" i="2"/>
  <c r="EU180" i="2"/>
  <c r="ET180" i="2"/>
  <c r="ES180" i="2"/>
  <c r="ER180" i="2"/>
  <c r="EQ180" i="2"/>
  <c r="EP180" i="2"/>
  <c r="EO180" i="2"/>
  <c r="EN180" i="2"/>
  <c r="EM180" i="2"/>
  <c r="EL180" i="2"/>
  <c r="EK180" i="2"/>
  <c r="EJ180" i="2"/>
  <c r="EI180" i="2"/>
  <c r="EH180" i="2"/>
  <c r="EG180" i="2"/>
  <c r="EF180" i="2"/>
  <c r="EE180" i="2"/>
  <c r="ED180" i="2"/>
  <c r="EC180" i="2"/>
  <c r="EA180" i="2"/>
  <c r="EB180" i="2" s="1"/>
  <c r="DZ180" i="2"/>
  <c r="DY180" i="2"/>
  <c r="DX180" i="2"/>
  <c r="DW180" i="2"/>
  <c r="DV180" i="2"/>
  <c r="DU180" i="2"/>
  <c r="DT180" i="2"/>
  <c r="DS180" i="2"/>
  <c r="DR180" i="2"/>
  <c r="DQ180" i="2"/>
  <c r="DP180" i="2"/>
  <c r="DN180" i="2"/>
  <c r="DO180" i="2" s="1"/>
  <c r="DM180" i="2"/>
  <c r="DL180" i="2"/>
  <c r="DK180" i="2"/>
  <c r="DJ180" i="2"/>
  <c r="DI180" i="2"/>
  <c r="DH180" i="2"/>
  <c r="DG180" i="2"/>
  <c r="DF180" i="2"/>
  <c r="DE180" i="2"/>
  <c r="DD180" i="2"/>
  <c r="DC180" i="2"/>
  <c r="DA180" i="2"/>
  <c r="DB180" i="2" s="1"/>
  <c r="CZ180" i="2"/>
  <c r="CY180" i="2"/>
  <c r="CX180" i="2"/>
  <c r="CW180" i="2"/>
  <c r="CV180" i="2"/>
  <c r="CU180" i="2"/>
  <c r="CT180" i="2"/>
  <c r="CS180" i="2"/>
  <c r="CR180" i="2"/>
  <c r="CQ180" i="2"/>
  <c r="CP180" i="2"/>
  <c r="CN180" i="2"/>
  <c r="CO180" i="2" s="1"/>
  <c r="CM180" i="2"/>
  <c r="CL180" i="2"/>
  <c r="CK180" i="2"/>
  <c r="CJ180" i="2"/>
  <c r="CI180" i="2"/>
  <c r="CH180" i="2"/>
  <c r="CG180" i="2"/>
  <c r="CF180" i="2"/>
  <c r="CE180" i="2"/>
  <c r="CD180" i="2"/>
  <c r="CC180" i="2"/>
  <c r="CB180" i="2"/>
  <c r="CA180" i="2"/>
  <c r="BZ180" i="2"/>
  <c r="BY180" i="2"/>
  <c r="BX180" i="2"/>
  <c r="BW180" i="2"/>
  <c r="BV180" i="2"/>
  <c r="BU180" i="2"/>
  <c r="BT180" i="2"/>
  <c r="BS180" i="2"/>
  <c r="BR180" i="2"/>
  <c r="BQ180" i="2"/>
  <c r="BP180" i="2"/>
  <c r="BN180" i="2"/>
  <c r="BO180" i="2" s="1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N180" i="2"/>
  <c r="AO180" i="2" s="1"/>
  <c r="AM180" i="2"/>
  <c r="AL180" i="2"/>
  <c r="AK180" i="2"/>
  <c r="AJ180" i="2"/>
  <c r="AI180" i="2"/>
  <c r="AH180" i="2"/>
  <c r="AG180" i="2"/>
  <c r="AF180" i="2"/>
  <c r="AE180" i="2"/>
  <c r="AD180" i="2"/>
  <c r="AC180" i="2"/>
  <c r="AA180" i="2"/>
  <c r="AB180" i="2" s="1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FI179" i="2"/>
  <c r="FO179" i="2" s="1"/>
  <c r="FH179" i="2"/>
  <c r="FG179" i="2"/>
  <c r="FF179" i="2"/>
  <c r="FE179" i="2"/>
  <c r="FD179" i="2"/>
  <c r="FC179" i="2"/>
  <c r="FA179" i="2"/>
  <c r="FB179" i="2" s="1"/>
  <c r="EZ179" i="2"/>
  <c r="EY179" i="2"/>
  <c r="EX179" i="2"/>
  <c r="EW179" i="2"/>
  <c r="EV179" i="2"/>
  <c r="EU179" i="2"/>
  <c r="ET179" i="2"/>
  <c r="ES179" i="2"/>
  <c r="ER179" i="2"/>
  <c r="EQ179" i="2"/>
  <c r="EP179" i="2"/>
  <c r="EN179" i="2"/>
  <c r="EO179" i="2" s="1"/>
  <c r="EM179" i="2"/>
  <c r="EL179" i="2"/>
  <c r="EK179" i="2"/>
  <c r="EJ179" i="2"/>
  <c r="EI179" i="2"/>
  <c r="EH179" i="2"/>
  <c r="EG179" i="2"/>
  <c r="EF179" i="2"/>
  <c r="EE179" i="2"/>
  <c r="ED179" i="2"/>
  <c r="EC179" i="2"/>
  <c r="EB179" i="2"/>
  <c r="EA179" i="2"/>
  <c r="DZ179" i="2"/>
  <c r="DY179" i="2"/>
  <c r="DX179" i="2"/>
  <c r="DW179" i="2"/>
  <c r="DV179" i="2"/>
  <c r="DU179" i="2"/>
  <c r="DT179" i="2"/>
  <c r="DS179" i="2"/>
  <c r="DR179" i="2"/>
  <c r="DQ179" i="2"/>
  <c r="DP179" i="2"/>
  <c r="DN179" i="2"/>
  <c r="DO179" i="2" s="1"/>
  <c r="DM179" i="2"/>
  <c r="DL179" i="2"/>
  <c r="DK179" i="2"/>
  <c r="DJ179" i="2"/>
  <c r="DI179" i="2"/>
  <c r="DH179" i="2"/>
  <c r="DG179" i="2"/>
  <c r="DF179" i="2"/>
  <c r="DE179" i="2"/>
  <c r="DD179" i="2"/>
  <c r="DC179" i="2"/>
  <c r="DA179" i="2"/>
  <c r="DB179" i="2" s="1"/>
  <c r="CZ179" i="2"/>
  <c r="CY179" i="2"/>
  <c r="CX179" i="2"/>
  <c r="CW179" i="2"/>
  <c r="CV179" i="2"/>
  <c r="CU179" i="2"/>
  <c r="CT179" i="2"/>
  <c r="CS179" i="2"/>
  <c r="CR179" i="2"/>
  <c r="CQ179" i="2"/>
  <c r="CP179" i="2"/>
  <c r="CN179" i="2"/>
  <c r="CO179" i="2" s="1"/>
  <c r="CM179" i="2"/>
  <c r="CL179" i="2"/>
  <c r="CK179" i="2"/>
  <c r="CJ179" i="2"/>
  <c r="CI179" i="2"/>
  <c r="CH179" i="2"/>
  <c r="CG179" i="2"/>
  <c r="CF179" i="2"/>
  <c r="CE179" i="2"/>
  <c r="CD179" i="2"/>
  <c r="CC179" i="2"/>
  <c r="CB179" i="2"/>
  <c r="CA179" i="2"/>
  <c r="BZ179" i="2"/>
  <c r="BY179" i="2"/>
  <c r="BX179" i="2"/>
  <c r="BW179" i="2"/>
  <c r="BV179" i="2"/>
  <c r="BU179" i="2"/>
  <c r="BT179" i="2"/>
  <c r="BS179" i="2"/>
  <c r="BR179" i="2"/>
  <c r="BQ179" i="2"/>
  <c r="BP179" i="2"/>
  <c r="BN179" i="2"/>
  <c r="BO179" i="2" s="1"/>
  <c r="BM179" i="2"/>
  <c r="BL179" i="2"/>
  <c r="BK179" i="2"/>
  <c r="BJ179" i="2"/>
  <c r="BI179" i="2"/>
  <c r="BH179" i="2"/>
  <c r="BG179" i="2"/>
  <c r="BF179" i="2"/>
  <c r="BE179" i="2"/>
  <c r="BD179" i="2"/>
  <c r="BC179" i="2"/>
  <c r="BA179" i="2"/>
  <c r="BB179" i="2" s="1"/>
  <c r="AZ179" i="2"/>
  <c r="AY179" i="2"/>
  <c r="AX179" i="2"/>
  <c r="AW179" i="2"/>
  <c r="AV179" i="2"/>
  <c r="AU179" i="2"/>
  <c r="AT179" i="2"/>
  <c r="AS179" i="2"/>
  <c r="AR179" i="2"/>
  <c r="AQ179" i="2"/>
  <c r="AP179" i="2"/>
  <c r="AN179" i="2"/>
  <c r="AO179" i="2" s="1"/>
  <c r="AM179" i="2"/>
  <c r="AL179" i="2"/>
  <c r="AK179" i="2"/>
  <c r="AJ179" i="2"/>
  <c r="AI179" i="2"/>
  <c r="AH179" i="2"/>
  <c r="AG179" i="2"/>
  <c r="AF179" i="2"/>
  <c r="AE179" i="2"/>
  <c r="AD179" i="2"/>
  <c r="AC179" i="2"/>
  <c r="AA179" i="2"/>
  <c r="AB179" i="2" s="1"/>
  <c r="Z179" i="2"/>
  <c r="Y179" i="2"/>
  <c r="X179" i="2"/>
  <c r="W179" i="2"/>
  <c r="V179" i="2"/>
  <c r="U179" i="2"/>
  <c r="T179" i="2"/>
  <c r="S179" i="2"/>
  <c r="R179" i="2"/>
  <c r="Q179" i="2"/>
  <c r="P179" i="2"/>
  <c r="N179" i="2"/>
  <c r="O179" i="2" s="1"/>
  <c r="M179" i="2"/>
  <c r="L179" i="2"/>
  <c r="K179" i="2"/>
  <c r="J179" i="2"/>
  <c r="I179" i="2"/>
  <c r="H179" i="2"/>
  <c r="G179" i="2"/>
  <c r="F179" i="2"/>
  <c r="E179" i="2"/>
  <c r="D179" i="2"/>
  <c r="C179" i="2"/>
  <c r="FO178" i="2"/>
  <c r="FI178" i="2"/>
  <c r="FH178" i="2"/>
  <c r="FG178" i="2"/>
  <c r="FF178" i="2"/>
  <c r="FE178" i="2"/>
  <c r="FD178" i="2"/>
  <c r="FC178" i="2"/>
  <c r="FA178" i="2"/>
  <c r="FB178" i="2" s="1"/>
  <c r="EZ178" i="2"/>
  <c r="EY178" i="2"/>
  <c r="EX178" i="2"/>
  <c r="EW178" i="2"/>
  <c r="EV178" i="2"/>
  <c r="EU178" i="2"/>
  <c r="ET178" i="2"/>
  <c r="ES178" i="2"/>
  <c r="ER178" i="2"/>
  <c r="EQ178" i="2"/>
  <c r="EP178" i="2"/>
  <c r="EN178" i="2"/>
  <c r="EO178" i="2" s="1"/>
  <c r="EM178" i="2"/>
  <c r="EL178" i="2"/>
  <c r="EK178" i="2"/>
  <c r="EJ178" i="2"/>
  <c r="EI178" i="2"/>
  <c r="EH178" i="2"/>
  <c r="EG178" i="2"/>
  <c r="EF178" i="2"/>
  <c r="EE178" i="2"/>
  <c r="ED178" i="2"/>
  <c r="EC178" i="2"/>
  <c r="EB178" i="2"/>
  <c r="EA178" i="2"/>
  <c r="DZ178" i="2"/>
  <c r="DY178" i="2"/>
  <c r="DX178" i="2"/>
  <c r="DW178" i="2"/>
  <c r="DV178" i="2"/>
  <c r="DU178" i="2"/>
  <c r="DT178" i="2"/>
  <c r="DS178" i="2"/>
  <c r="DR178" i="2"/>
  <c r="DQ178" i="2"/>
  <c r="DP178" i="2"/>
  <c r="DN178" i="2"/>
  <c r="DO178" i="2" s="1"/>
  <c r="DM178" i="2"/>
  <c r="DL178" i="2"/>
  <c r="DK178" i="2"/>
  <c r="DJ178" i="2"/>
  <c r="DI178" i="2"/>
  <c r="DH178" i="2"/>
  <c r="DG178" i="2"/>
  <c r="DF178" i="2"/>
  <c r="DE178" i="2"/>
  <c r="DD178" i="2"/>
  <c r="DC178" i="2"/>
  <c r="DA178" i="2"/>
  <c r="DB178" i="2" s="1"/>
  <c r="CZ178" i="2"/>
  <c r="CY178" i="2"/>
  <c r="CX178" i="2"/>
  <c r="CW178" i="2"/>
  <c r="CV178" i="2"/>
  <c r="CU178" i="2"/>
  <c r="CT178" i="2"/>
  <c r="CS178" i="2"/>
  <c r="CR178" i="2"/>
  <c r="CQ178" i="2"/>
  <c r="CP178" i="2"/>
  <c r="CN178" i="2"/>
  <c r="CO178" i="2" s="1"/>
  <c r="CM178" i="2"/>
  <c r="CL178" i="2"/>
  <c r="CK178" i="2"/>
  <c r="CJ178" i="2"/>
  <c r="CI178" i="2"/>
  <c r="CH178" i="2"/>
  <c r="CG178" i="2"/>
  <c r="CF178" i="2"/>
  <c r="CE178" i="2"/>
  <c r="CD178" i="2"/>
  <c r="CC178" i="2"/>
  <c r="CB178" i="2"/>
  <c r="CA178" i="2"/>
  <c r="BZ178" i="2"/>
  <c r="BY178" i="2"/>
  <c r="BX178" i="2"/>
  <c r="BW178" i="2"/>
  <c r="BV178" i="2"/>
  <c r="BU178" i="2"/>
  <c r="BT178" i="2"/>
  <c r="BS178" i="2"/>
  <c r="BR178" i="2"/>
  <c r="BQ178" i="2"/>
  <c r="BP178" i="2"/>
  <c r="BO178" i="2"/>
  <c r="BN178" i="2"/>
  <c r="BM178" i="2"/>
  <c r="BL178" i="2"/>
  <c r="BK178" i="2"/>
  <c r="BJ178" i="2"/>
  <c r="BI178" i="2"/>
  <c r="BH178" i="2"/>
  <c r="BG178" i="2"/>
  <c r="BF178" i="2"/>
  <c r="BE178" i="2"/>
  <c r="BD178" i="2"/>
  <c r="BC178" i="2"/>
  <c r="BA178" i="2"/>
  <c r="BB178" i="2" s="1"/>
  <c r="AZ178" i="2"/>
  <c r="AY178" i="2"/>
  <c r="AX178" i="2"/>
  <c r="AW178" i="2"/>
  <c r="AV178" i="2"/>
  <c r="AU178" i="2"/>
  <c r="AT178" i="2"/>
  <c r="AS178" i="2"/>
  <c r="AR178" i="2"/>
  <c r="AQ178" i="2"/>
  <c r="AP178" i="2"/>
  <c r="AN178" i="2"/>
  <c r="AO178" i="2" s="1"/>
  <c r="AM178" i="2"/>
  <c r="AL178" i="2"/>
  <c r="AK178" i="2"/>
  <c r="AJ178" i="2"/>
  <c r="AI178" i="2"/>
  <c r="AH178" i="2"/>
  <c r="AG178" i="2"/>
  <c r="AF178" i="2"/>
  <c r="AE178" i="2"/>
  <c r="AD178" i="2"/>
  <c r="AC178" i="2"/>
  <c r="AA178" i="2"/>
  <c r="AB178" i="2" s="1"/>
  <c r="Z178" i="2"/>
  <c r="Y178" i="2"/>
  <c r="X178" i="2"/>
  <c r="W178" i="2"/>
  <c r="V178" i="2"/>
  <c r="U178" i="2"/>
  <c r="T178" i="2"/>
  <c r="S178" i="2"/>
  <c r="R178" i="2"/>
  <c r="Q178" i="2"/>
  <c r="P178" i="2"/>
  <c r="N178" i="2"/>
  <c r="O178" i="2" s="1"/>
  <c r="M178" i="2"/>
  <c r="L178" i="2"/>
  <c r="K178" i="2"/>
  <c r="J178" i="2"/>
  <c r="I178" i="2"/>
  <c r="H178" i="2"/>
  <c r="G178" i="2"/>
  <c r="F178" i="2"/>
  <c r="E178" i="2"/>
  <c r="D178" i="2"/>
  <c r="C178" i="2"/>
  <c r="FI177" i="2"/>
  <c r="FO177" i="2" s="1"/>
  <c r="FH177" i="2"/>
  <c r="FG177" i="2"/>
  <c r="FF177" i="2"/>
  <c r="FE177" i="2"/>
  <c r="FD177" i="2"/>
  <c r="FC177" i="2"/>
  <c r="FA177" i="2"/>
  <c r="FB177" i="2" s="1"/>
  <c r="EZ177" i="2"/>
  <c r="EY177" i="2"/>
  <c r="EX177" i="2"/>
  <c r="EW177" i="2"/>
  <c r="EV177" i="2"/>
  <c r="EU177" i="2"/>
  <c r="ET177" i="2"/>
  <c r="ES177" i="2"/>
  <c r="ER177" i="2"/>
  <c r="EQ177" i="2"/>
  <c r="EP177" i="2"/>
  <c r="EN177" i="2"/>
  <c r="EO177" i="2" s="1"/>
  <c r="EM177" i="2"/>
  <c r="EL177" i="2"/>
  <c r="EK177" i="2"/>
  <c r="EJ177" i="2"/>
  <c r="EI177" i="2"/>
  <c r="EH177" i="2"/>
  <c r="EG177" i="2"/>
  <c r="EF177" i="2"/>
  <c r="EE177" i="2"/>
  <c r="ED177" i="2"/>
  <c r="EC177" i="2"/>
  <c r="EB177" i="2"/>
  <c r="EA177" i="2"/>
  <c r="DZ177" i="2"/>
  <c r="DY177" i="2"/>
  <c r="DX177" i="2"/>
  <c r="DW177" i="2"/>
  <c r="DV177" i="2"/>
  <c r="DU177" i="2"/>
  <c r="DT177" i="2"/>
  <c r="DS177" i="2"/>
  <c r="DR177" i="2"/>
  <c r="DQ177" i="2"/>
  <c r="DP177" i="2"/>
  <c r="DN177" i="2"/>
  <c r="DO177" i="2" s="1"/>
  <c r="DM177" i="2"/>
  <c r="DL177" i="2"/>
  <c r="DK177" i="2"/>
  <c r="DJ177" i="2"/>
  <c r="DI177" i="2"/>
  <c r="DH177" i="2"/>
  <c r="DG177" i="2"/>
  <c r="DF177" i="2"/>
  <c r="DE177" i="2"/>
  <c r="DD177" i="2"/>
  <c r="DC177" i="2"/>
  <c r="DB177" i="2"/>
  <c r="DA177" i="2"/>
  <c r="CZ177" i="2"/>
  <c r="CY177" i="2"/>
  <c r="CX177" i="2"/>
  <c r="CW177" i="2"/>
  <c r="CV177" i="2"/>
  <c r="CU177" i="2"/>
  <c r="CT177" i="2"/>
  <c r="CS177" i="2"/>
  <c r="CR177" i="2"/>
  <c r="CQ177" i="2"/>
  <c r="CP177" i="2"/>
  <c r="CN177" i="2"/>
  <c r="CO177" i="2" s="1"/>
  <c r="CM177" i="2"/>
  <c r="CL177" i="2"/>
  <c r="CK177" i="2"/>
  <c r="CJ177" i="2"/>
  <c r="CI177" i="2"/>
  <c r="CH177" i="2"/>
  <c r="CG177" i="2"/>
  <c r="CF177" i="2"/>
  <c r="CE177" i="2"/>
  <c r="CD177" i="2"/>
  <c r="CC177" i="2"/>
  <c r="CB177" i="2"/>
  <c r="CA177" i="2"/>
  <c r="BZ177" i="2"/>
  <c r="BY177" i="2"/>
  <c r="BX177" i="2"/>
  <c r="BW177" i="2"/>
  <c r="BV177" i="2"/>
  <c r="BU177" i="2"/>
  <c r="BT177" i="2"/>
  <c r="BS177" i="2"/>
  <c r="BR177" i="2"/>
  <c r="BQ177" i="2"/>
  <c r="BP177" i="2"/>
  <c r="BN177" i="2"/>
  <c r="BO177" i="2" s="1"/>
  <c r="BM177" i="2"/>
  <c r="BL177" i="2"/>
  <c r="BK177" i="2"/>
  <c r="BJ177" i="2"/>
  <c r="BI177" i="2"/>
  <c r="BH177" i="2"/>
  <c r="BG177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N177" i="2"/>
  <c r="AO177" i="2" s="1"/>
  <c r="AM177" i="2"/>
  <c r="AL177" i="2"/>
  <c r="AK177" i="2"/>
  <c r="AJ177" i="2"/>
  <c r="AI177" i="2"/>
  <c r="AH177" i="2"/>
  <c r="AG177" i="2"/>
  <c r="AF177" i="2"/>
  <c r="AE177" i="2"/>
  <c r="AD177" i="2"/>
  <c r="AC177" i="2"/>
  <c r="AA177" i="2"/>
  <c r="AB177" i="2" s="1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FI176" i="2"/>
  <c r="FO176" i="2" s="1"/>
  <c r="FH176" i="2"/>
  <c r="FG176" i="2"/>
  <c r="FF176" i="2"/>
  <c r="FE176" i="2"/>
  <c r="FD176" i="2"/>
  <c r="FC176" i="2"/>
  <c r="FB176" i="2"/>
  <c r="FA176" i="2"/>
  <c r="EZ176" i="2"/>
  <c r="EY176" i="2"/>
  <c r="EX176" i="2"/>
  <c r="EW176" i="2"/>
  <c r="EV176" i="2"/>
  <c r="EU176" i="2"/>
  <c r="ET176" i="2"/>
  <c r="ES176" i="2"/>
  <c r="ER176" i="2"/>
  <c r="EQ176" i="2"/>
  <c r="EP176" i="2"/>
  <c r="EN176" i="2"/>
  <c r="EO176" i="2" s="1"/>
  <c r="EM176" i="2"/>
  <c r="EL176" i="2"/>
  <c r="EK176" i="2"/>
  <c r="EJ176" i="2"/>
  <c r="EI176" i="2"/>
  <c r="EH176" i="2"/>
  <c r="EG176" i="2"/>
  <c r="EF176" i="2"/>
  <c r="EE176" i="2"/>
  <c r="ED176" i="2"/>
  <c r="EC176" i="2"/>
  <c r="EB176" i="2"/>
  <c r="EA176" i="2"/>
  <c r="DZ176" i="2"/>
  <c r="DY176" i="2"/>
  <c r="DX176" i="2"/>
  <c r="DW176" i="2"/>
  <c r="DV176" i="2"/>
  <c r="DU176" i="2"/>
  <c r="DT176" i="2"/>
  <c r="DS176" i="2"/>
  <c r="DR176" i="2"/>
  <c r="DQ176" i="2"/>
  <c r="DP176" i="2"/>
  <c r="DN176" i="2"/>
  <c r="DO176" i="2" s="1"/>
  <c r="DM176" i="2"/>
  <c r="DL176" i="2"/>
  <c r="DK176" i="2"/>
  <c r="DJ176" i="2"/>
  <c r="DI176" i="2"/>
  <c r="DH176" i="2"/>
  <c r="DG176" i="2"/>
  <c r="DF176" i="2"/>
  <c r="DE176" i="2"/>
  <c r="DD176" i="2"/>
  <c r="DC176" i="2"/>
  <c r="DA176" i="2"/>
  <c r="DB176" i="2" s="1"/>
  <c r="CZ176" i="2"/>
  <c r="CY176" i="2"/>
  <c r="CX176" i="2"/>
  <c r="CW176" i="2"/>
  <c r="CV176" i="2"/>
  <c r="CU176" i="2"/>
  <c r="CT176" i="2"/>
  <c r="CS176" i="2"/>
  <c r="CR176" i="2"/>
  <c r="CQ176" i="2"/>
  <c r="CP176" i="2"/>
  <c r="CN176" i="2"/>
  <c r="CO176" i="2" s="1"/>
  <c r="CM176" i="2"/>
  <c r="CL176" i="2"/>
  <c r="CK176" i="2"/>
  <c r="CJ176" i="2"/>
  <c r="CI176" i="2"/>
  <c r="CH176" i="2"/>
  <c r="CG176" i="2"/>
  <c r="CF176" i="2"/>
  <c r="CE176" i="2"/>
  <c r="CD176" i="2"/>
  <c r="CC176" i="2"/>
  <c r="CA176" i="2"/>
  <c r="CB176" i="2" s="1"/>
  <c r="BZ176" i="2"/>
  <c r="BY176" i="2"/>
  <c r="BX176" i="2"/>
  <c r="BW176" i="2"/>
  <c r="BV176" i="2"/>
  <c r="BU176" i="2"/>
  <c r="BT176" i="2"/>
  <c r="BS176" i="2"/>
  <c r="BR176" i="2"/>
  <c r="BQ176" i="2"/>
  <c r="BP176" i="2"/>
  <c r="BN176" i="2"/>
  <c r="BO176" i="2" s="1"/>
  <c r="BM176" i="2"/>
  <c r="BL176" i="2"/>
  <c r="BK176" i="2"/>
  <c r="BJ176" i="2"/>
  <c r="BI176" i="2"/>
  <c r="BH176" i="2"/>
  <c r="BG176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N176" i="2"/>
  <c r="AO176" i="2" s="1"/>
  <c r="AM176" i="2"/>
  <c r="AL176" i="2"/>
  <c r="AK176" i="2"/>
  <c r="AJ176" i="2"/>
  <c r="AI176" i="2"/>
  <c r="AH176" i="2"/>
  <c r="AG176" i="2"/>
  <c r="AF176" i="2"/>
  <c r="AE176" i="2"/>
  <c r="AD176" i="2"/>
  <c r="AC176" i="2"/>
  <c r="AA176" i="2"/>
  <c r="AB176" i="2" s="1"/>
  <c r="Z176" i="2"/>
  <c r="Y176" i="2"/>
  <c r="X176" i="2"/>
  <c r="W176" i="2"/>
  <c r="V176" i="2"/>
  <c r="U176" i="2"/>
  <c r="T176" i="2"/>
  <c r="S176" i="2"/>
  <c r="R176" i="2"/>
  <c r="Q176" i="2"/>
  <c r="P176" i="2"/>
  <c r="N176" i="2"/>
  <c r="O176" i="2" s="1"/>
  <c r="M176" i="2"/>
  <c r="L176" i="2"/>
  <c r="K176" i="2"/>
  <c r="J176" i="2"/>
  <c r="I176" i="2"/>
  <c r="H176" i="2"/>
  <c r="G176" i="2"/>
  <c r="F176" i="2"/>
  <c r="E176" i="2"/>
  <c r="D176" i="2"/>
  <c r="C176" i="2"/>
  <c r="FI175" i="2"/>
  <c r="FO175" i="2" s="1"/>
  <c r="FH175" i="2"/>
  <c r="FG175" i="2"/>
  <c r="FF175" i="2"/>
  <c r="FE175" i="2"/>
  <c r="FD175" i="2"/>
  <c r="FC175" i="2"/>
  <c r="FA175" i="2"/>
  <c r="FB175" i="2" s="1"/>
  <c r="EZ175" i="2"/>
  <c r="EY175" i="2"/>
  <c r="EX175" i="2"/>
  <c r="EW175" i="2"/>
  <c r="EV175" i="2"/>
  <c r="EU175" i="2"/>
  <c r="ET175" i="2"/>
  <c r="ES175" i="2"/>
  <c r="ER175" i="2"/>
  <c r="EQ175" i="2"/>
  <c r="EP175" i="2"/>
  <c r="EN175" i="2"/>
  <c r="EO175" i="2" s="1"/>
  <c r="EM175" i="2"/>
  <c r="EL175" i="2"/>
  <c r="EK175" i="2"/>
  <c r="EJ175" i="2"/>
  <c r="EI175" i="2"/>
  <c r="EH175" i="2"/>
  <c r="EG175" i="2"/>
  <c r="EF175" i="2"/>
  <c r="EE175" i="2"/>
  <c r="ED175" i="2"/>
  <c r="EC175" i="2"/>
  <c r="EA175" i="2"/>
  <c r="EB175" i="2" s="1"/>
  <c r="DZ175" i="2"/>
  <c r="DY175" i="2"/>
  <c r="DX175" i="2"/>
  <c r="DW175" i="2"/>
  <c r="DV175" i="2"/>
  <c r="DU175" i="2"/>
  <c r="DT175" i="2"/>
  <c r="DS175" i="2"/>
  <c r="DR175" i="2"/>
  <c r="DQ175" i="2"/>
  <c r="DP175" i="2"/>
  <c r="DN175" i="2"/>
  <c r="DO175" i="2" s="1"/>
  <c r="DM175" i="2"/>
  <c r="DL175" i="2"/>
  <c r="DK175" i="2"/>
  <c r="DJ175" i="2"/>
  <c r="DI175" i="2"/>
  <c r="DH175" i="2"/>
  <c r="DG175" i="2"/>
  <c r="DF175" i="2"/>
  <c r="DE175" i="2"/>
  <c r="DD175" i="2"/>
  <c r="DC175" i="2"/>
  <c r="DB175" i="2"/>
  <c r="DA175" i="2"/>
  <c r="CZ175" i="2"/>
  <c r="CY175" i="2"/>
  <c r="CX175" i="2"/>
  <c r="CW175" i="2"/>
  <c r="CV175" i="2"/>
  <c r="CU175" i="2"/>
  <c r="CT175" i="2"/>
  <c r="CS175" i="2"/>
  <c r="CR175" i="2"/>
  <c r="CQ175" i="2"/>
  <c r="CP175" i="2"/>
  <c r="CN175" i="2"/>
  <c r="CO175" i="2" s="1"/>
  <c r="CM175" i="2"/>
  <c r="CL175" i="2"/>
  <c r="CK175" i="2"/>
  <c r="CJ175" i="2"/>
  <c r="CI175" i="2"/>
  <c r="CH175" i="2"/>
  <c r="CG175" i="2"/>
  <c r="CF175" i="2"/>
  <c r="CE175" i="2"/>
  <c r="CD175" i="2"/>
  <c r="CC175" i="2"/>
  <c r="CA175" i="2"/>
  <c r="CB175" i="2" s="1"/>
  <c r="BZ175" i="2"/>
  <c r="BY175" i="2"/>
  <c r="BX175" i="2"/>
  <c r="BW175" i="2"/>
  <c r="BV175" i="2"/>
  <c r="BU175" i="2"/>
  <c r="BT175" i="2"/>
  <c r="BS175" i="2"/>
  <c r="BR175" i="2"/>
  <c r="BQ175" i="2"/>
  <c r="BP175" i="2"/>
  <c r="BN175" i="2"/>
  <c r="BO175" i="2" s="1"/>
  <c r="BM175" i="2"/>
  <c r="BL175" i="2"/>
  <c r="BK175" i="2"/>
  <c r="BJ175" i="2"/>
  <c r="BI175" i="2"/>
  <c r="BH175" i="2"/>
  <c r="BG175" i="2"/>
  <c r="BF175" i="2"/>
  <c r="BE175" i="2"/>
  <c r="BD175" i="2"/>
  <c r="BC175" i="2"/>
  <c r="BA175" i="2"/>
  <c r="BB175" i="2" s="1"/>
  <c r="AZ175" i="2"/>
  <c r="AY175" i="2"/>
  <c r="AX175" i="2"/>
  <c r="AW175" i="2"/>
  <c r="AV175" i="2"/>
  <c r="AU175" i="2"/>
  <c r="AT175" i="2"/>
  <c r="AS175" i="2"/>
  <c r="AR175" i="2"/>
  <c r="AQ175" i="2"/>
  <c r="AP175" i="2"/>
  <c r="AN175" i="2"/>
  <c r="AO175" i="2" s="1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N175" i="2"/>
  <c r="O175" i="2" s="1"/>
  <c r="M175" i="2"/>
  <c r="L175" i="2"/>
  <c r="K175" i="2"/>
  <c r="J175" i="2"/>
  <c r="I175" i="2"/>
  <c r="H175" i="2"/>
  <c r="G175" i="2"/>
  <c r="F175" i="2"/>
  <c r="E175" i="2"/>
  <c r="D175" i="2"/>
  <c r="C175" i="2"/>
  <c r="FI174" i="2"/>
  <c r="FO174" i="2" s="1"/>
  <c r="FH174" i="2"/>
  <c r="FG174" i="2"/>
  <c r="FF174" i="2"/>
  <c r="FE174" i="2"/>
  <c r="FD174" i="2"/>
  <c r="FC174" i="2"/>
  <c r="FA174" i="2"/>
  <c r="FB174" i="2" s="1"/>
  <c r="EZ174" i="2"/>
  <c r="EY174" i="2"/>
  <c r="EX174" i="2"/>
  <c r="EW174" i="2"/>
  <c r="EV174" i="2"/>
  <c r="EU174" i="2"/>
  <c r="ET174" i="2"/>
  <c r="ES174" i="2"/>
  <c r="ER174" i="2"/>
  <c r="EQ174" i="2"/>
  <c r="EP174" i="2"/>
  <c r="EN174" i="2"/>
  <c r="EO174" i="2" s="1"/>
  <c r="EM174" i="2"/>
  <c r="EL174" i="2"/>
  <c r="EK174" i="2"/>
  <c r="EJ174" i="2"/>
  <c r="EI174" i="2"/>
  <c r="EH174" i="2"/>
  <c r="EG174" i="2"/>
  <c r="EF174" i="2"/>
  <c r="EE174" i="2"/>
  <c r="ED174" i="2"/>
  <c r="EC174" i="2"/>
  <c r="EB174" i="2"/>
  <c r="EA174" i="2"/>
  <c r="DZ174" i="2"/>
  <c r="DY174" i="2"/>
  <c r="DX174" i="2"/>
  <c r="DW174" i="2"/>
  <c r="DV174" i="2"/>
  <c r="DU174" i="2"/>
  <c r="DT174" i="2"/>
  <c r="DS174" i="2"/>
  <c r="DR174" i="2"/>
  <c r="DQ174" i="2"/>
  <c r="DP174" i="2"/>
  <c r="DN174" i="2"/>
  <c r="DO174" i="2" s="1"/>
  <c r="DM174" i="2"/>
  <c r="DL174" i="2"/>
  <c r="DK174" i="2"/>
  <c r="DJ174" i="2"/>
  <c r="DI174" i="2"/>
  <c r="DH174" i="2"/>
  <c r="DG174" i="2"/>
  <c r="DF174" i="2"/>
  <c r="DE174" i="2"/>
  <c r="DD174" i="2"/>
  <c r="DC174" i="2"/>
  <c r="DA174" i="2"/>
  <c r="DB174" i="2" s="1"/>
  <c r="CZ174" i="2"/>
  <c r="CY174" i="2"/>
  <c r="CX174" i="2"/>
  <c r="CW174" i="2"/>
  <c r="CV174" i="2"/>
  <c r="CU174" i="2"/>
  <c r="CT174" i="2"/>
  <c r="CS174" i="2"/>
  <c r="CR174" i="2"/>
  <c r="CQ174" i="2"/>
  <c r="CP174" i="2"/>
  <c r="CN174" i="2"/>
  <c r="CO174" i="2" s="1"/>
  <c r="CM174" i="2"/>
  <c r="CL174" i="2"/>
  <c r="CK174" i="2"/>
  <c r="CJ174" i="2"/>
  <c r="CI174" i="2"/>
  <c r="CH174" i="2"/>
  <c r="CG174" i="2"/>
  <c r="CF174" i="2"/>
  <c r="CE174" i="2"/>
  <c r="CD174" i="2"/>
  <c r="CC174" i="2"/>
  <c r="CA174" i="2"/>
  <c r="CB174" i="2" s="1"/>
  <c r="BZ174" i="2"/>
  <c r="BY174" i="2"/>
  <c r="BX174" i="2"/>
  <c r="BW174" i="2"/>
  <c r="BV174" i="2"/>
  <c r="BU174" i="2"/>
  <c r="BT174" i="2"/>
  <c r="BS174" i="2"/>
  <c r="BR174" i="2"/>
  <c r="BQ174" i="2"/>
  <c r="BP174" i="2"/>
  <c r="BN174" i="2"/>
  <c r="BO174" i="2" s="1"/>
  <c r="BM174" i="2"/>
  <c r="BL174" i="2"/>
  <c r="BK174" i="2"/>
  <c r="BJ174" i="2"/>
  <c r="BI174" i="2"/>
  <c r="BH174" i="2"/>
  <c r="BG174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N174" i="2"/>
  <c r="AO174" i="2" s="1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N174" i="2"/>
  <c r="O174" i="2" s="1"/>
  <c r="M174" i="2"/>
  <c r="L174" i="2"/>
  <c r="K174" i="2"/>
  <c r="J174" i="2"/>
  <c r="I174" i="2"/>
  <c r="H174" i="2"/>
  <c r="G174" i="2"/>
  <c r="F174" i="2"/>
  <c r="E174" i="2"/>
  <c r="D174" i="2"/>
  <c r="C174" i="2"/>
  <c r="FI173" i="2"/>
  <c r="FO173" i="2" s="1"/>
  <c r="FH173" i="2"/>
  <c r="FG173" i="2"/>
  <c r="FF173" i="2"/>
  <c r="FE173" i="2"/>
  <c r="FD173" i="2"/>
  <c r="FC173" i="2"/>
  <c r="FA173" i="2"/>
  <c r="FB173" i="2" s="1"/>
  <c r="EZ173" i="2"/>
  <c r="EY173" i="2"/>
  <c r="EX173" i="2"/>
  <c r="EW173" i="2"/>
  <c r="EV173" i="2"/>
  <c r="EU173" i="2"/>
  <c r="ET173" i="2"/>
  <c r="ES173" i="2"/>
  <c r="ER173" i="2"/>
  <c r="EQ173" i="2"/>
  <c r="EP173" i="2"/>
  <c r="EN173" i="2"/>
  <c r="EO173" i="2" s="1"/>
  <c r="EM173" i="2"/>
  <c r="EL173" i="2"/>
  <c r="EK173" i="2"/>
  <c r="EJ173" i="2"/>
  <c r="EI173" i="2"/>
  <c r="EH173" i="2"/>
  <c r="EG173" i="2"/>
  <c r="EF173" i="2"/>
  <c r="EE173" i="2"/>
  <c r="ED173" i="2"/>
  <c r="EC173" i="2"/>
  <c r="EB173" i="2"/>
  <c r="EA173" i="2"/>
  <c r="DZ173" i="2"/>
  <c r="DY173" i="2"/>
  <c r="DX173" i="2"/>
  <c r="DW173" i="2"/>
  <c r="DV173" i="2"/>
  <c r="DU173" i="2"/>
  <c r="DT173" i="2"/>
  <c r="DS173" i="2"/>
  <c r="DR173" i="2"/>
  <c r="DQ173" i="2"/>
  <c r="DP173" i="2"/>
  <c r="DO173" i="2"/>
  <c r="DN173" i="2"/>
  <c r="DM173" i="2"/>
  <c r="DL173" i="2"/>
  <c r="DK173" i="2"/>
  <c r="DJ173" i="2"/>
  <c r="DI173" i="2"/>
  <c r="DH173" i="2"/>
  <c r="DG173" i="2"/>
  <c r="DF173" i="2"/>
  <c r="DE173" i="2"/>
  <c r="DD173" i="2"/>
  <c r="DC173" i="2"/>
  <c r="DA173" i="2"/>
  <c r="DB173" i="2" s="1"/>
  <c r="CZ173" i="2"/>
  <c r="CY173" i="2"/>
  <c r="CX173" i="2"/>
  <c r="CW173" i="2"/>
  <c r="CV173" i="2"/>
  <c r="CU173" i="2"/>
  <c r="CT173" i="2"/>
  <c r="CS173" i="2"/>
  <c r="CR173" i="2"/>
  <c r="CQ173" i="2"/>
  <c r="CP173" i="2"/>
  <c r="CO173" i="2"/>
  <c r="CN173" i="2"/>
  <c r="CM173" i="2"/>
  <c r="CL173" i="2"/>
  <c r="CK173" i="2"/>
  <c r="CJ173" i="2"/>
  <c r="CI173" i="2"/>
  <c r="CH173" i="2"/>
  <c r="CG173" i="2"/>
  <c r="CF173" i="2"/>
  <c r="CE173" i="2"/>
  <c r="CD173" i="2"/>
  <c r="CC173" i="2"/>
  <c r="CA173" i="2"/>
  <c r="CB173" i="2" s="1"/>
  <c r="BZ173" i="2"/>
  <c r="BY173" i="2"/>
  <c r="BX173" i="2"/>
  <c r="BW173" i="2"/>
  <c r="BV173" i="2"/>
  <c r="BU173" i="2"/>
  <c r="BT173" i="2"/>
  <c r="BS173" i="2"/>
  <c r="BR173" i="2"/>
  <c r="BQ173" i="2"/>
  <c r="BP173" i="2"/>
  <c r="BN173" i="2"/>
  <c r="BO173" i="2" s="1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N173" i="2"/>
  <c r="AO173" i="2" s="1"/>
  <c r="AM173" i="2"/>
  <c r="AL173" i="2"/>
  <c r="AK173" i="2"/>
  <c r="AJ173" i="2"/>
  <c r="AI173" i="2"/>
  <c r="AH173" i="2"/>
  <c r="AG173" i="2"/>
  <c r="AF173" i="2"/>
  <c r="AE173" i="2"/>
  <c r="AD173" i="2"/>
  <c r="AC173" i="2"/>
  <c r="AA173" i="2"/>
  <c r="AB173" i="2" s="1"/>
  <c r="Z173" i="2"/>
  <c r="Y173" i="2"/>
  <c r="X173" i="2"/>
  <c r="W173" i="2"/>
  <c r="V173" i="2"/>
  <c r="U173" i="2"/>
  <c r="T173" i="2"/>
  <c r="S173" i="2"/>
  <c r="R173" i="2"/>
  <c r="Q173" i="2"/>
  <c r="P173" i="2"/>
  <c r="N173" i="2"/>
  <c r="O173" i="2" s="1"/>
  <c r="M173" i="2"/>
  <c r="L173" i="2"/>
  <c r="K173" i="2"/>
  <c r="J173" i="2"/>
  <c r="I173" i="2"/>
  <c r="H173" i="2"/>
  <c r="G173" i="2"/>
  <c r="F173" i="2"/>
  <c r="E173" i="2"/>
  <c r="D173" i="2"/>
  <c r="C173" i="2"/>
  <c r="FO172" i="2"/>
  <c r="FI172" i="2"/>
  <c r="FH172" i="2"/>
  <c r="FG172" i="2"/>
  <c r="FF172" i="2"/>
  <c r="FE172" i="2"/>
  <c r="FD172" i="2"/>
  <c r="FC172" i="2"/>
  <c r="FA172" i="2"/>
  <c r="FB172" i="2" s="1"/>
  <c r="EZ172" i="2"/>
  <c r="EY172" i="2"/>
  <c r="EX172" i="2"/>
  <c r="EW172" i="2"/>
  <c r="EV172" i="2"/>
  <c r="EU172" i="2"/>
  <c r="ET172" i="2"/>
  <c r="ES172" i="2"/>
  <c r="ER172" i="2"/>
  <c r="EQ172" i="2"/>
  <c r="EP172" i="2"/>
  <c r="EN172" i="2"/>
  <c r="EO172" i="2" s="1"/>
  <c r="EM172" i="2"/>
  <c r="EL172" i="2"/>
  <c r="EK172" i="2"/>
  <c r="EJ172" i="2"/>
  <c r="EI172" i="2"/>
  <c r="EH172" i="2"/>
  <c r="EG172" i="2"/>
  <c r="EF172" i="2"/>
  <c r="EE172" i="2"/>
  <c r="ED172" i="2"/>
  <c r="EC172" i="2"/>
  <c r="EA172" i="2"/>
  <c r="EB172" i="2" s="1"/>
  <c r="DZ172" i="2"/>
  <c r="DY172" i="2"/>
  <c r="DX172" i="2"/>
  <c r="DW172" i="2"/>
  <c r="DV172" i="2"/>
  <c r="DU172" i="2"/>
  <c r="DT172" i="2"/>
  <c r="DS172" i="2"/>
  <c r="DR172" i="2"/>
  <c r="DQ172" i="2"/>
  <c r="DP172" i="2"/>
  <c r="DN172" i="2"/>
  <c r="DO172" i="2" s="1"/>
  <c r="DM172" i="2"/>
  <c r="DL172" i="2"/>
  <c r="DK172" i="2"/>
  <c r="DJ172" i="2"/>
  <c r="DI172" i="2"/>
  <c r="DH172" i="2"/>
  <c r="DG172" i="2"/>
  <c r="DF172" i="2"/>
  <c r="DE172" i="2"/>
  <c r="DD172" i="2"/>
  <c r="DC172" i="2"/>
  <c r="DB172" i="2"/>
  <c r="DA172" i="2"/>
  <c r="CZ172" i="2"/>
  <c r="CY172" i="2"/>
  <c r="CX172" i="2"/>
  <c r="CW172" i="2"/>
  <c r="CV172" i="2"/>
  <c r="CU172" i="2"/>
  <c r="CT172" i="2"/>
  <c r="CS172" i="2"/>
  <c r="CR172" i="2"/>
  <c r="CQ172" i="2"/>
  <c r="CP172" i="2"/>
  <c r="CN172" i="2"/>
  <c r="CO172" i="2" s="1"/>
  <c r="CM172" i="2"/>
  <c r="CL172" i="2"/>
  <c r="CK172" i="2"/>
  <c r="CJ172" i="2"/>
  <c r="CI172" i="2"/>
  <c r="CH172" i="2"/>
  <c r="CG172" i="2"/>
  <c r="CF172" i="2"/>
  <c r="CE172" i="2"/>
  <c r="CD172" i="2"/>
  <c r="CC172" i="2"/>
  <c r="CA172" i="2"/>
  <c r="CB172" i="2" s="1"/>
  <c r="BZ172" i="2"/>
  <c r="BY172" i="2"/>
  <c r="BX172" i="2"/>
  <c r="BW172" i="2"/>
  <c r="BV172" i="2"/>
  <c r="BU172" i="2"/>
  <c r="BT172" i="2"/>
  <c r="BS172" i="2"/>
  <c r="BR172" i="2"/>
  <c r="BQ172" i="2"/>
  <c r="BP172" i="2"/>
  <c r="BN172" i="2"/>
  <c r="BO172" i="2" s="1"/>
  <c r="BM172" i="2"/>
  <c r="BL172" i="2"/>
  <c r="BK172" i="2"/>
  <c r="BJ172" i="2"/>
  <c r="BI172" i="2"/>
  <c r="BH172" i="2"/>
  <c r="BG172" i="2"/>
  <c r="BF172" i="2"/>
  <c r="BE172" i="2"/>
  <c r="BD172" i="2"/>
  <c r="BC172" i="2"/>
  <c r="BA172" i="2"/>
  <c r="BB172" i="2" s="1"/>
  <c r="AZ172" i="2"/>
  <c r="AY172" i="2"/>
  <c r="AX172" i="2"/>
  <c r="AW172" i="2"/>
  <c r="AV172" i="2"/>
  <c r="AU172" i="2"/>
  <c r="AT172" i="2"/>
  <c r="AS172" i="2"/>
  <c r="AR172" i="2"/>
  <c r="AQ172" i="2"/>
  <c r="AP172" i="2"/>
  <c r="AN172" i="2"/>
  <c r="AO172" i="2" s="1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N172" i="2"/>
  <c r="O172" i="2" s="1"/>
  <c r="M172" i="2"/>
  <c r="L172" i="2"/>
  <c r="K172" i="2"/>
  <c r="J172" i="2"/>
  <c r="I172" i="2"/>
  <c r="H172" i="2"/>
  <c r="G172" i="2"/>
  <c r="F172" i="2"/>
  <c r="E172" i="2"/>
  <c r="D172" i="2"/>
  <c r="C172" i="2"/>
  <c r="FI171" i="2"/>
  <c r="FO171" i="2" s="1"/>
  <c r="FH171" i="2"/>
  <c r="FG171" i="2"/>
  <c r="FF171" i="2"/>
  <c r="FE171" i="2"/>
  <c r="FD171" i="2"/>
  <c r="FC171" i="2"/>
  <c r="FA171" i="2"/>
  <c r="FB171" i="2" s="1"/>
  <c r="EZ171" i="2"/>
  <c r="EY171" i="2"/>
  <c r="EX171" i="2"/>
  <c r="EW171" i="2"/>
  <c r="EV171" i="2"/>
  <c r="EU171" i="2"/>
  <c r="ET171" i="2"/>
  <c r="ES171" i="2"/>
  <c r="ER171" i="2"/>
  <c r="EQ171" i="2"/>
  <c r="EP171" i="2"/>
  <c r="EN171" i="2"/>
  <c r="EO171" i="2" s="1"/>
  <c r="EM171" i="2"/>
  <c r="EL171" i="2"/>
  <c r="EK171" i="2"/>
  <c r="EJ171" i="2"/>
  <c r="EI171" i="2"/>
  <c r="EH171" i="2"/>
  <c r="EG171" i="2"/>
  <c r="EF171" i="2"/>
  <c r="EE171" i="2"/>
  <c r="ED171" i="2"/>
  <c r="EC171" i="2"/>
  <c r="EB171" i="2"/>
  <c r="EA171" i="2"/>
  <c r="DZ171" i="2"/>
  <c r="DY171" i="2"/>
  <c r="DX171" i="2"/>
  <c r="DW171" i="2"/>
  <c r="DV171" i="2"/>
  <c r="DU171" i="2"/>
  <c r="DT171" i="2"/>
  <c r="DS171" i="2"/>
  <c r="DR171" i="2"/>
  <c r="DQ171" i="2"/>
  <c r="DP171" i="2"/>
  <c r="DN171" i="2"/>
  <c r="DO171" i="2" s="1"/>
  <c r="DM171" i="2"/>
  <c r="DL171" i="2"/>
  <c r="DK171" i="2"/>
  <c r="DJ171" i="2"/>
  <c r="DI171" i="2"/>
  <c r="DH171" i="2"/>
  <c r="DG171" i="2"/>
  <c r="DF171" i="2"/>
  <c r="DE171" i="2"/>
  <c r="DD171" i="2"/>
  <c r="DC171" i="2"/>
  <c r="DA171" i="2"/>
  <c r="DB171" i="2" s="1"/>
  <c r="CZ171" i="2"/>
  <c r="CY171" i="2"/>
  <c r="CX171" i="2"/>
  <c r="CW171" i="2"/>
  <c r="CV171" i="2"/>
  <c r="CU171" i="2"/>
  <c r="CT171" i="2"/>
  <c r="CS171" i="2"/>
  <c r="CR171" i="2"/>
  <c r="CQ171" i="2"/>
  <c r="CP171" i="2"/>
  <c r="CN171" i="2"/>
  <c r="CO171" i="2" s="1"/>
  <c r="CM171" i="2"/>
  <c r="CL171" i="2"/>
  <c r="CK171" i="2"/>
  <c r="CJ171" i="2"/>
  <c r="CI171" i="2"/>
  <c r="CH171" i="2"/>
  <c r="CG171" i="2"/>
  <c r="CF171" i="2"/>
  <c r="CE171" i="2"/>
  <c r="CD171" i="2"/>
  <c r="CC171" i="2"/>
  <c r="CA171" i="2"/>
  <c r="CB171" i="2" s="1"/>
  <c r="BZ171" i="2"/>
  <c r="BY171" i="2"/>
  <c r="BX171" i="2"/>
  <c r="BW171" i="2"/>
  <c r="BV171" i="2"/>
  <c r="BU171" i="2"/>
  <c r="BT171" i="2"/>
  <c r="BS171" i="2"/>
  <c r="BR171" i="2"/>
  <c r="BQ171" i="2"/>
  <c r="BP171" i="2"/>
  <c r="BN171" i="2"/>
  <c r="BO171" i="2" s="1"/>
  <c r="BM171" i="2"/>
  <c r="BL171" i="2"/>
  <c r="BK171" i="2"/>
  <c r="BJ171" i="2"/>
  <c r="BI171" i="2"/>
  <c r="BH171" i="2"/>
  <c r="BG171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N171" i="2"/>
  <c r="AO171" i="2" s="1"/>
  <c r="AM171" i="2"/>
  <c r="AL171" i="2"/>
  <c r="AK171" i="2"/>
  <c r="AJ171" i="2"/>
  <c r="AI171" i="2"/>
  <c r="AH171" i="2"/>
  <c r="AG171" i="2"/>
  <c r="AF171" i="2"/>
  <c r="AE171" i="2"/>
  <c r="AD171" i="2"/>
  <c r="AC171" i="2"/>
  <c r="AA171" i="2"/>
  <c r="AB171" i="2" s="1"/>
  <c r="Z171" i="2"/>
  <c r="Y171" i="2"/>
  <c r="X171" i="2"/>
  <c r="W171" i="2"/>
  <c r="V171" i="2"/>
  <c r="U171" i="2"/>
  <c r="T171" i="2"/>
  <c r="S171" i="2"/>
  <c r="R171" i="2"/>
  <c r="Q171" i="2"/>
  <c r="P171" i="2"/>
  <c r="N171" i="2"/>
  <c r="O171" i="2" s="1"/>
  <c r="M171" i="2"/>
  <c r="L171" i="2"/>
  <c r="K171" i="2"/>
  <c r="J171" i="2"/>
  <c r="I171" i="2"/>
  <c r="H171" i="2"/>
  <c r="G171" i="2"/>
  <c r="F171" i="2"/>
  <c r="E171" i="2"/>
  <c r="D171" i="2"/>
  <c r="C171" i="2"/>
  <c r="FI170" i="2"/>
  <c r="FO170" i="2" s="1"/>
  <c r="FH170" i="2"/>
  <c r="FG170" i="2"/>
  <c r="FF170" i="2"/>
  <c r="FE170" i="2"/>
  <c r="FD170" i="2"/>
  <c r="FC170" i="2"/>
  <c r="FA170" i="2"/>
  <c r="FB170" i="2" s="1"/>
  <c r="EZ170" i="2"/>
  <c r="EY170" i="2"/>
  <c r="EX170" i="2"/>
  <c r="EW170" i="2"/>
  <c r="EV170" i="2"/>
  <c r="EU170" i="2"/>
  <c r="ET170" i="2"/>
  <c r="ES170" i="2"/>
  <c r="ER170" i="2"/>
  <c r="EQ170" i="2"/>
  <c r="EP170" i="2"/>
  <c r="EN170" i="2"/>
  <c r="EO170" i="2" s="1"/>
  <c r="EM170" i="2"/>
  <c r="EL170" i="2"/>
  <c r="EK170" i="2"/>
  <c r="EJ170" i="2"/>
  <c r="EI170" i="2"/>
  <c r="EH170" i="2"/>
  <c r="EG170" i="2"/>
  <c r="EF170" i="2"/>
  <c r="EE170" i="2"/>
  <c r="ED170" i="2"/>
  <c r="EC170" i="2"/>
  <c r="EB170" i="2"/>
  <c r="EA170" i="2"/>
  <c r="DZ170" i="2"/>
  <c r="DY170" i="2"/>
  <c r="DX170" i="2"/>
  <c r="DW170" i="2"/>
  <c r="DV170" i="2"/>
  <c r="DU170" i="2"/>
  <c r="DT170" i="2"/>
  <c r="DS170" i="2"/>
  <c r="DR170" i="2"/>
  <c r="DQ170" i="2"/>
  <c r="DP170" i="2"/>
  <c r="DO170" i="2"/>
  <c r="DN170" i="2"/>
  <c r="DM170" i="2"/>
  <c r="DL170" i="2"/>
  <c r="DK170" i="2"/>
  <c r="DJ170" i="2"/>
  <c r="DI170" i="2"/>
  <c r="DH170" i="2"/>
  <c r="DG170" i="2"/>
  <c r="DF170" i="2"/>
  <c r="DE170" i="2"/>
  <c r="DD170" i="2"/>
  <c r="DC170" i="2"/>
  <c r="DA170" i="2"/>
  <c r="DB170" i="2" s="1"/>
  <c r="CZ170" i="2"/>
  <c r="CY170" i="2"/>
  <c r="CX170" i="2"/>
  <c r="CW170" i="2"/>
  <c r="CV170" i="2"/>
  <c r="CU170" i="2"/>
  <c r="CT170" i="2"/>
  <c r="CS170" i="2"/>
  <c r="CR170" i="2"/>
  <c r="CQ170" i="2"/>
  <c r="CP170" i="2"/>
  <c r="CN170" i="2"/>
  <c r="CO170" i="2" s="1"/>
  <c r="CM170" i="2"/>
  <c r="CL170" i="2"/>
  <c r="CK170" i="2"/>
  <c r="CJ170" i="2"/>
  <c r="CI170" i="2"/>
  <c r="CH170" i="2"/>
  <c r="CG170" i="2"/>
  <c r="CF170" i="2"/>
  <c r="CE170" i="2"/>
  <c r="CD170" i="2"/>
  <c r="CC170" i="2"/>
  <c r="CB170" i="2"/>
  <c r="CA170" i="2"/>
  <c r="BZ170" i="2"/>
  <c r="BY170" i="2"/>
  <c r="BX170" i="2"/>
  <c r="BW170" i="2"/>
  <c r="BV170" i="2"/>
  <c r="BU170" i="2"/>
  <c r="BT170" i="2"/>
  <c r="BS170" i="2"/>
  <c r="BR170" i="2"/>
  <c r="BQ170" i="2"/>
  <c r="BP170" i="2"/>
  <c r="BN170" i="2"/>
  <c r="BO170" i="2" s="1"/>
  <c r="BM170" i="2"/>
  <c r="BL170" i="2"/>
  <c r="BK170" i="2"/>
  <c r="BJ170" i="2"/>
  <c r="BI170" i="2"/>
  <c r="BH170" i="2"/>
  <c r="BG170" i="2"/>
  <c r="BF170" i="2"/>
  <c r="BE170" i="2"/>
  <c r="BD170" i="2"/>
  <c r="BC170" i="2"/>
  <c r="BA170" i="2"/>
  <c r="BB170" i="2" s="1"/>
  <c r="AZ170" i="2"/>
  <c r="AY170" i="2"/>
  <c r="AX170" i="2"/>
  <c r="AW170" i="2"/>
  <c r="AV170" i="2"/>
  <c r="AU170" i="2"/>
  <c r="AT170" i="2"/>
  <c r="AS170" i="2"/>
  <c r="AR170" i="2"/>
  <c r="AQ170" i="2"/>
  <c r="AP170" i="2"/>
  <c r="AN170" i="2"/>
  <c r="AO170" i="2" s="1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N170" i="2"/>
  <c r="O170" i="2" s="1"/>
  <c r="M170" i="2"/>
  <c r="L170" i="2"/>
  <c r="K170" i="2"/>
  <c r="J170" i="2"/>
  <c r="I170" i="2"/>
  <c r="H170" i="2"/>
  <c r="G170" i="2"/>
  <c r="F170" i="2"/>
  <c r="E170" i="2"/>
  <c r="D170" i="2"/>
  <c r="C170" i="2"/>
  <c r="FI169" i="2"/>
  <c r="FO169" i="2" s="1"/>
  <c r="FH169" i="2"/>
  <c r="FG169" i="2"/>
  <c r="FF169" i="2"/>
  <c r="FE169" i="2"/>
  <c r="FD169" i="2"/>
  <c r="FC169" i="2"/>
  <c r="FB169" i="2"/>
  <c r="FA169" i="2"/>
  <c r="EZ169" i="2"/>
  <c r="EY169" i="2"/>
  <c r="EX169" i="2"/>
  <c r="EW169" i="2"/>
  <c r="EV169" i="2"/>
  <c r="EU169" i="2"/>
  <c r="ET169" i="2"/>
  <c r="ES169" i="2"/>
  <c r="ER169" i="2"/>
  <c r="EQ169" i="2"/>
  <c r="EP169" i="2"/>
  <c r="EN169" i="2"/>
  <c r="EO169" i="2" s="1"/>
  <c r="EM169" i="2"/>
  <c r="EL169" i="2"/>
  <c r="EK169" i="2"/>
  <c r="EJ169" i="2"/>
  <c r="EI169" i="2"/>
  <c r="EH169" i="2"/>
  <c r="EG169" i="2"/>
  <c r="EF169" i="2"/>
  <c r="EE169" i="2"/>
  <c r="ED169" i="2"/>
  <c r="EC169" i="2"/>
  <c r="EB169" i="2"/>
  <c r="EA169" i="2"/>
  <c r="DZ169" i="2"/>
  <c r="DY169" i="2"/>
  <c r="DX169" i="2"/>
  <c r="DW169" i="2"/>
  <c r="DV169" i="2"/>
  <c r="DU169" i="2"/>
  <c r="DT169" i="2"/>
  <c r="DS169" i="2"/>
  <c r="DR169" i="2"/>
  <c r="DQ169" i="2"/>
  <c r="DP169" i="2"/>
  <c r="DN169" i="2"/>
  <c r="DO169" i="2" s="1"/>
  <c r="DM169" i="2"/>
  <c r="DL169" i="2"/>
  <c r="DK169" i="2"/>
  <c r="DJ169" i="2"/>
  <c r="DI169" i="2"/>
  <c r="DH169" i="2"/>
  <c r="DG169" i="2"/>
  <c r="DF169" i="2"/>
  <c r="DE169" i="2"/>
  <c r="DD169" i="2"/>
  <c r="DC169" i="2"/>
  <c r="DA169" i="2"/>
  <c r="DB169" i="2" s="1"/>
  <c r="CZ169" i="2"/>
  <c r="CY169" i="2"/>
  <c r="CX169" i="2"/>
  <c r="CW169" i="2"/>
  <c r="CV169" i="2"/>
  <c r="CU169" i="2"/>
  <c r="CT169" i="2"/>
  <c r="CS169" i="2"/>
  <c r="CR169" i="2"/>
  <c r="CQ169" i="2"/>
  <c r="CP169" i="2"/>
  <c r="CN169" i="2"/>
  <c r="CO169" i="2" s="1"/>
  <c r="CM169" i="2"/>
  <c r="CL169" i="2"/>
  <c r="CK169" i="2"/>
  <c r="CJ169" i="2"/>
  <c r="CI169" i="2"/>
  <c r="CH169" i="2"/>
  <c r="CG169" i="2"/>
  <c r="CF169" i="2"/>
  <c r="CE169" i="2"/>
  <c r="CD169" i="2"/>
  <c r="CC169" i="2"/>
  <c r="CB169" i="2"/>
  <c r="CA169" i="2"/>
  <c r="BZ169" i="2"/>
  <c r="BY169" i="2"/>
  <c r="BX169" i="2"/>
  <c r="BW169" i="2"/>
  <c r="BV169" i="2"/>
  <c r="BU169" i="2"/>
  <c r="BT169" i="2"/>
  <c r="BS169" i="2"/>
  <c r="BR169" i="2"/>
  <c r="BQ169" i="2"/>
  <c r="BP169" i="2"/>
  <c r="BN169" i="2"/>
  <c r="BO169" i="2" s="1"/>
  <c r="BM169" i="2"/>
  <c r="BL169" i="2"/>
  <c r="BK169" i="2"/>
  <c r="BJ169" i="2"/>
  <c r="BI169" i="2"/>
  <c r="BH169" i="2"/>
  <c r="BG169" i="2"/>
  <c r="BF169" i="2"/>
  <c r="BE169" i="2"/>
  <c r="BD169" i="2"/>
  <c r="BC169" i="2"/>
  <c r="BA169" i="2"/>
  <c r="BB169" i="2" s="1"/>
  <c r="AZ169" i="2"/>
  <c r="AY169" i="2"/>
  <c r="AX169" i="2"/>
  <c r="AW169" i="2"/>
  <c r="AV169" i="2"/>
  <c r="AU169" i="2"/>
  <c r="AT169" i="2"/>
  <c r="AS169" i="2"/>
  <c r="AR169" i="2"/>
  <c r="AQ169" i="2"/>
  <c r="AP169" i="2"/>
  <c r="AN169" i="2"/>
  <c r="AO169" i="2" s="1"/>
  <c r="AM169" i="2"/>
  <c r="AL169" i="2"/>
  <c r="AK169" i="2"/>
  <c r="AJ169" i="2"/>
  <c r="AI169" i="2"/>
  <c r="AH169" i="2"/>
  <c r="AG169" i="2"/>
  <c r="AF169" i="2"/>
  <c r="AE169" i="2"/>
  <c r="AD169" i="2"/>
  <c r="AC169" i="2"/>
  <c r="AA169" i="2"/>
  <c r="AB169" i="2" s="1"/>
  <c r="Z169" i="2"/>
  <c r="Y169" i="2"/>
  <c r="X169" i="2"/>
  <c r="W169" i="2"/>
  <c r="V169" i="2"/>
  <c r="U169" i="2"/>
  <c r="T169" i="2"/>
  <c r="S169" i="2"/>
  <c r="R169" i="2"/>
  <c r="Q169" i="2"/>
  <c r="P169" i="2"/>
  <c r="N169" i="2"/>
  <c r="O169" i="2" s="1"/>
  <c r="M169" i="2"/>
  <c r="L169" i="2"/>
  <c r="K169" i="2"/>
  <c r="J169" i="2"/>
  <c r="I169" i="2"/>
  <c r="H169" i="2"/>
  <c r="G169" i="2"/>
  <c r="F169" i="2"/>
  <c r="E169" i="2"/>
  <c r="D169" i="2"/>
  <c r="C169" i="2"/>
  <c r="FO168" i="2"/>
  <c r="FI168" i="2"/>
  <c r="FH168" i="2"/>
  <c r="FG168" i="2"/>
  <c r="FF168" i="2"/>
  <c r="FE168" i="2"/>
  <c r="FD168" i="2"/>
  <c r="FC168" i="2"/>
  <c r="FA168" i="2"/>
  <c r="FB168" i="2" s="1"/>
  <c r="EZ168" i="2"/>
  <c r="EY168" i="2"/>
  <c r="EX168" i="2"/>
  <c r="EW168" i="2"/>
  <c r="EV168" i="2"/>
  <c r="EU168" i="2"/>
  <c r="ET168" i="2"/>
  <c r="ES168" i="2"/>
  <c r="ER168" i="2"/>
  <c r="EQ168" i="2"/>
  <c r="EP168" i="2"/>
  <c r="EN168" i="2"/>
  <c r="EO168" i="2" s="1"/>
  <c r="EM168" i="2"/>
  <c r="EL168" i="2"/>
  <c r="EK168" i="2"/>
  <c r="EJ168" i="2"/>
  <c r="EI168" i="2"/>
  <c r="EH168" i="2"/>
  <c r="EG168" i="2"/>
  <c r="EF168" i="2"/>
  <c r="EE168" i="2"/>
  <c r="ED168" i="2"/>
  <c r="EC168" i="2"/>
  <c r="EB168" i="2"/>
  <c r="EA168" i="2"/>
  <c r="DZ168" i="2"/>
  <c r="DY168" i="2"/>
  <c r="DX168" i="2"/>
  <c r="DW168" i="2"/>
  <c r="DV168" i="2"/>
  <c r="DU168" i="2"/>
  <c r="DT168" i="2"/>
  <c r="DS168" i="2"/>
  <c r="DR168" i="2"/>
  <c r="DQ168" i="2"/>
  <c r="DP168" i="2"/>
  <c r="DN168" i="2"/>
  <c r="DO168" i="2" s="1"/>
  <c r="DM168" i="2"/>
  <c r="DL168" i="2"/>
  <c r="DK168" i="2"/>
  <c r="DJ168" i="2"/>
  <c r="DI168" i="2"/>
  <c r="DH168" i="2"/>
  <c r="DG168" i="2"/>
  <c r="DF168" i="2"/>
  <c r="DE168" i="2"/>
  <c r="DD168" i="2"/>
  <c r="DC168" i="2"/>
  <c r="DA168" i="2"/>
  <c r="DB168" i="2" s="1"/>
  <c r="CZ168" i="2"/>
  <c r="CY168" i="2"/>
  <c r="CX168" i="2"/>
  <c r="CW168" i="2"/>
  <c r="CV168" i="2"/>
  <c r="CU168" i="2"/>
  <c r="CT168" i="2"/>
  <c r="CS168" i="2"/>
  <c r="CR168" i="2"/>
  <c r="CQ168" i="2"/>
  <c r="CP168" i="2"/>
  <c r="CN168" i="2"/>
  <c r="CO168" i="2" s="1"/>
  <c r="CM168" i="2"/>
  <c r="CL168" i="2"/>
  <c r="CK168" i="2"/>
  <c r="CJ168" i="2"/>
  <c r="CI168" i="2"/>
  <c r="CH168" i="2"/>
  <c r="CG168" i="2"/>
  <c r="CF168" i="2"/>
  <c r="CE168" i="2"/>
  <c r="CD168" i="2"/>
  <c r="CC168" i="2"/>
  <c r="CB168" i="2"/>
  <c r="CA168" i="2"/>
  <c r="BZ168" i="2"/>
  <c r="BY168" i="2"/>
  <c r="BX168" i="2"/>
  <c r="BW168" i="2"/>
  <c r="BV168" i="2"/>
  <c r="BU168" i="2"/>
  <c r="BT168" i="2"/>
  <c r="BS168" i="2"/>
  <c r="BR168" i="2"/>
  <c r="BQ168" i="2"/>
  <c r="BP168" i="2"/>
  <c r="BN168" i="2"/>
  <c r="BO168" i="2" s="1"/>
  <c r="BM168" i="2"/>
  <c r="BL168" i="2"/>
  <c r="BK168" i="2"/>
  <c r="BJ168" i="2"/>
  <c r="BI168" i="2"/>
  <c r="BH168" i="2"/>
  <c r="BG168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N168" i="2"/>
  <c r="AO168" i="2" s="1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N168" i="2"/>
  <c r="O168" i="2" s="1"/>
  <c r="M168" i="2"/>
  <c r="L168" i="2"/>
  <c r="K168" i="2"/>
  <c r="J168" i="2"/>
  <c r="I168" i="2"/>
  <c r="H168" i="2"/>
  <c r="G168" i="2"/>
  <c r="F168" i="2"/>
  <c r="E168" i="2"/>
  <c r="D168" i="2"/>
  <c r="C168" i="2"/>
  <c r="FI167" i="2"/>
  <c r="FO167" i="2" s="1"/>
  <c r="FH167" i="2"/>
  <c r="FG167" i="2"/>
  <c r="FF167" i="2"/>
  <c r="FE167" i="2"/>
  <c r="FD167" i="2"/>
  <c r="FC167" i="2"/>
  <c r="FA167" i="2"/>
  <c r="FB167" i="2" s="1"/>
  <c r="EZ167" i="2"/>
  <c r="EY167" i="2"/>
  <c r="EX167" i="2"/>
  <c r="EW167" i="2"/>
  <c r="EV167" i="2"/>
  <c r="EU167" i="2"/>
  <c r="ET167" i="2"/>
  <c r="ES167" i="2"/>
  <c r="ER167" i="2"/>
  <c r="EQ167" i="2"/>
  <c r="EP167" i="2"/>
  <c r="EN167" i="2"/>
  <c r="EO167" i="2" s="1"/>
  <c r="EM167" i="2"/>
  <c r="EL167" i="2"/>
  <c r="EK167" i="2"/>
  <c r="EJ167" i="2"/>
  <c r="EI167" i="2"/>
  <c r="EH167" i="2"/>
  <c r="EG167" i="2"/>
  <c r="EF167" i="2"/>
  <c r="EE167" i="2"/>
  <c r="ED167" i="2"/>
  <c r="EC167" i="2"/>
  <c r="EA167" i="2"/>
  <c r="EB167" i="2" s="1"/>
  <c r="DZ167" i="2"/>
  <c r="DY167" i="2"/>
  <c r="DX167" i="2"/>
  <c r="DW167" i="2"/>
  <c r="DV167" i="2"/>
  <c r="DU167" i="2"/>
  <c r="DT167" i="2"/>
  <c r="DS167" i="2"/>
  <c r="DR167" i="2"/>
  <c r="DQ167" i="2"/>
  <c r="DP167" i="2"/>
  <c r="DO167" i="2"/>
  <c r="DN167" i="2"/>
  <c r="DM167" i="2"/>
  <c r="DL167" i="2"/>
  <c r="DK167" i="2"/>
  <c r="DJ167" i="2"/>
  <c r="DI167" i="2"/>
  <c r="DH167" i="2"/>
  <c r="DG167" i="2"/>
  <c r="DF167" i="2"/>
  <c r="DE167" i="2"/>
  <c r="DD167" i="2"/>
  <c r="DC167" i="2"/>
  <c r="DA167" i="2"/>
  <c r="DB167" i="2" s="1"/>
  <c r="CZ167" i="2"/>
  <c r="CY167" i="2"/>
  <c r="CX167" i="2"/>
  <c r="CW167" i="2"/>
  <c r="CV167" i="2"/>
  <c r="CU167" i="2"/>
  <c r="CT167" i="2"/>
  <c r="CS167" i="2"/>
  <c r="CR167" i="2"/>
  <c r="CQ167" i="2"/>
  <c r="CP167" i="2"/>
  <c r="CN167" i="2"/>
  <c r="CO167" i="2" s="1"/>
  <c r="CM167" i="2"/>
  <c r="CL167" i="2"/>
  <c r="CK167" i="2"/>
  <c r="CJ167" i="2"/>
  <c r="CI167" i="2"/>
  <c r="CH167" i="2"/>
  <c r="CG167" i="2"/>
  <c r="CF167" i="2"/>
  <c r="CE167" i="2"/>
  <c r="CD167" i="2"/>
  <c r="CC167" i="2"/>
  <c r="CB167" i="2"/>
  <c r="CA167" i="2"/>
  <c r="BZ167" i="2"/>
  <c r="BY167" i="2"/>
  <c r="BX167" i="2"/>
  <c r="BW167" i="2"/>
  <c r="BV167" i="2"/>
  <c r="BU167" i="2"/>
  <c r="BT167" i="2"/>
  <c r="BS167" i="2"/>
  <c r="BR167" i="2"/>
  <c r="BQ167" i="2"/>
  <c r="BP167" i="2"/>
  <c r="BN167" i="2"/>
  <c r="BO167" i="2" s="1"/>
  <c r="BM167" i="2"/>
  <c r="BL167" i="2"/>
  <c r="BK167" i="2"/>
  <c r="BJ167" i="2"/>
  <c r="BI167" i="2"/>
  <c r="BH167" i="2"/>
  <c r="BG167" i="2"/>
  <c r="BF167" i="2"/>
  <c r="BE167" i="2"/>
  <c r="BD167" i="2"/>
  <c r="BC167" i="2"/>
  <c r="BA167" i="2"/>
  <c r="BB167" i="2" s="1"/>
  <c r="AZ167" i="2"/>
  <c r="AY167" i="2"/>
  <c r="AX167" i="2"/>
  <c r="AW167" i="2"/>
  <c r="AV167" i="2"/>
  <c r="AU167" i="2"/>
  <c r="AT167" i="2"/>
  <c r="AS167" i="2"/>
  <c r="AR167" i="2"/>
  <c r="AQ167" i="2"/>
  <c r="AP167" i="2"/>
  <c r="AN167" i="2"/>
  <c r="AO167" i="2" s="1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N167" i="2"/>
  <c r="O167" i="2" s="1"/>
  <c r="M167" i="2"/>
  <c r="L167" i="2"/>
  <c r="K167" i="2"/>
  <c r="J167" i="2"/>
  <c r="I167" i="2"/>
  <c r="H167" i="2"/>
  <c r="G167" i="2"/>
  <c r="F167" i="2"/>
  <c r="E167" i="2"/>
  <c r="D167" i="2"/>
  <c r="C167" i="2"/>
  <c r="FI166" i="2"/>
  <c r="FO166" i="2" s="1"/>
  <c r="FH166" i="2"/>
  <c r="FG166" i="2"/>
  <c r="FF166" i="2"/>
  <c r="FE166" i="2"/>
  <c r="FD166" i="2"/>
  <c r="FC166" i="2"/>
  <c r="FB166" i="2"/>
  <c r="FA166" i="2"/>
  <c r="EZ166" i="2"/>
  <c r="EY166" i="2"/>
  <c r="EX166" i="2"/>
  <c r="EW166" i="2"/>
  <c r="EV166" i="2"/>
  <c r="EU166" i="2"/>
  <c r="ET166" i="2"/>
  <c r="ES166" i="2"/>
  <c r="ER166" i="2"/>
  <c r="EQ166" i="2"/>
  <c r="EP166" i="2"/>
  <c r="EN166" i="2"/>
  <c r="EO166" i="2" s="1"/>
  <c r="EM166" i="2"/>
  <c r="EL166" i="2"/>
  <c r="EK166" i="2"/>
  <c r="EJ166" i="2"/>
  <c r="EI166" i="2"/>
  <c r="EH166" i="2"/>
  <c r="EG166" i="2"/>
  <c r="EF166" i="2"/>
  <c r="EE166" i="2"/>
  <c r="ED166" i="2"/>
  <c r="EC166" i="2"/>
  <c r="EB166" i="2"/>
  <c r="EA166" i="2"/>
  <c r="DZ166" i="2"/>
  <c r="DY166" i="2"/>
  <c r="DX166" i="2"/>
  <c r="DW166" i="2"/>
  <c r="DV166" i="2"/>
  <c r="DU166" i="2"/>
  <c r="DT166" i="2"/>
  <c r="DS166" i="2"/>
  <c r="DR166" i="2"/>
  <c r="DQ166" i="2"/>
  <c r="DP166" i="2"/>
  <c r="DN166" i="2"/>
  <c r="DO166" i="2" s="1"/>
  <c r="DM166" i="2"/>
  <c r="DL166" i="2"/>
  <c r="DK166" i="2"/>
  <c r="DJ166" i="2"/>
  <c r="DI166" i="2"/>
  <c r="DH166" i="2"/>
  <c r="DG166" i="2"/>
  <c r="DF166" i="2"/>
  <c r="DE166" i="2"/>
  <c r="DD166" i="2"/>
  <c r="DC166" i="2"/>
  <c r="DA166" i="2"/>
  <c r="DB166" i="2" s="1"/>
  <c r="CZ166" i="2"/>
  <c r="CY166" i="2"/>
  <c r="CX166" i="2"/>
  <c r="CW166" i="2"/>
  <c r="CV166" i="2"/>
  <c r="CU166" i="2"/>
  <c r="CT166" i="2"/>
  <c r="CS166" i="2"/>
  <c r="CR166" i="2"/>
  <c r="CQ166" i="2"/>
  <c r="CP166" i="2"/>
  <c r="CN166" i="2"/>
  <c r="CO166" i="2" s="1"/>
  <c r="CM166" i="2"/>
  <c r="CL166" i="2"/>
  <c r="CK166" i="2"/>
  <c r="CJ166" i="2"/>
  <c r="CI166" i="2"/>
  <c r="CH166" i="2"/>
  <c r="CG166" i="2"/>
  <c r="CF166" i="2"/>
  <c r="CE166" i="2"/>
  <c r="CD166" i="2"/>
  <c r="CC166" i="2"/>
  <c r="CB166" i="2"/>
  <c r="CA166" i="2"/>
  <c r="BZ166" i="2"/>
  <c r="BY166" i="2"/>
  <c r="BX166" i="2"/>
  <c r="BW166" i="2"/>
  <c r="BV166" i="2"/>
  <c r="BU166" i="2"/>
  <c r="BT166" i="2"/>
  <c r="BS166" i="2"/>
  <c r="BR166" i="2"/>
  <c r="BQ166" i="2"/>
  <c r="BP166" i="2"/>
  <c r="BN166" i="2"/>
  <c r="BO166" i="2" s="1"/>
  <c r="BM166" i="2"/>
  <c r="BL166" i="2"/>
  <c r="BK166" i="2"/>
  <c r="BJ166" i="2"/>
  <c r="BI166" i="2"/>
  <c r="BH166" i="2"/>
  <c r="BG166" i="2"/>
  <c r="BF166" i="2"/>
  <c r="BE166" i="2"/>
  <c r="BD166" i="2"/>
  <c r="BC166" i="2"/>
  <c r="BA166" i="2"/>
  <c r="BB166" i="2" s="1"/>
  <c r="AZ166" i="2"/>
  <c r="AY166" i="2"/>
  <c r="AX166" i="2"/>
  <c r="AW166" i="2"/>
  <c r="AV166" i="2"/>
  <c r="AU166" i="2"/>
  <c r="AT166" i="2"/>
  <c r="AS166" i="2"/>
  <c r="AR166" i="2"/>
  <c r="AQ166" i="2"/>
  <c r="AP166" i="2"/>
  <c r="AN166" i="2"/>
  <c r="AO166" i="2" s="1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N166" i="2"/>
  <c r="O166" i="2" s="1"/>
  <c r="M166" i="2"/>
  <c r="L166" i="2"/>
  <c r="K166" i="2"/>
  <c r="J166" i="2"/>
  <c r="I166" i="2"/>
  <c r="H166" i="2"/>
  <c r="G166" i="2"/>
  <c r="F166" i="2"/>
  <c r="E166" i="2"/>
  <c r="D166" i="2"/>
  <c r="C166" i="2"/>
  <c r="FO165" i="2"/>
  <c r="FI165" i="2"/>
  <c r="FH165" i="2"/>
  <c r="FG165" i="2"/>
  <c r="FF165" i="2"/>
  <c r="FE165" i="2"/>
  <c r="FD165" i="2"/>
  <c r="FC165" i="2"/>
  <c r="FA165" i="2"/>
  <c r="FB165" i="2" s="1"/>
  <c r="EZ165" i="2"/>
  <c r="EY165" i="2"/>
  <c r="EX165" i="2"/>
  <c r="EW165" i="2"/>
  <c r="EV165" i="2"/>
  <c r="EU165" i="2"/>
  <c r="ET165" i="2"/>
  <c r="ES165" i="2"/>
  <c r="ER165" i="2"/>
  <c r="EQ165" i="2"/>
  <c r="EP165" i="2"/>
  <c r="EN165" i="2"/>
  <c r="EO165" i="2" s="1"/>
  <c r="EM165" i="2"/>
  <c r="EL165" i="2"/>
  <c r="EK165" i="2"/>
  <c r="EJ165" i="2"/>
  <c r="EI165" i="2"/>
  <c r="EH165" i="2"/>
  <c r="EG165" i="2"/>
  <c r="EF165" i="2"/>
  <c r="EE165" i="2"/>
  <c r="ED165" i="2"/>
  <c r="EC165" i="2"/>
  <c r="EB165" i="2"/>
  <c r="EA165" i="2"/>
  <c r="DZ165" i="2"/>
  <c r="DY165" i="2"/>
  <c r="DX165" i="2"/>
  <c r="DW165" i="2"/>
  <c r="DV165" i="2"/>
  <c r="DU165" i="2"/>
  <c r="DT165" i="2"/>
  <c r="DS165" i="2"/>
  <c r="DR165" i="2"/>
  <c r="DQ165" i="2"/>
  <c r="DP165" i="2"/>
  <c r="DN165" i="2"/>
  <c r="DO165" i="2" s="1"/>
  <c r="DM165" i="2"/>
  <c r="DL165" i="2"/>
  <c r="DK165" i="2"/>
  <c r="DJ165" i="2"/>
  <c r="DI165" i="2"/>
  <c r="DH165" i="2"/>
  <c r="DG165" i="2"/>
  <c r="DF165" i="2"/>
  <c r="DE165" i="2"/>
  <c r="DD165" i="2"/>
  <c r="DC165" i="2"/>
  <c r="DB165" i="2"/>
  <c r="DA165" i="2"/>
  <c r="CZ165" i="2"/>
  <c r="CY165" i="2"/>
  <c r="CX165" i="2"/>
  <c r="CW165" i="2"/>
  <c r="CV165" i="2"/>
  <c r="CU165" i="2"/>
  <c r="CT165" i="2"/>
  <c r="CS165" i="2"/>
  <c r="CR165" i="2"/>
  <c r="CQ165" i="2"/>
  <c r="CP165" i="2"/>
  <c r="CN165" i="2"/>
  <c r="CO165" i="2" s="1"/>
  <c r="CM165" i="2"/>
  <c r="CL165" i="2"/>
  <c r="CK165" i="2"/>
  <c r="CJ165" i="2"/>
  <c r="CI165" i="2"/>
  <c r="CH165" i="2"/>
  <c r="CG165" i="2"/>
  <c r="CF165" i="2"/>
  <c r="CE165" i="2"/>
  <c r="CD165" i="2"/>
  <c r="CC165" i="2"/>
  <c r="CA165" i="2"/>
  <c r="CB165" i="2" s="1"/>
  <c r="BZ165" i="2"/>
  <c r="BY165" i="2"/>
  <c r="BX165" i="2"/>
  <c r="BW165" i="2"/>
  <c r="BV165" i="2"/>
  <c r="BU165" i="2"/>
  <c r="BT165" i="2"/>
  <c r="BS165" i="2"/>
  <c r="BR165" i="2"/>
  <c r="BQ165" i="2"/>
  <c r="BP165" i="2"/>
  <c r="BN165" i="2"/>
  <c r="BO165" i="2" s="1"/>
  <c r="BM165" i="2"/>
  <c r="BL165" i="2"/>
  <c r="BK165" i="2"/>
  <c r="BJ165" i="2"/>
  <c r="BI165" i="2"/>
  <c r="BH165" i="2"/>
  <c r="BG165" i="2"/>
  <c r="BF165" i="2"/>
  <c r="BE165" i="2"/>
  <c r="BD165" i="2"/>
  <c r="BC165" i="2"/>
  <c r="BA165" i="2"/>
  <c r="BB165" i="2" s="1"/>
  <c r="AZ165" i="2"/>
  <c r="AY165" i="2"/>
  <c r="AX165" i="2"/>
  <c r="AW165" i="2"/>
  <c r="AV165" i="2"/>
  <c r="AU165" i="2"/>
  <c r="AT165" i="2"/>
  <c r="AS165" i="2"/>
  <c r="AR165" i="2"/>
  <c r="AQ165" i="2"/>
  <c r="AP165" i="2"/>
  <c r="AN165" i="2"/>
  <c r="AO165" i="2" s="1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FI164" i="2"/>
  <c r="FO164" i="2" s="1"/>
  <c r="FH164" i="2"/>
  <c r="FG164" i="2"/>
  <c r="FF164" i="2"/>
  <c r="FE164" i="2"/>
  <c r="FD164" i="2"/>
  <c r="FC164" i="2"/>
  <c r="FA164" i="2"/>
  <c r="FB164" i="2" s="1"/>
  <c r="EZ164" i="2"/>
  <c r="EY164" i="2"/>
  <c r="EX164" i="2"/>
  <c r="EW164" i="2"/>
  <c r="EV164" i="2"/>
  <c r="EU164" i="2"/>
  <c r="ET164" i="2"/>
  <c r="ES164" i="2"/>
  <c r="ER164" i="2"/>
  <c r="EQ164" i="2"/>
  <c r="EP164" i="2"/>
  <c r="EN164" i="2"/>
  <c r="EO164" i="2" s="1"/>
  <c r="EM164" i="2"/>
  <c r="EL164" i="2"/>
  <c r="EK164" i="2"/>
  <c r="EJ164" i="2"/>
  <c r="EI164" i="2"/>
  <c r="EH164" i="2"/>
  <c r="EG164" i="2"/>
  <c r="EF164" i="2"/>
  <c r="EE164" i="2"/>
  <c r="ED164" i="2"/>
  <c r="EC164" i="2"/>
  <c r="EA164" i="2"/>
  <c r="EB164" i="2" s="1"/>
  <c r="DZ164" i="2"/>
  <c r="DY164" i="2"/>
  <c r="DX164" i="2"/>
  <c r="DW164" i="2"/>
  <c r="DV164" i="2"/>
  <c r="DU164" i="2"/>
  <c r="DT164" i="2"/>
  <c r="DS164" i="2"/>
  <c r="DR164" i="2"/>
  <c r="DQ164" i="2"/>
  <c r="DP164" i="2"/>
  <c r="DO164" i="2"/>
  <c r="DN164" i="2"/>
  <c r="DM164" i="2"/>
  <c r="DL164" i="2"/>
  <c r="DK164" i="2"/>
  <c r="DJ164" i="2"/>
  <c r="DI164" i="2"/>
  <c r="DH164" i="2"/>
  <c r="DG164" i="2"/>
  <c r="DF164" i="2"/>
  <c r="DE164" i="2"/>
  <c r="DD164" i="2"/>
  <c r="DC164" i="2"/>
  <c r="DA164" i="2"/>
  <c r="DB164" i="2" s="1"/>
  <c r="CZ164" i="2"/>
  <c r="CY164" i="2"/>
  <c r="CX164" i="2"/>
  <c r="CW164" i="2"/>
  <c r="CV164" i="2"/>
  <c r="CU164" i="2"/>
  <c r="CT164" i="2"/>
  <c r="CS164" i="2"/>
  <c r="CR164" i="2"/>
  <c r="CQ164" i="2"/>
  <c r="CP164" i="2"/>
  <c r="CO164" i="2"/>
  <c r="CN164" i="2"/>
  <c r="CM164" i="2"/>
  <c r="CL164" i="2"/>
  <c r="CK164" i="2"/>
  <c r="CJ164" i="2"/>
  <c r="CI164" i="2"/>
  <c r="CH164" i="2"/>
  <c r="CG164" i="2"/>
  <c r="CF164" i="2"/>
  <c r="CE164" i="2"/>
  <c r="CD164" i="2"/>
  <c r="CC164" i="2"/>
  <c r="CA164" i="2"/>
  <c r="CB164" i="2" s="1"/>
  <c r="BZ164" i="2"/>
  <c r="BY164" i="2"/>
  <c r="BX164" i="2"/>
  <c r="BW164" i="2"/>
  <c r="BV164" i="2"/>
  <c r="BU164" i="2"/>
  <c r="BT164" i="2"/>
  <c r="BS164" i="2"/>
  <c r="BR164" i="2"/>
  <c r="BQ164" i="2"/>
  <c r="BP164" i="2"/>
  <c r="BN164" i="2"/>
  <c r="BO164" i="2" s="1"/>
  <c r="BM164" i="2"/>
  <c r="BL164" i="2"/>
  <c r="BK164" i="2"/>
  <c r="BJ164" i="2"/>
  <c r="BI164" i="2"/>
  <c r="BH164" i="2"/>
  <c r="BG164" i="2"/>
  <c r="BF164" i="2"/>
  <c r="BE164" i="2"/>
  <c r="BD164" i="2"/>
  <c r="BC164" i="2"/>
  <c r="BA164" i="2"/>
  <c r="BB164" i="2" s="1"/>
  <c r="AZ164" i="2"/>
  <c r="AY164" i="2"/>
  <c r="AX164" i="2"/>
  <c r="AW164" i="2"/>
  <c r="AV164" i="2"/>
  <c r="AU164" i="2"/>
  <c r="AT164" i="2"/>
  <c r="AS164" i="2"/>
  <c r="AR164" i="2"/>
  <c r="AQ164" i="2"/>
  <c r="AP164" i="2"/>
  <c r="AN164" i="2"/>
  <c r="AO164" i="2" s="1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N164" i="2"/>
  <c r="O164" i="2" s="1"/>
  <c r="M164" i="2"/>
  <c r="L164" i="2"/>
  <c r="K164" i="2"/>
  <c r="J164" i="2"/>
  <c r="I164" i="2"/>
  <c r="H164" i="2"/>
  <c r="G164" i="2"/>
  <c r="F164" i="2"/>
  <c r="E164" i="2"/>
  <c r="D164" i="2"/>
  <c r="C164" i="2"/>
  <c r="FI163" i="2"/>
  <c r="FO163" i="2" s="1"/>
  <c r="FH163" i="2"/>
  <c r="FG163" i="2"/>
  <c r="FF163" i="2"/>
  <c r="FE163" i="2"/>
  <c r="FD163" i="2"/>
  <c r="FC163" i="2"/>
  <c r="FB163" i="2"/>
  <c r="FA163" i="2"/>
  <c r="EZ163" i="2"/>
  <c r="EY163" i="2"/>
  <c r="EX163" i="2"/>
  <c r="EW163" i="2"/>
  <c r="EV163" i="2"/>
  <c r="EU163" i="2"/>
  <c r="ET163" i="2"/>
  <c r="ES163" i="2"/>
  <c r="ER163" i="2"/>
  <c r="EQ163" i="2"/>
  <c r="EP163" i="2"/>
  <c r="EN163" i="2"/>
  <c r="EO163" i="2" s="1"/>
  <c r="EM163" i="2"/>
  <c r="EL163" i="2"/>
  <c r="EK163" i="2"/>
  <c r="EJ163" i="2"/>
  <c r="EI163" i="2"/>
  <c r="EH163" i="2"/>
  <c r="EG163" i="2"/>
  <c r="EF163" i="2"/>
  <c r="EE163" i="2"/>
  <c r="ED163" i="2"/>
  <c r="EC163" i="2"/>
  <c r="EA163" i="2"/>
  <c r="EB163" i="2" s="1"/>
  <c r="DZ163" i="2"/>
  <c r="DY163" i="2"/>
  <c r="DX163" i="2"/>
  <c r="DW163" i="2"/>
  <c r="DV163" i="2"/>
  <c r="DU163" i="2"/>
  <c r="DT163" i="2"/>
  <c r="DS163" i="2"/>
  <c r="DR163" i="2"/>
  <c r="DQ163" i="2"/>
  <c r="DP163" i="2"/>
  <c r="DN163" i="2"/>
  <c r="DO163" i="2" s="1"/>
  <c r="DM163" i="2"/>
  <c r="DL163" i="2"/>
  <c r="DK163" i="2"/>
  <c r="DJ163" i="2"/>
  <c r="DI163" i="2"/>
  <c r="DH163" i="2"/>
  <c r="DG163" i="2"/>
  <c r="DF163" i="2"/>
  <c r="DE163" i="2"/>
  <c r="DD163" i="2"/>
  <c r="DC163" i="2"/>
  <c r="DA163" i="2"/>
  <c r="DB163" i="2" s="1"/>
  <c r="CZ163" i="2"/>
  <c r="CY163" i="2"/>
  <c r="CX163" i="2"/>
  <c r="CW163" i="2"/>
  <c r="CV163" i="2"/>
  <c r="CU163" i="2"/>
  <c r="CT163" i="2"/>
  <c r="CS163" i="2"/>
  <c r="CR163" i="2"/>
  <c r="CQ163" i="2"/>
  <c r="CP163" i="2"/>
  <c r="CN163" i="2"/>
  <c r="CO163" i="2" s="1"/>
  <c r="CM163" i="2"/>
  <c r="CL163" i="2"/>
  <c r="CK163" i="2"/>
  <c r="CJ163" i="2"/>
  <c r="CI163" i="2"/>
  <c r="CH163" i="2"/>
  <c r="CG163" i="2"/>
  <c r="CF163" i="2"/>
  <c r="CE163" i="2"/>
  <c r="CD163" i="2"/>
  <c r="CC163" i="2"/>
  <c r="CB163" i="2"/>
  <c r="CA163" i="2"/>
  <c r="BZ163" i="2"/>
  <c r="BY163" i="2"/>
  <c r="BX163" i="2"/>
  <c r="BW163" i="2"/>
  <c r="BV163" i="2"/>
  <c r="BU163" i="2"/>
  <c r="BT163" i="2"/>
  <c r="BS163" i="2"/>
  <c r="BR163" i="2"/>
  <c r="BQ163" i="2"/>
  <c r="BP163" i="2"/>
  <c r="BN163" i="2"/>
  <c r="BO163" i="2" s="1"/>
  <c r="BM163" i="2"/>
  <c r="BL163" i="2"/>
  <c r="BK163" i="2"/>
  <c r="BJ163" i="2"/>
  <c r="BI163" i="2"/>
  <c r="BH163" i="2"/>
  <c r="BG163" i="2"/>
  <c r="BF163" i="2"/>
  <c r="BE163" i="2"/>
  <c r="BD163" i="2"/>
  <c r="BC163" i="2"/>
  <c r="BA163" i="2"/>
  <c r="BB163" i="2" s="1"/>
  <c r="AZ163" i="2"/>
  <c r="AY163" i="2"/>
  <c r="AX163" i="2"/>
  <c r="AW163" i="2"/>
  <c r="AV163" i="2"/>
  <c r="AU163" i="2"/>
  <c r="AT163" i="2"/>
  <c r="AS163" i="2"/>
  <c r="AR163" i="2"/>
  <c r="AQ163" i="2"/>
  <c r="AP163" i="2"/>
  <c r="AN163" i="2"/>
  <c r="AO163" i="2" s="1"/>
  <c r="AM163" i="2"/>
  <c r="AL163" i="2"/>
  <c r="AK163" i="2"/>
  <c r="AJ163" i="2"/>
  <c r="AI163" i="2"/>
  <c r="AH163" i="2"/>
  <c r="AG163" i="2"/>
  <c r="AF163" i="2"/>
  <c r="AE163" i="2"/>
  <c r="AD163" i="2"/>
  <c r="AC163" i="2"/>
  <c r="AA163" i="2"/>
  <c r="AB163" i="2" s="1"/>
  <c r="Z163" i="2"/>
  <c r="Y163" i="2"/>
  <c r="X163" i="2"/>
  <c r="W163" i="2"/>
  <c r="V163" i="2"/>
  <c r="U163" i="2"/>
  <c r="T163" i="2"/>
  <c r="S163" i="2"/>
  <c r="R163" i="2"/>
  <c r="Q163" i="2"/>
  <c r="P163" i="2"/>
  <c r="N163" i="2"/>
  <c r="O163" i="2" s="1"/>
  <c r="M163" i="2"/>
  <c r="L163" i="2"/>
  <c r="K163" i="2"/>
  <c r="J163" i="2"/>
  <c r="I163" i="2"/>
  <c r="H163" i="2"/>
  <c r="G163" i="2"/>
  <c r="F163" i="2"/>
  <c r="E163" i="2"/>
  <c r="D163" i="2"/>
  <c r="C163" i="2"/>
  <c r="FO162" i="2"/>
  <c r="FI162" i="2"/>
  <c r="FH162" i="2"/>
  <c r="FG162" i="2"/>
  <c r="FF162" i="2"/>
  <c r="FE162" i="2"/>
  <c r="FD162" i="2"/>
  <c r="FC162" i="2"/>
  <c r="FA162" i="2"/>
  <c r="FB162" i="2" s="1"/>
  <c r="EZ162" i="2"/>
  <c r="EY162" i="2"/>
  <c r="EX162" i="2"/>
  <c r="EW162" i="2"/>
  <c r="EV162" i="2"/>
  <c r="EU162" i="2"/>
  <c r="ET162" i="2"/>
  <c r="ES162" i="2"/>
  <c r="ER162" i="2"/>
  <c r="EQ162" i="2"/>
  <c r="EP162" i="2"/>
  <c r="EN162" i="2"/>
  <c r="EO162" i="2" s="1"/>
  <c r="EM162" i="2"/>
  <c r="EL162" i="2"/>
  <c r="EK162" i="2"/>
  <c r="EJ162" i="2"/>
  <c r="EI162" i="2"/>
  <c r="EH162" i="2"/>
  <c r="EG162" i="2"/>
  <c r="EF162" i="2"/>
  <c r="EE162" i="2"/>
  <c r="ED162" i="2"/>
  <c r="EC162" i="2"/>
  <c r="EB162" i="2"/>
  <c r="EA162" i="2"/>
  <c r="DZ162" i="2"/>
  <c r="DY162" i="2"/>
  <c r="DX162" i="2"/>
  <c r="DW162" i="2"/>
  <c r="DV162" i="2"/>
  <c r="DU162" i="2"/>
  <c r="DT162" i="2"/>
  <c r="DS162" i="2"/>
  <c r="DR162" i="2"/>
  <c r="DQ162" i="2"/>
  <c r="DP162" i="2"/>
  <c r="DN162" i="2"/>
  <c r="DO162" i="2" s="1"/>
  <c r="DM162" i="2"/>
  <c r="DL162" i="2"/>
  <c r="DK162" i="2"/>
  <c r="DJ162" i="2"/>
  <c r="DI162" i="2"/>
  <c r="DH162" i="2"/>
  <c r="DG162" i="2"/>
  <c r="DF162" i="2"/>
  <c r="DE162" i="2"/>
  <c r="DD162" i="2"/>
  <c r="DC162" i="2"/>
  <c r="DA162" i="2"/>
  <c r="DB162" i="2" s="1"/>
  <c r="CZ162" i="2"/>
  <c r="CY162" i="2"/>
  <c r="CX162" i="2"/>
  <c r="CW162" i="2"/>
  <c r="CV162" i="2"/>
  <c r="CU162" i="2"/>
  <c r="CT162" i="2"/>
  <c r="CS162" i="2"/>
  <c r="CR162" i="2"/>
  <c r="CQ162" i="2"/>
  <c r="CP162" i="2"/>
  <c r="CN162" i="2"/>
  <c r="CO162" i="2" s="1"/>
  <c r="CM162" i="2"/>
  <c r="CL162" i="2"/>
  <c r="CK162" i="2"/>
  <c r="CJ162" i="2"/>
  <c r="CI162" i="2"/>
  <c r="CH162" i="2"/>
  <c r="CG162" i="2"/>
  <c r="CF162" i="2"/>
  <c r="CE162" i="2"/>
  <c r="CD162" i="2"/>
  <c r="CC162" i="2"/>
  <c r="CB162" i="2"/>
  <c r="CA162" i="2"/>
  <c r="BZ162" i="2"/>
  <c r="BY162" i="2"/>
  <c r="BX162" i="2"/>
  <c r="BW162" i="2"/>
  <c r="BV162" i="2"/>
  <c r="BU162" i="2"/>
  <c r="BT162" i="2"/>
  <c r="BS162" i="2"/>
  <c r="BR162" i="2"/>
  <c r="BQ162" i="2"/>
  <c r="BP162" i="2"/>
  <c r="BN162" i="2"/>
  <c r="BO162" i="2" s="1"/>
  <c r="BM162" i="2"/>
  <c r="BL162" i="2"/>
  <c r="BK162" i="2"/>
  <c r="BJ162" i="2"/>
  <c r="BI162" i="2"/>
  <c r="BH162" i="2"/>
  <c r="BG162" i="2"/>
  <c r="BF162" i="2"/>
  <c r="BE162" i="2"/>
  <c r="BD162" i="2"/>
  <c r="BC162" i="2"/>
  <c r="BB162" i="2"/>
  <c r="BA162" i="2"/>
  <c r="AZ162" i="2"/>
  <c r="AY162" i="2"/>
  <c r="AX162" i="2"/>
  <c r="AW162" i="2"/>
  <c r="AV162" i="2"/>
  <c r="AU162" i="2"/>
  <c r="AT162" i="2"/>
  <c r="AS162" i="2"/>
  <c r="AR162" i="2"/>
  <c r="AQ162" i="2"/>
  <c r="AP162" i="2"/>
  <c r="AN162" i="2"/>
  <c r="AO162" i="2" s="1"/>
  <c r="AM162" i="2"/>
  <c r="AL162" i="2"/>
  <c r="AK162" i="2"/>
  <c r="AJ162" i="2"/>
  <c r="AI162" i="2"/>
  <c r="AH162" i="2"/>
  <c r="AG162" i="2"/>
  <c r="AF162" i="2"/>
  <c r="AE162" i="2"/>
  <c r="AD162" i="2"/>
  <c r="AC162" i="2"/>
  <c r="AA162" i="2"/>
  <c r="AB162" i="2" s="1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FI161" i="2"/>
  <c r="FO161" i="2" s="1"/>
  <c r="FH161" i="2"/>
  <c r="FG161" i="2"/>
  <c r="FF161" i="2"/>
  <c r="FE161" i="2"/>
  <c r="FD161" i="2"/>
  <c r="FC161" i="2"/>
  <c r="FA161" i="2"/>
  <c r="FB161" i="2" s="1"/>
  <c r="EZ161" i="2"/>
  <c r="EY161" i="2"/>
  <c r="EX161" i="2"/>
  <c r="EW161" i="2"/>
  <c r="EV161" i="2"/>
  <c r="EU161" i="2"/>
  <c r="ET161" i="2"/>
  <c r="ES161" i="2"/>
  <c r="ER161" i="2"/>
  <c r="EQ161" i="2"/>
  <c r="EP161" i="2"/>
  <c r="EN161" i="2"/>
  <c r="EO161" i="2" s="1"/>
  <c r="EM161" i="2"/>
  <c r="EL161" i="2"/>
  <c r="EK161" i="2"/>
  <c r="EJ161" i="2"/>
  <c r="EI161" i="2"/>
  <c r="EH161" i="2"/>
  <c r="EG161" i="2"/>
  <c r="EF161" i="2"/>
  <c r="EE161" i="2"/>
  <c r="ED161" i="2"/>
  <c r="EC161" i="2"/>
  <c r="EA161" i="2"/>
  <c r="EB161" i="2" s="1"/>
  <c r="DZ161" i="2"/>
  <c r="DY161" i="2"/>
  <c r="DX161" i="2"/>
  <c r="DW161" i="2"/>
  <c r="DV161" i="2"/>
  <c r="DU161" i="2"/>
  <c r="DT161" i="2"/>
  <c r="DS161" i="2"/>
  <c r="DR161" i="2"/>
  <c r="DQ161" i="2"/>
  <c r="DP161" i="2"/>
  <c r="DO161" i="2"/>
  <c r="DN161" i="2"/>
  <c r="DM161" i="2"/>
  <c r="DL161" i="2"/>
  <c r="DK161" i="2"/>
  <c r="DJ161" i="2"/>
  <c r="DI161" i="2"/>
  <c r="DH161" i="2"/>
  <c r="DG161" i="2"/>
  <c r="DF161" i="2"/>
  <c r="DE161" i="2"/>
  <c r="DD161" i="2"/>
  <c r="DC161" i="2"/>
  <c r="DA161" i="2"/>
  <c r="DB161" i="2" s="1"/>
  <c r="CZ161" i="2"/>
  <c r="CY161" i="2"/>
  <c r="CX161" i="2"/>
  <c r="CW161" i="2"/>
  <c r="CV161" i="2"/>
  <c r="CU161" i="2"/>
  <c r="CT161" i="2"/>
  <c r="CS161" i="2"/>
  <c r="CR161" i="2"/>
  <c r="CQ161" i="2"/>
  <c r="CP161" i="2"/>
  <c r="CO161" i="2"/>
  <c r="CN161" i="2"/>
  <c r="CM161" i="2"/>
  <c r="CL161" i="2"/>
  <c r="CK161" i="2"/>
  <c r="CJ161" i="2"/>
  <c r="CI161" i="2"/>
  <c r="CH161" i="2"/>
  <c r="CG161" i="2"/>
  <c r="CF161" i="2"/>
  <c r="CE161" i="2"/>
  <c r="CD161" i="2"/>
  <c r="CC161" i="2"/>
  <c r="CB161" i="2"/>
  <c r="CA161" i="2"/>
  <c r="BZ161" i="2"/>
  <c r="BY161" i="2"/>
  <c r="BX161" i="2"/>
  <c r="BW161" i="2"/>
  <c r="BV161" i="2"/>
  <c r="BU161" i="2"/>
  <c r="BT161" i="2"/>
  <c r="BS161" i="2"/>
  <c r="BR161" i="2"/>
  <c r="BQ161" i="2"/>
  <c r="BP161" i="2"/>
  <c r="BN161" i="2"/>
  <c r="BO161" i="2" s="1"/>
  <c r="BM161" i="2"/>
  <c r="BL161" i="2"/>
  <c r="BK161" i="2"/>
  <c r="BJ161" i="2"/>
  <c r="BI161" i="2"/>
  <c r="BH161" i="2"/>
  <c r="BG161" i="2"/>
  <c r="BF161" i="2"/>
  <c r="BE161" i="2"/>
  <c r="BD161" i="2"/>
  <c r="BC161" i="2"/>
  <c r="BB161" i="2"/>
  <c r="BA161" i="2"/>
  <c r="AZ161" i="2"/>
  <c r="AY161" i="2"/>
  <c r="AX161" i="2"/>
  <c r="AW161" i="2"/>
  <c r="AV161" i="2"/>
  <c r="AU161" i="2"/>
  <c r="AT161" i="2"/>
  <c r="AS161" i="2"/>
  <c r="AR161" i="2"/>
  <c r="AQ161" i="2"/>
  <c r="AP161" i="2"/>
  <c r="AN161" i="2"/>
  <c r="AO161" i="2" s="1"/>
  <c r="AM161" i="2"/>
  <c r="AL161" i="2"/>
  <c r="AK161" i="2"/>
  <c r="AJ161" i="2"/>
  <c r="AI161" i="2"/>
  <c r="AH161" i="2"/>
  <c r="AG161" i="2"/>
  <c r="AF161" i="2"/>
  <c r="AE161" i="2"/>
  <c r="AD161" i="2"/>
  <c r="AC161" i="2"/>
  <c r="AA161" i="2"/>
  <c r="AB161" i="2" s="1"/>
  <c r="Z161" i="2"/>
  <c r="Y161" i="2"/>
  <c r="X161" i="2"/>
  <c r="W161" i="2"/>
  <c r="V161" i="2"/>
  <c r="U161" i="2"/>
  <c r="T161" i="2"/>
  <c r="S161" i="2"/>
  <c r="R161" i="2"/>
  <c r="Q161" i="2"/>
  <c r="P161" i="2"/>
  <c r="N161" i="2"/>
  <c r="O161" i="2" s="1"/>
  <c r="M161" i="2"/>
  <c r="L161" i="2"/>
  <c r="K161" i="2"/>
  <c r="J161" i="2"/>
  <c r="I161" i="2"/>
  <c r="H161" i="2"/>
  <c r="G161" i="2"/>
  <c r="F161" i="2"/>
  <c r="E161" i="2"/>
  <c r="D161" i="2"/>
  <c r="C161" i="2"/>
  <c r="FI160" i="2"/>
  <c r="FO160" i="2" s="1"/>
  <c r="FH160" i="2"/>
  <c r="FG160" i="2"/>
  <c r="FF160" i="2"/>
  <c r="FE160" i="2"/>
  <c r="FD160" i="2"/>
  <c r="FC160" i="2"/>
  <c r="FB160" i="2"/>
  <c r="FA160" i="2"/>
  <c r="EZ160" i="2"/>
  <c r="EY160" i="2"/>
  <c r="EX160" i="2"/>
  <c r="EW160" i="2"/>
  <c r="EV160" i="2"/>
  <c r="EU160" i="2"/>
  <c r="ET160" i="2"/>
  <c r="ES160" i="2"/>
  <c r="ER160" i="2"/>
  <c r="EQ160" i="2"/>
  <c r="EP160" i="2"/>
  <c r="EN160" i="2"/>
  <c r="EO160" i="2" s="1"/>
  <c r="EM160" i="2"/>
  <c r="EL160" i="2"/>
  <c r="EK160" i="2"/>
  <c r="EJ160" i="2"/>
  <c r="EI160" i="2"/>
  <c r="EH160" i="2"/>
  <c r="EG160" i="2"/>
  <c r="EF160" i="2"/>
  <c r="EE160" i="2"/>
  <c r="ED160" i="2"/>
  <c r="EC160" i="2"/>
  <c r="EB160" i="2"/>
  <c r="EA160" i="2"/>
  <c r="DZ160" i="2"/>
  <c r="DY160" i="2"/>
  <c r="DX160" i="2"/>
  <c r="DW160" i="2"/>
  <c r="DV160" i="2"/>
  <c r="DU160" i="2"/>
  <c r="DT160" i="2"/>
  <c r="DS160" i="2"/>
  <c r="DR160" i="2"/>
  <c r="DQ160" i="2"/>
  <c r="DP160" i="2"/>
  <c r="DN160" i="2"/>
  <c r="DO160" i="2" s="1"/>
  <c r="DM160" i="2"/>
  <c r="DL160" i="2"/>
  <c r="DK160" i="2"/>
  <c r="DJ160" i="2"/>
  <c r="DI160" i="2"/>
  <c r="DH160" i="2"/>
  <c r="DG160" i="2"/>
  <c r="DF160" i="2"/>
  <c r="DE160" i="2"/>
  <c r="DD160" i="2"/>
  <c r="DC160" i="2"/>
  <c r="DA160" i="2"/>
  <c r="DB160" i="2" s="1"/>
  <c r="CZ160" i="2"/>
  <c r="CY160" i="2"/>
  <c r="CX160" i="2"/>
  <c r="CW160" i="2"/>
  <c r="CV160" i="2"/>
  <c r="CU160" i="2"/>
  <c r="CT160" i="2"/>
  <c r="CS160" i="2"/>
  <c r="CR160" i="2"/>
  <c r="CQ160" i="2"/>
  <c r="CP160" i="2"/>
  <c r="CO160" i="2"/>
  <c r="CN160" i="2"/>
  <c r="CM160" i="2"/>
  <c r="CL160" i="2"/>
  <c r="CK160" i="2"/>
  <c r="CJ160" i="2"/>
  <c r="CI160" i="2"/>
  <c r="CH160" i="2"/>
  <c r="CG160" i="2"/>
  <c r="CF160" i="2"/>
  <c r="CE160" i="2"/>
  <c r="CD160" i="2"/>
  <c r="CC160" i="2"/>
  <c r="CA160" i="2"/>
  <c r="CB160" i="2" s="1"/>
  <c r="BZ160" i="2"/>
  <c r="BY160" i="2"/>
  <c r="BX160" i="2"/>
  <c r="BW160" i="2"/>
  <c r="BV160" i="2"/>
  <c r="BU160" i="2"/>
  <c r="BT160" i="2"/>
  <c r="BS160" i="2"/>
  <c r="BR160" i="2"/>
  <c r="BQ160" i="2"/>
  <c r="BP160" i="2"/>
  <c r="BO160" i="2"/>
  <c r="BN160" i="2"/>
  <c r="BM160" i="2"/>
  <c r="BL160" i="2"/>
  <c r="BK160" i="2"/>
  <c r="BJ160" i="2"/>
  <c r="BI160" i="2"/>
  <c r="BH160" i="2"/>
  <c r="BG160" i="2"/>
  <c r="BF160" i="2"/>
  <c r="BE160" i="2"/>
  <c r="BD160" i="2"/>
  <c r="BC160" i="2"/>
  <c r="BA160" i="2"/>
  <c r="BB160" i="2" s="1"/>
  <c r="AZ160" i="2"/>
  <c r="AY160" i="2"/>
  <c r="AX160" i="2"/>
  <c r="AW160" i="2"/>
  <c r="AV160" i="2"/>
  <c r="AU160" i="2"/>
  <c r="AT160" i="2"/>
  <c r="AS160" i="2"/>
  <c r="AR160" i="2"/>
  <c r="AQ160" i="2"/>
  <c r="AP160" i="2"/>
  <c r="AN160" i="2"/>
  <c r="AO160" i="2" s="1"/>
  <c r="AM160" i="2"/>
  <c r="AL160" i="2"/>
  <c r="AK160" i="2"/>
  <c r="AJ160" i="2"/>
  <c r="AI160" i="2"/>
  <c r="AH160" i="2"/>
  <c r="AG160" i="2"/>
  <c r="AF160" i="2"/>
  <c r="AE160" i="2"/>
  <c r="AD160" i="2"/>
  <c r="AC160" i="2"/>
  <c r="AA160" i="2"/>
  <c r="AB160" i="2" s="1"/>
  <c r="Z160" i="2"/>
  <c r="Y160" i="2"/>
  <c r="X160" i="2"/>
  <c r="W160" i="2"/>
  <c r="V160" i="2"/>
  <c r="U160" i="2"/>
  <c r="T160" i="2"/>
  <c r="S160" i="2"/>
  <c r="R160" i="2"/>
  <c r="Q160" i="2"/>
  <c r="P160" i="2"/>
  <c r="N160" i="2"/>
  <c r="O160" i="2" s="1"/>
  <c r="M160" i="2"/>
  <c r="L160" i="2"/>
  <c r="K160" i="2"/>
  <c r="J160" i="2"/>
  <c r="I160" i="2"/>
  <c r="H160" i="2"/>
  <c r="G160" i="2"/>
  <c r="F160" i="2"/>
  <c r="E160" i="2"/>
  <c r="D160" i="2"/>
  <c r="C160" i="2"/>
  <c r="FO159" i="2"/>
  <c r="FI159" i="2"/>
  <c r="FH159" i="2"/>
  <c r="FG159" i="2"/>
  <c r="FF159" i="2"/>
  <c r="FE159" i="2"/>
  <c r="FD159" i="2"/>
  <c r="FC159" i="2"/>
  <c r="FA159" i="2"/>
  <c r="FB159" i="2" s="1"/>
  <c r="EZ159" i="2"/>
  <c r="EY159" i="2"/>
  <c r="EX159" i="2"/>
  <c r="EW159" i="2"/>
  <c r="EV159" i="2"/>
  <c r="EU159" i="2"/>
  <c r="ET159" i="2"/>
  <c r="ES159" i="2"/>
  <c r="ER159" i="2"/>
  <c r="EQ159" i="2"/>
  <c r="EP159" i="2"/>
  <c r="EN159" i="2"/>
  <c r="EO159" i="2" s="1"/>
  <c r="EM159" i="2"/>
  <c r="EL159" i="2"/>
  <c r="EK159" i="2"/>
  <c r="EJ159" i="2"/>
  <c r="EI159" i="2"/>
  <c r="EH159" i="2"/>
  <c r="EG159" i="2"/>
  <c r="EF159" i="2"/>
  <c r="EE159" i="2"/>
  <c r="ED159" i="2"/>
  <c r="EC159" i="2"/>
  <c r="EB159" i="2"/>
  <c r="EA159" i="2"/>
  <c r="DZ159" i="2"/>
  <c r="DY159" i="2"/>
  <c r="DX159" i="2"/>
  <c r="DW159" i="2"/>
  <c r="DV159" i="2"/>
  <c r="DU159" i="2"/>
  <c r="DT159" i="2"/>
  <c r="DS159" i="2"/>
  <c r="DR159" i="2"/>
  <c r="DQ159" i="2"/>
  <c r="DP159" i="2"/>
  <c r="DN159" i="2"/>
  <c r="DO159" i="2" s="1"/>
  <c r="DM159" i="2"/>
  <c r="DL159" i="2"/>
  <c r="DK159" i="2"/>
  <c r="DJ159" i="2"/>
  <c r="DI159" i="2"/>
  <c r="DH159" i="2"/>
  <c r="DG159" i="2"/>
  <c r="DF159" i="2"/>
  <c r="DE159" i="2"/>
  <c r="DD159" i="2"/>
  <c r="DC159" i="2"/>
  <c r="DB159" i="2"/>
  <c r="DA159" i="2"/>
  <c r="CZ159" i="2"/>
  <c r="CY159" i="2"/>
  <c r="CX159" i="2"/>
  <c r="CW159" i="2"/>
  <c r="CV159" i="2"/>
  <c r="CU159" i="2"/>
  <c r="CT159" i="2"/>
  <c r="CS159" i="2"/>
  <c r="CR159" i="2"/>
  <c r="CQ159" i="2"/>
  <c r="CP159" i="2"/>
  <c r="CN159" i="2"/>
  <c r="CO159" i="2" s="1"/>
  <c r="CM159" i="2"/>
  <c r="CL159" i="2"/>
  <c r="CK159" i="2"/>
  <c r="CJ159" i="2"/>
  <c r="CI159" i="2"/>
  <c r="CH159" i="2"/>
  <c r="CG159" i="2"/>
  <c r="CF159" i="2"/>
  <c r="CE159" i="2"/>
  <c r="CD159" i="2"/>
  <c r="CC159" i="2"/>
  <c r="CA159" i="2"/>
  <c r="CB159" i="2" s="1"/>
  <c r="BZ159" i="2"/>
  <c r="BY159" i="2"/>
  <c r="BX159" i="2"/>
  <c r="BW159" i="2"/>
  <c r="BV159" i="2"/>
  <c r="BU159" i="2"/>
  <c r="BT159" i="2"/>
  <c r="BS159" i="2"/>
  <c r="BR159" i="2"/>
  <c r="BQ159" i="2"/>
  <c r="BP159" i="2"/>
  <c r="BN159" i="2"/>
  <c r="BO159" i="2" s="1"/>
  <c r="BM159" i="2"/>
  <c r="BL159" i="2"/>
  <c r="BK159" i="2"/>
  <c r="BJ159" i="2"/>
  <c r="BI159" i="2"/>
  <c r="BH159" i="2"/>
  <c r="BG159" i="2"/>
  <c r="BF159" i="2"/>
  <c r="BE159" i="2"/>
  <c r="BD159" i="2"/>
  <c r="BC159" i="2"/>
  <c r="BA159" i="2"/>
  <c r="BB159" i="2" s="1"/>
  <c r="AZ159" i="2"/>
  <c r="AY159" i="2"/>
  <c r="AX159" i="2"/>
  <c r="AW159" i="2"/>
  <c r="AV159" i="2"/>
  <c r="AU159" i="2"/>
  <c r="AT159" i="2"/>
  <c r="AS159" i="2"/>
  <c r="AR159" i="2"/>
  <c r="AQ159" i="2"/>
  <c r="AP159" i="2"/>
  <c r="AN159" i="2"/>
  <c r="AO159" i="2" s="1"/>
  <c r="AM159" i="2"/>
  <c r="AL159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N159" i="2"/>
  <c r="O159" i="2" s="1"/>
  <c r="M159" i="2"/>
  <c r="L159" i="2"/>
  <c r="K159" i="2"/>
  <c r="J159" i="2"/>
  <c r="I159" i="2"/>
  <c r="H159" i="2"/>
  <c r="G159" i="2"/>
  <c r="F159" i="2"/>
  <c r="E159" i="2"/>
  <c r="D159" i="2"/>
  <c r="C159" i="2"/>
  <c r="FI158" i="2"/>
  <c r="FO158" i="2" s="1"/>
  <c r="FH158" i="2"/>
  <c r="FG158" i="2"/>
  <c r="FF158" i="2"/>
  <c r="FE158" i="2"/>
  <c r="FD158" i="2"/>
  <c r="FC158" i="2"/>
  <c r="FA158" i="2"/>
  <c r="FB158" i="2" s="1"/>
  <c r="EZ158" i="2"/>
  <c r="EY158" i="2"/>
  <c r="EX158" i="2"/>
  <c r="EW158" i="2"/>
  <c r="EV158" i="2"/>
  <c r="EU158" i="2"/>
  <c r="ET158" i="2"/>
  <c r="ES158" i="2"/>
  <c r="ER158" i="2"/>
  <c r="EQ158" i="2"/>
  <c r="EP158" i="2"/>
  <c r="EN158" i="2"/>
  <c r="EO158" i="2" s="1"/>
  <c r="EM158" i="2"/>
  <c r="EL158" i="2"/>
  <c r="EK158" i="2"/>
  <c r="EJ158" i="2"/>
  <c r="EI158" i="2"/>
  <c r="EH158" i="2"/>
  <c r="EG158" i="2"/>
  <c r="EF158" i="2"/>
  <c r="EE158" i="2"/>
  <c r="ED158" i="2"/>
  <c r="EC158" i="2"/>
  <c r="EB158" i="2"/>
  <c r="EA158" i="2"/>
  <c r="DZ158" i="2"/>
  <c r="DY158" i="2"/>
  <c r="DX158" i="2"/>
  <c r="DW158" i="2"/>
  <c r="DV158" i="2"/>
  <c r="DU158" i="2"/>
  <c r="DT158" i="2"/>
  <c r="DS158" i="2"/>
  <c r="DR158" i="2"/>
  <c r="DQ158" i="2"/>
  <c r="DP158" i="2"/>
  <c r="DN158" i="2"/>
  <c r="DO158" i="2" s="1"/>
  <c r="DM158" i="2"/>
  <c r="DL158" i="2"/>
  <c r="DK158" i="2"/>
  <c r="DJ158" i="2"/>
  <c r="DI158" i="2"/>
  <c r="DH158" i="2"/>
  <c r="DG158" i="2"/>
  <c r="DF158" i="2"/>
  <c r="DE158" i="2"/>
  <c r="DD158" i="2"/>
  <c r="DC158" i="2"/>
  <c r="DA158" i="2"/>
  <c r="DB158" i="2" s="1"/>
  <c r="CZ158" i="2"/>
  <c r="CY158" i="2"/>
  <c r="CX158" i="2"/>
  <c r="CW158" i="2"/>
  <c r="CV158" i="2"/>
  <c r="CU158" i="2"/>
  <c r="CT158" i="2"/>
  <c r="CS158" i="2"/>
  <c r="CR158" i="2"/>
  <c r="CQ158" i="2"/>
  <c r="CP158" i="2"/>
  <c r="CN158" i="2"/>
  <c r="CO158" i="2" s="1"/>
  <c r="CM158" i="2"/>
  <c r="CL158" i="2"/>
  <c r="CK158" i="2"/>
  <c r="CJ158" i="2"/>
  <c r="CI158" i="2"/>
  <c r="CH158" i="2"/>
  <c r="CG158" i="2"/>
  <c r="CF158" i="2"/>
  <c r="CE158" i="2"/>
  <c r="CD158" i="2"/>
  <c r="CC158" i="2"/>
  <c r="CB158" i="2"/>
  <c r="CA158" i="2"/>
  <c r="BZ158" i="2"/>
  <c r="BY158" i="2"/>
  <c r="BX158" i="2"/>
  <c r="BW158" i="2"/>
  <c r="BV158" i="2"/>
  <c r="BU158" i="2"/>
  <c r="BT158" i="2"/>
  <c r="BS158" i="2"/>
  <c r="BR158" i="2"/>
  <c r="BQ158" i="2"/>
  <c r="BP158" i="2"/>
  <c r="BN158" i="2"/>
  <c r="BO158" i="2" s="1"/>
  <c r="BM158" i="2"/>
  <c r="BL158" i="2"/>
  <c r="BK158" i="2"/>
  <c r="BJ158" i="2"/>
  <c r="BI158" i="2"/>
  <c r="BH158" i="2"/>
  <c r="BG158" i="2"/>
  <c r="BF158" i="2"/>
  <c r="BE158" i="2"/>
  <c r="BD158" i="2"/>
  <c r="BC158" i="2"/>
  <c r="BB158" i="2"/>
  <c r="BA158" i="2"/>
  <c r="AZ158" i="2"/>
  <c r="AY158" i="2"/>
  <c r="AX158" i="2"/>
  <c r="AW158" i="2"/>
  <c r="AV158" i="2"/>
  <c r="AU158" i="2"/>
  <c r="AT158" i="2"/>
  <c r="AS158" i="2"/>
  <c r="AR158" i="2"/>
  <c r="AQ158" i="2"/>
  <c r="AP158" i="2"/>
  <c r="AN158" i="2"/>
  <c r="AO158" i="2" s="1"/>
  <c r="AM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N158" i="2"/>
  <c r="O158" i="2" s="1"/>
  <c r="M158" i="2"/>
  <c r="L158" i="2"/>
  <c r="K158" i="2"/>
  <c r="J158" i="2"/>
  <c r="I158" i="2"/>
  <c r="H158" i="2"/>
  <c r="G158" i="2"/>
  <c r="F158" i="2"/>
  <c r="E158" i="2"/>
  <c r="D158" i="2"/>
  <c r="C158" i="2"/>
  <c r="FI157" i="2"/>
  <c r="FO157" i="2" s="1"/>
  <c r="FH157" i="2"/>
  <c r="FG157" i="2"/>
  <c r="FF157" i="2"/>
  <c r="FE157" i="2"/>
  <c r="FD157" i="2"/>
  <c r="FC157" i="2"/>
  <c r="FA157" i="2"/>
  <c r="FB157" i="2" s="1"/>
  <c r="EZ157" i="2"/>
  <c r="EY157" i="2"/>
  <c r="EX157" i="2"/>
  <c r="EW157" i="2"/>
  <c r="EV157" i="2"/>
  <c r="EU157" i="2"/>
  <c r="ET157" i="2"/>
  <c r="ES157" i="2"/>
  <c r="ER157" i="2"/>
  <c r="EQ157" i="2"/>
  <c r="EP157" i="2"/>
  <c r="EN157" i="2"/>
  <c r="EO157" i="2" s="1"/>
  <c r="EM157" i="2"/>
  <c r="EL157" i="2"/>
  <c r="EK157" i="2"/>
  <c r="EJ157" i="2"/>
  <c r="EI157" i="2"/>
  <c r="EH157" i="2"/>
  <c r="EG157" i="2"/>
  <c r="EF157" i="2"/>
  <c r="EE157" i="2"/>
  <c r="ED157" i="2"/>
  <c r="EC157" i="2"/>
  <c r="EB157" i="2"/>
  <c r="EA157" i="2"/>
  <c r="DZ157" i="2"/>
  <c r="DY157" i="2"/>
  <c r="DX157" i="2"/>
  <c r="DW157" i="2"/>
  <c r="DV157" i="2"/>
  <c r="DU157" i="2"/>
  <c r="DT157" i="2"/>
  <c r="DS157" i="2"/>
  <c r="DR157" i="2"/>
  <c r="DQ157" i="2"/>
  <c r="DP157" i="2"/>
  <c r="DN157" i="2"/>
  <c r="DO157" i="2" s="1"/>
  <c r="DM157" i="2"/>
  <c r="DL157" i="2"/>
  <c r="DK157" i="2"/>
  <c r="DJ157" i="2"/>
  <c r="DI157" i="2"/>
  <c r="DH157" i="2"/>
  <c r="DG157" i="2"/>
  <c r="DF157" i="2"/>
  <c r="DE157" i="2"/>
  <c r="DD157" i="2"/>
  <c r="DC157" i="2"/>
  <c r="DB157" i="2"/>
  <c r="DA157" i="2"/>
  <c r="CZ157" i="2"/>
  <c r="CY157" i="2"/>
  <c r="CX157" i="2"/>
  <c r="CW157" i="2"/>
  <c r="CV157" i="2"/>
  <c r="CU157" i="2"/>
  <c r="CT157" i="2"/>
  <c r="CS157" i="2"/>
  <c r="CR157" i="2"/>
  <c r="CQ157" i="2"/>
  <c r="CP157" i="2"/>
  <c r="CN157" i="2"/>
  <c r="CO157" i="2" s="1"/>
  <c r="CM157" i="2"/>
  <c r="CL157" i="2"/>
  <c r="CK157" i="2"/>
  <c r="CJ157" i="2"/>
  <c r="CI157" i="2"/>
  <c r="CH157" i="2"/>
  <c r="CG157" i="2"/>
  <c r="CF157" i="2"/>
  <c r="CE157" i="2"/>
  <c r="CD157" i="2"/>
  <c r="CC157" i="2"/>
  <c r="CB157" i="2"/>
  <c r="CA157" i="2"/>
  <c r="BZ157" i="2"/>
  <c r="BY157" i="2"/>
  <c r="BX157" i="2"/>
  <c r="BW157" i="2"/>
  <c r="BV157" i="2"/>
  <c r="BU157" i="2"/>
  <c r="BT157" i="2"/>
  <c r="BS157" i="2"/>
  <c r="BR157" i="2"/>
  <c r="BQ157" i="2"/>
  <c r="BP157" i="2"/>
  <c r="BN157" i="2"/>
  <c r="BO157" i="2" s="1"/>
  <c r="BM157" i="2"/>
  <c r="BL157" i="2"/>
  <c r="BK157" i="2"/>
  <c r="BJ157" i="2"/>
  <c r="BI157" i="2"/>
  <c r="BH157" i="2"/>
  <c r="BG157" i="2"/>
  <c r="BF157" i="2"/>
  <c r="BE157" i="2"/>
  <c r="BD157" i="2"/>
  <c r="BC157" i="2"/>
  <c r="BA157" i="2"/>
  <c r="BB157" i="2" s="1"/>
  <c r="AZ157" i="2"/>
  <c r="AY157" i="2"/>
  <c r="AX157" i="2"/>
  <c r="AW157" i="2"/>
  <c r="AV157" i="2"/>
  <c r="AU157" i="2"/>
  <c r="AT157" i="2"/>
  <c r="AS157" i="2"/>
  <c r="AR157" i="2"/>
  <c r="AQ157" i="2"/>
  <c r="AP157" i="2"/>
  <c r="AO157" i="2"/>
  <c r="AN157" i="2"/>
  <c r="AM157" i="2"/>
  <c r="AL157" i="2"/>
  <c r="AK157" i="2"/>
  <c r="AJ157" i="2"/>
  <c r="AI157" i="2"/>
  <c r="AH157" i="2"/>
  <c r="AG157" i="2"/>
  <c r="AF157" i="2"/>
  <c r="AE157" i="2"/>
  <c r="AD157" i="2"/>
  <c r="AC157" i="2"/>
  <c r="AA157" i="2"/>
  <c r="AB157" i="2" s="1"/>
  <c r="Z157" i="2"/>
  <c r="Y157" i="2"/>
  <c r="X157" i="2"/>
  <c r="W157" i="2"/>
  <c r="V157" i="2"/>
  <c r="U157" i="2"/>
  <c r="T157" i="2"/>
  <c r="S157" i="2"/>
  <c r="R157" i="2"/>
  <c r="Q157" i="2"/>
  <c r="P157" i="2"/>
  <c r="N157" i="2"/>
  <c r="O157" i="2" s="1"/>
  <c r="M157" i="2"/>
  <c r="L157" i="2"/>
  <c r="K157" i="2"/>
  <c r="J157" i="2"/>
  <c r="I157" i="2"/>
  <c r="H157" i="2"/>
  <c r="G157" i="2"/>
  <c r="F157" i="2"/>
  <c r="E157" i="2"/>
  <c r="D157" i="2"/>
  <c r="C157" i="2"/>
  <c r="FO156" i="2"/>
  <c r="FI156" i="2"/>
  <c r="FH156" i="2"/>
  <c r="FG156" i="2"/>
  <c r="FF156" i="2"/>
  <c r="FE156" i="2"/>
  <c r="FD156" i="2"/>
  <c r="FC156" i="2"/>
  <c r="FA156" i="2"/>
  <c r="FB156" i="2" s="1"/>
  <c r="EZ156" i="2"/>
  <c r="EY156" i="2"/>
  <c r="EX156" i="2"/>
  <c r="EW156" i="2"/>
  <c r="EV156" i="2"/>
  <c r="EU156" i="2"/>
  <c r="ET156" i="2"/>
  <c r="ES156" i="2"/>
  <c r="ER156" i="2"/>
  <c r="EQ156" i="2"/>
  <c r="EP156" i="2"/>
  <c r="EO156" i="2"/>
  <c r="EN156" i="2"/>
  <c r="EM156" i="2"/>
  <c r="EL156" i="2"/>
  <c r="EK156" i="2"/>
  <c r="EJ156" i="2"/>
  <c r="EI156" i="2"/>
  <c r="EH156" i="2"/>
  <c r="EG156" i="2"/>
  <c r="EF156" i="2"/>
  <c r="EE156" i="2"/>
  <c r="ED156" i="2"/>
  <c r="EC156" i="2"/>
  <c r="EA156" i="2"/>
  <c r="EB156" i="2" s="1"/>
  <c r="DZ156" i="2"/>
  <c r="DY156" i="2"/>
  <c r="DX156" i="2"/>
  <c r="DW156" i="2"/>
  <c r="DV156" i="2"/>
  <c r="DU156" i="2"/>
  <c r="DT156" i="2"/>
  <c r="DS156" i="2"/>
  <c r="DR156" i="2"/>
  <c r="DQ156" i="2"/>
  <c r="DP156" i="2"/>
  <c r="DN156" i="2"/>
  <c r="DO156" i="2" s="1"/>
  <c r="DM156" i="2"/>
  <c r="DL156" i="2"/>
  <c r="DK156" i="2"/>
  <c r="DJ156" i="2"/>
  <c r="DI156" i="2"/>
  <c r="DH156" i="2"/>
  <c r="DG156" i="2"/>
  <c r="DF156" i="2"/>
  <c r="DE156" i="2"/>
  <c r="DD156" i="2"/>
  <c r="DC156" i="2"/>
  <c r="DB156" i="2"/>
  <c r="DA156" i="2"/>
  <c r="CZ156" i="2"/>
  <c r="CY156" i="2"/>
  <c r="CX156" i="2"/>
  <c r="CW156" i="2"/>
  <c r="CV156" i="2"/>
  <c r="CU156" i="2"/>
  <c r="CT156" i="2"/>
  <c r="CS156" i="2"/>
  <c r="CR156" i="2"/>
  <c r="CQ156" i="2"/>
  <c r="CP156" i="2"/>
  <c r="CN156" i="2"/>
  <c r="CO156" i="2" s="1"/>
  <c r="CM156" i="2"/>
  <c r="CL156" i="2"/>
  <c r="CK156" i="2"/>
  <c r="CJ156" i="2"/>
  <c r="CI156" i="2"/>
  <c r="CH156" i="2"/>
  <c r="CG156" i="2"/>
  <c r="CF156" i="2"/>
  <c r="CE156" i="2"/>
  <c r="CD156" i="2"/>
  <c r="CC156" i="2"/>
  <c r="CA156" i="2"/>
  <c r="CB156" i="2" s="1"/>
  <c r="BZ156" i="2"/>
  <c r="BY156" i="2"/>
  <c r="BX156" i="2"/>
  <c r="BW156" i="2"/>
  <c r="BV156" i="2"/>
  <c r="BU156" i="2"/>
  <c r="BT156" i="2"/>
  <c r="BS156" i="2"/>
  <c r="BR156" i="2"/>
  <c r="BQ156" i="2"/>
  <c r="BP156" i="2"/>
  <c r="BN156" i="2"/>
  <c r="BO156" i="2" s="1"/>
  <c r="BM156" i="2"/>
  <c r="BL156" i="2"/>
  <c r="BK156" i="2"/>
  <c r="BJ156" i="2"/>
  <c r="BI156" i="2"/>
  <c r="BH156" i="2"/>
  <c r="BG156" i="2"/>
  <c r="BF156" i="2"/>
  <c r="BE156" i="2"/>
  <c r="BD156" i="2"/>
  <c r="BC156" i="2"/>
  <c r="BB156" i="2"/>
  <c r="BA156" i="2"/>
  <c r="AZ156" i="2"/>
  <c r="AY156" i="2"/>
  <c r="AX156" i="2"/>
  <c r="AW156" i="2"/>
  <c r="AV156" i="2"/>
  <c r="AU156" i="2"/>
  <c r="AT156" i="2"/>
  <c r="AS156" i="2"/>
  <c r="AR156" i="2"/>
  <c r="AQ156" i="2"/>
  <c r="AP156" i="2"/>
  <c r="AO156" i="2"/>
  <c r="AN156" i="2"/>
  <c r="AM156" i="2"/>
  <c r="AL156" i="2"/>
  <c r="AK156" i="2"/>
  <c r="AJ156" i="2"/>
  <c r="AI156" i="2"/>
  <c r="AH156" i="2"/>
  <c r="AG156" i="2"/>
  <c r="AF156" i="2"/>
  <c r="AE156" i="2"/>
  <c r="AD156" i="2"/>
  <c r="AC156" i="2"/>
  <c r="AA156" i="2"/>
  <c r="AB156" i="2" s="1"/>
  <c r="Z156" i="2"/>
  <c r="Y156" i="2"/>
  <c r="X156" i="2"/>
  <c r="W156" i="2"/>
  <c r="V156" i="2"/>
  <c r="U156" i="2"/>
  <c r="T156" i="2"/>
  <c r="S156" i="2"/>
  <c r="R156" i="2"/>
  <c r="Q156" i="2"/>
  <c r="P156" i="2"/>
  <c r="N156" i="2"/>
  <c r="O156" i="2" s="1"/>
  <c r="M156" i="2"/>
  <c r="L156" i="2"/>
  <c r="K156" i="2"/>
  <c r="J156" i="2"/>
  <c r="I156" i="2"/>
  <c r="H156" i="2"/>
  <c r="G156" i="2"/>
  <c r="F156" i="2"/>
  <c r="E156" i="2"/>
  <c r="D156" i="2"/>
  <c r="C156" i="2"/>
  <c r="FO155" i="2"/>
  <c r="FI155" i="2"/>
  <c r="FH155" i="2"/>
  <c r="FG155" i="2"/>
  <c r="FF155" i="2"/>
  <c r="FE155" i="2"/>
  <c r="FD155" i="2"/>
  <c r="FC155" i="2"/>
  <c r="FA155" i="2"/>
  <c r="FB155" i="2" s="1"/>
  <c r="EZ155" i="2"/>
  <c r="EY155" i="2"/>
  <c r="EX155" i="2"/>
  <c r="EW155" i="2"/>
  <c r="EV155" i="2"/>
  <c r="EU155" i="2"/>
  <c r="ET155" i="2"/>
  <c r="ES155" i="2"/>
  <c r="ER155" i="2"/>
  <c r="EQ155" i="2"/>
  <c r="EP155" i="2"/>
  <c r="EN155" i="2"/>
  <c r="EO155" i="2" s="1"/>
  <c r="EM155" i="2"/>
  <c r="EL155" i="2"/>
  <c r="EK155" i="2"/>
  <c r="EJ155" i="2"/>
  <c r="EI155" i="2"/>
  <c r="EH155" i="2"/>
  <c r="EG155" i="2"/>
  <c r="EF155" i="2"/>
  <c r="EE155" i="2"/>
  <c r="ED155" i="2"/>
  <c r="EC155" i="2"/>
  <c r="EA155" i="2"/>
  <c r="DZ155" i="2"/>
  <c r="DY155" i="2"/>
  <c r="DX155" i="2"/>
  <c r="DW155" i="2"/>
  <c r="DV155" i="2"/>
  <c r="DU155" i="2"/>
  <c r="DT155" i="2"/>
  <c r="DS155" i="2"/>
  <c r="DR155" i="2"/>
  <c r="DQ155" i="2"/>
  <c r="DP155" i="2"/>
  <c r="DO155" i="2"/>
  <c r="DN155" i="2"/>
  <c r="DM155" i="2"/>
  <c r="DL155" i="2"/>
  <c r="DK155" i="2"/>
  <c r="DJ155" i="2"/>
  <c r="DI155" i="2"/>
  <c r="DH155" i="2"/>
  <c r="DG155" i="2"/>
  <c r="DF155" i="2"/>
  <c r="DE155" i="2"/>
  <c r="DD155" i="2"/>
  <c r="DC155" i="2"/>
  <c r="DB155" i="2"/>
  <c r="DA155" i="2"/>
  <c r="CZ155" i="2"/>
  <c r="CY155" i="2"/>
  <c r="CX155" i="2"/>
  <c r="CW155" i="2"/>
  <c r="CV155" i="2"/>
  <c r="CU155" i="2"/>
  <c r="CT155" i="2"/>
  <c r="CT187" i="2" s="1"/>
  <c r="CS155" i="2"/>
  <c r="CR155" i="2"/>
  <c r="CQ155" i="2"/>
  <c r="CP155" i="2"/>
  <c r="CN155" i="2"/>
  <c r="CM155" i="2"/>
  <c r="CL155" i="2"/>
  <c r="CK155" i="2"/>
  <c r="CJ155" i="2"/>
  <c r="CI155" i="2"/>
  <c r="CH155" i="2"/>
  <c r="CG155" i="2"/>
  <c r="CF155" i="2"/>
  <c r="CE155" i="2"/>
  <c r="CD155" i="2"/>
  <c r="CC155" i="2"/>
  <c r="CB155" i="2"/>
  <c r="CA155" i="2"/>
  <c r="BZ155" i="2"/>
  <c r="BY155" i="2"/>
  <c r="BX155" i="2"/>
  <c r="BW155" i="2"/>
  <c r="BV155" i="2"/>
  <c r="BU155" i="2"/>
  <c r="BT155" i="2"/>
  <c r="BS155" i="2"/>
  <c r="BR155" i="2"/>
  <c r="BQ155" i="2"/>
  <c r="BP155" i="2"/>
  <c r="BN155" i="2"/>
  <c r="BM155" i="2"/>
  <c r="BL155" i="2"/>
  <c r="BK155" i="2"/>
  <c r="BJ155" i="2"/>
  <c r="BI155" i="2"/>
  <c r="BH155" i="2"/>
  <c r="BG155" i="2"/>
  <c r="BF155" i="2"/>
  <c r="BE155" i="2"/>
  <c r="BD155" i="2"/>
  <c r="BC155" i="2"/>
  <c r="BA155" i="2"/>
  <c r="AZ155" i="2"/>
  <c r="AY155" i="2"/>
  <c r="AX155" i="2"/>
  <c r="AW155" i="2"/>
  <c r="AV155" i="2"/>
  <c r="AU155" i="2"/>
  <c r="AT155" i="2"/>
  <c r="AS155" i="2"/>
  <c r="AR155" i="2"/>
  <c r="AQ155" i="2"/>
  <c r="AP155" i="2"/>
  <c r="AN155" i="2"/>
  <c r="AM155" i="2"/>
  <c r="AL155" i="2"/>
  <c r="AK155" i="2"/>
  <c r="AJ155" i="2"/>
  <c r="AI155" i="2"/>
  <c r="AI187" i="2" s="1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W187" i="2" s="1"/>
  <c r="V155" i="2"/>
  <c r="U155" i="2"/>
  <c r="U187" i="2" s="1"/>
  <c r="T155" i="2"/>
  <c r="S155" i="2"/>
  <c r="R155" i="2"/>
  <c r="Q155" i="2"/>
  <c r="P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FN151" i="2"/>
  <c r="FM151" i="2"/>
  <c r="FL151" i="2"/>
  <c r="FK151" i="2"/>
  <c r="FJ151" i="2"/>
  <c r="FI150" i="2"/>
  <c r="FO150" i="2" s="1"/>
  <c r="FH150" i="2"/>
  <c r="FG150" i="2"/>
  <c r="FF150" i="2"/>
  <c r="FE150" i="2"/>
  <c r="FD150" i="2"/>
  <c r="FC150" i="2"/>
  <c r="FA150" i="2"/>
  <c r="FB150" i="2" s="1"/>
  <c r="EZ150" i="2"/>
  <c r="EY150" i="2"/>
  <c r="EX150" i="2"/>
  <c r="EW150" i="2"/>
  <c r="EV150" i="2"/>
  <c r="EU150" i="2"/>
  <c r="ET150" i="2"/>
  <c r="ES150" i="2"/>
  <c r="ER150" i="2"/>
  <c r="EQ150" i="2"/>
  <c r="EP150" i="2"/>
  <c r="EO150" i="2"/>
  <c r="EN150" i="2"/>
  <c r="EM150" i="2"/>
  <c r="EL150" i="2"/>
  <c r="EK150" i="2"/>
  <c r="EJ150" i="2"/>
  <c r="EI150" i="2"/>
  <c r="EH150" i="2"/>
  <c r="EG150" i="2"/>
  <c r="EF150" i="2"/>
  <c r="EE150" i="2"/>
  <c r="ED150" i="2"/>
  <c r="EC150" i="2"/>
  <c r="EB150" i="2"/>
  <c r="EA150" i="2"/>
  <c r="DZ150" i="2"/>
  <c r="DY150" i="2"/>
  <c r="DX150" i="2"/>
  <c r="DW150" i="2"/>
  <c r="DV150" i="2"/>
  <c r="DU150" i="2"/>
  <c r="DT150" i="2"/>
  <c r="DS150" i="2"/>
  <c r="DR150" i="2"/>
  <c r="DQ150" i="2"/>
  <c r="DP150" i="2"/>
  <c r="DN150" i="2"/>
  <c r="DO150" i="2" s="1"/>
  <c r="DM150" i="2"/>
  <c r="DL150" i="2"/>
  <c r="DK150" i="2"/>
  <c r="DJ150" i="2"/>
  <c r="DI150" i="2"/>
  <c r="DH150" i="2"/>
  <c r="DG150" i="2"/>
  <c r="DF150" i="2"/>
  <c r="DE150" i="2"/>
  <c r="DD150" i="2"/>
  <c r="DC150" i="2"/>
  <c r="DA150" i="2"/>
  <c r="DB150" i="2" s="1"/>
  <c r="CZ150" i="2"/>
  <c r="CY150" i="2"/>
  <c r="CX150" i="2"/>
  <c r="CW150" i="2"/>
  <c r="CV150" i="2"/>
  <c r="CU150" i="2"/>
  <c r="CT150" i="2"/>
  <c r="CS150" i="2"/>
  <c r="CR150" i="2"/>
  <c r="CQ150" i="2"/>
  <c r="CP150" i="2"/>
  <c r="CO150" i="2"/>
  <c r="CN150" i="2"/>
  <c r="CM150" i="2"/>
  <c r="CL150" i="2"/>
  <c r="CK150" i="2"/>
  <c r="CJ150" i="2"/>
  <c r="CI150" i="2"/>
  <c r="CH150" i="2"/>
  <c r="CG150" i="2"/>
  <c r="CF150" i="2"/>
  <c r="CE150" i="2"/>
  <c r="CD150" i="2"/>
  <c r="CC150" i="2"/>
  <c r="CA150" i="2"/>
  <c r="CB150" i="2" s="1"/>
  <c r="BZ150" i="2"/>
  <c r="BY150" i="2"/>
  <c r="BX150" i="2"/>
  <c r="BW150" i="2"/>
  <c r="BV150" i="2"/>
  <c r="BU150" i="2"/>
  <c r="BT150" i="2"/>
  <c r="BS150" i="2"/>
  <c r="BR150" i="2"/>
  <c r="BQ150" i="2"/>
  <c r="BP150" i="2"/>
  <c r="BN150" i="2"/>
  <c r="BO150" i="2" s="1"/>
  <c r="BM150" i="2"/>
  <c r="BL150" i="2"/>
  <c r="BK150" i="2"/>
  <c r="BJ150" i="2"/>
  <c r="BI150" i="2"/>
  <c r="BH150" i="2"/>
  <c r="BG150" i="2"/>
  <c r="BF150" i="2"/>
  <c r="BE150" i="2"/>
  <c r="BD150" i="2"/>
  <c r="BC150" i="2"/>
  <c r="BA150" i="2"/>
  <c r="BB150" i="2" s="1"/>
  <c r="AZ150" i="2"/>
  <c r="AY150" i="2"/>
  <c r="AX150" i="2"/>
  <c r="AW150" i="2"/>
  <c r="AV150" i="2"/>
  <c r="AU150" i="2"/>
  <c r="AT150" i="2"/>
  <c r="AS150" i="2"/>
  <c r="AR150" i="2"/>
  <c r="AQ150" i="2"/>
  <c r="AP150" i="2"/>
  <c r="AN150" i="2"/>
  <c r="AO150" i="2" s="1"/>
  <c r="AM150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N150" i="2"/>
  <c r="O150" i="2" s="1"/>
  <c r="M150" i="2"/>
  <c r="L150" i="2"/>
  <c r="K150" i="2"/>
  <c r="J150" i="2"/>
  <c r="I150" i="2"/>
  <c r="H150" i="2"/>
  <c r="G150" i="2"/>
  <c r="F150" i="2"/>
  <c r="E150" i="2"/>
  <c r="D150" i="2"/>
  <c r="C150" i="2"/>
  <c r="FI149" i="2"/>
  <c r="FO149" i="2" s="1"/>
  <c r="FH149" i="2"/>
  <c r="FG149" i="2"/>
  <c r="FF149" i="2"/>
  <c r="FE149" i="2"/>
  <c r="FD149" i="2"/>
  <c r="FC149" i="2"/>
  <c r="FA149" i="2"/>
  <c r="FB149" i="2" s="1"/>
  <c r="EZ149" i="2"/>
  <c r="EY149" i="2"/>
  <c r="EX149" i="2"/>
  <c r="EW149" i="2"/>
  <c r="EV149" i="2"/>
  <c r="EU149" i="2"/>
  <c r="ET149" i="2"/>
  <c r="ES149" i="2"/>
  <c r="ER149" i="2"/>
  <c r="EQ149" i="2"/>
  <c r="EP149" i="2"/>
  <c r="EN149" i="2"/>
  <c r="EO149" i="2" s="1"/>
  <c r="EM149" i="2"/>
  <c r="EL149" i="2"/>
  <c r="EK149" i="2"/>
  <c r="EJ149" i="2"/>
  <c r="EI149" i="2"/>
  <c r="EH149" i="2"/>
  <c r="EG149" i="2"/>
  <c r="EF149" i="2"/>
  <c r="EE149" i="2"/>
  <c r="ED149" i="2"/>
  <c r="EC149" i="2"/>
  <c r="EB149" i="2"/>
  <c r="EA149" i="2"/>
  <c r="DZ149" i="2"/>
  <c r="DY149" i="2"/>
  <c r="DX149" i="2"/>
  <c r="DW149" i="2"/>
  <c r="DV149" i="2"/>
  <c r="DU149" i="2"/>
  <c r="DT149" i="2"/>
  <c r="DS149" i="2"/>
  <c r="DR149" i="2"/>
  <c r="DQ149" i="2"/>
  <c r="DP149" i="2"/>
  <c r="DN149" i="2"/>
  <c r="DO149" i="2" s="1"/>
  <c r="DM149" i="2"/>
  <c r="DL149" i="2"/>
  <c r="DK149" i="2"/>
  <c r="DJ149" i="2"/>
  <c r="DI149" i="2"/>
  <c r="DH149" i="2"/>
  <c r="DG149" i="2"/>
  <c r="DF149" i="2"/>
  <c r="DE149" i="2"/>
  <c r="DD149" i="2"/>
  <c r="DC149" i="2"/>
  <c r="DA149" i="2"/>
  <c r="DB149" i="2" s="1"/>
  <c r="CZ149" i="2"/>
  <c r="CY149" i="2"/>
  <c r="CX149" i="2"/>
  <c r="CW149" i="2"/>
  <c r="CV149" i="2"/>
  <c r="CU149" i="2"/>
  <c r="CT149" i="2"/>
  <c r="CS149" i="2"/>
  <c r="CR149" i="2"/>
  <c r="CQ149" i="2"/>
  <c r="CP149" i="2"/>
  <c r="CN149" i="2"/>
  <c r="CO149" i="2" s="1"/>
  <c r="CM149" i="2"/>
  <c r="CL149" i="2"/>
  <c r="CK149" i="2"/>
  <c r="CJ149" i="2"/>
  <c r="CI149" i="2"/>
  <c r="CH149" i="2"/>
  <c r="CG149" i="2"/>
  <c r="CF149" i="2"/>
  <c r="CE149" i="2"/>
  <c r="CD149" i="2"/>
  <c r="CC149" i="2"/>
  <c r="CB149" i="2"/>
  <c r="CA149" i="2"/>
  <c r="BZ149" i="2"/>
  <c r="BY149" i="2"/>
  <c r="BX149" i="2"/>
  <c r="BW149" i="2"/>
  <c r="BV149" i="2"/>
  <c r="BU149" i="2"/>
  <c r="BT149" i="2"/>
  <c r="BS149" i="2"/>
  <c r="BR149" i="2"/>
  <c r="BQ149" i="2"/>
  <c r="BP149" i="2"/>
  <c r="BN149" i="2"/>
  <c r="BO149" i="2" s="1"/>
  <c r="BM149" i="2"/>
  <c r="BL149" i="2"/>
  <c r="BK149" i="2"/>
  <c r="BJ149" i="2"/>
  <c r="BI149" i="2"/>
  <c r="BH149" i="2"/>
  <c r="BG149" i="2"/>
  <c r="BF149" i="2"/>
  <c r="BE149" i="2"/>
  <c r="BD149" i="2"/>
  <c r="BC149" i="2"/>
  <c r="BB149" i="2"/>
  <c r="BA149" i="2"/>
  <c r="AZ149" i="2"/>
  <c r="AY149" i="2"/>
  <c r="AX149" i="2"/>
  <c r="AW149" i="2"/>
  <c r="AV149" i="2"/>
  <c r="AU149" i="2"/>
  <c r="AT149" i="2"/>
  <c r="AS149" i="2"/>
  <c r="AR149" i="2"/>
  <c r="AQ149" i="2"/>
  <c r="AP149" i="2"/>
  <c r="AO149" i="2"/>
  <c r="AN149" i="2"/>
  <c r="AM149" i="2"/>
  <c r="AL149" i="2"/>
  <c r="AK149" i="2"/>
  <c r="AJ149" i="2"/>
  <c r="AI149" i="2"/>
  <c r="AH149" i="2"/>
  <c r="AG149" i="2"/>
  <c r="AF149" i="2"/>
  <c r="AE149" i="2"/>
  <c r="AD149" i="2"/>
  <c r="AC149" i="2"/>
  <c r="AA149" i="2"/>
  <c r="AB149" i="2" s="1"/>
  <c r="Z149" i="2"/>
  <c r="Y149" i="2"/>
  <c r="X149" i="2"/>
  <c r="W149" i="2"/>
  <c r="V149" i="2"/>
  <c r="U149" i="2"/>
  <c r="T149" i="2"/>
  <c r="S149" i="2"/>
  <c r="R149" i="2"/>
  <c r="Q149" i="2"/>
  <c r="P149" i="2"/>
  <c r="N149" i="2"/>
  <c r="O149" i="2" s="1"/>
  <c r="M149" i="2"/>
  <c r="L149" i="2"/>
  <c r="K149" i="2"/>
  <c r="J149" i="2"/>
  <c r="I149" i="2"/>
  <c r="H149" i="2"/>
  <c r="G149" i="2"/>
  <c r="F149" i="2"/>
  <c r="E149" i="2"/>
  <c r="D149" i="2"/>
  <c r="C149" i="2"/>
  <c r="FI148" i="2"/>
  <c r="FO148" i="2" s="1"/>
  <c r="FH148" i="2"/>
  <c r="FG148" i="2"/>
  <c r="FF148" i="2"/>
  <c r="FE148" i="2"/>
  <c r="FD148" i="2"/>
  <c r="FC148" i="2"/>
  <c r="FA148" i="2"/>
  <c r="FB148" i="2" s="1"/>
  <c r="EZ148" i="2"/>
  <c r="EY148" i="2"/>
  <c r="EX148" i="2"/>
  <c r="EW148" i="2"/>
  <c r="EV148" i="2"/>
  <c r="EU148" i="2"/>
  <c r="ET148" i="2"/>
  <c r="ES148" i="2"/>
  <c r="ER148" i="2"/>
  <c r="EQ148" i="2"/>
  <c r="EP148" i="2"/>
  <c r="EN148" i="2"/>
  <c r="EO148" i="2" s="1"/>
  <c r="EM148" i="2"/>
  <c r="EL148" i="2"/>
  <c r="EK148" i="2"/>
  <c r="EJ148" i="2"/>
  <c r="EI148" i="2"/>
  <c r="EH148" i="2"/>
  <c r="EG148" i="2"/>
  <c r="EF148" i="2"/>
  <c r="EE148" i="2"/>
  <c r="ED148" i="2"/>
  <c r="EC148" i="2"/>
  <c r="EA148" i="2"/>
  <c r="EB148" i="2" s="1"/>
  <c r="DZ148" i="2"/>
  <c r="DY148" i="2"/>
  <c r="DX148" i="2"/>
  <c r="DW148" i="2"/>
  <c r="DV148" i="2"/>
  <c r="DU148" i="2"/>
  <c r="DT148" i="2"/>
  <c r="DS148" i="2"/>
  <c r="DR148" i="2"/>
  <c r="DQ148" i="2"/>
  <c r="DP148" i="2"/>
  <c r="DO148" i="2"/>
  <c r="DN148" i="2"/>
  <c r="DM148" i="2"/>
  <c r="DL148" i="2"/>
  <c r="DK148" i="2"/>
  <c r="DJ148" i="2"/>
  <c r="DI148" i="2"/>
  <c r="DH148" i="2"/>
  <c r="DG148" i="2"/>
  <c r="DF148" i="2"/>
  <c r="DE148" i="2"/>
  <c r="DD148" i="2"/>
  <c r="DC148" i="2"/>
  <c r="DA148" i="2"/>
  <c r="DB148" i="2" s="1"/>
  <c r="CZ148" i="2"/>
  <c r="CY148" i="2"/>
  <c r="CX148" i="2"/>
  <c r="CW148" i="2"/>
  <c r="CV148" i="2"/>
  <c r="CU148" i="2"/>
  <c r="CT148" i="2"/>
  <c r="CS148" i="2"/>
  <c r="CR148" i="2"/>
  <c r="CQ148" i="2"/>
  <c r="CP148" i="2"/>
  <c r="CO148" i="2"/>
  <c r="CN148" i="2"/>
  <c r="CM148" i="2"/>
  <c r="CL148" i="2"/>
  <c r="CK148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N148" i="2"/>
  <c r="BO148" i="2" s="1"/>
  <c r="BM148" i="2"/>
  <c r="BL148" i="2"/>
  <c r="BK148" i="2"/>
  <c r="BJ148" i="2"/>
  <c r="BI148" i="2"/>
  <c r="BH148" i="2"/>
  <c r="BG148" i="2"/>
  <c r="BF148" i="2"/>
  <c r="BE148" i="2"/>
  <c r="BD148" i="2"/>
  <c r="BC148" i="2"/>
  <c r="BA148" i="2"/>
  <c r="BB148" i="2" s="1"/>
  <c r="AZ148" i="2"/>
  <c r="AY148" i="2"/>
  <c r="AX148" i="2"/>
  <c r="AW148" i="2"/>
  <c r="AV148" i="2"/>
  <c r="AU148" i="2"/>
  <c r="AT148" i="2"/>
  <c r="AS148" i="2"/>
  <c r="AR148" i="2"/>
  <c r="AQ148" i="2"/>
  <c r="AP148" i="2"/>
  <c r="AN148" i="2"/>
  <c r="AO148" i="2" s="1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N148" i="2"/>
  <c r="O148" i="2" s="1"/>
  <c r="M148" i="2"/>
  <c r="L148" i="2"/>
  <c r="K148" i="2"/>
  <c r="J148" i="2"/>
  <c r="I148" i="2"/>
  <c r="H148" i="2"/>
  <c r="G148" i="2"/>
  <c r="F148" i="2"/>
  <c r="E148" i="2"/>
  <c r="D148" i="2"/>
  <c r="C148" i="2"/>
  <c r="FI147" i="2"/>
  <c r="FO147" i="2" s="1"/>
  <c r="FH147" i="2"/>
  <c r="FG147" i="2"/>
  <c r="FF147" i="2"/>
  <c r="FE147" i="2"/>
  <c r="FD147" i="2"/>
  <c r="FC147" i="2"/>
  <c r="FA147" i="2"/>
  <c r="FB147" i="2" s="1"/>
  <c r="EZ147" i="2"/>
  <c r="EY147" i="2"/>
  <c r="EX147" i="2"/>
  <c r="EW147" i="2"/>
  <c r="EV147" i="2"/>
  <c r="EU147" i="2"/>
  <c r="ET147" i="2"/>
  <c r="ES147" i="2"/>
  <c r="ER147" i="2"/>
  <c r="EQ147" i="2"/>
  <c r="EP147" i="2"/>
  <c r="EO147" i="2"/>
  <c r="EN147" i="2"/>
  <c r="EM147" i="2"/>
  <c r="EL147" i="2"/>
  <c r="EK147" i="2"/>
  <c r="EJ147" i="2"/>
  <c r="EI147" i="2"/>
  <c r="EH147" i="2"/>
  <c r="EG147" i="2"/>
  <c r="EF147" i="2"/>
  <c r="EE147" i="2"/>
  <c r="ED147" i="2"/>
  <c r="EC147" i="2"/>
  <c r="EA147" i="2"/>
  <c r="EB147" i="2" s="1"/>
  <c r="DZ147" i="2"/>
  <c r="DY147" i="2"/>
  <c r="DX147" i="2"/>
  <c r="DW147" i="2"/>
  <c r="DV147" i="2"/>
  <c r="DU147" i="2"/>
  <c r="DT147" i="2"/>
  <c r="DS147" i="2"/>
  <c r="DR147" i="2"/>
  <c r="DQ147" i="2"/>
  <c r="DP147" i="2"/>
  <c r="DN147" i="2"/>
  <c r="DO147" i="2" s="1"/>
  <c r="DM147" i="2"/>
  <c r="DL147" i="2"/>
  <c r="DK147" i="2"/>
  <c r="DJ147" i="2"/>
  <c r="DI147" i="2"/>
  <c r="DH147" i="2"/>
  <c r="DG147" i="2"/>
  <c r="DF147" i="2"/>
  <c r="DE147" i="2"/>
  <c r="DD147" i="2"/>
  <c r="DC147" i="2"/>
  <c r="DB147" i="2"/>
  <c r="DA147" i="2"/>
  <c r="CZ147" i="2"/>
  <c r="CY147" i="2"/>
  <c r="CX147" i="2"/>
  <c r="CW147" i="2"/>
  <c r="CV147" i="2"/>
  <c r="CU147" i="2"/>
  <c r="CT147" i="2"/>
  <c r="CS147" i="2"/>
  <c r="CR147" i="2"/>
  <c r="CQ147" i="2"/>
  <c r="CP147" i="2"/>
  <c r="CO147" i="2"/>
  <c r="CN147" i="2"/>
  <c r="CM147" i="2"/>
  <c r="CL147" i="2"/>
  <c r="CK147" i="2"/>
  <c r="CJ147" i="2"/>
  <c r="CI147" i="2"/>
  <c r="CH147" i="2"/>
  <c r="CG147" i="2"/>
  <c r="CF147" i="2"/>
  <c r="CE147" i="2"/>
  <c r="CD147" i="2"/>
  <c r="CC147" i="2"/>
  <c r="CA147" i="2"/>
  <c r="CB147" i="2" s="1"/>
  <c r="BZ147" i="2"/>
  <c r="BY147" i="2"/>
  <c r="BX147" i="2"/>
  <c r="BW147" i="2"/>
  <c r="BV147" i="2"/>
  <c r="BU147" i="2"/>
  <c r="BT147" i="2"/>
  <c r="BS147" i="2"/>
  <c r="BR147" i="2"/>
  <c r="BQ147" i="2"/>
  <c r="BP147" i="2"/>
  <c r="BN147" i="2"/>
  <c r="BO147" i="2" s="1"/>
  <c r="BM147" i="2"/>
  <c r="BL147" i="2"/>
  <c r="BK147" i="2"/>
  <c r="BJ147" i="2"/>
  <c r="BI147" i="2"/>
  <c r="BH147" i="2"/>
  <c r="BG147" i="2"/>
  <c r="BF147" i="2"/>
  <c r="BE147" i="2"/>
  <c r="BD147" i="2"/>
  <c r="BC147" i="2"/>
  <c r="BA147" i="2"/>
  <c r="BB147" i="2" s="1"/>
  <c r="AZ147" i="2"/>
  <c r="AY147" i="2"/>
  <c r="AX147" i="2"/>
  <c r="AW147" i="2"/>
  <c r="AV147" i="2"/>
  <c r="AU147" i="2"/>
  <c r="AT147" i="2"/>
  <c r="AS147" i="2"/>
  <c r="AR147" i="2"/>
  <c r="AQ147" i="2"/>
  <c r="AP147" i="2"/>
  <c r="AN147" i="2"/>
  <c r="AO147" i="2" s="1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N147" i="2"/>
  <c r="O147" i="2" s="1"/>
  <c r="M147" i="2"/>
  <c r="L147" i="2"/>
  <c r="K147" i="2"/>
  <c r="J147" i="2"/>
  <c r="I147" i="2"/>
  <c r="H147" i="2"/>
  <c r="G147" i="2"/>
  <c r="F147" i="2"/>
  <c r="E147" i="2"/>
  <c r="D147" i="2"/>
  <c r="C147" i="2"/>
  <c r="FI146" i="2"/>
  <c r="FO146" i="2" s="1"/>
  <c r="FH146" i="2"/>
  <c r="FG146" i="2"/>
  <c r="FF146" i="2"/>
  <c r="FE146" i="2"/>
  <c r="FD146" i="2"/>
  <c r="FC146" i="2"/>
  <c r="FA146" i="2"/>
  <c r="FB146" i="2" s="1"/>
  <c r="EZ146" i="2"/>
  <c r="EY146" i="2"/>
  <c r="EX146" i="2"/>
  <c r="EW146" i="2"/>
  <c r="EV146" i="2"/>
  <c r="EU146" i="2"/>
  <c r="ET146" i="2"/>
  <c r="ES146" i="2"/>
  <c r="ER146" i="2"/>
  <c r="EQ146" i="2"/>
  <c r="EP146" i="2"/>
  <c r="EO146" i="2"/>
  <c r="EN146" i="2"/>
  <c r="EM146" i="2"/>
  <c r="EL146" i="2"/>
  <c r="EK146" i="2"/>
  <c r="EJ146" i="2"/>
  <c r="EI146" i="2"/>
  <c r="EH146" i="2"/>
  <c r="EG146" i="2"/>
  <c r="EF146" i="2"/>
  <c r="EE146" i="2"/>
  <c r="ED146" i="2"/>
  <c r="EC146" i="2"/>
  <c r="EB146" i="2"/>
  <c r="EA146" i="2"/>
  <c r="DZ146" i="2"/>
  <c r="DY146" i="2"/>
  <c r="DX146" i="2"/>
  <c r="DW146" i="2"/>
  <c r="DV146" i="2"/>
  <c r="DU146" i="2"/>
  <c r="DT146" i="2"/>
  <c r="DS146" i="2"/>
  <c r="DR146" i="2"/>
  <c r="DQ146" i="2"/>
  <c r="DP146" i="2"/>
  <c r="DN146" i="2"/>
  <c r="DO146" i="2" s="1"/>
  <c r="DM146" i="2"/>
  <c r="DL146" i="2"/>
  <c r="DK146" i="2"/>
  <c r="DJ146" i="2"/>
  <c r="DI146" i="2"/>
  <c r="DH146" i="2"/>
  <c r="DG146" i="2"/>
  <c r="DF146" i="2"/>
  <c r="DE146" i="2"/>
  <c r="DD146" i="2"/>
  <c r="DC146" i="2"/>
  <c r="DA146" i="2"/>
  <c r="DB146" i="2" s="1"/>
  <c r="CZ146" i="2"/>
  <c r="CY146" i="2"/>
  <c r="CX146" i="2"/>
  <c r="CW146" i="2"/>
  <c r="CV146" i="2"/>
  <c r="CU146" i="2"/>
  <c r="CT146" i="2"/>
  <c r="CS146" i="2"/>
  <c r="CR146" i="2"/>
  <c r="CQ146" i="2"/>
  <c r="CP146" i="2"/>
  <c r="CN146" i="2"/>
  <c r="CO146" i="2" s="1"/>
  <c r="CM146" i="2"/>
  <c r="CL146" i="2"/>
  <c r="CK146" i="2"/>
  <c r="CJ146" i="2"/>
  <c r="CI146" i="2"/>
  <c r="CH146" i="2"/>
  <c r="CG146" i="2"/>
  <c r="CF146" i="2"/>
  <c r="CE146" i="2"/>
  <c r="CD146" i="2"/>
  <c r="CC146" i="2"/>
  <c r="CA146" i="2"/>
  <c r="CB146" i="2" s="1"/>
  <c r="BZ146" i="2"/>
  <c r="BY146" i="2"/>
  <c r="BX146" i="2"/>
  <c r="BW146" i="2"/>
  <c r="BV146" i="2"/>
  <c r="BU146" i="2"/>
  <c r="BT146" i="2"/>
  <c r="BS146" i="2"/>
  <c r="BR146" i="2"/>
  <c r="BQ146" i="2"/>
  <c r="BP146" i="2"/>
  <c r="BN146" i="2"/>
  <c r="BO146" i="2" s="1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N146" i="2"/>
  <c r="AO146" i="2" s="1"/>
  <c r="AM146" i="2"/>
  <c r="AL146" i="2"/>
  <c r="AK146" i="2"/>
  <c r="AJ146" i="2"/>
  <c r="AI146" i="2"/>
  <c r="AH146" i="2"/>
  <c r="AG146" i="2"/>
  <c r="AF146" i="2"/>
  <c r="AE146" i="2"/>
  <c r="AD146" i="2"/>
  <c r="AC146" i="2"/>
  <c r="AA146" i="2"/>
  <c r="AB146" i="2" s="1"/>
  <c r="Z146" i="2"/>
  <c r="Y146" i="2"/>
  <c r="X146" i="2"/>
  <c r="W146" i="2"/>
  <c r="V146" i="2"/>
  <c r="U146" i="2"/>
  <c r="T146" i="2"/>
  <c r="S146" i="2"/>
  <c r="R146" i="2"/>
  <c r="Q146" i="2"/>
  <c r="P146" i="2"/>
  <c r="N146" i="2"/>
  <c r="O146" i="2" s="1"/>
  <c r="M146" i="2"/>
  <c r="L146" i="2"/>
  <c r="K146" i="2"/>
  <c r="J146" i="2"/>
  <c r="I146" i="2"/>
  <c r="H146" i="2"/>
  <c r="G146" i="2"/>
  <c r="F146" i="2"/>
  <c r="E146" i="2"/>
  <c r="D146" i="2"/>
  <c r="C146" i="2"/>
  <c r="FI145" i="2"/>
  <c r="FO145" i="2" s="1"/>
  <c r="FH145" i="2"/>
  <c r="FG145" i="2"/>
  <c r="FF145" i="2"/>
  <c r="FE145" i="2"/>
  <c r="FD145" i="2"/>
  <c r="FC145" i="2"/>
  <c r="FA145" i="2"/>
  <c r="FB145" i="2" s="1"/>
  <c r="EZ145" i="2"/>
  <c r="EY145" i="2"/>
  <c r="EX145" i="2"/>
  <c r="EW145" i="2"/>
  <c r="EV145" i="2"/>
  <c r="EU145" i="2"/>
  <c r="ET145" i="2"/>
  <c r="ES145" i="2"/>
  <c r="ER145" i="2"/>
  <c r="EQ145" i="2"/>
  <c r="EP145" i="2"/>
  <c r="EN145" i="2"/>
  <c r="EO145" i="2" s="1"/>
  <c r="EM145" i="2"/>
  <c r="EL145" i="2"/>
  <c r="EK145" i="2"/>
  <c r="EJ145" i="2"/>
  <c r="EI145" i="2"/>
  <c r="EH145" i="2"/>
  <c r="EG145" i="2"/>
  <c r="EF145" i="2"/>
  <c r="EE145" i="2"/>
  <c r="ED145" i="2"/>
  <c r="EC145" i="2"/>
  <c r="EA145" i="2"/>
  <c r="EB145" i="2" s="1"/>
  <c r="DZ145" i="2"/>
  <c r="DY145" i="2"/>
  <c r="DX145" i="2"/>
  <c r="DW145" i="2"/>
  <c r="DV145" i="2"/>
  <c r="DU145" i="2"/>
  <c r="DT145" i="2"/>
  <c r="DS145" i="2"/>
  <c r="DR145" i="2"/>
  <c r="DQ145" i="2"/>
  <c r="DP145" i="2"/>
  <c r="DO145" i="2"/>
  <c r="DN145" i="2"/>
  <c r="DM145" i="2"/>
  <c r="DL145" i="2"/>
  <c r="DK145" i="2"/>
  <c r="DJ145" i="2"/>
  <c r="DI145" i="2"/>
  <c r="DH145" i="2"/>
  <c r="DG145" i="2"/>
  <c r="DF145" i="2"/>
  <c r="DE145" i="2"/>
  <c r="DD145" i="2"/>
  <c r="DC145" i="2"/>
  <c r="DA145" i="2"/>
  <c r="DB145" i="2" s="1"/>
  <c r="CZ145" i="2"/>
  <c r="CY145" i="2"/>
  <c r="CX145" i="2"/>
  <c r="CW145" i="2"/>
  <c r="CV145" i="2"/>
  <c r="CU145" i="2"/>
  <c r="CT145" i="2"/>
  <c r="CS145" i="2"/>
  <c r="CR145" i="2"/>
  <c r="CQ145" i="2"/>
  <c r="CP145" i="2"/>
  <c r="CN145" i="2"/>
  <c r="CO145" i="2" s="1"/>
  <c r="CM145" i="2"/>
  <c r="CL145" i="2"/>
  <c r="CK145" i="2"/>
  <c r="CJ145" i="2"/>
  <c r="CI145" i="2"/>
  <c r="CH145" i="2"/>
  <c r="CG145" i="2"/>
  <c r="CF145" i="2"/>
  <c r="CE145" i="2"/>
  <c r="CD145" i="2"/>
  <c r="CC145" i="2"/>
  <c r="CA145" i="2"/>
  <c r="CB145" i="2" s="1"/>
  <c r="BZ145" i="2"/>
  <c r="BY145" i="2"/>
  <c r="BX145" i="2"/>
  <c r="BW145" i="2"/>
  <c r="BV145" i="2"/>
  <c r="BU145" i="2"/>
  <c r="BT145" i="2"/>
  <c r="BS145" i="2"/>
  <c r="BR145" i="2"/>
  <c r="BQ145" i="2"/>
  <c r="BP145" i="2"/>
  <c r="BN145" i="2"/>
  <c r="BO145" i="2" s="1"/>
  <c r="BM145" i="2"/>
  <c r="BL145" i="2"/>
  <c r="BK145" i="2"/>
  <c r="BJ145" i="2"/>
  <c r="BI145" i="2"/>
  <c r="BH145" i="2"/>
  <c r="BG145" i="2"/>
  <c r="BF145" i="2"/>
  <c r="BE145" i="2"/>
  <c r="BD145" i="2"/>
  <c r="BC145" i="2"/>
  <c r="BA145" i="2"/>
  <c r="BB145" i="2" s="1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A145" i="2"/>
  <c r="AB145" i="2" s="1"/>
  <c r="Z145" i="2"/>
  <c r="Y145" i="2"/>
  <c r="X145" i="2"/>
  <c r="W145" i="2"/>
  <c r="V145" i="2"/>
  <c r="U145" i="2"/>
  <c r="T145" i="2"/>
  <c r="S145" i="2"/>
  <c r="R145" i="2"/>
  <c r="Q145" i="2"/>
  <c r="P145" i="2"/>
  <c r="N145" i="2"/>
  <c r="O145" i="2" s="1"/>
  <c r="M145" i="2"/>
  <c r="L145" i="2"/>
  <c r="K145" i="2"/>
  <c r="J145" i="2"/>
  <c r="I145" i="2"/>
  <c r="H145" i="2"/>
  <c r="G145" i="2"/>
  <c r="F145" i="2"/>
  <c r="E145" i="2"/>
  <c r="D145" i="2"/>
  <c r="C145" i="2"/>
  <c r="FO144" i="2"/>
  <c r="FI144" i="2"/>
  <c r="FH144" i="2"/>
  <c r="FG144" i="2"/>
  <c r="FF144" i="2"/>
  <c r="FE144" i="2"/>
  <c r="FD144" i="2"/>
  <c r="FC144" i="2"/>
  <c r="FA144" i="2"/>
  <c r="FB144" i="2" s="1"/>
  <c r="EZ144" i="2"/>
  <c r="EY144" i="2"/>
  <c r="EX144" i="2"/>
  <c r="EW144" i="2"/>
  <c r="EV144" i="2"/>
  <c r="EU144" i="2"/>
  <c r="ET144" i="2"/>
  <c r="ES144" i="2"/>
  <c r="ER144" i="2"/>
  <c r="EQ144" i="2"/>
  <c r="EP144" i="2"/>
  <c r="EN144" i="2"/>
  <c r="EO144" i="2" s="1"/>
  <c r="EM144" i="2"/>
  <c r="EL144" i="2"/>
  <c r="EK144" i="2"/>
  <c r="EJ144" i="2"/>
  <c r="EI144" i="2"/>
  <c r="EH144" i="2"/>
  <c r="EG144" i="2"/>
  <c r="EF144" i="2"/>
  <c r="EE144" i="2"/>
  <c r="ED144" i="2"/>
  <c r="EC144" i="2"/>
  <c r="EA144" i="2"/>
  <c r="EB144" i="2" s="1"/>
  <c r="DZ144" i="2"/>
  <c r="DY144" i="2"/>
  <c r="DX144" i="2"/>
  <c r="DW144" i="2"/>
  <c r="DV144" i="2"/>
  <c r="DU144" i="2"/>
  <c r="DT144" i="2"/>
  <c r="DS144" i="2"/>
  <c r="DR144" i="2"/>
  <c r="DQ144" i="2"/>
  <c r="DP144" i="2"/>
  <c r="DN144" i="2"/>
  <c r="DO144" i="2" s="1"/>
  <c r="DM144" i="2"/>
  <c r="DL144" i="2"/>
  <c r="DK144" i="2"/>
  <c r="DJ144" i="2"/>
  <c r="DI144" i="2"/>
  <c r="DH144" i="2"/>
  <c r="DG144" i="2"/>
  <c r="DF144" i="2"/>
  <c r="DE144" i="2"/>
  <c r="DD144" i="2"/>
  <c r="DC144" i="2"/>
  <c r="DB144" i="2"/>
  <c r="DA144" i="2"/>
  <c r="CZ144" i="2"/>
  <c r="CY144" i="2"/>
  <c r="CX144" i="2"/>
  <c r="CW144" i="2"/>
  <c r="CV144" i="2"/>
  <c r="CU144" i="2"/>
  <c r="CT144" i="2"/>
  <c r="CS144" i="2"/>
  <c r="CR144" i="2"/>
  <c r="CQ144" i="2"/>
  <c r="CP144" i="2"/>
  <c r="CN144" i="2"/>
  <c r="CO144" i="2" s="1"/>
  <c r="CM144" i="2"/>
  <c r="CL144" i="2"/>
  <c r="CK144" i="2"/>
  <c r="CJ144" i="2"/>
  <c r="CI144" i="2"/>
  <c r="CH144" i="2"/>
  <c r="CG144" i="2"/>
  <c r="CF144" i="2"/>
  <c r="CE144" i="2"/>
  <c r="CD144" i="2"/>
  <c r="CC144" i="2"/>
  <c r="CA144" i="2"/>
  <c r="CB144" i="2" s="1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A144" i="2"/>
  <c r="BB144" i="2" s="1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A144" i="2"/>
  <c r="AB144" i="2" s="1"/>
  <c r="Z144" i="2"/>
  <c r="Y144" i="2"/>
  <c r="X144" i="2"/>
  <c r="W144" i="2"/>
  <c r="V144" i="2"/>
  <c r="U144" i="2"/>
  <c r="T144" i="2"/>
  <c r="S144" i="2"/>
  <c r="R144" i="2"/>
  <c r="Q144" i="2"/>
  <c r="P144" i="2"/>
  <c r="N144" i="2"/>
  <c r="O144" i="2" s="1"/>
  <c r="M144" i="2"/>
  <c r="L144" i="2"/>
  <c r="K144" i="2"/>
  <c r="J144" i="2"/>
  <c r="I144" i="2"/>
  <c r="H144" i="2"/>
  <c r="G144" i="2"/>
  <c r="F144" i="2"/>
  <c r="E144" i="2"/>
  <c r="D144" i="2"/>
  <c r="C144" i="2"/>
  <c r="FI143" i="2"/>
  <c r="FO143" i="2" s="1"/>
  <c r="FH143" i="2"/>
  <c r="FG143" i="2"/>
  <c r="FF143" i="2"/>
  <c r="FE143" i="2"/>
  <c r="FD143" i="2"/>
  <c r="FC143" i="2"/>
  <c r="FA143" i="2"/>
  <c r="FB143" i="2" s="1"/>
  <c r="EZ143" i="2"/>
  <c r="EY143" i="2"/>
  <c r="EX143" i="2"/>
  <c r="EW143" i="2"/>
  <c r="EV143" i="2"/>
  <c r="EU143" i="2"/>
  <c r="ET143" i="2"/>
  <c r="ES143" i="2"/>
  <c r="ER143" i="2"/>
  <c r="EQ143" i="2"/>
  <c r="EP143" i="2"/>
  <c r="EO143" i="2"/>
  <c r="EN143" i="2"/>
  <c r="EM143" i="2"/>
  <c r="EL143" i="2"/>
  <c r="EK143" i="2"/>
  <c r="EJ143" i="2"/>
  <c r="EI143" i="2"/>
  <c r="EH143" i="2"/>
  <c r="EG143" i="2"/>
  <c r="EF143" i="2"/>
  <c r="EE143" i="2"/>
  <c r="ED143" i="2"/>
  <c r="EC143" i="2"/>
  <c r="EA143" i="2"/>
  <c r="EB143" i="2" s="1"/>
  <c r="DZ143" i="2"/>
  <c r="DY143" i="2"/>
  <c r="DX143" i="2"/>
  <c r="DW143" i="2"/>
  <c r="DV143" i="2"/>
  <c r="DU143" i="2"/>
  <c r="DT143" i="2"/>
  <c r="DS143" i="2"/>
  <c r="DR143" i="2"/>
  <c r="DQ143" i="2"/>
  <c r="DP143" i="2"/>
  <c r="DN143" i="2"/>
  <c r="DO143" i="2" s="1"/>
  <c r="DM143" i="2"/>
  <c r="DL143" i="2"/>
  <c r="DK143" i="2"/>
  <c r="DJ143" i="2"/>
  <c r="DI143" i="2"/>
  <c r="DH143" i="2"/>
  <c r="DG143" i="2"/>
  <c r="DF143" i="2"/>
  <c r="DE143" i="2"/>
  <c r="DD143" i="2"/>
  <c r="DC143" i="2"/>
  <c r="DA143" i="2"/>
  <c r="DB143" i="2" s="1"/>
  <c r="CZ143" i="2"/>
  <c r="CY143" i="2"/>
  <c r="CX143" i="2"/>
  <c r="CW143" i="2"/>
  <c r="CV143" i="2"/>
  <c r="CU143" i="2"/>
  <c r="CT143" i="2"/>
  <c r="CS143" i="2"/>
  <c r="CR143" i="2"/>
  <c r="CQ143" i="2"/>
  <c r="CP143" i="2"/>
  <c r="CN143" i="2"/>
  <c r="CO143" i="2" s="1"/>
  <c r="CM143" i="2"/>
  <c r="CL143" i="2"/>
  <c r="CK143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N143" i="2"/>
  <c r="BO143" i="2" s="1"/>
  <c r="BM143" i="2"/>
  <c r="BL143" i="2"/>
  <c r="BK143" i="2"/>
  <c r="BJ143" i="2"/>
  <c r="BI143" i="2"/>
  <c r="BH143" i="2"/>
  <c r="BG143" i="2"/>
  <c r="BF143" i="2"/>
  <c r="BE143" i="2"/>
  <c r="BD143" i="2"/>
  <c r="BC143" i="2"/>
  <c r="BA143" i="2"/>
  <c r="BB143" i="2" s="1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A143" i="2"/>
  <c r="AB143" i="2" s="1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FI142" i="2"/>
  <c r="FO142" i="2" s="1"/>
  <c r="FH142" i="2"/>
  <c r="FG142" i="2"/>
  <c r="FF142" i="2"/>
  <c r="FE142" i="2"/>
  <c r="FD142" i="2"/>
  <c r="FC142" i="2"/>
  <c r="FA142" i="2"/>
  <c r="FB142" i="2" s="1"/>
  <c r="EZ142" i="2"/>
  <c r="EY142" i="2"/>
  <c r="EX142" i="2"/>
  <c r="EW142" i="2"/>
  <c r="EV142" i="2"/>
  <c r="EU142" i="2"/>
  <c r="ET142" i="2"/>
  <c r="ES142" i="2"/>
  <c r="ER142" i="2"/>
  <c r="EQ142" i="2"/>
  <c r="EP142" i="2"/>
  <c r="EO142" i="2"/>
  <c r="EN142" i="2"/>
  <c r="EM142" i="2"/>
  <c r="EL142" i="2"/>
  <c r="EK142" i="2"/>
  <c r="EJ142" i="2"/>
  <c r="EI142" i="2"/>
  <c r="EH142" i="2"/>
  <c r="EG142" i="2"/>
  <c r="EF142" i="2"/>
  <c r="EE142" i="2"/>
  <c r="ED142" i="2"/>
  <c r="EC142" i="2"/>
  <c r="EA142" i="2"/>
  <c r="EB142" i="2" s="1"/>
  <c r="DZ142" i="2"/>
  <c r="DY142" i="2"/>
  <c r="DX142" i="2"/>
  <c r="DW142" i="2"/>
  <c r="DV142" i="2"/>
  <c r="DU142" i="2"/>
  <c r="DT142" i="2"/>
  <c r="DS142" i="2"/>
  <c r="DR142" i="2"/>
  <c r="DQ142" i="2"/>
  <c r="DP142" i="2"/>
  <c r="DO142" i="2"/>
  <c r="DN142" i="2"/>
  <c r="DM142" i="2"/>
  <c r="DL142" i="2"/>
  <c r="DK142" i="2"/>
  <c r="DJ142" i="2"/>
  <c r="DI142" i="2"/>
  <c r="DH142" i="2"/>
  <c r="DG142" i="2"/>
  <c r="DF142" i="2"/>
  <c r="DE142" i="2"/>
  <c r="DD142" i="2"/>
  <c r="DC142" i="2"/>
  <c r="DA142" i="2"/>
  <c r="DB142" i="2" s="1"/>
  <c r="CZ142" i="2"/>
  <c r="CY142" i="2"/>
  <c r="CX142" i="2"/>
  <c r="CW142" i="2"/>
  <c r="CV142" i="2"/>
  <c r="CU142" i="2"/>
  <c r="CT142" i="2"/>
  <c r="CS142" i="2"/>
  <c r="CR142" i="2"/>
  <c r="CQ142" i="2"/>
  <c r="CP142" i="2"/>
  <c r="CO142" i="2"/>
  <c r="CN142" i="2"/>
  <c r="CM142" i="2"/>
  <c r="CL142" i="2"/>
  <c r="CK142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N142" i="2"/>
  <c r="BO142" i="2" s="1"/>
  <c r="BM142" i="2"/>
  <c r="BL142" i="2"/>
  <c r="BK142" i="2"/>
  <c r="BJ142" i="2"/>
  <c r="BI142" i="2"/>
  <c r="BH142" i="2"/>
  <c r="BG142" i="2"/>
  <c r="BF142" i="2"/>
  <c r="BE142" i="2"/>
  <c r="BD142" i="2"/>
  <c r="BC142" i="2"/>
  <c r="BA142" i="2"/>
  <c r="BB142" i="2" s="1"/>
  <c r="AZ142" i="2"/>
  <c r="AY142" i="2"/>
  <c r="AX142" i="2"/>
  <c r="AW142" i="2"/>
  <c r="AV142" i="2"/>
  <c r="AU142" i="2"/>
  <c r="AT142" i="2"/>
  <c r="AS142" i="2"/>
  <c r="AR142" i="2"/>
  <c r="AQ142" i="2"/>
  <c r="AP142" i="2"/>
  <c r="AN142" i="2"/>
  <c r="AO142" i="2" s="1"/>
  <c r="AM142" i="2"/>
  <c r="AL142" i="2"/>
  <c r="AK142" i="2"/>
  <c r="AJ142" i="2"/>
  <c r="AI142" i="2"/>
  <c r="AH142" i="2"/>
  <c r="AG142" i="2"/>
  <c r="AF142" i="2"/>
  <c r="AE142" i="2"/>
  <c r="AD142" i="2"/>
  <c r="AC142" i="2"/>
  <c r="AA142" i="2"/>
  <c r="AB142" i="2" s="1"/>
  <c r="Z142" i="2"/>
  <c r="Y142" i="2"/>
  <c r="X142" i="2"/>
  <c r="W142" i="2"/>
  <c r="V142" i="2"/>
  <c r="U142" i="2"/>
  <c r="T142" i="2"/>
  <c r="S142" i="2"/>
  <c r="R142" i="2"/>
  <c r="Q142" i="2"/>
  <c r="P142" i="2"/>
  <c r="N142" i="2"/>
  <c r="O142" i="2" s="1"/>
  <c r="M142" i="2"/>
  <c r="L142" i="2"/>
  <c r="K142" i="2"/>
  <c r="J142" i="2"/>
  <c r="I142" i="2"/>
  <c r="H142" i="2"/>
  <c r="G142" i="2"/>
  <c r="F142" i="2"/>
  <c r="E142" i="2"/>
  <c r="D142" i="2"/>
  <c r="C142" i="2"/>
  <c r="FO141" i="2"/>
  <c r="FI141" i="2"/>
  <c r="FH141" i="2"/>
  <c r="FG141" i="2"/>
  <c r="FF141" i="2"/>
  <c r="FE141" i="2"/>
  <c r="FD141" i="2"/>
  <c r="FC141" i="2"/>
  <c r="FA141" i="2"/>
  <c r="FB141" i="2" s="1"/>
  <c r="EZ141" i="2"/>
  <c r="EY141" i="2"/>
  <c r="EX141" i="2"/>
  <c r="EW141" i="2"/>
  <c r="EV141" i="2"/>
  <c r="EU141" i="2"/>
  <c r="ET141" i="2"/>
  <c r="ES141" i="2"/>
  <c r="ER141" i="2"/>
  <c r="EQ141" i="2"/>
  <c r="EP141" i="2"/>
  <c r="EN141" i="2"/>
  <c r="EO141" i="2" s="1"/>
  <c r="EM141" i="2"/>
  <c r="EL141" i="2"/>
  <c r="EK141" i="2"/>
  <c r="EJ141" i="2"/>
  <c r="EI141" i="2"/>
  <c r="EH141" i="2"/>
  <c r="EG141" i="2"/>
  <c r="EF141" i="2"/>
  <c r="EE141" i="2"/>
  <c r="ED141" i="2"/>
  <c r="EC141" i="2"/>
  <c r="EA141" i="2"/>
  <c r="EB141" i="2" s="1"/>
  <c r="DZ141" i="2"/>
  <c r="DY141" i="2"/>
  <c r="DX141" i="2"/>
  <c r="DW141" i="2"/>
  <c r="DV141" i="2"/>
  <c r="DU141" i="2"/>
  <c r="DT141" i="2"/>
  <c r="DS141" i="2"/>
  <c r="DR141" i="2"/>
  <c r="DQ141" i="2"/>
  <c r="DP141" i="2"/>
  <c r="DN141" i="2"/>
  <c r="DO141" i="2" s="1"/>
  <c r="DM141" i="2"/>
  <c r="DL141" i="2"/>
  <c r="DK141" i="2"/>
  <c r="DJ141" i="2"/>
  <c r="DI141" i="2"/>
  <c r="DH141" i="2"/>
  <c r="DG141" i="2"/>
  <c r="DF141" i="2"/>
  <c r="DE141" i="2"/>
  <c r="DD141" i="2"/>
  <c r="DC141" i="2"/>
  <c r="DB141" i="2"/>
  <c r="DA141" i="2"/>
  <c r="CZ141" i="2"/>
  <c r="CY141" i="2"/>
  <c r="CX141" i="2"/>
  <c r="CW141" i="2"/>
  <c r="CV141" i="2"/>
  <c r="CU141" i="2"/>
  <c r="CT141" i="2"/>
  <c r="CS141" i="2"/>
  <c r="CR141" i="2"/>
  <c r="CQ141" i="2"/>
  <c r="CP141" i="2"/>
  <c r="CN141" i="2"/>
  <c r="CO141" i="2" s="1"/>
  <c r="CM141" i="2"/>
  <c r="CL141" i="2"/>
  <c r="CK141" i="2"/>
  <c r="CJ141" i="2"/>
  <c r="CI141" i="2"/>
  <c r="CH141" i="2"/>
  <c r="CG141" i="2"/>
  <c r="CF141" i="2"/>
  <c r="CE141" i="2"/>
  <c r="CD141" i="2"/>
  <c r="CC141" i="2"/>
  <c r="CA141" i="2"/>
  <c r="CB141" i="2" s="1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A141" i="2"/>
  <c r="BB141" i="2" s="1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A141" i="2"/>
  <c r="AB141" i="2" s="1"/>
  <c r="Z141" i="2"/>
  <c r="Y141" i="2"/>
  <c r="X141" i="2"/>
  <c r="W141" i="2"/>
  <c r="V141" i="2"/>
  <c r="U141" i="2"/>
  <c r="T141" i="2"/>
  <c r="S141" i="2"/>
  <c r="R141" i="2"/>
  <c r="Q141" i="2"/>
  <c r="P141" i="2"/>
  <c r="N141" i="2"/>
  <c r="O141" i="2" s="1"/>
  <c r="M141" i="2"/>
  <c r="L141" i="2"/>
  <c r="K141" i="2"/>
  <c r="J141" i="2"/>
  <c r="I141" i="2"/>
  <c r="H141" i="2"/>
  <c r="G141" i="2"/>
  <c r="F141" i="2"/>
  <c r="E141" i="2"/>
  <c r="D141" i="2"/>
  <c r="C141" i="2"/>
  <c r="FI140" i="2"/>
  <c r="FO140" i="2" s="1"/>
  <c r="FH140" i="2"/>
  <c r="FG140" i="2"/>
  <c r="FF140" i="2"/>
  <c r="FE140" i="2"/>
  <c r="FD140" i="2"/>
  <c r="FC140" i="2"/>
  <c r="FA140" i="2"/>
  <c r="FB140" i="2" s="1"/>
  <c r="EZ140" i="2"/>
  <c r="EY140" i="2"/>
  <c r="EX140" i="2"/>
  <c r="EW140" i="2"/>
  <c r="EV140" i="2"/>
  <c r="EU140" i="2"/>
  <c r="ET140" i="2"/>
  <c r="ES140" i="2"/>
  <c r="ER140" i="2"/>
  <c r="EQ140" i="2"/>
  <c r="EP140" i="2"/>
  <c r="EN140" i="2"/>
  <c r="EO140" i="2" s="1"/>
  <c r="EM140" i="2"/>
  <c r="EL140" i="2"/>
  <c r="EK140" i="2"/>
  <c r="EJ140" i="2"/>
  <c r="EI140" i="2"/>
  <c r="EH140" i="2"/>
  <c r="EG140" i="2"/>
  <c r="EF140" i="2"/>
  <c r="EE140" i="2"/>
  <c r="ED140" i="2"/>
  <c r="EC140" i="2"/>
  <c r="EA140" i="2"/>
  <c r="EB140" i="2" s="1"/>
  <c r="DZ140" i="2"/>
  <c r="DY140" i="2"/>
  <c r="DX140" i="2"/>
  <c r="DW140" i="2"/>
  <c r="DV140" i="2"/>
  <c r="DU140" i="2"/>
  <c r="DT140" i="2"/>
  <c r="DS140" i="2"/>
  <c r="DR140" i="2"/>
  <c r="DQ140" i="2"/>
  <c r="DP140" i="2"/>
  <c r="DN140" i="2"/>
  <c r="DO140" i="2" s="1"/>
  <c r="DM140" i="2"/>
  <c r="DL140" i="2"/>
  <c r="DK140" i="2"/>
  <c r="DJ140" i="2"/>
  <c r="DI140" i="2"/>
  <c r="DH140" i="2"/>
  <c r="DG140" i="2"/>
  <c r="DF140" i="2"/>
  <c r="DE140" i="2"/>
  <c r="DD140" i="2"/>
  <c r="DC140" i="2"/>
  <c r="DA140" i="2"/>
  <c r="DB140" i="2" s="1"/>
  <c r="CZ140" i="2"/>
  <c r="CY140" i="2"/>
  <c r="CX140" i="2"/>
  <c r="CW140" i="2"/>
  <c r="CV140" i="2"/>
  <c r="CU140" i="2"/>
  <c r="CT140" i="2"/>
  <c r="CS140" i="2"/>
  <c r="CR140" i="2"/>
  <c r="CQ140" i="2"/>
  <c r="CP140" i="2"/>
  <c r="CO140" i="2"/>
  <c r="CN140" i="2"/>
  <c r="CM140" i="2"/>
  <c r="CL140" i="2"/>
  <c r="CK140" i="2"/>
  <c r="CJ140" i="2"/>
  <c r="CI140" i="2"/>
  <c r="CH140" i="2"/>
  <c r="CG140" i="2"/>
  <c r="CF140" i="2"/>
  <c r="CE140" i="2"/>
  <c r="CD140" i="2"/>
  <c r="CC140" i="2"/>
  <c r="CA140" i="2"/>
  <c r="CB140" i="2" s="1"/>
  <c r="BZ140" i="2"/>
  <c r="BY140" i="2"/>
  <c r="BX140" i="2"/>
  <c r="BW140" i="2"/>
  <c r="BV140" i="2"/>
  <c r="BU140" i="2"/>
  <c r="BT140" i="2"/>
  <c r="BS140" i="2"/>
  <c r="BR140" i="2"/>
  <c r="BQ140" i="2"/>
  <c r="BP140" i="2"/>
  <c r="BN140" i="2"/>
  <c r="BO140" i="2" s="1"/>
  <c r="BM140" i="2"/>
  <c r="BL140" i="2"/>
  <c r="BK140" i="2"/>
  <c r="BJ140" i="2"/>
  <c r="BI140" i="2"/>
  <c r="BH140" i="2"/>
  <c r="BG140" i="2"/>
  <c r="BF140" i="2"/>
  <c r="BE140" i="2"/>
  <c r="BD140" i="2"/>
  <c r="BC140" i="2"/>
  <c r="BA140" i="2"/>
  <c r="BB140" i="2" s="1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A140" i="2"/>
  <c r="AB140" i="2" s="1"/>
  <c r="Z140" i="2"/>
  <c r="Y140" i="2"/>
  <c r="X140" i="2"/>
  <c r="W140" i="2"/>
  <c r="V140" i="2"/>
  <c r="U140" i="2"/>
  <c r="T140" i="2"/>
  <c r="S140" i="2"/>
  <c r="R140" i="2"/>
  <c r="Q140" i="2"/>
  <c r="P140" i="2"/>
  <c r="N140" i="2"/>
  <c r="O140" i="2" s="1"/>
  <c r="M140" i="2"/>
  <c r="L140" i="2"/>
  <c r="K140" i="2"/>
  <c r="J140" i="2"/>
  <c r="I140" i="2"/>
  <c r="H140" i="2"/>
  <c r="G140" i="2"/>
  <c r="F140" i="2"/>
  <c r="E140" i="2"/>
  <c r="D140" i="2"/>
  <c r="C140" i="2"/>
  <c r="FI139" i="2"/>
  <c r="FO139" i="2" s="1"/>
  <c r="FH139" i="2"/>
  <c r="FG139" i="2"/>
  <c r="FF139" i="2"/>
  <c r="FE139" i="2"/>
  <c r="FD139" i="2"/>
  <c r="FC139" i="2"/>
  <c r="FB139" i="2"/>
  <c r="FA139" i="2"/>
  <c r="EZ139" i="2"/>
  <c r="EY139" i="2"/>
  <c r="EX139" i="2"/>
  <c r="EW139" i="2"/>
  <c r="EV139" i="2"/>
  <c r="EU139" i="2"/>
  <c r="ET139" i="2"/>
  <c r="ES139" i="2"/>
  <c r="ER139" i="2"/>
  <c r="EQ139" i="2"/>
  <c r="EP139" i="2"/>
  <c r="EN139" i="2"/>
  <c r="EO139" i="2" s="1"/>
  <c r="EM139" i="2"/>
  <c r="EL139" i="2"/>
  <c r="EK139" i="2"/>
  <c r="EJ139" i="2"/>
  <c r="EI139" i="2"/>
  <c r="EH139" i="2"/>
  <c r="EG139" i="2"/>
  <c r="EF139" i="2"/>
  <c r="EE139" i="2"/>
  <c r="ED139" i="2"/>
  <c r="EC139" i="2"/>
  <c r="EA139" i="2"/>
  <c r="EB139" i="2" s="1"/>
  <c r="DZ139" i="2"/>
  <c r="DY139" i="2"/>
  <c r="DX139" i="2"/>
  <c r="DW139" i="2"/>
  <c r="DV139" i="2"/>
  <c r="DU139" i="2"/>
  <c r="DT139" i="2"/>
  <c r="DS139" i="2"/>
  <c r="DR139" i="2"/>
  <c r="DQ139" i="2"/>
  <c r="DP139" i="2"/>
  <c r="DN139" i="2"/>
  <c r="DO139" i="2" s="1"/>
  <c r="DM139" i="2"/>
  <c r="DL139" i="2"/>
  <c r="DK139" i="2"/>
  <c r="DJ139" i="2"/>
  <c r="DI139" i="2"/>
  <c r="DH139" i="2"/>
  <c r="DG139" i="2"/>
  <c r="DF139" i="2"/>
  <c r="DE139" i="2"/>
  <c r="DD139" i="2"/>
  <c r="DC139" i="2"/>
  <c r="DA139" i="2"/>
  <c r="DB139" i="2" s="1"/>
  <c r="CZ139" i="2"/>
  <c r="CY139" i="2"/>
  <c r="CX139" i="2"/>
  <c r="CW139" i="2"/>
  <c r="CV139" i="2"/>
  <c r="CU139" i="2"/>
  <c r="CT139" i="2"/>
  <c r="CS139" i="2"/>
  <c r="CR139" i="2"/>
  <c r="CQ139" i="2"/>
  <c r="CP139" i="2"/>
  <c r="CO139" i="2"/>
  <c r="CN139" i="2"/>
  <c r="CM139" i="2"/>
  <c r="CL139" i="2"/>
  <c r="CK139" i="2"/>
  <c r="CJ139" i="2"/>
  <c r="CI139" i="2"/>
  <c r="CH139" i="2"/>
  <c r="CG139" i="2"/>
  <c r="CF139" i="2"/>
  <c r="CE139" i="2"/>
  <c r="CD139" i="2"/>
  <c r="CC139" i="2"/>
  <c r="CA139" i="2"/>
  <c r="CB139" i="2" s="1"/>
  <c r="BZ139" i="2"/>
  <c r="BY139" i="2"/>
  <c r="BX139" i="2"/>
  <c r="BW139" i="2"/>
  <c r="BV139" i="2"/>
  <c r="BU139" i="2"/>
  <c r="BT139" i="2"/>
  <c r="BS139" i="2"/>
  <c r="BR139" i="2"/>
  <c r="BQ139" i="2"/>
  <c r="BP139" i="2"/>
  <c r="BN139" i="2"/>
  <c r="BO139" i="2" s="1"/>
  <c r="BM139" i="2"/>
  <c r="BL139" i="2"/>
  <c r="BK139" i="2"/>
  <c r="BJ139" i="2"/>
  <c r="BI139" i="2"/>
  <c r="BH139" i="2"/>
  <c r="BG139" i="2"/>
  <c r="BF139" i="2"/>
  <c r="BE139" i="2"/>
  <c r="BD139" i="2"/>
  <c r="BC139" i="2"/>
  <c r="BA139" i="2"/>
  <c r="BB139" i="2" s="1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N139" i="2"/>
  <c r="O139" i="2" s="1"/>
  <c r="M139" i="2"/>
  <c r="L139" i="2"/>
  <c r="K139" i="2"/>
  <c r="J139" i="2"/>
  <c r="I139" i="2"/>
  <c r="H139" i="2"/>
  <c r="G139" i="2"/>
  <c r="F139" i="2"/>
  <c r="E139" i="2"/>
  <c r="D139" i="2"/>
  <c r="C139" i="2"/>
  <c r="FI138" i="2"/>
  <c r="FO138" i="2" s="1"/>
  <c r="FH138" i="2"/>
  <c r="FG138" i="2"/>
  <c r="FF138" i="2"/>
  <c r="FE138" i="2"/>
  <c r="FD138" i="2"/>
  <c r="FC138" i="2"/>
  <c r="FA138" i="2"/>
  <c r="FB138" i="2" s="1"/>
  <c r="EZ138" i="2"/>
  <c r="EY138" i="2"/>
  <c r="EX138" i="2"/>
  <c r="EW138" i="2"/>
  <c r="EV138" i="2"/>
  <c r="EU138" i="2"/>
  <c r="ET138" i="2"/>
  <c r="ES138" i="2"/>
  <c r="ER138" i="2"/>
  <c r="EQ138" i="2"/>
  <c r="EP138" i="2"/>
  <c r="EO138" i="2"/>
  <c r="EN138" i="2"/>
  <c r="EM138" i="2"/>
  <c r="EL138" i="2"/>
  <c r="EK138" i="2"/>
  <c r="EJ138" i="2"/>
  <c r="EI138" i="2"/>
  <c r="EH138" i="2"/>
  <c r="EG138" i="2"/>
  <c r="EF138" i="2"/>
  <c r="EE138" i="2"/>
  <c r="ED138" i="2"/>
  <c r="EC138" i="2"/>
  <c r="EA138" i="2"/>
  <c r="EB138" i="2" s="1"/>
  <c r="DZ138" i="2"/>
  <c r="DY138" i="2"/>
  <c r="DX138" i="2"/>
  <c r="DW138" i="2"/>
  <c r="DV138" i="2"/>
  <c r="DU138" i="2"/>
  <c r="DT138" i="2"/>
  <c r="DS138" i="2"/>
  <c r="DR138" i="2"/>
  <c r="DQ138" i="2"/>
  <c r="DP138" i="2"/>
  <c r="DN138" i="2"/>
  <c r="DO138" i="2" s="1"/>
  <c r="DM138" i="2"/>
  <c r="DL138" i="2"/>
  <c r="DK138" i="2"/>
  <c r="DJ138" i="2"/>
  <c r="DI138" i="2"/>
  <c r="DH138" i="2"/>
  <c r="DG138" i="2"/>
  <c r="DF138" i="2"/>
  <c r="DE138" i="2"/>
  <c r="DD138" i="2"/>
  <c r="DC138" i="2"/>
  <c r="DB138" i="2"/>
  <c r="DA138" i="2"/>
  <c r="CZ138" i="2"/>
  <c r="CY138" i="2"/>
  <c r="CX138" i="2"/>
  <c r="CW138" i="2"/>
  <c r="CV138" i="2"/>
  <c r="CU138" i="2"/>
  <c r="CT138" i="2"/>
  <c r="CS138" i="2"/>
  <c r="CR138" i="2"/>
  <c r="CQ138" i="2"/>
  <c r="CP138" i="2"/>
  <c r="CO138" i="2"/>
  <c r="CN138" i="2"/>
  <c r="CM138" i="2"/>
  <c r="CL138" i="2"/>
  <c r="CK138" i="2"/>
  <c r="CJ138" i="2"/>
  <c r="CI138" i="2"/>
  <c r="CH138" i="2"/>
  <c r="CG138" i="2"/>
  <c r="CF138" i="2"/>
  <c r="CE138" i="2"/>
  <c r="CD138" i="2"/>
  <c r="CC138" i="2"/>
  <c r="CA138" i="2"/>
  <c r="CB138" i="2" s="1"/>
  <c r="BZ138" i="2"/>
  <c r="BY138" i="2"/>
  <c r="BX138" i="2"/>
  <c r="BW138" i="2"/>
  <c r="BV138" i="2"/>
  <c r="BU138" i="2"/>
  <c r="BT138" i="2"/>
  <c r="BS138" i="2"/>
  <c r="BR138" i="2"/>
  <c r="BQ138" i="2"/>
  <c r="BP138" i="2"/>
  <c r="BO138" i="2"/>
  <c r="BN138" i="2"/>
  <c r="BM138" i="2"/>
  <c r="BL138" i="2"/>
  <c r="BK138" i="2"/>
  <c r="BJ138" i="2"/>
  <c r="BI138" i="2"/>
  <c r="BH138" i="2"/>
  <c r="BG138" i="2"/>
  <c r="BF138" i="2"/>
  <c r="BE138" i="2"/>
  <c r="BD138" i="2"/>
  <c r="BC138" i="2"/>
  <c r="BA138" i="2"/>
  <c r="BB138" i="2" s="1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N138" i="2"/>
  <c r="O138" i="2" s="1"/>
  <c r="M138" i="2"/>
  <c r="L138" i="2"/>
  <c r="K138" i="2"/>
  <c r="J138" i="2"/>
  <c r="I138" i="2"/>
  <c r="H138" i="2"/>
  <c r="G138" i="2"/>
  <c r="F138" i="2"/>
  <c r="E138" i="2"/>
  <c r="D138" i="2"/>
  <c r="C138" i="2"/>
  <c r="FI137" i="2"/>
  <c r="FO137" i="2" s="1"/>
  <c r="FH137" i="2"/>
  <c r="FG137" i="2"/>
  <c r="FF137" i="2"/>
  <c r="FE137" i="2"/>
  <c r="FD137" i="2"/>
  <c r="FC137" i="2"/>
  <c r="FA137" i="2"/>
  <c r="FB137" i="2" s="1"/>
  <c r="EZ137" i="2"/>
  <c r="EY137" i="2"/>
  <c r="EX137" i="2"/>
  <c r="EW137" i="2"/>
  <c r="EV137" i="2"/>
  <c r="EU137" i="2"/>
  <c r="ET137" i="2"/>
  <c r="ES137" i="2"/>
  <c r="ER137" i="2"/>
  <c r="EQ137" i="2"/>
  <c r="EP137" i="2"/>
  <c r="EO137" i="2"/>
  <c r="EN137" i="2"/>
  <c r="EM137" i="2"/>
  <c r="EL137" i="2"/>
  <c r="EK137" i="2"/>
  <c r="EJ137" i="2"/>
  <c r="EI137" i="2"/>
  <c r="EH137" i="2"/>
  <c r="EG137" i="2"/>
  <c r="EF137" i="2"/>
  <c r="EE137" i="2"/>
  <c r="ED137" i="2"/>
  <c r="EC137" i="2"/>
  <c r="EB137" i="2"/>
  <c r="EA137" i="2"/>
  <c r="DZ137" i="2"/>
  <c r="DY137" i="2"/>
  <c r="DX137" i="2"/>
  <c r="DW137" i="2"/>
  <c r="DV137" i="2"/>
  <c r="DU137" i="2"/>
  <c r="DT137" i="2"/>
  <c r="DS137" i="2"/>
  <c r="DR137" i="2"/>
  <c r="DQ137" i="2"/>
  <c r="DP137" i="2"/>
  <c r="DN137" i="2"/>
  <c r="DO137" i="2" s="1"/>
  <c r="DM137" i="2"/>
  <c r="DL137" i="2"/>
  <c r="DK137" i="2"/>
  <c r="DJ137" i="2"/>
  <c r="DI137" i="2"/>
  <c r="DH137" i="2"/>
  <c r="DG137" i="2"/>
  <c r="DF137" i="2"/>
  <c r="DE137" i="2"/>
  <c r="DD137" i="2"/>
  <c r="DC137" i="2"/>
  <c r="DA137" i="2"/>
  <c r="DB137" i="2" s="1"/>
  <c r="CZ137" i="2"/>
  <c r="CY137" i="2"/>
  <c r="CX137" i="2"/>
  <c r="CW137" i="2"/>
  <c r="CV137" i="2"/>
  <c r="CU137" i="2"/>
  <c r="CT137" i="2"/>
  <c r="CS137" i="2"/>
  <c r="CR137" i="2"/>
  <c r="CQ137" i="2"/>
  <c r="CP137" i="2"/>
  <c r="CO137" i="2"/>
  <c r="CN137" i="2"/>
  <c r="CM137" i="2"/>
  <c r="CL137" i="2"/>
  <c r="CK137" i="2"/>
  <c r="CJ137" i="2"/>
  <c r="CI137" i="2"/>
  <c r="CH137" i="2"/>
  <c r="CG137" i="2"/>
  <c r="CF137" i="2"/>
  <c r="CE137" i="2"/>
  <c r="CD137" i="2"/>
  <c r="CC137" i="2"/>
  <c r="CB137" i="2"/>
  <c r="CA137" i="2"/>
  <c r="BZ137" i="2"/>
  <c r="BY137" i="2"/>
  <c r="BX137" i="2"/>
  <c r="BW137" i="2"/>
  <c r="BV137" i="2"/>
  <c r="BU137" i="2"/>
  <c r="BT137" i="2"/>
  <c r="BS137" i="2"/>
  <c r="BR137" i="2"/>
  <c r="BQ137" i="2"/>
  <c r="BP137" i="2"/>
  <c r="BN137" i="2"/>
  <c r="BO137" i="2" s="1"/>
  <c r="BM137" i="2"/>
  <c r="BL137" i="2"/>
  <c r="BK137" i="2"/>
  <c r="BJ137" i="2"/>
  <c r="BI137" i="2"/>
  <c r="BH137" i="2"/>
  <c r="BG137" i="2"/>
  <c r="BF137" i="2"/>
  <c r="BE137" i="2"/>
  <c r="BD137" i="2"/>
  <c r="BC137" i="2"/>
  <c r="BA137" i="2"/>
  <c r="BB137" i="2" s="1"/>
  <c r="AZ137" i="2"/>
  <c r="AY137" i="2"/>
  <c r="AX137" i="2"/>
  <c r="AW137" i="2"/>
  <c r="AV137" i="2"/>
  <c r="AU137" i="2"/>
  <c r="AT137" i="2"/>
  <c r="AS137" i="2"/>
  <c r="AR137" i="2"/>
  <c r="AQ137" i="2"/>
  <c r="AP137" i="2"/>
  <c r="AN137" i="2"/>
  <c r="AO137" i="2" s="1"/>
  <c r="AM137" i="2"/>
  <c r="AL137" i="2"/>
  <c r="AK137" i="2"/>
  <c r="AJ137" i="2"/>
  <c r="AI137" i="2"/>
  <c r="AH137" i="2"/>
  <c r="AG137" i="2"/>
  <c r="AF137" i="2"/>
  <c r="AE137" i="2"/>
  <c r="AD137" i="2"/>
  <c r="AC137" i="2"/>
  <c r="AA137" i="2"/>
  <c r="AB137" i="2" s="1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FI136" i="2"/>
  <c r="FO136" i="2" s="1"/>
  <c r="FH136" i="2"/>
  <c r="FG136" i="2"/>
  <c r="FF136" i="2"/>
  <c r="FE136" i="2"/>
  <c r="FD136" i="2"/>
  <c r="FC136" i="2"/>
  <c r="FB136" i="2"/>
  <c r="FA136" i="2"/>
  <c r="EZ136" i="2"/>
  <c r="EY136" i="2"/>
  <c r="EX136" i="2"/>
  <c r="EW136" i="2"/>
  <c r="EV136" i="2"/>
  <c r="EU136" i="2"/>
  <c r="ET136" i="2"/>
  <c r="ES136" i="2"/>
  <c r="ER136" i="2"/>
  <c r="EQ136" i="2"/>
  <c r="EP136" i="2"/>
  <c r="EN136" i="2"/>
  <c r="EO136" i="2" s="1"/>
  <c r="EM136" i="2"/>
  <c r="EL136" i="2"/>
  <c r="EK136" i="2"/>
  <c r="EJ136" i="2"/>
  <c r="EI136" i="2"/>
  <c r="EH136" i="2"/>
  <c r="EG136" i="2"/>
  <c r="EF136" i="2"/>
  <c r="EE136" i="2"/>
  <c r="ED136" i="2"/>
  <c r="EC136" i="2"/>
  <c r="EA136" i="2"/>
  <c r="EB136" i="2" s="1"/>
  <c r="DZ136" i="2"/>
  <c r="DY136" i="2"/>
  <c r="DX136" i="2"/>
  <c r="DW136" i="2"/>
  <c r="DV136" i="2"/>
  <c r="DU136" i="2"/>
  <c r="DT136" i="2"/>
  <c r="DS136" i="2"/>
  <c r="DR136" i="2"/>
  <c r="DQ136" i="2"/>
  <c r="DP136" i="2"/>
  <c r="DO136" i="2"/>
  <c r="DN136" i="2"/>
  <c r="DM136" i="2"/>
  <c r="DL136" i="2"/>
  <c r="DK136" i="2"/>
  <c r="DJ136" i="2"/>
  <c r="DI136" i="2"/>
  <c r="DH136" i="2"/>
  <c r="DG136" i="2"/>
  <c r="DF136" i="2"/>
  <c r="DE136" i="2"/>
  <c r="DD136" i="2"/>
  <c r="DC136" i="2"/>
  <c r="DA136" i="2"/>
  <c r="DB136" i="2" s="1"/>
  <c r="CZ136" i="2"/>
  <c r="CY136" i="2"/>
  <c r="CX136" i="2"/>
  <c r="CW136" i="2"/>
  <c r="CV136" i="2"/>
  <c r="CU136" i="2"/>
  <c r="CT136" i="2"/>
  <c r="CS136" i="2"/>
  <c r="CR136" i="2"/>
  <c r="CQ136" i="2"/>
  <c r="CP136" i="2"/>
  <c r="CN136" i="2"/>
  <c r="CO136" i="2" s="1"/>
  <c r="CM136" i="2"/>
  <c r="CL136" i="2"/>
  <c r="CK136" i="2"/>
  <c r="CJ136" i="2"/>
  <c r="CI136" i="2"/>
  <c r="CH136" i="2"/>
  <c r="CG136" i="2"/>
  <c r="CF136" i="2"/>
  <c r="CE136" i="2"/>
  <c r="CD136" i="2"/>
  <c r="CC136" i="2"/>
  <c r="CA136" i="2"/>
  <c r="CB136" i="2" s="1"/>
  <c r="BZ136" i="2"/>
  <c r="BY136" i="2"/>
  <c r="BX136" i="2"/>
  <c r="BW136" i="2"/>
  <c r="BV136" i="2"/>
  <c r="BU136" i="2"/>
  <c r="BT136" i="2"/>
  <c r="BS136" i="2"/>
  <c r="BR136" i="2"/>
  <c r="BQ136" i="2"/>
  <c r="BP136" i="2"/>
  <c r="BN136" i="2"/>
  <c r="BO136" i="2" s="1"/>
  <c r="BM136" i="2"/>
  <c r="BL136" i="2"/>
  <c r="BK136" i="2"/>
  <c r="BJ136" i="2"/>
  <c r="BI136" i="2"/>
  <c r="BH136" i="2"/>
  <c r="BG136" i="2"/>
  <c r="BF136" i="2"/>
  <c r="BE136" i="2"/>
  <c r="BD136" i="2"/>
  <c r="BC136" i="2"/>
  <c r="BA136" i="2"/>
  <c r="BB136" i="2" s="1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A136" i="2"/>
  <c r="AB136" i="2" s="1"/>
  <c r="Z136" i="2"/>
  <c r="Y136" i="2"/>
  <c r="X136" i="2"/>
  <c r="W136" i="2"/>
  <c r="V136" i="2"/>
  <c r="U136" i="2"/>
  <c r="T136" i="2"/>
  <c r="S136" i="2"/>
  <c r="R136" i="2"/>
  <c r="Q136" i="2"/>
  <c r="P136" i="2"/>
  <c r="N136" i="2"/>
  <c r="O136" i="2" s="1"/>
  <c r="M136" i="2"/>
  <c r="L136" i="2"/>
  <c r="K136" i="2"/>
  <c r="J136" i="2"/>
  <c r="I136" i="2"/>
  <c r="H136" i="2"/>
  <c r="G136" i="2"/>
  <c r="F136" i="2"/>
  <c r="E136" i="2"/>
  <c r="D136" i="2"/>
  <c r="C136" i="2"/>
  <c r="FI135" i="2"/>
  <c r="FO135" i="2" s="1"/>
  <c r="FH135" i="2"/>
  <c r="FG135" i="2"/>
  <c r="FF135" i="2"/>
  <c r="FE135" i="2"/>
  <c r="FD135" i="2"/>
  <c r="FC135" i="2"/>
  <c r="FA135" i="2"/>
  <c r="FB135" i="2" s="1"/>
  <c r="EZ135" i="2"/>
  <c r="EY135" i="2"/>
  <c r="EX135" i="2"/>
  <c r="EW135" i="2"/>
  <c r="EV135" i="2"/>
  <c r="EU135" i="2"/>
  <c r="ET135" i="2"/>
  <c r="ES135" i="2"/>
  <c r="ER135" i="2"/>
  <c r="EQ135" i="2"/>
  <c r="EP135" i="2"/>
  <c r="EO135" i="2"/>
  <c r="EN135" i="2"/>
  <c r="EM135" i="2"/>
  <c r="EL135" i="2"/>
  <c r="EK135" i="2"/>
  <c r="EJ135" i="2"/>
  <c r="EI135" i="2"/>
  <c r="EH135" i="2"/>
  <c r="EG135" i="2"/>
  <c r="EF135" i="2"/>
  <c r="EE135" i="2"/>
  <c r="ED135" i="2"/>
  <c r="EC135" i="2"/>
  <c r="EA135" i="2"/>
  <c r="EB135" i="2" s="1"/>
  <c r="DZ135" i="2"/>
  <c r="DY135" i="2"/>
  <c r="DX135" i="2"/>
  <c r="DW135" i="2"/>
  <c r="DV135" i="2"/>
  <c r="DU135" i="2"/>
  <c r="DT135" i="2"/>
  <c r="DS135" i="2"/>
  <c r="DR135" i="2"/>
  <c r="DQ135" i="2"/>
  <c r="DP135" i="2"/>
  <c r="DN135" i="2"/>
  <c r="DO135" i="2" s="1"/>
  <c r="DM135" i="2"/>
  <c r="DL135" i="2"/>
  <c r="DK135" i="2"/>
  <c r="DJ135" i="2"/>
  <c r="DI135" i="2"/>
  <c r="DH135" i="2"/>
  <c r="DG135" i="2"/>
  <c r="DF135" i="2"/>
  <c r="DE135" i="2"/>
  <c r="DD135" i="2"/>
  <c r="DC135" i="2"/>
  <c r="DB135" i="2"/>
  <c r="DA135" i="2"/>
  <c r="CZ135" i="2"/>
  <c r="CY135" i="2"/>
  <c r="CX135" i="2"/>
  <c r="CW135" i="2"/>
  <c r="CV135" i="2"/>
  <c r="CU135" i="2"/>
  <c r="CT135" i="2"/>
  <c r="CS135" i="2"/>
  <c r="CR135" i="2"/>
  <c r="CQ135" i="2"/>
  <c r="CP135" i="2"/>
  <c r="CN135" i="2"/>
  <c r="CO135" i="2" s="1"/>
  <c r="CM135" i="2"/>
  <c r="CL135" i="2"/>
  <c r="CK135" i="2"/>
  <c r="CJ135" i="2"/>
  <c r="CI135" i="2"/>
  <c r="CH135" i="2"/>
  <c r="CG135" i="2"/>
  <c r="CF135" i="2"/>
  <c r="CE135" i="2"/>
  <c r="CD135" i="2"/>
  <c r="CC135" i="2"/>
  <c r="CA135" i="2"/>
  <c r="CB135" i="2" s="1"/>
  <c r="BZ135" i="2"/>
  <c r="BY135" i="2"/>
  <c r="BX135" i="2"/>
  <c r="BW135" i="2"/>
  <c r="BV135" i="2"/>
  <c r="BU135" i="2"/>
  <c r="BT135" i="2"/>
  <c r="BS135" i="2"/>
  <c r="BR135" i="2"/>
  <c r="BQ135" i="2"/>
  <c r="BP135" i="2"/>
  <c r="BN135" i="2"/>
  <c r="BO135" i="2" s="1"/>
  <c r="BM135" i="2"/>
  <c r="BL135" i="2"/>
  <c r="BK135" i="2"/>
  <c r="BJ135" i="2"/>
  <c r="BI135" i="2"/>
  <c r="BH135" i="2"/>
  <c r="BG135" i="2"/>
  <c r="BF135" i="2"/>
  <c r="BE135" i="2"/>
  <c r="BD135" i="2"/>
  <c r="BC135" i="2"/>
  <c r="BA135" i="2"/>
  <c r="BB135" i="2" s="1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A135" i="2"/>
  <c r="AB135" i="2" s="1"/>
  <c r="Z135" i="2"/>
  <c r="Y135" i="2"/>
  <c r="X135" i="2"/>
  <c r="W135" i="2"/>
  <c r="V135" i="2"/>
  <c r="U135" i="2"/>
  <c r="T135" i="2"/>
  <c r="S135" i="2"/>
  <c r="R135" i="2"/>
  <c r="Q135" i="2"/>
  <c r="P135" i="2"/>
  <c r="N135" i="2"/>
  <c r="O135" i="2" s="1"/>
  <c r="M135" i="2"/>
  <c r="L135" i="2"/>
  <c r="K135" i="2"/>
  <c r="J135" i="2"/>
  <c r="I135" i="2"/>
  <c r="H135" i="2"/>
  <c r="G135" i="2"/>
  <c r="F135" i="2"/>
  <c r="E135" i="2"/>
  <c r="D135" i="2"/>
  <c r="C135" i="2"/>
  <c r="FI134" i="2"/>
  <c r="FO134" i="2" s="1"/>
  <c r="FH134" i="2"/>
  <c r="FG134" i="2"/>
  <c r="FF134" i="2"/>
  <c r="FE134" i="2"/>
  <c r="FD134" i="2"/>
  <c r="FC134" i="2"/>
  <c r="FA134" i="2"/>
  <c r="FB134" i="2" s="1"/>
  <c r="EZ134" i="2"/>
  <c r="EY134" i="2"/>
  <c r="EX134" i="2"/>
  <c r="EW134" i="2"/>
  <c r="EV134" i="2"/>
  <c r="EU134" i="2"/>
  <c r="ET134" i="2"/>
  <c r="ES134" i="2"/>
  <c r="ER134" i="2"/>
  <c r="EQ134" i="2"/>
  <c r="EP134" i="2"/>
  <c r="EO134" i="2"/>
  <c r="EN134" i="2"/>
  <c r="EM134" i="2"/>
  <c r="EL134" i="2"/>
  <c r="EK134" i="2"/>
  <c r="EJ134" i="2"/>
  <c r="EI134" i="2"/>
  <c r="EH134" i="2"/>
  <c r="EG134" i="2"/>
  <c r="EF134" i="2"/>
  <c r="EE134" i="2"/>
  <c r="ED134" i="2"/>
  <c r="EC134" i="2"/>
  <c r="EA134" i="2"/>
  <c r="EB134" i="2" s="1"/>
  <c r="DZ134" i="2"/>
  <c r="DY134" i="2"/>
  <c r="DX134" i="2"/>
  <c r="DW134" i="2"/>
  <c r="DV134" i="2"/>
  <c r="DU134" i="2"/>
  <c r="DT134" i="2"/>
  <c r="DS134" i="2"/>
  <c r="DR134" i="2"/>
  <c r="DQ134" i="2"/>
  <c r="DP134" i="2"/>
  <c r="DN134" i="2"/>
  <c r="DO134" i="2" s="1"/>
  <c r="DM134" i="2"/>
  <c r="DL134" i="2"/>
  <c r="DK134" i="2"/>
  <c r="DJ134" i="2"/>
  <c r="DI134" i="2"/>
  <c r="DH134" i="2"/>
  <c r="DG134" i="2"/>
  <c r="DF134" i="2"/>
  <c r="DE134" i="2"/>
  <c r="DD134" i="2"/>
  <c r="DC134" i="2"/>
  <c r="DA134" i="2"/>
  <c r="DB134" i="2" s="1"/>
  <c r="CZ134" i="2"/>
  <c r="CY134" i="2"/>
  <c r="CX134" i="2"/>
  <c r="CW134" i="2"/>
  <c r="CV134" i="2"/>
  <c r="CU134" i="2"/>
  <c r="CT134" i="2"/>
  <c r="CS134" i="2"/>
  <c r="CR134" i="2"/>
  <c r="CQ134" i="2"/>
  <c r="CP134" i="2"/>
  <c r="CN134" i="2"/>
  <c r="CO134" i="2" s="1"/>
  <c r="CM134" i="2"/>
  <c r="CL134" i="2"/>
  <c r="CK134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N134" i="2"/>
  <c r="BO134" i="2" s="1"/>
  <c r="BM134" i="2"/>
  <c r="BL134" i="2"/>
  <c r="BK134" i="2"/>
  <c r="BJ134" i="2"/>
  <c r="BI134" i="2"/>
  <c r="BH134" i="2"/>
  <c r="BG134" i="2"/>
  <c r="BF134" i="2"/>
  <c r="BE134" i="2"/>
  <c r="BD134" i="2"/>
  <c r="BC134" i="2"/>
  <c r="BA134" i="2"/>
  <c r="BB134" i="2" s="1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A134" i="2"/>
  <c r="AB134" i="2" s="1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FI133" i="2"/>
  <c r="FO133" i="2" s="1"/>
  <c r="FH133" i="2"/>
  <c r="FG133" i="2"/>
  <c r="FF133" i="2"/>
  <c r="FE133" i="2"/>
  <c r="FD133" i="2"/>
  <c r="FC133" i="2"/>
  <c r="FA133" i="2"/>
  <c r="FB133" i="2" s="1"/>
  <c r="EZ133" i="2"/>
  <c r="EY133" i="2"/>
  <c r="EX133" i="2"/>
  <c r="EW133" i="2"/>
  <c r="EV133" i="2"/>
  <c r="EU133" i="2"/>
  <c r="ET133" i="2"/>
  <c r="ES133" i="2"/>
  <c r="ER133" i="2"/>
  <c r="EQ133" i="2"/>
  <c r="EP133" i="2"/>
  <c r="EO133" i="2"/>
  <c r="EN133" i="2"/>
  <c r="EM133" i="2"/>
  <c r="EL133" i="2"/>
  <c r="EK133" i="2"/>
  <c r="EJ133" i="2"/>
  <c r="EI133" i="2"/>
  <c r="EH133" i="2"/>
  <c r="EG133" i="2"/>
  <c r="EF133" i="2"/>
  <c r="EE133" i="2"/>
  <c r="ED133" i="2"/>
  <c r="EC133" i="2"/>
  <c r="EA133" i="2"/>
  <c r="EB133" i="2" s="1"/>
  <c r="DZ133" i="2"/>
  <c r="DY133" i="2"/>
  <c r="DX133" i="2"/>
  <c r="DW133" i="2"/>
  <c r="DV133" i="2"/>
  <c r="DU133" i="2"/>
  <c r="DT133" i="2"/>
  <c r="DS133" i="2"/>
  <c r="DR133" i="2"/>
  <c r="DQ133" i="2"/>
  <c r="DP133" i="2"/>
  <c r="DN133" i="2"/>
  <c r="DO133" i="2" s="1"/>
  <c r="DM133" i="2"/>
  <c r="DL133" i="2"/>
  <c r="DK133" i="2"/>
  <c r="DJ133" i="2"/>
  <c r="DI133" i="2"/>
  <c r="DH133" i="2"/>
  <c r="DG133" i="2"/>
  <c r="DF133" i="2"/>
  <c r="DE133" i="2"/>
  <c r="DD133" i="2"/>
  <c r="DC133" i="2"/>
  <c r="DA133" i="2"/>
  <c r="DB133" i="2" s="1"/>
  <c r="CZ133" i="2"/>
  <c r="CY133" i="2"/>
  <c r="CX133" i="2"/>
  <c r="CW133" i="2"/>
  <c r="CV133" i="2"/>
  <c r="CU133" i="2"/>
  <c r="CT133" i="2"/>
  <c r="CS133" i="2"/>
  <c r="CR133" i="2"/>
  <c r="CQ133" i="2"/>
  <c r="CP133" i="2"/>
  <c r="CN133" i="2"/>
  <c r="CO133" i="2" s="1"/>
  <c r="CM133" i="2"/>
  <c r="CL133" i="2"/>
  <c r="CK133" i="2"/>
  <c r="CJ133" i="2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N133" i="2"/>
  <c r="BO133" i="2" s="1"/>
  <c r="BM133" i="2"/>
  <c r="BL133" i="2"/>
  <c r="BK133" i="2"/>
  <c r="BJ133" i="2"/>
  <c r="BI133" i="2"/>
  <c r="BH133" i="2"/>
  <c r="BG133" i="2"/>
  <c r="BF133" i="2"/>
  <c r="BE133" i="2"/>
  <c r="BD133" i="2"/>
  <c r="BC133" i="2"/>
  <c r="BA133" i="2"/>
  <c r="BB133" i="2" s="1"/>
  <c r="AZ133" i="2"/>
  <c r="AY133" i="2"/>
  <c r="AX133" i="2"/>
  <c r="AW133" i="2"/>
  <c r="AV133" i="2"/>
  <c r="AU133" i="2"/>
  <c r="AT133" i="2"/>
  <c r="AS133" i="2"/>
  <c r="AR133" i="2"/>
  <c r="AQ133" i="2"/>
  <c r="AP133" i="2"/>
  <c r="AN133" i="2"/>
  <c r="AO133" i="2" s="1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N133" i="2"/>
  <c r="O133" i="2" s="1"/>
  <c r="M133" i="2"/>
  <c r="L133" i="2"/>
  <c r="K133" i="2"/>
  <c r="J133" i="2"/>
  <c r="I133" i="2"/>
  <c r="H133" i="2"/>
  <c r="G133" i="2"/>
  <c r="F133" i="2"/>
  <c r="E133" i="2"/>
  <c r="D133" i="2"/>
  <c r="C133" i="2"/>
  <c r="FI132" i="2"/>
  <c r="FO132" i="2" s="1"/>
  <c r="FH132" i="2"/>
  <c r="FG132" i="2"/>
  <c r="FF132" i="2"/>
  <c r="FE132" i="2"/>
  <c r="FD132" i="2"/>
  <c r="FC132" i="2"/>
  <c r="FA132" i="2"/>
  <c r="FB132" i="2" s="1"/>
  <c r="EZ132" i="2"/>
  <c r="EY132" i="2"/>
  <c r="EX132" i="2"/>
  <c r="EW132" i="2"/>
  <c r="EV132" i="2"/>
  <c r="EU132" i="2"/>
  <c r="ET132" i="2"/>
  <c r="ES132" i="2"/>
  <c r="ER132" i="2"/>
  <c r="EQ132" i="2"/>
  <c r="EP132" i="2"/>
  <c r="EN132" i="2"/>
  <c r="EO132" i="2" s="1"/>
  <c r="EM132" i="2"/>
  <c r="EL132" i="2"/>
  <c r="EK132" i="2"/>
  <c r="EJ132" i="2"/>
  <c r="EI132" i="2"/>
  <c r="EH132" i="2"/>
  <c r="EG132" i="2"/>
  <c r="EF132" i="2"/>
  <c r="EE132" i="2"/>
  <c r="ED132" i="2"/>
  <c r="EC132" i="2"/>
  <c r="EB132" i="2"/>
  <c r="EA132" i="2"/>
  <c r="DZ132" i="2"/>
  <c r="DY132" i="2"/>
  <c r="DX132" i="2"/>
  <c r="DW132" i="2"/>
  <c r="DV132" i="2"/>
  <c r="DU132" i="2"/>
  <c r="DT132" i="2"/>
  <c r="DS132" i="2"/>
  <c r="DR132" i="2"/>
  <c r="DQ132" i="2"/>
  <c r="DP132" i="2"/>
  <c r="DN132" i="2"/>
  <c r="DO132" i="2" s="1"/>
  <c r="DM132" i="2"/>
  <c r="DL132" i="2"/>
  <c r="DK132" i="2"/>
  <c r="DJ132" i="2"/>
  <c r="DI132" i="2"/>
  <c r="DH132" i="2"/>
  <c r="DG132" i="2"/>
  <c r="DF132" i="2"/>
  <c r="DE132" i="2"/>
  <c r="DD132" i="2"/>
  <c r="DC132" i="2"/>
  <c r="DB132" i="2"/>
  <c r="DA132" i="2"/>
  <c r="CZ132" i="2"/>
  <c r="CY132" i="2"/>
  <c r="CX132" i="2"/>
  <c r="CW132" i="2"/>
  <c r="CV132" i="2"/>
  <c r="CU132" i="2"/>
  <c r="CT132" i="2"/>
  <c r="CS132" i="2"/>
  <c r="CR132" i="2"/>
  <c r="CQ132" i="2"/>
  <c r="CP132" i="2"/>
  <c r="CO132" i="2"/>
  <c r="CN132" i="2"/>
  <c r="CM132" i="2"/>
  <c r="CL132" i="2"/>
  <c r="CK132" i="2"/>
  <c r="CJ132" i="2"/>
  <c r="CI132" i="2"/>
  <c r="CH132" i="2"/>
  <c r="CG132" i="2"/>
  <c r="CF132" i="2"/>
  <c r="CE132" i="2"/>
  <c r="CD132" i="2"/>
  <c r="CC132" i="2"/>
  <c r="CA132" i="2"/>
  <c r="CB132" i="2" s="1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A132" i="2"/>
  <c r="BB132" i="2" s="1"/>
  <c r="AZ132" i="2"/>
  <c r="AY132" i="2"/>
  <c r="AX132" i="2"/>
  <c r="AW132" i="2"/>
  <c r="AV132" i="2"/>
  <c r="AU132" i="2"/>
  <c r="AT132" i="2"/>
  <c r="AS132" i="2"/>
  <c r="AR132" i="2"/>
  <c r="AQ132" i="2"/>
  <c r="AP132" i="2"/>
  <c r="AN132" i="2"/>
  <c r="AO132" i="2" s="1"/>
  <c r="AM132" i="2"/>
  <c r="AL132" i="2"/>
  <c r="AK132" i="2"/>
  <c r="AJ132" i="2"/>
  <c r="AI132" i="2"/>
  <c r="AH132" i="2"/>
  <c r="AG132" i="2"/>
  <c r="AF132" i="2"/>
  <c r="AE132" i="2"/>
  <c r="AD132" i="2"/>
  <c r="AC132" i="2"/>
  <c r="AA132" i="2"/>
  <c r="AB132" i="2" s="1"/>
  <c r="Z132" i="2"/>
  <c r="Y132" i="2"/>
  <c r="X132" i="2"/>
  <c r="W132" i="2"/>
  <c r="V132" i="2"/>
  <c r="U132" i="2"/>
  <c r="T132" i="2"/>
  <c r="S132" i="2"/>
  <c r="R132" i="2"/>
  <c r="Q132" i="2"/>
  <c r="P132" i="2"/>
  <c r="N132" i="2"/>
  <c r="O132" i="2" s="1"/>
  <c r="M132" i="2"/>
  <c r="L132" i="2"/>
  <c r="K132" i="2"/>
  <c r="J132" i="2"/>
  <c r="I132" i="2"/>
  <c r="H132" i="2"/>
  <c r="G132" i="2"/>
  <c r="F132" i="2"/>
  <c r="E132" i="2"/>
  <c r="D132" i="2"/>
  <c r="C132" i="2"/>
  <c r="FI131" i="2"/>
  <c r="FO131" i="2" s="1"/>
  <c r="FH131" i="2"/>
  <c r="FG131" i="2"/>
  <c r="FF131" i="2"/>
  <c r="FE131" i="2"/>
  <c r="FD131" i="2"/>
  <c r="FC131" i="2"/>
  <c r="FA131" i="2"/>
  <c r="FB131" i="2" s="1"/>
  <c r="EZ131" i="2"/>
  <c r="EY131" i="2"/>
  <c r="EX131" i="2"/>
  <c r="EW131" i="2"/>
  <c r="EV131" i="2"/>
  <c r="EU131" i="2"/>
  <c r="ET131" i="2"/>
  <c r="ES131" i="2"/>
  <c r="ER131" i="2"/>
  <c r="EQ131" i="2"/>
  <c r="EP131" i="2"/>
  <c r="EO131" i="2"/>
  <c r="EN131" i="2"/>
  <c r="EM131" i="2"/>
  <c r="EL131" i="2"/>
  <c r="EK131" i="2"/>
  <c r="EJ131" i="2"/>
  <c r="EI131" i="2"/>
  <c r="EH131" i="2"/>
  <c r="EG131" i="2"/>
  <c r="EF131" i="2"/>
  <c r="EE131" i="2"/>
  <c r="ED131" i="2"/>
  <c r="EC131" i="2"/>
  <c r="EB131" i="2"/>
  <c r="EA131" i="2"/>
  <c r="DZ131" i="2"/>
  <c r="DY131" i="2"/>
  <c r="DX131" i="2"/>
  <c r="DW131" i="2"/>
  <c r="DV131" i="2"/>
  <c r="DU131" i="2"/>
  <c r="DT131" i="2"/>
  <c r="DS131" i="2"/>
  <c r="DR131" i="2"/>
  <c r="DQ131" i="2"/>
  <c r="DP131" i="2"/>
  <c r="DN131" i="2"/>
  <c r="DO131" i="2" s="1"/>
  <c r="DM131" i="2"/>
  <c r="DL131" i="2"/>
  <c r="DK131" i="2"/>
  <c r="DJ131" i="2"/>
  <c r="DI131" i="2"/>
  <c r="DH131" i="2"/>
  <c r="DG131" i="2"/>
  <c r="DF131" i="2"/>
  <c r="DE131" i="2"/>
  <c r="DD131" i="2"/>
  <c r="DC131" i="2"/>
  <c r="DA131" i="2"/>
  <c r="DB131" i="2" s="1"/>
  <c r="CZ131" i="2"/>
  <c r="CY131" i="2"/>
  <c r="CX131" i="2"/>
  <c r="CW131" i="2"/>
  <c r="CV131" i="2"/>
  <c r="CU131" i="2"/>
  <c r="CT131" i="2"/>
  <c r="CS131" i="2"/>
  <c r="CR131" i="2"/>
  <c r="CQ131" i="2"/>
  <c r="CP131" i="2"/>
  <c r="CO131" i="2"/>
  <c r="CN131" i="2"/>
  <c r="CM131" i="2"/>
  <c r="CL131" i="2"/>
  <c r="CK131" i="2"/>
  <c r="CJ131" i="2"/>
  <c r="CI131" i="2"/>
  <c r="CH131" i="2"/>
  <c r="CG131" i="2"/>
  <c r="CF131" i="2"/>
  <c r="CE131" i="2"/>
  <c r="CD131" i="2"/>
  <c r="CC131" i="2"/>
  <c r="CA131" i="2"/>
  <c r="CB131" i="2" s="1"/>
  <c r="BZ131" i="2"/>
  <c r="BY131" i="2"/>
  <c r="BX131" i="2"/>
  <c r="BW131" i="2"/>
  <c r="BV131" i="2"/>
  <c r="BU131" i="2"/>
  <c r="BT131" i="2"/>
  <c r="BS131" i="2"/>
  <c r="BR131" i="2"/>
  <c r="BQ131" i="2"/>
  <c r="BP131" i="2"/>
  <c r="BN131" i="2"/>
  <c r="BO131" i="2" s="1"/>
  <c r="BM131" i="2"/>
  <c r="BL131" i="2"/>
  <c r="BK131" i="2"/>
  <c r="BJ131" i="2"/>
  <c r="BI131" i="2"/>
  <c r="BH131" i="2"/>
  <c r="BG131" i="2"/>
  <c r="BF131" i="2"/>
  <c r="BE131" i="2"/>
  <c r="BD131" i="2"/>
  <c r="BC131" i="2"/>
  <c r="BA131" i="2"/>
  <c r="BB131" i="2" s="1"/>
  <c r="AZ131" i="2"/>
  <c r="AY131" i="2"/>
  <c r="AX131" i="2"/>
  <c r="AW131" i="2"/>
  <c r="AV131" i="2"/>
  <c r="AU131" i="2"/>
  <c r="AT131" i="2"/>
  <c r="AS131" i="2"/>
  <c r="AR131" i="2"/>
  <c r="AQ131" i="2"/>
  <c r="AP131" i="2"/>
  <c r="AN131" i="2"/>
  <c r="AO131" i="2" s="1"/>
  <c r="AM131" i="2"/>
  <c r="AL131" i="2"/>
  <c r="AK131" i="2"/>
  <c r="AJ131" i="2"/>
  <c r="AI131" i="2"/>
  <c r="AH131" i="2"/>
  <c r="AG131" i="2"/>
  <c r="AF131" i="2"/>
  <c r="AE131" i="2"/>
  <c r="AD131" i="2"/>
  <c r="AC131" i="2"/>
  <c r="AA131" i="2"/>
  <c r="AB131" i="2" s="1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FI130" i="2"/>
  <c r="FO130" i="2" s="1"/>
  <c r="FH130" i="2"/>
  <c r="FG130" i="2"/>
  <c r="FF130" i="2"/>
  <c r="FE130" i="2"/>
  <c r="FD130" i="2"/>
  <c r="FC130" i="2"/>
  <c r="FA130" i="2"/>
  <c r="FB130" i="2" s="1"/>
  <c r="EZ130" i="2"/>
  <c r="EY130" i="2"/>
  <c r="EX130" i="2"/>
  <c r="EW130" i="2"/>
  <c r="EV130" i="2"/>
  <c r="EU130" i="2"/>
  <c r="ET130" i="2"/>
  <c r="ES130" i="2"/>
  <c r="ER130" i="2"/>
  <c r="EQ130" i="2"/>
  <c r="EP130" i="2"/>
  <c r="EO130" i="2"/>
  <c r="EN130" i="2"/>
  <c r="EM130" i="2"/>
  <c r="EL130" i="2"/>
  <c r="EK130" i="2"/>
  <c r="EJ130" i="2"/>
  <c r="EI130" i="2"/>
  <c r="EH130" i="2"/>
  <c r="EG130" i="2"/>
  <c r="EF130" i="2"/>
  <c r="EE130" i="2"/>
  <c r="ED130" i="2"/>
  <c r="EC130" i="2"/>
  <c r="EA130" i="2"/>
  <c r="EB130" i="2" s="1"/>
  <c r="DZ130" i="2"/>
  <c r="DY130" i="2"/>
  <c r="DX130" i="2"/>
  <c r="DW130" i="2"/>
  <c r="DV130" i="2"/>
  <c r="DU130" i="2"/>
  <c r="DT130" i="2"/>
  <c r="DS130" i="2"/>
  <c r="DR130" i="2"/>
  <c r="DQ130" i="2"/>
  <c r="DP130" i="2"/>
  <c r="DN130" i="2"/>
  <c r="DO130" i="2" s="1"/>
  <c r="DM130" i="2"/>
  <c r="DL130" i="2"/>
  <c r="DK130" i="2"/>
  <c r="DJ130" i="2"/>
  <c r="DI130" i="2"/>
  <c r="DH130" i="2"/>
  <c r="DG130" i="2"/>
  <c r="DF130" i="2"/>
  <c r="DE130" i="2"/>
  <c r="DD130" i="2"/>
  <c r="DC130" i="2"/>
  <c r="DA130" i="2"/>
  <c r="DB130" i="2" s="1"/>
  <c r="CZ130" i="2"/>
  <c r="CY130" i="2"/>
  <c r="CX130" i="2"/>
  <c r="CW130" i="2"/>
  <c r="CV130" i="2"/>
  <c r="CU130" i="2"/>
  <c r="CT130" i="2"/>
  <c r="CS130" i="2"/>
  <c r="CR130" i="2"/>
  <c r="CQ130" i="2"/>
  <c r="CP130" i="2"/>
  <c r="CN130" i="2"/>
  <c r="CO130" i="2" s="1"/>
  <c r="CM130" i="2"/>
  <c r="CL130" i="2"/>
  <c r="CK130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N130" i="2"/>
  <c r="BO130" i="2" s="1"/>
  <c r="BM130" i="2"/>
  <c r="BL130" i="2"/>
  <c r="BK130" i="2"/>
  <c r="BJ130" i="2"/>
  <c r="BI130" i="2"/>
  <c r="BH130" i="2"/>
  <c r="BG130" i="2"/>
  <c r="BF130" i="2"/>
  <c r="BE130" i="2"/>
  <c r="BD130" i="2"/>
  <c r="BC130" i="2"/>
  <c r="BA130" i="2"/>
  <c r="BB130" i="2" s="1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A130" i="2"/>
  <c r="AB130" i="2" s="1"/>
  <c r="Z130" i="2"/>
  <c r="Y130" i="2"/>
  <c r="X130" i="2"/>
  <c r="W130" i="2"/>
  <c r="V130" i="2"/>
  <c r="U130" i="2"/>
  <c r="T130" i="2"/>
  <c r="S130" i="2"/>
  <c r="R130" i="2"/>
  <c r="Q130" i="2"/>
  <c r="P130" i="2"/>
  <c r="N130" i="2"/>
  <c r="O130" i="2" s="1"/>
  <c r="M130" i="2"/>
  <c r="L130" i="2"/>
  <c r="K130" i="2"/>
  <c r="J130" i="2"/>
  <c r="I130" i="2"/>
  <c r="H130" i="2"/>
  <c r="G130" i="2"/>
  <c r="F130" i="2"/>
  <c r="E130" i="2"/>
  <c r="D130" i="2"/>
  <c r="C130" i="2"/>
  <c r="FI129" i="2"/>
  <c r="FO129" i="2" s="1"/>
  <c r="FH129" i="2"/>
  <c r="FG129" i="2"/>
  <c r="FF129" i="2"/>
  <c r="FE129" i="2"/>
  <c r="FD129" i="2"/>
  <c r="FC129" i="2"/>
  <c r="FA129" i="2"/>
  <c r="FB129" i="2" s="1"/>
  <c r="EZ129" i="2"/>
  <c r="EY129" i="2"/>
  <c r="EX129" i="2"/>
  <c r="EW129" i="2"/>
  <c r="EV129" i="2"/>
  <c r="EU129" i="2"/>
  <c r="ET129" i="2"/>
  <c r="ES129" i="2"/>
  <c r="ER129" i="2"/>
  <c r="EQ129" i="2"/>
  <c r="EP129" i="2"/>
  <c r="EN129" i="2"/>
  <c r="EO129" i="2" s="1"/>
  <c r="EM129" i="2"/>
  <c r="EL129" i="2"/>
  <c r="EK129" i="2"/>
  <c r="EJ129" i="2"/>
  <c r="EI129" i="2"/>
  <c r="EH129" i="2"/>
  <c r="EG129" i="2"/>
  <c r="EF129" i="2"/>
  <c r="EE129" i="2"/>
  <c r="ED129" i="2"/>
  <c r="EC129" i="2"/>
  <c r="EA129" i="2"/>
  <c r="EB129" i="2" s="1"/>
  <c r="DZ129" i="2"/>
  <c r="DY129" i="2"/>
  <c r="DX129" i="2"/>
  <c r="DW129" i="2"/>
  <c r="DV129" i="2"/>
  <c r="DU129" i="2"/>
  <c r="DT129" i="2"/>
  <c r="DS129" i="2"/>
  <c r="DR129" i="2"/>
  <c r="DQ129" i="2"/>
  <c r="DP129" i="2"/>
  <c r="DN129" i="2"/>
  <c r="DO129" i="2" s="1"/>
  <c r="DM129" i="2"/>
  <c r="DL129" i="2"/>
  <c r="DK129" i="2"/>
  <c r="DJ129" i="2"/>
  <c r="DI129" i="2"/>
  <c r="DH129" i="2"/>
  <c r="DG129" i="2"/>
  <c r="DF129" i="2"/>
  <c r="DE129" i="2"/>
  <c r="DD129" i="2"/>
  <c r="DC129" i="2"/>
  <c r="DA129" i="2"/>
  <c r="DB129" i="2" s="1"/>
  <c r="CZ129" i="2"/>
  <c r="CY129" i="2"/>
  <c r="CX129" i="2"/>
  <c r="CW129" i="2"/>
  <c r="CV129" i="2"/>
  <c r="CU129" i="2"/>
  <c r="CT129" i="2"/>
  <c r="CS129" i="2"/>
  <c r="CR129" i="2"/>
  <c r="CQ129" i="2"/>
  <c r="CP129" i="2"/>
  <c r="CN129" i="2"/>
  <c r="CO129" i="2" s="1"/>
  <c r="CM129" i="2"/>
  <c r="CL129" i="2"/>
  <c r="CK129" i="2"/>
  <c r="CJ129" i="2"/>
  <c r="CI129" i="2"/>
  <c r="CH129" i="2"/>
  <c r="CG129" i="2"/>
  <c r="CF129" i="2"/>
  <c r="CE129" i="2"/>
  <c r="CD129" i="2"/>
  <c r="CC129" i="2"/>
  <c r="CA129" i="2"/>
  <c r="CB129" i="2" s="1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A129" i="2"/>
  <c r="BB129" i="2" s="1"/>
  <c r="AZ129" i="2"/>
  <c r="AY129" i="2"/>
  <c r="AX129" i="2"/>
  <c r="AW129" i="2"/>
  <c r="AV129" i="2"/>
  <c r="AU129" i="2"/>
  <c r="AT129" i="2"/>
  <c r="AS129" i="2"/>
  <c r="AR129" i="2"/>
  <c r="AQ129" i="2"/>
  <c r="AP129" i="2"/>
  <c r="AN129" i="2"/>
  <c r="AO129" i="2" s="1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N129" i="2"/>
  <c r="O129" i="2" s="1"/>
  <c r="M129" i="2"/>
  <c r="L129" i="2"/>
  <c r="K129" i="2"/>
  <c r="J129" i="2"/>
  <c r="I129" i="2"/>
  <c r="H129" i="2"/>
  <c r="G129" i="2"/>
  <c r="F129" i="2"/>
  <c r="E129" i="2"/>
  <c r="D129" i="2"/>
  <c r="C129" i="2"/>
  <c r="FI128" i="2"/>
  <c r="FO128" i="2" s="1"/>
  <c r="FH128" i="2"/>
  <c r="FG128" i="2"/>
  <c r="FF128" i="2"/>
  <c r="FE128" i="2"/>
  <c r="FD128" i="2"/>
  <c r="FC128" i="2"/>
  <c r="FA128" i="2"/>
  <c r="FB128" i="2" s="1"/>
  <c r="EZ128" i="2"/>
  <c r="EY128" i="2"/>
  <c r="EX128" i="2"/>
  <c r="EW128" i="2"/>
  <c r="EV128" i="2"/>
  <c r="EU128" i="2"/>
  <c r="ET128" i="2"/>
  <c r="ES128" i="2"/>
  <c r="ER128" i="2"/>
  <c r="EQ128" i="2"/>
  <c r="EP128" i="2"/>
  <c r="EN128" i="2"/>
  <c r="EO128" i="2" s="1"/>
  <c r="EM128" i="2"/>
  <c r="EL128" i="2"/>
  <c r="EK128" i="2"/>
  <c r="EJ128" i="2"/>
  <c r="EI128" i="2"/>
  <c r="EH128" i="2"/>
  <c r="EG128" i="2"/>
  <c r="EF128" i="2"/>
  <c r="EE128" i="2"/>
  <c r="ED128" i="2"/>
  <c r="EC128" i="2"/>
  <c r="EB128" i="2"/>
  <c r="EA128" i="2"/>
  <c r="DZ128" i="2"/>
  <c r="DY128" i="2"/>
  <c r="DX128" i="2"/>
  <c r="DW128" i="2"/>
  <c r="DV128" i="2"/>
  <c r="DU128" i="2"/>
  <c r="DT128" i="2"/>
  <c r="DS128" i="2"/>
  <c r="DR128" i="2"/>
  <c r="DQ128" i="2"/>
  <c r="DP128" i="2"/>
  <c r="DN128" i="2"/>
  <c r="DO128" i="2" s="1"/>
  <c r="DM128" i="2"/>
  <c r="DL128" i="2"/>
  <c r="DK128" i="2"/>
  <c r="DJ128" i="2"/>
  <c r="DI128" i="2"/>
  <c r="DH128" i="2"/>
  <c r="DG128" i="2"/>
  <c r="DF128" i="2"/>
  <c r="DE128" i="2"/>
  <c r="DD128" i="2"/>
  <c r="DC128" i="2"/>
  <c r="DA128" i="2"/>
  <c r="DB128" i="2" s="1"/>
  <c r="CZ128" i="2"/>
  <c r="CY128" i="2"/>
  <c r="CX128" i="2"/>
  <c r="CW128" i="2"/>
  <c r="CV128" i="2"/>
  <c r="CU128" i="2"/>
  <c r="CT128" i="2"/>
  <c r="CS128" i="2"/>
  <c r="CR128" i="2"/>
  <c r="CQ128" i="2"/>
  <c r="CP128" i="2"/>
  <c r="CO128" i="2"/>
  <c r="CN128" i="2"/>
  <c r="CM128" i="2"/>
  <c r="CL128" i="2"/>
  <c r="CK128" i="2"/>
  <c r="CJ128" i="2"/>
  <c r="CI128" i="2"/>
  <c r="CH128" i="2"/>
  <c r="CG128" i="2"/>
  <c r="CF128" i="2"/>
  <c r="CE128" i="2"/>
  <c r="CD128" i="2"/>
  <c r="CC128" i="2"/>
  <c r="CA128" i="2"/>
  <c r="CB128" i="2" s="1"/>
  <c r="BZ128" i="2"/>
  <c r="BY128" i="2"/>
  <c r="BX128" i="2"/>
  <c r="BW128" i="2"/>
  <c r="BV128" i="2"/>
  <c r="BU128" i="2"/>
  <c r="BT128" i="2"/>
  <c r="BS128" i="2"/>
  <c r="BR128" i="2"/>
  <c r="BQ128" i="2"/>
  <c r="BP128" i="2"/>
  <c r="BN128" i="2"/>
  <c r="BO128" i="2" s="1"/>
  <c r="BM128" i="2"/>
  <c r="BL128" i="2"/>
  <c r="BK128" i="2"/>
  <c r="BJ128" i="2"/>
  <c r="BI128" i="2"/>
  <c r="BH128" i="2"/>
  <c r="BG128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N128" i="2"/>
  <c r="AO128" i="2" s="1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N128" i="2"/>
  <c r="O128" i="2" s="1"/>
  <c r="M128" i="2"/>
  <c r="L128" i="2"/>
  <c r="K128" i="2"/>
  <c r="J128" i="2"/>
  <c r="I128" i="2"/>
  <c r="H128" i="2"/>
  <c r="G128" i="2"/>
  <c r="F128" i="2"/>
  <c r="E128" i="2"/>
  <c r="D128" i="2"/>
  <c r="C128" i="2"/>
  <c r="FI127" i="2"/>
  <c r="FO127" i="2" s="1"/>
  <c r="FH127" i="2"/>
  <c r="FG127" i="2"/>
  <c r="FF127" i="2"/>
  <c r="FE127" i="2"/>
  <c r="FD127" i="2"/>
  <c r="FC127" i="2"/>
  <c r="FA127" i="2"/>
  <c r="FB127" i="2" s="1"/>
  <c r="EZ127" i="2"/>
  <c r="EY127" i="2"/>
  <c r="EX127" i="2"/>
  <c r="EW127" i="2"/>
  <c r="EV127" i="2"/>
  <c r="EU127" i="2"/>
  <c r="ET127" i="2"/>
  <c r="ES127" i="2"/>
  <c r="ER127" i="2"/>
  <c r="EQ127" i="2"/>
  <c r="EP127" i="2"/>
  <c r="EN127" i="2"/>
  <c r="EO127" i="2" s="1"/>
  <c r="EM127" i="2"/>
  <c r="EL127" i="2"/>
  <c r="EK127" i="2"/>
  <c r="EJ127" i="2"/>
  <c r="EI127" i="2"/>
  <c r="EH127" i="2"/>
  <c r="EG127" i="2"/>
  <c r="EF127" i="2"/>
  <c r="EE127" i="2"/>
  <c r="ED127" i="2"/>
  <c r="EC127" i="2"/>
  <c r="EA127" i="2"/>
  <c r="EB127" i="2" s="1"/>
  <c r="DZ127" i="2"/>
  <c r="DY127" i="2"/>
  <c r="DX127" i="2"/>
  <c r="DW127" i="2"/>
  <c r="DV127" i="2"/>
  <c r="DU127" i="2"/>
  <c r="DT127" i="2"/>
  <c r="DS127" i="2"/>
  <c r="DR127" i="2"/>
  <c r="DQ127" i="2"/>
  <c r="DP127" i="2"/>
  <c r="DN127" i="2"/>
  <c r="DO127" i="2" s="1"/>
  <c r="DM127" i="2"/>
  <c r="DL127" i="2"/>
  <c r="DK127" i="2"/>
  <c r="DJ127" i="2"/>
  <c r="DI127" i="2"/>
  <c r="DH127" i="2"/>
  <c r="DG127" i="2"/>
  <c r="DF127" i="2"/>
  <c r="DE127" i="2"/>
  <c r="DD127" i="2"/>
  <c r="DC127" i="2"/>
  <c r="DA127" i="2"/>
  <c r="DB127" i="2" s="1"/>
  <c r="CZ127" i="2"/>
  <c r="CY127" i="2"/>
  <c r="CX127" i="2"/>
  <c r="CW127" i="2"/>
  <c r="CV127" i="2"/>
  <c r="CU127" i="2"/>
  <c r="CT127" i="2"/>
  <c r="CS127" i="2"/>
  <c r="CR127" i="2"/>
  <c r="CQ127" i="2"/>
  <c r="CP127" i="2"/>
  <c r="CO127" i="2"/>
  <c r="CN127" i="2"/>
  <c r="CM127" i="2"/>
  <c r="CL127" i="2"/>
  <c r="CK127" i="2"/>
  <c r="CJ127" i="2"/>
  <c r="CI127" i="2"/>
  <c r="CH127" i="2"/>
  <c r="CG127" i="2"/>
  <c r="CF127" i="2"/>
  <c r="CE127" i="2"/>
  <c r="CD127" i="2"/>
  <c r="CC127" i="2"/>
  <c r="CB127" i="2"/>
  <c r="CA127" i="2"/>
  <c r="BZ127" i="2"/>
  <c r="BY127" i="2"/>
  <c r="BX127" i="2"/>
  <c r="BW127" i="2"/>
  <c r="BV127" i="2"/>
  <c r="BU127" i="2"/>
  <c r="BT127" i="2"/>
  <c r="BS127" i="2"/>
  <c r="BR127" i="2"/>
  <c r="BQ127" i="2"/>
  <c r="BP127" i="2"/>
  <c r="BN127" i="2"/>
  <c r="BO127" i="2" s="1"/>
  <c r="BM127" i="2"/>
  <c r="BL127" i="2"/>
  <c r="BK127" i="2"/>
  <c r="BJ127" i="2"/>
  <c r="BI127" i="2"/>
  <c r="BH127" i="2"/>
  <c r="BG127" i="2"/>
  <c r="BF127" i="2"/>
  <c r="BE127" i="2"/>
  <c r="BD127" i="2"/>
  <c r="BC127" i="2"/>
  <c r="BA127" i="2"/>
  <c r="BB127" i="2" s="1"/>
  <c r="AZ127" i="2"/>
  <c r="AY127" i="2"/>
  <c r="AX127" i="2"/>
  <c r="AW127" i="2"/>
  <c r="AV127" i="2"/>
  <c r="AU127" i="2"/>
  <c r="AT127" i="2"/>
  <c r="AS127" i="2"/>
  <c r="AR127" i="2"/>
  <c r="AQ127" i="2"/>
  <c r="AP127" i="2"/>
  <c r="AN127" i="2"/>
  <c r="AO127" i="2" s="1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N127" i="2"/>
  <c r="O127" i="2" s="1"/>
  <c r="M127" i="2"/>
  <c r="L127" i="2"/>
  <c r="K127" i="2"/>
  <c r="J127" i="2"/>
  <c r="I127" i="2"/>
  <c r="H127" i="2"/>
  <c r="G127" i="2"/>
  <c r="F127" i="2"/>
  <c r="E127" i="2"/>
  <c r="D127" i="2"/>
  <c r="C127" i="2"/>
  <c r="FI126" i="2"/>
  <c r="FO126" i="2" s="1"/>
  <c r="FH126" i="2"/>
  <c r="FG126" i="2"/>
  <c r="FF126" i="2"/>
  <c r="FE126" i="2"/>
  <c r="FD126" i="2"/>
  <c r="FC126" i="2"/>
  <c r="FA126" i="2"/>
  <c r="FB126" i="2" s="1"/>
  <c r="EZ126" i="2"/>
  <c r="EY126" i="2"/>
  <c r="EX126" i="2"/>
  <c r="EW126" i="2"/>
  <c r="EV126" i="2"/>
  <c r="EU126" i="2"/>
  <c r="ET126" i="2"/>
  <c r="ES126" i="2"/>
  <c r="ER126" i="2"/>
  <c r="EQ126" i="2"/>
  <c r="EP126" i="2"/>
  <c r="EO126" i="2"/>
  <c r="EN126" i="2"/>
  <c r="EM126" i="2"/>
  <c r="EL126" i="2"/>
  <c r="EK126" i="2"/>
  <c r="EJ126" i="2"/>
  <c r="EI126" i="2"/>
  <c r="EH126" i="2"/>
  <c r="EG126" i="2"/>
  <c r="EF126" i="2"/>
  <c r="EE126" i="2"/>
  <c r="ED126" i="2"/>
  <c r="EC126" i="2"/>
  <c r="EB126" i="2"/>
  <c r="EA126" i="2"/>
  <c r="DZ126" i="2"/>
  <c r="DY126" i="2"/>
  <c r="DX126" i="2"/>
  <c r="DW126" i="2"/>
  <c r="DV126" i="2"/>
  <c r="DU126" i="2"/>
  <c r="DT126" i="2"/>
  <c r="DS126" i="2"/>
  <c r="DR126" i="2"/>
  <c r="DQ126" i="2"/>
  <c r="DP126" i="2"/>
  <c r="DN126" i="2"/>
  <c r="DO126" i="2" s="1"/>
  <c r="DM126" i="2"/>
  <c r="DL126" i="2"/>
  <c r="DK126" i="2"/>
  <c r="DJ126" i="2"/>
  <c r="DI126" i="2"/>
  <c r="DH126" i="2"/>
  <c r="DG126" i="2"/>
  <c r="DF126" i="2"/>
  <c r="DE126" i="2"/>
  <c r="DD126" i="2"/>
  <c r="DC126" i="2"/>
  <c r="DA126" i="2"/>
  <c r="DB126" i="2" s="1"/>
  <c r="CZ126" i="2"/>
  <c r="CY126" i="2"/>
  <c r="CX126" i="2"/>
  <c r="CW126" i="2"/>
  <c r="CV126" i="2"/>
  <c r="CU126" i="2"/>
  <c r="CT126" i="2"/>
  <c r="CS126" i="2"/>
  <c r="CR126" i="2"/>
  <c r="CQ126" i="2"/>
  <c r="CP126" i="2"/>
  <c r="CN126" i="2"/>
  <c r="CO126" i="2" s="1"/>
  <c r="CM126" i="2"/>
  <c r="CL126" i="2"/>
  <c r="CK126" i="2"/>
  <c r="CJ126" i="2"/>
  <c r="CI126" i="2"/>
  <c r="CH126" i="2"/>
  <c r="CG126" i="2"/>
  <c r="CF126" i="2"/>
  <c r="CE126" i="2"/>
  <c r="CD126" i="2"/>
  <c r="CC126" i="2"/>
  <c r="CA126" i="2"/>
  <c r="CB126" i="2" s="1"/>
  <c r="BZ126" i="2"/>
  <c r="BY126" i="2"/>
  <c r="BX126" i="2"/>
  <c r="BW126" i="2"/>
  <c r="BV126" i="2"/>
  <c r="BU126" i="2"/>
  <c r="BT126" i="2"/>
  <c r="BS126" i="2"/>
  <c r="BR126" i="2"/>
  <c r="BQ126" i="2"/>
  <c r="BP126" i="2"/>
  <c r="BO126" i="2"/>
  <c r="BN126" i="2"/>
  <c r="BM126" i="2"/>
  <c r="BL126" i="2"/>
  <c r="BK126" i="2"/>
  <c r="BJ126" i="2"/>
  <c r="BI126" i="2"/>
  <c r="BH126" i="2"/>
  <c r="BG126" i="2"/>
  <c r="BF126" i="2"/>
  <c r="BE126" i="2"/>
  <c r="BD126" i="2"/>
  <c r="BC126" i="2"/>
  <c r="BA126" i="2"/>
  <c r="BB126" i="2" s="1"/>
  <c r="AZ126" i="2"/>
  <c r="AY126" i="2"/>
  <c r="AX126" i="2"/>
  <c r="AW126" i="2"/>
  <c r="AV126" i="2"/>
  <c r="AU126" i="2"/>
  <c r="AT126" i="2"/>
  <c r="AS126" i="2"/>
  <c r="AR126" i="2"/>
  <c r="AQ126" i="2"/>
  <c r="AP126" i="2"/>
  <c r="AN126" i="2"/>
  <c r="AO126" i="2" s="1"/>
  <c r="AM126" i="2"/>
  <c r="AL126" i="2"/>
  <c r="AK126" i="2"/>
  <c r="AJ126" i="2"/>
  <c r="AI126" i="2"/>
  <c r="AH126" i="2"/>
  <c r="AG126" i="2"/>
  <c r="AF126" i="2"/>
  <c r="AE126" i="2"/>
  <c r="AD126" i="2"/>
  <c r="AC126" i="2"/>
  <c r="AA126" i="2"/>
  <c r="AB126" i="2" s="1"/>
  <c r="Z126" i="2"/>
  <c r="Y126" i="2"/>
  <c r="X126" i="2"/>
  <c r="W126" i="2"/>
  <c r="V126" i="2"/>
  <c r="U126" i="2"/>
  <c r="T126" i="2"/>
  <c r="S126" i="2"/>
  <c r="R126" i="2"/>
  <c r="Q126" i="2"/>
  <c r="P126" i="2"/>
  <c r="N126" i="2"/>
  <c r="O126" i="2" s="1"/>
  <c r="M126" i="2"/>
  <c r="L126" i="2"/>
  <c r="K126" i="2"/>
  <c r="J126" i="2"/>
  <c r="I126" i="2"/>
  <c r="H126" i="2"/>
  <c r="G126" i="2"/>
  <c r="F126" i="2"/>
  <c r="E126" i="2"/>
  <c r="D126" i="2"/>
  <c r="C126" i="2"/>
  <c r="FI125" i="2"/>
  <c r="FO125" i="2" s="1"/>
  <c r="FH125" i="2"/>
  <c r="FG125" i="2"/>
  <c r="FF125" i="2"/>
  <c r="FE125" i="2"/>
  <c r="FD125" i="2"/>
  <c r="FC125" i="2"/>
  <c r="FA125" i="2"/>
  <c r="FB125" i="2" s="1"/>
  <c r="EZ125" i="2"/>
  <c r="EY125" i="2"/>
  <c r="EX125" i="2"/>
  <c r="EW125" i="2"/>
  <c r="EV125" i="2"/>
  <c r="EU125" i="2"/>
  <c r="ET125" i="2"/>
  <c r="ES125" i="2"/>
  <c r="ER125" i="2"/>
  <c r="EQ125" i="2"/>
  <c r="EP125" i="2"/>
  <c r="EO125" i="2"/>
  <c r="EN125" i="2"/>
  <c r="EM125" i="2"/>
  <c r="EL125" i="2"/>
  <c r="EK125" i="2"/>
  <c r="EJ125" i="2"/>
  <c r="EI125" i="2"/>
  <c r="EH125" i="2"/>
  <c r="EG125" i="2"/>
  <c r="EF125" i="2"/>
  <c r="EE125" i="2"/>
  <c r="ED125" i="2"/>
  <c r="EC125" i="2"/>
  <c r="EA125" i="2"/>
  <c r="EB125" i="2" s="1"/>
  <c r="DZ125" i="2"/>
  <c r="DY125" i="2"/>
  <c r="DX125" i="2"/>
  <c r="DW125" i="2"/>
  <c r="DV125" i="2"/>
  <c r="DU125" i="2"/>
  <c r="DT125" i="2"/>
  <c r="DS125" i="2"/>
  <c r="DR125" i="2"/>
  <c r="DQ125" i="2"/>
  <c r="DP125" i="2"/>
  <c r="DN125" i="2"/>
  <c r="DO125" i="2" s="1"/>
  <c r="DM125" i="2"/>
  <c r="DL125" i="2"/>
  <c r="DK125" i="2"/>
  <c r="DJ125" i="2"/>
  <c r="DI125" i="2"/>
  <c r="DH125" i="2"/>
  <c r="DG125" i="2"/>
  <c r="DF125" i="2"/>
  <c r="DE125" i="2"/>
  <c r="DD125" i="2"/>
  <c r="DC125" i="2"/>
  <c r="DA125" i="2"/>
  <c r="DB125" i="2" s="1"/>
  <c r="CZ125" i="2"/>
  <c r="CY125" i="2"/>
  <c r="CX125" i="2"/>
  <c r="CW125" i="2"/>
  <c r="CV125" i="2"/>
  <c r="CU125" i="2"/>
  <c r="CT125" i="2"/>
  <c r="CS125" i="2"/>
  <c r="CR125" i="2"/>
  <c r="CQ125" i="2"/>
  <c r="CP125" i="2"/>
  <c r="CN125" i="2"/>
  <c r="CO125" i="2" s="1"/>
  <c r="CM125" i="2"/>
  <c r="CL125" i="2"/>
  <c r="CK125" i="2"/>
  <c r="CJ125" i="2"/>
  <c r="CI125" i="2"/>
  <c r="CH125" i="2"/>
  <c r="CG125" i="2"/>
  <c r="CF125" i="2"/>
  <c r="CE125" i="2"/>
  <c r="CD125" i="2"/>
  <c r="CC125" i="2"/>
  <c r="CB125" i="2"/>
  <c r="CA125" i="2"/>
  <c r="BZ125" i="2"/>
  <c r="BY125" i="2"/>
  <c r="BX125" i="2"/>
  <c r="BW125" i="2"/>
  <c r="BV125" i="2"/>
  <c r="BU125" i="2"/>
  <c r="BT125" i="2"/>
  <c r="BS125" i="2"/>
  <c r="BR125" i="2"/>
  <c r="BQ125" i="2"/>
  <c r="BP125" i="2"/>
  <c r="BN125" i="2"/>
  <c r="BO125" i="2" s="1"/>
  <c r="BM125" i="2"/>
  <c r="BL125" i="2"/>
  <c r="BK125" i="2"/>
  <c r="BJ125" i="2"/>
  <c r="BI125" i="2"/>
  <c r="BH125" i="2"/>
  <c r="BG125" i="2"/>
  <c r="BF125" i="2"/>
  <c r="BE125" i="2"/>
  <c r="BD125" i="2"/>
  <c r="BC125" i="2"/>
  <c r="BA125" i="2"/>
  <c r="BB125" i="2" s="1"/>
  <c r="AZ125" i="2"/>
  <c r="AY125" i="2"/>
  <c r="AX125" i="2"/>
  <c r="AW125" i="2"/>
  <c r="AV125" i="2"/>
  <c r="AU125" i="2"/>
  <c r="AT125" i="2"/>
  <c r="AS125" i="2"/>
  <c r="AR125" i="2"/>
  <c r="AQ125" i="2"/>
  <c r="AP125" i="2"/>
  <c r="AN125" i="2"/>
  <c r="AO125" i="2" s="1"/>
  <c r="AM125" i="2"/>
  <c r="AL125" i="2"/>
  <c r="AK125" i="2"/>
  <c r="AJ125" i="2"/>
  <c r="AI125" i="2"/>
  <c r="AH125" i="2"/>
  <c r="AG125" i="2"/>
  <c r="AF125" i="2"/>
  <c r="AE125" i="2"/>
  <c r="AD125" i="2"/>
  <c r="AC125" i="2"/>
  <c r="AA125" i="2"/>
  <c r="AB125" i="2" s="1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FI124" i="2"/>
  <c r="FO124" i="2" s="1"/>
  <c r="FH124" i="2"/>
  <c r="FG124" i="2"/>
  <c r="FF124" i="2"/>
  <c r="FE124" i="2"/>
  <c r="FD124" i="2"/>
  <c r="FC124" i="2"/>
  <c r="FA124" i="2"/>
  <c r="FB124" i="2" s="1"/>
  <c r="EZ124" i="2"/>
  <c r="EY124" i="2"/>
  <c r="EX124" i="2"/>
  <c r="EW124" i="2"/>
  <c r="EV124" i="2"/>
  <c r="EU124" i="2"/>
  <c r="ET124" i="2"/>
  <c r="ES124" i="2"/>
  <c r="ER124" i="2"/>
  <c r="EQ124" i="2"/>
  <c r="EP124" i="2"/>
  <c r="EN124" i="2"/>
  <c r="EO124" i="2" s="1"/>
  <c r="EM124" i="2"/>
  <c r="EL124" i="2"/>
  <c r="EK124" i="2"/>
  <c r="EJ124" i="2"/>
  <c r="EI124" i="2"/>
  <c r="EH124" i="2"/>
  <c r="EG124" i="2"/>
  <c r="EF124" i="2"/>
  <c r="EE124" i="2"/>
  <c r="ED124" i="2"/>
  <c r="EC124" i="2"/>
  <c r="EA124" i="2"/>
  <c r="EB124" i="2" s="1"/>
  <c r="DZ124" i="2"/>
  <c r="DY124" i="2"/>
  <c r="DX124" i="2"/>
  <c r="DW124" i="2"/>
  <c r="DV124" i="2"/>
  <c r="DU124" i="2"/>
  <c r="DT124" i="2"/>
  <c r="DS124" i="2"/>
  <c r="DR124" i="2"/>
  <c r="DQ124" i="2"/>
  <c r="DP124" i="2"/>
  <c r="DN124" i="2"/>
  <c r="DO124" i="2" s="1"/>
  <c r="DM124" i="2"/>
  <c r="DL124" i="2"/>
  <c r="DK124" i="2"/>
  <c r="DJ124" i="2"/>
  <c r="DI124" i="2"/>
  <c r="DH124" i="2"/>
  <c r="DG124" i="2"/>
  <c r="DF124" i="2"/>
  <c r="DE124" i="2"/>
  <c r="DD124" i="2"/>
  <c r="DC124" i="2"/>
  <c r="DA124" i="2"/>
  <c r="DB124" i="2" s="1"/>
  <c r="CZ124" i="2"/>
  <c r="CY124" i="2"/>
  <c r="CX124" i="2"/>
  <c r="CW124" i="2"/>
  <c r="CV124" i="2"/>
  <c r="CU124" i="2"/>
  <c r="CT124" i="2"/>
  <c r="CS124" i="2"/>
  <c r="CR124" i="2"/>
  <c r="CQ124" i="2"/>
  <c r="CP124" i="2"/>
  <c r="CN124" i="2"/>
  <c r="CO124" i="2" s="1"/>
  <c r="CM124" i="2"/>
  <c r="CL124" i="2"/>
  <c r="CK124" i="2"/>
  <c r="CJ124" i="2"/>
  <c r="CI124" i="2"/>
  <c r="CH124" i="2"/>
  <c r="CG124" i="2"/>
  <c r="CF124" i="2"/>
  <c r="CE124" i="2"/>
  <c r="CD124" i="2"/>
  <c r="CC124" i="2"/>
  <c r="CB124" i="2"/>
  <c r="CA124" i="2"/>
  <c r="BZ124" i="2"/>
  <c r="BY124" i="2"/>
  <c r="BX124" i="2"/>
  <c r="BW124" i="2"/>
  <c r="BV124" i="2"/>
  <c r="BU124" i="2"/>
  <c r="BT124" i="2"/>
  <c r="BS124" i="2"/>
  <c r="BR124" i="2"/>
  <c r="BQ124" i="2"/>
  <c r="BP124" i="2"/>
  <c r="BN124" i="2"/>
  <c r="BO124" i="2" s="1"/>
  <c r="BM124" i="2"/>
  <c r="BL124" i="2"/>
  <c r="BK124" i="2"/>
  <c r="BJ124" i="2"/>
  <c r="BI124" i="2"/>
  <c r="BH124" i="2"/>
  <c r="BG124" i="2"/>
  <c r="BF124" i="2"/>
  <c r="BE124" i="2"/>
  <c r="BD124" i="2"/>
  <c r="BC124" i="2"/>
  <c r="BA124" i="2"/>
  <c r="BB124" i="2" s="1"/>
  <c r="AZ124" i="2"/>
  <c r="AY124" i="2"/>
  <c r="AX124" i="2"/>
  <c r="AW124" i="2"/>
  <c r="AV124" i="2"/>
  <c r="AU124" i="2"/>
  <c r="AT124" i="2"/>
  <c r="AS124" i="2"/>
  <c r="AR124" i="2"/>
  <c r="AQ124" i="2"/>
  <c r="AP124" i="2"/>
  <c r="AN124" i="2"/>
  <c r="AO124" i="2" s="1"/>
  <c r="AM124" i="2"/>
  <c r="AL124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N124" i="2"/>
  <c r="O124" i="2" s="1"/>
  <c r="M124" i="2"/>
  <c r="L124" i="2"/>
  <c r="K124" i="2"/>
  <c r="J124" i="2"/>
  <c r="I124" i="2"/>
  <c r="H124" i="2"/>
  <c r="G124" i="2"/>
  <c r="F124" i="2"/>
  <c r="E124" i="2"/>
  <c r="D124" i="2"/>
  <c r="C124" i="2"/>
  <c r="FO123" i="2"/>
  <c r="FI123" i="2"/>
  <c r="FH123" i="2"/>
  <c r="FG123" i="2"/>
  <c r="FF123" i="2"/>
  <c r="FE123" i="2"/>
  <c r="FD123" i="2"/>
  <c r="FC123" i="2"/>
  <c r="FA123" i="2"/>
  <c r="FB123" i="2" s="1"/>
  <c r="EZ123" i="2"/>
  <c r="EY123" i="2"/>
  <c r="EX123" i="2"/>
  <c r="EW123" i="2"/>
  <c r="EV123" i="2"/>
  <c r="EU123" i="2"/>
  <c r="ET123" i="2"/>
  <c r="ES123" i="2"/>
  <c r="ER123" i="2"/>
  <c r="EQ123" i="2"/>
  <c r="EP123" i="2"/>
  <c r="EN123" i="2"/>
  <c r="EO123" i="2" s="1"/>
  <c r="EM123" i="2"/>
  <c r="EL123" i="2"/>
  <c r="EK123" i="2"/>
  <c r="EJ123" i="2"/>
  <c r="EI123" i="2"/>
  <c r="EH123" i="2"/>
  <c r="EG123" i="2"/>
  <c r="EF123" i="2"/>
  <c r="EE123" i="2"/>
  <c r="ED123" i="2"/>
  <c r="EC123" i="2"/>
  <c r="EA123" i="2"/>
  <c r="EB123" i="2" s="1"/>
  <c r="DZ123" i="2"/>
  <c r="DY123" i="2"/>
  <c r="DX123" i="2"/>
  <c r="DW123" i="2"/>
  <c r="DV123" i="2"/>
  <c r="DU123" i="2"/>
  <c r="DT123" i="2"/>
  <c r="DS123" i="2"/>
  <c r="DR123" i="2"/>
  <c r="DQ123" i="2"/>
  <c r="DP123" i="2"/>
  <c r="DN123" i="2"/>
  <c r="DO123" i="2" s="1"/>
  <c r="DM123" i="2"/>
  <c r="DL123" i="2"/>
  <c r="DK123" i="2"/>
  <c r="DJ123" i="2"/>
  <c r="DI123" i="2"/>
  <c r="DH123" i="2"/>
  <c r="DG123" i="2"/>
  <c r="DF123" i="2"/>
  <c r="DE123" i="2"/>
  <c r="DD123" i="2"/>
  <c r="DC123" i="2"/>
  <c r="DB123" i="2"/>
  <c r="DA123" i="2"/>
  <c r="CZ123" i="2"/>
  <c r="CY123" i="2"/>
  <c r="CX123" i="2"/>
  <c r="CW123" i="2"/>
  <c r="CV123" i="2"/>
  <c r="CU123" i="2"/>
  <c r="CT123" i="2"/>
  <c r="CS123" i="2"/>
  <c r="CR123" i="2"/>
  <c r="CQ123" i="2"/>
  <c r="CP123" i="2"/>
  <c r="CN123" i="2"/>
  <c r="CO123" i="2" s="1"/>
  <c r="CM123" i="2"/>
  <c r="CL123" i="2"/>
  <c r="CK123" i="2"/>
  <c r="CJ123" i="2"/>
  <c r="CI123" i="2"/>
  <c r="CH123" i="2"/>
  <c r="CG123" i="2"/>
  <c r="CF123" i="2"/>
  <c r="CE123" i="2"/>
  <c r="CD123" i="2"/>
  <c r="CC123" i="2"/>
  <c r="CA123" i="2"/>
  <c r="CB123" i="2" s="1"/>
  <c r="BZ123" i="2"/>
  <c r="BY123" i="2"/>
  <c r="BX123" i="2"/>
  <c r="BW123" i="2"/>
  <c r="BV123" i="2"/>
  <c r="BU123" i="2"/>
  <c r="BT123" i="2"/>
  <c r="BS123" i="2"/>
  <c r="BR123" i="2"/>
  <c r="BQ123" i="2"/>
  <c r="BP123" i="2"/>
  <c r="BN123" i="2"/>
  <c r="BO123" i="2" s="1"/>
  <c r="BM123" i="2"/>
  <c r="BL123" i="2"/>
  <c r="BK123" i="2"/>
  <c r="BJ123" i="2"/>
  <c r="BI123" i="2"/>
  <c r="BH123" i="2"/>
  <c r="BG123" i="2"/>
  <c r="BF123" i="2"/>
  <c r="BE123" i="2"/>
  <c r="BD123" i="2"/>
  <c r="BC123" i="2"/>
  <c r="BA123" i="2"/>
  <c r="BB123" i="2" s="1"/>
  <c r="AZ123" i="2"/>
  <c r="AY123" i="2"/>
  <c r="AX123" i="2"/>
  <c r="AW123" i="2"/>
  <c r="AV123" i="2"/>
  <c r="AU123" i="2"/>
  <c r="AT123" i="2"/>
  <c r="AS123" i="2"/>
  <c r="AR123" i="2"/>
  <c r="AQ123" i="2"/>
  <c r="AP123" i="2"/>
  <c r="AN123" i="2"/>
  <c r="AO123" i="2" s="1"/>
  <c r="AM123" i="2"/>
  <c r="AL123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N123" i="2"/>
  <c r="O123" i="2" s="1"/>
  <c r="M123" i="2"/>
  <c r="L123" i="2"/>
  <c r="K123" i="2"/>
  <c r="J123" i="2"/>
  <c r="I123" i="2"/>
  <c r="H123" i="2"/>
  <c r="G123" i="2"/>
  <c r="F123" i="2"/>
  <c r="E123" i="2"/>
  <c r="D123" i="2"/>
  <c r="C123" i="2"/>
  <c r="FI122" i="2"/>
  <c r="FO122" i="2" s="1"/>
  <c r="FH122" i="2"/>
  <c r="FG122" i="2"/>
  <c r="FF122" i="2"/>
  <c r="FE122" i="2"/>
  <c r="FD122" i="2"/>
  <c r="FC122" i="2"/>
  <c r="FA122" i="2"/>
  <c r="FB122" i="2" s="1"/>
  <c r="EZ122" i="2"/>
  <c r="EY122" i="2"/>
  <c r="EX122" i="2"/>
  <c r="EW122" i="2"/>
  <c r="EV122" i="2"/>
  <c r="EU122" i="2"/>
  <c r="ET122" i="2"/>
  <c r="ES122" i="2"/>
  <c r="ER122" i="2"/>
  <c r="EQ122" i="2"/>
  <c r="EP122" i="2"/>
  <c r="EN122" i="2"/>
  <c r="EO122" i="2" s="1"/>
  <c r="EM122" i="2"/>
  <c r="EL122" i="2"/>
  <c r="EK122" i="2"/>
  <c r="EJ122" i="2"/>
  <c r="EI122" i="2"/>
  <c r="EH122" i="2"/>
  <c r="EG122" i="2"/>
  <c r="EF122" i="2"/>
  <c r="EE122" i="2"/>
  <c r="ED122" i="2"/>
  <c r="EC122" i="2"/>
  <c r="EA122" i="2"/>
  <c r="EB122" i="2" s="1"/>
  <c r="DZ122" i="2"/>
  <c r="DY122" i="2"/>
  <c r="DX122" i="2"/>
  <c r="DW122" i="2"/>
  <c r="DV122" i="2"/>
  <c r="DU122" i="2"/>
  <c r="DT122" i="2"/>
  <c r="DS122" i="2"/>
  <c r="DR122" i="2"/>
  <c r="DQ122" i="2"/>
  <c r="DP122" i="2"/>
  <c r="DN122" i="2"/>
  <c r="DO122" i="2" s="1"/>
  <c r="DM122" i="2"/>
  <c r="DL122" i="2"/>
  <c r="DK122" i="2"/>
  <c r="DJ122" i="2"/>
  <c r="DI122" i="2"/>
  <c r="DH122" i="2"/>
  <c r="DG122" i="2"/>
  <c r="DF122" i="2"/>
  <c r="DE122" i="2"/>
  <c r="DD122" i="2"/>
  <c r="DC122" i="2"/>
  <c r="DA122" i="2"/>
  <c r="DB122" i="2" s="1"/>
  <c r="CZ122" i="2"/>
  <c r="CY122" i="2"/>
  <c r="CX122" i="2"/>
  <c r="CW122" i="2"/>
  <c r="CV122" i="2"/>
  <c r="CU122" i="2"/>
  <c r="CT122" i="2"/>
  <c r="CS122" i="2"/>
  <c r="CR122" i="2"/>
  <c r="CQ122" i="2"/>
  <c r="CP122" i="2"/>
  <c r="CO122" i="2"/>
  <c r="CN122" i="2"/>
  <c r="CM122" i="2"/>
  <c r="CL122" i="2"/>
  <c r="CK122" i="2"/>
  <c r="CJ122" i="2"/>
  <c r="CI122" i="2"/>
  <c r="CH122" i="2"/>
  <c r="CG122" i="2"/>
  <c r="CF122" i="2"/>
  <c r="CE122" i="2"/>
  <c r="CD122" i="2"/>
  <c r="CC122" i="2"/>
  <c r="CA122" i="2"/>
  <c r="CB122" i="2" s="1"/>
  <c r="BZ122" i="2"/>
  <c r="BY122" i="2"/>
  <c r="BX122" i="2"/>
  <c r="BW122" i="2"/>
  <c r="BV122" i="2"/>
  <c r="BU122" i="2"/>
  <c r="BT122" i="2"/>
  <c r="BS122" i="2"/>
  <c r="BR122" i="2"/>
  <c r="BQ122" i="2"/>
  <c r="BP122" i="2"/>
  <c r="BN122" i="2"/>
  <c r="BO122" i="2" s="1"/>
  <c r="BM122" i="2"/>
  <c r="BL122" i="2"/>
  <c r="BK122" i="2"/>
  <c r="BJ122" i="2"/>
  <c r="BI122" i="2"/>
  <c r="BH122" i="2"/>
  <c r="BG122" i="2"/>
  <c r="BF122" i="2"/>
  <c r="BE122" i="2"/>
  <c r="BD122" i="2"/>
  <c r="BC122" i="2"/>
  <c r="BA122" i="2"/>
  <c r="BB122" i="2" s="1"/>
  <c r="AZ122" i="2"/>
  <c r="AY122" i="2"/>
  <c r="AX122" i="2"/>
  <c r="AW122" i="2"/>
  <c r="AV122" i="2"/>
  <c r="AU122" i="2"/>
  <c r="AT122" i="2"/>
  <c r="AS122" i="2"/>
  <c r="AR122" i="2"/>
  <c r="AQ122" i="2"/>
  <c r="AP122" i="2"/>
  <c r="AN122" i="2"/>
  <c r="AO122" i="2" s="1"/>
  <c r="AM122" i="2"/>
  <c r="AL122" i="2"/>
  <c r="AK122" i="2"/>
  <c r="AJ122" i="2"/>
  <c r="AI122" i="2"/>
  <c r="AH122" i="2"/>
  <c r="AG122" i="2"/>
  <c r="AF122" i="2"/>
  <c r="AE122" i="2"/>
  <c r="AD122" i="2"/>
  <c r="AC122" i="2"/>
  <c r="AA122" i="2"/>
  <c r="AB122" i="2" s="1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FI121" i="2"/>
  <c r="FO121" i="2" s="1"/>
  <c r="FH121" i="2"/>
  <c r="FG121" i="2"/>
  <c r="FF121" i="2"/>
  <c r="FE121" i="2"/>
  <c r="FD121" i="2"/>
  <c r="FC121" i="2"/>
  <c r="FA121" i="2"/>
  <c r="FB121" i="2" s="1"/>
  <c r="EZ121" i="2"/>
  <c r="EY121" i="2"/>
  <c r="EX121" i="2"/>
  <c r="EW121" i="2"/>
  <c r="EV121" i="2"/>
  <c r="EU121" i="2"/>
  <c r="ET121" i="2"/>
  <c r="ES121" i="2"/>
  <c r="ER121" i="2"/>
  <c r="EQ121" i="2"/>
  <c r="EP121" i="2"/>
  <c r="EN121" i="2"/>
  <c r="EO121" i="2" s="1"/>
  <c r="EM121" i="2"/>
  <c r="EL121" i="2"/>
  <c r="EK121" i="2"/>
  <c r="EJ121" i="2"/>
  <c r="EI121" i="2"/>
  <c r="EH121" i="2"/>
  <c r="EG121" i="2"/>
  <c r="EF121" i="2"/>
  <c r="EE121" i="2"/>
  <c r="ED121" i="2"/>
  <c r="EC121" i="2"/>
  <c r="EA121" i="2"/>
  <c r="EB121" i="2" s="1"/>
  <c r="DZ121" i="2"/>
  <c r="DY121" i="2"/>
  <c r="DX121" i="2"/>
  <c r="DW121" i="2"/>
  <c r="DV121" i="2"/>
  <c r="DU121" i="2"/>
  <c r="DT121" i="2"/>
  <c r="DS121" i="2"/>
  <c r="DR121" i="2"/>
  <c r="DQ121" i="2"/>
  <c r="DP121" i="2"/>
  <c r="DO121" i="2"/>
  <c r="DN121" i="2"/>
  <c r="DM121" i="2"/>
  <c r="DL121" i="2"/>
  <c r="DK121" i="2"/>
  <c r="DJ121" i="2"/>
  <c r="DI121" i="2"/>
  <c r="DH121" i="2"/>
  <c r="DG121" i="2"/>
  <c r="DF121" i="2"/>
  <c r="DE121" i="2"/>
  <c r="DD121" i="2"/>
  <c r="DC121" i="2"/>
  <c r="DA121" i="2"/>
  <c r="DB121" i="2" s="1"/>
  <c r="CZ121" i="2"/>
  <c r="CY121" i="2"/>
  <c r="CX121" i="2"/>
  <c r="CW121" i="2"/>
  <c r="CV121" i="2"/>
  <c r="CU121" i="2"/>
  <c r="CT121" i="2"/>
  <c r="CS121" i="2"/>
  <c r="CR121" i="2"/>
  <c r="CQ121" i="2"/>
  <c r="CP121" i="2"/>
  <c r="CN121" i="2"/>
  <c r="CO121" i="2" s="1"/>
  <c r="CM121" i="2"/>
  <c r="CL121" i="2"/>
  <c r="CK121" i="2"/>
  <c r="CJ121" i="2"/>
  <c r="CI121" i="2"/>
  <c r="CH121" i="2"/>
  <c r="CG121" i="2"/>
  <c r="CF121" i="2"/>
  <c r="CE121" i="2"/>
  <c r="CD121" i="2"/>
  <c r="CC121" i="2"/>
  <c r="CA121" i="2"/>
  <c r="CB121" i="2" s="1"/>
  <c r="BZ121" i="2"/>
  <c r="BY121" i="2"/>
  <c r="BX121" i="2"/>
  <c r="BW121" i="2"/>
  <c r="BV121" i="2"/>
  <c r="BU121" i="2"/>
  <c r="BT121" i="2"/>
  <c r="BS121" i="2"/>
  <c r="BR121" i="2"/>
  <c r="BQ121" i="2"/>
  <c r="BP121" i="2"/>
  <c r="BN121" i="2"/>
  <c r="BO121" i="2" s="1"/>
  <c r="BM121" i="2"/>
  <c r="BL121" i="2"/>
  <c r="BK121" i="2"/>
  <c r="BJ121" i="2"/>
  <c r="BI121" i="2"/>
  <c r="BH121" i="2"/>
  <c r="BG121" i="2"/>
  <c r="BF121" i="2"/>
  <c r="BE121" i="2"/>
  <c r="BD121" i="2"/>
  <c r="BC121" i="2"/>
  <c r="BA121" i="2"/>
  <c r="BB121" i="2" s="1"/>
  <c r="AZ121" i="2"/>
  <c r="AY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K121" i="2"/>
  <c r="AJ121" i="2"/>
  <c r="AI121" i="2"/>
  <c r="AH121" i="2"/>
  <c r="AG121" i="2"/>
  <c r="AF121" i="2"/>
  <c r="AE121" i="2"/>
  <c r="AD121" i="2"/>
  <c r="AC121" i="2"/>
  <c r="AA121" i="2"/>
  <c r="AB121" i="2" s="1"/>
  <c r="Z121" i="2"/>
  <c r="Y121" i="2"/>
  <c r="X121" i="2"/>
  <c r="W121" i="2"/>
  <c r="V121" i="2"/>
  <c r="U121" i="2"/>
  <c r="T121" i="2"/>
  <c r="S121" i="2"/>
  <c r="R121" i="2"/>
  <c r="Q121" i="2"/>
  <c r="P121" i="2"/>
  <c r="N121" i="2"/>
  <c r="O121" i="2" s="1"/>
  <c r="M121" i="2"/>
  <c r="L121" i="2"/>
  <c r="K121" i="2"/>
  <c r="J121" i="2"/>
  <c r="I121" i="2"/>
  <c r="H121" i="2"/>
  <c r="G121" i="2"/>
  <c r="F121" i="2"/>
  <c r="E121" i="2"/>
  <c r="D121" i="2"/>
  <c r="C121" i="2"/>
  <c r="FI120" i="2"/>
  <c r="FO120" i="2" s="1"/>
  <c r="FH120" i="2"/>
  <c r="FG120" i="2"/>
  <c r="FF120" i="2"/>
  <c r="FE120" i="2"/>
  <c r="FD120" i="2"/>
  <c r="FC120" i="2"/>
  <c r="FA120" i="2"/>
  <c r="FB120" i="2" s="1"/>
  <c r="EZ120" i="2"/>
  <c r="EY120" i="2"/>
  <c r="EX120" i="2"/>
  <c r="EW120" i="2"/>
  <c r="EV120" i="2"/>
  <c r="EU120" i="2"/>
  <c r="ET120" i="2"/>
  <c r="ES120" i="2"/>
  <c r="ER120" i="2"/>
  <c r="EQ120" i="2"/>
  <c r="EP120" i="2"/>
  <c r="EO120" i="2"/>
  <c r="EN120" i="2"/>
  <c r="EM120" i="2"/>
  <c r="EL120" i="2"/>
  <c r="EK120" i="2"/>
  <c r="EJ120" i="2"/>
  <c r="EI120" i="2"/>
  <c r="EH120" i="2"/>
  <c r="EG120" i="2"/>
  <c r="EF120" i="2"/>
  <c r="EE120" i="2"/>
  <c r="ED120" i="2"/>
  <c r="EC120" i="2"/>
  <c r="EA120" i="2"/>
  <c r="EB120" i="2" s="1"/>
  <c r="DZ120" i="2"/>
  <c r="DY120" i="2"/>
  <c r="DX120" i="2"/>
  <c r="DW120" i="2"/>
  <c r="DV120" i="2"/>
  <c r="DU120" i="2"/>
  <c r="DT120" i="2"/>
  <c r="DS120" i="2"/>
  <c r="DR120" i="2"/>
  <c r="DQ120" i="2"/>
  <c r="DP120" i="2"/>
  <c r="DN120" i="2"/>
  <c r="DO120" i="2" s="1"/>
  <c r="DM120" i="2"/>
  <c r="DL120" i="2"/>
  <c r="DK120" i="2"/>
  <c r="DJ120" i="2"/>
  <c r="DI120" i="2"/>
  <c r="DH120" i="2"/>
  <c r="DG120" i="2"/>
  <c r="DF120" i="2"/>
  <c r="DE120" i="2"/>
  <c r="DD120" i="2"/>
  <c r="DC120" i="2"/>
  <c r="DA120" i="2"/>
  <c r="DB120" i="2" s="1"/>
  <c r="CZ120" i="2"/>
  <c r="CY120" i="2"/>
  <c r="CX120" i="2"/>
  <c r="CW120" i="2"/>
  <c r="CV120" i="2"/>
  <c r="CU120" i="2"/>
  <c r="CT120" i="2"/>
  <c r="CS120" i="2"/>
  <c r="CR120" i="2"/>
  <c r="CQ120" i="2"/>
  <c r="CP120" i="2"/>
  <c r="CO120" i="2"/>
  <c r="CN120" i="2"/>
  <c r="CM120" i="2"/>
  <c r="CL120" i="2"/>
  <c r="CK120" i="2"/>
  <c r="CJ120" i="2"/>
  <c r="CI120" i="2"/>
  <c r="CH120" i="2"/>
  <c r="CG120" i="2"/>
  <c r="CF120" i="2"/>
  <c r="CE120" i="2"/>
  <c r="CD120" i="2"/>
  <c r="CC120" i="2"/>
  <c r="CA120" i="2"/>
  <c r="CB120" i="2" s="1"/>
  <c r="BZ120" i="2"/>
  <c r="BY120" i="2"/>
  <c r="BX120" i="2"/>
  <c r="BW120" i="2"/>
  <c r="BV120" i="2"/>
  <c r="BU120" i="2"/>
  <c r="BT120" i="2"/>
  <c r="BS120" i="2"/>
  <c r="BR120" i="2"/>
  <c r="BQ120" i="2"/>
  <c r="BP120" i="2"/>
  <c r="BO120" i="2"/>
  <c r="BN120" i="2"/>
  <c r="BM120" i="2"/>
  <c r="BL120" i="2"/>
  <c r="BK120" i="2"/>
  <c r="BJ120" i="2"/>
  <c r="BI120" i="2"/>
  <c r="BH120" i="2"/>
  <c r="BG120" i="2"/>
  <c r="BF120" i="2"/>
  <c r="BE120" i="2"/>
  <c r="BD120" i="2"/>
  <c r="BC120" i="2"/>
  <c r="BA120" i="2"/>
  <c r="BB120" i="2" s="1"/>
  <c r="AZ120" i="2"/>
  <c r="AY120" i="2"/>
  <c r="AX120" i="2"/>
  <c r="AW120" i="2"/>
  <c r="AV120" i="2"/>
  <c r="AU120" i="2"/>
  <c r="AT120" i="2"/>
  <c r="AS120" i="2"/>
  <c r="AR120" i="2"/>
  <c r="AQ120" i="2"/>
  <c r="AP120" i="2"/>
  <c r="AN120" i="2"/>
  <c r="AO120" i="2" s="1"/>
  <c r="AM120" i="2"/>
  <c r="AL120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N120" i="2"/>
  <c r="O120" i="2" s="1"/>
  <c r="M120" i="2"/>
  <c r="L120" i="2"/>
  <c r="K120" i="2"/>
  <c r="J120" i="2"/>
  <c r="I120" i="2"/>
  <c r="H120" i="2"/>
  <c r="G120" i="2"/>
  <c r="F120" i="2"/>
  <c r="E120" i="2"/>
  <c r="D120" i="2"/>
  <c r="C120" i="2"/>
  <c r="FI119" i="2"/>
  <c r="FH119" i="2"/>
  <c r="FG119" i="2"/>
  <c r="FF119" i="2"/>
  <c r="FE119" i="2"/>
  <c r="FD119" i="2"/>
  <c r="FC119" i="2"/>
  <c r="FA119" i="2"/>
  <c r="FB119" i="2" s="1"/>
  <c r="EZ119" i="2"/>
  <c r="EY119" i="2"/>
  <c r="EX119" i="2"/>
  <c r="EW119" i="2"/>
  <c r="EV119" i="2"/>
  <c r="EU119" i="2"/>
  <c r="ET119" i="2"/>
  <c r="ES119" i="2"/>
  <c r="ER119" i="2"/>
  <c r="EQ119" i="2"/>
  <c r="EP119" i="2"/>
  <c r="EO119" i="2"/>
  <c r="EN119" i="2"/>
  <c r="EM119" i="2"/>
  <c r="EL119" i="2"/>
  <c r="EK119" i="2"/>
  <c r="EJ119" i="2"/>
  <c r="EI119" i="2"/>
  <c r="EH119" i="2"/>
  <c r="EG119" i="2"/>
  <c r="EF119" i="2"/>
  <c r="EE119" i="2"/>
  <c r="ED119" i="2"/>
  <c r="EC119" i="2"/>
  <c r="EB119" i="2"/>
  <c r="EA119" i="2"/>
  <c r="DZ119" i="2"/>
  <c r="DY119" i="2"/>
  <c r="DX119" i="2"/>
  <c r="DW119" i="2"/>
  <c r="DV119" i="2"/>
  <c r="DU119" i="2"/>
  <c r="DT119" i="2"/>
  <c r="DS119" i="2"/>
  <c r="DR119" i="2"/>
  <c r="DQ119" i="2"/>
  <c r="DP119" i="2"/>
  <c r="DN119" i="2"/>
  <c r="DO119" i="2" s="1"/>
  <c r="DM119" i="2"/>
  <c r="DL119" i="2"/>
  <c r="DK119" i="2"/>
  <c r="DJ119" i="2"/>
  <c r="DI119" i="2"/>
  <c r="DH119" i="2"/>
  <c r="DG119" i="2"/>
  <c r="DF119" i="2"/>
  <c r="DE119" i="2"/>
  <c r="DD119" i="2"/>
  <c r="DC119" i="2"/>
  <c r="DA119" i="2"/>
  <c r="CZ119" i="2"/>
  <c r="CY119" i="2"/>
  <c r="CX119" i="2"/>
  <c r="CW119" i="2"/>
  <c r="CV119" i="2"/>
  <c r="CU119" i="2"/>
  <c r="CT119" i="2"/>
  <c r="CS119" i="2"/>
  <c r="CR119" i="2"/>
  <c r="CQ119" i="2"/>
  <c r="CP119" i="2"/>
  <c r="CO119" i="2"/>
  <c r="CN119" i="2"/>
  <c r="CM119" i="2"/>
  <c r="CL119" i="2"/>
  <c r="CK119" i="2"/>
  <c r="CJ119" i="2"/>
  <c r="CI119" i="2"/>
  <c r="CH119" i="2"/>
  <c r="CG119" i="2"/>
  <c r="CF119" i="2"/>
  <c r="CE119" i="2"/>
  <c r="CD119" i="2"/>
  <c r="CC119" i="2"/>
  <c r="CA119" i="2"/>
  <c r="CB119" i="2" s="1"/>
  <c r="BZ119" i="2"/>
  <c r="BY119" i="2"/>
  <c r="BX119" i="2"/>
  <c r="BW119" i="2"/>
  <c r="BV119" i="2"/>
  <c r="BU119" i="2"/>
  <c r="BT119" i="2"/>
  <c r="BS119" i="2"/>
  <c r="BR119" i="2"/>
  <c r="BQ119" i="2"/>
  <c r="BP119" i="2"/>
  <c r="BN119" i="2"/>
  <c r="BM119" i="2"/>
  <c r="BL119" i="2"/>
  <c r="BK119" i="2"/>
  <c r="BJ119" i="2"/>
  <c r="BI119" i="2"/>
  <c r="BH119" i="2"/>
  <c r="BG119" i="2"/>
  <c r="BF119" i="2"/>
  <c r="BE119" i="2"/>
  <c r="BD119" i="2"/>
  <c r="BC119" i="2"/>
  <c r="BA119" i="2"/>
  <c r="AZ119" i="2"/>
  <c r="AY119" i="2"/>
  <c r="AX119" i="2"/>
  <c r="AW119" i="2"/>
  <c r="AV119" i="2"/>
  <c r="AU119" i="2"/>
  <c r="AU151" i="2" s="1"/>
  <c r="AT119" i="2"/>
  <c r="AS119" i="2"/>
  <c r="AR119" i="2"/>
  <c r="AQ119" i="2"/>
  <c r="AP119" i="2"/>
  <c r="AN119" i="2"/>
  <c r="AO119" i="2" s="1"/>
  <c r="AM119" i="2"/>
  <c r="AL119" i="2"/>
  <c r="AK119" i="2"/>
  <c r="AJ119" i="2"/>
  <c r="AI119" i="2"/>
  <c r="AI151" i="2" s="1"/>
  <c r="AH119" i="2"/>
  <c r="AG119" i="2"/>
  <c r="AF119" i="2"/>
  <c r="AE119" i="2"/>
  <c r="AD119" i="2"/>
  <c r="AC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N119" i="2"/>
  <c r="O119" i="2" s="1"/>
  <c r="M119" i="2"/>
  <c r="L119" i="2"/>
  <c r="K119" i="2"/>
  <c r="J119" i="2"/>
  <c r="I119" i="2"/>
  <c r="H119" i="2"/>
  <c r="G119" i="2"/>
  <c r="F119" i="2"/>
  <c r="E119" i="2"/>
  <c r="D119" i="2"/>
  <c r="C119" i="2"/>
  <c r="FN112" i="2"/>
  <c r="FM112" i="2"/>
  <c r="FL112" i="2"/>
  <c r="FK112" i="2"/>
  <c r="FJ112" i="2"/>
  <c r="FI111" i="2"/>
  <c r="FO111" i="2" s="1"/>
  <c r="FH111" i="2"/>
  <c r="FG111" i="2"/>
  <c r="FF111" i="2"/>
  <c r="FE111" i="2"/>
  <c r="FD111" i="2"/>
  <c r="FC111" i="2"/>
  <c r="FA111" i="2"/>
  <c r="FB111" i="2" s="1"/>
  <c r="EZ111" i="2"/>
  <c r="EY111" i="2"/>
  <c r="EX111" i="2"/>
  <c r="EW111" i="2"/>
  <c r="EV111" i="2"/>
  <c r="EU111" i="2"/>
  <c r="ET111" i="2"/>
  <c r="ES111" i="2"/>
  <c r="ER111" i="2"/>
  <c r="EQ111" i="2"/>
  <c r="EP111" i="2"/>
  <c r="EN111" i="2"/>
  <c r="EO111" i="2" s="1"/>
  <c r="EM111" i="2"/>
  <c r="EL111" i="2"/>
  <c r="EK111" i="2"/>
  <c r="EJ111" i="2"/>
  <c r="EI111" i="2"/>
  <c r="EH111" i="2"/>
  <c r="EG111" i="2"/>
  <c r="EF111" i="2"/>
  <c r="EE111" i="2"/>
  <c r="ED111" i="2"/>
  <c r="EC111" i="2"/>
  <c r="EA111" i="2"/>
  <c r="EB111" i="2" s="1"/>
  <c r="DZ111" i="2"/>
  <c r="DY111" i="2"/>
  <c r="DX111" i="2"/>
  <c r="DW111" i="2"/>
  <c r="DV111" i="2"/>
  <c r="DU111" i="2"/>
  <c r="DT111" i="2"/>
  <c r="DS111" i="2"/>
  <c r="DR111" i="2"/>
  <c r="DQ111" i="2"/>
  <c r="DP111" i="2"/>
  <c r="DO111" i="2"/>
  <c r="DN111" i="2"/>
  <c r="DM111" i="2"/>
  <c r="DL111" i="2"/>
  <c r="DK111" i="2"/>
  <c r="DJ111" i="2"/>
  <c r="DI111" i="2"/>
  <c r="DH111" i="2"/>
  <c r="DG111" i="2"/>
  <c r="DF111" i="2"/>
  <c r="DE111" i="2"/>
  <c r="DD111" i="2"/>
  <c r="DC111" i="2"/>
  <c r="DB111" i="2"/>
  <c r="DA111" i="2"/>
  <c r="CZ111" i="2"/>
  <c r="CY111" i="2"/>
  <c r="CX111" i="2"/>
  <c r="CW111" i="2"/>
  <c r="CV111" i="2"/>
  <c r="CU111" i="2"/>
  <c r="CT111" i="2"/>
  <c r="CS111" i="2"/>
  <c r="CR111" i="2"/>
  <c r="CQ111" i="2"/>
  <c r="CP111" i="2"/>
  <c r="CN111" i="2"/>
  <c r="CO111" i="2" s="1"/>
  <c r="CM111" i="2"/>
  <c r="CL111" i="2"/>
  <c r="CK111" i="2"/>
  <c r="CJ111" i="2"/>
  <c r="CI111" i="2"/>
  <c r="CH111" i="2"/>
  <c r="CG111" i="2"/>
  <c r="CF111" i="2"/>
  <c r="CE111" i="2"/>
  <c r="CD111" i="2"/>
  <c r="CC111" i="2"/>
  <c r="CA111" i="2"/>
  <c r="CB111" i="2" s="1"/>
  <c r="BZ111" i="2"/>
  <c r="BY111" i="2"/>
  <c r="BX111" i="2"/>
  <c r="BW111" i="2"/>
  <c r="BV111" i="2"/>
  <c r="BU111" i="2"/>
  <c r="BT111" i="2"/>
  <c r="BS111" i="2"/>
  <c r="BR111" i="2"/>
  <c r="BQ111" i="2"/>
  <c r="BP111" i="2"/>
  <c r="BN111" i="2"/>
  <c r="BO111" i="2" s="1"/>
  <c r="BM111" i="2"/>
  <c r="BL111" i="2"/>
  <c r="BK111" i="2"/>
  <c r="BJ111" i="2"/>
  <c r="BI111" i="2"/>
  <c r="BH111" i="2"/>
  <c r="BG111" i="2"/>
  <c r="BF111" i="2"/>
  <c r="BE111" i="2"/>
  <c r="BD111" i="2"/>
  <c r="BC111" i="2"/>
  <c r="BA111" i="2"/>
  <c r="BB111" i="2" s="1"/>
  <c r="AZ111" i="2"/>
  <c r="AY111" i="2"/>
  <c r="AX111" i="2"/>
  <c r="AW111" i="2"/>
  <c r="AV111" i="2"/>
  <c r="AU111" i="2"/>
  <c r="AT111" i="2"/>
  <c r="AS111" i="2"/>
  <c r="AR111" i="2"/>
  <c r="AQ111" i="2"/>
  <c r="AP111" i="2"/>
  <c r="AN111" i="2"/>
  <c r="AO111" i="2" s="1"/>
  <c r="AM111" i="2"/>
  <c r="AL111" i="2"/>
  <c r="AK111" i="2"/>
  <c r="AJ111" i="2"/>
  <c r="AI111" i="2"/>
  <c r="AH111" i="2"/>
  <c r="AG111" i="2"/>
  <c r="AF111" i="2"/>
  <c r="AE111" i="2"/>
  <c r="AD111" i="2"/>
  <c r="AC111" i="2"/>
  <c r="AA111" i="2"/>
  <c r="AB111" i="2" s="1"/>
  <c r="Z111" i="2"/>
  <c r="Y111" i="2"/>
  <c r="X111" i="2"/>
  <c r="W111" i="2"/>
  <c r="V111" i="2"/>
  <c r="U111" i="2"/>
  <c r="T111" i="2"/>
  <c r="S111" i="2"/>
  <c r="R111" i="2"/>
  <c r="Q111" i="2"/>
  <c r="P111" i="2"/>
  <c r="N111" i="2"/>
  <c r="O111" i="2" s="1"/>
  <c r="M111" i="2"/>
  <c r="L111" i="2"/>
  <c r="K111" i="2"/>
  <c r="J111" i="2"/>
  <c r="I111" i="2"/>
  <c r="H111" i="2"/>
  <c r="G111" i="2"/>
  <c r="F111" i="2"/>
  <c r="E111" i="2"/>
  <c r="D111" i="2"/>
  <c r="C111" i="2"/>
  <c r="FI110" i="2"/>
  <c r="FO110" i="2" s="1"/>
  <c r="FH110" i="2"/>
  <c r="FG110" i="2"/>
  <c r="FF110" i="2"/>
  <c r="FE110" i="2"/>
  <c r="FD110" i="2"/>
  <c r="FC110" i="2"/>
  <c r="FA110" i="2"/>
  <c r="FB110" i="2" s="1"/>
  <c r="EZ110" i="2"/>
  <c r="EY110" i="2"/>
  <c r="EX110" i="2"/>
  <c r="EW110" i="2"/>
  <c r="EV110" i="2"/>
  <c r="EU110" i="2"/>
  <c r="ET110" i="2"/>
  <c r="ES110" i="2"/>
  <c r="ER110" i="2"/>
  <c r="EQ110" i="2"/>
  <c r="EP110" i="2"/>
  <c r="EN110" i="2"/>
  <c r="EO110" i="2" s="1"/>
  <c r="EM110" i="2"/>
  <c r="EL110" i="2"/>
  <c r="EK110" i="2"/>
  <c r="EJ110" i="2"/>
  <c r="EI110" i="2"/>
  <c r="EH110" i="2"/>
  <c r="EG110" i="2"/>
  <c r="EF110" i="2"/>
  <c r="EE110" i="2"/>
  <c r="ED110" i="2"/>
  <c r="EC110" i="2"/>
  <c r="EA110" i="2"/>
  <c r="EB110" i="2" s="1"/>
  <c r="DZ110" i="2"/>
  <c r="DY110" i="2"/>
  <c r="DX110" i="2"/>
  <c r="DW110" i="2"/>
  <c r="DV110" i="2"/>
  <c r="DU110" i="2"/>
  <c r="DT110" i="2"/>
  <c r="DS110" i="2"/>
  <c r="DR110" i="2"/>
  <c r="DQ110" i="2"/>
  <c r="DP110" i="2"/>
  <c r="DO110" i="2"/>
  <c r="DN110" i="2"/>
  <c r="DM110" i="2"/>
  <c r="DL110" i="2"/>
  <c r="DK110" i="2"/>
  <c r="DJ110" i="2"/>
  <c r="DI110" i="2"/>
  <c r="DH110" i="2"/>
  <c r="DG110" i="2"/>
  <c r="DF110" i="2"/>
  <c r="DE110" i="2"/>
  <c r="DD110" i="2"/>
  <c r="DC110" i="2"/>
  <c r="DA110" i="2"/>
  <c r="DB110" i="2" s="1"/>
  <c r="CZ110" i="2"/>
  <c r="CY110" i="2"/>
  <c r="CX110" i="2"/>
  <c r="CW110" i="2"/>
  <c r="CV110" i="2"/>
  <c r="CU110" i="2"/>
  <c r="CT110" i="2"/>
  <c r="CS110" i="2"/>
  <c r="CR110" i="2"/>
  <c r="CQ110" i="2"/>
  <c r="CP110" i="2"/>
  <c r="CN110" i="2"/>
  <c r="CO110" i="2" s="1"/>
  <c r="CM110" i="2"/>
  <c r="CL110" i="2"/>
  <c r="CK110" i="2"/>
  <c r="CJ110" i="2"/>
  <c r="CI110" i="2"/>
  <c r="CH110" i="2"/>
  <c r="CG110" i="2"/>
  <c r="CF110" i="2"/>
  <c r="CE110" i="2"/>
  <c r="CD110" i="2"/>
  <c r="CC110" i="2"/>
  <c r="CA110" i="2"/>
  <c r="CB110" i="2" s="1"/>
  <c r="BZ110" i="2"/>
  <c r="BY110" i="2"/>
  <c r="BX110" i="2"/>
  <c r="BW110" i="2"/>
  <c r="BV110" i="2"/>
  <c r="BU110" i="2"/>
  <c r="BT110" i="2"/>
  <c r="BS110" i="2"/>
  <c r="BR110" i="2"/>
  <c r="BQ110" i="2"/>
  <c r="BP110" i="2"/>
  <c r="BN110" i="2"/>
  <c r="BO110" i="2" s="1"/>
  <c r="BM110" i="2"/>
  <c r="BL110" i="2"/>
  <c r="BK110" i="2"/>
  <c r="BJ110" i="2"/>
  <c r="BI110" i="2"/>
  <c r="BH110" i="2"/>
  <c r="BG110" i="2"/>
  <c r="BF110" i="2"/>
  <c r="BE110" i="2"/>
  <c r="BD110" i="2"/>
  <c r="BC110" i="2"/>
  <c r="BA110" i="2"/>
  <c r="BB110" i="2" s="1"/>
  <c r="AZ110" i="2"/>
  <c r="AY110" i="2"/>
  <c r="AX110" i="2"/>
  <c r="AW110" i="2"/>
  <c r="AV110" i="2"/>
  <c r="AU110" i="2"/>
  <c r="AT110" i="2"/>
  <c r="AS110" i="2"/>
  <c r="AR110" i="2"/>
  <c r="AQ110" i="2"/>
  <c r="AP110" i="2"/>
  <c r="AN110" i="2"/>
  <c r="AO110" i="2" s="1"/>
  <c r="AM110" i="2"/>
  <c r="AL110" i="2"/>
  <c r="AK110" i="2"/>
  <c r="AJ110" i="2"/>
  <c r="AI110" i="2"/>
  <c r="AH110" i="2"/>
  <c r="AG110" i="2"/>
  <c r="AF110" i="2"/>
  <c r="AE110" i="2"/>
  <c r="AD110" i="2"/>
  <c r="AC110" i="2"/>
  <c r="AA110" i="2"/>
  <c r="AB110" i="2" s="1"/>
  <c r="Z110" i="2"/>
  <c r="Y110" i="2"/>
  <c r="X110" i="2"/>
  <c r="W110" i="2"/>
  <c r="V110" i="2"/>
  <c r="U110" i="2"/>
  <c r="T110" i="2"/>
  <c r="S110" i="2"/>
  <c r="R110" i="2"/>
  <c r="Q110" i="2"/>
  <c r="P110" i="2"/>
  <c r="N110" i="2"/>
  <c r="O110" i="2" s="1"/>
  <c r="M110" i="2"/>
  <c r="L110" i="2"/>
  <c r="K110" i="2"/>
  <c r="J110" i="2"/>
  <c r="I110" i="2"/>
  <c r="H110" i="2"/>
  <c r="G110" i="2"/>
  <c r="F110" i="2"/>
  <c r="E110" i="2"/>
  <c r="D110" i="2"/>
  <c r="C110" i="2"/>
  <c r="FO109" i="2"/>
  <c r="FI109" i="2"/>
  <c r="FH109" i="2"/>
  <c r="FG109" i="2"/>
  <c r="FF109" i="2"/>
  <c r="FE109" i="2"/>
  <c r="FD109" i="2"/>
  <c r="FC109" i="2"/>
  <c r="FA109" i="2"/>
  <c r="FB109" i="2" s="1"/>
  <c r="EZ109" i="2"/>
  <c r="EY109" i="2"/>
  <c r="EX109" i="2"/>
  <c r="EW109" i="2"/>
  <c r="EV109" i="2"/>
  <c r="EU109" i="2"/>
  <c r="ET109" i="2"/>
  <c r="ES109" i="2"/>
  <c r="ER109" i="2"/>
  <c r="EQ109" i="2"/>
  <c r="EP109" i="2"/>
  <c r="EN109" i="2"/>
  <c r="EO109" i="2" s="1"/>
  <c r="EM109" i="2"/>
  <c r="EL109" i="2"/>
  <c r="EK109" i="2"/>
  <c r="EJ109" i="2"/>
  <c r="EI109" i="2"/>
  <c r="EH109" i="2"/>
  <c r="EG109" i="2"/>
  <c r="EF109" i="2"/>
  <c r="EE109" i="2"/>
  <c r="ED109" i="2"/>
  <c r="EC109" i="2"/>
  <c r="EA109" i="2"/>
  <c r="EB109" i="2" s="1"/>
  <c r="DZ109" i="2"/>
  <c r="DY109" i="2"/>
  <c r="DX109" i="2"/>
  <c r="DW109" i="2"/>
  <c r="DV109" i="2"/>
  <c r="DU109" i="2"/>
  <c r="DT109" i="2"/>
  <c r="DS109" i="2"/>
  <c r="DR109" i="2"/>
  <c r="DQ109" i="2"/>
  <c r="DP109" i="2"/>
  <c r="DN109" i="2"/>
  <c r="DO109" i="2" s="1"/>
  <c r="DM109" i="2"/>
  <c r="DL109" i="2"/>
  <c r="DK109" i="2"/>
  <c r="DJ109" i="2"/>
  <c r="DI109" i="2"/>
  <c r="DH109" i="2"/>
  <c r="DG109" i="2"/>
  <c r="DF109" i="2"/>
  <c r="DE109" i="2"/>
  <c r="DD109" i="2"/>
  <c r="DC109" i="2"/>
  <c r="DA109" i="2"/>
  <c r="DB109" i="2" s="1"/>
  <c r="CZ109" i="2"/>
  <c r="CY109" i="2"/>
  <c r="CX109" i="2"/>
  <c r="CW109" i="2"/>
  <c r="CV109" i="2"/>
  <c r="CU109" i="2"/>
  <c r="CT109" i="2"/>
  <c r="CS109" i="2"/>
  <c r="CR109" i="2"/>
  <c r="CQ109" i="2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V109" i="2"/>
  <c r="BU109" i="2"/>
  <c r="BT109" i="2"/>
  <c r="BS109" i="2"/>
  <c r="BR109" i="2"/>
  <c r="BQ109" i="2"/>
  <c r="BP109" i="2"/>
  <c r="BN109" i="2"/>
  <c r="BO109" i="2" s="1"/>
  <c r="BM109" i="2"/>
  <c r="BL109" i="2"/>
  <c r="BK109" i="2"/>
  <c r="BJ109" i="2"/>
  <c r="BI109" i="2"/>
  <c r="BH109" i="2"/>
  <c r="BG109" i="2"/>
  <c r="BF109" i="2"/>
  <c r="BE109" i="2"/>
  <c r="BD109" i="2"/>
  <c r="BC109" i="2"/>
  <c r="BA109" i="2"/>
  <c r="BB109" i="2" s="1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A109" i="2"/>
  <c r="AB109" i="2" s="1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FI108" i="2"/>
  <c r="FO108" i="2" s="1"/>
  <c r="FH108" i="2"/>
  <c r="FG108" i="2"/>
  <c r="FF108" i="2"/>
  <c r="FE108" i="2"/>
  <c r="FD108" i="2"/>
  <c r="FC108" i="2"/>
  <c r="FA108" i="2"/>
  <c r="FB108" i="2" s="1"/>
  <c r="EZ108" i="2"/>
  <c r="EY108" i="2"/>
  <c r="EX108" i="2"/>
  <c r="EW108" i="2"/>
  <c r="EV108" i="2"/>
  <c r="EU108" i="2"/>
  <c r="ET108" i="2"/>
  <c r="ES108" i="2"/>
  <c r="ER108" i="2"/>
  <c r="EQ108" i="2"/>
  <c r="EP108" i="2"/>
  <c r="EN108" i="2"/>
  <c r="EO108" i="2" s="1"/>
  <c r="EM108" i="2"/>
  <c r="EL108" i="2"/>
  <c r="EK108" i="2"/>
  <c r="EJ108" i="2"/>
  <c r="EI108" i="2"/>
  <c r="EH108" i="2"/>
  <c r="EG108" i="2"/>
  <c r="EF108" i="2"/>
  <c r="EE108" i="2"/>
  <c r="ED108" i="2"/>
  <c r="EC108" i="2"/>
  <c r="EA108" i="2"/>
  <c r="EB108" i="2" s="1"/>
  <c r="DZ108" i="2"/>
  <c r="DY108" i="2"/>
  <c r="DX108" i="2"/>
  <c r="DW108" i="2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I108" i="2"/>
  <c r="DH108" i="2"/>
  <c r="DG108" i="2"/>
  <c r="DF108" i="2"/>
  <c r="DE108" i="2"/>
  <c r="DD108" i="2"/>
  <c r="DC108" i="2"/>
  <c r="DB108" i="2"/>
  <c r="DA108" i="2"/>
  <c r="CZ108" i="2"/>
  <c r="CY108" i="2"/>
  <c r="CX108" i="2"/>
  <c r="CW108" i="2"/>
  <c r="CV108" i="2"/>
  <c r="CU108" i="2"/>
  <c r="CT108" i="2"/>
  <c r="CS108" i="2"/>
  <c r="CR108" i="2"/>
  <c r="CQ108" i="2"/>
  <c r="CP108" i="2"/>
  <c r="CN108" i="2"/>
  <c r="CO108" i="2" s="1"/>
  <c r="CM108" i="2"/>
  <c r="CL108" i="2"/>
  <c r="CK108" i="2"/>
  <c r="CJ108" i="2"/>
  <c r="CI108" i="2"/>
  <c r="CH108" i="2"/>
  <c r="CG108" i="2"/>
  <c r="CF108" i="2"/>
  <c r="CE108" i="2"/>
  <c r="CD108" i="2"/>
  <c r="CC108" i="2"/>
  <c r="CA108" i="2"/>
  <c r="CB108" i="2" s="1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A108" i="2"/>
  <c r="BB108" i="2" s="1"/>
  <c r="AZ108" i="2"/>
  <c r="AY108" i="2"/>
  <c r="AX108" i="2"/>
  <c r="AW108" i="2"/>
  <c r="AV108" i="2"/>
  <c r="AU108" i="2"/>
  <c r="AT108" i="2"/>
  <c r="AS108" i="2"/>
  <c r="AR108" i="2"/>
  <c r="AQ108" i="2"/>
  <c r="AP108" i="2"/>
  <c r="AN108" i="2"/>
  <c r="AO108" i="2" s="1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N108" i="2"/>
  <c r="O108" i="2" s="1"/>
  <c r="M108" i="2"/>
  <c r="L108" i="2"/>
  <c r="K108" i="2"/>
  <c r="J108" i="2"/>
  <c r="I108" i="2"/>
  <c r="H108" i="2"/>
  <c r="G108" i="2"/>
  <c r="F108" i="2"/>
  <c r="E108" i="2"/>
  <c r="D108" i="2"/>
  <c r="C108" i="2"/>
  <c r="FO107" i="2"/>
  <c r="FI107" i="2"/>
  <c r="FH107" i="2"/>
  <c r="FG107" i="2"/>
  <c r="FF107" i="2"/>
  <c r="FE107" i="2"/>
  <c r="FD107" i="2"/>
  <c r="FC107" i="2"/>
  <c r="FA107" i="2"/>
  <c r="FB107" i="2" s="1"/>
  <c r="EZ107" i="2"/>
  <c r="EY107" i="2"/>
  <c r="EX107" i="2"/>
  <c r="EW107" i="2"/>
  <c r="EV107" i="2"/>
  <c r="EU107" i="2"/>
  <c r="ET107" i="2"/>
  <c r="ES107" i="2"/>
  <c r="ER107" i="2"/>
  <c r="EQ107" i="2"/>
  <c r="EP107" i="2"/>
  <c r="EN107" i="2"/>
  <c r="EO107" i="2" s="1"/>
  <c r="EM107" i="2"/>
  <c r="EL107" i="2"/>
  <c r="EK107" i="2"/>
  <c r="EJ107" i="2"/>
  <c r="EI107" i="2"/>
  <c r="EH107" i="2"/>
  <c r="EG107" i="2"/>
  <c r="EF107" i="2"/>
  <c r="EE107" i="2"/>
  <c r="ED107" i="2"/>
  <c r="EC107" i="2"/>
  <c r="EB107" i="2"/>
  <c r="EA107" i="2"/>
  <c r="DZ107" i="2"/>
  <c r="DY107" i="2"/>
  <c r="DX107" i="2"/>
  <c r="DW107" i="2"/>
  <c r="DV107" i="2"/>
  <c r="DU107" i="2"/>
  <c r="DT107" i="2"/>
  <c r="DS107" i="2"/>
  <c r="DR107" i="2"/>
  <c r="DQ107" i="2"/>
  <c r="DP107" i="2"/>
  <c r="DN107" i="2"/>
  <c r="DO107" i="2" s="1"/>
  <c r="DM107" i="2"/>
  <c r="DL107" i="2"/>
  <c r="DK107" i="2"/>
  <c r="DJ107" i="2"/>
  <c r="DI107" i="2"/>
  <c r="DH107" i="2"/>
  <c r="DG107" i="2"/>
  <c r="DF107" i="2"/>
  <c r="DE107" i="2"/>
  <c r="DD107" i="2"/>
  <c r="DC107" i="2"/>
  <c r="DA107" i="2"/>
  <c r="DB107" i="2" s="1"/>
  <c r="CZ107" i="2"/>
  <c r="CY107" i="2"/>
  <c r="CX107" i="2"/>
  <c r="CW107" i="2"/>
  <c r="CV107" i="2"/>
  <c r="CU107" i="2"/>
  <c r="CT107" i="2"/>
  <c r="CS107" i="2"/>
  <c r="CR107" i="2"/>
  <c r="CQ107" i="2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A107" i="2"/>
  <c r="CB107" i="2" s="1"/>
  <c r="BZ107" i="2"/>
  <c r="BY107" i="2"/>
  <c r="BX107" i="2"/>
  <c r="BW107" i="2"/>
  <c r="BV107" i="2"/>
  <c r="BU107" i="2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A107" i="2"/>
  <c r="BB107" i="2" s="1"/>
  <c r="AZ107" i="2"/>
  <c r="AY107" i="2"/>
  <c r="AX107" i="2"/>
  <c r="AW107" i="2"/>
  <c r="AV107" i="2"/>
  <c r="AU107" i="2"/>
  <c r="AT107" i="2"/>
  <c r="AS107" i="2"/>
  <c r="AR107" i="2"/>
  <c r="AQ107" i="2"/>
  <c r="AP107" i="2"/>
  <c r="AN107" i="2"/>
  <c r="AO107" i="2" s="1"/>
  <c r="AM107" i="2"/>
  <c r="AL107" i="2"/>
  <c r="AK107" i="2"/>
  <c r="AJ107" i="2"/>
  <c r="AI107" i="2"/>
  <c r="AH107" i="2"/>
  <c r="AG107" i="2"/>
  <c r="AF107" i="2"/>
  <c r="AE107" i="2"/>
  <c r="AD107" i="2"/>
  <c r="AC107" i="2"/>
  <c r="AA107" i="2"/>
  <c r="AB107" i="2" s="1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FI106" i="2"/>
  <c r="FO106" i="2" s="1"/>
  <c r="FH106" i="2"/>
  <c r="FG106" i="2"/>
  <c r="FF106" i="2"/>
  <c r="FE106" i="2"/>
  <c r="FD106" i="2"/>
  <c r="FC106" i="2"/>
  <c r="FA106" i="2"/>
  <c r="FB106" i="2" s="1"/>
  <c r="EZ106" i="2"/>
  <c r="EY106" i="2"/>
  <c r="EX106" i="2"/>
  <c r="EW106" i="2"/>
  <c r="EV106" i="2"/>
  <c r="EU106" i="2"/>
  <c r="ET106" i="2"/>
  <c r="ES106" i="2"/>
  <c r="ER106" i="2"/>
  <c r="EQ106" i="2"/>
  <c r="EP106" i="2"/>
  <c r="EO106" i="2"/>
  <c r="EN106" i="2"/>
  <c r="EM106" i="2"/>
  <c r="EL106" i="2"/>
  <c r="EK106" i="2"/>
  <c r="EJ106" i="2"/>
  <c r="EI106" i="2"/>
  <c r="EH106" i="2"/>
  <c r="EG106" i="2"/>
  <c r="EF106" i="2"/>
  <c r="EE106" i="2"/>
  <c r="ED106" i="2"/>
  <c r="EC106" i="2"/>
  <c r="EA106" i="2"/>
  <c r="EB106" i="2" s="1"/>
  <c r="DZ106" i="2"/>
  <c r="DY106" i="2"/>
  <c r="DX106" i="2"/>
  <c r="DW106" i="2"/>
  <c r="DV106" i="2"/>
  <c r="DU106" i="2"/>
  <c r="DT106" i="2"/>
  <c r="DS106" i="2"/>
  <c r="DR106" i="2"/>
  <c r="DQ106" i="2"/>
  <c r="DP106" i="2"/>
  <c r="DN106" i="2"/>
  <c r="DO106" i="2" s="1"/>
  <c r="DM106" i="2"/>
  <c r="DL106" i="2"/>
  <c r="DK106" i="2"/>
  <c r="DJ106" i="2"/>
  <c r="DI106" i="2"/>
  <c r="DH106" i="2"/>
  <c r="DG106" i="2"/>
  <c r="DF106" i="2"/>
  <c r="DE106" i="2"/>
  <c r="DD106" i="2"/>
  <c r="DC106" i="2"/>
  <c r="DA106" i="2"/>
  <c r="DB106" i="2" s="1"/>
  <c r="CZ106" i="2"/>
  <c r="CY106" i="2"/>
  <c r="CX106" i="2"/>
  <c r="CW106" i="2"/>
  <c r="CV106" i="2"/>
  <c r="CU106" i="2"/>
  <c r="CT106" i="2"/>
  <c r="CS106" i="2"/>
  <c r="CR106" i="2"/>
  <c r="CQ106" i="2"/>
  <c r="CP106" i="2"/>
  <c r="CN106" i="2"/>
  <c r="CO106" i="2" s="1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V106" i="2"/>
  <c r="BU106" i="2"/>
  <c r="BT106" i="2"/>
  <c r="BS106" i="2"/>
  <c r="BR106" i="2"/>
  <c r="BQ106" i="2"/>
  <c r="BP106" i="2"/>
  <c r="BN106" i="2"/>
  <c r="BO106" i="2" s="1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N106" i="2"/>
  <c r="AO106" i="2" s="1"/>
  <c r="AM106" i="2"/>
  <c r="AL106" i="2"/>
  <c r="AK106" i="2"/>
  <c r="AJ106" i="2"/>
  <c r="AI106" i="2"/>
  <c r="AH106" i="2"/>
  <c r="AG106" i="2"/>
  <c r="AF106" i="2"/>
  <c r="AE106" i="2"/>
  <c r="AD106" i="2"/>
  <c r="AC106" i="2"/>
  <c r="AA106" i="2"/>
  <c r="AB106" i="2" s="1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FI105" i="2"/>
  <c r="FO105" i="2" s="1"/>
  <c r="FH105" i="2"/>
  <c r="FG105" i="2"/>
  <c r="FF105" i="2"/>
  <c r="FE105" i="2"/>
  <c r="FD105" i="2"/>
  <c r="FC105" i="2"/>
  <c r="FA105" i="2"/>
  <c r="FB105" i="2" s="1"/>
  <c r="EZ105" i="2"/>
  <c r="EY105" i="2"/>
  <c r="EX105" i="2"/>
  <c r="EW105" i="2"/>
  <c r="EV105" i="2"/>
  <c r="EU105" i="2"/>
  <c r="ET105" i="2"/>
  <c r="ES105" i="2"/>
  <c r="ER105" i="2"/>
  <c r="EQ105" i="2"/>
  <c r="EP105" i="2"/>
  <c r="EN105" i="2"/>
  <c r="EO105" i="2" s="1"/>
  <c r="EM105" i="2"/>
  <c r="EL105" i="2"/>
  <c r="EK105" i="2"/>
  <c r="EJ105" i="2"/>
  <c r="EI105" i="2"/>
  <c r="EH105" i="2"/>
  <c r="EG105" i="2"/>
  <c r="EF105" i="2"/>
  <c r="EE105" i="2"/>
  <c r="ED105" i="2"/>
  <c r="EC105" i="2"/>
  <c r="EA105" i="2"/>
  <c r="EB105" i="2" s="1"/>
  <c r="DZ105" i="2"/>
  <c r="DY105" i="2"/>
  <c r="DX105" i="2"/>
  <c r="DW105" i="2"/>
  <c r="DV105" i="2"/>
  <c r="DU105" i="2"/>
  <c r="DT105" i="2"/>
  <c r="DS105" i="2"/>
  <c r="DR105" i="2"/>
  <c r="DQ105" i="2"/>
  <c r="DP105" i="2"/>
  <c r="DN105" i="2"/>
  <c r="DO105" i="2" s="1"/>
  <c r="DM105" i="2"/>
  <c r="DL105" i="2"/>
  <c r="DK105" i="2"/>
  <c r="DJ105" i="2"/>
  <c r="DI105" i="2"/>
  <c r="DH105" i="2"/>
  <c r="DG105" i="2"/>
  <c r="DF105" i="2"/>
  <c r="DE105" i="2"/>
  <c r="DD105" i="2"/>
  <c r="DC105" i="2"/>
  <c r="DB105" i="2"/>
  <c r="DA105" i="2"/>
  <c r="CZ105" i="2"/>
  <c r="CY105" i="2"/>
  <c r="CX105" i="2"/>
  <c r="CW105" i="2"/>
  <c r="CV105" i="2"/>
  <c r="CU105" i="2"/>
  <c r="CT105" i="2"/>
  <c r="CS105" i="2"/>
  <c r="CR105" i="2"/>
  <c r="CQ105" i="2"/>
  <c r="CP105" i="2"/>
  <c r="CN105" i="2"/>
  <c r="CO105" i="2" s="1"/>
  <c r="CM105" i="2"/>
  <c r="CL105" i="2"/>
  <c r="CK105" i="2"/>
  <c r="CJ105" i="2"/>
  <c r="CI105" i="2"/>
  <c r="CH105" i="2"/>
  <c r="CG105" i="2"/>
  <c r="CF105" i="2"/>
  <c r="CE105" i="2"/>
  <c r="CD105" i="2"/>
  <c r="CC105" i="2"/>
  <c r="CA105" i="2"/>
  <c r="CB105" i="2" s="1"/>
  <c r="BZ105" i="2"/>
  <c r="BY105" i="2"/>
  <c r="BX105" i="2"/>
  <c r="BW105" i="2"/>
  <c r="BV105" i="2"/>
  <c r="BU105" i="2"/>
  <c r="BT105" i="2"/>
  <c r="BS105" i="2"/>
  <c r="BR105" i="2"/>
  <c r="BQ105" i="2"/>
  <c r="BP105" i="2"/>
  <c r="BN105" i="2"/>
  <c r="BO105" i="2" s="1"/>
  <c r="BM105" i="2"/>
  <c r="BL105" i="2"/>
  <c r="BK105" i="2"/>
  <c r="BJ105" i="2"/>
  <c r="BI105" i="2"/>
  <c r="BH105" i="2"/>
  <c r="BG105" i="2"/>
  <c r="BF105" i="2"/>
  <c r="BE105" i="2"/>
  <c r="BD105" i="2"/>
  <c r="BC105" i="2"/>
  <c r="BA105" i="2"/>
  <c r="BB105" i="2" s="1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A105" i="2"/>
  <c r="AB105" i="2" s="1"/>
  <c r="Z105" i="2"/>
  <c r="Y105" i="2"/>
  <c r="X105" i="2"/>
  <c r="W105" i="2"/>
  <c r="V105" i="2"/>
  <c r="U105" i="2"/>
  <c r="T105" i="2"/>
  <c r="S105" i="2"/>
  <c r="R105" i="2"/>
  <c r="Q105" i="2"/>
  <c r="P105" i="2"/>
  <c r="N105" i="2"/>
  <c r="O105" i="2" s="1"/>
  <c r="M105" i="2"/>
  <c r="L105" i="2"/>
  <c r="K105" i="2"/>
  <c r="J105" i="2"/>
  <c r="I105" i="2"/>
  <c r="H105" i="2"/>
  <c r="G105" i="2"/>
  <c r="F105" i="2"/>
  <c r="E105" i="2"/>
  <c r="D105" i="2"/>
  <c r="C105" i="2"/>
  <c r="FO104" i="2"/>
  <c r="FI104" i="2"/>
  <c r="FH104" i="2"/>
  <c r="FG104" i="2"/>
  <c r="FF104" i="2"/>
  <c r="FE104" i="2"/>
  <c r="FD104" i="2"/>
  <c r="FC104" i="2"/>
  <c r="FA104" i="2"/>
  <c r="FB104" i="2" s="1"/>
  <c r="EZ104" i="2"/>
  <c r="EY104" i="2"/>
  <c r="EX104" i="2"/>
  <c r="EW104" i="2"/>
  <c r="EV104" i="2"/>
  <c r="EU104" i="2"/>
  <c r="ET104" i="2"/>
  <c r="ES104" i="2"/>
  <c r="ER104" i="2"/>
  <c r="EQ104" i="2"/>
  <c r="EP104" i="2"/>
  <c r="EO104" i="2"/>
  <c r="EN104" i="2"/>
  <c r="EM104" i="2"/>
  <c r="EL104" i="2"/>
  <c r="EK104" i="2"/>
  <c r="EJ104" i="2"/>
  <c r="EI104" i="2"/>
  <c r="EH104" i="2"/>
  <c r="EG104" i="2"/>
  <c r="EF104" i="2"/>
  <c r="EE104" i="2"/>
  <c r="ED104" i="2"/>
  <c r="EC104" i="2"/>
  <c r="EA104" i="2"/>
  <c r="EB104" i="2" s="1"/>
  <c r="DZ104" i="2"/>
  <c r="DY104" i="2"/>
  <c r="DX104" i="2"/>
  <c r="DW104" i="2"/>
  <c r="DV104" i="2"/>
  <c r="DU104" i="2"/>
  <c r="DT104" i="2"/>
  <c r="DS104" i="2"/>
  <c r="DR104" i="2"/>
  <c r="DQ104" i="2"/>
  <c r="DP104" i="2"/>
  <c r="DN104" i="2"/>
  <c r="DO104" i="2" s="1"/>
  <c r="DM104" i="2"/>
  <c r="DL104" i="2"/>
  <c r="DK104" i="2"/>
  <c r="DJ104" i="2"/>
  <c r="DI104" i="2"/>
  <c r="DH104" i="2"/>
  <c r="DG104" i="2"/>
  <c r="DF104" i="2"/>
  <c r="DE104" i="2"/>
  <c r="DD104" i="2"/>
  <c r="DC104" i="2"/>
  <c r="DB104" i="2"/>
  <c r="DA104" i="2"/>
  <c r="CZ104" i="2"/>
  <c r="CY104" i="2"/>
  <c r="CX104" i="2"/>
  <c r="CW104" i="2"/>
  <c r="CV104" i="2"/>
  <c r="CU104" i="2"/>
  <c r="CT104" i="2"/>
  <c r="CS104" i="2"/>
  <c r="CR104" i="2"/>
  <c r="CQ104" i="2"/>
  <c r="CP104" i="2"/>
  <c r="CN104" i="2"/>
  <c r="CO104" i="2" s="1"/>
  <c r="CM104" i="2"/>
  <c r="CL104" i="2"/>
  <c r="CK104" i="2"/>
  <c r="CJ104" i="2"/>
  <c r="CI104" i="2"/>
  <c r="CH104" i="2"/>
  <c r="CG104" i="2"/>
  <c r="CF104" i="2"/>
  <c r="CE104" i="2"/>
  <c r="CD104" i="2"/>
  <c r="CC104" i="2"/>
  <c r="CA104" i="2"/>
  <c r="CB104" i="2" s="1"/>
  <c r="BZ104" i="2"/>
  <c r="BY104" i="2"/>
  <c r="BX104" i="2"/>
  <c r="BW104" i="2"/>
  <c r="BV104" i="2"/>
  <c r="BU104" i="2"/>
  <c r="BT104" i="2"/>
  <c r="BS104" i="2"/>
  <c r="BR104" i="2"/>
  <c r="BQ104" i="2"/>
  <c r="BP104" i="2"/>
  <c r="BN104" i="2"/>
  <c r="BO104" i="2" s="1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N104" i="2"/>
  <c r="AO104" i="2" s="1"/>
  <c r="AM104" i="2"/>
  <c r="AL104" i="2"/>
  <c r="AK104" i="2"/>
  <c r="AJ104" i="2"/>
  <c r="AI104" i="2"/>
  <c r="AH104" i="2"/>
  <c r="AG104" i="2"/>
  <c r="AF104" i="2"/>
  <c r="AE104" i="2"/>
  <c r="AD104" i="2"/>
  <c r="AC104" i="2"/>
  <c r="AA104" i="2"/>
  <c r="AB104" i="2" s="1"/>
  <c r="Z104" i="2"/>
  <c r="Y104" i="2"/>
  <c r="X104" i="2"/>
  <c r="W104" i="2"/>
  <c r="V104" i="2"/>
  <c r="U104" i="2"/>
  <c r="T104" i="2"/>
  <c r="S104" i="2"/>
  <c r="R104" i="2"/>
  <c r="Q104" i="2"/>
  <c r="P104" i="2"/>
  <c r="N104" i="2"/>
  <c r="O104" i="2" s="1"/>
  <c r="M104" i="2"/>
  <c r="L104" i="2"/>
  <c r="K104" i="2"/>
  <c r="J104" i="2"/>
  <c r="I104" i="2"/>
  <c r="H104" i="2"/>
  <c r="G104" i="2"/>
  <c r="F104" i="2"/>
  <c r="E104" i="2"/>
  <c r="D104" i="2"/>
  <c r="C104" i="2"/>
  <c r="FI103" i="2"/>
  <c r="FO103" i="2" s="1"/>
  <c r="FH103" i="2"/>
  <c r="FG103" i="2"/>
  <c r="FF103" i="2"/>
  <c r="FE103" i="2"/>
  <c r="FD103" i="2"/>
  <c r="FC103" i="2"/>
  <c r="FB103" i="2"/>
  <c r="FA103" i="2"/>
  <c r="EZ103" i="2"/>
  <c r="EY103" i="2"/>
  <c r="EX103" i="2"/>
  <c r="EW103" i="2"/>
  <c r="EV103" i="2"/>
  <c r="EU103" i="2"/>
  <c r="ET103" i="2"/>
  <c r="ES103" i="2"/>
  <c r="ER103" i="2"/>
  <c r="EQ103" i="2"/>
  <c r="EP103" i="2"/>
  <c r="EN103" i="2"/>
  <c r="EO103" i="2" s="1"/>
  <c r="EM103" i="2"/>
  <c r="EL103" i="2"/>
  <c r="EK103" i="2"/>
  <c r="EJ103" i="2"/>
  <c r="EI103" i="2"/>
  <c r="EH103" i="2"/>
  <c r="EG103" i="2"/>
  <c r="EF103" i="2"/>
  <c r="EE103" i="2"/>
  <c r="ED103" i="2"/>
  <c r="EC103" i="2"/>
  <c r="EA103" i="2"/>
  <c r="EB103" i="2" s="1"/>
  <c r="DZ103" i="2"/>
  <c r="DY103" i="2"/>
  <c r="DX103" i="2"/>
  <c r="DW103" i="2"/>
  <c r="DV103" i="2"/>
  <c r="DU103" i="2"/>
  <c r="DT103" i="2"/>
  <c r="DS103" i="2"/>
  <c r="DR103" i="2"/>
  <c r="DQ103" i="2"/>
  <c r="DP103" i="2"/>
  <c r="DN103" i="2"/>
  <c r="DO103" i="2" s="1"/>
  <c r="DM103" i="2"/>
  <c r="DL103" i="2"/>
  <c r="DK103" i="2"/>
  <c r="DJ103" i="2"/>
  <c r="DI103" i="2"/>
  <c r="DH103" i="2"/>
  <c r="DG103" i="2"/>
  <c r="DF103" i="2"/>
  <c r="DE103" i="2"/>
  <c r="DD103" i="2"/>
  <c r="DC103" i="2"/>
  <c r="DA103" i="2"/>
  <c r="DB103" i="2" s="1"/>
  <c r="CZ103" i="2"/>
  <c r="CY103" i="2"/>
  <c r="CX103" i="2"/>
  <c r="CW103" i="2"/>
  <c r="CV103" i="2"/>
  <c r="CU103" i="2"/>
  <c r="CT103" i="2"/>
  <c r="CS103" i="2"/>
  <c r="CR103" i="2"/>
  <c r="CQ103" i="2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/>
  <c r="BT103" i="2"/>
  <c r="BS103" i="2"/>
  <c r="BR103" i="2"/>
  <c r="BQ103" i="2"/>
  <c r="BP103" i="2"/>
  <c r="BN103" i="2"/>
  <c r="BO103" i="2" s="1"/>
  <c r="BM103" i="2"/>
  <c r="BL103" i="2"/>
  <c r="BK103" i="2"/>
  <c r="BJ103" i="2"/>
  <c r="BI103" i="2"/>
  <c r="BH103" i="2"/>
  <c r="BG103" i="2"/>
  <c r="BF103" i="2"/>
  <c r="BE103" i="2"/>
  <c r="BD103" i="2"/>
  <c r="BC103" i="2"/>
  <c r="BA103" i="2"/>
  <c r="BB103" i="2" s="1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A103" i="2"/>
  <c r="AB103" i="2" s="1"/>
  <c r="Z103" i="2"/>
  <c r="Y103" i="2"/>
  <c r="X103" i="2"/>
  <c r="W103" i="2"/>
  <c r="V103" i="2"/>
  <c r="U103" i="2"/>
  <c r="T103" i="2"/>
  <c r="S103" i="2"/>
  <c r="R103" i="2"/>
  <c r="Q103" i="2"/>
  <c r="P103" i="2"/>
  <c r="N103" i="2"/>
  <c r="O103" i="2" s="1"/>
  <c r="M103" i="2"/>
  <c r="L103" i="2"/>
  <c r="K103" i="2"/>
  <c r="J103" i="2"/>
  <c r="I103" i="2"/>
  <c r="H103" i="2"/>
  <c r="G103" i="2"/>
  <c r="F103" i="2"/>
  <c r="E103" i="2"/>
  <c r="D103" i="2"/>
  <c r="C103" i="2"/>
  <c r="FO102" i="2"/>
  <c r="FI102" i="2"/>
  <c r="FH102" i="2"/>
  <c r="FG102" i="2"/>
  <c r="FF102" i="2"/>
  <c r="FE102" i="2"/>
  <c r="FD102" i="2"/>
  <c r="FC102" i="2"/>
  <c r="FB102" i="2"/>
  <c r="FA102" i="2"/>
  <c r="EZ102" i="2"/>
  <c r="EY102" i="2"/>
  <c r="EX102" i="2"/>
  <c r="EW102" i="2"/>
  <c r="EV102" i="2"/>
  <c r="EU102" i="2"/>
  <c r="ET102" i="2"/>
  <c r="ES102" i="2"/>
  <c r="ER102" i="2"/>
  <c r="EQ102" i="2"/>
  <c r="EP102" i="2"/>
  <c r="EO102" i="2"/>
  <c r="EN102" i="2"/>
  <c r="EM102" i="2"/>
  <c r="EL102" i="2"/>
  <c r="EK102" i="2"/>
  <c r="EJ102" i="2"/>
  <c r="EI102" i="2"/>
  <c r="EH102" i="2"/>
  <c r="EG102" i="2"/>
  <c r="EF102" i="2"/>
  <c r="EE102" i="2"/>
  <c r="ED102" i="2"/>
  <c r="EC102" i="2"/>
  <c r="EA102" i="2"/>
  <c r="EB102" i="2" s="1"/>
  <c r="DZ102" i="2"/>
  <c r="DY102" i="2"/>
  <c r="DX102" i="2"/>
  <c r="DW102" i="2"/>
  <c r="DV102" i="2"/>
  <c r="DU102" i="2"/>
  <c r="DT102" i="2"/>
  <c r="DS102" i="2"/>
  <c r="DR102" i="2"/>
  <c r="DQ102" i="2"/>
  <c r="DP102" i="2"/>
  <c r="DN102" i="2"/>
  <c r="DO102" i="2" s="1"/>
  <c r="DM102" i="2"/>
  <c r="DL102" i="2"/>
  <c r="DK102" i="2"/>
  <c r="DJ102" i="2"/>
  <c r="DI102" i="2"/>
  <c r="DH102" i="2"/>
  <c r="DG102" i="2"/>
  <c r="DF102" i="2"/>
  <c r="DE102" i="2"/>
  <c r="DD102" i="2"/>
  <c r="DC102" i="2"/>
  <c r="DA102" i="2"/>
  <c r="DB102" i="2" s="1"/>
  <c r="CZ102" i="2"/>
  <c r="CY102" i="2"/>
  <c r="CX102" i="2"/>
  <c r="CW102" i="2"/>
  <c r="CV102" i="2"/>
  <c r="CU102" i="2"/>
  <c r="CT102" i="2"/>
  <c r="CS102" i="2"/>
  <c r="CR102" i="2"/>
  <c r="CQ102" i="2"/>
  <c r="CP102" i="2"/>
  <c r="CN102" i="2"/>
  <c r="CO102" i="2" s="1"/>
  <c r="CM102" i="2"/>
  <c r="CL102" i="2"/>
  <c r="CK102" i="2"/>
  <c r="CJ102" i="2"/>
  <c r="CI102" i="2"/>
  <c r="CH102" i="2"/>
  <c r="CG102" i="2"/>
  <c r="CF102" i="2"/>
  <c r="CE102" i="2"/>
  <c r="CD102" i="2"/>
  <c r="CC102" i="2"/>
  <c r="CA102" i="2"/>
  <c r="CB102" i="2" s="1"/>
  <c r="BZ102" i="2"/>
  <c r="BY102" i="2"/>
  <c r="BX102" i="2"/>
  <c r="BW102" i="2"/>
  <c r="BV102" i="2"/>
  <c r="BU102" i="2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A102" i="2"/>
  <c r="BB102" i="2" s="1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A102" i="2"/>
  <c r="AB102" i="2" s="1"/>
  <c r="Z102" i="2"/>
  <c r="Y102" i="2"/>
  <c r="X102" i="2"/>
  <c r="W102" i="2"/>
  <c r="V102" i="2"/>
  <c r="U102" i="2"/>
  <c r="T102" i="2"/>
  <c r="S102" i="2"/>
  <c r="R102" i="2"/>
  <c r="Q102" i="2"/>
  <c r="P102" i="2"/>
  <c r="N102" i="2"/>
  <c r="O102" i="2" s="1"/>
  <c r="M102" i="2"/>
  <c r="L102" i="2"/>
  <c r="K102" i="2"/>
  <c r="J102" i="2"/>
  <c r="I102" i="2"/>
  <c r="H102" i="2"/>
  <c r="G102" i="2"/>
  <c r="F102" i="2"/>
  <c r="E102" i="2"/>
  <c r="D102" i="2"/>
  <c r="C102" i="2"/>
  <c r="FI101" i="2"/>
  <c r="FO101" i="2" s="1"/>
  <c r="FH101" i="2"/>
  <c r="FG101" i="2"/>
  <c r="FF101" i="2"/>
  <c r="FE101" i="2"/>
  <c r="FD101" i="2"/>
  <c r="FC101" i="2"/>
  <c r="FA101" i="2"/>
  <c r="FB101" i="2" s="1"/>
  <c r="EZ101" i="2"/>
  <c r="EY101" i="2"/>
  <c r="EX101" i="2"/>
  <c r="EW101" i="2"/>
  <c r="EV101" i="2"/>
  <c r="EU101" i="2"/>
  <c r="ET101" i="2"/>
  <c r="ES101" i="2"/>
  <c r="ER101" i="2"/>
  <c r="EQ101" i="2"/>
  <c r="EP101" i="2"/>
  <c r="EN101" i="2"/>
  <c r="EO101" i="2" s="1"/>
  <c r="EM101" i="2"/>
  <c r="EL101" i="2"/>
  <c r="EK101" i="2"/>
  <c r="EJ101" i="2"/>
  <c r="EI101" i="2"/>
  <c r="EH101" i="2"/>
  <c r="EG101" i="2"/>
  <c r="EF101" i="2"/>
  <c r="EE101" i="2"/>
  <c r="ED101" i="2"/>
  <c r="EC101" i="2"/>
  <c r="EB101" i="2"/>
  <c r="EA101" i="2"/>
  <c r="DZ101" i="2"/>
  <c r="DY101" i="2"/>
  <c r="DX101" i="2"/>
  <c r="DW101" i="2"/>
  <c r="DV101" i="2"/>
  <c r="DU101" i="2"/>
  <c r="DT101" i="2"/>
  <c r="DS101" i="2"/>
  <c r="DR101" i="2"/>
  <c r="DQ101" i="2"/>
  <c r="DP101" i="2"/>
  <c r="DN101" i="2"/>
  <c r="DO101" i="2" s="1"/>
  <c r="DM101" i="2"/>
  <c r="DL101" i="2"/>
  <c r="DK101" i="2"/>
  <c r="DJ101" i="2"/>
  <c r="DI101" i="2"/>
  <c r="DH101" i="2"/>
  <c r="DG101" i="2"/>
  <c r="DF101" i="2"/>
  <c r="DE101" i="2"/>
  <c r="DD101" i="2"/>
  <c r="DC101" i="2"/>
  <c r="DB101" i="2"/>
  <c r="DA101" i="2"/>
  <c r="CZ101" i="2"/>
  <c r="CY101" i="2"/>
  <c r="CX101" i="2"/>
  <c r="CW101" i="2"/>
  <c r="CV101" i="2"/>
  <c r="CU101" i="2"/>
  <c r="CT101" i="2"/>
  <c r="CS101" i="2"/>
  <c r="CR101" i="2"/>
  <c r="CQ101" i="2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A101" i="2"/>
  <c r="CB101" i="2" s="1"/>
  <c r="BZ101" i="2"/>
  <c r="BY101" i="2"/>
  <c r="BX101" i="2"/>
  <c r="BW101" i="2"/>
  <c r="BV101" i="2"/>
  <c r="BU101" i="2"/>
  <c r="BT101" i="2"/>
  <c r="BS101" i="2"/>
  <c r="BR101" i="2"/>
  <c r="BQ101" i="2"/>
  <c r="BP101" i="2"/>
  <c r="BN101" i="2"/>
  <c r="BO101" i="2" s="1"/>
  <c r="BM101" i="2"/>
  <c r="BL101" i="2"/>
  <c r="BK101" i="2"/>
  <c r="BJ101" i="2"/>
  <c r="BI101" i="2"/>
  <c r="BH101" i="2"/>
  <c r="BG101" i="2"/>
  <c r="BF101" i="2"/>
  <c r="BE101" i="2"/>
  <c r="BD101" i="2"/>
  <c r="BC101" i="2"/>
  <c r="BA101" i="2"/>
  <c r="BB101" i="2" s="1"/>
  <c r="AZ101" i="2"/>
  <c r="AY101" i="2"/>
  <c r="AX101" i="2"/>
  <c r="AW101" i="2"/>
  <c r="AV101" i="2"/>
  <c r="AU101" i="2"/>
  <c r="AT101" i="2"/>
  <c r="AS101" i="2"/>
  <c r="AR101" i="2"/>
  <c r="AQ101" i="2"/>
  <c r="AP101" i="2"/>
  <c r="AN101" i="2"/>
  <c r="AO101" i="2" s="1"/>
  <c r="AM101" i="2"/>
  <c r="AL101" i="2"/>
  <c r="AK101" i="2"/>
  <c r="AJ101" i="2"/>
  <c r="AI101" i="2"/>
  <c r="AH101" i="2"/>
  <c r="AG101" i="2"/>
  <c r="AF101" i="2"/>
  <c r="AE101" i="2"/>
  <c r="AD101" i="2"/>
  <c r="AC101" i="2"/>
  <c r="AA101" i="2"/>
  <c r="AB101" i="2" s="1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FI100" i="2"/>
  <c r="FO100" i="2" s="1"/>
  <c r="FH100" i="2"/>
  <c r="FG100" i="2"/>
  <c r="FF100" i="2"/>
  <c r="FE100" i="2"/>
  <c r="FD100" i="2"/>
  <c r="FC100" i="2"/>
  <c r="FB100" i="2"/>
  <c r="FA100" i="2"/>
  <c r="EZ100" i="2"/>
  <c r="EY100" i="2"/>
  <c r="EX100" i="2"/>
  <c r="EW100" i="2"/>
  <c r="EV100" i="2"/>
  <c r="EU100" i="2"/>
  <c r="ET100" i="2"/>
  <c r="ES100" i="2"/>
  <c r="ER100" i="2"/>
  <c r="EQ100" i="2"/>
  <c r="EP100" i="2"/>
  <c r="EN100" i="2"/>
  <c r="EO100" i="2" s="1"/>
  <c r="EM100" i="2"/>
  <c r="EL100" i="2"/>
  <c r="EK100" i="2"/>
  <c r="EJ100" i="2"/>
  <c r="EI100" i="2"/>
  <c r="EH100" i="2"/>
  <c r="EG100" i="2"/>
  <c r="EF100" i="2"/>
  <c r="EE100" i="2"/>
  <c r="ED100" i="2"/>
  <c r="EC100" i="2"/>
  <c r="EA100" i="2"/>
  <c r="EB100" i="2" s="1"/>
  <c r="DZ100" i="2"/>
  <c r="DY100" i="2"/>
  <c r="DX100" i="2"/>
  <c r="DW100" i="2"/>
  <c r="DV100" i="2"/>
  <c r="DU100" i="2"/>
  <c r="DT100" i="2"/>
  <c r="DS100" i="2"/>
  <c r="DR100" i="2"/>
  <c r="DQ100" i="2"/>
  <c r="DP100" i="2"/>
  <c r="DO100" i="2"/>
  <c r="DN100" i="2"/>
  <c r="DM100" i="2"/>
  <c r="DL100" i="2"/>
  <c r="DK100" i="2"/>
  <c r="DJ100" i="2"/>
  <c r="DI100" i="2"/>
  <c r="DH100" i="2"/>
  <c r="DG100" i="2"/>
  <c r="DF100" i="2"/>
  <c r="DE100" i="2"/>
  <c r="DD100" i="2"/>
  <c r="DC100" i="2"/>
  <c r="DA100" i="2"/>
  <c r="DB100" i="2" s="1"/>
  <c r="CZ100" i="2"/>
  <c r="CY100" i="2"/>
  <c r="CX100" i="2"/>
  <c r="CW100" i="2"/>
  <c r="CV100" i="2"/>
  <c r="CU100" i="2"/>
  <c r="CT100" i="2"/>
  <c r="CS100" i="2"/>
  <c r="CR100" i="2"/>
  <c r="CQ100" i="2"/>
  <c r="CP100" i="2"/>
  <c r="CN100" i="2"/>
  <c r="CO100" i="2" s="1"/>
  <c r="CM100" i="2"/>
  <c r="CL100" i="2"/>
  <c r="CK100" i="2"/>
  <c r="CJ100" i="2"/>
  <c r="CI100" i="2"/>
  <c r="CH100" i="2"/>
  <c r="CG100" i="2"/>
  <c r="CF100" i="2"/>
  <c r="CE100" i="2"/>
  <c r="CD100" i="2"/>
  <c r="CC100" i="2"/>
  <c r="CA100" i="2"/>
  <c r="CB100" i="2" s="1"/>
  <c r="BZ100" i="2"/>
  <c r="BY100" i="2"/>
  <c r="BX100" i="2"/>
  <c r="BW100" i="2"/>
  <c r="BV100" i="2"/>
  <c r="BU100" i="2"/>
  <c r="BT100" i="2"/>
  <c r="BS100" i="2"/>
  <c r="BR100" i="2"/>
  <c r="BQ100" i="2"/>
  <c r="BP100" i="2"/>
  <c r="BN100" i="2"/>
  <c r="BO100" i="2" s="1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A100" i="2"/>
  <c r="AB100" i="2" s="1"/>
  <c r="Z100" i="2"/>
  <c r="Y100" i="2"/>
  <c r="X100" i="2"/>
  <c r="W100" i="2"/>
  <c r="V100" i="2"/>
  <c r="U100" i="2"/>
  <c r="T100" i="2"/>
  <c r="S100" i="2"/>
  <c r="R100" i="2"/>
  <c r="Q100" i="2"/>
  <c r="P100" i="2"/>
  <c r="N100" i="2"/>
  <c r="O100" i="2" s="1"/>
  <c r="M100" i="2"/>
  <c r="L100" i="2"/>
  <c r="K100" i="2"/>
  <c r="J100" i="2"/>
  <c r="I100" i="2"/>
  <c r="H100" i="2"/>
  <c r="G100" i="2"/>
  <c r="F100" i="2"/>
  <c r="E100" i="2"/>
  <c r="D100" i="2"/>
  <c r="C100" i="2"/>
  <c r="FI99" i="2"/>
  <c r="FO99" i="2" s="1"/>
  <c r="FH99" i="2"/>
  <c r="FG99" i="2"/>
  <c r="FF99" i="2"/>
  <c r="FE99" i="2"/>
  <c r="FD99" i="2"/>
  <c r="FC99" i="2"/>
  <c r="FA99" i="2"/>
  <c r="FB99" i="2" s="1"/>
  <c r="EZ99" i="2"/>
  <c r="EY99" i="2"/>
  <c r="EX99" i="2"/>
  <c r="EW99" i="2"/>
  <c r="EV99" i="2"/>
  <c r="EU99" i="2"/>
  <c r="ET99" i="2"/>
  <c r="ES99" i="2"/>
  <c r="ER99" i="2"/>
  <c r="EQ99" i="2"/>
  <c r="EP99" i="2"/>
  <c r="EN99" i="2"/>
  <c r="EO99" i="2" s="1"/>
  <c r="EM99" i="2"/>
  <c r="EL99" i="2"/>
  <c r="EK99" i="2"/>
  <c r="EJ99" i="2"/>
  <c r="EI99" i="2"/>
  <c r="EH99" i="2"/>
  <c r="EG99" i="2"/>
  <c r="EF99" i="2"/>
  <c r="EE99" i="2"/>
  <c r="ED99" i="2"/>
  <c r="EC99" i="2"/>
  <c r="EA99" i="2"/>
  <c r="EB99" i="2" s="1"/>
  <c r="DZ99" i="2"/>
  <c r="DY99" i="2"/>
  <c r="DX99" i="2"/>
  <c r="DW99" i="2"/>
  <c r="DV99" i="2"/>
  <c r="DU99" i="2"/>
  <c r="DT99" i="2"/>
  <c r="DS99" i="2"/>
  <c r="DR99" i="2"/>
  <c r="DQ99" i="2"/>
  <c r="DP99" i="2"/>
  <c r="DN99" i="2"/>
  <c r="DO99" i="2" s="1"/>
  <c r="DM99" i="2"/>
  <c r="DL99" i="2"/>
  <c r="DK99" i="2"/>
  <c r="DJ99" i="2"/>
  <c r="DI99" i="2"/>
  <c r="DH99" i="2"/>
  <c r="DG99" i="2"/>
  <c r="DF99" i="2"/>
  <c r="DE99" i="2"/>
  <c r="DD99" i="2"/>
  <c r="DC99" i="2"/>
  <c r="DB99" i="2"/>
  <c r="DA99" i="2"/>
  <c r="CZ99" i="2"/>
  <c r="CY99" i="2"/>
  <c r="CX99" i="2"/>
  <c r="CW99" i="2"/>
  <c r="CV99" i="2"/>
  <c r="CU99" i="2"/>
  <c r="CT99" i="2"/>
  <c r="CS99" i="2"/>
  <c r="CR99" i="2"/>
  <c r="CQ99" i="2"/>
  <c r="CP99" i="2"/>
  <c r="CN99" i="2"/>
  <c r="CO99" i="2" s="1"/>
  <c r="CM99" i="2"/>
  <c r="CL99" i="2"/>
  <c r="CK99" i="2"/>
  <c r="CJ99" i="2"/>
  <c r="CI99" i="2"/>
  <c r="CH99" i="2"/>
  <c r="CG99" i="2"/>
  <c r="CF99" i="2"/>
  <c r="CE99" i="2"/>
  <c r="CD99" i="2"/>
  <c r="CC99" i="2"/>
  <c r="CA99" i="2"/>
  <c r="CB99" i="2" s="1"/>
  <c r="BZ99" i="2"/>
  <c r="BY99" i="2"/>
  <c r="BX99" i="2"/>
  <c r="BW99" i="2"/>
  <c r="BV99" i="2"/>
  <c r="BU99" i="2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A99" i="2"/>
  <c r="BB99" i="2" s="1"/>
  <c r="AZ99" i="2"/>
  <c r="AY99" i="2"/>
  <c r="AX99" i="2"/>
  <c r="AW99" i="2"/>
  <c r="AV99" i="2"/>
  <c r="AU99" i="2"/>
  <c r="AT99" i="2"/>
  <c r="AS99" i="2"/>
  <c r="AR99" i="2"/>
  <c r="AQ99" i="2"/>
  <c r="AP99" i="2"/>
  <c r="AN99" i="2"/>
  <c r="AO99" i="2" s="1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N99" i="2"/>
  <c r="O99" i="2" s="1"/>
  <c r="M99" i="2"/>
  <c r="L99" i="2"/>
  <c r="K99" i="2"/>
  <c r="J99" i="2"/>
  <c r="I99" i="2"/>
  <c r="H99" i="2"/>
  <c r="G99" i="2"/>
  <c r="F99" i="2"/>
  <c r="E99" i="2"/>
  <c r="D99" i="2"/>
  <c r="C99" i="2"/>
  <c r="FI98" i="2"/>
  <c r="FO98" i="2" s="1"/>
  <c r="FH98" i="2"/>
  <c r="FG98" i="2"/>
  <c r="FF98" i="2"/>
  <c r="FE98" i="2"/>
  <c r="FD98" i="2"/>
  <c r="FC98" i="2"/>
  <c r="FA98" i="2"/>
  <c r="FB98" i="2" s="1"/>
  <c r="EZ98" i="2"/>
  <c r="EY98" i="2"/>
  <c r="EX98" i="2"/>
  <c r="EW98" i="2"/>
  <c r="EV98" i="2"/>
  <c r="EU98" i="2"/>
  <c r="ET98" i="2"/>
  <c r="ES98" i="2"/>
  <c r="ER98" i="2"/>
  <c r="EQ98" i="2"/>
  <c r="EP98" i="2"/>
  <c r="EO98" i="2"/>
  <c r="EN98" i="2"/>
  <c r="EM98" i="2"/>
  <c r="EL98" i="2"/>
  <c r="EK98" i="2"/>
  <c r="EJ98" i="2"/>
  <c r="EI98" i="2"/>
  <c r="EH98" i="2"/>
  <c r="EG98" i="2"/>
  <c r="EF98" i="2"/>
  <c r="EE98" i="2"/>
  <c r="ED98" i="2"/>
  <c r="EC98" i="2"/>
  <c r="EB98" i="2"/>
  <c r="EA98" i="2"/>
  <c r="DZ98" i="2"/>
  <c r="DY98" i="2"/>
  <c r="DX98" i="2"/>
  <c r="DW98" i="2"/>
  <c r="DV98" i="2"/>
  <c r="DU98" i="2"/>
  <c r="DT98" i="2"/>
  <c r="DS98" i="2"/>
  <c r="DR98" i="2"/>
  <c r="DQ98" i="2"/>
  <c r="DP98" i="2"/>
  <c r="DN98" i="2"/>
  <c r="DO98" i="2" s="1"/>
  <c r="DM98" i="2"/>
  <c r="DL98" i="2"/>
  <c r="DK98" i="2"/>
  <c r="DJ98" i="2"/>
  <c r="DI98" i="2"/>
  <c r="DH98" i="2"/>
  <c r="DG98" i="2"/>
  <c r="DF98" i="2"/>
  <c r="DE98" i="2"/>
  <c r="DD98" i="2"/>
  <c r="DC98" i="2"/>
  <c r="DA98" i="2"/>
  <c r="DB98" i="2" s="1"/>
  <c r="CZ98" i="2"/>
  <c r="CY98" i="2"/>
  <c r="CX98" i="2"/>
  <c r="CW98" i="2"/>
  <c r="CV98" i="2"/>
  <c r="CU98" i="2"/>
  <c r="CT98" i="2"/>
  <c r="CS98" i="2"/>
  <c r="CR98" i="2"/>
  <c r="CQ98" i="2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A98" i="2"/>
  <c r="CB98" i="2" s="1"/>
  <c r="BZ98" i="2"/>
  <c r="BY98" i="2"/>
  <c r="BX98" i="2"/>
  <c r="BW98" i="2"/>
  <c r="BV98" i="2"/>
  <c r="BU98" i="2"/>
  <c r="BT98" i="2"/>
  <c r="BS98" i="2"/>
  <c r="BR98" i="2"/>
  <c r="BQ98" i="2"/>
  <c r="BP98" i="2"/>
  <c r="BN98" i="2"/>
  <c r="BO98" i="2" s="1"/>
  <c r="BM98" i="2"/>
  <c r="BL98" i="2"/>
  <c r="BK98" i="2"/>
  <c r="BJ98" i="2"/>
  <c r="BI98" i="2"/>
  <c r="BH98" i="2"/>
  <c r="BG98" i="2"/>
  <c r="BF98" i="2"/>
  <c r="BE98" i="2"/>
  <c r="BD98" i="2"/>
  <c r="BC98" i="2"/>
  <c r="BA98" i="2"/>
  <c r="BB98" i="2" s="1"/>
  <c r="AZ98" i="2"/>
  <c r="AY98" i="2"/>
  <c r="AX98" i="2"/>
  <c r="AW98" i="2"/>
  <c r="AV98" i="2"/>
  <c r="AU98" i="2"/>
  <c r="AT98" i="2"/>
  <c r="AS98" i="2"/>
  <c r="AR98" i="2"/>
  <c r="AQ98" i="2"/>
  <c r="AP98" i="2"/>
  <c r="AN98" i="2"/>
  <c r="AO98" i="2" s="1"/>
  <c r="AM98" i="2"/>
  <c r="AL98" i="2"/>
  <c r="AK98" i="2"/>
  <c r="AJ98" i="2"/>
  <c r="AI98" i="2"/>
  <c r="AH98" i="2"/>
  <c r="AG98" i="2"/>
  <c r="AF98" i="2"/>
  <c r="AE98" i="2"/>
  <c r="AD98" i="2"/>
  <c r="AC98" i="2"/>
  <c r="AA98" i="2"/>
  <c r="AB98" i="2" s="1"/>
  <c r="Z98" i="2"/>
  <c r="Y98" i="2"/>
  <c r="X98" i="2"/>
  <c r="W98" i="2"/>
  <c r="V98" i="2"/>
  <c r="U98" i="2"/>
  <c r="T98" i="2"/>
  <c r="S98" i="2"/>
  <c r="R98" i="2"/>
  <c r="Q98" i="2"/>
  <c r="P98" i="2"/>
  <c r="N98" i="2"/>
  <c r="O98" i="2" s="1"/>
  <c r="M98" i="2"/>
  <c r="L98" i="2"/>
  <c r="K98" i="2"/>
  <c r="J98" i="2"/>
  <c r="I98" i="2"/>
  <c r="H98" i="2"/>
  <c r="G98" i="2"/>
  <c r="F98" i="2"/>
  <c r="E98" i="2"/>
  <c r="D98" i="2"/>
  <c r="C98" i="2"/>
  <c r="FI97" i="2"/>
  <c r="FO97" i="2" s="1"/>
  <c r="FH97" i="2"/>
  <c r="FG97" i="2"/>
  <c r="FF97" i="2"/>
  <c r="FE97" i="2"/>
  <c r="FD97" i="2"/>
  <c r="FC97" i="2"/>
  <c r="FA97" i="2"/>
  <c r="FB97" i="2" s="1"/>
  <c r="EZ97" i="2"/>
  <c r="EY97" i="2"/>
  <c r="EX97" i="2"/>
  <c r="EW97" i="2"/>
  <c r="EV97" i="2"/>
  <c r="EU97" i="2"/>
  <c r="ET97" i="2"/>
  <c r="ES97" i="2"/>
  <c r="ER97" i="2"/>
  <c r="EQ97" i="2"/>
  <c r="EP97" i="2"/>
  <c r="EN97" i="2"/>
  <c r="EO97" i="2" s="1"/>
  <c r="EM97" i="2"/>
  <c r="EL97" i="2"/>
  <c r="EK97" i="2"/>
  <c r="EJ97" i="2"/>
  <c r="EI97" i="2"/>
  <c r="EH97" i="2"/>
  <c r="EG97" i="2"/>
  <c r="EF97" i="2"/>
  <c r="EE97" i="2"/>
  <c r="ED97" i="2"/>
  <c r="EC97" i="2"/>
  <c r="EA97" i="2"/>
  <c r="EB97" i="2" s="1"/>
  <c r="DZ97" i="2"/>
  <c r="DY97" i="2"/>
  <c r="DX97" i="2"/>
  <c r="DW97" i="2"/>
  <c r="DV97" i="2"/>
  <c r="DU97" i="2"/>
  <c r="DT97" i="2"/>
  <c r="DS97" i="2"/>
  <c r="DR97" i="2"/>
  <c r="DQ97" i="2"/>
  <c r="DP97" i="2"/>
  <c r="DO97" i="2"/>
  <c r="DN97" i="2"/>
  <c r="DM97" i="2"/>
  <c r="DL97" i="2"/>
  <c r="DK97" i="2"/>
  <c r="DJ97" i="2"/>
  <c r="DI97" i="2"/>
  <c r="DH97" i="2"/>
  <c r="DG97" i="2"/>
  <c r="DF97" i="2"/>
  <c r="DE97" i="2"/>
  <c r="DD97" i="2"/>
  <c r="DC97" i="2"/>
  <c r="DA97" i="2"/>
  <c r="DB97" i="2" s="1"/>
  <c r="CZ97" i="2"/>
  <c r="CY97" i="2"/>
  <c r="CX97" i="2"/>
  <c r="CW97" i="2"/>
  <c r="CV97" i="2"/>
  <c r="CU97" i="2"/>
  <c r="CT97" i="2"/>
  <c r="CS97" i="2"/>
  <c r="CR97" i="2"/>
  <c r="CQ97" i="2"/>
  <c r="CP97" i="2"/>
  <c r="CN97" i="2"/>
  <c r="CO97" i="2" s="1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N97" i="2"/>
  <c r="BO97" i="2" s="1"/>
  <c r="BM97" i="2"/>
  <c r="BL97" i="2"/>
  <c r="BK97" i="2"/>
  <c r="BJ97" i="2"/>
  <c r="BI97" i="2"/>
  <c r="BH97" i="2"/>
  <c r="BG97" i="2"/>
  <c r="BF97" i="2"/>
  <c r="BE97" i="2"/>
  <c r="BD97" i="2"/>
  <c r="BC97" i="2"/>
  <c r="BA97" i="2"/>
  <c r="BB97" i="2" s="1"/>
  <c r="AZ97" i="2"/>
  <c r="AY97" i="2"/>
  <c r="AX97" i="2"/>
  <c r="AW97" i="2"/>
  <c r="AV97" i="2"/>
  <c r="AU97" i="2"/>
  <c r="AT97" i="2"/>
  <c r="AS97" i="2"/>
  <c r="AR97" i="2"/>
  <c r="AQ97" i="2"/>
  <c r="AP97" i="2"/>
  <c r="AN97" i="2"/>
  <c r="AO97" i="2" s="1"/>
  <c r="AM97" i="2"/>
  <c r="AL97" i="2"/>
  <c r="AK97" i="2"/>
  <c r="AJ97" i="2"/>
  <c r="AI97" i="2"/>
  <c r="AH97" i="2"/>
  <c r="AG97" i="2"/>
  <c r="AF97" i="2"/>
  <c r="AE97" i="2"/>
  <c r="AD97" i="2"/>
  <c r="AC97" i="2"/>
  <c r="AA97" i="2"/>
  <c r="AB97" i="2" s="1"/>
  <c r="Z97" i="2"/>
  <c r="Y97" i="2"/>
  <c r="X97" i="2"/>
  <c r="W97" i="2"/>
  <c r="V97" i="2"/>
  <c r="U97" i="2"/>
  <c r="T97" i="2"/>
  <c r="S97" i="2"/>
  <c r="R97" i="2"/>
  <c r="Q97" i="2"/>
  <c r="P97" i="2"/>
  <c r="N97" i="2"/>
  <c r="O97" i="2" s="1"/>
  <c r="M97" i="2"/>
  <c r="L97" i="2"/>
  <c r="K97" i="2"/>
  <c r="J97" i="2"/>
  <c r="I97" i="2"/>
  <c r="H97" i="2"/>
  <c r="G97" i="2"/>
  <c r="F97" i="2"/>
  <c r="E97" i="2"/>
  <c r="D97" i="2"/>
  <c r="C97" i="2"/>
  <c r="FO96" i="2"/>
  <c r="FI96" i="2"/>
  <c r="FH96" i="2"/>
  <c r="FG96" i="2"/>
  <c r="FF96" i="2"/>
  <c r="FE96" i="2"/>
  <c r="FD96" i="2"/>
  <c r="FC96" i="2"/>
  <c r="FA96" i="2"/>
  <c r="FB96" i="2" s="1"/>
  <c r="EZ96" i="2"/>
  <c r="EY96" i="2"/>
  <c r="EX96" i="2"/>
  <c r="EW96" i="2"/>
  <c r="EV96" i="2"/>
  <c r="EU96" i="2"/>
  <c r="ET96" i="2"/>
  <c r="ES96" i="2"/>
  <c r="ER96" i="2"/>
  <c r="EQ96" i="2"/>
  <c r="EP96" i="2"/>
  <c r="EO96" i="2"/>
  <c r="EN96" i="2"/>
  <c r="EM96" i="2"/>
  <c r="EL96" i="2"/>
  <c r="EK96" i="2"/>
  <c r="EJ96" i="2"/>
  <c r="EI96" i="2"/>
  <c r="EH96" i="2"/>
  <c r="EG96" i="2"/>
  <c r="EF96" i="2"/>
  <c r="EE96" i="2"/>
  <c r="ED96" i="2"/>
  <c r="EC96" i="2"/>
  <c r="EA96" i="2"/>
  <c r="EB96" i="2" s="1"/>
  <c r="DZ96" i="2"/>
  <c r="DY96" i="2"/>
  <c r="DX96" i="2"/>
  <c r="DW96" i="2"/>
  <c r="DV96" i="2"/>
  <c r="DU96" i="2"/>
  <c r="DT96" i="2"/>
  <c r="DS96" i="2"/>
  <c r="DR96" i="2"/>
  <c r="DQ96" i="2"/>
  <c r="DP96" i="2"/>
  <c r="DN96" i="2"/>
  <c r="DO96" i="2" s="1"/>
  <c r="DM96" i="2"/>
  <c r="DL96" i="2"/>
  <c r="DK96" i="2"/>
  <c r="DJ96" i="2"/>
  <c r="DI96" i="2"/>
  <c r="DH96" i="2"/>
  <c r="DG96" i="2"/>
  <c r="DF96" i="2"/>
  <c r="DE96" i="2"/>
  <c r="DD96" i="2"/>
  <c r="DC96" i="2"/>
  <c r="DA96" i="2"/>
  <c r="DB96" i="2" s="1"/>
  <c r="CZ96" i="2"/>
  <c r="CY96" i="2"/>
  <c r="CX96" i="2"/>
  <c r="CW96" i="2"/>
  <c r="CV96" i="2"/>
  <c r="CU96" i="2"/>
  <c r="CT96" i="2"/>
  <c r="CS96" i="2"/>
  <c r="CR96" i="2"/>
  <c r="CQ96" i="2"/>
  <c r="CP96" i="2"/>
  <c r="CN96" i="2"/>
  <c r="CO96" i="2" s="1"/>
  <c r="CM96" i="2"/>
  <c r="CL96" i="2"/>
  <c r="CK96" i="2"/>
  <c r="CJ96" i="2"/>
  <c r="CI96" i="2"/>
  <c r="CH96" i="2"/>
  <c r="CG96" i="2"/>
  <c r="CF96" i="2"/>
  <c r="CE96" i="2"/>
  <c r="CD96" i="2"/>
  <c r="CC96" i="2"/>
  <c r="CA96" i="2"/>
  <c r="CB96" i="2" s="1"/>
  <c r="BZ96" i="2"/>
  <c r="BY96" i="2"/>
  <c r="BX96" i="2"/>
  <c r="BW96" i="2"/>
  <c r="BV96" i="2"/>
  <c r="BU96" i="2"/>
  <c r="BT96" i="2"/>
  <c r="BS96" i="2"/>
  <c r="BR96" i="2"/>
  <c r="BQ96" i="2"/>
  <c r="BP96" i="2"/>
  <c r="BN96" i="2"/>
  <c r="BO96" i="2" s="1"/>
  <c r="BM96" i="2"/>
  <c r="BL96" i="2"/>
  <c r="BK96" i="2"/>
  <c r="BJ96" i="2"/>
  <c r="BI96" i="2"/>
  <c r="BH96" i="2"/>
  <c r="BG96" i="2"/>
  <c r="BF96" i="2"/>
  <c r="BE96" i="2"/>
  <c r="BD96" i="2"/>
  <c r="BC96" i="2"/>
  <c r="BA96" i="2"/>
  <c r="BB96" i="2" s="1"/>
  <c r="AZ96" i="2"/>
  <c r="AY96" i="2"/>
  <c r="AX96" i="2"/>
  <c r="AW96" i="2"/>
  <c r="AV96" i="2"/>
  <c r="AU96" i="2"/>
  <c r="AT96" i="2"/>
  <c r="AS96" i="2"/>
  <c r="AR96" i="2"/>
  <c r="AQ96" i="2"/>
  <c r="AP96" i="2"/>
  <c r="AN96" i="2"/>
  <c r="AO96" i="2" s="1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N96" i="2"/>
  <c r="O96" i="2" s="1"/>
  <c r="M96" i="2"/>
  <c r="L96" i="2"/>
  <c r="K96" i="2"/>
  <c r="J96" i="2"/>
  <c r="I96" i="2"/>
  <c r="H96" i="2"/>
  <c r="G96" i="2"/>
  <c r="F96" i="2"/>
  <c r="E96" i="2"/>
  <c r="D96" i="2"/>
  <c r="C96" i="2"/>
  <c r="FO95" i="2"/>
  <c r="FI95" i="2"/>
  <c r="FH95" i="2"/>
  <c r="FG95" i="2"/>
  <c r="FF95" i="2"/>
  <c r="FE95" i="2"/>
  <c r="FD95" i="2"/>
  <c r="FC95" i="2"/>
  <c r="FA95" i="2"/>
  <c r="FB95" i="2" s="1"/>
  <c r="EZ95" i="2"/>
  <c r="EY95" i="2"/>
  <c r="EX95" i="2"/>
  <c r="EW95" i="2"/>
  <c r="EV95" i="2"/>
  <c r="EU95" i="2"/>
  <c r="ET95" i="2"/>
  <c r="ES95" i="2"/>
  <c r="ER95" i="2"/>
  <c r="EQ95" i="2"/>
  <c r="EP95" i="2"/>
  <c r="EN95" i="2"/>
  <c r="EO95" i="2" s="1"/>
  <c r="EM95" i="2"/>
  <c r="EL95" i="2"/>
  <c r="EK95" i="2"/>
  <c r="EJ95" i="2"/>
  <c r="EI95" i="2"/>
  <c r="EH95" i="2"/>
  <c r="EG95" i="2"/>
  <c r="EF95" i="2"/>
  <c r="EE95" i="2"/>
  <c r="ED95" i="2"/>
  <c r="EC95" i="2"/>
  <c r="EA95" i="2"/>
  <c r="EB95" i="2" s="1"/>
  <c r="DZ95" i="2"/>
  <c r="DY95" i="2"/>
  <c r="DX95" i="2"/>
  <c r="DW95" i="2"/>
  <c r="DV95" i="2"/>
  <c r="DU95" i="2"/>
  <c r="DT95" i="2"/>
  <c r="DS95" i="2"/>
  <c r="DR95" i="2"/>
  <c r="DQ95" i="2"/>
  <c r="DP95" i="2"/>
  <c r="DN95" i="2"/>
  <c r="DO95" i="2" s="1"/>
  <c r="DM95" i="2"/>
  <c r="DL95" i="2"/>
  <c r="DK95" i="2"/>
  <c r="DJ95" i="2"/>
  <c r="DI95" i="2"/>
  <c r="DH95" i="2"/>
  <c r="DG95" i="2"/>
  <c r="DF95" i="2"/>
  <c r="DE95" i="2"/>
  <c r="DD95" i="2"/>
  <c r="DC95" i="2"/>
  <c r="DB95" i="2"/>
  <c r="DA95" i="2"/>
  <c r="CZ95" i="2"/>
  <c r="CY95" i="2"/>
  <c r="CX95" i="2"/>
  <c r="CW95" i="2"/>
  <c r="CV95" i="2"/>
  <c r="CU95" i="2"/>
  <c r="CT95" i="2"/>
  <c r="CS95" i="2"/>
  <c r="CR95" i="2"/>
  <c r="CQ95" i="2"/>
  <c r="CP95" i="2"/>
  <c r="CN95" i="2"/>
  <c r="CO95" i="2" s="1"/>
  <c r="CM95" i="2"/>
  <c r="CL95" i="2"/>
  <c r="CK95" i="2"/>
  <c r="CJ95" i="2"/>
  <c r="CI95" i="2"/>
  <c r="CH95" i="2"/>
  <c r="CG95" i="2"/>
  <c r="CF95" i="2"/>
  <c r="CE95" i="2"/>
  <c r="CD95" i="2"/>
  <c r="CC95" i="2"/>
  <c r="CA95" i="2"/>
  <c r="CB95" i="2" s="1"/>
  <c r="BZ95" i="2"/>
  <c r="BY95" i="2"/>
  <c r="BX95" i="2"/>
  <c r="BW95" i="2"/>
  <c r="BV95" i="2"/>
  <c r="BU95" i="2"/>
  <c r="BT95" i="2"/>
  <c r="BS95" i="2"/>
  <c r="BR95" i="2"/>
  <c r="BQ95" i="2"/>
  <c r="BP95" i="2"/>
  <c r="BN95" i="2"/>
  <c r="BO95" i="2" s="1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N95" i="2"/>
  <c r="AO95" i="2" s="1"/>
  <c r="AM95" i="2"/>
  <c r="AL95" i="2"/>
  <c r="AK95" i="2"/>
  <c r="AJ95" i="2"/>
  <c r="AI95" i="2"/>
  <c r="AH95" i="2"/>
  <c r="AG95" i="2"/>
  <c r="AF95" i="2"/>
  <c r="AE95" i="2"/>
  <c r="AD95" i="2"/>
  <c r="AC95" i="2"/>
  <c r="AA95" i="2"/>
  <c r="AB95" i="2" s="1"/>
  <c r="Z95" i="2"/>
  <c r="Y95" i="2"/>
  <c r="X95" i="2"/>
  <c r="W95" i="2"/>
  <c r="V95" i="2"/>
  <c r="U95" i="2"/>
  <c r="T95" i="2"/>
  <c r="S95" i="2"/>
  <c r="R95" i="2"/>
  <c r="Q95" i="2"/>
  <c r="P95" i="2"/>
  <c r="N95" i="2"/>
  <c r="O95" i="2" s="1"/>
  <c r="M95" i="2"/>
  <c r="L95" i="2"/>
  <c r="K95" i="2"/>
  <c r="J95" i="2"/>
  <c r="I95" i="2"/>
  <c r="H95" i="2"/>
  <c r="G95" i="2"/>
  <c r="F95" i="2"/>
  <c r="E95" i="2"/>
  <c r="D95" i="2"/>
  <c r="C95" i="2"/>
  <c r="FI94" i="2"/>
  <c r="FO94" i="2" s="1"/>
  <c r="FH94" i="2"/>
  <c r="FG94" i="2"/>
  <c r="FF94" i="2"/>
  <c r="FE94" i="2"/>
  <c r="FD94" i="2"/>
  <c r="FC94" i="2"/>
  <c r="FA94" i="2"/>
  <c r="FB94" i="2" s="1"/>
  <c r="EZ94" i="2"/>
  <c r="EY94" i="2"/>
  <c r="EX94" i="2"/>
  <c r="EW94" i="2"/>
  <c r="EV94" i="2"/>
  <c r="EU94" i="2"/>
  <c r="ET94" i="2"/>
  <c r="ES94" i="2"/>
  <c r="ER94" i="2"/>
  <c r="EQ94" i="2"/>
  <c r="EP94" i="2"/>
  <c r="EN94" i="2"/>
  <c r="EO94" i="2" s="1"/>
  <c r="EM94" i="2"/>
  <c r="EL94" i="2"/>
  <c r="EK94" i="2"/>
  <c r="EJ94" i="2"/>
  <c r="EI94" i="2"/>
  <c r="EH94" i="2"/>
  <c r="EG94" i="2"/>
  <c r="EF94" i="2"/>
  <c r="EE94" i="2"/>
  <c r="ED94" i="2"/>
  <c r="EC94" i="2"/>
  <c r="EA94" i="2"/>
  <c r="EB94" i="2" s="1"/>
  <c r="DZ94" i="2"/>
  <c r="DY94" i="2"/>
  <c r="DX94" i="2"/>
  <c r="DW94" i="2"/>
  <c r="DV94" i="2"/>
  <c r="DU94" i="2"/>
  <c r="DT94" i="2"/>
  <c r="DS94" i="2"/>
  <c r="DR94" i="2"/>
  <c r="DQ94" i="2"/>
  <c r="DP94" i="2"/>
  <c r="DO94" i="2"/>
  <c r="DN94" i="2"/>
  <c r="DM94" i="2"/>
  <c r="DL94" i="2"/>
  <c r="DK94" i="2"/>
  <c r="DJ94" i="2"/>
  <c r="DI94" i="2"/>
  <c r="DH94" i="2"/>
  <c r="DG94" i="2"/>
  <c r="DF94" i="2"/>
  <c r="DE94" i="2"/>
  <c r="DD94" i="2"/>
  <c r="DC94" i="2"/>
  <c r="DA94" i="2"/>
  <c r="DB94" i="2" s="1"/>
  <c r="CZ94" i="2"/>
  <c r="CY94" i="2"/>
  <c r="CX94" i="2"/>
  <c r="CW94" i="2"/>
  <c r="CV94" i="2"/>
  <c r="CU94" i="2"/>
  <c r="CT94" i="2"/>
  <c r="CS94" i="2"/>
  <c r="CR94" i="2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N94" i="2"/>
  <c r="BO94" i="2" s="1"/>
  <c r="BM94" i="2"/>
  <c r="BL94" i="2"/>
  <c r="BK94" i="2"/>
  <c r="BJ94" i="2"/>
  <c r="BI94" i="2"/>
  <c r="BH94" i="2"/>
  <c r="BG94" i="2"/>
  <c r="BF94" i="2"/>
  <c r="BE94" i="2"/>
  <c r="BD94" i="2"/>
  <c r="BC94" i="2"/>
  <c r="BA94" i="2"/>
  <c r="BB94" i="2" s="1"/>
  <c r="AZ94" i="2"/>
  <c r="AY94" i="2"/>
  <c r="AX94" i="2"/>
  <c r="AW94" i="2"/>
  <c r="AV94" i="2"/>
  <c r="AU94" i="2"/>
  <c r="AT94" i="2"/>
  <c r="AS94" i="2"/>
  <c r="AR94" i="2"/>
  <c r="AQ94" i="2"/>
  <c r="AP94" i="2"/>
  <c r="AN94" i="2"/>
  <c r="AO94" i="2" s="1"/>
  <c r="AM94" i="2"/>
  <c r="AL94" i="2"/>
  <c r="AK94" i="2"/>
  <c r="AJ94" i="2"/>
  <c r="AI94" i="2"/>
  <c r="AH94" i="2"/>
  <c r="AG94" i="2"/>
  <c r="AF94" i="2"/>
  <c r="AE94" i="2"/>
  <c r="AD94" i="2"/>
  <c r="AC94" i="2"/>
  <c r="AA94" i="2"/>
  <c r="AB94" i="2" s="1"/>
  <c r="Z94" i="2"/>
  <c r="Y94" i="2"/>
  <c r="X94" i="2"/>
  <c r="W94" i="2"/>
  <c r="V94" i="2"/>
  <c r="U94" i="2"/>
  <c r="T94" i="2"/>
  <c r="S94" i="2"/>
  <c r="R94" i="2"/>
  <c r="Q94" i="2"/>
  <c r="P94" i="2"/>
  <c r="N94" i="2"/>
  <c r="O94" i="2" s="1"/>
  <c r="M94" i="2"/>
  <c r="L94" i="2"/>
  <c r="K94" i="2"/>
  <c r="J94" i="2"/>
  <c r="I94" i="2"/>
  <c r="H94" i="2"/>
  <c r="G94" i="2"/>
  <c r="F94" i="2"/>
  <c r="E94" i="2"/>
  <c r="D94" i="2"/>
  <c r="C94" i="2"/>
  <c r="FO93" i="2"/>
  <c r="FI93" i="2"/>
  <c r="FH93" i="2"/>
  <c r="FG93" i="2"/>
  <c r="FF93" i="2"/>
  <c r="FE93" i="2"/>
  <c r="FD93" i="2"/>
  <c r="FC93" i="2"/>
  <c r="FA93" i="2"/>
  <c r="FB93" i="2" s="1"/>
  <c r="EZ93" i="2"/>
  <c r="EY93" i="2"/>
  <c r="EX93" i="2"/>
  <c r="EW93" i="2"/>
  <c r="EV93" i="2"/>
  <c r="EU93" i="2"/>
  <c r="ET93" i="2"/>
  <c r="ES93" i="2"/>
  <c r="ER93" i="2"/>
  <c r="EQ93" i="2"/>
  <c r="EP93" i="2"/>
  <c r="EO93" i="2"/>
  <c r="EN93" i="2"/>
  <c r="EM93" i="2"/>
  <c r="EL93" i="2"/>
  <c r="EK93" i="2"/>
  <c r="EJ93" i="2"/>
  <c r="EI93" i="2"/>
  <c r="EH93" i="2"/>
  <c r="EG93" i="2"/>
  <c r="EF93" i="2"/>
  <c r="EE93" i="2"/>
  <c r="ED93" i="2"/>
  <c r="EC93" i="2"/>
  <c r="EA93" i="2"/>
  <c r="EB93" i="2" s="1"/>
  <c r="DZ93" i="2"/>
  <c r="DY93" i="2"/>
  <c r="DX93" i="2"/>
  <c r="DW93" i="2"/>
  <c r="DV93" i="2"/>
  <c r="DU93" i="2"/>
  <c r="DT93" i="2"/>
  <c r="DS93" i="2"/>
  <c r="DR93" i="2"/>
  <c r="DQ93" i="2"/>
  <c r="DP93" i="2"/>
  <c r="DN93" i="2"/>
  <c r="DO93" i="2" s="1"/>
  <c r="DM93" i="2"/>
  <c r="DL93" i="2"/>
  <c r="DK93" i="2"/>
  <c r="DJ93" i="2"/>
  <c r="DI93" i="2"/>
  <c r="DH93" i="2"/>
  <c r="DG93" i="2"/>
  <c r="DF93" i="2"/>
  <c r="DE93" i="2"/>
  <c r="DD93" i="2"/>
  <c r="DC93" i="2"/>
  <c r="DA93" i="2"/>
  <c r="DB93" i="2" s="1"/>
  <c r="CZ93" i="2"/>
  <c r="CY93" i="2"/>
  <c r="CX93" i="2"/>
  <c r="CW93" i="2"/>
  <c r="CV93" i="2"/>
  <c r="CU93" i="2"/>
  <c r="CT93" i="2"/>
  <c r="CS93" i="2"/>
  <c r="CR93" i="2"/>
  <c r="CQ93" i="2"/>
  <c r="CP93" i="2"/>
  <c r="CN93" i="2"/>
  <c r="CO93" i="2" s="1"/>
  <c r="CM93" i="2"/>
  <c r="CL93" i="2"/>
  <c r="CK93" i="2"/>
  <c r="CJ93" i="2"/>
  <c r="CI93" i="2"/>
  <c r="CH93" i="2"/>
  <c r="CG93" i="2"/>
  <c r="CF93" i="2"/>
  <c r="CE93" i="2"/>
  <c r="CD93" i="2"/>
  <c r="CC93" i="2"/>
  <c r="CA93" i="2"/>
  <c r="CB93" i="2" s="1"/>
  <c r="BZ93" i="2"/>
  <c r="BY93" i="2"/>
  <c r="BX93" i="2"/>
  <c r="BW93" i="2"/>
  <c r="BV93" i="2"/>
  <c r="BU93" i="2"/>
  <c r="BT93" i="2"/>
  <c r="BS93" i="2"/>
  <c r="BR93" i="2"/>
  <c r="BQ93" i="2"/>
  <c r="BP93" i="2"/>
  <c r="BN93" i="2"/>
  <c r="BO93" i="2" s="1"/>
  <c r="BM93" i="2"/>
  <c r="BL93" i="2"/>
  <c r="BK93" i="2"/>
  <c r="BJ93" i="2"/>
  <c r="BI93" i="2"/>
  <c r="BH93" i="2"/>
  <c r="BG93" i="2"/>
  <c r="BF93" i="2"/>
  <c r="BE93" i="2"/>
  <c r="BD93" i="2"/>
  <c r="BC93" i="2"/>
  <c r="BA93" i="2"/>
  <c r="BB93" i="2" s="1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A93" i="2"/>
  <c r="AB93" i="2" s="1"/>
  <c r="Z93" i="2"/>
  <c r="Y93" i="2"/>
  <c r="X93" i="2"/>
  <c r="W93" i="2"/>
  <c r="V93" i="2"/>
  <c r="U93" i="2"/>
  <c r="T93" i="2"/>
  <c r="S93" i="2"/>
  <c r="R93" i="2"/>
  <c r="Q93" i="2"/>
  <c r="P93" i="2"/>
  <c r="N93" i="2"/>
  <c r="O93" i="2" s="1"/>
  <c r="M93" i="2"/>
  <c r="L93" i="2"/>
  <c r="K93" i="2"/>
  <c r="J93" i="2"/>
  <c r="I93" i="2"/>
  <c r="H93" i="2"/>
  <c r="G93" i="2"/>
  <c r="F93" i="2"/>
  <c r="E93" i="2"/>
  <c r="D93" i="2"/>
  <c r="C93" i="2"/>
  <c r="FO92" i="2"/>
  <c r="FI92" i="2"/>
  <c r="FH92" i="2"/>
  <c r="FG92" i="2"/>
  <c r="FF92" i="2"/>
  <c r="FE92" i="2"/>
  <c r="FD92" i="2"/>
  <c r="FC92" i="2"/>
  <c r="FA92" i="2"/>
  <c r="FB92" i="2" s="1"/>
  <c r="EZ92" i="2"/>
  <c r="EY92" i="2"/>
  <c r="EX92" i="2"/>
  <c r="EW92" i="2"/>
  <c r="EV92" i="2"/>
  <c r="EU92" i="2"/>
  <c r="ET92" i="2"/>
  <c r="ES92" i="2"/>
  <c r="ER92" i="2"/>
  <c r="EQ92" i="2"/>
  <c r="EP92" i="2"/>
  <c r="EN92" i="2"/>
  <c r="EO92" i="2" s="1"/>
  <c r="EM92" i="2"/>
  <c r="EL92" i="2"/>
  <c r="EK92" i="2"/>
  <c r="EJ92" i="2"/>
  <c r="EI92" i="2"/>
  <c r="EH92" i="2"/>
  <c r="EG92" i="2"/>
  <c r="EF92" i="2"/>
  <c r="EE92" i="2"/>
  <c r="ED92" i="2"/>
  <c r="EC92" i="2"/>
  <c r="EA92" i="2"/>
  <c r="EB92" i="2" s="1"/>
  <c r="DZ92" i="2"/>
  <c r="DY92" i="2"/>
  <c r="DX92" i="2"/>
  <c r="DW92" i="2"/>
  <c r="DV92" i="2"/>
  <c r="DU92" i="2"/>
  <c r="DT92" i="2"/>
  <c r="DS92" i="2"/>
  <c r="DR92" i="2"/>
  <c r="DR112" i="2" s="1"/>
  <c r="DQ92" i="2"/>
  <c r="DP92" i="2"/>
  <c r="DN92" i="2"/>
  <c r="DO92" i="2" s="1"/>
  <c r="DM92" i="2"/>
  <c r="DL92" i="2"/>
  <c r="DK92" i="2"/>
  <c r="DJ92" i="2"/>
  <c r="DI92" i="2"/>
  <c r="DH92" i="2"/>
  <c r="DG92" i="2"/>
  <c r="DF92" i="2"/>
  <c r="DE92" i="2"/>
  <c r="DD92" i="2"/>
  <c r="DC92" i="2"/>
  <c r="DB92" i="2"/>
  <c r="DA92" i="2"/>
  <c r="CZ92" i="2"/>
  <c r="CY92" i="2"/>
  <c r="CX92" i="2"/>
  <c r="CW92" i="2"/>
  <c r="CV92" i="2"/>
  <c r="CU92" i="2"/>
  <c r="CT92" i="2"/>
  <c r="CS92" i="2"/>
  <c r="CR92" i="2"/>
  <c r="CQ92" i="2"/>
  <c r="CP92" i="2"/>
  <c r="CN92" i="2"/>
  <c r="CO92" i="2" s="1"/>
  <c r="CM92" i="2"/>
  <c r="CL92" i="2"/>
  <c r="CK92" i="2"/>
  <c r="CJ92" i="2"/>
  <c r="CI92" i="2"/>
  <c r="CH92" i="2"/>
  <c r="CG92" i="2"/>
  <c r="CF92" i="2"/>
  <c r="CE92" i="2"/>
  <c r="CD92" i="2"/>
  <c r="CC92" i="2"/>
  <c r="CA92" i="2"/>
  <c r="CB92" i="2" s="1"/>
  <c r="BZ92" i="2"/>
  <c r="BY92" i="2"/>
  <c r="BX92" i="2"/>
  <c r="BW92" i="2"/>
  <c r="BV92" i="2"/>
  <c r="BU92" i="2"/>
  <c r="BT92" i="2"/>
  <c r="BS92" i="2"/>
  <c r="BR92" i="2"/>
  <c r="BQ92" i="2"/>
  <c r="BP92" i="2"/>
  <c r="BN92" i="2"/>
  <c r="BO92" i="2" s="1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N92" i="2"/>
  <c r="AO92" i="2" s="1"/>
  <c r="AM92" i="2"/>
  <c r="AL92" i="2"/>
  <c r="AK92" i="2"/>
  <c r="AJ92" i="2"/>
  <c r="AI92" i="2"/>
  <c r="AH92" i="2"/>
  <c r="AG92" i="2"/>
  <c r="AF92" i="2"/>
  <c r="AE92" i="2"/>
  <c r="AD92" i="2"/>
  <c r="AC92" i="2"/>
  <c r="AA92" i="2"/>
  <c r="AB92" i="2" s="1"/>
  <c r="Z92" i="2"/>
  <c r="Y92" i="2"/>
  <c r="X92" i="2"/>
  <c r="W92" i="2"/>
  <c r="V92" i="2"/>
  <c r="U92" i="2"/>
  <c r="T92" i="2"/>
  <c r="S92" i="2"/>
  <c r="R92" i="2"/>
  <c r="Q92" i="2"/>
  <c r="P92" i="2"/>
  <c r="N92" i="2"/>
  <c r="O92" i="2" s="1"/>
  <c r="M92" i="2"/>
  <c r="L92" i="2"/>
  <c r="K92" i="2"/>
  <c r="J92" i="2"/>
  <c r="I92" i="2"/>
  <c r="H92" i="2"/>
  <c r="G92" i="2"/>
  <c r="F92" i="2"/>
  <c r="E92" i="2"/>
  <c r="D92" i="2"/>
  <c r="C92" i="2"/>
  <c r="FI91" i="2"/>
  <c r="FO91" i="2" s="1"/>
  <c r="FH91" i="2"/>
  <c r="FG91" i="2"/>
  <c r="FF91" i="2"/>
  <c r="FE91" i="2"/>
  <c r="FD91" i="2"/>
  <c r="FC91" i="2"/>
  <c r="FA91" i="2"/>
  <c r="FB91" i="2" s="1"/>
  <c r="EZ91" i="2"/>
  <c r="EY91" i="2"/>
  <c r="EX91" i="2"/>
  <c r="EW91" i="2"/>
  <c r="EV91" i="2"/>
  <c r="EU91" i="2"/>
  <c r="ET91" i="2"/>
  <c r="ES91" i="2"/>
  <c r="ER91" i="2"/>
  <c r="EQ91" i="2"/>
  <c r="EP91" i="2"/>
  <c r="EN91" i="2"/>
  <c r="EO91" i="2" s="1"/>
  <c r="EM91" i="2"/>
  <c r="EL91" i="2"/>
  <c r="EK91" i="2"/>
  <c r="EJ91" i="2"/>
  <c r="EI91" i="2"/>
  <c r="EH91" i="2"/>
  <c r="EG91" i="2"/>
  <c r="EF91" i="2"/>
  <c r="EE91" i="2"/>
  <c r="ED91" i="2"/>
  <c r="EC91" i="2"/>
  <c r="EA91" i="2"/>
  <c r="EB91" i="2" s="1"/>
  <c r="DZ91" i="2"/>
  <c r="DY91" i="2"/>
  <c r="DX91" i="2"/>
  <c r="DW91" i="2"/>
  <c r="DV91" i="2"/>
  <c r="DU91" i="2"/>
  <c r="DT91" i="2"/>
  <c r="DS91" i="2"/>
  <c r="DR91" i="2"/>
  <c r="DQ91" i="2"/>
  <c r="DP91" i="2"/>
  <c r="DO91" i="2"/>
  <c r="DN91" i="2"/>
  <c r="DM91" i="2"/>
  <c r="DL91" i="2"/>
  <c r="DK91" i="2"/>
  <c r="DJ91" i="2"/>
  <c r="DI91" i="2"/>
  <c r="DH91" i="2"/>
  <c r="DG91" i="2"/>
  <c r="DF91" i="2"/>
  <c r="DE91" i="2"/>
  <c r="DD91" i="2"/>
  <c r="DC91" i="2"/>
  <c r="DA91" i="2"/>
  <c r="DB91" i="2" s="1"/>
  <c r="CZ91" i="2"/>
  <c r="CY91" i="2"/>
  <c r="CX91" i="2"/>
  <c r="CW91" i="2"/>
  <c r="CV91" i="2"/>
  <c r="CU91" i="2"/>
  <c r="CT91" i="2"/>
  <c r="CS91" i="2"/>
  <c r="CR91" i="2"/>
  <c r="CQ91" i="2"/>
  <c r="CP91" i="2"/>
  <c r="CN91" i="2"/>
  <c r="CO91" i="2" s="1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N91" i="2"/>
  <c r="BO91" i="2" s="1"/>
  <c r="BM91" i="2"/>
  <c r="BL91" i="2"/>
  <c r="BK91" i="2"/>
  <c r="BJ91" i="2"/>
  <c r="BI91" i="2"/>
  <c r="BH91" i="2"/>
  <c r="BG91" i="2"/>
  <c r="BF91" i="2"/>
  <c r="BE91" i="2"/>
  <c r="BD91" i="2"/>
  <c r="BC91" i="2"/>
  <c r="BA91" i="2"/>
  <c r="BB91" i="2" s="1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A91" i="2"/>
  <c r="AB91" i="2" s="1"/>
  <c r="Z91" i="2"/>
  <c r="Y91" i="2"/>
  <c r="X91" i="2"/>
  <c r="W91" i="2"/>
  <c r="V91" i="2"/>
  <c r="U91" i="2"/>
  <c r="T91" i="2"/>
  <c r="S91" i="2"/>
  <c r="R91" i="2"/>
  <c r="Q91" i="2"/>
  <c r="P91" i="2"/>
  <c r="N91" i="2"/>
  <c r="O91" i="2" s="1"/>
  <c r="M91" i="2"/>
  <c r="L91" i="2"/>
  <c r="K91" i="2"/>
  <c r="J91" i="2"/>
  <c r="I91" i="2"/>
  <c r="H91" i="2"/>
  <c r="G91" i="2"/>
  <c r="F91" i="2"/>
  <c r="E91" i="2"/>
  <c r="D91" i="2"/>
  <c r="C91" i="2"/>
  <c r="FO90" i="2"/>
  <c r="FI90" i="2"/>
  <c r="FH90" i="2"/>
  <c r="FG90" i="2"/>
  <c r="FF90" i="2"/>
  <c r="FE90" i="2"/>
  <c r="FD90" i="2"/>
  <c r="FC90" i="2"/>
  <c r="FA90" i="2"/>
  <c r="FB90" i="2" s="1"/>
  <c r="EZ90" i="2"/>
  <c r="EY90" i="2"/>
  <c r="EX90" i="2"/>
  <c r="EW90" i="2"/>
  <c r="EV90" i="2"/>
  <c r="EU90" i="2"/>
  <c r="ET90" i="2"/>
  <c r="ES90" i="2"/>
  <c r="ER90" i="2"/>
  <c r="EQ90" i="2"/>
  <c r="EP90" i="2"/>
  <c r="EO90" i="2"/>
  <c r="EN90" i="2"/>
  <c r="EM90" i="2"/>
  <c r="EL90" i="2"/>
  <c r="EK90" i="2"/>
  <c r="EJ90" i="2"/>
  <c r="EI90" i="2"/>
  <c r="EH90" i="2"/>
  <c r="EG90" i="2"/>
  <c r="EF90" i="2"/>
  <c r="EE90" i="2"/>
  <c r="ED90" i="2"/>
  <c r="EC90" i="2"/>
  <c r="EA90" i="2"/>
  <c r="EB90" i="2" s="1"/>
  <c r="DZ90" i="2"/>
  <c r="DY90" i="2"/>
  <c r="DX90" i="2"/>
  <c r="DW90" i="2"/>
  <c r="DV90" i="2"/>
  <c r="DU90" i="2"/>
  <c r="DT90" i="2"/>
  <c r="DS90" i="2"/>
  <c r="DR90" i="2"/>
  <c r="DQ90" i="2"/>
  <c r="DP90" i="2"/>
  <c r="DN90" i="2"/>
  <c r="DO90" i="2" s="1"/>
  <c r="DM90" i="2"/>
  <c r="DL90" i="2"/>
  <c r="DK90" i="2"/>
  <c r="DJ90" i="2"/>
  <c r="DI90" i="2"/>
  <c r="DH90" i="2"/>
  <c r="DG90" i="2"/>
  <c r="DF90" i="2"/>
  <c r="DE90" i="2"/>
  <c r="DD90" i="2"/>
  <c r="DC90" i="2"/>
  <c r="DA90" i="2"/>
  <c r="DB90" i="2" s="1"/>
  <c r="CZ90" i="2"/>
  <c r="CY90" i="2"/>
  <c r="CX90" i="2"/>
  <c r="CW90" i="2"/>
  <c r="CV90" i="2"/>
  <c r="CU90" i="2"/>
  <c r="CT90" i="2"/>
  <c r="CS90" i="2"/>
  <c r="CR90" i="2"/>
  <c r="CQ90" i="2"/>
  <c r="CP90" i="2"/>
  <c r="CN90" i="2"/>
  <c r="CO90" i="2" s="1"/>
  <c r="CM90" i="2"/>
  <c r="CL90" i="2"/>
  <c r="CK90" i="2"/>
  <c r="CJ90" i="2"/>
  <c r="CI90" i="2"/>
  <c r="CH90" i="2"/>
  <c r="CG90" i="2"/>
  <c r="CF90" i="2"/>
  <c r="CE90" i="2"/>
  <c r="CD90" i="2"/>
  <c r="CC90" i="2"/>
  <c r="CA90" i="2"/>
  <c r="CB90" i="2" s="1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A90" i="2"/>
  <c r="BB90" i="2" s="1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A90" i="2"/>
  <c r="AB90" i="2" s="1"/>
  <c r="Z90" i="2"/>
  <c r="Y90" i="2"/>
  <c r="X90" i="2"/>
  <c r="W90" i="2"/>
  <c r="V90" i="2"/>
  <c r="U90" i="2"/>
  <c r="T90" i="2"/>
  <c r="S90" i="2"/>
  <c r="R90" i="2"/>
  <c r="Q90" i="2"/>
  <c r="P90" i="2"/>
  <c r="N90" i="2"/>
  <c r="O90" i="2" s="1"/>
  <c r="M90" i="2"/>
  <c r="L90" i="2"/>
  <c r="K90" i="2"/>
  <c r="J90" i="2"/>
  <c r="I90" i="2"/>
  <c r="H90" i="2"/>
  <c r="G90" i="2"/>
  <c r="F90" i="2"/>
  <c r="E90" i="2"/>
  <c r="D90" i="2"/>
  <c r="C90" i="2"/>
  <c r="FI89" i="2"/>
  <c r="FO89" i="2" s="1"/>
  <c r="FH89" i="2"/>
  <c r="FG89" i="2"/>
  <c r="FF89" i="2"/>
  <c r="FE89" i="2"/>
  <c r="FD89" i="2"/>
  <c r="FC89" i="2"/>
  <c r="FA89" i="2"/>
  <c r="FB89" i="2" s="1"/>
  <c r="EZ89" i="2"/>
  <c r="EY89" i="2"/>
  <c r="EX89" i="2"/>
  <c r="EW89" i="2"/>
  <c r="EV89" i="2"/>
  <c r="EU89" i="2"/>
  <c r="ET89" i="2"/>
  <c r="ES89" i="2"/>
  <c r="ER89" i="2"/>
  <c r="EQ89" i="2"/>
  <c r="EP89" i="2"/>
  <c r="EN89" i="2"/>
  <c r="EO89" i="2" s="1"/>
  <c r="EM89" i="2"/>
  <c r="EL89" i="2"/>
  <c r="EK89" i="2"/>
  <c r="EJ89" i="2"/>
  <c r="EI89" i="2"/>
  <c r="EH89" i="2"/>
  <c r="EG89" i="2"/>
  <c r="EF89" i="2"/>
  <c r="EE89" i="2"/>
  <c r="ED89" i="2"/>
  <c r="EC89" i="2"/>
  <c r="EB89" i="2"/>
  <c r="EA89" i="2"/>
  <c r="DZ89" i="2"/>
  <c r="DY89" i="2"/>
  <c r="DX89" i="2"/>
  <c r="DW89" i="2"/>
  <c r="DV89" i="2"/>
  <c r="DU89" i="2"/>
  <c r="DT89" i="2"/>
  <c r="DS89" i="2"/>
  <c r="DR89" i="2"/>
  <c r="DQ89" i="2"/>
  <c r="DP89" i="2"/>
  <c r="DN89" i="2"/>
  <c r="DO89" i="2" s="1"/>
  <c r="DM89" i="2"/>
  <c r="DL89" i="2"/>
  <c r="DK89" i="2"/>
  <c r="DJ89" i="2"/>
  <c r="DI89" i="2"/>
  <c r="DH89" i="2"/>
  <c r="DG89" i="2"/>
  <c r="DF89" i="2"/>
  <c r="DE89" i="2"/>
  <c r="DD89" i="2"/>
  <c r="DC89" i="2"/>
  <c r="DB89" i="2"/>
  <c r="DA89" i="2"/>
  <c r="CZ89" i="2"/>
  <c r="CY89" i="2"/>
  <c r="CX89" i="2"/>
  <c r="CW89" i="2"/>
  <c r="CV89" i="2"/>
  <c r="CU89" i="2"/>
  <c r="CT89" i="2"/>
  <c r="CS89" i="2"/>
  <c r="CR89" i="2"/>
  <c r="CQ89" i="2"/>
  <c r="CP89" i="2"/>
  <c r="CN89" i="2"/>
  <c r="CO89" i="2" s="1"/>
  <c r="CM89" i="2"/>
  <c r="CL89" i="2"/>
  <c r="CK89" i="2"/>
  <c r="CJ89" i="2"/>
  <c r="CI89" i="2"/>
  <c r="CH89" i="2"/>
  <c r="CG89" i="2"/>
  <c r="CF89" i="2"/>
  <c r="CE89" i="2"/>
  <c r="CD89" i="2"/>
  <c r="CC89" i="2"/>
  <c r="CA89" i="2"/>
  <c r="CB89" i="2" s="1"/>
  <c r="BZ89" i="2"/>
  <c r="BY89" i="2"/>
  <c r="BX89" i="2"/>
  <c r="BW89" i="2"/>
  <c r="BV89" i="2"/>
  <c r="BU89" i="2"/>
  <c r="BT89" i="2"/>
  <c r="BS89" i="2"/>
  <c r="BR89" i="2"/>
  <c r="BQ89" i="2"/>
  <c r="BP89" i="2"/>
  <c r="BN89" i="2"/>
  <c r="BO89" i="2" s="1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N89" i="2"/>
  <c r="AO89" i="2" s="1"/>
  <c r="AM89" i="2"/>
  <c r="AL89" i="2"/>
  <c r="AK89" i="2"/>
  <c r="AJ89" i="2"/>
  <c r="AI89" i="2"/>
  <c r="AH89" i="2"/>
  <c r="AG89" i="2"/>
  <c r="AF89" i="2"/>
  <c r="AE89" i="2"/>
  <c r="AD89" i="2"/>
  <c r="AC89" i="2"/>
  <c r="AA89" i="2"/>
  <c r="AB89" i="2" s="1"/>
  <c r="Z89" i="2"/>
  <c r="Y89" i="2"/>
  <c r="X89" i="2"/>
  <c r="W89" i="2"/>
  <c r="V89" i="2"/>
  <c r="U89" i="2"/>
  <c r="T89" i="2"/>
  <c r="S89" i="2"/>
  <c r="R89" i="2"/>
  <c r="Q89" i="2"/>
  <c r="P89" i="2"/>
  <c r="N89" i="2"/>
  <c r="O89" i="2" s="1"/>
  <c r="M89" i="2"/>
  <c r="L89" i="2"/>
  <c r="K89" i="2"/>
  <c r="J89" i="2"/>
  <c r="I89" i="2"/>
  <c r="H89" i="2"/>
  <c r="G89" i="2"/>
  <c r="F89" i="2"/>
  <c r="E89" i="2"/>
  <c r="D89" i="2"/>
  <c r="C89" i="2"/>
  <c r="FI88" i="2"/>
  <c r="FO88" i="2" s="1"/>
  <c r="FH88" i="2"/>
  <c r="FG88" i="2"/>
  <c r="FF88" i="2"/>
  <c r="FE88" i="2"/>
  <c r="FD88" i="2"/>
  <c r="FC88" i="2"/>
  <c r="FB88" i="2"/>
  <c r="FA88" i="2"/>
  <c r="EZ88" i="2"/>
  <c r="EY88" i="2"/>
  <c r="EX88" i="2"/>
  <c r="EW88" i="2"/>
  <c r="EV88" i="2"/>
  <c r="EU88" i="2"/>
  <c r="ET88" i="2"/>
  <c r="ES88" i="2"/>
  <c r="ER88" i="2"/>
  <c r="EQ88" i="2"/>
  <c r="EP88" i="2"/>
  <c r="EN88" i="2"/>
  <c r="EO88" i="2" s="1"/>
  <c r="EM88" i="2"/>
  <c r="EL88" i="2"/>
  <c r="EK88" i="2"/>
  <c r="EJ88" i="2"/>
  <c r="EI88" i="2"/>
  <c r="EH88" i="2"/>
  <c r="EG88" i="2"/>
  <c r="EF88" i="2"/>
  <c r="EE88" i="2"/>
  <c r="ED88" i="2"/>
  <c r="EC88" i="2"/>
  <c r="EA88" i="2"/>
  <c r="EB88" i="2" s="1"/>
  <c r="DZ88" i="2"/>
  <c r="DY88" i="2"/>
  <c r="DX88" i="2"/>
  <c r="DW88" i="2"/>
  <c r="DV88" i="2"/>
  <c r="DU88" i="2"/>
  <c r="DT88" i="2"/>
  <c r="DS88" i="2"/>
  <c r="DR88" i="2"/>
  <c r="DQ88" i="2"/>
  <c r="DP88" i="2"/>
  <c r="DO88" i="2"/>
  <c r="DN88" i="2"/>
  <c r="DM88" i="2"/>
  <c r="DL88" i="2"/>
  <c r="DK88" i="2"/>
  <c r="DJ88" i="2"/>
  <c r="DI88" i="2"/>
  <c r="DH88" i="2"/>
  <c r="DG88" i="2"/>
  <c r="DF88" i="2"/>
  <c r="DE88" i="2"/>
  <c r="DD88" i="2"/>
  <c r="DC88" i="2"/>
  <c r="DA88" i="2"/>
  <c r="DB88" i="2" s="1"/>
  <c r="CZ88" i="2"/>
  <c r="CY88" i="2"/>
  <c r="CX88" i="2"/>
  <c r="CW88" i="2"/>
  <c r="CV88" i="2"/>
  <c r="CU88" i="2"/>
  <c r="CT88" i="2"/>
  <c r="CS88" i="2"/>
  <c r="CR88" i="2"/>
  <c r="CQ88" i="2"/>
  <c r="CP88" i="2"/>
  <c r="CN88" i="2"/>
  <c r="CO88" i="2" s="1"/>
  <c r="CM88" i="2"/>
  <c r="CL88" i="2"/>
  <c r="CK88" i="2"/>
  <c r="CJ88" i="2"/>
  <c r="CI88" i="2"/>
  <c r="CH88" i="2"/>
  <c r="CG88" i="2"/>
  <c r="CF88" i="2"/>
  <c r="CE88" i="2"/>
  <c r="CD88" i="2"/>
  <c r="CC88" i="2"/>
  <c r="CA88" i="2"/>
  <c r="CB88" i="2" s="1"/>
  <c r="BZ88" i="2"/>
  <c r="BY88" i="2"/>
  <c r="BX88" i="2"/>
  <c r="BW88" i="2"/>
  <c r="BV88" i="2"/>
  <c r="BU88" i="2"/>
  <c r="BT88" i="2"/>
  <c r="BS88" i="2"/>
  <c r="BR88" i="2"/>
  <c r="BQ88" i="2"/>
  <c r="BP88" i="2"/>
  <c r="BN88" i="2"/>
  <c r="BO88" i="2" s="1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A88" i="2"/>
  <c r="AB88" i="2" s="1"/>
  <c r="Z88" i="2"/>
  <c r="Y88" i="2"/>
  <c r="X88" i="2"/>
  <c r="W88" i="2"/>
  <c r="V88" i="2"/>
  <c r="U88" i="2"/>
  <c r="T88" i="2"/>
  <c r="S88" i="2"/>
  <c r="R88" i="2"/>
  <c r="Q88" i="2"/>
  <c r="P88" i="2"/>
  <c r="N88" i="2"/>
  <c r="O88" i="2" s="1"/>
  <c r="M88" i="2"/>
  <c r="L88" i="2"/>
  <c r="K88" i="2"/>
  <c r="J88" i="2"/>
  <c r="I88" i="2"/>
  <c r="H88" i="2"/>
  <c r="G88" i="2"/>
  <c r="F88" i="2"/>
  <c r="E88" i="2"/>
  <c r="D88" i="2"/>
  <c r="C88" i="2"/>
  <c r="FI87" i="2"/>
  <c r="FO87" i="2" s="1"/>
  <c r="FH87" i="2"/>
  <c r="FG87" i="2"/>
  <c r="FF87" i="2"/>
  <c r="FE87" i="2"/>
  <c r="FD87" i="2"/>
  <c r="FC87" i="2"/>
  <c r="FA87" i="2"/>
  <c r="FB87" i="2" s="1"/>
  <c r="EZ87" i="2"/>
  <c r="EY87" i="2"/>
  <c r="EX87" i="2"/>
  <c r="EW87" i="2"/>
  <c r="EV87" i="2"/>
  <c r="EU87" i="2"/>
  <c r="ET87" i="2"/>
  <c r="ES87" i="2"/>
  <c r="ER87" i="2"/>
  <c r="EQ87" i="2"/>
  <c r="EP87" i="2"/>
  <c r="EN87" i="2"/>
  <c r="EO87" i="2" s="1"/>
  <c r="EM87" i="2"/>
  <c r="EL87" i="2"/>
  <c r="EK87" i="2"/>
  <c r="EJ87" i="2"/>
  <c r="EI87" i="2"/>
  <c r="EH87" i="2"/>
  <c r="EG87" i="2"/>
  <c r="EF87" i="2"/>
  <c r="EE87" i="2"/>
  <c r="ED87" i="2"/>
  <c r="EC87" i="2"/>
  <c r="EA87" i="2"/>
  <c r="EB87" i="2" s="1"/>
  <c r="DZ87" i="2"/>
  <c r="DY87" i="2"/>
  <c r="DX87" i="2"/>
  <c r="DW87" i="2"/>
  <c r="DV87" i="2"/>
  <c r="DU87" i="2"/>
  <c r="DT87" i="2"/>
  <c r="DS87" i="2"/>
  <c r="DR87" i="2"/>
  <c r="DQ87" i="2"/>
  <c r="DP87" i="2"/>
  <c r="DN87" i="2"/>
  <c r="DO87" i="2" s="1"/>
  <c r="DM87" i="2"/>
  <c r="DL87" i="2"/>
  <c r="DK87" i="2"/>
  <c r="DJ87" i="2"/>
  <c r="DI87" i="2"/>
  <c r="DH87" i="2"/>
  <c r="DG87" i="2"/>
  <c r="DF87" i="2"/>
  <c r="DE87" i="2"/>
  <c r="DD87" i="2"/>
  <c r="DC87" i="2"/>
  <c r="DB87" i="2"/>
  <c r="DA87" i="2"/>
  <c r="CZ87" i="2"/>
  <c r="CY87" i="2"/>
  <c r="CX87" i="2"/>
  <c r="CW87" i="2"/>
  <c r="CV87" i="2"/>
  <c r="CU87" i="2"/>
  <c r="CT87" i="2"/>
  <c r="CS87" i="2"/>
  <c r="CR87" i="2"/>
  <c r="CQ87" i="2"/>
  <c r="CP87" i="2"/>
  <c r="CN87" i="2"/>
  <c r="CO87" i="2" s="1"/>
  <c r="CM87" i="2"/>
  <c r="CL87" i="2"/>
  <c r="CK87" i="2"/>
  <c r="CJ87" i="2"/>
  <c r="CI87" i="2"/>
  <c r="CH87" i="2"/>
  <c r="CG87" i="2"/>
  <c r="CF87" i="2"/>
  <c r="CE87" i="2"/>
  <c r="CD87" i="2"/>
  <c r="CC87" i="2"/>
  <c r="CA87" i="2"/>
  <c r="CB87" i="2" s="1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A87" i="2"/>
  <c r="BB87" i="2" s="1"/>
  <c r="AZ87" i="2"/>
  <c r="AY87" i="2"/>
  <c r="AX87" i="2"/>
  <c r="AW87" i="2"/>
  <c r="AV87" i="2"/>
  <c r="AU87" i="2"/>
  <c r="AT87" i="2"/>
  <c r="AS87" i="2"/>
  <c r="AR87" i="2"/>
  <c r="AQ87" i="2"/>
  <c r="AP87" i="2"/>
  <c r="AN87" i="2"/>
  <c r="AO87" i="2" s="1"/>
  <c r="AM87" i="2"/>
  <c r="AL87" i="2"/>
  <c r="AK87" i="2"/>
  <c r="AJ87" i="2"/>
  <c r="AI87" i="2"/>
  <c r="AH87" i="2"/>
  <c r="AG87" i="2"/>
  <c r="AF87" i="2"/>
  <c r="AE87" i="2"/>
  <c r="AD87" i="2"/>
  <c r="AC87" i="2"/>
  <c r="AA87" i="2"/>
  <c r="AB87" i="2" s="1"/>
  <c r="Z87" i="2"/>
  <c r="Y87" i="2"/>
  <c r="X87" i="2"/>
  <c r="W87" i="2"/>
  <c r="V87" i="2"/>
  <c r="U87" i="2"/>
  <c r="T87" i="2"/>
  <c r="S87" i="2"/>
  <c r="R87" i="2"/>
  <c r="Q87" i="2"/>
  <c r="P87" i="2"/>
  <c r="N87" i="2"/>
  <c r="O87" i="2" s="1"/>
  <c r="M87" i="2"/>
  <c r="L87" i="2"/>
  <c r="K87" i="2"/>
  <c r="J87" i="2"/>
  <c r="I87" i="2"/>
  <c r="H87" i="2"/>
  <c r="G87" i="2"/>
  <c r="F87" i="2"/>
  <c r="E87" i="2"/>
  <c r="D87" i="2"/>
  <c r="C87" i="2"/>
  <c r="FO86" i="2"/>
  <c r="FI86" i="2"/>
  <c r="FH86" i="2"/>
  <c r="FG86" i="2"/>
  <c r="FF86" i="2"/>
  <c r="FE86" i="2"/>
  <c r="FD86" i="2"/>
  <c r="FC86" i="2"/>
  <c r="FA86" i="2"/>
  <c r="FB86" i="2" s="1"/>
  <c r="EZ86" i="2"/>
  <c r="EY86" i="2"/>
  <c r="EX86" i="2"/>
  <c r="EW86" i="2"/>
  <c r="EV86" i="2"/>
  <c r="EU86" i="2"/>
  <c r="ET86" i="2"/>
  <c r="ES86" i="2"/>
  <c r="ER86" i="2"/>
  <c r="EQ86" i="2"/>
  <c r="EP86" i="2"/>
  <c r="EN86" i="2"/>
  <c r="EO86" i="2" s="1"/>
  <c r="EM86" i="2"/>
  <c r="EL86" i="2"/>
  <c r="EK86" i="2"/>
  <c r="EJ86" i="2"/>
  <c r="EI86" i="2"/>
  <c r="EH86" i="2"/>
  <c r="EG86" i="2"/>
  <c r="EF86" i="2"/>
  <c r="EE86" i="2"/>
  <c r="ED86" i="2"/>
  <c r="EC86" i="2"/>
  <c r="EB86" i="2"/>
  <c r="EA86" i="2"/>
  <c r="DZ86" i="2"/>
  <c r="DY86" i="2"/>
  <c r="DX86" i="2"/>
  <c r="DW86" i="2"/>
  <c r="DV86" i="2"/>
  <c r="DU86" i="2"/>
  <c r="DT86" i="2"/>
  <c r="DS86" i="2"/>
  <c r="DR86" i="2"/>
  <c r="DQ86" i="2"/>
  <c r="DP86" i="2"/>
  <c r="DN86" i="2"/>
  <c r="DO86" i="2" s="1"/>
  <c r="DM86" i="2"/>
  <c r="DL86" i="2"/>
  <c r="DK86" i="2"/>
  <c r="DJ86" i="2"/>
  <c r="DI86" i="2"/>
  <c r="DH86" i="2"/>
  <c r="DG86" i="2"/>
  <c r="DF86" i="2"/>
  <c r="DE86" i="2"/>
  <c r="DD86" i="2"/>
  <c r="DC86" i="2"/>
  <c r="DA86" i="2"/>
  <c r="DB86" i="2" s="1"/>
  <c r="CZ86" i="2"/>
  <c r="CY86" i="2"/>
  <c r="CX86" i="2"/>
  <c r="CW86" i="2"/>
  <c r="CV86" i="2"/>
  <c r="CU86" i="2"/>
  <c r="CT86" i="2"/>
  <c r="CS86" i="2"/>
  <c r="CR86" i="2"/>
  <c r="CQ86" i="2"/>
  <c r="CP86" i="2"/>
  <c r="CN86" i="2"/>
  <c r="CO86" i="2" s="1"/>
  <c r="CM86" i="2"/>
  <c r="CL86" i="2"/>
  <c r="CK86" i="2"/>
  <c r="CJ86" i="2"/>
  <c r="CI86" i="2"/>
  <c r="CH86" i="2"/>
  <c r="CG86" i="2"/>
  <c r="CF86" i="2"/>
  <c r="CE86" i="2"/>
  <c r="CD86" i="2"/>
  <c r="CC86" i="2"/>
  <c r="CA86" i="2"/>
  <c r="CB86" i="2" s="1"/>
  <c r="BZ86" i="2"/>
  <c r="BY86" i="2"/>
  <c r="BX86" i="2"/>
  <c r="BW86" i="2"/>
  <c r="BV86" i="2"/>
  <c r="BU86" i="2"/>
  <c r="BT86" i="2"/>
  <c r="BS86" i="2"/>
  <c r="BR86" i="2"/>
  <c r="BQ86" i="2"/>
  <c r="BP86" i="2"/>
  <c r="BN86" i="2"/>
  <c r="BO86" i="2" s="1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N86" i="2"/>
  <c r="AO86" i="2" s="1"/>
  <c r="AM86" i="2"/>
  <c r="AL86" i="2"/>
  <c r="AK86" i="2"/>
  <c r="AJ86" i="2"/>
  <c r="AI86" i="2"/>
  <c r="AH86" i="2"/>
  <c r="AG86" i="2"/>
  <c r="AF86" i="2"/>
  <c r="AE86" i="2"/>
  <c r="AD86" i="2"/>
  <c r="AC86" i="2"/>
  <c r="AA86" i="2"/>
  <c r="AB86" i="2" s="1"/>
  <c r="Z86" i="2"/>
  <c r="Y86" i="2"/>
  <c r="X86" i="2"/>
  <c r="W86" i="2"/>
  <c r="V86" i="2"/>
  <c r="U86" i="2"/>
  <c r="T86" i="2"/>
  <c r="S86" i="2"/>
  <c r="R86" i="2"/>
  <c r="Q86" i="2"/>
  <c r="P86" i="2"/>
  <c r="N86" i="2"/>
  <c r="O86" i="2" s="1"/>
  <c r="M86" i="2"/>
  <c r="L86" i="2"/>
  <c r="K86" i="2"/>
  <c r="J86" i="2"/>
  <c r="I86" i="2"/>
  <c r="H86" i="2"/>
  <c r="G86" i="2"/>
  <c r="F86" i="2"/>
  <c r="E86" i="2"/>
  <c r="D86" i="2"/>
  <c r="C86" i="2"/>
  <c r="FI85" i="2"/>
  <c r="FO85" i="2" s="1"/>
  <c r="FH85" i="2"/>
  <c r="FG85" i="2"/>
  <c r="FF85" i="2"/>
  <c r="FE85" i="2"/>
  <c r="FD85" i="2"/>
  <c r="FC85" i="2"/>
  <c r="FB85" i="2"/>
  <c r="FA85" i="2"/>
  <c r="EZ85" i="2"/>
  <c r="EY85" i="2"/>
  <c r="EX85" i="2"/>
  <c r="EW85" i="2"/>
  <c r="EV85" i="2"/>
  <c r="EU85" i="2"/>
  <c r="ET85" i="2"/>
  <c r="ES85" i="2"/>
  <c r="ER85" i="2"/>
  <c r="EQ85" i="2"/>
  <c r="EP85" i="2"/>
  <c r="EN85" i="2"/>
  <c r="EO85" i="2" s="1"/>
  <c r="EM85" i="2"/>
  <c r="EL85" i="2"/>
  <c r="EK85" i="2"/>
  <c r="EJ85" i="2"/>
  <c r="EI85" i="2"/>
  <c r="EH85" i="2"/>
  <c r="EG85" i="2"/>
  <c r="EF85" i="2"/>
  <c r="EE85" i="2"/>
  <c r="ED85" i="2"/>
  <c r="EC85" i="2"/>
  <c r="EA85" i="2"/>
  <c r="EB85" i="2" s="1"/>
  <c r="DZ85" i="2"/>
  <c r="DY85" i="2"/>
  <c r="DX85" i="2"/>
  <c r="DW85" i="2"/>
  <c r="DV85" i="2"/>
  <c r="DU85" i="2"/>
  <c r="DT85" i="2"/>
  <c r="DS85" i="2"/>
  <c r="DR85" i="2"/>
  <c r="DQ85" i="2"/>
  <c r="DP85" i="2"/>
  <c r="DN85" i="2"/>
  <c r="DO85" i="2" s="1"/>
  <c r="DM85" i="2"/>
  <c r="DL85" i="2"/>
  <c r="DK85" i="2"/>
  <c r="DJ85" i="2"/>
  <c r="DI85" i="2"/>
  <c r="DH85" i="2"/>
  <c r="DG85" i="2"/>
  <c r="DF85" i="2"/>
  <c r="DE85" i="2"/>
  <c r="DD85" i="2"/>
  <c r="DC85" i="2"/>
  <c r="DA85" i="2"/>
  <c r="DB85" i="2" s="1"/>
  <c r="CZ85" i="2"/>
  <c r="CY85" i="2"/>
  <c r="CX85" i="2"/>
  <c r="CW85" i="2"/>
  <c r="CV85" i="2"/>
  <c r="CU85" i="2"/>
  <c r="CT85" i="2"/>
  <c r="CS85" i="2"/>
  <c r="CR85" i="2"/>
  <c r="CQ85" i="2"/>
  <c r="CP85" i="2"/>
  <c r="CN85" i="2"/>
  <c r="CO85" i="2" s="1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N85" i="2"/>
  <c r="BO85" i="2" s="1"/>
  <c r="BM85" i="2"/>
  <c r="BL85" i="2"/>
  <c r="BK85" i="2"/>
  <c r="BJ85" i="2"/>
  <c r="BI85" i="2"/>
  <c r="BH85" i="2"/>
  <c r="BG85" i="2"/>
  <c r="BF85" i="2"/>
  <c r="BE85" i="2"/>
  <c r="BD85" i="2"/>
  <c r="BC85" i="2"/>
  <c r="BA85" i="2"/>
  <c r="BB85" i="2" s="1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A85" i="2"/>
  <c r="AB85" i="2" s="1"/>
  <c r="Z85" i="2"/>
  <c r="Y85" i="2"/>
  <c r="X85" i="2"/>
  <c r="W85" i="2"/>
  <c r="V85" i="2"/>
  <c r="U85" i="2"/>
  <c r="T85" i="2"/>
  <c r="S85" i="2"/>
  <c r="R85" i="2"/>
  <c r="Q85" i="2"/>
  <c r="P85" i="2"/>
  <c r="N85" i="2"/>
  <c r="O85" i="2" s="1"/>
  <c r="M85" i="2"/>
  <c r="L85" i="2"/>
  <c r="K85" i="2"/>
  <c r="J85" i="2"/>
  <c r="I85" i="2"/>
  <c r="H85" i="2"/>
  <c r="G85" i="2"/>
  <c r="F85" i="2"/>
  <c r="E85" i="2"/>
  <c r="D85" i="2"/>
  <c r="C85" i="2"/>
  <c r="FI84" i="2"/>
  <c r="FO84" i="2" s="1"/>
  <c r="FH84" i="2"/>
  <c r="FG84" i="2"/>
  <c r="FF84" i="2"/>
  <c r="FE84" i="2"/>
  <c r="FD84" i="2"/>
  <c r="FC84" i="2"/>
  <c r="FA84" i="2"/>
  <c r="FB84" i="2" s="1"/>
  <c r="EZ84" i="2"/>
  <c r="EY84" i="2"/>
  <c r="EX84" i="2"/>
  <c r="EW84" i="2"/>
  <c r="EV84" i="2"/>
  <c r="EU84" i="2"/>
  <c r="ET84" i="2"/>
  <c r="ES84" i="2"/>
  <c r="ER84" i="2"/>
  <c r="EQ84" i="2"/>
  <c r="EP84" i="2"/>
  <c r="EO84" i="2"/>
  <c r="EN84" i="2"/>
  <c r="EM84" i="2"/>
  <c r="EL84" i="2"/>
  <c r="EK84" i="2"/>
  <c r="EJ84" i="2"/>
  <c r="EI84" i="2"/>
  <c r="EH84" i="2"/>
  <c r="EG84" i="2"/>
  <c r="EF84" i="2"/>
  <c r="EF112" i="2" s="1"/>
  <c r="EE84" i="2"/>
  <c r="ED84" i="2"/>
  <c r="EC84" i="2"/>
  <c r="EA84" i="2"/>
  <c r="EB84" i="2" s="1"/>
  <c r="DZ84" i="2"/>
  <c r="DY84" i="2"/>
  <c r="DX84" i="2"/>
  <c r="DW84" i="2"/>
  <c r="DV84" i="2"/>
  <c r="DU84" i="2"/>
  <c r="DT84" i="2"/>
  <c r="DS84" i="2"/>
  <c r="DR84" i="2"/>
  <c r="DQ84" i="2"/>
  <c r="DP84" i="2"/>
  <c r="DN84" i="2"/>
  <c r="DO84" i="2" s="1"/>
  <c r="DM84" i="2"/>
  <c r="DL84" i="2"/>
  <c r="DK84" i="2"/>
  <c r="DJ84" i="2"/>
  <c r="DI84" i="2"/>
  <c r="DH84" i="2"/>
  <c r="DG84" i="2"/>
  <c r="DF84" i="2"/>
  <c r="DE84" i="2"/>
  <c r="DD84" i="2"/>
  <c r="DC84" i="2"/>
  <c r="DA84" i="2"/>
  <c r="DB84" i="2" s="1"/>
  <c r="CZ84" i="2"/>
  <c r="CY84" i="2"/>
  <c r="CX84" i="2"/>
  <c r="CW84" i="2"/>
  <c r="CV84" i="2"/>
  <c r="CU84" i="2"/>
  <c r="CT84" i="2"/>
  <c r="CS84" i="2"/>
  <c r="CR84" i="2"/>
  <c r="CQ84" i="2"/>
  <c r="CP84" i="2"/>
  <c r="CN84" i="2"/>
  <c r="CO84" i="2" s="1"/>
  <c r="CM84" i="2"/>
  <c r="CL84" i="2"/>
  <c r="CK84" i="2"/>
  <c r="CJ84" i="2"/>
  <c r="CI84" i="2"/>
  <c r="CH84" i="2"/>
  <c r="CG84" i="2"/>
  <c r="CF84" i="2"/>
  <c r="CE84" i="2"/>
  <c r="CD84" i="2"/>
  <c r="CC84" i="2"/>
  <c r="CA84" i="2"/>
  <c r="CB84" i="2" s="1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A84" i="2"/>
  <c r="BB84" i="2" s="1"/>
  <c r="AZ84" i="2"/>
  <c r="AY84" i="2"/>
  <c r="AX84" i="2"/>
  <c r="AW84" i="2"/>
  <c r="AV84" i="2"/>
  <c r="AU84" i="2"/>
  <c r="AT84" i="2"/>
  <c r="AS84" i="2"/>
  <c r="AR84" i="2"/>
  <c r="AQ84" i="2"/>
  <c r="AP84" i="2"/>
  <c r="AN84" i="2"/>
  <c r="AO84" i="2" s="1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N84" i="2"/>
  <c r="O84" i="2" s="1"/>
  <c r="M84" i="2"/>
  <c r="L84" i="2"/>
  <c r="K84" i="2"/>
  <c r="J84" i="2"/>
  <c r="I84" i="2"/>
  <c r="H84" i="2"/>
  <c r="G84" i="2"/>
  <c r="F84" i="2"/>
  <c r="E84" i="2"/>
  <c r="D84" i="2"/>
  <c r="C84" i="2"/>
  <c r="FO83" i="2"/>
  <c r="FI83" i="2"/>
  <c r="FH83" i="2"/>
  <c r="FG83" i="2"/>
  <c r="FF83" i="2"/>
  <c r="FE83" i="2"/>
  <c r="FD83" i="2"/>
  <c r="FC83" i="2"/>
  <c r="FA83" i="2"/>
  <c r="FB83" i="2" s="1"/>
  <c r="EZ83" i="2"/>
  <c r="EY83" i="2"/>
  <c r="EX83" i="2"/>
  <c r="EW83" i="2"/>
  <c r="EV83" i="2"/>
  <c r="EU83" i="2"/>
  <c r="ET83" i="2"/>
  <c r="ES83" i="2"/>
  <c r="ER83" i="2"/>
  <c r="EQ83" i="2"/>
  <c r="EP83" i="2"/>
  <c r="EN83" i="2"/>
  <c r="EO83" i="2" s="1"/>
  <c r="EM83" i="2"/>
  <c r="EL83" i="2"/>
  <c r="EK83" i="2"/>
  <c r="EJ83" i="2"/>
  <c r="EI83" i="2"/>
  <c r="EH83" i="2"/>
  <c r="EG83" i="2"/>
  <c r="EF83" i="2"/>
  <c r="EE83" i="2"/>
  <c r="ED83" i="2"/>
  <c r="EC83" i="2"/>
  <c r="EB83" i="2"/>
  <c r="EA83" i="2"/>
  <c r="DZ83" i="2"/>
  <c r="DY83" i="2"/>
  <c r="DX83" i="2"/>
  <c r="DW83" i="2"/>
  <c r="DV83" i="2"/>
  <c r="DU83" i="2"/>
  <c r="DT83" i="2"/>
  <c r="DS83" i="2"/>
  <c r="DR83" i="2"/>
  <c r="DQ83" i="2"/>
  <c r="DP83" i="2"/>
  <c r="DN83" i="2"/>
  <c r="DO83" i="2" s="1"/>
  <c r="DM83" i="2"/>
  <c r="DL83" i="2"/>
  <c r="DK83" i="2"/>
  <c r="DJ83" i="2"/>
  <c r="DI83" i="2"/>
  <c r="DH83" i="2"/>
  <c r="DG83" i="2"/>
  <c r="DF83" i="2"/>
  <c r="DE83" i="2"/>
  <c r="DD83" i="2"/>
  <c r="DC83" i="2"/>
  <c r="DA83" i="2"/>
  <c r="DB83" i="2" s="1"/>
  <c r="CZ83" i="2"/>
  <c r="CY83" i="2"/>
  <c r="CX83" i="2"/>
  <c r="CW83" i="2"/>
  <c r="CV83" i="2"/>
  <c r="CU83" i="2"/>
  <c r="CT83" i="2"/>
  <c r="CS83" i="2"/>
  <c r="CR83" i="2"/>
  <c r="CQ83" i="2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A83" i="2"/>
  <c r="CB83" i="2" s="1"/>
  <c r="BZ83" i="2"/>
  <c r="BY83" i="2"/>
  <c r="BX83" i="2"/>
  <c r="BW83" i="2"/>
  <c r="BV83" i="2"/>
  <c r="BU83" i="2"/>
  <c r="BT83" i="2"/>
  <c r="BS83" i="2"/>
  <c r="BR83" i="2"/>
  <c r="BQ83" i="2"/>
  <c r="BP83" i="2"/>
  <c r="BN83" i="2"/>
  <c r="BO83" i="2" s="1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N83" i="2"/>
  <c r="AO83" i="2" s="1"/>
  <c r="AM83" i="2"/>
  <c r="AL83" i="2"/>
  <c r="AK83" i="2"/>
  <c r="AJ83" i="2"/>
  <c r="AI83" i="2"/>
  <c r="AH83" i="2"/>
  <c r="AG83" i="2"/>
  <c r="AF83" i="2"/>
  <c r="AE83" i="2"/>
  <c r="AD83" i="2"/>
  <c r="AC83" i="2"/>
  <c r="AA83" i="2"/>
  <c r="AB83" i="2" s="1"/>
  <c r="Z83" i="2"/>
  <c r="Y83" i="2"/>
  <c r="X83" i="2"/>
  <c r="W83" i="2"/>
  <c r="V83" i="2"/>
  <c r="U83" i="2"/>
  <c r="T83" i="2"/>
  <c r="S83" i="2"/>
  <c r="R83" i="2"/>
  <c r="Q83" i="2"/>
  <c r="P83" i="2"/>
  <c r="N83" i="2"/>
  <c r="O83" i="2" s="1"/>
  <c r="M83" i="2"/>
  <c r="L83" i="2"/>
  <c r="K83" i="2"/>
  <c r="J83" i="2"/>
  <c r="I83" i="2"/>
  <c r="H83" i="2"/>
  <c r="G83" i="2"/>
  <c r="F83" i="2"/>
  <c r="E83" i="2"/>
  <c r="D83" i="2"/>
  <c r="C83" i="2"/>
  <c r="FI82" i="2"/>
  <c r="FO82" i="2" s="1"/>
  <c r="FH82" i="2"/>
  <c r="FG82" i="2"/>
  <c r="FF82" i="2"/>
  <c r="FE82" i="2"/>
  <c r="FD82" i="2"/>
  <c r="FC82" i="2"/>
  <c r="FB82" i="2"/>
  <c r="FA82" i="2"/>
  <c r="EZ82" i="2"/>
  <c r="EY82" i="2"/>
  <c r="EX82" i="2"/>
  <c r="EW82" i="2"/>
  <c r="EV82" i="2"/>
  <c r="EU82" i="2"/>
  <c r="ET82" i="2"/>
  <c r="ES82" i="2"/>
  <c r="ER82" i="2"/>
  <c r="EQ82" i="2"/>
  <c r="EP82" i="2"/>
  <c r="EN82" i="2"/>
  <c r="EO82" i="2" s="1"/>
  <c r="EM82" i="2"/>
  <c r="EL82" i="2"/>
  <c r="EK82" i="2"/>
  <c r="EJ82" i="2"/>
  <c r="EI82" i="2"/>
  <c r="EH82" i="2"/>
  <c r="EG82" i="2"/>
  <c r="EF82" i="2"/>
  <c r="EE82" i="2"/>
  <c r="ED82" i="2"/>
  <c r="EC82" i="2"/>
  <c r="EA82" i="2"/>
  <c r="EB82" i="2" s="1"/>
  <c r="DZ82" i="2"/>
  <c r="DY82" i="2"/>
  <c r="DX82" i="2"/>
  <c r="DW82" i="2"/>
  <c r="DV82" i="2"/>
  <c r="DU82" i="2"/>
  <c r="DT82" i="2"/>
  <c r="DS82" i="2"/>
  <c r="DR82" i="2"/>
  <c r="DQ82" i="2"/>
  <c r="DP82" i="2"/>
  <c r="DN82" i="2"/>
  <c r="DO82" i="2" s="1"/>
  <c r="DM82" i="2"/>
  <c r="DL82" i="2"/>
  <c r="DK82" i="2"/>
  <c r="DJ82" i="2"/>
  <c r="DI82" i="2"/>
  <c r="DH82" i="2"/>
  <c r="DG82" i="2"/>
  <c r="DF82" i="2"/>
  <c r="DE82" i="2"/>
  <c r="DD82" i="2"/>
  <c r="DC82" i="2"/>
  <c r="DA82" i="2"/>
  <c r="DB82" i="2" s="1"/>
  <c r="CZ82" i="2"/>
  <c r="CY82" i="2"/>
  <c r="CX82" i="2"/>
  <c r="CW82" i="2"/>
  <c r="CV82" i="2"/>
  <c r="CU82" i="2"/>
  <c r="CT82" i="2"/>
  <c r="CS82" i="2"/>
  <c r="CR82" i="2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N82" i="2"/>
  <c r="BO82" i="2" s="1"/>
  <c r="BM82" i="2"/>
  <c r="BL82" i="2"/>
  <c r="BK82" i="2"/>
  <c r="BJ82" i="2"/>
  <c r="BI82" i="2"/>
  <c r="BH82" i="2"/>
  <c r="BG82" i="2"/>
  <c r="BF82" i="2"/>
  <c r="BE82" i="2"/>
  <c r="BD82" i="2"/>
  <c r="BC82" i="2"/>
  <c r="BA82" i="2"/>
  <c r="BB82" i="2" s="1"/>
  <c r="AZ82" i="2"/>
  <c r="AY82" i="2"/>
  <c r="AX82" i="2"/>
  <c r="AW82" i="2"/>
  <c r="AV82" i="2"/>
  <c r="AU82" i="2"/>
  <c r="AT82" i="2"/>
  <c r="AS82" i="2"/>
  <c r="AR82" i="2"/>
  <c r="AQ82" i="2"/>
  <c r="AP82" i="2"/>
  <c r="AN82" i="2"/>
  <c r="AO82" i="2" s="1"/>
  <c r="AM82" i="2"/>
  <c r="AL82" i="2"/>
  <c r="AK82" i="2"/>
  <c r="AJ82" i="2"/>
  <c r="AI82" i="2"/>
  <c r="AH82" i="2"/>
  <c r="AG82" i="2"/>
  <c r="AF82" i="2"/>
  <c r="AE82" i="2"/>
  <c r="AD82" i="2"/>
  <c r="AC82" i="2"/>
  <c r="AA82" i="2"/>
  <c r="AB82" i="2" s="1"/>
  <c r="Z82" i="2"/>
  <c r="Y82" i="2"/>
  <c r="X82" i="2"/>
  <c r="W82" i="2"/>
  <c r="V82" i="2"/>
  <c r="U82" i="2"/>
  <c r="T82" i="2"/>
  <c r="S82" i="2"/>
  <c r="R82" i="2"/>
  <c r="Q82" i="2"/>
  <c r="P82" i="2"/>
  <c r="N82" i="2"/>
  <c r="O82" i="2" s="1"/>
  <c r="M82" i="2"/>
  <c r="L82" i="2"/>
  <c r="K82" i="2"/>
  <c r="J82" i="2"/>
  <c r="I82" i="2"/>
  <c r="H82" i="2"/>
  <c r="G82" i="2"/>
  <c r="F82" i="2"/>
  <c r="E82" i="2"/>
  <c r="D82" i="2"/>
  <c r="C82" i="2"/>
  <c r="FO81" i="2"/>
  <c r="FI81" i="2"/>
  <c r="FH81" i="2"/>
  <c r="FG81" i="2"/>
  <c r="FF81" i="2"/>
  <c r="FE81" i="2"/>
  <c r="FD81" i="2"/>
  <c r="FC81" i="2"/>
  <c r="FB81" i="2"/>
  <c r="FA81" i="2"/>
  <c r="EZ81" i="2"/>
  <c r="EY81" i="2"/>
  <c r="EX81" i="2"/>
  <c r="EW81" i="2"/>
  <c r="EV81" i="2"/>
  <c r="EU81" i="2"/>
  <c r="ET81" i="2"/>
  <c r="ES81" i="2"/>
  <c r="ER81" i="2"/>
  <c r="EQ81" i="2"/>
  <c r="EP81" i="2"/>
  <c r="EN81" i="2"/>
  <c r="EO81" i="2" s="1"/>
  <c r="EM81" i="2"/>
  <c r="EL81" i="2"/>
  <c r="EK81" i="2"/>
  <c r="EJ81" i="2"/>
  <c r="EI81" i="2"/>
  <c r="EH81" i="2"/>
  <c r="EG81" i="2"/>
  <c r="EF81" i="2"/>
  <c r="EE81" i="2"/>
  <c r="ED81" i="2"/>
  <c r="EC81" i="2"/>
  <c r="EA81" i="2"/>
  <c r="EB81" i="2" s="1"/>
  <c r="DZ81" i="2"/>
  <c r="DY81" i="2"/>
  <c r="DX81" i="2"/>
  <c r="DW81" i="2"/>
  <c r="DV81" i="2"/>
  <c r="DU81" i="2"/>
  <c r="DT81" i="2"/>
  <c r="DS81" i="2"/>
  <c r="DR81" i="2"/>
  <c r="DQ81" i="2"/>
  <c r="DP81" i="2"/>
  <c r="DN81" i="2"/>
  <c r="DO81" i="2" s="1"/>
  <c r="DM81" i="2"/>
  <c r="DL81" i="2"/>
  <c r="DK81" i="2"/>
  <c r="DJ81" i="2"/>
  <c r="DI81" i="2"/>
  <c r="DH81" i="2"/>
  <c r="DG81" i="2"/>
  <c r="DF81" i="2"/>
  <c r="DE81" i="2"/>
  <c r="DD81" i="2"/>
  <c r="DC81" i="2"/>
  <c r="DA81" i="2"/>
  <c r="DB81" i="2" s="1"/>
  <c r="CZ81" i="2"/>
  <c r="CY81" i="2"/>
  <c r="CX81" i="2"/>
  <c r="CW81" i="2"/>
  <c r="CV81" i="2"/>
  <c r="CU81" i="2"/>
  <c r="CT81" i="2"/>
  <c r="CS81" i="2"/>
  <c r="CR81" i="2"/>
  <c r="CQ81" i="2"/>
  <c r="CP81" i="2"/>
  <c r="CN81" i="2"/>
  <c r="CO81" i="2" s="1"/>
  <c r="CM81" i="2"/>
  <c r="CM112" i="2" s="1"/>
  <c r="CL81" i="2"/>
  <c r="CK81" i="2"/>
  <c r="CJ81" i="2"/>
  <c r="CI81" i="2"/>
  <c r="CH81" i="2"/>
  <c r="CG81" i="2"/>
  <c r="CF81" i="2"/>
  <c r="CE81" i="2"/>
  <c r="CD81" i="2"/>
  <c r="CC81" i="2"/>
  <c r="CA81" i="2"/>
  <c r="CB81" i="2" s="1"/>
  <c r="BZ81" i="2"/>
  <c r="BY81" i="2"/>
  <c r="BX81" i="2"/>
  <c r="BW81" i="2"/>
  <c r="BV81" i="2"/>
  <c r="BU81" i="2"/>
  <c r="BT81" i="2"/>
  <c r="BS81" i="2"/>
  <c r="BR81" i="2"/>
  <c r="BQ81" i="2"/>
  <c r="BP81" i="2"/>
  <c r="BN81" i="2"/>
  <c r="BO81" i="2" s="1"/>
  <c r="BM81" i="2"/>
  <c r="BL81" i="2"/>
  <c r="BK81" i="2"/>
  <c r="BJ81" i="2"/>
  <c r="BI81" i="2"/>
  <c r="BH81" i="2"/>
  <c r="BG81" i="2"/>
  <c r="BF81" i="2"/>
  <c r="BE81" i="2"/>
  <c r="BD81" i="2"/>
  <c r="BC81" i="2"/>
  <c r="BA81" i="2"/>
  <c r="BB81" i="2" s="1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N81" i="2"/>
  <c r="O81" i="2" s="1"/>
  <c r="M81" i="2"/>
  <c r="L81" i="2"/>
  <c r="K81" i="2"/>
  <c r="J81" i="2"/>
  <c r="I81" i="2"/>
  <c r="H81" i="2"/>
  <c r="G81" i="2"/>
  <c r="F81" i="2"/>
  <c r="E81" i="2"/>
  <c r="D81" i="2"/>
  <c r="C81" i="2"/>
  <c r="FI80" i="2"/>
  <c r="FO80" i="2" s="1"/>
  <c r="FH80" i="2"/>
  <c r="FG80" i="2"/>
  <c r="FF80" i="2"/>
  <c r="FE80" i="2"/>
  <c r="FD80" i="2"/>
  <c r="FC80" i="2"/>
  <c r="FA80" i="2"/>
  <c r="EZ80" i="2"/>
  <c r="EY80" i="2"/>
  <c r="EX80" i="2"/>
  <c r="EX112" i="2" s="1"/>
  <c r="EW80" i="2"/>
  <c r="EV80" i="2"/>
  <c r="EU80" i="2"/>
  <c r="ET80" i="2"/>
  <c r="ES80" i="2"/>
  <c r="ER80" i="2"/>
  <c r="EQ80" i="2"/>
  <c r="EP80" i="2"/>
  <c r="EN80" i="2"/>
  <c r="EM80" i="2"/>
  <c r="EL80" i="2"/>
  <c r="EK80" i="2"/>
  <c r="EJ80" i="2"/>
  <c r="EI80" i="2"/>
  <c r="EH80" i="2"/>
  <c r="EG80" i="2"/>
  <c r="EF80" i="2"/>
  <c r="EE80" i="2"/>
  <c r="ED80" i="2"/>
  <c r="EC80" i="2"/>
  <c r="EB80" i="2"/>
  <c r="EA80" i="2"/>
  <c r="DZ80" i="2"/>
  <c r="DY80" i="2"/>
  <c r="DX80" i="2"/>
  <c r="DW80" i="2"/>
  <c r="DV80" i="2"/>
  <c r="DU80" i="2"/>
  <c r="DT80" i="2"/>
  <c r="DS80" i="2"/>
  <c r="DR80" i="2"/>
  <c r="DQ80" i="2"/>
  <c r="DP80" i="2"/>
  <c r="DP112" i="2" s="1"/>
  <c r="DN80" i="2"/>
  <c r="DM80" i="2"/>
  <c r="DL80" i="2"/>
  <c r="DK80" i="2"/>
  <c r="DJ80" i="2"/>
  <c r="DI80" i="2"/>
  <c r="DH80" i="2"/>
  <c r="DG80" i="2"/>
  <c r="DF80" i="2"/>
  <c r="DE80" i="2"/>
  <c r="DD80" i="2"/>
  <c r="DC80" i="2"/>
  <c r="DA80" i="2"/>
  <c r="DB80" i="2" s="1"/>
  <c r="CZ80" i="2"/>
  <c r="CY80" i="2"/>
  <c r="CX80" i="2"/>
  <c r="CW80" i="2"/>
  <c r="CV80" i="2"/>
  <c r="CU80" i="2"/>
  <c r="CT80" i="2"/>
  <c r="CS80" i="2"/>
  <c r="CR80" i="2"/>
  <c r="CQ80" i="2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A80" i="2"/>
  <c r="CB80" i="2" s="1"/>
  <c r="BZ80" i="2"/>
  <c r="BY80" i="2"/>
  <c r="BX80" i="2"/>
  <c r="BW80" i="2"/>
  <c r="BV80" i="2"/>
  <c r="BU80" i="2"/>
  <c r="BT80" i="2"/>
  <c r="BS80" i="2"/>
  <c r="BR80" i="2"/>
  <c r="BQ80" i="2"/>
  <c r="BP80" i="2"/>
  <c r="BN80" i="2"/>
  <c r="BO80" i="2" s="1"/>
  <c r="BM80" i="2"/>
  <c r="BL80" i="2"/>
  <c r="BK80" i="2"/>
  <c r="BJ80" i="2"/>
  <c r="BI80" i="2"/>
  <c r="BH80" i="2"/>
  <c r="BG80" i="2"/>
  <c r="BF80" i="2"/>
  <c r="BE80" i="2"/>
  <c r="BD80" i="2"/>
  <c r="BC80" i="2"/>
  <c r="BA80" i="2"/>
  <c r="BB80" i="2" s="1"/>
  <c r="AZ80" i="2"/>
  <c r="AY80" i="2"/>
  <c r="AX80" i="2"/>
  <c r="AW80" i="2"/>
  <c r="AV80" i="2"/>
  <c r="AU80" i="2"/>
  <c r="AT80" i="2"/>
  <c r="AS80" i="2"/>
  <c r="AR80" i="2"/>
  <c r="AQ80" i="2"/>
  <c r="AP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A80" i="2"/>
  <c r="Z80" i="2"/>
  <c r="Y80" i="2"/>
  <c r="X80" i="2"/>
  <c r="W80" i="2"/>
  <c r="V80" i="2"/>
  <c r="U80" i="2"/>
  <c r="T80" i="2"/>
  <c r="S80" i="2"/>
  <c r="R80" i="2"/>
  <c r="R112" i="2" s="1"/>
  <c r="Q80" i="2"/>
  <c r="P80" i="2"/>
  <c r="N80" i="2"/>
  <c r="M80" i="2"/>
  <c r="L80" i="2"/>
  <c r="K80" i="2"/>
  <c r="J80" i="2"/>
  <c r="I80" i="2"/>
  <c r="H80" i="2"/>
  <c r="G80" i="2"/>
  <c r="F80" i="2"/>
  <c r="F112" i="2" s="1"/>
  <c r="E80" i="2"/>
  <c r="D80" i="2"/>
  <c r="C80" i="2"/>
  <c r="FN76" i="2"/>
  <c r="FM76" i="2"/>
  <c r="FL76" i="2"/>
  <c r="FK76" i="2"/>
  <c r="FJ76" i="2"/>
  <c r="FI75" i="2"/>
  <c r="FO75" i="2" s="1"/>
  <c r="FH75" i="2"/>
  <c r="FG75" i="2"/>
  <c r="FF75" i="2"/>
  <c r="FE75" i="2"/>
  <c r="FD75" i="2"/>
  <c r="FC75" i="2"/>
  <c r="FA75" i="2"/>
  <c r="FB75" i="2" s="1"/>
  <c r="EZ75" i="2"/>
  <c r="EY75" i="2"/>
  <c r="EX75" i="2"/>
  <c r="EW75" i="2"/>
  <c r="EV75" i="2"/>
  <c r="EU75" i="2"/>
  <c r="ET75" i="2"/>
  <c r="ES75" i="2"/>
  <c r="ER75" i="2"/>
  <c r="EQ75" i="2"/>
  <c r="EP75" i="2"/>
  <c r="EN75" i="2"/>
  <c r="EO75" i="2" s="1"/>
  <c r="EM75" i="2"/>
  <c r="EL75" i="2"/>
  <c r="EK75" i="2"/>
  <c r="EJ75" i="2"/>
  <c r="EI75" i="2"/>
  <c r="EH75" i="2"/>
  <c r="EG75" i="2"/>
  <c r="EF75" i="2"/>
  <c r="EE75" i="2"/>
  <c r="ED75" i="2"/>
  <c r="EC75" i="2"/>
  <c r="EB75" i="2"/>
  <c r="EA75" i="2"/>
  <c r="DZ75" i="2"/>
  <c r="DY75" i="2"/>
  <c r="DX75" i="2"/>
  <c r="DW75" i="2"/>
  <c r="DV75" i="2"/>
  <c r="DU75" i="2"/>
  <c r="DT75" i="2"/>
  <c r="DS75" i="2"/>
  <c r="DR75" i="2"/>
  <c r="DQ75" i="2"/>
  <c r="DP75" i="2"/>
  <c r="DN75" i="2"/>
  <c r="DO75" i="2" s="1"/>
  <c r="DM75" i="2"/>
  <c r="DL75" i="2"/>
  <c r="DK75" i="2"/>
  <c r="DJ75" i="2"/>
  <c r="DI75" i="2"/>
  <c r="DH75" i="2"/>
  <c r="DG75" i="2"/>
  <c r="DF75" i="2"/>
  <c r="DE75" i="2"/>
  <c r="DD75" i="2"/>
  <c r="DC75" i="2"/>
  <c r="DA75" i="2"/>
  <c r="DB75" i="2" s="1"/>
  <c r="CZ75" i="2"/>
  <c r="CY75" i="2"/>
  <c r="CX75" i="2"/>
  <c r="CW75" i="2"/>
  <c r="CV75" i="2"/>
  <c r="CU75" i="2"/>
  <c r="CT75" i="2"/>
  <c r="CS75" i="2"/>
  <c r="CR75" i="2"/>
  <c r="CQ75" i="2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A75" i="2"/>
  <c r="CB75" i="2" s="1"/>
  <c r="BZ75" i="2"/>
  <c r="BY75" i="2"/>
  <c r="BX75" i="2"/>
  <c r="BW75" i="2"/>
  <c r="BV75" i="2"/>
  <c r="BU75" i="2"/>
  <c r="BT75" i="2"/>
  <c r="BS75" i="2"/>
  <c r="BR75" i="2"/>
  <c r="BQ75" i="2"/>
  <c r="BP75" i="2"/>
  <c r="BN75" i="2"/>
  <c r="BO75" i="2" s="1"/>
  <c r="BM75" i="2"/>
  <c r="BL75" i="2"/>
  <c r="BK75" i="2"/>
  <c r="BJ75" i="2"/>
  <c r="BI75" i="2"/>
  <c r="BH75" i="2"/>
  <c r="BG75" i="2"/>
  <c r="BF75" i="2"/>
  <c r="BE75" i="2"/>
  <c r="BD75" i="2"/>
  <c r="BC75" i="2"/>
  <c r="BA75" i="2"/>
  <c r="BB75" i="2" s="1"/>
  <c r="AZ75" i="2"/>
  <c r="AY75" i="2"/>
  <c r="AX75" i="2"/>
  <c r="AW75" i="2"/>
  <c r="AV75" i="2"/>
  <c r="AU75" i="2"/>
  <c r="AT75" i="2"/>
  <c r="AS75" i="2"/>
  <c r="AR75" i="2"/>
  <c r="AQ75" i="2"/>
  <c r="AP75" i="2"/>
  <c r="AN75" i="2"/>
  <c r="AO75" i="2" s="1"/>
  <c r="AM75" i="2"/>
  <c r="AL75" i="2"/>
  <c r="AK75" i="2"/>
  <c r="AJ75" i="2"/>
  <c r="AI75" i="2"/>
  <c r="AH75" i="2"/>
  <c r="AG75" i="2"/>
  <c r="AF75" i="2"/>
  <c r="AE75" i="2"/>
  <c r="AD75" i="2"/>
  <c r="AC75" i="2"/>
  <c r="AA75" i="2"/>
  <c r="AB75" i="2" s="1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FI74" i="2"/>
  <c r="FO74" i="2" s="1"/>
  <c r="FH74" i="2"/>
  <c r="FG74" i="2"/>
  <c r="FF74" i="2"/>
  <c r="FE74" i="2"/>
  <c r="FD74" i="2"/>
  <c r="FC74" i="2"/>
  <c r="FA74" i="2"/>
  <c r="FB74" i="2" s="1"/>
  <c r="EZ74" i="2"/>
  <c r="EY74" i="2"/>
  <c r="EX74" i="2"/>
  <c r="EW74" i="2"/>
  <c r="EV74" i="2"/>
  <c r="EU74" i="2"/>
  <c r="ET74" i="2"/>
  <c r="ES74" i="2"/>
  <c r="ER74" i="2"/>
  <c r="EQ74" i="2"/>
  <c r="EP74" i="2"/>
  <c r="EN74" i="2"/>
  <c r="EO74" i="2" s="1"/>
  <c r="EM74" i="2"/>
  <c r="EL74" i="2"/>
  <c r="EK74" i="2"/>
  <c r="EJ74" i="2"/>
  <c r="EI74" i="2"/>
  <c r="EH74" i="2"/>
  <c r="EG74" i="2"/>
  <c r="EF74" i="2"/>
  <c r="EE74" i="2"/>
  <c r="ED74" i="2"/>
  <c r="EC74" i="2"/>
  <c r="EA74" i="2"/>
  <c r="EB74" i="2" s="1"/>
  <c r="DZ74" i="2"/>
  <c r="DY74" i="2"/>
  <c r="DX74" i="2"/>
  <c r="DW74" i="2"/>
  <c r="DV74" i="2"/>
  <c r="DU74" i="2"/>
  <c r="DT74" i="2"/>
  <c r="DS74" i="2"/>
  <c r="DR74" i="2"/>
  <c r="DQ74" i="2"/>
  <c r="DP74" i="2"/>
  <c r="DO74" i="2"/>
  <c r="DN74" i="2"/>
  <c r="DM74" i="2"/>
  <c r="DL74" i="2"/>
  <c r="DK74" i="2"/>
  <c r="DJ74" i="2"/>
  <c r="DI74" i="2"/>
  <c r="DH74" i="2"/>
  <c r="DG74" i="2"/>
  <c r="DF74" i="2"/>
  <c r="DE74" i="2"/>
  <c r="DD74" i="2"/>
  <c r="DC74" i="2"/>
  <c r="DA74" i="2"/>
  <c r="DB74" i="2" s="1"/>
  <c r="CZ74" i="2"/>
  <c r="CY74" i="2"/>
  <c r="CX74" i="2"/>
  <c r="CW74" i="2"/>
  <c r="CV74" i="2"/>
  <c r="CU74" i="2"/>
  <c r="CT74" i="2"/>
  <c r="CS74" i="2"/>
  <c r="CR74" i="2"/>
  <c r="CQ74" i="2"/>
  <c r="CP74" i="2"/>
  <c r="CN74" i="2"/>
  <c r="CO74" i="2" s="1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N74" i="2"/>
  <c r="BO74" i="2" s="1"/>
  <c r="BM74" i="2"/>
  <c r="BL74" i="2"/>
  <c r="BK74" i="2"/>
  <c r="BJ74" i="2"/>
  <c r="BI74" i="2"/>
  <c r="BH74" i="2"/>
  <c r="BG74" i="2"/>
  <c r="BF74" i="2"/>
  <c r="BE74" i="2"/>
  <c r="BD74" i="2"/>
  <c r="BC74" i="2"/>
  <c r="BA74" i="2"/>
  <c r="BB74" i="2" s="1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A74" i="2"/>
  <c r="AB74" i="2" s="1"/>
  <c r="Z74" i="2"/>
  <c r="Y74" i="2"/>
  <c r="X74" i="2"/>
  <c r="W74" i="2"/>
  <c r="V74" i="2"/>
  <c r="U74" i="2"/>
  <c r="T74" i="2"/>
  <c r="S74" i="2"/>
  <c r="R74" i="2"/>
  <c r="Q74" i="2"/>
  <c r="P74" i="2"/>
  <c r="N74" i="2"/>
  <c r="O74" i="2" s="1"/>
  <c r="M74" i="2"/>
  <c r="L74" i="2"/>
  <c r="K74" i="2"/>
  <c r="J74" i="2"/>
  <c r="I74" i="2"/>
  <c r="H74" i="2"/>
  <c r="G74" i="2"/>
  <c r="F74" i="2"/>
  <c r="E74" i="2"/>
  <c r="D74" i="2"/>
  <c r="C74" i="2"/>
  <c r="FO73" i="2"/>
  <c r="FI73" i="2"/>
  <c r="FH73" i="2"/>
  <c r="FG73" i="2"/>
  <c r="FF73" i="2"/>
  <c r="FE73" i="2"/>
  <c r="FD73" i="2"/>
  <c r="FC73" i="2"/>
  <c r="FB73" i="2"/>
  <c r="FA73" i="2"/>
  <c r="EZ73" i="2"/>
  <c r="EY73" i="2"/>
  <c r="EX73" i="2"/>
  <c r="EW73" i="2"/>
  <c r="EV73" i="2"/>
  <c r="EU73" i="2"/>
  <c r="ET73" i="2"/>
  <c r="ES73" i="2"/>
  <c r="ER73" i="2"/>
  <c r="EQ73" i="2"/>
  <c r="EP73" i="2"/>
  <c r="EN73" i="2"/>
  <c r="EO73" i="2" s="1"/>
  <c r="EM73" i="2"/>
  <c r="EL73" i="2"/>
  <c r="EK73" i="2"/>
  <c r="EJ73" i="2"/>
  <c r="EI73" i="2"/>
  <c r="EH73" i="2"/>
  <c r="EG73" i="2"/>
  <c r="EF73" i="2"/>
  <c r="EE73" i="2"/>
  <c r="ED73" i="2"/>
  <c r="EC73" i="2"/>
  <c r="EA73" i="2"/>
  <c r="EB73" i="2" s="1"/>
  <c r="DZ73" i="2"/>
  <c r="DY73" i="2"/>
  <c r="DX73" i="2"/>
  <c r="DW73" i="2"/>
  <c r="DV73" i="2"/>
  <c r="DU73" i="2"/>
  <c r="DT73" i="2"/>
  <c r="DS73" i="2"/>
  <c r="DR73" i="2"/>
  <c r="DQ73" i="2"/>
  <c r="DP73" i="2"/>
  <c r="DN73" i="2"/>
  <c r="DO73" i="2" s="1"/>
  <c r="DM73" i="2"/>
  <c r="DL73" i="2"/>
  <c r="DK73" i="2"/>
  <c r="DJ73" i="2"/>
  <c r="DI73" i="2"/>
  <c r="DH73" i="2"/>
  <c r="DG73" i="2"/>
  <c r="DF73" i="2"/>
  <c r="DE73" i="2"/>
  <c r="DD73" i="2"/>
  <c r="DC73" i="2"/>
  <c r="DB73" i="2"/>
  <c r="DA73" i="2"/>
  <c r="CZ73" i="2"/>
  <c r="CY73" i="2"/>
  <c r="CX73" i="2"/>
  <c r="CW73" i="2"/>
  <c r="CV73" i="2"/>
  <c r="CU73" i="2"/>
  <c r="CT73" i="2"/>
  <c r="CS73" i="2"/>
  <c r="CR73" i="2"/>
  <c r="CQ73" i="2"/>
  <c r="CP73" i="2"/>
  <c r="CN73" i="2"/>
  <c r="CO73" i="2" s="1"/>
  <c r="CM73" i="2"/>
  <c r="CL73" i="2"/>
  <c r="CK73" i="2"/>
  <c r="CJ73" i="2"/>
  <c r="CI73" i="2"/>
  <c r="CH73" i="2"/>
  <c r="CG73" i="2"/>
  <c r="CF73" i="2"/>
  <c r="CE73" i="2"/>
  <c r="CD73" i="2"/>
  <c r="CC73" i="2"/>
  <c r="CA73" i="2"/>
  <c r="CB73" i="2" s="1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A73" i="2"/>
  <c r="BB73" i="2" s="1"/>
  <c r="AZ73" i="2"/>
  <c r="AY73" i="2"/>
  <c r="AX73" i="2"/>
  <c r="AW73" i="2"/>
  <c r="AV73" i="2"/>
  <c r="AU73" i="2"/>
  <c r="AT73" i="2"/>
  <c r="AS73" i="2"/>
  <c r="AR73" i="2"/>
  <c r="AQ73" i="2"/>
  <c r="AP73" i="2"/>
  <c r="AN73" i="2"/>
  <c r="AO73" i="2" s="1"/>
  <c r="AM73" i="2"/>
  <c r="AL73" i="2"/>
  <c r="AK73" i="2"/>
  <c r="AJ73" i="2"/>
  <c r="AI73" i="2"/>
  <c r="AH73" i="2"/>
  <c r="AG73" i="2"/>
  <c r="AF73" i="2"/>
  <c r="AE73" i="2"/>
  <c r="AD73" i="2"/>
  <c r="AC73" i="2"/>
  <c r="AA73" i="2"/>
  <c r="AB73" i="2" s="1"/>
  <c r="Z73" i="2"/>
  <c r="Y73" i="2"/>
  <c r="X73" i="2"/>
  <c r="W73" i="2"/>
  <c r="V73" i="2"/>
  <c r="U73" i="2"/>
  <c r="T73" i="2"/>
  <c r="S73" i="2"/>
  <c r="R73" i="2"/>
  <c r="Q73" i="2"/>
  <c r="P73" i="2"/>
  <c r="N73" i="2"/>
  <c r="O73" i="2" s="1"/>
  <c r="M73" i="2"/>
  <c r="L73" i="2"/>
  <c r="K73" i="2"/>
  <c r="J73" i="2"/>
  <c r="I73" i="2"/>
  <c r="H73" i="2"/>
  <c r="G73" i="2"/>
  <c r="F73" i="2"/>
  <c r="E73" i="2"/>
  <c r="D73" i="2"/>
  <c r="C73" i="2"/>
  <c r="FI72" i="2"/>
  <c r="FO72" i="2" s="1"/>
  <c r="FH72" i="2"/>
  <c r="FG72" i="2"/>
  <c r="FF72" i="2"/>
  <c r="FE72" i="2"/>
  <c r="FD72" i="2"/>
  <c r="FC72" i="2"/>
  <c r="FA72" i="2"/>
  <c r="FB72" i="2" s="1"/>
  <c r="EZ72" i="2"/>
  <c r="EY72" i="2"/>
  <c r="EX72" i="2"/>
  <c r="EW72" i="2"/>
  <c r="EV72" i="2"/>
  <c r="EU72" i="2"/>
  <c r="ET72" i="2"/>
  <c r="ES72" i="2"/>
  <c r="ER72" i="2"/>
  <c r="EQ72" i="2"/>
  <c r="EP72" i="2"/>
  <c r="EN72" i="2"/>
  <c r="EO72" i="2" s="1"/>
  <c r="EM72" i="2"/>
  <c r="EL72" i="2"/>
  <c r="EK72" i="2"/>
  <c r="EJ72" i="2"/>
  <c r="EI72" i="2"/>
  <c r="EH72" i="2"/>
  <c r="EG72" i="2"/>
  <c r="EF72" i="2"/>
  <c r="EE72" i="2"/>
  <c r="ED72" i="2"/>
  <c r="EC72" i="2"/>
  <c r="EB72" i="2"/>
  <c r="EA72" i="2"/>
  <c r="DZ72" i="2"/>
  <c r="DY72" i="2"/>
  <c r="DX72" i="2"/>
  <c r="DW72" i="2"/>
  <c r="DV72" i="2"/>
  <c r="DU72" i="2"/>
  <c r="DT72" i="2"/>
  <c r="DS72" i="2"/>
  <c r="DR72" i="2"/>
  <c r="DQ72" i="2"/>
  <c r="DP72" i="2"/>
  <c r="DN72" i="2"/>
  <c r="DO72" i="2" s="1"/>
  <c r="DM72" i="2"/>
  <c r="DL72" i="2"/>
  <c r="DK72" i="2"/>
  <c r="DJ72" i="2"/>
  <c r="DI72" i="2"/>
  <c r="DH72" i="2"/>
  <c r="DG72" i="2"/>
  <c r="DF72" i="2"/>
  <c r="DE72" i="2"/>
  <c r="DD72" i="2"/>
  <c r="DC72" i="2"/>
  <c r="DA72" i="2"/>
  <c r="DB72" i="2" s="1"/>
  <c r="CZ72" i="2"/>
  <c r="CY72" i="2"/>
  <c r="CX72" i="2"/>
  <c r="CW72" i="2"/>
  <c r="CV72" i="2"/>
  <c r="CU72" i="2"/>
  <c r="CT72" i="2"/>
  <c r="CS72" i="2"/>
  <c r="CR72" i="2"/>
  <c r="CQ72" i="2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A72" i="2"/>
  <c r="CB72" i="2" s="1"/>
  <c r="BZ72" i="2"/>
  <c r="BY72" i="2"/>
  <c r="BX72" i="2"/>
  <c r="BW72" i="2"/>
  <c r="BV72" i="2"/>
  <c r="BU72" i="2"/>
  <c r="BT72" i="2"/>
  <c r="BS72" i="2"/>
  <c r="BR72" i="2"/>
  <c r="BQ72" i="2"/>
  <c r="BP72" i="2"/>
  <c r="BN72" i="2"/>
  <c r="BO72" i="2" s="1"/>
  <c r="BM72" i="2"/>
  <c r="BL72" i="2"/>
  <c r="BK72" i="2"/>
  <c r="BJ72" i="2"/>
  <c r="BI72" i="2"/>
  <c r="BH72" i="2"/>
  <c r="BG72" i="2"/>
  <c r="BF72" i="2"/>
  <c r="BE72" i="2"/>
  <c r="BD72" i="2"/>
  <c r="BC72" i="2"/>
  <c r="BA72" i="2"/>
  <c r="BB72" i="2" s="1"/>
  <c r="AZ72" i="2"/>
  <c r="AY72" i="2"/>
  <c r="AX72" i="2"/>
  <c r="AW72" i="2"/>
  <c r="AV72" i="2"/>
  <c r="AU72" i="2"/>
  <c r="AT72" i="2"/>
  <c r="AS72" i="2"/>
  <c r="AR72" i="2"/>
  <c r="AQ72" i="2"/>
  <c r="AP72" i="2"/>
  <c r="AN72" i="2"/>
  <c r="AO72" i="2" s="1"/>
  <c r="AM72" i="2"/>
  <c r="AL72" i="2"/>
  <c r="AK72" i="2"/>
  <c r="AJ72" i="2"/>
  <c r="AI72" i="2"/>
  <c r="AH72" i="2"/>
  <c r="AG72" i="2"/>
  <c r="AF72" i="2"/>
  <c r="AE72" i="2"/>
  <c r="AD72" i="2"/>
  <c r="AC72" i="2"/>
  <c r="AA72" i="2"/>
  <c r="AB72" i="2" s="1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FI71" i="2"/>
  <c r="FO71" i="2" s="1"/>
  <c r="FH71" i="2"/>
  <c r="FG71" i="2"/>
  <c r="FF71" i="2"/>
  <c r="FE71" i="2"/>
  <c r="FD71" i="2"/>
  <c r="FC71" i="2"/>
  <c r="FA71" i="2"/>
  <c r="FB71" i="2" s="1"/>
  <c r="EZ71" i="2"/>
  <c r="EY71" i="2"/>
  <c r="EX71" i="2"/>
  <c r="EW71" i="2"/>
  <c r="EV71" i="2"/>
  <c r="EU71" i="2"/>
  <c r="ET71" i="2"/>
  <c r="ES71" i="2"/>
  <c r="ER71" i="2"/>
  <c r="EQ71" i="2"/>
  <c r="EP71" i="2"/>
  <c r="EN71" i="2"/>
  <c r="EO71" i="2" s="1"/>
  <c r="EM71" i="2"/>
  <c r="EL71" i="2"/>
  <c r="EK71" i="2"/>
  <c r="EJ71" i="2"/>
  <c r="EI71" i="2"/>
  <c r="EH71" i="2"/>
  <c r="EG71" i="2"/>
  <c r="EF71" i="2"/>
  <c r="EE71" i="2"/>
  <c r="ED71" i="2"/>
  <c r="EC71" i="2"/>
  <c r="EA71" i="2"/>
  <c r="EB71" i="2" s="1"/>
  <c r="DZ71" i="2"/>
  <c r="DY71" i="2"/>
  <c r="DX71" i="2"/>
  <c r="DW71" i="2"/>
  <c r="DV71" i="2"/>
  <c r="DU71" i="2"/>
  <c r="DT71" i="2"/>
  <c r="DS71" i="2"/>
  <c r="DR71" i="2"/>
  <c r="DQ71" i="2"/>
  <c r="DP71" i="2"/>
  <c r="DO71" i="2"/>
  <c r="DN71" i="2"/>
  <c r="DM71" i="2"/>
  <c r="DL71" i="2"/>
  <c r="DK71" i="2"/>
  <c r="DJ71" i="2"/>
  <c r="DI71" i="2"/>
  <c r="DH71" i="2"/>
  <c r="DG71" i="2"/>
  <c r="DF71" i="2"/>
  <c r="DE71" i="2"/>
  <c r="DD71" i="2"/>
  <c r="DC71" i="2"/>
  <c r="DA71" i="2"/>
  <c r="DB71" i="2" s="1"/>
  <c r="CZ71" i="2"/>
  <c r="CY71" i="2"/>
  <c r="CX71" i="2"/>
  <c r="CW71" i="2"/>
  <c r="CV71" i="2"/>
  <c r="CU71" i="2"/>
  <c r="CT71" i="2"/>
  <c r="CS71" i="2"/>
  <c r="CR71" i="2"/>
  <c r="CQ71" i="2"/>
  <c r="CP71" i="2"/>
  <c r="CN71" i="2"/>
  <c r="CO71" i="2" s="1"/>
  <c r="CM71" i="2"/>
  <c r="CL71" i="2"/>
  <c r="CK71" i="2"/>
  <c r="CJ71" i="2"/>
  <c r="CI71" i="2"/>
  <c r="CH71" i="2"/>
  <c r="CG71" i="2"/>
  <c r="CF71" i="2"/>
  <c r="CE71" i="2"/>
  <c r="CD71" i="2"/>
  <c r="CC71" i="2"/>
  <c r="CA71" i="2"/>
  <c r="CB71" i="2" s="1"/>
  <c r="BZ71" i="2"/>
  <c r="BY71" i="2"/>
  <c r="BX71" i="2"/>
  <c r="BW71" i="2"/>
  <c r="BV71" i="2"/>
  <c r="BU71" i="2"/>
  <c r="BT71" i="2"/>
  <c r="BS71" i="2"/>
  <c r="BR71" i="2"/>
  <c r="BQ71" i="2"/>
  <c r="BP71" i="2"/>
  <c r="BN71" i="2"/>
  <c r="BO71" i="2" s="1"/>
  <c r="BM71" i="2"/>
  <c r="BL71" i="2"/>
  <c r="BK71" i="2"/>
  <c r="BJ71" i="2"/>
  <c r="BI71" i="2"/>
  <c r="BH71" i="2"/>
  <c r="BG71" i="2"/>
  <c r="BF71" i="2"/>
  <c r="BE71" i="2"/>
  <c r="BD71" i="2"/>
  <c r="BC71" i="2"/>
  <c r="BA71" i="2"/>
  <c r="BB71" i="2" s="1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A71" i="2"/>
  <c r="AB71" i="2" s="1"/>
  <c r="Z71" i="2"/>
  <c r="Y71" i="2"/>
  <c r="X71" i="2"/>
  <c r="W71" i="2"/>
  <c r="V71" i="2"/>
  <c r="U71" i="2"/>
  <c r="T71" i="2"/>
  <c r="S71" i="2"/>
  <c r="R71" i="2"/>
  <c r="Q71" i="2"/>
  <c r="P71" i="2"/>
  <c r="N71" i="2"/>
  <c r="O71" i="2" s="1"/>
  <c r="M71" i="2"/>
  <c r="L71" i="2"/>
  <c r="K71" i="2"/>
  <c r="J71" i="2"/>
  <c r="I71" i="2"/>
  <c r="H71" i="2"/>
  <c r="G71" i="2"/>
  <c r="F71" i="2"/>
  <c r="E71" i="2"/>
  <c r="D71" i="2"/>
  <c r="C71" i="2"/>
  <c r="FO70" i="2"/>
  <c r="FI70" i="2"/>
  <c r="FH70" i="2"/>
  <c r="FG70" i="2"/>
  <c r="FF70" i="2"/>
  <c r="FE70" i="2"/>
  <c r="FD70" i="2"/>
  <c r="FC70" i="2"/>
  <c r="FA70" i="2"/>
  <c r="FB70" i="2" s="1"/>
  <c r="EZ70" i="2"/>
  <c r="EY70" i="2"/>
  <c r="EX70" i="2"/>
  <c r="EW70" i="2"/>
  <c r="EV70" i="2"/>
  <c r="EU70" i="2"/>
  <c r="ET70" i="2"/>
  <c r="ES70" i="2"/>
  <c r="ER70" i="2"/>
  <c r="EQ70" i="2"/>
  <c r="EP70" i="2"/>
  <c r="EN70" i="2"/>
  <c r="EO70" i="2" s="1"/>
  <c r="EM70" i="2"/>
  <c r="EL70" i="2"/>
  <c r="EK70" i="2"/>
  <c r="EJ70" i="2"/>
  <c r="EI70" i="2"/>
  <c r="EH70" i="2"/>
  <c r="EG70" i="2"/>
  <c r="EF70" i="2"/>
  <c r="EE70" i="2"/>
  <c r="ED70" i="2"/>
  <c r="EC70" i="2"/>
  <c r="EA70" i="2"/>
  <c r="EB70" i="2" s="1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A70" i="2"/>
  <c r="DB70" i="2" s="1"/>
  <c r="CZ70" i="2"/>
  <c r="CY70" i="2"/>
  <c r="CX70" i="2"/>
  <c r="CW70" i="2"/>
  <c r="CV70" i="2"/>
  <c r="CU70" i="2"/>
  <c r="CT70" i="2"/>
  <c r="CS70" i="2"/>
  <c r="CR70" i="2"/>
  <c r="CQ70" i="2"/>
  <c r="CP70" i="2"/>
  <c r="CN70" i="2"/>
  <c r="CO70" i="2" s="1"/>
  <c r="CM70" i="2"/>
  <c r="CL70" i="2"/>
  <c r="CK70" i="2"/>
  <c r="CJ70" i="2"/>
  <c r="CI70" i="2"/>
  <c r="CH70" i="2"/>
  <c r="CG70" i="2"/>
  <c r="CF70" i="2"/>
  <c r="CE70" i="2"/>
  <c r="CD70" i="2"/>
  <c r="CC70" i="2"/>
  <c r="CA70" i="2"/>
  <c r="CB70" i="2" s="1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A70" i="2"/>
  <c r="BB70" i="2" s="1"/>
  <c r="AZ70" i="2"/>
  <c r="AY70" i="2"/>
  <c r="AX70" i="2"/>
  <c r="AW70" i="2"/>
  <c r="AV70" i="2"/>
  <c r="AU70" i="2"/>
  <c r="AT70" i="2"/>
  <c r="AS70" i="2"/>
  <c r="AR70" i="2"/>
  <c r="AQ70" i="2"/>
  <c r="AP70" i="2"/>
  <c r="AN70" i="2"/>
  <c r="AO70" i="2" s="1"/>
  <c r="AM70" i="2"/>
  <c r="AL70" i="2"/>
  <c r="AK70" i="2"/>
  <c r="AJ70" i="2"/>
  <c r="AI70" i="2"/>
  <c r="AH70" i="2"/>
  <c r="AG70" i="2"/>
  <c r="AF70" i="2"/>
  <c r="AE70" i="2"/>
  <c r="AD70" i="2"/>
  <c r="AC70" i="2"/>
  <c r="AA70" i="2"/>
  <c r="AB70" i="2" s="1"/>
  <c r="Z70" i="2"/>
  <c r="Y70" i="2"/>
  <c r="X70" i="2"/>
  <c r="W70" i="2"/>
  <c r="V70" i="2"/>
  <c r="U70" i="2"/>
  <c r="T70" i="2"/>
  <c r="S70" i="2"/>
  <c r="R70" i="2"/>
  <c r="Q70" i="2"/>
  <c r="P70" i="2"/>
  <c r="N70" i="2"/>
  <c r="O70" i="2" s="1"/>
  <c r="M70" i="2"/>
  <c r="L70" i="2"/>
  <c r="K70" i="2"/>
  <c r="J70" i="2"/>
  <c r="I70" i="2"/>
  <c r="H70" i="2"/>
  <c r="G70" i="2"/>
  <c r="F70" i="2"/>
  <c r="E70" i="2"/>
  <c r="D70" i="2"/>
  <c r="C70" i="2"/>
  <c r="FI69" i="2"/>
  <c r="FO69" i="2" s="1"/>
  <c r="FH69" i="2"/>
  <c r="FG69" i="2"/>
  <c r="FF69" i="2"/>
  <c r="FE69" i="2"/>
  <c r="FD69" i="2"/>
  <c r="FC69" i="2"/>
  <c r="FA69" i="2"/>
  <c r="FB69" i="2" s="1"/>
  <c r="EZ69" i="2"/>
  <c r="EY69" i="2"/>
  <c r="EX69" i="2"/>
  <c r="EW69" i="2"/>
  <c r="EV69" i="2"/>
  <c r="EU69" i="2"/>
  <c r="ET69" i="2"/>
  <c r="ES69" i="2"/>
  <c r="ER69" i="2"/>
  <c r="EQ69" i="2"/>
  <c r="EP69" i="2"/>
  <c r="EN69" i="2"/>
  <c r="EO69" i="2" s="1"/>
  <c r="EM69" i="2"/>
  <c r="EL69" i="2"/>
  <c r="EK69" i="2"/>
  <c r="EJ69" i="2"/>
  <c r="EI69" i="2"/>
  <c r="EH69" i="2"/>
  <c r="EG69" i="2"/>
  <c r="EF69" i="2"/>
  <c r="EE69" i="2"/>
  <c r="ED69" i="2"/>
  <c r="EC69" i="2"/>
  <c r="EB69" i="2"/>
  <c r="EA69" i="2"/>
  <c r="DZ69" i="2"/>
  <c r="DY69" i="2"/>
  <c r="DX69" i="2"/>
  <c r="DW69" i="2"/>
  <c r="DV69" i="2"/>
  <c r="DU69" i="2"/>
  <c r="DT69" i="2"/>
  <c r="DS69" i="2"/>
  <c r="DR69" i="2"/>
  <c r="DQ69" i="2"/>
  <c r="DP69" i="2"/>
  <c r="DN69" i="2"/>
  <c r="DO69" i="2" s="1"/>
  <c r="DM69" i="2"/>
  <c r="DL69" i="2"/>
  <c r="DK69" i="2"/>
  <c r="DJ69" i="2"/>
  <c r="DI69" i="2"/>
  <c r="DH69" i="2"/>
  <c r="DG69" i="2"/>
  <c r="DF69" i="2"/>
  <c r="DE69" i="2"/>
  <c r="DD69" i="2"/>
  <c r="DC69" i="2"/>
  <c r="DA69" i="2"/>
  <c r="DB69" i="2" s="1"/>
  <c r="CZ69" i="2"/>
  <c r="CY69" i="2"/>
  <c r="CX69" i="2"/>
  <c r="CW69" i="2"/>
  <c r="CV69" i="2"/>
  <c r="CU69" i="2"/>
  <c r="CT69" i="2"/>
  <c r="CS69" i="2"/>
  <c r="CR69" i="2"/>
  <c r="CQ69" i="2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A69" i="2"/>
  <c r="CB69" i="2" s="1"/>
  <c r="BZ69" i="2"/>
  <c r="BY69" i="2"/>
  <c r="BX69" i="2"/>
  <c r="BW69" i="2"/>
  <c r="BV69" i="2"/>
  <c r="BU69" i="2"/>
  <c r="BT69" i="2"/>
  <c r="BS69" i="2"/>
  <c r="BR69" i="2"/>
  <c r="BQ69" i="2"/>
  <c r="BP69" i="2"/>
  <c r="BN69" i="2"/>
  <c r="BO69" i="2" s="1"/>
  <c r="BM69" i="2"/>
  <c r="BL69" i="2"/>
  <c r="BK69" i="2"/>
  <c r="BJ69" i="2"/>
  <c r="BI69" i="2"/>
  <c r="BH69" i="2"/>
  <c r="BG69" i="2"/>
  <c r="BF69" i="2"/>
  <c r="BE69" i="2"/>
  <c r="BD69" i="2"/>
  <c r="BC69" i="2"/>
  <c r="BA69" i="2"/>
  <c r="BB69" i="2" s="1"/>
  <c r="AZ69" i="2"/>
  <c r="AY69" i="2"/>
  <c r="AX69" i="2"/>
  <c r="AW69" i="2"/>
  <c r="AV69" i="2"/>
  <c r="AU69" i="2"/>
  <c r="AT69" i="2"/>
  <c r="AS69" i="2"/>
  <c r="AR69" i="2"/>
  <c r="AQ69" i="2"/>
  <c r="AP69" i="2"/>
  <c r="AN69" i="2"/>
  <c r="AO69" i="2" s="1"/>
  <c r="AM69" i="2"/>
  <c r="AL69" i="2"/>
  <c r="AK69" i="2"/>
  <c r="AJ69" i="2"/>
  <c r="AI69" i="2"/>
  <c r="AH69" i="2"/>
  <c r="AG69" i="2"/>
  <c r="AF69" i="2"/>
  <c r="AE69" i="2"/>
  <c r="AD69" i="2"/>
  <c r="AC69" i="2"/>
  <c r="AA69" i="2"/>
  <c r="AB69" i="2" s="1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FI68" i="2"/>
  <c r="FO68" i="2" s="1"/>
  <c r="FH68" i="2"/>
  <c r="FG68" i="2"/>
  <c r="FF68" i="2"/>
  <c r="FE68" i="2"/>
  <c r="FD68" i="2"/>
  <c r="FC68" i="2"/>
  <c r="FA68" i="2"/>
  <c r="FB68" i="2" s="1"/>
  <c r="EZ68" i="2"/>
  <c r="EY68" i="2"/>
  <c r="EX68" i="2"/>
  <c r="EW68" i="2"/>
  <c r="EV68" i="2"/>
  <c r="EU68" i="2"/>
  <c r="ET68" i="2"/>
  <c r="ES68" i="2"/>
  <c r="ER68" i="2"/>
  <c r="EQ68" i="2"/>
  <c r="EP68" i="2"/>
  <c r="EN68" i="2"/>
  <c r="EO68" i="2" s="1"/>
  <c r="EM68" i="2"/>
  <c r="EL68" i="2"/>
  <c r="EK68" i="2"/>
  <c r="EJ68" i="2"/>
  <c r="EI68" i="2"/>
  <c r="EH68" i="2"/>
  <c r="EG68" i="2"/>
  <c r="EF68" i="2"/>
  <c r="EE68" i="2"/>
  <c r="ED68" i="2"/>
  <c r="EC68" i="2"/>
  <c r="EA68" i="2"/>
  <c r="EB68" i="2" s="1"/>
  <c r="DZ68" i="2"/>
  <c r="DY68" i="2"/>
  <c r="DX68" i="2"/>
  <c r="DW68" i="2"/>
  <c r="DV68" i="2"/>
  <c r="DU68" i="2"/>
  <c r="DT68" i="2"/>
  <c r="DS68" i="2"/>
  <c r="DR68" i="2"/>
  <c r="DQ68" i="2"/>
  <c r="DP68" i="2"/>
  <c r="DO68" i="2"/>
  <c r="DN68" i="2"/>
  <c r="DM68" i="2"/>
  <c r="DL68" i="2"/>
  <c r="DK68" i="2"/>
  <c r="DJ68" i="2"/>
  <c r="DI68" i="2"/>
  <c r="DH68" i="2"/>
  <c r="DG68" i="2"/>
  <c r="DF68" i="2"/>
  <c r="DE68" i="2"/>
  <c r="DD68" i="2"/>
  <c r="DC68" i="2"/>
  <c r="DA68" i="2"/>
  <c r="DB68" i="2" s="1"/>
  <c r="CZ68" i="2"/>
  <c r="CY68" i="2"/>
  <c r="CX68" i="2"/>
  <c r="CW68" i="2"/>
  <c r="CV68" i="2"/>
  <c r="CU68" i="2"/>
  <c r="CT68" i="2"/>
  <c r="CS68" i="2"/>
  <c r="CR68" i="2"/>
  <c r="CQ68" i="2"/>
  <c r="CP68" i="2"/>
  <c r="CN68" i="2"/>
  <c r="CO68" i="2" s="1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N68" i="2"/>
  <c r="BO68" i="2" s="1"/>
  <c r="BM68" i="2"/>
  <c r="BL68" i="2"/>
  <c r="BK68" i="2"/>
  <c r="BJ68" i="2"/>
  <c r="BI68" i="2"/>
  <c r="BH68" i="2"/>
  <c r="BG68" i="2"/>
  <c r="BF68" i="2"/>
  <c r="BE68" i="2"/>
  <c r="BD68" i="2"/>
  <c r="BC68" i="2"/>
  <c r="BA68" i="2"/>
  <c r="BB68" i="2" s="1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A68" i="2"/>
  <c r="AB68" i="2" s="1"/>
  <c r="Z68" i="2"/>
  <c r="Y68" i="2"/>
  <c r="X68" i="2"/>
  <c r="W68" i="2"/>
  <c r="V68" i="2"/>
  <c r="U68" i="2"/>
  <c r="T68" i="2"/>
  <c r="S68" i="2"/>
  <c r="R68" i="2"/>
  <c r="Q68" i="2"/>
  <c r="P68" i="2"/>
  <c r="N68" i="2"/>
  <c r="O68" i="2" s="1"/>
  <c r="M68" i="2"/>
  <c r="L68" i="2"/>
  <c r="K68" i="2"/>
  <c r="J68" i="2"/>
  <c r="I68" i="2"/>
  <c r="H68" i="2"/>
  <c r="G68" i="2"/>
  <c r="F68" i="2"/>
  <c r="E68" i="2"/>
  <c r="D68" i="2"/>
  <c r="C68" i="2"/>
  <c r="FI67" i="2"/>
  <c r="FO67" i="2" s="1"/>
  <c r="FH67" i="2"/>
  <c r="FG67" i="2"/>
  <c r="FF67" i="2"/>
  <c r="FE67" i="2"/>
  <c r="FD67" i="2"/>
  <c r="FC67" i="2"/>
  <c r="FA67" i="2"/>
  <c r="FB67" i="2" s="1"/>
  <c r="EZ67" i="2"/>
  <c r="EY67" i="2"/>
  <c r="EX67" i="2"/>
  <c r="EW67" i="2"/>
  <c r="EV67" i="2"/>
  <c r="EU67" i="2"/>
  <c r="ET67" i="2"/>
  <c r="ES67" i="2"/>
  <c r="ER67" i="2"/>
  <c r="EQ67" i="2"/>
  <c r="EP67" i="2"/>
  <c r="EN67" i="2"/>
  <c r="EO67" i="2" s="1"/>
  <c r="EM67" i="2"/>
  <c r="EL67" i="2"/>
  <c r="EK67" i="2"/>
  <c r="EJ67" i="2"/>
  <c r="EI67" i="2"/>
  <c r="EH67" i="2"/>
  <c r="EG67" i="2"/>
  <c r="EF67" i="2"/>
  <c r="EE67" i="2"/>
  <c r="ED67" i="2"/>
  <c r="EC67" i="2"/>
  <c r="EA67" i="2"/>
  <c r="EB67" i="2" s="1"/>
  <c r="DZ67" i="2"/>
  <c r="DY67" i="2"/>
  <c r="DX67" i="2"/>
  <c r="DW67" i="2"/>
  <c r="DV67" i="2"/>
  <c r="DU67" i="2"/>
  <c r="DT67" i="2"/>
  <c r="DS67" i="2"/>
  <c r="DR67" i="2"/>
  <c r="DQ67" i="2"/>
  <c r="DP67" i="2"/>
  <c r="DO67" i="2"/>
  <c r="DN67" i="2"/>
  <c r="DM67" i="2"/>
  <c r="DL67" i="2"/>
  <c r="DK67" i="2"/>
  <c r="DJ67" i="2"/>
  <c r="DI67" i="2"/>
  <c r="DH67" i="2"/>
  <c r="DG67" i="2"/>
  <c r="DF67" i="2"/>
  <c r="DE67" i="2"/>
  <c r="DD67" i="2"/>
  <c r="DC67" i="2"/>
  <c r="DA67" i="2"/>
  <c r="DB67" i="2" s="1"/>
  <c r="CZ67" i="2"/>
  <c r="CY67" i="2"/>
  <c r="CX67" i="2"/>
  <c r="CW67" i="2"/>
  <c r="CV67" i="2"/>
  <c r="CU67" i="2"/>
  <c r="CT67" i="2"/>
  <c r="CS67" i="2"/>
  <c r="CR67" i="2"/>
  <c r="CQ67" i="2"/>
  <c r="CP67" i="2"/>
  <c r="CN67" i="2"/>
  <c r="CO67" i="2" s="1"/>
  <c r="CM67" i="2"/>
  <c r="CL67" i="2"/>
  <c r="CK67" i="2"/>
  <c r="CJ67" i="2"/>
  <c r="CI67" i="2"/>
  <c r="CH67" i="2"/>
  <c r="CG67" i="2"/>
  <c r="CF67" i="2"/>
  <c r="CE67" i="2"/>
  <c r="CD67" i="2"/>
  <c r="CC67" i="2"/>
  <c r="CA67" i="2"/>
  <c r="CB67" i="2" s="1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A67" i="2"/>
  <c r="BB67" i="2" s="1"/>
  <c r="AZ67" i="2"/>
  <c r="AY67" i="2"/>
  <c r="AX67" i="2"/>
  <c r="AW67" i="2"/>
  <c r="AV67" i="2"/>
  <c r="AU67" i="2"/>
  <c r="AT67" i="2"/>
  <c r="AS67" i="2"/>
  <c r="AR67" i="2"/>
  <c r="AQ67" i="2"/>
  <c r="AP67" i="2"/>
  <c r="AN67" i="2"/>
  <c r="AO67" i="2" s="1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N67" i="2"/>
  <c r="O67" i="2" s="1"/>
  <c r="M67" i="2"/>
  <c r="L67" i="2"/>
  <c r="K67" i="2"/>
  <c r="J67" i="2"/>
  <c r="I67" i="2"/>
  <c r="H67" i="2"/>
  <c r="G67" i="2"/>
  <c r="F67" i="2"/>
  <c r="E67" i="2"/>
  <c r="D67" i="2"/>
  <c r="C67" i="2"/>
  <c r="FO66" i="2"/>
  <c r="FI66" i="2"/>
  <c r="FH66" i="2"/>
  <c r="FG66" i="2"/>
  <c r="FF66" i="2"/>
  <c r="FE66" i="2"/>
  <c r="FD66" i="2"/>
  <c r="FC66" i="2"/>
  <c r="FA66" i="2"/>
  <c r="FB66" i="2" s="1"/>
  <c r="EZ66" i="2"/>
  <c r="EY66" i="2"/>
  <c r="EX66" i="2"/>
  <c r="EW66" i="2"/>
  <c r="EV66" i="2"/>
  <c r="EU66" i="2"/>
  <c r="ET66" i="2"/>
  <c r="ES66" i="2"/>
  <c r="ER66" i="2"/>
  <c r="EQ66" i="2"/>
  <c r="EP66" i="2"/>
  <c r="EN66" i="2"/>
  <c r="EO66" i="2" s="1"/>
  <c r="EM66" i="2"/>
  <c r="EL66" i="2"/>
  <c r="EK66" i="2"/>
  <c r="EJ66" i="2"/>
  <c r="EI66" i="2"/>
  <c r="EH66" i="2"/>
  <c r="EG66" i="2"/>
  <c r="EF66" i="2"/>
  <c r="EE66" i="2"/>
  <c r="ED66" i="2"/>
  <c r="EC66" i="2"/>
  <c r="EB66" i="2"/>
  <c r="EA66" i="2"/>
  <c r="DZ66" i="2"/>
  <c r="DY66" i="2"/>
  <c r="DX66" i="2"/>
  <c r="DW66" i="2"/>
  <c r="DV66" i="2"/>
  <c r="DU66" i="2"/>
  <c r="DT66" i="2"/>
  <c r="DS66" i="2"/>
  <c r="DR66" i="2"/>
  <c r="DQ66" i="2"/>
  <c r="DP66" i="2"/>
  <c r="DN66" i="2"/>
  <c r="DO66" i="2" s="1"/>
  <c r="DM66" i="2"/>
  <c r="DL66" i="2"/>
  <c r="DK66" i="2"/>
  <c r="DJ66" i="2"/>
  <c r="DI66" i="2"/>
  <c r="DH66" i="2"/>
  <c r="DG66" i="2"/>
  <c r="DF66" i="2"/>
  <c r="DE66" i="2"/>
  <c r="DD66" i="2"/>
  <c r="DC66" i="2"/>
  <c r="DA66" i="2"/>
  <c r="DB66" i="2" s="1"/>
  <c r="CZ66" i="2"/>
  <c r="CY66" i="2"/>
  <c r="CX66" i="2"/>
  <c r="CW66" i="2"/>
  <c r="CV66" i="2"/>
  <c r="CU66" i="2"/>
  <c r="CT66" i="2"/>
  <c r="CS66" i="2"/>
  <c r="CR66" i="2"/>
  <c r="CQ66" i="2"/>
  <c r="CP66" i="2"/>
  <c r="CN66" i="2"/>
  <c r="CO66" i="2" s="1"/>
  <c r="CM66" i="2"/>
  <c r="CL66" i="2"/>
  <c r="CK66" i="2"/>
  <c r="CJ66" i="2"/>
  <c r="CI66" i="2"/>
  <c r="CH66" i="2"/>
  <c r="CG66" i="2"/>
  <c r="CF66" i="2"/>
  <c r="CE66" i="2"/>
  <c r="CD66" i="2"/>
  <c r="CC66" i="2"/>
  <c r="CA66" i="2"/>
  <c r="CB66" i="2" s="1"/>
  <c r="BZ66" i="2"/>
  <c r="BY66" i="2"/>
  <c r="BX66" i="2"/>
  <c r="BW66" i="2"/>
  <c r="BV66" i="2"/>
  <c r="BU66" i="2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N66" i="2"/>
  <c r="AO66" i="2" s="1"/>
  <c r="AM66" i="2"/>
  <c r="AL66" i="2"/>
  <c r="AK66" i="2"/>
  <c r="AJ66" i="2"/>
  <c r="AI66" i="2"/>
  <c r="AH66" i="2"/>
  <c r="AG66" i="2"/>
  <c r="AF66" i="2"/>
  <c r="AE66" i="2"/>
  <c r="AD66" i="2"/>
  <c r="AC66" i="2"/>
  <c r="AA66" i="2"/>
  <c r="AB66" i="2" s="1"/>
  <c r="Z66" i="2"/>
  <c r="Y66" i="2"/>
  <c r="X66" i="2"/>
  <c r="W66" i="2"/>
  <c r="V66" i="2"/>
  <c r="U66" i="2"/>
  <c r="T66" i="2"/>
  <c r="S66" i="2"/>
  <c r="R66" i="2"/>
  <c r="Q66" i="2"/>
  <c r="P66" i="2"/>
  <c r="N66" i="2"/>
  <c r="O66" i="2" s="1"/>
  <c r="M66" i="2"/>
  <c r="L66" i="2"/>
  <c r="K66" i="2"/>
  <c r="J66" i="2"/>
  <c r="I66" i="2"/>
  <c r="H66" i="2"/>
  <c r="G66" i="2"/>
  <c r="F66" i="2"/>
  <c r="E66" i="2"/>
  <c r="D66" i="2"/>
  <c r="C66" i="2"/>
  <c r="FI65" i="2"/>
  <c r="FO65" i="2" s="1"/>
  <c r="FH65" i="2"/>
  <c r="FG65" i="2"/>
  <c r="FF65" i="2"/>
  <c r="FE65" i="2"/>
  <c r="FD65" i="2"/>
  <c r="FC65" i="2"/>
  <c r="FA65" i="2"/>
  <c r="FB65" i="2" s="1"/>
  <c r="EZ65" i="2"/>
  <c r="EY65" i="2"/>
  <c r="EX65" i="2"/>
  <c r="EW65" i="2"/>
  <c r="EV65" i="2"/>
  <c r="EU65" i="2"/>
  <c r="ET65" i="2"/>
  <c r="ES65" i="2"/>
  <c r="ER65" i="2"/>
  <c r="EQ65" i="2"/>
  <c r="EP65" i="2"/>
  <c r="EN65" i="2"/>
  <c r="EO65" i="2" s="1"/>
  <c r="EM65" i="2"/>
  <c r="EL65" i="2"/>
  <c r="EK65" i="2"/>
  <c r="EJ65" i="2"/>
  <c r="EI65" i="2"/>
  <c r="EH65" i="2"/>
  <c r="EG65" i="2"/>
  <c r="EF65" i="2"/>
  <c r="EE65" i="2"/>
  <c r="ED65" i="2"/>
  <c r="EC65" i="2"/>
  <c r="EA65" i="2"/>
  <c r="EB65" i="2" s="1"/>
  <c r="DZ65" i="2"/>
  <c r="DY65" i="2"/>
  <c r="DX65" i="2"/>
  <c r="DW65" i="2"/>
  <c r="DV65" i="2"/>
  <c r="DU65" i="2"/>
  <c r="DT65" i="2"/>
  <c r="DS65" i="2"/>
  <c r="DR65" i="2"/>
  <c r="DQ65" i="2"/>
  <c r="DP65" i="2"/>
  <c r="DN65" i="2"/>
  <c r="DO65" i="2" s="1"/>
  <c r="DM65" i="2"/>
  <c r="DL65" i="2"/>
  <c r="DK65" i="2"/>
  <c r="DJ65" i="2"/>
  <c r="DI65" i="2"/>
  <c r="DH65" i="2"/>
  <c r="DG65" i="2"/>
  <c r="DF65" i="2"/>
  <c r="DE65" i="2"/>
  <c r="DD65" i="2"/>
  <c r="DC65" i="2"/>
  <c r="DA65" i="2"/>
  <c r="DB65" i="2" s="1"/>
  <c r="CZ65" i="2"/>
  <c r="CY65" i="2"/>
  <c r="CX65" i="2"/>
  <c r="CW65" i="2"/>
  <c r="CV65" i="2"/>
  <c r="CU65" i="2"/>
  <c r="CT65" i="2"/>
  <c r="CS65" i="2"/>
  <c r="CR65" i="2"/>
  <c r="CQ65" i="2"/>
  <c r="CP65" i="2"/>
  <c r="CN65" i="2"/>
  <c r="CO65" i="2" s="1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V65" i="2"/>
  <c r="BU65" i="2"/>
  <c r="BT65" i="2"/>
  <c r="BS65" i="2"/>
  <c r="BR65" i="2"/>
  <c r="BQ65" i="2"/>
  <c r="BP65" i="2"/>
  <c r="BN65" i="2"/>
  <c r="BO65" i="2" s="1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N65" i="2"/>
  <c r="AO65" i="2" s="1"/>
  <c r="AM65" i="2"/>
  <c r="AL65" i="2"/>
  <c r="AK65" i="2"/>
  <c r="AJ65" i="2"/>
  <c r="AI65" i="2"/>
  <c r="AH65" i="2"/>
  <c r="AG65" i="2"/>
  <c r="AF65" i="2"/>
  <c r="AE65" i="2"/>
  <c r="AD65" i="2"/>
  <c r="AC65" i="2"/>
  <c r="AA65" i="2"/>
  <c r="AB65" i="2" s="1"/>
  <c r="Z65" i="2"/>
  <c r="Y65" i="2"/>
  <c r="X65" i="2"/>
  <c r="W65" i="2"/>
  <c r="V65" i="2"/>
  <c r="U65" i="2"/>
  <c r="T65" i="2"/>
  <c r="S65" i="2"/>
  <c r="R65" i="2"/>
  <c r="Q65" i="2"/>
  <c r="P65" i="2"/>
  <c r="N65" i="2"/>
  <c r="O65" i="2" s="1"/>
  <c r="M65" i="2"/>
  <c r="L65" i="2"/>
  <c r="K65" i="2"/>
  <c r="J65" i="2"/>
  <c r="I65" i="2"/>
  <c r="H65" i="2"/>
  <c r="G65" i="2"/>
  <c r="F65" i="2"/>
  <c r="E65" i="2"/>
  <c r="D65" i="2"/>
  <c r="C65" i="2"/>
  <c r="FO64" i="2"/>
  <c r="FI64" i="2"/>
  <c r="FH64" i="2"/>
  <c r="FG64" i="2"/>
  <c r="FF64" i="2"/>
  <c r="FE64" i="2"/>
  <c r="FD64" i="2"/>
  <c r="FC64" i="2"/>
  <c r="FA64" i="2"/>
  <c r="FB64" i="2" s="1"/>
  <c r="EZ64" i="2"/>
  <c r="EY64" i="2"/>
  <c r="EX64" i="2"/>
  <c r="EW64" i="2"/>
  <c r="EV64" i="2"/>
  <c r="EU64" i="2"/>
  <c r="ET64" i="2"/>
  <c r="ES64" i="2"/>
  <c r="ER64" i="2"/>
  <c r="EQ64" i="2"/>
  <c r="EP64" i="2"/>
  <c r="EO64" i="2"/>
  <c r="EN64" i="2"/>
  <c r="EM64" i="2"/>
  <c r="EL64" i="2"/>
  <c r="EK64" i="2"/>
  <c r="EJ64" i="2"/>
  <c r="EI64" i="2"/>
  <c r="EH64" i="2"/>
  <c r="EG64" i="2"/>
  <c r="EF64" i="2"/>
  <c r="EE64" i="2"/>
  <c r="ED64" i="2"/>
  <c r="EC64" i="2"/>
  <c r="EA64" i="2"/>
  <c r="EB64" i="2" s="1"/>
  <c r="DZ64" i="2"/>
  <c r="DY64" i="2"/>
  <c r="DX64" i="2"/>
  <c r="DW64" i="2"/>
  <c r="DV64" i="2"/>
  <c r="DU64" i="2"/>
  <c r="DT64" i="2"/>
  <c r="DS64" i="2"/>
  <c r="DR64" i="2"/>
  <c r="DQ64" i="2"/>
  <c r="DP64" i="2"/>
  <c r="DN64" i="2"/>
  <c r="DO64" i="2" s="1"/>
  <c r="DM64" i="2"/>
  <c r="DL64" i="2"/>
  <c r="DK64" i="2"/>
  <c r="DJ64" i="2"/>
  <c r="DI64" i="2"/>
  <c r="DH64" i="2"/>
  <c r="DG64" i="2"/>
  <c r="DF64" i="2"/>
  <c r="DE64" i="2"/>
  <c r="DD64" i="2"/>
  <c r="DC64" i="2"/>
  <c r="DA64" i="2"/>
  <c r="DB64" i="2" s="1"/>
  <c r="CZ64" i="2"/>
  <c r="CY64" i="2"/>
  <c r="CX64" i="2"/>
  <c r="CW64" i="2"/>
  <c r="CV64" i="2"/>
  <c r="CU64" i="2"/>
  <c r="CT64" i="2"/>
  <c r="CS64" i="2"/>
  <c r="CR64" i="2"/>
  <c r="CQ64" i="2"/>
  <c r="CP64" i="2"/>
  <c r="CN64" i="2"/>
  <c r="CO64" i="2" s="1"/>
  <c r="CM64" i="2"/>
  <c r="CL64" i="2"/>
  <c r="CK64" i="2"/>
  <c r="CJ64" i="2"/>
  <c r="CI64" i="2"/>
  <c r="CH64" i="2"/>
  <c r="CG64" i="2"/>
  <c r="CF64" i="2"/>
  <c r="CE64" i="2"/>
  <c r="CD64" i="2"/>
  <c r="CC64" i="2"/>
  <c r="CA64" i="2"/>
  <c r="CB64" i="2" s="1"/>
  <c r="BZ64" i="2"/>
  <c r="BY64" i="2"/>
  <c r="BX64" i="2"/>
  <c r="BW64" i="2"/>
  <c r="BV64" i="2"/>
  <c r="BU64" i="2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A64" i="2"/>
  <c r="BB64" i="2" s="1"/>
  <c r="AZ64" i="2"/>
  <c r="AY64" i="2"/>
  <c r="AX64" i="2"/>
  <c r="AW64" i="2"/>
  <c r="AV64" i="2"/>
  <c r="AU64" i="2"/>
  <c r="AT64" i="2"/>
  <c r="AS64" i="2"/>
  <c r="AR64" i="2"/>
  <c r="AQ64" i="2"/>
  <c r="AP64" i="2"/>
  <c r="AN64" i="2"/>
  <c r="AO64" i="2" s="1"/>
  <c r="AM64" i="2"/>
  <c r="AL64" i="2"/>
  <c r="AK64" i="2"/>
  <c r="AJ64" i="2"/>
  <c r="AI64" i="2"/>
  <c r="AH64" i="2"/>
  <c r="AG64" i="2"/>
  <c r="AF64" i="2"/>
  <c r="AE64" i="2"/>
  <c r="AD64" i="2"/>
  <c r="AC64" i="2"/>
  <c r="AA64" i="2"/>
  <c r="AB64" i="2" s="1"/>
  <c r="Z64" i="2"/>
  <c r="Y64" i="2"/>
  <c r="X64" i="2"/>
  <c r="W64" i="2"/>
  <c r="V64" i="2"/>
  <c r="U64" i="2"/>
  <c r="T64" i="2"/>
  <c r="S64" i="2"/>
  <c r="R64" i="2"/>
  <c r="Q64" i="2"/>
  <c r="P64" i="2"/>
  <c r="N64" i="2"/>
  <c r="O64" i="2" s="1"/>
  <c r="M64" i="2"/>
  <c r="L64" i="2"/>
  <c r="K64" i="2"/>
  <c r="J64" i="2"/>
  <c r="I64" i="2"/>
  <c r="H64" i="2"/>
  <c r="G64" i="2"/>
  <c r="F64" i="2"/>
  <c r="E64" i="2"/>
  <c r="D64" i="2"/>
  <c r="C64" i="2"/>
  <c r="FO63" i="2"/>
  <c r="FI63" i="2"/>
  <c r="FH63" i="2"/>
  <c r="FG63" i="2"/>
  <c r="FF63" i="2"/>
  <c r="FE63" i="2"/>
  <c r="FD63" i="2"/>
  <c r="FC63" i="2"/>
  <c r="FA63" i="2"/>
  <c r="FB63" i="2" s="1"/>
  <c r="EZ63" i="2"/>
  <c r="EY63" i="2"/>
  <c r="EX63" i="2"/>
  <c r="EW63" i="2"/>
  <c r="EV63" i="2"/>
  <c r="EU63" i="2"/>
  <c r="ET63" i="2"/>
  <c r="ES63" i="2"/>
  <c r="ER63" i="2"/>
  <c r="EQ63" i="2"/>
  <c r="EP63" i="2"/>
  <c r="EN63" i="2"/>
  <c r="EO63" i="2" s="1"/>
  <c r="EM63" i="2"/>
  <c r="EL63" i="2"/>
  <c r="EK63" i="2"/>
  <c r="EJ63" i="2"/>
  <c r="EI63" i="2"/>
  <c r="EH63" i="2"/>
  <c r="EG63" i="2"/>
  <c r="EF63" i="2"/>
  <c r="EE63" i="2"/>
  <c r="ED63" i="2"/>
  <c r="EC63" i="2"/>
  <c r="EA63" i="2"/>
  <c r="EB63" i="2" s="1"/>
  <c r="DZ63" i="2"/>
  <c r="DY63" i="2"/>
  <c r="DX63" i="2"/>
  <c r="DW63" i="2"/>
  <c r="DV63" i="2"/>
  <c r="DU63" i="2"/>
  <c r="DT63" i="2"/>
  <c r="DS63" i="2"/>
  <c r="DR63" i="2"/>
  <c r="DQ63" i="2"/>
  <c r="DP63" i="2"/>
  <c r="DN63" i="2"/>
  <c r="DO63" i="2" s="1"/>
  <c r="DM63" i="2"/>
  <c r="DL63" i="2"/>
  <c r="DK63" i="2"/>
  <c r="DJ63" i="2"/>
  <c r="DI63" i="2"/>
  <c r="DH63" i="2"/>
  <c r="DG63" i="2"/>
  <c r="DF63" i="2"/>
  <c r="DE63" i="2"/>
  <c r="DD63" i="2"/>
  <c r="DC63" i="2"/>
  <c r="DA63" i="2"/>
  <c r="DB63" i="2" s="1"/>
  <c r="CZ63" i="2"/>
  <c r="CY63" i="2"/>
  <c r="CX63" i="2"/>
  <c r="CW63" i="2"/>
  <c r="CV63" i="2"/>
  <c r="CU63" i="2"/>
  <c r="CT63" i="2"/>
  <c r="CS63" i="2"/>
  <c r="CR63" i="2"/>
  <c r="CQ63" i="2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A63" i="2"/>
  <c r="CB63" i="2" s="1"/>
  <c r="BZ63" i="2"/>
  <c r="BY63" i="2"/>
  <c r="BX63" i="2"/>
  <c r="BW63" i="2"/>
  <c r="BV63" i="2"/>
  <c r="BU63" i="2"/>
  <c r="BT63" i="2"/>
  <c r="BS63" i="2"/>
  <c r="BR63" i="2"/>
  <c r="BQ63" i="2"/>
  <c r="BP63" i="2"/>
  <c r="BN63" i="2"/>
  <c r="BO63" i="2" s="1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N63" i="2"/>
  <c r="AO63" i="2" s="1"/>
  <c r="AM63" i="2"/>
  <c r="AL63" i="2"/>
  <c r="AK63" i="2"/>
  <c r="AJ63" i="2"/>
  <c r="AI63" i="2"/>
  <c r="AH63" i="2"/>
  <c r="AG63" i="2"/>
  <c r="AF63" i="2"/>
  <c r="AE63" i="2"/>
  <c r="AD63" i="2"/>
  <c r="AC63" i="2"/>
  <c r="AA63" i="2"/>
  <c r="AB63" i="2" s="1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FI62" i="2"/>
  <c r="FO62" i="2" s="1"/>
  <c r="FH62" i="2"/>
  <c r="FG62" i="2"/>
  <c r="FF62" i="2"/>
  <c r="FE62" i="2"/>
  <c r="FD62" i="2"/>
  <c r="FC62" i="2"/>
  <c r="FA62" i="2"/>
  <c r="FB62" i="2" s="1"/>
  <c r="EZ62" i="2"/>
  <c r="EY62" i="2"/>
  <c r="EX62" i="2"/>
  <c r="EW62" i="2"/>
  <c r="EV62" i="2"/>
  <c r="EU62" i="2"/>
  <c r="ET62" i="2"/>
  <c r="ES62" i="2"/>
  <c r="ER62" i="2"/>
  <c r="EQ62" i="2"/>
  <c r="EP62" i="2"/>
  <c r="EN62" i="2"/>
  <c r="EO62" i="2" s="1"/>
  <c r="EM62" i="2"/>
  <c r="EL62" i="2"/>
  <c r="EK62" i="2"/>
  <c r="EJ62" i="2"/>
  <c r="EI62" i="2"/>
  <c r="EH62" i="2"/>
  <c r="EG62" i="2"/>
  <c r="EF62" i="2"/>
  <c r="EE62" i="2"/>
  <c r="ED62" i="2"/>
  <c r="EC62" i="2"/>
  <c r="EA62" i="2"/>
  <c r="EB62" i="2" s="1"/>
  <c r="DZ62" i="2"/>
  <c r="DY62" i="2"/>
  <c r="DX62" i="2"/>
  <c r="DW62" i="2"/>
  <c r="DV62" i="2"/>
  <c r="DU62" i="2"/>
  <c r="DT62" i="2"/>
  <c r="DS62" i="2"/>
  <c r="DR62" i="2"/>
  <c r="DQ62" i="2"/>
  <c r="DP62" i="2"/>
  <c r="DO62" i="2"/>
  <c r="DN62" i="2"/>
  <c r="DM62" i="2"/>
  <c r="DL62" i="2"/>
  <c r="DK62" i="2"/>
  <c r="DJ62" i="2"/>
  <c r="DI62" i="2"/>
  <c r="DH62" i="2"/>
  <c r="DG62" i="2"/>
  <c r="DF62" i="2"/>
  <c r="DE62" i="2"/>
  <c r="DD62" i="2"/>
  <c r="DC62" i="2"/>
  <c r="DA62" i="2"/>
  <c r="DB62" i="2" s="1"/>
  <c r="CZ62" i="2"/>
  <c r="CY62" i="2"/>
  <c r="CX62" i="2"/>
  <c r="CW62" i="2"/>
  <c r="CV62" i="2"/>
  <c r="CU62" i="2"/>
  <c r="CT62" i="2"/>
  <c r="CS62" i="2"/>
  <c r="CR62" i="2"/>
  <c r="CQ62" i="2"/>
  <c r="CP62" i="2"/>
  <c r="CN62" i="2"/>
  <c r="CO62" i="2" s="1"/>
  <c r="CM62" i="2"/>
  <c r="CL62" i="2"/>
  <c r="CK62" i="2"/>
  <c r="CJ62" i="2"/>
  <c r="CI62" i="2"/>
  <c r="CH62" i="2"/>
  <c r="CG62" i="2"/>
  <c r="CF62" i="2"/>
  <c r="CE62" i="2"/>
  <c r="CD62" i="2"/>
  <c r="CC62" i="2"/>
  <c r="CA62" i="2"/>
  <c r="CB62" i="2" s="1"/>
  <c r="BZ62" i="2"/>
  <c r="BY62" i="2"/>
  <c r="BX62" i="2"/>
  <c r="BW62" i="2"/>
  <c r="BV62" i="2"/>
  <c r="BU62" i="2"/>
  <c r="BT62" i="2"/>
  <c r="BS62" i="2"/>
  <c r="BR62" i="2"/>
  <c r="BQ62" i="2"/>
  <c r="BP62" i="2"/>
  <c r="BN62" i="2"/>
  <c r="BO62" i="2" s="1"/>
  <c r="BM62" i="2"/>
  <c r="BL62" i="2"/>
  <c r="BK62" i="2"/>
  <c r="BJ62" i="2"/>
  <c r="BI62" i="2"/>
  <c r="BH62" i="2"/>
  <c r="BG62" i="2"/>
  <c r="BF62" i="2"/>
  <c r="BE62" i="2"/>
  <c r="BD62" i="2"/>
  <c r="BC62" i="2"/>
  <c r="BA62" i="2"/>
  <c r="BB62" i="2" s="1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A62" i="2"/>
  <c r="AB62" i="2" s="1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FI61" i="2"/>
  <c r="FO61" i="2" s="1"/>
  <c r="FH61" i="2"/>
  <c r="FG61" i="2"/>
  <c r="FF61" i="2"/>
  <c r="FE61" i="2"/>
  <c r="FD61" i="2"/>
  <c r="FC61" i="2"/>
  <c r="FA61" i="2"/>
  <c r="FB61" i="2" s="1"/>
  <c r="EZ61" i="2"/>
  <c r="EY61" i="2"/>
  <c r="EX61" i="2"/>
  <c r="EW61" i="2"/>
  <c r="EV61" i="2"/>
  <c r="EU61" i="2"/>
  <c r="ET61" i="2"/>
  <c r="ES61" i="2"/>
  <c r="ER61" i="2"/>
  <c r="EQ61" i="2"/>
  <c r="EP61" i="2"/>
  <c r="EO61" i="2"/>
  <c r="EN61" i="2"/>
  <c r="EM61" i="2"/>
  <c r="EL61" i="2"/>
  <c r="EK61" i="2"/>
  <c r="EJ61" i="2"/>
  <c r="EI61" i="2"/>
  <c r="EH61" i="2"/>
  <c r="EG61" i="2"/>
  <c r="EF61" i="2"/>
  <c r="EE61" i="2"/>
  <c r="ED61" i="2"/>
  <c r="EC61" i="2"/>
  <c r="EA61" i="2"/>
  <c r="EB61" i="2" s="1"/>
  <c r="DZ61" i="2"/>
  <c r="DY61" i="2"/>
  <c r="DX61" i="2"/>
  <c r="DW61" i="2"/>
  <c r="DV61" i="2"/>
  <c r="DU61" i="2"/>
  <c r="DT61" i="2"/>
  <c r="DS61" i="2"/>
  <c r="DR61" i="2"/>
  <c r="DQ61" i="2"/>
  <c r="DP61" i="2"/>
  <c r="DN61" i="2"/>
  <c r="DO61" i="2" s="1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N61" i="2"/>
  <c r="CO61" i="2" s="1"/>
  <c r="CM61" i="2"/>
  <c r="CL61" i="2"/>
  <c r="CK61" i="2"/>
  <c r="CJ61" i="2"/>
  <c r="CI61" i="2"/>
  <c r="CH61" i="2"/>
  <c r="CG61" i="2"/>
  <c r="CF61" i="2"/>
  <c r="CE61" i="2"/>
  <c r="CD61" i="2"/>
  <c r="CC61" i="2"/>
  <c r="CA61" i="2"/>
  <c r="CB61" i="2" s="1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A61" i="2"/>
  <c r="BB61" i="2" s="1"/>
  <c r="AZ61" i="2"/>
  <c r="AY61" i="2"/>
  <c r="AX61" i="2"/>
  <c r="AW61" i="2"/>
  <c r="AV61" i="2"/>
  <c r="AU61" i="2"/>
  <c r="AT61" i="2"/>
  <c r="AS61" i="2"/>
  <c r="AR61" i="2"/>
  <c r="AQ61" i="2"/>
  <c r="AP61" i="2"/>
  <c r="AN61" i="2"/>
  <c r="AO61" i="2" s="1"/>
  <c r="AM61" i="2"/>
  <c r="AL61" i="2"/>
  <c r="AK61" i="2"/>
  <c r="AJ61" i="2"/>
  <c r="AI61" i="2"/>
  <c r="AH61" i="2"/>
  <c r="AG61" i="2"/>
  <c r="AF61" i="2"/>
  <c r="AE61" i="2"/>
  <c r="AD61" i="2"/>
  <c r="AC61" i="2"/>
  <c r="AA61" i="2"/>
  <c r="AB61" i="2" s="1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FI60" i="2"/>
  <c r="FO60" i="2" s="1"/>
  <c r="FH60" i="2"/>
  <c r="FG60" i="2"/>
  <c r="FF60" i="2"/>
  <c r="FE60" i="2"/>
  <c r="FD60" i="2"/>
  <c r="FC60" i="2"/>
  <c r="FA60" i="2"/>
  <c r="FB60" i="2" s="1"/>
  <c r="EZ60" i="2"/>
  <c r="EY60" i="2"/>
  <c r="EX60" i="2"/>
  <c r="EW60" i="2"/>
  <c r="EV60" i="2"/>
  <c r="EU60" i="2"/>
  <c r="ET60" i="2"/>
  <c r="ES60" i="2"/>
  <c r="ER60" i="2"/>
  <c r="EQ60" i="2"/>
  <c r="EP60" i="2"/>
  <c r="EO60" i="2"/>
  <c r="EN60" i="2"/>
  <c r="EM60" i="2"/>
  <c r="EL60" i="2"/>
  <c r="EK60" i="2"/>
  <c r="EJ60" i="2"/>
  <c r="EI60" i="2"/>
  <c r="EH60" i="2"/>
  <c r="EG60" i="2"/>
  <c r="EF60" i="2"/>
  <c r="EE60" i="2"/>
  <c r="ED60" i="2"/>
  <c r="EC60" i="2"/>
  <c r="EB60" i="2"/>
  <c r="EA60" i="2"/>
  <c r="DZ60" i="2"/>
  <c r="DY60" i="2"/>
  <c r="DX60" i="2"/>
  <c r="DW60" i="2"/>
  <c r="DV60" i="2"/>
  <c r="DU60" i="2"/>
  <c r="DT60" i="2"/>
  <c r="DS60" i="2"/>
  <c r="DR60" i="2"/>
  <c r="DQ60" i="2"/>
  <c r="DP60" i="2"/>
  <c r="DN60" i="2"/>
  <c r="DO60" i="2" s="1"/>
  <c r="DM60" i="2"/>
  <c r="DL60" i="2"/>
  <c r="DK60" i="2"/>
  <c r="DJ60" i="2"/>
  <c r="DI60" i="2"/>
  <c r="DH60" i="2"/>
  <c r="DG60" i="2"/>
  <c r="DF60" i="2"/>
  <c r="DE60" i="2"/>
  <c r="DD60" i="2"/>
  <c r="DC60" i="2"/>
  <c r="DA60" i="2"/>
  <c r="DB60" i="2" s="1"/>
  <c r="CZ60" i="2"/>
  <c r="CY60" i="2"/>
  <c r="CX60" i="2"/>
  <c r="CW60" i="2"/>
  <c r="CV60" i="2"/>
  <c r="CU60" i="2"/>
  <c r="CT60" i="2"/>
  <c r="CS60" i="2"/>
  <c r="CR60" i="2"/>
  <c r="CQ60" i="2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A60" i="2"/>
  <c r="CB60" i="2" s="1"/>
  <c r="BZ60" i="2"/>
  <c r="BY60" i="2"/>
  <c r="BX60" i="2"/>
  <c r="BW60" i="2"/>
  <c r="BV60" i="2"/>
  <c r="BU60" i="2"/>
  <c r="BT60" i="2"/>
  <c r="BS60" i="2"/>
  <c r="BR60" i="2"/>
  <c r="BQ60" i="2"/>
  <c r="BP60" i="2"/>
  <c r="BN60" i="2"/>
  <c r="BO60" i="2" s="1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N60" i="2"/>
  <c r="AO60" i="2" s="1"/>
  <c r="AM60" i="2"/>
  <c r="AL60" i="2"/>
  <c r="AK60" i="2"/>
  <c r="AJ60" i="2"/>
  <c r="AI60" i="2"/>
  <c r="AH60" i="2"/>
  <c r="AG60" i="2"/>
  <c r="AF60" i="2"/>
  <c r="AE60" i="2"/>
  <c r="AD60" i="2"/>
  <c r="AC60" i="2"/>
  <c r="AA60" i="2"/>
  <c r="AB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FI59" i="2"/>
  <c r="FO59" i="2" s="1"/>
  <c r="FH59" i="2"/>
  <c r="FG59" i="2"/>
  <c r="FF59" i="2"/>
  <c r="FE59" i="2"/>
  <c r="FD59" i="2"/>
  <c r="FC59" i="2"/>
  <c r="FB59" i="2"/>
  <c r="FA59" i="2"/>
  <c r="EZ59" i="2"/>
  <c r="EY59" i="2"/>
  <c r="EX59" i="2"/>
  <c r="EW59" i="2"/>
  <c r="EV59" i="2"/>
  <c r="EU59" i="2"/>
  <c r="ET59" i="2"/>
  <c r="ES59" i="2"/>
  <c r="ER59" i="2"/>
  <c r="EQ59" i="2"/>
  <c r="EP59" i="2"/>
  <c r="EN59" i="2"/>
  <c r="EO59" i="2" s="1"/>
  <c r="EM59" i="2"/>
  <c r="EL59" i="2"/>
  <c r="EK59" i="2"/>
  <c r="EJ59" i="2"/>
  <c r="EI59" i="2"/>
  <c r="EH59" i="2"/>
  <c r="EG59" i="2"/>
  <c r="EF59" i="2"/>
  <c r="EE59" i="2"/>
  <c r="ED59" i="2"/>
  <c r="EC59" i="2"/>
  <c r="EA59" i="2"/>
  <c r="EB59" i="2" s="1"/>
  <c r="DZ59" i="2"/>
  <c r="DY59" i="2"/>
  <c r="DX59" i="2"/>
  <c r="DW59" i="2"/>
  <c r="DV59" i="2"/>
  <c r="DU59" i="2"/>
  <c r="DT59" i="2"/>
  <c r="DS59" i="2"/>
  <c r="DR59" i="2"/>
  <c r="DQ59" i="2"/>
  <c r="DP59" i="2"/>
  <c r="DN59" i="2"/>
  <c r="DO59" i="2" s="1"/>
  <c r="DM59" i="2"/>
  <c r="DL59" i="2"/>
  <c r="DK59" i="2"/>
  <c r="DJ59" i="2"/>
  <c r="DI59" i="2"/>
  <c r="DH59" i="2"/>
  <c r="DG59" i="2"/>
  <c r="DF59" i="2"/>
  <c r="DE59" i="2"/>
  <c r="DD59" i="2"/>
  <c r="DC59" i="2"/>
  <c r="DA59" i="2"/>
  <c r="DB59" i="2" s="1"/>
  <c r="CZ59" i="2"/>
  <c r="CY59" i="2"/>
  <c r="CX59" i="2"/>
  <c r="CW59" i="2"/>
  <c r="CV59" i="2"/>
  <c r="CU59" i="2"/>
  <c r="CT59" i="2"/>
  <c r="CS59" i="2"/>
  <c r="CR59" i="2"/>
  <c r="CQ59" i="2"/>
  <c r="CP59" i="2"/>
  <c r="CN59" i="2"/>
  <c r="CO59" i="2" s="1"/>
  <c r="CM59" i="2"/>
  <c r="CL59" i="2"/>
  <c r="CK59" i="2"/>
  <c r="CJ59" i="2"/>
  <c r="CI59" i="2"/>
  <c r="CH59" i="2"/>
  <c r="CG59" i="2"/>
  <c r="CF59" i="2"/>
  <c r="CE59" i="2"/>
  <c r="CD59" i="2"/>
  <c r="CC59" i="2"/>
  <c r="CA59" i="2"/>
  <c r="CB59" i="2" s="1"/>
  <c r="BZ59" i="2"/>
  <c r="BY59" i="2"/>
  <c r="BX59" i="2"/>
  <c r="BW59" i="2"/>
  <c r="BV59" i="2"/>
  <c r="BU59" i="2"/>
  <c r="BT59" i="2"/>
  <c r="BS59" i="2"/>
  <c r="BR59" i="2"/>
  <c r="BQ59" i="2"/>
  <c r="BP59" i="2"/>
  <c r="BN59" i="2"/>
  <c r="BO59" i="2" s="1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A59" i="2"/>
  <c r="AB59" i="2" s="1"/>
  <c r="Z59" i="2"/>
  <c r="Y59" i="2"/>
  <c r="X59" i="2"/>
  <c r="W59" i="2"/>
  <c r="V59" i="2"/>
  <c r="U59" i="2"/>
  <c r="T59" i="2"/>
  <c r="S59" i="2"/>
  <c r="R59" i="2"/>
  <c r="Q59" i="2"/>
  <c r="P59" i="2"/>
  <c r="N59" i="2"/>
  <c r="O59" i="2" s="1"/>
  <c r="M59" i="2"/>
  <c r="L59" i="2"/>
  <c r="K59" i="2"/>
  <c r="J59" i="2"/>
  <c r="I59" i="2"/>
  <c r="H59" i="2"/>
  <c r="G59" i="2"/>
  <c r="F59" i="2"/>
  <c r="E59" i="2"/>
  <c r="D59" i="2"/>
  <c r="C59" i="2"/>
  <c r="FI58" i="2"/>
  <c r="FO58" i="2" s="1"/>
  <c r="FH58" i="2"/>
  <c r="FG58" i="2"/>
  <c r="FF58" i="2"/>
  <c r="FE58" i="2"/>
  <c r="FD58" i="2"/>
  <c r="FC58" i="2"/>
  <c r="FA58" i="2"/>
  <c r="FB58" i="2" s="1"/>
  <c r="EZ58" i="2"/>
  <c r="EY58" i="2"/>
  <c r="EX58" i="2"/>
  <c r="EW58" i="2"/>
  <c r="EV58" i="2"/>
  <c r="EU58" i="2"/>
  <c r="ET58" i="2"/>
  <c r="ES58" i="2"/>
  <c r="ER58" i="2"/>
  <c r="EQ58" i="2"/>
  <c r="EP58" i="2"/>
  <c r="EO58" i="2"/>
  <c r="EN58" i="2"/>
  <c r="EM58" i="2"/>
  <c r="EL58" i="2"/>
  <c r="EK58" i="2"/>
  <c r="EJ58" i="2"/>
  <c r="EI58" i="2"/>
  <c r="EH58" i="2"/>
  <c r="EG58" i="2"/>
  <c r="EF58" i="2"/>
  <c r="EE58" i="2"/>
  <c r="ED58" i="2"/>
  <c r="EC58" i="2"/>
  <c r="EA58" i="2"/>
  <c r="EB58" i="2" s="1"/>
  <c r="DZ58" i="2"/>
  <c r="DY58" i="2"/>
  <c r="DX58" i="2"/>
  <c r="DW58" i="2"/>
  <c r="DV58" i="2"/>
  <c r="DU58" i="2"/>
  <c r="DT58" i="2"/>
  <c r="DS58" i="2"/>
  <c r="DR58" i="2"/>
  <c r="DQ58" i="2"/>
  <c r="DP58" i="2"/>
  <c r="DN58" i="2"/>
  <c r="DO58" i="2" s="1"/>
  <c r="DM58" i="2"/>
  <c r="DL58" i="2"/>
  <c r="DK58" i="2"/>
  <c r="DJ58" i="2"/>
  <c r="DI58" i="2"/>
  <c r="DH58" i="2"/>
  <c r="DG58" i="2"/>
  <c r="DF58" i="2"/>
  <c r="DE58" i="2"/>
  <c r="DD58" i="2"/>
  <c r="DC58" i="2"/>
  <c r="DB58" i="2"/>
  <c r="DA58" i="2"/>
  <c r="CZ58" i="2"/>
  <c r="CY58" i="2"/>
  <c r="CX58" i="2"/>
  <c r="CW58" i="2"/>
  <c r="CV58" i="2"/>
  <c r="CU58" i="2"/>
  <c r="CT58" i="2"/>
  <c r="CS58" i="2"/>
  <c r="CR58" i="2"/>
  <c r="CQ58" i="2"/>
  <c r="CP58" i="2"/>
  <c r="CN58" i="2"/>
  <c r="CO58" i="2" s="1"/>
  <c r="CM58" i="2"/>
  <c r="CL58" i="2"/>
  <c r="CK58" i="2"/>
  <c r="CJ58" i="2"/>
  <c r="CI58" i="2"/>
  <c r="CH58" i="2"/>
  <c r="CG58" i="2"/>
  <c r="CF58" i="2"/>
  <c r="CE58" i="2"/>
  <c r="CD58" i="2"/>
  <c r="CC58" i="2"/>
  <c r="CA58" i="2"/>
  <c r="CB58" i="2" s="1"/>
  <c r="BZ58" i="2"/>
  <c r="BY58" i="2"/>
  <c r="BX58" i="2"/>
  <c r="BW58" i="2"/>
  <c r="BV58" i="2"/>
  <c r="BU58" i="2"/>
  <c r="BT58" i="2"/>
  <c r="BS58" i="2"/>
  <c r="BR58" i="2"/>
  <c r="BQ58" i="2"/>
  <c r="BP58" i="2"/>
  <c r="BN58" i="2"/>
  <c r="BO58" i="2" s="1"/>
  <c r="BM58" i="2"/>
  <c r="BL58" i="2"/>
  <c r="BK58" i="2"/>
  <c r="BJ58" i="2"/>
  <c r="BI58" i="2"/>
  <c r="BH58" i="2"/>
  <c r="BG58" i="2"/>
  <c r="BF58" i="2"/>
  <c r="BE58" i="2"/>
  <c r="BD58" i="2"/>
  <c r="BC58" i="2"/>
  <c r="BA58" i="2"/>
  <c r="BB58" i="2" s="1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A58" i="2"/>
  <c r="AB58" i="2" s="1"/>
  <c r="Z58" i="2"/>
  <c r="Y58" i="2"/>
  <c r="X58" i="2"/>
  <c r="W58" i="2"/>
  <c r="V58" i="2"/>
  <c r="U58" i="2"/>
  <c r="T58" i="2"/>
  <c r="S58" i="2"/>
  <c r="R58" i="2"/>
  <c r="Q58" i="2"/>
  <c r="P58" i="2"/>
  <c r="N58" i="2"/>
  <c r="O58" i="2" s="1"/>
  <c r="M58" i="2"/>
  <c r="L58" i="2"/>
  <c r="K58" i="2"/>
  <c r="J58" i="2"/>
  <c r="I58" i="2"/>
  <c r="H58" i="2"/>
  <c r="G58" i="2"/>
  <c r="F58" i="2"/>
  <c r="E58" i="2"/>
  <c r="D58" i="2"/>
  <c r="C58" i="2"/>
  <c r="FO57" i="2"/>
  <c r="FI57" i="2"/>
  <c r="FH57" i="2"/>
  <c r="FG57" i="2"/>
  <c r="FF57" i="2"/>
  <c r="FE57" i="2"/>
  <c r="FD57" i="2"/>
  <c r="FC57" i="2"/>
  <c r="FA57" i="2"/>
  <c r="FB57" i="2" s="1"/>
  <c r="EZ57" i="2"/>
  <c r="EY57" i="2"/>
  <c r="EX57" i="2"/>
  <c r="EW57" i="2"/>
  <c r="EV57" i="2"/>
  <c r="EU57" i="2"/>
  <c r="ET57" i="2"/>
  <c r="ES57" i="2"/>
  <c r="ER57" i="2"/>
  <c r="EQ57" i="2"/>
  <c r="EP57" i="2"/>
  <c r="EN57" i="2"/>
  <c r="EO57" i="2" s="1"/>
  <c r="EM57" i="2"/>
  <c r="EL57" i="2"/>
  <c r="EK57" i="2"/>
  <c r="EJ57" i="2"/>
  <c r="EI57" i="2"/>
  <c r="EH57" i="2"/>
  <c r="EG57" i="2"/>
  <c r="EF57" i="2"/>
  <c r="EE57" i="2"/>
  <c r="ED57" i="2"/>
  <c r="EC57" i="2"/>
  <c r="EA57" i="2"/>
  <c r="EB57" i="2" s="1"/>
  <c r="DZ57" i="2"/>
  <c r="DY57" i="2"/>
  <c r="DX57" i="2"/>
  <c r="DW57" i="2"/>
  <c r="DV57" i="2"/>
  <c r="DU57" i="2"/>
  <c r="DT57" i="2"/>
  <c r="DS57" i="2"/>
  <c r="DR57" i="2"/>
  <c r="DQ57" i="2"/>
  <c r="DP57" i="2"/>
  <c r="DN57" i="2"/>
  <c r="DO57" i="2" s="1"/>
  <c r="DM57" i="2"/>
  <c r="DL57" i="2"/>
  <c r="DK57" i="2"/>
  <c r="DJ57" i="2"/>
  <c r="DI57" i="2"/>
  <c r="DH57" i="2"/>
  <c r="DG57" i="2"/>
  <c r="DF57" i="2"/>
  <c r="DE57" i="2"/>
  <c r="DD57" i="2"/>
  <c r="DC57" i="2"/>
  <c r="DA57" i="2"/>
  <c r="DB57" i="2" s="1"/>
  <c r="CZ57" i="2"/>
  <c r="CY57" i="2"/>
  <c r="CX57" i="2"/>
  <c r="CW57" i="2"/>
  <c r="CV57" i="2"/>
  <c r="CU57" i="2"/>
  <c r="CT57" i="2"/>
  <c r="CS57" i="2"/>
  <c r="CR57" i="2"/>
  <c r="CQ57" i="2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A57" i="2"/>
  <c r="CB57" i="2" s="1"/>
  <c r="BZ57" i="2"/>
  <c r="BY57" i="2"/>
  <c r="BX57" i="2"/>
  <c r="BW57" i="2"/>
  <c r="BV57" i="2"/>
  <c r="BU57" i="2"/>
  <c r="BT57" i="2"/>
  <c r="BS57" i="2"/>
  <c r="BR57" i="2"/>
  <c r="BQ57" i="2"/>
  <c r="BP57" i="2"/>
  <c r="BN57" i="2"/>
  <c r="BO57" i="2" s="1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N57" i="2"/>
  <c r="AO57" i="2" s="1"/>
  <c r="AM57" i="2"/>
  <c r="AL57" i="2"/>
  <c r="AK57" i="2"/>
  <c r="AJ57" i="2"/>
  <c r="AI57" i="2"/>
  <c r="AH57" i="2"/>
  <c r="AG57" i="2"/>
  <c r="AF57" i="2"/>
  <c r="AE57" i="2"/>
  <c r="AD57" i="2"/>
  <c r="AC57" i="2"/>
  <c r="AA57" i="2"/>
  <c r="AB57" i="2" s="1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FI56" i="2"/>
  <c r="FO56" i="2" s="1"/>
  <c r="FH56" i="2"/>
  <c r="FG56" i="2"/>
  <c r="FF56" i="2"/>
  <c r="FE56" i="2"/>
  <c r="FD56" i="2"/>
  <c r="FC56" i="2"/>
  <c r="FA56" i="2"/>
  <c r="FB56" i="2" s="1"/>
  <c r="EZ56" i="2"/>
  <c r="EY56" i="2"/>
  <c r="EX56" i="2"/>
  <c r="EW56" i="2"/>
  <c r="EV56" i="2"/>
  <c r="EU56" i="2"/>
  <c r="ET56" i="2"/>
  <c r="ES56" i="2"/>
  <c r="ER56" i="2"/>
  <c r="EQ56" i="2"/>
  <c r="EP56" i="2"/>
  <c r="EN56" i="2"/>
  <c r="EO56" i="2" s="1"/>
  <c r="EM56" i="2"/>
  <c r="EL56" i="2"/>
  <c r="EK56" i="2"/>
  <c r="EJ56" i="2"/>
  <c r="EI56" i="2"/>
  <c r="EH56" i="2"/>
  <c r="EG56" i="2"/>
  <c r="EF56" i="2"/>
  <c r="EE56" i="2"/>
  <c r="ED56" i="2"/>
  <c r="EC56" i="2"/>
  <c r="EB56" i="2"/>
  <c r="EA56" i="2"/>
  <c r="DZ56" i="2"/>
  <c r="DY56" i="2"/>
  <c r="DX56" i="2"/>
  <c r="DW56" i="2"/>
  <c r="DV56" i="2"/>
  <c r="DU56" i="2"/>
  <c r="DT56" i="2"/>
  <c r="DS56" i="2"/>
  <c r="DR56" i="2"/>
  <c r="DQ56" i="2"/>
  <c r="DP56" i="2"/>
  <c r="DN56" i="2"/>
  <c r="DO56" i="2" s="1"/>
  <c r="DM56" i="2"/>
  <c r="DL56" i="2"/>
  <c r="DK56" i="2"/>
  <c r="DJ56" i="2"/>
  <c r="DI56" i="2"/>
  <c r="DH56" i="2"/>
  <c r="DG56" i="2"/>
  <c r="DF56" i="2"/>
  <c r="DE56" i="2"/>
  <c r="DD56" i="2"/>
  <c r="DC56" i="2"/>
  <c r="DA56" i="2"/>
  <c r="DB56" i="2" s="1"/>
  <c r="CZ56" i="2"/>
  <c r="CY56" i="2"/>
  <c r="CX56" i="2"/>
  <c r="CW56" i="2"/>
  <c r="CV56" i="2"/>
  <c r="CU56" i="2"/>
  <c r="CT56" i="2"/>
  <c r="CS56" i="2"/>
  <c r="CR56" i="2"/>
  <c r="CQ56" i="2"/>
  <c r="CP56" i="2"/>
  <c r="CN56" i="2"/>
  <c r="CO56" i="2" s="1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V56" i="2"/>
  <c r="BU56" i="2"/>
  <c r="BT56" i="2"/>
  <c r="BS56" i="2"/>
  <c r="BR56" i="2"/>
  <c r="BQ56" i="2"/>
  <c r="BP56" i="2"/>
  <c r="BN56" i="2"/>
  <c r="BO56" i="2" s="1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N56" i="2"/>
  <c r="AO56" i="2" s="1"/>
  <c r="AM56" i="2"/>
  <c r="AL56" i="2"/>
  <c r="AK56" i="2"/>
  <c r="AJ56" i="2"/>
  <c r="AI56" i="2"/>
  <c r="AH56" i="2"/>
  <c r="AG56" i="2"/>
  <c r="AF56" i="2"/>
  <c r="AE56" i="2"/>
  <c r="AD56" i="2"/>
  <c r="AC56" i="2"/>
  <c r="AA56" i="2"/>
  <c r="AB56" i="2" s="1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FI55" i="2"/>
  <c r="FO55" i="2" s="1"/>
  <c r="FH55" i="2"/>
  <c r="FG55" i="2"/>
  <c r="FF55" i="2"/>
  <c r="FE55" i="2"/>
  <c r="FD55" i="2"/>
  <c r="FC55" i="2"/>
  <c r="FA55" i="2"/>
  <c r="FB55" i="2" s="1"/>
  <c r="EZ55" i="2"/>
  <c r="EY55" i="2"/>
  <c r="EX55" i="2"/>
  <c r="EW55" i="2"/>
  <c r="EV55" i="2"/>
  <c r="EU55" i="2"/>
  <c r="ET55" i="2"/>
  <c r="ES55" i="2"/>
  <c r="ER55" i="2"/>
  <c r="EQ55" i="2"/>
  <c r="EP55" i="2"/>
  <c r="EO55" i="2"/>
  <c r="EN55" i="2"/>
  <c r="EM55" i="2"/>
  <c r="EL55" i="2"/>
  <c r="EK55" i="2"/>
  <c r="EJ55" i="2"/>
  <c r="EI55" i="2"/>
  <c r="EH55" i="2"/>
  <c r="EG55" i="2"/>
  <c r="EF55" i="2"/>
  <c r="EE55" i="2"/>
  <c r="ED55" i="2"/>
  <c r="EC55" i="2"/>
  <c r="EA55" i="2"/>
  <c r="EB55" i="2" s="1"/>
  <c r="DZ55" i="2"/>
  <c r="DY55" i="2"/>
  <c r="DX55" i="2"/>
  <c r="DW55" i="2"/>
  <c r="DV55" i="2"/>
  <c r="DU55" i="2"/>
  <c r="DT55" i="2"/>
  <c r="DS55" i="2"/>
  <c r="DR55" i="2"/>
  <c r="DQ55" i="2"/>
  <c r="DP55" i="2"/>
  <c r="DO55" i="2"/>
  <c r="DN55" i="2"/>
  <c r="DM55" i="2"/>
  <c r="DL55" i="2"/>
  <c r="DK55" i="2"/>
  <c r="DJ55" i="2"/>
  <c r="DI55" i="2"/>
  <c r="DH55" i="2"/>
  <c r="DG55" i="2"/>
  <c r="DF55" i="2"/>
  <c r="DE55" i="2"/>
  <c r="DD55" i="2"/>
  <c r="DC55" i="2"/>
  <c r="DA55" i="2"/>
  <c r="DB55" i="2" s="1"/>
  <c r="CZ55" i="2"/>
  <c r="CY55" i="2"/>
  <c r="CX55" i="2"/>
  <c r="CW55" i="2"/>
  <c r="CV55" i="2"/>
  <c r="CU55" i="2"/>
  <c r="CT55" i="2"/>
  <c r="CS55" i="2"/>
  <c r="CR55" i="2"/>
  <c r="CQ55" i="2"/>
  <c r="CP55" i="2"/>
  <c r="CN55" i="2"/>
  <c r="CO55" i="2" s="1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N55" i="2"/>
  <c r="BO55" i="2" s="1"/>
  <c r="BM55" i="2"/>
  <c r="BL55" i="2"/>
  <c r="BK55" i="2"/>
  <c r="BJ55" i="2"/>
  <c r="BI55" i="2"/>
  <c r="BH55" i="2"/>
  <c r="BG55" i="2"/>
  <c r="BF55" i="2"/>
  <c r="BE55" i="2"/>
  <c r="BD55" i="2"/>
  <c r="BC55" i="2"/>
  <c r="BA55" i="2"/>
  <c r="BB55" i="2" s="1"/>
  <c r="AZ55" i="2"/>
  <c r="AY55" i="2"/>
  <c r="AX55" i="2"/>
  <c r="AW55" i="2"/>
  <c r="AV55" i="2"/>
  <c r="AU55" i="2"/>
  <c r="AT55" i="2"/>
  <c r="AS55" i="2"/>
  <c r="AR55" i="2"/>
  <c r="AQ55" i="2"/>
  <c r="AP55" i="2"/>
  <c r="AN55" i="2"/>
  <c r="AO55" i="2" s="1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N55" i="2"/>
  <c r="O55" i="2" s="1"/>
  <c r="M55" i="2"/>
  <c r="L55" i="2"/>
  <c r="K55" i="2"/>
  <c r="J55" i="2"/>
  <c r="I55" i="2"/>
  <c r="H55" i="2"/>
  <c r="G55" i="2"/>
  <c r="F55" i="2"/>
  <c r="E55" i="2"/>
  <c r="D55" i="2"/>
  <c r="C55" i="2"/>
  <c r="FI54" i="2"/>
  <c r="FO54" i="2" s="1"/>
  <c r="FH54" i="2"/>
  <c r="FG54" i="2"/>
  <c r="FF54" i="2"/>
  <c r="FE54" i="2"/>
  <c r="FD54" i="2"/>
  <c r="FC54" i="2"/>
  <c r="FA54" i="2"/>
  <c r="FB54" i="2" s="1"/>
  <c r="EZ54" i="2"/>
  <c r="EY54" i="2"/>
  <c r="EX54" i="2"/>
  <c r="EW54" i="2"/>
  <c r="EV54" i="2"/>
  <c r="EU54" i="2"/>
  <c r="ET54" i="2"/>
  <c r="ES54" i="2"/>
  <c r="ER54" i="2"/>
  <c r="EQ54" i="2"/>
  <c r="EP54" i="2"/>
  <c r="EN54" i="2"/>
  <c r="EO54" i="2" s="1"/>
  <c r="EM54" i="2"/>
  <c r="EL54" i="2"/>
  <c r="EK54" i="2"/>
  <c r="EJ54" i="2"/>
  <c r="EI54" i="2"/>
  <c r="EH54" i="2"/>
  <c r="EG54" i="2"/>
  <c r="EF54" i="2"/>
  <c r="EE54" i="2"/>
  <c r="ED54" i="2"/>
  <c r="EC54" i="2"/>
  <c r="EA54" i="2"/>
  <c r="EB54" i="2" s="1"/>
  <c r="DZ54" i="2"/>
  <c r="DY54" i="2"/>
  <c r="DX54" i="2"/>
  <c r="DW54" i="2"/>
  <c r="DV54" i="2"/>
  <c r="DU54" i="2"/>
  <c r="DT54" i="2"/>
  <c r="DS54" i="2"/>
  <c r="DR54" i="2"/>
  <c r="DQ54" i="2"/>
  <c r="DP54" i="2"/>
  <c r="DO54" i="2"/>
  <c r="DN54" i="2"/>
  <c r="DM54" i="2"/>
  <c r="DL54" i="2"/>
  <c r="DK54" i="2"/>
  <c r="DJ54" i="2"/>
  <c r="DI54" i="2"/>
  <c r="DH54" i="2"/>
  <c r="DG54" i="2"/>
  <c r="DF54" i="2"/>
  <c r="DE54" i="2"/>
  <c r="DD54" i="2"/>
  <c r="DC54" i="2"/>
  <c r="DA54" i="2"/>
  <c r="DB54" i="2" s="1"/>
  <c r="CZ54" i="2"/>
  <c r="CY54" i="2"/>
  <c r="CX54" i="2"/>
  <c r="CW54" i="2"/>
  <c r="CV54" i="2"/>
  <c r="CU54" i="2"/>
  <c r="CT54" i="2"/>
  <c r="CS54" i="2"/>
  <c r="CR54" i="2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A54" i="2"/>
  <c r="CB54" i="2" s="1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N54" i="2"/>
  <c r="AO54" i="2" s="1"/>
  <c r="AM54" i="2"/>
  <c r="AL54" i="2"/>
  <c r="AK54" i="2"/>
  <c r="AJ54" i="2"/>
  <c r="AI54" i="2"/>
  <c r="AH54" i="2"/>
  <c r="AG54" i="2"/>
  <c r="AF54" i="2"/>
  <c r="AE54" i="2"/>
  <c r="AD54" i="2"/>
  <c r="AC54" i="2"/>
  <c r="AA54" i="2"/>
  <c r="AB54" i="2" s="1"/>
  <c r="Z54" i="2"/>
  <c r="Y54" i="2"/>
  <c r="X54" i="2"/>
  <c r="W54" i="2"/>
  <c r="V54" i="2"/>
  <c r="U54" i="2"/>
  <c r="T54" i="2"/>
  <c r="S54" i="2"/>
  <c r="R54" i="2"/>
  <c r="Q54" i="2"/>
  <c r="P54" i="2"/>
  <c r="N54" i="2"/>
  <c r="O54" i="2" s="1"/>
  <c r="M54" i="2"/>
  <c r="L54" i="2"/>
  <c r="K54" i="2"/>
  <c r="J54" i="2"/>
  <c r="I54" i="2"/>
  <c r="H54" i="2"/>
  <c r="G54" i="2"/>
  <c r="F54" i="2"/>
  <c r="E54" i="2"/>
  <c r="D54" i="2"/>
  <c r="C54" i="2"/>
  <c r="FI53" i="2"/>
  <c r="FO53" i="2" s="1"/>
  <c r="FH53" i="2"/>
  <c r="FG53" i="2"/>
  <c r="FF53" i="2"/>
  <c r="FE53" i="2"/>
  <c r="FD53" i="2"/>
  <c r="FC53" i="2"/>
  <c r="FA53" i="2"/>
  <c r="FB53" i="2" s="1"/>
  <c r="EZ53" i="2"/>
  <c r="EY53" i="2"/>
  <c r="EX53" i="2"/>
  <c r="EW53" i="2"/>
  <c r="EV53" i="2"/>
  <c r="EU53" i="2"/>
  <c r="ET53" i="2"/>
  <c r="ES53" i="2"/>
  <c r="ER53" i="2"/>
  <c r="EQ53" i="2"/>
  <c r="EP53" i="2"/>
  <c r="EN53" i="2"/>
  <c r="EO53" i="2" s="1"/>
  <c r="EM53" i="2"/>
  <c r="EL53" i="2"/>
  <c r="EK53" i="2"/>
  <c r="EJ53" i="2"/>
  <c r="EI53" i="2"/>
  <c r="EH53" i="2"/>
  <c r="EG53" i="2"/>
  <c r="EF53" i="2"/>
  <c r="EE53" i="2"/>
  <c r="ED53" i="2"/>
  <c r="EC53" i="2"/>
  <c r="EA53" i="2"/>
  <c r="EB53" i="2" s="1"/>
  <c r="DZ53" i="2"/>
  <c r="DY53" i="2"/>
  <c r="DX53" i="2"/>
  <c r="DW53" i="2"/>
  <c r="DV53" i="2"/>
  <c r="DU53" i="2"/>
  <c r="DT53" i="2"/>
  <c r="DS53" i="2"/>
  <c r="DR53" i="2"/>
  <c r="DQ53" i="2"/>
  <c r="DP53" i="2"/>
  <c r="DO53" i="2"/>
  <c r="DN53" i="2"/>
  <c r="DM53" i="2"/>
  <c r="DL53" i="2"/>
  <c r="DK53" i="2"/>
  <c r="DJ53" i="2"/>
  <c r="DI53" i="2"/>
  <c r="DH53" i="2"/>
  <c r="DG53" i="2"/>
  <c r="DF53" i="2"/>
  <c r="DE53" i="2"/>
  <c r="DD53" i="2"/>
  <c r="DC53" i="2"/>
  <c r="DA53" i="2"/>
  <c r="DB53" i="2" s="1"/>
  <c r="CZ53" i="2"/>
  <c r="CY53" i="2"/>
  <c r="CX53" i="2"/>
  <c r="CW53" i="2"/>
  <c r="CV53" i="2"/>
  <c r="CU53" i="2"/>
  <c r="CT53" i="2"/>
  <c r="CS53" i="2"/>
  <c r="CR53" i="2"/>
  <c r="CQ53" i="2"/>
  <c r="CP53" i="2"/>
  <c r="CN53" i="2"/>
  <c r="CO53" i="2" s="1"/>
  <c r="CM53" i="2"/>
  <c r="CL53" i="2"/>
  <c r="CK53" i="2"/>
  <c r="CJ53" i="2"/>
  <c r="CI53" i="2"/>
  <c r="CH53" i="2"/>
  <c r="CG53" i="2"/>
  <c r="CF53" i="2"/>
  <c r="CE53" i="2"/>
  <c r="CD53" i="2"/>
  <c r="CC53" i="2"/>
  <c r="CA53" i="2"/>
  <c r="CB53" i="2" s="1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A53" i="2"/>
  <c r="BB53" i="2" s="1"/>
  <c r="AZ53" i="2"/>
  <c r="AY53" i="2"/>
  <c r="AX53" i="2"/>
  <c r="AW53" i="2"/>
  <c r="AV53" i="2"/>
  <c r="AU53" i="2"/>
  <c r="AT53" i="2"/>
  <c r="AS53" i="2"/>
  <c r="AR53" i="2"/>
  <c r="AQ53" i="2"/>
  <c r="AP53" i="2"/>
  <c r="AN53" i="2"/>
  <c r="AO53" i="2" s="1"/>
  <c r="AM53" i="2"/>
  <c r="AL53" i="2"/>
  <c r="AK53" i="2"/>
  <c r="AJ53" i="2"/>
  <c r="AI53" i="2"/>
  <c r="AH53" i="2"/>
  <c r="AG53" i="2"/>
  <c r="AF53" i="2"/>
  <c r="AE53" i="2"/>
  <c r="AD53" i="2"/>
  <c r="AC53" i="2"/>
  <c r="AA53" i="2"/>
  <c r="AB53" i="2" s="1"/>
  <c r="Z53" i="2"/>
  <c r="Y53" i="2"/>
  <c r="X53" i="2"/>
  <c r="W53" i="2"/>
  <c r="V53" i="2"/>
  <c r="U53" i="2"/>
  <c r="T53" i="2"/>
  <c r="S53" i="2"/>
  <c r="R53" i="2"/>
  <c r="Q53" i="2"/>
  <c r="P53" i="2"/>
  <c r="N53" i="2"/>
  <c r="O53" i="2" s="1"/>
  <c r="M53" i="2"/>
  <c r="L53" i="2"/>
  <c r="K53" i="2"/>
  <c r="J53" i="2"/>
  <c r="I53" i="2"/>
  <c r="H53" i="2"/>
  <c r="G53" i="2"/>
  <c r="F53" i="2"/>
  <c r="E53" i="2"/>
  <c r="D53" i="2"/>
  <c r="C53" i="2"/>
  <c r="FO52" i="2"/>
  <c r="FI52" i="2"/>
  <c r="FH52" i="2"/>
  <c r="FG52" i="2"/>
  <c r="FF52" i="2"/>
  <c r="FE52" i="2"/>
  <c r="FD52" i="2"/>
  <c r="FC52" i="2"/>
  <c r="FA52" i="2"/>
  <c r="FB52" i="2" s="1"/>
  <c r="EZ52" i="2"/>
  <c r="EY52" i="2"/>
  <c r="EX52" i="2"/>
  <c r="EW52" i="2"/>
  <c r="EV52" i="2"/>
  <c r="EU52" i="2"/>
  <c r="ET52" i="2"/>
  <c r="ES52" i="2"/>
  <c r="ER52" i="2"/>
  <c r="EQ52" i="2"/>
  <c r="EP52" i="2"/>
  <c r="EO52" i="2"/>
  <c r="EN52" i="2"/>
  <c r="EM52" i="2"/>
  <c r="EL52" i="2"/>
  <c r="EK52" i="2"/>
  <c r="EJ52" i="2"/>
  <c r="EI52" i="2"/>
  <c r="EH52" i="2"/>
  <c r="EG52" i="2"/>
  <c r="EF52" i="2"/>
  <c r="EE52" i="2"/>
  <c r="ED52" i="2"/>
  <c r="EC52" i="2"/>
  <c r="EA52" i="2"/>
  <c r="EB52" i="2" s="1"/>
  <c r="DZ52" i="2"/>
  <c r="DY52" i="2"/>
  <c r="DX52" i="2"/>
  <c r="DW52" i="2"/>
  <c r="DV52" i="2"/>
  <c r="DU52" i="2"/>
  <c r="DT52" i="2"/>
  <c r="DS52" i="2"/>
  <c r="DR52" i="2"/>
  <c r="DQ52" i="2"/>
  <c r="DP52" i="2"/>
  <c r="DN52" i="2"/>
  <c r="DO52" i="2" s="1"/>
  <c r="DM52" i="2"/>
  <c r="DL52" i="2"/>
  <c r="DK52" i="2"/>
  <c r="DJ52" i="2"/>
  <c r="DI52" i="2"/>
  <c r="DH52" i="2"/>
  <c r="DG52" i="2"/>
  <c r="DF52" i="2"/>
  <c r="DE52" i="2"/>
  <c r="DD52" i="2"/>
  <c r="DC52" i="2"/>
  <c r="DA52" i="2"/>
  <c r="DB52" i="2" s="1"/>
  <c r="CZ52" i="2"/>
  <c r="CY52" i="2"/>
  <c r="CX52" i="2"/>
  <c r="CW52" i="2"/>
  <c r="CV52" i="2"/>
  <c r="CU52" i="2"/>
  <c r="CT52" i="2"/>
  <c r="CS52" i="2"/>
  <c r="CR52" i="2"/>
  <c r="CQ52" i="2"/>
  <c r="CP52" i="2"/>
  <c r="CN52" i="2"/>
  <c r="CO52" i="2" s="1"/>
  <c r="CM52" i="2"/>
  <c r="CL52" i="2"/>
  <c r="CK52" i="2"/>
  <c r="CJ52" i="2"/>
  <c r="CI52" i="2"/>
  <c r="CH52" i="2"/>
  <c r="CG52" i="2"/>
  <c r="CF52" i="2"/>
  <c r="CE52" i="2"/>
  <c r="CD52" i="2"/>
  <c r="CC52" i="2"/>
  <c r="CA52" i="2"/>
  <c r="CB52" i="2" s="1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A52" i="2"/>
  <c r="BB52" i="2" s="1"/>
  <c r="AZ52" i="2"/>
  <c r="AY52" i="2"/>
  <c r="AX52" i="2"/>
  <c r="AW52" i="2"/>
  <c r="AV52" i="2"/>
  <c r="AU52" i="2"/>
  <c r="AT52" i="2"/>
  <c r="AS52" i="2"/>
  <c r="AR52" i="2"/>
  <c r="AQ52" i="2"/>
  <c r="AP52" i="2"/>
  <c r="AN52" i="2"/>
  <c r="AO52" i="2" s="1"/>
  <c r="AM52" i="2"/>
  <c r="AL52" i="2"/>
  <c r="AK52" i="2"/>
  <c r="AJ52" i="2"/>
  <c r="AI52" i="2"/>
  <c r="AH52" i="2"/>
  <c r="AG52" i="2"/>
  <c r="AF52" i="2"/>
  <c r="AE52" i="2"/>
  <c r="AD52" i="2"/>
  <c r="AC52" i="2"/>
  <c r="AA52" i="2"/>
  <c r="AB52" i="2" s="1"/>
  <c r="Z52" i="2"/>
  <c r="Y52" i="2"/>
  <c r="X52" i="2"/>
  <c r="W52" i="2"/>
  <c r="V52" i="2"/>
  <c r="U52" i="2"/>
  <c r="T52" i="2"/>
  <c r="S52" i="2"/>
  <c r="R52" i="2"/>
  <c r="Q52" i="2"/>
  <c r="P52" i="2"/>
  <c r="N52" i="2"/>
  <c r="M52" i="2"/>
  <c r="L52" i="2"/>
  <c r="K52" i="2"/>
  <c r="J52" i="2"/>
  <c r="I52" i="2"/>
  <c r="H52" i="2"/>
  <c r="G52" i="2"/>
  <c r="F52" i="2"/>
  <c r="E52" i="2"/>
  <c r="D52" i="2"/>
  <c r="C52" i="2"/>
  <c r="FO51" i="2"/>
  <c r="FI51" i="2"/>
  <c r="FH51" i="2"/>
  <c r="FG51" i="2"/>
  <c r="FF51" i="2"/>
  <c r="FE51" i="2"/>
  <c r="FD51" i="2"/>
  <c r="FC51" i="2"/>
  <c r="FA51" i="2"/>
  <c r="FB51" i="2" s="1"/>
  <c r="EZ51" i="2"/>
  <c r="EY51" i="2"/>
  <c r="EX51" i="2"/>
  <c r="EW51" i="2"/>
  <c r="EV51" i="2"/>
  <c r="EU51" i="2"/>
  <c r="ET51" i="2"/>
  <c r="ES51" i="2"/>
  <c r="ER51" i="2"/>
  <c r="EQ51" i="2"/>
  <c r="EP51" i="2"/>
  <c r="EN51" i="2"/>
  <c r="EO51" i="2" s="1"/>
  <c r="EM51" i="2"/>
  <c r="EL51" i="2"/>
  <c r="EK51" i="2"/>
  <c r="EJ51" i="2"/>
  <c r="EI51" i="2"/>
  <c r="EH51" i="2"/>
  <c r="EG51" i="2"/>
  <c r="EF51" i="2"/>
  <c r="EE51" i="2"/>
  <c r="ED51" i="2"/>
  <c r="EC51" i="2"/>
  <c r="EA51" i="2"/>
  <c r="EB51" i="2" s="1"/>
  <c r="DZ51" i="2"/>
  <c r="DY51" i="2"/>
  <c r="DX51" i="2"/>
  <c r="DW51" i="2"/>
  <c r="DV51" i="2"/>
  <c r="DU51" i="2"/>
  <c r="DT51" i="2"/>
  <c r="DS51" i="2"/>
  <c r="DR51" i="2"/>
  <c r="DQ51" i="2"/>
  <c r="DP51" i="2"/>
  <c r="DN51" i="2"/>
  <c r="DO51" i="2" s="1"/>
  <c r="DM51" i="2"/>
  <c r="DL51" i="2"/>
  <c r="DK51" i="2"/>
  <c r="DJ51" i="2"/>
  <c r="DI51" i="2"/>
  <c r="DH51" i="2"/>
  <c r="DG51" i="2"/>
  <c r="DF51" i="2"/>
  <c r="DE51" i="2"/>
  <c r="DD51" i="2"/>
  <c r="DC51" i="2"/>
  <c r="DA51" i="2"/>
  <c r="DB51" i="2" s="1"/>
  <c r="CZ51" i="2"/>
  <c r="CY51" i="2"/>
  <c r="CX51" i="2"/>
  <c r="CW51" i="2"/>
  <c r="CV51" i="2"/>
  <c r="CU51" i="2"/>
  <c r="CT51" i="2"/>
  <c r="CS51" i="2"/>
  <c r="CR51" i="2"/>
  <c r="CQ51" i="2"/>
  <c r="CP51" i="2"/>
  <c r="CN51" i="2"/>
  <c r="CO51" i="2" s="1"/>
  <c r="CM51" i="2"/>
  <c r="CL51" i="2"/>
  <c r="CK51" i="2"/>
  <c r="CJ51" i="2"/>
  <c r="CI51" i="2"/>
  <c r="CH51" i="2"/>
  <c r="CG51" i="2"/>
  <c r="CF51" i="2"/>
  <c r="CE51" i="2"/>
  <c r="CD51" i="2"/>
  <c r="CC51" i="2"/>
  <c r="CA51" i="2"/>
  <c r="CB51" i="2" s="1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A51" i="2"/>
  <c r="BB51" i="2" s="1"/>
  <c r="AZ51" i="2"/>
  <c r="AY51" i="2"/>
  <c r="AX51" i="2"/>
  <c r="AW51" i="2"/>
  <c r="AV51" i="2"/>
  <c r="AU51" i="2"/>
  <c r="AT51" i="2"/>
  <c r="AS51" i="2"/>
  <c r="AR51" i="2"/>
  <c r="AQ51" i="2"/>
  <c r="AP51" i="2"/>
  <c r="AN51" i="2"/>
  <c r="AO51" i="2" s="1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N51" i="2"/>
  <c r="O51" i="2" s="1"/>
  <c r="M51" i="2"/>
  <c r="L51" i="2"/>
  <c r="K51" i="2"/>
  <c r="J51" i="2"/>
  <c r="I51" i="2"/>
  <c r="H51" i="2"/>
  <c r="G51" i="2"/>
  <c r="F51" i="2"/>
  <c r="E51" i="2"/>
  <c r="D51" i="2"/>
  <c r="C51" i="2"/>
  <c r="FI50" i="2"/>
  <c r="FO50" i="2" s="1"/>
  <c r="FH50" i="2"/>
  <c r="FG50" i="2"/>
  <c r="FF50" i="2"/>
  <c r="FE50" i="2"/>
  <c r="FD50" i="2"/>
  <c r="FC50" i="2"/>
  <c r="FB50" i="2"/>
  <c r="FA50" i="2"/>
  <c r="EZ50" i="2"/>
  <c r="EY50" i="2"/>
  <c r="EX50" i="2"/>
  <c r="EW50" i="2"/>
  <c r="EV50" i="2"/>
  <c r="EU50" i="2"/>
  <c r="ET50" i="2"/>
  <c r="ES50" i="2"/>
  <c r="ER50" i="2"/>
  <c r="EQ50" i="2"/>
  <c r="EP50" i="2"/>
  <c r="EN50" i="2"/>
  <c r="EO50" i="2" s="1"/>
  <c r="EM50" i="2"/>
  <c r="EL50" i="2"/>
  <c r="EK50" i="2"/>
  <c r="EJ50" i="2"/>
  <c r="EI50" i="2"/>
  <c r="EH50" i="2"/>
  <c r="EG50" i="2"/>
  <c r="EF50" i="2"/>
  <c r="EE50" i="2"/>
  <c r="ED50" i="2"/>
  <c r="EC50" i="2"/>
  <c r="EA50" i="2"/>
  <c r="EB50" i="2" s="1"/>
  <c r="DZ50" i="2"/>
  <c r="DY50" i="2"/>
  <c r="DX50" i="2"/>
  <c r="DW50" i="2"/>
  <c r="DV50" i="2"/>
  <c r="DU50" i="2"/>
  <c r="DT50" i="2"/>
  <c r="DS50" i="2"/>
  <c r="DR50" i="2"/>
  <c r="DQ50" i="2"/>
  <c r="DP50" i="2"/>
  <c r="DO50" i="2"/>
  <c r="DN50" i="2"/>
  <c r="DM50" i="2"/>
  <c r="DL50" i="2"/>
  <c r="DK50" i="2"/>
  <c r="DJ50" i="2"/>
  <c r="DI50" i="2"/>
  <c r="DH50" i="2"/>
  <c r="DG50" i="2"/>
  <c r="DF50" i="2"/>
  <c r="DE50" i="2"/>
  <c r="DD50" i="2"/>
  <c r="DC50" i="2"/>
  <c r="DA50" i="2"/>
  <c r="DB50" i="2" s="1"/>
  <c r="CZ50" i="2"/>
  <c r="CY50" i="2"/>
  <c r="CX50" i="2"/>
  <c r="CW50" i="2"/>
  <c r="CV50" i="2"/>
  <c r="CU50" i="2"/>
  <c r="CT50" i="2"/>
  <c r="CS50" i="2"/>
  <c r="CR50" i="2"/>
  <c r="CQ50" i="2"/>
  <c r="CP50" i="2"/>
  <c r="CN50" i="2"/>
  <c r="CO50" i="2" s="1"/>
  <c r="CM50" i="2"/>
  <c r="CL50" i="2"/>
  <c r="CK50" i="2"/>
  <c r="CJ50" i="2"/>
  <c r="CI50" i="2"/>
  <c r="CH50" i="2"/>
  <c r="CG50" i="2"/>
  <c r="CF50" i="2"/>
  <c r="CE50" i="2"/>
  <c r="CD50" i="2"/>
  <c r="CC50" i="2"/>
  <c r="CA50" i="2"/>
  <c r="CB50" i="2" s="1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A50" i="2"/>
  <c r="BB50" i="2" s="1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A50" i="2"/>
  <c r="AB50" i="2" s="1"/>
  <c r="Z50" i="2"/>
  <c r="Y50" i="2"/>
  <c r="X50" i="2"/>
  <c r="W50" i="2"/>
  <c r="V50" i="2"/>
  <c r="U50" i="2"/>
  <c r="T50" i="2"/>
  <c r="S50" i="2"/>
  <c r="R50" i="2"/>
  <c r="Q50" i="2"/>
  <c r="P50" i="2"/>
  <c r="N50" i="2"/>
  <c r="O50" i="2" s="1"/>
  <c r="M50" i="2"/>
  <c r="L50" i="2"/>
  <c r="K50" i="2"/>
  <c r="J50" i="2"/>
  <c r="I50" i="2"/>
  <c r="H50" i="2"/>
  <c r="G50" i="2"/>
  <c r="F50" i="2"/>
  <c r="E50" i="2"/>
  <c r="D50" i="2"/>
  <c r="C50" i="2"/>
  <c r="FO49" i="2"/>
  <c r="FI49" i="2"/>
  <c r="FH49" i="2"/>
  <c r="FG49" i="2"/>
  <c r="FF49" i="2"/>
  <c r="FE49" i="2"/>
  <c r="FD49" i="2"/>
  <c r="FC49" i="2"/>
  <c r="FA49" i="2"/>
  <c r="FB49" i="2" s="1"/>
  <c r="EZ49" i="2"/>
  <c r="EY49" i="2"/>
  <c r="EX49" i="2"/>
  <c r="EW49" i="2"/>
  <c r="EV49" i="2"/>
  <c r="EU49" i="2"/>
  <c r="ET49" i="2"/>
  <c r="ES49" i="2"/>
  <c r="ER49" i="2"/>
  <c r="EQ49" i="2"/>
  <c r="EP49" i="2"/>
  <c r="EO49" i="2"/>
  <c r="EN49" i="2"/>
  <c r="EM49" i="2"/>
  <c r="EL49" i="2"/>
  <c r="EK49" i="2"/>
  <c r="EJ49" i="2"/>
  <c r="EI49" i="2"/>
  <c r="EH49" i="2"/>
  <c r="EG49" i="2"/>
  <c r="EF49" i="2"/>
  <c r="EE49" i="2"/>
  <c r="ED49" i="2"/>
  <c r="EC49" i="2"/>
  <c r="EA49" i="2"/>
  <c r="EB49" i="2" s="1"/>
  <c r="DZ49" i="2"/>
  <c r="DY49" i="2"/>
  <c r="DX49" i="2"/>
  <c r="DW49" i="2"/>
  <c r="DV49" i="2"/>
  <c r="DU49" i="2"/>
  <c r="DT49" i="2"/>
  <c r="DS49" i="2"/>
  <c r="DR49" i="2"/>
  <c r="DQ49" i="2"/>
  <c r="DP49" i="2"/>
  <c r="DO49" i="2"/>
  <c r="DN49" i="2"/>
  <c r="DM49" i="2"/>
  <c r="DL49" i="2"/>
  <c r="DK49" i="2"/>
  <c r="DJ49" i="2"/>
  <c r="DI49" i="2"/>
  <c r="DH49" i="2"/>
  <c r="DG49" i="2"/>
  <c r="DF49" i="2"/>
  <c r="DE49" i="2"/>
  <c r="DD49" i="2"/>
  <c r="DC49" i="2"/>
  <c r="DA49" i="2"/>
  <c r="DB49" i="2" s="1"/>
  <c r="CZ49" i="2"/>
  <c r="CY49" i="2"/>
  <c r="CX49" i="2"/>
  <c r="CW49" i="2"/>
  <c r="CV49" i="2"/>
  <c r="CU49" i="2"/>
  <c r="CT49" i="2"/>
  <c r="CS49" i="2"/>
  <c r="CR49" i="2"/>
  <c r="CQ49" i="2"/>
  <c r="CP49" i="2"/>
  <c r="CN49" i="2"/>
  <c r="CO49" i="2" s="1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N49" i="2"/>
  <c r="BO49" i="2" s="1"/>
  <c r="BM49" i="2"/>
  <c r="BL49" i="2"/>
  <c r="BK49" i="2"/>
  <c r="BJ49" i="2"/>
  <c r="BI49" i="2"/>
  <c r="BH49" i="2"/>
  <c r="BG49" i="2"/>
  <c r="BF49" i="2"/>
  <c r="BE49" i="2"/>
  <c r="BD49" i="2"/>
  <c r="BC49" i="2"/>
  <c r="BA49" i="2"/>
  <c r="BB49" i="2" s="1"/>
  <c r="AZ49" i="2"/>
  <c r="AY49" i="2"/>
  <c r="AX49" i="2"/>
  <c r="AW49" i="2"/>
  <c r="AV49" i="2"/>
  <c r="AU49" i="2"/>
  <c r="AT49" i="2"/>
  <c r="AS49" i="2"/>
  <c r="AR49" i="2"/>
  <c r="AQ49" i="2"/>
  <c r="AP49" i="2"/>
  <c r="AN49" i="2"/>
  <c r="AO49" i="2" s="1"/>
  <c r="AM49" i="2"/>
  <c r="AL49" i="2"/>
  <c r="AK49" i="2"/>
  <c r="AJ49" i="2"/>
  <c r="AI49" i="2"/>
  <c r="AH49" i="2"/>
  <c r="AG49" i="2"/>
  <c r="AF49" i="2"/>
  <c r="AE49" i="2"/>
  <c r="AD49" i="2"/>
  <c r="AC49" i="2"/>
  <c r="AA49" i="2"/>
  <c r="AB49" i="2" s="1"/>
  <c r="Z49" i="2"/>
  <c r="Y49" i="2"/>
  <c r="X49" i="2"/>
  <c r="W49" i="2"/>
  <c r="V49" i="2"/>
  <c r="U49" i="2"/>
  <c r="T49" i="2"/>
  <c r="S49" i="2"/>
  <c r="R49" i="2"/>
  <c r="Q49" i="2"/>
  <c r="P49" i="2"/>
  <c r="N49" i="2"/>
  <c r="O49" i="2" s="1"/>
  <c r="M49" i="2"/>
  <c r="L49" i="2"/>
  <c r="K49" i="2"/>
  <c r="J49" i="2"/>
  <c r="I49" i="2"/>
  <c r="H49" i="2"/>
  <c r="G49" i="2"/>
  <c r="F49" i="2"/>
  <c r="E49" i="2"/>
  <c r="D49" i="2"/>
  <c r="C49" i="2"/>
  <c r="FI48" i="2"/>
  <c r="FO48" i="2" s="1"/>
  <c r="FH48" i="2"/>
  <c r="FG48" i="2"/>
  <c r="FF48" i="2"/>
  <c r="FE48" i="2"/>
  <c r="FD48" i="2"/>
  <c r="FC48" i="2"/>
  <c r="FA48" i="2"/>
  <c r="FB48" i="2" s="1"/>
  <c r="EZ48" i="2"/>
  <c r="EY48" i="2"/>
  <c r="EX48" i="2"/>
  <c r="EW48" i="2"/>
  <c r="EV48" i="2"/>
  <c r="EU48" i="2"/>
  <c r="ET48" i="2"/>
  <c r="ES48" i="2"/>
  <c r="ER48" i="2"/>
  <c r="EQ48" i="2"/>
  <c r="EP48" i="2"/>
  <c r="EN48" i="2"/>
  <c r="EO48" i="2" s="1"/>
  <c r="EM48" i="2"/>
  <c r="EL48" i="2"/>
  <c r="EK48" i="2"/>
  <c r="EJ48" i="2"/>
  <c r="EI48" i="2"/>
  <c r="EH48" i="2"/>
  <c r="EG48" i="2"/>
  <c r="EF48" i="2"/>
  <c r="EE48" i="2"/>
  <c r="ED48" i="2"/>
  <c r="EC48" i="2"/>
  <c r="EA48" i="2"/>
  <c r="EB48" i="2" s="1"/>
  <c r="DZ48" i="2"/>
  <c r="DY48" i="2"/>
  <c r="DX48" i="2"/>
  <c r="DW48" i="2"/>
  <c r="DV48" i="2"/>
  <c r="DU48" i="2"/>
  <c r="DT48" i="2"/>
  <c r="DS48" i="2"/>
  <c r="DR48" i="2"/>
  <c r="DQ48" i="2"/>
  <c r="DP48" i="2"/>
  <c r="DN48" i="2"/>
  <c r="DO48" i="2" s="1"/>
  <c r="DM48" i="2"/>
  <c r="DL48" i="2"/>
  <c r="DK48" i="2"/>
  <c r="DJ48" i="2"/>
  <c r="DI48" i="2"/>
  <c r="DH48" i="2"/>
  <c r="DG48" i="2"/>
  <c r="DF48" i="2"/>
  <c r="DE48" i="2"/>
  <c r="DD48" i="2"/>
  <c r="DC48" i="2"/>
  <c r="DA48" i="2"/>
  <c r="DB48" i="2" s="1"/>
  <c r="CZ48" i="2"/>
  <c r="CY48" i="2"/>
  <c r="CX48" i="2"/>
  <c r="CW48" i="2"/>
  <c r="CV48" i="2"/>
  <c r="CU48" i="2"/>
  <c r="CT48" i="2"/>
  <c r="CS48" i="2"/>
  <c r="CR48" i="2"/>
  <c r="CQ48" i="2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A48" i="2"/>
  <c r="CB48" i="2" s="1"/>
  <c r="BZ48" i="2"/>
  <c r="BY48" i="2"/>
  <c r="BX48" i="2"/>
  <c r="BW48" i="2"/>
  <c r="BV48" i="2"/>
  <c r="BU48" i="2"/>
  <c r="BT48" i="2"/>
  <c r="BS48" i="2"/>
  <c r="BR48" i="2"/>
  <c r="BQ48" i="2"/>
  <c r="BP48" i="2"/>
  <c r="BN48" i="2"/>
  <c r="BO48" i="2" s="1"/>
  <c r="BM48" i="2"/>
  <c r="BL48" i="2"/>
  <c r="BK48" i="2"/>
  <c r="BJ48" i="2"/>
  <c r="BI48" i="2"/>
  <c r="BH48" i="2"/>
  <c r="BG48" i="2"/>
  <c r="BF48" i="2"/>
  <c r="BE48" i="2"/>
  <c r="BD48" i="2"/>
  <c r="BC48" i="2"/>
  <c r="BA48" i="2"/>
  <c r="BB48" i="2" s="1"/>
  <c r="AZ48" i="2"/>
  <c r="AY48" i="2"/>
  <c r="AX48" i="2"/>
  <c r="AW48" i="2"/>
  <c r="AV48" i="2"/>
  <c r="AU48" i="2"/>
  <c r="AT48" i="2"/>
  <c r="AS48" i="2"/>
  <c r="AR48" i="2"/>
  <c r="AQ48" i="2"/>
  <c r="AP48" i="2"/>
  <c r="AN48" i="2"/>
  <c r="AO48" i="2" s="1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FI47" i="2"/>
  <c r="FO47" i="2" s="1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N47" i="2"/>
  <c r="EO47" i="2" s="1"/>
  <c r="EM47" i="2"/>
  <c r="EL47" i="2"/>
  <c r="EK47" i="2"/>
  <c r="EJ47" i="2"/>
  <c r="EI47" i="2"/>
  <c r="EH47" i="2"/>
  <c r="EG47" i="2"/>
  <c r="EF47" i="2"/>
  <c r="EE47" i="2"/>
  <c r="ED47" i="2"/>
  <c r="EC47" i="2"/>
  <c r="EA47" i="2"/>
  <c r="EB47" i="2" s="1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A47" i="2"/>
  <c r="DB47" i="2" s="1"/>
  <c r="CZ47" i="2"/>
  <c r="CY47" i="2"/>
  <c r="CX47" i="2"/>
  <c r="CW47" i="2"/>
  <c r="CV47" i="2"/>
  <c r="CU47" i="2"/>
  <c r="CT47" i="2"/>
  <c r="CS47" i="2"/>
  <c r="CR47" i="2"/>
  <c r="CQ47" i="2"/>
  <c r="CP47" i="2"/>
  <c r="CN47" i="2"/>
  <c r="CO47" i="2" s="1"/>
  <c r="CM47" i="2"/>
  <c r="CL47" i="2"/>
  <c r="CK47" i="2"/>
  <c r="CJ47" i="2"/>
  <c r="CI47" i="2"/>
  <c r="CH47" i="2"/>
  <c r="CG47" i="2"/>
  <c r="CF47" i="2"/>
  <c r="CE47" i="2"/>
  <c r="CD47" i="2"/>
  <c r="CC47" i="2"/>
  <c r="CA47" i="2"/>
  <c r="CB47" i="2" s="1"/>
  <c r="BZ47" i="2"/>
  <c r="BY47" i="2"/>
  <c r="BX47" i="2"/>
  <c r="BW47" i="2"/>
  <c r="BV47" i="2"/>
  <c r="BU47" i="2"/>
  <c r="BT47" i="2"/>
  <c r="BS47" i="2"/>
  <c r="BR47" i="2"/>
  <c r="BQ47" i="2"/>
  <c r="BP47" i="2"/>
  <c r="BN47" i="2"/>
  <c r="BO47" i="2" s="1"/>
  <c r="BM47" i="2"/>
  <c r="BL47" i="2"/>
  <c r="BK47" i="2"/>
  <c r="BJ47" i="2"/>
  <c r="BI47" i="2"/>
  <c r="BH47" i="2"/>
  <c r="BG47" i="2"/>
  <c r="BF47" i="2"/>
  <c r="BE47" i="2"/>
  <c r="BD47" i="2"/>
  <c r="BC47" i="2"/>
  <c r="BA47" i="2"/>
  <c r="BB47" i="2" s="1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A47" i="2"/>
  <c r="AB47" i="2" s="1"/>
  <c r="Z47" i="2"/>
  <c r="Y47" i="2"/>
  <c r="X47" i="2"/>
  <c r="W47" i="2"/>
  <c r="V47" i="2"/>
  <c r="U47" i="2"/>
  <c r="T47" i="2"/>
  <c r="S47" i="2"/>
  <c r="R47" i="2"/>
  <c r="Q47" i="2"/>
  <c r="P47" i="2"/>
  <c r="N47" i="2"/>
  <c r="O47" i="2" s="1"/>
  <c r="M47" i="2"/>
  <c r="L47" i="2"/>
  <c r="K47" i="2"/>
  <c r="J47" i="2"/>
  <c r="I47" i="2"/>
  <c r="H47" i="2"/>
  <c r="G47" i="2"/>
  <c r="F47" i="2"/>
  <c r="E47" i="2"/>
  <c r="D47" i="2"/>
  <c r="C47" i="2"/>
  <c r="FI46" i="2"/>
  <c r="FO46" i="2" s="1"/>
  <c r="FH46" i="2"/>
  <c r="FG46" i="2"/>
  <c r="FF46" i="2"/>
  <c r="FE46" i="2"/>
  <c r="FD46" i="2"/>
  <c r="FC46" i="2"/>
  <c r="FA46" i="2"/>
  <c r="FB46" i="2" s="1"/>
  <c r="EZ46" i="2"/>
  <c r="EY46" i="2"/>
  <c r="EX46" i="2"/>
  <c r="EW46" i="2"/>
  <c r="EV46" i="2"/>
  <c r="EU46" i="2"/>
  <c r="ET46" i="2"/>
  <c r="ES46" i="2"/>
  <c r="ER46" i="2"/>
  <c r="EQ46" i="2"/>
  <c r="EP46" i="2"/>
  <c r="EN46" i="2"/>
  <c r="EO46" i="2" s="1"/>
  <c r="EM46" i="2"/>
  <c r="EL46" i="2"/>
  <c r="EK46" i="2"/>
  <c r="EJ46" i="2"/>
  <c r="EI46" i="2"/>
  <c r="EH46" i="2"/>
  <c r="EG46" i="2"/>
  <c r="EF46" i="2"/>
  <c r="EE46" i="2"/>
  <c r="ED46" i="2"/>
  <c r="EC46" i="2"/>
  <c r="EA46" i="2"/>
  <c r="EB46" i="2" s="1"/>
  <c r="DZ46" i="2"/>
  <c r="DY46" i="2"/>
  <c r="DX46" i="2"/>
  <c r="DW46" i="2"/>
  <c r="DV46" i="2"/>
  <c r="DU46" i="2"/>
  <c r="DT46" i="2"/>
  <c r="DS46" i="2"/>
  <c r="DR46" i="2"/>
  <c r="DQ46" i="2"/>
  <c r="DP46" i="2"/>
  <c r="DO46" i="2"/>
  <c r="DN46" i="2"/>
  <c r="DM46" i="2"/>
  <c r="DL46" i="2"/>
  <c r="DK46" i="2"/>
  <c r="DJ46" i="2"/>
  <c r="DI46" i="2"/>
  <c r="DH46" i="2"/>
  <c r="DG46" i="2"/>
  <c r="DF46" i="2"/>
  <c r="DE46" i="2"/>
  <c r="DD46" i="2"/>
  <c r="DC46" i="2"/>
  <c r="DB46" i="2"/>
  <c r="DA46" i="2"/>
  <c r="CZ46" i="2"/>
  <c r="CY46" i="2"/>
  <c r="CX46" i="2"/>
  <c r="CW46" i="2"/>
  <c r="CV46" i="2"/>
  <c r="CU46" i="2"/>
  <c r="CT46" i="2"/>
  <c r="CS46" i="2"/>
  <c r="CR46" i="2"/>
  <c r="CQ46" i="2"/>
  <c r="CP46" i="2"/>
  <c r="CN46" i="2"/>
  <c r="CO46" i="2" s="1"/>
  <c r="CM46" i="2"/>
  <c r="CL46" i="2"/>
  <c r="CK46" i="2"/>
  <c r="CJ46" i="2"/>
  <c r="CI46" i="2"/>
  <c r="CH46" i="2"/>
  <c r="CG46" i="2"/>
  <c r="CF46" i="2"/>
  <c r="CE46" i="2"/>
  <c r="CD46" i="2"/>
  <c r="CC46" i="2"/>
  <c r="CA46" i="2"/>
  <c r="CB46" i="2" s="1"/>
  <c r="BZ46" i="2"/>
  <c r="BY46" i="2"/>
  <c r="BX46" i="2"/>
  <c r="BW46" i="2"/>
  <c r="BV46" i="2"/>
  <c r="BU46" i="2"/>
  <c r="BT46" i="2"/>
  <c r="BS46" i="2"/>
  <c r="BR46" i="2"/>
  <c r="BQ46" i="2"/>
  <c r="BP46" i="2"/>
  <c r="BN46" i="2"/>
  <c r="BO46" i="2" s="1"/>
  <c r="BM46" i="2"/>
  <c r="BL46" i="2"/>
  <c r="BK46" i="2"/>
  <c r="BJ46" i="2"/>
  <c r="BI46" i="2"/>
  <c r="BH46" i="2"/>
  <c r="BG46" i="2"/>
  <c r="BF46" i="2"/>
  <c r="BE46" i="2"/>
  <c r="BD46" i="2"/>
  <c r="BC46" i="2"/>
  <c r="BA46" i="2"/>
  <c r="BB46" i="2" s="1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N46" i="2"/>
  <c r="O46" i="2" s="1"/>
  <c r="M46" i="2"/>
  <c r="L46" i="2"/>
  <c r="K46" i="2"/>
  <c r="J46" i="2"/>
  <c r="I46" i="2"/>
  <c r="H46" i="2"/>
  <c r="G46" i="2"/>
  <c r="F46" i="2"/>
  <c r="E46" i="2"/>
  <c r="D46" i="2"/>
  <c r="C46" i="2"/>
  <c r="FI45" i="2"/>
  <c r="FO45" i="2" s="1"/>
  <c r="FH45" i="2"/>
  <c r="FG45" i="2"/>
  <c r="FF45" i="2"/>
  <c r="FE45" i="2"/>
  <c r="FD45" i="2"/>
  <c r="FC45" i="2"/>
  <c r="FA45" i="2"/>
  <c r="EZ45" i="2"/>
  <c r="EY45" i="2"/>
  <c r="EX45" i="2"/>
  <c r="EW45" i="2"/>
  <c r="EV45" i="2"/>
  <c r="EU45" i="2"/>
  <c r="ET45" i="2"/>
  <c r="ES45" i="2"/>
  <c r="ER45" i="2"/>
  <c r="EQ45" i="2"/>
  <c r="EP45" i="2"/>
  <c r="EO45" i="2"/>
  <c r="EN45" i="2"/>
  <c r="EM45" i="2"/>
  <c r="EL45" i="2"/>
  <c r="EK45" i="2"/>
  <c r="EJ45" i="2"/>
  <c r="EI45" i="2"/>
  <c r="EH45" i="2"/>
  <c r="EG45" i="2"/>
  <c r="EF45" i="2"/>
  <c r="EE45" i="2"/>
  <c r="ED45" i="2"/>
  <c r="EC45" i="2"/>
  <c r="EA45" i="2"/>
  <c r="EB45" i="2" s="1"/>
  <c r="DZ45" i="2"/>
  <c r="DY45" i="2"/>
  <c r="DX45" i="2"/>
  <c r="DW45" i="2"/>
  <c r="DV45" i="2"/>
  <c r="DU45" i="2"/>
  <c r="DT45" i="2"/>
  <c r="DS45" i="2"/>
  <c r="DR45" i="2"/>
  <c r="DQ45" i="2"/>
  <c r="DP45" i="2"/>
  <c r="DN45" i="2"/>
  <c r="DO45" i="2" s="1"/>
  <c r="DM45" i="2"/>
  <c r="DL45" i="2"/>
  <c r="DK45" i="2"/>
  <c r="DJ45" i="2"/>
  <c r="DI45" i="2"/>
  <c r="DH45" i="2"/>
  <c r="DG45" i="2"/>
  <c r="DF45" i="2"/>
  <c r="DE45" i="2"/>
  <c r="DD45" i="2"/>
  <c r="DC45" i="2"/>
  <c r="DB45" i="2"/>
  <c r="DA45" i="2"/>
  <c r="CZ45" i="2"/>
  <c r="CY45" i="2"/>
  <c r="CX45" i="2"/>
  <c r="CW45" i="2"/>
  <c r="CV45" i="2"/>
  <c r="CU45" i="2"/>
  <c r="CT45" i="2"/>
  <c r="CS45" i="2"/>
  <c r="CR45" i="2"/>
  <c r="CQ45" i="2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A45" i="2"/>
  <c r="CB45" i="2" s="1"/>
  <c r="BZ45" i="2"/>
  <c r="BY45" i="2"/>
  <c r="BX45" i="2"/>
  <c r="BW45" i="2"/>
  <c r="BV45" i="2"/>
  <c r="BU45" i="2"/>
  <c r="BT45" i="2"/>
  <c r="BS45" i="2"/>
  <c r="BR45" i="2"/>
  <c r="BQ45" i="2"/>
  <c r="BP45" i="2"/>
  <c r="BN45" i="2"/>
  <c r="BO45" i="2" s="1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N45" i="2"/>
  <c r="AO45" i="2" s="1"/>
  <c r="AM45" i="2"/>
  <c r="AL45" i="2"/>
  <c r="AK45" i="2"/>
  <c r="AJ45" i="2"/>
  <c r="AI45" i="2"/>
  <c r="AH45" i="2"/>
  <c r="AG45" i="2"/>
  <c r="AF45" i="2"/>
  <c r="AE45" i="2"/>
  <c r="AD45" i="2"/>
  <c r="AC45" i="2"/>
  <c r="AA45" i="2"/>
  <c r="AB45" i="2" s="1"/>
  <c r="Z45" i="2"/>
  <c r="Y45" i="2"/>
  <c r="X45" i="2"/>
  <c r="W45" i="2"/>
  <c r="V45" i="2"/>
  <c r="U45" i="2"/>
  <c r="T45" i="2"/>
  <c r="S45" i="2"/>
  <c r="R45" i="2"/>
  <c r="Q45" i="2"/>
  <c r="P45" i="2"/>
  <c r="N45" i="2"/>
  <c r="O45" i="2" s="1"/>
  <c r="M45" i="2"/>
  <c r="L45" i="2"/>
  <c r="K45" i="2"/>
  <c r="J45" i="2"/>
  <c r="I45" i="2"/>
  <c r="H45" i="2"/>
  <c r="G45" i="2"/>
  <c r="F45" i="2"/>
  <c r="E45" i="2"/>
  <c r="D45" i="2"/>
  <c r="C45" i="2"/>
  <c r="FI44" i="2"/>
  <c r="FH44" i="2"/>
  <c r="FG44" i="2"/>
  <c r="FF44" i="2"/>
  <c r="FE44" i="2"/>
  <c r="FD44" i="2"/>
  <c r="FC44" i="2"/>
  <c r="FA44" i="2"/>
  <c r="FB44" i="2" s="1"/>
  <c r="EZ44" i="2"/>
  <c r="EY44" i="2"/>
  <c r="EX44" i="2"/>
  <c r="EW44" i="2"/>
  <c r="EV44" i="2"/>
  <c r="EU44" i="2"/>
  <c r="ET44" i="2"/>
  <c r="ES44" i="2"/>
  <c r="ER44" i="2"/>
  <c r="EQ44" i="2"/>
  <c r="EP44" i="2"/>
  <c r="EN44" i="2"/>
  <c r="EM44" i="2"/>
  <c r="EL44" i="2"/>
  <c r="EK44" i="2"/>
  <c r="EJ44" i="2"/>
  <c r="EI44" i="2"/>
  <c r="EH44" i="2"/>
  <c r="EG44" i="2"/>
  <c r="EF44" i="2"/>
  <c r="EE44" i="2"/>
  <c r="ED44" i="2"/>
  <c r="EC44" i="2"/>
  <c r="EA44" i="2"/>
  <c r="DZ44" i="2"/>
  <c r="DY44" i="2"/>
  <c r="DX44" i="2"/>
  <c r="DW44" i="2"/>
  <c r="DV44" i="2"/>
  <c r="DU44" i="2"/>
  <c r="DT44" i="2"/>
  <c r="DS44" i="2"/>
  <c r="DR44" i="2"/>
  <c r="DQ44" i="2"/>
  <c r="DP44" i="2"/>
  <c r="DO44" i="2"/>
  <c r="DN44" i="2"/>
  <c r="DM44" i="2"/>
  <c r="DL44" i="2"/>
  <c r="DK44" i="2"/>
  <c r="DJ44" i="2"/>
  <c r="DI44" i="2"/>
  <c r="DH44" i="2"/>
  <c r="DG44" i="2"/>
  <c r="DF44" i="2"/>
  <c r="DE44" i="2"/>
  <c r="DD44" i="2"/>
  <c r="DC44" i="2"/>
  <c r="DA44" i="2"/>
  <c r="DB44" i="2" s="1"/>
  <c r="CZ44" i="2"/>
  <c r="CY44" i="2"/>
  <c r="CX44" i="2"/>
  <c r="CW44" i="2"/>
  <c r="CV44" i="2"/>
  <c r="CU44" i="2"/>
  <c r="CT44" i="2"/>
  <c r="CS44" i="2"/>
  <c r="CR44" i="2"/>
  <c r="CQ44" i="2"/>
  <c r="CP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A44" i="2"/>
  <c r="CB44" i="2" s="1"/>
  <c r="BZ44" i="2"/>
  <c r="BY44" i="2"/>
  <c r="BX44" i="2"/>
  <c r="BW44" i="2"/>
  <c r="BV44" i="2"/>
  <c r="BU44" i="2"/>
  <c r="BT44" i="2"/>
  <c r="BS44" i="2"/>
  <c r="BR44" i="2"/>
  <c r="BQ44" i="2"/>
  <c r="BP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N44" i="2"/>
  <c r="AO44" i="2" s="1"/>
  <c r="AM44" i="2"/>
  <c r="AL44" i="2"/>
  <c r="AK44" i="2"/>
  <c r="AJ44" i="2"/>
  <c r="AI44" i="2"/>
  <c r="AH44" i="2"/>
  <c r="AG44" i="2"/>
  <c r="AF44" i="2"/>
  <c r="AE44" i="2"/>
  <c r="AD44" i="2"/>
  <c r="AC44" i="2"/>
  <c r="AA44" i="2"/>
  <c r="Z44" i="2"/>
  <c r="Y44" i="2"/>
  <c r="X44" i="2"/>
  <c r="W44" i="2"/>
  <c r="V44" i="2"/>
  <c r="U44" i="2"/>
  <c r="T44" i="2"/>
  <c r="S44" i="2"/>
  <c r="R44" i="2"/>
  <c r="Q44" i="2"/>
  <c r="P44" i="2"/>
  <c r="N44" i="2"/>
  <c r="O44" i="2" s="1"/>
  <c r="M44" i="2"/>
  <c r="L44" i="2"/>
  <c r="K44" i="2"/>
  <c r="J44" i="2"/>
  <c r="I44" i="2"/>
  <c r="H44" i="2"/>
  <c r="G44" i="2"/>
  <c r="F44" i="2"/>
  <c r="E44" i="2"/>
  <c r="D44" i="2"/>
  <c r="C44" i="2"/>
  <c r="FN40" i="2"/>
  <c r="FM40" i="2"/>
  <c r="FL40" i="2"/>
  <c r="FK40" i="2"/>
  <c r="FJ40" i="2"/>
  <c r="FI39" i="2"/>
  <c r="FO39" i="2" s="1"/>
  <c r="FH39" i="2"/>
  <c r="FG39" i="2"/>
  <c r="FF39" i="2"/>
  <c r="FE39" i="2"/>
  <c r="FD39" i="2"/>
  <c r="FC39" i="2"/>
  <c r="FB39" i="2"/>
  <c r="FA39" i="2"/>
  <c r="EZ39" i="2"/>
  <c r="EY39" i="2"/>
  <c r="EX39" i="2"/>
  <c r="EW39" i="2"/>
  <c r="EV39" i="2"/>
  <c r="EU39" i="2"/>
  <c r="ET39" i="2"/>
  <c r="ES39" i="2"/>
  <c r="ER39" i="2"/>
  <c r="EQ39" i="2"/>
  <c r="EP39" i="2"/>
  <c r="EN39" i="2"/>
  <c r="EO39" i="2" s="1"/>
  <c r="EM39" i="2"/>
  <c r="EL39" i="2"/>
  <c r="EK39" i="2"/>
  <c r="EJ39" i="2"/>
  <c r="EI39" i="2"/>
  <c r="EH39" i="2"/>
  <c r="EG39" i="2"/>
  <c r="EF39" i="2"/>
  <c r="EE39" i="2"/>
  <c r="ED39" i="2"/>
  <c r="EC39" i="2"/>
  <c r="EA39" i="2"/>
  <c r="EB39" i="2" s="1"/>
  <c r="DZ39" i="2"/>
  <c r="DY39" i="2"/>
  <c r="DX39" i="2"/>
  <c r="DW39" i="2"/>
  <c r="DV39" i="2"/>
  <c r="DU39" i="2"/>
  <c r="DT39" i="2"/>
  <c r="DS39" i="2"/>
  <c r="DR39" i="2"/>
  <c r="DQ39" i="2"/>
  <c r="DP39" i="2"/>
  <c r="DO39" i="2"/>
  <c r="DN39" i="2"/>
  <c r="DM39" i="2"/>
  <c r="DL39" i="2"/>
  <c r="DK39" i="2"/>
  <c r="DJ39" i="2"/>
  <c r="DI39" i="2"/>
  <c r="DH39" i="2"/>
  <c r="DG39" i="2"/>
  <c r="DF39" i="2"/>
  <c r="DE39" i="2"/>
  <c r="DD39" i="2"/>
  <c r="DC39" i="2"/>
  <c r="DA39" i="2"/>
  <c r="DB39" i="2" s="1"/>
  <c r="CZ39" i="2"/>
  <c r="CY39" i="2"/>
  <c r="CX39" i="2"/>
  <c r="CW39" i="2"/>
  <c r="CV39" i="2"/>
  <c r="CU39" i="2"/>
  <c r="CT39" i="2"/>
  <c r="CS39" i="2"/>
  <c r="CR39" i="2"/>
  <c r="CQ39" i="2"/>
  <c r="CP39" i="2"/>
  <c r="CN39" i="2"/>
  <c r="CO39" i="2" s="1"/>
  <c r="CM39" i="2"/>
  <c r="CL39" i="2"/>
  <c r="CK39" i="2"/>
  <c r="CJ39" i="2"/>
  <c r="CI39" i="2"/>
  <c r="CH39" i="2"/>
  <c r="CG39" i="2"/>
  <c r="CF39" i="2"/>
  <c r="CE39" i="2"/>
  <c r="CD39" i="2"/>
  <c r="CC39" i="2"/>
  <c r="CA39" i="2"/>
  <c r="CB39" i="2" s="1"/>
  <c r="BZ39" i="2"/>
  <c r="BY39" i="2"/>
  <c r="BX39" i="2"/>
  <c r="BW39" i="2"/>
  <c r="BV39" i="2"/>
  <c r="BU39" i="2"/>
  <c r="BT39" i="2"/>
  <c r="BS39" i="2"/>
  <c r="BR39" i="2"/>
  <c r="BQ39" i="2"/>
  <c r="BP39" i="2"/>
  <c r="BN39" i="2"/>
  <c r="BO39" i="2" s="1"/>
  <c r="BM39" i="2"/>
  <c r="BL39" i="2"/>
  <c r="BK39" i="2"/>
  <c r="BJ39" i="2"/>
  <c r="BI39" i="2"/>
  <c r="BH39" i="2"/>
  <c r="BG39" i="2"/>
  <c r="BF39" i="2"/>
  <c r="BE39" i="2"/>
  <c r="BD39" i="2"/>
  <c r="BC39" i="2"/>
  <c r="BA39" i="2"/>
  <c r="BB39" i="2" s="1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N39" i="2"/>
  <c r="O39" i="2" s="1"/>
  <c r="M39" i="2"/>
  <c r="L39" i="2"/>
  <c r="K39" i="2"/>
  <c r="J39" i="2"/>
  <c r="I39" i="2"/>
  <c r="H39" i="2"/>
  <c r="G39" i="2"/>
  <c r="F39" i="2"/>
  <c r="E39" i="2"/>
  <c r="D39" i="2"/>
  <c r="C39" i="2"/>
  <c r="FI38" i="2"/>
  <c r="FO38" i="2" s="1"/>
  <c r="FH38" i="2"/>
  <c r="FG38" i="2"/>
  <c r="FF38" i="2"/>
  <c r="FE38" i="2"/>
  <c r="FD38" i="2"/>
  <c r="FC38" i="2"/>
  <c r="FA38" i="2"/>
  <c r="FB38" i="2" s="1"/>
  <c r="EZ38" i="2"/>
  <c r="EY38" i="2"/>
  <c r="EX38" i="2"/>
  <c r="EW38" i="2"/>
  <c r="EV38" i="2"/>
  <c r="EU38" i="2"/>
  <c r="ET38" i="2"/>
  <c r="ES38" i="2"/>
  <c r="ER38" i="2"/>
  <c r="EQ38" i="2"/>
  <c r="EP38" i="2"/>
  <c r="EO38" i="2"/>
  <c r="EN38" i="2"/>
  <c r="EM38" i="2"/>
  <c r="EL38" i="2"/>
  <c r="EK38" i="2"/>
  <c r="EJ38" i="2"/>
  <c r="EI38" i="2"/>
  <c r="EH38" i="2"/>
  <c r="EG38" i="2"/>
  <c r="EF38" i="2"/>
  <c r="EE38" i="2"/>
  <c r="ED38" i="2"/>
  <c r="EC38" i="2"/>
  <c r="EA38" i="2"/>
  <c r="EB38" i="2" s="1"/>
  <c r="DZ38" i="2"/>
  <c r="DY38" i="2"/>
  <c r="DX38" i="2"/>
  <c r="DW38" i="2"/>
  <c r="DV38" i="2"/>
  <c r="DU38" i="2"/>
  <c r="DT38" i="2"/>
  <c r="DS38" i="2"/>
  <c r="DR38" i="2"/>
  <c r="DQ38" i="2"/>
  <c r="DP38" i="2"/>
  <c r="DN38" i="2"/>
  <c r="DO38" i="2" s="1"/>
  <c r="DM38" i="2"/>
  <c r="DL38" i="2"/>
  <c r="DK38" i="2"/>
  <c r="DJ38" i="2"/>
  <c r="DI38" i="2"/>
  <c r="DH38" i="2"/>
  <c r="DG38" i="2"/>
  <c r="DF38" i="2"/>
  <c r="DE38" i="2"/>
  <c r="DD38" i="2"/>
  <c r="DC38" i="2"/>
  <c r="DA38" i="2"/>
  <c r="DB38" i="2" s="1"/>
  <c r="CZ38" i="2"/>
  <c r="CY38" i="2"/>
  <c r="CX38" i="2"/>
  <c r="CW38" i="2"/>
  <c r="CV38" i="2"/>
  <c r="CU38" i="2"/>
  <c r="CT38" i="2"/>
  <c r="CS38" i="2"/>
  <c r="CR38" i="2"/>
  <c r="CQ38" i="2"/>
  <c r="CP38" i="2"/>
  <c r="CN38" i="2"/>
  <c r="CO38" i="2" s="1"/>
  <c r="CM38" i="2"/>
  <c r="CL38" i="2"/>
  <c r="CK38" i="2"/>
  <c r="CJ38" i="2"/>
  <c r="CI38" i="2"/>
  <c r="CH38" i="2"/>
  <c r="CG38" i="2"/>
  <c r="CF38" i="2"/>
  <c r="CE38" i="2"/>
  <c r="CD38" i="2"/>
  <c r="CC38" i="2"/>
  <c r="CA38" i="2"/>
  <c r="CB38" i="2" s="1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A38" i="2"/>
  <c r="BB38" i="2" s="1"/>
  <c r="AZ38" i="2"/>
  <c r="AY38" i="2"/>
  <c r="AX38" i="2"/>
  <c r="AW38" i="2"/>
  <c r="AV38" i="2"/>
  <c r="AU38" i="2"/>
  <c r="AT38" i="2"/>
  <c r="AS38" i="2"/>
  <c r="AR38" i="2"/>
  <c r="AQ38" i="2"/>
  <c r="AP38" i="2"/>
  <c r="AN38" i="2"/>
  <c r="AO38" i="2" s="1"/>
  <c r="AM38" i="2"/>
  <c r="AL38" i="2"/>
  <c r="AK38" i="2"/>
  <c r="AJ38" i="2"/>
  <c r="AI38" i="2"/>
  <c r="AH38" i="2"/>
  <c r="AG38" i="2"/>
  <c r="AF38" i="2"/>
  <c r="AE38" i="2"/>
  <c r="AD38" i="2"/>
  <c r="AC38" i="2"/>
  <c r="AA38" i="2"/>
  <c r="AB38" i="2" s="1"/>
  <c r="Z38" i="2"/>
  <c r="Y38" i="2"/>
  <c r="X38" i="2"/>
  <c r="W38" i="2"/>
  <c r="V38" i="2"/>
  <c r="U38" i="2"/>
  <c r="T38" i="2"/>
  <c r="S38" i="2"/>
  <c r="R38" i="2"/>
  <c r="Q38" i="2"/>
  <c r="P38" i="2"/>
  <c r="N38" i="2"/>
  <c r="O38" i="2" s="1"/>
  <c r="M38" i="2"/>
  <c r="L38" i="2"/>
  <c r="K38" i="2"/>
  <c r="J38" i="2"/>
  <c r="I38" i="2"/>
  <c r="H38" i="2"/>
  <c r="G38" i="2"/>
  <c r="F38" i="2"/>
  <c r="E38" i="2"/>
  <c r="D38" i="2"/>
  <c r="C38" i="2"/>
  <c r="FI37" i="2"/>
  <c r="FO37" i="2" s="1"/>
  <c r="FH37" i="2"/>
  <c r="FG37" i="2"/>
  <c r="FF37" i="2"/>
  <c r="FE37" i="2"/>
  <c r="FD37" i="2"/>
  <c r="FC37" i="2"/>
  <c r="FA37" i="2"/>
  <c r="FB37" i="2" s="1"/>
  <c r="EZ37" i="2"/>
  <c r="EY37" i="2"/>
  <c r="EX37" i="2"/>
  <c r="EW37" i="2"/>
  <c r="EV37" i="2"/>
  <c r="EU37" i="2"/>
  <c r="ET37" i="2"/>
  <c r="ES37" i="2"/>
  <c r="ER37" i="2"/>
  <c r="EQ37" i="2"/>
  <c r="EP37" i="2"/>
  <c r="EN37" i="2"/>
  <c r="EO37" i="2" s="1"/>
  <c r="EM37" i="2"/>
  <c r="EL37" i="2"/>
  <c r="EK37" i="2"/>
  <c r="EJ37" i="2"/>
  <c r="EI37" i="2"/>
  <c r="EH37" i="2"/>
  <c r="EG37" i="2"/>
  <c r="EF37" i="2"/>
  <c r="EE37" i="2"/>
  <c r="ED37" i="2"/>
  <c r="EC37" i="2"/>
  <c r="EA37" i="2"/>
  <c r="EB37" i="2" s="1"/>
  <c r="DZ37" i="2"/>
  <c r="DY37" i="2"/>
  <c r="DX37" i="2"/>
  <c r="DW37" i="2"/>
  <c r="DV37" i="2"/>
  <c r="DU37" i="2"/>
  <c r="DT37" i="2"/>
  <c r="DS37" i="2"/>
  <c r="DR37" i="2"/>
  <c r="DQ37" i="2"/>
  <c r="DP37" i="2"/>
  <c r="DO37" i="2"/>
  <c r="DN37" i="2"/>
  <c r="DM37" i="2"/>
  <c r="DL37" i="2"/>
  <c r="DK37" i="2"/>
  <c r="DJ37" i="2"/>
  <c r="DI37" i="2"/>
  <c r="DH37" i="2"/>
  <c r="DG37" i="2"/>
  <c r="DF37" i="2"/>
  <c r="DE37" i="2"/>
  <c r="DD37" i="2"/>
  <c r="DC37" i="2"/>
  <c r="DA37" i="2"/>
  <c r="DB37" i="2" s="1"/>
  <c r="CZ37" i="2"/>
  <c r="CY37" i="2"/>
  <c r="CX37" i="2"/>
  <c r="CW37" i="2"/>
  <c r="CV37" i="2"/>
  <c r="CU37" i="2"/>
  <c r="CT37" i="2"/>
  <c r="CS37" i="2"/>
  <c r="CR37" i="2"/>
  <c r="CQ37" i="2"/>
  <c r="CP37" i="2"/>
  <c r="CN37" i="2"/>
  <c r="CO37" i="2" s="1"/>
  <c r="CM37" i="2"/>
  <c r="CL37" i="2"/>
  <c r="CK37" i="2"/>
  <c r="CJ37" i="2"/>
  <c r="CI37" i="2"/>
  <c r="CH37" i="2"/>
  <c r="CG37" i="2"/>
  <c r="CF37" i="2"/>
  <c r="CE37" i="2"/>
  <c r="CD37" i="2"/>
  <c r="CC37" i="2"/>
  <c r="CA37" i="2"/>
  <c r="CB37" i="2" s="1"/>
  <c r="BZ37" i="2"/>
  <c r="BY37" i="2"/>
  <c r="BX37" i="2"/>
  <c r="BW37" i="2"/>
  <c r="BV37" i="2"/>
  <c r="BU37" i="2"/>
  <c r="BT37" i="2"/>
  <c r="BS37" i="2"/>
  <c r="BR37" i="2"/>
  <c r="BQ37" i="2"/>
  <c r="BP37" i="2"/>
  <c r="BN37" i="2"/>
  <c r="BO37" i="2" s="1"/>
  <c r="BM37" i="2"/>
  <c r="BL37" i="2"/>
  <c r="BK37" i="2"/>
  <c r="BJ37" i="2"/>
  <c r="BI37" i="2"/>
  <c r="BH37" i="2"/>
  <c r="BG37" i="2"/>
  <c r="BF37" i="2"/>
  <c r="BE37" i="2"/>
  <c r="BD37" i="2"/>
  <c r="BC37" i="2"/>
  <c r="BA37" i="2"/>
  <c r="BB37" i="2" s="1"/>
  <c r="AZ37" i="2"/>
  <c r="AY37" i="2"/>
  <c r="AX37" i="2"/>
  <c r="AW37" i="2"/>
  <c r="AV37" i="2"/>
  <c r="AU37" i="2"/>
  <c r="AT37" i="2"/>
  <c r="AS37" i="2"/>
  <c r="AR37" i="2"/>
  <c r="AQ37" i="2"/>
  <c r="AP37" i="2"/>
  <c r="AN37" i="2"/>
  <c r="AO37" i="2" s="1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N37" i="2"/>
  <c r="O37" i="2" s="1"/>
  <c r="M37" i="2"/>
  <c r="L37" i="2"/>
  <c r="K37" i="2"/>
  <c r="J37" i="2"/>
  <c r="I37" i="2"/>
  <c r="H37" i="2"/>
  <c r="G37" i="2"/>
  <c r="F37" i="2"/>
  <c r="E37" i="2"/>
  <c r="D37" i="2"/>
  <c r="C37" i="2"/>
  <c r="FI36" i="2"/>
  <c r="FO36" i="2" s="1"/>
  <c r="FH36" i="2"/>
  <c r="FG36" i="2"/>
  <c r="FF36" i="2"/>
  <c r="FE36" i="2"/>
  <c r="FD36" i="2"/>
  <c r="FC36" i="2"/>
  <c r="FB36" i="2"/>
  <c r="FA36" i="2"/>
  <c r="EZ36" i="2"/>
  <c r="EY36" i="2"/>
  <c r="EX36" i="2"/>
  <c r="EW36" i="2"/>
  <c r="EV36" i="2"/>
  <c r="EU36" i="2"/>
  <c r="ET36" i="2"/>
  <c r="ES36" i="2"/>
  <c r="ER36" i="2"/>
  <c r="EQ36" i="2"/>
  <c r="EP36" i="2"/>
  <c r="EN36" i="2"/>
  <c r="EO36" i="2" s="1"/>
  <c r="EM36" i="2"/>
  <c r="EL36" i="2"/>
  <c r="EK36" i="2"/>
  <c r="EJ36" i="2"/>
  <c r="EI36" i="2"/>
  <c r="EH36" i="2"/>
  <c r="EG36" i="2"/>
  <c r="EF36" i="2"/>
  <c r="EE36" i="2"/>
  <c r="ED36" i="2"/>
  <c r="EC36" i="2"/>
  <c r="EA36" i="2"/>
  <c r="EB36" i="2" s="1"/>
  <c r="DZ36" i="2"/>
  <c r="DY36" i="2"/>
  <c r="DX36" i="2"/>
  <c r="DW36" i="2"/>
  <c r="DV36" i="2"/>
  <c r="DU36" i="2"/>
  <c r="DT36" i="2"/>
  <c r="DS36" i="2"/>
  <c r="DR36" i="2"/>
  <c r="DQ36" i="2"/>
  <c r="DP36" i="2"/>
  <c r="DN36" i="2"/>
  <c r="DO36" i="2" s="1"/>
  <c r="DM36" i="2"/>
  <c r="DL36" i="2"/>
  <c r="DK36" i="2"/>
  <c r="DJ36" i="2"/>
  <c r="DI36" i="2"/>
  <c r="DH36" i="2"/>
  <c r="DG36" i="2"/>
  <c r="DF36" i="2"/>
  <c r="DE36" i="2"/>
  <c r="DD36" i="2"/>
  <c r="DC36" i="2"/>
  <c r="DA36" i="2"/>
  <c r="DB36" i="2" s="1"/>
  <c r="CZ36" i="2"/>
  <c r="CY36" i="2"/>
  <c r="CX36" i="2"/>
  <c r="CW36" i="2"/>
  <c r="CV36" i="2"/>
  <c r="CU36" i="2"/>
  <c r="CT36" i="2"/>
  <c r="CS36" i="2"/>
  <c r="CR36" i="2"/>
  <c r="CQ36" i="2"/>
  <c r="CP36" i="2"/>
  <c r="CN36" i="2"/>
  <c r="CO36" i="2" s="1"/>
  <c r="CM36" i="2"/>
  <c r="CL36" i="2"/>
  <c r="CK36" i="2"/>
  <c r="CJ36" i="2"/>
  <c r="CI36" i="2"/>
  <c r="CH36" i="2"/>
  <c r="CG36" i="2"/>
  <c r="CF36" i="2"/>
  <c r="CE36" i="2"/>
  <c r="CD36" i="2"/>
  <c r="CC36" i="2"/>
  <c r="CA36" i="2"/>
  <c r="CB36" i="2" s="1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A36" i="2"/>
  <c r="BB36" i="2" s="1"/>
  <c r="AZ36" i="2"/>
  <c r="AY36" i="2"/>
  <c r="AX36" i="2"/>
  <c r="AW36" i="2"/>
  <c r="AV36" i="2"/>
  <c r="AU36" i="2"/>
  <c r="AT36" i="2"/>
  <c r="AS36" i="2"/>
  <c r="AR36" i="2"/>
  <c r="AQ36" i="2"/>
  <c r="AP36" i="2"/>
  <c r="AN36" i="2"/>
  <c r="AO36" i="2" s="1"/>
  <c r="AM36" i="2"/>
  <c r="AL36" i="2"/>
  <c r="AK36" i="2"/>
  <c r="AJ36" i="2"/>
  <c r="AI36" i="2"/>
  <c r="AH36" i="2"/>
  <c r="AG36" i="2"/>
  <c r="AF36" i="2"/>
  <c r="AE36" i="2"/>
  <c r="AD36" i="2"/>
  <c r="AC36" i="2"/>
  <c r="AA36" i="2"/>
  <c r="AB36" i="2" s="1"/>
  <c r="Z36" i="2"/>
  <c r="Y36" i="2"/>
  <c r="X36" i="2"/>
  <c r="W36" i="2"/>
  <c r="V36" i="2"/>
  <c r="U36" i="2"/>
  <c r="T36" i="2"/>
  <c r="S36" i="2"/>
  <c r="R36" i="2"/>
  <c r="Q36" i="2"/>
  <c r="P36" i="2"/>
  <c r="N36" i="2"/>
  <c r="O36" i="2" s="1"/>
  <c r="M36" i="2"/>
  <c r="L36" i="2"/>
  <c r="K36" i="2"/>
  <c r="J36" i="2"/>
  <c r="I36" i="2"/>
  <c r="H36" i="2"/>
  <c r="G36" i="2"/>
  <c r="F36" i="2"/>
  <c r="E36" i="2"/>
  <c r="D36" i="2"/>
  <c r="C36" i="2"/>
  <c r="FO35" i="2"/>
  <c r="FI35" i="2"/>
  <c r="FH35" i="2"/>
  <c r="FG35" i="2"/>
  <c r="FF35" i="2"/>
  <c r="FE35" i="2"/>
  <c r="FD35" i="2"/>
  <c r="FC35" i="2"/>
  <c r="FA35" i="2"/>
  <c r="FB35" i="2" s="1"/>
  <c r="EZ35" i="2"/>
  <c r="EY35" i="2"/>
  <c r="EX35" i="2"/>
  <c r="EW35" i="2"/>
  <c r="EV35" i="2"/>
  <c r="EU35" i="2"/>
  <c r="ET35" i="2"/>
  <c r="ES35" i="2"/>
  <c r="ER35" i="2"/>
  <c r="EQ35" i="2"/>
  <c r="EP35" i="2"/>
  <c r="EN35" i="2"/>
  <c r="EO35" i="2" s="1"/>
  <c r="EM35" i="2"/>
  <c r="EL35" i="2"/>
  <c r="EK35" i="2"/>
  <c r="EJ35" i="2"/>
  <c r="EI35" i="2"/>
  <c r="EH35" i="2"/>
  <c r="EG35" i="2"/>
  <c r="EF35" i="2"/>
  <c r="EE35" i="2"/>
  <c r="ED35" i="2"/>
  <c r="EC35" i="2"/>
  <c r="EA35" i="2"/>
  <c r="EB35" i="2" s="1"/>
  <c r="DZ35" i="2"/>
  <c r="DY35" i="2"/>
  <c r="DX35" i="2"/>
  <c r="DW35" i="2"/>
  <c r="DV35" i="2"/>
  <c r="DU35" i="2"/>
  <c r="DT35" i="2"/>
  <c r="DS35" i="2"/>
  <c r="DR35" i="2"/>
  <c r="DQ35" i="2"/>
  <c r="DP35" i="2"/>
  <c r="DN35" i="2"/>
  <c r="DO35" i="2" s="1"/>
  <c r="DM35" i="2"/>
  <c r="DL35" i="2"/>
  <c r="DK35" i="2"/>
  <c r="DJ35" i="2"/>
  <c r="DI35" i="2"/>
  <c r="DH35" i="2"/>
  <c r="DG35" i="2"/>
  <c r="DF35" i="2"/>
  <c r="DE35" i="2"/>
  <c r="DD35" i="2"/>
  <c r="DC35" i="2"/>
  <c r="DB35" i="2"/>
  <c r="DA35" i="2"/>
  <c r="CZ35" i="2"/>
  <c r="CY35" i="2"/>
  <c r="CX35" i="2"/>
  <c r="CW35" i="2"/>
  <c r="CV35" i="2"/>
  <c r="CU35" i="2"/>
  <c r="CT35" i="2"/>
  <c r="CS35" i="2"/>
  <c r="CR35" i="2"/>
  <c r="CQ35" i="2"/>
  <c r="CP35" i="2"/>
  <c r="CN35" i="2"/>
  <c r="CO35" i="2" s="1"/>
  <c r="CM35" i="2"/>
  <c r="CL35" i="2"/>
  <c r="CK35" i="2"/>
  <c r="CJ35" i="2"/>
  <c r="CI35" i="2"/>
  <c r="CH35" i="2"/>
  <c r="CG35" i="2"/>
  <c r="CF35" i="2"/>
  <c r="CE35" i="2"/>
  <c r="CD35" i="2"/>
  <c r="CC35" i="2"/>
  <c r="CA35" i="2"/>
  <c r="CB35" i="2" s="1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A35" i="2"/>
  <c r="BB35" i="2" s="1"/>
  <c r="AZ35" i="2"/>
  <c r="AY35" i="2"/>
  <c r="AX35" i="2"/>
  <c r="AW35" i="2"/>
  <c r="AV35" i="2"/>
  <c r="AU35" i="2"/>
  <c r="AT35" i="2"/>
  <c r="AS35" i="2"/>
  <c r="AR35" i="2"/>
  <c r="AQ35" i="2"/>
  <c r="AP35" i="2"/>
  <c r="AN35" i="2"/>
  <c r="AO35" i="2" s="1"/>
  <c r="AM35" i="2"/>
  <c r="AL35" i="2"/>
  <c r="AK35" i="2"/>
  <c r="AJ35" i="2"/>
  <c r="AI35" i="2"/>
  <c r="AH35" i="2"/>
  <c r="AG35" i="2"/>
  <c r="AF35" i="2"/>
  <c r="AE35" i="2"/>
  <c r="AD35" i="2"/>
  <c r="AC35" i="2"/>
  <c r="AA35" i="2"/>
  <c r="AB35" i="2" s="1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FI34" i="2"/>
  <c r="FO34" i="2" s="1"/>
  <c r="FH34" i="2"/>
  <c r="FG34" i="2"/>
  <c r="FF34" i="2"/>
  <c r="FE34" i="2"/>
  <c r="FD34" i="2"/>
  <c r="FC34" i="2"/>
  <c r="FA34" i="2"/>
  <c r="FB34" i="2" s="1"/>
  <c r="EZ34" i="2"/>
  <c r="EY34" i="2"/>
  <c r="EX34" i="2"/>
  <c r="EW34" i="2"/>
  <c r="EV34" i="2"/>
  <c r="EU34" i="2"/>
  <c r="ET34" i="2"/>
  <c r="ES34" i="2"/>
  <c r="ER34" i="2"/>
  <c r="EQ34" i="2"/>
  <c r="EP34" i="2"/>
  <c r="EN34" i="2"/>
  <c r="EO34" i="2" s="1"/>
  <c r="EM34" i="2"/>
  <c r="EL34" i="2"/>
  <c r="EK34" i="2"/>
  <c r="EJ34" i="2"/>
  <c r="EI34" i="2"/>
  <c r="EH34" i="2"/>
  <c r="EG34" i="2"/>
  <c r="EF34" i="2"/>
  <c r="EE34" i="2"/>
  <c r="ED34" i="2"/>
  <c r="EC34" i="2"/>
  <c r="EA34" i="2"/>
  <c r="EB34" i="2" s="1"/>
  <c r="DZ34" i="2"/>
  <c r="DY34" i="2"/>
  <c r="DX34" i="2"/>
  <c r="DW34" i="2"/>
  <c r="DV34" i="2"/>
  <c r="DU34" i="2"/>
  <c r="DT34" i="2"/>
  <c r="DS34" i="2"/>
  <c r="DR34" i="2"/>
  <c r="DQ34" i="2"/>
  <c r="DP34" i="2"/>
  <c r="DO34" i="2"/>
  <c r="DN34" i="2"/>
  <c r="DM34" i="2"/>
  <c r="DL34" i="2"/>
  <c r="DK34" i="2"/>
  <c r="DJ34" i="2"/>
  <c r="DI34" i="2"/>
  <c r="DH34" i="2"/>
  <c r="DG34" i="2"/>
  <c r="DF34" i="2"/>
  <c r="DE34" i="2"/>
  <c r="DD34" i="2"/>
  <c r="DC34" i="2"/>
  <c r="DB34" i="2"/>
  <c r="DA34" i="2"/>
  <c r="CZ34" i="2"/>
  <c r="CY34" i="2"/>
  <c r="CX34" i="2"/>
  <c r="CW34" i="2"/>
  <c r="CV34" i="2"/>
  <c r="CU34" i="2"/>
  <c r="CT34" i="2"/>
  <c r="CS34" i="2"/>
  <c r="CR34" i="2"/>
  <c r="CQ34" i="2"/>
  <c r="CP34" i="2"/>
  <c r="CN34" i="2"/>
  <c r="CO34" i="2" s="1"/>
  <c r="CM34" i="2"/>
  <c r="CL34" i="2"/>
  <c r="CK34" i="2"/>
  <c r="CJ34" i="2"/>
  <c r="CI34" i="2"/>
  <c r="CH34" i="2"/>
  <c r="CG34" i="2"/>
  <c r="CF34" i="2"/>
  <c r="CE34" i="2"/>
  <c r="CD34" i="2"/>
  <c r="CC34" i="2"/>
  <c r="CA34" i="2"/>
  <c r="CB34" i="2" s="1"/>
  <c r="BZ34" i="2"/>
  <c r="BY34" i="2"/>
  <c r="BX34" i="2"/>
  <c r="BW34" i="2"/>
  <c r="BV34" i="2"/>
  <c r="BU34" i="2"/>
  <c r="BT34" i="2"/>
  <c r="BS34" i="2"/>
  <c r="BR34" i="2"/>
  <c r="BQ34" i="2"/>
  <c r="BP34" i="2"/>
  <c r="BN34" i="2"/>
  <c r="BO34" i="2" s="1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N34" i="2"/>
  <c r="AO34" i="2" s="1"/>
  <c r="AM34" i="2"/>
  <c r="AL34" i="2"/>
  <c r="AK34" i="2"/>
  <c r="AJ34" i="2"/>
  <c r="AI34" i="2"/>
  <c r="AH34" i="2"/>
  <c r="AG34" i="2"/>
  <c r="AF34" i="2"/>
  <c r="AE34" i="2"/>
  <c r="AD34" i="2"/>
  <c r="AC34" i="2"/>
  <c r="AA34" i="2"/>
  <c r="AB34" i="2" s="1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FI33" i="2"/>
  <c r="FO33" i="2" s="1"/>
  <c r="FH33" i="2"/>
  <c r="FG33" i="2"/>
  <c r="FF33" i="2"/>
  <c r="FE33" i="2"/>
  <c r="FD33" i="2"/>
  <c r="FC33" i="2"/>
  <c r="FA33" i="2"/>
  <c r="FB33" i="2" s="1"/>
  <c r="EZ33" i="2"/>
  <c r="EY33" i="2"/>
  <c r="EX33" i="2"/>
  <c r="EW33" i="2"/>
  <c r="EV33" i="2"/>
  <c r="EU33" i="2"/>
  <c r="ET33" i="2"/>
  <c r="ES33" i="2"/>
  <c r="ER33" i="2"/>
  <c r="EQ33" i="2"/>
  <c r="EP33" i="2"/>
  <c r="EN33" i="2"/>
  <c r="EO33" i="2" s="1"/>
  <c r="EM33" i="2"/>
  <c r="EL33" i="2"/>
  <c r="EK33" i="2"/>
  <c r="EJ33" i="2"/>
  <c r="EI33" i="2"/>
  <c r="EH33" i="2"/>
  <c r="EG33" i="2"/>
  <c r="EF33" i="2"/>
  <c r="EE33" i="2"/>
  <c r="ED33" i="2"/>
  <c r="EC33" i="2"/>
  <c r="EA33" i="2"/>
  <c r="EB33" i="2" s="1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A33" i="2"/>
  <c r="DB33" i="2" s="1"/>
  <c r="CZ33" i="2"/>
  <c r="CY33" i="2"/>
  <c r="CX33" i="2"/>
  <c r="CW33" i="2"/>
  <c r="CV33" i="2"/>
  <c r="CU33" i="2"/>
  <c r="CT33" i="2"/>
  <c r="CS33" i="2"/>
  <c r="CR33" i="2"/>
  <c r="CQ33" i="2"/>
  <c r="CP33" i="2"/>
  <c r="CN33" i="2"/>
  <c r="CO33" i="2" s="1"/>
  <c r="CM33" i="2"/>
  <c r="CL33" i="2"/>
  <c r="CK33" i="2"/>
  <c r="CJ33" i="2"/>
  <c r="CI33" i="2"/>
  <c r="CH33" i="2"/>
  <c r="CG33" i="2"/>
  <c r="CF33" i="2"/>
  <c r="CE33" i="2"/>
  <c r="CD33" i="2"/>
  <c r="CC33" i="2"/>
  <c r="CA33" i="2"/>
  <c r="CB33" i="2" s="1"/>
  <c r="BZ33" i="2"/>
  <c r="BY33" i="2"/>
  <c r="BX33" i="2"/>
  <c r="BW33" i="2"/>
  <c r="BV33" i="2"/>
  <c r="BU33" i="2"/>
  <c r="BT33" i="2"/>
  <c r="BS33" i="2"/>
  <c r="BR33" i="2"/>
  <c r="BQ33" i="2"/>
  <c r="BP33" i="2"/>
  <c r="BN33" i="2"/>
  <c r="BO33" i="2" s="1"/>
  <c r="BM33" i="2"/>
  <c r="BL33" i="2"/>
  <c r="BK33" i="2"/>
  <c r="BJ33" i="2"/>
  <c r="BI33" i="2"/>
  <c r="BH33" i="2"/>
  <c r="BG33" i="2"/>
  <c r="BF33" i="2"/>
  <c r="BE33" i="2"/>
  <c r="BD33" i="2"/>
  <c r="BC33" i="2"/>
  <c r="BA33" i="2"/>
  <c r="BB33" i="2" s="1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A33" i="2"/>
  <c r="AB33" i="2" s="1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FI32" i="2"/>
  <c r="FO32" i="2" s="1"/>
  <c r="FH32" i="2"/>
  <c r="FG32" i="2"/>
  <c r="FF32" i="2"/>
  <c r="FE32" i="2"/>
  <c r="FD32" i="2"/>
  <c r="FC32" i="2"/>
  <c r="FA32" i="2"/>
  <c r="FB32" i="2" s="1"/>
  <c r="EZ32" i="2"/>
  <c r="EY32" i="2"/>
  <c r="EX32" i="2"/>
  <c r="EW32" i="2"/>
  <c r="EV32" i="2"/>
  <c r="EU32" i="2"/>
  <c r="ET32" i="2"/>
  <c r="ES32" i="2"/>
  <c r="ER32" i="2"/>
  <c r="EQ32" i="2"/>
  <c r="EP32" i="2"/>
  <c r="EO32" i="2"/>
  <c r="EN32" i="2"/>
  <c r="EM32" i="2"/>
  <c r="EL32" i="2"/>
  <c r="EK32" i="2"/>
  <c r="EJ32" i="2"/>
  <c r="EI32" i="2"/>
  <c r="EH32" i="2"/>
  <c r="EG32" i="2"/>
  <c r="EF32" i="2"/>
  <c r="EE32" i="2"/>
  <c r="ED32" i="2"/>
  <c r="EC32" i="2"/>
  <c r="EA32" i="2"/>
  <c r="EB32" i="2" s="1"/>
  <c r="DZ32" i="2"/>
  <c r="DY32" i="2"/>
  <c r="DX32" i="2"/>
  <c r="DW32" i="2"/>
  <c r="DV32" i="2"/>
  <c r="DU32" i="2"/>
  <c r="DT32" i="2"/>
  <c r="DS32" i="2"/>
  <c r="DR32" i="2"/>
  <c r="DQ32" i="2"/>
  <c r="DP32" i="2"/>
  <c r="DN32" i="2"/>
  <c r="DO32" i="2" s="1"/>
  <c r="DM32" i="2"/>
  <c r="DL32" i="2"/>
  <c r="DK32" i="2"/>
  <c r="DJ32" i="2"/>
  <c r="DI32" i="2"/>
  <c r="DH32" i="2"/>
  <c r="DG32" i="2"/>
  <c r="DF32" i="2"/>
  <c r="DE32" i="2"/>
  <c r="DD32" i="2"/>
  <c r="DC32" i="2"/>
  <c r="DB32" i="2"/>
  <c r="DA32" i="2"/>
  <c r="CZ32" i="2"/>
  <c r="CY32" i="2"/>
  <c r="CX32" i="2"/>
  <c r="CW32" i="2"/>
  <c r="CV32" i="2"/>
  <c r="CU32" i="2"/>
  <c r="CT32" i="2"/>
  <c r="CS32" i="2"/>
  <c r="CR32" i="2"/>
  <c r="CQ32" i="2"/>
  <c r="CP32" i="2"/>
  <c r="CN32" i="2"/>
  <c r="CO32" i="2" s="1"/>
  <c r="CM32" i="2"/>
  <c r="CL32" i="2"/>
  <c r="CK32" i="2"/>
  <c r="CJ32" i="2"/>
  <c r="CI32" i="2"/>
  <c r="CH32" i="2"/>
  <c r="CG32" i="2"/>
  <c r="CF32" i="2"/>
  <c r="CE32" i="2"/>
  <c r="CD32" i="2"/>
  <c r="CC32" i="2"/>
  <c r="CA32" i="2"/>
  <c r="CB32" i="2" s="1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A32" i="2"/>
  <c r="BB32" i="2" s="1"/>
  <c r="AZ32" i="2"/>
  <c r="AY32" i="2"/>
  <c r="AX32" i="2"/>
  <c r="AW32" i="2"/>
  <c r="AV32" i="2"/>
  <c r="AU32" i="2"/>
  <c r="AT32" i="2"/>
  <c r="AS32" i="2"/>
  <c r="AR32" i="2"/>
  <c r="AQ32" i="2"/>
  <c r="AP32" i="2"/>
  <c r="AN32" i="2"/>
  <c r="AO32" i="2" s="1"/>
  <c r="AM32" i="2"/>
  <c r="AL32" i="2"/>
  <c r="AK32" i="2"/>
  <c r="AJ32" i="2"/>
  <c r="AI32" i="2"/>
  <c r="AH32" i="2"/>
  <c r="AG32" i="2"/>
  <c r="AF32" i="2"/>
  <c r="AE32" i="2"/>
  <c r="AD32" i="2"/>
  <c r="AC32" i="2"/>
  <c r="AA32" i="2"/>
  <c r="AB32" i="2" s="1"/>
  <c r="Z32" i="2"/>
  <c r="Y32" i="2"/>
  <c r="X32" i="2"/>
  <c r="W32" i="2"/>
  <c r="V32" i="2"/>
  <c r="U32" i="2"/>
  <c r="T32" i="2"/>
  <c r="S32" i="2"/>
  <c r="R32" i="2"/>
  <c r="Q32" i="2"/>
  <c r="P32" i="2"/>
  <c r="N32" i="2"/>
  <c r="O32" i="2" s="1"/>
  <c r="M32" i="2"/>
  <c r="L32" i="2"/>
  <c r="K32" i="2"/>
  <c r="J32" i="2"/>
  <c r="I32" i="2"/>
  <c r="H32" i="2"/>
  <c r="G32" i="2"/>
  <c r="F32" i="2"/>
  <c r="E32" i="2"/>
  <c r="D32" i="2"/>
  <c r="C32" i="2"/>
  <c r="FO31" i="2"/>
  <c r="FI31" i="2"/>
  <c r="FH31" i="2"/>
  <c r="FG31" i="2"/>
  <c r="FF31" i="2"/>
  <c r="FE31" i="2"/>
  <c r="FD31" i="2"/>
  <c r="FC31" i="2"/>
  <c r="FA31" i="2"/>
  <c r="FB31" i="2" s="1"/>
  <c r="EZ31" i="2"/>
  <c r="EY31" i="2"/>
  <c r="EX31" i="2"/>
  <c r="EW31" i="2"/>
  <c r="EV31" i="2"/>
  <c r="EU31" i="2"/>
  <c r="ET31" i="2"/>
  <c r="ES31" i="2"/>
  <c r="ER31" i="2"/>
  <c r="EQ31" i="2"/>
  <c r="EP31" i="2"/>
  <c r="EN31" i="2"/>
  <c r="EO31" i="2" s="1"/>
  <c r="EM31" i="2"/>
  <c r="EL31" i="2"/>
  <c r="EK31" i="2"/>
  <c r="EJ31" i="2"/>
  <c r="EI31" i="2"/>
  <c r="EH31" i="2"/>
  <c r="EG31" i="2"/>
  <c r="EF31" i="2"/>
  <c r="EE31" i="2"/>
  <c r="ED31" i="2"/>
  <c r="EC31" i="2"/>
  <c r="EA31" i="2"/>
  <c r="EB31" i="2" s="1"/>
  <c r="DZ31" i="2"/>
  <c r="DY31" i="2"/>
  <c r="DX31" i="2"/>
  <c r="DW31" i="2"/>
  <c r="DV31" i="2"/>
  <c r="DU31" i="2"/>
  <c r="DT31" i="2"/>
  <c r="DS31" i="2"/>
  <c r="DR31" i="2"/>
  <c r="DQ31" i="2"/>
  <c r="DP31" i="2"/>
  <c r="DO31" i="2"/>
  <c r="DN31" i="2"/>
  <c r="DM31" i="2"/>
  <c r="DL31" i="2"/>
  <c r="DK31" i="2"/>
  <c r="DJ31" i="2"/>
  <c r="DI31" i="2"/>
  <c r="DH31" i="2"/>
  <c r="DG31" i="2"/>
  <c r="DF31" i="2"/>
  <c r="DE31" i="2"/>
  <c r="DD31" i="2"/>
  <c r="DC31" i="2"/>
  <c r="DA31" i="2"/>
  <c r="DB31" i="2" s="1"/>
  <c r="CZ31" i="2"/>
  <c r="CY31" i="2"/>
  <c r="CX31" i="2"/>
  <c r="CW31" i="2"/>
  <c r="CV31" i="2"/>
  <c r="CU31" i="2"/>
  <c r="CT31" i="2"/>
  <c r="CS31" i="2"/>
  <c r="CR31" i="2"/>
  <c r="CQ31" i="2"/>
  <c r="CP31" i="2"/>
  <c r="CN31" i="2"/>
  <c r="CO31" i="2" s="1"/>
  <c r="CM31" i="2"/>
  <c r="CL31" i="2"/>
  <c r="CK31" i="2"/>
  <c r="CJ31" i="2"/>
  <c r="CI31" i="2"/>
  <c r="CH31" i="2"/>
  <c r="CG31" i="2"/>
  <c r="CF31" i="2"/>
  <c r="CE31" i="2"/>
  <c r="CD31" i="2"/>
  <c r="CC31" i="2"/>
  <c r="CA31" i="2"/>
  <c r="CB31" i="2" s="1"/>
  <c r="BZ31" i="2"/>
  <c r="BY31" i="2"/>
  <c r="BX31" i="2"/>
  <c r="BW31" i="2"/>
  <c r="BV31" i="2"/>
  <c r="BU31" i="2"/>
  <c r="BT31" i="2"/>
  <c r="BS31" i="2"/>
  <c r="BR31" i="2"/>
  <c r="BQ31" i="2"/>
  <c r="BP31" i="2"/>
  <c r="BN31" i="2"/>
  <c r="BO31" i="2" s="1"/>
  <c r="BM31" i="2"/>
  <c r="BL31" i="2"/>
  <c r="BK31" i="2"/>
  <c r="BJ31" i="2"/>
  <c r="BI31" i="2"/>
  <c r="BH31" i="2"/>
  <c r="BG31" i="2"/>
  <c r="BF31" i="2"/>
  <c r="BE31" i="2"/>
  <c r="BD31" i="2"/>
  <c r="BC31" i="2"/>
  <c r="BA31" i="2"/>
  <c r="BB31" i="2" s="1"/>
  <c r="AZ31" i="2"/>
  <c r="AY31" i="2"/>
  <c r="AX31" i="2"/>
  <c r="AW31" i="2"/>
  <c r="AV31" i="2"/>
  <c r="AU31" i="2"/>
  <c r="AT31" i="2"/>
  <c r="AS31" i="2"/>
  <c r="AR31" i="2"/>
  <c r="AQ31" i="2"/>
  <c r="AP31" i="2"/>
  <c r="AN31" i="2"/>
  <c r="AO31" i="2" s="1"/>
  <c r="AM31" i="2"/>
  <c r="AL31" i="2"/>
  <c r="AK31" i="2"/>
  <c r="AJ31" i="2"/>
  <c r="AI31" i="2"/>
  <c r="AH31" i="2"/>
  <c r="AG31" i="2"/>
  <c r="AF31" i="2"/>
  <c r="AE31" i="2"/>
  <c r="AD31" i="2"/>
  <c r="AC31" i="2"/>
  <c r="AA31" i="2"/>
  <c r="AB31" i="2" s="1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FI30" i="2"/>
  <c r="FO30" i="2" s="1"/>
  <c r="FH30" i="2"/>
  <c r="FG30" i="2"/>
  <c r="FF30" i="2"/>
  <c r="FE30" i="2"/>
  <c r="FD30" i="2"/>
  <c r="FC30" i="2"/>
  <c r="FA30" i="2"/>
  <c r="FB30" i="2" s="1"/>
  <c r="EZ30" i="2"/>
  <c r="EY30" i="2"/>
  <c r="EX30" i="2"/>
  <c r="EW30" i="2"/>
  <c r="EV30" i="2"/>
  <c r="EU30" i="2"/>
  <c r="ET30" i="2"/>
  <c r="ES30" i="2"/>
  <c r="ER30" i="2"/>
  <c r="EQ30" i="2"/>
  <c r="EP30" i="2"/>
  <c r="EN30" i="2"/>
  <c r="EO30" i="2" s="1"/>
  <c r="EM30" i="2"/>
  <c r="EL30" i="2"/>
  <c r="EK30" i="2"/>
  <c r="EJ30" i="2"/>
  <c r="EI30" i="2"/>
  <c r="EH30" i="2"/>
  <c r="EG30" i="2"/>
  <c r="EF30" i="2"/>
  <c r="EE30" i="2"/>
  <c r="ED30" i="2"/>
  <c r="EC30" i="2"/>
  <c r="EA30" i="2"/>
  <c r="EB30" i="2" s="1"/>
  <c r="DZ30" i="2"/>
  <c r="DY30" i="2"/>
  <c r="DX30" i="2"/>
  <c r="DW30" i="2"/>
  <c r="DV30" i="2"/>
  <c r="DU30" i="2"/>
  <c r="DT30" i="2"/>
  <c r="DS30" i="2"/>
  <c r="DR30" i="2"/>
  <c r="DQ30" i="2"/>
  <c r="DP30" i="2"/>
  <c r="DO30" i="2"/>
  <c r="DN30" i="2"/>
  <c r="DM30" i="2"/>
  <c r="DL30" i="2"/>
  <c r="DK30" i="2"/>
  <c r="DJ30" i="2"/>
  <c r="DI30" i="2"/>
  <c r="DH30" i="2"/>
  <c r="DG30" i="2"/>
  <c r="DF30" i="2"/>
  <c r="DE30" i="2"/>
  <c r="DD30" i="2"/>
  <c r="DC30" i="2"/>
  <c r="DA30" i="2"/>
  <c r="DB30" i="2" s="1"/>
  <c r="CZ30" i="2"/>
  <c r="CY30" i="2"/>
  <c r="CX30" i="2"/>
  <c r="CW30" i="2"/>
  <c r="CV30" i="2"/>
  <c r="CU30" i="2"/>
  <c r="CT30" i="2"/>
  <c r="CS30" i="2"/>
  <c r="CR30" i="2"/>
  <c r="CQ30" i="2"/>
  <c r="CP30" i="2"/>
  <c r="CN30" i="2"/>
  <c r="CO30" i="2" s="1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N30" i="2"/>
  <c r="BO30" i="2" s="1"/>
  <c r="BM30" i="2"/>
  <c r="BL30" i="2"/>
  <c r="BK30" i="2"/>
  <c r="BJ30" i="2"/>
  <c r="BI30" i="2"/>
  <c r="BH30" i="2"/>
  <c r="BG30" i="2"/>
  <c r="BF30" i="2"/>
  <c r="BE30" i="2"/>
  <c r="BD30" i="2"/>
  <c r="BC30" i="2"/>
  <c r="BA30" i="2"/>
  <c r="BB30" i="2" s="1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A30" i="2"/>
  <c r="AB30" i="2" s="1"/>
  <c r="Z30" i="2"/>
  <c r="Y30" i="2"/>
  <c r="X30" i="2"/>
  <c r="W30" i="2"/>
  <c r="V30" i="2"/>
  <c r="U30" i="2"/>
  <c r="T30" i="2"/>
  <c r="S30" i="2"/>
  <c r="R30" i="2"/>
  <c r="Q30" i="2"/>
  <c r="P30" i="2"/>
  <c r="N30" i="2"/>
  <c r="O30" i="2" s="1"/>
  <c r="M30" i="2"/>
  <c r="L30" i="2"/>
  <c r="K30" i="2"/>
  <c r="J30" i="2"/>
  <c r="I30" i="2"/>
  <c r="H30" i="2"/>
  <c r="G30" i="2"/>
  <c r="F30" i="2"/>
  <c r="E30" i="2"/>
  <c r="D30" i="2"/>
  <c r="C30" i="2"/>
  <c r="FI29" i="2"/>
  <c r="FO29" i="2" s="1"/>
  <c r="FH29" i="2"/>
  <c r="FG29" i="2"/>
  <c r="FF29" i="2"/>
  <c r="FE29" i="2"/>
  <c r="FD29" i="2"/>
  <c r="FC29" i="2"/>
  <c r="FA29" i="2"/>
  <c r="FB29" i="2" s="1"/>
  <c r="EZ29" i="2"/>
  <c r="EY29" i="2"/>
  <c r="EX29" i="2"/>
  <c r="EW29" i="2"/>
  <c r="EV29" i="2"/>
  <c r="EU29" i="2"/>
  <c r="ET29" i="2"/>
  <c r="ES29" i="2"/>
  <c r="ER29" i="2"/>
  <c r="EQ29" i="2"/>
  <c r="EP29" i="2"/>
  <c r="EO29" i="2"/>
  <c r="EN29" i="2"/>
  <c r="EM29" i="2"/>
  <c r="EL29" i="2"/>
  <c r="EK29" i="2"/>
  <c r="EJ29" i="2"/>
  <c r="EI29" i="2"/>
  <c r="EH29" i="2"/>
  <c r="EG29" i="2"/>
  <c r="EF29" i="2"/>
  <c r="EE29" i="2"/>
  <c r="ED29" i="2"/>
  <c r="EC29" i="2"/>
  <c r="EA29" i="2"/>
  <c r="EB29" i="2" s="1"/>
  <c r="DZ29" i="2"/>
  <c r="DY29" i="2"/>
  <c r="DX29" i="2"/>
  <c r="DW29" i="2"/>
  <c r="DV29" i="2"/>
  <c r="DU29" i="2"/>
  <c r="DT29" i="2"/>
  <c r="DS29" i="2"/>
  <c r="DR29" i="2"/>
  <c r="DQ29" i="2"/>
  <c r="DP29" i="2"/>
  <c r="DN29" i="2"/>
  <c r="DO29" i="2" s="1"/>
  <c r="DM29" i="2"/>
  <c r="DL29" i="2"/>
  <c r="DK29" i="2"/>
  <c r="DJ29" i="2"/>
  <c r="DI29" i="2"/>
  <c r="DH29" i="2"/>
  <c r="DG29" i="2"/>
  <c r="DF29" i="2"/>
  <c r="DE29" i="2"/>
  <c r="DD29" i="2"/>
  <c r="DC29" i="2"/>
  <c r="DB29" i="2"/>
  <c r="DA29" i="2"/>
  <c r="CZ29" i="2"/>
  <c r="CY29" i="2"/>
  <c r="CX29" i="2"/>
  <c r="CW29" i="2"/>
  <c r="CV29" i="2"/>
  <c r="CU29" i="2"/>
  <c r="CT29" i="2"/>
  <c r="CS29" i="2"/>
  <c r="CR29" i="2"/>
  <c r="CQ29" i="2"/>
  <c r="CP29" i="2"/>
  <c r="CN29" i="2"/>
  <c r="CO29" i="2" s="1"/>
  <c r="CM29" i="2"/>
  <c r="CL29" i="2"/>
  <c r="CK29" i="2"/>
  <c r="CJ29" i="2"/>
  <c r="CI29" i="2"/>
  <c r="CH29" i="2"/>
  <c r="CG29" i="2"/>
  <c r="CF29" i="2"/>
  <c r="CE29" i="2"/>
  <c r="CD29" i="2"/>
  <c r="CC29" i="2"/>
  <c r="CA29" i="2"/>
  <c r="CB29" i="2" s="1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A29" i="2"/>
  <c r="BB29" i="2" s="1"/>
  <c r="AZ29" i="2"/>
  <c r="AY29" i="2"/>
  <c r="AX29" i="2"/>
  <c r="AW29" i="2"/>
  <c r="AV29" i="2"/>
  <c r="AU29" i="2"/>
  <c r="AT29" i="2"/>
  <c r="AS29" i="2"/>
  <c r="AR29" i="2"/>
  <c r="AQ29" i="2"/>
  <c r="AP29" i="2"/>
  <c r="AN29" i="2"/>
  <c r="AO29" i="2" s="1"/>
  <c r="AM29" i="2"/>
  <c r="AL29" i="2"/>
  <c r="AK29" i="2"/>
  <c r="AJ29" i="2"/>
  <c r="AI29" i="2"/>
  <c r="AH29" i="2"/>
  <c r="AG29" i="2"/>
  <c r="AF29" i="2"/>
  <c r="AE29" i="2"/>
  <c r="AD29" i="2"/>
  <c r="AC29" i="2"/>
  <c r="AA29" i="2"/>
  <c r="AB29" i="2" s="1"/>
  <c r="Z29" i="2"/>
  <c r="Y29" i="2"/>
  <c r="X29" i="2"/>
  <c r="W29" i="2"/>
  <c r="V29" i="2"/>
  <c r="U29" i="2"/>
  <c r="T29" i="2"/>
  <c r="S29" i="2"/>
  <c r="R29" i="2"/>
  <c r="Q29" i="2"/>
  <c r="P29" i="2"/>
  <c r="N29" i="2"/>
  <c r="O29" i="2" s="1"/>
  <c r="M29" i="2"/>
  <c r="L29" i="2"/>
  <c r="K29" i="2"/>
  <c r="J29" i="2"/>
  <c r="I29" i="2"/>
  <c r="H29" i="2"/>
  <c r="G29" i="2"/>
  <c r="F29" i="2"/>
  <c r="E29" i="2"/>
  <c r="D29" i="2"/>
  <c r="C29" i="2"/>
  <c r="FO28" i="2"/>
  <c r="FI28" i="2"/>
  <c r="FH28" i="2"/>
  <c r="FG28" i="2"/>
  <c r="FF28" i="2"/>
  <c r="FE28" i="2"/>
  <c r="FD28" i="2"/>
  <c r="FC28" i="2"/>
  <c r="FA28" i="2"/>
  <c r="FB28" i="2" s="1"/>
  <c r="EZ28" i="2"/>
  <c r="EY28" i="2"/>
  <c r="EX28" i="2"/>
  <c r="EW28" i="2"/>
  <c r="EV28" i="2"/>
  <c r="EU28" i="2"/>
  <c r="ET28" i="2"/>
  <c r="ES28" i="2"/>
  <c r="ER28" i="2"/>
  <c r="EQ28" i="2"/>
  <c r="EP28" i="2"/>
  <c r="EN28" i="2"/>
  <c r="EO28" i="2" s="1"/>
  <c r="EM28" i="2"/>
  <c r="EL28" i="2"/>
  <c r="EK28" i="2"/>
  <c r="EJ28" i="2"/>
  <c r="EI28" i="2"/>
  <c r="EH28" i="2"/>
  <c r="EG28" i="2"/>
  <c r="EF28" i="2"/>
  <c r="EE28" i="2"/>
  <c r="ED28" i="2"/>
  <c r="EC28" i="2"/>
  <c r="EA28" i="2"/>
  <c r="EB28" i="2" s="1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A28" i="2"/>
  <c r="DB28" i="2" s="1"/>
  <c r="CZ28" i="2"/>
  <c r="CY28" i="2"/>
  <c r="CX28" i="2"/>
  <c r="CW28" i="2"/>
  <c r="CV28" i="2"/>
  <c r="CU28" i="2"/>
  <c r="CT28" i="2"/>
  <c r="CS28" i="2"/>
  <c r="CR28" i="2"/>
  <c r="CQ28" i="2"/>
  <c r="CP28" i="2"/>
  <c r="CN28" i="2"/>
  <c r="CO28" i="2" s="1"/>
  <c r="CM28" i="2"/>
  <c r="CL28" i="2"/>
  <c r="CK28" i="2"/>
  <c r="CJ28" i="2"/>
  <c r="CI28" i="2"/>
  <c r="CH28" i="2"/>
  <c r="CG28" i="2"/>
  <c r="CF28" i="2"/>
  <c r="CE28" i="2"/>
  <c r="CD28" i="2"/>
  <c r="CC28" i="2"/>
  <c r="CA28" i="2"/>
  <c r="CB28" i="2" s="1"/>
  <c r="BZ28" i="2"/>
  <c r="BY28" i="2"/>
  <c r="BX28" i="2"/>
  <c r="BW28" i="2"/>
  <c r="BV28" i="2"/>
  <c r="BU28" i="2"/>
  <c r="BT28" i="2"/>
  <c r="BS28" i="2"/>
  <c r="BR28" i="2"/>
  <c r="BQ28" i="2"/>
  <c r="BP28" i="2"/>
  <c r="BN28" i="2"/>
  <c r="BO28" i="2" s="1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N28" i="2"/>
  <c r="AO28" i="2" s="1"/>
  <c r="AM28" i="2"/>
  <c r="AL28" i="2"/>
  <c r="AK28" i="2"/>
  <c r="AJ28" i="2"/>
  <c r="AI28" i="2"/>
  <c r="AH28" i="2"/>
  <c r="AG28" i="2"/>
  <c r="AF28" i="2"/>
  <c r="AE28" i="2"/>
  <c r="AD28" i="2"/>
  <c r="AC28" i="2"/>
  <c r="AA28" i="2"/>
  <c r="AB28" i="2" s="1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FI27" i="2"/>
  <c r="FO27" i="2" s="1"/>
  <c r="FH27" i="2"/>
  <c r="FG27" i="2"/>
  <c r="FF27" i="2"/>
  <c r="FE27" i="2"/>
  <c r="FD27" i="2"/>
  <c r="FC27" i="2"/>
  <c r="FB27" i="2"/>
  <c r="FA27" i="2"/>
  <c r="EZ27" i="2"/>
  <c r="EY27" i="2"/>
  <c r="EX27" i="2"/>
  <c r="EW27" i="2"/>
  <c r="EV27" i="2"/>
  <c r="EU27" i="2"/>
  <c r="ET27" i="2"/>
  <c r="ES27" i="2"/>
  <c r="ER27" i="2"/>
  <c r="EQ27" i="2"/>
  <c r="EP27" i="2"/>
  <c r="EN27" i="2"/>
  <c r="EO27" i="2" s="1"/>
  <c r="EM27" i="2"/>
  <c r="EL27" i="2"/>
  <c r="EK27" i="2"/>
  <c r="EJ27" i="2"/>
  <c r="EI27" i="2"/>
  <c r="EH27" i="2"/>
  <c r="EG27" i="2"/>
  <c r="EF27" i="2"/>
  <c r="EE27" i="2"/>
  <c r="ED27" i="2"/>
  <c r="EC27" i="2"/>
  <c r="EA27" i="2"/>
  <c r="EB27" i="2" s="1"/>
  <c r="DZ27" i="2"/>
  <c r="DY27" i="2"/>
  <c r="DX27" i="2"/>
  <c r="DW27" i="2"/>
  <c r="DV27" i="2"/>
  <c r="DU27" i="2"/>
  <c r="DT27" i="2"/>
  <c r="DS27" i="2"/>
  <c r="DR27" i="2"/>
  <c r="DQ27" i="2"/>
  <c r="DP27" i="2"/>
  <c r="DN27" i="2"/>
  <c r="DO27" i="2" s="1"/>
  <c r="DM27" i="2"/>
  <c r="DL27" i="2"/>
  <c r="DK27" i="2"/>
  <c r="DJ27" i="2"/>
  <c r="DI27" i="2"/>
  <c r="DH27" i="2"/>
  <c r="DG27" i="2"/>
  <c r="DF27" i="2"/>
  <c r="DE27" i="2"/>
  <c r="DD27" i="2"/>
  <c r="DC27" i="2"/>
  <c r="DA27" i="2"/>
  <c r="DB27" i="2" s="1"/>
  <c r="CZ27" i="2"/>
  <c r="CY27" i="2"/>
  <c r="CX27" i="2"/>
  <c r="CW27" i="2"/>
  <c r="CV27" i="2"/>
  <c r="CU27" i="2"/>
  <c r="CT27" i="2"/>
  <c r="CS27" i="2"/>
  <c r="CR27" i="2"/>
  <c r="CQ27" i="2"/>
  <c r="CP27" i="2"/>
  <c r="CN27" i="2"/>
  <c r="CO27" i="2" s="1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N27" i="2"/>
  <c r="BO27" i="2" s="1"/>
  <c r="BM27" i="2"/>
  <c r="BL27" i="2"/>
  <c r="BK27" i="2"/>
  <c r="BJ27" i="2"/>
  <c r="BI27" i="2"/>
  <c r="BH27" i="2"/>
  <c r="BG27" i="2"/>
  <c r="BF27" i="2"/>
  <c r="BE27" i="2"/>
  <c r="BD27" i="2"/>
  <c r="BC27" i="2"/>
  <c r="BA27" i="2"/>
  <c r="BB27" i="2" s="1"/>
  <c r="AZ27" i="2"/>
  <c r="AY27" i="2"/>
  <c r="AX27" i="2"/>
  <c r="AW27" i="2"/>
  <c r="AV27" i="2"/>
  <c r="AU27" i="2"/>
  <c r="AT27" i="2"/>
  <c r="AS27" i="2"/>
  <c r="AR27" i="2"/>
  <c r="AQ27" i="2"/>
  <c r="AP27" i="2"/>
  <c r="AN27" i="2"/>
  <c r="AO27" i="2" s="1"/>
  <c r="AM27" i="2"/>
  <c r="AL27" i="2"/>
  <c r="AK27" i="2"/>
  <c r="AJ27" i="2"/>
  <c r="AI27" i="2"/>
  <c r="AH27" i="2"/>
  <c r="AG27" i="2"/>
  <c r="AF27" i="2"/>
  <c r="AE27" i="2"/>
  <c r="AD27" i="2"/>
  <c r="AC27" i="2"/>
  <c r="AA27" i="2"/>
  <c r="AB27" i="2" s="1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FI26" i="2"/>
  <c r="FO26" i="2" s="1"/>
  <c r="FH26" i="2"/>
  <c r="FG26" i="2"/>
  <c r="FF26" i="2"/>
  <c r="FE26" i="2"/>
  <c r="FD26" i="2"/>
  <c r="FC26" i="2"/>
  <c r="FA26" i="2"/>
  <c r="FB26" i="2" s="1"/>
  <c r="EZ26" i="2"/>
  <c r="EY26" i="2"/>
  <c r="EX26" i="2"/>
  <c r="EW26" i="2"/>
  <c r="EV26" i="2"/>
  <c r="EU26" i="2"/>
  <c r="ET26" i="2"/>
  <c r="ES26" i="2"/>
  <c r="ER26" i="2"/>
  <c r="EQ26" i="2"/>
  <c r="EP26" i="2"/>
  <c r="EN26" i="2"/>
  <c r="EO26" i="2" s="1"/>
  <c r="EM26" i="2"/>
  <c r="EL26" i="2"/>
  <c r="EK26" i="2"/>
  <c r="EJ26" i="2"/>
  <c r="EI26" i="2"/>
  <c r="EH26" i="2"/>
  <c r="EG26" i="2"/>
  <c r="EF26" i="2"/>
  <c r="EE26" i="2"/>
  <c r="ED26" i="2"/>
  <c r="EC26" i="2"/>
  <c r="EA26" i="2"/>
  <c r="EB26" i="2" s="1"/>
  <c r="DZ26" i="2"/>
  <c r="DY26" i="2"/>
  <c r="DX26" i="2"/>
  <c r="DW26" i="2"/>
  <c r="DV26" i="2"/>
  <c r="DU26" i="2"/>
  <c r="DT26" i="2"/>
  <c r="DS26" i="2"/>
  <c r="DR26" i="2"/>
  <c r="DQ26" i="2"/>
  <c r="DP26" i="2"/>
  <c r="DN26" i="2"/>
  <c r="DO26" i="2" s="1"/>
  <c r="DM26" i="2"/>
  <c r="DL26" i="2"/>
  <c r="DK26" i="2"/>
  <c r="DJ26" i="2"/>
  <c r="DI26" i="2"/>
  <c r="DH26" i="2"/>
  <c r="DG26" i="2"/>
  <c r="DF26" i="2"/>
  <c r="DE26" i="2"/>
  <c r="DD26" i="2"/>
  <c r="DC26" i="2"/>
  <c r="DA26" i="2"/>
  <c r="DB26" i="2" s="1"/>
  <c r="CZ26" i="2"/>
  <c r="CY26" i="2"/>
  <c r="CX26" i="2"/>
  <c r="CW26" i="2"/>
  <c r="CV26" i="2"/>
  <c r="CU26" i="2"/>
  <c r="CT26" i="2"/>
  <c r="CS26" i="2"/>
  <c r="CR26" i="2"/>
  <c r="CQ26" i="2"/>
  <c r="CP26" i="2"/>
  <c r="CN26" i="2"/>
  <c r="CO26" i="2" s="1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N26" i="2"/>
  <c r="BO26" i="2" s="1"/>
  <c r="BM26" i="2"/>
  <c r="BL26" i="2"/>
  <c r="BK26" i="2"/>
  <c r="BJ26" i="2"/>
  <c r="BI26" i="2"/>
  <c r="BH26" i="2"/>
  <c r="BG26" i="2"/>
  <c r="BF26" i="2"/>
  <c r="BE26" i="2"/>
  <c r="BD26" i="2"/>
  <c r="BC26" i="2"/>
  <c r="BA26" i="2"/>
  <c r="BB26" i="2" s="1"/>
  <c r="AZ26" i="2"/>
  <c r="AY26" i="2"/>
  <c r="AX26" i="2"/>
  <c r="AW26" i="2"/>
  <c r="AV26" i="2"/>
  <c r="AU26" i="2"/>
  <c r="AT26" i="2"/>
  <c r="AS26" i="2"/>
  <c r="AR26" i="2"/>
  <c r="AQ26" i="2"/>
  <c r="AP26" i="2"/>
  <c r="AN26" i="2"/>
  <c r="AO26" i="2" s="1"/>
  <c r="AM26" i="2"/>
  <c r="AL26" i="2"/>
  <c r="AK26" i="2"/>
  <c r="AJ26" i="2"/>
  <c r="AI26" i="2"/>
  <c r="AH26" i="2"/>
  <c r="AG26" i="2"/>
  <c r="AF26" i="2"/>
  <c r="AE26" i="2"/>
  <c r="AD26" i="2"/>
  <c r="AC26" i="2"/>
  <c r="AA26" i="2"/>
  <c r="AB26" i="2" s="1"/>
  <c r="Z26" i="2"/>
  <c r="Y26" i="2"/>
  <c r="X26" i="2"/>
  <c r="W26" i="2"/>
  <c r="V26" i="2"/>
  <c r="U26" i="2"/>
  <c r="T26" i="2"/>
  <c r="S26" i="2"/>
  <c r="R26" i="2"/>
  <c r="Q26" i="2"/>
  <c r="P26" i="2"/>
  <c r="N26" i="2"/>
  <c r="O26" i="2" s="1"/>
  <c r="M26" i="2"/>
  <c r="L26" i="2"/>
  <c r="K26" i="2"/>
  <c r="J26" i="2"/>
  <c r="I26" i="2"/>
  <c r="H26" i="2"/>
  <c r="G26" i="2"/>
  <c r="F26" i="2"/>
  <c r="E26" i="2"/>
  <c r="D26" i="2"/>
  <c r="C26" i="2"/>
  <c r="FO25" i="2"/>
  <c r="FI25" i="2"/>
  <c r="FH25" i="2"/>
  <c r="FG25" i="2"/>
  <c r="FF25" i="2"/>
  <c r="FE25" i="2"/>
  <c r="FD25" i="2"/>
  <c r="FC25" i="2"/>
  <c r="FA25" i="2"/>
  <c r="FB25" i="2" s="1"/>
  <c r="EZ25" i="2"/>
  <c r="EY25" i="2"/>
  <c r="EX25" i="2"/>
  <c r="EW25" i="2"/>
  <c r="EV25" i="2"/>
  <c r="EU25" i="2"/>
  <c r="ET25" i="2"/>
  <c r="ES25" i="2"/>
  <c r="ER25" i="2"/>
  <c r="EQ25" i="2"/>
  <c r="EP25" i="2"/>
  <c r="EN25" i="2"/>
  <c r="EO25" i="2" s="1"/>
  <c r="EM25" i="2"/>
  <c r="EL25" i="2"/>
  <c r="EK25" i="2"/>
  <c r="EJ25" i="2"/>
  <c r="EI25" i="2"/>
  <c r="EH25" i="2"/>
  <c r="EG25" i="2"/>
  <c r="EF25" i="2"/>
  <c r="EE25" i="2"/>
  <c r="ED25" i="2"/>
  <c r="EC25" i="2"/>
  <c r="EA25" i="2"/>
  <c r="EB25" i="2" s="1"/>
  <c r="DZ25" i="2"/>
  <c r="DY25" i="2"/>
  <c r="DX25" i="2"/>
  <c r="DW25" i="2"/>
  <c r="DV25" i="2"/>
  <c r="DU25" i="2"/>
  <c r="DT25" i="2"/>
  <c r="DS25" i="2"/>
  <c r="DR25" i="2"/>
  <c r="DQ25" i="2"/>
  <c r="DP25" i="2"/>
  <c r="DO25" i="2"/>
  <c r="DN25" i="2"/>
  <c r="DM25" i="2"/>
  <c r="DL25" i="2"/>
  <c r="DK25" i="2"/>
  <c r="DJ25" i="2"/>
  <c r="DI25" i="2"/>
  <c r="DH25" i="2"/>
  <c r="DG25" i="2"/>
  <c r="DF25" i="2"/>
  <c r="DE25" i="2"/>
  <c r="DD25" i="2"/>
  <c r="DC25" i="2"/>
  <c r="DA25" i="2"/>
  <c r="DB25" i="2" s="1"/>
  <c r="CZ25" i="2"/>
  <c r="CY25" i="2"/>
  <c r="CX25" i="2"/>
  <c r="CW25" i="2"/>
  <c r="CV25" i="2"/>
  <c r="CU25" i="2"/>
  <c r="CT25" i="2"/>
  <c r="CS25" i="2"/>
  <c r="CR25" i="2"/>
  <c r="CQ25" i="2"/>
  <c r="CP25" i="2"/>
  <c r="CN25" i="2"/>
  <c r="CO25" i="2" s="1"/>
  <c r="CM25" i="2"/>
  <c r="CL25" i="2"/>
  <c r="CK25" i="2"/>
  <c r="CJ25" i="2"/>
  <c r="CI25" i="2"/>
  <c r="CH25" i="2"/>
  <c r="CG25" i="2"/>
  <c r="CF25" i="2"/>
  <c r="CE25" i="2"/>
  <c r="CD25" i="2"/>
  <c r="CC25" i="2"/>
  <c r="CA25" i="2"/>
  <c r="CB25" i="2" s="1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N25" i="2"/>
  <c r="AO25" i="2" s="1"/>
  <c r="AM25" i="2"/>
  <c r="AL25" i="2"/>
  <c r="AK25" i="2"/>
  <c r="AJ25" i="2"/>
  <c r="AI25" i="2"/>
  <c r="AH25" i="2"/>
  <c r="AG25" i="2"/>
  <c r="AF25" i="2"/>
  <c r="AE25" i="2"/>
  <c r="AD25" i="2"/>
  <c r="AC25" i="2"/>
  <c r="AA25" i="2"/>
  <c r="AB25" i="2" s="1"/>
  <c r="Z25" i="2"/>
  <c r="Y25" i="2"/>
  <c r="X25" i="2"/>
  <c r="W25" i="2"/>
  <c r="V25" i="2"/>
  <c r="U25" i="2"/>
  <c r="T25" i="2"/>
  <c r="S25" i="2"/>
  <c r="R25" i="2"/>
  <c r="Q25" i="2"/>
  <c r="P25" i="2"/>
  <c r="N25" i="2"/>
  <c r="O25" i="2" s="1"/>
  <c r="M25" i="2"/>
  <c r="L25" i="2"/>
  <c r="K25" i="2"/>
  <c r="J25" i="2"/>
  <c r="I25" i="2"/>
  <c r="H25" i="2"/>
  <c r="G25" i="2"/>
  <c r="F25" i="2"/>
  <c r="E25" i="2"/>
  <c r="D25" i="2"/>
  <c r="C25" i="2"/>
  <c r="FI24" i="2"/>
  <c r="FO24" i="2" s="1"/>
  <c r="FH24" i="2"/>
  <c r="FG24" i="2"/>
  <c r="FF24" i="2"/>
  <c r="FE24" i="2"/>
  <c r="FD24" i="2"/>
  <c r="FC24" i="2"/>
  <c r="FB24" i="2"/>
  <c r="FA24" i="2"/>
  <c r="EZ24" i="2"/>
  <c r="EY24" i="2"/>
  <c r="EX24" i="2"/>
  <c r="EW24" i="2"/>
  <c r="EV24" i="2"/>
  <c r="EU24" i="2"/>
  <c r="ET24" i="2"/>
  <c r="ES24" i="2"/>
  <c r="ER24" i="2"/>
  <c r="EQ24" i="2"/>
  <c r="EP24" i="2"/>
  <c r="EN24" i="2"/>
  <c r="EO24" i="2" s="1"/>
  <c r="EM24" i="2"/>
  <c r="EL24" i="2"/>
  <c r="EK24" i="2"/>
  <c r="EJ24" i="2"/>
  <c r="EI24" i="2"/>
  <c r="EH24" i="2"/>
  <c r="EG24" i="2"/>
  <c r="EF24" i="2"/>
  <c r="EE24" i="2"/>
  <c r="ED24" i="2"/>
  <c r="EC24" i="2"/>
  <c r="EA24" i="2"/>
  <c r="EB24" i="2" s="1"/>
  <c r="DZ24" i="2"/>
  <c r="DY24" i="2"/>
  <c r="DX24" i="2"/>
  <c r="DW24" i="2"/>
  <c r="DV24" i="2"/>
  <c r="DU24" i="2"/>
  <c r="DT24" i="2"/>
  <c r="DS24" i="2"/>
  <c r="DR24" i="2"/>
  <c r="DQ24" i="2"/>
  <c r="DP24" i="2"/>
  <c r="DN24" i="2"/>
  <c r="DO24" i="2" s="1"/>
  <c r="DM24" i="2"/>
  <c r="DL24" i="2"/>
  <c r="DK24" i="2"/>
  <c r="DJ24" i="2"/>
  <c r="DI24" i="2"/>
  <c r="DH24" i="2"/>
  <c r="DG24" i="2"/>
  <c r="DF24" i="2"/>
  <c r="DE24" i="2"/>
  <c r="DD24" i="2"/>
  <c r="DC24" i="2"/>
  <c r="DA24" i="2"/>
  <c r="DB24" i="2" s="1"/>
  <c r="CZ24" i="2"/>
  <c r="CY24" i="2"/>
  <c r="CX24" i="2"/>
  <c r="CW24" i="2"/>
  <c r="CV24" i="2"/>
  <c r="CU24" i="2"/>
  <c r="CT24" i="2"/>
  <c r="CS24" i="2"/>
  <c r="CR24" i="2"/>
  <c r="CQ24" i="2"/>
  <c r="CP24" i="2"/>
  <c r="CN24" i="2"/>
  <c r="CO24" i="2" s="1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N24" i="2"/>
  <c r="BO24" i="2" s="1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A24" i="2"/>
  <c r="AB24" i="2" s="1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FI23" i="2"/>
  <c r="FO23" i="2" s="1"/>
  <c r="FH23" i="2"/>
  <c r="FG23" i="2"/>
  <c r="FF23" i="2"/>
  <c r="FE23" i="2"/>
  <c r="FD23" i="2"/>
  <c r="FC23" i="2"/>
  <c r="FB23" i="2"/>
  <c r="FA23" i="2"/>
  <c r="EZ23" i="2"/>
  <c r="EY23" i="2"/>
  <c r="EX23" i="2"/>
  <c r="EW23" i="2"/>
  <c r="EV23" i="2"/>
  <c r="EU23" i="2"/>
  <c r="ET23" i="2"/>
  <c r="ES23" i="2"/>
  <c r="ER23" i="2"/>
  <c r="EQ23" i="2"/>
  <c r="EP23" i="2"/>
  <c r="EN23" i="2"/>
  <c r="EO23" i="2" s="1"/>
  <c r="EM23" i="2"/>
  <c r="EL23" i="2"/>
  <c r="EK23" i="2"/>
  <c r="EJ23" i="2"/>
  <c r="EI23" i="2"/>
  <c r="EH23" i="2"/>
  <c r="EG23" i="2"/>
  <c r="EF23" i="2"/>
  <c r="EE23" i="2"/>
  <c r="ED23" i="2"/>
  <c r="EC23" i="2"/>
  <c r="EA23" i="2"/>
  <c r="EB23" i="2" s="1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A23" i="2"/>
  <c r="DB23" i="2" s="1"/>
  <c r="CZ23" i="2"/>
  <c r="CY23" i="2"/>
  <c r="CX23" i="2"/>
  <c r="CW23" i="2"/>
  <c r="CV23" i="2"/>
  <c r="CU23" i="2"/>
  <c r="CT23" i="2"/>
  <c r="CS23" i="2"/>
  <c r="CR23" i="2"/>
  <c r="CQ23" i="2"/>
  <c r="CP23" i="2"/>
  <c r="CN23" i="2"/>
  <c r="CO23" i="2" s="1"/>
  <c r="CM23" i="2"/>
  <c r="CL23" i="2"/>
  <c r="CK23" i="2"/>
  <c r="CJ23" i="2"/>
  <c r="CI23" i="2"/>
  <c r="CH23" i="2"/>
  <c r="CG23" i="2"/>
  <c r="CF23" i="2"/>
  <c r="CE23" i="2"/>
  <c r="CD23" i="2"/>
  <c r="CC23" i="2"/>
  <c r="CA23" i="2"/>
  <c r="CB23" i="2" s="1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A23" i="2"/>
  <c r="BB23" i="2" s="1"/>
  <c r="AZ23" i="2"/>
  <c r="AY23" i="2"/>
  <c r="AX23" i="2"/>
  <c r="AW23" i="2"/>
  <c r="AV23" i="2"/>
  <c r="AU23" i="2"/>
  <c r="AT23" i="2"/>
  <c r="AS23" i="2"/>
  <c r="AR23" i="2"/>
  <c r="AQ23" i="2"/>
  <c r="AP23" i="2"/>
  <c r="AN23" i="2"/>
  <c r="AO23" i="2" s="1"/>
  <c r="AM23" i="2"/>
  <c r="AL23" i="2"/>
  <c r="AK23" i="2"/>
  <c r="AJ23" i="2"/>
  <c r="AI23" i="2"/>
  <c r="AH23" i="2"/>
  <c r="AG23" i="2"/>
  <c r="AF23" i="2"/>
  <c r="AE23" i="2"/>
  <c r="AD23" i="2"/>
  <c r="AC23" i="2"/>
  <c r="AA23" i="2"/>
  <c r="AB23" i="2" s="1"/>
  <c r="Z23" i="2"/>
  <c r="Y23" i="2"/>
  <c r="X23" i="2"/>
  <c r="W23" i="2"/>
  <c r="V23" i="2"/>
  <c r="U23" i="2"/>
  <c r="T23" i="2"/>
  <c r="S23" i="2"/>
  <c r="R23" i="2"/>
  <c r="Q23" i="2"/>
  <c r="P23" i="2"/>
  <c r="N23" i="2"/>
  <c r="O23" i="2" s="1"/>
  <c r="M23" i="2"/>
  <c r="L23" i="2"/>
  <c r="K23" i="2"/>
  <c r="J23" i="2"/>
  <c r="I23" i="2"/>
  <c r="H23" i="2"/>
  <c r="G23" i="2"/>
  <c r="F23" i="2"/>
  <c r="E23" i="2"/>
  <c r="D23" i="2"/>
  <c r="C23" i="2"/>
  <c r="FI22" i="2"/>
  <c r="FO22" i="2" s="1"/>
  <c r="FH22" i="2"/>
  <c r="FG22" i="2"/>
  <c r="FF22" i="2"/>
  <c r="FE22" i="2"/>
  <c r="FD22" i="2"/>
  <c r="FC22" i="2"/>
  <c r="FA22" i="2"/>
  <c r="FB22" i="2" s="1"/>
  <c r="EZ22" i="2"/>
  <c r="EY22" i="2"/>
  <c r="EX22" i="2"/>
  <c r="EW22" i="2"/>
  <c r="EV22" i="2"/>
  <c r="EU22" i="2"/>
  <c r="ET22" i="2"/>
  <c r="ES22" i="2"/>
  <c r="ER22" i="2"/>
  <c r="EQ22" i="2"/>
  <c r="EP22" i="2"/>
  <c r="EN22" i="2"/>
  <c r="EO22" i="2" s="1"/>
  <c r="EM22" i="2"/>
  <c r="EL22" i="2"/>
  <c r="EK22" i="2"/>
  <c r="EJ22" i="2"/>
  <c r="EI22" i="2"/>
  <c r="EH22" i="2"/>
  <c r="EG22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N22" i="2"/>
  <c r="DO22" i="2" s="1"/>
  <c r="DM22" i="2"/>
  <c r="DL22" i="2"/>
  <c r="DK22" i="2"/>
  <c r="DJ22" i="2"/>
  <c r="DI22" i="2"/>
  <c r="DH22" i="2"/>
  <c r="DG22" i="2"/>
  <c r="DF22" i="2"/>
  <c r="DE22" i="2"/>
  <c r="DD22" i="2"/>
  <c r="DC22" i="2"/>
  <c r="DA22" i="2"/>
  <c r="DB22" i="2" s="1"/>
  <c r="CZ22" i="2"/>
  <c r="CY22" i="2"/>
  <c r="CX22" i="2"/>
  <c r="CW22" i="2"/>
  <c r="CV22" i="2"/>
  <c r="CU22" i="2"/>
  <c r="CT22" i="2"/>
  <c r="CS22" i="2"/>
  <c r="CR22" i="2"/>
  <c r="CQ22" i="2"/>
  <c r="CP22" i="2"/>
  <c r="CN22" i="2"/>
  <c r="CO22" i="2" s="1"/>
  <c r="CM22" i="2"/>
  <c r="CL22" i="2"/>
  <c r="CK22" i="2"/>
  <c r="CJ22" i="2"/>
  <c r="CI22" i="2"/>
  <c r="CH22" i="2"/>
  <c r="CG22" i="2"/>
  <c r="CF22" i="2"/>
  <c r="CE22" i="2"/>
  <c r="CD22" i="2"/>
  <c r="CC22" i="2"/>
  <c r="CA22" i="2"/>
  <c r="CB22" i="2" s="1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A22" i="2"/>
  <c r="BB22" i="2" s="1"/>
  <c r="AZ22" i="2"/>
  <c r="AY22" i="2"/>
  <c r="AX22" i="2"/>
  <c r="AW22" i="2"/>
  <c r="AV22" i="2"/>
  <c r="AU22" i="2"/>
  <c r="AT22" i="2"/>
  <c r="AS22" i="2"/>
  <c r="AR22" i="2"/>
  <c r="AQ22" i="2"/>
  <c r="AP22" i="2"/>
  <c r="AN22" i="2"/>
  <c r="AO22" i="2" s="1"/>
  <c r="AM22" i="2"/>
  <c r="AL22" i="2"/>
  <c r="AK22" i="2"/>
  <c r="AJ22" i="2"/>
  <c r="AI22" i="2"/>
  <c r="AH22" i="2"/>
  <c r="AG22" i="2"/>
  <c r="AF22" i="2"/>
  <c r="AE22" i="2"/>
  <c r="AD22" i="2"/>
  <c r="AC22" i="2"/>
  <c r="AA22" i="2"/>
  <c r="AB22" i="2" s="1"/>
  <c r="Z22" i="2"/>
  <c r="Y22" i="2"/>
  <c r="X22" i="2"/>
  <c r="W22" i="2"/>
  <c r="V22" i="2"/>
  <c r="U22" i="2"/>
  <c r="T22" i="2"/>
  <c r="S22" i="2"/>
  <c r="R22" i="2"/>
  <c r="Q22" i="2"/>
  <c r="P22" i="2"/>
  <c r="N22" i="2"/>
  <c r="O22" i="2" s="1"/>
  <c r="M22" i="2"/>
  <c r="L22" i="2"/>
  <c r="K22" i="2"/>
  <c r="J22" i="2"/>
  <c r="I22" i="2"/>
  <c r="H22" i="2"/>
  <c r="G22" i="2"/>
  <c r="F22" i="2"/>
  <c r="E22" i="2"/>
  <c r="D22" i="2"/>
  <c r="C22" i="2"/>
  <c r="FI21" i="2"/>
  <c r="FO21" i="2" s="1"/>
  <c r="FH21" i="2"/>
  <c r="FG21" i="2"/>
  <c r="FF21" i="2"/>
  <c r="FE21" i="2"/>
  <c r="FD21" i="2"/>
  <c r="FC21" i="2"/>
  <c r="FA21" i="2"/>
  <c r="FB21" i="2" s="1"/>
  <c r="EZ21" i="2"/>
  <c r="EY21" i="2"/>
  <c r="EX21" i="2"/>
  <c r="EW21" i="2"/>
  <c r="EV21" i="2"/>
  <c r="EU21" i="2"/>
  <c r="ET21" i="2"/>
  <c r="ES21" i="2"/>
  <c r="ER21" i="2"/>
  <c r="EQ21" i="2"/>
  <c r="EP21" i="2"/>
  <c r="EN21" i="2"/>
  <c r="EO21" i="2" s="1"/>
  <c r="EM21" i="2"/>
  <c r="EL21" i="2"/>
  <c r="EK21" i="2"/>
  <c r="EJ21" i="2"/>
  <c r="EI21" i="2"/>
  <c r="EH21" i="2"/>
  <c r="EG21" i="2"/>
  <c r="EF21" i="2"/>
  <c r="EE21" i="2"/>
  <c r="ED21" i="2"/>
  <c r="EC21" i="2"/>
  <c r="EA21" i="2"/>
  <c r="EB21" i="2" s="1"/>
  <c r="DZ21" i="2"/>
  <c r="DY21" i="2"/>
  <c r="DX21" i="2"/>
  <c r="DW21" i="2"/>
  <c r="DV21" i="2"/>
  <c r="DU21" i="2"/>
  <c r="DT21" i="2"/>
  <c r="DS21" i="2"/>
  <c r="DR21" i="2"/>
  <c r="DQ21" i="2"/>
  <c r="DP21" i="2"/>
  <c r="DN21" i="2"/>
  <c r="DO21" i="2" s="1"/>
  <c r="DM21" i="2"/>
  <c r="DL21" i="2"/>
  <c r="DK21" i="2"/>
  <c r="DJ21" i="2"/>
  <c r="DI21" i="2"/>
  <c r="DH21" i="2"/>
  <c r="DG21" i="2"/>
  <c r="DF21" i="2"/>
  <c r="DE21" i="2"/>
  <c r="DD21" i="2"/>
  <c r="DC21" i="2"/>
  <c r="DA21" i="2"/>
  <c r="DB21" i="2" s="1"/>
  <c r="CZ21" i="2"/>
  <c r="CY21" i="2"/>
  <c r="CX21" i="2"/>
  <c r="CW21" i="2"/>
  <c r="CV21" i="2"/>
  <c r="CU21" i="2"/>
  <c r="CT21" i="2"/>
  <c r="CS21" i="2"/>
  <c r="CR21" i="2"/>
  <c r="CQ21" i="2"/>
  <c r="CP21" i="2"/>
  <c r="CN21" i="2"/>
  <c r="CO21" i="2" s="1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N21" i="2"/>
  <c r="BO21" i="2" s="1"/>
  <c r="BM21" i="2"/>
  <c r="BL21" i="2"/>
  <c r="BK21" i="2"/>
  <c r="BJ21" i="2"/>
  <c r="BI21" i="2"/>
  <c r="BH21" i="2"/>
  <c r="BG21" i="2"/>
  <c r="BF21" i="2"/>
  <c r="BE21" i="2"/>
  <c r="BD21" i="2"/>
  <c r="BC21" i="2"/>
  <c r="BA21" i="2"/>
  <c r="BB21" i="2" s="1"/>
  <c r="AZ21" i="2"/>
  <c r="AY21" i="2"/>
  <c r="AX21" i="2"/>
  <c r="AW21" i="2"/>
  <c r="AV21" i="2"/>
  <c r="AU21" i="2"/>
  <c r="AT21" i="2"/>
  <c r="AS21" i="2"/>
  <c r="AR21" i="2"/>
  <c r="AQ21" i="2"/>
  <c r="AP21" i="2"/>
  <c r="AN21" i="2"/>
  <c r="AO21" i="2" s="1"/>
  <c r="AM21" i="2"/>
  <c r="AL21" i="2"/>
  <c r="AK21" i="2"/>
  <c r="AJ21" i="2"/>
  <c r="AI21" i="2"/>
  <c r="AH21" i="2"/>
  <c r="AG21" i="2"/>
  <c r="AF21" i="2"/>
  <c r="AE21" i="2"/>
  <c r="AD21" i="2"/>
  <c r="AC21" i="2"/>
  <c r="AA21" i="2"/>
  <c r="AB21" i="2" s="1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FI20" i="2"/>
  <c r="FO20" i="2" s="1"/>
  <c r="FH20" i="2"/>
  <c r="FG20" i="2"/>
  <c r="FF20" i="2"/>
  <c r="FE20" i="2"/>
  <c r="FD20" i="2"/>
  <c r="FC20" i="2"/>
  <c r="FA20" i="2"/>
  <c r="FB20" i="2" s="1"/>
  <c r="EZ20" i="2"/>
  <c r="EY20" i="2"/>
  <c r="EX20" i="2"/>
  <c r="EW20" i="2"/>
  <c r="EV20" i="2"/>
  <c r="EU20" i="2"/>
  <c r="ET20" i="2"/>
  <c r="ES20" i="2"/>
  <c r="ER20" i="2"/>
  <c r="EQ20" i="2"/>
  <c r="EP20" i="2"/>
  <c r="EN20" i="2"/>
  <c r="EO20" i="2" s="1"/>
  <c r="EM20" i="2"/>
  <c r="EL20" i="2"/>
  <c r="EK20" i="2"/>
  <c r="EJ20" i="2"/>
  <c r="EI20" i="2"/>
  <c r="EH20" i="2"/>
  <c r="EG20" i="2"/>
  <c r="EF20" i="2"/>
  <c r="EE20" i="2"/>
  <c r="ED20" i="2"/>
  <c r="EC20" i="2"/>
  <c r="EA20" i="2"/>
  <c r="EB20" i="2" s="1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A20" i="2"/>
  <c r="DB20" i="2" s="1"/>
  <c r="CZ20" i="2"/>
  <c r="CY20" i="2"/>
  <c r="CX20" i="2"/>
  <c r="CW20" i="2"/>
  <c r="CV20" i="2"/>
  <c r="CU20" i="2"/>
  <c r="CT20" i="2"/>
  <c r="CS20" i="2"/>
  <c r="CR20" i="2"/>
  <c r="CQ20" i="2"/>
  <c r="CP20" i="2"/>
  <c r="CN20" i="2"/>
  <c r="CO20" i="2" s="1"/>
  <c r="CM20" i="2"/>
  <c r="CL20" i="2"/>
  <c r="CK20" i="2"/>
  <c r="CJ20" i="2"/>
  <c r="CI20" i="2"/>
  <c r="CH20" i="2"/>
  <c r="CG20" i="2"/>
  <c r="CF20" i="2"/>
  <c r="CE20" i="2"/>
  <c r="CD20" i="2"/>
  <c r="CC20" i="2"/>
  <c r="CA20" i="2"/>
  <c r="CB20" i="2" s="1"/>
  <c r="BZ20" i="2"/>
  <c r="BY20" i="2"/>
  <c r="BX20" i="2"/>
  <c r="BW20" i="2"/>
  <c r="BV20" i="2"/>
  <c r="BU20" i="2"/>
  <c r="BT20" i="2"/>
  <c r="BS20" i="2"/>
  <c r="BR20" i="2"/>
  <c r="BQ20" i="2"/>
  <c r="BP20" i="2"/>
  <c r="BN20" i="2"/>
  <c r="BO20" i="2" s="1"/>
  <c r="BM20" i="2"/>
  <c r="BL20" i="2"/>
  <c r="BK20" i="2"/>
  <c r="BJ20" i="2"/>
  <c r="BI20" i="2"/>
  <c r="BH20" i="2"/>
  <c r="BG20" i="2"/>
  <c r="BF20" i="2"/>
  <c r="BE20" i="2"/>
  <c r="BD20" i="2"/>
  <c r="BC20" i="2"/>
  <c r="BA20" i="2"/>
  <c r="BB20" i="2" s="1"/>
  <c r="AZ20" i="2"/>
  <c r="AY20" i="2"/>
  <c r="AX20" i="2"/>
  <c r="AW20" i="2"/>
  <c r="AV20" i="2"/>
  <c r="AU20" i="2"/>
  <c r="AT20" i="2"/>
  <c r="AS20" i="2"/>
  <c r="AR20" i="2"/>
  <c r="AQ20" i="2"/>
  <c r="AP20" i="2"/>
  <c r="AN20" i="2"/>
  <c r="AO20" i="2" s="1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N20" i="2"/>
  <c r="O20" i="2" s="1"/>
  <c r="M20" i="2"/>
  <c r="L20" i="2"/>
  <c r="K20" i="2"/>
  <c r="J20" i="2"/>
  <c r="I20" i="2"/>
  <c r="H20" i="2"/>
  <c r="G20" i="2"/>
  <c r="F20" i="2"/>
  <c r="E20" i="2"/>
  <c r="D20" i="2"/>
  <c r="C20" i="2"/>
  <c r="FI19" i="2"/>
  <c r="FO19" i="2" s="1"/>
  <c r="FH19" i="2"/>
  <c r="FG19" i="2"/>
  <c r="FF19" i="2"/>
  <c r="FE19" i="2"/>
  <c r="FD19" i="2"/>
  <c r="FC19" i="2"/>
  <c r="FA19" i="2"/>
  <c r="FB19" i="2" s="1"/>
  <c r="EZ19" i="2"/>
  <c r="EY19" i="2"/>
  <c r="EX19" i="2"/>
  <c r="EW19" i="2"/>
  <c r="EV19" i="2"/>
  <c r="EU19" i="2"/>
  <c r="ET19" i="2"/>
  <c r="ES19" i="2"/>
  <c r="ER19" i="2"/>
  <c r="EQ19" i="2"/>
  <c r="EP19" i="2"/>
  <c r="EN19" i="2"/>
  <c r="EO19" i="2" s="1"/>
  <c r="EM19" i="2"/>
  <c r="EL19" i="2"/>
  <c r="EK19" i="2"/>
  <c r="EJ19" i="2"/>
  <c r="EI19" i="2"/>
  <c r="EH19" i="2"/>
  <c r="EG19" i="2"/>
  <c r="EF19" i="2"/>
  <c r="EE19" i="2"/>
  <c r="ED19" i="2"/>
  <c r="EC19" i="2"/>
  <c r="EA19" i="2"/>
  <c r="EB19" i="2" s="1"/>
  <c r="DZ19" i="2"/>
  <c r="DY19" i="2"/>
  <c r="DX19" i="2"/>
  <c r="DW19" i="2"/>
  <c r="DV19" i="2"/>
  <c r="DU19" i="2"/>
  <c r="DT19" i="2"/>
  <c r="DS19" i="2"/>
  <c r="DR19" i="2"/>
  <c r="DQ19" i="2"/>
  <c r="DP19" i="2"/>
  <c r="DN19" i="2"/>
  <c r="DO19" i="2" s="1"/>
  <c r="DM19" i="2"/>
  <c r="DL19" i="2"/>
  <c r="DK19" i="2"/>
  <c r="DJ19" i="2"/>
  <c r="DI19" i="2"/>
  <c r="DH19" i="2"/>
  <c r="DG19" i="2"/>
  <c r="DF19" i="2"/>
  <c r="DE19" i="2"/>
  <c r="DD19" i="2"/>
  <c r="DC19" i="2"/>
  <c r="DA19" i="2"/>
  <c r="DB19" i="2" s="1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A19" i="2"/>
  <c r="CB19" i="2" s="1"/>
  <c r="BZ19" i="2"/>
  <c r="BY19" i="2"/>
  <c r="BX19" i="2"/>
  <c r="BW19" i="2"/>
  <c r="BV19" i="2"/>
  <c r="BU19" i="2"/>
  <c r="BT19" i="2"/>
  <c r="BS19" i="2"/>
  <c r="BR19" i="2"/>
  <c r="BQ19" i="2"/>
  <c r="BP19" i="2"/>
  <c r="BN19" i="2"/>
  <c r="BO19" i="2" s="1"/>
  <c r="BM19" i="2"/>
  <c r="BL19" i="2"/>
  <c r="BK19" i="2"/>
  <c r="BJ19" i="2"/>
  <c r="BI19" i="2"/>
  <c r="BH19" i="2"/>
  <c r="BG19" i="2"/>
  <c r="BF19" i="2"/>
  <c r="BE19" i="2"/>
  <c r="BD19" i="2"/>
  <c r="BC19" i="2"/>
  <c r="BA19" i="2"/>
  <c r="BB19" i="2" s="1"/>
  <c r="AZ19" i="2"/>
  <c r="AY19" i="2"/>
  <c r="AX19" i="2"/>
  <c r="AW19" i="2"/>
  <c r="AV19" i="2"/>
  <c r="AU19" i="2"/>
  <c r="AT19" i="2"/>
  <c r="AS19" i="2"/>
  <c r="AR19" i="2"/>
  <c r="AQ19" i="2"/>
  <c r="AP19" i="2"/>
  <c r="AN19" i="2"/>
  <c r="AO19" i="2" s="1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N19" i="2"/>
  <c r="O19" i="2" s="1"/>
  <c r="M19" i="2"/>
  <c r="L19" i="2"/>
  <c r="K19" i="2"/>
  <c r="J19" i="2"/>
  <c r="I19" i="2"/>
  <c r="H19" i="2"/>
  <c r="G19" i="2"/>
  <c r="F19" i="2"/>
  <c r="E19" i="2"/>
  <c r="D19" i="2"/>
  <c r="C19" i="2"/>
  <c r="FI18" i="2"/>
  <c r="FO18" i="2" s="1"/>
  <c r="FH18" i="2"/>
  <c r="FG18" i="2"/>
  <c r="FF18" i="2"/>
  <c r="FE18" i="2"/>
  <c r="FD18" i="2"/>
  <c r="FC18" i="2"/>
  <c r="FA18" i="2"/>
  <c r="FB18" i="2" s="1"/>
  <c r="EZ18" i="2"/>
  <c r="EY18" i="2"/>
  <c r="EX18" i="2"/>
  <c r="EW18" i="2"/>
  <c r="EV18" i="2"/>
  <c r="EU18" i="2"/>
  <c r="ET18" i="2"/>
  <c r="ES18" i="2"/>
  <c r="ER18" i="2"/>
  <c r="EQ18" i="2"/>
  <c r="EP18" i="2"/>
  <c r="EN18" i="2"/>
  <c r="EO18" i="2" s="1"/>
  <c r="EM18" i="2"/>
  <c r="EL18" i="2"/>
  <c r="EK18" i="2"/>
  <c r="EJ18" i="2"/>
  <c r="EI18" i="2"/>
  <c r="EH18" i="2"/>
  <c r="EG18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N18" i="2"/>
  <c r="DO18" i="2" s="1"/>
  <c r="DM18" i="2"/>
  <c r="DL18" i="2"/>
  <c r="DK18" i="2"/>
  <c r="DJ18" i="2"/>
  <c r="DI18" i="2"/>
  <c r="DH18" i="2"/>
  <c r="DG18" i="2"/>
  <c r="DF18" i="2"/>
  <c r="DE18" i="2"/>
  <c r="DD18" i="2"/>
  <c r="DC18" i="2"/>
  <c r="DA18" i="2"/>
  <c r="DB18" i="2" s="1"/>
  <c r="CZ18" i="2"/>
  <c r="CY18" i="2"/>
  <c r="CX18" i="2"/>
  <c r="CW18" i="2"/>
  <c r="CV18" i="2"/>
  <c r="CU18" i="2"/>
  <c r="CT18" i="2"/>
  <c r="CS18" i="2"/>
  <c r="CR18" i="2"/>
  <c r="CQ18" i="2"/>
  <c r="CP18" i="2"/>
  <c r="CN18" i="2"/>
  <c r="CO18" i="2" s="1"/>
  <c r="CM18" i="2"/>
  <c r="CL18" i="2"/>
  <c r="CK18" i="2"/>
  <c r="CJ18" i="2"/>
  <c r="CI18" i="2"/>
  <c r="CH18" i="2"/>
  <c r="CG18" i="2"/>
  <c r="CF18" i="2"/>
  <c r="CE18" i="2"/>
  <c r="CD18" i="2"/>
  <c r="CC18" i="2"/>
  <c r="CA18" i="2"/>
  <c r="CB18" i="2" s="1"/>
  <c r="BZ18" i="2"/>
  <c r="BY18" i="2"/>
  <c r="BX18" i="2"/>
  <c r="BW18" i="2"/>
  <c r="BV18" i="2"/>
  <c r="BU18" i="2"/>
  <c r="BT18" i="2"/>
  <c r="BS18" i="2"/>
  <c r="BR18" i="2"/>
  <c r="BQ18" i="2"/>
  <c r="BP18" i="2"/>
  <c r="BN18" i="2"/>
  <c r="BO18" i="2" s="1"/>
  <c r="BM18" i="2"/>
  <c r="BL18" i="2"/>
  <c r="BK18" i="2"/>
  <c r="BJ18" i="2"/>
  <c r="BI18" i="2"/>
  <c r="BH18" i="2"/>
  <c r="BG18" i="2"/>
  <c r="BF18" i="2"/>
  <c r="BE18" i="2"/>
  <c r="BD18" i="2"/>
  <c r="BC18" i="2"/>
  <c r="BA18" i="2"/>
  <c r="BB18" i="2" s="1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A18" i="2"/>
  <c r="AB18" i="2" s="1"/>
  <c r="Z18" i="2"/>
  <c r="Y18" i="2"/>
  <c r="X18" i="2"/>
  <c r="W18" i="2"/>
  <c r="V18" i="2"/>
  <c r="U18" i="2"/>
  <c r="T18" i="2"/>
  <c r="S18" i="2"/>
  <c r="R18" i="2"/>
  <c r="Q18" i="2"/>
  <c r="P18" i="2"/>
  <c r="N18" i="2"/>
  <c r="O18" i="2" s="1"/>
  <c r="M18" i="2"/>
  <c r="L18" i="2"/>
  <c r="K18" i="2"/>
  <c r="J18" i="2"/>
  <c r="I18" i="2"/>
  <c r="H18" i="2"/>
  <c r="G18" i="2"/>
  <c r="F18" i="2"/>
  <c r="E18" i="2"/>
  <c r="D18" i="2"/>
  <c r="C18" i="2"/>
  <c r="FO17" i="2"/>
  <c r="FI17" i="2"/>
  <c r="FH17" i="2"/>
  <c r="FG17" i="2"/>
  <c r="FF17" i="2"/>
  <c r="FE17" i="2"/>
  <c r="FD17" i="2"/>
  <c r="FC17" i="2"/>
  <c r="FA17" i="2"/>
  <c r="FB17" i="2" s="1"/>
  <c r="EZ17" i="2"/>
  <c r="EY17" i="2"/>
  <c r="EX17" i="2"/>
  <c r="EW17" i="2"/>
  <c r="EV17" i="2"/>
  <c r="EU17" i="2"/>
  <c r="ET17" i="2"/>
  <c r="ES17" i="2"/>
  <c r="ER17" i="2"/>
  <c r="EQ17" i="2"/>
  <c r="EP17" i="2"/>
  <c r="EO17" i="2"/>
  <c r="EN17" i="2"/>
  <c r="EM17" i="2"/>
  <c r="EL17" i="2"/>
  <c r="EK17" i="2"/>
  <c r="EJ17" i="2"/>
  <c r="EI17" i="2"/>
  <c r="EH17" i="2"/>
  <c r="EG17" i="2"/>
  <c r="EF17" i="2"/>
  <c r="EE17" i="2"/>
  <c r="ED17" i="2"/>
  <c r="EC17" i="2"/>
  <c r="EA17" i="2"/>
  <c r="EB17" i="2" s="1"/>
  <c r="DZ17" i="2"/>
  <c r="DY17" i="2"/>
  <c r="DX17" i="2"/>
  <c r="DW17" i="2"/>
  <c r="DV17" i="2"/>
  <c r="DU17" i="2"/>
  <c r="DT17" i="2"/>
  <c r="DS17" i="2"/>
  <c r="DR17" i="2"/>
  <c r="DQ17" i="2"/>
  <c r="DP17" i="2"/>
  <c r="DN17" i="2"/>
  <c r="DO17" i="2" s="1"/>
  <c r="DM17" i="2"/>
  <c r="DL17" i="2"/>
  <c r="DK17" i="2"/>
  <c r="DJ17" i="2"/>
  <c r="DI17" i="2"/>
  <c r="DH17" i="2"/>
  <c r="DG17" i="2"/>
  <c r="DF17" i="2"/>
  <c r="DE17" i="2"/>
  <c r="DD17" i="2"/>
  <c r="DC17" i="2"/>
  <c r="DA17" i="2"/>
  <c r="DB17" i="2" s="1"/>
  <c r="CZ17" i="2"/>
  <c r="CY17" i="2"/>
  <c r="CX17" i="2"/>
  <c r="CW17" i="2"/>
  <c r="CV17" i="2"/>
  <c r="CU17" i="2"/>
  <c r="CT17" i="2"/>
  <c r="CS17" i="2"/>
  <c r="CR17" i="2"/>
  <c r="CQ17" i="2"/>
  <c r="CP17" i="2"/>
  <c r="CN17" i="2"/>
  <c r="CO17" i="2" s="1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N17" i="2"/>
  <c r="BO17" i="2" s="1"/>
  <c r="BM17" i="2"/>
  <c r="BL17" i="2"/>
  <c r="BK17" i="2"/>
  <c r="BJ17" i="2"/>
  <c r="BI17" i="2"/>
  <c r="BH17" i="2"/>
  <c r="BG17" i="2"/>
  <c r="BF17" i="2"/>
  <c r="BE17" i="2"/>
  <c r="BD17" i="2"/>
  <c r="BC17" i="2"/>
  <c r="BA17" i="2"/>
  <c r="BB17" i="2" s="1"/>
  <c r="AZ17" i="2"/>
  <c r="AY17" i="2"/>
  <c r="AX17" i="2"/>
  <c r="AW17" i="2"/>
  <c r="AV17" i="2"/>
  <c r="AU17" i="2"/>
  <c r="AT17" i="2"/>
  <c r="AS17" i="2"/>
  <c r="AR17" i="2"/>
  <c r="AQ17" i="2"/>
  <c r="AP17" i="2"/>
  <c r="AN17" i="2"/>
  <c r="AO17" i="2" s="1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N17" i="2"/>
  <c r="O17" i="2" s="1"/>
  <c r="M17" i="2"/>
  <c r="L17" i="2"/>
  <c r="K17" i="2"/>
  <c r="J17" i="2"/>
  <c r="I17" i="2"/>
  <c r="H17" i="2"/>
  <c r="G17" i="2"/>
  <c r="F17" i="2"/>
  <c r="E17" i="2"/>
  <c r="D17" i="2"/>
  <c r="C17" i="2"/>
  <c r="FI16" i="2"/>
  <c r="FO16" i="2" s="1"/>
  <c r="FH16" i="2"/>
  <c r="FG16" i="2"/>
  <c r="FF16" i="2"/>
  <c r="FE16" i="2"/>
  <c r="FD16" i="2"/>
  <c r="FC16" i="2"/>
  <c r="FA16" i="2"/>
  <c r="FB16" i="2" s="1"/>
  <c r="EZ16" i="2"/>
  <c r="EY16" i="2"/>
  <c r="EX16" i="2"/>
  <c r="EW16" i="2"/>
  <c r="EV16" i="2"/>
  <c r="EU16" i="2"/>
  <c r="ET16" i="2"/>
  <c r="ES16" i="2"/>
  <c r="ER16" i="2"/>
  <c r="EQ16" i="2"/>
  <c r="EP16" i="2"/>
  <c r="EN16" i="2"/>
  <c r="EO16" i="2" s="1"/>
  <c r="EM16" i="2"/>
  <c r="EL16" i="2"/>
  <c r="EK16" i="2"/>
  <c r="EJ16" i="2"/>
  <c r="EI16" i="2"/>
  <c r="EH16" i="2"/>
  <c r="EG16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N16" i="2"/>
  <c r="DO16" i="2" s="1"/>
  <c r="DM16" i="2"/>
  <c r="DL16" i="2"/>
  <c r="DK16" i="2"/>
  <c r="DJ16" i="2"/>
  <c r="DI16" i="2"/>
  <c r="DH16" i="2"/>
  <c r="DG16" i="2"/>
  <c r="DF16" i="2"/>
  <c r="DE16" i="2"/>
  <c r="DD16" i="2"/>
  <c r="DC16" i="2"/>
  <c r="DA16" i="2"/>
  <c r="DB16" i="2" s="1"/>
  <c r="CZ16" i="2"/>
  <c r="CY16" i="2"/>
  <c r="CX16" i="2"/>
  <c r="CW16" i="2"/>
  <c r="CV16" i="2"/>
  <c r="CU16" i="2"/>
  <c r="CT16" i="2"/>
  <c r="CS16" i="2"/>
  <c r="CR16" i="2"/>
  <c r="CQ16" i="2"/>
  <c r="CP16" i="2"/>
  <c r="CN16" i="2"/>
  <c r="CO16" i="2" s="1"/>
  <c r="CM16" i="2"/>
  <c r="CL16" i="2"/>
  <c r="CK16" i="2"/>
  <c r="CJ16" i="2"/>
  <c r="CI16" i="2"/>
  <c r="CH16" i="2"/>
  <c r="CG16" i="2"/>
  <c r="CF16" i="2"/>
  <c r="CE16" i="2"/>
  <c r="CD16" i="2"/>
  <c r="CC16" i="2"/>
  <c r="CA16" i="2"/>
  <c r="CB16" i="2" s="1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A16" i="2"/>
  <c r="BB16" i="2" s="1"/>
  <c r="AZ16" i="2"/>
  <c r="AY16" i="2"/>
  <c r="AX16" i="2"/>
  <c r="AW16" i="2"/>
  <c r="AV16" i="2"/>
  <c r="AU16" i="2"/>
  <c r="AT16" i="2"/>
  <c r="AS16" i="2"/>
  <c r="AR16" i="2"/>
  <c r="AQ16" i="2"/>
  <c r="AP16" i="2"/>
  <c r="AN16" i="2"/>
  <c r="AO16" i="2" s="1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N16" i="2"/>
  <c r="O16" i="2" s="1"/>
  <c r="M16" i="2"/>
  <c r="L16" i="2"/>
  <c r="K16" i="2"/>
  <c r="J16" i="2"/>
  <c r="I16" i="2"/>
  <c r="H16" i="2"/>
  <c r="G16" i="2"/>
  <c r="F16" i="2"/>
  <c r="E16" i="2"/>
  <c r="D16" i="2"/>
  <c r="C16" i="2"/>
  <c r="FI15" i="2"/>
  <c r="FO15" i="2" s="1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U15" i="2"/>
  <c r="ET15" i="2"/>
  <c r="ES15" i="2"/>
  <c r="ER15" i="2"/>
  <c r="EQ15" i="2"/>
  <c r="EP15" i="2"/>
  <c r="EN15" i="2"/>
  <c r="EO15" i="2" s="1"/>
  <c r="EM15" i="2"/>
  <c r="EL15" i="2"/>
  <c r="EK15" i="2"/>
  <c r="EJ15" i="2"/>
  <c r="EI15" i="2"/>
  <c r="EH15" i="2"/>
  <c r="EG15" i="2"/>
  <c r="EF15" i="2"/>
  <c r="EE15" i="2"/>
  <c r="ED15" i="2"/>
  <c r="EC15" i="2"/>
  <c r="EA15" i="2"/>
  <c r="EB15" i="2" s="1"/>
  <c r="DZ15" i="2"/>
  <c r="DY15" i="2"/>
  <c r="DX15" i="2"/>
  <c r="DW15" i="2"/>
  <c r="DV15" i="2"/>
  <c r="DU15" i="2"/>
  <c r="DT15" i="2"/>
  <c r="DS15" i="2"/>
  <c r="DR15" i="2"/>
  <c r="DQ15" i="2"/>
  <c r="DP15" i="2"/>
  <c r="DN15" i="2"/>
  <c r="DO15" i="2" s="1"/>
  <c r="DM15" i="2"/>
  <c r="DL15" i="2"/>
  <c r="DK15" i="2"/>
  <c r="DJ15" i="2"/>
  <c r="DI15" i="2"/>
  <c r="DH15" i="2"/>
  <c r="DG15" i="2"/>
  <c r="DF15" i="2"/>
  <c r="DE15" i="2"/>
  <c r="DD15" i="2"/>
  <c r="DC15" i="2"/>
  <c r="DA15" i="2"/>
  <c r="DB15" i="2" s="1"/>
  <c r="CZ15" i="2"/>
  <c r="CY15" i="2"/>
  <c r="CX15" i="2"/>
  <c r="CW15" i="2"/>
  <c r="CV15" i="2"/>
  <c r="CU15" i="2"/>
  <c r="CT15" i="2"/>
  <c r="CS15" i="2"/>
  <c r="CR15" i="2"/>
  <c r="CQ15" i="2"/>
  <c r="CP15" i="2"/>
  <c r="CN15" i="2"/>
  <c r="CO15" i="2" s="1"/>
  <c r="CM15" i="2"/>
  <c r="CL15" i="2"/>
  <c r="CK15" i="2"/>
  <c r="CJ15" i="2"/>
  <c r="CI15" i="2"/>
  <c r="CH15" i="2"/>
  <c r="CG15" i="2"/>
  <c r="CF15" i="2"/>
  <c r="CE15" i="2"/>
  <c r="CD15" i="2"/>
  <c r="CC15" i="2"/>
  <c r="CA15" i="2"/>
  <c r="CB15" i="2" s="1"/>
  <c r="BZ15" i="2"/>
  <c r="BY15" i="2"/>
  <c r="BX15" i="2"/>
  <c r="BW15" i="2"/>
  <c r="BV15" i="2"/>
  <c r="BU15" i="2"/>
  <c r="BT15" i="2"/>
  <c r="BS15" i="2"/>
  <c r="BR15" i="2"/>
  <c r="BQ15" i="2"/>
  <c r="BP15" i="2"/>
  <c r="BN15" i="2"/>
  <c r="BO15" i="2" s="1"/>
  <c r="BM15" i="2"/>
  <c r="BL15" i="2"/>
  <c r="BK15" i="2"/>
  <c r="BJ15" i="2"/>
  <c r="BI15" i="2"/>
  <c r="BH15" i="2"/>
  <c r="BG15" i="2"/>
  <c r="BF15" i="2"/>
  <c r="BE15" i="2"/>
  <c r="BD15" i="2"/>
  <c r="BC15" i="2"/>
  <c r="BA15" i="2"/>
  <c r="BB15" i="2" s="1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A15" i="2"/>
  <c r="AB15" i="2" s="1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FI14" i="2"/>
  <c r="FO14" i="2" s="1"/>
  <c r="FH14" i="2"/>
  <c r="FG14" i="2"/>
  <c r="FF14" i="2"/>
  <c r="FE14" i="2"/>
  <c r="FD14" i="2"/>
  <c r="FC14" i="2"/>
  <c r="FA14" i="2"/>
  <c r="FB14" i="2" s="1"/>
  <c r="EZ14" i="2"/>
  <c r="EY14" i="2"/>
  <c r="EX14" i="2"/>
  <c r="EW14" i="2"/>
  <c r="EV14" i="2"/>
  <c r="EU14" i="2"/>
  <c r="ET14" i="2"/>
  <c r="ES14" i="2"/>
  <c r="ER14" i="2"/>
  <c r="EQ14" i="2"/>
  <c r="EP14" i="2"/>
  <c r="EN14" i="2"/>
  <c r="EO14" i="2" s="1"/>
  <c r="EM14" i="2"/>
  <c r="EL14" i="2"/>
  <c r="EK14" i="2"/>
  <c r="EJ14" i="2"/>
  <c r="EI14" i="2"/>
  <c r="EH14" i="2"/>
  <c r="EG14" i="2"/>
  <c r="EF14" i="2"/>
  <c r="EE14" i="2"/>
  <c r="ED14" i="2"/>
  <c r="EC14" i="2"/>
  <c r="EA14" i="2"/>
  <c r="EB14" i="2" s="1"/>
  <c r="DZ14" i="2"/>
  <c r="DY14" i="2"/>
  <c r="DX14" i="2"/>
  <c r="DW14" i="2"/>
  <c r="DV14" i="2"/>
  <c r="DU14" i="2"/>
  <c r="DT14" i="2"/>
  <c r="DS14" i="2"/>
  <c r="DR14" i="2"/>
  <c r="DQ14" i="2"/>
  <c r="DP14" i="2"/>
  <c r="DN14" i="2"/>
  <c r="DO14" i="2" s="1"/>
  <c r="DM14" i="2"/>
  <c r="DL14" i="2"/>
  <c r="DK14" i="2"/>
  <c r="DJ14" i="2"/>
  <c r="DI14" i="2"/>
  <c r="DH14" i="2"/>
  <c r="DG14" i="2"/>
  <c r="DF14" i="2"/>
  <c r="DE14" i="2"/>
  <c r="DD14" i="2"/>
  <c r="DC14" i="2"/>
  <c r="DA14" i="2"/>
  <c r="DB14" i="2" s="1"/>
  <c r="CZ14" i="2"/>
  <c r="CY14" i="2"/>
  <c r="CX14" i="2"/>
  <c r="CW14" i="2"/>
  <c r="CV14" i="2"/>
  <c r="CU14" i="2"/>
  <c r="CT14" i="2"/>
  <c r="CS14" i="2"/>
  <c r="CR14" i="2"/>
  <c r="CQ14" i="2"/>
  <c r="CP14" i="2"/>
  <c r="CN14" i="2"/>
  <c r="CO14" i="2" s="1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N14" i="2"/>
  <c r="BO14" i="2" s="1"/>
  <c r="BM14" i="2"/>
  <c r="BL14" i="2"/>
  <c r="BK14" i="2"/>
  <c r="BJ14" i="2"/>
  <c r="BI14" i="2"/>
  <c r="BH14" i="2"/>
  <c r="BG14" i="2"/>
  <c r="BF14" i="2"/>
  <c r="BE14" i="2"/>
  <c r="BD14" i="2"/>
  <c r="BC14" i="2"/>
  <c r="BA14" i="2"/>
  <c r="BB14" i="2" s="1"/>
  <c r="AZ14" i="2"/>
  <c r="AY14" i="2"/>
  <c r="AX14" i="2"/>
  <c r="AW14" i="2"/>
  <c r="AV14" i="2"/>
  <c r="AU14" i="2"/>
  <c r="AT14" i="2"/>
  <c r="AS14" i="2"/>
  <c r="AR14" i="2"/>
  <c r="AQ14" i="2"/>
  <c r="AP14" i="2"/>
  <c r="AN14" i="2"/>
  <c r="AO14" i="2" s="1"/>
  <c r="AM14" i="2"/>
  <c r="AL14" i="2"/>
  <c r="AK14" i="2"/>
  <c r="AJ14" i="2"/>
  <c r="AI14" i="2"/>
  <c r="AH14" i="2"/>
  <c r="AG14" i="2"/>
  <c r="AF14" i="2"/>
  <c r="AE14" i="2"/>
  <c r="AD14" i="2"/>
  <c r="AC14" i="2"/>
  <c r="AA14" i="2"/>
  <c r="AB14" i="2" s="1"/>
  <c r="Z14" i="2"/>
  <c r="Y14" i="2"/>
  <c r="X14" i="2"/>
  <c r="W14" i="2"/>
  <c r="V14" i="2"/>
  <c r="U14" i="2"/>
  <c r="T14" i="2"/>
  <c r="S14" i="2"/>
  <c r="R14" i="2"/>
  <c r="Q14" i="2"/>
  <c r="P14" i="2"/>
  <c r="N14" i="2"/>
  <c r="O14" i="2" s="1"/>
  <c r="M14" i="2"/>
  <c r="L14" i="2"/>
  <c r="K14" i="2"/>
  <c r="J14" i="2"/>
  <c r="I14" i="2"/>
  <c r="H14" i="2"/>
  <c r="G14" i="2"/>
  <c r="F14" i="2"/>
  <c r="E14" i="2"/>
  <c r="D14" i="2"/>
  <c r="C14" i="2"/>
  <c r="FI13" i="2"/>
  <c r="FO13" i="2" s="1"/>
  <c r="FH13" i="2"/>
  <c r="FG13" i="2"/>
  <c r="FF13" i="2"/>
  <c r="FE13" i="2"/>
  <c r="FD13" i="2"/>
  <c r="FC13" i="2"/>
  <c r="FA13" i="2"/>
  <c r="FB13" i="2" s="1"/>
  <c r="EZ13" i="2"/>
  <c r="EY13" i="2"/>
  <c r="EX13" i="2"/>
  <c r="EW13" i="2"/>
  <c r="EV13" i="2"/>
  <c r="EU13" i="2"/>
  <c r="ET13" i="2"/>
  <c r="ES13" i="2"/>
  <c r="ER13" i="2"/>
  <c r="EQ13" i="2"/>
  <c r="EP13" i="2"/>
  <c r="EN13" i="2"/>
  <c r="EO13" i="2" s="1"/>
  <c r="EM13" i="2"/>
  <c r="EL13" i="2"/>
  <c r="EK13" i="2"/>
  <c r="EJ13" i="2"/>
  <c r="EI13" i="2"/>
  <c r="EH13" i="2"/>
  <c r="EG13" i="2"/>
  <c r="EF13" i="2"/>
  <c r="EE13" i="2"/>
  <c r="ED13" i="2"/>
  <c r="EC13" i="2"/>
  <c r="EA13" i="2"/>
  <c r="EB13" i="2" s="1"/>
  <c r="DZ13" i="2"/>
  <c r="DY13" i="2"/>
  <c r="DX13" i="2"/>
  <c r="DW13" i="2"/>
  <c r="DV13" i="2"/>
  <c r="DU13" i="2"/>
  <c r="DT13" i="2"/>
  <c r="DS13" i="2"/>
  <c r="DR13" i="2"/>
  <c r="DQ13" i="2"/>
  <c r="DP13" i="2"/>
  <c r="DN13" i="2"/>
  <c r="DO13" i="2" s="1"/>
  <c r="DM13" i="2"/>
  <c r="DL13" i="2"/>
  <c r="DK13" i="2"/>
  <c r="DJ13" i="2"/>
  <c r="DI13" i="2"/>
  <c r="DH13" i="2"/>
  <c r="DG13" i="2"/>
  <c r="DF13" i="2"/>
  <c r="DE13" i="2"/>
  <c r="DD13" i="2"/>
  <c r="DC13" i="2"/>
  <c r="DA13" i="2"/>
  <c r="DB13" i="2" s="1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A13" i="2"/>
  <c r="CB13" i="2" s="1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N13" i="2"/>
  <c r="AO13" i="2" s="1"/>
  <c r="AM13" i="2"/>
  <c r="AL13" i="2"/>
  <c r="AK13" i="2"/>
  <c r="AJ13" i="2"/>
  <c r="AI13" i="2"/>
  <c r="AH13" i="2"/>
  <c r="AG13" i="2"/>
  <c r="AF13" i="2"/>
  <c r="AE13" i="2"/>
  <c r="AD13" i="2"/>
  <c r="AC13" i="2"/>
  <c r="AA13" i="2"/>
  <c r="AB13" i="2" s="1"/>
  <c r="Z13" i="2"/>
  <c r="Y13" i="2"/>
  <c r="X13" i="2"/>
  <c r="W13" i="2"/>
  <c r="V13" i="2"/>
  <c r="U13" i="2"/>
  <c r="T13" i="2"/>
  <c r="S13" i="2"/>
  <c r="R13" i="2"/>
  <c r="Q13" i="2"/>
  <c r="P13" i="2"/>
  <c r="N13" i="2"/>
  <c r="O13" i="2" s="1"/>
  <c r="M13" i="2"/>
  <c r="L13" i="2"/>
  <c r="K13" i="2"/>
  <c r="J13" i="2"/>
  <c r="I13" i="2"/>
  <c r="H13" i="2"/>
  <c r="G13" i="2"/>
  <c r="F13" i="2"/>
  <c r="E13" i="2"/>
  <c r="D13" i="2"/>
  <c r="C13" i="2"/>
  <c r="FI12" i="2"/>
  <c r="FO12" i="2" s="1"/>
  <c r="FH12" i="2"/>
  <c r="FG12" i="2"/>
  <c r="FF12" i="2"/>
  <c r="FE12" i="2"/>
  <c r="FD12" i="2"/>
  <c r="FC12" i="2"/>
  <c r="FA12" i="2"/>
  <c r="FB12" i="2" s="1"/>
  <c r="EZ12" i="2"/>
  <c r="EY12" i="2"/>
  <c r="EX12" i="2"/>
  <c r="EW12" i="2"/>
  <c r="EV12" i="2"/>
  <c r="EU12" i="2"/>
  <c r="ET12" i="2"/>
  <c r="ES12" i="2"/>
  <c r="ER12" i="2"/>
  <c r="EQ12" i="2"/>
  <c r="EP12" i="2"/>
  <c r="EN12" i="2"/>
  <c r="EO12" i="2" s="1"/>
  <c r="EM12" i="2"/>
  <c r="EL12" i="2"/>
  <c r="EK12" i="2"/>
  <c r="EJ12" i="2"/>
  <c r="EI12" i="2"/>
  <c r="EH12" i="2"/>
  <c r="EG12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N12" i="2"/>
  <c r="DO12" i="2" s="1"/>
  <c r="DM12" i="2"/>
  <c r="DL12" i="2"/>
  <c r="DK12" i="2"/>
  <c r="DJ12" i="2"/>
  <c r="DI12" i="2"/>
  <c r="DH12" i="2"/>
  <c r="DG12" i="2"/>
  <c r="DF12" i="2"/>
  <c r="DE12" i="2"/>
  <c r="DD12" i="2"/>
  <c r="DC12" i="2"/>
  <c r="DA12" i="2"/>
  <c r="DB12" i="2" s="1"/>
  <c r="CZ12" i="2"/>
  <c r="CY12" i="2"/>
  <c r="CX12" i="2"/>
  <c r="CW12" i="2"/>
  <c r="CV12" i="2"/>
  <c r="CU12" i="2"/>
  <c r="CT12" i="2"/>
  <c r="CS12" i="2"/>
  <c r="CR12" i="2"/>
  <c r="CQ12" i="2"/>
  <c r="CP12" i="2"/>
  <c r="CN12" i="2"/>
  <c r="CO12" i="2" s="1"/>
  <c r="CM12" i="2"/>
  <c r="CL12" i="2"/>
  <c r="CK12" i="2"/>
  <c r="CJ12" i="2"/>
  <c r="CI12" i="2"/>
  <c r="CH12" i="2"/>
  <c r="CG12" i="2"/>
  <c r="CF12" i="2"/>
  <c r="CE12" i="2"/>
  <c r="CD12" i="2"/>
  <c r="CC12" i="2"/>
  <c r="CA12" i="2"/>
  <c r="CB12" i="2" s="1"/>
  <c r="BZ12" i="2"/>
  <c r="BY12" i="2"/>
  <c r="BX12" i="2"/>
  <c r="BW12" i="2"/>
  <c r="BV12" i="2"/>
  <c r="BU12" i="2"/>
  <c r="BT12" i="2"/>
  <c r="BS12" i="2"/>
  <c r="BR12" i="2"/>
  <c r="BQ12" i="2"/>
  <c r="BP12" i="2"/>
  <c r="BN12" i="2"/>
  <c r="BO12" i="2" s="1"/>
  <c r="BM12" i="2"/>
  <c r="BL12" i="2"/>
  <c r="BK12" i="2"/>
  <c r="BJ12" i="2"/>
  <c r="BI12" i="2"/>
  <c r="BH12" i="2"/>
  <c r="BG12" i="2"/>
  <c r="BF12" i="2"/>
  <c r="BE12" i="2"/>
  <c r="BD12" i="2"/>
  <c r="BC12" i="2"/>
  <c r="BA12" i="2"/>
  <c r="BB12" i="2" s="1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A12" i="2"/>
  <c r="AB12" i="2" s="1"/>
  <c r="Z12" i="2"/>
  <c r="Y12" i="2"/>
  <c r="X12" i="2"/>
  <c r="W12" i="2"/>
  <c r="V12" i="2"/>
  <c r="U12" i="2"/>
  <c r="T12" i="2"/>
  <c r="S12" i="2"/>
  <c r="R12" i="2"/>
  <c r="Q12" i="2"/>
  <c r="P12" i="2"/>
  <c r="N12" i="2"/>
  <c r="O12" i="2" s="1"/>
  <c r="M12" i="2"/>
  <c r="L12" i="2"/>
  <c r="K12" i="2"/>
  <c r="J12" i="2"/>
  <c r="I12" i="2"/>
  <c r="H12" i="2"/>
  <c r="G12" i="2"/>
  <c r="F12" i="2"/>
  <c r="E12" i="2"/>
  <c r="D12" i="2"/>
  <c r="C12" i="2"/>
  <c r="FO11" i="2"/>
  <c r="FI11" i="2"/>
  <c r="FH11" i="2"/>
  <c r="FG11" i="2"/>
  <c r="FF11" i="2"/>
  <c r="FE11" i="2"/>
  <c r="FD11" i="2"/>
  <c r="FC11" i="2"/>
  <c r="FA11" i="2"/>
  <c r="FB11" i="2" s="1"/>
  <c r="EZ11" i="2"/>
  <c r="EY11" i="2"/>
  <c r="EX11" i="2"/>
  <c r="EW11" i="2"/>
  <c r="EV11" i="2"/>
  <c r="EU11" i="2"/>
  <c r="ET11" i="2"/>
  <c r="ES11" i="2"/>
  <c r="ER11" i="2"/>
  <c r="EQ11" i="2"/>
  <c r="EP11" i="2"/>
  <c r="EN11" i="2"/>
  <c r="EO11" i="2" s="1"/>
  <c r="EM11" i="2"/>
  <c r="EL11" i="2"/>
  <c r="EK11" i="2"/>
  <c r="EJ11" i="2"/>
  <c r="EI11" i="2"/>
  <c r="EH11" i="2"/>
  <c r="EG11" i="2"/>
  <c r="EF11" i="2"/>
  <c r="EE11" i="2"/>
  <c r="ED11" i="2"/>
  <c r="EC11" i="2"/>
  <c r="EA11" i="2"/>
  <c r="EB11" i="2" s="1"/>
  <c r="DZ11" i="2"/>
  <c r="DY11" i="2"/>
  <c r="DX11" i="2"/>
  <c r="DW11" i="2"/>
  <c r="DV11" i="2"/>
  <c r="DU11" i="2"/>
  <c r="DT11" i="2"/>
  <c r="DS11" i="2"/>
  <c r="DR11" i="2"/>
  <c r="DQ11" i="2"/>
  <c r="DP11" i="2"/>
  <c r="DO11" i="2"/>
  <c r="DN11" i="2"/>
  <c r="DM11" i="2"/>
  <c r="DL11" i="2"/>
  <c r="DK11" i="2"/>
  <c r="DJ11" i="2"/>
  <c r="DI11" i="2"/>
  <c r="DH11" i="2"/>
  <c r="DG11" i="2"/>
  <c r="DF11" i="2"/>
  <c r="DE11" i="2"/>
  <c r="DD11" i="2"/>
  <c r="DC11" i="2"/>
  <c r="DB11" i="2"/>
  <c r="DA11" i="2"/>
  <c r="CZ11" i="2"/>
  <c r="CY11" i="2"/>
  <c r="CX11" i="2"/>
  <c r="CW11" i="2"/>
  <c r="CV11" i="2"/>
  <c r="CU11" i="2"/>
  <c r="CT11" i="2"/>
  <c r="CS11" i="2"/>
  <c r="CR11" i="2"/>
  <c r="CQ11" i="2"/>
  <c r="CP11" i="2"/>
  <c r="CN11" i="2"/>
  <c r="CO11" i="2" s="1"/>
  <c r="CM11" i="2"/>
  <c r="CL11" i="2"/>
  <c r="CK11" i="2"/>
  <c r="CJ11" i="2"/>
  <c r="CI11" i="2"/>
  <c r="CH11" i="2"/>
  <c r="CG11" i="2"/>
  <c r="CF11" i="2"/>
  <c r="CE11" i="2"/>
  <c r="CD11" i="2"/>
  <c r="CC11" i="2"/>
  <c r="CA11" i="2"/>
  <c r="CB11" i="2" s="1"/>
  <c r="BZ11" i="2"/>
  <c r="BY11" i="2"/>
  <c r="BX11" i="2"/>
  <c r="BW11" i="2"/>
  <c r="BV11" i="2"/>
  <c r="BU11" i="2"/>
  <c r="BT11" i="2"/>
  <c r="BS11" i="2"/>
  <c r="BR11" i="2"/>
  <c r="BQ11" i="2"/>
  <c r="BP11" i="2"/>
  <c r="BN11" i="2"/>
  <c r="BO11" i="2" s="1"/>
  <c r="BM11" i="2"/>
  <c r="BL11" i="2"/>
  <c r="BK11" i="2"/>
  <c r="BJ11" i="2"/>
  <c r="BI11" i="2"/>
  <c r="BH11" i="2"/>
  <c r="BG11" i="2"/>
  <c r="BF11" i="2"/>
  <c r="BE11" i="2"/>
  <c r="BD11" i="2"/>
  <c r="BC11" i="2"/>
  <c r="BA11" i="2"/>
  <c r="BB11" i="2" s="1"/>
  <c r="AZ11" i="2"/>
  <c r="AY11" i="2"/>
  <c r="AX11" i="2"/>
  <c r="AW11" i="2"/>
  <c r="AV11" i="2"/>
  <c r="AU11" i="2"/>
  <c r="AT11" i="2"/>
  <c r="AS11" i="2"/>
  <c r="AR11" i="2"/>
  <c r="AQ11" i="2"/>
  <c r="AP11" i="2"/>
  <c r="AN11" i="2"/>
  <c r="AO11" i="2" s="1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N11" i="2"/>
  <c r="O11" i="2" s="1"/>
  <c r="M11" i="2"/>
  <c r="L11" i="2"/>
  <c r="K11" i="2"/>
  <c r="J11" i="2"/>
  <c r="I11" i="2"/>
  <c r="H11" i="2"/>
  <c r="G11" i="2"/>
  <c r="F11" i="2"/>
  <c r="E11" i="2"/>
  <c r="D11" i="2"/>
  <c r="C11" i="2"/>
  <c r="FI10" i="2"/>
  <c r="FO10" i="2" s="1"/>
  <c r="FH10" i="2"/>
  <c r="FG10" i="2"/>
  <c r="FF10" i="2"/>
  <c r="FE10" i="2"/>
  <c r="FD10" i="2"/>
  <c r="FC10" i="2"/>
  <c r="FA10" i="2"/>
  <c r="FB10" i="2" s="1"/>
  <c r="EZ10" i="2"/>
  <c r="EY10" i="2"/>
  <c r="EX10" i="2"/>
  <c r="EW10" i="2"/>
  <c r="EV10" i="2"/>
  <c r="EU10" i="2"/>
  <c r="ET10" i="2"/>
  <c r="ES10" i="2"/>
  <c r="ER10" i="2"/>
  <c r="EQ10" i="2"/>
  <c r="EP10" i="2"/>
  <c r="EN10" i="2"/>
  <c r="EO10" i="2" s="1"/>
  <c r="EM10" i="2"/>
  <c r="EL10" i="2"/>
  <c r="EK10" i="2"/>
  <c r="EJ10" i="2"/>
  <c r="EI10" i="2"/>
  <c r="EH10" i="2"/>
  <c r="EG10" i="2"/>
  <c r="EF10" i="2"/>
  <c r="EE10" i="2"/>
  <c r="ED10" i="2"/>
  <c r="EC10" i="2"/>
  <c r="EA10" i="2"/>
  <c r="EB10" i="2" s="1"/>
  <c r="DZ10" i="2"/>
  <c r="DY10" i="2"/>
  <c r="DX10" i="2"/>
  <c r="DW10" i="2"/>
  <c r="DV10" i="2"/>
  <c r="DU10" i="2"/>
  <c r="DT10" i="2"/>
  <c r="DS10" i="2"/>
  <c r="DR10" i="2"/>
  <c r="DQ10" i="2"/>
  <c r="DP10" i="2"/>
  <c r="DN10" i="2"/>
  <c r="DO10" i="2" s="1"/>
  <c r="DM10" i="2"/>
  <c r="DL10" i="2"/>
  <c r="DK10" i="2"/>
  <c r="DJ10" i="2"/>
  <c r="DI10" i="2"/>
  <c r="DH10" i="2"/>
  <c r="DG10" i="2"/>
  <c r="DF10" i="2"/>
  <c r="DE10" i="2"/>
  <c r="DD10" i="2"/>
  <c r="DC10" i="2"/>
  <c r="DA10" i="2"/>
  <c r="DB10" i="2" s="1"/>
  <c r="CZ10" i="2"/>
  <c r="CY10" i="2"/>
  <c r="CX10" i="2"/>
  <c r="CW10" i="2"/>
  <c r="CV10" i="2"/>
  <c r="CU10" i="2"/>
  <c r="CT10" i="2"/>
  <c r="CS10" i="2"/>
  <c r="CR10" i="2"/>
  <c r="CQ10" i="2"/>
  <c r="CP10" i="2"/>
  <c r="CN10" i="2"/>
  <c r="CO10" i="2" s="1"/>
  <c r="CM10" i="2"/>
  <c r="CL10" i="2"/>
  <c r="CK10" i="2"/>
  <c r="CJ10" i="2"/>
  <c r="CI10" i="2"/>
  <c r="CH10" i="2"/>
  <c r="CG10" i="2"/>
  <c r="CF10" i="2"/>
  <c r="CE10" i="2"/>
  <c r="CD10" i="2"/>
  <c r="CC10" i="2"/>
  <c r="CA10" i="2"/>
  <c r="CB10" i="2" s="1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A10" i="2"/>
  <c r="BB10" i="2" s="1"/>
  <c r="AZ10" i="2"/>
  <c r="AY10" i="2"/>
  <c r="AX10" i="2"/>
  <c r="AW10" i="2"/>
  <c r="AV10" i="2"/>
  <c r="AU10" i="2"/>
  <c r="AT10" i="2"/>
  <c r="AS10" i="2"/>
  <c r="AR10" i="2"/>
  <c r="AQ10" i="2"/>
  <c r="AP10" i="2"/>
  <c r="AN10" i="2"/>
  <c r="AO10" i="2" s="1"/>
  <c r="AM10" i="2"/>
  <c r="AL10" i="2"/>
  <c r="AK10" i="2"/>
  <c r="AJ10" i="2"/>
  <c r="AI10" i="2"/>
  <c r="AH10" i="2"/>
  <c r="AG10" i="2"/>
  <c r="AF10" i="2"/>
  <c r="AE10" i="2"/>
  <c r="AD10" i="2"/>
  <c r="AC10" i="2"/>
  <c r="AA10" i="2"/>
  <c r="AB10" i="2" s="1"/>
  <c r="Z10" i="2"/>
  <c r="Y10" i="2"/>
  <c r="X10" i="2"/>
  <c r="W10" i="2"/>
  <c r="V10" i="2"/>
  <c r="U10" i="2"/>
  <c r="T10" i="2"/>
  <c r="S10" i="2"/>
  <c r="R10" i="2"/>
  <c r="Q10" i="2"/>
  <c r="P10" i="2"/>
  <c r="N10" i="2"/>
  <c r="O10" i="2" s="1"/>
  <c r="M10" i="2"/>
  <c r="L10" i="2"/>
  <c r="K10" i="2"/>
  <c r="J10" i="2"/>
  <c r="I10" i="2"/>
  <c r="H10" i="2"/>
  <c r="G10" i="2"/>
  <c r="F10" i="2"/>
  <c r="E10" i="2"/>
  <c r="D10" i="2"/>
  <c r="C10" i="2"/>
  <c r="FI9" i="2"/>
  <c r="FO9" i="2" s="1"/>
  <c r="FH9" i="2"/>
  <c r="FG9" i="2"/>
  <c r="FF9" i="2"/>
  <c r="FE9" i="2"/>
  <c r="FD9" i="2"/>
  <c r="FC9" i="2"/>
  <c r="FB9" i="2"/>
  <c r="FA9" i="2"/>
  <c r="EZ9" i="2"/>
  <c r="EY9" i="2"/>
  <c r="EX9" i="2"/>
  <c r="EW9" i="2"/>
  <c r="EV9" i="2"/>
  <c r="EU9" i="2"/>
  <c r="ET9" i="2"/>
  <c r="ES9" i="2"/>
  <c r="ER9" i="2"/>
  <c r="EQ9" i="2"/>
  <c r="EP9" i="2"/>
  <c r="EN9" i="2"/>
  <c r="EO9" i="2" s="1"/>
  <c r="EM9" i="2"/>
  <c r="EL9" i="2"/>
  <c r="EK9" i="2"/>
  <c r="EJ9" i="2"/>
  <c r="EI9" i="2"/>
  <c r="EH9" i="2"/>
  <c r="EG9" i="2"/>
  <c r="EF9" i="2"/>
  <c r="EE9" i="2"/>
  <c r="ED9" i="2"/>
  <c r="EC9" i="2"/>
  <c r="EA9" i="2"/>
  <c r="EB9" i="2" s="1"/>
  <c r="DZ9" i="2"/>
  <c r="DY9" i="2"/>
  <c r="DX9" i="2"/>
  <c r="DW9" i="2"/>
  <c r="DV9" i="2"/>
  <c r="DU9" i="2"/>
  <c r="DT9" i="2"/>
  <c r="DS9" i="2"/>
  <c r="DR9" i="2"/>
  <c r="DQ9" i="2"/>
  <c r="DP9" i="2"/>
  <c r="DN9" i="2"/>
  <c r="DO9" i="2" s="1"/>
  <c r="DM9" i="2"/>
  <c r="DL9" i="2"/>
  <c r="DK9" i="2"/>
  <c r="DK40" i="2" s="1"/>
  <c r="DJ9" i="2"/>
  <c r="DI9" i="2"/>
  <c r="DH9" i="2"/>
  <c r="DG9" i="2"/>
  <c r="DF9" i="2"/>
  <c r="DE9" i="2"/>
  <c r="DD9" i="2"/>
  <c r="DC9" i="2"/>
  <c r="DA9" i="2"/>
  <c r="DB9" i="2" s="1"/>
  <c r="CZ9" i="2"/>
  <c r="CY9" i="2"/>
  <c r="CX9" i="2"/>
  <c r="CW9" i="2"/>
  <c r="CV9" i="2"/>
  <c r="CU9" i="2"/>
  <c r="CT9" i="2"/>
  <c r="CS9" i="2"/>
  <c r="CR9" i="2"/>
  <c r="CQ9" i="2"/>
  <c r="CP9" i="2"/>
  <c r="CN9" i="2"/>
  <c r="CO9" i="2" s="1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N9" i="2"/>
  <c r="BO9" i="2" s="1"/>
  <c r="BM9" i="2"/>
  <c r="BL9" i="2"/>
  <c r="BK9" i="2"/>
  <c r="BJ9" i="2"/>
  <c r="BI9" i="2"/>
  <c r="BH9" i="2"/>
  <c r="BG9" i="2"/>
  <c r="BF9" i="2"/>
  <c r="BE9" i="2"/>
  <c r="BD9" i="2"/>
  <c r="BC9" i="2"/>
  <c r="BA9" i="2"/>
  <c r="BB9" i="2" s="1"/>
  <c r="AZ9" i="2"/>
  <c r="AY9" i="2"/>
  <c r="AX9" i="2"/>
  <c r="AW9" i="2"/>
  <c r="AV9" i="2"/>
  <c r="AU9" i="2"/>
  <c r="AT9" i="2"/>
  <c r="AS9" i="2"/>
  <c r="AR9" i="2"/>
  <c r="AQ9" i="2"/>
  <c r="AP9" i="2"/>
  <c r="AN9" i="2"/>
  <c r="AO9" i="2" s="1"/>
  <c r="AM9" i="2"/>
  <c r="AL9" i="2"/>
  <c r="AK9" i="2"/>
  <c r="AJ9" i="2"/>
  <c r="AI9" i="2"/>
  <c r="AH9" i="2"/>
  <c r="AG9" i="2"/>
  <c r="AF9" i="2"/>
  <c r="AE9" i="2"/>
  <c r="AD9" i="2"/>
  <c r="AC9" i="2"/>
  <c r="AA9" i="2"/>
  <c r="AB9" i="2" s="1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FO8" i="2"/>
  <c r="FI8" i="2"/>
  <c r="FH8" i="2"/>
  <c r="FG8" i="2"/>
  <c r="FF8" i="2"/>
  <c r="FE8" i="2"/>
  <c r="FD8" i="2"/>
  <c r="FC8" i="2"/>
  <c r="FA8" i="2"/>
  <c r="EZ8" i="2"/>
  <c r="EY8" i="2"/>
  <c r="EX8" i="2"/>
  <c r="EX40" i="2" s="1"/>
  <c r="EW8" i="2"/>
  <c r="EV8" i="2"/>
  <c r="EU8" i="2"/>
  <c r="ET8" i="2"/>
  <c r="ES8" i="2"/>
  <c r="ER8" i="2"/>
  <c r="EQ8" i="2"/>
  <c r="EP8" i="2"/>
  <c r="EO8" i="2"/>
  <c r="EN8" i="2"/>
  <c r="EM8" i="2"/>
  <c r="EL8" i="2"/>
  <c r="EL40" i="2" s="1"/>
  <c r="EK8" i="2"/>
  <c r="EJ8" i="2"/>
  <c r="EI8" i="2"/>
  <c r="EH8" i="2"/>
  <c r="EG8" i="2"/>
  <c r="EF8" i="2"/>
  <c r="EE8" i="2"/>
  <c r="ED8" i="2"/>
  <c r="EC8" i="2"/>
  <c r="EA8" i="2"/>
  <c r="EB8" i="2" s="1"/>
  <c r="DZ8" i="2"/>
  <c r="DY8" i="2"/>
  <c r="DY40" i="2" s="1"/>
  <c r="DX8" i="2"/>
  <c r="DW8" i="2"/>
  <c r="DV8" i="2"/>
  <c r="DU8" i="2"/>
  <c r="DT8" i="2"/>
  <c r="DS8" i="2"/>
  <c r="DR8" i="2"/>
  <c r="DQ8" i="2"/>
  <c r="DP8" i="2"/>
  <c r="DO8" i="2"/>
  <c r="DN8" i="2"/>
  <c r="DM8" i="2"/>
  <c r="DM40" i="2" s="1"/>
  <c r="DL8" i="2"/>
  <c r="DK8" i="2"/>
  <c r="DJ8" i="2"/>
  <c r="DI8" i="2"/>
  <c r="DH8" i="2"/>
  <c r="DG8" i="2"/>
  <c r="DF8" i="2"/>
  <c r="DE8" i="2"/>
  <c r="DD8" i="2"/>
  <c r="DC8" i="2"/>
  <c r="DA8" i="2"/>
  <c r="CZ8" i="2"/>
  <c r="CZ40" i="2" s="1"/>
  <c r="CY8" i="2"/>
  <c r="CX8" i="2"/>
  <c r="CW8" i="2"/>
  <c r="CV8" i="2"/>
  <c r="CU8" i="2"/>
  <c r="CT8" i="2"/>
  <c r="CS8" i="2"/>
  <c r="CR8" i="2"/>
  <c r="CQ8" i="2"/>
  <c r="CP8" i="2"/>
  <c r="CN8" i="2"/>
  <c r="CO8" i="2" s="1"/>
  <c r="CM8" i="2"/>
  <c r="CM40" i="2" s="1"/>
  <c r="CL8" i="2"/>
  <c r="CK8" i="2"/>
  <c r="CJ8" i="2"/>
  <c r="CI8" i="2"/>
  <c r="CH8" i="2"/>
  <c r="CG8" i="2"/>
  <c r="CF8" i="2"/>
  <c r="CE8" i="2"/>
  <c r="CD8" i="2"/>
  <c r="CC8" i="2"/>
  <c r="CA8" i="2"/>
  <c r="CA40" i="2" s="1"/>
  <c r="BZ8" i="2"/>
  <c r="BY8" i="2"/>
  <c r="BX8" i="2"/>
  <c r="BW8" i="2"/>
  <c r="BV8" i="2"/>
  <c r="BU8" i="2"/>
  <c r="BT8" i="2"/>
  <c r="BS8" i="2"/>
  <c r="BR8" i="2"/>
  <c r="BQ8" i="2"/>
  <c r="BP8" i="2"/>
  <c r="BN8" i="2"/>
  <c r="BN40" i="2" s="1"/>
  <c r="BM8" i="2"/>
  <c r="BL8" i="2"/>
  <c r="BK8" i="2"/>
  <c r="BJ8" i="2"/>
  <c r="BI8" i="2"/>
  <c r="BH8" i="2"/>
  <c r="BG8" i="2"/>
  <c r="BG40" i="2" s="1"/>
  <c r="BF8" i="2"/>
  <c r="BE8" i="2"/>
  <c r="BD8" i="2"/>
  <c r="BC8" i="2"/>
  <c r="BA8" i="2"/>
  <c r="AZ8" i="2"/>
  <c r="AY8" i="2"/>
  <c r="AX8" i="2"/>
  <c r="AW8" i="2"/>
  <c r="AV8" i="2"/>
  <c r="AU8" i="2"/>
  <c r="AT8" i="2"/>
  <c r="AS8" i="2"/>
  <c r="AR8" i="2"/>
  <c r="AQ8" i="2"/>
  <c r="AP8" i="2"/>
  <c r="AN8" i="2"/>
  <c r="AN40" i="2" s="1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P40" i="2" s="1"/>
  <c r="N8" i="2"/>
  <c r="O8" i="2" s="1"/>
  <c r="M8" i="2"/>
  <c r="L8" i="2"/>
  <c r="K8" i="2"/>
  <c r="J8" i="2"/>
  <c r="I8" i="2"/>
  <c r="H8" i="2"/>
  <c r="G8" i="2"/>
  <c r="F8" i="2"/>
  <c r="F40" i="2" s="1"/>
  <c r="E8" i="2"/>
  <c r="D8" i="2"/>
  <c r="C8" i="2"/>
  <c r="FN334" i="1"/>
  <c r="FM334" i="1"/>
  <c r="FL334" i="1"/>
  <c r="FK334" i="1"/>
  <c r="FJ334" i="1"/>
  <c r="FI334" i="1"/>
  <c r="FH334" i="1"/>
  <c r="FG334" i="1"/>
  <c r="FF334" i="1"/>
  <c r="FE334" i="1"/>
  <c r="FD334" i="1"/>
  <c r="FC334" i="1"/>
  <c r="FA334" i="1"/>
  <c r="EZ334" i="1"/>
  <c r="EY334" i="1"/>
  <c r="EX334" i="1"/>
  <c r="EW334" i="1"/>
  <c r="EV334" i="1"/>
  <c r="EU334" i="1"/>
  <c r="ET334" i="1"/>
  <c r="ES334" i="1"/>
  <c r="ER334" i="1"/>
  <c r="EQ334" i="1"/>
  <c r="EP334" i="1"/>
  <c r="EN334" i="1"/>
  <c r="EM334" i="1"/>
  <c r="EL334" i="1"/>
  <c r="EK334" i="1"/>
  <c r="EJ334" i="1"/>
  <c r="EI334" i="1"/>
  <c r="EH334" i="1"/>
  <c r="EG334" i="1"/>
  <c r="EF334" i="1"/>
  <c r="EE334" i="1"/>
  <c r="ED334" i="1"/>
  <c r="EC334" i="1"/>
  <c r="EA334" i="1"/>
  <c r="DZ334" i="1"/>
  <c r="DY334" i="1"/>
  <c r="DX334" i="1"/>
  <c r="DW334" i="1"/>
  <c r="DV334" i="1"/>
  <c r="DU334" i="1"/>
  <c r="DT334" i="1"/>
  <c r="DS334" i="1"/>
  <c r="DR334" i="1"/>
  <c r="DQ334" i="1"/>
  <c r="DP334" i="1"/>
  <c r="DN334" i="1"/>
  <c r="DM334" i="1"/>
  <c r="DL334" i="1"/>
  <c r="DK334" i="1"/>
  <c r="DJ334" i="1"/>
  <c r="DI334" i="1"/>
  <c r="DH334" i="1"/>
  <c r="DG334" i="1"/>
  <c r="DF334" i="1"/>
  <c r="DE334" i="1"/>
  <c r="DD334" i="1"/>
  <c r="DC334" i="1"/>
  <c r="DA334" i="1"/>
  <c r="CZ334" i="1"/>
  <c r="CY334" i="1"/>
  <c r="CX334" i="1"/>
  <c r="CW334" i="1"/>
  <c r="CV334" i="1"/>
  <c r="CU334" i="1"/>
  <c r="CT334" i="1"/>
  <c r="CS334" i="1"/>
  <c r="CR334" i="1"/>
  <c r="CQ334" i="1"/>
  <c r="CP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FO333" i="1"/>
  <c r="FB333" i="1"/>
  <c r="EO333" i="1"/>
  <c r="EB333" i="1"/>
  <c r="DO333" i="1"/>
  <c r="DB333" i="1"/>
  <c r="CO333" i="1"/>
  <c r="CB333" i="1"/>
  <c r="BO333" i="1"/>
  <c r="BB333" i="1"/>
  <c r="AO333" i="1"/>
  <c r="AB333" i="1"/>
  <c r="O333" i="1"/>
  <c r="FO332" i="1"/>
  <c r="FB332" i="1"/>
  <c r="EO332" i="1"/>
  <c r="EB332" i="1"/>
  <c r="DO332" i="1"/>
  <c r="DB332" i="1"/>
  <c r="CO332" i="1"/>
  <c r="CB332" i="1"/>
  <c r="BO332" i="1"/>
  <c r="BB332" i="1"/>
  <c r="AO332" i="1"/>
  <c r="AB332" i="1"/>
  <c r="O332" i="1"/>
  <c r="FO331" i="1"/>
  <c r="FB331" i="1"/>
  <c r="EO331" i="1"/>
  <c r="EB331" i="1"/>
  <c r="DO331" i="1"/>
  <c r="DB331" i="1"/>
  <c r="CO331" i="1"/>
  <c r="CB331" i="1"/>
  <c r="BO331" i="1"/>
  <c r="BB331" i="1"/>
  <c r="AO331" i="1"/>
  <c r="AB331" i="1"/>
  <c r="O331" i="1"/>
  <c r="FO330" i="1"/>
  <c r="FB330" i="1"/>
  <c r="EO330" i="1"/>
  <c r="EB330" i="1"/>
  <c r="DO330" i="1"/>
  <c r="DB330" i="1"/>
  <c r="CO330" i="1"/>
  <c r="CB330" i="1"/>
  <c r="BO330" i="1"/>
  <c r="BB330" i="1"/>
  <c r="AO330" i="1"/>
  <c r="AB330" i="1"/>
  <c r="O330" i="1"/>
  <c r="FO329" i="1"/>
  <c r="FB329" i="1"/>
  <c r="EO329" i="1"/>
  <c r="EB329" i="1"/>
  <c r="DO329" i="1"/>
  <c r="DB329" i="1"/>
  <c r="CO329" i="1"/>
  <c r="CB329" i="1"/>
  <c r="BO329" i="1"/>
  <c r="BB329" i="1"/>
  <c r="AO329" i="1"/>
  <c r="AB329" i="1"/>
  <c r="O329" i="1"/>
  <c r="FO328" i="1"/>
  <c r="FB328" i="1"/>
  <c r="EO328" i="1"/>
  <c r="EB328" i="1"/>
  <c r="DO328" i="1"/>
  <c r="DB328" i="1"/>
  <c r="CO328" i="1"/>
  <c r="CB328" i="1"/>
  <c r="BO328" i="1"/>
  <c r="BB328" i="1"/>
  <c r="AO328" i="1"/>
  <c r="AB328" i="1"/>
  <c r="O328" i="1"/>
  <c r="FO327" i="1"/>
  <c r="FB327" i="1"/>
  <c r="EO327" i="1"/>
  <c r="EB327" i="1"/>
  <c r="DO327" i="1"/>
  <c r="DB327" i="1"/>
  <c r="CO327" i="1"/>
  <c r="CB327" i="1"/>
  <c r="BO327" i="1"/>
  <c r="BB327" i="1"/>
  <c r="AO327" i="1"/>
  <c r="AB327" i="1"/>
  <c r="O327" i="1"/>
  <c r="FO326" i="1"/>
  <c r="FB326" i="1"/>
  <c r="EO326" i="1"/>
  <c r="EB326" i="1"/>
  <c r="DO326" i="1"/>
  <c r="DB326" i="1"/>
  <c r="CO326" i="1"/>
  <c r="CB326" i="1"/>
  <c r="BO326" i="1"/>
  <c r="BB326" i="1"/>
  <c r="AO326" i="1"/>
  <c r="AB326" i="1"/>
  <c r="O326" i="1"/>
  <c r="FO325" i="1"/>
  <c r="FB325" i="1"/>
  <c r="EO325" i="1"/>
  <c r="EB325" i="1"/>
  <c r="DO325" i="1"/>
  <c r="DB325" i="1"/>
  <c r="CO325" i="1"/>
  <c r="CB325" i="1"/>
  <c r="BO325" i="1"/>
  <c r="BB325" i="1"/>
  <c r="AO325" i="1"/>
  <c r="AB325" i="1"/>
  <c r="O325" i="1"/>
  <c r="FO324" i="1"/>
  <c r="FB324" i="1"/>
  <c r="EO324" i="1"/>
  <c r="EB324" i="1"/>
  <c r="DO324" i="1"/>
  <c r="DB324" i="1"/>
  <c r="CO324" i="1"/>
  <c r="CB324" i="1"/>
  <c r="BO324" i="1"/>
  <c r="BB324" i="1"/>
  <c r="AO324" i="1"/>
  <c r="AB324" i="1"/>
  <c r="O324" i="1"/>
  <c r="FO323" i="1"/>
  <c r="FB323" i="1"/>
  <c r="EO323" i="1"/>
  <c r="EB323" i="1"/>
  <c r="DO323" i="1"/>
  <c r="DB323" i="1"/>
  <c r="CO323" i="1"/>
  <c r="CB323" i="1"/>
  <c r="BO323" i="1"/>
  <c r="BB323" i="1"/>
  <c r="AO323" i="1"/>
  <c r="AB323" i="1"/>
  <c r="O323" i="1"/>
  <c r="FO322" i="1"/>
  <c r="FB322" i="1"/>
  <c r="EO322" i="1"/>
  <c r="EB322" i="1"/>
  <c r="DO322" i="1"/>
  <c r="DB322" i="1"/>
  <c r="CO322" i="1"/>
  <c r="CB322" i="1"/>
  <c r="BO322" i="1"/>
  <c r="BB322" i="1"/>
  <c r="AO322" i="1"/>
  <c r="AB322" i="1"/>
  <c r="O322" i="1"/>
  <c r="FO321" i="1"/>
  <c r="FB321" i="1"/>
  <c r="EO321" i="1"/>
  <c r="EB321" i="1"/>
  <c r="DO321" i="1"/>
  <c r="DB321" i="1"/>
  <c r="CO321" i="1"/>
  <c r="CB321" i="1"/>
  <c r="BO321" i="1"/>
  <c r="BB321" i="1"/>
  <c r="AO321" i="1"/>
  <c r="AB321" i="1"/>
  <c r="O321" i="1"/>
  <c r="FO320" i="1"/>
  <c r="FB320" i="1"/>
  <c r="EO320" i="1"/>
  <c r="EB320" i="1"/>
  <c r="DO320" i="1"/>
  <c r="DB320" i="1"/>
  <c r="CO320" i="1"/>
  <c r="CB320" i="1"/>
  <c r="BO320" i="1"/>
  <c r="BB320" i="1"/>
  <c r="AO320" i="1"/>
  <c r="AB320" i="1"/>
  <c r="O320" i="1"/>
  <c r="FO319" i="1"/>
  <c r="FB319" i="1"/>
  <c r="EO319" i="1"/>
  <c r="D39" i="3" s="1" a="1"/>
  <c r="D39" i="3" s="1"/>
  <c r="EB319" i="1"/>
  <c r="DO319" i="1"/>
  <c r="DB319" i="1"/>
  <c r="CO319" i="1"/>
  <c r="CB319" i="1"/>
  <c r="BO319" i="1"/>
  <c r="BB319" i="1"/>
  <c r="AO319" i="1"/>
  <c r="AB319" i="1"/>
  <c r="O319" i="1"/>
  <c r="FO318" i="1"/>
  <c r="FB318" i="1"/>
  <c r="EO318" i="1"/>
  <c r="D38" i="3" s="1" a="1"/>
  <c r="D38" i="3" s="1"/>
  <c r="EB318" i="1"/>
  <c r="DO318" i="1"/>
  <c r="DB318" i="1"/>
  <c r="CO318" i="1"/>
  <c r="CB318" i="1"/>
  <c r="BO318" i="1"/>
  <c r="BB318" i="1"/>
  <c r="AO318" i="1"/>
  <c r="AB318" i="1"/>
  <c r="O318" i="1"/>
  <c r="FO317" i="1"/>
  <c r="FB317" i="1"/>
  <c r="EO317" i="1"/>
  <c r="D37" i="3" s="1" a="1"/>
  <c r="D37" i="3" s="1"/>
  <c r="EB317" i="1"/>
  <c r="DO317" i="1"/>
  <c r="DB317" i="1"/>
  <c r="CO317" i="1"/>
  <c r="CB317" i="1"/>
  <c r="BO317" i="1"/>
  <c r="BB317" i="1"/>
  <c r="AO317" i="1"/>
  <c r="AB317" i="1"/>
  <c r="O317" i="1"/>
  <c r="FO316" i="1"/>
  <c r="FB316" i="1"/>
  <c r="EO316" i="1"/>
  <c r="D36" i="3" s="1" a="1"/>
  <c r="D36" i="3" s="1"/>
  <c r="EB316" i="1"/>
  <c r="DO316" i="1"/>
  <c r="DB316" i="1"/>
  <c r="CO316" i="1"/>
  <c r="CB316" i="1"/>
  <c r="BO316" i="1"/>
  <c r="BB316" i="1"/>
  <c r="AO316" i="1"/>
  <c r="AB316" i="1"/>
  <c r="O316" i="1"/>
  <c r="FO315" i="1"/>
  <c r="FB315" i="1"/>
  <c r="EO315" i="1"/>
  <c r="D35" i="3" s="1" a="1"/>
  <c r="D35" i="3" s="1"/>
  <c r="EB315" i="1"/>
  <c r="DO315" i="1"/>
  <c r="DB315" i="1"/>
  <c r="CO315" i="1"/>
  <c r="CB315" i="1"/>
  <c r="BO315" i="1"/>
  <c r="BB315" i="1"/>
  <c r="AO315" i="1"/>
  <c r="AB315" i="1"/>
  <c r="O315" i="1"/>
  <c r="FO314" i="1"/>
  <c r="FB314" i="1"/>
  <c r="EO314" i="1"/>
  <c r="D34" i="3" s="1" a="1"/>
  <c r="D34" i="3" s="1"/>
  <c r="EB314" i="1"/>
  <c r="DO314" i="1"/>
  <c r="DB314" i="1"/>
  <c r="CO314" i="1"/>
  <c r="CB314" i="1"/>
  <c r="BO314" i="1"/>
  <c r="BB314" i="1"/>
  <c r="AO314" i="1"/>
  <c r="AB314" i="1"/>
  <c r="O314" i="1"/>
  <c r="FO313" i="1"/>
  <c r="FB313" i="1"/>
  <c r="EO313" i="1"/>
  <c r="D33" i="3" s="1" a="1"/>
  <c r="D33" i="3" s="1"/>
  <c r="EB313" i="1"/>
  <c r="DO313" i="1"/>
  <c r="DB313" i="1"/>
  <c r="CO313" i="1"/>
  <c r="CB313" i="1"/>
  <c r="BO313" i="1"/>
  <c r="BB313" i="1"/>
  <c r="AO313" i="1"/>
  <c r="AB313" i="1"/>
  <c r="O313" i="1"/>
  <c r="FO312" i="1"/>
  <c r="FB312" i="1"/>
  <c r="EO312" i="1"/>
  <c r="D32" i="3" s="1" a="1"/>
  <c r="D32" i="3" s="1"/>
  <c r="EB312" i="1"/>
  <c r="DO312" i="1"/>
  <c r="DB312" i="1"/>
  <c r="CO312" i="1"/>
  <c r="CB312" i="1"/>
  <c r="BO312" i="1"/>
  <c r="BB312" i="1"/>
  <c r="AO312" i="1"/>
  <c r="AB312" i="1"/>
  <c r="O312" i="1"/>
  <c r="FO311" i="1"/>
  <c r="FB311" i="1"/>
  <c r="EO311" i="1"/>
  <c r="D31" i="3" s="1" a="1"/>
  <c r="D31" i="3" s="1"/>
  <c r="EB311" i="1"/>
  <c r="DO311" i="1"/>
  <c r="DB311" i="1"/>
  <c r="CO311" i="1"/>
  <c r="CB311" i="1"/>
  <c r="BO311" i="1"/>
  <c r="BB311" i="1"/>
  <c r="AO311" i="1"/>
  <c r="AB311" i="1"/>
  <c r="O311" i="1"/>
  <c r="FO310" i="1"/>
  <c r="FB310" i="1"/>
  <c r="EO310" i="1"/>
  <c r="D30" i="3" s="1" a="1"/>
  <c r="D30" i="3" s="1"/>
  <c r="EB310" i="1"/>
  <c r="DO310" i="1"/>
  <c r="DB310" i="1"/>
  <c r="CO310" i="1"/>
  <c r="CB310" i="1"/>
  <c r="BO310" i="1"/>
  <c r="BB310" i="1"/>
  <c r="AO310" i="1"/>
  <c r="AB310" i="1"/>
  <c r="O310" i="1"/>
  <c r="FO309" i="1"/>
  <c r="FB309" i="1"/>
  <c r="EO309" i="1"/>
  <c r="D29" i="3" s="1" a="1"/>
  <c r="D29" i="3" s="1"/>
  <c r="EB309" i="1"/>
  <c r="DO309" i="1"/>
  <c r="DB309" i="1"/>
  <c r="CO309" i="1"/>
  <c r="CB309" i="1"/>
  <c r="BO309" i="1"/>
  <c r="BB309" i="1"/>
  <c r="AO309" i="1"/>
  <c r="AB309" i="1"/>
  <c r="O309" i="1"/>
  <c r="FO308" i="1"/>
  <c r="FB308" i="1"/>
  <c r="EO308" i="1"/>
  <c r="D28" i="3" s="1" a="1"/>
  <c r="D28" i="3" s="1"/>
  <c r="EB308" i="1"/>
  <c r="DO308" i="1"/>
  <c r="DB308" i="1"/>
  <c r="CO308" i="1"/>
  <c r="CB308" i="1"/>
  <c r="BO308" i="1"/>
  <c r="BB308" i="1"/>
  <c r="AO308" i="1"/>
  <c r="AB308" i="1"/>
  <c r="O308" i="1"/>
  <c r="FO307" i="1"/>
  <c r="FB307" i="1"/>
  <c r="EO307" i="1"/>
  <c r="D27" i="3" s="1" a="1"/>
  <c r="D27" i="3" s="1"/>
  <c r="EB307" i="1"/>
  <c r="DO307" i="1"/>
  <c r="DB307" i="1"/>
  <c r="CO307" i="1"/>
  <c r="CB307" i="1"/>
  <c r="BO307" i="1"/>
  <c r="BB307" i="1"/>
  <c r="AO307" i="1"/>
  <c r="AB307" i="1"/>
  <c r="O307" i="1"/>
  <c r="FO306" i="1"/>
  <c r="FB306" i="1"/>
  <c r="EO306" i="1"/>
  <c r="D26" i="3" s="1" a="1"/>
  <c r="D26" i="3" s="1"/>
  <c r="EB306" i="1"/>
  <c r="DO306" i="1"/>
  <c r="DB306" i="1"/>
  <c r="CO306" i="1"/>
  <c r="CB306" i="1"/>
  <c r="BO306" i="1"/>
  <c r="BB306" i="1"/>
  <c r="AO306" i="1"/>
  <c r="AB306" i="1"/>
  <c r="O306" i="1"/>
  <c r="FO305" i="1"/>
  <c r="FB305" i="1"/>
  <c r="EO305" i="1"/>
  <c r="D25" i="3" s="1" a="1"/>
  <c r="D25" i="3" s="1"/>
  <c r="EB305" i="1"/>
  <c r="DO305" i="1"/>
  <c r="DB305" i="1"/>
  <c r="CO305" i="1"/>
  <c r="CB305" i="1"/>
  <c r="BO305" i="1"/>
  <c r="BB305" i="1"/>
  <c r="AO305" i="1"/>
  <c r="AB305" i="1"/>
  <c r="O305" i="1"/>
  <c r="FO304" i="1"/>
  <c r="FB304" i="1"/>
  <c r="EO304" i="1"/>
  <c r="D24" i="3" s="1" a="1"/>
  <c r="D24" i="3" s="1"/>
  <c r="EB304" i="1"/>
  <c r="DO304" i="1"/>
  <c r="DB304" i="1"/>
  <c r="CO304" i="1"/>
  <c r="CB304" i="1"/>
  <c r="BO304" i="1"/>
  <c r="BB304" i="1"/>
  <c r="AO304" i="1"/>
  <c r="AB304" i="1"/>
  <c r="O304" i="1"/>
  <c r="FO303" i="1"/>
  <c r="FB303" i="1"/>
  <c r="EO303" i="1"/>
  <c r="D23" i="3" s="1" a="1"/>
  <c r="D23" i="3" s="1"/>
  <c r="EB303" i="1"/>
  <c r="DO303" i="1"/>
  <c r="DB303" i="1"/>
  <c r="CO303" i="1"/>
  <c r="CB303" i="1"/>
  <c r="BO303" i="1"/>
  <c r="BB303" i="1"/>
  <c r="AO303" i="1"/>
  <c r="AB303" i="1"/>
  <c r="O303" i="1"/>
  <c r="FO302" i="1"/>
  <c r="FB302" i="1"/>
  <c r="EO302" i="1"/>
  <c r="D22" i="3" s="1" a="1"/>
  <c r="D22" i="3" s="1"/>
  <c r="EB302" i="1"/>
  <c r="DO302" i="1"/>
  <c r="DO334" i="1" s="1"/>
  <c r="DB302" i="1"/>
  <c r="CO302" i="1"/>
  <c r="CB302" i="1"/>
  <c r="BO302" i="1"/>
  <c r="BB302" i="1"/>
  <c r="AO302" i="1"/>
  <c r="AB302" i="1"/>
  <c r="O302" i="1"/>
  <c r="FN298" i="1"/>
  <c r="FM298" i="1"/>
  <c r="FL298" i="1"/>
  <c r="FK298" i="1"/>
  <c r="FJ298" i="1"/>
  <c r="FI298" i="1"/>
  <c r="FH298" i="1"/>
  <c r="FG298" i="1"/>
  <c r="FF298" i="1"/>
  <c r="FE298" i="1"/>
  <c r="FD298" i="1"/>
  <c r="FC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A298" i="1"/>
  <c r="DZ298" i="1"/>
  <c r="DY298" i="1"/>
  <c r="DX298" i="1"/>
  <c r="DW298" i="1"/>
  <c r="DV298" i="1"/>
  <c r="DU298" i="1"/>
  <c r="DT298" i="1"/>
  <c r="DS298" i="1"/>
  <c r="DR298" i="1"/>
  <c r="DQ298" i="1"/>
  <c r="DP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A298" i="1"/>
  <c r="CZ298" i="1"/>
  <c r="CY298" i="1"/>
  <c r="CX298" i="1"/>
  <c r="CW298" i="1"/>
  <c r="CV298" i="1"/>
  <c r="CU298" i="1"/>
  <c r="CT298" i="1"/>
  <c r="CS298" i="1"/>
  <c r="CR298" i="1"/>
  <c r="CQ298" i="1"/>
  <c r="CP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FO297" i="1"/>
  <c r="FB297" i="1"/>
  <c r="EO297" i="1"/>
  <c r="EB297" i="1"/>
  <c r="DO297" i="1"/>
  <c r="DB297" i="1"/>
  <c r="CO297" i="1"/>
  <c r="CB297" i="1"/>
  <c r="BO297" i="1"/>
  <c r="BB297" i="1"/>
  <c r="AO297" i="1"/>
  <c r="AB297" i="1"/>
  <c r="O297" i="1"/>
  <c r="FO296" i="1"/>
  <c r="FB296" i="1"/>
  <c r="EO296" i="1"/>
  <c r="EB296" i="1"/>
  <c r="DO296" i="1"/>
  <c r="DB296" i="1"/>
  <c r="CO296" i="1"/>
  <c r="CB296" i="1"/>
  <c r="BO296" i="1"/>
  <c r="BB296" i="1"/>
  <c r="AO296" i="1"/>
  <c r="AB296" i="1"/>
  <c r="O296" i="1"/>
  <c r="FO295" i="1"/>
  <c r="FB295" i="1"/>
  <c r="EO295" i="1"/>
  <c r="EB295" i="1"/>
  <c r="DO295" i="1"/>
  <c r="DB295" i="1"/>
  <c r="CO295" i="1"/>
  <c r="CB295" i="1"/>
  <c r="BO295" i="1"/>
  <c r="BB295" i="1"/>
  <c r="AO295" i="1"/>
  <c r="AB295" i="1"/>
  <c r="O295" i="1"/>
  <c r="FO294" i="1"/>
  <c r="FB294" i="1"/>
  <c r="EO294" i="1"/>
  <c r="EB294" i="1"/>
  <c r="DO294" i="1"/>
  <c r="DB294" i="1"/>
  <c r="CO294" i="1"/>
  <c r="CB294" i="1"/>
  <c r="BO294" i="1"/>
  <c r="BB294" i="1"/>
  <c r="AO294" i="1"/>
  <c r="AB294" i="1"/>
  <c r="O294" i="1"/>
  <c r="FO293" i="1"/>
  <c r="FB293" i="1"/>
  <c r="EO293" i="1"/>
  <c r="EB293" i="1"/>
  <c r="DO293" i="1"/>
  <c r="DB293" i="1"/>
  <c r="CO293" i="1"/>
  <c r="CB293" i="1"/>
  <c r="BO293" i="1"/>
  <c r="BB293" i="1"/>
  <c r="AO293" i="1"/>
  <c r="AB293" i="1"/>
  <c r="O293" i="1"/>
  <c r="FO292" i="1"/>
  <c r="FB292" i="1"/>
  <c r="EO292" i="1"/>
  <c r="EB292" i="1"/>
  <c r="DO292" i="1"/>
  <c r="DB292" i="1"/>
  <c r="CO292" i="1"/>
  <c r="CB292" i="1"/>
  <c r="BO292" i="1"/>
  <c r="BB292" i="1"/>
  <c r="AO292" i="1"/>
  <c r="AB292" i="1"/>
  <c r="O292" i="1"/>
  <c r="FO291" i="1"/>
  <c r="FB291" i="1"/>
  <c r="EO291" i="1"/>
  <c r="EB291" i="1"/>
  <c r="DO291" i="1"/>
  <c r="DB291" i="1"/>
  <c r="CO291" i="1"/>
  <c r="CB291" i="1"/>
  <c r="BO291" i="1"/>
  <c r="BB291" i="1"/>
  <c r="AO291" i="1"/>
  <c r="AB291" i="1"/>
  <c r="O291" i="1"/>
  <c r="FO290" i="1"/>
  <c r="FB290" i="1"/>
  <c r="EO290" i="1"/>
  <c r="EB290" i="1"/>
  <c r="DO290" i="1"/>
  <c r="DB290" i="1"/>
  <c r="CO290" i="1"/>
  <c r="CB290" i="1"/>
  <c r="BO290" i="1"/>
  <c r="BB290" i="1"/>
  <c r="AO290" i="1"/>
  <c r="AB290" i="1"/>
  <c r="O290" i="1"/>
  <c r="FO289" i="1"/>
  <c r="FB289" i="1"/>
  <c r="EO289" i="1"/>
  <c r="EB289" i="1"/>
  <c r="DO289" i="1"/>
  <c r="DB289" i="1"/>
  <c r="CO289" i="1"/>
  <c r="CB289" i="1"/>
  <c r="BO289" i="1"/>
  <c r="BB289" i="1"/>
  <c r="AO289" i="1"/>
  <c r="AB289" i="1"/>
  <c r="O289" i="1"/>
  <c r="FO288" i="1"/>
  <c r="FB288" i="1"/>
  <c r="EO288" i="1"/>
  <c r="EB288" i="1"/>
  <c r="DO288" i="1"/>
  <c r="DB288" i="1"/>
  <c r="CO288" i="1"/>
  <c r="CB288" i="1"/>
  <c r="BO288" i="1"/>
  <c r="BB288" i="1"/>
  <c r="AO288" i="1"/>
  <c r="AB288" i="1"/>
  <c r="O288" i="1"/>
  <c r="FO287" i="1"/>
  <c r="FB287" i="1"/>
  <c r="EO287" i="1"/>
  <c r="EB287" i="1"/>
  <c r="DO287" i="1"/>
  <c r="DB287" i="1"/>
  <c r="CO287" i="1"/>
  <c r="CB287" i="1"/>
  <c r="BO287" i="1"/>
  <c r="BB287" i="1"/>
  <c r="AO287" i="1"/>
  <c r="AB287" i="1"/>
  <c r="O287" i="1"/>
  <c r="FO286" i="1"/>
  <c r="FB286" i="1"/>
  <c r="EO286" i="1"/>
  <c r="EB286" i="1"/>
  <c r="DO286" i="1"/>
  <c r="DB286" i="1"/>
  <c r="CO286" i="1"/>
  <c r="CB286" i="1"/>
  <c r="BO286" i="1"/>
  <c r="BB286" i="1"/>
  <c r="AO286" i="1"/>
  <c r="AB286" i="1"/>
  <c r="O286" i="1"/>
  <c r="FO285" i="1"/>
  <c r="FB285" i="1"/>
  <c r="EO285" i="1"/>
  <c r="EB285" i="1"/>
  <c r="DO285" i="1"/>
  <c r="DB285" i="1"/>
  <c r="CO285" i="1"/>
  <c r="CB285" i="1"/>
  <c r="BO285" i="1"/>
  <c r="BB285" i="1"/>
  <c r="AO285" i="1"/>
  <c r="AB285" i="1"/>
  <c r="O285" i="1"/>
  <c r="FO284" i="1"/>
  <c r="FB284" i="1"/>
  <c r="EO284" i="1"/>
  <c r="EB284" i="1"/>
  <c r="DO284" i="1"/>
  <c r="DB284" i="1"/>
  <c r="CO284" i="1"/>
  <c r="CB284" i="1"/>
  <c r="BO284" i="1"/>
  <c r="BB284" i="1"/>
  <c r="AO284" i="1"/>
  <c r="AB284" i="1"/>
  <c r="O284" i="1"/>
  <c r="FO283" i="1"/>
  <c r="FB283" i="1"/>
  <c r="EO283" i="1"/>
  <c r="C39" i="3" s="1" a="1"/>
  <c r="C39" i="3" s="1"/>
  <c r="EB283" i="1"/>
  <c r="DO283" i="1"/>
  <c r="DB283" i="1"/>
  <c r="CO283" i="1"/>
  <c r="CB283" i="1"/>
  <c r="BO283" i="1"/>
  <c r="BB283" i="1"/>
  <c r="AO283" i="1"/>
  <c r="AB283" i="1"/>
  <c r="O283" i="1"/>
  <c r="FO282" i="1"/>
  <c r="FB282" i="1"/>
  <c r="EO282" i="1"/>
  <c r="C38" i="3" s="1" a="1"/>
  <c r="C38" i="3" s="1"/>
  <c r="EB282" i="1"/>
  <c r="DO282" i="1"/>
  <c r="DB282" i="1"/>
  <c r="CO282" i="1"/>
  <c r="CB282" i="1"/>
  <c r="BO282" i="1"/>
  <c r="BB282" i="1"/>
  <c r="AO282" i="1"/>
  <c r="AB282" i="1"/>
  <c r="O282" i="1"/>
  <c r="FO281" i="1"/>
  <c r="FB281" i="1"/>
  <c r="EO281" i="1"/>
  <c r="C37" i="3" s="1" a="1"/>
  <c r="C37" i="3" s="1"/>
  <c r="EB281" i="1"/>
  <c r="DO281" i="1"/>
  <c r="DB281" i="1"/>
  <c r="CO281" i="1"/>
  <c r="CB281" i="1"/>
  <c r="BO281" i="1"/>
  <c r="BB281" i="1"/>
  <c r="AO281" i="1"/>
  <c r="AB281" i="1"/>
  <c r="O281" i="1"/>
  <c r="FO280" i="1"/>
  <c r="FB280" i="1"/>
  <c r="EO280" i="1"/>
  <c r="C36" i="3" s="1" a="1"/>
  <c r="C36" i="3" s="1"/>
  <c r="EB280" i="1"/>
  <c r="DO280" i="1"/>
  <c r="DB280" i="1"/>
  <c r="CO280" i="1"/>
  <c r="CB280" i="1"/>
  <c r="BO280" i="1"/>
  <c r="BB280" i="1"/>
  <c r="AO280" i="1"/>
  <c r="AB280" i="1"/>
  <c r="O280" i="1"/>
  <c r="FO279" i="1"/>
  <c r="FB279" i="1"/>
  <c r="EO279" i="1"/>
  <c r="C35" i="3" s="1" a="1"/>
  <c r="C35" i="3" s="1"/>
  <c r="EB279" i="1"/>
  <c r="DO279" i="1"/>
  <c r="DB279" i="1"/>
  <c r="CO279" i="1"/>
  <c r="CB279" i="1"/>
  <c r="BO279" i="1"/>
  <c r="BB279" i="1"/>
  <c r="AO279" i="1"/>
  <c r="AB279" i="1"/>
  <c r="O279" i="1"/>
  <c r="FO278" i="1"/>
  <c r="FB278" i="1"/>
  <c r="EO278" i="1"/>
  <c r="C34" i="3" s="1" a="1"/>
  <c r="C34" i="3" s="1"/>
  <c r="EB278" i="1"/>
  <c r="DO278" i="1"/>
  <c r="DB278" i="1"/>
  <c r="CO278" i="1"/>
  <c r="CB278" i="1"/>
  <c r="BO278" i="1"/>
  <c r="BB278" i="1"/>
  <c r="AO278" i="1"/>
  <c r="AB278" i="1"/>
  <c r="O278" i="1"/>
  <c r="FO277" i="1"/>
  <c r="FB277" i="1"/>
  <c r="EO277" i="1"/>
  <c r="C33" i="3" s="1" a="1"/>
  <c r="C33" i="3" s="1"/>
  <c r="EB277" i="1"/>
  <c r="DO277" i="1"/>
  <c r="DB277" i="1"/>
  <c r="CO277" i="1"/>
  <c r="CB277" i="1"/>
  <c r="BO277" i="1"/>
  <c r="BB277" i="1"/>
  <c r="AO277" i="1"/>
  <c r="AB277" i="1"/>
  <c r="O277" i="1"/>
  <c r="FO276" i="1"/>
  <c r="FB276" i="1"/>
  <c r="EO276" i="1"/>
  <c r="C32" i="3" s="1" a="1"/>
  <c r="C32" i="3" s="1"/>
  <c r="EB276" i="1"/>
  <c r="DO276" i="1"/>
  <c r="DB276" i="1"/>
  <c r="CO276" i="1"/>
  <c r="CB276" i="1"/>
  <c r="BO276" i="1"/>
  <c r="BB276" i="1"/>
  <c r="AO276" i="1"/>
  <c r="AB276" i="1"/>
  <c r="O276" i="1"/>
  <c r="FO275" i="1"/>
  <c r="FB275" i="1"/>
  <c r="EO275" i="1"/>
  <c r="C31" i="3" s="1" a="1"/>
  <c r="C31" i="3" s="1"/>
  <c r="EB275" i="1"/>
  <c r="DO275" i="1"/>
  <c r="DB275" i="1"/>
  <c r="CO275" i="1"/>
  <c r="CB275" i="1"/>
  <c r="BO275" i="1"/>
  <c r="BB275" i="1"/>
  <c r="AO275" i="1"/>
  <c r="AB275" i="1"/>
  <c r="O275" i="1"/>
  <c r="FO274" i="1"/>
  <c r="FB274" i="1"/>
  <c r="EO274" i="1"/>
  <c r="C30" i="3" s="1" a="1"/>
  <c r="C30" i="3" s="1"/>
  <c r="EB274" i="1"/>
  <c r="DO274" i="1"/>
  <c r="DO298" i="1" s="1"/>
  <c r="DB274" i="1"/>
  <c r="CO274" i="1"/>
  <c r="CB274" i="1"/>
  <c r="BO274" i="1"/>
  <c r="BB274" i="1"/>
  <c r="AO274" i="1"/>
  <c r="AB274" i="1"/>
  <c r="O274" i="1"/>
  <c r="FO273" i="1"/>
  <c r="FB273" i="1"/>
  <c r="EO273" i="1"/>
  <c r="C29" i="3" s="1" a="1"/>
  <c r="C29" i="3" s="1"/>
  <c r="EB273" i="1"/>
  <c r="EB298" i="1" s="1"/>
  <c r="DO273" i="1"/>
  <c r="DB273" i="1"/>
  <c r="CO273" i="1"/>
  <c r="CB273" i="1"/>
  <c r="BO273" i="1"/>
  <c r="BB273" i="1"/>
  <c r="AO273" i="1"/>
  <c r="AB273" i="1"/>
  <c r="O273" i="1"/>
  <c r="FO272" i="1"/>
  <c r="FB272" i="1"/>
  <c r="EO272" i="1"/>
  <c r="C28" i="3" s="1" a="1"/>
  <c r="C28" i="3" s="1"/>
  <c r="EB272" i="1"/>
  <c r="DO272" i="1"/>
  <c r="DB272" i="1"/>
  <c r="CO272" i="1"/>
  <c r="CB272" i="1"/>
  <c r="BO272" i="1"/>
  <c r="BB272" i="1"/>
  <c r="AO272" i="1"/>
  <c r="AB272" i="1"/>
  <c r="O272" i="1"/>
  <c r="FO271" i="1"/>
  <c r="FB271" i="1"/>
  <c r="EO271" i="1"/>
  <c r="C27" i="3" s="1" a="1"/>
  <c r="C27" i="3" s="1"/>
  <c r="EB271" i="1"/>
  <c r="DO271" i="1"/>
  <c r="DB271" i="1"/>
  <c r="CO271" i="1"/>
  <c r="CB271" i="1"/>
  <c r="BO271" i="1"/>
  <c r="BB271" i="1"/>
  <c r="AO271" i="1"/>
  <c r="AB271" i="1"/>
  <c r="O271" i="1"/>
  <c r="FO270" i="1"/>
  <c r="FB270" i="1"/>
  <c r="EO270" i="1"/>
  <c r="C26" i="3" s="1" a="1"/>
  <c r="C26" i="3" s="1"/>
  <c r="EB270" i="1"/>
  <c r="DO270" i="1"/>
  <c r="DB270" i="1"/>
  <c r="CO270" i="1"/>
  <c r="CB270" i="1"/>
  <c r="BO270" i="1"/>
  <c r="BB270" i="1"/>
  <c r="AO270" i="1"/>
  <c r="AB270" i="1"/>
  <c r="O270" i="1"/>
  <c r="FO269" i="1"/>
  <c r="FB269" i="1"/>
  <c r="EO269" i="1"/>
  <c r="C25" i="3" s="1" a="1"/>
  <c r="C25" i="3" s="1"/>
  <c r="EB269" i="1"/>
  <c r="DO269" i="1"/>
  <c r="DB269" i="1"/>
  <c r="CO269" i="1"/>
  <c r="CB269" i="1"/>
  <c r="BO269" i="1"/>
  <c r="BB269" i="1"/>
  <c r="AO269" i="1"/>
  <c r="AB269" i="1"/>
  <c r="O269" i="1"/>
  <c r="FO268" i="1"/>
  <c r="FB268" i="1"/>
  <c r="EO268" i="1"/>
  <c r="C24" i="3" s="1" a="1"/>
  <c r="C24" i="3" s="1"/>
  <c r="EB268" i="1"/>
  <c r="DO268" i="1"/>
  <c r="DB268" i="1"/>
  <c r="CO268" i="1"/>
  <c r="CB268" i="1"/>
  <c r="BO268" i="1"/>
  <c r="BB268" i="1"/>
  <c r="AO268" i="1"/>
  <c r="AB268" i="1"/>
  <c r="O268" i="1"/>
  <c r="FO267" i="1"/>
  <c r="FB267" i="1"/>
  <c r="EO267" i="1"/>
  <c r="C23" i="3" s="1" a="1"/>
  <c r="C23" i="3" s="1"/>
  <c r="EB267" i="1"/>
  <c r="DO267" i="1"/>
  <c r="DB267" i="1"/>
  <c r="CO267" i="1"/>
  <c r="CB267" i="1"/>
  <c r="BO267" i="1"/>
  <c r="BB267" i="1"/>
  <c r="AO267" i="1"/>
  <c r="AB267" i="1"/>
  <c r="O267" i="1"/>
  <c r="FO266" i="1"/>
  <c r="FB266" i="1"/>
  <c r="EO266" i="1"/>
  <c r="C22" i="3" s="1" a="1"/>
  <c r="C22" i="3" s="1"/>
  <c r="EB266" i="1"/>
  <c r="DO266" i="1"/>
  <c r="DB266" i="1"/>
  <c r="CO266" i="1"/>
  <c r="CB266" i="1"/>
  <c r="BO266" i="1"/>
  <c r="BO298" i="1" s="1"/>
  <c r="BB266" i="1"/>
  <c r="AO266" i="1"/>
  <c r="AB266" i="1"/>
  <c r="O266" i="1"/>
  <c r="FN262" i="1"/>
  <c r="FM262" i="1"/>
  <c r="FL262" i="1"/>
  <c r="FK262" i="1"/>
  <c r="FJ262" i="1"/>
  <c r="FI262" i="1"/>
  <c r="FH262" i="1"/>
  <c r="FG262" i="1"/>
  <c r="FF262" i="1"/>
  <c r="FE262" i="1"/>
  <c r="FD262" i="1"/>
  <c r="FC262" i="1"/>
  <c r="FA262" i="1"/>
  <c r="EZ262" i="1"/>
  <c r="EY262" i="1"/>
  <c r="EX262" i="1"/>
  <c r="EW262" i="1"/>
  <c r="EV262" i="1"/>
  <c r="EU262" i="1"/>
  <c r="ET262" i="1"/>
  <c r="ES262" i="1"/>
  <c r="ER262" i="1"/>
  <c r="EQ262" i="1"/>
  <c r="EP262" i="1"/>
  <c r="EN262" i="1"/>
  <c r="EM262" i="1"/>
  <c r="EL262" i="1"/>
  <c r="EK262" i="1"/>
  <c r="EJ262" i="1"/>
  <c r="EI262" i="1"/>
  <c r="EH262" i="1"/>
  <c r="EG262" i="1"/>
  <c r="EF262" i="1"/>
  <c r="EE262" i="1"/>
  <c r="ED262" i="1"/>
  <c r="EC262" i="1"/>
  <c r="EA262" i="1"/>
  <c r="DZ262" i="1"/>
  <c r="DY262" i="1"/>
  <c r="DX262" i="1"/>
  <c r="DW262" i="1"/>
  <c r="DV262" i="1"/>
  <c r="DU262" i="1"/>
  <c r="DT262" i="1"/>
  <c r="DS262" i="1"/>
  <c r="DR262" i="1"/>
  <c r="DQ262" i="1"/>
  <c r="DP262" i="1"/>
  <c r="DN262" i="1"/>
  <c r="DM262" i="1"/>
  <c r="DL262" i="1"/>
  <c r="DK262" i="1"/>
  <c r="DJ262" i="1"/>
  <c r="DI262" i="1"/>
  <c r="DH262" i="1"/>
  <c r="DG262" i="1"/>
  <c r="DF262" i="1"/>
  <c r="DE262" i="1"/>
  <c r="DD262" i="1"/>
  <c r="DC262" i="1"/>
  <c r="DA262" i="1"/>
  <c r="CZ262" i="1"/>
  <c r="CY262" i="1"/>
  <c r="CX262" i="1"/>
  <c r="CW262" i="1"/>
  <c r="CV262" i="1"/>
  <c r="CU262" i="1"/>
  <c r="CT262" i="1"/>
  <c r="CS262" i="1"/>
  <c r="CR262" i="1"/>
  <c r="CQ262" i="1"/>
  <c r="CP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FO261" i="1"/>
  <c r="FB261" i="1"/>
  <c r="EO261" i="1"/>
  <c r="EB261" i="1"/>
  <c r="DO261" i="1"/>
  <c r="DB261" i="1"/>
  <c r="CO261" i="1"/>
  <c r="CB261" i="1"/>
  <c r="BO261" i="1"/>
  <c r="BB261" i="1"/>
  <c r="AO261" i="1"/>
  <c r="AB261" i="1"/>
  <c r="O261" i="1"/>
  <c r="FO260" i="1"/>
  <c r="FB260" i="1"/>
  <c r="EO260" i="1"/>
  <c r="EB260" i="1"/>
  <c r="DO260" i="1"/>
  <c r="DB260" i="1"/>
  <c r="CO260" i="1"/>
  <c r="CB260" i="1"/>
  <c r="BO260" i="1"/>
  <c r="BB260" i="1"/>
  <c r="AO260" i="1"/>
  <c r="AB260" i="1"/>
  <c r="O260" i="1"/>
  <c r="FO259" i="1"/>
  <c r="FB259" i="1"/>
  <c r="EO259" i="1"/>
  <c r="EB259" i="1"/>
  <c r="DO259" i="1"/>
  <c r="DB259" i="1"/>
  <c r="CO259" i="1"/>
  <c r="CB259" i="1"/>
  <c r="BO259" i="1"/>
  <c r="BB259" i="1"/>
  <c r="AO259" i="1"/>
  <c r="AB259" i="1"/>
  <c r="O259" i="1"/>
  <c r="FO258" i="1"/>
  <c r="FB258" i="1"/>
  <c r="EO258" i="1"/>
  <c r="EB258" i="1"/>
  <c r="DO258" i="1"/>
  <c r="DB258" i="1"/>
  <c r="CO258" i="1"/>
  <c r="CB258" i="1"/>
  <c r="BO258" i="1"/>
  <c r="BB258" i="1"/>
  <c r="AO258" i="1"/>
  <c r="AB258" i="1"/>
  <c r="O258" i="1"/>
  <c r="FO257" i="1"/>
  <c r="FB257" i="1"/>
  <c r="EO257" i="1"/>
  <c r="EB257" i="1"/>
  <c r="DO257" i="1"/>
  <c r="DB257" i="1"/>
  <c r="CO257" i="1"/>
  <c r="CB257" i="1"/>
  <c r="BO257" i="1"/>
  <c r="BB257" i="1"/>
  <c r="AO257" i="1"/>
  <c r="AB257" i="1"/>
  <c r="O257" i="1"/>
  <c r="FO256" i="1"/>
  <c r="FB256" i="1"/>
  <c r="EO256" i="1"/>
  <c r="EB256" i="1"/>
  <c r="DO256" i="1"/>
  <c r="DB256" i="1"/>
  <c r="CO256" i="1"/>
  <c r="CB256" i="1"/>
  <c r="BO256" i="1"/>
  <c r="BB256" i="1"/>
  <c r="AO256" i="1"/>
  <c r="AB256" i="1"/>
  <c r="O256" i="1"/>
  <c r="FO255" i="1"/>
  <c r="FB255" i="1"/>
  <c r="EO255" i="1"/>
  <c r="EB255" i="1"/>
  <c r="DO255" i="1"/>
  <c r="DB255" i="1"/>
  <c r="CO255" i="1"/>
  <c r="CB255" i="1"/>
  <c r="BO255" i="1"/>
  <c r="BB255" i="1"/>
  <c r="AO255" i="1"/>
  <c r="AB255" i="1"/>
  <c r="O255" i="1"/>
  <c r="FO254" i="1"/>
  <c r="FB254" i="1"/>
  <c r="EO254" i="1"/>
  <c r="EB254" i="1"/>
  <c r="DO254" i="1"/>
  <c r="DB254" i="1"/>
  <c r="CO254" i="1"/>
  <c r="CB254" i="1"/>
  <c r="BO254" i="1"/>
  <c r="BB254" i="1"/>
  <c r="AO254" i="1"/>
  <c r="AB254" i="1"/>
  <c r="O254" i="1"/>
  <c r="FO253" i="1"/>
  <c r="FB253" i="1"/>
  <c r="EO253" i="1"/>
  <c r="EB253" i="1"/>
  <c r="DO253" i="1"/>
  <c r="DB253" i="1"/>
  <c r="CO253" i="1"/>
  <c r="CB253" i="1"/>
  <c r="BO253" i="1"/>
  <c r="BB253" i="1"/>
  <c r="AO253" i="1"/>
  <c r="AB253" i="1"/>
  <c r="O253" i="1"/>
  <c r="FO252" i="1"/>
  <c r="FB252" i="1"/>
  <c r="EO252" i="1"/>
  <c r="EB252" i="1"/>
  <c r="DO252" i="1"/>
  <c r="DB252" i="1"/>
  <c r="CO252" i="1"/>
  <c r="CB252" i="1"/>
  <c r="BO252" i="1"/>
  <c r="BB252" i="1"/>
  <c r="AO252" i="1"/>
  <c r="AB252" i="1"/>
  <c r="O252" i="1"/>
  <c r="FO251" i="1"/>
  <c r="FB251" i="1"/>
  <c r="EO251" i="1"/>
  <c r="EB251" i="1"/>
  <c r="DO251" i="1"/>
  <c r="DB251" i="1"/>
  <c r="CO251" i="1"/>
  <c r="CB251" i="1"/>
  <c r="BO251" i="1"/>
  <c r="BB251" i="1"/>
  <c r="AO251" i="1"/>
  <c r="AB251" i="1"/>
  <c r="O251" i="1"/>
  <c r="FO250" i="1"/>
  <c r="FB250" i="1"/>
  <c r="EO250" i="1"/>
  <c r="EB250" i="1"/>
  <c r="DO250" i="1"/>
  <c r="DB250" i="1"/>
  <c r="CO250" i="1"/>
  <c r="CB250" i="1"/>
  <c r="BO250" i="1"/>
  <c r="BB250" i="1"/>
  <c r="AO250" i="1"/>
  <c r="AB250" i="1"/>
  <c r="O250" i="1"/>
  <c r="FO249" i="1"/>
  <c r="FB249" i="1"/>
  <c r="EO249" i="1"/>
  <c r="EB249" i="1"/>
  <c r="DO249" i="1"/>
  <c r="DB249" i="1"/>
  <c r="CO249" i="1"/>
  <c r="CB249" i="1"/>
  <c r="BO249" i="1"/>
  <c r="BB249" i="1"/>
  <c r="AO249" i="1"/>
  <c r="AB249" i="1"/>
  <c r="O249" i="1"/>
  <c r="FO248" i="1"/>
  <c r="FB248" i="1"/>
  <c r="EO248" i="1"/>
  <c r="EB248" i="1"/>
  <c r="DO248" i="1"/>
  <c r="DB248" i="1"/>
  <c r="CO248" i="1"/>
  <c r="CB248" i="1"/>
  <c r="BO248" i="1"/>
  <c r="BB248" i="1"/>
  <c r="AO248" i="1"/>
  <c r="AB248" i="1"/>
  <c r="O248" i="1"/>
  <c r="FO247" i="1"/>
  <c r="FB247" i="1"/>
  <c r="EO247" i="1"/>
  <c r="EB247" i="1"/>
  <c r="DO247" i="1"/>
  <c r="DB247" i="1"/>
  <c r="CO247" i="1"/>
  <c r="CB247" i="1"/>
  <c r="BO247" i="1"/>
  <c r="BB247" i="1"/>
  <c r="AO247" i="1"/>
  <c r="AB247" i="1"/>
  <c r="O247" i="1"/>
  <c r="FO246" i="1"/>
  <c r="FB246" i="1"/>
  <c r="EO246" i="1"/>
  <c r="EB246" i="1"/>
  <c r="DO246" i="1"/>
  <c r="DB246" i="1"/>
  <c r="CO246" i="1"/>
  <c r="CB246" i="1"/>
  <c r="BO246" i="1"/>
  <c r="BB246" i="1"/>
  <c r="AO246" i="1"/>
  <c r="AB246" i="1"/>
  <c r="O246" i="1"/>
  <c r="FO245" i="1"/>
  <c r="FB245" i="1"/>
  <c r="EO245" i="1"/>
  <c r="EB245" i="1"/>
  <c r="DO245" i="1"/>
  <c r="DB245" i="1"/>
  <c r="CO245" i="1"/>
  <c r="CB245" i="1"/>
  <c r="BO245" i="1"/>
  <c r="BB245" i="1"/>
  <c r="AO245" i="1"/>
  <c r="AB245" i="1"/>
  <c r="O245" i="1"/>
  <c r="FO244" i="1"/>
  <c r="FB244" i="1"/>
  <c r="EO244" i="1"/>
  <c r="EB244" i="1"/>
  <c r="DO244" i="1"/>
  <c r="DB244" i="1"/>
  <c r="CO244" i="1"/>
  <c r="CB244" i="1"/>
  <c r="BO244" i="1"/>
  <c r="BB244" i="1"/>
  <c r="AO244" i="1"/>
  <c r="AB244" i="1"/>
  <c r="O244" i="1"/>
  <c r="FO243" i="1"/>
  <c r="FB243" i="1"/>
  <c r="EO243" i="1"/>
  <c r="EB243" i="1"/>
  <c r="DO243" i="1"/>
  <c r="DB243" i="1"/>
  <c r="CO243" i="1"/>
  <c r="CB243" i="1"/>
  <c r="BO243" i="1"/>
  <c r="BB243" i="1"/>
  <c r="AO243" i="1"/>
  <c r="AB243" i="1"/>
  <c r="O243" i="1"/>
  <c r="FO242" i="1"/>
  <c r="FB242" i="1"/>
  <c r="EO242" i="1"/>
  <c r="EB242" i="1"/>
  <c r="DO242" i="1"/>
  <c r="DB242" i="1"/>
  <c r="CO242" i="1"/>
  <c r="CB242" i="1"/>
  <c r="BO242" i="1"/>
  <c r="BB242" i="1"/>
  <c r="AO242" i="1"/>
  <c r="AB242" i="1"/>
  <c r="O242" i="1"/>
  <c r="FO241" i="1"/>
  <c r="FB241" i="1"/>
  <c r="EO241" i="1"/>
  <c r="EB241" i="1"/>
  <c r="DO241" i="1"/>
  <c r="DB241" i="1"/>
  <c r="CO241" i="1"/>
  <c r="CB241" i="1"/>
  <c r="BO241" i="1"/>
  <c r="BB241" i="1"/>
  <c r="AO241" i="1"/>
  <c r="AB241" i="1"/>
  <c r="O241" i="1"/>
  <c r="FO240" i="1"/>
  <c r="FB240" i="1"/>
  <c r="EO240" i="1"/>
  <c r="EB240" i="1"/>
  <c r="DO240" i="1"/>
  <c r="DB240" i="1"/>
  <c r="CO240" i="1"/>
  <c r="CB240" i="1"/>
  <c r="BO240" i="1"/>
  <c r="BB240" i="1"/>
  <c r="AO240" i="1"/>
  <c r="AB240" i="1"/>
  <c r="O240" i="1"/>
  <c r="FO239" i="1"/>
  <c r="FB239" i="1"/>
  <c r="EO239" i="1"/>
  <c r="EB239" i="1"/>
  <c r="DO239" i="1"/>
  <c r="DB239" i="1"/>
  <c r="CO239" i="1"/>
  <c r="CB239" i="1"/>
  <c r="BO239" i="1"/>
  <c r="BB239" i="1"/>
  <c r="AO239" i="1"/>
  <c r="AB239" i="1"/>
  <c r="O239" i="1"/>
  <c r="FO238" i="1"/>
  <c r="FB238" i="1"/>
  <c r="EO238" i="1"/>
  <c r="EB238" i="1"/>
  <c r="DO238" i="1"/>
  <c r="DB238" i="1"/>
  <c r="CO238" i="1"/>
  <c r="CB238" i="1"/>
  <c r="BO238" i="1"/>
  <c r="BB238" i="1"/>
  <c r="AO238" i="1"/>
  <c r="AB238" i="1"/>
  <c r="O238" i="1"/>
  <c r="FO237" i="1"/>
  <c r="FB237" i="1"/>
  <c r="EO237" i="1"/>
  <c r="EB237" i="1"/>
  <c r="DO237" i="1"/>
  <c r="DB237" i="1"/>
  <c r="CO237" i="1"/>
  <c r="CB237" i="1"/>
  <c r="BO237" i="1"/>
  <c r="BB237" i="1"/>
  <c r="AO237" i="1"/>
  <c r="AB237" i="1"/>
  <c r="O237" i="1"/>
  <c r="FO236" i="1"/>
  <c r="FB236" i="1"/>
  <c r="EO236" i="1"/>
  <c r="EB236" i="1"/>
  <c r="DO236" i="1"/>
  <c r="DB236" i="1"/>
  <c r="CO236" i="1"/>
  <c r="CB236" i="1"/>
  <c r="BO236" i="1"/>
  <c r="BB236" i="1"/>
  <c r="AO236" i="1"/>
  <c r="AB236" i="1"/>
  <c r="O236" i="1"/>
  <c r="FO235" i="1"/>
  <c r="FB235" i="1"/>
  <c r="EO235" i="1"/>
  <c r="EB235" i="1"/>
  <c r="DO235" i="1"/>
  <c r="DB235" i="1"/>
  <c r="CO235" i="1"/>
  <c r="CB235" i="1"/>
  <c r="BO235" i="1"/>
  <c r="BB235" i="1"/>
  <c r="AO235" i="1"/>
  <c r="AB235" i="1"/>
  <c r="O235" i="1"/>
  <c r="FO234" i="1"/>
  <c r="FB234" i="1"/>
  <c r="EO234" i="1"/>
  <c r="EB234" i="1"/>
  <c r="DO234" i="1"/>
  <c r="DB234" i="1"/>
  <c r="CO234" i="1"/>
  <c r="CB234" i="1"/>
  <c r="BO234" i="1"/>
  <c r="BB234" i="1"/>
  <c r="AO234" i="1"/>
  <c r="AB234" i="1"/>
  <c r="O234" i="1"/>
  <c r="FO233" i="1"/>
  <c r="FB233" i="1"/>
  <c r="EO233" i="1"/>
  <c r="EB233" i="1"/>
  <c r="DO233" i="1"/>
  <c r="DB233" i="1"/>
  <c r="CO233" i="1"/>
  <c r="CB233" i="1"/>
  <c r="BO233" i="1"/>
  <c r="BB233" i="1"/>
  <c r="AO233" i="1"/>
  <c r="AB233" i="1"/>
  <c r="O233" i="1"/>
  <c r="FO232" i="1"/>
  <c r="FB232" i="1"/>
  <c r="EO232" i="1"/>
  <c r="EB232" i="1"/>
  <c r="DO232" i="1"/>
  <c r="DB232" i="1"/>
  <c r="CO232" i="1"/>
  <c r="CB232" i="1"/>
  <c r="BO232" i="1"/>
  <c r="BB232" i="1"/>
  <c r="AO232" i="1"/>
  <c r="AB232" i="1"/>
  <c r="O232" i="1"/>
  <c r="FO231" i="1"/>
  <c r="FB231" i="1"/>
  <c r="EO231" i="1"/>
  <c r="EB231" i="1"/>
  <c r="DO231" i="1"/>
  <c r="DB231" i="1"/>
  <c r="CO231" i="1"/>
  <c r="CB231" i="1"/>
  <c r="BO231" i="1"/>
  <c r="BB231" i="1"/>
  <c r="AO231" i="1"/>
  <c r="AB231" i="1"/>
  <c r="O231" i="1"/>
  <c r="FO230" i="1"/>
  <c r="FO262" i="1" s="1"/>
  <c r="FB230" i="1"/>
  <c r="EO230" i="1"/>
  <c r="EB230" i="1"/>
  <c r="DO230" i="1"/>
  <c r="DB230" i="1"/>
  <c r="CO230" i="1"/>
  <c r="CB230" i="1"/>
  <c r="BO230" i="1"/>
  <c r="BB230" i="1"/>
  <c r="AO230" i="1"/>
  <c r="AB230" i="1"/>
  <c r="O230" i="1"/>
  <c r="O262" i="1" s="1"/>
  <c r="FN223" i="1"/>
  <c r="FM223" i="1"/>
  <c r="FL223" i="1"/>
  <c r="FK223" i="1"/>
  <c r="FJ223" i="1"/>
  <c r="FI223" i="1"/>
  <c r="FH223" i="1"/>
  <c r="FG223" i="1"/>
  <c r="FF223" i="1"/>
  <c r="FE223" i="1"/>
  <c r="FD223" i="1"/>
  <c r="FC223" i="1"/>
  <c r="FA223" i="1"/>
  <c r="EZ223" i="1"/>
  <c r="EY223" i="1"/>
  <c r="EX223" i="1"/>
  <c r="EW223" i="1"/>
  <c r="EV223" i="1"/>
  <c r="EU223" i="1"/>
  <c r="ET223" i="1"/>
  <c r="ES223" i="1"/>
  <c r="ER223" i="1"/>
  <c r="EQ223" i="1"/>
  <c r="EP223" i="1"/>
  <c r="EN223" i="1"/>
  <c r="EM223" i="1"/>
  <c r="EL223" i="1"/>
  <c r="EK223" i="1"/>
  <c r="EJ223" i="1"/>
  <c r="EI223" i="1"/>
  <c r="EH223" i="1"/>
  <c r="EG223" i="1"/>
  <c r="EF223" i="1"/>
  <c r="EE223" i="1"/>
  <c r="ED223" i="1"/>
  <c r="EC223" i="1"/>
  <c r="EA223" i="1"/>
  <c r="DZ223" i="1"/>
  <c r="DY223" i="1"/>
  <c r="DX223" i="1"/>
  <c r="DW223" i="1"/>
  <c r="DV223" i="1"/>
  <c r="DU223" i="1"/>
  <c r="DT223" i="1"/>
  <c r="DS223" i="1"/>
  <c r="DR223" i="1"/>
  <c r="DQ223" i="1"/>
  <c r="DP223" i="1"/>
  <c r="DN223" i="1"/>
  <c r="DM223" i="1"/>
  <c r="DL223" i="1"/>
  <c r="DK223" i="1"/>
  <c r="DJ223" i="1"/>
  <c r="DI223" i="1"/>
  <c r="DH223" i="1"/>
  <c r="DG223" i="1"/>
  <c r="DF223" i="1"/>
  <c r="DE223" i="1"/>
  <c r="DD223" i="1"/>
  <c r="DC223" i="1"/>
  <c r="DA223" i="1"/>
  <c r="CZ223" i="1"/>
  <c r="CY223" i="1"/>
  <c r="CX223" i="1"/>
  <c r="CW223" i="1"/>
  <c r="CV223" i="1"/>
  <c r="CU223" i="1"/>
  <c r="CT223" i="1"/>
  <c r="CS223" i="1"/>
  <c r="CR223" i="1"/>
  <c r="CQ223" i="1"/>
  <c r="CP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FO222" i="1"/>
  <c r="FB222" i="1"/>
  <c r="EO222" i="1"/>
  <c r="EB222" i="1"/>
  <c r="DO222" i="1"/>
  <c r="DB222" i="1"/>
  <c r="CO222" i="1"/>
  <c r="CB222" i="1"/>
  <c r="BO222" i="1"/>
  <c r="BB222" i="1"/>
  <c r="AO222" i="1"/>
  <c r="AB222" i="1"/>
  <c r="O222" i="1"/>
  <c r="FO221" i="1"/>
  <c r="FB221" i="1"/>
  <c r="EO221" i="1"/>
  <c r="EB221" i="1"/>
  <c r="DO221" i="1"/>
  <c r="DB221" i="1"/>
  <c r="CO221" i="1"/>
  <c r="CB221" i="1"/>
  <c r="BO221" i="1"/>
  <c r="BB221" i="1"/>
  <c r="AO221" i="1"/>
  <c r="AB221" i="1"/>
  <c r="O221" i="1"/>
  <c r="FO220" i="1"/>
  <c r="FB220" i="1"/>
  <c r="EO220" i="1"/>
  <c r="EB220" i="1"/>
  <c r="DO220" i="1"/>
  <c r="DB220" i="1"/>
  <c r="CO220" i="1"/>
  <c r="CB220" i="1"/>
  <c r="BO220" i="1"/>
  <c r="BB220" i="1"/>
  <c r="AO220" i="1"/>
  <c r="AB220" i="1"/>
  <c r="O220" i="1"/>
  <c r="FO219" i="1"/>
  <c r="FB219" i="1"/>
  <c r="EO219" i="1"/>
  <c r="EB219" i="1"/>
  <c r="DO219" i="1"/>
  <c r="DB219" i="1"/>
  <c r="CO219" i="1"/>
  <c r="CB219" i="1"/>
  <c r="BO219" i="1"/>
  <c r="BB219" i="1"/>
  <c r="AO219" i="1"/>
  <c r="AB219" i="1"/>
  <c r="O219" i="1"/>
  <c r="FO218" i="1"/>
  <c r="FB218" i="1"/>
  <c r="EO218" i="1"/>
  <c r="EB218" i="1"/>
  <c r="DO218" i="1"/>
  <c r="DB218" i="1"/>
  <c r="CO218" i="1"/>
  <c r="CB218" i="1"/>
  <c r="BO218" i="1"/>
  <c r="BB218" i="1"/>
  <c r="AO218" i="1"/>
  <c r="AB218" i="1"/>
  <c r="O218" i="1"/>
  <c r="FO217" i="1"/>
  <c r="FB217" i="1"/>
  <c r="EO217" i="1"/>
  <c r="EB217" i="1"/>
  <c r="DO217" i="1"/>
  <c r="DB217" i="1"/>
  <c r="CO217" i="1"/>
  <c r="CB217" i="1"/>
  <c r="BO217" i="1"/>
  <c r="BB217" i="1"/>
  <c r="AO217" i="1"/>
  <c r="AB217" i="1"/>
  <c r="O217" i="1"/>
  <c r="FO216" i="1"/>
  <c r="FB216" i="1"/>
  <c r="EO216" i="1"/>
  <c r="EB216" i="1"/>
  <c r="DO216" i="1"/>
  <c r="DB216" i="1"/>
  <c r="CO216" i="1"/>
  <c r="CB216" i="1"/>
  <c r="BO216" i="1"/>
  <c r="BB216" i="1"/>
  <c r="AO216" i="1"/>
  <c r="AB216" i="1"/>
  <c r="O216" i="1"/>
  <c r="FO215" i="1"/>
  <c r="FB215" i="1"/>
  <c r="EO215" i="1"/>
  <c r="EB215" i="1"/>
  <c r="DO215" i="1"/>
  <c r="DB215" i="1"/>
  <c r="CO215" i="1"/>
  <c r="CB215" i="1"/>
  <c r="BO215" i="1"/>
  <c r="BB215" i="1"/>
  <c r="AO215" i="1"/>
  <c r="AB215" i="1"/>
  <c r="O215" i="1"/>
  <c r="FO214" i="1"/>
  <c r="FB214" i="1"/>
  <c r="EO214" i="1"/>
  <c r="EB214" i="1"/>
  <c r="DO214" i="1"/>
  <c r="DB214" i="1"/>
  <c r="CO214" i="1"/>
  <c r="CB214" i="1"/>
  <c r="BO214" i="1"/>
  <c r="BB214" i="1"/>
  <c r="AO214" i="1"/>
  <c r="AB214" i="1"/>
  <c r="O214" i="1"/>
  <c r="FO213" i="1"/>
  <c r="FB213" i="1"/>
  <c r="EO213" i="1"/>
  <c r="EB213" i="1"/>
  <c r="DO213" i="1"/>
  <c r="DB213" i="1"/>
  <c r="CO213" i="1"/>
  <c r="CB213" i="1"/>
  <c r="BO213" i="1"/>
  <c r="BB213" i="1"/>
  <c r="AO213" i="1"/>
  <c r="AB213" i="1"/>
  <c r="O213" i="1"/>
  <c r="FO212" i="1"/>
  <c r="FB212" i="1"/>
  <c r="EO212" i="1"/>
  <c r="EB212" i="1"/>
  <c r="DO212" i="1"/>
  <c r="DB212" i="1"/>
  <c r="CO212" i="1"/>
  <c r="CB212" i="1"/>
  <c r="BO212" i="1"/>
  <c r="BB212" i="1"/>
  <c r="AO212" i="1"/>
  <c r="AB212" i="1"/>
  <c r="O212" i="1"/>
  <c r="FO211" i="1"/>
  <c r="FB211" i="1"/>
  <c r="EO211" i="1"/>
  <c r="EB211" i="1"/>
  <c r="DO211" i="1"/>
  <c r="DB211" i="1"/>
  <c r="CO211" i="1"/>
  <c r="CB211" i="1"/>
  <c r="BO211" i="1"/>
  <c r="BB211" i="1"/>
  <c r="AO211" i="1"/>
  <c r="AB211" i="1"/>
  <c r="O211" i="1"/>
  <c r="FO210" i="1"/>
  <c r="FB210" i="1"/>
  <c r="EO210" i="1"/>
  <c r="EB210" i="1"/>
  <c r="DO210" i="1"/>
  <c r="DB210" i="1"/>
  <c r="CO210" i="1"/>
  <c r="CB210" i="1"/>
  <c r="BO210" i="1"/>
  <c r="BB210" i="1"/>
  <c r="AO210" i="1"/>
  <c r="AB210" i="1"/>
  <c r="O210" i="1"/>
  <c r="FO209" i="1"/>
  <c r="FB209" i="1"/>
  <c r="EO209" i="1"/>
  <c r="EB209" i="1"/>
  <c r="DO209" i="1"/>
  <c r="DB209" i="1"/>
  <c r="CO209" i="1"/>
  <c r="CB209" i="1"/>
  <c r="BO209" i="1"/>
  <c r="BB209" i="1"/>
  <c r="AO209" i="1"/>
  <c r="AB209" i="1"/>
  <c r="O209" i="1"/>
  <c r="FO208" i="1"/>
  <c r="FB208" i="1"/>
  <c r="EO208" i="1"/>
  <c r="H39" i="3" s="1" a="1"/>
  <c r="H39" i="3" s="1"/>
  <c r="EB208" i="1"/>
  <c r="DO208" i="1"/>
  <c r="DB208" i="1"/>
  <c r="CO208" i="1"/>
  <c r="CB208" i="1"/>
  <c r="BO208" i="1"/>
  <c r="BB208" i="1"/>
  <c r="AO208" i="1"/>
  <c r="AB208" i="1"/>
  <c r="O208" i="1"/>
  <c r="FO207" i="1"/>
  <c r="FB207" i="1"/>
  <c r="EO207" i="1"/>
  <c r="H38" i="3" s="1" a="1"/>
  <c r="H38" i="3" s="1"/>
  <c r="EB207" i="1"/>
  <c r="DO207" i="1"/>
  <c r="DB207" i="1"/>
  <c r="CO207" i="1"/>
  <c r="CB207" i="1"/>
  <c r="BO207" i="1"/>
  <c r="BB207" i="1"/>
  <c r="AO207" i="1"/>
  <c r="AB207" i="1"/>
  <c r="O207" i="1"/>
  <c r="FO206" i="1"/>
  <c r="FB206" i="1"/>
  <c r="EO206" i="1"/>
  <c r="H37" i="3" s="1" a="1"/>
  <c r="H37" i="3" s="1"/>
  <c r="EB206" i="1"/>
  <c r="DO206" i="1"/>
  <c r="DB206" i="1"/>
  <c r="CO206" i="1"/>
  <c r="CB206" i="1"/>
  <c r="BO206" i="1"/>
  <c r="BB206" i="1"/>
  <c r="AO206" i="1"/>
  <c r="AB206" i="1"/>
  <c r="O206" i="1"/>
  <c r="FO205" i="1"/>
  <c r="FB205" i="1"/>
  <c r="EO205" i="1"/>
  <c r="H36" i="3" s="1" a="1"/>
  <c r="H36" i="3" s="1"/>
  <c r="EB205" i="1"/>
  <c r="DO205" i="1"/>
  <c r="DB205" i="1"/>
  <c r="CO205" i="1"/>
  <c r="CB205" i="1"/>
  <c r="BO205" i="1"/>
  <c r="BB205" i="1"/>
  <c r="AO205" i="1"/>
  <c r="AB205" i="1"/>
  <c r="O205" i="1"/>
  <c r="FO204" i="1"/>
  <c r="FB204" i="1"/>
  <c r="EO204" i="1"/>
  <c r="H35" i="3" s="1" a="1"/>
  <c r="H35" i="3" s="1"/>
  <c r="EB204" i="1"/>
  <c r="DO204" i="1"/>
  <c r="DB204" i="1"/>
  <c r="CO204" i="1"/>
  <c r="CB204" i="1"/>
  <c r="BO204" i="1"/>
  <c r="BB204" i="1"/>
  <c r="AO204" i="1"/>
  <c r="AB204" i="1"/>
  <c r="O204" i="1"/>
  <c r="FO203" i="1"/>
  <c r="FB203" i="1"/>
  <c r="EO203" i="1"/>
  <c r="H34" i="3" s="1" a="1"/>
  <c r="H34" i="3" s="1"/>
  <c r="EB203" i="1"/>
  <c r="DO203" i="1"/>
  <c r="DB203" i="1"/>
  <c r="CO203" i="1"/>
  <c r="CB203" i="1"/>
  <c r="BO203" i="1"/>
  <c r="BB203" i="1"/>
  <c r="AO203" i="1"/>
  <c r="AB203" i="1"/>
  <c r="O203" i="1"/>
  <c r="FO202" i="1"/>
  <c r="FB202" i="1"/>
  <c r="EO202" i="1"/>
  <c r="H33" i="3" s="1" a="1"/>
  <c r="H33" i="3" s="1"/>
  <c r="EB202" i="1"/>
  <c r="DO202" i="1"/>
  <c r="DB202" i="1"/>
  <c r="CO202" i="1"/>
  <c r="CB202" i="1"/>
  <c r="BO202" i="1"/>
  <c r="BB202" i="1"/>
  <c r="AO202" i="1"/>
  <c r="AB202" i="1"/>
  <c r="O202" i="1"/>
  <c r="FO201" i="1"/>
  <c r="FB201" i="1"/>
  <c r="EO201" i="1"/>
  <c r="H32" i="3" s="1" a="1"/>
  <c r="H32" i="3" s="1"/>
  <c r="EB201" i="1"/>
  <c r="DO201" i="1"/>
  <c r="DB201" i="1"/>
  <c r="CO201" i="1"/>
  <c r="CB201" i="1"/>
  <c r="BO201" i="1"/>
  <c r="BB201" i="1"/>
  <c r="AO201" i="1"/>
  <c r="AB201" i="1"/>
  <c r="O201" i="1"/>
  <c r="FO200" i="1"/>
  <c r="FB200" i="1"/>
  <c r="EO200" i="1"/>
  <c r="H31" i="3" s="1" a="1"/>
  <c r="H31" i="3" s="1"/>
  <c r="EB200" i="1"/>
  <c r="DO200" i="1"/>
  <c r="DB200" i="1"/>
  <c r="CO200" i="1"/>
  <c r="CB200" i="1"/>
  <c r="BO200" i="1"/>
  <c r="BB200" i="1"/>
  <c r="AO200" i="1"/>
  <c r="AB200" i="1"/>
  <c r="O200" i="1"/>
  <c r="FO199" i="1"/>
  <c r="FB199" i="1"/>
  <c r="EO199" i="1"/>
  <c r="H30" i="3" s="1" a="1"/>
  <c r="H30" i="3" s="1"/>
  <c r="EB199" i="1"/>
  <c r="DO199" i="1"/>
  <c r="DB199" i="1"/>
  <c r="CO199" i="1"/>
  <c r="CB199" i="1"/>
  <c r="BO199" i="1"/>
  <c r="BB199" i="1"/>
  <c r="AO199" i="1"/>
  <c r="AB199" i="1"/>
  <c r="O199" i="1"/>
  <c r="FO198" i="1"/>
  <c r="FB198" i="1"/>
  <c r="EO198" i="1"/>
  <c r="H29" i="3" s="1" a="1"/>
  <c r="H29" i="3" s="1"/>
  <c r="EB198" i="1"/>
  <c r="DO198" i="1"/>
  <c r="DB198" i="1"/>
  <c r="CO198" i="1"/>
  <c r="CB198" i="1"/>
  <c r="BO198" i="1"/>
  <c r="BB198" i="1"/>
  <c r="AO198" i="1"/>
  <c r="AB198" i="1"/>
  <c r="O198" i="1"/>
  <c r="FO197" i="1"/>
  <c r="FB197" i="1"/>
  <c r="EO197" i="1"/>
  <c r="H28" i="3" s="1" a="1"/>
  <c r="H28" i="3" s="1"/>
  <c r="EB197" i="1"/>
  <c r="DO197" i="1"/>
  <c r="DB197" i="1"/>
  <c r="CO197" i="1"/>
  <c r="CB197" i="1"/>
  <c r="BO197" i="1"/>
  <c r="BB197" i="1"/>
  <c r="AO197" i="1"/>
  <c r="AB197" i="1"/>
  <c r="O197" i="1"/>
  <c r="FO196" i="1"/>
  <c r="FB196" i="1"/>
  <c r="EO196" i="1"/>
  <c r="H27" i="3" s="1" a="1"/>
  <c r="H27" i="3" s="1"/>
  <c r="EB196" i="1"/>
  <c r="DO196" i="1"/>
  <c r="DB196" i="1"/>
  <c r="CO196" i="1"/>
  <c r="CB196" i="1"/>
  <c r="BO196" i="1"/>
  <c r="BB196" i="1"/>
  <c r="AO196" i="1"/>
  <c r="AB196" i="1"/>
  <c r="O196" i="1"/>
  <c r="FO195" i="1"/>
  <c r="FB195" i="1"/>
  <c r="EO195" i="1"/>
  <c r="H26" i="3" s="1" a="1"/>
  <c r="H26" i="3" s="1"/>
  <c r="EB195" i="1"/>
  <c r="DO195" i="1"/>
  <c r="DB195" i="1"/>
  <c r="CO195" i="1"/>
  <c r="CB195" i="1"/>
  <c r="BO195" i="1"/>
  <c r="BB195" i="1"/>
  <c r="AO195" i="1"/>
  <c r="AB195" i="1"/>
  <c r="O195" i="1"/>
  <c r="FO194" i="1"/>
  <c r="FB194" i="1"/>
  <c r="EO194" i="1"/>
  <c r="H25" i="3" s="1" a="1"/>
  <c r="H25" i="3" s="1"/>
  <c r="EB194" i="1"/>
  <c r="DO194" i="1"/>
  <c r="DB194" i="1"/>
  <c r="CO194" i="1"/>
  <c r="CB194" i="1"/>
  <c r="CB223" i="1" s="1"/>
  <c r="BO194" i="1"/>
  <c r="BB194" i="1"/>
  <c r="AO194" i="1"/>
  <c r="AB194" i="1"/>
  <c r="O194" i="1"/>
  <c r="FO193" i="1"/>
  <c r="FB193" i="1"/>
  <c r="EO193" i="1"/>
  <c r="H24" i="3" s="1" a="1"/>
  <c r="H24" i="3" s="1"/>
  <c r="EB193" i="1"/>
  <c r="DO193" i="1"/>
  <c r="DB193" i="1"/>
  <c r="CO193" i="1"/>
  <c r="CO223" i="1" s="1"/>
  <c r="CB193" i="1"/>
  <c r="BO193" i="1"/>
  <c r="BB193" i="1"/>
  <c r="AO193" i="1"/>
  <c r="AB193" i="1"/>
  <c r="O193" i="1"/>
  <c r="FO192" i="1"/>
  <c r="FB192" i="1"/>
  <c r="EO192" i="1"/>
  <c r="H23" i="3" s="1" a="1"/>
  <c r="H23" i="3" s="1"/>
  <c r="EB192" i="1"/>
  <c r="DO192" i="1"/>
  <c r="DB192" i="1"/>
  <c r="DB223" i="1" s="1"/>
  <c r="CO192" i="1"/>
  <c r="CB192" i="1"/>
  <c r="BO192" i="1"/>
  <c r="BB192" i="1"/>
  <c r="AO192" i="1"/>
  <c r="AB192" i="1"/>
  <c r="O192" i="1"/>
  <c r="FO191" i="1"/>
  <c r="FB191" i="1"/>
  <c r="EO191" i="1"/>
  <c r="H22" i="3" s="1" a="1"/>
  <c r="H22" i="3" s="1"/>
  <c r="EB191" i="1"/>
  <c r="DO191" i="1"/>
  <c r="DO223" i="1" s="1"/>
  <c r="DB191" i="1"/>
  <c r="CO191" i="1"/>
  <c r="CB191" i="1"/>
  <c r="BO191" i="1"/>
  <c r="BB191" i="1"/>
  <c r="AO191" i="1"/>
  <c r="AB191" i="1"/>
  <c r="O191" i="1"/>
  <c r="FN187" i="1"/>
  <c r="FM187" i="1"/>
  <c r="FL187" i="1"/>
  <c r="FK187" i="1"/>
  <c r="FJ187" i="1"/>
  <c r="FI187" i="1"/>
  <c r="FH187" i="1"/>
  <c r="FG187" i="1"/>
  <c r="FF187" i="1"/>
  <c r="FE187" i="1"/>
  <c r="FD187" i="1"/>
  <c r="FC187" i="1"/>
  <c r="FA187" i="1"/>
  <c r="EZ187" i="1"/>
  <c r="EY187" i="1"/>
  <c r="EX187" i="1"/>
  <c r="EW187" i="1"/>
  <c r="EV187" i="1"/>
  <c r="EU187" i="1"/>
  <c r="ET187" i="1"/>
  <c r="ES187" i="1"/>
  <c r="ER187" i="1"/>
  <c r="EQ187" i="1"/>
  <c r="EP187" i="1"/>
  <c r="EN187" i="1"/>
  <c r="EM187" i="1"/>
  <c r="EL187" i="1"/>
  <c r="EK187" i="1"/>
  <c r="EJ187" i="1"/>
  <c r="EI187" i="1"/>
  <c r="EH187" i="1"/>
  <c r="EG187" i="1"/>
  <c r="EF187" i="1"/>
  <c r="EE187" i="1"/>
  <c r="ED187" i="1"/>
  <c r="EC187" i="1"/>
  <c r="EA187" i="1"/>
  <c r="DZ187" i="1"/>
  <c r="DY187" i="1"/>
  <c r="DX187" i="1"/>
  <c r="DW187" i="1"/>
  <c r="DV187" i="1"/>
  <c r="DU187" i="1"/>
  <c r="DT187" i="1"/>
  <c r="DS187" i="1"/>
  <c r="DR187" i="1"/>
  <c r="DQ187" i="1"/>
  <c r="DP187" i="1"/>
  <c r="DN187" i="1"/>
  <c r="DM187" i="1"/>
  <c r="DL187" i="1"/>
  <c r="DK187" i="1"/>
  <c r="DJ187" i="1"/>
  <c r="DI187" i="1"/>
  <c r="DH187" i="1"/>
  <c r="DG187" i="1"/>
  <c r="DF187" i="1"/>
  <c r="DE187" i="1"/>
  <c r="DD187" i="1"/>
  <c r="DC187" i="1"/>
  <c r="DA187" i="1"/>
  <c r="CZ187" i="1"/>
  <c r="CY187" i="1"/>
  <c r="CX187" i="1"/>
  <c r="CW187" i="1"/>
  <c r="CV187" i="1"/>
  <c r="CU187" i="1"/>
  <c r="CT187" i="1"/>
  <c r="CS187" i="1"/>
  <c r="CR187" i="1"/>
  <c r="CQ187" i="1"/>
  <c r="CP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FO186" i="1"/>
  <c r="FB186" i="1"/>
  <c r="EO186" i="1"/>
  <c r="EB186" i="1"/>
  <c r="DO186" i="1"/>
  <c r="DB186" i="1"/>
  <c r="CO186" i="1"/>
  <c r="CB186" i="1"/>
  <c r="BO186" i="1"/>
  <c r="BB186" i="1"/>
  <c r="AO186" i="1"/>
  <c r="AB186" i="1"/>
  <c r="O186" i="1"/>
  <c r="FO185" i="1"/>
  <c r="FB185" i="1"/>
  <c r="EO185" i="1"/>
  <c r="EB185" i="1"/>
  <c r="DO185" i="1"/>
  <c r="DB185" i="1"/>
  <c r="CO185" i="1"/>
  <c r="CB185" i="1"/>
  <c r="BO185" i="1"/>
  <c r="BB185" i="1"/>
  <c r="AO185" i="1"/>
  <c r="AB185" i="1"/>
  <c r="O185" i="1"/>
  <c r="FO184" i="1"/>
  <c r="FB184" i="1"/>
  <c r="EO184" i="1"/>
  <c r="EB184" i="1"/>
  <c r="DO184" i="1"/>
  <c r="DB184" i="1"/>
  <c r="CO184" i="1"/>
  <c r="CB184" i="1"/>
  <c r="BO184" i="1"/>
  <c r="BB184" i="1"/>
  <c r="AO184" i="1"/>
  <c r="AB184" i="1"/>
  <c r="O184" i="1"/>
  <c r="FO183" i="1"/>
  <c r="FB183" i="1"/>
  <c r="EO183" i="1"/>
  <c r="EB183" i="1"/>
  <c r="DO183" i="1"/>
  <c r="DB183" i="1"/>
  <c r="CO183" i="1"/>
  <c r="CB183" i="1"/>
  <c r="BO183" i="1"/>
  <c r="BB183" i="1"/>
  <c r="AO183" i="1"/>
  <c r="AB183" i="1"/>
  <c r="O183" i="1"/>
  <c r="FO182" i="1"/>
  <c r="FB182" i="1"/>
  <c r="EO182" i="1"/>
  <c r="EB182" i="1"/>
  <c r="DO182" i="1"/>
  <c r="DB182" i="1"/>
  <c r="CO182" i="1"/>
  <c r="CB182" i="1"/>
  <c r="BO182" i="1"/>
  <c r="BB182" i="1"/>
  <c r="AO182" i="1"/>
  <c r="AB182" i="1"/>
  <c r="O182" i="1"/>
  <c r="FO181" i="1"/>
  <c r="FB181" i="1"/>
  <c r="EO181" i="1"/>
  <c r="EB181" i="1"/>
  <c r="DO181" i="1"/>
  <c r="DB181" i="1"/>
  <c r="CO181" i="1"/>
  <c r="CB181" i="1"/>
  <c r="BO181" i="1"/>
  <c r="BB181" i="1"/>
  <c r="AO181" i="1"/>
  <c r="AB181" i="1"/>
  <c r="O181" i="1"/>
  <c r="FO180" i="1"/>
  <c r="FB180" i="1"/>
  <c r="EO180" i="1"/>
  <c r="EB180" i="1"/>
  <c r="DO180" i="1"/>
  <c r="DB180" i="1"/>
  <c r="CO180" i="1"/>
  <c r="CB180" i="1"/>
  <c r="BO180" i="1"/>
  <c r="BB180" i="1"/>
  <c r="AO180" i="1"/>
  <c r="AB180" i="1"/>
  <c r="O180" i="1"/>
  <c r="FO179" i="1"/>
  <c r="FB179" i="1"/>
  <c r="EO179" i="1"/>
  <c r="EB179" i="1"/>
  <c r="DO179" i="1"/>
  <c r="DB179" i="1"/>
  <c r="CO179" i="1"/>
  <c r="CB179" i="1"/>
  <c r="BO179" i="1"/>
  <c r="BB179" i="1"/>
  <c r="AO179" i="1"/>
  <c r="AB179" i="1"/>
  <c r="O179" i="1"/>
  <c r="FO178" i="1"/>
  <c r="FB178" i="1"/>
  <c r="EO178" i="1"/>
  <c r="EB178" i="1"/>
  <c r="DO178" i="1"/>
  <c r="DB178" i="1"/>
  <c r="CO178" i="1"/>
  <c r="CB178" i="1"/>
  <c r="BO178" i="1"/>
  <c r="BB178" i="1"/>
  <c r="AO178" i="1"/>
  <c r="AB178" i="1"/>
  <c r="O178" i="1"/>
  <c r="FO177" i="1"/>
  <c r="FB177" i="1"/>
  <c r="EO177" i="1"/>
  <c r="EB177" i="1"/>
  <c r="DO177" i="1"/>
  <c r="DB177" i="1"/>
  <c r="CO177" i="1"/>
  <c r="CB177" i="1"/>
  <c r="BO177" i="1"/>
  <c r="BB177" i="1"/>
  <c r="AO177" i="1"/>
  <c r="AB177" i="1"/>
  <c r="O177" i="1"/>
  <c r="FO176" i="1"/>
  <c r="FB176" i="1"/>
  <c r="EO176" i="1"/>
  <c r="EB176" i="1"/>
  <c r="DO176" i="1"/>
  <c r="DB176" i="1"/>
  <c r="CO176" i="1"/>
  <c r="CB176" i="1"/>
  <c r="BO176" i="1"/>
  <c r="BB176" i="1"/>
  <c r="AO176" i="1"/>
  <c r="AB176" i="1"/>
  <c r="O176" i="1"/>
  <c r="FO175" i="1"/>
  <c r="FB175" i="1"/>
  <c r="EO175" i="1"/>
  <c r="EB175" i="1"/>
  <c r="DO175" i="1"/>
  <c r="DB175" i="1"/>
  <c r="CO175" i="1"/>
  <c r="CB175" i="1"/>
  <c r="BO175" i="1"/>
  <c r="BB175" i="1"/>
  <c r="AO175" i="1"/>
  <c r="AB175" i="1"/>
  <c r="O175" i="1"/>
  <c r="FO174" i="1"/>
  <c r="FB174" i="1"/>
  <c r="EO174" i="1"/>
  <c r="EB174" i="1"/>
  <c r="DO174" i="1"/>
  <c r="DB174" i="1"/>
  <c r="CO174" i="1"/>
  <c r="CB174" i="1"/>
  <c r="BO174" i="1"/>
  <c r="BB174" i="1"/>
  <c r="AO174" i="1"/>
  <c r="AB174" i="1"/>
  <c r="O174" i="1"/>
  <c r="FO173" i="1"/>
  <c r="FB173" i="1"/>
  <c r="EO173" i="1"/>
  <c r="EB173" i="1"/>
  <c r="DO173" i="1"/>
  <c r="DB173" i="1"/>
  <c r="CO173" i="1"/>
  <c r="CB173" i="1"/>
  <c r="BO173" i="1"/>
  <c r="BB173" i="1"/>
  <c r="AO173" i="1"/>
  <c r="AB173" i="1"/>
  <c r="O173" i="1"/>
  <c r="FO172" i="1"/>
  <c r="FB172" i="1"/>
  <c r="EO172" i="1"/>
  <c r="G39" i="3" s="1" a="1"/>
  <c r="G39" i="3" s="1"/>
  <c r="EB172" i="1"/>
  <c r="DO172" i="1"/>
  <c r="DB172" i="1"/>
  <c r="CO172" i="1"/>
  <c r="CB172" i="1"/>
  <c r="BO172" i="1"/>
  <c r="BB172" i="1"/>
  <c r="AO172" i="1"/>
  <c r="AB172" i="1"/>
  <c r="O172" i="1"/>
  <c r="FO171" i="1"/>
  <c r="FB171" i="1"/>
  <c r="EO171" i="1"/>
  <c r="G38" i="3" s="1" a="1"/>
  <c r="G38" i="3" s="1"/>
  <c r="EB171" i="1"/>
  <c r="DO171" i="1"/>
  <c r="DB171" i="1"/>
  <c r="CO171" i="1"/>
  <c r="CB171" i="1"/>
  <c r="BO171" i="1"/>
  <c r="BB171" i="1"/>
  <c r="AO171" i="1"/>
  <c r="AB171" i="1"/>
  <c r="O171" i="1"/>
  <c r="FO170" i="1"/>
  <c r="FB170" i="1"/>
  <c r="EO170" i="1"/>
  <c r="G37" i="3" s="1" a="1"/>
  <c r="G37" i="3" s="1"/>
  <c r="EB170" i="1"/>
  <c r="DO170" i="1"/>
  <c r="DB170" i="1"/>
  <c r="CO170" i="1"/>
  <c r="CB170" i="1"/>
  <c r="BO170" i="1"/>
  <c r="BB170" i="1"/>
  <c r="AO170" i="1"/>
  <c r="AB170" i="1"/>
  <c r="O170" i="1"/>
  <c r="FO169" i="1"/>
  <c r="FB169" i="1"/>
  <c r="EO169" i="1"/>
  <c r="G36" i="3" s="1" a="1"/>
  <c r="G36" i="3" s="1"/>
  <c r="EB169" i="1"/>
  <c r="DO169" i="1"/>
  <c r="DB169" i="1"/>
  <c r="CO169" i="1"/>
  <c r="CB169" i="1"/>
  <c r="BO169" i="1"/>
  <c r="BB169" i="1"/>
  <c r="AO169" i="1"/>
  <c r="AB169" i="1"/>
  <c r="O169" i="1"/>
  <c r="FO168" i="1"/>
  <c r="FB168" i="1"/>
  <c r="EO168" i="1"/>
  <c r="G35" i="3" s="1" a="1"/>
  <c r="G35" i="3" s="1"/>
  <c r="EB168" i="1"/>
  <c r="DO168" i="1"/>
  <c r="DB168" i="1"/>
  <c r="CO168" i="1"/>
  <c r="CB168" i="1"/>
  <c r="BO168" i="1"/>
  <c r="BB168" i="1"/>
  <c r="AO168" i="1"/>
  <c r="AB168" i="1"/>
  <c r="O168" i="1"/>
  <c r="FO167" i="1"/>
  <c r="FB167" i="1"/>
  <c r="EO167" i="1"/>
  <c r="G34" i="3" s="1" a="1"/>
  <c r="G34" i="3" s="1"/>
  <c r="EB167" i="1"/>
  <c r="DO167" i="1"/>
  <c r="DB167" i="1"/>
  <c r="CO167" i="1"/>
  <c r="CB167" i="1"/>
  <c r="BO167" i="1"/>
  <c r="BB167" i="1"/>
  <c r="AO167" i="1"/>
  <c r="AB167" i="1"/>
  <c r="O167" i="1"/>
  <c r="FO166" i="1"/>
  <c r="FB166" i="1"/>
  <c r="EO166" i="1"/>
  <c r="G33" i="3" s="1" a="1"/>
  <c r="G33" i="3" s="1"/>
  <c r="EB166" i="1"/>
  <c r="DO166" i="1"/>
  <c r="DB166" i="1"/>
  <c r="CO166" i="1"/>
  <c r="CB166" i="1"/>
  <c r="BO166" i="1"/>
  <c r="BB166" i="1"/>
  <c r="AO166" i="1"/>
  <c r="AB166" i="1"/>
  <c r="O166" i="1"/>
  <c r="FO165" i="1"/>
  <c r="FB165" i="1"/>
  <c r="EO165" i="1"/>
  <c r="G32" i="3" s="1" a="1"/>
  <c r="G32" i="3" s="1"/>
  <c r="EB165" i="1"/>
  <c r="DO165" i="1"/>
  <c r="DB165" i="1"/>
  <c r="CO165" i="1"/>
  <c r="CB165" i="1"/>
  <c r="BO165" i="1"/>
  <c r="BB165" i="1"/>
  <c r="AO165" i="1"/>
  <c r="AB165" i="1"/>
  <c r="O165" i="1"/>
  <c r="FO164" i="1"/>
  <c r="FB164" i="1"/>
  <c r="EO164" i="1"/>
  <c r="G31" i="3" s="1" a="1"/>
  <c r="G31" i="3" s="1"/>
  <c r="EB164" i="1"/>
  <c r="DO164" i="1"/>
  <c r="DB164" i="1"/>
  <c r="CO164" i="1"/>
  <c r="CB164" i="1"/>
  <c r="BO164" i="1"/>
  <c r="BB164" i="1"/>
  <c r="AO164" i="1"/>
  <c r="AB164" i="1"/>
  <c r="O164" i="1"/>
  <c r="FO163" i="1"/>
  <c r="FB163" i="1"/>
  <c r="EO163" i="1"/>
  <c r="G30" i="3" s="1" a="1"/>
  <c r="G30" i="3" s="1"/>
  <c r="EB163" i="1"/>
  <c r="DO163" i="1"/>
  <c r="DB163" i="1"/>
  <c r="CO163" i="1"/>
  <c r="CB163" i="1"/>
  <c r="BO163" i="1"/>
  <c r="BB163" i="1"/>
  <c r="AO163" i="1"/>
  <c r="AB163" i="1"/>
  <c r="O163" i="1"/>
  <c r="FO162" i="1"/>
  <c r="FB162" i="1"/>
  <c r="EO162" i="1"/>
  <c r="G29" i="3" s="1" a="1"/>
  <c r="G29" i="3" s="1"/>
  <c r="EB162" i="1"/>
  <c r="DO162" i="1"/>
  <c r="DB162" i="1"/>
  <c r="CO162" i="1"/>
  <c r="CB162" i="1"/>
  <c r="BO162" i="1"/>
  <c r="BB162" i="1"/>
  <c r="AO162" i="1"/>
  <c r="AB162" i="1"/>
  <c r="O162" i="1"/>
  <c r="FO161" i="1"/>
  <c r="FB161" i="1"/>
  <c r="EO161" i="1"/>
  <c r="G28" i="3" s="1" a="1"/>
  <c r="G28" i="3" s="1"/>
  <c r="EB161" i="1"/>
  <c r="DO161" i="1"/>
  <c r="DB161" i="1"/>
  <c r="CO161" i="1"/>
  <c r="CB161" i="1"/>
  <c r="BO161" i="1"/>
  <c r="BB161" i="1"/>
  <c r="AO161" i="1"/>
  <c r="AB161" i="1"/>
  <c r="O161" i="1"/>
  <c r="FO160" i="1"/>
  <c r="FB160" i="1"/>
  <c r="EO160" i="1"/>
  <c r="G27" i="3" s="1" a="1"/>
  <c r="G27" i="3" s="1"/>
  <c r="EB160" i="1"/>
  <c r="DO160" i="1"/>
  <c r="DB160" i="1"/>
  <c r="CO160" i="1"/>
  <c r="CB160" i="1"/>
  <c r="BO160" i="1"/>
  <c r="BB160" i="1"/>
  <c r="AO160" i="1"/>
  <c r="AB160" i="1"/>
  <c r="O160" i="1"/>
  <c r="FO159" i="1"/>
  <c r="FB159" i="1"/>
  <c r="EO159" i="1"/>
  <c r="G26" i="3" s="1" a="1"/>
  <c r="G26" i="3" s="1"/>
  <c r="EB159" i="1"/>
  <c r="DO159" i="1"/>
  <c r="DB159" i="1"/>
  <c r="CO159" i="1"/>
  <c r="CB159" i="1"/>
  <c r="BO159" i="1"/>
  <c r="BB159" i="1"/>
  <c r="AO159" i="1"/>
  <c r="AB159" i="1"/>
  <c r="O159" i="1"/>
  <c r="FO158" i="1"/>
  <c r="FB158" i="1"/>
  <c r="EO158" i="1"/>
  <c r="G25" i="3" s="1" a="1"/>
  <c r="G25" i="3" s="1"/>
  <c r="EB158" i="1"/>
  <c r="DO158" i="1"/>
  <c r="DB158" i="1"/>
  <c r="CO158" i="1"/>
  <c r="CB158" i="1"/>
  <c r="BO158" i="1"/>
  <c r="BB158" i="1"/>
  <c r="AO158" i="1"/>
  <c r="AB158" i="1"/>
  <c r="O158" i="1"/>
  <c r="FO157" i="1"/>
  <c r="FB157" i="1"/>
  <c r="EO157" i="1"/>
  <c r="G24" i="3" s="1" a="1"/>
  <c r="G24" i="3" s="1"/>
  <c r="EB157" i="1"/>
  <c r="DO157" i="1"/>
  <c r="DB157" i="1"/>
  <c r="CO157" i="1"/>
  <c r="CB157" i="1"/>
  <c r="BO157" i="1"/>
  <c r="BB157" i="1"/>
  <c r="AO157" i="1"/>
  <c r="AB157" i="1"/>
  <c r="O157" i="1"/>
  <c r="FO156" i="1"/>
  <c r="FB156" i="1"/>
  <c r="EO156" i="1"/>
  <c r="G23" i="3" s="1" a="1"/>
  <c r="G23" i="3" s="1"/>
  <c r="EB156" i="1"/>
  <c r="DO156" i="1"/>
  <c r="DB156" i="1"/>
  <c r="CO156" i="1"/>
  <c r="CB156" i="1"/>
  <c r="BO156" i="1"/>
  <c r="BB156" i="1"/>
  <c r="AO156" i="1"/>
  <c r="AB156" i="1"/>
  <c r="O156" i="1"/>
  <c r="FO155" i="1"/>
  <c r="FB155" i="1"/>
  <c r="EO155" i="1"/>
  <c r="G22" i="3" s="1" a="1"/>
  <c r="G22" i="3" s="1"/>
  <c r="EB155" i="1"/>
  <c r="DO155" i="1"/>
  <c r="DB155" i="1"/>
  <c r="CO155" i="1"/>
  <c r="CB155" i="1"/>
  <c r="BO155" i="1"/>
  <c r="BB155" i="1"/>
  <c r="AO155" i="1"/>
  <c r="AB155" i="1"/>
  <c r="O155" i="1"/>
  <c r="FN151" i="1"/>
  <c r="FM151" i="1"/>
  <c r="FL151" i="1"/>
  <c r="FK151" i="1"/>
  <c r="FJ151" i="1"/>
  <c r="FI151" i="1"/>
  <c r="FH151" i="1"/>
  <c r="FG151" i="1"/>
  <c r="FF151" i="1"/>
  <c r="FE151" i="1"/>
  <c r="FD151" i="1"/>
  <c r="FC151" i="1"/>
  <c r="FA151" i="1"/>
  <c r="EZ151" i="1"/>
  <c r="EY151" i="1"/>
  <c r="EX151" i="1"/>
  <c r="EW151" i="1"/>
  <c r="EV151" i="1"/>
  <c r="EU151" i="1"/>
  <c r="ET151" i="1"/>
  <c r="ES151" i="1"/>
  <c r="ER151" i="1"/>
  <c r="EQ151" i="1"/>
  <c r="EP151" i="1"/>
  <c r="EN151" i="1"/>
  <c r="EM151" i="1"/>
  <c r="EL151" i="1"/>
  <c r="EK151" i="1"/>
  <c r="EJ151" i="1"/>
  <c r="EI151" i="1"/>
  <c r="EH151" i="1"/>
  <c r="EG151" i="1"/>
  <c r="EF151" i="1"/>
  <c r="EE151" i="1"/>
  <c r="ED151" i="1"/>
  <c r="EC151" i="1"/>
  <c r="EA151" i="1"/>
  <c r="DZ151" i="1"/>
  <c r="DY151" i="1"/>
  <c r="DX151" i="1"/>
  <c r="DW151" i="1"/>
  <c r="DV151" i="1"/>
  <c r="DU151" i="1"/>
  <c r="DT151" i="1"/>
  <c r="DS151" i="1"/>
  <c r="DR151" i="1"/>
  <c r="DQ151" i="1"/>
  <c r="DP151" i="1"/>
  <c r="DN151" i="1"/>
  <c r="DM151" i="1"/>
  <c r="DL151" i="1"/>
  <c r="DK151" i="1"/>
  <c r="DJ151" i="1"/>
  <c r="DI151" i="1"/>
  <c r="DH151" i="1"/>
  <c r="DG151" i="1"/>
  <c r="DF151" i="1"/>
  <c r="DE151" i="1"/>
  <c r="DD151" i="1"/>
  <c r="DC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FO150" i="1"/>
  <c r="FB150" i="1"/>
  <c r="EO150" i="1"/>
  <c r="EB150" i="1"/>
  <c r="DO150" i="1"/>
  <c r="DB150" i="1"/>
  <c r="CO150" i="1"/>
  <c r="CB150" i="1"/>
  <c r="BO150" i="1"/>
  <c r="BB150" i="1"/>
  <c r="AO150" i="1"/>
  <c r="AB150" i="1"/>
  <c r="O150" i="1"/>
  <c r="FO149" i="1"/>
  <c r="FB149" i="1"/>
  <c r="EO149" i="1"/>
  <c r="EB149" i="1"/>
  <c r="DO149" i="1"/>
  <c r="DB149" i="1"/>
  <c r="CO149" i="1"/>
  <c r="CB149" i="1"/>
  <c r="BO149" i="1"/>
  <c r="BB149" i="1"/>
  <c r="AO149" i="1"/>
  <c r="AB149" i="1"/>
  <c r="O149" i="1"/>
  <c r="FO148" i="1"/>
  <c r="FB148" i="1"/>
  <c r="EO148" i="1"/>
  <c r="EB148" i="1"/>
  <c r="DO148" i="1"/>
  <c r="DB148" i="1"/>
  <c r="CO148" i="1"/>
  <c r="CB148" i="1"/>
  <c r="BO148" i="1"/>
  <c r="BB148" i="1"/>
  <c r="AO148" i="1"/>
  <c r="AB148" i="1"/>
  <c r="O148" i="1"/>
  <c r="FO147" i="1"/>
  <c r="FB147" i="1"/>
  <c r="EO147" i="1"/>
  <c r="EB147" i="1"/>
  <c r="DO147" i="1"/>
  <c r="DB147" i="1"/>
  <c r="CO147" i="1"/>
  <c r="CB147" i="1"/>
  <c r="BO147" i="1"/>
  <c r="BB147" i="1"/>
  <c r="AO147" i="1"/>
  <c r="AB147" i="1"/>
  <c r="O147" i="1"/>
  <c r="FO146" i="1"/>
  <c r="FB146" i="1"/>
  <c r="EO146" i="1"/>
  <c r="EB146" i="1"/>
  <c r="DO146" i="1"/>
  <c r="DB146" i="1"/>
  <c r="CO146" i="1"/>
  <c r="CB146" i="1"/>
  <c r="BO146" i="1"/>
  <c r="BB146" i="1"/>
  <c r="AO146" i="1"/>
  <c r="AB146" i="1"/>
  <c r="O146" i="1"/>
  <c r="FO145" i="1"/>
  <c r="FB145" i="1"/>
  <c r="EO145" i="1"/>
  <c r="EB145" i="1"/>
  <c r="DO145" i="1"/>
  <c r="DB145" i="1"/>
  <c r="CO145" i="1"/>
  <c r="CB145" i="1"/>
  <c r="BO145" i="1"/>
  <c r="BB145" i="1"/>
  <c r="AO145" i="1"/>
  <c r="AB145" i="1"/>
  <c r="O145" i="1"/>
  <c r="FO144" i="1"/>
  <c r="FB144" i="1"/>
  <c r="EO144" i="1"/>
  <c r="EB144" i="1"/>
  <c r="DO144" i="1"/>
  <c r="DB144" i="1"/>
  <c r="CO144" i="1"/>
  <c r="CB144" i="1"/>
  <c r="BO144" i="1"/>
  <c r="BB144" i="1"/>
  <c r="AO144" i="1"/>
  <c r="AB144" i="1"/>
  <c r="O144" i="1"/>
  <c r="FO143" i="1"/>
  <c r="FB143" i="1"/>
  <c r="EO143" i="1"/>
  <c r="EB143" i="1"/>
  <c r="DO143" i="1"/>
  <c r="DB143" i="1"/>
  <c r="CO143" i="1"/>
  <c r="CB143" i="1"/>
  <c r="BO143" i="1"/>
  <c r="BB143" i="1"/>
  <c r="AO143" i="1"/>
  <c r="AB143" i="1"/>
  <c r="O143" i="1"/>
  <c r="FO142" i="1"/>
  <c r="FB142" i="1"/>
  <c r="EO142" i="1"/>
  <c r="EB142" i="1"/>
  <c r="DO142" i="1"/>
  <c r="DB142" i="1"/>
  <c r="CO142" i="1"/>
  <c r="CB142" i="1"/>
  <c r="BO142" i="1"/>
  <c r="BB142" i="1"/>
  <c r="AO142" i="1"/>
  <c r="AB142" i="1"/>
  <c r="O142" i="1"/>
  <c r="FO141" i="1"/>
  <c r="FB141" i="1"/>
  <c r="EO141" i="1"/>
  <c r="EB141" i="1"/>
  <c r="DO141" i="1"/>
  <c r="DB141" i="1"/>
  <c r="CO141" i="1"/>
  <c r="CB141" i="1"/>
  <c r="BO141" i="1"/>
  <c r="BB141" i="1"/>
  <c r="AO141" i="1"/>
  <c r="AB141" i="1"/>
  <c r="O141" i="1"/>
  <c r="FO140" i="1"/>
  <c r="FB140" i="1"/>
  <c r="EO140" i="1"/>
  <c r="EB140" i="1"/>
  <c r="DO140" i="1"/>
  <c r="DB140" i="1"/>
  <c r="CO140" i="1"/>
  <c r="CB140" i="1"/>
  <c r="BO140" i="1"/>
  <c r="BB140" i="1"/>
  <c r="AO140" i="1"/>
  <c r="AB140" i="1"/>
  <c r="O140" i="1"/>
  <c r="FO139" i="1"/>
  <c r="FB139" i="1"/>
  <c r="EO139" i="1"/>
  <c r="EB139" i="1"/>
  <c r="DO139" i="1"/>
  <c r="DB139" i="1"/>
  <c r="CO139" i="1"/>
  <c r="CB139" i="1"/>
  <c r="BO139" i="1"/>
  <c r="BB139" i="1"/>
  <c r="AO139" i="1"/>
  <c r="AB139" i="1"/>
  <c r="O139" i="1"/>
  <c r="FO138" i="1"/>
  <c r="FB138" i="1"/>
  <c r="EO138" i="1"/>
  <c r="EB138" i="1"/>
  <c r="DO138" i="1"/>
  <c r="DB138" i="1"/>
  <c r="CO138" i="1"/>
  <c r="CB138" i="1"/>
  <c r="BO138" i="1"/>
  <c r="BB138" i="1"/>
  <c r="AO138" i="1"/>
  <c r="AB138" i="1"/>
  <c r="O138" i="1"/>
  <c r="FO137" i="1"/>
  <c r="FB137" i="1"/>
  <c r="EO137" i="1"/>
  <c r="EB137" i="1"/>
  <c r="DO137" i="1"/>
  <c r="DB137" i="1"/>
  <c r="CO137" i="1"/>
  <c r="CB137" i="1"/>
  <c r="BO137" i="1"/>
  <c r="BB137" i="1"/>
  <c r="AO137" i="1"/>
  <c r="AB137" i="1"/>
  <c r="O137" i="1"/>
  <c r="FO136" i="1"/>
  <c r="FB136" i="1"/>
  <c r="EO136" i="1"/>
  <c r="EB136" i="1"/>
  <c r="DO136" i="1"/>
  <c r="DB136" i="1"/>
  <c r="CO136" i="1"/>
  <c r="CB136" i="1"/>
  <c r="BO136" i="1"/>
  <c r="BB136" i="1"/>
  <c r="AO136" i="1"/>
  <c r="AB136" i="1"/>
  <c r="O136" i="1"/>
  <c r="FO135" i="1"/>
  <c r="FB135" i="1"/>
  <c r="EO135" i="1"/>
  <c r="EB135" i="1"/>
  <c r="DO135" i="1"/>
  <c r="DB135" i="1"/>
  <c r="CO135" i="1"/>
  <c r="CB135" i="1"/>
  <c r="BO135" i="1"/>
  <c r="BB135" i="1"/>
  <c r="AO135" i="1"/>
  <c r="AB135" i="1"/>
  <c r="O135" i="1"/>
  <c r="FO134" i="1"/>
  <c r="FB134" i="1"/>
  <c r="EO134" i="1"/>
  <c r="EB134" i="1"/>
  <c r="DO134" i="1"/>
  <c r="DB134" i="1"/>
  <c r="CO134" i="1"/>
  <c r="CB134" i="1"/>
  <c r="BO134" i="1"/>
  <c r="BB134" i="1"/>
  <c r="AO134" i="1"/>
  <c r="AB134" i="1"/>
  <c r="O134" i="1"/>
  <c r="FO133" i="1"/>
  <c r="FB133" i="1"/>
  <c r="EO133" i="1"/>
  <c r="EB133" i="1"/>
  <c r="DO133" i="1"/>
  <c r="DB133" i="1"/>
  <c r="CO133" i="1"/>
  <c r="CB133" i="1"/>
  <c r="BO133" i="1"/>
  <c r="BB133" i="1"/>
  <c r="AO133" i="1"/>
  <c r="AB133" i="1"/>
  <c r="O133" i="1"/>
  <c r="FO132" i="1"/>
  <c r="FB132" i="1"/>
  <c r="EO132" i="1"/>
  <c r="EB132" i="1"/>
  <c r="DO132" i="1"/>
  <c r="DB132" i="1"/>
  <c r="CO132" i="1"/>
  <c r="CB132" i="1"/>
  <c r="BO132" i="1"/>
  <c r="BB132" i="1"/>
  <c r="AO132" i="1"/>
  <c r="AB132" i="1"/>
  <c r="O132" i="1"/>
  <c r="FO131" i="1"/>
  <c r="FB131" i="1"/>
  <c r="EO131" i="1"/>
  <c r="EB131" i="1"/>
  <c r="DO131" i="1"/>
  <c r="DB131" i="1"/>
  <c r="CO131" i="1"/>
  <c r="CB131" i="1"/>
  <c r="BO131" i="1"/>
  <c r="BB131" i="1"/>
  <c r="AO131" i="1"/>
  <c r="AB131" i="1"/>
  <c r="O131" i="1"/>
  <c r="FO130" i="1"/>
  <c r="FB130" i="1"/>
  <c r="EO130" i="1"/>
  <c r="EB130" i="1"/>
  <c r="DO130" i="1"/>
  <c r="DB130" i="1"/>
  <c r="CO130" i="1"/>
  <c r="CB130" i="1"/>
  <c r="BO130" i="1"/>
  <c r="BB130" i="1"/>
  <c r="AO130" i="1"/>
  <c r="AB130" i="1"/>
  <c r="O130" i="1"/>
  <c r="FO129" i="1"/>
  <c r="FB129" i="1"/>
  <c r="EO129" i="1"/>
  <c r="EB129" i="1"/>
  <c r="DO129" i="1"/>
  <c r="DB129" i="1"/>
  <c r="CO129" i="1"/>
  <c r="CB129" i="1"/>
  <c r="BO129" i="1"/>
  <c r="BB129" i="1"/>
  <c r="AO129" i="1"/>
  <c r="AB129" i="1"/>
  <c r="O129" i="1"/>
  <c r="FO128" i="1"/>
  <c r="FB128" i="1"/>
  <c r="EO128" i="1"/>
  <c r="EB128" i="1"/>
  <c r="DO128" i="1"/>
  <c r="DB128" i="1"/>
  <c r="CO128" i="1"/>
  <c r="CB128" i="1"/>
  <c r="BO128" i="1"/>
  <c r="BB128" i="1"/>
  <c r="AO128" i="1"/>
  <c r="AB128" i="1"/>
  <c r="O128" i="1"/>
  <c r="FO127" i="1"/>
  <c r="FB127" i="1"/>
  <c r="EO127" i="1"/>
  <c r="EB127" i="1"/>
  <c r="DO127" i="1"/>
  <c r="DB127" i="1"/>
  <c r="CO127" i="1"/>
  <c r="CB127" i="1"/>
  <c r="BO127" i="1"/>
  <c r="BB127" i="1"/>
  <c r="AO127" i="1"/>
  <c r="AB127" i="1"/>
  <c r="O127" i="1"/>
  <c r="FO126" i="1"/>
  <c r="FB126" i="1"/>
  <c r="EO126" i="1"/>
  <c r="EB126" i="1"/>
  <c r="DO126" i="1"/>
  <c r="DB126" i="1"/>
  <c r="CO126" i="1"/>
  <c r="CB126" i="1"/>
  <c r="BO126" i="1"/>
  <c r="BB126" i="1"/>
  <c r="AO126" i="1"/>
  <c r="AB126" i="1"/>
  <c r="O126" i="1"/>
  <c r="FO125" i="1"/>
  <c r="FB125" i="1"/>
  <c r="EO125" i="1"/>
  <c r="EB125" i="1"/>
  <c r="DO125" i="1"/>
  <c r="DB125" i="1"/>
  <c r="CO125" i="1"/>
  <c r="CB125" i="1"/>
  <c r="BO125" i="1"/>
  <c r="BB125" i="1"/>
  <c r="AO125" i="1"/>
  <c r="AB125" i="1"/>
  <c r="O125" i="1"/>
  <c r="FO124" i="1"/>
  <c r="FB124" i="1"/>
  <c r="EO124" i="1"/>
  <c r="EB124" i="1"/>
  <c r="DO124" i="1"/>
  <c r="DB124" i="1"/>
  <c r="CO124" i="1"/>
  <c r="CB124" i="1"/>
  <c r="BO124" i="1"/>
  <c r="BB124" i="1"/>
  <c r="AO124" i="1"/>
  <c r="AB124" i="1"/>
  <c r="O124" i="1"/>
  <c r="FO123" i="1"/>
  <c r="FB123" i="1"/>
  <c r="EO123" i="1"/>
  <c r="EB123" i="1"/>
  <c r="DO123" i="1"/>
  <c r="DB123" i="1"/>
  <c r="CO123" i="1"/>
  <c r="CB123" i="1"/>
  <c r="BO123" i="1"/>
  <c r="BB123" i="1"/>
  <c r="AO123" i="1"/>
  <c r="AB123" i="1"/>
  <c r="O123" i="1"/>
  <c r="FO122" i="1"/>
  <c r="FB122" i="1"/>
  <c r="EO122" i="1"/>
  <c r="EB122" i="1"/>
  <c r="DO122" i="1"/>
  <c r="DB122" i="1"/>
  <c r="CO122" i="1"/>
  <c r="CB122" i="1"/>
  <c r="BO122" i="1"/>
  <c r="BB122" i="1"/>
  <c r="AO122" i="1"/>
  <c r="AB122" i="1"/>
  <c r="O122" i="1"/>
  <c r="FO121" i="1"/>
  <c r="FB121" i="1"/>
  <c r="EO121" i="1"/>
  <c r="EB121" i="1"/>
  <c r="DO121" i="1"/>
  <c r="DB121" i="1"/>
  <c r="CO121" i="1"/>
  <c r="CB121" i="1"/>
  <c r="BO121" i="1"/>
  <c r="BB121" i="1"/>
  <c r="AO121" i="1"/>
  <c r="AB121" i="1"/>
  <c r="O121" i="1"/>
  <c r="FO120" i="1"/>
  <c r="FB120" i="1"/>
  <c r="EO120" i="1"/>
  <c r="EB120" i="1"/>
  <c r="DO120" i="1"/>
  <c r="DB120" i="1"/>
  <c r="CO120" i="1"/>
  <c r="CB120" i="1"/>
  <c r="BO120" i="1"/>
  <c r="BB120" i="1"/>
  <c r="AO120" i="1"/>
  <c r="AB120" i="1"/>
  <c r="O120" i="1"/>
  <c r="FO119" i="1"/>
  <c r="FB119" i="1"/>
  <c r="EO119" i="1"/>
  <c r="EB119" i="1"/>
  <c r="DO119" i="1"/>
  <c r="DB119" i="1"/>
  <c r="CO119" i="1"/>
  <c r="CB119" i="1"/>
  <c r="BO119" i="1"/>
  <c r="BB119" i="1"/>
  <c r="AO119" i="1"/>
  <c r="AB119" i="1"/>
  <c r="O119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N112" i="1"/>
  <c r="EM112" i="1"/>
  <c r="EL112" i="1"/>
  <c r="EK112" i="1"/>
  <c r="EJ112" i="1"/>
  <c r="EI112" i="1"/>
  <c r="EH112" i="1"/>
  <c r="EG112" i="1"/>
  <c r="EF112" i="1"/>
  <c r="EE112" i="1"/>
  <c r="ED112" i="1"/>
  <c r="EC112" i="1"/>
  <c r="EA112" i="1"/>
  <c r="DZ112" i="1"/>
  <c r="DY112" i="1"/>
  <c r="DX112" i="1"/>
  <c r="DW112" i="1"/>
  <c r="DV112" i="1"/>
  <c r="DU112" i="1"/>
  <c r="DT112" i="1"/>
  <c r="DS112" i="1"/>
  <c r="DR112" i="1"/>
  <c r="DQ112" i="1"/>
  <c r="DP112" i="1"/>
  <c r="DN112" i="1"/>
  <c r="DM112" i="1"/>
  <c r="DL112" i="1"/>
  <c r="DK112" i="1"/>
  <c r="DJ112" i="1"/>
  <c r="DI112" i="1"/>
  <c r="DH112" i="1"/>
  <c r="DG112" i="1"/>
  <c r="DF112" i="1"/>
  <c r="DE112" i="1"/>
  <c r="DD112" i="1"/>
  <c r="DC112" i="1"/>
  <c r="DA112" i="1"/>
  <c r="CZ112" i="1"/>
  <c r="CY112" i="1"/>
  <c r="CX112" i="1"/>
  <c r="CW112" i="1"/>
  <c r="CV112" i="1"/>
  <c r="CU112" i="1"/>
  <c r="CT112" i="1"/>
  <c r="CS112" i="1"/>
  <c r="CR112" i="1"/>
  <c r="CQ112" i="1"/>
  <c r="CP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FO111" i="1"/>
  <c r="FB111" i="1"/>
  <c r="EO111" i="1"/>
  <c r="EB111" i="1"/>
  <c r="DO111" i="1"/>
  <c r="DB111" i="1"/>
  <c r="CO111" i="1"/>
  <c r="CB111" i="1"/>
  <c r="BO111" i="1"/>
  <c r="BB111" i="1"/>
  <c r="AO111" i="1"/>
  <c r="AB111" i="1"/>
  <c r="O111" i="1"/>
  <c r="FO110" i="1"/>
  <c r="FB110" i="1"/>
  <c r="EO110" i="1"/>
  <c r="EB110" i="1"/>
  <c r="DO110" i="1"/>
  <c r="DB110" i="1"/>
  <c r="CO110" i="1"/>
  <c r="CB110" i="1"/>
  <c r="BO110" i="1"/>
  <c r="BB110" i="1"/>
  <c r="AO110" i="1"/>
  <c r="AB110" i="1"/>
  <c r="O110" i="1"/>
  <c r="FO109" i="1"/>
  <c r="FB109" i="1"/>
  <c r="EO109" i="1"/>
  <c r="EB109" i="1"/>
  <c r="DO109" i="1"/>
  <c r="DB109" i="1"/>
  <c r="CO109" i="1"/>
  <c r="CB109" i="1"/>
  <c r="BO109" i="1"/>
  <c r="BB109" i="1"/>
  <c r="AO109" i="1"/>
  <c r="AB109" i="1"/>
  <c r="O109" i="1"/>
  <c r="FO108" i="1"/>
  <c r="FB108" i="1"/>
  <c r="EO108" i="1"/>
  <c r="EB108" i="1"/>
  <c r="DO108" i="1"/>
  <c r="DB108" i="1"/>
  <c r="CO108" i="1"/>
  <c r="CB108" i="1"/>
  <c r="BO108" i="1"/>
  <c r="BB108" i="1"/>
  <c r="AO108" i="1"/>
  <c r="AB108" i="1"/>
  <c r="O108" i="1"/>
  <c r="FO107" i="1"/>
  <c r="FB107" i="1"/>
  <c r="EO107" i="1"/>
  <c r="EB107" i="1"/>
  <c r="DO107" i="1"/>
  <c r="DB107" i="1"/>
  <c r="CO107" i="1"/>
  <c r="CB107" i="1"/>
  <c r="BO107" i="1"/>
  <c r="BB107" i="1"/>
  <c r="AO107" i="1"/>
  <c r="AB107" i="1"/>
  <c r="O107" i="1"/>
  <c r="FO106" i="1"/>
  <c r="FB106" i="1"/>
  <c r="EO106" i="1"/>
  <c r="EB106" i="1"/>
  <c r="DO106" i="1"/>
  <c r="DB106" i="1"/>
  <c r="CO106" i="1"/>
  <c r="CB106" i="1"/>
  <c r="BO106" i="1"/>
  <c r="BB106" i="1"/>
  <c r="AO106" i="1"/>
  <c r="AB106" i="1"/>
  <c r="O106" i="1"/>
  <c r="FO105" i="1"/>
  <c r="FB105" i="1"/>
  <c r="EO105" i="1"/>
  <c r="EB105" i="1"/>
  <c r="DO105" i="1"/>
  <c r="DB105" i="1"/>
  <c r="CO105" i="1"/>
  <c r="CB105" i="1"/>
  <c r="BO105" i="1"/>
  <c r="BB105" i="1"/>
  <c r="AO105" i="1"/>
  <c r="AB105" i="1"/>
  <c r="O105" i="1"/>
  <c r="FO104" i="1"/>
  <c r="FB104" i="1"/>
  <c r="EO104" i="1"/>
  <c r="EB104" i="1"/>
  <c r="DO104" i="1"/>
  <c r="DB104" i="1"/>
  <c r="CO104" i="1"/>
  <c r="CB104" i="1"/>
  <c r="BO104" i="1"/>
  <c r="BB104" i="1"/>
  <c r="AO104" i="1"/>
  <c r="AB104" i="1"/>
  <c r="O104" i="1"/>
  <c r="FO103" i="1"/>
  <c r="FB103" i="1"/>
  <c r="EO103" i="1"/>
  <c r="EB103" i="1"/>
  <c r="DO103" i="1"/>
  <c r="DB103" i="1"/>
  <c r="CO103" i="1"/>
  <c r="CB103" i="1"/>
  <c r="BO103" i="1"/>
  <c r="BB103" i="1"/>
  <c r="AO103" i="1"/>
  <c r="AB103" i="1"/>
  <c r="O103" i="1"/>
  <c r="FO102" i="1"/>
  <c r="FB102" i="1"/>
  <c r="EO102" i="1"/>
  <c r="EB102" i="1"/>
  <c r="DO102" i="1"/>
  <c r="DB102" i="1"/>
  <c r="CO102" i="1"/>
  <c r="CB102" i="1"/>
  <c r="BO102" i="1"/>
  <c r="BB102" i="1"/>
  <c r="AO102" i="1"/>
  <c r="AB102" i="1"/>
  <c r="O102" i="1"/>
  <c r="FO101" i="1"/>
  <c r="FB101" i="1"/>
  <c r="EO101" i="1"/>
  <c r="EB101" i="1"/>
  <c r="DO101" i="1"/>
  <c r="DB101" i="1"/>
  <c r="CO101" i="1"/>
  <c r="CB101" i="1"/>
  <c r="BO101" i="1"/>
  <c r="BB101" i="1"/>
  <c r="AO101" i="1"/>
  <c r="AB101" i="1"/>
  <c r="O101" i="1"/>
  <c r="FO100" i="1"/>
  <c r="FB100" i="1"/>
  <c r="EO100" i="1"/>
  <c r="EB100" i="1"/>
  <c r="DO100" i="1"/>
  <c r="DB100" i="1"/>
  <c r="CO100" i="1"/>
  <c r="CB100" i="1"/>
  <c r="BO100" i="1"/>
  <c r="BB100" i="1"/>
  <c r="AO100" i="1"/>
  <c r="AB100" i="1"/>
  <c r="O100" i="1"/>
  <c r="FO99" i="1"/>
  <c r="FB99" i="1"/>
  <c r="EO99" i="1"/>
  <c r="EB99" i="1"/>
  <c r="DO99" i="1"/>
  <c r="DB99" i="1"/>
  <c r="CO99" i="1"/>
  <c r="CB99" i="1"/>
  <c r="BO99" i="1"/>
  <c r="BB99" i="1"/>
  <c r="AO99" i="1"/>
  <c r="AB99" i="1"/>
  <c r="O99" i="1"/>
  <c r="FO98" i="1"/>
  <c r="FB98" i="1"/>
  <c r="EO98" i="1"/>
  <c r="EB98" i="1"/>
  <c r="DO98" i="1"/>
  <c r="DB98" i="1"/>
  <c r="CO98" i="1"/>
  <c r="CB98" i="1"/>
  <c r="BO98" i="1"/>
  <c r="BB98" i="1"/>
  <c r="AO98" i="1"/>
  <c r="AB98" i="1"/>
  <c r="O98" i="1"/>
  <c r="FO97" i="1"/>
  <c r="FB97" i="1"/>
  <c r="EO97" i="1"/>
  <c r="F39" i="3" s="1" a="1"/>
  <c r="F39" i="3" s="1"/>
  <c r="EB97" i="1"/>
  <c r="DO97" i="1"/>
  <c r="DB97" i="1"/>
  <c r="CO97" i="1"/>
  <c r="CB97" i="1"/>
  <c r="BO97" i="1"/>
  <c r="BB97" i="1"/>
  <c r="AO97" i="1"/>
  <c r="AB97" i="1"/>
  <c r="O97" i="1"/>
  <c r="FO96" i="1"/>
  <c r="FB96" i="1"/>
  <c r="EO96" i="1"/>
  <c r="F38" i="3" s="1" a="1"/>
  <c r="F38" i="3" s="1"/>
  <c r="EB96" i="1"/>
  <c r="DO96" i="1"/>
  <c r="DB96" i="1"/>
  <c r="CO96" i="1"/>
  <c r="CB96" i="1"/>
  <c r="BO96" i="1"/>
  <c r="BB96" i="1"/>
  <c r="AO96" i="1"/>
  <c r="AB96" i="1"/>
  <c r="O96" i="1"/>
  <c r="FO95" i="1"/>
  <c r="FB95" i="1"/>
  <c r="EO95" i="1"/>
  <c r="F37" i="3" s="1" a="1"/>
  <c r="F37" i="3" s="1"/>
  <c r="EB95" i="1"/>
  <c r="DO95" i="1"/>
  <c r="DB95" i="1"/>
  <c r="CO95" i="1"/>
  <c r="CB95" i="1"/>
  <c r="BO95" i="1"/>
  <c r="BB95" i="1"/>
  <c r="AO95" i="1"/>
  <c r="AB95" i="1"/>
  <c r="O95" i="1"/>
  <c r="FO94" i="1"/>
  <c r="FB94" i="1"/>
  <c r="EO94" i="1"/>
  <c r="F36" i="3" s="1" a="1"/>
  <c r="F36" i="3" s="1"/>
  <c r="EB94" i="1"/>
  <c r="DO94" i="1"/>
  <c r="DB94" i="1"/>
  <c r="CO94" i="1"/>
  <c r="CB94" i="1"/>
  <c r="BO94" i="1"/>
  <c r="BB94" i="1"/>
  <c r="AO94" i="1"/>
  <c r="AB94" i="1"/>
  <c r="O94" i="1"/>
  <c r="FO93" i="1"/>
  <c r="FB93" i="1"/>
  <c r="EO93" i="1"/>
  <c r="F35" i="3" s="1" a="1"/>
  <c r="F35" i="3" s="1"/>
  <c r="EB93" i="1"/>
  <c r="DO93" i="1"/>
  <c r="DB93" i="1"/>
  <c r="CO93" i="1"/>
  <c r="CB93" i="1"/>
  <c r="BO93" i="1"/>
  <c r="BB93" i="1"/>
  <c r="AO93" i="1"/>
  <c r="AB93" i="1"/>
  <c r="O93" i="1"/>
  <c r="FO92" i="1"/>
  <c r="FB92" i="1"/>
  <c r="EO92" i="1"/>
  <c r="F34" i="3" s="1" a="1"/>
  <c r="F34" i="3" s="1"/>
  <c r="EB92" i="1"/>
  <c r="DO92" i="1"/>
  <c r="DB92" i="1"/>
  <c r="CO92" i="1"/>
  <c r="CB92" i="1"/>
  <c r="BO92" i="1"/>
  <c r="BB92" i="1"/>
  <c r="AO92" i="1"/>
  <c r="AB92" i="1"/>
  <c r="O92" i="1"/>
  <c r="FO91" i="1"/>
  <c r="FB91" i="1"/>
  <c r="EO91" i="1"/>
  <c r="F33" i="3" s="1" a="1"/>
  <c r="F33" i="3" s="1"/>
  <c r="EB91" i="1"/>
  <c r="DO91" i="1"/>
  <c r="DB91" i="1"/>
  <c r="CO91" i="1"/>
  <c r="CB91" i="1"/>
  <c r="BO91" i="1"/>
  <c r="BB91" i="1"/>
  <c r="AO91" i="1"/>
  <c r="AB91" i="1"/>
  <c r="O91" i="1"/>
  <c r="FO90" i="1"/>
  <c r="FB90" i="1"/>
  <c r="EO90" i="1"/>
  <c r="F32" i="3" s="1" a="1"/>
  <c r="F32" i="3" s="1"/>
  <c r="EB90" i="1"/>
  <c r="DO90" i="1"/>
  <c r="DB90" i="1"/>
  <c r="CO90" i="1"/>
  <c r="CB90" i="1"/>
  <c r="BO90" i="1"/>
  <c r="BB90" i="1"/>
  <c r="AO90" i="1"/>
  <c r="AB90" i="1"/>
  <c r="O90" i="1"/>
  <c r="FO89" i="1"/>
  <c r="FB89" i="1"/>
  <c r="EO89" i="1"/>
  <c r="F31" i="3" s="1" a="1"/>
  <c r="F31" i="3" s="1"/>
  <c r="EB89" i="1"/>
  <c r="DO89" i="1"/>
  <c r="DB89" i="1"/>
  <c r="CO89" i="1"/>
  <c r="CB89" i="1"/>
  <c r="BO89" i="1"/>
  <c r="BB89" i="1"/>
  <c r="AO89" i="1"/>
  <c r="AB89" i="1"/>
  <c r="O89" i="1"/>
  <c r="FO88" i="1"/>
  <c r="FB88" i="1"/>
  <c r="EO88" i="1"/>
  <c r="F30" i="3" s="1" a="1"/>
  <c r="F30" i="3" s="1"/>
  <c r="EB88" i="1"/>
  <c r="DO88" i="1"/>
  <c r="DB88" i="1"/>
  <c r="CO88" i="1"/>
  <c r="CB88" i="1"/>
  <c r="BO88" i="1"/>
  <c r="BB88" i="1"/>
  <c r="AO88" i="1"/>
  <c r="AB88" i="1"/>
  <c r="O88" i="1"/>
  <c r="FO87" i="1"/>
  <c r="FB87" i="1"/>
  <c r="EO87" i="1"/>
  <c r="F29" i="3" s="1" a="1"/>
  <c r="F29" i="3" s="1"/>
  <c r="EB87" i="1"/>
  <c r="DO87" i="1"/>
  <c r="DB87" i="1"/>
  <c r="CO87" i="1"/>
  <c r="CB87" i="1"/>
  <c r="BO87" i="1"/>
  <c r="BB87" i="1"/>
  <c r="AO87" i="1"/>
  <c r="AB87" i="1"/>
  <c r="O87" i="1"/>
  <c r="FO86" i="1"/>
  <c r="FB86" i="1"/>
  <c r="EO86" i="1"/>
  <c r="F28" i="3" s="1" a="1"/>
  <c r="F28" i="3" s="1"/>
  <c r="EB86" i="1"/>
  <c r="DO86" i="1"/>
  <c r="DB86" i="1"/>
  <c r="CO86" i="1"/>
  <c r="CB86" i="1"/>
  <c r="BO86" i="1"/>
  <c r="BB86" i="1"/>
  <c r="AO86" i="1"/>
  <c r="AB86" i="1"/>
  <c r="O86" i="1"/>
  <c r="FO85" i="1"/>
  <c r="FB85" i="1"/>
  <c r="EO85" i="1"/>
  <c r="F27" i="3" s="1" a="1"/>
  <c r="F27" i="3" s="1"/>
  <c r="EB85" i="1"/>
  <c r="DO85" i="1"/>
  <c r="DB85" i="1"/>
  <c r="CO85" i="1"/>
  <c r="CB85" i="1"/>
  <c r="BO85" i="1"/>
  <c r="BB85" i="1"/>
  <c r="AO85" i="1"/>
  <c r="AB85" i="1"/>
  <c r="O85" i="1"/>
  <c r="FO84" i="1"/>
  <c r="FB84" i="1"/>
  <c r="EO84" i="1"/>
  <c r="F26" i="3" s="1" a="1"/>
  <c r="F26" i="3" s="1"/>
  <c r="EB84" i="1"/>
  <c r="DO84" i="1"/>
  <c r="DB84" i="1"/>
  <c r="CO84" i="1"/>
  <c r="CB84" i="1"/>
  <c r="BO84" i="1"/>
  <c r="BB84" i="1"/>
  <c r="AO84" i="1"/>
  <c r="AB84" i="1"/>
  <c r="O84" i="1"/>
  <c r="FO83" i="1"/>
  <c r="FB83" i="1"/>
  <c r="EO83" i="1"/>
  <c r="F25" i="3" s="1" a="1"/>
  <c r="F25" i="3" s="1"/>
  <c r="EB83" i="1"/>
  <c r="DO83" i="1"/>
  <c r="DB83" i="1"/>
  <c r="CO83" i="1"/>
  <c r="CB83" i="1"/>
  <c r="BO83" i="1"/>
  <c r="BB83" i="1"/>
  <c r="AO83" i="1"/>
  <c r="AB83" i="1"/>
  <c r="O83" i="1"/>
  <c r="FO82" i="1"/>
  <c r="FB82" i="1"/>
  <c r="EO82" i="1"/>
  <c r="F24" i="3" s="1" a="1"/>
  <c r="F24" i="3" s="1"/>
  <c r="EB82" i="1"/>
  <c r="DO82" i="1"/>
  <c r="DB82" i="1"/>
  <c r="CO82" i="1"/>
  <c r="CB82" i="1"/>
  <c r="BO82" i="1"/>
  <c r="BB82" i="1"/>
  <c r="AO82" i="1"/>
  <c r="AB82" i="1"/>
  <c r="O82" i="1"/>
  <c r="FO81" i="1"/>
  <c r="FB81" i="1"/>
  <c r="EO81" i="1"/>
  <c r="F23" i="3" s="1" a="1"/>
  <c r="F23" i="3" s="1"/>
  <c r="EB81" i="1"/>
  <c r="DO81" i="1"/>
  <c r="DB81" i="1"/>
  <c r="DB112" i="1" s="1"/>
  <c r="CO81" i="1"/>
  <c r="CB81" i="1"/>
  <c r="BO81" i="1"/>
  <c r="BB81" i="1"/>
  <c r="AO81" i="1"/>
  <c r="AB81" i="1"/>
  <c r="O81" i="1"/>
  <c r="FO80" i="1"/>
  <c r="FB80" i="1"/>
  <c r="EO80" i="1"/>
  <c r="F22" i="3" s="1" a="1"/>
  <c r="F22" i="3" s="1"/>
  <c r="EB80" i="1"/>
  <c r="DO80" i="1"/>
  <c r="DB80" i="1"/>
  <c r="CO80" i="1"/>
  <c r="CB80" i="1"/>
  <c r="BO80" i="1"/>
  <c r="BB80" i="1"/>
  <c r="AO80" i="1"/>
  <c r="AB80" i="1"/>
  <c r="O80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N76" i="1"/>
  <c r="EM76" i="1"/>
  <c r="EL76" i="1"/>
  <c r="EK76" i="1"/>
  <c r="EJ76" i="1"/>
  <c r="EI76" i="1"/>
  <c r="EH76" i="1"/>
  <c r="EG76" i="1"/>
  <c r="EF76" i="1"/>
  <c r="EE76" i="1"/>
  <c r="ED76" i="1"/>
  <c r="EC76" i="1"/>
  <c r="EA76" i="1"/>
  <c r="DZ76" i="1"/>
  <c r="DY76" i="1"/>
  <c r="DX76" i="1"/>
  <c r="DW76" i="1"/>
  <c r="DV76" i="1"/>
  <c r="DU76" i="1"/>
  <c r="DT76" i="1"/>
  <c r="DS76" i="1"/>
  <c r="DR76" i="1"/>
  <c r="DQ76" i="1"/>
  <c r="DP76" i="1"/>
  <c r="DN76" i="1"/>
  <c r="DM76" i="1"/>
  <c r="DL76" i="1"/>
  <c r="DK76" i="1"/>
  <c r="DJ76" i="1"/>
  <c r="DI76" i="1"/>
  <c r="DH76" i="1"/>
  <c r="DG76" i="1"/>
  <c r="DF76" i="1"/>
  <c r="DE76" i="1"/>
  <c r="DD76" i="1"/>
  <c r="DC76" i="1"/>
  <c r="DA76" i="1"/>
  <c r="CZ76" i="1"/>
  <c r="CY76" i="1"/>
  <c r="CX76" i="1"/>
  <c r="CW76" i="1"/>
  <c r="CV76" i="1"/>
  <c r="CU76" i="1"/>
  <c r="CT76" i="1"/>
  <c r="CS76" i="1"/>
  <c r="CR76" i="1"/>
  <c r="CQ76" i="1"/>
  <c r="CP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A76" i="1"/>
  <c r="Z76" i="1"/>
  <c r="Y76" i="1"/>
  <c r="X76" i="1"/>
  <c r="W76" i="1"/>
  <c r="V76" i="1"/>
  <c r="U76" i="1"/>
  <c r="T76" i="1"/>
  <c r="S76" i="1"/>
  <c r="R76" i="1"/>
  <c r="Q76" i="1"/>
  <c r="P76" i="1"/>
  <c r="N76" i="1"/>
  <c r="M76" i="1"/>
  <c r="L76" i="1"/>
  <c r="K76" i="1"/>
  <c r="J76" i="1"/>
  <c r="I76" i="1"/>
  <c r="H76" i="1"/>
  <c r="G76" i="1"/>
  <c r="F76" i="1"/>
  <c r="E76" i="1"/>
  <c r="D76" i="1"/>
  <c r="C76" i="1"/>
  <c r="FO75" i="1"/>
  <c r="FB75" i="1"/>
  <c r="EO75" i="1"/>
  <c r="EB75" i="1"/>
  <c r="DO75" i="1"/>
  <c r="DB75" i="1"/>
  <c r="CO75" i="1"/>
  <c r="CB75" i="1"/>
  <c r="BO75" i="1"/>
  <c r="BB75" i="1"/>
  <c r="AO75" i="1"/>
  <c r="AB75" i="1"/>
  <c r="O75" i="1"/>
  <c r="FO74" i="1"/>
  <c r="FB74" i="1"/>
  <c r="EO74" i="1"/>
  <c r="EB74" i="1"/>
  <c r="DO74" i="1"/>
  <c r="DB74" i="1"/>
  <c r="CO74" i="1"/>
  <c r="CB74" i="1"/>
  <c r="BO74" i="1"/>
  <c r="BB74" i="1"/>
  <c r="AO74" i="1"/>
  <c r="AB74" i="1"/>
  <c r="O74" i="1"/>
  <c r="FO73" i="1"/>
  <c r="FB73" i="1"/>
  <c r="EO73" i="1"/>
  <c r="EB73" i="1"/>
  <c r="DO73" i="1"/>
  <c r="DB73" i="1"/>
  <c r="CO73" i="1"/>
  <c r="CB73" i="1"/>
  <c r="BO73" i="1"/>
  <c r="BB73" i="1"/>
  <c r="AO73" i="1"/>
  <c r="AB73" i="1"/>
  <c r="O73" i="1"/>
  <c r="FO72" i="1"/>
  <c r="FB72" i="1"/>
  <c r="EO72" i="1"/>
  <c r="EB72" i="1"/>
  <c r="DO72" i="1"/>
  <c r="DB72" i="1"/>
  <c r="CO72" i="1"/>
  <c r="CB72" i="1"/>
  <c r="BO72" i="1"/>
  <c r="BB72" i="1"/>
  <c r="AO72" i="1"/>
  <c r="AB72" i="1"/>
  <c r="O72" i="1"/>
  <c r="FO71" i="1"/>
  <c r="FB71" i="1"/>
  <c r="EO71" i="1"/>
  <c r="EB71" i="1"/>
  <c r="DO71" i="1"/>
  <c r="DB71" i="1"/>
  <c r="CO71" i="1"/>
  <c r="CB71" i="1"/>
  <c r="BO71" i="1"/>
  <c r="BB71" i="1"/>
  <c r="AO71" i="1"/>
  <c r="AB71" i="1"/>
  <c r="O71" i="1"/>
  <c r="FO70" i="1"/>
  <c r="FB70" i="1"/>
  <c r="EO70" i="1"/>
  <c r="EB70" i="1"/>
  <c r="DO70" i="1"/>
  <c r="DB70" i="1"/>
  <c r="CO70" i="1"/>
  <c r="CB70" i="1"/>
  <c r="BO70" i="1"/>
  <c r="BB70" i="1"/>
  <c r="AO70" i="1"/>
  <c r="AB70" i="1"/>
  <c r="O70" i="1"/>
  <c r="FO69" i="1"/>
  <c r="FB69" i="1"/>
  <c r="EO69" i="1"/>
  <c r="EB69" i="1"/>
  <c r="DO69" i="1"/>
  <c r="DB69" i="1"/>
  <c r="CO69" i="1"/>
  <c r="CB69" i="1"/>
  <c r="BO69" i="1"/>
  <c r="BB69" i="1"/>
  <c r="AO69" i="1"/>
  <c r="AB69" i="1"/>
  <c r="O69" i="1"/>
  <c r="FO68" i="1"/>
  <c r="FB68" i="1"/>
  <c r="EO68" i="1"/>
  <c r="EB68" i="1"/>
  <c r="DO68" i="1"/>
  <c r="DB68" i="1"/>
  <c r="CO68" i="1"/>
  <c r="CB68" i="1"/>
  <c r="BO68" i="1"/>
  <c r="BB68" i="1"/>
  <c r="AO68" i="1"/>
  <c r="AB68" i="1"/>
  <c r="O68" i="1"/>
  <c r="FO67" i="1"/>
  <c r="FB67" i="1"/>
  <c r="EO67" i="1"/>
  <c r="EB67" i="1"/>
  <c r="DO67" i="1"/>
  <c r="DB67" i="1"/>
  <c r="CO67" i="1"/>
  <c r="CB67" i="1"/>
  <c r="BO67" i="1"/>
  <c r="BB67" i="1"/>
  <c r="AO67" i="1"/>
  <c r="AB67" i="1"/>
  <c r="O67" i="1"/>
  <c r="FO66" i="1"/>
  <c r="FB66" i="1"/>
  <c r="EO66" i="1"/>
  <c r="EB66" i="1"/>
  <c r="DO66" i="1"/>
  <c r="DB66" i="1"/>
  <c r="CO66" i="1"/>
  <c r="CB66" i="1"/>
  <c r="BO66" i="1"/>
  <c r="BB66" i="1"/>
  <c r="AO66" i="1"/>
  <c r="AB66" i="1"/>
  <c r="O66" i="1"/>
  <c r="FO65" i="1"/>
  <c r="FB65" i="1"/>
  <c r="EO65" i="1"/>
  <c r="EB65" i="1"/>
  <c r="DO65" i="1"/>
  <c r="DB65" i="1"/>
  <c r="CO65" i="1"/>
  <c r="CB65" i="1"/>
  <c r="BO65" i="1"/>
  <c r="BB65" i="1"/>
  <c r="AO65" i="1"/>
  <c r="AB65" i="1"/>
  <c r="O65" i="1"/>
  <c r="FO64" i="1"/>
  <c r="FB64" i="1"/>
  <c r="EO64" i="1"/>
  <c r="EB64" i="1"/>
  <c r="DO64" i="1"/>
  <c r="DB64" i="1"/>
  <c r="CO64" i="1"/>
  <c r="CB64" i="1"/>
  <c r="BO64" i="1"/>
  <c r="BB64" i="1"/>
  <c r="AO64" i="1"/>
  <c r="AB64" i="1"/>
  <c r="O64" i="1"/>
  <c r="FO63" i="1"/>
  <c r="FB63" i="1"/>
  <c r="EO63" i="1"/>
  <c r="EB63" i="1"/>
  <c r="DO63" i="1"/>
  <c r="DB63" i="1"/>
  <c r="CO63" i="1"/>
  <c r="CB63" i="1"/>
  <c r="BO63" i="1"/>
  <c r="BB63" i="1"/>
  <c r="AO63" i="1"/>
  <c r="AB63" i="1"/>
  <c r="O63" i="1"/>
  <c r="FO62" i="1"/>
  <c r="FB62" i="1"/>
  <c r="EO62" i="1"/>
  <c r="EB62" i="1"/>
  <c r="DO62" i="1"/>
  <c r="DB62" i="1"/>
  <c r="CO62" i="1"/>
  <c r="CB62" i="1"/>
  <c r="BO62" i="1"/>
  <c r="BB62" i="1"/>
  <c r="AO62" i="1"/>
  <c r="AB62" i="1"/>
  <c r="O62" i="1"/>
  <c r="FO61" i="1"/>
  <c r="FB61" i="1"/>
  <c r="EO61" i="1"/>
  <c r="E39" i="3" s="1" a="1"/>
  <c r="E39" i="3" s="1"/>
  <c r="EB61" i="1"/>
  <c r="DO61" i="1"/>
  <c r="DB61" i="1"/>
  <c r="CO61" i="1"/>
  <c r="CB61" i="1"/>
  <c r="BO61" i="1"/>
  <c r="BB61" i="1"/>
  <c r="AO61" i="1"/>
  <c r="AB61" i="1"/>
  <c r="O61" i="1"/>
  <c r="FO60" i="1"/>
  <c r="FB60" i="1"/>
  <c r="EO60" i="1"/>
  <c r="E38" i="3" s="1" a="1"/>
  <c r="E38" i="3" s="1"/>
  <c r="EB60" i="1"/>
  <c r="DO60" i="1"/>
  <c r="DB60" i="1"/>
  <c r="CO60" i="1"/>
  <c r="CB60" i="1"/>
  <c r="BO60" i="1"/>
  <c r="BB60" i="1"/>
  <c r="AO60" i="1"/>
  <c r="AB60" i="1"/>
  <c r="O60" i="1"/>
  <c r="FO59" i="1"/>
  <c r="FB59" i="1"/>
  <c r="EO59" i="1"/>
  <c r="E37" i="3" s="1" a="1"/>
  <c r="E37" i="3" s="1"/>
  <c r="EB59" i="1"/>
  <c r="DO59" i="1"/>
  <c r="DB59" i="1"/>
  <c r="CO59" i="1"/>
  <c r="CB59" i="1"/>
  <c r="BO59" i="1"/>
  <c r="BB59" i="1"/>
  <c r="AO59" i="1"/>
  <c r="AB59" i="1"/>
  <c r="O59" i="1"/>
  <c r="FO58" i="1"/>
  <c r="FB58" i="1"/>
  <c r="EO58" i="1"/>
  <c r="E36" i="3" s="1" a="1"/>
  <c r="E36" i="3" s="1"/>
  <c r="EB58" i="1"/>
  <c r="DO58" i="1"/>
  <c r="DB58" i="1"/>
  <c r="CO58" i="1"/>
  <c r="CB58" i="1"/>
  <c r="BO58" i="1"/>
  <c r="BB58" i="1"/>
  <c r="AO58" i="1"/>
  <c r="AB58" i="1"/>
  <c r="O58" i="1"/>
  <c r="FO57" i="1"/>
  <c r="FB57" i="1"/>
  <c r="EO57" i="1"/>
  <c r="E35" i="3" s="1" a="1"/>
  <c r="E35" i="3" s="1"/>
  <c r="EB57" i="1"/>
  <c r="DO57" i="1"/>
  <c r="DB57" i="1"/>
  <c r="CO57" i="1"/>
  <c r="CB57" i="1"/>
  <c r="BO57" i="1"/>
  <c r="BB57" i="1"/>
  <c r="AO57" i="1"/>
  <c r="AB57" i="1"/>
  <c r="O57" i="1"/>
  <c r="FO56" i="1"/>
  <c r="FB56" i="1"/>
  <c r="EO56" i="1"/>
  <c r="E34" i="3" s="1" a="1"/>
  <c r="E34" i="3" s="1"/>
  <c r="EB56" i="1"/>
  <c r="DO56" i="1"/>
  <c r="DB56" i="1"/>
  <c r="CO56" i="1"/>
  <c r="CB56" i="1"/>
  <c r="BO56" i="1"/>
  <c r="BB56" i="1"/>
  <c r="AO56" i="1"/>
  <c r="AB56" i="1"/>
  <c r="O56" i="1"/>
  <c r="FO55" i="1"/>
  <c r="FB55" i="1"/>
  <c r="EO55" i="1"/>
  <c r="E33" i="3" s="1" a="1"/>
  <c r="E33" i="3" s="1"/>
  <c r="EB55" i="1"/>
  <c r="DO55" i="1"/>
  <c r="DB55" i="1"/>
  <c r="CO55" i="1"/>
  <c r="CB55" i="1"/>
  <c r="BO55" i="1"/>
  <c r="BB55" i="1"/>
  <c r="AO55" i="1"/>
  <c r="AB55" i="1"/>
  <c r="O55" i="1"/>
  <c r="FO54" i="1"/>
  <c r="FB54" i="1"/>
  <c r="EO54" i="1"/>
  <c r="E32" i="3" s="1" a="1"/>
  <c r="E32" i="3" s="1"/>
  <c r="EB54" i="1"/>
  <c r="DO54" i="1"/>
  <c r="DB54" i="1"/>
  <c r="CO54" i="1"/>
  <c r="CB54" i="1"/>
  <c r="BO54" i="1"/>
  <c r="BB54" i="1"/>
  <c r="AO54" i="1"/>
  <c r="AB54" i="1"/>
  <c r="O54" i="1"/>
  <c r="FO53" i="1"/>
  <c r="FB53" i="1"/>
  <c r="EO53" i="1"/>
  <c r="E31" i="3" s="1" a="1"/>
  <c r="E31" i="3" s="1"/>
  <c r="EB53" i="1"/>
  <c r="DO53" i="1"/>
  <c r="DB53" i="1"/>
  <c r="CO53" i="1"/>
  <c r="CB53" i="1"/>
  <c r="BO53" i="1"/>
  <c r="BB53" i="1"/>
  <c r="AO53" i="1"/>
  <c r="AB53" i="1"/>
  <c r="O53" i="1"/>
  <c r="FO52" i="1"/>
  <c r="FB52" i="1"/>
  <c r="EO52" i="1"/>
  <c r="E30" i="3" s="1" a="1"/>
  <c r="E30" i="3" s="1"/>
  <c r="EB52" i="1"/>
  <c r="DO52" i="1"/>
  <c r="DB52" i="1"/>
  <c r="CO52" i="1"/>
  <c r="CB52" i="1"/>
  <c r="BO52" i="1"/>
  <c r="BB52" i="1"/>
  <c r="AO52" i="1"/>
  <c r="AB52" i="1"/>
  <c r="O52" i="1"/>
  <c r="FO51" i="1"/>
  <c r="FB51" i="1"/>
  <c r="EO51" i="1"/>
  <c r="E29" i="3" s="1" a="1"/>
  <c r="E29" i="3" s="1"/>
  <c r="EB51" i="1"/>
  <c r="DO51" i="1"/>
  <c r="DB51" i="1"/>
  <c r="CO51" i="1"/>
  <c r="CB51" i="1"/>
  <c r="BO51" i="1"/>
  <c r="BB51" i="1"/>
  <c r="AO51" i="1"/>
  <c r="AB51" i="1"/>
  <c r="O51" i="1"/>
  <c r="FO50" i="1"/>
  <c r="FB50" i="1"/>
  <c r="EO50" i="1"/>
  <c r="E28" i="3" s="1" a="1"/>
  <c r="E28" i="3" s="1"/>
  <c r="EB50" i="1"/>
  <c r="DO50" i="1"/>
  <c r="DB50" i="1"/>
  <c r="CO50" i="1"/>
  <c r="CB50" i="1"/>
  <c r="BO50" i="1"/>
  <c r="BB50" i="1"/>
  <c r="AO50" i="1"/>
  <c r="AB50" i="1"/>
  <c r="O50" i="1"/>
  <c r="FO49" i="1"/>
  <c r="FB49" i="1"/>
  <c r="EO49" i="1"/>
  <c r="E27" i="3" s="1" a="1"/>
  <c r="E27" i="3" s="1"/>
  <c r="EB49" i="1"/>
  <c r="DO49" i="1"/>
  <c r="DB49" i="1"/>
  <c r="CO49" i="1"/>
  <c r="CB49" i="1"/>
  <c r="BO49" i="1"/>
  <c r="BB49" i="1"/>
  <c r="AO49" i="1"/>
  <c r="AB49" i="1"/>
  <c r="O49" i="1"/>
  <c r="FO48" i="1"/>
  <c r="FB48" i="1"/>
  <c r="EO48" i="1"/>
  <c r="E26" i="3" s="1" a="1"/>
  <c r="E26" i="3" s="1"/>
  <c r="EB48" i="1"/>
  <c r="DO48" i="1"/>
  <c r="DB48" i="1"/>
  <c r="CO48" i="1"/>
  <c r="CB48" i="1"/>
  <c r="BO48" i="1"/>
  <c r="BB48" i="1"/>
  <c r="AO48" i="1"/>
  <c r="AB48" i="1"/>
  <c r="O48" i="1"/>
  <c r="FO47" i="1"/>
  <c r="FB47" i="1"/>
  <c r="EO47" i="1"/>
  <c r="E25" i="3" s="1" a="1"/>
  <c r="E25" i="3" s="1"/>
  <c r="EB47" i="1"/>
  <c r="DO47" i="1"/>
  <c r="DB47" i="1"/>
  <c r="CO47" i="1"/>
  <c r="CB47" i="1"/>
  <c r="BO47" i="1"/>
  <c r="BB47" i="1"/>
  <c r="AO47" i="1"/>
  <c r="AB47" i="1"/>
  <c r="O47" i="1"/>
  <c r="FO46" i="1"/>
  <c r="FB46" i="1"/>
  <c r="EO46" i="1"/>
  <c r="E24" i="3" s="1" a="1"/>
  <c r="E24" i="3" s="1"/>
  <c r="EB46" i="1"/>
  <c r="DO46" i="1"/>
  <c r="DB46" i="1"/>
  <c r="CO46" i="1"/>
  <c r="CB46" i="1"/>
  <c r="BO46" i="1"/>
  <c r="BB46" i="1"/>
  <c r="AO46" i="1"/>
  <c r="AB46" i="1"/>
  <c r="O46" i="1"/>
  <c r="FO45" i="1"/>
  <c r="FB45" i="1"/>
  <c r="EO45" i="1"/>
  <c r="E23" i="3" s="1" a="1"/>
  <c r="E23" i="3" s="1"/>
  <c r="EB45" i="1"/>
  <c r="DO45" i="1"/>
  <c r="DB45" i="1"/>
  <c r="CO45" i="1"/>
  <c r="CB45" i="1"/>
  <c r="BO45" i="1"/>
  <c r="BB45" i="1"/>
  <c r="AO45" i="1"/>
  <c r="AB45" i="1"/>
  <c r="O45" i="1"/>
  <c r="FO44" i="1"/>
  <c r="FB44" i="1"/>
  <c r="EO44" i="1"/>
  <c r="E22" i="3" s="1" a="1"/>
  <c r="E22" i="3" s="1"/>
  <c r="EB44" i="1"/>
  <c r="DO44" i="1"/>
  <c r="DB44" i="1"/>
  <c r="CO44" i="1"/>
  <c r="CB44" i="1"/>
  <c r="BO44" i="1"/>
  <c r="BB44" i="1"/>
  <c r="AO44" i="1"/>
  <c r="AB44" i="1"/>
  <c r="O44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N40" i="1"/>
  <c r="EM40" i="1"/>
  <c r="EL40" i="1"/>
  <c r="EK40" i="1"/>
  <c r="EJ40" i="1"/>
  <c r="EI40" i="1"/>
  <c r="EH40" i="1"/>
  <c r="EG40" i="1"/>
  <c r="EF40" i="1"/>
  <c r="EE40" i="1"/>
  <c r="ED40" i="1"/>
  <c r="EC40" i="1"/>
  <c r="EA40" i="1"/>
  <c r="DZ40" i="1"/>
  <c r="DY40" i="1"/>
  <c r="DX40" i="1"/>
  <c r="DW40" i="1"/>
  <c r="DV40" i="1"/>
  <c r="DU40" i="1"/>
  <c r="DT40" i="1"/>
  <c r="DS40" i="1"/>
  <c r="DR40" i="1"/>
  <c r="DQ40" i="1"/>
  <c r="DP40" i="1"/>
  <c r="DN40" i="1"/>
  <c r="DM40" i="1"/>
  <c r="DL40" i="1"/>
  <c r="DK40" i="1"/>
  <c r="DJ40" i="1"/>
  <c r="DI40" i="1"/>
  <c r="DH40" i="1"/>
  <c r="DG40" i="1"/>
  <c r="DF40" i="1"/>
  <c r="DE40" i="1"/>
  <c r="DD40" i="1"/>
  <c r="DC40" i="1"/>
  <c r="DA40" i="1"/>
  <c r="CZ40" i="1"/>
  <c r="CY40" i="1"/>
  <c r="CX40" i="1"/>
  <c r="CW40" i="1"/>
  <c r="CV40" i="1"/>
  <c r="CU40" i="1"/>
  <c r="CT40" i="1"/>
  <c r="CS40" i="1"/>
  <c r="CR40" i="1"/>
  <c r="CQ40" i="1"/>
  <c r="CP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N40" i="1"/>
  <c r="AM40" i="1"/>
  <c r="AL40" i="1"/>
  <c r="AK40" i="1"/>
  <c r="AJ40" i="1"/>
  <c r="AI40" i="1"/>
  <c r="AH40" i="1"/>
  <c r="AG40" i="1"/>
  <c r="AF40" i="1"/>
  <c r="AE40" i="1"/>
  <c r="AD40" i="1"/>
  <c r="AC40" i="1"/>
  <c r="AA40" i="1"/>
  <c r="Z40" i="1"/>
  <c r="Y40" i="1"/>
  <c r="X40" i="1"/>
  <c r="W40" i="1"/>
  <c r="V40" i="1"/>
  <c r="U40" i="1"/>
  <c r="T40" i="1"/>
  <c r="S40" i="1"/>
  <c r="R40" i="1"/>
  <c r="Q40" i="1"/>
  <c r="P40" i="1"/>
  <c r="N40" i="1"/>
  <c r="M40" i="1"/>
  <c r="L40" i="1"/>
  <c r="K40" i="1"/>
  <c r="J40" i="1"/>
  <c r="I40" i="1"/>
  <c r="H40" i="1"/>
  <c r="G40" i="1"/>
  <c r="F40" i="1"/>
  <c r="E40" i="1"/>
  <c r="D40" i="1"/>
  <c r="C40" i="1"/>
  <c r="FO39" i="1"/>
  <c r="FB39" i="1"/>
  <c r="EO39" i="1"/>
  <c r="EB39" i="1"/>
  <c r="DO39" i="1"/>
  <c r="DB39" i="1"/>
  <c r="CO39" i="1"/>
  <c r="CB39" i="1"/>
  <c r="BO39" i="1"/>
  <c r="BB39" i="1"/>
  <c r="AO39" i="1"/>
  <c r="AB39" i="1"/>
  <c r="O39" i="1"/>
  <c r="FO38" i="1"/>
  <c r="FB38" i="1"/>
  <c r="EO38" i="1"/>
  <c r="EB38" i="1"/>
  <c r="DO38" i="1"/>
  <c r="DB38" i="1"/>
  <c r="CO38" i="1"/>
  <c r="CB38" i="1"/>
  <c r="BO38" i="1"/>
  <c r="BB38" i="1"/>
  <c r="AO38" i="1"/>
  <c r="AB38" i="1"/>
  <c r="O38" i="1"/>
  <c r="FO37" i="1"/>
  <c r="FB37" i="1"/>
  <c r="EO37" i="1"/>
  <c r="EB37" i="1"/>
  <c r="DO37" i="1"/>
  <c r="DB37" i="1"/>
  <c r="CO37" i="1"/>
  <c r="CB37" i="1"/>
  <c r="BO37" i="1"/>
  <c r="BB37" i="1"/>
  <c r="AO37" i="1"/>
  <c r="AB37" i="1"/>
  <c r="O37" i="1"/>
  <c r="FO36" i="1"/>
  <c r="FB36" i="1"/>
  <c r="EO36" i="1"/>
  <c r="EB36" i="1"/>
  <c r="DO36" i="1"/>
  <c r="DB36" i="1"/>
  <c r="CO36" i="1"/>
  <c r="CB36" i="1"/>
  <c r="BO36" i="1"/>
  <c r="BB36" i="1"/>
  <c r="AO36" i="1"/>
  <c r="AB36" i="1"/>
  <c r="O36" i="1"/>
  <c r="FO35" i="1"/>
  <c r="FB35" i="1"/>
  <c r="EO35" i="1"/>
  <c r="EB35" i="1"/>
  <c r="DO35" i="1"/>
  <c r="DB35" i="1"/>
  <c r="CO35" i="1"/>
  <c r="CB35" i="1"/>
  <c r="BO35" i="1"/>
  <c r="BB35" i="1"/>
  <c r="AO35" i="1"/>
  <c r="AB35" i="1"/>
  <c r="O35" i="1"/>
  <c r="FO34" i="1"/>
  <c r="FB34" i="1"/>
  <c r="EO34" i="1"/>
  <c r="EB34" i="1"/>
  <c r="DO34" i="1"/>
  <c r="DB34" i="1"/>
  <c r="CO34" i="1"/>
  <c r="CB34" i="1"/>
  <c r="BO34" i="1"/>
  <c r="BB34" i="1"/>
  <c r="AO34" i="1"/>
  <c r="AB34" i="1"/>
  <c r="O34" i="1"/>
  <c r="FO33" i="1"/>
  <c r="FB33" i="1"/>
  <c r="EO33" i="1"/>
  <c r="EB33" i="1"/>
  <c r="DO33" i="1"/>
  <c r="DB33" i="1"/>
  <c r="CO33" i="1"/>
  <c r="CB33" i="1"/>
  <c r="BO33" i="1"/>
  <c r="BB33" i="1"/>
  <c r="AO33" i="1"/>
  <c r="AB33" i="1"/>
  <c r="O33" i="1"/>
  <c r="FO32" i="1"/>
  <c r="FB32" i="1"/>
  <c r="EO32" i="1"/>
  <c r="EB32" i="1"/>
  <c r="DO32" i="1"/>
  <c r="DB32" i="1"/>
  <c r="CO32" i="1"/>
  <c r="CB32" i="1"/>
  <c r="BO32" i="1"/>
  <c r="BB32" i="1"/>
  <c r="AO32" i="1"/>
  <c r="AB32" i="1"/>
  <c r="O32" i="1"/>
  <c r="FO31" i="1"/>
  <c r="FB31" i="1"/>
  <c r="EO31" i="1"/>
  <c r="EB31" i="1"/>
  <c r="DO31" i="1"/>
  <c r="DB31" i="1"/>
  <c r="CO31" i="1"/>
  <c r="CB31" i="1"/>
  <c r="BO31" i="1"/>
  <c r="BB31" i="1"/>
  <c r="AO31" i="1"/>
  <c r="AB31" i="1"/>
  <c r="O31" i="1"/>
  <c r="FO30" i="1"/>
  <c r="FB30" i="1"/>
  <c r="EO30" i="1"/>
  <c r="EB30" i="1"/>
  <c r="DO30" i="1"/>
  <c r="DB30" i="1"/>
  <c r="CO30" i="1"/>
  <c r="CB30" i="1"/>
  <c r="BO30" i="1"/>
  <c r="BB30" i="1"/>
  <c r="AO30" i="1"/>
  <c r="AB30" i="1"/>
  <c r="O30" i="1"/>
  <c r="FO29" i="1"/>
  <c r="FB29" i="1"/>
  <c r="EO29" i="1"/>
  <c r="EB29" i="1"/>
  <c r="DO29" i="1"/>
  <c r="DB29" i="1"/>
  <c r="CO29" i="1"/>
  <c r="CB29" i="1"/>
  <c r="BO29" i="1"/>
  <c r="BB29" i="1"/>
  <c r="AO29" i="1"/>
  <c r="AB29" i="1"/>
  <c r="O29" i="1"/>
  <c r="FO28" i="1"/>
  <c r="FB28" i="1"/>
  <c r="EO28" i="1"/>
  <c r="EB28" i="1"/>
  <c r="DO28" i="1"/>
  <c r="DB28" i="1"/>
  <c r="CO28" i="1"/>
  <c r="CB28" i="1"/>
  <c r="BO28" i="1"/>
  <c r="BB28" i="1"/>
  <c r="AO28" i="1"/>
  <c r="AB28" i="1"/>
  <c r="O28" i="1"/>
  <c r="FO27" i="1"/>
  <c r="FB27" i="1"/>
  <c r="EO27" i="1"/>
  <c r="EB27" i="1"/>
  <c r="DO27" i="1"/>
  <c r="DB27" i="1"/>
  <c r="CO27" i="1"/>
  <c r="CB27" i="1"/>
  <c r="BO27" i="1"/>
  <c r="BB27" i="1"/>
  <c r="AO27" i="1"/>
  <c r="AB27" i="1"/>
  <c r="O27" i="1"/>
  <c r="FO26" i="1"/>
  <c r="FB26" i="1"/>
  <c r="EO26" i="1"/>
  <c r="EB26" i="1"/>
  <c r="DO26" i="1"/>
  <c r="DB26" i="1"/>
  <c r="CO26" i="1"/>
  <c r="CB26" i="1"/>
  <c r="BO26" i="1"/>
  <c r="BB26" i="1"/>
  <c r="AO26" i="1"/>
  <c r="AB26" i="1"/>
  <c r="O26" i="1"/>
  <c r="FO25" i="1"/>
  <c r="FB25" i="1"/>
  <c r="EO25" i="1"/>
  <c r="EB25" i="1"/>
  <c r="DO25" i="1"/>
  <c r="DB25" i="1"/>
  <c r="CO25" i="1"/>
  <c r="CB25" i="1"/>
  <c r="BO25" i="1"/>
  <c r="BB25" i="1"/>
  <c r="AO25" i="1"/>
  <c r="AB25" i="1"/>
  <c r="O25" i="1"/>
  <c r="FO24" i="1"/>
  <c r="FB24" i="1"/>
  <c r="EO24" i="1"/>
  <c r="EB24" i="1"/>
  <c r="DO24" i="1"/>
  <c r="DB24" i="1"/>
  <c r="CO24" i="1"/>
  <c r="CB24" i="1"/>
  <c r="BO24" i="1"/>
  <c r="BB24" i="1"/>
  <c r="AO24" i="1"/>
  <c r="AB24" i="1"/>
  <c r="O24" i="1"/>
  <c r="FO23" i="1"/>
  <c r="FB23" i="1"/>
  <c r="EO23" i="1"/>
  <c r="EB23" i="1"/>
  <c r="DO23" i="1"/>
  <c r="DB23" i="1"/>
  <c r="CO23" i="1"/>
  <c r="CB23" i="1"/>
  <c r="BO23" i="1"/>
  <c r="BB23" i="1"/>
  <c r="AO23" i="1"/>
  <c r="AB23" i="1"/>
  <c r="O23" i="1"/>
  <c r="FO22" i="1"/>
  <c r="FB22" i="1"/>
  <c r="EO22" i="1"/>
  <c r="EB22" i="1"/>
  <c r="DO22" i="1"/>
  <c r="DB22" i="1"/>
  <c r="CO22" i="1"/>
  <c r="CB22" i="1"/>
  <c r="BO22" i="1"/>
  <c r="BB22" i="1"/>
  <c r="AO22" i="1"/>
  <c r="AB22" i="1"/>
  <c r="O22" i="1"/>
  <c r="FO21" i="1"/>
  <c r="FB21" i="1"/>
  <c r="EO21" i="1"/>
  <c r="EB21" i="1"/>
  <c r="DO21" i="1"/>
  <c r="DB21" i="1"/>
  <c r="CO21" i="1"/>
  <c r="CB21" i="1"/>
  <c r="BO21" i="1"/>
  <c r="BB21" i="1"/>
  <c r="AO21" i="1"/>
  <c r="AB21" i="1"/>
  <c r="O21" i="1"/>
  <c r="FO20" i="1"/>
  <c r="FB20" i="1"/>
  <c r="EO20" i="1"/>
  <c r="EB20" i="1"/>
  <c r="DO20" i="1"/>
  <c r="DB20" i="1"/>
  <c r="CO20" i="1"/>
  <c r="CB20" i="1"/>
  <c r="BO20" i="1"/>
  <c r="BB20" i="1"/>
  <c r="AO20" i="1"/>
  <c r="AB20" i="1"/>
  <c r="O20" i="1"/>
  <c r="FO19" i="1"/>
  <c r="FB19" i="1"/>
  <c r="EO19" i="1"/>
  <c r="EB19" i="1"/>
  <c r="DO19" i="1"/>
  <c r="DB19" i="1"/>
  <c r="CO19" i="1"/>
  <c r="CB19" i="1"/>
  <c r="BO19" i="1"/>
  <c r="BB19" i="1"/>
  <c r="AO19" i="1"/>
  <c r="AB19" i="1"/>
  <c r="O19" i="1"/>
  <c r="FO18" i="1"/>
  <c r="FB18" i="1"/>
  <c r="EO18" i="1"/>
  <c r="EB18" i="1"/>
  <c r="DO18" i="1"/>
  <c r="DB18" i="1"/>
  <c r="CO18" i="1"/>
  <c r="CB18" i="1"/>
  <c r="BO18" i="1"/>
  <c r="BB18" i="1"/>
  <c r="AO18" i="1"/>
  <c r="AB18" i="1"/>
  <c r="O18" i="1"/>
  <c r="FO17" i="1"/>
  <c r="FB17" i="1"/>
  <c r="EO17" i="1"/>
  <c r="EB17" i="1"/>
  <c r="DO17" i="1"/>
  <c r="DB17" i="1"/>
  <c r="CO17" i="1"/>
  <c r="CB17" i="1"/>
  <c r="BO17" i="1"/>
  <c r="BB17" i="1"/>
  <c r="AO17" i="1"/>
  <c r="AB17" i="1"/>
  <c r="O17" i="1"/>
  <c r="FO16" i="1"/>
  <c r="FB16" i="1"/>
  <c r="EO16" i="1"/>
  <c r="EB16" i="1"/>
  <c r="DO16" i="1"/>
  <c r="DB16" i="1"/>
  <c r="CO16" i="1"/>
  <c r="CB16" i="1"/>
  <c r="BO16" i="1"/>
  <c r="BB16" i="1"/>
  <c r="AO16" i="1"/>
  <c r="AB16" i="1"/>
  <c r="O16" i="1"/>
  <c r="FO15" i="1"/>
  <c r="FB15" i="1"/>
  <c r="EO15" i="1"/>
  <c r="EB15" i="1"/>
  <c r="DO15" i="1"/>
  <c r="DB15" i="1"/>
  <c r="CO15" i="1"/>
  <c r="CB15" i="1"/>
  <c r="BO15" i="1"/>
  <c r="BB15" i="1"/>
  <c r="AO15" i="1"/>
  <c r="AB15" i="1"/>
  <c r="O15" i="1"/>
  <c r="FO14" i="1"/>
  <c r="FB14" i="1"/>
  <c r="EO14" i="1"/>
  <c r="EB14" i="1"/>
  <c r="DO14" i="1"/>
  <c r="DB14" i="1"/>
  <c r="CO14" i="1"/>
  <c r="CB14" i="1"/>
  <c r="BO14" i="1"/>
  <c r="BB14" i="1"/>
  <c r="AO14" i="1"/>
  <c r="AB14" i="1"/>
  <c r="O14" i="1"/>
  <c r="FO13" i="1"/>
  <c r="FB13" i="1"/>
  <c r="EO13" i="1"/>
  <c r="EB13" i="1"/>
  <c r="DO13" i="1"/>
  <c r="DB13" i="1"/>
  <c r="CO13" i="1"/>
  <c r="CB13" i="1"/>
  <c r="BO13" i="1"/>
  <c r="BB13" i="1"/>
  <c r="AO13" i="1"/>
  <c r="AB13" i="1"/>
  <c r="O13" i="1"/>
  <c r="FO12" i="1"/>
  <c r="FB12" i="1"/>
  <c r="EO12" i="1"/>
  <c r="EB12" i="1"/>
  <c r="DO12" i="1"/>
  <c r="DB12" i="1"/>
  <c r="CO12" i="1"/>
  <c r="CB12" i="1"/>
  <c r="BO12" i="1"/>
  <c r="BB12" i="1"/>
  <c r="AO12" i="1"/>
  <c r="AB12" i="1"/>
  <c r="O12" i="1"/>
  <c r="FO11" i="1"/>
  <c r="FB11" i="1"/>
  <c r="EO11" i="1"/>
  <c r="EB11" i="1"/>
  <c r="DO11" i="1"/>
  <c r="DB11" i="1"/>
  <c r="CO11" i="1"/>
  <c r="CB11" i="1"/>
  <c r="BO11" i="1"/>
  <c r="BB11" i="1"/>
  <c r="AO11" i="1"/>
  <c r="AB11" i="1"/>
  <c r="O11" i="1"/>
  <c r="FO10" i="1"/>
  <c r="FB10" i="1"/>
  <c r="EO10" i="1"/>
  <c r="EB10" i="1"/>
  <c r="DO10" i="1"/>
  <c r="DB10" i="1"/>
  <c r="CO10" i="1"/>
  <c r="CB10" i="1"/>
  <c r="BO10" i="1"/>
  <c r="BB10" i="1"/>
  <c r="AO10" i="1"/>
  <c r="AB10" i="1"/>
  <c r="O10" i="1"/>
  <c r="FO9" i="1"/>
  <c r="FB9" i="1"/>
  <c r="EO9" i="1"/>
  <c r="EB9" i="1"/>
  <c r="DO9" i="1"/>
  <c r="DB9" i="1"/>
  <c r="CO9" i="1"/>
  <c r="CB9" i="1"/>
  <c r="BO9" i="1"/>
  <c r="BB9" i="1"/>
  <c r="AO9" i="1"/>
  <c r="AB9" i="1"/>
  <c r="O9" i="1"/>
  <c r="FO8" i="1"/>
  <c r="FB8" i="1"/>
  <c r="EO8" i="1"/>
  <c r="EB8" i="1"/>
  <c r="DO8" i="1"/>
  <c r="DB8" i="1"/>
  <c r="CO8" i="1"/>
  <c r="CB8" i="1"/>
  <c r="BO8" i="1"/>
  <c r="BB8" i="1"/>
  <c r="AO8" i="1"/>
  <c r="AB8" i="1"/>
  <c r="O8" i="1"/>
  <c r="I28" i="3" l="1"/>
  <c r="N112" i="2"/>
  <c r="O80" i="2"/>
  <c r="EB223" i="1"/>
  <c r="AB262" i="1"/>
  <c r="CB262" i="1"/>
  <c r="CB298" i="1"/>
  <c r="AP40" i="2"/>
  <c r="DA40" i="2"/>
  <c r="DB8" i="2"/>
  <c r="DB40" i="2" s="1"/>
  <c r="AB40" i="2"/>
  <c r="CV40" i="2"/>
  <c r="CB187" i="1"/>
  <c r="BO187" i="1"/>
  <c r="BB187" i="1"/>
  <c r="AO187" i="1"/>
  <c r="CO262" i="1"/>
  <c r="I29" i="3"/>
  <c r="EB334" i="1"/>
  <c r="D47" i="3" a="1"/>
  <c r="D47" i="3" s="1"/>
  <c r="BC40" i="2"/>
  <c r="CB8" i="2"/>
  <c r="CB40" i="2" s="1"/>
  <c r="DZ40" i="2"/>
  <c r="AZ76" i="2"/>
  <c r="BP112" i="2"/>
  <c r="DZ112" i="2"/>
  <c r="EL112" i="2"/>
  <c r="E112" i="2"/>
  <c r="AO151" i="1"/>
  <c r="AB151" i="1"/>
  <c r="FO151" i="1"/>
  <c r="FB151" i="1"/>
  <c r="CO187" i="1"/>
  <c r="H40" i="3"/>
  <c r="BB223" i="1"/>
  <c r="AO223" i="1"/>
  <c r="AO262" i="1"/>
  <c r="CO298" i="1"/>
  <c r="M46" i="3" a="1"/>
  <c r="M46" i="3" s="1"/>
  <c r="E47" i="3" a="1"/>
  <c r="E47" i="3" s="1"/>
  <c r="DC40" i="2"/>
  <c r="EN40" i="2"/>
  <c r="EZ40" i="2"/>
  <c r="P76" i="2"/>
  <c r="Q112" i="2"/>
  <c r="AD112" i="2"/>
  <c r="BD112" i="2"/>
  <c r="CD112" i="2"/>
  <c r="CP112" i="2"/>
  <c r="DO80" i="2"/>
  <c r="DN112" i="2"/>
  <c r="EZ112" i="2"/>
  <c r="CE151" i="2"/>
  <c r="CQ151" i="2"/>
  <c r="J32" i="3"/>
  <c r="FB187" i="1"/>
  <c r="FB223" i="1"/>
  <c r="AR40" i="2"/>
  <c r="DD40" i="2"/>
  <c r="AR112" i="2"/>
  <c r="EN112" i="2"/>
  <c r="EO80" i="2"/>
  <c r="EO112" i="2" s="1"/>
  <c r="DO76" i="1"/>
  <c r="DB76" i="1"/>
  <c r="CO76" i="1"/>
  <c r="CB76" i="1"/>
  <c r="BO76" i="1"/>
  <c r="D57" i="3" s="1"/>
  <c r="O112" i="1"/>
  <c r="FO112" i="1"/>
  <c r="BO151" i="1"/>
  <c r="C57" i="3" s="1"/>
  <c r="O151" i="1"/>
  <c r="EB151" i="1"/>
  <c r="DO151" i="1"/>
  <c r="DO187" i="1"/>
  <c r="FO223" i="1"/>
  <c r="BO262" i="1"/>
  <c r="BB262" i="1"/>
  <c r="K45" i="3" a="1"/>
  <c r="K45" i="3" s="1"/>
  <c r="G40" i="2"/>
  <c r="AF40" i="2"/>
  <c r="AS40" i="2"/>
  <c r="BF40" i="2"/>
  <c r="BS40" i="2"/>
  <c r="CR40" i="2"/>
  <c r="DE40" i="2"/>
  <c r="DQ40" i="2"/>
  <c r="ED40" i="2"/>
  <c r="AF112" i="2"/>
  <c r="FO187" i="1"/>
  <c r="DB298" i="1"/>
  <c r="BE40" i="2"/>
  <c r="AB40" i="1"/>
  <c r="U40" i="2"/>
  <c r="BT40" i="2"/>
  <c r="D40" i="2"/>
  <c r="FB112" i="1"/>
  <c r="DB187" i="1"/>
  <c r="O187" i="1"/>
  <c r="AE40" i="2"/>
  <c r="DP40" i="2"/>
  <c r="BB40" i="1"/>
  <c r="EB76" i="1"/>
  <c r="CF40" i="2"/>
  <c r="CO40" i="1"/>
  <c r="E40" i="3"/>
  <c r="BB76" i="1"/>
  <c r="AO76" i="1"/>
  <c r="AO112" i="1"/>
  <c r="EB187" i="1"/>
  <c r="AO334" i="1"/>
  <c r="I40" i="2"/>
  <c r="EF40" i="2"/>
  <c r="BP40" i="2"/>
  <c r="FG40" i="2"/>
  <c r="S40" i="2"/>
  <c r="CZ223" i="2"/>
  <c r="CS40" i="2"/>
  <c r="O40" i="1"/>
  <c r="C53" i="3" s="1"/>
  <c r="FB76" i="1"/>
  <c r="DB151" i="1"/>
  <c r="CO151" i="1"/>
  <c r="DB262" i="1"/>
  <c r="FB298" i="1"/>
  <c r="J40" i="2"/>
  <c r="W40" i="2"/>
  <c r="AV40" i="2"/>
  <c r="BI40" i="2"/>
  <c r="CD40" i="2"/>
  <c r="FH40" i="2"/>
  <c r="AR76" i="2"/>
  <c r="BD76" i="2"/>
  <c r="BQ76" i="2"/>
  <c r="ED76" i="2"/>
  <c r="EP76" i="2"/>
  <c r="CJ151" i="2"/>
  <c r="CV151" i="2"/>
  <c r="DV151" i="2"/>
  <c r="EH151" i="2"/>
  <c r="ET151" i="2"/>
  <c r="AD223" i="2"/>
  <c r="CN223" i="2"/>
  <c r="CO191" i="2"/>
  <c r="CO223" i="2" s="1"/>
  <c r="J45" i="3" a="1"/>
  <c r="J45" i="3" s="1"/>
  <c r="EC40" i="2"/>
  <c r="BO40" i="1"/>
  <c r="CB151" i="1"/>
  <c r="FB40" i="1"/>
  <c r="DO40" i="1"/>
  <c r="BO112" i="1"/>
  <c r="BB112" i="1"/>
  <c r="BO223" i="1"/>
  <c r="DO262" i="1"/>
  <c r="K40" i="2"/>
  <c r="S76" i="2"/>
  <c r="AF76" i="2"/>
  <c r="AS76" i="2"/>
  <c r="BE76" i="2"/>
  <c r="DR76" i="2"/>
  <c r="FD76" i="2"/>
  <c r="C65" i="3"/>
  <c r="D61" i="3"/>
  <c r="BB151" i="1"/>
  <c r="N46" i="3" a="1"/>
  <c r="N46" i="3" s="1"/>
  <c r="BR40" i="2"/>
  <c r="CB112" i="1"/>
  <c r="AB223" i="1"/>
  <c r="E54" i="3" s="1"/>
  <c r="I55" i="3" s="1"/>
  <c r="AG40" i="2"/>
  <c r="DB40" i="1"/>
  <c r="FO40" i="1"/>
  <c r="AB76" i="1"/>
  <c r="O76" i="1"/>
  <c r="FO76" i="1"/>
  <c r="CB334" i="1"/>
  <c r="BO334" i="1"/>
  <c r="BB334" i="1"/>
  <c r="G76" i="2"/>
  <c r="T76" i="2"/>
  <c r="CT76" i="2"/>
  <c r="DF76" i="2"/>
  <c r="DO112" i="1"/>
  <c r="CQ40" i="2"/>
  <c r="CB40" i="1"/>
  <c r="CO112" i="1"/>
  <c r="EB40" i="1"/>
  <c r="AB187" i="1"/>
  <c r="AO298" i="1"/>
  <c r="D55" i="3" s="1"/>
  <c r="AB298" i="1"/>
  <c r="O298" i="1"/>
  <c r="D53" i="3" s="1"/>
  <c r="FO298" i="1"/>
  <c r="D65" i="3" s="1"/>
  <c r="G65" i="3" s="1"/>
  <c r="CO334" i="1"/>
  <c r="H76" i="2"/>
  <c r="BL112" i="2"/>
  <c r="CL112" i="2"/>
  <c r="CX112" i="2"/>
  <c r="DJ112" i="2"/>
  <c r="H187" i="2"/>
  <c r="AG187" i="2"/>
  <c r="AT187" i="2"/>
  <c r="D62" i="3"/>
  <c r="EB112" i="1"/>
  <c r="FA40" i="2"/>
  <c r="AO40" i="1"/>
  <c r="AB112" i="1"/>
  <c r="O223" i="1"/>
  <c r="AB334" i="1"/>
  <c r="H40" i="2"/>
  <c r="AT40" i="2"/>
  <c r="EO40" i="1"/>
  <c r="D15" i="3" s="1" a="1"/>
  <c r="D15" i="3" s="1"/>
  <c r="EO151" i="1"/>
  <c r="D16" i="3" s="1" a="1"/>
  <c r="D16" i="3" s="1"/>
  <c r="FB262" i="1"/>
  <c r="EO262" i="1"/>
  <c r="EB262" i="1"/>
  <c r="BB298" i="1"/>
  <c r="D56" i="3" s="1"/>
  <c r="DB334" i="1"/>
  <c r="O334" i="1"/>
  <c r="FO334" i="1"/>
  <c r="FB334" i="1"/>
  <c r="J31" i="3"/>
  <c r="DX40" i="2"/>
  <c r="EK40" i="2"/>
  <c r="EW40" i="2"/>
  <c r="CH76" i="2"/>
  <c r="Z112" i="2"/>
  <c r="AZ112" i="2"/>
  <c r="BY112" i="2"/>
  <c r="DF187" i="2"/>
  <c r="C112" i="2"/>
  <c r="AN112" i="2"/>
  <c r="BZ112" i="2"/>
  <c r="DX112" i="2"/>
  <c r="EJ112" i="2"/>
  <c r="EV112" i="2"/>
  <c r="EU112" i="2"/>
  <c r="EW112" i="2"/>
  <c r="S151" i="2"/>
  <c r="BS151" i="2"/>
  <c r="BR187" i="2"/>
  <c r="CQ187" i="2"/>
  <c r="DC187" i="2"/>
  <c r="EA187" i="2"/>
  <c r="F223" i="2"/>
  <c r="R223" i="2"/>
  <c r="BD223" i="2"/>
  <c r="BP223" i="2"/>
  <c r="R40" i="2"/>
  <c r="AD40" i="2"/>
  <c r="AQ40" i="2"/>
  <c r="BD40" i="2"/>
  <c r="BQ40" i="2"/>
  <c r="CC40" i="2"/>
  <c r="CP40" i="2"/>
  <c r="DN40" i="2"/>
  <c r="EM40" i="2"/>
  <c r="EY40" i="2"/>
  <c r="ER40" i="2"/>
  <c r="T40" i="2"/>
  <c r="D112" i="2"/>
  <c r="P112" i="2"/>
  <c r="AP112" i="2"/>
  <c r="CN112" i="2"/>
  <c r="CZ112" i="2"/>
  <c r="DL112" i="2"/>
  <c r="CK112" i="2"/>
  <c r="DF151" i="2"/>
  <c r="G187" i="2"/>
  <c r="T187" i="2"/>
  <c r="AF187" i="2"/>
  <c r="BF187" i="2"/>
  <c r="BS187" i="2"/>
  <c r="CE187" i="2"/>
  <c r="G223" i="2"/>
  <c r="S223" i="2"/>
  <c r="AN334" i="2"/>
  <c r="AO302" i="2"/>
  <c r="AO334" i="2" s="1"/>
  <c r="BO334" i="2"/>
  <c r="V40" i="2"/>
  <c r="AU40" i="2"/>
  <c r="BH40" i="2"/>
  <c r="BU40" i="2"/>
  <c r="CG40" i="2"/>
  <c r="CT40" i="2"/>
  <c r="DF40" i="2"/>
  <c r="DR40" i="2"/>
  <c r="FD40" i="2"/>
  <c r="CE40" i="2"/>
  <c r="Y76" i="2"/>
  <c r="AK76" i="2"/>
  <c r="AX76" i="2"/>
  <c r="BJ76" i="2"/>
  <c r="BV76" i="2"/>
  <c r="DT76" i="2"/>
  <c r="EF76" i="2"/>
  <c r="ER76" i="2"/>
  <c r="H112" i="2"/>
  <c r="T112" i="2"/>
  <c r="AT112" i="2"/>
  <c r="BF112" i="2"/>
  <c r="CF112" i="2"/>
  <c r="CR112" i="2"/>
  <c r="DD112" i="2"/>
  <c r="DQ112" i="2"/>
  <c r="EC112" i="2"/>
  <c r="S112" i="2"/>
  <c r="AE112" i="2"/>
  <c r="CY112" i="2"/>
  <c r="AX151" i="2"/>
  <c r="BK151" i="2"/>
  <c r="BX151" i="2"/>
  <c r="BS262" i="2"/>
  <c r="CE262" i="2"/>
  <c r="M76" i="2"/>
  <c r="Z76" i="2"/>
  <c r="AL76" i="2"/>
  <c r="CJ76" i="2"/>
  <c r="CV76" i="2"/>
  <c r="DH76" i="2"/>
  <c r="AH112" i="2"/>
  <c r="ED112" i="2"/>
  <c r="EP112" i="2"/>
  <c r="BK112" i="2"/>
  <c r="Y151" i="2"/>
  <c r="AL151" i="2"/>
  <c r="X40" i="2"/>
  <c r="AJ40" i="2"/>
  <c r="AW40" i="2"/>
  <c r="DH40" i="2"/>
  <c r="DT40" i="2"/>
  <c r="FF40" i="2"/>
  <c r="EJ76" i="2"/>
  <c r="EW76" i="2"/>
  <c r="FI76" i="2"/>
  <c r="BL76" i="2"/>
  <c r="BX76" i="2"/>
  <c r="J112" i="2"/>
  <c r="V112" i="2"/>
  <c r="AV112" i="2"/>
  <c r="BH112" i="2"/>
  <c r="CH112" i="2"/>
  <c r="CT112" i="2"/>
  <c r="DF112" i="2"/>
  <c r="FD112" i="2"/>
  <c r="M151" i="2"/>
  <c r="L40" i="2"/>
  <c r="Y40" i="2"/>
  <c r="AK40" i="2"/>
  <c r="BX40" i="2"/>
  <c r="CJ40" i="2"/>
  <c r="EH40" i="2"/>
  <c r="ET40" i="2"/>
  <c r="AH40" i="2"/>
  <c r="DL76" i="2"/>
  <c r="DX76" i="2"/>
  <c r="EX76" i="2"/>
  <c r="AJ112" i="2"/>
  <c r="AW112" i="2"/>
  <c r="BI112" i="2"/>
  <c r="BV112" i="2"/>
  <c r="DT112" i="2"/>
  <c r="ER112" i="2"/>
  <c r="AG112" i="2"/>
  <c r="AS112" i="2"/>
  <c r="EL151" i="2"/>
  <c r="BD187" i="2"/>
  <c r="M40" i="2"/>
  <c r="BL40" i="2"/>
  <c r="CX40" i="2"/>
  <c r="DJ40" i="2"/>
  <c r="DV40" i="2"/>
  <c r="EI40" i="2"/>
  <c r="EU40" i="2"/>
  <c r="AZ40" i="2"/>
  <c r="AI40" i="2"/>
  <c r="CZ76" i="2"/>
  <c r="D76" i="2"/>
  <c r="N76" i="2"/>
  <c r="L112" i="2"/>
  <c r="X112" i="2"/>
  <c r="AX112" i="2"/>
  <c r="BJ112" i="2"/>
  <c r="BW112" i="2"/>
  <c r="CJ112" i="2"/>
  <c r="CV112" i="2"/>
  <c r="DH112" i="2"/>
  <c r="FF112" i="2"/>
  <c r="BZ40" i="2"/>
  <c r="CL40" i="2"/>
  <c r="CY40" i="2"/>
  <c r="DW40" i="2"/>
  <c r="EJ40" i="2"/>
  <c r="EV40" i="2"/>
  <c r="FI40" i="2"/>
  <c r="DL40" i="2"/>
  <c r="BP76" i="2"/>
  <c r="CN76" i="2"/>
  <c r="AL112" i="2"/>
  <c r="BX112" i="2"/>
  <c r="DV112" i="2"/>
  <c r="EH112" i="2"/>
  <c r="ET112" i="2"/>
  <c r="I151" i="2"/>
  <c r="U151" i="2"/>
  <c r="BG151" i="2"/>
  <c r="BT151" i="2"/>
  <c r="CF151" i="2"/>
  <c r="CR151" i="2"/>
  <c r="DE151" i="2"/>
  <c r="DR151" i="2"/>
  <c r="ED151" i="2"/>
  <c r="EP151" i="2"/>
  <c r="FC151" i="2"/>
  <c r="V187" i="2"/>
  <c r="AH187" i="2"/>
  <c r="AU187" i="2"/>
  <c r="BG187" i="2"/>
  <c r="CS187" i="2"/>
  <c r="DE187" i="2"/>
  <c r="EX187" i="2"/>
  <c r="H223" i="2"/>
  <c r="AS223" i="2"/>
  <c r="BE223" i="2"/>
  <c r="BQ223" i="2"/>
  <c r="EM262" i="2"/>
  <c r="BP298" i="2"/>
  <c r="K151" i="2"/>
  <c r="W151" i="2"/>
  <c r="BV151" i="2"/>
  <c r="CH151" i="2"/>
  <c r="CT151" i="2"/>
  <c r="DG151" i="2"/>
  <c r="K187" i="2"/>
  <c r="AW187" i="2"/>
  <c r="BI187" i="2"/>
  <c r="FC223" i="2"/>
  <c r="EC223" i="2"/>
  <c r="AE334" i="2"/>
  <c r="CE334" i="2"/>
  <c r="BJ151" i="2"/>
  <c r="FE187" i="2"/>
  <c r="EQ223" i="2"/>
  <c r="CQ262" i="2"/>
  <c r="DC262" i="2"/>
  <c r="EH187" i="2"/>
  <c r="ET187" i="2"/>
  <c r="J187" i="2"/>
  <c r="BI223" i="2"/>
  <c r="EF223" i="2"/>
  <c r="ER223" i="2"/>
  <c r="H334" i="2"/>
  <c r="Z151" i="2"/>
  <c r="AM151" i="2"/>
  <c r="AY151" i="2"/>
  <c r="DW151" i="2"/>
  <c r="EI151" i="2"/>
  <c r="EU151" i="2"/>
  <c r="FH151" i="2"/>
  <c r="BY187" i="2"/>
  <c r="CK187" i="2"/>
  <c r="DX187" i="2"/>
  <c r="FF223" i="2"/>
  <c r="ET334" i="2"/>
  <c r="C151" i="2"/>
  <c r="AA151" i="2"/>
  <c r="BZ151" i="2"/>
  <c r="CL151" i="2"/>
  <c r="CX151" i="2"/>
  <c r="DK151" i="2"/>
  <c r="DX151" i="2"/>
  <c r="EJ151" i="2"/>
  <c r="EV151" i="2"/>
  <c r="C187" i="2"/>
  <c r="P187" i="2"/>
  <c r="BA187" i="2"/>
  <c r="BM187" i="2"/>
  <c r="BZ187" i="2"/>
  <c r="CL187" i="2"/>
  <c r="EJ187" i="2"/>
  <c r="EV187" i="2"/>
  <c r="FH187" i="2"/>
  <c r="BK223" i="2"/>
  <c r="BW223" i="2"/>
  <c r="EH223" i="2"/>
  <c r="ET223" i="2"/>
  <c r="FG223" i="2"/>
  <c r="AW223" i="2"/>
  <c r="EG298" i="2"/>
  <c r="FH298" i="2"/>
  <c r="CC151" i="2"/>
  <c r="BB155" i="2"/>
  <c r="CZ187" i="2"/>
  <c r="DL187" i="2"/>
  <c r="C223" i="2"/>
  <c r="O223" i="2"/>
  <c r="AA223" i="2"/>
  <c r="AM223" i="2"/>
  <c r="DJ223" i="2"/>
  <c r="DV223" i="2"/>
  <c r="EI223" i="2"/>
  <c r="EU223" i="2"/>
  <c r="FH223" i="2"/>
  <c r="DQ223" i="2"/>
  <c r="L262" i="2"/>
  <c r="W262" i="2"/>
  <c r="AI262" i="2"/>
  <c r="BP187" i="2"/>
  <c r="CN187" i="2"/>
  <c r="EL187" i="2"/>
  <c r="CD187" i="2"/>
  <c r="AB191" i="2"/>
  <c r="CL223" i="2"/>
  <c r="CX223" i="2"/>
  <c r="EJ223" i="2"/>
  <c r="EV223" i="2"/>
  <c r="AE151" i="2"/>
  <c r="AQ151" i="2"/>
  <c r="BQ151" i="2"/>
  <c r="AR187" i="2"/>
  <c r="CP187" i="2"/>
  <c r="DB187" i="2"/>
  <c r="DN187" i="2"/>
  <c r="DZ187" i="2"/>
  <c r="EM187" i="2"/>
  <c r="EY187" i="2"/>
  <c r="AP223" i="2"/>
  <c r="BN223" i="2"/>
  <c r="BZ223" i="2"/>
  <c r="CM223" i="2"/>
  <c r="EK223" i="2"/>
  <c r="EW223" i="2"/>
  <c r="CL334" i="2"/>
  <c r="AU262" i="2"/>
  <c r="R298" i="2"/>
  <c r="D334" i="2"/>
  <c r="Q334" i="2"/>
  <c r="AC334" i="2"/>
  <c r="CZ334" i="2"/>
  <c r="F334" i="2"/>
  <c r="AP334" i="2"/>
  <c r="DF262" i="2"/>
  <c r="DR262" i="2"/>
  <c r="ES298" i="2"/>
  <c r="FE298" i="2"/>
  <c r="E334" i="2"/>
  <c r="R334" i="2"/>
  <c r="AD334" i="2"/>
  <c r="BC334" i="2"/>
  <c r="CN334" i="2"/>
  <c r="EM334" i="2"/>
  <c r="EY334" i="2"/>
  <c r="BP334" i="2"/>
  <c r="AX262" i="2"/>
  <c r="DI298" i="2"/>
  <c r="DU298" i="2"/>
  <c r="G334" i="2"/>
  <c r="AF334" i="2"/>
  <c r="Z262" i="2"/>
  <c r="AC298" i="2"/>
  <c r="BA298" i="2"/>
  <c r="EJ298" i="2"/>
  <c r="BA262" i="2"/>
  <c r="E298" i="2"/>
  <c r="Q298" i="2"/>
  <c r="CN298" i="2"/>
  <c r="CZ298" i="2"/>
  <c r="DX298" i="2"/>
  <c r="EK298" i="2"/>
  <c r="FF298" i="2"/>
  <c r="W334" i="2"/>
  <c r="AI334" i="2"/>
  <c r="AU334" i="2"/>
  <c r="FE334" i="2"/>
  <c r="DJ334" i="2"/>
  <c r="AC262" i="2"/>
  <c r="F298" i="2"/>
  <c r="BD298" i="2"/>
  <c r="CC298" i="2"/>
  <c r="CO266" i="2"/>
  <c r="DA298" i="2"/>
  <c r="DM298" i="2"/>
  <c r="DY298" i="2"/>
  <c r="K334" i="2"/>
  <c r="DH334" i="2"/>
  <c r="EG334" i="2"/>
  <c r="ES334" i="2"/>
  <c r="FF334" i="2"/>
  <c r="Q262" i="2"/>
  <c r="AR298" i="2"/>
  <c r="BQ298" i="2"/>
  <c r="DB266" i="2"/>
  <c r="DJ298" i="2"/>
  <c r="CV334" i="2"/>
  <c r="DI334" i="2"/>
  <c r="DU334" i="2"/>
  <c r="E262" i="2"/>
  <c r="CJ334" i="2"/>
  <c r="CW334" i="2"/>
  <c r="DV334" i="2"/>
  <c r="EI334" i="2"/>
  <c r="FH334" i="2"/>
  <c r="BZ334" i="2"/>
  <c r="AH298" i="2"/>
  <c r="BG298" i="2"/>
  <c r="BS298" i="2"/>
  <c r="T298" i="2"/>
  <c r="BL334" i="2"/>
  <c r="BX334" i="2"/>
  <c r="CK334" i="2"/>
  <c r="CX334" i="2"/>
  <c r="DW334" i="2"/>
  <c r="EV334" i="2"/>
  <c r="D54" i="3"/>
  <c r="C64" i="3"/>
  <c r="D14" i="3" a="1"/>
  <c r="D14" i="3" s="1"/>
  <c r="D17" i="3" s="1"/>
  <c r="B7" i="3" s="1"/>
  <c r="C63" i="3"/>
  <c r="O45" i="3" a="1"/>
  <c r="O45" i="3" s="1"/>
  <c r="C62" i="3"/>
  <c r="E60" i="3"/>
  <c r="E53" i="3"/>
  <c r="E65" i="3"/>
  <c r="E64" i="3"/>
  <c r="O40" i="2"/>
  <c r="DB76" i="2"/>
  <c r="H62" i="3"/>
  <c r="E61" i="3"/>
  <c r="C54" i="3"/>
  <c r="C59" i="3"/>
  <c r="C58" i="3"/>
  <c r="D58" i="3"/>
  <c r="E62" i="3"/>
  <c r="F62" i="3" s="1"/>
  <c r="CO40" i="2"/>
  <c r="D60" i="3"/>
  <c r="DO40" i="2"/>
  <c r="EB40" i="2"/>
  <c r="C56" i="3"/>
  <c r="EO40" i="2"/>
  <c r="D59" i="3"/>
  <c r="E55" i="3"/>
  <c r="C55" i="3"/>
  <c r="C60" i="3"/>
  <c r="D64" i="3"/>
  <c r="C61" i="3"/>
  <c r="E58" i="3"/>
  <c r="E57" i="3"/>
  <c r="I58" i="3" s="1"/>
  <c r="E56" i="3"/>
  <c r="G53" i="3"/>
  <c r="F53" i="3"/>
  <c r="H54" i="3"/>
  <c r="E59" i="3"/>
  <c r="I60" i="3" s="1"/>
  <c r="CO44" i="2"/>
  <c r="CO76" i="2" s="1"/>
  <c r="DE112" i="2"/>
  <c r="DA112" i="2"/>
  <c r="L45" i="3" a="1"/>
  <c r="L45" i="3" s="1"/>
  <c r="I30" i="3"/>
  <c r="C46" i="3" a="1"/>
  <c r="C46" i="3" s="1"/>
  <c r="EO298" i="1"/>
  <c r="J33" i="3"/>
  <c r="F47" i="3" a="1"/>
  <c r="F47" i="3" s="1"/>
  <c r="C40" i="2"/>
  <c r="AA40" i="2"/>
  <c r="AM40" i="2"/>
  <c r="AY40" i="2"/>
  <c r="BK40" i="2"/>
  <c r="BW40" i="2"/>
  <c r="CI40" i="2"/>
  <c r="CU40" i="2"/>
  <c r="DG40" i="2"/>
  <c r="DS40" i="2"/>
  <c r="EE40" i="2"/>
  <c r="EQ40" i="2"/>
  <c r="FC40" i="2"/>
  <c r="I76" i="2"/>
  <c r="U76" i="2"/>
  <c r="AH76" i="2"/>
  <c r="AT76" i="2"/>
  <c r="BF76" i="2"/>
  <c r="BR76" i="2"/>
  <c r="CD76" i="2"/>
  <c r="CP76" i="2"/>
  <c r="DN76" i="2"/>
  <c r="DZ76" i="2"/>
  <c r="EL76" i="2"/>
  <c r="EY76" i="2"/>
  <c r="BU112" i="2"/>
  <c r="DS112" i="2"/>
  <c r="EE112" i="2"/>
  <c r="EQ112" i="2"/>
  <c r="CH40" i="2"/>
  <c r="O52" i="2"/>
  <c r="FC112" i="2"/>
  <c r="G40" i="3"/>
  <c r="M45" i="3" a="1"/>
  <c r="M45" i="3" s="1"/>
  <c r="I31" i="3"/>
  <c r="D46" i="3" a="1"/>
  <c r="D46" i="3" s="1"/>
  <c r="D48" i="3" s="1"/>
  <c r="D40" i="3"/>
  <c r="J22" i="3"/>
  <c r="J34" i="3"/>
  <c r="G47" i="3" a="1"/>
  <c r="G47" i="3" s="1"/>
  <c r="J76" i="2"/>
  <c r="V76" i="2"/>
  <c r="AI76" i="2"/>
  <c r="AU76" i="2"/>
  <c r="BG76" i="2"/>
  <c r="BS76" i="2"/>
  <c r="CE76" i="2"/>
  <c r="CQ76" i="2"/>
  <c r="DC76" i="2"/>
  <c r="DO76" i="2"/>
  <c r="EA76" i="2"/>
  <c r="EM76" i="2"/>
  <c r="EZ76" i="2"/>
  <c r="CI112" i="2"/>
  <c r="CU112" i="2"/>
  <c r="DG112" i="2"/>
  <c r="FE112" i="2"/>
  <c r="AX40" i="2"/>
  <c r="DA76" i="2"/>
  <c r="N45" i="3" a="1"/>
  <c r="N45" i="3" s="1"/>
  <c r="I32" i="3"/>
  <c r="E46" i="3" a="1"/>
  <c r="E46" i="3" s="1"/>
  <c r="E48" i="3" s="1"/>
  <c r="J23" i="3"/>
  <c r="J35" i="3"/>
  <c r="H47" i="3" a="1"/>
  <c r="H47" i="3" s="1"/>
  <c r="E40" i="2"/>
  <c r="Q40" i="2"/>
  <c r="AC40" i="2"/>
  <c r="AO8" i="2"/>
  <c r="AO40" i="2" s="1"/>
  <c r="BA40" i="2"/>
  <c r="BM40" i="2"/>
  <c r="BY40" i="2"/>
  <c r="CK40" i="2"/>
  <c r="CW40" i="2"/>
  <c r="DI40" i="2"/>
  <c r="DU40" i="2"/>
  <c r="EG40" i="2"/>
  <c r="ES40" i="2"/>
  <c r="FE40" i="2"/>
  <c r="K76" i="2"/>
  <c r="W76" i="2"/>
  <c r="AJ76" i="2"/>
  <c r="AV76" i="2"/>
  <c r="BH76" i="2"/>
  <c r="BT76" i="2"/>
  <c r="CF76" i="2"/>
  <c r="CR76" i="2"/>
  <c r="DD76" i="2"/>
  <c r="DP76" i="2"/>
  <c r="EB44" i="2"/>
  <c r="EB76" i="2" s="1"/>
  <c r="EN76" i="2"/>
  <c r="EO44" i="2"/>
  <c r="EO76" i="2" s="1"/>
  <c r="AK112" i="2"/>
  <c r="DU112" i="2"/>
  <c r="EG112" i="2"/>
  <c r="ES112" i="2"/>
  <c r="CB76" i="2"/>
  <c r="EO112" i="1"/>
  <c r="F15" i="3" s="1" a="1"/>
  <c r="F15" i="3" s="1"/>
  <c r="C45" i="3" a="1"/>
  <c r="C45" i="3" s="1"/>
  <c r="I33" i="3"/>
  <c r="F46" i="3" a="1"/>
  <c r="F46" i="3" s="1"/>
  <c r="F48" i="3" s="1"/>
  <c r="J24" i="3"/>
  <c r="J36" i="3"/>
  <c r="I47" i="3" a="1"/>
  <c r="I47" i="3" s="1"/>
  <c r="BB8" i="2"/>
  <c r="BB40" i="2" s="1"/>
  <c r="L76" i="2"/>
  <c r="X76" i="2"/>
  <c r="AN76" i="2"/>
  <c r="M112" i="2"/>
  <c r="Y112" i="2"/>
  <c r="AY112" i="2"/>
  <c r="CW112" i="2"/>
  <c r="DI112" i="2"/>
  <c r="FG112" i="2"/>
  <c r="BE151" i="2"/>
  <c r="FA112" i="2"/>
  <c r="FB80" i="2"/>
  <c r="FB112" i="2" s="1"/>
  <c r="BV40" i="2"/>
  <c r="FB8" i="2"/>
  <c r="FB40" i="2" s="1"/>
  <c r="CC76" i="2"/>
  <c r="CG112" i="2"/>
  <c r="D45" i="3" a="1"/>
  <c r="D45" i="3" s="1"/>
  <c r="C40" i="3"/>
  <c r="I22" i="3"/>
  <c r="I34" i="3"/>
  <c r="G46" i="3" a="1"/>
  <c r="G46" i="3" s="1"/>
  <c r="G48" i="3" s="1"/>
  <c r="J25" i="3"/>
  <c r="J37" i="3"/>
  <c r="J47" i="3" a="1"/>
  <c r="J47" i="3" s="1"/>
  <c r="BO8" i="2"/>
  <c r="BO40" i="2" s="1"/>
  <c r="EQ76" i="2"/>
  <c r="FC76" i="2"/>
  <c r="AM112" i="2"/>
  <c r="DW112" i="2"/>
  <c r="EI112" i="2"/>
  <c r="AG151" i="2"/>
  <c r="AS151" i="2"/>
  <c r="CP151" i="2"/>
  <c r="AL40" i="2"/>
  <c r="DM76" i="2"/>
  <c r="FO44" i="2"/>
  <c r="FO76" i="2" s="1"/>
  <c r="I112" i="2"/>
  <c r="E45" i="3" a="1"/>
  <c r="E45" i="3" s="1"/>
  <c r="I23" i="3"/>
  <c r="I35" i="3"/>
  <c r="H46" i="3" a="1"/>
  <c r="H46" i="3" s="1"/>
  <c r="J26" i="3"/>
  <c r="J38" i="3"/>
  <c r="K47" i="3" a="1"/>
  <c r="K47" i="3" s="1"/>
  <c r="CN40" i="2"/>
  <c r="AM76" i="2"/>
  <c r="AY76" i="2"/>
  <c r="BK76" i="2"/>
  <c r="BW76" i="2"/>
  <c r="CI76" i="2"/>
  <c r="CU76" i="2"/>
  <c r="DG76" i="2"/>
  <c r="DS76" i="2"/>
  <c r="EE76" i="2"/>
  <c r="O112" i="2"/>
  <c r="AA112" i="2"/>
  <c r="AB80" i="2"/>
  <c r="AB112" i="2" s="1"/>
  <c r="BA112" i="2"/>
  <c r="BM112" i="2"/>
  <c r="DK112" i="2"/>
  <c r="FI112" i="2"/>
  <c r="BJ40" i="2"/>
  <c r="EA40" i="2"/>
  <c r="EK76" i="2"/>
  <c r="CS112" i="2"/>
  <c r="EO76" i="1"/>
  <c r="E15" i="3" s="1" a="1"/>
  <c r="E15" i="3" s="1"/>
  <c r="EO223" i="1"/>
  <c r="F16" i="3" s="1" a="1"/>
  <c r="F16" i="3" s="1"/>
  <c r="F45" i="3" a="1"/>
  <c r="F45" i="3" s="1"/>
  <c r="I24" i="3"/>
  <c r="I36" i="3"/>
  <c r="I46" i="3" a="1"/>
  <c r="I46" i="3" s="1"/>
  <c r="I48" i="3" s="1"/>
  <c r="J27" i="3"/>
  <c r="J39" i="3"/>
  <c r="L47" i="3" a="1"/>
  <c r="L47" i="3" s="1"/>
  <c r="C76" i="2"/>
  <c r="O76" i="2"/>
  <c r="AB44" i="2"/>
  <c r="AB76" i="2" s="1"/>
  <c r="AA76" i="2"/>
  <c r="ES76" i="2"/>
  <c r="FE76" i="2"/>
  <c r="AC112" i="2"/>
  <c r="BB112" i="2"/>
  <c r="BO112" i="2"/>
  <c r="CB112" i="2"/>
  <c r="DY112" i="2"/>
  <c r="EK112" i="2"/>
  <c r="Z40" i="2"/>
  <c r="EP40" i="2"/>
  <c r="F40" i="3"/>
  <c r="G45" i="3" a="1"/>
  <c r="G45" i="3" s="1"/>
  <c r="I25" i="3"/>
  <c r="I37" i="3"/>
  <c r="J46" i="3" a="1"/>
  <c r="J46" i="3" s="1"/>
  <c r="J28" i="3"/>
  <c r="L28" i="3" s="1"/>
  <c r="M47" i="3" a="1"/>
  <c r="M47" i="3" s="1"/>
  <c r="M48" i="3" s="1"/>
  <c r="FO40" i="2"/>
  <c r="AC76" i="2"/>
  <c r="AO76" i="2"/>
  <c r="BA76" i="2"/>
  <c r="BM76" i="2"/>
  <c r="BY76" i="2"/>
  <c r="CK76" i="2"/>
  <c r="CW76" i="2"/>
  <c r="DI76" i="2"/>
  <c r="DU76" i="2"/>
  <c r="EG76" i="2"/>
  <c r="ET76" i="2"/>
  <c r="FF76" i="2"/>
  <c r="AQ112" i="2"/>
  <c r="BC112" i="2"/>
  <c r="CC112" i="2"/>
  <c r="CO112" i="2"/>
  <c r="DM112" i="2"/>
  <c r="BI151" i="2"/>
  <c r="DT151" i="2"/>
  <c r="EF151" i="2"/>
  <c r="ER151" i="2"/>
  <c r="FE151" i="2"/>
  <c r="AG76" i="2"/>
  <c r="H45" i="3" a="1"/>
  <c r="H45" i="3" s="1"/>
  <c r="I26" i="3"/>
  <c r="I38" i="3"/>
  <c r="K46" i="3" a="1"/>
  <c r="K46" i="3" s="1"/>
  <c r="J29" i="3"/>
  <c r="K29" i="3" s="1"/>
  <c r="N47" i="3" a="1"/>
  <c r="N47" i="3" s="1"/>
  <c r="N48" i="3" s="1"/>
  <c r="E76" i="2"/>
  <c r="Q76" i="2"/>
  <c r="AD76" i="2"/>
  <c r="AP76" i="2"/>
  <c r="BB76" i="2"/>
  <c r="BN76" i="2"/>
  <c r="BZ76" i="2"/>
  <c r="CL76" i="2"/>
  <c r="CX76" i="2"/>
  <c r="DJ76" i="2"/>
  <c r="DV76" i="2"/>
  <c r="EH76" i="2"/>
  <c r="EU76" i="2"/>
  <c r="FG76" i="2"/>
  <c r="CG76" i="2"/>
  <c r="CS76" i="2"/>
  <c r="DE76" i="2"/>
  <c r="DQ76" i="2"/>
  <c r="EC76" i="2"/>
  <c r="FA76" i="2"/>
  <c r="BQ112" i="2"/>
  <c r="DB112" i="2"/>
  <c r="DO112" i="2"/>
  <c r="AK151" i="2"/>
  <c r="AW151" i="2"/>
  <c r="DU151" i="2"/>
  <c r="N40" i="2"/>
  <c r="DY76" i="2"/>
  <c r="U112" i="2"/>
  <c r="EO187" i="1"/>
  <c r="E16" i="3" s="1" a="1"/>
  <c r="E16" i="3" s="1"/>
  <c r="I45" i="3" a="1"/>
  <c r="I45" i="3" s="1"/>
  <c r="I27" i="3"/>
  <c r="I39" i="3"/>
  <c r="L46" i="3" a="1"/>
  <c r="L46" i="3" s="1"/>
  <c r="J30" i="3"/>
  <c r="C47" i="3" a="1"/>
  <c r="C47" i="3" s="1"/>
  <c r="EO334" i="1"/>
  <c r="F76" i="2"/>
  <c r="R76" i="2"/>
  <c r="AE76" i="2"/>
  <c r="AQ76" i="2"/>
  <c r="BC76" i="2"/>
  <c r="BO44" i="2"/>
  <c r="BO76" i="2" s="1"/>
  <c r="CA76" i="2"/>
  <c r="CM76" i="2"/>
  <c r="CY76" i="2"/>
  <c r="DK76" i="2"/>
  <c r="DW76" i="2"/>
  <c r="EI76" i="2"/>
  <c r="EV76" i="2"/>
  <c r="FH76" i="2"/>
  <c r="AW76" i="2"/>
  <c r="BI76" i="2"/>
  <c r="BU76" i="2"/>
  <c r="FB45" i="2"/>
  <c r="FB76" i="2" s="1"/>
  <c r="G112" i="2"/>
  <c r="BE112" i="2"/>
  <c r="BR112" i="2"/>
  <c r="BT112" i="2"/>
  <c r="EB112" i="2"/>
  <c r="J151" i="2"/>
  <c r="V151" i="2"/>
  <c r="AH151" i="2"/>
  <c r="AT151" i="2"/>
  <c r="BF151" i="2"/>
  <c r="DD151" i="2"/>
  <c r="DQ151" i="2"/>
  <c r="EC151" i="2"/>
  <c r="EO151" i="2"/>
  <c r="FB151" i="2"/>
  <c r="AB187" i="2"/>
  <c r="AN187" i="2"/>
  <c r="AO155" i="2"/>
  <c r="AO187" i="2" s="1"/>
  <c r="L151" i="2"/>
  <c r="X151" i="2"/>
  <c r="AJ151" i="2"/>
  <c r="AV151" i="2"/>
  <c r="BH151" i="2"/>
  <c r="BU151" i="2"/>
  <c r="CG151" i="2"/>
  <c r="CS151" i="2"/>
  <c r="DS151" i="2"/>
  <c r="EE151" i="2"/>
  <c r="EQ151" i="2"/>
  <c r="FD151" i="2"/>
  <c r="CB187" i="2"/>
  <c r="N151" i="2"/>
  <c r="BW151" i="2"/>
  <c r="CI151" i="2"/>
  <c r="CU151" i="2"/>
  <c r="DH151" i="2"/>
  <c r="EG151" i="2"/>
  <c r="ES151" i="2"/>
  <c r="FF151" i="2"/>
  <c r="AO80" i="2"/>
  <c r="AO112" i="2" s="1"/>
  <c r="CA112" i="2"/>
  <c r="O151" i="2"/>
  <c r="DI151" i="2"/>
  <c r="FG151" i="2"/>
  <c r="BN112" i="2"/>
  <c r="D151" i="2"/>
  <c r="P151" i="2"/>
  <c r="AB119" i="2"/>
  <c r="AB151" i="2" s="1"/>
  <c r="AN151" i="2"/>
  <c r="AZ151" i="2"/>
  <c r="BL151" i="2"/>
  <c r="BY151" i="2"/>
  <c r="CK151" i="2"/>
  <c r="CW151" i="2"/>
  <c r="DJ151" i="2"/>
  <c r="FA151" i="2"/>
  <c r="E151" i="2"/>
  <c r="Q151" i="2"/>
  <c r="AC151" i="2"/>
  <c r="AO151" i="2"/>
  <c r="BA151" i="2"/>
  <c r="BM151" i="2"/>
  <c r="FO119" i="2"/>
  <c r="FO151" i="2" s="1"/>
  <c r="FI151" i="2"/>
  <c r="FH112" i="2"/>
  <c r="F151" i="2"/>
  <c r="R151" i="2"/>
  <c r="AD151" i="2"/>
  <c r="AP151" i="2"/>
  <c r="BB119" i="2"/>
  <c r="BB151" i="2" s="1"/>
  <c r="BN151" i="2"/>
  <c r="BO119" i="2"/>
  <c r="BO151" i="2" s="1"/>
  <c r="CA151" i="2"/>
  <c r="CM151" i="2"/>
  <c r="CY151" i="2"/>
  <c r="DL151" i="2"/>
  <c r="DY151" i="2"/>
  <c r="EK151" i="2"/>
  <c r="EW151" i="2"/>
  <c r="G151" i="2"/>
  <c r="BC151" i="2"/>
  <c r="BP151" i="2"/>
  <c r="CB151" i="2"/>
  <c r="CN151" i="2"/>
  <c r="CZ151" i="2"/>
  <c r="DM151" i="2"/>
  <c r="DZ151" i="2"/>
  <c r="EX151" i="2"/>
  <c r="FO112" i="2"/>
  <c r="H151" i="2"/>
  <c r="T151" i="2"/>
  <c r="AF151" i="2"/>
  <c r="AR151" i="2"/>
  <c r="BD151" i="2"/>
  <c r="CO151" i="2"/>
  <c r="DB119" i="2"/>
  <c r="DB151" i="2" s="1"/>
  <c r="DA151" i="2"/>
  <c r="DO151" i="2"/>
  <c r="EA151" i="2"/>
  <c r="EM151" i="2"/>
  <c r="EY151" i="2"/>
  <c r="FF187" i="2"/>
  <c r="K112" i="2"/>
  <c r="W112" i="2"/>
  <c r="AI112" i="2"/>
  <c r="AU112" i="2"/>
  <c r="BG112" i="2"/>
  <c r="BS112" i="2"/>
  <c r="CE112" i="2"/>
  <c r="CQ112" i="2"/>
  <c r="DC112" i="2"/>
  <c r="EA112" i="2"/>
  <c r="EM112" i="2"/>
  <c r="EY112" i="2"/>
  <c r="BR151" i="2"/>
  <c r="CD151" i="2"/>
  <c r="DC151" i="2"/>
  <c r="DP151" i="2"/>
  <c r="EB151" i="2"/>
  <c r="EN151" i="2"/>
  <c r="EZ151" i="2"/>
  <c r="CX187" i="2"/>
  <c r="DJ187" i="2"/>
  <c r="DV187" i="2"/>
  <c r="N187" i="2"/>
  <c r="O155" i="2"/>
  <c r="O187" i="2" s="1"/>
  <c r="AA187" i="2"/>
  <c r="AM187" i="2"/>
  <c r="AZ187" i="2"/>
  <c r="BL187" i="2"/>
  <c r="CW187" i="2"/>
  <c r="DI187" i="2"/>
  <c r="DU187" i="2"/>
  <c r="EG187" i="2"/>
  <c r="ES187" i="2"/>
  <c r="AY223" i="2"/>
  <c r="D187" i="2"/>
  <c r="Q187" i="2"/>
  <c r="AC187" i="2"/>
  <c r="AP187" i="2"/>
  <c r="BB187" i="2"/>
  <c r="BN187" i="2"/>
  <c r="BO155" i="2"/>
  <c r="BO187" i="2" s="1"/>
  <c r="CA187" i="2"/>
  <c r="CM187" i="2"/>
  <c r="CY187" i="2"/>
  <c r="DK187" i="2"/>
  <c r="DW187" i="2"/>
  <c r="EI187" i="2"/>
  <c r="EU187" i="2"/>
  <c r="FG187" i="2"/>
  <c r="DK223" i="2"/>
  <c r="DW223" i="2"/>
  <c r="FI223" i="2"/>
  <c r="FO191" i="2"/>
  <c r="FO223" i="2" s="1"/>
  <c r="E187" i="2"/>
  <c r="R187" i="2"/>
  <c r="AD187" i="2"/>
  <c r="AQ187" i="2"/>
  <c r="BC187" i="2"/>
  <c r="CY223" i="2"/>
  <c r="F187" i="2"/>
  <c r="S187" i="2"/>
  <c r="AE187" i="2"/>
  <c r="BQ187" i="2"/>
  <c r="CC187" i="2"/>
  <c r="CO155" i="2"/>
  <c r="CO187" i="2" s="1"/>
  <c r="DA187" i="2"/>
  <c r="DM187" i="2"/>
  <c r="DY187" i="2"/>
  <c r="EK187" i="2"/>
  <c r="EW187" i="2"/>
  <c r="FI187" i="2"/>
  <c r="AQ223" i="2"/>
  <c r="BC223" i="2"/>
  <c r="BO223" i="2"/>
  <c r="CA223" i="2"/>
  <c r="CB191" i="2"/>
  <c r="CB223" i="2" s="1"/>
  <c r="DM223" i="2"/>
  <c r="DY223" i="2"/>
  <c r="AS187" i="2"/>
  <c r="BE187" i="2"/>
  <c r="FO187" i="2"/>
  <c r="AE223" i="2"/>
  <c r="CC223" i="2"/>
  <c r="DA223" i="2"/>
  <c r="DB191" i="2"/>
  <c r="DB223" i="2" s="1"/>
  <c r="DO187" i="2"/>
  <c r="DN151" i="2"/>
  <c r="I187" i="2"/>
  <c r="BT187" i="2"/>
  <c r="CF187" i="2"/>
  <c r="CR187" i="2"/>
  <c r="DD187" i="2"/>
  <c r="DP187" i="2"/>
  <c r="EB155" i="2"/>
  <c r="EB187" i="2" s="1"/>
  <c r="EN187" i="2"/>
  <c r="EZ187" i="2"/>
  <c r="I223" i="2"/>
  <c r="U223" i="2"/>
  <c r="AG223" i="2"/>
  <c r="EO223" i="2"/>
  <c r="FB223" i="2"/>
  <c r="AV187" i="2"/>
  <c r="BH187" i="2"/>
  <c r="BU187" i="2"/>
  <c r="CG187" i="2"/>
  <c r="DQ187" i="2"/>
  <c r="EC187" i="2"/>
  <c r="EO187" i="2"/>
  <c r="FA187" i="2"/>
  <c r="DE223" i="2"/>
  <c r="X187" i="2"/>
  <c r="AJ187" i="2"/>
  <c r="BV187" i="2"/>
  <c r="CH187" i="2"/>
  <c r="DR187" i="2"/>
  <c r="ED187" i="2"/>
  <c r="EP187" i="2"/>
  <c r="FB187" i="2"/>
  <c r="CG223" i="2"/>
  <c r="CS223" i="2"/>
  <c r="EE223" i="2"/>
  <c r="L187" i="2"/>
  <c r="Y187" i="2"/>
  <c r="AK187" i="2"/>
  <c r="AX187" i="2"/>
  <c r="BJ187" i="2"/>
  <c r="BW187" i="2"/>
  <c r="CI187" i="2"/>
  <c r="CU187" i="2"/>
  <c r="DG187" i="2"/>
  <c r="DS187" i="2"/>
  <c r="EE187" i="2"/>
  <c r="EQ187" i="2"/>
  <c r="FC187" i="2"/>
  <c r="BU223" i="2"/>
  <c r="DG223" i="2"/>
  <c r="DS223" i="2"/>
  <c r="M187" i="2"/>
  <c r="Z187" i="2"/>
  <c r="AL187" i="2"/>
  <c r="AY187" i="2"/>
  <c r="BK187" i="2"/>
  <c r="BX187" i="2"/>
  <c r="CJ187" i="2"/>
  <c r="CV187" i="2"/>
  <c r="DH187" i="2"/>
  <c r="DT187" i="2"/>
  <c r="EF187" i="2"/>
  <c r="ER187" i="2"/>
  <c r="FD187" i="2"/>
  <c r="M223" i="2"/>
  <c r="Y223" i="2"/>
  <c r="AK223" i="2"/>
  <c r="CI223" i="2"/>
  <c r="CU223" i="2"/>
  <c r="BB223" i="2"/>
  <c r="AL262" i="2"/>
  <c r="T223" i="2"/>
  <c r="AF223" i="2"/>
  <c r="AR223" i="2"/>
  <c r="DL223" i="2"/>
  <c r="DX223" i="2"/>
  <c r="N262" i="2"/>
  <c r="O230" i="2"/>
  <c r="O262" i="2" s="1"/>
  <c r="J223" i="2"/>
  <c r="V223" i="2"/>
  <c r="AH223" i="2"/>
  <c r="AT223" i="2"/>
  <c r="BF223" i="2"/>
  <c r="BR223" i="2"/>
  <c r="CD223" i="2"/>
  <c r="CP223" i="2"/>
  <c r="DN223" i="2"/>
  <c r="DZ223" i="2"/>
  <c r="EL223" i="2"/>
  <c r="EX223" i="2"/>
  <c r="K223" i="2"/>
  <c r="W223" i="2"/>
  <c r="AI223" i="2"/>
  <c r="AU223" i="2"/>
  <c r="BG223" i="2"/>
  <c r="BS223" i="2"/>
  <c r="CE223" i="2"/>
  <c r="CQ223" i="2"/>
  <c r="DC223" i="2"/>
  <c r="DO223" i="2"/>
  <c r="EA223" i="2"/>
  <c r="EM223" i="2"/>
  <c r="EY223" i="2"/>
  <c r="EY262" i="2"/>
  <c r="L223" i="2"/>
  <c r="X223" i="2"/>
  <c r="AJ223" i="2"/>
  <c r="AV223" i="2"/>
  <c r="BH223" i="2"/>
  <c r="BT223" i="2"/>
  <c r="CF223" i="2"/>
  <c r="CR223" i="2"/>
  <c r="DD223" i="2"/>
  <c r="DP223" i="2"/>
  <c r="EB191" i="2"/>
  <c r="EB223" i="2" s="1"/>
  <c r="EN223" i="2"/>
  <c r="EZ223" i="2"/>
  <c r="DO262" i="2"/>
  <c r="EA262" i="2"/>
  <c r="EZ262" i="2"/>
  <c r="FA223" i="2"/>
  <c r="CR262" i="2"/>
  <c r="DD262" i="2"/>
  <c r="DP262" i="2"/>
  <c r="EB262" i="2"/>
  <c r="EN262" i="2"/>
  <c r="EO230" i="2"/>
  <c r="EO262" i="2" s="1"/>
  <c r="N223" i="2"/>
  <c r="Z223" i="2"/>
  <c r="AL223" i="2"/>
  <c r="AX223" i="2"/>
  <c r="BJ223" i="2"/>
  <c r="BV223" i="2"/>
  <c r="CH223" i="2"/>
  <c r="CT223" i="2"/>
  <c r="DF223" i="2"/>
  <c r="DR223" i="2"/>
  <c r="ED223" i="2"/>
  <c r="EP223" i="2"/>
  <c r="BH262" i="2"/>
  <c r="BT262" i="2"/>
  <c r="CF262" i="2"/>
  <c r="EP262" i="2"/>
  <c r="FB262" i="2"/>
  <c r="AV262" i="2"/>
  <c r="CT262" i="2"/>
  <c r="ED262" i="2"/>
  <c r="D223" i="2"/>
  <c r="P223" i="2"/>
  <c r="AB223" i="2"/>
  <c r="AN223" i="2"/>
  <c r="AZ223" i="2"/>
  <c r="BL223" i="2"/>
  <c r="BX223" i="2"/>
  <c r="CJ223" i="2"/>
  <c r="CV223" i="2"/>
  <c r="DH223" i="2"/>
  <c r="DT223" i="2"/>
  <c r="FD223" i="2"/>
  <c r="AJ262" i="2"/>
  <c r="BJ262" i="2"/>
  <c r="BV262" i="2"/>
  <c r="CH262" i="2"/>
  <c r="E223" i="2"/>
  <c r="Q223" i="2"/>
  <c r="AC223" i="2"/>
  <c r="AO191" i="2"/>
  <c r="AO223" i="2" s="1"/>
  <c r="BA223" i="2"/>
  <c r="BM223" i="2"/>
  <c r="BY223" i="2"/>
  <c r="CK223" i="2"/>
  <c r="CW223" i="2"/>
  <c r="DI223" i="2"/>
  <c r="DU223" i="2"/>
  <c r="EG223" i="2"/>
  <c r="ES223" i="2"/>
  <c r="FE223" i="2"/>
  <c r="K262" i="2"/>
  <c r="X262" i="2"/>
  <c r="J298" i="2"/>
  <c r="V298" i="2"/>
  <c r="AI298" i="2"/>
  <c r="AU298" i="2"/>
  <c r="BN298" i="2"/>
  <c r="BO268" i="2"/>
  <c r="BO298" i="2" s="1"/>
  <c r="AT298" i="2"/>
  <c r="M262" i="2"/>
  <c r="Y262" i="2"/>
  <c r="AK262" i="2"/>
  <c r="AW262" i="2"/>
  <c r="BI262" i="2"/>
  <c r="BU262" i="2"/>
  <c r="CG262" i="2"/>
  <c r="CS262" i="2"/>
  <c r="DE262" i="2"/>
  <c r="DQ262" i="2"/>
  <c r="EC262" i="2"/>
  <c r="FA262" i="2"/>
  <c r="K298" i="2"/>
  <c r="W298" i="2"/>
  <c r="BG334" i="2"/>
  <c r="BS334" i="2"/>
  <c r="FD334" i="2"/>
  <c r="C262" i="2"/>
  <c r="AA262" i="2"/>
  <c r="AM262" i="2"/>
  <c r="AY262" i="2"/>
  <c r="BK262" i="2"/>
  <c r="BW262" i="2"/>
  <c r="CI262" i="2"/>
  <c r="CU262" i="2"/>
  <c r="DG262" i="2"/>
  <c r="DS262" i="2"/>
  <c r="EE262" i="2"/>
  <c r="EQ262" i="2"/>
  <c r="FC262" i="2"/>
  <c r="ET298" i="2"/>
  <c r="D262" i="2"/>
  <c r="P262" i="2"/>
  <c r="AB230" i="2"/>
  <c r="AB262" i="2" s="1"/>
  <c r="AN262" i="2"/>
  <c r="AZ262" i="2"/>
  <c r="BL262" i="2"/>
  <c r="BX262" i="2"/>
  <c r="CJ262" i="2"/>
  <c r="CV262" i="2"/>
  <c r="DH262" i="2"/>
  <c r="DT262" i="2"/>
  <c r="EF262" i="2"/>
  <c r="ER262" i="2"/>
  <c r="FD262" i="2"/>
  <c r="CK298" i="2"/>
  <c r="CW298" i="2"/>
  <c r="EH298" i="2"/>
  <c r="AO230" i="2"/>
  <c r="AO262" i="2" s="1"/>
  <c r="BM262" i="2"/>
  <c r="BY262" i="2"/>
  <c r="CK262" i="2"/>
  <c r="CW262" i="2"/>
  <c r="DI262" i="2"/>
  <c r="DU262" i="2"/>
  <c r="EG262" i="2"/>
  <c r="ES262" i="2"/>
  <c r="FE262" i="2"/>
  <c r="BY298" i="2"/>
  <c r="CL298" i="2"/>
  <c r="CX298" i="2"/>
  <c r="DV298" i="2"/>
  <c r="EV298" i="2"/>
  <c r="F262" i="2"/>
  <c r="R262" i="2"/>
  <c r="AD262" i="2"/>
  <c r="AP262" i="2"/>
  <c r="BB230" i="2"/>
  <c r="BB262" i="2" s="1"/>
  <c r="BN262" i="2"/>
  <c r="BZ262" i="2"/>
  <c r="CL262" i="2"/>
  <c r="CX262" i="2"/>
  <c r="DJ262" i="2"/>
  <c r="DV262" i="2"/>
  <c r="EH262" i="2"/>
  <c r="ET262" i="2"/>
  <c r="FF262" i="2"/>
  <c r="AO298" i="2"/>
  <c r="BZ298" i="2"/>
  <c r="G262" i="2"/>
  <c r="S262" i="2"/>
  <c r="AE262" i="2"/>
  <c r="AQ262" i="2"/>
  <c r="BC262" i="2"/>
  <c r="BO262" i="2"/>
  <c r="CA262" i="2"/>
  <c r="CM262" i="2"/>
  <c r="CY262" i="2"/>
  <c r="DK262" i="2"/>
  <c r="DW262" i="2"/>
  <c r="EI262" i="2"/>
  <c r="EU262" i="2"/>
  <c r="FG262" i="2"/>
  <c r="AD298" i="2"/>
  <c r="AP298" i="2"/>
  <c r="EX298" i="2"/>
  <c r="FO298" i="2"/>
  <c r="H262" i="2"/>
  <c r="T262" i="2"/>
  <c r="AF262" i="2"/>
  <c r="AR262" i="2"/>
  <c r="BD262" i="2"/>
  <c r="BP262" i="2"/>
  <c r="CB262" i="2"/>
  <c r="CN262" i="2"/>
  <c r="CZ262" i="2"/>
  <c r="DL262" i="2"/>
  <c r="DX262" i="2"/>
  <c r="EJ262" i="2"/>
  <c r="EV262" i="2"/>
  <c r="FH262" i="2"/>
  <c r="EL298" i="2"/>
  <c r="EY298" i="2"/>
  <c r="I262" i="2"/>
  <c r="U262" i="2"/>
  <c r="AG262" i="2"/>
  <c r="AS262" i="2"/>
  <c r="BE262" i="2"/>
  <c r="BQ262" i="2"/>
  <c r="CC262" i="2"/>
  <c r="CO230" i="2"/>
  <c r="CO262" i="2" s="1"/>
  <c r="DA262" i="2"/>
  <c r="DM262" i="2"/>
  <c r="DY262" i="2"/>
  <c r="EK262" i="2"/>
  <c r="EW262" i="2"/>
  <c r="FI262" i="2"/>
  <c r="AF298" i="2"/>
  <c r="CD298" i="2"/>
  <c r="CP298" i="2"/>
  <c r="DB298" i="2"/>
  <c r="DN298" i="2"/>
  <c r="DZ298" i="2"/>
  <c r="EM298" i="2"/>
  <c r="J262" i="2"/>
  <c r="V262" i="2"/>
  <c r="AH262" i="2"/>
  <c r="AT262" i="2"/>
  <c r="BF262" i="2"/>
  <c r="BR262" i="2"/>
  <c r="CD262" i="2"/>
  <c r="CP262" i="2"/>
  <c r="DB262" i="2"/>
  <c r="DN262" i="2"/>
  <c r="DZ262" i="2"/>
  <c r="EL262" i="2"/>
  <c r="EX262" i="2"/>
  <c r="FO262" i="2"/>
  <c r="H298" i="2"/>
  <c r="BF298" i="2"/>
  <c r="BR298" i="2"/>
  <c r="CE298" i="2"/>
  <c r="CQ298" i="2"/>
  <c r="DC298" i="2"/>
  <c r="DO298" i="2"/>
  <c r="EA298" i="2"/>
  <c r="EB266" i="2"/>
  <c r="EB298" i="2" s="1"/>
  <c r="G298" i="2"/>
  <c r="S298" i="2"/>
  <c r="AE298" i="2"/>
  <c r="AQ298" i="2"/>
  <c r="BC298" i="2"/>
  <c r="CA298" i="2"/>
  <c r="CM298" i="2"/>
  <c r="CY298" i="2"/>
  <c r="DK298" i="2"/>
  <c r="DW298" i="2"/>
  <c r="EI298" i="2"/>
  <c r="EU298" i="2"/>
  <c r="FG298" i="2"/>
  <c r="CA334" i="2"/>
  <c r="CB302" i="2"/>
  <c r="CB334" i="2" s="1"/>
  <c r="CB266" i="2"/>
  <c r="CB298" i="2" s="1"/>
  <c r="BD334" i="2"/>
  <c r="DC334" i="2"/>
  <c r="DO334" i="2"/>
  <c r="EA334" i="2"/>
  <c r="I298" i="2"/>
  <c r="U298" i="2"/>
  <c r="AG298" i="2"/>
  <c r="AS298" i="2"/>
  <c r="BE298" i="2"/>
  <c r="CO298" i="2"/>
  <c r="EW298" i="2"/>
  <c r="FI298" i="2"/>
  <c r="T334" i="2"/>
  <c r="AR334" i="2"/>
  <c r="CQ334" i="2"/>
  <c r="L298" i="2"/>
  <c r="X298" i="2"/>
  <c r="AJ298" i="2"/>
  <c r="AV298" i="2"/>
  <c r="BH298" i="2"/>
  <c r="BT298" i="2"/>
  <c r="CF298" i="2"/>
  <c r="CR298" i="2"/>
  <c r="DD298" i="2"/>
  <c r="DP298" i="2"/>
  <c r="EN298" i="2"/>
  <c r="EZ298" i="2"/>
  <c r="EF334" i="2"/>
  <c r="ER334" i="2"/>
  <c r="M298" i="2"/>
  <c r="Y298" i="2"/>
  <c r="AK298" i="2"/>
  <c r="AW298" i="2"/>
  <c r="BI298" i="2"/>
  <c r="BU298" i="2"/>
  <c r="CG298" i="2"/>
  <c r="CS298" i="2"/>
  <c r="DE298" i="2"/>
  <c r="DQ298" i="2"/>
  <c r="EC298" i="2"/>
  <c r="EO266" i="2"/>
  <c r="EO298" i="2" s="1"/>
  <c r="FA298" i="2"/>
  <c r="DT334" i="2"/>
  <c r="N298" i="2"/>
  <c r="Z298" i="2"/>
  <c r="AL298" i="2"/>
  <c r="AX298" i="2"/>
  <c r="BJ298" i="2"/>
  <c r="BV298" i="2"/>
  <c r="CH298" i="2"/>
  <c r="CT298" i="2"/>
  <c r="DF298" i="2"/>
  <c r="DR298" i="2"/>
  <c r="ED298" i="2"/>
  <c r="EP298" i="2"/>
  <c r="FB298" i="2"/>
  <c r="EH334" i="2"/>
  <c r="FG334" i="2"/>
  <c r="C298" i="2"/>
  <c r="O298" i="2"/>
  <c r="AA298" i="2"/>
  <c r="AM298" i="2"/>
  <c r="AY298" i="2"/>
  <c r="BK298" i="2"/>
  <c r="BW298" i="2"/>
  <c r="CI298" i="2"/>
  <c r="CU298" i="2"/>
  <c r="DG298" i="2"/>
  <c r="DS298" i="2"/>
  <c r="EE298" i="2"/>
  <c r="EQ298" i="2"/>
  <c r="FC298" i="2"/>
  <c r="EU334" i="2"/>
  <c r="D298" i="2"/>
  <c r="P298" i="2"/>
  <c r="AB266" i="2"/>
  <c r="AB298" i="2" s="1"/>
  <c r="AN298" i="2"/>
  <c r="AZ298" i="2"/>
  <c r="BL298" i="2"/>
  <c r="BX298" i="2"/>
  <c r="CJ298" i="2"/>
  <c r="CV298" i="2"/>
  <c r="DH298" i="2"/>
  <c r="DT298" i="2"/>
  <c r="EF298" i="2"/>
  <c r="ER298" i="2"/>
  <c r="FD298" i="2"/>
  <c r="DK334" i="2"/>
  <c r="AB334" i="2"/>
  <c r="AZ334" i="2"/>
  <c r="CY334" i="2"/>
  <c r="DL334" i="2"/>
  <c r="DX334" i="2"/>
  <c r="BB266" i="2"/>
  <c r="BB298" i="2" s="1"/>
  <c r="BA334" i="2"/>
  <c r="BB302" i="2"/>
  <c r="BB334" i="2" s="1"/>
  <c r="BN334" i="2"/>
  <c r="CM334" i="2"/>
  <c r="I334" i="2"/>
  <c r="U334" i="2"/>
  <c r="AG334" i="2"/>
  <c r="AS334" i="2"/>
  <c r="BE334" i="2"/>
  <c r="BQ334" i="2"/>
  <c r="CC334" i="2"/>
  <c r="CO302" i="2"/>
  <c r="CO334" i="2" s="1"/>
  <c r="DA334" i="2"/>
  <c r="DM334" i="2"/>
  <c r="DY334" i="2"/>
  <c r="EK334" i="2"/>
  <c r="EW334" i="2"/>
  <c r="FI334" i="2"/>
  <c r="J334" i="2"/>
  <c r="V334" i="2"/>
  <c r="AH334" i="2"/>
  <c r="AT334" i="2"/>
  <c r="BF334" i="2"/>
  <c r="BR334" i="2"/>
  <c r="CD334" i="2"/>
  <c r="CP334" i="2"/>
  <c r="DB302" i="2"/>
  <c r="DB334" i="2" s="1"/>
  <c r="DN334" i="2"/>
  <c r="DZ334" i="2"/>
  <c r="EL334" i="2"/>
  <c r="EX334" i="2"/>
  <c r="FO302" i="2"/>
  <c r="FO334" i="2" s="1"/>
  <c r="L334" i="2"/>
  <c r="X334" i="2"/>
  <c r="AJ334" i="2"/>
  <c r="AV334" i="2"/>
  <c r="BH334" i="2"/>
  <c r="BT334" i="2"/>
  <c r="CF334" i="2"/>
  <c r="CR334" i="2"/>
  <c r="DD334" i="2"/>
  <c r="DP334" i="2"/>
  <c r="EB302" i="2"/>
  <c r="EB334" i="2" s="1"/>
  <c r="EN334" i="2"/>
  <c r="EZ334" i="2"/>
  <c r="M334" i="2"/>
  <c r="Y334" i="2"/>
  <c r="AK334" i="2"/>
  <c r="AW334" i="2"/>
  <c r="BI334" i="2"/>
  <c r="BU334" i="2"/>
  <c r="CG334" i="2"/>
  <c r="CS334" i="2"/>
  <c r="DE334" i="2"/>
  <c r="DQ334" i="2"/>
  <c r="EC334" i="2"/>
  <c r="EO334" i="2"/>
  <c r="FA334" i="2"/>
  <c r="N334" i="2"/>
  <c r="Z334" i="2"/>
  <c r="AL334" i="2"/>
  <c r="AX334" i="2"/>
  <c r="BJ334" i="2"/>
  <c r="BV334" i="2"/>
  <c r="CH334" i="2"/>
  <c r="CT334" i="2"/>
  <c r="DF334" i="2"/>
  <c r="DR334" i="2"/>
  <c r="ED334" i="2"/>
  <c r="EP334" i="2"/>
  <c r="FB302" i="2"/>
  <c r="FB334" i="2" s="1"/>
  <c r="C334" i="2"/>
  <c r="O302" i="2"/>
  <c r="O334" i="2" s="1"/>
  <c r="AA334" i="2"/>
  <c r="AM334" i="2"/>
  <c r="AY334" i="2"/>
  <c r="BK334" i="2"/>
  <c r="BW334" i="2"/>
  <c r="CI334" i="2"/>
  <c r="CU334" i="2"/>
  <c r="DG334" i="2"/>
  <c r="DS334" i="2"/>
  <c r="EE334" i="2"/>
  <c r="EQ334" i="2"/>
  <c r="FC334" i="2"/>
  <c r="G57" i="3" l="1"/>
  <c r="F57" i="3"/>
  <c r="I65" i="3"/>
  <c r="I56" i="3"/>
  <c r="K48" i="3"/>
  <c r="F65" i="3"/>
  <c r="L30" i="3"/>
  <c r="K30" i="3"/>
  <c r="G60" i="3"/>
  <c r="H61" i="3"/>
  <c r="F60" i="3"/>
  <c r="G56" i="3"/>
  <c r="F56" i="3"/>
  <c r="H57" i="3"/>
  <c r="H48" i="3"/>
  <c r="L22" i="3"/>
  <c r="I40" i="3"/>
  <c r="K22" i="3"/>
  <c r="H65" i="3"/>
  <c r="G64" i="3"/>
  <c r="F64" i="3"/>
  <c r="H15" i="3"/>
  <c r="G15" i="3"/>
  <c r="L34" i="3"/>
  <c r="K34" i="3"/>
  <c r="G62" i="3"/>
  <c r="L48" i="3"/>
  <c r="L35" i="3"/>
  <c r="K35" i="3"/>
  <c r="L39" i="3"/>
  <c r="K39" i="3"/>
  <c r="L23" i="3"/>
  <c r="K23" i="3"/>
  <c r="L27" i="3"/>
  <c r="K27" i="3"/>
  <c r="L26" i="3"/>
  <c r="K26" i="3"/>
  <c r="H59" i="3"/>
  <c r="G58" i="3"/>
  <c r="F58" i="3"/>
  <c r="H58" i="3"/>
  <c r="H16" i="3"/>
  <c r="G16" i="3"/>
  <c r="J40" i="3"/>
  <c r="H60" i="3"/>
  <c r="G59" i="3"/>
  <c r="F59" i="3"/>
  <c r="K32" i="3"/>
  <c r="L32" i="3"/>
  <c r="L36" i="3"/>
  <c r="K36" i="3"/>
  <c r="L29" i="3"/>
  <c r="I62" i="3"/>
  <c r="G54" i="3"/>
  <c r="F54" i="3"/>
  <c r="H55" i="3"/>
  <c r="L38" i="3"/>
  <c r="K38" i="3"/>
  <c r="L33" i="3"/>
  <c r="K33" i="3"/>
  <c r="J48" i="3"/>
  <c r="L24" i="3"/>
  <c r="K24" i="3"/>
  <c r="K28" i="3"/>
  <c r="K31" i="3"/>
  <c r="L31" i="3"/>
  <c r="I57" i="3"/>
  <c r="H56" i="3"/>
  <c r="L37" i="3"/>
  <c r="K37" i="3"/>
  <c r="D63" i="3"/>
  <c r="O46" i="3" a="1"/>
  <c r="O46" i="3" s="1"/>
  <c r="O48" i="3" s="1"/>
  <c r="E14" i="3" a="1"/>
  <c r="E14" i="3" s="1"/>
  <c r="F61" i="3"/>
  <c r="I54" i="3"/>
  <c r="F55" i="3"/>
  <c r="E63" i="3"/>
  <c r="I64" i="3" s="1"/>
  <c r="O47" i="3" a="1"/>
  <c r="O47" i="3" s="1"/>
  <c r="F14" i="3" a="1"/>
  <c r="F14" i="3" s="1"/>
  <c r="F17" i="3" s="1"/>
  <c r="F7" i="3" s="1"/>
  <c r="L25" i="3"/>
  <c r="K25" i="3"/>
  <c r="C48" i="3"/>
  <c r="I59" i="3"/>
  <c r="G61" i="3"/>
  <c r="I61" i="3"/>
  <c r="G55" i="3"/>
  <c r="K40" i="3" l="1"/>
  <c r="M34" i="3"/>
  <c r="M22" i="3"/>
  <c r="L40" i="3"/>
  <c r="M29" i="3"/>
  <c r="M33" i="3"/>
  <c r="M28" i="3"/>
  <c r="M35" i="3"/>
  <c r="M23" i="3"/>
  <c r="M30" i="3"/>
  <c r="M37" i="3"/>
  <c r="M25" i="3"/>
  <c r="M32" i="3"/>
  <c r="M39" i="3"/>
  <c r="M24" i="3"/>
  <c r="M26" i="3"/>
  <c r="M36" i="3"/>
  <c r="M27" i="3"/>
  <c r="M31" i="3"/>
  <c r="M38" i="3"/>
  <c r="F63" i="3"/>
  <c r="H64" i="3"/>
  <c r="G63" i="3"/>
  <c r="H63" i="3"/>
  <c r="H14" i="3"/>
  <c r="G14" i="3"/>
  <c r="E17" i="3"/>
  <c r="I63" i="3"/>
  <c r="I14" i="3" l="1"/>
  <c r="D7" i="3"/>
  <c r="H17" i="3"/>
  <c r="H7" i="3" s="1"/>
  <c r="G17" i="3"/>
  <c r="J7" i="3" s="1"/>
  <c r="I15" i="3"/>
  <c r="I16" i="3"/>
  <c r="M40" i="3"/>
  <c r="I17" i="3" l="1"/>
</calcChain>
</file>

<file path=xl/sharedStrings.xml><?xml version="1.0" encoding="utf-8"?>
<sst xmlns="http://schemas.openxmlformats.org/spreadsheetml/2006/main" count="4012" uniqueCount="151">
  <si>
    <t>Ministerio de Salud — Partida 16</t>
  </si>
  <si>
    <t>Miles de pesos — moneda corriente — montos devengados</t>
  </si>
  <si>
    <t>SUBTÍTULO 31 – INICIATIVAS DE INVERSIÓN</t>
  </si>
  <si>
    <t>Presupuesto Ley (Subtítulo 31)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</si>
  <si>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</si>
  <si>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</si>
  <si>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</si>
  <si>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</si>
  <si>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</si>
  <si>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</si>
  <si>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</si>
  <si>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</si>
  <si>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</si>
  <si>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</si>
  <si>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</si>
  <si>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</si>
  <si>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</si>
  <si>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Programa / Entidad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</si>
  <si>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</si>
  <si>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</si>
  <si>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</si>
  <si>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</si>
  <si>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</si>
  <si>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</si>
  <si>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</si>
  <si>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</si>
  <si>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</si>
  <si>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</si>
  <si>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</si>
  <si>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</si>
  <si>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2014</t>
  </si>
  <si>
    <t>Total 2015</t>
  </si>
  <si>
    <t>Total 2016</t>
  </si>
  <si>
    <t>Total 2017</t>
  </si>
  <si>
    <t>Total 2018</t>
  </si>
  <si>
    <t>Total 2019</t>
  </si>
  <si>
    <t>Total 2020</t>
  </si>
  <si>
    <t>Total 2021</t>
  </si>
  <si>
    <t>Total 2022</t>
  </si>
  <si>
    <t>Total 2023</t>
  </si>
  <si>
    <t>Total 2024</t>
  </si>
  <si>
    <t>Total 2025</t>
  </si>
  <si>
    <t>Total 2026</t>
  </si>
  <si>
    <t>Instituto de Salud Pública</t>
  </si>
  <si>
    <t>Subsecretaría de Salud Pública</t>
  </si>
  <si>
    <t>Inversión Sectorial en Salud</t>
  </si>
  <si>
    <t>Servicio de Salud Arica y Parinacota</t>
  </si>
  <si>
    <t>Servicio de Salud Tarapacá</t>
  </si>
  <si>
    <t>Servicio de Salud Antofagasta</t>
  </si>
  <si>
    <t>Servicio de Salud Atacama</t>
  </si>
  <si>
    <t>Servicio de Salud Coquimbo</t>
  </si>
  <si>
    <t>Servicio de Salud Valparaíso - San Antonio</t>
  </si>
  <si>
    <t>Servicio de Salud Viña del Mar - Quillota</t>
  </si>
  <si>
    <t>Servicio de Salud Aconcagua</t>
  </si>
  <si>
    <t>Servicio de Salud O'Higgins</t>
  </si>
  <si>
    <t>Servicio de Salud Maule</t>
  </si>
  <si>
    <t>Servicio de Salud Ñuble</t>
  </si>
  <si>
    <t>Servicio de Salud Concepción</t>
  </si>
  <si>
    <t>Servicio de Salud Talcahuano</t>
  </si>
  <si>
    <t>Servicio de Salud Bio Bio</t>
  </si>
  <si>
    <t>Servicio de Salud Arauco</t>
  </si>
  <si>
    <t>Servicio de Salud Araucanía Norte</t>
  </si>
  <si>
    <t>Servicio de Salud Araucanía Sur</t>
  </si>
  <si>
    <t>Servicio de Salud Los Ríos</t>
  </si>
  <si>
    <t>Servicio de Salud Osorno</t>
  </si>
  <si>
    <t>Servicio de Salud del Reloncaví</t>
  </si>
  <si>
    <t>Servicio de Salud Aysén</t>
  </si>
  <si>
    <t>Servicio de Salud Magallanes</t>
  </si>
  <si>
    <t>Servicio de Salud Metropolitano Oriente</t>
  </si>
  <si>
    <t>Servicio de Salud Metropolitano Central</t>
  </si>
  <si>
    <t>Servicio de Salud Metropolitano Sur</t>
  </si>
  <si>
    <t>Servicio de Salud Metropolitano Norte</t>
  </si>
  <si>
    <t>Servicio de Salud Metropolitano Occidente</t>
  </si>
  <si>
    <t>Servicio de Salud Metropolitano Sur-Oriente</t>
  </si>
  <si>
    <t>Servicio de Salud Chiloé</t>
  </si>
  <si>
    <t>Total Presupuesto Ley (Subtítulo 31)</t>
  </si>
  <si>
    <t>Presupuesto Vigente (Subtítulo 31)</t>
  </si>
  <si>
    <t>Total Presupuesto Vigente (Subtítulo 31)</t>
  </si>
  <si>
    <t>Ejecución Acumulada (Subtítulo 31)</t>
  </si>
  <si>
    <t>Total Ejecución Acumulada (Subtítulo 31)</t>
  </si>
  <si>
    <t>SUBTÍTULO 29 – ADQUISICIÓN DE ACTIVOS NO FINANCIEROS</t>
  </si>
  <si>
    <t>Presupuesto Ley (Subtítulo 29)</t>
  </si>
  <si>
    <t>Total Presupuesto Ley (Subtítulo 29)</t>
  </si>
  <si>
    <t>Presupuesto Vigente (Subtítulo 29)</t>
  </si>
  <si>
    <t>Total Presupuesto Vigente (Subtítulo 29)</t>
  </si>
  <si>
    <t>Ejecución Acumulada (Subtítulo 29)</t>
  </si>
  <si>
    <t>Total Ejecución Acumulada (Subtítulo 29)</t>
  </si>
  <si>
    <t>SUBTÍTULO 33 – TRANSFERENCIAS DE CAPITAL (SUBSIDIOS HABITACIONALES E INVERSIÓN)</t>
  </si>
  <si>
    <t>Presupuesto Ley (Subtítulo 33)</t>
  </si>
  <si>
    <t>Total Presupuesto Ley (Subtítulo 33)</t>
  </si>
  <si>
    <t>Presupuesto Vigente (Subtítulo 33)</t>
  </si>
  <si>
    <t>Total Presupuesto Vigente (Subtítulo 33)</t>
  </si>
  <si>
    <t>Ejecución Acumulada (Subtítulo 33)</t>
  </si>
  <si>
    <t>Total Ejecución Acumulada (Subtítulo 33)</t>
  </si>
  <si>
    <t>Miles de pesos – moneda constante – montos devengados</t>
  </si>
  <si>
    <t>MINISTERIO DE SALUD – DASHBOARD DE INVERSIÓN Y EJECUCIÓN PRESUPUESTARIA</t>
  </si>
  <si>
    <t>Visualizador Analítico Interactivo | Subtítulos 33 (Capital), 31 (Inversión), 29 (Activos) | Cifras en miles de pesos ($)</t>
  </si>
  <si>
    <t>AÑO SELECCIONADO:</t>
  </si>
  <si>
    <t>COBERTURA TEMPORAL:</t>
  </si>
  <si>
    <t>2014 - 2026 (Ene - Dic)</t>
  </si>
  <si>
    <t>UNIDAD MONETARIA:</t>
  </si>
  <si>
    <t>Miles de $ Corrientes (DIPRES)</t>
  </si>
  <si>
    <t>PRESUPUESTO LEY (INICIAL)</t>
  </si>
  <si>
    <t>PRESUPUESTO VIGENTE</t>
  </si>
  <si>
    <t>EJECUCIÓN ACUMULADA</t>
  </si>
  <si>
    <t>% CUMPLIMIENTO PRESUPUESTARIO</t>
  </si>
  <si>
    <t>SALDO POR EJECUTAR</t>
  </si>
  <si>
    <t>Aprobado Ley de Presupuesto</t>
  </si>
  <si>
    <t>Presupuesto anual actualizado</t>
  </si>
  <si>
    <t>Total devengado en el ejercicio</t>
  </si>
  <si>
    <t>Ejecución devengada / Presupuesto vigente</t>
  </si>
  <si>
    <t>Monto disponible no devengado</t>
  </si>
  <si>
    <t>TABLA 1: RESUMEN CONSOLIDADO POR SUBTÍTULO PRESUPUESTARIO</t>
  </si>
  <si>
    <t>Subtítulo Presupuestario</t>
  </si>
  <si>
    <t>Cód.</t>
  </si>
  <si>
    <t>Presupuesto Ley</t>
  </si>
  <si>
    <t>Presupuesto Vigente</t>
  </si>
  <si>
    <t>Ejecución Acumulada</t>
  </si>
  <si>
    <t>Saldo por Ejecutar</t>
  </si>
  <si>
    <t>% Ejecución</t>
  </si>
  <si>
    <t>% Participación</t>
  </si>
  <si>
    <t>Subtítulo 33 – Transferencias de Capital (Subsidios)</t>
  </si>
  <si>
    <t>33</t>
  </si>
  <si>
    <t>Subtítulo 31 – Iniciativas de Inversión</t>
  </si>
  <si>
    <t>31</t>
  </si>
  <si>
    <t>Subtítulo 29 – Activos No Financieros</t>
  </si>
  <si>
    <t>29</t>
  </si>
  <si>
    <t>TOTAL INVERSIÓN SALUD (33 + 31 + 29)</t>
  </si>
  <si>
    <t>TOTAL</t>
  </si>
  <si>
    <t>TABLA 2: DESGLOSE COMPLETO POR ENTIDAD / PROGRAMA / SERVIU (AÑO SELECCIONADO)</t>
  </si>
  <si>
    <t>Entidad / Servicio de Salud</t>
  </si>
  <si>
    <t>Subt. 33 Vigente</t>
  </si>
  <si>
    <t>Subt. 33 Ejecución</t>
  </si>
  <si>
    <t>Subt. 31 Vigente</t>
  </si>
  <si>
    <t>Subt. 31 Ejecución</t>
  </si>
  <si>
    <t>Subt. 29 Vigente</t>
  </si>
  <si>
    <t>Subt. 29 Ejecución</t>
  </si>
  <si>
    <t>Total Vigente</t>
  </si>
  <si>
    <t>Total Ejecución</t>
  </si>
  <si>
    <t>Saldo</t>
  </si>
  <si>
    <t>% Part. SALUD</t>
  </si>
  <si>
    <t>TOTAL MUESTRA SERVICIOS</t>
  </si>
  <si>
    <t>TABLA 3: EVOLUCIÓN MENSUAL DEL AÑO SELECCIONADO (ENERO A DICIEMBRE)</t>
  </si>
  <si>
    <t>Concepto / Mes</t>
  </si>
  <si>
    <t>Cierre Total</t>
  </si>
  <si>
    <t>% Avance Ejecución</t>
  </si>
  <si>
    <t>TABLA 4: COMPARATIVA HISTÓRICA MULTIANUAL (2014 - 2026)</t>
  </si>
  <si>
    <t>Año</t>
  </si>
  <si>
    <t>Crec. Vigente (YoY)</t>
  </si>
  <si>
    <t>Crec. Ejecución (YoY)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</si>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</sst>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_-;_-@"/>
    <numFmt numFmtId="165" formatCode="0.0%"/>
  </numFmts>
  <fonts count="16" x14ac:knownFonts="1">
    <font>
      <sz val="11"/>
      <color theme="1"/>
      <name val="Calibri"/>
      <scheme val="minor"/>
    </font>
    <font>
      <b/>
      <sz val="16"/>
      <color rgb="FF1B365D"/>
      <name val="Calibri"/>
      <family val="2"/>
    </font>
    <font>
      <i/>
      <sz val="10"/>
      <color rgb="FF595959"/>
      <name val="Calibri"/>
      <family val="2"/>
    </font>
    <font>
      <b/>
      <sz val="13"/>
      <color rgb="FFFFFFFF"/>
      <name val="Calibri"/>
      <family val="2"/>
    </font>
    <font>
      <b/>
      <sz val="11"/>
      <color rgb="FF1B365D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3"/>
      <color rgb="FFB25900"/>
      <name val="Calibri"/>
      <family val="2"/>
    </font>
    <font>
      <b/>
      <sz val="9"/>
      <color rgb="FF595959"/>
      <name val="Calibri"/>
      <family val="2"/>
    </font>
    <font>
      <b/>
      <sz val="15"/>
      <color rgb="FF1B365D"/>
      <name val="Calibri"/>
      <family val="2"/>
    </font>
    <font>
      <b/>
      <sz val="15"/>
      <color rgb="FF007A3D"/>
      <name val="Calibri"/>
      <family val="2"/>
    </font>
    <font>
      <b/>
      <sz val="16"/>
      <color rgb="FF007A3D"/>
      <name val="Calibri"/>
      <family val="2"/>
    </font>
    <font>
      <b/>
      <sz val="15"/>
      <color rgb="FFB25900"/>
      <name val="Calibri"/>
      <family val="2"/>
    </font>
    <font>
      <i/>
      <sz val="8"/>
      <color rgb="FF7F7F7F"/>
      <name val="Calibri"/>
      <family val="2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3E50"/>
        <bgColor rgb="FF2C3E50"/>
      </patternFill>
    </fill>
    <fill>
      <patternFill patternType="solid">
        <fgColor rgb="FFF9FAFC"/>
        <bgColor rgb="FFF9FAFC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2F4F8"/>
        <bgColor rgb="FFF2F4F8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B365D"/>
      </left>
      <right style="medium">
        <color rgb="FF1B365D"/>
      </right>
      <top style="medium">
        <color rgb="FF1B365D"/>
      </top>
      <bottom style="medium">
        <color rgb="FF1B365D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rgb="FF1B365D"/>
      </top>
      <bottom/>
      <diagonal/>
    </border>
    <border>
      <left/>
      <right/>
      <top style="medium">
        <color rgb="FF1B365D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B365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B365D"/>
      </top>
      <bottom/>
      <diagonal/>
    </border>
  </borders>
  <cellStyleXfs count="1">
    <xf numFmtId="0" fontId="0" fillId="0" borderId="10"/>
  </cellStyleXfs>
  <cellXfs count="57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/>
    <xf numFmtId="0" fontId="4" fillId="0" borderId="0" xfId="0" applyFont="1" applyBorder="1"/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0" borderId="2" xfId="0" applyFont="1" applyBorder="1"/>
    <xf numFmtId="164" fontId="6" fillId="0" borderId="2" xfId="0" applyNumberFormat="1" applyFont="1" applyBorder="1" applyAlignment="1">
      <alignment horizontal="right"/>
    </xf>
    <xf numFmtId="164" fontId="7" fillId="4" borderId="2" xfId="0" applyNumberFormat="1" applyFont="1" applyFill="1" applyBorder="1" applyAlignment="1">
      <alignment horizontal="right"/>
    </xf>
    <xf numFmtId="0" fontId="8" fillId="6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/>
    </xf>
    <xf numFmtId="165" fontId="6" fillId="0" borderId="2" xfId="0" applyNumberFormat="1" applyFont="1" applyBorder="1" applyAlignment="1">
      <alignment horizontal="right"/>
    </xf>
    <xf numFmtId="0" fontId="7" fillId="5" borderId="13" xfId="0" applyFont="1" applyFill="1" applyBorder="1"/>
    <xf numFmtId="0" fontId="7" fillId="5" borderId="13" xfId="0" applyFont="1" applyFill="1" applyBorder="1" applyAlignment="1">
      <alignment horizontal="center"/>
    </xf>
    <xf numFmtId="164" fontId="7" fillId="5" borderId="13" xfId="0" applyNumberFormat="1" applyFont="1" applyFill="1" applyBorder="1" applyAlignment="1">
      <alignment horizontal="right"/>
    </xf>
    <xf numFmtId="165" fontId="7" fillId="5" borderId="13" xfId="0" applyNumberFormat="1" applyFont="1" applyFill="1" applyBorder="1" applyAlignment="1">
      <alignment horizontal="right"/>
    </xf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/>
    <xf numFmtId="164" fontId="6" fillId="4" borderId="2" xfId="0" applyNumberFormat="1" applyFont="1" applyFill="1" applyBorder="1" applyAlignment="1">
      <alignment horizontal="right"/>
    </xf>
    <xf numFmtId="165" fontId="6" fillId="4" borderId="2" xfId="0" applyNumberFormat="1" applyFont="1" applyFill="1" applyBorder="1" applyAlignment="1">
      <alignment horizontal="right"/>
    </xf>
    <xf numFmtId="164" fontId="6" fillId="5" borderId="2" xfId="0" applyNumberFormat="1" applyFont="1" applyFill="1" applyBorder="1" applyAlignment="1">
      <alignment horizontal="right"/>
    </xf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164" fontId="7" fillId="5" borderId="2" xfId="0" applyNumberFormat="1" applyFont="1" applyFill="1" applyBorder="1" applyAlignment="1">
      <alignment horizontal="right"/>
    </xf>
    <xf numFmtId="0" fontId="7" fillId="0" borderId="13" xfId="0" applyFont="1" applyBorder="1"/>
    <xf numFmtId="165" fontId="7" fillId="0" borderId="13" xfId="0" applyNumberFormat="1" applyFont="1" applyBorder="1" applyAlignment="1">
      <alignment horizontal="right"/>
    </xf>
    <xf numFmtId="0" fontId="7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right"/>
    </xf>
    <xf numFmtId="0" fontId="7" fillId="0" borderId="2" xfId="0" applyFont="1" applyBorder="1" applyAlignment="1">
      <alignment horizontal="center"/>
    </xf>
    <xf numFmtId="0" fontId="15" fillId="0" borderId="2" xfId="0" applyFont="1" applyBorder="1"/>
    <xf numFmtId="0" fontId="6" fillId="0" borderId="14" xfId="0" applyFont="1" applyBorder="1"/>
    <xf numFmtId="164" fontId="6" fillId="0" borderId="14" xfId="0" applyNumberFormat="1" applyFont="1" applyBorder="1" applyAlignment="1">
      <alignment horizontal="right"/>
    </xf>
    <xf numFmtId="164" fontId="7" fillId="4" borderId="14" xfId="0" applyNumberFormat="1" applyFont="1" applyFill="1" applyBorder="1" applyAlignment="1">
      <alignment horizontal="right"/>
    </xf>
    <xf numFmtId="0" fontId="15" fillId="0" borderId="14" xfId="0" applyFont="1" applyBorder="1"/>
    <xf numFmtId="0" fontId="0" fillId="0" borderId="0" xfId="0" applyBorder="1"/>
    <xf numFmtId="0" fontId="7" fillId="5" borderId="2" xfId="0" applyFont="1" applyFill="1" applyBorder="1" applyAlignment="1">
      <alignment horizontal="right" vertical="center"/>
    </xf>
    <xf numFmtId="0" fontId="5" fillId="2" borderId="10" xfId="0" applyFont="1" applyFill="1" applyAlignment="1">
      <alignment horizontal="center" vertical="center"/>
    </xf>
    <xf numFmtId="0" fontId="0" fillId="0" borderId="0" xfId="0" applyBorder="1"/>
    <xf numFmtId="0" fontId="7" fillId="0" borderId="2" xfId="0" applyFont="1" applyBorder="1" applyAlignment="1">
      <alignment horizontal="center" vertical="center"/>
    </xf>
    <xf numFmtId="0" fontId="0" fillId="0" borderId="4" xfId="0" applyBorder="1"/>
    <xf numFmtId="0" fontId="9" fillId="7" borderId="17" xfId="0" applyFont="1" applyFill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164" fontId="10" fillId="7" borderId="15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8" xfId="0" applyBorder="1"/>
    <xf numFmtId="165" fontId="12" fillId="7" borderId="15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5" xfId="0" applyBorder="1"/>
    <xf numFmtId="0" fontId="7" fillId="5" borderId="2" xfId="0" applyFont="1" applyFill="1" applyBorder="1" applyAlignment="1">
      <alignment horizontal="right" vertical="center"/>
    </xf>
    <xf numFmtId="0" fontId="14" fillId="7" borderId="16" xfId="0" applyFont="1" applyFill="1" applyBorder="1" applyAlignment="1">
      <alignment horizontal="center" vertical="center"/>
    </xf>
    <xf numFmtId="0" fontId="0" fillId="0" borderId="11" xfId="0" applyBorder="1"/>
    <xf numFmtId="164" fontId="11" fillId="7" borderId="15" xfId="0" applyNumberFormat="1" applyFont="1" applyFill="1" applyBorder="1" applyAlignment="1">
      <alignment horizontal="center" vertical="center"/>
    </xf>
    <xf numFmtId="164" fontId="13" fillId="7" borderId="15" xfId="0" applyNumberFormat="1" applyFont="1" applyFill="1" applyBorder="1" applyAlignment="1">
      <alignment horizontal="center" vertical="center"/>
    </xf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Presupuesto Vigente vs Ejecución Acumulada por Entidad / SERVIU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Vigente</c:v>
          </c:tx>
          <c:spPr>
            <a:solidFill>
              <a:srgbClr val="4F81BD"/>
            </a:solidFill>
            <a:ln cmpd="sng">
              <a:noFill/>
              <a:prstDash val="solid"/>
            </a:ln>
          </c:spPr>
          <c:invertIfNegative val="1"/>
          <c:cat>
            <c:strRef>
              <c:f>Dashboard!$B$22:$B$39</c:f>
              <c:strCache>
                <c:ptCount val="18"/>
                <c:pt idx="0">
                  <c:v>Instituto de Salud Pública</c:v>
                </c:pt>
                <c:pt idx="1">
                  <c:v>Subsecretaría de Salud Pública</c:v>
                </c:pt>
                <c:pt idx="2">
                  <c:v>Inversión Sectorial en Salud</c:v>
                </c:pt>
                <c:pt idx="3">
                  <c:v>Servicio de Salud Arica y Parinacota</c:v>
                </c:pt>
                <c:pt idx="4">
                  <c:v>Servicio de Salud Tarapacá</c:v>
                </c:pt>
                <c:pt idx="5">
                  <c:v>Servicio de Salud Antofagasta</c:v>
                </c:pt>
                <c:pt idx="6">
                  <c:v>Servicio de Salud Atacama</c:v>
                </c:pt>
                <c:pt idx="7">
                  <c:v>Servicio de Salud Coquimbo</c:v>
                </c:pt>
                <c:pt idx="8">
                  <c:v>Servicio de Salud Valparaíso - San Antonio</c:v>
                </c:pt>
                <c:pt idx="9">
                  <c:v>Servicio de Salud Viña del Mar - Quillota</c:v>
                </c:pt>
                <c:pt idx="10">
                  <c:v>Servicio de Salud Aconcagua</c:v>
                </c:pt>
                <c:pt idx="11">
                  <c:v>Servicio de Salud O'Higgins</c:v>
                </c:pt>
                <c:pt idx="12">
                  <c:v>Servicio de Salud Maule</c:v>
                </c:pt>
                <c:pt idx="13">
                  <c:v>Servicio de Salud Ñuble</c:v>
                </c:pt>
                <c:pt idx="14">
                  <c:v>Servicio de Salud Concepción</c:v>
                </c:pt>
                <c:pt idx="15">
                  <c:v>Servicio de Salud Talcahuano</c:v>
                </c:pt>
                <c:pt idx="16">
                  <c:v>Servicio de Salud Bio Bio</c:v>
                </c:pt>
                <c:pt idx="17">
                  <c:v>Servicio de Salud Arauco</c:v>
                </c:pt>
              </c:strCache>
            </c:strRef>
          </c:cat>
          <c:val>
            <c:numRef>
              <c:f>Dashboard!$I$22:$I$39</c:f>
              <c:numCache>
                <c:formatCode>_-* #,##0_-;\-* #,##0_-;_-* "-"_-;_-@</c:formatCode>
                <c:ptCount val="18"/>
                <c:pt idx="0">
                  <c:v>2683618</c:v>
                </c:pt>
                <c:pt idx="1">
                  <c:v>5033635</c:v>
                </c:pt>
                <c:pt idx="2">
                  <c:v>834360695</c:v>
                </c:pt>
                <c:pt idx="3">
                  <c:v>591391</c:v>
                </c:pt>
                <c:pt idx="4">
                  <c:v>11371577</c:v>
                </c:pt>
                <c:pt idx="5">
                  <c:v>2043367</c:v>
                </c:pt>
                <c:pt idx="6">
                  <c:v>9611941</c:v>
                </c:pt>
                <c:pt idx="7">
                  <c:v>5832918</c:v>
                </c:pt>
                <c:pt idx="8">
                  <c:v>19423660</c:v>
                </c:pt>
                <c:pt idx="9">
                  <c:v>87935651</c:v>
                </c:pt>
                <c:pt idx="10">
                  <c:v>2136258</c:v>
                </c:pt>
                <c:pt idx="11">
                  <c:v>6335761</c:v>
                </c:pt>
                <c:pt idx="12">
                  <c:v>21549181</c:v>
                </c:pt>
                <c:pt idx="13">
                  <c:v>85437628</c:v>
                </c:pt>
                <c:pt idx="14">
                  <c:v>6783470</c:v>
                </c:pt>
                <c:pt idx="15">
                  <c:v>30335095</c:v>
                </c:pt>
                <c:pt idx="16">
                  <c:v>3781029</c:v>
                </c:pt>
                <c:pt idx="17">
                  <c:v>3401534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57-4A20-AF87-107A6F3A33D2}"/>
            </c:ext>
          </c:extLst>
        </c:ser>
        <c:ser>
          <c:idx val="1"/>
          <c:order val="1"/>
          <c:tx>
            <c:v>Total Ejecución</c:v>
          </c:tx>
          <c:spPr>
            <a:solidFill>
              <a:srgbClr val="C0504D"/>
            </a:solidFill>
            <a:ln cmpd="sng">
              <a:noFill/>
              <a:prstDash val="solid"/>
            </a:ln>
          </c:spPr>
          <c:invertIfNegative val="1"/>
          <c:cat>
            <c:strRef>
              <c:f>Dashboard!$B$22:$B$39</c:f>
              <c:strCache>
                <c:ptCount val="18"/>
                <c:pt idx="0">
                  <c:v>Instituto de Salud Pública</c:v>
                </c:pt>
                <c:pt idx="1">
                  <c:v>Subsecretaría de Salud Pública</c:v>
                </c:pt>
                <c:pt idx="2">
                  <c:v>Inversión Sectorial en Salud</c:v>
                </c:pt>
                <c:pt idx="3">
                  <c:v>Servicio de Salud Arica y Parinacota</c:v>
                </c:pt>
                <c:pt idx="4">
                  <c:v>Servicio de Salud Tarapacá</c:v>
                </c:pt>
                <c:pt idx="5">
                  <c:v>Servicio de Salud Antofagasta</c:v>
                </c:pt>
                <c:pt idx="6">
                  <c:v>Servicio de Salud Atacama</c:v>
                </c:pt>
                <c:pt idx="7">
                  <c:v>Servicio de Salud Coquimbo</c:v>
                </c:pt>
                <c:pt idx="8">
                  <c:v>Servicio de Salud Valparaíso - San Antonio</c:v>
                </c:pt>
                <c:pt idx="9">
                  <c:v>Servicio de Salud Viña del Mar - Quillota</c:v>
                </c:pt>
                <c:pt idx="10">
                  <c:v>Servicio de Salud Aconcagua</c:v>
                </c:pt>
                <c:pt idx="11">
                  <c:v>Servicio de Salud O'Higgins</c:v>
                </c:pt>
                <c:pt idx="12">
                  <c:v>Servicio de Salud Maule</c:v>
                </c:pt>
                <c:pt idx="13">
                  <c:v>Servicio de Salud Ñuble</c:v>
                </c:pt>
                <c:pt idx="14">
                  <c:v>Servicio de Salud Concepción</c:v>
                </c:pt>
                <c:pt idx="15">
                  <c:v>Servicio de Salud Talcahuano</c:v>
                </c:pt>
                <c:pt idx="16">
                  <c:v>Servicio de Salud Bio Bio</c:v>
                </c:pt>
                <c:pt idx="17">
                  <c:v>Servicio de Salud Arauco</c:v>
                </c:pt>
              </c:strCache>
            </c:strRef>
          </c:cat>
          <c:val>
            <c:numRef>
              <c:f>Dashboard!$J$22:$J$39</c:f>
              <c:numCache>
                <c:formatCode>_-* #,##0_-;\-* #,##0_-;_-* "-"_-;_-@</c:formatCode>
                <c:ptCount val="18"/>
                <c:pt idx="0">
                  <c:v>2521638</c:v>
                </c:pt>
                <c:pt idx="1">
                  <c:v>4923687</c:v>
                </c:pt>
                <c:pt idx="2">
                  <c:v>823461038</c:v>
                </c:pt>
                <c:pt idx="3">
                  <c:v>544266</c:v>
                </c:pt>
                <c:pt idx="4">
                  <c:v>10616353</c:v>
                </c:pt>
                <c:pt idx="5">
                  <c:v>1867320</c:v>
                </c:pt>
                <c:pt idx="6">
                  <c:v>9548760</c:v>
                </c:pt>
                <c:pt idx="7">
                  <c:v>5777978</c:v>
                </c:pt>
                <c:pt idx="8">
                  <c:v>18342832</c:v>
                </c:pt>
                <c:pt idx="9">
                  <c:v>86515194</c:v>
                </c:pt>
                <c:pt idx="10">
                  <c:v>2102476</c:v>
                </c:pt>
                <c:pt idx="11">
                  <c:v>6172285</c:v>
                </c:pt>
                <c:pt idx="12">
                  <c:v>21454372</c:v>
                </c:pt>
                <c:pt idx="13">
                  <c:v>85366315</c:v>
                </c:pt>
                <c:pt idx="14">
                  <c:v>5597148</c:v>
                </c:pt>
                <c:pt idx="15">
                  <c:v>30259912</c:v>
                </c:pt>
                <c:pt idx="16">
                  <c:v>3608732</c:v>
                </c:pt>
                <c:pt idx="17">
                  <c:v>3275291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57-4A20-AF87-107A6F3A3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689829"/>
        <c:axId val="995240852"/>
      </c:barChart>
      <c:catAx>
        <c:axId val="916898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 rot="2100000"/>
          <a:lstStyle/>
          <a:p>
            <a:pPr lvl="0">
              <a:defRPr sz="8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995240852"/>
        <c:crosses val="autoZero"/>
        <c:auto val="1"/>
        <c:lblAlgn val="ctr"/>
        <c:lblOffset val="100"/>
        <c:noMultiLvlLbl val="1"/>
      </c:catAx>
      <c:valAx>
        <c:axId val="9952408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* #,##0_-;\-* #,##0_-;_-* &quot;-&quot;_-;_-@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91689829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Evolución Mensual de la Inversión MINVU (Enero a Diciembre)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Presupuesto Vigente</c:v>
          </c:tx>
          <c:spPr>
            <a:ln w="28575" cmpd="sng">
              <a:solidFill>
                <a:schemeClr val="accent1"/>
              </a:solidFill>
              <a:prstDash val="solid"/>
            </a:ln>
          </c:spPr>
          <c:marker>
            <c:symbol val="none"/>
          </c:marker>
          <c:cat>
            <c:strRef>
              <c:f>Dashboard!$C$44:$N$44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Dashboard!$C$46:$N$46</c:f>
              <c:numCache>
                <c:formatCode>_-* #,##0_-;\-* #,##0_-;_-* "-"_-;_-@</c:formatCode>
                <c:ptCount val="12"/>
                <c:pt idx="0">
                  <c:v>874957749</c:v>
                </c:pt>
                <c:pt idx="1">
                  <c:v>1433285204</c:v>
                </c:pt>
                <c:pt idx="2">
                  <c:v>1504961274</c:v>
                </c:pt>
                <c:pt idx="3">
                  <c:v>1635239178</c:v>
                </c:pt>
                <c:pt idx="4">
                  <c:v>1642778724</c:v>
                </c:pt>
                <c:pt idx="5">
                  <c:v>1639672750</c:v>
                </c:pt>
                <c:pt idx="6">
                  <c:v>1657864880</c:v>
                </c:pt>
                <c:pt idx="7">
                  <c:v>1739463650</c:v>
                </c:pt>
                <c:pt idx="8">
                  <c:v>1724321326</c:v>
                </c:pt>
                <c:pt idx="9">
                  <c:v>1560345908</c:v>
                </c:pt>
                <c:pt idx="10">
                  <c:v>1543397059</c:v>
                </c:pt>
                <c:pt idx="11">
                  <c:v>1433711234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CA-4760-AA1B-A0E99C07E389}"/>
            </c:ext>
          </c:extLst>
        </c:ser>
        <c:ser>
          <c:idx val="1"/>
          <c:order val="1"/>
          <c:tx>
            <c:v>Ejecución Acumulada</c:v>
          </c:tx>
          <c:spPr>
            <a:ln w="28575" cmpd="sng">
              <a:solidFill>
                <a:schemeClr val="accent2"/>
              </a:solidFill>
              <a:prstDash val="solid"/>
            </a:ln>
          </c:spPr>
          <c:marker>
            <c:symbol val="none"/>
          </c:marker>
          <c:cat>
            <c:strRef>
              <c:f>Dashboard!$C$44:$N$44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Dashboard!$C$47:$N$47</c:f>
              <c:numCache>
                <c:formatCode>_-* #,##0_-;\-* #,##0_-;_-* "-"_-;_-@</c:formatCode>
                <c:ptCount val="12"/>
                <c:pt idx="0">
                  <c:v>638848</c:v>
                </c:pt>
                <c:pt idx="1">
                  <c:v>12686671</c:v>
                </c:pt>
                <c:pt idx="2">
                  <c:v>191690542</c:v>
                </c:pt>
                <c:pt idx="3">
                  <c:v>254699751</c:v>
                </c:pt>
                <c:pt idx="4">
                  <c:v>347204772</c:v>
                </c:pt>
                <c:pt idx="5">
                  <c:v>490224825</c:v>
                </c:pt>
                <c:pt idx="6">
                  <c:v>624869940</c:v>
                </c:pt>
                <c:pt idx="7">
                  <c:v>816384581</c:v>
                </c:pt>
                <c:pt idx="8">
                  <c:v>940101985</c:v>
                </c:pt>
                <c:pt idx="9">
                  <c:v>1023720338</c:v>
                </c:pt>
                <c:pt idx="10">
                  <c:v>1160196129</c:v>
                </c:pt>
                <c:pt idx="11">
                  <c:v>1410933263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CA-4760-AA1B-A0E99C07E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1335418"/>
        <c:axId val="839118423"/>
      </c:lineChart>
      <c:catAx>
        <c:axId val="1471335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839118423"/>
        <c:crosses val="autoZero"/>
        <c:auto val="1"/>
        <c:lblAlgn val="ctr"/>
        <c:lblOffset val="100"/>
        <c:noMultiLvlLbl val="1"/>
      </c:catAx>
      <c:valAx>
        <c:axId val="8391184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-* #,##0_-;\-* #,##0_-;_-* &quot;-&quot;_-;_-@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CL"/>
          </a:p>
        </c:txPr>
        <c:crossAx val="147133541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Composición de la Inversión Vigente por Subtítulo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3CE-4BF1-A601-143E4C723A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3CE-4BF1-A601-143E4C723A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3CE-4BF1-A601-143E4C723A1E}"/>
              </c:ext>
            </c:extLst>
          </c:dPt>
          <c:cat>
            <c:strRef>
              <c:f>Dashboard!$B$14:$B$16</c:f>
              <c:strCache>
                <c:ptCount val="3"/>
                <c:pt idx="0">
                  <c:v>Subtítulo 33 – Transferencias de Capital (Subsidios)</c:v>
                </c:pt>
                <c:pt idx="1">
                  <c:v>Subtítulo 31 – Iniciativas de Inversión</c:v>
                </c:pt>
                <c:pt idx="2">
                  <c:v>Subtítulo 29 – Activos No Financieros</c:v>
                </c:pt>
              </c:strCache>
            </c:strRef>
          </c:cat>
          <c:val>
            <c:numRef>
              <c:f>Dashboard!$E$14:$E$16</c:f>
              <c:numCache>
                <c:formatCode>_-* #,##0_-;\-* #,##0_-;_-* "-"_-;_-@</c:formatCode>
                <c:ptCount val="3"/>
                <c:pt idx="0">
                  <c:v>834343782</c:v>
                </c:pt>
                <c:pt idx="1">
                  <c:v>549547599</c:v>
                </c:pt>
                <c:pt idx="2">
                  <c:v>49819853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3CE-4BF1-A601-143E4C723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CL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10</xdr:row>
      <xdr:rowOff>0</xdr:rowOff>
    </xdr:from>
    <xdr:ext cx="6229350" cy="32194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16</xdr:col>
      <xdr:colOff>0</xdr:colOff>
      <xdr:row>29</xdr:row>
      <xdr:rowOff>123825</xdr:rowOff>
    </xdr:from>
    <xdr:ext cx="6229350" cy="3009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0</xdr:colOff>
      <xdr:row>47</xdr:row>
      <xdr:rowOff>0</xdr:rowOff>
    </xdr:from>
    <xdr:ext cx="4438650" cy="283845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3E50"/>
  </sheetPr>
  <dimension ref="A1:FO334"/>
  <sheetViews>
    <sheetView workbookViewId="0">
      <selection activeCell="D26" sqref="D26"/>
    </sheetView>
  </sheetViews>
  <sheetFormatPr baseColWidth="10" defaultColWidth="14.44140625" defaultRowHeight="15" customHeight="1" x14ac:dyDescent="0.3"/>
  <cols>
    <col min="1" max="1" width="3" style="36" customWidth="1"/>
    <col min="2" max="2" width="38" style="36" customWidth="1"/>
    <col min="3" max="171" width="15" style="36" customWidth="1"/>
  </cols>
  <sheetData>
    <row r="1" spans="2:171" ht="14.25" customHeight="1" x14ac:dyDescent="0.4">
      <c r="B1" s="1" t="s">
        <v>0</v>
      </c>
    </row>
    <row r="2" spans="2:171" ht="14.25" customHeight="1" x14ac:dyDescent="0.3">
      <c r="B2" s="2" t="s">
        <v>1</v>
      </c>
    </row>
    <row r="3" spans="2:171" ht="14.25" customHeight="1" x14ac:dyDescent="0.3"/>
    <row r="4" spans="2:171" ht="14.25" customHeight="1" x14ac:dyDescent="0.35">
      <c r="B4" s="3" t="s">
        <v>2</v>
      </c>
    </row>
    <row r="5" spans="2:171" ht="14.25" customHeight="1" x14ac:dyDescent="0.3">
      <c r="B5" s="4" t="s">
        <v>3</v>
      </c>
    </row>
    <row r="6" spans="2:171" ht="14.25" customHeight="1" x14ac:dyDescent="0.3">
      <c r="C6" s="38" t="s">
        <v>4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8" t="s">
        <v>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8" t="s">
        <v>6</v>
      </c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8" t="s">
        <v>7</v>
      </c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8" t="s">
        <v>8</v>
      </c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8" t="s">
        <v>9</v>
      </c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8" t="s">
        <v>10</v>
      </c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8" t="s">
        <v>11</v>
      </c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8" t="s">
        <v>12</v>
      </c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8" t="s">
        <v>13</v>
      </c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8" t="s">
        <v>14</v>
      </c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8" t="s">
        <v>15</v>
      </c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8" t="s">
        <v>16</v>
      </c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</row>
    <row r="7" spans="2:171" ht="14.25" customHeight="1" x14ac:dyDescent="0.3">
      <c r="B7" s="5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25</v>
      </c>
      <c r="K7" s="6" t="s">
        <v>26</v>
      </c>
      <c r="L7" s="6" t="s">
        <v>27</v>
      </c>
      <c r="M7" s="6" t="s">
        <v>28</v>
      </c>
      <c r="N7" s="6" t="s">
        <v>29</v>
      </c>
      <c r="O7" s="6" t="s">
        <v>30</v>
      </c>
      <c r="P7" s="6" t="s">
        <v>18</v>
      </c>
      <c r="Q7" s="6" t="s">
        <v>19</v>
      </c>
      <c r="R7" s="6" t="s">
        <v>20</v>
      </c>
      <c r="S7" s="6" t="s">
        <v>21</v>
      </c>
      <c r="T7" s="6" t="s">
        <v>22</v>
      </c>
      <c r="U7" s="6" t="s">
        <v>23</v>
      </c>
      <c r="V7" s="6" t="s">
        <v>24</v>
      </c>
      <c r="W7" s="6" t="s">
        <v>25</v>
      </c>
      <c r="X7" s="6" t="s">
        <v>26</v>
      </c>
      <c r="Y7" s="6" t="s">
        <v>27</v>
      </c>
      <c r="Z7" s="6" t="s">
        <v>28</v>
      </c>
      <c r="AA7" s="6" t="s">
        <v>29</v>
      </c>
      <c r="AB7" s="6" t="s">
        <v>31</v>
      </c>
      <c r="AC7" s="6" t="s">
        <v>18</v>
      </c>
      <c r="AD7" s="6" t="s">
        <v>19</v>
      </c>
      <c r="AE7" s="6" t="s">
        <v>20</v>
      </c>
      <c r="AF7" s="6" t="s">
        <v>21</v>
      </c>
      <c r="AG7" s="6" t="s">
        <v>22</v>
      </c>
      <c r="AH7" s="6" t="s">
        <v>23</v>
      </c>
      <c r="AI7" s="6" t="s">
        <v>24</v>
      </c>
      <c r="AJ7" s="6" t="s">
        <v>25</v>
      </c>
      <c r="AK7" s="6" t="s">
        <v>26</v>
      </c>
      <c r="AL7" s="6" t="s">
        <v>27</v>
      </c>
      <c r="AM7" s="6" t="s">
        <v>28</v>
      </c>
      <c r="AN7" s="6" t="s">
        <v>29</v>
      </c>
      <c r="AO7" s="6" t="s">
        <v>32</v>
      </c>
      <c r="AP7" s="6" t="s">
        <v>18</v>
      </c>
      <c r="AQ7" s="6" t="s">
        <v>19</v>
      </c>
      <c r="AR7" s="6" t="s">
        <v>20</v>
      </c>
      <c r="AS7" s="6" t="s">
        <v>21</v>
      </c>
      <c r="AT7" s="6" t="s">
        <v>22</v>
      </c>
      <c r="AU7" s="6" t="s">
        <v>23</v>
      </c>
      <c r="AV7" s="6" t="s">
        <v>24</v>
      </c>
      <c r="AW7" s="6" t="s">
        <v>25</v>
      </c>
      <c r="AX7" s="6" t="s">
        <v>26</v>
      </c>
      <c r="AY7" s="6" t="s">
        <v>27</v>
      </c>
      <c r="AZ7" s="6" t="s">
        <v>28</v>
      </c>
      <c r="BA7" s="6" t="s">
        <v>29</v>
      </c>
      <c r="BB7" s="6" t="s">
        <v>33</v>
      </c>
      <c r="BC7" s="6" t="s">
        <v>18</v>
      </c>
      <c r="BD7" s="6" t="s">
        <v>19</v>
      </c>
      <c r="BE7" s="6" t="s">
        <v>20</v>
      </c>
      <c r="BF7" s="6" t="s">
        <v>21</v>
      </c>
      <c r="BG7" s="6" t="s">
        <v>22</v>
      </c>
      <c r="BH7" s="6" t="s">
        <v>23</v>
      </c>
      <c r="BI7" s="6" t="s">
        <v>24</v>
      </c>
      <c r="BJ7" s="6" t="s">
        <v>25</v>
      </c>
      <c r="BK7" s="6" t="s">
        <v>26</v>
      </c>
      <c r="BL7" s="6" t="s">
        <v>27</v>
      </c>
      <c r="BM7" s="6" t="s">
        <v>28</v>
      </c>
      <c r="BN7" s="6" t="s">
        <v>29</v>
      </c>
      <c r="BO7" s="6" t="s">
        <v>34</v>
      </c>
      <c r="BP7" s="6" t="s">
        <v>18</v>
      </c>
      <c r="BQ7" s="6" t="s">
        <v>19</v>
      </c>
      <c r="BR7" s="6" t="s">
        <v>20</v>
      </c>
      <c r="BS7" s="6" t="s">
        <v>21</v>
      </c>
      <c r="BT7" s="6" t="s">
        <v>22</v>
      </c>
      <c r="BU7" s="6" t="s">
        <v>23</v>
      </c>
      <c r="BV7" s="6" t="s">
        <v>24</v>
      </c>
      <c r="BW7" s="6" t="s">
        <v>25</v>
      </c>
      <c r="BX7" s="6" t="s">
        <v>26</v>
      </c>
      <c r="BY7" s="6" t="s">
        <v>27</v>
      </c>
      <c r="BZ7" s="6" t="s">
        <v>28</v>
      </c>
      <c r="CA7" s="6" t="s">
        <v>29</v>
      </c>
      <c r="CB7" s="6" t="s">
        <v>35</v>
      </c>
      <c r="CC7" s="6" t="s">
        <v>18</v>
      </c>
      <c r="CD7" s="6" t="s">
        <v>19</v>
      </c>
      <c r="CE7" s="6" t="s">
        <v>20</v>
      </c>
      <c r="CF7" s="6" t="s">
        <v>21</v>
      </c>
      <c r="CG7" s="6" t="s">
        <v>22</v>
      </c>
      <c r="CH7" s="6" t="s">
        <v>23</v>
      </c>
      <c r="CI7" s="6" t="s">
        <v>24</v>
      </c>
      <c r="CJ7" s="6" t="s">
        <v>25</v>
      </c>
      <c r="CK7" s="6" t="s">
        <v>26</v>
      </c>
      <c r="CL7" s="6" t="s">
        <v>27</v>
      </c>
      <c r="CM7" s="6" t="s">
        <v>28</v>
      </c>
      <c r="CN7" s="6" t="s">
        <v>29</v>
      </c>
      <c r="CO7" s="6" t="s">
        <v>36</v>
      </c>
      <c r="CP7" s="6" t="s">
        <v>18</v>
      </c>
      <c r="CQ7" s="6" t="s">
        <v>19</v>
      </c>
      <c r="CR7" s="6" t="s">
        <v>20</v>
      </c>
      <c r="CS7" s="6" t="s">
        <v>21</v>
      </c>
      <c r="CT7" s="6" t="s">
        <v>22</v>
      </c>
      <c r="CU7" s="6" t="s">
        <v>23</v>
      </c>
      <c r="CV7" s="6" t="s">
        <v>24</v>
      </c>
      <c r="CW7" s="6" t="s">
        <v>25</v>
      </c>
      <c r="CX7" s="6" t="s">
        <v>26</v>
      </c>
      <c r="CY7" s="6" t="s">
        <v>27</v>
      </c>
      <c r="CZ7" s="6" t="s">
        <v>28</v>
      </c>
      <c r="DA7" s="6" t="s">
        <v>29</v>
      </c>
      <c r="DB7" s="6" t="s">
        <v>37</v>
      </c>
      <c r="DC7" s="6" t="s">
        <v>18</v>
      </c>
      <c r="DD7" s="6" t="s">
        <v>19</v>
      </c>
      <c r="DE7" s="6" t="s">
        <v>20</v>
      </c>
      <c r="DF7" s="6" t="s">
        <v>21</v>
      </c>
      <c r="DG7" s="6" t="s">
        <v>22</v>
      </c>
      <c r="DH7" s="6" t="s">
        <v>23</v>
      </c>
      <c r="DI7" s="6" t="s">
        <v>24</v>
      </c>
      <c r="DJ7" s="6" t="s">
        <v>25</v>
      </c>
      <c r="DK7" s="6" t="s">
        <v>26</v>
      </c>
      <c r="DL7" s="6" t="s">
        <v>27</v>
      </c>
      <c r="DM7" s="6" t="s">
        <v>28</v>
      </c>
      <c r="DN7" s="6" t="s">
        <v>29</v>
      </c>
      <c r="DO7" s="6" t="s">
        <v>38</v>
      </c>
      <c r="DP7" s="6" t="s">
        <v>18</v>
      </c>
      <c r="DQ7" s="6" t="s">
        <v>19</v>
      </c>
      <c r="DR7" s="6" t="s">
        <v>20</v>
      </c>
      <c r="DS7" s="6" t="s">
        <v>21</v>
      </c>
      <c r="DT7" s="6" t="s">
        <v>22</v>
      </c>
      <c r="DU7" s="6" t="s">
        <v>23</v>
      </c>
      <c r="DV7" s="6" t="s">
        <v>24</v>
      </c>
      <c r="DW7" s="6" t="s">
        <v>25</v>
      </c>
      <c r="DX7" s="6" t="s">
        <v>26</v>
      </c>
      <c r="DY7" s="6" t="s">
        <v>27</v>
      </c>
      <c r="DZ7" s="6" t="s">
        <v>28</v>
      </c>
      <c r="EA7" s="6" t="s">
        <v>29</v>
      </c>
      <c r="EB7" s="6" t="s">
        <v>39</v>
      </c>
      <c r="EC7" s="6" t="s">
        <v>18</v>
      </c>
      <c r="ED7" s="6" t="s">
        <v>19</v>
      </c>
      <c r="EE7" s="6" t="s">
        <v>20</v>
      </c>
      <c r="EF7" s="6" t="s">
        <v>21</v>
      </c>
      <c r="EG7" s="6" t="s">
        <v>22</v>
      </c>
      <c r="EH7" s="6" t="s">
        <v>23</v>
      </c>
      <c r="EI7" s="6" t="s">
        <v>24</v>
      </c>
      <c r="EJ7" s="6" t="s">
        <v>25</v>
      </c>
      <c r="EK7" s="6" t="s">
        <v>26</v>
      </c>
      <c r="EL7" s="6" t="s">
        <v>27</v>
      </c>
      <c r="EM7" s="6" t="s">
        <v>28</v>
      </c>
      <c r="EN7" s="6" t="s">
        <v>29</v>
      </c>
      <c r="EO7" s="6" t="s">
        <v>40</v>
      </c>
      <c r="EP7" s="6" t="s">
        <v>18</v>
      </c>
      <c r="EQ7" s="6" t="s">
        <v>19</v>
      </c>
      <c r="ER7" s="6" t="s">
        <v>20</v>
      </c>
      <c r="ES7" s="6" t="s">
        <v>21</v>
      </c>
      <c r="ET7" s="6" t="s">
        <v>22</v>
      </c>
      <c r="EU7" s="6" t="s">
        <v>23</v>
      </c>
      <c r="EV7" s="6" t="s">
        <v>24</v>
      </c>
      <c r="EW7" s="6" t="s">
        <v>25</v>
      </c>
      <c r="EX7" s="6" t="s">
        <v>26</v>
      </c>
      <c r="EY7" s="6" t="s">
        <v>27</v>
      </c>
      <c r="EZ7" s="6" t="s">
        <v>28</v>
      </c>
      <c r="FA7" s="6" t="s">
        <v>29</v>
      </c>
      <c r="FB7" s="6" t="s">
        <v>41</v>
      </c>
      <c r="FC7" s="6" t="s">
        <v>18</v>
      </c>
      <c r="FD7" s="6" t="s">
        <v>19</v>
      </c>
      <c r="FE7" s="6" t="s">
        <v>20</v>
      </c>
      <c r="FF7" s="6" t="s">
        <v>21</v>
      </c>
      <c r="FG7" s="6" t="s">
        <v>22</v>
      </c>
      <c r="FH7" s="6" t="s">
        <v>23</v>
      </c>
      <c r="FI7" s="6" t="s">
        <v>24</v>
      </c>
      <c r="FJ7" s="6" t="s">
        <v>25</v>
      </c>
      <c r="FK7" s="6" t="s">
        <v>26</v>
      </c>
      <c r="FL7" s="6" t="s">
        <v>27</v>
      </c>
      <c r="FM7" s="6" t="s">
        <v>28</v>
      </c>
      <c r="FN7" s="6" t="s">
        <v>29</v>
      </c>
      <c r="FO7" s="6" t="s">
        <v>42</v>
      </c>
    </row>
    <row r="8" spans="2:171" ht="14.25" customHeight="1" x14ac:dyDescent="0.3">
      <c r="B8" s="7" t="s">
        <v>43</v>
      </c>
      <c r="C8" s="8">
        <v>747570</v>
      </c>
      <c r="D8" s="8">
        <v>747570</v>
      </c>
      <c r="E8" s="8">
        <v>747570</v>
      </c>
      <c r="F8" s="8">
        <v>747570</v>
      </c>
      <c r="G8" s="8">
        <v>747570</v>
      </c>
      <c r="H8" s="8">
        <v>747570</v>
      </c>
      <c r="I8" s="8">
        <v>747570</v>
      </c>
      <c r="J8" s="8">
        <v>747570</v>
      </c>
      <c r="K8" s="8">
        <v>747570</v>
      </c>
      <c r="L8" s="8">
        <v>747570</v>
      </c>
      <c r="M8" s="8">
        <v>747570</v>
      </c>
      <c r="N8" s="8">
        <v>747570</v>
      </c>
      <c r="O8" s="9">
        <f t="shared" ref="O8:O39" si="0">N8</f>
        <v>747570</v>
      </c>
      <c r="P8" s="8">
        <v>206000</v>
      </c>
      <c r="Q8" s="8">
        <v>206000</v>
      </c>
      <c r="R8" s="8">
        <v>206000</v>
      </c>
      <c r="S8" s="8">
        <v>206000</v>
      </c>
      <c r="T8" s="8">
        <v>206000</v>
      </c>
      <c r="U8" s="8">
        <v>206000</v>
      </c>
      <c r="V8" s="8">
        <v>206000</v>
      </c>
      <c r="W8" s="8">
        <v>206000</v>
      </c>
      <c r="X8" s="8">
        <v>206000</v>
      </c>
      <c r="Y8" s="8">
        <v>206000</v>
      </c>
      <c r="Z8" s="8">
        <v>206000</v>
      </c>
      <c r="AA8" s="8">
        <v>206000</v>
      </c>
      <c r="AB8" s="9">
        <f t="shared" ref="AB8:AB39" si="1">AA8</f>
        <v>206000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9">
        <f t="shared" ref="AO8:AO39" si="2">AN8</f>
        <v>0</v>
      </c>
      <c r="AP8" s="8">
        <v>237364</v>
      </c>
      <c r="AQ8" s="8">
        <v>237364</v>
      </c>
      <c r="AR8" s="8">
        <v>237364</v>
      </c>
      <c r="AS8" s="8">
        <v>237364</v>
      </c>
      <c r="AT8" s="8">
        <v>237364</v>
      </c>
      <c r="AU8" s="8">
        <v>237364</v>
      </c>
      <c r="AV8" s="8">
        <v>237364</v>
      </c>
      <c r="AW8" s="8">
        <v>237364</v>
      </c>
      <c r="AX8" s="8">
        <v>237364</v>
      </c>
      <c r="AY8" s="8">
        <v>237364</v>
      </c>
      <c r="AZ8" s="8">
        <v>237364</v>
      </c>
      <c r="BA8" s="8">
        <v>237364</v>
      </c>
      <c r="BB8" s="9">
        <f t="shared" ref="BB8:BB39" si="3">BA8</f>
        <v>237364</v>
      </c>
      <c r="BC8" s="8">
        <v>0</v>
      </c>
      <c r="BD8" s="8">
        <v>0</v>
      </c>
      <c r="BE8" s="8">
        <v>0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8">
        <v>0</v>
      </c>
      <c r="BM8" s="8">
        <v>0</v>
      </c>
      <c r="BN8" s="8">
        <v>0</v>
      </c>
      <c r="BO8" s="9">
        <f t="shared" ref="BO8:BO39" si="4">BN8</f>
        <v>0</v>
      </c>
      <c r="BP8" s="8">
        <v>0</v>
      </c>
      <c r="BQ8" s="8">
        <v>0</v>
      </c>
      <c r="BR8" s="8">
        <v>0</v>
      </c>
      <c r="BS8" s="8">
        <v>0</v>
      </c>
      <c r="BT8" s="8">
        <v>0</v>
      </c>
      <c r="BU8" s="8">
        <v>0</v>
      </c>
      <c r="BV8" s="8">
        <v>0</v>
      </c>
      <c r="BW8" s="8">
        <v>0</v>
      </c>
      <c r="BX8" s="8">
        <v>0</v>
      </c>
      <c r="BY8" s="8">
        <v>0</v>
      </c>
      <c r="BZ8" s="8">
        <v>0</v>
      </c>
      <c r="CA8" s="8">
        <v>0</v>
      </c>
      <c r="CB8" s="9">
        <f t="shared" ref="CB8:CB39" si="5">CA8</f>
        <v>0</v>
      </c>
      <c r="CC8" s="8">
        <v>1026000</v>
      </c>
      <c r="CD8" s="8">
        <v>1026000</v>
      </c>
      <c r="CE8" s="8">
        <v>1026000</v>
      </c>
      <c r="CF8" s="8">
        <v>1026000</v>
      </c>
      <c r="CG8" s="8">
        <v>1026000</v>
      </c>
      <c r="CH8" s="8">
        <v>1026000</v>
      </c>
      <c r="CI8" s="8">
        <v>1026000</v>
      </c>
      <c r="CJ8" s="8">
        <v>1026000</v>
      </c>
      <c r="CK8" s="8">
        <v>1026000</v>
      </c>
      <c r="CL8" s="8">
        <v>1026000</v>
      </c>
      <c r="CM8" s="8">
        <v>1026000</v>
      </c>
      <c r="CN8" s="8">
        <v>1026000</v>
      </c>
      <c r="CO8" s="9">
        <f t="shared" ref="CO8:CO39" si="6">CN8</f>
        <v>1026000</v>
      </c>
      <c r="CP8" s="8">
        <v>800605</v>
      </c>
      <c r="CQ8" s="8">
        <v>800605</v>
      </c>
      <c r="CR8" s="8">
        <v>800605</v>
      </c>
      <c r="CS8" s="8">
        <v>800605</v>
      </c>
      <c r="CT8" s="8">
        <v>800605</v>
      </c>
      <c r="CU8" s="8">
        <v>800605</v>
      </c>
      <c r="CV8" s="8">
        <v>800605</v>
      </c>
      <c r="CW8" s="8">
        <v>800605</v>
      </c>
      <c r="CX8" s="8">
        <v>800605</v>
      </c>
      <c r="CY8" s="8">
        <v>800605</v>
      </c>
      <c r="CZ8" s="8">
        <v>800605</v>
      </c>
      <c r="DA8" s="8">
        <v>800605</v>
      </c>
      <c r="DB8" s="9">
        <f t="shared" ref="DB8:DB39" si="7">DA8</f>
        <v>800605</v>
      </c>
      <c r="DC8" s="8">
        <v>2301909</v>
      </c>
      <c r="DD8" s="8">
        <v>2301909</v>
      </c>
      <c r="DE8" s="8">
        <v>2301909</v>
      </c>
      <c r="DF8" s="8">
        <v>2301909</v>
      </c>
      <c r="DG8" s="8">
        <v>2301909</v>
      </c>
      <c r="DH8" s="8">
        <v>2301909</v>
      </c>
      <c r="DI8" s="8">
        <v>2301909</v>
      </c>
      <c r="DJ8" s="8">
        <v>2301909</v>
      </c>
      <c r="DK8" s="8">
        <v>2301909</v>
      </c>
      <c r="DL8" s="8">
        <v>2301909</v>
      </c>
      <c r="DM8" s="8">
        <v>2301909</v>
      </c>
      <c r="DN8" s="8">
        <v>2301909</v>
      </c>
      <c r="DO8" s="9">
        <f t="shared" ref="DO8:DO39" si="8">DN8</f>
        <v>2301909</v>
      </c>
      <c r="DP8" s="8">
        <v>1324402</v>
      </c>
      <c r="DQ8" s="8">
        <v>1324402</v>
      </c>
      <c r="DR8" s="8">
        <v>1324402</v>
      </c>
      <c r="DS8" s="8">
        <v>1324402</v>
      </c>
      <c r="DT8" s="8">
        <v>1324402</v>
      </c>
      <c r="DU8" s="8">
        <v>1324402</v>
      </c>
      <c r="DV8" s="8">
        <v>1324402</v>
      </c>
      <c r="DW8" s="8">
        <v>1324402</v>
      </c>
      <c r="DX8" s="8">
        <v>1324402</v>
      </c>
      <c r="DY8" s="8">
        <v>1324402</v>
      </c>
      <c r="DZ8" s="8">
        <v>1324402</v>
      </c>
      <c r="EA8" s="8">
        <v>1324402</v>
      </c>
      <c r="EB8" s="9">
        <f t="shared" ref="EB8:EB39" si="9">EA8</f>
        <v>1324402</v>
      </c>
      <c r="EC8" s="8">
        <v>1459534</v>
      </c>
      <c r="ED8" s="8">
        <v>1459534</v>
      </c>
      <c r="EE8" s="8">
        <v>1459534</v>
      </c>
      <c r="EF8" s="8">
        <v>1459534</v>
      </c>
      <c r="EG8" s="8">
        <v>1459534</v>
      </c>
      <c r="EH8" s="8">
        <v>1459534</v>
      </c>
      <c r="EI8" s="8">
        <v>1459534</v>
      </c>
      <c r="EJ8" s="8">
        <v>1459534</v>
      </c>
      <c r="EK8" s="8">
        <v>1459534</v>
      </c>
      <c r="EL8" s="8">
        <v>1459534</v>
      </c>
      <c r="EM8" s="8">
        <v>1459534</v>
      </c>
      <c r="EN8" s="8">
        <v>1459534</v>
      </c>
      <c r="EO8" s="9">
        <f t="shared" ref="EO8:EO39" si="10">EN8</f>
        <v>1459534</v>
      </c>
      <c r="EP8" s="8">
        <v>781455</v>
      </c>
      <c r="EQ8" s="8">
        <v>781455</v>
      </c>
      <c r="ER8" s="8">
        <v>781455</v>
      </c>
      <c r="ES8" s="8">
        <v>781455</v>
      </c>
      <c r="ET8" s="8">
        <v>781455</v>
      </c>
      <c r="EU8" s="8">
        <v>781455</v>
      </c>
      <c r="EV8" s="8">
        <v>781455</v>
      </c>
      <c r="EW8" s="8">
        <v>781455</v>
      </c>
      <c r="EX8" s="8">
        <v>781455</v>
      </c>
      <c r="EY8" s="8">
        <v>781455</v>
      </c>
      <c r="EZ8" s="8">
        <v>781455</v>
      </c>
      <c r="FA8" s="8">
        <v>781455</v>
      </c>
      <c r="FB8" s="9">
        <f t="shared" ref="FB8:FB39" si="11">FA8</f>
        <v>781455</v>
      </c>
      <c r="FC8" s="8">
        <v>657325</v>
      </c>
      <c r="FD8" s="8">
        <v>657325</v>
      </c>
      <c r="FE8" s="8">
        <v>657325</v>
      </c>
      <c r="FF8" s="8">
        <v>657325</v>
      </c>
      <c r="FG8" s="8">
        <v>657325</v>
      </c>
      <c r="FH8" s="8">
        <v>657325</v>
      </c>
      <c r="FI8" s="8">
        <v>657325</v>
      </c>
      <c r="FJ8" s="8"/>
      <c r="FK8" s="8"/>
      <c r="FL8" s="8"/>
      <c r="FM8" s="8"/>
      <c r="FN8" s="8"/>
      <c r="FO8" s="9">
        <f t="shared" ref="FO8:FO39" si="12">FI8</f>
        <v>657325</v>
      </c>
    </row>
    <row r="9" spans="2:171" ht="14.25" customHeight="1" x14ac:dyDescent="0.3">
      <c r="B9" s="7" t="s">
        <v>44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f t="shared" si="0"/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9">
        <f t="shared" si="1"/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9">
        <f t="shared" si="2"/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9">
        <f t="shared" si="3"/>
        <v>0</v>
      </c>
      <c r="BC9" s="8">
        <v>0</v>
      </c>
      <c r="BD9" s="8">
        <v>0</v>
      </c>
      <c r="BE9" s="8">
        <v>0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8">
        <v>0</v>
      </c>
      <c r="BM9" s="8">
        <v>0</v>
      </c>
      <c r="BN9" s="8">
        <v>0</v>
      </c>
      <c r="BO9" s="9">
        <f t="shared" si="4"/>
        <v>0</v>
      </c>
      <c r="BP9" s="8">
        <v>0</v>
      </c>
      <c r="BQ9" s="8">
        <v>0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0</v>
      </c>
      <c r="BX9" s="8">
        <v>0</v>
      </c>
      <c r="BY9" s="8">
        <v>0</v>
      </c>
      <c r="BZ9" s="8">
        <v>0</v>
      </c>
      <c r="CA9" s="8">
        <v>0</v>
      </c>
      <c r="CB9" s="9">
        <f t="shared" si="5"/>
        <v>0</v>
      </c>
      <c r="CC9" s="8">
        <v>0</v>
      </c>
      <c r="CD9" s="8">
        <v>0</v>
      </c>
      <c r="CE9" s="8">
        <v>0</v>
      </c>
      <c r="CF9" s="8">
        <v>0</v>
      </c>
      <c r="CG9" s="8">
        <v>0</v>
      </c>
      <c r="CH9" s="8">
        <v>0</v>
      </c>
      <c r="CI9" s="8">
        <v>0</v>
      </c>
      <c r="CJ9" s="8">
        <v>0</v>
      </c>
      <c r="CK9" s="8">
        <v>0</v>
      </c>
      <c r="CL9" s="8">
        <v>0</v>
      </c>
      <c r="CM9" s="8">
        <v>0</v>
      </c>
      <c r="CN9" s="8">
        <v>0</v>
      </c>
      <c r="CO9" s="9">
        <f t="shared" si="6"/>
        <v>0</v>
      </c>
      <c r="CP9" s="8">
        <v>0</v>
      </c>
      <c r="CQ9" s="8">
        <v>0</v>
      </c>
      <c r="CR9" s="8">
        <v>0</v>
      </c>
      <c r="CS9" s="8">
        <v>0</v>
      </c>
      <c r="CT9" s="8">
        <v>0</v>
      </c>
      <c r="CU9" s="8">
        <v>0</v>
      </c>
      <c r="CV9" s="8">
        <v>0</v>
      </c>
      <c r="CW9" s="8">
        <v>0</v>
      </c>
      <c r="CX9" s="8">
        <v>0</v>
      </c>
      <c r="CY9" s="8">
        <v>0</v>
      </c>
      <c r="CZ9" s="8">
        <v>0</v>
      </c>
      <c r="DA9" s="8">
        <v>0</v>
      </c>
      <c r="DB9" s="9">
        <f t="shared" si="7"/>
        <v>0</v>
      </c>
      <c r="DC9" s="8">
        <v>0</v>
      </c>
      <c r="DD9" s="8">
        <v>0</v>
      </c>
      <c r="DE9" s="8">
        <v>0</v>
      </c>
      <c r="DF9" s="8">
        <v>0</v>
      </c>
      <c r="DG9" s="8">
        <v>0</v>
      </c>
      <c r="DH9" s="8">
        <v>0</v>
      </c>
      <c r="DI9" s="8">
        <v>0</v>
      </c>
      <c r="DJ9" s="8">
        <v>0</v>
      </c>
      <c r="DK9" s="8">
        <v>0</v>
      </c>
      <c r="DL9" s="8">
        <v>0</v>
      </c>
      <c r="DM9" s="8">
        <v>0</v>
      </c>
      <c r="DN9" s="8">
        <v>0</v>
      </c>
      <c r="DO9" s="9">
        <f t="shared" si="8"/>
        <v>0</v>
      </c>
      <c r="DP9" s="8">
        <v>0</v>
      </c>
      <c r="DQ9" s="8">
        <v>0</v>
      </c>
      <c r="DR9" s="8">
        <v>0</v>
      </c>
      <c r="DS9" s="8">
        <v>0</v>
      </c>
      <c r="DT9" s="8">
        <v>0</v>
      </c>
      <c r="DU9" s="8">
        <v>0</v>
      </c>
      <c r="DV9" s="8">
        <v>0</v>
      </c>
      <c r="DW9" s="8">
        <v>0</v>
      </c>
      <c r="DX9" s="8">
        <v>0</v>
      </c>
      <c r="DY9" s="8">
        <v>0</v>
      </c>
      <c r="DZ9" s="8">
        <v>0</v>
      </c>
      <c r="EA9" s="8">
        <v>0</v>
      </c>
      <c r="EB9" s="9">
        <f t="shared" si="9"/>
        <v>0</v>
      </c>
      <c r="EC9" s="8">
        <v>0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0</v>
      </c>
      <c r="EK9" s="8">
        <v>0</v>
      </c>
      <c r="EL9" s="8">
        <v>0</v>
      </c>
      <c r="EM9" s="8">
        <v>0</v>
      </c>
      <c r="EN9" s="8">
        <v>0</v>
      </c>
      <c r="EO9" s="9">
        <f t="shared" si="10"/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9">
        <f t="shared" si="11"/>
        <v>0</v>
      </c>
      <c r="FC9" s="8">
        <v>3133791</v>
      </c>
      <c r="FD9" s="8">
        <v>3133791</v>
      </c>
      <c r="FE9" s="8">
        <v>3133791</v>
      </c>
      <c r="FF9" s="8">
        <v>3133791</v>
      </c>
      <c r="FG9" s="8">
        <v>3133791</v>
      </c>
      <c r="FH9" s="8">
        <v>3133791</v>
      </c>
      <c r="FI9" s="8">
        <v>3133791</v>
      </c>
      <c r="FJ9" s="8"/>
      <c r="FK9" s="8"/>
      <c r="FL9" s="8"/>
      <c r="FM9" s="8"/>
      <c r="FN9" s="8"/>
      <c r="FO9" s="9">
        <f t="shared" si="12"/>
        <v>3133791</v>
      </c>
    </row>
    <row r="10" spans="2:171" ht="14.25" customHeight="1" x14ac:dyDescent="0.3">
      <c r="B10" s="7" t="s">
        <v>45</v>
      </c>
      <c r="C10" s="8">
        <v>274548673</v>
      </c>
      <c r="D10" s="8">
        <v>274548673</v>
      </c>
      <c r="E10" s="8">
        <v>274548673</v>
      </c>
      <c r="F10" s="8">
        <v>274548673</v>
      </c>
      <c r="G10" s="8">
        <v>274548673</v>
      </c>
      <c r="H10" s="8">
        <v>274548673</v>
      </c>
      <c r="I10" s="8">
        <v>274548673</v>
      </c>
      <c r="J10" s="8">
        <v>274548673</v>
      </c>
      <c r="K10" s="8">
        <v>274548673</v>
      </c>
      <c r="L10" s="8">
        <v>274548673</v>
      </c>
      <c r="M10" s="8">
        <v>274548673</v>
      </c>
      <c r="N10" s="8">
        <v>274548673</v>
      </c>
      <c r="O10" s="9">
        <f t="shared" si="0"/>
        <v>274548673</v>
      </c>
      <c r="P10" s="8">
        <v>528813287</v>
      </c>
      <c r="Q10" s="8">
        <v>528813287</v>
      </c>
      <c r="R10" s="8">
        <v>528813287</v>
      </c>
      <c r="S10" s="8">
        <v>528813287</v>
      </c>
      <c r="T10" s="8">
        <v>528813287</v>
      </c>
      <c r="U10" s="8">
        <v>528813287</v>
      </c>
      <c r="V10" s="8">
        <v>528813287</v>
      </c>
      <c r="W10" s="8">
        <v>528813287</v>
      </c>
      <c r="X10" s="8">
        <v>528813287</v>
      </c>
      <c r="Y10" s="8">
        <v>528813287</v>
      </c>
      <c r="Z10" s="8">
        <v>528813287</v>
      </c>
      <c r="AA10" s="8">
        <v>528813287</v>
      </c>
      <c r="AB10" s="9">
        <f t="shared" si="1"/>
        <v>528813287</v>
      </c>
      <c r="AC10" s="8">
        <v>497824800</v>
      </c>
      <c r="AD10" s="8">
        <v>497824800</v>
      </c>
      <c r="AE10" s="8">
        <v>497824800</v>
      </c>
      <c r="AF10" s="8">
        <v>497824800</v>
      </c>
      <c r="AG10" s="8">
        <v>497824800</v>
      </c>
      <c r="AH10" s="8">
        <v>497824800</v>
      </c>
      <c r="AI10" s="8">
        <v>497824800</v>
      </c>
      <c r="AJ10" s="8">
        <v>497824800</v>
      </c>
      <c r="AK10" s="8">
        <v>497824800</v>
      </c>
      <c r="AL10" s="8">
        <v>497824800</v>
      </c>
      <c r="AM10" s="8">
        <v>497824800</v>
      </c>
      <c r="AN10" s="8">
        <v>497824800</v>
      </c>
      <c r="AO10" s="9">
        <f t="shared" si="2"/>
        <v>497824800</v>
      </c>
      <c r="AP10" s="8">
        <v>349316570</v>
      </c>
      <c r="AQ10" s="8">
        <v>349316570</v>
      </c>
      <c r="AR10" s="8">
        <v>349316570</v>
      </c>
      <c r="AS10" s="8">
        <v>349316570</v>
      </c>
      <c r="AT10" s="8">
        <v>349316570</v>
      </c>
      <c r="AU10" s="8">
        <v>349316570</v>
      </c>
      <c r="AV10" s="8">
        <v>349316570</v>
      </c>
      <c r="AW10" s="8">
        <v>349316570</v>
      </c>
      <c r="AX10" s="8">
        <v>349316570</v>
      </c>
      <c r="AY10" s="8">
        <v>349316570</v>
      </c>
      <c r="AZ10" s="8">
        <v>349316570</v>
      </c>
      <c r="BA10" s="8">
        <v>349316570</v>
      </c>
      <c r="BB10" s="9">
        <f t="shared" si="3"/>
        <v>349316570</v>
      </c>
      <c r="BC10" s="8">
        <v>439600285</v>
      </c>
      <c r="BD10" s="8">
        <v>439600285</v>
      </c>
      <c r="BE10" s="8">
        <v>439600285</v>
      </c>
      <c r="BF10" s="8">
        <v>439600285</v>
      </c>
      <c r="BG10" s="8">
        <v>439600285</v>
      </c>
      <c r="BH10" s="8">
        <v>439600285</v>
      </c>
      <c r="BI10" s="8">
        <v>439600285</v>
      </c>
      <c r="BJ10" s="8">
        <v>439600285</v>
      </c>
      <c r="BK10" s="8">
        <v>439600285</v>
      </c>
      <c r="BL10" s="8">
        <v>439600285</v>
      </c>
      <c r="BM10" s="8">
        <v>439600285</v>
      </c>
      <c r="BN10" s="8">
        <v>439600285</v>
      </c>
      <c r="BO10" s="9">
        <f t="shared" si="4"/>
        <v>439600285</v>
      </c>
      <c r="BP10" s="8">
        <v>418874044</v>
      </c>
      <c r="BQ10" s="8">
        <v>418874044</v>
      </c>
      <c r="BR10" s="8">
        <v>418874044</v>
      </c>
      <c r="BS10" s="8">
        <v>418874044</v>
      </c>
      <c r="BT10" s="8">
        <v>418874044</v>
      </c>
      <c r="BU10" s="8">
        <v>418874044</v>
      </c>
      <c r="BV10" s="8">
        <v>418874044</v>
      </c>
      <c r="BW10" s="8">
        <v>418874044</v>
      </c>
      <c r="BX10" s="8">
        <v>418874044</v>
      </c>
      <c r="BY10" s="8">
        <v>418874044</v>
      </c>
      <c r="BZ10" s="8">
        <v>418874044</v>
      </c>
      <c r="CA10" s="8">
        <v>418874044</v>
      </c>
      <c r="CB10" s="9">
        <f t="shared" si="5"/>
        <v>418874044</v>
      </c>
      <c r="CC10" s="8">
        <v>733952985</v>
      </c>
      <c r="CD10" s="8">
        <v>733952985</v>
      </c>
      <c r="CE10" s="8">
        <v>733952985</v>
      </c>
      <c r="CF10" s="8">
        <v>733952985</v>
      </c>
      <c r="CG10" s="8">
        <v>733952985</v>
      </c>
      <c r="CH10" s="8">
        <v>733952985</v>
      </c>
      <c r="CI10" s="8">
        <v>733952985</v>
      </c>
      <c r="CJ10" s="8">
        <v>733952985</v>
      </c>
      <c r="CK10" s="8">
        <v>733952985</v>
      </c>
      <c r="CL10" s="8">
        <v>733952985</v>
      </c>
      <c r="CM10" s="8">
        <v>733952985</v>
      </c>
      <c r="CN10" s="8">
        <v>733952985</v>
      </c>
      <c r="CO10" s="9">
        <f t="shared" si="6"/>
        <v>733952985</v>
      </c>
      <c r="CP10" s="8">
        <v>653979311</v>
      </c>
      <c r="CQ10" s="8">
        <v>653979311</v>
      </c>
      <c r="CR10" s="8">
        <v>653979311</v>
      </c>
      <c r="CS10" s="8">
        <v>653979311</v>
      </c>
      <c r="CT10" s="8">
        <v>653979311</v>
      </c>
      <c r="CU10" s="8">
        <v>653979311</v>
      </c>
      <c r="CV10" s="8">
        <v>653979311</v>
      </c>
      <c r="CW10" s="8">
        <v>653979311</v>
      </c>
      <c r="CX10" s="8">
        <v>653979311</v>
      </c>
      <c r="CY10" s="8">
        <v>653979311</v>
      </c>
      <c r="CZ10" s="8">
        <v>653979311</v>
      </c>
      <c r="DA10" s="8">
        <v>653979311</v>
      </c>
      <c r="DB10" s="9">
        <f t="shared" si="7"/>
        <v>653979311</v>
      </c>
      <c r="DC10" s="8">
        <v>642175866</v>
      </c>
      <c r="DD10" s="8">
        <v>642175866</v>
      </c>
      <c r="DE10" s="8">
        <v>642175866</v>
      </c>
      <c r="DF10" s="8">
        <v>642175866</v>
      </c>
      <c r="DG10" s="8">
        <v>642175866</v>
      </c>
      <c r="DH10" s="8">
        <v>642175866</v>
      </c>
      <c r="DI10" s="8">
        <v>642175866</v>
      </c>
      <c r="DJ10" s="8">
        <v>642175866</v>
      </c>
      <c r="DK10" s="8">
        <v>642175866</v>
      </c>
      <c r="DL10" s="8">
        <v>642175866</v>
      </c>
      <c r="DM10" s="8">
        <v>642175866</v>
      </c>
      <c r="DN10" s="8">
        <v>642175866</v>
      </c>
      <c r="DO10" s="9">
        <f t="shared" si="8"/>
        <v>642175866</v>
      </c>
      <c r="DP10" s="8">
        <v>709260889</v>
      </c>
      <c r="DQ10" s="8">
        <v>709260889</v>
      </c>
      <c r="DR10" s="8">
        <v>709260889</v>
      </c>
      <c r="DS10" s="8">
        <v>709260889</v>
      </c>
      <c r="DT10" s="8">
        <v>709260889</v>
      </c>
      <c r="DU10" s="8">
        <v>709260889</v>
      </c>
      <c r="DV10" s="8">
        <v>709260889</v>
      </c>
      <c r="DW10" s="8">
        <v>709260889</v>
      </c>
      <c r="DX10" s="8">
        <v>709260889</v>
      </c>
      <c r="DY10" s="8">
        <v>709260889</v>
      </c>
      <c r="DZ10" s="8">
        <v>709260889</v>
      </c>
      <c r="EA10" s="8">
        <v>709260889</v>
      </c>
      <c r="EB10" s="9">
        <f t="shared" si="9"/>
        <v>709260889</v>
      </c>
      <c r="EC10" s="8">
        <v>581851338</v>
      </c>
      <c r="ED10" s="8">
        <v>581851338</v>
      </c>
      <c r="EE10" s="8">
        <v>581851338</v>
      </c>
      <c r="EF10" s="8">
        <v>581851338</v>
      </c>
      <c r="EG10" s="8">
        <v>581851338</v>
      </c>
      <c r="EH10" s="8">
        <v>581851338</v>
      </c>
      <c r="EI10" s="8">
        <v>581851338</v>
      </c>
      <c r="EJ10" s="8">
        <v>581851338</v>
      </c>
      <c r="EK10" s="8">
        <v>581851338</v>
      </c>
      <c r="EL10" s="8">
        <v>581851338</v>
      </c>
      <c r="EM10" s="8">
        <v>581851338</v>
      </c>
      <c r="EN10" s="8">
        <v>581851338</v>
      </c>
      <c r="EO10" s="9">
        <f t="shared" si="10"/>
        <v>581851338</v>
      </c>
      <c r="EP10" s="8">
        <v>573366549</v>
      </c>
      <c r="EQ10" s="8">
        <v>573366549</v>
      </c>
      <c r="ER10" s="8">
        <v>573366549</v>
      </c>
      <c r="ES10" s="8">
        <v>573366549</v>
      </c>
      <c r="ET10" s="8">
        <v>573366549</v>
      </c>
      <c r="EU10" s="8">
        <v>573366549</v>
      </c>
      <c r="EV10" s="8">
        <v>573366549</v>
      </c>
      <c r="EW10" s="8">
        <v>573366549</v>
      </c>
      <c r="EX10" s="8">
        <v>573366549</v>
      </c>
      <c r="EY10" s="8">
        <v>573366549</v>
      </c>
      <c r="EZ10" s="8">
        <v>573366549</v>
      </c>
      <c r="FA10" s="8">
        <v>573366549</v>
      </c>
      <c r="FB10" s="9">
        <f t="shared" si="11"/>
        <v>573366549</v>
      </c>
      <c r="FC10" s="8">
        <v>201002151</v>
      </c>
      <c r="FD10" s="8">
        <v>201002151</v>
      </c>
      <c r="FE10" s="8">
        <v>201002151</v>
      </c>
      <c r="FF10" s="8">
        <v>201002151</v>
      </c>
      <c r="FG10" s="8">
        <v>201002151</v>
      </c>
      <c r="FH10" s="8">
        <v>201002151</v>
      </c>
      <c r="FI10" s="8">
        <v>201002151</v>
      </c>
      <c r="FJ10" s="8"/>
      <c r="FK10" s="8"/>
      <c r="FL10" s="8"/>
      <c r="FM10" s="8"/>
      <c r="FN10" s="8"/>
      <c r="FO10" s="9">
        <f t="shared" si="12"/>
        <v>201002151</v>
      </c>
    </row>
    <row r="11" spans="2:171" ht="14.25" customHeight="1" x14ac:dyDescent="0.3">
      <c r="B11" s="7" t="s">
        <v>46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f t="shared" si="0"/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9">
        <f t="shared" si="1"/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9">
        <f t="shared" si="2"/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9">
        <f t="shared" si="3"/>
        <v>0</v>
      </c>
      <c r="BC11" s="8">
        <v>0</v>
      </c>
      <c r="BD11" s="8">
        <v>0</v>
      </c>
      <c r="BE11" s="8">
        <v>0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8">
        <v>0</v>
      </c>
      <c r="BM11" s="8">
        <v>0</v>
      </c>
      <c r="BN11" s="8">
        <v>0</v>
      </c>
      <c r="BO11" s="9">
        <f t="shared" si="4"/>
        <v>0</v>
      </c>
      <c r="BP11" s="8">
        <v>0</v>
      </c>
      <c r="BQ11" s="8">
        <v>0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0</v>
      </c>
      <c r="BX11" s="8">
        <v>0</v>
      </c>
      <c r="BY11" s="8">
        <v>0</v>
      </c>
      <c r="BZ11" s="8">
        <v>0</v>
      </c>
      <c r="CA11" s="8">
        <v>0</v>
      </c>
      <c r="CB11" s="9">
        <f t="shared" si="5"/>
        <v>0</v>
      </c>
      <c r="CC11" s="8">
        <v>0</v>
      </c>
      <c r="CD11" s="8">
        <v>0</v>
      </c>
      <c r="CE11" s="8">
        <v>0</v>
      </c>
      <c r="CF11" s="8">
        <v>0</v>
      </c>
      <c r="CG11" s="8">
        <v>0</v>
      </c>
      <c r="CH11" s="8">
        <v>0</v>
      </c>
      <c r="CI11" s="8">
        <v>0</v>
      </c>
      <c r="CJ11" s="8">
        <v>0</v>
      </c>
      <c r="CK11" s="8">
        <v>0</v>
      </c>
      <c r="CL11" s="8">
        <v>0</v>
      </c>
      <c r="CM11" s="8">
        <v>0</v>
      </c>
      <c r="CN11" s="8">
        <v>0</v>
      </c>
      <c r="CO11" s="9">
        <f t="shared" si="6"/>
        <v>0</v>
      </c>
      <c r="CP11" s="8">
        <v>0</v>
      </c>
      <c r="CQ11" s="8">
        <v>0</v>
      </c>
      <c r="CR11" s="8">
        <v>0</v>
      </c>
      <c r="CS11" s="8">
        <v>0</v>
      </c>
      <c r="CT11" s="8">
        <v>0</v>
      </c>
      <c r="CU11" s="8">
        <v>0</v>
      </c>
      <c r="CV11" s="8">
        <v>0</v>
      </c>
      <c r="CW11" s="8">
        <v>0</v>
      </c>
      <c r="CX11" s="8">
        <v>0</v>
      </c>
      <c r="CY11" s="8">
        <v>0</v>
      </c>
      <c r="CZ11" s="8">
        <v>0</v>
      </c>
      <c r="DA11" s="8">
        <v>0</v>
      </c>
      <c r="DB11" s="9">
        <f t="shared" si="7"/>
        <v>0</v>
      </c>
      <c r="DC11" s="8">
        <v>0</v>
      </c>
      <c r="DD11" s="8">
        <v>0</v>
      </c>
      <c r="DE11" s="8">
        <v>0</v>
      </c>
      <c r="DF11" s="8">
        <v>0</v>
      </c>
      <c r="DG11" s="8">
        <v>0</v>
      </c>
      <c r="DH11" s="8">
        <v>0</v>
      </c>
      <c r="DI11" s="8">
        <v>0</v>
      </c>
      <c r="DJ11" s="8">
        <v>0</v>
      </c>
      <c r="DK11" s="8">
        <v>0</v>
      </c>
      <c r="DL11" s="8">
        <v>0</v>
      </c>
      <c r="DM11" s="8">
        <v>0</v>
      </c>
      <c r="DN11" s="8">
        <v>0</v>
      </c>
      <c r="DO11" s="9">
        <f t="shared" si="8"/>
        <v>0</v>
      </c>
      <c r="DP11" s="8">
        <v>0</v>
      </c>
      <c r="DQ11" s="8">
        <v>0</v>
      </c>
      <c r="DR11" s="8">
        <v>0</v>
      </c>
      <c r="DS11" s="8">
        <v>0</v>
      </c>
      <c r="DT11" s="8">
        <v>0</v>
      </c>
      <c r="DU11" s="8">
        <v>0</v>
      </c>
      <c r="DV11" s="8">
        <v>0</v>
      </c>
      <c r="DW11" s="8">
        <v>0</v>
      </c>
      <c r="DX11" s="8">
        <v>0</v>
      </c>
      <c r="DY11" s="8">
        <v>0</v>
      </c>
      <c r="DZ11" s="8">
        <v>0</v>
      </c>
      <c r="EA11" s="8">
        <v>0</v>
      </c>
      <c r="EB11" s="9">
        <f t="shared" si="9"/>
        <v>0</v>
      </c>
      <c r="EC11" s="8">
        <v>0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</v>
      </c>
      <c r="EK11" s="8">
        <v>0</v>
      </c>
      <c r="EL11" s="8">
        <v>0</v>
      </c>
      <c r="EM11" s="8">
        <v>0</v>
      </c>
      <c r="EN11" s="8">
        <v>0</v>
      </c>
      <c r="EO11" s="9">
        <f t="shared" si="10"/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9">
        <f t="shared" si="11"/>
        <v>0</v>
      </c>
      <c r="FC11" s="8">
        <v>3783756</v>
      </c>
      <c r="FD11" s="8">
        <v>3783756</v>
      </c>
      <c r="FE11" s="8">
        <v>3783756</v>
      </c>
      <c r="FF11" s="8">
        <v>3783756</v>
      </c>
      <c r="FG11" s="8">
        <v>3783756</v>
      </c>
      <c r="FH11" s="8">
        <v>3783756</v>
      </c>
      <c r="FI11" s="8">
        <v>3783756</v>
      </c>
      <c r="FJ11" s="8"/>
      <c r="FK11" s="8"/>
      <c r="FL11" s="8"/>
      <c r="FM11" s="8"/>
      <c r="FN11" s="8"/>
      <c r="FO11" s="9">
        <f t="shared" si="12"/>
        <v>3783756</v>
      </c>
    </row>
    <row r="12" spans="2:171" ht="14.25" customHeight="1" x14ac:dyDescent="0.3">
      <c r="B12" s="7" t="s">
        <v>47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9">
        <f t="shared" si="0"/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9">
        <f t="shared" si="1"/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9">
        <f t="shared" si="2"/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  <c r="BA12" s="8">
        <v>0</v>
      </c>
      <c r="BB12" s="9">
        <f t="shared" si="3"/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>
        <v>0</v>
      </c>
      <c r="BK12" s="8">
        <v>0</v>
      </c>
      <c r="BL12" s="8">
        <v>0</v>
      </c>
      <c r="BM12" s="8">
        <v>0</v>
      </c>
      <c r="BN12" s="8">
        <v>0</v>
      </c>
      <c r="BO12" s="9">
        <f t="shared" si="4"/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9">
        <f t="shared" si="5"/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9">
        <f t="shared" si="6"/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9">
        <f t="shared" si="7"/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9">
        <f t="shared" si="8"/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9">
        <f t="shared" si="9"/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9">
        <f t="shared" si="10"/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9">
        <f t="shared" si="11"/>
        <v>0</v>
      </c>
      <c r="FC12" s="8">
        <v>22899006</v>
      </c>
      <c r="FD12" s="8">
        <v>22899006</v>
      </c>
      <c r="FE12" s="8">
        <v>22899006</v>
      </c>
      <c r="FF12" s="8">
        <v>22899006</v>
      </c>
      <c r="FG12" s="8">
        <v>22899006</v>
      </c>
      <c r="FH12" s="8">
        <v>22899006</v>
      </c>
      <c r="FI12" s="8">
        <v>22899006</v>
      </c>
      <c r="FJ12" s="8"/>
      <c r="FK12" s="8"/>
      <c r="FL12" s="8"/>
      <c r="FM12" s="8"/>
      <c r="FN12" s="8"/>
      <c r="FO12" s="9">
        <f t="shared" si="12"/>
        <v>22899006</v>
      </c>
    </row>
    <row r="13" spans="2:171" ht="14.25" customHeight="1" x14ac:dyDescent="0.3">
      <c r="B13" s="7" t="s">
        <v>48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9">
        <f t="shared" si="0"/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9">
        <f t="shared" si="1"/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9">
        <f t="shared" si="2"/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9">
        <f t="shared" si="3"/>
        <v>0</v>
      </c>
      <c r="BC13" s="8">
        <v>4104000</v>
      </c>
      <c r="BD13" s="8">
        <v>4104000</v>
      </c>
      <c r="BE13" s="8">
        <v>4104000</v>
      </c>
      <c r="BF13" s="8">
        <v>4104000</v>
      </c>
      <c r="BG13" s="8">
        <v>4104000</v>
      </c>
      <c r="BH13" s="8">
        <v>4104000</v>
      </c>
      <c r="BI13" s="8">
        <v>4104000</v>
      </c>
      <c r="BJ13" s="8">
        <v>4104000</v>
      </c>
      <c r="BK13" s="8">
        <v>4104000</v>
      </c>
      <c r="BL13" s="8">
        <v>4104000</v>
      </c>
      <c r="BM13" s="8">
        <v>4104000</v>
      </c>
      <c r="BN13" s="8">
        <v>4104000</v>
      </c>
      <c r="BO13" s="9">
        <f t="shared" si="4"/>
        <v>4104000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9">
        <f t="shared" si="5"/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9">
        <f t="shared" si="6"/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9">
        <f t="shared" si="7"/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9">
        <f t="shared" si="8"/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9">
        <f t="shared" si="9"/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9">
        <f t="shared" si="10"/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9">
        <f t="shared" si="11"/>
        <v>0</v>
      </c>
      <c r="FC13" s="8">
        <v>3191908</v>
      </c>
      <c r="FD13" s="8">
        <v>3191908</v>
      </c>
      <c r="FE13" s="8">
        <v>3191908</v>
      </c>
      <c r="FF13" s="8">
        <v>3191908</v>
      </c>
      <c r="FG13" s="8">
        <v>3191908</v>
      </c>
      <c r="FH13" s="8">
        <v>3191908</v>
      </c>
      <c r="FI13" s="8">
        <v>3191908</v>
      </c>
      <c r="FJ13" s="8"/>
      <c r="FK13" s="8"/>
      <c r="FL13" s="8"/>
      <c r="FM13" s="8"/>
      <c r="FN13" s="8"/>
      <c r="FO13" s="9">
        <f t="shared" si="12"/>
        <v>3191908</v>
      </c>
    </row>
    <row r="14" spans="2:171" ht="14.25" customHeight="1" x14ac:dyDescent="0.3">
      <c r="B14" s="7" t="s">
        <v>49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9">
        <f t="shared" si="0"/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9">
        <f t="shared" si="1"/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9">
        <f t="shared" si="2"/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9">
        <f t="shared" si="3"/>
        <v>0</v>
      </c>
      <c r="BC14" s="8">
        <v>0</v>
      </c>
      <c r="BD14" s="8">
        <v>0</v>
      </c>
      <c r="BE14" s="8">
        <v>0</v>
      </c>
      <c r="BF14" s="8">
        <v>0</v>
      </c>
      <c r="BG14" s="8">
        <v>0</v>
      </c>
      <c r="BH14" s="8">
        <v>0</v>
      </c>
      <c r="BI14" s="8">
        <v>0</v>
      </c>
      <c r="BJ14" s="8">
        <v>0</v>
      </c>
      <c r="BK14" s="8">
        <v>0</v>
      </c>
      <c r="BL14" s="8">
        <v>0</v>
      </c>
      <c r="BM14" s="8">
        <v>0</v>
      </c>
      <c r="BN14" s="8">
        <v>0</v>
      </c>
      <c r="BO14" s="9">
        <f t="shared" si="4"/>
        <v>0</v>
      </c>
      <c r="BP14" s="8">
        <v>0</v>
      </c>
      <c r="BQ14" s="8">
        <v>0</v>
      </c>
      <c r="BR14" s="8">
        <v>0</v>
      </c>
      <c r="BS14" s="8">
        <v>0</v>
      </c>
      <c r="BT14" s="8">
        <v>0</v>
      </c>
      <c r="BU14" s="8">
        <v>0</v>
      </c>
      <c r="BV14" s="8">
        <v>0</v>
      </c>
      <c r="BW14" s="8">
        <v>0</v>
      </c>
      <c r="BX14" s="8">
        <v>0</v>
      </c>
      <c r="BY14" s="8">
        <v>0</v>
      </c>
      <c r="BZ14" s="8">
        <v>0</v>
      </c>
      <c r="CA14" s="8">
        <v>0</v>
      </c>
      <c r="CB14" s="9">
        <f t="shared" si="5"/>
        <v>0</v>
      </c>
      <c r="CC14" s="8">
        <v>0</v>
      </c>
      <c r="CD14" s="8">
        <v>0</v>
      </c>
      <c r="CE14" s="8">
        <v>0</v>
      </c>
      <c r="CF14" s="8">
        <v>0</v>
      </c>
      <c r="CG14" s="8">
        <v>0</v>
      </c>
      <c r="CH14" s="8">
        <v>0</v>
      </c>
      <c r="CI14" s="8">
        <v>0</v>
      </c>
      <c r="CJ14" s="8">
        <v>0</v>
      </c>
      <c r="CK14" s="8">
        <v>0</v>
      </c>
      <c r="CL14" s="8">
        <v>0</v>
      </c>
      <c r="CM14" s="8">
        <v>0</v>
      </c>
      <c r="CN14" s="8">
        <v>0</v>
      </c>
      <c r="CO14" s="9">
        <f t="shared" si="6"/>
        <v>0</v>
      </c>
      <c r="CP14" s="8">
        <v>0</v>
      </c>
      <c r="CQ14" s="8">
        <v>0</v>
      </c>
      <c r="CR14" s="8">
        <v>0</v>
      </c>
      <c r="CS14" s="8">
        <v>0</v>
      </c>
      <c r="CT14" s="8">
        <v>0</v>
      </c>
      <c r="CU14" s="8">
        <v>0</v>
      </c>
      <c r="CV14" s="8">
        <v>0</v>
      </c>
      <c r="CW14" s="8">
        <v>0</v>
      </c>
      <c r="CX14" s="8">
        <v>0</v>
      </c>
      <c r="CY14" s="8">
        <v>0</v>
      </c>
      <c r="CZ14" s="8">
        <v>0</v>
      </c>
      <c r="DA14" s="8">
        <v>0</v>
      </c>
      <c r="DB14" s="9">
        <f t="shared" si="7"/>
        <v>0</v>
      </c>
      <c r="DC14" s="8">
        <v>0</v>
      </c>
      <c r="DD14" s="8">
        <v>0</v>
      </c>
      <c r="DE14" s="8">
        <v>0</v>
      </c>
      <c r="DF14" s="8">
        <v>0</v>
      </c>
      <c r="DG14" s="8">
        <v>0</v>
      </c>
      <c r="DH14" s="8">
        <v>0</v>
      </c>
      <c r="DI14" s="8">
        <v>0</v>
      </c>
      <c r="DJ14" s="8">
        <v>0</v>
      </c>
      <c r="DK14" s="8">
        <v>0</v>
      </c>
      <c r="DL14" s="8">
        <v>0</v>
      </c>
      <c r="DM14" s="8">
        <v>0</v>
      </c>
      <c r="DN14" s="8">
        <v>0</v>
      </c>
      <c r="DO14" s="9">
        <f t="shared" si="8"/>
        <v>0</v>
      </c>
      <c r="DP14" s="8">
        <v>0</v>
      </c>
      <c r="DQ14" s="8">
        <v>0</v>
      </c>
      <c r="DR14" s="8">
        <v>0</v>
      </c>
      <c r="DS14" s="8">
        <v>0</v>
      </c>
      <c r="DT14" s="8">
        <v>0</v>
      </c>
      <c r="DU14" s="8">
        <v>0</v>
      </c>
      <c r="DV14" s="8">
        <v>0</v>
      </c>
      <c r="DW14" s="8">
        <v>0</v>
      </c>
      <c r="DX14" s="8">
        <v>0</v>
      </c>
      <c r="DY14" s="8">
        <v>0</v>
      </c>
      <c r="DZ14" s="8">
        <v>0</v>
      </c>
      <c r="EA14" s="8">
        <v>0</v>
      </c>
      <c r="EB14" s="9">
        <f t="shared" si="9"/>
        <v>0</v>
      </c>
      <c r="EC14" s="8">
        <v>0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9">
        <f t="shared" si="10"/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0</v>
      </c>
      <c r="EX14" s="8">
        <v>0</v>
      </c>
      <c r="EY14" s="8">
        <v>0</v>
      </c>
      <c r="EZ14" s="8">
        <v>0</v>
      </c>
      <c r="FA14" s="8">
        <v>0</v>
      </c>
      <c r="FB14" s="9">
        <f t="shared" si="11"/>
        <v>0</v>
      </c>
      <c r="FC14" s="8">
        <v>14546113</v>
      </c>
      <c r="FD14" s="8">
        <v>14546113</v>
      </c>
      <c r="FE14" s="8">
        <v>14546113</v>
      </c>
      <c r="FF14" s="8">
        <v>14546113</v>
      </c>
      <c r="FG14" s="8">
        <v>14546113</v>
      </c>
      <c r="FH14" s="8">
        <v>14546113</v>
      </c>
      <c r="FI14" s="8">
        <v>14546113</v>
      </c>
      <c r="FJ14" s="8"/>
      <c r="FK14" s="8"/>
      <c r="FL14" s="8"/>
      <c r="FM14" s="8"/>
      <c r="FN14" s="8"/>
      <c r="FO14" s="9">
        <f t="shared" si="12"/>
        <v>14546113</v>
      </c>
    </row>
    <row r="15" spans="2:171" ht="14.25" customHeight="1" x14ac:dyDescent="0.3">
      <c r="B15" s="7" t="s">
        <v>50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9">
        <f t="shared" si="0"/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9">
        <f t="shared" si="1"/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9">
        <f t="shared" si="2"/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v>0</v>
      </c>
      <c r="BA15" s="8">
        <v>0</v>
      </c>
      <c r="BB15" s="9">
        <f t="shared" si="3"/>
        <v>0</v>
      </c>
      <c r="BC15" s="8">
        <v>0</v>
      </c>
      <c r="BD15" s="8">
        <v>0</v>
      </c>
      <c r="BE15" s="8">
        <v>0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0</v>
      </c>
      <c r="BL15" s="8">
        <v>0</v>
      </c>
      <c r="BM15" s="8">
        <v>0</v>
      </c>
      <c r="BN15" s="8">
        <v>0</v>
      </c>
      <c r="BO15" s="9">
        <f t="shared" si="4"/>
        <v>0</v>
      </c>
      <c r="BP15" s="8">
        <v>0</v>
      </c>
      <c r="BQ15" s="8">
        <v>0</v>
      </c>
      <c r="BR15" s="8">
        <v>0</v>
      </c>
      <c r="BS15" s="8">
        <v>0</v>
      </c>
      <c r="BT15" s="8">
        <v>0</v>
      </c>
      <c r="BU15" s="8">
        <v>0</v>
      </c>
      <c r="BV15" s="8">
        <v>0</v>
      </c>
      <c r="BW15" s="8">
        <v>0</v>
      </c>
      <c r="BX15" s="8">
        <v>0</v>
      </c>
      <c r="BY15" s="8">
        <v>0</v>
      </c>
      <c r="BZ15" s="8">
        <v>0</v>
      </c>
      <c r="CA15" s="8">
        <v>0</v>
      </c>
      <c r="CB15" s="9">
        <f t="shared" si="5"/>
        <v>0</v>
      </c>
      <c r="CC15" s="8">
        <v>0</v>
      </c>
      <c r="CD15" s="8">
        <v>0</v>
      </c>
      <c r="CE15" s="8">
        <v>0</v>
      </c>
      <c r="CF15" s="8">
        <v>0</v>
      </c>
      <c r="CG15" s="8">
        <v>0</v>
      </c>
      <c r="CH15" s="8">
        <v>0</v>
      </c>
      <c r="CI15" s="8">
        <v>0</v>
      </c>
      <c r="CJ15" s="8">
        <v>0</v>
      </c>
      <c r="CK15" s="8">
        <v>0</v>
      </c>
      <c r="CL15" s="8">
        <v>0</v>
      </c>
      <c r="CM15" s="8">
        <v>0</v>
      </c>
      <c r="CN15" s="8">
        <v>0</v>
      </c>
      <c r="CO15" s="9">
        <f t="shared" si="6"/>
        <v>0</v>
      </c>
      <c r="CP15" s="8">
        <v>0</v>
      </c>
      <c r="CQ15" s="8">
        <v>0</v>
      </c>
      <c r="CR15" s="8">
        <v>0</v>
      </c>
      <c r="CS15" s="8">
        <v>0</v>
      </c>
      <c r="CT15" s="8">
        <v>0</v>
      </c>
      <c r="CU15" s="8">
        <v>0</v>
      </c>
      <c r="CV15" s="8">
        <v>0</v>
      </c>
      <c r="CW15" s="8">
        <v>0</v>
      </c>
      <c r="CX15" s="8">
        <v>0</v>
      </c>
      <c r="CY15" s="8">
        <v>0</v>
      </c>
      <c r="CZ15" s="8">
        <v>0</v>
      </c>
      <c r="DA15" s="8">
        <v>0</v>
      </c>
      <c r="DB15" s="9">
        <f t="shared" si="7"/>
        <v>0</v>
      </c>
      <c r="DC15" s="8">
        <v>0</v>
      </c>
      <c r="DD15" s="8">
        <v>0</v>
      </c>
      <c r="DE15" s="8">
        <v>0</v>
      </c>
      <c r="DF15" s="8">
        <v>0</v>
      </c>
      <c r="DG15" s="8">
        <v>0</v>
      </c>
      <c r="DH15" s="8">
        <v>0</v>
      </c>
      <c r="DI15" s="8">
        <v>0</v>
      </c>
      <c r="DJ15" s="8">
        <v>0</v>
      </c>
      <c r="DK15" s="8">
        <v>0</v>
      </c>
      <c r="DL15" s="8">
        <v>0</v>
      </c>
      <c r="DM15" s="8">
        <v>0</v>
      </c>
      <c r="DN15" s="8">
        <v>0</v>
      </c>
      <c r="DO15" s="9">
        <f t="shared" si="8"/>
        <v>0</v>
      </c>
      <c r="DP15" s="8">
        <v>0</v>
      </c>
      <c r="DQ15" s="8">
        <v>0</v>
      </c>
      <c r="DR15" s="8">
        <v>0</v>
      </c>
      <c r="DS15" s="8">
        <v>0</v>
      </c>
      <c r="DT15" s="8">
        <v>0</v>
      </c>
      <c r="DU15" s="8">
        <v>0</v>
      </c>
      <c r="DV15" s="8">
        <v>0</v>
      </c>
      <c r="DW15" s="8">
        <v>0</v>
      </c>
      <c r="DX15" s="8">
        <v>0</v>
      </c>
      <c r="DY15" s="8">
        <v>0</v>
      </c>
      <c r="DZ15" s="8">
        <v>0</v>
      </c>
      <c r="EA15" s="8">
        <v>0</v>
      </c>
      <c r="EB15" s="9">
        <f t="shared" si="9"/>
        <v>0</v>
      </c>
      <c r="EC15" s="8">
        <v>0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9">
        <f t="shared" si="10"/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0</v>
      </c>
      <c r="EX15" s="8">
        <v>0</v>
      </c>
      <c r="EY15" s="8">
        <v>0</v>
      </c>
      <c r="EZ15" s="8">
        <v>0</v>
      </c>
      <c r="FA15" s="8">
        <v>0</v>
      </c>
      <c r="FB15" s="9">
        <f t="shared" si="11"/>
        <v>0</v>
      </c>
      <c r="FC15" s="8">
        <v>15086131</v>
      </c>
      <c r="FD15" s="8">
        <v>15086131</v>
      </c>
      <c r="FE15" s="8">
        <v>15086131</v>
      </c>
      <c r="FF15" s="8">
        <v>15086131</v>
      </c>
      <c r="FG15" s="8">
        <v>15086131</v>
      </c>
      <c r="FH15" s="8">
        <v>15086131</v>
      </c>
      <c r="FI15" s="8">
        <v>15086131</v>
      </c>
      <c r="FJ15" s="8"/>
      <c r="FK15" s="8"/>
      <c r="FL15" s="8"/>
      <c r="FM15" s="8"/>
      <c r="FN15" s="8"/>
      <c r="FO15" s="9">
        <f t="shared" si="12"/>
        <v>15086131</v>
      </c>
    </row>
    <row r="16" spans="2:171" ht="14.25" customHeight="1" x14ac:dyDescent="0.3">
      <c r="B16" s="7" t="s">
        <v>51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9">
        <f t="shared" si="0"/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9">
        <f t="shared" si="1"/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9">
        <f t="shared" si="2"/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v>0</v>
      </c>
      <c r="BA16" s="8">
        <v>0</v>
      </c>
      <c r="BB16" s="9">
        <f t="shared" si="3"/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0</v>
      </c>
      <c r="BL16" s="8">
        <v>0</v>
      </c>
      <c r="BM16" s="8">
        <v>0</v>
      </c>
      <c r="BN16" s="8">
        <v>0</v>
      </c>
      <c r="BO16" s="9">
        <f t="shared" si="4"/>
        <v>0</v>
      </c>
      <c r="BP16" s="8">
        <v>0</v>
      </c>
      <c r="BQ16" s="8">
        <v>0</v>
      </c>
      <c r="BR16" s="8">
        <v>0</v>
      </c>
      <c r="BS16" s="8">
        <v>0</v>
      </c>
      <c r="BT16" s="8">
        <v>0</v>
      </c>
      <c r="BU16" s="8">
        <v>0</v>
      </c>
      <c r="BV16" s="8">
        <v>0</v>
      </c>
      <c r="BW16" s="8">
        <v>0</v>
      </c>
      <c r="BX16" s="8">
        <v>0</v>
      </c>
      <c r="BY16" s="8">
        <v>0</v>
      </c>
      <c r="BZ16" s="8">
        <v>0</v>
      </c>
      <c r="CA16" s="8">
        <v>0</v>
      </c>
      <c r="CB16" s="9">
        <f t="shared" si="5"/>
        <v>0</v>
      </c>
      <c r="CC16" s="8">
        <v>0</v>
      </c>
      <c r="CD16" s="8">
        <v>0</v>
      </c>
      <c r="CE16" s="8">
        <v>0</v>
      </c>
      <c r="CF16" s="8">
        <v>0</v>
      </c>
      <c r="CG16" s="8">
        <v>0</v>
      </c>
      <c r="CH16" s="8">
        <v>0</v>
      </c>
      <c r="CI16" s="8">
        <v>0</v>
      </c>
      <c r="CJ16" s="8">
        <v>0</v>
      </c>
      <c r="CK16" s="8">
        <v>0</v>
      </c>
      <c r="CL16" s="8">
        <v>0</v>
      </c>
      <c r="CM16" s="8">
        <v>0</v>
      </c>
      <c r="CN16" s="8">
        <v>0</v>
      </c>
      <c r="CO16" s="9">
        <f t="shared" si="6"/>
        <v>0</v>
      </c>
      <c r="CP16" s="8">
        <v>0</v>
      </c>
      <c r="CQ16" s="8">
        <v>0</v>
      </c>
      <c r="CR16" s="8">
        <v>0</v>
      </c>
      <c r="CS16" s="8">
        <v>0</v>
      </c>
      <c r="CT16" s="8">
        <v>0</v>
      </c>
      <c r="CU16" s="8">
        <v>0</v>
      </c>
      <c r="CV16" s="8">
        <v>0</v>
      </c>
      <c r="CW16" s="8">
        <v>0</v>
      </c>
      <c r="CX16" s="8">
        <v>0</v>
      </c>
      <c r="CY16" s="8">
        <v>0</v>
      </c>
      <c r="CZ16" s="8">
        <v>0</v>
      </c>
      <c r="DA16" s="8">
        <v>0</v>
      </c>
      <c r="DB16" s="9">
        <f t="shared" si="7"/>
        <v>0</v>
      </c>
      <c r="DC16" s="8">
        <v>0</v>
      </c>
      <c r="DD16" s="8">
        <v>0</v>
      </c>
      <c r="DE16" s="8">
        <v>0</v>
      </c>
      <c r="DF16" s="8">
        <v>0</v>
      </c>
      <c r="DG16" s="8">
        <v>0</v>
      </c>
      <c r="DH16" s="8">
        <v>0</v>
      </c>
      <c r="DI16" s="8">
        <v>0</v>
      </c>
      <c r="DJ16" s="8">
        <v>0</v>
      </c>
      <c r="DK16" s="8">
        <v>0</v>
      </c>
      <c r="DL16" s="8">
        <v>0</v>
      </c>
      <c r="DM16" s="8">
        <v>0</v>
      </c>
      <c r="DN16" s="8">
        <v>0</v>
      </c>
      <c r="DO16" s="9">
        <f t="shared" si="8"/>
        <v>0</v>
      </c>
      <c r="DP16" s="8">
        <v>0</v>
      </c>
      <c r="DQ16" s="8">
        <v>0</v>
      </c>
      <c r="DR16" s="8">
        <v>0</v>
      </c>
      <c r="DS16" s="8">
        <v>0</v>
      </c>
      <c r="DT16" s="8">
        <v>0</v>
      </c>
      <c r="DU16" s="8">
        <v>0</v>
      </c>
      <c r="DV16" s="8">
        <v>0</v>
      </c>
      <c r="DW16" s="8">
        <v>0</v>
      </c>
      <c r="DX16" s="8">
        <v>0</v>
      </c>
      <c r="DY16" s="8">
        <v>0</v>
      </c>
      <c r="DZ16" s="8">
        <v>0</v>
      </c>
      <c r="EA16" s="8">
        <v>0</v>
      </c>
      <c r="EB16" s="9">
        <f t="shared" si="9"/>
        <v>0</v>
      </c>
      <c r="EC16" s="8">
        <v>0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9">
        <f t="shared" si="10"/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0</v>
      </c>
      <c r="EX16" s="8">
        <v>0</v>
      </c>
      <c r="EY16" s="8">
        <v>0</v>
      </c>
      <c r="EZ16" s="8">
        <v>0</v>
      </c>
      <c r="FA16" s="8">
        <v>0</v>
      </c>
      <c r="FB16" s="9">
        <f t="shared" si="11"/>
        <v>0</v>
      </c>
      <c r="FC16" s="8">
        <v>21931475</v>
      </c>
      <c r="FD16" s="8">
        <v>21931475</v>
      </c>
      <c r="FE16" s="8">
        <v>21931475</v>
      </c>
      <c r="FF16" s="8">
        <v>21931475</v>
      </c>
      <c r="FG16" s="8">
        <v>21931475</v>
      </c>
      <c r="FH16" s="8">
        <v>21931475</v>
      </c>
      <c r="FI16" s="8">
        <v>21931475</v>
      </c>
      <c r="FJ16" s="8"/>
      <c r="FK16" s="8"/>
      <c r="FL16" s="8"/>
      <c r="FM16" s="8"/>
      <c r="FN16" s="8"/>
      <c r="FO16" s="9">
        <f t="shared" si="12"/>
        <v>21931475</v>
      </c>
    </row>
    <row r="17" spans="2:171" ht="14.25" customHeight="1" x14ac:dyDescent="0.3">
      <c r="B17" s="7" t="s">
        <v>52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9">
        <f t="shared" si="0"/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9">
        <f t="shared" si="1"/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9">
        <f t="shared" si="2"/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v>0</v>
      </c>
      <c r="BA17" s="8">
        <v>0</v>
      </c>
      <c r="BB17" s="9">
        <f t="shared" si="3"/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0</v>
      </c>
      <c r="BL17" s="8">
        <v>0</v>
      </c>
      <c r="BM17" s="8">
        <v>0</v>
      </c>
      <c r="BN17" s="8">
        <v>0</v>
      </c>
      <c r="BO17" s="9">
        <f t="shared" si="4"/>
        <v>0</v>
      </c>
      <c r="BP17" s="8">
        <v>0</v>
      </c>
      <c r="BQ17" s="8">
        <v>0</v>
      </c>
      <c r="BR17" s="8">
        <v>0</v>
      </c>
      <c r="BS17" s="8">
        <v>0</v>
      </c>
      <c r="BT17" s="8">
        <v>0</v>
      </c>
      <c r="BU17" s="8">
        <v>0</v>
      </c>
      <c r="BV17" s="8">
        <v>0</v>
      </c>
      <c r="BW17" s="8">
        <v>0</v>
      </c>
      <c r="BX17" s="8">
        <v>0</v>
      </c>
      <c r="BY17" s="8">
        <v>0</v>
      </c>
      <c r="BZ17" s="8">
        <v>0</v>
      </c>
      <c r="CA17" s="8">
        <v>0</v>
      </c>
      <c r="CB17" s="9">
        <f t="shared" si="5"/>
        <v>0</v>
      </c>
      <c r="CC17" s="8">
        <v>0</v>
      </c>
      <c r="CD17" s="8">
        <v>0</v>
      </c>
      <c r="CE17" s="8">
        <v>0</v>
      </c>
      <c r="CF17" s="8">
        <v>0</v>
      </c>
      <c r="CG17" s="8">
        <v>0</v>
      </c>
      <c r="CH17" s="8">
        <v>0</v>
      </c>
      <c r="CI17" s="8">
        <v>0</v>
      </c>
      <c r="CJ17" s="8">
        <v>0</v>
      </c>
      <c r="CK17" s="8">
        <v>0</v>
      </c>
      <c r="CL17" s="8">
        <v>0</v>
      </c>
      <c r="CM17" s="8">
        <v>0</v>
      </c>
      <c r="CN17" s="8">
        <v>0</v>
      </c>
      <c r="CO17" s="9">
        <f t="shared" si="6"/>
        <v>0</v>
      </c>
      <c r="CP17" s="8">
        <v>0</v>
      </c>
      <c r="CQ17" s="8">
        <v>0</v>
      </c>
      <c r="CR17" s="8">
        <v>0</v>
      </c>
      <c r="CS17" s="8">
        <v>0</v>
      </c>
      <c r="CT17" s="8">
        <v>0</v>
      </c>
      <c r="CU17" s="8">
        <v>0</v>
      </c>
      <c r="CV17" s="8">
        <v>0</v>
      </c>
      <c r="CW17" s="8">
        <v>0</v>
      </c>
      <c r="CX17" s="8">
        <v>0</v>
      </c>
      <c r="CY17" s="8">
        <v>0</v>
      </c>
      <c r="CZ17" s="8">
        <v>0</v>
      </c>
      <c r="DA17" s="8">
        <v>0</v>
      </c>
      <c r="DB17" s="9">
        <f t="shared" si="7"/>
        <v>0</v>
      </c>
      <c r="DC17" s="8">
        <v>0</v>
      </c>
      <c r="DD17" s="8">
        <v>0</v>
      </c>
      <c r="DE17" s="8">
        <v>0</v>
      </c>
      <c r="DF17" s="8">
        <v>0</v>
      </c>
      <c r="DG17" s="8">
        <v>0</v>
      </c>
      <c r="DH17" s="8">
        <v>0</v>
      </c>
      <c r="DI17" s="8">
        <v>0</v>
      </c>
      <c r="DJ17" s="8">
        <v>0</v>
      </c>
      <c r="DK17" s="8">
        <v>0</v>
      </c>
      <c r="DL17" s="8">
        <v>0</v>
      </c>
      <c r="DM17" s="8">
        <v>0</v>
      </c>
      <c r="DN17" s="8">
        <v>0</v>
      </c>
      <c r="DO17" s="9">
        <f t="shared" si="8"/>
        <v>0</v>
      </c>
      <c r="DP17" s="8">
        <v>0</v>
      </c>
      <c r="DQ17" s="8">
        <v>0</v>
      </c>
      <c r="DR17" s="8">
        <v>0</v>
      </c>
      <c r="DS17" s="8">
        <v>0</v>
      </c>
      <c r="DT17" s="8">
        <v>0</v>
      </c>
      <c r="DU17" s="8">
        <v>0</v>
      </c>
      <c r="DV17" s="8">
        <v>0</v>
      </c>
      <c r="DW17" s="8">
        <v>0</v>
      </c>
      <c r="DX17" s="8">
        <v>0</v>
      </c>
      <c r="DY17" s="8">
        <v>0</v>
      </c>
      <c r="DZ17" s="8">
        <v>0</v>
      </c>
      <c r="EA17" s="8">
        <v>0</v>
      </c>
      <c r="EB17" s="9">
        <f t="shared" si="9"/>
        <v>0</v>
      </c>
      <c r="EC17" s="8">
        <v>0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9">
        <f t="shared" si="10"/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0</v>
      </c>
      <c r="EX17" s="8">
        <v>0</v>
      </c>
      <c r="EY17" s="8">
        <v>0</v>
      </c>
      <c r="EZ17" s="8">
        <v>0</v>
      </c>
      <c r="FA17" s="8">
        <v>0</v>
      </c>
      <c r="FB17" s="9">
        <f t="shared" si="11"/>
        <v>0</v>
      </c>
      <c r="FC17" s="8">
        <v>50768194</v>
      </c>
      <c r="FD17" s="8">
        <v>50768194</v>
      </c>
      <c r="FE17" s="8">
        <v>50768194</v>
      </c>
      <c r="FF17" s="8">
        <v>50768194</v>
      </c>
      <c r="FG17" s="8">
        <v>50768194</v>
      </c>
      <c r="FH17" s="8">
        <v>50768194</v>
      </c>
      <c r="FI17" s="8">
        <v>50768194</v>
      </c>
      <c r="FJ17" s="8"/>
      <c r="FK17" s="8"/>
      <c r="FL17" s="8"/>
      <c r="FM17" s="8"/>
      <c r="FN17" s="8"/>
      <c r="FO17" s="9">
        <f t="shared" si="12"/>
        <v>50768194</v>
      </c>
    </row>
    <row r="18" spans="2:171" ht="14.25" customHeight="1" x14ac:dyDescent="0.3">
      <c r="B18" s="7" t="s">
        <v>53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9">
        <f t="shared" si="0"/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9">
        <f t="shared" si="1"/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9">
        <f t="shared" si="2"/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v>0</v>
      </c>
      <c r="BA18" s="8">
        <v>0</v>
      </c>
      <c r="BB18" s="9">
        <f t="shared" si="3"/>
        <v>0</v>
      </c>
      <c r="BC18" s="8">
        <v>0</v>
      </c>
      <c r="BD18" s="8">
        <v>0</v>
      </c>
      <c r="BE18" s="8">
        <v>0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0</v>
      </c>
      <c r="BL18" s="8">
        <v>0</v>
      </c>
      <c r="BM18" s="8">
        <v>0</v>
      </c>
      <c r="BN18" s="8">
        <v>0</v>
      </c>
      <c r="BO18" s="9">
        <f t="shared" si="4"/>
        <v>0</v>
      </c>
      <c r="BP18" s="8">
        <v>0</v>
      </c>
      <c r="BQ18" s="8">
        <v>0</v>
      </c>
      <c r="BR18" s="8">
        <v>0</v>
      </c>
      <c r="BS18" s="8">
        <v>0</v>
      </c>
      <c r="BT18" s="8">
        <v>0</v>
      </c>
      <c r="BU18" s="8">
        <v>0</v>
      </c>
      <c r="BV18" s="8">
        <v>0</v>
      </c>
      <c r="BW18" s="8">
        <v>0</v>
      </c>
      <c r="BX18" s="8">
        <v>0</v>
      </c>
      <c r="BY18" s="8">
        <v>0</v>
      </c>
      <c r="BZ18" s="8">
        <v>0</v>
      </c>
      <c r="CA18" s="8">
        <v>0</v>
      </c>
      <c r="CB18" s="9">
        <f t="shared" si="5"/>
        <v>0</v>
      </c>
      <c r="CC18" s="8">
        <v>0</v>
      </c>
      <c r="CD18" s="8">
        <v>0</v>
      </c>
      <c r="CE18" s="8">
        <v>0</v>
      </c>
      <c r="CF18" s="8">
        <v>0</v>
      </c>
      <c r="CG18" s="8">
        <v>0</v>
      </c>
      <c r="CH18" s="8">
        <v>0</v>
      </c>
      <c r="CI18" s="8">
        <v>0</v>
      </c>
      <c r="CJ18" s="8">
        <v>0</v>
      </c>
      <c r="CK18" s="8">
        <v>0</v>
      </c>
      <c r="CL18" s="8">
        <v>0</v>
      </c>
      <c r="CM18" s="8">
        <v>0</v>
      </c>
      <c r="CN18" s="8">
        <v>0</v>
      </c>
      <c r="CO18" s="9">
        <f t="shared" si="6"/>
        <v>0</v>
      </c>
      <c r="CP18" s="8">
        <v>0</v>
      </c>
      <c r="CQ18" s="8">
        <v>0</v>
      </c>
      <c r="CR18" s="8">
        <v>0</v>
      </c>
      <c r="CS18" s="8">
        <v>0</v>
      </c>
      <c r="CT18" s="8">
        <v>0</v>
      </c>
      <c r="CU18" s="8">
        <v>0</v>
      </c>
      <c r="CV18" s="8">
        <v>0</v>
      </c>
      <c r="CW18" s="8">
        <v>0</v>
      </c>
      <c r="CX18" s="8">
        <v>0</v>
      </c>
      <c r="CY18" s="8">
        <v>0</v>
      </c>
      <c r="CZ18" s="8">
        <v>0</v>
      </c>
      <c r="DA18" s="8">
        <v>0</v>
      </c>
      <c r="DB18" s="9">
        <f t="shared" si="7"/>
        <v>0</v>
      </c>
      <c r="DC18" s="8">
        <v>0</v>
      </c>
      <c r="DD18" s="8">
        <v>0</v>
      </c>
      <c r="DE18" s="8">
        <v>0</v>
      </c>
      <c r="DF18" s="8">
        <v>0</v>
      </c>
      <c r="DG18" s="8">
        <v>0</v>
      </c>
      <c r="DH18" s="8">
        <v>0</v>
      </c>
      <c r="DI18" s="8">
        <v>0</v>
      </c>
      <c r="DJ18" s="8">
        <v>0</v>
      </c>
      <c r="DK18" s="8">
        <v>0</v>
      </c>
      <c r="DL18" s="8">
        <v>0</v>
      </c>
      <c r="DM18" s="8">
        <v>0</v>
      </c>
      <c r="DN18" s="8">
        <v>0</v>
      </c>
      <c r="DO18" s="9">
        <f t="shared" si="8"/>
        <v>0</v>
      </c>
      <c r="DP18" s="8">
        <v>0</v>
      </c>
      <c r="DQ18" s="8">
        <v>0</v>
      </c>
      <c r="DR18" s="8">
        <v>0</v>
      </c>
      <c r="DS18" s="8">
        <v>0</v>
      </c>
      <c r="DT18" s="8">
        <v>0</v>
      </c>
      <c r="DU18" s="8">
        <v>0</v>
      </c>
      <c r="DV18" s="8">
        <v>0</v>
      </c>
      <c r="DW18" s="8">
        <v>0</v>
      </c>
      <c r="DX18" s="8">
        <v>0</v>
      </c>
      <c r="DY18" s="8">
        <v>0</v>
      </c>
      <c r="DZ18" s="8">
        <v>0</v>
      </c>
      <c r="EA18" s="8">
        <v>0</v>
      </c>
      <c r="EB18" s="9">
        <f t="shared" si="9"/>
        <v>0</v>
      </c>
      <c r="EC18" s="8">
        <v>0</v>
      </c>
      <c r="ED18" s="8">
        <v>0</v>
      </c>
      <c r="EE18" s="8">
        <v>0</v>
      </c>
      <c r="EF18" s="8">
        <v>0</v>
      </c>
      <c r="EG18" s="8">
        <v>0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0</v>
      </c>
      <c r="EN18" s="8">
        <v>0</v>
      </c>
      <c r="EO18" s="9">
        <f t="shared" si="10"/>
        <v>0</v>
      </c>
      <c r="EP18" s="8">
        <v>0</v>
      </c>
      <c r="EQ18" s="8">
        <v>0</v>
      </c>
      <c r="ER18" s="8">
        <v>0</v>
      </c>
      <c r="ES18" s="8">
        <v>0</v>
      </c>
      <c r="ET18" s="8">
        <v>0</v>
      </c>
      <c r="EU18" s="8">
        <v>0</v>
      </c>
      <c r="EV18" s="8">
        <v>0</v>
      </c>
      <c r="EW18" s="8">
        <v>0</v>
      </c>
      <c r="EX18" s="8">
        <v>0</v>
      </c>
      <c r="EY18" s="8">
        <v>0</v>
      </c>
      <c r="EZ18" s="8">
        <v>0</v>
      </c>
      <c r="FA18" s="8">
        <v>0</v>
      </c>
      <c r="FB18" s="9">
        <f t="shared" si="11"/>
        <v>0</v>
      </c>
      <c r="FC18" s="8">
        <v>1204885</v>
      </c>
      <c r="FD18" s="8">
        <v>1204885</v>
      </c>
      <c r="FE18" s="8">
        <v>1204885</v>
      </c>
      <c r="FF18" s="8">
        <v>1204885</v>
      </c>
      <c r="FG18" s="8">
        <v>1204885</v>
      </c>
      <c r="FH18" s="8">
        <v>1204885</v>
      </c>
      <c r="FI18" s="8">
        <v>1204885</v>
      </c>
      <c r="FJ18" s="8"/>
      <c r="FK18" s="8"/>
      <c r="FL18" s="8"/>
      <c r="FM18" s="8"/>
      <c r="FN18" s="8"/>
      <c r="FO18" s="9">
        <f t="shared" si="12"/>
        <v>1204885</v>
      </c>
    </row>
    <row r="19" spans="2:171" ht="14.25" customHeight="1" x14ac:dyDescent="0.3">
      <c r="B19" s="7" t="s">
        <v>54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9">
        <f t="shared" si="0"/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9">
        <f t="shared" si="1"/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9">
        <f t="shared" si="2"/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9">
        <f t="shared" si="3"/>
        <v>0</v>
      </c>
      <c r="BC19" s="8">
        <v>0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8">
        <v>0</v>
      </c>
      <c r="BM19" s="8">
        <v>0</v>
      </c>
      <c r="BN19" s="8">
        <v>0</v>
      </c>
      <c r="BO19" s="9">
        <f t="shared" si="4"/>
        <v>0</v>
      </c>
      <c r="BP19" s="8">
        <v>0</v>
      </c>
      <c r="BQ19" s="8">
        <v>0</v>
      </c>
      <c r="BR19" s="8">
        <v>0</v>
      </c>
      <c r="BS19" s="8">
        <v>0</v>
      </c>
      <c r="BT19" s="8">
        <v>0</v>
      </c>
      <c r="BU19" s="8">
        <v>0</v>
      </c>
      <c r="BV19" s="8">
        <v>0</v>
      </c>
      <c r="BW19" s="8">
        <v>0</v>
      </c>
      <c r="BX19" s="8">
        <v>0</v>
      </c>
      <c r="BY19" s="8">
        <v>0</v>
      </c>
      <c r="BZ19" s="8">
        <v>0</v>
      </c>
      <c r="CA19" s="8">
        <v>0</v>
      </c>
      <c r="CB19" s="9">
        <f t="shared" si="5"/>
        <v>0</v>
      </c>
      <c r="CC19" s="8">
        <v>0</v>
      </c>
      <c r="CD19" s="8">
        <v>0</v>
      </c>
      <c r="CE19" s="8">
        <v>0</v>
      </c>
      <c r="CF19" s="8">
        <v>0</v>
      </c>
      <c r="CG19" s="8">
        <v>0</v>
      </c>
      <c r="CH19" s="8">
        <v>0</v>
      </c>
      <c r="CI19" s="8">
        <v>0</v>
      </c>
      <c r="CJ19" s="8">
        <v>0</v>
      </c>
      <c r="CK19" s="8">
        <v>0</v>
      </c>
      <c r="CL19" s="8">
        <v>0</v>
      </c>
      <c r="CM19" s="8">
        <v>0</v>
      </c>
      <c r="CN19" s="8">
        <v>0</v>
      </c>
      <c r="CO19" s="9">
        <f t="shared" si="6"/>
        <v>0</v>
      </c>
      <c r="CP19" s="8">
        <v>0</v>
      </c>
      <c r="CQ19" s="8">
        <v>0</v>
      </c>
      <c r="CR19" s="8">
        <v>0</v>
      </c>
      <c r="CS19" s="8">
        <v>0</v>
      </c>
      <c r="CT19" s="8">
        <v>0</v>
      </c>
      <c r="CU19" s="8">
        <v>0</v>
      </c>
      <c r="CV19" s="8">
        <v>0</v>
      </c>
      <c r="CW19" s="8">
        <v>0</v>
      </c>
      <c r="CX19" s="8">
        <v>0</v>
      </c>
      <c r="CY19" s="8">
        <v>0</v>
      </c>
      <c r="CZ19" s="8">
        <v>0</v>
      </c>
      <c r="DA19" s="8">
        <v>0</v>
      </c>
      <c r="DB19" s="9">
        <f t="shared" si="7"/>
        <v>0</v>
      </c>
      <c r="DC19" s="8">
        <v>0</v>
      </c>
      <c r="DD19" s="8">
        <v>0</v>
      </c>
      <c r="DE19" s="8">
        <v>0</v>
      </c>
      <c r="DF19" s="8">
        <v>0</v>
      </c>
      <c r="DG19" s="8">
        <v>0</v>
      </c>
      <c r="DH19" s="8">
        <v>0</v>
      </c>
      <c r="DI19" s="8">
        <v>0</v>
      </c>
      <c r="DJ19" s="8">
        <v>0</v>
      </c>
      <c r="DK19" s="8">
        <v>0</v>
      </c>
      <c r="DL19" s="8">
        <v>0</v>
      </c>
      <c r="DM19" s="8">
        <v>0</v>
      </c>
      <c r="DN19" s="8">
        <v>0</v>
      </c>
      <c r="DO19" s="9">
        <f t="shared" si="8"/>
        <v>0</v>
      </c>
      <c r="DP19" s="8">
        <v>0</v>
      </c>
      <c r="DQ19" s="8">
        <v>0</v>
      </c>
      <c r="DR19" s="8">
        <v>0</v>
      </c>
      <c r="DS19" s="8">
        <v>0</v>
      </c>
      <c r="DT19" s="8">
        <v>0</v>
      </c>
      <c r="DU19" s="8">
        <v>0</v>
      </c>
      <c r="DV19" s="8">
        <v>0</v>
      </c>
      <c r="DW19" s="8">
        <v>0</v>
      </c>
      <c r="DX19" s="8">
        <v>0</v>
      </c>
      <c r="DY19" s="8">
        <v>0</v>
      </c>
      <c r="DZ19" s="8">
        <v>0</v>
      </c>
      <c r="EA19" s="8">
        <v>0</v>
      </c>
      <c r="EB19" s="9">
        <f t="shared" si="9"/>
        <v>0</v>
      </c>
      <c r="EC19" s="8">
        <v>0</v>
      </c>
      <c r="ED19" s="8">
        <v>0</v>
      </c>
      <c r="EE19" s="8">
        <v>0</v>
      </c>
      <c r="EF19" s="8">
        <v>0</v>
      </c>
      <c r="EG19" s="8">
        <v>0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0</v>
      </c>
      <c r="EN19" s="8">
        <v>0</v>
      </c>
      <c r="EO19" s="9">
        <f t="shared" si="10"/>
        <v>0</v>
      </c>
      <c r="EP19" s="8">
        <v>0</v>
      </c>
      <c r="EQ19" s="8">
        <v>0</v>
      </c>
      <c r="ER19" s="8">
        <v>0</v>
      </c>
      <c r="ES19" s="8">
        <v>0</v>
      </c>
      <c r="ET19" s="8">
        <v>0</v>
      </c>
      <c r="EU19" s="8">
        <v>0</v>
      </c>
      <c r="EV19" s="8">
        <v>0</v>
      </c>
      <c r="EW19" s="8">
        <v>0</v>
      </c>
      <c r="EX19" s="8">
        <v>0</v>
      </c>
      <c r="EY19" s="8">
        <v>0</v>
      </c>
      <c r="EZ19" s="8">
        <v>0</v>
      </c>
      <c r="FA19" s="8">
        <v>0</v>
      </c>
      <c r="FB19" s="9">
        <f t="shared" si="11"/>
        <v>0</v>
      </c>
      <c r="FC19" s="8">
        <v>1473262</v>
      </c>
      <c r="FD19" s="8">
        <v>1473262</v>
      </c>
      <c r="FE19" s="8">
        <v>1473262</v>
      </c>
      <c r="FF19" s="8">
        <v>1473262</v>
      </c>
      <c r="FG19" s="8">
        <v>1473262</v>
      </c>
      <c r="FH19" s="8">
        <v>1473262</v>
      </c>
      <c r="FI19" s="8">
        <v>1473262</v>
      </c>
      <c r="FJ19" s="8"/>
      <c r="FK19" s="8"/>
      <c r="FL19" s="8"/>
      <c r="FM19" s="8"/>
      <c r="FN19" s="8"/>
      <c r="FO19" s="9">
        <f t="shared" si="12"/>
        <v>1473262</v>
      </c>
    </row>
    <row r="20" spans="2:171" ht="14.25" customHeight="1" x14ac:dyDescent="0.3">
      <c r="B20" s="7" t="s">
        <v>55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9">
        <f t="shared" si="0"/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9">
        <f t="shared" si="1"/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9">
        <f t="shared" si="2"/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v>0</v>
      </c>
      <c r="AZ20" s="8">
        <v>0</v>
      </c>
      <c r="BA20" s="8">
        <v>0</v>
      </c>
      <c r="BB20" s="9">
        <f t="shared" si="3"/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8">
        <v>0</v>
      </c>
      <c r="BM20" s="8">
        <v>0</v>
      </c>
      <c r="BN20" s="8">
        <v>0</v>
      </c>
      <c r="BO20" s="9">
        <f t="shared" si="4"/>
        <v>0</v>
      </c>
      <c r="BP20" s="8">
        <v>0</v>
      </c>
      <c r="BQ20" s="8">
        <v>0</v>
      </c>
      <c r="BR20" s="8">
        <v>0</v>
      </c>
      <c r="BS20" s="8">
        <v>0</v>
      </c>
      <c r="BT20" s="8">
        <v>0</v>
      </c>
      <c r="BU20" s="8">
        <v>0</v>
      </c>
      <c r="BV20" s="8">
        <v>0</v>
      </c>
      <c r="BW20" s="8">
        <v>0</v>
      </c>
      <c r="BX20" s="8">
        <v>0</v>
      </c>
      <c r="BY20" s="8">
        <v>0</v>
      </c>
      <c r="BZ20" s="8">
        <v>0</v>
      </c>
      <c r="CA20" s="8">
        <v>0</v>
      </c>
      <c r="CB20" s="9">
        <f t="shared" si="5"/>
        <v>0</v>
      </c>
      <c r="CC20" s="8">
        <v>0</v>
      </c>
      <c r="CD20" s="8">
        <v>0</v>
      </c>
      <c r="CE20" s="8">
        <v>0</v>
      </c>
      <c r="CF20" s="8">
        <v>0</v>
      </c>
      <c r="CG20" s="8">
        <v>0</v>
      </c>
      <c r="CH20" s="8">
        <v>0</v>
      </c>
      <c r="CI20" s="8">
        <v>0</v>
      </c>
      <c r="CJ20" s="8">
        <v>0</v>
      </c>
      <c r="CK20" s="8">
        <v>0</v>
      </c>
      <c r="CL20" s="8">
        <v>0</v>
      </c>
      <c r="CM20" s="8">
        <v>0</v>
      </c>
      <c r="CN20" s="8">
        <v>0</v>
      </c>
      <c r="CO20" s="9">
        <f t="shared" si="6"/>
        <v>0</v>
      </c>
      <c r="CP20" s="8">
        <v>0</v>
      </c>
      <c r="CQ20" s="8">
        <v>0</v>
      </c>
      <c r="CR20" s="8">
        <v>0</v>
      </c>
      <c r="CS20" s="8">
        <v>0</v>
      </c>
      <c r="CT20" s="8">
        <v>0</v>
      </c>
      <c r="CU20" s="8">
        <v>0</v>
      </c>
      <c r="CV20" s="8">
        <v>0</v>
      </c>
      <c r="CW20" s="8">
        <v>0</v>
      </c>
      <c r="CX20" s="8">
        <v>0</v>
      </c>
      <c r="CY20" s="8">
        <v>0</v>
      </c>
      <c r="CZ20" s="8">
        <v>0</v>
      </c>
      <c r="DA20" s="8">
        <v>0</v>
      </c>
      <c r="DB20" s="9">
        <f t="shared" si="7"/>
        <v>0</v>
      </c>
      <c r="DC20" s="8">
        <v>0</v>
      </c>
      <c r="DD20" s="8">
        <v>0</v>
      </c>
      <c r="DE20" s="8">
        <v>0</v>
      </c>
      <c r="DF20" s="8">
        <v>0</v>
      </c>
      <c r="DG20" s="8">
        <v>0</v>
      </c>
      <c r="DH20" s="8">
        <v>0</v>
      </c>
      <c r="DI20" s="8">
        <v>0</v>
      </c>
      <c r="DJ20" s="8">
        <v>0</v>
      </c>
      <c r="DK20" s="8">
        <v>0</v>
      </c>
      <c r="DL20" s="8">
        <v>0</v>
      </c>
      <c r="DM20" s="8">
        <v>0</v>
      </c>
      <c r="DN20" s="8">
        <v>0</v>
      </c>
      <c r="DO20" s="9">
        <f t="shared" si="8"/>
        <v>0</v>
      </c>
      <c r="DP20" s="8">
        <v>0</v>
      </c>
      <c r="DQ20" s="8">
        <v>0</v>
      </c>
      <c r="DR20" s="8">
        <v>0</v>
      </c>
      <c r="DS20" s="8">
        <v>0</v>
      </c>
      <c r="DT20" s="8">
        <v>0</v>
      </c>
      <c r="DU20" s="8">
        <v>0</v>
      </c>
      <c r="DV20" s="8">
        <v>0</v>
      </c>
      <c r="DW20" s="8">
        <v>0</v>
      </c>
      <c r="DX20" s="8">
        <v>0</v>
      </c>
      <c r="DY20" s="8">
        <v>0</v>
      </c>
      <c r="DZ20" s="8">
        <v>0</v>
      </c>
      <c r="EA20" s="8">
        <v>0</v>
      </c>
      <c r="EB20" s="9">
        <f t="shared" si="9"/>
        <v>0</v>
      </c>
      <c r="EC20" s="8">
        <v>0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9">
        <f t="shared" si="10"/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0</v>
      </c>
      <c r="EV20" s="8">
        <v>0</v>
      </c>
      <c r="EW20" s="8">
        <v>0</v>
      </c>
      <c r="EX20" s="8">
        <v>0</v>
      </c>
      <c r="EY20" s="8">
        <v>0</v>
      </c>
      <c r="EZ20" s="8">
        <v>0</v>
      </c>
      <c r="FA20" s="8">
        <v>0</v>
      </c>
      <c r="FB20" s="9">
        <f t="shared" si="11"/>
        <v>0</v>
      </c>
      <c r="FC20" s="8">
        <v>19044871</v>
      </c>
      <c r="FD20" s="8">
        <v>19044871</v>
      </c>
      <c r="FE20" s="8">
        <v>19044871</v>
      </c>
      <c r="FF20" s="8">
        <v>19044871</v>
      </c>
      <c r="FG20" s="8">
        <v>19044871</v>
      </c>
      <c r="FH20" s="8">
        <v>19044871</v>
      </c>
      <c r="FI20" s="8">
        <v>19044871</v>
      </c>
      <c r="FJ20" s="8"/>
      <c r="FK20" s="8"/>
      <c r="FL20" s="8"/>
      <c r="FM20" s="8"/>
      <c r="FN20" s="8"/>
      <c r="FO20" s="9">
        <f t="shared" si="12"/>
        <v>19044871</v>
      </c>
    </row>
    <row r="21" spans="2:171" ht="14.25" customHeight="1" x14ac:dyDescent="0.3">
      <c r="B21" s="7" t="s">
        <v>56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9">
        <f t="shared" si="0"/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9">
        <f t="shared" si="1"/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0</v>
      </c>
      <c r="AL21" s="8">
        <v>0</v>
      </c>
      <c r="AM21" s="8">
        <v>0</v>
      </c>
      <c r="AN21" s="8">
        <v>0</v>
      </c>
      <c r="AO21" s="9">
        <f t="shared" si="2"/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v>0</v>
      </c>
      <c r="AZ21" s="8">
        <v>0</v>
      </c>
      <c r="BA21" s="8">
        <v>0</v>
      </c>
      <c r="BB21" s="9">
        <f t="shared" si="3"/>
        <v>0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0</v>
      </c>
      <c r="BL21" s="8">
        <v>0</v>
      </c>
      <c r="BM21" s="8">
        <v>0</v>
      </c>
      <c r="BN21" s="8">
        <v>0</v>
      </c>
      <c r="BO21" s="9">
        <f t="shared" si="4"/>
        <v>0</v>
      </c>
      <c r="BP21" s="8">
        <v>0</v>
      </c>
      <c r="BQ21" s="8">
        <v>0</v>
      </c>
      <c r="BR21" s="8">
        <v>0</v>
      </c>
      <c r="BS21" s="8">
        <v>0</v>
      </c>
      <c r="BT21" s="8">
        <v>0</v>
      </c>
      <c r="BU21" s="8">
        <v>0</v>
      </c>
      <c r="BV21" s="8">
        <v>0</v>
      </c>
      <c r="BW21" s="8">
        <v>0</v>
      </c>
      <c r="BX21" s="8">
        <v>0</v>
      </c>
      <c r="BY21" s="8">
        <v>0</v>
      </c>
      <c r="BZ21" s="8">
        <v>0</v>
      </c>
      <c r="CA21" s="8">
        <v>0</v>
      </c>
      <c r="CB21" s="9">
        <f t="shared" si="5"/>
        <v>0</v>
      </c>
      <c r="CC21" s="8">
        <v>0</v>
      </c>
      <c r="CD21" s="8">
        <v>0</v>
      </c>
      <c r="CE21" s="8">
        <v>0</v>
      </c>
      <c r="CF21" s="8">
        <v>0</v>
      </c>
      <c r="CG21" s="8">
        <v>0</v>
      </c>
      <c r="CH21" s="8">
        <v>0</v>
      </c>
      <c r="CI21" s="8">
        <v>0</v>
      </c>
      <c r="CJ21" s="8">
        <v>0</v>
      </c>
      <c r="CK21" s="8">
        <v>0</v>
      </c>
      <c r="CL21" s="8">
        <v>0</v>
      </c>
      <c r="CM21" s="8">
        <v>0</v>
      </c>
      <c r="CN21" s="8">
        <v>0</v>
      </c>
      <c r="CO21" s="9">
        <f t="shared" si="6"/>
        <v>0</v>
      </c>
      <c r="CP21" s="8">
        <v>0</v>
      </c>
      <c r="CQ21" s="8">
        <v>0</v>
      </c>
      <c r="CR21" s="8">
        <v>0</v>
      </c>
      <c r="CS21" s="8">
        <v>0</v>
      </c>
      <c r="CT21" s="8">
        <v>0</v>
      </c>
      <c r="CU21" s="8">
        <v>0</v>
      </c>
      <c r="CV21" s="8">
        <v>0</v>
      </c>
      <c r="CW21" s="8">
        <v>0</v>
      </c>
      <c r="CX21" s="8">
        <v>0</v>
      </c>
      <c r="CY21" s="8">
        <v>0</v>
      </c>
      <c r="CZ21" s="8">
        <v>0</v>
      </c>
      <c r="DA21" s="8">
        <v>0</v>
      </c>
      <c r="DB21" s="9">
        <f t="shared" si="7"/>
        <v>0</v>
      </c>
      <c r="DC21" s="8">
        <v>0</v>
      </c>
      <c r="DD21" s="8">
        <v>0</v>
      </c>
      <c r="DE21" s="8">
        <v>0</v>
      </c>
      <c r="DF21" s="8">
        <v>0</v>
      </c>
      <c r="DG21" s="8">
        <v>0</v>
      </c>
      <c r="DH21" s="8">
        <v>0</v>
      </c>
      <c r="DI21" s="8">
        <v>0</v>
      </c>
      <c r="DJ21" s="8">
        <v>0</v>
      </c>
      <c r="DK21" s="8">
        <v>0</v>
      </c>
      <c r="DL21" s="8">
        <v>0</v>
      </c>
      <c r="DM21" s="8">
        <v>0</v>
      </c>
      <c r="DN21" s="8">
        <v>0</v>
      </c>
      <c r="DO21" s="9">
        <f t="shared" si="8"/>
        <v>0</v>
      </c>
      <c r="DP21" s="8">
        <v>0</v>
      </c>
      <c r="DQ21" s="8">
        <v>0</v>
      </c>
      <c r="DR21" s="8">
        <v>0</v>
      </c>
      <c r="DS21" s="8">
        <v>0</v>
      </c>
      <c r="DT21" s="8">
        <v>0</v>
      </c>
      <c r="DU21" s="8">
        <v>0</v>
      </c>
      <c r="DV21" s="8">
        <v>0</v>
      </c>
      <c r="DW21" s="8">
        <v>0</v>
      </c>
      <c r="DX21" s="8">
        <v>0</v>
      </c>
      <c r="DY21" s="8">
        <v>0</v>
      </c>
      <c r="DZ21" s="8">
        <v>0</v>
      </c>
      <c r="EA21" s="8">
        <v>0</v>
      </c>
      <c r="EB21" s="9">
        <f t="shared" si="9"/>
        <v>0</v>
      </c>
      <c r="EC21" s="8">
        <v>0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9">
        <f t="shared" si="10"/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0</v>
      </c>
      <c r="EV21" s="8">
        <v>0</v>
      </c>
      <c r="EW21" s="8">
        <v>0</v>
      </c>
      <c r="EX21" s="8">
        <v>0</v>
      </c>
      <c r="EY21" s="8">
        <v>0</v>
      </c>
      <c r="EZ21" s="8">
        <v>0</v>
      </c>
      <c r="FA21" s="8">
        <v>0</v>
      </c>
      <c r="FB21" s="9">
        <f t="shared" si="11"/>
        <v>0</v>
      </c>
      <c r="FC21" s="8">
        <v>36636103</v>
      </c>
      <c r="FD21" s="8">
        <v>36636103</v>
      </c>
      <c r="FE21" s="8">
        <v>36636103</v>
      </c>
      <c r="FF21" s="8">
        <v>36636103</v>
      </c>
      <c r="FG21" s="8">
        <v>36636103</v>
      </c>
      <c r="FH21" s="8">
        <v>36636103</v>
      </c>
      <c r="FI21" s="8">
        <v>36636103</v>
      </c>
      <c r="FJ21" s="8"/>
      <c r="FK21" s="8"/>
      <c r="FL21" s="8"/>
      <c r="FM21" s="8"/>
      <c r="FN21" s="8"/>
      <c r="FO21" s="9">
        <f t="shared" si="12"/>
        <v>36636103</v>
      </c>
    </row>
    <row r="22" spans="2:171" ht="14.25" customHeight="1" x14ac:dyDescent="0.3">
      <c r="B22" s="7" t="s">
        <v>57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9">
        <f t="shared" si="0"/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9">
        <f t="shared" si="1"/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9">
        <f t="shared" si="2"/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9">
        <f t="shared" si="3"/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0</v>
      </c>
      <c r="BL22" s="8">
        <v>0</v>
      </c>
      <c r="BM22" s="8">
        <v>0</v>
      </c>
      <c r="BN22" s="8">
        <v>0</v>
      </c>
      <c r="BO22" s="9">
        <f t="shared" si="4"/>
        <v>0</v>
      </c>
      <c r="BP22" s="8">
        <v>0</v>
      </c>
      <c r="BQ22" s="8">
        <v>0</v>
      </c>
      <c r="BR22" s="8">
        <v>0</v>
      </c>
      <c r="BS22" s="8">
        <v>0</v>
      </c>
      <c r="BT22" s="8">
        <v>0</v>
      </c>
      <c r="BU22" s="8">
        <v>0</v>
      </c>
      <c r="BV22" s="8">
        <v>0</v>
      </c>
      <c r="BW22" s="8">
        <v>0</v>
      </c>
      <c r="BX22" s="8">
        <v>0</v>
      </c>
      <c r="BY22" s="8">
        <v>0</v>
      </c>
      <c r="BZ22" s="8">
        <v>0</v>
      </c>
      <c r="CA22" s="8">
        <v>0</v>
      </c>
      <c r="CB22" s="9">
        <f t="shared" si="5"/>
        <v>0</v>
      </c>
      <c r="CC22" s="8">
        <v>0</v>
      </c>
      <c r="CD22" s="8">
        <v>0</v>
      </c>
      <c r="CE22" s="8">
        <v>0</v>
      </c>
      <c r="CF22" s="8">
        <v>0</v>
      </c>
      <c r="CG22" s="8">
        <v>0</v>
      </c>
      <c r="CH22" s="8">
        <v>0</v>
      </c>
      <c r="CI22" s="8">
        <v>0</v>
      </c>
      <c r="CJ22" s="8">
        <v>0</v>
      </c>
      <c r="CK22" s="8">
        <v>0</v>
      </c>
      <c r="CL22" s="8">
        <v>0</v>
      </c>
      <c r="CM22" s="8">
        <v>0</v>
      </c>
      <c r="CN22" s="8">
        <v>0</v>
      </c>
      <c r="CO22" s="9">
        <f t="shared" si="6"/>
        <v>0</v>
      </c>
      <c r="CP22" s="8">
        <v>0</v>
      </c>
      <c r="CQ22" s="8">
        <v>0</v>
      </c>
      <c r="CR22" s="8">
        <v>0</v>
      </c>
      <c r="CS22" s="8">
        <v>0</v>
      </c>
      <c r="CT22" s="8">
        <v>0</v>
      </c>
      <c r="CU22" s="8">
        <v>0</v>
      </c>
      <c r="CV22" s="8">
        <v>0</v>
      </c>
      <c r="CW22" s="8">
        <v>0</v>
      </c>
      <c r="CX22" s="8">
        <v>0</v>
      </c>
      <c r="CY22" s="8">
        <v>0</v>
      </c>
      <c r="CZ22" s="8">
        <v>0</v>
      </c>
      <c r="DA22" s="8">
        <v>0</v>
      </c>
      <c r="DB22" s="9">
        <f t="shared" si="7"/>
        <v>0</v>
      </c>
      <c r="DC22" s="8">
        <v>0</v>
      </c>
      <c r="DD22" s="8">
        <v>0</v>
      </c>
      <c r="DE22" s="8">
        <v>0</v>
      </c>
      <c r="DF22" s="8">
        <v>0</v>
      </c>
      <c r="DG22" s="8">
        <v>0</v>
      </c>
      <c r="DH22" s="8">
        <v>0</v>
      </c>
      <c r="DI22" s="8">
        <v>0</v>
      </c>
      <c r="DJ22" s="8">
        <v>0</v>
      </c>
      <c r="DK22" s="8">
        <v>0</v>
      </c>
      <c r="DL22" s="8">
        <v>0</v>
      </c>
      <c r="DM22" s="8">
        <v>0</v>
      </c>
      <c r="DN22" s="8">
        <v>0</v>
      </c>
      <c r="DO22" s="9">
        <f t="shared" si="8"/>
        <v>0</v>
      </c>
      <c r="DP22" s="8">
        <v>0</v>
      </c>
      <c r="DQ22" s="8">
        <v>0</v>
      </c>
      <c r="DR22" s="8">
        <v>0</v>
      </c>
      <c r="DS22" s="8">
        <v>0</v>
      </c>
      <c r="DT22" s="8">
        <v>0</v>
      </c>
      <c r="DU22" s="8">
        <v>0</v>
      </c>
      <c r="DV22" s="8">
        <v>0</v>
      </c>
      <c r="DW22" s="8">
        <v>0</v>
      </c>
      <c r="DX22" s="8">
        <v>0</v>
      </c>
      <c r="DY22" s="8">
        <v>0</v>
      </c>
      <c r="DZ22" s="8">
        <v>0</v>
      </c>
      <c r="EA22" s="8">
        <v>0</v>
      </c>
      <c r="EB22" s="9">
        <f t="shared" si="9"/>
        <v>0</v>
      </c>
      <c r="EC22" s="8">
        <v>0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9">
        <f t="shared" si="10"/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0</v>
      </c>
      <c r="FA22" s="8">
        <v>0</v>
      </c>
      <c r="FB22" s="9">
        <f t="shared" si="11"/>
        <v>0</v>
      </c>
      <c r="FC22" s="8">
        <v>5112502</v>
      </c>
      <c r="FD22" s="8">
        <v>5112502</v>
      </c>
      <c r="FE22" s="8">
        <v>5112502</v>
      </c>
      <c r="FF22" s="8">
        <v>5112502</v>
      </c>
      <c r="FG22" s="8">
        <v>5112502</v>
      </c>
      <c r="FH22" s="8">
        <v>5112502</v>
      </c>
      <c r="FI22" s="8">
        <v>5112502</v>
      </c>
      <c r="FJ22" s="8"/>
      <c r="FK22" s="8"/>
      <c r="FL22" s="8"/>
      <c r="FM22" s="8"/>
      <c r="FN22" s="8"/>
      <c r="FO22" s="9">
        <f t="shared" si="12"/>
        <v>5112502</v>
      </c>
    </row>
    <row r="23" spans="2:171" ht="14.25" customHeight="1" x14ac:dyDescent="0.3">
      <c r="B23" s="7" t="s">
        <v>58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9">
        <f t="shared" si="0"/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9">
        <f t="shared" si="1"/>
        <v>0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9">
        <f t="shared" si="2"/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v>0</v>
      </c>
      <c r="AZ23" s="8">
        <v>0</v>
      </c>
      <c r="BA23" s="8">
        <v>0</v>
      </c>
      <c r="BB23" s="9">
        <f t="shared" si="3"/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8">
        <v>0</v>
      </c>
      <c r="BM23" s="8">
        <v>0</v>
      </c>
      <c r="BN23" s="8">
        <v>0</v>
      </c>
      <c r="BO23" s="9">
        <f t="shared" si="4"/>
        <v>0</v>
      </c>
      <c r="BP23" s="8">
        <v>0</v>
      </c>
      <c r="BQ23" s="8">
        <v>0</v>
      </c>
      <c r="BR23" s="8">
        <v>0</v>
      </c>
      <c r="BS23" s="8">
        <v>0</v>
      </c>
      <c r="BT23" s="8">
        <v>0</v>
      </c>
      <c r="BU23" s="8">
        <v>0</v>
      </c>
      <c r="BV23" s="8">
        <v>0</v>
      </c>
      <c r="BW23" s="8">
        <v>0</v>
      </c>
      <c r="BX23" s="8">
        <v>0</v>
      </c>
      <c r="BY23" s="8">
        <v>0</v>
      </c>
      <c r="BZ23" s="8">
        <v>0</v>
      </c>
      <c r="CA23" s="8">
        <v>0</v>
      </c>
      <c r="CB23" s="9">
        <f t="shared" si="5"/>
        <v>0</v>
      </c>
      <c r="CC23" s="8">
        <v>0</v>
      </c>
      <c r="CD23" s="8">
        <v>0</v>
      </c>
      <c r="CE23" s="8">
        <v>0</v>
      </c>
      <c r="CF23" s="8">
        <v>0</v>
      </c>
      <c r="CG23" s="8">
        <v>0</v>
      </c>
      <c r="CH23" s="8">
        <v>0</v>
      </c>
      <c r="CI23" s="8">
        <v>0</v>
      </c>
      <c r="CJ23" s="8">
        <v>0</v>
      </c>
      <c r="CK23" s="8">
        <v>0</v>
      </c>
      <c r="CL23" s="8">
        <v>0</v>
      </c>
      <c r="CM23" s="8">
        <v>0</v>
      </c>
      <c r="CN23" s="8">
        <v>0</v>
      </c>
      <c r="CO23" s="9">
        <f t="shared" si="6"/>
        <v>0</v>
      </c>
      <c r="CP23" s="8">
        <v>0</v>
      </c>
      <c r="CQ23" s="8">
        <v>0</v>
      </c>
      <c r="CR23" s="8">
        <v>0</v>
      </c>
      <c r="CS23" s="8">
        <v>0</v>
      </c>
      <c r="CT23" s="8">
        <v>0</v>
      </c>
      <c r="CU23" s="8">
        <v>0</v>
      </c>
      <c r="CV23" s="8">
        <v>0</v>
      </c>
      <c r="CW23" s="8">
        <v>0</v>
      </c>
      <c r="CX23" s="8">
        <v>0</v>
      </c>
      <c r="CY23" s="8">
        <v>0</v>
      </c>
      <c r="CZ23" s="8">
        <v>0</v>
      </c>
      <c r="DA23" s="8">
        <v>0</v>
      </c>
      <c r="DB23" s="9">
        <f t="shared" si="7"/>
        <v>0</v>
      </c>
      <c r="DC23" s="8">
        <v>0</v>
      </c>
      <c r="DD23" s="8">
        <v>0</v>
      </c>
      <c r="DE23" s="8">
        <v>0</v>
      </c>
      <c r="DF23" s="8">
        <v>0</v>
      </c>
      <c r="DG23" s="8">
        <v>0</v>
      </c>
      <c r="DH23" s="8">
        <v>0</v>
      </c>
      <c r="DI23" s="8">
        <v>0</v>
      </c>
      <c r="DJ23" s="8">
        <v>0</v>
      </c>
      <c r="DK23" s="8">
        <v>0</v>
      </c>
      <c r="DL23" s="8">
        <v>0</v>
      </c>
      <c r="DM23" s="8">
        <v>0</v>
      </c>
      <c r="DN23" s="8">
        <v>0</v>
      </c>
      <c r="DO23" s="9">
        <f t="shared" si="8"/>
        <v>0</v>
      </c>
      <c r="DP23" s="8">
        <v>0</v>
      </c>
      <c r="DQ23" s="8">
        <v>0</v>
      </c>
      <c r="DR23" s="8">
        <v>0</v>
      </c>
      <c r="DS23" s="8">
        <v>0</v>
      </c>
      <c r="DT23" s="8">
        <v>0</v>
      </c>
      <c r="DU23" s="8">
        <v>0</v>
      </c>
      <c r="DV23" s="8">
        <v>0</v>
      </c>
      <c r="DW23" s="8">
        <v>0</v>
      </c>
      <c r="DX23" s="8">
        <v>0</v>
      </c>
      <c r="DY23" s="8">
        <v>0</v>
      </c>
      <c r="DZ23" s="8">
        <v>0</v>
      </c>
      <c r="EA23" s="8">
        <v>0</v>
      </c>
      <c r="EB23" s="9">
        <f t="shared" si="9"/>
        <v>0</v>
      </c>
      <c r="EC23" s="8">
        <v>0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9">
        <f t="shared" si="10"/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0</v>
      </c>
      <c r="FA23" s="8">
        <v>0</v>
      </c>
      <c r="FB23" s="9">
        <f t="shared" si="11"/>
        <v>0</v>
      </c>
      <c r="FC23" s="8">
        <v>7914575</v>
      </c>
      <c r="FD23" s="8">
        <v>7914575</v>
      </c>
      <c r="FE23" s="8">
        <v>7914575</v>
      </c>
      <c r="FF23" s="8">
        <v>7914575</v>
      </c>
      <c r="FG23" s="8">
        <v>7914575</v>
      </c>
      <c r="FH23" s="8">
        <v>7914575</v>
      </c>
      <c r="FI23" s="8">
        <v>7914575</v>
      </c>
      <c r="FJ23" s="8"/>
      <c r="FK23" s="8"/>
      <c r="FL23" s="8"/>
      <c r="FM23" s="8"/>
      <c r="FN23" s="8"/>
      <c r="FO23" s="9">
        <f t="shared" si="12"/>
        <v>7914575</v>
      </c>
    </row>
    <row r="24" spans="2:171" ht="14.25" customHeight="1" x14ac:dyDescent="0.3">
      <c r="B24" s="7" t="s">
        <v>59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9">
        <f t="shared" si="0"/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9">
        <f t="shared" si="1"/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9">
        <f t="shared" si="2"/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9">
        <f t="shared" si="3"/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9">
        <f t="shared" si="4"/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9">
        <f t="shared" si="5"/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9">
        <f t="shared" si="6"/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9">
        <f t="shared" si="7"/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9">
        <f t="shared" si="8"/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9">
        <f t="shared" si="9"/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9">
        <f t="shared" si="10"/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9">
        <f t="shared" si="11"/>
        <v>0</v>
      </c>
      <c r="FC24" s="8">
        <v>1516870</v>
      </c>
      <c r="FD24" s="8">
        <v>1516870</v>
      </c>
      <c r="FE24" s="8">
        <v>1516870</v>
      </c>
      <c r="FF24" s="8">
        <v>1516870</v>
      </c>
      <c r="FG24" s="8">
        <v>1516870</v>
      </c>
      <c r="FH24" s="8">
        <v>1516870</v>
      </c>
      <c r="FI24" s="8">
        <v>1516870</v>
      </c>
      <c r="FJ24" s="8"/>
      <c r="FK24" s="8"/>
      <c r="FL24" s="8"/>
      <c r="FM24" s="8"/>
      <c r="FN24" s="8"/>
      <c r="FO24" s="9">
        <f t="shared" si="12"/>
        <v>1516870</v>
      </c>
    </row>
    <row r="25" spans="2:171" ht="14.25" customHeight="1" x14ac:dyDescent="0.3">
      <c r="B25" s="7" t="s">
        <v>60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9">
        <f t="shared" si="0"/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9">
        <f t="shared" si="1"/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9">
        <f t="shared" si="2"/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9">
        <f t="shared" si="3"/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9">
        <f t="shared" si="4"/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9">
        <f t="shared" si="5"/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9">
        <f t="shared" si="6"/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9">
        <f t="shared" si="7"/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9">
        <f t="shared" si="8"/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9">
        <f t="shared" si="9"/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9">
        <f t="shared" si="10"/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9">
        <f t="shared" si="11"/>
        <v>0</v>
      </c>
      <c r="FC25" s="8">
        <v>3495611</v>
      </c>
      <c r="FD25" s="8">
        <v>3495611</v>
      </c>
      <c r="FE25" s="8">
        <v>3495611</v>
      </c>
      <c r="FF25" s="8">
        <v>3495611</v>
      </c>
      <c r="FG25" s="8">
        <v>3495611</v>
      </c>
      <c r="FH25" s="8">
        <v>3495611</v>
      </c>
      <c r="FI25" s="8">
        <v>3495611</v>
      </c>
      <c r="FJ25" s="8"/>
      <c r="FK25" s="8"/>
      <c r="FL25" s="8"/>
      <c r="FM25" s="8"/>
      <c r="FN25" s="8"/>
      <c r="FO25" s="9">
        <f t="shared" si="12"/>
        <v>3495611</v>
      </c>
    </row>
    <row r="26" spans="2:171" ht="14.25" customHeight="1" x14ac:dyDescent="0.3">
      <c r="B26" s="7" t="s">
        <v>61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9">
        <f t="shared" si="0"/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9">
        <f t="shared" si="1"/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9">
        <f t="shared" si="2"/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9">
        <f t="shared" si="3"/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0</v>
      </c>
      <c r="BK26" s="8">
        <v>0</v>
      </c>
      <c r="BL26" s="8">
        <v>0</v>
      </c>
      <c r="BM26" s="8">
        <v>0</v>
      </c>
      <c r="BN26" s="8">
        <v>0</v>
      </c>
      <c r="BO26" s="9">
        <f t="shared" si="4"/>
        <v>0</v>
      </c>
      <c r="BP26" s="8">
        <v>0</v>
      </c>
      <c r="BQ26" s="8">
        <v>0</v>
      </c>
      <c r="BR26" s="8">
        <v>0</v>
      </c>
      <c r="BS26" s="8">
        <v>0</v>
      </c>
      <c r="BT26" s="8">
        <v>0</v>
      </c>
      <c r="BU26" s="8">
        <v>0</v>
      </c>
      <c r="BV26" s="8">
        <v>0</v>
      </c>
      <c r="BW26" s="8">
        <v>0</v>
      </c>
      <c r="BX26" s="8">
        <v>0</v>
      </c>
      <c r="BY26" s="8">
        <v>0</v>
      </c>
      <c r="BZ26" s="8">
        <v>0</v>
      </c>
      <c r="CA26" s="8">
        <v>0</v>
      </c>
      <c r="CB26" s="9">
        <f t="shared" si="5"/>
        <v>0</v>
      </c>
      <c r="CC26" s="8">
        <v>0</v>
      </c>
      <c r="CD26" s="8">
        <v>0</v>
      </c>
      <c r="CE26" s="8">
        <v>0</v>
      </c>
      <c r="CF26" s="8">
        <v>0</v>
      </c>
      <c r="CG26" s="8">
        <v>0</v>
      </c>
      <c r="CH26" s="8">
        <v>0</v>
      </c>
      <c r="CI26" s="8">
        <v>0</v>
      </c>
      <c r="CJ26" s="8">
        <v>0</v>
      </c>
      <c r="CK26" s="8">
        <v>0</v>
      </c>
      <c r="CL26" s="8">
        <v>0</v>
      </c>
      <c r="CM26" s="8">
        <v>0</v>
      </c>
      <c r="CN26" s="8">
        <v>0</v>
      </c>
      <c r="CO26" s="9">
        <f t="shared" si="6"/>
        <v>0</v>
      </c>
      <c r="CP26" s="8">
        <v>0</v>
      </c>
      <c r="CQ26" s="8">
        <v>0</v>
      </c>
      <c r="CR26" s="8">
        <v>0</v>
      </c>
      <c r="CS26" s="8">
        <v>0</v>
      </c>
      <c r="CT26" s="8">
        <v>0</v>
      </c>
      <c r="CU26" s="8">
        <v>0</v>
      </c>
      <c r="CV26" s="8">
        <v>0</v>
      </c>
      <c r="CW26" s="8">
        <v>0</v>
      </c>
      <c r="CX26" s="8">
        <v>0</v>
      </c>
      <c r="CY26" s="8">
        <v>0</v>
      </c>
      <c r="CZ26" s="8">
        <v>0</v>
      </c>
      <c r="DA26" s="8">
        <v>0</v>
      </c>
      <c r="DB26" s="9">
        <f t="shared" si="7"/>
        <v>0</v>
      </c>
      <c r="DC26" s="8">
        <v>0</v>
      </c>
      <c r="DD26" s="8">
        <v>0</v>
      </c>
      <c r="DE26" s="8">
        <v>0</v>
      </c>
      <c r="DF26" s="8">
        <v>0</v>
      </c>
      <c r="DG26" s="8">
        <v>0</v>
      </c>
      <c r="DH26" s="8">
        <v>0</v>
      </c>
      <c r="DI26" s="8">
        <v>0</v>
      </c>
      <c r="DJ26" s="8">
        <v>0</v>
      </c>
      <c r="DK26" s="8">
        <v>0</v>
      </c>
      <c r="DL26" s="8">
        <v>0</v>
      </c>
      <c r="DM26" s="8">
        <v>0</v>
      </c>
      <c r="DN26" s="8">
        <v>0</v>
      </c>
      <c r="DO26" s="9">
        <f t="shared" si="8"/>
        <v>0</v>
      </c>
      <c r="DP26" s="8">
        <v>0</v>
      </c>
      <c r="DQ26" s="8">
        <v>0</v>
      </c>
      <c r="DR26" s="8">
        <v>0</v>
      </c>
      <c r="DS26" s="8">
        <v>0</v>
      </c>
      <c r="DT26" s="8">
        <v>0</v>
      </c>
      <c r="DU26" s="8">
        <v>0</v>
      </c>
      <c r="DV26" s="8">
        <v>0</v>
      </c>
      <c r="DW26" s="8">
        <v>0</v>
      </c>
      <c r="DX26" s="8">
        <v>0</v>
      </c>
      <c r="DY26" s="8">
        <v>0</v>
      </c>
      <c r="DZ26" s="8">
        <v>0</v>
      </c>
      <c r="EA26" s="8">
        <v>0</v>
      </c>
      <c r="EB26" s="9">
        <f t="shared" si="9"/>
        <v>0</v>
      </c>
      <c r="EC26" s="8">
        <v>0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9">
        <f t="shared" si="10"/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9">
        <f t="shared" si="11"/>
        <v>0</v>
      </c>
      <c r="FC26" s="8">
        <v>13124470</v>
      </c>
      <c r="FD26" s="8">
        <v>13124470</v>
      </c>
      <c r="FE26" s="8">
        <v>13124470</v>
      </c>
      <c r="FF26" s="8">
        <v>13124470</v>
      </c>
      <c r="FG26" s="8">
        <v>13124470</v>
      </c>
      <c r="FH26" s="8">
        <v>13124470</v>
      </c>
      <c r="FI26" s="8">
        <v>13124470</v>
      </c>
      <c r="FJ26" s="8"/>
      <c r="FK26" s="8"/>
      <c r="FL26" s="8"/>
      <c r="FM26" s="8"/>
      <c r="FN26" s="8"/>
      <c r="FO26" s="9">
        <f t="shared" si="12"/>
        <v>13124470</v>
      </c>
    </row>
    <row r="27" spans="2:171" ht="14.25" customHeight="1" x14ac:dyDescent="0.3">
      <c r="B27" s="7" t="s">
        <v>62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9">
        <f t="shared" si="0"/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9">
        <f t="shared" si="1"/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9">
        <f t="shared" si="2"/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v>0</v>
      </c>
      <c r="AZ27" s="8">
        <v>0</v>
      </c>
      <c r="BA27" s="8">
        <v>0</v>
      </c>
      <c r="BB27" s="9">
        <f t="shared" si="3"/>
        <v>0</v>
      </c>
      <c r="BC27" s="8">
        <v>0</v>
      </c>
      <c r="BD27" s="8">
        <v>0</v>
      </c>
      <c r="BE27" s="8">
        <v>0</v>
      </c>
      <c r="BF27" s="8">
        <v>0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8">
        <v>0</v>
      </c>
      <c r="BM27" s="8">
        <v>0</v>
      </c>
      <c r="BN27" s="8">
        <v>0</v>
      </c>
      <c r="BO27" s="9">
        <f t="shared" si="4"/>
        <v>0</v>
      </c>
      <c r="BP27" s="8">
        <v>0</v>
      </c>
      <c r="BQ27" s="8">
        <v>0</v>
      </c>
      <c r="BR27" s="8">
        <v>0</v>
      </c>
      <c r="BS27" s="8">
        <v>0</v>
      </c>
      <c r="BT27" s="8">
        <v>0</v>
      </c>
      <c r="BU27" s="8">
        <v>0</v>
      </c>
      <c r="BV27" s="8">
        <v>0</v>
      </c>
      <c r="BW27" s="8">
        <v>0</v>
      </c>
      <c r="BX27" s="8">
        <v>0</v>
      </c>
      <c r="BY27" s="8">
        <v>0</v>
      </c>
      <c r="BZ27" s="8">
        <v>0</v>
      </c>
      <c r="CA27" s="8">
        <v>0</v>
      </c>
      <c r="CB27" s="9">
        <f t="shared" si="5"/>
        <v>0</v>
      </c>
      <c r="CC27" s="8">
        <v>0</v>
      </c>
      <c r="CD27" s="8">
        <v>0</v>
      </c>
      <c r="CE27" s="8">
        <v>0</v>
      </c>
      <c r="CF27" s="8">
        <v>0</v>
      </c>
      <c r="CG27" s="8">
        <v>0</v>
      </c>
      <c r="CH27" s="8">
        <v>0</v>
      </c>
      <c r="CI27" s="8">
        <v>0</v>
      </c>
      <c r="CJ27" s="8">
        <v>0</v>
      </c>
      <c r="CK27" s="8">
        <v>0</v>
      </c>
      <c r="CL27" s="8">
        <v>0</v>
      </c>
      <c r="CM27" s="8">
        <v>0</v>
      </c>
      <c r="CN27" s="8">
        <v>0</v>
      </c>
      <c r="CO27" s="9">
        <f t="shared" si="6"/>
        <v>0</v>
      </c>
      <c r="CP27" s="8">
        <v>0</v>
      </c>
      <c r="CQ27" s="8">
        <v>0</v>
      </c>
      <c r="CR27" s="8">
        <v>0</v>
      </c>
      <c r="CS27" s="8">
        <v>0</v>
      </c>
      <c r="CT27" s="8">
        <v>0</v>
      </c>
      <c r="CU27" s="8">
        <v>0</v>
      </c>
      <c r="CV27" s="8">
        <v>0</v>
      </c>
      <c r="CW27" s="8">
        <v>0</v>
      </c>
      <c r="CX27" s="8">
        <v>0</v>
      </c>
      <c r="CY27" s="8">
        <v>0</v>
      </c>
      <c r="CZ27" s="8">
        <v>0</v>
      </c>
      <c r="DA27" s="8">
        <v>0</v>
      </c>
      <c r="DB27" s="9">
        <f t="shared" si="7"/>
        <v>0</v>
      </c>
      <c r="DC27" s="8">
        <v>0</v>
      </c>
      <c r="DD27" s="8">
        <v>0</v>
      </c>
      <c r="DE27" s="8">
        <v>0</v>
      </c>
      <c r="DF27" s="8">
        <v>0</v>
      </c>
      <c r="DG27" s="8">
        <v>0</v>
      </c>
      <c r="DH27" s="8">
        <v>0</v>
      </c>
      <c r="DI27" s="8">
        <v>0</v>
      </c>
      <c r="DJ27" s="8">
        <v>0</v>
      </c>
      <c r="DK27" s="8">
        <v>0</v>
      </c>
      <c r="DL27" s="8">
        <v>0</v>
      </c>
      <c r="DM27" s="8">
        <v>0</v>
      </c>
      <c r="DN27" s="8">
        <v>0</v>
      </c>
      <c r="DO27" s="9">
        <f t="shared" si="8"/>
        <v>0</v>
      </c>
      <c r="DP27" s="8">
        <v>0</v>
      </c>
      <c r="DQ27" s="8">
        <v>0</v>
      </c>
      <c r="DR27" s="8">
        <v>0</v>
      </c>
      <c r="DS27" s="8">
        <v>0</v>
      </c>
      <c r="DT27" s="8">
        <v>0</v>
      </c>
      <c r="DU27" s="8">
        <v>0</v>
      </c>
      <c r="DV27" s="8">
        <v>0</v>
      </c>
      <c r="DW27" s="8">
        <v>0</v>
      </c>
      <c r="DX27" s="8">
        <v>0</v>
      </c>
      <c r="DY27" s="8">
        <v>0</v>
      </c>
      <c r="DZ27" s="8">
        <v>0</v>
      </c>
      <c r="EA27" s="8">
        <v>0</v>
      </c>
      <c r="EB27" s="9">
        <f t="shared" si="9"/>
        <v>0</v>
      </c>
      <c r="EC27" s="8">
        <v>0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9">
        <f t="shared" si="10"/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9">
        <f t="shared" si="11"/>
        <v>0</v>
      </c>
      <c r="FC27" s="8">
        <v>12054052</v>
      </c>
      <c r="FD27" s="8">
        <v>12054052</v>
      </c>
      <c r="FE27" s="8">
        <v>12054052</v>
      </c>
      <c r="FF27" s="8">
        <v>12054052</v>
      </c>
      <c r="FG27" s="8">
        <v>12054052</v>
      </c>
      <c r="FH27" s="8">
        <v>12054052</v>
      </c>
      <c r="FI27" s="8">
        <v>12054052</v>
      </c>
      <c r="FJ27" s="8"/>
      <c r="FK27" s="8"/>
      <c r="FL27" s="8"/>
      <c r="FM27" s="8"/>
      <c r="FN27" s="8"/>
      <c r="FO27" s="9">
        <f t="shared" si="12"/>
        <v>12054052</v>
      </c>
    </row>
    <row r="28" spans="2:171" ht="14.25" customHeight="1" x14ac:dyDescent="0.3">
      <c r="B28" s="7" t="s">
        <v>63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9">
        <f t="shared" si="0"/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9">
        <f t="shared" si="1"/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9">
        <f t="shared" si="2"/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v>0</v>
      </c>
      <c r="AZ28" s="8">
        <v>0</v>
      </c>
      <c r="BA28" s="8">
        <v>0</v>
      </c>
      <c r="BB28" s="9">
        <f t="shared" si="3"/>
        <v>0</v>
      </c>
      <c r="BC28" s="8">
        <v>0</v>
      </c>
      <c r="BD28" s="8">
        <v>0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8">
        <v>0</v>
      </c>
      <c r="BM28" s="8">
        <v>0</v>
      </c>
      <c r="BN28" s="8">
        <v>0</v>
      </c>
      <c r="BO28" s="9">
        <f t="shared" si="4"/>
        <v>0</v>
      </c>
      <c r="BP28" s="8">
        <v>0</v>
      </c>
      <c r="BQ28" s="8">
        <v>0</v>
      </c>
      <c r="BR28" s="8">
        <v>0</v>
      </c>
      <c r="BS28" s="8">
        <v>0</v>
      </c>
      <c r="BT28" s="8">
        <v>0</v>
      </c>
      <c r="BU28" s="8">
        <v>0</v>
      </c>
      <c r="BV28" s="8">
        <v>0</v>
      </c>
      <c r="BW28" s="8">
        <v>0</v>
      </c>
      <c r="BX28" s="8">
        <v>0</v>
      </c>
      <c r="BY28" s="8">
        <v>0</v>
      </c>
      <c r="BZ28" s="8">
        <v>0</v>
      </c>
      <c r="CA28" s="8">
        <v>0</v>
      </c>
      <c r="CB28" s="9">
        <f t="shared" si="5"/>
        <v>0</v>
      </c>
      <c r="CC28" s="8">
        <v>0</v>
      </c>
      <c r="CD28" s="8">
        <v>0</v>
      </c>
      <c r="CE28" s="8">
        <v>0</v>
      </c>
      <c r="CF28" s="8">
        <v>0</v>
      </c>
      <c r="CG28" s="8">
        <v>0</v>
      </c>
      <c r="CH28" s="8">
        <v>0</v>
      </c>
      <c r="CI28" s="8">
        <v>0</v>
      </c>
      <c r="CJ28" s="8">
        <v>0</v>
      </c>
      <c r="CK28" s="8">
        <v>0</v>
      </c>
      <c r="CL28" s="8">
        <v>0</v>
      </c>
      <c r="CM28" s="8">
        <v>0</v>
      </c>
      <c r="CN28" s="8">
        <v>0</v>
      </c>
      <c r="CO28" s="9">
        <f t="shared" si="6"/>
        <v>0</v>
      </c>
      <c r="CP28" s="8">
        <v>0</v>
      </c>
      <c r="CQ28" s="8">
        <v>0</v>
      </c>
      <c r="CR28" s="8">
        <v>0</v>
      </c>
      <c r="CS28" s="8">
        <v>0</v>
      </c>
      <c r="CT28" s="8">
        <v>0</v>
      </c>
      <c r="CU28" s="8">
        <v>0</v>
      </c>
      <c r="CV28" s="8">
        <v>0</v>
      </c>
      <c r="CW28" s="8">
        <v>0</v>
      </c>
      <c r="CX28" s="8">
        <v>0</v>
      </c>
      <c r="CY28" s="8">
        <v>0</v>
      </c>
      <c r="CZ28" s="8">
        <v>0</v>
      </c>
      <c r="DA28" s="8">
        <v>0</v>
      </c>
      <c r="DB28" s="9">
        <f t="shared" si="7"/>
        <v>0</v>
      </c>
      <c r="DC28" s="8">
        <v>0</v>
      </c>
      <c r="DD28" s="8">
        <v>0</v>
      </c>
      <c r="DE28" s="8">
        <v>0</v>
      </c>
      <c r="DF28" s="8">
        <v>0</v>
      </c>
      <c r="DG28" s="8">
        <v>0</v>
      </c>
      <c r="DH28" s="8">
        <v>0</v>
      </c>
      <c r="DI28" s="8">
        <v>0</v>
      </c>
      <c r="DJ28" s="8">
        <v>0</v>
      </c>
      <c r="DK28" s="8">
        <v>0</v>
      </c>
      <c r="DL28" s="8">
        <v>0</v>
      </c>
      <c r="DM28" s="8">
        <v>0</v>
      </c>
      <c r="DN28" s="8">
        <v>0</v>
      </c>
      <c r="DO28" s="9">
        <f t="shared" si="8"/>
        <v>0</v>
      </c>
      <c r="DP28" s="8">
        <v>0</v>
      </c>
      <c r="DQ28" s="8">
        <v>0</v>
      </c>
      <c r="DR28" s="8">
        <v>0</v>
      </c>
      <c r="DS28" s="8">
        <v>0</v>
      </c>
      <c r="DT28" s="8">
        <v>0</v>
      </c>
      <c r="DU28" s="8">
        <v>0</v>
      </c>
      <c r="DV28" s="8">
        <v>0</v>
      </c>
      <c r="DW28" s="8">
        <v>0</v>
      </c>
      <c r="DX28" s="8">
        <v>0</v>
      </c>
      <c r="DY28" s="8">
        <v>0</v>
      </c>
      <c r="DZ28" s="8">
        <v>0</v>
      </c>
      <c r="EA28" s="8">
        <v>0</v>
      </c>
      <c r="EB28" s="9">
        <f t="shared" si="9"/>
        <v>0</v>
      </c>
      <c r="EC28" s="8">
        <v>0</v>
      </c>
      <c r="ED28" s="8">
        <v>0</v>
      </c>
      <c r="EE28" s="8">
        <v>0</v>
      </c>
      <c r="EF28" s="8">
        <v>0</v>
      </c>
      <c r="EG28" s="8">
        <v>0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</v>
      </c>
      <c r="EO28" s="9">
        <f t="shared" si="10"/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0</v>
      </c>
      <c r="FA28" s="8">
        <v>0</v>
      </c>
      <c r="FB28" s="9">
        <f t="shared" si="11"/>
        <v>0</v>
      </c>
      <c r="FC28" s="8">
        <v>0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/>
      <c r="FK28" s="8"/>
      <c r="FL28" s="8"/>
      <c r="FM28" s="8"/>
      <c r="FN28" s="8"/>
      <c r="FO28" s="9">
        <f t="shared" si="12"/>
        <v>0</v>
      </c>
    </row>
    <row r="29" spans="2:171" ht="14.25" customHeight="1" x14ac:dyDescent="0.3">
      <c r="B29" s="31" t="s">
        <v>64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9">
        <f t="shared" si="0"/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9">
        <f t="shared" si="1"/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  <c r="AN29" s="8">
        <v>0</v>
      </c>
      <c r="AO29" s="9">
        <f t="shared" si="2"/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9">
        <f t="shared" si="3"/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9">
        <f t="shared" si="4"/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9">
        <f t="shared" si="5"/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9">
        <f t="shared" si="6"/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9">
        <f t="shared" si="7"/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0</v>
      </c>
      <c r="DK29" s="8">
        <v>0</v>
      </c>
      <c r="DL29" s="8">
        <v>0</v>
      </c>
      <c r="DM29" s="8">
        <v>0</v>
      </c>
      <c r="DN29" s="8">
        <v>0</v>
      </c>
      <c r="DO29" s="9">
        <f t="shared" si="8"/>
        <v>0</v>
      </c>
      <c r="DP29" s="8">
        <v>0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9">
        <f t="shared" si="9"/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9">
        <f t="shared" si="10"/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9">
        <f t="shared" si="11"/>
        <v>0</v>
      </c>
      <c r="FC29" s="8">
        <v>5803182</v>
      </c>
      <c r="FD29" s="8">
        <v>5803182</v>
      </c>
      <c r="FE29" s="8">
        <v>5803182</v>
      </c>
      <c r="FF29" s="8">
        <v>5803182</v>
      </c>
      <c r="FG29" s="8">
        <v>5803182</v>
      </c>
      <c r="FH29" s="8">
        <v>5803182</v>
      </c>
      <c r="FI29" s="8">
        <v>5803182</v>
      </c>
      <c r="FJ29" s="8"/>
      <c r="FK29" s="8"/>
      <c r="FL29" s="8"/>
      <c r="FM29" s="8"/>
      <c r="FN29" s="8"/>
      <c r="FO29" s="9">
        <f t="shared" si="12"/>
        <v>5803182</v>
      </c>
    </row>
    <row r="30" spans="2:171" ht="14.25" customHeight="1" x14ac:dyDescent="0.3">
      <c r="B30" s="31" t="s">
        <v>65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9">
        <f t="shared" si="0"/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9">
        <f t="shared" si="1"/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9">
        <f t="shared" si="2"/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v>0</v>
      </c>
      <c r="AZ30" s="8">
        <v>0</v>
      </c>
      <c r="BA30" s="8">
        <v>0</v>
      </c>
      <c r="BB30" s="9">
        <f t="shared" si="3"/>
        <v>0</v>
      </c>
      <c r="BC30" s="8">
        <v>0</v>
      </c>
      <c r="BD30" s="8">
        <v>0</v>
      </c>
      <c r="BE30" s="8">
        <v>0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0</v>
      </c>
      <c r="BL30" s="8">
        <v>0</v>
      </c>
      <c r="BM30" s="8">
        <v>0</v>
      </c>
      <c r="BN30" s="8">
        <v>0</v>
      </c>
      <c r="BO30" s="9">
        <f t="shared" si="4"/>
        <v>0</v>
      </c>
      <c r="BP30" s="8">
        <v>0</v>
      </c>
      <c r="BQ30" s="8">
        <v>0</v>
      </c>
      <c r="BR30" s="8">
        <v>0</v>
      </c>
      <c r="BS30" s="8">
        <v>0</v>
      </c>
      <c r="BT30" s="8">
        <v>0</v>
      </c>
      <c r="BU30" s="8">
        <v>0</v>
      </c>
      <c r="BV30" s="8">
        <v>0</v>
      </c>
      <c r="BW30" s="8">
        <v>0</v>
      </c>
      <c r="BX30" s="8">
        <v>0</v>
      </c>
      <c r="BY30" s="8">
        <v>0</v>
      </c>
      <c r="BZ30" s="8">
        <v>0</v>
      </c>
      <c r="CA30" s="8">
        <v>0</v>
      </c>
      <c r="CB30" s="9">
        <f t="shared" si="5"/>
        <v>0</v>
      </c>
      <c r="CC30" s="8">
        <v>0</v>
      </c>
      <c r="CD30" s="8">
        <v>0</v>
      </c>
      <c r="CE30" s="8">
        <v>0</v>
      </c>
      <c r="CF30" s="8">
        <v>0</v>
      </c>
      <c r="CG30" s="8">
        <v>0</v>
      </c>
      <c r="CH30" s="8">
        <v>0</v>
      </c>
      <c r="CI30" s="8">
        <v>0</v>
      </c>
      <c r="CJ30" s="8">
        <v>0</v>
      </c>
      <c r="CK30" s="8">
        <v>0</v>
      </c>
      <c r="CL30" s="8">
        <v>0</v>
      </c>
      <c r="CM30" s="8">
        <v>0</v>
      </c>
      <c r="CN30" s="8">
        <v>0</v>
      </c>
      <c r="CO30" s="9">
        <f t="shared" si="6"/>
        <v>0</v>
      </c>
      <c r="CP30" s="8">
        <v>0</v>
      </c>
      <c r="CQ30" s="8">
        <v>0</v>
      </c>
      <c r="CR30" s="8">
        <v>0</v>
      </c>
      <c r="CS30" s="8">
        <v>0</v>
      </c>
      <c r="CT30" s="8">
        <v>0</v>
      </c>
      <c r="CU30" s="8">
        <v>0</v>
      </c>
      <c r="CV30" s="8">
        <v>0</v>
      </c>
      <c r="CW30" s="8">
        <v>0</v>
      </c>
      <c r="CX30" s="8">
        <v>0</v>
      </c>
      <c r="CY30" s="8">
        <v>0</v>
      </c>
      <c r="CZ30" s="8">
        <v>0</v>
      </c>
      <c r="DA30" s="8">
        <v>0</v>
      </c>
      <c r="DB30" s="9">
        <f t="shared" si="7"/>
        <v>0</v>
      </c>
      <c r="DC30" s="8">
        <v>0</v>
      </c>
      <c r="DD30" s="8">
        <v>0</v>
      </c>
      <c r="DE30" s="8">
        <v>0</v>
      </c>
      <c r="DF30" s="8">
        <v>0</v>
      </c>
      <c r="DG30" s="8">
        <v>0</v>
      </c>
      <c r="DH30" s="8">
        <v>0</v>
      </c>
      <c r="DI30" s="8">
        <v>0</v>
      </c>
      <c r="DJ30" s="8">
        <v>0</v>
      </c>
      <c r="DK30" s="8">
        <v>0</v>
      </c>
      <c r="DL30" s="8">
        <v>0</v>
      </c>
      <c r="DM30" s="8">
        <v>0</v>
      </c>
      <c r="DN30" s="8">
        <v>0</v>
      </c>
      <c r="DO30" s="9">
        <f t="shared" si="8"/>
        <v>0</v>
      </c>
      <c r="DP30" s="8">
        <v>0</v>
      </c>
      <c r="DQ30" s="8">
        <v>0</v>
      </c>
      <c r="DR30" s="8">
        <v>0</v>
      </c>
      <c r="DS30" s="8">
        <v>0</v>
      </c>
      <c r="DT30" s="8">
        <v>0</v>
      </c>
      <c r="DU30" s="8">
        <v>0</v>
      </c>
      <c r="DV30" s="8">
        <v>0</v>
      </c>
      <c r="DW30" s="8">
        <v>0</v>
      </c>
      <c r="DX30" s="8">
        <v>0</v>
      </c>
      <c r="DY30" s="8">
        <v>0</v>
      </c>
      <c r="DZ30" s="8">
        <v>0</v>
      </c>
      <c r="EA30" s="8">
        <v>0</v>
      </c>
      <c r="EB30" s="9">
        <f t="shared" si="9"/>
        <v>0</v>
      </c>
      <c r="EC30" s="8">
        <v>0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9">
        <f t="shared" si="10"/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9">
        <f t="shared" si="11"/>
        <v>0</v>
      </c>
      <c r="FC30" s="8">
        <v>8792255</v>
      </c>
      <c r="FD30" s="8">
        <v>8792255</v>
      </c>
      <c r="FE30" s="8">
        <v>8792255</v>
      </c>
      <c r="FF30" s="8">
        <v>8792255</v>
      </c>
      <c r="FG30" s="8">
        <v>8792255</v>
      </c>
      <c r="FH30" s="8">
        <v>8792255</v>
      </c>
      <c r="FI30" s="8">
        <v>8792255</v>
      </c>
      <c r="FJ30" s="8"/>
      <c r="FK30" s="8"/>
      <c r="FL30" s="8"/>
      <c r="FM30" s="8"/>
      <c r="FN30" s="8"/>
      <c r="FO30" s="9">
        <f t="shared" si="12"/>
        <v>8792255</v>
      </c>
    </row>
    <row r="31" spans="2:171" ht="14.25" customHeight="1" x14ac:dyDescent="0.3">
      <c r="B31" s="7" t="s">
        <v>66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9">
        <f t="shared" si="0"/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9">
        <f t="shared" si="1"/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8">
        <v>0</v>
      </c>
      <c r="AM31" s="8">
        <v>0</v>
      </c>
      <c r="AN31" s="8">
        <v>0</v>
      </c>
      <c r="AO31" s="9">
        <f t="shared" si="2"/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v>0</v>
      </c>
      <c r="AZ31" s="8">
        <v>0</v>
      </c>
      <c r="BA31" s="8">
        <v>0</v>
      </c>
      <c r="BB31" s="9">
        <f t="shared" si="3"/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9">
        <f t="shared" si="4"/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9">
        <f t="shared" si="5"/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9">
        <f t="shared" si="6"/>
        <v>0</v>
      </c>
      <c r="CP31" s="8">
        <v>0</v>
      </c>
      <c r="CQ31" s="8">
        <v>0</v>
      </c>
      <c r="CR31" s="8">
        <v>0</v>
      </c>
      <c r="CS31" s="8">
        <v>0</v>
      </c>
      <c r="CT31" s="8">
        <v>0</v>
      </c>
      <c r="CU31" s="8">
        <v>0</v>
      </c>
      <c r="CV31" s="8">
        <v>0</v>
      </c>
      <c r="CW31" s="8">
        <v>0</v>
      </c>
      <c r="CX31" s="8">
        <v>0</v>
      </c>
      <c r="CY31" s="8">
        <v>0</v>
      </c>
      <c r="CZ31" s="8">
        <v>0</v>
      </c>
      <c r="DA31" s="8">
        <v>0</v>
      </c>
      <c r="DB31" s="9">
        <f t="shared" si="7"/>
        <v>0</v>
      </c>
      <c r="DC31" s="8">
        <v>0</v>
      </c>
      <c r="DD31" s="8">
        <v>0</v>
      </c>
      <c r="DE31" s="8">
        <v>0</v>
      </c>
      <c r="DF31" s="8">
        <v>0</v>
      </c>
      <c r="DG31" s="8">
        <v>0</v>
      </c>
      <c r="DH31" s="8">
        <v>0</v>
      </c>
      <c r="DI31" s="8">
        <v>0</v>
      </c>
      <c r="DJ31" s="8">
        <v>0</v>
      </c>
      <c r="DK31" s="8">
        <v>0</v>
      </c>
      <c r="DL31" s="8">
        <v>0</v>
      </c>
      <c r="DM31" s="8">
        <v>0</v>
      </c>
      <c r="DN31" s="8">
        <v>0</v>
      </c>
      <c r="DO31" s="9">
        <f t="shared" si="8"/>
        <v>0</v>
      </c>
      <c r="DP31" s="8">
        <v>0</v>
      </c>
      <c r="DQ31" s="8">
        <v>0</v>
      </c>
      <c r="DR31" s="8">
        <v>0</v>
      </c>
      <c r="DS31" s="8">
        <v>0</v>
      </c>
      <c r="DT31" s="8">
        <v>0</v>
      </c>
      <c r="DU31" s="8">
        <v>0</v>
      </c>
      <c r="DV31" s="8">
        <v>0</v>
      </c>
      <c r="DW31" s="8">
        <v>0</v>
      </c>
      <c r="DX31" s="8">
        <v>0</v>
      </c>
      <c r="DY31" s="8">
        <v>0</v>
      </c>
      <c r="DZ31" s="8">
        <v>0</v>
      </c>
      <c r="EA31" s="8">
        <v>0</v>
      </c>
      <c r="EB31" s="9">
        <f t="shared" si="9"/>
        <v>0</v>
      </c>
      <c r="EC31" s="8">
        <v>0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9">
        <f t="shared" si="10"/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9">
        <f t="shared" si="11"/>
        <v>0</v>
      </c>
      <c r="FC31" s="8">
        <v>18659595</v>
      </c>
      <c r="FD31" s="8">
        <v>18659595</v>
      </c>
      <c r="FE31" s="8">
        <v>18659595</v>
      </c>
      <c r="FF31" s="8">
        <v>18659595</v>
      </c>
      <c r="FG31" s="8">
        <v>18659595</v>
      </c>
      <c r="FH31" s="8">
        <v>18659595</v>
      </c>
      <c r="FI31" s="8">
        <v>18659595</v>
      </c>
      <c r="FJ31" s="8"/>
      <c r="FK31" s="8"/>
      <c r="FL31" s="8"/>
      <c r="FM31" s="8"/>
      <c r="FN31" s="8"/>
      <c r="FO31" s="9">
        <f t="shared" si="12"/>
        <v>18659595</v>
      </c>
    </row>
    <row r="32" spans="2:171" ht="14.25" customHeight="1" x14ac:dyDescent="0.3">
      <c r="B32" s="7" t="s">
        <v>67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9">
        <f t="shared" si="0"/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9">
        <f t="shared" si="1"/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9">
        <f t="shared" si="2"/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9">
        <f t="shared" si="3"/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0</v>
      </c>
      <c r="BK32" s="8">
        <v>0</v>
      </c>
      <c r="BL32" s="8">
        <v>0</v>
      </c>
      <c r="BM32" s="8">
        <v>0</v>
      </c>
      <c r="BN32" s="8">
        <v>0</v>
      </c>
      <c r="BO32" s="9">
        <f t="shared" si="4"/>
        <v>0</v>
      </c>
      <c r="BP32" s="8">
        <v>0</v>
      </c>
      <c r="BQ32" s="8">
        <v>0</v>
      </c>
      <c r="BR32" s="8">
        <v>0</v>
      </c>
      <c r="BS32" s="8">
        <v>0</v>
      </c>
      <c r="BT32" s="8">
        <v>0</v>
      </c>
      <c r="BU32" s="8">
        <v>0</v>
      </c>
      <c r="BV32" s="8">
        <v>0</v>
      </c>
      <c r="BW32" s="8">
        <v>0</v>
      </c>
      <c r="BX32" s="8">
        <v>0</v>
      </c>
      <c r="BY32" s="8">
        <v>0</v>
      </c>
      <c r="BZ32" s="8">
        <v>0</v>
      </c>
      <c r="CA32" s="8">
        <v>0</v>
      </c>
      <c r="CB32" s="9">
        <f t="shared" si="5"/>
        <v>0</v>
      </c>
      <c r="CC32" s="8">
        <v>0</v>
      </c>
      <c r="CD32" s="8">
        <v>0</v>
      </c>
      <c r="CE32" s="8">
        <v>0</v>
      </c>
      <c r="CF32" s="8">
        <v>0</v>
      </c>
      <c r="CG32" s="8">
        <v>0</v>
      </c>
      <c r="CH32" s="8">
        <v>0</v>
      </c>
      <c r="CI32" s="8">
        <v>0</v>
      </c>
      <c r="CJ32" s="8">
        <v>0</v>
      </c>
      <c r="CK32" s="8">
        <v>0</v>
      </c>
      <c r="CL32" s="8">
        <v>0</v>
      </c>
      <c r="CM32" s="8">
        <v>0</v>
      </c>
      <c r="CN32" s="8">
        <v>0</v>
      </c>
      <c r="CO32" s="9">
        <f t="shared" si="6"/>
        <v>0</v>
      </c>
      <c r="CP32" s="8">
        <v>0</v>
      </c>
      <c r="CQ32" s="8">
        <v>0</v>
      </c>
      <c r="CR32" s="8">
        <v>0</v>
      </c>
      <c r="CS32" s="8">
        <v>0</v>
      </c>
      <c r="CT32" s="8">
        <v>0</v>
      </c>
      <c r="CU32" s="8">
        <v>0</v>
      </c>
      <c r="CV32" s="8">
        <v>0</v>
      </c>
      <c r="CW32" s="8">
        <v>0</v>
      </c>
      <c r="CX32" s="8">
        <v>0</v>
      </c>
      <c r="CY32" s="8">
        <v>0</v>
      </c>
      <c r="CZ32" s="8">
        <v>0</v>
      </c>
      <c r="DA32" s="8">
        <v>0</v>
      </c>
      <c r="DB32" s="9">
        <f t="shared" si="7"/>
        <v>0</v>
      </c>
      <c r="DC32" s="8">
        <v>0</v>
      </c>
      <c r="DD32" s="8">
        <v>0</v>
      </c>
      <c r="DE32" s="8">
        <v>0</v>
      </c>
      <c r="DF32" s="8">
        <v>0</v>
      </c>
      <c r="DG32" s="8">
        <v>0</v>
      </c>
      <c r="DH32" s="8">
        <v>0</v>
      </c>
      <c r="DI32" s="8">
        <v>0</v>
      </c>
      <c r="DJ32" s="8">
        <v>0</v>
      </c>
      <c r="DK32" s="8">
        <v>0</v>
      </c>
      <c r="DL32" s="8">
        <v>0</v>
      </c>
      <c r="DM32" s="8">
        <v>0</v>
      </c>
      <c r="DN32" s="8">
        <v>0</v>
      </c>
      <c r="DO32" s="9">
        <f t="shared" si="8"/>
        <v>0</v>
      </c>
      <c r="DP32" s="8">
        <v>0</v>
      </c>
      <c r="DQ32" s="8">
        <v>0</v>
      </c>
      <c r="DR32" s="8">
        <v>0</v>
      </c>
      <c r="DS32" s="8">
        <v>0</v>
      </c>
      <c r="DT32" s="8">
        <v>0</v>
      </c>
      <c r="DU32" s="8">
        <v>0</v>
      </c>
      <c r="DV32" s="8">
        <v>0</v>
      </c>
      <c r="DW32" s="8">
        <v>0</v>
      </c>
      <c r="DX32" s="8">
        <v>0</v>
      </c>
      <c r="DY32" s="8">
        <v>0</v>
      </c>
      <c r="DZ32" s="8">
        <v>0</v>
      </c>
      <c r="EA32" s="8">
        <v>0</v>
      </c>
      <c r="EB32" s="9">
        <f t="shared" si="9"/>
        <v>0</v>
      </c>
      <c r="EC32" s="8">
        <v>0</v>
      </c>
      <c r="ED32" s="8">
        <v>0</v>
      </c>
      <c r="EE32" s="8">
        <v>0</v>
      </c>
      <c r="EF32" s="8">
        <v>0</v>
      </c>
      <c r="EG32" s="8">
        <v>0</v>
      </c>
      <c r="EH32" s="8">
        <v>0</v>
      </c>
      <c r="EI32" s="8">
        <v>0</v>
      </c>
      <c r="EJ32" s="8">
        <v>0</v>
      </c>
      <c r="EK32" s="8">
        <v>0</v>
      </c>
      <c r="EL32" s="8">
        <v>0</v>
      </c>
      <c r="EM32" s="8">
        <v>0</v>
      </c>
      <c r="EN32" s="8">
        <v>0</v>
      </c>
      <c r="EO32" s="9">
        <f t="shared" si="10"/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</v>
      </c>
      <c r="EX32" s="8">
        <v>0</v>
      </c>
      <c r="EY32" s="8">
        <v>0</v>
      </c>
      <c r="EZ32" s="8">
        <v>0</v>
      </c>
      <c r="FA32" s="8">
        <v>0</v>
      </c>
      <c r="FB32" s="9">
        <f t="shared" si="11"/>
        <v>0</v>
      </c>
      <c r="FC32" s="8">
        <v>143523</v>
      </c>
      <c r="FD32" s="8">
        <v>143523</v>
      </c>
      <c r="FE32" s="8">
        <v>143523</v>
      </c>
      <c r="FF32" s="8">
        <v>143523</v>
      </c>
      <c r="FG32" s="8">
        <v>143523</v>
      </c>
      <c r="FH32" s="8">
        <v>143523</v>
      </c>
      <c r="FI32" s="8">
        <v>143523</v>
      </c>
      <c r="FJ32" s="8"/>
      <c r="FK32" s="8"/>
      <c r="FL32" s="8"/>
      <c r="FM32" s="8"/>
      <c r="FN32" s="8"/>
      <c r="FO32" s="9">
        <f t="shared" si="12"/>
        <v>143523</v>
      </c>
    </row>
    <row r="33" spans="2:171" ht="14.25" customHeight="1" x14ac:dyDescent="0.3">
      <c r="B33" s="32" t="s">
        <v>68</v>
      </c>
      <c r="C33" s="33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4">
        <f t="shared" si="0"/>
        <v>0</v>
      </c>
      <c r="P33" s="33">
        <v>0</v>
      </c>
      <c r="Q33" s="33">
        <v>0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4">
        <f t="shared" si="1"/>
        <v>0</v>
      </c>
      <c r="AC33" s="33">
        <v>0</v>
      </c>
      <c r="AD33" s="33">
        <v>0</v>
      </c>
      <c r="AE33" s="33">
        <v>0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>
        <v>0</v>
      </c>
      <c r="AM33" s="33">
        <v>0</v>
      </c>
      <c r="AN33" s="33">
        <v>0</v>
      </c>
      <c r="AO33" s="34">
        <f t="shared" si="2"/>
        <v>0</v>
      </c>
      <c r="AP33" s="33">
        <v>0</v>
      </c>
      <c r="AQ33" s="33">
        <v>0</v>
      </c>
      <c r="AR33" s="33">
        <v>0</v>
      </c>
      <c r="AS33" s="33">
        <v>0</v>
      </c>
      <c r="AT33" s="33">
        <v>0</v>
      </c>
      <c r="AU33" s="33">
        <v>0</v>
      </c>
      <c r="AV33" s="33">
        <v>0</v>
      </c>
      <c r="AW33" s="33">
        <v>0</v>
      </c>
      <c r="AX33" s="33">
        <v>0</v>
      </c>
      <c r="AY33" s="33">
        <v>0</v>
      </c>
      <c r="AZ33" s="33">
        <v>0</v>
      </c>
      <c r="BA33" s="33">
        <v>0</v>
      </c>
      <c r="BB33" s="34">
        <f t="shared" si="3"/>
        <v>0</v>
      </c>
      <c r="BC33" s="33">
        <v>0</v>
      </c>
      <c r="BD33" s="33">
        <v>0</v>
      </c>
      <c r="BE33" s="33">
        <v>0</v>
      </c>
      <c r="BF33" s="33">
        <v>0</v>
      </c>
      <c r="BG33" s="33">
        <v>0</v>
      </c>
      <c r="BH33" s="33">
        <v>0</v>
      </c>
      <c r="BI33" s="33">
        <v>0</v>
      </c>
      <c r="BJ33" s="33">
        <v>0</v>
      </c>
      <c r="BK33" s="33">
        <v>0</v>
      </c>
      <c r="BL33" s="33">
        <v>0</v>
      </c>
      <c r="BM33" s="33">
        <v>0</v>
      </c>
      <c r="BN33" s="33">
        <v>0</v>
      </c>
      <c r="BO33" s="34">
        <f t="shared" si="4"/>
        <v>0</v>
      </c>
      <c r="BP33" s="33">
        <v>0</v>
      </c>
      <c r="BQ33" s="33">
        <v>0</v>
      </c>
      <c r="BR33" s="33">
        <v>0</v>
      </c>
      <c r="BS33" s="33">
        <v>0</v>
      </c>
      <c r="BT33" s="33">
        <v>0</v>
      </c>
      <c r="BU33" s="33">
        <v>0</v>
      </c>
      <c r="BV33" s="33">
        <v>0</v>
      </c>
      <c r="BW33" s="33">
        <v>0</v>
      </c>
      <c r="BX33" s="33">
        <v>0</v>
      </c>
      <c r="BY33" s="33">
        <v>0</v>
      </c>
      <c r="BZ33" s="33">
        <v>0</v>
      </c>
      <c r="CA33" s="33">
        <v>0</v>
      </c>
      <c r="CB33" s="34">
        <f t="shared" si="5"/>
        <v>0</v>
      </c>
      <c r="CC33" s="33">
        <v>0</v>
      </c>
      <c r="CD33" s="33">
        <v>0</v>
      </c>
      <c r="CE33" s="33">
        <v>0</v>
      </c>
      <c r="CF33" s="33">
        <v>0</v>
      </c>
      <c r="CG33" s="33">
        <v>0</v>
      </c>
      <c r="CH33" s="33">
        <v>0</v>
      </c>
      <c r="CI33" s="33">
        <v>0</v>
      </c>
      <c r="CJ33" s="33">
        <v>0</v>
      </c>
      <c r="CK33" s="33">
        <v>0</v>
      </c>
      <c r="CL33" s="33">
        <v>0</v>
      </c>
      <c r="CM33" s="33">
        <v>0</v>
      </c>
      <c r="CN33" s="33">
        <v>0</v>
      </c>
      <c r="CO33" s="34">
        <f t="shared" si="6"/>
        <v>0</v>
      </c>
      <c r="CP33" s="33">
        <v>0</v>
      </c>
      <c r="CQ33" s="33">
        <v>0</v>
      </c>
      <c r="CR33" s="33">
        <v>0</v>
      </c>
      <c r="CS33" s="33">
        <v>0</v>
      </c>
      <c r="CT33" s="33">
        <v>0</v>
      </c>
      <c r="CU33" s="33">
        <v>0</v>
      </c>
      <c r="CV33" s="33">
        <v>0</v>
      </c>
      <c r="CW33" s="33">
        <v>0</v>
      </c>
      <c r="CX33" s="33">
        <v>0</v>
      </c>
      <c r="CY33" s="33">
        <v>0</v>
      </c>
      <c r="CZ33" s="33">
        <v>0</v>
      </c>
      <c r="DA33" s="33">
        <v>0</v>
      </c>
      <c r="DB33" s="34">
        <f t="shared" si="7"/>
        <v>0</v>
      </c>
      <c r="DC33" s="33">
        <v>0</v>
      </c>
      <c r="DD33" s="33">
        <v>0</v>
      </c>
      <c r="DE33" s="33">
        <v>0</v>
      </c>
      <c r="DF33" s="33">
        <v>0</v>
      </c>
      <c r="DG33" s="33">
        <v>0</v>
      </c>
      <c r="DH33" s="33">
        <v>0</v>
      </c>
      <c r="DI33" s="33">
        <v>0</v>
      </c>
      <c r="DJ33" s="33">
        <v>0</v>
      </c>
      <c r="DK33" s="33">
        <v>0</v>
      </c>
      <c r="DL33" s="33">
        <v>0</v>
      </c>
      <c r="DM33" s="33">
        <v>0</v>
      </c>
      <c r="DN33" s="33">
        <v>0</v>
      </c>
      <c r="DO33" s="34">
        <f t="shared" si="8"/>
        <v>0</v>
      </c>
      <c r="DP33" s="33">
        <v>0</v>
      </c>
      <c r="DQ33" s="33">
        <v>0</v>
      </c>
      <c r="DR33" s="33">
        <v>0</v>
      </c>
      <c r="DS33" s="33">
        <v>0</v>
      </c>
      <c r="DT33" s="33">
        <v>0</v>
      </c>
      <c r="DU33" s="33">
        <v>0</v>
      </c>
      <c r="DV33" s="33">
        <v>0</v>
      </c>
      <c r="DW33" s="33">
        <v>0</v>
      </c>
      <c r="DX33" s="33">
        <v>0</v>
      </c>
      <c r="DY33" s="33">
        <v>0</v>
      </c>
      <c r="DZ33" s="33">
        <v>0</v>
      </c>
      <c r="EA33" s="33">
        <v>0</v>
      </c>
      <c r="EB33" s="34">
        <f t="shared" si="9"/>
        <v>0</v>
      </c>
      <c r="EC33" s="33">
        <v>0</v>
      </c>
      <c r="ED33" s="33">
        <v>0</v>
      </c>
      <c r="EE33" s="33">
        <v>0</v>
      </c>
      <c r="EF33" s="33">
        <v>0</v>
      </c>
      <c r="EG33" s="33">
        <v>0</v>
      </c>
      <c r="EH33" s="33">
        <v>0</v>
      </c>
      <c r="EI33" s="33">
        <v>0</v>
      </c>
      <c r="EJ33" s="33">
        <v>0</v>
      </c>
      <c r="EK33" s="33">
        <v>0</v>
      </c>
      <c r="EL33" s="33">
        <v>0</v>
      </c>
      <c r="EM33" s="33">
        <v>0</v>
      </c>
      <c r="EN33" s="33">
        <v>0</v>
      </c>
      <c r="EO33" s="34">
        <f t="shared" si="10"/>
        <v>0</v>
      </c>
      <c r="EP33" s="33">
        <v>0</v>
      </c>
      <c r="EQ33" s="33">
        <v>0</v>
      </c>
      <c r="ER33" s="33">
        <v>0</v>
      </c>
      <c r="ES33" s="33">
        <v>0</v>
      </c>
      <c r="ET33" s="33">
        <v>0</v>
      </c>
      <c r="EU33" s="33">
        <v>0</v>
      </c>
      <c r="EV33" s="33">
        <v>0</v>
      </c>
      <c r="EW33" s="33">
        <v>0</v>
      </c>
      <c r="EX33" s="33">
        <v>0</v>
      </c>
      <c r="EY33" s="33">
        <v>0</v>
      </c>
      <c r="EZ33" s="33">
        <v>0</v>
      </c>
      <c r="FA33" s="33">
        <v>0</v>
      </c>
      <c r="FB33" s="34">
        <f t="shared" si="11"/>
        <v>0</v>
      </c>
      <c r="FC33" s="33">
        <v>9039952</v>
      </c>
      <c r="FD33" s="33">
        <v>9039952</v>
      </c>
      <c r="FE33" s="33">
        <v>9039952</v>
      </c>
      <c r="FF33" s="33">
        <v>9039952</v>
      </c>
      <c r="FG33" s="33">
        <v>9039952</v>
      </c>
      <c r="FH33" s="33">
        <v>9039952</v>
      </c>
      <c r="FI33" s="33">
        <v>9039952</v>
      </c>
      <c r="FJ33" s="33"/>
      <c r="FK33" s="33"/>
      <c r="FL33" s="33"/>
      <c r="FM33" s="33"/>
      <c r="FN33" s="33"/>
      <c r="FO33" s="34">
        <f t="shared" si="12"/>
        <v>9039952</v>
      </c>
    </row>
    <row r="34" spans="2:171" ht="14.25" customHeight="1" x14ac:dyDescent="0.3">
      <c r="B34" s="32" t="s">
        <v>69</v>
      </c>
      <c r="C34" s="33">
        <v>0</v>
      </c>
      <c r="D34" s="33">
        <v>0</v>
      </c>
      <c r="E34" s="33">
        <v>0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4">
        <f t="shared" si="0"/>
        <v>0</v>
      </c>
      <c r="P34" s="33">
        <v>0</v>
      </c>
      <c r="Q34" s="33">
        <v>0</v>
      </c>
      <c r="R34" s="33">
        <v>0</v>
      </c>
      <c r="S34" s="33">
        <v>0</v>
      </c>
      <c r="T34" s="33">
        <v>0</v>
      </c>
      <c r="U34" s="33">
        <v>0</v>
      </c>
      <c r="V34" s="33">
        <v>0</v>
      </c>
      <c r="W34" s="33">
        <v>0</v>
      </c>
      <c r="X34" s="33">
        <v>0</v>
      </c>
      <c r="Y34" s="33">
        <v>0</v>
      </c>
      <c r="Z34" s="33">
        <v>0</v>
      </c>
      <c r="AA34" s="33">
        <v>0</v>
      </c>
      <c r="AB34" s="34">
        <f t="shared" si="1"/>
        <v>0</v>
      </c>
      <c r="AC34" s="33">
        <v>0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>
        <v>0</v>
      </c>
      <c r="AM34" s="33">
        <v>0</v>
      </c>
      <c r="AN34" s="33">
        <v>0</v>
      </c>
      <c r="AO34" s="34">
        <f t="shared" si="2"/>
        <v>0</v>
      </c>
      <c r="AP34" s="33">
        <v>0</v>
      </c>
      <c r="AQ34" s="33">
        <v>0</v>
      </c>
      <c r="AR34" s="33">
        <v>0</v>
      </c>
      <c r="AS34" s="33">
        <v>0</v>
      </c>
      <c r="AT34" s="33">
        <v>0</v>
      </c>
      <c r="AU34" s="33">
        <v>0</v>
      </c>
      <c r="AV34" s="33">
        <v>0</v>
      </c>
      <c r="AW34" s="33">
        <v>0</v>
      </c>
      <c r="AX34" s="33">
        <v>0</v>
      </c>
      <c r="AY34" s="33">
        <v>0</v>
      </c>
      <c r="AZ34" s="33">
        <v>0</v>
      </c>
      <c r="BA34" s="33">
        <v>0</v>
      </c>
      <c r="BB34" s="34">
        <f t="shared" si="3"/>
        <v>0</v>
      </c>
      <c r="BC34" s="33">
        <v>0</v>
      </c>
      <c r="BD34" s="33">
        <v>0</v>
      </c>
      <c r="BE34" s="33">
        <v>0</v>
      </c>
      <c r="BF34" s="33">
        <v>0</v>
      </c>
      <c r="BG34" s="33">
        <v>0</v>
      </c>
      <c r="BH34" s="33">
        <v>0</v>
      </c>
      <c r="BI34" s="33">
        <v>0</v>
      </c>
      <c r="BJ34" s="33">
        <v>0</v>
      </c>
      <c r="BK34" s="33">
        <v>0</v>
      </c>
      <c r="BL34" s="33">
        <v>0</v>
      </c>
      <c r="BM34" s="33">
        <v>0</v>
      </c>
      <c r="BN34" s="33">
        <v>0</v>
      </c>
      <c r="BO34" s="34">
        <f t="shared" si="4"/>
        <v>0</v>
      </c>
      <c r="BP34" s="33">
        <v>0</v>
      </c>
      <c r="BQ34" s="33">
        <v>0</v>
      </c>
      <c r="BR34" s="33">
        <v>0</v>
      </c>
      <c r="BS34" s="33">
        <v>0</v>
      </c>
      <c r="BT34" s="33">
        <v>0</v>
      </c>
      <c r="BU34" s="33">
        <v>0</v>
      </c>
      <c r="BV34" s="33">
        <v>0</v>
      </c>
      <c r="BW34" s="33">
        <v>0</v>
      </c>
      <c r="BX34" s="33">
        <v>0</v>
      </c>
      <c r="BY34" s="33">
        <v>0</v>
      </c>
      <c r="BZ34" s="33">
        <v>0</v>
      </c>
      <c r="CA34" s="33">
        <v>0</v>
      </c>
      <c r="CB34" s="34">
        <f t="shared" si="5"/>
        <v>0</v>
      </c>
      <c r="CC34" s="33">
        <v>0</v>
      </c>
      <c r="CD34" s="33">
        <v>0</v>
      </c>
      <c r="CE34" s="33">
        <v>0</v>
      </c>
      <c r="CF34" s="33">
        <v>0</v>
      </c>
      <c r="CG34" s="33">
        <v>0</v>
      </c>
      <c r="CH34" s="33">
        <v>0</v>
      </c>
      <c r="CI34" s="33">
        <v>0</v>
      </c>
      <c r="CJ34" s="33">
        <v>0</v>
      </c>
      <c r="CK34" s="33">
        <v>0</v>
      </c>
      <c r="CL34" s="33">
        <v>0</v>
      </c>
      <c r="CM34" s="33">
        <v>0</v>
      </c>
      <c r="CN34" s="33">
        <v>0</v>
      </c>
      <c r="CO34" s="34">
        <f t="shared" si="6"/>
        <v>0</v>
      </c>
      <c r="CP34" s="33">
        <v>0</v>
      </c>
      <c r="CQ34" s="33">
        <v>0</v>
      </c>
      <c r="CR34" s="33">
        <v>0</v>
      </c>
      <c r="CS34" s="33">
        <v>0</v>
      </c>
      <c r="CT34" s="33">
        <v>0</v>
      </c>
      <c r="CU34" s="33">
        <v>0</v>
      </c>
      <c r="CV34" s="33">
        <v>0</v>
      </c>
      <c r="CW34" s="33">
        <v>0</v>
      </c>
      <c r="CX34" s="33">
        <v>0</v>
      </c>
      <c r="CY34" s="33">
        <v>0</v>
      </c>
      <c r="CZ34" s="33">
        <v>0</v>
      </c>
      <c r="DA34" s="33">
        <v>0</v>
      </c>
      <c r="DB34" s="34">
        <f t="shared" si="7"/>
        <v>0</v>
      </c>
      <c r="DC34" s="33">
        <v>0</v>
      </c>
      <c r="DD34" s="33">
        <v>0</v>
      </c>
      <c r="DE34" s="33">
        <v>0</v>
      </c>
      <c r="DF34" s="33">
        <v>0</v>
      </c>
      <c r="DG34" s="33">
        <v>0</v>
      </c>
      <c r="DH34" s="33">
        <v>0</v>
      </c>
      <c r="DI34" s="33">
        <v>0</v>
      </c>
      <c r="DJ34" s="33">
        <v>0</v>
      </c>
      <c r="DK34" s="33">
        <v>0</v>
      </c>
      <c r="DL34" s="33">
        <v>0</v>
      </c>
      <c r="DM34" s="33">
        <v>0</v>
      </c>
      <c r="DN34" s="33">
        <v>0</v>
      </c>
      <c r="DO34" s="34">
        <f t="shared" si="8"/>
        <v>0</v>
      </c>
      <c r="DP34" s="33">
        <v>0</v>
      </c>
      <c r="DQ34" s="33">
        <v>0</v>
      </c>
      <c r="DR34" s="33">
        <v>0</v>
      </c>
      <c r="DS34" s="33">
        <v>0</v>
      </c>
      <c r="DT34" s="33">
        <v>0</v>
      </c>
      <c r="DU34" s="33">
        <v>0</v>
      </c>
      <c r="DV34" s="33">
        <v>0</v>
      </c>
      <c r="DW34" s="33">
        <v>0</v>
      </c>
      <c r="DX34" s="33">
        <v>0</v>
      </c>
      <c r="DY34" s="33">
        <v>0</v>
      </c>
      <c r="DZ34" s="33">
        <v>0</v>
      </c>
      <c r="EA34" s="33">
        <v>0</v>
      </c>
      <c r="EB34" s="34">
        <f t="shared" si="9"/>
        <v>0</v>
      </c>
      <c r="EC34" s="33">
        <v>0</v>
      </c>
      <c r="ED34" s="33">
        <v>0</v>
      </c>
      <c r="EE34" s="33">
        <v>0</v>
      </c>
      <c r="EF34" s="33">
        <v>0</v>
      </c>
      <c r="EG34" s="33">
        <v>0</v>
      </c>
      <c r="EH34" s="33">
        <v>0</v>
      </c>
      <c r="EI34" s="33">
        <v>0</v>
      </c>
      <c r="EJ34" s="33">
        <v>0</v>
      </c>
      <c r="EK34" s="33">
        <v>0</v>
      </c>
      <c r="EL34" s="33">
        <v>0</v>
      </c>
      <c r="EM34" s="33">
        <v>0</v>
      </c>
      <c r="EN34" s="33">
        <v>0</v>
      </c>
      <c r="EO34" s="34">
        <f t="shared" si="10"/>
        <v>0</v>
      </c>
      <c r="EP34" s="33">
        <v>0</v>
      </c>
      <c r="EQ34" s="33">
        <v>0</v>
      </c>
      <c r="ER34" s="33">
        <v>0</v>
      </c>
      <c r="ES34" s="33">
        <v>0</v>
      </c>
      <c r="ET34" s="33">
        <v>0</v>
      </c>
      <c r="EU34" s="33">
        <v>0</v>
      </c>
      <c r="EV34" s="33">
        <v>0</v>
      </c>
      <c r="EW34" s="33">
        <v>0</v>
      </c>
      <c r="EX34" s="33">
        <v>0</v>
      </c>
      <c r="EY34" s="33">
        <v>0</v>
      </c>
      <c r="EZ34" s="33">
        <v>0</v>
      </c>
      <c r="FA34" s="33">
        <v>0</v>
      </c>
      <c r="FB34" s="34">
        <f t="shared" si="11"/>
        <v>0</v>
      </c>
      <c r="FC34" s="33">
        <v>14023719</v>
      </c>
      <c r="FD34" s="33">
        <v>14023719</v>
      </c>
      <c r="FE34" s="33">
        <v>14023719</v>
      </c>
      <c r="FF34" s="33">
        <v>14023719</v>
      </c>
      <c r="FG34" s="33">
        <v>14023719</v>
      </c>
      <c r="FH34" s="33">
        <v>14023719</v>
      </c>
      <c r="FI34" s="33">
        <v>14023719</v>
      </c>
      <c r="FJ34" s="33"/>
      <c r="FK34" s="33"/>
      <c r="FL34" s="33"/>
      <c r="FM34" s="33"/>
      <c r="FN34" s="33"/>
      <c r="FO34" s="34">
        <f t="shared" si="12"/>
        <v>14023719</v>
      </c>
    </row>
    <row r="35" spans="2:171" ht="14.25" customHeight="1" x14ac:dyDescent="0.3">
      <c r="B35" s="35" t="s">
        <v>70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4">
        <f t="shared" si="0"/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4">
        <f t="shared" si="1"/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4">
        <f t="shared" si="2"/>
        <v>0</v>
      </c>
      <c r="AP35" s="33">
        <v>0</v>
      </c>
      <c r="AQ35" s="33">
        <v>0</v>
      </c>
      <c r="AR35" s="33">
        <v>0</v>
      </c>
      <c r="AS35" s="33">
        <v>0</v>
      </c>
      <c r="AT35" s="33">
        <v>0</v>
      </c>
      <c r="AU35" s="33">
        <v>0</v>
      </c>
      <c r="AV35" s="33">
        <v>0</v>
      </c>
      <c r="AW35" s="33">
        <v>0</v>
      </c>
      <c r="AX35" s="33">
        <v>0</v>
      </c>
      <c r="AY35" s="33">
        <v>0</v>
      </c>
      <c r="AZ35" s="33">
        <v>0</v>
      </c>
      <c r="BA35" s="33">
        <v>0</v>
      </c>
      <c r="BB35" s="34">
        <f t="shared" si="3"/>
        <v>0</v>
      </c>
      <c r="BC35" s="33">
        <v>0</v>
      </c>
      <c r="BD35" s="33">
        <v>0</v>
      </c>
      <c r="BE35" s="33">
        <v>0</v>
      </c>
      <c r="BF35" s="33">
        <v>0</v>
      </c>
      <c r="BG35" s="33">
        <v>0</v>
      </c>
      <c r="BH35" s="33">
        <v>0</v>
      </c>
      <c r="BI35" s="33">
        <v>0</v>
      </c>
      <c r="BJ35" s="33">
        <v>0</v>
      </c>
      <c r="BK35" s="33">
        <v>0</v>
      </c>
      <c r="BL35" s="33">
        <v>0</v>
      </c>
      <c r="BM35" s="33">
        <v>0</v>
      </c>
      <c r="BN35" s="33">
        <v>0</v>
      </c>
      <c r="BO35" s="34">
        <f t="shared" si="4"/>
        <v>0</v>
      </c>
      <c r="BP35" s="33">
        <v>0</v>
      </c>
      <c r="BQ35" s="33">
        <v>0</v>
      </c>
      <c r="BR35" s="33">
        <v>0</v>
      </c>
      <c r="BS35" s="33">
        <v>0</v>
      </c>
      <c r="BT35" s="33">
        <v>0</v>
      </c>
      <c r="BU35" s="33">
        <v>0</v>
      </c>
      <c r="BV35" s="33">
        <v>0</v>
      </c>
      <c r="BW35" s="33">
        <v>0</v>
      </c>
      <c r="BX35" s="33">
        <v>0</v>
      </c>
      <c r="BY35" s="33">
        <v>0</v>
      </c>
      <c r="BZ35" s="33">
        <v>0</v>
      </c>
      <c r="CA35" s="33">
        <v>0</v>
      </c>
      <c r="CB35" s="34">
        <f t="shared" si="5"/>
        <v>0</v>
      </c>
      <c r="CC35" s="33">
        <v>0</v>
      </c>
      <c r="CD35" s="33">
        <v>0</v>
      </c>
      <c r="CE35" s="33">
        <v>0</v>
      </c>
      <c r="CF35" s="33">
        <v>0</v>
      </c>
      <c r="CG35" s="33">
        <v>0</v>
      </c>
      <c r="CH35" s="33">
        <v>0</v>
      </c>
      <c r="CI35" s="33">
        <v>0</v>
      </c>
      <c r="CJ35" s="33">
        <v>0</v>
      </c>
      <c r="CK35" s="33">
        <v>0</v>
      </c>
      <c r="CL35" s="33">
        <v>0</v>
      </c>
      <c r="CM35" s="33">
        <v>0</v>
      </c>
      <c r="CN35" s="33">
        <v>0</v>
      </c>
      <c r="CO35" s="34">
        <f t="shared" si="6"/>
        <v>0</v>
      </c>
      <c r="CP35" s="33">
        <v>0</v>
      </c>
      <c r="CQ35" s="33">
        <v>0</v>
      </c>
      <c r="CR35" s="33">
        <v>0</v>
      </c>
      <c r="CS35" s="33">
        <v>0</v>
      </c>
      <c r="CT35" s="33">
        <v>0</v>
      </c>
      <c r="CU35" s="33">
        <v>0</v>
      </c>
      <c r="CV35" s="33">
        <v>0</v>
      </c>
      <c r="CW35" s="33">
        <v>0</v>
      </c>
      <c r="CX35" s="33">
        <v>0</v>
      </c>
      <c r="CY35" s="33">
        <v>0</v>
      </c>
      <c r="CZ35" s="33">
        <v>0</v>
      </c>
      <c r="DA35" s="33">
        <v>0</v>
      </c>
      <c r="DB35" s="34">
        <f t="shared" si="7"/>
        <v>0</v>
      </c>
      <c r="DC35" s="33">
        <v>0</v>
      </c>
      <c r="DD35" s="33">
        <v>0</v>
      </c>
      <c r="DE35" s="33">
        <v>0</v>
      </c>
      <c r="DF35" s="33">
        <v>0</v>
      </c>
      <c r="DG35" s="33">
        <v>0</v>
      </c>
      <c r="DH35" s="33">
        <v>0</v>
      </c>
      <c r="DI35" s="33">
        <v>0</v>
      </c>
      <c r="DJ35" s="33">
        <v>0</v>
      </c>
      <c r="DK35" s="33">
        <v>0</v>
      </c>
      <c r="DL35" s="33">
        <v>0</v>
      </c>
      <c r="DM35" s="33">
        <v>0</v>
      </c>
      <c r="DN35" s="33">
        <v>0</v>
      </c>
      <c r="DO35" s="34">
        <f t="shared" si="8"/>
        <v>0</v>
      </c>
      <c r="DP35" s="33">
        <v>0</v>
      </c>
      <c r="DQ35" s="33">
        <v>0</v>
      </c>
      <c r="DR35" s="33">
        <v>0</v>
      </c>
      <c r="DS35" s="33">
        <v>0</v>
      </c>
      <c r="DT35" s="33">
        <v>0</v>
      </c>
      <c r="DU35" s="33">
        <v>0</v>
      </c>
      <c r="DV35" s="33">
        <v>0</v>
      </c>
      <c r="DW35" s="33">
        <v>0</v>
      </c>
      <c r="DX35" s="33">
        <v>0</v>
      </c>
      <c r="DY35" s="33">
        <v>0</v>
      </c>
      <c r="DZ35" s="33">
        <v>0</v>
      </c>
      <c r="EA35" s="33">
        <v>0</v>
      </c>
      <c r="EB35" s="34">
        <f t="shared" si="9"/>
        <v>0</v>
      </c>
      <c r="EC35" s="33">
        <v>0</v>
      </c>
      <c r="ED35" s="33">
        <v>0</v>
      </c>
      <c r="EE35" s="33">
        <v>0</v>
      </c>
      <c r="EF35" s="33">
        <v>0</v>
      </c>
      <c r="EG35" s="33">
        <v>0</v>
      </c>
      <c r="EH35" s="33">
        <v>0</v>
      </c>
      <c r="EI35" s="33">
        <v>0</v>
      </c>
      <c r="EJ35" s="33">
        <v>0</v>
      </c>
      <c r="EK35" s="33">
        <v>0</v>
      </c>
      <c r="EL35" s="33">
        <v>0</v>
      </c>
      <c r="EM35" s="33">
        <v>0</v>
      </c>
      <c r="EN35" s="33">
        <v>0</v>
      </c>
      <c r="EO35" s="34">
        <f t="shared" si="10"/>
        <v>0</v>
      </c>
      <c r="EP35" s="33">
        <v>0</v>
      </c>
      <c r="EQ35" s="33">
        <v>0</v>
      </c>
      <c r="ER35" s="33">
        <v>0</v>
      </c>
      <c r="ES35" s="33">
        <v>0</v>
      </c>
      <c r="ET35" s="33">
        <v>0</v>
      </c>
      <c r="EU35" s="33">
        <v>0</v>
      </c>
      <c r="EV35" s="33">
        <v>0</v>
      </c>
      <c r="EW35" s="33">
        <v>0</v>
      </c>
      <c r="EX35" s="33">
        <v>0</v>
      </c>
      <c r="EY35" s="33">
        <v>0</v>
      </c>
      <c r="EZ35" s="33">
        <v>0</v>
      </c>
      <c r="FA35" s="33">
        <v>0</v>
      </c>
      <c r="FB35" s="34">
        <f t="shared" si="11"/>
        <v>0</v>
      </c>
      <c r="FC35" s="33">
        <v>11724655</v>
      </c>
      <c r="FD35" s="33">
        <v>11724655</v>
      </c>
      <c r="FE35" s="33">
        <v>11724655</v>
      </c>
      <c r="FF35" s="33">
        <v>11724655</v>
      </c>
      <c r="FG35" s="33">
        <v>11724655</v>
      </c>
      <c r="FH35" s="33">
        <v>11724655</v>
      </c>
      <c r="FI35" s="33">
        <v>11724655</v>
      </c>
      <c r="FJ35" s="33"/>
      <c r="FK35" s="33"/>
      <c r="FL35" s="33"/>
      <c r="FM35" s="33"/>
      <c r="FN35" s="33"/>
      <c r="FO35" s="34">
        <f t="shared" si="12"/>
        <v>11724655</v>
      </c>
    </row>
    <row r="36" spans="2:171" ht="14.25" customHeight="1" x14ac:dyDescent="0.3">
      <c r="B36" s="35" t="s">
        <v>71</v>
      </c>
      <c r="C36" s="33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4">
        <f t="shared" si="0"/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4">
        <f t="shared" si="1"/>
        <v>0</v>
      </c>
      <c r="AC36" s="33">
        <v>0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>
        <v>0</v>
      </c>
      <c r="AM36" s="33">
        <v>0</v>
      </c>
      <c r="AN36" s="33">
        <v>0</v>
      </c>
      <c r="AO36" s="34">
        <f t="shared" si="2"/>
        <v>0</v>
      </c>
      <c r="AP36" s="33">
        <v>0</v>
      </c>
      <c r="AQ36" s="33">
        <v>0</v>
      </c>
      <c r="AR36" s="33">
        <v>0</v>
      </c>
      <c r="AS36" s="33">
        <v>0</v>
      </c>
      <c r="AT36" s="33">
        <v>0</v>
      </c>
      <c r="AU36" s="33">
        <v>0</v>
      </c>
      <c r="AV36" s="33">
        <v>0</v>
      </c>
      <c r="AW36" s="33">
        <v>0</v>
      </c>
      <c r="AX36" s="33">
        <v>0</v>
      </c>
      <c r="AY36" s="33">
        <v>0</v>
      </c>
      <c r="AZ36" s="33">
        <v>0</v>
      </c>
      <c r="BA36" s="33">
        <v>0</v>
      </c>
      <c r="BB36" s="34">
        <f t="shared" si="3"/>
        <v>0</v>
      </c>
      <c r="BC36" s="33">
        <v>0</v>
      </c>
      <c r="BD36" s="33">
        <v>0</v>
      </c>
      <c r="BE36" s="33">
        <v>0</v>
      </c>
      <c r="BF36" s="33">
        <v>0</v>
      </c>
      <c r="BG36" s="33">
        <v>0</v>
      </c>
      <c r="BH36" s="33">
        <v>0</v>
      </c>
      <c r="BI36" s="33">
        <v>0</v>
      </c>
      <c r="BJ36" s="33">
        <v>0</v>
      </c>
      <c r="BK36" s="33">
        <v>0</v>
      </c>
      <c r="BL36" s="33">
        <v>0</v>
      </c>
      <c r="BM36" s="33">
        <v>0</v>
      </c>
      <c r="BN36" s="33">
        <v>0</v>
      </c>
      <c r="BO36" s="34">
        <f t="shared" si="4"/>
        <v>0</v>
      </c>
      <c r="BP36" s="33">
        <v>0</v>
      </c>
      <c r="BQ36" s="33">
        <v>0</v>
      </c>
      <c r="BR36" s="33">
        <v>0</v>
      </c>
      <c r="BS36" s="33">
        <v>0</v>
      </c>
      <c r="BT36" s="33">
        <v>0</v>
      </c>
      <c r="BU36" s="33">
        <v>0</v>
      </c>
      <c r="BV36" s="33">
        <v>0</v>
      </c>
      <c r="BW36" s="33">
        <v>0</v>
      </c>
      <c r="BX36" s="33">
        <v>0</v>
      </c>
      <c r="BY36" s="33">
        <v>0</v>
      </c>
      <c r="BZ36" s="33">
        <v>0</v>
      </c>
      <c r="CA36" s="33">
        <v>0</v>
      </c>
      <c r="CB36" s="34">
        <f t="shared" si="5"/>
        <v>0</v>
      </c>
      <c r="CC36" s="33">
        <v>0</v>
      </c>
      <c r="CD36" s="33">
        <v>0</v>
      </c>
      <c r="CE36" s="33">
        <v>0</v>
      </c>
      <c r="CF36" s="33">
        <v>0</v>
      </c>
      <c r="CG36" s="33">
        <v>0</v>
      </c>
      <c r="CH36" s="33">
        <v>0</v>
      </c>
      <c r="CI36" s="33">
        <v>0</v>
      </c>
      <c r="CJ36" s="33">
        <v>0</v>
      </c>
      <c r="CK36" s="33">
        <v>0</v>
      </c>
      <c r="CL36" s="33">
        <v>0</v>
      </c>
      <c r="CM36" s="33">
        <v>0</v>
      </c>
      <c r="CN36" s="33">
        <v>0</v>
      </c>
      <c r="CO36" s="34">
        <f t="shared" si="6"/>
        <v>0</v>
      </c>
      <c r="CP36" s="33">
        <v>0</v>
      </c>
      <c r="CQ36" s="33">
        <v>0</v>
      </c>
      <c r="CR36" s="33">
        <v>0</v>
      </c>
      <c r="CS36" s="33">
        <v>0</v>
      </c>
      <c r="CT36" s="33">
        <v>0</v>
      </c>
      <c r="CU36" s="33">
        <v>0</v>
      </c>
      <c r="CV36" s="33">
        <v>0</v>
      </c>
      <c r="CW36" s="33">
        <v>0</v>
      </c>
      <c r="CX36" s="33">
        <v>0</v>
      </c>
      <c r="CY36" s="33">
        <v>0</v>
      </c>
      <c r="CZ36" s="33">
        <v>0</v>
      </c>
      <c r="DA36" s="33">
        <v>0</v>
      </c>
      <c r="DB36" s="34">
        <f t="shared" si="7"/>
        <v>0</v>
      </c>
      <c r="DC36" s="33">
        <v>0</v>
      </c>
      <c r="DD36" s="33">
        <v>0</v>
      </c>
      <c r="DE36" s="33">
        <v>0</v>
      </c>
      <c r="DF36" s="33">
        <v>0</v>
      </c>
      <c r="DG36" s="33">
        <v>0</v>
      </c>
      <c r="DH36" s="33">
        <v>0</v>
      </c>
      <c r="DI36" s="33">
        <v>0</v>
      </c>
      <c r="DJ36" s="33">
        <v>0</v>
      </c>
      <c r="DK36" s="33">
        <v>0</v>
      </c>
      <c r="DL36" s="33">
        <v>0</v>
      </c>
      <c r="DM36" s="33">
        <v>0</v>
      </c>
      <c r="DN36" s="33">
        <v>0</v>
      </c>
      <c r="DO36" s="34">
        <f t="shared" si="8"/>
        <v>0</v>
      </c>
      <c r="DP36" s="33">
        <v>0</v>
      </c>
      <c r="DQ36" s="33">
        <v>0</v>
      </c>
      <c r="DR36" s="33">
        <v>0</v>
      </c>
      <c r="DS36" s="33">
        <v>0</v>
      </c>
      <c r="DT36" s="33">
        <v>0</v>
      </c>
      <c r="DU36" s="33">
        <v>0</v>
      </c>
      <c r="DV36" s="33">
        <v>0</v>
      </c>
      <c r="DW36" s="33">
        <v>0</v>
      </c>
      <c r="DX36" s="33">
        <v>0</v>
      </c>
      <c r="DY36" s="33">
        <v>0</v>
      </c>
      <c r="DZ36" s="33">
        <v>0</v>
      </c>
      <c r="EA36" s="33">
        <v>0</v>
      </c>
      <c r="EB36" s="34">
        <f t="shared" si="9"/>
        <v>0</v>
      </c>
      <c r="EC36" s="33">
        <v>0</v>
      </c>
      <c r="ED36" s="33">
        <v>0</v>
      </c>
      <c r="EE36" s="33">
        <v>0</v>
      </c>
      <c r="EF36" s="33">
        <v>0</v>
      </c>
      <c r="EG36" s="33">
        <v>0</v>
      </c>
      <c r="EH36" s="33">
        <v>0</v>
      </c>
      <c r="EI36" s="33">
        <v>0</v>
      </c>
      <c r="EJ36" s="33">
        <v>0</v>
      </c>
      <c r="EK36" s="33">
        <v>0</v>
      </c>
      <c r="EL36" s="33">
        <v>0</v>
      </c>
      <c r="EM36" s="33">
        <v>0</v>
      </c>
      <c r="EN36" s="33">
        <v>0</v>
      </c>
      <c r="EO36" s="34">
        <f t="shared" si="10"/>
        <v>0</v>
      </c>
      <c r="EP36" s="33">
        <v>0</v>
      </c>
      <c r="EQ36" s="33">
        <v>0</v>
      </c>
      <c r="ER36" s="33">
        <v>0</v>
      </c>
      <c r="ES36" s="33">
        <v>0</v>
      </c>
      <c r="ET36" s="33">
        <v>0</v>
      </c>
      <c r="EU36" s="33">
        <v>0</v>
      </c>
      <c r="EV36" s="33">
        <v>0</v>
      </c>
      <c r="EW36" s="33">
        <v>0</v>
      </c>
      <c r="EX36" s="33">
        <v>0</v>
      </c>
      <c r="EY36" s="33">
        <v>0</v>
      </c>
      <c r="EZ36" s="33">
        <v>0</v>
      </c>
      <c r="FA36" s="33">
        <v>0</v>
      </c>
      <c r="FB36" s="34">
        <f t="shared" si="11"/>
        <v>0</v>
      </c>
      <c r="FC36" s="33">
        <v>24126484</v>
      </c>
      <c r="FD36" s="33">
        <v>24126484</v>
      </c>
      <c r="FE36" s="33">
        <v>24126484</v>
      </c>
      <c r="FF36" s="33">
        <v>24126484</v>
      </c>
      <c r="FG36" s="33">
        <v>24126484</v>
      </c>
      <c r="FH36" s="33">
        <v>24126484</v>
      </c>
      <c r="FI36" s="33">
        <v>24126484</v>
      </c>
      <c r="FJ36" s="33"/>
      <c r="FK36" s="33"/>
      <c r="FL36" s="33"/>
      <c r="FM36" s="33"/>
      <c r="FN36" s="33"/>
      <c r="FO36" s="34">
        <f t="shared" si="12"/>
        <v>24126484</v>
      </c>
    </row>
    <row r="37" spans="2:171" ht="14.25" customHeight="1" x14ac:dyDescent="0.3">
      <c r="B37" s="35" t="s">
        <v>72</v>
      </c>
      <c r="C37" s="33">
        <v>0</v>
      </c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4">
        <f t="shared" si="0"/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4">
        <f t="shared" si="1"/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4">
        <f t="shared" si="2"/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4">
        <f t="shared" si="3"/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4">
        <f t="shared" si="4"/>
        <v>0</v>
      </c>
      <c r="BP37" s="33">
        <v>0</v>
      </c>
      <c r="BQ37" s="33">
        <v>0</v>
      </c>
      <c r="BR37" s="33">
        <v>0</v>
      </c>
      <c r="BS37" s="33">
        <v>0</v>
      </c>
      <c r="BT37" s="33">
        <v>0</v>
      </c>
      <c r="BU37" s="33">
        <v>0</v>
      </c>
      <c r="BV37" s="33">
        <v>0</v>
      </c>
      <c r="BW37" s="33">
        <v>0</v>
      </c>
      <c r="BX37" s="33">
        <v>0</v>
      </c>
      <c r="BY37" s="33">
        <v>0</v>
      </c>
      <c r="BZ37" s="33">
        <v>0</v>
      </c>
      <c r="CA37" s="33">
        <v>0</v>
      </c>
      <c r="CB37" s="34">
        <f t="shared" si="5"/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  <c r="CM37" s="33">
        <v>0</v>
      </c>
      <c r="CN37" s="33">
        <v>0</v>
      </c>
      <c r="CO37" s="34">
        <f t="shared" si="6"/>
        <v>0</v>
      </c>
      <c r="CP37" s="33">
        <v>0</v>
      </c>
      <c r="CQ37" s="33">
        <v>0</v>
      </c>
      <c r="CR37" s="33">
        <v>0</v>
      </c>
      <c r="CS37" s="33">
        <v>0</v>
      </c>
      <c r="CT37" s="33">
        <v>0</v>
      </c>
      <c r="CU37" s="33">
        <v>0</v>
      </c>
      <c r="CV37" s="33">
        <v>0</v>
      </c>
      <c r="CW37" s="33">
        <v>0</v>
      </c>
      <c r="CX37" s="33">
        <v>0</v>
      </c>
      <c r="CY37" s="33">
        <v>0</v>
      </c>
      <c r="CZ37" s="33">
        <v>0</v>
      </c>
      <c r="DA37" s="33">
        <v>0</v>
      </c>
      <c r="DB37" s="34">
        <f t="shared" si="7"/>
        <v>0</v>
      </c>
      <c r="DC37" s="33">
        <v>0</v>
      </c>
      <c r="DD37" s="33">
        <v>0</v>
      </c>
      <c r="DE37" s="33">
        <v>0</v>
      </c>
      <c r="DF37" s="33">
        <v>0</v>
      </c>
      <c r="DG37" s="33">
        <v>0</v>
      </c>
      <c r="DH37" s="33">
        <v>0</v>
      </c>
      <c r="DI37" s="33">
        <v>0</v>
      </c>
      <c r="DJ37" s="33">
        <v>0</v>
      </c>
      <c r="DK37" s="33">
        <v>0</v>
      </c>
      <c r="DL37" s="33">
        <v>0</v>
      </c>
      <c r="DM37" s="33">
        <v>0</v>
      </c>
      <c r="DN37" s="33">
        <v>0</v>
      </c>
      <c r="DO37" s="34">
        <f t="shared" si="8"/>
        <v>0</v>
      </c>
      <c r="DP37" s="33">
        <v>0</v>
      </c>
      <c r="DQ37" s="33">
        <v>0</v>
      </c>
      <c r="DR37" s="33">
        <v>0</v>
      </c>
      <c r="DS37" s="33">
        <v>0</v>
      </c>
      <c r="DT37" s="33">
        <v>0</v>
      </c>
      <c r="DU37" s="33">
        <v>0</v>
      </c>
      <c r="DV37" s="33">
        <v>0</v>
      </c>
      <c r="DW37" s="33">
        <v>0</v>
      </c>
      <c r="DX37" s="33">
        <v>0</v>
      </c>
      <c r="DY37" s="33">
        <v>0</v>
      </c>
      <c r="DZ37" s="33">
        <v>0</v>
      </c>
      <c r="EA37" s="33">
        <v>0</v>
      </c>
      <c r="EB37" s="34">
        <f t="shared" si="9"/>
        <v>0</v>
      </c>
      <c r="EC37" s="33">
        <v>0</v>
      </c>
      <c r="ED37" s="33">
        <v>0</v>
      </c>
      <c r="EE37" s="33">
        <v>0</v>
      </c>
      <c r="EF37" s="33">
        <v>0</v>
      </c>
      <c r="EG37" s="33">
        <v>0</v>
      </c>
      <c r="EH37" s="33">
        <v>0</v>
      </c>
      <c r="EI37" s="33">
        <v>0</v>
      </c>
      <c r="EJ37" s="33">
        <v>0</v>
      </c>
      <c r="EK37" s="33">
        <v>0</v>
      </c>
      <c r="EL37" s="33">
        <v>0</v>
      </c>
      <c r="EM37" s="33">
        <v>0</v>
      </c>
      <c r="EN37" s="33">
        <v>0</v>
      </c>
      <c r="EO37" s="34">
        <f t="shared" si="10"/>
        <v>0</v>
      </c>
      <c r="EP37" s="33">
        <v>0</v>
      </c>
      <c r="EQ37" s="33">
        <v>0</v>
      </c>
      <c r="ER37" s="33">
        <v>0</v>
      </c>
      <c r="ES37" s="33">
        <v>0</v>
      </c>
      <c r="ET37" s="33">
        <v>0</v>
      </c>
      <c r="EU37" s="33">
        <v>0</v>
      </c>
      <c r="EV37" s="33">
        <v>0</v>
      </c>
      <c r="EW37" s="33">
        <v>0</v>
      </c>
      <c r="EX37" s="33">
        <v>0</v>
      </c>
      <c r="EY37" s="33">
        <v>0</v>
      </c>
      <c r="EZ37" s="33">
        <v>0</v>
      </c>
      <c r="FA37" s="33">
        <v>0</v>
      </c>
      <c r="FB37" s="34">
        <f t="shared" si="11"/>
        <v>0</v>
      </c>
      <c r="FC37" s="33">
        <v>15241290</v>
      </c>
      <c r="FD37" s="33">
        <v>15241290</v>
      </c>
      <c r="FE37" s="33">
        <v>15241290</v>
      </c>
      <c r="FF37" s="33">
        <v>15241290</v>
      </c>
      <c r="FG37" s="33">
        <v>15241290</v>
      </c>
      <c r="FH37" s="33">
        <v>15241290</v>
      </c>
      <c r="FI37" s="33">
        <v>15241290</v>
      </c>
      <c r="FJ37" s="33"/>
      <c r="FK37" s="33"/>
      <c r="FL37" s="33"/>
      <c r="FM37" s="33"/>
      <c r="FN37" s="33"/>
      <c r="FO37" s="34">
        <f t="shared" si="12"/>
        <v>15241290</v>
      </c>
    </row>
    <row r="38" spans="2:171" ht="14.25" customHeight="1" x14ac:dyDescent="0.3">
      <c r="B38" s="35" t="s">
        <v>73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4">
        <f t="shared" si="0"/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4">
        <f t="shared" si="1"/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4">
        <f t="shared" si="2"/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4">
        <f t="shared" si="3"/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4">
        <f t="shared" si="4"/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0</v>
      </c>
      <c r="BV38" s="33">
        <v>0</v>
      </c>
      <c r="BW38" s="33">
        <v>0</v>
      </c>
      <c r="BX38" s="33">
        <v>0</v>
      </c>
      <c r="BY38" s="33">
        <v>0</v>
      </c>
      <c r="BZ38" s="33">
        <v>0</v>
      </c>
      <c r="CA38" s="33">
        <v>0</v>
      </c>
      <c r="CB38" s="34">
        <f t="shared" si="5"/>
        <v>0</v>
      </c>
      <c r="CC38" s="33">
        <v>0</v>
      </c>
      <c r="CD38" s="33">
        <v>0</v>
      </c>
      <c r="CE38" s="33">
        <v>0</v>
      </c>
      <c r="CF38" s="33">
        <v>0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  <c r="CM38" s="33">
        <v>0</v>
      </c>
      <c r="CN38" s="33">
        <v>0</v>
      </c>
      <c r="CO38" s="34">
        <f t="shared" si="6"/>
        <v>0</v>
      </c>
      <c r="CP38" s="33">
        <v>0</v>
      </c>
      <c r="CQ38" s="33">
        <v>0</v>
      </c>
      <c r="CR38" s="33">
        <v>0</v>
      </c>
      <c r="CS38" s="33">
        <v>0</v>
      </c>
      <c r="CT38" s="33">
        <v>0</v>
      </c>
      <c r="CU38" s="33">
        <v>0</v>
      </c>
      <c r="CV38" s="33">
        <v>0</v>
      </c>
      <c r="CW38" s="33">
        <v>0</v>
      </c>
      <c r="CX38" s="33">
        <v>0</v>
      </c>
      <c r="CY38" s="33">
        <v>0</v>
      </c>
      <c r="CZ38" s="33">
        <v>0</v>
      </c>
      <c r="DA38" s="33">
        <v>0</v>
      </c>
      <c r="DB38" s="34">
        <f t="shared" si="7"/>
        <v>0</v>
      </c>
      <c r="DC38" s="33">
        <v>0</v>
      </c>
      <c r="DD38" s="33">
        <v>0</v>
      </c>
      <c r="DE38" s="33">
        <v>0</v>
      </c>
      <c r="DF38" s="33">
        <v>0</v>
      </c>
      <c r="DG38" s="33">
        <v>0</v>
      </c>
      <c r="DH38" s="33">
        <v>0</v>
      </c>
      <c r="DI38" s="33">
        <v>0</v>
      </c>
      <c r="DJ38" s="33">
        <v>0</v>
      </c>
      <c r="DK38" s="33">
        <v>0</v>
      </c>
      <c r="DL38" s="33">
        <v>0</v>
      </c>
      <c r="DM38" s="33">
        <v>0</v>
      </c>
      <c r="DN38" s="33">
        <v>0</v>
      </c>
      <c r="DO38" s="34">
        <f t="shared" si="8"/>
        <v>0</v>
      </c>
      <c r="DP38" s="33">
        <v>0</v>
      </c>
      <c r="DQ38" s="33">
        <v>0</v>
      </c>
      <c r="DR38" s="33">
        <v>0</v>
      </c>
      <c r="DS38" s="33">
        <v>0</v>
      </c>
      <c r="DT38" s="33">
        <v>0</v>
      </c>
      <c r="DU38" s="33">
        <v>0</v>
      </c>
      <c r="DV38" s="33">
        <v>0</v>
      </c>
      <c r="DW38" s="33">
        <v>0</v>
      </c>
      <c r="DX38" s="33">
        <v>0</v>
      </c>
      <c r="DY38" s="33">
        <v>0</v>
      </c>
      <c r="DZ38" s="33">
        <v>0</v>
      </c>
      <c r="EA38" s="33">
        <v>0</v>
      </c>
      <c r="EB38" s="34">
        <f t="shared" si="9"/>
        <v>0</v>
      </c>
      <c r="EC38" s="33">
        <v>0</v>
      </c>
      <c r="ED38" s="33">
        <v>0</v>
      </c>
      <c r="EE38" s="33">
        <v>0</v>
      </c>
      <c r="EF38" s="33">
        <v>0</v>
      </c>
      <c r="EG38" s="33">
        <v>0</v>
      </c>
      <c r="EH38" s="33">
        <v>0</v>
      </c>
      <c r="EI38" s="33">
        <v>0</v>
      </c>
      <c r="EJ38" s="33">
        <v>0</v>
      </c>
      <c r="EK38" s="33">
        <v>0</v>
      </c>
      <c r="EL38" s="33">
        <v>0</v>
      </c>
      <c r="EM38" s="33">
        <v>0</v>
      </c>
      <c r="EN38" s="33">
        <v>0</v>
      </c>
      <c r="EO38" s="34">
        <f t="shared" si="10"/>
        <v>0</v>
      </c>
      <c r="EP38" s="33">
        <v>0</v>
      </c>
      <c r="EQ38" s="33">
        <v>0</v>
      </c>
      <c r="ER38" s="33">
        <v>0</v>
      </c>
      <c r="ES38" s="33">
        <v>0</v>
      </c>
      <c r="ET38" s="33">
        <v>0</v>
      </c>
      <c r="EU38" s="33">
        <v>0</v>
      </c>
      <c r="EV38" s="33">
        <v>0</v>
      </c>
      <c r="EW38" s="33">
        <v>0</v>
      </c>
      <c r="EX38" s="33">
        <v>0</v>
      </c>
      <c r="EY38" s="33">
        <v>0</v>
      </c>
      <c r="EZ38" s="33">
        <v>0</v>
      </c>
      <c r="FA38" s="33">
        <v>0</v>
      </c>
      <c r="FB38" s="34">
        <f t="shared" si="11"/>
        <v>0</v>
      </c>
      <c r="FC38" s="33">
        <v>92970744</v>
      </c>
      <c r="FD38" s="33">
        <v>92970744</v>
      </c>
      <c r="FE38" s="33">
        <v>92970744</v>
      </c>
      <c r="FF38" s="33">
        <v>92970744</v>
      </c>
      <c r="FG38" s="33">
        <v>92970744</v>
      </c>
      <c r="FH38" s="33">
        <v>92970744</v>
      </c>
      <c r="FI38" s="33">
        <v>92970744</v>
      </c>
      <c r="FJ38" s="33"/>
      <c r="FK38" s="33"/>
      <c r="FL38" s="33"/>
      <c r="FM38" s="33"/>
      <c r="FN38" s="33"/>
      <c r="FO38" s="34">
        <f t="shared" si="12"/>
        <v>92970744</v>
      </c>
    </row>
    <row r="39" spans="2:171" ht="14.25" customHeight="1" x14ac:dyDescent="0.3">
      <c r="B39" s="35" t="s">
        <v>74</v>
      </c>
      <c r="C39" s="33">
        <v>0</v>
      </c>
      <c r="D39" s="33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4">
        <f t="shared" si="0"/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4">
        <f t="shared" si="1"/>
        <v>0</v>
      </c>
      <c r="AC39" s="33">
        <v>0</v>
      </c>
      <c r="AD39" s="33">
        <v>0</v>
      </c>
      <c r="AE39" s="33">
        <v>0</v>
      </c>
      <c r="AF39" s="33">
        <v>0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  <c r="AL39" s="33">
        <v>0</v>
      </c>
      <c r="AM39" s="33">
        <v>0</v>
      </c>
      <c r="AN39" s="33">
        <v>0</v>
      </c>
      <c r="AO39" s="34">
        <f t="shared" si="2"/>
        <v>0</v>
      </c>
      <c r="AP39" s="33">
        <v>0</v>
      </c>
      <c r="AQ39" s="33">
        <v>0</v>
      </c>
      <c r="AR39" s="33">
        <v>0</v>
      </c>
      <c r="AS39" s="33">
        <v>0</v>
      </c>
      <c r="AT39" s="33">
        <v>0</v>
      </c>
      <c r="AU39" s="33">
        <v>0</v>
      </c>
      <c r="AV39" s="33">
        <v>0</v>
      </c>
      <c r="AW39" s="33">
        <v>0</v>
      </c>
      <c r="AX39" s="33">
        <v>0</v>
      </c>
      <c r="AY39" s="33">
        <v>0</v>
      </c>
      <c r="AZ39" s="33">
        <v>0</v>
      </c>
      <c r="BA39" s="33">
        <v>0</v>
      </c>
      <c r="BB39" s="34">
        <f t="shared" si="3"/>
        <v>0</v>
      </c>
      <c r="BC39" s="33">
        <v>0</v>
      </c>
      <c r="BD39" s="33">
        <v>0</v>
      </c>
      <c r="BE39" s="33">
        <v>0</v>
      </c>
      <c r="BF39" s="33">
        <v>0</v>
      </c>
      <c r="BG39" s="33">
        <v>0</v>
      </c>
      <c r="BH39" s="33">
        <v>0</v>
      </c>
      <c r="BI39" s="33">
        <v>0</v>
      </c>
      <c r="BJ39" s="33">
        <v>0</v>
      </c>
      <c r="BK39" s="33">
        <v>0</v>
      </c>
      <c r="BL39" s="33">
        <v>0</v>
      </c>
      <c r="BM39" s="33">
        <v>0</v>
      </c>
      <c r="BN39" s="33">
        <v>0</v>
      </c>
      <c r="BO39" s="34">
        <f t="shared" si="4"/>
        <v>0</v>
      </c>
      <c r="BP39" s="33">
        <v>0</v>
      </c>
      <c r="BQ39" s="33">
        <v>0</v>
      </c>
      <c r="BR39" s="33">
        <v>0</v>
      </c>
      <c r="BS39" s="33">
        <v>0</v>
      </c>
      <c r="BT39" s="33">
        <v>0</v>
      </c>
      <c r="BU39" s="33">
        <v>0</v>
      </c>
      <c r="BV39" s="33">
        <v>0</v>
      </c>
      <c r="BW39" s="33">
        <v>0</v>
      </c>
      <c r="BX39" s="33">
        <v>0</v>
      </c>
      <c r="BY39" s="33">
        <v>0</v>
      </c>
      <c r="BZ39" s="33">
        <v>0</v>
      </c>
      <c r="CA39" s="33">
        <v>0</v>
      </c>
      <c r="CB39" s="34">
        <f t="shared" si="5"/>
        <v>0</v>
      </c>
      <c r="CC39" s="33">
        <v>0</v>
      </c>
      <c r="CD39" s="33">
        <v>0</v>
      </c>
      <c r="CE39" s="33">
        <v>0</v>
      </c>
      <c r="CF39" s="33">
        <v>0</v>
      </c>
      <c r="CG39" s="33">
        <v>0</v>
      </c>
      <c r="CH39" s="33">
        <v>0</v>
      </c>
      <c r="CI39" s="33">
        <v>0</v>
      </c>
      <c r="CJ39" s="33">
        <v>0</v>
      </c>
      <c r="CK39" s="33">
        <v>0</v>
      </c>
      <c r="CL39" s="33">
        <v>0</v>
      </c>
      <c r="CM39" s="33">
        <v>0</v>
      </c>
      <c r="CN39" s="33">
        <v>0</v>
      </c>
      <c r="CO39" s="34">
        <f t="shared" si="6"/>
        <v>0</v>
      </c>
      <c r="CP39" s="33">
        <v>0</v>
      </c>
      <c r="CQ39" s="33">
        <v>0</v>
      </c>
      <c r="CR39" s="33">
        <v>0</v>
      </c>
      <c r="CS39" s="33">
        <v>0</v>
      </c>
      <c r="CT39" s="33">
        <v>0</v>
      </c>
      <c r="CU39" s="33">
        <v>0</v>
      </c>
      <c r="CV39" s="33">
        <v>0</v>
      </c>
      <c r="CW39" s="33">
        <v>0</v>
      </c>
      <c r="CX39" s="33">
        <v>0</v>
      </c>
      <c r="CY39" s="33">
        <v>0</v>
      </c>
      <c r="CZ39" s="33">
        <v>0</v>
      </c>
      <c r="DA39" s="33">
        <v>0</v>
      </c>
      <c r="DB39" s="34">
        <f t="shared" si="7"/>
        <v>0</v>
      </c>
      <c r="DC39" s="33">
        <v>0</v>
      </c>
      <c r="DD39" s="33">
        <v>0</v>
      </c>
      <c r="DE39" s="33">
        <v>0</v>
      </c>
      <c r="DF39" s="33">
        <v>0</v>
      </c>
      <c r="DG39" s="33">
        <v>0</v>
      </c>
      <c r="DH39" s="33">
        <v>0</v>
      </c>
      <c r="DI39" s="33">
        <v>0</v>
      </c>
      <c r="DJ39" s="33">
        <v>0</v>
      </c>
      <c r="DK39" s="33">
        <v>0</v>
      </c>
      <c r="DL39" s="33">
        <v>0</v>
      </c>
      <c r="DM39" s="33">
        <v>0</v>
      </c>
      <c r="DN39" s="33">
        <v>0</v>
      </c>
      <c r="DO39" s="34">
        <f t="shared" si="8"/>
        <v>0</v>
      </c>
      <c r="DP39" s="33">
        <v>0</v>
      </c>
      <c r="DQ39" s="33">
        <v>0</v>
      </c>
      <c r="DR39" s="33">
        <v>0</v>
      </c>
      <c r="DS39" s="33">
        <v>0</v>
      </c>
      <c r="DT39" s="33">
        <v>0</v>
      </c>
      <c r="DU39" s="33">
        <v>0</v>
      </c>
      <c r="DV39" s="33">
        <v>0</v>
      </c>
      <c r="DW39" s="33">
        <v>0</v>
      </c>
      <c r="DX39" s="33">
        <v>0</v>
      </c>
      <c r="DY39" s="33">
        <v>0</v>
      </c>
      <c r="DZ39" s="33">
        <v>0</v>
      </c>
      <c r="EA39" s="33">
        <v>0</v>
      </c>
      <c r="EB39" s="34">
        <f t="shared" si="9"/>
        <v>0</v>
      </c>
      <c r="EC39" s="33">
        <v>0</v>
      </c>
      <c r="ED39" s="33">
        <v>0</v>
      </c>
      <c r="EE39" s="33">
        <v>0</v>
      </c>
      <c r="EF39" s="33">
        <v>0</v>
      </c>
      <c r="EG39" s="33">
        <v>0</v>
      </c>
      <c r="EH39" s="33">
        <v>0</v>
      </c>
      <c r="EI39" s="33">
        <v>0</v>
      </c>
      <c r="EJ39" s="33">
        <v>0</v>
      </c>
      <c r="EK39" s="33">
        <v>0</v>
      </c>
      <c r="EL39" s="33">
        <v>0</v>
      </c>
      <c r="EM39" s="33">
        <v>0</v>
      </c>
      <c r="EN39" s="33">
        <v>0</v>
      </c>
      <c r="EO39" s="34">
        <f t="shared" si="10"/>
        <v>0</v>
      </c>
      <c r="EP39" s="33">
        <v>0</v>
      </c>
      <c r="EQ39" s="33">
        <v>0</v>
      </c>
      <c r="ER39" s="33">
        <v>0</v>
      </c>
      <c r="ES39" s="33">
        <v>0</v>
      </c>
      <c r="ET39" s="33">
        <v>0</v>
      </c>
      <c r="EU39" s="33">
        <v>0</v>
      </c>
      <c r="EV39" s="33">
        <v>0</v>
      </c>
      <c r="EW39" s="33">
        <v>0</v>
      </c>
      <c r="EX39" s="33">
        <v>0</v>
      </c>
      <c r="EY39" s="33">
        <v>0</v>
      </c>
      <c r="EZ39" s="33">
        <v>0</v>
      </c>
      <c r="FA39" s="33">
        <v>0</v>
      </c>
      <c r="FB39" s="34">
        <f t="shared" si="11"/>
        <v>0</v>
      </c>
      <c r="FC39" s="33">
        <v>9165660</v>
      </c>
      <c r="FD39" s="33">
        <v>9165660</v>
      </c>
      <c r="FE39" s="33">
        <v>9165660</v>
      </c>
      <c r="FF39" s="33">
        <v>9165660</v>
      </c>
      <c r="FG39" s="33">
        <v>9165660</v>
      </c>
      <c r="FH39" s="33">
        <v>9165660</v>
      </c>
      <c r="FI39" s="33">
        <v>9165660</v>
      </c>
      <c r="FJ39" s="33"/>
      <c r="FK39" s="33"/>
      <c r="FL39" s="33"/>
      <c r="FM39" s="33"/>
      <c r="FN39" s="33"/>
      <c r="FO39" s="34">
        <f t="shared" si="12"/>
        <v>9165660</v>
      </c>
    </row>
    <row r="40" spans="2:171" ht="14.25" customHeight="1" thickBot="1" x14ac:dyDescent="0.35">
      <c r="B40" s="14" t="s">
        <v>75</v>
      </c>
      <c r="C40" s="16">
        <f t="shared" ref="C40:AH40" si="13">SUM(C8:C39)</f>
        <v>275296243</v>
      </c>
      <c r="D40" s="16">
        <f t="shared" si="13"/>
        <v>275296243</v>
      </c>
      <c r="E40" s="16">
        <f t="shared" si="13"/>
        <v>275296243</v>
      </c>
      <c r="F40" s="16">
        <f t="shared" si="13"/>
        <v>275296243</v>
      </c>
      <c r="G40" s="16">
        <f t="shared" si="13"/>
        <v>275296243</v>
      </c>
      <c r="H40" s="16">
        <f t="shared" si="13"/>
        <v>275296243</v>
      </c>
      <c r="I40" s="16">
        <f t="shared" si="13"/>
        <v>275296243</v>
      </c>
      <c r="J40" s="16">
        <f t="shared" si="13"/>
        <v>275296243</v>
      </c>
      <c r="K40" s="16">
        <f t="shared" si="13"/>
        <v>275296243</v>
      </c>
      <c r="L40" s="16">
        <f t="shared" si="13"/>
        <v>275296243</v>
      </c>
      <c r="M40" s="16">
        <f t="shared" si="13"/>
        <v>275296243</v>
      </c>
      <c r="N40" s="16">
        <f t="shared" si="13"/>
        <v>275296243</v>
      </c>
      <c r="O40" s="16">
        <f t="shared" si="13"/>
        <v>275296243</v>
      </c>
      <c r="P40" s="16">
        <f t="shared" si="13"/>
        <v>529019287</v>
      </c>
      <c r="Q40" s="16">
        <f t="shared" si="13"/>
        <v>529019287</v>
      </c>
      <c r="R40" s="16">
        <f t="shared" si="13"/>
        <v>529019287</v>
      </c>
      <c r="S40" s="16">
        <f t="shared" si="13"/>
        <v>529019287</v>
      </c>
      <c r="T40" s="16">
        <f t="shared" si="13"/>
        <v>529019287</v>
      </c>
      <c r="U40" s="16">
        <f t="shared" si="13"/>
        <v>529019287</v>
      </c>
      <c r="V40" s="16">
        <f t="shared" si="13"/>
        <v>529019287</v>
      </c>
      <c r="W40" s="16">
        <f t="shared" si="13"/>
        <v>529019287</v>
      </c>
      <c r="X40" s="16">
        <f t="shared" si="13"/>
        <v>529019287</v>
      </c>
      <c r="Y40" s="16">
        <f t="shared" si="13"/>
        <v>529019287</v>
      </c>
      <c r="Z40" s="16">
        <f t="shared" si="13"/>
        <v>529019287</v>
      </c>
      <c r="AA40" s="16">
        <f t="shared" si="13"/>
        <v>529019287</v>
      </c>
      <c r="AB40" s="16">
        <f t="shared" si="13"/>
        <v>529019287</v>
      </c>
      <c r="AC40" s="16">
        <f t="shared" si="13"/>
        <v>497824800</v>
      </c>
      <c r="AD40" s="16">
        <f t="shared" si="13"/>
        <v>497824800</v>
      </c>
      <c r="AE40" s="16">
        <f t="shared" si="13"/>
        <v>497824800</v>
      </c>
      <c r="AF40" s="16">
        <f t="shared" si="13"/>
        <v>497824800</v>
      </c>
      <c r="AG40" s="16">
        <f t="shared" si="13"/>
        <v>497824800</v>
      </c>
      <c r="AH40" s="16">
        <f t="shared" si="13"/>
        <v>497824800</v>
      </c>
      <c r="AI40" s="16">
        <f t="shared" ref="AI40:BN40" si="14">SUM(AI8:AI39)</f>
        <v>497824800</v>
      </c>
      <c r="AJ40" s="16">
        <f t="shared" si="14"/>
        <v>497824800</v>
      </c>
      <c r="AK40" s="16">
        <f t="shared" si="14"/>
        <v>497824800</v>
      </c>
      <c r="AL40" s="16">
        <f t="shared" si="14"/>
        <v>497824800</v>
      </c>
      <c r="AM40" s="16">
        <f t="shared" si="14"/>
        <v>497824800</v>
      </c>
      <c r="AN40" s="16">
        <f t="shared" si="14"/>
        <v>497824800</v>
      </c>
      <c r="AO40" s="16">
        <f t="shared" si="14"/>
        <v>497824800</v>
      </c>
      <c r="AP40" s="16">
        <f t="shared" si="14"/>
        <v>349553934</v>
      </c>
      <c r="AQ40" s="16">
        <f t="shared" si="14"/>
        <v>349553934</v>
      </c>
      <c r="AR40" s="16">
        <f t="shared" si="14"/>
        <v>349553934</v>
      </c>
      <c r="AS40" s="16">
        <f t="shared" si="14"/>
        <v>349553934</v>
      </c>
      <c r="AT40" s="16">
        <f t="shared" si="14"/>
        <v>349553934</v>
      </c>
      <c r="AU40" s="16">
        <f t="shared" si="14"/>
        <v>349553934</v>
      </c>
      <c r="AV40" s="16">
        <f t="shared" si="14"/>
        <v>349553934</v>
      </c>
      <c r="AW40" s="16">
        <f t="shared" si="14"/>
        <v>349553934</v>
      </c>
      <c r="AX40" s="16">
        <f t="shared" si="14"/>
        <v>349553934</v>
      </c>
      <c r="AY40" s="16">
        <f t="shared" si="14"/>
        <v>349553934</v>
      </c>
      <c r="AZ40" s="16">
        <f t="shared" si="14"/>
        <v>349553934</v>
      </c>
      <c r="BA40" s="16">
        <f t="shared" si="14"/>
        <v>349553934</v>
      </c>
      <c r="BB40" s="16">
        <f t="shared" si="14"/>
        <v>349553934</v>
      </c>
      <c r="BC40" s="16">
        <f t="shared" si="14"/>
        <v>443704285</v>
      </c>
      <c r="BD40" s="16">
        <f t="shared" si="14"/>
        <v>443704285</v>
      </c>
      <c r="BE40" s="16">
        <f t="shared" si="14"/>
        <v>443704285</v>
      </c>
      <c r="BF40" s="16">
        <f t="shared" si="14"/>
        <v>443704285</v>
      </c>
      <c r="BG40" s="16">
        <f t="shared" si="14"/>
        <v>443704285</v>
      </c>
      <c r="BH40" s="16">
        <f t="shared" si="14"/>
        <v>443704285</v>
      </c>
      <c r="BI40" s="16">
        <f t="shared" si="14"/>
        <v>443704285</v>
      </c>
      <c r="BJ40" s="16">
        <f t="shared" si="14"/>
        <v>443704285</v>
      </c>
      <c r="BK40" s="16">
        <f t="shared" si="14"/>
        <v>443704285</v>
      </c>
      <c r="BL40" s="16">
        <f t="shared" si="14"/>
        <v>443704285</v>
      </c>
      <c r="BM40" s="16">
        <f t="shared" si="14"/>
        <v>443704285</v>
      </c>
      <c r="BN40" s="16">
        <f t="shared" si="14"/>
        <v>443704285</v>
      </c>
      <c r="BO40" s="16">
        <f t="shared" ref="BO40:CT40" si="15">SUM(BO8:BO39)</f>
        <v>443704285</v>
      </c>
      <c r="BP40" s="16">
        <f t="shared" si="15"/>
        <v>418874044</v>
      </c>
      <c r="BQ40" s="16">
        <f t="shared" si="15"/>
        <v>418874044</v>
      </c>
      <c r="BR40" s="16">
        <f t="shared" si="15"/>
        <v>418874044</v>
      </c>
      <c r="BS40" s="16">
        <f t="shared" si="15"/>
        <v>418874044</v>
      </c>
      <c r="BT40" s="16">
        <f t="shared" si="15"/>
        <v>418874044</v>
      </c>
      <c r="BU40" s="16">
        <f t="shared" si="15"/>
        <v>418874044</v>
      </c>
      <c r="BV40" s="16">
        <f t="shared" si="15"/>
        <v>418874044</v>
      </c>
      <c r="BW40" s="16">
        <f t="shared" si="15"/>
        <v>418874044</v>
      </c>
      <c r="BX40" s="16">
        <f t="shared" si="15"/>
        <v>418874044</v>
      </c>
      <c r="BY40" s="16">
        <f t="shared" si="15"/>
        <v>418874044</v>
      </c>
      <c r="BZ40" s="16">
        <f t="shared" si="15"/>
        <v>418874044</v>
      </c>
      <c r="CA40" s="16">
        <f t="shared" si="15"/>
        <v>418874044</v>
      </c>
      <c r="CB40" s="16">
        <f t="shared" si="15"/>
        <v>418874044</v>
      </c>
      <c r="CC40" s="16">
        <f t="shared" si="15"/>
        <v>734978985</v>
      </c>
      <c r="CD40" s="16">
        <f t="shared" si="15"/>
        <v>734978985</v>
      </c>
      <c r="CE40" s="16">
        <f t="shared" si="15"/>
        <v>734978985</v>
      </c>
      <c r="CF40" s="16">
        <f t="shared" si="15"/>
        <v>734978985</v>
      </c>
      <c r="CG40" s="16">
        <f t="shared" si="15"/>
        <v>734978985</v>
      </c>
      <c r="CH40" s="16">
        <f t="shared" si="15"/>
        <v>734978985</v>
      </c>
      <c r="CI40" s="16">
        <f t="shared" si="15"/>
        <v>734978985</v>
      </c>
      <c r="CJ40" s="16">
        <f t="shared" si="15"/>
        <v>734978985</v>
      </c>
      <c r="CK40" s="16">
        <f t="shared" si="15"/>
        <v>734978985</v>
      </c>
      <c r="CL40" s="16">
        <f t="shared" si="15"/>
        <v>734978985</v>
      </c>
      <c r="CM40" s="16">
        <f t="shared" si="15"/>
        <v>734978985</v>
      </c>
      <c r="CN40" s="16">
        <f t="shared" si="15"/>
        <v>734978985</v>
      </c>
      <c r="CO40" s="16">
        <f t="shared" si="15"/>
        <v>734978985</v>
      </c>
      <c r="CP40" s="16">
        <f t="shared" si="15"/>
        <v>654779916</v>
      </c>
      <c r="CQ40" s="16">
        <f t="shared" si="15"/>
        <v>654779916</v>
      </c>
      <c r="CR40" s="16">
        <f t="shared" si="15"/>
        <v>654779916</v>
      </c>
      <c r="CS40" s="16">
        <f t="shared" si="15"/>
        <v>654779916</v>
      </c>
      <c r="CT40" s="16">
        <f t="shared" si="15"/>
        <v>654779916</v>
      </c>
      <c r="CU40" s="16">
        <f t="shared" ref="CU40:DZ40" si="16">SUM(CU8:CU39)</f>
        <v>654779916</v>
      </c>
      <c r="CV40" s="16">
        <f t="shared" si="16"/>
        <v>654779916</v>
      </c>
      <c r="CW40" s="16">
        <f t="shared" si="16"/>
        <v>654779916</v>
      </c>
      <c r="CX40" s="16">
        <f t="shared" si="16"/>
        <v>654779916</v>
      </c>
      <c r="CY40" s="16">
        <f t="shared" si="16"/>
        <v>654779916</v>
      </c>
      <c r="CZ40" s="16">
        <f t="shared" si="16"/>
        <v>654779916</v>
      </c>
      <c r="DA40" s="16">
        <f t="shared" si="16"/>
        <v>654779916</v>
      </c>
      <c r="DB40" s="16">
        <f t="shared" si="16"/>
        <v>654779916</v>
      </c>
      <c r="DC40" s="16">
        <f t="shared" si="16"/>
        <v>644477775</v>
      </c>
      <c r="DD40" s="16">
        <f t="shared" si="16"/>
        <v>644477775</v>
      </c>
      <c r="DE40" s="16">
        <f t="shared" si="16"/>
        <v>644477775</v>
      </c>
      <c r="DF40" s="16">
        <f t="shared" si="16"/>
        <v>644477775</v>
      </c>
      <c r="DG40" s="16">
        <f t="shared" si="16"/>
        <v>644477775</v>
      </c>
      <c r="DH40" s="16">
        <f t="shared" si="16"/>
        <v>644477775</v>
      </c>
      <c r="DI40" s="16">
        <f t="shared" si="16"/>
        <v>644477775</v>
      </c>
      <c r="DJ40" s="16">
        <f t="shared" si="16"/>
        <v>644477775</v>
      </c>
      <c r="DK40" s="16">
        <f t="shared" si="16"/>
        <v>644477775</v>
      </c>
      <c r="DL40" s="16">
        <f t="shared" si="16"/>
        <v>644477775</v>
      </c>
      <c r="DM40" s="16">
        <f t="shared" si="16"/>
        <v>644477775</v>
      </c>
      <c r="DN40" s="16">
        <f t="shared" si="16"/>
        <v>644477775</v>
      </c>
      <c r="DO40" s="16">
        <f t="shared" si="16"/>
        <v>644477775</v>
      </c>
      <c r="DP40" s="16">
        <f t="shared" si="16"/>
        <v>710585291</v>
      </c>
      <c r="DQ40" s="16">
        <f t="shared" si="16"/>
        <v>710585291</v>
      </c>
      <c r="DR40" s="16">
        <f t="shared" si="16"/>
        <v>710585291</v>
      </c>
      <c r="DS40" s="16">
        <f t="shared" si="16"/>
        <v>710585291</v>
      </c>
      <c r="DT40" s="16">
        <f t="shared" si="16"/>
        <v>710585291</v>
      </c>
      <c r="DU40" s="16">
        <f t="shared" si="16"/>
        <v>710585291</v>
      </c>
      <c r="DV40" s="16">
        <f t="shared" si="16"/>
        <v>710585291</v>
      </c>
      <c r="DW40" s="16">
        <f t="shared" si="16"/>
        <v>710585291</v>
      </c>
      <c r="DX40" s="16">
        <f t="shared" si="16"/>
        <v>710585291</v>
      </c>
      <c r="DY40" s="16">
        <f t="shared" si="16"/>
        <v>710585291</v>
      </c>
      <c r="DZ40" s="16">
        <f t="shared" si="16"/>
        <v>710585291</v>
      </c>
      <c r="EA40" s="16">
        <f t="shared" ref="EA40:FF40" si="17">SUM(EA8:EA39)</f>
        <v>710585291</v>
      </c>
      <c r="EB40" s="16">
        <f t="shared" si="17"/>
        <v>710585291</v>
      </c>
      <c r="EC40" s="16">
        <f t="shared" si="17"/>
        <v>583310872</v>
      </c>
      <c r="ED40" s="16">
        <f t="shared" si="17"/>
        <v>583310872</v>
      </c>
      <c r="EE40" s="16">
        <f t="shared" si="17"/>
        <v>583310872</v>
      </c>
      <c r="EF40" s="16">
        <f t="shared" si="17"/>
        <v>583310872</v>
      </c>
      <c r="EG40" s="16">
        <f t="shared" si="17"/>
        <v>583310872</v>
      </c>
      <c r="EH40" s="16">
        <f t="shared" si="17"/>
        <v>583310872</v>
      </c>
      <c r="EI40" s="16">
        <f t="shared" si="17"/>
        <v>583310872</v>
      </c>
      <c r="EJ40" s="16">
        <f t="shared" si="17"/>
        <v>583310872</v>
      </c>
      <c r="EK40" s="16">
        <f t="shared" si="17"/>
        <v>583310872</v>
      </c>
      <c r="EL40" s="16">
        <f t="shared" si="17"/>
        <v>583310872</v>
      </c>
      <c r="EM40" s="16">
        <f t="shared" si="17"/>
        <v>583310872</v>
      </c>
      <c r="EN40" s="16">
        <f t="shared" si="17"/>
        <v>583310872</v>
      </c>
      <c r="EO40" s="16">
        <f t="shared" si="17"/>
        <v>583310872</v>
      </c>
      <c r="EP40" s="16">
        <f t="shared" si="17"/>
        <v>574148004</v>
      </c>
      <c r="EQ40" s="16">
        <f t="shared" si="17"/>
        <v>574148004</v>
      </c>
      <c r="ER40" s="16">
        <f t="shared" si="17"/>
        <v>574148004</v>
      </c>
      <c r="ES40" s="16">
        <f t="shared" si="17"/>
        <v>574148004</v>
      </c>
      <c r="ET40" s="16">
        <f t="shared" si="17"/>
        <v>574148004</v>
      </c>
      <c r="EU40" s="16">
        <f t="shared" si="17"/>
        <v>574148004</v>
      </c>
      <c r="EV40" s="16">
        <f t="shared" si="17"/>
        <v>574148004</v>
      </c>
      <c r="EW40" s="16">
        <f t="shared" si="17"/>
        <v>574148004</v>
      </c>
      <c r="EX40" s="16">
        <f t="shared" si="17"/>
        <v>574148004</v>
      </c>
      <c r="EY40" s="16">
        <f t="shared" si="17"/>
        <v>574148004</v>
      </c>
      <c r="EZ40" s="16">
        <f t="shared" si="17"/>
        <v>574148004</v>
      </c>
      <c r="FA40" s="16">
        <f t="shared" si="17"/>
        <v>574148004</v>
      </c>
      <c r="FB40" s="16">
        <f t="shared" si="17"/>
        <v>574148004</v>
      </c>
      <c r="FC40" s="16">
        <f t="shared" si="17"/>
        <v>648268110</v>
      </c>
      <c r="FD40" s="16">
        <f t="shared" si="17"/>
        <v>648268110</v>
      </c>
      <c r="FE40" s="16">
        <f t="shared" si="17"/>
        <v>648268110</v>
      </c>
      <c r="FF40" s="16">
        <f t="shared" si="17"/>
        <v>648268110</v>
      </c>
      <c r="FG40" s="16">
        <f t="shared" ref="FG40:GL40" si="18">SUM(FG8:FG39)</f>
        <v>648268110</v>
      </c>
      <c r="FH40" s="16">
        <f t="shared" si="18"/>
        <v>648268110</v>
      </c>
      <c r="FI40" s="16">
        <f t="shared" si="18"/>
        <v>648268110</v>
      </c>
      <c r="FJ40" s="16">
        <f t="shared" si="18"/>
        <v>0</v>
      </c>
      <c r="FK40" s="16">
        <f t="shared" si="18"/>
        <v>0</v>
      </c>
      <c r="FL40" s="16">
        <f t="shared" si="18"/>
        <v>0</v>
      </c>
      <c r="FM40" s="16">
        <f t="shared" si="18"/>
        <v>0</v>
      </c>
      <c r="FN40" s="16">
        <f t="shared" si="18"/>
        <v>0</v>
      </c>
      <c r="FO40" s="16">
        <f t="shared" si="18"/>
        <v>648268110</v>
      </c>
    </row>
    <row r="41" spans="2:171" ht="14.25" customHeight="1" x14ac:dyDescent="0.3">
      <c r="B41" s="4" t="s">
        <v>76</v>
      </c>
    </row>
    <row r="42" spans="2:171" ht="14.25" customHeight="1" x14ac:dyDescent="0.3">
      <c r="C42" s="38" t="s">
        <v>4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8" t="s">
        <v>5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8" t="s">
        <v>6</v>
      </c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8" t="s">
        <v>7</v>
      </c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8" t="s">
        <v>8</v>
      </c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8" t="s">
        <v>9</v>
      </c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8" t="s">
        <v>10</v>
      </c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8" t="s">
        <v>11</v>
      </c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8" t="s">
        <v>12</v>
      </c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8" t="s">
        <v>13</v>
      </c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8" t="s">
        <v>14</v>
      </c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8" t="s">
        <v>15</v>
      </c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8" t="s">
        <v>16</v>
      </c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</row>
    <row r="43" spans="2:171" ht="14.25" customHeight="1" x14ac:dyDescent="0.3">
      <c r="B43" s="5" t="s">
        <v>17</v>
      </c>
      <c r="C43" s="6" t="s">
        <v>18</v>
      </c>
      <c r="D43" s="6" t="s">
        <v>19</v>
      </c>
      <c r="E43" s="6" t="s">
        <v>20</v>
      </c>
      <c r="F43" s="6" t="s">
        <v>21</v>
      </c>
      <c r="G43" s="6" t="s">
        <v>22</v>
      </c>
      <c r="H43" s="6" t="s">
        <v>23</v>
      </c>
      <c r="I43" s="6" t="s">
        <v>24</v>
      </c>
      <c r="J43" s="6" t="s">
        <v>25</v>
      </c>
      <c r="K43" s="6" t="s">
        <v>26</v>
      </c>
      <c r="L43" s="6" t="s">
        <v>27</v>
      </c>
      <c r="M43" s="6" t="s">
        <v>28</v>
      </c>
      <c r="N43" s="6" t="s">
        <v>29</v>
      </c>
      <c r="O43" s="6" t="s">
        <v>30</v>
      </c>
      <c r="P43" s="6" t="s">
        <v>18</v>
      </c>
      <c r="Q43" s="6" t="s">
        <v>19</v>
      </c>
      <c r="R43" s="6" t="s">
        <v>20</v>
      </c>
      <c r="S43" s="6" t="s">
        <v>21</v>
      </c>
      <c r="T43" s="6" t="s">
        <v>22</v>
      </c>
      <c r="U43" s="6" t="s">
        <v>23</v>
      </c>
      <c r="V43" s="6" t="s">
        <v>24</v>
      </c>
      <c r="W43" s="6" t="s">
        <v>25</v>
      </c>
      <c r="X43" s="6" t="s">
        <v>26</v>
      </c>
      <c r="Y43" s="6" t="s">
        <v>27</v>
      </c>
      <c r="Z43" s="6" t="s">
        <v>28</v>
      </c>
      <c r="AA43" s="6" t="s">
        <v>29</v>
      </c>
      <c r="AB43" s="6" t="s">
        <v>31</v>
      </c>
      <c r="AC43" s="6" t="s">
        <v>18</v>
      </c>
      <c r="AD43" s="6" t="s">
        <v>19</v>
      </c>
      <c r="AE43" s="6" t="s">
        <v>20</v>
      </c>
      <c r="AF43" s="6" t="s">
        <v>21</v>
      </c>
      <c r="AG43" s="6" t="s">
        <v>22</v>
      </c>
      <c r="AH43" s="6" t="s">
        <v>23</v>
      </c>
      <c r="AI43" s="6" t="s">
        <v>24</v>
      </c>
      <c r="AJ43" s="6" t="s">
        <v>25</v>
      </c>
      <c r="AK43" s="6" t="s">
        <v>26</v>
      </c>
      <c r="AL43" s="6" t="s">
        <v>27</v>
      </c>
      <c r="AM43" s="6" t="s">
        <v>28</v>
      </c>
      <c r="AN43" s="6" t="s">
        <v>29</v>
      </c>
      <c r="AO43" s="6" t="s">
        <v>32</v>
      </c>
      <c r="AP43" s="6" t="s">
        <v>18</v>
      </c>
      <c r="AQ43" s="6" t="s">
        <v>19</v>
      </c>
      <c r="AR43" s="6" t="s">
        <v>20</v>
      </c>
      <c r="AS43" s="6" t="s">
        <v>21</v>
      </c>
      <c r="AT43" s="6" t="s">
        <v>22</v>
      </c>
      <c r="AU43" s="6" t="s">
        <v>23</v>
      </c>
      <c r="AV43" s="6" t="s">
        <v>24</v>
      </c>
      <c r="AW43" s="6" t="s">
        <v>25</v>
      </c>
      <c r="AX43" s="6" t="s">
        <v>26</v>
      </c>
      <c r="AY43" s="6" t="s">
        <v>27</v>
      </c>
      <c r="AZ43" s="6" t="s">
        <v>28</v>
      </c>
      <c r="BA43" s="6" t="s">
        <v>29</v>
      </c>
      <c r="BB43" s="6" t="s">
        <v>33</v>
      </c>
      <c r="BC43" s="6" t="s">
        <v>18</v>
      </c>
      <c r="BD43" s="6" t="s">
        <v>19</v>
      </c>
      <c r="BE43" s="6" t="s">
        <v>20</v>
      </c>
      <c r="BF43" s="6" t="s">
        <v>21</v>
      </c>
      <c r="BG43" s="6" t="s">
        <v>22</v>
      </c>
      <c r="BH43" s="6" t="s">
        <v>23</v>
      </c>
      <c r="BI43" s="6" t="s">
        <v>24</v>
      </c>
      <c r="BJ43" s="6" t="s">
        <v>25</v>
      </c>
      <c r="BK43" s="6" t="s">
        <v>26</v>
      </c>
      <c r="BL43" s="6" t="s">
        <v>27</v>
      </c>
      <c r="BM43" s="6" t="s">
        <v>28</v>
      </c>
      <c r="BN43" s="6" t="s">
        <v>29</v>
      </c>
      <c r="BO43" s="6" t="s">
        <v>34</v>
      </c>
      <c r="BP43" s="6" t="s">
        <v>18</v>
      </c>
      <c r="BQ43" s="6" t="s">
        <v>19</v>
      </c>
      <c r="BR43" s="6" t="s">
        <v>20</v>
      </c>
      <c r="BS43" s="6" t="s">
        <v>21</v>
      </c>
      <c r="BT43" s="6" t="s">
        <v>22</v>
      </c>
      <c r="BU43" s="6" t="s">
        <v>23</v>
      </c>
      <c r="BV43" s="6" t="s">
        <v>24</v>
      </c>
      <c r="BW43" s="6" t="s">
        <v>25</v>
      </c>
      <c r="BX43" s="6" t="s">
        <v>26</v>
      </c>
      <c r="BY43" s="6" t="s">
        <v>27</v>
      </c>
      <c r="BZ43" s="6" t="s">
        <v>28</v>
      </c>
      <c r="CA43" s="6" t="s">
        <v>29</v>
      </c>
      <c r="CB43" s="6" t="s">
        <v>35</v>
      </c>
      <c r="CC43" s="6" t="s">
        <v>18</v>
      </c>
      <c r="CD43" s="6" t="s">
        <v>19</v>
      </c>
      <c r="CE43" s="6" t="s">
        <v>20</v>
      </c>
      <c r="CF43" s="6" t="s">
        <v>21</v>
      </c>
      <c r="CG43" s="6" t="s">
        <v>22</v>
      </c>
      <c r="CH43" s="6" t="s">
        <v>23</v>
      </c>
      <c r="CI43" s="6" t="s">
        <v>24</v>
      </c>
      <c r="CJ43" s="6" t="s">
        <v>25</v>
      </c>
      <c r="CK43" s="6" t="s">
        <v>26</v>
      </c>
      <c r="CL43" s="6" t="s">
        <v>27</v>
      </c>
      <c r="CM43" s="6" t="s">
        <v>28</v>
      </c>
      <c r="CN43" s="6" t="s">
        <v>29</v>
      </c>
      <c r="CO43" s="6" t="s">
        <v>36</v>
      </c>
      <c r="CP43" s="6" t="s">
        <v>18</v>
      </c>
      <c r="CQ43" s="6" t="s">
        <v>19</v>
      </c>
      <c r="CR43" s="6" t="s">
        <v>20</v>
      </c>
      <c r="CS43" s="6" t="s">
        <v>21</v>
      </c>
      <c r="CT43" s="6" t="s">
        <v>22</v>
      </c>
      <c r="CU43" s="6" t="s">
        <v>23</v>
      </c>
      <c r="CV43" s="6" t="s">
        <v>24</v>
      </c>
      <c r="CW43" s="6" t="s">
        <v>25</v>
      </c>
      <c r="CX43" s="6" t="s">
        <v>26</v>
      </c>
      <c r="CY43" s="6" t="s">
        <v>27</v>
      </c>
      <c r="CZ43" s="6" t="s">
        <v>28</v>
      </c>
      <c r="DA43" s="6" t="s">
        <v>29</v>
      </c>
      <c r="DB43" s="6" t="s">
        <v>37</v>
      </c>
      <c r="DC43" s="6" t="s">
        <v>18</v>
      </c>
      <c r="DD43" s="6" t="s">
        <v>19</v>
      </c>
      <c r="DE43" s="6" t="s">
        <v>20</v>
      </c>
      <c r="DF43" s="6" t="s">
        <v>21</v>
      </c>
      <c r="DG43" s="6" t="s">
        <v>22</v>
      </c>
      <c r="DH43" s="6" t="s">
        <v>23</v>
      </c>
      <c r="DI43" s="6" t="s">
        <v>24</v>
      </c>
      <c r="DJ43" s="6" t="s">
        <v>25</v>
      </c>
      <c r="DK43" s="6" t="s">
        <v>26</v>
      </c>
      <c r="DL43" s="6" t="s">
        <v>27</v>
      </c>
      <c r="DM43" s="6" t="s">
        <v>28</v>
      </c>
      <c r="DN43" s="6" t="s">
        <v>29</v>
      </c>
      <c r="DO43" s="6" t="s">
        <v>38</v>
      </c>
      <c r="DP43" s="6" t="s">
        <v>18</v>
      </c>
      <c r="DQ43" s="6" t="s">
        <v>19</v>
      </c>
      <c r="DR43" s="6" t="s">
        <v>20</v>
      </c>
      <c r="DS43" s="6" t="s">
        <v>21</v>
      </c>
      <c r="DT43" s="6" t="s">
        <v>22</v>
      </c>
      <c r="DU43" s="6" t="s">
        <v>23</v>
      </c>
      <c r="DV43" s="6" t="s">
        <v>24</v>
      </c>
      <c r="DW43" s="6" t="s">
        <v>25</v>
      </c>
      <c r="DX43" s="6" t="s">
        <v>26</v>
      </c>
      <c r="DY43" s="6" t="s">
        <v>27</v>
      </c>
      <c r="DZ43" s="6" t="s">
        <v>28</v>
      </c>
      <c r="EA43" s="6" t="s">
        <v>29</v>
      </c>
      <c r="EB43" s="6" t="s">
        <v>39</v>
      </c>
      <c r="EC43" s="6" t="s">
        <v>18</v>
      </c>
      <c r="ED43" s="6" t="s">
        <v>19</v>
      </c>
      <c r="EE43" s="6" t="s">
        <v>20</v>
      </c>
      <c r="EF43" s="6" t="s">
        <v>21</v>
      </c>
      <c r="EG43" s="6" t="s">
        <v>22</v>
      </c>
      <c r="EH43" s="6" t="s">
        <v>23</v>
      </c>
      <c r="EI43" s="6" t="s">
        <v>24</v>
      </c>
      <c r="EJ43" s="6" t="s">
        <v>25</v>
      </c>
      <c r="EK43" s="6" t="s">
        <v>26</v>
      </c>
      <c r="EL43" s="6" t="s">
        <v>27</v>
      </c>
      <c r="EM43" s="6" t="s">
        <v>28</v>
      </c>
      <c r="EN43" s="6" t="s">
        <v>29</v>
      </c>
      <c r="EO43" s="6" t="s">
        <v>40</v>
      </c>
      <c r="EP43" s="6" t="s">
        <v>18</v>
      </c>
      <c r="EQ43" s="6" t="s">
        <v>19</v>
      </c>
      <c r="ER43" s="6" t="s">
        <v>20</v>
      </c>
      <c r="ES43" s="6" t="s">
        <v>21</v>
      </c>
      <c r="ET43" s="6" t="s">
        <v>22</v>
      </c>
      <c r="EU43" s="6" t="s">
        <v>23</v>
      </c>
      <c r="EV43" s="6" t="s">
        <v>24</v>
      </c>
      <c r="EW43" s="6" t="s">
        <v>25</v>
      </c>
      <c r="EX43" s="6" t="s">
        <v>26</v>
      </c>
      <c r="EY43" s="6" t="s">
        <v>27</v>
      </c>
      <c r="EZ43" s="6" t="s">
        <v>28</v>
      </c>
      <c r="FA43" s="6" t="s">
        <v>29</v>
      </c>
      <c r="FB43" s="6" t="s">
        <v>41</v>
      </c>
      <c r="FC43" s="6" t="s">
        <v>18</v>
      </c>
      <c r="FD43" s="6" t="s">
        <v>19</v>
      </c>
      <c r="FE43" s="6" t="s">
        <v>20</v>
      </c>
      <c r="FF43" s="6" t="s">
        <v>21</v>
      </c>
      <c r="FG43" s="6" t="s">
        <v>22</v>
      </c>
      <c r="FH43" s="6" t="s">
        <v>23</v>
      </c>
      <c r="FI43" s="6" t="s">
        <v>24</v>
      </c>
      <c r="FJ43" s="6" t="s">
        <v>25</v>
      </c>
      <c r="FK43" s="6" t="s">
        <v>26</v>
      </c>
      <c r="FL43" s="6" t="s">
        <v>27</v>
      </c>
      <c r="FM43" s="6" t="s">
        <v>28</v>
      </c>
      <c r="FN43" s="6" t="s">
        <v>29</v>
      </c>
      <c r="FO43" s="6" t="s">
        <v>42</v>
      </c>
    </row>
    <row r="44" spans="2:171" ht="14.25" customHeight="1" x14ac:dyDescent="0.3">
      <c r="B44" s="7" t="s">
        <v>43</v>
      </c>
      <c r="C44" s="8">
        <v>747570</v>
      </c>
      <c r="D44" s="8">
        <v>747570</v>
      </c>
      <c r="E44" s="8">
        <v>747570</v>
      </c>
      <c r="F44" s="8">
        <v>747570</v>
      </c>
      <c r="G44" s="8">
        <v>747570</v>
      </c>
      <c r="H44" s="8">
        <v>747570</v>
      </c>
      <c r="I44" s="8">
        <v>747570</v>
      </c>
      <c r="J44" s="8">
        <v>747570</v>
      </c>
      <c r="K44" s="8">
        <v>747570</v>
      </c>
      <c r="L44" s="8">
        <v>747570</v>
      </c>
      <c r="M44" s="8">
        <v>747570</v>
      </c>
      <c r="N44" s="8">
        <v>80263</v>
      </c>
      <c r="O44" s="9">
        <f t="shared" ref="O44:O75" si="19">N44</f>
        <v>80263</v>
      </c>
      <c r="P44" s="8">
        <v>206000</v>
      </c>
      <c r="Q44" s="8">
        <v>206000</v>
      </c>
      <c r="R44" s="8">
        <v>206000</v>
      </c>
      <c r="S44" s="8">
        <v>206000</v>
      </c>
      <c r="T44" s="8">
        <v>206000</v>
      </c>
      <c r="U44" s="8">
        <v>206000</v>
      </c>
      <c r="V44" s="8">
        <v>206000</v>
      </c>
      <c r="W44" s="8">
        <v>206000</v>
      </c>
      <c r="X44" s="8">
        <v>128319</v>
      </c>
      <c r="Y44" s="8">
        <v>128319</v>
      </c>
      <c r="Z44" s="8">
        <v>128319</v>
      </c>
      <c r="AA44" s="8">
        <v>128319</v>
      </c>
      <c r="AB44" s="9">
        <f t="shared" ref="AB44:AB75" si="20">AA44</f>
        <v>128319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79759</v>
      </c>
      <c r="AL44" s="8">
        <v>79759</v>
      </c>
      <c r="AM44" s="8">
        <v>79759</v>
      </c>
      <c r="AN44" s="8">
        <v>79759</v>
      </c>
      <c r="AO44" s="9">
        <f t="shared" ref="AO44:AO75" si="21">AN44</f>
        <v>79759</v>
      </c>
      <c r="AP44" s="8">
        <v>237364</v>
      </c>
      <c r="AQ44" s="8">
        <v>237364</v>
      </c>
      <c r="AR44" s="8">
        <v>237364</v>
      </c>
      <c r="AS44" s="8">
        <v>237364</v>
      </c>
      <c r="AT44" s="8">
        <v>237364</v>
      </c>
      <c r="AU44" s="8">
        <v>237364</v>
      </c>
      <c r="AV44" s="8">
        <v>237364</v>
      </c>
      <c r="AW44" s="8">
        <v>237364</v>
      </c>
      <c r="AX44" s="8">
        <v>237364</v>
      </c>
      <c r="AY44" s="8">
        <v>237364</v>
      </c>
      <c r="AZ44" s="8">
        <v>237364</v>
      </c>
      <c r="BA44" s="8">
        <v>237365</v>
      </c>
      <c r="BB44" s="9">
        <f t="shared" ref="BB44:BB75" si="22">BA44</f>
        <v>237365</v>
      </c>
      <c r="BC44" s="8">
        <v>0</v>
      </c>
      <c r="BD44" s="8">
        <v>0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8">
        <v>0</v>
      </c>
      <c r="BM44" s="8">
        <v>0</v>
      </c>
      <c r="BN44" s="8">
        <v>0</v>
      </c>
      <c r="BO44" s="9">
        <f t="shared" ref="BO44:BO75" si="23">BN44</f>
        <v>0</v>
      </c>
      <c r="BP44" s="8">
        <v>0</v>
      </c>
      <c r="BQ44" s="8">
        <v>0</v>
      </c>
      <c r="BR44" s="8">
        <v>0</v>
      </c>
      <c r="BS44" s="8">
        <v>0</v>
      </c>
      <c r="BT44" s="8">
        <v>0</v>
      </c>
      <c r="BU44" s="8">
        <v>0</v>
      </c>
      <c r="BV44" s="8">
        <v>0</v>
      </c>
      <c r="BW44" s="8">
        <v>0</v>
      </c>
      <c r="BX44" s="8">
        <v>0</v>
      </c>
      <c r="BY44" s="8">
        <v>0</v>
      </c>
      <c r="BZ44" s="8">
        <v>0</v>
      </c>
      <c r="CA44" s="8">
        <v>0</v>
      </c>
      <c r="CB44" s="9">
        <f t="shared" ref="CB44:CB75" si="24">CA44</f>
        <v>0</v>
      </c>
      <c r="CC44" s="8">
        <v>1026000</v>
      </c>
      <c r="CD44" s="8">
        <v>1026000</v>
      </c>
      <c r="CE44" s="8">
        <v>1026000</v>
      </c>
      <c r="CF44" s="8">
        <v>1026000</v>
      </c>
      <c r="CG44" s="8">
        <v>1026000</v>
      </c>
      <c r="CH44" s="8">
        <v>1026000</v>
      </c>
      <c r="CI44" s="8">
        <v>1026000</v>
      </c>
      <c r="CJ44" s="8">
        <v>1026000</v>
      </c>
      <c r="CK44" s="8">
        <v>1026000</v>
      </c>
      <c r="CL44" s="8">
        <v>1026000</v>
      </c>
      <c r="CM44" s="8">
        <v>1026000</v>
      </c>
      <c r="CN44" s="8">
        <v>10000</v>
      </c>
      <c r="CO44" s="9">
        <f t="shared" ref="CO44:CO75" si="25">CN44</f>
        <v>10000</v>
      </c>
      <c r="CP44" s="8">
        <v>800605</v>
      </c>
      <c r="CQ44" s="8">
        <v>800605</v>
      </c>
      <c r="CR44" s="8">
        <v>800605</v>
      </c>
      <c r="CS44" s="8">
        <v>800605</v>
      </c>
      <c r="CT44" s="8">
        <v>800605</v>
      </c>
      <c r="CU44" s="8">
        <v>800605</v>
      </c>
      <c r="CV44" s="8">
        <v>800605</v>
      </c>
      <c r="CW44" s="8">
        <v>800605</v>
      </c>
      <c r="CX44" s="8">
        <v>800605</v>
      </c>
      <c r="CY44" s="8">
        <v>800605</v>
      </c>
      <c r="CZ44" s="8">
        <v>800605</v>
      </c>
      <c r="DA44" s="8">
        <v>6000</v>
      </c>
      <c r="DB44" s="9">
        <f t="shared" ref="DB44:DB75" si="26">DA44</f>
        <v>6000</v>
      </c>
      <c r="DC44" s="8">
        <v>2301909</v>
      </c>
      <c r="DD44" s="8">
        <v>2301909</v>
      </c>
      <c r="DE44" s="8">
        <v>2301909</v>
      </c>
      <c r="DF44" s="8">
        <v>2301909</v>
      </c>
      <c r="DG44" s="8">
        <v>2301909</v>
      </c>
      <c r="DH44" s="8">
        <v>2301909</v>
      </c>
      <c r="DI44" s="8">
        <v>2301909</v>
      </c>
      <c r="DJ44" s="8">
        <v>908340</v>
      </c>
      <c r="DK44" s="8">
        <v>358340</v>
      </c>
      <c r="DL44" s="8">
        <v>358340</v>
      </c>
      <c r="DM44" s="8">
        <v>358340</v>
      </c>
      <c r="DN44" s="8">
        <v>198608</v>
      </c>
      <c r="DO44" s="9">
        <f t="shared" ref="DO44:DO75" si="27">DN44</f>
        <v>198608</v>
      </c>
      <c r="DP44" s="8">
        <v>1324402</v>
      </c>
      <c r="DQ44" s="8">
        <v>1324402</v>
      </c>
      <c r="DR44" s="8">
        <v>1324402</v>
      </c>
      <c r="DS44" s="8">
        <v>1324402</v>
      </c>
      <c r="DT44" s="8">
        <v>1324402</v>
      </c>
      <c r="DU44" s="8">
        <v>1324402</v>
      </c>
      <c r="DV44" s="8">
        <v>1324402</v>
      </c>
      <c r="DW44" s="8">
        <v>1324402</v>
      </c>
      <c r="DX44" s="8">
        <v>1324402</v>
      </c>
      <c r="DY44" s="8">
        <v>1324402</v>
      </c>
      <c r="DZ44" s="8">
        <v>1324402</v>
      </c>
      <c r="EA44" s="8">
        <v>319465</v>
      </c>
      <c r="EB44" s="9">
        <f t="shared" ref="EB44:EB75" si="28">EA44</f>
        <v>319465</v>
      </c>
      <c r="EC44" s="8">
        <v>1459534</v>
      </c>
      <c r="ED44" s="8">
        <v>1459534</v>
      </c>
      <c r="EE44" s="8">
        <v>1459534</v>
      </c>
      <c r="EF44" s="8">
        <v>1459534</v>
      </c>
      <c r="EG44" s="8">
        <v>1459534</v>
      </c>
      <c r="EH44" s="8">
        <v>933233</v>
      </c>
      <c r="EI44" s="8">
        <v>933233</v>
      </c>
      <c r="EJ44" s="8">
        <v>933233</v>
      </c>
      <c r="EK44" s="8">
        <v>933233</v>
      </c>
      <c r="EL44" s="8">
        <v>933233</v>
      </c>
      <c r="EM44" s="8">
        <v>890106</v>
      </c>
      <c r="EN44" s="8">
        <v>788149</v>
      </c>
      <c r="EO44" s="9">
        <f t="shared" ref="EO44:EO75" si="29">EN44</f>
        <v>788149</v>
      </c>
      <c r="EP44" s="8">
        <v>781455</v>
      </c>
      <c r="EQ44" s="8">
        <v>781455</v>
      </c>
      <c r="ER44" s="8">
        <v>781455</v>
      </c>
      <c r="ES44" s="8">
        <v>781455</v>
      </c>
      <c r="ET44" s="8">
        <v>781455</v>
      </c>
      <c r="EU44" s="8">
        <v>781455</v>
      </c>
      <c r="EV44" s="8">
        <v>781455</v>
      </c>
      <c r="EW44" s="8">
        <v>781455</v>
      </c>
      <c r="EX44" s="8">
        <v>781455</v>
      </c>
      <c r="EY44" s="8">
        <v>781455</v>
      </c>
      <c r="EZ44" s="8">
        <v>781455</v>
      </c>
      <c r="FA44" s="8">
        <v>707580</v>
      </c>
      <c r="FB44" s="9">
        <f t="shared" ref="FB44:FB75" si="30">FA44</f>
        <v>707580</v>
      </c>
      <c r="FC44" s="8">
        <v>657325</v>
      </c>
      <c r="FD44" s="8">
        <v>657325</v>
      </c>
      <c r="FE44" s="8">
        <v>657325</v>
      </c>
      <c r="FF44" s="8">
        <v>657325</v>
      </c>
      <c r="FG44" s="8">
        <v>657325</v>
      </c>
      <c r="FH44" s="8">
        <v>657325</v>
      </c>
      <c r="FI44" s="8">
        <v>657325</v>
      </c>
      <c r="FJ44" s="8"/>
      <c r="FK44" s="8"/>
      <c r="FL44" s="8"/>
      <c r="FM44" s="8"/>
      <c r="FN44" s="8"/>
      <c r="FO44" s="9">
        <f t="shared" ref="FO44:FO75" si="31">FI44</f>
        <v>657325</v>
      </c>
    </row>
    <row r="45" spans="2:171" ht="14.25" customHeight="1" x14ac:dyDescent="0.3">
      <c r="B45" s="7" t="s">
        <v>44</v>
      </c>
      <c r="C45" s="8">
        <v>0</v>
      </c>
      <c r="D45" s="8">
        <v>750633</v>
      </c>
      <c r="E45" s="8">
        <v>750633</v>
      </c>
      <c r="F45" s="8">
        <v>750633</v>
      </c>
      <c r="G45" s="8">
        <v>750633</v>
      </c>
      <c r="H45" s="8">
        <v>750633</v>
      </c>
      <c r="I45" s="8">
        <v>750633</v>
      </c>
      <c r="J45" s="8">
        <v>750633</v>
      </c>
      <c r="K45" s="8">
        <v>827570</v>
      </c>
      <c r="L45" s="8">
        <v>827570</v>
      </c>
      <c r="M45" s="8">
        <v>1487216</v>
      </c>
      <c r="N45" s="8">
        <v>1487216</v>
      </c>
      <c r="O45" s="9">
        <f t="shared" si="19"/>
        <v>1487216</v>
      </c>
      <c r="P45" s="8">
        <v>0</v>
      </c>
      <c r="Q45" s="8">
        <v>3549492</v>
      </c>
      <c r="R45" s="8">
        <v>3549492</v>
      </c>
      <c r="S45" s="8">
        <v>3549492</v>
      </c>
      <c r="T45" s="8">
        <v>3549492</v>
      </c>
      <c r="U45" s="8">
        <v>3788029</v>
      </c>
      <c r="V45" s="8">
        <v>4410235</v>
      </c>
      <c r="W45" s="8">
        <v>3972874</v>
      </c>
      <c r="X45" s="8">
        <v>3972874</v>
      </c>
      <c r="Y45" s="8">
        <v>1926749</v>
      </c>
      <c r="Z45" s="8">
        <v>1926749</v>
      </c>
      <c r="AA45" s="8">
        <v>1405037</v>
      </c>
      <c r="AB45" s="9">
        <f t="shared" si="20"/>
        <v>1405037</v>
      </c>
      <c r="AC45" s="8">
        <v>0</v>
      </c>
      <c r="AD45" s="8">
        <v>3247660</v>
      </c>
      <c r="AE45" s="8">
        <v>3247660</v>
      </c>
      <c r="AF45" s="8">
        <v>3247660</v>
      </c>
      <c r="AG45" s="8">
        <v>3247660</v>
      </c>
      <c r="AH45" s="8">
        <v>3247660</v>
      </c>
      <c r="AI45" s="8">
        <v>3247660</v>
      </c>
      <c r="AJ45" s="8">
        <v>3247660</v>
      </c>
      <c r="AK45" s="8">
        <v>3247660</v>
      </c>
      <c r="AL45" s="8">
        <v>3247660</v>
      </c>
      <c r="AM45" s="8">
        <v>3247660</v>
      </c>
      <c r="AN45" s="8">
        <v>2185033</v>
      </c>
      <c r="AO45" s="9">
        <f t="shared" si="21"/>
        <v>2185033</v>
      </c>
      <c r="AP45" s="8">
        <v>0</v>
      </c>
      <c r="AQ45" s="8">
        <v>0</v>
      </c>
      <c r="AR45" s="8">
        <v>5429494</v>
      </c>
      <c r="AS45" s="8">
        <v>5429494</v>
      </c>
      <c r="AT45" s="8">
        <v>5429494</v>
      </c>
      <c r="AU45" s="8">
        <v>5429494</v>
      </c>
      <c r="AV45" s="8">
        <v>5429494</v>
      </c>
      <c r="AW45" s="8">
        <v>5429494</v>
      </c>
      <c r="AX45" s="8">
        <v>5117881</v>
      </c>
      <c r="AY45" s="8">
        <v>5117881</v>
      </c>
      <c r="AZ45" s="8">
        <v>5117881</v>
      </c>
      <c r="BA45" s="8">
        <v>5117881</v>
      </c>
      <c r="BB45" s="9">
        <f t="shared" si="22"/>
        <v>5117881</v>
      </c>
      <c r="BC45" s="8">
        <v>0</v>
      </c>
      <c r="BD45" s="8">
        <v>0</v>
      </c>
      <c r="BE45" s="8">
        <v>7088322</v>
      </c>
      <c r="BF45" s="8">
        <v>7088322</v>
      </c>
      <c r="BG45" s="8">
        <v>7088322</v>
      </c>
      <c r="BH45" s="8">
        <v>7088322</v>
      </c>
      <c r="BI45" s="8">
        <v>3593921</v>
      </c>
      <c r="BJ45" s="8">
        <v>3593921</v>
      </c>
      <c r="BK45" s="8">
        <v>3593921</v>
      </c>
      <c r="BL45" s="8">
        <v>3593921</v>
      </c>
      <c r="BM45" s="8">
        <v>3744869</v>
      </c>
      <c r="BN45" s="8">
        <v>2622679</v>
      </c>
      <c r="BO45" s="9">
        <f t="shared" si="23"/>
        <v>2622679</v>
      </c>
      <c r="BP45" s="8">
        <v>0</v>
      </c>
      <c r="BQ45" s="8">
        <v>0</v>
      </c>
      <c r="BR45" s="8">
        <v>0</v>
      </c>
      <c r="BS45" s="8">
        <v>2225014</v>
      </c>
      <c r="BT45" s="8">
        <v>2225014</v>
      </c>
      <c r="BU45" s="8">
        <v>2225014</v>
      </c>
      <c r="BV45" s="8">
        <v>2225014</v>
      </c>
      <c r="BW45" s="8">
        <v>1650553</v>
      </c>
      <c r="BX45" s="8">
        <v>1650553</v>
      </c>
      <c r="BY45" s="8">
        <v>1650553</v>
      </c>
      <c r="BZ45" s="8">
        <v>1650553</v>
      </c>
      <c r="CA45" s="8">
        <v>1363609</v>
      </c>
      <c r="CB45" s="9">
        <f t="shared" si="24"/>
        <v>1363609</v>
      </c>
      <c r="CC45" s="8">
        <v>0</v>
      </c>
      <c r="CD45" s="8">
        <v>0</v>
      </c>
      <c r="CE45" s="8">
        <v>803087</v>
      </c>
      <c r="CF45" s="8">
        <v>803087</v>
      </c>
      <c r="CG45" s="8">
        <v>803087</v>
      </c>
      <c r="CH45" s="8">
        <v>1233087</v>
      </c>
      <c r="CI45" s="8">
        <v>1233087</v>
      </c>
      <c r="CJ45" s="8">
        <v>1233087</v>
      </c>
      <c r="CK45" s="8">
        <v>1233087</v>
      </c>
      <c r="CL45" s="8">
        <v>1233087</v>
      </c>
      <c r="CM45" s="8">
        <v>1233087</v>
      </c>
      <c r="CN45" s="8">
        <v>1233087</v>
      </c>
      <c r="CO45" s="9">
        <f t="shared" si="25"/>
        <v>1233087</v>
      </c>
      <c r="CP45" s="8">
        <v>0</v>
      </c>
      <c r="CQ45" s="8">
        <v>2660955</v>
      </c>
      <c r="CR45" s="8">
        <v>2660955</v>
      </c>
      <c r="CS45" s="8">
        <v>2660955</v>
      </c>
      <c r="CT45" s="8">
        <v>2660955</v>
      </c>
      <c r="CU45" s="8">
        <v>2660955</v>
      </c>
      <c r="CV45" s="8">
        <v>2660955</v>
      </c>
      <c r="CW45" s="8">
        <v>2660955</v>
      </c>
      <c r="CX45" s="8">
        <v>2660955</v>
      </c>
      <c r="CY45" s="8">
        <v>2660955</v>
      </c>
      <c r="CZ45" s="8">
        <v>2183561</v>
      </c>
      <c r="DA45" s="8">
        <v>2183561</v>
      </c>
      <c r="DB45" s="9">
        <f t="shared" si="26"/>
        <v>2183561</v>
      </c>
      <c r="DC45" s="8">
        <v>0</v>
      </c>
      <c r="DD45" s="8">
        <v>5771729</v>
      </c>
      <c r="DE45" s="8">
        <v>5771729</v>
      </c>
      <c r="DF45" s="8">
        <v>5771729</v>
      </c>
      <c r="DG45" s="8">
        <v>5771729</v>
      </c>
      <c r="DH45" s="8">
        <v>5771729</v>
      </c>
      <c r="DI45" s="8">
        <v>5771729</v>
      </c>
      <c r="DJ45" s="8">
        <v>5771729</v>
      </c>
      <c r="DK45" s="8">
        <v>4001508</v>
      </c>
      <c r="DL45" s="8">
        <v>4001508</v>
      </c>
      <c r="DM45" s="8">
        <v>1706851</v>
      </c>
      <c r="DN45" s="8">
        <v>1706851</v>
      </c>
      <c r="DO45" s="9">
        <f t="shared" si="27"/>
        <v>1706851</v>
      </c>
      <c r="DP45" s="8">
        <v>0</v>
      </c>
      <c r="DQ45" s="8">
        <v>3873629</v>
      </c>
      <c r="DR45" s="8">
        <v>3873629</v>
      </c>
      <c r="DS45" s="8">
        <v>3873629</v>
      </c>
      <c r="DT45" s="8">
        <v>3873629</v>
      </c>
      <c r="DU45" s="8">
        <v>4435938</v>
      </c>
      <c r="DV45" s="8">
        <v>4435938</v>
      </c>
      <c r="DW45" s="8">
        <v>4435938</v>
      </c>
      <c r="DX45" s="8">
        <v>4435938</v>
      </c>
      <c r="DY45" s="8">
        <v>4435938</v>
      </c>
      <c r="DZ45" s="8">
        <v>4435938</v>
      </c>
      <c r="EA45" s="8">
        <v>3219261</v>
      </c>
      <c r="EB45" s="9">
        <f t="shared" si="28"/>
        <v>3219261</v>
      </c>
      <c r="EC45" s="8">
        <v>0</v>
      </c>
      <c r="ED45" s="8">
        <v>0</v>
      </c>
      <c r="EE45" s="8">
        <v>3831000</v>
      </c>
      <c r="EF45" s="8">
        <v>3831000</v>
      </c>
      <c r="EG45" s="8">
        <v>3831000</v>
      </c>
      <c r="EH45" s="8">
        <v>3880281</v>
      </c>
      <c r="EI45" s="8">
        <v>3880281</v>
      </c>
      <c r="EJ45" s="8">
        <v>3880281</v>
      </c>
      <c r="EK45" s="8">
        <v>3921585</v>
      </c>
      <c r="EL45" s="8">
        <v>4149585</v>
      </c>
      <c r="EM45" s="8">
        <v>3920742</v>
      </c>
      <c r="EN45" s="8">
        <v>3670742</v>
      </c>
      <c r="EO45" s="9">
        <f t="shared" si="29"/>
        <v>3670742</v>
      </c>
      <c r="EP45" s="8">
        <v>0</v>
      </c>
      <c r="EQ45" s="8">
        <v>2843210</v>
      </c>
      <c r="ER45" s="8">
        <v>2843210</v>
      </c>
      <c r="ES45" s="8">
        <v>2843210</v>
      </c>
      <c r="ET45" s="8">
        <v>2843210</v>
      </c>
      <c r="EU45" s="8">
        <v>2843210</v>
      </c>
      <c r="EV45" s="8">
        <v>2843210</v>
      </c>
      <c r="EW45" s="8">
        <v>2843210</v>
      </c>
      <c r="EX45" s="8">
        <v>2843210</v>
      </c>
      <c r="EY45" s="8">
        <v>2877119</v>
      </c>
      <c r="EZ45" s="8">
        <v>2019159</v>
      </c>
      <c r="FA45" s="8">
        <v>1493716</v>
      </c>
      <c r="FB45" s="9">
        <f t="shared" si="30"/>
        <v>1493716</v>
      </c>
      <c r="FC45" s="8">
        <v>3133791</v>
      </c>
      <c r="FD45" s="8">
        <v>3133791</v>
      </c>
      <c r="FE45" s="8">
        <v>3133791</v>
      </c>
      <c r="FF45" s="8">
        <v>3133791</v>
      </c>
      <c r="FG45" s="8">
        <v>3133791</v>
      </c>
      <c r="FH45" s="8">
        <v>3133791</v>
      </c>
      <c r="FI45" s="8">
        <v>3133791</v>
      </c>
      <c r="FJ45" s="8"/>
      <c r="FK45" s="8"/>
      <c r="FL45" s="8"/>
      <c r="FM45" s="8"/>
      <c r="FN45" s="8"/>
      <c r="FO45" s="9">
        <f t="shared" si="31"/>
        <v>3133791</v>
      </c>
    </row>
    <row r="46" spans="2:171" ht="14.25" customHeight="1" x14ac:dyDescent="0.3">
      <c r="B46" s="7" t="s">
        <v>45</v>
      </c>
      <c r="C46" s="8">
        <v>274548673</v>
      </c>
      <c r="D46" s="8">
        <v>150121133</v>
      </c>
      <c r="E46" s="8">
        <v>31215164</v>
      </c>
      <c r="F46" s="8">
        <v>31215164</v>
      </c>
      <c r="G46" s="8">
        <v>31215164</v>
      </c>
      <c r="H46" s="8">
        <v>37715555</v>
      </c>
      <c r="I46" s="8">
        <v>37437770</v>
      </c>
      <c r="J46" s="8">
        <v>37437770</v>
      </c>
      <c r="K46" s="8">
        <v>249893</v>
      </c>
      <c r="L46" s="8">
        <v>249893</v>
      </c>
      <c r="M46" s="8">
        <v>12546246</v>
      </c>
      <c r="N46" s="8">
        <v>416473</v>
      </c>
      <c r="O46" s="9">
        <f t="shared" si="19"/>
        <v>416473</v>
      </c>
      <c r="P46" s="8">
        <v>528813287</v>
      </c>
      <c r="Q46" s="8">
        <v>358253969</v>
      </c>
      <c r="R46" s="8">
        <v>152865381</v>
      </c>
      <c r="S46" s="8">
        <v>124037746</v>
      </c>
      <c r="T46" s="8">
        <v>119885657</v>
      </c>
      <c r="U46" s="8">
        <v>108081968</v>
      </c>
      <c r="V46" s="8">
        <v>79852267</v>
      </c>
      <c r="W46" s="8">
        <v>82163159</v>
      </c>
      <c r="X46" s="8">
        <v>74844726</v>
      </c>
      <c r="Y46" s="8">
        <v>60792289</v>
      </c>
      <c r="Z46" s="8">
        <v>5401287</v>
      </c>
      <c r="AA46" s="8">
        <v>-6864505</v>
      </c>
      <c r="AB46" s="9">
        <f t="shared" si="20"/>
        <v>-6864505</v>
      </c>
      <c r="AC46" s="8">
        <v>497824800</v>
      </c>
      <c r="AD46" s="8">
        <v>232511416</v>
      </c>
      <c r="AE46" s="8">
        <v>209153984</v>
      </c>
      <c r="AF46" s="8">
        <v>107272608</v>
      </c>
      <c r="AG46" s="8">
        <v>49900020</v>
      </c>
      <c r="AH46" s="8">
        <v>45194077</v>
      </c>
      <c r="AI46" s="8">
        <v>24782680</v>
      </c>
      <c r="AJ46" s="8">
        <v>9231280</v>
      </c>
      <c r="AK46" s="8">
        <v>6143223</v>
      </c>
      <c r="AL46" s="8">
        <v>13151410</v>
      </c>
      <c r="AM46" s="8">
        <v>20153093</v>
      </c>
      <c r="AN46" s="8">
        <v>39813989</v>
      </c>
      <c r="AO46" s="9">
        <f t="shared" si="21"/>
        <v>39813989</v>
      </c>
      <c r="AP46" s="8">
        <v>349316570</v>
      </c>
      <c r="AQ46" s="8">
        <v>166700292</v>
      </c>
      <c r="AR46" s="8">
        <v>54265806</v>
      </c>
      <c r="AS46" s="8">
        <v>49451706</v>
      </c>
      <c r="AT46" s="8">
        <v>40784024</v>
      </c>
      <c r="AU46" s="8">
        <v>16177516</v>
      </c>
      <c r="AV46" s="8">
        <v>10305477</v>
      </c>
      <c r="AW46" s="8">
        <v>7619787</v>
      </c>
      <c r="AX46" s="8">
        <v>12091504</v>
      </c>
      <c r="AY46" s="8">
        <v>6660514</v>
      </c>
      <c r="AZ46" s="8">
        <v>6660514</v>
      </c>
      <c r="BA46" s="8">
        <v>7733812</v>
      </c>
      <c r="BB46" s="9">
        <f t="shared" si="22"/>
        <v>7733812</v>
      </c>
      <c r="BC46" s="8">
        <v>439600285</v>
      </c>
      <c r="BD46" s="8">
        <v>439600285</v>
      </c>
      <c r="BE46" s="8">
        <v>308112580</v>
      </c>
      <c r="BF46" s="8">
        <v>157413097</v>
      </c>
      <c r="BG46" s="8">
        <v>66811661</v>
      </c>
      <c r="BH46" s="8">
        <v>20245463</v>
      </c>
      <c r="BI46" s="8">
        <v>22882943</v>
      </c>
      <c r="BJ46" s="8">
        <v>6774352</v>
      </c>
      <c r="BK46" s="8">
        <v>-10059378</v>
      </c>
      <c r="BL46" s="8">
        <v>947927</v>
      </c>
      <c r="BM46" s="8">
        <v>692735</v>
      </c>
      <c r="BN46" s="8">
        <v>5158801</v>
      </c>
      <c r="BO46" s="9">
        <f t="shared" si="23"/>
        <v>5158801</v>
      </c>
      <c r="BP46" s="8">
        <v>418874044</v>
      </c>
      <c r="BQ46" s="8">
        <v>386527607</v>
      </c>
      <c r="BR46" s="8">
        <v>3457344</v>
      </c>
      <c r="BS46" s="8">
        <v>16001650</v>
      </c>
      <c r="BT46" s="8">
        <v>1554910</v>
      </c>
      <c r="BU46" s="8">
        <v>11275</v>
      </c>
      <c r="BV46" s="8">
        <v>0</v>
      </c>
      <c r="BW46" s="8">
        <v>0</v>
      </c>
      <c r="BX46" s="8">
        <v>1309068</v>
      </c>
      <c r="BY46" s="8">
        <v>1309068</v>
      </c>
      <c r="BZ46" s="8">
        <v>331587</v>
      </c>
      <c r="CA46" s="8">
        <v>1708355</v>
      </c>
      <c r="CB46" s="9">
        <f t="shared" si="24"/>
        <v>1708355</v>
      </c>
      <c r="CC46" s="8">
        <v>733952985</v>
      </c>
      <c r="CD46" s="8">
        <v>573847941</v>
      </c>
      <c r="CE46" s="8">
        <v>124149289</v>
      </c>
      <c r="CF46" s="8">
        <v>72300655</v>
      </c>
      <c r="CG46" s="8">
        <v>73061576</v>
      </c>
      <c r="CH46" s="8">
        <v>3855700</v>
      </c>
      <c r="CI46" s="8">
        <v>4244680</v>
      </c>
      <c r="CJ46" s="8">
        <v>19381846</v>
      </c>
      <c r="CK46" s="8">
        <v>2591847</v>
      </c>
      <c r="CL46" s="8">
        <v>8137191</v>
      </c>
      <c r="CM46" s="8">
        <v>48121228</v>
      </c>
      <c r="CN46" s="8">
        <v>701310</v>
      </c>
      <c r="CO46" s="9">
        <f t="shared" si="25"/>
        <v>701310</v>
      </c>
      <c r="CP46" s="8">
        <v>653979311</v>
      </c>
      <c r="CQ46" s="8">
        <v>62477958</v>
      </c>
      <c r="CR46" s="8">
        <v>38977535</v>
      </c>
      <c r="CS46" s="8">
        <v>10314489</v>
      </c>
      <c r="CT46" s="8">
        <v>13682093</v>
      </c>
      <c r="CU46" s="8">
        <v>8737222</v>
      </c>
      <c r="CV46" s="8">
        <v>12487969</v>
      </c>
      <c r="CW46" s="8">
        <v>23205049</v>
      </c>
      <c r="CX46" s="8">
        <v>23205049</v>
      </c>
      <c r="CY46" s="8">
        <v>86696492</v>
      </c>
      <c r="CZ46" s="8">
        <v>100114500</v>
      </c>
      <c r="DA46" s="8">
        <v>0</v>
      </c>
      <c r="DB46" s="9">
        <f t="shared" si="26"/>
        <v>0</v>
      </c>
      <c r="DC46" s="8">
        <v>642175866</v>
      </c>
      <c r="DD46" s="8">
        <v>166328149</v>
      </c>
      <c r="DE46" s="8">
        <v>111071146</v>
      </c>
      <c r="DF46" s="8">
        <v>111071146</v>
      </c>
      <c r="DG46" s="8">
        <v>20272961</v>
      </c>
      <c r="DH46" s="8">
        <v>17508</v>
      </c>
      <c r="DI46" s="8">
        <v>21741755</v>
      </c>
      <c r="DJ46" s="8">
        <v>21421965</v>
      </c>
      <c r="DK46" s="8">
        <v>87759254</v>
      </c>
      <c r="DL46" s="8">
        <v>84617599</v>
      </c>
      <c r="DM46" s="8">
        <v>53927937</v>
      </c>
      <c r="DN46" s="8">
        <v>0</v>
      </c>
      <c r="DO46" s="9">
        <f t="shared" si="27"/>
        <v>0</v>
      </c>
      <c r="DP46" s="8">
        <v>709260889</v>
      </c>
      <c r="DQ46" s="8">
        <v>312198013</v>
      </c>
      <c r="DR46" s="8">
        <v>271703488</v>
      </c>
      <c r="DS46" s="8">
        <v>266360982</v>
      </c>
      <c r="DT46" s="8">
        <v>214176069</v>
      </c>
      <c r="DU46" s="8">
        <v>202257983</v>
      </c>
      <c r="DV46" s="8">
        <v>142541359</v>
      </c>
      <c r="DW46" s="8">
        <v>74241870</v>
      </c>
      <c r="DX46" s="8">
        <v>74241870</v>
      </c>
      <c r="DY46" s="8">
        <v>49385560</v>
      </c>
      <c r="DZ46" s="8">
        <v>14812250</v>
      </c>
      <c r="EA46" s="8">
        <v>463</v>
      </c>
      <c r="EB46" s="9">
        <f t="shared" si="28"/>
        <v>463</v>
      </c>
      <c r="EC46" s="8">
        <v>581851338</v>
      </c>
      <c r="ED46" s="8">
        <v>28935584</v>
      </c>
      <c r="EE46" s="8">
        <v>-22048777</v>
      </c>
      <c r="EF46" s="8">
        <v>9105205</v>
      </c>
      <c r="EG46" s="8">
        <v>5262741</v>
      </c>
      <c r="EH46" s="8">
        <v>10901732</v>
      </c>
      <c r="EI46" s="8">
        <v>15558025</v>
      </c>
      <c r="EJ46" s="8">
        <v>67379</v>
      </c>
      <c r="EK46" s="8">
        <v>622246</v>
      </c>
      <c r="EL46" s="8">
        <v>28875009</v>
      </c>
      <c r="EM46" s="8">
        <v>26189376</v>
      </c>
      <c r="EN46" s="8">
        <v>0</v>
      </c>
      <c r="EO46" s="9">
        <f t="shared" si="29"/>
        <v>0</v>
      </c>
      <c r="EP46" s="8">
        <v>573366549</v>
      </c>
      <c r="EQ46" s="8">
        <v>53140143</v>
      </c>
      <c r="ER46" s="8">
        <v>41684097</v>
      </c>
      <c r="ES46" s="8">
        <v>41684097</v>
      </c>
      <c r="ET46" s="8">
        <v>15687112</v>
      </c>
      <c r="EU46" s="8">
        <v>2508407</v>
      </c>
      <c r="EV46" s="8">
        <v>1553156</v>
      </c>
      <c r="EW46" s="8">
        <v>7169832</v>
      </c>
      <c r="EX46" s="8">
        <v>10580484</v>
      </c>
      <c r="EY46" s="8">
        <v>8375929</v>
      </c>
      <c r="EZ46" s="8">
        <v>298318</v>
      </c>
      <c r="FA46" s="8">
        <v>0</v>
      </c>
      <c r="FB46" s="9">
        <f t="shared" si="30"/>
        <v>0</v>
      </c>
      <c r="FC46" s="8">
        <v>201002151</v>
      </c>
      <c r="FD46" s="8">
        <v>176224317</v>
      </c>
      <c r="FE46" s="8">
        <v>176224317</v>
      </c>
      <c r="FF46" s="8">
        <v>176224317</v>
      </c>
      <c r="FG46" s="8">
        <v>111319589</v>
      </c>
      <c r="FH46" s="8">
        <v>30121356</v>
      </c>
      <c r="FI46" s="8">
        <v>30121356</v>
      </c>
      <c r="FJ46" s="8"/>
      <c r="FK46" s="8"/>
      <c r="FL46" s="8"/>
      <c r="FM46" s="8"/>
      <c r="FN46" s="8"/>
      <c r="FO46" s="9">
        <f t="shared" si="31"/>
        <v>30121356</v>
      </c>
    </row>
    <row r="47" spans="2:171" ht="14.25" customHeight="1" x14ac:dyDescent="0.3">
      <c r="B47" s="7" t="s">
        <v>46</v>
      </c>
      <c r="C47" s="8">
        <v>0</v>
      </c>
      <c r="D47" s="8">
        <v>0</v>
      </c>
      <c r="E47" s="8">
        <v>146938</v>
      </c>
      <c r="F47" s="8">
        <v>146938</v>
      </c>
      <c r="G47" s="8">
        <v>146938</v>
      </c>
      <c r="H47" s="8">
        <v>146938</v>
      </c>
      <c r="I47" s="8">
        <v>146938</v>
      </c>
      <c r="J47" s="8">
        <v>146938</v>
      </c>
      <c r="K47" s="8">
        <v>167749</v>
      </c>
      <c r="L47" s="8">
        <v>167749</v>
      </c>
      <c r="M47" s="8">
        <v>167749</v>
      </c>
      <c r="N47" s="8">
        <v>167749</v>
      </c>
      <c r="O47" s="9">
        <f t="shared" si="19"/>
        <v>167749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419336</v>
      </c>
      <c r="V47" s="8">
        <v>559389</v>
      </c>
      <c r="W47" s="8">
        <v>559389</v>
      </c>
      <c r="X47" s="8">
        <v>559389</v>
      </c>
      <c r="Y47" s="8">
        <v>559389</v>
      </c>
      <c r="Z47" s="8">
        <v>559389</v>
      </c>
      <c r="AA47" s="8">
        <v>196429</v>
      </c>
      <c r="AB47" s="9">
        <f t="shared" si="20"/>
        <v>196429</v>
      </c>
      <c r="AC47" s="8">
        <v>0</v>
      </c>
      <c r="AD47" s="8">
        <v>1437282</v>
      </c>
      <c r="AE47" s="8">
        <v>1437282</v>
      </c>
      <c r="AF47" s="8">
        <v>1437282</v>
      </c>
      <c r="AG47" s="8">
        <v>2025995</v>
      </c>
      <c r="AH47" s="8">
        <v>2025995</v>
      </c>
      <c r="AI47" s="8">
        <v>2025995</v>
      </c>
      <c r="AJ47" s="8">
        <v>2025995</v>
      </c>
      <c r="AK47" s="8">
        <v>2102131</v>
      </c>
      <c r="AL47" s="8">
        <v>2102131</v>
      </c>
      <c r="AM47" s="8">
        <v>616651</v>
      </c>
      <c r="AN47" s="8">
        <v>616651</v>
      </c>
      <c r="AO47" s="9">
        <f t="shared" si="21"/>
        <v>616651</v>
      </c>
      <c r="AP47" s="8">
        <v>0</v>
      </c>
      <c r="AQ47" s="8">
        <v>0</v>
      </c>
      <c r="AR47" s="8">
        <v>0</v>
      </c>
      <c r="AS47" s="8">
        <v>0</v>
      </c>
      <c r="AT47" s="8">
        <v>1567112</v>
      </c>
      <c r="AU47" s="8">
        <v>1567112</v>
      </c>
      <c r="AV47" s="8">
        <v>1567112</v>
      </c>
      <c r="AW47" s="8">
        <v>1567112</v>
      </c>
      <c r="AX47" s="8">
        <v>985447</v>
      </c>
      <c r="AY47" s="8">
        <v>985447</v>
      </c>
      <c r="AZ47" s="8">
        <v>985447</v>
      </c>
      <c r="BA47" s="8">
        <v>776176</v>
      </c>
      <c r="BB47" s="9">
        <f t="shared" si="22"/>
        <v>776176</v>
      </c>
      <c r="BC47" s="8">
        <v>0</v>
      </c>
      <c r="BD47" s="8">
        <v>0</v>
      </c>
      <c r="BE47" s="8">
        <v>0</v>
      </c>
      <c r="BF47" s="8">
        <v>1796003</v>
      </c>
      <c r="BG47" s="8">
        <v>1796003</v>
      </c>
      <c r="BH47" s="8">
        <v>1796003</v>
      </c>
      <c r="BI47" s="8">
        <v>1796003</v>
      </c>
      <c r="BJ47" s="8">
        <v>1796003</v>
      </c>
      <c r="BK47" s="8">
        <v>1176839</v>
      </c>
      <c r="BL47" s="8">
        <v>1176839</v>
      </c>
      <c r="BM47" s="8">
        <v>1176839</v>
      </c>
      <c r="BN47" s="8">
        <v>1176839</v>
      </c>
      <c r="BO47" s="9">
        <f t="shared" si="23"/>
        <v>1176839</v>
      </c>
      <c r="BP47" s="8">
        <v>0</v>
      </c>
      <c r="BQ47" s="8">
        <v>0</v>
      </c>
      <c r="BR47" s="8">
        <v>0</v>
      </c>
      <c r="BS47" s="8">
        <v>0</v>
      </c>
      <c r="BT47" s="8">
        <v>411667</v>
      </c>
      <c r="BU47" s="8">
        <v>411667</v>
      </c>
      <c r="BV47" s="8">
        <v>411667</v>
      </c>
      <c r="BW47" s="8">
        <v>417070</v>
      </c>
      <c r="BX47" s="8">
        <v>417070</v>
      </c>
      <c r="BY47" s="8">
        <v>417070</v>
      </c>
      <c r="BZ47" s="8">
        <v>417070</v>
      </c>
      <c r="CA47" s="8">
        <v>417070</v>
      </c>
      <c r="CB47" s="9">
        <f t="shared" si="24"/>
        <v>417070</v>
      </c>
      <c r="CC47" s="8">
        <v>0</v>
      </c>
      <c r="CD47" s="8">
        <v>0</v>
      </c>
      <c r="CE47" s="8">
        <v>1045022</v>
      </c>
      <c r="CF47" s="8">
        <v>1045022</v>
      </c>
      <c r="CG47" s="8">
        <v>1391169</v>
      </c>
      <c r="CH47" s="8">
        <v>1391169</v>
      </c>
      <c r="CI47" s="8">
        <v>1391169</v>
      </c>
      <c r="CJ47" s="8">
        <v>1391169</v>
      </c>
      <c r="CK47" s="8">
        <v>1391169</v>
      </c>
      <c r="CL47" s="8">
        <v>1391169</v>
      </c>
      <c r="CM47" s="8">
        <v>1391169</v>
      </c>
      <c r="CN47" s="8">
        <v>1026451</v>
      </c>
      <c r="CO47" s="9">
        <f t="shared" si="25"/>
        <v>1026451</v>
      </c>
      <c r="CP47" s="8">
        <v>0</v>
      </c>
      <c r="CQ47" s="8">
        <v>0</v>
      </c>
      <c r="CR47" s="8">
        <v>427986</v>
      </c>
      <c r="CS47" s="8">
        <v>427986</v>
      </c>
      <c r="CT47" s="8">
        <v>427986</v>
      </c>
      <c r="CU47" s="8">
        <v>427986</v>
      </c>
      <c r="CV47" s="8">
        <v>427986</v>
      </c>
      <c r="CW47" s="8">
        <v>427986</v>
      </c>
      <c r="CX47" s="8">
        <v>427986</v>
      </c>
      <c r="CY47" s="8">
        <v>427986</v>
      </c>
      <c r="CZ47" s="8">
        <v>427986</v>
      </c>
      <c r="DA47" s="8">
        <v>150921</v>
      </c>
      <c r="DB47" s="9">
        <f t="shared" si="26"/>
        <v>150921</v>
      </c>
      <c r="DC47" s="8">
        <v>0</v>
      </c>
      <c r="DD47" s="8">
        <v>277067</v>
      </c>
      <c r="DE47" s="8">
        <v>277067</v>
      </c>
      <c r="DF47" s="8">
        <v>277067</v>
      </c>
      <c r="DG47" s="8">
        <v>277067</v>
      </c>
      <c r="DH47" s="8">
        <v>277067</v>
      </c>
      <c r="DI47" s="8">
        <v>277067</v>
      </c>
      <c r="DJ47" s="8">
        <v>277067</v>
      </c>
      <c r="DK47" s="8">
        <v>277067</v>
      </c>
      <c r="DL47" s="8">
        <v>277067</v>
      </c>
      <c r="DM47" s="8">
        <v>277068</v>
      </c>
      <c r="DN47" s="8">
        <v>277068</v>
      </c>
      <c r="DO47" s="9">
        <f t="shared" si="27"/>
        <v>277068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10</v>
      </c>
      <c r="EB47" s="9">
        <f t="shared" si="28"/>
        <v>10</v>
      </c>
      <c r="EC47" s="8">
        <v>0</v>
      </c>
      <c r="ED47" s="8">
        <v>0</v>
      </c>
      <c r="EE47" s="8">
        <v>0</v>
      </c>
      <c r="EF47" s="8">
        <v>664444</v>
      </c>
      <c r="EG47" s="8">
        <v>664444</v>
      </c>
      <c r="EH47" s="8">
        <v>744659</v>
      </c>
      <c r="EI47" s="8">
        <v>744659</v>
      </c>
      <c r="EJ47" s="8">
        <v>744659</v>
      </c>
      <c r="EK47" s="8">
        <v>744659</v>
      </c>
      <c r="EL47" s="8">
        <v>40227</v>
      </c>
      <c r="EM47" s="8">
        <v>40227</v>
      </c>
      <c r="EN47" s="8">
        <v>40227</v>
      </c>
      <c r="EO47" s="9">
        <f t="shared" si="29"/>
        <v>40227</v>
      </c>
      <c r="EP47" s="8">
        <v>0</v>
      </c>
      <c r="EQ47" s="8">
        <v>1899765</v>
      </c>
      <c r="ER47" s="8">
        <v>1899765</v>
      </c>
      <c r="ES47" s="8">
        <v>1899765</v>
      </c>
      <c r="ET47" s="8">
        <v>1899765</v>
      </c>
      <c r="EU47" s="8">
        <v>1899765</v>
      </c>
      <c r="EV47" s="8">
        <v>1899765</v>
      </c>
      <c r="EW47" s="8">
        <v>303882</v>
      </c>
      <c r="EX47" s="8">
        <v>303882</v>
      </c>
      <c r="EY47" s="8">
        <v>303882</v>
      </c>
      <c r="EZ47" s="8">
        <v>303882</v>
      </c>
      <c r="FA47" s="8">
        <v>11953</v>
      </c>
      <c r="FB47" s="9">
        <f t="shared" si="30"/>
        <v>11953</v>
      </c>
      <c r="FC47" s="8">
        <v>3783756</v>
      </c>
      <c r="FD47" s="8">
        <v>3783756</v>
      </c>
      <c r="FE47" s="8">
        <v>3783756</v>
      </c>
      <c r="FF47" s="8">
        <v>3783756</v>
      </c>
      <c r="FG47" s="8">
        <v>3783756</v>
      </c>
      <c r="FH47" s="8">
        <v>3783756</v>
      </c>
      <c r="FI47" s="8">
        <v>3783756</v>
      </c>
      <c r="FJ47" s="8"/>
      <c r="FK47" s="8"/>
      <c r="FL47" s="8"/>
      <c r="FM47" s="8"/>
      <c r="FN47" s="8"/>
      <c r="FO47" s="9">
        <f t="shared" si="31"/>
        <v>3783756</v>
      </c>
    </row>
    <row r="48" spans="2:171" ht="14.25" customHeight="1" x14ac:dyDescent="0.3">
      <c r="B48" s="7" t="s">
        <v>47</v>
      </c>
      <c r="C48" s="8">
        <v>0</v>
      </c>
      <c r="D48" s="8">
        <v>9330792</v>
      </c>
      <c r="E48" s="8">
        <v>12114237</v>
      </c>
      <c r="F48" s="8">
        <v>12114237</v>
      </c>
      <c r="G48" s="8">
        <v>12114237</v>
      </c>
      <c r="H48" s="8">
        <v>12114237</v>
      </c>
      <c r="I48" s="8">
        <v>12114237</v>
      </c>
      <c r="J48" s="8">
        <v>12127183</v>
      </c>
      <c r="K48" s="8">
        <v>12127183</v>
      </c>
      <c r="L48" s="8">
        <v>12127183</v>
      </c>
      <c r="M48" s="8">
        <v>4489148</v>
      </c>
      <c r="N48" s="8">
        <v>4489148</v>
      </c>
      <c r="O48" s="9">
        <f t="shared" si="19"/>
        <v>4489148</v>
      </c>
      <c r="P48" s="8">
        <v>0</v>
      </c>
      <c r="Q48" s="8">
        <v>2686505</v>
      </c>
      <c r="R48" s="8">
        <v>24386332</v>
      </c>
      <c r="S48" s="8">
        <v>24386332</v>
      </c>
      <c r="T48" s="8">
        <v>24386332</v>
      </c>
      <c r="U48" s="8">
        <v>24838693</v>
      </c>
      <c r="V48" s="8">
        <v>24838693</v>
      </c>
      <c r="W48" s="8">
        <v>25140945</v>
      </c>
      <c r="X48" s="8">
        <v>25140945</v>
      </c>
      <c r="Y48" s="8">
        <v>25309999</v>
      </c>
      <c r="Z48" s="8">
        <v>24085402</v>
      </c>
      <c r="AA48" s="8">
        <v>12068846</v>
      </c>
      <c r="AB48" s="9">
        <f t="shared" si="20"/>
        <v>12068846</v>
      </c>
      <c r="AC48" s="8">
        <v>0</v>
      </c>
      <c r="AD48" s="8">
        <v>11123386</v>
      </c>
      <c r="AE48" s="8">
        <v>11204910</v>
      </c>
      <c r="AF48" s="8">
        <v>11226518</v>
      </c>
      <c r="AG48" s="8">
        <v>11226518</v>
      </c>
      <c r="AH48" s="8">
        <v>11226518</v>
      </c>
      <c r="AI48" s="8">
        <v>11226518</v>
      </c>
      <c r="AJ48" s="8">
        <v>11226518</v>
      </c>
      <c r="AK48" s="8">
        <v>11226518</v>
      </c>
      <c r="AL48" s="8">
        <v>7677344</v>
      </c>
      <c r="AM48" s="8">
        <v>7015437</v>
      </c>
      <c r="AN48" s="8">
        <v>5076846</v>
      </c>
      <c r="AO48" s="9">
        <f t="shared" si="21"/>
        <v>5076846</v>
      </c>
      <c r="AP48" s="8">
        <v>0</v>
      </c>
      <c r="AQ48" s="8">
        <v>7310545</v>
      </c>
      <c r="AR48" s="8">
        <v>7625611</v>
      </c>
      <c r="AS48" s="8">
        <v>7625611</v>
      </c>
      <c r="AT48" s="8">
        <v>7899831</v>
      </c>
      <c r="AU48" s="8">
        <v>7961206</v>
      </c>
      <c r="AV48" s="8">
        <v>7961206</v>
      </c>
      <c r="AW48" s="8">
        <v>9736372</v>
      </c>
      <c r="AX48" s="8">
        <v>9736372</v>
      </c>
      <c r="AY48" s="8">
        <v>9826369</v>
      </c>
      <c r="AZ48" s="8">
        <v>9826369</v>
      </c>
      <c r="BA48" s="8">
        <v>9995842</v>
      </c>
      <c r="BB48" s="9">
        <f t="shared" si="22"/>
        <v>9995842</v>
      </c>
      <c r="BC48" s="8">
        <v>0</v>
      </c>
      <c r="BD48" s="8">
        <v>0</v>
      </c>
      <c r="BE48" s="8">
        <v>1594476</v>
      </c>
      <c r="BF48" s="8">
        <v>1594476</v>
      </c>
      <c r="BG48" s="8">
        <v>1594476</v>
      </c>
      <c r="BH48" s="8">
        <v>3740428</v>
      </c>
      <c r="BI48" s="8">
        <v>3740428</v>
      </c>
      <c r="BJ48" s="8">
        <v>3936840</v>
      </c>
      <c r="BK48" s="8">
        <v>3232335</v>
      </c>
      <c r="BL48" s="8">
        <v>3232335</v>
      </c>
      <c r="BM48" s="8">
        <v>3232335</v>
      </c>
      <c r="BN48" s="8">
        <v>2166427</v>
      </c>
      <c r="BO48" s="9">
        <f t="shared" si="23"/>
        <v>2166427</v>
      </c>
      <c r="BP48" s="8">
        <v>0</v>
      </c>
      <c r="BQ48" s="8">
        <v>0</v>
      </c>
      <c r="BR48" s="8">
        <v>23550759</v>
      </c>
      <c r="BS48" s="8">
        <v>23550759</v>
      </c>
      <c r="BT48" s="8">
        <v>23550759</v>
      </c>
      <c r="BU48" s="8">
        <v>21844806</v>
      </c>
      <c r="BV48" s="8">
        <v>21339907</v>
      </c>
      <c r="BW48" s="8">
        <v>21339907</v>
      </c>
      <c r="BX48" s="8">
        <v>20637777</v>
      </c>
      <c r="BY48" s="8">
        <v>20637777</v>
      </c>
      <c r="BZ48" s="8">
        <v>20637777</v>
      </c>
      <c r="CA48" s="8">
        <v>23000558</v>
      </c>
      <c r="CB48" s="9">
        <f t="shared" si="24"/>
        <v>23000558</v>
      </c>
      <c r="CC48" s="8">
        <v>0</v>
      </c>
      <c r="CD48" s="8">
        <v>0</v>
      </c>
      <c r="CE48" s="8">
        <v>43224315</v>
      </c>
      <c r="CF48" s="8">
        <v>43224315</v>
      </c>
      <c r="CG48" s="8">
        <v>43224315</v>
      </c>
      <c r="CH48" s="8">
        <v>43224315</v>
      </c>
      <c r="CI48" s="8">
        <v>43224315</v>
      </c>
      <c r="CJ48" s="8">
        <v>43224315</v>
      </c>
      <c r="CK48" s="8">
        <v>45576985</v>
      </c>
      <c r="CL48" s="8">
        <v>45627985</v>
      </c>
      <c r="CM48" s="8">
        <v>39471769</v>
      </c>
      <c r="CN48" s="8">
        <v>38865928</v>
      </c>
      <c r="CO48" s="9">
        <f t="shared" si="25"/>
        <v>38865928</v>
      </c>
      <c r="CP48" s="8">
        <v>0</v>
      </c>
      <c r="CQ48" s="8">
        <v>46961726</v>
      </c>
      <c r="CR48" s="8">
        <v>46961726</v>
      </c>
      <c r="CS48" s="8">
        <v>46961726</v>
      </c>
      <c r="CT48" s="8">
        <v>46961726</v>
      </c>
      <c r="CU48" s="8">
        <v>46961726</v>
      </c>
      <c r="CV48" s="8">
        <v>46961726</v>
      </c>
      <c r="CW48" s="8">
        <v>46961726</v>
      </c>
      <c r="CX48" s="8">
        <v>46961726</v>
      </c>
      <c r="CY48" s="8">
        <v>46807023</v>
      </c>
      <c r="CZ48" s="8">
        <v>46807023</v>
      </c>
      <c r="DA48" s="8">
        <v>28698759</v>
      </c>
      <c r="DB48" s="9">
        <f t="shared" si="26"/>
        <v>28698759</v>
      </c>
      <c r="DC48" s="8">
        <v>0</v>
      </c>
      <c r="DD48" s="8">
        <v>25034876</v>
      </c>
      <c r="DE48" s="8">
        <v>25034876</v>
      </c>
      <c r="DF48" s="8">
        <v>25034876</v>
      </c>
      <c r="DG48" s="8">
        <v>25034876</v>
      </c>
      <c r="DH48" s="8">
        <v>25374884</v>
      </c>
      <c r="DI48" s="8">
        <v>25374884</v>
      </c>
      <c r="DJ48" s="8">
        <v>25374884</v>
      </c>
      <c r="DK48" s="8">
        <v>9379245</v>
      </c>
      <c r="DL48" s="8">
        <v>9800349</v>
      </c>
      <c r="DM48" s="8">
        <v>9748221</v>
      </c>
      <c r="DN48" s="8">
        <v>7674856</v>
      </c>
      <c r="DO48" s="9">
        <f t="shared" si="27"/>
        <v>7674856</v>
      </c>
      <c r="DP48" s="8">
        <v>0</v>
      </c>
      <c r="DQ48" s="8">
        <v>24810484</v>
      </c>
      <c r="DR48" s="8">
        <v>24810484</v>
      </c>
      <c r="DS48" s="8">
        <v>24810484</v>
      </c>
      <c r="DT48" s="8">
        <v>24869844</v>
      </c>
      <c r="DU48" s="8">
        <v>24869844</v>
      </c>
      <c r="DV48" s="8">
        <v>25248939</v>
      </c>
      <c r="DW48" s="8">
        <v>24208690</v>
      </c>
      <c r="DX48" s="8">
        <v>24208690</v>
      </c>
      <c r="DY48" s="8">
        <v>24350128</v>
      </c>
      <c r="DZ48" s="8">
        <v>18475646</v>
      </c>
      <c r="EA48" s="8">
        <v>17778770</v>
      </c>
      <c r="EB48" s="9">
        <f t="shared" si="28"/>
        <v>17778770</v>
      </c>
      <c r="EC48" s="8">
        <v>0</v>
      </c>
      <c r="ED48" s="8">
        <v>14776835</v>
      </c>
      <c r="EE48" s="8">
        <v>16008220</v>
      </c>
      <c r="EF48" s="8">
        <v>16276948</v>
      </c>
      <c r="EG48" s="8">
        <v>16276948</v>
      </c>
      <c r="EH48" s="8">
        <v>16276948</v>
      </c>
      <c r="EI48" s="8">
        <v>18371513</v>
      </c>
      <c r="EJ48" s="8">
        <v>17302216</v>
      </c>
      <c r="EK48" s="8">
        <v>17302216</v>
      </c>
      <c r="EL48" s="8">
        <v>15384683</v>
      </c>
      <c r="EM48" s="8">
        <v>11016165</v>
      </c>
      <c r="EN48" s="8">
        <v>10745147</v>
      </c>
      <c r="EO48" s="9">
        <f t="shared" si="29"/>
        <v>10745147</v>
      </c>
      <c r="EP48" s="8">
        <v>0</v>
      </c>
      <c r="EQ48" s="8">
        <v>19414328</v>
      </c>
      <c r="ER48" s="8">
        <v>19414328</v>
      </c>
      <c r="ES48" s="8">
        <v>19414328</v>
      </c>
      <c r="ET48" s="8">
        <v>19414328</v>
      </c>
      <c r="EU48" s="8">
        <v>19414328</v>
      </c>
      <c r="EV48" s="8">
        <v>21993341</v>
      </c>
      <c r="EW48" s="8">
        <v>21993341</v>
      </c>
      <c r="EX48" s="8">
        <v>22644417</v>
      </c>
      <c r="EY48" s="8">
        <v>22644417</v>
      </c>
      <c r="EZ48" s="8">
        <v>22644417</v>
      </c>
      <c r="FA48" s="8">
        <v>23461897</v>
      </c>
      <c r="FB48" s="9">
        <f t="shared" si="30"/>
        <v>23461897</v>
      </c>
      <c r="FC48" s="8">
        <v>22899006</v>
      </c>
      <c r="FD48" s="8">
        <v>22899006</v>
      </c>
      <c r="FE48" s="8">
        <v>22899006</v>
      </c>
      <c r="FF48" s="8">
        <v>22899006</v>
      </c>
      <c r="FG48" s="8">
        <v>22899006</v>
      </c>
      <c r="FH48" s="8">
        <v>22899006</v>
      </c>
      <c r="FI48" s="8">
        <v>22899006</v>
      </c>
      <c r="FJ48" s="8"/>
      <c r="FK48" s="8"/>
      <c r="FL48" s="8"/>
      <c r="FM48" s="8"/>
      <c r="FN48" s="8"/>
      <c r="FO48" s="9">
        <f t="shared" si="31"/>
        <v>22899006</v>
      </c>
    </row>
    <row r="49" spans="2:171" ht="14.25" customHeight="1" x14ac:dyDescent="0.3">
      <c r="B49" s="7" t="s">
        <v>48</v>
      </c>
      <c r="C49" s="8">
        <v>0</v>
      </c>
      <c r="D49" s="8">
        <v>0</v>
      </c>
      <c r="E49" s="8">
        <v>3169356</v>
      </c>
      <c r="F49" s="8">
        <v>3169356</v>
      </c>
      <c r="G49" s="8">
        <v>3169356</v>
      </c>
      <c r="H49" s="8">
        <v>3169356</v>
      </c>
      <c r="I49" s="8">
        <v>3169356</v>
      </c>
      <c r="J49" s="8">
        <v>3169356</v>
      </c>
      <c r="K49" s="8">
        <v>3169356</v>
      </c>
      <c r="L49" s="8">
        <v>3169356</v>
      </c>
      <c r="M49" s="8">
        <v>2417883</v>
      </c>
      <c r="N49" s="8">
        <v>2417883</v>
      </c>
      <c r="O49" s="9">
        <f t="shared" si="19"/>
        <v>2417883</v>
      </c>
      <c r="P49" s="8">
        <v>0</v>
      </c>
      <c r="Q49" s="8">
        <v>0</v>
      </c>
      <c r="R49" s="8">
        <v>8626880</v>
      </c>
      <c r="S49" s="8">
        <v>8128929</v>
      </c>
      <c r="T49" s="8">
        <v>8148822</v>
      </c>
      <c r="U49" s="8">
        <v>8591077</v>
      </c>
      <c r="V49" s="8">
        <v>8980944</v>
      </c>
      <c r="W49" s="8">
        <v>8980944</v>
      </c>
      <c r="X49" s="8">
        <v>18799697</v>
      </c>
      <c r="Y49" s="8">
        <v>18799697</v>
      </c>
      <c r="Z49" s="8">
        <v>19025203</v>
      </c>
      <c r="AA49" s="8">
        <v>19025203</v>
      </c>
      <c r="AB49" s="9">
        <f t="shared" si="20"/>
        <v>19025203</v>
      </c>
      <c r="AC49" s="8">
        <v>0</v>
      </c>
      <c r="AD49" s="8">
        <v>1189930</v>
      </c>
      <c r="AE49" s="8">
        <v>1189930</v>
      </c>
      <c r="AF49" s="8">
        <v>21881976</v>
      </c>
      <c r="AG49" s="8">
        <v>21881976</v>
      </c>
      <c r="AH49" s="8">
        <v>21881976</v>
      </c>
      <c r="AI49" s="8">
        <v>22465335</v>
      </c>
      <c r="AJ49" s="8">
        <v>22465335</v>
      </c>
      <c r="AK49" s="8">
        <v>22465335</v>
      </c>
      <c r="AL49" s="8">
        <v>22465335</v>
      </c>
      <c r="AM49" s="8">
        <v>17839555</v>
      </c>
      <c r="AN49" s="8">
        <v>17583523</v>
      </c>
      <c r="AO49" s="9">
        <f t="shared" si="21"/>
        <v>17583523</v>
      </c>
      <c r="AP49" s="8">
        <v>0</v>
      </c>
      <c r="AQ49" s="8">
        <v>619993</v>
      </c>
      <c r="AR49" s="8">
        <v>619993</v>
      </c>
      <c r="AS49" s="8">
        <v>1168432</v>
      </c>
      <c r="AT49" s="8">
        <v>5168432</v>
      </c>
      <c r="AU49" s="8">
        <v>29442306</v>
      </c>
      <c r="AV49" s="8">
        <v>29442306</v>
      </c>
      <c r="AW49" s="8">
        <v>29442306</v>
      </c>
      <c r="AX49" s="8">
        <v>29442306</v>
      </c>
      <c r="AY49" s="8">
        <v>25719657</v>
      </c>
      <c r="AZ49" s="8">
        <v>25719657</v>
      </c>
      <c r="BA49" s="8">
        <v>39734626</v>
      </c>
      <c r="BB49" s="9">
        <f t="shared" si="22"/>
        <v>39734626</v>
      </c>
      <c r="BC49" s="8">
        <v>4104000</v>
      </c>
      <c r="BD49" s="8">
        <v>4104000</v>
      </c>
      <c r="BE49" s="8">
        <v>7244308</v>
      </c>
      <c r="BF49" s="8">
        <v>7244308</v>
      </c>
      <c r="BG49" s="8">
        <v>24288326</v>
      </c>
      <c r="BH49" s="8">
        <v>24288326</v>
      </c>
      <c r="BI49" s="8">
        <v>24288326</v>
      </c>
      <c r="BJ49" s="8">
        <v>24288326</v>
      </c>
      <c r="BK49" s="8">
        <v>23970739</v>
      </c>
      <c r="BL49" s="8">
        <v>19359839</v>
      </c>
      <c r="BM49" s="8">
        <v>19255839</v>
      </c>
      <c r="BN49" s="8">
        <v>16135811</v>
      </c>
      <c r="BO49" s="9">
        <f t="shared" si="23"/>
        <v>16135811</v>
      </c>
      <c r="BP49" s="8">
        <v>0</v>
      </c>
      <c r="BQ49" s="8">
        <v>0</v>
      </c>
      <c r="BR49" s="8">
        <v>9974536</v>
      </c>
      <c r="BS49" s="8">
        <v>9974536</v>
      </c>
      <c r="BT49" s="8">
        <v>9974536</v>
      </c>
      <c r="BU49" s="8">
        <v>9974536</v>
      </c>
      <c r="BV49" s="8">
        <v>9974536</v>
      </c>
      <c r="BW49" s="8">
        <v>9858013</v>
      </c>
      <c r="BX49" s="8">
        <v>9858013</v>
      </c>
      <c r="BY49" s="8">
        <v>9858013</v>
      </c>
      <c r="BZ49" s="8">
        <v>9858013</v>
      </c>
      <c r="CA49" s="8">
        <v>9458568</v>
      </c>
      <c r="CB49" s="9">
        <f t="shared" si="24"/>
        <v>9458568</v>
      </c>
      <c r="CC49" s="8">
        <v>0</v>
      </c>
      <c r="CD49" s="8">
        <v>0</v>
      </c>
      <c r="CE49" s="8">
        <v>659657</v>
      </c>
      <c r="CF49" s="8">
        <v>5524930</v>
      </c>
      <c r="CG49" s="8">
        <v>5524930</v>
      </c>
      <c r="CH49" s="8">
        <v>5542363</v>
      </c>
      <c r="CI49" s="8">
        <v>5542363</v>
      </c>
      <c r="CJ49" s="8">
        <v>5542363</v>
      </c>
      <c r="CK49" s="8">
        <v>5542363</v>
      </c>
      <c r="CL49" s="8">
        <v>5542363</v>
      </c>
      <c r="CM49" s="8">
        <v>5299317</v>
      </c>
      <c r="CN49" s="8">
        <v>1256956</v>
      </c>
      <c r="CO49" s="9">
        <f t="shared" si="25"/>
        <v>1256956</v>
      </c>
      <c r="CP49" s="8">
        <v>0</v>
      </c>
      <c r="CQ49" s="8">
        <v>0</v>
      </c>
      <c r="CR49" s="8">
        <v>510743</v>
      </c>
      <c r="CS49" s="8">
        <v>510743</v>
      </c>
      <c r="CT49" s="8">
        <v>510743</v>
      </c>
      <c r="CU49" s="8">
        <v>840656</v>
      </c>
      <c r="CV49" s="8">
        <v>840656</v>
      </c>
      <c r="CW49" s="8">
        <v>840656</v>
      </c>
      <c r="CX49" s="8">
        <v>840656</v>
      </c>
      <c r="CY49" s="8">
        <v>831012</v>
      </c>
      <c r="CZ49" s="8">
        <v>831012</v>
      </c>
      <c r="DA49" s="8">
        <v>738988</v>
      </c>
      <c r="DB49" s="9">
        <f t="shared" si="26"/>
        <v>738988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41470</v>
      </c>
      <c r="DJ49" s="8">
        <v>41470</v>
      </c>
      <c r="DK49" s="8">
        <v>41470</v>
      </c>
      <c r="DL49" s="8">
        <v>41470</v>
      </c>
      <c r="DM49" s="8">
        <v>41470</v>
      </c>
      <c r="DN49" s="8">
        <v>6490</v>
      </c>
      <c r="DO49" s="9">
        <f t="shared" si="27"/>
        <v>6490</v>
      </c>
      <c r="DP49" s="8">
        <v>0</v>
      </c>
      <c r="DQ49" s="8">
        <v>34980</v>
      </c>
      <c r="DR49" s="8">
        <v>34980</v>
      </c>
      <c r="DS49" s="8">
        <v>34980</v>
      </c>
      <c r="DT49" s="8">
        <v>34980</v>
      </c>
      <c r="DU49" s="8">
        <v>34980</v>
      </c>
      <c r="DV49" s="8">
        <v>34980</v>
      </c>
      <c r="DW49" s="8">
        <v>34980</v>
      </c>
      <c r="DX49" s="8">
        <v>34980</v>
      </c>
      <c r="DY49" s="8">
        <v>101007</v>
      </c>
      <c r="DZ49" s="8">
        <v>126276</v>
      </c>
      <c r="EA49" s="8">
        <v>126286</v>
      </c>
      <c r="EB49" s="9">
        <f t="shared" si="28"/>
        <v>126286</v>
      </c>
      <c r="EC49" s="8">
        <v>0</v>
      </c>
      <c r="ED49" s="8">
        <v>516417</v>
      </c>
      <c r="EE49" s="8">
        <v>516417</v>
      </c>
      <c r="EF49" s="8">
        <v>516417</v>
      </c>
      <c r="EG49" s="8">
        <v>516417</v>
      </c>
      <c r="EH49" s="8">
        <v>516417</v>
      </c>
      <c r="EI49" s="8">
        <v>516417</v>
      </c>
      <c r="EJ49" s="8">
        <v>676071</v>
      </c>
      <c r="EK49" s="8">
        <v>676071</v>
      </c>
      <c r="EL49" s="8">
        <v>737349</v>
      </c>
      <c r="EM49" s="8">
        <v>372584</v>
      </c>
      <c r="EN49" s="8">
        <v>361585</v>
      </c>
      <c r="EO49" s="9">
        <f t="shared" si="29"/>
        <v>361585</v>
      </c>
      <c r="EP49" s="8">
        <v>0</v>
      </c>
      <c r="EQ49" s="8">
        <v>3180410</v>
      </c>
      <c r="ER49" s="8">
        <v>3180410</v>
      </c>
      <c r="ES49" s="8">
        <v>3180410</v>
      </c>
      <c r="ET49" s="8">
        <v>3180410</v>
      </c>
      <c r="EU49" s="8">
        <v>3180410</v>
      </c>
      <c r="EV49" s="8">
        <v>3408370</v>
      </c>
      <c r="EW49" s="8">
        <v>3408370</v>
      </c>
      <c r="EX49" s="8">
        <v>3408370</v>
      </c>
      <c r="EY49" s="8">
        <v>3408370</v>
      </c>
      <c r="EZ49" s="8">
        <v>481841</v>
      </c>
      <c r="FA49" s="8">
        <v>3808031</v>
      </c>
      <c r="FB49" s="9">
        <f t="shared" si="30"/>
        <v>3808031</v>
      </c>
      <c r="FC49" s="8">
        <v>3191908</v>
      </c>
      <c r="FD49" s="8">
        <v>3191908</v>
      </c>
      <c r="FE49" s="8">
        <v>3191908</v>
      </c>
      <c r="FF49" s="8">
        <v>3191908</v>
      </c>
      <c r="FG49" s="8">
        <v>3191908</v>
      </c>
      <c r="FH49" s="8">
        <v>3368346</v>
      </c>
      <c r="FI49" s="8">
        <v>3368346</v>
      </c>
      <c r="FJ49" s="8"/>
      <c r="FK49" s="8"/>
      <c r="FL49" s="8"/>
      <c r="FM49" s="8"/>
      <c r="FN49" s="8"/>
      <c r="FO49" s="9">
        <f t="shared" si="31"/>
        <v>3368346</v>
      </c>
    </row>
    <row r="50" spans="2:171" ht="14.25" customHeight="1" x14ac:dyDescent="0.3">
      <c r="B50" s="7" t="s">
        <v>49</v>
      </c>
      <c r="C50" s="8">
        <v>0</v>
      </c>
      <c r="D50" s="8">
        <v>2641266</v>
      </c>
      <c r="E50" s="8">
        <v>2641266</v>
      </c>
      <c r="F50" s="8">
        <v>2641266</v>
      </c>
      <c r="G50" s="8">
        <v>2641266</v>
      </c>
      <c r="H50" s="8">
        <v>2641266</v>
      </c>
      <c r="I50" s="8">
        <v>2641266</v>
      </c>
      <c r="J50" s="8">
        <v>2641266</v>
      </c>
      <c r="K50" s="8">
        <v>2641266</v>
      </c>
      <c r="L50" s="8">
        <v>2641266</v>
      </c>
      <c r="M50" s="8">
        <v>4210322</v>
      </c>
      <c r="N50" s="8">
        <v>4210322</v>
      </c>
      <c r="O50" s="9">
        <f t="shared" si="19"/>
        <v>4210322</v>
      </c>
      <c r="P50" s="8">
        <v>0</v>
      </c>
      <c r="Q50" s="8">
        <v>3537372</v>
      </c>
      <c r="R50" s="8">
        <v>3537372</v>
      </c>
      <c r="S50" s="8">
        <v>3546863</v>
      </c>
      <c r="T50" s="8">
        <v>3546863</v>
      </c>
      <c r="U50" s="8">
        <v>3546863</v>
      </c>
      <c r="V50" s="8">
        <v>3546863</v>
      </c>
      <c r="W50" s="8">
        <v>5764045</v>
      </c>
      <c r="X50" s="8">
        <v>5764045</v>
      </c>
      <c r="Y50" s="8">
        <v>5764045</v>
      </c>
      <c r="Z50" s="8">
        <v>6059318</v>
      </c>
      <c r="AA50" s="8">
        <v>7177293</v>
      </c>
      <c r="AB50" s="9">
        <f t="shared" si="20"/>
        <v>7177293</v>
      </c>
      <c r="AC50" s="8">
        <v>0</v>
      </c>
      <c r="AD50" s="8">
        <v>5239778</v>
      </c>
      <c r="AE50" s="8">
        <v>5239778</v>
      </c>
      <c r="AF50" s="8">
        <v>5239778</v>
      </c>
      <c r="AG50" s="8">
        <v>5328458</v>
      </c>
      <c r="AH50" s="8">
        <v>5328458</v>
      </c>
      <c r="AI50" s="8">
        <v>5328458</v>
      </c>
      <c r="AJ50" s="8">
        <v>5328458</v>
      </c>
      <c r="AK50" s="8">
        <v>5328458</v>
      </c>
      <c r="AL50" s="8">
        <v>5328458</v>
      </c>
      <c r="AM50" s="8">
        <v>5492902</v>
      </c>
      <c r="AN50" s="8">
        <v>6438977</v>
      </c>
      <c r="AO50" s="9">
        <f t="shared" si="21"/>
        <v>6438977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35657</v>
      </c>
      <c r="AV50" s="8">
        <v>35657</v>
      </c>
      <c r="AW50" s="8">
        <v>35657</v>
      </c>
      <c r="AX50" s="8">
        <v>35657</v>
      </c>
      <c r="AY50" s="8">
        <v>35657</v>
      </c>
      <c r="AZ50" s="8">
        <v>35657</v>
      </c>
      <c r="BA50" s="8">
        <v>184164</v>
      </c>
      <c r="BB50" s="9">
        <f t="shared" si="22"/>
        <v>184164</v>
      </c>
      <c r="BC50" s="8">
        <v>0</v>
      </c>
      <c r="BD50" s="8">
        <v>0</v>
      </c>
      <c r="BE50" s="8">
        <v>7846290</v>
      </c>
      <c r="BF50" s="8">
        <v>7987290</v>
      </c>
      <c r="BG50" s="8">
        <v>7987290</v>
      </c>
      <c r="BH50" s="8">
        <v>7987290</v>
      </c>
      <c r="BI50" s="8">
        <v>7987290</v>
      </c>
      <c r="BJ50" s="8">
        <v>3757264</v>
      </c>
      <c r="BK50" s="8">
        <v>3757264</v>
      </c>
      <c r="BL50" s="8">
        <v>3757264</v>
      </c>
      <c r="BM50" s="8">
        <v>3757264</v>
      </c>
      <c r="BN50" s="8">
        <v>179417</v>
      </c>
      <c r="BO50" s="9">
        <f t="shared" si="23"/>
        <v>179417</v>
      </c>
      <c r="BP50" s="8">
        <v>0</v>
      </c>
      <c r="BQ50" s="8">
        <v>0</v>
      </c>
      <c r="BR50" s="8">
        <v>2875419</v>
      </c>
      <c r="BS50" s="8">
        <v>2875419</v>
      </c>
      <c r="BT50" s="8">
        <v>2875419</v>
      </c>
      <c r="BU50" s="8">
        <v>2875419</v>
      </c>
      <c r="BV50" s="8">
        <v>1345290</v>
      </c>
      <c r="BW50" s="8">
        <v>471574</v>
      </c>
      <c r="BX50" s="8">
        <v>471574</v>
      </c>
      <c r="BY50" s="8">
        <v>471574</v>
      </c>
      <c r="BZ50" s="8">
        <v>471574</v>
      </c>
      <c r="CA50" s="8">
        <v>202802</v>
      </c>
      <c r="CB50" s="9">
        <f t="shared" si="24"/>
        <v>202802</v>
      </c>
      <c r="CC50" s="8">
        <v>0</v>
      </c>
      <c r="CD50" s="8">
        <v>2492104</v>
      </c>
      <c r="CE50" s="8">
        <v>4964848</v>
      </c>
      <c r="CF50" s="8">
        <v>5213320</v>
      </c>
      <c r="CG50" s="8">
        <v>5213320</v>
      </c>
      <c r="CH50" s="8">
        <v>5213320</v>
      </c>
      <c r="CI50" s="8">
        <v>5830861</v>
      </c>
      <c r="CJ50" s="8">
        <v>5830861</v>
      </c>
      <c r="CK50" s="8">
        <v>5838195</v>
      </c>
      <c r="CL50" s="8">
        <v>5838195</v>
      </c>
      <c r="CM50" s="8">
        <v>5834329</v>
      </c>
      <c r="CN50" s="8">
        <v>5146527</v>
      </c>
      <c r="CO50" s="9">
        <f t="shared" si="25"/>
        <v>5146527</v>
      </c>
      <c r="CP50" s="8">
        <v>0</v>
      </c>
      <c r="CQ50" s="8">
        <v>7781605</v>
      </c>
      <c r="CR50" s="8">
        <v>7781605</v>
      </c>
      <c r="CS50" s="8">
        <v>7781605</v>
      </c>
      <c r="CT50" s="8">
        <v>7781605</v>
      </c>
      <c r="CU50" s="8">
        <v>13029086</v>
      </c>
      <c r="CV50" s="8">
        <v>12015839</v>
      </c>
      <c r="CW50" s="8">
        <v>12015839</v>
      </c>
      <c r="CX50" s="8">
        <v>12015839</v>
      </c>
      <c r="CY50" s="8">
        <v>3499181</v>
      </c>
      <c r="CZ50" s="8">
        <v>3499181</v>
      </c>
      <c r="DA50" s="8">
        <v>3495147</v>
      </c>
      <c r="DB50" s="9">
        <f t="shared" si="26"/>
        <v>3495147</v>
      </c>
      <c r="DC50" s="8">
        <v>0</v>
      </c>
      <c r="DD50" s="8">
        <v>6510718</v>
      </c>
      <c r="DE50" s="8">
        <v>6510718</v>
      </c>
      <c r="DF50" s="8">
        <v>6510718</v>
      </c>
      <c r="DG50" s="8">
        <v>6510718</v>
      </c>
      <c r="DH50" s="8">
        <v>5241843</v>
      </c>
      <c r="DI50" s="8">
        <v>3391074</v>
      </c>
      <c r="DJ50" s="8">
        <v>3391074</v>
      </c>
      <c r="DK50" s="8">
        <v>3391074</v>
      </c>
      <c r="DL50" s="8">
        <v>3391074</v>
      </c>
      <c r="DM50" s="8">
        <v>500372</v>
      </c>
      <c r="DN50" s="8">
        <v>500372</v>
      </c>
      <c r="DO50" s="9">
        <f t="shared" si="27"/>
        <v>500372</v>
      </c>
      <c r="DP50" s="8">
        <v>0</v>
      </c>
      <c r="DQ50" s="8">
        <v>2286234</v>
      </c>
      <c r="DR50" s="8">
        <v>2286234</v>
      </c>
      <c r="DS50" s="8">
        <v>2286234</v>
      </c>
      <c r="DT50" s="8">
        <v>2286234</v>
      </c>
      <c r="DU50" s="8">
        <v>2822620</v>
      </c>
      <c r="DV50" s="8">
        <v>3113391</v>
      </c>
      <c r="DW50" s="8">
        <v>3149621</v>
      </c>
      <c r="DX50" s="8">
        <v>3149621</v>
      </c>
      <c r="DY50" s="8">
        <v>3149621</v>
      </c>
      <c r="DZ50" s="8">
        <v>2694759</v>
      </c>
      <c r="EA50" s="8">
        <v>1914003</v>
      </c>
      <c r="EB50" s="9">
        <f t="shared" si="28"/>
        <v>1914003</v>
      </c>
      <c r="EC50" s="8">
        <v>0</v>
      </c>
      <c r="ED50" s="8">
        <v>9351608</v>
      </c>
      <c r="EE50" s="8">
        <v>10474268</v>
      </c>
      <c r="EF50" s="8">
        <v>10622073</v>
      </c>
      <c r="EG50" s="8">
        <v>10622073</v>
      </c>
      <c r="EH50" s="8">
        <v>10622073</v>
      </c>
      <c r="EI50" s="8">
        <v>9056514</v>
      </c>
      <c r="EJ50" s="8">
        <v>9056514</v>
      </c>
      <c r="EK50" s="8">
        <v>10477544</v>
      </c>
      <c r="EL50" s="8">
        <v>9210176</v>
      </c>
      <c r="EM50" s="8">
        <v>8848694</v>
      </c>
      <c r="EN50" s="8">
        <v>8848694</v>
      </c>
      <c r="EO50" s="9">
        <f t="shared" si="29"/>
        <v>8848694</v>
      </c>
      <c r="EP50" s="8">
        <v>0</v>
      </c>
      <c r="EQ50" s="8">
        <v>18012526</v>
      </c>
      <c r="ER50" s="8">
        <v>18012526</v>
      </c>
      <c r="ES50" s="8">
        <v>18012526</v>
      </c>
      <c r="ET50" s="8">
        <v>19119938</v>
      </c>
      <c r="EU50" s="8">
        <v>19119938</v>
      </c>
      <c r="EV50" s="8">
        <v>19119938</v>
      </c>
      <c r="EW50" s="8">
        <v>19119938</v>
      </c>
      <c r="EX50" s="8">
        <v>25642997</v>
      </c>
      <c r="EY50" s="8">
        <v>25642997</v>
      </c>
      <c r="EZ50" s="8">
        <v>25642997</v>
      </c>
      <c r="FA50" s="8">
        <v>24091722</v>
      </c>
      <c r="FB50" s="9">
        <f t="shared" si="30"/>
        <v>24091722</v>
      </c>
      <c r="FC50" s="8">
        <v>14546113</v>
      </c>
      <c r="FD50" s="8">
        <v>14546113</v>
      </c>
      <c r="FE50" s="8">
        <v>14546113</v>
      </c>
      <c r="FF50" s="8">
        <v>14546113</v>
      </c>
      <c r="FG50" s="8">
        <v>14546113</v>
      </c>
      <c r="FH50" s="8">
        <v>14546113</v>
      </c>
      <c r="FI50" s="8">
        <v>14546113</v>
      </c>
      <c r="FJ50" s="8"/>
      <c r="FK50" s="8"/>
      <c r="FL50" s="8"/>
      <c r="FM50" s="8"/>
      <c r="FN50" s="8"/>
      <c r="FO50" s="9">
        <f t="shared" si="31"/>
        <v>14546113</v>
      </c>
    </row>
    <row r="51" spans="2:171" ht="14.25" customHeight="1" x14ac:dyDescent="0.3">
      <c r="B51" s="7" t="s">
        <v>50</v>
      </c>
      <c r="C51" s="8">
        <v>0</v>
      </c>
      <c r="D51" s="8">
        <v>345904</v>
      </c>
      <c r="E51" s="8">
        <v>4454874</v>
      </c>
      <c r="F51" s="8">
        <v>4454874</v>
      </c>
      <c r="G51" s="8">
        <v>4454874</v>
      </c>
      <c r="H51" s="8">
        <v>4454874</v>
      </c>
      <c r="I51" s="8">
        <v>4454874</v>
      </c>
      <c r="J51" s="8">
        <v>4454874</v>
      </c>
      <c r="K51" s="8">
        <v>4454874</v>
      </c>
      <c r="L51" s="8">
        <v>4454874</v>
      </c>
      <c r="M51" s="8">
        <v>1397898</v>
      </c>
      <c r="N51" s="8">
        <v>1397898</v>
      </c>
      <c r="O51" s="9">
        <f t="shared" si="19"/>
        <v>1397898</v>
      </c>
      <c r="P51" s="8">
        <v>0</v>
      </c>
      <c r="Q51" s="8">
        <v>1959512</v>
      </c>
      <c r="R51" s="8">
        <v>29207336</v>
      </c>
      <c r="S51" s="8">
        <v>29207336</v>
      </c>
      <c r="T51" s="8">
        <v>29207336</v>
      </c>
      <c r="U51" s="8">
        <v>29595225</v>
      </c>
      <c r="V51" s="8">
        <v>31607082</v>
      </c>
      <c r="W51" s="8">
        <v>32938652</v>
      </c>
      <c r="X51" s="8">
        <v>32938652</v>
      </c>
      <c r="Y51" s="8">
        <v>32938652</v>
      </c>
      <c r="Z51" s="8">
        <v>30368502</v>
      </c>
      <c r="AA51" s="8">
        <v>32433196</v>
      </c>
      <c r="AB51" s="9">
        <f t="shared" si="20"/>
        <v>32433196</v>
      </c>
      <c r="AC51" s="8">
        <v>0</v>
      </c>
      <c r="AD51" s="8">
        <v>22924268</v>
      </c>
      <c r="AE51" s="8">
        <v>22924268</v>
      </c>
      <c r="AF51" s="8">
        <v>34137329</v>
      </c>
      <c r="AG51" s="8">
        <v>34945433</v>
      </c>
      <c r="AH51" s="8">
        <v>38549075</v>
      </c>
      <c r="AI51" s="8">
        <v>40544693</v>
      </c>
      <c r="AJ51" s="8">
        <v>40544693</v>
      </c>
      <c r="AK51" s="8">
        <v>40544693</v>
      </c>
      <c r="AL51" s="8">
        <v>39796581</v>
      </c>
      <c r="AM51" s="8">
        <v>39796581</v>
      </c>
      <c r="AN51" s="8">
        <v>33732703</v>
      </c>
      <c r="AO51" s="9">
        <f t="shared" si="21"/>
        <v>33732703</v>
      </c>
      <c r="AP51" s="8">
        <v>0</v>
      </c>
      <c r="AQ51" s="8">
        <v>10642316</v>
      </c>
      <c r="AR51" s="8">
        <v>31177412</v>
      </c>
      <c r="AS51" s="8">
        <v>31223104</v>
      </c>
      <c r="AT51" s="8">
        <v>31223104</v>
      </c>
      <c r="AU51" s="8">
        <v>31684092</v>
      </c>
      <c r="AV51" s="8">
        <v>32047649</v>
      </c>
      <c r="AW51" s="8">
        <v>32047649</v>
      </c>
      <c r="AX51" s="8">
        <v>32063275</v>
      </c>
      <c r="AY51" s="8">
        <v>34825129</v>
      </c>
      <c r="AZ51" s="8">
        <v>34825129</v>
      </c>
      <c r="BA51" s="8">
        <v>39387368</v>
      </c>
      <c r="BB51" s="9">
        <f t="shared" si="22"/>
        <v>39387368</v>
      </c>
      <c r="BC51" s="8">
        <v>0</v>
      </c>
      <c r="BD51" s="8">
        <v>0</v>
      </c>
      <c r="BE51" s="8">
        <v>3596099</v>
      </c>
      <c r="BF51" s="8">
        <v>31372988</v>
      </c>
      <c r="BG51" s="8">
        <v>31372988</v>
      </c>
      <c r="BH51" s="8">
        <v>33133147</v>
      </c>
      <c r="BI51" s="8">
        <v>33133147</v>
      </c>
      <c r="BJ51" s="8">
        <v>31916936</v>
      </c>
      <c r="BK51" s="8">
        <v>31233271</v>
      </c>
      <c r="BL51" s="8">
        <v>31233271</v>
      </c>
      <c r="BM51" s="8">
        <v>31233271</v>
      </c>
      <c r="BN51" s="8">
        <v>33998210</v>
      </c>
      <c r="BO51" s="9">
        <f t="shared" si="23"/>
        <v>33998210</v>
      </c>
      <c r="BP51" s="8">
        <v>0</v>
      </c>
      <c r="BQ51" s="8">
        <v>0</v>
      </c>
      <c r="BR51" s="8">
        <v>7711373</v>
      </c>
      <c r="BS51" s="8">
        <v>8159373</v>
      </c>
      <c r="BT51" s="8">
        <v>19850079</v>
      </c>
      <c r="BU51" s="8">
        <v>33035158</v>
      </c>
      <c r="BV51" s="8">
        <v>34001547</v>
      </c>
      <c r="BW51" s="8">
        <v>42902399</v>
      </c>
      <c r="BX51" s="8">
        <v>43252598</v>
      </c>
      <c r="BY51" s="8">
        <v>43252598</v>
      </c>
      <c r="BZ51" s="8">
        <v>43380504</v>
      </c>
      <c r="CA51" s="8">
        <v>42990744</v>
      </c>
      <c r="CB51" s="9">
        <f t="shared" si="24"/>
        <v>42990744</v>
      </c>
      <c r="CC51" s="8">
        <v>0</v>
      </c>
      <c r="CD51" s="8">
        <v>3548906</v>
      </c>
      <c r="CE51" s="8">
        <v>27589071</v>
      </c>
      <c r="CF51" s="8">
        <v>27769405</v>
      </c>
      <c r="CG51" s="8">
        <v>27786080</v>
      </c>
      <c r="CH51" s="8">
        <v>27786080</v>
      </c>
      <c r="CI51" s="8">
        <v>27786080</v>
      </c>
      <c r="CJ51" s="8">
        <v>27786080</v>
      </c>
      <c r="CK51" s="8">
        <v>36726968</v>
      </c>
      <c r="CL51" s="8">
        <v>36726968</v>
      </c>
      <c r="CM51" s="8">
        <v>36667691</v>
      </c>
      <c r="CN51" s="8">
        <v>34799647</v>
      </c>
      <c r="CO51" s="9">
        <f t="shared" si="25"/>
        <v>34799647</v>
      </c>
      <c r="CP51" s="8">
        <v>0</v>
      </c>
      <c r="CQ51" s="8">
        <v>25983059</v>
      </c>
      <c r="CR51" s="8">
        <v>25983059</v>
      </c>
      <c r="CS51" s="8">
        <v>25983059</v>
      </c>
      <c r="CT51" s="8">
        <v>25983059</v>
      </c>
      <c r="CU51" s="8">
        <v>25983059</v>
      </c>
      <c r="CV51" s="8">
        <v>25983059</v>
      </c>
      <c r="CW51" s="8">
        <v>25983059</v>
      </c>
      <c r="CX51" s="8">
        <v>25983059</v>
      </c>
      <c r="CY51" s="8">
        <v>23060165</v>
      </c>
      <c r="CZ51" s="8">
        <v>23060165</v>
      </c>
      <c r="DA51" s="8">
        <v>19776064</v>
      </c>
      <c r="DB51" s="9">
        <f t="shared" si="26"/>
        <v>19776064</v>
      </c>
      <c r="DC51" s="8">
        <v>0</v>
      </c>
      <c r="DD51" s="8">
        <v>5175093</v>
      </c>
      <c r="DE51" s="8">
        <v>11939315</v>
      </c>
      <c r="DF51" s="8">
        <v>11939315</v>
      </c>
      <c r="DG51" s="8">
        <v>11939315</v>
      </c>
      <c r="DH51" s="8">
        <v>11939315</v>
      </c>
      <c r="DI51" s="8">
        <v>11945115</v>
      </c>
      <c r="DJ51" s="8">
        <v>11945115</v>
      </c>
      <c r="DK51" s="8">
        <v>12989257</v>
      </c>
      <c r="DL51" s="8">
        <v>9044189</v>
      </c>
      <c r="DM51" s="8">
        <v>9044189</v>
      </c>
      <c r="DN51" s="8">
        <v>5887868</v>
      </c>
      <c r="DO51" s="9">
        <f t="shared" si="27"/>
        <v>5887868</v>
      </c>
      <c r="DP51" s="8">
        <v>0</v>
      </c>
      <c r="DQ51" s="8">
        <v>742082</v>
      </c>
      <c r="DR51" s="8">
        <v>1842082</v>
      </c>
      <c r="DS51" s="8">
        <v>1842082</v>
      </c>
      <c r="DT51" s="8">
        <v>1842082</v>
      </c>
      <c r="DU51" s="8">
        <v>2332216</v>
      </c>
      <c r="DV51" s="8">
        <v>2580761</v>
      </c>
      <c r="DW51" s="8">
        <v>2580761</v>
      </c>
      <c r="DX51" s="8">
        <v>2580761</v>
      </c>
      <c r="DY51" s="8">
        <v>2630763</v>
      </c>
      <c r="DZ51" s="8">
        <v>2130764</v>
      </c>
      <c r="EA51" s="8">
        <v>2231319</v>
      </c>
      <c r="EB51" s="9">
        <f t="shared" si="28"/>
        <v>2231319</v>
      </c>
      <c r="EC51" s="8">
        <v>0</v>
      </c>
      <c r="ED51" s="8">
        <v>9632104</v>
      </c>
      <c r="EE51" s="8">
        <v>11190703</v>
      </c>
      <c r="EF51" s="8">
        <v>13715752</v>
      </c>
      <c r="EG51" s="8">
        <v>13715752</v>
      </c>
      <c r="EH51" s="8">
        <v>14086953</v>
      </c>
      <c r="EI51" s="8">
        <v>6041399</v>
      </c>
      <c r="EJ51" s="8">
        <v>6071748</v>
      </c>
      <c r="EK51" s="8">
        <v>6071748</v>
      </c>
      <c r="EL51" s="8">
        <v>4664885</v>
      </c>
      <c r="EM51" s="8">
        <v>4664886</v>
      </c>
      <c r="EN51" s="8">
        <v>4432051</v>
      </c>
      <c r="EO51" s="9">
        <f t="shared" si="29"/>
        <v>4432051</v>
      </c>
      <c r="EP51" s="8">
        <v>0</v>
      </c>
      <c r="EQ51" s="8">
        <v>12759484</v>
      </c>
      <c r="ER51" s="8">
        <v>12759484</v>
      </c>
      <c r="ES51" s="8">
        <v>12759484</v>
      </c>
      <c r="ET51" s="8">
        <v>12759484</v>
      </c>
      <c r="EU51" s="8">
        <v>12759484</v>
      </c>
      <c r="EV51" s="8">
        <v>12759484</v>
      </c>
      <c r="EW51" s="8">
        <v>12759484</v>
      </c>
      <c r="EX51" s="8">
        <v>21660342</v>
      </c>
      <c r="EY51" s="8">
        <v>21660352</v>
      </c>
      <c r="EZ51" s="8">
        <v>21660352</v>
      </c>
      <c r="FA51" s="8">
        <v>23225106</v>
      </c>
      <c r="FB51" s="9">
        <f t="shared" si="30"/>
        <v>23225106</v>
      </c>
      <c r="FC51" s="8">
        <v>15086131</v>
      </c>
      <c r="FD51" s="8">
        <v>15086131</v>
      </c>
      <c r="FE51" s="8">
        <v>15086131</v>
      </c>
      <c r="FF51" s="8">
        <v>15086131</v>
      </c>
      <c r="FG51" s="8">
        <v>15086131</v>
      </c>
      <c r="FH51" s="8">
        <v>32743030</v>
      </c>
      <c r="FI51" s="8">
        <v>32743030</v>
      </c>
      <c r="FJ51" s="8"/>
      <c r="FK51" s="8"/>
      <c r="FL51" s="8"/>
      <c r="FM51" s="8"/>
      <c r="FN51" s="8"/>
      <c r="FO51" s="9">
        <f t="shared" si="31"/>
        <v>32743030</v>
      </c>
    </row>
    <row r="52" spans="2:171" ht="14.25" customHeight="1" x14ac:dyDescent="0.3">
      <c r="B52" s="7" t="s">
        <v>51</v>
      </c>
      <c r="C52" s="8">
        <v>0</v>
      </c>
      <c r="D52" s="8">
        <v>1916581</v>
      </c>
      <c r="E52" s="8">
        <v>3977404</v>
      </c>
      <c r="F52" s="8">
        <v>3977404</v>
      </c>
      <c r="G52" s="8">
        <v>3977404</v>
      </c>
      <c r="H52" s="8">
        <v>3977404</v>
      </c>
      <c r="I52" s="8">
        <v>3977404</v>
      </c>
      <c r="J52" s="8">
        <v>4173083</v>
      </c>
      <c r="K52" s="8">
        <v>4084865</v>
      </c>
      <c r="L52" s="8">
        <v>4084865</v>
      </c>
      <c r="M52" s="8">
        <v>2845839</v>
      </c>
      <c r="N52" s="8">
        <v>2845839</v>
      </c>
      <c r="O52" s="9">
        <f t="shared" si="19"/>
        <v>2845839</v>
      </c>
      <c r="P52" s="8">
        <v>0</v>
      </c>
      <c r="Q52" s="8">
        <v>6374294</v>
      </c>
      <c r="R52" s="8">
        <v>6374294</v>
      </c>
      <c r="S52" s="8">
        <v>7287916</v>
      </c>
      <c r="T52" s="8">
        <v>7352711</v>
      </c>
      <c r="U52" s="8">
        <v>7352711</v>
      </c>
      <c r="V52" s="8">
        <v>8276225</v>
      </c>
      <c r="W52" s="8">
        <v>8276225</v>
      </c>
      <c r="X52" s="8">
        <v>8318756</v>
      </c>
      <c r="Y52" s="8">
        <v>8318756</v>
      </c>
      <c r="Z52" s="8">
        <v>9978629</v>
      </c>
      <c r="AA52" s="8">
        <v>9901229</v>
      </c>
      <c r="AB52" s="9">
        <f t="shared" si="20"/>
        <v>9901229</v>
      </c>
      <c r="AC52" s="8">
        <v>0</v>
      </c>
      <c r="AD52" s="8">
        <v>1350133</v>
      </c>
      <c r="AE52" s="8">
        <v>1350133</v>
      </c>
      <c r="AF52" s="8">
        <v>8952099</v>
      </c>
      <c r="AG52" s="8">
        <v>8952099</v>
      </c>
      <c r="AH52" s="8">
        <v>8952099</v>
      </c>
      <c r="AI52" s="8">
        <v>17067911</v>
      </c>
      <c r="AJ52" s="8">
        <v>17537003</v>
      </c>
      <c r="AK52" s="8">
        <v>17537003</v>
      </c>
      <c r="AL52" s="8">
        <v>17537003</v>
      </c>
      <c r="AM52" s="8">
        <v>16297726</v>
      </c>
      <c r="AN52" s="8">
        <v>7280150</v>
      </c>
      <c r="AO52" s="9">
        <f t="shared" si="21"/>
        <v>7280150</v>
      </c>
      <c r="AP52" s="8">
        <v>0</v>
      </c>
      <c r="AQ52" s="8">
        <v>0</v>
      </c>
      <c r="AR52" s="8">
        <v>4173687</v>
      </c>
      <c r="AS52" s="8">
        <v>4173687</v>
      </c>
      <c r="AT52" s="8">
        <v>4490532</v>
      </c>
      <c r="AU52" s="8">
        <v>4726084</v>
      </c>
      <c r="AV52" s="8">
        <v>4847908</v>
      </c>
      <c r="AW52" s="8">
        <v>4847908</v>
      </c>
      <c r="AX52" s="8">
        <v>4847908</v>
      </c>
      <c r="AY52" s="8">
        <v>9847908</v>
      </c>
      <c r="AZ52" s="8">
        <v>9847908</v>
      </c>
      <c r="BA52" s="8">
        <v>11580328</v>
      </c>
      <c r="BB52" s="9">
        <f t="shared" si="22"/>
        <v>11580328</v>
      </c>
      <c r="BC52" s="8">
        <v>0</v>
      </c>
      <c r="BD52" s="8">
        <v>0</v>
      </c>
      <c r="BE52" s="8">
        <v>1816004</v>
      </c>
      <c r="BF52" s="8">
        <v>7498429</v>
      </c>
      <c r="BG52" s="8">
        <v>20549147</v>
      </c>
      <c r="BH52" s="8">
        <v>20600725</v>
      </c>
      <c r="BI52" s="8">
        <v>20600725</v>
      </c>
      <c r="BJ52" s="8">
        <v>21065317</v>
      </c>
      <c r="BK52" s="8">
        <v>21811505</v>
      </c>
      <c r="BL52" s="8">
        <v>21811505</v>
      </c>
      <c r="BM52" s="8">
        <v>21811505</v>
      </c>
      <c r="BN52" s="8">
        <v>25096798</v>
      </c>
      <c r="BO52" s="9">
        <f t="shared" si="23"/>
        <v>25096798</v>
      </c>
      <c r="BP52" s="8">
        <v>0</v>
      </c>
      <c r="BQ52" s="8">
        <v>0</v>
      </c>
      <c r="BR52" s="8">
        <v>23839105</v>
      </c>
      <c r="BS52" s="8">
        <v>23839105</v>
      </c>
      <c r="BT52" s="8">
        <v>24267388</v>
      </c>
      <c r="BU52" s="8">
        <v>25551163</v>
      </c>
      <c r="BV52" s="8">
        <v>32469688</v>
      </c>
      <c r="BW52" s="8">
        <v>31819239</v>
      </c>
      <c r="BX52" s="8">
        <v>27176964</v>
      </c>
      <c r="BY52" s="8">
        <v>27176964</v>
      </c>
      <c r="BZ52" s="8">
        <v>27176964</v>
      </c>
      <c r="CA52" s="8">
        <v>24461848</v>
      </c>
      <c r="CB52" s="9">
        <f t="shared" si="24"/>
        <v>24461848</v>
      </c>
      <c r="CC52" s="8">
        <v>0</v>
      </c>
      <c r="CD52" s="8">
        <v>1194232</v>
      </c>
      <c r="CE52" s="8">
        <v>35224056</v>
      </c>
      <c r="CF52" s="8">
        <v>35224056</v>
      </c>
      <c r="CG52" s="8">
        <v>35224056</v>
      </c>
      <c r="CH52" s="8">
        <v>35224056</v>
      </c>
      <c r="CI52" s="8">
        <v>35224056</v>
      </c>
      <c r="CJ52" s="8">
        <v>35224056</v>
      </c>
      <c r="CK52" s="8">
        <v>39183354</v>
      </c>
      <c r="CL52" s="8">
        <v>38137553</v>
      </c>
      <c r="CM52" s="8">
        <v>38137553</v>
      </c>
      <c r="CN52" s="8">
        <v>39764885</v>
      </c>
      <c r="CO52" s="9">
        <f t="shared" si="25"/>
        <v>39764885</v>
      </c>
      <c r="CP52" s="8">
        <v>0</v>
      </c>
      <c r="CQ52" s="8">
        <v>94212588</v>
      </c>
      <c r="CR52" s="8">
        <v>94622434</v>
      </c>
      <c r="CS52" s="8">
        <v>94670565</v>
      </c>
      <c r="CT52" s="8">
        <v>94670565</v>
      </c>
      <c r="CU52" s="8">
        <v>94670565</v>
      </c>
      <c r="CV52" s="8">
        <v>94670565</v>
      </c>
      <c r="CW52" s="8">
        <v>94670565</v>
      </c>
      <c r="CX52" s="8">
        <v>94670565</v>
      </c>
      <c r="CY52" s="8">
        <v>94670565</v>
      </c>
      <c r="CZ52" s="8">
        <v>88981177</v>
      </c>
      <c r="DA52" s="8">
        <v>43077057</v>
      </c>
      <c r="DB52" s="9">
        <f t="shared" si="26"/>
        <v>43077057</v>
      </c>
      <c r="DC52" s="8">
        <v>0</v>
      </c>
      <c r="DD52" s="8">
        <v>61947100</v>
      </c>
      <c r="DE52" s="8">
        <v>61988684</v>
      </c>
      <c r="DF52" s="8">
        <v>61988684</v>
      </c>
      <c r="DG52" s="8">
        <v>61988684</v>
      </c>
      <c r="DH52" s="8">
        <v>61988684</v>
      </c>
      <c r="DI52" s="8">
        <v>61988684</v>
      </c>
      <c r="DJ52" s="8">
        <v>61993761</v>
      </c>
      <c r="DK52" s="8">
        <v>21670003</v>
      </c>
      <c r="DL52" s="8">
        <v>21670003</v>
      </c>
      <c r="DM52" s="8">
        <v>21546967</v>
      </c>
      <c r="DN52" s="8">
        <v>21371187</v>
      </c>
      <c r="DO52" s="9">
        <f t="shared" si="27"/>
        <v>21371187</v>
      </c>
      <c r="DP52" s="8">
        <v>0</v>
      </c>
      <c r="DQ52" s="8">
        <v>22148995</v>
      </c>
      <c r="DR52" s="8">
        <v>22148995</v>
      </c>
      <c r="DS52" s="8">
        <v>22148995</v>
      </c>
      <c r="DT52" s="8">
        <v>22521554</v>
      </c>
      <c r="DU52" s="8">
        <v>23131185</v>
      </c>
      <c r="DV52" s="8">
        <v>28207827</v>
      </c>
      <c r="DW52" s="8">
        <v>39289940</v>
      </c>
      <c r="DX52" s="8">
        <v>39289940</v>
      </c>
      <c r="DY52" s="8">
        <v>40072382</v>
      </c>
      <c r="DZ52" s="8">
        <v>40072382</v>
      </c>
      <c r="EA52" s="8">
        <v>27799825</v>
      </c>
      <c r="EB52" s="9">
        <f t="shared" si="28"/>
        <v>27799825</v>
      </c>
      <c r="EC52" s="8">
        <v>0</v>
      </c>
      <c r="ED52" s="8">
        <v>38060055</v>
      </c>
      <c r="EE52" s="8">
        <v>38884554</v>
      </c>
      <c r="EF52" s="8">
        <v>38913763</v>
      </c>
      <c r="EG52" s="8">
        <v>35119896</v>
      </c>
      <c r="EH52" s="8">
        <v>35134211</v>
      </c>
      <c r="EI52" s="8">
        <v>35134211</v>
      </c>
      <c r="EJ52" s="8">
        <v>35805869</v>
      </c>
      <c r="EK52" s="8">
        <v>34287274</v>
      </c>
      <c r="EL52" s="8">
        <v>20231382</v>
      </c>
      <c r="EM52" s="8">
        <v>19568840</v>
      </c>
      <c r="EN52" s="8">
        <v>16696164</v>
      </c>
      <c r="EO52" s="9">
        <f t="shared" si="29"/>
        <v>16696164</v>
      </c>
      <c r="EP52" s="8">
        <v>0</v>
      </c>
      <c r="EQ52" s="8">
        <v>11138854</v>
      </c>
      <c r="ER52" s="8">
        <v>14916172</v>
      </c>
      <c r="ES52" s="8">
        <v>14916172</v>
      </c>
      <c r="ET52" s="8">
        <v>14916172</v>
      </c>
      <c r="EU52" s="8">
        <v>14916172</v>
      </c>
      <c r="EV52" s="8">
        <v>14916172</v>
      </c>
      <c r="EW52" s="8">
        <v>22787635</v>
      </c>
      <c r="EX52" s="8">
        <v>19742032</v>
      </c>
      <c r="EY52" s="8">
        <v>19742032</v>
      </c>
      <c r="EZ52" s="8">
        <v>20748661</v>
      </c>
      <c r="FA52" s="8">
        <v>14450372</v>
      </c>
      <c r="FB52" s="9">
        <f t="shared" si="30"/>
        <v>14450372</v>
      </c>
      <c r="FC52" s="8">
        <v>21931475</v>
      </c>
      <c r="FD52" s="8">
        <v>21931475</v>
      </c>
      <c r="FE52" s="8">
        <v>21931475</v>
      </c>
      <c r="FF52" s="8">
        <v>21931475</v>
      </c>
      <c r="FG52" s="8">
        <v>21931475</v>
      </c>
      <c r="FH52" s="8">
        <v>21931475</v>
      </c>
      <c r="FI52" s="8">
        <v>21931475</v>
      </c>
      <c r="FJ52" s="8"/>
      <c r="FK52" s="8"/>
      <c r="FL52" s="8"/>
      <c r="FM52" s="8"/>
      <c r="FN52" s="8"/>
      <c r="FO52" s="9">
        <f t="shared" si="31"/>
        <v>21931475</v>
      </c>
    </row>
    <row r="53" spans="2:171" ht="14.25" customHeight="1" x14ac:dyDescent="0.3">
      <c r="B53" s="7" t="s">
        <v>52</v>
      </c>
      <c r="C53" s="8">
        <v>0</v>
      </c>
      <c r="D53" s="8">
        <v>14200952</v>
      </c>
      <c r="E53" s="8">
        <v>17211877</v>
      </c>
      <c r="F53" s="8">
        <v>17211877</v>
      </c>
      <c r="G53" s="8">
        <v>17211877</v>
      </c>
      <c r="H53" s="8">
        <v>17211877</v>
      </c>
      <c r="I53" s="8">
        <v>17211877</v>
      </c>
      <c r="J53" s="8">
        <v>17211877</v>
      </c>
      <c r="K53" s="8">
        <v>17571737</v>
      </c>
      <c r="L53" s="8">
        <v>17571737</v>
      </c>
      <c r="M53" s="8">
        <v>14432839</v>
      </c>
      <c r="N53" s="8">
        <v>14432839</v>
      </c>
      <c r="O53" s="9">
        <f t="shared" si="19"/>
        <v>14432839</v>
      </c>
      <c r="P53" s="8">
        <v>0</v>
      </c>
      <c r="Q53" s="8">
        <v>37349058</v>
      </c>
      <c r="R53" s="8">
        <v>38544000</v>
      </c>
      <c r="S53" s="8">
        <v>38544000</v>
      </c>
      <c r="T53" s="8">
        <v>38544000</v>
      </c>
      <c r="U53" s="8">
        <v>19364883</v>
      </c>
      <c r="V53" s="8">
        <v>20174823</v>
      </c>
      <c r="W53" s="8">
        <v>20174823</v>
      </c>
      <c r="X53" s="8">
        <v>20174823</v>
      </c>
      <c r="Y53" s="8">
        <v>20174823</v>
      </c>
      <c r="Z53" s="8">
        <v>19731820</v>
      </c>
      <c r="AA53" s="8">
        <v>13971514</v>
      </c>
      <c r="AB53" s="9">
        <f t="shared" si="20"/>
        <v>13971514</v>
      </c>
      <c r="AC53" s="8">
        <v>0</v>
      </c>
      <c r="AD53" s="8">
        <v>28445774</v>
      </c>
      <c r="AE53" s="8">
        <v>28445774</v>
      </c>
      <c r="AF53" s="8">
        <v>28445774</v>
      </c>
      <c r="AG53" s="8">
        <v>28785782</v>
      </c>
      <c r="AH53" s="8">
        <v>28785782</v>
      </c>
      <c r="AI53" s="8">
        <v>28785782</v>
      </c>
      <c r="AJ53" s="8">
        <v>28785782</v>
      </c>
      <c r="AK53" s="8">
        <v>28785782</v>
      </c>
      <c r="AL53" s="8">
        <v>27934856</v>
      </c>
      <c r="AM53" s="8">
        <v>31293072</v>
      </c>
      <c r="AN53" s="8">
        <v>31036612</v>
      </c>
      <c r="AO53" s="9">
        <f t="shared" si="21"/>
        <v>31036612</v>
      </c>
      <c r="AP53" s="8">
        <v>0</v>
      </c>
      <c r="AQ53" s="8">
        <v>26170758</v>
      </c>
      <c r="AR53" s="8">
        <v>33080922</v>
      </c>
      <c r="AS53" s="8">
        <v>33080922</v>
      </c>
      <c r="AT53" s="8">
        <v>33352044</v>
      </c>
      <c r="AU53" s="8">
        <v>28542723</v>
      </c>
      <c r="AV53" s="8">
        <v>28542723</v>
      </c>
      <c r="AW53" s="8">
        <v>28542723</v>
      </c>
      <c r="AX53" s="8">
        <v>26202259</v>
      </c>
      <c r="AY53" s="8">
        <v>26222661</v>
      </c>
      <c r="AZ53" s="8">
        <v>26222661</v>
      </c>
      <c r="BA53" s="8">
        <v>32500455</v>
      </c>
      <c r="BB53" s="9">
        <f t="shared" si="22"/>
        <v>32500455</v>
      </c>
      <c r="BC53" s="8">
        <v>0</v>
      </c>
      <c r="BD53" s="8">
        <v>0</v>
      </c>
      <c r="BE53" s="8">
        <v>6767614</v>
      </c>
      <c r="BF53" s="8">
        <v>8951625</v>
      </c>
      <c r="BG53" s="8">
        <v>60797954</v>
      </c>
      <c r="BH53" s="8">
        <v>65607599</v>
      </c>
      <c r="BI53" s="8">
        <v>65607599</v>
      </c>
      <c r="BJ53" s="8">
        <v>65229175</v>
      </c>
      <c r="BK53" s="8">
        <v>59682383</v>
      </c>
      <c r="BL53" s="8">
        <v>54000995</v>
      </c>
      <c r="BM53" s="8">
        <v>54000995</v>
      </c>
      <c r="BN53" s="8">
        <v>57311644</v>
      </c>
      <c r="BO53" s="9">
        <f t="shared" si="23"/>
        <v>57311644</v>
      </c>
      <c r="BP53" s="8">
        <v>0</v>
      </c>
      <c r="BQ53" s="8">
        <v>0</v>
      </c>
      <c r="BR53" s="8">
        <v>68655332</v>
      </c>
      <c r="BS53" s="8">
        <v>68655332</v>
      </c>
      <c r="BT53" s="8">
        <v>68655332</v>
      </c>
      <c r="BU53" s="8">
        <v>87719084</v>
      </c>
      <c r="BV53" s="8">
        <v>109889410</v>
      </c>
      <c r="BW53" s="8">
        <v>105140785</v>
      </c>
      <c r="BX53" s="8">
        <v>81119392</v>
      </c>
      <c r="BY53" s="8">
        <v>81119392</v>
      </c>
      <c r="BZ53" s="8">
        <v>81119392</v>
      </c>
      <c r="CA53" s="8">
        <v>79006256</v>
      </c>
      <c r="CB53" s="9">
        <f t="shared" si="24"/>
        <v>79006256</v>
      </c>
      <c r="CC53" s="8">
        <v>0</v>
      </c>
      <c r="CD53" s="8">
        <v>1699139</v>
      </c>
      <c r="CE53" s="8">
        <v>59438757</v>
      </c>
      <c r="CF53" s="8">
        <v>59438757</v>
      </c>
      <c r="CG53" s="8">
        <v>59438757</v>
      </c>
      <c r="CH53" s="8">
        <v>59438757</v>
      </c>
      <c r="CI53" s="8">
        <v>70389228</v>
      </c>
      <c r="CJ53" s="8">
        <v>70389228</v>
      </c>
      <c r="CK53" s="8">
        <v>68983371</v>
      </c>
      <c r="CL53" s="8">
        <v>71283152</v>
      </c>
      <c r="CM53" s="8">
        <v>87062635</v>
      </c>
      <c r="CN53" s="8">
        <v>76996230</v>
      </c>
      <c r="CO53" s="9">
        <f t="shared" si="25"/>
        <v>76996230</v>
      </c>
      <c r="CP53" s="8">
        <v>0</v>
      </c>
      <c r="CQ53" s="8">
        <v>73129143</v>
      </c>
      <c r="CR53" s="8">
        <v>84952896</v>
      </c>
      <c r="CS53" s="8">
        <v>92682381</v>
      </c>
      <c r="CT53" s="8">
        <v>87098904</v>
      </c>
      <c r="CU53" s="8">
        <v>88402567</v>
      </c>
      <c r="CV53" s="8">
        <v>88402567</v>
      </c>
      <c r="CW53" s="8">
        <v>88402567</v>
      </c>
      <c r="CX53" s="8">
        <v>88402567</v>
      </c>
      <c r="CY53" s="8">
        <v>63708029</v>
      </c>
      <c r="CZ53" s="8">
        <v>63708029</v>
      </c>
      <c r="DA53" s="8">
        <v>58124956</v>
      </c>
      <c r="DB53" s="9">
        <f t="shared" si="26"/>
        <v>58124956</v>
      </c>
      <c r="DC53" s="8">
        <v>0</v>
      </c>
      <c r="DD53" s="8">
        <v>28198290</v>
      </c>
      <c r="DE53" s="8">
        <v>49698791</v>
      </c>
      <c r="DF53" s="8">
        <v>49698791</v>
      </c>
      <c r="DG53" s="8">
        <v>49822842</v>
      </c>
      <c r="DH53" s="8">
        <v>46663035</v>
      </c>
      <c r="DI53" s="8">
        <v>46668035</v>
      </c>
      <c r="DJ53" s="8">
        <v>46668036</v>
      </c>
      <c r="DK53" s="8">
        <v>40949590</v>
      </c>
      <c r="DL53" s="8">
        <v>40949590</v>
      </c>
      <c r="DM53" s="8">
        <v>38104655</v>
      </c>
      <c r="DN53" s="8">
        <v>38105075</v>
      </c>
      <c r="DO53" s="9">
        <f t="shared" si="27"/>
        <v>38105075</v>
      </c>
      <c r="DP53" s="8">
        <v>0</v>
      </c>
      <c r="DQ53" s="8">
        <v>37954062</v>
      </c>
      <c r="DR53" s="8">
        <v>37954062</v>
      </c>
      <c r="DS53" s="8">
        <v>37954062</v>
      </c>
      <c r="DT53" s="8">
        <v>37954062</v>
      </c>
      <c r="DU53" s="8">
        <v>37954062</v>
      </c>
      <c r="DV53" s="8">
        <v>40069991</v>
      </c>
      <c r="DW53" s="8">
        <v>38849601</v>
      </c>
      <c r="DX53" s="8">
        <v>38849601</v>
      </c>
      <c r="DY53" s="8">
        <v>53081099</v>
      </c>
      <c r="DZ53" s="8">
        <v>53081099</v>
      </c>
      <c r="EA53" s="8">
        <v>46577194</v>
      </c>
      <c r="EB53" s="9">
        <f t="shared" si="28"/>
        <v>46577194</v>
      </c>
      <c r="EC53" s="8">
        <v>0</v>
      </c>
      <c r="ED53" s="8">
        <v>54853078</v>
      </c>
      <c r="EE53" s="8">
        <v>60054090</v>
      </c>
      <c r="EF53" s="8">
        <v>60150724</v>
      </c>
      <c r="EG53" s="8">
        <v>60150724</v>
      </c>
      <c r="EH53" s="8">
        <v>60150724</v>
      </c>
      <c r="EI53" s="8">
        <v>88041423</v>
      </c>
      <c r="EJ53" s="8">
        <v>88041423</v>
      </c>
      <c r="EK53" s="8">
        <v>87680374</v>
      </c>
      <c r="EL53" s="8">
        <v>84793012</v>
      </c>
      <c r="EM53" s="8">
        <v>86351205</v>
      </c>
      <c r="EN53" s="8">
        <v>86176977</v>
      </c>
      <c r="EO53" s="9">
        <f t="shared" si="29"/>
        <v>86176977</v>
      </c>
      <c r="EP53" s="8">
        <v>0</v>
      </c>
      <c r="EQ53" s="8">
        <v>69438475</v>
      </c>
      <c r="ER53" s="8">
        <v>69438475</v>
      </c>
      <c r="ES53" s="8">
        <v>69438475</v>
      </c>
      <c r="ET53" s="8">
        <v>69438475</v>
      </c>
      <c r="EU53" s="8">
        <v>69438475</v>
      </c>
      <c r="EV53" s="8">
        <v>69438475</v>
      </c>
      <c r="EW53" s="8">
        <v>69438475</v>
      </c>
      <c r="EX53" s="8">
        <v>69438475</v>
      </c>
      <c r="EY53" s="8">
        <v>62110568</v>
      </c>
      <c r="EZ53" s="8">
        <v>62646658</v>
      </c>
      <c r="FA53" s="8">
        <v>53192169</v>
      </c>
      <c r="FB53" s="9">
        <f t="shared" si="30"/>
        <v>53192169</v>
      </c>
      <c r="FC53" s="8">
        <v>50768194</v>
      </c>
      <c r="FD53" s="8">
        <v>50768194</v>
      </c>
      <c r="FE53" s="8">
        <v>50768194</v>
      </c>
      <c r="FF53" s="8">
        <v>50768194</v>
      </c>
      <c r="FG53" s="8">
        <v>50768194</v>
      </c>
      <c r="FH53" s="8">
        <v>50768194</v>
      </c>
      <c r="FI53" s="8">
        <v>50768194</v>
      </c>
      <c r="FJ53" s="8"/>
      <c r="FK53" s="8"/>
      <c r="FL53" s="8"/>
      <c r="FM53" s="8"/>
      <c r="FN53" s="8"/>
      <c r="FO53" s="9">
        <f t="shared" si="31"/>
        <v>50768194</v>
      </c>
    </row>
    <row r="54" spans="2:171" ht="14.25" customHeight="1" x14ac:dyDescent="0.3">
      <c r="B54" s="7" t="s">
        <v>53</v>
      </c>
      <c r="C54" s="8">
        <v>0</v>
      </c>
      <c r="D54" s="8">
        <v>0</v>
      </c>
      <c r="E54" s="8">
        <v>5701337</v>
      </c>
      <c r="F54" s="8">
        <v>5701337</v>
      </c>
      <c r="G54" s="8">
        <v>5701337</v>
      </c>
      <c r="H54" s="8">
        <v>5701337</v>
      </c>
      <c r="I54" s="8">
        <v>5701337</v>
      </c>
      <c r="J54" s="8">
        <v>5701337</v>
      </c>
      <c r="K54" s="8">
        <v>5749103</v>
      </c>
      <c r="L54" s="8">
        <v>5749103</v>
      </c>
      <c r="M54" s="8">
        <v>6880351</v>
      </c>
      <c r="N54" s="8">
        <v>6880351</v>
      </c>
      <c r="O54" s="9">
        <f t="shared" si="19"/>
        <v>6880351</v>
      </c>
      <c r="P54" s="8">
        <v>0</v>
      </c>
      <c r="Q54" s="8">
        <v>523372</v>
      </c>
      <c r="R54" s="8">
        <v>4092998</v>
      </c>
      <c r="S54" s="8">
        <v>4092998</v>
      </c>
      <c r="T54" s="8">
        <v>4094118</v>
      </c>
      <c r="U54" s="8">
        <v>4094118</v>
      </c>
      <c r="V54" s="8">
        <v>4481933</v>
      </c>
      <c r="W54" s="8">
        <v>4820379</v>
      </c>
      <c r="X54" s="8">
        <v>4820379</v>
      </c>
      <c r="Y54" s="8">
        <v>4820379</v>
      </c>
      <c r="Z54" s="8">
        <v>4820379</v>
      </c>
      <c r="AA54" s="8">
        <v>4712903</v>
      </c>
      <c r="AB54" s="9">
        <f t="shared" si="20"/>
        <v>4712903</v>
      </c>
      <c r="AC54" s="8">
        <v>0</v>
      </c>
      <c r="AD54" s="8">
        <v>2033337</v>
      </c>
      <c r="AE54" s="8">
        <v>2033337</v>
      </c>
      <c r="AF54" s="8">
        <v>2929829</v>
      </c>
      <c r="AG54" s="8">
        <v>2929829</v>
      </c>
      <c r="AH54" s="8">
        <v>2929829</v>
      </c>
      <c r="AI54" s="8">
        <v>5974542</v>
      </c>
      <c r="AJ54" s="8">
        <v>5974542</v>
      </c>
      <c r="AK54" s="8">
        <v>5974542</v>
      </c>
      <c r="AL54" s="8">
        <v>5974542</v>
      </c>
      <c r="AM54" s="8">
        <v>5974542</v>
      </c>
      <c r="AN54" s="8">
        <v>1090165</v>
      </c>
      <c r="AO54" s="9">
        <f t="shared" si="21"/>
        <v>1090165</v>
      </c>
      <c r="AP54" s="8">
        <v>0</v>
      </c>
      <c r="AQ54" s="8">
        <v>7995190</v>
      </c>
      <c r="AR54" s="8">
        <v>7995190</v>
      </c>
      <c r="AS54" s="8">
        <v>7995190</v>
      </c>
      <c r="AT54" s="8">
        <v>7995190</v>
      </c>
      <c r="AU54" s="8">
        <v>7995190</v>
      </c>
      <c r="AV54" s="8">
        <v>8235664</v>
      </c>
      <c r="AW54" s="8">
        <v>8235664</v>
      </c>
      <c r="AX54" s="8">
        <v>8235664</v>
      </c>
      <c r="AY54" s="8">
        <v>8235664</v>
      </c>
      <c r="AZ54" s="8">
        <v>8235664</v>
      </c>
      <c r="BA54" s="8">
        <v>7375229</v>
      </c>
      <c r="BB54" s="9">
        <f t="shared" si="22"/>
        <v>7375229</v>
      </c>
      <c r="BC54" s="8">
        <v>0</v>
      </c>
      <c r="BD54" s="8">
        <v>0</v>
      </c>
      <c r="BE54" s="8">
        <v>2769431</v>
      </c>
      <c r="BF54" s="8">
        <v>2938550</v>
      </c>
      <c r="BG54" s="8">
        <v>2938550</v>
      </c>
      <c r="BH54" s="8">
        <v>6638550</v>
      </c>
      <c r="BI54" s="8">
        <v>6638550</v>
      </c>
      <c r="BJ54" s="8">
        <v>7105224</v>
      </c>
      <c r="BK54" s="8">
        <v>4332695</v>
      </c>
      <c r="BL54" s="8">
        <v>4332695</v>
      </c>
      <c r="BM54" s="8">
        <v>4332695</v>
      </c>
      <c r="BN54" s="8">
        <v>5721273</v>
      </c>
      <c r="BO54" s="9">
        <f t="shared" si="23"/>
        <v>5721273</v>
      </c>
      <c r="BP54" s="8">
        <v>0</v>
      </c>
      <c r="BQ54" s="8">
        <v>0</v>
      </c>
      <c r="BR54" s="8">
        <v>6114000</v>
      </c>
      <c r="BS54" s="8">
        <v>6114000</v>
      </c>
      <c r="BT54" s="8">
        <v>6114000</v>
      </c>
      <c r="BU54" s="8">
        <v>8207493</v>
      </c>
      <c r="BV54" s="8">
        <v>8207493</v>
      </c>
      <c r="BW54" s="8">
        <v>7457441</v>
      </c>
      <c r="BX54" s="8">
        <v>7457441</v>
      </c>
      <c r="BY54" s="8">
        <v>7457441</v>
      </c>
      <c r="BZ54" s="8">
        <v>7457441</v>
      </c>
      <c r="CA54" s="8">
        <v>7222477</v>
      </c>
      <c r="CB54" s="9">
        <f t="shared" si="24"/>
        <v>7222477</v>
      </c>
      <c r="CC54" s="8">
        <v>0</v>
      </c>
      <c r="CD54" s="8">
        <v>161686</v>
      </c>
      <c r="CE54" s="8">
        <v>11162577</v>
      </c>
      <c r="CF54" s="8">
        <v>11803716</v>
      </c>
      <c r="CG54" s="8">
        <v>11803716</v>
      </c>
      <c r="CH54" s="8">
        <v>11803716</v>
      </c>
      <c r="CI54" s="8">
        <v>11803716</v>
      </c>
      <c r="CJ54" s="8">
        <v>11803716</v>
      </c>
      <c r="CK54" s="8">
        <v>11941495</v>
      </c>
      <c r="CL54" s="8">
        <v>11941495</v>
      </c>
      <c r="CM54" s="8">
        <v>5749218</v>
      </c>
      <c r="CN54" s="8">
        <v>5749218</v>
      </c>
      <c r="CO54" s="9">
        <f t="shared" si="25"/>
        <v>5749218</v>
      </c>
      <c r="CP54" s="8">
        <v>0</v>
      </c>
      <c r="CQ54" s="8">
        <v>7480282</v>
      </c>
      <c r="CR54" s="8">
        <v>7480282</v>
      </c>
      <c r="CS54" s="8">
        <v>7480282</v>
      </c>
      <c r="CT54" s="8">
        <v>7480282</v>
      </c>
      <c r="CU54" s="8">
        <v>7480282</v>
      </c>
      <c r="CV54" s="8">
        <v>7480282</v>
      </c>
      <c r="CW54" s="8">
        <v>7480282</v>
      </c>
      <c r="CX54" s="8">
        <v>7480282</v>
      </c>
      <c r="CY54" s="8">
        <v>6924886</v>
      </c>
      <c r="CZ54" s="8">
        <v>5513920</v>
      </c>
      <c r="DA54" s="8">
        <v>5518920</v>
      </c>
      <c r="DB54" s="9">
        <f t="shared" si="26"/>
        <v>5518920</v>
      </c>
      <c r="DC54" s="8">
        <v>0</v>
      </c>
      <c r="DD54" s="8">
        <v>0</v>
      </c>
      <c r="DE54" s="8">
        <v>8515350</v>
      </c>
      <c r="DF54" s="8">
        <v>8515350</v>
      </c>
      <c r="DG54" s="8">
        <v>8515350</v>
      </c>
      <c r="DH54" s="8">
        <v>8515350</v>
      </c>
      <c r="DI54" s="8">
        <v>8725865</v>
      </c>
      <c r="DJ54" s="8">
        <v>8747938</v>
      </c>
      <c r="DK54" s="8">
        <v>8747938</v>
      </c>
      <c r="DL54" s="8">
        <v>8839092</v>
      </c>
      <c r="DM54" s="8">
        <v>9730433</v>
      </c>
      <c r="DN54" s="8">
        <v>9586115</v>
      </c>
      <c r="DO54" s="9">
        <f t="shared" si="27"/>
        <v>9586115</v>
      </c>
      <c r="DP54" s="8">
        <v>0</v>
      </c>
      <c r="DQ54" s="8">
        <v>4526012</v>
      </c>
      <c r="DR54" s="8">
        <v>4526012</v>
      </c>
      <c r="DS54" s="8">
        <v>4526012</v>
      </c>
      <c r="DT54" s="8">
        <v>5166889</v>
      </c>
      <c r="DU54" s="8">
        <v>5166889</v>
      </c>
      <c r="DV54" s="8">
        <v>5878289</v>
      </c>
      <c r="DW54" s="8">
        <v>5878289</v>
      </c>
      <c r="DX54" s="8">
        <v>5878289</v>
      </c>
      <c r="DY54" s="8">
        <v>6239810</v>
      </c>
      <c r="DZ54" s="8">
        <v>6239810</v>
      </c>
      <c r="EA54" s="8">
        <v>4774007</v>
      </c>
      <c r="EB54" s="9">
        <f t="shared" si="28"/>
        <v>4774007</v>
      </c>
      <c r="EC54" s="8">
        <v>0</v>
      </c>
      <c r="ED54" s="8">
        <v>0</v>
      </c>
      <c r="EE54" s="8">
        <v>1726303</v>
      </c>
      <c r="EF54" s="8">
        <v>1726303</v>
      </c>
      <c r="EG54" s="8">
        <v>1726303</v>
      </c>
      <c r="EH54" s="8">
        <v>2913565</v>
      </c>
      <c r="EI54" s="8">
        <v>3098352</v>
      </c>
      <c r="EJ54" s="8">
        <v>3098352</v>
      </c>
      <c r="EK54" s="8">
        <v>2659288</v>
      </c>
      <c r="EL54" s="8">
        <v>1559535</v>
      </c>
      <c r="EM54" s="8">
        <v>1405224</v>
      </c>
      <c r="EN54" s="8">
        <v>1335225</v>
      </c>
      <c r="EO54" s="9">
        <f t="shared" si="29"/>
        <v>1335225</v>
      </c>
      <c r="EP54" s="8">
        <v>0</v>
      </c>
      <c r="EQ54" s="8">
        <v>4801570</v>
      </c>
      <c r="ER54" s="8">
        <v>4801570</v>
      </c>
      <c r="ES54" s="8">
        <v>4801570</v>
      </c>
      <c r="ET54" s="8">
        <v>4801570</v>
      </c>
      <c r="EU54" s="8">
        <v>5337303</v>
      </c>
      <c r="EV54" s="8">
        <v>5337303</v>
      </c>
      <c r="EW54" s="8">
        <v>5337303</v>
      </c>
      <c r="EX54" s="8">
        <v>5337303</v>
      </c>
      <c r="EY54" s="8">
        <v>5337303</v>
      </c>
      <c r="EZ54" s="8">
        <v>5337303</v>
      </c>
      <c r="FA54" s="8">
        <v>3499759</v>
      </c>
      <c r="FB54" s="9">
        <f t="shared" si="30"/>
        <v>3499759</v>
      </c>
      <c r="FC54" s="8">
        <v>1204885</v>
      </c>
      <c r="FD54" s="8">
        <v>1204885</v>
      </c>
      <c r="FE54" s="8">
        <v>1204885</v>
      </c>
      <c r="FF54" s="8">
        <v>1204885</v>
      </c>
      <c r="FG54" s="8">
        <v>1204885</v>
      </c>
      <c r="FH54" s="8">
        <v>1204885</v>
      </c>
      <c r="FI54" s="8">
        <v>1204885</v>
      </c>
      <c r="FJ54" s="8"/>
      <c r="FK54" s="8"/>
      <c r="FL54" s="8"/>
      <c r="FM54" s="8"/>
      <c r="FN54" s="8"/>
      <c r="FO54" s="9">
        <f t="shared" si="31"/>
        <v>1204885</v>
      </c>
    </row>
    <row r="55" spans="2:171" ht="14.25" customHeight="1" x14ac:dyDescent="0.3">
      <c r="B55" s="7" t="s">
        <v>54</v>
      </c>
      <c r="C55" s="8">
        <v>0</v>
      </c>
      <c r="D55" s="8">
        <v>677977</v>
      </c>
      <c r="E55" s="8">
        <v>19799480</v>
      </c>
      <c r="F55" s="8">
        <v>19799480</v>
      </c>
      <c r="G55" s="8">
        <v>19799480</v>
      </c>
      <c r="H55" s="8">
        <v>19799480</v>
      </c>
      <c r="I55" s="8">
        <v>19799480</v>
      </c>
      <c r="J55" s="8">
        <v>19958552</v>
      </c>
      <c r="K55" s="8">
        <v>29146596</v>
      </c>
      <c r="L55" s="8">
        <v>29146596</v>
      </c>
      <c r="M55" s="8">
        <v>25161182</v>
      </c>
      <c r="N55" s="8">
        <v>24065884</v>
      </c>
      <c r="O55" s="9">
        <f t="shared" si="19"/>
        <v>24065884</v>
      </c>
      <c r="P55" s="8">
        <v>0</v>
      </c>
      <c r="Q55" s="8">
        <v>2149861</v>
      </c>
      <c r="R55" s="8">
        <v>11124605</v>
      </c>
      <c r="S55" s="8">
        <v>11124605</v>
      </c>
      <c r="T55" s="8">
        <v>11124605</v>
      </c>
      <c r="U55" s="8">
        <v>12744569</v>
      </c>
      <c r="V55" s="8">
        <v>12744569</v>
      </c>
      <c r="W55" s="8">
        <v>13269216</v>
      </c>
      <c r="X55" s="8">
        <v>13269216</v>
      </c>
      <c r="Y55" s="8">
        <v>13704241</v>
      </c>
      <c r="Z55" s="8">
        <v>15246075</v>
      </c>
      <c r="AA55" s="8">
        <v>14725343</v>
      </c>
      <c r="AB55" s="9">
        <f t="shared" si="20"/>
        <v>14725343</v>
      </c>
      <c r="AC55" s="8">
        <v>0</v>
      </c>
      <c r="AD55" s="8">
        <v>7086764</v>
      </c>
      <c r="AE55" s="8">
        <v>10778454</v>
      </c>
      <c r="AF55" s="8">
        <v>14508313</v>
      </c>
      <c r="AG55" s="8">
        <v>16819818</v>
      </c>
      <c r="AH55" s="8">
        <v>16819818</v>
      </c>
      <c r="AI55" s="8">
        <v>16837758</v>
      </c>
      <c r="AJ55" s="8">
        <v>16831025</v>
      </c>
      <c r="AK55" s="8">
        <v>16831025</v>
      </c>
      <c r="AL55" s="8">
        <v>19701524</v>
      </c>
      <c r="AM55" s="8">
        <v>19701524</v>
      </c>
      <c r="AN55" s="8">
        <v>10955055</v>
      </c>
      <c r="AO55" s="9">
        <f t="shared" si="21"/>
        <v>10955055</v>
      </c>
      <c r="AP55" s="8">
        <v>0</v>
      </c>
      <c r="AQ55" s="8">
        <v>7481603</v>
      </c>
      <c r="AR55" s="8">
        <v>7481603</v>
      </c>
      <c r="AS55" s="8">
        <v>7481603</v>
      </c>
      <c r="AT55" s="8">
        <v>7481603</v>
      </c>
      <c r="AU55" s="8">
        <v>8260505</v>
      </c>
      <c r="AV55" s="8">
        <v>9160652</v>
      </c>
      <c r="AW55" s="8">
        <v>9160652</v>
      </c>
      <c r="AX55" s="8">
        <v>9160652</v>
      </c>
      <c r="AY55" s="8">
        <v>9256549</v>
      </c>
      <c r="AZ55" s="8">
        <v>9256549</v>
      </c>
      <c r="BA55" s="8">
        <v>12611145</v>
      </c>
      <c r="BB55" s="9">
        <f t="shared" si="22"/>
        <v>12611145</v>
      </c>
      <c r="BC55" s="8">
        <v>0</v>
      </c>
      <c r="BD55" s="8">
        <v>0</v>
      </c>
      <c r="BE55" s="8">
        <v>3809389</v>
      </c>
      <c r="BF55" s="8">
        <v>4646891</v>
      </c>
      <c r="BG55" s="8">
        <v>4646891</v>
      </c>
      <c r="BH55" s="8">
        <v>7824234</v>
      </c>
      <c r="BI55" s="8">
        <v>7824234</v>
      </c>
      <c r="BJ55" s="8">
        <v>6202605</v>
      </c>
      <c r="BK55" s="8">
        <v>5761388</v>
      </c>
      <c r="BL55" s="8">
        <v>5761388</v>
      </c>
      <c r="BM55" s="8">
        <v>5761388</v>
      </c>
      <c r="BN55" s="8">
        <v>4542890</v>
      </c>
      <c r="BO55" s="9">
        <f t="shared" si="23"/>
        <v>4542890</v>
      </c>
      <c r="BP55" s="8">
        <v>0</v>
      </c>
      <c r="BQ55" s="8">
        <v>0</v>
      </c>
      <c r="BR55" s="8">
        <v>8204529</v>
      </c>
      <c r="BS55" s="8">
        <v>8204529</v>
      </c>
      <c r="BT55" s="8">
        <v>8204529</v>
      </c>
      <c r="BU55" s="8">
        <v>8265763</v>
      </c>
      <c r="BV55" s="8">
        <v>9699974</v>
      </c>
      <c r="BW55" s="8">
        <v>9699974</v>
      </c>
      <c r="BX55" s="8">
        <v>9666612</v>
      </c>
      <c r="BY55" s="8">
        <v>9666612</v>
      </c>
      <c r="BZ55" s="8">
        <v>9666612</v>
      </c>
      <c r="CA55" s="8">
        <v>10131723</v>
      </c>
      <c r="CB55" s="9">
        <f t="shared" si="24"/>
        <v>10131723</v>
      </c>
      <c r="CC55" s="8">
        <v>0</v>
      </c>
      <c r="CD55" s="8">
        <v>0</v>
      </c>
      <c r="CE55" s="8">
        <v>3225551</v>
      </c>
      <c r="CF55" s="8">
        <v>3225551</v>
      </c>
      <c r="CG55" s="8">
        <v>3225551</v>
      </c>
      <c r="CH55" s="8">
        <v>3225551</v>
      </c>
      <c r="CI55" s="8">
        <v>3225551</v>
      </c>
      <c r="CJ55" s="8">
        <v>3225551</v>
      </c>
      <c r="CK55" s="8">
        <v>1770446</v>
      </c>
      <c r="CL55" s="8">
        <v>1770446</v>
      </c>
      <c r="CM55" s="8">
        <v>1770446</v>
      </c>
      <c r="CN55" s="8">
        <v>1606025</v>
      </c>
      <c r="CO55" s="9">
        <f t="shared" si="25"/>
        <v>1606025</v>
      </c>
      <c r="CP55" s="8">
        <v>0</v>
      </c>
      <c r="CQ55" s="8">
        <v>1248525</v>
      </c>
      <c r="CR55" s="8">
        <v>1248525</v>
      </c>
      <c r="CS55" s="8">
        <v>1248525</v>
      </c>
      <c r="CT55" s="8">
        <v>1248525</v>
      </c>
      <c r="CU55" s="8">
        <v>1248525</v>
      </c>
      <c r="CV55" s="8">
        <v>1297030</v>
      </c>
      <c r="CW55" s="8">
        <v>422087</v>
      </c>
      <c r="CX55" s="8">
        <v>422087</v>
      </c>
      <c r="CY55" s="8">
        <v>422087</v>
      </c>
      <c r="CZ55" s="8">
        <v>329151</v>
      </c>
      <c r="DA55" s="8">
        <v>329151</v>
      </c>
      <c r="DB55" s="9">
        <f t="shared" si="26"/>
        <v>329151</v>
      </c>
      <c r="DC55" s="8">
        <v>0</v>
      </c>
      <c r="DD55" s="8">
        <v>2368363</v>
      </c>
      <c r="DE55" s="8">
        <v>2368363</v>
      </c>
      <c r="DF55" s="8">
        <v>2368363</v>
      </c>
      <c r="DG55" s="8">
        <v>2368363</v>
      </c>
      <c r="DH55" s="8">
        <v>2368363</v>
      </c>
      <c r="DI55" s="8">
        <v>621715</v>
      </c>
      <c r="DJ55" s="8">
        <v>621715</v>
      </c>
      <c r="DK55" s="8">
        <v>621715</v>
      </c>
      <c r="DL55" s="8">
        <v>621715</v>
      </c>
      <c r="DM55" s="8">
        <v>417098</v>
      </c>
      <c r="DN55" s="8">
        <v>417098</v>
      </c>
      <c r="DO55" s="9">
        <f t="shared" si="27"/>
        <v>417098</v>
      </c>
      <c r="DP55" s="8">
        <v>0</v>
      </c>
      <c r="DQ55" s="8">
        <v>4073367</v>
      </c>
      <c r="DR55" s="8">
        <v>4073367</v>
      </c>
      <c r="DS55" s="8">
        <v>4073367</v>
      </c>
      <c r="DT55" s="8">
        <v>4073367</v>
      </c>
      <c r="DU55" s="8">
        <v>4073367</v>
      </c>
      <c r="DV55" s="8">
        <v>3462868</v>
      </c>
      <c r="DW55" s="8">
        <v>3462868</v>
      </c>
      <c r="DX55" s="8">
        <v>3462868</v>
      </c>
      <c r="DY55" s="8">
        <v>3462868</v>
      </c>
      <c r="DZ55" s="8">
        <v>3462868</v>
      </c>
      <c r="EA55" s="8">
        <v>3790966</v>
      </c>
      <c r="EB55" s="9">
        <f t="shared" si="28"/>
        <v>3790966</v>
      </c>
      <c r="EC55" s="8">
        <v>0</v>
      </c>
      <c r="ED55" s="8">
        <v>4248637</v>
      </c>
      <c r="EE55" s="8">
        <v>4248637</v>
      </c>
      <c r="EF55" s="8">
        <v>4248637</v>
      </c>
      <c r="EG55" s="8">
        <v>4483836</v>
      </c>
      <c r="EH55" s="8">
        <v>4483836</v>
      </c>
      <c r="EI55" s="8">
        <v>4483836</v>
      </c>
      <c r="EJ55" s="8">
        <v>4483836</v>
      </c>
      <c r="EK55" s="8">
        <v>6019574</v>
      </c>
      <c r="EL55" s="8">
        <v>5139751</v>
      </c>
      <c r="EM55" s="8">
        <v>5139751</v>
      </c>
      <c r="EN55" s="8">
        <v>5139751</v>
      </c>
      <c r="EO55" s="9">
        <f t="shared" si="29"/>
        <v>5139751</v>
      </c>
      <c r="EP55" s="8">
        <v>0</v>
      </c>
      <c r="EQ55" s="8">
        <v>4699720</v>
      </c>
      <c r="ER55" s="8">
        <v>4699720</v>
      </c>
      <c r="ES55" s="8">
        <v>4699720</v>
      </c>
      <c r="ET55" s="8">
        <v>4699720</v>
      </c>
      <c r="EU55" s="8">
        <v>4699720</v>
      </c>
      <c r="EV55" s="8">
        <v>4699720</v>
      </c>
      <c r="EW55" s="8">
        <v>4699720</v>
      </c>
      <c r="EX55" s="8">
        <v>3072070</v>
      </c>
      <c r="EY55" s="8">
        <v>3601813</v>
      </c>
      <c r="EZ55" s="8">
        <v>3601813</v>
      </c>
      <c r="FA55" s="8">
        <v>2365042</v>
      </c>
      <c r="FB55" s="9">
        <f t="shared" si="30"/>
        <v>2365042</v>
      </c>
      <c r="FC55" s="8">
        <v>1473262</v>
      </c>
      <c r="FD55" s="8">
        <v>1473262</v>
      </c>
      <c r="FE55" s="8">
        <v>1473262</v>
      </c>
      <c r="FF55" s="8">
        <v>1473262</v>
      </c>
      <c r="FG55" s="8">
        <v>1473262</v>
      </c>
      <c r="FH55" s="8">
        <v>1729150</v>
      </c>
      <c r="FI55" s="8">
        <v>1729150</v>
      </c>
      <c r="FJ55" s="8"/>
      <c r="FK55" s="8"/>
      <c r="FL55" s="8"/>
      <c r="FM55" s="8"/>
      <c r="FN55" s="8"/>
      <c r="FO55" s="9">
        <f t="shared" si="31"/>
        <v>1729150</v>
      </c>
    </row>
    <row r="56" spans="2:171" ht="14.25" customHeight="1" x14ac:dyDescent="0.3">
      <c r="B56" s="7" t="s">
        <v>55</v>
      </c>
      <c r="C56" s="8">
        <v>0</v>
      </c>
      <c r="D56" s="8">
        <v>0</v>
      </c>
      <c r="E56" s="8">
        <v>17732502</v>
      </c>
      <c r="F56" s="8">
        <v>17732502</v>
      </c>
      <c r="G56" s="8">
        <v>17732502</v>
      </c>
      <c r="H56" s="8">
        <v>17732502</v>
      </c>
      <c r="I56" s="8">
        <v>17732502</v>
      </c>
      <c r="J56" s="8">
        <v>17765611</v>
      </c>
      <c r="K56" s="8">
        <v>32714900</v>
      </c>
      <c r="L56" s="8">
        <v>32714900</v>
      </c>
      <c r="M56" s="8">
        <v>28850564</v>
      </c>
      <c r="N56" s="8">
        <v>28850564</v>
      </c>
      <c r="O56" s="9">
        <f t="shared" si="19"/>
        <v>28850564</v>
      </c>
      <c r="P56" s="8">
        <v>0</v>
      </c>
      <c r="Q56" s="8">
        <v>5728106</v>
      </c>
      <c r="R56" s="8">
        <v>25624193</v>
      </c>
      <c r="S56" s="8">
        <v>26135737</v>
      </c>
      <c r="T56" s="8">
        <v>26135737</v>
      </c>
      <c r="U56" s="8">
        <v>26570549</v>
      </c>
      <c r="V56" s="8">
        <v>29225430</v>
      </c>
      <c r="W56" s="8">
        <v>25341149</v>
      </c>
      <c r="X56" s="8">
        <v>25341149</v>
      </c>
      <c r="Y56" s="8">
        <v>25341149</v>
      </c>
      <c r="Z56" s="8">
        <v>25237109</v>
      </c>
      <c r="AA56" s="8">
        <v>25133172</v>
      </c>
      <c r="AB56" s="9">
        <f t="shared" si="20"/>
        <v>25133172</v>
      </c>
      <c r="AC56" s="8">
        <v>0</v>
      </c>
      <c r="AD56" s="8">
        <v>14750156</v>
      </c>
      <c r="AE56" s="8">
        <v>14750156</v>
      </c>
      <c r="AF56" s="8">
        <v>22728966</v>
      </c>
      <c r="AG56" s="8">
        <v>25551865</v>
      </c>
      <c r="AH56" s="8">
        <v>26105925</v>
      </c>
      <c r="AI56" s="8">
        <v>26105925</v>
      </c>
      <c r="AJ56" s="8">
        <v>26105925</v>
      </c>
      <c r="AK56" s="8">
        <v>26244676</v>
      </c>
      <c r="AL56" s="8">
        <v>25446429</v>
      </c>
      <c r="AM56" s="8">
        <v>25531669</v>
      </c>
      <c r="AN56" s="8">
        <v>18793138</v>
      </c>
      <c r="AO56" s="9">
        <f t="shared" si="21"/>
        <v>18793138</v>
      </c>
      <c r="AP56" s="8">
        <v>0</v>
      </c>
      <c r="AQ56" s="8">
        <v>18840037</v>
      </c>
      <c r="AR56" s="8">
        <v>18840037</v>
      </c>
      <c r="AS56" s="8">
        <v>18840037</v>
      </c>
      <c r="AT56" s="8">
        <v>18840037</v>
      </c>
      <c r="AU56" s="8">
        <v>18840037</v>
      </c>
      <c r="AV56" s="8">
        <v>19473366</v>
      </c>
      <c r="AW56" s="8">
        <v>19379646</v>
      </c>
      <c r="AX56" s="8">
        <v>17445867</v>
      </c>
      <c r="AY56" s="8">
        <v>17445867</v>
      </c>
      <c r="AZ56" s="8">
        <v>17445867</v>
      </c>
      <c r="BA56" s="8">
        <v>16986783</v>
      </c>
      <c r="BB56" s="9">
        <f t="shared" si="22"/>
        <v>16986783</v>
      </c>
      <c r="BC56" s="8">
        <v>0</v>
      </c>
      <c r="BD56" s="8">
        <v>0</v>
      </c>
      <c r="BE56" s="8">
        <v>10206073</v>
      </c>
      <c r="BF56" s="8">
        <v>10206073</v>
      </c>
      <c r="BG56" s="8">
        <v>10206073</v>
      </c>
      <c r="BH56" s="8">
        <v>11395944</v>
      </c>
      <c r="BI56" s="8">
        <v>11395944</v>
      </c>
      <c r="BJ56" s="8">
        <v>11477834</v>
      </c>
      <c r="BK56" s="8">
        <v>11520266</v>
      </c>
      <c r="BL56" s="8">
        <v>11520266</v>
      </c>
      <c r="BM56" s="8">
        <v>11520266</v>
      </c>
      <c r="BN56" s="8">
        <v>12288201</v>
      </c>
      <c r="BO56" s="9">
        <f t="shared" si="23"/>
        <v>12288201</v>
      </c>
      <c r="BP56" s="8">
        <v>0</v>
      </c>
      <c r="BQ56" s="8">
        <v>32346437</v>
      </c>
      <c r="BR56" s="8">
        <v>54420853</v>
      </c>
      <c r="BS56" s="8">
        <v>54420853</v>
      </c>
      <c r="BT56" s="8">
        <v>54420853</v>
      </c>
      <c r="BU56" s="8">
        <v>85623608</v>
      </c>
      <c r="BV56" s="8">
        <v>85850797</v>
      </c>
      <c r="BW56" s="8">
        <v>130246268</v>
      </c>
      <c r="BX56" s="8">
        <v>128525780</v>
      </c>
      <c r="BY56" s="8">
        <v>128525780</v>
      </c>
      <c r="BZ56" s="8">
        <v>128600480</v>
      </c>
      <c r="CA56" s="8">
        <v>127345014</v>
      </c>
      <c r="CB56" s="9">
        <f t="shared" si="24"/>
        <v>127345014</v>
      </c>
      <c r="CC56" s="8">
        <v>0</v>
      </c>
      <c r="CD56" s="8">
        <v>571263</v>
      </c>
      <c r="CE56" s="8">
        <v>121936863</v>
      </c>
      <c r="CF56" s="8">
        <v>123681675</v>
      </c>
      <c r="CG56" s="8">
        <v>123681675</v>
      </c>
      <c r="CH56" s="8">
        <v>123681675</v>
      </c>
      <c r="CI56" s="8">
        <v>123681675</v>
      </c>
      <c r="CJ56" s="8">
        <v>123681675</v>
      </c>
      <c r="CK56" s="8">
        <v>123681675</v>
      </c>
      <c r="CL56" s="8">
        <v>123681675</v>
      </c>
      <c r="CM56" s="8">
        <v>84373709</v>
      </c>
      <c r="CN56" s="8">
        <v>81718216</v>
      </c>
      <c r="CO56" s="9">
        <f t="shared" si="25"/>
        <v>81718216</v>
      </c>
      <c r="CP56" s="8">
        <v>0</v>
      </c>
      <c r="CQ56" s="8">
        <v>65908956</v>
      </c>
      <c r="CR56" s="8">
        <v>66087589</v>
      </c>
      <c r="CS56" s="8">
        <v>66087589</v>
      </c>
      <c r="CT56" s="8">
        <v>66871324</v>
      </c>
      <c r="CU56" s="8">
        <v>67249880</v>
      </c>
      <c r="CV56" s="8">
        <v>67249880</v>
      </c>
      <c r="CW56" s="8">
        <v>67249880</v>
      </c>
      <c r="CX56" s="8">
        <v>67249880</v>
      </c>
      <c r="CY56" s="8">
        <v>66532963</v>
      </c>
      <c r="CZ56" s="8">
        <v>66532963</v>
      </c>
      <c r="DA56" s="8">
        <v>37993301</v>
      </c>
      <c r="DB56" s="9">
        <f t="shared" si="26"/>
        <v>37993301</v>
      </c>
      <c r="DC56" s="8">
        <v>0</v>
      </c>
      <c r="DD56" s="8">
        <v>53682623</v>
      </c>
      <c r="DE56" s="8">
        <v>53682623</v>
      </c>
      <c r="DF56" s="8">
        <v>53682623</v>
      </c>
      <c r="DG56" s="8">
        <v>53682623</v>
      </c>
      <c r="DH56" s="8">
        <v>54140532</v>
      </c>
      <c r="DI56" s="8">
        <v>54917414</v>
      </c>
      <c r="DJ56" s="8">
        <v>54917414</v>
      </c>
      <c r="DK56" s="8">
        <v>54917414</v>
      </c>
      <c r="DL56" s="8">
        <v>54917414</v>
      </c>
      <c r="DM56" s="8">
        <v>54917414</v>
      </c>
      <c r="DN56" s="8">
        <v>37483292</v>
      </c>
      <c r="DO56" s="9">
        <f t="shared" si="27"/>
        <v>37483292</v>
      </c>
      <c r="DP56" s="8">
        <v>0</v>
      </c>
      <c r="DQ56" s="8">
        <v>28872375</v>
      </c>
      <c r="DR56" s="8">
        <v>28962375</v>
      </c>
      <c r="DS56" s="8">
        <v>28962375</v>
      </c>
      <c r="DT56" s="8">
        <v>28962375</v>
      </c>
      <c r="DU56" s="8">
        <v>29232467</v>
      </c>
      <c r="DV56" s="8">
        <v>33031463</v>
      </c>
      <c r="DW56" s="8">
        <v>33161340</v>
      </c>
      <c r="DX56" s="8">
        <v>33161340</v>
      </c>
      <c r="DY56" s="8">
        <v>33957770</v>
      </c>
      <c r="DZ56" s="8">
        <v>23134542</v>
      </c>
      <c r="EA56" s="8">
        <v>21941763</v>
      </c>
      <c r="EB56" s="9">
        <f t="shared" si="28"/>
        <v>21941763</v>
      </c>
      <c r="EC56" s="8">
        <v>0</v>
      </c>
      <c r="ED56" s="8">
        <v>24943132</v>
      </c>
      <c r="EE56" s="8">
        <v>27976131</v>
      </c>
      <c r="EF56" s="8">
        <v>28469647</v>
      </c>
      <c r="EG56" s="8">
        <v>28469647</v>
      </c>
      <c r="EH56" s="8">
        <v>28629535</v>
      </c>
      <c r="EI56" s="8">
        <v>25305692</v>
      </c>
      <c r="EJ56" s="8">
        <v>25305692</v>
      </c>
      <c r="EK56" s="8">
        <v>25305692</v>
      </c>
      <c r="EL56" s="8">
        <v>21850749</v>
      </c>
      <c r="EM56" s="8">
        <v>20304843</v>
      </c>
      <c r="EN56" s="8">
        <v>19433127</v>
      </c>
      <c r="EO56" s="9">
        <f t="shared" si="29"/>
        <v>19433127</v>
      </c>
      <c r="EP56" s="8">
        <v>0</v>
      </c>
      <c r="EQ56" s="8">
        <v>14374234</v>
      </c>
      <c r="ER56" s="8">
        <v>14374234</v>
      </c>
      <c r="ES56" s="8">
        <v>14374234</v>
      </c>
      <c r="ET56" s="8">
        <v>14374234</v>
      </c>
      <c r="EU56" s="8">
        <v>14374234</v>
      </c>
      <c r="EV56" s="8">
        <v>14374234</v>
      </c>
      <c r="EW56" s="8">
        <v>14374234</v>
      </c>
      <c r="EX56" s="8">
        <v>14374234</v>
      </c>
      <c r="EY56" s="8">
        <v>15359094</v>
      </c>
      <c r="EZ56" s="8">
        <v>15359094</v>
      </c>
      <c r="FA56" s="8">
        <v>10904200</v>
      </c>
      <c r="FB56" s="9">
        <f t="shared" si="30"/>
        <v>10904200</v>
      </c>
      <c r="FC56" s="8">
        <v>19044871</v>
      </c>
      <c r="FD56" s="8">
        <v>19044871</v>
      </c>
      <c r="FE56" s="8">
        <v>19044871</v>
      </c>
      <c r="FF56" s="8">
        <v>19044871</v>
      </c>
      <c r="FG56" s="8">
        <v>19044871</v>
      </c>
      <c r="FH56" s="8">
        <v>19044871</v>
      </c>
      <c r="FI56" s="8">
        <v>19044871</v>
      </c>
      <c r="FJ56" s="8"/>
      <c r="FK56" s="8"/>
      <c r="FL56" s="8"/>
      <c r="FM56" s="8"/>
      <c r="FN56" s="8"/>
      <c r="FO56" s="9">
        <f t="shared" si="31"/>
        <v>19044871</v>
      </c>
    </row>
    <row r="57" spans="2:171" ht="14.25" customHeight="1" x14ac:dyDescent="0.3">
      <c r="B57" s="7" t="s">
        <v>56</v>
      </c>
      <c r="C57" s="8">
        <v>0</v>
      </c>
      <c r="D57" s="8">
        <v>4326206</v>
      </c>
      <c r="E57" s="8">
        <v>4326206</v>
      </c>
      <c r="F57" s="8">
        <v>4326206</v>
      </c>
      <c r="G57" s="8">
        <v>4326206</v>
      </c>
      <c r="H57" s="8">
        <v>4326206</v>
      </c>
      <c r="I57" s="8">
        <v>4326206</v>
      </c>
      <c r="J57" s="8">
        <v>4326206</v>
      </c>
      <c r="K57" s="8">
        <v>5257540</v>
      </c>
      <c r="L57" s="8">
        <v>5257540</v>
      </c>
      <c r="M57" s="8">
        <v>6021510</v>
      </c>
      <c r="N57" s="8">
        <v>6021510</v>
      </c>
      <c r="O57" s="9">
        <f t="shared" si="19"/>
        <v>6021510</v>
      </c>
      <c r="P57" s="8">
        <v>0</v>
      </c>
      <c r="Q57" s="8">
        <v>5598332</v>
      </c>
      <c r="R57" s="8">
        <v>5598332</v>
      </c>
      <c r="S57" s="8">
        <v>5598714</v>
      </c>
      <c r="T57" s="8">
        <v>6875091</v>
      </c>
      <c r="U57" s="8">
        <v>7265454</v>
      </c>
      <c r="V57" s="8">
        <v>7265454</v>
      </c>
      <c r="W57" s="8">
        <v>7707857</v>
      </c>
      <c r="X57" s="8">
        <v>7743287</v>
      </c>
      <c r="Y57" s="8">
        <v>7871043</v>
      </c>
      <c r="Z57" s="8">
        <v>8693171</v>
      </c>
      <c r="AA57" s="8">
        <v>5294487</v>
      </c>
      <c r="AB57" s="9">
        <f t="shared" si="20"/>
        <v>5294487</v>
      </c>
      <c r="AC57" s="8">
        <v>0</v>
      </c>
      <c r="AD57" s="8">
        <v>7846636</v>
      </c>
      <c r="AE57" s="8">
        <v>7846636</v>
      </c>
      <c r="AF57" s="8">
        <v>7846636</v>
      </c>
      <c r="AG57" s="8">
        <v>7846636</v>
      </c>
      <c r="AH57" s="8">
        <v>7927684</v>
      </c>
      <c r="AI57" s="8">
        <v>8096697</v>
      </c>
      <c r="AJ57" s="8">
        <v>8096697</v>
      </c>
      <c r="AK57" s="8">
        <v>8096697</v>
      </c>
      <c r="AL57" s="8">
        <v>8096697</v>
      </c>
      <c r="AM57" s="8">
        <v>6893817</v>
      </c>
      <c r="AN57" s="8">
        <v>3027476</v>
      </c>
      <c r="AO57" s="9">
        <f t="shared" si="21"/>
        <v>3027476</v>
      </c>
      <c r="AP57" s="8">
        <v>0</v>
      </c>
      <c r="AQ57" s="8">
        <v>4978540</v>
      </c>
      <c r="AR57" s="8">
        <v>4978540</v>
      </c>
      <c r="AS57" s="8">
        <v>4978540</v>
      </c>
      <c r="AT57" s="8">
        <v>4996692</v>
      </c>
      <c r="AU57" s="8">
        <v>4996692</v>
      </c>
      <c r="AV57" s="8">
        <v>4996692</v>
      </c>
      <c r="AW57" s="8">
        <v>4996692</v>
      </c>
      <c r="AX57" s="8">
        <v>4996692</v>
      </c>
      <c r="AY57" s="8">
        <v>5011107</v>
      </c>
      <c r="AZ57" s="8">
        <v>5011107</v>
      </c>
      <c r="BA57" s="8">
        <v>2367904</v>
      </c>
      <c r="BB57" s="9">
        <f t="shared" si="22"/>
        <v>2367904</v>
      </c>
      <c r="BC57" s="8">
        <v>0</v>
      </c>
      <c r="BD57" s="8">
        <v>0</v>
      </c>
      <c r="BE57" s="8">
        <v>0</v>
      </c>
      <c r="BF57" s="8">
        <v>11869417</v>
      </c>
      <c r="BG57" s="8">
        <v>11869417</v>
      </c>
      <c r="BH57" s="8">
        <v>11869417</v>
      </c>
      <c r="BI57" s="8">
        <v>11869417</v>
      </c>
      <c r="BJ57" s="8">
        <v>8450354</v>
      </c>
      <c r="BK57" s="8">
        <v>8450354</v>
      </c>
      <c r="BL57" s="8">
        <v>8450354</v>
      </c>
      <c r="BM57" s="8">
        <v>8450354</v>
      </c>
      <c r="BN57" s="8">
        <v>4296325</v>
      </c>
      <c r="BO57" s="9">
        <f t="shared" si="23"/>
        <v>4296325</v>
      </c>
      <c r="BP57" s="8">
        <v>0</v>
      </c>
      <c r="BQ57" s="8">
        <v>0</v>
      </c>
      <c r="BR57" s="8">
        <v>25916946</v>
      </c>
      <c r="BS57" s="8">
        <v>25916946</v>
      </c>
      <c r="BT57" s="8">
        <v>25916946</v>
      </c>
      <c r="BU57" s="8">
        <v>9370226</v>
      </c>
      <c r="BV57" s="8">
        <v>9370226</v>
      </c>
      <c r="BW57" s="8">
        <v>10196901</v>
      </c>
      <c r="BX57" s="8">
        <v>8299769</v>
      </c>
      <c r="BY57" s="8">
        <v>8299769</v>
      </c>
      <c r="BZ57" s="8">
        <v>8299769</v>
      </c>
      <c r="CA57" s="8">
        <v>8804587</v>
      </c>
      <c r="CB57" s="9">
        <f t="shared" si="24"/>
        <v>8804587</v>
      </c>
      <c r="CC57" s="8">
        <v>0</v>
      </c>
      <c r="CD57" s="8">
        <v>23507691</v>
      </c>
      <c r="CE57" s="8">
        <v>24208318</v>
      </c>
      <c r="CF57" s="8">
        <v>24208318</v>
      </c>
      <c r="CG57" s="8">
        <v>24208318</v>
      </c>
      <c r="CH57" s="8">
        <v>24208318</v>
      </c>
      <c r="CI57" s="8">
        <v>24348101</v>
      </c>
      <c r="CJ57" s="8">
        <v>14238116</v>
      </c>
      <c r="CK57" s="8">
        <v>14238116</v>
      </c>
      <c r="CL57" s="8">
        <v>14238116</v>
      </c>
      <c r="CM57" s="8">
        <v>14238116</v>
      </c>
      <c r="CN57" s="8">
        <v>18257583</v>
      </c>
      <c r="CO57" s="9">
        <f t="shared" si="25"/>
        <v>18257583</v>
      </c>
      <c r="CP57" s="8">
        <v>0</v>
      </c>
      <c r="CQ57" s="8">
        <v>24609970</v>
      </c>
      <c r="CR57" s="8">
        <v>24609970</v>
      </c>
      <c r="CS57" s="8">
        <v>24609970</v>
      </c>
      <c r="CT57" s="8">
        <v>24609970</v>
      </c>
      <c r="CU57" s="8">
        <v>24609970</v>
      </c>
      <c r="CV57" s="8">
        <v>24673133</v>
      </c>
      <c r="CW57" s="8">
        <v>24673133</v>
      </c>
      <c r="CX57" s="8">
        <v>24673133</v>
      </c>
      <c r="CY57" s="8">
        <v>24933090</v>
      </c>
      <c r="CZ57" s="8">
        <v>23726262</v>
      </c>
      <c r="DA57" s="8">
        <v>27428347</v>
      </c>
      <c r="DB57" s="9">
        <f t="shared" si="26"/>
        <v>27428347</v>
      </c>
      <c r="DC57" s="8">
        <v>0</v>
      </c>
      <c r="DD57" s="8">
        <v>34664511</v>
      </c>
      <c r="DE57" s="8">
        <v>34664511</v>
      </c>
      <c r="DF57" s="8">
        <v>34664511</v>
      </c>
      <c r="DG57" s="8">
        <v>35287220</v>
      </c>
      <c r="DH57" s="8">
        <v>35287220</v>
      </c>
      <c r="DI57" s="8">
        <v>42137145</v>
      </c>
      <c r="DJ57" s="8">
        <v>42137145</v>
      </c>
      <c r="DK57" s="8">
        <v>42403408</v>
      </c>
      <c r="DL57" s="8">
        <v>42403408</v>
      </c>
      <c r="DM57" s="8">
        <v>42349014</v>
      </c>
      <c r="DN57" s="8">
        <v>40187261</v>
      </c>
      <c r="DO57" s="9">
        <f t="shared" si="27"/>
        <v>40187261</v>
      </c>
      <c r="DP57" s="8">
        <v>0</v>
      </c>
      <c r="DQ57" s="8">
        <v>41090349</v>
      </c>
      <c r="DR57" s="8">
        <v>44192890</v>
      </c>
      <c r="DS57" s="8">
        <v>44192890</v>
      </c>
      <c r="DT57" s="8">
        <v>44192890</v>
      </c>
      <c r="DU57" s="8">
        <v>45542378</v>
      </c>
      <c r="DV57" s="8">
        <v>71852701</v>
      </c>
      <c r="DW57" s="8">
        <v>71852701</v>
      </c>
      <c r="DX57" s="8">
        <v>71852701</v>
      </c>
      <c r="DY57" s="8">
        <v>72162192</v>
      </c>
      <c r="DZ57" s="8">
        <v>72162192</v>
      </c>
      <c r="EA57" s="8">
        <v>70835784</v>
      </c>
      <c r="EB57" s="9">
        <f t="shared" si="28"/>
        <v>70835784</v>
      </c>
      <c r="EC57" s="8">
        <v>0</v>
      </c>
      <c r="ED57" s="8">
        <v>57645379</v>
      </c>
      <c r="EE57" s="8">
        <v>57778852</v>
      </c>
      <c r="EF57" s="8">
        <v>58819366</v>
      </c>
      <c r="EG57" s="8">
        <v>58819366</v>
      </c>
      <c r="EH57" s="8">
        <v>59771178</v>
      </c>
      <c r="EI57" s="8">
        <v>92107899</v>
      </c>
      <c r="EJ57" s="8">
        <v>92226569</v>
      </c>
      <c r="EK57" s="8">
        <v>92226569</v>
      </c>
      <c r="EL57" s="8">
        <v>91559203</v>
      </c>
      <c r="EM57" s="8">
        <v>86795812</v>
      </c>
      <c r="EN57" s="8">
        <v>84598812</v>
      </c>
      <c r="EO57" s="9">
        <f t="shared" si="29"/>
        <v>84598812</v>
      </c>
      <c r="EP57" s="8">
        <v>0</v>
      </c>
      <c r="EQ57" s="8">
        <v>42351060</v>
      </c>
      <c r="ER57" s="8">
        <v>42351060</v>
      </c>
      <c r="ES57" s="8">
        <v>42351060</v>
      </c>
      <c r="ET57" s="8">
        <v>44686487</v>
      </c>
      <c r="EU57" s="8">
        <v>44686487</v>
      </c>
      <c r="EV57" s="8">
        <v>44686487</v>
      </c>
      <c r="EW57" s="8">
        <v>43553154</v>
      </c>
      <c r="EX57" s="8">
        <v>43553154</v>
      </c>
      <c r="EY57" s="8">
        <v>46457289</v>
      </c>
      <c r="EZ57" s="8">
        <v>46457289</v>
      </c>
      <c r="FA57" s="8">
        <v>43219085</v>
      </c>
      <c r="FB57" s="9">
        <f t="shared" si="30"/>
        <v>43219085</v>
      </c>
      <c r="FC57" s="8">
        <v>36636103</v>
      </c>
      <c r="FD57" s="8">
        <v>36636103</v>
      </c>
      <c r="FE57" s="8">
        <v>36636103</v>
      </c>
      <c r="FF57" s="8">
        <v>36636103</v>
      </c>
      <c r="FG57" s="8">
        <v>36636103</v>
      </c>
      <c r="FH57" s="8">
        <v>54317730</v>
      </c>
      <c r="FI57" s="8">
        <v>54317730</v>
      </c>
      <c r="FJ57" s="8"/>
      <c r="FK57" s="8"/>
      <c r="FL57" s="8"/>
      <c r="FM57" s="8"/>
      <c r="FN57" s="8"/>
      <c r="FO57" s="9">
        <f t="shared" si="31"/>
        <v>54317730</v>
      </c>
    </row>
    <row r="58" spans="2:171" ht="14.25" customHeight="1" x14ac:dyDescent="0.3">
      <c r="B58" s="7" t="s">
        <v>57</v>
      </c>
      <c r="C58" s="8">
        <v>0</v>
      </c>
      <c r="D58" s="8">
        <v>906508</v>
      </c>
      <c r="E58" s="8">
        <v>7669274</v>
      </c>
      <c r="F58" s="8">
        <v>7669274</v>
      </c>
      <c r="G58" s="8">
        <v>7669274</v>
      </c>
      <c r="H58" s="8">
        <v>7669274</v>
      </c>
      <c r="I58" s="8">
        <v>7669274</v>
      </c>
      <c r="J58" s="8">
        <v>7942365</v>
      </c>
      <c r="K58" s="8">
        <v>7942365</v>
      </c>
      <c r="L58" s="8">
        <v>7942365</v>
      </c>
      <c r="M58" s="8">
        <v>9150298</v>
      </c>
      <c r="N58" s="8">
        <v>9175498</v>
      </c>
      <c r="O58" s="9">
        <f t="shared" si="19"/>
        <v>9175498</v>
      </c>
      <c r="P58" s="8">
        <v>0</v>
      </c>
      <c r="Q58" s="8">
        <v>2716295</v>
      </c>
      <c r="R58" s="8">
        <v>7546606</v>
      </c>
      <c r="S58" s="8">
        <v>8368438</v>
      </c>
      <c r="T58" s="8">
        <v>8530930</v>
      </c>
      <c r="U58" s="8">
        <v>9494321</v>
      </c>
      <c r="V58" s="8">
        <v>9494321</v>
      </c>
      <c r="W58" s="8">
        <v>9723642</v>
      </c>
      <c r="X58" s="8">
        <v>8420154</v>
      </c>
      <c r="Y58" s="8">
        <v>8420154</v>
      </c>
      <c r="Z58" s="8">
        <v>8629977</v>
      </c>
      <c r="AA58" s="8">
        <v>8505511</v>
      </c>
      <c r="AB58" s="9">
        <f t="shared" si="20"/>
        <v>8505511</v>
      </c>
      <c r="AC58" s="8">
        <v>0</v>
      </c>
      <c r="AD58" s="8">
        <v>1830027</v>
      </c>
      <c r="AE58" s="8">
        <v>12534237</v>
      </c>
      <c r="AF58" s="8">
        <v>13290504</v>
      </c>
      <c r="AG58" s="8">
        <v>13290504</v>
      </c>
      <c r="AH58" s="8">
        <v>13290504</v>
      </c>
      <c r="AI58" s="8">
        <v>13290504</v>
      </c>
      <c r="AJ58" s="8">
        <v>13926821</v>
      </c>
      <c r="AK58" s="8">
        <v>13926821</v>
      </c>
      <c r="AL58" s="8">
        <v>15804138</v>
      </c>
      <c r="AM58" s="8">
        <v>15397424</v>
      </c>
      <c r="AN58" s="8">
        <v>12590415</v>
      </c>
      <c r="AO58" s="9">
        <f t="shared" si="21"/>
        <v>12590415</v>
      </c>
      <c r="AP58" s="8">
        <v>0</v>
      </c>
      <c r="AQ58" s="8">
        <v>4932386</v>
      </c>
      <c r="AR58" s="8">
        <v>4932386</v>
      </c>
      <c r="AS58" s="8">
        <v>4932386</v>
      </c>
      <c r="AT58" s="8">
        <v>4932386</v>
      </c>
      <c r="AU58" s="8">
        <v>6954793</v>
      </c>
      <c r="AV58" s="8">
        <v>9267426</v>
      </c>
      <c r="AW58" s="8">
        <v>9267426</v>
      </c>
      <c r="AX58" s="8">
        <v>9182762</v>
      </c>
      <c r="AY58" s="8">
        <v>9182762</v>
      </c>
      <c r="AZ58" s="8">
        <v>11082762</v>
      </c>
      <c r="BA58" s="8">
        <v>11158389</v>
      </c>
      <c r="BB58" s="9">
        <f t="shared" si="22"/>
        <v>11158389</v>
      </c>
      <c r="BC58" s="8">
        <v>0</v>
      </c>
      <c r="BD58" s="8">
        <v>0</v>
      </c>
      <c r="BE58" s="8">
        <v>1535000</v>
      </c>
      <c r="BF58" s="8">
        <v>2053480</v>
      </c>
      <c r="BG58" s="8">
        <v>2179629</v>
      </c>
      <c r="BH58" s="8">
        <v>9210362</v>
      </c>
      <c r="BI58" s="8">
        <v>9210362</v>
      </c>
      <c r="BJ58" s="8">
        <v>9638549</v>
      </c>
      <c r="BK58" s="8">
        <v>7210507</v>
      </c>
      <c r="BL58" s="8">
        <v>7210507</v>
      </c>
      <c r="BM58" s="8">
        <v>7210507</v>
      </c>
      <c r="BN58" s="8">
        <v>2573112</v>
      </c>
      <c r="BO58" s="9">
        <f t="shared" si="23"/>
        <v>2573112</v>
      </c>
      <c r="BP58" s="8">
        <v>0</v>
      </c>
      <c r="BQ58" s="8">
        <v>0</v>
      </c>
      <c r="BR58" s="8">
        <v>5425310</v>
      </c>
      <c r="BS58" s="8">
        <v>5425310</v>
      </c>
      <c r="BT58" s="8">
        <v>5425310</v>
      </c>
      <c r="BU58" s="8">
        <v>5425310</v>
      </c>
      <c r="BV58" s="8">
        <v>5425310</v>
      </c>
      <c r="BW58" s="8">
        <v>3070615</v>
      </c>
      <c r="BX58" s="8">
        <v>3070615</v>
      </c>
      <c r="BY58" s="8">
        <v>3070615</v>
      </c>
      <c r="BZ58" s="8">
        <v>3070615</v>
      </c>
      <c r="CA58" s="8">
        <v>3070615</v>
      </c>
      <c r="CB58" s="9">
        <f t="shared" si="24"/>
        <v>3070615</v>
      </c>
      <c r="CC58" s="8">
        <v>0</v>
      </c>
      <c r="CD58" s="8">
        <v>5262547</v>
      </c>
      <c r="CE58" s="8">
        <v>6631520</v>
      </c>
      <c r="CF58" s="8">
        <v>6631520</v>
      </c>
      <c r="CG58" s="8">
        <v>6631520</v>
      </c>
      <c r="CH58" s="8">
        <v>6917051</v>
      </c>
      <c r="CI58" s="8">
        <v>6917051</v>
      </c>
      <c r="CJ58" s="8">
        <v>7540755</v>
      </c>
      <c r="CK58" s="8">
        <v>7540755</v>
      </c>
      <c r="CL58" s="8">
        <v>7540755</v>
      </c>
      <c r="CM58" s="8">
        <v>7540755</v>
      </c>
      <c r="CN58" s="8">
        <v>6700865</v>
      </c>
      <c r="CO58" s="9">
        <f t="shared" si="25"/>
        <v>6700865</v>
      </c>
      <c r="CP58" s="8">
        <v>0</v>
      </c>
      <c r="CQ58" s="8">
        <v>10524006</v>
      </c>
      <c r="CR58" s="8">
        <v>10524006</v>
      </c>
      <c r="CS58" s="8">
        <v>10538052</v>
      </c>
      <c r="CT58" s="8">
        <v>10538052</v>
      </c>
      <c r="CU58" s="8">
        <v>10538052</v>
      </c>
      <c r="CV58" s="8">
        <v>10538052</v>
      </c>
      <c r="CW58" s="8">
        <v>10538052</v>
      </c>
      <c r="CX58" s="8">
        <v>10538052</v>
      </c>
      <c r="CY58" s="8">
        <v>10541955</v>
      </c>
      <c r="CZ58" s="8">
        <v>5616062</v>
      </c>
      <c r="DA58" s="8">
        <v>6628613</v>
      </c>
      <c r="DB58" s="9">
        <f t="shared" si="26"/>
        <v>6628613</v>
      </c>
      <c r="DC58" s="8">
        <v>0</v>
      </c>
      <c r="DD58" s="8">
        <v>6482959</v>
      </c>
      <c r="DE58" s="8">
        <v>6482959</v>
      </c>
      <c r="DF58" s="8">
        <v>6482959</v>
      </c>
      <c r="DG58" s="8">
        <v>6482959</v>
      </c>
      <c r="DH58" s="8">
        <v>6482959</v>
      </c>
      <c r="DI58" s="8">
        <v>2106966</v>
      </c>
      <c r="DJ58" s="8">
        <v>2106966</v>
      </c>
      <c r="DK58" s="8">
        <v>2259696</v>
      </c>
      <c r="DL58" s="8">
        <v>2259696</v>
      </c>
      <c r="DM58" s="8">
        <v>574624</v>
      </c>
      <c r="DN58" s="8">
        <v>574624</v>
      </c>
      <c r="DO58" s="9">
        <f t="shared" si="27"/>
        <v>574624</v>
      </c>
      <c r="DP58" s="8">
        <v>0</v>
      </c>
      <c r="DQ58" s="8">
        <v>4003887</v>
      </c>
      <c r="DR58" s="8">
        <v>4003887</v>
      </c>
      <c r="DS58" s="8">
        <v>4096537</v>
      </c>
      <c r="DT58" s="8">
        <v>4613181</v>
      </c>
      <c r="DU58" s="8">
        <v>5401308</v>
      </c>
      <c r="DV58" s="8">
        <v>5846347</v>
      </c>
      <c r="DW58" s="8">
        <v>5846347</v>
      </c>
      <c r="DX58" s="8">
        <v>5846347</v>
      </c>
      <c r="DY58" s="8">
        <v>5952148</v>
      </c>
      <c r="DZ58" s="8">
        <v>5232931</v>
      </c>
      <c r="EA58" s="8">
        <v>4649486</v>
      </c>
      <c r="EB58" s="9">
        <f t="shared" si="28"/>
        <v>4649486</v>
      </c>
      <c r="EC58" s="8">
        <v>0</v>
      </c>
      <c r="ED58" s="8">
        <v>9596974</v>
      </c>
      <c r="EE58" s="8">
        <v>11064210</v>
      </c>
      <c r="EF58" s="8">
        <v>11691225</v>
      </c>
      <c r="EG58" s="8">
        <v>11741225</v>
      </c>
      <c r="EH58" s="8">
        <v>4093981</v>
      </c>
      <c r="EI58" s="8">
        <v>4226461</v>
      </c>
      <c r="EJ58" s="8">
        <v>4226461</v>
      </c>
      <c r="EK58" s="8">
        <v>4762053</v>
      </c>
      <c r="EL58" s="8">
        <v>4404119</v>
      </c>
      <c r="EM58" s="8">
        <v>4207717</v>
      </c>
      <c r="EN58" s="8">
        <v>4207717</v>
      </c>
      <c r="EO58" s="9">
        <f t="shared" si="29"/>
        <v>4207717</v>
      </c>
      <c r="EP58" s="8">
        <v>0</v>
      </c>
      <c r="EQ58" s="8">
        <v>8928411</v>
      </c>
      <c r="ER58" s="8">
        <v>8928411</v>
      </c>
      <c r="ES58" s="8">
        <v>8928411</v>
      </c>
      <c r="ET58" s="8">
        <v>8928411</v>
      </c>
      <c r="EU58" s="8">
        <v>8928411</v>
      </c>
      <c r="EV58" s="8">
        <v>9044839</v>
      </c>
      <c r="EW58" s="8">
        <v>9044839</v>
      </c>
      <c r="EX58" s="8">
        <v>9044839</v>
      </c>
      <c r="EY58" s="8">
        <v>12794598</v>
      </c>
      <c r="EZ58" s="8">
        <v>12794598</v>
      </c>
      <c r="FA58" s="8">
        <v>11331576</v>
      </c>
      <c r="FB58" s="9">
        <f t="shared" si="30"/>
        <v>11331576</v>
      </c>
      <c r="FC58" s="8">
        <v>5112502</v>
      </c>
      <c r="FD58" s="8">
        <v>5112502</v>
      </c>
      <c r="FE58" s="8">
        <v>5112502</v>
      </c>
      <c r="FF58" s="8">
        <v>5112502</v>
      </c>
      <c r="FG58" s="8">
        <v>5112502</v>
      </c>
      <c r="FH58" s="8">
        <v>11021658</v>
      </c>
      <c r="FI58" s="8">
        <v>11021658</v>
      </c>
      <c r="FJ58" s="8"/>
      <c r="FK58" s="8"/>
      <c r="FL58" s="8"/>
      <c r="FM58" s="8"/>
      <c r="FN58" s="8"/>
      <c r="FO58" s="9">
        <f t="shared" si="31"/>
        <v>11021658</v>
      </c>
    </row>
    <row r="59" spans="2:171" ht="14.25" customHeight="1" x14ac:dyDescent="0.3">
      <c r="B59" s="7" t="s">
        <v>58</v>
      </c>
      <c r="C59" s="8">
        <v>0</v>
      </c>
      <c r="D59" s="8">
        <v>7627934</v>
      </c>
      <c r="E59" s="8">
        <v>7627934</v>
      </c>
      <c r="F59" s="8">
        <v>7627934</v>
      </c>
      <c r="G59" s="8">
        <v>7627934</v>
      </c>
      <c r="H59" s="8">
        <v>7627934</v>
      </c>
      <c r="I59" s="8">
        <v>7627934</v>
      </c>
      <c r="J59" s="8">
        <v>7627934</v>
      </c>
      <c r="K59" s="8">
        <v>10627934</v>
      </c>
      <c r="L59" s="8">
        <v>10627934</v>
      </c>
      <c r="M59" s="8">
        <v>11402113</v>
      </c>
      <c r="N59" s="8">
        <v>12861101</v>
      </c>
      <c r="O59" s="9">
        <f t="shared" si="19"/>
        <v>12861101</v>
      </c>
      <c r="P59" s="8">
        <v>0</v>
      </c>
      <c r="Q59" s="8">
        <v>0</v>
      </c>
      <c r="R59" s="8">
        <v>13787804</v>
      </c>
      <c r="S59" s="8">
        <v>13901236</v>
      </c>
      <c r="T59" s="8">
        <v>15457447</v>
      </c>
      <c r="U59" s="8">
        <v>16760703</v>
      </c>
      <c r="V59" s="8">
        <v>27857055</v>
      </c>
      <c r="W59" s="8">
        <v>27892175</v>
      </c>
      <c r="X59" s="8">
        <v>27892175</v>
      </c>
      <c r="Y59" s="8">
        <v>27892175</v>
      </c>
      <c r="Z59" s="8">
        <v>27892175</v>
      </c>
      <c r="AA59" s="8">
        <v>22447114</v>
      </c>
      <c r="AB59" s="9">
        <f t="shared" si="20"/>
        <v>22447114</v>
      </c>
      <c r="AC59" s="8">
        <v>0</v>
      </c>
      <c r="AD59" s="8">
        <v>12832481</v>
      </c>
      <c r="AE59" s="8">
        <v>12832481</v>
      </c>
      <c r="AF59" s="8">
        <v>12832481</v>
      </c>
      <c r="AG59" s="8">
        <v>14080238</v>
      </c>
      <c r="AH59" s="8">
        <v>14080238</v>
      </c>
      <c r="AI59" s="8">
        <v>14530006</v>
      </c>
      <c r="AJ59" s="8">
        <v>14530006</v>
      </c>
      <c r="AK59" s="8">
        <v>14530006</v>
      </c>
      <c r="AL59" s="8">
        <v>16103244</v>
      </c>
      <c r="AM59" s="8">
        <v>19690428</v>
      </c>
      <c r="AN59" s="8">
        <v>12744173</v>
      </c>
      <c r="AO59" s="9">
        <f t="shared" si="21"/>
        <v>12744173</v>
      </c>
      <c r="AP59" s="8">
        <v>0</v>
      </c>
      <c r="AQ59" s="8">
        <v>0</v>
      </c>
      <c r="AR59" s="8">
        <v>6858400</v>
      </c>
      <c r="AS59" s="8">
        <v>6858400</v>
      </c>
      <c r="AT59" s="8">
        <v>7638400</v>
      </c>
      <c r="AU59" s="8">
        <v>10627216</v>
      </c>
      <c r="AV59" s="8">
        <v>10627216</v>
      </c>
      <c r="AW59" s="8">
        <v>10627216</v>
      </c>
      <c r="AX59" s="8">
        <v>10627216</v>
      </c>
      <c r="AY59" s="8">
        <v>11609801</v>
      </c>
      <c r="AZ59" s="8">
        <v>11609801</v>
      </c>
      <c r="BA59" s="8">
        <v>15841498</v>
      </c>
      <c r="BB59" s="9">
        <f t="shared" si="22"/>
        <v>15841498</v>
      </c>
      <c r="BC59" s="8">
        <v>0</v>
      </c>
      <c r="BD59" s="8">
        <v>0</v>
      </c>
      <c r="BE59" s="8">
        <v>2186306</v>
      </c>
      <c r="BF59" s="8">
        <v>12975369</v>
      </c>
      <c r="BG59" s="8">
        <v>12975369</v>
      </c>
      <c r="BH59" s="8">
        <v>13294856</v>
      </c>
      <c r="BI59" s="8">
        <v>13294856</v>
      </c>
      <c r="BJ59" s="8">
        <v>12954411</v>
      </c>
      <c r="BK59" s="8">
        <v>12954411</v>
      </c>
      <c r="BL59" s="8">
        <v>12954411</v>
      </c>
      <c r="BM59" s="8">
        <v>12954411</v>
      </c>
      <c r="BN59" s="8">
        <v>11261805</v>
      </c>
      <c r="BO59" s="9">
        <f t="shared" si="23"/>
        <v>11261805</v>
      </c>
      <c r="BP59" s="8">
        <v>0</v>
      </c>
      <c r="BQ59" s="8">
        <v>0</v>
      </c>
      <c r="BR59" s="8">
        <v>25036112</v>
      </c>
      <c r="BS59" s="8">
        <v>25036112</v>
      </c>
      <c r="BT59" s="8">
        <v>25036112</v>
      </c>
      <c r="BU59" s="8">
        <v>7594512</v>
      </c>
      <c r="BV59" s="8">
        <v>7594512</v>
      </c>
      <c r="BW59" s="8">
        <v>18664777</v>
      </c>
      <c r="BX59" s="8">
        <v>17638780</v>
      </c>
      <c r="BY59" s="8">
        <v>17638780</v>
      </c>
      <c r="BZ59" s="8">
        <v>17790123</v>
      </c>
      <c r="CA59" s="8">
        <v>17790123</v>
      </c>
      <c r="CB59" s="9">
        <f t="shared" si="24"/>
        <v>17790123</v>
      </c>
      <c r="CC59" s="8">
        <v>0</v>
      </c>
      <c r="CD59" s="8">
        <v>23296161</v>
      </c>
      <c r="CE59" s="8">
        <v>23583648</v>
      </c>
      <c r="CF59" s="8">
        <v>23733908</v>
      </c>
      <c r="CG59" s="8">
        <v>23733908</v>
      </c>
      <c r="CH59" s="8">
        <v>23733908</v>
      </c>
      <c r="CI59" s="8">
        <v>23733908</v>
      </c>
      <c r="CJ59" s="8">
        <v>23733908</v>
      </c>
      <c r="CK59" s="8">
        <v>23733908</v>
      </c>
      <c r="CL59" s="8">
        <v>23733908</v>
      </c>
      <c r="CM59" s="8">
        <v>23733908</v>
      </c>
      <c r="CN59" s="8">
        <v>23962182</v>
      </c>
      <c r="CO59" s="9">
        <f t="shared" si="25"/>
        <v>23962182</v>
      </c>
      <c r="CP59" s="8">
        <v>0</v>
      </c>
      <c r="CQ59" s="8">
        <v>14491428</v>
      </c>
      <c r="CR59" s="8">
        <v>14491428</v>
      </c>
      <c r="CS59" s="8">
        <v>14491428</v>
      </c>
      <c r="CT59" s="8">
        <v>14491428</v>
      </c>
      <c r="CU59" s="8">
        <v>14491428</v>
      </c>
      <c r="CV59" s="8">
        <v>14491428</v>
      </c>
      <c r="CW59" s="8">
        <v>14491428</v>
      </c>
      <c r="CX59" s="8">
        <v>14491428</v>
      </c>
      <c r="CY59" s="8">
        <v>14914580</v>
      </c>
      <c r="CZ59" s="8">
        <v>14914580</v>
      </c>
      <c r="DA59" s="8">
        <v>13285325</v>
      </c>
      <c r="DB59" s="9">
        <f t="shared" si="26"/>
        <v>13285325</v>
      </c>
      <c r="DC59" s="8">
        <v>0</v>
      </c>
      <c r="DD59" s="8">
        <v>16415464</v>
      </c>
      <c r="DE59" s="8">
        <v>16415464</v>
      </c>
      <c r="DF59" s="8">
        <v>16415464</v>
      </c>
      <c r="DG59" s="8">
        <v>16415464</v>
      </c>
      <c r="DH59" s="8">
        <v>16415464</v>
      </c>
      <c r="DI59" s="8">
        <v>16634477</v>
      </c>
      <c r="DJ59" s="8">
        <v>16634477</v>
      </c>
      <c r="DK59" s="8">
        <v>16634477</v>
      </c>
      <c r="DL59" s="8">
        <v>16634477</v>
      </c>
      <c r="DM59" s="8">
        <v>23350505</v>
      </c>
      <c r="DN59" s="8">
        <v>23350505</v>
      </c>
      <c r="DO59" s="9">
        <f t="shared" si="27"/>
        <v>23350505</v>
      </c>
      <c r="DP59" s="8">
        <v>0</v>
      </c>
      <c r="DQ59" s="8">
        <v>14639317</v>
      </c>
      <c r="DR59" s="8">
        <v>14639317</v>
      </c>
      <c r="DS59" s="8">
        <v>14639317</v>
      </c>
      <c r="DT59" s="8">
        <v>14639317</v>
      </c>
      <c r="DU59" s="8">
        <v>14639317</v>
      </c>
      <c r="DV59" s="8">
        <v>15196102</v>
      </c>
      <c r="DW59" s="8">
        <v>15196102</v>
      </c>
      <c r="DX59" s="8">
        <v>15196102</v>
      </c>
      <c r="DY59" s="8">
        <v>15968366</v>
      </c>
      <c r="DZ59" s="8">
        <v>15968366</v>
      </c>
      <c r="EA59" s="8">
        <v>14912006</v>
      </c>
      <c r="EB59" s="9">
        <f t="shared" si="28"/>
        <v>14912006</v>
      </c>
      <c r="EC59" s="8">
        <v>0</v>
      </c>
      <c r="ED59" s="8">
        <v>19287633</v>
      </c>
      <c r="EE59" s="8">
        <v>19734693</v>
      </c>
      <c r="EF59" s="8">
        <v>19734693</v>
      </c>
      <c r="EG59" s="8">
        <v>19734693</v>
      </c>
      <c r="EH59" s="8">
        <v>19734693</v>
      </c>
      <c r="EI59" s="8">
        <v>27799033</v>
      </c>
      <c r="EJ59" s="8">
        <v>28345535</v>
      </c>
      <c r="EK59" s="8">
        <v>27230891</v>
      </c>
      <c r="EL59" s="8">
        <v>29699794</v>
      </c>
      <c r="EM59" s="8">
        <v>29677094</v>
      </c>
      <c r="EN59" s="8">
        <v>29677094</v>
      </c>
      <c r="EO59" s="9">
        <f t="shared" si="29"/>
        <v>29677094</v>
      </c>
      <c r="EP59" s="8">
        <v>0</v>
      </c>
      <c r="EQ59" s="8">
        <v>27331578</v>
      </c>
      <c r="ER59" s="8">
        <v>27331578</v>
      </c>
      <c r="ES59" s="8">
        <v>27331578</v>
      </c>
      <c r="ET59" s="8">
        <v>27331578</v>
      </c>
      <c r="EU59" s="8">
        <v>21934830</v>
      </c>
      <c r="EV59" s="8">
        <v>21934830</v>
      </c>
      <c r="EW59" s="8">
        <v>21934830</v>
      </c>
      <c r="EX59" s="8">
        <v>21744257</v>
      </c>
      <c r="EY59" s="8">
        <v>21744257</v>
      </c>
      <c r="EZ59" s="8">
        <v>21744257</v>
      </c>
      <c r="FA59" s="8">
        <v>23309491</v>
      </c>
      <c r="FB59" s="9">
        <f t="shared" si="30"/>
        <v>23309491</v>
      </c>
      <c r="FC59" s="8">
        <v>7914575</v>
      </c>
      <c r="FD59" s="8">
        <v>7914575</v>
      </c>
      <c r="FE59" s="8">
        <v>7914575</v>
      </c>
      <c r="FF59" s="8">
        <v>7914575</v>
      </c>
      <c r="FG59" s="8">
        <v>7914575</v>
      </c>
      <c r="FH59" s="8">
        <v>33050945</v>
      </c>
      <c r="FI59" s="8">
        <v>33050945</v>
      </c>
      <c r="FJ59" s="8"/>
      <c r="FK59" s="8"/>
      <c r="FL59" s="8"/>
      <c r="FM59" s="8"/>
      <c r="FN59" s="8"/>
      <c r="FO59" s="9">
        <f t="shared" si="31"/>
        <v>33050945</v>
      </c>
    </row>
    <row r="60" spans="2:171" ht="14.25" customHeight="1" x14ac:dyDescent="0.3">
      <c r="B60" s="7" t="s">
        <v>59</v>
      </c>
      <c r="C60" s="8">
        <v>0</v>
      </c>
      <c r="D60" s="8">
        <v>34683</v>
      </c>
      <c r="E60" s="8">
        <v>9542809</v>
      </c>
      <c r="F60" s="8">
        <v>9542809</v>
      </c>
      <c r="G60" s="8">
        <v>9542809</v>
      </c>
      <c r="H60" s="8">
        <v>9542809</v>
      </c>
      <c r="I60" s="8">
        <v>9542809</v>
      </c>
      <c r="J60" s="8">
        <v>9542809</v>
      </c>
      <c r="K60" s="8">
        <v>9542809</v>
      </c>
      <c r="L60" s="8">
        <v>9542809</v>
      </c>
      <c r="M60" s="8">
        <v>9558860</v>
      </c>
      <c r="N60" s="8">
        <v>9558860</v>
      </c>
      <c r="O60" s="9">
        <f t="shared" si="19"/>
        <v>9558860</v>
      </c>
      <c r="P60" s="8">
        <v>0</v>
      </c>
      <c r="Q60" s="8">
        <v>2168933</v>
      </c>
      <c r="R60" s="8">
        <v>4141340</v>
      </c>
      <c r="S60" s="8">
        <v>11329449</v>
      </c>
      <c r="T60" s="8">
        <v>11329449</v>
      </c>
      <c r="U60" s="8">
        <v>13316510</v>
      </c>
      <c r="V60" s="8">
        <v>13316510</v>
      </c>
      <c r="W60" s="8">
        <v>13316510</v>
      </c>
      <c r="X60" s="8">
        <v>13316510</v>
      </c>
      <c r="Y60" s="8">
        <v>13316510</v>
      </c>
      <c r="Z60" s="8">
        <v>13299946</v>
      </c>
      <c r="AA60" s="8">
        <v>13299946</v>
      </c>
      <c r="AB60" s="9">
        <f t="shared" si="20"/>
        <v>13299946</v>
      </c>
      <c r="AC60" s="8">
        <v>0</v>
      </c>
      <c r="AD60" s="8">
        <v>9072756</v>
      </c>
      <c r="AE60" s="8">
        <v>9072756</v>
      </c>
      <c r="AF60" s="8">
        <v>9072756</v>
      </c>
      <c r="AG60" s="8">
        <v>9196473</v>
      </c>
      <c r="AH60" s="8">
        <v>9196473</v>
      </c>
      <c r="AI60" s="8">
        <v>9196473</v>
      </c>
      <c r="AJ60" s="8">
        <v>9196473</v>
      </c>
      <c r="AK60" s="8">
        <v>9196473</v>
      </c>
      <c r="AL60" s="8">
        <v>8932936</v>
      </c>
      <c r="AM60" s="8">
        <v>8932936</v>
      </c>
      <c r="AN60" s="8">
        <v>8238897</v>
      </c>
      <c r="AO60" s="9">
        <f t="shared" si="21"/>
        <v>8238897</v>
      </c>
      <c r="AP60" s="8">
        <v>0</v>
      </c>
      <c r="AQ60" s="8">
        <v>4237165</v>
      </c>
      <c r="AR60" s="8">
        <v>4887082</v>
      </c>
      <c r="AS60" s="8">
        <v>4887082</v>
      </c>
      <c r="AT60" s="8">
        <v>4997048</v>
      </c>
      <c r="AU60" s="8">
        <v>5019785</v>
      </c>
      <c r="AV60" s="8">
        <v>5073722</v>
      </c>
      <c r="AW60" s="8">
        <v>5073722</v>
      </c>
      <c r="AX60" s="8">
        <v>6000013</v>
      </c>
      <c r="AY60" s="8">
        <v>6000013</v>
      </c>
      <c r="AZ60" s="8">
        <v>6510013</v>
      </c>
      <c r="BA60" s="8">
        <v>6994681</v>
      </c>
      <c r="BB60" s="9">
        <f t="shared" si="22"/>
        <v>6994681</v>
      </c>
      <c r="BC60" s="8">
        <v>0</v>
      </c>
      <c r="BD60" s="8">
        <v>0</v>
      </c>
      <c r="BE60" s="8">
        <v>1085160</v>
      </c>
      <c r="BF60" s="8">
        <v>1085160</v>
      </c>
      <c r="BG60" s="8">
        <v>1085160</v>
      </c>
      <c r="BH60" s="8">
        <v>1329416</v>
      </c>
      <c r="BI60" s="8">
        <v>1329416</v>
      </c>
      <c r="BJ60" s="8">
        <v>1329416</v>
      </c>
      <c r="BK60" s="8">
        <v>1329416</v>
      </c>
      <c r="BL60" s="8">
        <v>1329416</v>
      </c>
      <c r="BM60" s="8">
        <v>1329416</v>
      </c>
      <c r="BN60" s="8">
        <v>1329416</v>
      </c>
      <c r="BO60" s="9">
        <f t="shared" si="23"/>
        <v>1329416</v>
      </c>
      <c r="BP60" s="8">
        <v>0</v>
      </c>
      <c r="BQ60" s="8">
        <v>0</v>
      </c>
      <c r="BR60" s="8">
        <v>407642</v>
      </c>
      <c r="BS60" s="8">
        <v>407642</v>
      </c>
      <c r="BT60" s="8">
        <v>407642</v>
      </c>
      <c r="BU60" s="8">
        <v>407642</v>
      </c>
      <c r="BV60" s="8">
        <v>407642</v>
      </c>
      <c r="BW60" s="8">
        <v>407642</v>
      </c>
      <c r="BX60" s="8">
        <v>407642</v>
      </c>
      <c r="BY60" s="8">
        <v>407642</v>
      </c>
      <c r="BZ60" s="8">
        <v>407642</v>
      </c>
      <c r="CA60" s="8">
        <v>241992</v>
      </c>
      <c r="CB60" s="9">
        <f t="shared" si="24"/>
        <v>241992</v>
      </c>
      <c r="CC60" s="8">
        <v>0</v>
      </c>
      <c r="CD60" s="8">
        <v>171372</v>
      </c>
      <c r="CE60" s="8">
        <v>882276</v>
      </c>
      <c r="CF60" s="8">
        <v>1292276</v>
      </c>
      <c r="CG60" s="8">
        <v>1292276</v>
      </c>
      <c r="CH60" s="8">
        <v>1292276</v>
      </c>
      <c r="CI60" s="8">
        <v>3905162</v>
      </c>
      <c r="CJ60" s="8">
        <v>3905162</v>
      </c>
      <c r="CK60" s="8">
        <v>3905162</v>
      </c>
      <c r="CL60" s="8">
        <v>3905162</v>
      </c>
      <c r="CM60" s="8">
        <v>3905162</v>
      </c>
      <c r="CN60" s="8">
        <v>3577246</v>
      </c>
      <c r="CO60" s="9">
        <f t="shared" si="25"/>
        <v>3577246</v>
      </c>
      <c r="CP60" s="8">
        <v>0</v>
      </c>
      <c r="CQ60" s="8">
        <v>2355488</v>
      </c>
      <c r="CR60" s="8">
        <v>2355488</v>
      </c>
      <c r="CS60" s="8">
        <v>2355488</v>
      </c>
      <c r="CT60" s="8">
        <v>2819761</v>
      </c>
      <c r="CU60" s="8">
        <v>3775228</v>
      </c>
      <c r="CV60" s="8">
        <v>3775228</v>
      </c>
      <c r="CW60" s="8">
        <v>3775228</v>
      </c>
      <c r="CX60" s="8">
        <v>3775228</v>
      </c>
      <c r="CY60" s="8">
        <v>3775228</v>
      </c>
      <c r="CZ60" s="8">
        <v>3775228</v>
      </c>
      <c r="DA60" s="8">
        <v>3775228</v>
      </c>
      <c r="DB60" s="9">
        <f t="shared" si="26"/>
        <v>3775228</v>
      </c>
      <c r="DC60" s="8">
        <v>0</v>
      </c>
      <c r="DD60" s="8">
        <v>0</v>
      </c>
      <c r="DE60" s="8">
        <v>0</v>
      </c>
      <c r="DF60" s="8">
        <v>0</v>
      </c>
      <c r="DG60" s="8">
        <v>0</v>
      </c>
      <c r="DH60" s="8">
        <v>0</v>
      </c>
      <c r="DI60" s="8">
        <v>104253</v>
      </c>
      <c r="DJ60" s="8">
        <v>104253</v>
      </c>
      <c r="DK60" s="8">
        <v>104253</v>
      </c>
      <c r="DL60" s="8">
        <v>425163</v>
      </c>
      <c r="DM60" s="8">
        <v>321310</v>
      </c>
      <c r="DN60" s="8">
        <v>321310</v>
      </c>
      <c r="DO60" s="9">
        <f t="shared" si="27"/>
        <v>321310</v>
      </c>
      <c r="DP60" s="8">
        <v>0</v>
      </c>
      <c r="DQ60" s="8">
        <v>637000</v>
      </c>
      <c r="DR60" s="8">
        <v>637000</v>
      </c>
      <c r="DS60" s="8">
        <v>637000</v>
      </c>
      <c r="DT60" s="8">
        <v>637000</v>
      </c>
      <c r="DU60" s="8">
        <v>1833452</v>
      </c>
      <c r="DV60" s="8">
        <v>2327078</v>
      </c>
      <c r="DW60" s="8">
        <v>2327078</v>
      </c>
      <c r="DX60" s="8">
        <v>2327078</v>
      </c>
      <c r="DY60" s="8">
        <v>2476827</v>
      </c>
      <c r="DZ60" s="8">
        <v>3036545</v>
      </c>
      <c r="EA60" s="8">
        <v>3036555</v>
      </c>
      <c r="EB60" s="9">
        <f t="shared" si="28"/>
        <v>3036555</v>
      </c>
      <c r="EC60" s="8">
        <v>0</v>
      </c>
      <c r="ED60" s="8">
        <v>1765096</v>
      </c>
      <c r="EE60" s="8">
        <v>2324945</v>
      </c>
      <c r="EF60" s="8">
        <v>2324945</v>
      </c>
      <c r="EG60" s="8">
        <v>2324945</v>
      </c>
      <c r="EH60" s="8">
        <v>2324945</v>
      </c>
      <c r="EI60" s="8">
        <v>2324945</v>
      </c>
      <c r="EJ60" s="8">
        <v>3006506</v>
      </c>
      <c r="EK60" s="8">
        <v>3006506</v>
      </c>
      <c r="EL60" s="8">
        <v>3006506</v>
      </c>
      <c r="EM60" s="8">
        <v>3006506</v>
      </c>
      <c r="EN60" s="8">
        <v>2780377</v>
      </c>
      <c r="EO60" s="9">
        <f t="shared" si="29"/>
        <v>2780377</v>
      </c>
      <c r="EP60" s="8">
        <v>0</v>
      </c>
      <c r="EQ60" s="8">
        <v>2825732</v>
      </c>
      <c r="ER60" s="8">
        <v>2825732</v>
      </c>
      <c r="ES60" s="8">
        <v>2825732</v>
      </c>
      <c r="ET60" s="8">
        <v>2825732</v>
      </c>
      <c r="EU60" s="8">
        <v>2825732</v>
      </c>
      <c r="EV60" s="8">
        <v>4920808</v>
      </c>
      <c r="EW60" s="8">
        <v>4920808</v>
      </c>
      <c r="EX60" s="8">
        <v>4920808</v>
      </c>
      <c r="EY60" s="8">
        <v>4920808</v>
      </c>
      <c r="EZ60" s="8">
        <v>4920808</v>
      </c>
      <c r="FA60" s="8">
        <v>4832808</v>
      </c>
      <c r="FB60" s="9">
        <f t="shared" si="30"/>
        <v>4832808</v>
      </c>
      <c r="FC60" s="8">
        <v>1516870</v>
      </c>
      <c r="FD60" s="8">
        <v>1516870</v>
      </c>
      <c r="FE60" s="8">
        <v>1516870</v>
      </c>
      <c r="FF60" s="8">
        <v>1516870</v>
      </c>
      <c r="FG60" s="8">
        <v>1516870</v>
      </c>
      <c r="FH60" s="8">
        <v>1516870</v>
      </c>
      <c r="FI60" s="8">
        <v>1516870</v>
      </c>
      <c r="FJ60" s="8"/>
      <c r="FK60" s="8"/>
      <c r="FL60" s="8"/>
      <c r="FM60" s="8"/>
      <c r="FN60" s="8"/>
      <c r="FO60" s="9">
        <f t="shared" si="31"/>
        <v>1516870</v>
      </c>
    </row>
    <row r="61" spans="2:171" ht="14.25" customHeight="1" x14ac:dyDescent="0.3">
      <c r="B61" s="7" t="s">
        <v>60</v>
      </c>
      <c r="C61" s="8">
        <v>0</v>
      </c>
      <c r="D61" s="8">
        <v>2301249</v>
      </c>
      <c r="E61" s="8">
        <v>2301249</v>
      </c>
      <c r="F61" s="8">
        <v>2301249</v>
      </c>
      <c r="G61" s="8">
        <v>2301249</v>
      </c>
      <c r="H61" s="8">
        <v>2301249</v>
      </c>
      <c r="I61" s="8">
        <v>2301249</v>
      </c>
      <c r="J61" s="8">
        <v>2528227</v>
      </c>
      <c r="K61" s="8">
        <v>2548720</v>
      </c>
      <c r="L61" s="8">
        <v>2548720</v>
      </c>
      <c r="M61" s="8">
        <v>1523594</v>
      </c>
      <c r="N61" s="8">
        <v>1523594</v>
      </c>
      <c r="O61" s="9">
        <f t="shared" si="19"/>
        <v>1523594</v>
      </c>
      <c r="P61" s="8">
        <v>0</v>
      </c>
      <c r="Q61" s="8">
        <v>0</v>
      </c>
      <c r="R61" s="8">
        <v>883980</v>
      </c>
      <c r="S61" s="8">
        <v>1083923</v>
      </c>
      <c r="T61" s="8">
        <v>1087333</v>
      </c>
      <c r="U61" s="8">
        <v>1087333</v>
      </c>
      <c r="V61" s="8">
        <v>1611807</v>
      </c>
      <c r="W61" s="8">
        <v>1853630</v>
      </c>
      <c r="X61" s="8">
        <v>1853630</v>
      </c>
      <c r="Y61" s="8">
        <v>1853630</v>
      </c>
      <c r="Z61" s="8">
        <v>1866258</v>
      </c>
      <c r="AA61" s="8">
        <v>792259</v>
      </c>
      <c r="AB61" s="9">
        <f t="shared" si="20"/>
        <v>792259</v>
      </c>
      <c r="AC61" s="8">
        <v>0</v>
      </c>
      <c r="AD61" s="8">
        <v>1787225</v>
      </c>
      <c r="AE61" s="8">
        <v>1787225</v>
      </c>
      <c r="AF61" s="8">
        <v>2756712</v>
      </c>
      <c r="AG61" s="8">
        <v>4685919</v>
      </c>
      <c r="AH61" s="8">
        <v>4685919</v>
      </c>
      <c r="AI61" s="8">
        <v>5182442</v>
      </c>
      <c r="AJ61" s="8">
        <v>5182442</v>
      </c>
      <c r="AK61" s="8">
        <v>5131268</v>
      </c>
      <c r="AL61" s="8">
        <v>4411181</v>
      </c>
      <c r="AM61" s="8">
        <v>3454684</v>
      </c>
      <c r="AN61" s="8">
        <v>1461091</v>
      </c>
      <c r="AO61" s="9">
        <f t="shared" si="21"/>
        <v>1461091</v>
      </c>
      <c r="AP61" s="8">
        <v>0</v>
      </c>
      <c r="AQ61" s="8">
        <v>2969334</v>
      </c>
      <c r="AR61" s="8">
        <v>5199487</v>
      </c>
      <c r="AS61" s="8">
        <v>5199487</v>
      </c>
      <c r="AT61" s="8">
        <v>5199487</v>
      </c>
      <c r="AU61" s="8">
        <v>5199487</v>
      </c>
      <c r="AV61" s="8">
        <v>5522400</v>
      </c>
      <c r="AW61" s="8">
        <v>5522400</v>
      </c>
      <c r="AX61" s="8">
        <v>5522400</v>
      </c>
      <c r="AY61" s="8">
        <v>5522400</v>
      </c>
      <c r="AZ61" s="8">
        <v>5522400</v>
      </c>
      <c r="BA61" s="8">
        <v>1990201</v>
      </c>
      <c r="BB61" s="9">
        <f t="shared" si="22"/>
        <v>1990201</v>
      </c>
      <c r="BC61" s="8">
        <v>0</v>
      </c>
      <c r="BD61" s="8">
        <v>0</v>
      </c>
      <c r="BE61" s="8">
        <v>2600147</v>
      </c>
      <c r="BF61" s="8">
        <v>4717966</v>
      </c>
      <c r="BG61" s="8">
        <v>4717966</v>
      </c>
      <c r="BH61" s="8">
        <v>5417015</v>
      </c>
      <c r="BI61" s="8">
        <v>5417015</v>
      </c>
      <c r="BJ61" s="8">
        <v>5385808</v>
      </c>
      <c r="BK61" s="8">
        <v>5385808</v>
      </c>
      <c r="BL61" s="8">
        <v>4202952</v>
      </c>
      <c r="BM61" s="8">
        <v>4202952</v>
      </c>
      <c r="BN61" s="8">
        <v>3547797</v>
      </c>
      <c r="BO61" s="9">
        <f t="shared" si="23"/>
        <v>3547797</v>
      </c>
      <c r="BP61" s="8">
        <v>0</v>
      </c>
      <c r="BQ61" s="8">
        <v>0</v>
      </c>
      <c r="BR61" s="8">
        <v>2407668</v>
      </c>
      <c r="BS61" s="8">
        <v>2407668</v>
      </c>
      <c r="BT61" s="8">
        <v>2407668</v>
      </c>
      <c r="BU61" s="8">
        <v>2407668</v>
      </c>
      <c r="BV61" s="8">
        <v>3038958</v>
      </c>
      <c r="BW61" s="8">
        <v>3038958</v>
      </c>
      <c r="BX61" s="8">
        <v>2689453</v>
      </c>
      <c r="BY61" s="8">
        <v>2689453</v>
      </c>
      <c r="BZ61" s="8">
        <v>2689453</v>
      </c>
      <c r="CA61" s="8">
        <v>2689453</v>
      </c>
      <c r="CB61" s="9">
        <f t="shared" si="24"/>
        <v>2689453</v>
      </c>
      <c r="CC61" s="8">
        <v>0</v>
      </c>
      <c r="CD61" s="8">
        <v>0</v>
      </c>
      <c r="CE61" s="8">
        <v>2272832</v>
      </c>
      <c r="CF61" s="8">
        <v>2856031</v>
      </c>
      <c r="CG61" s="8">
        <v>2856031</v>
      </c>
      <c r="CH61" s="8">
        <v>2856031</v>
      </c>
      <c r="CI61" s="8">
        <v>2856031</v>
      </c>
      <c r="CJ61" s="8">
        <v>2858707</v>
      </c>
      <c r="CK61" s="8">
        <v>2858707</v>
      </c>
      <c r="CL61" s="8">
        <v>2858707</v>
      </c>
      <c r="CM61" s="8">
        <v>2858707</v>
      </c>
      <c r="CN61" s="8">
        <v>2135136</v>
      </c>
      <c r="CO61" s="9">
        <f t="shared" si="25"/>
        <v>2135136</v>
      </c>
      <c r="CP61" s="8">
        <v>0</v>
      </c>
      <c r="CQ61" s="8">
        <v>2315339</v>
      </c>
      <c r="CR61" s="8">
        <v>2315339</v>
      </c>
      <c r="CS61" s="8">
        <v>2315339</v>
      </c>
      <c r="CT61" s="8">
        <v>2315339</v>
      </c>
      <c r="CU61" s="8">
        <v>2315339</v>
      </c>
      <c r="CV61" s="8">
        <v>2315339</v>
      </c>
      <c r="CW61" s="8">
        <v>2315339</v>
      </c>
      <c r="CX61" s="8">
        <v>2315339</v>
      </c>
      <c r="CY61" s="8">
        <v>1483272</v>
      </c>
      <c r="CZ61" s="8">
        <v>1483272</v>
      </c>
      <c r="DA61" s="8">
        <v>1112785</v>
      </c>
      <c r="DB61" s="9">
        <f t="shared" si="26"/>
        <v>1112785</v>
      </c>
      <c r="DC61" s="8">
        <v>0</v>
      </c>
      <c r="DD61" s="8">
        <v>3464280</v>
      </c>
      <c r="DE61" s="8">
        <v>3464280</v>
      </c>
      <c r="DF61" s="8">
        <v>3464280</v>
      </c>
      <c r="DG61" s="8">
        <v>3464280</v>
      </c>
      <c r="DH61" s="8">
        <v>3464280</v>
      </c>
      <c r="DI61" s="8">
        <v>1686085</v>
      </c>
      <c r="DJ61" s="8">
        <v>1686085</v>
      </c>
      <c r="DK61" s="8">
        <v>1686085</v>
      </c>
      <c r="DL61" s="8">
        <v>1686085</v>
      </c>
      <c r="DM61" s="8">
        <v>282222</v>
      </c>
      <c r="DN61" s="8">
        <v>282222</v>
      </c>
      <c r="DO61" s="9">
        <f t="shared" si="27"/>
        <v>282222</v>
      </c>
      <c r="DP61" s="8">
        <v>0</v>
      </c>
      <c r="DQ61" s="8">
        <v>1239950</v>
      </c>
      <c r="DR61" s="8">
        <v>1239950</v>
      </c>
      <c r="DS61" s="8">
        <v>1239950</v>
      </c>
      <c r="DT61" s="8">
        <v>1240218</v>
      </c>
      <c r="DU61" s="8">
        <v>1789027</v>
      </c>
      <c r="DV61" s="8">
        <v>4943516</v>
      </c>
      <c r="DW61" s="8">
        <v>4943516</v>
      </c>
      <c r="DX61" s="8">
        <v>4943516</v>
      </c>
      <c r="DY61" s="8">
        <v>5486434</v>
      </c>
      <c r="DZ61" s="8">
        <v>5486434</v>
      </c>
      <c r="EA61" s="8">
        <v>1116958</v>
      </c>
      <c r="EB61" s="9">
        <f t="shared" si="28"/>
        <v>1116958</v>
      </c>
      <c r="EC61" s="8">
        <v>0</v>
      </c>
      <c r="ED61" s="8">
        <v>3610784</v>
      </c>
      <c r="EE61" s="8">
        <v>5120061</v>
      </c>
      <c r="EF61" s="8">
        <v>8015491</v>
      </c>
      <c r="EG61" s="8">
        <v>8015491</v>
      </c>
      <c r="EH61" s="8">
        <v>5895849</v>
      </c>
      <c r="EI61" s="8">
        <v>5895849</v>
      </c>
      <c r="EJ61" s="8">
        <v>5895849</v>
      </c>
      <c r="EK61" s="8">
        <v>5895849</v>
      </c>
      <c r="EL61" s="8">
        <v>4946408</v>
      </c>
      <c r="EM61" s="8">
        <v>2892898</v>
      </c>
      <c r="EN61" s="8">
        <v>2892898</v>
      </c>
      <c r="EO61" s="9">
        <f t="shared" si="29"/>
        <v>2892898</v>
      </c>
      <c r="EP61" s="8">
        <v>0</v>
      </c>
      <c r="EQ61" s="8">
        <v>9973389</v>
      </c>
      <c r="ER61" s="8">
        <v>9973389</v>
      </c>
      <c r="ES61" s="8">
        <v>9973389</v>
      </c>
      <c r="ET61" s="8">
        <v>9973389</v>
      </c>
      <c r="EU61" s="8">
        <v>9973389</v>
      </c>
      <c r="EV61" s="8">
        <v>9973389</v>
      </c>
      <c r="EW61" s="8">
        <v>9973389</v>
      </c>
      <c r="EX61" s="8">
        <v>7847247</v>
      </c>
      <c r="EY61" s="8">
        <v>7847247</v>
      </c>
      <c r="EZ61" s="8">
        <v>7847247</v>
      </c>
      <c r="FA61" s="8">
        <v>6716609</v>
      </c>
      <c r="FB61" s="9">
        <f t="shared" si="30"/>
        <v>6716609</v>
      </c>
      <c r="FC61" s="8">
        <v>3495611</v>
      </c>
      <c r="FD61" s="8">
        <v>3495611</v>
      </c>
      <c r="FE61" s="8">
        <v>3495611</v>
      </c>
      <c r="FF61" s="8">
        <v>3495611</v>
      </c>
      <c r="FG61" s="8">
        <v>3495611</v>
      </c>
      <c r="FH61" s="8">
        <v>3495611</v>
      </c>
      <c r="FI61" s="8">
        <v>3495611</v>
      </c>
      <c r="FJ61" s="8"/>
      <c r="FK61" s="8"/>
      <c r="FL61" s="8"/>
      <c r="FM61" s="8"/>
      <c r="FN61" s="8"/>
      <c r="FO61" s="9">
        <f t="shared" si="31"/>
        <v>3495611</v>
      </c>
    </row>
    <row r="62" spans="2:171" ht="14.25" customHeight="1" x14ac:dyDescent="0.3">
      <c r="B62" s="7" t="s">
        <v>61</v>
      </c>
      <c r="C62" s="8">
        <v>0</v>
      </c>
      <c r="D62" s="8">
        <v>0</v>
      </c>
      <c r="E62" s="8">
        <v>1034211</v>
      </c>
      <c r="F62" s="8">
        <v>1034211</v>
      </c>
      <c r="G62" s="8">
        <v>1034211</v>
      </c>
      <c r="H62" s="8">
        <v>1034211</v>
      </c>
      <c r="I62" s="8">
        <v>1034211</v>
      </c>
      <c r="J62" s="8">
        <v>1214755</v>
      </c>
      <c r="K62" s="8">
        <v>1206985</v>
      </c>
      <c r="L62" s="8">
        <v>1206985</v>
      </c>
      <c r="M62" s="8">
        <v>967762</v>
      </c>
      <c r="N62" s="8">
        <v>967762</v>
      </c>
      <c r="O62" s="9">
        <f t="shared" si="19"/>
        <v>967762</v>
      </c>
      <c r="P62" s="8">
        <v>0</v>
      </c>
      <c r="Q62" s="8">
        <v>0</v>
      </c>
      <c r="R62" s="8">
        <v>853035</v>
      </c>
      <c r="S62" s="8">
        <v>1206819</v>
      </c>
      <c r="T62" s="8">
        <v>1206819</v>
      </c>
      <c r="U62" s="8">
        <v>2270360</v>
      </c>
      <c r="V62" s="8">
        <v>2892668</v>
      </c>
      <c r="W62" s="8">
        <v>2892668</v>
      </c>
      <c r="X62" s="8">
        <v>2892668</v>
      </c>
      <c r="Y62" s="8">
        <v>2892668</v>
      </c>
      <c r="Z62" s="8">
        <v>3072720</v>
      </c>
      <c r="AA62" s="8">
        <v>3039083</v>
      </c>
      <c r="AB62" s="9">
        <f t="shared" si="20"/>
        <v>3039083</v>
      </c>
      <c r="AC62" s="8">
        <v>0</v>
      </c>
      <c r="AD62" s="8">
        <v>400410</v>
      </c>
      <c r="AE62" s="8">
        <v>400410</v>
      </c>
      <c r="AF62" s="8">
        <v>1904062</v>
      </c>
      <c r="AG62" s="8">
        <v>4464533</v>
      </c>
      <c r="AH62" s="8">
        <v>4827605</v>
      </c>
      <c r="AI62" s="8">
        <v>4827605</v>
      </c>
      <c r="AJ62" s="8">
        <v>4829614</v>
      </c>
      <c r="AK62" s="8">
        <v>4829614</v>
      </c>
      <c r="AL62" s="8">
        <v>4875567</v>
      </c>
      <c r="AM62" s="8">
        <v>4875567</v>
      </c>
      <c r="AN62" s="8">
        <v>2794854</v>
      </c>
      <c r="AO62" s="9">
        <f t="shared" si="21"/>
        <v>2794854</v>
      </c>
      <c r="AP62" s="8">
        <v>0</v>
      </c>
      <c r="AQ62" s="8">
        <v>9444184</v>
      </c>
      <c r="AR62" s="8">
        <v>9444184</v>
      </c>
      <c r="AS62" s="8">
        <v>9444184</v>
      </c>
      <c r="AT62" s="8">
        <v>9498375</v>
      </c>
      <c r="AU62" s="8">
        <v>9523179</v>
      </c>
      <c r="AV62" s="8">
        <v>9636485</v>
      </c>
      <c r="AW62" s="8">
        <v>15062529</v>
      </c>
      <c r="AX62" s="8">
        <v>15179343</v>
      </c>
      <c r="AY62" s="8">
        <v>15179343</v>
      </c>
      <c r="AZ62" s="8">
        <v>15179343</v>
      </c>
      <c r="BA62" s="8">
        <v>22819674</v>
      </c>
      <c r="BB62" s="9">
        <f t="shared" si="22"/>
        <v>22819674</v>
      </c>
      <c r="BC62" s="8">
        <v>0</v>
      </c>
      <c r="BD62" s="8">
        <v>0</v>
      </c>
      <c r="BE62" s="8">
        <v>35570448</v>
      </c>
      <c r="BF62" s="8">
        <v>35570448</v>
      </c>
      <c r="BG62" s="8">
        <v>35570448</v>
      </c>
      <c r="BH62" s="8">
        <v>35570448</v>
      </c>
      <c r="BI62" s="8">
        <v>35570448</v>
      </c>
      <c r="BJ62" s="8">
        <v>35570448</v>
      </c>
      <c r="BK62" s="8">
        <v>35570448</v>
      </c>
      <c r="BL62" s="8">
        <v>35570448</v>
      </c>
      <c r="BM62" s="8">
        <v>35570448</v>
      </c>
      <c r="BN62" s="8">
        <v>37268877</v>
      </c>
      <c r="BO62" s="9">
        <f t="shared" si="23"/>
        <v>37268877</v>
      </c>
      <c r="BP62" s="8">
        <v>0</v>
      </c>
      <c r="BQ62" s="8">
        <v>0</v>
      </c>
      <c r="BR62" s="8">
        <v>26983777</v>
      </c>
      <c r="BS62" s="8">
        <v>28248358</v>
      </c>
      <c r="BT62" s="8">
        <v>28248358</v>
      </c>
      <c r="BU62" s="8">
        <v>28248358</v>
      </c>
      <c r="BV62" s="8">
        <v>62113878</v>
      </c>
      <c r="BW62" s="8">
        <v>58504608</v>
      </c>
      <c r="BX62" s="8">
        <v>54208124</v>
      </c>
      <c r="BY62" s="8">
        <v>54208124</v>
      </c>
      <c r="BZ62" s="8">
        <v>54208124</v>
      </c>
      <c r="CA62" s="8">
        <v>53307249</v>
      </c>
      <c r="CB62" s="9">
        <f t="shared" si="24"/>
        <v>53307249</v>
      </c>
      <c r="CC62" s="8">
        <v>0</v>
      </c>
      <c r="CD62" s="8">
        <v>28254643</v>
      </c>
      <c r="CE62" s="8">
        <v>36804083</v>
      </c>
      <c r="CF62" s="8">
        <v>36804083</v>
      </c>
      <c r="CG62" s="8">
        <v>36804083</v>
      </c>
      <c r="CH62" s="8">
        <v>36804083</v>
      </c>
      <c r="CI62" s="8">
        <v>36804083</v>
      </c>
      <c r="CJ62" s="8">
        <v>36804083</v>
      </c>
      <c r="CK62" s="8">
        <v>37963543</v>
      </c>
      <c r="CL62" s="8">
        <v>37963543</v>
      </c>
      <c r="CM62" s="8">
        <v>37950418</v>
      </c>
      <c r="CN62" s="8">
        <v>29291933</v>
      </c>
      <c r="CO62" s="9">
        <f t="shared" si="25"/>
        <v>29291933</v>
      </c>
      <c r="CP62" s="8">
        <v>0</v>
      </c>
      <c r="CQ62" s="8">
        <v>26405969</v>
      </c>
      <c r="CR62" s="8">
        <v>26405969</v>
      </c>
      <c r="CS62" s="8">
        <v>26405969</v>
      </c>
      <c r="CT62" s="8">
        <v>26405969</v>
      </c>
      <c r="CU62" s="8">
        <v>26405969</v>
      </c>
      <c r="CV62" s="8">
        <v>26966844</v>
      </c>
      <c r="CW62" s="8">
        <v>26966844</v>
      </c>
      <c r="CX62" s="8">
        <v>26966844</v>
      </c>
      <c r="CY62" s="8">
        <v>29147711</v>
      </c>
      <c r="CZ62" s="8">
        <v>29059424</v>
      </c>
      <c r="DA62" s="8">
        <v>26793238</v>
      </c>
      <c r="DB62" s="9">
        <f t="shared" si="26"/>
        <v>26793238</v>
      </c>
      <c r="DC62" s="8">
        <v>0</v>
      </c>
      <c r="DD62" s="8">
        <v>14772025</v>
      </c>
      <c r="DE62" s="8">
        <v>22620735</v>
      </c>
      <c r="DF62" s="8">
        <v>22620735</v>
      </c>
      <c r="DG62" s="8">
        <v>22620735</v>
      </c>
      <c r="DH62" s="8">
        <v>22634066</v>
      </c>
      <c r="DI62" s="8">
        <v>22714277</v>
      </c>
      <c r="DJ62" s="8">
        <v>23098200</v>
      </c>
      <c r="DK62" s="8">
        <v>23098200</v>
      </c>
      <c r="DL62" s="8">
        <v>22034946</v>
      </c>
      <c r="DM62" s="8">
        <v>18271444</v>
      </c>
      <c r="DN62" s="8">
        <v>17289193</v>
      </c>
      <c r="DO62" s="9">
        <f t="shared" si="27"/>
        <v>17289193</v>
      </c>
      <c r="DP62" s="8">
        <v>0</v>
      </c>
      <c r="DQ62" s="8">
        <v>5924523</v>
      </c>
      <c r="DR62" s="8">
        <v>5924523</v>
      </c>
      <c r="DS62" s="8">
        <v>5924523</v>
      </c>
      <c r="DT62" s="8">
        <v>5924523</v>
      </c>
      <c r="DU62" s="8">
        <v>5992948</v>
      </c>
      <c r="DV62" s="8">
        <v>12002935</v>
      </c>
      <c r="DW62" s="8">
        <v>12002935</v>
      </c>
      <c r="DX62" s="8">
        <v>12002935</v>
      </c>
      <c r="DY62" s="8">
        <v>12002935</v>
      </c>
      <c r="DZ62" s="8">
        <v>12002935</v>
      </c>
      <c r="EA62" s="8">
        <v>10393781</v>
      </c>
      <c r="EB62" s="9">
        <f t="shared" si="28"/>
        <v>10393781</v>
      </c>
      <c r="EC62" s="8">
        <v>0</v>
      </c>
      <c r="ED62" s="8">
        <v>8209000</v>
      </c>
      <c r="EE62" s="8">
        <v>10793796</v>
      </c>
      <c r="EF62" s="8">
        <v>10928044</v>
      </c>
      <c r="EG62" s="8">
        <v>11870461</v>
      </c>
      <c r="EH62" s="8">
        <v>9965141</v>
      </c>
      <c r="EI62" s="8">
        <v>9994871</v>
      </c>
      <c r="EJ62" s="8">
        <v>9994871</v>
      </c>
      <c r="EK62" s="8">
        <v>8711832</v>
      </c>
      <c r="EL62" s="8">
        <v>7584823</v>
      </c>
      <c r="EM62" s="8">
        <v>7596355</v>
      </c>
      <c r="EN62" s="8">
        <v>7493885</v>
      </c>
      <c r="EO62" s="9">
        <f t="shared" si="29"/>
        <v>7493885</v>
      </c>
      <c r="EP62" s="8">
        <v>0</v>
      </c>
      <c r="EQ62" s="8">
        <v>693751</v>
      </c>
      <c r="ER62" s="8">
        <v>759551</v>
      </c>
      <c r="ES62" s="8">
        <v>759551</v>
      </c>
      <c r="ET62" s="8">
        <v>759551</v>
      </c>
      <c r="EU62" s="8">
        <v>18297095</v>
      </c>
      <c r="EV62" s="8">
        <v>18297095</v>
      </c>
      <c r="EW62" s="8">
        <v>18297095</v>
      </c>
      <c r="EX62" s="8">
        <v>18297095</v>
      </c>
      <c r="EY62" s="8">
        <v>16995331</v>
      </c>
      <c r="EZ62" s="8">
        <v>16995331</v>
      </c>
      <c r="FA62" s="8">
        <v>14319655</v>
      </c>
      <c r="FB62" s="9">
        <f t="shared" si="30"/>
        <v>14319655</v>
      </c>
      <c r="FC62" s="8">
        <v>13124470</v>
      </c>
      <c r="FD62" s="8">
        <v>13124470</v>
      </c>
      <c r="FE62" s="8">
        <v>13124470</v>
      </c>
      <c r="FF62" s="8">
        <v>13124470</v>
      </c>
      <c r="FG62" s="8">
        <v>13124470</v>
      </c>
      <c r="FH62" s="8">
        <v>13124470</v>
      </c>
      <c r="FI62" s="8">
        <v>13124470</v>
      </c>
      <c r="FJ62" s="8"/>
      <c r="FK62" s="8"/>
      <c r="FL62" s="8"/>
      <c r="FM62" s="8"/>
      <c r="FN62" s="8"/>
      <c r="FO62" s="9">
        <f t="shared" si="31"/>
        <v>13124470</v>
      </c>
    </row>
    <row r="63" spans="2:171" ht="14.25" customHeight="1" x14ac:dyDescent="0.3">
      <c r="B63" s="7" t="s">
        <v>62</v>
      </c>
      <c r="C63" s="8">
        <v>0</v>
      </c>
      <c r="D63" s="8">
        <v>22767562</v>
      </c>
      <c r="E63" s="8">
        <v>22767562</v>
      </c>
      <c r="F63" s="8">
        <v>22767562</v>
      </c>
      <c r="G63" s="8">
        <v>22767562</v>
      </c>
      <c r="H63" s="8">
        <v>22767562</v>
      </c>
      <c r="I63" s="8">
        <v>22767562</v>
      </c>
      <c r="J63" s="8">
        <v>23470585</v>
      </c>
      <c r="K63" s="8">
        <v>25358201</v>
      </c>
      <c r="L63" s="8">
        <v>25358201</v>
      </c>
      <c r="M63" s="8">
        <v>13407680</v>
      </c>
      <c r="N63" s="8">
        <v>13407680</v>
      </c>
      <c r="O63" s="9">
        <f t="shared" si="19"/>
        <v>13407680</v>
      </c>
      <c r="P63" s="8">
        <v>0</v>
      </c>
      <c r="Q63" s="8">
        <v>11140641</v>
      </c>
      <c r="R63" s="8">
        <v>11229110</v>
      </c>
      <c r="S63" s="8">
        <v>11229110</v>
      </c>
      <c r="T63" s="8">
        <v>11321459</v>
      </c>
      <c r="U63" s="8">
        <v>12179551</v>
      </c>
      <c r="V63" s="8">
        <v>13487377</v>
      </c>
      <c r="W63" s="8">
        <v>14341613</v>
      </c>
      <c r="X63" s="8">
        <v>14349752</v>
      </c>
      <c r="Y63" s="8">
        <v>14410139</v>
      </c>
      <c r="Z63" s="8">
        <v>18428299</v>
      </c>
      <c r="AA63" s="8">
        <v>17979989</v>
      </c>
      <c r="AB63" s="9">
        <f t="shared" si="20"/>
        <v>17979989</v>
      </c>
      <c r="AC63" s="8">
        <v>0</v>
      </c>
      <c r="AD63" s="8">
        <v>24989373</v>
      </c>
      <c r="AE63" s="8">
        <v>24989373</v>
      </c>
      <c r="AF63" s="8">
        <v>26508326</v>
      </c>
      <c r="AG63" s="8">
        <v>27434974</v>
      </c>
      <c r="AH63" s="8">
        <v>27434974</v>
      </c>
      <c r="AI63" s="8">
        <v>27434974</v>
      </c>
      <c r="AJ63" s="8">
        <v>37198206</v>
      </c>
      <c r="AK63" s="8">
        <v>38794400</v>
      </c>
      <c r="AL63" s="8">
        <v>36119413</v>
      </c>
      <c r="AM63" s="8">
        <v>33256576</v>
      </c>
      <c r="AN63" s="8">
        <v>23883987</v>
      </c>
      <c r="AO63" s="9">
        <f t="shared" si="21"/>
        <v>23883987</v>
      </c>
      <c r="AP63" s="8">
        <v>0</v>
      </c>
      <c r="AQ63" s="8">
        <v>24270365</v>
      </c>
      <c r="AR63" s="8">
        <v>28550088</v>
      </c>
      <c r="AS63" s="8">
        <v>32263499</v>
      </c>
      <c r="AT63" s="8">
        <v>32576884</v>
      </c>
      <c r="AU63" s="8">
        <v>29949184</v>
      </c>
      <c r="AV63" s="8">
        <v>32572516</v>
      </c>
      <c r="AW63" s="8">
        <v>32572516</v>
      </c>
      <c r="AX63" s="8">
        <v>30845710</v>
      </c>
      <c r="AY63" s="8">
        <v>31088897</v>
      </c>
      <c r="AZ63" s="8">
        <v>31088897</v>
      </c>
      <c r="BA63" s="8">
        <v>30565072</v>
      </c>
      <c r="BB63" s="9">
        <f t="shared" si="22"/>
        <v>30565072</v>
      </c>
      <c r="BC63" s="8">
        <v>0</v>
      </c>
      <c r="BD63" s="8">
        <v>0</v>
      </c>
      <c r="BE63" s="8">
        <v>0</v>
      </c>
      <c r="BF63" s="8">
        <v>45315394</v>
      </c>
      <c r="BG63" s="8">
        <v>45315394</v>
      </c>
      <c r="BH63" s="8">
        <v>45927868</v>
      </c>
      <c r="BI63" s="8">
        <v>45927868</v>
      </c>
      <c r="BJ63" s="8">
        <v>45325207</v>
      </c>
      <c r="BK63" s="8">
        <v>37971274</v>
      </c>
      <c r="BL63" s="8">
        <v>37971274</v>
      </c>
      <c r="BM63" s="8">
        <v>37971274</v>
      </c>
      <c r="BN63" s="8">
        <v>36255403</v>
      </c>
      <c r="BO63" s="9">
        <f t="shared" si="23"/>
        <v>36255403</v>
      </c>
      <c r="BP63" s="8">
        <v>0</v>
      </c>
      <c r="BQ63" s="8">
        <v>0</v>
      </c>
      <c r="BR63" s="8">
        <v>36213537</v>
      </c>
      <c r="BS63" s="8">
        <v>36213537</v>
      </c>
      <c r="BT63" s="8">
        <v>36213537</v>
      </c>
      <c r="BU63" s="8">
        <v>36213537</v>
      </c>
      <c r="BV63" s="8">
        <v>36213537</v>
      </c>
      <c r="BW63" s="8">
        <v>42363984</v>
      </c>
      <c r="BX63" s="8">
        <v>41540373</v>
      </c>
      <c r="BY63" s="8">
        <v>41540373</v>
      </c>
      <c r="BZ63" s="8">
        <v>41689209</v>
      </c>
      <c r="CA63" s="8">
        <v>43783717</v>
      </c>
      <c r="CB63" s="9">
        <f t="shared" si="24"/>
        <v>43783717</v>
      </c>
      <c r="CC63" s="8">
        <v>0</v>
      </c>
      <c r="CD63" s="8">
        <v>36533725</v>
      </c>
      <c r="CE63" s="8">
        <v>37471104</v>
      </c>
      <c r="CF63" s="8">
        <v>37471104</v>
      </c>
      <c r="CG63" s="8">
        <v>37471104</v>
      </c>
      <c r="CH63" s="8">
        <v>46336916</v>
      </c>
      <c r="CI63" s="8">
        <v>46336916</v>
      </c>
      <c r="CJ63" s="8">
        <v>38846575</v>
      </c>
      <c r="CK63" s="8">
        <v>39687012</v>
      </c>
      <c r="CL63" s="8">
        <v>39687012</v>
      </c>
      <c r="CM63" s="8">
        <v>39643806</v>
      </c>
      <c r="CN63" s="8">
        <v>29069271</v>
      </c>
      <c r="CO63" s="9">
        <f t="shared" si="25"/>
        <v>29069271</v>
      </c>
      <c r="CP63" s="8">
        <v>0</v>
      </c>
      <c r="CQ63" s="8">
        <v>36371959</v>
      </c>
      <c r="CR63" s="8">
        <v>36371959</v>
      </c>
      <c r="CS63" s="8">
        <v>36371959</v>
      </c>
      <c r="CT63" s="8">
        <v>36657894</v>
      </c>
      <c r="CU63" s="8">
        <v>36657894</v>
      </c>
      <c r="CV63" s="8">
        <v>36657894</v>
      </c>
      <c r="CW63" s="8">
        <v>29148548</v>
      </c>
      <c r="CX63" s="8">
        <v>29148548</v>
      </c>
      <c r="CY63" s="8">
        <v>29148548</v>
      </c>
      <c r="CZ63" s="8">
        <v>29148548</v>
      </c>
      <c r="DA63" s="8">
        <v>27304180</v>
      </c>
      <c r="DB63" s="9">
        <f t="shared" si="26"/>
        <v>27304180</v>
      </c>
      <c r="DC63" s="8">
        <v>0</v>
      </c>
      <c r="DD63" s="8">
        <v>47367323</v>
      </c>
      <c r="DE63" s="8">
        <v>47725195</v>
      </c>
      <c r="DF63" s="8">
        <v>47725195</v>
      </c>
      <c r="DG63" s="8">
        <v>47725195</v>
      </c>
      <c r="DH63" s="8">
        <v>47725195</v>
      </c>
      <c r="DI63" s="8">
        <v>37827391</v>
      </c>
      <c r="DJ63" s="8">
        <v>37827391</v>
      </c>
      <c r="DK63" s="8">
        <v>37827391</v>
      </c>
      <c r="DL63" s="8">
        <v>35663599</v>
      </c>
      <c r="DM63" s="8">
        <v>35663599</v>
      </c>
      <c r="DN63" s="8">
        <v>36300923</v>
      </c>
      <c r="DO63" s="9">
        <f t="shared" si="27"/>
        <v>36300923</v>
      </c>
      <c r="DP63" s="8">
        <v>0</v>
      </c>
      <c r="DQ63" s="8">
        <v>25679471</v>
      </c>
      <c r="DR63" s="8">
        <v>25679471</v>
      </c>
      <c r="DS63" s="8">
        <v>25679471</v>
      </c>
      <c r="DT63" s="8">
        <v>25775129</v>
      </c>
      <c r="DU63" s="8">
        <v>27562279</v>
      </c>
      <c r="DV63" s="8">
        <v>27580433</v>
      </c>
      <c r="DW63" s="8">
        <v>27580433</v>
      </c>
      <c r="DX63" s="8">
        <v>27580433</v>
      </c>
      <c r="DY63" s="8">
        <v>27682535</v>
      </c>
      <c r="DZ63" s="8">
        <v>22281182</v>
      </c>
      <c r="EA63" s="8">
        <v>18773889</v>
      </c>
      <c r="EB63" s="9">
        <f t="shared" si="28"/>
        <v>18773889</v>
      </c>
      <c r="EC63" s="8">
        <v>0</v>
      </c>
      <c r="ED63" s="8">
        <v>18804431</v>
      </c>
      <c r="EE63" s="8">
        <v>20420101</v>
      </c>
      <c r="EF63" s="8">
        <v>21776156</v>
      </c>
      <c r="EG63" s="8">
        <v>21776156</v>
      </c>
      <c r="EH63" s="8">
        <v>21776156</v>
      </c>
      <c r="EI63" s="8">
        <v>18517231</v>
      </c>
      <c r="EJ63" s="8">
        <v>18405267</v>
      </c>
      <c r="EK63" s="8">
        <v>21412993</v>
      </c>
      <c r="EL63" s="8">
        <v>20795871</v>
      </c>
      <c r="EM63" s="8">
        <v>20795871</v>
      </c>
      <c r="EN63" s="8">
        <v>20417123</v>
      </c>
      <c r="EO63" s="9">
        <f t="shared" si="29"/>
        <v>20417123</v>
      </c>
      <c r="EP63" s="8">
        <v>0</v>
      </c>
      <c r="EQ63" s="8">
        <v>16529595</v>
      </c>
      <c r="ER63" s="8">
        <v>16529595</v>
      </c>
      <c r="ES63" s="8">
        <v>16529595</v>
      </c>
      <c r="ET63" s="8">
        <v>16529605</v>
      </c>
      <c r="EU63" s="8">
        <v>16529605</v>
      </c>
      <c r="EV63" s="8">
        <v>16529605</v>
      </c>
      <c r="EW63" s="8">
        <v>13642145</v>
      </c>
      <c r="EX63" s="8">
        <v>15155608</v>
      </c>
      <c r="EY63" s="8">
        <v>15155608</v>
      </c>
      <c r="EZ63" s="8">
        <v>15477358</v>
      </c>
      <c r="FA63" s="8">
        <v>9671854</v>
      </c>
      <c r="FB63" s="9">
        <f t="shared" si="30"/>
        <v>9671854</v>
      </c>
      <c r="FC63" s="8">
        <v>12054052</v>
      </c>
      <c r="FD63" s="8">
        <v>12054052</v>
      </c>
      <c r="FE63" s="8">
        <v>12054052</v>
      </c>
      <c r="FF63" s="8">
        <v>12054052</v>
      </c>
      <c r="FG63" s="8">
        <v>12054052</v>
      </c>
      <c r="FH63" s="8">
        <v>13553528</v>
      </c>
      <c r="FI63" s="8">
        <v>13553528</v>
      </c>
      <c r="FJ63" s="8"/>
      <c r="FK63" s="8"/>
      <c r="FL63" s="8"/>
      <c r="FM63" s="8"/>
      <c r="FN63" s="8"/>
      <c r="FO63" s="9">
        <f t="shared" si="31"/>
        <v>13553528</v>
      </c>
    </row>
    <row r="64" spans="2:171" ht="14.25" customHeight="1" x14ac:dyDescent="0.3">
      <c r="B64" s="7" t="s">
        <v>63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2264392</v>
      </c>
      <c r="N64" s="8">
        <v>2264392</v>
      </c>
      <c r="O64" s="9">
        <f t="shared" si="19"/>
        <v>2264392</v>
      </c>
      <c r="P64" s="8">
        <v>0</v>
      </c>
      <c r="Q64" s="8">
        <v>3053484</v>
      </c>
      <c r="R64" s="8">
        <v>3053484</v>
      </c>
      <c r="S64" s="8">
        <v>3053484</v>
      </c>
      <c r="T64" s="8">
        <v>3433056</v>
      </c>
      <c r="U64" s="8">
        <v>4434791</v>
      </c>
      <c r="V64" s="8">
        <v>5193639</v>
      </c>
      <c r="W64" s="8">
        <v>5193639</v>
      </c>
      <c r="X64" s="8">
        <v>5193639</v>
      </c>
      <c r="Y64" s="8">
        <v>5277424</v>
      </c>
      <c r="Z64" s="8">
        <v>4795949</v>
      </c>
      <c r="AA64" s="8">
        <v>5206705</v>
      </c>
      <c r="AB64" s="9">
        <f t="shared" si="20"/>
        <v>5206705</v>
      </c>
      <c r="AC64" s="8">
        <v>0</v>
      </c>
      <c r="AD64" s="8">
        <v>4425657</v>
      </c>
      <c r="AE64" s="8">
        <v>4425657</v>
      </c>
      <c r="AF64" s="8">
        <v>5502353</v>
      </c>
      <c r="AG64" s="8">
        <v>10933924</v>
      </c>
      <c r="AH64" s="8">
        <v>11023809</v>
      </c>
      <c r="AI64" s="8">
        <v>11300897</v>
      </c>
      <c r="AJ64" s="8">
        <v>11314897</v>
      </c>
      <c r="AK64" s="8">
        <v>11341915</v>
      </c>
      <c r="AL64" s="8">
        <v>11581386</v>
      </c>
      <c r="AM64" s="8">
        <v>8671935</v>
      </c>
      <c r="AN64" s="8">
        <v>8413721</v>
      </c>
      <c r="AO64" s="9">
        <f t="shared" si="21"/>
        <v>8413721</v>
      </c>
      <c r="AP64" s="8">
        <v>0</v>
      </c>
      <c r="AQ64" s="8">
        <v>5412624</v>
      </c>
      <c r="AR64" s="8">
        <v>5694859</v>
      </c>
      <c r="AS64" s="8">
        <v>5694859</v>
      </c>
      <c r="AT64" s="8">
        <v>5737157</v>
      </c>
      <c r="AU64" s="8">
        <v>5737157</v>
      </c>
      <c r="AV64" s="8">
        <v>5737157</v>
      </c>
      <c r="AW64" s="8">
        <v>6135864</v>
      </c>
      <c r="AX64" s="8">
        <v>6153362</v>
      </c>
      <c r="AY64" s="8">
        <v>6167300</v>
      </c>
      <c r="AZ64" s="8">
        <v>6167300</v>
      </c>
      <c r="BA64" s="8">
        <v>5963713</v>
      </c>
      <c r="BB64" s="9">
        <f t="shared" si="22"/>
        <v>5963713</v>
      </c>
      <c r="BC64" s="8">
        <v>0</v>
      </c>
      <c r="BD64" s="8">
        <v>0</v>
      </c>
      <c r="BE64" s="8">
        <v>4052208</v>
      </c>
      <c r="BF64" s="8">
        <v>6516904</v>
      </c>
      <c r="BG64" s="8">
        <v>6516904</v>
      </c>
      <c r="BH64" s="8">
        <v>6516904</v>
      </c>
      <c r="BI64" s="8">
        <v>6516904</v>
      </c>
      <c r="BJ64" s="8">
        <v>5514292</v>
      </c>
      <c r="BK64" s="8">
        <v>5514292</v>
      </c>
      <c r="BL64" s="8">
        <v>5514292</v>
      </c>
      <c r="BM64" s="8">
        <v>5514292</v>
      </c>
      <c r="BN64" s="8">
        <v>5169488</v>
      </c>
      <c r="BO64" s="9">
        <f t="shared" si="23"/>
        <v>5169488</v>
      </c>
      <c r="BP64" s="8">
        <v>0</v>
      </c>
      <c r="BQ64" s="8">
        <v>0</v>
      </c>
      <c r="BR64" s="8">
        <v>1574033</v>
      </c>
      <c r="BS64" s="8">
        <v>3939400</v>
      </c>
      <c r="BT64" s="8">
        <v>3939400</v>
      </c>
      <c r="BU64" s="8">
        <v>5369012</v>
      </c>
      <c r="BV64" s="8">
        <v>6436047</v>
      </c>
      <c r="BW64" s="8">
        <v>5621375</v>
      </c>
      <c r="BX64" s="8">
        <v>5621375</v>
      </c>
      <c r="BY64" s="8">
        <v>5621375</v>
      </c>
      <c r="BZ64" s="8">
        <v>5621375</v>
      </c>
      <c r="CA64" s="8">
        <v>6292346</v>
      </c>
      <c r="CB64" s="9">
        <f t="shared" si="24"/>
        <v>6292346</v>
      </c>
      <c r="CC64" s="8">
        <v>0</v>
      </c>
      <c r="CD64" s="8">
        <v>3672028</v>
      </c>
      <c r="CE64" s="8">
        <v>4409873</v>
      </c>
      <c r="CF64" s="8">
        <v>5960288</v>
      </c>
      <c r="CG64" s="8">
        <v>5960288</v>
      </c>
      <c r="CH64" s="8">
        <v>6677750</v>
      </c>
      <c r="CI64" s="8">
        <v>6762657</v>
      </c>
      <c r="CJ64" s="8">
        <v>7035631</v>
      </c>
      <c r="CK64" s="8">
        <v>7035631</v>
      </c>
      <c r="CL64" s="8">
        <v>7502797</v>
      </c>
      <c r="CM64" s="8">
        <v>7630563</v>
      </c>
      <c r="CN64" s="8">
        <v>6839719</v>
      </c>
      <c r="CO64" s="9">
        <f t="shared" si="25"/>
        <v>6839719</v>
      </c>
      <c r="CP64" s="8">
        <v>0</v>
      </c>
      <c r="CQ64" s="8">
        <v>3332515</v>
      </c>
      <c r="CR64" s="8">
        <v>3332515</v>
      </c>
      <c r="CS64" s="8">
        <v>3332515</v>
      </c>
      <c r="CT64" s="8">
        <v>3932095</v>
      </c>
      <c r="CU64" s="8">
        <v>3932095</v>
      </c>
      <c r="CV64" s="8">
        <v>2486713</v>
      </c>
      <c r="CW64" s="8">
        <v>2486713</v>
      </c>
      <c r="CX64" s="8">
        <v>2486713</v>
      </c>
      <c r="CY64" s="8">
        <v>1882672</v>
      </c>
      <c r="CZ64" s="8">
        <v>1882672</v>
      </c>
      <c r="DA64" s="8">
        <v>1352531</v>
      </c>
      <c r="DB64" s="9">
        <f t="shared" si="26"/>
        <v>1352531</v>
      </c>
      <c r="DC64" s="8">
        <v>0</v>
      </c>
      <c r="DD64" s="8">
        <v>2362420</v>
      </c>
      <c r="DE64" s="8">
        <v>2362420</v>
      </c>
      <c r="DF64" s="8">
        <v>2362420</v>
      </c>
      <c r="DG64" s="8">
        <v>2363380</v>
      </c>
      <c r="DH64" s="8">
        <v>3022798</v>
      </c>
      <c r="DI64" s="8">
        <v>3022798</v>
      </c>
      <c r="DJ64" s="8">
        <v>3022798</v>
      </c>
      <c r="DK64" s="8">
        <v>3022798</v>
      </c>
      <c r="DL64" s="8">
        <v>6099440</v>
      </c>
      <c r="DM64" s="8">
        <v>3465725</v>
      </c>
      <c r="DN64" s="8">
        <v>1022000</v>
      </c>
      <c r="DO64" s="9">
        <f t="shared" si="27"/>
        <v>1022000</v>
      </c>
      <c r="DP64" s="8">
        <v>0</v>
      </c>
      <c r="DQ64" s="8">
        <v>6877846</v>
      </c>
      <c r="DR64" s="8">
        <v>6877846</v>
      </c>
      <c r="DS64" s="8">
        <v>6877846</v>
      </c>
      <c r="DT64" s="8">
        <v>6877846</v>
      </c>
      <c r="DU64" s="8">
        <v>6877846</v>
      </c>
      <c r="DV64" s="8">
        <v>6932206</v>
      </c>
      <c r="DW64" s="8">
        <v>6932206</v>
      </c>
      <c r="DX64" s="8">
        <v>6932206</v>
      </c>
      <c r="DY64" s="8">
        <v>7729722</v>
      </c>
      <c r="DZ64" s="8">
        <v>7729722</v>
      </c>
      <c r="EA64" s="8">
        <v>5569395</v>
      </c>
      <c r="EB64" s="9">
        <f t="shared" si="28"/>
        <v>5569395</v>
      </c>
      <c r="EC64" s="8">
        <v>0</v>
      </c>
      <c r="ED64" s="8">
        <v>3689729</v>
      </c>
      <c r="EE64" s="8">
        <v>3711907</v>
      </c>
      <c r="EF64" s="8">
        <v>3711907</v>
      </c>
      <c r="EG64" s="8">
        <v>3711907</v>
      </c>
      <c r="EH64" s="8">
        <v>3711907</v>
      </c>
      <c r="EI64" s="8">
        <v>3711907</v>
      </c>
      <c r="EJ64" s="8">
        <v>3711907</v>
      </c>
      <c r="EK64" s="8">
        <v>3780030</v>
      </c>
      <c r="EL64" s="8">
        <v>3912404</v>
      </c>
      <c r="EM64" s="8">
        <v>3959631</v>
      </c>
      <c r="EN64" s="8">
        <v>3272481</v>
      </c>
      <c r="EO64" s="9">
        <f t="shared" si="29"/>
        <v>3272481</v>
      </c>
      <c r="EP64" s="8">
        <v>0</v>
      </c>
      <c r="EQ64" s="8">
        <v>911351</v>
      </c>
      <c r="ER64" s="8">
        <v>980721</v>
      </c>
      <c r="ES64" s="8">
        <v>980721</v>
      </c>
      <c r="ET64" s="8">
        <v>980721</v>
      </c>
      <c r="EU64" s="8">
        <v>1375095</v>
      </c>
      <c r="EV64" s="8">
        <v>1375095</v>
      </c>
      <c r="EW64" s="8">
        <v>1375095</v>
      </c>
      <c r="EX64" s="8">
        <v>1375095</v>
      </c>
      <c r="EY64" s="8">
        <v>1440225</v>
      </c>
      <c r="EZ64" s="8">
        <v>1440225</v>
      </c>
      <c r="FA64" s="8">
        <v>1376420</v>
      </c>
      <c r="FB64" s="9">
        <f t="shared" si="30"/>
        <v>1376420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63805</v>
      </c>
      <c r="FI64" s="8">
        <v>63805</v>
      </c>
      <c r="FJ64" s="8"/>
      <c r="FK64" s="8"/>
      <c r="FL64" s="8"/>
      <c r="FM64" s="8"/>
      <c r="FN64" s="8"/>
      <c r="FO64" s="9">
        <f t="shared" si="31"/>
        <v>63805</v>
      </c>
    </row>
    <row r="65" spans="2:171" ht="14.25" customHeight="1" x14ac:dyDescent="0.3">
      <c r="B65" s="31" t="s">
        <v>64</v>
      </c>
      <c r="C65" s="8">
        <v>0</v>
      </c>
      <c r="D65" s="8">
        <v>1570649</v>
      </c>
      <c r="E65" s="8">
        <v>1570649</v>
      </c>
      <c r="F65" s="8">
        <v>1570649</v>
      </c>
      <c r="G65" s="8">
        <v>1570649</v>
      </c>
      <c r="H65" s="8">
        <v>1570649</v>
      </c>
      <c r="I65" s="8">
        <v>1570649</v>
      </c>
      <c r="J65" s="8">
        <v>1570649</v>
      </c>
      <c r="K65" s="8">
        <v>1828511</v>
      </c>
      <c r="L65" s="8">
        <v>1828511</v>
      </c>
      <c r="M65" s="8">
        <v>1632071</v>
      </c>
      <c r="N65" s="8">
        <v>1751241</v>
      </c>
      <c r="O65" s="9">
        <f t="shared" si="19"/>
        <v>1751241</v>
      </c>
      <c r="P65" s="8">
        <v>0</v>
      </c>
      <c r="Q65" s="8">
        <v>0</v>
      </c>
      <c r="R65" s="8">
        <v>203292</v>
      </c>
      <c r="S65" s="8">
        <v>203292</v>
      </c>
      <c r="T65" s="8">
        <v>203935</v>
      </c>
      <c r="U65" s="8">
        <v>602201</v>
      </c>
      <c r="V65" s="8">
        <v>602201</v>
      </c>
      <c r="W65" s="8">
        <v>602201</v>
      </c>
      <c r="X65" s="8">
        <v>613529</v>
      </c>
      <c r="Y65" s="8">
        <v>3970213</v>
      </c>
      <c r="Z65" s="8">
        <v>3970213</v>
      </c>
      <c r="AA65" s="8">
        <v>4671945</v>
      </c>
      <c r="AB65" s="9">
        <f t="shared" si="20"/>
        <v>4671945</v>
      </c>
      <c r="AC65" s="8">
        <v>0</v>
      </c>
      <c r="AD65" s="8">
        <v>4464208</v>
      </c>
      <c r="AE65" s="8">
        <v>4464208</v>
      </c>
      <c r="AF65" s="8">
        <v>4464208</v>
      </c>
      <c r="AG65" s="8">
        <v>4653673</v>
      </c>
      <c r="AH65" s="8">
        <v>4653673</v>
      </c>
      <c r="AI65" s="8">
        <v>5183335</v>
      </c>
      <c r="AJ65" s="8">
        <v>5183335</v>
      </c>
      <c r="AK65" s="8">
        <v>5183335</v>
      </c>
      <c r="AL65" s="8">
        <v>5183335</v>
      </c>
      <c r="AM65" s="8">
        <v>5183335</v>
      </c>
      <c r="AN65" s="8">
        <v>5266488</v>
      </c>
      <c r="AO65" s="9">
        <f t="shared" si="21"/>
        <v>5266488</v>
      </c>
      <c r="AP65" s="8">
        <v>0</v>
      </c>
      <c r="AQ65" s="8">
        <v>0</v>
      </c>
      <c r="AR65" s="8">
        <v>7526907</v>
      </c>
      <c r="AS65" s="8">
        <v>7526907</v>
      </c>
      <c r="AT65" s="8">
        <v>7526907</v>
      </c>
      <c r="AU65" s="8">
        <v>7526907</v>
      </c>
      <c r="AV65" s="8">
        <v>7526907</v>
      </c>
      <c r="AW65" s="8">
        <v>7526907</v>
      </c>
      <c r="AX65" s="8">
        <v>7526907</v>
      </c>
      <c r="AY65" s="8">
        <v>8945547</v>
      </c>
      <c r="AZ65" s="8">
        <v>8945547</v>
      </c>
      <c r="BA65" s="8">
        <v>10918514</v>
      </c>
      <c r="BB65" s="9">
        <f t="shared" si="22"/>
        <v>10918514</v>
      </c>
      <c r="BC65" s="8">
        <v>0</v>
      </c>
      <c r="BD65" s="8">
        <v>0</v>
      </c>
      <c r="BE65" s="8">
        <v>882065</v>
      </c>
      <c r="BF65" s="8">
        <v>5729740</v>
      </c>
      <c r="BG65" s="8">
        <v>6979387</v>
      </c>
      <c r="BH65" s="8">
        <v>7678176</v>
      </c>
      <c r="BI65" s="8">
        <v>7678176</v>
      </c>
      <c r="BJ65" s="8">
        <v>7678176</v>
      </c>
      <c r="BK65" s="8">
        <v>6441915</v>
      </c>
      <c r="BL65" s="8">
        <v>6105104</v>
      </c>
      <c r="BM65" s="8">
        <v>6105104</v>
      </c>
      <c r="BN65" s="8">
        <v>2888553</v>
      </c>
      <c r="BO65" s="9">
        <f t="shared" si="23"/>
        <v>2888553</v>
      </c>
      <c r="BP65" s="8">
        <v>0</v>
      </c>
      <c r="BQ65" s="8">
        <v>0</v>
      </c>
      <c r="BR65" s="8">
        <v>3192655</v>
      </c>
      <c r="BS65" s="8">
        <v>5340223</v>
      </c>
      <c r="BT65" s="8">
        <v>5340223</v>
      </c>
      <c r="BU65" s="8">
        <v>5374957</v>
      </c>
      <c r="BV65" s="8">
        <v>5374957</v>
      </c>
      <c r="BW65" s="8">
        <v>3264807</v>
      </c>
      <c r="BX65" s="8">
        <v>2977359</v>
      </c>
      <c r="BY65" s="8">
        <v>2977359</v>
      </c>
      <c r="BZ65" s="8">
        <v>2977359</v>
      </c>
      <c r="CA65" s="8">
        <v>755898</v>
      </c>
      <c r="CB65" s="9">
        <f t="shared" si="24"/>
        <v>755898</v>
      </c>
      <c r="CC65" s="8">
        <v>0</v>
      </c>
      <c r="CD65" s="8">
        <v>0</v>
      </c>
      <c r="CE65" s="8">
        <v>3582677</v>
      </c>
      <c r="CF65" s="8">
        <v>3582677</v>
      </c>
      <c r="CG65" s="8">
        <v>3582677</v>
      </c>
      <c r="CH65" s="8">
        <v>3582677</v>
      </c>
      <c r="CI65" s="8">
        <v>3695107</v>
      </c>
      <c r="CJ65" s="8">
        <v>4013706</v>
      </c>
      <c r="CK65" s="8">
        <v>4013706</v>
      </c>
      <c r="CL65" s="8">
        <v>4013706</v>
      </c>
      <c r="CM65" s="8">
        <v>3341288</v>
      </c>
      <c r="CN65" s="8">
        <v>1028834</v>
      </c>
      <c r="CO65" s="9">
        <f t="shared" si="25"/>
        <v>1028834</v>
      </c>
      <c r="CP65" s="8">
        <v>0</v>
      </c>
      <c r="CQ65" s="8">
        <v>7901349</v>
      </c>
      <c r="CR65" s="8">
        <v>7901349</v>
      </c>
      <c r="CS65" s="8">
        <v>7901349</v>
      </c>
      <c r="CT65" s="8">
        <v>7901349</v>
      </c>
      <c r="CU65" s="8">
        <v>8141349</v>
      </c>
      <c r="CV65" s="8">
        <v>8006191</v>
      </c>
      <c r="CW65" s="8">
        <v>8009553</v>
      </c>
      <c r="CX65" s="8">
        <v>8009553</v>
      </c>
      <c r="CY65" s="8">
        <v>2712486</v>
      </c>
      <c r="CZ65" s="8">
        <v>2712486</v>
      </c>
      <c r="DA65" s="8">
        <v>1230707</v>
      </c>
      <c r="DB65" s="9">
        <f t="shared" si="26"/>
        <v>1230707</v>
      </c>
      <c r="DC65" s="8">
        <v>0</v>
      </c>
      <c r="DD65" s="8">
        <v>6879898</v>
      </c>
      <c r="DE65" s="8">
        <v>6879898</v>
      </c>
      <c r="DF65" s="8">
        <v>6879898</v>
      </c>
      <c r="DG65" s="8">
        <v>6879898</v>
      </c>
      <c r="DH65" s="8">
        <v>6879898</v>
      </c>
      <c r="DI65" s="8">
        <v>4025564</v>
      </c>
      <c r="DJ65" s="8">
        <v>4025564</v>
      </c>
      <c r="DK65" s="8">
        <v>4025564</v>
      </c>
      <c r="DL65" s="8">
        <v>4695887</v>
      </c>
      <c r="DM65" s="8">
        <v>3422833</v>
      </c>
      <c r="DN65" s="8">
        <v>3337245</v>
      </c>
      <c r="DO65" s="9">
        <f t="shared" si="27"/>
        <v>3337245</v>
      </c>
      <c r="DP65" s="8">
        <v>0</v>
      </c>
      <c r="DQ65" s="8">
        <v>5231634</v>
      </c>
      <c r="DR65" s="8">
        <v>5231634</v>
      </c>
      <c r="DS65" s="8">
        <v>5231634</v>
      </c>
      <c r="DT65" s="8">
        <v>5231634</v>
      </c>
      <c r="DU65" s="8">
        <v>5231634</v>
      </c>
      <c r="DV65" s="8">
        <v>9695969</v>
      </c>
      <c r="DW65" s="8">
        <v>9695969</v>
      </c>
      <c r="DX65" s="8">
        <v>9695969</v>
      </c>
      <c r="DY65" s="8">
        <v>9853581</v>
      </c>
      <c r="DZ65" s="8">
        <v>9999936</v>
      </c>
      <c r="EA65" s="8">
        <v>2995702</v>
      </c>
      <c r="EB65" s="9">
        <f t="shared" si="28"/>
        <v>2995702</v>
      </c>
      <c r="EC65" s="8">
        <v>0</v>
      </c>
      <c r="ED65" s="8">
        <v>2105927</v>
      </c>
      <c r="EE65" s="8">
        <v>7003853</v>
      </c>
      <c r="EF65" s="8">
        <v>10706849</v>
      </c>
      <c r="EG65" s="8">
        <v>10706849</v>
      </c>
      <c r="EH65" s="8">
        <v>11060319</v>
      </c>
      <c r="EI65" s="8">
        <v>11064246</v>
      </c>
      <c r="EJ65" s="8">
        <v>11064246</v>
      </c>
      <c r="EK65" s="8">
        <v>14862784</v>
      </c>
      <c r="EL65" s="8">
        <v>12330411</v>
      </c>
      <c r="EM65" s="8">
        <v>11891612</v>
      </c>
      <c r="EN65" s="8">
        <v>11389606</v>
      </c>
      <c r="EO65" s="9">
        <f t="shared" si="29"/>
        <v>11389606</v>
      </c>
      <c r="EP65" s="8">
        <v>0</v>
      </c>
      <c r="EQ65" s="8">
        <v>15950741</v>
      </c>
      <c r="ER65" s="8">
        <v>16457573</v>
      </c>
      <c r="ES65" s="8">
        <v>16457573</v>
      </c>
      <c r="ET65" s="8">
        <v>16457573</v>
      </c>
      <c r="EU65" s="8">
        <v>16457573</v>
      </c>
      <c r="EV65" s="8">
        <v>16457573</v>
      </c>
      <c r="EW65" s="8">
        <v>16457573</v>
      </c>
      <c r="EX65" s="8">
        <v>21869842</v>
      </c>
      <c r="EY65" s="8">
        <v>21968330</v>
      </c>
      <c r="EZ65" s="8">
        <v>21968330</v>
      </c>
      <c r="FA65" s="8">
        <v>20373302</v>
      </c>
      <c r="FB65" s="9">
        <f t="shared" si="30"/>
        <v>20373302</v>
      </c>
      <c r="FC65" s="8">
        <v>5803182</v>
      </c>
      <c r="FD65" s="8">
        <v>5803182</v>
      </c>
      <c r="FE65" s="8">
        <v>5803182</v>
      </c>
      <c r="FF65" s="8">
        <v>5803182</v>
      </c>
      <c r="FG65" s="8">
        <v>5803182</v>
      </c>
      <c r="FH65" s="8">
        <v>5803182</v>
      </c>
      <c r="FI65" s="8">
        <v>5803182</v>
      </c>
      <c r="FJ65" s="8"/>
      <c r="FK65" s="8"/>
      <c r="FL65" s="8"/>
      <c r="FM65" s="8"/>
      <c r="FN65" s="8"/>
      <c r="FO65" s="9">
        <f t="shared" si="31"/>
        <v>5803182</v>
      </c>
    </row>
    <row r="66" spans="2:171" ht="14.25" customHeight="1" x14ac:dyDescent="0.3">
      <c r="B66" s="31" t="s">
        <v>65</v>
      </c>
      <c r="C66" s="8">
        <v>0</v>
      </c>
      <c r="D66" s="8">
        <v>11877708</v>
      </c>
      <c r="E66" s="8">
        <v>15001310</v>
      </c>
      <c r="F66" s="8">
        <v>15001310</v>
      </c>
      <c r="G66" s="8">
        <v>15001310</v>
      </c>
      <c r="H66" s="8">
        <v>15001310</v>
      </c>
      <c r="I66" s="8">
        <v>15001310</v>
      </c>
      <c r="J66" s="8">
        <v>15001310</v>
      </c>
      <c r="K66" s="8">
        <v>23634220</v>
      </c>
      <c r="L66" s="8">
        <v>23634220</v>
      </c>
      <c r="M66" s="8">
        <v>23586876</v>
      </c>
      <c r="N66" s="8">
        <v>23586876</v>
      </c>
      <c r="O66" s="9">
        <f t="shared" si="19"/>
        <v>23586876</v>
      </c>
      <c r="P66" s="8">
        <v>0</v>
      </c>
      <c r="Q66" s="8">
        <v>5219837</v>
      </c>
      <c r="R66" s="8">
        <v>7337402</v>
      </c>
      <c r="S66" s="8">
        <v>7337402</v>
      </c>
      <c r="T66" s="8">
        <v>8037394</v>
      </c>
      <c r="U66" s="8">
        <v>8888262</v>
      </c>
      <c r="V66" s="8">
        <v>9152248</v>
      </c>
      <c r="W66" s="8">
        <v>9152248</v>
      </c>
      <c r="X66" s="8">
        <v>9152248</v>
      </c>
      <c r="Y66" s="8">
        <v>9152248</v>
      </c>
      <c r="Z66" s="8">
        <v>9328569</v>
      </c>
      <c r="AA66" s="8">
        <v>11217751</v>
      </c>
      <c r="AB66" s="9">
        <f t="shared" si="20"/>
        <v>11217751</v>
      </c>
      <c r="AC66" s="8">
        <v>0</v>
      </c>
      <c r="AD66" s="8">
        <v>0</v>
      </c>
      <c r="AE66" s="8">
        <v>0</v>
      </c>
      <c r="AF66" s="8">
        <v>7135563</v>
      </c>
      <c r="AG66" s="8">
        <v>7611091</v>
      </c>
      <c r="AH66" s="8">
        <v>7611091</v>
      </c>
      <c r="AI66" s="8">
        <v>8193539</v>
      </c>
      <c r="AJ66" s="8">
        <v>9120867</v>
      </c>
      <c r="AK66" s="8">
        <v>9134255</v>
      </c>
      <c r="AL66" s="8">
        <v>9223957</v>
      </c>
      <c r="AM66" s="8">
        <v>9223957</v>
      </c>
      <c r="AN66" s="8">
        <v>7297817</v>
      </c>
      <c r="AO66" s="9">
        <f t="shared" si="21"/>
        <v>7297817</v>
      </c>
      <c r="AP66" s="8">
        <v>0</v>
      </c>
      <c r="AQ66" s="8">
        <v>0</v>
      </c>
      <c r="AR66" s="8">
        <v>6407293</v>
      </c>
      <c r="AS66" s="8">
        <v>6407293</v>
      </c>
      <c r="AT66" s="8">
        <v>6407293</v>
      </c>
      <c r="AU66" s="8">
        <v>6511633</v>
      </c>
      <c r="AV66" s="8">
        <v>6608604</v>
      </c>
      <c r="AW66" s="8">
        <v>6608604</v>
      </c>
      <c r="AX66" s="8">
        <v>6376912</v>
      </c>
      <c r="AY66" s="8">
        <v>6376912</v>
      </c>
      <c r="AZ66" s="8">
        <v>6376912</v>
      </c>
      <c r="BA66" s="8">
        <v>6441279</v>
      </c>
      <c r="BB66" s="9">
        <f t="shared" si="22"/>
        <v>6441279</v>
      </c>
      <c r="BC66" s="8">
        <v>0</v>
      </c>
      <c r="BD66" s="8">
        <v>0</v>
      </c>
      <c r="BE66" s="8">
        <v>2400000</v>
      </c>
      <c r="BF66" s="8">
        <v>3150609</v>
      </c>
      <c r="BG66" s="8">
        <v>3976417</v>
      </c>
      <c r="BH66" s="8">
        <v>6252577</v>
      </c>
      <c r="BI66" s="8">
        <v>6252577</v>
      </c>
      <c r="BJ66" s="8">
        <v>6838865</v>
      </c>
      <c r="BK66" s="8">
        <v>6838865</v>
      </c>
      <c r="BL66" s="8">
        <v>6838865</v>
      </c>
      <c r="BM66" s="8">
        <v>6838865</v>
      </c>
      <c r="BN66" s="8">
        <v>5082343</v>
      </c>
      <c r="BO66" s="9">
        <f t="shared" si="23"/>
        <v>5082343</v>
      </c>
      <c r="BP66" s="8">
        <v>0</v>
      </c>
      <c r="BQ66" s="8">
        <v>0</v>
      </c>
      <c r="BR66" s="8">
        <v>0</v>
      </c>
      <c r="BS66" s="8">
        <v>4133383</v>
      </c>
      <c r="BT66" s="8">
        <v>4133383</v>
      </c>
      <c r="BU66" s="8">
        <v>4133383</v>
      </c>
      <c r="BV66" s="8">
        <v>4133383</v>
      </c>
      <c r="BW66" s="8">
        <v>4504577</v>
      </c>
      <c r="BX66" s="8">
        <v>4504577</v>
      </c>
      <c r="BY66" s="8">
        <v>4504577</v>
      </c>
      <c r="BZ66" s="8">
        <v>4504577</v>
      </c>
      <c r="CA66" s="8">
        <v>4483783</v>
      </c>
      <c r="CB66" s="9">
        <f t="shared" si="24"/>
        <v>4483783</v>
      </c>
      <c r="CC66" s="8">
        <v>0</v>
      </c>
      <c r="CD66" s="8">
        <v>0</v>
      </c>
      <c r="CE66" s="8">
        <v>4103531</v>
      </c>
      <c r="CF66" s="8">
        <v>4103531</v>
      </c>
      <c r="CG66" s="8">
        <v>4103531</v>
      </c>
      <c r="CH66" s="8">
        <v>4103531</v>
      </c>
      <c r="CI66" s="8">
        <v>4103531</v>
      </c>
      <c r="CJ66" s="8">
        <v>4200298</v>
      </c>
      <c r="CK66" s="8">
        <v>4200298</v>
      </c>
      <c r="CL66" s="8">
        <v>4200298</v>
      </c>
      <c r="CM66" s="8">
        <v>4200298</v>
      </c>
      <c r="CN66" s="8">
        <v>3189586</v>
      </c>
      <c r="CO66" s="9">
        <f t="shared" si="25"/>
        <v>3189586</v>
      </c>
      <c r="CP66" s="8">
        <v>0</v>
      </c>
      <c r="CQ66" s="8">
        <v>6777858</v>
      </c>
      <c r="CR66" s="8">
        <v>6777858</v>
      </c>
      <c r="CS66" s="8">
        <v>6777858</v>
      </c>
      <c r="CT66" s="8">
        <v>6777858</v>
      </c>
      <c r="CU66" s="8">
        <v>6777858</v>
      </c>
      <c r="CV66" s="8">
        <v>7018018</v>
      </c>
      <c r="CW66" s="8">
        <v>7018018</v>
      </c>
      <c r="CX66" s="8">
        <v>7018018</v>
      </c>
      <c r="CY66" s="8">
        <v>5113425</v>
      </c>
      <c r="CZ66" s="8">
        <v>5137129</v>
      </c>
      <c r="DA66" s="8">
        <v>4036077</v>
      </c>
      <c r="DB66" s="9">
        <f t="shared" si="26"/>
        <v>4036077</v>
      </c>
      <c r="DC66" s="8">
        <v>0</v>
      </c>
      <c r="DD66" s="8">
        <v>2739936</v>
      </c>
      <c r="DE66" s="8">
        <v>6490577</v>
      </c>
      <c r="DF66" s="8">
        <v>6490577</v>
      </c>
      <c r="DG66" s="8">
        <v>6490577</v>
      </c>
      <c r="DH66" s="8">
        <v>6490577</v>
      </c>
      <c r="DI66" s="8">
        <v>2680825</v>
      </c>
      <c r="DJ66" s="8">
        <v>2680825</v>
      </c>
      <c r="DK66" s="8">
        <v>3142347</v>
      </c>
      <c r="DL66" s="8">
        <v>3280497</v>
      </c>
      <c r="DM66" s="8">
        <v>2800497</v>
      </c>
      <c r="DN66" s="8">
        <v>2245494</v>
      </c>
      <c r="DO66" s="9">
        <f t="shared" si="27"/>
        <v>2245494</v>
      </c>
      <c r="DP66" s="8">
        <v>0</v>
      </c>
      <c r="DQ66" s="8">
        <v>9954341</v>
      </c>
      <c r="DR66" s="8">
        <v>9954341</v>
      </c>
      <c r="DS66" s="8">
        <v>9954341</v>
      </c>
      <c r="DT66" s="8">
        <v>9954341</v>
      </c>
      <c r="DU66" s="8">
        <v>9954341</v>
      </c>
      <c r="DV66" s="8">
        <v>10677120</v>
      </c>
      <c r="DW66" s="8">
        <v>10677120</v>
      </c>
      <c r="DX66" s="8">
        <v>10677120</v>
      </c>
      <c r="DY66" s="8">
        <v>10920159</v>
      </c>
      <c r="DZ66" s="8">
        <v>10920159</v>
      </c>
      <c r="EA66" s="8">
        <v>8598671</v>
      </c>
      <c r="EB66" s="9">
        <f t="shared" si="28"/>
        <v>8598671</v>
      </c>
      <c r="EC66" s="8">
        <v>0</v>
      </c>
      <c r="ED66" s="8">
        <v>15137177</v>
      </c>
      <c r="EE66" s="8">
        <v>17179479</v>
      </c>
      <c r="EF66" s="8">
        <v>18436191</v>
      </c>
      <c r="EG66" s="8">
        <v>18436191</v>
      </c>
      <c r="EH66" s="8">
        <v>18436191</v>
      </c>
      <c r="EI66" s="8">
        <v>17505064</v>
      </c>
      <c r="EJ66" s="8">
        <v>17652716</v>
      </c>
      <c r="EK66" s="8">
        <v>17652716</v>
      </c>
      <c r="EL66" s="8">
        <v>16079513</v>
      </c>
      <c r="EM66" s="8">
        <v>16407243</v>
      </c>
      <c r="EN66" s="8">
        <v>15747577</v>
      </c>
      <c r="EO66" s="9">
        <f t="shared" si="29"/>
        <v>15747577</v>
      </c>
      <c r="EP66" s="8">
        <v>0</v>
      </c>
      <c r="EQ66" s="8">
        <v>17685526</v>
      </c>
      <c r="ER66" s="8">
        <v>17685526</v>
      </c>
      <c r="ES66" s="8">
        <v>17685526</v>
      </c>
      <c r="ET66" s="8">
        <v>17685526</v>
      </c>
      <c r="EU66" s="8">
        <v>17685526</v>
      </c>
      <c r="EV66" s="8">
        <v>17685526</v>
      </c>
      <c r="EW66" s="8">
        <v>17685526</v>
      </c>
      <c r="EX66" s="8">
        <v>17685526</v>
      </c>
      <c r="EY66" s="8">
        <v>18653714</v>
      </c>
      <c r="EZ66" s="8">
        <v>18653714</v>
      </c>
      <c r="FA66" s="8">
        <v>17960408</v>
      </c>
      <c r="FB66" s="9">
        <f t="shared" si="30"/>
        <v>17960408</v>
      </c>
      <c r="FC66" s="8">
        <v>8792255</v>
      </c>
      <c r="FD66" s="8">
        <v>8792255</v>
      </c>
      <c r="FE66" s="8">
        <v>8792255</v>
      </c>
      <c r="FF66" s="8">
        <v>8792255</v>
      </c>
      <c r="FG66" s="8">
        <v>8792255</v>
      </c>
      <c r="FH66" s="8">
        <v>8792255</v>
      </c>
      <c r="FI66" s="8">
        <v>8792255</v>
      </c>
      <c r="FJ66" s="8"/>
      <c r="FK66" s="8"/>
      <c r="FL66" s="8"/>
      <c r="FM66" s="8"/>
      <c r="FN66" s="8"/>
      <c r="FO66" s="9">
        <f t="shared" si="31"/>
        <v>8792255</v>
      </c>
    </row>
    <row r="67" spans="2:171" ht="14.25" customHeight="1" x14ac:dyDescent="0.3">
      <c r="B67" s="7" t="s">
        <v>66</v>
      </c>
      <c r="C67" s="8">
        <v>0</v>
      </c>
      <c r="D67" s="8">
        <v>8774463</v>
      </c>
      <c r="E67" s="8">
        <v>8940662</v>
      </c>
      <c r="F67" s="8">
        <v>8940662</v>
      </c>
      <c r="G67" s="8">
        <v>8940662</v>
      </c>
      <c r="H67" s="8">
        <v>8940662</v>
      </c>
      <c r="I67" s="8">
        <v>8940662</v>
      </c>
      <c r="J67" s="8">
        <v>8940662</v>
      </c>
      <c r="K67" s="8">
        <v>8940662</v>
      </c>
      <c r="L67" s="8">
        <v>8940662</v>
      </c>
      <c r="M67" s="8">
        <v>7459213</v>
      </c>
      <c r="N67" s="8">
        <v>7459213</v>
      </c>
      <c r="O67" s="9">
        <f t="shared" si="19"/>
        <v>7459213</v>
      </c>
      <c r="P67" s="8">
        <v>0</v>
      </c>
      <c r="Q67" s="8">
        <v>0</v>
      </c>
      <c r="R67" s="8">
        <v>23886827</v>
      </c>
      <c r="S67" s="8">
        <v>23886827</v>
      </c>
      <c r="T67" s="8">
        <v>14666910</v>
      </c>
      <c r="U67" s="8">
        <v>15000871</v>
      </c>
      <c r="V67" s="8">
        <v>15000871</v>
      </c>
      <c r="W67" s="8">
        <v>15000871</v>
      </c>
      <c r="X67" s="8">
        <v>15000871</v>
      </c>
      <c r="Y67" s="8">
        <v>15000871</v>
      </c>
      <c r="Z67" s="8">
        <v>15044971</v>
      </c>
      <c r="AA67" s="8">
        <v>16148660</v>
      </c>
      <c r="AB67" s="9">
        <f t="shared" si="20"/>
        <v>16148660</v>
      </c>
      <c r="AC67" s="8">
        <v>0</v>
      </c>
      <c r="AD67" s="8">
        <v>8662911</v>
      </c>
      <c r="AE67" s="8">
        <v>8662911</v>
      </c>
      <c r="AF67" s="8">
        <v>9075157</v>
      </c>
      <c r="AG67" s="8">
        <v>10980371</v>
      </c>
      <c r="AH67" s="8">
        <v>10980371</v>
      </c>
      <c r="AI67" s="8">
        <v>12313157</v>
      </c>
      <c r="AJ67" s="8">
        <v>15890151</v>
      </c>
      <c r="AK67" s="8">
        <v>15890151</v>
      </c>
      <c r="AL67" s="8">
        <v>15890151</v>
      </c>
      <c r="AM67" s="8">
        <v>13229018</v>
      </c>
      <c r="AN67" s="8">
        <v>8973998</v>
      </c>
      <c r="AO67" s="9">
        <f t="shared" si="21"/>
        <v>8973998</v>
      </c>
      <c r="AP67" s="8">
        <v>0</v>
      </c>
      <c r="AQ67" s="8">
        <v>6130205</v>
      </c>
      <c r="AR67" s="8">
        <v>6876397</v>
      </c>
      <c r="AS67" s="8">
        <v>6931691</v>
      </c>
      <c r="AT67" s="8">
        <v>6931691</v>
      </c>
      <c r="AU67" s="8">
        <v>6937070</v>
      </c>
      <c r="AV67" s="8">
        <v>6937070</v>
      </c>
      <c r="AW67" s="8">
        <v>6937070</v>
      </c>
      <c r="AX67" s="8">
        <v>6522650</v>
      </c>
      <c r="AY67" s="8">
        <v>6522650</v>
      </c>
      <c r="AZ67" s="8">
        <v>6522650</v>
      </c>
      <c r="BA67" s="8">
        <v>5149141</v>
      </c>
      <c r="BB67" s="9">
        <f t="shared" si="22"/>
        <v>5149141</v>
      </c>
      <c r="BC67" s="8">
        <v>0</v>
      </c>
      <c r="BD67" s="8">
        <v>0</v>
      </c>
      <c r="BE67" s="8">
        <v>1653453</v>
      </c>
      <c r="BF67" s="8">
        <v>2033244</v>
      </c>
      <c r="BG67" s="8">
        <v>2033244</v>
      </c>
      <c r="BH67" s="8">
        <v>2586335</v>
      </c>
      <c r="BI67" s="8">
        <v>2586335</v>
      </c>
      <c r="BJ67" s="8">
        <v>5267761</v>
      </c>
      <c r="BK67" s="8">
        <v>5267761</v>
      </c>
      <c r="BL67" s="8">
        <v>5267761</v>
      </c>
      <c r="BM67" s="8">
        <v>5267761</v>
      </c>
      <c r="BN67" s="8">
        <v>2540921</v>
      </c>
      <c r="BO67" s="9">
        <f t="shared" si="23"/>
        <v>2540921</v>
      </c>
      <c r="BP67" s="8">
        <v>0</v>
      </c>
      <c r="BQ67" s="8">
        <v>0</v>
      </c>
      <c r="BR67" s="8">
        <v>2787838</v>
      </c>
      <c r="BS67" s="8">
        <v>2787838</v>
      </c>
      <c r="BT67" s="8">
        <v>4703922</v>
      </c>
      <c r="BU67" s="8">
        <v>4703922</v>
      </c>
      <c r="BV67" s="8">
        <v>4164418</v>
      </c>
      <c r="BW67" s="8">
        <v>4180397</v>
      </c>
      <c r="BX67" s="8">
        <v>2374765</v>
      </c>
      <c r="BY67" s="8">
        <v>2374765</v>
      </c>
      <c r="BZ67" s="8">
        <v>2587893</v>
      </c>
      <c r="CA67" s="8">
        <v>1892219</v>
      </c>
      <c r="CB67" s="9">
        <f t="shared" si="24"/>
        <v>1892219</v>
      </c>
      <c r="CC67" s="8">
        <v>0</v>
      </c>
      <c r="CD67" s="8">
        <v>0</v>
      </c>
      <c r="CE67" s="8">
        <v>2172984</v>
      </c>
      <c r="CF67" s="8">
        <v>2275761</v>
      </c>
      <c r="CG67" s="8">
        <v>2275761</v>
      </c>
      <c r="CH67" s="8">
        <v>2275761</v>
      </c>
      <c r="CI67" s="8">
        <v>2275761</v>
      </c>
      <c r="CJ67" s="8">
        <v>2275761</v>
      </c>
      <c r="CK67" s="8">
        <v>2275761</v>
      </c>
      <c r="CL67" s="8">
        <v>2275761</v>
      </c>
      <c r="CM67" s="8">
        <v>839305</v>
      </c>
      <c r="CN67" s="8">
        <v>1045492</v>
      </c>
      <c r="CO67" s="9">
        <f t="shared" si="25"/>
        <v>1045492</v>
      </c>
      <c r="CP67" s="8">
        <v>0</v>
      </c>
      <c r="CQ67" s="8">
        <v>5446601</v>
      </c>
      <c r="CR67" s="8">
        <v>5446601</v>
      </c>
      <c r="CS67" s="8">
        <v>5446601</v>
      </c>
      <c r="CT67" s="8">
        <v>5446601</v>
      </c>
      <c r="CU67" s="8">
        <v>5926165</v>
      </c>
      <c r="CV67" s="8">
        <v>5926165</v>
      </c>
      <c r="CW67" s="8">
        <v>5926165</v>
      </c>
      <c r="CX67" s="8">
        <v>5926165</v>
      </c>
      <c r="CY67" s="8">
        <v>799629</v>
      </c>
      <c r="CZ67" s="8">
        <v>799629</v>
      </c>
      <c r="DA67" s="8">
        <v>634734</v>
      </c>
      <c r="DB67" s="9">
        <f t="shared" si="26"/>
        <v>634734</v>
      </c>
      <c r="DC67" s="8">
        <v>0</v>
      </c>
      <c r="DD67" s="8">
        <v>16220731</v>
      </c>
      <c r="DE67" s="8">
        <v>16220731</v>
      </c>
      <c r="DF67" s="8">
        <v>16220731</v>
      </c>
      <c r="DG67" s="8">
        <v>16220731</v>
      </c>
      <c r="DH67" s="8">
        <v>16220731</v>
      </c>
      <c r="DI67" s="8">
        <v>10497460</v>
      </c>
      <c r="DJ67" s="8">
        <v>10497460</v>
      </c>
      <c r="DK67" s="8">
        <v>10497460</v>
      </c>
      <c r="DL67" s="8">
        <v>10497460</v>
      </c>
      <c r="DM67" s="8">
        <v>6870730</v>
      </c>
      <c r="DN67" s="8">
        <v>6693191</v>
      </c>
      <c r="DO67" s="9">
        <f t="shared" si="27"/>
        <v>6693191</v>
      </c>
      <c r="DP67" s="8">
        <v>0</v>
      </c>
      <c r="DQ67" s="8">
        <v>16849851</v>
      </c>
      <c r="DR67" s="8">
        <v>16849851</v>
      </c>
      <c r="DS67" s="8">
        <v>16849851</v>
      </c>
      <c r="DT67" s="8">
        <v>16849851</v>
      </c>
      <c r="DU67" s="8">
        <v>17163588</v>
      </c>
      <c r="DV67" s="8">
        <v>17660626</v>
      </c>
      <c r="DW67" s="8">
        <v>17660626</v>
      </c>
      <c r="DX67" s="8">
        <v>17660626</v>
      </c>
      <c r="DY67" s="8">
        <v>18052194</v>
      </c>
      <c r="DZ67" s="8">
        <v>18052194</v>
      </c>
      <c r="EA67" s="8">
        <v>19930050</v>
      </c>
      <c r="EB67" s="9">
        <f t="shared" si="28"/>
        <v>19930050</v>
      </c>
      <c r="EC67" s="8">
        <v>0</v>
      </c>
      <c r="ED67" s="8">
        <v>15225652</v>
      </c>
      <c r="EE67" s="8">
        <v>15225652</v>
      </c>
      <c r="EF67" s="8">
        <v>15873622</v>
      </c>
      <c r="EG67" s="8">
        <v>15873622</v>
      </c>
      <c r="EH67" s="8">
        <v>15873622</v>
      </c>
      <c r="EI67" s="8">
        <v>10587755</v>
      </c>
      <c r="EJ67" s="8">
        <v>10587755</v>
      </c>
      <c r="EK67" s="8">
        <v>10587755</v>
      </c>
      <c r="EL67" s="8">
        <v>8662171</v>
      </c>
      <c r="EM67" s="8">
        <v>5878708</v>
      </c>
      <c r="EN67" s="8">
        <v>5878708</v>
      </c>
      <c r="EO67" s="9">
        <f t="shared" si="29"/>
        <v>5878708</v>
      </c>
      <c r="EP67" s="8">
        <v>0</v>
      </c>
      <c r="EQ67" s="8">
        <v>14801721</v>
      </c>
      <c r="ER67" s="8">
        <v>14801721</v>
      </c>
      <c r="ES67" s="8">
        <v>14801721</v>
      </c>
      <c r="ET67" s="8">
        <v>14801721</v>
      </c>
      <c r="EU67" s="8">
        <v>14801721</v>
      </c>
      <c r="EV67" s="8">
        <v>10738495</v>
      </c>
      <c r="EW67" s="8">
        <v>10738495</v>
      </c>
      <c r="EX67" s="8">
        <v>10738495</v>
      </c>
      <c r="EY67" s="8">
        <v>10738495</v>
      </c>
      <c r="EZ67" s="8">
        <v>9928966</v>
      </c>
      <c r="FA67" s="8">
        <v>4813142</v>
      </c>
      <c r="FB67" s="9">
        <f t="shared" si="30"/>
        <v>4813142</v>
      </c>
      <c r="FC67" s="8">
        <v>18659595</v>
      </c>
      <c r="FD67" s="8">
        <v>18659595</v>
      </c>
      <c r="FE67" s="8">
        <v>18659595</v>
      </c>
      <c r="FF67" s="8">
        <v>18659595</v>
      </c>
      <c r="FG67" s="8">
        <v>18659595</v>
      </c>
      <c r="FH67" s="8">
        <v>18659595</v>
      </c>
      <c r="FI67" s="8">
        <v>18659595</v>
      </c>
      <c r="FJ67" s="8"/>
      <c r="FK67" s="8"/>
      <c r="FL67" s="8"/>
      <c r="FM67" s="8"/>
      <c r="FN67" s="8"/>
      <c r="FO67" s="9">
        <f t="shared" si="31"/>
        <v>18659595</v>
      </c>
    </row>
    <row r="68" spans="2:171" ht="14.25" customHeight="1" x14ac:dyDescent="0.3">
      <c r="B68" s="7" t="s">
        <v>67</v>
      </c>
      <c r="C68" s="8">
        <v>0</v>
      </c>
      <c r="D68" s="8">
        <v>12277007</v>
      </c>
      <c r="E68" s="8">
        <v>12277007</v>
      </c>
      <c r="F68" s="8">
        <v>12277007</v>
      </c>
      <c r="G68" s="8">
        <v>12277007</v>
      </c>
      <c r="H68" s="8">
        <v>12277007</v>
      </c>
      <c r="I68" s="8">
        <v>12277007</v>
      </c>
      <c r="J68" s="8">
        <v>12277007</v>
      </c>
      <c r="K68" s="8">
        <v>8922869</v>
      </c>
      <c r="L68" s="8">
        <v>8922869</v>
      </c>
      <c r="M68" s="8">
        <v>5566121</v>
      </c>
      <c r="N68" s="8">
        <v>5566121</v>
      </c>
      <c r="O68" s="9">
        <f t="shared" si="19"/>
        <v>5566121</v>
      </c>
      <c r="P68" s="8">
        <v>0</v>
      </c>
      <c r="Q68" s="8">
        <v>16670543</v>
      </c>
      <c r="R68" s="8">
        <v>20997897</v>
      </c>
      <c r="S68" s="8">
        <v>20997897</v>
      </c>
      <c r="T68" s="8">
        <v>20998950</v>
      </c>
      <c r="U68" s="8">
        <v>20998950</v>
      </c>
      <c r="V68" s="8">
        <v>20998950</v>
      </c>
      <c r="W68" s="8">
        <v>26015720</v>
      </c>
      <c r="X68" s="8">
        <v>26015720</v>
      </c>
      <c r="Y68" s="8">
        <v>26015720</v>
      </c>
      <c r="Z68" s="8">
        <v>26297608</v>
      </c>
      <c r="AA68" s="8">
        <v>25762544</v>
      </c>
      <c r="AB68" s="9">
        <f t="shared" si="20"/>
        <v>25762544</v>
      </c>
      <c r="AC68" s="8">
        <v>0</v>
      </c>
      <c r="AD68" s="8">
        <v>24814927</v>
      </c>
      <c r="AE68" s="8">
        <v>24814927</v>
      </c>
      <c r="AF68" s="8">
        <v>24814927</v>
      </c>
      <c r="AG68" s="8">
        <v>24814927</v>
      </c>
      <c r="AH68" s="8">
        <v>24814927</v>
      </c>
      <c r="AI68" s="8">
        <v>24814927</v>
      </c>
      <c r="AJ68" s="8">
        <v>24814927</v>
      </c>
      <c r="AK68" s="8">
        <v>24814927</v>
      </c>
      <c r="AL68" s="8">
        <v>24250741</v>
      </c>
      <c r="AM68" s="8">
        <v>25162168</v>
      </c>
      <c r="AN68" s="8">
        <v>23741468</v>
      </c>
      <c r="AO68" s="9">
        <f t="shared" si="21"/>
        <v>23741468</v>
      </c>
      <c r="AP68" s="8">
        <v>0</v>
      </c>
      <c r="AQ68" s="8">
        <v>2794472</v>
      </c>
      <c r="AR68" s="8">
        <v>2794472</v>
      </c>
      <c r="AS68" s="8">
        <v>3149839</v>
      </c>
      <c r="AT68" s="8">
        <v>3149839</v>
      </c>
      <c r="AU68" s="8">
        <v>3162840</v>
      </c>
      <c r="AV68" s="8">
        <v>3481647</v>
      </c>
      <c r="AW68" s="8">
        <v>3481647</v>
      </c>
      <c r="AX68" s="8">
        <v>3481647</v>
      </c>
      <c r="AY68" s="8">
        <v>3481647</v>
      </c>
      <c r="AZ68" s="8">
        <v>3481647</v>
      </c>
      <c r="BA68" s="8">
        <v>3117525</v>
      </c>
      <c r="BB68" s="9">
        <f t="shared" si="22"/>
        <v>3117525</v>
      </c>
      <c r="BC68" s="8">
        <v>0</v>
      </c>
      <c r="BD68" s="8">
        <v>0</v>
      </c>
      <c r="BE68" s="8">
        <v>1733741</v>
      </c>
      <c r="BF68" s="8">
        <v>1733741</v>
      </c>
      <c r="BG68" s="8">
        <v>1733741</v>
      </c>
      <c r="BH68" s="8">
        <v>1733741</v>
      </c>
      <c r="BI68" s="8">
        <v>1733741</v>
      </c>
      <c r="BJ68" s="8">
        <v>2931781</v>
      </c>
      <c r="BK68" s="8">
        <v>1804028</v>
      </c>
      <c r="BL68" s="8">
        <v>1804028</v>
      </c>
      <c r="BM68" s="8">
        <v>1804028</v>
      </c>
      <c r="BN68" s="8">
        <v>1414347</v>
      </c>
      <c r="BO68" s="9">
        <f t="shared" si="23"/>
        <v>1414347</v>
      </c>
      <c r="BP68" s="8">
        <v>0</v>
      </c>
      <c r="BQ68" s="8">
        <v>0</v>
      </c>
      <c r="BR68" s="8">
        <v>0</v>
      </c>
      <c r="BS68" s="8">
        <v>1611657</v>
      </c>
      <c r="BT68" s="8">
        <v>1611657</v>
      </c>
      <c r="BU68" s="8">
        <v>1611657</v>
      </c>
      <c r="BV68" s="8">
        <v>895506</v>
      </c>
      <c r="BW68" s="8">
        <v>895506</v>
      </c>
      <c r="BX68" s="8">
        <v>851684</v>
      </c>
      <c r="BY68" s="8">
        <v>851684</v>
      </c>
      <c r="BZ68" s="8">
        <v>851684</v>
      </c>
      <c r="CA68" s="8">
        <v>1182526</v>
      </c>
      <c r="CB68" s="9">
        <f t="shared" si="24"/>
        <v>1182526</v>
      </c>
      <c r="CC68" s="8">
        <v>0</v>
      </c>
      <c r="CD68" s="8">
        <v>1262941</v>
      </c>
      <c r="CE68" s="8">
        <v>2024308</v>
      </c>
      <c r="CF68" s="8">
        <v>2024308</v>
      </c>
      <c r="CG68" s="8">
        <v>2024308</v>
      </c>
      <c r="CH68" s="8">
        <v>2024308</v>
      </c>
      <c r="CI68" s="8">
        <v>2490211</v>
      </c>
      <c r="CJ68" s="8">
        <v>2490211</v>
      </c>
      <c r="CK68" s="8">
        <v>2362636</v>
      </c>
      <c r="CL68" s="8">
        <v>1588085</v>
      </c>
      <c r="CM68" s="8">
        <v>1588085</v>
      </c>
      <c r="CN68" s="8">
        <v>1325113</v>
      </c>
      <c r="CO68" s="9">
        <f t="shared" si="25"/>
        <v>1325113</v>
      </c>
      <c r="CP68" s="8">
        <v>0</v>
      </c>
      <c r="CQ68" s="8">
        <v>2603426</v>
      </c>
      <c r="CR68" s="8">
        <v>2616524</v>
      </c>
      <c r="CS68" s="8">
        <v>2616524</v>
      </c>
      <c r="CT68" s="8">
        <v>2616524</v>
      </c>
      <c r="CU68" s="8">
        <v>2616524</v>
      </c>
      <c r="CV68" s="8">
        <v>2616524</v>
      </c>
      <c r="CW68" s="8">
        <v>2616524</v>
      </c>
      <c r="CX68" s="8">
        <v>2616524</v>
      </c>
      <c r="CY68" s="8">
        <v>2558812</v>
      </c>
      <c r="CZ68" s="8">
        <v>2558812</v>
      </c>
      <c r="DA68" s="8">
        <v>1725862</v>
      </c>
      <c r="DB68" s="9">
        <f t="shared" si="26"/>
        <v>1725862</v>
      </c>
      <c r="DC68" s="8">
        <v>0</v>
      </c>
      <c r="DD68" s="8">
        <v>942905</v>
      </c>
      <c r="DE68" s="8">
        <v>942905</v>
      </c>
      <c r="DF68" s="8">
        <v>942905</v>
      </c>
      <c r="DG68" s="8">
        <v>942905</v>
      </c>
      <c r="DH68" s="8">
        <v>942905</v>
      </c>
      <c r="DI68" s="8">
        <v>975448</v>
      </c>
      <c r="DJ68" s="8">
        <v>975448</v>
      </c>
      <c r="DK68" s="8">
        <v>975448</v>
      </c>
      <c r="DL68" s="8">
        <v>975448</v>
      </c>
      <c r="DM68" s="8">
        <v>969356</v>
      </c>
      <c r="DN68" s="8">
        <v>933908</v>
      </c>
      <c r="DO68" s="9">
        <f t="shared" si="27"/>
        <v>933908</v>
      </c>
      <c r="DP68" s="8">
        <v>0</v>
      </c>
      <c r="DQ68" s="8">
        <v>207522</v>
      </c>
      <c r="DR68" s="8">
        <v>207522</v>
      </c>
      <c r="DS68" s="8">
        <v>207522</v>
      </c>
      <c r="DT68" s="8">
        <v>207522</v>
      </c>
      <c r="DU68" s="8">
        <v>207522</v>
      </c>
      <c r="DV68" s="8">
        <v>249844</v>
      </c>
      <c r="DW68" s="8">
        <v>249844</v>
      </c>
      <c r="DX68" s="8">
        <v>249844</v>
      </c>
      <c r="DY68" s="8">
        <v>249844</v>
      </c>
      <c r="DZ68" s="8">
        <v>249844</v>
      </c>
      <c r="EA68" s="8">
        <v>249844</v>
      </c>
      <c r="EB68" s="9">
        <f t="shared" si="28"/>
        <v>249844</v>
      </c>
      <c r="EC68" s="8">
        <v>0</v>
      </c>
      <c r="ED68" s="8">
        <v>2662929</v>
      </c>
      <c r="EE68" s="8">
        <v>2662929</v>
      </c>
      <c r="EF68" s="8">
        <v>2662929</v>
      </c>
      <c r="EG68" s="8">
        <v>2662929</v>
      </c>
      <c r="EH68" s="8">
        <v>2662929</v>
      </c>
      <c r="EI68" s="8">
        <v>2662929</v>
      </c>
      <c r="EJ68" s="8">
        <v>625072</v>
      </c>
      <c r="EK68" s="8">
        <v>625072</v>
      </c>
      <c r="EL68" s="8">
        <v>625072</v>
      </c>
      <c r="EM68" s="8">
        <v>501343</v>
      </c>
      <c r="EN68" s="8">
        <v>501343</v>
      </c>
      <c r="EO68" s="9">
        <f t="shared" si="29"/>
        <v>501343</v>
      </c>
      <c r="EP68" s="8">
        <v>0</v>
      </c>
      <c r="EQ68" s="8">
        <v>2083081</v>
      </c>
      <c r="ER68" s="8">
        <v>2083081</v>
      </c>
      <c r="ES68" s="8">
        <v>2083081</v>
      </c>
      <c r="ET68" s="8">
        <v>2083081</v>
      </c>
      <c r="EU68" s="8">
        <v>2083081</v>
      </c>
      <c r="EV68" s="8">
        <v>2083081</v>
      </c>
      <c r="EW68" s="8">
        <v>2083081</v>
      </c>
      <c r="EX68" s="8">
        <v>2083081</v>
      </c>
      <c r="EY68" s="8">
        <v>2083081</v>
      </c>
      <c r="EZ68" s="8">
        <v>2083081</v>
      </c>
      <c r="FA68" s="8">
        <v>1914966</v>
      </c>
      <c r="FB68" s="9">
        <f t="shared" si="30"/>
        <v>1914966</v>
      </c>
      <c r="FC68" s="8">
        <v>143523</v>
      </c>
      <c r="FD68" s="8">
        <v>143523</v>
      </c>
      <c r="FE68" s="8">
        <v>143523</v>
      </c>
      <c r="FF68" s="8">
        <v>143523</v>
      </c>
      <c r="FG68" s="8">
        <v>143523</v>
      </c>
      <c r="FH68" s="8">
        <v>143523</v>
      </c>
      <c r="FI68" s="8">
        <v>143523</v>
      </c>
      <c r="FJ68" s="8"/>
      <c r="FK68" s="8"/>
      <c r="FL68" s="8"/>
      <c r="FM68" s="8"/>
      <c r="FN68" s="8"/>
      <c r="FO68" s="9">
        <f t="shared" si="31"/>
        <v>143523</v>
      </c>
    </row>
    <row r="69" spans="2:171" ht="14.25" customHeight="1" x14ac:dyDescent="0.3">
      <c r="B69" s="32" t="s">
        <v>68</v>
      </c>
      <c r="C69" s="8">
        <v>0</v>
      </c>
      <c r="D69" s="8">
        <v>0</v>
      </c>
      <c r="E69" s="8">
        <v>5882638</v>
      </c>
      <c r="F69" s="8">
        <v>5882638</v>
      </c>
      <c r="G69" s="8">
        <v>5882638</v>
      </c>
      <c r="H69" s="8">
        <v>5882638</v>
      </c>
      <c r="I69" s="8">
        <v>5882638</v>
      </c>
      <c r="J69" s="8">
        <v>5882638</v>
      </c>
      <c r="K69" s="8">
        <v>6282642</v>
      </c>
      <c r="L69" s="8">
        <v>6282642</v>
      </c>
      <c r="M69" s="8">
        <v>7957919</v>
      </c>
      <c r="N69" s="8">
        <v>8115587</v>
      </c>
      <c r="O69" s="9">
        <f t="shared" si="19"/>
        <v>8115587</v>
      </c>
      <c r="P69" s="8">
        <v>0</v>
      </c>
      <c r="Q69" s="8">
        <v>9925580</v>
      </c>
      <c r="R69" s="8">
        <v>18651320</v>
      </c>
      <c r="S69" s="8">
        <v>18735925</v>
      </c>
      <c r="T69" s="8">
        <v>18856805</v>
      </c>
      <c r="U69" s="8">
        <v>19779765</v>
      </c>
      <c r="V69" s="8">
        <v>20119966</v>
      </c>
      <c r="W69" s="8">
        <v>12660002</v>
      </c>
      <c r="X69" s="8">
        <v>12660002</v>
      </c>
      <c r="Y69" s="8">
        <v>12660002</v>
      </c>
      <c r="Z69" s="8">
        <v>12689643</v>
      </c>
      <c r="AA69" s="8">
        <v>15852521</v>
      </c>
      <c r="AB69" s="9">
        <f t="shared" si="20"/>
        <v>15852521</v>
      </c>
      <c r="AC69" s="8">
        <v>0</v>
      </c>
      <c r="AD69" s="8">
        <v>6925845</v>
      </c>
      <c r="AE69" s="8">
        <v>7880886</v>
      </c>
      <c r="AF69" s="8">
        <v>8113793</v>
      </c>
      <c r="AG69" s="8">
        <v>8113793</v>
      </c>
      <c r="AH69" s="8">
        <v>8113793</v>
      </c>
      <c r="AI69" s="8">
        <v>8113793</v>
      </c>
      <c r="AJ69" s="8">
        <v>8113793</v>
      </c>
      <c r="AK69" s="8">
        <v>8113793</v>
      </c>
      <c r="AL69" s="8">
        <v>5778599</v>
      </c>
      <c r="AM69" s="8">
        <v>5778599</v>
      </c>
      <c r="AN69" s="8">
        <v>5289914</v>
      </c>
      <c r="AO69" s="9">
        <f t="shared" si="21"/>
        <v>5289914</v>
      </c>
      <c r="AP69" s="8">
        <v>0</v>
      </c>
      <c r="AQ69" s="8">
        <v>0</v>
      </c>
      <c r="AR69" s="8">
        <v>6620632</v>
      </c>
      <c r="AS69" s="8">
        <v>6620632</v>
      </c>
      <c r="AT69" s="8">
        <v>6620632</v>
      </c>
      <c r="AU69" s="8">
        <v>6620632</v>
      </c>
      <c r="AV69" s="8">
        <v>6620632</v>
      </c>
      <c r="AW69" s="8">
        <v>6620632</v>
      </c>
      <c r="AX69" s="8">
        <v>6620632</v>
      </c>
      <c r="AY69" s="8">
        <v>6620632</v>
      </c>
      <c r="AZ69" s="8">
        <v>6620632</v>
      </c>
      <c r="BA69" s="8">
        <v>1629324</v>
      </c>
      <c r="BB69" s="9">
        <f t="shared" si="22"/>
        <v>1629324</v>
      </c>
      <c r="BC69" s="8">
        <v>0</v>
      </c>
      <c r="BD69" s="8">
        <v>0</v>
      </c>
      <c r="BE69" s="8">
        <v>7052784</v>
      </c>
      <c r="BF69" s="8">
        <v>7052784</v>
      </c>
      <c r="BG69" s="8">
        <v>7052784</v>
      </c>
      <c r="BH69" s="8">
        <v>7052784</v>
      </c>
      <c r="BI69" s="8">
        <v>7052784</v>
      </c>
      <c r="BJ69" s="8">
        <v>7232990</v>
      </c>
      <c r="BK69" s="8">
        <v>5384836</v>
      </c>
      <c r="BL69" s="8">
        <v>5280192</v>
      </c>
      <c r="BM69" s="8">
        <v>5280192</v>
      </c>
      <c r="BN69" s="8">
        <v>2230563</v>
      </c>
      <c r="BO69" s="9">
        <f t="shared" si="23"/>
        <v>2230563</v>
      </c>
      <c r="BP69" s="8">
        <v>0</v>
      </c>
      <c r="BQ69" s="8">
        <v>0</v>
      </c>
      <c r="BR69" s="8">
        <v>5259035</v>
      </c>
      <c r="BS69" s="8">
        <v>5259035</v>
      </c>
      <c r="BT69" s="8">
        <v>5259035</v>
      </c>
      <c r="BU69" s="8">
        <v>5606347</v>
      </c>
      <c r="BV69" s="8">
        <v>5653945</v>
      </c>
      <c r="BW69" s="8">
        <v>5075303</v>
      </c>
      <c r="BX69" s="8">
        <v>4442282</v>
      </c>
      <c r="BY69" s="8">
        <v>4442282</v>
      </c>
      <c r="BZ69" s="8">
        <v>4455626</v>
      </c>
      <c r="CA69" s="8">
        <v>4501084</v>
      </c>
      <c r="CB69" s="9">
        <f t="shared" si="24"/>
        <v>4501084</v>
      </c>
      <c r="CC69" s="8">
        <v>0</v>
      </c>
      <c r="CD69" s="8">
        <v>0</v>
      </c>
      <c r="CE69" s="8">
        <v>6925941</v>
      </c>
      <c r="CF69" s="8">
        <v>7026127</v>
      </c>
      <c r="CG69" s="8">
        <v>7026127</v>
      </c>
      <c r="CH69" s="8">
        <v>7026127</v>
      </c>
      <c r="CI69" s="8">
        <v>7097920</v>
      </c>
      <c r="CJ69" s="8">
        <v>7097920</v>
      </c>
      <c r="CK69" s="8">
        <v>7097920</v>
      </c>
      <c r="CL69" s="8">
        <v>7198106</v>
      </c>
      <c r="CM69" s="8">
        <v>7198106</v>
      </c>
      <c r="CN69" s="8">
        <v>4146141</v>
      </c>
      <c r="CO69" s="9">
        <f t="shared" si="25"/>
        <v>4146141</v>
      </c>
      <c r="CP69" s="8">
        <v>0</v>
      </c>
      <c r="CQ69" s="8">
        <v>8207103</v>
      </c>
      <c r="CR69" s="8">
        <v>8329825</v>
      </c>
      <c r="CS69" s="8">
        <v>8329825</v>
      </c>
      <c r="CT69" s="8">
        <v>8329825</v>
      </c>
      <c r="CU69" s="8">
        <v>8497670</v>
      </c>
      <c r="CV69" s="8">
        <v>8543413</v>
      </c>
      <c r="CW69" s="8">
        <v>8688480</v>
      </c>
      <c r="CX69" s="8">
        <v>8688480</v>
      </c>
      <c r="CY69" s="8">
        <v>7057018</v>
      </c>
      <c r="CZ69" s="8">
        <v>7057018</v>
      </c>
      <c r="DA69" s="8">
        <v>3690372</v>
      </c>
      <c r="DB69" s="9">
        <f t="shared" si="26"/>
        <v>3690372</v>
      </c>
      <c r="DC69" s="8">
        <v>0</v>
      </c>
      <c r="DD69" s="8">
        <v>8469853</v>
      </c>
      <c r="DE69" s="8">
        <v>8469853</v>
      </c>
      <c r="DF69" s="8">
        <v>8469853</v>
      </c>
      <c r="DG69" s="8">
        <v>8469853</v>
      </c>
      <c r="DH69" s="8">
        <v>8469853</v>
      </c>
      <c r="DI69" s="8">
        <v>7690122</v>
      </c>
      <c r="DJ69" s="8">
        <v>7690122</v>
      </c>
      <c r="DK69" s="8">
        <v>5413982</v>
      </c>
      <c r="DL69" s="8">
        <v>5614745</v>
      </c>
      <c r="DM69" s="8">
        <v>5614745</v>
      </c>
      <c r="DN69" s="8">
        <v>979483</v>
      </c>
      <c r="DO69" s="9">
        <f t="shared" si="27"/>
        <v>979483</v>
      </c>
      <c r="DP69" s="8">
        <v>0</v>
      </c>
      <c r="DQ69" s="8">
        <v>2700541</v>
      </c>
      <c r="DR69" s="8">
        <v>2700541</v>
      </c>
      <c r="DS69" s="8">
        <v>2700541</v>
      </c>
      <c r="DT69" s="8">
        <v>2700541</v>
      </c>
      <c r="DU69" s="8">
        <v>2700541</v>
      </c>
      <c r="DV69" s="8">
        <v>3703165</v>
      </c>
      <c r="DW69" s="8">
        <v>3703165</v>
      </c>
      <c r="DX69" s="8">
        <v>3703165</v>
      </c>
      <c r="DY69" s="8">
        <v>3703165</v>
      </c>
      <c r="DZ69" s="8">
        <v>1291943</v>
      </c>
      <c r="EA69" s="8">
        <v>533664</v>
      </c>
      <c r="EB69" s="9">
        <f t="shared" si="28"/>
        <v>533664</v>
      </c>
      <c r="EC69" s="8">
        <v>0</v>
      </c>
      <c r="ED69" s="8">
        <v>12841399</v>
      </c>
      <c r="EE69" s="8">
        <v>12841399</v>
      </c>
      <c r="EF69" s="8">
        <v>13384367</v>
      </c>
      <c r="EG69" s="8">
        <v>13384367</v>
      </c>
      <c r="EH69" s="8">
        <v>13384367</v>
      </c>
      <c r="EI69" s="8">
        <v>13384367</v>
      </c>
      <c r="EJ69" s="8">
        <v>13399293</v>
      </c>
      <c r="EK69" s="8">
        <v>13399293</v>
      </c>
      <c r="EL69" s="8">
        <v>10100852</v>
      </c>
      <c r="EM69" s="8">
        <v>10232725</v>
      </c>
      <c r="EN69" s="8">
        <v>9454252</v>
      </c>
      <c r="EO69" s="9">
        <f t="shared" si="29"/>
        <v>9454252</v>
      </c>
      <c r="EP69" s="8">
        <v>0</v>
      </c>
      <c r="EQ69" s="8">
        <v>18615592</v>
      </c>
      <c r="ER69" s="8">
        <v>18615592</v>
      </c>
      <c r="ES69" s="8">
        <v>18615592</v>
      </c>
      <c r="ET69" s="8">
        <v>18615592</v>
      </c>
      <c r="EU69" s="8">
        <v>18265612</v>
      </c>
      <c r="EV69" s="8">
        <v>18265612</v>
      </c>
      <c r="EW69" s="8">
        <v>18265612</v>
      </c>
      <c r="EX69" s="8">
        <v>18265612</v>
      </c>
      <c r="EY69" s="8">
        <v>18265612</v>
      </c>
      <c r="EZ69" s="8">
        <v>18265612</v>
      </c>
      <c r="FA69" s="8">
        <v>19349602</v>
      </c>
      <c r="FB69" s="9">
        <f t="shared" si="30"/>
        <v>19349602</v>
      </c>
      <c r="FC69" s="8">
        <v>9039952</v>
      </c>
      <c r="FD69" s="8">
        <v>9039952</v>
      </c>
      <c r="FE69" s="8">
        <v>9039952</v>
      </c>
      <c r="FF69" s="8">
        <v>9039952</v>
      </c>
      <c r="FG69" s="8">
        <v>9039952</v>
      </c>
      <c r="FH69" s="8">
        <v>9039952</v>
      </c>
      <c r="FI69" s="8">
        <v>9039952</v>
      </c>
      <c r="FJ69" s="8"/>
      <c r="FK69" s="8"/>
      <c r="FL69" s="8"/>
      <c r="FM69" s="8"/>
      <c r="FN69" s="8"/>
      <c r="FO69" s="9">
        <f t="shared" si="31"/>
        <v>9039952</v>
      </c>
    </row>
    <row r="70" spans="2:171" ht="14.25" customHeight="1" x14ac:dyDescent="0.3">
      <c r="B70" s="32" t="s">
        <v>69</v>
      </c>
      <c r="C70" s="8">
        <v>0</v>
      </c>
      <c r="D70" s="8">
        <v>5015027</v>
      </c>
      <c r="E70" s="8">
        <v>7627903</v>
      </c>
      <c r="F70" s="8">
        <v>7627903</v>
      </c>
      <c r="G70" s="8">
        <v>7627903</v>
      </c>
      <c r="H70" s="8">
        <v>7627903</v>
      </c>
      <c r="I70" s="8">
        <v>7627903</v>
      </c>
      <c r="J70" s="8">
        <v>8140163</v>
      </c>
      <c r="K70" s="8">
        <v>8220343</v>
      </c>
      <c r="L70" s="8">
        <v>8220343</v>
      </c>
      <c r="M70" s="8">
        <v>3958277</v>
      </c>
      <c r="N70" s="8">
        <v>3643034</v>
      </c>
      <c r="O70" s="9">
        <f t="shared" si="19"/>
        <v>3643034</v>
      </c>
      <c r="P70" s="8">
        <v>0</v>
      </c>
      <c r="Q70" s="8">
        <v>689138</v>
      </c>
      <c r="R70" s="8">
        <v>13581764</v>
      </c>
      <c r="S70" s="8">
        <v>15645504</v>
      </c>
      <c r="T70" s="8">
        <v>16826775</v>
      </c>
      <c r="U70" s="8">
        <v>18074678</v>
      </c>
      <c r="V70" s="8">
        <v>18505388</v>
      </c>
      <c r="W70" s="8">
        <v>20020622</v>
      </c>
      <c r="X70" s="8">
        <v>20020622</v>
      </c>
      <c r="Y70" s="8">
        <v>20020622</v>
      </c>
      <c r="Z70" s="8">
        <v>15154677</v>
      </c>
      <c r="AA70" s="8">
        <v>14547602</v>
      </c>
      <c r="AB70" s="9">
        <f t="shared" si="20"/>
        <v>14547602</v>
      </c>
      <c r="AC70" s="8">
        <v>0</v>
      </c>
      <c r="AD70" s="8">
        <v>12651788</v>
      </c>
      <c r="AE70" s="8">
        <v>12651788</v>
      </c>
      <c r="AF70" s="8">
        <v>14828739</v>
      </c>
      <c r="AG70" s="8">
        <v>16781326</v>
      </c>
      <c r="AH70" s="8">
        <v>16781326</v>
      </c>
      <c r="AI70" s="8">
        <v>16781326</v>
      </c>
      <c r="AJ70" s="8">
        <v>16953552</v>
      </c>
      <c r="AK70" s="8">
        <v>16953552</v>
      </c>
      <c r="AL70" s="8">
        <v>17699858</v>
      </c>
      <c r="AM70" s="8">
        <v>30577934</v>
      </c>
      <c r="AN70" s="8">
        <v>11340410</v>
      </c>
      <c r="AO70" s="9">
        <f t="shared" si="21"/>
        <v>11340410</v>
      </c>
      <c r="AP70" s="8">
        <v>0</v>
      </c>
      <c r="AQ70" s="8">
        <v>13426130</v>
      </c>
      <c r="AR70" s="8">
        <v>31805114</v>
      </c>
      <c r="AS70" s="8">
        <v>31805114</v>
      </c>
      <c r="AT70" s="8">
        <v>31861506</v>
      </c>
      <c r="AU70" s="8">
        <v>31907663</v>
      </c>
      <c r="AV70" s="8">
        <v>31128116</v>
      </c>
      <c r="AW70" s="8">
        <v>31128116</v>
      </c>
      <c r="AX70" s="8">
        <v>31128116</v>
      </c>
      <c r="AY70" s="8">
        <v>31128116</v>
      </c>
      <c r="AZ70" s="8">
        <v>31128116</v>
      </c>
      <c r="BA70" s="8">
        <v>27812353</v>
      </c>
      <c r="BB70" s="9">
        <f t="shared" si="22"/>
        <v>27812353</v>
      </c>
      <c r="BC70" s="8">
        <v>0</v>
      </c>
      <c r="BD70" s="8">
        <v>0</v>
      </c>
      <c r="BE70" s="8">
        <v>0</v>
      </c>
      <c r="BF70" s="8">
        <v>16801113</v>
      </c>
      <c r="BG70" s="8">
        <v>16801113</v>
      </c>
      <c r="BH70" s="8">
        <v>16801113</v>
      </c>
      <c r="BI70" s="8">
        <v>16801113</v>
      </c>
      <c r="BJ70" s="8">
        <v>17898943</v>
      </c>
      <c r="BK70" s="8">
        <v>17898943</v>
      </c>
      <c r="BL70" s="8">
        <v>17386877</v>
      </c>
      <c r="BM70" s="8">
        <v>17386877</v>
      </c>
      <c r="BN70" s="8">
        <v>11058090</v>
      </c>
      <c r="BO70" s="9">
        <f t="shared" si="23"/>
        <v>11058090</v>
      </c>
      <c r="BP70" s="8">
        <v>0</v>
      </c>
      <c r="BQ70" s="8">
        <v>0</v>
      </c>
      <c r="BR70" s="8">
        <v>11227053</v>
      </c>
      <c r="BS70" s="8">
        <v>11227053</v>
      </c>
      <c r="BT70" s="8">
        <v>11227053</v>
      </c>
      <c r="BU70" s="8">
        <v>11227053</v>
      </c>
      <c r="BV70" s="8">
        <v>11180053</v>
      </c>
      <c r="BW70" s="8">
        <v>10041003</v>
      </c>
      <c r="BX70" s="8">
        <v>9087316</v>
      </c>
      <c r="BY70" s="8">
        <v>9087316</v>
      </c>
      <c r="BZ70" s="8">
        <v>9087316</v>
      </c>
      <c r="CA70" s="8">
        <v>6534399</v>
      </c>
      <c r="CB70" s="9">
        <f t="shared" si="24"/>
        <v>6534399</v>
      </c>
      <c r="CC70" s="8">
        <v>0</v>
      </c>
      <c r="CD70" s="8">
        <v>0</v>
      </c>
      <c r="CE70" s="8">
        <v>13600176</v>
      </c>
      <c r="CF70" s="8">
        <v>14581247</v>
      </c>
      <c r="CG70" s="8">
        <v>14613889</v>
      </c>
      <c r="CH70" s="8">
        <v>14629115</v>
      </c>
      <c r="CI70" s="8">
        <v>15422879</v>
      </c>
      <c r="CJ70" s="8">
        <v>15422879</v>
      </c>
      <c r="CK70" s="8">
        <v>10450472</v>
      </c>
      <c r="CL70" s="8">
        <v>8693915</v>
      </c>
      <c r="CM70" s="8">
        <v>8633173</v>
      </c>
      <c r="CN70" s="8">
        <v>7055146</v>
      </c>
      <c r="CO70" s="9">
        <f t="shared" si="25"/>
        <v>7055146</v>
      </c>
      <c r="CP70" s="8">
        <v>0</v>
      </c>
      <c r="CQ70" s="8">
        <v>13196143</v>
      </c>
      <c r="CR70" s="8">
        <v>13246147</v>
      </c>
      <c r="CS70" s="8">
        <v>13246147</v>
      </c>
      <c r="CT70" s="8">
        <v>13246147</v>
      </c>
      <c r="CU70" s="8">
        <v>14531147</v>
      </c>
      <c r="CV70" s="8">
        <v>14531147</v>
      </c>
      <c r="CW70" s="8">
        <v>13553114</v>
      </c>
      <c r="CX70" s="8">
        <v>13553114</v>
      </c>
      <c r="CY70" s="8">
        <v>13553114</v>
      </c>
      <c r="CZ70" s="8">
        <v>13870631</v>
      </c>
      <c r="DA70" s="8">
        <v>7782321</v>
      </c>
      <c r="DB70" s="9">
        <f t="shared" si="26"/>
        <v>7782321</v>
      </c>
      <c r="DC70" s="8">
        <v>0</v>
      </c>
      <c r="DD70" s="8">
        <v>9809432</v>
      </c>
      <c r="DE70" s="8">
        <v>16287555</v>
      </c>
      <c r="DF70" s="8">
        <v>16287555</v>
      </c>
      <c r="DG70" s="8">
        <v>16338020</v>
      </c>
      <c r="DH70" s="8">
        <v>16338020</v>
      </c>
      <c r="DI70" s="8">
        <v>17906819</v>
      </c>
      <c r="DJ70" s="8">
        <v>17906819</v>
      </c>
      <c r="DK70" s="8">
        <v>10826014</v>
      </c>
      <c r="DL70" s="8">
        <v>10826014</v>
      </c>
      <c r="DM70" s="8">
        <v>10826014</v>
      </c>
      <c r="DN70" s="8">
        <v>6086253</v>
      </c>
      <c r="DO70" s="9">
        <f t="shared" si="27"/>
        <v>6086253</v>
      </c>
      <c r="DP70" s="8">
        <v>0</v>
      </c>
      <c r="DQ70" s="8">
        <v>19231051</v>
      </c>
      <c r="DR70" s="8">
        <v>19231051</v>
      </c>
      <c r="DS70" s="8">
        <v>19231051</v>
      </c>
      <c r="DT70" s="8">
        <v>19231051</v>
      </c>
      <c r="DU70" s="8">
        <v>19231163</v>
      </c>
      <c r="DV70" s="8">
        <v>19231163</v>
      </c>
      <c r="DW70" s="8">
        <v>19231163</v>
      </c>
      <c r="DX70" s="8">
        <v>19231163</v>
      </c>
      <c r="DY70" s="8">
        <v>19522163</v>
      </c>
      <c r="DZ70" s="8">
        <v>19105244</v>
      </c>
      <c r="EA70" s="8">
        <v>15917060</v>
      </c>
      <c r="EB70" s="9">
        <f t="shared" si="28"/>
        <v>15917060</v>
      </c>
      <c r="EC70" s="8">
        <v>0</v>
      </c>
      <c r="ED70" s="8">
        <v>396445</v>
      </c>
      <c r="EE70" s="8">
        <v>10721900</v>
      </c>
      <c r="EF70" s="8">
        <v>10721900</v>
      </c>
      <c r="EG70" s="8">
        <v>10721900</v>
      </c>
      <c r="EH70" s="8">
        <v>11037475</v>
      </c>
      <c r="EI70" s="8">
        <v>11537477</v>
      </c>
      <c r="EJ70" s="8">
        <v>11537477</v>
      </c>
      <c r="EK70" s="8">
        <v>11827299</v>
      </c>
      <c r="EL70" s="8">
        <v>11477300</v>
      </c>
      <c r="EM70" s="8">
        <v>11352580</v>
      </c>
      <c r="EN70" s="8">
        <v>9339848</v>
      </c>
      <c r="EO70" s="9">
        <f t="shared" si="29"/>
        <v>9339848</v>
      </c>
      <c r="EP70" s="8">
        <v>0</v>
      </c>
      <c r="EQ70" s="8">
        <v>2815869</v>
      </c>
      <c r="ER70" s="8">
        <v>2815869</v>
      </c>
      <c r="ES70" s="8">
        <v>2815869</v>
      </c>
      <c r="ET70" s="8">
        <v>2815869</v>
      </c>
      <c r="EU70" s="8">
        <v>2977315</v>
      </c>
      <c r="EV70" s="8">
        <v>2977315</v>
      </c>
      <c r="EW70" s="8">
        <v>2977315</v>
      </c>
      <c r="EX70" s="8">
        <v>2977315</v>
      </c>
      <c r="EY70" s="8">
        <v>4477319</v>
      </c>
      <c r="EZ70" s="8">
        <v>2937319</v>
      </c>
      <c r="FA70" s="8">
        <v>1981033</v>
      </c>
      <c r="FB70" s="9">
        <f t="shared" si="30"/>
        <v>1981033</v>
      </c>
      <c r="FC70" s="8">
        <v>14023719</v>
      </c>
      <c r="FD70" s="8">
        <v>14023719</v>
      </c>
      <c r="FE70" s="8">
        <v>14023719</v>
      </c>
      <c r="FF70" s="8">
        <v>14023719</v>
      </c>
      <c r="FG70" s="8">
        <v>14023719</v>
      </c>
      <c r="FH70" s="8">
        <v>14023719</v>
      </c>
      <c r="FI70" s="8">
        <v>14023719</v>
      </c>
      <c r="FJ70" s="8"/>
      <c r="FK70" s="8"/>
      <c r="FL70" s="8"/>
      <c r="FM70" s="8"/>
      <c r="FN70" s="8"/>
      <c r="FO70" s="9">
        <f t="shared" si="31"/>
        <v>14023719</v>
      </c>
    </row>
    <row r="71" spans="2:171" ht="14.25" customHeight="1" x14ac:dyDescent="0.3">
      <c r="B71" s="35" t="s">
        <v>70</v>
      </c>
      <c r="C71" s="8">
        <v>0</v>
      </c>
      <c r="D71" s="8">
        <v>4315108</v>
      </c>
      <c r="E71" s="8">
        <v>28504130</v>
      </c>
      <c r="F71" s="8">
        <v>28504130</v>
      </c>
      <c r="G71" s="8">
        <v>28504130</v>
      </c>
      <c r="H71" s="8">
        <v>28504130</v>
      </c>
      <c r="I71" s="8">
        <v>28504130</v>
      </c>
      <c r="J71" s="8">
        <v>28519580</v>
      </c>
      <c r="K71" s="8">
        <v>27076947</v>
      </c>
      <c r="L71" s="8">
        <v>27076947</v>
      </c>
      <c r="M71" s="8">
        <v>20816394</v>
      </c>
      <c r="N71" s="8">
        <v>21159231</v>
      </c>
      <c r="O71" s="9">
        <f t="shared" si="19"/>
        <v>21159231</v>
      </c>
      <c r="P71" s="8">
        <v>0</v>
      </c>
      <c r="Q71" s="8">
        <v>45726508</v>
      </c>
      <c r="R71" s="8">
        <v>47608615</v>
      </c>
      <c r="S71" s="8">
        <v>47966356</v>
      </c>
      <c r="T71" s="8">
        <v>47966356</v>
      </c>
      <c r="U71" s="8">
        <v>50709105</v>
      </c>
      <c r="V71" s="8">
        <v>52121212</v>
      </c>
      <c r="W71" s="8">
        <v>52121212</v>
      </c>
      <c r="X71" s="8">
        <v>52121212</v>
      </c>
      <c r="Y71" s="8">
        <v>52121212</v>
      </c>
      <c r="Z71" s="8">
        <v>36065983</v>
      </c>
      <c r="AA71" s="8">
        <v>36567775</v>
      </c>
      <c r="AB71" s="9">
        <f t="shared" si="20"/>
        <v>36567775</v>
      </c>
      <c r="AC71" s="8">
        <v>0</v>
      </c>
      <c r="AD71" s="8">
        <v>13534771</v>
      </c>
      <c r="AE71" s="8">
        <v>13534771</v>
      </c>
      <c r="AF71" s="8">
        <v>24215310</v>
      </c>
      <c r="AG71" s="8">
        <v>42975597</v>
      </c>
      <c r="AH71" s="8">
        <v>42989833</v>
      </c>
      <c r="AI71" s="8">
        <v>43390889</v>
      </c>
      <c r="AJ71" s="8">
        <v>43390889</v>
      </c>
      <c r="AK71" s="8">
        <v>43390889</v>
      </c>
      <c r="AL71" s="8">
        <v>43390889</v>
      </c>
      <c r="AM71" s="8">
        <v>41146387</v>
      </c>
      <c r="AN71" s="8">
        <v>24530507</v>
      </c>
      <c r="AO71" s="9">
        <f t="shared" si="21"/>
        <v>24530507</v>
      </c>
      <c r="AP71" s="8">
        <v>0</v>
      </c>
      <c r="AQ71" s="8">
        <v>0</v>
      </c>
      <c r="AR71" s="8">
        <v>20159761</v>
      </c>
      <c r="AS71" s="8">
        <v>20159761</v>
      </c>
      <c r="AT71" s="8">
        <v>20159761</v>
      </c>
      <c r="AU71" s="8">
        <v>20159761</v>
      </c>
      <c r="AV71" s="8">
        <v>27406285</v>
      </c>
      <c r="AW71" s="8">
        <v>27026684</v>
      </c>
      <c r="AX71" s="8">
        <v>27674088</v>
      </c>
      <c r="AY71" s="8">
        <v>27676405</v>
      </c>
      <c r="AZ71" s="8">
        <v>27676405</v>
      </c>
      <c r="BA71" s="8">
        <v>24180489</v>
      </c>
      <c r="BB71" s="9">
        <f t="shared" si="22"/>
        <v>24180489</v>
      </c>
      <c r="BC71" s="8">
        <v>0</v>
      </c>
      <c r="BD71" s="8">
        <v>0</v>
      </c>
      <c r="BE71" s="8">
        <v>1843663</v>
      </c>
      <c r="BF71" s="8">
        <v>7735009</v>
      </c>
      <c r="BG71" s="8">
        <v>7735009</v>
      </c>
      <c r="BH71" s="8">
        <v>15515116</v>
      </c>
      <c r="BI71" s="8">
        <v>15515116</v>
      </c>
      <c r="BJ71" s="8">
        <v>17411946</v>
      </c>
      <c r="BK71" s="8">
        <v>17837541</v>
      </c>
      <c r="BL71" s="8">
        <v>18862727</v>
      </c>
      <c r="BM71" s="8">
        <v>18862727</v>
      </c>
      <c r="BN71" s="8">
        <v>13193737</v>
      </c>
      <c r="BO71" s="9">
        <f t="shared" si="23"/>
        <v>13193737</v>
      </c>
      <c r="BP71" s="8">
        <v>0</v>
      </c>
      <c r="BQ71" s="8">
        <v>0</v>
      </c>
      <c r="BR71" s="8">
        <v>17982307</v>
      </c>
      <c r="BS71" s="8">
        <v>18570339</v>
      </c>
      <c r="BT71" s="8">
        <v>18570339</v>
      </c>
      <c r="BU71" s="8">
        <v>18820339</v>
      </c>
      <c r="BV71" s="8">
        <v>25193049</v>
      </c>
      <c r="BW71" s="8">
        <v>25193049</v>
      </c>
      <c r="BX71" s="8">
        <v>16183032</v>
      </c>
      <c r="BY71" s="8">
        <v>16183032</v>
      </c>
      <c r="BZ71" s="8">
        <v>16183032</v>
      </c>
      <c r="CA71" s="8">
        <v>14044636</v>
      </c>
      <c r="CB71" s="9">
        <f t="shared" si="24"/>
        <v>14044636</v>
      </c>
      <c r="CC71" s="8">
        <v>0</v>
      </c>
      <c r="CD71" s="8">
        <v>1059858</v>
      </c>
      <c r="CE71" s="8">
        <v>38947380</v>
      </c>
      <c r="CF71" s="8">
        <v>39220824</v>
      </c>
      <c r="CG71" s="8">
        <v>39220824</v>
      </c>
      <c r="CH71" s="8">
        <v>39220824</v>
      </c>
      <c r="CI71" s="8">
        <v>17846250</v>
      </c>
      <c r="CJ71" s="8">
        <v>17282433</v>
      </c>
      <c r="CK71" s="8">
        <v>17282433</v>
      </c>
      <c r="CL71" s="8">
        <v>17349004</v>
      </c>
      <c r="CM71" s="8">
        <v>16979796</v>
      </c>
      <c r="CN71" s="8">
        <v>4915160</v>
      </c>
      <c r="CO71" s="9">
        <f t="shared" si="25"/>
        <v>4915160</v>
      </c>
      <c r="CP71" s="8">
        <v>0</v>
      </c>
      <c r="CQ71" s="8">
        <v>20744235</v>
      </c>
      <c r="CR71" s="8">
        <v>23009349</v>
      </c>
      <c r="CS71" s="8">
        <v>23009349</v>
      </c>
      <c r="CT71" s="8">
        <v>23009349</v>
      </c>
      <c r="CU71" s="8">
        <v>17191511</v>
      </c>
      <c r="CV71" s="8">
        <v>15593243</v>
      </c>
      <c r="CW71" s="8">
        <v>15593243</v>
      </c>
      <c r="CX71" s="8">
        <v>15593243</v>
      </c>
      <c r="CY71" s="8">
        <v>10066310</v>
      </c>
      <c r="CZ71" s="8">
        <v>10066310</v>
      </c>
      <c r="DA71" s="8">
        <v>3518454</v>
      </c>
      <c r="DB71" s="9">
        <f t="shared" si="26"/>
        <v>3518454</v>
      </c>
      <c r="DC71" s="8">
        <v>0</v>
      </c>
      <c r="DD71" s="8">
        <v>13813887</v>
      </c>
      <c r="DE71" s="8">
        <v>13813887</v>
      </c>
      <c r="DF71" s="8">
        <v>13813887</v>
      </c>
      <c r="DG71" s="8">
        <v>13813887</v>
      </c>
      <c r="DH71" s="8">
        <v>13813887</v>
      </c>
      <c r="DI71" s="8">
        <v>11717405</v>
      </c>
      <c r="DJ71" s="8">
        <v>8584524</v>
      </c>
      <c r="DK71" s="8">
        <v>8908250</v>
      </c>
      <c r="DL71" s="8">
        <v>9785474</v>
      </c>
      <c r="DM71" s="8">
        <v>9785475</v>
      </c>
      <c r="DN71" s="8">
        <v>3443783</v>
      </c>
      <c r="DO71" s="9">
        <f t="shared" si="27"/>
        <v>3443783</v>
      </c>
      <c r="DP71" s="8">
        <v>0</v>
      </c>
      <c r="DQ71" s="8">
        <v>17352136</v>
      </c>
      <c r="DR71" s="8">
        <v>17352136</v>
      </c>
      <c r="DS71" s="8">
        <v>17352136</v>
      </c>
      <c r="DT71" s="8">
        <v>17352136</v>
      </c>
      <c r="DU71" s="8">
        <v>17352136</v>
      </c>
      <c r="DV71" s="8">
        <v>17352136</v>
      </c>
      <c r="DW71" s="8">
        <v>17377595</v>
      </c>
      <c r="DX71" s="8">
        <v>17377595</v>
      </c>
      <c r="DY71" s="8">
        <v>17377595</v>
      </c>
      <c r="DZ71" s="8">
        <v>12065898</v>
      </c>
      <c r="EA71" s="8">
        <v>7539639</v>
      </c>
      <c r="EB71" s="9">
        <f t="shared" si="28"/>
        <v>7539639</v>
      </c>
      <c r="EC71" s="8">
        <v>0</v>
      </c>
      <c r="ED71" s="8">
        <v>30693289</v>
      </c>
      <c r="EE71" s="8">
        <v>30693289</v>
      </c>
      <c r="EF71" s="8">
        <v>30693289</v>
      </c>
      <c r="EG71" s="8">
        <v>30693289</v>
      </c>
      <c r="EH71" s="8">
        <v>30693289</v>
      </c>
      <c r="EI71" s="8">
        <v>17384282</v>
      </c>
      <c r="EJ71" s="8">
        <v>17384282</v>
      </c>
      <c r="EK71" s="8">
        <v>17390283</v>
      </c>
      <c r="EL71" s="8">
        <v>15802960</v>
      </c>
      <c r="EM71" s="8">
        <v>11002034</v>
      </c>
      <c r="EN71" s="8">
        <v>9803582</v>
      </c>
      <c r="EO71" s="9">
        <f t="shared" si="29"/>
        <v>9803582</v>
      </c>
      <c r="EP71" s="8">
        <v>0</v>
      </c>
      <c r="EQ71" s="8">
        <v>18942984</v>
      </c>
      <c r="ER71" s="8">
        <v>19721457</v>
      </c>
      <c r="ES71" s="8">
        <v>19721457</v>
      </c>
      <c r="ET71" s="8">
        <v>19721457</v>
      </c>
      <c r="EU71" s="8">
        <v>19721457</v>
      </c>
      <c r="EV71" s="8">
        <v>19721457</v>
      </c>
      <c r="EW71" s="8">
        <v>19721457</v>
      </c>
      <c r="EX71" s="8">
        <v>14381115</v>
      </c>
      <c r="EY71" s="8">
        <v>14381115</v>
      </c>
      <c r="EZ71" s="8">
        <v>14381115</v>
      </c>
      <c r="FA71" s="8">
        <v>14321035</v>
      </c>
      <c r="FB71" s="9">
        <f t="shared" si="30"/>
        <v>14321035</v>
      </c>
      <c r="FC71" s="8">
        <v>11724655</v>
      </c>
      <c r="FD71" s="8">
        <v>11724655</v>
      </c>
      <c r="FE71" s="8">
        <v>11724655</v>
      </c>
      <c r="FF71" s="8">
        <v>11724655</v>
      </c>
      <c r="FG71" s="8">
        <v>11724655</v>
      </c>
      <c r="FH71" s="8">
        <v>11724655</v>
      </c>
      <c r="FI71" s="8">
        <v>11724655</v>
      </c>
      <c r="FJ71" s="8"/>
      <c r="FK71" s="8"/>
      <c r="FL71" s="8"/>
      <c r="FM71" s="8"/>
      <c r="FN71" s="8"/>
      <c r="FO71" s="9">
        <f t="shared" si="31"/>
        <v>11724655</v>
      </c>
    </row>
    <row r="72" spans="2:171" ht="14.25" customHeight="1" x14ac:dyDescent="0.3">
      <c r="B72" s="35" t="s">
        <v>71</v>
      </c>
      <c r="C72" s="8">
        <v>0</v>
      </c>
      <c r="D72" s="8">
        <v>1471560</v>
      </c>
      <c r="E72" s="8">
        <v>1528541</v>
      </c>
      <c r="F72" s="8">
        <v>1528541</v>
      </c>
      <c r="G72" s="8">
        <v>1528541</v>
      </c>
      <c r="H72" s="8">
        <v>1528541</v>
      </c>
      <c r="I72" s="8">
        <v>1528541</v>
      </c>
      <c r="J72" s="8">
        <v>1724259</v>
      </c>
      <c r="K72" s="8">
        <v>1724259</v>
      </c>
      <c r="L72" s="8">
        <v>1724259</v>
      </c>
      <c r="M72" s="8">
        <v>2071520</v>
      </c>
      <c r="N72" s="8">
        <v>2071520</v>
      </c>
      <c r="O72" s="9">
        <f t="shared" si="19"/>
        <v>2071520</v>
      </c>
      <c r="P72" s="8">
        <v>0</v>
      </c>
      <c r="Q72" s="8">
        <v>654238</v>
      </c>
      <c r="R72" s="8">
        <v>1502168</v>
      </c>
      <c r="S72" s="8">
        <v>1566949</v>
      </c>
      <c r="T72" s="8">
        <v>1566949</v>
      </c>
      <c r="U72" s="8">
        <v>3541508</v>
      </c>
      <c r="V72" s="8">
        <v>4327147</v>
      </c>
      <c r="W72" s="8">
        <v>4327147</v>
      </c>
      <c r="X72" s="8">
        <v>4327147</v>
      </c>
      <c r="Y72" s="8">
        <v>4145659</v>
      </c>
      <c r="Z72" s="8">
        <v>4536812</v>
      </c>
      <c r="AA72" s="8">
        <v>3914704</v>
      </c>
      <c r="AB72" s="9">
        <f t="shared" si="20"/>
        <v>3914704</v>
      </c>
      <c r="AC72" s="8">
        <v>0</v>
      </c>
      <c r="AD72" s="8">
        <v>2971830</v>
      </c>
      <c r="AE72" s="8">
        <v>3334148</v>
      </c>
      <c r="AF72" s="8">
        <v>3718261</v>
      </c>
      <c r="AG72" s="8">
        <v>10796291</v>
      </c>
      <c r="AH72" s="8">
        <v>10796291</v>
      </c>
      <c r="AI72" s="8">
        <v>11238562</v>
      </c>
      <c r="AJ72" s="8">
        <v>11238562</v>
      </c>
      <c r="AK72" s="8">
        <v>11238562</v>
      </c>
      <c r="AL72" s="8">
        <v>11238562</v>
      </c>
      <c r="AM72" s="8">
        <v>11395443</v>
      </c>
      <c r="AN72" s="8">
        <v>5297475</v>
      </c>
      <c r="AO72" s="9">
        <f t="shared" si="21"/>
        <v>5297475</v>
      </c>
      <c r="AP72" s="8">
        <v>0</v>
      </c>
      <c r="AQ72" s="8">
        <v>5558035</v>
      </c>
      <c r="AR72" s="8">
        <v>5558035</v>
      </c>
      <c r="AS72" s="8">
        <v>5558035</v>
      </c>
      <c r="AT72" s="8">
        <v>5558035</v>
      </c>
      <c r="AU72" s="8">
        <v>4749954</v>
      </c>
      <c r="AV72" s="8">
        <v>4749954</v>
      </c>
      <c r="AW72" s="8">
        <v>4770186</v>
      </c>
      <c r="AX72" s="8">
        <v>3991166</v>
      </c>
      <c r="AY72" s="8">
        <v>3991166</v>
      </c>
      <c r="AZ72" s="8">
        <v>3991166</v>
      </c>
      <c r="BA72" s="8">
        <v>3504016</v>
      </c>
      <c r="BB72" s="9">
        <f t="shared" si="22"/>
        <v>3504016</v>
      </c>
      <c r="BC72" s="8">
        <v>0</v>
      </c>
      <c r="BD72" s="8">
        <v>0</v>
      </c>
      <c r="BE72" s="8">
        <v>8429659</v>
      </c>
      <c r="BF72" s="8">
        <v>8461522</v>
      </c>
      <c r="BG72" s="8">
        <v>8461522</v>
      </c>
      <c r="BH72" s="8">
        <v>8461522</v>
      </c>
      <c r="BI72" s="8">
        <v>8461522</v>
      </c>
      <c r="BJ72" s="8">
        <v>8875233</v>
      </c>
      <c r="BK72" s="8">
        <v>5047001</v>
      </c>
      <c r="BL72" s="8">
        <v>5047001</v>
      </c>
      <c r="BM72" s="8">
        <v>5047001</v>
      </c>
      <c r="BN72" s="8">
        <v>3432005</v>
      </c>
      <c r="BO72" s="9">
        <f t="shared" si="23"/>
        <v>3432005</v>
      </c>
      <c r="BP72" s="8">
        <v>0</v>
      </c>
      <c r="BQ72" s="8">
        <v>0</v>
      </c>
      <c r="BR72" s="8">
        <v>4024688</v>
      </c>
      <c r="BS72" s="8">
        <v>4024688</v>
      </c>
      <c r="BT72" s="8">
        <v>4024688</v>
      </c>
      <c r="BU72" s="8">
        <v>4024688</v>
      </c>
      <c r="BV72" s="8">
        <v>6232823</v>
      </c>
      <c r="BW72" s="8">
        <v>6232826</v>
      </c>
      <c r="BX72" s="8">
        <v>6232830</v>
      </c>
      <c r="BY72" s="8">
        <v>6232830</v>
      </c>
      <c r="BZ72" s="8">
        <v>6232830</v>
      </c>
      <c r="CA72" s="8">
        <v>8630249</v>
      </c>
      <c r="CB72" s="9">
        <f t="shared" si="24"/>
        <v>8630249</v>
      </c>
      <c r="CC72" s="8">
        <v>0</v>
      </c>
      <c r="CD72" s="8">
        <v>0</v>
      </c>
      <c r="CE72" s="8">
        <v>5474027</v>
      </c>
      <c r="CF72" s="8">
        <v>5491279</v>
      </c>
      <c r="CG72" s="8">
        <v>5491279</v>
      </c>
      <c r="CH72" s="8">
        <v>5491279</v>
      </c>
      <c r="CI72" s="8">
        <v>5491279</v>
      </c>
      <c r="CJ72" s="8">
        <v>5491279</v>
      </c>
      <c r="CK72" s="8">
        <v>5491279</v>
      </c>
      <c r="CL72" s="8">
        <v>5480993</v>
      </c>
      <c r="CM72" s="8">
        <v>4090310</v>
      </c>
      <c r="CN72" s="8">
        <v>2968357</v>
      </c>
      <c r="CO72" s="9">
        <f t="shared" si="25"/>
        <v>2968357</v>
      </c>
      <c r="CP72" s="8">
        <v>0</v>
      </c>
      <c r="CQ72" s="8">
        <v>3001447</v>
      </c>
      <c r="CR72" s="8">
        <v>3116545</v>
      </c>
      <c r="CS72" s="8">
        <v>3116545</v>
      </c>
      <c r="CT72" s="8">
        <v>3198895</v>
      </c>
      <c r="CU72" s="8">
        <v>3198895</v>
      </c>
      <c r="CV72" s="8">
        <v>3198895</v>
      </c>
      <c r="CW72" s="8">
        <v>3198895</v>
      </c>
      <c r="CX72" s="8">
        <v>3198895</v>
      </c>
      <c r="CY72" s="8">
        <v>530991</v>
      </c>
      <c r="CZ72" s="8">
        <v>530991</v>
      </c>
      <c r="DA72" s="8">
        <v>530991</v>
      </c>
      <c r="DB72" s="9">
        <f t="shared" si="26"/>
        <v>530991</v>
      </c>
      <c r="DC72" s="8">
        <v>0</v>
      </c>
      <c r="DD72" s="8">
        <v>777421</v>
      </c>
      <c r="DE72" s="8">
        <v>777421</v>
      </c>
      <c r="DF72" s="8">
        <v>777421</v>
      </c>
      <c r="DG72" s="8">
        <v>777421</v>
      </c>
      <c r="DH72" s="8">
        <v>777421</v>
      </c>
      <c r="DI72" s="8">
        <v>963457</v>
      </c>
      <c r="DJ72" s="8">
        <v>963457</v>
      </c>
      <c r="DK72" s="8">
        <v>963457</v>
      </c>
      <c r="DL72" s="8">
        <v>963457</v>
      </c>
      <c r="DM72" s="8">
        <v>963457</v>
      </c>
      <c r="DN72" s="8">
        <v>315485</v>
      </c>
      <c r="DO72" s="9">
        <f t="shared" si="27"/>
        <v>315485</v>
      </c>
      <c r="DP72" s="8">
        <v>0</v>
      </c>
      <c r="DQ72" s="8">
        <v>2481836</v>
      </c>
      <c r="DR72" s="8">
        <v>2481836</v>
      </c>
      <c r="DS72" s="8">
        <v>2481836</v>
      </c>
      <c r="DT72" s="8">
        <v>2481836</v>
      </c>
      <c r="DU72" s="8">
        <v>2481836</v>
      </c>
      <c r="DV72" s="8">
        <v>2481836</v>
      </c>
      <c r="DW72" s="8">
        <v>2481836</v>
      </c>
      <c r="DX72" s="8">
        <v>2481836</v>
      </c>
      <c r="DY72" s="8">
        <v>4934348</v>
      </c>
      <c r="DZ72" s="8">
        <v>4934348</v>
      </c>
      <c r="EA72" s="8">
        <v>631772</v>
      </c>
      <c r="EB72" s="9">
        <f t="shared" si="28"/>
        <v>631772</v>
      </c>
      <c r="EC72" s="8">
        <v>0</v>
      </c>
      <c r="ED72" s="8">
        <v>30402004</v>
      </c>
      <c r="EE72" s="8">
        <v>32856653</v>
      </c>
      <c r="EF72" s="8">
        <v>32856653</v>
      </c>
      <c r="EG72" s="8">
        <v>32856653</v>
      </c>
      <c r="EH72" s="8">
        <v>32856673</v>
      </c>
      <c r="EI72" s="8">
        <v>32856673</v>
      </c>
      <c r="EJ72" s="8">
        <v>32856673</v>
      </c>
      <c r="EK72" s="8">
        <v>27168348</v>
      </c>
      <c r="EL72" s="8">
        <v>2548334</v>
      </c>
      <c r="EM72" s="8">
        <v>3021788</v>
      </c>
      <c r="EN72" s="8">
        <v>2804664</v>
      </c>
      <c r="EO72" s="9">
        <f t="shared" si="29"/>
        <v>2804664</v>
      </c>
      <c r="EP72" s="8">
        <v>0</v>
      </c>
      <c r="EQ72" s="8">
        <v>8758583</v>
      </c>
      <c r="ER72" s="8">
        <v>8758583</v>
      </c>
      <c r="ES72" s="8">
        <v>8758583</v>
      </c>
      <c r="ET72" s="8">
        <v>12758583</v>
      </c>
      <c r="EU72" s="8">
        <v>12758583</v>
      </c>
      <c r="EV72" s="8">
        <v>12758583</v>
      </c>
      <c r="EW72" s="8">
        <v>12758583</v>
      </c>
      <c r="EX72" s="8">
        <v>12312224</v>
      </c>
      <c r="EY72" s="8">
        <v>12312224</v>
      </c>
      <c r="EZ72" s="8">
        <v>10100964</v>
      </c>
      <c r="FA72" s="8">
        <v>8741969</v>
      </c>
      <c r="FB72" s="9">
        <f t="shared" si="30"/>
        <v>8741969</v>
      </c>
      <c r="FC72" s="8">
        <v>24126484</v>
      </c>
      <c r="FD72" s="8">
        <v>24126484</v>
      </c>
      <c r="FE72" s="8">
        <v>24126484</v>
      </c>
      <c r="FF72" s="8">
        <v>24126484</v>
      </c>
      <c r="FG72" s="8">
        <v>24126484</v>
      </c>
      <c r="FH72" s="8">
        <v>24126484</v>
      </c>
      <c r="FI72" s="8">
        <v>24126484</v>
      </c>
      <c r="FJ72" s="8"/>
      <c r="FK72" s="8"/>
      <c r="FL72" s="8"/>
      <c r="FM72" s="8"/>
      <c r="FN72" s="8"/>
      <c r="FO72" s="9">
        <f t="shared" si="31"/>
        <v>24126484</v>
      </c>
    </row>
    <row r="73" spans="2:171" ht="14.25" customHeight="1" x14ac:dyDescent="0.3">
      <c r="B73" s="35" t="s">
        <v>72</v>
      </c>
      <c r="C73" s="8">
        <v>0</v>
      </c>
      <c r="D73" s="8">
        <v>0</v>
      </c>
      <c r="E73" s="8">
        <v>596238</v>
      </c>
      <c r="F73" s="8">
        <v>596238</v>
      </c>
      <c r="G73" s="8">
        <v>596238</v>
      </c>
      <c r="H73" s="8">
        <v>596238</v>
      </c>
      <c r="I73" s="8">
        <v>596238</v>
      </c>
      <c r="J73" s="8">
        <v>626953</v>
      </c>
      <c r="K73" s="8">
        <v>626953</v>
      </c>
      <c r="L73" s="8">
        <v>626953</v>
      </c>
      <c r="M73" s="8">
        <v>789223</v>
      </c>
      <c r="N73" s="8">
        <v>789223</v>
      </c>
      <c r="O73" s="9">
        <f t="shared" si="19"/>
        <v>789223</v>
      </c>
      <c r="P73" s="8">
        <v>0</v>
      </c>
      <c r="Q73" s="8">
        <v>0</v>
      </c>
      <c r="R73" s="8">
        <v>770653</v>
      </c>
      <c r="S73" s="8">
        <v>918609</v>
      </c>
      <c r="T73" s="8">
        <v>1365760</v>
      </c>
      <c r="U73" s="8">
        <v>3765652</v>
      </c>
      <c r="V73" s="8">
        <v>4137453</v>
      </c>
      <c r="W73" s="8">
        <v>6034826</v>
      </c>
      <c r="X73" s="8">
        <v>6034826</v>
      </c>
      <c r="Y73" s="8">
        <v>6034826</v>
      </c>
      <c r="Z73" s="8">
        <v>6114905</v>
      </c>
      <c r="AA73" s="8">
        <v>9454414</v>
      </c>
      <c r="AB73" s="9">
        <f t="shared" si="20"/>
        <v>9454414</v>
      </c>
      <c r="AC73" s="8">
        <v>0</v>
      </c>
      <c r="AD73" s="8">
        <v>12068091</v>
      </c>
      <c r="AE73" s="8">
        <v>14820005</v>
      </c>
      <c r="AF73" s="8">
        <v>14820005</v>
      </c>
      <c r="AG73" s="8">
        <v>20629771</v>
      </c>
      <c r="AH73" s="8">
        <v>20629771</v>
      </c>
      <c r="AI73" s="8">
        <v>20629771</v>
      </c>
      <c r="AJ73" s="8">
        <v>20629771</v>
      </c>
      <c r="AK73" s="8">
        <v>20629771</v>
      </c>
      <c r="AL73" s="8">
        <v>20629771</v>
      </c>
      <c r="AM73" s="8">
        <v>19330322</v>
      </c>
      <c r="AN73" s="8">
        <v>9278356</v>
      </c>
      <c r="AO73" s="9">
        <f t="shared" si="21"/>
        <v>9278356</v>
      </c>
      <c r="AP73" s="8">
        <v>0</v>
      </c>
      <c r="AQ73" s="8">
        <v>12849718</v>
      </c>
      <c r="AR73" s="8">
        <v>13714617</v>
      </c>
      <c r="AS73" s="8">
        <v>13810514</v>
      </c>
      <c r="AT73" s="8">
        <v>16603765</v>
      </c>
      <c r="AU73" s="8">
        <v>16656295</v>
      </c>
      <c r="AV73" s="8">
        <v>16979780</v>
      </c>
      <c r="AW73" s="8">
        <v>17365607</v>
      </c>
      <c r="AX73" s="8">
        <v>17365607</v>
      </c>
      <c r="AY73" s="8">
        <v>17439748</v>
      </c>
      <c r="AZ73" s="8">
        <v>17439748</v>
      </c>
      <c r="BA73" s="8">
        <v>17385795</v>
      </c>
      <c r="BB73" s="9">
        <f t="shared" si="22"/>
        <v>17385795</v>
      </c>
      <c r="BC73" s="8">
        <v>0</v>
      </c>
      <c r="BD73" s="8">
        <v>0</v>
      </c>
      <c r="BE73" s="8">
        <v>9760244</v>
      </c>
      <c r="BF73" s="8">
        <v>14538067</v>
      </c>
      <c r="BG73" s="8">
        <v>14538067</v>
      </c>
      <c r="BH73" s="8">
        <v>20732767</v>
      </c>
      <c r="BI73" s="8">
        <v>20732767</v>
      </c>
      <c r="BJ73" s="8">
        <v>20905344</v>
      </c>
      <c r="BK73" s="8">
        <v>11187632</v>
      </c>
      <c r="BL73" s="8">
        <v>11187632</v>
      </c>
      <c r="BM73" s="8">
        <v>11187632</v>
      </c>
      <c r="BN73" s="8">
        <v>2865061</v>
      </c>
      <c r="BO73" s="9">
        <f t="shared" si="23"/>
        <v>2865061</v>
      </c>
      <c r="BP73" s="8">
        <v>0</v>
      </c>
      <c r="BQ73" s="8">
        <v>0</v>
      </c>
      <c r="BR73" s="8">
        <v>0</v>
      </c>
      <c r="BS73" s="8">
        <v>18890574</v>
      </c>
      <c r="BT73" s="8">
        <v>18890574</v>
      </c>
      <c r="BU73" s="8">
        <v>13011576</v>
      </c>
      <c r="BV73" s="8">
        <v>13011576</v>
      </c>
      <c r="BW73" s="8">
        <v>13963413</v>
      </c>
      <c r="BX73" s="8">
        <v>13963413</v>
      </c>
      <c r="BY73" s="8">
        <v>13963413</v>
      </c>
      <c r="BZ73" s="8">
        <v>13963413</v>
      </c>
      <c r="CA73" s="8">
        <v>13148786</v>
      </c>
      <c r="CB73" s="9">
        <f t="shared" si="24"/>
        <v>13148786</v>
      </c>
      <c r="CC73" s="8">
        <v>0</v>
      </c>
      <c r="CD73" s="8">
        <v>0</v>
      </c>
      <c r="CE73" s="8">
        <v>51529605</v>
      </c>
      <c r="CF73" s="8">
        <v>51529605</v>
      </c>
      <c r="CG73" s="8">
        <v>50373220</v>
      </c>
      <c r="CH73" s="8">
        <v>49265065</v>
      </c>
      <c r="CI73" s="8">
        <v>49265065</v>
      </c>
      <c r="CJ73" s="8">
        <v>37805013</v>
      </c>
      <c r="CK73" s="8">
        <v>36517531</v>
      </c>
      <c r="CL73" s="8">
        <v>28948678</v>
      </c>
      <c r="CM73" s="8">
        <v>28948678</v>
      </c>
      <c r="CN73" s="8">
        <v>24652291</v>
      </c>
      <c r="CO73" s="9">
        <f t="shared" si="25"/>
        <v>24652291</v>
      </c>
      <c r="CP73" s="8">
        <v>0</v>
      </c>
      <c r="CQ73" s="8">
        <v>45129615</v>
      </c>
      <c r="CR73" s="8">
        <v>45129615</v>
      </c>
      <c r="CS73" s="8">
        <v>45129615</v>
      </c>
      <c r="CT73" s="8">
        <v>45129615</v>
      </c>
      <c r="CU73" s="8">
        <v>45215554</v>
      </c>
      <c r="CV73" s="8">
        <v>43683023</v>
      </c>
      <c r="CW73" s="8">
        <v>42179836</v>
      </c>
      <c r="CX73" s="8">
        <v>42179836</v>
      </c>
      <c r="CY73" s="8">
        <v>42223104</v>
      </c>
      <c r="CZ73" s="8">
        <v>42223104</v>
      </c>
      <c r="DA73" s="8">
        <v>28780220</v>
      </c>
      <c r="DB73" s="9">
        <f t="shared" si="26"/>
        <v>28780220</v>
      </c>
      <c r="DC73" s="8">
        <v>0</v>
      </c>
      <c r="DD73" s="8">
        <v>48615521</v>
      </c>
      <c r="DE73" s="8">
        <v>48615521</v>
      </c>
      <c r="DF73" s="8">
        <v>48615521</v>
      </c>
      <c r="DG73" s="8">
        <v>48615521</v>
      </c>
      <c r="DH73" s="8">
        <v>48828990</v>
      </c>
      <c r="DI73" s="8">
        <v>48828990</v>
      </c>
      <c r="DJ73" s="8">
        <v>48828990</v>
      </c>
      <c r="DK73" s="8">
        <v>33435503</v>
      </c>
      <c r="DL73" s="8">
        <v>33462835</v>
      </c>
      <c r="DM73" s="8">
        <v>33462835</v>
      </c>
      <c r="DN73" s="8">
        <v>25830688</v>
      </c>
      <c r="DO73" s="9">
        <f t="shared" si="27"/>
        <v>25830688</v>
      </c>
      <c r="DP73" s="8">
        <v>0</v>
      </c>
      <c r="DQ73" s="8">
        <v>31458843</v>
      </c>
      <c r="DR73" s="8">
        <v>31458843</v>
      </c>
      <c r="DS73" s="8">
        <v>31458843</v>
      </c>
      <c r="DT73" s="8">
        <v>31458843</v>
      </c>
      <c r="DU73" s="8">
        <v>31458843</v>
      </c>
      <c r="DV73" s="8">
        <v>31458843</v>
      </c>
      <c r="DW73" s="8">
        <v>31458843</v>
      </c>
      <c r="DX73" s="8">
        <v>31458843</v>
      </c>
      <c r="DY73" s="8">
        <v>32597209</v>
      </c>
      <c r="DZ73" s="8">
        <v>28352156</v>
      </c>
      <c r="EA73" s="8">
        <v>22315894</v>
      </c>
      <c r="EB73" s="9">
        <f t="shared" si="28"/>
        <v>22315894</v>
      </c>
      <c r="EC73" s="8">
        <v>0</v>
      </c>
      <c r="ED73" s="8">
        <v>47226920</v>
      </c>
      <c r="EE73" s="8">
        <v>48299805</v>
      </c>
      <c r="EF73" s="8">
        <v>49038545</v>
      </c>
      <c r="EG73" s="8">
        <v>49038545</v>
      </c>
      <c r="EH73" s="8">
        <v>49038545</v>
      </c>
      <c r="EI73" s="8">
        <v>31341386</v>
      </c>
      <c r="EJ73" s="8">
        <v>46739861</v>
      </c>
      <c r="EK73" s="8">
        <v>46739861</v>
      </c>
      <c r="EL73" s="8">
        <v>45329515</v>
      </c>
      <c r="EM73" s="8">
        <v>41132811</v>
      </c>
      <c r="EN73" s="8">
        <v>40536375</v>
      </c>
      <c r="EO73" s="9">
        <f t="shared" si="29"/>
        <v>40536375</v>
      </c>
      <c r="EP73" s="8">
        <v>0</v>
      </c>
      <c r="EQ73" s="8">
        <v>51949151</v>
      </c>
      <c r="ER73" s="8">
        <v>51949151</v>
      </c>
      <c r="ES73" s="8">
        <v>51949151</v>
      </c>
      <c r="ET73" s="8">
        <v>51949151</v>
      </c>
      <c r="EU73" s="8">
        <v>51949151</v>
      </c>
      <c r="EV73" s="8">
        <v>51949151</v>
      </c>
      <c r="EW73" s="8">
        <v>51949151</v>
      </c>
      <c r="EX73" s="8">
        <v>50262469</v>
      </c>
      <c r="EY73" s="8">
        <v>50262469</v>
      </c>
      <c r="EZ73" s="8">
        <v>50262469</v>
      </c>
      <c r="FA73" s="8">
        <v>32972393</v>
      </c>
      <c r="FB73" s="9">
        <f t="shared" si="30"/>
        <v>32972393</v>
      </c>
      <c r="FC73" s="8">
        <v>15241290</v>
      </c>
      <c r="FD73" s="8">
        <v>15241290</v>
      </c>
      <c r="FE73" s="8">
        <v>15241290</v>
      </c>
      <c r="FF73" s="8">
        <v>15241290</v>
      </c>
      <c r="FG73" s="8">
        <v>15241290</v>
      </c>
      <c r="FH73" s="8">
        <v>20715744</v>
      </c>
      <c r="FI73" s="8">
        <v>20715744</v>
      </c>
      <c r="FJ73" s="8"/>
      <c r="FK73" s="8"/>
      <c r="FL73" s="8"/>
      <c r="FM73" s="8"/>
      <c r="FN73" s="8"/>
      <c r="FO73" s="9">
        <f t="shared" si="31"/>
        <v>20715744</v>
      </c>
    </row>
    <row r="74" spans="2:171" ht="14.25" customHeight="1" x14ac:dyDescent="0.3">
      <c r="B74" s="35" t="s">
        <v>73</v>
      </c>
      <c r="C74" s="8">
        <v>0</v>
      </c>
      <c r="D74" s="8">
        <v>4590595</v>
      </c>
      <c r="E74" s="8">
        <v>11728106</v>
      </c>
      <c r="F74" s="8">
        <v>11728106</v>
      </c>
      <c r="G74" s="8">
        <v>11728106</v>
      </c>
      <c r="H74" s="8">
        <v>11728106</v>
      </c>
      <c r="I74" s="8">
        <v>11728106</v>
      </c>
      <c r="J74" s="8">
        <v>11914800</v>
      </c>
      <c r="K74" s="8">
        <v>11914800</v>
      </c>
      <c r="L74" s="8">
        <v>11914800</v>
      </c>
      <c r="M74" s="8">
        <v>7089644</v>
      </c>
      <c r="N74" s="8">
        <v>7089644</v>
      </c>
      <c r="O74" s="9">
        <f t="shared" si="19"/>
        <v>7089644</v>
      </c>
      <c r="P74" s="8">
        <v>0</v>
      </c>
      <c r="Q74" s="8">
        <v>0</v>
      </c>
      <c r="R74" s="8">
        <v>24566801</v>
      </c>
      <c r="S74" s="8">
        <v>24566801</v>
      </c>
      <c r="T74" s="8">
        <v>24566801</v>
      </c>
      <c r="U74" s="8">
        <v>24720059</v>
      </c>
      <c r="V74" s="8">
        <v>25057090</v>
      </c>
      <c r="W74" s="8">
        <v>17427353</v>
      </c>
      <c r="X74" s="8">
        <v>17662227</v>
      </c>
      <c r="Y74" s="8">
        <v>17662227</v>
      </c>
      <c r="Z74" s="8">
        <v>18313193</v>
      </c>
      <c r="AA74" s="8">
        <v>21465935</v>
      </c>
      <c r="AB74" s="9">
        <f t="shared" si="20"/>
        <v>21465935</v>
      </c>
      <c r="AC74" s="8">
        <v>0</v>
      </c>
      <c r="AD74" s="8">
        <v>0</v>
      </c>
      <c r="AE74" s="8">
        <v>0</v>
      </c>
      <c r="AF74" s="8">
        <v>21657316</v>
      </c>
      <c r="AG74" s="8">
        <v>23679747</v>
      </c>
      <c r="AH74" s="8">
        <v>23679747</v>
      </c>
      <c r="AI74" s="8">
        <v>23679747</v>
      </c>
      <c r="AJ74" s="8">
        <v>23679747</v>
      </c>
      <c r="AK74" s="8">
        <v>24967491</v>
      </c>
      <c r="AL74" s="8">
        <v>22985026</v>
      </c>
      <c r="AM74" s="8">
        <v>23089471</v>
      </c>
      <c r="AN74" s="8">
        <v>18136152</v>
      </c>
      <c r="AO74" s="9">
        <f t="shared" si="21"/>
        <v>18136152</v>
      </c>
      <c r="AP74" s="8">
        <v>0</v>
      </c>
      <c r="AQ74" s="8">
        <v>0</v>
      </c>
      <c r="AR74" s="8">
        <v>807712</v>
      </c>
      <c r="AS74" s="8">
        <v>807712</v>
      </c>
      <c r="AT74" s="8">
        <v>4652446</v>
      </c>
      <c r="AU74" s="8">
        <v>7968923</v>
      </c>
      <c r="AV74" s="8">
        <v>8604985</v>
      </c>
      <c r="AW74" s="8">
        <v>8604985</v>
      </c>
      <c r="AX74" s="8">
        <v>7628780</v>
      </c>
      <c r="AY74" s="8">
        <v>7729393</v>
      </c>
      <c r="AZ74" s="8">
        <v>7729393</v>
      </c>
      <c r="BA74" s="8">
        <v>6611686</v>
      </c>
      <c r="BB74" s="9">
        <f t="shared" si="22"/>
        <v>6611686</v>
      </c>
      <c r="BC74" s="8">
        <v>0</v>
      </c>
      <c r="BD74" s="8">
        <v>0</v>
      </c>
      <c r="BE74" s="8">
        <v>1033505</v>
      </c>
      <c r="BF74" s="8">
        <v>2976360</v>
      </c>
      <c r="BG74" s="8">
        <v>2976360</v>
      </c>
      <c r="BH74" s="8">
        <v>7211069</v>
      </c>
      <c r="BI74" s="8">
        <v>7211069</v>
      </c>
      <c r="BJ74" s="8">
        <v>8502484</v>
      </c>
      <c r="BK74" s="8">
        <v>8502484</v>
      </c>
      <c r="BL74" s="8">
        <v>6205759</v>
      </c>
      <c r="BM74" s="8">
        <v>6205759</v>
      </c>
      <c r="BN74" s="8">
        <v>4474566</v>
      </c>
      <c r="BO74" s="9">
        <f t="shared" si="23"/>
        <v>4474566</v>
      </c>
      <c r="BP74" s="8">
        <v>0</v>
      </c>
      <c r="BQ74" s="8">
        <v>0</v>
      </c>
      <c r="BR74" s="8">
        <v>3316360</v>
      </c>
      <c r="BS74" s="8">
        <v>5406362</v>
      </c>
      <c r="BT74" s="8">
        <v>5406362</v>
      </c>
      <c r="BU74" s="8">
        <v>9406362</v>
      </c>
      <c r="BV74" s="8">
        <v>9406362</v>
      </c>
      <c r="BW74" s="8">
        <v>8025252</v>
      </c>
      <c r="BX74" s="8">
        <v>7724551</v>
      </c>
      <c r="BY74" s="8">
        <v>7724551</v>
      </c>
      <c r="BZ74" s="8">
        <v>7972775</v>
      </c>
      <c r="CA74" s="8">
        <v>7639864</v>
      </c>
      <c r="CB74" s="9">
        <f t="shared" si="24"/>
        <v>7639864</v>
      </c>
      <c r="CC74" s="8">
        <v>0</v>
      </c>
      <c r="CD74" s="8">
        <v>0</v>
      </c>
      <c r="CE74" s="8">
        <v>7230766</v>
      </c>
      <c r="CF74" s="8">
        <v>7230766</v>
      </c>
      <c r="CG74" s="8">
        <v>7230766</v>
      </c>
      <c r="CH74" s="8">
        <v>7230766</v>
      </c>
      <c r="CI74" s="8">
        <v>12294731</v>
      </c>
      <c r="CJ74" s="8">
        <v>12294731</v>
      </c>
      <c r="CK74" s="8">
        <v>12302020</v>
      </c>
      <c r="CL74" s="8">
        <v>12302020</v>
      </c>
      <c r="CM74" s="8">
        <v>12359220</v>
      </c>
      <c r="CN74" s="8">
        <v>10884934</v>
      </c>
      <c r="CO74" s="9">
        <f t="shared" si="25"/>
        <v>10884934</v>
      </c>
      <c r="CP74" s="8">
        <v>0</v>
      </c>
      <c r="CQ74" s="8">
        <v>2069458</v>
      </c>
      <c r="CR74" s="8">
        <v>2069458</v>
      </c>
      <c r="CS74" s="8">
        <v>22940842</v>
      </c>
      <c r="CT74" s="8">
        <v>22940842</v>
      </c>
      <c r="CU74" s="8">
        <v>23230123</v>
      </c>
      <c r="CV74" s="8">
        <v>24245516</v>
      </c>
      <c r="CW74" s="8">
        <v>24245516</v>
      </c>
      <c r="CX74" s="8">
        <v>24245516</v>
      </c>
      <c r="CY74" s="8">
        <v>21994857</v>
      </c>
      <c r="CZ74" s="8">
        <v>21994857</v>
      </c>
      <c r="DA74" s="8">
        <v>3859399</v>
      </c>
      <c r="DB74" s="9">
        <f t="shared" si="26"/>
        <v>3859399</v>
      </c>
      <c r="DC74" s="8">
        <v>0</v>
      </c>
      <c r="DD74" s="8">
        <v>23144097</v>
      </c>
      <c r="DE74" s="8">
        <v>23144097</v>
      </c>
      <c r="DF74" s="8">
        <v>23144097</v>
      </c>
      <c r="DG74" s="8">
        <v>23144097</v>
      </c>
      <c r="DH74" s="8">
        <v>23144097</v>
      </c>
      <c r="DI74" s="8">
        <v>23144097</v>
      </c>
      <c r="DJ74" s="8">
        <v>23144097</v>
      </c>
      <c r="DK74" s="8">
        <v>23165809</v>
      </c>
      <c r="DL74" s="8">
        <v>23341454</v>
      </c>
      <c r="DM74" s="8">
        <v>23422399</v>
      </c>
      <c r="DN74" s="8">
        <v>4390512</v>
      </c>
      <c r="DO74" s="9">
        <f t="shared" si="27"/>
        <v>4390512</v>
      </c>
      <c r="DP74" s="8">
        <v>0</v>
      </c>
      <c r="DQ74" s="8">
        <v>36754499</v>
      </c>
      <c r="DR74" s="8">
        <v>36754499</v>
      </c>
      <c r="DS74" s="8">
        <v>36754499</v>
      </c>
      <c r="DT74" s="8">
        <v>36754499</v>
      </c>
      <c r="DU74" s="8">
        <v>36754499</v>
      </c>
      <c r="DV74" s="8">
        <v>38300752</v>
      </c>
      <c r="DW74" s="8">
        <v>76969571</v>
      </c>
      <c r="DX74" s="8">
        <v>76969571</v>
      </c>
      <c r="DY74" s="8">
        <v>77763287</v>
      </c>
      <c r="DZ74" s="8">
        <v>77763287</v>
      </c>
      <c r="EA74" s="8">
        <v>78183112</v>
      </c>
      <c r="EB74" s="9">
        <f t="shared" si="28"/>
        <v>78183112</v>
      </c>
      <c r="EC74" s="8">
        <v>0</v>
      </c>
      <c r="ED74" s="8">
        <v>79583672</v>
      </c>
      <c r="EE74" s="8">
        <v>80632549</v>
      </c>
      <c r="EF74" s="8">
        <v>87239703</v>
      </c>
      <c r="EG74" s="8">
        <v>87448418</v>
      </c>
      <c r="EH74" s="8">
        <v>87947836</v>
      </c>
      <c r="EI74" s="8">
        <v>69286672</v>
      </c>
      <c r="EJ74" s="8">
        <v>68789015</v>
      </c>
      <c r="EK74" s="8">
        <v>67934990</v>
      </c>
      <c r="EL74" s="8">
        <v>67776597</v>
      </c>
      <c r="EM74" s="8">
        <v>87539737</v>
      </c>
      <c r="EN74" s="8">
        <v>83555840</v>
      </c>
      <c r="EO74" s="9">
        <f t="shared" si="29"/>
        <v>83555840</v>
      </c>
      <c r="EP74" s="8">
        <v>0</v>
      </c>
      <c r="EQ74" s="8">
        <v>74542371</v>
      </c>
      <c r="ER74" s="8">
        <v>74600624</v>
      </c>
      <c r="ES74" s="8">
        <v>74600624</v>
      </c>
      <c r="ET74" s="8">
        <v>75534324</v>
      </c>
      <c r="EU74" s="8">
        <v>75830660</v>
      </c>
      <c r="EV74" s="8">
        <v>75830660</v>
      </c>
      <c r="EW74" s="8">
        <v>90830660</v>
      </c>
      <c r="EX74" s="8">
        <v>90979497</v>
      </c>
      <c r="EY74" s="8">
        <v>90979497</v>
      </c>
      <c r="EZ74" s="8">
        <v>90979497</v>
      </c>
      <c r="FA74" s="8">
        <v>97832718</v>
      </c>
      <c r="FB74" s="9">
        <f t="shared" si="30"/>
        <v>97832718</v>
      </c>
      <c r="FC74" s="8">
        <v>92970744</v>
      </c>
      <c r="FD74" s="8">
        <v>92970744</v>
      </c>
      <c r="FE74" s="8">
        <v>92970744</v>
      </c>
      <c r="FF74" s="8">
        <v>92970744</v>
      </c>
      <c r="FG74" s="8">
        <v>92970744</v>
      </c>
      <c r="FH74" s="8">
        <v>92970744</v>
      </c>
      <c r="FI74" s="8">
        <v>92970744</v>
      </c>
      <c r="FJ74" s="8"/>
      <c r="FK74" s="8"/>
      <c r="FL74" s="8"/>
      <c r="FM74" s="8"/>
      <c r="FN74" s="8"/>
      <c r="FO74" s="9">
        <f t="shared" si="31"/>
        <v>92970744</v>
      </c>
    </row>
    <row r="75" spans="2:171" ht="14.25" customHeight="1" x14ac:dyDescent="0.3">
      <c r="B75" s="35" t="s">
        <v>74</v>
      </c>
      <c r="C75" s="8">
        <v>0</v>
      </c>
      <c r="D75" s="8">
        <v>1271674</v>
      </c>
      <c r="E75" s="8">
        <v>1271674</v>
      </c>
      <c r="F75" s="8">
        <v>1271674</v>
      </c>
      <c r="G75" s="8">
        <v>1271674</v>
      </c>
      <c r="H75" s="8">
        <v>1271674</v>
      </c>
      <c r="I75" s="8">
        <v>1271674</v>
      </c>
      <c r="J75" s="8">
        <v>1271674</v>
      </c>
      <c r="K75" s="8">
        <v>1271674</v>
      </c>
      <c r="L75" s="8">
        <v>1271674</v>
      </c>
      <c r="M75" s="8">
        <v>681165</v>
      </c>
      <c r="N75" s="8">
        <v>682622</v>
      </c>
      <c r="O75" s="9">
        <f t="shared" si="19"/>
        <v>682622</v>
      </c>
      <c r="P75" s="8">
        <v>0</v>
      </c>
      <c r="Q75" s="8">
        <v>2960931</v>
      </c>
      <c r="R75" s="8">
        <v>6775108</v>
      </c>
      <c r="S75" s="8">
        <v>6775108</v>
      </c>
      <c r="T75" s="8">
        <v>6775108</v>
      </c>
      <c r="U75" s="8">
        <v>6775108</v>
      </c>
      <c r="V75" s="8">
        <v>8301701</v>
      </c>
      <c r="W75" s="8">
        <v>8942547</v>
      </c>
      <c r="X75" s="8">
        <v>7125510</v>
      </c>
      <c r="Y75" s="8">
        <v>7125510</v>
      </c>
      <c r="Z75" s="8">
        <v>7056593</v>
      </c>
      <c r="AA75" s="8">
        <v>5769292</v>
      </c>
      <c r="AB75" s="9">
        <f t="shared" si="20"/>
        <v>5769292</v>
      </c>
      <c r="AC75" s="8">
        <v>0</v>
      </c>
      <c r="AD75" s="8">
        <v>10015980</v>
      </c>
      <c r="AE75" s="8">
        <v>14074038</v>
      </c>
      <c r="AF75" s="8">
        <v>14074038</v>
      </c>
      <c r="AG75" s="8">
        <v>14074038</v>
      </c>
      <c r="AH75" s="8">
        <v>14074038</v>
      </c>
      <c r="AI75" s="8">
        <v>16035695</v>
      </c>
      <c r="AJ75" s="8">
        <v>16035695</v>
      </c>
      <c r="AK75" s="8">
        <v>16035695</v>
      </c>
      <c r="AL75" s="8">
        <v>16071937</v>
      </c>
      <c r="AM75" s="8">
        <v>10325746</v>
      </c>
      <c r="AN75" s="8">
        <v>3566921</v>
      </c>
      <c r="AO75" s="9">
        <f t="shared" si="21"/>
        <v>3566921</v>
      </c>
      <c r="AP75" s="8">
        <v>0</v>
      </c>
      <c r="AQ75" s="8">
        <v>6552678</v>
      </c>
      <c r="AR75" s="8">
        <v>6552678</v>
      </c>
      <c r="AS75" s="8">
        <v>6552678</v>
      </c>
      <c r="AT75" s="8">
        <v>8047104</v>
      </c>
      <c r="AU75" s="8">
        <v>8455718</v>
      </c>
      <c r="AV75" s="8">
        <v>6192125</v>
      </c>
      <c r="AW75" s="8">
        <v>6117950</v>
      </c>
      <c r="AX75" s="8">
        <v>6119178</v>
      </c>
      <c r="AY75" s="8">
        <v>6120501</v>
      </c>
      <c r="AZ75" s="8">
        <v>6120501</v>
      </c>
      <c r="BA75" s="8">
        <v>3994046</v>
      </c>
      <c r="BB75" s="9">
        <f t="shared" si="22"/>
        <v>3994046</v>
      </c>
      <c r="BC75" s="8">
        <v>0</v>
      </c>
      <c r="BD75" s="8">
        <v>0</v>
      </c>
      <c r="BE75" s="8">
        <v>13143393</v>
      </c>
      <c r="BF75" s="8">
        <v>15425183</v>
      </c>
      <c r="BG75" s="8">
        <v>21883950</v>
      </c>
      <c r="BH75" s="8">
        <v>21883950</v>
      </c>
      <c r="BI75" s="8">
        <v>21883950</v>
      </c>
      <c r="BJ75" s="8">
        <v>27091863</v>
      </c>
      <c r="BK75" s="8">
        <v>25156140</v>
      </c>
      <c r="BL75" s="8">
        <v>25156140</v>
      </c>
      <c r="BM75" s="8">
        <v>25156140</v>
      </c>
      <c r="BN75" s="8">
        <v>22327963</v>
      </c>
      <c r="BO75" s="9">
        <f t="shared" si="23"/>
        <v>22327963</v>
      </c>
      <c r="BP75" s="8">
        <v>0</v>
      </c>
      <c r="BQ75" s="8">
        <v>0</v>
      </c>
      <c r="BR75" s="8">
        <v>36078821</v>
      </c>
      <c r="BS75" s="8">
        <v>36078821</v>
      </c>
      <c r="BT75" s="8">
        <v>36078821</v>
      </c>
      <c r="BU75" s="8">
        <v>36078821</v>
      </c>
      <c r="BV75" s="8">
        <v>37415015</v>
      </c>
      <c r="BW75" s="8">
        <v>35544307</v>
      </c>
      <c r="BX75" s="8">
        <v>35451308</v>
      </c>
      <c r="BY75" s="8">
        <v>35451308</v>
      </c>
      <c r="BZ75" s="8">
        <v>35451308</v>
      </c>
      <c r="CA75" s="8">
        <v>35431815</v>
      </c>
      <c r="CB75" s="9">
        <f t="shared" si="24"/>
        <v>35431815</v>
      </c>
      <c r="CC75" s="8">
        <v>0</v>
      </c>
      <c r="CD75" s="8">
        <v>27416748</v>
      </c>
      <c r="CE75" s="8">
        <v>28674843</v>
      </c>
      <c r="CF75" s="8">
        <v>28674843</v>
      </c>
      <c r="CG75" s="8">
        <v>28674843</v>
      </c>
      <c r="CH75" s="8">
        <v>28674843</v>
      </c>
      <c r="CI75" s="8">
        <v>28746994</v>
      </c>
      <c r="CJ75" s="8">
        <v>41919303</v>
      </c>
      <c r="CK75" s="8">
        <v>41919303</v>
      </c>
      <c r="CL75" s="8">
        <v>41919303</v>
      </c>
      <c r="CM75" s="8">
        <v>41919303</v>
      </c>
      <c r="CN75" s="8">
        <v>39170355</v>
      </c>
      <c r="CO75" s="9">
        <f t="shared" si="25"/>
        <v>39170355</v>
      </c>
      <c r="CP75" s="8">
        <v>0</v>
      </c>
      <c r="CQ75" s="8">
        <v>30650605</v>
      </c>
      <c r="CR75" s="8">
        <v>38234031</v>
      </c>
      <c r="CS75" s="8">
        <v>38234031</v>
      </c>
      <c r="CT75" s="8">
        <v>38234031</v>
      </c>
      <c r="CU75" s="8">
        <v>38234031</v>
      </c>
      <c r="CV75" s="8">
        <v>38234031</v>
      </c>
      <c r="CW75" s="8">
        <v>38234031</v>
      </c>
      <c r="CX75" s="8">
        <v>38234031</v>
      </c>
      <c r="CY75" s="8">
        <v>35301165</v>
      </c>
      <c r="CZ75" s="8">
        <v>35301165</v>
      </c>
      <c r="DA75" s="8">
        <v>35119670</v>
      </c>
      <c r="DB75" s="9">
        <f t="shared" si="26"/>
        <v>35119670</v>
      </c>
      <c r="DC75" s="8">
        <v>0</v>
      </c>
      <c r="DD75" s="8">
        <v>29939195</v>
      </c>
      <c r="DE75" s="8">
        <v>29939195</v>
      </c>
      <c r="DF75" s="8">
        <v>29939195</v>
      </c>
      <c r="DG75" s="8">
        <v>29939195</v>
      </c>
      <c r="DH75" s="8">
        <v>29939195</v>
      </c>
      <c r="DI75" s="8">
        <v>29941049</v>
      </c>
      <c r="DJ75" s="8">
        <v>29941049</v>
      </c>
      <c r="DK75" s="8">
        <v>29941049</v>
      </c>
      <c r="DL75" s="8">
        <v>34255571</v>
      </c>
      <c r="DM75" s="8">
        <v>32849144</v>
      </c>
      <c r="DN75" s="8">
        <v>30478138</v>
      </c>
      <c r="DO75" s="9">
        <f t="shared" si="27"/>
        <v>30478138</v>
      </c>
      <c r="DP75" s="8">
        <v>0</v>
      </c>
      <c r="DQ75" s="8">
        <v>21688499</v>
      </c>
      <c r="DR75" s="8">
        <v>21688499</v>
      </c>
      <c r="DS75" s="8">
        <v>21688499</v>
      </c>
      <c r="DT75" s="8">
        <v>37169814</v>
      </c>
      <c r="DU75" s="8">
        <v>37977508</v>
      </c>
      <c r="DV75" s="8">
        <v>40365139</v>
      </c>
      <c r="DW75" s="8">
        <v>40365139</v>
      </c>
      <c r="DX75" s="8">
        <v>40365139</v>
      </c>
      <c r="DY75" s="8">
        <v>40544437</v>
      </c>
      <c r="DZ75" s="8">
        <v>40544437</v>
      </c>
      <c r="EA75" s="8">
        <v>27448313</v>
      </c>
      <c r="EB75" s="9">
        <f t="shared" si="28"/>
        <v>27448313</v>
      </c>
      <c r="EC75" s="8">
        <v>0</v>
      </c>
      <c r="ED75" s="8">
        <v>37649448</v>
      </c>
      <c r="EE75" s="8">
        <v>39923719</v>
      </c>
      <c r="EF75" s="8">
        <v>39994550</v>
      </c>
      <c r="EG75" s="8">
        <v>39994550</v>
      </c>
      <c r="EH75" s="8">
        <v>39994550</v>
      </c>
      <c r="EI75" s="8">
        <v>51179211</v>
      </c>
      <c r="EJ75" s="8">
        <v>52617185</v>
      </c>
      <c r="EK75" s="8">
        <v>52617185</v>
      </c>
      <c r="EL75" s="8">
        <v>49930384</v>
      </c>
      <c r="EM75" s="8">
        <v>47527578</v>
      </c>
      <c r="EN75" s="8">
        <v>47527578</v>
      </c>
      <c r="EO75" s="9">
        <f t="shared" si="29"/>
        <v>47527578</v>
      </c>
      <c r="EP75" s="8">
        <v>0</v>
      </c>
      <c r="EQ75" s="8">
        <v>22007344</v>
      </c>
      <c r="ER75" s="8">
        <v>22007344</v>
      </c>
      <c r="ES75" s="8">
        <v>22007344</v>
      </c>
      <c r="ET75" s="8">
        <v>39627780</v>
      </c>
      <c r="EU75" s="8">
        <v>39627780</v>
      </c>
      <c r="EV75" s="8">
        <v>39627780</v>
      </c>
      <c r="EW75" s="8">
        <v>39627780</v>
      </c>
      <c r="EX75" s="8">
        <v>44659454</v>
      </c>
      <c r="EY75" s="8">
        <v>44659454</v>
      </c>
      <c r="EZ75" s="8">
        <v>44659454</v>
      </c>
      <c r="FA75" s="8">
        <v>37774937</v>
      </c>
      <c r="FB75" s="9">
        <f t="shared" si="30"/>
        <v>37774937</v>
      </c>
      <c r="FC75" s="8">
        <v>9165660</v>
      </c>
      <c r="FD75" s="8">
        <v>9165660</v>
      </c>
      <c r="FE75" s="8">
        <v>9165660</v>
      </c>
      <c r="FF75" s="8">
        <v>9165660</v>
      </c>
      <c r="FG75" s="8">
        <v>9165660</v>
      </c>
      <c r="FH75" s="8">
        <v>16509780</v>
      </c>
      <c r="FI75" s="8">
        <v>16509780</v>
      </c>
      <c r="FJ75" s="8"/>
      <c r="FK75" s="8"/>
      <c r="FL75" s="8"/>
      <c r="FM75" s="8"/>
      <c r="FN75" s="8"/>
      <c r="FO75" s="9">
        <f t="shared" si="31"/>
        <v>16509780</v>
      </c>
    </row>
    <row r="76" spans="2:171" ht="14.25" customHeight="1" thickBot="1" x14ac:dyDescent="0.35">
      <c r="B76" s="14" t="s">
        <v>77</v>
      </c>
      <c r="C76" s="16">
        <f t="shared" ref="C76:AH76" si="32">SUM(C44:C75)</f>
        <v>275296243</v>
      </c>
      <c r="D76" s="16">
        <f t="shared" si="32"/>
        <v>269860741</v>
      </c>
      <c r="E76" s="16">
        <f t="shared" si="32"/>
        <v>269860741</v>
      </c>
      <c r="F76" s="16">
        <f t="shared" si="32"/>
        <v>269860741</v>
      </c>
      <c r="G76" s="16">
        <f t="shared" si="32"/>
        <v>269860741</v>
      </c>
      <c r="H76" s="16">
        <f t="shared" si="32"/>
        <v>276361132</v>
      </c>
      <c r="I76" s="16">
        <f t="shared" si="32"/>
        <v>276083347</v>
      </c>
      <c r="J76" s="16">
        <f t="shared" si="32"/>
        <v>278808626</v>
      </c>
      <c r="K76" s="16">
        <f t="shared" si="32"/>
        <v>276581096</v>
      </c>
      <c r="L76" s="16">
        <f t="shared" si="32"/>
        <v>276581096</v>
      </c>
      <c r="M76" s="16">
        <f t="shared" si="32"/>
        <v>241539439</v>
      </c>
      <c r="N76" s="16">
        <f t="shared" si="32"/>
        <v>229437138</v>
      </c>
      <c r="O76" s="16">
        <f t="shared" si="32"/>
        <v>229437138</v>
      </c>
      <c r="P76" s="16">
        <f t="shared" si="32"/>
        <v>529019287</v>
      </c>
      <c r="Q76" s="16">
        <f t="shared" si="32"/>
        <v>528842001</v>
      </c>
      <c r="R76" s="16">
        <f t="shared" si="32"/>
        <v>521114421</v>
      </c>
      <c r="S76" s="16">
        <f t="shared" si="32"/>
        <v>504619797</v>
      </c>
      <c r="T76" s="16">
        <f t="shared" si="32"/>
        <v>497255000</v>
      </c>
      <c r="U76" s="16">
        <f t="shared" si="32"/>
        <v>488859203</v>
      </c>
      <c r="V76" s="16">
        <f t="shared" si="32"/>
        <v>488347511</v>
      </c>
      <c r="W76" s="16">
        <f t="shared" si="32"/>
        <v>486834283</v>
      </c>
      <c r="X76" s="16">
        <f t="shared" si="32"/>
        <v>486468699</v>
      </c>
      <c r="Y76" s="16">
        <f t="shared" si="32"/>
        <v>474421340</v>
      </c>
      <c r="Z76" s="16">
        <f t="shared" si="32"/>
        <v>403819843</v>
      </c>
      <c r="AA76" s="16">
        <f t="shared" si="32"/>
        <v>375952216</v>
      </c>
      <c r="AB76" s="16">
        <f t="shared" si="32"/>
        <v>375952216</v>
      </c>
      <c r="AC76" s="16">
        <f t="shared" si="32"/>
        <v>497824800</v>
      </c>
      <c r="AD76" s="16">
        <f t="shared" si="32"/>
        <v>490634800</v>
      </c>
      <c r="AE76" s="16">
        <f t="shared" si="32"/>
        <v>489882123</v>
      </c>
      <c r="AF76" s="16">
        <f t="shared" si="32"/>
        <v>488639279</v>
      </c>
      <c r="AG76" s="16">
        <f t="shared" si="32"/>
        <v>488639279</v>
      </c>
      <c r="AH76" s="16">
        <f t="shared" si="32"/>
        <v>488639279</v>
      </c>
      <c r="AI76" s="16">
        <f t="shared" ref="AI76:BN76" si="33">SUM(AI44:AI75)</f>
        <v>488627596</v>
      </c>
      <c r="AJ76" s="16">
        <f t="shared" si="33"/>
        <v>488630661</v>
      </c>
      <c r="AK76" s="16">
        <f t="shared" si="33"/>
        <v>488710420</v>
      </c>
      <c r="AL76" s="16">
        <f t="shared" si="33"/>
        <v>488710420</v>
      </c>
      <c r="AM76" s="16">
        <f t="shared" si="33"/>
        <v>488655918</v>
      </c>
      <c r="AN76" s="16">
        <f t="shared" si="33"/>
        <v>370556721</v>
      </c>
      <c r="AO76" s="16">
        <f t="shared" si="33"/>
        <v>370556721</v>
      </c>
      <c r="AP76" s="16">
        <f t="shared" si="33"/>
        <v>349553934</v>
      </c>
      <c r="AQ76" s="16">
        <f t="shared" si="33"/>
        <v>349553934</v>
      </c>
      <c r="AR76" s="16">
        <f t="shared" si="33"/>
        <v>350295763</v>
      </c>
      <c r="AS76" s="16">
        <f t="shared" si="33"/>
        <v>350295763</v>
      </c>
      <c r="AT76" s="16">
        <f t="shared" si="33"/>
        <v>357564175</v>
      </c>
      <c r="AU76" s="16">
        <f t="shared" si="33"/>
        <v>359564175</v>
      </c>
      <c r="AV76" s="16">
        <f t="shared" si="33"/>
        <v>366956297</v>
      </c>
      <c r="AW76" s="16">
        <f t="shared" si="33"/>
        <v>371729087</v>
      </c>
      <c r="AX76" s="16">
        <f t="shared" si="33"/>
        <v>368545337</v>
      </c>
      <c r="AY76" s="16">
        <f t="shared" si="33"/>
        <v>370211007</v>
      </c>
      <c r="AZ76" s="16">
        <f t="shared" si="33"/>
        <v>372621007</v>
      </c>
      <c r="BA76" s="16">
        <f t="shared" si="33"/>
        <v>392666474</v>
      </c>
      <c r="BB76" s="16">
        <f t="shared" si="33"/>
        <v>392666474</v>
      </c>
      <c r="BC76" s="16">
        <f t="shared" si="33"/>
        <v>443704285</v>
      </c>
      <c r="BD76" s="16">
        <f t="shared" si="33"/>
        <v>443704285</v>
      </c>
      <c r="BE76" s="16">
        <f t="shared" si="33"/>
        <v>455812362</v>
      </c>
      <c r="BF76" s="16">
        <f t="shared" si="33"/>
        <v>454479562</v>
      </c>
      <c r="BG76" s="16">
        <f t="shared" si="33"/>
        <v>454479562</v>
      </c>
      <c r="BH76" s="16">
        <f t="shared" si="33"/>
        <v>455391467</v>
      </c>
      <c r="BI76" s="16">
        <f t="shared" si="33"/>
        <v>454534546</v>
      </c>
      <c r="BJ76" s="16">
        <f t="shared" si="33"/>
        <v>441947668</v>
      </c>
      <c r="BK76" s="16">
        <f t="shared" si="33"/>
        <v>385766884</v>
      </c>
      <c r="BL76" s="16">
        <f t="shared" si="33"/>
        <v>383073985</v>
      </c>
      <c r="BM76" s="16">
        <f t="shared" si="33"/>
        <v>382865741</v>
      </c>
      <c r="BN76" s="16">
        <f t="shared" si="33"/>
        <v>339609362</v>
      </c>
      <c r="BO76" s="16">
        <f t="shared" ref="BO76:CT76" si="34">SUM(BO44:BO75)</f>
        <v>339609362</v>
      </c>
      <c r="BP76" s="16">
        <f t="shared" si="34"/>
        <v>418874044</v>
      </c>
      <c r="BQ76" s="16">
        <f t="shared" si="34"/>
        <v>418874044</v>
      </c>
      <c r="BR76" s="16">
        <f t="shared" si="34"/>
        <v>416637032</v>
      </c>
      <c r="BS76" s="16">
        <f t="shared" si="34"/>
        <v>464945516</v>
      </c>
      <c r="BT76" s="16">
        <f t="shared" si="34"/>
        <v>464945516</v>
      </c>
      <c r="BU76" s="16">
        <f t="shared" si="34"/>
        <v>494780356</v>
      </c>
      <c r="BV76" s="16">
        <f t="shared" si="34"/>
        <v>568676520</v>
      </c>
      <c r="BW76" s="16">
        <f t="shared" si="34"/>
        <v>619792523</v>
      </c>
      <c r="BX76" s="16">
        <f t="shared" si="34"/>
        <v>568812090</v>
      </c>
      <c r="BY76" s="16">
        <f t="shared" si="34"/>
        <v>568812090</v>
      </c>
      <c r="BZ76" s="16">
        <f t="shared" si="34"/>
        <v>568812090</v>
      </c>
      <c r="CA76" s="16">
        <f t="shared" si="34"/>
        <v>561534365</v>
      </c>
      <c r="CB76" s="16">
        <f t="shared" si="34"/>
        <v>561534365</v>
      </c>
      <c r="CC76" s="16">
        <f t="shared" si="34"/>
        <v>734978985</v>
      </c>
      <c r="CD76" s="16">
        <f t="shared" si="34"/>
        <v>734978985</v>
      </c>
      <c r="CE76" s="16">
        <f t="shared" si="34"/>
        <v>734978985</v>
      </c>
      <c r="CF76" s="16">
        <f t="shared" si="34"/>
        <v>694978985</v>
      </c>
      <c r="CG76" s="16">
        <f t="shared" si="34"/>
        <v>694978985</v>
      </c>
      <c r="CH76" s="16">
        <f t="shared" si="34"/>
        <v>634996418</v>
      </c>
      <c r="CI76" s="16">
        <f t="shared" si="34"/>
        <v>634996418</v>
      </c>
      <c r="CJ76" s="16">
        <f t="shared" si="34"/>
        <v>634996418</v>
      </c>
      <c r="CK76" s="16">
        <f t="shared" si="34"/>
        <v>626363148</v>
      </c>
      <c r="CL76" s="16">
        <f t="shared" si="34"/>
        <v>623737148</v>
      </c>
      <c r="CM76" s="16">
        <f t="shared" si="34"/>
        <v>623737148</v>
      </c>
      <c r="CN76" s="16">
        <f t="shared" si="34"/>
        <v>509089824</v>
      </c>
      <c r="CO76" s="16">
        <f t="shared" si="34"/>
        <v>509089824</v>
      </c>
      <c r="CP76" s="16">
        <f t="shared" si="34"/>
        <v>654779916</v>
      </c>
      <c r="CQ76" s="16">
        <f t="shared" si="34"/>
        <v>654779916</v>
      </c>
      <c r="CR76" s="16">
        <f t="shared" si="34"/>
        <v>654779916</v>
      </c>
      <c r="CS76" s="16">
        <f t="shared" si="34"/>
        <v>654779916</v>
      </c>
      <c r="CT76" s="16">
        <f t="shared" si="34"/>
        <v>654779916</v>
      </c>
      <c r="CU76" s="16">
        <f t="shared" ref="CU76:DZ76" si="35">SUM(CU44:CU75)</f>
        <v>654779916</v>
      </c>
      <c r="CV76" s="16">
        <f t="shared" si="35"/>
        <v>654779916</v>
      </c>
      <c r="CW76" s="16">
        <f t="shared" si="35"/>
        <v>654779916</v>
      </c>
      <c r="CX76" s="16">
        <f t="shared" si="35"/>
        <v>654779916</v>
      </c>
      <c r="CY76" s="16">
        <f t="shared" si="35"/>
        <v>654779916</v>
      </c>
      <c r="CZ76" s="16">
        <f t="shared" si="35"/>
        <v>654647453</v>
      </c>
      <c r="DA76" s="16">
        <f t="shared" si="35"/>
        <v>398681879</v>
      </c>
      <c r="DB76" s="16">
        <f t="shared" si="35"/>
        <v>398681879</v>
      </c>
      <c r="DC76" s="16">
        <f t="shared" si="35"/>
        <v>644477775</v>
      </c>
      <c r="DD76" s="16">
        <f t="shared" si="35"/>
        <v>644477775</v>
      </c>
      <c r="DE76" s="16">
        <f t="shared" si="35"/>
        <v>644477775</v>
      </c>
      <c r="DF76" s="16">
        <f t="shared" si="35"/>
        <v>644477775</v>
      </c>
      <c r="DG76" s="16">
        <f t="shared" si="35"/>
        <v>554477775</v>
      </c>
      <c r="DH76" s="16">
        <f t="shared" si="35"/>
        <v>531477775</v>
      </c>
      <c r="DI76" s="16">
        <f t="shared" si="35"/>
        <v>528371344</v>
      </c>
      <c r="DJ76" s="16">
        <f t="shared" si="35"/>
        <v>523936178</v>
      </c>
      <c r="DK76" s="16">
        <f t="shared" si="35"/>
        <v>503435066</v>
      </c>
      <c r="DL76" s="16">
        <f t="shared" si="35"/>
        <v>503435066</v>
      </c>
      <c r="DM76" s="16">
        <f t="shared" si="35"/>
        <v>455586943</v>
      </c>
      <c r="DN76" s="16">
        <f t="shared" si="35"/>
        <v>327277098</v>
      </c>
      <c r="DO76" s="16">
        <f t="shared" si="35"/>
        <v>327277098</v>
      </c>
      <c r="DP76" s="16">
        <f t="shared" si="35"/>
        <v>710585291</v>
      </c>
      <c r="DQ76" s="16">
        <f t="shared" si="35"/>
        <v>706847731</v>
      </c>
      <c r="DR76" s="16">
        <f t="shared" si="35"/>
        <v>670645747</v>
      </c>
      <c r="DS76" s="16">
        <f t="shared" si="35"/>
        <v>665395891</v>
      </c>
      <c r="DT76" s="16">
        <f t="shared" si="35"/>
        <v>630377659</v>
      </c>
      <c r="DU76" s="16">
        <f t="shared" si="35"/>
        <v>627788119</v>
      </c>
      <c r="DV76" s="16">
        <f t="shared" si="35"/>
        <v>627788119</v>
      </c>
      <c r="DW76" s="16">
        <f t="shared" si="35"/>
        <v>607170489</v>
      </c>
      <c r="DX76" s="16">
        <f t="shared" si="35"/>
        <v>607170489</v>
      </c>
      <c r="DY76" s="16">
        <f t="shared" si="35"/>
        <v>607170489</v>
      </c>
      <c r="DZ76" s="16">
        <f t="shared" si="35"/>
        <v>537170489</v>
      </c>
      <c r="EA76" s="16">
        <f t="shared" ref="EA76:FF76" si="36">SUM(EA44:EA75)</f>
        <v>444104907</v>
      </c>
      <c r="EB76" s="16">
        <f t="shared" si="36"/>
        <v>444104907</v>
      </c>
      <c r="EC76" s="16">
        <f t="shared" si="36"/>
        <v>583310872</v>
      </c>
      <c r="ED76" s="16">
        <f t="shared" si="36"/>
        <v>583310872</v>
      </c>
      <c r="EE76" s="16">
        <f t="shared" si="36"/>
        <v>583310872</v>
      </c>
      <c r="EF76" s="16">
        <f t="shared" si="36"/>
        <v>638310872</v>
      </c>
      <c r="EG76" s="16">
        <f t="shared" si="36"/>
        <v>632110872</v>
      </c>
      <c r="EH76" s="16">
        <f t="shared" si="36"/>
        <v>629533813</v>
      </c>
      <c r="EI76" s="16">
        <f t="shared" si="36"/>
        <v>644533813</v>
      </c>
      <c r="EJ76" s="16">
        <f t="shared" si="36"/>
        <v>644533813</v>
      </c>
      <c r="EK76" s="16">
        <f t="shared" si="36"/>
        <v>644533813</v>
      </c>
      <c r="EL76" s="16">
        <f t="shared" si="36"/>
        <v>604141813</v>
      </c>
      <c r="EM76" s="16">
        <f t="shared" si="36"/>
        <v>594132686</v>
      </c>
      <c r="EN76" s="16">
        <f t="shared" si="36"/>
        <v>549547599</v>
      </c>
      <c r="EO76" s="16">
        <f t="shared" si="36"/>
        <v>549547599</v>
      </c>
      <c r="EP76" s="16">
        <f t="shared" si="36"/>
        <v>574148004</v>
      </c>
      <c r="EQ76" s="16">
        <f t="shared" si="36"/>
        <v>574182004</v>
      </c>
      <c r="ER76" s="16">
        <f t="shared" si="36"/>
        <v>567982004</v>
      </c>
      <c r="ES76" s="16">
        <f t="shared" si="36"/>
        <v>567982004</v>
      </c>
      <c r="ET76" s="16">
        <f t="shared" si="36"/>
        <v>567982004</v>
      </c>
      <c r="EU76" s="16">
        <f t="shared" si="36"/>
        <v>567982004</v>
      </c>
      <c r="EV76" s="16">
        <f t="shared" si="36"/>
        <v>567982004</v>
      </c>
      <c r="EW76" s="16">
        <f t="shared" si="36"/>
        <v>590853467</v>
      </c>
      <c r="EX76" s="16">
        <f t="shared" si="36"/>
        <v>607982004</v>
      </c>
      <c r="EY76" s="16">
        <f t="shared" si="36"/>
        <v>607982004</v>
      </c>
      <c r="EZ76" s="16">
        <f t="shared" si="36"/>
        <v>593423584</v>
      </c>
      <c r="FA76" s="16">
        <f t="shared" si="36"/>
        <v>534024550</v>
      </c>
      <c r="FB76" s="16">
        <f t="shared" si="36"/>
        <v>534024550</v>
      </c>
      <c r="FC76" s="16">
        <f t="shared" si="36"/>
        <v>648268110</v>
      </c>
      <c r="FD76" s="16">
        <f t="shared" si="36"/>
        <v>623490276</v>
      </c>
      <c r="FE76" s="16">
        <f t="shared" si="36"/>
        <v>623490276</v>
      </c>
      <c r="FF76" s="16">
        <f t="shared" si="36"/>
        <v>623490276</v>
      </c>
      <c r="FG76" s="16">
        <f t="shared" ref="FG76:GL76" si="37">SUM(FG44:FG75)</f>
        <v>558585548</v>
      </c>
      <c r="FH76" s="16">
        <f t="shared" si="37"/>
        <v>558585548</v>
      </c>
      <c r="FI76" s="16">
        <f t="shared" si="37"/>
        <v>558585548</v>
      </c>
      <c r="FJ76" s="16">
        <f t="shared" si="37"/>
        <v>0</v>
      </c>
      <c r="FK76" s="16">
        <f t="shared" si="37"/>
        <v>0</v>
      </c>
      <c r="FL76" s="16">
        <f t="shared" si="37"/>
        <v>0</v>
      </c>
      <c r="FM76" s="16">
        <f t="shared" si="37"/>
        <v>0</v>
      </c>
      <c r="FN76" s="16">
        <f t="shared" si="37"/>
        <v>0</v>
      </c>
      <c r="FO76" s="16">
        <f t="shared" si="37"/>
        <v>558585548</v>
      </c>
    </row>
    <row r="77" spans="2:171" ht="14.25" customHeight="1" x14ac:dyDescent="0.3">
      <c r="B77" s="4" t="s">
        <v>78</v>
      </c>
    </row>
    <row r="78" spans="2:171" ht="14.25" customHeight="1" x14ac:dyDescent="0.3">
      <c r="C78" s="38" t="s">
        <v>4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8" t="s">
        <v>5</v>
      </c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8" t="s">
        <v>6</v>
      </c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8" t="s">
        <v>7</v>
      </c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8" t="s">
        <v>8</v>
      </c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8" t="s">
        <v>9</v>
      </c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8" t="s">
        <v>10</v>
      </c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8" t="s">
        <v>11</v>
      </c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8" t="s">
        <v>12</v>
      </c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8" t="s">
        <v>13</v>
      </c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8" t="s">
        <v>14</v>
      </c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8" t="s">
        <v>15</v>
      </c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8" t="s">
        <v>16</v>
      </c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</row>
    <row r="79" spans="2:171" ht="14.25" customHeight="1" x14ac:dyDescent="0.3">
      <c r="B79" s="5" t="s">
        <v>17</v>
      </c>
      <c r="C79" s="6" t="s">
        <v>18</v>
      </c>
      <c r="D79" s="6" t="s">
        <v>19</v>
      </c>
      <c r="E79" s="6" t="s">
        <v>20</v>
      </c>
      <c r="F79" s="6" t="s">
        <v>21</v>
      </c>
      <c r="G79" s="6" t="s">
        <v>22</v>
      </c>
      <c r="H79" s="6" t="s">
        <v>23</v>
      </c>
      <c r="I79" s="6" t="s">
        <v>24</v>
      </c>
      <c r="J79" s="6" t="s">
        <v>25</v>
      </c>
      <c r="K79" s="6" t="s">
        <v>26</v>
      </c>
      <c r="L79" s="6" t="s">
        <v>27</v>
      </c>
      <c r="M79" s="6" t="s">
        <v>28</v>
      </c>
      <c r="N79" s="6" t="s">
        <v>29</v>
      </c>
      <c r="O79" s="6" t="s">
        <v>30</v>
      </c>
      <c r="P79" s="6" t="s">
        <v>18</v>
      </c>
      <c r="Q79" s="6" t="s">
        <v>19</v>
      </c>
      <c r="R79" s="6" t="s">
        <v>20</v>
      </c>
      <c r="S79" s="6" t="s">
        <v>21</v>
      </c>
      <c r="T79" s="6" t="s">
        <v>22</v>
      </c>
      <c r="U79" s="6" t="s">
        <v>23</v>
      </c>
      <c r="V79" s="6" t="s">
        <v>24</v>
      </c>
      <c r="W79" s="6" t="s">
        <v>25</v>
      </c>
      <c r="X79" s="6" t="s">
        <v>26</v>
      </c>
      <c r="Y79" s="6" t="s">
        <v>27</v>
      </c>
      <c r="Z79" s="6" t="s">
        <v>28</v>
      </c>
      <c r="AA79" s="6" t="s">
        <v>29</v>
      </c>
      <c r="AB79" s="6" t="s">
        <v>31</v>
      </c>
      <c r="AC79" s="6" t="s">
        <v>18</v>
      </c>
      <c r="AD79" s="6" t="s">
        <v>19</v>
      </c>
      <c r="AE79" s="6" t="s">
        <v>20</v>
      </c>
      <c r="AF79" s="6" t="s">
        <v>21</v>
      </c>
      <c r="AG79" s="6" t="s">
        <v>22</v>
      </c>
      <c r="AH79" s="6" t="s">
        <v>23</v>
      </c>
      <c r="AI79" s="6" t="s">
        <v>24</v>
      </c>
      <c r="AJ79" s="6" t="s">
        <v>25</v>
      </c>
      <c r="AK79" s="6" t="s">
        <v>26</v>
      </c>
      <c r="AL79" s="6" t="s">
        <v>27</v>
      </c>
      <c r="AM79" s="6" t="s">
        <v>28</v>
      </c>
      <c r="AN79" s="6" t="s">
        <v>29</v>
      </c>
      <c r="AO79" s="6" t="s">
        <v>32</v>
      </c>
      <c r="AP79" s="6" t="s">
        <v>18</v>
      </c>
      <c r="AQ79" s="6" t="s">
        <v>19</v>
      </c>
      <c r="AR79" s="6" t="s">
        <v>20</v>
      </c>
      <c r="AS79" s="6" t="s">
        <v>21</v>
      </c>
      <c r="AT79" s="6" t="s">
        <v>22</v>
      </c>
      <c r="AU79" s="6" t="s">
        <v>23</v>
      </c>
      <c r="AV79" s="6" t="s">
        <v>24</v>
      </c>
      <c r="AW79" s="6" t="s">
        <v>25</v>
      </c>
      <c r="AX79" s="6" t="s">
        <v>26</v>
      </c>
      <c r="AY79" s="6" t="s">
        <v>27</v>
      </c>
      <c r="AZ79" s="6" t="s">
        <v>28</v>
      </c>
      <c r="BA79" s="6" t="s">
        <v>29</v>
      </c>
      <c r="BB79" s="6" t="s">
        <v>33</v>
      </c>
      <c r="BC79" s="6" t="s">
        <v>18</v>
      </c>
      <c r="BD79" s="6" t="s">
        <v>19</v>
      </c>
      <c r="BE79" s="6" t="s">
        <v>20</v>
      </c>
      <c r="BF79" s="6" t="s">
        <v>21</v>
      </c>
      <c r="BG79" s="6" t="s">
        <v>22</v>
      </c>
      <c r="BH79" s="6" t="s">
        <v>23</v>
      </c>
      <c r="BI79" s="6" t="s">
        <v>24</v>
      </c>
      <c r="BJ79" s="6" t="s">
        <v>25</v>
      </c>
      <c r="BK79" s="6" t="s">
        <v>26</v>
      </c>
      <c r="BL79" s="6" t="s">
        <v>27</v>
      </c>
      <c r="BM79" s="6" t="s">
        <v>28</v>
      </c>
      <c r="BN79" s="6" t="s">
        <v>29</v>
      </c>
      <c r="BO79" s="6" t="s">
        <v>34</v>
      </c>
      <c r="BP79" s="6" t="s">
        <v>18</v>
      </c>
      <c r="BQ79" s="6" t="s">
        <v>19</v>
      </c>
      <c r="BR79" s="6" t="s">
        <v>20</v>
      </c>
      <c r="BS79" s="6" t="s">
        <v>21</v>
      </c>
      <c r="BT79" s="6" t="s">
        <v>22</v>
      </c>
      <c r="BU79" s="6" t="s">
        <v>23</v>
      </c>
      <c r="BV79" s="6" t="s">
        <v>24</v>
      </c>
      <c r="BW79" s="6" t="s">
        <v>25</v>
      </c>
      <c r="BX79" s="6" t="s">
        <v>26</v>
      </c>
      <c r="BY79" s="6" t="s">
        <v>27</v>
      </c>
      <c r="BZ79" s="6" t="s">
        <v>28</v>
      </c>
      <c r="CA79" s="6" t="s">
        <v>29</v>
      </c>
      <c r="CB79" s="6" t="s">
        <v>35</v>
      </c>
      <c r="CC79" s="6" t="s">
        <v>18</v>
      </c>
      <c r="CD79" s="6" t="s">
        <v>19</v>
      </c>
      <c r="CE79" s="6" t="s">
        <v>20</v>
      </c>
      <c r="CF79" s="6" t="s">
        <v>21</v>
      </c>
      <c r="CG79" s="6" t="s">
        <v>22</v>
      </c>
      <c r="CH79" s="6" t="s">
        <v>23</v>
      </c>
      <c r="CI79" s="6" t="s">
        <v>24</v>
      </c>
      <c r="CJ79" s="6" t="s">
        <v>25</v>
      </c>
      <c r="CK79" s="6" t="s">
        <v>26</v>
      </c>
      <c r="CL79" s="6" t="s">
        <v>27</v>
      </c>
      <c r="CM79" s="6" t="s">
        <v>28</v>
      </c>
      <c r="CN79" s="6" t="s">
        <v>29</v>
      </c>
      <c r="CO79" s="6" t="s">
        <v>36</v>
      </c>
      <c r="CP79" s="6" t="s">
        <v>18</v>
      </c>
      <c r="CQ79" s="6" t="s">
        <v>19</v>
      </c>
      <c r="CR79" s="6" t="s">
        <v>20</v>
      </c>
      <c r="CS79" s="6" t="s">
        <v>21</v>
      </c>
      <c r="CT79" s="6" t="s">
        <v>22</v>
      </c>
      <c r="CU79" s="6" t="s">
        <v>23</v>
      </c>
      <c r="CV79" s="6" t="s">
        <v>24</v>
      </c>
      <c r="CW79" s="6" t="s">
        <v>25</v>
      </c>
      <c r="CX79" s="6" t="s">
        <v>26</v>
      </c>
      <c r="CY79" s="6" t="s">
        <v>27</v>
      </c>
      <c r="CZ79" s="6" t="s">
        <v>28</v>
      </c>
      <c r="DA79" s="6" t="s">
        <v>29</v>
      </c>
      <c r="DB79" s="6" t="s">
        <v>37</v>
      </c>
      <c r="DC79" s="6" t="s">
        <v>18</v>
      </c>
      <c r="DD79" s="6" t="s">
        <v>19</v>
      </c>
      <c r="DE79" s="6" t="s">
        <v>20</v>
      </c>
      <c r="DF79" s="6" t="s">
        <v>21</v>
      </c>
      <c r="DG79" s="6" t="s">
        <v>22</v>
      </c>
      <c r="DH79" s="6" t="s">
        <v>23</v>
      </c>
      <c r="DI79" s="6" t="s">
        <v>24</v>
      </c>
      <c r="DJ79" s="6" t="s">
        <v>25</v>
      </c>
      <c r="DK79" s="6" t="s">
        <v>26</v>
      </c>
      <c r="DL79" s="6" t="s">
        <v>27</v>
      </c>
      <c r="DM79" s="6" t="s">
        <v>28</v>
      </c>
      <c r="DN79" s="6" t="s">
        <v>29</v>
      </c>
      <c r="DO79" s="6" t="s">
        <v>38</v>
      </c>
      <c r="DP79" s="6" t="s">
        <v>18</v>
      </c>
      <c r="DQ79" s="6" t="s">
        <v>19</v>
      </c>
      <c r="DR79" s="6" t="s">
        <v>20</v>
      </c>
      <c r="DS79" s="6" t="s">
        <v>21</v>
      </c>
      <c r="DT79" s="6" t="s">
        <v>22</v>
      </c>
      <c r="DU79" s="6" t="s">
        <v>23</v>
      </c>
      <c r="DV79" s="6" t="s">
        <v>24</v>
      </c>
      <c r="DW79" s="6" t="s">
        <v>25</v>
      </c>
      <c r="DX79" s="6" t="s">
        <v>26</v>
      </c>
      <c r="DY79" s="6" t="s">
        <v>27</v>
      </c>
      <c r="DZ79" s="6" t="s">
        <v>28</v>
      </c>
      <c r="EA79" s="6" t="s">
        <v>29</v>
      </c>
      <c r="EB79" s="6" t="s">
        <v>39</v>
      </c>
      <c r="EC79" s="6" t="s">
        <v>18</v>
      </c>
      <c r="ED79" s="6" t="s">
        <v>19</v>
      </c>
      <c r="EE79" s="6" t="s">
        <v>20</v>
      </c>
      <c r="EF79" s="6" t="s">
        <v>21</v>
      </c>
      <c r="EG79" s="6" t="s">
        <v>22</v>
      </c>
      <c r="EH79" s="6" t="s">
        <v>23</v>
      </c>
      <c r="EI79" s="6" t="s">
        <v>24</v>
      </c>
      <c r="EJ79" s="6" t="s">
        <v>25</v>
      </c>
      <c r="EK79" s="6" t="s">
        <v>26</v>
      </c>
      <c r="EL79" s="6" t="s">
        <v>27</v>
      </c>
      <c r="EM79" s="6" t="s">
        <v>28</v>
      </c>
      <c r="EN79" s="6" t="s">
        <v>29</v>
      </c>
      <c r="EO79" s="6" t="s">
        <v>40</v>
      </c>
      <c r="EP79" s="6" t="s">
        <v>18</v>
      </c>
      <c r="EQ79" s="6" t="s">
        <v>19</v>
      </c>
      <c r="ER79" s="6" t="s">
        <v>20</v>
      </c>
      <c r="ES79" s="6" t="s">
        <v>21</v>
      </c>
      <c r="ET79" s="6" t="s">
        <v>22</v>
      </c>
      <c r="EU79" s="6" t="s">
        <v>23</v>
      </c>
      <c r="EV79" s="6" t="s">
        <v>24</v>
      </c>
      <c r="EW79" s="6" t="s">
        <v>25</v>
      </c>
      <c r="EX79" s="6" t="s">
        <v>26</v>
      </c>
      <c r="EY79" s="6" t="s">
        <v>27</v>
      </c>
      <c r="EZ79" s="6" t="s">
        <v>28</v>
      </c>
      <c r="FA79" s="6" t="s">
        <v>29</v>
      </c>
      <c r="FB79" s="6" t="s">
        <v>41</v>
      </c>
      <c r="FC79" s="6" t="s">
        <v>18</v>
      </c>
      <c r="FD79" s="6" t="s">
        <v>19</v>
      </c>
      <c r="FE79" s="6" t="s">
        <v>20</v>
      </c>
      <c r="FF79" s="6" t="s">
        <v>21</v>
      </c>
      <c r="FG79" s="6" t="s">
        <v>22</v>
      </c>
      <c r="FH79" s="6" t="s">
        <v>23</v>
      </c>
      <c r="FI79" s="6" t="s">
        <v>24</v>
      </c>
      <c r="FJ79" s="6" t="s">
        <v>25</v>
      </c>
      <c r="FK79" s="6" t="s">
        <v>26</v>
      </c>
      <c r="FL79" s="6" t="s">
        <v>27</v>
      </c>
      <c r="FM79" s="6" t="s">
        <v>28</v>
      </c>
      <c r="FN79" s="6" t="s">
        <v>29</v>
      </c>
      <c r="FO79" s="6" t="s">
        <v>42</v>
      </c>
    </row>
    <row r="80" spans="2:171" ht="14.25" customHeight="1" x14ac:dyDescent="0.3">
      <c r="B80" s="7" t="s">
        <v>43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18274</v>
      </c>
      <c r="O80" s="9">
        <f t="shared" ref="O80:O111" si="38">N80</f>
        <v>18274</v>
      </c>
      <c r="P80" s="8">
        <v>0</v>
      </c>
      <c r="Q80" s="8">
        <v>0</v>
      </c>
      <c r="R80" s="8">
        <v>9137</v>
      </c>
      <c r="S80" s="8">
        <v>9137</v>
      </c>
      <c r="T80" s="8">
        <v>13706</v>
      </c>
      <c r="U80" s="8">
        <v>13706</v>
      </c>
      <c r="V80" s="8">
        <v>61676</v>
      </c>
      <c r="W80" s="8">
        <v>61676</v>
      </c>
      <c r="X80" s="8">
        <v>61676</v>
      </c>
      <c r="Y80" s="8">
        <v>61676</v>
      </c>
      <c r="Z80" s="8">
        <v>61676</v>
      </c>
      <c r="AA80" s="8">
        <v>126440</v>
      </c>
      <c r="AB80" s="9">
        <f t="shared" ref="AB80:AB111" si="39">AA80</f>
        <v>126440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10600</v>
      </c>
      <c r="AN80" s="8">
        <v>72643</v>
      </c>
      <c r="AO80" s="9">
        <f t="shared" ref="AO80:AO111" si="40">AN80</f>
        <v>72643</v>
      </c>
      <c r="AP80" s="8">
        <v>12860</v>
      </c>
      <c r="AQ80" s="8">
        <v>15183</v>
      </c>
      <c r="AR80" s="8">
        <v>15733</v>
      </c>
      <c r="AS80" s="8">
        <v>29155</v>
      </c>
      <c r="AT80" s="8">
        <v>47966</v>
      </c>
      <c r="AU80" s="8">
        <v>71070</v>
      </c>
      <c r="AV80" s="8">
        <v>108892</v>
      </c>
      <c r="AW80" s="8">
        <v>137892</v>
      </c>
      <c r="AX80" s="8">
        <v>156703</v>
      </c>
      <c r="AY80" s="8">
        <v>186175</v>
      </c>
      <c r="AZ80" s="8">
        <v>214308</v>
      </c>
      <c r="BA80" s="8">
        <v>234908</v>
      </c>
      <c r="BB80" s="9">
        <f t="shared" ref="BB80:BB111" si="41">BA80</f>
        <v>234908</v>
      </c>
      <c r="BC80" s="8">
        <v>0</v>
      </c>
      <c r="BD80" s="8">
        <v>0</v>
      </c>
      <c r="BE80" s="8">
        <v>0</v>
      </c>
      <c r="BF80" s="8">
        <v>0</v>
      </c>
      <c r="BG80" s="8">
        <v>0</v>
      </c>
      <c r="BH80" s="8">
        <v>0</v>
      </c>
      <c r="BI80" s="8">
        <v>0</v>
      </c>
      <c r="BJ80" s="8">
        <v>0</v>
      </c>
      <c r="BK80" s="8">
        <v>0</v>
      </c>
      <c r="BL80" s="8">
        <v>0</v>
      </c>
      <c r="BM80" s="8">
        <v>0</v>
      </c>
      <c r="BN80" s="8">
        <v>0</v>
      </c>
      <c r="BO80" s="9">
        <f t="shared" ref="BO80:BO111" si="42">BN80</f>
        <v>0</v>
      </c>
      <c r="BP80" s="8">
        <v>0</v>
      </c>
      <c r="BQ80" s="8">
        <v>0</v>
      </c>
      <c r="BR80" s="8">
        <v>0</v>
      </c>
      <c r="BS80" s="8">
        <v>0</v>
      </c>
      <c r="BT80" s="8">
        <v>0</v>
      </c>
      <c r="BU80" s="8">
        <v>0</v>
      </c>
      <c r="BV80" s="8">
        <v>0</v>
      </c>
      <c r="BW80" s="8">
        <v>0</v>
      </c>
      <c r="BX80" s="8">
        <v>0</v>
      </c>
      <c r="BY80" s="8">
        <v>0</v>
      </c>
      <c r="BZ80" s="8">
        <v>0</v>
      </c>
      <c r="CA80" s="8">
        <v>0</v>
      </c>
      <c r="CB80" s="9">
        <f t="shared" ref="CB80:CB111" si="43">CA80</f>
        <v>0</v>
      </c>
      <c r="CC80" s="8">
        <v>0</v>
      </c>
      <c r="CD80" s="8">
        <v>0</v>
      </c>
      <c r="CE80" s="8">
        <v>0</v>
      </c>
      <c r="CF80" s="8">
        <v>0</v>
      </c>
      <c r="CG80" s="8">
        <v>0</v>
      </c>
      <c r="CH80" s="8">
        <v>0</v>
      </c>
      <c r="CI80" s="8">
        <v>0</v>
      </c>
      <c r="CJ80" s="8">
        <v>0</v>
      </c>
      <c r="CK80" s="8">
        <v>0</v>
      </c>
      <c r="CL80" s="8">
        <v>0</v>
      </c>
      <c r="CM80" s="8">
        <v>0</v>
      </c>
      <c r="CN80" s="8">
        <v>0</v>
      </c>
      <c r="CO80" s="9">
        <f t="shared" ref="CO80:CO111" si="44">CN80</f>
        <v>0</v>
      </c>
      <c r="CP80" s="8">
        <v>0</v>
      </c>
      <c r="CQ80" s="8">
        <v>0</v>
      </c>
      <c r="CR80" s="8">
        <v>0</v>
      </c>
      <c r="CS80" s="8">
        <v>0</v>
      </c>
      <c r="CT80" s="8">
        <v>0</v>
      </c>
      <c r="CU80" s="8">
        <v>0</v>
      </c>
      <c r="CV80" s="8">
        <v>0</v>
      </c>
      <c r="CW80" s="8">
        <v>0</v>
      </c>
      <c r="CX80" s="8">
        <v>0</v>
      </c>
      <c r="CY80" s="8">
        <v>0</v>
      </c>
      <c r="CZ80" s="8">
        <v>0</v>
      </c>
      <c r="DA80" s="8">
        <v>2970</v>
      </c>
      <c r="DB80" s="9">
        <f t="shared" ref="DB80:DB111" si="45">DA80</f>
        <v>2970</v>
      </c>
      <c r="DC80" s="8">
        <v>2970</v>
      </c>
      <c r="DD80" s="8">
        <v>6930</v>
      </c>
      <c r="DE80" s="8">
        <v>6930</v>
      </c>
      <c r="DF80" s="8">
        <v>6930</v>
      </c>
      <c r="DG80" s="8">
        <v>6930</v>
      </c>
      <c r="DH80" s="8">
        <v>6930</v>
      </c>
      <c r="DI80" s="8">
        <v>6930</v>
      </c>
      <c r="DJ80" s="8">
        <v>6930</v>
      </c>
      <c r="DK80" s="8">
        <v>6930</v>
      </c>
      <c r="DL80" s="8">
        <v>6930</v>
      </c>
      <c r="DM80" s="8">
        <v>6930</v>
      </c>
      <c r="DN80" s="8">
        <v>198608</v>
      </c>
      <c r="DO80" s="9">
        <f t="shared" ref="DO80:DO111" si="46">DN80</f>
        <v>198608</v>
      </c>
      <c r="DP80" s="8">
        <v>0</v>
      </c>
      <c r="DQ80" s="8">
        <v>0</v>
      </c>
      <c r="DR80" s="8">
        <v>0</v>
      </c>
      <c r="DS80" s="8">
        <v>0</v>
      </c>
      <c r="DT80" s="8">
        <v>0</v>
      </c>
      <c r="DU80" s="8">
        <v>41512</v>
      </c>
      <c r="DV80" s="8">
        <v>41512</v>
      </c>
      <c r="DW80" s="8">
        <v>41512</v>
      </c>
      <c r="DX80" s="8">
        <v>41512</v>
      </c>
      <c r="DY80" s="8">
        <v>41512</v>
      </c>
      <c r="DZ80" s="8">
        <v>201244</v>
      </c>
      <c r="EA80" s="8">
        <v>319464</v>
      </c>
      <c r="EB80" s="9">
        <f t="shared" ref="EB80:EB111" si="47">EA80</f>
        <v>319464</v>
      </c>
      <c r="EC80" s="8">
        <v>23577</v>
      </c>
      <c r="ED80" s="8">
        <v>23577</v>
      </c>
      <c r="EE80" s="8">
        <v>23577</v>
      </c>
      <c r="EF80" s="8">
        <v>23577</v>
      </c>
      <c r="EG80" s="8">
        <v>23577</v>
      </c>
      <c r="EH80" s="8">
        <v>23577</v>
      </c>
      <c r="EI80" s="8">
        <v>23577</v>
      </c>
      <c r="EJ80" s="8">
        <v>183309</v>
      </c>
      <c r="EK80" s="8">
        <v>183309</v>
      </c>
      <c r="EL80" s="8">
        <v>183309</v>
      </c>
      <c r="EM80" s="8">
        <v>231807</v>
      </c>
      <c r="EN80" s="8">
        <v>655474</v>
      </c>
      <c r="EO80" s="9">
        <f t="shared" ref="EO80:EO111" si="48">EN80</f>
        <v>655474</v>
      </c>
      <c r="EP80" s="8">
        <v>0</v>
      </c>
      <c r="EQ80" s="8">
        <v>138356</v>
      </c>
      <c r="ER80" s="8">
        <v>460131</v>
      </c>
      <c r="ES80" s="8">
        <v>460131</v>
      </c>
      <c r="ET80" s="8">
        <v>496450</v>
      </c>
      <c r="EU80" s="8">
        <v>496450</v>
      </c>
      <c r="EV80" s="8">
        <v>496450</v>
      </c>
      <c r="EW80" s="8">
        <v>707580</v>
      </c>
      <c r="EX80" s="8">
        <v>707580</v>
      </c>
      <c r="EY80" s="8">
        <v>707580</v>
      </c>
      <c r="EZ80" s="8">
        <v>707580</v>
      </c>
      <c r="FA80" s="8">
        <v>707580</v>
      </c>
      <c r="FB80" s="9">
        <f t="shared" ref="FB80:FB111" si="49">FA80</f>
        <v>707580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/>
      <c r="FK80" s="8"/>
      <c r="FL80" s="8"/>
      <c r="FM80" s="8"/>
      <c r="FN80" s="8"/>
      <c r="FO80" s="9">
        <f t="shared" ref="FO80:FO111" si="50">FI80</f>
        <v>0</v>
      </c>
    </row>
    <row r="81" spans="2:171" ht="14.25" customHeight="1" x14ac:dyDescent="0.3">
      <c r="B81" s="7" t="s">
        <v>44</v>
      </c>
      <c r="C81" s="8">
        <v>0</v>
      </c>
      <c r="D81" s="8">
        <v>0</v>
      </c>
      <c r="E81" s="8">
        <v>250248</v>
      </c>
      <c r="F81" s="8">
        <v>338777</v>
      </c>
      <c r="G81" s="8">
        <v>439496</v>
      </c>
      <c r="H81" s="8">
        <v>439496</v>
      </c>
      <c r="I81" s="8">
        <v>514529</v>
      </c>
      <c r="J81" s="8">
        <v>621936</v>
      </c>
      <c r="K81" s="8">
        <v>633794</v>
      </c>
      <c r="L81" s="8">
        <v>636503</v>
      </c>
      <c r="M81" s="8">
        <v>799873</v>
      </c>
      <c r="N81" s="8">
        <v>811954</v>
      </c>
      <c r="O81" s="9">
        <f t="shared" si="38"/>
        <v>811954</v>
      </c>
      <c r="P81" s="8">
        <v>0</v>
      </c>
      <c r="Q81" s="8">
        <v>0</v>
      </c>
      <c r="R81" s="8">
        <v>0</v>
      </c>
      <c r="S81" s="8">
        <v>5921</v>
      </c>
      <c r="T81" s="8">
        <v>5921</v>
      </c>
      <c r="U81" s="8">
        <v>109570</v>
      </c>
      <c r="V81" s="8">
        <v>242651</v>
      </c>
      <c r="W81" s="8">
        <v>313266</v>
      </c>
      <c r="X81" s="8">
        <v>434350</v>
      </c>
      <c r="Y81" s="8">
        <v>422320</v>
      </c>
      <c r="Z81" s="8">
        <v>484177</v>
      </c>
      <c r="AA81" s="8">
        <v>1071651</v>
      </c>
      <c r="AB81" s="9">
        <f t="shared" si="39"/>
        <v>1071651</v>
      </c>
      <c r="AC81" s="8">
        <v>0</v>
      </c>
      <c r="AD81" s="8">
        <v>8328</v>
      </c>
      <c r="AE81" s="8">
        <v>21653</v>
      </c>
      <c r="AF81" s="8">
        <v>29317</v>
      </c>
      <c r="AG81" s="8">
        <v>255075</v>
      </c>
      <c r="AH81" s="8">
        <v>289979</v>
      </c>
      <c r="AI81" s="8">
        <v>383152</v>
      </c>
      <c r="AJ81" s="8">
        <v>693407</v>
      </c>
      <c r="AK81" s="8">
        <v>706331</v>
      </c>
      <c r="AL81" s="8">
        <v>998191</v>
      </c>
      <c r="AM81" s="8">
        <v>1008191</v>
      </c>
      <c r="AN81" s="8">
        <v>1143519</v>
      </c>
      <c r="AO81" s="9">
        <f t="shared" si="40"/>
        <v>1143519</v>
      </c>
      <c r="AP81" s="8">
        <v>0</v>
      </c>
      <c r="AQ81" s="8">
        <v>0</v>
      </c>
      <c r="AR81" s="8">
        <v>0</v>
      </c>
      <c r="AS81" s="8">
        <v>78</v>
      </c>
      <c r="AT81" s="8">
        <v>1164979</v>
      </c>
      <c r="AU81" s="8">
        <v>1180015</v>
      </c>
      <c r="AV81" s="8">
        <v>1272041</v>
      </c>
      <c r="AW81" s="8">
        <v>1549472</v>
      </c>
      <c r="AX81" s="8">
        <v>1817385</v>
      </c>
      <c r="AY81" s="8">
        <v>2077433</v>
      </c>
      <c r="AZ81" s="8">
        <v>2637716</v>
      </c>
      <c r="BA81" s="8">
        <v>2997453</v>
      </c>
      <c r="BB81" s="9">
        <f t="shared" si="41"/>
        <v>2997453</v>
      </c>
      <c r="BC81" s="8">
        <v>0</v>
      </c>
      <c r="BD81" s="8">
        <v>0</v>
      </c>
      <c r="BE81" s="8">
        <v>646462</v>
      </c>
      <c r="BF81" s="8">
        <v>651073</v>
      </c>
      <c r="BG81" s="8">
        <v>676358</v>
      </c>
      <c r="BH81" s="8">
        <v>683039</v>
      </c>
      <c r="BI81" s="8">
        <v>691021</v>
      </c>
      <c r="BJ81" s="8">
        <v>707176</v>
      </c>
      <c r="BK81" s="8">
        <v>973753</v>
      </c>
      <c r="BL81" s="8">
        <v>1161262</v>
      </c>
      <c r="BM81" s="8">
        <v>1167652</v>
      </c>
      <c r="BN81" s="8">
        <v>1693597</v>
      </c>
      <c r="BO81" s="9">
        <f t="shared" si="42"/>
        <v>1693597</v>
      </c>
      <c r="BP81" s="8">
        <v>0</v>
      </c>
      <c r="BQ81" s="8">
        <v>0</v>
      </c>
      <c r="BR81" s="8">
        <v>0</v>
      </c>
      <c r="BS81" s="8">
        <v>0</v>
      </c>
      <c r="BT81" s="8">
        <v>350605</v>
      </c>
      <c r="BU81" s="8">
        <v>358916</v>
      </c>
      <c r="BV81" s="8">
        <v>367958</v>
      </c>
      <c r="BW81" s="8">
        <v>515473</v>
      </c>
      <c r="BX81" s="8">
        <v>522875</v>
      </c>
      <c r="BY81" s="8">
        <v>522875</v>
      </c>
      <c r="BZ81" s="8">
        <v>522912</v>
      </c>
      <c r="CA81" s="8">
        <v>744822</v>
      </c>
      <c r="CB81" s="9">
        <f t="shared" si="43"/>
        <v>744822</v>
      </c>
      <c r="CC81" s="8">
        <v>0</v>
      </c>
      <c r="CD81" s="8">
        <v>0</v>
      </c>
      <c r="CE81" s="8">
        <v>18026</v>
      </c>
      <c r="CF81" s="8">
        <v>25897</v>
      </c>
      <c r="CG81" s="8">
        <v>31532</v>
      </c>
      <c r="CH81" s="8">
        <v>39452</v>
      </c>
      <c r="CI81" s="8">
        <v>593047</v>
      </c>
      <c r="CJ81" s="8">
        <v>686256</v>
      </c>
      <c r="CK81" s="8">
        <v>692942</v>
      </c>
      <c r="CL81" s="8">
        <v>700181</v>
      </c>
      <c r="CM81" s="8">
        <v>864838</v>
      </c>
      <c r="CN81" s="8">
        <v>1132282</v>
      </c>
      <c r="CO81" s="9">
        <f t="shared" si="44"/>
        <v>1132282</v>
      </c>
      <c r="CP81" s="8">
        <v>0</v>
      </c>
      <c r="CQ81" s="8">
        <v>92988</v>
      </c>
      <c r="CR81" s="8">
        <v>97642</v>
      </c>
      <c r="CS81" s="8">
        <v>103528</v>
      </c>
      <c r="CT81" s="8">
        <v>148337</v>
      </c>
      <c r="CU81" s="8">
        <v>303232</v>
      </c>
      <c r="CV81" s="8">
        <v>630041</v>
      </c>
      <c r="CW81" s="8">
        <v>965549</v>
      </c>
      <c r="CX81" s="8">
        <v>975935</v>
      </c>
      <c r="CY81" s="8">
        <v>984603</v>
      </c>
      <c r="CZ81" s="8">
        <v>1575334</v>
      </c>
      <c r="DA81" s="8">
        <v>1944971</v>
      </c>
      <c r="DB81" s="9">
        <f t="shared" si="45"/>
        <v>1944971</v>
      </c>
      <c r="DC81" s="8">
        <v>0</v>
      </c>
      <c r="DD81" s="8">
        <v>0</v>
      </c>
      <c r="DE81" s="8">
        <v>16627</v>
      </c>
      <c r="DF81" s="8">
        <v>322685</v>
      </c>
      <c r="DG81" s="8">
        <v>341136</v>
      </c>
      <c r="DH81" s="8">
        <v>688597</v>
      </c>
      <c r="DI81" s="8">
        <v>815528</v>
      </c>
      <c r="DJ81" s="8">
        <v>934499</v>
      </c>
      <c r="DK81" s="8">
        <v>1014976</v>
      </c>
      <c r="DL81" s="8">
        <v>1083133</v>
      </c>
      <c r="DM81" s="8">
        <v>1162517</v>
      </c>
      <c r="DN81" s="8">
        <v>1499447</v>
      </c>
      <c r="DO81" s="9">
        <f t="shared" si="46"/>
        <v>1499447</v>
      </c>
      <c r="DP81" s="8">
        <v>0</v>
      </c>
      <c r="DQ81" s="8">
        <v>118763</v>
      </c>
      <c r="DR81" s="8">
        <v>350112</v>
      </c>
      <c r="DS81" s="8">
        <v>456403</v>
      </c>
      <c r="DT81" s="8">
        <v>601738</v>
      </c>
      <c r="DU81" s="8">
        <v>880069</v>
      </c>
      <c r="DV81" s="8">
        <v>1190080</v>
      </c>
      <c r="DW81" s="8">
        <v>1835946</v>
      </c>
      <c r="DX81" s="8">
        <v>2131892</v>
      </c>
      <c r="DY81" s="8">
        <v>2306275</v>
      </c>
      <c r="DZ81" s="8">
        <v>2515365</v>
      </c>
      <c r="EA81" s="8">
        <v>2759829</v>
      </c>
      <c r="EB81" s="9">
        <f t="shared" si="47"/>
        <v>2759829</v>
      </c>
      <c r="EC81" s="8">
        <v>0</v>
      </c>
      <c r="ED81" s="8">
        <v>0</v>
      </c>
      <c r="EE81" s="8">
        <v>585262</v>
      </c>
      <c r="EF81" s="8">
        <v>868990</v>
      </c>
      <c r="EG81" s="8">
        <v>1267229</v>
      </c>
      <c r="EH81" s="8">
        <v>1608938</v>
      </c>
      <c r="EI81" s="8">
        <v>1938517</v>
      </c>
      <c r="EJ81" s="8">
        <v>1954642</v>
      </c>
      <c r="EK81" s="8">
        <v>2643471</v>
      </c>
      <c r="EL81" s="8">
        <v>3127961</v>
      </c>
      <c r="EM81" s="8">
        <v>3145389</v>
      </c>
      <c r="EN81" s="8">
        <v>3622691</v>
      </c>
      <c r="EO81" s="9">
        <f t="shared" si="48"/>
        <v>3622691</v>
      </c>
      <c r="EP81" s="8">
        <v>0</v>
      </c>
      <c r="EQ81" s="8">
        <v>0</v>
      </c>
      <c r="ER81" s="8">
        <v>385605</v>
      </c>
      <c r="ES81" s="8">
        <v>685990</v>
      </c>
      <c r="ET81" s="8">
        <v>839926</v>
      </c>
      <c r="EU81" s="8">
        <v>990638</v>
      </c>
      <c r="EV81" s="8">
        <v>1017931</v>
      </c>
      <c r="EW81" s="8">
        <v>1178621</v>
      </c>
      <c r="EX81" s="8">
        <v>1268857</v>
      </c>
      <c r="EY81" s="8">
        <v>1419361</v>
      </c>
      <c r="EZ81" s="8">
        <v>1444308</v>
      </c>
      <c r="FA81" s="8">
        <v>1463647</v>
      </c>
      <c r="FB81" s="9">
        <f t="shared" si="49"/>
        <v>1463647</v>
      </c>
      <c r="FC81" s="8">
        <v>0</v>
      </c>
      <c r="FD81" s="8">
        <v>19530</v>
      </c>
      <c r="FE81" s="8">
        <v>38500</v>
      </c>
      <c r="FF81" s="8">
        <v>49260</v>
      </c>
      <c r="FG81" s="8">
        <v>58615</v>
      </c>
      <c r="FH81" s="8">
        <v>83045</v>
      </c>
      <c r="FI81" s="8">
        <v>776488</v>
      </c>
      <c r="FJ81" s="8"/>
      <c r="FK81" s="8"/>
      <c r="FL81" s="8"/>
      <c r="FM81" s="8"/>
      <c r="FN81" s="8"/>
      <c r="FO81" s="9">
        <f t="shared" si="50"/>
        <v>776488</v>
      </c>
    </row>
    <row r="82" spans="2:171" ht="14.25" customHeight="1" x14ac:dyDescent="0.3">
      <c r="B82" s="7" t="s">
        <v>45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9">
        <f t="shared" si="38"/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9">
        <f t="shared" si="39"/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9">
        <f t="shared" si="40"/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v>0</v>
      </c>
      <c r="AZ82" s="8">
        <v>0</v>
      </c>
      <c r="BA82" s="8">
        <v>3215569</v>
      </c>
      <c r="BB82" s="9">
        <f t="shared" si="41"/>
        <v>3215569</v>
      </c>
      <c r="BC82" s="8">
        <v>0</v>
      </c>
      <c r="BD82" s="8">
        <v>0</v>
      </c>
      <c r="BE82" s="8">
        <v>0</v>
      </c>
      <c r="BF82" s="8">
        <v>0</v>
      </c>
      <c r="BG82" s="8">
        <v>0</v>
      </c>
      <c r="BH82" s="8">
        <v>0</v>
      </c>
      <c r="BI82" s="8">
        <v>0</v>
      </c>
      <c r="BJ82" s="8">
        <v>0</v>
      </c>
      <c r="BK82" s="8">
        <v>0</v>
      </c>
      <c r="BL82" s="8">
        <v>0</v>
      </c>
      <c r="BM82" s="8">
        <v>0</v>
      </c>
      <c r="BN82" s="8">
        <v>0</v>
      </c>
      <c r="BO82" s="9">
        <f t="shared" si="42"/>
        <v>0</v>
      </c>
      <c r="BP82" s="8">
        <v>0</v>
      </c>
      <c r="BQ82" s="8">
        <v>0</v>
      </c>
      <c r="BR82" s="8">
        <v>0</v>
      </c>
      <c r="BS82" s="8">
        <v>0</v>
      </c>
      <c r="BT82" s="8">
        <v>0</v>
      </c>
      <c r="BU82" s="8">
        <v>0</v>
      </c>
      <c r="BV82" s="8">
        <v>0</v>
      </c>
      <c r="BW82" s="8">
        <v>0</v>
      </c>
      <c r="BX82" s="8">
        <v>0</v>
      </c>
      <c r="BY82" s="8">
        <v>0</v>
      </c>
      <c r="BZ82" s="8">
        <v>0</v>
      </c>
      <c r="CA82" s="8">
        <v>0</v>
      </c>
      <c r="CB82" s="9">
        <f t="shared" si="43"/>
        <v>0</v>
      </c>
      <c r="CC82" s="8">
        <v>0</v>
      </c>
      <c r="CD82" s="8">
        <v>0</v>
      </c>
      <c r="CE82" s="8">
        <v>0</v>
      </c>
      <c r="CF82" s="8">
        <v>0</v>
      </c>
      <c r="CG82" s="8">
        <v>0</v>
      </c>
      <c r="CH82" s="8">
        <v>0</v>
      </c>
      <c r="CI82" s="8">
        <v>0</v>
      </c>
      <c r="CJ82" s="8">
        <v>0</v>
      </c>
      <c r="CK82" s="8">
        <v>0</v>
      </c>
      <c r="CL82" s="8">
        <v>0</v>
      </c>
      <c r="CM82" s="8">
        <v>0</v>
      </c>
      <c r="CN82" s="8">
        <v>0</v>
      </c>
      <c r="CO82" s="9">
        <f t="shared" si="44"/>
        <v>0</v>
      </c>
      <c r="CP82" s="8">
        <v>0</v>
      </c>
      <c r="CQ82" s="8">
        <v>0</v>
      </c>
      <c r="CR82" s="8">
        <v>0</v>
      </c>
      <c r="CS82" s="8">
        <v>0</v>
      </c>
      <c r="CT82" s="8">
        <v>0</v>
      </c>
      <c r="CU82" s="8">
        <v>0</v>
      </c>
      <c r="CV82" s="8">
        <v>0</v>
      </c>
      <c r="CW82" s="8">
        <v>0</v>
      </c>
      <c r="CX82" s="8">
        <v>0</v>
      </c>
      <c r="CY82" s="8">
        <v>0</v>
      </c>
      <c r="CZ82" s="8">
        <v>0</v>
      </c>
      <c r="DA82" s="8">
        <v>0</v>
      </c>
      <c r="DB82" s="9">
        <f t="shared" si="45"/>
        <v>0</v>
      </c>
      <c r="DC82" s="8">
        <v>0</v>
      </c>
      <c r="DD82" s="8">
        <v>0</v>
      </c>
      <c r="DE82" s="8">
        <v>0</v>
      </c>
      <c r="DF82" s="8">
        <v>0</v>
      </c>
      <c r="DG82" s="8">
        <v>0</v>
      </c>
      <c r="DH82" s="8">
        <v>0</v>
      </c>
      <c r="DI82" s="8">
        <v>0</v>
      </c>
      <c r="DJ82" s="8">
        <v>0</v>
      </c>
      <c r="DK82" s="8">
        <v>0</v>
      </c>
      <c r="DL82" s="8">
        <v>0</v>
      </c>
      <c r="DM82" s="8">
        <v>0</v>
      </c>
      <c r="DN82" s="8">
        <v>0</v>
      </c>
      <c r="DO82" s="9">
        <f t="shared" si="46"/>
        <v>0</v>
      </c>
      <c r="DP82" s="8">
        <v>0</v>
      </c>
      <c r="DQ82" s="8">
        <v>0</v>
      </c>
      <c r="DR82" s="8">
        <v>0</v>
      </c>
      <c r="DS82" s="8">
        <v>0</v>
      </c>
      <c r="DT82" s="8">
        <v>0</v>
      </c>
      <c r="DU82" s="8">
        <v>0</v>
      </c>
      <c r="DV82" s="8">
        <v>0</v>
      </c>
      <c r="DW82" s="8">
        <v>0</v>
      </c>
      <c r="DX82" s="8">
        <v>0</v>
      </c>
      <c r="DY82" s="8">
        <v>0</v>
      </c>
      <c r="DZ82" s="8">
        <v>0</v>
      </c>
      <c r="EA82" s="8">
        <v>0</v>
      </c>
      <c r="EB82" s="9">
        <f t="shared" si="47"/>
        <v>0</v>
      </c>
      <c r="EC82" s="8">
        <v>0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9">
        <f t="shared" si="48"/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9">
        <f t="shared" si="49"/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/>
      <c r="FK82" s="8"/>
      <c r="FL82" s="8"/>
      <c r="FM82" s="8"/>
      <c r="FN82" s="8"/>
      <c r="FO82" s="9">
        <f t="shared" si="50"/>
        <v>0</v>
      </c>
    </row>
    <row r="83" spans="2:171" ht="14.25" customHeight="1" x14ac:dyDescent="0.3">
      <c r="B83" s="7" t="s">
        <v>46</v>
      </c>
      <c r="C83" s="8">
        <v>0</v>
      </c>
      <c r="D83" s="8">
        <v>29225</v>
      </c>
      <c r="E83" s="8">
        <v>69058</v>
      </c>
      <c r="F83" s="8">
        <v>74058</v>
      </c>
      <c r="G83" s="8">
        <v>129130</v>
      </c>
      <c r="H83" s="8">
        <v>129130</v>
      </c>
      <c r="I83" s="8">
        <v>129130</v>
      </c>
      <c r="J83" s="8">
        <v>129130</v>
      </c>
      <c r="K83" s="8">
        <v>129130</v>
      </c>
      <c r="L83" s="8">
        <v>129130</v>
      </c>
      <c r="M83" s="8">
        <v>146741</v>
      </c>
      <c r="N83" s="8">
        <v>158192</v>
      </c>
      <c r="O83" s="9">
        <f t="shared" si="38"/>
        <v>158192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12000</v>
      </c>
      <c r="Y83" s="8">
        <v>12012</v>
      </c>
      <c r="Z83" s="8">
        <v>27167</v>
      </c>
      <c r="AA83" s="8">
        <v>63295</v>
      </c>
      <c r="AB83" s="9">
        <f t="shared" si="39"/>
        <v>63295</v>
      </c>
      <c r="AC83" s="8">
        <v>0</v>
      </c>
      <c r="AD83" s="8">
        <v>0</v>
      </c>
      <c r="AE83" s="8">
        <v>31419</v>
      </c>
      <c r="AF83" s="8">
        <v>55162</v>
      </c>
      <c r="AG83" s="8">
        <v>72894</v>
      </c>
      <c r="AH83" s="8">
        <v>151247</v>
      </c>
      <c r="AI83" s="8">
        <v>202026</v>
      </c>
      <c r="AJ83" s="8">
        <v>298520</v>
      </c>
      <c r="AK83" s="8">
        <v>337383</v>
      </c>
      <c r="AL83" s="8">
        <v>355093</v>
      </c>
      <c r="AM83" s="8">
        <v>363139</v>
      </c>
      <c r="AN83" s="8">
        <v>470207</v>
      </c>
      <c r="AO83" s="9">
        <f t="shared" si="40"/>
        <v>470207</v>
      </c>
      <c r="AP83" s="8">
        <v>2400</v>
      </c>
      <c r="AQ83" s="8">
        <v>4800</v>
      </c>
      <c r="AR83" s="8">
        <v>7200</v>
      </c>
      <c r="AS83" s="8">
        <v>11200</v>
      </c>
      <c r="AT83" s="8">
        <v>13600</v>
      </c>
      <c r="AU83" s="8">
        <v>16000</v>
      </c>
      <c r="AV83" s="8">
        <v>18400</v>
      </c>
      <c r="AW83" s="8">
        <v>68369</v>
      </c>
      <c r="AX83" s="8">
        <v>135750</v>
      </c>
      <c r="AY83" s="8">
        <v>239172</v>
      </c>
      <c r="AZ83" s="8">
        <v>296689</v>
      </c>
      <c r="BA83" s="8">
        <v>530169</v>
      </c>
      <c r="BB83" s="9">
        <f t="shared" si="41"/>
        <v>530169</v>
      </c>
      <c r="BC83" s="8">
        <v>0</v>
      </c>
      <c r="BD83" s="8">
        <v>0</v>
      </c>
      <c r="BE83" s="8">
        <v>0</v>
      </c>
      <c r="BF83" s="8">
        <v>277471</v>
      </c>
      <c r="BG83" s="8">
        <v>286638</v>
      </c>
      <c r="BH83" s="8">
        <v>301198</v>
      </c>
      <c r="BI83" s="8">
        <v>302376</v>
      </c>
      <c r="BJ83" s="8">
        <v>306496</v>
      </c>
      <c r="BK83" s="8">
        <v>439336</v>
      </c>
      <c r="BL83" s="8">
        <v>462932</v>
      </c>
      <c r="BM83" s="8">
        <v>533800</v>
      </c>
      <c r="BN83" s="8">
        <v>725074</v>
      </c>
      <c r="BO83" s="9">
        <f t="shared" si="42"/>
        <v>725074</v>
      </c>
      <c r="BP83" s="8">
        <v>0</v>
      </c>
      <c r="BQ83" s="8">
        <v>0</v>
      </c>
      <c r="BR83" s="8">
        <v>0</v>
      </c>
      <c r="BS83" s="8">
        <v>0</v>
      </c>
      <c r="BT83" s="8">
        <v>97410</v>
      </c>
      <c r="BU83" s="8">
        <v>126176</v>
      </c>
      <c r="BV83" s="8">
        <v>197629</v>
      </c>
      <c r="BW83" s="8">
        <v>326695</v>
      </c>
      <c r="BX83" s="8">
        <v>326695</v>
      </c>
      <c r="BY83" s="8">
        <v>380257</v>
      </c>
      <c r="BZ83" s="8">
        <v>380257</v>
      </c>
      <c r="CA83" s="8">
        <v>404792</v>
      </c>
      <c r="CB83" s="9">
        <f t="shared" si="43"/>
        <v>404792</v>
      </c>
      <c r="CC83" s="8">
        <v>0</v>
      </c>
      <c r="CD83" s="8">
        <v>0</v>
      </c>
      <c r="CE83" s="8">
        <v>88711</v>
      </c>
      <c r="CF83" s="8">
        <v>106962</v>
      </c>
      <c r="CG83" s="8">
        <v>106962</v>
      </c>
      <c r="CH83" s="8">
        <v>153139</v>
      </c>
      <c r="CI83" s="8">
        <v>236335</v>
      </c>
      <c r="CJ83" s="8">
        <v>304100</v>
      </c>
      <c r="CK83" s="8">
        <v>400970</v>
      </c>
      <c r="CL83" s="8">
        <v>448202</v>
      </c>
      <c r="CM83" s="8">
        <v>538989</v>
      </c>
      <c r="CN83" s="8">
        <v>831265</v>
      </c>
      <c r="CO83" s="9">
        <f t="shared" si="44"/>
        <v>831265</v>
      </c>
      <c r="CP83" s="8">
        <v>0</v>
      </c>
      <c r="CQ83" s="8">
        <v>0</v>
      </c>
      <c r="CR83" s="8">
        <v>0</v>
      </c>
      <c r="CS83" s="8">
        <v>0</v>
      </c>
      <c r="CT83" s="8">
        <v>0</v>
      </c>
      <c r="CU83" s="8">
        <v>0</v>
      </c>
      <c r="CV83" s="8">
        <v>0</v>
      </c>
      <c r="CW83" s="8">
        <v>0</v>
      </c>
      <c r="CX83" s="8">
        <v>0</v>
      </c>
      <c r="CY83" s="8">
        <v>0</v>
      </c>
      <c r="CZ83" s="8">
        <v>89082</v>
      </c>
      <c r="DA83" s="8">
        <v>150919</v>
      </c>
      <c r="DB83" s="9">
        <f t="shared" si="45"/>
        <v>150919</v>
      </c>
      <c r="DC83" s="8">
        <v>0</v>
      </c>
      <c r="DD83" s="8">
        <v>0</v>
      </c>
      <c r="DE83" s="8">
        <v>154450</v>
      </c>
      <c r="DF83" s="8">
        <v>154450</v>
      </c>
      <c r="DG83" s="8">
        <v>154450</v>
      </c>
      <c r="DH83" s="8">
        <v>260662</v>
      </c>
      <c r="DI83" s="8">
        <v>260662</v>
      </c>
      <c r="DJ83" s="8">
        <v>260662</v>
      </c>
      <c r="DK83" s="8">
        <v>260662</v>
      </c>
      <c r="DL83" s="8">
        <v>260662</v>
      </c>
      <c r="DM83" s="8">
        <v>260662</v>
      </c>
      <c r="DN83" s="8">
        <v>277067</v>
      </c>
      <c r="DO83" s="9">
        <f t="shared" si="46"/>
        <v>277067</v>
      </c>
      <c r="DP83" s="8">
        <v>0</v>
      </c>
      <c r="DQ83" s="8">
        <v>0</v>
      </c>
      <c r="DR83" s="8">
        <v>0</v>
      </c>
      <c r="DS83" s="8">
        <v>0</v>
      </c>
      <c r="DT83" s="8">
        <v>0</v>
      </c>
      <c r="DU83" s="8">
        <v>0</v>
      </c>
      <c r="DV83" s="8">
        <v>0</v>
      </c>
      <c r="DW83" s="8">
        <v>0</v>
      </c>
      <c r="DX83" s="8">
        <v>0</v>
      </c>
      <c r="DY83" s="8">
        <v>0</v>
      </c>
      <c r="DZ83" s="8">
        <v>0</v>
      </c>
      <c r="EA83" s="8">
        <v>0</v>
      </c>
      <c r="EB83" s="9">
        <f t="shared" si="47"/>
        <v>0</v>
      </c>
      <c r="EC83" s="8">
        <v>0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6129</v>
      </c>
      <c r="EN83" s="8">
        <v>31725</v>
      </c>
      <c r="EO83" s="9">
        <f t="shared" si="48"/>
        <v>31725</v>
      </c>
      <c r="EP83" s="8">
        <v>0</v>
      </c>
      <c r="EQ83" s="8">
        <v>0</v>
      </c>
      <c r="ER83" s="8">
        <v>6500</v>
      </c>
      <c r="ES83" s="8">
        <v>6500</v>
      </c>
      <c r="ET83" s="8">
        <v>6500</v>
      </c>
      <c r="EU83" s="8">
        <v>6500</v>
      </c>
      <c r="EV83" s="8">
        <v>6500</v>
      </c>
      <c r="EW83" s="8">
        <v>6500</v>
      </c>
      <c r="EX83" s="8">
        <v>6500</v>
      </c>
      <c r="EY83" s="8">
        <v>6500</v>
      </c>
      <c r="EZ83" s="8">
        <v>6500</v>
      </c>
      <c r="FA83" s="8">
        <v>6500</v>
      </c>
      <c r="FB83" s="9">
        <f t="shared" si="49"/>
        <v>6500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/>
      <c r="FK83" s="8"/>
      <c r="FL83" s="8"/>
      <c r="FM83" s="8"/>
      <c r="FN83" s="8"/>
      <c r="FO83" s="9">
        <f t="shared" si="50"/>
        <v>0</v>
      </c>
    </row>
    <row r="84" spans="2:171" ht="14.25" customHeight="1" x14ac:dyDescent="0.3">
      <c r="B84" s="7" t="s">
        <v>47</v>
      </c>
      <c r="C84" s="8">
        <v>0</v>
      </c>
      <c r="D84" s="8">
        <v>0</v>
      </c>
      <c r="E84" s="8">
        <v>99950</v>
      </c>
      <c r="F84" s="8">
        <v>187664</v>
      </c>
      <c r="G84" s="8">
        <v>549294</v>
      </c>
      <c r="H84" s="8">
        <v>948248</v>
      </c>
      <c r="I84" s="8">
        <v>1210671</v>
      </c>
      <c r="J84" s="8">
        <v>1601023</v>
      </c>
      <c r="K84" s="8">
        <v>1939391</v>
      </c>
      <c r="L84" s="8">
        <v>2040169</v>
      </c>
      <c r="M84" s="8">
        <v>2466757</v>
      </c>
      <c r="N84" s="8">
        <v>4218165</v>
      </c>
      <c r="O84" s="9">
        <f t="shared" si="38"/>
        <v>4218165</v>
      </c>
      <c r="P84" s="8">
        <v>0</v>
      </c>
      <c r="Q84" s="8">
        <v>7756</v>
      </c>
      <c r="R84" s="8">
        <v>307278</v>
      </c>
      <c r="S84" s="8">
        <v>464100</v>
      </c>
      <c r="T84" s="8">
        <v>688185</v>
      </c>
      <c r="U84" s="8">
        <v>930271</v>
      </c>
      <c r="V84" s="8">
        <v>1190533</v>
      </c>
      <c r="W84" s="8">
        <v>1461267</v>
      </c>
      <c r="X84" s="8">
        <v>1710817</v>
      </c>
      <c r="Y84" s="8">
        <v>2039694</v>
      </c>
      <c r="Z84" s="8">
        <v>2779508</v>
      </c>
      <c r="AA84" s="8">
        <v>4432291</v>
      </c>
      <c r="AB84" s="9">
        <f t="shared" si="39"/>
        <v>4432291</v>
      </c>
      <c r="AC84" s="8">
        <v>0</v>
      </c>
      <c r="AD84" s="8">
        <v>9824</v>
      </c>
      <c r="AE84" s="8">
        <v>186132</v>
      </c>
      <c r="AF84" s="8">
        <v>520530</v>
      </c>
      <c r="AG84" s="8">
        <v>730517</v>
      </c>
      <c r="AH84" s="8">
        <v>1669661</v>
      </c>
      <c r="AI84" s="8">
        <v>2107498</v>
      </c>
      <c r="AJ84" s="8">
        <v>2629343</v>
      </c>
      <c r="AK84" s="8">
        <v>3537971</v>
      </c>
      <c r="AL84" s="8">
        <v>3902063</v>
      </c>
      <c r="AM84" s="8">
        <v>4604540</v>
      </c>
      <c r="AN84" s="8">
        <v>4966426</v>
      </c>
      <c r="AO84" s="9">
        <f t="shared" si="40"/>
        <v>4966426</v>
      </c>
      <c r="AP84" s="8">
        <v>0</v>
      </c>
      <c r="AQ84" s="8">
        <v>399741</v>
      </c>
      <c r="AR84" s="8">
        <v>1209250</v>
      </c>
      <c r="AS84" s="8">
        <v>1835534</v>
      </c>
      <c r="AT84" s="8">
        <v>2434431</v>
      </c>
      <c r="AU84" s="8">
        <v>3363544</v>
      </c>
      <c r="AV84" s="8">
        <v>4014404</v>
      </c>
      <c r="AW84" s="8">
        <v>4701477</v>
      </c>
      <c r="AX84" s="8">
        <v>5680050</v>
      </c>
      <c r="AY84" s="8">
        <v>6787579</v>
      </c>
      <c r="AZ84" s="8">
        <v>7711168</v>
      </c>
      <c r="BA84" s="8">
        <v>9984754</v>
      </c>
      <c r="BB84" s="9">
        <f t="shared" si="41"/>
        <v>9984754</v>
      </c>
      <c r="BC84" s="8">
        <v>0</v>
      </c>
      <c r="BD84" s="8">
        <v>0</v>
      </c>
      <c r="BE84" s="8">
        <v>82527</v>
      </c>
      <c r="BF84" s="8">
        <v>381213</v>
      </c>
      <c r="BG84" s="8">
        <v>416251</v>
      </c>
      <c r="BH84" s="8">
        <v>525709</v>
      </c>
      <c r="BI84" s="8">
        <v>866549</v>
      </c>
      <c r="BJ84" s="8">
        <v>1251935</v>
      </c>
      <c r="BK84" s="8">
        <v>1625846</v>
      </c>
      <c r="BL84" s="8">
        <v>1770104</v>
      </c>
      <c r="BM84" s="8">
        <v>1797103</v>
      </c>
      <c r="BN84" s="8">
        <v>2166368</v>
      </c>
      <c r="BO84" s="9">
        <f t="shared" si="42"/>
        <v>2166368</v>
      </c>
      <c r="BP84" s="8">
        <v>0</v>
      </c>
      <c r="BQ84" s="8">
        <v>121037</v>
      </c>
      <c r="BR84" s="8">
        <v>333748</v>
      </c>
      <c r="BS84" s="8">
        <v>467959</v>
      </c>
      <c r="BT84" s="8">
        <v>534698</v>
      </c>
      <c r="BU84" s="8">
        <v>649068</v>
      </c>
      <c r="BV84" s="8">
        <v>748721</v>
      </c>
      <c r="BW84" s="8">
        <v>10927123</v>
      </c>
      <c r="BX84" s="8">
        <v>11010600</v>
      </c>
      <c r="BY84" s="8">
        <v>11276770</v>
      </c>
      <c r="BZ84" s="8">
        <v>11687879</v>
      </c>
      <c r="CA84" s="8">
        <v>22878198</v>
      </c>
      <c r="CB84" s="9">
        <f t="shared" si="43"/>
        <v>22878198</v>
      </c>
      <c r="CC84" s="8">
        <v>0</v>
      </c>
      <c r="CD84" s="8">
        <v>0</v>
      </c>
      <c r="CE84" s="8">
        <v>596855</v>
      </c>
      <c r="CF84" s="8">
        <v>8947203</v>
      </c>
      <c r="CG84" s="8">
        <v>13625416</v>
      </c>
      <c r="CH84" s="8">
        <v>13741815</v>
      </c>
      <c r="CI84" s="8">
        <v>13752867</v>
      </c>
      <c r="CJ84" s="8">
        <v>13830018</v>
      </c>
      <c r="CK84" s="8">
        <v>26845839</v>
      </c>
      <c r="CL84" s="8">
        <v>26941067</v>
      </c>
      <c r="CM84" s="8">
        <v>27243897</v>
      </c>
      <c r="CN84" s="8">
        <v>38695681</v>
      </c>
      <c r="CO84" s="9">
        <f t="shared" si="44"/>
        <v>38695681</v>
      </c>
      <c r="CP84" s="8">
        <v>0</v>
      </c>
      <c r="CQ84" s="8">
        <v>0</v>
      </c>
      <c r="CR84" s="8">
        <v>346612</v>
      </c>
      <c r="CS84" s="8">
        <v>694724</v>
      </c>
      <c r="CT84" s="8">
        <v>761389</v>
      </c>
      <c r="CU84" s="8">
        <v>12664052</v>
      </c>
      <c r="CV84" s="8">
        <v>19315642</v>
      </c>
      <c r="CW84" s="8">
        <v>20195380</v>
      </c>
      <c r="CX84" s="8">
        <v>25452421</v>
      </c>
      <c r="CY84" s="8">
        <v>25564233</v>
      </c>
      <c r="CZ84" s="8">
        <v>26717509</v>
      </c>
      <c r="DA84" s="8">
        <v>28687564</v>
      </c>
      <c r="DB84" s="9">
        <f t="shared" si="45"/>
        <v>28687564</v>
      </c>
      <c r="DC84" s="8">
        <v>0</v>
      </c>
      <c r="DD84" s="8">
        <v>0</v>
      </c>
      <c r="DE84" s="8">
        <v>67741</v>
      </c>
      <c r="DF84" s="8">
        <v>279671</v>
      </c>
      <c r="DG84" s="8">
        <v>665386</v>
      </c>
      <c r="DH84" s="8">
        <v>1619698</v>
      </c>
      <c r="DI84" s="8">
        <v>2468195</v>
      </c>
      <c r="DJ84" s="8">
        <v>3037558</v>
      </c>
      <c r="DK84" s="8">
        <v>4678404</v>
      </c>
      <c r="DL84" s="8">
        <v>4908377</v>
      </c>
      <c r="DM84" s="8">
        <v>5274507</v>
      </c>
      <c r="DN84" s="8">
        <v>7447366</v>
      </c>
      <c r="DO84" s="9">
        <f t="shared" si="46"/>
        <v>7447366</v>
      </c>
      <c r="DP84" s="8">
        <v>0</v>
      </c>
      <c r="DQ84" s="8">
        <v>413783</v>
      </c>
      <c r="DR84" s="8">
        <v>8309697</v>
      </c>
      <c r="DS84" s="8">
        <v>9654934</v>
      </c>
      <c r="DT84" s="8">
        <v>11034686</v>
      </c>
      <c r="DU84" s="8">
        <v>11420529</v>
      </c>
      <c r="DV84" s="8">
        <v>12320473</v>
      </c>
      <c r="DW84" s="8">
        <v>12767924</v>
      </c>
      <c r="DX84" s="8">
        <v>13281680</v>
      </c>
      <c r="DY84" s="8">
        <v>14193730</v>
      </c>
      <c r="DZ84" s="8">
        <v>15232153</v>
      </c>
      <c r="EA84" s="8">
        <v>17549584</v>
      </c>
      <c r="EB84" s="9">
        <f t="shared" si="47"/>
        <v>17549584</v>
      </c>
      <c r="EC84" s="8">
        <v>0</v>
      </c>
      <c r="ED84" s="8">
        <v>0</v>
      </c>
      <c r="EE84" s="8">
        <v>1248489</v>
      </c>
      <c r="EF84" s="8">
        <v>1386002</v>
      </c>
      <c r="EG84" s="8">
        <v>2365414</v>
      </c>
      <c r="EH84" s="8">
        <v>3481044</v>
      </c>
      <c r="EI84" s="8">
        <v>4062198</v>
      </c>
      <c r="EJ84" s="8">
        <v>4757993</v>
      </c>
      <c r="EK84" s="8">
        <v>5225037</v>
      </c>
      <c r="EL84" s="8">
        <v>5920373</v>
      </c>
      <c r="EM84" s="8">
        <v>6606171</v>
      </c>
      <c r="EN84" s="8">
        <v>10095390</v>
      </c>
      <c r="EO84" s="9">
        <f t="shared" si="48"/>
        <v>10095390</v>
      </c>
      <c r="EP84" s="8">
        <v>0</v>
      </c>
      <c r="EQ84" s="8">
        <v>0</v>
      </c>
      <c r="ER84" s="8">
        <v>0</v>
      </c>
      <c r="ES84" s="8">
        <v>3779031</v>
      </c>
      <c r="ET84" s="8">
        <v>5550793</v>
      </c>
      <c r="EU84" s="8">
        <v>7430022</v>
      </c>
      <c r="EV84" s="8">
        <v>9527495</v>
      </c>
      <c r="EW84" s="8">
        <v>11199392</v>
      </c>
      <c r="EX84" s="8">
        <v>14053482</v>
      </c>
      <c r="EY84" s="8">
        <v>15593114</v>
      </c>
      <c r="EZ84" s="8">
        <v>15833450</v>
      </c>
      <c r="FA84" s="8">
        <v>23391269</v>
      </c>
      <c r="FB84" s="9">
        <f t="shared" si="49"/>
        <v>23391269</v>
      </c>
      <c r="FC84" s="8">
        <v>0</v>
      </c>
      <c r="FD84" s="8">
        <v>0</v>
      </c>
      <c r="FE84" s="8">
        <v>0</v>
      </c>
      <c r="FF84" s="8">
        <v>5400368</v>
      </c>
      <c r="FG84" s="8">
        <v>6193550</v>
      </c>
      <c r="FH84" s="8">
        <v>7262433</v>
      </c>
      <c r="FI84" s="8">
        <v>8340232</v>
      </c>
      <c r="FJ84" s="8"/>
      <c r="FK84" s="8"/>
      <c r="FL84" s="8"/>
      <c r="FM84" s="8"/>
      <c r="FN84" s="8"/>
      <c r="FO84" s="9">
        <f t="shared" si="50"/>
        <v>8340232</v>
      </c>
    </row>
    <row r="85" spans="2:171" ht="14.25" customHeight="1" x14ac:dyDescent="0.3">
      <c r="B85" s="7" t="s">
        <v>48</v>
      </c>
      <c r="C85" s="8">
        <v>0</v>
      </c>
      <c r="D85" s="8">
        <v>19767</v>
      </c>
      <c r="E85" s="8">
        <v>26804</v>
      </c>
      <c r="F85" s="8">
        <v>32987</v>
      </c>
      <c r="G85" s="8">
        <v>70136</v>
      </c>
      <c r="H85" s="8">
        <v>343930</v>
      </c>
      <c r="I85" s="8">
        <v>357594</v>
      </c>
      <c r="J85" s="8">
        <v>708363</v>
      </c>
      <c r="K85" s="8">
        <v>900458</v>
      </c>
      <c r="L85" s="8">
        <v>1366890</v>
      </c>
      <c r="M85" s="8">
        <v>1728162</v>
      </c>
      <c r="N85" s="8">
        <v>2353508</v>
      </c>
      <c r="O85" s="9">
        <f t="shared" si="38"/>
        <v>2353508</v>
      </c>
      <c r="P85" s="8">
        <v>0</v>
      </c>
      <c r="Q85" s="8">
        <v>117483</v>
      </c>
      <c r="R85" s="8">
        <v>285039</v>
      </c>
      <c r="S85" s="8">
        <v>560804</v>
      </c>
      <c r="T85" s="8">
        <v>706288</v>
      </c>
      <c r="U85" s="8">
        <v>777717</v>
      </c>
      <c r="V85" s="8">
        <v>850893</v>
      </c>
      <c r="W85" s="8">
        <v>936069</v>
      </c>
      <c r="X85" s="8">
        <v>1046644</v>
      </c>
      <c r="Y85" s="8">
        <v>1212614</v>
      </c>
      <c r="Z85" s="8">
        <v>1420437</v>
      </c>
      <c r="AA85" s="8">
        <v>18184473</v>
      </c>
      <c r="AB85" s="9">
        <f t="shared" si="39"/>
        <v>18184473</v>
      </c>
      <c r="AC85" s="8">
        <v>0</v>
      </c>
      <c r="AD85" s="8">
        <v>116466</v>
      </c>
      <c r="AE85" s="8">
        <v>116466</v>
      </c>
      <c r="AF85" s="8">
        <v>859999</v>
      </c>
      <c r="AG85" s="8">
        <v>1196764</v>
      </c>
      <c r="AH85" s="8">
        <v>1885301</v>
      </c>
      <c r="AI85" s="8">
        <v>2702612</v>
      </c>
      <c r="AJ85" s="8">
        <v>4033254</v>
      </c>
      <c r="AK85" s="8">
        <v>5513730</v>
      </c>
      <c r="AL85" s="8">
        <v>7636136</v>
      </c>
      <c r="AM85" s="8">
        <v>10250450</v>
      </c>
      <c r="AN85" s="8">
        <v>17427367</v>
      </c>
      <c r="AO85" s="9">
        <f t="shared" si="40"/>
        <v>17427367</v>
      </c>
      <c r="AP85" s="8">
        <v>0</v>
      </c>
      <c r="AQ85" s="8">
        <v>0</v>
      </c>
      <c r="AR85" s="8">
        <v>94790</v>
      </c>
      <c r="AS85" s="8">
        <v>577738</v>
      </c>
      <c r="AT85" s="8">
        <v>698925</v>
      </c>
      <c r="AU85" s="8">
        <v>8291578</v>
      </c>
      <c r="AV85" s="8">
        <v>10022337</v>
      </c>
      <c r="AW85" s="8">
        <v>12291666</v>
      </c>
      <c r="AX85" s="8">
        <v>16047063</v>
      </c>
      <c r="AY85" s="8">
        <v>19238034</v>
      </c>
      <c r="AZ85" s="8">
        <v>22813423</v>
      </c>
      <c r="BA85" s="8">
        <v>35848416</v>
      </c>
      <c r="BB85" s="9">
        <f t="shared" si="41"/>
        <v>35848416</v>
      </c>
      <c r="BC85" s="8">
        <v>0</v>
      </c>
      <c r="BD85" s="8">
        <v>0</v>
      </c>
      <c r="BE85" s="8">
        <v>0</v>
      </c>
      <c r="BF85" s="8">
        <v>2139684</v>
      </c>
      <c r="BG85" s="8">
        <v>3452122</v>
      </c>
      <c r="BH85" s="8">
        <v>5647064</v>
      </c>
      <c r="BI85" s="8">
        <v>6572783</v>
      </c>
      <c r="BJ85" s="8">
        <v>6920711</v>
      </c>
      <c r="BK85" s="8">
        <v>6942180</v>
      </c>
      <c r="BL85" s="8">
        <v>8168811</v>
      </c>
      <c r="BM85" s="8">
        <v>8669944</v>
      </c>
      <c r="BN85" s="8">
        <v>12422988</v>
      </c>
      <c r="BO85" s="9">
        <f t="shared" si="42"/>
        <v>12422988</v>
      </c>
      <c r="BP85" s="8">
        <v>0</v>
      </c>
      <c r="BQ85" s="8">
        <v>778</v>
      </c>
      <c r="BR85" s="8">
        <v>591404</v>
      </c>
      <c r="BS85" s="8">
        <v>609676</v>
      </c>
      <c r="BT85" s="8">
        <v>622074</v>
      </c>
      <c r="BU85" s="8">
        <v>664297</v>
      </c>
      <c r="BV85" s="8">
        <v>667621</v>
      </c>
      <c r="BW85" s="8">
        <v>901924</v>
      </c>
      <c r="BX85" s="8">
        <v>1310713</v>
      </c>
      <c r="BY85" s="8">
        <v>2965430</v>
      </c>
      <c r="BZ85" s="8">
        <v>3681088</v>
      </c>
      <c r="CA85" s="8">
        <v>6702376</v>
      </c>
      <c r="CB85" s="9">
        <f t="shared" si="43"/>
        <v>6702376</v>
      </c>
      <c r="CC85" s="8">
        <v>0</v>
      </c>
      <c r="CD85" s="8">
        <v>0</v>
      </c>
      <c r="CE85" s="8">
        <v>0</v>
      </c>
      <c r="CF85" s="8">
        <v>0</v>
      </c>
      <c r="CG85" s="8">
        <v>0</v>
      </c>
      <c r="CH85" s="8">
        <v>0</v>
      </c>
      <c r="CI85" s="8">
        <v>0</v>
      </c>
      <c r="CJ85" s="8">
        <v>1761</v>
      </c>
      <c r="CK85" s="8">
        <v>1761</v>
      </c>
      <c r="CL85" s="8">
        <v>1761</v>
      </c>
      <c r="CM85" s="8">
        <v>1761</v>
      </c>
      <c r="CN85" s="8">
        <v>945018</v>
      </c>
      <c r="CO85" s="9">
        <f t="shared" si="44"/>
        <v>945018</v>
      </c>
      <c r="CP85" s="8">
        <v>0</v>
      </c>
      <c r="CQ85" s="8">
        <v>0</v>
      </c>
      <c r="CR85" s="8">
        <v>0</v>
      </c>
      <c r="CS85" s="8">
        <v>216486</v>
      </c>
      <c r="CT85" s="8">
        <v>216486</v>
      </c>
      <c r="CU85" s="8">
        <v>218394</v>
      </c>
      <c r="CV85" s="8">
        <v>274246</v>
      </c>
      <c r="CW85" s="8">
        <v>274246</v>
      </c>
      <c r="CX85" s="8">
        <v>277559</v>
      </c>
      <c r="CY85" s="8">
        <v>277559</v>
      </c>
      <c r="CZ85" s="8">
        <v>277559</v>
      </c>
      <c r="DA85" s="8">
        <v>689027</v>
      </c>
      <c r="DB85" s="9">
        <f t="shared" si="45"/>
        <v>689027</v>
      </c>
      <c r="DC85" s="8">
        <v>0</v>
      </c>
      <c r="DD85" s="8">
        <v>0</v>
      </c>
      <c r="DE85" s="8">
        <v>0</v>
      </c>
      <c r="DF85" s="8">
        <v>0</v>
      </c>
      <c r="DG85" s="8">
        <v>0</v>
      </c>
      <c r="DH85" s="8">
        <v>0</v>
      </c>
      <c r="DI85" s="8">
        <v>0</v>
      </c>
      <c r="DJ85" s="8">
        <v>0</v>
      </c>
      <c r="DK85" s="8">
        <v>0</v>
      </c>
      <c r="DL85" s="8">
        <v>0</v>
      </c>
      <c r="DM85" s="8">
        <v>0</v>
      </c>
      <c r="DN85" s="8">
        <v>6489</v>
      </c>
      <c r="DO85" s="9">
        <f t="shared" si="46"/>
        <v>6489</v>
      </c>
      <c r="DP85" s="8">
        <v>0</v>
      </c>
      <c r="DQ85" s="8">
        <v>0</v>
      </c>
      <c r="DR85" s="8">
        <v>17172</v>
      </c>
      <c r="DS85" s="8">
        <v>17172</v>
      </c>
      <c r="DT85" s="8">
        <v>17172</v>
      </c>
      <c r="DU85" s="8">
        <v>30636</v>
      </c>
      <c r="DV85" s="8">
        <v>30636</v>
      </c>
      <c r="DW85" s="8">
        <v>30636</v>
      </c>
      <c r="DX85" s="8">
        <v>30636</v>
      </c>
      <c r="DY85" s="8">
        <v>30636</v>
      </c>
      <c r="DZ85" s="8">
        <v>30636</v>
      </c>
      <c r="EA85" s="8">
        <v>100920</v>
      </c>
      <c r="EB85" s="9">
        <f t="shared" si="47"/>
        <v>100920</v>
      </c>
      <c r="EC85" s="8">
        <v>0</v>
      </c>
      <c r="ED85" s="8">
        <v>0</v>
      </c>
      <c r="EE85" s="8">
        <v>0</v>
      </c>
      <c r="EF85" s="8">
        <v>0</v>
      </c>
      <c r="EG85" s="8">
        <v>24040</v>
      </c>
      <c r="EH85" s="8">
        <v>63893</v>
      </c>
      <c r="EI85" s="8">
        <v>63893</v>
      </c>
      <c r="EJ85" s="8">
        <v>63893</v>
      </c>
      <c r="EK85" s="8">
        <v>151543</v>
      </c>
      <c r="EL85" s="8">
        <v>151543</v>
      </c>
      <c r="EM85" s="8">
        <v>199293</v>
      </c>
      <c r="EN85" s="8">
        <v>345022</v>
      </c>
      <c r="EO85" s="9">
        <f t="shared" si="48"/>
        <v>345022</v>
      </c>
      <c r="EP85" s="8">
        <v>0</v>
      </c>
      <c r="EQ85" s="8">
        <v>0</v>
      </c>
      <c r="ER85" s="8">
        <v>184525</v>
      </c>
      <c r="ES85" s="8">
        <v>184525</v>
      </c>
      <c r="ET85" s="8">
        <v>184525</v>
      </c>
      <c r="EU85" s="8">
        <v>184525</v>
      </c>
      <c r="EV85" s="8">
        <v>191260</v>
      </c>
      <c r="EW85" s="8">
        <v>191260</v>
      </c>
      <c r="EX85" s="8">
        <v>218077</v>
      </c>
      <c r="EY85" s="8">
        <v>218457</v>
      </c>
      <c r="EZ85" s="8">
        <v>218457</v>
      </c>
      <c r="FA85" s="8">
        <v>322185</v>
      </c>
      <c r="FB85" s="9">
        <f t="shared" si="49"/>
        <v>322185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/>
      <c r="FK85" s="8"/>
      <c r="FL85" s="8"/>
      <c r="FM85" s="8"/>
      <c r="FN85" s="8"/>
      <c r="FO85" s="9">
        <f t="shared" si="50"/>
        <v>0</v>
      </c>
    </row>
    <row r="86" spans="2:171" ht="14.25" customHeight="1" x14ac:dyDescent="0.3">
      <c r="B86" s="7" t="s">
        <v>49</v>
      </c>
      <c r="C86" s="8">
        <v>0</v>
      </c>
      <c r="D86" s="8">
        <v>175159</v>
      </c>
      <c r="E86" s="8">
        <v>340792</v>
      </c>
      <c r="F86" s="8">
        <v>460714</v>
      </c>
      <c r="G86" s="8">
        <v>530539</v>
      </c>
      <c r="H86" s="8">
        <v>620689</v>
      </c>
      <c r="I86" s="8">
        <v>922992</v>
      </c>
      <c r="J86" s="8">
        <v>1310019</v>
      </c>
      <c r="K86" s="8">
        <v>1825900</v>
      </c>
      <c r="L86" s="8">
        <v>2332943</v>
      </c>
      <c r="M86" s="8">
        <v>3211073</v>
      </c>
      <c r="N86" s="8">
        <v>4187386</v>
      </c>
      <c r="O86" s="9">
        <f t="shared" si="38"/>
        <v>4187386</v>
      </c>
      <c r="P86" s="8">
        <v>0</v>
      </c>
      <c r="Q86" s="8">
        <v>557108</v>
      </c>
      <c r="R86" s="8">
        <v>1515287</v>
      </c>
      <c r="S86" s="8">
        <v>2358467</v>
      </c>
      <c r="T86" s="8">
        <v>2521407</v>
      </c>
      <c r="U86" s="8">
        <v>3094173</v>
      </c>
      <c r="V86" s="8">
        <v>3253020</v>
      </c>
      <c r="W86" s="8">
        <v>4023312</v>
      </c>
      <c r="X86" s="8">
        <v>4716798</v>
      </c>
      <c r="Y86" s="8">
        <v>5317540</v>
      </c>
      <c r="Z86" s="8">
        <v>5617593</v>
      </c>
      <c r="AA86" s="8">
        <v>7134317</v>
      </c>
      <c r="AB86" s="9">
        <f t="shared" si="39"/>
        <v>7134317</v>
      </c>
      <c r="AC86" s="8">
        <v>0</v>
      </c>
      <c r="AD86" s="8">
        <v>0</v>
      </c>
      <c r="AE86" s="8">
        <v>0</v>
      </c>
      <c r="AF86" s="8">
        <v>1012198</v>
      </c>
      <c r="AG86" s="8">
        <v>1495876</v>
      </c>
      <c r="AH86" s="8">
        <v>1940459</v>
      </c>
      <c r="AI86" s="8">
        <v>2453379</v>
      </c>
      <c r="AJ86" s="8">
        <v>3144405</v>
      </c>
      <c r="AK86" s="8">
        <v>3313946</v>
      </c>
      <c r="AL86" s="8">
        <v>3645733</v>
      </c>
      <c r="AM86" s="8">
        <v>4904241</v>
      </c>
      <c r="AN86" s="8">
        <v>6428492</v>
      </c>
      <c r="AO86" s="9">
        <f t="shared" si="40"/>
        <v>6428492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14113</v>
      </c>
      <c r="AX86" s="8">
        <v>22284</v>
      </c>
      <c r="AY86" s="8">
        <v>22284</v>
      </c>
      <c r="AZ86" s="8">
        <v>22284</v>
      </c>
      <c r="BA86" s="8">
        <v>22284</v>
      </c>
      <c r="BB86" s="9">
        <f t="shared" si="41"/>
        <v>22284</v>
      </c>
      <c r="BC86" s="8">
        <v>0</v>
      </c>
      <c r="BD86" s="8">
        <v>0</v>
      </c>
      <c r="BE86" s="8">
        <v>0</v>
      </c>
      <c r="BF86" s="8">
        <v>0</v>
      </c>
      <c r="BG86" s="8">
        <v>0</v>
      </c>
      <c r="BH86" s="8">
        <v>139258</v>
      </c>
      <c r="BI86" s="8">
        <v>139258</v>
      </c>
      <c r="BJ86" s="8">
        <v>139258</v>
      </c>
      <c r="BK86" s="8">
        <v>139666</v>
      </c>
      <c r="BL86" s="8">
        <v>140752</v>
      </c>
      <c r="BM86" s="8">
        <v>149772</v>
      </c>
      <c r="BN86" s="8">
        <v>173759</v>
      </c>
      <c r="BO86" s="9">
        <f t="shared" si="42"/>
        <v>173759</v>
      </c>
      <c r="BP86" s="8">
        <v>0</v>
      </c>
      <c r="BQ86" s="8">
        <v>0</v>
      </c>
      <c r="BR86" s="8">
        <v>33222</v>
      </c>
      <c r="BS86" s="8">
        <v>33222</v>
      </c>
      <c r="BT86" s="8">
        <v>45535</v>
      </c>
      <c r="BU86" s="8">
        <v>45646</v>
      </c>
      <c r="BV86" s="8">
        <v>63260</v>
      </c>
      <c r="BW86" s="8">
        <v>64165</v>
      </c>
      <c r="BX86" s="8">
        <v>64189</v>
      </c>
      <c r="BY86" s="8">
        <v>86150</v>
      </c>
      <c r="BZ86" s="8">
        <v>121270</v>
      </c>
      <c r="CA86" s="8">
        <v>197214</v>
      </c>
      <c r="CB86" s="9">
        <f t="shared" si="43"/>
        <v>197214</v>
      </c>
      <c r="CC86" s="8">
        <v>0</v>
      </c>
      <c r="CD86" s="8">
        <v>127587</v>
      </c>
      <c r="CE86" s="8">
        <v>390907</v>
      </c>
      <c r="CF86" s="8">
        <v>706557</v>
      </c>
      <c r="CG86" s="8">
        <v>936910</v>
      </c>
      <c r="CH86" s="8">
        <v>1186243</v>
      </c>
      <c r="CI86" s="8">
        <v>1638194</v>
      </c>
      <c r="CJ86" s="8">
        <v>2130337</v>
      </c>
      <c r="CK86" s="8">
        <v>2516834</v>
      </c>
      <c r="CL86" s="8">
        <v>2838664</v>
      </c>
      <c r="CM86" s="8">
        <v>3568116</v>
      </c>
      <c r="CN86" s="8">
        <v>5005029</v>
      </c>
      <c r="CO86" s="9">
        <f t="shared" si="44"/>
        <v>5005029</v>
      </c>
      <c r="CP86" s="8">
        <v>266285</v>
      </c>
      <c r="CQ86" s="8">
        <v>666372</v>
      </c>
      <c r="CR86" s="8">
        <v>1038189</v>
      </c>
      <c r="CS86" s="8">
        <v>1229700</v>
      </c>
      <c r="CT86" s="8">
        <v>1363827</v>
      </c>
      <c r="CU86" s="8">
        <v>1614604</v>
      </c>
      <c r="CV86" s="8">
        <v>1663102</v>
      </c>
      <c r="CW86" s="8">
        <v>1946994</v>
      </c>
      <c r="CX86" s="8">
        <v>2245219</v>
      </c>
      <c r="CY86" s="8">
        <v>2457551</v>
      </c>
      <c r="CZ86" s="8">
        <v>2680152</v>
      </c>
      <c r="DA86" s="8">
        <v>3424169</v>
      </c>
      <c r="DB86" s="9">
        <f t="shared" si="45"/>
        <v>3424169</v>
      </c>
      <c r="DC86" s="8">
        <v>0</v>
      </c>
      <c r="DD86" s="8">
        <v>0</v>
      </c>
      <c r="DE86" s="8">
        <v>0</v>
      </c>
      <c r="DF86" s="8">
        <v>0</v>
      </c>
      <c r="DG86" s="8">
        <v>0</v>
      </c>
      <c r="DH86" s="8">
        <v>0</v>
      </c>
      <c r="DI86" s="8">
        <v>0</v>
      </c>
      <c r="DJ86" s="8">
        <v>0</v>
      </c>
      <c r="DK86" s="8">
        <v>0</v>
      </c>
      <c r="DL86" s="8">
        <v>0</v>
      </c>
      <c r="DM86" s="8">
        <v>0</v>
      </c>
      <c r="DN86" s="8">
        <v>452203</v>
      </c>
      <c r="DO86" s="9">
        <f t="shared" si="46"/>
        <v>452203</v>
      </c>
      <c r="DP86" s="8">
        <v>0</v>
      </c>
      <c r="DQ86" s="8">
        <v>0</v>
      </c>
      <c r="DR86" s="8">
        <v>0</v>
      </c>
      <c r="DS86" s="8">
        <v>0</v>
      </c>
      <c r="DT86" s="8">
        <v>0</v>
      </c>
      <c r="DU86" s="8">
        <v>3450</v>
      </c>
      <c r="DV86" s="8">
        <v>63675</v>
      </c>
      <c r="DW86" s="8">
        <v>321098</v>
      </c>
      <c r="DX86" s="8">
        <v>601250</v>
      </c>
      <c r="DY86" s="8">
        <v>901929</v>
      </c>
      <c r="DZ86" s="8">
        <v>1345302</v>
      </c>
      <c r="EA86" s="8">
        <v>1884959</v>
      </c>
      <c r="EB86" s="9">
        <f t="shared" si="47"/>
        <v>1884959</v>
      </c>
      <c r="EC86" s="8">
        <v>0</v>
      </c>
      <c r="ED86" s="8">
        <v>63671</v>
      </c>
      <c r="EE86" s="8">
        <v>736483</v>
      </c>
      <c r="EF86" s="8">
        <v>1112355</v>
      </c>
      <c r="EG86" s="8">
        <v>1788852</v>
      </c>
      <c r="EH86" s="8">
        <v>2726594</v>
      </c>
      <c r="EI86" s="8">
        <v>3367865</v>
      </c>
      <c r="EJ86" s="8">
        <v>4162139</v>
      </c>
      <c r="EK86" s="8">
        <v>5201129</v>
      </c>
      <c r="EL86" s="8">
        <v>6295100</v>
      </c>
      <c r="EM86" s="8">
        <v>7710017</v>
      </c>
      <c r="EN86" s="8">
        <v>8835329</v>
      </c>
      <c r="EO86" s="9">
        <f t="shared" si="48"/>
        <v>8835329</v>
      </c>
      <c r="EP86" s="8">
        <v>0</v>
      </c>
      <c r="EQ86" s="8">
        <v>2473211</v>
      </c>
      <c r="ER86" s="8">
        <v>5063264</v>
      </c>
      <c r="ES86" s="8">
        <v>7443310</v>
      </c>
      <c r="ET86" s="8">
        <v>9019759</v>
      </c>
      <c r="EU86" s="8">
        <v>11034973</v>
      </c>
      <c r="EV86" s="8">
        <v>12839745</v>
      </c>
      <c r="EW86" s="8">
        <v>13807011</v>
      </c>
      <c r="EX86" s="8">
        <v>16429292</v>
      </c>
      <c r="EY86" s="8">
        <v>18472114</v>
      </c>
      <c r="EZ86" s="8">
        <v>20464638</v>
      </c>
      <c r="FA86" s="8">
        <v>23883565</v>
      </c>
      <c r="FB86" s="9">
        <f t="shared" si="49"/>
        <v>23883565</v>
      </c>
      <c r="FC86" s="8">
        <v>1405629</v>
      </c>
      <c r="FD86" s="8">
        <v>2781911</v>
      </c>
      <c r="FE86" s="8">
        <v>4021748</v>
      </c>
      <c r="FF86" s="8">
        <v>4968047</v>
      </c>
      <c r="FG86" s="8">
        <v>6444038</v>
      </c>
      <c r="FH86" s="8">
        <v>8044713</v>
      </c>
      <c r="FI86" s="8">
        <v>10105068</v>
      </c>
      <c r="FJ86" s="8"/>
      <c r="FK86" s="8"/>
      <c r="FL86" s="8"/>
      <c r="FM86" s="8"/>
      <c r="FN86" s="8"/>
      <c r="FO86" s="9">
        <f t="shared" si="50"/>
        <v>10105068</v>
      </c>
    </row>
    <row r="87" spans="2:171" ht="14.25" customHeight="1" x14ac:dyDescent="0.3">
      <c r="B87" s="7" t="s">
        <v>50</v>
      </c>
      <c r="C87" s="8">
        <v>0</v>
      </c>
      <c r="D87" s="8">
        <v>0</v>
      </c>
      <c r="E87" s="8">
        <v>709815</v>
      </c>
      <c r="F87" s="8">
        <v>1201622</v>
      </c>
      <c r="G87" s="8">
        <v>1223234</v>
      </c>
      <c r="H87" s="8">
        <v>1226066</v>
      </c>
      <c r="I87" s="8">
        <v>1252833</v>
      </c>
      <c r="J87" s="8">
        <v>1261618</v>
      </c>
      <c r="K87" s="8">
        <v>1299992</v>
      </c>
      <c r="L87" s="8">
        <v>1301873</v>
      </c>
      <c r="M87" s="8">
        <v>1301873</v>
      </c>
      <c r="N87" s="8">
        <v>1331602</v>
      </c>
      <c r="O87" s="9">
        <f t="shared" si="38"/>
        <v>1331602</v>
      </c>
      <c r="P87" s="8">
        <v>0</v>
      </c>
      <c r="Q87" s="8">
        <v>0</v>
      </c>
      <c r="R87" s="8">
        <v>16923</v>
      </c>
      <c r="S87" s="8">
        <v>68629</v>
      </c>
      <c r="T87" s="8">
        <v>113531</v>
      </c>
      <c r="U87" s="8">
        <v>129023</v>
      </c>
      <c r="V87" s="8">
        <v>349769</v>
      </c>
      <c r="W87" s="8">
        <v>604892</v>
      </c>
      <c r="X87" s="8">
        <v>815068</v>
      </c>
      <c r="Y87" s="8">
        <v>991552</v>
      </c>
      <c r="Z87" s="8">
        <v>12826386</v>
      </c>
      <c r="AA87" s="8">
        <v>20995283</v>
      </c>
      <c r="AB87" s="9">
        <f t="shared" si="39"/>
        <v>20995283</v>
      </c>
      <c r="AC87" s="8">
        <v>0</v>
      </c>
      <c r="AD87" s="8">
        <v>595073</v>
      </c>
      <c r="AE87" s="8">
        <v>1035725</v>
      </c>
      <c r="AF87" s="8">
        <v>2673180</v>
      </c>
      <c r="AG87" s="8">
        <v>4363190</v>
      </c>
      <c r="AH87" s="8">
        <v>6039102</v>
      </c>
      <c r="AI87" s="8">
        <v>7430112</v>
      </c>
      <c r="AJ87" s="8">
        <v>10519955</v>
      </c>
      <c r="AK87" s="8">
        <v>12339690</v>
      </c>
      <c r="AL87" s="8">
        <v>16199764</v>
      </c>
      <c r="AM87" s="8">
        <v>22126510</v>
      </c>
      <c r="AN87" s="8">
        <v>31375463</v>
      </c>
      <c r="AO87" s="9">
        <f t="shared" si="40"/>
        <v>31375463</v>
      </c>
      <c r="AP87" s="8">
        <v>0</v>
      </c>
      <c r="AQ87" s="8">
        <v>67665</v>
      </c>
      <c r="AR87" s="8">
        <v>3780190</v>
      </c>
      <c r="AS87" s="8">
        <v>6171167</v>
      </c>
      <c r="AT87" s="8">
        <v>8411908</v>
      </c>
      <c r="AU87" s="8">
        <v>11959728</v>
      </c>
      <c r="AV87" s="8">
        <v>15944164</v>
      </c>
      <c r="AW87" s="8">
        <v>19098351</v>
      </c>
      <c r="AX87" s="8">
        <v>21504776</v>
      </c>
      <c r="AY87" s="8">
        <v>24535341</v>
      </c>
      <c r="AZ87" s="8">
        <v>25032532</v>
      </c>
      <c r="BA87" s="8">
        <v>38370880</v>
      </c>
      <c r="BB87" s="9">
        <f t="shared" si="41"/>
        <v>38370880</v>
      </c>
      <c r="BC87" s="8">
        <v>0</v>
      </c>
      <c r="BD87" s="8">
        <v>0</v>
      </c>
      <c r="BE87" s="8">
        <v>0</v>
      </c>
      <c r="BF87" s="8">
        <v>5882150</v>
      </c>
      <c r="BG87" s="8">
        <v>8872787</v>
      </c>
      <c r="BH87" s="8">
        <v>10995606</v>
      </c>
      <c r="BI87" s="8">
        <v>13291093</v>
      </c>
      <c r="BJ87" s="8">
        <v>17845311</v>
      </c>
      <c r="BK87" s="8">
        <v>19821342</v>
      </c>
      <c r="BL87" s="8">
        <v>21937465</v>
      </c>
      <c r="BM87" s="8">
        <v>27807719</v>
      </c>
      <c r="BN87" s="8">
        <v>33990091</v>
      </c>
      <c r="BO87" s="9">
        <f t="shared" si="42"/>
        <v>33990091</v>
      </c>
      <c r="BP87" s="8">
        <v>0</v>
      </c>
      <c r="BQ87" s="8">
        <v>0</v>
      </c>
      <c r="BR87" s="8">
        <v>1578574</v>
      </c>
      <c r="BS87" s="8">
        <v>2506221</v>
      </c>
      <c r="BT87" s="8">
        <v>8144474</v>
      </c>
      <c r="BU87" s="8">
        <v>12260837</v>
      </c>
      <c r="BV87" s="8">
        <v>18315296</v>
      </c>
      <c r="BW87" s="8">
        <v>20734146</v>
      </c>
      <c r="BX87" s="8">
        <v>22820894</v>
      </c>
      <c r="BY87" s="8">
        <v>25853739</v>
      </c>
      <c r="BZ87" s="8">
        <v>29896087</v>
      </c>
      <c r="CA87" s="8">
        <v>41375734</v>
      </c>
      <c r="CB87" s="9">
        <f t="shared" si="43"/>
        <v>41375734</v>
      </c>
      <c r="CC87" s="8">
        <v>0</v>
      </c>
      <c r="CD87" s="8">
        <v>546271</v>
      </c>
      <c r="CE87" s="8">
        <v>4938870</v>
      </c>
      <c r="CF87" s="8">
        <v>8539075</v>
      </c>
      <c r="CG87" s="8">
        <v>11795273</v>
      </c>
      <c r="CH87" s="8">
        <v>13877436</v>
      </c>
      <c r="CI87" s="8">
        <v>15990091</v>
      </c>
      <c r="CJ87" s="8">
        <v>16085620</v>
      </c>
      <c r="CK87" s="8">
        <v>19850900</v>
      </c>
      <c r="CL87" s="8">
        <v>20461467</v>
      </c>
      <c r="CM87" s="8">
        <v>23579729</v>
      </c>
      <c r="CN87" s="8">
        <v>32688999</v>
      </c>
      <c r="CO87" s="9">
        <f t="shared" si="44"/>
        <v>32688999</v>
      </c>
      <c r="CP87" s="8">
        <v>0</v>
      </c>
      <c r="CQ87" s="8">
        <v>1651658</v>
      </c>
      <c r="CR87" s="8">
        <v>4628110</v>
      </c>
      <c r="CS87" s="8">
        <v>5916555</v>
      </c>
      <c r="CT87" s="8">
        <v>7145361</v>
      </c>
      <c r="CU87" s="8">
        <v>8348930</v>
      </c>
      <c r="CV87" s="8">
        <v>9526754</v>
      </c>
      <c r="CW87" s="8">
        <v>10078045</v>
      </c>
      <c r="CX87" s="8">
        <v>10141998</v>
      </c>
      <c r="CY87" s="8">
        <v>11664560</v>
      </c>
      <c r="CZ87" s="8">
        <v>13017982</v>
      </c>
      <c r="DA87" s="8">
        <v>18587899</v>
      </c>
      <c r="DB87" s="9">
        <f t="shared" si="45"/>
        <v>18587899</v>
      </c>
      <c r="DC87" s="8">
        <v>0</v>
      </c>
      <c r="DD87" s="8">
        <v>0</v>
      </c>
      <c r="DE87" s="8">
        <v>12621</v>
      </c>
      <c r="DF87" s="8">
        <v>253739</v>
      </c>
      <c r="DG87" s="8">
        <v>253739</v>
      </c>
      <c r="DH87" s="8">
        <v>384163</v>
      </c>
      <c r="DI87" s="8">
        <v>704337</v>
      </c>
      <c r="DJ87" s="8">
        <v>731651</v>
      </c>
      <c r="DK87" s="8">
        <v>1832814</v>
      </c>
      <c r="DL87" s="8">
        <v>2095775</v>
      </c>
      <c r="DM87" s="8">
        <v>3235840</v>
      </c>
      <c r="DN87" s="8">
        <v>5482528</v>
      </c>
      <c r="DO87" s="9">
        <f t="shared" si="46"/>
        <v>5482528</v>
      </c>
      <c r="DP87" s="8">
        <v>0</v>
      </c>
      <c r="DQ87" s="8">
        <v>0</v>
      </c>
      <c r="DR87" s="8">
        <v>0</v>
      </c>
      <c r="DS87" s="8">
        <v>0</v>
      </c>
      <c r="DT87" s="8">
        <v>0</v>
      </c>
      <c r="DU87" s="8">
        <v>113226</v>
      </c>
      <c r="DV87" s="8">
        <v>203356</v>
      </c>
      <c r="DW87" s="8">
        <v>579853</v>
      </c>
      <c r="DX87" s="8">
        <v>579963</v>
      </c>
      <c r="DY87" s="8">
        <v>730817</v>
      </c>
      <c r="DZ87" s="8">
        <v>1613286</v>
      </c>
      <c r="EA87" s="8">
        <v>2215508</v>
      </c>
      <c r="EB87" s="9">
        <f t="shared" si="47"/>
        <v>2215508</v>
      </c>
      <c r="EC87" s="8">
        <v>0</v>
      </c>
      <c r="ED87" s="8">
        <v>0</v>
      </c>
      <c r="EE87" s="8">
        <v>181703</v>
      </c>
      <c r="EF87" s="8">
        <v>457499</v>
      </c>
      <c r="EG87" s="8">
        <v>580001</v>
      </c>
      <c r="EH87" s="8">
        <v>685584</v>
      </c>
      <c r="EI87" s="8">
        <v>1082622</v>
      </c>
      <c r="EJ87" s="8">
        <v>1201998</v>
      </c>
      <c r="EK87" s="8">
        <v>1313986</v>
      </c>
      <c r="EL87" s="8">
        <v>1445885</v>
      </c>
      <c r="EM87" s="8">
        <v>1510510</v>
      </c>
      <c r="EN87" s="8">
        <v>4265327</v>
      </c>
      <c r="EO87" s="9">
        <f t="shared" si="48"/>
        <v>4265327</v>
      </c>
      <c r="EP87" s="8">
        <v>0</v>
      </c>
      <c r="EQ87" s="8">
        <v>0</v>
      </c>
      <c r="ER87" s="8">
        <v>732208</v>
      </c>
      <c r="ES87" s="8">
        <v>767674</v>
      </c>
      <c r="ET87" s="8">
        <v>1224165</v>
      </c>
      <c r="EU87" s="8">
        <v>2555008</v>
      </c>
      <c r="EV87" s="8">
        <v>3699754</v>
      </c>
      <c r="EW87" s="8">
        <v>5572712</v>
      </c>
      <c r="EX87" s="8">
        <v>8721988</v>
      </c>
      <c r="EY87" s="8">
        <v>8834841</v>
      </c>
      <c r="EZ87" s="8">
        <v>12002178</v>
      </c>
      <c r="FA87" s="8">
        <v>22939144</v>
      </c>
      <c r="FB87" s="9">
        <f t="shared" si="49"/>
        <v>22939144</v>
      </c>
      <c r="FC87" s="8">
        <v>0</v>
      </c>
      <c r="FD87" s="8">
        <v>0</v>
      </c>
      <c r="FE87" s="8">
        <v>2638785</v>
      </c>
      <c r="FF87" s="8">
        <v>4892743</v>
      </c>
      <c r="FG87" s="8">
        <v>5759141</v>
      </c>
      <c r="FH87" s="8">
        <v>8450936</v>
      </c>
      <c r="FI87" s="8">
        <v>11836020</v>
      </c>
      <c r="FJ87" s="8"/>
      <c r="FK87" s="8"/>
      <c r="FL87" s="8"/>
      <c r="FM87" s="8"/>
      <c r="FN87" s="8"/>
      <c r="FO87" s="9">
        <f t="shared" si="50"/>
        <v>11836020</v>
      </c>
    </row>
    <row r="88" spans="2:171" ht="14.25" customHeight="1" x14ac:dyDescent="0.3">
      <c r="B88" s="7" t="s">
        <v>51</v>
      </c>
      <c r="C88" s="8">
        <v>0</v>
      </c>
      <c r="D88" s="8">
        <v>0</v>
      </c>
      <c r="E88" s="8">
        <v>201301</v>
      </c>
      <c r="F88" s="8">
        <v>286784</v>
      </c>
      <c r="G88" s="8">
        <v>599966</v>
      </c>
      <c r="H88" s="8">
        <v>745481</v>
      </c>
      <c r="I88" s="8">
        <v>875059</v>
      </c>
      <c r="J88" s="8">
        <v>886426</v>
      </c>
      <c r="K88" s="8">
        <v>895599</v>
      </c>
      <c r="L88" s="8">
        <v>1168234</v>
      </c>
      <c r="M88" s="8">
        <v>1269163</v>
      </c>
      <c r="N88" s="8">
        <v>1854183</v>
      </c>
      <c r="O88" s="9">
        <f t="shared" si="38"/>
        <v>1854183</v>
      </c>
      <c r="P88" s="8">
        <v>0</v>
      </c>
      <c r="Q88" s="8">
        <v>0</v>
      </c>
      <c r="R88" s="8">
        <v>50171</v>
      </c>
      <c r="S88" s="8">
        <v>417017</v>
      </c>
      <c r="T88" s="8">
        <v>685329</v>
      </c>
      <c r="U88" s="8">
        <v>948725</v>
      </c>
      <c r="V88" s="8">
        <v>1089617</v>
      </c>
      <c r="W88" s="8">
        <v>1509585</v>
      </c>
      <c r="X88" s="8">
        <v>2240081</v>
      </c>
      <c r="Y88" s="8">
        <v>2337719</v>
      </c>
      <c r="Z88" s="8">
        <v>3713898</v>
      </c>
      <c r="AA88" s="8">
        <v>7035843</v>
      </c>
      <c r="AB88" s="9">
        <f t="shared" si="39"/>
        <v>7035843</v>
      </c>
      <c r="AC88" s="8">
        <v>0</v>
      </c>
      <c r="AD88" s="8">
        <v>0</v>
      </c>
      <c r="AE88" s="8">
        <v>0</v>
      </c>
      <c r="AF88" s="8">
        <v>693824</v>
      </c>
      <c r="AG88" s="8">
        <v>736718</v>
      </c>
      <c r="AH88" s="8">
        <v>1558666</v>
      </c>
      <c r="AI88" s="8">
        <v>2397935</v>
      </c>
      <c r="AJ88" s="8">
        <v>3430441</v>
      </c>
      <c r="AK88" s="8">
        <v>4061710</v>
      </c>
      <c r="AL88" s="8">
        <v>4272097</v>
      </c>
      <c r="AM88" s="8">
        <v>4990976</v>
      </c>
      <c r="AN88" s="8">
        <v>6163730</v>
      </c>
      <c r="AO88" s="9">
        <f t="shared" si="40"/>
        <v>6163730</v>
      </c>
      <c r="AP88" s="8">
        <v>0</v>
      </c>
      <c r="AQ88" s="8">
        <v>0</v>
      </c>
      <c r="AR88" s="8">
        <v>0</v>
      </c>
      <c r="AS88" s="8">
        <v>148911</v>
      </c>
      <c r="AT88" s="8">
        <v>390409</v>
      </c>
      <c r="AU88" s="8">
        <v>567676</v>
      </c>
      <c r="AV88" s="8">
        <v>620857</v>
      </c>
      <c r="AW88" s="8">
        <v>858248</v>
      </c>
      <c r="AX88" s="8">
        <v>971593</v>
      </c>
      <c r="AY88" s="8">
        <v>1237553</v>
      </c>
      <c r="AZ88" s="8">
        <v>1547143</v>
      </c>
      <c r="BA88" s="8">
        <v>2311055</v>
      </c>
      <c r="BB88" s="9">
        <f t="shared" si="41"/>
        <v>2311055</v>
      </c>
      <c r="BC88" s="8">
        <v>0</v>
      </c>
      <c r="BD88" s="8">
        <v>0</v>
      </c>
      <c r="BE88" s="8">
        <v>0</v>
      </c>
      <c r="BF88" s="8">
        <v>0</v>
      </c>
      <c r="BG88" s="8">
        <v>2455961</v>
      </c>
      <c r="BH88" s="8">
        <v>3205359</v>
      </c>
      <c r="BI88" s="8">
        <v>4054793</v>
      </c>
      <c r="BJ88" s="8">
        <v>5415039</v>
      </c>
      <c r="BK88" s="8">
        <v>5475804</v>
      </c>
      <c r="BL88" s="8">
        <v>5576380</v>
      </c>
      <c r="BM88" s="8">
        <v>5745363</v>
      </c>
      <c r="BN88" s="8">
        <v>15756415</v>
      </c>
      <c r="BO88" s="9">
        <f t="shared" si="42"/>
        <v>15756415</v>
      </c>
      <c r="BP88" s="8">
        <v>0</v>
      </c>
      <c r="BQ88" s="8">
        <v>0</v>
      </c>
      <c r="BR88" s="8">
        <v>1201570</v>
      </c>
      <c r="BS88" s="8">
        <v>3951275</v>
      </c>
      <c r="BT88" s="8">
        <v>7417232</v>
      </c>
      <c r="BU88" s="8">
        <v>8766561</v>
      </c>
      <c r="BV88" s="8">
        <v>9957407</v>
      </c>
      <c r="BW88" s="8">
        <v>10156955</v>
      </c>
      <c r="BX88" s="8">
        <v>10581499</v>
      </c>
      <c r="BY88" s="8">
        <v>12764907</v>
      </c>
      <c r="BZ88" s="8">
        <v>14398285</v>
      </c>
      <c r="CA88" s="8">
        <v>22884915</v>
      </c>
      <c r="CB88" s="9">
        <f t="shared" si="43"/>
        <v>22884915</v>
      </c>
      <c r="CC88" s="8">
        <v>0</v>
      </c>
      <c r="CD88" s="8">
        <v>0</v>
      </c>
      <c r="CE88" s="8">
        <v>1471666</v>
      </c>
      <c r="CF88" s="8">
        <v>4745395</v>
      </c>
      <c r="CG88" s="8">
        <v>6704317</v>
      </c>
      <c r="CH88" s="8">
        <v>11065140</v>
      </c>
      <c r="CI88" s="8">
        <v>11419367</v>
      </c>
      <c r="CJ88" s="8">
        <v>12666444</v>
      </c>
      <c r="CK88" s="8">
        <v>18140163</v>
      </c>
      <c r="CL88" s="8">
        <v>18930122</v>
      </c>
      <c r="CM88" s="8">
        <v>24469095</v>
      </c>
      <c r="CN88" s="8">
        <v>35649692</v>
      </c>
      <c r="CO88" s="9">
        <f t="shared" si="44"/>
        <v>35649692</v>
      </c>
      <c r="CP88" s="8">
        <v>0</v>
      </c>
      <c r="CQ88" s="8">
        <v>0</v>
      </c>
      <c r="CR88" s="8">
        <v>6150231</v>
      </c>
      <c r="CS88" s="8">
        <v>8905149</v>
      </c>
      <c r="CT88" s="8">
        <v>9533316</v>
      </c>
      <c r="CU88" s="8">
        <v>15784006</v>
      </c>
      <c r="CV88" s="8">
        <v>18197346</v>
      </c>
      <c r="CW88" s="8">
        <v>20402332</v>
      </c>
      <c r="CX88" s="8">
        <v>23085283</v>
      </c>
      <c r="CY88" s="8">
        <v>25192870</v>
      </c>
      <c r="CZ88" s="8">
        <v>25295817</v>
      </c>
      <c r="DA88" s="8">
        <v>38081001</v>
      </c>
      <c r="DB88" s="9">
        <f t="shared" si="45"/>
        <v>38081001</v>
      </c>
      <c r="DC88" s="8">
        <v>0</v>
      </c>
      <c r="DD88" s="8">
        <v>52025</v>
      </c>
      <c r="DE88" s="8">
        <v>2690821</v>
      </c>
      <c r="DF88" s="8">
        <v>4373949</v>
      </c>
      <c r="DG88" s="8">
        <v>5498005</v>
      </c>
      <c r="DH88" s="8">
        <v>6803459</v>
      </c>
      <c r="DI88" s="8">
        <v>8300642</v>
      </c>
      <c r="DJ88" s="8">
        <v>8733222</v>
      </c>
      <c r="DK88" s="8">
        <v>10485025</v>
      </c>
      <c r="DL88" s="8">
        <v>12848276</v>
      </c>
      <c r="DM88" s="8">
        <v>15355940</v>
      </c>
      <c r="DN88" s="8">
        <v>19878895</v>
      </c>
      <c r="DO88" s="9">
        <f t="shared" si="46"/>
        <v>19878895</v>
      </c>
      <c r="DP88" s="8">
        <v>0</v>
      </c>
      <c r="DQ88" s="8">
        <v>0</v>
      </c>
      <c r="DR88" s="8">
        <v>354009</v>
      </c>
      <c r="DS88" s="8">
        <v>948502</v>
      </c>
      <c r="DT88" s="8">
        <v>1307100</v>
      </c>
      <c r="DU88" s="8">
        <v>1708778</v>
      </c>
      <c r="DV88" s="8">
        <v>3102537</v>
      </c>
      <c r="DW88" s="8">
        <v>5238372</v>
      </c>
      <c r="DX88" s="8">
        <v>6906449</v>
      </c>
      <c r="DY88" s="8">
        <v>8763981</v>
      </c>
      <c r="DZ88" s="8">
        <v>11443221</v>
      </c>
      <c r="EA88" s="8">
        <v>15331951</v>
      </c>
      <c r="EB88" s="9">
        <f t="shared" si="47"/>
        <v>15331951</v>
      </c>
      <c r="EC88" s="8">
        <v>0</v>
      </c>
      <c r="ED88" s="8">
        <v>3793</v>
      </c>
      <c r="EE88" s="8">
        <v>1889723</v>
      </c>
      <c r="EF88" s="8">
        <v>3618662</v>
      </c>
      <c r="EG88" s="8">
        <v>5124294</v>
      </c>
      <c r="EH88" s="8">
        <v>8743996</v>
      </c>
      <c r="EI88" s="8">
        <v>10065404</v>
      </c>
      <c r="EJ88" s="8">
        <v>11559141</v>
      </c>
      <c r="EK88" s="8">
        <v>12119750</v>
      </c>
      <c r="EL88" s="8">
        <v>12635531</v>
      </c>
      <c r="EM88" s="8">
        <v>14378325</v>
      </c>
      <c r="EN88" s="8">
        <v>15745622</v>
      </c>
      <c r="EO88" s="9">
        <f t="shared" si="48"/>
        <v>15745622</v>
      </c>
      <c r="EP88" s="8">
        <v>0</v>
      </c>
      <c r="EQ88" s="8">
        <v>0</v>
      </c>
      <c r="ER88" s="8">
        <v>363126</v>
      </c>
      <c r="ES88" s="8">
        <v>1223295</v>
      </c>
      <c r="ET88" s="8">
        <v>1557034</v>
      </c>
      <c r="EU88" s="8">
        <v>1676025</v>
      </c>
      <c r="EV88" s="8">
        <v>2190991</v>
      </c>
      <c r="EW88" s="8">
        <v>2566584</v>
      </c>
      <c r="EX88" s="8">
        <v>10544554</v>
      </c>
      <c r="EY88" s="8">
        <v>10881112</v>
      </c>
      <c r="EZ88" s="8">
        <v>11518430</v>
      </c>
      <c r="FA88" s="8">
        <v>12702103</v>
      </c>
      <c r="FB88" s="9">
        <f t="shared" si="49"/>
        <v>12702103</v>
      </c>
      <c r="FC88" s="8">
        <v>0</v>
      </c>
      <c r="FD88" s="8">
        <v>0</v>
      </c>
      <c r="FE88" s="8">
        <v>207423</v>
      </c>
      <c r="FF88" s="8">
        <v>903843</v>
      </c>
      <c r="FG88" s="8">
        <v>1043342</v>
      </c>
      <c r="FH88" s="8">
        <v>1537759</v>
      </c>
      <c r="FI88" s="8">
        <v>1940057</v>
      </c>
      <c r="FJ88" s="8"/>
      <c r="FK88" s="8"/>
      <c r="FL88" s="8"/>
      <c r="FM88" s="8"/>
      <c r="FN88" s="8"/>
      <c r="FO88" s="9">
        <f t="shared" si="50"/>
        <v>1940057</v>
      </c>
    </row>
    <row r="89" spans="2:171" ht="14.25" customHeight="1" x14ac:dyDescent="0.3">
      <c r="B89" s="7" t="s">
        <v>52</v>
      </c>
      <c r="C89" s="8">
        <v>0</v>
      </c>
      <c r="D89" s="8">
        <v>1076991</v>
      </c>
      <c r="E89" s="8">
        <v>1742888</v>
      </c>
      <c r="F89" s="8">
        <v>2440558</v>
      </c>
      <c r="G89" s="8">
        <v>3418882</v>
      </c>
      <c r="H89" s="8">
        <v>4307629</v>
      </c>
      <c r="I89" s="8">
        <v>5293250</v>
      </c>
      <c r="J89" s="8">
        <v>6346878</v>
      </c>
      <c r="K89" s="8">
        <v>7599403</v>
      </c>
      <c r="L89" s="8">
        <v>8690189</v>
      </c>
      <c r="M89" s="8">
        <v>9884649</v>
      </c>
      <c r="N89" s="8">
        <v>13799293</v>
      </c>
      <c r="O89" s="9">
        <f t="shared" si="38"/>
        <v>13799293</v>
      </c>
      <c r="P89" s="8">
        <v>0</v>
      </c>
      <c r="Q89" s="8">
        <v>0</v>
      </c>
      <c r="R89" s="8">
        <v>1109556</v>
      </c>
      <c r="S89" s="8">
        <v>1534184</v>
      </c>
      <c r="T89" s="8">
        <v>2323691</v>
      </c>
      <c r="U89" s="8">
        <v>3383329</v>
      </c>
      <c r="V89" s="8">
        <v>4511976</v>
      </c>
      <c r="W89" s="8">
        <v>5489824</v>
      </c>
      <c r="X89" s="8">
        <v>7089714</v>
      </c>
      <c r="Y89" s="8">
        <v>8241408</v>
      </c>
      <c r="Z89" s="8">
        <v>9530613</v>
      </c>
      <c r="AA89" s="8">
        <v>13142928</v>
      </c>
      <c r="AB89" s="9">
        <f t="shared" si="39"/>
        <v>13142928</v>
      </c>
      <c r="AC89" s="8">
        <v>0</v>
      </c>
      <c r="AD89" s="8">
        <v>0</v>
      </c>
      <c r="AE89" s="8">
        <v>851850</v>
      </c>
      <c r="AF89" s="8">
        <v>3499780</v>
      </c>
      <c r="AG89" s="8">
        <v>5071535</v>
      </c>
      <c r="AH89" s="8">
        <v>7026196</v>
      </c>
      <c r="AI89" s="8">
        <v>11038855</v>
      </c>
      <c r="AJ89" s="8">
        <v>12298861</v>
      </c>
      <c r="AK89" s="8">
        <v>13376802</v>
      </c>
      <c r="AL89" s="8">
        <v>15552350</v>
      </c>
      <c r="AM89" s="8">
        <v>18155976</v>
      </c>
      <c r="AN89" s="8">
        <v>29865010</v>
      </c>
      <c r="AO89" s="9">
        <f t="shared" si="40"/>
        <v>29865010</v>
      </c>
      <c r="AP89" s="8">
        <v>0</v>
      </c>
      <c r="AQ89" s="8">
        <v>983332</v>
      </c>
      <c r="AR89" s="8">
        <v>2072475</v>
      </c>
      <c r="AS89" s="8">
        <v>3179440</v>
      </c>
      <c r="AT89" s="8">
        <v>5053200</v>
      </c>
      <c r="AU89" s="8">
        <v>6006908</v>
      </c>
      <c r="AV89" s="8">
        <v>11251268</v>
      </c>
      <c r="AW89" s="8">
        <v>14105926</v>
      </c>
      <c r="AX89" s="8">
        <v>15931261</v>
      </c>
      <c r="AY89" s="8">
        <v>18795254</v>
      </c>
      <c r="AZ89" s="8">
        <v>19176294</v>
      </c>
      <c r="BA89" s="8">
        <v>31121067</v>
      </c>
      <c r="BB89" s="9">
        <f t="shared" si="41"/>
        <v>31121067</v>
      </c>
      <c r="BC89" s="8">
        <v>0</v>
      </c>
      <c r="BD89" s="8">
        <v>0</v>
      </c>
      <c r="BE89" s="8">
        <v>0</v>
      </c>
      <c r="BF89" s="8">
        <v>14585750</v>
      </c>
      <c r="BG89" s="8">
        <v>17258761</v>
      </c>
      <c r="BH89" s="8">
        <v>20446188</v>
      </c>
      <c r="BI89" s="8">
        <v>31500133</v>
      </c>
      <c r="BJ89" s="8">
        <v>34578599</v>
      </c>
      <c r="BK89" s="8">
        <v>36125947</v>
      </c>
      <c r="BL89" s="8">
        <v>45811346</v>
      </c>
      <c r="BM89" s="8">
        <v>47791770</v>
      </c>
      <c r="BN89" s="8">
        <v>56094267</v>
      </c>
      <c r="BO89" s="9">
        <f t="shared" si="42"/>
        <v>56094267</v>
      </c>
      <c r="BP89" s="8">
        <v>0</v>
      </c>
      <c r="BQ89" s="8">
        <v>0</v>
      </c>
      <c r="BR89" s="8">
        <v>8998085</v>
      </c>
      <c r="BS89" s="8">
        <v>11137062</v>
      </c>
      <c r="BT89" s="8">
        <v>16977785</v>
      </c>
      <c r="BU89" s="8">
        <v>22730466</v>
      </c>
      <c r="BV89" s="8">
        <v>29050541</v>
      </c>
      <c r="BW89" s="8">
        <v>30329045</v>
      </c>
      <c r="BX89" s="8">
        <v>44069106</v>
      </c>
      <c r="BY89" s="8">
        <v>46068547</v>
      </c>
      <c r="BZ89" s="8">
        <v>59423516</v>
      </c>
      <c r="CA89" s="8">
        <v>77161620</v>
      </c>
      <c r="CB89" s="9">
        <f t="shared" si="43"/>
        <v>77161620</v>
      </c>
      <c r="CC89" s="8">
        <v>0</v>
      </c>
      <c r="CD89" s="8">
        <v>0</v>
      </c>
      <c r="CE89" s="8">
        <v>10763723</v>
      </c>
      <c r="CF89" s="8">
        <v>18838339</v>
      </c>
      <c r="CG89" s="8">
        <v>19937472</v>
      </c>
      <c r="CH89" s="8">
        <v>29729335</v>
      </c>
      <c r="CI89" s="8">
        <v>31375887</v>
      </c>
      <c r="CJ89" s="8">
        <v>41925526</v>
      </c>
      <c r="CK89" s="8">
        <v>52803715</v>
      </c>
      <c r="CL89" s="8">
        <v>55155717</v>
      </c>
      <c r="CM89" s="8">
        <v>60010596</v>
      </c>
      <c r="CN89" s="8">
        <v>74770612</v>
      </c>
      <c r="CO89" s="9">
        <f t="shared" si="44"/>
        <v>74770612</v>
      </c>
      <c r="CP89" s="8">
        <v>0</v>
      </c>
      <c r="CQ89" s="8">
        <v>4193300</v>
      </c>
      <c r="CR89" s="8">
        <v>6289421</v>
      </c>
      <c r="CS89" s="8">
        <v>10874656</v>
      </c>
      <c r="CT89" s="8">
        <v>14347851</v>
      </c>
      <c r="CU89" s="8">
        <v>17934120</v>
      </c>
      <c r="CV89" s="8">
        <v>23492834</v>
      </c>
      <c r="CW89" s="8">
        <v>26334481</v>
      </c>
      <c r="CX89" s="8">
        <v>31209158</v>
      </c>
      <c r="CY89" s="8">
        <v>36618365</v>
      </c>
      <c r="CZ89" s="8">
        <v>41515018</v>
      </c>
      <c r="DA89" s="8">
        <v>51127415</v>
      </c>
      <c r="DB89" s="9">
        <f t="shared" si="45"/>
        <v>51127415</v>
      </c>
      <c r="DC89" s="8">
        <v>0</v>
      </c>
      <c r="DD89" s="8">
        <v>0</v>
      </c>
      <c r="DE89" s="8">
        <v>1408391</v>
      </c>
      <c r="DF89" s="8">
        <v>4279463</v>
      </c>
      <c r="DG89" s="8">
        <v>6339769</v>
      </c>
      <c r="DH89" s="8">
        <v>8882130</v>
      </c>
      <c r="DI89" s="8">
        <v>11065876</v>
      </c>
      <c r="DJ89" s="8">
        <v>17186576</v>
      </c>
      <c r="DK89" s="8">
        <v>19399476</v>
      </c>
      <c r="DL89" s="8">
        <v>21966573</v>
      </c>
      <c r="DM89" s="8">
        <v>25704385</v>
      </c>
      <c r="DN89" s="8">
        <v>35431654</v>
      </c>
      <c r="DO89" s="9">
        <f t="shared" si="46"/>
        <v>35431654</v>
      </c>
      <c r="DP89" s="8">
        <v>0</v>
      </c>
      <c r="DQ89" s="8">
        <v>646877</v>
      </c>
      <c r="DR89" s="8">
        <v>1910359</v>
      </c>
      <c r="DS89" s="8">
        <v>8873923</v>
      </c>
      <c r="DT89" s="8">
        <v>10683792</v>
      </c>
      <c r="DU89" s="8">
        <v>16111228</v>
      </c>
      <c r="DV89" s="8">
        <v>20670838</v>
      </c>
      <c r="DW89" s="8">
        <v>22396585</v>
      </c>
      <c r="DX89" s="8">
        <v>26630089</v>
      </c>
      <c r="DY89" s="8">
        <v>27372100</v>
      </c>
      <c r="DZ89" s="8">
        <v>33133993</v>
      </c>
      <c r="EA89" s="8">
        <v>41895788</v>
      </c>
      <c r="EB89" s="9">
        <f t="shared" si="47"/>
        <v>41895788</v>
      </c>
      <c r="EC89" s="8">
        <v>0</v>
      </c>
      <c r="ED89" s="8">
        <v>0</v>
      </c>
      <c r="EE89" s="8">
        <v>1149160</v>
      </c>
      <c r="EF89" s="8">
        <v>7639668</v>
      </c>
      <c r="EG89" s="8">
        <v>11265562</v>
      </c>
      <c r="EH89" s="8">
        <v>14484146</v>
      </c>
      <c r="EI89" s="8">
        <v>18016722</v>
      </c>
      <c r="EJ89" s="8">
        <v>51616947</v>
      </c>
      <c r="EK89" s="8">
        <v>58856054</v>
      </c>
      <c r="EL89" s="8">
        <v>63545882</v>
      </c>
      <c r="EM89" s="8">
        <v>71727558</v>
      </c>
      <c r="EN89" s="8">
        <v>84834322</v>
      </c>
      <c r="EO89" s="9">
        <f t="shared" si="48"/>
        <v>84834322</v>
      </c>
      <c r="EP89" s="8">
        <v>0</v>
      </c>
      <c r="EQ89" s="8">
        <v>155103</v>
      </c>
      <c r="ER89" s="8">
        <v>16727385</v>
      </c>
      <c r="ES89" s="8">
        <v>23173932</v>
      </c>
      <c r="ET89" s="8">
        <v>28829845</v>
      </c>
      <c r="EU89" s="8">
        <v>31035704</v>
      </c>
      <c r="EV89" s="8">
        <v>35219090</v>
      </c>
      <c r="EW89" s="8">
        <v>37989279</v>
      </c>
      <c r="EX89" s="8">
        <v>40229586</v>
      </c>
      <c r="EY89" s="8">
        <v>42897538</v>
      </c>
      <c r="EZ89" s="8">
        <v>45488629</v>
      </c>
      <c r="FA89" s="8">
        <v>51816598</v>
      </c>
      <c r="FB89" s="9">
        <f t="shared" si="49"/>
        <v>51816598</v>
      </c>
      <c r="FC89" s="8">
        <v>0</v>
      </c>
      <c r="FD89" s="8">
        <v>0</v>
      </c>
      <c r="FE89" s="8">
        <v>4072814</v>
      </c>
      <c r="FF89" s="8">
        <v>6426971</v>
      </c>
      <c r="FG89" s="8">
        <v>7944500</v>
      </c>
      <c r="FH89" s="8">
        <v>9687821</v>
      </c>
      <c r="FI89" s="8">
        <v>10600915</v>
      </c>
      <c r="FJ89" s="8"/>
      <c r="FK89" s="8"/>
      <c r="FL89" s="8"/>
      <c r="FM89" s="8"/>
      <c r="FN89" s="8"/>
      <c r="FO89" s="9">
        <f t="shared" si="50"/>
        <v>10600915</v>
      </c>
    </row>
    <row r="90" spans="2:171" ht="14.25" customHeight="1" x14ac:dyDescent="0.3">
      <c r="B90" s="7" t="s">
        <v>53</v>
      </c>
      <c r="C90" s="8">
        <v>0</v>
      </c>
      <c r="D90" s="8">
        <v>0</v>
      </c>
      <c r="E90" s="8">
        <v>1367991</v>
      </c>
      <c r="F90" s="8">
        <v>1859571</v>
      </c>
      <c r="G90" s="8">
        <v>2200368</v>
      </c>
      <c r="H90" s="8">
        <v>2629034</v>
      </c>
      <c r="I90" s="8">
        <v>3212319</v>
      </c>
      <c r="J90" s="8">
        <v>3780452</v>
      </c>
      <c r="K90" s="8">
        <v>4280228</v>
      </c>
      <c r="L90" s="8">
        <v>4716888</v>
      </c>
      <c r="M90" s="8">
        <v>5238854</v>
      </c>
      <c r="N90" s="8">
        <v>6857635</v>
      </c>
      <c r="O90" s="9">
        <f t="shared" si="38"/>
        <v>6857635</v>
      </c>
      <c r="P90" s="8">
        <v>0</v>
      </c>
      <c r="Q90" s="8">
        <v>0</v>
      </c>
      <c r="R90" s="8">
        <v>29721</v>
      </c>
      <c r="S90" s="8">
        <v>76973</v>
      </c>
      <c r="T90" s="8">
        <v>97158</v>
      </c>
      <c r="U90" s="8">
        <v>511740</v>
      </c>
      <c r="V90" s="8">
        <v>582650</v>
      </c>
      <c r="W90" s="8">
        <v>616564</v>
      </c>
      <c r="X90" s="8">
        <v>665659</v>
      </c>
      <c r="Y90" s="8">
        <v>796527</v>
      </c>
      <c r="Z90" s="8">
        <v>918305</v>
      </c>
      <c r="AA90" s="8">
        <v>4174429</v>
      </c>
      <c r="AB90" s="9">
        <f t="shared" si="39"/>
        <v>4174429</v>
      </c>
      <c r="AC90" s="8">
        <v>0</v>
      </c>
      <c r="AD90" s="8">
        <v>1326</v>
      </c>
      <c r="AE90" s="8">
        <v>1326</v>
      </c>
      <c r="AF90" s="8">
        <v>36642</v>
      </c>
      <c r="AG90" s="8">
        <v>57730</v>
      </c>
      <c r="AH90" s="8">
        <v>104354</v>
      </c>
      <c r="AI90" s="8">
        <v>270218</v>
      </c>
      <c r="AJ90" s="8">
        <v>359390</v>
      </c>
      <c r="AK90" s="8">
        <v>427504</v>
      </c>
      <c r="AL90" s="8">
        <v>4015648</v>
      </c>
      <c r="AM90" s="8">
        <v>4031412</v>
      </c>
      <c r="AN90" s="8">
        <v>1060743</v>
      </c>
      <c r="AO90" s="9">
        <f t="shared" si="40"/>
        <v>1060743</v>
      </c>
      <c r="AP90" s="8">
        <v>0</v>
      </c>
      <c r="AQ90" s="8">
        <v>410588</v>
      </c>
      <c r="AR90" s="8">
        <v>845482</v>
      </c>
      <c r="AS90" s="8">
        <v>1296153</v>
      </c>
      <c r="AT90" s="8">
        <v>1800171</v>
      </c>
      <c r="AU90" s="8">
        <v>2408373</v>
      </c>
      <c r="AV90" s="8">
        <v>3129292</v>
      </c>
      <c r="AW90" s="8">
        <v>3885733</v>
      </c>
      <c r="AX90" s="8">
        <v>4278386</v>
      </c>
      <c r="AY90" s="8">
        <v>4651432</v>
      </c>
      <c r="AZ90" s="8">
        <v>4905170</v>
      </c>
      <c r="BA90" s="8">
        <v>6495636</v>
      </c>
      <c r="BB90" s="9">
        <f t="shared" si="41"/>
        <v>6495636</v>
      </c>
      <c r="BC90" s="8">
        <v>0</v>
      </c>
      <c r="BD90" s="8">
        <v>0</v>
      </c>
      <c r="BE90" s="8">
        <v>0</v>
      </c>
      <c r="BF90" s="8">
        <v>921</v>
      </c>
      <c r="BG90" s="8">
        <v>163532</v>
      </c>
      <c r="BH90" s="8">
        <v>915777</v>
      </c>
      <c r="BI90" s="8">
        <v>2066718</v>
      </c>
      <c r="BJ90" s="8">
        <v>2603409</v>
      </c>
      <c r="BK90" s="8">
        <v>3475200</v>
      </c>
      <c r="BL90" s="8">
        <v>4602553</v>
      </c>
      <c r="BM90" s="8">
        <v>5398847</v>
      </c>
      <c r="BN90" s="8">
        <v>5688570</v>
      </c>
      <c r="BO90" s="9">
        <f t="shared" si="42"/>
        <v>5688570</v>
      </c>
      <c r="BP90" s="8">
        <v>0</v>
      </c>
      <c r="BQ90" s="8">
        <v>804475</v>
      </c>
      <c r="BR90" s="8">
        <v>1173894</v>
      </c>
      <c r="BS90" s="8">
        <v>1797719</v>
      </c>
      <c r="BT90" s="8">
        <v>1807682</v>
      </c>
      <c r="BU90" s="8">
        <v>1862648</v>
      </c>
      <c r="BV90" s="8">
        <v>3779232</v>
      </c>
      <c r="BW90" s="8">
        <v>4404168</v>
      </c>
      <c r="BX90" s="8">
        <v>5440094</v>
      </c>
      <c r="BY90" s="8">
        <v>5886291</v>
      </c>
      <c r="BZ90" s="8">
        <v>6276228</v>
      </c>
      <c r="CA90" s="8">
        <v>7120607</v>
      </c>
      <c r="CB90" s="9">
        <f t="shared" si="43"/>
        <v>7120607</v>
      </c>
      <c r="CC90" s="8">
        <v>0</v>
      </c>
      <c r="CD90" s="8">
        <v>0</v>
      </c>
      <c r="CE90" s="8">
        <v>0</v>
      </c>
      <c r="CF90" s="8">
        <v>238121</v>
      </c>
      <c r="CG90" s="8">
        <v>815703</v>
      </c>
      <c r="CH90" s="8">
        <v>1244882</v>
      </c>
      <c r="CI90" s="8">
        <v>1342060</v>
      </c>
      <c r="CJ90" s="8">
        <v>1440547</v>
      </c>
      <c r="CK90" s="8">
        <v>1542397</v>
      </c>
      <c r="CL90" s="8">
        <v>3517785</v>
      </c>
      <c r="CM90" s="8">
        <v>3965900</v>
      </c>
      <c r="CN90" s="8">
        <v>5496913</v>
      </c>
      <c r="CO90" s="9">
        <f t="shared" si="44"/>
        <v>5496913</v>
      </c>
      <c r="CP90" s="8">
        <v>0</v>
      </c>
      <c r="CQ90" s="8">
        <v>27517</v>
      </c>
      <c r="CR90" s="8">
        <v>326619</v>
      </c>
      <c r="CS90" s="8">
        <v>480756</v>
      </c>
      <c r="CT90" s="8">
        <v>755464</v>
      </c>
      <c r="CU90" s="8">
        <v>1358420</v>
      </c>
      <c r="CV90" s="8">
        <v>1414026</v>
      </c>
      <c r="CW90" s="8">
        <v>1425434</v>
      </c>
      <c r="CX90" s="8">
        <v>1568827</v>
      </c>
      <c r="CY90" s="8">
        <v>1584192</v>
      </c>
      <c r="CZ90" s="8">
        <v>1848877</v>
      </c>
      <c r="DA90" s="8">
        <v>5093885</v>
      </c>
      <c r="DB90" s="9">
        <f t="shared" si="45"/>
        <v>5093885</v>
      </c>
      <c r="DC90" s="8">
        <v>0</v>
      </c>
      <c r="DD90" s="8">
        <v>0</v>
      </c>
      <c r="DE90" s="8">
        <v>0</v>
      </c>
      <c r="DF90" s="8">
        <v>1183279</v>
      </c>
      <c r="DG90" s="8">
        <v>1673754</v>
      </c>
      <c r="DH90" s="8">
        <v>2070968</v>
      </c>
      <c r="DI90" s="8">
        <v>2421326</v>
      </c>
      <c r="DJ90" s="8">
        <v>2969641</v>
      </c>
      <c r="DK90" s="8">
        <v>3403331</v>
      </c>
      <c r="DL90" s="8">
        <v>5137005</v>
      </c>
      <c r="DM90" s="8">
        <v>5785496</v>
      </c>
      <c r="DN90" s="8">
        <v>9381755</v>
      </c>
      <c r="DO90" s="9">
        <f t="shared" si="46"/>
        <v>9381755</v>
      </c>
      <c r="DP90" s="8">
        <v>0</v>
      </c>
      <c r="DQ90" s="8">
        <v>7850</v>
      </c>
      <c r="DR90" s="8">
        <v>537746</v>
      </c>
      <c r="DS90" s="8">
        <v>977628</v>
      </c>
      <c r="DT90" s="8">
        <v>1605388</v>
      </c>
      <c r="DU90" s="8">
        <v>1994221</v>
      </c>
      <c r="DV90" s="8">
        <v>2232666</v>
      </c>
      <c r="DW90" s="8">
        <v>2366610</v>
      </c>
      <c r="DX90" s="8">
        <v>2368581</v>
      </c>
      <c r="DY90" s="8">
        <v>2417008</v>
      </c>
      <c r="DZ90" s="8">
        <v>2949534</v>
      </c>
      <c r="EA90" s="8">
        <v>4484538</v>
      </c>
      <c r="EB90" s="9">
        <f t="shared" si="47"/>
        <v>4484538</v>
      </c>
      <c r="EC90" s="8">
        <v>0</v>
      </c>
      <c r="ED90" s="8">
        <v>0</v>
      </c>
      <c r="EE90" s="8">
        <v>76378</v>
      </c>
      <c r="EF90" s="8">
        <v>77324</v>
      </c>
      <c r="EG90" s="8">
        <v>85449</v>
      </c>
      <c r="EH90" s="8">
        <v>160543</v>
      </c>
      <c r="EI90" s="8">
        <v>222737</v>
      </c>
      <c r="EJ90" s="8">
        <v>331064</v>
      </c>
      <c r="EK90" s="8">
        <v>400556</v>
      </c>
      <c r="EL90" s="8">
        <v>541909</v>
      </c>
      <c r="EM90" s="8">
        <v>733649</v>
      </c>
      <c r="EN90" s="8">
        <v>1324722</v>
      </c>
      <c r="EO90" s="9">
        <f t="shared" si="48"/>
        <v>1324722</v>
      </c>
      <c r="EP90" s="8">
        <v>0</v>
      </c>
      <c r="EQ90" s="8">
        <v>0</v>
      </c>
      <c r="ER90" s="8">
        <v>689770</v>
      </c>
      <c r="ES90" s="8">
        <v>1051244</v>
      </c>
      <c r="ET90" s="8">
        <v>1276682</v>
      </c>
      <c r="EU90" s="8">
        <v>1496824</v>
      </c>
      <c r="EV90" s="8">
        <v>1718944</v>
      </c>
      <c r="EW90" s="8">
        <v>1951104</v>
      </c>
      <c r="EX90" s="8">
        <v>2230181</v>
      </c>
      <c r="EY90" s="8">
        <v>2408430</v>
      </c>
      <c r="EZ90" s="8">
        <v>2588641</v>
      </c>
      <c r="FA90" s="8">
        <v>2964460</v>
      </c>
      <c r="FB90" s="9">
        <f t="shared" si="49"/>
        <v>2964460</v>
      </c>
      <c r="FC90" s="8">
        <v>0</v>
      </c>
      <c r="FD90" s="8">
        <v>13541</v>
      </c>
      <c r="FE90" s="8">
        <v>227257</v>
      </c>
      <c r="FF90" s="8">
        <v>840801</v>
      </c>
      <c r="FG90" s="8">
        <v>845195</v>
      </c>
      <c r="FH90" s="8">
        <v>876974</v>
      </c>
      <c r="FI90" s="8">
        <v>903120</v>
      </c>
      <c r="FJ90" s="8"/>
      <c r="FK90" s="8"/>
      <c r="FL90" s="8"/>
      <c r="FM90" s="8"/>
      <c r="FN90" s="8"/>
      <c r="FO90" s="9">
        <f t="shared" si="50"/>
        <v>903120</v>
      </c>
    </row>
    <row r="91" spans="2:171" ht="14.25" customHeight="1" x14ac:dyDescent="0.3">
      <c r="B91" s="7" t="s">
        <v>54</v>
      </c>
      <c r="C91" s="8">
        <v>0</v>
      </c>
      <c r="D91" s="8">
        <v>111299</v>
      </c>
      <c r="E91" s="8">
        <v>3324466</v>
      </c>
      <c r="F91" s="8">
        <v>4964998</v>
      </c>
      <c r="G91" s="8">
        <v>5001726</v>
      </c>
      <c r="H91" s="8">
        <v>5414546</v>
      </c>
      <c r="I91" s="8">
        <v>5510623</v>
      </c>
      <c r="J91" s="8">
        <v>5626167</v>
      </c>
      <c r="K91" s="8">
        <v>6081225</v>
      </c>
      <c r="L91" s="8">
        <v>7510852</v>
      </c>
      <c r="M91" s="8">
        <v>7700538</v>
      </c>
      <c r="N91" s="8">
        <v>23760031</v>
      </c>
      <c r="O91" s="9">
        <f t="shared" si="38"/>
        <v>23760031</v>
      </c>
      <c r="P91" s="8">
        <v>0</v>
      </c>
      <c r="Q91" s="8">
        <v>0</v>
      </c>
      <c r="R91" s="8">
        <v>74464</v>
      </c>
      <c r="S91" s="8">
        <v>100566</v>
      </c>
      <c r="T91" s="8">
        <v>139491</v>
      </c>
      <c r="U91" s="8">
        <v>251731</v>
      </c>
      <c r="V91" s="8">
        <v>790817</v>
      </c>
      <c r="W91" s="8">
        <v>2267145</v>
      </c>
      <c r="X91" s="8">
        <v>3203010</v>
      </c>
      <c r="Y91" s="8">
        <v>4108623</v>
      </c>
      <c r="Z91" s="8">
        <v>4500774</v>
      </c>
      <c r="AA91" s="8">
        <v>14253720</v>
      </c>
      <c r="AB91" s="9">
        <f t="shared" si="39"/>
        <v>14253720</v>
      </c>
      <c r="AC91" s="8">
        <v>0</v>
      </c>
      <c r="AD91" s="8">
        <v>0</v>
      </c>
      <c r="AE91" s="8">
        <v>428508</v>
      </c>
      <c r="AF91" s="8">
        <v>916582</v>
      </c>
      <c r="AG91" s="8">
        <v>1482498</v>
      </c>
      <c r="AH91" s="8">
        <v>2189530</v>
      </c>
      <c r="AI91" s="8">
        <v>2958386</v>
      </c>
      <c r="AJ91" s="8">
        <v>5734850</v>
      </c>
      <c r="AK91" s="8">
        <v>6759369</v>
      </c>
      <c r="AL91" s="8">
        <v>7589090</v>
      </c>
      <c r="AM91" s="8">
        <v>8279370</v>
      </c>
      <c r="AN91" s="8">
        <v>10743646</v>
      </c>
      <c r="AO91" s="9">
        <f t="shared" si="40"/>
        <v>10743646</v>
      </c>
      <c r="AP91" s="8">
        <v>0</v>
      </c>
      <c r="AQ91" s="8">
        <v>233074</v>
      </c>
      <c r="AR91" s="8">
        <v>1889861</v>
      </c>
      <c r="AS91" s="8">
        <v>3376538</v>
      </c>
      <c r="AT91" s="8">
        <v>4309398</v>
      </c>
      <c r="AU91" s="8">
        <v>5887497</v>
      </c>
      <c r="AV91" s="8">
        <v>7251521</v>
      </c>
      <c r="AW91" s="8">
        <v>8334063</v>
      </c>
      <c r="AX91" s="8">
        <v>9117509</v>
      </c>
      <c r="AY91" s="8">
        <v>9583523</v>
      </c>
      <c r="AZ91" s="8">
        <v>9869279</v>
      </c>
      <c r="BA91" s="8">
        <v>12369380</v>
      </c>
      <c r="BB91" s="9">
        <f t="shared" si="41"/>
        <v>12369380</v>
      </c>
      <c r="BC91" s="8">
        <v>0</v>
      </c>
      <c r="BD91" s="8">
        <v>0</v>
      </c>
      <c r="BE91" s="8">
        <v>0</v>
      </c>
      <c r="BF91" s="8">
        <v>992851</v>
      </c>
      <c r="BG91" s="8">
        <v>1175415</v>
      </c>
      <c r="BH91" s="8">
        <v>1204031</v>
      </c>
      <c r="BI91" s="8">
        <v>1230651</v>
      </c>
      <c r="BJ91" s="8">
        <v>1604955</v>
      </c>
      <c r="BK91" s="8">
        <v>1657932</v>
      </c>
      <c r="BL91" s="8">
        <v>1904349</v>
      </c>
      <c r="BM91" s="8">
        <v>2162426</v>
      </c>
      <c r="BN91" s="8">
        <v>3894624</v>
      </c>
      <c r="BO91" s="9">
        <f t="shared" si="42"/>
        <v>3894624</v>
      </c>
      <c r="BP91" s="8">
        <v>0</v>
      </c>
      <c r="BQ91" s="8">
        <v>0</v>
      </c>
      <c r="BR91" s="8">
        <v>826782</v>
      </c>
      <c r="BS91" s="8">
        <v>1585737</v>
      </c>
      <c r="BT91" s="8">
        <v>2308647</v>
      </c>
      <c r="BU91" s="8">
        <v>3534549</v>
      </c>
      <c r="BV91" s="8">
        <v>4043033</v>
      </c>
      <c r="BW91" s="8">
        <v>4586162</v>
      </c>
      <c r="BX91" s="8">
        <v>6338463</v>
      </c>
      <c r="BY91" s="8">
        <v>7207271</v>
      </c>
      <c r="BZ91" s="8">
        <v>7539091</v>
      </c>
      <c r="CA91" s="8">
        <v>9800434</v>
      </c>
      <c r="CB91" s="9">
        <f t="shared" si="43"/>
        <v>9800434</v>
      </c>
      <c r="CC91" s="8">
        <v>0</v>
      </c>
      <c r="CD91" s="8">
        <v>0</v>
      </c>
      <c r="CE91" s="8">
        <v>288346</v>
      </c>
      <c r="CF91" s="8">
        <v>452786</v>
      </c>
      <c r="CG91" s="8">
        <v>622159</v>
      </c>
      <c r="CH91" s="8">
        <v>625352</v>
      </c>
      <c r="CI91" s="8">
        <v>702294</v>
      </c>
      <c r="CJ91" s="8">
        <v>853255</v>
      </c>
      <c r="CK91" s="8">
        <v>916368</v>
      </c>
      <c r="CL91" s="8">
        <v>1157723</v>
      </c>
      <c r="CM91" s="8">
        <v>1238701</v>
      </c>
      <c r="CN91" s="8">
        <v>1497395</v>
      </c>
      <c r="CO91" s="9">
        <f t="shared" si="44"/>
        <v>1497395</v>
      </c>
      <c r="CP91" s="8">
        <v>0</v>
      </c>
      <c r="CQ91" s="8">
        <v>30294</v>
      </c>
      <c r="CR91" s="8">
        <v>30294</v>
      </c>
      <c r="CS91" s="8">
        <v>35694</v>
      </c>
      <c r="CT91" s="8">
        <v>56037</v>
      </c>
      <c r="CU91" s="8">
        <v>73966</v>
      </c>
      <c r="CV91" s="8">
        <v>102699</v>
      </c>
      <c r="CW91" s="8">
        <v>134150</v>
      </c>
      <c r="CX91" s="8">
        <v>214200</v>
      </c>
      <c r="CY91" s="8">
        <v>246490</v>
      </c>
      <c r="CZ91" s="8">
        <v>279491</v>
      </c>
      <c r="DA91" s="8">
        <v>308425</v>
      </c>
      <c r="DB91" s="9">
        <f t="shared" si="45"/>
        <v>308425</v>
      </c>
      <c r="DC91" s="8">
        <v>0</v>
      </c>
      <c r="DD91" s="8">
        <v>0</v>
      </c>
      <c r="DE91" s="8">
        <v>0</v>
      </c>
      <c r="DF91" s="8">
        <v>1950</v>
      </c>
      <c r="DG91" s="8">
        <v>1950</v>
      </c>
      <c r="DH91" s="8">
        <v>63072</v>
      </c>
      <c r="DI91" s="8">
        <v>138228</v>
      </c>
      <c r="DJ91" s="8">
        <v>144031</v>
      </c>
      <c r="DK91" s="8">
        <v>145981</v>
      </c>
      <c r="DL91" s="8">
        <v>147931</v>
      </c>
      <c r="DM91" s="8">
        <v>149881</v>
      </c>
      <c r="DN91" s="8">
        <v>415560</v>
      </c>
      <c r="DO91" s="9">
        <f t="shared" si="46"/>
        <v>415560</v>
      </c>
      <c r="DP91" s="8">
        <v>0</v>
      </c>
      <c r="DQ91" s="8">
        <v>0</v>
      </c>
      <c r="DR91" s="8">
        <v>0</v>
      </c>
      <c r="DS91" s="8">
        <v>0</v>
      </c>
      <c r="DT91" s="8">
        <v>82928</v>
      </c>
      <c r="DU91" s="8">
        <v>513334</v>
      </c>
      <c r="DV91" s="8">
        <v>513334</v>
      </c>
      <c r="DW91" s="8">
        <v>925767</v>
      </c>
      <c r="DX91" s="8">
        <v>1371777</v>
      </c>
      <c r="DY91" s="8">
        <v>1689708</v>
      </c>
      <c r="DZ91" s="8">
        <v>2214296</v>
      </c>
      <c r="EA91" s="8">
        <v>3563937</v>
      </c>
      <c r="EB91" s="9">
        <f t="shared" si="47"/>
        <v>3563937</v>
      </c>
      <c r="EC91" s="8">
        <v>0</v>
      </c>
      <c r="ED91" s="8">
        <v>897455</v>
      </c>
      <c r="EE91" s="8">
        <v>897455</v>
      </c>
      <c r="EF91" s="8">
        <v>1720709</v>
      </c>
      <c r="EG91" s="8">
        <v>2014796</v>
      </c>
      <c r="EH91" s="8">
        <v>2014796</v>
      </c>
      <c r="EI91" s="8">
        <v>2724185</v>
      </c>
      <c r="EJ91" s="8">
        <v>2724185</v>
      </c>
      <c r="EK91" s="8">
        <v>4406681</v>
      </c>
      <c r="EL91" s="8">
        <v>4921244</v>
      </c>
      <c r="EM91" s="8">
        <v>4925100</v>
      </c>
      <c r="EN91" s="8">
        <v>5132360</v>
      </c>
      <c r="EO91" s="9">
        <f t="shared" si="48"/>
        <v>5132360</v>
      </c>
      <c r="EP91" s="8">
        <v>0</v>
      </c>
      <c r="EQ91" s="8">
        <v>0</v>
      </c>
      <c r="ER91" s="8">
        <v>347212</v>
      </c>
      <c r="ES91" s="8">
        <v>546793</v>
      </c>
      <c r="ET91" s="8">
        <v>546793</v>
      </c>
      <c r="EU91" s="8">
        <v>904938</v>
      </c>
      <c r="EV91" s="8">
        <v>904938</v>
      </c>
      <c r="EW91" s="8">
        <v>904938</v>
      </c>
      <c r="EX91" s="8">
        <v>982169</v>
      </c>
      <c r="EY91" s="8">
        <v>1153086</v>
      </c>
      <c r="EZ91" s="8">
        <v>1181536</v>
      </c>
      <c r="FA91" s="8">
        <v>2055961</v>
      </c>
      <c r="FB91" s="9">
        <f t="shared" si="49"/>
        <v>2055961</v>
      </c>
      <c r="FC91" s="8">
        <v>0</v>
      </c>
      <c r="FD91" s="8">
        <v>21783</v>
      </c>
      <c r="FE91" s="8">
        <v>21783</v>
      </c>
      <c r="FF91" s="8">
        <v>21783</v>
      </c>
      <c r="FG91" s="8">
        <v>21783</v>
      </c>
      <c r="FH91" s="8">
        <v>21783</v>
      </c>
      <c r="FI91" s="8">
        <v>25219</v>
      </c>
      <c r="FJ91" s="8"/>
      <c r="FK91" s="8"/>
      <c r="FL91" s="8"/>
      <c r="FM91" s="8"/>
      <c r="FN91" s="8"/>
      <c r="FO91" s="9">
        <f t="shared" si="50"/>
        <v>25219</v>
      </c>
    </row>
    <row r="92" spans="2:171" ht="14.25" customHeight="1" x14ac:dyDescent="0.3">
      <c r="B92" s="7" t="s">
        <v>55</v>
      </c>
      <c r="C92" s="8">
        <v>0</v>
      </c>
      <c r="D92" s="8">
        <v>0</v>
      </c>
      <c r="E92" s="8">
        <v>3900715</v>
      </c>
      <c r="F92" s="8">
        <v>5619574</v>
      </c>
      <c r="G92" s="8">
        <v>8579508</v>
      </c>
      <c r="H92" s="8">
        <v>10002207</v>
      </c>
      <c r="I92" s="8">
        <v>12050345</v>
      </c>
      <c r="J92" s="8">
        <v>13817464</v>
      </c>
      <c r="K92" s="8">
        <v>16454667</v>
      </c>
      <c r="L92" s="8">
        <v>17924509</v>
      </c>
      <c r="M92" s="8">
        <v>19575276</v>
      </c>
      <c r="N92" s="8">
        <v>28469266</v>
      </c>
      <c r="O92" s="9">
        <f t="shared" si="38"/>
        <v>28469266</v>
      </c>
      <c r="P92" s="8">
        <v>0</v>
      </c>
      <c r="Q92" s="8">
        <v>0</v>
      </c>
      <c r="R92" s="8">
        <v>1070179</v>
      </c>
      <c r="S92" s="8">
        <v>1765709</v>
      </c>
      <c r="T92" s="8">
        <v>1802399</v>
      </c>
      <c r="U92" s="8">
        <v>3641888</v>
      </c>
      <c r="V92" s="8">
        <v>4218558</v>
      </c>
      <c r="W92" s="8">
        <v>4526123</v>
      </c>
      <c r="X92" s="8">
        <v>8611457</v>
      </c>
      <c r="Y92" s="8">
        <v>9986109</v>
      </c>
      <c r="Z92" s="8">
        <v>16522037</v>
      </c>
      <c r="AA92" s="8">
        <v>24207525</v>
      </c>
      <c r="AB92" s="9">
        <f t="shared" si="39"/>
        <v>24207525</v>
      </c>
      <c r="AC92" s="8">
        <v>0</v>
      </c>
      <c r="AD92" s="8">
        <v>131536</v>
      </c>
      <c r="AE92" s="8">
        <v>358235</v>
      </c>
      <c r="AF92" s="8">
        <v>695476</v>
      </c>
      <c r="AG92" s="8">
        <v>1092525</v>
      </c>
      <c r="AH92" s="8">
        <v>1784401</v>
      </c>
      <c r="AI92" s="8">
        <v>2528187</v>
      </c>
      <c r="AJ92" s="8">
        <v>3564005</v>
      </c>
      <c r="AK92" s="8">
        <v>5063825</v>
      </c>
      <c r="AL92" s="8">
        <v>5636237</v>
      </c>
      <c r="AM92" s="8">
        <v>8442851</v>
      </c>
      <c r="AN92" s="8">
        <v>17132338</v>
      </c>
      <c r="AO92" s="9">
        <f t="shared" si="40"/>
        <v>17132338</v>
      </c>
      <c r="AP92" s="8">
        <v>0</v>
      </c>
      <c r="AQ92" s="8">
        <v>617354</v>
      </c>
      <c r="AR92" s="8">
        <v>1213464</v>
      </c>
      <c r="AS92" s="8">
        <v>2306441</v>
      </c>
      <c r="AT92" s="8">
        <v>2787600</v>
      </c>
      <c r="AU92" s="8">
        <v>3286752</v>
      </c>
      <c r="AV92" s="8">
        <v>11609638</v>
      </c>
      <c r="AW92" s="8">
        <v>12110155</v>
      </c>
      <c r="AX92" s="8">
        <v>12500417</v>
      </c>
      <c r="AY92" s="8">
        <v>13045764</v>
      </c>
      <c r="AZ92" s="8">
        <v>13412120</v>
      </c>
      <c r="BA92" s="8">
        <v>15872340</v>
      </c>
      <c r="BB92" s="9">
        <f t="shared" si="41"/>
        <v>15872340</v>
      </c>
      <c r="BC92" s="8">
        <v>0</v>
      </c>
      <c r="BD92" s="8">
        <v>0</v>
      </c>
      <c r="BE92" s="8">
        <v>613823</v>
      </c>
      <c r="BF92" s="8">
        <v>1916356</v>
      </c>
      <c r="BG92" s="8">
        <v>3545903</v>
      </c>
      <c r="BH92" s="8">
        <v>4267662</v>
      </c>
      <c r="BI92" s="8">
        <v>4995754</v>
      </c>
      <c r="BJ92" s="8">
        <v>5553874</v>
      </c>
      <c r="BK92" s="8">
        <v>7614916</v>
      </c>
      <c r="BL92" s="8">
        <v>7855002</v>
      </c>
      <c r="BM92" s="8">
        <v>9302361</v>
      </c>
      <c r="BN92" s="8">
        <v>11285683</v>
      </c>
      <c r="BO92" s="9">
        <f t="shared" si="42"/>
        <v>11285683</v>
      </c>
      <c r="BP92" s="8">
        <v>29826000</v>
      </c>
      <c r="BQ92" s="8">
        <v>30355311</v>
      </c>
      <c r="BR92" s="8">
        <v>30581293</v>
      </c>
      <c r="BS92" s="8">
        <v>30782145</v>
      </c>
      <c r="BT92" s="8">
        <v>52418376</v>
      </c>
      <c r="BU92" s="8">
        <v>52658503</v>
      </c>
      <c r="BV92" s="8">
        <v>52808223</v>
      </c>
      <c r="BW92" s="8">
        <v>53045018</v>
      </c>
      <c r="BX92" s="8">
        <v>98485226</v>
      </c>
      <c r="BY92" s="8">
        <v>98752058</v>
      </c>
      <c r="BZ92" s="8">
        <v>99044598</v>
      </c>
      <c r="CA92" s="8">
        <v>126472739</v>
      </c>
      <c r="CB92" s="9">
        <f t="shared" si="43"/>
        <v>126472739</v>
      </c>
      <c r="CC92" s="8">
        <v>0</v>
      </c>
      <c r="CD92" s="8">
        <v>0</v>
      </c>
      <c r="CE92" s="8">
        <v>566723</v>
      </c>
      <c r="CF92" s="8">
        <v>23493185</v>
      </c>
      <c r="CG92" s="8">
        <v>23637614</v>
      </c>
      <c r="CH92" s="8">
        <v>23790919</v>
      </c>
      <c r="CI92" s="8">
        <v>23971373</v>
      </c>
      <c r="CJ92" s="8">
        <v>24344385</v>
      </c>
      <c r="CK92" s="8">
        <v>25308374</v>
      </c>
      <c r="CL92" s="8">
        <v>26158174</v>
      </c>
      <c r="CM92" s="8">
        <v>28698500</v>
      </c>
      <c r="CN92" s="8">
        <v>80432838</v>
      </c>
      <c r="CO92" s="9">
        <f t="shared" si="44"/>
        <v>80432838</v>
      </c>
      <c r="CP92" s="8">
        <v>0</v>
      </c>
      <c r="CQ92" s="8">
        <v>0</v>
      </c>
      <c r="CR92" s="8">
        <v>1566442</v>
      </c>
      <c r="CS92" s="8">
        <v>2310090</v>
      </c>
      <c r="CT92" s="8">
        <v>3508825</v>
      </c>
      <c r="CU92" s="8">
        <v>5413453</v>
      </c>
      <c r="CV92" s="8">
        <v>7648240</v>
      </c>
      <c r="CW92" s="8">
        <v>24455005</v>
      </c>
      <c r="CX92" s="8">
        <v>26537865</v>
      </c>
      <c r="CY92" s="8">
        <v>28864526</v>
      </c>
      <c r="CZ92" s="8">
        <v>30907547</v>
      </c>
      <c r="DA92" s="8">
        <v>37879360</v>
      </c>
      <c r="DB92" s="9">
        <f t="shared" si="45"/>
        <v>37879360</v>
      </c>
      <c r="DC92" s="8">
        <v>0</v>
      </c>
      <c r="DD92" s="8">
        <v>1608553</v>
      </c>
      <c r="DE92" s="8">
        <v>3547996</v>
      </c>
      <c r="DF92" s="8">
        <v>6654207</v>
      </c>
      <c r="DG92" s="8">
        <v>9732467</v>
      </c>
      <c r="DH92" s="8">
        <v>12247436</v>
      </c>
      <c r="DI92" s="8">
        <v>13030122</v>
      </c>
      <c r="DJ92" s="8">
        <v>16221187</v>
      </c>
      <c r="DK92" s="8">
        <v>18011523</v>
      </c>
      <c r="DL92" s="8">
        <v>28645828</v>
      </c>
      <c r="DM92" s="8">
        <v>31176650</v>
      </c>
      <c r="DN92" s="8">
        <v>37389677</v>
      </c>
      <c r="DO92" s="9">
        <f t="shared" si="46"/>
        <v>37389677</v>
      </c>
      <c r="DP92" s="8">
        <v>0</v>
      </c>
      <c r="DQ92" s="8">
        <v>1314000</v>
      </c>
      <c r="DR92" s="8">
        <v>2849072</v>
      </c>
      <c r="DS92" s="8">
        <v>4045891</v>
      </c>
      <c r="DT92" s="8">
        <v>5235271</v>
      </c>
      <c r="DU92" s="8">
        <v>6393413</v>
      </c>
      <c r="DV92" s="8">
        <v>7672022</v>
      </c>
      <c r="DW92" s="8">
        <v>8389674</v>
      </c>
      <c r="DX92" s="8">
        <v>9626758</v>
      </c>
      <c r="DY92" s="8">
        <v>10821951</v>
      </c>
      <c r="DZ92" s="8">
        <v>12202959</v>
      </c>
      <c r="EA92" s="8">
        <v>17709218</v>
      </c>
      <c r="EB92" s="9">
        <f t="shared" si="47"/>
        <v>17709218</v>
      </c>
      <c r="EC92" s="8">
        <v>0</v>
      </c>
      <c r="ED92" s="8">
        <v>0</v>
      </c>
      <c r="EE92" s="8">
        <v>1300031</v>
      </c>
      <c r="EF92" s="8">
        <v>2007531</v>
      </c>
      <c r="EG92" s="8">
        <v>2507669</v>
      </c>
      <c r="EH92" s="8">
        <v>2942585</v>
      </c>
      <c r="EI92" s="8">
        <v>3604412</v>
      </c>
      <c r="EJ92" s="8">
        <v>4152522</v>
      </c>
      <c r="EK92" s="8">
        <v>4624776</v>
      </c>
      <c r="EL92" s="8">
        <v>15921298</v>
      </c>
      <c r="EM92" s="8">
        <v>16767521</v>
      </c>
      <c r="EN92" s="8">
        <v>19388865</v>
      </c>
      <c r="EO92" s="9">
        <f t="shared" si="48"/>
        <v>19388865</v>
      </c>
      <c r="EP92" s="8">
        <v>0</v>
      </c>
      <c r="EQ92" s="8">
        <v>1444391</v>
      </c>
      <c r="ER92" s="8">
        <v>3307459</v>
      </c>
      <c r="ES92" s="8">
        <v>5697964</v>
      </c>
      <c r="ET92" s="8">
        <v>7210914</v>
      </c>
      <c r="EU92" s="8">
        <v>8140142</v>
      </c>
      <c r="EV92" s="8">
        <v>8728998</v>
      </c>
      <c r="EW92" s="8">
        <v>9505420</v>
      </c>
      <c r="EX92" s="8">
        <v>9596544</v>
      </c>
      <c r="EY92" s="8">
        <v>10241243</v>
      </c>
      <c r="EZ92" s="8">
        <v>10312665</v>
      </c>
      <c r="FA92" s="8">
        <v>10877039</v>
      </c>
      <c r="FB92" s="9">
        <f t="shared" si="49"/>
        <v>10877039</v>
      </c>
      <c r="FC92" s="8">
        <v>37134</v>
      </c>
      <c r="FD92" s="8">
        <v>71427</v>
      </c>
      <c r="FE92" s="8">
        <v>82441</v>
      </c>
      <c r="FF92" s="8">
        <v>91437</v>
      </c>
      <c r="FG92" s="8">
        <v>127594</v>
      </c>
      <c r="FH92" s="8">
        <v>1265885</v>
      </c>
      <c r="FI92" s="8">
        <v>1314068</v>
      </c>
      <c r="FJ92" s="8"/>
      <c r="FK92" s="8"/>
      <c r="FL92" s="8"/>
      <c r="FM92" s="8"/>
      <c r="FN92" s="8"/>
      <c r="FO92" s="9">
        <f t="shared" si="50"/>
        <v>1314068</v>
      </c>
    </row>
    <row r="93" spans="2:171" ht="14.25" customHeight="1" x14ac:dyDescent="0.3">
      <c r="B93" s="7" t="s">
        <v>56</v>
      </c>
      <c r="C93" s="8">
        <v>0</v>
      </c>
      <c r="D93" s="8">
        <v>1332965</v>
      </c>
      <c r="E93" s="8">
        <v>1953724</v>
      </c>
      <c r="F93" s="8">
        <v>2187797</v>
      </c>
      <c r="G93" s="8">
        <v>2404482</v>
      </c>
      <c r="H93" s="8">
        <v>2703904</v>
      </c>
      <c r="I93" s="8">
        <v>3056401</v>
      </c>
      <c r="J93" s="8">
        <v>4266257</v>
      </c>
      <c r="K93" s="8">
        <v>4971879</v>
      </c>
      <c r="L93" s="8">
        <v>4974306</v>
      </c>
      <c r="M93" s="8">
        <v>5502097</v>
      </c>
      <c r="N93" s="8">
        <v>5920520</v>
      </c>
      <c r="O93" s="9">
        <f t="shared" si="38"/>
        <v>5920520</v>
      </c>
      <c r="P93" s="8">
        <v>0</v>
      </c>
      <c r="Q93" s="8">
        <v>209383</v>
      </c>
      <c r="R93" s="8">
        <v>527436</v>
      </c>
      <c r="S93" s="8">
        <v>820080</v>
      </c>
      <c r="T93" s="8">
        <v>1107779</v>
      </c>
      <c r="U93" s="8">
        <v>1285912</v>
      </c>
      <c r="V93" s="8">
        <v>1403149</v>
      </c>
      <c r="W93" s="8">
        <v>2136320</v>
      </c>
      <c r="X93" s="8">
        <v>2399908</v>
      </c>
      <c r="Y93" s="8">
        <v>2631780</v>
      </c>
      <c r="Z93" s="8">
        <v>3190922</v>
      </c>
      <c r="AA93" s="8">
        <v>5277073</v>
      </c>
      <c r="AB93" s="9">
        <f t="shared" si="39"/>
        <v>5277073</v>
      </c>
      <c r="AC93" s="8">
        <v>0</v>
      </c>
      <c r="AD93" s="8">
        <v>36540</v>
      </c>
      <c r="AE93" s="8">
        <v>233433</v>
      </c>
      <c r="AF93" s="8">
        <v>367278</v>
      </c>
      <c r="AG93" s="8">
        <v>508610</v>
      </c>
      <c r="AH93" s="8">
        <v>703400</v>
      </c>
      <c r="AI93" s="8">
        <v>872877</v>
      </c>
      <c r="AJ93" s="8">
        <v>1137659</v>
      </c>
      <c r="AK93" s="8">
        <v>1544987</v>
      </c>
      <c r="AL93" s="8">
        <v>1818110</v>
      </c>
      <c r="AM93" s="8">
        <v>2270029</v>
      </c>
      <c r="AN93" s="8">
        <v>3020945</v>
      </c>
      <c r="AO93" s="9">
        <f t="shared" si="40"/>
        <v>3020945</v>
      </c>
      <c r="AP93" s="8">
        <v>0</v>
      </c>
      <c r="AQ93" s="8">
        <v>95254</v>
      </c>
      <c r="AR93" s="8">
        <v>331789</v>
      </c>
      <c r="AS93" s="8">
        <v>646602</v>
      </c>
      <c r="AT93" s="8">
        <v>884617</v>
      </c>
      <c r="AU93" s="8">
        <v>1096131</v>
      </c>
      <c r="AV93" s="8">
        <v>1131690</v>
      </c>
      <c r="AW93" s="8">
        <v>1237597</v>
      </c>
      <c r="AX93" s="8">
        <v>1367955</v>
      </c>
      <c r="AY93" s="8">
        <v>2694529</v>
      </c>
      <c r="AZ93" s="8">
        <v>2735372</v>
      </c>
      <c r="BA93" s="8">
        <v>2332734</v>
      </c>
      <c r="BB93" s="9">
        <f t="shared" si="41"/>
        <v>2332734</v>
      </c>
      <c r="BC93" s="8">
        <v>0</v>
      </c>
      <c r="BD93" s="8">
        <v>0</v>
      </c>
      <c r="BE93" s="8">
        <v>0</v>
      </c>
      <c r="BF93" s="8">
        <v>193900</v>
      </c>
      <c r="BG93" s="8">
        <v>1101890</v>
      </c>
      <c r="BH93" s="8">
        <v>1349347</v>
      </c>
      <c r="BI93" s="8">
        <v>1546222</v>
      </c>
      <c r="BJ93" s="8">
        <v>1731638</v>
      </c>
      <c r="BK93" s="8">
        <v>3274147</v>
      </c>
      <c r="BL93" s="8">
        <v>3382156</v>
      </c>
      <c r="BM93" s="8">
        <v>3519391</v>
      </c>
      <c r="BN93" s="8">
        <v>3761625</v>
      </c>
      <c r="BO93" s="9">
        <f t="shared" si="42"/>
        <v>3761625</v>
      </c>
      <c r="BP93" s="8">
        <v>0</v>
      </c>
      <c r="BQ93" s="8">
        <v>170472</v>
      </c>
      <c r="BR93" s="8">
        <v>1485106</v>
      </c>
      <c r="BS93" s="8">
        <v>1953230</v>
      </c>
      <c r="BT93" s="8">
        <v>2165169</v>
      </c>
      <c r="BU93" s="8">
        <v>2282462</v>
      </c>
      <c r="BV93" s="8">
        <v>2829182</v>
      </c>
      <c r="BW93" s="8">
        <v>3184252</v>
      </c>
      <c r="BX93" s="8">
        <v>4463426</v>
      </c>
      <c r="BY93" s="8">
        <v>5744534</v>
      </c>
      <c r="BZ93" s="8">
        <v>7455914</v>
      </c>
      <c r="CA93" s="8">
        <v>8319239</v>
      </c>
      <c r="CB93" s="9">
        <f t="shared" si="43"/>
        <v>8319239</v>
      </c>
      <c r="CC93" s="8">
        <v>0</v>
      </c>
      <c r="CD93" s="8">
        <v>966852</v>
      </c>
      <c r="CE93" s="8">
        <v>1889236</v>
      </c>
      <c r="CF93" s="8">
        <v>2742090</v>
      </c>
      <c r="CG93" s="8">
        <v>3791298</v>
      </c>
      <c r="CH93" s="8">
        <v>4495439</v>
      </c>
      <c r="CI93" s="8">
        <v>5142677</v>
      </c>
      <c r="CJ93" s="8">
        <v>6431400</v>
      </c>
      <c r="CK93" s="8">
        <v>7677151</v>
      </c>
      <c r="CL93" s="8">
        <v>9561000</v>
      </c>
      <c r="CM93" s="8">
        <v>11948869</v>
      </c>
      <c r="CN93" s="8">
        <v>17702480</v>
      </c>
      <c r="CO93" s="9">
        <f t="shared" si="44"/>
        <v>17702480</v>
      </c>
      <c r="CP93" s="8">
        <v>0</v>
      </c>
      <c r="CQ93" s="8">
        <v>1384223</v>
      </c>
      <c r="CR93" s="8">
        <v>2723117</v>
      </c>
      <c r="CS93" s="8">
        <v>4636341</v>
      </c>
      <c r="CT93" s="8">
        <v>6615476</v>
      </c>
      <c r="CU93" s="8">
        <v>10323193</v>
      </c>
      <c r="CV93" s="8">
        <v>12897061</v>
      </c>
      <c r="CW93" s="8">
        <v>14743324</v>
      </c>
      <c r="CX93" s="8">
        <v>16508801</v>
      </c>
      <c r="CY93" s="8">
        <v>19151231</v>
      </c>
      <c r="CZ93" s="8">
        <v>20694189</v>
      </c>
      <c r="DA93" s="8">
        <v>27420950</v>
      </c>
      <c r="DB93" s="9">
        <f t="shared" si="45"/>
        <v>27420950</v>
      </c>
      <c r="DC93" s="8">
        <v>0</v>
      </c>
      <c r="DD93" s="8">
        <v>1129685</v>
      </c>
      <c r="DE93" s="8">
        <v>4359556</v>
      </c>
      <c r="DF93" s="8">
        <v>6533519</v>
      </c>
      <c r="DG93" s="8">
        <v>8030604</v>
      </c>
      <c r="DH93" s="8">
        <v>13278630</v>
      </c>
      <c r="DI93" s="8">
        <v>15877066</v>
      </c>
      <c r="DJ93" s="8">
        <v>18746986</v>
      </c>
      <c r="DK93" s="8">
        <v>21943390</v>
      </c>
      <c r="DL93" s="8">
        <v>25499309</v>
      </c>
      <c r="DM93" s="8">
        <v>28947753</v>
      </c>
      <c r="DN93" s="8">
        <v>39956773</v>
      </c>
      <c r="DO93" s="9">
        <f t="shared" si="46"/>
        <v>39956773</v>
      </c>
      <c r="DP93" s="8">
        <v>0</v>
      </c>
      <c r="DQ93" s="8">
        <v>4083369</v>
      </c>
      <c r="DR93" s="8">
        <v>9284579</v>
      </c>
      <c r="DS93" s="8">
        <v>13337428</v>
      </c>
      <c r="DT93" s="8">
        <v>18743662</v>
      </c>
      <c r="DU93" s="8">
        <v>23795975</v>
      </c>
      <c r="DV93" s="8">
        <v>31473740</v>
      </c>
      <c r="DW93" s="8">
        <v>34282271</v>
      </c>
      <c r="DX93" s="8">
        <v>37824489</v>
      </c>
      <c r="DY93" s="8">
        <v>44854059</v>
      </c>
      <c r="DZ93" s="8">
        <v>48954903</v>
      </c>
      <c r="EA93" s="8">
        <v>70575392</v>
      </c>
      <c r="EB93" s="9">
        <f t="shared" si="47"/>
        <v>70575392</v>
      </c>
      <c r="EC93" s="8">
        <v>0</v>
      </c>
      <c r="ED93" s="8">
        <v>3741402</v>
      </c>
      <c r="EE93" s="8">
        <v>6018020</v>
      </c>
      <c r="EF93" s="8">
        <v>10606637</v>
      </c>
      <c r="EG93" s="8">
        <v>13723244</v>
      </c>
      <c r="EH93" s="8">
        <v>22756296</v>
      </c>
      <c r="EI93" s="8">
        <v>56642345</v>
      </c>
      <c r="EJ93" s="8">
        <v>65100242</v>
      </c>
      <c r="EK93" s="8">
        <v>69799192</v>
      </c>
      <c r="EL93" s="8">
        <v>73975095</v>
      </c>
      <c r="EM93" s="8">
        <v>77599924</v>
      </c>
      <c r="EN93" s="8">
        <v>84530480</v>
      </c>
      <c r="EO93" s="9">
        <f t="shared" si="48"/>
        <v>84530480</v>
      </c>
      <c r="EP93" s="8">
        <v>0</v>
      </c>
      <c r="EQ93" s="8">
        <v>5166201</v>
      </c>
      <c r="ER93" s="8">
        <v>10592462</v>
      </c>
      <c r="ES93" s="8">
        <v>13533682</v>
      </c>
      <c r="ET93" s="8">
        <v>17408497</v>
      </c>
      <c r="EU93" s="8">
        <v>21545674</v>
      </c>
      <c r="EV93" s="8">
        <v>26150340</v>
      </c>
      <c r="EW93" s="8">
        <v>28768276</v>
      </c>
      <c r="EX93" s="8">
        <v>32498358</v>
      </c>
      <c r="EY93" s="8">
        <v>35758015</v>
      </c>
      <c r="EZ93" s="8">
        <v>38289420</v>
      </c>
      <c r="FA93" s="8">
        <v>42357508</v>
      </c>
      <c r="FB93" s="9">
        <f t="shared" si="49"/>
        <v>42357508</v>
      </c>
      <c r="FC93" s="8">
        <v>234857</v>
      </c>
      <c r="FD93" s="8">
        <v>1764543</v>
      </c>
      <c r="FE93" s="8">
        <v>5139311</v>
      </c>
      <c r="FF93" s="8">
        <v>7690261</v>
      </c>
      <c r="FG93" s="8">
        <v>10757142</v>
      </c>
      <c r="FH93" s="8">
        <v>14859460</v>
      </c>
      <c r="FI93" s="8">
        <v>16408459</v>
      </c>
      <c r="FJ93" s="8"/>
      <c r="FK93" s="8"/>
      <c r="FL93" s="8"/>
      <c r="FM93" s="8"/>
      <c r="FN93" s="8"/>
      <c r="FO93" s="9">
        <f t="shared" si="50"/>
        <v>16408459</v>
      </c>
    </row>
    <row r="94" spans="2:171" ht="14.25" customHeight="1" x14ac:dyDescent="0.3">
      <c r="B94" s="7" t="s">
        <v>57</v>
      </c>
      <c r="C94" s="8">
        <v>0</v>
      </c>
      <c r="D94" s="8">
        <v>1271219</v>
      </c>
      <c r="E94" s="8">
        <v>3127132</v>
      </c>
      <c r="F94" s="8">
        <v>3328906</v>
      </c>
      <c r="G94" s="8">
        <v>3908962</v>
      </c>
      <c r="H94" s="8">
        <v>3934432</v>
      </c>
      <c r="I94" s="8">
        <v>4231784</v>
      </c>
      <c r="J94" s="8">
        <v>4423541</v>
      </c>
      <c r="K94" s="8">
        <v>4595569</v>
      </c>
      <c r="L94" s="8">
        <v>5264704</v>
      </c>
      <c r="M94" s="8">
        <v>5415940</v>
      </c>
      <c r="N94" s="8">
        <v>8732586</v>
      </c>
      <c r="O94" s="9">
        <f t="shared" si="38"/>
        <v>8732586</v>
      </c>
      <c r="P94" s="8">
        <v>0</v>
      </c>
      <c r="Q94" s="8">
        <v>0</v>
      </c>
      <c r="R94" s="8">
        <v>0</v>
      </c>
      <c r="S94" s="8">
        <v>296622</v>
      </c>
      <c r="T94" s="8">
        <v>614381</v>
      </c>
      <c r="U94" s="8">
        <v>804126</v>
      </c>
      <c r="V94" s="8">
        <v>948290</v>
      </c>
      <c r="W94" s="8">
        <v>1326344</v>
      </c>
      <c r="X94" s="8">
        <v>1718096</v>
      </c>
      <c r="Y94" s="8">
        <v>1963902</v>
      </c>
      <c r="Z94" s="8">
        <v>2276839</v>
      </c>
      <c r="AA94" s="8">
        <v>8134726</v>
      </c>
      <c r="AB94" s="9">
        <f t="shared" si="39"/>
        <v>8134726</v>
      </c>
      <c r="AC94" s="8">
        <v>0</v>
      </c>
      <c r="AD94" s="8">
        <v>7150</v>
      </c>
      <c r="AE94" s="8">
        <v>539500</v>
      </c>
      <c r="AF94" s="8">
        <v>982519</v>
      </c>
      <c r="AG94" s="8">
        <v>1815069</v>
      </c>
      <c r="AH94" s="8">
        <v>2735476</v>
      </c>
      <c r="AI94" s="8">
        <v>3612035</v>
      </c>
      <c r="AJ94" s="8">
        <v>4325983</v>
      </c>
      <c r="AK94" s="8">
        <v>4593678</v>
      </c>
      <c r="AL94" s="8">
        <v>6508179</v>
      </c>
      <c r="AM94" s="8">
        <v>8170681</v>
      </c>
      <c r="AN94" s="8">
        <v>10690038</v>
      </c>
      <c r="AO94" s="9">
        <f t="shared" si="40"/>
        <v>10690038</v>
      </c>
      <c r="AP94" s="8">
        <v>0</v>
      </c>
      <c r="AQ94" s="8">
        <v>520505</v>
      </c>
      <c r="AR94" s="8">
        <v>823416</v>
      </c>
      <c r="AS94" s="8">
        <v>1374523</v>
      </c>
      <c r="AT94" s="8">
        <v>1674968</v>
      </c>
      <c r="AU94" s="8">
        <v>2855638</v>
      </c>
      <c r="AV94" s="8">
        <v>3422841</v>
      </c>
      <c r="AW94" s="8">
        <v>3783278</v>
      </c>
      <c r="AX94" s="8">
        <v>4130763</v>
      </c>
      <c r="AY94" s="8">
        <v>4343584</v>
      </c>
      <c r="AZ94" s="8">
        <v>5095672</v>
      </c>
      <c r="BA94" s="8">
        <v>9086519</v>
      </c>
      <c r="BB94" s="9">
        <f t="shared" si="41"/>
        <v>9086519</v>
      </c>
      <c r="BC94" s="8">
        <v>0</v>
      </c>
      <c r="BD94" s="8">
        <v>0</v>
      </c>
      <c r="BE94" s="8">
        <v>0</v>
      </c>
      <c r="BF94" s="8">
        <v>263646</v>
      </c>
      <c r="BG94" s="8">
        <v>387906</v>
      </c>
      <c r="BH94" s="8">
        <v>468393</v>
      </c>
      <c r="BI94" s="8">
        <v>696745</v>
      </c>
      <c r="BJ94" s="8">
        <v>790347</v>
      </c>
      <c r="BK94" s="8">
        <v>810156</v>
      </c>
      <c r="BL94" s="8">
        <v>853391</v>
      </c>
      <c r="BM94" s="8">
        <v>951760</v>
      </c>
      <c r="BN94" s="8">
        <v>1664211</v>
      </c>
      <c r="BO94" s="9">
        <f t="shared" si="42"/>
        <v>1664211</v>
      </c>
      <c r="BP94" s="8">
        <v>0</v>
      </c>
      <c r="BQ94" s="8">
        <v>0</v>
      </c>
      <c r="BR94" s="8">
        <v>495454</v>
      </c>
      <c r="BS94" s="8">
        <v>495454</v>
      </c>
      <c r="BT94" s="8">
        <v>612991</v>
      </c>
      <c r="BU94" s="8">
        <v>860425</v>
      </c>
      <c r="BV94" s="8">
        <v>1114005</v>
      </c>
      <c r="BW94" s="8">
        <v>1342097</v>
      </c>
      <c r="BX94" s="8">
        <v>1481440</v>
      </c>
      <c r="BY94" s="8">
        <v>1728174</v>
      </c>
      <c r="BZ94" s="8">
        <v>2182901</v>
      </c>
      <c r="CA94" s="8">
        <v>2695973</v>
      </c>
      <c r="CB94" s="9">
        <f t="shared" si="43"/>
        <v>2695973</v>
      </c>
      <c r="CC94" s="8">
        <v>0</v>
      </c>
      <c r="CD94" s="8">
        <v>549431</v>
      </c>
      <c r="CE94" s="8">
        <v>1017363</v>
      </c>
      <c r="CF94" s="8">
        <v>1237888</v>
      </c>
      <c r="CG94" s="8">
        <v>1612949</v>
      </c>
      <c r="CH94" s="8">
        <v>2107416</v>
      </c>
      <c r="CI94" s="8">
        <v>2799645</v>
      </c>
      <c r="CJ94" s="8">
        <v>3465374</v>
      </c>
      <c r="CK94" s="8">
        <v>4215215</v>
      </c>
      <c r="CL94" s="8">
        <v>4356038</v>
      </c>
      <c r="CM94" s="8">
        <v>5004291</v>
      </c>
      <c r="CN94" s="8">
        <v>6306519</v>
      </c>
      <c r="CO94" s="9">
        <f t="shared" si="44"/>
        <v>6306519</v>
      </c>
      <c r="CP94" s="8">
        <v>0</v>
      </c>
      <c r="CQ94" s="8">
        <v>419402</v>
      </c>
      <c r="CR94" s="8">
        <v>891752</v>
      </c>
      <c r="CS94" s="8">
        <v>1554532</v>
      </c>
      <c r="CT94" s="8">
        <v>1693794</v>
      </c>
      <c r="CU94" s="8">
        <v>1993124</v>
      </c>
      <c r="CV94" s="8">
        <v>2782469</v>
      </c>
      <c r="CW94" s="8">
        <v>3011932</v>
      </c>
      <c r="CX94" s="8">
        <v>3292651</v>
      </c>
      <c r="CY94" s="8">
        <v>3647697</v>
      </c>
      <c r="CZ94" s="8">
        <v>3865432</v>
      </c>
      <c r="DA94" s="8">
        <v>6465616</v>
      </c>
      <c r="DB94" s="9">
        <f t="shared" si="45"/>
        <v>6465616</v>
      </c>
      <c r="DC94" s="8">
        <v>0</v>
      </c>
      <c r="DD94" s="8">
        <v>72929</v>
      </c>
      <c r="DE94" s="8">
        <v>114197</v>
      </c>
      <c r="DF94" s="8">
        <v>158467</v>
      </c>
      <c r="DG94" s="8">
        <v>169772</v>
      </c>
      <c r="DH94" s="8">
        <v>269517</v>
      </c>
      <c r="DI94" s="8">
        <v>283437</v>
      </c>
      <c r="DJ94" s="8">
        <v>289037</v>
      </c>
      <c r="DK94" s="8">
        <v>298597</v>
      </c>
      <c r="DL94" s="8">
        <v>464896</v>
      </c>
      <c r="DM94" s="8">
        <v>505635</v>
      </c>
      <c r="DN94" s="8">
        <v>541519</v>
      </c>
      <c r="DO94" s="9">
        <f t="shared" si="46"/>
        <v>541519</v>
      </c>
      <c r="DP94" s="8">
        <v>0</v>
      </c>
      <c r="DQ94" s="8">
        <v>0</v>
      </c>
      <c r="DR94" s="8">
        <v>23172</v>
      </c>
      <c r="DS94" s="8">
        <v>29844</v>
      </c>
      <c r="DT94" s="8">
        <v>154141</v>
      </c>
      <c r="DU94" s="8">
        <v>2430304</v>
      </c>
      <c r="DV94" s="8">
        <v>2744350</v>
      </c>
      <c r="DW94" s="8">
        <v>3074263</v>
      </c>
      <c r="DX94" s="8">
        <v>3411689</v>
      </c>
      <c r="DY94" s="8">
        <v>3687790</v>
      </c>
      <c r="DZ94" s="8">
        <v>3721033</v>
      </c>
      <c r="EA94" s="8">
        <v>4595492</v>
      </c>
      <c r="EB94" s="9">
        <f t="shared" si="47"/>
        <v>4595492</v>
      </c>
      <c r="EC94" s="8">
        <v>0</v>
      </c>
      <c r="ED94" s="8">
        <v>0</v>
      </c>
      <c r="EE94" s="8">
        <v>711721</v>
      </c>
      <c r="EF94" s="8">
        <v>1135736</v>
      </c>
      <c r="EG94" s="8">
        <v>1647017</v>
      </c>
      <c r="EH94" s="8">
        <v>2033610</v>
      </c>
      <c r="EI94" s="8">
        <v>2460171</v>
      </c>
      <c r="EJ94" s="8">
        <v>2901408</v>
      </c>
      <c r="EK94" s="8">
        <v>3038111</v>
      </c>
      <c r="EL94" s="8">
        <v>3436475</v>
      </c>
      <c r="EM94" s="8">
        <v>3660523</v>
      </c>
      <c r="EN94" s="8">
        <v>4120820</v>
      </c>
      <c r="EO94" s="9">
        <f t="shared" si="48"/>
        <v>4120820</v>
      </c>
      <c r="EP94" s="8">
        <v>0</v>
      </c>
      <c r="EQ94" s="8">
        <v>18014</v>
      </c>
      <c r="ER94" s="8">
        <v>530156</v>
      </c>
      <c r="ES94" s="8">
        <v>1029986</v>
      </c>
      <c r="ET94" s="8">
        <v>1696869</v>
      </c>
      <c r="EU94" s="8">
        <v>5294111</v>
      </c>
      <c r="EV94" s="8">
        <v>5754010</v>
      </c>
      <c r="EW94" s="8">
        <v>6177497</v>
      </c>
      <c r="EX94" s="8">
        <v>6582241</v>
      </c>
      <c r="EY94" s="8">
        <v>7819135</v>
      </c>
      <c r="EZ94" s="8">
        <v>8788467</v>
      </c>
      <c r="FA94" s="8">
        <v>11174693</v>
      </c>
      <c r="FB94" s="9">
        <f t="shared" si="49"/>
        <v>11174693</v>
      </c>
      <c r="FC94" s="8">
        <v>136321</v>
      </c>
      <c r="FD94" s="8">
        <v>0</v>
      </c>
      <c r="FE94" s="8">
        <v>1983386</v>
      </c>
      <c r="FF94" s="8">
        <v>3302958</v>
      </c>
      <c r="FG94" s="8">
        <v>4205093</v>
      </c>
      <c r="FH94" s="8">
        <v>6291923</v>
      </c>
      <c r="FI94" s="8">
        <v>7537146</v>
      </c>
      <c r="FJ94" s="8"/>
      <c r="FK94" s="8"/>
      <c r="FL94" s="8"/>
      <c r="FM94" s="8"/>
      <c r="FN94" s="8"/>
      <c r="FO94" s="9">
        <f t="shared" si="50"/>
        <v>7537146</v>
      </c>
    </row>
    <row r="95" spans="2:171" ht="14.25" customHeight="1" x14ac:dyDescent="0.3">
      <c r="B95" s="7" t="s">
        <v>58</v>
      </c>
      <c r="C95" s="8">
        <v>0</v>
      </c>
      <c r="D95" s="8">
        <v>131631</v>
      </c>
      <c r="E95" s="8">
        <v>4961013</v>
      </c>
      <c r="F95" s="8">
        <v>5467530</v>
      </c>
      <c r="G95" s="8">
        <v>5815222</v>
      </c>
      <c r="H95" s="8">
        <v>5963661</v>
      </c>
      <c r="I95" s="8">
        <v>6112672</v>
      </c>
      <c r="J95" s="8">
        <v>6315181</v>
      </c>
      <c r="K95" s="8">
        <v>7623601</v>
      </c>
      <c r="L95" s="8">
        <v>8100553</v>
      </c>
      <c r="M95" s="8">
        <v>8847650</v>
      </c>
      <c r="N95" s="8">
        <v>12860602</v>
      </c>
      <c r="O95" s="9">
        <f t="shared" si="38"/>
        <v>12860602</v>
      </c>
      <c r="P95" s="8">
        <v>0</v>
      </c>
      <c r="Q95" s="8">
        <v>945413</v>
      </c>
      <c r="R95" s="8">
        <v>2496782</v>
      </c>
      <c r="S95" s="8">
        <v>3555798</v>
      </c>
      <c r="T95" s="8">
        <v>4958647</v>
      </c>
      <c r="U95" s="8">
        <v>7326418</v>
      </c>
      <c r="V95" s="8">
        <v>8344413</v>
      </c>
      <c r="W95" s="8">
        <v>9964449</v>
      </c>
      <c r="X95" s="8">
        <v>11464351</v>
      </c>
      <c r="Y95" s="8">
        <v>12882980</v>
      </c>
      <c r="Z95" s="8">
        <v>14560689</v>
      </c>
      <c r="AA95" s="8">
        <v>22349367</v>
      </c>
      <c r="AB95" s="9">
        <f t="shared" si="39"/>
        <v>22349367</v>
      </c>
      <c r="AC95" s="8">
        <v>0</v>
      </c>
      <c r="AD95" s="8">
        <v>0</v>
      </c>
      <c r="AE95" s="8">
        <v>3696065</v>
      </c>
      <c r="AF95" s="8">
        <v>4469814</v>
      </c>
      <c r="AG95" s="8">
        <v>4710356</v>
      </c>
      <c r="AH95" s="8">
        <v>5273266</v>
      </c>
      <c r="AI95" s="8">
        <v>5967257</v>
      </c>
      <c r="AJ95" s="8">
        <v>7276769</v>
      </c>
      <c r="AK95" s="8">
        <v>7696915</v>
      </c>
      <c r="AL95" s="8">
        <v>10886746</v>
      </c>
      <c r="AM95" s="8">
        <v>13479590</v>
      </c>
      <c r="AN95" s="8">
        <v>12675535</v>
      </c>
      <c r="AO95" s="9">
        <f t="shared" si="40"/>
        <v>12675535</v>
      </c>
      <c r="AP95" s="8">
        <v>0</v>
      </c>
      <c r="AQ95" s="8">
        <v>62509</v>
      </c>
      <c r="AR95" s="8">
        <v>946302</v>
      </c>
      <c r="AS95" s="8">
        <v>1870657</v>
      </c>
      <c r="AT95" s="8">
        <v>2688647</v>
      </c>
      <c r="AU95" s="8">
        <v>3499503</v>
      </c>
      <c r="AV95" s="8">
        <v>4356670</v>
      </c>
      <c r="AW95" s="8">
        <v>5337524</v>
      </c>
      <c r="AX95" s="8">
        <v>6497856</v>
      </c>
      <c r="AY95" s="8">
        <v>7480671</v>
      </c>
      <c r="AZ95" s="8">
        <v>8517936</v>
      </c>
      <c r="BA95" s="8">
        <v>13632612</v>
      </c>
      <c r="BB95" s="9">
        <f t="shared" si="41"/>
        <v>13632612</v>
      </c>
      <c r="BC95" s="8">
        <v>0</v>
      </c>
      <c r="BD95" s="8">
        <v>0</v>
      </c>
      <c r="BE95" s="8">
        <v>0</v>
      </c>
      <c r="BF95" s="8">
        <v>1554819</v>
      </c>
      <c r="BG95" s="8">
        <v>2344210</v>
      </c>
      <c r="BH95" s="8">
        <v>2850076</v>
      </c>
      <c r="BI95" s="8">
        <v>3695145</v>
      </c>
      <c r="BJ95" s="8">
        <v>4137230</v>
      </c>
      <c r="BK95" s="8">
        <v>8311053</v>
      </c>
      <c r="BL95" s="8">
        <v>8781562</v>
      </c>
      <c r="BM95" s="8">
        <v>9626788</v>
      </c>
      <c r="BN95" s="8">
        <v>11225899</v>
      </c>
      <c r="BO95" s="9">
        <f t="shared" si="42"/>
        <v>11225899</v>
      </c>
      <c r="BP95" s="8">
        <v>0</v>
      </c>
      <c r="BQ95" s="8">
        <v>1996477</v>
      </c>
      <c r="BR95" s="8">
        <v>2981856</v>
      </c>
      <c r="BS95" s="8">
        <v>3612659</v>
      </c>
      <c r="BT95" s="8">
        <v>4208306</v>
      </c>
      <c r="BU95" s="8">
        <v>4333292</v>
      </c>
      <c r="BV95" s="8">
        <v>4626247</v>
      </c>
      <c r="BW95" s="8">
        <v>4697008</v>
      </c>
      <c r="BX95" s="8">
        <v>4909061</v>
      </c>
      <c r="BY95" s="8">
        <v>8019601</v>
      </c>
      <c r="BZ95" s="8">
        <v>9331463</v>
      </c>
      <c r="CA95" s="8">
        <v>17371719</v>
      </c>
      <c r="CB95" s="9">
        <f t="shared" si="43"/>
        <v>17371719</v>
      </c>
      <c r="CC95" s="8">
        <v>0</v>
      </c>
      <c r="CD95" s="8">
        <v>932232</v>
      </c>
      <c r="CE95" s="8">
        <v>2065017</v>
      </c>
      <c r="CF95" s="8">
        <v>3668102</v>
      </c>
      <c r="CG95" s="8">
        <v>6642429</v>
      </c>
      <c r="CH95" s="8">
        <v>8144742</v>
      </c>
      <c r="CI95" s="8">
        <v>10156939</v>
      </c>
      <c r="CJ95" s="8">
        <v>11867283</v>
      </c>
      <c r="CK95" s="8">
        <v>12492855</v>
      </c>
      <c r="CL95" s="8">
        <v>14530807</v>
      </c>
      <c r="CM95" s="8">
        <v>15296261</v>
      </c>
      <c r="CN95" s="8">
        <v>23507941</v>
      </c>
      <c r="CO95" s="9">
        <f t="shared" si="44"/>
        <v>23507941</v>
      </c>
      <c r="CP95" s="8">
        <v>0</v>
      </c>
      <c r="CQ95" s="8">
        <v>202179</v>
      </c>
      <c r="CR95" s="8">
        <v>2256046</v>
      </c>
      <c r="CS95" s="8">
        <v>3863119</v>
      </c>
      <c r="CT95" s="8">
        <v>4750876</v>
      </c>
      <c r="CU95" s="8">
        <v>5506252</v>
      </c>
      <c r="CV95" s="8">
        <v>5979484</v>
      </c>
      <c r="CW95" s="8">
        <v>7107585</v>
      </c>
      <c r="CX95" s="8">
        <v>7622825</v>
      </c>
      <c r="CY95" s="8">
        <v>10380654</v>
      </c>
      <c r="CZ95" s="8">
        <v>11037064</v>
      </c>
      <c r="DA95" s="8">
        <v>13187495</v>
      </c>
      <c r="DB95" s="9">
        <f t="shared" si="45"/>
        <v>13187495</v>
      </c>
      <c r="DC95" s="8">
        <v>0</v>
      </c>
      <c r="DD95" s="8">
        <v>199113</v>
      </c>
      <c r="DE95" s="8">
        <v>687301</v>
      </c>
      <c r="DF95" s="8">
        <v>1090743</v>
      </c>
      <c r="DG95" s="8">
        <v>1265127</v>
      </c>
      <c r="DH95" s="8">
        <v>1752515</v>
      </c>
      <c r="DI95" s="8">
        <v>2485419</v>
      </c>
      <c r="DJ95" s="8">
        <v>2987044</v>
      </c>
      <c r="DK95" s="8">
        <v>6804056</v>
      </c>
      <c r="DL95" s="8">
        <v>12660790</v>
      </c>
      <c r="DM95" s="8">
        <v>14178533</v>
      </c>
      <c r="DN95" s="8">
        <v>21399957</v>
      </c>
      <c r="DO95" s="9">
        <f t="shared" si="46"/>
        <v>21399957</v>
      </c>
      <c r="DP95" s="8">
        <v>0</v>
      </c>
      <c r="DQ95" s="8">
        <v>1105168</v>
      </c>
      <c r="DR95" s="8">
        <v>1615303</v>
      </c>
      <c r="DS95" s="8">
        <v>2152586</v>
      </c>
      <c r="DT95" s="8">
        <v>3441256</v>
      </c>
      <c r="DU95" s="8">
        <v>4256633</v>
      </c>
      <c r="DV95" s="8">
        <v>5167066</v>
      </c>
      <c r="DW95" s="8">
        <v>5861040</v>
      </c>
      <c r="DX95" s="8">
        <v>6847536</v>
      </c>
      <c r="DY95" s="8">
        <v>9863577</v>
      </c>
      <c r="DZ95" s="8">
        <v>11037320</v>
      </c>
      <c r="EA95" s="8">
        <v>14487879</v>
      </c>
      <c r="EB95" s="9">
        <f t="shared" si="47"/>
        <v>14487879</v>
      </c>
      <c r="EC95" s="8">
        <v>0</v>
      </c>
      <c r="ED95" s="8">
        <v>0</v>
      </c>
      <c r="EE95" s="8">
        <v>2630953</v>
      </c>
      <c r="EF95" s="8">
        <v>3456762</v>
      </c>
      <c r="EG95" s="8">
        <v>3521740</v>
      </c>
      <c r="EH95" s="8">
        <v>8325107</v>
      </c>
      <c r="EI95" s="8">
        <v>9710216</v>
      </c>
      <c r="EJ95" s="8">
        <v>21503981</v>
      </c>
      <c r="EK95" s="8">
        <v>23222605</v>
      </c>
      <c r="EL95" s="8">
        <v>23942215</v>
      </c>
      <c r="EM95" s="8">
        <v>26513743</v>
      </c>
      <c r="EN95" s="8">
        <v>29613796</v>
      </c>
      <c r="EO95" s="9">
        <f t="shared" si="48"/>
        <v>29613796</v>
      </c>
      <c r="EP95" s="8">
        <v>0</v>
      </c>
      <c r="EQ95" s="8">
        <v>0</v>
      </c>
      <c r="ER95" s="8">
        <v>1752211</v>
      </c>
      <c r="ES95" s="8">
        <v>4241408</v>
      </c>
      <c r="ET95" s="8">
        <v>5881346</v>
      </c>
      <c r="EU95" s="8">
        <v>8642248</v>
      </c>
      <c r="EV95" s="8">
        <v>10581958</v>
      </c>
      <c r="EW95" s="8">
        <v>11171158</v>
      </c>
      <c r="EX95" s="8">
        <v>15082871</v>
      </c>
      <c r="EY95" s="8">
        <v>16356007</v>
      </c>
      <c r="EZ95" s="8">
        <v>17113937</v>
      </c>
      <c r="FA95" s="8">
        <v>23022761</v>
      </c>
      <c r="FB95" s="9">
        <f t="shared" si="49"/>
        <v>23022761</v>
      </c>
      <c r="FC95" s="8">
        <v>0</v>
      </c>
      <c r="FD95" s="8">
        <v>0</v>
      </c>
      <c r="FE95" s="8">
        <v>2901318</v>
      </c>
      <c r="FF95" s="8">
        <v>5349868</v>
      </c>
      <c r="FG95" s="8">
        <v>5974287</v>
      </c>
      <c r="FH95" s="8">
        <v>10705980</v>
      </c>
      <c r="FI95" s="8">
        <v>18137759</v>
      </c>
      <c r="FJ95" s="8"/>
      <c r="FK95" s="8"/>
      <c r="FL95" s="8"/>
      <c r="FM95" s="8"/>
      <c r="FN95" s="8"/>
      <c r="FO95" s="9">
        <f t="shared" si="50"/>
        <v>18137759</v>
      </c>
    </row>
    <row r="96" spans="2:171" ht="14.25" customHeight="1" x14ac:dyDescent="0.3">
      <c r="B96" s="7" t="s">
        <v>59</v>
      </c>
      <c r="C96" s="8">
        <v>0</v>
      </c>
      <c r="D96" s="8">
        <v>0</v>
      </c>
      <c r="E96" s="8">
        <v>325229</v>
      </c>
      <c r="F96" s="8">
        <v>572729</v>
      </c>
      <c r="G96" s="8">
        <v>833855</v>
      </c>
      <c r="H96" s="8">
        <v>1985298</v>
      </c>
      <c r="I96" s="8">
        <v>2364887</v>
      </c>
      <c r="J96" s="8">
        <v>2877508</v>
      </c>
      <c r="K96" s="8">
        <v>3443685</v>
      </c>
      <c r="L96" s="8">
        <v>4052063</v>
      </c>
      <c r="M96" s="8">
        <v>5130987</v>
      </c>
      <c r="N96" s="8">
        <v>9274967</v>
      </c>
      <c r="O96" s="9">
        <f t="shared" si="38"/>
        <v>9274967</v>
      </c>
      <c r="P96" s="8">
        <v>0</v>
      </c>
      <c r="Q96" s="8">
        <v>0</v>
      </c>
      <c r="R96" s="8">
        <v>291024</v>
      </c>
      <c r="S96" s="8">
        <v>802444</v>
      </c>
      <c r="T96" s="8">
        <v>1232281</v>
      </c>
      <c r="U96" s="8">
        <v>2527741</v>
      </c>
      <c r="V96" s="8">
        <v>3402831</v>
      </c>
      <c r="W96" s="8">
        <v>4568335</v>
      </c>
      <c r="X96" s="8">
        <v>5409032</v>
      </c>
      <c r="Y96" s="8">
        <v>6330847</v>
      </c>
      <c r="Z96" s="8">
        <v>8550812</v>
      </c>
      <c r="AA96" s="8">
        <v>11919930</v>
      </c>
      <c r="AB96" s="9">
        <f t="shared" si="39"/>
        <v>11919930</v>
      </c>
      <c r="AC96" s="8">
        <v>0</v>
      </c>
      <c r="AD96" s="8">
        <v>23086</v>
      </c>
      <c r="AE96" s="8">
        <v>710122</v>
      </c>
      <c r="AF96" s="8">
        <v>1209061</v>
      </c>
      <c r="AG96" s="8">
        <v>2398510</v>
      </c>
      <c r="AH96" s="8">
        <v>2928073</v>
      </c>
      <c r="AI96" s="8">
        <v>3381155</v>
      </c>
      <c r="AJ96" s="8">
        <v>4939308</v>
      </c>
      <c r="AK96" s="8">
        <v>5460976</v>
      </c>
      <c r="AL96" s="8">
        <v>6082789</v>
      </c>
      <c r="AM96" s="8">
        <v>6805776</v>
      </c>
      <c r="AN96" s="8">
        <v>8093301</v>
      </c>
      <c r="AO96" s="9">
        <f t="shared" si="40"/>
        <v>8093301</v>
      </c>
      <c r="AP96" s="8">
        <v>0</v>
      </c>
      <c r="AQ96" s="8">
        <v>406757</v>
      </c>
      <c r="AR96" s="8">
        <v>838701</v>
      </c>
      <c r="AS96" s="8">
        <v>1178729</v>
      </c>
      <c r="AT96" s="8">
        <v>1649767</v>
      </c>
      <c r="AU96" s="8">
        <v>2090386</v>
      </c>
      <c r="AV96" s="8">
        <v>2564471</v>
      </c>
      <c r="AW96" s="8">
        <v>3159553</v>
      </c>
      <c r="AX96" s="8">
        <v>3720251</v>
      </c>
      <c r="AY96" s="8">
        <v>4288429</v>
      </c>
      <c r="AZ96" s="8">
        <v>4969770</v>
      </c>
      <c r="BA96" s="8">
        <v>6954840</v>
      </c>
      <c r="BB96" s="9">
        <f t="shared" si="41"/>
        <v>6954840</v>
      </c>
      <c r="BC96" s="8">
        <v>0</v>
      </c>
      <c r="BD96" s="8">
        <v>0</v>
      </c>
      <c r="BE96" s="8">
        <v>0</v>
      </c>
      <c r="BF96" s="8">
        <v>516488</v>
      </c>
      <c r="BG96" s="8">
        <v>581203</v>
      </c>
      <c r="BH96" s="8">
        <v>724838</v>
      </c>
      <c r="BI96" s="8">
        <v>797283</v>
      </c>
      <c r="BJ96" s="8">
        <v>817488</v>
      </c>
      <c r="BK96" s="8">
        <v>818741</v>
      </c>
      <c r="BL96" s="8">
        <v>830206</v>
      </c>
      <c r="BM96" s="8">
        <v>881794</v>
      </c>
      <c r="BN96" s="8">
        <v>941050</v>
      </c>
      <c r="BO96" s="9">
        <f t="shared" si="42"/>
        <v>941050</v>
      </c>
      <c r="BP96" s="8">
        <v>0</v>
      </c>
      <c r="BQ96" s="8">
        <v>0</v>
      </c>
      <c r="BR96" s="8">
        <v>0</v>
      </c>
      <c r="BS96" s="8">
        <v>0</v>
      </c>
      <c r="BT96" s="8">
        <v>44680</v>
      </c>
      <c r="BU96" s="8">
        <v>44680</v>
      </c>
      <c r="BV96" s="8">
        <v>76027</v>
      </c>
      <c r="BW96" s="8">
        <v>100221</v>
      </c>
      <c r="BX96" s="8">
        <v>113028</v>
      </c>
      <c r="BY96" s="8">
        <v>142669</v>
      </c>
      <c r="BZ96" s="8">
        <v>173518</v>
      </c>
      <c r="CA96" s="8">
        <v>237602</v>
      </c>
      <c r="CB96" s="9">
        <f t="shared" si="43"/>
        <v>237602</v>
      </c>
      <c r="CC96" s="8">
        <v>0</v>
      </c>
      <c r="CD96" s="8">
        <v>23510</v>
      </c>
      <c r="CE96" s="8">
        <v>47251</v>
      </c>
      <c r="CF96" s="8">
        <v>70030</v>
      </c>
      <c r="CG96" s="8">
        <v>112040</v>
      </c>
      <c r="CH96" s="8">
        <v>112040</v>
      </c>
      <c r="CI96" s="8">
        <v>122118</v>
      </c>
      <c r="CJ96" s="8">
        <v>219114</v>
      </c>
      <c r="CK96" s="8">
        <v>296805</v>
      </c>
      <c r="CL96" s="8">
        <v>497494</v>
      </c>
      <c r="CM96" s="8">
        <v>1478302</v>
      </c>
      <c r="CN96" s="8">
        <v>3551930</v>
      </c>
      <c r="CO96" s="9">
        <f t="shared" si="44"/>
        <v>3551930</v>
      </c>
      <c r="CP96" s="8">
        <v>0</v>
      </c>
      <c r="CQ96" s="8">
        <v>0</v>
      </c>
      <c r="CR96" s="8">
        <v>237799</v>
      </c>
      <c r="CS96" s="8">
        <v>422720</v>
      </c>
      <c r="CT96" s="8">
        <v>630572</v>
      </c>
      <c r="CU96" s="8">
        <v>840198</v>
      </c>
      <c r="CV96" s="8">
        <v>1061281</v>
      </c>
      <c r="CW96" s="8">
        <v>1280255</v>
      </c>
      <c r="CX96" s="8">
        <v>1701088</v>
      </c>
      <c r="CY96" s="8">
        <v>2736748</v>
      </c>
      <c r="CZ96" s="8">
        <v>3193818</v>
      </c>
      <c r="DA96" s="8">
        <v>3766691</v>
      </c>
      <c r="DB96" s="9">
        <f t="shared" si="45"/>
        <v>3766691</v>
      </c>
      <c r="DC96" s="8">
        <v>0</v>
      </c>
      <c r="DD96" s="8">
        <v>0</v>
      </c>
      <c r="DE96" s="8">
        <v>0</v>
      </c>
      <c r="DF96" s="8">
        <v>0</v>
      </c>
      <c r="DG96" s="8">
        <v>0</v>
      </c>
      <c r="DH96" s="8">
        <v>0</v>
      </c>
      <c r="DI96" s="8">
        <v>0</v>
      </c>
      <c r="DJ96" s="8">
        <v>0</v>
      </c>
      <c r="DK96" s="8">
        <v>0</v>
      </c>
      <c r="DL96" s="8">
        <v>0</v>
      </c>
      <c r="DM96" s="8">
        <v>250</v>
      </c>
      <c r="DN96" s="8">
        <v>321310</v>
      </c>
      <c r="DO96" s="9">
        <f t="shared" si="46"/>
        <v>321310</v>
      </c>
      <c r="DP96" s="8">
        <v>0</v>
      </c>
      <c r="DQ96" s="8">
        <v>0</v>
      </c>
      <c r="DR96" s="8">
        <v>0</v>
      </c>
      <c r="DS96" s="8">
        <v>0</v>
      </c>
      <c r="DT96" s="8">
        <v>0</v>
      </c>
      <c r="DU96" s="8">
        <v>0</v>
      </c>
      <c r="DV96" s="8">
        <v>68068</v>
      </c>
      <c r="DW96" s="8">
        <v>200990</v>
      </c>
      <c r="DX96" s="8">
        <v>344174</v>
      </c>
      <c r="DY96" s="8">
        <v>675839</v>
      </c>
      <c r="DZ96" s="8">
        <v>1344386</v>
      </c>
      <c r="EA96" s="8">
        <v>3034687</v>
      </c>
      <c r="EB96" s="9">
        <f t="shared" si="47"/>
        <v>3034687</v>
      </c>
      <c r="EC96" s="8">
        <v>0</v>
      </c>
      <c r="ED96" s="8">
        <v>241268</v>
      </c>
      <c r="EE96" s="8">
        <v>511216</v>
      </c>
      <c r="EF96" s="8">
        <v>914257</v>
      </c>
      <c r="EG96" s="8">
        <v>1249608</v>
      </c>
      <c r="EH96" s="8">
        <v>1445074</v>
      </c>
      <c r="EI96" s="8">
        <v>1562333</v>
      </c>
      <c r="EJ96" s="8">
        <v>1776461</v>
      </c>
      <c r="EK96" s="8">
        <v>1805672</v>
      </c>
      <c r="EL96" s="8">
        <v>2076571</v>
      </c>
      <c r="EM96" s="8">
        <v>2123615</v>
      </c>
      <c r="EN96" s="8">
        <v>2751676</v>
      </c>
      <c r="EO96" s="9">
        <f t="shared" si="48"/>
        <v>2751676</v>
      </c>
      <c r="EP96" s="8">
        <v>0</v>
      </c>
      <c r="EQ96" s="8">
        <v>0</v>
      </c>
      <c r="ER96" s="8">
        <v>5380</v>
      </c>
      <c r="ES96" s="8">
        <v>5380</v>
      </c>
      <c r="ET96" s="8">
        <v>521210</v>
      </c>
      <c r="EU96" s="8">
        <v>901084</v>
      </c>
      <c r="EV96" s="8">
        <v>1175890</v>
      </c>
      <c r="EW96" s="8">
        <v>1703679</v>
      </c>
      <c r="EX96" s="8">
        <v>2238670</v>
      </c>
      <c r="EY96" s="8">
        <v>2973161</v>
      </c>
      <c r="EZ96" s="8">
        <v>3663386</v>
      </c>
      <c r="FA96" s="8">
        <v>4823435</v>
      </c>
      <c r="FB96" s="9">
        <f t="shared" si="49"/>
        <v>4823435</v>
      </c>
      <c r="FC96" s="8">
        <v>5365</v>
      </c>
      <c r="FD96" s="8">
        <v>10581</v>
      </c>
      <c r="FE96" s="8">
        <v>297032</v>
      </c>
      <c r="FF96" s="8">
        <v>628761</v>
      </c>
      <c r="FG96" s="8">
        <v>1167066</v>
      </c>
      <c r="FH96" s="8">
        <v>1428928</v>
      </c>
      <c r="FI96" s="8">
        <v>1439503</v>
      </c>
      <c r="FJ96" s="8"/>
      <c r="FK96" s="8"/>
      <c r="FL96" s="8"/>
      <c r="FM96" s="8"/>
      <c r="FN96" s="8"/>
      <c r="FO96" s="9">
        <f t="shared" si="50"/>
        <v>1439503</v>
      </c>
    </row>
    <row r="97" spans="2:171" ht="14.25" customHeight="1" x14ac:dyDescent="0.3">
      <c r="B97" s="7" t="s">
        <v>60</v>
      </c>
      <c r="C97" s="8">
        <v>0</v>
      </c>
      <c r="D97" s="8">
        <v>0</v>
      </c>
      <c r="E97" s="8">
        <v>148154</v>
      </c>
      <c r="F97" s="8">
        <v>225560</v>
      </c>
      <c r="G97" s="8">
        <v>290499</v>
      </c>
      <c r="H97" s="8">
        <v>401660</v>
      </c>
      <c r="I97" s="8">
        <v>425536</v>
      </c>
      <c r="J97" s="8">
        <v>614457</v>
      </c>
      <c r="K97" s="8">
        <v>614457</v>
      </c>
      <c r="L97" s="8">
        <v>614457</v>
      </c>
      <c r="M97" s="8">
        <v>846983</v>
      </c>
      <c r="N97" s="8">
        <v>1403361</v>
      </c>
      <c r="O97" s="9">
        <f t="shared" si="38"/>
        <v>1403361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14157</v>
      </c>
      <c r="Z97" s="8">
        <v>60729</v>
      </c>
      <c r="AA97" s="8">
        <v>723934</v>
      </c>
      <c r="AB97" s="9">
        <f t="shared" si="39"/>
        <v>723934</v>
      </c>
      <c r="AC97" s="8">
        <v>0</v>
      </c>
      <c r="AD97" s="8">
        <v>0</v>
      </c>
      <c r="AE97" s="8">
        <v>0</v>
      </c>
      <c r="AF97" s="8">
        <v>285744</v>
      </c>
      <c r="AG97" s="8">
        <v>446517</v>
      </c>
      <c r="AH97" s="8">
        <v>420999</v>
      </c>
      <c r="AI97" s="8">
        <v>428748</v>
      </c>
      <c r="AJ97" s="8">
        <v>451155</v>
      </c>
      <c r="AK97" s="8">
        <v>556758</v>
      </c>
      <c r="AL97" s="8">
        <v>576765</v>
      </c>
      <c r="AM97" s="8">
        <v>613634</v>
      </c>
      <c r="AN97" s="8">
        <v>951793</v>
      </c>
      <c r="AO97" s="9">
        <f t="shared" si="40"/>
        <v>951793</v>
      </c>
      <c r="AP97" s="8">
        <v>0</v>
      </c>
      <c r="AQ97" s="8">
        <v>4250</v>
      </c>
      <c r="AR97" s="8">
        <v>61340</v>
      </c>
      <c r="AS97" s="8">
        <v>92930</v>
      </c>
      <c r="AT97" s="8">
        <v>109317</v>
      </c>
      <c r="AU97" s="8">
        <v>281432</v>
      </c>
      <c r="AV97" s="8">
        <v>456643</v>
      </c>
      <c r="AW97" s="8">
        <v>477512</v>
      </c>
      <c r="AX97" s="8">
        <v>650518</v>
      </c>
      <c r="AY97" s="8">
        <v>620896</v>
      </c>
      <c r="AZ97" s="8">
        <v>676905</v>
      </c>
      <c r="BA97" s="8">
        <v>1448354</v>
      </c>
      <c r="BB97" s="9">
        <f t="shared" si="41"/>
        <v>1448354</v>
      </c>
      <c r="BC97" s="8">
        <v>0</v>
      </c>
      <c r="BD97" s="8">
        <v>0</v>
      </c>
      <c r="BE97" s="8">
        <v>203834</v>
      </c>
      <c r="BF97" s="8">
        <v>1128078</v>
      </c>
      <c r="BG97" s="8">
        <v>1252877</v>
      </c>
      <c r="BH97" s="8">
        <v>1421186</v>
      </c>
      <c r="BI97" s="8">
        <v>1625862</v>
      </c>
      <c r="BJ97" s="8">
        <v>1985598</v>
      </c>
      <c r="BK97" s="8">
        <v>2161332</v>
      </c>
      <c r="BL97" s="8">
        <v>2359875</v>
      </c>
      <c r="BM97" s="8">
        <v>2422769</v>
      </c>
      <c r="BN97" s="8">
        <v>3042352</v>
      </c>
      <c r="BO97" s="9">
        <f t="shared" si="42"/>
        <v>3042352</v>
      </c>
      <c r="BP97" s="8">
        <v>0</v>
      </c>
      <c r="BQ97" s="8">
        <v>0</v>
      </c>
      <c r="BR97" s="8">
        <v>0</v>
      </c>
      <c r="BS97" s="8">
        <v>222611</v>
      </c>
      <c r="BT97" s="8">
        <v>425095</v>
      </c>
      <c r="BU97" s="8">
        <v>481140</v>
      </c>
      <c r="BV97" s="8">
        <v>816445</v>
      </c>
      <c r="BW97" s="8">
        <v>844378</v>
      </c>
      <c r="BX97" s="8">
        <v>882477</v>
      </c>
      <c r="BY97" s="8">
        <v>912423</v>
      </c>
      <c r="BZ97" s="8">
        <v>1833477</v>
      </c>
      <c r="CA97" s="8">
        <v>1422917</v>
      </c>
      <c r="CB97" s="9">
        <f t="shared" si="43"/>
        <v>1422917</v>
      </c>
      <c r="CC97" s="8">
        <v>0</v>
      </c>
      <c r="CD97" s="8">
        <v>0</v>
      </c>
      <c r="CE97" s="8">
        <v>254151</v>
      </c>
      <c r="CF97" s="8">
        <v>291495</v>
      </c>
      <c r="CG97" s="8">
        <v>298025</v>
      </c>
      <c r="CH97" s="8">
        <v>380525</v>
      </c>
      <c r="CI97" s="8">
        <v>380525</v>
      </c>
      <c r="CJ97" s="8">
        <v>406592</v>
      </c>
      <c r="CK97" s="8">
        <v>548846</v>
      </c>
      <c r="CL97" s="8">
        <v>641266</v>
      </c>
      <c r="CM97" s="8">
        <v>766212</v>
      </c>
      <c r="CN97" s="8">
        <v>1117959</v>
      </c>
      <c r="CO97" s="9">
        <f t="shared" si="44"/>
        <v>1117959</v>
      </c>
      <c r="CP97" s="8">
        <v>0</v>
      </c>
      <c r="CQ97" s="8">
        <v>31981</v>
      </c>
      <c r="CR97" s="8">
        <v>202638</v>
      </c>
      <c r="CS97" s="8">
        <v>362188</v>
      </c>
      <c r="CT97" s="8">
        <v>430151</v>
      </c>
      <c r="CU97" s="8">
        <v>450138</v>
      </c>
      <c r="CV97" s="8">
        <v>460380</v>
      </c>
      <c r="CW97" s="8">
        <v>734858</v>
      </c>
      <c r="CX97" s="8">
        <v>768275</v>
      </c>
      <c r="CY97" s="8">
        <v>789044</v>
      </c>
      <c r="CZ97" s="8">
        <v>789044</v>
      </c>
      <c r="DA97" s="8">
        <v>1042794</v>
      </c>
      <c r="DB97" s="9">
        <f t="shared" si="45"/>
        <v>1042794</v>
      </c>
      <c r="DC97" s="8">
        <v>0</v>
      </c>
      <c r="DD97" s="8">
        <v>0</v>
      </c>
      <c r="DE97" s="8">
        <v>0</v>
      </c>
      <c r="DF97" s="8">
        <v>14526</v>
      </c>
      <c r="DG97" s="8">
        <v>14526</v>
      </c>
      <c r="DH97" s="8">
        <v>113445</v>
      </c>
      <c r="DI97" s="8">
        <v>113445</v>
      </c>
      <c r="DJ97" s="8">
        <v>113445</v>
      </c>
      <c r="DK97" s="8">
        <v>113445</v>
      </c>
      <c r="DL97" s="8">
        <v>113445</v>
      </c>
      <c r="DM97" s="8">
        <v>195945</v>
      </c>
      <c r="DN97" s="8">
        <v>251488</v>
      </c>
      <c r="DO97" s="9">
        <f t="shared" si="46"/>
        <v>251488</v>
      </c>
      <c r="DP97" s="8">
        <v>0</v>
      </c>
      <c r="DQ97" s="8">
        <v>0</v>
      </c>
      <c r="DR97" s="8">
        <v>14432</v>
      </c>
      <c r="DS97" s="8">
        <v>14432</v>
      </c>
      <c r="DT97" s="8">
        <v>14432</v>
      </c>
      <c r="DU97" s="8">
        <v>30946</v>
      </c>
      <c r="DV97" s="8">
        <v>30946</v>
      </c>
      <c r="DW97" s="8">
        <v>30946</v>
      </c>
      <c r="DX97" s="8">
        <v>30946</v>
      </c>
      <c r="DY97" s="8">
        <v>88203</v>
      </c>
      <c r="DZ97" s="8">
        <v>391214</v>
      </c>
      <c r="EA97" s="8">
        <v>550231</v>
      </c>
      <c r="EB97" s="9">
        <f t="shared" si="47"/>
        <v>550231</v>
      </c>
      <c r="EC97" s="8">
        <v>0</v>
      </c>
      <c r="ED97" s="8">
        <v>0</v>
      </c>
      <c r="EE97" s="8">
        <v>227426</v>
      </c>
      <c r="EF97" s="8">
        <v>754495</v>
      </c>
      <c r="EG97" s="8">
        <v>1105006</v>
      </c>
      <c r="EH97" s="8">
        <v>1276653</v>
      </c>
      <c r="EI97" s="8">
        <v>1368758</v>
      </c>
      <c r="EJ97" s="8">
        <v>1538960</v>
      </c>
      <c r="EK97" s="8">
        <v>1567632</v>
      </c>
      <c r="EL97" s="8">
        <v>1645860</v>
      </c>
      <c r="EM97" s="8">
        <v>1796432</v>
      </c>
      <c r="EN97" s="8">
        <v>2776197</v>
      </c>
      <c r="EO97" s="9">
        <f t="shared" si="48"/>
        <v>2776197</v>
      </c>
      <c r="EP97" s="8">
        <v>0</v>
      </c>
      <c r="EQ97" s="8">
        <v>0</v>
      </c>
      <c r="ER97" s="8">
        <v>824668</v>
      </c>
      <c r="ES97" s="8">
        <v>1300447</v>
      </c>
      <c r="ET97" s="8">
        <v>1967689</v>
      </c>
      <c r="EU97" s="8">
        <v>2602718</v>
      </c>
      <c r="EV97" s="8">
        <v>3538643</v>
      </c>
      <c r="EW97" s="8">
        <v>3693036</v>
      </c>
      <c r="EX97" s="8">
        <v>4203735</v>
      </c>
      <c r="EY97" s="8">
        <v>4708194</v>
      </c>
      <c r="EZ97" s="8">
        <v>5215434</v>
      </c>
      <c r="FA97" s="8">
        <v>6405739</v>
      </c>
      <c r="FB97" s="9">
        <f t="shared" si="49"/>
        <v>6405739</v>
      </c>
      <c r="FC97" s="8">
        <v>0</v>
      </c>
      <c r="FD97" s="8">
        <v>0</v>
      </c>
      <c r="FE97" s="8">
        <v>1021749</v>
      </c>
      <c r="FF97" s="8">
        <v>1424461</v>
      </c>
      <c r="FG97" s="8">
        <v>2177261</v>
      </c>
      <c r="FH97" s="8">
        <v>2524738</v>
      </c>
      <c r="FI97" s="8">
        <v>2563015</v>
      </c>
      <c r="FJ97" s="8"/>
      <c r="FK97" s="8"/>
      <c r="FL97" s="8"/>
      <c r="FM97" s="8"/>
      <c r="FN97" s="8"/>
      <c r="FO97" s="9">
        <f t="shared" si="50"/>
        <v>2563015</v>
      </c>
    </row>
    <row r="98" spans="2:171" ht="14.25" customHeight="1" x14ac:dyDescent="0.3">
      <c r="B98" s="7" t="s">
        <v>61</v>
      </c>
      <c r="C98" s="8">
        <v>0</v>
      </c>
      <c r="D98" s="8">
        <v>0</v>
      </c>
      <c r="E98" s="8">
        <v>0</v>
      </c>
      <c r="F98" s="8">
        <v>8770</v>
      </c>
      <c r="G98" s="8">
        <v>13507</v>
      </c>
      <c r="H98" s="8">
        <v>18735</v>
      </c>
      <c r="I98" s="8">
        <v>24008</v>
      </c>
      <c r="J98" s="8">
        <v>39232</v>
      </c>
      <c r="K98" s="8">
        <v>142407</v>
      </c>
      <c r="L98" s="8">
        <v>175519</v>
      </c>
      <c r="M98" s="8">
        <v>247716</v>
      </c>
      <c r="N98" s="8">
        <v>800928</v>
      </c>
      <c r="O98" s="9">
        <f t="shared" si="38"/>
        <v>800928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435949</v>
      </c>
      <c r="V98" s="8">
        <v>445223</v>
      </c>
      <c r="W98" s="8">
        <v>512928</v>
      </c>
      <c r="X98" s="8">
        <v>752537</v>
      </c>
      <c r="Y98" s="8">
        <v>783606</v>
      </c>
      <c r="Z98" s="8">
        <v>957718</v>
      </c>
      <c r="AA98" s="8">
        <v>3012167</v>
      </c>
      <c r="AB98" s="9">
        <f t="shared" si="39"/>
        <v>3012167</v>
      </c>
      <c r="AC98" s="8">
        <v>0</v>
      </c>
      <c r="AD98" s="8">
        <v>0</v>
      </c>
      <c r="AE98" s="8">
        <v>105851</v>
      </c>
      <c r="AF98" s="8">
        <v>272063</v>
      </c>
      <c r="AG98" s="8">
        <v>368213</v>
      </c>
      <c r="AH98" s="8">
        <v>454928</v>
      </c>
      <c r="AI98" s="8">
        <v>690489</v>
      </c>
      <c r="AJ98" s="8">
        <v>927648</v>
      </c>
      <c r="AK98" s="8">
        <v>1361696</v>
      </c>
      <c r="AL98" s="8">
        <v>1464222</v>
      </c>
      <c r="AM98" s="8">
        <v>1521000</v>
      </c>
      <c r="AN98" s="8">
        <v>2605293</v>
      </c>
      <c r="AO98" s="9">
        <f t="shared" si="40"/>
        <v>2605293</v>
      </c>
      <c r="AP98" s="8">
        <v>0</v>
      </c>
      <c r="AQ98" s="8">
        <v>748453</v>
      </c>
      <c r="AR98" s="8">
        <v>2178805</v>
      </c>
      <c r="AS98" s="8">
        <v>3317279</v>
      </c>
      <c r="AT98" s="8">
        <v>3910056</v>
      </c>
      <c r="AU98" s="8">
        <v>4606188</v>
      </c>
      <c r="AV98" s="8">
        <v>5359016</v>
      </c>
      <c r="AW98" s="8">
        <v>6248738</v>
      </c>
      <c r="AX98" s="8">
        <v>7917377</v>
      </c>
      <c r="AY98" s="8">
        <v>9172601</v>
      </c>
      <c r="AZ98" s="8">
        <v>10429519</v>
      </c>
      <c r="BA98" s="8">
        <v>21335614</v>
      </c>
      <c r="BB98" s="9">
        <f t="shared" si="41"/>
        <v>21335614</v>
      </c>
      <c r="BC98" s="8">
        <v>0</v>
      </c>
      <c r="BD98" s="8">
        <v>0</v>
      </c>
      <c r="BE98" s="8">
        <v>2330657</v>
      </c>
      <c r="BF98" s="8">
        <v>3716741</v>
      </c>
      <c r="BG98" s="8">
        <v>5395286</v>
      </c>
      <c r="BH98" s="8">
        <v>7170990</v>
      </c>
      <c r="BI98" s="8">
        <v>10649528</v>
      </c>
      <c r="BJ98" s="8">
        <v>13050422</v>
      </c>
      <c r="BK98" s="8">
        <v>13334856</v>
      </c>
      <c r="BL98" s="8">
        <v>17597486</v>
      </c>
      <c r="BM98" s="8">
        <v>23109973</v>
      </c>
      <c r="BN98" s="8">
        <v>29579570</v>
      </c>
      <c r="BO98" s="9">
        <f t="shared" si="42"/>
        <v>29579570</v>
      </c>
      <c r="BP98" s="8">
        <v>0</v>
      </c>
      <c r="BQ98" s="8">
        <v>0</v>
      </c>
      <c r="BR98" s="8">
        <v>0</v>
      </c>
      <c r="BS98" s="8">
        <v>0</v>
      </c>
      <c r="BT98" s="8">
        <v>11003620</v>
      </c>
      <c r="BU98" s="8">
        <v>12238914</v>
      </c>
      <c r="BV98" s="8">
        <v>17055194</v>
      </c>
      <c r="BW98" s="8">
        <v>36920797</v>
      </c>
      <c r="BX98" s="8">
        <v>38129238</v>
      </c>
      <c r="BY98" s="8">
        <v>39418062</v>
      </c>
      <c r="BZ98" s="8">
        <v>40846895</v>
      </c>
      <c r="CA98" s="8">
        <v>51990671</v>
      </c>
      <c r="CB98" s="9">
        <f t="shared" si="43"/>
        <v>51990671</v>
      </c>
      <c r="CC98" s="8">
        <v>0</v>
      </c>
      <c r="CD98" s="8">
        <v>0</v>
      </c>
      <c r="CE98" s="8">
        <v>1427593</v>
      </c>
      <c r="CF98" s="8">
        <v>2218198</v>
      </c>
      <c r="CG98" s="8">
        <v>3456077</v>
      </c>
      <c r="CH98" s="8">
        <v>5114534</v>
      </c>
      <c r="CI98" s="8">
        <v>6935425</v>
      </c>
      <c r="CJ98" s="8">
        <v>7919298</v>
      </c>
      <c r="CK98" s="8">
        <v>10408624</v>
      </c>
      <c r="CL98" s="8">
        <v>14674730</v>
      </c>
      <c r="CM98" s="8">
        <v>17876920</v>
      </c>
      <c r="CN98" s="8">
        <v>28100192</v>
      </c>
      <c r="CO98" s="9">
        <f t="shared" si="44"/>
        <v>28100192</v>
      </c>
      <c r="CP98" s="8">
        <v>0</v>
      </c>
      <c r="CQ98" s="8">
        <v>0</v>
      </c>
      <c r="CR98" s="8">
        <v>1407325</v>
      </c>
      <c r="CS98" s="8">
        <v>3367843</v>
      </c>
      <c r="CT98" s="8">
        <v>5124811</v>
      </c>
      <c r="CU98" s="8">
        <v>7324060</v>
      </c>
      <c r="CV98" s="8">
        <v>8748164</v>
      </c>
      <c r="CW98" s="8">
        <v>11247932</v>
      </c>
      <c r="CX98" s="8">
        <v>13374774</v>
      </c>
      <c r="CY98" s="8">
        <v>16259524</v>
      </c>
      <c r="CZ98" s="8">
        <v>18363703</v>
      </c>
      <c r="DA98" s="8">
        <v>26453849</v>
      </c>
      <c r="DB98" s="9">
        <f t="shared" si="45"/>
        <v>26453849</v>
      </c>
      <c r="DC98" s="8">
        <v>0</v>
      </c>
      <c r="DD98" s="8">
        <v>0</v>
      </c>
      <c r="DE98" s="8">
        <v>52322</v>
      </c>
      <c r="DF98" s="8">
        <v>2261442</v>
      </c>
      <c r="DG98" s="8">
        <v>3552576</v>
      </c>
      <c r="DH98" s="8">
        <v>4248808</v>
      </c>
      <c r="DI98" s="8">
        <v>6985745</v>
      </c>
      <c r="DJ98" s="8">
        <v>8789407</v>
      </c>
      <c r="DK98" s="8">
        <v>10783436</v>
      </c>
      <c r="DL98" s="8">
        <v>12250129</v>
      </c>
      <c r="DM98" s="8">
        <v>14334794</v>
      </c>
      <c r="DN98" s="8">
        <v>17016617</v>
      </c>
      <c r="DO98" s="9">
        <f t="shared" si="46"/>
        <v>17016617</v>
      </c>
      <c r="DP98" s="8">
        <v>0</v>
      </c>
      <c r="DQ98" s="8">
        <v>785360</v>
      </c>
      <c r="DR98" s="8">
        <v>1881162</v>
      </c>
      <c r="DS98" s="8">
        <v>2336987</v>
      </c>
      <c r="DT98" s="8">
        <v>2918342</v>
      </c>
      <c r="DU98" s="8">
        <v>3535599</v>
      </c>
      <c r="DV98" s="8">
        <v>4005683</v>
      </c>
      <c r="DW98" s="8">
        <v>4300956</v>
      </c>
      <c r="DX98" s="8">
        <v>8865747</v>
      </c>
      <c r="DY98" s="8">
        <v>9456589</v>
      </c>
      <c r="DZ98" s="8">
        <v>9587769</v>
      </c>
      <c r="EA98" s="8">
        <v>10072568</v>
      </c>
      <c r="EB98" s="9">
        <f t="shared" si="47"/>
        <v>10072568</v>
      </c>
      <c r="EC98" s="8">
        <v>0</v>
      </c>
      <c r="ED98" s="8">
        <v>0</v>
      </c>
      <c r="EE98" s="8">
        <v>510782</v>
      </c>
      <c r="EF98" s="8">
        <v>1001969</v>
      </c>
      <c r="EG98" s="8">
        <v>1550358</v>
      </c>
      <c r="EH98" s="8">
        <v>1771158</v>
      </c>
      <c r="EI98" s="8">
        <v>2093785</v>
      </c>
      <c r="EJ98" s="8">
        <v>2369345</v>
      </c>
      <c r="EK98" s="8">
        <v>3007720</v>
      </c>
      <c r="EL98" s="8">
        <v>3833730</v>
      </c>
      <c r="EM98" s="8">
        <v>4351294</v>
      </c>
      <c r="EN98" s="8">
        <v>7210918</v>
      </c>
      <c r="EO98" s="9">
        <f t="shared" si="48"/>
        <v>7210918</v>
      </c>
      <c r="EP98" s="8">
        <v>0</v>
      </c>
      <c r="EQ98" s="8">
        <v>0</v>
      </c>
      <c r="ER98" s="8">
        <v>32798</v>
      </c>
      <c r="ES98" s="8">
        <v>43676</v>
      </c>
      <c r="ET98" s="8">
        <v>43676</v>
      </c>
      <c r="EU98" s="8">
        <v>6341029</v>
      </c>
      <c r="EV98" s="8">
        <v>6418537</v>
      </c>
      <c r="EW98" s="8">
        <v>7667880</v>
      </c>
      <c r="EX98" s="8">
        <v>8734605</v>
      </c>
      <c r="EY98" s="8">
        <v>11718698</v>
      </c>
      <c r="EZ98" s="8">
        <v>11805038</v>
      </c>
      <c r="FA98" s="8">
        <v>14107260</v>
      </c>
      <c r="FB98" s="9">
        <f t="shared" si="49"/>
        <v>14107260</v>
      </c>
      <c r="FC98" s="8">
        <v>0</v>
      </c>
      <c r="FD98" s="8">
        <v>2461</v>
      </c>
      <c r="FE98" s="8">
        <v>2461</v>
      </c>
      <c r="FF98" s="8">
        <v>561511</v>
      </c>
      <c r="FG98" s="8">
        <v>1112451</v>
      </c>
      <c r="FH98" s="8">
        <v>1184638</v>
      </c>
      <c r="FI98" s="8">
        <v>2298606</v>
      </c>
      <c r="FJ98" s="8"/>
      <c r="FK98" s="8"/>
      <c r="FL98" s="8"/>
      <c r="FM98" s="8"/>
      <c r="FN98" s="8"/>
      <c r="FO98" s="9">
        <f t="shared" si="50"/>
        <v>2298606</v>
      </c>
    </row>
    <row r="99" spans="2:171" ht="14.25" customHeight="1" x14ac:dyDescent="0.3">
      <c r="B99" s="7" t="s">
        <v>62</v>
      </c>
      <c r="C99" s="8">
        <v>0</v>
      </c>
      <c r="D99" s="8">
        <v>718979</v>
      </c>
      <c r="E99" s="8">
        <v>1891317</v>
      </c>
      <c r="F99" s="8">
        <v>2410846</v>
      </c>
      <c r="G99" s="8">
        <v>2954266</v>
      </c>
      <c r="H99" s="8">
        <v>3809990</v>
      </c>
      <c r="I99" s="8">
        <v>4969622</v>
      </c>
      <c r="J99" s="8">
        <v>5826287</v>
      </c>
      <c r="K99" s="8">
        <v>6319169</v>
      </c>
      <c r="L99" s="8">
        <v>6796941</v>
      </c>
      <c r="M99" s="8">
        <v>7585821</v>
      </c>
      <c r="N99" s="8">
        <v>13092213</v>
      </c>
      <c r="O99" s="9">
        <f t="shared" si="38"/>
        <v>13092213</v>
      </c>
      <c r="P99" s="8">
        <v>0</v>
      </c>
      <c r="Q99" s="8">
        <v>465115</v>
      </c>
      <c r="R99" s="8">
        <v>443400</v>
      </c>
      <c r="S99" s="8">
        <v>1465816</v>
      </c>
      <c r="T99" s="8">
        <v>1467189</v>
      </c>
      <c r="U99" s="8">
        <v>1895617</v>
      </c>
      <c r="V99" s="8">
        <v>1929329</v>
      </c>
      <c r="W99" s="8">
        <v>1960794</v>
      </c>
      <c r="X99" s="8">
        <v>2162202</v>
      </c>
      <c r="Y99" s="8">
        <v>2275922</v>
      </c>
      <c r="Z99" s="8">
        <v>5145618</v>
      </c>
      <c r="AA99" s="8">
        <v>17495822</v>
      </c>
      <c r="AB99" s="9">
        <f t="shared" si="39"/>
        <v>17495822</v>
      </c>
      <c r="AC99" s="8">
        <v>0</v>
      </c>
      <c r="AD99" s="8">
        <v>427160</v>
      </c>
      <c r="AE99" s="8">
        <v>1211891</v>
      </c>
      <c r="AF99" s="8">
        <v>1989002</v>
      </c>
      <c r="AG99" s="8">
        <v>2987391</v>
      </c>
      <c r="AH99" s="8">
        <v>4374439</v>
      </c>
      <c r="AI99" s="8">
        <v>5949770</v>
      </c>
      <c r="AJ99" s="8">
        <v>8576935</v>
      </c>
      <c r="AK99" s="8">
        <v>10178641</v>
      </c>
      <c r="AL99" s="8">
        <v>12194394</v>
      </c>
      <c r="AM99" s="8">
        <v>14146663</v>
      </c>
      <c r="AN99" s="8">
        <v>18783736</v>
      </c>
      <c r="AO99" s="9">
        <f t="shared" si="40"/>
        <v>18783736</v>
      </c>
      <c r="AP99" s="8">
        <v>0</v>
      </c>
      <c r="AQ99" s="8">
        <v>1461781</v>
      </c>
      <c r="AR99" s="8">
        <v>2589500</v>
      </c>
      <c r="AS99" s="8">
        <v>4335628</v>
      </c>
      <c r="AT99" s="8">
        <v>6340583</v>
      </c>
      <c r="AU99" s="8">
        <v>8150722</v>
      </c>
      <c r="AV99" s="8">
        <v>9560962</v>
      </c>
      <c r="AW99" s="8">
        <v>11799001</v>
      </c>
      <c r="AX99" s="8">
        <v>13414011</v>
      </c>
      <c r="AY99" s="8">
        <v>16900480</v>
      </c>
      <c r="AZ99" s="8">
        <v>17908725</v>
      </c>
      <c r="BA99" s="8">
        <v>26394423</v>
      </c>
      <c r="BB99" s="9">
        <f t="shared" si="41"/>
        <v>26394423</v>
      </c>
      <c r="BC99" s="8">
        <v>0</v>
      </c>
      <c r="BD99" s="8">
        <v>0</v>
      </c>
      <c r="BE99" s="8">
        <v>4506266</v>
      </c>
      <c r="BF99" s="8">
        <v>3401321</v>
      </c>
      <c r="BG99" s="8">
        <v>5063127</v>
      </c>
      <c r="BH99" s="8">
        <v>7677716</v>
      </c>
      <c r="BI99" s="8">
        <v>9337601</v>
      </c>
      <c r="BJ99" s="8">
        <v>10925397</v>
      </c>
      <c r="BK99" s="8">
        <v>12645118</v>
      </c>
      <c r="BL99" s="8">
        <v>14673387</v>
      </c>
      <c r="BM99" s="8">
        <v>17100612</v>
      </c>
      <c r="BN99" s="8">
        <v>21550011</v>
      </c>
      <c r="BO99" s="9">
        <f t="shared" si="42"/>
        <v>21550011</v>
      </c>
      <c r="BP99" s="8">
        <v>0</v>
      </c>
      <c r="BQ99" s="8">
        <v>0</v>
      </c>
      <c r="BR99" s="8">
        <v>5612350</v>
      </c>
      <c r="BS99" s="8">
        <v>7982078</v>
      </c>
      <c r="BT99" s="8">
        <v>10391090</v>
      </c>
      <c r="BU99" s="8">
        <v>13025044</v>
      </c>
      <c r="BV99" s="8">
        <v>15988122</v>
      </c>
      <c r="BW99" s="8">
        <v>19805043</v>
      </c>
      <c r="BX99" s="8">
        <v>24319041</v>
      </c>
      <c r="BY99" s="8">
        <v>34218631</v>
      </c>
      <c r="BZ99" s="8">
        <v>36665806</v>
      </c>
      <c r="CA99" s="8">
        <v>42941145</v>
      </c>
      <c r="CB99" s="9">
        <f t="shared" si="43"/>
        <v>42941145</v>
      </c>
      <c r="CC99" s="8">
        <v>0</v>
      </c>
      <c r="CD99" s="8">
        <v>1993417</v>
      </c>
      <c r="CE99" s="8">
        <v>4613923</v>
      </c>
      <c r="CF99" s="8">
        <v>5095803</v>
      </c>
      <c r="CG99" s="8">
        <v>6238931</v>
      </c>
      <c r="CH99" s="8">
        <v>8762288</v>
      </c>
      <c r="CI99" s="8">
        <v>10248978</v>
      </c>
      <c r="CJ99" s="8">
        <v>12363322</v>
      </c>
      <c r="CK99" s="8">
        <v>14805432</v>
      </c>
      <c r="CL99" s="8">
        <v>16369142</v>
      </c>
      <c r="CM99" s="8">
        <v>19349909</v>
      </c>
      <c r="CN99" s="8">
        <v>28145882</v>
      </c>
      <c r="CO99" s="9">
        <f t="shared" si="44"/>
        <v>28145882</v>
      </c>
      <c r="CP99" s="8">
        <v>0</v>
      </c>
      <c r="CQ99" s="8">
        <v>3599911</v>
      </c>
      <c r="CR99" s="8">
        <v>4492411</v>
      </c>
      <c r="CS99" s="8">
        <v>7806993</v>
      </c>
      <c r="CT99" s="8">
        <v>10436146</v>
      </c>
      <c r="CU99" s="8">
        <v>14432287</v>
      </c>
      <c r="CV99" s="8">
        <v>16234374</v>
      </c>
      <c r="CW99" s="8">
        <v>19181444</v>
      </c>
      <c r="CX99" s="8">
        <v>21040590</v>
      </c>
      <c r="CY99" s="8">
        <v>23068759</v>
      </c>
      <c r="CZ99" s="8">
        <v>24673609</v>
      </c>
      <c r="DA99" s="8">
        <v>27118131</v>
      </c>
      <c r="DB99" s="9">
        <f t="shared" si="45"/>
        <v>27118131</v>
      </c>
      <c r="DC99" s="8">
        <v>0</v>
      </c>
      <c r="DD99" s="8">
        <v>0</v>
      </c>
      <c r="DE99" s="8">
        <v>3649426</v>
      </c>
      <c r="DF99" s="8">
        <v>6015385</v>
      </c>
      <c r="DG99" s="8">
        <v>7103489</v>
      </c>
      <c r="DH99" s="8">
        <v>8174256</v>
      </c>
      <c r="DI99" s="8">
        <v>9304579</v>
      </c>
      <c r="DJ99" s="8">
        <v>11292945</v>
      </c>
      <c r="DK99" s="8">
        <v>12739557</v>
      </c>
      <c r="DL99" s="8">
        <v>29117689</v>
      </c>
      <c r="DM99" s="8">
        <v>30831018</v>
      </c>
      <c r="DN99" s="8">
        <v>35090112</v>
      </c>
      <c r="DO99" s="9">
        <f t="shared" si="46"/>
        <v>35090112</v>
      </c>
      <c r="DP99" s="8">
        <v>0</v>
      </c>
      <c r="DQ99" s="8">
        <v>1094304</v>
      </c>
      <c r="DR99" s="8">
        <v>1410003</v>
      </c>
      <c r="DS99" s="8">
        <v>1846185</v>
      </c>
      <c r="DT99" s="8">
        <v>2397096</v>
      </c>
      <c r="DU99" s="8">
        <v>2596115</v>
      </c>
      <c r="DV99" s="8">
        <v>3117122</v>
      </c>
      <c r="DW99" s="8">
        <v>4085927</v>
      </c>
      <c r="DX99" s="8">
        <v>5969443</v>
      </c>
      <c r="DY99" s="8">
        <v>6354727</v>
      </c>
      <c r="DZ99" s="8">
        <v>6979445</v>
      </c>
      <c r="EA99" s="8">
        <v>13636731</v>
      </c>
      <c r="EB99" s="9">
        <f t="shared" si="47"/>
        <v>13636731</v>
      </c>
      <c r="EC99" s="8">
        <v>0</v>
      </c>
      <c r="ED99" s="8">
        <v>880681</v>
      </c>
      <c r="EE99" s="8">
        <v>2056183</v>
      </c>
      <c r="EF99" s="8">
        <v>3603749</v>
      </c>
      <c r="EG99" s="8">
        <v>7227664</v>
      </c>
      <c r="EH99" s="8">
        <v>7467165</v>
      </c>
      <c r="EI99" s="8">
        <v>8838590</v>
      </c>
      <c r="EJ99" s="8">
        <v>9857470</v>
      </c>
      <c r="EK99" s="8">
        <v>10853694</v>
      </c>
      <c r="EL99" s="8">
        <v>12036613</v>
      </c>
      <c r="EM99" s="8">
        <v>12805165</v>
      </c>
      <c r="EN99" s="8">
        <v>19658321</v>
      </c>
      <c r="EO99" s="9">
        <f t="shared" si="48"/>
        <v>19658321</v>
      </c>
      <c r="EP99" s="8">
        <v>0</v>
      </c>
      <c r="EQ99" s="8">
        <v>92693</v>
      </c>
      <c r="ER99" s="8">
        <v>129900</v>
      </c>
      <c r="ES99" s="8">
        <v>319531</v>
      </c>
      <c r="ET99" s="8">
        <v>468730</v>
      </c>
      <c r="EU99" s="8">
        <v>526716</v>
      </c>
      <c r="EV99" s="8">
        <v>845102</v>
      </c>
      <c r="EW99" s="8">
        <v>1152979</v>
      </c>
      <c r="EX99" s="8">
        <v>1503750</v>
      </c>
      <c r="EY99" s="8">
        <v>2189702</v>
      </c>
      <c r="EZ99" s="8">
        <v>4279056</v>
      </c>
      <c r="FA99" s="8">
        <v>7889441</v>
      </c>
      <c r="FB99" s="9">
        <f t="shared" si="49"/>
        <v>7889441</v>
      </c>
      <c r="FC99" s="8">
        <v>0</v>
      </c>
      <c r="FD99" s="8">
        <v>2191740</v>
      </c>
      <c r="FE99" s="8">
        <v>3759966</v>
      </c>
      <c r="FF99" s="8">
        <v>5411313</v>
      </c>
      <c r="FG99" s="8">
        <v>6946935</v>
      </c>
      <c r="FH99" s="8">
        <v>8173898</v>
      </c>
      <c r="FI99" s="8">
        <v>8532146</v>
      </c>
      <c r="FJ99" s="8"/>
      <c r="FK99" s="8"/>
      <c r="FL99" s="8"/>
      <c r="FM99" s="8"/>
      <c r="FN99" s="8"/>
      <c r="FO99" s="9">
        <f t="shared" si="50"/>
        <v>8532146</v>
      </c>
    </row>
    <row r="100" spans="2:171" ht="14.25" customHeight="1" x14ac:dyDescent="0.3">
      <c r="B100" s="7" t="s">
        <v>63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2253656</v>
      </c>
      <c r="O100" s="9">
        <f t="shared" si="38"/>
        <v>2253656</v>
      </c>
      <c r="P100" s="8">
        <v>0</v>
      </c>
      <c r="Q100" s="8">
        <v>0</v>
      </c>
      <c r="R100" s="8">
        <v>170443</v>
      </c>
      <c r="S100" s="8">
        <v>395326</v>
      </c>
      <c r="T100" s="8">
        <v>688559</v>
      </c>
      <c r="U100" s="8">
        <v>1012932</v>
      </c>
      <c r="V100" s="8">
        <v>1260436</v>
      </c>
      <c r="W100" s="8">
        <v>1543156</v>
      </c>
      <c r="X100" s="8">
        <v>1812817</v>
      </c>
      <c r="Y100" s="8">
        <v>2453192</v>
      </c>
      <c r="Z100" s="8">
        <v>2779307</v>
      </c>
      <c r="AA100" s="8">
        <v>5037699</v>
      </c>
      <c r="AB100" s="9">
        <f t="shared" si="39"/>
        <v>5037699</v>
      </c>
      <c r="AC100" s="8">
        <v>0</v>
      </c>
      <c r="AD100" s="8">
        <v>594038</v>
      </c>
      <c r="AE100" s="8">
        <v>908988</v>
      </c>
      <c r="AF100" s="8">
        <v>1346332</v>
      </c>
      <c r="AG100" s="8">
        <v>1794473</v>
      </c>
      <c r="AH100" s="8">
        <v>1834977</v>
      </c>
      <c r="AI100" s="8">
        <v>2194124</v>
      </c>
      <c r="AJ100" s="8">
        <v>2869856</v>
      </c>
      <c r="AK100" s="8">
        <v>3464692</v>
      </c>
      <c r="AL100" s="8">
        <v>4369262</v>
      </c>
      <c r="AM100" s="8">
        <v>5200826</v>
      </c>
      <c r="AN100" s="8">
        <v>8237352</v>
      </c>
      <c r="AO100" s="9">
        <f t="shared" si="40"/>
        <v>8237352</v>
      </c>
      <c r="AP100" s="8">
        <v>0</v>
      </c>
      <c r="AQ100" s="8">
        <v>168272</v>
      </c>
      <c r="AR100" s="8">
        <v>1144452</v>
      </c>
      <c r="AS100" s="8">
        <v>1652164</v>
      </c>
      <c r="AT100" s="8">
        <v>2168837</v>
      </c>
      <c r="AU100" s="8">
        <v>2713316</v>
      </c>
      <c r="AV100" s="8">
        <v>2923891</v>
      </c>
      <c r="AW100" s="8">
        <v>3259301</v>
      </c>
      <c r="AX100" s="8">
        <v>3470307</v>
      </c>
      <c r="AY100" s="8">
        <v>3779822</v>
      </c>
      <c r="AZ100" s="8">
        <v>4349622</v>
      </c>
      <c r="BA100" s="8">
        <v>5251541</v>
      </c>
      <c r="BB100" s="9">
        <f t="shared" si="41"/>
        <v>5251541</v>
      </c>
      <c r="BC100" s="8">
        <v>0</v>
      </c>
      <c r="BD100" s="8">
        <v>0</v>
      </c>
      <c r="BE100" s="8">
        <v>87867</v>
      </c>
      <c r="BF100" s="8">
        <v>87867</v>
      </c>
      <c r="BG100" s="8">
        <v>803371</v>
      </c>
      <c r="BH100" s="8">
        <v>1100777</v>
      </c>
      <c r="BI100" s="8">
        <v>2090502</v>
      </c>
      <c r="BJ100" s="8">
        <v>2420768</v>
      </c>
      <c r="BK100" s="8">
        <v>2597429</v>
      </c>
      <c r="BL100" s="8">
        <v>3040601</v>
      </c>
      <c r="BM100" s="8">
        <v>3550838</v>
      </c>
      <c r="BN100" s="8">
        <v>4121570</v>
      </c>
      <c r="BO100" s="9">
        <f t="shared" si="42"/>
        <v>4121570</v>
      </c>
      <c r="BP100" s="8">
        <v>0</v>
      </c>
      <c r="BQ100" s="8">
        <v>276419</v>
      </c>
      <c r="BR100" s="8">
        <v>482962</v>
      </c>
      <c r="BS100" s="8">
        <v>1521322</v>
      </c>
      <c r="BT100" s="8">
        <v>1915293</v>
      </c>
      <c r="BU100" s="8">
        <v>2333321</v>
      </c>
      <c r="BV100" s="8">
        <v>2500466</v>
      </c>
      <c r="BW100" s="8">
        <v>2783890</v>
      </c>
      <c r="BX100" s="8">
        <v>2921503</v>
      </c>
      <c r="BY100" s="8">
        <v>4059578</v>
      </c>
      <c r="BZ100" s="8">
        <v>4456388</v>
      </c>
      <c r="CA100" s="8">
        <v>5885339</v>
      </c>
      <c r="CB100" s="9">
        <f t="shared" si="43"/>
        <v>5885339</v>
      </c>
      <c r="CC100" s="8">
        <v>0</v>
      </c>
      <c r="CD100" s="8">
        <v>959373</v>
      </c>
      <c r="CE100" s="8">
        <v>1447806</v>
      </c>
      <c r="CF100" s="8">
        <v>1950830</v>
      </c>
      <c r="CG100" s="8">
        <v>2114371</v>
      </c>
      <c r="CH100" s="8">
        <v>2252247</v>
      </c>
      <c r="CI100" s="8">
        <v>2312106</v>
      </c>
      <c r="CJ100" s="8">
        <v>2364343</v>
      </c>
      <c r="CK100" s="8">
        <v>2424078</v>
      </c>
      <c r="CL100" s="8">
        <v>2641377</v>
      </c>
      <c r="CM100" s="8">
        <v>3065460</v>
      </c>
      <c r="CN100" s="8">
        <v>5522731</v>
      </c>
      <c r="CO100" s="9">
        <f t="shared" si="44"/>
        <v>5522731</v>
      </c>
      <c r="CP100" s="8">
        <v>0</v>
      </c>
      <c r="CQ100" s="8">
        <v>36123</v>
      </c>
      <c r="CR100" s="8">
        <v>221499</v>
      </c>
      <c r="CS100" s="8">
        <v>271211</v>
      </c>
      <c r="CT100" s="8">
        <v>334122</v>
      </c>
      <c r="CU100" s="8">
        <v>355553</v>
      </c>
      <c r="CV100" s="8">
        <v>472137</v>
      </c>
      <c r="CW100" s="8">
        <v>528937</v>
      </c>
      <c r="CX100" s="8">
        <v>706718</v>
      </c>
      <c r="CY100" s="8">
        <v>926046</v>
      </c>
      <c r="CZ100" s="8">
        <v>1129931</v>
      </c>
      <c r="DA100" s="8">
        <v>1351191</v>
      </c>
      <c r="DB100" s="9">
        <f t="shared" si="45"/>
        <v>1351191</v>
      </c>
      <c r="DC100" s="8">
        <v>0</v>
      </c>
      <c r="DD100" s="8">
        <v>0</v>
      </c>
      <c r="DE100" s="8">
        <v>21167</v>
      </c>
      <c r="DF100" s="8">
        <v>28722</v>
      </c>
      <c r="DG100" s="8">
        <v>29222</v>
      </c>
      <c r="DH100" s="8">
        <v>32222</v>
      </c>
      <c r="DI100" s="8">
        <v>32222</v>
      </c>
      <c r="DJ100" s="8">
        <v>32222</v>
      </c>
      <c r="DK100" s="8">
        <v>32222</v>
      </c>
      <c r="DL100" s="8">
        <v>32222</v>
      </c>
      <c r="DM100" s="8">
        <v>121402</v>
      </c>
      <c r="DN100" s="8">
        <v>800110</v>
      </c>
      <c r="DO100" s="9">
        <f t="shared" si="46"/>
        <v>800110</v>
      </c>
      <c r="DP100" s="8">
        <v>0</v>
      </c>
      <c r="DQ100" s="8">
        <v>548782</v>
      </c>
      <c r="DR100" s="8">
        <v>1164105</v>
      </c>
      <c r="DS100" s="8">
        <v>1646925</v>
      </c>
      <c r="DT100" s="8">
        <v>2280222</v>
      </c>
      <c r="DU100" s="8">
        <v>3034466</v>
      </c>
      <c r="DV100" s="8">
        <v>3214782</v>
      </c>
      <c r="DW100" s="8">
        <v>3915466</v>
      </c>
      <c r="DX100" s="8">
        <v>4125851</v>
      </c>
      <c r="DY100" s="8">
        <v>4178234</v>
      </c>
      <c r="DZ100" s="8">
        <v>4314747</v>
      </c>
      <c r="EA100" s="8">
        <v>5307662</v>
      </c>
      <c r="EB100" s="9">
        <f t="shared" si="47"/>
        <v>5307662</v>
      </c>
      <c r="EC100" s="8">
        <v>0</v>
      </c>
      <c r="ED100" s="8">
        <v>503774</v>
      </c>
      <c r="EE100" s="8">
        <v>688297</v>
      </c>
      <c r="EF100" s="8">
        <v>1603315</v>
      </c>
      <c r="EG100" s="8">
        <v>1712645</v>
      </c>
      <c r="EH100" s="8">
        <v>1881822</v>
      </c>
      <c r="EI100" s="8">
        <v>1985177</v>
      </c>
      <c r="EJ100" s="8">
        <v>2199283</v>
      </c>
      <c r="EK100" s="8">
        <v>2451399</v>
      </c>
      <c r="EL100" s="8">
        <v>2953051</v>
      </c>
      <c r="EM100" s="8">
        <v>3027954</v>
      </c>
      <c r="EN100" s="8">
        <v>3218781</v>
      </c>
      <c r="EO100" s="9">
        <f t="shared" si="48"/>
        <v>3218781</v>
      </c>
      <c r="EP100" s="8">
        <v>0</v>
      </c>
      <c r="EQ100" s="8">
        <v>55836</v>
      </c>
      <c r="ER100" s="8">
        <v>98483</v>
      </c>
      <c r="ES100" s="8">
        <v>142398</v>
      </c>
      <c r="ET100" s="8">
        <v>397239</v>
      </c>
      <c r="EU100" s="8">
        <v>624493</v>
      </c>
      <c r="EV100" s="8">
        <v>700463</v>
      </c>
      <c r="EW100" s="8">
        <v>720979</v>
      </c>
      <c r="EX100" s="8">
        <v>731904</v>
      </c>
      <c r="EY100" s="8">
        <v>849996</v>
      </c>
      <c r="EZ100" s="8">
        <v>1186248</v>
      </c>
      <c r="FA100" s="8">
        <v>1284095</v>
      </c>
      <c r="FB100" s="9">
        <f t="shared" si="49"/>
        <v>1284095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/>
      <c r="FK100" s="8"/>
      <c r="FL100" s="8"/>
      <c r="FM100" s="8"/>
      <c r="FN100" s="8"/>
      <c r="FO100" s="9">
        <f t="shared" si="50"/>
        <v>0</v>
      </c>
    </row>
    <row r="101" spans="2:171" ht="14.25" customHeight="1" x14ac:dyDescent="0.3">
      <c r="B101" s="31" t="s">
        <v>64</v>
      </c>
      <c r="C101" s="8">
        <v>0</v>
      </c>
      <c r="D101" s="8">
        <v>30318</v>
      </c>
      <c r="E101" s="8">
        <v>193496</v>
      </c>
      <c r="F101" s="8">
        <v>356655</v>
      </c>
      <c r="G101" s="8">
        <v>454467</v>
      </c>
      <c r="H101" s="8">
        <v>613724</v>
      </c>
      <c r="I101" s="8">
        <v>792969</v>
      </c>
      <c r="J101" s="8">
        <v>1020156</v>
      </c>
      <c r="K101" s="8">
        <v>1130566</v>
      </c>
      <c r="L101" s="8">
        <v>1247482</v>
      </c>
      <c r="M101" s="8">
        <v>1283255</v>
      </c>
      <c r="N101" s="8">
        <v>1748228</v>
      </c>
      <c r="O101" s="9">
        <f t="shared" si="38"/>
        <v>1748228</v>
      </c>
      <c r="P101" s="8">
        <v>0</v>
      </c>
      <c r="Q101" s="8">
        <v>0</v>
      </c>
      <c r="R101" s="8">
        <v>0</v>
      </c>
      <c r="S101" s="8">
        <v>44581</v>
      </c>
      <c r="T101" s="8">
        <v>45225</v>
      </c>
      <c r="U101" s="8">
        <v>161503</v>
      </c>
      <c r="V101" s="8">
        <v>197219</v>
      </c>
      <c r="W101" s="8">
        <v>201678</v>
      </c>
      <c r="X101" s="8">
        <v>201982</v>
      </c>
      <c r="Y101" s="8">
        <v>232982</v>
      </c>
      <c r="Z101" s="8">
        <v>249179</v>
      </c>
      <c r="AA101" s="8">
        <v>4432566</v>
      </c>
      <c r="AB101" s="9">
        <f t="shared" si="39"/>
        <v>4432566</v>
      </c>
      <c r="AC101" s="8">
        <v>0</v>
      </c>
      <c r="AD101" s="8">
        <v>0</v>
      </c>
      <c r="AE101" s="8">
        <v>142742</v>
      </c>
      <c r="AF101" s="8">
        <v>327238</v>
      </c>
      <c r="AG101" s="8">
        <v>563968</v>
      </c>
      <c r="AH101" s="8">
        <v>870113</v>
      </c>
      <c r="AI101" s="8">
        <v>1143192</v>
      </c>
      <c r="AJ101" s="8">
        <v>1679384</v>
      </c>
      <c r="AK101" s="8">
        <v>2178119</v>
      </c>
      <c r="AL101" s="8">
        <v>2512459</v>
      </c>
      <c r="AM101" s="8">
        <v>3246341</v>
      </c>
      <c r="AN101" s="8">
        <v>5257079</v>
      </c>
      <c r="AO101" s="9">
        <f t="shared" si="40"/>
        <v>5257079</v>
      </c>
      <c r="AP101" s="8">
        <v>0</v>
      </c>
      <c r="AQ101" s="8">
        <v>0</v>
      </c>
      <c r="AR101" s="8">
        <v>1160902</v>
      </c>
      <c r="AS101" s="8">
        <v>1901567</v>
      </c>
      <c r="AT101" s="8">
        <v>2476936</v>
      </c>
      <c r="AU101" s="8">
        <v>2980086</v>
      </c>
      <c r="AV101" s="8">
        <v>3996760</v>
      </c>
      <c r="AW101" s="8">
        <v>4710216</v>
      </c>
      <c r="AX101" s="8">
        <v>5254765</v>
      </c>
      <c r="AY101" s="8">
        <v>6386355</v>
      </c>
      <c r="AZ101" s="8">
        <v>6668614</v>
      </c>
      <c r="BA101" s="8">
        <v>8924406</v>
      </c>
      <c r="BB101" s="9">
        <f t="shared" si="41"/>
        <v>8924406</v>
      </c>
      <c r="BC101" s="8">
        <v>0</v>
      </c>
      <c r="BD101" s="8">
        <v>0</v>
      </c>
      <c r="BE101" s="8">
        <v>0</v>
      </c>
      <c r="BF101" s="8">
        <v>0</v>
      </c>
      <c r="BG101" s="8">
        <v>175099</v>
      </c>
      <c r="BH101" s="8">
        <v>545285</v>
      </c>
      <c r="BI101" s="8">
        <v>580228</v>
      </c>
      <c r="BJ101" s="8">
        <v>700546</v>
      </c>
      <c r="BK101" s="8">
        <v>799603</v>
      </c>
      <c r="BL101" s="8">
        <v>905944</v>
      </c>
      <c r="BM101" s="8">
        <v>965917</v>
      </c>
      <c r="BN101" s="8">
        <v>1073665</v>
      </c>
      <c r="BO101" s="9">
        <f t="shared" si="42"/>
        <v>1073665</v>
      </c>
      <c r="BP101" s="8">
        <v>0</v>
      </c>
      <c r="BQ101" s="8">
        <v>0</v>
      </c>
      <c r="BR101" s="8">
        <v>0</v>
      </c>
      <c r="BS101" s="8">
        <v>0</v>
      </c>
      <c r="BT101" s="8">
        <v>114029</v>
      </c>
      <c r="BU101" s="8">
        <v>185428</v>
      </c>
      <c r="BV101" s="8">
        <v>243859</v>
      </c>
      <c r="BW101" s="8">
        <v>305226</v>
      </c>
      <c r="BX101" s="8">
        <v>362724</v>
      </c>
      <c r="BY101" s="8">
        <v>410508</v>
      </c>
      <c r="BZ101" s="8">
        <v>454424</v>
      </c>
      <c r="CA101" s="8">
        <v>664807</v>
      </c>
      <c r="CB101" s="9">
        <f t="shared" si="43"/>
        <v>664807</v>
      </c>
      <c r="CC101" s="8">
        <v>0</v>
      </c>
      <c r="CD101" s="8">
        <v>0</v>
      </c>
      <c r="CE101" s="8">
        <v>0</v>
      </c>
      <c r="CF101" s="8">
        <v>0</v>
      </c>
      <c r="CG101" s="8">
        <v>76888</v>
      </c>
      <c r="CH101" s="8">
        <v>88937</v>
      </c>
      <c r="CI101" s="8">
        <v>605233</v>
      </c>
      <c r="CJ101" s="8">
        <v>682768</v>
      </c>
      <c r="CK101" s="8">
        <v>816505</v>
      </c>
      <c r="CL101" s="8">
        <v>907765</v>
      </c>
      <c r="CM101" s="8">
        <v>1010060</v>
      </c>
      <c r="CN101" s="8">
        <v>1025899</v>
      </c>
      <c r="CO101" s="9">
        <f t="shared" si="44"/>
        <v>1025899</v>
      </c>
      <c r="CP101" s="8">
        <v>0</v>
      </c>
      <c r="CQ101" s="8">
        <v>0</v>
      </c>
      <c r="CR101" s="8">
        <v>16583</v>
      </c>
      <c r="CS101" s="8">
        <v>45651</v>
      </c>
      <c r="CT101" s="8">
        <v>218167</v>
      </c>
      <c r="CU101" s="8">
        <v>278186</v>
      </c>
      <c r="CV101" s="8">
        <v>444101</v>
      </c>
      <c r="CW101" s="8">
        <v>516028</v>
      </c>
      <c r="CX101" s="8">
        <v>638898</v>
      </c>
      <c r="CY101" s="8">
        <v>695211</v>
      </c>
      <c r="CZ101" s="8">
        <v>862356</v>
      </c>
      <c r="DA101" s="8">
        <v>1200882</v>
      </c>
      <c r="DB101" s="9">
        <f t="shared" si="45"/>
        <v>1200882</v>
      </c>
      <c r="DC101" s="8">
        <v>0</v>
      </c>
      <c r="DD101" s="8">
        <v>0</v>
      </c>
      <c r="DE101" s="8">
        <v>7050</v>
      </c>
      <c r="DF101" s="8">
        <v>535275</v>
      </c>
      <c r="DG101" s="8">
        <v>578414</v>
      </c>
      <c r="DH101" s="8">
        <v>751988</v>
      </c>
      <c r="DI101" s="8">
        <v>829410</v>
      </c>
      <c r="DJ101" s="8">
        <v>1007385</v>
      </c>
      <c r="DK101" s="8">
        <v>1188879</v>
      </c>
      <c r="DL101" s="8">
        <v>1362365</v>
      </c>
      <c r="DM101" s="8">
        <v>1787160</v>
      </c>
      <c r="DN101" s="8">
        <v>2714204</v>
      </c>
      <c r="DO101" s="9">
        <f t="shared" si="46"/>
        <v>2714204</v>
      </c>
      <c r="DP101" s="8">
        <v>0</v>
      </c>
      <c r="DQ101" s="8">
        <v>203424</v>
      </c>
      <c r="DR101" s="8">
        <v>302443</v>
      </c>
      <c r="DS101" s="8">
        <v>410997</v>
      </c>
      <c r="DT101" s="8">
        <v>549962</v>
      </c>
      <c r="DU101" s="8">
        <v>572928</v>
      </c>
      <c r="DV101" s="8">
        <v>695973</v>
      </c>
      <c r="DW101" s="8">
        <v>710576</v>
      </c>
      <c r="DX101" s="8">
        <v>797490</v>
      </c>
      <c r="DY101" s="8">
        <v>889402</v>
      </c>
      <c r="DZ101" s="8">
        <v>1556681</v>
      </c>
      <c r="EA101" s="8">
        <v>2889515</v>
      </c>
      <c r="EB101" s="9">
        <f t="shared" si="47"/>
        <v>2889515</v>
      </c>
      <c r="EC101" s="8">
        <v>0</v>
      </c>
      <c r="ED101" s="8">
        <v>0</v>
      </c>
      <c r="EE101" s="8">
        <v>791703</v>
      </c>
      <c r="EF101" s="8">
        <v>2050376</v>
      </c>
      <c r="EG101" s="8">
        <v>3346499</v>
      </c>
      <c r="EH101" s="8">
        <v>4313028</v>
      </c>
      <c r="EI101" s="8">
        <v>5117446</v>
      </c>
      <c r="EJ101" s="8">
        <v>5816444</v>
      </c>
      <c r="EK101" s="8">
        <v>6511278</v>
      </c>
      <c r="EL101" s="8">
        <v>7194398</v>
      </c>
      <c r="EM101" s="8">
        <v>8584319</v>
      </c>
      <c r="EN101" s="8">
        <v>11325392</v>
      </c>
      <c r="EO101" s="9">
        <f t="shared" si="48"/>
        <v>11325392</v>
      </c>
      <c r="EP101" s="8">
        <v>0</v>
      </c>
      <c r="EQ101" s="8">
        <v>0</v>
      </c>
      <c r="ER101" s="8">
        <v>2368036</v>
      </c>
      <c r="ES101" s="8">
        <v>3438734</v>
      </c>
      <c r="ET101" s="8">
        <v>3589070</v>
      </c>
      <c r="EU101" s="8">
        <v>5842030</v>
      </c>
      <c r="EV101" s="8">
        <v>7325496</v>
      </c>
      <c r="EW101" s="8">
        <v>8890437</v>
      </c>
      <c r="EX101" s="8">
        <v>10980914</v>
      </c>
      <c r="EY101" s="8">
        <v>12947010</v>
      </c>
      <c r="EZ101" s="8">
        <v>13084182</v>
      </c>
      <c r="FA101" s="8">
        <v>20235880</v>
      </c>
      <c r="FB101" s="9">
        <f t="shared" si="49"/>
        <v>20235880</v>
      </c>
      <c r="FC101" s="8">
        <v>0</v>
      </c>
      <c r="FD101" s="8">
        <v>4011</v>
      </c>
      <c r="FE101" s="8">
        <v>6785</v>
      </c>
      <c r="FF101" s="8">
        <v>2122494</v>
      </c>
      <c r="FG101" s="8">
        <v>2566291</v>
      </c>
      <c r="FH101" s="8">
        <v>2672649</v>
      </c>
      <c r="FI101" s="8">
        <v>2680620</v>
      </c>
      <c r="FJ101" s="8"/>
      <c r="FK101" s="8"/>
      <c r="FL101" s="8"/>
      <c r="FM101" s="8"/>
      <c r="FN101" s="8"/>
      <c r="FO101" s="9">
        <f t="shared" si="50"/>
        <v>2680620</v>
      </c>
    </row>
    <row r="102" spans="2:171" ht="14.25" customHeight="1" x14ac:dyDescent="0.3">
      <c r="B102" s="31" t="s">
        <v>65</v>
      </c>
      <c r="C102" s="8">
        <v>0</v>
      </c>
      <c r="D102" s="8">
        <v>3305140</v>
      </c>
      <c r="E102" s="8">
        <v>4591964</v>
      </c>
      <c r="F102" s="8">
        <v>4887631</v>
      </c>
      <c r="G102" s="8">
        <v>6327288</v>
      </c>
      <c r="H102" s="8">
        <v>9360075</v>
      </c>
      <c r="I102" s="8">
        <v>10090438</v>
      </c>
      <c r="J102" s="8">
        <v>10448110</v>
      </c>
      <c r="K102" s="8">
        <v>11347413</v>
      </c>
      <c r="L102" s="8">
        <v>12030495</v>
      </c>
      <c r="M102" s="8">
        <v>14449588</v>
      </c>
      <c r="N102" s="8">
        <v>22824437</v>
      </c>
      <c r="O102" s="9">
        <f t="shared" si="38"/>
        <v>22824437</v>
      </c>
      <c r="P102" s="8">
        <v>0</v>
      </c>
      <c r="Q102" s="8">
        <v>0</v>
      </c>
      <c r="R102" s="8">
        <v>26018</v>
      </c>
      <c r="S102" s="8">
        <v>497930</v>
      </c>
      <c r="T102" s="8">
        <v>771681</v>
      </c>
      <c r="U102" s="8">
        <v>1037260</v>
      </c>
      <c r="V102" s="8">
        <v>1208579</v>
      </c>
      <c r="W102" s="8">
        <v>1606748</v>
      </c>
      <c r="X102" s="8">
        <v>1847896</v>
      </c>
      <c r="Y102" s="8">
        <v>2263997</v>
      </c>
      <c r="Z102" s="8">
        <v>2613408</v>
      </c>
      <c r="AA102" s="8">
        <v>10296223</v>
      </c>
      <c r="AB102" s="9">
        <f t="shared" si="39"/>
        <v>10296223</v>
      </c>
      <c r="AC102" s="8">
        <v>0</v>
      </c>
      <c r="AD102" s="8">
        <v>0</v>
      </c>
      <c r="AE102" s="8">
        <v>0</v>
      </c>
      <c r="AF102" s="8">
        <v>657697</v>
      </c>
      <c r="AG102" s="8">
        <v>1099278</v>
      </c>
      <c r="AH102" s="8">
        <v>1955354</v>
      </c>
      <c r="AI102" s="8">
        <v>2562115</v>
      </c>
      <c r="AJ102" s="8">
        <v>3263151</v>
      </c>
      <c r="AK102" s="8">
        <v>3777777</v>
      </c>
      <c r="AL102" s="8">
        <v>4455790</v>
      </c>
      <c r="AM102" s="8">
        <v>5279820</v>
      </c>
      <c r="AN102" s="8">
        <v>7220349</v>
      </c>
      <c r="AO102" s="9">
        <f t="shared" si="40"/>
        <v>7220349</v>
      </c>
      <c r="AP102" s="8">
        <v>0</v>
      </c>
      <c r="AQ102" s="8">
        <v>0</v>
      </c>
      <c r="AR102" s="8">
        <v>1281603</v>
      </c>
      <c r="AS102" s="8">
        <v>1787024</v>
      </c>
      <c r="AT102" s="8">
        <v>2197785</v>
      </c>
      <c r="AU102" s="8">
        <v>2826599</v>
      </c>
      <c r="AV102" s="8">
        <v>3491750</v>
      </c>
      <c r="AW102" s="8">
        <v>4035857</v>
      </c>
      <c r="AX102" s="8">
        <v>4419936</v>
      </c>
      <c r="AY102" s="8">
        <v>4488978</v>
      </c>
      <c r="AZ102" s="8">
        <v>4499318</v>
      </c>
      <c r="BA102" s="8">
        <v>5634758</v>
      </c>
      <c r="BB102" s="9">
        <f t="shared" si="41"/>
        <v>5634758</v>
      </c>
      <c r="BC102" s="8">
        <v>0</v>
      </c>
      <c r="BD102" s="8">
        <v>0</v>
      </c>
      <c r="BE102" s="8">
        <v>0</v>
      </c>
      <c r="BF102" s="8">
        <v>0</v>
      </c>
      <c r="BG102" s="8">
        <v>165722</v>
      </c>
      <c r="BH102" s="8">
        <v>381943</v>
      </c>
      <c r="BI102" s="8">
        <v>610636</v>
      </c>
      <c r="BJ102" s="8">
        <v>683849</v>
      </c>
      <c r="BK102" s="8">
        <v>798650</v>
      </c>
      <c r="BL102" s="8">
        <v>934690</v>
      </c>
      <c r="BM102" s="8">
        <v>1307811</v>
      </c>
      <c r="BN102" s="8">
        <v>3039193</v>
      </c>
      <c r="BO102" s="9">
        <f t="shared" si="42"/>
        <v>3039193</v>
      </c>
      <c r="BP102" s="8">
        <v>0</v>
      </c>
      <c r="BQ102" s="8">
        <v>0</v>
      </c>
      <c r="BR102" s="8">
        <v>0</v>
      </c>
      <c r="BS102" s="8">
        <v>339579</v>
      </c>
      <c r="BT102" s="8">
        <v>487338</v>
      </c>
      <c r="BU102" s="8">
        <v>793544</v>
      </c>
      <c r="BV102" s="8">
        <v>970339</v>
      </c>
      <c r="BW102" s="8">
        <v>1151216</v>
      </c>
      <c r="BX102" s="8">
        <v>1802415</v>
      </c>
      <c r="BY102" s="8">
        <v>2008680</v>
      </c>
      <c r="BZ102" s="8">
        <v>2337488</v>
      </c>
      <c r="CA102" s="8">
        <v>4243921</v>
      </c>
      <c r="CB102" s="9">
        <f t="shared" si="43"/>
        <v>4243921</v>
      </c>
      <c r="CC102" s="8">
        <v>0</v>
      </c>
      <c r="CD102" s="8">
        <v>0</v>
      </c>
      <c r="CE102" s="8">
        <v>160580</v>
      </c>
      <c r="CF102" s="8">
        <v>204172</v>
      </c>
      <c r="CG102" s="8">
        <v>210849</v>
      </c>
      <c r="CH102" s="8">
        <v>252936</v>
      </c>
      <c r="CI102" s="8">
        <v>288064</v>
      </c>
      <c r="CJ102" s="8">
        <v>338828</v>
      </c>
      <c r="CK102" s="8">
        <v>632922</v>
      </c>
      <c r="CL102" s="8">
        <v>973474</v>
      </c>
      <c r="CM102" s="8">
        <v>1401430</v>
      </c>
      <c r="CN102" s="8">
        <v>3081778</v>
      </c>
      <c r="CO102" s="9">
        <f t="shared" si="44"/>
        <v>3081778</v>
      </c>
      <c r="CP102" s="8">
        <v>0</v>
      </c>
      <c r="CQ102" s="8">
        <v>16287</v>
      </c>
      <c r="CR102" s="8">
        <v>587091</v>
      </c>
      <c r="CS102" s="8">
        <v>914079</v>
      </c>
      <c r="CT102" s="8">
        <v>1365297</v>
      </c>
      <c r="CU102" s="8">
        <v>1642722</v>
      </c>
      <c r="CV102" s="8">
        <v>1891431</v>
      </c>
      <c r="CW102" s="8">
        <v>2189209</v>
      </c>
      <c r="CX102" s="8">
        <v>2528967</v>
      </c>
      <c r="CY102" s="8">
        <v>2715044</v>
      </c>
      <c r="CZ102" s="8">
        <v>2962440</v>
      </c>
      <c r="DA102" s="8">
        <v>3871879</v>
      </c>
      <c r="DB102" s="9">
        <f t="shared" si="45"/>
        <v>3871879</v>
      </c>
      <c r="DC102" s="8">
        <v>0</v>
      </c>
      <c r="DD102" s="8">
        <v>144556</v>
      </c>
      <c r="DE102" s="8">
        <v>346477</v>
      </c>
      <c r="DF102" s="8">
        <v>471105</v>
      </c>
      <c r="DG102" s="8">
        <v>516057</v>
      </c>
      <c r="DH102" s="8">
        <v>538838</v>
      </c>
      <c r="DI102" s="8">
        <v>664175</v>
      </c>
      <c r="DJ102" s="8">
        <v>788834</v>
      </c>
      <c r="DK102" s="8">
        <v>935276</v>
      </c>
      <c r="DL102" s="8">
        <v>977499</v>
      </c>
      <c r="DM102" s="8">
        <v>1111154</v>
      </c>
      <c r="DN102" s="8">
        <v>2200049</v>
      </c>
      <c r="DO102" s="9">
        <f t="shared" si="46"/>
        <v>2200049</v>
      </c>
      <c r="DP102" s="8">
        <v>0</v>
      </c>
      <c r="DQ102" s="8">
        <v>32488</v>
      </c>
      <c r="DR102" s="8">
        <v>373296</v>
      </c>
      <c r="DS102" s="8">
        <v>1496115</v>
      </c>
      <c r="DT102" s="8">
        <v>1030643</v>
      </c>
      <c r="DU102" s="8">
        <v>1060240</v>
      </c>
      <c r="DV102" s="8">
        <v>1379085</v>
      </c>
      <c r="DW102" s="8">
        <v>2238107</v>
      </c>
      <c r="DX102" s="8">
        <v>3254340</v>
      </c>
      <c r="DY102" s="8">
        <v>4231620</v>
      </c>
      <c r="DZ102" s="8">
        <v>5485168</v>
      </c>
      <c r="EA102" s="8">
        <v>8571506</v>
      </c>
      <c r="EB102" s="9">
        <f t="shared" si="47"/>
        <v>8571506</v>
      </c>
      <c r="EC102" s="8">
        <v>0</v>
      </c>
      <c r="ED102" s="8">
        <v>918966</v>
      </c>
      <c r="EE102" s="8">
        <v>1911612</v>
      </c>
      <c r="EF102" s="8">
        <v>3364169</v>
      </c>
      <c r="EG102" s="8">
        <v>4826182</v>
      </c>
      <c r="EH102" s="8">
        <v>7440504</v>
      </c>
      <c r="EI102" s="8">
        <v>8723173</v>
      </c>
      <c r="EJ102" s="8">
        <v>10240329</v>
      </c>
      <c r="EK102" s="8">
        <v>11889074</v>
      </c>
      <c r="EL102" s="8">
        <v>12371806</v>
      </c>
      <c r="EM102" s="8">
        <v>14005600</v>
      </c>
      <c r="EN102" s="8">
        <v>15680238</v>
      </c>
      <c r="EO102" s="9">
        <f t="shared" si="48"/>
        <v>15680238</v>
      </c>
      <c r="EP102" s="8">
        <v>0</v>
      </c>
      <c r="EQ102" s="8">
        <v>0</v>
      </c>
      <c r="ER102" s="8">
        <v>3093333</v>
      </c>
      <c r="ES102" s="8">
        <v>3642572</v>
      </c>
      <c r="ET102" s="8">
        <v>4921075</v>
      </c>
      <c r="EU102" s="8">
        <v>6266934</v>
      </c>
      <c r="EV102" s="8">
        <v>7683308</v>
      </c>
      <c r="EW102" s="8">
        <v>9551406</v>
      </c>
      <c r="EX102" s="8">
        <v>10425263</v>
      </c>
      <c r="EY102" s="8">
        <v>11283957</v>
      </c>
      <c r="EZ102" s="8">
        <v>13723174</v>
      </c>
      <c r="FA102" s="8">
        <v>17814645</v>
      </c>
      <c r="FB102" s="9">
        <f t="shared" si="49"/>
        <v>17814645</v>
      </c>
      <c r="FC102" s="8">
        <v>669260</v>
      </c>
      <c r="FD102" s="8">
        <v>2056153</v>
      </c>
      <c r="FE102" s="8">
        <v>3452559</v>
      </c>
      <c r="FF102" s="8">
        <v>3956023</v>
      </c>
      <c r="FG102" s="8">
        <v>4883835</v>
      </c>
      <c r="FH102" s="8">
        <v>5220485</v>
      </c>
      <c r="FI102" s="8">
        <v>6783658</v>
      </c>
      <c r="FJ102" s="8"/>
      <c r="FK102" s="8"/>
      <c r="FL102" s="8"/>
      <c r="FM102" s="8"/>
      <c r="FN102" s="8"/>
      <c r="FO102" s="9">
        <f t="shared" si="50"/>
        <v>6783658</v>
      </c>
    </row>
    <row r="103" spans="2:171" ht="14.25" customHeight="1" x14ac:dyDescent="0.3">
      <c r="B103" s="7" t="s">
        <v>66</v>
      </c>
      <c r="C103" s="8">
        <v>0</v>
      </c>
      <c r="D103" s="8">
        <v>0</v>
      </c>
      <c r="E103" s="8">
        <v>322009</v>
      </c>
      <c r="F103" s="8">
        <v>354793</v>
      </c>
      <c r="G103" s="8">
        <v>969089</v>
      </c>
      <c r="H103" s="8">
        <v>2255052</v>
      </c>
      <c r="I103" s="8">
        <v>2702643</v>
      </c>
      <c r="J103" s="8">
        <v>2829368</v>
      </c>
      <c r="K103" s="8">
        <v>3071217</v>
      </c>
      <c r="L103" s="8">
        <v>3148455</v>
      </c>
      <c r="M103" s="8">
        <v>4021507</v>
      </c>
      <c r="N103" s="8">
        <v>7116249</v>
      </c>
      <c r="O103" s="9">
        <f t="shared" si="38"/>
        <v>7116249</v>
      </c>
      <c r="P103" s="8">
        <v>0</v>
      </c>
      <c r="Q103" s="8">
        <v>302461</v>
      </c>
      <c r="R103" s="8">
        <v>1229378</v>
      </c>
      <c r="S103" s="8">
        <v>1999413</v>
      </c>
      <c r="T103" s="8">
        <v>2786384</v>
      </c>
      <c r="U103" s="8">
        <v>4223984</v>
      </c>
      <c r="V103" s="8">
        <v>4638561</v>
      </c>
      <c r="W103" s="8">
        <v>5106980</v>
      </c>
      <c r="X103" s="8">
        <v>5991196</v>
      </c>
      <c r="Y103" s="8">
        <v>7375276</v>
      </c>
      <c r="Z103" s="8">
        <v>9218473</v>
      </c>
      <c r="AA103" s="8">
        <v>15814594</v>
      </c>
      <c r="AB103" s="9">
        <f t="shared" si="39"/>
        <v>15814594</v>
      </c>
      <c r="AC103" s="8">
        <v>0</v>
      </c>
      <c r="AD103" s="8">
        <v>39931</v>
      </c>
      <c r="AE103" s="8">
        <v>988214</v>
      </c>
      <c r="AF103" s="8">
        <v>2281600</v>
      </c>
      <c r="AG103" s="8">
        <v>3177833</v>
      </c>
      <c r="AH103" s="8">
        <v>4732441</v>
      </c>
      <c r="AI103" s="8">
        <v>4997041</v>
      </c>
      <c r="AJ103" s="8">
        <v>5765464</v>
      </c>
      <c r="AK103" s="8">
        <v>6530156</v>
      </c>
      <c r="AL103" s="8">
        <v>6650083</v>
      </c>
      <c r="AM103" s="8">
        <v>6957554</v>
      </c>
      <c r="AN103" s="8">
        <v>8003147</v>
      </c>
      <c r="AO103" s="9">
        <f t="shared" si="40"/>
        <v>8003147</v>
      </c>
      <c r="AP103" s="8">
        <v>0</v>
      </c>
      <c r="AQ103" s="8">
        <v>76323</v>
      </c>
      <c r="AR103" s="8">
        <v>321525</v>
      </c>
      <c r="AS103" s="8">
        <v>536903</v>
      </c>
      <c r="AT103" s="8">
        <v>796744</v>
      </c>
      <c r="AU103" s="8">
        <v>1027511</v>
      </c>
      <c r="AV103" s="8">
        <v>1228718</v>
      </c>
      <c r="AW103" s="8">
        <v>1522063</v>
      </c>
      <c r="AX103" s="8">
        <v>1918123</v>
      </c>
      <c r="AY103" s="8">
        <v>2236807</v>
      </c>
      <c r="AZ103" s="8">
        <v>2883327</v>
      </c>
      <c r="BA103" s="8">
        <v>4899304</v>
      </c>
      <c r="BB103" s="9">
        <f t="shared" si="41"/>
        <v>4899304</v>
      </c>
      <c r="BC103" s="8">
        <v>0</v>
      </c>
      <c r="BD103" s="8">
        <v>0</v>
      </c>
      <c r="BE103" s="8">
        <v>606296</v>
      </c>
      <c r="BF103" s="8">
        <v>848342</v>
      </c>
      <c r="BG103" s="8">
        <v>918835</v>
      </c>
      <c r="BH103" s="8">
        <v>994051</v>
      </c>
      <c r="BI103" s="8">
        <v>1093730</v>
      </c>
      <c r="BJ103" s="8">
        <v>1253967</v>
      </c>
      <c r="BK103" s="8">
        <v>1388164</v>
      </c>
      <c r="BL103" s="8">
        <v>1455583</v>
      </c>
      <c r="BM103" s="8">
        <v>1532553</v>
      </c>
      <c r="BN103" s="8">
        <v>2389515</v>
      </c>
      <c r="BO103" s="9">
        <f t="shared" si="42"/>
        <v>2389515</v>
      </c>
      <c r="BP103" s="8">
        <v>0</v>
      </c>
      <c r="BQ103" s="8">
        <v>0</v>
      </c>
      <c r="BR103" s="8">
        <v>74615</v>
      </c>
      <c r="BS103" s="8">
        <v>97409</v>
      </c>
      <c r="BT103" s="8">
        <v>142885</v>
      </c>
      <c r="BU103" s="8">
        <v>221078</v>
      </c>
      <c r="BV103" s="8">
        <v>263312</v>
      </c>
      <c r="BW103" s="8">
        <v>331695</v>
      </c>
      <c r="BX103" s="8">
        <v>332066</v>
      </c>
      <c r="BY103" s="8">
        <v>342589</v>
      </c>
      <c r="BZ103" s="8">
        <v>360688</v>
      </c>
      <c r="CA103" s="8">
        <v>1719994</v>
      </c>
      <c r="CB103" s="9">
        <f t="shared" si="43"/>
        <v>1719994</v>
      </c>
      <c r="CC103" s="8">
        <v>0</v>
      </c>
      <c r="CD103" s="8">
        <v>0</v>
      </c>
      <c r="CE103" s="8">
        <v>0</v>
      </c>
      <c r="CF103" s="8">
        <v>69</v>
      </c>
      <c r="CG103" s="8">
        <v>218</v>
      </c>
      <c r="CH103" s="8">
        <v>2141</v>
      </c>
      <c r="CI103" s="8">
        <v>2141</v>
      </c>
      <c r="CJ103" s="8">
        <v>25411</v>
      </c>
      <c r="CK103" s="8">
        <v>109486</v>
      </c>
      <c r="CL103" s="8">
        <v>199799</v>
      </c>
      <c r="CM103" s="8">
        <v>383850</v>
      </c>
      <c r="CN103" s="8">
        <v>897167</v>
      </c>
      <c r="CO103" s="9">
        <f t="shared" si="44"/>
        <v>897167</v>
      </c>
      <c r="CP103" s="8">
        <v>0</v>
      </c>
      <c r="CQ103" s="8">
        <v>24681</v>
      </c>
      <c r="CR103" s="8">
        <v>33159</v>
      </c>
      <c r="CS103" s="8">
        <v>74814</v>
      </c>
      <c r="CT103" s="8">
        <v>100802</v>
      </c>
      <c r="CU103" s="8">
        <v>100802</v>
      </c>
      <c r="CV103" s="8">
        <v>100802</v>
      </c>
      <c r="CW103" s="8">
        <v>100994</v>
      </c>
      <c r="CX103" s="8">
        <v>100994</v>
      </c>
      <c r="CY103" s="8">
        <v>166003</v>
      </c>
      <c r="CZ103" s="8">
        <v>309714</v>
      </c>
      <c r="DA103" s="8">
        <v>596048</v>
      </c>
      <c r="DB103" s="9">
        <f t="shared" si="45"/>
        <v>596048</v>
      </c>
      <c r="DC103" s="8">
        <v>0</v>
      </c>
      <c r="DD103" s="8">
        <v>0</v>
      </c>
      <c r="DE103" s="8">
        <v>0</v>
      </c>
      <c r="DF103" s="8">
        <v>0</v>
      </c>
      <c r="DG103" s="8">
        <v>0</v>
      </c>
      <c r="DH103" s="8">
        <v>2000</v>
      </c>
      <c r="DI103" s="8">
        <v>33659</v>
      </c>
      <c r="DJ103" s="8">
        <v>33969</v>
      </c>
      <c r="DK103" s="8">
        <v>2651320</v>
      </c>
      <c r="DL103" s="8">
        <v>2786739</v>
      </c>
      <c r="DM103" s="8">
        <v>2870419</v>
      </c>
      <c r="DN103" s="8">
        <v>6417165</v>
      </c>
      <c r="DO103" s="9">
        <f t="shared" si="46"/>
        <v>6417165</v>
      </c>
      <c r="DP103" s="8">
        <v>0</v>
      </c>
      <c r="DQ103" s="8">
        <v>0</v>
      </c>
      <c r="DR103" s="8">
        <v>39148</v>
      </c>
      <c r="DS103" s="8">
        <v>2290319</v>
      </c>
      <c r="DT103" s="8">
        <v>5363900</v>
      </c>
      <c r="DU103" s="8">
        <v>5415987</v>
      </c>
      <c r="DV103" s="8">
        <v>9576885</v>
      </c>
      <c r="DW103" s="8">
        <v>9642869</v>
      </c>
      <c r="DX103" s="8">
        <v>9708954</v>
      </c>
      <c r="DY103" s="8">
        <v>12845227</v>
      </c>
      <c r="DZ103" s="8">
        <v>12995604</v>
      </c>
      <c r="EA103" s="8">
        <v>19281860</v>
      </c>
      <c r="EB103" s="9">
        <f t="shared" si="47"/>
        <v>19281860</v>
      </c>
      <c r="EC103" s="8">
        <v>0</v>
      </c>
      <c r="ED103" s="8">
        <v>0</v>
      </c>
      <c r="EE103" s="8">
        <v>131969</v>
      </c>
      <c r="EF103" s="8">
        <v>1361317</v>
      </c>
      <c r="EG103" s="8">
        <v>1722840</v>
      </c>
      <c r="EH103" s="8">
        <v>3503250</v>
      </c>
      <c r="EI103" s="8">
        <v>3594942</v>
      </c>
      <c r="EJ103" s="8">
        <v>3999037</v>
      </c>
      <c r="EK103" s="8">
        <v>4111190</v>
      </c>
      <c r="EL103" s="8">
        <v>4194125</v>
      </c>
      <c r="EM103" s="8">
        <v>4681092</v>
      </c>
      <c r="EN103" s="8">
        <v>5654048</v>
      </c>
      <c r="EO103" s="9">
        <f t="shared" si="48"/>
        <v>5654048</v>
      </c>
      <c r="EP103" s="8">
        <v>0</v>
      </c>
      <c r="EQ103" s="8">
        <v>0</v>
      </c>
      <c r="ER103" s="8">
        <v>135165</v>
      </c>
      <c r="ES103" s="8">
        <v>180049</v>
      </c>
      <c r="ET103" s="8">
        <v>397425</v>
      </c>
      <c r="EU103" s="8">
        <v>2344596</v>
      </c>
      <c r="EV103" s="8">
        <v>2511453</v>
      </c>
      <c r="EW103" s="8">
        <v>2721371</v>
      </c>
      <c r="EX103" s="8">
        <v>2810328</v>
      </c>
      <c r="EY103" s="8">
        <v>2871997</v>
      </c>
      <c r="EZ103" s="8">
        <v>2880550</v>
      </c>
      <c r="FA103" s="8">
        <v>4741555</v>
      </c>
      <c r="FB103" s="9">
        <f t="shared" si="49"/>
        <v>4741555</v>
      </c>
      <c r="FC103" s="8">
        <v>0</v>
      </c>
      <c r="FD103" s="8">
        <v>4484</v>
      </c>
      <c r="FE103" s="8">
        <v>4484</v>
      </c>
      <c r="FF103" s="8">
        <v>49503</v>
      </c>
      <c r="FG103" s="8">
        <v>91289</v>
      </c>
      <c r="FH103" s="8">
        <v>1517423</v>
      </c>
      <c r="FI103" s="8">
        <v>2629283</v>
      </c>
      <c r="FJ103" s="8"/>
      <c r="FK103" s="8"/>
      <c r="FL103" s="8"/>
      <c r="FM103" s="8"/>
      <c r="FN103" s="8"/>
      <c r="FO103" s="9">
        <f t="shared" si="50"/>
        <v>2629283</v>
      </c>
    </row>
    <row r="104" spans="2:171" ht="14.25" customHeight="1" x14ac:dyDescent="0.3">
      <c r="B104" s="7" t="s">
        <v>67</v>
      </c>
      <c r="C104" s="8">
        <v>0</v>
      </c>
      <c r="D104" s="8">
        <v>0</v>
      </c>
      <c r="E104" s="8">
        <v>18374</v>
      </c>
      <c r="F104" s="8">
        <v>25905</v>
      </c>
      <c r="G104" s="8">
        <v>31982</v>
      </c>
      <c r="H104" s="8">
        <v>40093</v>
      </c>
      <c r="I104" s="8">
        <v>49061</v>
      </c>
      <c r="J104" s="8">
        <v>61114</v>
      </c>
      <c r="K104" s="8">
        <v>72897</v>
      </c>
      <c r="L104" s="8">
        <v>86669</v>
      </c>
      <c r="M104" s="8">
        <v>98909</v>
      </c>
      <c r="N104" s="8">
        <v>5512895</v>
      </c>
      <c r="O104" s="9">
        <f t="shared" si="38"/>
        <v>5512895</v>
      </c>
      <c r="P104" s="8">
        <v>0</v>
      </c>
      <c r="Q104" s="8">
        <v>0</v>
      </c>
      <c r="R104" s="8">
        <v>3546337</v>
      </c>
      <c r="S104" s="8">
        <v>7438600</v>
      </c>
      <c r="T104" s="8">
        <v>7458704</v>
      </c>
      <c r="U104" s="8">
        <v>7987877</v>
      </c>
      <c r="V104" s="8">
        <v>8006425</v>
      </c>
      <c r="W104" s="8">
        <v>13450900</v>
      </c>
      <c r="X104" s="8">
        <v>13533066</v>
      </c>
      <c r="Y104" s="8">
        <v>14405067</v>
      </c>
      <c r="Z104" s="8">
        <v>14711284</v>
      </c>
      <c r="AA104" s="8">
        <v>25457887</v>
      </c>
      <c r="AB104" s="9">
        <f t="shared" si="39"/>
        <v>25457887</v>
      </c>
      <c r="AC104" s="8">
        <v>0</v>
      </c>
      <c r="AD104" s="8">
        <v>0</v>
      </c>
      <c r="AE104" s="8">
        <v>2265107</v>
      </c>
      <c r="AF104" s="8">
        <v>2550924</v>
      </c>
      <c r="AG104" s="8">
        <v>8762940</v>
      </c>
      <c r="AH104" s="8">
        <v>9083447</v>
      </c>
      <c r="AI104" s="8">
        <v>9442364</v>
      </c>
      <c r="AJ104" s="8">
        <v>9815478</v>
      </c>
      <c r="AK104" s="8">
        <v>10162812</v>
      </c>
      <c r="AL104" s="8">
        <v>16369952</v>
      </c>
      <c r="AM104" s="8">
        <v>18175714</v>
      </c>
      <c r="AN104" s="8">
        <v>23666073</v>
      </c>
      <c r="AO104" s="9">
        <f t="shared" si="40"/>
        <v>23666073</v>
      </c>
      <c r="AP104" s="8">
        <v>0</v>
      </c>
      <c r="AQ104" s="8">
        <v>189742</v>
      </c>
      <c r="AR104" s="8">
        <v>290449</v>
      </c>
      <c r="AS104" s="8">
        <v>392647</v>
      </c>
      <c r="AT104" s="8">
        <v>425598</v>
      </c>
      <c r="AU104" s="8">
        <v>2095259</v>
      </c>
      <c r="AV104" s="8">
        <v>2190554</v>
      </c>
      <c r="AW104" s="8">
        <v>2280751</v>
      </c>
      <c r="AX104" s="8">
        <v>2366200</v>
      </c>
      <c r="AY104" s="8">
        <v>2471704</v>
      </c>
      <c r="AZ104" s="8">
        <v>2699223</v>
      </c>
      <c r="BA104" s="8">
        <v>2979791</v>
      </c>
      <c r="BB104" s="9">
        <f t="shared" si="41"/>
        <v>2979791</v>
      </c>
      <c r="BC104" s="8">
        <v>0</v>
      </c>
      <c r="BD104" s="8">
        <v>0</v>
      </c>
      <c r="BE104" s="8">
        <v>1560</v>
      </c>
      <c r="BF104" s="8">
        <v>5244</v>
      </c>
      <c r="BG104" s="8">
        <v>5923</v>
      </c>
      <c r="BH104" s="8">
        <v>10568</v>
      </c>
      <c r="BI104" s="8">
        <v>17047</v>
      </c>
      <c r="BJ104" s="8">
        <v>222966</v>
      </c>
      <c r="BK104" s="8">
        <v>249281</v>
      </c>
      <c r="BL104" s="8">
        <v>281025</v>
      </c>
      <c r="BM104" s="8">
        <v>1102853</v>
      </c>
      <c r="BN104" s="8">
        <v>1311885</v>
      </c>
      <c r="BO104" s="9">
        <f t="shared" si="42"/>
        <v>1311885</v>
      </c>
      <c r="BP104" s="8">
        <v>0</v>
      </c>
      <c r="BQ104" s="8">
        <v>0</v>
      </c>
      <c r="BR104" s="8">
        <v>0</v>
      </c>
      <c r="BS104" s="8">
        <v>34919</v>
      </c>
      <c r="BT104" s="8">
        <v>42294</v>
      </c>
      <c r="BU104" s="8">
        <v>70458</v>
      </c>
      <c r="BV104" s="8">
        <v>76742</v>
      </c>
      <c r="BW104" s="8">
        <v>118630</v>
      </c>
      <c r="BX104" s="8">
        <v>201295</v>
      </c>
      <c r="BY104" s="8">
        <v>222334</v>
      </c>
      <c r="BZ104" s="8">
        <v>294768</v>
      </c>
      <c r="CA104" s="8">
        <v>1093719</v>
      </c>
      <c r="CB104" s="9">
        <f t="shared" si="43"/>
        <v>1093719</v>
      </c>
      <c r="CC104" s="8">
        <v>0</v>
      </c>
      <c r="CD104" s="8">
        <v>0</v>
      </c>
      <c r="CE104" s="8">
        <v>25488</v>
      </c>
      <c r="CF104" s="8">
        <v>25488</v>
      </c>
      <c r="CG104" s="8">
        <v>25488</v>
      </c>
      <c r="CH104" s="8">
        <v>25488</v>
      </c>
      <c r="CI104" s="8">
        <v>25488</v>
      </c>
      <c r="CJ104" s="8">
        <v>74132</v>
      </c>
      <c r="CK104" s="8">
        <v>74132</v>
      </c>
      <c r="CL104" s="8">
        <v>118763</v>
      </c>
      <c r="CM104" s="8">
        <v>177608</v>
      </c>
      <c r="CN104" s="8">
        <v>1215134</v>
      </c>
      <c r="CO104" s="9">
        <f t="shared" si="44"/>
        <v>1215134</v>
      </c>
      <c r="CP104" s="8">
        <v>0</v>
      </c>
      <c r="CQ104" s="8">
        <v>103329</v>
      </c>
      <c r="CR104" s="8">
        <v>89310</v>
      </c>
      <c r="CS104" s="8">
        <v>212061</v>
      </c>
      <c r="CT104" s="8">
        <v>371053</v>
      </c>
      <c r="CU104" s="8">
        <v>543964</v>
      </c>
      <c r="CV104" s="8">
        <v>723960</v>
      </c>
      <c r="CW104" s="8">
        <v>747669</v>
      </c>
      <c r="CX104" s="8">
        <v>892842</v>
      </c>
      <c r="CY104" s="8">
        <v>907848</v>
      </c>
      <c r="CZ104" s="8">
        <v>1027752</v>
      </c>
      <c r="DA104" s="8">
        <v>1721865</v>
      </c>
      <c r="DB104" s="9">
        <f t="shared" si="45"/>
        <v>1721865</v>
      </c>
      <c r="DC104" s="8">
        <v>0</v>
      </c>
      <c r="DD104" s="8">
        <v>9856</v>
      </c>
      <c r="DE104" s="8">
        <v>30234</v>
      </c>
      <c r="DF104" s="8">
        <v>38509</v>
      </c>
      <c r="DG104" s="8">
        <v>38509</v>
      </c>
      <c r="DH104" s="8">
        <v>46465</v>
      </c>
      <c r="DI104" s="8">
        <v>56799</v>
      </c>
      <c r="DJ104" s="8">
        <v>86581</v>
      </c>
      <c r="DK104" s="8">
        <v>116960</v>
      </c>
      <c r="DL104" s="8">
        <v>162479</v>
      </c>
      <c r="DM104" s="8">
        <v>258407</v>
      </c>
      <c r="DN104" s="8">
        <v>583715</v>
      </c>
      <c r="DO104" s="9">
        <f t="shared" si="46"/>
        <v>583715</v>
      </c>
      <c r="DP104" s="8">
        <v>0</v>
      </c>
      <c r="DQ104" s="8">
        <v>9577</v>
      </c>
      <c r="DR104" s="8">
        <v>17273</v>
      </c>
      <c r="DS104" s="8">
        <v>29294</v>
      </c>
      <c r="DT104" s="8">
        <v>42459</v>
      </c>
      <c r="DU104" s="8">
        <v>58921</v>
      </c>
      <c r="DV104" s="8">
        <v>153597</v>
      </c>
      <c r="DW104" s="8">
        <v>170830</v>
      </c>
      <c r="DX104" s="8">
        <v>174401</v>
      </c>
      <c r="DY104" s="8">
        <v>191927</v>
      </c>
      <c r="DZ104" s="8">
        <v>225113</v>
      </c>
      <c r="EA104" s="8">
        <v>244690</v>
      </c>
      <c r="EB104" s="9">
        <f t="shared" si="47"/>
        <v>244690</v>
      </c>
      <c r="EC104" s="8">
        <v>0</v>
      </c>
      <c r="ED104" s="8">
        <v>33305</v>
      </c>
      <c r="EE104" s="8">
        <v>35505</v>
      </c>
      <c r="EF104" s="8">
        <v>111789</v>
      </c>
      <c r="EG104" s="8">
        <v>193249</v>
      </c>
      <c r="EH104" s="8">
        <v>198449</v>
      </c>
      <c r="EI104" s="8">
        <v>203774</v>
      </c>
      <c r="EJ104" s="8">
        <v>253913</v>
      </c>
      <c r="EK104" s="8">
        <v>256913</v>
      </c>
      <c r="EL104" s="8">
        <v>259913</v>
      </c>
      <c r="EM104" s="8">
        <v>468498</v>
      </c>
      <c r="EN104" s="8">
        <v>494605</v>
      </c>
      <c r="EO104" s="9">
        <f t="shared" si="48"/>
        <v>494605</v>
      </c>
      <c r="EP104" s="8">
        <v>0</v>
      </c>
      <c r="EQ104" s="8">
        <v>0</v>
      </c>
      <c r="ER104" s="8">
        <v>30244</v>
      </c>
      <c r="ES104" s="8">
        <v>31308</v>
      </c>
      <c r="ET104" s="8">
        <v>31308</v>
      </c>
      <c r="EU104" s="8">
        <v>619466</v>
      </c>
      <c r="EV104" s="8">
        <v>648443</v>
      </c>
      <c r="EW104" s="8">
        <v>783081</v>
      </c>
      <c r="EX104" s="8">
        <v>816062</v>
      </c>
      <c r="EY104" s="8">
        <v>832138</v>
      </c>
      <c r="EZ104" s="8">
        <v>911118</v>
      </c>
      <c r="FA104" s="8">
        <v>1597990</v>
      </c>
      <c r="FB104" s="9">
        <f t="shared" si="49"/>
        <v>1597990</v>
      </c>
      <c r="FC104" s="8">
        <v>0</v>
      </c>
      <c r="FD104" s="8">
        <v>0</v>
      </c>
      <c r="FE104" s="8">
        <v>0</v>
      </c>
      <c r="FF104" s="8">
        <v>108460</v>
      </c>
      <c r="FG104" s="8">
        <v>108617</v>
      </c>
      <c r="FH104" s="8">
        <v>117540</v>
      </c>
      <c r="FI104" s="8">
        <v>120951</v>
      </c>
      <c r="FJ104" s="8"/>
      <c r="FK104" s="8"/>
      <c r="FL104" s="8"/>
      <c r="FM104" s="8"/>
      <c r="FN104" s="8"/>
      <c r="FO104" s="9">
        <f t="shared" si="50"/>
        <v>120951</v>
      </c>
    </row>
    <row r="105" spans="2:171" ht="14.25" customHeight="1" x14ac:dyDescent="0.3">
      <c r="B105" s="32" t="s">
        <v>68</v>
      </c>
      <c r="C105" s="8">
        <v>0</v>
      </c>
      <c r="D105" s="8">
        <v>0</v>
      </c>
      <c r="E105" s="8">
        <v>199014</v>
      </c>
      <c r="F105" s="8">
        <v>318590</v>
      </c>
      <c r="G105" s="8">
        <v>552796</v>
      </c>
      <c r="H105" s="8">
        <v>731233</v>
      </c>
      <c r="I105" s="8">
        <v>982722</v>
      </c>
      <c r="J105" s="8">
        <v>1131556</v>
      </c>
      <c r="K105" s="8">
        <v>2111497</v>
      </c>
      <c r="L105" s="8">
        <v>2369098</v>
      </c>
      <c r="M105" s="8">
        <v>3080563</v>
      </c>
      <c r="N105" s="8">
        <v>7887509</v>
      </c>
      <c r="O105" s="9">
        <f t="shared" si="38"/>
        <v>7887509</v>
      </c>
      <c r="P105" s="8">
        <v>0</v>
      </c>
      <c r="Q105" s="8">
        <v>455690</v>
      </c>
      <c r="R105" s="8">
        <v>883651</v>
      </c>
      <c r="S105" s="8">
        <v>1171689</v>
      </c>
      <c r="T105" s="8">
        <v>1664025</v>
      </c>
      <c r="U105" s="8">
        <v>2025219</v>
      </c>
      <c r="V105" s="8">
        <v>2428038</v>
      </c>
      <c r="W105" s="8">
        <v>2649931</v>
      </c>
      <c r="X105" s="8">
        <v>5039313</v>
      </c>
      <c r="Y105" s="8">
        <v>5468818</v>
      </c>
      <c r="Z105" s="8">
        <v>6070143</v>
      </c>
      <c r="AA105" s="8">
        <v>13876617</v>
      </c>
      <c r="AB105" s="9">
        <f t="shared" si="39"/>
        <v>13876617</v>
      </c>
      <c r="AC105" s="8">
        <v>0</v>
      </c>
      <c r="AD105" s="8">
        <v>0</v>
      </c>
      <c r="AE105" s="8">
        <v>499436</v>
      </c>
      <c r="AF105" s="8">
        <v>729445</v>
      </c>
      <c r="AG105" s="8">
        <v>1288117</v>
      </c>
      <c r="AH105" s="8">
        <v>2175244</v>
      </c>
      <c r="AI105" s="8">
        <v>2695627</v>
      </c>
      <c r="AJ105" s="8">
        <v>2886900</v>
      </c>
      <c r="AK105" s="8">
        <v>2983978</v>
      </c>
      <c r="AL105" s="8">
        <v>3183121</v>
      </c>
      <c r="AM105" s="8">
        <v>3455138</v>
      </c>
      <c r="AN105" s="8">
        <v>5226709</v>
      </c>
      <c r="AO105" s="9">
        <f t="shared" si="40"/>
        <v>5226709</v>
      </c>
      <c r="AP105" s="8">
        <v>0</v>
      </c>
      <c r="AQ105" s="8">
        <v>11583</v>
      </c>
      <c r="AR105" s="8">
        <v>21930</v>
      </c>
      <c r="AS105" s="8">
        <v>46363</v>
      </c>
      <c r="AT105" s="8">
        <v>57463</v>
      </c>
      <c r="AU105" s="8">
        <v>70333</v>
      </c>
      <c r="AV105" s="8">
        <v>141853</v>
      </c>
      <c r="AW105" s="8">
        <v>265299</v>
      </c>
      <c r="AX105" s="8">
        <v>427983</v>
      </c>
      <c r="AY105" s="8">
        <v>536586</v>
      </c>
      <c r="AZ105" s="8">
        <v>655798</v>
      </c>
      <c r="BA105" s="8">
        <v>818556</v>
      </c>
      <c r="BB105" s="9">
        <f t="shared" si="41"/>
        <v>818556</v>
      </c>
      <c r="BC105" s="8">
        <v>0</v>
      </c>
      <c r="BD105" s="8">
        <v>0</v>
      </c>
      <c r="BE105" s="8">
        <v>0</v>
      </c>
      <c r="BF105" s="8">
        <v>197333</v>
      </c>
      <c r="BG105" s="8">
        <v>242059</v>
      </c>
      <c r="BH105" s="8">
        <v>278218</v>
      </c>
      <c r="BI105" s="8">
        <v>565764</v>
      </c>
      <c r="BJ105" s="8">
        <v>893711</v>
      </c>
      <c r="BK105" s="8">
        <v>1080992</v>
      </c>
      <c r="BL105" s="8">
        <v>1384209</v>
      </c>
      <c r="BM105" s="8">
        <v>1706042</v>
      </c>
      <c r="BN105" s="8">
        <v>2182786</v>
      </c>
      <c r="BO105" s="9">
        <f t="shared" si="42"/>
        <v>2182786</v>
      </c>
      <c r="BP105" s="8">
        <v>0</v>
      </c>
      <c r="BQ105" s="8">
        <v>310948</v>
      </c>
      <c r="BR105" s="8">
        <v>516901</v>
      </c>
      <c r="BS105" s="8">
        <v>748920</v>
      </c>
      <c r="BT105" s="8">
        <v>864544</v>
      </c>
      <c r="BU105" s="8">
        <v>903972</v>
      </c>
      <c r="BV105" s="8">
        <v>981699</v>
      </c>
      <c r="BW105" s="8">
        <v>1204694</v>
      </c>
      <c r="BX105" s="8">
        <v>1458903</v>
      </c>
      <c r="BY105" s="8">
        <v>1833574</v>
      </c>
      <c r="BZ105" s="8">
        <v>2199880</v>
      </c>
      <c r="CA105" s="8">
        <v>2695317</v>
      </c>
      <c r="CB105" s="9">
        <f t="shared" si="43"/>
        <v>2695317</v>
      </c>
      <c r="CC105" s="8">
        <v>0</v>
      </c>
      <c r="CD105" s="8">
        <v>0</v>
      </c>
      <c r="CE105" s="8">
        <v>618115</v>
      </c>
      <c r="CF105" s="8">
        <v>1148482</v>
      </c>
      <c r="CG105" s="8">
        <v>1471981</v>
      </c>
      <c r="CH105" s="8">
        <v>1724692</v>
      </c>
      <c r="CI105" s="8">
        <v>1785652</v>
      </c>
      <c r="CJ105" s="8">
        <v>1825179</v>
      </c>
      <c r="CK105" s="8">
        <v>1880516</v>
      </c>
      <c r="CL105" s="8">
        <v>2154047</v>
      </c>
      <c r="CM105" s="8">
        <v>2247406</v>
      </c>
      <c r="CN105" s="8">
        <v>3479082</v>
      </c>
      <c r="CO105" s="9">
        <f t="shared" si="44"/>
        <v>3479082</v>
      </c>
      <c r="CP105" s="8">
        <v>0</v>
      </c>
      <c r="CQ105" s="8">
        <v>401650</v>
      </c>
      <c r="CR105" s="8">
        <v>1217491</v>
      </c>
      <c r="CS105" s="8">
        <v>1667253</v>
      </c>
      <c r="CT105" s="8">
        <v>2003258</v>
      </c>
      <c r="CU105" s="8">
        <v>2565704</v>
      </c>
      <c r="CV105" s="8">
        <v>2677110</v>
      </c>
      <c r="CW105" s="8">
        <v>2838557</v>
      </c>
      <c r="CX105" s="8">
        <v>2950203</v>
      </c>
      <c r="CY105" s="8">
        <v>3138076</v>
      </c>
      <c r="CZ105" s="8">
        <v>3235695</v>
      </c>
      <c r="DA105" s="8">
        <v>3444802</v>
      </c>
      <c r="DB105" s="9">
        <f t="shared" si="45"/>
        <v>3444802</v>
      </c>
      <c r="DC105" s="8">
        <v>0</v>
      </c>
      <c r="DD105" s="8">
        <v>54600</v>
      </c>
      <c r="DE105" s="8">
        <v>143205</v>
      </c>
      <c r="DF105" s="8">
        <v>174911</v>
      </c>
      <c r="DG105" s="8">
        <v>231637</v>
      </c>
      <c r="DH105" s="8">
        <v>261215</v>
      </c>
      <c r="DI105" s="8">
        <v>289403</v>
      </c>
      <c r="DJ105" s="8">
        <v>315355</v>
      </c>
      <c r="DK105" s="8">
        <v>329792</v>
      </c>
      <c r="DL105" s="8">
        <v>337678</v>
      </c>
      <c r="DM105" s="8">
        <v>443933</v>
      </c>
      <c r="DN105" s="8">
        <v>658071</v>
      </c>
      <c r="DO105" s="9">
        <f t="shared" si="46"/>
        <v>658071</v>
      </c>
      <c r="DP105" s="8">
        <v>0</v>
      </c>
      <c r="DQ105" s="8">
        <v>37478</v>
      </c>
      <c r="DR105" s="8">
        <v>52563</v>
      </c>
      <c r="DS105" s="8">
        <v>85646</v>
      </c>
      <c r="DT105" s="8">
        <v>104594</v>
      </c>
      <c r="DU105" s="8">
        <v>120030</v>
      </c>
      <c r="DV105" s="8">
        <v>178499</v>
      </c>
      <c r="DW105" s="8">
        <v>314226</v>
      </c>
      <c r="DX105" s="8">
        <v>355683</v>
      </c>
      <c r="DY105" s="8">
        <v>375999</v>
      </c>
      <c r="DZ105" s="8">
        <v>393464</v>
      </c>
      <c r="EA105" s="8">
        <v>501349</v>
      </c>
      <c r="EB105" s="9">
        <f t="shared" si="47"/>
        <v>501349</v>
      </c>
      <c r="EC105" s="8">
        <v>0</v>
      </c>
      <c r="ED105" s="8">
        <v>35434</v>
      </c>
      <c r="EE105" s="8">
        <v>460874</v>
      </c>
      <c r="EF105" s="8">
        <v>666074</v>
      </c>
      <c r="EG105" s="8">
        <v>1113646</v>
      </c>
      <c r="EH105" s="8">
        <v>1583775</v>
      </c>
      <c r="EI105" s="8">
        <v>2179357</v>
      </c>
      <c r="EJ105" s="8">
        <v>2734941</v>
      </c>
      <c r="EK105" s="8">
        <v>3498387</v>
      </c>
      <c r="EL105" s="8">
        <v>4454069</v>
      </c>
      <c r="EM105" s="8">
        <v>5882376</v>
      </c>
      <c r="EN105" s="8">
        <v>9120537</v>
      </c>
      <c r="EO105" s="9">
        <f t="shared" si="48"/>
        <v>9120537</v>
      </c>
      <c r="EP105" s="8">
        <v>0</v>
      </c>
      <c r="EQ105" s="8">
        <v>340473</v>
      </c>
      <c r="ER105" s="8">
        <v>2647460</v>
      </c>
      <c r="ES105" s="8">
        <v>3870585</v>
      </c>
      <c r="ET105" s="8">
        <v>5038177</v>
      </c>
      <c r="EU105" s="8">
        <v>6486626</v>
      </c>
      <c r="EV105" s="8">
        <v>8227971</v>
      </c>
      <c r="EW105" s="8">
        <v>9278974</v>
      </c>
      <c r="EX105" s="8">
        <v>10370802</v>
      </c>
      <c r="EY105" s="8">
        <v>11472729</v>
      </c>
      <c r="EZ105" s="8">
        <v>12819445</v>
      </c>
      <c r="FA105" s="8">
        <v>18578415</v>
      </c>
      <c r="FB105" s="9">
        <f t="shared" si="49"/>
        <v>18578415</v>
      </c>
      <c r="FC105" s="8">
        <v>0</v>
      </c>
      <c r="FD105" s="8">
        <v>48484</v>
      </c>
      <c r="FE105" s="8">
        <v>1037164</v>
      </c>
      <c r="FF105" s="8">
        <v>1711955</v>
      </c>
      <c r="FG105" s="8">
        <v>2368596</v>
      </c>
      <c r="FH105" s="8">
        <v>2720230</v>
      </c>
      <c r="FI105" s="8">
        <v>3210746</v>
      </c>
      <c r="FJ105" s="8"/>
      <c r="FK105" s="8"/>
      <c r="FL105" s="8"/>
      <c r="FM105" s="8"/>
      <c r="FN105" s="8"/>
      <c r="FO105" s="9">
        <f t="shared" si="50"/>
        <v>3210746</v>
      </c>
    </row>
    <row r="106" spans="2:171" ht="14.25" customHeight="1" x14ac:dyDescent="0.3">
      <c r="B106" s="32" t="s">
        <v>69</v>
      </c>
      <c r="C106" s="8">
        <v>0</v>
      </c>
      <c r="D106" s="8">
        <v>0</v>
      </c>
      <c r="E106" s="8">
        <v>142626</v>
      </c>
      <c r="F106" s="8">
        <v>219657</v>
      </c>
      <c r="G106" s="8">
        <v>352382</v>
      </c>
      <c r="H106" s="8">
        <v>407399</v>
      </c>
      <c r="I106" s="8">
        <v>432763</v>
      </c>
      <c r="J106" s="8">
        <v>598623</v>
      </c>
      <c r="K106" s="8">
        <v>614240</v>
      </c>
      <c r="L106" s="8">
        <v>674387</v>
      </c>
      <c r="M106" s="8">
        <v>885891</v>
      </c>
      <c r="N106" s="8">
        <v>2392166</v>
      </c>
      <c r="O106" s="9">
        <f t="shared" si="38"/>
        <v>2392166</v>
      </c>
      <c r="P106" s="8">
        <v>0</v>
      </c>
      <c r="Q106" s="8">
        <v>0</v>
      </c>
      <c r="R106" s="8">
        <v>24173</v>
      </c>
      <c r="S106" s="8">
        <v>122149</v>
      </c>
      <c r="T106" s="8">
        <v>534691</v>
      </c>
      <c r="U106" s="8">
        <v>978387</v>
      </c>
      <c r="V106" s="8">
        <v>1286167</v>
      </c>
      <c r="W106" s="8">
        <v>1487656</v>
      </c>
      <c r="X106" s="8">
        <v>1583522</v>
      </c>
      <c r="Y106" s="8">
        <v>1745526</v>
      </c>
      <c r="Z106" s="8">
        <v>3208323</v>
      </c>
      <c r="AA106" s="8">
        <v>14589356</v>
      </c>
      <c r="AB106" s="9">
        <f t="shared" si="39"/>
        <v>14589356</v>
      </c>
      <c r="AC106" s="8">
        <v>0</v>
      </c>
      <c r="AD106" s="8">
        <v>0</v>
      </c>
      <c r="AE106" s="8">
        <v>321589</v>
      </c>
      <c r="AF106" s="8">
        <v>895547</v>
      </c>
      <c r="AG106" s="8">
        <v>1292162</v>
      </c>
      <c r="AH106" s="8">
        <v>2133785</v>
      </c>
      <c r="AI106" s="8">
        <v>2954693</v>
      </c>
      <c r="AJ106" s="8">
        <v>4078498</v>
      </c>
      <c r="AK106" s="8">
        <v>4748662</v>
      </c>
      <c r="AL106" s="8">
        <v>4967220</v>
      </c>
      <c r="AM106" s="8">
        <v>6220349</v>
      </c>
      <c r="AN106" s="8">
        <v>10499496</v>
      </c>
      <c r="AO106" s="9">
        <f t="shared" si="40"/>
        <v>10499496</v>
      </c>
      <c r="AP106" s="8">
        <v>0</v>
      </c>
      <c r="AQ106" s="8">
        <v>202363</v>
      </c>
      <c r="AR106" s="8">
        <v>577750</v>
      </c>
      <c r="AS106" s="8">
        <v>1570117</v>
      </c>
      <c r="AT106" s="8">
        <v>2052061</v>
      </c>
      <c r="AU106" s="8">
        <v>3455293</v>
      </c>
      <c r="AV106" s="8">
        <v>4450761</v>
      </c>
      <c r="AW106" s="8">
        <v>6557748</v>
      </c>
      <c r="AX106" s="8">
        <v>8570067</v>
      </c>
      <c r="AY106" s="8">
        <v>10497630</v>
      </c>
      <c r="AZ106" s="8">
        <v>12866972</v>
      </c>
      <c r="BA106" s="8">
        <v>22482760</v>
      </c>
      <c r="BB106" s="9">
        <f t="shared" si="41"/>
        <v>22482760</v>
      </c>
      <c r="BC106" s="8">
        <v>0</v>
      </c>
      <c r="BD106" s="8">
        <v>0</v>
      </c>
      <c r="BE106" s="8">
        <v>0</v>
      </c>
      <c r="BF106" s="8">
        <v>2649759</v>
      </c>
      <c r="BG106" s="8">
        <v>4851315</v>
      </c>
      <c r="BH106" s="8">
        <v>5508554</v>
      </c>
      <c r="BI106" s="8">
        <v>5929928</v>
      </c>
      <c r="BJ106" s="8">
        <v>7126540</v>
      </c>
      <c r="BK106" s="8">
        <v>7225298</v>
      </c>
      <c r="BL106" s="8">
        <v>7419369</v>
      </c>
      <c r="BM106" s="8">
        <v>7693314</v>
      </c>
      <c r="BN106" s="8">
        <v>9447511</v>
      </c>
      <c r="BO106" s="9">
        <f t="shared" si="42"/>
        <v>9447511</v>
      </c>
      <c r="BP106" s="8">
        <v>0</v>
      </c>
      <c r="BQ106" s="8">
        <v>0</v>
      </c>
      <c r="BR106" s="8">
        <v>651175</v>
      </c>
      <c r="BS106" s="8">
        <v>776504</v>
      </c>
      <c r="BT106" s="8">
        <v>923589</v>
      </c>
      <c r="BU106" s="8">
        <v>1900899</v>
      </c>
      <c r="BV106" s="8">
        <v>2036954</v>
      </c>
      <c r="BW106" s="8">
        <v>2177005</v>
      </c>
      <c r="BX106" s="8">
        <v>2392239</v>
      </c>
      <c r="BY106" s="8">
        <v>2816900</v>
      </c>
      <c r="BZ106" s="8">
        <v>3476312</v>
      </c>
      <c r="CA106" s="8">
        <v>5127638</v>
      </c>
      <c r="CB106" s="9">
        <f t="shared" si="43"/>
        <v>5127638</v>
      </c>
      <c r="CC106" s="8">
        <v>0</v>
      </c>
      <c r="CD106" s="8">
        <v>0</v>
      </c>
      <c r="CE106" s="8">
        <v>611794</v>
      </c>
      <c r="CF106" s="8">
        <v>637597</v>
      </c>
      <c r="CG106" s="8">
        <v>1074485</v>
      </c>
      <c r="CH106" s="8">
        <v>1580745</v>
      </c>
      <c r="CI106" s="8">
        <v>1841651</v>
      </c>
      <c r="CJ106" s="8">
        <v>2137489</v>
      </c>
      <c r="CK106" s="8">
        <v>2426616</v>
      </c>
      <c r="CL106" s="8">
        <v>2641600</v>
      </c>
      <c r="CM106" s="8">
        <v>2789633</v>
      </c>
      <c r="CN106" s="8">
        <v>5957298</v>
      </c>
      <c r="CO106" s="9">
        <f t="shared" si="44"/>
        <v>5957298</v>
      </c>
      <c r="CP106" s="8">
        <v>0</v>
      </c>
      <c r="CQ106" s="8">
        <v>0</v>
      </c>
      <c r="CR106" s="8">
        <v>329797</v>
      </c>
      <c r="CS106" s="8">
        <v>885819</v>
      </c>
      <c r="CT106" s="8">
        <v>1262452</v>
      </c>
      <c r="CU106" s="8">
        <v>2425950</v>
      </c>
      <c r="CV106" s="8">
        <v>5103499</v>
      </c>
      <c r="CW106" s="8">
        <v>5118365</v>
      </c>
      <c r="CX106" s="8">
        <v>5255089</v>
      </c>
      <c r="CY106" s="8">
        <v>5550238</v>
      </c>
      <c r="CZ106" s="8">
        <v>5824576</v>
      </c>
      <c r="DA106" s="8">
        <v>7515061</v>
      </c>
      <c r="DB106" s="9">
        <f t="shared" si="45"/>
        <v>7515061</v>
      </c>
      <c r="DC106" s="8">
        <v>0</v>
      </c>
      <c r="DD106" s="8">
        <v>0</v>
      </c>
      <c r="DE106" s="8">
        <v>0</v>
      </c>
      <c r="DF106" s="8">
        <v>0</v>
      </c>
      <c r="DG106" s="8">
        <v>91028</v>
      </c>
      <c r="DH106" s="8">
        <v>128077</v>
      </c>
      <c r="DI106" s="8">
        <v>155453</v>
      </c>
      <c r="DJ106" s="8">
        <v>253184</v>
      </c>
      <c r="DK106" s="8">
        <v>836054</v>
      </c>
      <c r="DL106" s="8">
        <v>1044712</v>
      </c>
      <c r="DM106" s="8">
        <v>2130689</v>
      </c>
      <c r="DN106" s="8">
        <v>5199727</v>
      </c>
      <c r="DO106" s="9">
        <f t="shared" si="46"/>
        <v>5199727</v>
      </c>
      <c r="DP106" s="8">
        <v>0</v>
      </c>
      <c r="DQ106" s="8">
        <v>159672</v>
      </c>
      <c r="DR106" s="8">
        <v>1406054</v>
      </c>
      <c r="DS106" s="8">
        <v>2141739</v>
      </c>
      <c r="DT106" s="8">
        <v>3113762</v>
      </c>
      <c r="DU106" s="8">
        <v>4313357</v>
      </c>
      <c r="DV106" s="8">
        <v>5546549</v>
      </c>
      <c r="DW106" s="8">
        <v>6714278</v>
      </c>
      <c r="DX106" s="8">
        <v>7677673</v>
      </c>
      <c r="DY106" s="8">
        <v>8712368</v>
      </c>
      <c r="DZ106" s="8">
        <v>10444900</v>
      </c>
      <c r="EA106" s="8">
        <v>15249918</v>
      </c>
      <c r="EB106" s="9">
        <f t="shared" si="47"/>
        <v>15249918</v>
      </c>
      <c r="EC106" s="8">
        <v>0</v>
      </c>
      <c r="ED106" s="8">
        <v>0</v>
      </c>
      <c r="EE106" s="8">
        <v>0</v>
      </c>
      <c r="EF106" s="8">
        <v>1363091</v>
      </c>
      <c r="EG106" s="8">
        <v>1498225</v>
      </c>
      <c r="EH106" s="8">
        <v>2349197</v>
      </c>
      <c r="EI106" s="8">
        <v>3196716</v>
      </c>
      <c r="EJ106" s="8">
        <v>3749357</v>
      </c>
      <c r="EK106" s="8">
        <v>4433225</v>
      </c>
      <c r="EL106" s="8">
        <v>6225350</v>
      </c>
      <c r="EM106" s="8">
        <v>7298771</v>
      </c>
      <c r="EN106" s="8">
        <v>8832547</v>
      </c>
      <c r="EO106" s="9">
        <f t="shared" si="48"/>
        <v>8832547</v>
      </c>
      <c r="EP106" s="8">
        <v>0</v>
      </c>
      <c r="EQ106" s="8">
        <v>0</v>
      </c>
      <c r="ER106" s="8">
        <v>0</v>
      </c>
      <c r="ES106" s="8">
        <v>95319</v>
      </c>
      <c r="ET106" s="8">
        <v>111874</v>
      </c>
      <c r="EU106" s="8">
        <v>178000</v>
      </c>
      <c r="EV106" s="8">
        <v>183332</v>
      </c>
      <c r="EW106" s="8">
        <v>344092</v>
      </c>
      <c r="EX106" s="8">
        <v>367816</v>
      </c>
      <c r="EY106" s="8">
        <v>1108734</v>
      </c>
      <c r="EZ106" s="8">
        <v>1304195</v>
      </c>
      <c r="FA106" s="8">
        <v>1624700</v>
      </c>
      <c r="FB106" s="9">
        <f t="shared" si="49"/>
        <v>1624700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82800</v>
      </c>
      <c r="FI106" s="8">
        <v>632564</v>
      </c>
      <c r="FJ106" s="8"/>
      <c r="FK106" s="8"/>
      <c r="FL106" s="8"/>
      <c r="FM106" s="8"/>
      <c r="FN106" s="8"/>
      <c r="FO106" s="9">
        <f t="shared" si="50"/>
        <v>632564</v>
      </c>
    </row>
    <row r="107" spans="2:171" ht="14.25" customHeight="1" x14ac:dyDescent="0.3">
      <c r="B107" s="35" t="s">
        <v>70</v>
      </c>
      <c r="C107" s="8">
        <v>0</v>
      </c>
      <c r="D107" s="8">
        <v>0</v>
      </c>
      <c r="E107" s="8">
        <v>2401176</v>
      </c>
      <c r="F107" s="8">
        <v>2815198</v>
      </c>
      <c r="G107" s="8">
        <v>4473924</v>
      </c>
      <c r="H107" s="8">
        <v>5810027</v>
      </c>
      <c r="I107" s="8">
        <v>6688508</v>
      </c>
      <c r="J107" s="8">
        <v>8241855</v>
      </c>
      <c r="K107" s="8">
        <v>9697295</v>
      </c>
      <c r="L107" s="8">
        <v>10908382</v>
      </c>
      <c r="M107" s="8">
        <v>11884134</v>
      </c>
      <c r="N107" s="8">
        <v>20020987</v>
      </c>
      <c r="O107" s="9">
        <f t="shared" si="38"/>
        <v>20020987</v>
      </c>
      <c r="P107" s="8">
        <v>0</v>
      </c>
      <c r="Q107" s="8">
        <v>1413347</v>
      </c>
      <c r="R107" s="8">
        <v>2572840</v>
      </c>
      <c r="S107" s="8">
        <v>3297532</v>
      </c>
      <c r="T107" s="8">
        <v>3451080</v>
      </c>
      <c r="U107" s="8">
        <v>6476036</v>
      </c>
      <c r="V107" s="8">
        <v>9948377</v>
      </c>
      <c r="W107" s="8">
        <v>12232022</v>
      </c>
      <c r="X107" s="8">
        <v>15046812</v>
      </c>
      <c r="Y107" s="8">
        <v>17753682</v>
      </c>
      <c r="Z107" s="8">
        <v>23458060</v>
      </c>
      <c r="AA107" s="8">
        <v>33351807</v>
      </c>
      <c r="AB107" s="9">
        <f t="shared" si="39"/>
        <v>33351807</v>
      </c>
      <c r="AC107" s="8">
        <v>0</v>
      </c>
      <c r="AD107" s="8">
        <v>151914</v>
      </c>
      <c r="AE107" s="8">
        <v>2302838</v>
      </c>
      <c r="AF107" s="8">
        <v>4630422</v>
      </c>
      <c r="AG107" s="8">
        <v>6182656</v>
      </c>
      <c r="AH107" s="8">
        <v>8129548</v>
      </c>
      <c r="AI107" s="8">
        <v>9499723</v>
      </c>
      <c r="AJ107" s="8">
        <v>11210668</v>
      </c>
      <c r="AK107" s="8">
        <v>12417683</v>
      </c>
      <c r="AL107" s="8">
        <v>13937384</v>
      </c>
      <c r="AM107" s="8">
        <v>15935761</v>
      </c>
      <c r="AN107" s="8">
        <v>21881913</v>
      </c>
      <c r="AO107" s="9">
        <f t="shared" si="40"/>
        <v>21881913</v>
      </c>
      <c r="AP107" s="8">
        <v>0</v>
      </c>
      <c r="AQ107" s="8">
        <v>0</v>
      </c>
      <c r="AR107" s="8">
        <v>2506116</v>
      </c>
      <c r="AS107" s="8">
        <v>3592423</v>
      </c>
      <c r="AT107" s="8">
        <v>4131513</v>
      </c>
      <c r="AU107" s="8">
        <v>5079105</v>
      </c>
      <c r="AV107" s="8">
        <v>5853349</v>
      </c>
      <c r="AW107" s="8">
        <v>10394309</v>
      </c>
      <c r="AX107" s="8">
        <v>11122196</v>
      </c>
      <c r="AY107" s="8">
        <v>11840870</v>
      </c>
      <c r="AZ107" s="8">
        <v>13576972</v>
      </c>
      <c r="BA107" s="8">
        <v>18489683</v>
      </c>
      <c r="BB107" s="9">
        <f t="shared" si="41"/>
        <v>18489683</v>
      </c>
      <c r="BC107" s="8">
        <v>0</v>
      </c>
      <c r="BD107" s="8">
        <v>0</v>
      </c>
      <c r="BE107" s="8">
        <v>0</v>
      </c>
      <c r="BF107" s="8">
        <v>610903</v>
      </c>
      <c r="BG107" s="8">
        <v>1654687</v>
      </c>
      <c r="BH107" s="8">
        <v>4102326</v>
      </c>
      <c r="BI107" s="8">
        <v>4599062</v>
      </c>
      <c r="BJ107" s="8">
        <v>7201843</v>
      </c>
      <c r="BK107" s="8">
        <v>8214486</v>
      </c>
      <c r="BL107" s="8">
        <v>9596650</v>
      </c>
      <c r="BM107" s="8">
        <v>10395182</v>
      </c>
      <c r="BN107" s="8">
        <v>12197055</v>
      </c>
      <c r="BO107" s="9">
        <f t="shared" si="42"/>
        <v>12197055</v>
      </c>
      <c r="BP107" s="8">
        <v>0</v>
      </c>
      <c r="BQ107" s="8">
        <v>0</v>
      </c>
      <c r="BR107" s="8">
        <v>2146292</v>
      </c>
      <c r="BS107" s="8">
        <v>6111759</v>
      </c>
      <c r="BT107" s="8">
        <v>7158314</v>
      </c>
      <c r="BU107" s="8">
        <v>8087332</v>
      </c>
      <c r="BV107" s="8">
        <v>8654805</v>
      </c>
      <c r="BW107" s="8">
        <v>10209766</v>
      </c>
      <c r="BX107" s="8">
        <v>10877638</v>
      </c>
      <c r="BY107" s="8">
        <v>10934971</v>
      </c>
      <c r="BZ107" s="8">
        <v>11704222</v>
      </c>
      <c r="CA107" s="8">
        <v>12864994</v>
      </c>
      <c r="CB107" s="9">
        <f t="shared" si="43"/>
        <v>12864994</v>
      </c>
      <c r="CC107" s="8">
        <v>0</v>
      </c>
      <c r="CD107" s="8">
        <v>0</v>
      </c>
      <c r="CE107" s="8">
        <v>568199</v>
      </c>
      <c r="CF107" s="8">
        <v>843985</v>
      </c>
      <c r="CG107" s="8">
        <v>1009902</v>
      </c>
      <c r="CH107" s="8">
        <v>1238235</v>
      </c>
      <c r="CI107" s="8">
        <v>1492911</v>
      </c>
      <c r="CJ107" s="8">
        <v>1794607</v>
      </c>
      <c r="CK107" s="8">
        <v>2227995</v>
      </c>
      <c r="CL107" s="8">
        <v>2548394</v>
      </c>
      <c r="CM107" s="8">
        <v>2942603</v>
      </c>
      <c r="CN107" s="8">
        <v>4033550</v>
      </c>
      <c r="CO107" s="9">
        <f t="shared" si="44"/>
        <v>4033550</v>
      </c>
      <c r="CP107" s="8">
        <v>0</v>
      </c>
      <c r="CQ107" s="8">
        <v>341548</v>
      </c>
      <c r="CR107" s="8">
        <v>623888</v>
      </c>
      <c r="CS107" s="8">
        <v>899047</v>
      </c>
      <c r="CT107" s="8">
        <v>1130546</v>
      </c>
      <c r="CU107" s="8">
        <v>1369006</v>
      </c>
      <c r="CV107" s="8">
        <v>1560634</v>
      </c>
      <c r="CW107" s="8">
        <v>1797335</v>
      </c>
      <c r="CX107" s="8">
        <v>2028629</v>
      </c>
      <c r="CY107" s="8">
        <v>2295359</v>
      </c>
      <c r="CZ107" s="8">
        <v>2707060</v>
      </c>
      <c r="DA107" s="8">
        <v>3178223</v>
      </c>
      <c r="DB107" s="9">
        <f t="shared" si="45"/>
        <v>3178223</v>
      </c>
      <c r="DC107" s="8">
        <v>0</v>
      </c>
      <c r="DD107" s="8">
        <v>171062</v>
      </c>
      <c r="DE107" s="8">
        <v>514157</v>
      </c>
      <c r="DF107" s="8">
        <v>744433</v>
      </c>
      <c r="DG107" s="8">
        <v>973924</v>
      </c>
      <c r="DH107" s="8">
        <v>1272967</v>
      </c>
      <c r="DI107" s="8">
        <v>1520269</v>
      </c>
      <c r="DJ107" s="8">
        <v>1711962</v>
      </c>
      <c r="DK107" s="8">
        <v>1962104</v>
      </c>
      <c r="DL107" s="8">
        <v>2493082</v>
      </c>
      <c r="DM107" s="8">
        <v>2596403</v>
      </c>
      <c r="DN107" s="8">
        <v>3278461</v>
      </c>
      <c r="DO107" s="9">
        <f t="shared" si="46"/>
        <v>3278461</v>
      </c>
      <c r="DP107" s="8">
        <v>0</v>
      </c>
      <c r="DQ107" s="8">
        <v>0</v>
      </c>
      <c r="DR107" s="8">
        <v>341728</v>
      </c>
      <c r="DS107" s="8">
        <v>704575</v>
      </c>
      <c r="DT107" s="8">
        <v>849402</v>
      </c>
      <c r="DU107" s="8">
        <v>1019436</v>
      </c>
      <c r="DV107" s="8">
        <v>1174596</v>
      </c>
      <c r="DW107" s="8">
        <v>1441964</v>
      </c>
      <c r="DX107" s="8">
        <v>1796909</v>
      </c>
      <c r="DY107" s="8">
        <v>2163814</v>
      </c>
      <c r="DZ107" s="8">
        <v>2690437</v>
      </c>
      <c r="EA107" s="8">
        <v>3798830</v>
      </c>
      <c r="EB107" s="9">
        <f t="shared" si="47"/>
        <v>3798830</v>
      </c>
      <c r="EC107" s="8">
        <v>0</v>
      </c>
      <c r="ED107" s="8">
        <v>90004</v>
      </c>
      <c r="EE107" s="8">
        <v>1057405</v>
      </c>
      <c r="EF107" s="8">
        <v>1603523</v>
      </c>
      <c r="EG107" s="8">
        <v>2050048</v>
      </c>
      <c r="EH107" s="8">
        <v>2512149</v>
      </c>
      <c r="EI107" s="8">
        <v>3083020</v>
      </c>
      <c r="EJ107" s="8">
        <v>3565913</v>
      </c>
      <c r="EK107" s="8">
        <v>3891374</v>
      </c>
      <c r="EL107" s="8">
        <v>4138218</v>
      </c>
      <c r="EM107" s="8">
        <v>6584046</v>
      </c>
      <c r="EN107" s="8">
        <v>9409651</v>
      </c>
      <c r="EO107" s="9">
        <f t="shared" si="48"/>
        <v>9409651</v>
      </c>
      <c r="EP107" s="8">
        <v>0</v>
      </c>
      <c r="EQ107" s="8">
        <v>103249</v>
      </c>
      <c r="ER107" s="8">
        <v>2014967</v>
      </c>
      <c r="ES107" s="8">
        <v>2550436</v>
      </c>
      <c r="ET107" s="8">
        <v>2860713</v>
      </c>
      <c r="EU107" s="8">
        <v>3218384</v>
      </c>
      <c r="EV107" s="8">
        <v>3634212</v>
      </c>
      <c r="EW107" s="8">
        <v>4068199</v>
      </c>
      <c r="EX107" s="8">
        <v>7204801</v>
      </c>
      <c r="EY107" s="8">
        <v>10539504</v>
      </c>
      <c r="EZ107" s="8">
        <v>11390322</v>
      </c>
      <c r="FA107" s="8">
        <v>12752538</v>
      </c>
      <c r="FB107" s="9">
        <f t="shared" si="49"/>
        <v>12752538</v>
      </c>
      <c r="FC107" s="8">
        <v>51485</v>
      </c>
      <c r="FD107" s="8">
        <v>102819</v>
      </c>
      <c r="FE107" s="8">
        <v>982758</v>
      </c>
      <c r="FF107" s="8">
        <v>1785050</v>
      </c>
      <c r="FG107" s="8">
        <v>2488465</v>
      </c>
      <c r="FH107" s="8">
        <v>3621109</v>
      </c>
      <c r="FI107" s="8">
        <v>4439800</v>
      </c>
      <c r="FJ107" s="8"/>
      <c r="FK107" s="8"/>
      <c r="FL107" s="8"/>
      <c r="FM107" s="8"/>
      <c r="FN107" s="8"/>
      <c r="FO107" s="9">
        <f t="shared" si="50"/>
        <v>4439800</v>
      </c>
    </row>
    <row r="108" spans="2:171" ht="14.25" customHeight="1" x14ac:dyDescent="0.3">
      <c r="B108" s="35" t="s">
        <v>71</v>
      </c>
      <c r="C108" s="8">
        <v>0</v>
      </c>
      <c r="D108" s="8">
        <v>51852</v>
      </c>
      <c r="E108" s="8">
        <v>154962</v>
      </c>
      <c r="F108" s="8">
        <v>267262</v>
      </c>
      <c r="G108" s="8">
        <v>440986</v>
      </c>
      <c r="H108" s="8">
        <v>440986</v>
      </c>
      <c r="I108" s="8">
        <v>1061137</v>
      </c>
      <c r="J108" s="8">
        <v>1061137</v>
      </c>
      <c r="K108" s="8">
        <v>1368868</v>
      </c>
      <c r="L108" s="8">
        <v>1372499</v>
      </c>
      <c r="M108" s="8">
        <v>1513974</v>
      </c>
      <c r="N108" s="8">
        <v>1857357</v>
      </c>
      <c r="O108" s="9">
        <f t="shared" si="38"/>
        <v>1857357</v>
      </c>
      <c r="P108" s="8">
        <v>0</v>
      </c>
      <c r="Q108" s="8">
        <v>0</v>
      </c>
      <c r="R108" s="8">
        <v>0</v>
      </c>
      <c r="S108" s="8">
        <v>0</v>
      </c>
      <c r="T108" s="8">
        <v>90871</v>
      </c>
      <c r="U108" s="8">
        <v>142799</v>
      </c>
      <c r="V108" s="8">
        <v>200320</v>
      </c>
      <c r="W108" s="8">
        <v>242231</v>
      </c>
      <c r="X108" s="8">
        <v>298609</v>
      </c>
      <c r="Y108" s="8">
        <v>302946</v>
      </c>
      <c r="Z108" s="8">
        <v>394136</v>
      </c>
      <c r="AA108" s="8">
        <v>2371381</v>
      </c>
      <c r="AB108" s="9">
        <f t="shared" si="39"/>
        <v>2371381</v>
      </c>
      <c r="AC108" s="8">
        <v>0</v>
      </c>
      <c r="AD108" s="8">
        <v>170622</v>
      </c>
      <c r="AE108" s="8">
        <v>340710</v>
      </c>
      <c r="AF108" s="8">
        <v>859471</v>
      </c>
      <c r="AG108" s="8">
        <v>1154130</v>
      </c>
      <c r="AH108" s="8">
        <v>1494818</v>
      </c>
      <c r="AI108" s="8">
        <v>1804443</v>
      </c>
      <c r="AJ108" s="8">
        <v>1938832</v>
      </c>
      <c r="AK108" s="8">
        <v>2127532</v>
      </c>
      <c r="AL108" s="8">
        <v>2357185</v>
      </c>
      <c r="AM108" s="8">
        <v>2602388</v>
      </c>
      <c r="AN108" s="8">
        <v>3449848</v>
      </c>
      <c r="AO108" s="9">
        <f t="shared" si="40"/>
        <v>3449848</v>
      </c>
      <c r="AP108" s="8">
        <v>0</v>
      </c>
      <c r="AQ108" s="8">
        <v>183545</v>
      </c>
      <c r="AR108" s="8">
        <v>413677</v>
      </c>
      <c r="AS108" s="8">
        <v>821856</v>
      </c>
      <c r="AT108" s="8">
        <v>1035677</v>
      </c>
      <c r="AU108" s="8">
        <v>1151757</v>
      </c>
      <c r="AV108" s="8">
        <v>1254888</v>
      </c>
      <c r="AW108" s="8">
        <v>1371308</v>
      </c>
      <c r="AX108" s="8">
        <v>1539974</v>
      </c>
      <c r="AY108" s="8">
        <v>1581297</v>
      </c>
      <c r="AZ108" s="8">
        <v>1634737</v>
      </c>
      <c r="BA108" s="8">
        <v>3281338</v>
      </c>
      <c r="BB108" s="9">
        <f t="shared" si="41"/>
        <v>3281338</v>
      </c>
      <c r="BC108" s="8">
        <v>0</v>
      </c>
      <c r="BD108" s="8">
        <v>0</v>
      </c>
      <c r="BE108" s="8">
        <v>4621</v>
      </c>
      <c r="BF108" s="8">
        <v>152193</v>
      </c>
      <c r="BG108" s="8">
        <v>172099</v>
      </c>
      <c r="BH108" s="8">
        <v>175506</v>
      </c>
      <c r="BI108" s="8">
        <v>194932</v>
      </c>
      <c r="BJ108" s="8">
        <v>223142</v>
      </c>
      <c r="BK108" s="8">
        <v>223142</v>
      </c>
      <c r="BL108" s="8">
        <v>223542</v>
      </c>
      <c r="BM108" s="8">
        <v>305251</v>
      </c>
      <c r="BN108" s="8">
        <v>615869</v>
      </c>
      <c r="BO108" s="9">
        <f t="shared" si="42"/>
        <v>615869</v>
      </c>
      <c r="BP108" s="8">
        <v>0</v>
      </c>
      <c r="BQ108" s="8">
        <v>0</v>
      </c>
      <c r="BR108" s="8">
        <v>706241</v>
      </c>
      <c r="BS108" s="8">
        <v>975651</v>
      </c>
      <c r="BT108" s="8">
        <v>1271922</v>
      </c>
      <c r="BU108" s="8">
        <v>1629101</v>
      </c>
      <c r="BV108" s="8">
        <v>2190006</v>
      </c>
      <c r="BW108" s="8">
        <v>2642288</v>
      </c>
      <c r="BX108" s="8">
        <v>3256538</v>
      </c>
      <c r="BY108" s="8">
        <v>3953767</v>
      </c>
      <c r="BZ108" s="8">
        <v>4409178</v>
      </c>
      <c r="CA108" s="8">
        <v>8087606</v>
      </c>
      <c r="CB108" s="9">
        <f t="shared" si="43"/>
        <v>8087606</v>
      </c>
      <c r="CC108" s="8">
        <v>0</v>
      </c>
      <c r="CD108" s="8">
        <v>0</v>
      </c>
      <c r="CE108" s="8">
        <v>0</v>
      </c>
      <c r="CF108" s="8">
        <v>712132</v>
      </c>
      <c r="CG108" s="8">
        <v>729230</v>
      </c>
      <c r="CH108" s="8">
        <v>973709</v>
      </c>
      <c r="CI108" s="8">
        <v>1079700</v>
      </c>
      <c r="CJ108" s="8">
        <v>1489073</v>
      </c>
      <c r="CK108" s="8">
        <v>1572858</v>
      </c>
      <c r="CL108" s="8">
        <v>1707188</v>
      </c>
      <c r="CM108" s="8">
        <v>1800482</v>
      </c>
      <c r="CN108" s="8">
        <v>2336076</v>
      </c>
      <c r="CO108" s="9">
        <f t="shared" si="44"/>
        <v>2336076</v>
      </c>
      <c r="CP108" s="8">
        <v>0</v>
      </c>
      <c r="CQ108" s="8">
        <v>25365</v>
      </c>
      <c r="CR108" s="8">
        <v>38047</v>
      </c>
      <c r="CS108" s="8">
        <v>52989</v>
      </c>
      <c r="CT108" s="8">
        <v>70839</v>
      </c>
      <c r="CU108" s="8">
        <v>83295</v>
      </c>
      <c r="CV108" s="8">
        <v>231897</v>
      </c>
      <c r="CW108" s="8">
        <v>243079</v>
      </c>
      <c r="CX108" s="8">
        <v>254261</v>
      </c>
      <c r="CY108" s="8">
        <v>274852</v>
      </c>
      <c r="CZ108" s="8">
        <v>304088</v>
      </c>
      <c r="DA108" s="8">
        <v>378573</v>
      </c>
      <c r="DB108" s="9">
        <f t="shared" si="45"/>
        <v>378573</v>
      </c>
      <c r="DC108" s="8">
        <v>0</v>
      </c>
      <c r="DD108" s="8">
        <v>0</v>
      </c>
      <c r="DE108" s="8">
        <v>20436</v>
      </c>
      <c r="DF108" s="8">
        <v>66826</v>
      </c>
      <c r="DG108" s="8">
        <v>66826</v>
      </c>
      <c r="DH108" s="8">
        <v>77445</v>
      </c>
      <c r="DI108" s="8">
        <v>77445</v>
      </c>
      <c r="DJ108" s="8">
        <v>77761</v>
      </c>
      <c r="DK108" s="8">
        <v>82836</v>
      </c>
      <c r="DL108" s="8">
        <v>83310</v>
      </c>
      <c r="DM108" s="8">
        <v>112252</v>
      </c>
      <c r="DN108" s="8">
        <v>290633</v>
      </c>
      <c r="DO108" s="9">
        <f t="shared" si="46"/>
        <v>290633</v>
      </c>
      <c r="DP108" s="8">
        <v>0</v>
      </c>
      <c r="DQ108" s="8">
        <v>0</v>
      </c>
      <c r="DR108" s="8">
        <v>0</v>
      </c>
      <c r="DS108" s="8">
        <v>0</v>
      </c>
      <c r="DT108" s="8">
        <v>0</v>
      </c>
      <c r="DU108" s="8">
        <v>0</v>
      </c>
      <c r="DV108" s="8">
        <v>8346</v>
      </c>
      <c r="DW108" s="8">
        <v>8346</v>
      </c>
      <c r="DX108" s="8">
        <v>8346</v>
      </c>
      <c r="DY108" s="8">
        <v>8346</v>
      </c>
      <c r="DZ108" s="8">
        <v>8346</v>
      </c>
      <c r="EA108" s="8">
        <v>254259</v>
      </c>
      <c r="EB108" s="9">
        <f t="shared" si="47"/>
        <v>254259</v>
      </c>
      <c r="EC108" s="8">
        <v>0</v>
      </c>
      <c r="ED108" s="8">
        <v>0</v>
      </c>
      <c r="EE108" s="8">
        <v>223995</v>
      </c>
      <c r="EF108" s="8">
        <v>340825</v>
      </c>
      <c r="EG108" s="8">
        <v>391633</v>
      </c>
      <c r="EH108" s="8">
        <v>570181</v>
      </c>
      <c r="EI108" s="8">
        <v>756889</v>
      </c>
      <c r="EJ108" s="8">
        <v>786839</v>
      </c>
      <c r="EK108" s="8">
        <v>789839</v>
      </c>
      <c r="EL108" s="8">
        <v>1599517</v>
      </c>
      <c r="EM108" s="8">
        <v>2131347</v>
      </c>
      <c r="EN108" s="8">
        <v>2802068</v>
      </c>
      <c r="EO108" s="9">
        <f t="shared" si="48"/>
        <v>2802068</v>
      </c>
      <c r="EP108" s="8">
        <v>0</v>
      </c>
      <c r="EQ108" s="8">
        <v>646433</v>
      </c>
      <c r="ER108" s="8">
        <v>1084311</v>
      </c>
      <c r="ES108" s="8">
        <v>2105876</v>
      </c>
      <c r="ET108" s="8">
        <v>2578346</v>
      </c>
      <c r="EU108" s="8">
        <v>3084753</v>
      </c>
      <c r="EV108" s="8">
        <v>3346573</v>
      </c>
      <c r="EW108" s="8">
        <v>4119135</v>
      </c>
      <c r="EX108" s="8">
        <v>4752552</v>
      </c>
      <c r="EY108" s="8">
        <v>5271475</v>
      </c>
      <c r="EZ108" s="8">
        <v>5692404</v>
      </c>
      <c r="FA108" s="8">
        <v>6419050</v>
      </c>
      <c r="FB108" s="9">
        <f t="shared" si="49"/>
        <v>6419050</v>
      </c>
      <c r="FC108" s="8">
        <v>680808</v>
      </c>
      <c r="FD108" s="8">
        <v>1115462</v>
      </c>
      <c r="FE108" s="8">
        <v>1331840</v>
      </c>
      <c r="FF108" s="8">
        <v>2038911</v>
      </c>
      <c r="FG108" s="8">
        <v>2492191</v>
      </c>
      <c r="FH108" s="8">
        <v>2861919</v>
      </c>
      <c r="FI108" s="8">
        <v>3423955</v>
      </c>
      <c r="FJ108" s="8"/>
      <c r="FK108" s="8"/>
      <c r="FL108" s="8"/>
      <c r="FM108" s="8"/>
      <c r="FN108" s="8"/>
      <c r="FO108" s="9">
        <f t="shared" si="50"/>
        <v>3423955</v>
      </c>
    </row>
    <row r="109" spans="2:171" ht="14.25" customHeight="1" x14ac:dyDescent="0.3">
      <c r="B109" s="35" t="s">
        <v>72</v>
      </c>
      <c r="C109" s="8">
        <v>0</v>
      </c>
      <c r="D109" s="8">
        <v>0</v>
      </c>
      <c r="E109" s="8">
        <v>0</v>
      </c>
      <c r="F109" s="8">
        <v>0</v>
      </c>
      <c r="G109" s="8">
        <v>5280</v>
      </c>
      <c r="H109" s="8">
        <v>6600</v>
      </c>
      <c r="I109" s="8">
        <v>7920</v>
      </c>
      <c r="J109" s="8">
        <v>7920</v>
      </c>
      <c r="K109" s="8">
        <v>47299</v>
      </c>
      <c r="L109" s="8">
        <v>59454</v>
      </c>
      <c r="M109" s="8">
        <v>63831</v>
      </c>
      <c r="N109" s="8">
        <v>436928</v>
      </c>
      <c r="O109" s="9">
        <f t="shared" si="38"/>
        <v>436928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18957</v>
      </c>
      <c r="W109" s="8">
        <v>25735</v>
      </c>
      <c r="X109" s="8">
        <v>154074</v>
      </c>
      <c r="Y109" s="8">
        <v>285041</v>
      </c>
      <c r="Z109" s="8">
        <v>337757</v>
      </c>
      <c r="AA109" s="8">
        <v>6279147</v>
      </c>
      <c r="AB109" s="9">
        <f t="shared" si="39"/>
        <v>6279147</v>
      </c>
      <c r="AC109" s="8">
        <v>0</v>
      </c>
      <c r="AD109" s="8">
        <v>0</v>
      </c>
      <c r="AE109" s="8">
        <v>121041</v>
      </c>
      <c r="AF109" s="8">
        <v>705950</v>
      </c>
      <c r="AG109" s="8">
        <v>1183089</v>
      </c>
      <c r="AH109" s="8">
        <v>1641773</v>
      </c>
      <c r="AI109" s="8">
        <v>1942952</v>
      </c>
      <c r="AJ109" s="8">
        <v>3810119</v>
      </c>
      <c r="AK109" s="8">
        <v>5649441</v>
      </c>
      <c r="AL109" s="8">
        <v>6100004</v>
      </c>
      <c r="AM109" s="8">
        <v>6736238</v>
      </c>
      <c r="AN109" s="8">
        <v>7695995</v>
      </c>
      <c r="AO109" s="9">
        <f t="shared" si="40"/>
        <v>7695995</v>
      </c>
      <c r="AP109" s="8">
        <v>0</v>
      </c>
      <c r="AQ109" s="8">
        <v>771320</v>
      </c>
      <c r="AR109" s="8">
        <v>1571794</v>
      </c>
      <c r="AS109" s="8">
        <v>2065718</v>
      </c>
      <c r="AT109" s="8">
        <v>3153919</v>
      </c>
      <c r="AU109" s="8">
        <v>3887805</v>
      </c>
      <c r="AV109" s="8">
        <v>5598310</v>
      </c>
      <c r="AW109" s="8">
        <v>6657889</v>
      </c>
      <c r="AX109" s="8">
        <v>7418670</v>
      </c>
      <c r="AY109" s="8">
        <v>7802354</v>
      </c>
      <c r="AZ109" s="8">
        <v>8139619</v>
      </c>
      <c r="BA109" s="8">
        <v>12061699</v>
      </c>
      <c r="BB109" s="9">
        <f t="shared" si="41"/>
        <v>12061699</v>
      </c>
      <c r="BC109" s="8">
        <v>0</v>
      </c>
      <c r="BD109" s="8">
        <v>0</v>
      </c>
      <c r="BE109" s="8">
        <v>0</v>
      </c>
      <c r="BF109" s="8">
        <v>1800</v>
      </c>
      <c r="BG109" s="8">
        <v>590468</v>
      </c>
      <c r="BH109" s="8">
        <v>675126</v>
      </c>
      <c r="BI109" s="8">
        <v>701420</v>
      </c>
      <c r="BJ109" s="8">
        <v>806157</v>
      </c>
      <c r="BK109" s="8">
        <v>1150560</v>
      </c>
      <c r="BL109" s="8">
        <v>1230376</v>
      </c>
      <c r="BM109" s="8">
        <v>1697650</v>
      </c>
      <c r="BN109" s="8">
        <v>2635839</v>
      </c>
      <c r="BO109" s="9">
        <f t="shared" si="42"/>
        <v>2635839</v>
      </c>
      <c r="BP109" s="8">
        <v>0</v>
      </c>
      <c r="BQ109" s="8">
        <v>0</v>
      </c>
      <c r="BR109" s="8">
        <v>0</v>
      </c>
      <c r="BS109" s="8">
        <v>0</v>
      </c>
      <c r="BT109" s="8">
        <v>3839741</v>
      </c>
      <c r="BU109" s="8">
        <v>4868768</v>
      </c>
      <c r="BV109" s="8">
        <v>4800828</v>
      </c>
      <c r="BW109" s="8">
        <v>5937194</v>
      </c>
      <c r="BX109" s="8">
        <v>6142413</v>
      </c>
      <c r="BY109" s="8">
        <v>6320836</v>
      </c>
      <c r="BZ109" s="8">
        <v>9362165</v>
      </c>
      <c r="CA109" s="8">
        <v>10885526</v>
      </c>
      <c r="CB109" s="9">
        <f t="shared" si="43"/>
        <v>10885526</v>
      </c>
      <c r="CC109" s="8">
        <v>0</v>
      </c>
      <c r="CD109" s="8">
        <v>0</v>
      </c>
      <c r="CE109" s="8">
        <v>4629257</v>
      </c>
      <c r="CF109" s="8">
        <v>5710455</v>
      </c>
      <c r="CG109" s="8">
        <v>6538754</v>
      </c>
      <c r="CH109" s="8">
        <v>7584742</v>
      </c>
      <c r="CI109" s="8">
        <v>8920216</v>
      </c>
      <c r="CJ109" s="8">
        <v>11297449</v>
      </c>
      <c r="CK109" s="8">
        <v>13588957</v>
      </c>
      <c r="CL109" s="8">
        <v>15873365</v>
      </c>
      <c r="CM109" s="8">
        <v>19108777</v>
      </c>
      <c r="CN109" s="8">
        <v>23994158</v>
      </c>
      <c r="CO109" s="9">
        <f t="shared" si="44"/>
        <v>23994158</v>
      </c>
      <c r="CP109" s="8">
        <v>0</v>
      </c>
      <c r="CQ109" s="8">
        <v>5189874</v>
      </c>
      <c r="CR109" s="8">
        <v>7044252</v>
      </c>
      <c r="CS109" s="8">
        <v>10647800</v>
      </c>
      <c r="CT109" s="8">
        <v>12818325</v>
      </c>
      <c r="CU109" s="8">
        <v>15719240</v>
      </c>
      <c r="CV109" s="8">
        <v>18975522</v>
      </c>
      <c r="CW109" s="8">
        <v>21249187</v>
      </c>
      <c r="CX109" s="8">
        <v>21261613</v>
      </c>
      <c r="CY109" s="8">
        <v>24695956</v>
      </c>
      <c r="CZ109" s="8">
        <v>27620656</v>
      </c>
      <c r="DA109" s="8">
        <v>28208424</v>
      </c>
      <c r="DB109" s="9">
        <f t="shared" si="45"/>
        <v>28208424</v>
      </c>
      <c r="DC109" s="8">
        <v>0</v>
      </c>
      <c r="DD109" s="8">
        <v>0</v>
      </c>
      <c r="DE109" s="8">
        <v>5058868</v>
      </c>
      <c r="DF109" s="8">
        <v>5439450</v>
      </c>
      <c r="DG109" s="8">
        <v>11066648</v>
      </c>
      <c r="DH109" s="8">
        <v>12954068</v>
      </c>
      <c r="DI109" s="8">
        <v>14540922</v>
      </c>
      <c r="DJ109" s="8">
        <v>16850522</v>
      </c>
      <c r="DK109" s="8">
        <v>18100305</v>
      </c>
      <c r="DL109" s="8">
        <v>18383699</v>
      </c>
      <c r="DM109" s="8">
        <v>21008519</v>
      </c>
      <c r="DN109" s="8">
        <v>23481164</v>
      </c>
      <c r="DO109" s="9">
        <f t="shared" si="46"/>
        <v>23481164</v>
      </c>
      <c r="DP109" s="8">
        <v>0</v>
      </c>
      <c r="DQ109" s="8">
        <v>1656186</v>
      </c>
      <c r="DR109" s="8">
        <v>3304069</v>
      </c>
      <c r="DS109" s="8">
        <v>6048155</v>
      </c>
      <c r="DT109" s="8">
        <v>7838598</v>
      </c>
      <c r="DU109" s="8">
        <v>9145678</v>
      </c>
      <c r="DV109" s="8">
        <v>10014619</v>
      </c>
      <c r="DW109" s="8">
        <v>11031757</v>
      </c>
      <c r="DX109" s="8">
        <v>12223099</v>
      </c>
      <c r="DY109" s="8">
        <v>13474001</v>
      </c>
      <c r="DZ109" s="8">
        <v>14958455</v>
      </c>
      <c r="EA109" s="8">
        <v>16625960</v>
      </c>
      <c r="EB109" s="9">
        <f t="shared" si="47"/>
        <v>16625960</v>
      </c>
      <c r="EC109" s="8">
        <v>0</v>
      </c>
      <c r="ED109" s="8">
        <v>0</v>
      </c>
      <c r="EE109" s="8">
        <v>3038802</v>
      </c>
      <c r="EF109" s="8">
        <v>4861591</v>
      </c>
      <c r="EG109" s="8">
        <v>7909229</v>
      </c>
      <c r="EH109" s="8">
        <v>11132416</v>
      </c>
      <c r="EI109" s="8">
        <v>13012221</v>
      </c>
      <c r="EJ109" s="8">
        <v>14350917</v>
      </c>
      <c r="EK109" s="8">
        <v>31108291</v>
      </c>
      <c r="EL109" s="8">
        <v>32715091</v>
      </c>
      <c r="EM109" s="8">
        <v>35550245</v>
      </c>
      <c r="EN109" s="8">
        <v>39660843</v>
      </c>
      <c r="EO109" s="9">
        <f t="shared" si="48"/>
        <v>39660843</v>
      </c>
      <c r="EP109" s="8">
        <v>0</v>
      </c>
      <c r="EQ109" s="8">
        <v>0</v>
      </c>
      <c r="ER109" s="8">
        <v>6900974</v>
      </c>
      <c r="ES109" s="8">
        <v>8732286</v>
      </c>
      <c r="ET109" s="8">
        <v>11347945</v>
      </c>
      <c r="EU109" s="8">
        <v>13264740</v>
      </c>
      <c r="EV109" s="8">
        <v>14320043</v>
      </c>
      <c r="EW109" s="8">
        <v>16566725</v>
      </c>
      <c r="EX109" s="8">
        <v>17858338</v>
      </c>
      <c r="EY109" s="8">
        <v>19361038</v>
      </c>
      <c r="EZ109" s="8">
        <v>22633614</v>
      </c>
      <c r="FA109" s="8">
        <v>28273003</v>
      </c>
      <c r="FB109" s="9">
        <f t="shared" si="49"/>
        <v>28273003</v>
      </c>
      <c r="FC109" s="8">
        <v>0</v>
      </c>
      <c r="FD109" s="8">
        <v>717483</v>
      </c>
      <c r="FE109" s="8">
        <v>4332029</v>
      </c>
      <c r="FF109" s="8">
        <v>6509045</v>
      </c>
      <c r="FG109" s="8">
        <v>8789861</v>
      </c>
      <c r="FH109" s="8">
        <v>10369326</v>
      </c>
      <c r="FI109" s="8">
        <v>12091632</v>
      </c>
      <c r="FJ109" s="8"/>
      <c r="FK109" s="8"/>
      <c r="FL109" s="8"/>
      <c r="FM109" s="8"/>
      <c r="FN109" s="8"/>
      <c r="FO109" s="9">
        <f t="shared" si="50"/>
        <v>12091632</v>
      </c>
    </row>
    <row r="110" spans="2:171" ht="14.25" customHeight="1" x14ac:dyDescent="0.3">
      <c r="B110" s="35" t="s">
        <v>73</v>
      </c>
      <c r="C110" s="8">
        <v>0</v>
      </c>
      <c r="D110" s="8">
        <v>1111517</v>
      </c>
      <c r="E110" s="8">
        <v>1178515</v>
      </c>
      <c r="F110" s="8">
        <v>1524358</v>
      </c>
      <c r="G110" s="8">
        <v>1503712</v>
      </c>
      <c r="H110" s="8">
        <v>2244773</v>
      </c>
      <c r="I110" s="8">
        <v>2401791</v>
      </c>
      <c r="J110" s="8">
        <v>2498306</v>
      </c>
      <c r="K110" s="8">
        <v>2776279</v>
      </c>
      <c r="L110" s="8">
        <v>3147570</v>
      </c>
      <c r="M110" s="8">
        <v>3257984</v>
      </c>
      <c r="N110" s="8">
        <v>6379339</v>
      </c>
      <c r="O110" s="9">
        <f t="shared" si="38"/>
        <v>6379339</v>
      </c>
      <c r="P110" s="8">
        <v>0</v>
      </c>
      <c r="Q110" s="8">
        <v>0</v>
      </c>
      <c r="R110" s="8">
        <v>472031</v>
      </c>
      <c r="S110" s="8">
        <v>1475460</v>
      </c>
      <c r="T110" s="8">
        <v>1976996</v>
      </c>
      <c r="U110" s="8">
        <v>2648238</v>
      </c>
      <c r="V110" s="8">
        <v>3164015</v>
      </c>
      <c r="W110" s="8">
        <v>5091709</v>
      </c>
      <c r="X110" s="8">
        <v>6867159</v>
      </c>
      <c r="Y110" s="8">
        <v>8814566</v>
      </c>
      <c r="Z110" s="8">
        <v>11187366</v>
      </c>
      <c r="AA110" s="8">
        <v>18976201</v>
      </c>
      <c r="AB110" s="9">
        <f t="shared" si="39"/>
        <v>18976201</v>
      </c>
      <c r="AC110" s="8">
        <v>0</v>
      </c>
      <c r="AD110" s="8">
        <v>0</v>
      </c>
      <c r="AE110" s="8">
        <v>0</v>
      </c>
      <c r="AF110" s="8">
        <v>4885766</v>
      </c>
      <c r="AG110" s="8">
        <v>4909494</v>
      </c>
      <c r="AH110" s="8">
        <v>6411875</v>
      </c>
      <c r="AI110" s="8">
        <v>6480994</v>
      </c>
      <c r="AJ110" s="8">
        <v>6726912</v>
      </c>
      <c r="AK110" s="8">
        <v>7935809</v>
      </c>
      <c r="AL110" s="8">
        <v>8234536</v>
      </c>
      <c r="AM110" s="8">
        <v>9425610</v>
      </c>
      <c r="AN110" s="8">
        <v>16299828</v>
      </c>
      <c r="AO110" s="9">
        <f t="shared" si="40"/>
        <v>16299828</v>
      </c>
      <c r="AP110" s="8">
        <v>0</v>
      </c>
      <c r="AQ110" s="8">
        <v>0</v>
      </c>
      <c r="AR110" s="8">
        <v>0</v>
      </c>
      <c r="AS110" s="8">
        <v>0</v>
      </c>
      <c r="AT110" s="8">
        <v>474871</v>
      </c>
      <c r="AU110" s="8">
        <v>1039268</v>
      </c>
      <c r="AV110" s="8">
        <v>1240826</v>
      </c>
      <c r="AW110" s="8">
        <v>1482896</v>
      </c>
      <c r="AX110" s="8">
        <v>1822504</v>
      </c>
      <c r="AY110" s="8">
        <v>2560599</v>
      </c>
      <c r="AZ110" s="8">
        <v>3109941</v>
      </c>
      <c r="BA110" s="8">
        <v>5760809</v>
      </c>
      <c r="BB110" s="9">
        <f t="shared" si="41"/>
        <v>5760809</v>
      </c>
      <c r="BC110" s="8">
        <v>0</v>
      </c>
      <c r="BD110" s="8">
        <v>0</v>
      </c>
      <c r="BE110" s="8">
        <v>0</v>
      </c>
      <c r="BF110" s="8">
        <v>296251</v>
      </c>
      <c r="BG110" s="8">
        <v>524305</v>
      </c>
      <c r="BH110" s="8">
        <v>1036405</v>
      </c>
      <c r="BI110" s="8">
        <v>1237270</v>
      </c>
      <c r="BJ110" s="8">
        <v>1787375</v>
      </c>
      <c r="BK110" s="8">
        <v>2475541</v>
      </c>
      <c r="BL110" s="8">
        <v>2736771</v>
      </c>
      <c r="BM110" s="8">
        <v>3127552</v>
      </c>
      <c r="BN110" s="8">
        <v>3771429</v>
      </c>
      <c r="BO110" s="9">
        <f t="shared" si="42"/>
        <v>3771429</v>
      </c>
      <c r="BP110" s="8">
        <v>0</v>
      </c>
      <c r="BQ110" s="8">
        <v>0</v>
      </c>
      <c r="BR110" s="8">
        <v>372010</v>
      </c>
      <c r="BS110" s="8">
        <v>417802</v>
      </c>
      <c r="BT110" s="8">
        <v>417802</v>
      </c>
      <c r="BU110" s="8">
        <v>549020</v>
      </c>
      <c r="BV110" s="8">
        <v>1024445</v>
      </c>
      <c r="BW110" s="8">
        <v>1550669</v>
      </c>
      <c r="BX110" s="8">
        <v>1945186</v>
      </c>
      <c r="BY110" s="8">
        <v>3601888</v>
      </c>
      <c r="BZ110" s="8">
        <v>4057446</v>
      </c>
      <c r="CA110" s="8">
        <v>7118307</v>
      </c>
      <c r="CB110" s="9">
        <f t="shared" si="43"/>
        <v>7118307</v>
      </c>
      <c r="CC110" s="8">
        <v>0</v>
      </c>
      <c r="CD110" s="8">
        <v>0</v>
      </c>
      <c r="CE110" s="8">
        <v>656411</v>
      </c>
      <c r="CF110" s="8">
        <v>1060616</v>
      </c>
      <c r="CG110" s="8">
        <v>1341842</v>
      </c>
      <c r="CH110" s="8">
        <v>1573541</v>
      </c>
      <c r="CI110" s="8">
        <v>1825701</v>
      </c>
      <c r="CJ110" s="8">
        <v>2683871</v>
      </c>
      <c r="CK110" s="8">
        <v>3317270</v>
      </c>
      <c r="CL110" s="8">
        <v>3679746</v>
      </c>
      <c r="CM110" s="8">
        <v>4180170</v>
      </c>
      <c r="CN110" s="8">
        <v>9400290</v>
      </c>
      <c r="CO110" s="9">
        <f t="shared" si="44"/>
        <v>9400290</v>
      </c>
      <c r="CP110" s="8">
        <v>0</v>
      </c>
      <c r="CQ110" s="8">
        <v>0</v>
      </c>
      <c r="CR110" s="8">
        <v>0</v>
      </c>
      <c r="CS110" s="8">
        <v>760134</v>
      </c>
      <c r="CT110" s="8">
        <v>1093514</v>
      </c>
      <c r="CU110" s="8">
        <v>1253926</v>
      </c>
      <c r="CV110" s="8">
        <v>1406932</v>
      </c>
      <c r="CW110" s="8">
        <v>1990182</v>
      </c>
      <c r="CX110" s="8">
        <v>2151836</v>
      </c>
      <c r="CY110" s="8">
        <v>2484950</v>
      </c>
      <c r="CZ110" s="8">
        <v>3069639</v>
      </c>
      <c r="DA110" s="8">
        <v>3707593</v>
      </c>
      <c r="DB110" s="9">
        <f t="shared" si="45"/>
        <v>3707593</v>
      </c>
      <c r="DC110" s="8">
        <v>0</v>
      </c>
      <c r="DD110" s="8">
        <v>0</v>
      </c>
      <c r="DE110" s="8">
        <v>664629</v>
      </c>
      <c r="DF110" s="8">
        <v>802045</v>
      </c>
      <c r="DG110" s="8">
        <v>1044142</v>
      </c>
      <c r="DH110" s="8">
        <v>1310784</v>
      </c>
      <c r="DI110" s="8">
        <v>1571914</v>
      </c>
      <c r="DJ110" s="8">
        <v>1835156</v>
      </c>
      <c r="DK110" s="8">
        <v>2158264</v>
      </c>
      <c r="DL110" s="8">
        <v>2408590</v>
      </c>
      <c r="DM110" s="8">
        <v>2887811</v>
      </c>
      <c r="DN110" s="8">
        <v>3625401</v>
      </c>
      <c r="DO110" s="9">
        <f t="shared" si="46"/>
        <v>3625401</v>
      </c>
      <c r="DP110" s="8">
        <v>0</v>
      </c>
      <c r="DQ110" s="8">
        <v>0</v>
      </c>
      <c r="DR110" s="8">
        <v>341338</v>
      </c>
      <c r="DS110" s="8">
        <v>7462184</v>
      </c>
      <c r="DT110" s="8">
        <v>11028989</v>
      </c>
      <c r="DU110" s="8">
        <v>18612953</v>
      </c>
      <c r="DV110" s="8">
        <v>32192843</v>
      </c>
      <c r="DW110" s="8">
        <v>40080527</v>
      </c>
      <c r="DX110" s="8">
        <v>46856309</v>
      </c>
      <c r="DY110" s="8">
        <v>50079220</v>
      </c>
      <c r="DZ110" s="8">
        <v>56227850</v>
      </c>
      <c r="EA110" s="8">
        <v>75802531</v>
      </c>
      <c r="EB110" s="9">
        <f t="shared" si="47"/>
        <v>75802531</v>
      </c>
      <c r="EC110" s="8">
        <v>0</v>
      </c>
      <c r="ED110" s="8">
        <v>0</v>
      </c>
      <c r="EE110" s="8">
        <v>15663133</v>
      </c>
      <c r="EF110" s="8">
        <v>18917863</v>
      </c>
      <c r="EG110" s="8">
        <v>20280316</v>
      </c>
      <c r="EH110" s="8">
        <v>25376954</v>
      </c>
      <c r="EI110" s="8">
        <v>27916489</v>
      </c>
      <c r="EJ110" s="8">
        <v>30766889</v>
      </c>
      <c r="EK110" s="8">
        <v>33384242</v>
      </c>
      <c r="EL110" s="8">
        <v>36734180</v>
      </c>
      <c r="EM110" s="8">
        <v>40779452</v>
      </c>
      <c r="EN110" s="8">
        <v>83181669</v>
      </c>
      <c r="EO110" s="9">
        <f t="shared" si="48"/>
        <v>83181669</v>
      </c>
      <c r="EP110" s="8">
        <v>0</v>
      </c>
      <c r="EQ110" s="8">
        <v>0</v>
      </c>
      <c r="ER110" s="8">
        <v>10926118</v>
      </c>
      <c r="ES110" s="8">
        <v>21119649</v>
      </c>
      <c r="ET110" s="8">
        <v>33340198</v>
      </c>
      <c r="EU110" s="8">
        <v>43752887</v>
      </c>
      <c r="EV110" s="8">
        <v>47470463</v>
      </c>
      <c r="EW110" s="8">
        <v>61332869</v>
      </c>
      <c r="EX110" s="8">
        <v>68507371</v>
      </c>
      <c r="EY110" s="8">
        <v>74867103</v>
      </c>
      <c r="EZ110" s="8">
        <v>79001834</v>
      </c>
      <c r="FA110" s="8">
        <v>96411554</v>
      </c>
      <c r="FB110" s="9">
        <f t="shared" si="49"/>
        <v>96411554</v>
      </c>
      <c r="FC110" s="8">
        <v>4570</v>
      </c>
      <c r="FD110" s="8">
        <v>4570</v>
      </c>
      <c r="FE110" s="8">
        <v>18868122</v>
      </c>
      <c r="FF110" s="8">
        <v>26692850</v>
      </c>
      <c r="FG110" s="8">
        <v>33386282</v>
      </c>
      <c r="FH110" s="8">
        <v>39443417</v>
      </c>
      <c r="FI110" s="8">
        <v>43943409</v>
      </c>
      <c r="FJ110" s="8"/>
      <c r="FK110" s="8"/>
      <c r="FL110" s="8"/>
      <c r="FM110" s="8"/>
      <c r="FN110" s="8"/>
      <c r="FO110" s="9">
        <f t="shared" si="50"/>
        <v>43943409</v>
      </c>
    </row>
    <row r="111" spans="2:171" ht="14.25" customHeight="1" x14ac:dyDescent="0.3">
      <c r="B111" s="35" t="s">
        <v>74</v>
      </c>
      <c r="C111" s="8">
        <v>0</v>
      </c>
      <c r="D111" s="8">
        <v>162243</v>
      </c>
      <c r="E111" s="8">
        <v>177457</v>
      </c>
      <c r="F111" s="8">
        <v>179505</v>
      </c>
      <c r="G111" s="8">
        <v>366049</v>
      </c>
      <c r="H111" s="8">
        <v>381784</v>
      </c>
      <c r="I111" s="8">
        <v>280527</v>
      </c>
      <c r="J111" s="8">
        <v>282586</v>
      </c>
      <c r="K111" s="8">
        <v>282586</v>
      </c>
      <c r="L111" s="8">
        <v>375551</v>
      </c>
      <c r="M111" s="8">
        <v>399133</v>
      </c>
      <c r="N111" s="8">
        <v>621232</v>
      </c>
      <c r="O111" s="9">
        <f t="shared" si="38"/>
        <v>621232</v>
      </c>
      <c r="P111" s="8">
        <v>0</v>
      </c>
      <c r="Q111" s="8">
        <v>0</v>
      </c>
      <c r="R111" s="8">
        <v>66421</v>
      </c>
      <c r="S111" s="8">
        <v>77034</v>
      </c>
      <c r="T111" s="8">
        <v>115315</v>
      </c>
      <c r="U111" s="8">
        <v>140483</v>
      </c>
      <c r="V111" s="8">
        <v>209157</v>
      </c>
      <c r="W111" s="8">
        <v>634100</v>
      </c>
      <c r="X111" s="8">
        <v>651445</v>
      </c>
      <c r="Y111" s="8">
        <v>775442</v>
      </c>
      <c r="Z111" s="8">
        <v>1348111</v>
      </c>
      <c r="AA111" s="8">
        <v>3373697</v>
      </c>
      <c r="AB111" s="9">
        <f t="shared" si="39"/>
        <v>3373697</v>
      </c>
      <c r="AC111" s="8">
        <v>0</v>
      </c>
      <c r="AD111" s="8">
        <v>39777</v>
      </c>
      <c r="AE111" s="8">
        <v>205697</v>
      </c>
      <c r="AF111" s="8">
        <v>562917</v>
      </c>
      <c r="AG111" s="8">
        <v>898674</v>
      </c>
      <c r="AH111" s="8">
        <v>1352348</v>
      </c>
      <c r="AI111" s="8">
        <v>1698763</v>
      </c>
      <c r="AJ111" s="8">
        <v>1938777</v>
      </c>
      <c r="AK111" s="8">
        <v>2097630</v>
      </c>
      <c r="AL111" s="8">
        <v>2449505</v>
      </c>
      <c r="AM111" s="8">
        <v>2577163</v>
      </c>
      <c r="AN111" s="8">
        <v>3165465</v>
      </c>
      <c r="AO111" s="9">
        <f t="shared" si="40"/>
        <v>3165465</v>
      </c>
      <c r="AP111" s="8">
        <v>0</v>
      </c>
      <c r="AQ111" s="8">
        <v>8208</v>
      </c>
      <c r="AR111" s="8">
        <v>169808</v>
      </c>
      <c r="AS111" s="8">
        <v>316964</v>
      </c>
      <c r="AT111" s="8">
        <v>662240</v>
      </c>
      <c r="AU111" s="8">
        <v>1108374</v>
      </c>
      <c r="AV111" s="8">
        <v>1419456</v>
      </c>
      <c r="AW111" s="8">
        <v>1708982</v>
      </c>
      <c r="AX111" s="8">
        <v>2127746</v>
      </c>
      <c r="AY111" s="8">
        <v>2417674</v>
      </c>
      <c r="AZ111" s="8">
        <v>2617617</v>
      </c>
      <c r="BA111" s="8">
        <v>3343257</v>
      </c>
      <c r="BB111" s="9">
        <f t="shared" si="41"/>
        <v>3343257</v>
      </c>
      <c r="BC111" s="8">
        <v>0</v>
      </c>
      <c r="BD111" s="8">
        <v>0</v>
      </c>
      <c r="BE111" s="8">
        <v>18275</v>
      </c>
      <c r="BF111" s="8">
        <v>231203</v>
      </c>
      <c r="BG111" s="8">
        <v>902195</v>
      </c>
      <c r="BH111" s="8">
        <v>2028202</v>
      </c>
      <c r="BI111" s="8">
        <v>2479627</v>
      </c>
      <c r="BJ111" s="8">
        <v>3495726</v>
      </c>
      <c r="BK111" s="8">
        <v>5148004</v>
      </c>
      <c r="BL111" s="8">
        <v>6647300</v>
      </c>
      <c r="BM111" s="8">
        <v>8290770</v>
      </c>
      <c r="BN111" s="8">
        <v>12738213</v>
      </c>
      <c r="BO111" s="9">
        <f t="shared" si="42"/>
        <v>12738213</v>
      </c>
      <c r="BP111" s="8">
        <v>0</v>
      </c>
      <c r="BQ111" s="8">
        <v>3001612</v>
      </c>
      <c r="BR111" s="8">
        <v>4310799</v>
      </c>
      <c r="BS111" s="8">
        <v>6428282</v>
      </c>
      <c r="BT111" s="8">
        <v>8766526</v>
      </c>
      <c r="BU111" s="8">
        <v>12783005</v>
      </c>
      <c r="BV111" s="8">
        <v>15129562</v>
      </c>
      <c r="BW111" s="8">
        <v>17888964</v>
      </c>
      <c r="BX111" s="8">
        <v>21614369</v>
      </c>
      <c r="BY111" s="8">
        <v>25138824</v>
      </c>
      <c r="BZ111" s="8">
        <v>28205718</v>
      </c>
      <c r="CA111" s="8">
        <v>34944671</v>
      </c>
      <c r="CB111" s="9">
        <f t="shared" si="43"/>
        <v>34944671</v>
      </c>
      <c r="CC111" s="8">
        <v>0</v>
      </c>
      <c r="CD111" s="8">
        <v>5824859</v>
      </c>
      <c r="CE111" s="8">
        <v>8866834</v>
      </c>
      <c r="CF111" s="8">
        <v>12123172</v>
      </c>
      <c r="CG111" s="8">
        <v>12342078</v>
      </c>
      <c r="CH111" s="8">
        <v>18572666</v>
      </c>
      <c r="CI111" s="8">
        <v>18684444</v>
      </c>
      <c r="CJ111" s="8">
        <v>20853826</v>
      </c>
      <c r="CK111" s="8">
        <v>24590056</v>
      </c>
      <c r="CL111" s="8">
        <v>26105903</v>
      </c>
      <c r="CM111" s="8">
        <v>26295002</v>
      </c>
      <c r="CN111" s="8">
        <v>38790543</v>
      </c>
      <c r="CO111" s="9">
        <f t="shared" si="44"/>
        <v>38790543</v>
      </c>
      <c r="CP111" s="8">
        <v>0</v>
      </c>
      <c r="CQ111" s="8">
        <v>0</v>
      </c>
      <c r="CR111" s="8">
        <v>5155090</v>
      </c>
      <c r="CS111" s="8">
        <v>8198001</v>
      </c>
      <c r="CT111" s="8">
        <v>9828485</v>
      </c>
      <c r="CU111" s="8">
        <v>12305451</v>
      </c>
      <c r="CV111" s="8">
        <v>15838264</v>
      </c>
      <c r="CW111" s="8">
        <v>17961471</v>
      </c>
      <c r="CX111" s="8">
        <v>20436199</v>
      </c>
      <c r="CY111" s="8">
        <v>22008387</v>
      </c>
      <c r="CZ111" s="8">
        <v>26349775</v>
      </c>
      <c r="DA111" s="8">
        <v>34916094</v>
      </c>
      <c r="DB111" s="9">
        <f t="shared" si="45"/>
        <v>34916094</v>
      </c>
      <c r="DC111" s="8">
        <v>0</v>
      </c>
      <c r="DD111" s="8">
        <v>0</v>
      </c>
      <c r="DE111" s="8">
        <v>41022</v>
      </c>
      <c r="DF111" s="8">
        <v>5582056</v>
      </c>
      <c r="DG111" s="8">
        <v>8197314</v>
      </c>
      <c r="DH111" s="8">
        <v>12077742</v>
      </c>
      <c r="DI111" s="8">
        <v>17232575</v>
      </c>
      <c r="DJ111" s="8">
        <v>17296502</v>
      </c>
      <c r="DK111" s="8">
        <v>20350420</v>
      </c>
      <c r="DL111" s="8">
        <v>20605980</v>
      </c>
      <c r="DM111" s="8">
        <v>23236716</v>
      </c>
      <c r="DN111" s="8">
        <v>29141323</v>
      </c>
      <c r="DO111" s="9">
        <f t="shared" si="46"/>
        <v>29141323</v>
      </c>
      <c r="DP111" s="8">
        <v>0</v>
      </c>
      <c r="DQ111" s="8">
        <v>0</v>
      </c>
      <c r="DR111" s="8">
        <v>3138037</v>
      </c>
      <c r="DS111" s="8">
        <v>4070863</v>
      </c>
      <c r="DT111" s="8">
        <v>7015142</v>
      </c>
      <c r="DU111" s="8">
        <v>10474580</v>
      </c>
      <c r="DV111" s="8">
        <v>12694002</v>
      </c>
      <c r="DW111" s="8">
        <v>15346764</v>
      </c>
      <c r="DX111" s="8">
        <v>17789278</v>
      </c>
      <c r="DY111" s="8">
        <v>18656678</v>
      </c>
      <c r="DZ111" s="8">
        <v>20583996</v>
      </c>
      <c r="EA111" s="8">
        <v>27002928</v>
      </c>
      <c r="EB111" s="9">
        <f t="shared" si="47"/>
        <v>27002928</v>
      </c>
      <c r="EC111" s="8">
        <v>0</v>
      </c>
      <c r="ED111" s="8">
        <v>0</v>
      </c>
      <c r="EE111" s="8">
        <v>8671968</v>
      </c>
      <c r="EF111" s="8">
        <v>10129094</v>
      </c>
      <c r="EG111" s="8">
        <v>13618471</v>
      </c>
      <c r="EH111" s="8">
        <v>15812861</v>
      </c>
      <c r="EI111" s="8">
        <v>18963389</v>
      </c>
      <c r="EJ111" s="8">
        <v>33657743</v>
      </c>
      <c r="EK111" s="8">
        <v>35270334</v>
      </c>
      <c r="EL111" s="8">
        <v>36504888</v>
      </c>
      <c r="EM111" s="8">
        <v>42935974</v>
      </c>
      <c r="EN111" s="8">
        <v>46136287</v>
      </c>
      <c r="EO111" s="9">
        <f t="shared" si="48"/>
        <v>46136287</v>
      </c>
      <c r="EP111" s="8">
        <v>0</v>
      </c>
      <c r="EQ111" s="8">
        <v>32751</v>
      </c>
      <c r="ER111" s="8">
        <v>152668</v>
      </c>
      <c r="ES111" s="8">
        <v>9696654</v>
      </c>
      <c r="ET111" s="8">
        <v>12442925</v>
      </c>
      <c r="EU111" s="8">
        <v>15201758</v>
      </c>
      <c r="EV111" s="8">
        <v>17467837</v>
      </c>
      <c r="EW111" s="8">
        <v>20509799</v>
      </c>
      <c r="EX111" s="8">
        <v>24199624</v>
      </c>
      <c r="EY111" s="8">
        <v>26723133</v>
      </c>
      <c r="EZ111" s="8">
        <v>27334623</v>
      </c>
      <c r="FA111" s="8">
        <v>36682249</v>
      </c>
      <c r="FB111" s="9">
        <f t="shared" si="49"/>
        <v>36682249</v>
      </c>
      <c r="FC111" s="8">
        <v>0</v>
      </c>
      <c r="FD111" s="8">
        <v>0</v>
      </c>
      <c r="FE111" s="8">
        <v>1001786</v>
      </c>
      <c r="FF111" s="8">
        <v>1619224</v>
      </c>
      <c r="FG111" s="8">
        <v>2338453</v>
      </c>
      <c r="FH111" s="8">
        <v>2746674</v>
      </c>
      <c r="FI111" s="8">
        <v>3558099</v>
      </c>
      <c r="FJ111" s="8"/>
      <c r="FK111" s="8"/>
      <c r="FL111" s="8"/>
      <c r="FM111" s="8"/>
      <c r="FN111" s="8"/>
      <c r="FO111" s="9">
        <f t="shared" si="50"/>
        <v>3558099</v>
      </c>
    </row>
    <row r="112" spans="2:171" ht="14.25" customHeight="1" thickBot="1" x14ac:dyDescent="0.35">
      <c r="B112" s="14" t="s">
        <v>79</v>
      </c>
      <c r="C112" s="16">
        <f t="shared" ref="C112:AH112" si="51">SUM(C80:C111)</f>
        <v>0</v>
      </c>
      <c r="D112" s="16">
        <f t="shared" si="51"/>
        <v>9528305</v>
      </c>
      <c r="E112" s="16">
        <f t="shared" si="51"/>
        <v>33820190</v>
      </c>
      <c r="F112" s="16">
        <f t="shared" si="51"/>
        <v>42618999</v>
      </c>
      <c r="G112" s="16">
        <f t="shared" si="51"/>
        <v>54441027</v>
      </c>
      <c r="H112" s="16">
        <f t="shared" si="51"/>
        <v>67915882</v>
      </c>
      <c r="I112" s="16">
        <f t="shared" si="51"/>
        <v>78004734</v>
      </c>
      <c r="J112" s="16">
        <f t="shared" si="51"/>
        <v>88632670</v>
      </c>
      <c r="K112" s="16">
        <f t="shared" si="51"/>
        <v>102270711</v>
      </c>
      <c r="L112" s="16">
        <f t="shared" si="51"/>
        <v>113216765</v>
      </c>
      <c r="M112" s="16">
        <f t="shared" si="51"/>
        <v>127838922</v>
      </c>
      <c r="N112" s="16">
        <f t="shared" si="51"/>
        <v>218955649</v>
      </c>
      <c r="O112" s="16">
        <f t="shared" si="51"/>
        <v>218955649</v>
      </c>
      <c r="P112" s="16">
        <f t="shared" si="51"/>
        <v>0</v>
      </c>
      <c r="Q112" s="16">
        <f t="shared" si="51"/>
        <v>4473756</v>
      </c>
      <c r="R112" s="16">
        <f t="shared" si="51"/>
        <v>17217689</v>
      </c>
      <c r="S112" s="16">
        <f t="shared" si="51"/>
        <v>30821981</v>
      </c>
      <c r="T112" s="16">
        <f t="shared" si="51"/>
        <v>38060914</v>
      </c>
      <c r="U112" s="16">
        <f t="shared" si="51"/>
        <v>54902354</v>
      </c>
      <c r="V112" s="16">
        <f t="shared" si="51"/>
        <v>66181646</v>
      </c>
      <c r="W112" s="16">
        <f t="shared" si="51"/>
        <v>86551739</v>
      </c>
      <c r="X112" s="16">
        <f t="shared" si="51"/>
        <v>107541291</v>
      </c>
      <c r="Y112" s="16">
        <f t="shared" si="51"/>
        <v>124287523</v>
      </c>
      <c r="Z112" s="16">
        <f t="shared" si="51"/>
        <v>168721445</v>
      </c>
      <c r="AA112" s="16">
        <f t="shared" si="51"/>
        <v>337592389</v>
      </c>
      <c r="AB112" s="16">
        <f t="shared" si="51"/>
        <v>337592389</v>
      </c>
      <c r="AC112" s="16">
        <f t="shared" si="51"/>
        <v>0</v>
      </c>
      <c r="AD112" s="16">
        <f t="shared" si="51"/>
        <v>2352771</v>
      </c>
      <c r="AE112" s="16">
        <f t="shared" si="51"/>
        <v>17624538</v>
      </c>
      <c r="AF112" s="16">
        <f t="shared" si="51"/>
        <v>41001480</v>
      </c>
      <c r="AG112" s="16">
        <f t="shared" si="51"/>
        <v>62096802</v>
      </c>
      <c r="AH112" s="16">
        <f t="shared" si="51"/>
        <v>83345200</v>
      </c>
      <c r="AI112" s="16">
        <f t="shared" ref="AI112:BN112" si="52">SUM(AI80:AI111)</f>
        <v>102790722</v>
      </c>
      <c r="AJ112" s="16">
        <f t="shared" si="52"/>
        <v>130325927</v>
      </c>
      <c r="AK112" s="16">
        <f t="shared" si="52"/>
        <v>150906203</v>
      </c>
      <c r="AL112" s="16">
        <f t="shared" si="52"/>
        <v>184920108</v>
      </c>
      <c r="AM112" s="16">
        <f t="shared" si="52"/>
        <v>219988531</v>
      </c>
      <c r="AN112" s="16">
        <f t="shared" si="52"/>
        <v>304273479</v>
      </c>
      <c r="AO112" s="16">
        <f t="shared" si="52"/>
        <v>304273479</v>
      </c>
      <c r="AP112" s="16">
        <f t="shared" si="52"/>
        <v>15260</v>
      </c>
      <c r="AQ112" s="16">
        <f t="shared" si="52"/>
        <v>7642602</v>
      </c>
      <c r="AR112" s="16">
        <f t="shared" si="52"/>
        <v>28358304</v>
      </c>
      <c r="AS112" s="16">
        <f t="shared" si="52"/>
        <v>46432449</v>
      </c>
      <c r="AT112" s="16">
        <f t="shared" si="52"/>
        <v>64004186</v>
      </c>
      <c r="AU112" s="16">
        <f t="shared" si="52"/>
        <v>93053847</v>
      </c>
      <c r="AV112" s="16">
        <f t="shared" si="52"/>
        <v>125886223</v>
      </c>
      <c r="AW112" s="16">
        <f t="shared" si="52"/>
        <v>153445287</v>
      </c>
      <c r="AX112" s="16">
        <f t="shared" si="52"/>
        <v>176320379</v>
      </c>
      <c r="AY112" s="16">
        <f t="shared" si="52"/>
        <v>202501410</v>
      </c>
      <c r="AZ112" s="16">
        <f t="shared" si="52"/>
        <v>221673785</v>
      </c>
      <c r="BA112" s="16">
        <f t="shared" si="52"/>
        <v>334486909</v>
      </c>
      <c r="BB112" s="16">
        <f t="shared" si="52"/>
        <v>334486909</v>
      </c>
      <c r="BC112" s="16">
        <f t="shared" si="52"/>
        <v>0</v>
      </c>
      <c r="BD112" s="16">
        <f t="shared" si="52"/>
        <v>0</v>
      </c>
      <c r="BE112" s="16">
        <f t="shared" si="52"/>
        <v>9102188</v>
      </c>
      <c r="BF112" s="16">
        <f t="shared" si="52"/>
        <v>42683357</v>
      </c>
      <c r="BG112" s="16">
        <f t="shared" si="52"/>
        <v>65436305</v>
      </c>
      <c r="BH112" s="16">
        <f t="shared" si="52"/>
        <v>86830398</v>
      </c>
      <c r="BI112" s="16">
        <f t="shared" si="52"/>
        <v>114159661</v>
      </c>
      <c r="BJ112" s="16">
        <f t="shared" si="52"/>
        <v>137181473</v>
      </c>
      <c r="BK112" s="16">
        <f t="shared" si="52"/>
        <v>156998475</v>
      </c>
      <c r="BL112" s="16">
        <f t="shared" si="52"/>
        <v>183725079</v>
      </c>
      <c r="BM112" s="16">
        <f t="shared" si="52"/>
        <v>209815577</v>
      </c>
      <c r="BN112" s="16">
        <f t="shared" si="52"/>
        <v>271180684</v>
      </c>
      <c r="BO112" s="16">
        <f t="shared" ref="BO112:CT112" si="53">SUM(BO80:BO111)</f>
        <v>271180684</v>
      </c>
      <c r="BP112" s="16">
        <f t="shared" si="53"/>
        <v>29826000</v>
      </c>
      <c r="BQ112" s="16">
        <f t="shared" si="53"/>
        <v>37037529</v>
      </c>
      <c r="BR112" s="16">
        <f t="shared" si="53"/>
        <v>65154333</v>
      </c>
      <c r="BS112" s="16">
        <f t="shared" si="53"/>
        <v>84589195</v>
      </c>
      <c r="BT112" s="16">
        <f t="shared" si="53"/>
        <v>145519746</v>
      </c>
      <c r="BU112" s="16">
        <f t="shared" si="53"/>
        <v>171249550</v>
      </c>
      <c r="BV112" s="16">
        <f t="shared" si="53"/>
        <v>201377160</v>
      </c>
      <c r="BW112" s="16">
        <f t="shared" si="53"/>
        <v>249185907</v>
      </c>
      <c r="BX112" s="16">
        <f t="shared" si="53"/>
        <v>328575354</v>
      </c>
      <c r="BY112" s="16">
        <f t="shared" si="53"/>
        <v>363592838</v>
      </c>
      <c r="BZ112" s="16">
        <f t="shared" si="53"/>
        <v>402779862</v>
      </c>
      <c r="CA112" s="16">
        <f t="shared" si="53"/>
        <v>536054556</v>
      </c>
      <c r="CB112" s="16">
        <f t="shared" si="53"/>
        <v>536054556</v>
      </c>
      <c r="CC112" s="16">
        <f t="shared" si="53"/>
        <v>0</v>
      </c>
      <c r="CD112" s="16">
        <f t="shared" si="53"/>
        <v>11923532</v>
      </c>
      <c r="CE112" s="16">
        <f t="shared" si="53"/>
        <v>48022845</v>
      </c>
      <c r="CF112" s="16">
        <f t="shared" si="53"/>
        <v>105834124</v>
      </c>
      <c r="CG112" s="16">
        <f t="shared" si="53"/>
        <v>127301193</v>
      </c>
      <c r="CH112" s="16">
        <f t="shared" si="53"/>
        <v>160440776</v>
      </c>
      <c r="CI112" s="16">
        <f t="shared" si="53"/>
        <v>175671129</v>
      </c>
      <c r="CJ112" s="16">
        <f t="shared" si="53"/>
        <v>202507608</v>
      </c>
      <c r="CK112" s="16">
        <f t="shared" si="53"/>
        <v>253126582</v>
      </c>
      <c r="CL112" s="16">
        <f t="shared" si="53"/>
        <v>276492761</v>
      </c>
      <c r="CM112" s="16">
        <f t="shared" si="53"/>
        <v>311303367</v>
      </c>
      <c r="CN112" s="16">
        <f t="shared" si="53"/>
        <v>485312333</v>
      </c>
      <c r="CO112" s="16">
        <f t="shared" si="53"/>
        <v>485312333</v>
      </c>
      <c r="CP112" s="16">
        <f t="shared" si="53"/>
        <v>266285</v>
      </c>
      <c r="CQ112" s="16">
        <f t="shared" si="53"/>
        <v>18438682</v>
      </c>
      <c r="CR112" s="16">
        <f t="shared" si="53"/>
        <v>48040855</v>
      </c>
      <c r="CS112" s="16">
        <f t="shared" si="53"/>
        <v>77409933</v>
      </c>
      <c r="CT112" s="16">
        <f t="shared" si="53"/>
        <v>98115579</v>
      </c>
      <c r="CU112" s="16">
        <f t="shared" ref="CU112:DZ112" si="54">SUM(CU80:CU111)</f>
        <v>143226228</v>
      </c>
      <c r="CV112" s="16">
        <f t="shared" si="54"/>
        <v>179854432</v>
      </c>
      <c r="CW112" s="16">
        <f t="shared" si="54"/>
        <v>218799959</v>
      </c>
      <c r="CX112" s="16">
        <f t="shared" si="54"/>
        <v>245223718</v>
      </c>
      <c r="CY112" s="16">
        <f t="shared" si="54"/>
        <v>275346576</v>
      </c>
      <c r="CZ112" s="16">
        <f t="shared" si="54"/>
        <v>302224909</v>
      </c>
      <c r="DA112" s="16">
        <f t="shared" si="54"/>
        <v>381523766</v>
      </c>
      <c r="DB112" s="16">
        <f t="shared" si="54"/>
        <v>381523766</v>
      </c>
      <c r="DC112" s="16">
        <f t="shared" si="54"/>
        <v>2970</v>
      </c>
      <c r="DD112" s="16">
        <f t="shared" si="54"/>
        <v>3449309</v>
      </c>
      <c r="DE112" s="16">
        <f t="shared" si="54"/>
        <v>23615624</v>
      </c>
      <c r="DF112" s="16">
        <f t="shared" si="54"/>
        <v>47467737</v>
      </c>
      <c r="DG112" s="16">
        <f t="shared" si="54"/>
        <v>67637401</v>
      </c>
      <c r="DH112" s="16">
        <f t="shared" si="54"/>
        <v>90318097</v>
      </c>
      <c r="DI112" s="16">
        <f t="shared" si="54"/>
        <v>111265783</v>
      </c>
      <c r="DJ112" s="16">
        <f t="shared" si="54"/>
        <v>132734254</v>
      </c>
      <c r="DK112" s="16">
        <f t="shared" si="54"/>
        <v>160666035</v>
      </c>
      <c r="DL112" s="16">
        <f t="shared" si="54"/>
        <v>207885103</v>
      </c>
      <c r="DM112" s="16">
        <f t="shared" si="54"/>
        <v>235671601</v>
      </c>
      <c r="DN112" s="16">
        <f t="shared" si="54"/>
        <v>310829048</v>
      </c>
      <c r="DO112" s="16">
        <f t="shared" si="54"/>
        <v>310829048</v>
      </c>
      <c r="DP112" s="16">
        <f t="shared" si="54"/>
        <v>0</v>
      </c>
      <c r="DQ112" s="16">
        <f t="shared" si="54"/>
        <v>12217081</v>
      </c>
      <c r="DR112" s="16">
        <f t="shared" si="54"/>
        <v>39036872</v>
      </c>
      <c r="DS112" s="16">
        <f t="shared" si="54"/>
        <v>71078727</v>
      </c>
      <c r="DT112" s="16">
        <f t="shared" si="54"/>
        <v>97454677</v>
      </c>
      <c r="DU112" s="16">
        <f t="shared" si="54"/>
        <v>129684544</v>
      </c>
      <c r="DV112" s="16">
        <f t="shared" si="54"/>
        <v>171477880</v>
      </c>
      <c r="DW112" s="16">
        <f t="shared" si="54"/>
        <v>198346080</v>
      </c>
      <c r="DX112" s="16">
        <f t="shared" si="54"/>
        <v>231632944</v>
      </c>
      <c r="DY112" s="16">
        <f t="shared" si="54"/>
        <v>260057267</v>
      </c>
      <c r="DZ112" s="16">
        <f t="shared" si="54"/>
        <v>294782820</v>
      </c>
      <c r="EA112" s="16">
        <f t="shared" ref="EA112:FF112" si="55">SUM(EA80:EA111)</f>
        <v>400299684</v>
      </c>
      <c r="EB112" s="16">
        <f t="shared" si="55"/>
        <v>400299684</v>
      </c>
      <c r="EC112" s="16">
        <f t="shared" si="55"/>
        <v>23577</v>
      </c>
      <c r="ED112" s="16">
        <f t="shared" si="55"/>
        <v>7433330</v>
      </c>
      <c r="EE112" s="16">
        <f t="shared" si="55"/>
        <v>53429825</v>
      </c>
      <c r="EF112" s="16">
        <f t="shared" si="55"/>
        <v>86758949</v>
      </c>
      <c r="EG112" s="16">
        <f t="shared" si="55"/>
        <v>115734503</v>
      </c>
      <c r="EH112" s="16">
        <f t="shared" si="55"/>
        <v>158685345</v>
      </c>
      <c r="EI112" s="16">
        <f t="shared" si="55"/>
        <v>216580923</v>
      </c>
      <c r="EJ112" s="16">
        <f t="shared" si="55"/>
        <v>299877305</v>
      </c>
      <c r="EK112" s="16">
        <f t="shared" si="55"/>
        <v>346016464</v>
      </c>
      <c r="EL112" s="16">
        <f t="shared" si="55"/>
        <v>384981200</v>
      </c>
      <c r="EM112" s="16">
        <f t="shared" si="55"/>
        <v>428721839</v>
      </c>
      <c r="EN112" s="16">
        <f t="shared" si="55"/>
        <v>540455723</v>
      </c>
      <c r="EO112" s="16">
        <f t="shared" si="55"/>
        <v>540455723</v>
      </c>
      <c r="EP112" s="16">
        <f t="shared" si="55"/>
        <v>0</v>
      </c>
      <c r="EQ112" s="16">
        <f t="shared" si="55"/>
        <v>10666711</v>
      </c>
      <c r="ER112" s="16">
        <f t="shared" si="55"/>
        <v>71586519</v>
      </c>
      <c r="ES112" s="16">
        <f t="shared" si="55"/>
        <v>121100365</v>
      </c>
      <c r="ET112" s="16">
        <f t="shared" si="55"/>
        <v>161787698</v>
      </c>
      <c r="EU112" s="16">
        <f t="shared" si="55"/>
        <v>212689996</v>
      </c>
      <c r="EV112" s="16">
        <f t="shared" si="55"/>
        <v>244526170</v>
      </c>
      <c r="EW112" s="16">
        <f t="shared" si="55"/>
        <v>284801973</v>
      </c>
      <c r="EX112" s="16">
        <f t="shared" si="55"/>
        <v>334858815</v>
      </c>
      <c r="EY112" s="16">
        <f t="shared" si="55"/>
        <v>372485102</v>
      </c>
      <c r="EZ112" s="16">
        <f t="shared" si="55"/>
        <v>402883459</v>
      </c>
      <c r="FA112" s="16">
        <f t="shared" si="55"/>
        <v>509326562</v>
      </c>
      <c r="FB112" s="16">
        <f t="shared" si="55"/>
        <v>509326562</v>
      </c>
      <c r="FC112" s="16">
        <f t="shared" si="55"/>
        <v>3225429</v>
      </c>
      <c r="FD112" s="16">
        <f t="shared" si="55"/>
        <v>10930983</v>
      </c>
      <c r="FE112" s="16">
        <f t="shared" si="55"/>
        <v>57433501</v>
      </c>
      <c r="FF112" s="16">
        <f t="shared" si="55"/>
        <v>94557901</v>
      </c>
      <c r="FG112" s="16">
        <f t="shared" ref="FG112:GL112" si="56">SUM(FG80:FG111)</f>
        <v>120291873</v>
      </c>
      <c r="FH112" s="16">
        <f t="shared" si="56"/>
        <v>153774486</v>
      </c>
      <c r="FI112" s="16">
        <f t="shared" si="56"/>
        <v>186272538</v>
      </c>
      <c r="FJ112" s="16">
        <f t="shared" si="56"/>
        <v>0</v>
      </c>
      <c r="FK112" s="16">
        <f t="shared" si="56"/>
        <v>0</v>
      </c>
      <c r="FL112" s="16">
        <f t="shared" si="56"/>
        <v>0</v>
      </c>
      <c r="FM112" s="16">
        <f t="shared" si="56"/>
        <v>0</v>
      </c>
      <c r="FN112" s="16">
        <f t="shared" si="56"/>
        <v>0</v>
      </c>
      <c r="FO112" s="16">
        <f t="shared" si="56"/>
        <v>186272538</v>
      </c>
    </row>
    <row r="113" spans="2:171" ht="14.25" customHeight="1" x14ac:dyDescent="0.3"/>
    <row r="114" spans="2:171" ht="14.25" customHeight="1" x14ac:dyDescent="0.3"/>
    <row r="115" spans="2:171" ht="14.25" customHeight="1" x14ac:dyDescent="0.35">
      <c r="B115" s="3" t="s">
        <v>80</v>
      </c>
    </row>
    <row r="116" spans="2:171" ht="14.25" customHeight="1" x14ac:dyDescent="0.3">
      <c r="B116" s="4" t="s">
        <v>81</v>
      </c>
    </row>
    <row r="117" spans="2:171" ht="14.25" customHeight="1" x14ac:dyDescent="0.3">
      <c r="C117" s="38" t="s">
        <v>4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8" t="s">
        <v>5</v>
      </c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8" t="s">
        <v>6</v>
      </c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8" t="s">
        <v>7</v>
      </c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8" t="s">
        <v>8</v>
      </c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8" t="s">
        <v>9</v>
      </c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8" t="s">
        <v>10</v>
      </c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8" t="s">
        <v>11</v>
      </c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8" t="s">
        <v>12</v>
      </c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8" t="s">
        <v>13</v>
      </c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8" t="s">
        <v>14</v>
      </c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8" t="s">
        <v>15</v>
      </c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8" t="s">
        <v>16</v>
      </c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</row>
    <row r="118" spans="2:171" ht="14.25" customHeight="1" x14ac:dyDescent="0.3">
      <c r="B118" s="5" t="s">
        <v>17</v>
      </c>
      <c r="C118" s="6" t="s">
        <v>18</v>
      </c>
      <c r="D118" s="6" t="s">
        <v>19</v>
      </c>
      <c r="E118" s="6" t="s">
        <v>20</v>
      </c>
      <c r="F118" s="6" t="s">
        <v>21</v>
      </c>
      <c r="G118" s="6" t="s">
        <v>22</v>
      </c>
      <c r="H118" s="6" t="s">
        <v>23</v>
      </c>
      <c r="I118" s="6" t="s">
        <v>24</v>
      </c>
      <c r="J118" s="6" t="s">
        <v>25</v>
      </c>
      <c r="K118" s="6" t="s">
        <v>26</v>
      </c>
      <c r="L118" s="6" t="s">
        <v>27</v>
      </c>
      <c r="M118" s="6" t="s">
        <v>28</v>
      </c>
      <c r="N118" s="6" t="s">
        <v>29</v>
      </c>
      <c r="O118" s="6" t="s">
        <v>30</v>
      </c>
      <c r="P118" s="6" t="s">
        <v>18</v>
      </c>
      <c r="Q118" s="6" t="s">
        <v>19</v>
      </c>
      <c r="R118" s="6" t="s">
        <v>20</v>
      </c>
      <c r="S118" s="6" t="s">
        <v>21</v>
      </c>
      <c r="T118" s="6" t="s">
        <v>22</v>
      </c>
      <c r="U118" s="6" t="s">
        <v>23</v>
      </c>
      <c r="V118" s="6" t="s">
        <v>24</v>
      </c>
      <c r="W118" s="6" t="s">
        <v>25</v>
      </c>
      <c r="X118" s="6" t="s">
        <v>26</v>
      </c>
      <c r="Y118" s="6" t="s">
        <v>27</v>
      </c>
      <c r="Z118" s="6" t="s">
        <v>28</v>
      </c>
      <c r="AA118" s="6" t="s">
        <v>29</v>
      </c>
      <c r="AB118" s="6" t="s">
        <v>31</v>
      </c>
      <c r="AC118" s="6" t="s">
        <v>18</v>
      </c>
      <c r="AD118" s="6" t="s">
        <v>19</v>
      </c>
      <c r="AE118" s="6" t="s">
        <v>20</v>
      </c>
      <c r="AF118" s="6" t="s">
        <v>21</v>
      </c>
      <c r="AG118" s="6" t="s">
        <v>22</v>
      </c>
      <c r="AH118" s="6" t="s">
        <v>23</v>
      </c>
      <c r="AI118" s="6" t="s">
        <v>24</v>
      </c>
      <c r="AJ118" s="6" t="s">
        <v>25</v>
      </c>
      <c r="AK118" s="6" t="s">
        <v>26</v>
      </c>
      <c r="AL118" s="6" t="s">
        <v>27</v>
      </c>
      <c r="AM118" s="6" t="s">
        <v>28</v>
      </c>
      <c r="AN118" s="6" t="s">
        <v>29</v>
      </c>
      <c r="AO118" s="6" t="s">
        <v>32</v>
      </c>
      <c r="AP118" s="6" t="s">
        <v>18</v>
      </c>
      <c r="AQ118" s="6" t="s">
        <v>19</v>
      </c>
      <c r="AR118" s="6" t="s">
        <v>20</v>
      </c>
      <c r="AS118" s="6" t="s">
        <v>21</v>
      </c>
      <c r="AT118" s="6" t="s">
        <v>22</v>
      </c>
      <c r="AU118" s="6" t="s">
        <v>23</v>
      </c>
      <c r="AV118" s="6" t="s">
        <v>24</v>
      </c>
      <c r="AW118" s="6" t="s">
        <v>25</v>
      </c>
      <c r="AX118" s="6" t="s">
        <v>26</v>
      </c>
      <c r="AY118" s="6" t="s">
        <v>27</v>
      </c>
      <c r="AZ118" s="6" t="s">
        <v>28</v>
      </c>
      <c r="BA118" s="6" t="s">
        <v>29</v>
      </c>
      <c r="BB118" s="6" t="s">
        <v>33</v>
      </c>
      <c r="BC118" s="6" t="s">
        <v>18</v>
      </c>
      <c r="BD118" s="6" t="s">
        <v>19</v>
      </c>
      <c r="BE118" s="6" t="s">
        <v>20</v>
      </c>
      <c r="BF118" s="6" t="s">
        <v>21</v>
      </c>
      <c r="BG118" s="6" t="s">
        <v>22</v>
      </c>
      <c r="BH118" s="6" t="s">
        <v>23</v>
      </c>
      <c r="BI118" s="6" t="s">
        <v>24</v>
      </c>
      <c r="BJ118" s="6" t="s">
        <v>25</v>
      </c>
      <c r="BK118" s="6" t="s">
        <v>26</v>
      </c>
      <c r="BL118" s="6" t="s">
        <v>27</v>
      </c>
      <c r="BM118" s="6" t="s">
        <v>28</v>
      </c>
      <c r="BN118" s="6" t="s">
        <v>29</v>
      </c>
      <c r="BO118" s="6" t="s">
        <v>34</v>
      </c>
      <c r="BP118" s="6" t="s">
        <v>18</v>
      </c>
      <c r="BQ118" s="6" t="s">
        <v>19</v>
      </c>
      <c r="BR118" s="6" t="s">
        <v>20</v>
      </c>
      <c r="BS118" s="6" t="s">
        <v>21</v>
      </c>
      <c r="BT118" s="6" t="s">
        <v>22</v>
      </c>
      <c r="BU118" s="6" t="s">
        <v>23</v>
      </c>
      <c r="BV118" s="6" t="s">
        <v>24</v>
      </c>
      <c r="BW118" s="6" t="s">
        <v>25</v>
      </c>
      <c r="BX118" s="6" t="s">
        <v>26</v>
      </c>
      <c r="BY118" s="6" t="s">
        <v>27</v>
      </c>
      <c r="BZ118" s="6" t="s">
        <v>28</v>
      </c>
      <c r="CA118" s="6" t="s">
        <v>29</v>
      </c>
      <c r="CB118" s="6" t="s">
        <v>35</v>
      </c>
      <c r="CC118" s="6" t="s">
        <v>18</v>
      </c>
      <c r="CD118" s="6" t="s">
        <v>19</v>
      </c>
      <c r="CE118" s="6" t="s">
        <v>20</v>
      </c>
      <c r="CF118" s="6" t="s">
        <v>21</v>
      </c>
      <c r="CG118" s="6" t="s">
        <v>22</v>
      </c>
      <c r="CH118" s="6" t="s">
        <v>23</v>
      </c>
      <c r="CI118" s="6" t="s">
        <v>24</v>
      </c>
      <c r="CJ118" s="6" t="s">
        <v>25</v>
      </c>
      <c r="CK118" s="6" t="s">
        <v>26</v>
      </c>
      <c r="CL118" s="6" t="s">
        <v>27</v>
      </c>
      <c r="CM118" s="6" t="s">
        <v>28</v>
      </c>
      <c r="CN118" s="6" t="s">
        <v>29</v>
      </c>
      <c r="CO118" s="6" t="s">
        <v>36</v>
      </c>
      <c r="CP118" s="6" t="s">
        <v>18</v>
      </c>
      <c r="CQ118" s="6" t="s">
        <v>19</v>
      </c>
      <c r="CR118" s="6" t="s">
        <v>20</v>
      </c>
      <c r="CS118" s="6" t="s">
        <v>21</v>
      </c>
      <c r="CT118" s="6" t="s">
        <v>22</v>
      </c>
      <c r="CU118" s="6" t="s">
        <v>23</v>
      </c>
      <c r="CV118" s="6" t="s">
        <v>24</v>
      </c>
      <c r="CW118" s="6" t="s">
        <v>25</v>
      </c>
      <c r="CX118" s="6" t="s">
        <v>26</v>
      </c>
      <c r="CY118" s="6" t="s">
        <v>27</v>
      </c>
      <c r="CZ118" s="6" t="s">
        <v>28</v>
      </c>
      <c r="DA118" s="6" t="s">
        <v>29</v>
      </c>
      <c r="DB118" s="6" t="s">
        <v>37</v>
      </c>
      <c r="DC118" s="6" t="s">
        <v>18</v>
      </c>
      <c r="DD118" s="6" t="s">
        <v>19</v>
      </c>
      <c r="DE118" s="6" t="s">
        <v>20</v>
      </c>
      <c r="DF118" s="6" t="s">
        <v>21</v>
      </c>
      <c r="DG118" s="6" t="s">
        <v>22</v>
      </c>
      <c r="DH118" s="6" t="s">
        <v>23</v>
      </c>
      <c r="DI118" s="6" t="s">
        <v>24</v>
      </c>
      <c r="DJ118" s="6" t="s">
        <v>25</v>
      </c>
      <c r="DK118" s="6" t="s">
        <v>26</v>
      </c>
      <c r="DL118" s="6" t="s">
        <v>27</v>
      </c>
      <c r="DM118" s="6" t="s">
        <v>28</v>
      </c>
      <c r="DN118" s="6" t="s">
        <v>29</v>
      </c>
      <c r="DO118" s="6" t="s">
        <v>38</v>
      </c>
      <c r="DP118" s="6" t="s">
        <v>18</v>
      </c>
      <c r="DQ118" s="6" t="s">
        <v>19</v>
      </c>
      <c r="DR118" s="6" t="s">
        <v>20</v>
      </c>
      <c r="DS118" s="6" t="s">
        <v>21</v>
      </c>
      <c r="DT118" s="6" t="s">
        <v>22</v>
      </c>
      <c r="DU118" s="6" t="s">
        <v>23</v>
      </c>
      <c r="DV118" s="6" t="s">
        <v>24</v>
      </c>
      <c r="DW118" s="6" t="s">
        <v>25</v>
      </c>
      <c r="DX118" s="6" t="s">
        <v>26</v>
      </c>
      <c r="DY118" s="6" t="s">
        <v>27</v>
      </c>
      <c r="DZ118" s="6" t="s">
        <v>28</v>
      </c>
      <c r="EA118" s="6" t="s">
        <v>29</v>
      </c>
      <c r="EB118" s="6" t="s">
        <v>39</v>
      </c>
      <c r="EC118" s="6" t="s">
        <v>18</v>
      </c>
      <c r="ED118" s="6" t="s">
        <v>19</v>
      </c>
      <c r="EE118" s="6" t="s">
        <v>20</v>
      </c>
      <c r="EF118" s="6" t="s">
        <v>21</v>
      </c>
      <c r="EG118" s="6" t="s">
        <v>22</v>
      </c>
      <c r="EH118" s="6" t="s">
        <v>23</v>
      </c>
      <c r="EI118" s="6" t="s">
        <v>24</v>
      </c>
      <c r="EJ118" s="6" t="s">
        <v>25</v>
      </c>
      <c r="EK118" s="6" t="s">
        <v>26</v>
      </c>
      <c r="EL118" s="6" t="s">
        <v>27</v>
      </c>
      <c r="EM118" s="6" t="s">
        <v>28</v>
      </c>
      <c r="EN118" s="6" t="s">
        <v>29</v>
      </c>
      <c r="EO118" s="6" t="s">
        <v>40</v>
      </c>
      <c r="EP118" s="6" t="s">
        <v>18</v>
      </c>
      <c r="EQ118" s="6" t="s">
        <v>19</v>
      </c>
      <c r="ER118" s="6" t="s">
        <v>20</v>
      </c>
      <c r="ES118" s="6" t="s">
        <v>21</v>
      </c>
      <c r="ET118" s="6" t="s">
        <v>22</v>
      </c>
      <c r="EU118" s="6" t="s">
        <v>23</v>
      </c>
      <c r="EV118" s="6" t="s">
        <v>24</v>
      </c>
      <c r="EW118" s="6" t="s">
        <v>25</v>
      </c>
      <c r="EX118" s="6" t="s">
        <v>26</v>
      </c>
      <c r="EY118" s="6" t="s">
        <v>27</v>
      </c>
      <c r="EZ118" s="6" t="s">
        <v>28</v>
      </c>
      <c r="FA118" s="6" t="s">
        <v>29</v>
      </c>
      <c r="FB118" s="6" t="s">
        <v>41</v>
      </c>
      <c r="FC118" s="6" t="s">
        <v>18</v>
      </c>
      <c r="FD118" s="6" t="s">
        <v>19</v>
      </c>
      <c r="FE118" s="6" t="s">
        <v>20</v>
      </c>
      <c r="FF118" s="6" t="s">
        <v>21</v>
      </c>
      <c r="FG118" s="6" t="s">
        <v>22</v>
      </c>
      <c r="FH118" s="6" t="s">
        <v>23</v>
      </c>
      <c r="FI118" s="6" t="s">
        <v>24</v>
      </c>
      <c r="FJ118" s="6" t="s">
        <v>25</v>
      </c>
      <c r="FK118" s="6" t="s">
        <v>26</v>
      </c>
      <c r="FL118" s="6" t="s">
        <v>27</v>
      </c>
      <c r="FM118" s="6" t="s">
        <v>28</v>
      </c>
      <c r="FN118" s="6" t="s">
        <v>29</v>
      </c>
      <c r="FO118" s="6" t="s">
        <v>42</v>
      </c>
    </row>
    <row r="119" spans="2:171" ht="14.25" customHeight="1" x14ac:dyDescent="0.3">
      <c r="B119" s="7" t="s">
        <v>43</v>
      </c>
      <c r="C119" s="8">
        <v>2783719</v>
      </c>
      <c r="D119" s="8">
        <v>2783719</v>
      </c>
      <c r="E119" s="8">
        <v>2783719</v>
      </c>
      <c r="F119" s="8">
        <v>2783719</v>
      </c>
      <c r="G119" s="8">
        <v>2783719</v>
      </c>
      <c r="H119" s="8">
        <v>2783719</v>
      </c>
      <c r="I119" s="8">
        <v>2783719</v>
      </c>
      <c r="J119" s="8">
        <v>2783719</v>
      </c>
      <c r="K119" s="8">
        <v>2783719</v>
      </c>
      <c r="L119" s="8">
        <v>2783719</v>
      </c>
      <c r="M119" s="8">
        <v>2783719</v>
      </c>
      <c r="N119" s="8">
        <v>2783719</v>
      </c>
      <c r="O119" s="9">
        <f t="shared" ref="O119:O150" si="57">N119</f>
        <v>2783719</v>
      </c>
      <c r="P119" s="8">
        <v>1773229</v>
      </c>
      <c r="Q119" s="8">
        <v>1773229</v>
      </c>
      <c r="R119" s="8">
        <v>1773229</v>
      </c>
      <c r="S119" s="8">
        <v>1773229</v>
      </c>
      <c r="T119" s="8">
        <v>1773229</v>
      </c>
      <c r="U119" s="8">
        <v>1773229</v>
      </c>
      <c r="V119" s="8">
        <v>1773229</v>
      </c>
      <c r="W119" s="8">
        <v>1773229</v>
      </c>
      <c r="X119" s="8">
        <v>1773229</v>
      </c>
      <c r="Y119" s="8">
        <v>1773229</v>
      </c>
      <c r="Z119" s="8">
        <v>1773229</v>
      </c>
      <c r="AA119" s="8">
        <v>1773229</v>
      </c>
      <c r="AB119" s="9">
        <f t="shared" ref="AB119:AB150" si="58">AA119</f>
        <v>1773229</v>
      </c>
      <c r="AC119" s="8">
        <v>2883073</v>
      </c>
      <c r="AD119" s="8">
        <v>2883073</v>
      </c>
      <c r="AE119" s="8">
        <v>2883073</v>
      </c>
      <c r="AF119" s="8">
        <v>2883073</v>
      </c>
      <c r="AG119" s="8">
        <v>2883073</v>
      </c>
      <c r="AH119" s="8">
        <v>2883073</v>
      </c>
      <c r="AI119" s="8">
        <v>2883073</v>
      </c>
      <c r="AJ119" s="8">
        <v>2883073</v>
      </c>
      <c r="AK119" s="8">
        <v>2883073</v>
      </c>
      <c r="AL119" s="8">
        <v>2883073</v>
      </c>
      <c r="AM119" s="8">
        <v>2883073</v>
      </c>
      <c r="AN119" s="8">
        <v>2883073</v>
      </c>
      <c r="AO119" s="9">
        <f t="shared" ref="AO119:AO150" si="59">AN119</f>
        <v>2883073</v>
      </c>
      <c r="AP119" s="8">
        <v>2166982</v>
      </c>
      <c r="AQ119" s="8">
        <v>2166982</v>
      </c>
      <c r="AR119" s="8">
        <v>2166982</v>
      </c>
      <c r="AS119" s="8">
        <v>2166982</v>
      </c>
      <c r="AT119" s="8">
        <v>2166982</v>
      </c>
      <c r="AU119" s="8">
        <v>2166982</v>
      </c>
      <c r="AV119" s="8">
        <v>2166982</v>
      </c>
      <c r="AW119" s="8">
        <v>2166982</v>
      </c>
      <c r="AX119" s="8">
        <v>2166982</v>
      </c>
      <c r="AY119" s="8">
        <v>2166982</v>
      </c>
      <c r="AZ119" s="8">
        <v>2166982</v>
      </c>
      <c r="BA119" s="8">
        <v>2166982</v>
      </c>
      <c r="BB119" s="9">
        <f t="shared" ref="BB119:BB150" si="60">BA119</f>
        <v>2166982</v>
      </c>
      <c r="BC119" s="8">
        <v>2101547</v>
      </c>
      <c r="BD119" s="8">
        <v>2101547</v>
      </c>
      <c r="BE119" s="8">
        <v>2101547</v>
      </c>
      <c r="BF119" s="8">
        <v>2101547</v>
      </c>
      <c r="BG119" s="8">
        <v>2101547</v>
      </c>
      <c r="BH119" s="8">
        <v>2101547</v>
      </c>
      <c r="BI119" s="8">
        <v>2101547</v>
      </c>
      <c r="BJ119" s="8">
        <v>2101547</v>
      </c>
      <c r="BK119" s="8">
        <v>2101547</v>
      </c>
      <c r="BL119" s="8">
        <v>2101547</v>
      </c>
      <c r="BM119" s="8">
        <v>2101547</v>
      </c>
      <c r="BN119" s="8">
        <v>2101547</v>
      </c>
      <c r="BO119" s="9">
        <f t="shared" ref="BO119:BO150" si="61">BN119</f>
        <v>2101547</v>
      </c>
      <c r="BP119" s="8">
        <v>423742</v>
      </c>
      <c r="BQ119" s="8">
        <v>423742</v>
      </c>
      <c r="BR119" s="8">
        <v>423742</v>
      </c>
      <c r="BS119" s="8">
        <v>423742</v>
      </c>
      <c r="BT119" s="8">
        <v>423742</v>
      </c>
      <c r="BU119" s="8">
        <v>423742</v>
      </c>
      <c r="BV119" s="8">
        <v>423742</v>
      </c>
      <c r="BW119" s="8">
        <v>423742</v>
      </c>
      <c r="BX119" s="8">
        <v>423742</v>
      </c>
      <c r="BY119" s="8">
        <v>423742</v>
      </c>
      <c r="BZ119" s="8">
        <v>423742</v>
      </c>
      <c r="CA119" s="8">
        <v>423742</v>
      </c>
      <c r="CB119" s="9">
        <f t="shared" ref="CB119:CB150" si="62">CA119</f>
        <v>423742</v>
      </c>
      <c r="CC119" s="8">
        <v>1120574</v>
      </c>
      <c r="CD119" s="8">
        <v>1120574</v>
      </c>
      <c r="CE119" s="8">
        <v>1120574</v>
      </c>
      <c r="CF119" s="8">
        <v>1120574</v>
      </c>
      <c r="CG119" s="8">
        <v>1120574</v>
      </c>
      <c r="CH119" s="8">
        <v>1120574</v>
      </c>
      <c r="CI119" s="8">
        <v>1120574</v>
      </c>
      <c r="CJ119" s="8">
        <v>1120574</v>
      </c>
      <c r="CK119" s="8">
        <v>1120574</v>
      </c>
      <c r="CL119" s="8">
        <v>1120574</v>
      </c>
      <c r="CM119" s="8">
        <v>1120574</v>
      </c>
      <c r="CN119" s="8">
        <v>1120574</v>
      </c>
      <c r="CO119" s="9">
        <f t="shared" ref="CO119:CO150" si="63">CN119</f>
        <v>1120574</v>
      </c>
      <c r="CP119" s="8">
        <v>591755</v>
      </c>
      <c r="CQ119" s="8">
        <v>591755</v>
      </c>
      <c r="CR119" s="8">
        <v>591755</v>
      </c>
      <c r="CS119" s="8">
        <v>591755</v>
      </c>
      <c r="CT119" s="8">
        <v>591755</v>
      </c>
      <c r="CU119" s="8">
        <v>591755</v>
      </c>
      <c r="CV119" s="8">
        <v>591755</v>
      </c>
      <c r="CW119" s="8">
        <v>591755</v>
      </c>
      <c r="CX119" s="8">
        <v>591755</v>
      </c>
      <c r="CY119" s="8">
        <v>591755</v>
      </c>
      <c r="CZ119" s="8">
        <v>591755</v>
      </c>
      <c r="DA119" s="8">
        <v>591755</v>
      </c>
      <c r="DB119" s="9">
        <f t="shared" ref="DB119:DB150" si="64">DA119</f>
        <v>591755</v>
      </c>
      <c r="DC119" s="8">
        <v>357119</v>
      </c>
      <c r="DD119" s="8">
        <v>357119</v>
      </c>
      <c r="DE119" s="8">
        <v>357119</v>
      </c>
      <c r="DF119" s="8">
        <v>357119</v>
      </c>
      <c r="DG119" s="8">
        <v>357119</v>
      </c>
      <c r="DH119" s="8">
        <v>357119</v>
      </c>
      <c r="DI119" s="8">
        <v>357119</v>
      </c>
      <c r="DJ119" s="8">
        <v>357119</v>
      </c>
      <c r="DK119" s="8">
        <v>357119</v>
      </c>
      <c r="DL119" s="8">
        <v>357119</v>
      </c>
      <c r="DM119" s="8">
        <v>357119</v>
      </c>
      <c r="DN119" s="8">
        <v>357119</v>
      </c>
      <c r="DO119" s="9">
        <f t="shared" ref="DO119:DO150" si="65">DN119</f>
        <v>357119</v>
      </c>
      <c r="DP119" s="8">
        <v>1836870</v>
      </c>
      <c r="DQ119" s="8">
        <v>1836870</v>
      </c>
      <c r="DR119" s="8">
        <v>1836870</v>
      </c>
      <c r="DS119" s="8">
        <v>1836870</v>
      </c>
      <c r="DT119" s="8">
        <v>1836870</v>
      </c>
      <c r="DU119" s="8">
        <v>1836870</v>
      </c>
      <c r="DV119" s="8">
        <v>1836870</v>
      </c>
      <c r="DW119" s="8">
        <v>1836870</v>
      </c>
      <c r="DX119" s="8">
        <v>1836870</v>
      </c>
      <c r="DY119" s="8">
        <v>1836870</v>
      </c>
      <c r="DZ119" s="8">
        <v>1836870</v>
      </c>
      <c r="EA119" s="8">
        <v>1836870</v>
      </c>
      <c r="EB119" s="9">
        <f t="shared" ref="EB119:EB150" si="66">EA119</f>
        <v>1836870</v>
      </c>
      <c r="EC119" s="8">
        <v>1306612</v>
      </c>
      <c r="ED119" s="8">
        <v>1306612</v>
      </c>
      <c r="EE119" s="8">
        <v>1306612</v>
      </c>
      <c r="EF119" s="8">
        <v>1306612</v>
      </c>
      <c r="EG119" s="8">
        <v>1306612</v>
      </c>
      <c r="EH119" s="8">
        <v>1306612</v>
      </c>
      <c r="EI119" s="8">
        <v>1306612</v>
      </c>
      <c r="EJ119" s="8">
        <v>1306612</v>
      </c>
      <c r="EK119" s="8">
        <v>1306612</v>
      </c>
      <c r="EL119" s="8">
        <v>1306612</v>
      </c>
      <c r="EM119" s="8">
        <v>1306612</v>
      </c>
      <c r="EN119" s="8">
        <v>1306612</v>
      </c>
      <c r="EO119" s="9">
        <f t="shared" ref="EO119:EO150" si="67">EN119</f>
        <v>1306612</v>
      </c>
      <c r="EP119" s="8">
        <v>2331468</v>
      </c>
      <c r="EQ119" s="8">
        <v>2331468</v>
      </c>
      <c r="ER119" s="8">
        <v>2331468</v>
      </c>
      <c r="ES119" s="8">
        <v>2331468</v>
      </c>
      <c r="ET119" s="8">
        <v>2331468</v>
      </c>
      <c r="EU119" s="8">
        <v>2331468</v>
      </c>
      <c r="EV119" s="8">
        <v>2331468</v>
      </c>
      <c r="EW119" s="8">
        <v>2331468</v>
      </c>
      <c r="EX119" s="8">
        <v>2331468</v>
      </c>
      <c r="EY119" s="8">
        <v>2331468</v>
      </c>
      <c r="EZ119" s="8">
        <v>2331468</v>
      </c>
      <c r="FA119" s="8">
        <v>2331468</v>
      </c>
      <c r="FB119" s="9">
        <f t="shared" ref="FB119:FB150" si="68">FA119</f>
        <v>2331468</v>
      </c>
      <c r="FC119" s="8">
        <v>1538024</v>
      </c>
      <c r="FD119" s="8">
        <v>1538024</v>
      </c>
      <c r="FE119" s="8">
        <v>1538024</v>
      </c>
      <c r="FF119" s="8">
        <v>1538024</v>
      </c>
      <c r="FG119" s="8">
        <v>1538024</v>
      </c>
      <c r="FH119" s="8">
        <v>1538024</v>
      </c>
      <c r="FI119" s="8">
        <v>1538024</v>
      </c>
      <c r="FJ119" s="8"/>
      <c r="FK119" s="8"/>
      <c r="FL119" s="8"/>
      <c r="FM119" s="8"/>
      <c r="FN119" s="8"/>
      <c r="FO119" s="9">
        <f t="shared" ref="FO119:FO150" si="69">FI119</f>
        <v>1538024</v>
      </c>
    </row>
    <row r="120" spans="2:171" ht="14.25" customHeight="1" x14ac:dyDescent="0.3">
      <c r="B120" s="7" t="s">
        <v>44</v>
      </c>
      <c r="C120" s="8">
        <v>5390419</v>
      </c>
      <c r="D120" s="8">
        <v>5390419</v>
      </c>
      <c r="E120" s="8">
        <v>5390419</v>
      </c>
      <c r="F120" s="8">
        <v>5390419</v>
      </c>
      <c r="G120" s="8">
        <v>5390419</v>
      </c>
      <c r="H120" s="8">
        <v>5390419</v>
      </c>
      <c r="I120" s="8">
        <v>5390419</v>
      </c>
      <c r="J120" s="8">
        <v>5390419</v>
      </c>
      <c r="K120" s="8">
        <v>5390419</v>
      </c>
      <c r="L120" s="8">
        <v>5390419</v>
      </c>
      <c r="M120" s="8">
        <v>5390419</v>
      </c>
      <c r="N120" s="8">
        <v>5390419</v>
      </c>
      <c r="O120" s="9">
        <f t="shared" si="57"/>
        <v>5390419</v>
      </c>
      <c r="P120" s="8">
        <v>8769976</v>
      </c>
      <c r="Q120" s="8">
        <v>8769976</v>
      </c>
      <c r="R120" s="8">
        <v>8769976</v>
      </c>
      <c r="S120" s="8">
        <v>8769976</v>
      </c>
      <c r="T120" s="8">
        <v>8769976</v>
      </c>
      <c r="U120" s="8">
        <v>8769976</v>
      </c>
      <c r="V120" s="8">
        <v>8769976</v>
      </c>
      <c r="W120" s="8">
        <v>8769976</v>
      </c>
      <c r="X120" s="8">
        <v>8769976</v>
      </c>
      <c r="Y120" s="8">
        <v>8769976</v>
      </c>
      <c r="Z120" s="8">
        <v>8769976</v>
      </c>
      <c r="AA120" s="8">
        <v>8769976</v>
      </c>
      <c r="AB120" s="9">
        <f t="shared" si="58"/>
        <v>8769976</v>
      </c>
      <c r="AC120" s="8">
        <v>6200127</v>
      </c>
      <c r="AD120" s="8">
        <v>6200127</v>
      </c>
      <c r="AE120" s="8">
        <v>6200127</v>
      </c>
      <c r="AF120" s="8">
        <v>6200127</v>
      </c>
      <c r="AG120" s="8">
        <v>6200127</v>
      </c>
      <c r="AH120" s="8">
        <v>6200127</v>
      </c>
      <c r="AI120" s="8">
        <v>6200127</v>
      </c>
      <c r="AJ120" s="8">
        <v>6200127</v>
      </c>
      <c r="AK120" s="8">
        <v>6200127</v>
      </c>
      <c r="AL120" s="8">
        <v>6200127</v>
      </c>
      <c r="AM120" s="8">
        <v>6200127</v>
      </c>
      <c r="AN120" s="8">
        <v>6200127</v>
      </c>
      <c r="AO120" s="9">
        <f t="shared" si="59"/>
        <v>6200127</v>
      </c>
      <c r="AP120" s="8">
        <v>9626144</v>
      </c>
      <c r="AQ120" s="8">
        <v>9626144</v>
      </c>
      <c r="AR120" s="8">
        <v>9626144</v>
      </c>
      <c r="AS120" s="8">
        <v>9626144</v>
      </c>
      <c r="AT120" s="8">
        <v>9626144</v>
      </c>
      <c r="AU120" s="8">
        <v>9626144</v>
      </c>
      <c r="AV120" s="8">
        <v>9626144</v>
      </c>
      <c r="AW120" s="8">
        <v>9626144</v>
      </c>
      <c r="AX120" s="8">
        <v>9626144</v>
      </c>
      <c r="AY120" s="8">
        <v>9626144</v>
      </c>
      <c r="AZ120" s="8">
        <v>9626144</v>
      </c>
      <c r="BA120" s="8">
        <v>9626144</v>
      </c>
      <c r="BB120" s="9">
        <f t="shared" si="60"/>
        <v>9626144</v>
      </c>
      <c r="BC120" s="8">
        <v>16225714</v>
      </c>
      <c r="BD120" s="8">
        <v>16225714</v>
      </c>
      <c r="BE120" s="8">
        <v>16225714</v>
      </c>
      <c r="BF120" s="8">
        <v>16225714</v>
      </c>
      <c r="BG120" s="8">
        <v>16225714</v>
      </c>
      <c r="BH120" s="8">
        <v>16225714</v>
      </c>
      <c r="BI120" s="8">
        <v>16225714</v>
      </c>
      <c r="BJ120" s="8">
        <v>16225714</v>
      </c>
      <c r="BK120" s="8">
        <v>16225714</v>
      </c>
      <c r="BL120" s="8">
        <v>16225714</v>
      </c>
      <c r="BM120" s="8">
        <v>16225714</v>
      </c>
      <c r="BN120" s="8">
        <v>16225714</v>
      </c>
      <c r="BO120" s="9">
        <f t="shared" si="61"/>
        <v>16225714</v>
      </c>
      <c r="BP120" s="8">
        <v>448058</v>
      </c>
      <c r="BQ120" s="8">
        <v>448058</v>
      </c>
      <c r="BR120" s="8">
        <v>448058</v>
      </c>
      <c r="BS120" s="8">
        <v>448058</v>
      </c>
      <c r="BT120" s="8">
        <v>448058</v>
      </c>
      <c r="BU120" s="8">
        <v>448058</v>
      </c>
      <c r="BV120" s="8">
        <v>448058</v>
      </c>
      <c r="BW120" s="8">
        <v>448058</v>
      </c>
      <c r="BX120" s="8">
        <v>448058</v>
      </c>
      <c r="BY120" s="8">
        <v>448058</v>
      </c>
      <c r="BZ120" s="8">
        <v>448058</v>
      </c>
      <c r="CA120" s="8">
        <v>448058</v>
      </c>
      <c r="CB120" s="9">
        <f t="shared" si="62"/>
        <v>448058</v>
      </c>
      <c r="CC120" s="8">
        <v>8785966</v>
      </c>
      <c r="CD120" s="8">
        <v>8785966</v>
      </c>
      <c r="CE120" s="8">
        <v>8785966</v>
      </c>
      <c r="CF120" s="8">
        <v>8785966</v>
      </c>
      <c r="CG120" s="8">
        <v>8785966</v>
      </c>
      <c r="CH120" s="8">
        <v>8785966</v>
      </c>
      <c r="CI120" s="8">
        <v>8785966</v>
      </c>
      <c r="CJ120" s="8">
        <v>8785966</v>
      </c>
      <c r="CK120" s="8">
        <v>8785966</v>
      </c>
      <c r="CL120" s="8">
        <v>8785966</v>
      </c>
      <c r="CM120" s="8">
        <v>8785966</v>
      </c>
      <c r="CN120" s="8">
        <v>8785966</v>
      </c>
      <c r="CO120" s="9">
        <f t="shared" si="63"/>
        <v>8785966</v>
      </c>
      <c r="CP120" s="8">
        <v>880275</v>
      </c>
      <c r="CQ120" s="8">
        <v>880275</v>
      </c>
      <c r="CR120" s="8">
        <v>880275</v>
      </c>
      <c r="CS120" s="8">
        <v>880275</v>
      </c>
      <c r="CT120" s="8">
        <v>880275</v>
      </c>
      <c r="CU120" s="8">
        <v>880275</v>
      </c>
      <c r="CV120" s="8">
        <v>880275</v>
      </c>
      <c r="CW120" s="8">
        <v>880275</v>
      </c>
      <c r="CX120" s="8">
        <v>880275</v>
      </c>
      <c r="CY120" s="8">
        <v>880275</v>
      </c>
      <c r="CZ120" s="8">
        <v>880275</v>
      </c>
      <c r="DA120" s="8">
        <v>880275</v>
      </c>
      <c r="DB120" s="9">
        <f t="shared" si="64"/>
        <v>880275</v>
      </c>
      <c r="DC120" s="8">
        <v>82069</v>
      </c>
      <c r="DD120" s="8">
        <v>82069</v>
      </c>
      <c r="DE120" s="8">
        <v>82069</v>
      </c>
      <c r="DF120" s="8">
        <v>82069</v>
      </c>
      <c r="DG120" s="8">
        <v>82069</v>
      </c>
      <c r="DH120" s="8">
        <v>82069</v>
      </c>
      <c r="DI120" s="8">
        <v>82069</v>
      </c>
      <c r="DJ120" s="8">
        <v>82069</v>
      </c>
      <c r="DK120" s="8">
        <v>82069</v>
      </c>
      <c r="DL120" s="8">
        <v>82069</v>
      </c>
      <c r="DM120" s="8">
        <v>82069</v>
      </c>
      <c r="DN120" s="8">
        <v>82069</v>
      </c>
      <c r="DO120" s="9">
        <f t="shared" si="65"/>
        <v>82069</v>
      </c>
      <c r="DP120" s="8">
        <v>5308686</v>
      </c>
      <c r="DQ120" s="8">
        <v>5308686</v>
      </c>
      <c r="DR120" s="8">
        <v>5308686</v>
      </c>
      <c r="DS120" s="8">
        <v>5308686</v>
      </c>
      <c r="DT120" s="8">
        <v>5308686</v>
      </c>
      <c r="DU120" s="8">
        <v>5308686</v>
      </c>
      <c r="DV120" s="8">
        <v>5308686</v>
      </c>
      <c r="DW120" s="8">
        <v>5308686</v>
      </c>
      <c r="DX120" s="8">
        <v>5308686</v>
      </c>
      <c r="DY120" s="8">
        <v>5308686</v>
      </c>
      <c r="DZ120" s="8">
        <v>5308686</v>
      </c>
      <c r="EA120" s="8">
        <v>5308686</v>
      </c>
      <c r="EB120" s="9">
        <f t="shared" si="66"/>
        <v>5308686</v>
      </c>
      <c r="EC120" s="8">
        <v>1027424</v>
      </c>
      <c r="ED120" s="8">
        <v>1027424</v>
      </c>
      <c r="EE120" s="8">
        <v>1027424</v>
      </c>
      <c r="EF120" s="8">
        <v>1027424</v>
      </c>
      <c r="EG120" s="8">
        <v>1027424</v>
      </c>
      <c r="EH120" s="8">
        <v>1027424</v>
      </c>
      <c r="EI120" s="8">
        <v>1027424</v>
      </c>
      <c r="EJ120" s="8">
        <v>1027424</v>
      </c>
      <c r="EK120" s="8">
        <v>1027424</v>
      </c>
      <c r="EL120" s="8">
        <v>1027424</v>
      </c>
      <c r="EM120" s="8">
        <v>1027424</v>
      </c>
      <c r="EN120" s="8">
        <v>1027424</v>
      </c>
      <c r="EO120" s="9">
        <f t="shared" si="67"/>
        <v>1027424</v>
      </c>
      <c r="EP120" s="8">
        <v>1340005</v>
      </c>
      <c r="EQ120" s="8">
        <v>1340005</v>
      </c>
      <c r="ER120" s="8">
        <v>1340005</v>
      </c>
      <c r="ES120" s="8">
        <v>1340005</v>
      </c>
      <c r="ET120" s="8">
        <v>1340005</v>
      </c>
      <c r="EU120" s="8">
        <v>1340005</v>
      </c>
      <c r="EV120" s="8">
        <v>1340005</v>
      </c>
      <c r="EW120" s="8">
        <v>1340005</v>
      </c>
      <c r="EX120" s="8">
        <v>1340005</v>
      </c>
      <c r="EY120" s="8">
        <v>1340005</v>
      </c>
      <c r="EZ120" s="8">
        <v>1340005</v>
      </c>
      <c r="FA120" s="8">
        <v>1340005</v>
      </c>
      <c r="FB120" s="9">
        <f t="shared" si="68"/>
        <v>1340005</v>
      </c>
      <c r="FC120" s="8">
        <v>770529</v>
      </c>
      <c r="FD120" s="8">
        <v>770529</v>
      </c>
      <c r="FE120" s="8">
        <v>770529</v>
      </c>
      <c r="FF120" s="8">
        <v>770529</v>
      </c>
      <c r="FG120" s="8">
        <v>770529</v>
      </c>
      <c r="FH120" s="8">
        <v>770529</v>
      </c>
      <c r="FI120" s="8">
        <v>770529</v>
      </c>
      <c r="FJ120" s="8"/>
      <c r="FK120" s="8"/>
      <c r="FL120" s="8"/>
      <c r="FM120" s="8"/>
      <c r="FN120" s="8"/>
      <c r="FO120" s="9">
        <f t="shared" si="69"/>
        <v>770529</v>
      </c>
    </row>
    <row r="121" spans="2:171" ht="14.25" customHeight="1" x14ac:dyDescent="0.3">
      <c r="B121" s="7" t="s">
        <v>45</v>
      </c>
      <c r="C121" s="8">
        <v>1091201</v>
      </c>
      <c r="D121" s="8">
        <v>1091201</v>
      </c>
      <c r="E121" s="8">
        <v>1091201</v>
      </c>
      <c r="F121" s="8">
        <v>1091201</v>
      </c>
      <c r="G121" s="8">
        <v>1091201</v>
      </c>
      <c r="H121" s="8">
        <v>1091201</v>
      </c>
      <c r="I121" s="8">
        <v>1091201</v>
      </c>
      <c r="J121" s="8">
        <v>1091201</v>
      </c>
      <c r="K121" s="8">
        <v>1091201</v>
      </c>
      <c r="L121" s="8">
        <v>1091201</v>
      </c>
      <c r="M121" s="8">
        <v>1091201</v>
      </c>
      <c r="N121" s="8">
        <v>1091201</v>
      </c>
      <c r="O121" s="9">
        <f t="shared" si="57"/>
        <v>1091201</v>
      </c>
      <c r="P121" s="8">
        <v>1232319</v>
      </c>
      <c r="Q121" s="8">
        <v>1232319</v>
      </c>
      <c r="R121" s="8">
        <v>1232319</v>
      </c>
      <c r="S121" s="8">
        <v>1232319</v>
      </c>
      <c r="T121" s="8">
        <v>1232319</v>
      </c>
      <c r="U121" s="8">
        <v>1232319</v>
      </c>
      <c r="V121" s="8">
        <v>1232319</v>
      </c>
      <c r="W121" s="8">
        <v>1232319</v>
      </c>
      <c r="X121" s="8">
        <v>1232319</v>
      </c>
      <c r="Y121" s="8">
        <v>1232319</v>
      </c>
      <c r="Z121" s="8">
        <v>1232319</v>
      </c>
      <c r="AA121" s="8">
        <v>1232319</v>
      </c>
      <c r="AB121" s="9">
        <f t="shared" si="58"/>
        <v>1232319</v>
      </c>
      <c r="AC121" s="8">
        <v>1265135</v>
      </c>
      <c r="AD121" s="8">
        <v>1265135</v>
      </c>
      <c r="AE121" s="8">
        <v>1265135</v>
      </c>
      <c r="AF121" s="8">
        <v>1265135</v>
      </c>
      <c r="AG121" s="8">
        <v>1265135</v>
      </c>
      <c r="AH121" s="8">
        <v>1265135</v>
      </c>
      <c r="AI121" s="8">
        <v>1265135</v>
      </c>
      <c r="AJ121" s="8">
        <v>1265135</v>
      </c>
      <c r="AK121" s="8">
        <v>1265135</v>
      </c>
      <c r="AL121" s="8">
        <v>1265135</v>
      </c>
      <c r="AM121" s="8">
        <v>1265135</v>
      </c>
      <c r="AN121" s="8">
        <v>1265135</v>
      </c>
      <c r="AO121" s="9">
        <f t="shared" si="59"/>
        <v>1265135</v>
      </c>
      <c r="AP121" s="8">
        <v>1426689</v>
      </c>
      <c r="AQ121" s="8">
        <v>1426689</v>
      </c>
      <c r="AR121" s="8">
        <v>1426689</v>
      </c>
      <c r="AS121" s="8">
        <v>1426689</v>
      </c>
      <c r="AT121" s="8">
        <v>1426689</v>
      </c>
      <c r="AU121" s="8">
        <v>1426689</v>
      </c>
      <c r="AV121" s="8">
        <v>1426689</v>
      </c>
      <c r="AW121" s="8">
        <v>1426689</v>
      </c>
      <c r="AX121" s="8">
        <v>1426689</v>
      </c>
      <c r="AY121" s="8">
        <v>1426689</v>
      </c>
      <c r="AZ121" s="8">
        <v>1426689</v>
      </c>
      <c r="BA121" s="8">
        <v>1426689</v>
      </c>
      <c r="BB121" s="9">
        <f t="shared" si="60"/>
        <v>1426689</v>
      </c>
      <c r="BC121" s="8">
        <v>1203274</v>
      </c>
      <c r="BD121" s="8">
        <v>1203274</v>
      </c>
      <c r="BE121" s="8">
        <v>1203274</v>
      </c>
      <c r="BF121" s="8">
        <v>1203274</v>
      </c>
      <c r="BG121" s="8">
        <v>1203274</v>
      </c>
      <c r="BH121" s="8">
        <v>1203274</v>
      </c>
      <c r="BI121" s="8">
        <v>1203274</v>
      </c>
      <c r="BJ121" s="8">
        <v>1203274</v>
      </c>
      <c r="BK121" s="8">
        <v>1203274</v>
      </c>
      <c r="BL121" s="8">
        <v>1203274</v>
      </c>
      <c r="BM121" s="8">
        <v>1203274</v>
      </c>
      <c r="BN121" s="8">
        <v>1203274</v>
      </c>
      <c r="BO121" s="9">
        <f t="shared" si="61"/>
        <v>1203274</v>
      </c>
      <c r="BP121" s="8">
        <v>43149437</v>
      </c>
      <c r="BQ121" s="8">
        <v>43149437</v>
      </c>
      <c r="BR121" s="8">
        <v>43149437</v>
      </c>
      <c r="BS121" s="8">
        <v>43149437</v>
      </c>
      <c r="BT121" s="8">
        <v>43149437</v>
      </c>
      <c r="BU121" s="8">
        <v>43149437</v>
      </c>
      <c r="BV121" s="8">
        <v>43149437</v>
      </c>
      <c r="BW121" s="8">
        <v>43149437</v>
      </c>
      <c r="BX121" s="8">
        <v>43149437</v>
      </c>
      <c r="BY121" s="8">
        <v>43149437</v>
      </c>
      <c r="BZ121" s="8">
        <v>43149437</v>
      </c>
      <c r="CA121" s="8">
        <v>43149437</v>
      </c>
      <c r="CB121" s="9">
        <f t="shared" si="62"/>
        <v>43149437</v>
      </c>
      <c r="CC121" s="8">
        <v>58306578</v>
      </c>
      <c r="CD121" s="8">
        <v>58306578</v>
      </c>
      <c r="CE121" s="8">
        <v>58306578</v>
      </c>
      <c r="CF121" s="8">
        <v>58306578</v>
      </c>
      <c r="CG121" s="8">
        <v>58306578</v>
      </c>
      <c r="CH121" s="8">
        <v>58306578</v>
      </c>
      <c r="CI121" s="8">
        <v>58306578</v>
      </c>
      <c r="CJ121" s="8">
        <v>58306578</v>
      </c>
      <c r="CK121" s="8">
        <v>58306578</v>
      </c>
      <c r="CL121" s="8">
        <v>58306578</v>
      </c>
      <c r="CM121" s="8">
        <v>58306578</v>
      </c>
      <c r="CN121" s="8">
        <v>58306578</v>
      </c>
      <c r="CO121" s="9">
        <f t="shared" si="63"/>
        <v>58306578</v>
      </c>
      <c r="CP121" s="8">
        <v>42343611</v>
      </c>
      <c r="CQ121" s="8">
        <v>42343611</v>
      </c>
      <c r="CR121" s="8">
        <v>42343611</v>
      </c>
      <c r="CS121" s="8">
        <v>42343611</v>
      </c>
      <c r="CT121" s="8">
        <v>42343611</v>
      </c>
      <c r="CU121" s="8">
        <v>42343611</v>
      </c>
      <c r="CV121" s="8">
        <v>42343611</v>
      </c>
      <c r="CW121" s="8">
        <v>42343611</v>
      </c>
      <c r="CX121" s="8">
        <v>42343611</v>
      </c>
      <c r="CY121" s="8">
        <v>42343611</v>
      </c>
      <c r="CZ121" s="8">
        <v>42343611</v>
      </c>
      <c r="DA121" s="8">
        <v>42343611</v>
      </c>
      <c r="DB121" s="9">
        <f t="shared" si="64"/>
        <v>42343611</v>
      </c>
      <c r="DC121" s="8">
        <v>65419989</v>
      </c>
      <c r="DD121" s="8">
        <v>65419989</v>
      </c>
      <c r="DE121" s="8">
        <v>65419989</v>
      </c>
      <c r="DF121" s="8">
        <v>65419989</v>
      </c>
      <c r="DG121" s="8">
        <v>65419989</v>
      </c>
      <c r="DH121" s="8">
        <v>65419989</v>
      </c>
      <c r="DI121" s="8">
        <v>65419989</v>
      </c>
      <c r="DJ121" s="8">
        <v>65419989</v>
      </c>
      <c r="DK121" s="8">
        <v>65419989</v>
      </c>
      <c r="DL121" s="8">
        <v>65419989</v>
      </c>
      <c r="DM121" s="8">
        <v>65419989</v>
      </c>
      <c r="DN121" s="8">
        <v>65419989</v>
      </c>
      <c r="DO121" s="9">
        <f t="shared" si="65"/>
        <v>65419989</v>
      </c>
      <c r="DP121" s="8">
        <v>58041909</v>
      </c>
      <c r="DQ121" s="8">
        <v>58041909</v>
      </c>
      <c r="DR121" s="8">
        <v>58041909</v>
      </c>
      <c r="DS121" s="8">
        <v>58041909</v>
      </c>
      <c r="DT121" s="8">
        <v>58041909</v>
      </c>
      <c r="DU121" s="8">
        <v>58041909</v>
      </c>
      <c r="DV121" s="8">
        <v>58041909</v>
      </c>
      <c r="DW121" s="8">
        <v>58041909</v>
      </c>
      <c r="DX121" s="8">
        <v>58041909</v>
      </c>
      <c r="DY121" s="8">
        <v>58041909</v>
      </c>
      <c r="DZ121" s="8">
        <v>58041909</v>
      </c>
      <c r="EA121" s="8">
        <v>58041909</v>
      </c>
      <c r="EB121" s="9">
        <f t="shared" si="66"/>
        <v>58041909</v>
      </c>
      <c r="EC121" s="8">
        <v>40737248</v>
      </c>
      <c r="ED121" s="8">
        <v>40737248</v>
      </c>
      <c r="EE121" s="8">
        <v>40737248</v>
      </c>
      <c r="EF121" s="8">
        <v>40737248</v>
      </c>
      <c r="EG121" s="8">
        <v>40737248</v>
      </c>
      <c r="EH121" s="8">
        <v>40737248</v>
      </c>
      <c r="EI121" s="8">
        <v>40737248</v>
      </c>
      <c r="EJ121" s="8">
        <v>40737248</v>
      </c>
      <c r="EK121" s="8">
        <v>40737248</v>
      </c>
      <c r="EL121" s="8">
        <v>40737248</v>
      </c>
      <c r="EM121" s="8">
        <v>40737248</v>
      </c>
      <c r="EN121" s="8">
        <v>40737248</v>
      </c>
      <c r="EO121" s="9">
        <f t="shared" si="67"/>
        <v>40737248</v>
      </c>
      <c r="EP121" s="8">
        <v>51826213</v>
      </c>
      <c r="EQ121" s="8">
        <v>51826213</v>
      </c>
      <c r="ER121" s="8">
        <v>51826213</v>
      </c>
      <c r="ES121" s="8">
        <v>51826213</v>
      </c>
      <c r="ET121" s="8">
        <v>51826213</v>
      </c>
      <c r="EU121" s="8">
        <v>51826213</v>
      </c>
      <c r="EV121" s="8">
        <v>51826213</v>
      </c>
      <c r="EW121" s="8">
        <v>51826213</v>
      </c>
      <c r="EX121" s="8">
        <v>51826213</v>
      </c>
      <c r="EY121" s="8">
        <v>51826213</v>
      </c>
      <c r="EZ121" s="8">
        <v>51826213</v>
      </c>
      <c r="FA121" s="8">
        <v>51826213</v>
      </c>
      <c r="FB121" s="9">
        <f t="shared" si="68"/>
        <v>51826213</v>
      </c>
      <c r="FC121" s="8">
        <v>51314706</v>
      </c>
      <c r="FD121" s="8">
        <v>51314706</v>
      </c>
      <c r="FE121" s="8">
        <v>51314706</v>
      </c>
      <c r="FF121" s="8">
        <v>51314706</v>
      </c>
      <c r="FG121" s="8">
        <v>51314706</v>
      </c>
      <c r="FH121" s="8">
        <v>51314706</v>
      </c>
      <c r="FI121" s="8">
        <v>51314706</v>
      </c>
      <c r="FJ121" s="8"/>
      <c r="FK121" s="8"/>
      <c r="FL121" s="8"/>
      <c r="FM121" s="8"/>
      <c r="FN121" s="8"/>
      <c r="FO121" s="9">
        <f t="shared" si="69"/>
        <v>51314706</v>
      </c>
    </row>
    <row r="122" spans="2:171" ht="14.25" customHeight="1" x14ac:dyDescent="0.3">
      <c r="B122" s="7" t="s">
        <v>46</v>
      </c>
      <c r="C122" s="8">
        <v>152433</v>
      </c>
      <c r="D122" s="8">
        <v>152433</v>
      </c>
      <c r="E122" s="8">
        <v>152433</v>
      </c>
      <c r="F122" s="8">
        <v>152433</v>
      </c>
      <c r="G122" s="8">
        <v>152433</v>
      </c>
      <c r="H122" s="8">
        <v>152433</v>
      </c>
      <c r="I122" s="8">
        <v>152433</v>
      </c>
      <c r="J122" s="8">
        <v>152433</v>
      </c>
      <c r="K122" s="8">
        <v>152433</v>
      </c>
      <c r="L122" s="8">
        <v>152433</v>
      </c>
      <c r="M122" s="8">
        <v>152433</v>
      </c>
      <c r="N122" s="8">
        <v>152433</v>
      </c>
      <c r="O122" s="9">
        <f t="shared" si="57"/>
        <v>152433</v>
      </c>
      <c r="P122" s="8">
        <v>157006</v>
      </c>
      <c r="Q122" s="8">
        <v>157006</v>
      </c>
      <c r="R122" s="8">
        <v>157006</v>
      </c>
      <c r="S122" s="8">
        <v>157006</v>
      </c>
      <c r="T122" s="8">
        <v>157006</v>
      </c>
      <c r="U122" s="8">
        <v>157006</v>
      </c>
      <c r="V122" s="8">
        <v>157006</v>
      </c>
      <c r="W122" s="8">
        <v>157006</v>
      </c>
      <c r="X122" s="8">
        <v>157006</v>
      </c>
      <c r="Y122" s="8">
        <v>157006</v>
      </c>
      <c r="Z122" s="8">
        <v>157006</v>
      </c>
      <c r="AA122" s="8">
        <v>157006</v>
      </c>
      <c r="AB122" s="9">
        <f t="shared" si="58"/>
        <v>157006</v>
      </c>
      <c r="AC122" s="8">
        <v>162972</v>
      </c>
      <c r="AD122" s="8">
        <v>162972</v>
      </c>
      <c r="AE122" s="8">
        <v>162972</v>
      </c>
      <c r="AF122" s="8">
        <v>162972</v>
      </c>
      <c r="AG122" s="8">
        <v>162972</v>
      </c>
      <c r="AH122" s="8">
        <v>162972</v>
      </c>
      <c r="AI122" s="8">
        <v>162972</v>
      </c>
      <c r="AJ122" s="8">
        <v>162972</v>
      </c>
      <c r="AK122" s="8">
        <v>162972</v>
      </c>
      <c r="AL122" s="8">
        <v>162972</v>
      </c>
      <c r="AM122" s="8">
        <v>162972</v>
      </c>
      <c r="AN122" s="8">
        <v>162972</v>
      </c>
      <c r="AO122" s="9">
        <f t="shared" si="59"/>
        <v>162972</v>
      </c>
      <c r="AP122" s="8">
        <v>167861</v>
      </c>
      <c r="AQ122" s="8">
        <v>167861</v>
      </c>
      <c r="AR122" s="8">
        <v>167861</v>
      </c>
      <c r="AS122" s="8">
        <v>167861</v>
      </c>
      <c r="AT122" s="8">
        <v>167861</v>
      </c>
      <c r="AU122" s="8">
        <v>167861</v>
      </c>
      <c r="AV122" s="8">
        <v>167861</v>
      </c>
      <c r="AW122" s="8">
        <v>167861</v>
      </c>
      <c r="AX122" s="8">
        <v>167861</v>
      </c>
      <c r="AY122" s="8">
        <v>167861</v>
      </c>
      <c r="AZ122" s="8">
        <v>167861</v>
      </c>
      <c r="BA122" s="8">
        <v>167861</v>
      </c>
      <c r="BB122" s="9">
        <f t="shared" si="60"/>
        <v>167861</v>
      </c>
      <c r="BC122" s="8">
        <v>172225</v>
      </c>
      <c r="BD122" s="8">
        <v>172225</v>
      </c>
      <c r="BE122" s="8">
        <v>172225</v>
      </c>
      <c r="BF122" s="8">
        <v>172225</v>
      </c>
      <c r="BG122" s="8">
        <v>172225</v>
      </c>
      <c r="BH122" s="8">
        <v>172225</v>
      </c>
      <c r="BI122" s="8">
        <v>172225</v>
      </c>
      <c r="BJ122" s="8">
        <v>172225</v>
      </c>
      <c r="BK122" s="8">
        <v>172225</v>
      </c>
      <c r="BL122" s="8">
        <v>172225</v>
      </c>
      <c r="BM122" s="8">
        <v>172225</v>
      </c>
      <c r="BN122" s="8">
        <v>172225</v>
      </c>
      <c r="BO122" s="9">
        <f t="shared" si="61"/>
        <v>172225</v>
      </c>
      <c r="BP122" s="8">
        <v>0</v>
      </c>
      <c r="BQ122" s="8">
        <v>0</v>
      </c>
      <c r="BR122" s="8">
        <v>0</v>
      </c>
      <c r="BS122" s="8">
        <v>0</v>
      </c>
      <c r="BT122" s="8">
        <v>0</v>
      </c>
      <c r="BU122" s="8">
        <v>0</v>
      </c>
      <c r="BV122" s="8">
        <v>0</v>
      </c>
      <c r="BW122" s="8">
        <v>0</v>
      </c>
      <c r="BX122" s="8">
        <v>0</v>
      </c>
      <c r="BY122" s="8">
        <v>0</v>
      </c>
      <c r="BZ122" s="8">
        <v>0</v>
      </c>
      <c r="CA122" s="8">
        <v>0</v>
      </c>
      <c r="CB122" s="9">
        <f t="shared" si="62"/>
        <v>0</v>
      </c>
      <c r="CC122" s="8">
        <v>33183</v>
      </c>
      <c r="CD122" s="8">
        <v>33183</v>
      </c>
      <c r="CE122" s="8">
        <v>33183</v>
      </c>
      <c r="CF122" s="8">
        <v>33183</v>
      </c>
      <c r="CG122" s="8">
        <v>33183</v>
      </c>
      <c r="CH122" s="8">
        <v>33183</v>
      </c>
      <c r="CI122" s="8">
        <v>33183</v>
      </c>
      <c r="CJ122" s="8">
        <v>33183</v>
      </c>
      <c r="CK122" s="8">
        <v>33183</v>
      </c>
      <c r="CL122" s="8">
        <v>33183</v>
      </c>
      <c r="CM122" s="8">
        <v>33183</v>
      </c>
      <c r="CN122" s="8">
        <v>33183</v>
      </c>
      <c r="CO122" s="9">
        <f t="shared" si="63"/>
        <v>33183</v>
      </c>
      <c r="CP122" s="8">
        <v>142663</v>
      </c>
      <c r="CQ122" s="8">
        <v>142663</v>
      </c>
      <c r="CR122" s="8">
        <v>142663</v>
      </c>
      <c r="CS122" s="8">
        <v>142663</v>
      </c>
      <c r="CT122" s="8">
        <v>142663</v>
      </c>
      <c r="CU122" s="8">
        <v>142663</v>
      </c>
      <c r="CV122" s="8">
        <v>142663</v>
      </c>
      <c r="CW122" s="8">
        <v>142663</v>
      </c>
      <c r="CX122" s="8">
        <v>142663</v>
      </c>
      <c r="CY122" s="8">
        <v>142663</v>
      </c>
      <c r="CZ122" s="8">
        <v>142663</v>
      </c>
      <c r="DA122" s="8">
        <v>142663</v>
      </c>
      <c r="DB122" s="9">
        <f t="shared" si="64"/>
        <v>142663</v>
      </c>
      <c r="DC122" s="8">
        <v>193368</v>
      </c>
      <c r="DD122" s="8">
        <v>193368</v>
      </c>
      <c r="DE122" s="8">
        <v>193368</v>
      </c>
      <c r="DF122" s="8">
        <v>193368</v>
      </c>
      <c r="DG122" s="8">
        <v>193368</v>
      </c>
      <c r="DH122" s="8">
        <v>193368</v>
      </c>
      <c r="DI122" s="8">
        <v>193368</v>
      </c>
      <c r="DJ122" s="8">
        <v>193368</v>
      </c>
      <c r="DK122" s="8">
        <v>193368</v>
      </c>
      <c r="DL122" s="8">
        <v>193368</v>
      </c>
      <c r="DM122" s="8">
        <v>193368</v>
      </c>
      <c r="DN122" s="8">
        <v>193368</v>
      </c>
      <c r="DO122" s="9">
        <f t="shared" si="65"/>
        <v>193368</v>
      </c>
      <c r="DP122" s="8">
        <v>205550</v>
      </c>
      <c r="DQ122" s="8">
        <v>205550</v>
      </c>
      <c r="DR122" s="8">
        <v>205550</v>
      </c>
      <c r="DS122" s="8">
        <v>205550</v>
      </c>
      <c r="DT122" s="8">
        <v>205550</v>
      </c>
      <c r="DU122" s="8">
        <v>205550</v>
      </c>
      <c r="DV122" s="8">
        <v>205550</v>
      </c>
      <c r="DW122" s="8">
        <v>205550</v>
      </c>
      <c r="DX122" s="8">
        <v>205550</v>
      </c>
      <c r="DY122" s="8">
        <v>205550</v>
      </c>
      <c r="DZ122" s="8">
        <v>205550</v>
      </c>
      <c r="EA122" s="8">
        <v>205550</v>
      </c>
      <c r="EB122" s="9">
        <f t="shared" si="66"/>
        <v>205550</v>
      </c>
      <c r="EC122" s="8">
        <v>188275</v>
      </c>
      <c r="ED122" s="8">
        <v>188275</v>
      </c>
      <c r="EE122" s="8">
        <v>188275</v>
      </c>
      <c r="EF122" s="8">
        <v>188275</v>
      </c>
      <c r="EG122" s="8">
        <v>188275</v>
      </c>
      <c r="EH122" s="8">
        <v>188275</v>
      </c>
      <c r="EI122" s="8">
        <v>188275</v>
      </c>
      <c r="EJ122" s="8">
        <v>188275</v>
      </c>
      <c r="EK122" s="8">
        <v>188275</v>
      </c>
      <c r="EL122" s="8">
        <v>188275</v>
      </c>
      <c r="EM122" s="8">
        <v>188275</v>
      </c>
      <c r="EN122" s="8">
        <v>188275</v>
      </c>
      <c r="EO122" s="9">
        <f t="shared" si="67"/>
        <v>188275</v>
      </c>
      <c r="EP122" s="8">
        <v>196182</v>
      </c>
      <c r="EQ122" s="8">
        <v>196182</v>
      </c>
      <c r="ER122" s="8">
        <v>196182</v>
      </c>
      <c r="ES122" s="8">
        <v>196182</v>
      </c>
      <c r="ET122" s="8">
        <v>196182</v>
      </c>
      <c r="EU122" s="8">
        <v>196182</v>
      </c>
      <c r="EV122" s="8">
        <v>196182</v>
      </c>
      <c r="EW122" s="8">
        <v>196182</v>
      </c>
      <c r="EX122" s="8">
        <v>196182</v>
      </c>
      <c r="EY122" s="8">
        <v>196182</v>
      </c>
      <c r="EZ122" s="8">
        <v>196182</v>
      </c>
      <c r="FA122" s="8">
        <v>196182</v>
      </c>
      <c r="FB122" s="9">
        <f t="shared" si="68"/>
        <v>196182</v>
      </c>
      <c r="FC122" s="8">
        <v>202264</v>
      </c>
      <c r="FD122" s="8">
        <v>202264</v>
      </c>
      <c r="FE122" s="8">
        <v>202264</v>
      </c>
      <c r="FF122" s="8">
        <v>202264</v>
      </c>
      <c r="FG122" s="8">
        <v>202264</v>
      </c>
      <c r="FH122" s="8">
        <v>202264</v>
      </c>
      <c r="FI122" s="8">
        <v>202264</v>
      </c>
      <c r="FJ122" s="8"/>
      <c r="FK122" s="8"/>
      <c r="FL122" s="8"/>
      <c r="FM122" s="8"/>
      <c r="FN122" s="8"/>
      <c r="FO122" s="9">
        <f t="shared" si="69"/>
        <v>202264</v>
      </c>
    </row>
    <row r="123" spans="2:171" ht="14.25" customHeight="1" x14ac:dyDescent="0.3">
      <c r="B123" s="7" t="s">
        <v>47</v>
      </c>
      <c r="C123" s="8">
        <v>215595</v>
      </c>
      <c r="D123" s="8">
        <v>215595</v>
      </c>
      <c r="E123" s="8">
        <v>215595</v>
      </c>
      <c r="F123" s="8">
        <v>215595</v>
      </c>
      <c r="G123" s="8">
        <v>215595</v>
      </c>
      <c r="H123" s="8">
        <v>215595</v>
      </c>
      <c r="I123" s="8">
        <v>215595</v>
      </c>
      <c r="J123" s="8">
        <v>215595</v>
      </c>
      <c r="K123" s="8">
        <v>215595</v>
      </c>
      <c r="L123" s="8">
        <v>215595</v>
      </c>
      <c r="M123" s="8">
        <v>215595</v>
      </c>
      <c r="N123" s="8">
        <v>215595</v>
      </c>
      <c r="O123" s="9">
        <f t="shared" si="57"/>
        <v>215595</v>
      </c>
      <c r="P123" s="8">
        <v>222063</v>
      </c>
      <c r="Q123" s="8">
        <v>222063</v>
      </c>
      <c r="R123" s="8">
        <v>222063</v>
      </c>
      <c r="S123" s="8">
        <v>222063</v>
      </c>
      <c r="T123" s="8">
        <v>222063</v>
      </c>
      <c r="U123" s="8">
        <v>222063</v>
      </c>
      <c r="V123" s="8">
        <v>222063</v>
      </c>
      <c r="W123" s="8">
        <v>222063</v>
      </c>
      <c r="X123" s="8">
        <v>222063</v>
      </c>
      <c r="Y123" s="8">
        <v>222063</v>
      </c>
      <c r="Z123" s="8">
        <v>222063</v>
      </c>
      <c r="AA123" s="8">
        <v>222063</v>
      </c>
      <c r="AB123" s="9">
        <f t="shared" si="58"/>
        <v>222063</v>
      </c>
      <c r="AC123" s="8">
        <v>230501</v>
      </c>
      <c r="AD123" s="8">
        <v>230501</v>
      </c>
      <c r="AE123" s="8">
        <v>230501</v>
      </c>
      <c r="AF123" s="8">
        <v>230501</v>
      </c>
      <c r="AG123" s="8">
        <v>230501</v>
      </c>
      <c r="AH123" s="8">
        <v>230501</v>
      </c>
      <c r="AI123" s="8">
        <v>230501</v>
      </c>
      <c r="AJ123" s="8">
        <v>230501</v>
      </c>
      <c r="AK123" s="8">
        <v>230501</v>
      </c>
      <c r="AL123" s="8">
        <v>230501</v>
      </c>
      <c r="AM123" s="8">
        <v>230501</v>
      </c>
      <c r="AN123" s="8">
        <v>230501</v>
      </c>
      <c r="AO123" s="9">
        <f t="shared" si="59"/>
        <v>230501</v>
      </c>
      <c r="AP123" s="8">
        <v>237416</v>
      </c>
      <c r="AQ123" s="8">
        <v>237416</v>
      </c>
      <c r="AR123" s="8">
        <v>237416</v>
      </c>
      <c r="AS123" s="8">
        <v>237416</v>
      </c>
      <c r="AT123" s="8">
        <v>237416</v>
      </c>
      <c r="AU123" s="8">
        <v>237416</v>
      </c>
      <c r="AV123" s="8">
        <v>237416</v>
      </c>
      <c r="AW123" s="8">
        <v>237416</v>
      </c>
      <c r="AX123" s="8">
        <v>237416</v>
      </c>
      <c r="AY123" s="8">
        <v>237416</v>
      </c>
      <c r="AZ123" s="8">
        <v>237416</v>
      </c>
      <c r="BA123" s="8">
        <v>237416</v>
      </c>
      <c r="BB123" s="9">
        <f t="shared" si="60"/>
        <v>237416</v>
      </c>
      <c r="BC123" s="8">
        <v>243589</v>
      </c>
      <c r="BD123" s="8">
        <v>243589</v>
      </c>
      <c r="BE123" s="8">
        <v>243589</v>
      </c>
      <c r="BF123" s="8">
        <v>243589</v>
      </c>
      <c r="BG123" s="8">
        <v>243589</v>
      </c>
      <c r="BH123" s="8">
        <v>243589</v>
      </c>
      <c r="BI123" s="8">
        <v>243589</v>
      </c>
      <c r="BJ123" s="8">
        <v>243589</v>
      </c>
      <c r="BK123" s="8">
        <v>243589</v>
      </c>
      <c r="BL123" s="8">
        <v>243589</v>
      </c>
      <c r="BM123" s="8">
        <v>243589</v>
      </c>
      <c r="BN123" s="8">
        <v>243589</v>
      </c>
      <c r="BO123" s="9">
        <f t="shared" si="61"/>
        <v>243589</v>
      </c>
      <c r="BP123" s="8">
        <v>0</v>
      </c>
      <c r="BQ123" s="8">
        <v>0</v>
      </c>
      <c r="BR123" s="8">
        <v>0</v>
      </c>
      <c r="BS123" s="8">
        <v>0</v>
      </c>
      <c r="BT123" s="8">
        <v>0</v>
      </c>
      <c r="BU123" s="8">
        <v>0</v>
      </c>
      <c r="BV123" s="8">
        <v>0</v>
      </c>
      <c r="BW123" s="8">
        <v>0</v>
      </c>
      <c r="BX123" s="8">
        <v>0</v>
      </c>
      <c r="BY123" s="8">
        <v>0</v>
      </c>
      <c r="BZ123" s="8">
        <v>0</v>
      </c>
      <c r="CA123" s="8">
        <v>0</v>
      </c>
      <c r="CB123" s="9">
        <f t="shared" si="62"/>
        <v>0</v>
      </c>
      <c r="CC123" s="8">
        <v>42579</v>
      </c>
      <c r="CD123" s="8">
        <v>42579</v>
      </c>
      <c r="CE123" s="8">
        <v>42579</v>
      </c>
      <c r="CF123" s="8">
        <v>42579</v>
      </c>
      <c r="CG123" s="8">
        <v>42579</v>
      </c>
      <c r="CH123" s="8">
        <v>42579</v>
      </c>
      <c r="CI123" s="8">
        <v>42579</v>
      </c>
      <c r="CJ123" s="8">
        <v>42579</v>
      </c>
      <c r="CK123" s="8">
        <v>42579</v>
      </c>
      <c r="CL123" s="8">
        <v>42579</v>
      </c>
      <c r="CM123" s="8">
        <v>42579</v>
      </c>
      <c r="CN123" s="8">
        <v>42579</v>
      </c>
      <c r="CO123" s="9">
        <f t="shared" si="63"/>
        <v>42579</v>
      </c>
      <c r="CP123" s="8">
        <v>185100</v>
      </c>
      <c r="CQ123" s="8">
        <v>185100</v>
      </c>
      <c r="CR123" s="8">
        <v>185100</v>
      </c>
      <c r="CS123" s="8">
        <v>185100</v>
      </c>
      <c r="CT123" s="8">
        <v>185100</v>
      </c>
      <c r="CU123" s="8">
        <v>185100</v>
      </c>
      <c r="CV123" s="8">
        <v>185100</v>
      </c>
      <c r="CW123" s="8">
        <v>185100</v>
      </c>
      <c r="CX123" s="8">
        <v>185100</v>
      </c>
      <c r="CY123" s="8">
        <v>185100</v>
      </c>
      <c r="CZ123" s="8">
        <v>185100</v>
      </c>
      <c r="DA123" s="8">
        <v>185100</v>
      </c>
      <c r="DB123" s="9">
        <f t="shared" si="64"/>
        <v>185100</v>
      </c>
      <c r="DC123" s="8">
        <v>251177</v>
      </c>
      <c r="DD123" s="8">
        <v>251177</v>
      </c>
      <c r="DE123" s="8">
        <v>251177</v>
      </c>
      <c r="DF123" s="8">
        <v>251177</v>
      </c>
      <c r="DG123" s="8">
        <v>251177</v>
      </c>
      <c r="DH123" s="8">
        <v>251177</v>
      </c>
      <c r="DI123" s="8">
        <v>251177</v>
      </c>
      <c r="DJ123" s="8">
        <v>251177</v>
      </c>
      <c r="DK123" s="8">
        <v>251177</v>
      </c>
      <c r="DL123" s="8">
        <v>251177</v>
      </c>
      <c r="DM123" s="8">
        <v>251177</v>
      </c>
      <c r="DN123" s="8">
        <v>251177</v>
      </c>
      <c r="DO123" s="9">
        <f t="shared" si="65"/>
        <v>251177</v>
      </c>
      <c r="DP123" s="8">
        <v>267001</v>
      </c>
      <c r="DQ123" s="8">
        <v>267001</v>
      </c>
      <c r="DR123" s="8">
        <v>267001</v>
      </c>
      <c r="DS123" s="8">
        <v>267001</v>
      </c>
      <c r="DT123" s="8">
        <v>267001</v>
      </c>
      <c r="DU123" s="8">
        <v>267001</v>
      </c>
      <c r="DV123" s="8">
        <v>267001</v>
      </c>
      <c r="DW123" s="8">
        <v>267001</v>
      </c>
      <c r="DX123" s="8">
        <v>267001</v>
      </c>
      <c r="DY123" s="8">
        <v>267001</v>
      </c>
      <c r="DZ123" s="8">
        <v>267001</v>
      </c>
      <c r="EA123" s="8">
        <v>267001</v>
      </c>
      <c r="EB123" s="9">
        <f t="shared" si="66"/>
        <v>267001</v>
      </c>
      <c r="EC123" s="8">
        <v>244561</v>
      </c>
      <c r="ED123" s="8">
        <v>244561</v>
      </c>
      <c r="EE123" s="8">
        <v>244561</v>
      </c>
      <c r="EF123" s="8">
        <v>244561</v>
      </c>
      <c r="EG123" s="8">
        <v>244561</v>
      </c>
      <c r="EH123" s="8">
        <v>244561</v>
      </c>
      <c r="EI123" s="8">
        <v>244561</v>
      </c>
      <c r="EJ123" s="8">
        <v>244561</v>
      </c>
      <c r="EK123" s="8">
        <v>244561</v>
      </c>
      <c r="EL123" s="8">
        <v>244561</v>
      </c>
      <c r="EM123" s="8">
        <v>244561</v>
      </c>
      <c r="EN123" s="8">
        <v>244561</v>
      </c>
      <c r="EO123" s="9">
        <f t="shared" si="67"/>
        <v>244561</v>
      </c>
      <c r="EP123" s="8">
        <v>254832</v>
      </c>
      <c r="EQ123" s="8">
        <v>254832</v>
      </c>
      <c r="ER123" s="8">
        <v>254832</v>
      </c>
      <c r="ES123" s="8">
        <v>254832</v>
      </c>
      <c r="ET123" s="8">
        <v>254832</v>
      </c>
      <c r="EU123" s="8">
        <v>254832</v>
      </c>
      <c r="EV123" s="8">
        <v>254832</v>
      </c>
      <c r="EW123" s="8">
        <v>254832</v>
      </c>
      <c r="EX123" s="8">
        <v>254832</v>
      </c>
      <c r="EY123" s="8">
        <v>254832</v>
      </c>
      <c r="EZ123" s="8">
        <v>254832</v>
      </c>
      <c r="FA123" s="8">
        <v>254832</v>
      </c>
      <c r="FB123" s="9">
        <f t="shared" si="68"/>
        <v>254832</v>
      </c>
      <c r="FC123" s="8">
        <v>262732</v>
      </c>
      <c r="FD123" s="8">
        <v>262732</v>
      </c>
      <c r="FE123" s="8">
        <v>262732</v>
      </c>
      <c r="FF123" s="8">
        <v>262732</v>
      </c>
      <c r="FG123" s="8">
        <v>262732</v>
      </c>
      <c r="FH123" s="8">
        <v>262732</v>
      </c>
      <c r="FI123" s="8">
        <v>262732</v>
      </c>
      <c r="FJ123" s="8"/>
      <c r="FK123" s="8"/>
      <c r="FL123" s="8"/>
      <c r="FM123" s="8"/>
      <c r="FN123" s="8"/>
      <c r="FO123" s="9">
        <f t="shared" si="69"/>
        <v>262732</v>
      </c>
    </row>
    <row r="124" spans="2:171" ht="14.25" customHeight="1" x14ac:dyDescent="0.3">
      <c r="B124" s="7" t="s">
        <v>48</v>
      </c>
      <c r="C124" s="8">
        <v>202258</v>
      </c>
      <c r="D124" s="8">
        <v>202258</v>
      </c>
      <c r="E124" s="8">
        <v>202258</v>
      </c>
      <c r="F124" s="8">
        <v>202258</v>
      </c>
      <c r="G124" s="8">
        <v>202258</v>
      </c>
      <c r="H124" s="8">
        <v>202258</v>
      </c>
      <c r="I124" s="8">
        <v>202258</v>
      </c>
      <c r="J124" s="8">
        <v>202258</v>
      </c>
      <c r="K124" s="8">
        <v>202258</v>
      </c>
      <c r="L124" s="8">
        <v>202258</v>
      </c>
      <c r="M124" s="8">
        <v>202258</v>
      </c>
      <c r="N124" s="8">
        <v>202258</v>
      </c>
      <c r="O124" s="9">
        <f t="shared" si="57"/>
        <v>202258</v>
      </c>
      <c r="P124" s="8">
        <v>208326</v>
      </c>
      <c r="Q124" s="8">
        <v>208326</v>
      </c>
      <c r="R124" s="8">
        <v>208326</v>
      </c>
      <c r="S124" s="8">
        <v>208326</v>
      </c>
      <c r="T124" s="8">
        <v>208326</v>
      </c>
      <c r="U124" s="8">
        <v>208326</v>
      </c>
      <c r="V124" s="8">
        <v>208326</v>
      </c>
      <c r="W124" s="8">
        <v>208326</v>
      </c>
      <c r="X124" s="8">
        <v>208326</v>
      </c>
      <c r="Y124" s="8">
        <v>208326</v>
      </c>
      <c r="Z124" s="8">
        <v>208326</v>
      </c>
      <c r="AA124" s="8">
        <v>208326</v>
      </c>
      <c r="AB124" s="9">
        <f t="shared" si="58"/>
        <v>208326</v>
      </c>
      <c r="AC124" s="8">
        <v>216242</v>
      </c>
      <c r="AD124" s="8">
        <v>216242</v>
      </c>
      <c r="AE124" s="8">
        <v>216242</v>
      </c>
      <c r="AF124" s="8">
        <v>216242</v>
      </c>
      <c r="AG124" s="8">
        <v>216242</v>
      </c>
      <c r="AH124" s="8">
        <v>216242</v>
      </c>
      <c r="AI124" s="8">
        <v>216242</v>
      </c>
      <c r="AJ124" s="8">
        <v>216242</v>
      </c>
      <c r="AK124" s="8">
        <v>216242</v>
      </c>
      <c r="AL124" s="8">
        <v>216242</v>
      </c>
      <c r="AM124" s="8">
        <v>216242</v>
      </c>
      <c r="AN124" s="8">
        <v>216242</v>
      </c>
      <c r="AO124" s="9">
        <f t="shared" si="59"/>
        <v>216242</v>
      </c>
      <c r="AP124" s="8">
        <v>222729</v>
      </c>
      <c r="AQ124" s="8">
        <v>222729</v>
      </c>
      <c r="AR124" s="8">
        <v>222729</v>
      </c>
      <c r="AS124" s="8">
        <v>222729</v>
      </c>
      <c r="AT124" s="8">
        <v>222729</v>
      </c>
      <c r="AU124" s="8">
        <v>222729</v>
      </c>
      <c r="AV124" s="8">
        <v>222729</v>
      </c>
      <c r="AW124" s="8">
        <v>222729</v>
      </c>
      <c r="AX124" s="8">
        <v>222729</v>
      </c>
      <c r="AY124" s="8">
        <v>222729</v>
      </c>
      <c r="AZ124" s="8">
        <v>222729</v>
      </c>
      <c r="BA124" s="8">
        <v>222729</v>
      </c>
      <c r="BB124" s="9">
        <f t="shared" si="60"/>
        <v>222729</v>
      </c>
      <c r="BC124" s="8">
        <v>228520</v>
      </c>
      <c r="BD124" s="8">
        <v>228520</v>
      </c>
      <c r="BE124" s="8">
        <v>228520</v>
      </c>
      <c r="BF124" s="8">
        <v>228520</v>
      </c>
      <c r="BG124" s="8">
        <v>228520</v>
      </c>
      <c r="BH124" s="8">
        <v>228520</v>
      </c>
      <c r="BI124" s="8">
        <v>228520</v>
      </c>
      <c r="BJ124" s="8">
        <v>228520</v>
      </c>
      <c r="BK124" s="8">
        <v>228520</v>
      </c>
      <c r="BL124" s="8">
        <v>228520</v>
      </c>
      <c r="BM124" s="8">
        <v>228520</v>
      </c>
      <c r="BN124" s="8">
        <v>228520</v>
      </c>
      <c r="BO124" s="9">
        <f t="shared" si="61"/>
        <v>228520</v>
      </c>
      <c r="BP124" s="8">
        <v>0</v>
      </c>
      <c r="BQ124" s="8">
        <v>0</v>
      </c>
      <c r="BR124" s="8">
        <v>0</v>
      </c>
      <c r="BS124" s="8">
        <v>0</v>
      </c>
      <c r="BT124" s="8">
        <v>0</v>
      </c>
      <c r="BU124" s="8">
        <v>0</v>
      </c>
      <c r="BV124" s="8">
        <v>0</v>
      </c>
      <c r="BW124" s="8">
        <v>0</v>
      </c>
      <c r="BX124" s="8">
        <v>0</v>
      </c>
      <c r="BY124" s="8">
        <v>0</v>
      </c>
      <c r="BZ124" s="8">
        <v>0</v>
      </c>
      <c r="CA124" s="8">
        <v>0</v>
      </c>
      <c r="CB124" s="9">
        <f t="shared" si="62"/>
        <v>0</v>
      </c>
      <c r="CC124" s="8">
        <v>80375</v>
      </c>
      <c r="CD124" s="8">
        <v>80375</v>
      </c>
      <c r="CE124" s="8">
        <v>80375</v>
      </c>
      <c r="CF124" s="8">
        <v>80375</v>
      </c>
      <c r="CG124" s="8">
        <v>80375</v>
      </c>
      <c r="CH124" s="8">
        <v>80375</v>
      </c>
      <c r="CI124" s="8">
        <v>80375</v>
      </c>
      <c r="CJ124" s="8">
        <v>80375</v>
      </c>
      <c r="CK124" s="8">
        <v>80375</v>
      </c>
      <c r="CL124" s="8">
        <v>80375</v>
      </c>
      <c r="CM124" s="8">
        <v>80375</v>
      </c>
      <c r="CN124" s="8">
        <v>80375</v>
      </c>
      <c r="CO124" s="9">
        <f t="shared" si="63"/>
        <v>80375</v>
      </c>
      <c r="CP124" s="8">
        <v>376018</v>
      </c>
      <c r="CQ124" s="8">
        <v>376018</v>
      </c>
      <c r="CR124" s="8">
        <v>376018</v>
      </c>
      <c r="CS124" s="8">
        <v>376018</v>
      </c>
      <c r="CT124" s="8">
        <v>376018</v>
      </c>
      <c r="CU124" s="8">
        <v>376018</v>
      </c>
      <c r="CV124" s="8">
        <v>376018</v>
      </c>
      <c r="CW124" s="8">
        <v>376018</v>
      </c>
      <c r="CX124" s="8">
        <v>376018</v>
      </c>
      <c r="CY124" s="8">
        <v>376018</v>
      </c>
      <c r="CZ124" s="8">
        <v>376018</v>
      </c>
      <c r="DA124" s="8">
        <v>376018</v>
      </c>
      <c r="DB124" s="9">
        <f t="shared" si="64"/>
        <v>376018</v>
      </c>
      <c r="DC124" s="8">
        <v>511002</v>
      </c>
      <c r="DD124" s="8">
        <v>511002</v>
      </c>
      <c r="DE124" s="8">
        <v>511002</v>
      </c>
      <c r="DF124" s="8">
        <v>511002</v>
      </c>
      <c r="DG124" s="8">
        <v>511002</v>
      </c>
      <c r="DH124" s="8">
        <v>511002</v>
      </c>
      <c r="DI124" s="8">
        <v>511002</v>
      </c>
      <c r="DJ124" s="8">
        <v>511002</v>
      </c>
      <c r="DK124" s="8">
        <v>511002</v>
      </c>
      <c r="DL124" s="8">
        <v>511002</v>
      </c>
      <c r="DM124" s="8">
        <v>511002</v>
      </c>
      <c r="DN124" s="8">
        <v>511002</v>
      </c>
      <c r="DO124" s="9">
        <f t="shared" si="65"/>
        <v>511002</v>
      </c>
      <c r="DP124" s="8">
        <v>543195</v>
      </c>
      <c r="DQ124" s="8">
        <v>543195</v>
      </c>
      <c r="DR124" s="8">
        <v>543195</v>
      </c>
      <c r="DS124" s="8">
        <v>543195</v>
      </c>
      <c r="DT124" s="8">
        <v>543195</v>
      </c>
      <c r="DU124" s="8">
        <v>543195</v>
      </c>
      <c r="DV124" s="8">
        <v>543195</v>
      </c>
      <c r="DW124" s="8">
        <v>543195</v>
      </c>
      <c r="DX124" s="8">
        <v>543195</v>
      </c>
      <c r="DY124" s="8">
        <v>543195</v>
      </c>
      <c r="DZ124" s="8">
        <v>543195</v>
      </c>
      <c r="EA124" s="8">
        <v>543195</v>
      </c>
      <c r="EB124" s="9">
        <f t="shared" si="66"/>
        <v>543195</v>
      </c>
      <c r="EC124" s="8">
        <v>497544</v>
      </c>
      <c r="ED124" s="8">
        <v>497544</v>
      </c>
      <c r="EE124" s="8">
        <v>497544</v>
      </c>
      <c r="EF124" s="8">
        <v>497544</v>
      </c>
      <c r="EG124" s="8">
        <v>497544</v>
      </c>
      <c r="EH124" s="8">
        <v>497544</v>
      </c>
      <c r="EI124" s="8">
        <v>497544</v>
      </c>
      <c r="EJ124" s="8">
        <v>497544</v>
      </c>
      <c r="EK124" s="8">
        <v>497544</v>
      </c>
      <c r="EL124" s="8">
        <v>497544</v>
      </c>
      <c r="EM124" s="8">
        <v>497544</v>
      </c>
      <c r="EN124" s="8">
        <v>497544</v>
      </c>
      <c r="EO124" s="9">
        <f t="shared" si="67"/>
        <v>497544</v>
      </c>
      <c r="EP124" s="8">
        <v>518441</v>
      </c>
      <c r="EQ124" s="8">
        <v>518441</v>
      </c>
      <c r="ER124" s="8">
        <v>518441</v>
      </c>
      <c r="ES124" s="8">
        <v>518441</v>
      </c>
      <c r="ET124" s="8">
        <v>518441</v>
      </c>
      <c r="EU124" s="8">
        <v>518441</v>
      </c>
      <c r="EV124" s="8">
        <v>518441</v>
      </c>
      <c r="EW124" s="8">
        <v>518441</v>
      </c>
      <c r="EX124" s="8">
        <v>518441</v>
      </c>
      <c r="EY124" s="8">
        <v>518441</v>
      </c>
      <c r="EZ124" s="8">
        <v>518441</v>
      </c>
      <c r="FA124" s="8">
        <v>518441</v>
      </c>
      <c r="FB124" s="9">
        <f t="shared" si="68"/>
        <v>518441</v>
      </c>
      <c r="FC124" s="8">
        <v>534512</v>
      </c>
      <c r="FD124" s="8">
        <v>534512</v>
      </c>
      <c r="FE124" s="8">
        <v>534512</v>
      </c>
      <c r="FF124" s="8">
        <v>534512</v>
      </c>
      <c r="FG124" s="8">
        <v>534512</v>
      </c>
      <c r="FH124" s="8">
        <v>534512</v>
      </c>
      <c r="FI124" s="8">
        <v>534512</v>
      </c>
      <c r="FJ124" s="8"/>
      <c r="FK124" s="8"/>
      <c r="FL124" s="8"/>
      <c r="FM124" s="8"/>
      <c r="FN124" s="8"/>
      <c r="FO124" s="9">
        <f t="shared" si="69"/>
        <v>534512</v>
      </c>
    </row>
    <row r="125" spans="2:171" ht="14.25" customHeight="1" x14ac:dyDescent="0.3">
      <c r="B125" s="7" t="s">
        <v>49</v>
      </c>
      <c r="C125" s="8">
        <v>118004</v>
      </c>
      <c r="D125" s="8">
        <v>118004</v>
      </c>
      <c r="E125" s="8">
        <v>118004</v>
      </c>
      <c r="F125" s="8">
        <v>118004</v>
      </c>
      <c r="G125" s="8">
        <v>118004</v>
      </c>
      <c r="H125" s="8">
        <v>118004</v>
      </c>
      <c r="I125" s="8">
        <v>118004</v>
      </c>
      <c r="J125" s="8">
        <v>118004</v>
      </c>
      <c r="K125" s="8">
        <v>118004</v>
      </c>
      <c r="L125" s="8">
        <v>118004</v>
      </c>
      <c r="M125" s="8">
        <v>118004</v>
      </c>
      <c r="N125" s="8">
        <v>118004</v>
      </c>
      <c r="O125" s="9">
        <f t="shared" si="57"/>
        <v>118004</v>
      </c>
      <c r="P125" s="8">
        <v>121544</v>
      </c>
      <c r="Q125" s="8">
        <v>121544</v>
      </c>
      <c r="R125" s="8">
        <v>121544</v>
      </c>
      <c r="S125" s="8">
        <v>121544</v>
      </c>
      <c r="T125" s="8">
        <v>121544</v>
      </c>
      <c r="U125" s="8">
        <v>121544</v>
      </c>
      <c r="V125" s="8">
        <v>121544</v>
      </c>
      <c r="W125" s="8">
        <v>121544</v>
      </c>
      <c r="X125" s="8">
        <v>121544</v>
      </c>
      <c r="Y125" s="8">
        <v>121544</v>
      </c>
      <c r="Z125" s="8">
        <v>121544</v>
      </c>
      <c r="AA125" s="8">
        <v>121544</v>
      </c>
      <c r="AB125" s="9">
        <f t="shared" si="58"/>
        <v>121544</v>
      </c>
      <c r="AC125" s="8">
        <v>126163</v>
      </c>
      <c r="AD125" s="8">
        <v>126163</v>
      </c>
      <c r="AE125" s="8">
        <v>126163</v>
      </c>
      <c r="AF125" s="8">
        <v>126163</v>
      </c>
      <c r="AG125" s="8">
        <v>126163</v>
      </c>
      <c r="AH125" s="8">
        <v>126163</v>
      </c>
      <c r="AI125" s="8">
        <v>126163</v>
      </c>
      <c r="AJ125" s="8">
        <v>126163</v>
      </c>
      <c r="AK125" s="8">
        <v>126163</v>
      </c>
      <c r="AL125" s="8">
        <v>126163</v>
      </c>
      <c r="AM125" s="8">
        <v>126163</v>
      </c>
      <c r="AN125" s="8">
        <v>126163</v>
      </c>
      <c r="AO125" s="9">
        <f t="shared" si="59"/>
        <v>126163</v>
      </c>
      <c r="AP125" s="8">
        <v>129948</v>
      </c>
      <c r="AQ125" s="8">
        <v>129948</v>
      </c>
      <c r="AR125" s="8">
        <v>129948</v>
      </c>
      <c r="AS125" s="8">
        <v>129948</v>
      </c>
      <c r="AT125" s="8">
        <v>129948</v>
      </c>
      <c r="AU125" s="8">
        <v>129948</v>
      </c>
      <c r="AV125" s="8">
        <v>129948</v>
      </c>
      <c r="AW125" s="8">
        <v>129948</v>
      </c>
      <c r="AX125" s="8">
        <v>129948</v>
      </c>
      <c r="AY125" s="8">
        <v>129948</v>
      </c>
      <c r="AZ125" s="8">
        <v>129948</v>
      </c>
      <c r="BA125" s="8">
        <v>129948</v>
      </c>
      <c r="BB125" s="9">
        <f t="shared" si="60"/>
        <v>129948</v>
      </c>
      <c r="BC125" s="8">
        <v>133327</v>
      </c>
      <c r="BD125" s="8">
        <v>133327</v>
      </c>
      <c r="BE125" s="8">
        <v>133327</v>
      </c>
      <c r="BF125" s="8">
        <v>133327</v>
      </c>
      <c r="BG125" s="8">
        <v>133327</v>
      </c>
      <c r="BH125" s="8">
        <v>133327</v>
      </c>
      <c r="BI125" s="8">
        <v>133327</v>
      </c>
      <c r="BJ125" s="8">
        <v>133327</v>
      </c>
      <c r="BK125" s="8">
        <v>133327</v>
      </c>
      <c r="BL125" s="8">
        <v>133327</v>
      </c>
      <c r="BM125" s="8">
        <v>133327</v>
      </c>
      <c r="BN125" s="8">
        <v>133327</v>
      </c>
      <c r="BO125" s="9">
        <f t="shared" si="61"/>
        <v>133327</v>
      </c>
      <c r="BP125" s="8">
        <v>0</v>
      </c>
      <c r="BQ125" s="8">
        <v>0</v>
      </c>
      <c r="BR125" s="8">
        <v>0</v>
      </c>
      <c r="BS125" s="8">
        <v>0</v>
      </c>
      <c r="BT125" s="8">
        <v>0</v>
      </c>
      <c r="BU125" s="8">
        <v>0</v>
      </c>
      <c r="BV125" s="8">
        <v>0</v>
      </c>
      <c r="BW125" s="8">
        <v>0</v>
      </c>
      <c r="BX125" s="8">
        <v>0</v>
      </c>
      <c r="BY125" s="8">
        <v>0</v>
      </c>
      <c r="BZ125" s="8">
        <v>0</v>
      </c>
      <c r="CA125" s="8">
        <v>0</v>
      </c>
      <c r="CB125" s="9">
        <f t="shared" si="62"/>
        <v>0</v>
      </c>
      <c r="CC125" s="8">
        <v>42543</v>
      </c>
      <c r="CD125" s="8">
        <v>42543</v>
      </c>
      <c r="CE125" s="8">
        <v>42543</v>
      </c>
      <c r="CF125" s="8">
        <v>42543</v>
      </c>
      <c r="CG125" s="8">
        <v>42543</v>
      </c>
      <c r="CH125" s="8">
        <v>42543</v>
      </c>
      <c r="CI125" s="8">
        <v>42543</v>
      </c>
      <c r="CJ125" s="8">
        <v>42543</v>
      </c>
      <c r="CK125" s="8">
        <v>42543</v>
      </c>
      <c r="CL125" s="8">
        <v>42543</v>
      </c>
      <c r="CM125" s="8">
        <v>42543</v>
      </c>
      <c r="CN125" s="8">
        <v>42543</v>
      </c>
      <c r="CO125" s="9">
        <f t="shared" si="63"/>
        <v>42543</v>
      </c>
      <c r="CP125" s="8">
        <v>183254</v>
      </c>
      <c r="CQ125" s="8">
        <v>183254</v>
      </c>
      <c r="CR125" s="8">
        <v>183254</v>
      </c>
      <c r="CS125" s="8">
        <v>183254</v>
      </c>
      <c r="CT125" s="8">
        <v>183254</v>
      </c>
      <c r="CU125" s="8">
        <v>183254</v>
      </c>
      <c r="CV125" s="8">
        <v>183254</v>
      </c>
      <c r="CW125" s="8">
        <v>183254</v>
      </c>
      <c r="CX125" s="8">
        <v>183254</v>
      </c>
      <c r="CY125" s="8">
        <v>183254</v>
      </c>
      <c r="CZ125" s="8">
        <v>183254</v>
      </c>
      <c r="DA125" s="8">
        <v>183254</v>
      </c>
      <c r="DB125" s="9">
        <f t="shared" si="64"/>
        <v>183254</v>
      </c>
      <c r="DC125" s="8">
        <v>248523</v>
      </c>
      <c r="DD125" s="8">
        <v>248523</v>
      </c>
      <c r="DE125" s="8">
        <v>248523</v>
      </c>
      <c r="DF125" s="8">
        <v>248523</v>
      </c>
      <c r="DG125" s="8">
        <v>248523</v>
      </c>
      <c r="DH125" s="8">
        <v>248523</v>
      </c>
      <c r="DI125" s="8">
        <v>248523</v>
      </c>
      <c r="DJ125" s="8">
        <v>248523</v>
      </c>
      <c r="DK125" s="8">
        <v>248523</v>
      </c>
      <c r="DL125" s="8">
        <v>248523</v>
      </c>
      <c r="DM125" s="8">
        <v>248523</v>
      </c>
      <c r="DN125" s="8">
        <v>248523</v>
      </c>
      <c r="DO125" s="9">
        <f t="shared" si="65"/>
        <v>248523</v>
      </c>
      <c r="DP125" s="8">
        <v>264180</v>
      </c>
      <c r="DQ125" s="8">
        <v>264180</v>
      </c>
      <c r="DR125" s="8">
        <v>264180</v>
      </c>
      <c r="DS125" s="8">
        <v>264180</v>
      </c>
      <c r="DT125" s="8">
        <v>264180</v>
      </c>
      <c r="DU125" s="8">
        <v>264180</v>
      </c>
      <c r="DV125" s="8">
        <v>264180</v>
      </c>
      <c r="DW125" s="8">
        <v>264180</v>
      </c>
      <c r="DX125" s="8">
        <v>264180</v>
      </c>
      <c r="DY125" s="8">
        <v>264180</v>
      </c>
      <c r="DZ125" s="8">
        <v>264180</v>
      </c>
      <c r="EA125" s="8">
        <v>264180</v>
      </c>
      <c r="EB125" s="9">
        <f t="shared" si="66"/>
        <v>264180</v>
      </c>
      <c r="EC125" s="8">
        <v>241977</v>
      </c>
      <c r="ED125" s="8">
        <v>241977</v>
      </c>
      <c r="EE125" s="8">
        <v>241977</v>
      </c>
      <c r="EF125" s="8">
        <v>241977</v>
      </c>
      <c r="EG125" s="8">
        <v>241977</v>
      </c>
      <c r="EH125" s="8">
        <v>241977</v>
      </c>
      <c r="EI125" s="8">
        <v>241977</v>
      </c>
      <c r="EJ125" s="8">
        <v>241977</v>
      </c>
      <c r="EK125" s="8">
        <v>241977</v>
      </c>
      <c r="EL125" s="8">
        <v>241977</v>
      </c>
      <c r="EM125" s="8">
        <v>241977</v>
      </c>
      <c r="EN125" s="8">
        <v>241977</v>
      </c>
      <c r="EO125" s="9">
        <f t="shared" si="67"/>
        <v>241977</v>
      </c>
      <c r="EP125" s="8">
        <v>252140</v>
      </c>
      <c r="EQ125" s="8">
        <v>252140</v>
      </c>
      <c r="ER125" s="8">
        <v>252140</v>
      </c>
      <c r="ES125" s="8">
        <v>252140</v>
      </c>
      <c r="ET125" s="8">
        <v>252140</v>
      </c>
      <c r="EU125" s="8">
        <v>252140</v>
      </c>
      <c r="EV125" s="8">
        <v>252140</v>
      </c>
      <c r="EW125" s="8">
        <v>252140</v>
      </c>
      <c r="EX125" s="8">
        <v>252140</v>
      </c>
      <c r="EY125" s="8">
        <v>252140</v>
      </c>
      <c r="EZ125" s="8">
        <v>252140</v>
      </c>
      <c r="FA125" s="8">
        <v>252140</v>
      </c>
      <c r="FB125" s="9">
        <f t="shared" si="68"/>
        <v>252140</v>
      </c>
      <c r="FC125" s="8">
        <v>259957</v>
      </c>
      <c r="FD125" s="8">
        <v>259957</v>
      </c>
      <c r="FE125" s="8">
        <v>259957</v>
      </c>
      <c r="FF125" s="8">
        <v>259957</v>
      </c>
      <c r="FG125" s="8">
        <v>259957</v>
      </c>
      <c r="FH125" s="8">
        <v>259957</v>
      </c>
      <c r="FI125" s="8">
        <v>259957</v>
      </c>
      <c r="FJ125" s="8"/>
      <c r="FK125" s="8"/>
      <c r="FL125" s="8"/>
      <c r="FM125" s="8"/>
      <c r="FN125" s="8"/>
      <c r="FO125" s="9">
        <f t="shared" si="69"/>
        <v>259957</v>
      </c>
    </row>
    <row r="126" spans="2:171" ht="14.25" customHeight="1" x14ac:dyDescent="0.3">
      <c r="B126" s="7" t="s">
        <v>50</v>
      </c>
      <c r="C126" s="8">
        <v>288212</v>
      </c>
      <c r="D126" s="8">
        <v>288212</v>
      </c>
      <c r="E126" s="8">
        <v>288212</v>
      </c>
      <c r="F126" s="8">
        <v>288212</v>
      </c>
      <c r="G126" s="8">
        <v>288212</v>
      </c>
      <c r="H126" s="8">
        <v>288212</v>
      </c>
      <c r="I126" s="8">
        <v>288212</v>
      </c>
      <c r="J126" s="8">
        <v>288212</v>
      </c>
      <c r="K126" s="8">
        <v>288212</v>
      </c>
      <c r="L126" s="8">
        <v>288212</v>
      </c>
      <c r="M126" s="8">
        <v>288212</v>
      </c>
      <c r="N126" s="8">
        <v>288212</v>
      </c>
      <c r="O126" s="9">
        <f t="shared" si="57"/>
        <v>288212</v>
      </c>
      <c r="P126" s="8">
        <v>296858</v>
      </c>
      <c r="Q126" s="8">
        <v>296858</v>
      </c>
      <c r="R126" s="8">
        <v>296858</v>
      </c>
      <c r="S126" s="8">
        <v>296858</v>
      </c>
      <c r="T126" s="8">
        <v>296858</v>
      </c>
      <c r="U126" s="8">
        <v>296858</v>
      </c>
      <c r="V126" s="8">
        <v>296858</v>
      </c>
      <c r="W126" s="8">
        <v>296858</v>
      </c>
      <c r="X126" s="8">
        <v>296858</v>
      </c>
      <c r="Y126" s="8">
        <v>296858</v>
      </c>
      <c r="Z126" s="8">
        <v>296858</v>
      </c>
      <c r="AA126" s="8">
        <v>296858</v>
      </c>
      <c r="AB126" s="9">
        <f t="shared" si="58"/>
        <v>296858</v>
      </c>
      <c r="AC126" s="8">
        <v>308139</v>
      </c>
      <c r="AD126" s="8">
        <v>308139</v>
      </c>
      <c r="AE126" s="8">
        <v>308139</v>
      </c>
      <c r="AF126" s="8">
        <v>308139</v>
      </c>
      <c r="AG126" s="8">
        <v>308139</v>
      </c>
      <c r="AH126" s="8">
        <v>308139</v>
      </c>
      <c r="AI126" s="8">
        <v>308139</v>
      </c>
      <c r="AJ126" s="8">
        <v>308139</v>
      </c>
      <c r="AK126" s="8">
        <v>308139</v>
      </c>
      <c r="AL126" s="8">
        <v>308139</v>
      </c>
      <c r="AM126" s="8">
        <v>308139</v>
      </c>
      <c r="AN126" s="8">
        <v>308139</v>
      </c>
      <c r="AO126" s="9">
        <f t="shared" si="59"/>
        <v>308139</v>
      </c>
      <c r="AP126" s="8">
        <v>317383</v>
      </c>
      <c r="AQ126" s="8">
        <v>317383</v>
      </c>
      <c r="AR126" s="8">
        <v>317383</v>
      </c>
      <c r="AS126" s="8">
        <v>317383</v>
      </c>
      <c r="AT126" s="8">
        <v>317383</v>
      </c>
      <c r="AU126" s="8">
        <v>317383</v>
      </c>
      <c r="AV126" s="8">
        <v>317383</v>
      </c>
      <c r="AW126" s="8">
        <v>317383</v>
      </c>
      <c r="AX126" s="8">
        <v>317383</v>
      </c>
      <c r="AY126" s="8">
        <v>317383</v>
      </c>
      <c r="AZ126" s="8">
        <v>317383</v>
      </c>
      <c r="BA126" s="8">
        <v>317383</v>
      </c>
      <c r="BB126" s="9">
        <f t="shared" si="60"/>
        <v>317383</v>
      </c>
      <c r="BC126" s="8">
        <v>325635</v>
      </c>
      <c r="BD126" s="8">
        <v>325635</v>
      </c>
      <c r="BE126" s="8">
        <v>325635</v>
      </c>
      <c r="BF126" s="8">
        <v>325635</v>
      </c>
      <c r="BG126" s="8">
        <v>325635</v>
      </c>
      <c r="BH126" s="8">
        <v>325635</v>
      </c>
      <c r="BI126" s="8">
        <v>325635</v>
      </c>
      <c r="BJ126" s="8">
        <v>325635</v>
      </c>
      <c r="BK126" s="8">
        <v>325635</v>
      </c>
      <c r="BL126" s="8">
        <v>325635</v>
      </c>
      <c r="BM126" s="8">
        <v>325635</v>
      </c>
      <c r="BN126" s="8">
        <v>325635</v>
      </c>
      <c r="BO126" s="9">
        <f t="shared" si="61"/>
        <v>325635</v>
      </c>
      <c r="BP126" s="8">
        <v>0</v>
      </c>
      <c r="BQ126" s="8">
        <v>0</v>
      </c>
      <c r="BR126" s="8">
        <v>0</v>
      </c>
      <c r="BS126" s="8">
        <v>0</v>
      </c>
      <c r="BT126" s="8">
        <v>0</v>
      </c>
      <c r="BU126" s="8">
        <v>0</v>
      </c>
      <c r="BV126" s="8">
        <v>0</v>
      </c>
      <c r="BW126" s="8">
        <v>0</v>
      </c>
      <c r="BX126" s="8">
        <v>0</v>
      </c>
      <c r="BY126" s="8">
        <v>0</v>
      </c>
      <c r="BZ126" s="8">
        <v>0</v>
      </c>
      <c r="CA126" s="8">
        <v>0</v>
      </c>
      <c r="CB126" s="9">
        <f t="shared" si="62"/>
        <v>0</v>
      </c>
      <c r="CC126" s="8">
        <v>93134</v>
      </c>
      <c r="CD126" s="8">
        <v>93134</v>
      </c>
      <c r="CE126" s="8">
        <v>93134</v>
      </c>
      <c r="CF126" s="8">
        <v>93134</v>
      </c>
      <c r="CG126" s="8">
        <v>93134</v>
      </c>
      <c r="CH126" s="8">
        <v>93134</v>
      </c>
      <c r="CI126" s="8">
        <v>93134</v>
      </c>
      <c r="CJ126" s="8">
        <v>93134</v>
      </c>
      <c r="CK126" s="8">
        <v>93134</v>
      </c>
      <c r="CL126" s="8">
        <v>93134</v>
      </c>
      <c r="CM126" s="8">
        <v>93134</v>
      </c>
      <c r="CN126" s="8">
        <v>93134</v>
      </c>
      <c r="CO126" s="9">
        <f t="shared" si="63"/>
        <v>93134</v>
      </c>
      <c r="CP126" s="8">
        <v>413232</v>
      </c>
      <c r="CQ126" s="8">
        <v>413232</v>
      </c>
      <c r="CR126" s="8">
        <v>413232</v>
      </c>
      <c r="CS126" s="8">
        <v>413232</v>
      </c>
      <c r="CT126" s="8">
        <v>413232</v>
      </c>
      <c r="CU126" s="8">
        <v>413232</v>
      </c>
      <c r="CV126" s="8">
        <v>413232</v>
      </c>
      <c r="CW126" s="8">
        <v>413232</v>
      </c>
      <c r="CX126" s="8">
        <v>413232</v>
      </c>
      <c r="CY126" s="8">
        <v>413232</v>
      </c>
      <c r="CZ126" s="8">
        <v>413232</v>
      </c>
      <c r="DA126" s="8">
        <v>413232</v>
      </c>
      <c r="DB126" s="9">
        <f t="shared" si="64"/>
        <v>413232</v>
      </c>
      <c r="DC126" s="8">
        <v>561294</v>
      </c>
      <c r="DD126" s="8">
        <v>561294</v>
      </c>
      <c r="DE126" s="8">
        <v>561294</v>
      </c>
      <c r="DF126" s="8">
        <v>561294</v>
      </c>
      <c r="DG126" s="8">
        <v>561294</v>
      </c>
      <c r="DH126" s="8">
        <v>561294</v>
      </c>
      <c r="DI126" s="8">
        <v>561294</v>
      </c>
      <c r="DJ126" s="8">
        <v>561294</v>
      </c>
      <c r="DK126" s="8">
        <v>561294</v>
      </c>
      <c r="DL126" s="8">
        <v>561294</v>
      </c>
      <c r="DM126" s="8">
        <v>561294</v>
      </c>
      <c r="DN126" s="8">
        <v>561294</v>
      </c>
      <c r="DO126" s="9">
        <f t="shared" si="65"/>
        <v>561294</v>
      </c>
      <c r="DP126" s="8">
        <v>596656</v>
      </c>
      <c r="DQ126" s="8">
        <v>596656</v>
      </c>
      <c r="DR126" s="8">
        <v>596656</v>
      </c>
      <c r="DS126" s="8">
        <v>596656</v>
      </c>
      <c r="DT126" s="8">
        <v>596656</v>
      </c>
      <c r="DU126" s="8">
        <v>596656</v>
      </c>
      <c r="DV126" s="8">
        <v>596656</v>
      </c>
      <c r="DW126" s="8">
        <v>596656</v>
      </c>
      <c r="DX126" s="8">
        <v>596656</v>
      </c>
      <c r="DY126" s="8">
        <v>596656</v>
      </c>
      <c r="DZ126" s="8">
        <v>596656</v>
      </c>
      <c r="EA126" s="8">
        <v>596656</v>
      </c>
      <c r="EB126" s="9">
        <f t="shared" si="66"/>
        <v>596656</v>
      </c>
      <c r="EC126" s="8">
        <v>546510</v>
      </c>
      <c r="ED126" s="8">
        <v>546510</v>
      </c>
      <c r="EE126" s="8">
        <v>546510</v>
      </c>
      <c r="EF126" s="8">
        <v>546510</v>
      </c>
      <c r="EG126" s="8">
        <v>546510</v>
      </c>
      <c r="EH126" s="8">
        <v>546510</v>
      </c>
      <c r="EI126" s="8">
        <v>546510</v>
      </c>
      <c r="EJ126" s="8">
        <v>546510</v>
      </c>
      <c r="EK126" s="8">
        <v>546510</v>
      </c>
      <c r="EL126" s="8">
        <v>546510</v>
      </c>
      <c r="EM126" s="8">
        <v>546510</v>
      </c>
      <c r="EN126" s="8">
        <v>546510</v>
      </c>
      <c r="EO126" s="9">
        <f t="shared" si="67"/>
        <v>546510</v>
      </c>
      <c r="EP126" s="8">
        <v>569463</v>
      </c>
      <c r="EQ126" s="8">
        <v>569463</v>
      </c>
      <c r="ER126" s="8">
        <v>569463</v>
      </c>
      <c r="ES126" s="8">
        <v>569463</v>
      </c>
      <c r="ET126" s="8">
        <v>569463</v>
      </c>
      <c r="EU126" s="8">
        <v>569463</v>
      </c>
      <c r="EV126" s="8">
        <v>569463</v>
      </c>
      <c r="EW126" s="8">
        <v>569463</v>
      </c>
      <c r="EX126" s="8">
        <v>569463</v>
      </c>
      <c r="EY126" s="8">
        <v>569463</v>
      </c>
      <c r="EZ126" s="8">
        <v>569463</v>
      </c>
      <c r="FA126" s="8">
        <v>569463</v>
      </c>
      <c r="FB126" s="9">
        <f t="shared" si="68"/>
        <v>569463</v>
      </c>
      <c r="FC126" s="8">
        <v>587116</v>
      </c>
      <c r="FD126" s="8">
        <v>587116</v>
      </c>
      <c r="FE126" s="8">
        <v>587116</v>
      </c>
      <c r="FF126" s="8">
        <v>587116</v>
      </c>
      <c r="FG126" s="8">
        <v>587116</v>
      </c>
      <c r="FH126" s="8">
        <v>587116</v>
      </c>
      <c r="FI126" s="8">
        <v>587116</v>
      </c>
      <c r="FJ126" s="8"/>
      <c r="FK126" s="8"/>
      <c r="FL126" s="8"/>
      <c r="FM126" s="8"/>
      <c r="FN126" s="8"/>
      <c r="FO126" s="9">
        <f t="shared" si="69"/>
        <v>587116</v>
      </c>
    </row>
    <row r="127" spans="2:171" ht="14.25" customHeight="1" x14ac:dyDescent="0.3">
      <c r="B127" s="7" t="s">
        <v>51</v>
      </c>
      <c r="C127" s="8">
        <v>346611</v>
      </c>
      <c r="D127" s="8">
        <v>346611</v>
      </c>
      <c r="E127" s="8">
        <v>346611</v>
      </c>
      <c r="F127" s="8">
        <v>346611</v>
      </c>
      <c r="G127" s="8">
        <v>346611</v>
      </c>
      <c r="H127" s="8">
        <v>346611</v>
      </c>
      <c r="I127" s="8">
        <v>346611</v>
      </c>
      <c r="J127" s="8">
        <v>346611</v>
      </c>
      <c r="K127" s="8">
        <v>346611</v>
      </c>
      <c r="L127" s="8">
        <v>346611</v>
      </c>
      <c r="M127" s="8">
        <v>346611</v>
      </c>
      <c r="N127" s="8">
        <v>346611</v>
      </c>
      <c r="O127" s="9">
        <f t="shared" si="57"/>
        <v>346611</v>
      </c>
      <c r="P127" s="8">
        <v>357009</v>
      </c>
      <c r="Q127" s="8">
        <v>357009</v>
      </c>
      <c r="R127" s="8">
        <v>357009</v>
      </c>
      <c r="S127" s="8">
        <v>357009</v>
      </c>
      <c r="T127" s="8">
        <v>357009</v>
      </c>
      <c r="U127" s="8">
        <v>357009</v>
      </c>
      <c r="V127" s="8">
        <v>357009</v>
      </c>
      <c r="W127" s="8">
        <v>357009</v>
      </c>
      <c r="X127" s="8">
        <v>357009</v>
      </c>
      <c r="Y127" s="8">
        <v>357009</v>
      </c>
      <c r="Z127" s="8">
        <v>357009</v>
      </c>
      <c r="AA127" s="8">
        <v>357009</v>
      </c>
      <c r="AB127" s="9">
        <f t="shared" si="58"/>
        <v>357009</v>
      </c>
      <c r="AC127" s="8">
        <v>370575</v>
      </c>
      <c r="AD127" s="8">
        <v>370575</v>
      </c>
      <c r="AE127" s="8">
        <v>370575</v>
      </c>
      <c r="AF127" s="8">
        <v>370575</v>
      </c>
      <c r="AG127" s="8">
        <v>370575</v>
      </c>
      <c r="AH127" s="8">
        <v>370575</v>
      </c>
      <c r="AI127" s="8">
        <v>370575</v>
      </c>
      <c r="AJ127" s="8">
        <v>370575</v>
      </c>
      <c r="AK127" s="8">
        <v>370575</v>
      </c>
      <c r="AL127" s="8">
        <v>370575</v>
      </c>
      <c r="AM127" s="8">
        <v>370575</v>
      </c>
      <c r="AN127" s="8">
        <v>370575</v>
      </c>
      <c r="AO127" s="9">
        <f t="shared" si="59"/>
        <v>370575</v>
      </c>
      <c r="AP127" s="8">
        <v>381692</v>
      </c>
      <c r="AQ127" s="8">
        <v>381692</v>
      </c>
      <c r="AR127" s="8">
        <v>381692</v>
      </c>
      <c r="AS127" s="8">
        <v>381692</v>
      </c>
      <c r="AT127" s="8">
        <v>381692</v>
      </c>
      <c r="AU127" s="8">
        <v>381692</v>
      </c>
      <c r="AV127" s="8">
        <v>381692</v>
      </c>
      <c r="AW127" s="8">
        <v>381692</v>
      </c>
      <c r="AX127" s="8">
        <v>381692</v>
      </c>
      <c r="AY127" s="8">
        <v>381692</v>
      </c>
      <c r="AZ127" s="8">
        <v>381692</v>
      </c>
      <c r="BA127" s="8">
        <v>381692</v>
      </c>
      <c r="BB127" s="9">
        <f t="shared" si="60"/>
        <v>381692</v>
      </c>
      <c r="BC127" s="8">
        <v>391616</v>
      </c>
      <c r="BD127" s="8">
        <v>391616</v>
      </c>
      <c r="BE127" s="8">
        <v>391616</v>
      </c>
      <c r="BF127" s="8">
        <v>391616</v>
      </c>
      <c r="BG127" s="8">
        <v>391616</v>
      </c>
      <c r="BH127" s="8">
        <v>391616</v>
      </c>
      <c r="BI127" s="8">
        <v>391616</v>
      </c>
      <c r="BJ127" s="8">
        <v>391616</v>
      </c>
      <c r="BK127" s="8">
        <v>391616</v>
      </c>
      <c r="BL127" s="8">
        <v>391616</v>
      </c>
      <c r="BM127" s="8">
        <v>391616</v>
      </c>
      <c r="BN127" s="8">
        <v>391616</v>
      </c>
      <c r="BO127" s="9">
        <f t="shared" si="61"/>
        <v>391616</v>
      </c>
      <c r="BP127" s="8">
        <v>0</v>
      </c>
      <c r="BQ127" s="8">
        <v>0</v>
      </c>
      <c r="BR127" s="8">
        <v>0</v>
      </c>
      <c r="BS127" s="8">
        <v>0</v>
      </c>
      <c r="BT127" s="8">
        <v>0</v>
      </c>
      <c r="BU127" s="8">
        <v>0</v>
      </c>
      <c r="BV127" s="8">
        <v>0</v>
      </c>
      <c r="BW127" s="8">
        <v>0</v>
      </c>
      <c r="BX127" s="8">
        <v>0</v>
      </c>
      <c r="BY127" s="8">
        <v>0</v>
      </c>
      <c r="BZ127" s="8">
        <v>0</v>
      </c>
      <c r="CA127" s="8">
        <v>0</v>
      </c>
      <c r="CB127" s="9">
        <f t="shared" si="62"/>
        <v>0</v>
      </c>
      <c r="CC127" s="8">
        <v>79142</v>
      </c>
      <c r="CD127" s="8">
        <v>79142</v>
      </c>
      <c r="CE127" s="8">
        <v>79142</v>
      </c>
      <c r="CF127" s="8">
        <v>79142</v>
      </c>
      <c r="CG127" s="8">
        <v>79142</v>
      </c>
      <c r="CH127" s="8">
        <v>79142</v>
      </c>
      <c r="CI127" s="8">
        <v>79142</v>
      </c>
      <c r="CJ127" s="8">
        <v>79142</v>
      </c>
      <c r="CK127" s="8">
        <v>79142</v>
      </c>
      <c r="CL127" s="8">
        <v>79142</v>
      </c>
      <c r="CM127" s="8">
        <v>79142</v>
      </c>
      <c r="CN127" s="8">
        <v>79142</v>
      </c>
      <c r="CO127" s="9">
        <f t="shared" si="63"/>
        <v>79142</v>
      </c>
      <c r="CP127" s="8">
        <v>333094</v>
      </c>
      <c r="CQ127" s="8">
        <v>333094</v>
      </c>
      <c r="CR127" s="8">
        <v>333094</v>
      </c>
      <c r="CS127" s="8">
        <v>333094</v>
      </c>
      <c r="CT127" s="8">
        <v>333094</v>
      </c>
      <c r="CU127" s="8">
        <v>333094</v>
      </c>
      <c r="CV127" s="8">
        <v>333094</v>
      </c>
      <c r="CW127" s="8">
        <v>333094</v>
      </c>
      <c r="CX127" s="8">
        <v>333094</v>
      </c>
      <c r="CY127" s="8">
        <v>333094</v>
      </c>
      <c r="CZ127" s="8">
        <v>333094</v>
      </c>
      <c r="DA127" s="8">
        <v>333094</v>
      </c>
      <c r="DB127" s="9">
        <f t="shared" si="64"/>
        <v>333094</v>
      </c>
      <c r="DC127" s="8">
        <v>451628</v>
      </c>
      <c r="DD127" s="8">
        <v>451628</v>
      </c>
      <c r="DE127" s="8">
        <v>451628</v>
      </c>
      <c r="DF127" s="8">
        <v>451628</v>
      </c>
      <c r="DG127" s="8">
        <v>451628</v>
      </c>
      <c r="DH127" s="8">
        <v>451628</v>
      </c>
      <c r="DI127" s="8">
        <v>451628</v>
      </c>
      <c r="DJ127" s="8">
        <v>451628</v>
      </c>
      <c r="DK127" s="8">
        <v>451628</v>
      </c>
      <c r="DL127" s="8">
        <v>451628</v>
      </c>
      <c r="DM127" s="8">
        <v>451628</v>
      </c>
      <c r="DN127" s="8">
        <v>451628</v>
      </c>
      <c r="DO127" s="9">
        <f t="shared" si="65"/>
        <v>451628</v>
      </c>
      <c r="DP127" s="8">
        <v>480081</v>
      </c>
      <c r="DQ127" s="8">
        <v>480081</v>
      </c>
      <c r="DR127" s="8">
        <v>480081</v>
      </c>
      <c r="DS127" s="8">
        <v>480081</v>
      </c>
      <c r="DT127" s="8">
        <v>480081</v>
      </c>
      <c r="DU127" s="8">
        <v>480081</v>
      </c>
      <c r="DV127" s="8">
        <v>480081</v>
      </c>
      <c r="DW127" s="8">
        <v>480081</v>
      </c>
      <c r="DX127" s="8">
        <v>480081</v>
      </c>
      <c r="DY127" s="8">
        <v>480081</v>
      </c>
      <c r="DZ127" s="8">
        <v>480081</v>
      </c>
      <c r="EA127" s="8">
        <v>480081</v>
      </c>
      <c r="EB127" s="9">
        <f t="shared" si="66"/>
        <v>480081</v>
      </c>
      <c r="EC127" s="8">
        <v>439733</v>
      </c>
      <c r="ED127" s="8">
        <v>439733</v>
      </c>
      <c r="EE127" s="8">
        <v>439733</v>
      </c>
      <c r="EF127" s="8">
        <v>439733</v>
      </c>
      <c r="EG127" s="8">
        <v>439733</v>
      </c>
      <c r="EH127" s="8">
        <v>439733</v>
      </c>
      <c r="EI127" s="8">
        <v>439733</v>
      </c>
      <c r="EJ127" s="8">
        <v>439733</v>
      </c>
      <c r="EK127" s="8">
        <v>439733</v>
      </c>
      <c r="EL127" s="8">
        <v>439733</v>
      </c>
      <c r="EM127" s="8">
        <v>439733</v>
      </c>
      <c r="EN127" s="8">
        <v>439733</v>
      </c>
      <c r="EO127" s="9">
        <f t="shared" si="67"/>
        <v>439733</v>
      </c>
      <c r="EP127" s="8">
        <v>458202</v>
      </c>
      <c r="EQ127" s="8">
        <v>458202</v>
      </c>
      <c r="ER127" s="8">
        <v>458202</v>
      </c>
      <c r="ES127" s="8">
        <v>458202</v>
      </c>
      <c r="ET127" s="8">
        <v>458202</v>
      </c>
      <c r="EU127" s="8">
        <v>458202</v>
      </c>
      <c r="EV127" s="8">
        <v>458202</v>
      </c>
      <c r="EW127" s="8">
        <v>458202</v>
      </c>
      <c r="EX127" s="8">
        <v>458202</v>
      </c>
      <c r="EY127" s="8">
        <v>458202</v>
      </c>
      <c r="EZ127" s="8">
        <v>458202</v>
      </c>
      <c r="FA127" s="8">
        <v>458202</v>
      </c>
      <c r="FB127" s="9">
        <f t="shared" si="68"/>
        <v>458202</v>
      </c>
      <c r="FC127" s="8">
        <v>472406</v>
      </c>
      <c r="FD127" s="8">
        <v>472406</v>
      </c>
      <c r="FE127" s="8">
        <v>472406</v>
      </c>
      <c r="FF127" s="8">
        <v>472406</v>
      </c>
      <c r="FG127" s="8">
        <v>472406</v>
      </c>
      <c r="FH127" s="8">
        <v>472406</v>
      </c>
      <c r="FI127" s="8">
        <v>472406</v>
      </c>
      <c r="FJ127" s="8"/>
      <c r="FK127" s="8"/>
      <c r="FL127" s="8"/>
      <c r="FM127" s="8"/>
      <c r="FN127" s="8"/>
      <c r="FO127" s="9">
        <f t="shared" si="69"/>
        <v>472406</v>
      </c>
    </row>
    <row r="128" spans="2:171" ht="14.25" customHeight="1" x14ac:dyDescent="0.3">
      <c r="B128" s="7" t="s">
        <v>52</v>
      </c>
      <c r="C128" s="8">
        <v>357298</v>
      </c>
      <c r="D128" s="8">
        <v>357298</v>
      </c>
      <c r="E128" s="8">
        <v>357298</v>
      </c>
      <c r="F128" s="8">
        <v>357298</v>
      </c>
      <c r="G128" s="8">
        <v>357298</v>
      </c>
      <c r="H128" s="8">
        <v>357298</v>
      </c>
      <c r="I128" s="8">
        <v>357298</v>
      </c>
      <c r="J128" s="8">
        <v>357298</v>
      </c>
      <c r="K128" s="8">
        <v>357298</v>
      </c>
      <c r="L128" s="8">
        <v>357298</v>
      </c>
      <c r="M128" s="8">
        <v>357298</v>
      </c>
      <c r="N128" s="8">
        <v>357298</v>
      </c>
      <c r="O128" s="9">
        <f t="shared" si="57"/>
        <v>357298</v>
      </c>
      <c r="P128" s="8">
        <v>368017</v>
      </c>
      <c r="Q128" s="8">
        <v>368017</v>
      </c>
      <c r="R128" s="8">
        <v>368017</v>
      </c>
      <c r="S128" s="8">
        <v>368017</v>
      </c>
      <c r="T128" s="8">
        <v>368017</v>
      </c>
      <c r="U128" s="8">
        <v>368017</v>
      </c>
      <c r="V128" s="8">
        <v>368017</v>
      </c>
      <c r="W128" s="8">
        <v>368017</v>
      </c>
      <c r="X128" s="8">
        <v>368017</v>
      </c>
      <c r="Y128" s="8">
        <v>368017</v>
      </c>
      <c r="Z128" s="8">
        <v>368017</v>
      </c>
      <c r="AA128" s="8">
        <v>368017</v>
      </c>
      <c r="AB128" s="9">
        <f t="shared" si="58"/>
        <v>368017</v>
      </c>
      <c r="AC128" s="8">
        <v>382002</v>
      </c>
      <c r="AD128" s="8">
        <v>382002</v>
      </c>
      <c r="AE128" s="8">
        <v>382002</v>
      </c>
      <c r="AF128" s="8">
        <v>382002</v>
      </c>
      <c r="AG128" s="8">
        <v>382002</v>
      </c>
      <c r="AH128" s="8">
        <v>382002</v>
      </c>
      <c r="AI128" s="8">
        <v>382002</v>
      </c>
      <c r="AJ128" s="8">
        <v>382002</v>
      </c>
      <c r="AK128" s="8">
        <v>382002</v>
      </c>
      <c r="AL128" s="8">
        <v>382002</v>
      </c>
      <c r="AM128" s="8">
        <v>382002</v>
      </c>
      <c r="AN128" s="8">
        <v>382002</v>
      </c>
      <c r="AO128" s="9">
        <f t="shared" si="59"/>
        <v>382002</v>
      </c>
      <c r="AP128" s="8">
        <v>393462</v>
      </c>
      <c r="AQ128" s="8">
        <v>393462</v>
      </c>
      <c r="AR128" s="8">
        <v>393462</v>
      </c>
      <c r="AS128" s="8">
        <v>393462</v>
      </c>
      <c r="AT128" s="8">
        <v>393462</v>
      </c>
      <c r="AU128" s="8">
        <v>393462</v>
      </c>
      <c r="AV128" s="8">
        <v>393462</v>
      </c>
      <c r="AW128" s="8">
        <v>393462</v>
      </c>
      <c r="AX128" s="8">
        <v>393462</v>
      </c>
      <c r="AY128" s="8">
        <v>393462</v>
      </c>
      <c r="AZ128" s="8">
        <v>393462</v>
      </c>
      <c r="BA128" s="8">
        <v>393462</v>
      </c>
      <c r="BB128" s="9">
        <f t="shared" si="60"/>
        <v>393462</v>
      </c>
      <c r="BC128" s="8">
        <v>403692</v>
      </c>
      <c r="BD128" s="8">
        <v>403692</v>
      </c>
      <c r="BE128" s="8">
        <v>403692</v>
      </c>
      <c r="BF128" s="8">
        <v>403692</v>
      </c>
      <c r="BG128" s="8">
        <v>403692</v>
      </c>
      <c r="BH128" s="8">
        <v>403692</v>
      </c>
      <c r="BI128" s="8">
        <v>403692</v>
      </c>
      <c r="BJ128" s="8">
        <v>403692</v>
      </c>
      <c r="BK128" s="8">
        <v>403692</v>
      </c>
      <c r="BL128" s="8">
        <v>403692</v>
      </c>
      <c r="BM128" s="8">
        <v>403692</v>
      </c>
      <c r="BN128" s="8">
        <v>403692</v>
      </c>
      <c r="BO128" s="9">
        <f t="shared" si="61"/>
        <v>403692</v>
      </c>
      <c r="BP128" s="8">
        <v>0</v>
      </c>
      <c r="BQ128" s="8">
        <v>0</v>
      </c>
      <c r="BR128" s="8">
        <v>0</v>
      </c>
      <c r="BS128" s="8">
        <v>0</v>
      </c>
      <c r="BT128" s="8">
        <v>0</v>
      </c>
      <c r="BU128" s="8">
        <v>0</v>
      </c>
      <c r="BV128" s="8">
        <v>0</v>
      </c>
      <c r="BW128" s="8">
        <v>0</v>
      </c>
      <c r="BX128" s="8">
        <v>0</v>
      </c>
      <c r="BY128" s="8">
        <v>0</v>
      </c>
      <c r="BZ128" s="8">
        <v>0</v>
      </c>
      <c r="CA128" s="8">
        <v>0</v>
      </c>
      <c r="CB128" s="9">
        <f t="shared" si="62"/>
        <v>0</v>
      </c>
      <c r="CC128" s="8">
        <v>108890</v>
      </c>
      <c r="CD128" s="8">
        <v>108890</v>
      </c>
      <c r="CE128" s="8">
        <v>108890</v>
      </c>
      <c r="CF128" s="8">
        <v>108890</v>
      </c>
      <c r="CG128" s="8">
        <v>108890</v>
      </c>
      <c r="CH128" s="8">
        <v>108890</v>
      </c>
      <c r="CI128" s="8">
        <v>108890</v>
      </c>
      <c r="CJ128" s="8">
        <v>108890</v>
      </c>
      <c r="CK128" s="8">
        <v>108890</v>
      </c>
      <c r="CL128" s="8">
        <v>108890</v>
      </c>
      <c r="CM128" s="8">
        <v>108890</v>
      </c>
      <c r="CN128" s="8">
        <v>108890</v>
      </c>
      <c r="CO128" s="9">
        <f t="shared" si="63"/>
        <v>108890</v>
      </c>
      <c r="CP128" s="8">
        <v>476890</v>
      </c>
      <c r="CQ128" s="8">
        <v>476890</v>
      </c>
      <c r="CR128" s="8">
        <v>476890</v>
      </c>
      <c r="CS128" s="8">
        <v>476890</v>
      </c>
      <c r="CT128" s="8">
        <v>476890</v>
      </c>
      <c r="CU128" s="8">
        <v>476890</v>
      </c>
      <c r="CV128" s="8">
        <v>476890</v>
      </c>
      <c r="CW128" s="8">
        <v>476890</v>
      </c>
      <c r="CX128" s="8">
        <v>476890</v>
      </c>
      <c r="CY128" s="8">
        <v>476890</v>
      </c>
      <c r="CZ128" s="8">
        <v>476890</v>
      </c>
      <c r="DA128" s="8">
        <v>476890</v>
      </c>
      <c r="DB128" s="9">
        <f t="shared" si="64"/>
        <v>476890</v>
      </c>
      <c r="DC128" s="8">
        <v>651404</v>
      </c>
      <c r="DD128" s="8">
        <v>651404</v>
      </c>
      <c r="DE128" s="8">
        <v>651404</v>
      </c>
      <c r="DF128" s="8">
        <v>651404</v>
      </c>
      <c r="DG128" s="8">
        <v>651404</v>
      </c>
      <c r="DH128" s="8">
        <v>651404</v>
      </c>
      <c r="DI128" s="8">
        <v>651404</v>
      </c>
      <c r="DJ128" s="8">
        <v>651404</v>
      </c>
      <c r="DK128" s="8">
        <v>651404</v>
      </c>
      <c r="DL128" s="8">
        <v>651404</v>
      </c>
      <c r="DM128" s="8">
        <v>651404</v>
      </c>
      <c r="DN128" s="8">
        <v>651404</v>
      </c>
      <c r="DO128" s="9">
        <f t="shared" si="65"/>
        <v>651404</v>
      </c>
      <c r="DP128" s="8">
        <v>692443</v>
      </c>
      <c r="DQ128" s="8">
        <v>692443</v>
      </c>
      <c r="DR128" s="8">
        <v>692443</v>
      </c>
      <c r="DS128" s="8">
        <v>692443</v>
      </c>
      <c r="DT128" s="8">
        <v>692443</v>
      </c>
      <c r="DU128" s="8">
        <v>692443</v>
      </c>
      <c r="DV128" s="8">
        <v>692443</v>
      </c>
      <c r="DW128" s="8">
        <v>692443</v>
      </c>
      <c r="DX128" s="8">
        <v>692443</v>
      </c>
      <c r="DY128" s="8">
        <v>692443</v>
      </c>
      <c r="DZ128" s="8">
        <v>692443</v>
      </c>
      <c r="EA128" s="8">
        <v>692443</v>
      </c>
      <c r="EB128" s="9">
        <f t="shared" si="66"/>
        <v>692443</v>
      </c>
      <c r="EC128" s="8">
        <v>634247</v>
      </c>
      <c r="ED128" s="8">
        <v>634247</v>
      </c>
      <c r="EE128" s="8">
        <v>634247</v>
      </c>
      <c r="EF128" s="8">
        <v>634247</v>
      </c>
      <c r="EG128" s="8">
        <v>634247</v>
      </c>
      <c r="EH128" s="8">
        <v>634247</v>
      </c>
      <c r="EI128" s="8">
        <v>634247</v>
      </c>
      <c r="EJ128" s="8">
        <v>634247</v>
      </c>
      <c r="EK128" s="8">
        <v>634247</v>
      </c>
      <c r="EL128" s="8">
        <v>634247</v>
      </c>
      <c r="EM128" s="8">
        <v>634247</v>
      </c>
      <c r="EN128" s="8">
        <v>634247</v>
      </c>
      <c r="EO128" s="9">
        <f t="shared" si="67"/>
        <v>634247</v>
      </c>
      <c r="EP128" s="8">
        <v>660885</v>
      </c>
      <c r="EQ128" s="8">
        <v>660885</v>
      </c>
      <c r="ER128" s="8">
        <v>660885</v>
      </c>
      <c r="ES128" s="8">
        <v>660885</v>
      </c>
      <c r="ET128" s="8">
        <v>660885</v>
      </c>
      <c r="EU128" s="8">
        <v>660885</v>
      </c>
      <c r="EV128" s="8">
        <v>660885</v>
      </c>
      <c r="EW128" s="8">
        <v>660885</v>
      </c>
      <c r="EX128" s="8">
        <v>660885</v>
      </c>
      <c r="EY128" s="8">
        <v>660885</v>
      </c>
      <c r="EZ128" s="8">
        <v>660885</v>
      </c>
      <c r="FA128" s="8">
        <v>660885</v>
      </c>
      <c r="FB128" s="9">
        <f t="shared" si="68"/>
        <v>660885</v>
      </c>
      <c r="FC128" s="8">
        <v>681372</v>
      </c>
      <c r="FD128" s="8">
        <v>681372</v>
      </c>
      <c r="FE128" s="8">
        <v>681372</v>
      </c>
      <c r="FF128" s="8">
        <v>681372</v>
      </c>
      <c r="FG128" s="8">
        <v>681372</v>
      </c>
      <c r="FH128" s="8">
        <v>681372</v>
      </c>
      <c r="FI128" s="8">
        <v>681372</v>
      </c>
      <c r="FJ128" s="8"/>
      <c r="FK128" s="8"/>
      <c r="FL128" s="8"/>
      <c r="FM128" s="8"/>
      <c r="FN128" s="8"/>
      <c r="FO128" s="9">
        <f t="shared" si="69"/>
        <v>681372</v>
      </c>
    </row>
    <row r="129" spans="2:171" ht="14.25" customHeight="1" x14ac:dyDescent="0.3">
      <c r="B129" s="7" t="s">
        <v>53</v>
      </c>
      <c r="C129" s="8">
        <v>286402</v>
      </c>
      <c r="D129" s="8">
        <v>286402</v>
      </c>
      <c r="E129" s="8">
        <v>286402</v>
      </c>
      <c r="F129" s="8">
        <v>286402</v>
      </c>
      <c r="G129" s="8">
        <v>286402</v>
      </c>
      <c r="H129" s="8">
        <v>286402</v>
      </c>
      <c r="I129" s="8">
        <v>286402</v>
      </c>
      <c r="J129" s="8">
        <v>286402</v>
      </c>
      <c r="K129" s="8">
        <v>286402</v>
      </c>
      <c r="L129" s="8">
        <v>286402</v>
      </c>
      <c r="M129" s="8">
        <v>286402</v>
      </c>
      <c r="N129" s="8">
        <v>286402</v>
      </c>
      <c r="O129" s="9">
        <f t="shared" si="57"/>
        <v>286402</v>
      </c>
      <c r="P129" s="8">
        <v>294994</v>
      </c>
      <c r="Q129" s="8">
        <v>294994</v>
      </c>
      <c r="R129" s="8">
        <v>294994</v>
      </c>
      <c r="S129" s="8">
        <v>294994</v>
      </c>
      <c r="T129" s="8">
        <v>294994</v>
      </c>
      <c r="U129" s="8">
        <v>294994</v>
      </c>
      <c r="V129" s="8">
        <v>294994</v>
      </c>
      <c r="W129" s="8">
        <v>294994</v>
      </c>
      <c r="X129" s="8">
        <v>294994</v>
      </c>
      <c r="Y129" s="8">
        <v>294994</v>
      </c>
      <c r="Z129" s="8">
        <v>294994</v>
      </c>
      <c r="AA129" s="8">
        <v>294994</v>
      </c>
      <c r="AB129" s="9">
        <f t="shared" si="58"/>
        <v>294994</v>
      </c>
      <c r="AC129" s="8">
        <v>306204</v>
      </c>
      <c r="AD129" s="8">
        <v>306204</v>
      </c>
      <c r="AE129" s="8">
        <v>306204</v>
      </c>
      <c r="AF129" s="8">
        <v>306204</v>
      </c>
      <c r="AG129" s="8">
        <v>306204</v>
      </c>
      <c r="AH129" s="8">
        <v>306204</v>
      </c>
      <c r="AI129" s="8">
        <v>306204</v>
      </c>
      <c r="AJ129" s="8">
        <v>306204</v>
      </c>
      <c r="AK129" s="8">
        <v>306204</v>
      </c>
      <c r="AL129" s="8">
        <v>306204</v>
      </c>
      <c r="AM129" s="8">
        <v>306204</v>
      </c>
      <c r="AN129" s="8">
        <v>306204</v>
      </c>
      <c r="AO129" s="9">
        <f t="shared" si="59"/>
        <v>306204</v>
      </c>
      <c r="AP129" s="8">
        <v>315390</v>
      </c>
      <c r="AQ129" s="8">
        <v>315390</v>
      </c>
      <c r="AR129" s="8">
        <v>315390</v>
      </c>
      <c r="AS129" s="8">
        <v>315390</v>
      </c>
      <c r="AT129" s="8">
        <v>315390</v>
      </c>
      <c r="AU129" s="8">
        <v>315390</v>
      </c>
      <c r="AV129" s="8">
        <v>315390</v>
      </c>
      <c r="AW129" s="8">
        <v>315390</v>
      </c>
      <c r="AX129" s="8">
        <v>315390</v>
      </c>
      <c r="AY129" s="8">
        <v>315390</v>
      </c>
      <c r="AZ129" s="8">
        <v>315390</v>
      </c>
      <c r="BA129" s="8">
        <v>315390</v>
      </c>
      <c r="BB129" s="9">
        <f t="shared" si="60"/>
        <v>315390</v>
      </c>
      <c r="BC129" s="8">
        <v>323590</v>
      </c>
      <c r="BD129" s="8">
        <v>323590</v>
      </c>
      <c r="BE129" s="8">
        <v>323590</v>
      </c>
      <c r="BF129" s="8">
        <v>323590</v>
      </c>
      <c r="BG129" s="8">
        <v>323590</v>
      </c>
      <c r="BH129" s="8">
        <v>323590</v>
      </c>
      <c r="BI129" s="8">
        <v>323590</v>
      </c>
      <c r="BJ129" s="8">
        <v>323590</v>
      </c>
      <c r="BK129" s="8">
        <v>323590</v>
      </c>
      <c r="BL129" s="8">
        <v>323590</v>
      </c>
      <c r="BM129" s="8">
        <v>323590</v>
      </c>
      <c r="BN129" s="8">
        <v>323590</v>
      </c>
      <c r="BO129" s="9">
        <f t="shared" si="61"/>
        <v>323590</v>
      </c>
      <c r="BP129" s="8">
        <v>0</v>
      </c>
      <c r="BQ129" s="8">
        <v>0</v>
      </c>
      <c r="BR129" s="8">
        <v>0</v>
      </c>
      <c r="BS129" s="8">
        <v>0</v>
      </c>
      <c r="BT129" s="8">
        <v>0</v>
      </c>
      <c r="BU129" s="8">
        <v>0</v>
      </c>
      <c r="BV129" s="8">
        <v>0</v>
      </c>
      <c r="BW129" s="8">
        <v>0</v>
      </c>
      <c r="BX129" s="8">
        <v>0</v>
      </c>
      <c r="BY129" s="8">
        <v>0</v>
      </c>
      <c r="BZ129" s="8">
        <v>0</v>
      </c>
      <c r="CA129" s="8">
        <v>0</v>
      </c>
      <c r="CB129" s="9">
        <f t="shared" si="62"/>
        <v>0</v>
      </c>
      <c r="CC129" s="8">
        <v>40833</v>
      </c>
      <c r="CD129" s="8">
        <v>40833</v>
      </c>
      <c r="CE129" s="8">
        <v>40833</v>
      </c>
      <c r="CF129" s="8">
        <v>40833</v>
      </c>
      <c r="CG129" s="8">
        <v>40833</v>
      </c>
      <c r="CH129" s="8">
        <v>40833</v>
      </c>
      <c r="CI129" s="8">
        <v>40833</v>
      </c>
      <c r="CJ129" s="8">
        <v>40833</v>
      </c>
      <c r="CK129" s="8">
        <v>40833</v>
      </c>
      <c r="CL129" s="8">
        <v>40833</v>
      </c>
      <c r="CM129" s="8">
        <v>40833</v>
      </c>
      <c r="CN129" s="8">
        <v>40833</v>
      </c>
      <c r="CO129" s="9">
        <f t="shared" si="63"/>
        <v>40833</v>
      </c>
      <c r="CP129" s="8">
        <v>180349</v>
      </c>
      <c r="CQ129" s="8">
        <v>180349</v>
      </c>
      <c r="CR129" s="8">
        <v>180349</v>
      </c>
      <c r="CS129" s="8">
        <v>180349</v>
      </c>
      <c r="CT129" s="8">
        <v>180349</v>
      </c>
      <c r="CU129" s="8">
        <v>180349</v>
      </c>
      <c r="CV129" s="8">
        <v>180349</v>
      </c>
      <c r="CW129" s="8">
        <v>180349</v>
      </c>
      <c r="CX129" s="8">
        <v>180349</v>
      </c>
      <c r="CY129" s="8">
        <v>180349</v>
      </c>
      <c r="CZ129" s="8">
        <v>180349</v>
      </c>
      <c r="DA129" s="8">
        <v>180349</v>
      </c>
      <c r="DB129" s="9">
        <f t="shared" si="64"/>
        <v>180349</v>
      </c>
      <c r="DC129" s="8">
        <v>250008</v>
      </c>
      <c r="DD129" s="8">
        <v>250008</v>
      </c>
      <c r="DE129" s="8">
        <v>250008</v>
      </c>
      <c r="DF129" s="8">
        <v>250008</v>
      </c>
      <c r="DG129" s="8">
        <v>250008</v>
      </c>
      <c r="DH129" s="8">
        <v>250008</v>
      </c>
      <c r="DI129" s="8">
        <v>250008</v>
      </c>
      <c r="DJ129" s="8">
        <v>250008</v>
      </c>
      <c r="DK129" s="8">
        <v>250008</v>
      </c>
      <c r="DL129" s="8">
        <v>250008</v>
      </c>
      <c r="DM129" s="8">
        <v>250008</v>
      </c>
      <c r="DN129" s="8">
        <v>250008</v>
      </c>
      <c r="DO129" s="9">
        <f t="shared" si="65"/>
        <v>250008</v>
      </c>
      <c r="DP129" s="8">
        <v>265759</v>
      </c>
      <c r="DQ129" s="8">
        <v>265759</v>
      </c>
      <c r="DR129" s="8">
        <v>265759</v>
      </c>
      <c r="DS129" s="8">
        <v>265759</v>
      </c>
      <c r="DT129" s="8">
        <v>265759</v>
      </c>
      <c r="DU129" s="8">
        <v>265759</v>
      </c>
      <c r="DV129" s="8">
        <v>265759</v>
      </c>
      <c r="DW129" s="8">
        <v>265759</v>
      </c>
      <c r="DX129" s="8">
        <v>265759</v>
      </c>
      <c r="DY129" s="8">
        <v>265759</v>
      </c>
      <c r="DZ129" s="8">
        <v>265759</v>
      </c>
      <c r="EA129" s="8">
        <v>265759</v>
      </c>
      <c r="EB129" s="9">
        <f t="shared" si="66"/>
        <v>265759</v>
      </c>
      <c r="EC129" s="8">
        <v>243422</v>
      </c>
      <c r="ED129" s="8">
        <v>243422</v>
      </c>
      <c r="EE129" s="8">
        <v>243422</v>
      </c>
      <c r="EF129" s="8">
        <v>243422</v>
      </c>
      <c r="EG129" s="8">
        <v>243422</v>
      </c>
      <c r="EH129" s="8">
        <v>243422</v>
      </c>
      <c r="EI129" s="8">
        <v>243422</v>
      </c>
      <c r="EJ129" s="8">
        <v>243422</v>
      </c>
      <c r="EK129" s="8">
        <v>243422</v>
      </c>
      <c r="EL129" s="8">
        <v>243422</v>
      </c>
      <c r="EM129" s="8">
        <v>243422</v>
      </c>
      <c r="EN129" s="8">
        <v>243422</v>
      </c>
      <c r="EO129" s="9">
        <f t="shared" si="67"/>
        <v>243422</v>
      </c>
      <c r="EP129" s="8">
        <v>253646</v>
      </c>
      <c r="EQ129" s="8">
        <v>253646</v>
      </c>
      <c r="ER129" s="8">
        <v>253646</v>
      </c>
      <c r="ES129" s="8">
        <v>253646</v>
      </c>
      <c r="ET129" s="8">
        <v>253646</v>
      </c>
      <c r="EU129" s="8">
        <v>253646</v>
      </c>
      <c r="EV129" s="8">
        <v>253646</v>
      </c>
      <c r="EW129" s="8">
        <v>253646</v>
      </c>
      <c r="EX129" s="8">
        <v>253646</v>
      </c>
      <c r="EY129" s="8">
        <v>253646</v>
      </c>
      <c r="EZ129" s="8">
        <v>253646</v>
      </c>
      <c r="FA129" s="8">
        <v>253646</v>
      </c>
      <c r="FB129" s="9">
        <f t="shared" si="68"/>
        <v>253646</v>
      </c>
      <c r="FC129" s="8">
        <v>261509</v>
      </c>
      <c r="FD129" s="8">
        <v>261509</v>
      </c>
      <c r="FE129" s="8">
        <v>261509</v>
      </c>
      <c r="FF129" s="8">
        <v>261509</v>
      </c>
      <c r="FG129" s="8">
        <v>261509</v>
      </c>
      <c r="FH129" s="8">
        <v>261509</v>
      </c>
      <c r="FI129" s="8">
        <v>261509</v>
      </c>
      <c r="FJ129" s="8"/>
      <c r="FK129" s="8"/>
      <c r="FL129" s="8"/>
      <c r="FM129" s="8"/>
      <c r="FN129" s="8"/>
      <c r="FO129" s="9">
        <f t="shared" si="69"/>
        <v>261509</v>
      </c>
    </row>
    <row r="130" spans="2:171" ht="14.25" customHeight="1" x14ac:dyDescent="0.3">
      <c r="B130" s="7" t="s">
        <v>54</v>
      </c>
      <c r="C130" s="8">
        <v>282051</v>
      </c>
      <c r="D130" s="8">
        <v>282051</v>
      </c>
      <c r="E130" s="8">
        <v>282051</v>
      </c>
      <c r="F130" s="8">
        <v>282051</v>
      </c>
      <c r="G130" s="8">
        <v>282051</v>
      </c>
      <c r="H130" s="8">
        <v>282051</v>
      </c>
      <c r="I130" s="8">
        <v>282051</v>
      </c>
      <c r="J130" s="8">
        <v>282051</v>
      </c>
      <c r="K130" s="8">
        <v>282051</v>
      </c>
      <c r="L130" s="8">
        <v>282051</v>
      </c>
      <c r="M130" s="8">
        <v>282051</v>
      </c>
      <c r="N130" s="8">
        <v>282051</v>
      </c>
      <c r="O130" s="9">
        <f t="shared" si="57"/>
        <v>282051</v>
      </c>
      <c r="P130" s="8">
        <v>290513</v>
      </c>
      <c r="Q130" s="8">
        <v>290513</v>
      </c>
      <c r="R130" s="8">
        <v>290513</v>
      </c>
      <c r="S130" s="8">
        <v>290513</v>
      </c>
      <c r="T130" s="8">
        <v>290513</v>
      </c>
      <c r="U130" s="8">
        <v>290513</v>
      </c>
      <c r="V130" s="8">
        <v>290513</v>
      </c>
      <c r="W130" s="8">
        <v>290513</v>
      </c>
      <c r="X130" s="8">
        <v>290513</v>
      </c>
      <c r="Y130" s="8">
        <v>290513</v>
      </c>
      <c r="Z130" s="8">
        <v>290513</v>
      </c>
      <c r="AA130" s="8">
        <v>290513</v>
      </c>
      <c r="AB130" s="9">
        <f t="shared" si="58"/>
        <v>290513</v>
      </c>
      <c r="AC130" s="8">
        <v>301552</v>
      </c>
      <c r="AD130" s="8">
        <v>301552</v>
      </c>
      <c r="AE130" s="8">
        <v>301552</v>
      </c>
      <c r="AF130" s="8">
        <v>301552</v>
      </c>
      <c r="AG130" s="8">
        <v>301552</v>
      </c>
      <c r="AH130" s="8">
        <v>301552</v>
      </c>
      <c r="AI130" s="8">
        <v>301552</v>
      </c>
      <c r="AJ130" s="8">
        <v>301552</v>
      </c>
      <c r="AK130" s="8">
        <v>301552</v>
      </c>
      <c r="AL130" s="8">
        <v>301552</v>
      </c>
      <c r="AM130" s="8">
        <v>301552</v>
      </c>
      <c r="AN130" s="8">
        <v>301552</v>
      </c>
      <c r="AO130" s="9">
        <f t="shared" si="59"/>
        <v>301552</v>
      </c>
      <c r="AP130" s="8">
        <v>310599</v>
      </c>
      <c r="AQ130" s="8">
        <v>310599</v>
      </c>
      <c r="AR130" s="8">
        <v>310599</v>
      </c>
      <c r="AS130" s="8">
        <v>310599</v>
      </c>
      <c r="AT130" s="8">
        <v>310599</v>
      </c>
      <c r="AU130" s="8">
        <v>310599</v>
      </c>
      <c r="AV130" s="8">
        <v>310599</v>
      </c>
      <c r="AW130" s="8">
        <v>310599</v>
      </c>
      <c r="AX130" s="8">
        <v>310599</v>
      </c>
      <c r="AY130" s="8">
        <v>310599</v>
      </c>
      <c r="AZ130" s="8">
        <v>310599</v>
      </c>
      <c r="BA130" s="8">
        <v>310599</v>
      </c>
      <c r="BB130" s="9">
        <f t="shared" si="60"/>
        <v>310599</v>
      </c>
      <c r="BC130" s="8">
        <v>318675</v>
      </c>
      <c r="BD130" s="8">
        <v>318675</v>
      </c>
      <c r="BE130" s="8">
        <v>318675</v>
      </c>
      <c r="BF130" s="8">
        <v>318675</v>
      </c>
      <c r="BG130" s="8">
        <v>318675</v>
      </c>
      <c r="BH130" s="8">
        <v>318675</v>
      </c>
      <c r="BI130" s="8">
        <v>318675</v>
      </c>
      <c r="BJ130" s="8">
        <v>318675</v>
      </c>
      <c r="BK130" s="8">
        <v>318675</v>
      </c>
      <c r="BL130" s="8">
        <v>318675</v>
      </c>
      <c r="BM130" s="8">
        <v>318675</v>
      </c>
      <c r="BN130" s="8">
        <v>318675</v>
      </c>
      <c r="BO130" s="9">
        <f t="shared" si="61"/>
        <v>318675</v>
      </c>
      <c r="BP130" s="8">
        <v>0</v>
      </c>
      <c r="BQ130" s="8">
        <v>0</v>
      </c>
      <c r="BR130" s="8">
        <v>0</v>
      </c>
      <c r="BS130" s="8">
        <v>0</v>
      </c>
      <c r="BT130" s="8">
        <v>0</v>
      </c>
      <c r="BU130" s="8">
        <v>0</v>
      </c>
      <c r="BV130" s="8">
        <v>0</v>
      </c>
      <c r="BW130" s="8">
        <v>0</v>
      </c>
      <c r="BX130" s="8">
        <v>0</v>
      </c>
      <c r="BY130" s="8">
        <v>0</v>
      </c>
      <c r="BZ130" s="8">
        <v>0</v>
      </c>
      <c r="CA130" s="8">
        <v>0</v>
      </c>
      <c r="CB130" s="9">
        <f t="shared" si="62"/>
        <v>0</v>
      </c>
      <c r="CC130" s="8">
        <v>103121</v>
      </c>
      <c r="CD130" s="8">
        <v>103121</v>
      </c>
      <c r="CE130" s="8">
        <v>103121</v>
      </c>
      <c r="CF130" s="8">
        <v>103121</v>
      </c>
      <c r="CG130" s="8">
        <v>103121</v>
      </c>
      <c r="CH130" s="8">
        <v>103121</v>
      </c>
      <c r="CI130" s="8">
        <v>103121</v>
      </c>
      <c r="CJ130" s="8">
        <v>103121</v>
      </c>
      <c r="CK130" s="8">
        <v>103121</v>
      </c>
      <c r="CL130" s="8">
        <v>103121</v>
      </c>
      <c r="CM130" s="8">
        <v>103121</v>
      </c>
      <c r="CN130" s="8">
        <v>103121</v>
      </c>
      <c r="CO130" s="9">
        <f t="shared" si="63"/>
        <v>103121</v>
      </c>
      <c r="CP130" s="8">
        <v>444000</v>
      </c>
      <c r="CQ130" s="8">
        <v>444000</v>
      </c>
      <c r="CR130" s="8">
        <v>444000</v>
      </c>
      <c r="CS130" s="8">
        <v>444000</v>
      </c>
      <c r="CT130" s="8">
        <v>444000</v>
      </c>
      <c r="CU130" s="8">
        <v>444000</v>
      </c>
      <c r="CV130" s="8">
        <v>444000</v>
      </c>
      <c r="CW130" s="8">
        <v>444000</v>
      </c>
      <c r="CX130" s="8">
        <v>444000</v>
      </c>
      <c r="CY130" s="8">
        <v>444000</v>
      </c>
      <c r="CZ130" s="8">
        <v>444000</v>
      </c>
      <c r="DA130" s="8">
        <v>444000</v>
      </c>
      <c r="DB130" s="9">
        <f t="shared" si="64"/>
        <v>444000</v>
      </c>
      <c r="DC130" s="8">
        <v>609864</v>
      </c>
      <c r="DD130" s="8">
        <v>609864</v>
      </c>
      <c r="DE130" s="8">
        <v>609864</v>
      </c>
      <c r="DF130" s="8">
        <v>609864</v>
      </c>
      <c r="DG130" s="8">
        <v>609864</v>
      </c>
      <c r="DH130" s="8">
        <v>609864</v>
      </c>
      <c r="DI130" s="8">
        <v>609864</v>
      </c>
      <c r="DJ130" s="8">
        <v>609864</v>
      </c>
      <c r="DK130" s="8">
        <v>609864</v>
      </c>
      <c r="DL130" s="8">
        <v>609864</v>
      </c>
      <c r="DM130" s="8">
        <v>609864</v>
      </c>
      <c r="DN130" s="8">
        <v>609864</v>
      </c>
      <c r="DO130" s="9">
        <f t="shared" si="65"/>
        <v>609864</v>
      </c>
      <c r="DP130" s="8">
        <v>648285</v>
      </c>
      <c r="DQ130" s="8">
        <v>648285</v>
      </c>
      <c r="DR130" s="8">
        <v>648285</v>
      </c>
      <c r="DS130" s="8">
        <v>648285</v>
      </c>
      <c r="DT130" s="8">
        <v>648285</v>
      </c>
      <c r="DU130" s="8">
        <v>648285</v>
      </c>
      <c r="DV130" s="8">
        <v>648285</v>
      </c>
      <c r="DW130" s="8">
        <v>648285</v>
      </c>
      <c r="DX130" s="8">
        <v>648285</v>
      </c>
      <c r="DY130" s="8">
        <v>648285</v>
      </c>
      <c r="DZ130" s="8">
        <v>648285</v>
      </c>
      <c r="EA130" s="8">
        <v>648285</v>
      </c>
      <c r="EB130" s="9">
        <f t="shared" si="66"/>
        <v>648285</v>
      </c>
      <c r="EC130" s="8">
        <v>593801</v>
      </c>
      <c r="ED130" s="8">
        <v>593801</v>
      </c>
      <c r="EE130" s="8">
        <v>593801</v>
      </c>
      <c r="EF130" s="8">
        <v>593801</v>
      </c>
      <c r="EG130" s="8">
        <v>593801</v>
      </c>
      <c r="EH130" s="8">
        <v>593801</v>
      </c>
      <c r="EI130" s="8">
        <v>593801</v>
      </c>
      <c r="EJ130" s="8">
        <v>593801</v>
      </c>
      <c r="EK130" s="8">
        <v>593801</v>
      </c>
      <c r="EL130" s="8">
        <v>593801</v>
      </c>
      <c r="EM130" s="8">
        <v>593801</v>
      </c>
      <c r="EN130" s="8">
        <v>593801</v>
      </c>
      <c r="EO130" s="9">
        <f t="shared" si="67"/>
        <v>593801</v>
      </c>
      <c r="EP130" s="8">
        <v>618741</v>
      </c>
      <c r="EQ130" s="8">
        <v>618741</v>
      </c>
      <c r="ER130" s="8">
        <v>618741</v>
      </c>
      <c r="ES130" s="8">
        <v>618741</v>
      </c>
      <c r="ET130" s="8">
        <v>618741</v>
      </c>
      <c r="EU130" s="8">
        <v>618741</v>
      </c>
      <c r="EV130" s="8">
        <v>618741</v>
      </c>
      <c r="EW130" s="8">
        <v>618741</v>
      </c>
      <c r="EX130" s="8">
        <v>618741</v>
      </c>
      <c r="EY130" s="8">
        <v>618741</v>
      </c>
      <c r="EZ130" s="8">
        <v>618741</v>
      </c>
      <c r="FA130" s="8">
        <v>618741</v>
      </c>
      <c r="FB130" s="9">
        <f t="shared" si="68"/>
        <v>618741</v>
      </c>
      <c r="FC130" s="8">
        <v>637922</v>
      </c>
      <c r="FD130" s="8">
        <v>637922</v>
      </c>
      <c r="FE130" s="8">
        <v>637922</v>
      </c>
      <c r="FF130" s="8">
        <v>637922</v>
      </c>
      <c r="FG130" s="8">
        <v>637922</v>
      </c>
      <c r="FH130" s="8">
        <v>637922</v>
      </c>
      <c r="FI130" s="8">
        <v>637922</v>
      </c>
      <c r="FJ130" s="8"/>
      <c r="FK130" s="8"/>
      <c r="FL130" s="8"/>
      <c r="FM130" s="8"/>
      <c r="FN130" s="8"/>
      <c r="FO130" s="9">
        <f t="shared" si="69"/>
        <v>637922</v>
      </c>
    </row>
    <row r="131" spans="2:171" ht="14.25" customHeight="1" x14ac:dyDescent="0.3">
      <c r="B131" s="7" t="s">
        <v>55</v>
      </c>
      <c r="C131" s="8">
        <v>354387</v>
      </c>
      <c r="D131" s="8">
        <v>354387</v>
      </c>
      <c r="E131" s="8">
        <v>354387</v>
      </c>
      <c r="F131" s="8">
        <v>354387</v>
      </c>
      <c r="G131" s="8">
        <v>354387</v>
      </c>
      <c r="H131" s="8">
        <v>354387</v>
      </c>
      <c r="I131" s="8">
        <v>354387</v>
      </c>
      <c r="J131" s="8">
        <v>354387</v>
      </c>
      <c r="K131" s="8">
        <v>354387</v>
      </c>
      <c r="L131" s="8">
        <v>354387</v>
      </c>
      <c r="M131" s="8">
        <v>354387</v>
      </c>
      <c r="N131" s="8">
        <v>354387</v>
      </c>
      <c r="O131" s="9">
        <f t="shared" si="57"/>
        <v>354387</v>
      </c>
      <c r="P131" s="8">
        <v>365019</v>
      </c>
      <c r="Q131" s="8">
        <v>365019</v>
      </c>
      <c r="R131" s="8">
        <v>365019</v>
      </c>
      <c r="S131" s="8">
        <v>365019</v>
      </c>
      <c r="T131" s="8">
        <v>365019</v>
      </c>
      <c r="U131" s="8">
        <v>365019</v>
      </c>
      <c r="V131" s="8">
        <v>365019</v>
      </c>
      <c r="W131" s="8">
        <v>365019</v>
      </c>
      <c r="X131" s="8">
        <v>365019</v>
      </c>
      <c r="Y131" s="8">
        <v>365019</v>
      </c>
      <c r="Z131" s="8">
        <v>365019</v>
      </c>
      <c r="AA131" s="8">
        <v>365019</v>
      </c>
      <c r="AB131" s="9">
        <f t="shared" si="58"/>
        <v>365019</v>
      </c>
      <c r="AC131" s="8">
        <v>378890</v>
      </c>
      <c r="AD131" s="8">
        <v>378890</v>
      </c>
      <c r="AE131" s="8">
        <v>378890</v>
      </c>
      <c r="AF131" s="8">
        <v>378890</v>
      </c>
      <c r="AG131" s="8">
        <v>378890</v>
      </c>
      <c r="AH131" s="8">
        <v>378890</v>
      </c>
      <c r="AI131" s="8">
        <v>378890</v>
      </c>
      <c r="AJ131" s="8">
        <v>378890</v>
      </c>
      <c r="AK131" s="8">
        <v>378890</v>
      </c>
      <c r="AL131" s="8">
        <v>378890</v>
      </c>
      <c r="AM131" s="8">
        <v>378890</v>
      </c>
      <c r="AN131" s="8">
        <v>378890</v>
      </c>
      <c r="AO131" s="9">
        <f t="shared" si="59"/>
        <v>378890</v>
      </c>
      <c r="AP131" s="8">
        <v>390257</v>
      </c>
      <c r="AQ131" s="8">
        <v>390257</v>
      </c>
      <c r="AR131" s="8">
        <v>390257</v>
      </c>
      <c r="AS131" s="8">
        <v>390257</v>
      </c>
      <c r="AT131" s="8">
        <v>390257</v>
      </c>
      <c r="AU131" s="8">
        <v>390257</v>
      </c>
      <c r="AV131" s="8">
        <v>390257</v>
      </c>
      <c r="AW131" s="8">
        <v>390257</v>
      </c>
      <c r="AX131" s="8">
        <v>390257</v>
      </c>
      <c r="AY131" s="8">
        <v>390257</v>
      </c>
      <c r="AZ131" s="8">
        <v>390257</v>
      </c>
      <c r="BA131" s="8">
        <v>390257</v>
      </c>
      <c r="BB131" s="9">
        <f t="shared" si="60"/>
        <v>390257</v>
      </c>
      <c r="BC131" s="8">
        <v>400404</v>
      </c>
      <c r="BD131" s="8">
        <v>400404</v>
      </c>
      <c r="BE131" s="8">
        <v>400404</v>
      </c>
      <c r="BF131" s="8">
        <v>400404</v>
      </c>
      <c r="BG131" s="8">
        <v>400404</v>
      </c>
      <c r="BH131" s="8">
        <v>400404</v>
      </c>
      <c r="BI131" s="8">
        <v>400404</v>
      </c>
      <c r="BJ131" s="8">
        <v>400404</v>
      </c>
      <c r="BK131" s="8">
        <v>400404</v>
      </c>
      <c r="BL131" s="8">
        <v>400404</v>
      </c>
      <c r="BM131" s="8">
        <v>400404</v>
      </c>
      <c r="BN131" s="8">
        <v>400404</v>
      </c>
      <c r="BO131" s="9">
        <f t="shared" si="61"/>
        <v>400404</v>
      </c>
      <c r="BP131" s="8">
        <v>0</v>
      </c>
      <c r="BQ131" s="8">
        <v>0</v>
      </c>
      <c r="BR131" s="8">
        <v>0</v>
      </c>
      <c r="BS131" s="8">
        <v>0</v>
      </c>
      <c r="BT131" s="8">
        <v>0</v>
      </c>
      <c r="BU131" s="8">
        <v>0</v>
      </c>
      <c r="BV131" s="8">
        <v>0</v>
      </c>
      <c r="BW131" s="8">
        <v>0</v>
      </c>
      <c r="BX131" s="8">
        <v>0</v>
      </c>
      <c r="BY131" s="8">
        <v>0</v>
      </c>
      <c r="BZ131" s="8">
        <v>0</v>
      </c>
      <c r="CA131" s="8">
        <v>0</v>
      </c>
      <c r="CB131" s="9">
        <f t="shared" si="62"/>
        <v>0</v>
      </c>
      <c r="CC131" s="8">
        <v>125512</v>
      </c>
      <c r="CD131" s="8">
        <v>125512</v>
      </c>
      <c r="CE131" s="8">
        <v>125512</v>
      </c>
      <c r="CF131" s="8">
        <v>125512</v>
      </c>
      <c r="CG131" s="8">
        <v>125512</v>
      </c>
      <c r="CH131" s="8">
        <v>125512</v>
      </c>
      <c r="CI131" s="8">
        <v>125512</v>
      </c>
      <c r="CJ131" s="8">
        <v>125512</v>
      </c>
      <c r="CK131" s="8">
        <v>125512</v>
      </c>
      <c r="CL131" s="8">
        <v>125512</v>
      </c>
      <c r="CM131" s="8">
        <v>125512</v>
      </c>
      <c r="CN131" s="8">
        <v>125512</v>
      </c>
      <c r="CO131" s="9">
        <f t="shared" si="63"/>
        <v>125512</v>
      </c>
      <c r="CP131" s="8">
        <v>547198</v>
      </c>
      <c r="CQ131" s="8">
        <v>547198</v>
      </c>
      <c r="CR131" s="8">
        <v>547198</v>
      </c>
      <c r="CS131" s="8">
        <v>547198</v>
      </c>
      <c r="CT131" s="8">
        <v>547198</v>
      </c>
      <c r="CU131" s="8">
        <v>547198</v>
      </c>
      <c r="CV131" s="8">
        <v>547198</v>
      </c>
      <c r="CW131" s="8">
        <v>547198</v>
      </c>
      <c r="CX131" s="8">
        <v>547198</v>
      </c>
      <c r="CY131" s="8">
        <v>547198</v>
      </c>
      <c r="CZ131" s="8">
        <v>547198</v>
      </c>
      <c r="DA131" s="8">
        <v>547198</v>
      </c>
      <c r="DB131" s="9">
        <f t="shared" si="64"/>
        <v>547198</v>
      </c>
      <c r="DC131" s="8">
        <v>745481</v>
      </c>
      <c r="DD131" s="8">
        <v>745481</v>
      </c>
      <c r="DE131" s="8">
        <v>745481</v>
      </c>
      <c r="DF131" s="8">
        <v>745481</v>
      </c>
      <c r="DG131" s="8">
        <v>745481</v>
      </c>
      <c r="DH131" s="8">
        <v>745481</v>
      </c>
      <c r="DI131" s="8">
        <v>745481</v>
      </c>
      <c r="DJ131" s="8">
        <v>745481</v>
      </c>
      <c r="DK131" s="8">
        <v>745481</v>
      </c>
      <c r="DL131" s="8">
        <v>745481</v>
      </c>
      <c r="DM131" s="8">
        <v>745481</v>
      </c>
      <c r="DN131" s="8">
        <v>745481</v>
      </c>
      <c r="DO131" s="9">
        <f t="shared" si="65"/>
        <v>745481</v>
      </c>
      <c r="DP131" s="8">
        <v>792446</v>
      </c>
      <c r="DQ131" s="8">
        <v>792446</v>
      </c>
      <c r="DR131" s="8">
        <v>792446</v>
      </c>
      <c r="DS131" s="8">
        <v>792446</v>
      </c>
      <c r="DT131" s="8">
        <v>792446</v>
      </c>
      <c r="DU131" s="8">
        <v>792446</v>
      </c>
      <c r="DV131" s="8">
        <v>792446</v>
      </c>
      <c r="DW131" s="8">
        <v>792446</v>
      </c>
      <c r="DX131" s="8">
        <v>792446</v>
      </c>
      <c r="DY131" s="8">
        <v>792446</v>
      </c>
      <c r="DZ131" s="8">
        <v>792446</v>
      </c>
      <c r="EA131" s="8">
        <v>792446</v>
      </c>
      <c r="EB131" s="9">
        <f t="shared" si="66"/>
        <v>792446</v>
      </c>
      <c r="EC131" s="8">
        <v>725847</v>
      </c>
      <c r="ED131" s="8">
        <v>725847</v>
      </c>
      <c r="EE131" s="8">
        <v>725847</v>
      </c>
      <c r="EF131" s="8">
        <v>725847</v>
      </c>
      <c r="EG131" s="8">
        <v>725847</v>
      </c>
      <c r="EH131" s="8">
        <v>725847</v>
      </c>
      <c r="EI131" s="8">
        <v>725847</v>
      </c>
      <c r="EJ131" s="8">
        <v>725847</v>
      </c>
      <c r="EK131" s="8">
        <v>725847</v>
      </c>
      <c r="EL131" s="8">
        <v>725847</v>
      </c>
      <c r="EM131" s="8">
        <v>725847</v>
      </c>
      <c r="EN131" s="8">
        <v>725847</v>
      </c>
      <c r="EO131" s="9">
        <f t="shared" si="67"/>
        <v>725847</v>
      </c>
      <c r="EP131" s="8">
        <v>756332</v>
      </c>
      <c r="EQ131" s="8">
        <v>756332</v>
      </c>
      <c r="ER131" s="8">
        <v>756332</v>
      </c>
      <c r="ES131" s="8">
        <v>756332</v>
      </c>
      <c r="ET131" s="8">
        <v>756332</v>
      </c>
      <c r="EU131" s="8">
        <v>756332</v>
      </c>
      <c r="EV131" s="8">
        <v>756332</v>
      </c>
      <c r="EW131" s="8">
        <v>756332</v>
      </c>
      <c r="EX131" s="8">
        <v>756332</v>
      </c>
      <c r="EY131" s="8">
        <v>756332</v>
      </c>
      <c r="EZ131" s="8">
        <v>756332</v>
      </c>
      <c r="FA131" s="8">
        <v>756332</v>
      </c>
      <c r="FB131" s="9">
        <f t="shared" si="68"/>
        <v>756332</v>
      </c>
      <c r="FC131" s="8">
        <v>779779</v>
      </c>
      <c r="FD131" s="8">
        <v>779779</v>
      </c>
      <c r="FE131" s="8">
        <v>779779</v>
      </c>
      <c r="FF131" s="8">
        <v>779779</v>
      </c>
      <c r="FG131" s="8">
        <v>779779</v>
      </c>
      <c r="FH131" s="8">
        <v>779779</v>
      </c>
      <c r="FI131" s="8">
        <v>779779</v>
      </c>
      <c r="FJ131" s="8"/>
      <c r="FK131" s="8"/>
      <c r="FL131" s="8"/>
      <c r="FM131" s="8"/>
      <c r="FN131" s="8"/>
      <c r="FO131" s="9">
        <f t="shared" si="69"/>
        <v>779779</v>
      </c>
    </row>
    <row r="132" spans="2:171" ht="14.25" customHeight="1" x14ac:dyDescent="0.3">
      <c r="B132" s="7" t="s">
        <v>56</v>
      </c>
      <c r="C132" s="8">
        <v>180902</v>
      </c>
      <c r="D132" s="8">
        <v>180902</v>
      </c>
      <c r="E132" s="8">
        <v>180902</v>
      </c>
      <c r="F132" s="8">
        <v>180902</v>
      </c>
      <c r="G132" s="8">
        <v>180902</v>
      </c>
      <c r="H132" s="8">
        <v>180902</v>
      </c>
      <c r="I132" s="8">
        <v>180902</v>
      </c>
      <c r="J132" s="8">
        <v>180902</v>
      </c>
      <c r="K132" s="8">
        <v>180902</v>
      </c>
      <c r="L132" s="8">
        <v>180902</v>
      </c>
      <c r="M132" s="8">
        <v>180902</v>
      </c>
      <c r="N132" s="8">
        <v>180902</v>
      </c>
      <c r="O132" s="9">
        <f t="shared" si="57"/>
        <v>180902</v>
      </c>
      <c r="P132" s="8">
        <v>186329</v>
      </c>
      <c r="Q132" s="8">
        <v>186329</v>
      </c>
      <c r="R132" s="8">
        <v>186329</v>
      </c>
      <c r="S132" s="8">
        <v>186329</v>
      </c>
      <c r="T132" s="8">
        <v>186329</v>
      </c>
      <c r="U132" s="8">
        <v>186329</v>
      </c>
      <c r="V132" s="8">
        <v>186329</v>
      </c>
      <c r="W132" s="8">
        <v>186329</v>
      </c>
      <c r="X132" s="8">
        <v>186329</v>
      </c>
      <c r="Y132" s="8">
        <v>186329</v>
      </c>
      <c r="Z132" s="8">
        <v>186329</v>
      </c>
      <c r="AA132" s="8">
        <v>186329</v>
      </c>
      <c r="AB132" s="9">
        <f t="shared" si="58"/>
        <v>186329</v>
      </c>
      <c r="AC132" s="8">
        <v>193410</v>
      </c>
      <c r="AD132" s="8">
        <v>193410</v>
      </c>
      <c r="AE132" s="8">
        <v>193410</v>
      </c>
      <c r="AF132" s="8">
        <v>193410</v>
      </c>
      <c r="AG132" s="8">
        <v>193410</v>
      </c>
      <c r="AH132" s="8">
        <v>193410</v>
      </c>
      <c r="AI132" s="8">
        <v>193410</v>
      </c>
      <c r="AJ132" s="8">
        <v>193410</v>
      </c>
      <c r="AK132" s="8">
        <v>193410</v>
      </c>
      <c r="AL132" s="8">
        <v>193410</v>
      </c>
      <c r="AM132" s="8">
        <v>193410</v>
      </c>
      <c r="AN132" s="8">
        <v>193410</v>
      </c>
      <c r="AO132" s="9">
        <f t="shared" si="59"/>
        <v>193410</v>
      </c>
      <c r="AP132" s="8">
        <v>199212</v>
      </c>
      <c r="AQ132" s="8">
        <v>199212</v>
      </c>
      <c r="AR132" s="8">
        <v>199212</v>
      </c>
      <c r="AS132" s="8">
        <v>199212</v>
      </c>
      <c r="AT132" s="8">
        <v>199212</v>
      </c>
      <c r="AU132" s="8">
        <v>199212</v>
      </c>
      <c r="AV132" s="8">
        <v>199212</v>
      </c>
      <c r="AW132" s="8">
        <v>199212</v>
      </c>
      <c r="AX132" s="8">
        <v>199212</v>
      </c>
      <c r="AY132" s="8">
        <v>199212</v>
      </c>
      <c r="AZ132" s="8">
        <v>199212</v>
      </c>
      <c r="BA132" s="8">
        <v>199212</v>
      </c>
      <c r="BB132" s="9">
        <f t="shared" si="60"/>
        <v>199212</v>
      </c>
      <c r="BC132" s="8">
        <v>204392</v>
      </c>
      <c r="BD132" s="8">
        <v>204392</v>
      </c>
      <c r="BE132" s="8">
        <v>204392</v>
      </c>
      <c r="BF132" s="8">
        <v>204392</v>
      </c>
      <c r="BG132" s="8">
        <v>204392</v>
      </c>
      <c r="BH132" s="8">
        <v>204392</v>
      </c>
      <c r="BI132" s="8">
        <v>204392</v>
      </c>
      <c r="BJ132" s="8">
        <v>204392</v>
      </c>
      <c r="BK132" s="8">
        <v>204392</v>
      </c>
      <c r="BL132" s="8">
        <v>204392</v>
      </c>
      <c r="BM132" s="8">
        <v>204392</v>
      </c>
      <c r="BN132" s="8">
        <v>204392</v>
      </c>
      <c r="BO132" s="9">
        <f t="shared" si="61"/>
        <v>204392</v>
      </c>
      <c r="BP132" s="8">
        <v>0</v>
      </c>
      <c r="BQ132" s="8">
        <v>0</v>
      </c>
      <c r="BR132" s="8">
        <v>0</v>
      </c>
      <c r="BS132" s="8">
        <v>0</v>
      </c>
      <c r="BT132" s="8">
        <v>0</v>
      </c>
      <c r="BU132" s="8">
        <v>0</v>
      </c>
      <c r="BV132" s="8">
        <v>0</v>
      </c>
      <c r="BW132" s="8">
        <v>0</v>
      </c>
      <c r="BX132" s="8">
        <v>0</v>
      </c>
      <c r="BY132" s="8">
        <v>0</v>
      </c>
      <c r="BZ132" s="8">
        <v>0</v>
      </c>
      <c r="CA132" s="8">
        <v>0</v>
      </c>
      <c r="CB132" s="9">
        <f t="shared" si="62"/>
        <v>0</v>
      </c>
      <c r="CC132" s="8">
        <v>71819</v>
      </c>
      <c r="CD132" s="8">
        <v>71819</v>
      </c>
      <c r="CE132" s="8">
        <v>71819</v>
      </c>
      <c r="CF132" s="8">
        <v>71819</v>
      </c>
      <c r="CG132" s="8">
        <v>71819</v>
      </c>
      <c r="CH132" s="8">
        <v>71819</v>
      </c>
      <c r="CI132" s="8">
        <v>71819</v>
      </c>
      <c r="CJ132" s="8">
        <v>71819</v>
      </c>
      <c r="CK132" s="8">
        <v>71819</v>
      </c>
      <c r="CL132" s="8">
        <v>71819</v>
      </c>
      <c r="CM132" s="8">
        <v>71819</v>
      </c>
      <c r="CN132" s="8">
        <v>71819</v>
      </c>
      <c r="CO132" s="9">
        <f t="shared" si="63"/>
        <v>71819</v>
      </c>
      <c r="CP132" s="8">
        <v>307061</v>
      </c>
      <c r="CQ132" s="8">
        <v>307061</v>
      </c>
      <c r="CR132" s="8">
        <v>307061</v>
      </c>
      <c r="CS132" s="8">
        <v>307061</v>
      </c>
      <c r="CT132" s="8">
        <v>307061</v>
      </c>
      <c r="CU132" s="8">
        <v>307061</v>
      </c>
      <c r="CV132" s="8">
        <v>307061</v>
      </c>
      <c r="CW132" s="8">
        <v>307061</v>
      </c>
      <c r="CX132" s="8">
        <v>307061</v>
      </c>
      <c r="CY132" s="8">
        <v>307061</v>
      </c>
      <c r="CZ132" s="8">
        <v>307061</v>
      </c>
      <c r="DA132" s="8">
        <v>307061</v>
      </c>
      <c r="DB132" s="9">
        <f t="shared" si="64"/>
        <v>307061</v>
      </c>
      <c r="DC132" s="8">
        <v>421876</v>
      </c>
      <c r="DD132" s="8">
        <v>421876</v>
      </c>
      <c r="DE132" s="8">
        <v>421876</v>
      </c>
      <c r="DF132" s="8">
        <v>421876</v>
      </c>
      <c r="DG132" s="8">
        <v>421876</v>
      </c>
      <c r="DH132" s="8">
        <v>421876</v>
      </c>
      <c r="DI132" s="8">
        <v>421876</v>
      </c>
      <c r="DJ132" s="8">
        <v>421876</v>
      </c>
      <c r="DK132" s="8">
        <v>421876</v>
      </c>
      <c r="DL132" s="8">
        <v>421876</v>
      </c>
      <c r="DM132" s="8">
        <v>421876</v>
      </c>
      <c r="DN132" s="8">
        <v>421876</v>
      </c>
      <c r="DO132" s="9">
        <f t="shared" si="65"/>
        <v>421876</v>
      </c>
      <c r="DP132" s="8">
        <v>448454</v>
      </c>
      <c r="DQ132" s="8">
        <v>448454</v>
      </c>
      <c r="DR132" s="8">
        <v>448454</v>
      </c>
      <c r="DS132" s="8">
        <v>448454</v>
      </c>
      <c r="DT132" s="8">
        <v>448454</v>
      </c>
      <c r="DU132" s="8">
        <v>448454</v>
      </c>
      <c r="DV132" s="8">
        <v>448454</v>
      </c>
      <c r="DW132" s="8">
        <v>448454</v>
      </c>
      <c r="DX132" s="8">
        <v>448454</v>
      </c>
      <c r="DY132" s="8">
        <v>448454</v>
      </c>
      <c r="DZ132" s="8">
        <v>448454</v>
      </c>
      <c r="EA132" s="8">
        <v>448454</v>
      </c>
      <c r="EB132" s="9">
        <f t="shared" si="66"/>
        <v>448454</v>
      </c>
      <c r="EC132" s="8">
        <v>410765</v>
      </c>
      <c r="ED132" s="8">
        <v>410765</v>
      </c>
      <c r="EE132" s="8">
        <v>410765</v>
      </c>
      <c r="EF132" s="8">
        <v>410765</v>
      </c>
      <c r="EG132" s="8">
        <v>410765</v>
      </c>
      <c r="EH132" s="8">
        <v>410765</v>
      </c>
      <c r="EI132" s="8">
        <v>410765</v>
      </c>
      <c r="EJ132" s="8">
        <v>410765</v>
      </c>
      <c r="EK132" s="8">
        <v>410765</v>
      </c>
      <c r="EL132" s="8">
        <v>410765</v>
      </c>
      <c r="EM132" s="8">
        <v>410765</v>
      </c>
      <c r="EN132" s="8">
        <v>410765</v>
      </c>
      <c r="EO132" s="9">
        <f t="shared" si="67"/>
        <v>410765</v>
      </c>
      <c r="EP132" s="8">
        <v>428017</v>
      </c>
      <c r="EQ132" s="8">
        <v>428017</v>
      </c>
      <c r="ER132" s="8">
        <v>428017</v>
      </c>
      <c r="ES132" s="8">
        <v>428017</v>
      </c>
      <c r="ET132" s="8">
        <v>428017</v>
      </c>
      <c r="EU132" s="8">
        <v>428017</v>
      </c>
      <c r="EV132" s="8">
        <v>428017</v>
      </c>
      <c r="EW132" s="8">
        <v>428017</v>
      </c>
      <c r="EX132" s="8">
        <v>428017</v>
      </c>
      <c r="EY132" s="8">
        <v>428017</v>
      </c>
      <c r="EZ132" s="8">
        <v>428017</v>
      </c>
      <c r="FA132" s="8">
        <v>428017</v>
      </c>
      <c r="FB132" s="9">
        <f t="shared" si="68"/>
        <v>428017</v>
      </c>
      <c r="FC132" s="8">
        <v>441285</v>
      </c>
      <c r="FD132" s="8">
        <v>441285</v>
      </c>
      <c r="FE132" s="8">
        <v>441285</v>
      </c>
      <c r="FF132" s="8">
        <v>441285</v>
      </c>
      <c r="FG132" s="8">
        <v>441285</v>
      </c>
      <c r="FH132" s="8">
        <v>441285</v>
      </c>
      <c r="FI132" s="8">
        <v>441285</v>
      </c>
      <c r="FJ132" s="8"/>
      <c r="FK132" s="8"/>
      <c r="FL132" s="8"/>
      <c r="FM132" s="8"/>
      <c r="FN132" s="8"/>
      <c r="FO132" s="9">
        <f t="shared" si="69"/>
        <v>441285</v>
      </c>
    </row>
    <row r="133" spans="2:171" ht="14.25" customHeight="1" x14ac:dyDescent="0.3">
      <c r="B133" s="7" t="s">
        <v>57</v>
      </c>
      <c r="C133" s="8">
        <v>293245</v>
      </c>
      <c r="D133" s="8">
        <v>293245</v>
      </c>
      <c r="E133" s="8">
        <v>293245</v>
      </c>
      <c r="F133" s="8">
        <v>293245</v>
      </c>
      <c r="G133" s="8">
        <v>293245</v>
      </c>
      <c r="H133" s="8">
        <v>293245</v>
      </c>
      <c r="I133" s="8">
        <v>293245</v>
      </c>
      <c r="J133" s="8">
        <v>293245</v>
      </c>
      <c r="K133" s="8">
        <v>293245</v>
      </c>
      <c r="L133" s="8">
        <v>293245</v>
      </c>
      <c r="M133" s="8">
        <v>293245</v>
      </c>
      <c r="N133" s="8">
        <v>293245</v>
      </c>
      <c r="O133" s="9">
        <f t="shared" si="57"/>
        <v>293245</v>
      </c>
      <c r="P133" s="8">
        <v>302042</v>
      </c>
      <c r="Q133" s="8">
        <v>302042</v>
      </c>
      <c r="R133" s="8">
        <v>302042</v>
      </c>
      <c r="S133" s="8">
        <v>302042</v>
      </c>
      <c r="T133" s="8">
        <v>302042</v>
      </c>
      <c r="U133" s="8">
        <v>302042</v>
      </c>
      <c r="V133" s="8">
        <v>302042</v>
      </c>
      <c r="W133" s="8">
        <v>302042</v>
      </c>
      <c r="X133" s="8">
        <v>302042</v>
      </c>
      <c r="Y133" s="8">
        <v>302042</v>
      </c>
      <c r="Z133" s="8">
        <v>302042</v>
      </c>
      <c r="AA133" s="8">
        <v>302042</v>
      </c>
      <c r="AB133" s="9">
        <f t="shared" si="58"/>
        <v>302042</v>
      </c>
      <c r="AC133" s="8">
        <v>313520</v>
      </c>
      <c r="AD133" s="8">
        <v>313520</v>
      </c>
      <c r="AE133" s="8">
        <v>313520</v>
      </c>
      <c r="AF133" s="8">
        <v>313520</v>
      </c>
      <c r="AG133" s="8">
        <v>313520</v>
      </c>
      <c r="AH133" s="8">
        <v>313520</v>
      </c>
      <c r="AI133" s="8">
        <v>313520</v>
      </c>
      <c r="AJ133" s="8">
        <v>313520</v>
      </c>
      <c r="AK133" s="8">
        <v>313520</v>
      </c>
      <c r="AL133" s="8">
        <v>313520</v>
      </c>
      <c r="AM133" s="8">
        <v>313520</v>
      </c>
      <c r="AN133" s="8">
        <v>313520</v>
      </c>
      <c r="AO133" s="9">
        <f t="shared" si="59"/>
        <v>313520</v>
      </c>
      <c r="AP133" s="8">
        <v>322926</v>
      </c>
      <c r="AQ133" s="8">
        <v>322926</v>
      </c>
      <c r="AR133" s="8">
        <v>322926</v>
      </c>
      <c r="AS133" s="8">
        <v>322926</v>
      </c>
      <c r="AT133" s="8">
        <v>322926</v>
      </c>
      <c r="AU133" s="8">
        <v>322926</v>
      </c>
      <c r="AV133" s="8">
        <v>322926</v>
      </c>
      <c r="AW133" s="8">
        <v>322926</v>
      </c>
      <c r="AX133" s="8">
        <v>322926</v>
      </c>
      <c r="AY133" s="8">
        <v>322926</v>
      </c>
      <c r="AZ133" s="8">
        <v>322926</v>
      </c>
      <c r="BA133" s="8">
        <v>322926</v>
      </c>
      <c r="BB133" s="9">
        <f t="shared" si="60"/>
        <v>322926</v>
      </c>
      <c r="BC133" s="8">
        <v>331322</v>
      </c>
      <c r="BD133" s="8">
        <v>331322</v>
      </c>
      <c r="BE133" s="8">
        <v>331322</v>
      </c>
      <c r="BF133" s="8">
        <v>331322</v>
      </c>
      <c r="BG133" s="8">
        <v>331322</v>
      </c>
      <c r="BH133" s="8">
        <v>331322</v>
      </c>
      <c r="BI133" s="8">
        <v>331322</v>
      </c>
      <c r="BJ133" s="8">
        <v>331322</v>
      </c>
      <c r="BK133" s="8">
        <v>331322</v>
      </c>
      <c r="BL133" s="8">
        <v>331322</v>
      </c>
      <c r="BM133" s="8">
        <v>331322</v>
      </c>
      <c r="BN133" s="8">
        <v>331322</v>
      </c>
      <c r="BO133" s="9">
        <f t="shared" si="61"/>
        <v>331322</v>
      </c>
      <c r="BP133" s="8">
        <v>0</v>
      </c>
      <c r="BQ133" s="8">
        <v>0</v>
      </c>
      <c r="BR133" s="8">
        <v>0</v>
      </c>
      <c r="BS133" s="8">
        <v>0</v>
      </c>
      <c r="BT133" s="8">
        <v>0</v>
      </c>
      <c r="BU133" s="8">
        <v>0</v>
      </c>
      <c r="BV133" s="8">
        <v>0</v>
      </c>
      <c r="BW133" s="8">
        <v>0</v>
      </c>
      <c r="BX133" s="8">
        <v>0</v>
      </c>
      <c r="BY133" s="8">
        <v>0</v>
      </c>
      <c r="BZ133" s="8">
        <v>0</v>
      </c>
      <c r="CA133" s="8">
        <v>0</v>
      </c>
      <c r="CB133" s="9">
        <f t="shared" si="62"/>
        <v>0</v>
      </c>
      <c r="CC133" s="8">
        <v>120921</v>
      </c>
      <c r="CD133" s="8">
        <v>120921</v>
      </c>
      <c r="CE133" s="8">
        <v>120921</v>
      </c>
      <c r="CF133" s="8">
        <v>120921</v>
      </c>
      <c r="CG133" s="8">
        <v>120921</v>
      </c>
      <c r="CH133" s="8">
        <v>120921</v>
      </c>
      <c r="CI133" s="8">
        <v>120921</v>
      </c>
      <c r="CJ133" s="8">
        <v>120921</v>
      </c>
      <c r="CK133" s="8">
        <v>120921</v>
      </c>
      <c r="CL133" s="8">
        <v>120921</v>
      </c>
      <c r="CM133" s="8">
        <v>120921</v>
      </c>
      <c r="CN133" s="8">
        <v>120921</v>
      </c>
      <c r="CO133" s="9">
        <f t="shared" si="63"/>
        <v>120921</v>
      </c>
      <c r="CP133" s="8">
        <v>517563</v>
      </c>
      <c r="CQ133" s="8">
        <v>517563</v>
      </c>
      <c r="CR133" s="8">
        <v>517563</v>
      </c>
      <c r="CS133" s="8">
        <v>517563</v>
      </c>
      <c r="CT133" s="8">
        <v>517563</v>
      </c>
      <c r="CU133" s="8">
        <v>517563</v>
      </c>
      <c r="CV133" s="8">
        <v>517563</v>
      </c>
      <c r="CW133" s="8">
        <v>517563</v>
      </c>
      <c r="CX133" s="8">
        <v>517563</v>
      </c>
      <c r="CY133" s="8">
        <v>517563</v>
      </c>
      <c r="CZ133" s="8">
        <v>517563</v>
      </c>
      <c r="DA133" s="8">
        <v>517563</v>
      </c>
      <c r="DB133" s="9">
        <f t="shared" si="64"/>
        <v>517563</v>
      </c>
      <c r="DC133" s="8">
        <v>707247</v>
      </c>
      <c r="DD133" s="8">
        <v>707247</v>
      </c>
      <c r="DE133" s="8">
        <v>707247</v>
      </c>
      <c r="DF133" s="8">
        <v>707247</v>
      </c>
      <c r="DG133" s="8">
        <v>707247</v>
      </c>
      <c r="DH133" s="8">
        <v>707247</v>
      </c>
      <c r="DI133" s="8">
        <v>707247</v>
      </c>
      <c r="DJ133" s="8">
        <v>707247</v>
      </c>
      <c r="DK133" s="8">
        <v>707247</v>
      </c>
      <c r="DL133" s="8">
        <v>707247</v>
      </c>
      <c r="DM133" s="8">
        <v>707247</v>
      </c>
      <c r="DN133" s="8">
        <v>707247</v>
      </c>
      <c r="DO133" s="9">
        <f t="shared" si="65"/>
        <v>707247</v>
      </c>
      <c r="DP133" s="8">
        <v>751804</v>
      </c>
      <c r="DQ133" s="8">
        <v>751804</v>
      </c>
      <c r="DR133" s="8">
        <v>751804</v>
      </c>
      <c r="DS133" s="8">
        <v>751804</v>
      </c>
      <c r="DT133" s="8">
        <v>751804</v>
      </c>
      <c r="DU133" s="8">
        <v>751804</v>
      </c>
      <c r="DV133" s="8">
        <v>751804</v>
      </c>
      <c r="DW133" s="8">
        <v>751804</v>
      </c>
      <c r="DX133" s="8">
        <v>751804</v>
      </c>
      <c r="DY133" s="8">
        <v>751804</v>
      </c>
      <c r="DZ133" s="8">
        <v>751804</v>
      </c>
      <c r="EA133" s="8">
        <v>751804</v>
      </c>
      <c r="EB133" s="9">
        <f t="shared" si="66"/>
        <v>751804</v>
      </c>
      <c r="EC133" s="8">
        <v>688620</v>
      </c>
      <c r="ED133" s="8">
        <v>688620</v>
      </c>
      <c r="EE133" s="8">
        <v>688620</v>
      </c>
      <c r="EF133" s="8">
        <v>688620</v>
      </c>
      <c r="EG133" s="8">
        <v>688620</v>
      </c>
      <c r="EH133" s="8">
        <v>688620</v>
      </c>
      <c r="EI133" s="8">
        <v>688620</v>
      </c>
      <c r="EJ133" s="8">
        <v>688620</v>
      </c>
      <c r="EK133" s="8">
        <v>688620</v>
      </c>
      <c r="EL133" s="8">
        <v>688620</v>
      </c>
      <c r="EM133" s="8">
        <v>688620</v>
      </c>
      <c r="EN133" s="8">
        <v>688620</v>
      </c>
      <c r="EO133" s="9">
        <f t="shared" si="67"/>
        <v>688620</v>
      </c>
      <c r="EP133" s="8">
        <v>717542</v>
      </c>
      <c r="EQ133" s="8">
        <v>717542</v>
      </c>
      <c r="ER133" s="8">
        <v>717542</v>
      </c>
      <c r="ES133" s="8">
        <v>717542</v>
      </c>
      <c r="ET133" s="8">
        <v>717542</v>
      </c>
      <c r="EU133" s="8">
        <v>717542</v>
      </c>
      <c r="EV133" s="8">
        <v>717542</v>
      </c>
      <c r="EW133" s="8">
        <v>717542</v>
      </c>
      <c r="EX133" s="8">
        <v>717542</v>
      </c>
      <c r="EY133" s="8">
        <v>717542</v>
      </c>
      <c r="EZ133" s="8">
        <v>717542</v>
      </c>
      <c r="FA133" s="8">
        <v>717542</v>
      </c>
      <c r="FB133" s="9">
        <f t="shared" si="68"/>
        <v>717542</v>
      </c>
      <c r="FC133" s="8">
        <v>739786</v>
      </c>
      <c r="FD133" s="8">
        <v>739786</v>
      </c>
      <c r="FE133" s="8">
        <v>739786</v>
      </c>
      <c r="FF133" s="8">
        <v>739786</v>
      </c>
      <c r="FG133" s="8">
        <v>739786</v>
      </c>
      <c r="FH133" s="8">
        <v>739786</v>
      </c>
      <c r="FI133" s="8">
        <v>739786</v>
      </c>
      <c r="FJ133" s="8"/>
      <c r="FK133" s="8"/>
      <c r="FL133" s="8"/>
      <c r="FM133" s="8"/>
      <c r="FN133" s="8"/>
      <c r="FO133" s="9">
        <f t="shared" si="69"/>
        <v>739786</v>
      </c>
    </row>
    <row r="134" spans="2:171" ht="14.25" customHeight="1" x14ac:dyDescent="0.3">
      <c r="B134" s="7" t="s">
        <v>58</v>
      </c>
      <c r="C134" s="8">
        <v>170100</v>
      </c>
      <c r="D134" s="8">
        <v>170100</v>
      </c>
      <c r="E134" s="8">
        <v>170100</v>
      </c>
      <c r="F134" s="8">
        <v>170100</v>
      </c>
      <c r="G134" s="8">
        <v>170100</v>
      </c>
      <c r="H134" s="8">
        <v>170100</v>
      </c>
      <c r="I134" s="8">
        <v>170100</v>
      </c>
      <c r="J134" s="8">
        <v>170100</v>
      </c>
      <c r="K134" s="8">
        <v>170100</v>
      </c>
      <c r="L134" s="8">
        <v>170100</v>
      </c>
      <c r="M134" s="8">
        <v>170100</v>
      </c>
      <c r="N134" s="8">
        <v>170100</v>
      </c>
      <c r="O134" s="9">
        <f t="shared" si="57"/>
        <v>170100</v>
      </c>
      <c r="P134" s="8">
        <v>175203</v>
      </c>
      <c r="Q134" s="8">
        <v>175203</v>
      </c>
      <c r="R134" s="8">
        <v>175203</v>
      </c>
      <c r="S134" s="8">
        <v>175203</v>
      </c>
      <c r="T134" s="8">
        <v>175203</v>
      </c>
      <c r="U134" s="8">
        <v>175203</v>
      </c>
      <c r="V134" s="8">
        <v>175203</v>
      </c>
      <c r="W134" s="8">
        <v>175203</v>
      </c>
      <c r="X134" s="8">
        <v>175203</v>
      </c>
      <c r="Y134" s="8">
        <v>175203</v>
      </c>
      <c r="Z134" s="8">
        <v>175203</v>
      </c>
      <c r="AA134" s="8">
        <v>175203</v>
      </c>
      <c r="AB134" s="9">
        <f t="shared" si="58"/>
        <v>175203</v>
      </c>
      <c r="AC134" s="8">
        <v>181861</v>
      </c>
      <c r="AD134" s="8">
        <v>181861</v>
      </c>
      <c r="AE134" s="8">
        <v>181861</v>
      </c>
      <c r="AF134" s="8">
        <v>181861</v>
      </c>
      <c r="AG134" s="8">
        <v>181861</v>
      </c>
      <c r="AH134" s="8">
        <v>181861</v>
      </c>
      <c r="AI134" s="8">
        <v>181861</v>
      </c>
      <c r="AJ134" s="8">
        <v>181861</v>
      </c>
      <c r="AK134" s="8">
        <v>181861</v>
      </c>
      <c r="AL134" s="8">
        <v>181861</v>
      </c>
      <c r="AM134" s="8">
        <v>181861</v>
      </c>
      <c r="AN134" s="8">
        <v>181861</v>
      </c>
      <c r="AO134" s="9">
        <f t="shared" si="59"/>
        <v>181861</v>
      </c>
      <c r="AP134" s="8">
        <v>187317</v>
      </c>
      <c r="AQ134" s="8">
        <v>187317</v>
      </c>
      <c r="AR134" s="8">
        <v>187317</v>
      </c>
      <c r="AS134" s="8">
        <v>187317</v>
      </c>
      <c r="AT134" s="8">
        <v>187317</v>
      </c>
      <c r="AU134" s="8">
        <v>187317</v>
      </c>
      <c r="AV134" s="8">
        <v>187317</v>
      </c>
      <c r="AW134" s="8">
        <v>187317</v>
      </c>
      <c r="AX134" s="8">
        <v>187317</v>
      </c>
      <c r="AY134" s="8">
        <v>187317</v>
      </c>
      <c r="AZ134" s="8">
        <v>187317</v>
      </c>
      <c r="BA134" s="8">
        <v>187317</v>
      </c>
      <c r="BB134" s="9">
        <f t="shared" si="60"/>
        <v>187317</v>
      </c>
      <c r="BC134" s="8">
        <v>192187</v>
      </c>
      <c r="BD134" s="8">
        <v>192187</v>
      </c>
      <c r="BE134" s="8">
        <v>192187</v>
      </c>
      <c r="BF134" s="8">
        <v>192187</v>
      </c>
      <c r="BG134" s="8">
        <v>192187</v>
      </c>
      <c r="BH134" s="8">
        <v>192187</v>
      </c>
      <c r="BI134" s="8">
        <v>192187</v>
      </c>
      <c r="BJ134" s="8">
        <v>192187</v>
      </c>
      <c r="BK134" s="8">
        <v>192187</v>
      </c>
      <c r="BL134" s="8">
        <v>192187</v>
      </c>
      <c r="BM134" s="8">
        <v>192187</v>
      </c>
      <c r="BN134" s="8">
        <v>192187</v>
      </c>
      <c r="BO134" s="9">
        <f t="shared" si="61"/>
        <v>192187</v>
      </c>
      <c r="BP134" s="8">
        <v>0</v>
      </c>
      <c r="BQ134" s="8">
        <v>0</v>
      </c>
      <c r="BR134" s="8">
        <v>0</v>
      </c>
      <c r="BS134" s="8">
        <v>0</v>
      </c>
      <c r="BT134" s="8">
        <v>0</v>
      </c>
      <c r="BU134" s="8">
        <v>0</v>
      </c>
      <c r="BV134" s="8">
        <v>0</v>
      </c>
      <c r="BW134" s="8">
        <v>0</v>
      </c>
      <c r="BX134" s="8">
        <v>0</v>
      </c>
      <c r="BY134" s="8">
        <v>0</v>
      </c>
      <c r="BZ134" s="8">
        <v>0</v>
      </c>
      <c r="CA134" s="8">
        <v>0</v>
      </c>
      <c r="CB134" s="9">
        <f t="shared" si="62"/>
        <v>0</v>
      </c>
      <c r="CC134" s="8">
        <v>63881</v>
      </c>
      <c r="CD134" s="8">
        <v>63881</v>
      </c>
      <c r="CE134" s="8">
        <v>63881</v>
      </c>
      <c r="CF134" s="8">
        <v>63881</v>
      </c>
      <c r="CG134" s="8">
        <v>63881</v>
      </c>
      <c r="CH134" s="8">
        <v>63881</v>
      </c>
      <c r="CI134" s="8">
        <v>63881</v>
      </c>
      <c r="CJ134" s="8">
        <v>63881</v>
      </c>
      <c r="CK134" s="8">
        <v>63881</v>
      </c>
      <c r="CL134" s="8">
        <v>63881</v>
      </c>
      <c r="CM134" s="8">
        <v>63881</v>
      </c>
      <c r="CN134" s="8">
        <v>63881</v>
      </c>
      <c r="CO134" s="9">
        <f t="shared" si="63"/>
        <v>63881</v>
      </c>
      <c r="CP134" s="8">
        <v>282134</v>
      </c>
      <c r="CQ134" s="8">
        <v>282134</v>
      </c>
      <c r="CR134" s="8">
        <v>282134</v>
      </c>
      <c r="CS134" s="8">
        <v>282134</v>
      </c>
      <c r="CT134" s="8">
        <v>282134</v>
      </c>
      <c r="CU134" s="8">
        <v>282134</v>
      </c>
      <c r="CV134" s="8">
        <v>282134</v>
      </c>
      <c r="CW134" s="8">
        <v>282134</v>
      </c>
      <c r="CX134" s="8">
        <v>282134</v>
      </c>
      <c r="CY134" s="8">
        <v>282134</v>
      </c>
      <c r="CZ134" s="8">
        <v>282134</v>
      </c>
      <c r="DA134" s="8">
        <v>282134</v>
      </c>
      <c r="DB134" s="9">
        <f t="shared" si="64"/>
        <v>282134</v>
      </c>
      <c r="DC134" s="8">
        <v>389058</v>
      </c>
      <c r="DD134" s="8">
        <v>389058</v>
      </c>
      <c r="DE134" s="8">
        <v>389058</v>
      </c>
      <c r="DF134" s="8">
        <v>389058</v>
      </c>
      <c r="DG134" s="8">
        <v>389058</v>
      </c>
      <c r="DH134" s="8">
        <v>389058</v>
      </c>
      <c r="DI134" s="8">
        <v>389058</v>
      </c>
      <c r="DJ134" s="8">
        <v>389058</v>
      </c>
      <c r="DK134" s="8">
        <v>389058</v>
      </c>
      <c r="DL134" s="8">
        <v>389058</v>
      </c>
      <c r="DM134" s="8">
        <v>389058</v>
      </c>
      <c r="DN134" s="8">
        <v>389058</v>
      </c>
      <c r="DO134" s="9">
        <f t="shared" si="65"/>
        <v>389058</v>
      </c>
      <c r="DP134" s="8">
        <v>413569</v>
      </c>
      <c r="DQ134" s="8">
        <v>413569</v>
      </c>
      <c r="DR134" s="8">
        <v>413569</v>
      </c>
      <c r="DS134" s="8">
        <v>413569</v>
      </c>
      <c r="DT134" s="8">
        <v>413569</v>
      </c>
      <c r="DU134" s="8">
        <v>413569</v>
      </c>
      <c r="DV134" s="8">
        <v>413569</v>
      </c>
      <c r="DW134" s="8">
        <v>413569</v>
      </c>
      <c r="DX134" s="8">
        <v>413569</v>
      </c>
      <c r="DY134" s="8">
        <v>413569</v>
      </c>
      <c r="DZ134" s="8">
        <v>413569</v>
      </c>
      <c r="EA134" s="8">
        <v>413569</v>
      </c>
      <c r="EB134" s="9">
        <f t="shared" si="66"/>
        <v>413569</v>
      </c>
      <c r="EC134" s="8">
        <v>378811</v>
      </c>
      <c r="ED134" s="8">
        <v>378811</v>
      </c>
      <c r="EE134" s="8">
        <v>378811</v>
      </c>
      <c r="EF134" s="8">
        <v>378811</v>
      </c>
      <c r="EG134" s="8">
        <v>378811</v>
      </c>
      <c r="EH134" s="8">
        <v>378811</v>
      </c>
      <c r="EI134" s="8">
        <v>378811</v>
      </c>
      <c r="EJ134" s="8">
        <v>378811</v>
      </c>
      <c r="EK134" s="8">
        <v>378811</v>
      </c>
      <c r="EL134" s="8">
        <v>378811</v>
      </c>
      <c r="EM134" s="8">
        <v>378811</v>
      </c>
      <c r="EN134" s="8">
        <v>378811</v>
      </c>
      <c r="EO134" s="9">
        <f t="shared" si="67"/>
        <v>378811</v>
      </c>
      <c r="EP134" s="8">
        <v>394721</v>
      </c>
      <c r="EQ134" s="8">
        <v>394721</v>
      </c>
      <c r="ER134" s="8">
        <v>394721</v>
      </c>
      <c r="ES134" s="8">
        <v>394721</v>
      </c>
      <c r="ET134" s="8">
        <v>394721</v>
      </c>
      <c r="EU134" s="8">
        <v>394721</v>
      </c>
      <c r="EV134" s="8">
        <v>394721</v>
      </c>
      <c r="EW134" s="8">
        <v>394721</v>
      </c>
      <c r="EX134" s="8">
        <v>394721</v>
      </c>
      <c r="EY134" s="8">
        <v>394721</v>
      </c>
      <c r="EZ134" s="8">
        <v>394721</v>
      </c>
      <c r="FA134" s="8">
        <v>394721</v>
      </c>
      <c r="FB134" s="9">
        <f t="shared" si="68"/>
        <v>394721</v>
      </c>
      <c r="FC134" s="8">
        <v>406957</v>
      </c>
      <c r="FD134" s="8">
        <v>406957</v>
      </c>
      <c r="FE134" s="8">
        <v>406957</v>
      </c>
      <c r="FF134" s="8">
        <v>406957</v>
      </c>
      <c r="FG134" s="8">
        <v>406957</v>
      </c>
      <c r="FH134" s="8">
        <v>406957</v>
      </c>
      <c r="FI134" s="8">
        <v>406957</v>
      </c>
      <c r="FJ134" s="8"/>
      <c r="FK134" s="8"/>
      <c r="FL134" s="8"/>
      <c r="FM134" s="8"/>
      <c r="FN134" s="8"/>
      <c r="FO134" s="9">
        <f t="shared" si="69"/>
        <v>406957</v>
      </c>
    </row>
    <row r="135" spans="2:171" ht="14.25" customHeight="1" x14ac:dyDescent="0.3">
      <c r="B135" s="7" t="s">
        <v>59</v>
      </c>
      <c r="C135" s="8">
        <v>195244</v>
      </c>
      <c r="D135" s="8">
        <v>195244</v>
      </c>
      <c r="E135" s="8">
        <v>195244</v>
      </c>
      <c r="F135" s="8">
        <v>195244</v>
      </c>
      <c r="G135" s="8">
        <v>195244</v>
      </c>
      <c r="H135" s="8">
        <v>195244</v>
      </c>
      <c r="I135" s="8">
        <v>195244</v>
      </c>
      <c r="J135" s="8">
        <v>195244</v>
      </c>
      <c r="K135" s="8">
        <v>195244</v>
      </c>
      <c r="L135" s="8">
        <v>195244</v>
      </c>
      <c r="M135" s="8">
        <v>195244</v>
      </c>
      <c r="N135" s="8">
        <v>195244</v>
      </c>
      <c r="O135" s="9">
        <f t="shared" si="57"/>
        <v>195244</v>
      </c>
      <c r="P135" s="8">
        <v>201101</v>
      </c>
      <c r="Q135" s="8">
        <v>201101</v>
      </c>
      <c r="R135" s="8">
        <v>201101</v>
      </c>
      <c r="S135" s="8">
        <v>201101</v>
      </c>
      <c r="T135" s="8">
        <v>201101</v>
      </c>
      <c r="U135" s="8">
        <v>201101</v>
      </c>
      <c r="V135" s="8">
        <v>201101</v>
      </c>
      <c r="W135" s="8">
        <v>201101</v>
      </c>
      <c r="X135" s="8">
        <v>201101</v>
      </c>
      <c r="Y135" s="8">
        <v>201101</v>
      </c>
      <c r="Z135" s="8">
        <v>201101</v>
      </c>
      <c r="AA135" s="8">
        <v>201101</v>
      </c>
      <c r="AB135" s="9">
        <f t="shared" si="58"/>
        <v>201101</v>
      </c>
      <c r="AC135" s="8">
        <v>208743</v>
      </c>
      <c r="AD135" s="8">
        <v>208743</v>
      </c>
      <c r="AE135" s="8">
        <v>208743</v>
      </c>
      <c r="AF135" s="8">
        <v>208743</v>
      </c>
      <c r="AG135" s="8">
        <v>208743</v>
      </c>
      <c r="AH135" s="8">
        <v>208743</v>
      </c>
      <c r="AI135" s="8">
        <v>208743</v>
      </c>
      <c r="AJ135" s="8">
        <v>208743</v>
      </c>
      <c r="AK135" s="8">
        <v>208743</v>
      </c>
      <c r="AL135" s="8">
        <v>208743</v>
      </c>
      <c r="AM135" s="8">
        <v>208743</v>
      </c>
      <c r="AN135" s="8">
        <v>208743</v>
      </c>
      <c r="AO135" s="9">
        <f t="shared" si="59"/>
        <v>208743</v>
      </c>
      <c r="AP135" s="8">
        <v>215005</v>
      </c>
      <c r="AQ135" s="8">
        <v>215005</v>
      </c>
      <c r="AR135" s="8">
        <v>215005</v>
      </c>
      <c r="AS135" s="8">
        <v>215005</v>
      </c>
      <c r="AT135" s="8">
        <v>215005</v>
      </c>
      <c r="AU135" s="8">
        <v>215005</v>
      </c>
      <c r="AV135" s="8">
        <v>215005</v>
      </c>
      <c r="AW135" s="8">
        <v>215005</v>
      </c>
      <c r="AX135" s="8">
        <v>215005</v>
      </c>
      <c r="AY135" s="8">
        <v>215005</v>
      </c>
      <c r="AZ135" s="8">
        <v>215005</v>
      </c>
      <c r="BA135" s="8">
        <v>215005</v>
      </c>
      <c r="BB135" s="9">
        <f t="shared" si="60"/>
        <v>215005</v>
      </c>
      <c r="BC135" s="8">
        <v>220595</v>
      </c>
      <c r="BD135" s="8">
        <v>220595</v>
      </c>
      <c r="BE135" s="8">
        <v>220595</v>
      </c>
      <c r="BF135" s="8">
        <v>220595</v>
      </c>
      <c r="BG135" s="8">
        <v>220595</v>
      </c>
      <c r="BH135" s="8">
        <v>220595</v>
      </c>
      <c r="BI135" s="8">
        <v>220595</v>
      </c>
      <c r="BJ135" s="8">
        <v>220595</v>
      </c>
      <c r="BK135" s="8">
        <v>220595</v>
      </c>
      <c r="BL135" s="8">
        <v>220595</v>
      </c>
      <c r="BM135" s="8">
        <v>220595</v>
      </c>
      <c r="BN135" s="8">
        <v>220595</v>
      </c>
      <c r="BO135" s="9">
        <f t="shared" si="61"/>
        <v>220595</v>
      </c>
      <c r="BP135" s="8">
        <v>0</v>
      </c>
      <c r="BQ135" s="8">
        <v>0</v>
      </c>
      <c r="BR135" s="8">
        <v>0</v>
      </c>
      <c r="BS135" s="8">
        <v>0</v>
      </c>
      <c r="BT135" s="8">
        <v>0</v>
      </c>
      <c r="BU135" s="8">
        <v>0</v>
      </c>
      <c r="BV135" s="8">
        <v>0</v>
      </c>
      <c r="BW135" s="8">
        <v>0</v>
      </c>
      <c r="BX135" s="8">
        <v>0</v>
      </c>
      <c r="BY135" s="8">
        <v>0</v>
      </c>
      <c r="BZ135" s="8">
        <v>0</v>
      </c>
      <c r="CA135" s="8">
        <v>0</v>
      </c>
      <c r="CB135" s="9">
        <f t="shared" si="62"/>
        <v>0</v>
      </c>
      <c r="CC135" s="8">
        <v>68831</v>
      </c>
      <c r="CD135" s="8">
        <v>68831</v>
      </c>
      <c r="CE135" s="8">
        <v>68831</v>
      </c>
      <c r="CF135" s="8">
        <v>68831</v>
      </c>
      <c r="CG135" s="8">
        <v>68831</v>
      </c>
      <c r="CH135" s="8">
        <v>68831</v>
      </c>
      <c r="CI135" s="8">
        <v>68831</v>
      </c>
      <c r="CJ135" s="8">
        <v>68831</v>
      </c>
      <c r="CK135" s="8">
        <v>68831</v>
      </c>
      <c r="CL135" s="8">
        <v>68831</v>
      </c>
      <c r="CM135" s="8">
        <v>68831</v>
      </c>
      <c r="CN135" s="8">
        <v>68831</v>
      </c>
      <c r="CO135" s="9">
        <f t="shared" si="63"/>
        <v>68831</v>
      </c>
      <c r="CP135" s="8">
        <v>306095</v>
      </c>
      <c r="CQ135" s="8">
        <v>306095</v>
      </c>
      <c r="CR135" s="8">
        <v>306095</v>
      </c>
      <c r="CS135" s="8">
        <v>306095</v>
      </c>
      <c r="CT135" s="8">
        <v>306095</v>
      </c>
      <c r="CU135" s="8">
        <v>306095</v>
      </c>
      <c r="CV135" s="8">
        <v>306095</v>
      </c>
      <c r="CW135" s="8">
        <v>306095</v>
      </c>
      <c r="CX135" s="8">
        <v>306095</v>
      </c>
      <c r="CY135" s="8">
        <v>306095</v>
      </c>
      <c r="CZ135" s="8">
        <v>306095</v>
      </c>
      <c r="DA135" s="8">
        <v>306095</v>
      </c>
      <c r="DB135" s="9">
        <f t="shared" si="64"/>
        <v>306095</v>
      </c>
      <c r="DC135" s="8">
        <v>418693</v>
      </c>
      <c r="DD135" s="8">
        <v>418693</v>
      </c>
      <c r="DE135" s="8">
        <v>418693</v>
      </c>
      <c r="DF135" s="8">
        <v>418693</v>
      </c>
      <c r="DG135" s="8">
        <v>418693</v>
      </c>
      <c r="DH135" s="8">
        <v>418693</v>
      </c>
      <c r="DI135" s="8">
        <v>418693</v>
      </c>
      <c r="DJ135" s="8">
        <v>418693</v>
      </c>
      <c r="DK135" s="8">
        <v>418693</v>
      </c>
      <c r="DL135" s="8">
        <v>418693</v>
      </c>
      <c r="DM135" s="8">
        <v>418693</v>
      </c>
      <c r="DN135" s="8">
        <v>418693</v>
      </c>
      <c r="DO135" s="9">
        <f t="shared" si="65"/>
        <v>418693</v>
      </c>
      <c r="DP135" s="8">
        <v>445071</v>
      </c>
      <c r="DQ135" s="8">
        <v>445071</v>
      </c>
      <c r="DR135" s="8">
        <v>445071</v>
      </c>
      <c r="DS135" s="8">
        <v>445071</v>
      </c>
      <c r="DT135" s="8">
        <v>445071</v>
      </c>
      <c r="DU135" s="8">
        <v>445071</v>
      </c>
      <c r="DV135" s="8">
        <v>445071</v>
      </c>
      <c r="DW135" s="8">
        <v>445071</v>
      </c>
      <c r="DX135" s="8">
        <v>445071</v>
      </c>
      <c r="DY135" s="8">
        <v>445071</v>
      </c>
      <c r="DZ135" s="8">
        <v>445071</v>
      </c>
      <c r="EA135" s="8">
        <v>445071</v>
      </c>
      <c r="EB135" s="9">
        <f t="shared" si="66"/>
        <v>445071</v>
      </c>
      <c r="EC135" s="8">
        <v>407666</v>
      </c>
      <c r="ED135" s="8">
        <v>407666</v>
      </c>
      <c r="EE135" s="8">
        <v>407666</v>
      </c>
      <c r="EF135" s="8">
        <v>407666</v>
      </c>
      <c r="EG135" s="8">
        <v>407666</v>
      </c>
      <c r="EH135" s="8">
        <v>407666</v>
      </c>
      <c r="EI135" s="8">
        <v>407666</v>
      </c>
      <c r="EJ135" s="8">
        <v>407666</v>
      </c>
      <c r="EK135" s="8">
        <v>407666</v>
      </c>
      <c r="EL135" s="8">
        <v>407666</v>
      </c>
      <c r="EM135" s="8">
        <v>407666</v>
      </c>
      <c r="EN135" s="8">
        <v>407666</v>
      </c>
      <c r="EO135" s="9">
        <f t="shared" si="67"/>
        <v>407666</v>
      </c>
      <c r="EP135" s="8">
        <v>424788</v>
      </c>
      <c r="EQ135" s="8">
        <v>424788</v>
      </c>
      <c r="ER135" s="8">
        <v>424788</v>
      </c>
      <c r="ES135" s="8">
        <v>424788</v>
      </c>
      <c r="ET135" s="8">
        <v>424788</v>
      </c>
      <c r="EU135" s="8">
        <v>424788</v>
      </c>
      <c r="EV135" s="8">
        <v>424788</v>
      </c>
      <c r="EW135" s="8">
        <v>424788</v>
      </c>
      <c r="EX135" s="8">
        <v>424788</v>
      </c>
      <c r="EY135" s="8">
        <v>424788</v>
      </c>
      <c r="EZ135" s="8">
        <v>424788</v>
      </c>
      <c r="FA135" s="8">
        <v>424788</v>
      </c>
      <c r="FB135" s="9">
        <f t="shared" si="68"/>
        <v>424788</v>
      </c>
      <c r="FC135" s="8">
        <v>437957</v>
      </c>
      <c r="FD135" s="8">
        <v>437957</v>
      </c>
      <c r="FE135" s="8">
        <v>437957</v>
      </c>
      <c r="FF135" s="8">
        <v>437957</v>
      </c>
      <c r="FG135" s="8">
        <v>437957</v>
      </c>
      <c r="FH135" s="8">
        <v>437957</v>
      </c>
      <c r="FI135" s="8">
        <v>437957</v>
      </c>
      <c r="FJ135" s="8"/>
      <c r="FK135" s="8"/>
      <c r="FL135" s="8"/>
      <c r="FM135" s="8"/>
      <c r="FN135" s="8"/>
      <c r="FO135" s="9">
        <f t="shared" si="69"/>
        <v>437957</v>
      </c>
    </row>
    <row r="136" spans="2:171" ht="14.25" customHeight="1" x14ac:dyDescent="0.3">
      <c r="B136" s="7" t="s">
        <v>60</v>
      </c>
      <c r="C136" s="8">
        <v>60951</v>
      </c>
      <c r="D136" s="8">
        <v>60951</v>
      </c>
      <c r="E136" s="8">
        <v>60951</v>
      </c>
      <c r="F136" s="8">
        <v>60951</v>
      </c>
      <c r="G136" s="8">
        <v>60951</v>
      </c>
      <c r="H136" s="8">
        <v>60951</v>
      </c>
      <c r="I136" s="8">
        <v>60951</v>
      </c>
      <c r="J136" s="8">
        <v>60951</v>
      </c>
      <c r="K136" s="8">
        <v>60951</v>
      </c>
      <c r="L136" s="8">
        <v>60951</v>
      </c>
      <c r="M136" s="8">
        <v>60951</v>
      </c>
      <c r="N136" s="8">
        <v>60951</v>
      </c>
      <c r="O136" s="9">
        <f t="shared" si="57"/>
        <v>60951</v>
      </c>
      <c r="P136" s="8">
        <v>62780</v>
      </c>
      <c r="Q136" s="8">
        <v>62780</v>
      </c>
      <c r="R136" s="8">
        <v>62780</v>
      </c>
      <c r="S136" s="8">
        <v>62780</v>
      </c>
      <c r="T136" s="8">
        <v>62780</v>
      </c>
      <c r="U136" s="8">
        <v>62780</v>
      </c>
      <c r="V136" s="8">
        <v>62780</v>
      </c>
      <c r="W136" s="8">
        <v>62780</v>
      </c>
      <c r="X136" s="8">
        <v>62780</v>
      </c>
      <c r="Y136" s="8">
        <v>62780</v>
      </c>
      <c r="Z136" s="8">
        <v>62780</v>
      </c>
      <c r="AA136" s="8">
        <v>62780</v>
      </c>
      <c r="AB136" s="9">
        <f t="shared" si="58"/>
        <v>62780</v>
      </c>
      <c r="AC136" s="8">
        <v>65166</v>
      </c>
      <c r="AD136" s="8">
        <v>65166</v>
      </c>
      <c r="AE136" s="8">
        <v>65166</v>
      </c>
      <c r="AF136" s="8">
        <v>65166</v>
      </c>
      <c r="AG136" s="8">
        <v>65166</v>
      </c>
      <c r="AH136" s="8">
        <v>65166</v>
      </c>
      <c r="AI136" s="8">
        <v>65166</v>
      </c>
      <c r="AJ136" s="8">
        <v>65166</v>
      </c>
      <c r="AK136" s="8">
        <v>65166</v>
      </c>
      <c r="AL136" s="8">
        <v>65166</v>
      </c>
      <c r="AM136" s="8">
        <v>65166</v>
      </c>
      <c r="AN136" s="8">
        <v>65166</v>
      </c>
      <c r="AO136" s="9">
        <f t="shared" si="59"/>
        <v>65166</v>
      </c>
      <c r="AP136" s="8">
        <v>67121</v>
      </c>
      <c r="AQ136" s="8">
        <v>67121</v>
      </c>
      <c r="AR136" s="8">
        <v>67121</v>
      </c>
      <c r="AS136" s="8">
        <v>67121</v>
      </c>
      <c r="AT136" s="8">
        <v>67121</v>
      </c>
      <c r="AU136" s="8">
        <v>67121</v>
      </c>
      <c r="AV136" s="8">
        <v>67121</v>
      </c>
      <c r="AW136" s="8">
        <v>67121</v>
      </c>
      <c r="AX136" s="8">
        <v>67121</v>
      </c>
      <c r="AY136" s="8">
        <v>67121</v>
      </c>
      <c r="AZ136" s="8">
        <v>67121</v>
      </c>
      <c r="BA136" s="8">
        <v>67121</v>
      </c>
      <c r="BB136" s="9">
        <f t="shared" si="60"/>
        <v>67121</v>
      </c>
      <c r="BC136" s="8">
        <v>68866</v>
      </c>
      <c r="BD136" s="8">
        <v>68866</v>
      </c>
      <c r="BE136" s="8">
        <v>68866</v>
      </c>
      <c r="BF136" s="8">
        <v>68866</v>
      </c>
      <c r="BG136" s="8">
        <v>68866</v>
      </c>
      <c r="BH136" s="8">
        <v>68866</v>
      </c>
      <c r="BI136" s="8">
        <v>68866</v>
      </c>
      <c r="BJ136" s="8">
        <v>68866</v>
      </c>
      <c r="BK136" s="8">
        <v>68866</v>
      </c>
      <c r="BL136" s="8">
        <v>68866</v>
      </c>
      <c r="BM136" s="8">
        <v>68866</v>
      </c>
      <c r="BN136" s="8">
        <v>68866</v>
      </c>
      <c r="BO136" s="9">
        <f t="shared" si="61"/>
        <v>68866</v>
      </c>
      <c r="BP136" s="8">
        <v>0</v>
      </c>
      <c r="BQ136" s="8">
        <v>0</v>
      </c>
      <c r="BR136" s="8">
        <v>0</v>
      </c>
      <c r="BS136" s="8">
        <v>0</v>
      </c>
      <c r="BT136" s="8">
        <v>0</v>
      </c>
      <c r="BU136" s="8">
        <v>0</v>
      </c>
      <c r="BV136" s="8">
        <v>0</v>
      </c>
      <c r="BW136" s="8">
        <v>0</v>
      </c>
      <c r="BX136" s="8">
        <v>0</v>
      </c>
      <c r="BY136" s="8">
        <v>0</v>
      </c>
      <c r="BZ136" s="8">
        <v>0</v>
      </c>
      <c r="CA136" s="8">
        <v>0</v>
      </c>
      <c r="CB136" s="9">
        <f t="shared" si="62"/>
        <v>0</v>
      </c>
      <c r="CC136" s="8">
        <v>30826</v>
      </c>
      <c r="CD136" s="8">
        <v>30826</v>
      </c>
      <c r="CE136" s="8">
        <v>30826</v>
      </c>
      <c r="CF136" s="8">
        <v>30826</v>
      </c>
      <c r="CG136" s="8">
        <v>30826</v>
      </c>
      <c r="CH136" s="8">
        <v>30826</v>
      </c>
      <c r="CI136" s="8">
        <v>30826</v>
      </c>
      <c r="CJ136" s="8">
        <v>30826</v>
      </c>
      <c r="CK136" s="8">
        <v>30826</v>
      </c>
      <c r="CL136" s="8">
        <v>30826</v>
      </c>
      <c r="CM136" s="8">
        <v>30826</v>
      </c>
      <c r="CN136" s="8">
        <v>30826</v>
      </c>
      <c r="CO136" s="9">
        <f t="shared" si="63"/>
        <v>30826</v>
      </c>
      <c r="CP136" s="8">
        <v>134447</v>
      </c>
      <c r="CQ136" s="8">
        <v>134447</v>
      </c>
      <c r="CR136" s="8">
        <v>134447</v>
      </c>
      <c r="CS136" s="8">
        <v>134447</v>
      </c>
      <c r="CT136" s="8">
        <v>134447</v>
      </c>
      <c r="CU136" s="8">
        <v>134447</v>
      </c>
      <c r="CV136" s="8">
        <v>134447</v>
      </c>
      <c r="CW136" s="8">
        <v>134447</v>
      </c>
      <c r="CX136" s="8">
        <v>134447</v>
      </c>
      <c r="CY136" s="8">
        <v>134447</v>
      </c>
      <c r="CZ136" s="8">
        <v>134447</v>
      </c>
      <c r="DA136" s="8">
        <v>134447</v>
      </c>
      <c r="DB136" s="9">
        <f t="shared" si="64"/>
        <v>134447</v>
      </c>
      <c r="DC136" s="8">
        <v>192278</v>
      </c>
      <c r="DD136" s="8">
        <v>192278</v>
      </c>
      <c r="DE136" s="8">
        <v>192278</v>
      </c>
      <c r="DF136" s="8">
        <v>192278</v>
      </c>
      <c r="DG136" s="8">
        <v>192278</v>
      </c>
      <c r="DH136" s="8">
        <v>192278</v>
      </c>
      <c r="DI136" s="8">
        <v>192278</v>
      </c>
      <c r="DJ136" s="8">
        <v>192278</v>
      </c>
      <c r="DK136" s="8">
        <v>192278</v>
      </c>
      <c r="DL136" s="8">
        <v>192278</v>
      </c>
      <c r="DM136" s="8">
        <v>192278</v>
      </c>
      <c r="DN136" s="8">
        <v>192278</v>
      </c>
      <c r="DO136" s="9">
        <f t="shared" si="65"/>
        <v>192278</v>
      </c>
      <c r="DP136" s="8">
        <v>204392</v>
      </c>
      <c r="DQ136" s="8">
        <v>204392</v>
      </c>
      <c r="DR136" s="8">
        <v>204392</v>
      </c>
      <c r="DS136" s="8">
        <v>204392</v>
      </c>
      <c r="DT136" s="8">
        <v>204392</v>
      </c>
      <c r="DU136" s="8">
        <v>204392</v>
      </c>
      <c r="DV136" s="8">
        <v>204392</v>
      </c>
      <c r="DW136" s="8">
        <v>204392</v>
      </c>
      <c r="DX136" s="8">
        <v>204392</v>
      </c>
      <c r="DY136" s="8">
        <v>204392</v>
      </c>
      <c r="DZ136" s="8">
        <v>204392</v>
      </c>
      <c r="EA136" s="8">
        <v>204392</v>
      </c>
      <c r="EB136" s="9">
        <f t="shared" si="66"/>
        <v>204392</v>
      </c>
      <c r="EC136" s="8">
        <v>187214</v>
      </c>
      <c r="ED136" s="8">
        <v>187214</v>
      </c>
      <c r="EE136" s="8">
        <v>187214</v>
      </c>
      <c r="EF136" s="8">
        <v>187214</v>
      </c>
      <c r="EG136" s="8">
        <v>187214</v>
      </c>
      <c r="EH136" s="8">
        <v>187214</v>
      </c>
      <c r="EI136" s="8">
        <v>187214</v>
      </c>
      <c r="EJ136" s="8">
        <v>187214</v>
      </c>
      <c r="EK136" s="8">
        <v>187214</v>
      </c>
      <c r="EL136" s="8">
        <v>187214</v>
      </c>
      <c r="EM136" s="8">
        <v>187214</v>
      </c>
      <c r="EN136" s="8">
        <v>187214</v>
      </c>
      <c r="EO136" s="9">
        <f t="shared" si="67"/>
        <v>187214</v>
      </c>
      <c r="EP136" s="8">
        <v>195077</v>
      </c>
      <c r="EQ136" s="8">
        <v>195077</v>
      </c>
      <c r="ER136" s="8">
        <v>195077</v>
      </c>
      <c r="ES136" s="8">
        <v>195077</v>
      </c>
      <c r="ET136" s="8">
        <v>195077</v>
      </c>
      <c r="EU136" s="8">
        <v>195077</v>
      </c>
      <c r="EV136" s="8">
        <v>195077</v>
      </c>
      <c r="EW136" s="8">
        <v>195077</v>
      </c>
      <c r="EX136" s="8">
        <v>195077</v>
      </c>
      <c r="EY136" s="8">
        <v>195077</v>
      </c>
      <c r="EZ136" s="8">
        <v>195077</v>
      </c>
      <c r="FA136" s="8">
        <v>195077</v>
      </c>
      <c r="FB136" s="9">
        <f t="shared" si="68"/>
        <v>195077</v>
      </c>
      <c r="FC136" s="8">
        <v>201125</v>
      </c>
      <c r="FD136" s="8">
        <v>201125</v>
      </c>
      <c r="FE136" s="8">
        <v>201125</v>
      </c>
      <c r="FF136" s="8">
        <v>201125</v>
      </c>
      <c r="FG136" s="8">
        <v>201125</v>
      </c>
      <c r="FH136" s="8">
        <v>201125</v>
      </c>
      <c r="FI136" s="8">
        <v>201125</v>
      </c>
      <c r="FJ136" s="8"/>
      <c r="FK136" s="8"/>
      <c r="FL136" s="8"/>
      <c r="FM136" s="8"/>
      <c r="FN136" s="8"/>
      <c r="FO136" s="9">
        <f t="shared" si="69"/>
        <v>201125</v>
      </c>
    </row>
    <row r="137" spans="2:171" ht="14.25" customHeight="1" x14ac:dyDescent="0.3">
      <c r="B137" s="7" t="s">
        <v>61</v>
      </c>
      <c r="C137" s="8">
        <v>98658</v>
      </c>
      <c r="D137" s="8">
        <v>98658</v>
      </c>
      <c r="E137" s="8">
        <v>98658</v>
      </c>
      <c r="F137" s="8">
        <v>98658</v>
      </c>
      <c r="G137" s="8">
        <v>98658</v>
      </c>
      <c r="H137" s="8">
        <v>98658</v>
      </c>
      <c r="I137" s="8">
        <v>98658</v>
      </c>
      <c r="J137" s="8">
        <v>98658</v>
      </c>
      <c r="K137" s="8">
        <v>98658</v>
      </c>
      <c r="L137" s="8">
        <v>98658</v>
      </c>
      <c r="M137" s="8">
        <v>98658</v>
      </c>
      <c r="N137" s="8">
        <v>98658</v>
      </c>
      <c r="O137" s="9">
        <f t="shared" si="57"/>
        <v>98658</v>
      </c>
      <c r="P137" s="8">
        <v>101618</v>
      </c>
      <c r="Q137" s="8">
        <v>101618</v>
      </c>
      <c r="R137" s="8">
        <v>101618</v>
      </c>
      <c r="S137" s="8">
        <v>101618</v>
      </c>
      <c r="T137" s="8">
        <v>101618</v>
      </c>
      <c r="U137" s="8">
        <v>101618</v>
      </c>
      <c r="V137" s="8">
        <v>101618</v>
      </c>
      <c r="W137" s="8">
        <v>101618</v>
      </c>
      <c r="X137" s="8">
        <v>101618</v>
      </c>
      <c r="Y137" s="8">
        <v>101618</v>
      </c>
      <c r="Z137" s="8">
        <v>101618</v>
      </c>
      <c r="AA137" s="8">
        <v>101618</v>
      </c>
      <c r="AB137" s="9">
        <f t="shared" si="58"/>
        <v>101618</v>
      </c>
      <c r="AC137" s="8">
        <v>105479</v>
      </c>
      <c r="AD137" s="8">
        <v>105479</v>
      </c>
      <c r="AE137" s="8">
        <v>105479</v>
      </c>
      <c r="AF137" s="8">
        <v>105479</v>
      </c>
      <c r="AG137" s="8">
        <v>105479</v>
      </c>
      <c r="AH137" s="8">
        <v>105479</v>
      </c>
      <c r="AI137" s="8">
        <v>105479</v>
      </c>
      <c r="AJ137" s="8">
        <v>105479</v>
      </c>
      <c r="AK137" s="8">
        <v>105479</v>
      </c>
      <c r="AL137" s="8">
        <v>105479</v>
      </c>
      <c r="AM137" s="8">
        <v>105479</v>
      </c>
      <c r="AN137" s="8">
        <v>105479</v>
      </c>
      <c r="AO137" s="9">
        <f t="shared" si="59"/>
        <v>105479</v>
      </c>
      <c r="AP137" s="8">
        <v>108643</v>
      </c>
      <c r="AQ137" s="8">
        <v>108643</v>
      </c>
      <c r="AR137" s="8">
        <v>108643</v>
      </c>
      <c r="AS137" s="8">
        <v>108643</v>
      </c>
      <c r="AT137" s="8">
        <v>108643</v>
      </c>
      <c r="AU137" s="8">
        <v>108643</v>
      </c>
      <c r="AV137" s="8">
        <v>108643</v>
      </c>
      <c r="AW137" s="8">
        <v>108643</v>
      </c>
      <c r="AX137" s="8">
        <v>108643</v>
      </c>
      <c r="AY137" s="8">
        <v>108643</v>
      </c>
      <c r="AZ137" s="8">
        <v>108643</v>
      </c>
      <c r="BA137" s="8">
        <v>108643</v>
      </c>
      <c r="BB137" s="9">
        <f t="shared" si="60"/>
        <v>108643</v>
      </c>
      <c r="BC137" s="8">
        <v>111468</v>
      </c>
      <c r="BD137" s="8">
        <v>111468</v>
      </c>
      <c r="BE137" s="8">
        <v>111468</v>
      </c>
      <c r="BF137" s="8">
        <v>111468</v>
      </c>
      <c r="BG137" s="8">
        <v>111468</v>
      </c>
      <c r="BH137" s="8">
        <v>111468</v>
      </c>
      <c r="BI137" s="8">
        <v>111468</v>
      </c>
      <c r="BJ137" s="8">
        <v>111468</v>
      </c>
      <c r="BK137" s="8">
        <v>111468</v>
      </c>
      <c r="BL137" s="8">
        <v>111468</v>
      </c>
      <c r="BM137" s="8">
        <v>111468</v>
      </c>
      <c r="BN137" s="8">
        <v>111468</v>
      </c>
      <c r="BO137" s="9">
        <f t="shared" si="61"/>
        <v>111468</v>
      </c>
      <c r="BP137" s="8">
        <v>0</v>
      </c>
      <c r="BQ137" s="8">
        <v>0</v>
      </c>
      <c r="BR137" s="8">
        <v>0</v>
      </c>
      <c r="BS137" s="8">
        <v>0</v>
      </c>
      <c r="BT137" s="8">
        <v>0</v>
      </c>
      <c r="BU137" s="8">
        <v>0</v>
      </c>
      <c r="BV137" s="8">
        <v>0</v>
      </c>
      <c r="BW137" s="8">
        <v>0</v>
      </c>
      <c r="BX137" s="8">
        <v>0</v>
      </c>
      <c r="BY137" s="8">
        <v>0</v>
      </c>
      <c r="BZ137" s="8">
        <v>0</v>
      </c>
      <c r="CA137" s="8">
        <v>0</v>
      </c>
      <c r="CB137" s="9">
        <f t="shared" si="62"/>
        <v>0</v>
      </c>
      <c r="CC137" s="8">
        <v>37896</v>
      </c>
      <c r="CD137" s="8">
        <v>37896</v>
      </c>
      <c r="CE137" s="8">
        <v>37896</v>
      </c>
      <c r="CF137" s="8">
        <v>37896</v>
      </c>
      <c r="CG137" s="8">
        <v>37896</v>
      </c>
      <c r="CH137" s="8">
        <v>37896</v>
      </c>
      <c r="CI137" s="8">
        <v>37896</v>
      </c>
      <c r="CJ137" s="8">
        <v>37896</v>
      </c>
      <c r="CK137" s="8">
        <v>37896</v>
      </c>
      <c r="CL137" s="8">
        <v>37896</v>
      </c>
      <c r="CM137" s="8">
        <v>37896</v>
      </c>
      <c r="CN137" s="8">
        <v>37896</v>
      </c>
      <c r="CO137" s="9">
        <f t="shared" si="63"/>
        <v>37896</v>
      </c>
      <c r="CP137" s="8">
        <v>165177</v>
      </c>
      <c r="CQ137" s="8">
        <v>165177</v>
      </c>
      <c r="CR137" s="8">
        <v>165177</v>
      </c>
      <c r="CS137" s="8">
        <v>165177</v>
      </c>
      <c r="CT137" s="8">
        <v>165177</v>
      </c>
      <c r="CU137" s="8">
        <v>165177</v>
      </c>
      <c r="CV137" s="8">
        <v>165177</v>
      </c>
      <c r="CW137" s="8">
        <v>165177</v>
      </c>
      <c r="CX137" s="8">
        <v>165177</v>
      </c>
      <c r="CY137" s="8">
        <v>165177</v>
      </c>
      <c r="CZ137" s="8">
        <v>165177</v>
      </c>
      <c r="DA137" s="8">
        <v>165177</v>
      </c>
      <c r="DB137" s="9">
        <f t="shared" si="64"/>
        <v>165177</v>
      </c>
      <c r="DC137" s="8">
        <v>229547</v>
      </c>
      <c r="DD137" s="8">
        <v>229547</v>
      </c>
      <c r="DE137" s="8">
        <v>229547</v>
      </c>
      <c r="DF137" s="8">
        <v>229547</v>
      </c>
      <c r="DG137" s="8">
        <v>229547</v>
      </c>
      <c r="DH137" s="8">
        <v>229547</v>
      </c>
      <c r="DI137" s="8">
        <v>229547</v>
      </c>
      <c r="DJ137" s="8">
        <v>229547</v>
      </c>
      <c r="DK137" s="8">
        <v>229547</v>
      </c>
      <c r="DL137" s="8">
        <v>229547</v>
      </c>
      <c r="DM137" s="8">
        <v>229547</v>
      </c>
      <c r="DN137" s="8">
        <v>229547</v>
      </c>
      <c r="DO137" s="9">
        <f t="shared" si="65"/>
        <v>229547</v>
      </c>
      <c r="DP137" s="8">
        <v>244009</v>
      </c>
      <c r="DQ137" s="8">
        <v>244009</v>
      </c>
      <c r="DR137" s="8">
        <v>244009</v>
      </c>
      <c r="DS137" s="8">
        <v>244009</v>
      </c>
      <c r="DT137" s="8">
        <v>244009</v>
      </c>
      <c r="DU137" s="8">
        <v>244009</v>
      </c>
      <c r="DV137" s="8">
        <v>244009</v>
      </c>
      <c r="DW137" s="8">
        <v>244009</v>
      </c>
      <c r="DX137" s="8">
        <v>244009</v>
      </c>
      <c r="DY137" s="8">
        <v>244009</v>
      </c>
      <c r="DZ137" s="8">
        <v>244009</v>
      </c>
      <c r="EA137" s="8">
        <v>244009</v>
      </c>
      <c r="EB137" s="9">
        <f t="shared" si="66"/>
        <v>244009</v>
      </c>
      <c r="EC137" s="8">
        <v>223502</v>
      </c>
      <c r="ED137" s="8">
        <v>223502</v>
      </c>
      <c r="EE137" s="8">
        <v>223502</v>
      </c>
      <c r="EF137" s="8">
        <v>223502</v>
      </c>
      <c r="EG137" s="8">
        <v>223502</v>
      </c>
      <c r="EH137" s="8">
        <v>223502</v>
      </c>
      <c r="EI137" s="8">
        <v>223502</v>
      </c>
      <c r="EJ137" s="8">
        <v>223502</v>
      </c>
      <c r="EK137" s="8">
        <v>223502</v>
      </c>
      <c r="EL137" s="8">
        <v>223502</v>
      </c>
      <c r="EM137" s="8">
        <v>223502</v>
      </c>
      <c r="EN137" s="8">
        <v>223502</v>
      </c>
      <c r="EO137" s="9">
        <f t="shared" si="67"/>
        <v>223502</v>
      </c>
      <c r="EP137" s="8">
        <v>232890</v>
      </c>
      <c r="EQ137" s="8">
        <v>232890</v>
      </c>
      <c r="ER137" s="8">
        <v>232890</v>
      </c>
      <c r="ES137" s="8">
        <v>232890</v>
      </c>
      <c r="ET137" s="8">
        <v>232890</v>
      </c>
      <c r="EU137" s="8">
        <v>232890</v>
      </c>
      <c r="EV137" s="8">
        <v>232890</v>
      </c>
      <c r="EW137" s="8">
        <v>232890</v>
      </c>
      <c r="EX137" s="8">
        <v>232890</v>
      </c>
      <c r="EY137" s="8">
        <v>232890</v>
      </c>
      <c r="EZ137" s="8">
        <v>232890</v>
      </c>
      <c r="FA137" s="8">
        <v>232890</v>
      </c>
      <c r="FB137" s="9">
        <f t="shared" si="68"/>
        <v>232890</v>
      </c>
      <c r="FC137" s="8">
        <v>240109</v>
      </c>
      <c r="FD137" s="8">
        <v>240109</v>
      </c>
      <c r="FE137" s="8">
        <v>240109</v>
      </c>
      <c r="FF137" s="8">
        <v>240109</v>
      </c>
      <c r="FG137" s="8">
        <v>240109</v>
      </c>
      <c r="FH137" s="8">
        <v>240109</v>
      </c>
      <c r="FI137" s="8">
        <v>240109</v>
      </c>
      <c r="FJ137" s="8"/>
      <c r="FK137" s="8"/>
      <c r="FL137" s="8"/>
      <c r="FM137" s="8"/>
      <c r="FN137" s="8"/>
      <c r="FO137" s="9">
        <f t="shared" si="69"/>
        <v>240109</v>
      </c>
    </row>
    <row r="138" spans="2:171" ht="14.25" customHeight="1" x14ac:dyDescent="0.3">
      <c r="B138" s="7" t="s">
        <v>62</v>
      </c>
      <c r="C138" s="8">
        <v>199498</v>
      </c>
      <c r="D138" s="8">
        <v>199498</v>
      </c>
      <c r="E138" s="8">
        <v>199498</v>
      </c>
      <c r="F138" s="8">
        <v>199498</v>
      </c>
      <c r="G138" s="8">
        <v>199498</v>
      </c>
      <c r="H138" s="8">
        <v>199498</v>
      </c>
      <c r="I138" s="8">
        <v>199498</v>
      </c>
      <c r="J138" s="8">
        <v>199498</v>
      </c>
      <c r="K138" s="8">
        <v>199498</v>
      </c>
      <c r="L138" s="8">
        <v>199498</v>
      </c>
      <c r="M138" s="8">
        <v>199498</v>
      </c>
      <c r="N138" s="8">
        <v>199498</v>
      </c>
      <c r="O138" s="9">
        <f t="shared" si="57"/>
        <v>199498</v>
      </c>
      <c r="P138" s="8">
        <v>205483</v>
      </c>
      <c r="Q138" s="8">
        <v>205483</v>
      </c>
      <c r="R138" s="8">
        <v>205483</v>
      </c>
      <c r="S138" s="8">
        <v>205483</v>
      </c>
      <c r="T138" s="8">
        <v>205483</v>
      </c>
      <c r="U138" s="8">
        <v>205483</v>
      </c>
      <c r="V138" s="8">
        <v>205483</v>
      </c>
      <c r="W138" s="8">
        <v>205483</v>
      </c>
      <c r="X138" s="8">
        <v>205483</v>
      </c>
      <c r="Y138" s="8">
        <v>205483</v>
      </c>
      <c r="Z138" s="8">
        <v>205483</v>
      </c>
      <c r="AA138" s="8">
        <v>205483</v>
      </c>
      <c r="AB138" s="9">
        <f t="shared" si="58"/>
        <v>205483</v>
      </c>
      <c r="AC138" s="8">
        <v>213291</v>
      </c>
      <c r="AD138" s="8">
        <v>213291</v>
      </c>
      <c r="AE138" s="8">
        <v>213291</v>
      </c>
      <c r="AF138" s="8">
        <v>213291</v>
      </c>
      <c r="AG138" s="8">
        <v>213291</v>
      </c>
      <c r="AH138" s="8">
        <v>213291</v>
      </c>
      <c r="AI138" s="8">
        <v>213291</v>
      </c>
      <c r="AJ138" s="8">
        <v>213291</v>
      </c>
      <c r="AK138" s="8">
        <v>213291</v>
      </c>
      <c r="AL138" s="8">
        <v>213291</v>
      </c>
      <c r="AM138" s="8">
        <v>213291</v>
      </c>
      <c r="AN138" s="8">
        <v>213291</v>
      </c>
      <c r="AO138" s="9">
        <f t="shared" si="59"/>
        <v>213291</v>
      </c>
      <c r="AP138" s="8">
        <v>219690</v>
      </c>
      <c r="AQ138" s="8">
        <v>219690</v>
      </c>
      <c r="AR138" s="8">
        <v>219690</v>
      </c>
      <c r="AS138" s="8">
        <v>219690</v>
      </c>
      <c r="AT138" s="8">
        <v>219690</v>
      </c>
      <c r="AU138" s="8">
        <v>219690</v>
      </c>
      <c r="AV138" s="8">
        <v>219690</v>
      </c>
      <c r="AW138" s="8">
        <v>219690</v>
      </c>
      <c r="AX138" s="8">
        <v>219690</v>
      </c>
      <c r="AY138" s="8">
        <v>219690</v>
      </c>
      <c r="AZ138" s="8">
        <v>219690</v>
      </c>
      <c r="BA138" s="8">
        <v>219690</v>
      </c>
      <c r="BB138" s="9">
        <f t="shared" si="60"/>
        <v>219690</v>
      </c>
      <c r="BC138" s="8">
        <v>225402</v>
      </c>
      <c r="BD138" s="8">
        <v>225402</v>
      </c>
      <c r="BE138" s="8">
        <v>225402</v>
      </c>
      <c r="BF138" s="8">
        <v>225402</v>
      </c>
      <c r="BG138" s="8">
        <v>225402</v>
      </c>
      <c r="BH138" s="8">
        <v>225402</v>
      </c>
      <c r="BI138" s="8">
        <v>225402</v>
      </c>
      <c r="BJ138" s="8">
        <v>225402</v>
      </c>
      <c r="BK138" s="8">
        <v>225402</v>
      </c>
      <c r="BL138" s="8">
        <v>225402</v>
      </c>
      <c r="BM138" s="8">
        <v>225402</v>
      </c>
      <c r="BN138" s="8">
        <v>225402</v>
      </c>
      <c r="BO138" s="9">
        <f t="shared" si="61"/>
        <v>225402</v>
      </c>
      <c r="BP138" s="8">
        <v>0</v>
      </c>
      <c r="BQ138" s="8">
        <v>0</v>
      </c>
      <c r="BR138" s="8">
        <v>0</v>
      </c>
      <c r="BS138" s="8">
        <v>0</v>
      </c>
      <c r="BT138" s="8">
        <v>0</v>
      </c>
      <c r="BU138" s="8">
        <v>0</v>
      </c>
      <c r="BV138" s="8">
        <v>0</v>
      </c>
      <c r="BW138" s="8">
        <v>0</v>
      </c>
      <c r="BX138" s="8">
        <v>0</v>
      </c>
      <c r="BY138" s="8">
        <v>0</v>
      </c>
      <c r="BZ138" s="8">
        <v>0</v>
      </c>
      <c r="CA138" s="8">
        <v>0</v>
      </c>
      <c r="CB138" s="9">
        <f t="shared" si="62"/>
        <v>0</v>
      </c>
      <c r="CC138" s="8">
        <v>1968016</v>
      </c>
      <c r="CD138" s="8">
        <v>1968016</v>
      </c>
      <c r="CE138" s="8">
        <v>1968016</v>
      </c>
      <c r="CF138" s="8">
        <v>1968016</v>
      </c>
      <c r="CG138" s="8">
        <v>1968016</v>
      </c>
      <c r="CH138" s="8">
        <v>1968016</v>
      </c>
      <c r="CI138" s="8">
        <v>1968016</v>
      </c>
      <c r="CJ138" s="8">
        <v>1968016</v>
      </c>
      <c r="CK138" s="8">
        <v>1968016</v>
      </c>
      <c r="CL138" s="8">
        <v>1968016</v>
      </c>
      <c r="CM138" s="8">
        <v>1968016</v>
      </c>
      <c r="CN138" s="8">
        <v>1968016</v>
      </c>
      <c r="CO138" s="9">
        <f t="shared" si="63"/>
        <v>1968016</v>
      </c>
      <c r="CP138" s="8">
        <v>540663</v>
      </c>
      <c r="CQ138" s="8">
        <v>540663</v>
      </c>
      <c r="CR138" s="8">
        <v>540663</v>
      </c>
      <c r="CS138" s="8">
        <v>540663</v>
      </c>
      <c r="CT138" s="8">
        <v>540663</v>
      </c>
      <c r="CU138" s="8">
        <v>540663</v>
      </c>
      <c r="CV138" s="8">
        <v>540663</v>
      </c>
      <c r="CW138" s="8">
        <v>540663</v>
      </c>
      <c r="CX138" s="8">
        <v>540663</v>
      </c>
      <c r="CY138" s="8">
        <v>540663</v>
      </c>
      <c r="CZ138" s="8">
        <v>540663</v>
      </c>
      <c r="DA138" s="8">
        <v>540663</v>
      </c>
      <c r="DB138" s="9">
        <f t="shared" si="64"/>
        <v>540663</v>
      </c>
      <c r="DC138" s="8">
        <v>733289</v>
      </c>
      <c r="DD138" s="8">
        <v>733289</v>
      </c>
      <c r="DE138" s="8">
        <v>733289</v>
      </c>
      <c r="DF138" s="8">
        <v>733289</v>
      </c>
      <c r="DG138" s="8">
        <v>733289</v>
      </c>
      <c r="DH138" s="8">
        <v>733289</v>
      </c>
      <c r="DI138" s="8">
        <v>733289</v>
      </c>
      <c r="DJ138" s="8">
        <v>733289</v>
      </c>
      <c r="DK138" s="8">
        <v>733289</v>
      </c>
      <c r="DL138" s="8">
        <v>733289</v>
      </c>
      <c r="DM138" s="8">
        <v>733289</v>
      </c>
      <c r="DN138" s="8">
        <v>733289</v>
      </c>
      <c r="DO138" s="9">
        <f t="shared" si="65"/>
        <v>733289</v>
      </c>
      <c r="DP138" s="8">
        <v>779486</v>
      </c>
      <c r="DQ138" s="8">
        <v>779486</v>
      </c>
      <c r="DR138" s="8">
        <v>779486</v>
      </c>
      <c r="DS138" s="8">
        <v>779486</v>
      </c>
      <c r="DT138" s="8">
        <v>779486</v>
      </c>
      <c r="DU138" s="8">
        <v>779486</v>
      </c>
      <c r="DV138" s="8">
        <v>779486</v>
      </c>
      <c r="DW138" s="8">
        <v>779486</v>
      </c>
      <c r="DX138" s="8">
        <v>779486</v>
      </c>
      <c r="DY138" s="8">
        <v>779486</v>
      </c>
      <c r="DZ138" s="8">
        <v>779486</v>
      </c>
      <c r="EA138" s="8">
        <v>779486</v>
      </c>
      <c r="EB138" s="9">
        <f t="shared" si="66"/>
        <v>779486</v>
      </c>
      <c r="EC138" s="8">
        <v>713976</v>
      </c>
      <c r="ED138" s="8">
        <v>713976</v>
      </c>
      <c r="EE138" s="8">
        <v>713976</v>
      </c>
      <c r="EF138" s="8">
        <v>713976</v>
      </c>
      <c r="EG138" s="8">
        <v>713976</v>
      </c>
      <c r="EH138" s="8">
        <v>713976</v>
      </c>
      <c r="EI138" s="8">
        <v>713976</v>
      </c>
      <c r="EJ138" s="8">
        <v>713976</v>
      </c>
      <c r="EK138" s="8">
        <v>713976</v>
      </c>
      <c r="EL138" s="8">
        <v>713976</v>
      </c>
      <c r="EM138" s="8">
        <v>713976</v>
      </c>
      <c r="EN138" s="8">
        <v>713976</v>
      </c>
      <c r="EO138" s="9">
        <f t="shared" si="67"/>
        <v>713976</v>
      </c>
      <c r="EP138" s="8">
        <v>743963</v>
      </c>
      <c r="EQ138" s="8">
        <v>743963</v>
      </c>
      <c r="ER138" s="8">
        <v>743963</v>
      </c>
      <c r="ES138" s="8">
        <v>743963</v>
      </c>
      <c r="ET138" s="8">
        <v>743963</v>
      </c>
      <c r="EU138" s="8">
        <v>743963</v>
      </c>
      <c r="EV138" s="8">
        <v>743963</v>
      </c>
      <c r="EW138" s="8">
        <v>743963</v>
      </c>
      <c r="EX138" s="8">
        <v>743963</v>
      </c>
      <c r="EY138" s="8">
        <v>743963</v>
      </c>
      <c r="EZ138" s="8">
        <v>743963</v>
      </c>
      <c r="FA138" s="8">
        <v>743963</v>
      </c>
      <c r="FB138" s="9">
        <f t="shared" si="68"/>
        <v>743963</v>
      </c>
      <c r="FC138" s="8">
        <v>767026</v>
      </c>
      <c r="FD138" s="8">
        <v>767026</v>
      </c>
      <c r="FE138" s="8">
        <v>767026</v>
      </c>
      <c r="FF138" s="8">
        <v>767026</v>
      </c>
      <c r="FG138" s="8">
        <v>767026</v>
      </c>
      <c r="FH138" s="8">
        <v>767026</v>
      </c>
      <c r="FI138" s="8">
        <v>767026</v>
      </c>
      <c r="FJ138" s="8"/>
      <c r="FK138" s="8"/>
      <c r="FL138" s="8"/>
      <c r="FM138" s="8"/>
      <c r="FN138" s="8"/>
      <c r="FO138" s="9">
        <f t="shared" si="69"/>
        <v>767026</v>
      </c>
    </row>
    <row r="139" spans="2:171" ht="14.25" customHeight="1" x14ac:dyDescent="0.3">
      <c r="B139" s="7" t="s">
        <v>63</v>
      </c>
      <c r="C139" s="8">
        <v>173609</v>
      </c>
      <c r="D139" s="8">
        <v>173609</v>
      </c>
      <c r="E139" s="8">
        <v>173609</v>
      </c>
      <c r="F139" s="8">
        <v>173609</v>
      </c>
      <c r="G139" s="8">
        <v>173609</v>
      </c>
      <c r="H139" s="8">
        <v>173609</v>
      </c>
      <c r="I139" s="8">
        <v>173609</v>
      </c>
      <c r="J139" s="8">
        <v>173609</v>
      </c>
      <c r="K139" s="8">
        <v>173609</v>
      </c>
      <c r="L139" s="8">
        <v>173609</v>
      </c>
      <c r="M139" s="8">
        <v>173609</v>
      </c>
      <c r="N139" s="8">
        <v>173609</v>
      </c>
      <c r="O139" s="9">
        <f t="shared" si="57"/>
        <v>173609</v>
      </c>
      <c r="P139" s="8">
        <v>178817</v>
      </c>
      <c r="Q139" s="8">
        <v>178817</v>
      </c>
      <c r="R139" s="8">
        <v>178817</v>
      </c>
      <c r="S139" s="8">
        <v>178817</v>
      </c>
      <c r="T139" s="8">
        <v>178817</v>
      </c>
      <c r="U139" s="8">
        <v>178817</v>
      </c>
      <c r="V139" s="8">
        <v>178817</v>
      </c>
      <c r="W139" s="8">
        <v>178817</v>
      </c>
      <c r="X139" s="8">
        <v>178817</v>
      </c>
      <c r="Y139" s="8">
        <v>178817</v>
      </c>
      <c r="Z139" s="8">
        <v>178817</v>
      </c>
      <c r="AA139" s="8">
        <v>178817</v>
      </c>
      <c r="AB139" s="9">
        <f t="shared" si="58"/>
        <v>178817</v>
      </c>
      <c r="AC139" s="8">
        <v>185612</v>
      </c>
      <c r="AD139" s="8">
        <v>185612</v>
      </c>
      <c r="AE139" s="8">
        <v>185612</v>
      </c>
      <c r="AF139" s="8">
        <v>185612</v>
      </c>
      <c r="AG139" s="8">
        <v>185612</v>
      </c>
      <c r="AH139" s="8">
        <v>185612</v>
      </c>
      <c r="AI139" s="8">
        <v>185612</v>
      </c>
      <c r="AJ139" s="8">
        <v>185612</v>
      </c>
      <c r="AK139" s="8">
        <v>185612</v>
      </c>
      <c r="AL139" s="8">
        <v>185612</v>
      </c>
      <c r="AM139" s="8">
        <v>185612</v>
      </c>
      <c r="AN139" s="8">
        <v>185612</v>
      </c>
      <c r="AO139" s="9">
        <f t="shared" si="59"/>
        <v>185612</v>
      </c>
      <c r="AP139" s="8">
        <v>191180</v>
      </c>
      <c r="AQ139" s="8">
        <v>191180</v>
      </c>
      <c r="AR139" s="8">
        <v>191180</v>
      </c>
      <c r="AS139" s="8">
        <v>191180</v>
      </c>
      <c r="AT139" s="8">
        <v>191180</v>
      </c>
      <c r="AU139" s="8">
        <v>191180</v>
      </c>
      <c r="AV139" s="8">
        <v>191180</v>
      </c>
      <c r="AW139" s="8">
        <v>191180</v>
      </c>
      <c r="AX139" s="8">
        <v>191180</v>
      </c>
      <c r="AY139" s="8">
        <v>191180</v>
      </c>
      <c r="AZ139" s="8">
        <v>191180</v>
      </c>
      <c r="BA139" s="8">
        <v>191180</v>
      </c>
      <c r="BB139" s="9">
        <f t="shared" si="60"/>
        <v>191180</v>
      </c>
      <c r="BC139" s="8">
        <v>196151</v>
      </c>
      <c r="BD139" s="8">
        <v>196151</v>
      </c>
      <c r="BE139" s="8">
        <v>196151</v>
      </c>
      <c r="BF139" s="8">
        <v>196151</v>
      </c>
      <c r="BG139" s="8">
        <v>196151</v>
      </c>
      <c r="BH139" s="8">
        <v>196151</v>
      </c>
      <c r="BI139" s="8">
        <v>196151</v>
      </c>
      <c r="BJ139" s="8">
        <v>196151</v>
      </c>
      <c r="BK139" s="8">
        <v>196151</v>
      </c>
      <c r="BL139" s="8">
        <v>196151</v>
      </c>
      <c r="BM139" s="8">
        <v>196151</v>
      </c>
      <c r="BN139" s="8">
        <v>196151</v>
      </c>
      <c r="BO139" s="9">
        <f t="shared" si="61"/>
        <v>196151</v>
      </c>
      <c r="BP139" s="8">
        <v>0</v>
      </c>
      <c r="BQ139" s="8">
        <v>0</v>
      </c>
      <c r="BR139" s="8">
        <v>0</v>
      </c>
      <c r="BS139" s="8">
        <v>0</v>
      </c>
      <c r="BT139" s="8">
        <v>0</v>
      </c>
      <c r="BU139" s="8">
        <v>0</v>
      </c>
      <c r="BV139" s="8">
        <v>0</v>
      </c>
      <c r="BW139" s="8">
        <v>0</v>
      </c>
      <c r="BX139" s="8">
        <v>0</v>
      </c>
      <c r="BY139" s="8">
        <v>0</v>
      </c>
      <c r="BZ139" s="8">
        <v>0</v>
      </c>
      <c r="CA139" s="8">
        <v>0</v>
      </c>
      <c r="CB139" s="9">
        <f t="shared" si="62"/>
        <v>0</v>
      </c>
      <c r="CC139" s="8">
        <v>66111</v>
      </c>
      <c r="CD139" s="8">
        <v>66111</v>
      </c>
      <c r="CE139" s="8">
        <v>66111</v>
      </c>
      <c r="CF139" s="8">
        <v>66111</v>
      </c>
      <c r="CG139" s="8">
        <v>66111</v>
      </c>
      <c r="CH139" s="8">
        <v>66111</v>
      </c>
      <c r="CI139" s="8">
        <v>66111</v>
      </c>
      <c r="CJ139" s="8">
        <v>66111</v>
      </c>
      <c r="CK139" s="8">
        <v>66111</v>
      </c>
      <c r="CL139" s="8">
        <v>66111</v>
      </c>
      <c r="CM139" s="8">
        <v>66111</v>
      </c>
      <c r="CN139" s="8">
        <v>66111</v>
      </c>
      <c r="CO139" s="9">
        <f t="shared" si="63"/>
        <v>66111</v>
      </c>
      <c r="CP139" s="8">
        <v>285863</v>
      </c>
      <c r="CQ139" s="8">
        <v>285863</v>
      </c>
      <c r="CR139" s="8">
        <v>285863</v>
      </c>
      <c r="CS139" s="8">
        <v>285863</v>
      </c>
      <c r="CT139" s="8">
        <v>285863</v>
      </c>
      <c r="CU139" s="8">
        <v>285863</v>
      </c>
      <c r="CV139" s="8">
        <v>285863</v>
      </c>
      <c r="CW139" s="8">
        <v>285863</v>
      </c>
      <c r="CX139" s="8">
        <v>285863</v>
      </c>
      <c r="CY139" s="8">
        <v>285863</v>
      </c>
      <c r="CZ139" s="8">
        <v>285863</v>
      </c>
      <c r="DA139" s="8">
        <v>285863</v>
      </c>
      <c r="DB139" s="9">
        <f t="shared" si="64"/>
        <v>285863</v>
      </c>
      <c r="DC139" s="8">
        <v>394704</v>
      </c>
      <c r="DD139" s="8">
        <v>394704</v>
      </c>
      <c r="DE139" s="8">
        <v>394704</v>
      </c>
      <c r="DF139" s="8">
        <v>394704</v>
      </c>
      <c r="DG139" s="8">
        <v>394704</v>
      </c>
      <c r="DH139" s="8">
        <v>394704</v>
      </c>
      <c r="DI139" s="8">
        <v>394704</v>
      </c>
      <c r="DJ139" s="8">
        <v>394704</v>
      </c>
      <c r="DK139" s="8">
        <v>394704</v>
      </c>
      <c r="DL139" s="8">
        <v>394704</v>
      </c>
      <c r="DM139" s="8">
        <v>394704</v>
      </c>
      <c r="DN139" s="8">
        <v>394704</v>
      </c>
      <c r="DO139" s="9">
        <f t="shared" si="65"/>
        <v>394704</v>
      </c>
      <c r="DP139" s="8">
        <v>419570</v>
      </c>
      <c r="DQ139" s="8">
        <v>419570</v>
      </c>
      <c r="DR139" s="8">
        <v>419570</v>
      </c>
      <c r="DS139" s="8">
        <v>419570</v>
      </c>
      <c r="DT139" s="8">
        <v>419570</v>
      </c>
      <c r="DU139" s="8">
        <v>419570</v>
      </c>
      <c r="DV139" s="8">
        <v>419570</v>
      </c>
      <c r="DW139" s="8">
        <v>419570</v>
      </c>
      <c r="DX139" s="8">
        <v>419570</v>
      </c>
      <c r="DY139" s="8">
        <v>419570</v>
      </c>
      <c r="DZ139" s="8">
        <v>419570</v>
      </c>
      <c r="EA139" s="8">
        <v>419570</v>
      </c>
      <c r="EB139" s="9">
        <f t="shared" si="66"/>
        <v>419570</v>
      </c>
      <c r="EC139" s="8">
        <v>384307</v>
      </c>
      <c r="ED139" s="8">
        <v>384307</v>
      </c>
      <c r="EE139" s="8">
        <v>384307</v>
      </c>
      <c r="EF139" s="8">
        <v>384307</v>
      </c>
      <c r="EG139" s="8">
        <v>384307</v>
      </c>
      <c r="EH139" s="8">
        <v>384307</v>
      </c>
      <c r="EI139" s="8">
        <v>384307</v>
      </c>
      <c r="EJ139" s="8">
        <v>384307</v>
      </c>
      <c r="EK139" s="8">
        <v>384307</v>
      </c>
      <c r="EL139" s="8">
        <v>384307</v>
      </c>
      <c r="EM139" s="8">
        <v>384307</v>
      </c>
      <c r="EN139" s="8">
        <v>384307</v>
      </c>
      <c r="EO139" s="9">
        <f t="shared" si="67"/>
        <v>384307</v>
      </c>
      <c r="EP139" s="8">
        <v>400448</v>
      </c>
      <c r="EQ139" s="8">
        <v>400448</v>
      </c>
      <c r="ER139" s="8">
        <v>400448</v>
      </c>
      <c r="ES139" s="8">
        <v>400448</v>
      </c>
      <c r="ET139" s="8">
        <v>400448</v>
      </c>
      <c r="EU139" s="8">
        <v>400448</v>
      </c>
      <c r="EV139" s="8">
        <v>400448</v>
      </c>
      <c r="EW139" s="8">
        <v>400448</v>
      </c>
      <c r="EX139" s="8">
        <v>400448</v>
      </c>
      <c r="EY139" s="8">
        <v>400448</v>
      </c>
      <c r="EZ139" s="8">
        <v>400448</v>
      </c>
      <c r="FA139" s="8">
        <v>400448</v>
      </c>
      <c r="FB139" s="9">
        <f t="shared" si="68"/>
        <v>400448</v>
      </c>
      <c r="FC139" s="8">
        <v>412862</v>
      </c>
      <c r="FD139" s="8">
        <v>412862</v>
      </c>
      <c r="FE139" s="8">
        <v>412862</v>
      </c>
      <c r="FF139" s="8">
        <v>412862</v>
      </c>
      <c r="FG139" s="8">
        <v>412862</v>
      </c>
      <c r="FH139" s="8">
        <v>412862</v>
      </c>
      <c r="FI139" s="8">
        <v>412862</v>
      </c>
      <c r="FJ139" s="8"/>
      <c r="FK139" s="8"/>
      <c r="FL139" s="8"/>
      <c r="FM139" s="8"/>
      <c r="FN139" s="8"/>
      <c r="FO139" s="9">
        <f t="shared" si="69"/>
        <v>412862</v>
      </c>
    </row>
    <row r="140" spans="2:171" ht="14.25" customHeight="1" x14ac:dyDescent="0.3">
      <c r="B140" s="31" t="s">
        <v>64</v>
      </c>
      <c r="C140" s="8">
        <v>134991</v>
      </c>
      <c r="D140" s="8">
        <v>134991</v>
      </c>
      <c r="E140" s="8">
        <v>134991</v>
      </c>
      <c r="F140" s="8">
        <v>134991</v>
      </c>
      <c r="G140" s="8">
        <v>134991</v>
      </c>
      <c r="H140" s="8">
        <v>134991</v>
      </c>
      <c r="I140" s="8">
        <v>134991</v>
      </c>
      <c r="J140" s="8">
        <v>134991</v>
      </c>
      <c r="K140" s="8">
        <v>134991</v>
      </c>
      <c r="L140" s="8">
        <v>134991</v>
      </c>
      <c r="M140" s="8">
        <v>134991</v>
      </c>
      <c r="N140" s="8">
        <v>134991</v>
      </c>
      <c r="O140" s="9">
        <f t="shared" si="57"/>
        <v>134991</v>
      </c>
      <c r="P140" s="8">
        <v>139041</v>
      </c>
      <c r="Q140" s="8">
        <v>139041</v>
      </c>
      <c r="R140" s="8">
        <v>139041</v>
      </c>
      <c r="S140" s="8">
        <v>139041</v>
      </c>
      <c r="T140" s="8">
        <v>139041</v>
      </c>
      <c r="U140" s="8">
        <v>139041</v>
      </c>
      <c r="V140" s="8">
        <v>139041</v>
      </c>
      <c r="W140" s="8">
        <v>139041</v>
      </c>
      <c r="X140" s="8">
        <v>139041</v>
      </c>
      <c r="Y140" s="8">
        <v>139041</v>
      </c>
      <c r="Z140" s="8">
        <v>139041</v>
      </c>
      <c r="AA140" s="8">
        <v>139041</v>
      </c>
      <c r="AB140" s="9">
        <f t="shared" si="58"/>
        <v>139041</v>
      </c>
      <c r="AC140" s="8">
        <v>144325</v>
      </c>
      <c r="AD140" s="8">
        <v>144325</v>
      </c>
      <c r="AE140" s="8">
        <v>144325</v>
      </c>
      <c r="AF140" s="8">
        <v>144325</v>
      </c>
      <c r="AG140" s="8">
        <v>144325</v>
      </c>
      <c r="AH140" s="8">
        <v>144325</v>
      </c>
      <c r="AI140" s="8">
        <v>144325</v>
      </c>
      <c r="AJ140" s="8">
        <v>144325</v>
      </c>
      <c r="AK140" s="8">
        <v>144325</v>
      </c>
      <c r="AL140" s="8">
        <v>144325</v>
      </c>
      <c r="AM140" s="8">
        <v>144325</v>
      </c>
      <c r="AN140" s="8">
        <v>144325</v>
      </c>
      <c r="AO140" s="9">
        <f t="shared" si="59"/>
        <v>144325</v>
      </c>
      <c r="AP140" s="8">
        <v>148655</v>
      </c>
      <c r="AQ140" s="8">
        <v>148655</v>
      </c>
      <c r="AR140" s="8">
        <v>148655</v>
      </c>
      <c r="AS140" s="8">
        <v>148655</v>
      </c>
      <c r="AT140" s="8">
        <v>148655</v>
      </c>
      <c r="AU140" s="8">
        <v>148655</v>
      </c>
      <c r="AV140" s="8">
        <v>148655</v>
      </c>
      <c r="AW140" s="8">
        <v>148655</v>
      </c>
      <c r="AX140" s="8">
        <v>148655</v>
      </c>
      <c r="AY140" s="8">
        <v>148655</v>
      </c>
      <c r="AZ140" s="8">
        <v>148655</v>
      </c>
      <c r="BA140" s="8">
        <v>148655</v>
      </c>
      <c r="BB140" s="9">
        <f t="shared" si="60"/>
        <v>148655</v>
      </c>
      <c r="BC140" s="8">
        <v>152520</v>
      </c>
      <c r="BD140" s="8">
        <v>152520</v>
      </c>
      <c r="BE140" s="8">
        <v>152520</v>
      </c>
      <c r="BF140" s="8">
        <v>152520</v>
      </c>
      <c r="BG140" s="8">
        <v>152520</v>
      </c>
      <c r="BH140" s="8">
        <v>152520</v>
      </c>
      <c r="BI140" s="8">
        <v>152520</v>
      </c>
      <c r="BJ140" s="8">
        <v>152520</v>
      </c>
      <c r="BK140" s="8">
        <v>152520</v>
      </c>
      <c r="BL140" s="8">
        <v>152520</v>
      </c>
      <c r="BM140" s="8">
        <v>152520</v>
      </c>
      <c r="BN140" s="8">
        <v>152520</v>
      </c>
      <c r="BO140" s="9">
        <f t="shared" si="61"/>
        <v>152520</v>
      </c>
      <c r="BP140" s="8">
        <v>0</v>
      </c>
      <c r="BQ140" s="8">
        <v>0</v>
      </c>
      <c r="BR140" s="8">
        <v>0</v>
      </c>
      <c r="BS140" s="8">
        <v>0</v>
      </c>
      <c r="BT140" s="8">
        <v>0</v>
      </c>
      <c r="BU140" s="8">
        <v>0</v>
      </c>
      <c r="BV140" s="8">
        <v>0</v>
      </c>
      <c r="BW140" s="8">
        <v>0</v>
      </c>
      <c r="BX140" s="8">
        <v>0</v>
      </c>
      <c r="BY140" s="8">
        <v>0</v>
      </c>
      <c r="BZ140" s="8">
        <v>0</v>
      </c>
      <c r="CA140" s="8">
        <v>0</v>
      </c>
      <c r="CB140" s="9">
        <f t="shared" si="62"/>
        <v>0</v>
      </c>
      <c r="CC140" s="8">
        <v>47383</v>
      </c>
      <c r="CD140" s="8">
        <v>47383</v>
      </c>
      <c r="CE140" s="8">
        <v>47383</v>
      </c>
      <c r="CF140" s="8">
        <v>47383</v>
      </c>
      <c r="CG140" s="8">
        <v>47383</v>
      </c>
      <c r="CH140" s="8">
        <v>47383</v>
      </c>
      <c r="CI140" s="8">
        <v>47383</v>
      </c>
      <c r="CJ140" s="8">
        <v>47383</v>
      </c>
      <c r="CK140" s="8">
        <v>47383</v>
      </c>
      <c r="CL140" s="8">
        <v>47383</v>
      </c>
      <c r="CM140" s="8">
        <v>47383</v>
      </c>
      <c r="CN140" s="8">
        <v>47383</v>
      </c>
      <c r="CO140" s="9">
        <f t="shared" si="63"/>
        <v>47383</v>
      </c>
      <c r="CP140" s="8">
        <v>201301</v>
      </c>
      <c r="CQ140" s="8">
        <v>201301</v>
      </c>
      <c r="CR140" s="8">
        <v>201301</v>
      </c>
      <c r="CS140" s="8">
        <v>201301</v>
      </c>
      <c r="CT140" s="8">
        <v>201301</v>
      </c>
      <c r="CU140" s="8">
        <v>201301</v>
      </c>
      <c r="CV140" s="8">
        <v>201301</v>
      </c>
      <c r="CW140" s="8">
        <v>201301</v>
      </c>
      <c r="CX140" s="8">
        <v>201301</v>
      </c>
      <c r="CY140" s="8">
        <v>201301</v>
      </c>
      <c r="CZ140" s="8">
        <v>201301</v>
      </c>
      <c r="DA140" s="8">
        <v>201301</v>
      </c>
      <c r="DB140" s="9">
        <f t="shared" si="64"/>
        <v>201301</v>
      </c>
      <c r="DC140" s="8">
        <v>275962</v>
      </c>
      <c r="DD140" s="8">
        <v>275962</v>
      </c>
      <c r="DE140" s="8">
        <v>275962</v>
      </c>
      <c r="DF140" s="8">
        <v>275962</v>
      </c>
      <c r="DG140" s="8">
        <v>275962</v>
      </c>
      <c r="DH140" s="8">
        <v>275962</v>
      </c>
      <c r="DI140" s="8">
        <v>275962</v>
      </c>
      <c r="DJ140" s="8">
        <v>275962</v>
      </c>
      <c r="DK140" s="8">
        <v>275962</v>
      </c>
      <c r="DL140" s="8">
        <v>275962</v>
      </c>
      <c r="DM140" s="8">
        <v>275962</v>
      </c>
      <c r="DN140" s="8">
        <v>275962</v>
      </c>
      <c r="DO140" s="9">
        <f t="shared" si="65"/>
        <v>275962</v>
      </c>
      <c r="DP140" s="8">
        <v>293348</v>
      </c>
      <c r="DQ140" s="8">
        <v>293348</v>
      </c>
      <c r="DR140" s="8">
        <v>293348</v>
      </c>
      <c r="DS140" s="8">
        <v>293348</v>
      </c>
      <c r="DT140" s="8">
        <v>293348</v>
      </c>
      <c r="DU140" s="8">
        <v>293348</v>
      </c>
      <c r="DV140" s="8">
        <v>293348</v>
      </c>
      <c r="DW140" s="8">
        <v>293348</v>
      </c>
      <c r="DX140" s="8">
        <v>293348</v>
      </c>
      <c r="DY140" s="8">
        <v>293348</v>
      </c>
      <c r="DZ140" s="8">
        <v>293348</v>
      </c>
      <c r="EA140" s="8">
        <v>293348</v>
      </c>
      <c r="EB140" s="9">
        <f t="shared" si="66"/>
        <v>293348</v>
      </c>
      <c r="EC140" s="8">
        <v>268694</v>
      </c>
      <c r="ED140" s="8">
        <v>268694</v>
      </c>
      <c r="EE140" s="8">
        <v>268694</v>
      </c>
      <c r="EF140" s="8">
        <v>268694</v>
      </c>
      <c r="EG140" s="8">
        <v>268694</v>
      </c>
      <c r="EH140" s="8">
        <v>268694</v>
      </c>
      <c r="EI140" s="8">
        <v>268694</v>
      </c>
      <c r="EJ140" s="8">
        <v>268694</v>
      </c>
      <c r="EK140" s="8">
        <v>268694</v>
      </c>
      <c r="EL140" s="8">
        <v>268694</v>
      </c>
      <c r="EM140" s="8">
        <v>268694</v>
      </c>
      <c r="EN140" s="8">
        <v>268694</v>
      </c>
      <c r="EO140" s="9">
        <f t="shared" si="67"/>
        <v>268694</v>
      </c>
      <c r="EP140" s="8">
        <v>279980</v>
      </c>
      <c r="EQ140" s="8">
        <v>279980</v>
      </c>
      <c r="ER140" s="8">
        <v>279980</v>
      </c>
      <c r="ES140" s="8">
        <v>279980</v>
      </c>
      <c r="ET140" s="8">
        <v>279980</v>
      </c>
      <c r="EU140" s="8">
        <v>279980</v>
      </c>
      <c r="EV140" s="8">
        <v>279980</v>
      </c>
      <c r="EW140" s="8">
        <v>279980</v>
      </c>
      <c r="EX140" s="8">
        <v>279980</v>
      </c>
      <c r="EY140" s="8">
        <v>279980</v>
      </c>
      <c r="EZ140" s="8">
        <v>279980</v>
      </c>
      <c r="FA140" s="8">
        <v>279980</v>
      </c>
      <c r="FB140" s="9">
        <f t="shared" si="68"/>
        <v>279980</v>
      </c>
      <c r="FC140" s="8">
        <v>288660</v>
      </c>
      <c r="FD140" s="8">
        <v>288660</v>
      </c>
      <c r="FE140" s="8">
        <v>288660</v>
      </c>
      <c r="FF140" s="8">
        <v>288660</v>
      </c>
      <c r="FG140" s="8">
        <v>288660</v>
      </c>
      <c r="FH140" s="8">
        <v>288660</v>
      </c>
      <c r="FI140" s="8">
        <v>288660</v>
      </c>
      <c r="FJ140" s="8"/>
      <c r="FK140" s="8"/>
      <c r="FL140" s="8"/>
      <c r="FM140" s="8"/>
      <c r="FN140" s="8"/>
      <c r="FO140" s="9">
        <f t="shared" si="69"/>
        <v>288660</v>
      </c>
    </row>
    <row r="141" spans="2:171" ht="14.25" customHeight="1" x14ac:dyDescent="0.3">
      <c r="B141" s="31" t="s">
        <v>65</v>
      </c>
      <c r="C141" s="8">
        <v>197209</v>
      </c>
      <c r="D141" s="8">
        <v>197209</v>
      </c>
      <c r="E141" s="8">
        <v>197209</v>
      </c>
      <c r="F141" s="8">
        <v>197209</v>
      </c>
      <c r="G141" s="8">
        <v>197209</v>
      </c>
      <c r="H141" s="8">
        <v>197209</v>
      </c>
      <c r="I141" s="8">
        <v>197209</v>
      </c>
      <c r="J141" s="8">
        <v>197209</v>
      </c>
      <c r="K141" s="8">
        <v>197209</v>
      </c>
      <c r="L141" s="8">
        <v>197209</v>
      </c>
      <c r="M141" s="8">
        <v>197209</v>
      </c>
      <c r="N141" s="8">
        <v>197209</v>
      </c>
      <c r="O141" s="9">
        <f t="shared" si="57"/>
        <v>197209</v>
      </c>
      <c r="P141" s="8">
        <v>203125</v>
      </c>
      <c r="Q141" s="8">
        <v>203125</v>
      </c>
      <c r="R141" s="8">
        <v>203125</v>
      </c>
      <c r="S141" s="8">
        <v>203125</v>
      </c>
      <c r="T141" s="8">
        <v>203125</v>
      </c>
      <c r="U141" s="8">
        <v>203125</v>
      </c>
      <c r="V141" s="8">
        <v>203125</v>
      </c>
      <c r="W141" s="8">
        <v>203125</v>
      </c>
      <c r="X141" s="8">
        <v>203125</v>
      </c>
      <c r="Y141" s="8">
        <v>203125</v>
      </c>
      <c r="Z141" s="8">
        <v>203125</v>
      </c>
      <c r="AA141" s="8">
        <v>203125</v>
      </c>
      <c r="AB141" s="9">
        <f t="shared" si="58"/>
        <v>203125</v>
      </c>
      <c r="AC141" s="8">
        <v>210844</v>
      </c>
      <c r="AD141" s="8">
        <v>210844</v>
      </c>
      <c r="AE141" s="8">
        <v>210844</v>
      </c>
      <c r="AF141" s="8">
        <v>210844</v>
      </c>
      <c r="AG141" s="8">
        <v>210844</v>
      </c>
      <c r="AH141" s="8">
        <v>210844</v>
      </c>
      <c r="AI141" s="8">
        <v>210844</v>
      </c>
      <c r="AJ141" s="8">
        <v>210844</v>
      </c>
      <c r="AK141" s="8">
        <v>210844</v>
      </c>
      <c r="AL141" s="8">
        <v>210844</v>
      </c>
      <c r="AM141" s="8">
        <v>210844</v>
      </c>
      <c r="AN141" s="8">
        <v>210844</v>
      </c>
      <c r="AO141" s="9">
        <f t="shared" si="59"/>
        <v>210844</v>
      </c>
      <c r="AP141" s="8">
        <v>217169</v>
      </c>
      <c r="AQ141" s="8">
        <v>217169</v>
      </c>
      <c r="AR141" s="8">
        <v>217169</v>
      </c>
      <c r="AS141" s="8">
        <v>217169</v>
      </c>
      <c r="AT141" s="8">
        <v>217169</v>
      </c>
      <c r="AU141" s="8">
        <v>217169</v>
      </c>
      <c r="AV141" s="8">
        <v>217169</v>
      </c>
      <c r="AW141" s="8">
        <v>217169</v>
      </c>
      <c r="AX141" s="8">
        <v>217169</v>
      </c>
      <c r="AY141" s="8">
        <v>217169</v>
      </c>
      <c r="AZ141" s="8">
        <v>217169</v>
      </c>
      <c r="BA141" s="8">
        <v>217169</v>
      </c>
      <c r="BB141" s="9">
        <f t="shared" si="60"/>
        <v>217169</v>
      </c>
      <c r="BC141" s="8">
        <v>222815</v>
      </c>
      <c r="BD141" s="8">
        <v>222815</v>
      </c>
      <c r="BE141" s="8">
        <v>222815</v>
      </c>
      <c r="BF141" s="8">
        <v>222815</v>
      </c>
      <c r="BG141" s="8">
        <v>222815</v>
      </c>
      <c r="BH141" s="8">
        <v>222815</v>
      </c>
      <c r="BI141" s="8">
        <v>222815</v>
      </c>
      <c r="BJ141" s="8">
        <v>222815</v>
      </c>
      <c r="BK141" s="8">
        <v>222815</v>
      </c>
      <c r="BL141" s="8">
        <v>222815</v>
      </c>
      <c r="BM141" s="8">
        <v>222815</v>
      </c>
      <c r="BN141" s="8">
        <v>222815</v>
      </c>
      <c r="BO141" s="9">
        <f t="shared" si="61"/>
        <v>222815</v>
      </c>
      <c r="BP141" s="8">
        <v>0</v>
      </c>
      <c r="BQ141" s="8">
        <v>0</v>
      </c>
      <c r="BR141" s="8">
        <v>0</v>
      </c>
      <c r="BS141" s="8">
        <v>0</v>
      </c>
      <c r="BT141" s="8">
        <v>0</v>
      </c>
      <c r="BU141" s="8">
        <v>0</v>
      </c>
      <c r="BV141" s="8">
        <v>0</v>
      </c>
      <c r="BW141" s="8">
        <v>0</v>
      </c>
      <c r="BX141" s="8">
        <v>0</v>
      </c>
      <c r="BY141" s="8">
        <v>0</v>
      </c>
      <c r="BZ141" s="8">
        <v>0</v>
      </c>
      <c r="CA141" s="8">
        <v>0</v>
      </c>
      <c r="CB141" s="9">
        <f t="shared" si="62"/>
        <v>0</v>
      </c>
      <c r="CC141" s="8">
        <v>79885</v>
      </c>
      <c r="CD141" s="8">
        <v>79885</v>
      </c>
      <c r="CE141" s="8">
        <v>79885</v>
      </c>
      <c r="CF141" s="8">
        <v>79885</v>
      </c>
      <c r="CG141" s="8">
        <v>79885</v>
      </c>
      <c r="CH141" s="8">
        <v>79885</v>
      </c>
      <c r="CI141" s="8">
        <v>79885</v>
      </c>
      <c r="CJ141" s="8">
        <v>79885</v>
      </c>
      <c r="CK141" s="8">
        <v>79885</v>
      </c>
      <c r="CL141" s="8">
        <v>79885</v>
      </c>
      <c r="CM141" s="8">
        <v>79885</v>
      </c>
      <c r="CN141" s="8">
        <v>79885</v>
      </c>
      <c r="CO141" s="9">
        <f t="shared" si="63"/>
        <v>79885</v>
      </c>
      <c r="CP141" s="8">
        <v>353262</v>
      </c>
      <c r="CQ141" s="8">
        <v>353262</v>
      </c>
      <c r="CR141" s="8">
        <v>353262</v>
      </c>
      <c r="CS141" s="8">
        <v>353262</v>
      </c>
      <c r="CT141" s="8">
        <v>353262</v>
      </c>
      <c r="CU141" s="8">
        <v>353262</v>
      </c>
      <c r="CV141" s="8">
        <v>353262</v>
      </c>
      <c r="CW141" s="8">
        <v>353262</v>
      </c>
      <c r="CX141" s="8">
        <v>353262</v>
      </c>
      <c r="CY141" s="8">
        <v>353262</v>
      </c>
      <c r="CZ141" s="8">
        <v>353262</v>
      </c>
      <c r="DA141" s="8">
        <v>353262</v>
      </c>
      <c r="DB141" s="9">
        <f t="shared" si="64"/>
        <v>353262</v>
      </c>
      <c r="DC141" s="8">
        <v>485208</v>
      </c>
      <c r="DD141" s="8">
        <v>485208</v>
      </c>
      <c r="DE141" s="8">
        <v>485208</v>
      </c>
      <c r="DF141" s="8">
        <v>485208</v>
      </c>
      <c r="DG141" s="8">
        <v>485208</v>
      </c>
      <c r="DH141" s="8">
        <v>485208</v>
      </c>
      <c r="DI141" s="8">
        <v>485208</v>
      </c>
      <c r="DJ141" s="8">
        <v>485208</v>
      </c>
      <c r="DK141" s="8">
        <v>485208</v>
      </c>
      <c r="DL141" s="8">
        <v>485208</v>
      </c>
      <c r="DM141" s="8">
        <v>485208</v>
      </c>
      <c r="DN141" s="8">
        <v>485208</v>
      </c>
      <c r="DO141" s="9">
        <f t="shared" si="65"/>
        <v>485208</v>
      </c>
      <c r="DP141" s="8">
        <v>515776</v>
      </c>
      <c r="DQ141" s="8">
        <v>515776</v>
      </c>
      <c r="DR141" s="8">
        <v>515776</v>
      </c>
      <c r="DS141" s="8">
        <v>515776</v>
      </c>
      <c r="DT141" s="8">
        <v>515776</v>
      </c>
      <c r="DU141" s="8">
        <v>515776</v>
      </c>
      <c r="DV141" s="8">
        <v>515776</v>
      </c>
      <c r="DW141" s="8">
        <v>515776</v>
      </c>
      <c r="DX141" s="8">
        <v>515776</v>
      </c>
      <c r="DY141" s="8">
        <v>515776</v>
      </c>
      <c r="DZ141" s="8">
        <v>515776</v>
      </c>
      <c r="EA141" s="8">
        <v>515776</v>
      </c>
      <c r="EB141" s="9">
        <f t="shared" si="66"/>
        <v>515776</v>
      </c>
      <c r="EC141" s="8">
        <v>472428</v>
      </c>
      <c r="ED141" s="8">
        <v>472428</v>
      </c>
      <c r="EE141" s="8">
        <v>472428</v>
      </c>
      <c r="EF141" s="8">
        <v>472428</v>
      </c>
      <c r="EG141" s="8">
        <v>472428</v>
      </c>
      <c r="EH141" s="8">
        <v>472428</v>
      </c>
      <c r="EI141" s="8">
        <v>472428</v>
      </c>
      <c r="EJ141" s="8">
        <v>472428</v>
      </c>
      <c r="EK141" s="8">
        <v>472428</v>
      </c>
      <c r="EL141" s="8">
        <v>472428</v>
      </c>
      <c r="EM141" s="8">
        <v>472428</v>
      </c>
      <c r="EN141" s="8">
        <v>472428</v>
      </c>
      <c r="EO141" s="9">
        <f t="shared" si="67"/>
        <v>472428</v>
      </c>
      <c r="EP141" s="8">
        <v>492270</v>
      </c>
      <c r="EQ141" s="8">
        <v>492270</v>
      </c>
      <c r="ER141" s="8">
        <v>492270</v>
      </c>
      <c r="ES141" s="8">
        <v>492270</v>
      </c>
      <c r="ET141" s="8">
        <v>492270</v>
      </c>
      <c r="EU141" s="8">
        <v>492270</v>
      </c>
      <c r="EV141" s="8">
        <v>492270</v>
      </c>
      <c r="EW141" s="8">
        <v>492270</v>
      </c>
      <c r="EX141" s="8">
        <v>492270</v>
      </c>
      <c r="EY141" s="8">
        <v>492270</v>
      </c>
      <c r="EZ141" s="8">
        <v>492270</v>
      </c>
      <c r="FA141" s="8">
        <v>492270</v>
      </c>
      <c r="FB141" s="9">
        <f t="shared" si="68"/>
        <v>492270</v>
      </c>
      <c r="FC141" s="8">
        <v>507530</v>
      </c>
      <c r="FD141" s="8">
        <v>507530</v>
      </c>
      <c r="FE141" s="8">
        <v>507530</v>
      </c>
      <c r="FF141" s="8">
        <v>507530</v>
      </c>
      <c r="FG141" s="8">
        <v>507530</v>
      </c>
      <c r="FH141" s="8">
        <v>507530</v>
      </c>
      <c r="FI141" s="8">
        <v>507530</v>
      </c>
      <c r="FJ141" s="8"/>
      <c r="FK141" s="8"/>
      <c r="FL141" s="8"/>
      <c r="FM141" s="8"/>
      <c r="FN141" s="8"/>
      <c r="FO141" s="9">
        <f t="shared" si="69"/>
        <v>507530</v>
      </c>
    </row>
    <row r="142" spans="2:171" ht="14.25" customHeight="1" x14ac:dyDescent="0.3">
      <c r="B142" s="7" t="s">
        <v>66</v>
      </c>
      <c r="C142" s="8">
        <v>114769</v>
      </c>
      <c r="D142" s="8">
        <v>114769</v>
      </c>
      <c r="E142" s="8">
        <v>114769</v>
      </c>
      <c r="F142" s="8">
        <v>114769</v>
      </c>
      <c r="G142" s="8">
        <v>114769</v>
      </c>
      <c r="H142" s="8">
        <v>114769</v>
      </c>
      <c r="I142" s="8">
        <v>114769</v>
      </c>
      <c r="J142" s="8">
        <v>114769</v>
      </c>
      <c r="K142" s="8">
        <v>114769</v>
      </c>
      <c r="L142" s="8">
        <v>114769</v>
      </c>
      <c r="M142" s="8">
        <v>114769</v>
      </c>
      <c r="N142" s="8">
        <v>114769</v>
      </c>
      <c r="O142" s="9">
        <f t="shared" si="57"/>
        <v>114769</v>
      </c>
      <c r="P142" s="8">
        <v>118212</v>
      </c>
      <c r="Q142" s="8">
        <v>118212</v>
      </c>
      <c r="R142" s="8">
        <v>118212</v>
      </c>
      <c r="S142" s="8">
        <v>118212</v>
      </c>
      <c r="T142" s="8">
        <v>118212</v>
      </c>
      <c r="U142" s="8">
        <v>118212</v>
      </c>
      <c r="V142" s="8">
        <v>118212</v>
      </c>
      <c r="W142" s="8">
        <v>118212</v>
      </c>
      <c r="X142" s="8">
        <v>118212</v>
      </c>
      <c r="Y142" s="8">
        <v>118212</v>
      </c>
      <c r="Z142" s="8">
        <v>118212</v>
      </c>
      <c r="AA142" s="8">
        <v>118212</v>
      </c>
      <c r="AB142" s="9">
        <f t="shared" si="58"/>
        <v>118212</v>
      </c>
      <c r="AC142" s="8">
        <v>122704</v>
      </c>
      <c r="AD142" s="8">
        <v>122704</v>
      </c>
      <c r="AE142" s="8">
        <v>122704</v>
      </c>
      <c r="AF142" s="8">
        <v>122704</v>
      </c>
      <c r="AG142" s="8">
        <v>122704</v>
      </c>
      <c r="AH142" s="8">
        <v>122704</v>
      </c>
      <c r="AI142" s="8">
        <v>122704</v>
      </c>
      <c r="AJ142" s="8">
        <v>122704</v>
      </c>
      <c r="AK142" s="8">
        <v>122704</v>
      </c>
      <c r="AL142" s="8">
        <v>122704</v>
      </c>
      <c r="AM142" s="8">
        <v>122704</v>
      </c>
      <c r="AN142" s="8">
        <v>122704</v>
      </c>
      <c r="AO142" s="9">
        <f t="shared" si="59"/>
        <v>122704</v>
      </c>
      <c r="AP142" s="8">
        <v>126385</v>
      </c>
      <c r="AQ142" s="8">
        <v>126385</v>
      </c>
      <c r="AR142" s="8">
        <v>126385</v>
      </c>
      <c r="AS142" s="8">
        <v>126385</v>
      </c>
      <c r="AT142" s="8">
        <v>126385</v>
      </c>
      <c r="AU142" s="8">
        <v>126385</v>
      </c>
      <c r="AV142" s="8">
        <v>126385</v>
      </c>
      <c r="AW142" s="8">
        <v>126385</v>
      </c>
      <c r="AX142" s="8">
        <v>126385</v>
      </c>
      <c r="AY142" s="8">
        <v>126385</v>
      </c>
      <c r="AZ142" s="8">
        <v>126385</v>
      </c>
      <c r="BA142" s="8">
        <v>126385</v>
      </c>
      <c r="BB142" s="9">
        <f t="shared" si="60"/>
        <v>126385</v>
      </c>
      <c r="BC142" s="8">
        <v>129671</v>
      </c>
      <c r="BD142" s="8">
        <v>129671</v>
      </c>
      <c r="BE142" s="8">
        <v>129671</v>
      </c>
      <c r="BF142" s="8">
        <v>129671</v>
      </c>
      <c r="BG142" s="8">
        <v>129671</v>
      </c>
      <c r="BH142" s="8">
        <v>129671</v>
      </c>
      <c r="BI142" s="8">
        <v>129671</v>
      </c>
      <c r="BJ142" s="8">
        <v>129671</v>
      </c>
      <c r="BK142" s="8">
        <v>129671</v>
      </c>
      <c r="BL142" s="8">
        <v>129671</v>
      </c>
      <c r="BM142" s="8">
        <v>129671</v>
      </c>
      <c r="BN142" s="8">
        <v>129671</v>
      </c>
      <c r="BO142" s="9">
        <f t="shared" si="61"/>
        <v>129671</v>
      </c>
      <c r="BP142" s="8">
        <v>0</v>
      </c>
      <c r="BQ142" s="8">
        <v>0</v>
      </c>
      <c r="BR142" s="8">
        <v>0</v>
      </c>
      <c r="BS142" s="8">
        <v>0</v>
      </c>
      <c r="BT142" s="8">
        <v>0</v>
      </c>
      <c r="BU142" s="8">
        <v>0</v>
      </c>
      <c r="BV142" s="8">
        <v>0</v>
      </c>
      <c r="BW142" s="8">
        <v>0</v>
      </c>
      <c r="BX142" s="8">
        <v>0</v>
      </c>
      <c r="BY142" s="8">
        <v>0</v>
      </c>
      <c r="BZ142" s="8">
        <v>0</v>
      </c>
      <c r="CA142" s="8">
        <v>0</v>
      </c>
      <c r="CB142" s="9">
        <f t="shared" si="62"/>
        <v>0</v>
      </c>
      <c r="CC142" s="8">
        <v>45607</v>
      </c>
      <c r="CD142" s="8">
        <v>45607</v>
      </c>
      <c r="CE142" s="8">
        <v>45607</v>
      </c>
      <c r="CF142" s="8">
        <v>45607</v>
      </c>
      <c r="CG142" s="8">
        <v>45607</v>
      </c>
      <c r="CH142" s="8">
        <v>45607</v>
      </c>
      <c r="CI142" s="8">
        <v>45607</v>
      </c>
      <c r="CJ142" s="8">
        <v>45607</v>
      </c>
      <c r="CK142" s="8">
        <v>45607</v>
      </c>
      <c r="CL142" s="8">
        <v>45607</v>
      </c>
      <c r="CM142" s="8">
        <v>45607</v>
      </c>
      <c r="CN142" s="8">
        <v>45607</v>
      </c>
      <c r="CO142" s="9">
        <f t="shared" si="63"/>
        <v>45607</v>
      </c>
      <c r="CP142" s="8">
        <v>201355</v>
      </c>
      <c r="CQ142" s="8">
        <v>201355</v>
      </c>
      <c r="CR142" s="8">
        <v>201355</v>
      </c>
      <c r="CS142" s="8">
        <v>201355</v>
      </c>
      <c r="CT142" s="8">
        <v>201355</v>
      </c>
      <c r="CU142" s="8">
        <v>201355</v>
      </c>
      <c r="CV142" s="8">
        <v>201355</v>
      </c>
      <c r="CW142" s="8">
        <v>201355</v>
      </c>
      <c r="CX142" s="8">
        <v>201355</v>
      </c>
      <c r="CY142" s="8">
        <v>201355</v>
      </c>
      <c r="CZ142" s="8">
        <v>201355</v>
      </c>
      <c r="DA142" s="8">
        <v>201355</v>
      </c>
      <c r="DB142" s="9">
        <f t="shared" si="64"/>
        <v>201355</v>
      </c>
      <c r="DC142" s="8">
        <v>282590</v>
      </c>
      <c r="DD142" s="8">
        <v>282590</v>
      </c>
      <c r="DE142" s="8">
        <v>282590</v>
      </c>
      <c r="DF142" s="8">
        <v>282590</v>
      </c>
      <c r="DG142" s="8">
        <v>282590</v>
      </c>
      <c r="DH142" s="8">
        <v>282590</v>
      </c>
      <c r="DI142" s="8">
        <v>282590</v>
      </c>
      <c r="DJ142" s="8">
        <v>282590</v>
      </c>
      <c r="DK142" s="8">
        <v>282590</v>
      </c>
      <c r="DL142" s="8">
        <v>282590</v>
      </c>
      <c r="DM142" s="8">
        <v>282590</v>
      </c>
      <c r="DN142" s="8">
        <v>282590</v>
      </c>
      <c r="DO142" s="9">
        <f t="shared" si="65"/>
        <v>282590</v>
      </c>
      <c r="DP142" s="8">
        <v>300393</v>
      </c>
      <c r="DQ142" s="8">
        <v>300393</v>
      </c>
      <c r="DR142" s="8">
        <v>300393</v>
      </c>
      <c r="DS142" s="8">
        <v>300393</v>
      </c>
      <c r="DT142" s="8">
        <v>300393</v>
      </c>
      <c r="DU142" s="8">
        <v>300393</v>
      </c>
      <c r="DV142" s="8">
        <v>300393</v>
      </c>
      <c r="DW142" s="8">
        <v>300393</v>
      </c>
      <c r="DX142" s="8">
        <v>300393</v>
      </c>
      <c r="DY142" s="8">
        <v>300393</v>
      </c>
      <c r="DZ142" s="8">
        <v>300393</v>
      </c>
      <c r="EA142" s="8">
        <v>300393</v>
      </c>
      <c r="EB142" s="9">
        <f t="shared" si="66"/>
        <v>300393</v>
      </c>
      <c r="EC142" s="8">
        <v>275147</v>
      </c>
      <c r="ED142" s="8">
        <v>275147</v>
      </c>
      <c r="EE142" s="8">
        <v>275147</v>
      </c>
      <c r="EF142" s="8">
        <v>275147</v>
      </c>
      <c r="EG142" s="8">
        <v>275147</v>
      </c>
      <c r="EH142" s="8">
        <v>275147</v>
      </c>
      <c r="EI142" s="8">
        <v>275147</v>
      </c>
      <c r="EJ142" s="8">
        <v>275147</v>
      </c>
      <c r="EK142" s="8">
        <v>275147</v>
      </c>
      <c r="EL142" s="8">
        <v>275147</v>
      </c>
      <c r="EM142" s="8">
        <v>275147</v>
      </c>
      <c r="EN142" s="8">
        <v>275147</v>
      </c>
      <c r="EO142" s="9">
        <f t="shared" si="67"/>
        <v>275147</v>
      </c>
      <c r="EP142" s="8">
        <v>286704</v>
      </c>
      <c r="EQ142" s="8">
        <v>286704</v>
      </c>
      <c r="ER142" s="8">
        <v>286704</v>
      </c>
      <c r="ES142" s="8">
        <v>286704</v>
      </c>
      <c r="ET142" s="8">
        <v>286704</v>
      </c>
      <c r="EU142" s="8">
        <v>286704</v>
      </c>
      <c r="EV142" s="8">
        <v>286704</v>
      </c>
      <c r="EW142" s="8">
        <v>286704</v>
      </c>
      <c r="EX142" s="8">
        <v>286704</v>
      </c>
      <c r="EY142" s="8">
        <v>286704</v>
      </c>
      <c r="EZ142" s="8">
        <v>286704</v>
      </c>
      <c r="FA142" s="8">
        <v>286704</v>
      </c>
      <c r="FB142" s="9">
        <f t="shared" si="68"/>
        <v>286704</v>
      </c>
      <c r="FC142" s="8">
        <v>295592</v>
      </c>
      <c r="FD142" s="8">
        <v>295592</v>
      </c>
      <c r="FE142" s="8">
        <v>295592</v>
      </c>
      <c r="FF142" s="8">
        <v>295592</v>
      </c>
      <c r="FG142" s="8">
        <v>295592</v>
      </c>
      <c r="FH142" s="8">
        <v>295592</v>
      </c>
      <c r="FI142" s="8">
        <v>295592</v>
      </c>
      <c r="FJ142" s="8"/>
      <c r="FK142" s="8"/>
      <c r="FL142" s="8"/>
      <c r="FM142" s="8"/>
      <c r="FN142" s="8"/>
      <c r="FO142" s="9">
        <f t="shared" si="69"/>
        <v>295592</v>
      </c>
    </row>
    <row r="143" spans="2:171" ht="14.25" customHeight="1" x14ac:dyDescent="0.3">
      <c r="B143" s="7" t="s">
        <v>67</v>
      </c>
      <c r="C143" s="8">
        <v>176621</v>
      </c>
      <c r="D143" s="8">
        <v>176621</v>
      </c>
      <c r="E143" s="8">
        <v>176621</v>
      </c>
      <c r="F143" s="8">
        <v>176621</v>
      </c>
      <c r="G143" s="8">
        <v>176621</v>
      </c>
      <c r="H143" s="8">
        <v>176621</v>
      </c>
      <c r="I143" s="8">
        <v>176621</v>
      </c>
      <c r="J143" s="8">
        <v>176621</v>
      </c>
      <c r="K143" s="8">
        <v>176621</v>
      </c>
      <c r="L143" s="8">
        <v>176621</v>
      </c>
      <c r="M143" s="8">
        <v>176621</v>
      </c>
      <c r="N143" s="8">
        <v>176621</v>
      </c>
      <c r="O143" s="9">
        <f t="shared" si="57"/>
        <v>176621</v>
      </c>
      <c r="P143" s="8">
        <v>181920</v>
      </c>
      <c r="Q143" s="8">
        <v>181920</v>
      </c>
      <c r="R143" s="8">
        <v>181920</v>
      </c>
      <c r="S143" s="8">
        <v>181920</v>
      </c>
      <c r="T143" s="8">
        <v>181920</v>
      </c>
      <c r="U143" s="8">
        <v>181920</v>
      </c>
      <c r="V143" s="8">
        <v>181920</v>
      </c>
      <c r="W143" s="8">
        <v>181920</v>
      </c>
      <c r="X143" s="8">
        <v>181920</v>
      </c>
      <c r="Y143" s="8">
        <v>181920</v>
      </c>
      <c r="Z143" s="8">
        <v>181920</v>
      </c>
      <c r="AA143" s="8">
        <v>181920</v>
      </c>
      <c r="AB143" s="9">
        <f t="shared" si="58"/>
        <v>181920</v>
      </c>
      <c r="AC143" s="8">
        <v>188833</v>
      </c>
      <c r="AD143" s="8">
        <v>188833</v>
      </c>
      <c r="AE143" s="8">
        <v>188833</v>
      </c>
      <c r="AF143" s="8">
        <v>188833</v>
      </c>
      <c r="AG143" s="8">
        <v>188833</v>
      </c>
      <c r="AH143" s="8">
        <v>188833</v>
      </c>
      <c r="AI143" s="8">
        <v>188833</v>
      </c>
      <c r="AJ143" s="8">
        <v>188833</v>
      </c>
      <c r="AK143" s="8">
        <v>188833</v>
      </c>
      <c r="AL143" s="8">
        <v>188833</v>
      </c>
      <c r="AM143" s="8">
        <v>188833</v>
      </c>
      <c r="AN143" s="8">
        <v>188833</v>
      </c>
      <c r="AO143" s="9">
        <f t="shared" si="59"/>
        <v>188833</v>
      </c>
      <c r="AP143" s="8">
        <v>194498</v>
      </c>
      <c r="AQ143" s="8">
        <v>194498</v>
      </c>
      <c r="AR143" s="8">
        <v>194498</v>
      </c>
      <c r="AS143" s="8">
        <v>194498</v>
      </c>
      <c r="AT143" s="8">
        <v>194498</v>
      </c>
      <c r="AU143" s="8">
        <v>194498</v>
      </c>
      <c r="AV143" s="8">
        <v>194498</v>
      </c>
      <c r="AW143" s="8">
        <v>194498</v>
      </c>
      <c r="AX143" s="8">
        <v>194498</v>
      </c>
      <c r="AY143" s="8">
        <v>194498</v>
      </c>
      <c r="AZ143" s="8">
        <v>194498</v>
      </c>
      <c r="BA143" s="8">
        <v>194498</v>
      </c>
      <c r="BB143" s="9">
        <f t="shared" si="60"/>
        <v>194498</v>
      </c>
      <c r="BC143" s="8">
        <v>199555</v>
      </c>
      <c r="BD143" s="8">
        <v>199555</v>
      </c>
      <c r="BE143" s="8">
        <v>199555</v>
      </c>
      <c r="BF143" s="8">
        <v>199555</v>
      </c>
      <c r="BG143" s="8">
        <v>199555</v>
      </c>
      <c r="BH143" s="8">
        <v>199555</v>
      </c>
      <c r="BI143" s="8">
        <v>199555</v>
      </c>
      <c r="BJ143" s="8">
        <v>199555</v>
      </c>
      <c r="BK143" s="8">
        <v>199555</v>
      </c>
      <c r="BL143" s="8">
        <v>199555</v>
      </c>
      <c r="BM143" s="8">
        <v>199555</v>
      </c>
      <c r="BN143" s="8">
        <v>199555</v>
      </c>
      <c r="BO143" s="9">
        <f t="shared" si="61"/>
        <v>199555</v>
      </c>
      <c r="BP143" s="8">
        <v>0</v>
      </c>
      <c r="BQ143" s="8">
        <v>0</v>
      </c>
      <c r="BR143" s="8">
        <v>0</v>
      </c>
      <c r="BS143" s="8">
        <v>0</v>
      </c>
      <c r="BT143" s="8">
        <v>0</v>
      </c>
      <c r="BU143" s="8">
        <v>0</v>
      </c>
      <c r="BV143" s="8">
        <v>0</v>
      </c>
      <c r="BW143" s="8">
        <v>0</v>
      </c>
      <c r="BX143" s="8">
        <v>0</v>
      </c>
      <c r="BY143" s="8">
        <v>0</v>
      </c>
      <c r="BZ143" s="8">
        <v>0</v>
      </c>
      <c r="CA143" s="8">
        <v>0</v>
      </c>
      <c r="CB143" s="9">
        <f t="shared" si="62"/>
        <v>0</v>
      </c>
      <c r="CC143" s="8">
        <v>45134</v>
      </c>
      <c r="CD143" s="8">
        <v>45134</v>
      </c>
      <c r="CE143" s="8">
        <v>45134</v>
      </c>
      <c r="CF143" s="8">
        <v>45134</v>
      </c>
      <c r="CG143" s="8">
        <v>45134</v>
      </c>
      <c r="CH143" s="8">
        <v>45134</v>
      </c>
      <c r="CI143" s="8">
        <v>45134</v>
      </c>
      <c r="CJ143" s="8">
        <v>45134</v>
      </c>
      <c r="CK143" s="8">
        <v>45134</v>
      </c>
      <c r="CL143" s="8">
        <v>45134</v>
      </c>
      <c r="CM143" s="8">
        <v>45134</v>
      </c>
      <c r="CN143" s="8">
        <v>45134</v>
      </c>
      <c r="CO143" s="9">
        <f t="shared" si="63"/>
        <v>45134</v>
      </c>
      <c r="CP143" s="8">
        <v>201075</v>
      </c>
      <c r="CQ143" s="8">
        <v>201075</v>
      </c>
      <c r="CR143" s="8">
        <v>201075</v>
      </c>
      <c r="CS143" s="8">
        <v>201075</v>
      </c>
      <c r="CT143" s="8">
        <v>201075</v>
      </c>
      <c r="CU143" s="8">
        <v>201075</v>
      </c>
      <c r="CV143" s="8">
        <v>201075</v>
      </c>
      <c r="CW143" s="8">
        <v>201075</v>
      </c>
      <c r="CX143" s="8">
        <v>201075</v>
      </c>
      <c r="CY143" s="8">
        <v>201075</v>
      </c>
      <c r="CZ143" s="8">
        <v>201075</v>
      </c>
      <c r="DA143" s="8">
        <v>201075</v>
      </c>
      <c r="DB143" s="9">
        <f t="shared" si="64"/>
        <v>201075</v>
      </c>
      <c r="DC143" s="8">
        <v>276820</v>
      </c>
      <c r="DD143" s="8">
        <v>276820</v>
      </c>
      <c r="DE143" s="8">
        <v>276820</v>
      </c>
      <c r="DF143" s="8">
        <v>276820</v>
      </c>
      <c r="DG143" s="8">
        <v>276820</v>
      </c>
      <c r="DH143" s="8">
        <v>276820</v>
      </c>
      <c r="DI143" s="8">
        <v>276820</v>
      </c>
      <c r="DJ143" s="8">
        <v>276820</v>
      </c>
      <c r="DK143" s="8">
        <v>276820</v>
      </c>
      <c r="DL143" s="8">
        <v>276820</v>
      </c>
      <c r="DM143" s="8">
        <v>276820</v>
      </c>
      <c r="DN143" s="8">
        <v>276820</v>
      </c>
      <c r="DO143" s="9">
        <f t="shared" si="65"/>
        <v>276820</v>
      </c>
      <c r="DP143" s="8">
        <v>294260</v>
      </c>
      <c r="DQ143" s="8">
        <v>294260</v>
      </c>
      <c r="DR143" s="8">
        <v>294260</v>
      </c>
      <c r="DS143" s="8">
        <v>294260</v>
      </c>
      <c r="DT143" s="8">
        <v>294260</v>
      </c>
      <c r="DU143" s="8">
        <v>294260</v>
      </c>
      <c r="DV143" s="8">
        <v>294260</v>
      </c>
      <c r="DW143" s="8">
        <v>294260</v>
      </c>
      <c r="DX143" s="8">
        <v>294260</v>
      </c>
      <c r="DY143" s="8">
        <v>294260</v>
      </c>
      <c r="DZ143" s="8">
        <v>294260</v>
      </c>
      <c r="EA143" s="8">
        <v>294260</v>
      </c>
      <c r="EB143" s="9">
        <f t="shared" si="66"/>
        <v>294260</v>
      </c>
      <c r="EC143" s="8">
        <v>269529</v>
      </c>
      <c r="ED143" s="8">
        <v>269529</v>
      </c>
      <c r="EE143" s="8">
        <v>269529</v>
      </c>
      <c r="EF143" s="8">
        <v>269529</v>
      </c>
      <c r="EG143" s="8">
        <v>269529</v>
      </c>
      <c r="EH143" s="8">
        <v>269529</v>
      </c>
      <c r="EI143" s="8">
        <v>269529</v>
      </c>
      <c r="EJ143" s="8">
        <v>269529</v>
      </c>
      <c r="EK143" s="8">
        <v>269529</v>
      </c>
      <c r="EL143" s="8">
        <v>269529</v>
      </c>
      <c r="EM143" s="8">
        <v>269529</v>
      </c>
      <c r="EN143" s="8">
        <v>269529</v>
      </c>
      <c r="EO143" s="9">
        <f t="shared" si="67"/>
        <v>269529</v>
      </c>
      <c r="EP143" s="8">
        <v>280849</v>
      </c>
      <c r="EQ143" s="8">
        <v>280849</v>
      </c>
      <c r="ER143" s="8">
        <v>280849</v>
      </c>
      <c r="ES143" s="8">
        <v>280849</v>
      </c>
      <c r="ET143" s="8">
        <v>280849</v>
      </c>
      <c r="EU143" s="8">
        <v>280849</v>
      </c>
      <c r="EV143" s="8">
        <v>280849</v>
      </c>
      <c r="EW143" s="8">
        <v>280849</v>
      </c>
      <c r="EX143" s="8">
        <v>280849</v>
      </c>
      <c r="EY143" s="8">
        <v>280849</v>
      </c>
      <c r="EZ143" s="8">
        <v>280849</v>
      </c>
      <c r="FA143" s="8">
        <v>280849</v>
      </c>
      <c r="FB143" s="9">
        <f t="shared" si="68"/>
        <v>280849</v>
      </c>
      <c r="FC143" s="8">
        <v>289555</v>
      </c>
      <c r="FD143" s="8">
        <v>289555</v>
      </c>
      <c r="FE143" s="8">
        <v>289555</v>
      </c>
      <c r="FF143" s="8">
        <v>289555</v>
      </c>
      <c r="FG143" s="8">
        <v>289555</v>
      </c>
      <c r="FH143" s="8">
        <v>289555</v>
      </c>
      <c r="FI143" s="8">
        <v>289555</v>
      </c>
      <c r="FJ143" s="8"/>
      <c r="FK143" s="8"/>
      <c r="FL143" s="8"/>
      <c r="FM143" s="8"/>
      <c r="FN143" s="8"/>
      <c r="FO143" s="9">
        <f t="shared" si="69"/>
        <v>289555</v>
      </c>
    </row>
    <row r="144" spans="2:171" ht="14.25" customHeight="1" x14ac:dyDescent="0.3">
      <c r="B144" s="32" t="s">
        <v>68</v>
      </c>
      <c r="C144" s="8">
        <v>433426</v>
      </c>
      <c r="D144" s="8">
        <v>433426</v>
      </c>
      <c r="E144" s="8">
        <v>433426</v>
      </c>
      <c r="F144" s="8">
        <v>433426</v>
      </c>
      <c r="G144" s="8">
        <v>433426</v>
      </c>
      <c r="H144" s="8">
        <v>433426</v>
      </c>
      <c r="I144" s="8">
        <v>433426</v>
      </c>
      <c r="J144" s="8">
        <v>433426</v>
      </c>
      <c r="K144" s="8">
        <v>433426</v>
      </c>
      <c r="L144" s="8">
        <v>433426</v>
      </c>
      <c r="M144" s="8">
        <v>433426</v>
      </c>
      <c r="N144" s="8">
        <v>433426</v>
      </c>
      <c r="O144" s="9">
        <f t="shared" si="57"/>
        <v>433426</v>
      </c>
      <c r="P144" s="8">
        <v>446429</v>
      </c>
      <c r="Q144" s="8">
        <v>446429</v>
      </c>
      <c r="R144" s="8">
        <v>446429</v>
      </c>
      <c r="S144" s="8">
        <v>446429</v>
      </c>
      <c r="T144" s="8">
        <v>446429</v>
      </c>
      <c r="U144" s="8">
        <v>446429</v>
      </c>
      <c r="V144" s="8">
        <v>446429</v>
      </c>
      <c r="W144" s="8">
        <v>446429</v>
      </c>
      <c r="X144" s="8">
        <v>446429</v>
      </c>
      <c r="Y144" s="8">
        <v>446429</v>
      </c>
      <c r="Z144" s="8">
        <v>446429</v>
      </c>
      <c r="AA144" s="8">
        <v>446429</v>
      </c>
      <c r="AB144" s="9">
        <f t="shared" si="58"/>
        <v>446429</v>
      </c>
      <c r="AC144" s="8">
        <v>463393</v>
      </c>
      <c r="AD144" s="8">
        <v>463393</v>
      </c>
      <c r="AE144" s="8">
        <v>463393</v>
      </c>
      <c r="AF144" s="8">
        <v>463393</v>
      </c>
      <c r="AG144" s="8">
        <v>463393</v>
      </c>
      <c r="AH144" s="8">
        <v>463393</v>
      </c>
      <c r="AI144" s="8">
        <v>463393</v>
      </c>
      <c r="AJ144" s="8">
        <v>463393</v>
      </c>
      <c r="AK144" s="8">
        <v>463393</v>
      </c>
      <c r="AL144" s="8">
        <v>463393</v>
      </c>
      <c r="AM144" s="8">
        <v>463393</v>
      </c>
      <c r="AN144" s="8">
        <v>463393</v>
      </c>
      <c r="AO144" s="9">
        <f t="shared" si="59"/>
        <v>463393</v>
      </c>
      <c r="AP144" s="8">
        <v>477295</v>
      </c>
      <c r="AQ144" s="8">
        <v>477295</v>
      </c>
      <c r="AR144" s="8">
        <v>477295</v>
      </c>
      <c r="AS144" s="8">
        <v>477295</v>
      </c>
      <c r="AT144" s="8">
        <v>477295</v>
      </c>
      <c r="AU144" s="8">
        <v>477295</v>
      </c>
      <c r="AV144" s="8">
        <v>477295</v>
      </c>
      <c r="AW144" s="8">
        <v>477295</v>
      </c>
      <c r="AX144" s="8">
        <v>477295</v>
      </c>
      <c r="AY144" s="8">
        <v>477295</v>
      </c>
      <c r="AZ144" s="8">
        <v>477295</v>
      </c>
      <c r="BA144" s="8">
        <v>477295</v>
      </c>
      <c r="BB144" s="9">
        <f t="shared" si="60"/>
        <v>477295</v>
      </c>
      <c r="BC144" s="8">
        <v>489705</v>
      </c>
      <c r="BD144" s="8">
        <v>489705</v>
      </c>
      <c r="BE144" s="8">
        <v>489705</v>
      </c>
      <c r="BF144" s="8">
        <v>489705</v>
      </c>
      <c r="BG144" s="8">
        <v>489705</v>
      </c>
      <c r="BH144" s="8">
        <v>489705</v>
      </c>
      <c r="BI144" s="8">
        <v>489705</v>
      </c>
      <c r="BJ144" s="8">
        <v>489705</v>
      </c>
      <c r="BK144" s="8">
        <v>489705</v>
      </c>
      <c r="BL144" s="8">
        <v>489705</v>
      </c>
      <c r="BM144" s="8">
        <v>489705</v>
      </c>
      <c r="BN144" s="8">
        <v>489705</v>
      </c>
      <c r="BO144" s="9">
        <f t="shared" si="61"/>
        <v>489705</v>
      </c>
      <c r="BP144" s="8">
        <v>0</v>
      </c>
      <c r="BQ144" s="8">
        <v>0</v>
      </c>
      <c r="BR144" s="8">
        <v>0</v>
      </c>
      <c r="BS144" s="8">
        <v>0</v>
      </c>
      <c r="BT144" s="8">
        <v>0</v>
      </c>
      <c r="BU144" s="8">
        <v>0</v>
      </c>
      <c r="BV144" s="8">
        <v>0</v>
      </c>
      <c r="BW144" s="8">
        <v>0</v>
      </c>
      <c r="BX144" s="8">
        <v>0</v>
      </c>
      <c r="BY144" s="8">
        <v>0</v>
      </c>
      <c r="BZ144" s="8">
        <v>0</v>
      </c>
      <c r="CA144" s="8">
        <v>0</v>
      </c>
      <c r="CB144" s="9">
        <f t="shared" si="62"/>
        <v>0</v>
      </c>
      <c r="CC144" s="8">
        <v>141315</v>
      </c>
      <c r="CD144" s="8">
        <v>141315</v>
      </c>
      <c r="CE144" s="8">
        <v>141315</v>
      </c>
      <c r="CF144" s="8">
        <v>141315</v>
      </c>
      <c r="CG144" s="8">
        <v>141315</v>
      </c>
      <c r="CH144" s="8">
        <v>141315</v>
      </c>
      <c r="CI144" s="8">
        <v>141315</v>
      </c>
      <c r="CJ144" s="8">
        <v>141315</v>
      </c>
      <c r="CK144" s="8">
        <v>141315</v>
      </c>
      <c r="CL144" s="8">
        <v>141315</v>
      </c>
      <c r="CM144" s="8">
        <v>141315</v>
      </c>
      <c r="CN144" s="8">
        <v>141315</v>
      </c>
      <c r="CO144" s="9">
        <f t="shared" si="63"/>
        <v>141315</v>
      </c>
      <c r="CP144" s="8">
        <v>637899</v>
      </c>
      <c r="CQ144" s="8">
        <v>637899</v>
      </c>
      <c r="CR144" s="8">
        <v>637899</v>
      </c>
      <c r="CS144" s="8">
        <v>637899</v>
      </c>
      <c r="CT144" s="8">
        <v>637899</v>
      </c>
      <c r="CU144" s="8">
        <v>637899</v>
      </c>
      <c r="CV144" s="8">
        <v>637899</v>
      </c>
      <c r="CW144" s="8">
        <v>637899</v>
      </c>
      <c r="CX144" s="8">
        <v>637899</v>
      </c>
      <c r="CY144" s="8">
        <v>637899</v>
      </c>
      <c r="CZ144" s="8">
        <v>637899</v>
      </c>
      <c r="DA144" s="8">
        <v>637899</v>
      </c>
      <c r="DB144" s="9">
        <f t="shared" si="64"/>
        <v>637899</v>
      </c>
      <c r="DC144" s="8">
        <v>859326</v>
      </c>
      <c r="DD144" s="8">
        <v>859326</v>
      </c>
      <c r="DE144" s="8">
        <v>859326</v>
      </c>
      <c r="DF144" s="8">
        <v>859326</v>
      </c>
      <c r="DG144" s="8">
        <v>859326</v>
      </c>
      <c r="DH144" s="8">
        <v>859326</v>
      </c>
      <c r="DI144" s="8">
        <v>859326</v>
      </c>
      <c r="DJ144" s="8">
        <v>859326</v>
      </c>
      <c r="DK144" s="8">
        <v>859326</v>
      </c>
      <c r="DL144" s="8">
        <v>859326</v>
      </c>
      <c r="DM144" s="8">
        <v>859326</v>
      </c>
      <c r="DN144" s="8">
        <v>859326</v>
      </c>
      <c r="DO144" s="9">
        <f t="shared" si="65"/>
        <v>859326</v>
      </c>
      <c r="DP144" s="8">
        <v>913463</v>
      </c>
      <c r="DQ144" s="8">
        <v>913463</v>
      </c>
      <c r="DR144" s="8">
        <v>913463</v>
      </c>
      <c r="DS144" s="8">
        <v>913463</v>
      </c>
      <c r="DT144" s="8">
        <v>913463</v>
      </c>
      <c r="DU144" s="8">
        <v>913463</v>
      </c>
      <c r="DV144" s="8">
        <v>913463</v>
      </c>
      <c r="DW144" s="8">
        <v>913463</v>
      </c>
      <c r="DX144" s="8">
        <v>913463</v>
      </c>
      <c r="DY144" s="8">
        <v>913463</v>
      </c>
      <c r="DZ144" s="8">
        <v>913463</v>
      </c>
      <c r="EA144" s="8">
        <v>913463</v>
      </c>
      <c r="EB144" s="9">
        <f t="shared" si="66"/>
        <v>913463</v>
      </c>
      <c r="EC144" s="8">
        <v>836691</v>
      </c>
      <c r="ED144" s="8">
        <v>836691</v>
      </c>
      <c r="EE144" s="8">
        <v>836691</v>
      </c>
      <c r="EF144" s="8">
        <v>836691</v>
      </c>
      <c r="EG144" s="8">
        <v>836691</v>
      </c>
      <c r="EH144" s="8">
        <v>836691</v>
      </c>
      <c r="EI144" s="8">
        <v>836691</v>
      </c>
      <c r="EJ144" s="8">
        <v>836691</v>
      </c>
      <c r="EK144" s="8">
        <v>836691</v>
      </c>
      <c r="EL144" s="8">
        <v>836691</v>
      </c>
      <c r="EM144" s="8">
        <v>836691</v>
      </c>
      <c r="EN144" s="8">
        <v>836691</v>
      </c>
      <c r="EO144" s="9">
        <f t="shared" si="67"/>
        <v>836691</v>
      </c>
      <c r="EP144" s="8">
        <v>871833</v>
      </c>
      <c r="EQ144" s="8">
        <v>871833</v>
      </c>
      <c r="ER144" s="8">
        <v>871833</v>
      </c>
      <c r="ES144" s="8">
        <v>871833</v>
      </c>
      <c r="ET144" s="8">
        <v>871833</v>
      </c>
      <c r="EU144" s="8">
        <v>871833</v>
      </c>
      <c r="EV144" s="8">
        <v>871833</v>
      </c>
      <c r="EW144" s="8">
        <v>871833</v>
      </c>
      <c r="EX144" s="8">
        <v>871833</v>
      </c>
      <c r="EY144" s="8">
        <v>871833</v>
      </c>
      <c r="EZ144" s="8">
        <v>871833</v>
      </c>
      <c r="FA144" s="8">
        <v>871833</v>
      </c>
      <c r="FB144" s="9">
        <f t="shared" si="68"/>
        <v>871833</v>
      </c>
      <c r="FC144" s="8">
        <v>898860</v>
      </c>
      <c r="FD144" s="8">
        <v>898860</v>
      </c>
      <c r="FE144" s="8">
        <v>898860</v>
      </c>
      <c r="FF144" s="8">
        <v>898860</v>
      </c>
      <c r="FG144" s="8">
        <v>898860</v>
      </c>
      <c r="FH144" s="8">
        <v>898860</v>
      </c>
      <c r="FI144" s="8">
        <v>898860</v>
      </c>
      <c r="FJ144" s="8"/>
      <c r="FK144" s="8"/>
      <c r="FL144" s="8"/>
      <c r="FM144" s="8"/>
      <c r="FN144" s="8"/>
      <c r="FO144" s="9">
        <f t="shared" si="69"/>
        <v>898860</v>
      </c>
    </row>
    <row r="145" spans="2:171" ht="14.25" customHeight="1" x14ac:dyDescent="0.3">
      <c r="B145" s="32" t="s">
        <v>69</v>
      </c>
      <c r="C145" s="8">
        <v>453646</v>
      </c>
      <c r="D145" s="8">
        <v>453646</v>
      </c>
      <c r="E145" s="8">
        <v>453646</v>
      </c>
      <c r="F145" s="8">
        <v>453646</v>
      </c>
      <c r="G145" s="8">
        <v>453646</v>
      </c>
      <c r="H145" s="8">
        <v>453646</v>
      </c>
      <c r="I145" s="8">
        <v>453646</v>
      </c>
      <c r="J145" s="8">
        <v>453646</v>
      </c>
      <c r="K145" s="8">
        <v>453646</v>
      </c>
      <c r="L145" s="8">
        <v>453646</v>
      </c>
      <c r="M145" s="8">
        <v>453646</v>
      </c>
      <c r="N145" s="8">
        <v>453646</v>
      </c>
      <c r="O145" s="9">
        <f t="shared" si="57"/>
        <v>453646</v>
      </c>
      <c r="P145" s="8">
        <v>424819</v>
      </c>
      <c r="Q145" s="8">
        <v>424819</v>
      </c>
      <c r="R145" s="8">
        <v>424819</v>
      </c>
      <c r="S145" s="8">
        <v>424819</v>
      </c>
      <c r="T145" s="8">
        <v>424819</v>
      </c>
      <c r="U145" s="8">
        <v>424819</v>
      </c>
      <c r="V145" s="8">
        <v>424819</v>
      </c>
      <c r="W145" s="8">
        <v>424819</v>
      </c>
      <c r="X145" s="8">
        <v>424819</v>
      </c>
      <c r="Y145" s="8">
        <v>424819</v>
      </c>
      <c r="Z145" s="8">
        <v>424819</v>
      </c>
      <c r="AA145" s="8">
        <v>424819</v>
      </c>
      <c r="AB145" s="9">
        <f t="shared" si="58"/>
        <v>424819</v>
      </c>
      <c r="AC145" s="8">
        <v>440962</v>
      </c>
      <c r="AD145" s="8">
        <v>440962</v>
      </c>
      <c r="AE145" s="8">
        <v>440962</v>
      </c>
      <c r="AF145" s="8">
        <v>440962</v>
      </c>
      <c r="AG145" s="8">
        <v>440962</v>
      </c>
      <c r="AH145" s="8">
        <v>440962</v>
      </c>
      <c r="AI145" s="8">
        <v>440962</v>
      </c>
      <c r="AJ145" s="8">
        <v>440962</v>
      </c>
      <c r="AK145" s="8">
        <v>440962</v>
      </c>
      <c r="AL145" s="8">
        <v>440962</v>
      </c>
      <c r="AM145" s="8">
        <v>440962</v>
      </c>
      <c r="AN145" s="8">
        <v>440962</v>
      </c>
      <c r="AO145" s="9">
        <f t="shared" si="59"/>
        <v>440962</v>
      </c>
      <c r="AP145" s="8">
        <v>454190</v>
      </c>
      <c r="AQ145" s="8">
        <v>454190</v>
      </c>
      <c r="AR145" s="8">
        <v>454190</v>
      </c>
      <c r="AS145" s="8">
        <v>454190</v>
      </c>
      <c r="AT145" s="8">
        <v>454190</v>
      </c>
      <c r="AU145" s="8">
        <v>454190</v>
      </c>
      <c r="AV145" s="8">
        <v>454190</v>
      </c>
      <c r="AW145" s="8">
        <v>454190</v>
      </c>
      <c r="AX145" s="8">
        <v>454190</v>
      </c>
      <c r="AY145" s="8">
        <v>454190</v>
      </c>
      <c r="AZ145" s="8">
        <v>454190</v>
      </c>
      <c r="BA145" s="8">
        <v>454190</v>
      </c>
      <c r="BB145" s="9">
        <f t="shared" si="60"/>
        <v>454190</v>
      </c>
      <c r="BC145" s="8">
        <v>465999</v>
      </c>
      <c r="BD145" s="8">
        <v>465999</v>
      </c>
      <c r="BE145" s="8">
        <v>465999</v>
      </c>
      <c r="BF145" s="8">
        <v>465999</v>
      </c>
      <c r="BG145" s="8">
        <v>465999</v>
      </c>
      <c r="BH145" s="8">
        <v>465999</v>
      </c>
      <c r="BI145" s="8">
        <v>465999</v>
      </c>
      <c r="BJ145" s="8">
        <v>465999</v>
      </c>
      <c r="BK145" s="8">
        <v>465999</v>
      </c>
      <c r="BL145" s="8">
        <v>465999</v>
      </c>
      <c r="BM145" s="8">
        <v>465999</v>
      </c>
      <c r="BN145" s="8">
        <v>465999</v>
      </c>
      <c r="BO145" s="9">
        <f t="shared" si="61"/>
        <v>465999</v>
      </c>
      <c r="BP145" s="8">
        <v>0</v>
      </c>
      <c r="BQ145" s="8">
        <v>0</v>
      </c>
      <c r="BR145" s="8">
        <v>0</v>
      </c>
      <c r="BS145" s="8">
        <v>0</v>
      </c>
      <c r="BT145" s="8">
        <v>0</v>
      </c>
      <c r="BU145" s="8">
        <v>0</v>
      </c>
      <c r="BV145" s="8">
        <v>0</v>
      </c>
      <c r="BW145" s="8">
        <v>0</v>
      </c>
      <c r="BX145" s="8">
        <v>0</v>
      </c>
      <c r="BY145" s="8">
        <v>0</v>
      </c>
      <c r="BZ145" s="8">
        <v>0</v>
      </c>
      <c r="CA145" s="8">
        <v>0</v>
      </c>
      <c r="CB145" s="9">
        <f t="shared" si="62"/>
        <v>0</v>
      </c>
      <c r="CC145" s="8">
        <v>164640</v>
      </c>
      <c r="CD145" s="8">
        <v>164640</v>
      </c>
      <c r="CE145" s="8">
        <v>164640</v>
      </c>
      <c r="CF145" s="8">
        <v>164640</v>
      </c>
      <c r="CG145" s="8">
        <v>164640</v>
      </c>
      <c r="CH145" s="8">
        <v>164640</v>
      </c>
      <c r="CI145" s="8">
        <v>164640</v>
      </c>
      <c r="CJ145" s="8">
        <v>164640</v>
      </c>
      <c r="CK145" s="8">
        <v>164640</v>
      </c>
      <c r="CL145" s="8">
        <v>164640</v>
      </c>
      <c r="CM145" s="8">
        <v>164640</v>
      </c>
      <c r="CN145" s="8">
        <v>164640</v>
      </c>
      <c r="CO145" s="9">
        <f t="shared" si="63"/>
        <v>164640</v>
      </c>
      <c r="CP145" s="8">
        <v>701279</v>
      </c>
      <c r="CQ145" s="8">
        <v>701279</v>
      </c>
      <c r="CR145" s="8">
        <v>701279</v>
      </c>
      <c r="CS145" s="8">
        <v>701279</v>
      </c>
      <c r="CT145" s="8">
        <v>701279</v>
      </c>
      <c r="CU145" s="8">
        <v>701279</v>
      </c>
      <c r="CV145" s="8">
        <v>701279</v>
      </c>
      <c r="CW145" s="8">
        <v>701279</v>
      </c>
      <c r="CX145" s="8">
        <v>701279</v>
      </c>
      <c r="CY145" s="8">
        <v>701279</v>
      </c>
      <c r="CZ145" s="8">
        <v>701279</v>
      </c>
      <c r="DA145" s="8">
        <v>701279</v>
      </c>
      <c r="DB145" s="9">
        <f t="shared" si="64"/>
        <v>701279</v>
      </c>
      <c r="DC145" s="8">
        <v>948367</v>
      </c>
      <c r="DD145" s="8">
        <v>948367</v>
      </c>
      <c r="DE145" s="8">
        <v>948367</v>
      </c>
      <c r="DF145" s="8">
        <v>948367</v>
      </c>
      <c r="DG145" s="8">
        <v>948367</v>
      </c>
      <c r="DH145" s="8">
        <v>948367</v>
      </c>
      <c r="DI145" s="8">
        <v>948367</v>
      </c>
      <c r="DJ145" s="8">
        <v>948367</v>
      </c>
      <c r="DK145" s="8">
        <v>948367</v>
      </c>
      <c r="DL145" s="8">
        <v>948367</v>
      </c>
      <c r="DM145" s="8">
        <v>948367</v>
      </c>
      <c r="DN145" s="8">
        <v>948367</v>
      </c>
      <c r="DO145" s="9">
        <f t="shared" si="65"/>
        <v>948367</v>
      </c>
      <c r="DP145" s="8">
        <v>1008114</v>
      </c>
      <c r="DQ145" s="8">
        <v>1008114</v>
      </c>
      <c r="DR145" s="8">
        <v>1008114</v>
      </c>
      <c r="DS145" s="8">
        <v>1008114</v>
      </c>
      <c r="DT145" s="8">
        <v>1008114</v>
      </c>
      <c r="DU145" s="8">
        <v>1008114</v>
      </c>
      <c r="DV145" s="8">
        <v>1008114</v>
      </c>
      <c r="DW145" s="8">
        <v>1008114</v>
      </c>
      <c r="DX145" s="8">
        <v>1008114</v>
      </c>
      <c r="DY145" s="8">
        <v>1008114</v>
      </c>
      <c r="DZ145" s="8">
        <v>1008114</v>
      </c>
      <c r="EA145" s="8">
        <v>1008114</v>
      </c>
      <c r="EB145" s="9">
        <f t="shared" si="66"/>
        <v>1008114</v>
      </c>
      <c r="EC145" s="8">
        <v>923388</v>
      </c>
      <c r="ED145" s="8">
        <v>923388</v>
      </c>
      <c r="EE145" s="8">
        <v>923388</v>
      </c>
      <c r="EF145" s="8">
        <v>923388</v>
      </c>
      <c r="EG145" s="8">
        <v>923388</v>
      </c>
      <c r="EH145" s="8">
        <v>923388</v>
      </c>
      <c r="EI145" s="8">
        <v>923388</v>
      </c>
      <c r="EJ145" s="8">
        <v>923388</v>
      </c>
      <c r="EK145" s="8">
        <v>923388</v>
      </c>
      <c r="EL145" s="8">
        <v>923388</v>
      </c>
      <c r="EM145" s="8">
        <v>923388</v>
      </c>
      <c r="EN145" s="8">
        <v>923388</v>
      </c>
      <c r="EO145" s="9">
        <f t="shared" si="67"/>
        <v>923388</v>
      </c>
      <c r="EP145" s="8">
        <v>962170</v>
      </c>
      <c r="EQ145" s="8">
        <v>962170</v>
      </c>
      <c r="ER145" s="8">
        <v>962170</v>
      </c>
      <c r="ES145" s="8">
        <v>962170</v>
      </c>
      <c r="ET145" s="8">
        <v>962170</v>
      </c>
      <c r="EU145" s="8">
        <v>962170</v>
      </c>
      <c r="EV145" s="8">
        <v>962170</v>
      </c>
      <c r="EW145" s="8">
        <v>962170</v>
      </c>
      <c r="EX145" s="8">
        <v>962170</v>
      </c>
      <c r="EY145" s="8">
        <v>962170</v>
      </c>
      <c r="EZ145" s="8">
        <v>962170</v>
      </c>
      <c r="FA145" s="8">
        <v>962170</v>
      </c>
      <c r="FB145" s="9">
        <f t="shared" si="68"/>
        <v>962170</v>
      </c>
      <c r="FC145" s="8">
        <v>991998</v>
      </c>
      <c r="FD145" s="8">
        <v>991998</v>
      </c>
      <c r="FE145" s="8">
        <v>991998</v>
      </c>
      <c r="FF145" s="8">
        <v>991998</v>
      </c>
      <c r="FG145" s="8">
        <v>991998</v>
      </c>
      <c r="FH145" s="8">
        <v>991998</v>
      </c>
      <c r="FI145" s="8">
        <v>991998</v>
      </c>
      <c r="FJ145" s="8"/>
      <c r="FK145" s="8"/>
      <c r="FL145" s="8"/>
      <c r="FM145" s="8"/>
      <c r="FN145" s="8"/>
      <c r="FO145" s="9">
        <f t="shared" si="69"/>
        <v>991998</v>
      </c>
    </row>
    <row r="146" spans="2:171" ht="14.25" customHeight="1" x14ac:dyDescent="0.3">
      <c r="B146" s="35" t="s">
        <v>70</v>
      </c>
      <c r="C146" s="8">
        <v>375237</v>
      </c>
      <c r="D146" s="8">
        <v>375237</v>
      </c>
      <c r="E146" s="8">
        <v>375237</v>
      </c>
      <c r="F146" s="8">
        <v>375237</v>
      </c>
      <c r="G146" s="8">
        <v>375237</v>
      </c>
      <c r="H146" s="8">
        <v>375237</v>
      </c>
      <c r="I146" s="8">
        <v>375237</v>
      </c>
      <c r="J146" s="8">
        <v>375237</v>
      </c>
      <c r="K146" s="8">
        <v>375237</v>
      </c>
      <c r="L146" s="8">
        <v>375237</v>
      </c>
      <c r="M146" s="8">
        <v>375237</v>
      </c>
      <c r="N146" s="8">
        <v>375237</v>
      </c>
      <c r="O146" s="9">
        <f t="shared" si="57"/>
        <v>375237</v>
      </c>
      <c r="P146" s="8">
        <v>386494</v>
      </c>
      <c r="Q146" s="8">
        <v>386494</v>
      </c>
      <c r="R146" s="8">
        <v>386494</v>
      </c>
      <c r="S146" s="8">
        <v>386494</v>
      </c>
      <c r="T146" s="8">
        <v>386494</v>
      </c>
      <c r="U146" s="8">
        <v>386494</v>
      </c>
      <c r="V146" s="8">
        <v>386494</v>
      </c>
      <c r="W146" s="8">
        <v>386494</v>
      </c>
      <c r="X146" s="8">
        <v>386494</v>
      </c>
      <c r="Y146" s="8">
        <v>386494</v>
      </c>
      <c r="Z146" s="8">
        <v>386494</v>
      </c>
      <c r="AA146" s="8">
        <v>386494</v>
      </c>
      <c r="AB146" s="9">
        <f t="shared" si="58"/>
        <v>386494</v>
      </c>
      <c r="AC146" s="8">
        <v>401181</v>
      </c>
      <c r="AD146" s="8">
        <v>401181</v>
      </c>
      <c r="AE146" s="8">
        <v>401181</v>
      </c>
      <c r="AF146" s="8">
        <v>401181</v>
      </c>
      <c r="AG146" s="8">
        <v>401181</v>
      </c>
      <c r="AH146" s="8">
        <v>401181</v>
      </c>
      <c r="AI146" s="8">
        <v>401181</v>
      </c>
      <c r="AJ146" s="8">
        <v>401181</v>
      </c>
      <c r="AK146" s="8">
        <v>401181</v>
      </c>
      <c r="AL146" s="8">
        <v>401181</v>
      </c>
      <c r="AM146" s="8">
        <v>401181</v>
      </c>
      <c r="AN146" s="8">
        <v>401181</v>
      </c>
      <c r="AO146" s="9">
        <f t="shared" si="59"/>
        <v>401181</v>
      </c>
      <c r="AP146" s="8">
        <v>413216</v>
      </c>
      <c r="AQ146" s="8">
        <v>413216</v>
      </c>
      <c r="AR146" s="8">
        <v>413216</v>
      </c>
      <c r="AS146" s="8">
        <v>413216</v>
      </c>
      <c r="AT146" s="8">
        <v>413216</v>
      </c>
      <c r="AU146" s="8">
        <v>413216</v>
      </c>
      <c r="AV146" s="8">
        <v>413216</v>
      </c>
      <c r="AW146" s="8">
        <v>413216</v>
      </c>
      <c r="AX146" s="8">
        <v>413216</v>
      </c>
      <c r="AY146" s="8">
        <v>413216</v>
      </c>
      <c r="AZ146" s="8">
        <v>413216</v>
      </c>
      <c r="BA146" s="8">
        <v>413216</v>
      </c>
      <c r="BB146" s="9">
        <f t="shared" si="60"/>
        <v>413216</v>
      </c>
      <c r="BC146" s="8">
        <v>423960</v>
      </c>
      <c r="BD146" s="8">
        <v>423960</v>
      </c>
      <c r="BE146" s="8">
        <v>423960</v>
      </c>
      <c r="BF146" s="8">
        <v>423960</v>
      </c>
      <c r="BG146" s="8">
        <v>423960</v>
      </c>
      <c r="BH146" s="8">
        <v>423960</v>
      </c>
      <c r="BI146" s="8">
        <v>423960</v>
      </c>
      <c r="BJ146" s="8">
        <v>423960</v>
      </c>
      <c r="BK146" s="8">
        <v>423960</v>
      </c>
      <c r="BL146" s="8">
        <v>423960</v>
      </c>
      <c r="BM146" s="8">
        <v>423960</v>
      </c>
      <c r="BN146" s="8">
        <v>423960</v>
      </c>
      <c r="BO146" s="9">
        <f t="shared" si="61"/>
        <v>423960</v>
      </c>
      <c r="BP146" s="8">
        <v>0</v>
      </c>
      <c r="BQ146" s="8">
        <v>0</v>
      </c>
      <c r="BR146" s="8">
        <v>0</v>
      </c>
      <c r="BS146" s="8">
        <v>0</v>
      </c>
      <c r="BT146" s="8">
        <v>0</v>
      </c>
      <c r="BU146" s="8">
        <v>0</v>
      </c>
      <c r="BV146" s="8">
        <v>0</v>
      </c>
      <c r="BW146" s="8">
        <v>0</v>
      </c>
      <c r="BX146" s="8">
        <v>0</v>
      </c>
      <c r="BY146" s="8">
        <v>0</v>
      </c>
      <c r="BZ146" s="8">
        <v>0</v>
      </c>
      <c r="CA146" s="8">
        <v>0</v>
      </c>
      <c r="CB146" s="9">
        <f t="shared" si="62"/>
        <v>0</v>
      </c>
      <c r="CC146" s="8">
        <v>133454</v>
      </c>
      <c r="CD146" s="8">
        <v>133454</v>
      </c>
      <c r="CE146" s="8">
        <v>133454</v>
      </c>
      <c r="CF146" s="8">
        <v>133454</v>
      </c>
      <c r="CG146" s="8">
        <v>133454</v>
      </c>
      <c r="CH146" s="8">
        <v>133454</v>
      </c>
      <c r="CI146" s="8">
        <v>133454</v>
      </c>
      <c r="CJ146" s="8">
        <v>133454</v>
      </c>
      <c r="CK146" s="8">
        <v>133454</v>
      </c>
      <c r="CL146" s="8">
        <v>133454</v>
      </c>
      <c r="CM146" s="8">
        <v>133454</v>
      </c>
      <c r="CN146" s="8">
        <v>133454</v>
      </c>
      <c r="CO146" s="9">
        <f t="shared" si="63"/>
        <v>133454</v>
      </c>
      <c r="CP146" s="8">
        <v>580424</v>
      </c>
      <c r="CQ146" s="8">
        <v>580424</v>
      </c>
      <c r="CR146" s="8">
        <v>580424</v>
      </c>
      <c r="CS146" s="8">
        <v>580424</v>
      </c>
      <c r="CT146" s="8">
        <v>580424</v>
      </c>
      <c r="CU146" s="8">
        <v>580424</v>
      </c>
      <c r="CV146" s="8">
        <v>580424</v>
      </c>
      <c r="CW146" s="8">
        <v>580424</v>
      </c>
      <c r="CX146" s="8">
        <v>580424</v>
      </c>
      <c r="CY146" s="8">
        <v>580424</v>
      </c>
      <c r="CZ146" s="8">
        <v>580424</v>
      </c>
      <c r="DA146" s="8">
        <v>580424</v>
      </c>
      <c r="DB146" s="9">
        <f t="shared" si="64"/>
        <v>580424</v>
      </c>
      <c r="DC146" s="8">
        <v>786439</v>
      </c>
      <c r="DD146" s="8">
        <v>786439</v>
      </c>
      <c r="DE146" s="8">
        <v>786439</v>
      </c>
      <c r="DF146" s="8">
        <v>786439</v>
      </c>
      <c r="DG146" s="8">
        <v>786439</v>
      </c>
      <c r="DH146" s="8">
        <v>786439</v>
      </c>
      <c r="DI146" s="8">
        <v>786439</v>
      </c>
      <c r="DJ146" s="8">
        <v>786439</v>
      </c>
      <c r="DK146" s="8">
        <v>786439</v>
      </c>
      <c r="DL146" s="8">
        <v>786439</v>
      </c>
      <c r="DM146" s="8">
        <v>786439</v>
      </c>
      <c r="DN146" s="8">
        <v>786439</v>
      </c>
      <c r="DO146" s="9">
        <f t="shared" si="65"/>
        <v>786439</v>
      </c>
      <c r="DP146" s="8">
        <v>835985</v>
      </c>
      <c r="DQ146" s="8">
        <v>835985</v>
      </c>
      <c r="DR146" s="8">
        <v>835985</v>
      </c>
      <c r="DS146" s="8">
        <v>835985</v>
      </c>
      <c r="DT146" s="8">
        <v>835985</v>
      </c>
      <c r="DU146" s="8">
        <v>835985</v>
      </c>
      <c r="DV146" s="8">
        <v>835985</v>
      </c>
      <c r="DW146" s="8">
        <v>835985</v>
      </c>
      <c r="DX146" s="8">
        <v>835985</v>
      </c>
      <c r="DY146" s="8">
        <v>835985</v>
      </c>
      <c r="DZ146" s="8">
        <v>835985</v>
      </c>
      <c r="EA146" s="8">
        <v>835985</v>
      </c>
      <c r="EB146" s="9">
        <f t="shared" si="66"/>
        <v>835985</v>
      </c>
      <c r="EC146" s="8">
        <v>765727</v>
      </c>
      <c r="ED146" s="8">
        <v>765727</v>
      </c>
      <c r="EE146" s="8">
        <v>765727</v>
      </c>
      <c r="EF146" s="8">
        <v>765727</v>
      </c>
      <c r="EG146" s="8">
        <v>765727</v>
      </c>
      <c r="EH146" s="8">
        <v>765727</v>
      </c>
      <c r="EI146" s="8">
        <v>765727</v>
      </c>
      <c r="EJ146" s="8">
        <v>765727</v>
      </c>
      <c r="EK146" s="8">
        <v>765727</v>
      </c>
      <c r="EL146" s="8">
        <v>765727</v>
      </c>
      <c r="EM146" s="8">
        <v>765727</v>
      </c>
      <c r="EN146" s="8">
        <v>765727</v>
      </c>
      <c r="EO146" s="9">
        <f t="shared" si="67"/>
        <v>765727</v>
      </c>
      <c r="EP146" s="8">
        <v>797887</v>
      </c>
      <c r="EQ146" s="8">
        <v>797887</v>
      </c>
      <c r="ER146" s="8">
        <v>797887</v>
      </c>
      <c r="ES146" s="8">
        <v>797887</v>
      </c>
      <c r="ET146" s="8">
        <v>797887</v>
      </c>
      <c r="EU146" s="8">
        <v>797887</v>
      </c>
      <c r="EV146" s="8">
        <v>797887</v>
      </c>
      <c r="EW146" s="8">
        <v>797887</v>
      </c>
      <c r="EX146" s="8">
        <v>797887</v>
      </c>
      <c r="EY146" s="8">
        <v>797887</v>
      </c>
      <c r="EZ146" s="8">
        <v>797887</v>
      </c>
      <c r="FA146" s="8">
        <v>797887</v>
      </c>
      <c r="FB146" s="9">
        <f t="shared" si="68"/>
        <v>797887</v>
      </c>
      <c r="FC146" s="8">
        <v>822621</v>
      </c>
      <c r="FD146" s="8">
        <v>822621</v>
      </c>
      <c r="FE146" s="8">
        <v>822621</v>
      </c>
      <c r="FF146" s="8">
        <v>822621</v>
      </c>
      <c r="FG146" s="8">
        <v>822621</v>
      </c>
      <c r="FH146" s="8">
        <v>822621</v>
      </c>
      <c r="FI146" s="8">
        <v>822621</v>
      </c>
      <c r="FJ146" s="8"/>
      <c r="FK146" s="8"/>
      <c r="FL146" s="8"/>
      <c r="FM146" s="8"/>
      <c r="FN146" s="8"/>
      <c r="FO146" s="9">
        <f t="shared" si="69"/>
        <v>822621</v>
      </c>
    </row>
    <row r="147" spans="2:171" ht="14.25" customHeight="1" x14ac:dyDescent="0.3">
      <c r="B147" s="35" t="s">
        <v>71</v>
      </c>
      <c r="C147" s="8">
        <v>240632</v>
      </c>
      <c r="D147" s="8">
        <v>240632</v>
      </c>
      <c r="E147" s="8">
        <v>240632</v>
      </c>
      <c r="F147" s="8">
        <v>240632</v>
      </c>
      <c r="G147" s="8">
        <v>240632</v>
      </c>
      <c r="H147" s="8">
        <v>240632</v>
      </c>
      <c r="I147" s="8">
        <v>240632</v>
      </c>
      <c r="J147" s="8">
        <v>240632</v>
      </c>
      <c r="K147" s="8">
        <v>240632</v>
      </c>
      <c r="L147" s="8">
        <v>240632</v>
      </c>
      <c r="M147" s="8">
        <v>240632</v>
      </c>
      <c r="N147" s="8">
        <v>240632</v>
      </c>
      <c r="O147" s="9">
        <f t="shared" si="57"/>
        <v>240632</v>
      </c>
      <c r="P147" s="8">
        <v>247851</v>
      </c>
      <c r="Q147" s="8">
        <v>247851</v>
      </c>
      <c r="R147" s="8">
        <v>247851</v>
      </c>
      <c r="S147" s="8">
        <v>247851</v>
      </c>
      <c r="T147" s="8">
        <v>247851</v>
      </c>
      <c r="U147" s="8">
        <v>247851</v>
      </c>
      <c r="V147" s="8">
        <v>247851</v>
      </c>
      <c r="W147" s="8">
        <v>247851</v>
      </c>
      <c r="X147" s="8">
        <v>247851</v>
      </c>
      <c r="Y147" s="8">
        <v>247851</v>
      </c>
      <c r="Z147" s="8">
        <v>247851</v>
      </c>
      <c r="AA147" s="8">
        <v>247851</v>
      </c>
      <c r="AB147" s="9">
        <f t="shared" si="58"/>
        <v>247851</v>
      </c>
      <c r="AC147" s="8">
        <v>257269</v>
      </c>
      <c r="AD147" s="8">
        <v>257269</v>
      </c>
      <c r="AE147" s="8">
        <v>257269</v>
      </c>
      <c r="AF147" s="8">
        <v>257269</v>
      </c>
      <c r="AG147" s="8">
        <v>257269</v>
      </c>
      <c r="AH147" s="8">
        <v>257269</v>
      </c>
      <c r="AI147" s="8">
        <v>257269</v>
      </c>
      <c r="AJ147" s="8">
        <v>257269</v>
      </c>
      <c r="AK147" s="8">
        <v>257269</v>
      </c>
      <c r="AL147" s="8">
        <v>257269</v>
      </c>
      <c r="AM147" s="8">
        <v>257269</v>
      </c>
      <c r="AN147" s="8">
        <v>257269</v>
      </c>
      <c r="AO147" s="9">
        <f t="shared" si="59"/>
        <v>257269</v>
      </c>
      <c r="AP147" s="8">
        <v>264987</v>
      </c>
      <c r="AQ147" s="8">
        <v>264987</v>
      </c>
      <c r="AR147" s="8">
        <v>264987</v>
      </c>
      <c r="AS147" s="8">
        <v>264987</v>
      </c>
      <c r="AT147" s="8">
        <v>264987</v>
      </c>
      <c r="AU147" s="8">
        <v>264987</v>
      </c>
      <c r="AV147" s="8">
        <v>264987</v>
      </c>
      <c r="AW147" s="8">
        <v>264987</v>
      </c>
      <c r="AX147" s="8">
        <v>264987</v>
      </c>
      <c r="AY147" s="8">
        <v>264987</v>
      </c>
      <c r="AZ147" s="8">
        <v>264987</v>
      </c>
      <c r="BA147" s="8">
        <v>264987</v>
      </c>
      <c r="BB147" s="9">
        <f t="shared" si="60"/>
        <v>264987</v>
      </c>
      <c r="BC147" s="8">
        <v>271877</v>
      </c>
      <c r="BD147" s="8">
        <v>271877</v>
      </c>
      <c r="BE147" s="8">
        <v>271877</v>
      </c>
      <c r="BF147" s="8">
        <v>271877</v>
      </c>
      <c r="BG147" s="8">
        <v>271877</v>
      </c>
      <c r="BH147" s="8">
        <v>271877</v>
      </c>
      <c r="BI147" s="8">
        <v>271877</v>
      </c>
      <c r="BJ147" s="8">
        <v>271877</v>
      </c>
      <c r="BK147" s="8">
        <v>271877</v>
      </c>
      <c r="BL147" s="8">
        <v>271877</v>
      </c>
      <c r="BM147" s="8">
        <v>271877</v>
      </c>
      <c r="BN147" s="8">
        <v>271877</v>
      </c>
      <c r="BO147" s="9">
        <f t="shared" si="61"/>
        <v>271877</v>
      </c>
      <c r="BP147" s="8">
        <v>0</v>
      </c>
      <c r="BQ147" s="8">
        <v>0</v>
      </c>
      <c r="BR147" s="8">
        <v>0</v>
      </c>
      <c r="BS147" s="8">
        <v>0</v>
      </c>
      <c r="BT147" s="8">
        <v>0</v>
      </c>
      <c r="BU147" s="8">
        <v>0</v>
      </c>
      <c r="BV147" s="8">
        <v>0</v>
      </c>
      <c r="BW147" s="8">
        <v>0</v>
      </c>
      <c r="BX147" s="8">
        <v>0</v>
      </c>
      <c r="BY147" s="8">
        <v>0</v>
      </c>
      <c r="BZ147" s="8">
        <v>0</v>
      </c>
      <c r="CA147" s="8">
        <v>0</v>
      </c>
      <c r="CB147" s="9">
        <f t="shared" si="62"/>
        <v>0</v>
      </c>
      <c r="CC147" s="8">
        <v>108790</v>
      </c>
      <c r="CD147" s="8">
        <v>108790</v>
      </c>
      <c r="CE147" s="8">
        <v>108790</v>
      </c>
      <c r="CF147" s="8">
        <v>108790</v>
      </c>
      <c r="CG147" s="8">
        <v>108790</v>
      </c>
      <c r="CH147" s="8">
        <v>108790</v>
      </c>
      <c r="CI147" s="8">
        <v>108790</v>
      </c>
      <c r="CJ147" s="8">
        <v>108790</v>
      </c>
      <c r="CK147" s="8">
        <v>108790</v>
      </c>
      <c r="CL147" s="8">
        <v>108790</v>
      </c>
      <c r="CM147" s="8">
        <v>108790</v>
      </c>
      <c r="CN147" s="8">
        <v>108790</v>
      </c>
      <c r="CO147" s="9">
        <f t="shared" si="63"/>
        <v>108790</v>
      </c>
      <c r="CP147" s="8">
        <v>464801</v>
      </c>
      <c r="CQ147" s="8">
        <v>464801</v>
      </c>
      <c r="CR147" s="8">
        <v>464801</v>
      </c>
      <c r="CS147" s="8">
        <v>464801</v>
      </c>
      <c r="CT147" s="8">
        <v>464801</v>
      </c>
      <c r="CU147" s="8">
        <v>464801</v>
      </c>
      <c r="CV147" s="8">
        <v>464801</v>
      </c>
      <c r="CW147" s="8">
        <v>464801</v>
      </c>
      <c r="CX147" s="8">
        <v>464801</v>
      </c>
      <c r="CY147" s="8">
        <v>464801</v>
      </c>
      <c r="CZ147" s="8">
        <v>464801</v>
      </c>
      <c r="DA147" s="8">
        <v>464801</v>
      </c>
      <c r="DB147" s="9">
        <f t="shared" si="64"/>
        <v>464801</v>
      </c>
      <c r="DC147" s="8">
        <v>641875</v>
      </c>
      <c r="DD147" s="8">
        <v>641875</v>
      </c>
      <c r="DE147" s="8">
        <v>641875</v>
      </c>
      <c r="DF147" s="8">
        <v>641875</v>
      </c>
      <c r="DG147" s="8">
        <v>641875</v>
      </c>
      <c r="DH147" s="8">
        <v>641875</v>
      </c>
      <c r="DI147" s="8">
        <v>641875</v>
      </c>
      <c r="DJ147" s="8">
        <v>641875</v>
      </c>
      <c r="DK147" s="8">
        <v>641875</v>
      </c>
      <c r="DL147" s="8">
        <v>641875</v>
      </c>
      <c r="DM147" s="8">
        <v>641875</v>
      </c>
      <c r="DN147" s="8">
        <v>641875</v>
      </c>
      <c r="DO147" s="9">
        <f t="shared" si="65"/>
        <v>641875</v>
      </c>
      <c r="DP147" s="8">
        <v>682313</v>
      </c>
      <c r="DQ147" s="8">
        <v>682313</v>
      </c>
      <c r="DR147" s="8">
        <v>682313</v>
      </c>
      <c r="DS147" s="8">
        <v>682313</v>
      </c>
      <c r="DT147" s="8">
        <v>682313</v>
      </c>
      <c r="DU147" s="8">
        <v>682313</v>
      </c>
      <c r="DV147" s="8">
        <v>682313</v>
      </c>
      <c r="DW147" s="8">
        <v>682313</v>
      </c>
      <c r="DX147" s="8">
        <v>682313</v>
      </c>
      <c r="DY147" s="8">
        <v>682313</v>
      </c>
      <c r="DZ147" s="8">
        <v>682313</v>
      </c>
      <c r="EA147" s="8">
        <v>682313</v>
      </c>
      <c r="EB147" s="9">
        <f t="shared" si="66"/>
        <v>682313</v>
      </c>
      <c r="EC147" s="8">
        <v>624968</v>
      </c>
      <c r="ED147" s="8">
        <v>624968</v>
      </c>
      <c r="EE147" s="8">
        <v>624968</v>
      </c>
      <c r="EF147" s="8">
        <v>624968</v>
      </c>
      <c r="EG147" s="8">
        <v>624968</v>
      </c>
      <c r="EH147" s="8">
        <v>624968</v>
      </c>
      <c r="EI147" s="8">
        <v>624968</v>
      </c>
      <c r="EJ147" s="8">
        <v>624968</v>
      </c>
      <c r="EK147" s="8">
        <v>624968</v>
      </c>
      <c r="EL147" s="8">
        <v>624968</v>
      </c>
      <c r="EM147" s="8">
        <v>624968</v>
      </c>
      <c r="EN147" s="8">
        <v>624968</v>
      </c>
      <c r="EO147" s="9">
        <f t="shared" si="67"/>
        <v>624968</v>
      </c>
      <c r="EP147" s="8">
        <v>651217</v>
      </c>
      <c r="EQ147" s="8">
        <v>651217</v>
      </c>
      <c r="ER147" s="8">
        <v>651217</v>
      </c>
      <c r="ES147" s="8">
        <v>651217</v>
      </c>
      <c r="ET147" s="8">
        <v>651217</v>
      </c>
      <c r="EU147" s="8">
        <v>651217</v>
      </c>
      <c r="EV147" s="8">
        <v>651217</v>
      </c>
      <c r="EW147" s="8">
        <v>651217</v>
      </c>
      <c r="EX147" s="8">
        <v>651217</v>
      </c>
      <c r="EY147" s="8">
        <v>651217</v>
      </c>
      <c r="EZ147" s="8">
        <v>651217</v>
      </c>
      <c r="FA147" s="8">
        <v>651217</v>
      </c>
      <c r="FB147" s="9">
        <f t="shared" si="68"/>
        <v>651217</v>
      </c>
      <c r="FC147" s="8">
        <v>671405</v>
      </c>
      <c r="FD147" s="8">
        <v>671405</v>
      </c>
      <c r="FE147" s="8">
        <v>671405</v>
      </c>
      <c r="FF147" s="8">
        <v>671405</v>
      </c>
      <c r="FG147" s="8">
        <v>671405</v>
      </c>
      <c r="FH147" s="8">
        <v>671405</v>
      </c>
      <c r="FI147" s="8">
        <v>671405</v>
      </c>
      <c r="FJ147" s="8"/>
      <c r="FK147" s="8"/>
      <c r="FL147" s="8"/>
      <c r="FM147" s="8"/>
      <c r="FN147" s="8"/>
      <c r="FO147" s="9">
        <f t="shared" si="69"/>
        <v>671405</v>
      </c>
    </row>
    <row r="148" spans="2:171" ht="14.25" customHeight="1" x14ac:dyDescent="0.3">
      <c r="B148" s="35" t="s">
        <v>72</v>
      </c>
      <c r="C148" s="8">
        <v>381690</v>
      </c>
      <c r="D148" s="8">
        <v>381690</v>
      </c>
      <c r="E148" s="8">
        <v>381690</v>
      </c>
      <c r="F148" s="8">
        <v>381690</v>
      </c>
      <c r="G148" s="8">
        <v>381690</v>
      </c>
      <c r="H148" s="8">
        <v>381690</v>
      </c>
      <c r="I148" s="8">
        <v>381690</v>
      </c>
      <c r="J148" s="8">
        <v>381690</v>
      </c>
      <c r="K148" s="8">
        <v>381690</v>
      </c>
      <c r="L148" s="8">
        <v>381690</v>
      </c>
      <c r="M148" s="8">
        <v>381690</v>
      </c>
      <c r="N148" s="8">
        <v>381690</v>
      </c>
      <c r="O148" s="9">
        <f t="shared" si="57"/>
        <v>381690</v>
      </c>
      <c r="P148" s="8">
        <v>393141</v>
      </c>
      <c r="Q148" s="8">
        <v>393141</v>
      </c>
      <c r="R148" s="8">
        <v>393141</v>
      </c>
      <c r="S148" s="8">
        <v>393141</v>
      </c>
      <c r="T148" s="8">
        <v>393141</v>
      </c>
      <c r="U148" s="8">
        <v>393141</v>
      </c>
      <c r="V148" s="8">
        <v>393141</v>
      </c>
      <c r="W148" s="8">
        <v>393141</v>
      </c>
      <c r="X148" s="8">
        <v>393141</v>
      </c>
      <c r="Y148" s="8">
        <v>393141</v>
      </c>
      <c r="Z148" s="8">
        <v>393141</v>
      </c>
      <c r="AA148" s="8">
        <v>393141</v>
      </c>
      <c r="AB148" s="9">
        <f t="shared" si="58"/>
        <v>393141</v>
      </c>
      <c r="AC148" s="8">
        <v>408080</v>
      </c>
      <c r="AD148" s="8">
        <v>408080</v>
      </c>
      <c r="AE148" s="8">
        <v>408080</v>
      </c>
      <c r="AF148" s="8">
        <v>408080</v>
      </c>
      <c r="AG148" s="8">
        <v>408080</v>
      </c>
      <c r="AH148" s="8">
        <v>408080</v>
      </c>
      <c r="AI148" s="8">
        <v>408080</v>
      </c>
      <c r="AJ148" s="8">
        <v>408080</v>
      </c>
      <c r="AK148" s="8">
        <v>408080</v>
      </c>
      <c r="AL148" s="8">
        <v>408080</v>
      </c>
      <c r="AM148" s="8">
        <v>408080</v>
      </c>
      <c r="AN148" s="8">
        <v>408080</v>
      </c>
      <c r="AO148" s="9">
        <f t="shared" si="59"/>
        <v>408080</v>
      </c>
      <c r="AP148" s="8">
        <v>420322</v>
      </c>
      <c r="AQ148" s="8">
        <v>420322</v>
      </c>
      <c r="AR148" s="8">
        <v>420322</v>
      </c>
      <c r="AS148" s="8">
        <v>420322</v>
      </c>
      <c r="AT148" s="8">
        <v>420322</v>
      </c>
      <c r="AU148" s="8">
        <v>420322</v>
      </c>
      <c r="AV148" s="8">
        <v>420322</v>
      </c>
      <c r="AW148" s="8">
        <v>420322</v>
      </c>
      <c r="AX148" s="8">
        <v>420322</v>
      </c>
      <c r="AY148" s="8">
        <v>420322</v>
      </c>
      <c r="AZ148" s="8">
        <v>420322</v>
      </c>
      <c r="BA148" s="8">
        <v>420322</v>
      </c>
      <c r="BB148" s="9">
        <f t="shared" si="60"/>
        <v>420322</v>
      </c>
      <c r="BC148" s="8">
        <v>431250</v>
      </c>
      <c r="BD148" s="8">
        <v>431250</v>
      </c>
      <c r="BE148" s="8">
        <v>431250</v>
      </c>
      <c r="BF148" s="8">
        <v>431250</v>
      </c>
      <c r="BG148" s="8">
        <v>431250</v>
      </c>
      <c r="BH148" s="8">
        <v>431250</v>
      </c>
      <c r="BI148" s="8">
        <v>431250</v>
      </c>
      <c r="BJ148" s="8">
        <v>431250</v>
      </c>
      <c r="BK148" s="8">
        <v>431250</v>
      </c>
      <c r="BL148" s="8">
        <v>431250</v>
      </c>
      <c r="BM148" s="8">
        <v>431250</v>
      </c>
      <c r="BN148" s="8">
        <v>431250</v>
      </c>
      <c r="BO148" s="9">
        <f t="shared" si="61"/>
        <v>431250</v>
      </c>
      <c r="BP148" s="8">
        <v>0</v>
      </c>
      <c r="BQ148" s="8">
        <v>0</v>
      </c>
      <c r="BR148" s="8">
        <v>0</v>
      </c>
      <c r="BS148" s="8">
        <v>0</v>
      </c>
      <c r="BT148" s="8">
        <v>0</v>
      </c>
      <c r="BU148" s="8">
        <v>0</v>
      </c>
      <c r="BV148" s="8">
        <v>0</v>
      </c>
      <c r="BW148" s="8">
        <v>0</v>
      </c>
      <c r="BX148" s="8">
        <v>0</v>
      </c>
      <c r="BY148" s="8">
        <v>0</v>
      </c>
      <c r="BZ148" s="8">
        <v>0</v>
      </c>
      <c r="CA148" s="8">
        <v>0</v>
      </c>
      <c r="CB148" s="9">
        <f t="shared" si="62"/>
        <v>0</v>
      </c>
      <c r="CC148" s="8">
        <v>141146</v>
      </c>
      <c r="CD148" s="8">
        <v>141146</v>
      </c>
      <c r="CE148" s="8">
        <v>141146</v>
      </c>
      <c r="CF148" s="8">
        <v>141146</v>
      </c>
      <c r="CG148" s="8">
        <v>141146</v>
      </c>
      <c r="CH148" s="8">
        <v>141146</v>
      </c>
      <c r="CI148" s="8">
        <v>141146</v>
      </c>
      <c r="CJ148" s="8">
        <v>141146</v>
      </c>
      <c r="CK148" s="8">
        <v>141146</v>
      </c>
      <c r="CL148" s="8">
        <v>141146</v>
      </c>
      <c r="CM148" s="8">
        <v>141146</v>
      </c>
      <c r="CN148" s="8">
        <v>141146</v>
      </c>
      <c r="CO148" s="9">
        <f t="shared" si="63"/>
        <v>141146</v>
      </c>
      <c r="CP148" s="8">
        <v>619004</v>
      </c>
      <c r="CQ148" s="8">
        <v>619004</v>
      </c>
      <c r="CR148" s="8">
        <v>619004</v>
      </c>
      <c r="CS148" s="8">
        <v>619004</v>
      </c>
      <c r="CT148" s="8">
        <v>619004</v>
      </c>
      <c r="CU148" s="8">
        <v>619004</v>
      </c>
      <c r="CV148" s="8">
        <v>619004</v>
      </c>
      <c r="CW148" s="8">
        <v>619004</v>
      </c>
      <c r="CX148" s="8">
        <v>619004</v>
      </c>
      <c r="CY148" s="8">
        <v>619004</v>
      </c>
      <c r="CZ148" s="8">
        <v>619004</v>
      </c>
      <c r="DA148" s="8">
        <v>619004</v>
      </c>
      <c r="DB148" s="9">
        <f t="shared" si="64"/>
        <v>619004</v>
      </c>
      <c r="DC148" s="8">
        <v>840765</v>
      </c>
      <c r="DD148" s="8">
        <v>840765</v>
      </c>
      <c r="DE148" s="8">
        <v>840765</v>
      </c>
      <c r="DF148" s="8">
        <v>840765</v>
      </c>
      <c r="DG148" s="8">
        <v>840765</v>
      </c>
      <c r="DH148" s="8">
        <v>840765</v>
      </c>
      <c r="DI148" s="8">
        <v>840765</v>
      </c>
      <c r="DJ148" s="8">
        <v>840765</v>
      </c>
      <c r="DK148" s="8">
        <v>840765</v>
      </c>
      <c r="DL148" s="8">
        <v>840765</v>
      </c>
      <c r="DM148" s="8">
        <v>840765</v>
      </c>
      <c r="DN148" s="8">
        <v>840765</v>
      </c>
      <c r="DO148" s="9">
        <f t="shared" si="65"/>
        <v>840765</v>
      </c>
      <c r="DP148" s="8">
        <v>893733</v>
      </c>
      <c r="DQ148" s="8">
        <v>893733</v>
      </c>
      <c r="DR148" s="8">
        <v>893733</v>
      </c>
      <c r="DS148" s="8">
        <v>893733</v>
      </c>
      <c r="DT148" s="8">
        <v>893733</v>
      </c>
      <c r="DU148" s="8">
        <v>893733</v>
      </c>
      <c r="DV148" s="8">
        <v>893733</v>
      </c>
      <c r="DW148" s="8">
        <v>893733</v>
      </c>
      <c r="DX148" s="8">
        <v>893733</v>
      </c>
      <c r="DY148" s="8">
        <v>893733</v>
      </c>
      <c r="DZ148" s="8">
        <v>893733</v>
      </c>
      <c r="EA148" s="8">
        <v>893733</v>
      </c>
      <c r="EB148" s="9">
        <f t="shared" si="66"/>
        <v>893733</v>
      </c>
      <c r="EC148" s="8">
        <v>818621</v>
      </c>
      <c r="ED148" s="8">
        <v>818621</v>
      </c>
      <c r="EE148" s="8">
        <v>818621</v>
      </c>
      <c r="EF148" s="8">
        <v>818621</v>
      </c>
      <c r="EG148" s="8">
        <v>818621</v>
      </c>
      <c r="EH148" s="8">
        <v>818621</v>
      </c>
      <c r="EI148" s="8">
        <v>818621</v>
      </c>
      <c r="EJ148" s="8">
        <v>818621</v>
      </c>
      <c r="EK148" s="8">
        <v>818621</v>
      </c>
      <c r="EL148" s="8">
        <v>818621</v>
      </c>
      <c r="EM148" s="8">
        <v>818621</v>
      </c>
      <c r="EN148" s="8">
        <v>818621</v>
      </c>
      <c r="EO148" s="9">
        <f t="shared" si="67"/>
        <v>818621</v>
      </c>
      <c r="EP148" s="8">
        <v>853004</v>
      </c>
      <c r="EQ148" s="8">
        <v>853004</v>
      </c>
      <c r="ER148" s="8">
        <v>853004</v>
      </c>
      <c r="ES148" s="8">
        <v>853004</v>
      </c>
      <c r="ET148" s="8">
        <v>853004</v>
      </c>
      <c r="EU148" s="8">
        <v>853004</v>
      </c>
      <c r="EV148" s="8">
        <v>853004</v>
      </c>
      <c r="EW148" s="8">
        <v>853004</v>
      </c>
      <c r="EX148" s="8">
        <v>853004</v>
      </c>
      <c r="EY148" s="8">
        <v>853004</v>
      </c>
      <c r="EZ148" s="8">
        <v>853004</v>
      </c>
      <c r="FA148" s="8">
        <v>853004</v>
      </c>
      <c r="FB148" s="9">
        <f t="shared" si="68"/>
        <v>853004</v>
      </c>
      <c r="FC148" s="8">
        <v>879447</v>
      </c>
      <c r="FD148" s="8">
        <v>879447</v>
      </c>
      <c r="FE148" s="8">
        <v>879447</v>
      </c>
      <c r="FF148" s="8">
        <v>879447</v>
      </c>
      <c r="FG148" s="8">
        <v>879447</v>
      </c>
      <c r="FH148" s="8">
        <v>879447</v>
      </c>
      <c r="FI148" s="8">
        <v>879447</v>
      </c>
      <c r="FJ148" s="8"/>
      <c r="FK148" s="8"/>
      <c r="FL148" s="8"/>
      <c r="FM148" s="8"/>
      <c r="FN148" s="8"/>
      <c r="FO148" s="9">
        <f t="shared" si="69"/>
        <v>879447</v>
      </c>
    </row>
    <row r="149" spans="2:171" ht="14.25" customHeight="1" x14ac:dyDescent="0.3">
      <c r="B149" s="35" t="s">
        <v>73</v>
      </c>
      <c r="C149" s="8">
        <v>534975</v>
      </c>
      <c r="D149" s="8">
        <v>534975</v>
      </c>
      <c r="E149" s="8">
        <v>534975</v>
      </c>
      <c r="F149" s="8">
        <v>534975</v>
      </c>
      <c r="G149" s="8">
        <v>534975</v>
      </c>
      <c r="H149" s="8">
        <v>534975</v>
      </c>
      <c r="I149" s="8">
        <v>534975</v>
      </c>
      <c r="J149" s="8">
        <v>534975</v>
      </c>
      <c r="K149" s="8">
        <v>534975</v>
      </c>
      <c r="L149" s="8">
        <v>534975</v>
      </c>
      <c r="M149" s="8">
        <v>534975</v>
      </c>
      <c r="N149" s="8">
        <v>534975</v>
      </c>
      <c r="O149" s="9">
        <f t="shared" si="57"/>
        <v>534975</v>
      </c>
      <c r="P149" s="8">
        <v>356879</v>
      </c>
      <c r="Q149" s="8">
        <v>356879</v>
      </c>
      <c r="R149" s="8">
        <v>356879</v>
      </c>
      <c r="S149" s="8">
        <v>356879</v>
      </c>
      <c r="T149" s="8">
        <v>356879</v>
      </c>
      <c r="U149" s="8">
        <v>356879</v>
      </c>
      <c r="V149" s="8">
        <v>356879</v>
      </c>
      <c r="W149" s="8">
        <v>356879</v>
      </c>
      <c r="X149" s="8">
        <v>356879</v>
      </c>
      <c r="Y149" s="8">
        <v>356879</v>
      </c>
      <c r="Z149" s="8">
        <v>356879</v>
      </c>
      <c r="AA149" s="8">
        <v>356879</v>
      </c>
      <c r="AB149" s="9">
        <f t="shared" si="58"/>
        <v>356879</v>
      </c>
      <c r="AC149" s="8">
        <v>370440</v>
      </c>
      <c r="AD149" s="8">
        <v>370440</v>
      </c>
      <c r="AE149" s="8">
        <v>370440</v>
      </c>
      <c r="AF149" s="8">
        <v>370440</v>
      </c>
      <c r="AG149" s="8">
        <v>370440</v>
      </c>
      <c r="AH149" s="8">
        <v>370440</v>
      </c>
      <c r="AI149" s="8">
        <v>370440</v>
      </c>
      <c r="AJ149" s="8">
        <v>370440</v>
      </c>
      <c r="AK149" s="8">
        <v>370440</v>
      </c>
      <c r="AL149" s="8">
        <v>370440</v>
      </c>
      <c r="AM149" s="8">
        <v>370440</v>
      </c>
      <c r="AN149" s="8">
        <v>370440</v>
      </c>
      <c r="AO149" s="9">
        <f t="shared" si="59"/>
        <v>370440</v>
      </c>
      <c r="AP149" s="8">
        <v>381553</v>
      </c>
      <c r="AQ149" s="8">
        <v>381553</v>
      </c>
      <c r="AR149" s="8">
        <v>381553</v>
      </c>
      <c r="AS149" s="8">
        <v>381553</v>
      </c>
      <c r="AT149" s="8">
        <v>381553</v>
      </c>
      <c r="AU149" s="8">
        <v>381553</v>
      </c>
      <c r="AV149" s="8">
        <v>381553</v>
      </c>
      <c r="AW149" s="8">
        <v>381553</v>
      </c>
      <c r="AX149" s="8">
        <v>381553</v>
      </c>
      <c r="AY149" s="8">
        <v>381553</v>
      </c>
      <c r="AZ149" s="8">
        <v>381553</v>
      </c>
      <c r="BA149" s="8">
        <v>381553</v>
      </c>
      <c r="BB149" s="9">
        <f t="shared" si="60"/>
        <v>381553</v>
      </c>
      <c r="BC149" s="8">
        <v>391462</v>
      </c>
      <c r="BD149" s="8">
        <v>391462</v>
      </c>
      <c r="BE149" s="8">
        <v>391462</v>
      </c>
      <c r="BF149" s="8">
        <v>391462</v>
      </c>
      <c r="BG149" s="8">
        <v>391462</v>
      </c>
      <c r="BH149" s="8">
        <v>391462</v>
      </c>
      <c r="BI149" s="8">
        <v>391462</v>
      </c>
      <c r="BJ149" s="8">
        <v>391462</v>
      </c>
      <c r="BK149" s="8">
        <v>391462</v>
      </c>
      <c r="BL149" s="8">
        <v>391462</v>
      </c>
      <c r="BM149" s="8">
        <v>391462</v>
      </c>
      <c r="BN149" s="8">
        <v>391462</v>
      </c>
      <c r="BO149" s="9">
        <f t="shared" si="61"/>
        <v>391462</v>
      </c>
      <c r="BP149" s="8">
        <v>0</v>
      </c>
      <c r="BQ149" s="8">
        <v>0</v>
      </c>
      <c r="BR149" s="8">
        <v>0</v>
      </c>
      <c r="BS149" s="8">
        <v>0</v>
      </c>
      <c r="BT149" s="8">
        <v>0</v>
      </c>
      <c r="BU149" s="8">
        <v>0</v>
      </c>
      <c r="BV149" s="8">
        <v>0</v>
      </c>
      <c r="BW149" s="8">
        <v>0</v>
      </c>
      <c r="BX149" s="8">
        <v>0</v>
      </c>
      <c r="BY149" s="8">
        <v>0</v>
      </c>
      <c r="BZ149" s="8">
        <v>0</v>
      </c>
      <c r="CA149" s="8">
        <v>0</v>
      </c>
      <c r="CB149" s="9">
        <f t="shared" si="62"/>
        <v>0</v>
      </c>
      <c r="CC149" s="8">
        <v>192786</v>
      </c>
      <c r="CD149" s="8">
        <v>192786</v>
      </c>
      <c r="CE149" s="8">
        <v>192786</v>
      </c>
      <c r="CF149" s="8">
        <v>192786</v>
      </c>
      <c r="CG149" s="8">
        <v>192786</v>
      </c>
      <c r="CH149" s="8">
        <v>192786</v>
      </c>
      <c r="CI149" s="8">
        <v>192786</v>
      </c>
      <c r="CJ149" s="8">
        <v>192786</v>
      </c>
      <c r="CK149" s="8">
        <v>192786</v>
      </c>
      <c r="CL149" s="8">
        <v>192786</v>
      </c>
      <c r="CM149" s="8">
        <v>192786</v>
      </c>
      <c r="CN149" s="8">
        <v>192786</v>
      </c>
      <c r="CO149" s="9">
        <f t="shared" si="63"/>
        <v>192786</v>
      </c>
      <c r="CP149" s="8">
        <v>831886</v>
      </c>
      <c r="CQ149" s="8">
        <v>831886</v>
      </c>
      <c r="CR149" s="8">
        <v>831886</v>
      </c>
      <c r="CS149" s="8">
        <v>831886</v>
      </c>
      <c r="CT149" s="8">
        <v>831886</v>
      </c>
      <c r="CU149" s="8">
        <v>831886</v>
      </c>
      <c r="CV149" s="8">
        <v>831886</v>
      </c>
      <c r="CW149" s="8">
        <v>831886</v>
      </c>
      <c r="CX149" s="8">
        <v>831886</v>
      </c>
      <c r="CY149" s="8">
        <v>831886</v>
      </c>
      <c r="CZ149" s="8">
        <v>831886</v>
      </c>
      <c r="DA149" s="8">
        <v>831886</v>
      </c>
      <c r="DB149" s="9">
        <f t="shared" si="64"/>
        <v>831886</v>
      </c>
      <c r="DC149" s="8">
        <v>1124241</v>
      </c>
      <c r="DD149" s="8">
        <v>1124241</v>
      </c>
      <c r="DE149" s="8">
        <v>1124241</v>
      </c>
      <c r="DF149" s="8">
        <v>1124241</v>
      </c>
      <c r="DG149" s="8">
        <v>1124241</v>
      </c>
      <c r="DH149" s="8">
        <v>1124241</v>
      </c>
      <c r="DI149" s="8">
        <v>1124241</v>
      </c>
      <c r="DJ149" s="8">
        <v>1124241</v>
      </c>
      <c r="DK149" s="8">
        <v>1124241</v>
      </c>
      <c r="DL149" s="8">
        <v>1124241</v>
      </c>
      <c r="DM149" s="8">
        <v>1124241</v>
      </c>
      <c r="DN149" s="8">
        <v>1124241</v>
      </c>
      <c r="DO149" s="9">
        <f t="shared" si="65"/>
        <v>1124241</v>
      </c>
      <c r="DP149" s="8">
        <v>1195068</v>
      </c>
      <c r="DQ149" s="8">
        <v>1195068</v>
      </c>
      <c r="DR149" s="8">
        <v>1195068</v>
      </c>
      <c r="DS149" s="8">
        <v>1195068</v>
      </c>
      <c r="DT149" s="8">
        <v>1195068</v>
      </c>
      <c r="DU149" s="8">
        <v>1195068</v>
      </c>
      <c r="DV149" s="8">
        <v>1195068</v>
      </c>
      <c r="DW149" s="8">
        <v>1195068</v>
      </c>
      <c r="DX149" s="8">
        <v>1195068</v>
      </c>
      <c r="DY149" s="8">
        <v>1195068</v>
      </c>
      <c r="DZ149" s="8">
        <v>1195068</v>
      </c>
      <c r="EA149" s="8">
        <v>1195068</v>
      </c>
      <c r="EB149" s="9">
        <f t="shared" si="66"/>
        <v>1195068</v>
      </c>
      <c r="EC149" s="8">
        <v>1094630</v>
      </c>
      <c r="ED149" s="8">
        <v>1094630</v>
      </c>
      <c r="EE149" s="8">
        <v>1094630</v>
      </c>
      <c r="EF149" s="8">
        <v>1094630</v>
      </c>
      <c r="EG149" s="8">
        <v>1094630</v>
      </c>
      <c r="EH149" s="8">
        <v>1094630</v>
      </c>
      <c r="EI149" s="8">
        <v>1094630</v>
      </c>
      <c r="EJ149" s="8">
        <v>1094630</v>
      </c>
      <c r="EK149" s="8">
        <v>1094630</v>
      </c>
      <c r="EL149" s="8">
        <v>1094630</v>
      </c>
      <c r="EM149" s="8">
        <v>1094630</v>
      </c>
      <c r="EN149" s="8">
        <v>1094630</v>
      </c>
      <c r="EO149" s="9">
        <f t="shared" si="67"/>
        <v>1094630</v>
      </c>
      <c r="EP149" s="8">
        <v>1140605</v>
      </c>
      <c r="EQ149" s="8">
        <v>1140605</v>
      </c>
      <c r="ER149" s="8">
        <v>1140605</v>
      </c>
      <c r="ES149" s="8">
        <v>1140605</v>
      </c>
      <c r="ET149" s="8">
        <v>1140605</v>
      </c>
      <c r="EU149" s="8">
        <v>1140605</v>
      </c>
      <c r="EV149" s="8">
        <v>1140605</v>
      </c>
      <c r="EW149" s="8">
        <v>1140605</v>
      </c>
      <c r="EX149" s="8">
        <v>1140605</v>
      </c>
      <c r="EY149" s="8">
        <v>1140605</v>
      </c>
      <c r="EZ149" s="8">
        <v>1140605</v>
      </c>
      <c r="FA149" s="8">
        <v>1140605</v>
      </c>
      <c r="FB149" s="9">
        <f t="shared" si="68"/>
        <v>1140605</v>
      </c>
      <c r="FC149" s="8">
        <v>1175963</v>
      </c>
      <c r="FD149" s="8">
        <v>1175963</v>
      </c>
      <c r="FE149" s="8">
        <v>1175963</v>
      </c>
      <c r="FF149" s="8">
        <v>1175963</v>
      </c>
      <c r="FG149" s="8">
        <v>1175963</v>
      </c>
      <c r="FH149" s="8">
        <v>1175963</v>
      </c>
      <c r="FI149" s="8">
        <v>1175963</v>
      </c>
      <c r="FJ149" s="8"/>
      <c r="FK149" s="8"/>
      <c r="FL149" s="8"/>
      <c r="FM149" s="8"/>
      <c r="FN149" s="8"/>
      <c r="FO149" s="9">
        <f t="shared" si="69"/>
        <v>1175963</v>
      </c>
    </row>
    <row r="150" spans="2:171" ht="14.25" customHeight="1" x14ac:dyDescent="0.3">
      <c r="B150" s="35" t="s">
        <v>74</v>
      </c>
      <c r="C150" s="8">
        <v>39141</v>
      </c>
      <c r="D150" s="8">
        <v>39141</v>
      </c>
      <c r="E150" s="8">
        <v>39141</v>
      </c>
      <c r="F150" s="8">
        <v>39141</v>
      </c>
      <c r="G150" s="8">
        <v>39141</v>
      </c>
      <c r="H150" s="8">
        <v>39141</v>
      </c>
      <c r="I150" s="8">
        <v>39141</v>
      </c>
      <c r="J150" s="8">
        <v>39141</v>
      </c>
      <c r="K150" s="8">
        <v>39141</v>
      </c>
      <c r="L150" s="8">
        <v>39141</v>
      </c>
      <c r="M150" s="8">
        <v>39141</v>
      </c>
      <c r="N150" s="8">
        <v>39141</v>
      </c>
      <c r="O150" s="9">
        <f t="shared" si="57"/>
        <v>39141</v>
      </c>
      <c r="P150" s="8">
        <v>40315</v>
      </c>
      <c r="Q150" s="8">
        <v>40315</v>
      </c>
      <c r="R150" s="8">
        <v>40315</v>
      </c>
      <c r="S150" s="8">
        <v>40315</v>
      </c>
      <c r="T150" s="8">
        <v>40315</v>
      </c>
      <c r="U150" s="8">
        <v>40315</v>
      </c>
      <c r="V150" s="8">
        <v>40315</v>
      </c>
      <c r="W150" s="8">
        <v>40315</v>
      </c>
      <c r="X150" s="8">
        <v>40315</v>
      </c>
      <c r="Y150" s="8">
        <v>40315</v>
      </c>
      <c r="Z150" s="8">
        <v>40315</v>
      </c>
      <c r="AA150" s="8">
        <v>40315</v>
      </c>
      <c r="AB150" s="9">
        <f t="shared" si="58"/>
        <v>40315</v>
      </c>
      <c r="AC150" s="8">
        <v>41847</v>
      </c>
      <c r="AD150" s="8">
        <v>41847</v>
      </c>
      <c r="AE150" s="8">
        <v>41847</v>
      </c>
      <c r="AF150" s="8">
        <v>41847</v>
      </c>
      <c r="AG150" s="8">
        <v>41847</v>
      </c>
      <c r="AH150" s="8">
        <v>41847</v>
      </c>
      <c r="AI150" s="8">
        <v>41847</v>
      </c>
      <c r="AJ150" s="8">
        <v>41847</v>
      </c>
      <c r="AK150" s="8">
        <v>41847</v>
      </c>
      <c r="AL150" s="8">
        <v>41847</v>
      </c>
      <c r="AM150" s="8">
        <v>41847</v>
      </c>
      <c r="AN150" s="8">
        <v>41847</v>
      </c>
      <c r="AO150" s="9">
        <f t="shared" si="59"/>
        <v>41847</v>
      </c>
      <c r="AP150" s="8">
        <v>43102</v>
      </c>
      <c r="AQ150" s="8">
        <v>43102</v>
      </c>
      <c r="AR150" s="8">
        <v>43102</v>
      </c>
      <c r="AS150" s="8">
        <v>43102</v>
      </c>
      <c r="AT150" s="8">
        <v>43102</v>
      </c>
      <c r="AU150" s="8">
        <v>43102</v>
      </c>
      <c r="AV150" s="8">
        <v>43102</v>
      </c>
      <c r="AW150" s="8">
        <v>43102</v>
      </c>
      <c r="AX150" s="8">
        <v>43102</v>
      </c>
      <c r="AY150" s="8">
        <v>43102</v>
      </c>
      <c r="AZ150" s="8">
        <v>43102</v>
      </c>
      <c r="BA150" s="8">
        <v>43102</v>
      </c>
      <c r="BB150" s="9">
        <f t="shared" si="60"/>
        <v>43102</v>
      </c>
      <c r="BC150" s="8">
        <v>44223</v>
      </c>
      <c r="BD150" s="8">
        <v>44223</v>
      </c>
      <c r="BE150" s="8">
        <v>44223</v>
      </c>
      <c r="BF150" s="8">
        <v>44223</v>
      </c>
      <c r="BG150" s="8">
        <v>44223</v>
      </c>
      <c r="BH150" s="8">
        <v>44223</v>
      </c>
      <c r="BI150" s="8">
        <v>44223</v>
      </c>
      <c r="BJ150" s="8">
        <v>44223</v>
      </c>
      <c r="BK150" s="8">
        <v>44223</v>
      </c>
      <c r="BL150" s="8">
        <v>44223</v>
      </c>
      <c r="BM150" s="8">
        <v>44223</v>
      </c>
      <c r="BN150" s="8">
        <v>44223</v>
      </c>
      <c r="BO150" s="9">
        <f t="shared" si="61"/>
        <v>44223</v>
      </c>
      <c r="BP150" s="8">
        <v>0</v>
      </c>
      <c r="BQ150" s="8">
        <v>0</v>
      </c>
      <c r="BR150" s="8">
        <v>0</v>
      </c>
      <c r="BS150" s="8">
        <v>0</v>
      </c>
      <c r="BT150" s="8">
        <v>0</v>
      </c>
      <c r="BU150" s="8">
        <v>0</v>
      </c>
      <c r="BV150" s="8">
        <v>0</v>
      </c>
      <c r="BW150" s="8">
        <v>0</v>
      </c>
      <c r="BX150" s="8">
        <v>0</v>
      </c>
      <c r="BY150" s="8">
        <v>0</v>
      </c>
      <c r="BZ150" s="8">
        <v>0</v>
      </c>
      <c r="CA150" s="8">
        <v>0</v>
      </c>
      <c r="CB150" s="9">
        <f t="shared" si="62"/>
        <v>0</v>
      </c>
      <c r="CC150" s="8">
        <v>33782</v>
      </c>
      <c r="CD150" s="8">
        <v>33782</v>
      </c>
      <c r="CE150" s="8">
        <v>33782</v>
      </c>
      <c r="CF150" s="8">
        <v>33782</v>
      </c>
      <c r="CG150" s="8">
        <v>33782</v>
      </c>
      <c r="CH150" s="8">
        <v>33782</v>
      </c>
      <c r="CI150" s="8">
        <v>33782</v>
      </c>
      <c r="CJ150" s="8">
        <v>33782</v>
      </c>
      <c r="CK150" s="8">
        <v>33782</v>
      </c>
      <c r="CL150" s="8">
        <v>33782</v>
      </c>
      <c r="CM150" s="8">
        <v>33782</v>
      </c>
      <c r="CN150" s="8">
        <v>33782</v>
      </c>
      <c r="CO150" s="9">
        <f t="shared" si="63"/>
        <v>33782</v>
      </c>
      <c r="CP150" s="8">
        <v>146225</v>
      </c>
      <c r="CQ150" s="8">
        <v>146225</v>
      </c>
      <c r="CR150" s="8">
        <v>146225</v>
      </c>
      <c r="CS150" s="8">
        <v>146225</v>
      </c>
      <c r="CT150" s="8">
        <v>146225</v>
      </c>
      <c r="CU150" s="8">
        <v>146225</v>
      </c>
      <c r="CV150" s="8">
        <v>146225</v>
      </c>
      <c r="CW150" s="8">
        <v>146225</v>
      </c>
      <c r="CX150" s="8">
        <v>146225</v>
      </c>
      <c r="CY150" s="8">
        <v>146225</v>
      </c>
      <c r="CZ150" s="8">
        <v>146225</v>
      </c>
      <c r="DA150" s="8">
        <v>146225</v>
      </c>
      <c r="DB150" s="9">
        <f t="shared" si="64"/>
        <v>146225</v>
      </c>
      <c r="DC150" s="8">
        <v>206622</v>
      </c>
      <c r="DD150" s="8">
        <v>206622</v>
      </c>
      <c r="DE150" s="8">
        <v>206622</v>
      </c>
      <c r="DF150" s="8">
        <v>206622</v>
      </c>
      <c r="DG150" s="8">
        <v>206622</v>
      </c>
      <c r="DH150" s="8">
        <v>206622</v>
      </c>
      <c r="DI150" s="8">
        <v>206622</v>
      </c>
      <c r="DJ150" s="8">
        <v>206622</v>
      </c>
      <c r="DK150" s="8">
        <v>206622</v>
      </c>
      <c r="DL150" s="8">
        <v>206622</v>
      </c>
      <c r="DM150" s="8">
        <v>206622</v>
      </c>
      <c r="DN150" s="8">
        <v>206622</v>
      </c>
      <c r="DO150" s="9">
        <f t="shared" si="65"/>
        <v>206622</v>
      </c>
      <c r="DP150" s="8">
        <v>219639</v>
      </c>
      <c r="DQ150" s="8">
        <v>219639</v>
      </c>
      <c r="DR150" s="8">
        <v>219639</v>
      </c>
      <c r="DS150" s="8">
        <v>219639</v>
      </c>
      <c r="DT150" s="8">
        <v>219639</v>
      </c>
      <c r="DU150" s="8">
        <v>219639</v>
      </c>
      <c r="DV150" s="8">
        <v>219639</v>
      </c>
      <c r="DW150" s="8">
        <v>219639</v>
      </c>
      <c r="DX150" s="8">
        <v>219639</v>
      </c>
      <c r="DY150" s="8">
        <v>219639</v>
      </c>
      <c r="DZ150" s="8">
        <v>219639</v>
      </c>
      <c r="EA150" s="8">
        <v>219639</v>
      </c>
      <c r="EB150" s="9">
        <f t="shared" si="66"/>
        <v>219639</v>
      </c>
      <c r="EC150" s="8">
        <v>201180</v>
      </c>
      <c r="ED150" s="8">
        <v>201180</v>
      </c>
      <c r="EE150" s="8">
        <v>201180</v>
      </c>
      <c r="EF150" s="8">
        <v>201180</v>
      </c>
      <c r="EG150" s="8">
        <v>201180</v>
      </c>
      <c r="EH150" s="8">
        <v>201180</v>
      </c>
      <c r="EI150" s="8">
        <v>201180</v>
      </c>
      <c r="EJ150" s="8">
        <v>201180</v>
      </c>
      <c r="EK150" s="8">
        <v>201180</v>
      </c>
      <c r="EL150" s="8">
        <v>201180</v>
      </c>
      <c r="EM150" s="8">
        <v>201180</v>
      </c>
      <c r="EN150" s="8">
        <v>201180</v>
      </c>
      <c r="EO150" s="9">
        <f t="shared" si="67"/>
        <v>201180</v>
      </c>
      <c r="EP150" s="8">
        <v>209629</v>
      </c>
      <c r="EQ150" s="8">
        <v>209629</v>
      </c>
      <c r="ER150" s="8">
        <v>209629</v>
      </c>
      <c r="ES150" s="8">
        <v>209629</v>
      </c>
      <c r="ET150" s="8">
        <v>209629</v>
      </c>
      <c r="EU150" s="8">
        <v>209629</v>
      </c>
      <c r="EV150" s="8">
        <v>209629</v>
      </c>
      <c r="EW150" s="8">
        <v>209629</v>
      </c>
      <c r="EX150" s="8">
        <v>209629</v>
      </c>
      <c r="EY150" s="8">
        <v>209629</v>
      </c>
      <c r="EZ150" s="8">
        <v>209629</v>
      </c>
      <c r="FA150" s="8">
        <v>209629</v>
      </c>
      <c r="FB150" s="9">
        <f t="shared" si="68"/>
        <v>209629</v>
      </c>
      <c r="FC150" s="8">
        <v>216128</v>
      </c>
      <c r="FD150" s="8">
        <v>216128</v>
      </c>
      <c r="FE150" s="8">
        <v>216128</v>
      </c>
      <c r="FF150" s="8">
        <v>216128</v>
      </c>
      <c r="FG150" s="8">
        <v>216128</v>
      </c>
      <c r="FH150" s="8">
        <v>216128</v>
      </c>
      <c r="FI150" s="8">
        <v>216128</v>
      </c>
      <c r="FJ150" s="8"/>
      <c r="FK150" s="8"/>
      <c r="FL150" s="8"/>
      <c r="FM150" s="8"/>
      <c r="FN150" s="8"/>
      <c r="FO150" s="9">
        <f t="shared" si="69"/>
        <v>216128</v>
      </c>
    </row>
    <row r="151" spans="2:171" ht="14.25" customHeight="1" thickBot="1" x14ac:dyDescent="0.35">
      <c r="B151" s="14" t="s">
        <v>82</v>
      </c>
      <c r="C151" s="16">
        <f t="shared" ref="C151:AH151" si="70">SUM(C119:C150)</f>
        <v>16323134</v>
      </c>
      <c r="D151" s="16">
        <f t="shared" si="70"/>
        <v>16323134</v>
      </c>
      <c r="E151" s="16">
        <f t="shared" si="70"/>
        <v>16323134</v>
      </c>
      <c r="F151" s="16">
        <f t="shared" si="70"/>
        <v>16323134</v>
      </c>
      <c r="G151" s="16">
        <f t="shared" si="70"/>
        <v>16323134</v>
      </c>
      <c r="H151" s="16">
        <f t="shared" si="70"/>
        <v>16323134</v>
      </c>
      <c r="I151" s="16">
        <f t="shared" si="70"/>
        <v>16323134</v>
      </c>
      <c r="J151" s="16">
        <f t="shared" si="70"/>
        <v>16323134</v>
      </c>
      <c r="K151" s="16">
        <f t="shared" si="70"/>
        <v>16323134</v>
      </c>
      <c r="L151" s="16">
        <f t="shared" si="70"/>
        <v>16323134</v>
      </c>
      <c r="M151" s="16">
        <f t="shared" si="70"/>
        <v>16323134</v>
      </c>
      <c r="N151" s="16">
        <f t="shared" si="70"/>
        <v>16323134</v>
      </c>
      <c r="O151" s="16">
        <f t="shared" si="70"/>
        <v>16323134</v>
      </c>
      <c r="P151" s="16">
        <f t="shared" si="70"/>
        <v>18808472</v>
      </c>
      <c r="Q151" s="16">
        <f t="shared" si="70"/>
        <v>18808472</v>
      </c>
      <c r="R151" s="16">
        <f t="shared" si="70"/>
        <v>18808472</v>
      </c>
      <c r="S151" s="16">
        <f t="shared" si="70"/>
        <v>18808472</v>
      </c>
      <c r="T151" s="16">
        <f t="shared" si="70"/>
        <v>18808472</v>
      </c>
      <c r="U151" s="16">
        <f t="shared" si="70"/>
        <v>18808472</v>
      </c>
      <c r="V151" s="16">
        <f t="shared" si="70"/>
        <v>18808472</v>
      </c>
      <c r="W151" s="16">
        <f t="shared" si="70"/>
        <v>18808472</v>
      </c>
      <c r="X151" s="16">
        <f t="shared" si="70"/>
        <v>18808472</v>
      </c>
      <c r="Y151" s="16">
        <f t="shared" si="70"/>
        <v>18808472</v>
      </c>
      <c r="Z151" s="16">
        <f t="shared" si="70"/>
        <v>18808472</v>
      </c>
      <c r="AA151" s="16">
        <f t="shared" si="70"/>
        <v>18808472</v>
      </c>
      <c r="AB151" s="16">
        <f t="shared" si="70"/>
        <v>18808472</v>
      </c>
      <c r="AC151" s="16">
        <f t="shared" si="70"/>
        <v>17648535</v>
      </c>
      <c r="AD151" s="16">
        <f t="shared" si="70"/>
        <v>17648535</v>
      </c>
      <c r="AE151" s="16">
        <f t="shared" si="70"/>
        <v>17648535</v>
      </c>
      <c r="AF151" s="16">
        <f t="shared" si="70"/>
        <v>17648535</v>
      </c>
      <c r="AG151" s="16">
        <f t="shared" si="70"/>
        <v>17648535</v>
      </c>
      <c r="AH151" s="16">
        <f t="shared" si="70"/>
        <v>17648535</v>
      </c>
      <c r="AI151" s="16">
        <f t="shared" ref="AI151:BN151" si="71">SUM(AI119:AI150)</f>
        <v>17648535</v>
      </c>
      <c r="AJ151" s="16">
        <f t="shared" si="71"/>
        <v>17648535</v>
      </c>
      <c r="AK151" s="16">
        <f t="shared" si="71"/>
        <v>17648535</v>
      </c>
      <c r="AL151" s="16">
        <f t="shared" si="71"/>
        <v>17648535</v>
      </c>
      <c r="AM151" s="16">
        <f t="shared" si="71"/>
        <v>17648535</v>
      </c>
      <c r="AN151" s="16">
        <f t="shared" si="71"/>
        <v>17648535</v>
      </c>
      <c r="AO151" s="16">
        <f t="shared" si="71"/>
        <v>17648535</v>
      </c>
      <c r="AP151" s="16">
        <f t="shared" si="71"/>
        <v>20739018</v>
      </c>
      <c r="AQ151" s="16">
        <f t="shared" si="71"/>
        <v>20739018</v>
      </c>
      <c r="AR151" s="16">
        <f t="shared" si="71"/>
        <v>20739018</v>
      </c>
      <c r="AS151" s="16">
        <f t="shared" si="71"/>
        <v>20739018</v>
      </c>
      <c r="AT151" s="16">
        <f t="shared" si="71"/>
        <v>20739018</v>
      </c>
      <c r="AU151" s="16">
        <f t="shared" si="71"/>
        <v>20739018</v>
      </c>
      <c r="AV151" s="16">
        <f t="shared" si="71"/>
        <v>20739018</v>
      </c>
      <c r="AW151" s="16">
        <f t="shared" si="71"/>
        <v>20739018</v>
      </c>
      <c r="AX151" s="16">
        <f t="shared" si="71"/>
        <v>20739018</v>
      </c>
      <c r="AY151" s="16">
        <f t="shared" si="71"/>
        <v>20739018</v>
      </c>
      <c r="AZ151" s="16">
        <f t="shared" si="71"/>
        <v>20739018</v>
      </c>
      <c r="BA151" s="16">
        <f t="shared" si="71"/>
        <v>20739018</v>
      </c>
      <c r="BB151" s="16">
        <f t="shared" si="71"/>
        <v>20739018</v>
      </c>
      <c r="BC151" s="16">
        <f t="shared" si="71"/>
        <v>27245228</v>
      </c>
      <c r="BD151" s="16">
        <f t="shared" si="71"/>
        <v>27245228</v>
      </c>
      <c r="BE151" s="16">
        <f t="shared" si="71"/>
        <v>27245228</v>
      </c>
      <c r="BF151" s="16">
        <f t="shared" si="71"/>
        <v>27245228</v>
      </c>
      <c r="BG151" s="16">
        <f t="shared" si="71"/>
        <v>27245228</v>
      </c>
      <c r="BH151" s="16">
        <f t="shared" si="71"/>
        <v>27245228</v>
      </c>
      <c r="BI151" s="16">
        <f t="shared" si="71"/>
        <v>27245228</v>
      </c>
      <c r="BJ151" s="16">
        <f t="shared" si="71"/>
        <v>27245228</v>
      </c>
      <c r="BK151" s="16">
        <f t="shared" si="71"/>
        <v>27245228</v>
      </c>
      <c r="BL151" s="16">
        <f t="shared" si="71"/>
        <v>27245228</v>
      </c>
      <c r="BM151" s="16">
        <f t="shared" si="71"/>
        <v>27245228</v>
      </c>
      <c r="BN151" s="16">
        <f t="shared" si="71"/>
        <v>27245228</v>
      </c>
      <c r="BO151" s="16">
        <f t="shared" ref="BO151:CT151" si="72">SUM(BO119:BO150)</f>
        <v>27245228</v>
      </c>
      <c r="BP151" s="16">
        <f t="shared" si="72"/>
        <v>44021237</v>
      </c>
      <c r="BQ151" s="16">
        <f t="shared" si="72"/>
        <v>44021237</v>
      </c>
      <c r="BR151" s="16">
        <f t="shared" si="72"/>
        <v>44021237</v>
      </c>
      <c r="BS151" s="16">
        <f t="shared" si="72"/>
        <v>44021237</v>
      </c>
      <c r="BT151" s="16">
        <f t="shared" si="72"/>
        <v>44021237</v>
      </c>
      <c r="BU151" s="16">
        <f t="shared" si="72"/>
        <v>44021237</v>
      </c>
      <c r="BV151" s="16">
        <f t="shared" si="72"/>
        <v>44021237</v>
      </c>
      <c r="BW151" s="16">
        <f t="shared" si="72"/>
        <v>44021237</v>
      </c>
      <c r="BX151" s="16">
        <f t="shared" si="72"/>
        <v>44021237</v>
      </c>
      <c r="BY151" s="16">
        <f t="shared" si="72"/>
        <v>44021237</v>
      </c>
      <c r="BZ151" s="16">
        <f t="shared" si="72"/>
        <v>44021237</v>
      </c>
      <c r="CA151" s="16">
        <f t="shared" si="72"/>
        <v>44021237</v>
      </c>
      <c r="CB151" s="16">
        <f t="shared" si="72"/>
        <v>44021237</v>
      </c>
      <c r="CC151" s="16">
        <f t="shared" si="72"/>
        <v>72524653</v>
      </c>
      <c r="CD151" s="16">
        <f t="shared" si="72"/>
        <v>72524653</v>
      </c>
      <c r="CE151" s="16">
        <f t="shared" si="72"/>
        <v>72524653</v>
      </c>
      <c r="CF151" s="16">
        <f t="shared" si="72"/>
        <v>72524653</v>
      </c>
      <c r="CG151" s="16">
        <f t="shared" si="72"/>
        <v>72524653</v>
      </c>
      <c r="CH151" s="16">
        <f t="shared" si="72"/>
        <v>72524653</v>
      </c>
      <c r="CI151" s="16">
        <f t="shared" si="72"/>
        <v>72524653</v>
      </c>
      <c r="CJ151" s="16">
        <f t="shared" si="72"/>
        <v>72524653</v>
      </c>
      <c r="CK151" s="16">
        <f t="shared" si="72"/>
        <v>72524653</v>
      </c>
      <c r="CL151" s="16">
        <f t="shared" si="72"/>
        <v>72524653</v>
      </c>
      <c r="CM151" s="16">
        <f t="shared" si="72"/>
        <v>72524653</v>
      </c>
      <c r="CN151" s="16">
        <f t="shared" si="72"/>
        <v>72524653</v>
      </c>
      <c r="CO151" s="16">
        <f t="shared" si="72"/>
        <v>72524653</v>
      </c>
      <c r="CP151" s="16">
        <f t="shared" si="72"/>
        <v>54574953</v>
      </c>
      <c r="CQ151" s="16">
        <f t="shared" si="72"/>
        <v>54574953</v>
      </c>
      <c r="CR151" s="16">
        <f t="shared" si="72"/>
        <v>54574953</v>
      </c>
      <c r="CS151" s="16">
        <f t="shared" si="72"/>
        <v>54574953</v>
      </c>
      <c r="CT151" s="16">
        <f t="shared" si="72"/>
        <v>54574953</v>
      </c>
      <c r="CU151" s="16">
        <f t="shared" ref="CU151:DZ151" si="73">SUM(CU119:CU150)</f>
        <v>54574953</v>
      </c>
      <c r="CV151" s="16">
        <f t="shared" si="73"/>
        <v>54574953</v>
      </c>
      <c r="CW151" s="16">
        <f t="shared" si="73"/>
        <v>54574953</v>
      </c>
      <c r="CX151" s="16">
        <f t="shared" si="73"/>
        <v>54574953</v>
      </c>
      <c r="CY151" s="16">
        <f t="shared" si="73"/>
        <v>54574953</v>
      </c>
      <c r="CZ151" s="16">
        <f t="shared" si="73"/>
        <v>54574953</v>
      </c>
      <c r="DA151" s="16">
        <f t="shared" si="73"/>
        <v>54574953</v>
      </c>
      <c r="DB151" s="16">
        <f t="shared" si="73"/>
        <v>54574953</v>
      </c>
      <c r="DC151" s="16">
        <f t="shared" si="73"/>
        <v>80547833</v>
      </c>
      <c r="DD151" s="16">
        <f t="shared" si="73"/>
        <v>80547833</v>
      </c>
      <c r="DE151" s="16">
        <f t="shared" si="73"/>
        <v>80547833</v>
      </c>
      <c r="DF151" s="16">
        <f t="shared" si="73"/>
        <v>80547833</v>
      </c>
      <c r="DG151" s="16">
        <f t="shared" si="73"/>
        <v>80547833</v>
      </c>
      <c r="DH151" s="16">
        <f t="shared" si="73"/>
        <v>80547833</v>
      </c>
      <c r="DI151" s="16">
        <f t="shared" si="73"/>
        <v>80547833</v>
      </c>
      <c r="DJ151" s="16">
        <f t="shared" si="73"/>
        <v>80547833</v>
      </c>
      <c r="DK151" s="16">
        <f t="shared" si="73"/>
        <v>80547833</v>
      </c>
      <c r="DL151" s="16">
        <f t="shared" si="73"/>
        <v>80547833</v>
      </c>
      <c r="DM151" s="16">
        <f t="shared" si="73"/>
        <v>80547833</v>
      </c>
      <c r="DN151" s="16">
        <f t="shared" si="73"/>
        <v>80547833</v>
      </c>
      <c r="DO151" s="16">
        <f t="shared" si="73"/>
        <v>80547833</v>
      </c>
      <c r="DP151" s="16">
        <f t="shared" si="73"/>
        <v>80801508</v>
      </c>
      <c r="DQ151" s="16">
        <f t="shared" si="73"/>
        <v>80801508</v>
      </c>
      <c r="DR151" s="16">
        <f t="shared" si="73"/>
        <v>80801508</v>
      </c>
      <c r="DS151" s="16">
        <f t="shared" si="73"/>
        <v>80801508</v>
      </c>
      <c r="DT151" s="16">
        <f t="shared" si="73"/>
        <v>80801508</v>
      </c>
      <c r="DU151" s="16">
        <f t="shared" si="73"/>
        <v>80801508</v>
      </c>
      <c r="DV151" s="16">
        <f t="shared" si="73"/>
        <v>80801508</v>
      </c>
      <c r="DW151" s="16">
        <f t="shared" si="73"/>
        <v>80801508</v>
      </c>
      <c r="DX151" s="16">
        <f t="shared" si="73"/>
        <v>80801508</v>
      </c>
      <c r="DY151" s="16">
        <f t="shared" si="73"/>
        <v>80801508</v>
      </c>
      <c r="DZ151" s="16">
        <f t="shared" si="73"/>
        <v>80801508</v>
      </c>
      <c r="EA151" s="16">
        <f t="shared" ref="EA151:FF151" si="74">SUM(EA119:EA150)</f>
        <v>80801508</v>
      </c>
      <c r="EB151" s="16">
        <f t="shared" si="74"/>
        <v>80801508</v>
      </c>
      <c r="EC151" s="16">
        <f t="shared" si="74"/>
        <v>57373065</v>
      </c>
      <c r="ED151" s="16">
        <f t="shared" si="74"/>
        <v>57373065</v>
      </c>
      <c r="EE151" s="16">
        <f t="shared" si="74"/>
        <v>57373065</v>
      </c>
      <c r="EF151" s="16">
        <f t="shared" si="74"/>
        <v>57373065</v>
      </c>
      <c r="EG151" s="16">
        <f t="shared" si="74"/>
        <v>57373065</v>
      </c>
      <c r="EH151" s="16">
        <f t="shared" si="74"/>
        <v>57373065</v>
      </c>
      <c r="EI151" s="16">
        <f t="shared" si="74"/>
        <v>57373065</v>
      </c>
      <c r="EJ151" s="16">
        <f t="shared" si="74"/>
        <v>57373065</v>
      </c>
      <c r="EK151" s="16">
        <f t="shared" si="74"/>
        <v>57373065</v>
      </c>
      <c r="EL151" s="16">
        <f t="shared" si="74"/>
        <v>57373065</v>
      </c>
      <c r="EM151" s="16">
        <f t="shared" si="74"/>
        <v>57373065</v>
      </c>
      <c r="EN151" s="16">
        <f t="shared" si="74"/>
        <v>57373065</v>
      </c>
      <c r="EO151" s="16">
        <f t="shared" si="74"/>
        <v>57373065</v>
      </c>
      <c r="EP151" s="16">
        <f t="shared" si="74"/>
        <v>70400144</v>
      </c>
      <c r="EQ151" s="16">
        <f t="shared" si="74"/>
        <v>70400144</v>
      </c>
      <c r="ER151" s="16">
        <f t="shared" si="74"/>
        <v>70400144</v>
      </c>
      <c r="ES151" s="16">
        <f t="shared" si="74"/>
        <v>70400144</v>
      </c>
      <c r="ET151" s="16">
        <f t="shared" si="74"/>
        <v>70400144</v>
      </c>
      <c r="EU151" s="16">
        <f t="shared" si="74"/>
        <v>70400144</v>
      </c>
      <c r="EV151" s="16">
        <f t="shared" si="74"/>
        <v>70400144</v>
      </c>
      <c r="EW151" s="16">
        <f t="shared" si="74"/>
        <v>70400144</v>
      </c>
      <c r="EX151" s="16">
        <f t="shared" si="74"/>
        <v>70400144</v>
      </c>
      <c r="EY151" s="16">
        <f t="shared" si="74"/>
        <v>70400144</v>
      </c>
      <c r="EZ151" s="16">
        <f t="shared" si="74"/>
        <v>70400144</v>
      </c>
      <c r="FA151" s="16">
        <f t="shared" si="74"/>
        <v>70400144</v>
      </c>
      <c r="FB151" s="16">
        <f t="shared" si="74"/>
        <v>70400144</v>
      </c>
      <c r="FC151" s="16">
        <f t="shared" si="74"/>
        <v>68987694</v>
      </c>
      <c r="FD151" s="16">
        <f t="shared" si="74"/>
        <v>68987694</v>
      </c>
      <c r="FE151" s="16">
        <f t="shared" si="74"/>
        <v>68987694</v>
      </c>
      <c r="FF151" s="16">
        <f t="shared" si="74"/>
        <v>68987694</v>
      </c>
      <c r="FG151" s="16">
        <f t="shared" ref="FG151:GL151" si="75">SUM(FG119:FG150)</f>
        <v>68987694</v>
      </c>
      <c r="FH151" s="16">
        <f t="shared" si="75"/>
        <v>68987694</v>
      </c>
      <c r="FI151" s="16">
        <f t="shared" si="75"/>
        <v>68987694</v>
      </c>
      <c r="FJ151" s="16">
        <f t="shared" si="75"/>
        <v>0</v>
      </c>
      <c r="FK151" s="16">
        <f t="shared" si="75"/>
        <v>0</v>
      </c>
      <c r="FL151" s="16">
        <f t="shared" si="75"/>
        <v>0</v>
      </c>
      <c r="FM151" s="16">
        <f t="shared" si="75"/>
        <v>0</v>
      </c>
      <c r="FN151" s="16">
        <f t="shared" si="75"/>
        <v>0</v>
      </c>
      <c r="FO151" s="16">
        <f t="shared" si="75"/>
        <v>68987694</v>
      </c>
    </row>
    <row r="152" spans="2:171" ht="14.25" customHeight="1" x14ac:dyDescent="0.3">
      <c r="B152" s="4" t="s">
        <v>83</v>
      </c>
    </row>
    <row r="153" spans="2:171" ht="14.25" customHeight="1" x14ac:dyDescent="0.3">
      <c r="C153" s="38" t="s">
        <v>4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8" t="s">
        <v>5</v>
      </c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8" t="s">
        <v>6</v>
      </c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8" t="s">
        <v>7</v>
      </c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8" t="s">
        <v>8</v>
      </c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8" t="s">
        <v>9</v>
      </c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8" t="s">
        <v>10</v>
      </c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8" t="s">
        <v>11</v>
      </c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8" t="s">
        <v>12</v>
      </c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8" t="s">
        <v>13</v>
      </c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8" t="s">
        <v>14</v>
      </c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8" t="s">
        <v>15</v>
      </c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8" t="s">
        <v>16</v>
      </c>
      <c r="FD153" s="39"/>
      <c r="FE153" s="39"/>
      <c r="FF153" s="39"/>
      <c r="FG153" s="39"/>
      <c r="FH153" s="39"/>
      <c r="FI153" s="39"/>
      <c r="FJ153" s="39"/>
      <c r="FK153" s="39"/>
      <c r="FL153" s="39"/>
      <c r="FM153" s="39"/>
      <c r="FN153" s="39"/>
      <c r="FO153" s="39"/>
    </row>
    <row r="154" spans="2:171" ht="14.25" customHeight="1" x14ac:dyDescent="0.3">
      <c r="B154" s="5" t="s">
        <v>17</v>
      </c>
      <c r="C154" s="6" t="s">
        <v>18</v>
      </c>
      <c r="D154" s="6" t="s">
        <v>19</v>
      </c>
      <c r="E154" s="6" t="s">
        <v>20</v>
      </c>
      <c r="F154" s="6" t="s">
        <v>21</v>
      </c>
      <c r="G154" s="6" t="s">
        <v>22</v>
      </c>
      <c r="H154" s="6" t="s">
        <v>23</v>
      </c>
      <c r="I154" s="6" t="s">
        <v>24</v>
      </c>
      <c r="J154" s="6" t="s">
        <v>25</v>
      </c>
      <c r="K154" s="6" t="s">
        <v>26</v>
      </c>
      <c r="L154" s="6" t="s">
        <v>27</v>
      </c>
      <c r="M154" s="6" t="s">
        <v>28</v>
      </c>
      <c r="N154" s="6" t="s">
        <v>29</v>
      </c>
      <c r="O154" s="6" t="s">
        <v>30</v>
      </c>
      <c r="P154" s="6" t="s">
        <v>18</v>
      </c>
      <c r="Q154" s="6" t="s">
        <v>19</v>
      </c>
      <c r="R154" s="6" t="s">
        <v>20</v>
      </c>
      <c r="S154" s="6" t="s">
        <v>21</v>
      </c>
      <c r="T154" s="6" t="s">
        <v>22</v>
      </c>
      <c r="U154" s="6" t="s">
        <v>23</v>
      </c>
      <c r="V154" s="6" t="s">
        <v>24</v>
      </c>
      <c r="W154" s="6" t="s">
        <v>25</v>
      </c>
      <c r="X154" s="6" t="s">
        <v>26</v>
      </c>
      <c r="Y154" s="6" t="s">
        <v>27</v>
      </c>
      <c r="Z154" s="6" t="s">
        <v>28</v>
      </c>
      <c r="AA154" s="6" t="s">
        <v>29</v>
      </c>
      <c r="AB154" s="6" t="s">
        <v>31</v>
      </c>
      <c r="AC154" s="6" t="s">
        <v>18</v>
      </c>
      <c r="AD154" s="6" t="s">
        <v>19</v>
      </c>
      <c r="AE154" s="6" t="s">
        <v>20</v>
      </c>
      <c r="AF154" s="6" t="s">
        <v>21</v>
      </c>
      <c r="AG154" s="6" t="s">
        <v>22</v>
      </c>
      <c r="AH154" s="6" t="s">
        <v>23</v>
      </c>
      <c r="AI154" s="6" t="s">
        <v>24</v>
      </c>
      <c r="AJ154" s="6" t="s">
        <v>25</v>
      </c>
      <c r="AK154" s="6" t="s">
        <v>26</v>
      </c>
      <c r="AL154" s="6" t="s">
        <v>27</v>
      </c>
      <c r="AM154" s="6" t="s">
        <v>28</v>
      </c>
      <c r="AN154" s="6" t="s">
        <v>29</v>
      </c>
      <c r="AO154" s="6" t="s">
        <v>32</v>
      </c>
      <c r="AP154" s="6" t="s">
        <v>18</v>
      </c>
      <c r="AQ154" s="6" t="s">
        <v>19</v>
      </c>
      <c r="AR154" s="6" t="s">
        <v>20</v>
      </c>
      <c r="AS154" s="6" t="s">
        <v>21</v>
      </c>
      <c r="AT154" s="6" t="s">
        <v>22</v>
      </c>
      <c r="AU154" s="6" t="s">
        <v>23</v>
      </c>
      <c r="AV154" s="6" t="s">
        <v>24</v>
      </c>
      <c r="AW154" s="6" t="s">
        <v>25</v>
      </c>
      <c r="AX154" s="6" t="s">
        <v>26</v>
      </c>
      <c r="AY154" s="6" t="s">
        <v>27</v>
      </c>
      <c r="AZ154" s="6" t="s">
        <v>28</v>
      </c>
      <c r="BA154" s="6" t="s">
        <v>29</v>
      </c>
      <c r="BB154" s="6" t="s">
        <v>33</v>
      </c>
      <c r="BC154" s="6" t="s">
        <v>18</v>
      </c>
      <c r="BD154" s="6" t="s">
        <v>19</v>
      </c>
      <c r="BE154" s="6" t="s">
        <v>20</v>
      </c>
      <c r="BF154" s="6" t="s">
        <v>21</v>
      </c>
      <c r="BG154" s="6" t="s">
        <v>22</v>
      </c>
      <c r="BH154" s="6" t="s">
        <v>23</v>
      </c>
      <c r="BI154" s="6" t="s">
        <v>24</v>
      </c>
      <c r="BJ154" s="6" t="s">
        <v>25</v>
      </c>
      <c r="BK154" s="6" t="s">
        <v>26</v>
      </c>
      <c r="BL154" s="6" t="s">
        <v>27</v>
      </c>
      <c r="BM154" s="6" t="s">
        <v>28</v>
      </c>
      <c r="BN154" s="6" t="s">
        <v>29</v>
      </c>
      <c r="BO154" s="6" t="s">
        <v>34</v>
      </c>
      <c r="BP154" s="6" t="s">
        <v>18</v>
      </c>
      <c r="BQ154" s="6" t="s">
        <v>19</v>
      </c>
      <c r="BR154" s="6" t="s">
        <v>20</v>
      </c>
      <c r="BS154" s="6" t="s">
        <v>21</v>
      </c>
      <c r="BT154" s="6" t="s">
        <v>22</v>
      </c>
      <c r="BU154" s="6" t="s">
        <v>23</v>
      </c>
      <c r="BV154" s="6" t="s">
        <v>24</v>
      </c>
      <c r="BW154" s="6" t="s">
        <v>25</v>
      </c>
      <c r="BX154" s="6" t="s">
        <v>26</v>
      </c>
      <c r="BY154" s="6" t="s">
        <v>27</v>
      </c>
      <c r="BZ154" s="6" t="s">
        <v>28</v>
      </c>
      <c r="CA154" s="6" t="s">
        <v>29</v>
      </c>
      <c r="CB154" s="6" t="s">
        <v>35</v>
      </c>
      <c r="CC154" s="6" t="s">
        <v>18</v>
      </c>
      <c r="CD154" s="6" t="s">
        <v>19</v>
      </c>
      <c r="CE154" s="6" t="s">
        <v>20</v>
      </c>
      <c r="CF154" s="6" t="s">
        <v>21</v>
      </c>
      <c r="CG154" s="6" t="s">
        <v>22</v>
      </c>
      <c r="CH154" s="6" t="s">
        <v>23</v>
      </c>
      <c r="CI154" s="6" t="s">
        <v>24</v>
      </c>
      <c r="CJ154" s="6" t="s">
        <v>25</v>
      </c>
      <c r="CK154" s="6" t="s">
        <v>26</v>
      </c>
      <c r="CL154" s="6" t="s">
        <v>27</v>
      </c>
      <c r="CM154" s="6" t="s">
        <v>28</v>
      </c>
      <c r="CN154" s="6" t="s">
        <v>29</v>
      </c>
      <c r="CO154" s="6" t="s">
        <v>36</v>
      </c>
      <c r="CP154" s="6" t="s">
        <v>18</v>
      </c>
      <c r="CQ154" s="6" t="s">
        <v>19</v>
      </c>
      <c r="CR154" s="6" t="s">
        <v>20</v>
      </c>
      <c r="CS154" s="6" t="s">
        <v>21</v>
      </c>
      <c r="CT154" s="6" t="s">
        <v>22</v>
      </c>
      <c r="CU154" s="6" t="s">
        <v>23</v>
      </c>
      <c r="CV154" s="6" t="s">
        <v>24</v>
      </c>
      <c r="CW154" s="6" t="s">
        <v>25</v>
      </c>
      <c r="CX154" s="6" t="s">
        <v>26</v>
      </c>
      <c r="CY154" s="6" t="s">
        <v>27</v>
      </c>
      <c r="CZ154" s="6" t="s">
        <v>28</v>
      </c>
      <c r="DA154" s="6" t="s">
        <v>29</v>
      </c>
      <c r="DB154" s="6" t="s">
        <v>37</v>
      </c>
      <c r="DC154" s="6" t="s">
        <v>18</v>
      </c>
      <c r="DD154" s="6" t="s">
        <v>19</v>
      </c>
      <c r="DE154" s="6" t="s">
        <v>20</v>
      </c>
      <c r="DF154" s="6" t="s">
        <v>21</v>
      </c>
      <c r="DG154" s="6" t="s">
        <v>22</v>
      </c>
      <c r="DH154" s="6" t="s">
        <v>23</v>
      </c>
      <c r="DI154" s="6" t="s">
        <v>24</v>
      </c>
      <c r="DJ154" s="6" t="s">
        <v>25</v>
      </c>
      <c r="DK154" s="6" t="s">
        <v>26</v>
      </c>
      <c r="DL154" s="6" t="s">
        <v>27</v>
      </c>
      <c r="DM154" s="6" t="s">
        <v>28</v>
      </c>
      <c r="DN154" s="6" t="s">
        <v>29</v>
      </c>
      <c r="DO154" s="6" t="s">
        <v>38</v>
      </c>
      <c r="DP154" s="6" t="s">
        <v>18</v>
      </c>
      <c r="DQ154" s="6" t="s">
        <v>19</v>
      </c>
      <c r="DR154" s="6" t="s">
        <v>20</v>
      </c>
      <c r="DS154" s="6" t="s">
        <v>21</v>
      </c>
      <c r="DT154" s="6" t="s">
        <v>22</v>
      </c>
      <c r="DU154" s="6" t="s">
        <v>23</v>
      </c>
      <c r="DV154" s="6" t="s">
        <v>24</v>
      </c>
      <c r="DW154" s="6" t="s">
        <v>25</v>
      </c>
      <c r="DX154" s="6" t="s">
        <v>26</v>
      </c>
      <c r="DY154" s="6" t="s">
        <v>27</v>
      </c>
      <c r="DZ154" s="6" t="s">
        <v>28</v>
      </c>
      <c r="EA154" s="6" t="s">
        <v>29</v>
      </c>
      <c r="EB154" s="6" t="s">
        <v>39</v>
      </c>
      <c r="EC154" s="6" t="s">
        <v>18</v>
      </c>
      <c r="ED154" s="6" t="s">
        <v>19</v>
      </c>
      <c r="EE154" s="6" t="s">
        <v>20</v>
      </c>
      <c r="EF154" s="6" t="s">
        <v>21</v>
      </c>
      <c r="EG154" s="6" t="s">
        <v>22</v>
      </c>
      <c r="EH154" s="6" t="s">
        <v>23</v>
      </c>
      <c r="EI154" s="6" t="s">
        <v>24</v>
      </c>
      <c r="EJ154" s="6" t="s">
        <v>25</v>
      </c>
      <c r="EK154" s="6" t="s">
        <v>26</v>
      </c>
      <c r="EL154" s="6" t="s">
        <v>27</v>
      </c>
      <c r="EM154" s="6" t="s">
        <v>28</v>
      </c>
      <c r="EN154" s="6" t="s">
        <v>29</v>
      </c>
      <c r="EO154" s="6" t="s">
        <v>40</v>
      </c>
      <c r="EP154" s="6" t="s">
        <v>18</v>
      </c>
      <c r="EQ154" s="6" t="s">
        <v>19</v>
      </c>
      <c r="ER154" s="6" t="s">
        <v>20</v>
      </c>
      <c r="ES154" s="6" t="s">
        <v>21</v>
      </c>
      <c r="ET154" s="6" t="s">
        <v>22</v>
      </c>
      <c r="EU154" s="6" t="s">
        <v>23</v>
      </c>
      <c r="EV154" s="6" t="s">
        <v>24</v>
      </c>
      <c r="EW154" s="6" t="s">
        <v>25</v>
      </c>
      <c r="EX154" s="6" t="s">
        <v>26</v>
      </c>
      <c r="EY154" s="6" t="s">
        <v>27</v>
      </c>
      <c r="EZ154" s="6" t="s">
        <v>28</v>
      </c>
      <c r="FA154" s="6" t="s">
        <v>29</v>
      </c>
      <c r="FB154" s="6" t="s">
        <v>41</v>
      </c>
      <c r="FC154" s="6" t="s">
        <v>18</v>
      </c>
      <c r="FD154" s="6" t="s">
        <v>19</v>
      </c>
      <c r="FE154" s="6" t="s">
        <v>20</v>
      </c>
      <c r="FF154" s="6" t="s">
        <v>21</v>
      </c>
      <c r="FG154" s="6" t="s">
        <v>22</v>
      </c>
      <c r="FH154" s="6" t="s">
        <v>23</v>
      </c>
      <c r="FI154" s="6" t="s">
        <v>24</v>
      </c>
      <c r="FJ154" s="6" t="s">
        <v>25</v>
      </c>
      <c r="FK154" s="6" t="s">
        <v>26</v>
      </c>
      <c r="FL154" s="6" t="s">
        <v>27</v>
      </c>
      <c r="FM154" s="6" t="s">
        <v>28</v>
      </c>
      <c r="FN154" s="6" t="s">
        <v>29</v>
      </c>
      <c r="FO154" s="6" t="s">
        <v>42</v>
      </c>
    </row>
    <row r="155" spans="2:171" ht="14.25" customHeight="1" x14ac:dyDescent="0.3">
      <c r="B155" s="7" t="s">
        <v>43</v>
      </c>
      <c r="C155" s="8">
        <v>2783719</v>
      </c>
      <c r="D155" s="8">
        <v>2783719</v>
      </c>
      <c r="E155" s="8">
        <v>2783719</v>
      </c>
      <c r="F155" s="8">
        <v>2783719</v>
      </c>
      <c r="G155" s="8">
        <v>2783719</v>
      </c>
      <c r="H155" s="8">
        <v>2844719</v>
      </c>
      <c r="I155" s="8">
        <v>2844719</v>
      </c>
      <c r="J155" s="8">
        <v>2844719</v>
      </c>
      <c r="K155" s="8">
        <v>2844719</v>
      </c>
      <c r="L155" s="8">
        <v>2844719</v>
      </c>
      <c r="M155" s="8">
        <v>2844719</v>
      </c>
      <c r="N155" s="8">
        <v>3512026</v>
      </c>
      <c r="O155" s="9">
        <f t="shared" ref="O155:O186" si="76">N155</f>
        <v>3512026</v>
      </c>
      <c r="P155" s="8">
        <v>1773229</v>
      </c>
      <c r="Q155" s="8">
        <v>1773229</v>
      </c>
      <c r="R155" s="8">
        <v>1773229</v>
      </c>
      <c r="S155" s="8">
        <v>1773229</v>
      </c>
      <c r="T155" s="8">
        <v>1773229</v>
      </c>
      <c r="U155" s="8">
        <v>1773229</v>
      </c>
      <c r="V155" s="8">
        <v>1773229</v>
      </c>
      <c r="W155" s="8">
        <v>1774756</v>
      </c>
      <c r="X155" s="8">
        <v>2777756</v>
      </c>
      <c r="Y155" s="8">
        <v>2777756</v>
      </c>
      <c r="Z155" s="8">
        <v>2777756</v>
      </c>
      <c r="AA155" s="8">
        <v>2632756</v>
      </c>
      <c r="AB155" s="9">
        <f t="shared" ref="AB155:AB186" si="77">AA155</f>
        <v>2632756</v>
      </c>
      <c r="AC155" s="8">
        <v>2883073</v>
      </c>
      <c r="AD155" s="8">
        <v>2883073</v>
      </c>
      <c r="AE155" s="8">
        <v>2883073</v>
      </c>
      <c r="AF155" s="8">
        <v>2883073</v>
      </c>
      <c r="AG155" s="8">
        <v>2883073</v>
      </c>
      <c r="AH155" s="8">
        <v>2883073</v>
      </c>
      <c r="AI155" s="8">
        <v>2883073</v>
      </c>
      <c r="AJ155" s="8">
        <v>2883073</v>
      </c>
      <c r="AK155" s="8">
        <v>2803314</v>
      </c>
      <c r="AL155" s="8">
        <v>2803314</v>
      </c>
      <c r="AM155" s="8">
        <v>2803314</v>
      </c>
      <c r="AN155" s="8">
        <v>2805456</v>
      </c>
      <c r="AO155" s="9">
        <f t="shared" ref="AO155:AO186" si="78">AN155</f>
        <v>2805456</v>
      </c>
      <c r="AP155" s="8">
        <v>2166982</v>
      </c>
      <c r="AQ155" s="8">
        <v>2166982</v>
      </c>
      <c r="AR155" s="8">
        <v>2166982</v>
      </c>
      <c r="AS155" s="8">
        <v>2166982</v>
      </c>
      <c r="AT155" s="8">
        <v>2166982</v>
      </c>
      <c r="AU155" s="8">
        <v>2166982</v>
      </c>
      <c r="AV155" s="8">
        <v>2166982</v>
      </c>
      <c r="AW155" s="8">
        <v>2166982</v>
      </c>
      <c r="AX155" s="8">
        <v>2166982</v>
      </c>
      <c r="AY155" s="8">
        <v>2166982</v>
      </c>
      <c r="AZ155" s="8">
        <v>2166982</v>
      </c>
      <c r="BA155" s="8">
        <v>2166982</v>
      </c>
      <c r="BB155" s="9">
        <f t="shared" ref="BB155:BB186" si="79">BA155</f>
        <v>2166982</v>
      </c>
      <c r="BC155" s="8">
        <v>2101547</v>
      </c>
      <c r="BD155" s="8">
        <v>2101547</v>
      </c>
      <c r="BE155" s="8">
        <v>2101547</v>
      </c>
      <c r="BF155" s="8">
        <v>2101547</v>
      </c>
      <c r="BG155" s="8">
        <v>2101547</v>
      </c>
      <c r="BH155" s="8">
        <v>2101547</v>
      </c>
      <c r="BI155" s="8">
        <v>1857122</v>
      </c>
      <c r="BJ155" s="8">
        <v>1857122</v>
      </c>
      <c r="BK155" s="8">
        <v>1857122</v>
      </c>
      <c r="BL155" s="8">
        <v>1857122</v>
      </c>
      <c r="BM155" s="8">
        <v>1857122</v>
      </c>
      <c r="BN155" s="8">
        <v>1857122</v>
      </c>
      <c r="BO155" s="9">
        <f t="shared" ref="BO155:BO186" si="80">BN155</f>
        <v>1857122</v>
      </c>
      <c r="BP155" s="8">
        <v>423742</v>
      </c>
      <c r="BQ155" s="8">
        <v>423742</v>
      </c>
      <c r="BR155" s="8">
        <v>423742</v>
      </c>
      <c r="BS155" s="8">
        <v>423742</v>
      </c>
      <c r="BT155" s="8">
        <v>423742</v>
      </c>
      <c r="BU155" s="8">
        <v>423742</v>
      </c>
      <c r="BV155" s="8">
        <v>423742</v>
      </c>
      <c r="BW155" s="8">
        <v>423742</v>
      </c>
      <c r="BX155" s="8">
        <v>423742</v>
      </c>
      <c r="BY155" s="8">
        <v>423742</v>
      </c>
      <c r="BZ155" s="8">
        <v>423742</v>
      </c>
      <c r="CA155" s="8">
        <v>423742</v>
      </c>
      <c r="CB155" s="9">
        <f t="shared" ref="CB155:CB186" si="81">CA155</f>
        <v>423742</v>
      </c>
      <c r="CC155" s="8">
        <v>1120574</v>
      </c>
      <c r="CD155" s="8">
        <v>1120574</v>
      </c>
      <c r="CE155" s="8">
        <v>1120574</v>
      </c>
      <c r="CF155" s="8">
        <v>1120574</v>
      </c>
      <c r="CG155" s="8">
        <v>1120574</v>
      </c>
      <c r="CH155" s="8">
        <v>1120574</v>
      </c>
      <c r="CI155" s="8">
        <v>2062273</v>
      </c>
      <c r="CJ155" s="8">
        <v>2062273</v>
      </c>
      <c r="CK155" s="8">
        <v>2062273</v>
      </c>
      <c r="CL155" s="8">
        <v>2062273</v>
      </c>
      <c r="CM155" s="8">
        <v>2062273</v>
      </c>
      <c r="CN155" s="8">
        <v>1977173</v>
      </c>
      <c r="CO155" s="9">
        <f t="shared" ref="CO155:CO186" si="82">CN155</f>
        <v>1977173</v>
      </c>
      <c r="CP155" s="8">
        <v>591755</v>
      </c>
      <c r="CQ155" s="8">
        <v>591755</v>
      </c>
      <c r="CR155" s="8">
        <v>1238335</v>
      </c>
      <c r="CS155" s="8">
        <v>1238335</v>
      </c>
      <c r="CT155" s="8">
        <v>1238335</v>
      </c>
      <c r="CU155" s="8">
        <v>1238335</v>
      </c>
      <c r="CV155" s="8">
        <v>1320513</v>
      </c>
      <c r="CW155" s="8">
        <v>1320513</v>
      </c>
      <c r="CX155" s="8">
        <v>1320513</v>
      </c>
      <c r="CY155" s="8">
        <v>1879775</v>
      </c>
      <c r="CZ155" s="8">
        <v>1879775</v>
      </c>
      <c r="DA155" s="8">
        <v>1730212</v>
      </c>
      <c r="DB155" s="9">
        <f t="shared" ref="DB155:DB186" si="83">DA155</f>
        <v>1730212</v>
      </c>
      <c r="DC155" s="8">
        <v>357119</v>
      </c>
      <c r="DD155" s="8">
        <v>357119</v>
      </c>
      <c r="DE155" s="8">
        <v>357119</v>
      </c>
      <c r="DF155" s="8">
        <v>357119</v>
      </c>
      <c r="DG155" s="8">
        <v>357119</v>
      </c>
      <c r="DH155" s="8">
        <v>357119</v>
      </c>
      <c r="DI155" s="8">
        <v>357119</v>
      </c>
      <c r="DJ155" s="8">
        <v>1355672</v>
      </c>
      <c r="DK155" s="8">
        <v>1355672</v>
      </c>
      <c r="DL155" s="8">
        <v>1355672</v>
      </c>
      <c r="DM155" s="8">
        <v>1355672</v>
      </c>
      <c r="DN155" s="8">
        <v>1320987</v>
      </c>
      <c r="DO155" s="9">
        <f t="shared" ref="DO155:DO186" si="84">DN155</f>
        <v>1320987</v>
      </c>
      <c r="DP155" s="8">
        <v>1836870</v>
      </c>
      <c r="DQ155" s="8">
        <v>1836870</v>
      </c>
      <c r="DR155" s="8">
        <v>1836870</v>
      </c>
      <c r="DS155" s="8">
        <v>2205041</v>
      </c>
      <c r="DT155" s="8">
        <v>2205041</v>
      </c>
      <c r="DU155" s="8">
        <v>2205041</v>
      </c>
      <c r="DV155" s="8">
        <v>2205041</v>
      </c>
      <c r="DW155" s="8">
        <v>2205041</v>
      </c>
      <c r="DX155" s="8">
        <v>2205041</v>
      </c>
      <c r="DY155" s="8">
        <v>2205041</v>
      </c>
      <c r="DZ155" s="8">
        <v>2205041</v>
      </c>
      <c r="EA155" s="8">
        <v>2258745</v>
      </c>
      <c r="EB155" s="9">
        <f t="shared" ref="EB155:EB186" si="85">EA155</f>
        <v>2258745</v>
      </c>
      <c r="EC155" s="8">
        <v>1306612</v>
      </c>
      <c r="ED155" s="8">
        <v>1306612</v>
      </c>
      <c r="EE155" s="8">
        <v>1306612</v>
      </c>
      <c r="EF155" s="8">
        <v>1306612</v>
      </c>
      <c r="EG155" s="8">
        <v>1306612</v>
      </c>
      <c r="EH155" s="8">
        <v>2289220</v>
      </c>
      <c r="EI155" s="8">
        <v>2289220</v>
      </c>
      <c r="EJ155" s="8">
        <v>2289220</v>
      </c>
      <c r="EK155" s="8">
        <v>2289220</v>
      </c>
      <c r="EL155" s="8">
        <v>2289220</v>
      </c>
      <c r="EM155" s="8">
        <v>2074245</v>
      </c>
      <c r="EN155" s="8">
        <v>1895469</v>
      </c>
      <c r="EO155" s="9">
        <f t="shared" ref="EO155:EO186" si="86">EN155</f>
        <v>1895469</v>
      </c>
      <c r="EP155" s="8">
        <v>2214895</v>
      </c>
      <c r="EQ155" s="8">
        <v>2214895</v>
      </c>
      <c r="ER155" s="8">
        <v>2214895</v>
      </c>
      <c r="ES155" s="8">
        <v>2214895</v>
      </c>
      <c r="ET155" s="8">
        <v>2214895</v>
      </c>
      <c r="EU155" s="8">
        <v>2214895</v>
      </c>
      <c r="EV155" s="8">
        <v>2214895</v>
      </c>
      <c r="EW155" s="8">
        <v>2214895</v>
      </c>
      <c r="EX155" s="8">
        <v>2214895</v>
      </c>
      <c r="EY155" s="8">
        <v>2214895</v>
      </c>
      <c r="EZ155" s="8">
        <v>1884304</v>
      </c>
      <c r="FA155" s="8">
        <v>1832451</v>
      </c>
      <c r="FB155" s="9">
        <f t="shared" ref="FB155:FB186" si="87">FA155</f>
        <v>1832451</v>
      </c>
      <c r="FC155" s="8">
        <v>1538024</v>
      </c>
      <c r="FD155" s="8">
        <v>1538024</v>
      </c>
      <c r="FE155" s="8">
        <v>1538024</v>
      </c>
      <c r="FF155" s="8">
        <v>1538024</v>
      </c>
      <c r="FG155" s="8">
        <v>1491883</v>
      </c>
      <c r="FH155" s="8">
        <v>1491883</v>
      </c>
      <c r="FI155" s="8">
        <v>1491883</v>
      </c>
      <c r="FJ155" s="8"/>
      <c r="FK155" s="8"/>
      <c r="FL155" s="8"/>
      <c r="FM155" s="8"/>
      <c r="FN155" s="8"/>
      <c r="FO155" s="9">
        <f t="shared" ref="FO155:FO186" si="88">FI155</f>
        <v>1491883</v>
      </c>
    </row>
    <row r="156" spans="2:171" ht="14.25" customHeight="1" x14ac:dyDescent="0.3">
      <c r="B156" s="7" t="s">
        <v>44</v>
      </c>
      <c r="C156" s="8">
        <v>5390419</v>
      </c>
      <c r="D156" s="8">
        <v>5390419</v>
      </c>
      <c r="E156" s="8">
        <v>5390419</v>
      </c>
      <c r="F156" s="8">
        <v>5390419</v>
      </c>
      <c r="G156" s="8">
        <v>5390419</v>
      </c>
      <c r="H156" s="8">
        <v>4639553</v>
      </c>
      <c r="I156" s="8">
        <v>4373245</v>
      </c>
      <c r="J156" s="8">
        <v>4373245</v>
      </c>
      <c r="K156" s="8">
        <v>2983961</v>
      </c>
      <c r="L156" s="8">
        <v>2983961</v>
      </c>
      <c r="M156" s="8">
        <v>1957332</v>
      </c>
      <c r="N156" s="8">
        <v>4490035</v>
      </c>
      <c r="O156" s="9">
        <f t="shared" si="76"/>
        <v>4490035</v>
      </c>
      <c r="P156" s="8">
        <v>8769976</v>
      </c>
      <c r="Q156" s="8">
        <v>8769976</v>
      </c>
      <c r="R156" s="8">
        <v>8769976</v>
      </c>
      <c r="S156" s="8">
        <v>8769976</v>
      </c>
      <c r="T156" s="8">
        <v>9374262</v>
      </c>
      <c r="U156" s="8">
        <v>9374262</v>
      </c>
      <c r="V156" s="8">
        <v>9084262</v>
      </c>
      <c r="W156" s="8">
        <v>8517384</v>
      </c>
      <c r="X156" s="8">
        <v>8534231</v>
      </c>
      <c r="Y156" s="8">
        <v>9077511</v>
      </c>
      <c r="Z156" s="8">
        <v>6293643</v>
      </c>
      <c r="AA156" s="8">
        <v>10235618</v>
      </c>
      <c r="AB156" s="9">
        <f t="shared" si="77"/>
        <v>10235618</v>
      </c>
      <c r="AC156" s="8">
        <v>6200127</v>
      </c>
      <c r="AD156" s="8">
        <v>6200127</v>
      </c>
      <c r="AE156" s="8">
        <v>6200127</v>
      </c>
      <c r="AF156" s="8">
        <v>6280992</v>
      </c>
      <c r="AG156" s="8">
        <v>12560604</v>
      </c>
      <c r="AH156" s="8">
        <v>11877406</v>
      </c>
      <c r="AI156" s="8">
        <v>10953396</v>
      </c>
      <c r="AJ156" s="8">
        <v>10953396</v>
      </c>
      <c r="AK156" s="8">
        <v>10953396</v>
      </c>
      <c r="AL156" s="8">
        <v>11372146</v>
      </c>
      <c r="AM156" s="8">
        <v>10040909</v>
      </c>
      <c r="AN156" s="8">
        <v>10390595</v>
      </c>
      <c r="AO156" s="9">
        <f t="shared" si="78"/>
        <v>10390595</v>
      </c>
      <c r="AP156" s="8">
        <v>9626144</v>
      </c>
      <c r="AQ156" s="8">
        <v>9626144</v>
      </c>
      <c r="AR156" s="8">
        <v>9626144</v>
      </c>
      <c r="AS156" s="8">
        <v>9626144</v>
      </c>
      <c r="AT156" s="8">
        <v>9716694</v>
      </c>
      <c r="AU156" s="8">
        <v>8686810</v>
      </c>
      <c r="AV156" s="8">
        <v>8062338</v>
      </c>
      <c r="AW156" s="8">
        <v>8082067</v>
      </c>
      <c r="AX156" s="8">
        <v>6748697</v>
      </c>
      <c r="AY156" s="8">
        <v>6709409</v>
      </c>
      <c r="AZ156" s="8">
        <v>9881233</v>
      </c>
      <c r="BA156" s="8">
        <v>9881233</v>
      </c>
      <c r="BB156" s="9">
        <f t="shared" si="79"/>
        <v>9881233</v>
      </c>
      <c r="BC156" s="8">
        <v>16225714</v>
      </c>
      <c r="BD156" s="8">
        <v>16230226</v>
      </c>
      <c r="BE156" s="8">
        <v>16230226</v>
      </c>
      <c r="BF156" s="8">
        <v>16230226</v>
      </c>
      <c r="BG156" s="8">
        <v>16230226</v>
      </c>
      <c r="BH156" s="8">
        <v>16364505</v>
      </c>
      <c r="BI156" s="8">
        <v>14205776</v>
      </c>
      <c r="BJ156" s="8">
        <v>7002299</v>
      </c>
      <c r="BK156" s="8">
        <v>7002299</v>
      </c>
      <c r="BL156" s="8">
        <v>7025099</v>
      </c>
      <c r="BM156" s="8">
        <v>7025099</v>
      </c>
      <c r="BN156" s="8">
        <v>5595616</v>
      </c>
      <c r="BO156" s="9">
        <f t="shared" si="80"/>
        <v>5595616</v>
      </c>
      <c r="BP156" s="8">
        <v>448058</v>
      </c>
      <c r="BQ156" s="8">
        <v>448058</v>
      </c>
      <c r="BR156" s="8">
        <v>476672</v>
      </c>
      <c r="BS156" s="8">
        <v>476672</v>
      </c>
      <c r="BT156" s="8">
        <v>802682</v>
      </c>
      <c r="BU156" s="8">
        <v>2746808</v>
      </c>
      <c r="BV156" s="8">
        <v>2780808</v>
      </c>
      <c r="BW156" s="8">
        <v>2895219</v>
      </c>
      <c r="BX156" s="8">
        <v>3222564</v>
      </c>
      <c r="BY156" s="8">
        <v>3222564</v>
      </c>
      <c r="BZ156" s="8">
        <v>3188313</v>
      </c>
      <c r="CA156" s="8">
        <v>3307376</v>
      </c>
      <c r="CB156" s="9">
        <f t="shared" si="81"/>
        <v>3307376</v>
      </c>
      <c r="CC156" s="8">
        <v>8785966</v>
      </c>
      <c r="CD156" s="8">
        <v>8785966</v>
      </c>
      <c r="CE156" s="8">
        <v>9197882</v>
      </c>
      <c r="CF156" s="8">
        <v>9197882</v>
      </c>
      <c r="CG156" s="8">
        <v>9197882</v>
      </c>
      <c r="CH156" s="8">
        <v>10506084</v>
      </c>
      <c r="CI156" s="8">
        <v>10455322</v>
      </c>
      <c r="CJ156" s="8">
        <v>4691951</v>
      </c>
      <c r="CK156" s="8">
        <v>4691951</v>
      </c>
      <c r="CL156" s="8">
        <v>5038786</v>
      </c>
      <c r="CM156" s="8">
        <v>5553998</v>
      </c>
      <c r="CN156" s="8">
        <v>5870339</v>
      </c>
      <c r="CO156" s="9">
        <f t="shared" si="82"/>
        <v>5870339</v>
      </c>
      <c r="CP156" s="8">
        <v>880275</v>
      </c>
      <c r="CQ156" s="8">
        <v>880275</v>
      </c>
      <c r="CR156" s="8">
        <v>880275</v>
      </c>
      <c r="CS156" s="8">
        <v>880275</v>
      </c>
      <c r="CT156" s="8">
        <v>1028494</v>
      </c>
      <c r="CU156" s="8">
        <v>1082747</v>
      </c>
      <c r="CV156" s="8">
        <v>1228644</v>
      </c>
      <c r="CW156" s="8">
        <v>1466373</v>
      </c>
      <c r="CX156" s="8">
        <v>1466373</v>
      </c>
      <c r="CY156" s="8">
        <v>1466373</v>
      </c>
      <c r="CZ156" s="8">
        <v>1466373</v>
      </c>
      <c r="DA156" s="8">
        <v>1625122</v>
      </c>
      <c r="DB156" s="9">
        <f t="shared" si="83"/>
        <v>1625122</v>
      </c>
      <c r="DC156" s="8">
        <v>82069</v>
      </c>
      <c r="DD156" s="8">
        <v>98970</v>
      </c>
      <c r="DE156" s="8">
        <v>100592</v>
      </c>
      <c r="DF156" s="8">
        <v>100592</v>
      </c>
      <c r="DG156" s="8">
        <v>100592</v>
      </c>
      <c r="DH156" s="8">
        <v>130997</v>
      </c>
      <c r="DI156" s="8">
        <v>714634</v>
      </c>
      <c r="DJ156" s="8">
        <v>776951</v>
      </c>
      <c r="DK156" s="8">
        <v>1124385</v>
      </c>
      <c r="DL156" s="8">
        <v>1144917</v>
      </c>
      <c r="DM156" s="8">
        <v>1630835</v>
      </c>
      <c r="DN156" s="8">
        <v>1780600</v>
      </c>
      <c r="DO156" s="9">
        <f t="shared" si="84"/>
        <v>1780600</v>
      </c>
      <c r="DP156" s="8">
        <v>5308686</v>
      </c>
      <c r="DQ156" s="8">
        <v>5308686</v>
      </c>
      <c r="DR156" s="8">
        <v>5308686</v>
      </c>
      <c r="DS156" s="8">
        <v>6009205</v>
      </c>
      <c r="DT156" s="8">
        <v>6009205</v>
      </c>
      <c r="DU156" s="8">
        <v>3677155</v>
      </c>
      <c r="DV156" s="8">
        <v>3688155</v>
      </c>
      <c r="DW156" s="8">
        <v>3688155</v>
      </c>
      <c r="DX156" s="8">
        <v>2141510</v>
      </c>
      <c r="DY156" s="8">
        <v>2141510</v>
      </c>
      <c r="DZ156" s="8">
        <v>2141510</v>
      </c>
      <c r="EA156" s="8">
        <v>2141510</v>
      </c>
      <c r="EB156" s="9">
        <f t="shared" si="85"/>
        <v>2141510</v>
      </c>
      <c r="EC156" s="8">
        <v>1027424</v>
      </c>
      <c r="ED156" s="8">
        <v>1245409</v>
      </c>
      <c r="EE156" s="8">
        <v>1271649</v>
      </c>
      <c r="EF156" s="8">
        <v>1271649</v>
      </c>
      <c r="EG156" s="8">
        <v>1542754</v>
      </c>
      <c r="EH156" s="8">
        <v>1542754</v>
      </c>
      <c r="EI156" s="8">
        <v>1588734</v>
      </c>
      <c r="EJ156" s="8">
        <v>1274158</v>
      </c>
      <c r="EK156" s="8">
        <v>1274158</v>
      </c>
      <c r="EL156" s="8">
        <v>795238</v>
      </c>
      <c r="EM156" s="8">
        <v>795238</v>
      </c>
      <c r="EN156" s="8">
        <v>795228</v>
      </c>
      <c r="EO156" s="9">
        <f t="shared" si="86"/>
        <v>795228</v>
      </c>
      <c r="EP156" s="8">
        <v>1291061</v>
      </c>
      <c r="EQ156" s="8">
        <v>1291061</v>
      </c>
      <c r="ER156" s="8">
        <v>1291061</v>
      </c>
      <c r="ES156" s="8">
        <v>1242530</v>
      </c>
      <c r="ET156" s="8">
        <v>1242530</v>
      </c>
      <c r="EU156" s="8">
        <v>1262530</v>
      </c>
      <c r="EV156" s="8">
        <v>949932</v>
      </c>
      <c r="EW156" s="8">
        <v>949932</v>
      </c>
      <c r="EX156" s="8">
        <v>949932</v>
      </c>
      <c r="EY156" s="8">
        <v>949932</v>
      </c>
      <c r="EZ156" s="8">
        <v>949932</v>
      </c>
      <c r="FA156" s="8">
        <v>949932</v>
      </c>
      <c r="FB156" s="9">
        <f t="shared" si="87"/>
        <v>949932</v>
      </c>
      <c r="FC156" s="8">
        <v>770529</v>
      </c>
      <c r="FD156" s="8">
        <v>770529</v>
      </c>
      <c r="FE156" s="8">
        <v>770529</v>
      </c>
      <c r="FF156" s="8">
        <v>770529</v>
      </c>
      <c r="FG156" s="8">
        <v>770529</v>
      </c>
      <c r="FH156" s="8">
        <v>770529</v>
      </c>
      <c r="FI156" s="8">
        <v>770529</v>
      </c>
      <c r="FJ156" s="8"/>
      <c r="FK156" s="8"/>
      <c r="FL156" s="8"/>
      <c r="FM156" s="8"/>
      <c r="FN156" s="8"/>
      <c r="FO156" s="9">
        <f t="shared" si="88"/>
        <v>770529</v>
      </c>
    </row>
    <row r="157" spans="2:171" ht="14.25" customHeight="1" x14ac:dyDescent="0.3">
      <c r="B157" s="7" t="s">
        <v>45</v>
      </c>
      <c r="C157" s="8">
        <v>1091201</v>
      </c>
      <c r="D157" s="8">
        <v>1091201</v>
      </c>
      <c r="E157" s="8">
        <v>1091201</v>
      </c>
      <c r="F157" s="8">
        <v>1091201</v>
      </c>
      <c r="G157" s="8">
        <v>1091201</v>
      </c>
      <c r="H157" s="8">
        <v>1091201</v>
      </c>
      <c r="I157" s="8">
        <v>1091201</v>
      </c>
      <c r="J157" s="8">
        <v>1091201</v>
      </c>
      <c r="K157" s="8">
        <v>1249569</v>
      </c>
      <c r="L157" s="8">
        <v>1249569</v>
      </c>
      <c r="M157" s="8">
        <v>1249569</v>
      </c>
      <c r="N157" s="8">
        <v>1293569</v>
      </c>
      <c r="O157" s="9">
        <f t="shared" si="76"/>
        <v>1293569</v>
      </c>
      <c r="P157" s="8">
        <v>1232319</v>
      </c>
      <c r="Q157" s="8">
        <v>1232319</v>
      </c>
      <c r="R157" s="8">
        <v>1232319</v>
      </c>
      <c r="S157" s="8">
        <v>1232319</v>
      </c>
      <c r="T157" s="8">
        <v>1285004</v>
      </c>
      <c r="U157" s="8">
        <v>1285004</v>
      </c>
      <c r="V157" s="8">
        <v>1285004</v>
      </c>
      <c r="W157" s="8">
        <v>1286022</v>
      </c>
      <c r="X157" s="8">
        <v>1286022</v>
      </c>
      <c r="Y157" s="8">
        <v>1286022</v>
      </c>
      <c r="Z157" s="8">
        <v>1293639</v>
      </c>
      <c r="AA157" s="8">
        <v>1293639</v>
      </c>
      <c r="AB157" s="9">
        <f t="shared" si="77"/>
        <v>1293639</v>
      </c>
      <c r="AC157" s="8">
        <v>1265135</v>
      </c>
      <c r="AD157" s="8">
        <v>1265135</v>
      </c>
      <c r="AE157" s="8">
        <v>1265135</v>
      </c>
      <c r="AF157" s="8">
        <v>1265135</v>
      </c>
      <c r="AG157" s="8">
        <v>1265135</v>
      </c>
      <c r="AH157" s="8">
        <v>1265135</v>
      </c>
      <c r="AI157" s="8">
        <v>1265135</v>
      </c>
      <c r="AJ157" s="8">
        <v>1265135</v>
      </c>
      <c r="AK157" s="8">
        <v>1265135</v>
      </c>
      <c r="AL157" s="8">
        <v>1265135</v>
      </c>
      <c r="AM157" s="8">
        <v>1265135</v>
      </c>
      <c r="AN157" s="8">
        <v>1265135</v>
      </c>
      <c r="AO157" s="9">
        <f t="shared" si="78"/>
        <v>1265135</v>
      </c>
      <c r="AP157" s="8">
        <v>1426689</v>
      </c>
      <c r="AQ157" s="8">
        <v>1426689</v>
      </c>
      <c r="AR157" s="8">
        <v>1426689</v>
      </c>
      <c r="AS157" s="8">
        <v>1426689</v>
      </c>
      <c r="AT157" s="8">
        <v>1426689</v>
      </c>
      <c r="AU157" s="8">
        <v>1448189</v>
      </c>
      <c r="AV157" s="8">
        <v>1448189</v>
      </c>
      <c r="AW157" s="8">
        <v>1448189</v>
      </c>
      <c r="AX157" s="8">
        <v>1448189</v>
      </c>
      <c r="AY157" s="8">
        <v>1448189</v>
      </c>
      <c r="AZ157" s="8">
        <v>1448189</v>
      </c>
      <c r="BA157" s="8">
        <v>1448189</v>
      </c>
      <c r="BB157" s="9">
        <f t="shared" si="79"/>
        <v>1448189</v>
      </c>
      <c r="BC157" s="8">
        <v>1203274</v>
      </c>
      <c r="BD157" s="8">
        <v>1203274</v>
      </c>
      <c r="BE157" s="8">
        <v>1203274</v>
      </c>
      <c r="BF157" s="8">
        <v>1203274</v>
      </c>
      <c r="BG157" s="8">
        <v>1203274</v>
      </c>
      <c r="BH157" s="8">
        <v>1203274</v>
      </c>
      <c r="BI157" s="8">
        <v>1075406</v>
      </c>
      <c r="BJ157" s="8">
        <v>1075406</v>
      </c>
      <c r="BK157" s="8">
        <v>1075406</v>
      </c>
      <c r="BL157" s="8">
        <v>1075406</v>
      </c>
      <c r="BM157" s="8">
        <v>1075406</v>
      </c>
      <c r="BN157" s="8">
        <v>1304981</v>
      </c>
      <c r="BO157" s="9">
        <f t="shared" si="80"/>
        <v>1304981</v>
      </c>
      <c r="BP157" s="8">
        <v>43149437</v>
      </c>
      <c r="BQ157" s="8">
        <v>40900637</v>
      </c>
      <c r="BR157" s="8">
        <v>37186258</v>
      </c>
      <c r="BS157" s="8">
        <v>16686426</v>
      </c>
      <c r="BT157" s="8">
        <v>9512087</v>
      </c>
      <c r="BU157" s="8">
        <v>4858061</v>
      </c>
      <c r="BV157" s="8">
        <v>4411578</v>
      </c>
      <c r="BW157" s="8">
        <v>3660787</v>
      </c>
      <c r="BX157" s="8">
        <v>1483185</v>
      </c>
      <c r="BY157" s="8">
        <v>1483185</v>
      </c>
      <c r="BZ157" s="8">
        <v>1335249</v>
      </c>
      <c r="CA157" s="8">
        <v>22400</v>
      </c>
      <c r="CB157" s="9">
        <f t="shared" si="81"/>
        <v>22400</v>
      </c>
      <c r="CC157" s="8">
        <v>58306578</v>
      </c>
      <c r="CD157" s="8">
        <v>58306578</v>
      </c>
      <c r="CE157" s="8">
        <v>58306578</v>
      </c>
      <c r="CF157" s="8">
        <v>61989460</v>
      </c>
      <c r="CG157" s="8">
        <v>61991243</v>
      </c>
      <c r="CH157" s="8">
        <v>67791619</v>
      </c>
      <c r="CI157" s="8">
        <v>91041488</v>
      </c>
      <c r="CJ157" s="8">
        <v>89152758</v>
      </c>
      <c r="CK157" s="8">
        <v>88848510</v>
      </c>
      <c r="CL157" s="8">
        <v>82179240</v>
      </c>
      <c r="CM157" s="8">
        <v>81973260</v>
      </c>
      <c r="CN157" s="8">
        <v>94266425</v>
      </c>
      <c r="CO157" s="9">
        <f t="shared" si="82"/>
        <v>94266425</v>
      </c>
      <c r="CP157" s="8">
        <v>42343611</v>
      </c>
      <c r="CQ157" s="8">
        <v>42343611</v>
      </c>
      <c r="CR157" s="8">
        <v>36477101</v>
      </c>
      <c r="CS157" s="8">
        <v>33087429</v>
      </c>
      <c r="CT157" s="8">
        <v>16629733</v>
      </c>
      <c r="CU157" s="8">
        <v>14567748</v>
      </c>
      <c r="CV157" s="8">
        <v>11345253</v>
      </c>
      <c r="CW157" s="8">
        <v>25437332</v>
      </c>
      <c r="CX157" s="8">
        <v>25437332</v>
      </c>
      <c r="CY157" s="8">
        <v>25541647</v>
      </c>
      <c r="CZ157" s="8">
        <v>24844856</v>
      </c>
      <c r="DA157" s="8">
        <v>47576599</v>
      </c>
      <c r="DB157" s="9">
        <f t="shared" si="83"/>
        <v>47576599</v>
      </c>
      <c r="DC157" s="8">
        <v>65419989</v>
      </c>
      <c r="DD157" s="8">
        <v>65419989</v>
      </c>
      <c r="DE157" s="8">
        <v>65419989</v>
      </c>
      <c r="DF157" s="8">
        <v>65419989</v>
      </c>
      <c r="DG157" s="8">
        <v>38468282</v>
      </c>
      <c r="DH157" s="8">
        <v>23353792</v>
      </c>
      <c r="DI157" s="8">
        <v>13307054</v>
      </c>
      <c r="DJ157" s="8">
        <v>1891332</v>
      </c>
      <c r="DK157" s="8">
        <v>92000</v>
      </c>
      <c r="DL157" s="8">
        <v>96594</v>
      </c>
      <c r="DM157" s="8">
        <v>96594</v>
      </c>
      <c r="DN157" s="8">
        <v>96594</v>
      </c>
      <c r="DO157" s="9">
        <f t="shared" si="84"/>
        <v>96594</v>
      </c>
      <c r="DP157" s="8">
        <v>58041909</v>
      </c>
      <c r="DQ157" s="8">
        <v>15778601</v>
      </c>
      <c r="DR157" s="8">
        <v>7029865</v>
      </c>
      <c r="DS157" s="8">
        <v>8973</v>
      </c>
      <c r="DT157" s="8">
        <v>8973</v>
      </c>
      <c r="DU157" s="8">
        <v>209845</v>
      </c>
      <c r="DV157" s="8">
        <v>209845</v>
      </c>
      <c r="DW157" s="8">
        <v>5133616</v>
      </c>
      <c r="DX157" s="8">
        <v>5138210</v>
      </c>
      <c r="DY157" s="8">
        <v>5138210</v>
      </c>
      <c r="DZ157" s="8">
        <v>5138210</v>
      </c>
      <c r="EA157" s="8">
        <v>5138210</v>
      </c>
      <c r="EB157" s="9">
        <f t="shared" si="85"/>
        <v>5138210</v>
      </c>
      <c r="EC157" s="8">
        <v>40737248</v>
      </c>
      <c r="ED157" s="8">
        <v>40737248</v>
      </c>
      <c r="EE157" s="8">
        <v>16379569</v>
      </c>
      <c r="EF157" s="8">
        <v>9016304</v>
      </c>
      <c r="EG157" s="8">
        <v>632930</v>
      </c>
      <c r="EH157" s="8">
        <v>563786</v>
      </c>
      <c r="EI157" s="8">
        <v>361460</v>
      </c>
      <c r="EJ157" s="8">
        <v>361460</v>
      </c>
      <c r="EK157" s="8">
        <v>370452</v>
      </c>
      <c r="EL157" s="8">
        <v>432778</v>
      </c>
      <c r="EM157" s="8">
        <v>432778</v>
      </c>
      <c r="EN157" s="8">
        <v>584578</v>
      </c>
      <c r="EO157" s="9">
        <f t="shared" si="86"/>
        <v>584578</v>
      </c>
      <c r="EP157" s="8">
        <v>49234902</v>
      </c>
      <c r="EQ157" s="8">
        <v>35584662</v>
      </c>
      <c r="ER157" s="8">
        <v>35584662</v>
      </c>
      <c r="ES157" s="8">
        <v>1214080</v>
      </c>
      <c r="ET157" s="8">
        <v>1214080</v>
      </c>
      <c r="EU157" s="8">
        <v>1214080</v>
      </c>
      <c r="EV157" s="8">
        <v>1214080</v>
      </c>
      <c r="EW157" s="8">
        <v>510216</v>
      </c>
      <c r="EX157" s="8">
        <v>510216</v>
      </c>
      <c r="EY157" s="8">
        <v>510213</v>
      </c>
      <c r="EZ157" s="8">
        <v>510213</v>
      </c>
      <c r="FA157" s="8">
        <v>510213</v>
      </c>
      <c r="FB157" s="9">
        <f t="shared" si="87"/>
        <v>510213</v>
      </c>
      <c r="FC157" s="8">
        <v>51314706</v>
      </c>
      <c r="FD157" s="8">
        <v>47133923</v>
      </c>
      <c r="FE157" s="8">
        <v>46119731</v>
      </c>
      <c r="FF157" s="8">
        <v>46119731</v>
      </c>
      <c r="FG157" s="8">
        <v>22842836</v>
      </c>
      <c r="FH157" s="8">
        <v>22842836</v>
      </c>
      <c r="FI157" s="8">
        <v>0</v>
      </c>
      <c r="FJ157" s="8"/>
      <c r="FK157" s="8"/>
      <c r="FL157" s="8"/>
      <c r="FM157" s="8"/>
      <c r="FN157" s="8"/>
      <c r="FO157" s="9">
        <f t="shared" si="88"/>
        <v>0</v>
      </c>
    </row>
    <row r="158" spans="2:171" ht="14.25" customHeight="1" x14ac:dyDescent="0.3">
      <c r="B158" s="7" t="s">
        <v>46</v>
      </c>
      <c r="C158" s="8">
        <v>152433</v>
      </c>
      <c r="D158" s="8">
        <v>152433</v>
      </c>
      <c r="E158" s="8">
        <v>152433</v>
      </c>
      <c r="F158" s="8">
        <v>152433</v>
      </c>
      <c r="G158" s="8">
        <v>157473</v>
      </c>
      <c r="H158" s="8">
        <v>198247</v>
      </c>
      <c r="I158" s="8">
        <v>284629</v>
      </c>
      <c r="J158" s="8">
        <v>284629</v>
      </c>
      <c r="K158" s="8">
        <v>322945</v>
      </c>
      <c r="L158" s="8">
        <v>322945</v>
      </c>
      <c r="M158" s="8">
        <v>434310</v>
      </c>
      <c r="N158" s="8">
        <v>469310</v>
      </c>
      <c r="O158" s="9">
        <f t="shared" si="76"/>
        <v>469310</v>
      </c>
      <c r="P158" s="8">
        <v>157006</v>
      </c>
      <c r="Q158" s="8">
        <v>157006</v>
      </c>
      <c r="R158" s="8">
        <v>189966</v>
      </c>
      <c r="S158" s="8">
        <v>714795</v>
      </c>
      <c r="T158" s="8">
        <v>714795</v>
      </c>
      <c r="U158" s="8">
        <v>714795</v>
      </c>
      <c r="V158" s="8">
        <v>714795</v>
      </c>
      <c r="W158" s="8">
        <v>822744</v>
      </c>
      <c r="X158" s="8">
        <v>822744</v>
      </c>
      <c r="Y158" s="8">
        <v>831729</v>
      </c>
      <c r="Z158" s="8">
        <v>912455</v>
      </c>
      <c r="AA158" s="8">
        <v>912455</v>
      </c>
      <c r="AB158" s="9">
        <f t="shared" si="77"/>
        <v>912455</v>
      </c>
      <c r="AC158" s="8">
        <v>162972</v>
      </c>
      <c r="AD158" s="8">
        <v>411972</v>
      </c>
      <c r="AE158" s="8">
        <v>446185</v>
      </c>
      <c r="AF158" s="8">
        <v>446185</v>
      </c>
      <c r="AG158" s="8">
        <v>446185</v>
      </c>
      <c r="AH158" s="8">
        <v>449818</v>
      </c>
      <c r="AI158" s="8">
        <v>449818</v>
      </c>
      <c r="AJ158" s="8">
        <v>449818</v>
      </c>
      <c r="AK158" s="8">
        <v>449818</v>
      </c>
      <c r="AL158" s="8">
        <v>449818</v>
      </c>
      <c r="AM158" s="8">
        <v>453876</v>
      </c>
      <c r="AN158" s="8">
        <v>446073</v>
      </c>
      <c r="AO158" s="9">
        <f t="shared" si="78"/>
        <v>446073</v>
      </c>
      <c r="AP158" s="8">
        <v>167861</v>
      </c>
      <c r="AQ158" s="8">
        <v>167861</v>
      </c>
      <c r="AR158" s="8">
        <v>167861</v>
      </c>
      <c r="AS158" s="8">
        <v>167861</v>
      </c>
      <c r="AT158" s="8">
        <v>167861</v>
      </c>
      <c r="AU158" s="8">
        <v>289889</v>
      </c>
      <c r="AV158" s="8">
        <v>289889</v>
      </c>
      <c r="AW158" s="8">
        <v>289889</v>
      </c>
      <c r="AX158" s="8">
        <v>329889</v>
      </c>
      <c r="AY158" s="8">
        <v>329889</v>
      </c>
      <c r="AZ158" s="8">
        <v>409789</v>
      </c>
      <c r="BA158" s="8">
        <v>409789</v>
      </c>
      <c r="BB158" s="9">
        <f t="shared" si="79"/>
        <v>409789</v>
      </c>
      <c r="BC158" s="8">
        <v>172225</v>
      </c>
      <c r="BD158" s="8">
        <v>172225</v>
      </c>
      <c r="BE158" s="8">
        <v>172225</v>
      </c>
      <c r="BF158" s="8">
        <v>172225</v>
      </c>
      <c r="BG158" s="8">
        <v>172225</v>
      </c>
      <c r="BH158" s="8">
        <v>172225</v>
      </c>
      <c r="BI158" s="8">
        <v>156261</v>
      </c>
      <c r="BJ158" s="8">
        <v>258311</v>
      </c>
      <c r="BK158" s="8">
        <v>1157977</v>
      </c>
      <c r="BL158" s="8">
        <v>1678875</v>
      </c>
      <c r="BM158" s="8">
        <v>1694675</v>
      </c>
      <c r="BN158" s="8">
        <v>1741199</v>
      </c>
      <c r="BO158" s="9">
        <f t="shared" si="80"/>
        <v>1741199</v>
      </c>
      <c r="BP158" s="8">
        <v>0</v>
      </c>
      <c r="BQ158" s="8">
        <v>0</v>
      </c>
      <c r="BR158" s="8">
        <v>0</v>
      </c>
      <c r="BS158" s="8">
        <v>293000</v>
      </c>
      <c r="BT158" s="8">
        <v>310936</v>
      </c>
      <c r="BU158" s="8">
        <v>647572</v>
      </c>
      <c r="BV158" s="8">
        <v>673177</v>
      </c>
      <c r="BW158" s="8">
        <v>837670</v>
      </c>
      <c r="BX158" s="8">
        <v>2582986</v>
      </c>
      <c r="BY158" s="8">
        <v>2582986</v>
      </c>
      <c r="BZ158" s="8">
        <v>2582986</v>
      </c>
      <c r="CA158" s="8">
        <v>2582986</v>
      </c>
      <c r="CB158" s="9">
        <f t="shared" si="81"/>
        <v>2582986</v>
      </c>
      <c r="CC158" s="8">
        <v>33183</v>
      </c>
      <c r="CD158" s="8">
        <v>33183</v>
      </c>
      <c r="CE158" s="8">
        <v>33183</v>
      </c>
      <c r="CF158" s="8">
        <v>86136</v>
      </c>
      <c r="CG158" s="8">
        <v>91691</v>
      </c>
      <c r="CH158" s="8">
        <v>91691</v>
      </c>
      <c r="CI158" s="8">
        <v>91691</v>
      </c>
      <c r="CJ158" s="8">
        <v>264907</v>
      </c>
      <c r="CK158" s="8">
        <v>285427</v>
      </c>
      <c r="CL158" s="8">
        <v>285427</v>
      </c>
      <c r="CM158" s="8">
        <v>407405</v>
      </c>
      <c r="CN158" s="8">
        <v>407405</v>
      </c>
      <c r="CO158" s="9">
        <f t="shared" si="82"/>
        <v>407405</v>
      </c>
      <c r="CP158" s="8">
        <v>142663</v>
      </c>
      <c r="CQ158" s="8">
        <v>142663</v>
      </c>
      <c r="CR158" s="8">
        <v>342572</v>
      </c>
      <c r="CS158" s="8">
        <v>342572</v>
      </c>
      <c r="CT158" s="8">
        <v>342572</v>
      </c>
      <c r="CU158" s="8">
        <v>492822</v>
      </c>
      <c r="CV158" s="8">
        <v>492822</v>
      </c>
      <c r="CW158" s="8">
        <v>532822</v>
      </c>
      <c r="CX158" s="8">
        <v>532822</v>
      </c>
      <c r="CY158" s="8">
        <v>538910</v>
      </c>
      <c r="CZ158" s="8">
        <v>538910</v>
      </c>
      <c r="DA158" s="8">
        <v>538910</v>
      </c>
      <c r="DB158" s="9">
        <f t="shared" si="83"/>
        <v>538910</v>
      </c>
      <c r="DC158" s="8">
        <v>193368</v>
      </c>
      <c r="DD158" s="8">
        <v>193368</v>
      </c>
      <c r="DE158" s="8">
        <v>193368</v>
      </c>
      <c r="DF158" s="8">
        <v>193368</v>
      </c>
      <c r="DG158" s="8">
        <v>193368</v>
      </c>
      <c r="DH158" s="8">
        <v>193368</v>
      </c>
      <c r="DI158" s="8">
        <v>274350</v>
      </c>
      <c r="DJ158" s="8">
        <v>378460</v>
      </c>
      <c r="DK158" s="8">
        <v>617826</v>
      </c>
      <c r="DL158" s="8">
        <v>617826</v>
      </c>
      <c r="DM158" s="8">
        <v>617826</v>
      </c>
      <c r="DN158" s="8">
        <v>617826</v>
      </c>
      <c r="DO158" s="9">
        <f t="shared" si="84"/>
        <v>617826</v>
      </c>
      <c r="DP158" s="8">
        <v>205550</v>
      </c>
      <c r="DQ158" s="8">
        <v>1400894</v>
      </c>
      <c r="DR158" s="8">
        <v>1503541</v>
      </c>
      <c r="DS158" s="8">
        <v>1506041</v>
      </c>
      <c r="DT158" s="8">
        <v>1506041</v>
      </c>
      <c r="DU158" s="8">
        <v>1533939</v>
      </c>
      <c r="DV158" s="8">
        <v>1623346</v>
      </c>
      <c r="DW158" s="8">
        <v>1634008</v>
      </c>
      <c r="DX158" s="8">
        <v>1636413</v>
      </c>
      <c r="DY158" s="8">
        <v>1636413</v>
      </c>
      <c r="DZ158" s="8">
        <v>1636413</v>
      </c>
      <c r="EA158" s="8">
        <v>1636413</v>
      </c>
      <c r="EB158" s="9">
        <f t="shared" si="85"/>
        <v>1636413</v>
      </c>
      <c r="EC158" s="8">
        <v>188275</v>
      </c>
      <c r="ED158" s="8">
        <v>188275</v>
      </c>
      <c r="EE158" s="8">
        <v>472951</v>
      </c>
      <c r="EF158" s="8">
        <v>479477</v>
      </c>
      <c r="EG158" s="8">
        <v>589433</v>
      </c>
      <c r="EH158" s="8">
        <v>589433</v>
      </c>
      <c r="EI158" s="8">
        <v>589433</v>
      </c>
      <c r="EJ158" s="8">
        <v>589433</v>
      </c>
      <c r="EK158" s="8">
        <v>589433</v>
      </c>
      <c r="EL158" s="8">
        <v>596839</v>
      </c>
      <c r="EM158" s="8">
        <v>596839</v>
      </c>
      <c r="EN158" s="8">
        <v>551164</v>
      </c>
      <c r="EO158" s="9">
        <f t="shared" si="86"/>
        <v>551164</v>
      </c>
      <c r="EP158" s="8">
        <v>196182</v>
      </c>
      <c r="EQ158" s="8">
        <v>196182</v>
      </c>
      <c r="ER158" s="8">
        <v>196182</v>
      </c>
      <c r="ES158" s="8">
        <v>1053558</v>
      </c>
      <c r="ET158" s="8">
        <v>1056570</v>
      </c>
      <c r="EU158" s="8">
        <v>1056570</v>
      </c>
      <c r="EV158" s="8">
        <v>1056570</v>
      </c>
      <c r="EW158" s="8">
        <v>1056570</v>
      </c>
      <c r="EX158" s="8">
        <v>1056570</v>
      </c>
      <c r="EY158" s="8">
        <v>1056570</v>
      </c>
      <c r="EZ158" s="8">
        <v>1056570</v>
      </c>
      <c r="FA158" s="8">
        <v>900167</v>
      </c>
      <c r="FB158" s="9">
        <f t="shared" si="87"/>
        <v>900167</v>
      </c>
      <c r="FC158" s="8">
        <v>202264</v>
      </c>
      <c r="FD158" s="8">
        <v>202264</v>
      </c>
      <c r="FE158" s="8">
        <v>209064</v>
      </c>
      <c r="FF158" s="8">
        <v>209064</v>
      </c>
      <c r="FG158" s="8">
        <v>209064</v>
      </c>
      <c r="FH158" s="8">
        <v>209064</v>
      </c>
      <c r="FI158" s="8">
        <v>291028</v>
      </c>
      <c r="FJ158" s="8"/>
      <c r="FK158" s="8"/>
      <c r="FL158" s="8"/>
      <c r="FM158" s="8"/>
      <c r="FN158" s="8"/>
      <c r="FO158" s="9">
        <f t="shared" si="88"/>
        <v>291028</v>
      </c>
    </row>
    <row r="159" spans="2:171" ht="14.25" customHeight="1" x14ac:dyDescent="0.3">
      <c r="B159" s="7" t="s">
        <v>47</v>
      </c>
      <c r="C159" s="8">
        <v>215595</v>
      </c>
      <c r="D159" s="8">
        <v>281045</v>
      </c>
      <c r="E159" s="8">
        <v>281045</v>
      </c>
      <c r="F159" s="8">
        <v>281045</v>
      </c>
      <c r="G159" s="8">
        <v>283925</v>
      </c>
      <c r="H159" s="8">
        <v>285778</v>
      </c>
      <c r="I159" s="8">
        <v>285778</v>
      </c>
      <c r="J159" s="8">
        <v>285778</v>
      </c>
      <c r="K159" s="8">
        <v>303211</v>
      </c>
      <c r="L159" s="8">
        <v>304001</v>
      </c>
      <c r="M159" s="8">
        <v>785443</v>
      </c>
      <c r="N159" s="8">
        <v>820443</v>
      </c>
      <c r="O159" s="9">
        <f t="shared" si="76"/>
        <v>820443</v>
      </c>
      <c r="P159" s="8">
        <v>222063</v>
      </c>
      <c r="Q159" s="8">
        <v>222063</v>
      </c>
      <c r="R159" s="8">
        <v>255023</v>
      </c>
      <c r="S159" s="8">
        <v>255023</v>
      </c>
      <c r="T159" s="8">
        <v>255023</v>
      </c>
      <c r="U159" s="8">
        <v>255023</v>
      </c>
      <c r="V159" s="8">
        <v>255023</v>
      </c>
      <c r="W159" s="8">
        <v>593023</v>
      </c>
      <c r="X159" s="8">
        <v>593023</v>
      </c>
      <c r="Y159" s="8">
        <v>597843</v>
      </c>
      <c r="Z159" s="8">
        <v>1382078</v>
      </c>
      <c r="AA159" s="8">
        <v>651979</v>
      </c>
      <c r="AB159" s="9">
        <f t="shared" si="77"/>
        <v>651979</v>
      </c>
      <c r="AC159" s="8">
        <v>230501</v>
      </c>
      <c r="AD159" s="8">
        <v>479501</v>
      </c>
      <c r="AE159" s="8">
        <v>479501</v>
      </c>
      <c r="AF159" s="8">
        <v>479501</v>
      </c>
      <c r="AG159" s="8">
        <v>479501</v>
      </c>
      <c r="AH159" s="8">
        <v>479501</v>
      </c>
      <c r="AI159" s="8">
        <v>538938</v>
      </c>
      <c r="AJ159" s="8">
        <v>538938</v>
      </c>
      <c r="AK159" s="8">
        <v>538938</v>
      </c>
      <c r="AL159" s="8">
        <v>539288</v>
      </c>
      <c r="AM159" s="8">
        <v>549934</v>
      </c>
      <c r="AN159" s="8">
        <v>549934</v>
      </c>
      <c r="AO159" s="9">
        <f t="shared" si="78"/>
        <v>549934</v>
      </c>
      <c r="AP159" s="8">
        <v>237416</v>
      </c>
      <c r="AQ159" s="8">
        <v>237416</v>
      </c>
      <c r="AR159" s="8">
        <v>237416</v>
      </c>
      <c r="AS159" s="8">
        <v>237416</v>
      </c>
      <c r="AT159" s="8">
        <v>237416</v>
      </c>
      <c r="AU159" s="8">
        <v>237416</v>
      </c>
      <c r="AV159" s="8">
        <v>237416</v>
      </c>
      <c r="AW159" s="8">
        <v>237416</v>
      </c>
      <c r="AX159" s="8">
        <v>280416</v>
      </c>
      <c r="AY159" s="8">
        <v>305916</v>
      </c>
      <c r="AZ159" s="8">
        <v>308916</v>
      </c>
      <c r="BA159" s="8">
        <v>486119</v>
      </c>
      <c r="BB159" s="9">
        <f t="shared" si="79"/>
        <v>486119</v>
      </c>
      <c r="BC159" s="8">
        <v>243589</v>
      </c>
      <c r="BD159" s="8">
        <v>243589</v>
      </c>
      <c r="BE159" s="8">
        <v>243589</v>
      </c>
      <c r="BF159" s="8">
        <v>243589</v>
      </c>
      <c r="BG159" s="8">
        <v>243589</v>
      </c>
      <c r="BH159" s="8">
        <v>243589</v>
      </c>
      <c r="BI159" s="8">
        <v>218756</v>
      </c>
      <c r="BJ159" s="8">
        <v>218756</v>
      </c>
      <c r="BK159" s="8">
        <v>401508</v>
      </c>
      <c r="BL159" s="8">
        <v>401508</v>
      </c>
      <c r="BM159" s="8">
        <v>405258</v>
      </c>
      <c r="BN159" s="8">
        <v>791175</v>
      </c>
      <c r="BO159" s="9">
        <f t="shared" si="80"/>
        <v>791175</v>
      </c>
      <c r="BP159" s="8">
        <v>0</v>
      </c>
      <c r="BQ159" s="8">
        <v>0</v>
      </c>
      <c r="BR159" s="8">
        <v>0</v>
      </c>
      <c r="BS159" s="8">
        <v>325443</v>
      </c>
      <c r="BT159" s="8">
        <v>341580</v>
      </c>
      <c r="BU159" s="8">
        <v>482635</v>
      </c>
      <c r="BV159" s="8">
        <v>517085</v>
      </c>
      <c r="BW159" s="8">
        <v>533585</v>
      </c>
      <c r="BX159" s="8">
        <v>1425019</v>
      </c>
      <c r="BY159" s="8">
        <v>1425019</v>
      </c>
      <c r="BZ159" s="8">
        <v>1449866</v>
      </c>
      <c r="CA159" s="8">
        <v>1459505</v>
      </c>
      <c r="CB159" s="9">
        <f t="shared" si="81"/>
        <v>1459505</v>
      </c>
      <c r="CC159" s="8">
        <v>42579</v>
      </c>
      <c r="CD159" s="8">
        <v>42579</v>
      </c>
      <c r="CE159" s="8">
        <v>42579</v>
      </c>
      <c r="CF159" s="8">
        <v>165724</v>
      </c>
      <c r="CG159" s="8">
        <v>165724</v>
      </c>
      <c r="CH159" s="8">
        <v>487252</v>
      </c>
      <c r="CI159" s="8">
        <v>487252</v>
      </c>
      <c r="CJ159" s="8">
        <v>522821</v>
      </c>
      <c r="CK159" s="8">
        <v>525193</v>
      </c>
      <c r="CL159" s="8">
        <v>668728</v>
      </c>
      <c r="CM159" s="8">
        <v>668728</v>
      </c>
      <c r="CN159" s="8">
        <v>668728</v>
      </c>
      <c r="CO159" s="9">
        <f t="shared" si="82"/>
        <v>668728</v>
      </c>
      <c r="CP159" s="8">
        <v>185100</v>
      </c>
      <c r="CQ159" s="8">
        <v>185100</v>
      </c>
      <c r="CR159" s="8">
        <v>185100</v>
      </c>
      <c r="CS159" s="8">
        <v>185100</v>
      </c>
      <c r="CT159" s="8">
        <v>562274</v>
      </c>
      <c r="CU159" s="8">
        <v>562274</v>
      </c>
      <c r="CV159" s="8">
        <v>562274</v>
      </c>
      <c r="CW159" s="8">
        <v>1182885</v>
      </c>
      <c r="CX159" s="8">
        <v>1182885</v>
      </c>
      <c r="CY159" s="8">
        <v>1230135</v>
      </c>
      <c r="CZ159" s="8">
        <v>1286164</v>
      </c>
      <c r="DA159" s="8">
        <v>1229189</v>
      </c>
      <c r="DB159" s="9">
        <f t="shared" si="83"/>
        <v>1229189</v>
      </c>
      <c r="DC159" s="8">
        <v>251177</v>
      </c>
      <c r="DD159" s="8">
        <v>251177</v>
      </c>
      <c r="DE159" s="8">
        <v>251177</v>
      </c>
      <c r="DF159" s="8">
        <v>251177</v>
      </c>
      <c r="DG159" s="8">
        <v>251177</v>
      </c>
      <c r="DH159" s="8">
        <v>251177</v>
      </c>
      <c r="DI159" s="8">
        <v>259177</v>
      </c>
      <c r="DJ159" s="8">
        <v>259177</v>
      </c>
      <c r="DK159" s="8">
        <v>898004</v>
      </c>
      <c r="DL159" s="8">
        <v>898004</v>
      </c>
      <c r="DM159" s="8">
        <v>898004</v>
      </c>
      <c r="DN159" s="8">
        <v>898004</v>
      </c>
      <c r="DO159" s="9">
        <f t="shared" si="84"/>
        <v>898004</v>
      </c>
      <c r="DP159" s="8">
        <v>267001</v>
      </c>
      <c r="DQ159" s="8">
        <v>2503017</v>
      </c>
      <c r="DR159" s="8">
        <v>2946390</v>
      </c>
      <c r="DS159" s="8">
        <v>4135083</v>
      </c>
      <c r="DT159" s="8">
        <v>4135083</v>
      </c>
      <c r="DU159" s="8">
        <v>4169088</v>
      </c>
      <c r="DV159" s="8">
        <v>4185134</v>
      </c>
      <c r="DW159" s="8">
        <v>4239969</v>
      </c>
      <c r="DX159" s="8">
        <v>4240239</v>
      </c>
      <c r="DY159" s="8">
        <v>4240239</v>
      </c>
      <c r="DZ159" s="8">
        <v>4240239</v>
      </c>
      <c r="EA159" s="8">
        <v>4177362</v>
      </c>
      <c r="EB159" s="9">
        <f t="shared" si="85"/>
        <v>4177362</v>
      </c>
      <c r="EC159" s="8">
        <v>244561</v>
      </c>
      <c r="ED159" s="8">
        <v>244561</v>
      </c>
      <c r="EE159" s="8">
        <v>790722</v>
      </c>
      <c r="EF159" s="8">
        <v>790722</v>
      </c>
      <c r="EG159" s="8">
        <v>790722</v>
      </c>
      <c r="EH159" s="8">
        <v>790722</v>
      </c>
      <c r="EI159" s="8">
        <v>790722</v>
      </c>
      <c r="EJ159" s="8">
        <v>790722</v>
      </c>
      <c r="EK159" s="8">
        <v>790722</v>
      </c>
      <c r="EL159" s="8">
        <v>833422</v>
      </c>
      <c r="EM159" s="8">
        <v>833422</v>
      </c>
      <c r="EN159" s="8">
        <v>626430</v>
      </c>
      <c r="EO159" s="9">
        <f t="shared" si="86"/>
        <v>626430</v>
      </c>
      <c r="EP159" s="8">
        <v>254832</v>
      </c>
      <c r="EQ159" s="8">
        <v>691438</v>
      </c>
      <c r="ER159" s="8">
        <v>691438</v>
      </c>
      <c r="ES159" s="8">
        <v>701336</v>
      </c>
      <c r="ET159" s="8">
        <v>704336</v>
      </c>
      <c r="EU159" s="8">
        <v>704336</v>
      </c>
      <c r="EV159" s="8">
        <v>704336</v>
      </c>
      <c r="EW159" s="8">
        <v>893824</v>
      </c>
      <c r="EX159" s="8">
        <v>893824</v>
      </c>
      <c r="EY159" s="8">
        <v>893824</v>
      </c>
      <c r="EZ159" s="8">
        <v>893824</v>
      </c>
      <c r="FA159" s="8">
        <v>734910</v>
      </c>
      <c r="FB159" s="9">
        <f t="shared" si="87"/>
        <v>734910</v>
      </c>
      <c r="FC159" s="8">
        <v>262732</v>
      </c>
      <c r="FD159" s="8">
        <v>262732</v>
      </c>
      <c r="FE159" s="8">
        <v>262732</v>
      </c>
      <c r="FF159" s="8">
        <v>262732</v>
      </c>
      <c r="FG159" s="8">
        <v>262732</v>
      </c>
      <c r="FH159" s="8">
        <v>262732</v>
      </c>
      <c r="FI159" s="8">
        <v>262732</v>
      </c>
      <c r="FJ159" s="8"/>
      <c r="FK159" s="8"/>
      <c r="FL159" s="8"/>
      <c r="FM159" s="8"/>
      <c r="FN159" s="8"/>
      <c r="FO159" s="9">
        <f t="shared" si="88"/>
        <v>262732</v>
      </c>
    </row>
    <row r="160" spans="2:171" ht="14.25" customHeight="1" x14ac:dyDescent="0.3">
      <c r="B160" s="7" t="s">
        <v>48</v>
      </c>
      <c r="C160" s="8">
        <v>202258</v>
      </c>
      <c r="D160" s="8">
        <v>202258</v>
      </c>
      <c r="E160" s="8">
        <v>202258</v>
      </c>
      <c r="F160" s="8">
        <v>202258</v>
      </c>
      <c r="G160" s="8">
        <v>228878</v>
      </c>
      <c r="H160" s="8">
        <v>231530</v>
      </c>
      <c r="I160" s="8">
        <v>231530</v>
      </c>
      <c r="J160" s="8">
        <v>231530</v>
      </c>
      <c r="K160" s="8">
        <v>283829</v>
      </c>
      <c r="L160" s="8">
        <v>286329</v>
      </c>
      <c r="M160" s="8">
        <v>789430</v>
      </c>
      <c r="N160" s="8">
        <v>845945</v>
      </c>
      <c r="O160" s="9">
        <f t="shared" si="76"/>
        <v>845945</v>
      </c>
      <c r="P160" s="8">
        <v>208326</v>
      </c>
      <c r="Q160" s="8">
        <v>208326</v>
      </c>
      <c r="R160" s="8">
        <v>241286</v>
      </c>
      <c r="S160" s="8">
        <v>1249286</v>
      </c>
      <c r="T160" s="8">
        <v>1383844</v>
      </c>
      <c r="U160" s="8">
        <v>1383844</v>
      </c>
      <c r="V160" s="8">
        <v>1383844</v>
      </c>
      <c r="W160" s="8">
        <v>1472973</v>
      </c>
      <c r="X160" s="8">
        <v>1472973</v>
      </c>
      <c r="Y160" s="8">
        <v>1858773</v>
      </c>
      <c r="Z160" s="8">
        <v>2114923</v>
      </c>
      <c r="AA160" s="8">
        <v>2175312</v>
      </c>
      <c r="AB160" s="9">
        <f t="shared" si="77"/>
        <v>2175312</v>
      </c>
      <c r="AC160" s="8">
        <v>216242</v>
      </c>
      <c r="AD160" s="8">
        <v>465242</v>
      </c>
      <c r="AE160" s="8">
        <v>602092</v>
      </c>
      <c r="AF160" s="8">
        <v>602092</v>
      </c>
      <c r="AG160" s="8">
        <v>602092</v>
      </c>
      <c r="AH160" s="8">
        <v>605725</v>
      </c>
      <c r="AI160" s="8">
        <v>702318</v>
      </c>
      <c r="AJ160" s="8">
        <v>702318</v>
      </c>
      <c r="AK160" s="8">
        <v>702318</v>
      </c>
      <c r="AL160" s="8">
        <v>703218</v>
      </c>
      <c r="AM160" s="8">
        <v>708198</v>
      </c>
      <c r="AN160" s="8">
        <v>710382</v>
      </c>
      <c r="AO160" s="9">
        <f t="shared" si="78"/>
        <v>710382</v>
      </c>
      <c r="AP160" s="8">
        <v>222729</v>
      </c>
      <c r="AQ160" s="8">
        <v>222729</v>
      </c>
      <c r="AR160" s="8">
        <v>222729</v>
      </c>
      <c r="AS160" s="8">
        <v>222729</v>
      </c>
      <c r="AT160" s="8">
        <v>222729</v>
      </c>
      <c r="AU160" s="8">
        <v>286345</v>
      </c>
      <c r="AV160" s="8">
        <v>286345</v>
      </c>
      <c r="AW160" s="8">
        <v>286345</v>
      </c>
      <c r="AX160" s="8">
        <v>366345</v>
      </c>
      <c r="AY160" s="8">
        <v>366345</v>
      </c>
      <c r="AZ160" s="8">
        <v>532922</v>
      </c>
      <c r="BA160" s="8">
        <v>532922</v>
      </c>
      <c r="BB160" s="9">
        <f t="shared" si="79"/>
        <v>532922</v>
      </c>
      <c r="BC160" s="8">
        <v>228520</v>
      </c>
      <c r="BD160" s="8">
        <v>228520</v>
      </c>
      <c r="BE160" s="8">
        <v>228520</v>
      </c>
      <c r="BF160" s="8">
        <v>228520</v>
      </c>
      <c r="BG160" s="8">
        <v>228520</v>
      </c>
      <c r="BH160" s="8">
        <v>228520</v>
      </c>
      <c r="BI160" s="8">
        <v>205488</v>
      </c>
      <c r="BJ160" s="8">
        <v>256488</v>
      </c>
      <c r="BK160" s="8">
        <v>256488</v>
      </c>
      <c r="BL160" s="8">
        <v>256488</v>
      </c>
      <c r="BM160" s="8">
        <v>257157</v>
      </c>
      <c r="BN160" s="8">
        <v>304886</v>
      </c>
      <c r="BO160" s="9">
        <f t="shared" si="80"/>
        <v>304886</v>
      </c>
      <c r="BP160" s="8">
        <v>0</v>
      </c>
      <c r="BQ160" s="8">
        <v>0</v>
      </c>
      <c r="BR160" s="8">
        <v>0</v>
      </c>
      <c r="BS160" s="8">
        <v>170500</v>
      </c>
      <c r="BT160" s="8">
        <v>203366</v>
      </c>
      <c r="BU160" s="8">
        <v>219882</v>
      </c>
      <c r="BV160" s="8">
        <v>220551</v>
      </c>
      <c r="BW160" s="8">
        <v>248551</v>
      </c>
      <c r="BX160" s="8">
        <v>353029</v>
      </c>
      <c r="BY160" s="8">
        <v>353029</v>
      </c>
      <c r="BZ160" s="8">
        <v>353029</v>
      </c>
      <c r="CA160" s="8">
        <v>353029</v>
      </c>
      <c r="CB160" s="9">
        <f t="shared" si="81"/>
        <v>353029</v>
      </c>
      <c r="CC160" s="8">
        <v>80375</v>
      </c>
      <c r="CD160" s="8">
        <v>80375</v>
      </c>
      <c r="CE160" s="8">
        <v>80375</v>
      </c>
      <c r="CF160" s="8">
        <v>206164</v>
      </c>
      <c r="CG160" s="8">
        <v>207764</v>
      </c>
      <c r="CH160" s="8">
        <v>2511459</v>
      </c>
      <c r="CI160" s="8">
        <v>2511459</v>
      </c>
      <c r="CJ160" s="8">
        <v>2539995</v>
      </c>
      <c r="CK160" s="8">
        <v>4808346</v>
      </c>
      <c r="CL160" s="8">
        <v>4808346</v>
      </c>
      <c r="CM160" s="8">
        <v>4808346</v>
      </c>
      <c r="CN160" s="8">
        <v>4808346</v>
      </c>
      <c r="CO160" s="9">
        <f t="shared" si="82"/>
        <v>4808346</v>
      </c>
      <c r="CP160" s="8">
        <v>376018</v>
      </c>
      <c r="CQ160" s="8">
        <v>376018</v>
      </c>
      <c r="CR160" s="8">
        <v>376018</v>
      </c>
      <c r="CS160" s="8">
        <v>376018</v>
      </c>
      <c r="CT160" s="8">
        <v>702053</v>
      </c>
      <c r="CU160" s="8">
        <v>702053</v>
      </c>
      <c r="CV160" s="8">
        <v>702053</v>
      </c>
      <c r="CW160" s="8">
        <v>702453</v>
      </c>
      <c r="CX160" s="8">
        <v>702453</v>
      </c>
      <c r="CY160" s="8">
        <v>840053</v>
      </c>
      <c r="CZ160" s="8">
        <v>815986</v>
      </c>
      <c r="DA160" s="8">
        <v>699986</v>
      </c>
      <c r="DB160" s="9">
        <f t="shared" si="83"/>
        <v>699986</v>
      </c>
      <c r="DC160" s="8">
        <v>511002</v>
      </c>
      <c r="DD160" s="8">
        <v>511002</v>
      </c>
      <c r="DE160" s="8">
        <v>511002</v>
      </c>
      <c r="DF160" s="8">
        <v>511002</v>
      </c>
      <c r="DG160" s="8">
        <v>511002</v>
      </c>
      <c r="DH160" s="8">
        <v>511002</v>
      </c>
      <c r="DI160" s="8">
        <v>512402</v>
      </c>
      <c r="DJ160" s="8">
        <v>581505</v>
      </c>
      <c r="DK160" s="8">
        <v>661994</v>
      </c>
      <c r="DL160" s="8">
        <v>661994</v>
      </c>
      <c r="DM160" s="8">
        <v>661994</v>
      </c>
      <c r="DN160" s="8">
        <v>661994</v>
      </c>
      <c r="DO160" s="9">
        <f t="shared" si="84"/>
        <v>661994</v>
      </c>
      <c r="DP160" s="8">
        <v>543195</v>
      </c>
      <c r="DQ160" s="8">
        <v>700855</v>
      </c>
      <c r="DR160" s="8">
        <v>1086746</v>
      </c>
      <c r="DS160" s="8">
        <v>1089246</v>
      </c>
      <c r="DT160" s="8">
        <v>1089246</v>
      </c>
      <c r="DU160" s="8">
        <v>1140868</v>
      </c>
      <c r="DV160" s="8">
        <v>1167825</v>
      </c>
      <c r="DW160" s="8">
        <v>1189150</v>
      </c>
      <c r="DX160" s="8">
        <v>1455859</v>
      </c>
      <c r="DY160" s="8">
        <v>1455859</v>
      </c>
      <c r="DZ160" s="8">
        <v>1455859</v>
      </c>
      <c r="EA160" s="8">
        <v>1455859</v>
      </c>
      <c r="EB160" s="9">
        <f t="shared" si="85"/>
        <v>1455859</v>
      </c>
      <c r="EC160" s="8">
        <v>497544</v>
      </c>
      <c r="ED160" s="8">
        <v>497544</v>
      </c>
      <c r="EE160" s="8">
        <v>1531885</v>
      </c>
      <c r="EF160" s="8">
        <v>1548211</v>
      </c>
      <c r="EG160" s="8">
        <v>1878079</v>
      </c>
      <c r="EH160" s="8">
        <v>1878079</v>
      </c>
      <c r="EI160" s="8">
        <v>1878079</v>
      </c>
      <c r="EJ160" s="8">
        <v>1878079</v>
      </c>
      <c r="EK160" s="8">
        <v>1878079</v>
      </c>
      <c r="EL160" s="8">
        <v>1990514</v>
      </c>
      <c r="EM160" s="8">
        <v>1990514</v>
      </c>
      <c r="EN160" s="8">
        <v>1681782</v>
      </c>
      <c r="EO160" s="9">
        <f t="shared" si="86"/>
        <v>1681782</v>
      </c>
      <c r="EP160" s="8">
        <v>518441</v>
      </c>
      <c r="EQ160" s="8">
        <v>751685</v>
      </c>
      <c r="ER160" s="8">
        <v>751685</v>
      </c>
      <c r="ES160" s="8">
        <v>1489199</v>
      </c>
      <c r="ET160" s="8">
        <v>1548925</v>
      </c>
      <c r="EU160" s="8">
        <v>1548925</v>
      </c>
      <c r="EV160" s="8">
        <v>1548925</v>
      </c>
      <c r="EW160" s="8">
        <v>1548925</v>
      </c>
      <c r="EX160" s="8">
        <v>1548925</v>
      </c>
      <c r="EY160" s="8">
        <v>1548925</v>
      </c>
      <c r="EZ160" s="8">
        <v>1548925</v>
      </c>
      <c r="FA160" s="8">
        <v>1519802</v>
      </c>
      <c r="FB160" s="9">
        <f t="shared" si="87"/>
        <v>1519802</v>
      </c>
      <c r="FC160" s="8">
        <v>534512</v>
      </c>
      <c r="FD160" s="8">
        <v>534512</v>
      </c>
      <c r="FE160" s="8">
        <v>534512</v>
      </c>
      <c r="FF160" s="8">
        <v>534512</v>
      </c>
      <c r="FG160" s="8">
        <v>534512</v>
      </c>
      <c r="FH160" s="8">
        <v>534512</v>
      </c>
      <c r="FI160" s="8">
        <v>558518</v>
      </c>
      <c r="FJ160" s="8"/>
      <c r="FK160" s="8"/>
      <c r="FL160" s="8"/>
      <c r="FM160" s="8"/>
      <c r="FN160" s="8"/>
      <c r="FO160" s="9">
        <f t="shared" si="88"/>
        <v>558518</v>
      </c>
    </row>
    <row r="161" spans="2:171" ht="14.25" customHeight="1" x14ac:dyDescent="0.3">
      <c r="B161" s="7" t="s">
        <v>49</v>
      </c>
      <c r="C161" s="8">
        <v>118004</v>
      </c>
      <c r="D161" s="8">
        <v>118004</v>
      </c>
      <c r="E161" s="8">
        <v>118004</v>
      </c>
      <c r="F161" s="8">
        <v>118004</v>
      </c>
      <c r="G161" s="8">
        <v>129524</v>
      </c>
      <c r="H161" s="8">
        <v>129524</v>
      </c>
      <c r="I161" s="8">
        <v>129524</v>
      </c>
      <c r="J161" s="8">
        <v>129524</v>
      </c>
      <c r="K161" s="8">
        <v>201706</v>
      </c>
      <c r="L161" s="8">
        <v>201706</v>
      </c>
      <c r="M161" s="8">
        <v>547437</v>
      </c>
      <c r="N161" s="8">
        <v>1536899</v>
      </c>
      <c r="O161" s="9">
        <f t="shared" si="76"/>
        <v>1536899</v>
      </c>
      <c r="P161" s="8">
        <v>121544</v>
      </c>
      <c r="Q161" s="8">
        <v>121544</v>
      </c>
      <c r="R161" s="8">
        <v>888504</v>
      </c>
      <c r="S161" s="8">
        <v>888504</v>
      </c>
      <c r="T161" s="8">
        <v>1197502</v>
      </c>
      <c r="U161" s="8">
        <v>1197502</v>
      </c>
      <c r="V161" s="8">
        <v>1197502</v>
      </c>
      <c r="W161" s="8">
        <v>1252114</v>
      </c>
      <c r="X161" s="8">
        <v>1252114</v>
      </c>
      <c r="Y161" s="8">
        <v>1272814</v>
      </c>
      <c r="Z161" s="8">
        <v>1279060</v>
      </c>
      <c r="AA161" s="8">
        <v>1435366</v>
      </c>
      <c r="AB161" s="9">
        <f t="shared" si="77"/>
        <v>1435366</v>
      </c>
      <c r="AC161" s="8">
        <v>126163</v>
      </c>
      <c r="AD161" s="8">
        <v>345163</v>
      </c>
      <c r="AE161" s="8">
        <v>345163</v>
      </c>
      <c r="AF161" s="8">
        <v>345163</v>
      </c>
      <c r="AG161" s="8">
        <v>345163</v>
      </c>
      <c r="AH161" s="8">
        <v>373845</v>
      </c>
      <c r="AI161" s="8">
        <v>399429</v>
      </c>
      <c r="AJ161" s="8">
        <v>399429</v>
      </c>
      <c r="AK161" s="8">
        <v>399429</v>
      </c>
      <c r="AL161" s="8">
        <v>399429</v>
      </c>
      <c r="AM161" s="8">
        <v>399429</v>
      </c>
      <c r="AN161" s="8">
        <v>558234</v>
      </c>
      <c r="AO161" s="9">
        <f t="shared" si="78"/>
        <v>558234</v>
      </c>
      <c r="AP161" s="8">
        <v>129948</v>
      </c>
      <c r="AQ161" s="8">
        <v>129948</v>
      </c>
      <c r="AR161" s="8">
        <v>129948</v>
      </c>
      <c r="AS161" s="8">
        <v>129948</v>
      </c>
      <c r="AT161" s="8">
        <v>129948</v>
      </c>
      <c r="AU161" s="8">
        <v>216532</v>
      </c>
      <c r="AV161" s="8">
        <v>216532</v>
      </c>
      <c r="AW161" s="8">
        <v>216532</v>
      </c>
      <c r="AX161" s="8">
        <v>216532</v>
      </c>
      <c r="AY161" s="8">
        <v>218664</v>
      </c>
      <c r="AZ161" s="8">
        <v>371688</v>
      </c>
      <c r="BA161" s="8">
        <v>371688</v>
      </c>
      <c r="BB161" s="9">
        <f t="shared" si="79"/>
        <v>371688</v>
      </c>
      <c r="BC161" s="8">
        <v>133327</v>
      </c>
      <c r="BD161" s="8">
        <v>133327</v>
      </c>
      <c r="BE161" s="8">
        <v>133327</v>
      </c>
      <c r="BF161" s="8">
        <v>133327</v>
      </c>
      <c r="BG161" s="8">
        <v>133327</v>
      </c>
      <c r="BH161" s="8">
        <v>133327</v>
      </c>
      <c r="BI161" s="8">
        <v>119735</v>
      </c>
      <c r="BJ161" s="8">
        <v>584719</v>
      </c>
      <c r="BK161" s="8">
        <v>2034074</v>
      </c>
      <c r="BL161" s="8">
        <v>2034074</v>
      </c>
      <c r="BM161" s="8">
        <v>2034909</v>
      </c>
      <c r="BN161" s="8">
        <v>2227011</v>
      </c>
      <c r="BO161" s="9">
        <f t="shared" si="80"/>
        <v>2227011</v>
      </c>
      <c r="BP161" s="8">
        <v>0</v>
      </c>
      <c r="BQ161" s="8">
        <v>0</v>
      </c>
      <c r="BR161" s="8">
        <v>202703</v>
      </c>
      <c r="BS161" s="8">
        <v>373566</v>
      </c>
      <c r="BT161" s="8">
        <v>390322</v>
      </c>
      <c r="BU161" s="8">
        <v>390322</v>
      </c>
      <c r="BV161" s="8">
        <v>399257</v>
      </c>
      <c r="BW161" s="8">
        <v>595194</v>
      </c>
      <c r="BX161" s="8">
        <v>852287</v>
      </c>
      <c r="BY161" s="8">
        <v>852287</v>
      </c>
      <c r="BZ161" s="8">
        <v>852287</v>
      </c>
      <c r="CA161" s="8">
        <v>796938</v>
      </c>
      <c r="CB161" s="9">
        <f t="shared" si="81"/>
        <v>796938</v>
      </c>
      <c r="CC161" s="8">
        <v>42543</v>
      </c>
      <c r="CD161" s="8">
        <v>42543</v>
      </c>
      <c r="CE161" s="8">
        <v>42543</v>
      </c>
      <c r="CF161" s="8">
        <v>160258</v>
      </c>
      <c r="CG161" s="8">
        <v>160258</v>
      </c>
      <c r="CH161" s="8">
        <v>1123678</v>
      </c>
      <c r="CI161" s="8">
        <v>1123678</v>
      </c>
      <c r="CJ161" s="8">
        <v>1185705</v>
      </c>
      <c r="CK161" s="8">
        <v>1194101</v>
      </c>
      <c r="CL161" s="8">
        <v>1353101</v>
      </c>
      <c r="CM161" s="8">
        <v>1353101</v>
      </c>
      <c r="CN161" s="8">
        <v>1353101</v>
      </c>
      <c r="CO161" s="9">
        <f t="shared" si="82"/>
        <v>1353101</v>
      </c>
      <c r="CP161" s="8">
        <v>183254</v>
      </c>
      <c r="CQ161" s="8">
        <v>183254</v>
      </c>
      <c r="CR161" s="8">
        <v>183254</v>
      </c>
      <c r="CS161" s="8">
        <v>183254</v>
      </c>
      <c r="CT161" s="8">
        <v>495257</v>
      </c>
      <c r="CU161" s="8">
        <v>495257</v>
      </c>
      <c r="CV161" s="8">
        <v>597573</v>
      </c>
      <c r="CW161" s="8">
        <v>1142614</v>
      </c>
      <c r="CX161" s="8">
        <v>1142614</v>
      </c>
      <c r="CY161" s="8">
        <v>1190867</v>
      </c>
      <c r="CZ161" s="8">
        <v>1190867</v>
      </c>
      <c r="DA161" s="8">
        <v>1190867</v>
      </c>
      <c r="DB161" s="9">
        <f t="shared" si="83"/>
        <v>1190867</v>
      </c>
      <c r="DC161" s="8">
        <v>248523</v>
      </c>
      <c r="DD161" s="8">
        <v>248523</v>
      </c>
      <c r="DE161" s="8">
        <v>248523</v>
      </c>
      <c r="DF161" s="8">
        <v>248523</v>
      </c>
      <c r="DG161" s="8">
        <v>248523</v>
      </c>
      <c r="DH161" s="8">
        <v>307416</v>
      </c>
      <c r="DI161" s="8">
        <v>973578</v>
      </c>
      <c r="DJ161" s="8">
        <v>1309656</v>
      </c>
      <c r="DK161" s="8">
        <v>1663015</v>
      </c>
      <c r="DL161" s="8">
        <v>1663015</v>
      </c>
      <c r="DM161" s="8">
        <v>1663015</v>
      </c>
      <c r="DN161" s="8">
        <v>1663015</v>
      </c>
      <c r="DO161" s="9">
        <f t="shared" si="84"/>
        <v>1663015</v>
      </c>
      <c r="DP161" s="8">
        <v>264180</v>
      </c>
      <c r="DQ161" s="8">
        <v>535594</v>
      </c>
      <c r="DR161" s="8">
        <v>817447</v>
      </c>
      <c r="DS161" s="8">
        <v>819947</v>
      </c>
      <c r="DT161" s="8">
        <v>819947</v>
      </c>
      <c r="DU161" s="8">
        <v>866739</v>
      </c>
      <c r="DV161" s="8">
        <v>876354</v>
      </c>
      <c r="DW161" s="8">
        <v>905295</v>
      </c>
      <c r="DX161" s="8">
        <v>905565</v>
      </c>
      <c r="DY161" s="8">
        <v>905565</v>
      </c>
      <c r="DZ161" s="8">
        <v>905565</v>
      </c>
      <c r="EA161" s="8">
        <v>905565</v>
      </c>
      <c r="EB161" s="9">
        <f t="shared" si="85"/>
        <v>905565</v>
      </c>
      <c r="EC161" s="8">
        <v>241977</v>
      </c>
      <c r="ED161" s="8">
        <v>241977</v>
      </c>
      <c r="EE161" s="8">
        <v>450227</v>
      </c>
      <c r="EF161" s="8">
        <v>572077</v>
      </c>
      <c r="EG161" s="8">
        <v>682033</v>
      </c>
      <c r="EH161" s="8">
        <v>682033</v>
      </c>
      <c r="EI161" s="8">
        <v>682033</v>
      </c>
      <c r="EJ161" s="8">
        <v>707505</v>
      </c>
      <c r="EK161" s="8">
        <v>780680</v>
      </c>
      <c r="EL161" s="8">
        <v>792240</v>
      </c>
      <c r="EM161" s="8">
        <v>792240</v>
      </c>
      <c r="EN161" s="8">
        <v>763247</v>
      </c>
      <c r="EO161" s="9">
        <f t="shared" si="86"/>
        <v>763247</v>
      </c>
      <c r="EP161" s="8">
        <v>252140</v>
      </c>
      <c r="EQ161" s="8">
        <v>258131</v>
      </c>
      <c r="ER161" s="8">
        <v>258131</v>
      </c>
      <c r="ES161" s="8">
        <v>1148885</v>
      </c>
      <c r="ET161" s="8">
        <v>1152842</v>
      </c>
      <c r="EU161" s="8">
        <v>1152842</v>
      </c>
      <c r="EV161" s="8">
        <v>1152842</v>
      </c>
      <c r="EW161" s="8">
        <v>1152842</v>
      </c>
      <c r="EX161" s="8">
        <v>1152842</v>
      </c>
      <c r="EY161" s="8">
        <v>1152842</v>
      </c>
      <c r="EZ161" s="8">
        <v>1152842</v>
      </c>
      <c r="FA161" s="8">
        <v>1142868</v>
      </c>
      <c r="FB161" s="9">
        <f t="shared" si="87"/>
        <v>1142868</v>
      </c>
      <c r="FC161" s="8">
        <v>259957</v>
      </c>
      <c r="FD161" s="8">
        <v>259957</v>
      </c>
      <c r="FE161" s="8">
        <v>259957</v>
      </c>
      <c r="FF161" s="8">
        <v>259957</v>
      </c>
      <c r="FG161" s="8">
        <v>259957</v>
      </c>
      <c r="FH161" s="8">
        <v>259957</v>
      </c>
      <c r="FI161" s="8">
        <v>259957</v>
      </c>
      <c r="FJ161" s="8"/>
      <c r="FK161" s="8"/>
      <c r="FL161" s="8"/>
      <c r="FM161" s="8"/>
      <c r="FN161" s="8"/>
      <c r="FO161" s="9">
        <f t="shared" si="88"/>
        <v>259957</v>
      </c>
    </row>
    <row r="162" spans="2:171" ht="14.25" customHeight="1" x14ac:dyDescent="0.3">
      <c r="B162" s="7" t="s">
        <v>50</v>
      </c>
      <c r="C162" s="8">
        <v>288212</v>
      </c>
      <c r="D162" s="8">
        <v>288212</v>
      </c>
      <c r="E162" s="8">
        <v>288212</v>
      </c>
      <c r="F162" s="8">
        <v>288212</v>
      </c>
      <c r="G162" s="8">
        <v>308422</v>
      </c>
      <c r="H162" s="8">
        <v>331266</v>
      </c>
      <c r="I162" s="8">
        <v>331266</v>
      </c>
      <c r="J162" s="8">
        <v>331266</v>
      </c>
      <c r="K162" s="8">
        <v>438314</v>
      </c>
      <c r="L162" s="8">
        <v>440761</v>
      </c>
      <c r="M162" s="8">
        <v>1740346</v>
      </c>
      <c r="N162" s="8">
        <v>1798442</v>
      </c>
      <c r="O162" s="9">
        <f t="shared" si="76"/>
        <v>1798442</v>
      </c>
      <c r="P162" s="8">
        <v>296858</v>
      </c>
      <c r="Q162" s="8">
        <v>296858</v>
      </c>
      <c r="R162" s="8">
        <v>535738</v>
      </c>
      <c r="S162" s="8">
        <v>1486738</v>
      </c>
      <c r="T162" s="8">
        <v>2479079</v>
      </c>
      <c r="U162" s="8">
        <v>2762693</v>
      </c>
      <c r="V162" s="8">
        <v>2772693</v>
      </c>
      <c r="W162" s="8">
        <v>2951113</v>
      </c>
      <c r="X162" s="8">
        <v>2951113</v>
      </c>
      <c r="Y162" s="8">
        <v>3650357</v>
      </c>
      <c r="Z162" s="8">
        <v>4731425</v>
      </c>
      <c r="AA162" s="8">
        <v>5785975</v>
      </c>
      <c r="AB162" s="9">
        <f t="shared" si="77"/>
        <v>5785975</v>
      </c>
      <c r="AC162" s="8">
        <v>308139</v>
      </c>
      <c r="AD162" s="8">
        <v>658139</v>
      </c>
      <c r="AE162" s="8">
        <v>658139</v>
      </c>
      <c r="AF162" s="8">
        <v>658139</v>
      </c>
      <c r="AG162" s="8">
        <v>658139</v>
      </c>
      <c r="AH162" s="8">
        <v>661772</v>
      </c>
      <c r="AI162" s="8">
        <v>727222</v>
      </c>
      <c r="AJ162" s="8">
        <v>727222</v>
      </c>
      <c r="AK162" s="8">
        <v>2362818</v>
      </c>
      <c r="AL162" s="8">
        <v>2362818</v>
      </c>
      <c r="AM162" s="8">
        <v>2369188</v>
      </c>
      <c r="AN162" s="8">
        <v>2438823</v>
      </c>
      <c r="AO162" s="9">
        <f t="shared" si="78"/>
        <v>2438823</v>
      </c>
      <c r="AP162" s="8">
        <v>317383</v>
      </c>
      <c r="AQ162" s="8">
        <v>317383</v>
      </c>
      <c r="AR162" s="8">
        <v>317383</v>
      </c>
      <c r="AS162" s="8">
        <v>317383</v>
      </c>
      <c r="AT162" s="8">
        <v>317383</v>
      </c>
      <c r="AU162" s="8">
        <v>317939</v>
      </c>
      <c r="AV162" s="8">
        <v>395652</v>
      </c>
      <c r="AW162" s="8">
        <v>395652</v>
      </c>
      <c r="AX162" s="8">
        <v>504682</v>
      </c>
      <c r="AY162" s="8">
        <v>2721429</v>
      </c>
      <c r="AZ162" s="8">
        <v>2733429</v>
      </c>
      <c r="BA162" s="8">
        <v>3295084</v>
      </c>
      <c r="BB162" s="9">
        <f t="shared" si="79"/>
        <v>3295084</v>
      </c>
      <c r="BC162" s="8">
        <v>325635</v>
      </c>
      <c r="BD162" s="8">
        <v>325635</v>
      </c>
      <c r="BE162" s="8">
        <v>325635</v>
      </c>
      <c r="BF162" s="8">
        <v>325635</v>
      </c>
      <c r="BG162" s="8">
        <v>325635</v>
      </c>
      <c r="BH162" s="8">
        <v>468813</v>
      </c>
      <c r="BI162" s="8">
        <v>435614</v>
      </c>
      <c r="BJ162" s="8">
        <v>435614</v>
      </c>
      <c r="BK162" s="8">
        <v>4325881</v>
      </c>
      <c r="BL162" s="8">
        <v>4325881</v>
      </c>
      <c r="BM162" s="8">
        <v>4325881</v>
      </c>
      <c r="BN162" s="8">
        <v>4387211</v>
      </c>
      <c r="BO162" s="9">
        <f t="shared" si="80"/>
        <v>4387211</v>
      </c>
      <c r="BP162" s="8">
        <v>0</v>
      </c>
      <c r="BQ162" s="8">
        <v>0</v>
      </c>
      <c r="BR162" s="8">
        <v>190709</v>
      </c>
      <c r="BS162" s="8">
        <v>502014</v>
      </c>
      <c r="BT162" s="8">
        <v>540681</v>
      </c>
      <c r="BU162" s="8">
        <v>540681</v>
      </c>
      <c r="BV162" s="8">
        <v>567681</v>
      </c>
      <c r="BW162" s="8">
        <v>604181</v>
      </c>
      <c r="BX162" s="8">
        <v>835174</v>
      </c>
      <c r="BY162" s="8">
        <v>835174</v>
      </c>
      <c r="BZ162" s="8">
        <v>835174</v>
      </c>
      <c r="CA162" s="8">
        <v>910046</v>
      </c>
      <c r="CB162" s="9">
        <f t="shared" si="81"/>
        <v>910046</v>
      </c>
      <c r="CC162" s="8">
        <v>93134</v>
      </c>
      <c r="CD162" s="8">
        <v>93134</v>
      </c>
      <c r="CE162" s="8">
        <v>93134</v>
      </c>
      <c r="CF162" s="8">
        <v>260800</v>
      </c>
      <c r="CG162" s="8">
        <v>260800</v>
      </c>
      <c r="CH162" s="8">
        <v>1802849</v>
      </c>
      <c r="CI162" s="8">
        <v>1802849</v>
      </c>
      <c r="CJ162" s="8">
        <v>2174431</v>
      </c>
      <c r="CK162" s="8">
        <v>2208531</v>
      </c>
      <c r="CL162" s="8">
        <v>2534206</v>
      </c>
      <c r="CM162" s="8">
        <v>2534206</v>
      </c>
      <c r="CN162" s="8">
        <v>2534206</v>
      </c>
      <c r="CO162" s="9">
        <f t="shared" si="82"/>
        <v>2534206</v>
      </c>
      <c r="CP162" s="8">
        <v>413232</v>
      </c>
      <c r="CQ162" s="8">
        <v>413232</v>
      </c>
      <c r="CR162" s="8">
        <v>413232</v>
      </c>
      <c r="CS162" s="8">
        <v>413232</v>
      </c>
      <c r="CT162" s="8">
        <v>967942</v>
      </c>
      <c r="CU162" s="8">
        <v>967942</v>
      </c>
      <c r="CV162" s="8">
        <v>967942</v>
      </c>
      <c r="CW162" s="8">
        <v>986827</v>
      </c>
      <c r="CX162" s="8">
        <v>986827</v>
      </c>
      <c r="CY162" s="8">
        <v>1358595</v>
      </c>
      <c r="CZ162" s="8">
        <v>1412916</v>
      </c>
      <c r="DA162" s="8">
        <v>1374811</v>
      </c>
      <c r="DB162" s="9">
        <f t="shared" si="83"/>
        <v>1374811</v>
      </c>
      <c r="DC162" s="8">
        <v>561294</v>
      </c>
      <c r="DD162" s="8">
        <v>561294</v>
      </c>
      <c r="DE162" s="8">
        <v>561294</v>
      </c>
      <c r="DF162" s="8">
        <v>561294</v>
      </c>
      <c r="DG162" s="8">
        <v>561294</v>
      </c>
      <c r="DH162" s="8">
        <v>561294</v>
      </c>
      <c r="DI162" s="8">
        <v>583294</v>
      </c>
      <c r="DJ162" s="8">
        <v>1073046</v>
      </c>
      <c r="DK162" s="8">
        <v>2257513</v>
      </c>
      <c r="DL162" s="8">
        <v>2257513</v>
      </c>
      <c r="DM162" s="8">
        <v>2257513</v>
      </c>
      <c r="DN162" s="8">
        <v>2257513</v>
      </c>
      <c r="DO162" s="9">
        <f t="shared" si="84"/>
        <v>2257513</v>
      </c>
      <c r="DP162" s="8">
        <v>596656</v>
      </c>
      <c r="DQ162" s="8">
        <v>1360772</v>
      </c>
      <c r="DR162" s="8">
        <v>1373900</v>
      </c>
      <c r="DS162" s="8">
        <v>1376400</v>
      </c>
      <c r="DT162" s="8">
        <v>1376400</v>
      </c>
      <c r="DU162" s="8">
        <v>1545847</v>
      </c>
      <c r="DV162" s="8">
        <v>1590893</v>
      </c>
      <c r="DW162" s="8">
        <v>1638112</v>
      </c>
      <c r="DX162" s="8">
        <v>1759862</v>
      </c>
      <c r="DY162" s="8">
        <v>1759862</v>
      </c>
      <c r="DZ162" s="8">
        <v>1759862</v>
      </c>
      <c r="EA162" s="8">
        <v>1822739</v>
      </c>
      <c r="EB162" s="9">
        <f t="shared" si="85"/>
        <v>1822739</v>
      </c>
      <c r="EC162" s="8">
        <v>546510</v>
      </c>
      <c r="ED162" s="8">
        <v>546510</v>
      </c>
      <c r="EE162" s="8">
        <v>1678086</v>
      </c>
      <c r="EF162" s="8">
        <v>1685743</v>
      </c>
      <c r="EG162" s="8">
        <v>1905655</v>
      </c>
      <c r="EH162" s="8">
        <v>1905655</v>
      </c>
      <c r="EI162" s="8">
        <v>1905655</v>
      </c>
      <c r="EJ162" s="8">
        <v>1905655</v>
      </c>
      <c r="EK162" s="8">
        <v>1819245</v>
      </c>
      <c r="EL162" s="8">
        <v>1907160</v>
      </c>
      <c r="EM162" s="8">
        <v>1907160</v>
      </c>
      <c r="EN162" s="8">
        <v>1400867</v>
      </c>
      <c r="EO162" s="9">
        <f t="shared" si="86"/>
        <v>1400867</v>
      </c>
      <c r="EP162" s="8">
        <v>569463</v>
      </c>
      <c r="EQ162" s="8">
        <v>1050249</v>
      </c>
      <c r="ER162" s="8">
        <v>1050249</v>
      </c>
      <c r="ES162" s="8">
        <v>3006178</v>
      </c>
      <c r="ET162" s="8">
        <v>3006178</v>
      </c>
      <c r="EU162" s="8">
        <v>3006178</v>
      </c>
      <c r="EV162" s="8">
        <v>3006178</v>
      </c>
      <c r="EW162" s="8">
        <v>3006178</v>
      </c>
      <c r="EX162" s="8">
        <v>3006198</v>
      </c>
      <c r="EY162" s="8">
        <v>3006198</v>
      </c>
      <c r="EZ162" s="8">
        <v>3006198</v>
      </c>
      <c r="FA162" s="8">
        <v>2534859</v>
      </c>
      <c r="FB162" s="9">
        <f t="shared" si="87"/>
        <v>2534859</v>
      </c>
      <c r="FC162" s="8">
        <v>587116</v>
      </c>
      <c r="FD162" s="8">
        <v>587116</v>
      </c>
      <c r="FE162" s="8">
        <v>587534</v>
      </c>
      <c r="FF162" s="8">
        <v>587534</v>
      </c>
      <c r="FG162" s="8">
        <v>587534</v>
      </c>
      <c r="FH162" s="8">
        <v>587534</v>
      </c>
      <c r="FI162" s="8">
        <v>1151154</v>
      </c>
      <c r="FJ162" s="8"/>
      <c r="FK162" s="8"/>
      <c r="FL162" s="8"/>
      <c r="FM162" s="8"/>
      <c r="FN162" s="8"/>
      <c r="FO162" s="9">
        <f t="shared" si="88"/>
        <v>1151154</v>
      </c>
    </row>
    <row r="163" spans="2:171" ht="14.25" customHeight="1" x14ac:dyDescent="0.3">
      <c r="B163" s="7" t="s">
        <v>51</v>
      </c>
      <c r="C163" s="8">
        <v>346611</v>
      </c>
      <c r="D163" s="8">
        <v>346611</v>
      </c>
      <c r="E163" s="8">
        <v>346611</v>
      </c>
      <c r="F163" s="8">
        <v>346611</v>
      </c>
      <c r="G163" s="8">
        <v>369281</v>
      </c>
      <c r="H163" s="8">
        <v>507597</v>
      </c>
      <c r="I163" s="8">
        <v>507597</v>
      </c>
      <c r="J163" s="8">
        <v>507597</v>
      </c>
      <c r="K163" s="8">
        <v>542463</v>
      </c>
      <c r="L163" s="8">
        <v>553880</v>
      </c>
      <c r="M163" s="8">
        <v>1337688</v>
      </c>
      <c r="N163" s="8">
        <v>1372688</v>
      </c>
      <c r="O163" s="9">
        <f t="shared" si="76"/>
        <v>1372688</v>
      </c>
      <c r="P163" s="8">
        <v>357009</v>
      </c>
      <c r="Q163" s="8">
        <v>357009</v>
      </c>
      <c r="R163" s="8">
        <v>422929</v>
      </c>
      <c r="S163" s="8">
        <v>1656436</v>
      </c>
      <c r="T163" s="8">
        <v>1734569</v>
      </c>
      <c r="U163" s="8">
        <v>3498338</v>
      </c>
      <c r="V163" s="8">
        <v>3508338</v>
      </c>
      <c r="W163" s="8">
        <v>3598365</v>
      </c>
      <c r="X163" s="8">
        <v>3598365</v>
      </c>
      <c r="Y163" s="8">
        <v>4356365</v>
      </c>
      <c r="Z163" s="8">
        <v>5152610</v>
      </c>
      <c r="AA163" s="8">
        <v>5990325</v>
      </c>
      <c r="AB163" s="9">
        <f t="shared" si="77"/>
        <v>5990325</v>
      </c>
      <c r="AC163" s="8">
        <v>370575</v>
      </c>
      <c r="AD163" s="8">
        <v>662575</v>
      </c>
      <c r="AE163" s="8">
        <v>662575</v>
      </c>
      <c r="AF163" s="8">
        <v>662575</v>
      </c>
      <c r="AG163" s="8">
        <v>662575</v>
      </c>
      <c r="AH163" s="8">
        <v>691255</v>
      </c>
      <c r="AI163" s="8">
        <v>739524</v>
      </c>
      <c r="AJ163" s="8">
        <v>736459</v>
      </c>
      <c r="AK163" s="8">
        <v>736459</v>
      </c>
      <c r="AL163" s="8">
        <v>742007</v>
      </c>
      <c r="AM163" s="8">
        <v>818464</v>
      </c>
      <c r="AN163" s="8">
        <v>853395</v>
      </c>
      <c r="AO163" s="9">
        <f t="shared" si="78"/>
        <v>853395</v>
      </c>
      <c r="AP163" s="8">
        <v>381692</v>
      </c>
      <c r="AQ163" s="8">
        <v>381692</v>
      </c>
      <c r="AR163" s="8">
        <v>381692</v>
      </c>
      <c r="AS163" s="8">
        <v>381692</v>
      </c>
      <c r="AT163" s="8">
        <v>381692</v>
      </c>
      <c r="AU163" s="8">
        <v>458591</v>
      </c>
      <c r="AV163" s="8">
        <v>472611</v>
      </c>
      <c r="AW163" s="8">
        <v>472611</v>
      </c>
      <c r="AX163" s="8">
        <v>2975611</v>
      </c>
      <c r="AY163" s="8">
        <v>3672449</v>
      </c>
      <c r="AZ163" s="8">
        <v>3780433</v>
      </c>
      <c r="BA163" s="8">
        <v>3531734</v>
      </c>
      <c r="BB163" s="9">
        <f t="shared" si="79"/>
        <v>3531734</v>
      </c>
      <c r="BC163" s="8">
        <v>391616</v>
      </c>
      <c r="BD163" s="8">
        <v>391616</v>
      </c>
      <c r="BE163" s="8">
        <v>391616</v>
      </c>
      <c r="BF163" s="8">
        <v>391616</v>
      </c>
      <c r="BG163" s="8">
        <v>391616</v>
      </c>
      <c r="BH163" s="8">
        <v>698625</v>
      </c>
      <c r="BI163" s="8">
        <v>659943</v>
      </c>
      <c r="BJ163" s="8">
        <v>694943</v>
      </c>
      <c r="BK163" s="8">
        <v>6955892</v>
      </c>
      <c r="BL163" s="8">
        <v>6955892</v>
      </c>
      <c r="BM163" s="8">
        <v>6973152</v>
      </c>
      <c r="BN163" s="8">
        <v>7815128</v>
      </c>
      <c r="BO163" s="9">
        <f t="shared" si="80"/>
        <v>7815128</v>
      </c>
      <c r="BP163" s="8">
        <v>0</v>
      </c>
      <c r="BQ163" s="8">
        <v>0</v>
      </c>
      <c r="BR163" s="8">
        <v>0</v>
      </c>
      <c r="BS163" s="8">
        <v>1020120</v>
      </c>
      <c r="BT163" s="8">
        <v>1812566</v>
      </c>
      <c r="BU163" s="8">
        <v>1812566</v>
      </c>
      <c r="BV163" s="8">
        <v>1898034</v>
      </c>
      <c r="BW163" s="8">
        <v>1939534</v>
      </c>
      <c r="BX163" s="8">
        <v>3445236</v>
      </c>
      <c r="BY163" s="8">
        <v>3445236</v>
      </c>
      <c r="BZ163" s="8">
        <v>3445236</v>
      </c>
      <c r="CA163" s="8">
        <v>3445236</v>
      </c>
      <c r="CB163" s="9">
        <f t="shared" si="81"/>
        <v>3445236</v>
      </c>
      <c r="CC163" s="8">
        <v>79142</v>
      </c>
      <c r="CD163" s="8">
        <v>79142</v>
      </c>
      <c r="CE163" s="8">
        <v>79142</v>
      </c>
      <c r="CF163" s="8">
        <v>283165</v>
      </c>
      <c r="CG163" s="8">
        <v>306594</v>
      </c>
      <c r="CH163" s="8">
        <v>597410</v>
      </c>
      <c r="CI163" s="8">
        <v>597410</v>
      </c>
      <c r="CJ163" s="8">
        <v>895498</v>
      </c>
      <c r="CK163" s="8">
        <v>1007299</v>
      </c>
      <c r="CL163" s="8">
        <v>1340974</v>
      </c>
      <c r="CM163" s="8">
        <v>1340974</v>
      </c>
      <c r="CN163" s="8">
        <v>1340974</v>
      </c>
      <c r="CO163" s="9">
        <f t="shared" si="82"/>
        <v>1340974</v>
      </c>
      <c r="CP163" s="8">
        <v>333094</v>
      </c>
      <c r="CQ163" s="8">
        <v>333094</v>
      </c>
      <c r="CR163" s="8">
        <v>333094</v>
      </c>
      <c r="CS163" s="8">
        <v>333094</v>
      </c>
      <c r="CT163" s="8">
        <v>712298</v>
      </c>
      <c r="CU163" s="8">
        <v>733172</v>
      </c>
      <c r="CV163" s="8">
        <v>733172</v>
      </c>
      <c r="CW163" s="8">
        <v>1705224</v>
      </c>
      <c r="CX163" s="8">
        <v>1705224</v>
      </c>
      <c r="CY163" s="8">
        <v>1797398</v>
      </c>
      <c r="CZ163" s="8">
        <v>1830576</v>
      </c>
      <c r="DA163" s="8">
        <v>1625578</v>
      </c>
      <c r="DB163" s="9">
        <f t="shared" si="83"/>
        <v>1625578</v>
      </c>
      <c r="DC163" s="8">
        <v>451628</v>
      </c>
      <c r="DD163" s="8">
        <v>451628</v>
      </c>
      <c r="DE163" s="8">
        <v>451628</v>
      </c>
      <c r="DF163" s="8">
        <v>451628</v>
      </c>
      <c r="DG163" s="8">
        <v>451628</v>
      </c>
      <c r="DH163" s="8">
        <v>451628</v>
      </c>
      <c r="DI163" s="8">
        <v>633034</v>
      </c>
      <c r="DJ163" s="8">
        <v>1541642</v>
      </c>
      <c r="DK163" s="8">
        <v>3049061</v>
      </c>
      <c r="DL163" s="8">
        <v>3049061</v>
      </c>
      <c r="DM163" s="8">
        <v>3049061</v>
      </c>
      <c r="DN163" s="8">
        <v>2868690</v>
      </c>
      <c r="DO163" s="9">
        <f t="shared" si="84"/>
        <v>2868690</v>
      </c>
      <c r="DP163" s="8">
        <v>480081</v>
      </c>
      <c r="DQ163" s="8">
        <v>1529959</v>
      </c>
      <c r="DR163" s="8">
        <v>1529959</v>
      </c>
      <c r="DS163" s="8">
        <v>1532459</v>
      </c>
      <c r="DT163" s="8">
        <v>1532459</v>
      </c>
      <c r="DU163" s="8">
        <v>1690049</v>
      </c>
      <c r="DV163" s="8">
        <v>1747814</v>
      </c>
      <c r="DW163" s="8">
        <v>1782847</v>
      </c>
      <c r="DX163" s="8">
        <v>3285806</v>
      </c>
      <c r="DY163" s="8">
        <v>3285806</v>
      </c>
      <c r="DZ163" s="8">
        <v>3285806</v>
      </c>
      <c r="EA163" s="8">
        <v>3285806</v>
      </c>
      <c r="EB163" s="9">
        <f t="shared" si="85"/>
        <v>3285806</v>
      </c>
      <c r="EC163" s="8">
        <v>439733</v>
      </c>
      <c r="ED163" s="8">
        <v>439733</v>
      </c>
      <c r="EE163" s="8">
        <v>2258764</v>
      </c>
      <c r="EF163" s="8">
        <v>2680186</v>
      </c>
      <c r="EG163" s="8">
        <v>2680186</v>
      </c>
      <c r="EH163" s="8">
        <v>2680186</v>
      </c>
      <c r="EI163" s="8">
        <v>2680186</v>
      </c>
      <c r="EJ163" s="8">
        <v>2680186</v>
      </c>
      <c r="EK163" s="8">
        <v>2680186</v>
      </c>
      <c r="EL163" s="8">
        <v>2739894</v>
      </c>
      <c r="EM163" s="8">
        <v>2739894</v>
      </c>
      <c r="EN163" s="8">
        <v>2727496</v>
      </c>
      <c r="EO163" s="9">
        <f t="shared" si="86"/>
        <v>2727496</v>
      </c>
      <c r="EP163" s="8">
        <v>458202</v>
      </c>
      <c r="EQ163" s="8">
        <v>790158</v>
      </c>
      <c r="ER163" s="8">
        <v>790158</v>
      </c>
      <c r="ES163" s="8">
        <v>1671529</v>
      </c>
      <c r="ET163" s="8">
        <v>1721513</v>
      </c>
      <c r="EU163" s="8">
        <v>1721513</v>
      </c>
      <c r="EV163" s="8">
        <v>1776874</v>
      </c>
      <c r="EW163" s="8">
        <v>1776874</v>
      </c>
      <c r="EX163" s="8">
        <v>1776874</v>
      </c>
      <c r="EY163" s="8">
        <v>1776874</v>
      </c>
      <c r="EZ163" s="8">
        <v>1776874</v>
      </c>
      <c r="FA163" s="8">
        <v>1708295</v>
      </c>
      <c r="FB163" s="9">
        <f t="shared" si="87"/>
        <v>1708295</v>
      </c>
      <c r="FC163" s="8">
        <v>472406</v>
      </c>
      <c r="FD163" s="8">
        <v>472406</v>
      </c>
      <c r="FE163" s="8">
        <v>472406</v>
      </c>
      <c r="FF163" s="8">
        <v>472406</v>
      </c>
      <c r="FG163" s="8">
        <v>472406</v>
      </c>
      <c r="FH163" s="8">
        <v>472406</v>
      </c>
      <c r="FI163" s="8">
        <v>1260420</v>
      </c>
      <c r="FJ163" s="8"/>
      <c r="FK163" s="8"/>
      <c r="FL163" s="8"/>
      <c r="FM163" s="8"/>
      <c r="FN163" s="8"/>
      <c r="FO163" s="9">
        <f t="shared" si="88"/>
        <v>1260420</v>
      </c>
    </row>
    <row r="164" spans="2:171" ht="14.25" customHeight="1" x14ac:dyDescent="0.3">
      <c r="B164" s="7" t="s">
        <v>52</v>
      </c>
      <c r="C164" s="8">
        <v>357298</v>
      </c>
      <c r="D164" s="8">
        <v>357298</v>
      </c>
      <c r="E164" s="8">
        <v>357298</v>
      </c>
      <c r="F164" s="8">
        <v>357298</v>
      </c>
      <c r="G164" s="8">
        <v>378198</v>
      </c>
      <c r="H164" s="8">
        <v>415690</v>
      </c>
      <c r="I164" s="8">
        <v>415690</v>
      </c>
      <c r="J164" s="8">
        <v>415690</v>
      </c>
      <c r="K164" s="8">
        <v>502854</v>
      </c>
      <c r="L164" s="8">
        <v>502854</v>
      </c>
      <c r="M164" s="8">
        <v>4809106</v>
      </c>
      <c r="N164" s="8">
        <v>4838921</v>
      </c>
      <c r="O164" s="9">
        <f t="shared" si="76"/>
        <v>4838921</v>
      </c>
      <c r="P164" s="8">
        <v>368017</v>
      </c>
      <c r="Q164" s="8">
        <v>368017</v>
      </c>
      <c r="R164" s="8">
        <v>1468937</v>
      </c>
      <c r="S164" s="8">
        <v>1924619</v>
      </c>
      <c r="T164" s="8">
        <v>2340414</v>
      </c>
      <c r="U164" s="8">
        <v>2340414</v>
      </c>
      <c r="V164" s="8">
        <v>2350414</v>
      </c>
      <c r="W164" s="8">
        <v>2429212</v>
      </c>
      <c r="X164" s="8">
        <v>2429212</v>
      </c>
      <c r="Y164" s="8">
        <v>2629212</v>
      </c>
      <c r="Z164" s="8">
        <v>4739879</v>
      </c>
      <c r="AA164" s="8">
        <v>4151755</v>
      </c>
      <c r="AB164" s="9">
        <f t="shared" si="77"/>
        <v>4151755</v>
      </c>
      <c r="AC164" s="8">
        <v>382002</v>
      </c>
      <c r="AD164" s="8">
        <v>732002</v>
      </c>
      <c r="AE164" s="8">
        <v>800427</v>
      </c>
      <c r="AF164" s="8">
        <v>800427</v>
      </c>
      <c r="AG164" s="8">
        <v>800427</v>
      </c>
      <c r="AH164" s="8">
        <v>804060</v>
      </c>
      <c r="AI164" s="8">
        <v>804060</v>
      </c>
      <c r="AJ164" s="8">
        <v>804060</v>
      </c>
      <c r="AK164" s="8">
        <v>804060</v>
      </c>
      <c r="AL164" s="8">
        <v>804060</v>
      </c>
      <c r="AM164" s="8">
        <v>1479556</v>
      </c>
      <c r="AN164" s="8">
        <v>1479556</v>
      </c>
      <c r="AO164" s="9">
        <f t="shared" si="78"/>
        <v>1479556</v>
      </c>
      <c r="AP164" s="8">
        <v>393462</v>
      </c>
      <c r="AQ164" s="8">
        <v>393462</v>
      </c>
      <c r="AR164" s="8">
        <v>393462</v>
      </c>
      <c r="AS164" s="8">
        <v>393462</v>
      </c>
      <c r="AT164" s="8">
        <v>393462</v>
      </c>
      <c r="AU164" s="8">
        <v>393462</v>
      </c>
      <c r="AV164" s="8">
        <v>408240</v>
      </c>
      <c r="AW164" s="8">
        <v>408240</v>
      </c>
      <c r="AX164" s="8">
        <v>488240</v>
      </c>
      <c r="AY164" s="8">
        <v>488240</v>
      </c>
      <c r="AZ164" s="8">
        <v>488240</v>
      </c>
      <c r="BA164" s="8">
        <v>488240</v>
      </c>
      <c r="BB164" s="9">
        <f t="shared" si="79"/>
        <v>488240</v>
      </c>
      <c r="BC164" s="8">
        <v>403692</v>
      </c>
      <c r="BD164" s="8">
        <v>403692</v>
      </c>
      <c r="BE164" s="8">
        <v>403692</v>
      </c>
      <c r="BF164" s="8">
        <v>403692</v>
      </c>
      <c r="BG164" s="8">
        <v>403692</v>
      </c>
      <c r="BH164" s="8">
        <v>403692</v>
      </c>
      <c r="BI164" s="8">
        <v>362535</v>
      </c>
      <c r="BJ164" s="8">
        <v>2140811</v>
      </c>
      <c r="BK164" s="8">
        <v>2769757</v>
      </c>
      <c r="BL164" s="8">
        <v>2769757</v>
      </c>
      <c r="BM164" s="8">
        <v>2874001</v>
      </c>
      <c r="BN164" s="8">
        <v>3232343</v>
      </c>
      <c r="BO164" s="9">
        <f t="shared" si="80"/>
        <v>3232343</v>
      </c>
      <c r="BP164" s="8">
        <v>0</v>
      </c>
      <c r="BQ164" s="8">
        <v>0</v>
      </c>
      <c r="BR164" s="8">
        <v>0</v>
      </c>
      <c r="BS164" s="8">
        <v>1947580</v>
      </c>
      <c r="BT164" s="8">
        <v>1992675</v>
      </c>
      <c r="BU164" s="8">
        <v>1992675</v>
      </c>
      <c r="BV164" s="8">
        <v>2022175</v>
      </c>
      <c r="BW164" s="8">
        <v>2096747</v>
      </c>
      <c r="BX164" s="8">
        <v>3111252</v>
      </c>
      <c r="BY164" s="8">
        <v>3111252</v>
      </c>
      <c r="BZ164" s="8">
        <v>3111252</v>
      </c>
      <c r="CA164" s="8">
        <v>3111252</v>
      </c>
      <c r="CB164" s="9">
        <f t="shared" si="81"/>
        <v>3111252</v>
      </c>
      <c r="CC164" s="8">
        <v>108890</v>
      </c>
      <c r="CD164" s="8">
        <v>108890</v>
      </c>
      <c r="CE164" s="8">
        <v>108890</v>
      </c>
      <c r="CF164" s="8">
        <v>240268</v>
      </c>
      <c r="CG164" s="8">
        <v>240268</v>
      </c>
      <c r="CH164" s="8">
        <v>2072980</v>
      </c>
      <c r="CI164" s="8">
        <v>2072980</v>
      </c>
      <c r="CJ164" s="8">
        <v>2102480</v>
      </c>
      <c r="CK164" s="8">
        <v>2348826</v>
      </c>
      <c r="CL164" s="8">
        <v>2460522</v>
      </c>
      <c r="CM164" s="8">
        <v>2460522</v>
      </c>
      <c r="CN164" s="8">
        <v>2460522</v>
      </c>
      <c r="CO164" s="9">
        <f t="shared" si="82"/>
        <v>2460522</v>
      </c>
      <c r="CP164" s="8">
        <v>476890</v>
      </c>
      <c r="CQ164" s="8">
        <v>476890</v>
      </c>
      <c r="CR164" s="8">
        <v>476890</v>
      </c>
      <c r="CS164" s="8">
        <v>476890</v>
      </c>
      <c r="CT164" s="8">
        <v>595266</v>
      </c>
      <c r="CU164" s="8">
        <v>597646</v>
      </c>
      <c r="CV164" s="8">
        <v>597646</v>
      </c>
      <c r="CW164" s="8">
        <v>601846</v>
      </c>
      <c r="CX164" s="8">
        <v>601846</v>
      </c>
      <c r="CY164" s="8">
        <v>601846</v>
      </c>
      <c r="CZ164" s="8">
        <v>601846</v>
      </c>
      <c r="DA164" s="8">
        <v>599466</v>
      </c>
      <c r="DB164" s="9">
        <f t="shared" si="83"/>
        <v>599466</v>
      </c>
      <c r="DC164" s="8">
        <v>651404</v>
      </c>
      <c r="DD164" s="8">
        <v>651404</v>
      </c>
      <c r="DE164" s="8">
        <v>651404</v>
      </c>
      <c r="DF164" s="8">
        <v>651404</v>
      </c>
      <c r="DG164" s="8">
        <v>651404</v>
      </c>
      <c r="DH164" s="8">
        <v>651404</v>
      </c>
      <c r="DI164" s="8">
        <v>678104</v>
      </c>
      <c r="DJ164" s="8">
        <v>2366467</v>
      </c>
      <c r="DK164" s="8">
        <v>2603136</v>
      </c>
      <c r="DL164" s="8">
        <v>2603136</v>
      </c>
      <c r="DM164" s="8">
        <v>2603136</v>
      </c>
      <c r="DN164" s="8">
        <v>2662738</v>
      </c>
      <c r="DO164" s="9">
        <f t="shared" si="84"/>
        <v>2662738</v>
      </c>
      <c r="DP164" s="8">
        <v>692443</v>
      </c>
      <c r="DQ164" s="8">
        <v>1304443</v>
      </c>
      <c r="DR164" s="8">
        <v>1317571</v>
      </c>
      <c r="DS164" s="8">
        <v>1320071</v>
      </c>
      <c r="DT164" s="8">
        <v>1320071</v>
      </c>
      <c r="DU164" s="8">
        <v>1604204</v>
      </c>
      <c r="DV164" s="8">
        <v>1637027</v>
      </c>
      <c r="DW164" s="8">
        <v>1699478</v>
      </c>
      <c r="DX164" s="8">
        <v>1700288</v>
      </c>
      <c r="DY164" s="8">
        <v>1700288</v>
      </c>
      <c r="DZ164" s="8">
        <v>1700288</v>
      </c>
      <c r="EA164" s="8">
        <v>1700288</v>
      </c>
      <c r="EB164" s="9">
        <f t="shared" si="85"/>
        <v>1700288</v>
      </c>
      <c r="EC164" s="8">
        <v>634247</v>
      </c>
      <c r="ED164" s="8">
        <v>634247</v>
      </c>
      <c r="EE164" s="8">
        <v>719425</v>
      </c>
      <c r="EF164" s="8">
        <v>1680204</v>
      </c>
      <c r="EG164" s="8">
        <v>2120028</v>
      </c>
      <c r="EH164" s="8">
        <v>2120028</v>
      </c>
      <c r="EI164" s="8">
        <v>2120028</v>
      </c>
      <c r="EJ164" s="8">
        <v>2187472</v>
      </c>
      <c r="EK164" s="8">
        <v>2187472</v>
      </c>
      <c r="EL164" s="8">
        <v>2277412</v>
      </c>
      <c r="EM164" s="8">
        <v>2277412</v>
      </c>
      <c r="EN164" s="8">
        <v>1758674</v>
      </c>
      <c r="EO164" s="9">
        <f t="shared" si="86"/>
        <v>1758674</v>
      </c>
      <c r="EP164" s="8">
        <v>660885</v>
      </c>
      <c r="EQ164" s="8">
        <v>1107600</v>
      </c>
      <c r="ER164" s="8">
        <v>1107600</v>
      </c>
      <c r="ES164" s="8">
        <v>1677844</v>
      </c>
      <c r="ET164" s="8">
        <v>1697444</v>
      </c>
      <c r="EU164" s="8">
        <v>1697444</v>
      </c>
      <c r="EV164" s="8">
        <v>1752781</v>
      </c>
      <c r="EW164" s="8">
        <v>1752781</v>
      </c>
      <c r="EX164" s="8">
        <v>1752781</v>
      </c>
      <c r="EY164" s="8">
        <v>1752781</v>
      </c>
      <c r="EZ164" s="8">
        <v>1752781</v>
      </c>
      <c r="FA164" s="8">
        <v>1748472</v>
      </c>
      <c r="FB164" s="9">
        <f t="shared" si="87"/>
        <v>1748472</v>
      </c>
      <c r="FC164" s="8">
        <v>681372</v>
      </c>
      <c r="FD164" s="8">
        <v>794731</v>
      </c>
      <c r="FE164" s="8">
        <v>794731</v>
      </c>
      <c r="FF164" s="8">
        <v>794731</v>
      </c>
      <c r="FG164" s="8">
        <v>794731</v>
      </c>
      <c r="FH164" s="8">
        <v>794731</v>
      </c>
      <c r="FI164" s="8">
        <v>901891</v>
      </c>
      <c r="FJ164" s="8"/>
      <c r="FK164" s="8"/>
      <c r="FL164" s="8"/>
      <c r="FM164" s="8"/>
      <c r="FN164" s="8"/>
      <c r="FO164" s="9">
        <f t="shared" si="88"/>
        <v>901891</v>
      </c>
    </row>
    <row r="165" spans="2:171" ht="14.25" customHeight="1" x14ac:dyDescent="0.3">
      <c r="B165" s="7" t="s">
        <v>53</v>
      </c>
      <c r="C165" s="8">
        <v>286402</v>
      </c>
      <c r="D165" s="8">
        <v>479302</v>
      </c>
      <c r="E165" s="8">
        <v>479302</v>
      </c>
      <c r="F165" s="8">
        <v>479302</v>
      </c>
      <c r="G165" s="8">
        <v>498042</v>
      </c>
      <c r="H165" s="8">
        <v>498042</v>
      </c>
      <c r="I165" s="8">
        <v>498042</v>
      </c>
      <c r="J165" s="8">
        <v>498042</v>
      </c>
      <c r="K165" s="8">
        <v>541624</v>
      </c>
      <c r="L165" s="8">
        <v>541624</v>
      </c>
      <c r="M165" s="8">
        <v>999624</v>
      </c>
      <c r="N165" s="8">
        <v>1019624</v>
      </c>
      <c r="O165" s="9">
        <f t="shared" si="76"/>
        <v>1019624</v>
      </c>
      <c r="P165" s="8">
        <v>294994</v>
      </c>
      <c r="Q165" s="8">
        <v>294994</v>
      </c>
      <c r="R165" s="8">
        <v>765954</v>
      </c>
      <c r="S165" s="8">
        <v>1289744</v>
      </c>
      <c r="T165" s="8">
        <v>1289744</v>
      </c>
      <c r="U165" s="8">
        <v>1289744</v>
      </c>
      <c r="V165" s="8">
        <v>1390653</v>
      </c>
      <c r="W165" s="8">
        <v>1521649</v>
      </c>
      <c r="X165" s="8">
        <v>1521649</v>
      </c>
      <c r="Y165" s="8">
        <v>1909649</v>
      </c>
      <c r="Z165" s="8">
        <v>2103410</v>
      </c>
      <c r="AA165" s="8">
        <v>3096056</v>
      </c>
      <c r="AB165" s="9">
        <f t="shared" si="77"/>
        <v>3096056</v>
      </c>
      <c r="AC165" s="8">
        <v>306204</v>
      </c>
      <c r="AD165" s="8">
        <v>598204</v>
      </c>
      <c r="AE165" s="8">
        <v>598204</v>
      </c>
      <c r="AF165" s="8">
        <v>598204</v>
      </c>
      <c r="AG165" s="8">
        <v>598204</v>
      </c>
      <c r="AH165" s="8">
        <v>601837</v>
      </c>
      <c r="AI165" s="8">
        <v>601837</v>
      </c>
      <c r="AJ165" s="8">
        <v>601837</v>
      </c>
      <c r="AK165" s="8">
        <v>601837</v>
      </c>
      <c r="AL165" s="8">
        <v>603067</v>
      </c>
      <c r="AM165" s="8">
        <v>1260877</v>
      </c>
      <c r="AN165" s="8">
        <v>1305751</v>
      </c>
      <c r="AO165" s="9">
        <f t="shared" si="78"/>
        <v>1305751</v>
      </c>
      <c r="AP165" s="8">
        <v>315390</v>
      </c>
      <c r="AQ165" s="8">
        <v>315390</v>
      </c>
      <c r="AR165" s="8">
        <v>315390</v>
      </c>
      <c r="AS165" s="8">
        <v>315390</v>
      </c>
      <c r="AT165" s="8">
        <v>315390</v>
      </c>
      <c r="AU165" s="8">
        <v>403925</v>
      </c>
      <c r="AV165" s="8">
        <v>449913</v>
      </c>
      <c r="AW165" s="8">
        <v>449913</v>
      </c>
      <c r="AX165" s="8">
        <v>489913</v>
      </c>
      <c r="AY165" s="8">
        <v>489913</v>
      </c>
      <c r="AZ165" s="8">
        <v>489913</v>
      </c>
      <c r="BA165" s="8">
        <v>489913</v>
      </c>
      <c r="BB165" s="9">
        <f t="shared" si="79"/>
        <v>489913</v>
      </c>
      <c r="BC165" s="8">
        <v>323590</v>
      </c>
      <c r="BD165" s="8">
        <v>323590</v>
      </c>
      <c r="BE165" s="8">
        <v>323590</v>
      </c>
      <c r="BF165" s="8">
        <v>323590</v>
      </c>
      <c r="BG165" s="8">
        <v>323590</v>
      </c>
      <c r="BH165" s="8">
        <v>323590</v>
      </c>
      <c r="BI165" s="8">
        <v>290957</v>
      </c>
      <c r="BJ165" s="8">
        <v>290957</v>
      </c>
      <c r="BK165" s="8">
        <v>5745197</v>
      </c>
      <c r="BL165" s="8">
        <v>5745197</v>
      </c>
      <c r="BM165" s="8">
        <v>5758697</v>
      </c>
      <c r="BN165" s="8">
        <v>11894614</v>
      </c>
      <c r="BO165" s="9">
        <f t="shared" si="80"/>
        <v>11894614</v>
      </c>
      <c r="BP165" s="8">
        <v>0</v>
      </c>
      <c r="BQ165" s="8">
        <v>0</v>
      </c>
      <c r="BR165" s="8">
        <v>186802</v>
      </c>
      <c r="BS165" s="8">
        <v>199497</v>
      </c>
      <c r="BT165" s="8">
        <v>214396</v>
      </c>
      <c r="BU165" s="8">
        <v>214396</v>
      </c>
      <c r="BV165" s="8">
        <v>227896</v>
      </c>
      <c r="BW165" s="8">
        <v>250396</v>
      </c>
      <c r="BX165" s="8">
        <v>1166577</v>
      </c>
      <c r="BY165" s="8">
        <v>1166577</v>
      </c>
      <c r="BZ165" s="8">
        <v>1166577</v>
      </c>
      <c r="CA165" s="8">
        <v>1166577</v>
      </c>
      <c r="CB165" s="9">
        <f t="shared" si="81"/>
        <v>1166577</v>
      </c>
      <c r="CC165" s="8">
        <v>40833</v>
      </c>
      <c r="CD165" s="8">
        <v>40833</v>
      </c>
      <c r="CE165" s="8">
        <v>40833</v>
      </c>
      <c r="CF165" s="8">
        <v>77177</v>
      </c>
      <c r="CG165" s="8">
        <v>77177</v>
      </c>
      <c r="CH165" s="8">
        <v>77177</v>
      </c>
      <c r="CI165" s="8">
        <v>77177</v>
      </c>
      <c r="CJ165" s="8">
        <v>119767</v>
      </c>
      <c r="CK165" s="8">
        <v>143338</v>
      </c>
      <c r="CL165" s="8">
        <v>447478</v>
      </c>
      <c r="CM165" s="8">
        <v>653458</v>
      </c>
      <c r="CN165" s="8">
        <v>653458</v>
      </c>
      <c r="CO165" s="9">
        <f t="shared" si="82"/>
        <v>653458</v>
      </c>
      <c r="CP165" s="8">
        <v>180349</v>
      </c>
      <c r="CQ165" s="8">
        <v>180349</v>
      </c>
      <c r="CR165" s="8">
        <v>180349</v>
      </c>
      <c r="CS165" s="8">
        <v>180349</v>
      </c>
      <c r="CT165" s="8">
        <v>1497360</v>
      </c>
      <c r="CU165" s="8">
        <v>1497360</v>
      </c>
      <c r="CV165" s="8">
        <v>1497360</v>
      </c>
      <c r="CW165" s="8">
        <v>1497360</v>
      </c>
      <c r="CX165" s="8">
        <v>1497360</v>
      </c>
      <c r="CY165" s="8">
        <v>1497360</v>
      </c>
      <c r="CZ165" s="8">
        <v>1497360</v>
      </c>
      <c r="DA165" s="8">
        <v>1468684</v>
      </c>
      <c r="DB165" s="9">
        <f t="shared" si="83"/>
        <v>1468684</v>
      </c>
      <c r="DC165" s="8">
        <v>250008</v>
      </c>
      <c r="DD165" s="8">
        <v>250008</v>
      </c>
      <c r="DE165" s="8">
        <v>250008</v>
      </c>
      <c r="DF165" s="8">
        <v>250008</v>
      </c>
      <c r="DG165" s="8">
        <v>566644</v>
      </c>
      <c r="DH165" s="8">
        <v>649349</v>
      </c>
      <c r="DI165" s="8">
        <v>1567813</v>
      </c>
      <c r="DJ165" s="8">
        <v>1801330</v>
      </c>
      <c r="DK165" s="8">
        <v>1977482</v>
      </c>
      <c r="DL165" s="8">
        <v>1977482</v>
      </c>
      <c r="DM165" s="8">
        <v>1977482</v>
      </c>
      <c r="DN165" s="8">
        <v>1977482</v>
      </c>
      <c r="DO165" s="9">
        <f t="shared" si="84"/>
        <v>1977482</v>
      </c>
      <c r="DP165" s="8">
        <v>265759</v>
      </c>
      <c r="DQ165" s="8">
        <v>1162039</v>
      </c>
      <c r="DR165" s="8">
        <v>1162039</v>
      </c>
      <c r="DS165" s="8">
        <v>1164539</v>
      </c>
      <c r="DT165" s="8">
        <v>1164539</v>
      </c>
      <c r="DU165" s="8">
        <v>1209847</v>
      </c>
      <c r="DV165" s="8">
        <v>1220286</v>
      </c>
      <c r="DW165" s="8">
        <v>1235518</v>
      </c>
      <c r="DX165" s="8">
        <v>1269271</v>
      </c>
      <c r="DY165" s="8">
        <v>1269271</v>
      </c>
      <c r="DZ165" s="8">
        <v>1269271</v>
      </c>
      <c r="EA165" s="8">
        <v>1269271</v>
      </c>
      <c r="EB165" s="9">
        <f t="shared" si="85"/>
        <v>1269271</v>
      </c>
      <c r="EC165" s="8">
        <v>243422</v>
      </c>
      <c r="ED165" s="8">
        <v>243422</v>
      </c>
      <c r="EE165" s="8">
        <v>432149</v>
      </c>
      <c r="EF165" s="8">
        <v>432149</v>
      </c>
      <c r="EG165" s="8">
        <v>802465</v>
      </c>
      <c r="EH165" s="8">
        <v>802465</v>
      </c>
      <c r="EI165" s="8">
        <v>802465</v>
      </c>
      <c r="EJ165" s="8">
        <v>802465</v>
      </c>
      <c r="EK165" s="8">
        <v>802465</v>
      </c>
      <c r="EL165" s="8">
        <v>809206</v>
      </c>
      <c r="EM165" s="8">
        <v>809206</v>
      </c>
      <c r="EN165" s="8">
        <v>801033</v>
      </c>
      <c r="EO165" s="9">
        <f t="shared" si="86"/>
        <v>801033</v>
      </c>
      <c r="EP165" s="8">
        <v>253646</v>
      </c>
      <c r="EQ165" s="8">
        <v>267319</v>
      </c>
      <c r="ER165" s="8">
        <v>267319</v>
      </c>
      <c r="ES165" s="8">
        <v>699830</v>
      </c>
      <c r="ET165" s="8">
        <v>699830</v>
      </c>
      <c r="EU165" s="8">
        <v>699830</v>
      </c>
      <c r="EV165" s="8">
        <v>699830</v>
      </c>
      <c r="EW165" s="8">
        <v>1036337</v>
      </c>
      <c r="EX165" s="8">
        <v>1036337</v>
      </c>
      <c r="EY165" s="8">
        <v>1036337</v>
      </c>
      <c r="EZ165" s="8">
        <v>1036337</v>
      </c>
      <c r="FA165" s="8">
        <v>1036337</v>
      </c>
      <c r="FB165" s="9">
        <f t="shared" si="87"/>
        <v>1036337</v>
      </c>
      <c r="FC165" s="8">
        <v>261509</v>
      </c>
      <c r="FD165" s="8">
        <v>488227</v>
      </c>
      <c r="FE165" s="8">
        <v>488227</v>
      </c>
      <c r="FF165" s="8">
        <v>488227</v>
      </c>
      <c r="FG165" s="8">
        <v>488227</v>
      </c>
      <c r="FH165" s="8">
        <v>488227</v>
      </c>
      <c r="FI165" s="8">
        <v>488227</v>
      </c>
      <c r="FJ165" s="8"/>
      <c r="FK165" s="8"/>
      <c r="FL165" s="8"/>
      <c r="FM165" s="8"/>
      <c r="FN165" s="8"/>
      <c r="FO165" s="9">
        <f t="shared" si="88"/>
        <v>488227</v>
      </c>
    </row>
    <row r="166" spans="2:171" ht="14.25" customHeight="1" x14ac:dyDescent="0.3">
      <c r="B166" s="7" t="s">
        <v>54</v>
      </c>
      <c r="C166" s="8">
        <v>282051</v>
      </c>
      <c r="D166" s="8">
        <v>282051</v>
      </c>
      <c r="E166" s="8">
        <v>282051</v>
      </c>
      <c r="F166" s="8">
        <v>282051</v>
      </c>
      <c r="G166" s="8">
        <v>310501</v>
      </c>
      <c r="H166" s="8">
        <v>368181</v>
      </c>
      <c r="I166" s="8">
        <v>368181</v>
      </c>
      <c r="J166" s="8">
        <v>368181</v>
      </c>
      <c r="K166" s="8">
        <v>420480</v>
      </c>
      <c r="L166" s="8">
        <v>420480</v>
      </c>
      <c r="M166" s="8">
        <v>963360</v>
      </c>
      <c r="N166" s="8">
        <v>998360</v>
      </c>
      <c r="O166" s="9">
        <f t="shared" si="76"/>
        <v>998360</v>
      </c>
      <c r="P166" s="8">
        <v>290513</v>
      </c>
      <c r="Q166" s="8">
        <v>290513</v>
      </c>
      <c r="R166" s="8">
        <v>746393</v>
      </c>
      <c r="S166" s="8">
        <v>746393</v>
      </c>
      <c r="T166" s="8">
        <v>746393</v>
      </c>
      <c r="U166" s="8">
        <v>1553571</v>
      </c>
      <c r="V166" s="8">
        <v>1553571</v>
      </c>
      <c r="W166" s="8">
        <v>1645861</v>
      </c>
      <c r="X166" s="8">
        <v>1645861</v>
      </c>
      <c r="Y166" s="8">
        <v>1965706</v>
      </c>
      <c r="Z166" s="8">
        <v>2089601</v>
      </c>
      <c r="AA166" s="8">
        <v>2740115</v>
      </c>
      <c r="AB166" s="9">
        <f t="shared" si="77"/>
        <v>2740115</v>
      </c>
      <c r="AC166" s="8">
        <v>301552</v>
      </c>
      <c r="AD166" s="8">
        <v>593552</v>
      </c>
      <c r="AE166" s="8">
        <v>593552</v>
      </c>
      <c r="AF166" s="8">
        <v>593552</v>
      </c>
      <c r="AG166" s="8">
        <v>593552</v>
      </c>
      <c r="AH166" s="8">
        <v>597185</v>
      </c>
      <c r="AI166" s="8">
        <v>680309</v>
      </c>
      <c r="AJ166" s="8">
        <v>680309</v>
      </c>
      <c r="AK166" s="8">
        <v>680309</v>
      </c>
      <c r="AL166" s="8">
        <v>684004</v>
      </c>
      <c r="AM166" s="8">
        <v>684004</v>
      </c>
      <c r="AN166" s="8">
        <v>696901</v>
      </c>
      <c r="AO166" s="9">
        <f t="shared" si="78"/>
        <v>696901</v>
      </c>
      <c r="AP166" s="8">
        <v>310599</v>
      </c>
      <c r="AQ166" s="8">
        <v>310599</v>
      </c>
      <c r="AR166" s="8">
        <v>310599</v>
      </c>
      <c r="AS166" s="8">
        <v>310599</v>
      </c>
      <c r="AT166" s="8">
        <v>310599</v>
      </c>
      <c r="AU166" s="8">
        <v>380208</v>
      </c>
      <c r="AV166" s="8">
        <v>380208</v>
      </c>
      <c r="AW166" s="8">
        <v>380208</v>
      </c>
      <c r="AX166" s="8">
        <v>463208</v>
      </c>
      <c r="AY166" s="8">
        <v>474208</v>
      </c>
      <c r="AZ166" s="8">
        <v>474208</v>
      </c>
      <c r="BA166" s="8">
        <v>474208</v>
      </c>
      <c r="BB166" s="9">
        <f t="shared" si="79"/>
        <v>474208</v>
      </c>
      <c r="BC166" s="8">
        <v>318675</v>
      </c>
      <c r="BD166" s="8">
        <v>318675</v>
      </c>
      <c r="BE166" s="8">
        <v>318675</v>
      </c>
      <c r="BF166" s="8">
        <v>318675</v>
      </c>
      <c r="BG166" s="8">
        <v>318675</v>
      </c>
      <c r="BH166" s="8">
        <v>318675</v>
      </c>
      <c r="BI166" s="8">
        <v>290386</v>
      </c>
      <c r="BJ166" s="8">
        <v>800891</v>
      </c>
      <c r="BK166" s="8">
        <v>2145513</v>
      </c>
      <c r="BL166" s="8">
        <v>2145513</v>
      </c>
      <c r="BM166" s="8">
        <v>3592285</v>
      </c>
      <c r="BN166" s="8">
        <v>4402128</v>
      </c>
      <c r="BO166" s="9">
        <f t="shared" si="80"/>
        <v>4402128</v>
      </c>
      <c r="BP166" s="8">
        <v>0</v>
      </c>
      <c r="BQ166" s="8">
        <v>0</v>
      </c>
      <c r="BR166" s="8">
        <v>376230</v>
      </c>
      <c r="BS166" s="8">
        <v>743954</v>
      </c>
      <c r="BT166" s="8">
        <v>788930</v>
      </c>
      <c r="BU166" s="8">
        <v>788930</v>
      </c>
      <c r="BV166" s="8">
        <v>795531</v>
      </c>
      <c r="BW166" s="8">
        <v>2455542</v>
      </c>
      <c r="BX166" s="8">
        <v>5817087</v>
      </c>
      <c r="BY166" s="8">
        <v>5817087</v>
      </c>
      <c r="BZ166" s="8">
        <v>5849872</v>
      </c>
      <c r="CA166" s="8">
        <v>5849872</v>
      </c>
      <c r="CB166" s="9">
        <f t="shared" si="81"/>
        <v>5849872</v>
      </c>
      <c r="CC166" s="8">
        <v>103121</v>
      </c>
      <c r="CD166" s="8">
        <v>103121</v>
      </c>
      <c r="CE166" s="8">
        <v>3861902</v>
      </c>
      <c r="CF166" s="8">
        <v>4258106</v>
      </c>
      <c r="CG166" s="8">
        <v>4265106</v>
      </c>
      <c r="CH166" s="8">
        <v>4265106</v>
      </c>
      <c r="CI166" s="8">
        <v>4265106</v>
      </c>
      <c r="CJ166" s="8">
        <v>4327108</v>
      </c>
      <c r="CK166" s="8">
        <v>4336217</v>
      </c>
      <c r="CL166" s="8">
        <v>4579217</v>
      </c>
      <c r="CM166" s="8">
        <v>4579217</v>
      </c>
      <c r="CN166" s="8">
        <v>4579217</v>
      </c>
      <c r="CO166" s="9">
        <f t="shared" si="82"/>
        <v>4579217</v>
      </c>
      <c r="CP166" s="8">
        <v>444000</v>
      </c>
      <c r="CQ166" s="8">
        <v>444000</v>
      </c>
      <c r="CR166" s="8">
        <v>444000</v>
      </c>
      <c r="CS166" s="8">
        <v>444000</v>
      </c>
      <c r="CT166" s="8">
        <v>621564</v>
      </c>
      <c r="CU166" s="8">
        <v>621564</v>
      </c>
      <c r="CV166" s="8">
        <v>621564</v>
      </c>
      <c r="CW166" s="8">
        <v>679564</v>
      </c>
      <c r="CX166" s="8">
        <v>679564</v>
      </c>
      <c r="CY166" s="8">
        <v>1147582</v>
      </c>
      <c r="CZ166" s="8">
        <v>1773611</v>
      </c>
      <c r="DA166" s="8">
        <v>1773611</v>
      </c>
      <c r="DB166" s="9">
        <f t="shared" si="83"/>
        <v>1773611</v>
      </c>
      <c r="DC166" s="8">
        <v>609864</v>
      </c>
      <c r="DD166" s="8">
        <v>609864</v>
      </c>
      <c r="DE166" s="8">
        <v>609864</v>
      </c>
      <c r="DF166" s="8">
        <v>609864</v>
      </c>
      <c r="DG166" s="8">
        <v>609864</v>
      </c>
      <c r="DH166" s="8">
        <v>609864</v>
      </c>
      <c r="DI166" s="8">
        <v>1164367</v>
      </c>
      <c r="DJ166" s="8">
        <v>1164367</v>
      </c>
      <c r="DK166" s="8">
        <v>2633267</v>
      </c>
      <c r="DL166" s="8">
        <v>2633267</v>
      </c>
      <c r="DM166" s="8">
        <v>2633267</v>
      </c>
      <c r="DN166" s="8">
        <v>2692869</v>
      </c>
      <c r="DO166" s="9">
        <f t="shared" si="84"/>
        <v>2692869</v>
      </c>
      <c r="DP166" s="8">
        <v>648285</v>
      </c>
      <c r="DQ166" s="8">
        <v>1987915</v>
      </c>
      <c r="DR166" s="8">
        <v>2001043</v>
      </c>
      <c r="DS166" s="8">
        <v>3362141</v>
      </c>
      <c r="DT166" s="8">
        <v>3362141</v>
      </c>
      <c r="DU166" s="8">
        <v>3606498</v>
      </c>
      <c r="DV166" s="8">
        <v>3645098</v>
      </c>
      <c r="DW166" s="8">
        <v>3716688</v>
      </c>
      <c r="DX166" s="8">
        <v>3716958</v>
      </c>
      <c r="DY166" s="8">
        <v>3716958</v>
      </c>
      <c r="DZ166" s="8">
        <v>3716958</v>
      </c>
      <c r="EA166" s="8">
        <v>3716958</v>
      </c>
      <c r="EB166" s="9">
        <f t="shared" si="85"/>
        <v>3716958</v>
      </c>
      <c r="EC166" s="8">
        <v>593801</v>
      </c>
      <c r="ED166" s="8">
        <v>593801</v>
      </c>
      <c r="EE166" s="8">
        <v>1112927</v>
      </c>
      <c r="EF166" s="8">
        <v>1909166</v>
      </c>
      <c r="EG166" s="8">
        <v>1909166</v>
      </c>
      <c r="EH166" s="8">
        <v>1909166</v>
      </c>
      <c r="EI166" s="8">
        <v>1909166</v>
      </c>
      <c r="EJ166" s="8">
        <v>1909166</v>
      </c>
      <c r="EK166" s="8">
        <v>1909166</v>
      </c>
      <c r="EL166" s="8">
        <v>2022987</v>
      </c>
      <c r="EM166" s="8">
        <v>2022987</v>
      </c>
      <c r="EN166" s="8">
        <v>1196010</v>
      </c>
      <c r="EO166" s="9">
        <f t="shared" si="86"/>
        <v>1196010</v>
      </c>
      <c r="EP166" s="8">
        <v>618741</v>
      </c>
      <c r="EQ166" s="8">
        <v>1194219</v>
      </c>
      <c r="ER166" s="8">
        <v>1194219</v>
      </c>
      <c r="ES166" s="8">
        <v>1906958</v>
      </c>
      <c r="ET166" s="8">
        <v>1933308</v>
      </c>
      <c r="EU166" s="8">
        <v>1933308</v>
      </c>
      <c r="EV166" s="8">
        <v>1933308</v>
      </c>
      <c r="EW166" s="8">
        <v>1933308</v>
      </c>
      <c r="EX166" s="8">
        <v>1933308</v>
      </c>
      <c r="EY166" s="8">
        <v>1933308</v>
      </c>
      <c r="EZ166" s="8">
        <v>1933308</v>
      </c>
      <c r="FA166" s="8">
        <v>1757241</v>
      </c>
      <c r="FB166" s="9">
        <f t="shared" si="87"/>
        <v>1757241</v>
      </c>
      <c r="FC166" s="8">
        <v>637922</v>
      </c>
      <c r="FD166" s="8">
        <v>751281</v>
      </c>
      <c r="FE166" s="8">
        <v>751281</v>
      </c>
      <c r="FF166" s="8">
        <v>751281</v>
      </c>
      <c r="FG166" s="8">
        <v>751281</v>
      </c>
      <c r="FH166" s="8">
        <v>751281</v>
      </c>
      <c r="FI166" s="8">
        <v>991805</v>
      </c>
      <c r="FJ166" s="8"/>
      <c r="FK166" s="8"/>
      <c r="FL166" s="8"/>
      <c r="FM166" s="8"/>
      <c r="FN166" s="8"/>
      <c r="FO166" s="9">
        <f t="shared" si="88"/>
        <v>991805</v>
      </c>
    </row>
    <row r="167" spans="2:171" ht="14.25" customHeight="1" x14ac:dyDescent="0.3">
      <c r="B167" s="7" t="s">
        <v>55</v>
      </c>
      <c r="C167" s="8">
        <v>354387</v>
      </c>
      <c r="D167" s="8">
        <v>891464</v>
      </c>
      <c r="E167" s="8">
        <v>891464</v>
      </c>
      <c r="F167" s="8">
        <v>891464</v>
      </c>
      <c r="G167" s="8">
        <v>912694</v>
      </c>
      <c r="H167" s="8">
        <v>935397</v>
      </c>
      <c r="I167" s="8">
        <v>935397</v>
      </c>
      <c r="J167" s="8">
        <v>935397</v>
      </c>
      <c r="K167" s="8">
        <v>1022561</v>
      </c>
      <c r="L167" s="8">
        <v>1023691</v>
      </c>
      <c r="M167" s="8">
        <v>1450373</v>
      </c>
      <c r="N167" s="8">
        <v>1559553</v>
      </c>
      <c r="O167" s="9">
        <f t="shared" si="76"/>
        <v>1559553</v>
      </c>
      <c r="P167" s="8">
        <v>365019</v>
      </c>
      <c r="Q167" s="8">
        <v>365019</v>
      </c>
      <c r="R167" s="8">
        <v>463899</v>
      </c>
      <c r="S167" s="8">
        <v>1228899</v>
      </c>
      <c r="T167" s="8">
        <v>1458972</v>
      </c>
      <c r="U167" s="8">
        <v>1458972</v>
      </c>
      <c r="V167" s="8">
        <v>1458972</v>
      </c>
      <c r="W167" s="8">
        <v>1480572</v>
      </c>
      <c r="X167" s="8">
        <v>1480572</v>
      </c>
      <c r="Y167" s="8">
        <v>2873329</v>
      </c>
      <c r="Z167" s="8">
        <v>4090736</v>
      </c>
      <c r="AA167" s="8">
        <v>4062925</v>
      </c>
      <c r="AB167" s="9">
        <f t="shared" si="77"/>
        <v>4062925</v>
      </c>
      <c r="AC167" s="8">
        <v>378890</v>
      </c>
      <c r="AD167" s="8">
        <v>728890</v>
      </c>
      <c r="AE167" s="8">
        <v>865740</v>
      </c>
      <c r="AF167" s="8">
        <v>865740</v>
      </c>
      <c r="AG167" s="8">
        <v>865740</v>
      </c>
      <c r="AH167" s="8">
        <v>869373</v>
      </c>
      <c r="AI167" s="8">
        <v>909680</v>
      </c>
      <c r="AJ167" s="8">
        <v>909680</v>
      </c>
      <c r="AK167" s="8">
        <v>909680</v>
      </c>
      <c r="AL167" s="8">
        <v>909680</v>
      </c>
      <c r="AM167" s="8">
        <v>909680</v>
      </c>
      <c r="AN167" s="8">
        <v>1008673</v>
      </c>
      <c r="AO167" s="9">
        <f t="shared" si="78"/>
        <v>1008673</v>
      </c>
      <c r="AP167" s="8">
        <v>390257</v>
      </c>
      <c r="AQ167" s="8">
        <v>390257</v>
      </c>
      <c r="AR167" s="8">
        <v>390257</v>
      </c>
      <c r="AS167" s="8">
        <v>390257</v>
      </c>
      <c r="AT167" s="8">
        <v>390257</v>
      </c>
      <c r="AU167" s="8">
        <v>453418</v>
      </c>
      <c r="AV167" s="8">
        <v>528875</v>
      </c>
      <c r="AW167" s="8">
        <v>528875</v>
      </c>
      <c r="AX167" s="8">
        <v>717905</v>
      </c>
      <c r="AY167" s="8">
        <v>719029</v>
      </c>
      <c r="AZ167" s="8">
        <v>719029</v>
      </c>
      <c r="BA167" s="8">
        <v>719029</v>
      </c>
      <c r="BB167" s="9">
        <f t="shared" si="79"/>
        <v>719029</v>
      </c>
      <c r="BC167" s="8">
        <v>400404</v>
      </c>
      <c r="BD167" s="8">
        <v>400404</v>
      </c>
      <c r="BE167" s="8">
        <v>400404</v>
      </c>
      <c r="BF167" s="8">
        <v>400404</v>
      </c>
      <c r="BG167" s="8">
        <v>400404</v>
      </c>
      <c r="BH167" s="8">
        <v>402401</v>
      </c>
      <c r="BI167" s="8">
        <v>361581</v>
      </c>
      <c r="BJ167" s="8">
        <v>370251</v>
      </c>
      <c r="BK167" s="8">
        <v>4395630</v>
      </c>
      <c r="BL167" s="8">
        <v>4596535</v>
      </c>
      <c r="BM167" s="8">
        <v>4596935</v>
      </c>
      <c r="BN167" s="8">
        <v>4864630</v>
      </c>
      <c r="BO167" s="9">
        <f t="shared" si="80"/>
        <v>4864630</v>
      </c>
      <c r="BP167" s="8">
        <v>0</v>
      </c>
      <c r="BQ167" s="8">
        <v>0</v>
      </c>
      <c r="BR167" s="8">
        <v>0</v>
      </c>
      <c r="BS167" s="8">
        <v>666434</v>
      </c>
      <c r="BT167" s="8">
        <v>721987</v>
      </c>
      <c r="BU167" s="8">
        <v>721987</v>
      </c>
      <c r="BV167" s="8">
        <v>759887</v>
      </c>
      <c r="BW167" s="8">
        <v>822387</v>
      </c>
      <c r="BX167" s="8">
        <v>1044897</v>
      </c>
      <c r="BY167" s="8">
        <v>1044897</v>
      </c>
      <c r="BZ167" s="8">
        <v>1044897</v>
      </c>
      <c r="CA167" s="8">
        <v>1044897</v>
      </c>
      <c r="CB167" s="9">
        <f t="shared" si="81"/>
        <v>1044897</v>
      </c>
      <c r="CC167" s="8">
        <v>125512</v>
      </c>
      <c r="CD167" s="8">
        <v>125512</v>
      </c>
      <c r="CE167" s="8">
        <v>125512</v>
      </c>
      <c r="CF167" s="8">
        <v>334462</v>
      </c>
      <c r="CG167" s="8">
        <v>334462</v>
      </c>
      <c r="CH167" s="8">
        <v>585272</v>
      </c>
      <c r="CI167" s="8">
        <v>585272</v>
      </c>
      <c r="CJ167" s="8">
        <v>1710924</v>
      </c>
      <c r="CK167" s="8">
        <v>1729052</v>
      </c>
      <c r="CL167" s="8">
        <v>1935052</v>
      </c>
      <c r="CM167" s="8">
        <v>1935052</v>
      </c>
      <c r="CN167" s="8">
        <v>1935052</v>
      </c>
      <c r="CO167" s="9">
        <f t="shared" si="82"/>
        <v>1935052</v>
      </c>
      <c r="CP167" s="8">
        <v>547198</v>
      </c>
      <c r="CQ167" s="8">
        <v>547198</v>
      </c>
      <c r="CR167" s="8">
        <v>1547942</v>
      </c>
      <c r="CS167" s="8">
        <v>1547942</v>
      </c>
      <c r="CT167" s="8">
        <v>1813259</v>
      </c>
      <c r="CU167" s="8">
        <v>1827539</v>
      </c>
      <c r="CV167" s="8">
        <v>2223148</v>
      </c>
      <c r="CW167" s="8">
        <v>2497330</v>
      </c>
      <c r="CX167" s="8">
        <v>2497330</v>
      </c>
      <c r="CY167" s="8">
        <v>2652555</v>
      </c>
      <c r="CZ167" s="8">
        <v>2652555</v>
      </c>
      <c r="DA167" s="8">
        <v>2575472</v>
      </c>
      <c r="DB167" s="9">
        <f t="shared" si="83"/>
        <v>2575472</v>
      </c>
      <c r="DC167" s="8">
        <v>745481</v>
      </c>
      <c r="DD167" s="8">
        <v>745481</v>
      </c>
      <c r="DE167" s="8">
        <v>745481</v>
      </c>
      <c r="DF167" s="8">
        <v>745481</v>
      </c>
      <c r="DG167" s="8">
        <v>745481</v>
      </c>
      <c r="DH167" s="8">
        <v>745481</v>
      </c>
      <c r="DI167" s="8">
        <v>935423</v>
      </c>
      <c r="DJ167" s="8">
        <v>1638342</v>
      </c>
      <c r="DK167" s="8">
        <v>2526899</v>
      </c>
      <c r="DL167" s="8">
        <v>2526899</v>
      </c>
      <c r="DM167" s="8">
        <v>2526899</v>
      </c>
      <c r="DN167" s="8">
        <v>2732010</v>
      </c>
      <c r="DO167" s="9">
        <f t="shared" si="84"/>
        <v>2732010</v>
      </c>
      <c r="DP167" s="8">
        <v>792446</v>
      </c>
      <c r="DQ167" s="8">
        <v>2041520</v>
      </c>
      <c r="DR167" s="8">
        <v>2054648</v>
      </c>
      <c r="DS167" s="8">
        <v>2057148</v>
      </c>
      <c r="DT167" s="8">
        <v>2057148</v>
      </c>
      <c r="DU167" s="8">
        <v>2365934</v>
      </c>
      <c r="DV167" s="8">
        <v>2381051</v>
      </c>
      <c r="DW167" s="8">
        <v>2399329</v>
      </c>
      <c r="DX167" s="8">
        <v>2403159</v>
      </c>
      <c r="DY167" s="8">
        <v>2403159</v>
      </c>
      <c r="DZ167" s="8">
        <v>2403159</v>
      </c>
      <c r="EA167" s="8">
        <v>2907262</v>
      </c>
      <c r="EB167" s="9">
        <f t="shared" si="85"/>
        <v>2907262</v>
      </c>
      <c r="EC167" s="8">
        <v>725847</v>
      </c>
      <c r="ED167" s="8">
        <v>725847</v>
      </c>
      <c r="EE167" s="8">
        <v>1721976</v>
      </c>
      <c r="EF167" s="8">
        <v>1929161</v>
      </c>
      <c r="EG167" s="8">
        <v>1996417</v>
      </c>
      <c r="EH167" s="8">
        <v>2065561</v>
      </c>
      <c r="EI167" s="8">
        <v>2065561</v>
      </c>
      <c r="EJ167" s="8">
        <v>2116054</v>
      </c>
      <c r="EK167" s="8">
        <v>2116054</v>
      </c>
      <c r="EL167" s="8">
        <v>2194969</v>
      </c>
      <c r="EM167" s="8">
        <v>2194969</v>
      </c>
      <c r="EN167" s="8">
        <v>2116054</v>
      </c>
      <c r="EO167" s="9">
        <f t="shared" si="86"/>
        <v>2116054</v>
      </c>
      <c r="EP167" s="8">
        <v>756332</v>
      </c>
      <c r="EQ167" s="8">
        <v>774305</v>
      </c>
      <c r="ER167" s="8">
        <v>774305</v>
      </c>
      <c r="ES167" s="8">
        <v>2309062</v>
      </c>
      <c r="ET167" s="8">
        <v>2317701</v>
      </c>
      <c r="EU167" s="8">
        <v>2317701</v>
      </c>
      <c r="EV167" s="8">
        <v>2317701</v>
      </c>
      <c r="EW167" s="8">
        <v>2317701</v>
      </c>
      <c r="EX167" s="8">
        <v>2317701</v>
      </c>
      <c r="EY167" s="8">
        <v>2317701</v>
      </c>
      <c r="EZ167" s="8">
        <v>2317701</v>
      </c>
      <c r="FA167" s="8">
        <v>2060222</v>
      </c>
      <c r="FB167" s="9">
        <f t="shared" si="87"/>
        <v>2060222</v>
      </c>
      <c r="FC167" s="8">
        <v>779779</v>
      </c>
      <c r="FD167" s="8">
        <v>1037259</v>
      </c>
      <c r="FE167" s="8">
        <v>1037259</v>
      </c>
      <c r="FF167" s="8">
        <v>1037259</v>
      </c>
      <c r="FG167" s="8">
        <v>1037259</v>
      </c>
      <c r="FH167" s="8">
        <v>1037259</v>
      </c>
      <c r="FI167" s="8">
        <v>1974248</v>
      </c>
      <c r="FJ167" s="8"/>
      <c r="FK167" s="8"/>
      <c r="FL167" s="8"/>
      <c r="FM167" s="8"/>
      <c r="FN167" s="8"/>
      <c r="FO167" s="9">
        <f t="shared" si="88"/>
        <v>1974248</v>
      </c>
    </row>
    <row r="168" spans="2:171" ht="14.25" customHeight="1" x14ac:dyDescent="0.3">
      <c r="B168" s="7" t="s">
        <v>56</v>
      </c>
      <c r="C168" s="8">
        <v>180902</v>
      </c>
      <c r="D168" s="8">
        <v>180902</v>
      </c>
      <c r="E168" s="8">
        <v>180902</v>
      </c>
      <c r="F168" s="8">
        <v>180902</v>
      </c>
      <c r="G168" s="8">
        <v>203967</v>
      </c>
      <c r="H168" s="8">
        <v>213597</v>
      </c>
      <c r="I168" s="8">
        <v>213597</v>
      </c>
      <c r="J168" s="8">
        <v>213597</v>
      </c>
      <c r="K168" s="8">
        <v>274612</v>
      </c>
      <c r="L168" s="8">
        <v>276100</v>
      </c>
      <c r="M168" s="8">
        <v>1415397</v>
      </c>
      <c r="N168" s="8">
        <v>2758698</v>
      </c>
      <c r="O168" s="9">
        <f t="shared" si="76"/>
        <v>2758698</v>
      </c>
      <c r="P168" s="8">
        <v>186329</v>
      </c>
      <c r="Q168" s="8">
        <v>186329</v>
      </c>
      <c r="R168" s="8">
        <v>507249</v>
      </c>
      <c r="S168" s="8">
        <v>609249</v>
      </c>
      <c r="T168" s="8">
        <v>1498965</v>
      </c>
      <c r="U168" s="8">
        <v>1548945</v>
      </c>
      <c r="V168" s="8">
        <v>1548945</v>
      </c>
      <c r="W168" s="8">
        <v>1625010</v>
      </c>
      <c r="X168" s="8">
        <v>1625010</v>
      </c>
      <c r="Y168" s="8">
        <v>1718842</v>
      </c>
      <c r="Z168" s="8">
        <v>2302928</v>
      </c>
      <c r="AA168" s="8">
        <v>3770107</v>
      </c>
      <c r="AB168" s="9">
        <f t="shared" si="77"/>
        <v>3770107</v>
      </c>
      <c r="AC168" s="8">
        <v>193410</v>
      </c>
      <c r="AD168" s="8">
        <v>485410</v>
      </c>
      <c r="AE168" s="8">
        <v>485410</v>
      </c>
      <c r="AF168" s="8">
        <v>485410</v>
      </c>
      <c r="AG168" s="8">
        <v>515848</v>
      </c>
      <c r="AH168" s="8">
        <v>519481</v>
      </c>
      <c r="AI168" s="8">
        <v>566905</v>
      </c>
      <c r="AJ168" s="8">
        <v>566905</v>
      </c>
      <c r="AK168" s="8">
        <v>566905</v>
      </c>
      <c r="AL168" s="8">
        <v>734905</v>
      </c>
      <c r="AM168" s="8">
        <v>747252</v>
      </c>
      <c r="AN168" s="8">
        <v>805626</v>
      </c>
      <c r="AO168" s="9">
        <f t="shared" si="78"/>
        <v>805626</v>
      </c>
      <c r="AP168" s="8">
        <v>199212</v>
      </c>
      <c r="AQ168" s="8">
        <v>199212</v>
      </c>
      <c r="AR168" s="8">
        <v>199212</v>
      </c>
      <c r="AS168" s="8">
        <v>199212</v>
      </c>
      <c r="AT168" s="8">
        <v>199212</v>
      </c>
      <c r="AU168" s="8">
        <v>199212</v>
      </c>
      <c r="AV168" s="8">
        <v>199212</v>
      </c>
      <c r="AW168" s="8">
        <v>249395</v>
      </c>
      <c r="AX168" s="8">
        <v>292395</v>
      </c>
      <c r="AY168" s="8">
        <v>296395</v>
      </c>
      <c r="AZ168" s="8">
        <v>432945</v>
      </c>
      <c r="BA168" s="8">
        <v>435258</v>
      </c>
      <c r="BB168" s="9">
        <f t="shared" si="79"/>
        <v>435258</v>
      </c>
      <c r="BC168" s="8">
        <v>204392</v>
      </c>
      <c r="BD168" s="8">
        <v>204392</v>
      </c>
      <c r="BE168" s="8">
        <v>204392</v>
      </c>
      <c r="BF168" s="8">
        <v>204392</v>
      </c>
      <c r="BG168" s="8">
        <v>204392</v>
      </c>
      <c r="BH168" s="8">
        <v>206389</v>
      </c>
      <c r="BI168" s="8">
        <v>190058</v>
      </c>
      <c r="BJ168" s="8">
        <v>296227</v>
      </c>
      <c r="BK168" s="8">
        <v>5881738</v>
      </c>
      <c r="BL168" s="8">
        <v>6222121</v>
      </c>
      <c r="BM168" s="8">
        <v>6231505</v>
      </c>
      <c r="BN168" s="8">
        <v>7625446</v>
      </c>
      <c r="BO168" s="9">
        <f t="shared" si="80"/>
        <v>7625446</v>
      </c>
      <c r="BP168" s="8">
        <v>0</v>
      </c>
      <c r="BQ168" s="8">
        <v>0</v>
      </c>
      <c r="BR168" s="8">
        <v>1013698</v>
      </c>
      <c r="BS168" s="8">
        <v>1552595</v>
      </c>
      <c r="BT168" s="8">
        <v>1580006</v>
      </c>
      <c r="BU168" s="8">
        <v>1580006</v>
      </c>
      <c r="BV168" s="8">
        <v>1602964</v>
      </c>
      <c r="BW168" s="8">
        <v>1635464</v>
      </c>
      <c r="BX168" s="8">
        <v>1635464</v>
      </c>
      <c r="BY168" s="8">
        <v>1635464</v>
      </c>
      <c r="BZ168" s="8">
        <v>1635464</v>
      </c>
      <c r="CA168" s="8">
        <v>1635464</v>
      </c>
      <c r="CB168" s="9">
        <f t="shared" si="81"/>
        <v>1635464</v>
      </c>
      <c r="CC168" s="8">
        <v>71819</v>
      </c>
      <c r="CD168" s="8">
        <v>71819</v>
      </c>
      <c r="CE168" s="8">
        <v>71819</v>
      </c>
      <c r="CF168" s="8">
        <v>1908477</v>
      </c>
      <c r="CG168" s="8">
        <v>2856280</v>
      </c>
      <c r="CH168" s="8">
        <v>2984731</v>
      </c>
      <c r="CI168" s="8">
        <v>5263957</v>
      </c>
      <c r="CJ168" s="8">
        <v>5922529</v>
      </c>
      <c r="CK168" s="8">
        <v>5927750</v>
      </c>
      <c r="CL168" s="8">
        <v>5927750</v>
      </c>
      <c r="CM168" s="8">
        <v>5927750</v>
      </c>
      <c r="CN168" s="8">
        <v>5927750</v>
      </c>
      <c r="CO168" s="9">
        <f t="shared" si="82"/>
        <v>5927750</v>
      </c>
      <c r="CP168" s="8">
        <v>307061</v>
      </c>
      <c r="CQ168" s="8">
        <v>307061</v>
      </c>
      <c r="CR168" s="8">
        <v>307061</v>
      </c>
      <c r="CS168" s="8">
        <v>574083</v>
      </c>
      <c r="CT168" s="8">
        <v>739196</v>
      </c>
      <c r="CU168" s="8">
        <v>772001</v>
      </c>
      <c r="CV168" s="8">
        <v>772001</v>
      </c>
      <c r="CW168" s="8">
        <v>802747</v>
      </c>
      <c r="CX168" s="8">
        <v>802747</v>
      </c>
      <c r="CY168" s="8">
        <v>985775</v>
      </c>
      <c r="CZ168" s="8">
        <v>985775</v>
      </c>
      <c r="DA168" s="8">
        <v>985775</v>
      </c>
      <c r="DB168" s="9">
        <f t="shared" si="83"/>
        <v>985775</v>
      </c>
      <c r="DC168" s="8">
        <v>421876</v>
      </c>
      <c r="DD168" s="8">
        <v>421876</v>
      </c>
      <c r="DE168" s="8">
        <v>421876</v>
      </c>
      <c r="DF168" s="8">
        <v>421876</v>
      </c>
      <c r="DG168" s="8">
        <v>421876</v>
      </c>
      <c r="DH168" s="8">
        <v>587144</v>
      </c>
      <c r="DI168" s="8">
        <v>694271</v>
      </c>
      <c r="DJ168" s="8">
        <v>979145</v>
      </c>
      <c r="DK168" s="8">
        <v>3680913</v>
      </c>
      <c r="DL168" s="8">
        <v>3680913</v>
      </c>
      <c r="DM168" s="8">
        <v>3680913</v>
      </c>
      <c r="DN168" s="8">
        <v>3680913</v>
      </c>
      <c r="DO168" s="9">
        <f t="shared" si="84"/>
        <v>3680913</v>
      </c>
      <c r="DP168" s="8">
        <v>448454</v>
      </c>
      <c r="DQ168" s="8">
        <v>823758</v>
      </c>
      <c r="DR168" s="8">
        <v>1135349</v>
      </c>
      <c r="DS168" s="8">
        <v>1460307</v>
      </c>
      <c r="DT168" s="8">
        <v>1460307</v>
      </c>
      <c r="DU168" s="8">
        <v>1483511</v>
      </c>
      <c r="DV168" s="8">
        <v>1487681</v>
      </c>
      <c r="DW168" s="8">
        <v>1534900</v>
      </c>
      <c r="DX168" s="8">
        <v>1604149</v>
      </c>
      <c r="DY168" s="8">
        <v>1604149</v>
      </c>
      <c r="DZ168" s="8">
        <v>1604149</v>
      </c>
      <c r="EA168" s="8">
        <v>1604149</v>
      </c>
      <c r="EB168" s="9">
        <f t="shared" si="85"/>
        <v>1604149</v>
      </c>
      <c r="EC168" s="8">
        <v>410765</v>
      </c>
      <c r="ED168" s="8">
        <v>410765</v>
      </c>
      <c r="EE168" s="8">
        <v>860739</v>
      </c>
      <c r="EF168" s="8">
        <v>924572</v>
      </c>
      <c r="EG168" s="8">
        <v>1474352</v>
      </c>
      <c r="EH168" s="8">
        <v>1474352</v>
      </c>
      <c r="EI168" s="8">
        <v>1676678</v>
      </c>
      <c r="EJ168" s="8">
        <v>1676678</v>
      </c>
      <c r="EK168" s="8">
        <v>1676678</v>
      </c>
      <c r="EL168" s="8">
        <v>1599317</v>
      </c>
      <c r="EM168" s="8">
        <v>1599317</v>
      </c>
      <c r="EN168" s="8">
        <v>838816</v>
      </c>
      <c r="EO168" s="9">
        <f t="shared" si="86"/>
        <v>838816</v>
      </c>
      <c r="EP168" s="8">
        <v>428017</v>
      </c>
      <c r="EQ168" s="8">
        <v>1189765</v>
      </c>
      <c r="ER168" s="8">
        <v>1189765</v>
      </c>
      <c r="ES168" s="8">
        <v>1759327</v>
      </c>
      <c r="ET168" s="8">
        <v>1768330</v>
      </c>
      <c r="EU168" s="8">
        <v>1768330</v>
      </c>
      <c r="EV168" s="8">
        <v>1768330</v>
      </c>
      <c r="EW168" s="8">
        <v>1768330</v>
      </c>
      <c r="EX168" s="8">
        <v>1768330</v>
      </c>
      <c r="EY168" s="8">
        <v>1768330</v>
      </c>
      <c r="EZ168" s="8">
        <v>1768330</v>
      </c>
      <c r="FA168" s="8">
        <v>1687215</v>
      </c>
      <c r="FB168" s="9">
        <f t="shared" si="87"/>
        <v>1687215</v>
      </c>
      <c r="FC168" s="8">
        <v>441285</v>
      </c>
      <c r="FD168" s="8">
        <v>441285</v>
      </c>
      <c r="FE168" s="8">
        <v>441285</v>
      </c>
      <c r="FF168" s="8">
        <v>441285</v>
      </c>
      <c r="FG168" s="8">
        <v>441285</v>
      </c>
      <c r="FH168" s="8">
        <v>441285</v>
      </c>
      <c r="FI168" s="8">
        <v>520598</v>
      </c>
      <c r="FJ168" s="8"/>
      <c r="FK168" s="8"/>
      <c r="FL168" s="8"/>
      <c r="FM168" s="8"/>
      <c r="FN168" s="8"/>
      <c r="FO168" s="9">
        <f t="shared" si="88"/>
        <v>520598</v>
      </c>
    </row>
    <row r="169" spans="2:171" ht="14.25" customHeight="1" x14ac:dyDescent="0.3">
      <c r="B169" s="7" t="s">
        <v>57</v>
      </c>
      <c r="C169" s="8">
        <v>293245</v>
      </c>
      <c r="D169" s="8">
        <v>348330</v>
      </c>
      <c r="E169" s="8">
        <v>348330</v>
      </c>
      <c r="F169" s="8">
        <v>348330</v>
      </c>
      <c r="G169" s="8">
        <v>378590</v>
      </c>
      <c r="H169" s="8">
        <v>472807</v>
      </c>
      <c r="I169" s="8">
        <v>472807</v>
      </c>
      <c r="J169" s="8">
        <v>472807</v>
      </c>
      <c r="K169" s="8">
        <v>527106</v>
      </c>
      <c r="L169" s="8">
        <v>888113</v>
      </c>
      <c r="M169" s="8">
        <v>3980013</v>
      </c>
      <c r="N169" s="8">
        <v>4000013</v>
      </c>
      <c r="O169" s="9">
        <f t="shared" si="76"/>
        <v>4000013</v>
      </c>
      <c r="P169" s="8">
        <v>302042</v>
      </c>
      <c r="Q169" s="8">
        <v>302042</v>
      </c>
      <c r="R169" s="8">
        <v>590002</v>
      </c>
      <c r="S169" s="8">
        <v>590002</v>
      </c>
      <c r="T169" s="8">
        <v>590002</v>
      </c>
      <c r="U169" s="8">
        <v>1269497</v>
      </c>
      <c r="V169" s="8">
        <v>1279497</v>
      </c>
      <c r="W169" s="8">
        <v>1428946</v>
      </c>
      <c r="X169" s="8">
        <v>1428946</v>
      </c>
      <c r="Y169" s="8">
        <v>2042328</v>
      </c>
      <c r="Z169" s="8">
        <v>3178219</v>
      </c>
      <c r="AA169" s="8">
        <v>5461531</v>
      </c>
      <c r="AB169" s="9">
        <f t="shared" si="77"/>
        <v>5461531</v>
      </c>
      <c r="AC169" s="8">
        <v>313520</v>
      </c>
      <c r="AD169" s="8">
        <v>620520</v>
      </c>
      <c r="AE169" s="8">
        <v>620520</v>
      </c>
      <c r="AF169" s="8">
        <v>620520</v>
      </c>
      <c r="AG169" s="8">
        <v>634931</v>
      </c>
      <c r="AH169" s="8">
        <v>663611</v>
      </c>
      <c r="AI169" s="8">
        <v>749194</v>
      </c>
      <c r="AJ169" s="8">
        <v>749194</v>
      </c>
      <c r="AK169" s="8">
        <v>749194</v>
      </c>
      <c r="AL169" s="8">
        <v>918094</v>
      </c>
      <c r="AM169" s="8">
        <v>1217663</v>
      </c>
      <c r="AN169" s="8">
        <v>1357473</v>
      </c>
      <c r="AO169" s="9">
        <f t="shared" si="78"/>
        <v>1357473</v>
      </c>
      <c r="AP169" s="8">
        <v>322926</v>
      </c>
      <c r="AQ169" s="8">
        <v>322926</v>
      </c>
      <c r="AR169" s="8">
        <v>322926</v>
      </c>
      <c r="AS169" s="8">
        <v>322926</v>
      </c>
      <c r="AT169" s="8">
        <v>322926</v>
      </c>
      <c r="AU169" s="8">
        <v>352376</v>
      </c>
      <c r="AV169" s="8">
        <v>362287</v>
      </c>
      <c r="AW169" s="8">
        <v>530287</v>
      </c>
      <c r="AX169" s="8">
        <v>573287</v>
      </c>
      <c r="AY169" s="8">
        <v>622827</v>
      </c>
      <c r="AZ169" s="8">
        <v>765062</v>
      </c>
      <c r="BA169" s="8">
        <v>1426576</v>
      </c>
      <c r="BB169" s="9">
        <f t="shared" si="79"/>
        <v>1426576</v>
      </c>
      <c r="BC169" s="8">
        <v>331322</v>
      </c>
      <c r="BD169" s="8">
        <v>331322</v>
      </c>
      <c r="BE169" s="8">
        <v>331322</v>
      </c>
      <c r="BF169" s="8">
        <v>331322</v>
      </c>
      <c r="BG169" s="8">
        <v>331322</v>
      </c>
      <c r="BH169" s="8">
        <v>333319</v>
      </c>
      <c r="BI169" s="8">
        <v>299950</v>
      </c>
      <c r="BJ169" s="8">
        <v>2477460</v>
      </c>
      <c r="BK169" s="8">
        <v>2477460</v>
      </c>
      <c r="BL169" s="8">
        <v>2477460</v>
      </c>
      <c r="BM169" s="8">
        <v>2484932</v>
      </c>
      <c r="BN169" s="8">
        <v>2665026</v>
      </c>
      <c r="BO169" s="9">
        <f t="shared" si="80"/>
        <v>2665026</v>
      </c>
      <c r="BP169" s="8">
        <v>0</v>
      </c>
      <c r="BQ169" s="8">
        <v>0</v>
      </c>
      <c r="BR169" s="8">
        <v>916300</v>
      </c>
      <c r="BS169" s="8">
        <v>1359350</v>
      </c>
      <c r="BT169" s="8">
        <v>2106049</v>
      </c>
      <c r="BU169" s="8">
        <v>2162049</v>
      </c>
      <c r="BV169" s="8">
        <v>2246515</v>
      </c>
      <c r="BW169" s="8">
        <v>2297015</v>
      </c>
      <c r="BX169" s="8">
        <v>5637161</v>
      </c>
      <c r="BY169" s="8">
        <v>5637161</v>
      </c>
      <c r="BZ169" s="8">
        <v>5739990</v>
      </c>
      <c r="CA169" s="8">
        <v>5739990</v>
      </c>
      <c r="CB169" s="9">
        <f t="shared" si="81"/>
        <v>5739990</v>
      </c>
      <c r="CC169" s="8">
        <v>120921</v>
      </c>
      <c r="CD169" s="8">
        <v>120921</v>
      </c>
      <c r="CE169" s="8">
        <v>120921</v>
      </c>
      <c r="CF169" s="8">
        <v>422254</v>
      </c>
      <c r="CG169" s="8">
        <v>422254</v>
      </c>
      <c r="CH169" s="8">
        <v>697285</v>
      </c>
      <c r="CI169" s="8">
        <v>697285</v>
      </c>
      <c r="CJ169" s="8">
        <v>779875</v>
      </c>
      <c r="CK169" s="8">
        <v>3030870</v>
      </c>
      <c r="CL169" s="8">
        <v>3277010</v>
      </c>
      <c r="CM169" s="8">
        <v>3277010</v>
      </c>
      <c r="CN169" s="8">
        <v>3277010</v>
      </c>
      <c r="CO169" s="9">
        <f t="shared" si="82"/>
        <v>3277010</v>
      </c>
      <c r="CP169" s="8">
        <v>517563</v>
      </c>
      <c r="CQ169" s="8">
        <v>517563</v>
      </c>
      <c r="CR169" s="8">
        <v>517563</v>
      </c>
      <c r="CS169" s="8">
        <v>747828</v>
      </c>
      <c r="CT169" s="8">
        <v>1275561</v>
      </c>
      <c r="CU169" s="8">
        <v>1275561</v>
      </c>
      <c r="CV169" s="8">
        <v>1400509</v>
      </c>
      <c r="CW169" s="8">
        <v>1688083</v>
      </c>
      <c r="CX169" s="8">
        <v>1688083</v>
      </c>
      <c r="CY169" s="8">
        <v>2177559</v>
      </c>
      <c r="CZ169" s="8">
        <v>2177559</v>
      </c>
      <c r="DA169" s="8">
        <v>2051039</v>
      </c>
      <c r="DB169" s="9">
        <f t="shared" si="83"/>
        <v>2051039</v>
      </c>
      <c r="DC169" s="8">
        <v>707247</v>
      </c>
      <c r="DD169" s="8">
        <v>707247</v>
      </c>
      <c r="DE169" s="8">
        <v>707247</v>
      </c>
      <c r="DF169" s="8">
        <v>707247</v>
      </c>
      <c r="DG169" s="8">
        <v>4534265</v>
      </c>
      <c r="DH169" s="8">
        <v>4534265</v>
      </c>
      <c r="DI169" s="8">
        <v>5414524</v>
      </c>
      <c r="DJ169" s="8">
        <v>5879264</v>
      </c>
      <c r="DK169" s="8">
        <v>1710989</v>
      </c>
      <c r="DL169" s="8">
        <v>1710989</v>
      </c>
      <c r="DM169" s="8">
        <v>1710989</v>
      </c>
      <c r="DN169" s="8">
        <v>1710989</v>
      </c>
      <c r="DO169" s="9">
        <f t="shared" si="84"/>
        <v>1710989</v>
      </c>
      <c r="DP169" s="8">
        <v>751804</v>
      </c>
      <c r="DQ169" s="8">
        <v>8037691</v>
      </c>
      <c r="DR169" s="8">
        <v>8037691</v>
      </c>
      <c r="DS169" s="8">
        <v>8738477</v>
      </c>
      <c r="DT169" s="8">
        <v>8738477</v>
      </c>
      <c r="DU169" s="8">
        <v>8803423</v>
      </c>
      <c r="DV169" s="8">
        <v>8834670</v>
      </c>
      <c r="DW169" s="8">
        <v>8865134</v>
      </c>
      <c r="DX169" s="8">
        <v>7982366</v>
      </c>
      <c r="DY169" s="8">
        <v>7982366</v>
      </c>
      <c r="DZ169" s="8">
        <v>7982366</v>
      </c>
      <c r="EA169" s="8">
        <v>7982366</v>
      </c>
      <c r="EB169" s="9">
        <f t="shared" si="85"/>
        <v>7982366</v>
      </c>
      <c r="EC169" s="8">
        <v>688620</v>
      </c>
      <c r="ED169" s="8">
        <v>688620</v>
      </c>
      <c r="EE169" s="8">
        <v>5505696</v>
      </c>
      <c r="EF169" s="8">
        <v>5569529</v>
      </c>
      <c r="EG169" s="8">
        <v>5679485</v>
      </c>
      <c r="EH169" s="8">
        <v>5679485</v>
      </c>
      <c r="EI169" s="8">
        <v>5679485</v>
      </c>
      <c r="EJ169" s="8">
        <v>5679485</v>
      </c>
      <c r="EK169" s="8">
        <v>5679485</v>
      </c>
      <c r="EL169" s="8">
        <v>5740528</v>
      </c>
      <c r="EM169" s="8">
        <v>5249383</v>
      </c>
      <c r="EN169" s="8">
        <v>2575753</v>
      </c>
      <c r="EO169" s="9">
        <f t="shared" si="86"/>
        <v>2575753</v>
      </c>
      <c r="EP169" s="8">
        <v>717542</v>
      </c>
      <c r="EQ169" s="8">
        <v>4535034</v>
      </c>
      <c r="ER169" s="8">
        <v>4535034</v>
      </c>
      <c r="ES169" s="8">
        <v>7151158</v>
      </c>
      <c r="ET169" s="8">
        <v>7157564</v>
      </c>
      <c r="EU169" s="8">
        <v>7157564</v>
      </c>
      <c r="EV169" s="8">
        <v>7157564</v>
      </c>
      <c r="EW169" s="8">
        <v>7157564</v>
      </c>
      <c r="EX169" s="8">
        <v>7157564</v>
      </c>
      <c r="EY169" s="8">
        <v>7157564</v>
      </c>
      <c r="EZ169" s="8">
        <v>7157564</v>
      </c>
      <c r="FA169" s="8">
        <v>7077376</v>
      </c>
      <c r="FB169" s="9">
        <f t="shared" si="87"/>
        <v>7077376</v>
      </c>
      <c r="FC169" s="8">
        <v>739786</v>
      </c>
      <c r="FD169" s="8">
        <v>1079863</v>
      </c>
      <c r="FE169" s="8">
        <v>1216060</v>
      </c>
      <c r="FF169" s="8">
        <v>1216060</v>
      </c>
      <c r="FG169" s="8">
        <v>1216060</v>
      </c>
      <c r="FH169" s="8">
        <v>1216060</v>
      </c>
      <c r="FI169" s="8">
        <v>4196963</v>
      </c>
      <c r="FJ169" s="8"/>
      <c r="FK169" s="8"/>
      <c r="FL169" s="8"/>
      <c r="FM169" s="8"/>
      <c r="FN169" s="8"/>
      <c r="FO169" s="9">
        <f t="shared" si="88"/>
        <v>4196963</v>
      </c>
    </row>
    <row r="170" spans="2:171" ht="14.25" customHeight="1" x14ac:dyDescent="0.3">
      <c r="B170" s="7" t="s">
        <v>58</v>
      </c>
      <c r="C170" s="8">
        <v>170100</v>
      </c>
      <c r="D170" s="8">
        <v>170100</v>
      </c>
      <c r="E170" s="8">
        <v>170100</v>
      </c>
      <c r="F170" s="8">
        <v>170100</v>
      </c>
      <c r="G170" s="8">
        <v>182350</v>
      </c>
      <c r="H170" s="8">
        <v>185311</v>
      </c>
      <c r="I170" s="8">
        <v>185311</v>
      </c>
      <c r="J170" s="8">
        <v>185311</v>
      </c>
      <c r="K170" s="8">
        <v>211460</v>
      </c>
      <c r="L170" s="8">
        <v>211880</v>
      </c>
      <c r="M170" s="8">
        <v>432418</v>
      </c>
      <c r="N170" s="8">
        <v>746369</v>
      </c>
      <c r="O170" s="9">
        <f t="shared" si="76"/>
        <v>746369</v>
      </c>
      <c r="P170" s="8">
        <v>175203</v>
      </c>
      <c r="Q170" s="8">
        <v>175203</v>
      </c>
      <c r="R170" s="8">
        <v>208163</v>
      </c>
      <c r="S170" s="8">
        <v>208163</v>
      </c>
      <c r="T170" s="8">
        <v>353099</v>
      </c>
      <c r="U170" s="8">
        <v>353099</v>
      </c>
      <c r="V170" s="8">
        <v>363099</v>
      </c>
      <c r="W170" s="8">
        <v>427649</v>
      </c>
      <c r="X170" s="8">
        <v>427649</v>
      </c>
      <c r="Y170" s="8">
        <v>510273</v>
      </c>
      <c r="Z170" s="8">
        <v>592154</v>
      </c>
      <c r="AA170" s="8">
        <v>2876283</v>
      </c>
      <c r="AB170" s="9">
        <f t="shared" si="77"/>
        <v>2876283</v>
      </c>
      <c r="AC170" s="8">
        <v>181861</v>
      </c>
      <c r="AD170" s="8">
        <v>473861</v>
      </c>
      <c r="AE170" s="8">
        <v>473861</v>
      </c>
      <c r="AF170" s="8">
        <v>473861</v>
      </c>
      <c r="AG170" s="8">
        <v>532321</v>
      </c>
      <c r="AH170" s="8">
        <v>535954</v>
      </c>
      <c r="AI170" s="8">
        <v>535954</v>
      </c>
      <c r="AJ170" s="8">
        <v>535954</v>
      </c>
      <c r="AK170" s="8">
        <v>535954</v>
      </c>
      <c r="AL170" s="8">
        <v>703954</v>
      </c>
      <c r="AM170" s="8">
        <v>707354</v>
      </c>
      <c r="AN170" s="8">
        <v>1242377</v>
      </c>
      <c r="AO170" s="9">
        <f t="shared" si="78"/>
        <v>1242377</v>
      </c>
      <c r="AP170" s="8">
        <v>187317</v>
      </c>
      <c r="AQ170" s="8">
        <v>187317</v>
      </c>
      <c r="AR170" s="8">
        <v>187317</v>
      </c>
      <c r="AS170" s="8">
        <v>187317</v>
      </c>
      <c r="AT170" s="8">
        <v>187317</v>
      </c>
      <c r="AU170" s="8">
        <v>222310</v>
      </c>
      <c r="AV170" s="8">
        <v>254092</v>
      </c>
      <c r="AW170" s="8">
        <v>254092</v>
      </c>
      <c r="AX170" s="8">
        <v>294092</v>
      </c>
      <c r="AY170" s="8">
        <v>294092</v>
      </c>
      <c r="AZ170" s="8">
        <v>436492</v>
      </c>
      <c r="BA170" s="8">
        <v>437522</v>
      </c>
      <c r="BB170" s="9">
        <f t="shared" si="79"/>
        <v>437522</v>
      </c>
      <c r="BC170" s="8">
        <v>192187</v>
      </c>
      <c r="BD170" s="8">
        <v>192187</v>
      </c>
      <c r="BE170" s="8">
        <v>192187</v>
      </c>
      <c r="BF170" s="8">
        <v>192187</v>
      </c>
      <c r="BG170" s="8">
        <v>192187</v>
      </c>
      <c r="BH170" s="8">
        <v>192187</v>
      </c>
      <c r="BI170" s="8">
        <v>172593</v>
      </c>
      <c r="BJ170" s="8">
        <v>178593</v>
      </c>
      <c r="BK170" s="8">
        <v>2277888</v>
      </c>
      <c r="BL170" s="8">
        <v>2277888</v>
      </c>
      <c r="BM170" s="8">
        <v>2287684</v>
      </c>
      <c r="BN170" s="8">
        <v>2760555</v>
      </c>
      <c r="BO170" s="9">
        <f t="shared" si="80"/>
        <v>2760555</v>
      </c>
      <c r="BP170" s="8">
        <v>0</v>
      </c>
      <c r="BQ170" s="8">
        <v>0</v>
      </c>
      <c r="BR170" s="8">
        <v>1182930</v>
      </c>
      <c r="BS170" s="8">
        <v>2056523</v>
      </c>
      <c r="BT170" s="8">
        <v>2622179</v>
      </c>
      <c r="BU170" s="8">
        <v>2622179</v>
      </c>
      <c r="BV170" s="8">
        <v>2648175</v>
      </c>
      <c r="BW170" s="8">
        <v>2738392</v>
      </c>
      <c r="BX170" s="8">
        <v>4052425</v>
      </c>
      <c r="BY170" s="8">
        <v>4052425</v>
      </c>
      <c r="BZ170" s="8">
        <v>4052425</v>
      </c>
      <c r="CA170" s="8">
        <v>4052425</v>
      </c>
      <c r="CB170" s="9">
        <f t="shared" si="81"/>
        <v>4052425</v>
      </c>
      <c r="CC170" s="8">
        <v>63881</v>
      </c>
      <c r="CD170" s="8">
        <v>63881</v>
      </c>
      <c r="CE170" s="8">
        <v>63881</v>
      </c>
      <c r="CF170" s="8">
        <v>274975</v>
      </c>
      <c r="CG170" s="8">
        <v>274975</v>
      </c>
      <c r="CH170" s="8">
        <v>966655</v>
      </c>
      <c r="CI170" s="8">
        <v>966655</v>
      </c>
      <c r="CJ170" s="8">
        <v>1046767</v>
      </c>
      <c r="CK170" s="8">
        <v>1047967</v>
      </c>
      <c r="CL170" s="8">
        <v>1599190</v>
      </c>
      <c r="CM170" s="8">
        <v>1599190</v>
      </c>
      <c r="CN170" s="8">
        <v>1599190</v>
      </c>
      <c r="CO170" s="9">
        <f t="shared" si="82"/>
        <v>1599190</v>
      </c>
      <c r="CP170" s="8">
        <v>282134</v>
      </c>
      <c r="CQ170" s="8">
        <v>282134</v>
      </c>
      <c r="CR170" s="8">
        <v>1454423</v>
      </c>
      <c r="CS170" s="8">
        <v>1454423</v>
      </c>
      <c r="CT170" s="8">
        <v>1640785</v>
      </c>
      <c r="CU170" s="8">
        <v>1640785</v>
      </c>
      <c r="CV170" s="8">
        <v>2297741</v>
      </c>
      <c r="CW170" s="8">
        <v>2406990</v>
      </c>
      <c r="CX170" s="8">
        <v>2406990</v>
      </c>
      <c r="CY170" s="8">
        <v>2544967</v>
      </c>
      <c r="CZ170" s="8">
        <v>2544967</v>
      </c>
      <c r="DA170" s="8">
        <v>2544374</v>
      </c>
      <c r="DB170" s="9">
        <f t="shared" si="83"/>
        <v>2544374</v>
      </c>
      <c r="DC170" s="8">
        <v>389058</v>
      </c>
      <c r="DD170" s="8">
        <v>389058</v>
      </c>
      <c r="DE170" s="8">
        <v>389058</v>
      </c>
      <c r="DF170" s="8">
        <v>389058</v>
      </c>
      <c r="DG170" s="8">
        <v>428209</v>
      </c>
      <c r="DH170" s="8">
        <v>428209</v>
      </c>
      <c r="DI170" s="8">
        <v>431499</v>
      </c>
      <c r="DJ170" s="8">
        <v>2609178</v>
      </c>
      <c r="DK170" s="8">
        <v>2828193</v>
      </c>
      <c r="DL170" s="8">
        <v>2828193</v>
      </c>
      <c r="DM170" s="8">
        <v>2828193</v>
      </c>
      <c r="DN170" s="8">
        <v>2828193</v>
      </c>
      <c r="DO170" s="9">
        <f t="shared" si="84"/>
        <v>2828193</v>
      </c>
      <c r="DP170" s="8">
        <v>413569</v>
      </c>
      <c r="DQ170" s="8">
        <v>879958</v>
      </c>
      <c r="DR170" s="8">
        <v>1296249</v>
      </c>
      <c r="DS170" s="8">
        <v>1298749</v>
      </c>
      <c r="DT170" s="8">
        <v>1298749</v>
      </c>
      <c r="DU170" s="8">
        <v>1365172</v>
      </c>
      <c r="DV170" s="8">
        <v>1378904</v>
      </c>
      <c r="DW170" s="8">
        <v>1395659</v>
      </c>
      <c r="DX170" s="8">
        <v>1594893</v>
      </c>
      <c r="DY170" s="8">
        <v>1594893</v>
      </c>
      <c r="DZ170" s="8">
        <v>1594893</v>
      </c>
      <c r="EA170" s="8">
        <v>1594893</v>
      </c>
      <c r="EB170" s="9">
        <f t="shared" si="85"/>
        <v>1594893</v>
      </c>
      <c r="EC170" s="8">
        <v>378811</v>
      </c>
      <c r="ED170" s="8">
        <v>378811</v>
      </c>
      <c r="EE170" s="8">
        <v>607809</v>
      </c>
      <c r="EF170" s="8">
        <v>629577</v>
      </c>
      <c r="EG170" s="8">
        <v>849489</v>
      </c>
      <c r="EH170" s="8">
        <v>849489</v>
      </c>
      <c r="EI170" s="8">
        <v>849489</v>
      </c>
      <c r="EJ170" s="8">
        <v>864562</v>
      </c>
      <c r="EK170" s="8">
        <v>864562</v>
      </c>
      <c r="EL170" s="8">
        <v>877912</v>
      </c>
      <c r="EM170" s="8">
        <v>877912</v>
      </c>
      <c r="EN170" s="8">
        <v>658001</v>
      </c>
      <c r="EO170" s="9">
        <f t="shared" si="86"/>
        <v>658001</v>
      </c>
      <c r="EP170" s="8">
        <v>394721</v>
      </c>
      <c r="EQ170" s="8">
        <v>625068</v>
      </c>
      <c r="ER170" s="8">
        <v>625068</v>
      </c>
      <c r="ES170" s="8">
        <v>1490138</v>
      </c>
      <c r="ET170" s="8">
        <v>1495538</v>
      </c>
      <c r="EU170" s="8">
        <v>1495538</v>
      </c>
      <c r="EV170" s="8">
        <v>1495538</v>
      </c>
      <c r="EW170" s="8">
        <v>1495538</v>
      </c>
      <c r="EX170" s="8">
        <v>1495538</v>
      </c>
      <c r="EY170" s="8">
        <v>1495538</v>
      </c>
      <c r="EZ170" s="8">
        <v>1495538</v>
      </c>
      <c r="FA170" s="8">
        <v>1495538</v>
      </c>
      <c r="FB170" s="9">
        <f t="shared" si="87"/>
        <v>1495538</v>
      </c>
      <c r="FC170" s="8">
        <v>406957</v>
      </c>
      <c r="FD170" s="8">
        <v>406957</v>
      </c>
      <c r="FE170" s="8">
        <v>964386</v>
      </c>
      <c r="FF170" s="8">
        <v>964386</v>
      </c>
      <c r="FG170" s="8">
        <v>964386</v>
      </c>
      <c r="FH170" s="8">
        <v>964386</v>
      </c>
      <c r="FI170" s="8">
        <v>2214712</v>
      </c>
      <c r="FJ170" s="8"/>
      <c r="FK170" s="8"/>
      <c r="FL170" s="8"/>
      <c r="FM170" s="8"/>
      <c r="FN170" s="8"/>
      <c r="FO170" s="9">
        <f t="shared" si="88"/>
        <v>2214712</v>
      </c>
    </row>
    <row r="171" spans="2:171" ht="14.25" customHeight="1" x14ac:dyDescent="0.3">
      <c r="B171" s="7" t="s">
        <v>59</v>
      </c>
      <c r="C171" s="8">
        <v>195244</v>
      </c>
      <c r="D171" s="8">
        <v>370394</v>
      </c>
      <c r="E171" s="8">
        <v>370394</v>
      </c>
      <c r="F171" s="8">
        <v>370394</v>
      </c>
      <c r="G171" s="8">
        <v>379054</v>
      </c>
      <c r="H171" s="8">
        <v>399576</v>
      </c>
      <c r="I171" s="8">
        <v>399576</v>
      </c>
      <c r="J171" s="8">
        <v>399576</v>
      </c>
      <c r="K171" s="8">
        <v>460591</v>
      </c>
      <c r="L171" s="8">
        <v>460591</v>
      </c>
      <c r="M171" s="8">
        <v>691611</v>
      </c>
      <c r="N171" s="8">
        <v>2387124</v>
      </c>
      <c r="O171" s="9">
        <f t="shared" si="76"/>
        <v>2387124</v>
      </c>
      <c r="P171" s="8">
        <v>201101</v>
      </c>
      <c r="Q171" s="8">
        <v>201101</v>
      </c>
      <c r="R171" s="8">
        <v>234061</v>
      </c>
      <c r="S171" s="8">
        <v>349853</v>
      </c>
      <c r="T171" s="8">
        <v>921053</v>
      </c>
      <c r="U171" s="8">
        <v>1291487</v>
      </c>
      <c r="V171" s="8">
        <v>1301487</v>
      </c>
      <c r="W171" s="8">
        <v>1311483</v>
      </c>
      <c r="X171" s="8">
        <v>1311483</v>
      </c>
      <c r="Y171" s="8">
        <v>2315683</v>
      </c>
      <c r="Z171" s="8">
        <v>3076991</v>
      </c>
      <c r="AA171" s="8">
        <v>3290302</v>
      </c>
      <c r="AB171" s="9">
        <f t="shared" si="77"/>
        <v>3290302</v>
      </c>
      <c r="AC171" s="8">
        <v>208743</v>
      </c>
      <c r="AD171" s="8">
        <v>412743</v>
      </c>
      <c r="AE171" s="8">
        <v>412743</v>
      </c>
      <c r="AF171" s="8">
        <v>412743</v>
      </c>
      <c r="AG171" s="8">
        <v>412743</v>
      </c>
      <c r="AH171" s="8">
        <v>416376</v>
      </c>
      <c r="AI171" s="8">
        <v>451232</v>
      </c>
      <c r="AJ171" s="8">
        <v>451232</v>
      </c>
      <c r="AK171" s="8">
        <v>451232</v>
      </c>
      <c r="AL171" s="8">
        <v>619232</v>
      </c>
      <c r="AM171" s="8">
        <v>715667</v>
      </c>
      <c r="AN171" s="8">
        <v>1024246</v>
      </c>
      <c r="AO171" s="9">
        <f t="shared" si="78"/>
        <v>1024246</v>
      </c>
      <c r="AP171" s="8">
        <v>215005</v>
      </c>
      <c r="AQ171" s="8">
        <v>215005</v>
      </c>
      <c r="AR171" s="8">
        <v>215005</v>
      </c>
      <c r="AS171" s="8">
        <v>215005</v>
      </c>
      <c r="AT171" s="8">
        <v>215005</v>
      </c>
      <c r="AU171" s="8">
        <v>215005</v>
      </c>
      <c r="AV171" s="8">
        <v>215005</v>
      </c>
      <c r="AW171" s="8">
        <v>215005</v>
      </c>
      <c r="AX171" s="8">
        <v>218005</v>
      </c>
      <c r="AY171" s="8">
        <v>220005</v>
      </c>
      <c r="AZ171" s="8">
        <v>220005</v>
      </c>
      <c r="BA171" s="8">
        <v>220005</v>
      </c>
      <c r="BB171" s="9">
        <f t="shared" si="79"/>
        <v>220005</v>
      </c>
      <c r="BC171" s="8">
        <v>220595</v>
      </c>
      <c r="BD171" s="8">
        <v>220595</v>
      </c>
      <c r="BE171" s="8">
        <v>220595</v>
      </c>
      <c r="BF171" s="8">
        <v>220595</v>
      </c>
      <c r="BG171" s="8">
        <v>220595</v>
      </c>
      <c r="BH171" s="8">
        <v>220595</v>
      </c>
      <c r="BI171" s="8">
        <v>198105</v>
      </c>
      <c r="BJ171" s="8">
        <v>875603</v>
      </c>
      <c r="BK171" s="8">
        <v>2228449</v>
      </c>
      <c r="BL171" s="8">
        <v>3150747</v>
      </c>
      <c r="BM171" s="8">
        <v>3172957</v>
      </c>
      <c r="BN171" s="8">
        <v>4397287</v>
      </c>
      <c r="BO171" s="9">
        <f t="shared" si="80"/>
        <v>4397287</v>
      </c>
      <c r="BP171" s="8">
        <v>0</v>
      </c>
      <c r="BQ171" s="8">
        <v>0</v>
      </c>
      <c r="BR171" s="8">
        <v>0</v>
      </c>
      <c r="BS171" s="8">
        <v>128877</v>
      </c>
      <c r="BT171" s="8">
        <v>1443998</v>
      </c>
      <c r="BU171" s="8">
        <v>1443998</v>
      </c>
      <c r="BV171" s="8">
        <v>1477678</v>
      </c>
      <c r="BW171" s="8">
        <v>1527451</v>
      </c>
      <c r="BX171" s="8">
        <v>5133821</v>
      </c>
      <c r="BY171" s="8">
        <v>5133821</v>
      </c>
      <c r="BZ171" s="8">
        <v>5158697</v>
      </c>
      <c r="CA171" s="8">
        <v>5158697</v>
      </c>
      <c r="CB171" s="9">
        <f t="shared" si="81"/>
        <v>5158697</v>
      </c>
      <c r="CC171" s="8">
        <v>68831</v>
      </c>
      <c r="CD171" s="8">
        <v>68831</v>
      </c>
      <c r="CE171" s="8">
        <v>68831</v>
      </c>
      <c r="CF171" s="8">
        <v>221201</v>
      </c>
      <c r="CG171" s="8">
        <v>221201</v>
      </c>
      <c r="CH171" s="8">
        <v>321249</v>
      </c>
      <c r="CI171" s="8">
        <v>321249</v>
      </c>
      <c r="CJ171" s="8">
        <v>343086</v>
      </c>
      <c r="CK171" s="8">
        <v>354379</v>
      </c>
      <c r="CL171" s="8">
        <v>507379</v>
      </c>
      <c r="CM171" s="8">
        <v>507379</v>
      </c>
      <c r="CN171" s="8">
        <v>507379</v>
      </c>
      <c r="CO171" s="9">
        <f t="shared" si="82"/>
        <v>507379</v>
      </c>
      <c r="CP171" s="8">
        <v>306095</v>
      </c>
      <c r="CQ171" s="8">
        <v>306095</v>
      </c>
      <c r="CR171" s="8">
        <v>306095</v>
      </c>
      <c r="CS171" s="8">
        <v>306095</v>
      </c>
      <c r="CT171" s="8">
        <v>385801</v>
      </c>
      <c r="CU171" s="8">
        <v>385801</v>
      </c>
      <c r="CV171" s="8">
        <v>385801</v>
      </c>
      <c r="CW171" s="8">
        <v>387174</v>
      </c>
      <c r="CX171" s="8">
        <v>730645</v>
      </c>
      <c r="CY171" s="8">
        <v>1318485</v>
      </c>
      <c r="CZ171" s="8">
        <v>1318485</v>
      </c>
      <c r="DA171" s="8">
        <v>1318485</v>
      </c>
      <c r="DB171" s="9">
        <f t="shared" si="83"/>
        <v>1318485</v>
      </c>
      <c r="DC171" s="8">
        <v>418693</v>
      </c>
      <c r="DD171" s="8">
        <v>418693</v>
      </c>
      <c r="DE171" s="8">
        <v>418693</v>
      </c>
      <c r="DF171" s="8">
        <v>418693</v>
      </c>
      <c r="DG171" s="8">
        <v>418693</v>
      </c>
      <c r="DH171" s="8">
        <v>474147</v>
      </c>
      <c r="DI171" s="8">
        <v>477247</v>
      </c>
      <c r="DJ171" s="8">
        <v>977774</v>
      </c>
      <c r="DK171" s="8">
        <v>1899321</v>
      </c>
      <c r="DL171" s="8">
        <v>1899321</v>
      </c>
      <c r="DM171" s="8">
        <v>1899321</v>
      </c>
      <c r="DN171" s="8">
        <v>2007426</v>
      </c>
      <c r="DO171" s="9">
        <f t="shared" si="84"/>
        <v>2007426</v>
      </c>
      <c r="DP171" s="8">
        <v>445071</v>
      </c>
      <c r="DQ171" s="8">
        <v>904651</v>
      </c>
      <c r="DR171" s="8">
        <v>904651</v>
      </c>
      <c r="DS171" s="8">
        <v>907151</v>
      </c>
      <c r="DT171" s="8">
        <v>907151</v>
      </c>
      <c r="DU171" s="8">
        <v>928772</v>
      </c>
      <c r="DV171" s="8">
        <v>943321</v>
      </c>
      <c r="DW171" s="8">
        <v>970738</v>
      </c>
      <c r="DX171" s="8">
        <v>1034426</v>
      </c>
      <c r="DY171" s="8">
        <v>1034426</v>
      </c>
      <c r="DZ171" s="8">
        <v>1034426</v>
      </c>
      <c r="EA171" s="8">
        <v>1034426</v>
      </c>
      <c r="EB171" s="9">
        <f t="shared" si="85"/>
        <v>1034426</v>
      </c>
      <c r="EC171" s="8">
        <v>407666</v>
      </c>
      <c r="ED171" s="8">
        <v>407666</v>
      </c>
      <c r="EE171" s="8">
        <v>839706</v>
      </c>
      <c r="EF171" s="8">
        <v>988127</v>
      </c>
      <c r="EG171" s="8">
        <v>1427951</v>
      </c>
      <c r="EH171" s="8">
        <v>1427951</v>
      </c>
      <c r="EI171" s="8">
        <v>1427951</v>
      </c>
      <c r="EJ171" s="8">
        <v>1427951</v>
      </c>
      <c r="EK171" s="8">
        <v>1427951</v>
      </c>
      <c r="EL171" s="8">
        <v>1442178</v>
      </c>
      <c r="EM171" s="8">
        <v>1442178</v>
      </c>
      <c r="EN171" s="8">
        <v>1000652</v>
      </c>
      <c r="EO171" s="9">
        <f t="shared" si="86"/>
        <v>1000652</v>
      </c>
      <c r="EP171" s="8">
        <v>424788</v>
      </c>
      <c r="EQ171" s="8">
        <v>857524</v>
      </c>
      <c r="ER171" s="8">
        <v>857524</v>
      </c>
      <c r="ES171" s="8">
        <v>2793899</v>
      </c>
      <c r="ET171" s="8">
        <v>2808671</v>
      </c>
      <c r="EU171" s="8">
        <v>2808671</v>
      </c>
      <c r="EV171" s="8">
        <v>2808671</v>
      </c>
      <c r="EW171" s="8">
        <v>2808671</v>
      </c>
      <c r="EX171" s="8">
        <v>2808671</v>
      </c>
      <c r="EY171" s="8">
        <v>2808671</v>
      </c>
      <c r="EZ171" s="8">
        <v>2808671</v>
      </c>
      <c r="FA171" s="8">
        <v>2579505</v>
      </c>
      <c r="FB171" s="9">
        <f t="shared" si="87"/>
        <v>2579505</v>
      </c>
      <c r="FC171" s="8">
        <v>437957</v>
      </c>
      <c r="FD171" s="8">
        <v>437957</v>
      </c>
      <c r="FE171" s="8">
        <v>437957</v>
      </c>
      <c r="FF171" s="8">
        <v>437957</v>
      </c>
      <c r="FG171" s="8">
        <v>437957</v>
      </c>
      <c r="FH171" s="8">
        <v>437957</v>
      </c>
      <c r="FI171" s="8">
        <v>715140</v>
      </c>
      <c r="FJ171" s="8"/>
      <c r="FK171" s="8"/>
      <c r="FL171" s="8"/>
      <c r="FM171" s="8"/>
      <c r="FN171" s="8"/>
      <c r="FO171" s="9">
        <f t="shared" si="88"/>
        <v>715140</v>
      </c>
    </row>
    <row r="172" spans="2:171" ht="14.25" customHeight="1" x14ac:dyDescent="0.3">
      <c r="B172" s="7" t="s">
        <v>60</v>
      </c>
      <c r="C172" s="8">
        <v>60951</v>
      </c>
      <c r="D172" s="8">
        <v>60951</v>
      </c>
      <c r="E172" s="8">
        <v>60951</v>
      </c>
      <c r="F172" s="8">
        <v>60951</v>
      </c>
      <c r="G172" s="8">
        <v>80731</v>
      </c>
      <c r="H172" s="8">
        <v>90851</v>
      </c>
      <c r="I172" s="8">
        <v>90851</v>
      </c>
      <c r="J172" s="8">
        <v>90851</v>
      </c>
      <c r="K172" s="8">
        <v>134433</v>
      </c>
      <c r="L172" s="8">
        <v>135290</v>
      </c>
      <c r="M172" s="8">
        <v>1312973</v>
      </c>
      <c r="N172" s="8">
        <v>1338147</v>
      </c>
      <c r="O172" s="9">
        <f t="shared" si="76"/>
        <v>1338147</v>
      </c>
      <c r="P172" s="8">
        <v>62780</v>
      </c>
      <c r="Q172" s="8">
        <v>62780</v>
      </c>
      <c r="R172" s="8">
        <v>146740</v>
      </c>
      <c r="S172" s="8">
        <v>338224</v>
      </c>
      <c r="T172" s="8">
        <v>338224</v>
      </c>
      <c r="U172" s="8">
        <v>338224</v>
      </c>
      <c r="V172" s="8">
        <v>338224</v>
      </c>
      <c r="W172" s="8">
        <v>380562</v>
      </c>
      <c r="X172" s="8">
        <v>380562</v>
      </c>
      <c r="Y172" s="8">
        <v>386761</v>
      </c>
      <c r="Z172" s="8">
        <v>1001742</v>
      </c>
      <c r="AA172" s="8">
        <v>1514384</v>
      </c>
      <c r="AB172" s="9">
        <f t="shared" si="77"/>
        <v>1514384</v>
      </c>
      <c r="AC172" s="8">
        <v>65166</v>
      </c>
      <c r="AD172" s="8">
        <v>284166</v>
      </c>
      <c r="AE172" s="8">
        <v>284166</v>
      </c>
      <c r="AF172" s="8">
        <v>284166</v>
      </c>
      <c r="AG172" s="8">
        <v>284166</v>
      </c>
      <c r="AH172" s="8">
        <v>284166</v>
      </c>
      <c r="AI172" s="8">
        <v>284166</v>
      </c>
      <c r="AJ172" s="8">
        <v>284166</v>
      </c>
      <c r="AK172" s="8">
        <v>284166</v>
      </c>
      <c r="AL172" s="8">
        <v>454166</v>
      </c>
      <c r="AM172" s="8">
        <v>478166</v>
      </c>
      <c r="AN172" s="8">
        <v>536503</v>
      </c>
      <c r="AO172" s="9">
        <f t="shared" si="78"/>
        <v>536503</v>
      </c>
      <c r="AP172" s="8">
        <v>67121</v>
      </c>
      <c r="AQ172" s="8">
        <v>67121</v>
      </c>
      <c r="AR172" s="8">
        <v>67121</v>
      </c>
      <c r="AS172" s="8">
        <v>67121</v>
      </c>
      <c r="AT172" s="8">
        <v>67121</v>
      </c>
      <c r="AU172" s="8">
        <v>67121</v>
      </c>
      <c r="AV172" s="8">
        <v>67121</v>
      </c>
      <c r="AW172" s="8">
        <v>67121</v>
      </c>
      <c r="AX172" s="8">
        <v>361151</v>
      </c>
      <c r="AY172" s="8">
        <v>361151</v>
      </c>
      <c r="AZ172" s="8">
        <v>367651</v>
      </c>
      <c r="BA172" s="8">
        <v>374092</v>
      </c>
      <c r="BB172" s="9">
        <f t="shared" si="79"/>
        <v>374092</v>
      </c>
      <c r="BC172" s="8">
        <v>68866</v>
      </c>
      <c r="BD172" s="8">
        <v>68866</v>
      </c>
      <c r="BE172" s="8">
        <v>68866</v>
      </c>
      <c r="BF172" s="8">
        <v>68866</v>
      </c>
      <c r="BG172" s="8">
        <v>68866</v>
      </c>
      <c r="BH172" s="8">
        <v>68866</v>
      </c>
      <c r="BI172" s="8">
        <v>61845</v>
      </c>
      <c r="BJ172" s="8">
        <v>906359</v>
      </c>
      <c r="BK172" s="8">
        <v>2035883</v>
      </c>
      <c r="BL172" s="8">
        <v>2035883</v>
      </c>
      <c r="BM172" s="8">
        <v>2041953</v>
      </c>
      <c r="BN172" s="8">
        <v>2136953</v>
      </c>
      <c r="BO172" s="9">
        <f t="shared" si="80"/>
        <v>2136953</v>
      </c>
      <c r="BP172" s="8">
        <v>0</v>
      </c>
      <c r="BQ172" s="8">
        <v>0</v>
      </c>
      <c r="BR172" s="8">
        <v>0</v>
      </c>
      <c r="BS172" s="8">
        <v>641400</v>
      </c>
      <c r="BT172" s="8">
        <v>651624</v>
      </c>
      <c r="BU172" s="8">
        <v>651624</v>
      </c>
      <c r="BV172" s="8">
        <v>657694</v>
      </c>
      <c r="BW172" s="8">
        <v>669194</v>
      </c>
      <c r="BX172" s="8">
        <v>3908293</v>
      </c>
      <c r="BY172" s="8">
        <v>3908293</v>
      </c>
      <c r="BZ172" s="8">
        <v>3908293</v>
      </c>
      <c r="CA172" s="8">
        <v>3908293</v>
      </c>
      <c r="CB172" s="9">
        <f t="shared" si="81"/>
        <v>3908293</v>
      </c>
      <c r="CC172" s="8">
        <v>30826</v>
      </c>
      <c r="CD172" s="8">
        <v>30826</v>
      </c>
      <c r="CE172" s="8">
        <v>30826</v>
      </c>
      <c r="CF172" s="8">
        <v>111689</v>
      </c>
      <c r="CG172" s="8">
        <v>111689</v>
      </c>
      <c r="CH172" s="8">
        <v>175026</v>
      </c>
      <c r="CI172" s="8">
        <v>175026</v>
      </c>
      <c r="CJ172" s="8">
        <v>175026</v>
      </c>
      <c r="CK172" s="8">
        <v>176335</v>
      </c>
      <c r="CL172" s="8">
        <v>450912</v>
      </c>
      <c r="CM172" s="8">
        <v>450912</v>
      </c>
      <c r="CN172" s="8">
        <v>450912</v>
      </c>
      <c r="CO172" s="9">
        <f t="shared" si="82"/>
        <v>450912</v>
      </c>
      <c r="CP172" s="8">
        <v>134447</v>
      </c>
      <c r="CQ172" s="8">
        <v>134447</v>
      </c>
      <c r="CR172" s="8">
        <v>134447</v>
      </c>
      <c r="CS172" s="8">
        <v>134447</v>
      </c>
      <c r="CT172" s="8">
        <v>1073272</v>
      </c>
      <c r="CU172" s="8">
        <v>1075652</v>
      </c>
      <c r="CV172" s="8">
        <v>1075652</v>
      </c>
      <c r="CW172" s="8">
        <v>1134430</v>
      </c>
      <c r="CX172" s="8">
        <v>1134430</v>
      </c>
      <c r="CY172" s="8">
        <v>1306969</v>
      </c>
      <c r="CZ172" s="8">
        <v>1282902</v>
      </c>
      <c r="DA172" s="8">
        <v>1282902</v>
      </c>
      <c r="DB172" s="9">
        <f t="shared" si="83"/>
        <v>1282902</v>
      </c>
      <c r="DC172" s="8">
        <v>192278</v>
      </c>
      <c r="DD172" s="8">
        <v>192278</v>
      </c>
      <c r="DE172" s="8">
        <v>192278</v>
      </c>
      <c r="DF172" s="8">
        <v>192278</v>
      </c>
      <c r="DG172" s="8">
        <v>192278</v>
      </c>
      <c r="DH172" s="8">
        <v>377059</v>
      </c>
      <c r="DI172" s="8">
        <v>404796</v>
      </c>
      <c r="DJ172" s="8">
        <v>413114</v>
      </c>
      <c r="DK172" s="8">
        <v>570660</v>
      </c>
      <c r="DL172" s="8">
        <v>570660</v>
      </c>
      <c r="DM172" s="8">
        <v>570660</v>
      </c>
      <c r="DN172" s="8">
        <v>570660</v>
      </c>
      <c r="DO172" s="9">
        <f t="shared" si="84"/>
        <v>570660</v>
      </c>
      <c r="DP172" s="8">
        <v>204392</v>
      </c>
      <c r="DQ172" s="8">
        <v>832259</v>
      </c>
      <c r="DR172" s="8">
        <v>1198770</v>
      </c>
      <c r="DS172" s="8">
        <v>1624979</v>
      </c>
      <c r="DT172" s="8">
        <v>1624979</v>
      </c>
      <c r="DU172" s="8">
        <v>1674952</v>
      </c>
      <c r="DV172" s="8">
        <v>1694212</v>
      </c>
      <c r="DW172" s="8">
        <v>1704874</v>
      </c>
      <c r="DX172" s="8">
        <v>1770301</v>
      </c>
      <c r="DY172" s="8">
        <v>1770301</v>
      </c>
      <c r="DZ172" s="8">
        <v>1770301</v>
      </c>
      <c r="EA172" s="8">
        <v>1770301</v>
      </c>
      <c r="EB172" s="9">
        <f t="shared" si="85"/>
        <v>1770301</v>
      </c>
      <c r="EC172" s="8">
        <v>187214</v>
      </c>
      <c r="ED172" s="8">
        <v>187214</v>
      </c>
      <c r="EE172" s="8">
        <v>408345</v>
      </c>
      <c r="EF172" s="8">
        <v>514491</v>
      </c>
      <c r="EG172" s="8">
        <v>624447</v>
      </c>
      <c r="EH172" s="8">
        <v>624447</v>
      </c>
      <c r="EI172" s="8">
        <v>624447</v>
      </c>
      <c r="EJ172" s="8">
        <v>624447</v>
      </c>
      <c r="EK172" s="8">
        <v>624447</v>
      </c>
      <c r="EL172" s="8">
        <v>627947</v>
      </c>
      <c r="EM172" s="8">
        <v>627947</v>
      </c>
      <c r="EN172" s="8">
        <v>508636</v>
      </c>
      <c r="EO172" s="9">
        <f t="shared" si="86"/>
        <v>508636</v>
      </c>
      <c r="EP172" s="8">
        <v>195077</v>
      </c>
      <c r="EQ172" s="8">
        <v>317240</v>
      </c>
      <c r="ER172" s="8">
        <v>317240</v>
      </c>
      <c r="ES172" s="8">
        <v>496010</v>
      </c>
      <c r="ET172" s="8">
        <v>501210</v>
      </c>
      <c r="EU172" s="8">
        <v>501210</v>
      </c>
      <c r="EV172" s="8">
        <v>501210</v>
      </c>
      <c r="EW172" s="8">
        <v>501210</v>
      </c>
      <c r="EX172" s="8">
        <v>501210</v>
      </c>
      <c r="EY172" s="8">
        <v>501210</v>
      </c>
      <c r="EZ172" s="8">
        <v>501210</v>
      </c>
      <c r="FA172" s="8">
        <v>496129</v>
      </c>
      <c r="FB172" s="9">
        <f t="shared" si="87"/>
        <v>496129</v>
      </c>
      <c r="FC172" s="8">
        <v>201125</v>
      </c>
      <c r="FD172" s="8">
        <v>201125</v>
      </c>
      <c r="FE172" s="8">
        <v>201125</v>
      </c>
      <c r="FF172" s="8">
        <v>201125</v>
      </c>
      <c r="FG172" s="8">
        <v>201125</v>
      </c>
      <c r="FH172" s="8">
        <v>201125</v>
      </c>
      <c r="FI172" s="8">
        <v>201125</v>
      </c>
      <c r="FJ172" s="8"/>
      <c r="FK172" s="8"/>
      <c r="FL172" s="8"/>
      <c r="FM172" s="8"/>
      <c r="FN172" s="8"/>
      <c r="FO172" s="9">
        <f t="shared" si="88"/>
        <v>201125</v>
      </c>
    </row>
    <row r="173" spans="2:171" ht="14.25" customHeight="1" x14ac:dyDescent="0.3">
      <c r="B173" s="7" t="s">
        <v>61</v>
      </c>
      <c r="C173" s="8">
        <v>98658</v>
      </c>
      <c r="D173" s="8">
        <v>523961</v>
      </c>
      <c r="E173" s="8">
        <v>523961</v>
      </c>
      <c r="F173" s="8">
        <v>523961</v>
      </c>
      <c r="G173" s="8">
        <v>568921</v>
      </c>
      <c r="H173" s="8">
        <v>577161</v>
      </c>
      <c r="I173" s="8">
        <v>577161</v>
      </c>
      <c r="J173" s="8">
        <v>577161</v>
      </c>
      <c r="K173" s="8">
        <v>612027</v>
      </c>
      <c r="L173" s="8">
        <v>612027</v>
      </c>
      <c r="M173" s="8">
        <v>1781976</v>
      </c>
      <c r="N173" s="8">
        <v>1816976</v>
      </c>
      <c r="O173" s="9">
        <f t="shared" si="76"/>
        <v>1816976</v>
      </c>
      <c r="P173" s="8">
        <v>101618</v>
      </c>
      <c r="Q173" s="8">
        <v>101618</v>
      </c>
      <c r="R173" s="8">
        <v>855578</v>
      </c>
      <c r="S173" s="8">
        <v>855578</v>
      </c>
      <c r="T173" s="8">
        <v>2085319</v>
      </c>
      <c r="U173" s="8">
        <v>2085319</v>
      </c>
      <c r="V173" s="8">
        <v>2033831</v>
      </c>
      <c r="W173" s="8">
        <v>2192935</v>
      </c>
      <c r="X173" s="8">
        <v>2192935</v>
      </c>
      <c r="Y173" s="8">
        <v>2465520</v>
      </c>
      <c r="Z173" s="8">
        <v>2925357</v>
      </c>
      <c r="AA173" s="8">
        <v>3793745</v>
      </c>
      <c r="AB173" s="9">
        <f t="shared" si="77"/>
        <v>3793745</v>
      </c>
      <c r="AC173" s="8">
        <v>105479</v>
      </c>
      <c r="AD173" s="8">
        <v>397479</v>
      </c>
      <c r="AE173" s="8">
        <v>397479</v>
      </c>
      <c r="AF173" s="8">
        <v>397479</v>
      </c>
      <c r="AG173" s="8">
        <v>447479</v>
      </c>
      <c r="AH173" s="8">
        <v>451112</v>
      </c>
      <c r="AI173" s="8">
        <v>451112</v>
      </c>
      <c r="AJ173" s="8">
        <v>451112</v>
      </c>
      <c r="AK173" s="8">
        <v>451112</v>
      </c>
      <c r="AL173" s="8">
        <v>451112</v>
      </c>
      <c r="AM173" s="8">
        <v>1940464</v>
      </c>
      <c r="AN173" s="8">
        <v>1966917</v>
      </c>
      <c r="AO173" s="9">
        <f t="shared" si="78"/>
        <v>1966917</v>
      </c>
      <c r="AP173" s="8">
        <v>108643</v>
      </c>
      <c r="AQ173" s="8">
        <v>108643</v>
      </c>
      <c r="AR173" s="8">
        <v>108643</v>
      </c>
      <c r="AS173" s="8">
        <v>108643</v>
      </c>
      <c r="AT173" s="8">
        <v>108643</v>
      </c>
      <c r="AU173" s="8">
        <v>108643</v>
      </c>
      <c r="AV173" s="8">
        <v>108643</v>
      </c>
      <c r="AW173" s="8">
        <v>108643</v>
      </c>
      <c r="AX173" s="8">
        <v>111643</v>
      </c>
      <c r="AY173" s="8">
        <v>115943</v>
      </c>
      <c r="AZ173" s="8">
        <v>121443</v>
      </c>
      <c r="BA173" s="8">
        <v>121443</v>
      </c>
      <c r="BB173" s="9">
        <f t="shared" si="79"/>
        <v>121443</v>
      </c>
      <c r="BC173" s="8">
        <v>111468</v>
      </c>
      <c r="BD173" s="8">
        <v>111468</v>
      </c>
      <c r="BE173" s="8">
        <v>111468</v>
      </c>
      <c r="BF173" s="8">
        <v>111468</v>
      </c>
      <c r="BG173" s="8">
        <v>111468</v>
      </c>
      <c r="BH173" s="8">
        <v>111468</v>
      </c>
      <c r="BI173" s="8">
        <v>100104</v>
      </c>
      <c r="BJ173" s="8">
        <v>1263278</v>
      </c>
      <c r="BK173" s="8">
        <v>3027860</v>
      </c>
      <c r="BL173" s="8">
        <v>3068463</v>
      </c>
      <c r="BM173" s="8">
        <v>3068463</v>
      </c>
      <c r="BN173" s="8">
        <v>3294903</v>
      </c>
      <c r="BO173" s="9">
        <f t="shared" si="80"/>
        <v>3294903</v>
      </c>
      <c r="BP173" s="8">
        <v>0</v>
      </c>
      <c r="BQ173" s="8">
        <v>0</v>
      </c>
      <c r="BR173" s="8">
        <v>12470</v>
      </c>
      <c r="BS173" s="8">
        <v>690133</v>
      </c>
      <c r="BT173" s="8">
        <v>1435970</v>
      </c>
      <c r="BU173" s="8">
        <v>1435970</v>
      </c>
      <c r="BV173" s="8">
        <v>1437470</v>
      </c>
      <c r="BW173" s="8">
        <v>1455970</v>
      </c>
      <c r="BX173" s="8">
        <v>2134050</v>
      </c>
      <c r="BY173" s="8">
        <v>2134050</v>
      </c>
      <c r="BZ173" s="8">
        <v>2134050</v>
      </c>
      <c r="CA173" s="8">
        <v>2134050</v>
      </c>
      <c r="CB173" s="9">
        <f t="shared" si="81"/>
        <v>2134050</v>
      </c>
      <c r="CC173" s="8">
        <v>37896</v>
      </c>
      <c r="CD173" s="8">
        <v>37896</v>
      </c>
      <c r="CE173" s="8">
        <v>37896</v>
      </c>
      <c r="CF173" s="8">
        <v>169687</v>
      </c>
      <c r="CG173" s="8">
        <v>169687</v>
      </c>
      <c r="CH173" s="8">
        <v>468687</v>
      </c>
      <c r="CI173" s="8">
        <v>468687</v>
      </c>
      <c r="CJ173" s="8">
        <v>498081</v>
      </c>
      <c r="CK173" s="8">
        <v>505639</v>
      </c>
      <c r="CL173" s="8">
        <v>710335</v>
      </c>
      <c r="CM173" s="8">
        <v>710335</v>
      </c>
      <c r="CN173" s="8">
        <v>710335</v>
      </c>
      <c r="CO173" s="9">
        <f t="shared" si="82"/>
        <v>710335</v>
      </c>
      <c r="CP173" s="8">
        <v>165177</v>
      </c>
      <c r="CQ173" s="8">
        <v>165177</v>
      </c>
      <c r="CR173" s="8">
        <v>165177</v>
      </c>
      <c r="CS173" s="8">
        <v>165177</v>
      </c>
      <c r="CT173" s="8">
        <v>862583</v>
      </c>
      <c r="CU173" s="8">
        <v>867343</v>
      </c>
      <c r="CV173" s="8">
        <v>867343</v>
      </c>
      <c r="CW173" s="8">
        <v>867343</v>
      </c>
      <c r="CX173" s="8">
        <v>867343</v>
      </c>
      <c r="CY173" s="8">
        <v>867343</v>
      </c>
      <c r="CZ173" s="8">
        <v>867343</v>
      </c>
      <c r="DA173" s="8">
        <v>867343</v>
      </c>
      <c r="DB173" s="9">
        <f t="shared" si="83"/>
        <v>867343</v>
      </c>
      <c r="DC173" s="8">
        <v>229547</v>
      </c>
      <c r="DD173" s="8">
        <v>229547</v>
      </c>
      <c r="DE173" s="8">
        <v>229547</v>
      </c>
      <c r="DF173" s="8">
        <v>229547</v>
      </c>
      <c r="DG173" s="8">
        <v>229547</v>
      </c>
      <c r="DH173" s="8">
        <v>677470</v>
      </c>
      <c r="DI173" s="8">
        <v>678070</v>
      </c>
      <c r="DJ173" s="8">
        <v>978233</v>
      </c>
      <c r="DK173" s="8">
        <v>1121852</v>
      </c>
      <c r="DL173" s="8">
        <v>1121852</v>
      </c>
      <c r="DM173" s="8">
        <v>1121852</v>
      </c>
      <c r="DN173" s="8">
        <v>1121852</v>
      </c>
      <c r="DO173" s="9">
        <f t="shared" si="84"/>
        <v>1121852</v>
      </c>
      <c r="DP173" s="8">
        <v>244009</v>
      </c>
      <c r="DQ173" s="8">
        <v>717457</v>
      </c>
      <c r="DR173" s="8">
        <v>935022</v>
      </c>
      <c r="DS173" s="8">
        <v>1196041</v>
      </c>
      <c r="DT173" s="8">
        <v>1214273</v>
      </c>
      <c r="DU173" s="8">
        <v>1259535</v>
      </c>
      <c r="DV173" s="8">
        <v>1260706</v>
      </c>
      <c r="DW173" s="8">
        <v>1272892</v>
      </c>
      <c r="DX173" s="8">
        <v>1346594</v>
      </c>
      <c r="DY173" s="8">
        <v>1346594</v>
      </c>
      <c r="DZ173" s="8">
        <v>1346594</v>
      </c>
      <c r="EA173" s="8">
        <v>1309752</v>
      </c>
      <c r="EB173" s="9">
        <f t="shared" si="85"/>
        <v>1309752</v>
      </c>
      <c r="EC173" s="8">
        <v>223502</v>
      </c>
      <c r="ED173" s="8">
        <v>223502</v>
      </c>
      <c r="EE173" s="8">
        <v>340229</v>
      </c>
      <c r="EF173" s="8">
        <v>340229</v>
      </c>
      <c r="EG173" s="8">
        <v>670097</v>
      </c>
      <c r="EH173" s="8">
        <v>670097</v>
      </c>
      <c r="EI173" s="8">
        <v>670097</v>
      </c>
      <c r="EJ173" s="8">
        <v>670097</v>
      </c>
      <c r="EK173" s="8">
        <v>670097</v>
      </c>
      <c r="EL173" s="8">
        <v>674097</v>
      </c>
      <c r="EM173" s="8">
        <v>674097</v>
      </c>
      <c r="EN173" s="8">
        <v>344118</v>
      </c>
      <c r="EO173" s="9">
        <f t="shared" si="86"/>
        <v>344118</v>
      </c>
      <c r="EP173" s="8">
        <v>232890</v>
      </c>
      <c r="EQ173" s="8">
        <v>569424</v>
      </c>
      <c r="ER173" s="8">
        <v>569424</v>
      </c>
      <c r="ES173" s="8">
        <v>1020006</v>
      </c>
      <c r="ET173" s="8">
        <v>1020006</v>
      </c>
      <c r="EU173" s="8">
        <v>1020006</v>
      </c>
      <c r="EV173" s="8">
        <v>1020006</v>
      </c>
      <c r="EW173" s="8">
        <v>1020006</v>
      </c>
      <c r="EX173" s="8">
        <v>1020006</v>
      </c>
      <c r="EY173" s="8">
        <v>1020006</v>
      </c>
      <c r="EZ173" s="8">
        <v>1020006</v>
      </c>
      <c r="FA173" s="8">
        <v>1018922</v>
      </c>
      <c r="FB173" s="9">
        <f t="shared" si="87"/>
        <v>1018922</v>
      </c>
      <c r="FC173" s="8">
        <v>240109</v>
      </c>
      <c r="FD173" s="8">
        <v>240109</v>
      </c>
      <c r="FE173" s="8">
        <v>240109</v>
      </c>
      <c r="FF173" s="8">
        <v>240109</v>
      </c>
      <c r="FG173" s="8">
        <v>240109</v>
      </c>
      <c r="FH173" s="8">
        <v>240109</v>
      </c>
      <c r="FI173" s="8">
        <v>240109</v>
      </c>
      <c r="FJ173" s="8"/>
      <c r="FK173" s="8"/>
      <c r="FL173" s="8"/>
      <c r="FM173" s="8"/>
      <c r="FN173" s="8"/>
      <c r="FO173" s="9">
        <f t="shared" si="88"/>
        <v>240109</v>
      </c>
    </row>
    <row r="174" spans="2:171" ht="14.25" customHeight="1" x14ac:dyDescent="0.3">
      <c r="B174" s="7" t="s">
        <v>62</v>
      </c>
      <c r="C174" s="8">
        <v>199498</v>
      </c>
      <c r="D174" s="8">
        <v>199498</v>
      </c>
      <c r="E174" s="8">
        <v>199498</v>
      </c>
      <c r="F174" s="8">
        <v>199498</v>
      </c>
      <c r="G174" s="8">
        <v>245898</v>
      </c>
      <c r="H174" s="8">
        <v>281819</v>
      </c>
      <c r="I174" s="8">
        <v>281819</v>
      </c>
      <c r="J174" s="8">
        <v>281819</v>
      </c>
      <c r="K174" s="8">
        <v>334118</v>
      </c>
      <c r="L174" s="8">
        <v>334118</v>
      </c>
      <c r="M174" s="8">
        <v>2144220</v>
      </c>
      <c r="N174" s="8">
        <v>3794753</v>
      </c>
      <c r="O174" s="9">
        <f t="shared" si="76"/>
        <v>3794753</v>
      </c>
      <c r="P174" s="8">
        <v>205483</v>
      </c>
      <c r="Q174" s="8">
        <v>205483</v>
      </c>
      <c r="R174" s="8">
        <v>238443</v>
      </c>
      <c r="S174" s="8">
        <v>2201281</v>
      </c>
      <c r="T174" s="8">
        <v>3295019</v>
      </c>
      <c r="U174" s="8">
        <v>3295019</v>
      </c>
      <c r="V174" s="8">
        <v>3295019</v>
      </c>
      <c r="W174" s="8">
        <v>3368492</v>
      </c>
      <c r="X174" s="8">
        <v>3656395</v>
      </c>
      <c r="Y174" s="8">
        <v>4844042</v>
      </c>
      <c r="Z174" s="8">
        <v>5958144</v>
      </c>
      <c r="AA174" s="8">
        <v>7376089</v>
      </c>
      <c r="AB174" s="9">
        <f t="shared" si="77"/>
        <v>7376089</v>
      </c>
      <c r="AC174" s="8">
        <v>213291</v>
      </c>
      <c r="AD174" s="8">
        <v>563291</v>
      </c>
      <c r="AE174" s="8">
        <v>563291</v>
      </c>
      <c r="AF174" s="8">
        <v>563291</v>
      </c>
      <c r="AG174" s="8">
        <v>563291</v>
      </c>
      <c r="AH174" s="8">
        <v>566924</v>
      </c>
      <c r="AI174" s="8">
        <v>678278</v>
      </c>
      <c r="AJ174" s="8">
        <v>678278</v>
      </c>
      <c r="AK174" s="8">
        <v>678278</v>
      </c>
      <c r="AL174" s="8">
        <v>678278</v>
      </c>
      <c r="AM174" s="8">
        <v>756884</v>
      </c>
      <c r="AN174" s="8">
        <v>796375</v>
      </c>
      <c r="AO174" s="9">
        <f t="shared" si="78"/>
        <v>796375</v>
      </c>
      <c r="AP174" s="8">
        <v>219690</v>
      </c>
      <c r="AQ174" s="8">
        <v>219690</v>
      </c>
      <c r="AR174" s="8">
        <v>219690</v>
      </c>
      <c r="AS174" s="8">
        <v>219690</v>
      </c>
      <c r="AT174" s="8">
        <v>219690</v>
      </c>
      <c r="AU174" s="8">
        <v>219690</v>
      </c>
      <c r="AV174" s="8">
        <v>360364</v>
      </c>
      <c r="AW174" s="8">
        <v>360364</v>
      </c>
      <c r="AX174" s="8">
        <v>403364</v>
      </c>
      <c r="AY174" s="8">
        <v>403364</v>
      </c>
      <c r="AZ174" s="8">
        <v>736519</v>
      </c>
      <c r="BA174" s="8">
        <v>778019</v>
      </c>
      <c r="BB174" s="9">
        <f t="shared" si="79"/>
        <v>778019</v>
      </c>
      <c r="BC174" s="8">
        <v>225402</v>
      </c>
      <c r="BD174" s="8">
        <v>225402</v>
      </c>
      <c r="BE174" s="8">
        <v>225402</v>
      </c>
      <c r="BF174" s="8">
        <v>225402</v>
      </c>
      <c r="BG174" s="8">
        <v>225402</v>
      </c>
      <c r="BH174" s="8">
        <v>227399</v>
      </c>
      <c r="BI174" s="8">
        <v>204420</v>
      </c>
      <c r="BJ174" s="8">
        <v>382884</v>
      </c>
      <c r="BK174" s="8">
        <v>1854939</v>
      </c>
      <c r="BL174" s="8">
        <v>2375904</v>
      </c>
      <c r="BM174" s="8">
        <v>2397008</v>
      </c>
      <c r="BN174" s="8">
        <v>3563290</v>
      </c>
      <c r="BO174" s="9">
        <f t="shared" si="80"/>
        <v>3563290</v>
      </c>
      <c r="BP174" s="8">
        <v>0</v>
      </c>
      <c r="BQ174" s="8">
        <v>0</v>
      </c>
      <c r="BR174" s="8">
        <v>175000</v>
      </c>
      <c r="BS174" s="8">
        <v>4199646</v>
      </c>
      <c r="BT174" s="8">
        <v>5824359</v>
      </c>
      <c r="BU174" s="8">
        <v>5824359</v>
      </c>
      <c r="BV174" s="8">
        <v>5845463</v>
      </c>
      <c r="BW174" s="8">
        <v>9587963</v>
      </c>
      <c r="BX174" s="8">
        <v>13089377</v>
      </c>
      <c r="BY174" s="8">
        <v>13089377</v>
      </c>
      <c r="BZ174" s="8">
        <v>13123372</v>
      </c>
      <c r="CA174" s="8">
        <v>11623972</v>
      </c>
      <c r="CB174" s="9">
        <f t="shared" si="81"/>
        <v>11623972</v>
      </c>
      <c r="CC174" s="8">
        <v>1968016</v>
      </c>
      <c r="CD174" s="8">
        <v>1968016</v>
      </c>
      <c r="CE174" s="8">
        <v>1968016</v>
      </c>
      <c r="CF174" s="8">
        <v>2155558</v>
      </c>
      <c r="CG174" s="8">
        <v>2155558</v>
      </c>
      <c r="CH174" s="8">
        <v>6546295</v>
      </c>
      <c r="CI174" s="8">
        <v>6546295</v>
      </c>
      <c r="CJ174" s="8">
        <v>6665295</v>
      </c>
      <c r="CK174" s="8">
        <v>6679295</v>
      </c>
      <c r="CL174" s="8">
        <v>6897295</v>
      </c>
      <c r="CM174" s="8">
        <v>6897295</v>
      </c>
      <c r="CN174" s="8">
        <v>6897295</v>
      </c>
      <c r="CO174" s="9">
        <f t="shared" si="82"/>
        <v>6897295</v>
      </c>
      <c r="CP174" s="8">
        <v>540663</v>
      </c>
      <c r="CQ174" s="8">
        <v>540663</v>
      </c>
      <c r="CR174" s="8">
        <v>540663</v>
      </c>
      <c r="CS174" s="8">
        <v>540663</v>
      </c>
      <c r="CT174" s="8">
        <v>1193730</v>
      </c>
      <c r="CU174" s="8">
        <v>1223299</v>
      </c>
      <c r="CV174" s="8">
        <v>1384289</v>
      </c>
      <c r="CW174" s="8">
        <v>2694818</v>
      </c>
      <c r="CX174" s="8">
        <v>2694818</v>
      </c>
      <c r="CY174" s="8">
        <v>3353740</v>
      </c>
      <c r="CZ174" s="8">
        <v>3486203</v>
      </c>
      <c r="DA174" s="8">
        <v>3476687</v>
      </c>
      <c r="DB174" s="9">
        <f t="shared" si="83"/>
        <v>3476687</v>
      </c>
      <c r="DC174" s="8">
        <v>733289</v>
      </c>
      <c r="DD174" s="8">
        <v>733289</v>
      </c>
      <c r="DE174" s="8">
        <v>733289</v>
      </c>
      <c r="DF174" s="8">
        <v>733289</v>
      </c>
      <c r="DG174" s="8">
        <v>782088</v>
      </c>
      <c r="DH174" s="8">
        <v>782088</v>
      </c>
      <c r="DI174" s="8">
        <v>782088</v>
      </c>
      <c r="DJ174" s="8">
        <v>1518980</v>
      </c>
      <c r="DK174" s="8">
        <v>2080928</v>
      </c>
      <c r="DL174" s="8">
        <v>2080928</v>
      </c>
      <c r="DM174" s="8">
        <v>2080928</v>
      </c>
      <c r="DN174" s="8">
        <v>2189033</v>
      </c>
      <c r="DO174" s="9">
        <f t="shared" si="84"/>
        <v>2189033</v>
      </c>
      <c r="DP174" s="8">
        <v>779486</v>
      </c>
      <c r="DQ174" s="8">
        <v>1276030</v>
      </c>
      <c r="DR174" s="8">
        <v>1289158</v>
      </c>
      <c r="DS174" s="8">
        <v>2865289</v>
      </c>
      <c r="DT174" s="8">
        <v>2865289</v>
      </c>
      <c r="DU174" s="8">
        <v>3122089</v>
      </c>
      <c r="DV174" s="8">
        <v>3138974</v>
      </c>
      <c r="DW174" s="8">
        <v>3187716</v>
      </c>
      <c r="DX174" s="8">
        <v>3357923</v>
      </c>
      <c r="DY174" s="8">
        <v>3357923</v>
      </c>
      <c r="DZ174" s="8">
        <v>3357923</v>
      </c>
      <c r="EA174" s="8">
        <v>3357923</v>
      </c>
      <c r="EB174" s="9">
        <f t="shared" si="85"/>
        <v>3357923</v>
      </c>
      <c r="EC174" s="8">
        <v>713976</v>
      </c>
      <c r="ED174" s="8">
        <v>713976</v>
      </c>
      <c r="EE174" s="8">
        <v>1885554</v>
      </c>
      <c r="EF174" s="8">
        <v>1890996</v>
      </c>
      <c r="EG174" s="8">
        <v>2440776</v>
      </c>
      <c r="EH174" s="8">
        <v>2440776</v>
      </c>
      <c r="EI174" s="8">
        <v>2440776</v>
      </c>
      <c r="EJ174" s="8">
        <v>2455824</v>
      </c>
      <c r="EK174" s="8">
        <v>2455824</v>
      </c>
      <c r="EL174" s="8">
        <v>2534739</v>
      </c>
      <c r="EM174" s="8">
        <v>2534739</v>
      </c>
      <c r="EN174" s="8">
        <v>1629059</v>
      </c>
      <c r="EO174" s="9">
        <f t="shared" si="86"/>
        <v>1629059</v>
      </c>
      <c r="EP174" s="8">
        <v>743963</v>
      </c>
      <c r="EQ174" s="8">
        <v>1471852</v>
      </c>
      <c r="ER174" s="8">
        <v>1471852</v>
      </c>
      <c r="ES174" s="8">
        <v>3265840</v>
      </c>
      <c r="ET174" s="8">
        <v>3305770</v>
      </c>
      <c r="EU174" s="8">
        <v>3305770</v>
      </c>
      <c r="EV174" s="8">
        <v>3305770</v>
      </c>
      <c r="EW174" s="8">
        <v>3305770</v>
      </c>
      <c r="EX174" s="8">
        <v>3305770</v>
      </c>
      <c r="EY174" s="8">
        <v>3305770</v>
      </c>
      <c r="EZ174" s="8">
        <v>3305770</v>
      </c>
      <c r="FA174" s="8">
        <v>3041617</v>
      </c>
      <c r="FB174" s="9">
        <f t="shared" si="87"/>
        <v>3041617</v>
      </c>
      <c r="FC174" s="8">
        <v>767026</v>
      </c>
      <c r="FD174" s="8">
        <v>993744</v>
      </c>
      <c r="FE174" s="8">
        <v>993744</v>
      </c>
      <c r="FF174" s="8">
        <v>993744</v>
      </c>
      <c r="FG174" s="8">
        <v>993744</v>
      </c>
      <c r="FH174" s="8">
        <v>993744</v>
      </c>
      <c r="FI174" s="8">
        <v>1659295</v>
      </c>
      <c r="FJ174" s="8"/>
      <c r="FK174" s="8"/>
      <c r="FL174" s="8"/>
      <c r="FM174" s="8"/>
      <c r="FN174" s="8"/>
      <c r="FO174" s="9">
        <f t="shared" si="88"/>
        <v>1659295</v>
      </c>
    </row>
    <row r="175" spans="2:171" ht="14.25" customHeight="1" x14ac:dyDescent="0.3">
      <c r="B175" s="7" t="s">
        <v>63</v>
      </c>
      <c r="C175" s="8">
        <v>173609</v>
      </c>
      <c r="D175" s="8">
        <v>189211</v>
      </c>
      <c r="E175" s="8">
        <v>189211</v>
      </c>
      <c r="F175" s="8">
        <v>189211</v>
      </c>
      <c r="G175" s="8">
        <v>207941</v>
      </c>
      <c r="H175" s="8">
        <v>225502</v>
      </c>
      <c r="I175" s="8">
        <v>225502</v>
      </c>
      <c r="J175" s="8">
        <v>225502</v>
      </c>
      <c r="K175" s="8">
        <v>1278510</v>
      </c>
      <c r="L175" s="8">
        <v>1280230</v>
      </c>
      <c r="M175" s="8">
        <v>2989385</v>
      </c>
      <c r="N175" s="8">
        <v>3024385</v>
      </c>
      <c r="O175" s="9">
        <f t="shared" si="76"/>
        <v>3024385</v>
      </c>
      <c r="P175" s="8">
        <v>178817</v>
      </c>
      <c r="Q175" s="8">
        <v>178817</v>
      </c>
      <c r="R175" s="8">
        <v>211777</v>
      </c>
      <c r="S175" s="8">
        <v>721777</v>
      </c>
      <c r="T175" s="8">
        <v>1216689</v>
      </c>
      <c r="U175" s="8">
        <v>1810178</v>
      </c>
      <c r="V175" s="8">
        <v>1810178</v>
      </c>
      <c r="W175" s="8">
        <v>1914936</v>
      </c>
      <c r="X175" s="8">
        <v>1914936</v>
      </c>
      <c r="Y175" s="8">
        <v>2354504</v>
      </c>
      <c r="Z175" s="8">
        <v>2443828</v>
      </c>
      <c r="AA175" s="8">
        <v>3889242</v>
      </c>
      <c r="AB175" s="9">
        <f t="shared" si="77"/>
        <v>3889242</v>
      </c>
      <c r="AC175" s="8">
        <v>185612</v>
      </c>
      <c r="AD175" s="8">
        <v>434612</v>
      </c>
      <c r="AE175" s="8">
        <v>434612</v>
      </c>
      <c r="AF175" s="8">
        <v>840612</v>
      </c>
      <c r="AG175" s="8">
        <v>939595</v>
      </c>
      <c r="AH175" s="8">
        <v>943228</v>
      </c>
      <c r="AI175" s="8">
        <v>943228</v>
      </c>
      <c r="AJ175" s="8">
        <v>943228</v>
      </c>
      <c r="AK175" s="8">
        <v>943228</v>
      </c>
      <c r="AL175" s="8">
        <v>945304</v>
      </c>
      <c r="AM175" s="8">
        <v>1010242</v>
      </c>
      <c r="AN175" s="8">
        <v>1034687</v>
      </c>
      <c r="AO175" s="9">
        <f t="shared" si="78"/>
        <v>1034687</v>
      </c>
      <c r="AP175" s="8">
        <v>191180</v>
      </c>
      <c r="AQ175" s="8">
        <v>191180</v>
      </c>
      <c r="AR175" s="8">
        <v>191180</v>
      </c>
      <c r="AS175" s="8">
        <v>191180</v>
      </c>
      <c r="AT175" s="8">
        <v>191180</v>
      </c>
      <c r="AU175" s="8">
        <v>289668</v>
      </c>
      <c r="AV175" s="8">
        <v>300784</v>
      </c>
      <c r="AW175" s="8">
        <v>300784</v>
      </c>
      <c r="AX175" s="8">
        <v>340784</v>
      </c>
      <c r="AY175" s="8">
        <v>350297</v>
      </c>
      <c r="AZ175" s="8">
        <v>406797</v>
      </c>
      <c r="BA175" s="8">
        <v>406797</v>
      </c>
      <c r="BB175" s="9">
        <f t="shared" si="79"/>
        <v>406797</v>
      </c>
      <c r="BC175" s="8">
        <v>196151</v>
      </c>
      <c r="BD175" s="8">
        <v>196151</v>
      </c>
      <c r="BE175" s="8">
        <v>196151</v>
      </c>
      <c r="BF175" s="8">
        <v>196151</v>
      </c>
      <c r="BG175" s="8">
        <v>196151</v>
      </c>
      <c r="BH175" s="8">
        <v>241650</v>
      </c>
      <c r="BI175" s="8">
        <v>223807</v>
      </c>
      <c r="BJ175" s="8">
        <v>657985</v>
      </c>
      <c r="BK175" s="8">
        <v>7037859</v>
      </c>
      <c r="BL175" s="8">
        <v>7173938</v>
      </c>
      <c r="BM175" s="8">
        <v>7189238</v>
      </c>
      <c r="BN175" s="8">
        <v>5024078</v>
      </c>
      <c r="BO175" s="9">
        <f t="shared" si="80"/>
        <v>5024078</v>
      </c>
      <c r="BP175" s="8">
        <v>0</v>
      </c>
      <c r="BQ175" s="8">
        <v>2248800</v>
      </c>
      <c r="BR175" s="8">
        <v>2423800</v>
      </c>
      <c r="BS175" s="8">
        <v>2594300</v>
      </c>
      <c r="BT175" s="8">
        <v>2623010</v>
      </c>
      <c r="BU175" s="8">
        <v>3607045</v>
      </c>
      <c r="BV175" s="8">
        <v>3639148</v>
      </c>
      <c r="BW175" s="8">
        <v>3694720</v>
      </c>
      <c r="BX175" s="8">
        <v>5502667</v>
      </c>
      <c r="BY175" s="8">
        <v>5502667</v>
      </c>
      <c r="BZ175" s="8">
        <v>5502667</v>
      </c>
      <c r="CA175" s="8">
        <v>5502667</v>
      </c>
      <c r="CB175" s="9">
        <f t="shared" si="81"/>
        <v>5502667</v>
      </c>
      <c r="CC175" s="8">
        <v>66111</v>
      </c>
      <c r="CD175" s="8">
        <v>66111</v>
      </c>
      <c r="CE175" s="8">
        <v>66111</v>
      </c>
      <c r="CF175" s="8">
        <v>223826</v>
      </c>
      <c r="CG175" s="8">
        <v>223826</v>
      </c>
      <c r="CH175" s="8">
        <v>368597</v>
      </c>
      <c r="CI175" s="8">
        <v>368597</v>
      </c>
      <c r="CJ175" s="8">
        <v>388597</v>
      </c>
      <c r="CK175" s="8">
        <v>2659201</v>
      </c>
      <c r="CL175" s="8">
        <v>2853201</v>
      </c>
      <c r="CM175" s="8">
        <v>2853201</v>
      </c>
      <c r="CN175" s="8">
        <v>2853201</v>
      </c>
      <c r="CO175" s="9">
        <f t="shared" si="82"/>
        <v>2853201</v>
      </c>
      <c r="CP175" s="8">
        <v>285863</v>
      </c>
      <c r="CQ175" s="8">
        <v>285863</v>
      </c>
      <c r="CR175" s="8">
        <v>285863</v>
      </c>
      <c r="CS175" s="8">
        <v>285863</v>
      </c>
      <c r="CT175" s="8">
        <v>1299140</v>
      </c>
      <c r="CU175" s="8">
        <v>1299140</v>
      </c>
      <c r="CV175" s="8">
        <v>1299140</v>
      </c>
      <c r="CW175" s="8">
        <v>1783359</v>
      </c>
      <c r="CX175" s="8">
        <v>1783359</v>
      </c>
      <c r="CY175" s="8">
        <v>2405427</v>
      </c>
      <c r="CZ175" s="8">
        <v>2405427</v>
      </c>
      <c r="DA175" s="8">
        <v>2396000</v>
      </c>
      <c r="DB175" s="9">
        <f t="shared" si="83"/>
        <v>2396000</v>
      </c>
      <c r="DC175" s="8">
        <v>394704</v>
      </c>
      <c r="DD175" s="8">
        <v>394704</v>
      </c>
      <c r="DE175" s="8">
        <v>394704</v>
      </c>
      <c r="DF175" s="8">
        <v>394704</v>
      </c>
      <c r="DG175" s="8">
        <v>4525086</v>
      </c>
      <c r="DH175" s="8">
        <v>4945655</v>
      </c>
      <c r="DI175" s="8">
        <v>5053162</v>
      </c>
      <c r="DJ175" s="8">
        <v>5690949</v>
      </c>
      <c r="DK175" s="8">
        <v>6364665</v>
      </c>
      <c r="DL175" s="8">
        <v>6364665</v>
      </c>
      <c r="DM175" s="8">
        <v>6462510</v>
      </c>
      <c r="DN175" s="8">
        <v>6570615</v>
      </c>
      <c r="DO175" s="9">
        <f t="shared" si="84"/>
        <v>6570615</v>
      </c>
      <c r="DP175" s="8">
        <v>419570</v>
      </c>
      <c r="DQ175" s="8">
        <v>1603333</v>
      </c>
      <c r="DR175" s="8">
        <v>2346954</v>
      </c>
      <c r="DS175" s="8">
        <v>2349454</v>
      </c>
      <c r="DT175" s="8">
        <v>2349454</v>
      </c>
      <c r="DU175" s="8">
        <v>2399131</v>
      </c>
      <c r="DV175" s="8">
        <v>2400301</v>
      </c>
      <c r="DW175" s="8">
        <v>2424672</v>
      </c>
      <c r="DX175" s="8">
        <v>2424942</v>
      </c>
      <c r="DY175" s="8">
        <v>2424942</v>
      </c>
      <c r="DZ175" s="8">
        <v>2424942</v>
      </c>
      <c r="EA175" s="8">
        <v>2424942</v>
      </c>
      <c r="EB175" s="9">
        <f t="shared" si="85"/>
        <v>2424942</v>
      </c>
      <c r="EC175" s="8">
        <v>384307</v>
      </c>
      <c r="ED175" s="8">
        <v>384307</v>
      </c>
      <c r="EE175" s="8">
        <v>1272471</v>
      </c>
      <c r="EF175" s="8">
        <v>1272971</v>
      </c>
      <c r="EG175" s="8">
        <v>1662815</v>
      </c>
      <c r="EH175" s="8">
        <v>1662815</v>
      </c>
      <c r="EI175" s="8">
        <v>1662815</v>
      </c>
      <c r="EJ175" s="8">
        <v>1686715</v>
      </c>
      <c r="EK175" s="8">
        <v>1686715</v>
      </c>
      <c r="EL175" s="8">
        <v>1686715</v>
      </c>
      <c r="EM175" s="8">
        <v>1686715</v>
      </c>
      <c r="EN175" s="8">
        <v>1575309</v>
      </c>
      <c r="EO175" s="9">
        <f t="shared" si="86"/>
        <v>1575309</v>
      </c>
      <c r="EP175" s="8">
        <v>400448</v>
      </c>
      <c r="EQ175" s="8">
        <v>508632</v>
      </c>
      <c r="ER175" s="8">
        <v>508632</v>
      </c>
      <c r="ES175" s="8">
        <v>2209561</v>
      </c>
      <c r="ET175" s="8">
        <v>2219001</v>
      </c>
      <c r="EU175" s="8">
        <v>2219001</v>
      </c>
      <c r="EV175" s="8">
        <v>2219001</v>
      </c>
      <c r="EW175" s="8">
        <v>2219001</v>
      </c>
      <c r="EX175" s="8">
        <v>2219001</v>
      </c>
      <c r="EY175" s="8">
        <v>2219001</v>
      </c>
      <c r="EZ175" s="8">
        <v>2219001</v>
      </c>
      <c r="FA175" s="8">
        <v>2118560</v>
      </c>
      <c r="FB175" s="9">
        <f t="shared" si="87"/>
        <v>2118560</v>
      </c>
      <c r="FC175" s="8">
        <v>412862</v>
      </c>
      <c r="FD175" s="8">
        <v>897060</v>
      </c>
      <c r="FE175" s="8">
        <v>897581</v>
      </c>
      <c r="FF175" s="8">
        <v>897581</v>
      </c>
      <c r="FG175" s="8">
        <v>897581</v>
      </c>
      <c r="FH175" s="8">
        <v>897581</v>
      </c>
      <c r="FI175" s="8">
        <v>2050928</v>
      </c>
      <c r="FJ175" s="8"/>
      <c r="FK175" s="8"/>
      <c r="FL175" s="8"/>
      <c r="FM175" s="8"/>
      <c r="FN175" s="8"/>
      <c r="FO175" s="9">
        <f t="shared" si="88"/>
        <v>2050928</v>
      </c>
    </row>
    <row r="176" spans="2:171" ht="14.25" customHeight="1" x14ac:dyDescent="0.3">
      <c r="B176" s="31" t="s">
        <v>64</v>
      </c>
      <c r="C176" s="8">
        <v>134991</v>
      </c>
      <c r="D176" s="8">
        <v>134991</v>
      </c>
      <c r="E176" s="8">
        <v>134991</v>
      </c>
      <c r="F176" s="8">
        <v>134991</v>
      </c>
      <c r="G176" s="8">
        <v>156191</v>
      </c>
      <c r="H176" s="8">
        <v>167392</v>
      </c>
      <c r="I176" s="8">
        <v>167392</v>
      </c>
      <c r="J176" s="8">
        <v>167392</v>
      </c>
      <c r="K176" s="8">
        <v>202258</v>
      </c>
      <c r="L176" s="8">
        <v>210285</v>
      </c>
      <c r="M176" s="8">
        <v>280080</v>
      </c>
      <c r="N176" s="8">
        <v>315080</v>
      </c>
      <c r="O176" s="9">
        <f t="shared" si="76"/>
        <v>315080</v>
      </c>
      <c r="P176" s="8">
        <v>139041</v>
      </c>
      <c r="Q176" s="8">
        <v>139041</v>
      </c>
      <c r="R176" s="8">
        <v>689001</v>
      </c>
      <c r="S176" s="8">
        <v>970039</v>
      </c>
      <c r="T176" s="8">
        <v>970039</v>
      </c>
      <c r="U176" s="8">
        <v>1011213</v>
      </c>
      <c r="V176" s="8">
        <v>1011213</v>
      </c>
      <c r="W176" s="8">
        <v>1032813</v>
      </c>
      <c r="X176" s="8">
        <v>1032813</v>
      </c>
      <c r="Y176" s="8">
        <v>1428068</v>
      </c>
      <c r="Z176" s="8">
        <v>1505104</v>
      </c>
      <c r="AA176" s="8">
        <v>1811076</v>
      </c>
      <c r="AB176" s="9">
        <f t="shared" si="77"/>
        <v>1811076</v>
      </c>
      <c r="AC176" s="8">
        <v>144325</v>
      </c>
      <c r="AD176" s="8">
        <v>348325</v>
      </c>
      <c r="AE176" s="8">
        <v>382538</v>
      </c>
      <c r="AF176" s="8">
        <v>382538</v>
      </c>
      <c r="AG176" s="8">
        <v>382538</v>
      </c>
      <c r="AH176" s="8">
        <v>386171</v>
      </c>
      <c r="AI176" s="8">
        <v>388971</v>
      </c>
      <c r="AJ176" s="8">
        <v>388971</v>
      </c>
      <c r="AK176" s="8">
        <v>388971</v>
      </c>
      <c r="AL176" s="8">
        <v>400240</v>
      </c>
      <c r="AM176" s="8">
        <v>400240</v>
      </c>
      <c r="AN176" s="8">
        <v>435989</v>
      </c>
      <c r="AO176" s="9">
        <f t="shared" si="78"/>
        <v>435989</v>
      </c>
      <c r="AP176" s="8">
        <v>148655</v>
      </c>
      <c r="AQ176" s="8">
        <v>148655</v>
      </c>
      <c r="AR176" s="8">
        <v>148655</v>
      </c>
      <c r="AS176" s="8">
        <v>148655</v>
      </c>
      <c r="AT176" s="8">
        <v>148655</v>
      </c>
      <c r="AU176" s="8">
        <v>175976</v>
      </c>
      <c r="AV176" s="8">
        <v>182862</v>
      </c>
      <c r="AW176" s="8">
        <v>182862</v>
      </c>
      <c r="AX176" s="8">
        <v>225862</v>
      </c>
      <c r="AY176" s="8">
        <v>247962</v>
      </c>
      <c r="AZ176" s="8">
        <v>247962</v>
      </c>
      <c r="BA176" s="8">
        <v>247962</v>
      </c>
      <c r="BB176" s="9">
        <f t="shared" si="79"/>
        <v>247962</v>
      </c>
      <c r="BC176" s="8">
        <v>152520</v>
      </c>
      <c r="BD176" s="8">
        <v>152520</v>
      </c>
      <c r="BE176" s="8">
        <v>152520</v>
      </c>
      <c r="BF176" s="8">
        <v>152520</v>
      </c>
      <c r="BG176" s="8">
        <v>152520</v>
      </c>
      <c r="BH176" s="8">
        <v>152520</v>
      </c>
      <c r="BI176" s="8">
        <v>144170</v>
      </c>
      <c r="BJ176" s="8">
        <v>212494</v>
      </c>
      <c r="BK176" s="8">
        <v>740136</v>
      </c>
      <c r="BL176" s="8">
        <v>740136</v>
      </c>
      <c r="BM176" s="8">
        <v>742436</v>
      </c>
      <c r="BN176" s="8">
        <v>830661</v>
      </c>
      <c r="BO176" s="9">
        <f t="shared" si="80"/>
        <v>830661</v>
      </c>
      <c r="BP176" s="8">
        <v>0</v>
      </c>
      <c r="BQ176" s="8">
        <v>0</v>
      </c>
      <c r="BR176" s="8">
        <v>0</v>
      </c>
      <c r="BS176" s="8">
        <v>369200</v>
      </c>
      <c r="BT176" s="8">
        <v>962175</v>
      </c>
      <c r="BU176" s="8">
        <v>1318188</v>
      </c>
      <c r="BV176" s="8">
        <v>1342464</v>
      </c>
      <c r="BW176" s="8">
        <v>1358964</v>
      </c>
      <c r="BX176" s="8">
        <v>3710042</v>
      </c>
      <c r="BY176" s="8">
        <v>3710042</v>
      </c>
      <c r="BZ176" s="8">
        <v>3710042</v>
      </c>
      <c r="CA176" s="8">
        <v>3710042</v>
      </c>
      <c r="CB176" s="9">
        <f t="shared" si="81"/>
        <v>3710042</v>
      </c>
      <c r="CC176" s="8">
        <v>47383</v>
      </c>
      <c r="CD176" s="8">
        <v>47383</v>
      </c>
      <c r="CE176" s="8">
        <v>47383</v>
      </c>
      <c r="CF176" s="8">
        <v>133719</v>
      </c>
      <c r="CG176" s="8">
        <v>608639</v>
      </c>
      <c r="CH176" s="8">
        <v>608639</v>
      </c>
      <c r="CI176" s="8">
        <v>608639</v>
      </c>
      <c r="CJ176" s="8">
        <v>858308</v>
      </c>
      <c r="CK176" s="8">
        <v>876808</v>
      </c>
      <c r="CL176" s="8">
        <v>1034483</v>
      </c>
      <c r="CM176" s="8">
        <v>1034483</v>
      </c>
      <c r="CN176" s="8">
        <v>1034483</v>
      </c>
      <c r="CO176" s="9">
        <f t="shared" si="82"/>
        <v>1034483</v>
      </c>
      <c r="CP176" s="8">
        <v>201301</v>
      </c>
      <c r="CQ176" s="8">
        <v>201301</v>
      </c>
      <c r="CR176" s="8">
        <v>590661</v>
      </c>
      <c r="CS176" s="8">
        <v>590661</v>
      </c>
      <c r="CT176" s="8">
        <v>1775694</v>
      </c>
      <c r="CU176" s="8">
        <v>1800002</v>
      </c>
      <c r="CV176" s="8">
        <v>1800002</v>
      </c>
      <c r="CW176" s="8">
        <v>2282495</v>
      </c>
      <c r="CX176" s="8">
        <v>2282495</v>
      </c>
      <c r="CY176" s="8">
        <v>2350771</v>
      </c>
      <c r="CZ176" s="8">
        <v>2370924</v>
      </c>
      <c r="DA176" s="8">
        <v>2368592</v>
      </c>
      <c r="DB176" s="9">
        <f t="shared" si="83"/>
        <v>2368592</v>
      </c>
      <c r="DC176" s="8">
        <v>275962</v>
      </c>
      <c r="DD176" s="8">
        <v>275962</v>
      </c>
      <c r="DE176" s="8">
        <v>275962</v>
      </c>
      <c r="DF176" s="8">
        <v>275962</v>
      </c>
      <c r="DG176" s="8">
        <v>275962</v>
      </c>
      <c r="DH176" s="8">
        <v>428959</v>
      </c>
      <c r="DI176" s="8">
        <v>1210892</v>
      </c>
      <c r="DJ176" s="8">
        <v>1780934</v>
      </c>
      <c r="DK176" s="8">
        <v>2786497</v>
      </c>
      <c r="DL176" s="8">
        <v>2786497</v>
      </c>
      <c r="DM176" s="8">
        <v>2786497</v>
      </c>
      <c r="DN176" s="8">
        <v>2786497</v>
      </c>
      <c r="DO176" s="9">
        <f t="shared" si="84"/>
        <v>2786497</v>
      </c>
      <c r="DP176" s="8">
        <v>293348</v>
      </c>
      <c r="DQ176" s="8">
        <v>778681</v>
      </c>
      <c r="DR176" s="8">
        <v>791809</v>
      </c>
      <c r="DS176" s="8">
        <v>794309</v>
      </c>
      <c r="DT176" s="8">
        <v>794309</v>
      </c>
      <c r="DU176" s="8">
        <v>817355</v>
      </c>
      <c r="DV176" s="8">
        <v>825636</v>
      </c>
      <c r="DW176" s="8">
        <v>868285</v>
      </c>
      <c r="DX176" s="8">
        <v>902528</v>
      </c>
      <c r="DY176" s="8">
        <v>902528</v>
      </c>
      <c r="DZ176" s="8">
        <v>902528</v>
      </c>
      <c r="EA176" s="8">
        <v>902528</v>
      </c>
      <c r="EB176" s="9">
        <f t="shared" si="85"/>
        <v>902528</v>
      </c>
      <c r="EC176" s="8">
        <v>268694</v>
      </c>
      <c r="ED176" s="8">
        <v>268694</v>
      </c>
      <c r="EE176" s="8">
        <v>514842</v>
      </c>
      <c r="EF176" s="8">
        <v>652809</v>
      </c>
      <c r="EG176" s="8">
        <v>872721</v>
      </c>
      <c r="EH176" s="8">
        <v>872721</v>
      </c>
      <c r="EI176" s="8">
        <v>872721</v>
      </c>
      <c r="EJ176" s="8">
        <v>872721</v>
      </c>
      <c r="EK176" s="8">
        <v>872721</v>
      </c>
      <c r="EL176" s="8">
        <v>847312</v>
      </c>
      <c r="EM176" s="8">
        <v>847312</v>
      </c>
      <c r="EN176" s="8">
        <v>843768</v>
      </c>
      <c r="EO176" s="9">
        <f t="shared" si="86"/>
        <v>843768</v>
      </c>
      <c r="EP176" s="8">
        <v>279980</v>
      </c>
      <c r="EQ176" s="8">
        <v>279980</v>
      </c>
      <c r="ER176" s="8">
        <v>279980</v>
      </c>
      <c r="ES176" s="8">
        <v>1040023</v>
      </c>
      <c r="ET176" s="8">
        <v>1040023</v>
      </c>
      <c r="EU176" s="8">
        <v>1040023</v>
      </c>
      <c r="EV176" s="8">
        <v>1040023</v>
      </c>
      <c r="EW176" s="8">
        <v>1040023</v>
      </c>
      <c r="EX176" s="8">
        <v>1040023</v>
      </c>
      <c r="EY176" s="8">
        <v>1040023</v>
      </c>
      <c r="EZ176" s="8">
        <v>1040023</v>
      </c>
      <c r="FA176" s="8">
        <v>1040023</v>
      </c>
      <c r="FB176" s="9">
        <f t="shared" si="87"/>
        <v>1040023</v>
      </c>
      <c r="FC176" s="8">
        <v>288660</v>
      </c>
      <c r="FD176" s="8">
        <v>288660</v>
      </c>
      <c r="FE176" s="8">
        <v>288660</v>
      </c>
      <c r="FF176" s="8">
        <v>288660</v>
      </c>
      <c r="FG176" s="8">
        <v>288660</v>
      </c>
      <c r="FH176" s="8">
        <v>288660</v>
      </c>
      <c r="FI176" s="8">
        <v>574799</v>
      </c>
      <c r="FJ176" s="8"/>
      <c r="FK176" s="8"/>
      <c r="FL176" s="8"/>
      <c r="FM176" s="8"/>
      <c r="FN176" s="8"/>
      <c r="FO176" s="9">
        <f t="shared" si="88"/>
        <v>574799</v>
      </c>
    </row>
    <row r="177" spans="2:171" ht="14.25" customHeight="1" x14ac:dyDescent="0.3">
      <c r="B177" s="31" t="s">
        <v>65</v>
      </c>
      <c r="C177" s="8">
        <v>197209</v>
      </c>
      <c r="D177" s="8">
        <v>789151</v>
      </c>
      <c r="E177" s="8">
        <v>789151</v>
      </c>
      <c r="F177" s="8">
        <v>789151</v>
      </c>
      <c r="G177" s="8">
        <v>801401</v>
      </c>
      <c r="H177" s="8">
        <v>996136</v>
      </c>
      <c r="I177" s="8">
        <v>996136</v>
      </c>
      <c r="J177" s="8">
        <v>996136</v>
      </c>
      <c r="K177" s="8">
        <v>1077035</v>
      </c>
      <c r="L177" s="8">
        <v>1077035</v>
      </c>
      <c r="M177" s="8">
        <v>1457364</v>
      </c>
      <c r="N177" s="8">
        <v>1477364</v>
      </c>
      <c r="O177" s="9">
        <f t="shared" si="76"/>
        <v>1477364</v>
      </c>
      <c r="P177" s="8">
        <v>203125</v>
      </c>
      <c r="Q177" s="8">
        <v>203125</v>
      </c>
      <c r="R177" s="8">
        <v>269045</v>
      </c>
      <c r="S177" s="8">
        <v>269045</v>
      </c>
      <c r="T177" s="8">
        <v>269045</v>
      </c>
      <c r="U177" s="8">
        <v>333118</v>
      </c>
      <c r="V177" s="8">
        <v>333118</v>
      </c>
      <c r="W177" s="8">
        <v>339301</v>
      </c>
      <c r="X177" s="8">
        <v>339301</v>
      </c>
      <c r="Y177" s="8">
        <v>402685</v>
      </c>
      <c r="Z177" s="8">
        <v>1628562</v>
      </c>
      <c r="AA177" s="8">
        <v>1298078</v>
      </c>
      <c r="AB177" s="9">
        <f t="shared" si="77"/>
        <v>1298078</v>
      </c>
      <c r="AC177" s="8">
        <v>210844</v>
      </c>
      <c r="AD177" s="8">
        <v>560844</v>
      </c>
      <c r="AE177" s="8">
        <v>560844</v>
      </c>
      <c r="AF177" s="8">
        <v>560844</v>
      </c>
      <c r="AG177" s="8">
        <v>756989</v>
      </c>
      <c r="AH177" s="8">
        <v>760622</v>
      </c>
      <c r="AI177" s="8">
        <v>783132</v>
      </c>
      <c r="AJ177" s="8">
        <v>783132</v>
      </c>
      <c r="AK177" s="8">
        <v>783132</v>
      </c>
      <c r="AL177" s="8">
        <v>783132</v>
      </c>
      <c r="AM177" s="8">
        <v>783132</v>
      </c>
      <c r="AN177" s="8">
        <v>783132</v>
      </c>
      <c r="AO177" s="9">
        <f t="shared" si="78"/>
        <v>783132</v>
      </c>
      <c r="AP177" s="8">
        <v>217169</v>
      </c>
      <c r="AQ177" s="8">
        <v>217169</v>
      </c>
      <c r="AR177" s="8">
        <v>217169</v>
      </c>
      <c r="AS177" s="8">
        <v>217169</v>
      </c>
      <c r="AT177" s="8">
        <v>217169</v>
      </c>
      <c r="AU177" s="8">
        <v>217169</v>
      </c>
      <c r="AV177" s="8">
        <v>217169</v>
      </c>
      <c r="AW177" s="8">
        <v>217169</v>
      </c>
      <c r="AX177" s="8">
        <v>260169</v>
      </c>
      <c r="AY177" s="8">
        <v>271169</v>
      </c>
      <c r="AZ177" s="8">
        <v>389507</v>
      </c>
      <c r="BA177" s="8">
        <v>389507</v>
      </c>
      <c r="BB177" s="9">
        <f t="shared" si="79"/>
        <v>389507</v>
      </c>
      <c r="BC177" s="8">
        <v>222815</v>
      </c>
      <c r="BD177" s="8">
        <v>222815</v>
      </c>
      <c r="BE177" s="8">
        <v>222815</v>
      </c>
      <c r="BF177" s="8">
        <v>222815</v>
      </c>
      <c r="BG177" s="8">
        <v>222815</v>
      </c>
      <c r="BH177" s="8">
        <v>222815</v>
      </c>
      <c r="BI177" s="8">
        <v>202099</v>
      </c>
      <c r="BJ177" s="8">
        <v>1117099</v>
      </c>
      <c r="BK177" s="8">
        <v>1117099</v>
      </c>
      <c r="BL177" s="8">
        <v>1117099</v>
      </c>
      <c r="BM177" s="8">
        <v>1117099</v>
      </c>
      <c r="BN177" s="8">
        <v>1968304</v>
      </c>
      <c r="BO177" s="9">
        <f t="shared" si="80"/>
        <v>1968304</v>
      </c>
      <c r="BP177" s="8">
        <v>0</v>
      </c>
      <c r="BQ177" s="8">
        <v>0</v>
      </c>
      <c r="BR177" s="8">
        <v>0</v>
      </c>
      <c r="BS177" s="8">
        <v>124400</v>
      </c>
      <c r="BT177" s="8">
        <v>156107</v>
      </c>
      <c r="BU177" s="8">
        <v>156107</v>
      </c>
      <c r="BV177" s="8">
        <v>157837</v>
      </c>
      <c r="BW177" s="8">
        <v>189837</v>
      </c>
      <c r="BX177" s="8">
        <v>849818</v>
      </c>
      <c r="BY177" s="8">
        <v>849818</v>
      </c>
      <c r="BZ177" s="8">
        <v>849818</v>
      </c>
      <c r="CA177" s="8">
        <v>849818</v>
      </c>
      <c r="CB177" s="9">
        <f t="shared" si="81"/>
        <v>849818</v>
      </c>
      <c r="CC177" s="8">
        <v>79885</v>
      </c>
      <c r="CD177" s="8">
        <v>79885</v>
      </c>
      <c r="CE177" s="8">
        <v>79885</v>
      </c>
      <c r="CF177" s="8">
        <v>214165</v>
      </c>
      <c r="CG177" s="8">
        <v>283087</v>
      </c>
      <c r="CH177" s="8">
        <v>1062997</v>
      </c>
      <c r="CI177" s="8">
        <v>1062997</v>
      </c>
      <c r="CJ177" s="8">
        <v>1151890</v>
      </c>
      <c r="CK177" s="8">
        <v>1155040</v>
      </c>
      <c r="CL177" s="8">
        <v>2025955</v>
      </c>
      <c r="CM177" s="8">
        <v>2025955</v>
      </c>
      <c r="CN177" s="8">
        <v>2025955</v>
      </c>
      <c r="CO177" s="9">
        <f t="shared" si="82"/>
        <v>2025955</v>
      </c>
      <c r="CP177" s="8">
        <v>353262</v>
      </c>
      <c r="CQ177" s="8">
        <v>353262</v>
      </c>
      <c r="CR177" s="8">
        <v>353262</v>
      </c>
      <c r="CS177" s="8">
        <v>1989694</v>
      </c>
      <c r="CT177" s="8">
        <v>3468600</v>
      </c>
      <c r="CU177" s="8">
        <v>3470980</v>
      </c>
      <c r="CV177" s="8">
        <v>3470980</v>
      </c>
      <c r="CW177" s="8">
        <v>3679598</v>
      </c>
      <c r="CX177" s="8">
        <v>3679598</v>
      </c>
      <c r="CY177" s="8">
        <v>3699327</v>
      </c>
      <c r="CZ177" s="8">
        <v>3719480</v>
      </c>
      <c r="DA177" s="8">
        <v>3717100</v>
      </c>
      <c r="DB177" s="9">
        <f t="shared" si="83"/>
        <v>3717100</v>
      </c>
      <c r="DC177" s="8">
        <v>485208</v>
      </c>
      <c r="DD177" s="8">
        <v>485208</v>
      </c>
      <c r="DE177" s="8">
        <v>485208</v>
      </c>
      <c r="DF177" s="8">
        <v>485208</v>
      </c>
      <c r="DG177" s="8">
        <v>485208</v>
      </c>
      <c r="DH177" s="8">
        <v>485208</v>
      </c>
      <c r="DI177" s="8">
        <v>500259</v>
      </c>
      <c r="DJ177" s="8">
        <v>500259</v>
      </c>
      <c r="DK177" s="8">
        <v>761822</v>
      </c>
      <c r="DL177" s="8">
        <v>761822</v>
      </c>
      <c r="DM177" s="8">
        <v>761822</v>
      </c>
      <c r="DN177" s="8">
        <v>869927</v>
      </c>
      <c r="DO177" s="9">
        <f t="shared" si="84"/>
        <v>869927</v>
      </c>
      <c r="DP177" s="8">
        <v>515776</v>
      </c>
      <c r="DQ177" s="8">
        <v>1884207</v>
      </c>
      <c r="DR177" s="8">
        <v>1884207</v>
      </c>
      <c r="DS177" s="8">
        <v>1886707</v>
      </c>
      <c r="DT177" s="8">
        <v>1886707</v>
      </c>
      <c r="DU177" s="8">
        <v>2001096</v>
      </c>
      <c r="DV177" s="8">
        <v>2024757</v>
      </c>
      <c r="DW177" s="8">
        <v>2043035</v>
      </c>
      <c r="DX177" s="8">
        <v>2308259</v>
      </c>
      <c r="DY177" s="8">
        <v>2373352</v>
      </c>
      <c r="DZ177" s="8">
        <v>2373352</v>
      </c>
      <c r="EA177" s="8">
        <v>2373352</v>
      </c>
      <c r="EB177" s="9">
        <f t="shared" si="85"/>
        <v>2373352</v>
      </c>
      <c r="EC177" s="8">
        <v>472428</v>
      </c>
      <c r="ED177" s="8">
        <v>472428</v>
      </c>
      <c r="EE177" s="8">
        <v>1167341</v>
      </c>
      <c r="EF177" s="8">
        <v>1367327</v>
      </c>
      <c r="EG177" s="8">
        <v>1587239</v>
      </c>
      <c r="EH177" s="8">
        <v>1587239</v>
      </c>
      <c r="EI177" s="8">
        <v>1587239</v>
      </c>
      <c r="EJ177" s="8">
        <v>1611139</v>
      </c>
      <c r="EK177" s="8">
        <v>1611139</v>
      </c>
      <c r="EL177" s="8">
        <v>1611139</v>
      </c>
      <c r="EM177" s="8">
        <v>1611139</v>
      </c>
      <c r="EN177" s="8">
        <v>1379832</v>
      </c>
      <c r="EO177" s="9">
        <f t="shared" si="86"/>
        <v>1379832</v>
      </c>
      <c r="EP177" s="8">
        <v>492270</v>
      </c>
      <c r="EQ177" s="8">
        <v>714629</v>
      </c>
      <c r="ER177" s="8">
        <v>714629</v>
      </c>
      <c r="ES177" s="8">
        <v>2132291</v>
      </c>
      <c r="ET177" s="8">
        <v>2140391</v>
      </c>
      <c r="EU177" s="8">
        <v>2140391</v>
      </c>
      <c r="EV177" s="8">
        <v>2342291</v>
      </c>
      <c r="EW177" s="8">
        <v>2500009</v>
      </c>
      <c r="EX177" s="8">
        <v>2500009</v>
      </c>
      <c r="EY177" s="8">
        <v>2500009</v>
      </c>
      <c r="EZ177" s="8">
        <v>2500009</v>
      </c>
      <c r="FA177" s="8">
        <v>2416983</v>
      </c>
      <c r="FB177" s="9">
        <f t="shared" si="87"/>
        <v>2416983</v>
      </c>
      <c r="FC177" s="8">
        <v>507530</v>
      </c>
      <c r="FD177" s="8">
        <v>734248</v>
      </c>
      <c r="FE177" s="8">
        <v>734248</v>
      </c>
      <c r="FF177" s="8">
        <v>734248</v>
      </c>
      <c r="FG177" s="8">
        <v>734248</v>
      </c>
      <c r="FH177" s="8">
        <v>734248</v>
      </c>
      <c r="FI177" s="8">
        <v>2059120</v>
      </c>
      <c r="FJ177" s="8"/>
      <c r="FK177" s="8"/>
      <c r="FL177" s="8"/>
      <c r="FM177" s="8"/>
      <c r="FN177" s="8"/>
      <c r="FO177" s="9">
        <f t="shared" si="88"/>
        <v>2059120</v>
      </c>
    </row>
    <row r="178" spans="2:171" ht="14.25" customHeight="1" x14ac:dyDescent="0.3">
      <c r="B178" s="7" t="s">
        <v>66</v>
      </c>
      <c r="C178" s="8">
        <v>114769</v>
      </c>
      <c r="D178" s="8">
        <v>362094</v>
      </c>
      <c r="E178" s="8">
        <v>362094</v>
      </c>
      <c r="F178" s="8">
        <v>362094</v>
      </c>
      <c r="G178" s="8">
        <v>370734</v>
      </c>
      <c r="H178" s="8">
        <v>372923</v>
      </c>
      <c r="I178" s="8">
        <v>372923</v>
      </c>
      <c r="J178" s="8">
        <v>372923</v>
      </c>
      <c r="K178" s="8">
        <v>427672</v>
      </c>
      <c r="L178" s="8">
        <v>431003</v>
      </c>
      <c r="M178" s="8">
        <v>3539234</v>
      </c>
      <c r="N178" s="8">
        <v>3579442</v>
      </c>
      <c r="O178" s="9">
        <f t="shared" si="76"/>
        <v>3579442</v>
      </c>
      <c r="P178" s="8">
        <v>118212</v>
      </c>
      <c r="Q178" s="8">
        <v>118212</v>
      </c>
      <c r="R178" s="8">
        <v>501172</v>
      </c>
      <c r="S178" s="8">
        <v>501172</v>
      </c>
      <c r="T178" s="8">
        <v>1108126</v>
      </c>
      <c r="U178" s="8">
        <v>1108126</v>
      </c>
      <c r="V178" s="8">
        <v>1108126</v>
      </c>
      <c r="W178" s="8">
        <v>1246578</v>
      </c>
      <c r="X178" s="8">
        <v>1246578</v>
      </c>
      <c r="Y178" s="8">
        <v>1261108</v>
      </c>
      <c r="Z178" s="8">
        <v>2069437</v>
      </c>
      <c r="AA178" s="8">
        <v>2768458</v>
      </c>
      <c r="AB178" s="9">
        <f t="shared" si="77"/>
        <v>2768458</v>
      </c>
      <c r="AC178" s="8">
        <v>122704</v>
      </c>
      <c r="AD178" s="8">
        <v>474704</v>
      </c>
      <c r="AE178" s="8">
        <v>474704</v>
      </c>
      <c r="AF178" s="8">
        <v>474704</v>
      </c>
      <c r="AG178" s="8">
        <v>474704</v>
      </c>
      <c r="AH178" s="8">
        <v>503384</v>
      </c>
      <c r="AI178" s="8">
        <v>503384</v>
      </c>
      <c r="AJ178" s="8">
        <v>503384</v>
      </c>
      <c r="AK178" s="8">
        <v>503384</v>
      </c>
      <c r="AL178" s="8">
        <v>831478</v>
      </c>
      <c r="AM178" s="8">
        <v>834778</v>
      </c>
      <c r="AN178" s="8">
        <v>874330</v>
      </c>
      <c r="AO178" s="9">
        <f t="shared" si="78"/>
        <v>874330</v>
      </c>
      <c r="AP178" s="8">
        <v>126385</v>
      </c>
      <c r="AQ178" s="8">
        <v>126385</v>
      </c>
      <c r="AR178" s="8">
        <v>126385</v>
      </c>
      <c r="AS178" s="8">
        <v>126385</v>
      </c>
      <c r="AT178" s="8">
        <v>126385</v>
      </c>
      <c r="AU178" s="8">
        <v>139875</v>
      </c>
      <c r="AV178" s="8">
        <v>139875</v>
      </c>
      <c r="AW178" s="8">
        <v>139875</v>
      </c>
      <c r="AX178" s="8">
        <v>139875</v>
      </c>
      <c r="AY178" s="8">
        <v>139875</v>
      </c>
      <c r="AZ178" s="8">
        <v>145322</v>
      </c>
      <c r="BA178" s="8">
        <v>145322</v>
      </c>
      <c r="BB178" s="9">
        <f t="shared" si="79"/>
        <v>145322</v>
      </c>
      <c r="BC178" s="8">
        <v>129671</v>
      </c>
      <c r="BD178" s="8">
        <v>129671</v>
      </c>
      <c r="BE178" s="8">
        <v>129671</v>
      </c>
      <c r="BF178" s="8">
        <v>129671</v>
      </c>
      <c r="BG178" s="8">
        <v>129671</v>
      </c>
      <c r="BH178" s="8">
        <v>129671</v>
      </c>
      <c r="BI178" s="8">
        <v>123063</v>
      </c>
      <c r="BJ178" s="8">
        <v>123063</v>
      </c>
      <c r="BK178" s="8">
        <v>1565851</v>
      </c>
      <c r="BL178" s="8">
        <v>1565851</v>
      </c>
      <c r="BM178" s="8">
        <v>1580497</v>
      </c>
      <c r="BN178" s="8">
        <v>1714036</v>
      </c>
      <c r="BO178" s="9">
        <f t="shared" si="80"/>
        <v>1714036</v>
      </c>
      <c r="BP178" s="8">
        <v>0</v>
      </c>
      <c r="BQ178" s="8">
        <v>0</v>
      </c>
      <c r="BR178" s="8">
        <v>0</v>
      </c>
      <c r="BS178" s="8">
        <v>514200</v>
      </c>
      <c r="BT178" s="8">
        <v>525867</v>
      </c>
      <c r="BU178" s="8">
        <v>525867</v>
      </c>
      <c r="BV178" s="8">
        <v>584293</v>
      </c>
      <c r="BW178" s="8">
        <v>596793</v>
      </c>
      <c r="BX178" s="8">
        <v>646691</v>
      </c>
      <c r="BY178" s="8">
        <v>646691</v>
      </c>
      <c r="BZ178" s="8">
        <v>669425</v>
      </c>
      <c r="CA178" s="8">
        <v>669425</v>
      </c>
      <c r="CB178" s="9">
        <f t="shared" si="81"/>
        <v>669425</v>
      </c>
      <c r="CC178" s="8">
        <v>45607</v>
      </c>
      <c r="CD178" s="8">
        <v>45607</v>
      </c>
      <c r="CE178" s="8">
        <v>45607</v>
      </c>
      <c r="CF178" s="8">
        <v>127350</v>
      </c>
      <c r="CG178" s="8">
        <v>139566</v>
      </c>
      <c r="CH178" s="8">
        <v>157458</v>
      </c>
      <c r="CI178" s="8">
        <v>157458</v>
      </c>
      <c r="CJ178" s="8">
        <v>262638</v>
      </c>
      <c r="CK178" s="8">
        <v>263973</v>
      </c>
      <c r="CL178" s="8">
        <v>390113</v>
      </c>
      <c r="CM178" s="8">
        <v>390113</v>
      </c>
      <c r="CN178" s="8">
        <v>390113</v>
      </c>
      <c r="CO178" s="9">
        <f t="shared" si="82"/>
        <v>390113</v>
      </c>
      <c r="CP178" s="8">
        <v>201355</v>
      </c>
      <c r="CQ178" s="8">
        <v>201355</v>
      </c>
      <c r="CR178" s="8">
        <v>201355</v>
      </c>
      <c r="CS178" s="8">
        <v>201355</v>
      </c>
      <c r="CT178" s="8">
        <v>534402</v>
      </c>
      <c r="CU178" s="8">
        <v>546302</v>
      </c>
      <c r="CV178" s="8">
        <v>546302</v>
      </c>
      <c r="CW178" s="8">
        <v>1044764</v>
      </c>
      <c r="CX178" s="8">
        <v>1044764</v>
      </c>
      <c r="CY178" s="8">
        <v>1217558</v>
      </c>
      <c r="CZ178" s="8">
        <v>1217558</v>
      </c>
      <c r="DA178" s="8">
        <v>1575609</v>
      </c>
      <c r="DB178" s="9">
        <f t="shared" si="83"/>
        <v>1575609</v>
      </c>
      <c r="DC178" s="8">
        <v>282590</v>
      </c>
      <c r="DD178" s="8">
        <v>282590</v>
      </c>
      <c r="DE178" s="8">
        <v>282590</v>
      </c>
      <c r="DF178" s="8">
        <v>282590</v>
      </c>
      <c r="DG178" s="8">
        <v>282590</v>
      </c>
      <c r="DH178" s="8">
        <v>282590</v>
      </c>
      <c r="DI178" s="8">
        <v>1453095</v>
      </c>
      <c r="DJ178" s="8">
        <v>1453095</v>
      </c>
      <c r="DK178" s="8">
        <v>2840076</v>
      </c>
      <c r="DL178" s="8">
        <v>2840076</v>
      </c>
      <c r="DM178" s="8">
        <v>2840076</v>
      </c>
      <c r="DN178" s="8">
        <v>2840076</v>
      </c>
      <c r="DO178" s="9">
        <f t="shared" si="84"/>
        <v>2840076</v>
      </c>
      <c r="DP178" s="8">
        <v>300393</v>
      </c>
      <c r="DQ178" s="8">
        <v>2401515</v>
      </c>
      <c r="DR178" s="8">
        <v>2777442</v>
      </c>
      <c r="DS178" s="8">
        <v>2779942</v>
      </c>
      <c r="DT178" s="8">
        <v>2779942</v>
      </c>
      <c r="DU178" s="8">
        <v>2841509</v>
      </c>
      <c r="DV178" s="8">
        <v>2844509</v>
      </c>
      <c r="DW178" s="8">
        <v>2844509</v>
      </c>
      <c r="DX178" s="8">
        <v>2847184</v>
      </c>
      <c r="DY178" s="8">
        <v>2847184</v>
      </c>
      <c r="DZ178" s="8">
        <v>2847184</v>
      </c>
      <c r="EA178" s="8">
        <v>2847184</v>
      </c>
      <c r="EB178" s="9">
        <f t="shared" si="85"/>
        <v>2847184</v>
      </c>
      <c r="EC178" s="8">
        <v>275147</v>
      </c>
      <c r="ED178" s="8">
        <v>275147</v>
      </c>
      <c r="EE178" s="8">
        <v>401249</v>
      </c>
      <c r="EF178" s="8">
        <v>411477</v>
      </c>
      <c r="EG178" s="8">
        <v>411477</v>
      </c>
      <c r="EH178" s="8">
        <v>411477</v>
      </c>
      <c r="EI178" s="8">
        <v>411477</v>
      </c>
      <c r="EJ178" s="8">
        <v>460849</v>
      </c>
      <c r="EK178" s="8">
        <v>532129</v>
      </c>
      <c r="EL178" s="8">
        <v>604249</v>
      </c>
      <c r="EM178" s="8">
        <v>604249</v>
      </c>
      <c r="EN178" s="8">
        <v>581727</v>
      </c>
      <c r="EO178" s="9">
        <f t="shared" si="86"/>
        <v>581727</v>
      </c>
      <c r="EP178" s="8">
        <v>286704</v>
      </c>
      <c r="EQ178" s="8">
        <v>286704</v>
      </c>
      <c r="ER178" s="8">
        <v>286704</v>
      </c>
      <c r="ES178" s="8">
        <v>945429</v>
      </c>
      <c r="ET178" s="8">
        <v>947929</v>
      </c>
      <c r="EU178" s="8">
        <v>947929</v>
      </c>
      <c r="EV178" s="8">
        <v>947929</v>
      </c>
      <c r="EW178" s="8">
        <v>947929</v>
      </c>
      <c r="EX178" s="8">
        <v>947929</v>
      </c>
      <c r="EY178" s="8">
        <v>947929</v>
      </c>
      <c r="EZ178" s="8">
        <v>947929</v>
      </c>
      <c r="FA178" s="8">
        <v>758492</v>
      </c>
      <c r="FB178" s="9">
        <f t="shared" si="87"/>
        <v>758492</v>
      </c>
      <c r="FC178" s="8">
        <v>295592</v>
      </c>
      <c r="FD178" s="8">
        <v>439713</v>
      </c>
      <c r="FE178" s="8">
        <v>446590</v>
      </c>
      <c r="FF178" s="8">
        <v>446590</v>
      </c>
      <c r="FG178" s="8">
        <v>446590</v>
      </c>
      <c r="FH178" s="8">
        <v>446590</v>
      </c>
      <c r="FI178" s="8">
        <v>1048401</v>
      </c>
      <c r="FJ178" s="8"/>
      <c r="FK178" s="8"/>
      <c r="FL178" s="8"/>
      <c r="FM178" s="8"/>
      <c r="FN178" s="8"/>
      <c r="FO178" s="9">
        <f t="shared" si="88"/>
        <v>1048401</v>
      </c>
    </row>
    <row r="179" spans="2:171" ht="14.25" customHeight="1" x14ac:dyDescent="0.3">
      <c r="B179" s="7" t="s">
        <v>67</v>
      </c>
      <c r="C179" s="8">
        <v>176621</v>
      </c>
      <c r="D179" s="8">
        <v>176621</v>
      </c>
      <c r="E179" s="8">
        <v>176621</v>
      </c>
      <c r="F179" s="8">
        <v>176621</v>
      </c>
      <c r="G179" s="8">
        <v>192461</v>
      </c>
      <c r="H179" s="8">
        <v>192461</v>
      </c>
      <c r="I179" s="8">
        <v>192461</v>
      </c>
      <c r="J179" s="8">
        <v>192461</v>
      </c>
      <c r="K179" s="8">
        <v>247610</v>
      </c>
      <c r="L179" s="8">
        <v>247610</v>
      </c>
      <c r="M179" s="8">
        <v>545882</v>
      </c>
      <c r="N179" s="8">
        <v>592897</v>
      </c>
      <c r="O179" s="9">
        <f t="shared" si="76"/>
        <v>592897</v>
      </c>
      <c r="P179" s="8">
        <v>181920</v>
      </c>
      <c r="Q179" s="8">
        <v>181920</v>
      </c>
      <c r="R179" s="8">
        <v>214880</v>
      </c>
      <c r="S179" s="8">
        <v>214880</v>
      </c>
      <c r="T179" s="8">
        <v>267959</v>
      </c>
      <c r="U179" s="8">
        <v>267959</v>
      </c>
      <c r="V179" s="8">
        <v>267959</v>
      </c>
      <c r="W179" s="8">
        <v>342063</v>
      </c>
      <c r="X179" s="8">
        <v>342063</v>
      </c>
      <c r="Y179" s="8">
        <v>548063</v>
      </c>
      <c r="Z179" s="8">
        <v>1310874</v>
      </c>
      <c r="AA179" s="8">
        <v>1256422</v>
      </c>
      <c r="AB179" s="9">
        <f t="shared" si="77"/>
        <v>1256422</v>
      </c>
      <c r="AC179" s="8">
        <v>188833</v>
      </c>
      <c r="AD179" s="8">
        <v>540833</v>
      </c>
      <c r="AE179" s="8">
        <v>575046</v>
      </c>
      <c r="AF179" s="8">
        <v>575046</v>
      </c>
      <c r="AG179" s="8">
        <v>575046</v>
      </c>
      <c r="AH179" s="8">
        <v>578679</v>
      </c>
      <c r="AI179" s="8">
        <v>578679</v>
      </c>
      <c r="AJ179" s="8">
        <v>578679</v>
      </c>
      <c r="AK179" s="8">
        <v>578679</v>
      </c>
      <c r="AL179" s="8">
        <v>578679</v>
      </c>
      <c r="AM179" s="8">
        <v>591602</v>
      </c>
      <c r="AN179" s="8">
        <v>628500</v>
      </c>
      <c r="AO179" s="9">
        <f t="shared" si="78"/>
        <v>628500</v>
      </c>
      <c r="AP179" s="8">
        <v>194498</v>
      </c>
      <c r="AQ179" s="8">
        <v>194498</v>
      </c>
      <c r="AR179" s="8">
        <v>194498</v>
      </c>
      <c r="AS179" s="8">
        <v>194498</v>
      </c>
      <c r="AT179" s="8">
        <v>194498</v>
      </c>
      <c r="AU179" s="8">
        <v>271001</v>
      </c>
      <c r="AV179" s="8">
        <v>279134</v>
      </c>
      <c r="AW179" s="8">
        <v>279134</v>
      </c>
      <c r="AX179" s="8">
        <v>319134</v>
      </c>
      <c r="AY179" s="8">
        <v>339998</v>
      </c>
      <c r="AZ179" s="8">
        <v>349798</v>
      </c>
      <c r="BA179" s="8">
        <v>349798</v>
      </c>
      <c r="BB179" s="9">
        <f t="shared" si="79"/>
        <v>349798</v>
      </c>
      <c r="BC179" s="8">
        <v>199555</v>
      </c>
      <c r="BD179" s="8">
        <v>199555</v>
      </c>
      <c r="BE179" s="8">
        <v>199555</v>
      </c>
      <c r="BF179" s="8">
        <v>199555</v>
      </c>
      <c r="BG179" s="8">
        <v>199555</v>
      </c>
      <c r="BH179" s="8">
        <v>199555</v>
      </c>
      <c r="BI179" s="8">
        <v>179211</v>
      </c>
      <c r="BJ179" s="8">
        <v>593211</v>
      </c>
      <c r="BK179" s="8">
        <v>2453709</v>
      </c>
      <c r="BL179" s="8">
        <v>2453709</v>
      </c>
      <c r="BM179" s="8">
        <v>2455520</v>
      </c>
      <c r="BN179" s="8">
        <v>2455520</v>
      </c>
      <c r="BO179" s="9">
        <f t="shared" si="80"/>
        <v>2455520</v>
      </c>
      <c r="BP179" s="8">
        <v>0</v>
      </c>
      <c r="BQ179" s="8">
        <v>0</v>
      </c>
      <c r="BR179" s="8">
        <v>0</v>
      </c>
      <c r="BS179" s="8">
        <v>935600</v>
      </c>
      <c r="BT179" s="8">
        <v>951692</v>
      </c>
      <c r="BU179" s="8">
        <v>962838</v>
      </c>
      <c r="BV179" s="8">
        <v>967333</v>
      </c>
      <c r="BW179" s="8">
        <v>979833</v>
      </c>
      <c r="BX179" s="8">
        <v>2567653</v>
      </c>
      <c r="BY179" s="8">
        <v>2567653</v>
      </c>
      <c r="BZ179" s="8">
        <v>2567653</v>
      </c>
      <c r="CA179" s="8">
        <v>2567653</v>
      </c>
      <c r="CB179" s="9">
        <f t="shared" si="81"/>
        <v>2567653</v>
      </c>
      <c r="CC179" s="8">
        <v>45134</v>
      </c>
      <c r="CD179" s="8">
        <v>45134</v>
      </c>
      <c r="CE179" s="8">
        <v>45134</v>
      </c>
      <c r="CF179" s="8">
        <v>79361</v>
      </c>
      <c r="CG179" s="8">
        <v>2090393</v>
      </c>
      <c r="CH179" s="8">
        <v>2090393</v>
      </c>
      <c r="CI179" s="8">
        <v>2090393</v>
      </c>
      <c r="CJ179" s="8">
        <v>2149655</v>
      </c>
      <c r="CK179" s="8">
        <v>2162223</v>
      </c>
      <c r="CL179" s="8">
        <v>2162223</v>
      </c>
      <c r="CM179" s="8">
        <v>2162223</v>
      </c>
      <c r="CN179" s="8">
        <v>2162223</v>
      </c>
      <c r="CO179" s="9">
        <f t="shared" si="82"/>
        <v>2162223</v>
      </c>
      <c r="CP179" s="8">
        <v>201075</v>
      </c>
      <c r="CQ179" s="8">
        <v>201075</v>
      </c>
      <c r="CR179" s="8">
        <v>201075</v>
      </c>
      <c r="CS179" s="8">
        <v>201075</v>
      </c>
      <c r="CT179" s="8">
        <v>1743809</v>
      </c>
      <c r="CU179" s="8">
        <v>1757613</v>
      </c>
      <c r="CV179" s="8">
        <v>1757613</v>
      </c>
      <c r="CW179" s="8">
        <v>1781513</v>
      </c>
      <c r="CX179" s="8">
        <v>1781513</v>
      </c>
      <c r="CY179" s="8">
        <v>1846596</v>
      </c>
      <c r="CZ179" s="8">
        <v>1870736</v>
      </c>
      <c r="DA179" s="8">
        <v>1870736</v>
      </c>
      <c r="DB179" s="9">
        <f t="shared" si="83"/>
        <v>1870736</v>
      </c>
      <c r="DC179" s="8">
        <v>276820</v>
      </c>
      <c r="DD179" s="8">
        <v>276820</v>
      </c>
      <c r="DE179" s="8">
        <v>276820</v>
      </c>
      <c r="DF179" s="8">
        <v>276820</v>
      </c>
      <c r="DG179" s="8">
        <v>3533778</v>
      </c>
      <c r="DH179" s="8">
        <v>3595309</v>
      </c>
      <c r="DI179" s="8">
        <v>5675264</v>
      </c>
      <c r="DJ179" s="8">
        <v>6383041</v>
      </c>
      <c r="DK179" s="8">
        <v>6434937</v>
      </c>
      <c r="DL179" s="8">
        <v>6434937</v>
      </c>
      <c r="DM179" s="8">
        <v>6434937</v>
      </c>
      <c r="DN179" s="8">
        <v>3207452</v>
      </c>
      <c r="DO179" s="9">
        <f t="shared" si="84"/>
        <v>3207452</v>
      </c>
      <c r="DP179" s="8">
        <v>294260</v>
      </c>
      <c r="DQ179" s="8">
        <v>4625313</v>
      </c>
      <c r="DR179" s="8">
        <v>4638441</v>
      </c>
      <c r="DS179" s="8">
        <v>4640941</v>
      </c>
      <c r="DT179" s="8">
        <v>4640941</v>
      </c>
      <c r="DU179" s="8">
        <v>4662562</v>
      </c>
      <c r="DV179" s="8">
        <v>4698850</v>
      </c>
      <c r="DW179" s="8">
        <v>4717128</v>
      </c>
      <c r="DX179" s="8">
        <v>4719803</v>
      </c>
      <c r="DY179" s="8">
        <v>4719803</v>
      </c>
      <c r="DZ179" s="8">
        <v>4719803</v>
      </c>
      <c r="EA179" s="8">
        <v>4798335</v>
      </c>
      <c r="EB179" s="9">
        <f t="shared" si="85"/>
        <v>4798335</v>
      </c>
      <c r="EC179" s="8">
        <v>269529</v>
      </c>
      <c r="ED179" s="8">
        <v>269529</v>
      </c>
      <c r="EE179" s="8">
        <v>437448</v>
      </c>
      <c r="EF179" s="8">
        <v>437448</v>
      </c>
      <c r="EG179" s="8">
        <v>997224</v>
      </c>
      <c r="EH179" s="8">
        <v>997224</v>
      </c>
      <c r="EI179" s="8">
        <v>997224</v>
      </c>
      <c r="EJ179" s="8">
        <v>997224</v>
      </c>
      <c r="EK179" s="8">
        <v>997224</v>
      </c>
      <c r="EL179" s="8">
        <v>1029916</v>
      </c>
      <c r="EM179" s="8">
        <v>1029916</v>
      </c>
      <c r="EN179" s="8">
        <v>1012223</v>
      </c>
      <c r="EO179" s="9">
        <f t="shared" si="86"/>
        <v>1012223</v>
      </c>
      <c r="EP179" s="8">
        <v>280849</v>
      </c>
      <c r="EQ179" s="8">
        <v>290834</v>
      </c>
      <c r="ER179" s="8">
        <v>290834</v>
      </c>
      <c r="ES179" s="8">
        <v>1505290</v>
      </c>
      <c r="ET179" s="8">
        <v>1539797</v>
      </c>
      <c r="EU179" s="8">
        <v>1539797</v>
      </c>
      <c r="EV179" s="8">
        <v>1539797</v>
      </c>
      <c r="EW179" s="8">
        <v>1539797</v>
      </c>
      <c r="EX179" s="8">
        <v>1539797</v>
      </c>
      <c r="EY179" s="8">
        <v>1539797</v>
      </c>
      <c r="EZ179" s="8">
        <v>1539797</v>
      </c>
      <c r="FA179" s="8">
        <v>1096404</v>
      </c>
      <c r="FB179" s="9">
        <f t="shared" si="87"/>
        <v>1096404</v>
      </c>
      <c r="FC179" s="8">
        <v>289555</v>
      </c>
      <c r="FD179" s="8">
        <v>577797</v>
      </c>
      <c r="FE179" s="8">
        <v>577797</v>
      </c>
      <c r="FF179" s="8">
        <v>577797</v>
      </c>
      <c r="FG179" s="8">
        <v>577797</v>
      </c>
      <c r="FH179" s="8">
        <v>577797</v>
      </c>
      <c r="FI179" s="8">
        <v>659761</v>
      </c>
      <c r="FJ179" s="8"/>
      <c r="FK179" s="8"/>
      <c r="FL179" s="8"/>
      <c r="FM179" s="8"/>
      <c r="FN179" s="8"/>
      <c r="FO179" s="9">
        <f t="shared" si="88"/>
        <v>659761</v>
      </c>
    </row>
    <row r="180" spans="2:171" ht="14.25" customHeight="1" x14ac:dyDescent="0.3">
      <c r="B180" s="32" t="s">
        <v>68</v>
      </c>
      <c r="C180" s="8">
        <v>433426</v>
      </c>
      <c r="D180" s="8">
        <v>1296318</v>
      </c>
      <c r="E180" s="8">
        <v>1296318</v>
      </c>
      <c r="F180" s="8">
        <v>1296318</v>
      </c>
      <c r="G180" s="8">
        <v>1303338</v>
      </c>
      <c r="H180" s="8">
        <v>1392819</v>
      </c>
      <c r="I180" s="8">
        <v>1525973</v>
      </c>
      <c r="J180" s="8">
        <v>1525973</v>
      </c>
      <c r="K180" s="8">
        <v>3805801</v>
      </c>
      <c r="L180" s="8">
        <v>3809301</v>
      </c>
      <c r="M180" s="8">
        <v>8309217</v>
      </c>
      <c r="N180" s="8">
        <v>12237550</v>
      </c>
      <c r="O180" s="9">
        <f t="shared" si="76"/>
        <v>12237550</v>
      </c>
      <c r="P180" s="8">
        <v>446429</v>
      </c>
      <c r="Q180" s="8">
        <v>446429</v>
      </c>
      <c r="R180" s="8">
        <v>446429</v>
      </c>
      <c r="S180" s="8">
        <v>502608</v>
      </c>
      <c r="T180" s="8">
        <v>502608</v>
      </c>
      <c r="U180" s="8">
        <v>980868</v>
      </c>
      <c r="V180" s="8">
        <v>980868</v>
      </c>
      <c r="W180" s="8">
        <v>1783931</v>
      </c>
      <c r="X180" s="8">
        <v>1783931</v>
      </c>
      <c r="Y180" s="8">
        <v>2338991</v>
      </c>
      <c r="Z180" s="8">
        <v>5022224</v>
      </c>
      <c r="AA180" s="8">
        <v>9139499</v>
      </c>
      <c r="AB180" s="9">
        <f t="shared" si="77"/>
        <v>9139499</v>
      </c>
      <c r="AC180" s="8">
        <v>463393</v>
      </c>
      <c r="AD180" s="8">
        <v>463393</v>
      </c>
      <c r="AE180" s="8">
        <v>600243</v>
      </c>
      <c r="AF180" s="8">
        <v>670243</v>
      </c>
      <c r="AG180" s="8">
        <v>670243</v>
      </c>
      <c r="AH180" s="8">
        <v>765282</v>
      </c>
      <c r="AI180" s="8">
        <v>782537</v>
      </c>
      <c r="AJ180" s="8">
        <v>782537</v>
      </c>
      <c r="AK180" s="8">
        <v>782537</v>
      </c>
      <c r="AL180" s="8">
        <v>782537</v>
      </c>
      <c r="AM180" s="8">
        <v>1382398</v>
      </c>
      <c r="AN180" s="8">
        <v>1539816</v>
      </c>
      <c r="AO180" s="9">
        <f t="shared" si="78"/>
        <v>1539816</v>
      </c>
      <c r="AP180" s="8">
        <v>477295</v>
      </c>
      <c r="AQ180" s="8">
        <v>477295</v>
      </c>
      <c r="AR180" s="8">
        <v>477295</v>
      </c>
      <c r="AS180" s="8">
        <v>477295</v>
      </c>
      <c r="AT180" s="8">
        <v>477295</v>
      </c>
      <c r="AU180" s="8">
        <v>654347</v>
      </c>
      <c r="AV180" s="8">
        <v>821760</v>
      </c>
      <c r="AW180" s="8">
        <v>1139014</v>
      </c>
      <c r="AX180" s="8">
        <v>1219014</v>
      </c>
      <c r="AY180" s="8">
        <v>2551814</v>
      </c>
      <c r="AZ180" s="8">
        <v>2750006</v>
      </c>
      <c r="BA180" s="8">
        <v>2750006</v>
      </c>
      <c r="BB180" s="9">
        <f t="shared" si="79"/>
        <v>2750006</v>
      </c>
      <c r="BC180" s="8">
        <v>489705</v>
      </c>
      <c r="BD180" s="8">
        <v>489705</v>
      </c>
      <c r="BE180" s="8">
        <v>489705</v>
      </c>
      <c r="BF180" s="8">
        <v>1822505</v>
      </c>
      <c r="BG180" s="8">
        <v>1822505</v>
      </c>
      <c r="BH180" s="8">
        <v>1824502</v>
      </c>
      <c r="BI180" s="8">
        <v>1774577</v>
      </c>
      <c r="BJ180" s="8">
        <v>3419190</v>
      </c>
      <c r="BK180" s="8">
        <v>6273340</v>
      </c>
      <c r="BL180" s="8">
        <v>7531190</v>
      </c>
      <c r="BM180" s="8">
        <v>7531190</v>
      </c>
      <c r="BN180" s="8">
        <v>7652367</v>
      </c>
      <c r="BO180" s="9">
        <f t="shared" si="80"/>
        <v>7652367</v>
      </c>
      <c r="BP180" s="8">
        <v>0</v>
      </c>
      <c r="BQ180" s="8">
        <v>0</v>
      </c>
      <c r="BR180" s="8">
        <v>736278</v>
      </c>
      <c r="BS180" s="8">
        <v>3835301</v>
      </c>
      <c r="BT180" s="8">
        <v>3897707</v>
      </c>
      <c r="BU180" s="8">
        <v>3897707</v>
      </c>
      <c r="BV180" s="8">
        <v>4077895</v>
      </c>
      <c r="BW180" s="8">
        <v>4142895</v>
      </c>
      <c r="BX180" s="8">
        <v>10168840</v>
      </c>
      <c r="BY180" s="8">
        <v>10168840</v>
      </c>
      <c r="BZ180" s="8">
        <v>10168840</v>
      </c>
      <c r="CA180" s="8">
        <v>12852236</v>
      </c>
      <c r="CB180" s="9">
        <f t="shared" si="81"/>
        <v>12852236</v>
      </c>
      <c r="CC180" s="8">
        <v>141315</v>
      </c>
      <c r="CD180" s="8">
        <v>141315</v>
      </c>
      <c r="CE180" s="8">
        <v>141315</v>
      </c>
      <c r="CF180" s="8">
        <v>287746</v>
      </c>
      <c r="CG180" s="8">
        <v>287746</v>
      </c>
      <c r="CH180" s="8">
        <v>657863</v>
      </c>
      <c r="CI180" s="8">
        <v>657863</v>
      </c>
      <c r="CJ180" s="8">
        <v>1287981</v>
      </c>
      <c r="CK180" s="8">
        <v>1290996</v>
      </c>
      <c r="CL180" s="8">
        <v>1581697</v>
      </c>
      <c r="CM180" s="8">
        <v>1581697</v>
      </c>
      <c r="CN180" s="8">
        <v>1581697</v>
      </c>
      <c r="CO180" s="9">
        <f t="shared" si="82"/>
        <v>1581697</v>
      </c>
      <c r="CP180" s="8">
        <v>637899</v>
      </c>
      <c r="CQ180" s="8">
        <v>637899</v>
      </c>
      <c r="CR180" s="8">
        <v>637899</v>
      </c>
      <c r="CS180" s="8">
        <v>637899</v>
      </c>
      <c r="CT180" s="8">
        <v>697087</v>
      </c>
      <c r="CU180" s="8">
        <v>793518</v>
      </c>
      <c r="CV180" s="8">
        <v>793518</v>
      </c>
      <c r="CW180" s="8">
        <v>1140566</v>
      </c>
      <c r="CX180" s="8">
        <v>1600566</v>
      </c>
      <c r="CY180" s="8">
        <v>2030511</v>
      </c>
      <c r="CZ180" s="8">
        <v>2030511</v>
      </c>
      <c r="DA180" s="8">
        <v>2023819</v>
      </c>
      <c r="DB180" s="9">
        <f t="shared" si="83"/>
        <v>2023819</v>
      </c>
      <c r="DC180" s="8">
        <v>859326</v>
      </c>
      <c r="DD180" s="8">
        <v>859326</v>
      </c>
      <c r="DE180" s="8">
        <v>859326</v>
      </c>
      <c r="DF180" s="8">
        <v>859326</v>
      </c>
      <c r="DG180" s="8">
        <v>859326</v>
      </c>
      <c r="DH180" s="8">
        <v>859326</v>
      </c>
      <c r="DI180" s="8">
        <v>1532224</v>
      </c>
      <c r="DJ180" s="8">
        <v>2812196</v>
      </c>
      <c r="DK180" s="8">
        <v>3796171</v>
      </c>
      <c r="DL180" s="8">
        <v>4092032</v>
      </c>
      <c r="DM180" s="8">
        <v>4092032</v>
      </c>
      <c r="DN180" s="8">
        <v>4092032</v>
      </c>
      <c r="DO180" s="9">
        <f t="shared" si="84"/>
        <v>4092032</v>
      </c>
      <c r="DP180" s="8">
        <v>913463</v>
      </c>
      <c r="DQ180" s="8">
        <v>1773002</v>
      </c>
      <c r="DR180" s="8">
        <v>4073301</v>
      </c>
      <c r="DS180" s="8">
        <v>4075801</v>
      </c>
      <c r="DT180" s="8">
        <v>4075801</v>
      </c>
      <c r="DU180" s="8">
        <v>4156941</v>
      </c>
      <c r="DV180" s="8">
        <v>4170511</v>
      </c>
      <c r="DW180" s="8">
        <v>4222298</v>
      </c>
      <c r="DX180" s="8">
        <v>4374694</v>
      </c>
      <c r="DY180" s="8">
        <v>4374694</v>
      </c>
      <c r="DZ180" s="8">
        <v>4271402</v>
      </c>
      <c r="EA180" s="8">
        <v>4271402</v>
      </c>
      <c r="EB180" s="9">
        <f t="shared" si="85"/>
        <v>4271402</v>
      </c>
      <c r="EC180" s="8">
        <v>836691</v>
      </c>
      <c r="ED180" s="8">
        <v>836691</v>
      </c>
      <c r="EE180" s="8">
        <v>2343321</v>
      </c>
      <c r="EF180" s="8">
        <v>2449712</v>
      </c>
      <c r="EG180" s="8">
        <v>2449712</v>
      </c>
      <c r="EH180" s="8">
        <v>4060646</v>
      </c>
      <c r="EI180" s="8">
        <v>4060646</v>
      </c>
      <c r="EJ180" s="8">
        <v>4060646</v>
      </c>
      <c r="EK180" s="8">
        <v>4060646</v>
      </c>
      <c r="EL180" s="8">
        <v>4264865</v>
      </c>
      <c r="EM180" s="8">
        <v>4264865</v>
      </c>
      <c r="EN180" s="8">
        <v>4094219</v>
      </c>
      <c r="EO180" s="9">
        <f t="shared" si="86"/>
        <v>4094219</v>
      </c>
      <c r="EP180" s="8">
        <v>871833</v>
      </c>
      <c r="EQ180" s="8">
        <v>985274</v>
      </c>
      <c r="ER180" s="8">
        <v>985274</v>
      </c>
      <c r="ES180" s="8">
        <v>2438407</v>
      </c>
      <c r="ET180" s="8">
        <v>2451707</v>
      </c>
      <c r="EU180" s="8">
        <v>2451707</v>
      </c>
      <c r="EV180" s="8">
        <v>2565066</v>
      </c>
      <c r="EW180" s="8">
        <v>2565066</v>
      </c>
      <c r="EX180" s="8">
        <v>2565066</v>
      </c>
      <c r="EY180" s="8">
        <v>2565066</v>
      </c>
      <c r="EZ180" s="8">
        <v>2565066</v>
      </c>
      <c r="FA180" s="8">
        <v>2418740</v>
      </c>
      <c r="FB180" s="9">
        <f t="shared" si="87"/>
        <v>2418740</v>
      </c>
      <c r="FC180" s="8">
        <v>898860</v>
      </c>
      <c r="FD180" s="8">
        <v>898860</v>
      </c>
      <c r="FE180" s="8">
        <v>898860</v>
      </c>
      <c r="FF180" s="8">
        <v>898860</v>
      </c>
      <c r="FG180" s="8">
        <v>898860</v>
      </c>
      <c r="FH180" s="8">
        <v>898860</v>
      </c>
      <c r="FI180" s="8">
        <v>2572427</v>
      </c>
      <c r="FJ180" s="8"/>
      <c r="FK180" s="8"/>
      <c r="FL180" s="8"/>
      <c r="FM180" s="8"/>
      <c r="FN180" s="8"/>
      <c r="FO180" s="9">
        <f t="shared" si="88"/>
        <v>2572427</v>
      </c>
    </row>
    <row r="181" spans="2:171" ht="14.25" customHeight="1" x14ac:dyDescent="0.3">
      <c r="B181" s="32" t="s">
        <v>69</v>
      </c>
      <c r="C181" s="8">
        <v>453646</v>
      </c>
      <c r="D181" s="8">
        <v>453646</v>
      </c>
      <c r="E181" s="8">
        <v>453646</v>
      </c>
      <c r="F181" s="8">
        <v>453646</v>
      </c>
      <c r="G181" s="8">
        <v>468046</v>
      </c>
      <c r="H181" s="8">
        <v>511769</v>
      </c>
      <c r="I181" s="8">
        <v>511769</v>
      </c>
      <c r="J181" s="8">
        <v>511769</v>
      </c>
      <c r="K181" s="8">
        <v>529202</v>
      </c>
      <c r="L181" s="8">
        <v>529202</v>
      </c>
      <c r="M181" s="8">
        <v>964369</v>
      </c>
      <c r="N181" s="8">
        <v>984369</v>
      </c>
      <c r="O181" s="9">
        <f t="shared" si="76"/>
        <v>984369</v>
      </c>
      <c r="P181" s="8">
        <v>424819</v>
      </c>
      <c r="Q181" s="8">
        <v>424819</v>
      </c>
      <c r="R181" s="8">
        <v>1197959</v>
      </c>
      <c r="S181" s="8">
        <v>2712959</v>
      </c>
      <c r="T181" s="8">
        <v>2712959</v>
      </c>
      <c r="U181" s="8">
        <v>3306285</v>
      </c>
      <c r="V181" s="8">
        <v>3406285</v>
      </c>
      <c r="W181" s="8">
        <v>3867152</v>
      </c>
      <c r="X181" s="8">
        <v>3867152</v>
      </c>
      <c r="Y181" s="8">
        <v>4123633</v>
      </c>
      <c r="Z181" s="8">
        <v>5367748</v>
      </c>
      <c r="AA181" s="8">
        <v>6712615</v>
      </c>
      <c r="AB181" s="9">
        <f t="shared" si="77"/>
        <v>6712615</v>
      </c>
      <c r="AC181" s="8">
        <v>440962</v>
      </c>
      <c r="AD181" s="8">
        <v>1099962</v>
      </c>
      <c r="AE181" s="8">
        <v>1168387</v>
      </c>
      <c r="AF181" s="8">
        <v>1168387</v>
      </c>
      <c r="AG181" s="8">
        <v>1168387</v>
      </c>
      <c r="AH181" s="8">
        <v>1172020</v>
      </c>
      <c r="AI181" s="8">
        <v>1172020</v>
      </c>
      <c r="AJ181" s="8">
        <v>1172020</v>
      </c>
      <c r="AK181" s="8">
        <v>1172020</v>
      </c>
      <c r="AL181" s="8">
        <v>1175335</v>
      </c>
      <c r="AM181" s="8">
        <v>1401714</v>
      </c>
      <c r="AN181" s="8">
        <v>1458733</v>
      </c>
      <c r="AO181" s="9">
        <f t="shared" si="78"/>
        <v>1458733</v>
      </c>
      <c r="AP181" s="8">
        <v>454190</v>
      </c>
      <c r="AQ181" s="8">
        <v>454190</v>
      </c>
      <c r="AR181" s="8">
        <v>454190</v>
      </c>
      <c r="AS181" s="8">
        <v>454190</v>
      </c>
      <c r="AT181" s="8">
        <v>454190</v>
      </c>
      <c r="AU181" s="8">
        <v>457990</v>
      </c>
      <c r="AV181" s="8">
        <v>457990</v>
      </c>
      <c r="AW181" s="8">
        <v>677990</v>
      </c>
      <c r="AX181" s="8">
        <v>920990</v>
      </c>
      <c r="AY181" s="8">
        <v>926990</v>
      </c>
      <c r="AZ181" s="8">
        <v>946990</v>
      </c>
      <c r="BA181" s="8">
        <v>946990</v>
      </c>
      <c r="BB181" s="9">
        <f t="shared" si="79"/>
        <v>946990</v>
      </c>
      <c r="BC181" s="8">
        <v>465999</v>
      </c>
      <c r="BD181" s="8">
        <v>465999</v>
      </c>
      <c r="BE181" s="8">
        <v>465999</v>
      </c>
      <c r="BF181" s="8">
        <v>465999</v>
      </c>
      <c r="BG181" s="8">
        <v>465999</v>
      </c>
      <c r="BH181" s="8">
        <v>465999</v>
      </c>
      <c r="BI181" s="8">
        <v>422741</v>
      </c>
      <c r="BJ181" s="8">
        <v>719347</v>
      </c>
      <c r="BK181" s="8">
        <v>2128003</v>
      </c>
      <c r="BL181" s="8">
        <v>2128003</v>
      </c>
      <c r="BM181" s="8">
        <v>2128003</v>
      </c>
      <c r="BN181" s="8">
        <v>2562205</v>
      </c>
      <c r="BO181" s="9">
        <f t="shared" si="80"/>
        <v>2562205</v>
      </c>
      <c r="BP181" s="8">
        <v>0</v>
      </c>
      <c r="BQ181" s="8">
        <v>0</v>
      </c>
      <c r="BR181" s="8">
        <v>0</v>
      </c>
      <c r="BS181" s="8">
        <v>986617</v>
      </c>
      <c r="BT181" s="8">
        <v>1041933</v>
      </c>
      <c r="BU181" s="8">
        <v>1491759</v>
      </c>
      <c r="BV181" s="8">
        <v>1509763</v>
      </c>
      <c r="BW181" s="8">
        <v>1575063</v>
      </c>
      <c r="BX181" s="8">
        <v>3828694</v>
      </c>
      <c r="BY181" s="8">
        <v>3828694</v>
      </c>
      <c r="BZ181" s="8">
        <v>3862640</v>
      </c>
      <c r="CA181" s="8">
        <v>3862640</v>
      </c>
      <c r="CB181" s="9">
        <f t="shared" si="81"/>
        <v>3862640</v>
      </c>
      <c r="CC181" s="8">
        <v>164640</v>
      </c>
      <c r="CD181" s="8">
        <v>164640</v>
      </c>
      <c r="CE181" s="8">
        <v>164640</v>
      </c>
      <c r="CF181" s="8">
        <v>351711</v>
      </c>
      <c r="CG181" s="8">
        <v>358311</v>
      </c>
      <c r="CH181" s="8">
        <v>435938</v>
      </c>
      <c r="CI181" s="8">
        <v>2658920</v>
      </c>
      <c r="CJ181" s="8">
        <v>3901433</v>
      </c>
      <c r="CK181" s="8">
        <v>3911677</v>
      </c>
      <c r="CL181" s="8">
        <v>5131241</v>
      </c>
      <c r="CM181" s="8">
        <v>5131241</v>
      </c>
      <c r="CN181" s="8">
        <v>5131241</v>
      </c>
      <c r="CO181" s="9">
        <f t="shared" si="82"/>
        <v>5131241</v>
      </c>
      <c r="CP181" s="8">
        <v>701279</v>
      </c>
      <c r="CQ181" s="8">
        <v>701279</v>
      </c>
      <c r="CR181" s="8">
        <v>701279</v>
      </c>
      <c r="CS181" s="8">
        <v>701279</v>
      </c>
      <c r="CT181" s="8">
        <v>1231913</v>
      </c>
      <c r="CU181" s="8">
        <v>1890578</v>
      </c>
      <c r="CV181" s="8">
        <v>1890578</v>
      </c>
      <c r="CW181" s="8">
        <v>2741012</v>
      </c>
      <c r="CX181" s="8">
        <v>2741012</v>
      </c>
      <c r="CY181" s="8">
        <v>2792653</v>
      </c>
      <c r="CZ181" s="8">
        <v>3303618</v>
      </c>
      <c r="DA181" s="8">
        <v>3298529</v>
      </c>
      <c r="DB181" s="9">
        <f t="shared" si="83"/>
        <v>3298529</v>
      </c>
      <c r="DC181" s="8">
        <v>948367</v>
      </c>
      <c r="DD181" s="8">
        <v>948367</v>
      </c>
      <c r="DE181" s="8">
        <v>948367</v>
      </c>
      <c r="DF181" s="8">
        <v>948367</v>
      </c>
      <c r="DG181" s="8">
        <v>948367</v>
      </c>
      <c r="DH181" s="8">
        <v>948367</v>
      </c>
      <c r="DI181" s="8">
        <v>1633391</v>
      </c>
      <c r="DJ181" s="8">
        <v>1997878</v>
      </c>
      <c r="DK181" s="8">
        <v>4615582</v>
      </c>
      <c r="DL181" s="8">
        <v>4615582</v>
      </c>
      <c r="DM181" s="8">
        <v>4615582</v>
      </c>
      <c r="DN181" s="8">
        <v>4615582</v>
      </c>
      <c r="DO181" s="9">
        <f t="shared" si="84"/>
        <v>4615582</v>
      </c>
      <c r="DP181" s="8">
        <v>1008114</v>
      </c>
      <c r="DQ181" s="8">
        <v>2846266</v>
      </c>
      <c r="DR181" s="8">
        <v>2846266</v>
      </c>
      <c r="DS181" s="8">
        <v>2848766</v>
      </c>
      <c r="DT181" s="8">
        <v>2848766</v>
      </c>
      <c r="DU181" s="8">
        <v>3006965</v>
      </c>
      <c r="DV181" s="8">
        <v>3009599</v>
      </c>
      <c r="DW181" s="8">
        <v>3018738</v>
      </c>
      <c r="DX181" s="8">
        <v>3048897</v>
      </c>
      <c r="DY181" s="8">
        <v>3048897</v>
      </c>
      <c r="DZ181" s="8">
        <v>3152189</v>
      </c>
      <c r="EA181" s="8">
        <v>3152189</v>
      </c>
      <c r="EB181" s="9">
        <f t="shared" si="85"/>
        <v>3152189</v>
      </c>
      <c r="EC181" s="8">
        <v>923388</v>
      </c>
      <c r="ED181" s="8">
        <v>923388</v>
      </c>
      <c r="EE181" s="8">
        <v>1610786</v>
      </c>
      <c r="EF181" s="8">
        <v>2381233</v>
      </c>
      <c r="EG181" s="8">
        <v>3590749</v>
      </c>
      <c r="EH181" s="8">
        <v>3590749</v>
      </c>
      <c r="EI181" s="8">
        <v>3590749</v>
      </c>
      <c r="EJ181" s="8">
        <v>3590749</v>
      </c>
      <c r="EK181" s="8">
        <v>3590749</v>
      </c>
      <c r="EL181" s="8">
        <v>3619878</v>
      </c>
      <c r="EM181" s="8">
        <v>3619878</v>
      </c>
      <c r="EN181" s="8">
        <v>3514967</v>
      </c>
      <c r="EO181" s="9">
        <f t="shared" si="86"/>
        <v>3514967</v>
      </c>
      <c r="EP181" s="8">
        <v>962170</v>
      </c>
      <c r="EQ181" s="8">
        <v>1016926</v>
      </c>
      <c r="ER181" s="8">
        <v>1016926</v>
      </c>
      <c r="ES181" s="8">
        <v>3615248</v>
      </c>
      <c r="ET181" s="8">
        <v>3638868</v>
      </c>
      <c r="EU181" s="8">
        <v>3638868</v>
      </c>
      <c r="EV181" s="8">
        <v>3525509</v>
      </c>
      <c r="EW181" s="8">
        <v>3525509</v>
      </c>
      <c r="EX181" s="8">
        <v>3525509</v>
      </c>
      <c r="EY181" s="8">
        <v>3525509</v>
      </c>
      <c r="EZ181" s="8">
        <v>3525509</v>
      </c>
      <c r="FA181" s="8">
        <v>2871692</v>
      </c>
      <c r="FB181" s="9">
        <f t="shared" si="87"/>
        <v>2871692</v>
      </c>
      <c r="FC181" s="8">
        <v>991998</v>
      </c>
      <c r="FD181" s="8">
        <v>1445434</v>
      </c>
      <c r="FE181" s="8">
        <v>1605982</v>
      </c>
      <c r="FF181" s="8">
        <v>1605982</v>
      </c>
      <c r="FG181" s="8">
        <v>1605982</v>
      </c>
      <c r="FH181" s="8">
        <v>1605982</v>
      </c>
      <c r="FI181" s="8">
        <v>2344806</v>
      </c>
      <c r="FJ181" s="8"/>
      <c r="FK181" s="8"/>
      <c r="FL181" s="8"/>
      <c r="FM181" s="8"/>
      <c r="FN181" s="8"/>
      <c r="FO181" s="9">
        <f t="shared" si="88"/>
        <v>2344806</v>
      </c>
    </row>
    <row r="182" spans="2:171" ht="14.25" customHeight="1" x14ac:dyDescent="0.3">
      <c r="B182" s="35" t="s">
        <v>70</v>
      </c>
      <c r="C182" s="8">
        <v>375237</v>
      </c>
      <c r="D182" s="8">
        <v>629213</v>
      </c>
      <c r="E182" s="8">
        <v>629213</v>
      </c>
      <c r="F182" s="8">
        <v>629213</v>
      </c>
      <c r="G182" s="8">
        <v>643613</v>
      </c>
      <c r="H182" s="8">
        <v>646084</v>
      </c>
      <c r="I182" s="8">
        <v>646084</v>
      </c>
      <c r="J182" s="8">
        <v>646084</v>
      </c>
      <c r="K182" s="8">
        <v>680950</v>
      </c>
      <c r="L182" s="8">
        <v>689437</v>
      </c>
      <c r="M182" s="8">
        <v>711437</v>
      </c>
      <c r="N182" s="8">
        <v>2295908</v>
      </c>
      <c r="O182" s="9">
        <f t="shared" si="76"/>
        <v>2295908</v>
      </c>
      <c r="P182" s="8">
        <v>386494</v>
      </c>
      <c r="Q182" s="8">
        <v>386494</v>
      </c>
      <c r="R182" s="8">
        <v>419454</v>
      </c>
      <c r="S182" s="8">
        <v>1311918</v>
      </c>
      <c r="T182" s="8">
        <v>1311918</v>
      </c>
      <c r="U182" s="8">
        <v>2065763</v>
      </c>
      <c r="V182" s="8">
        <v>2269763</v>
      </c>
      <c r="W182" s="8">
        <v>2370613</v>
      </c>
      <c r="X182" s="8">
        <v>2370613</v>
      </c>
      <c r="Y182" s="8">
        <v>2450883</v>
      </c>
      <c r="Z182" s="8">
        <v>4080924</v>
      </c>
      <c r="AA182" s="8">
        <v>6097900</v>
      </c>
      <c r="AB182" s="9">
        <f t="shared" si="77"/>
        <v>6097900</v>
      </c>
      <c r="AC182" s="8">
        <v>401181</v>
      </c>
      <c r="AD182" s="8">
        <v>401181</v>
      </c>
      <c r="AE182" s="8">
        <v>469606</v>
      </c>
      <c r="AF182" s="8">
        <v>1236450</v>
      </c>
      <c r="AG182" s="8">
        <v>1246537</v>
      </c>
      <c r="AH182" s="8">
        <v>1250170</v>
      </c>
      <c r="AI182" s="8">
        <v>1250170</v>
      </c>
      <c r="AJ182" s="8">
        <v>1250170</v>
      </c>
      <c r="AK182" s="8">
        <v>1250170</v>
      </c>
      <c r="AL182" s="8">
        <v>1250170</v>
      </c>
      <c r="AM182" s="8">
        <v>1297715</v>
      </c>
      <c r="AN182" s="8">
        <v>1535536</v>
      </c>
      <c r="AO182" s="9">
        <f t="shared" si="78"/>
        <v>1535536</v>
      </c>
      <c r="AP182" s="8">
        <v>413216</v>
      </c>
      <c r="AQ182" s="8">
        <v>413216</v>
      </c>
      <c r="AR182" s="8">
        <v>413216</v>
      </c>
      <c r="AS182" s="8">
        <v>413216</v>
      </c>
      <c r="AT182" s="8">
        <v>413216</v>
      </c>
      <c r="AU182" s="8">
        <v>459158</v>
      </c>
      <c r="AV182" s="8">
        <v>474476</v>
      </c>
      <c r="AW182" s="8">
        <v>530476</v>
      </c>
      <c r="AX182" s="8">
        <v>613476</v>
      </c>
      <c r="AY182" s="8">
        <v>1271326</v>
      </c>
      <c r="AZ182" s="8">
        <v>1283926</v>
      </c>
      <c r="BA182" s="8">
        <v>1283926</v>
      </c>
      <c r="BB182" s="9">
        <f t="shared" si="79"/>
        <v>1283926</v>
      </c>
      <c r="BC182" s="8">
        <v>423960</v>
      </c>
      <c r="BD182" s="8">
        <v>423960</v>
      </c>
      <c r="BE182" s="8">
        <v>423960</v>
      </c>
      <c r="BF182" s="8">
        <v>423960</v>
      </c>
      <c r="BG182" s="8">
        <v>423960</v>
      </c>
      <c r="BH182" s="8">
        <v>423960</v>
      </c>
      <c r="BI182" s="8">
        <v>380739</v>
      </c>
      <c r="BJ182" s="8">
        <v>1077102</v>
      </c>
      <c r="BK182" s="8">
        <v>3917983</v>
      </c>
      <c r="BL182" s="8">
        <v>3917983</v>
      </c>
      <c r="BM182" s="8">
        <v>3929763</v>
      </c>
      <c r="BN182" s="8">
        <v>4612379</v>
      </c>
      <c r="BO182" s="9">
        <f t="shared" si="80"/>
        <v>4612379</v>
      </c>
      <c r="BP182" s="8">
        <v>0</v>
      </c>
      <c r="BQ182" s="8">
        <v>0</v>
      </c>
      <c r="BR182" s="8">
        <v>430000</v>
      </c>
      <c r="BS182" s="8">
        <v>610374</v>
      </c>
      <c r="BT182" s="8">
        <v>672971</v>
      </c>
      <c r="BU182" s="8">
        <v>672971</v>
      </c>
      <c r="BV182" s="8">
        <v>693651</v>
      </c>
      <c r="BW182" s="8">
        <v>757151</v>
      </c>
      <c r="BX182" s="8">
        <v>3252582</v>
      </c>
      <c r="BY182" s="8">
        <v>3252582</v>
      </c>
      <c r="BZ182" s="8">
        <v>3252582</v>
      </c>
      <c r="CA182" s="8">
        <v>3252582</v>
      </c>
      <c r="CB182" s="9">
        <f t="shared" si="81"/>
        <v>3252582</v>
      </c>
      <c r="CC182" s="8">
        <v>133454</v>
      </c>
      <c r="CD182" s="8">
        <v>133454</v>
      </c>
      <c r="CE182" s="8">
        <v>133454</v>
      </c>
      <c r="CF182" s="8">
        <v>524661</v>
      </c>
      <c r="CG182" s="8">
        <v>524661</v>
      </c>
      <c r="CH182" s="8">
        <v>824433</v>
      </c>
      <c r="CI182" s="8">
        <v>824433</v>
      </c>
      <c r="CJ182" s="8">
        <v>1493582</v>
      </c>
      <c r="CK182" s="8">
        <v>1801956</v>
      </c>
      <c r="CL182" s="8">
        <v>2134701</v>
      </c>
      <c r="CM182" s="8">
        <v>2134701</v>
      </c>
      <c r="CN182" s="8">
        <v>2134701</v>
      </c>
      <c r="CO182" s="9">
        <f t="shared" si="82"/>
        <v>2134701</v>
      </c>
      <c r="CP182" s="8">
        <v>580424</v>
      </c>
      <c r="CQ182" s="8">
        <v>580424</v>
      </c>
      <c r="CR182" s="8">
        <v>1522311</v>
      </c>
      <c r="CS182" s="8">
        <v>1522311</v>
      </c>
      <c r="CT182" s="8">
        <v>2182276</v>
      </c>
      <c r="CU182" s="8">
        <v>3461161</v>
      </c>
      <c r="CV182" s="8">
        <v>3461161</v>
      </c>
      <c r="CW182" s="8">
        <v>3466761</v>
      </c>
      <c r="CX182" s="8">
        <v>3466761</v>
      </c>
      <c r="CY182" s="8">
        <v>3870345</v>
      </c>
      <c r="CZ182" s="8">
        <v>3849733</v>
      </c>
      <c r="DA182" s="8">
        <v>3911667</v>
      </c>
      <c r="DB182" s="9">
        <f t="shared" si="83"/>
        <v>3911667</v>
      </c>
      <c r="DC182" s="8">
        <v>786439</v>
      </c>
      <c r="DD182" s="8">
        <v>786439</v>
      </c>
      <c r="DE182" s="8">
        <v>786439</v>
      </c>
      <c r="DF182" s="8">
        <v>786439</v>
      </c>
      <c r="DG182" s="8">
        <v>786439</v>
      </c>
      <c r="DH182" s="8">
        <v>786439</v>
      </c>
      <c r="DI182" s="8">
        <v>893418</v>
      </c>
      <c r="DJ182" s="8">
        <v>1072136</v>
      </c>
      <c r="DK182" s="8">
        <v>4264632</v>
      </c>
      <c r="DL182" s="8">
        <v>4264632</v>
      </c>
      <c r="DM182" s="8">
        <v>4264632</v>
      </c>
      <c r="DN182" s="8">
        <v>4264632</v>
      </c>
      <c r="DO182" s="9">
        <f t="shared" si="84"/>
        <v>4264632</v>
      </c>
      <c r="DP182" s="8">
        <v>835985</v>
      </c>
      <c r="DQ182" s="8">
        <v>2409882</v>
      </c>
      <c r="DR182" s="8">
        <v>3164916</v>
      </c>
      <c r="DS182" s="8">
        <v>3167416</v>
      </c>
      <c r="DT182" s="8">
        <v>3167416</v>
      </c>
      <c r="DU182" s="8">
        <v>3262897</v>
      </c>
      <c r="DV182" s="8">
        <v>3276151</v>
      </c>
      <c r="DW182" s="8">
        <v>3308138</v>
      </c>
      <c r="DX182" s="8">
        <v>3308678</v>
      </c>
      <c r="DY182" s="8">
        <v>3308678</v>
      </c>
      <c r="DZ182" s="8">
        <v>3308678</v>
      </c>
      <c r="EA182" s="8">
        <v>3308678</v>
      </c>
      <c r="EB182" s="9">
        <f t="shared" si="85"/>
        <v>3308678</v>
      </c>
      <c r="EC182" s="8">
        <v>765727</v>
      </c>
      <c r="ED182" s="8">
        <v>765727</v>
      </c>
      <c r="EE182" s="8">
        <v>1193076</v>
      </c>
      <c r="EF182" s="8">
        <v>1349168</v>
      </c>
      <c r="EG182" s="8">
        <v>1349168</v>
      </c>
      <c r="EH182" s="8">
        <v>1349168</v>
      </c>
      <c r="EI182" s="8">
        <v>1349168</v>
      </c>
      <c r="EJ182" s="8">
        <v>1349168</v>
      </c>
      <c r="EK182" s="8">
        <v>1349168</v>
      </c>
      <c r="EL182" s="8">
        <v>1367086</v>
      </c>
      <c r="EM182" s="8">
        <v>1367086</v>
      </c>
      <c r="EN182" s="8">
        <v>1311749</v>
      </c>
      <c r="EO182" s="9">
        <f t="shared" si="86"/>
        <v>1311749</v>
      </c>
      <c r="EP182" s="8">
        <v>797887</v>
      </c>
      <c r="EQ182" s="8">
        <v>817857</v>
      </c>
      <c r="ER182" s="8">
        <v>817857</v>
      </c>
      <c r="ES182" s="8">
        <v>3350735</v>
      </c>
      <c r="ET182" s="8">
        <v>3422786</v>
      </c>
      <c r="EU182" s="8">
        <v>3422786</v>
      </c>
      <c r="EV182" s="8">
        <v>3422786</v>
      </c>
      <c r="EW182" s="8">
        <v>3619550</v>
      </c>
      <c r="EX182" s="8">
        <v>3619550</v>
      </c>
      <c r="EY182" s="8">
        <v>3619550</v>
      </c>
      <c r="EZ182" s="8">
        <v>3619550</v>
      </c>
      <c r="FA182" s="8">
        <v>2792054</v>
      </c>
      <c r="FB182" s="9">
        <f t="shared" si="87"/>
        <v>2792054</v>
      </c>
      <c r="FC182" s="8">
        <v>822621</v>
      </c>
      <c r="FD182" s="8">
        <v>822621</v>
      </c>
      <c r="FE182" s="8">
        <v>987328</v>
      </c>
      <c r="FF182" s="8">
        <v>987328</v>
      </c>
      <c r="FG182" s="8">
        <v>987328</v>
      </c>
      <c r="FH182" s="8">
        <v>987328</v>
      </c>
      <c r="FI182" s="8">
        <v>1494179</v>
      </c>
      <c r="FJ182" s="8"/>
      <c r="FK182" s="8"/>
      <c r="FL182" s="8"/>
      <c r="FM182" s="8"/>
      <c r="FN182" s="8"/>
      <c r="FO182" s="9">
        <f t="shared" si="88"/>
        <v>1494179</v>
      </c>
    </row>
    <row r="183" spans="2:171" ht="14.25" customHeight="1" x14ac:dyDescent="0.3">
      <c r="B183" s="35" t="s">
        <v>71</v>
      </c>
      <c r="C183" s="8">
        <v>240632</v>
      </c>
      <c r="D183" s="8">
        <v>830903</v>
      </c>
      <c r="E183" s="8">
        <v>830903</v>
      </c>
      <c r="F183" s="8">
        <v>830903</v>
      </c>
      <c r="G183" s="8">
        <v>851483</v>
      </c>
      <c r="H183" s="8">
        <v>860753</v>
      </c>
      <c r="I183" s="8">
        <v>860753</v>
      </c>
      <c r="J183" s="8">
        <v>860753</v>
      </c>
      <c r="K183" s="8">
        <v>895619</v>
      </c>
      <c r="L183" s="8">
        <v>895619</v>
      </c>
      <c r="M183" s="8">
        <v>4856153</v>
      </c>
      <c r="N183" s="8">
        <v>4891153</v>
      </c>
      <c r="O183" s="9">
        <f t="shared" si="76"/>
        <v>4891153</v>
      </c>
      <c r="P183" s="8">
        <v>247851</v>
      </c>
      <c r="Q183" s="8">
        <v>247851</v>
      </c>
      <c r="R183" s="8">
        <v>280811</v>
      </c>
      <c r="S183" s="8">
        <v>2982735</v>
      </c>
      <c r="T183" s="8">
        <v>2982735</v>
      </c>
      <c r="U183" s="8">
        <v>4265390</v>
      </c>
      <c r="V183" s="8">
        <v>4265390</v>
      </c>
      <c r="W183" s="8">
        <v>4322594</v>
      </c>
      <c r="X183" s="8">
        <v>4322594</v>
      </c>
      <c r="Y183" s="8">
        <v>4557594</v>
      </c>
      <c r="Z183" s="8">
        <v>5143858</v>
      </c>
      <c r="AA183" s="8">
        <v>5760597</v>
      </c>
      <c r="AB183" s="9">
        <f t="shared" si="77"/>
        <v>5760597</v>
      </c>
      <c r="AC183" s="8">
        <v>257269</v>
      </c>
      <c r="AD183" s="8">
        <v>257269</v>
      </c>
      <c r="AE183" s="8">
        <v>291482</v>
      </c>
      <c r="AF183" s="8">
        <v>291482</v>
      </c>
      <c r="AG183" s="8">
        <v>291482</v>
      </c>
      <c r="AH183" s="8">
        <v>320160</v>
      </c>
      <c r="AI183" s="8">
        <v>464844</v>
      </c>
      <c r="AJ183" s="8">
        <v>464844</v>
      </c>
      <c r="AK183" s="8">
        <v>464844</v>
      </c>
      <c r="AL183" s="8">
        <v>466544</v>
      </c>
      <c r="AM183" s="8">
        <v>636556</v>
      </c>
      <c r="AN183" s="8">
        <v>903610</v>
      </c>
      <c r="AO183" s="9">
        <f t="shared" si="78"/>
        <v>903610</v>
      </c>
      <c r="AP183" s="8">
        <v>264987</v>
      </c>
      <c r="AQ183" s="8">
        <v>264987</v>
      </c>
      <c r="AR183" s="8">
        <v>264987</v>
      </c>
      <c r="AS183" s="8">
        <v>264987</v>
      </c>
      <c r="AT183" s="8">
        <v>264987</v>
      </c>
      <c r="AU183" s="8">
        <v>266687</v>
      </c>
      <c r="AV183" s="8">
        <v>283771</v>
      </c>
      <c r="AW183" s="8">
        <v>395771</v>
      </c>
      <c r="AX183" s="8">
        <v>435771</v>
      </c>
      <c r="AY183" s="8">
        <v>444143</v>
      </c>
      <c r="AZ183" s="8">
        <v>444143</v>
      </c>
      <c r="BA183" s="8">
        <v>444143</v>
      </c>
      <c r="BB183" s="9">
        <f t="shared" si="79"/>
        <v>444143</v>
      </c>
      <c r="BC183" s="8">
        <v>271877</v>
      </c>
      <c r="BD183" s="8">
        <v>271877</v>
      </c>
      <c r="BE183" s="8">
        <v>271877</v>
      </c>
      <c r="BF183" s="8">
        <v>271877</v>
      </c>
      <c r="BG183" s="8">
        <v>271877</v>
      </c>
      <c r="BH183" s="8">
        <v>271877</v>
      </c>
      <c r="BI183" s="8">
        <v>244159</v>
      </c>
      <c r="BJ183" s="8">
        <v>2155469</v>
      </c>
      <c r="BK183" s="8">
        <v>3473571</v>
      </c>
      <c r="BL183" s="8">
        <v>3473571</v>
      </c>
      <c r="BM183" s="8">
        <v>3487935</v>
      </c>
      <c r="BN183" s="8">
        <v>3833299</v>
      </c>
      <c r="BO183" s="9">
        <f t="shared" si="80"/>
        <v>3833299</v>
      </c>
      <c r="BP183" s="8">
        <v>0</v>
      </c>
      <c r="BQ183" s="8">
        <v>0</v>
      </c>
      <c r="BR183" s="8">
        <v>175571</v>
      </c>
      <c r="BS183" s="8">
        <v>175571</v>
      </c>
      <c r="BT183" s="8">
        <v>218687</v>
      </c>
      <c r="BU183" s="8">
        <v>224207</v>
      </c>
      <c r="BV183" s="8">
        <v>272832</v>
      </c>
      <c r="BW183" s="8">
        <v>803896</v>
      </c>
      <c r="BX183" s="8">
        <v>1803374</v>
      </c>
      <c r="BY183" s="8">
        <v>1803374</v>
      </c>
      <c r="BZ183" s="8">
        <v>1803374</v>
      </c>
      <c r="CA183" s="8">
        <v>1913904</v>
      </c>
      <c r="CB183" s="9">
        <f t="shared" si="81"/>
        <v>1913904</v>
      </c>
      <c r="CC183" s="8">
        <v>108790</v>
      </c>
      <c r="CD183" s="8">
        <v>108790</v>
      </c>
      <c r="CE183" s="8">
        <v>108790</v>
      </c>
      <c r="CF183" s="8">
        <v>245616</v>
      </c>
      <c r="CG183" s="8">
        <v>245616</v>
      </c>
      <c r="CH183" s="8">
        <v>1222074</v>
      </c>
      <c r="CI183" s="8">
        <v>2790771</v>
      </c>
      <c r="CJ183" s="8">
        <v>3299724</v>
      </c>
      <c r="CK183" s="8">
        <v>5489381</v>
      </c>
      <c r="CL183" s="8">
        <v>5783240</v>
      </c>
      <c r="CM183" s="8">
        <v>5783240</v>
      </c>
      <c r="CN183" s="8">
        <v>5783240</v>
      </c>
      <c r="CO183" s="9">
        <f t="shared" si="82"/>
        <v>5783240</v>
      </c>
      <c r="CP183" s="8">
        <v>464801</v>
      </c>
      <c r="CQ183" s="8">
        <v>464801</v>
      </c>
      <c r="CR183" s="8">
        <v>2627122</v>
      </c>
      <c r="CS183" s="8">
        <v>2627122</v>
      </c>
      <c r="CT183" s="8">
        <v>3016558</v>
      </c>
      <c r="CU183" s="8">
        <v>3016558</v>
      </c>
      <c r="CV183" s="8">
        <v>3016558</v>
      </c>
      <c r="CW183" s="8">
        <v>3028058</v>
      </c>
      <c r="CX183" s="8">
        <v>3028058</v>
      </c>
      <c r="CY183" s="8">
        <v>3248747</v>
      </c>
      <c r="CZ183" s="8">
        <v>3330237</v>
      </c>
      <c r="DA183" s="8">
        <v>3225529</v>
      </c>
      <c r="DB183" s="9">
        <f t="shared" si="83"/>
        <v>3225529</v>
      </c>
      <c r="DC183" s="8">
        <v>641875</v>
      </c>
      <c r="DD183" s="8">
        <v>641875</v>
      </c>
      <c r="DE183" s="8">
        <v>641875</v>
      </c>
      <c r="DF183" s="8">
        <v>641875</v>
      </c>
      <c r="DG183" s="8">
        <v>1043815</v>
      </c>
      <c r="DH183" s="8">
        <v>1043815</v>
      </c>
      <c r="DI183" s="8">
        <v>1135718</v>
      </c>
      <c r="DJ183" s="8">
        <v>1156781</v>
      </c>
      <c r="DK183" s="8">
        <v>3047287</v>
      </c>
      <c r="DL183" s="8">
        <v>3047287</v>
      </c>
      <c r="DM183" s="8">
        <v>3047287</v>
      </c>
      <c r="DN183" s="8">
        <v>3047287</v>
      </c>
      <c r="DO183" s="9">
        <f t="shared" si="84"/>
        <v>3047287</v>
      </c>
      <c r="DP183" s="8">
        <v>682313</v>
      </c>
      <c r="DQ183" s="8">
        <v>6577064</v>
      </c>
      <c r="DR183" s="8">
        <v>6577064</v>
      </c>
      <c r="DS183" s="8">
        <v>9574099</v>
      </c>
      <c r="DT183" s="8">
        <v>9574099</v>
      </c>
      <c r="DU183" s="8">
        <v>9630834</v>
      </c>
      <c r="DV183" s="8">
        <v>9648375</v>
      </c>
      <c r="DW183" s="8">
        <v>9662084</v>
      </c>
      <c r="DX183" s="8">
        <v>9834647</v>
      </c>
      <c r="DY183" s="8">
        <v>9834647</v>
      </c>
      <c r="DZ183" s="8">
        <v>9834647</v>
      </c>
      <c r="EA183" s="8">
        <v>9834647</v>
      </c>
      <c r="EB183" s="9">
        <f t="shared" si="85"/>
        <v>9834647</v>
      </c>
      <c r="EC183" s="8">
        <v>624968</v>
      </c>
      <c r="ED183" s="8">
        <v>624968</v>
      </c>
      <c r="EE183" s="8">
        <v>3980709</v>
      </c>
      <c r="EF183" s="8">
        <v>5200442</v>
      </c>
      <c r="EG183" s="8">
        <v>5472486</v>
      </c>
      <c r="EH183" s="8">
        <v>5912310</v>
      </c>
      <c r="EI183" s="8">
        <v>5912310</v>
      </c>
      <c r="EJ183" s="8">
        <v>5912310</v>
      </c>
      <c r="EK183" s="8">
        <v>5845273</v>
      </c>
      <c r="EL183" s="8">
        <v>5845273</v>
      </c>
      <c r="EM183" s="8">
        <v>5845273</v>
      </c>
      <c r="EN183" s="8">
        <v>2699298</v>
      </c>
      <c r="EO183" s="9">
        <f t="shared" si="86"/>
        <v>2699298</v>
      </c>
      <c r="EP183" s="8">
        <v>651217</v>
      </c>
      <c r="EQ183" s="8">
        <v>3922505</v>
      </c>
      <c r="ER183" s="8">
        <v>3922505</v>
      </c>
      <c r="ES183" s="8">
        <v>4762594</v>
      </c>
      <c r="ET183" s="8">
        <v>4788854</v>
      </c>
      <c r="EU183" s="8">
        <v>4788854</v>
      </c>
      <c r="EV183" s="8">
        <v>4788854</v>
      </c>
      <c r="EW183" s="8">
        <v>4788854</v>
      </c>
      <c r="EX183" s="8">
        <v>4788854</v>
      </c>
      <c r="EY183" s="8">
        <v>4788854</v>
      </c>
      <c r="EZ183" s="8">
        <v>4788854</v>
      </c>
      <c r="FA183" s="8">
        <v>4463270</v>
      </c>
      <c r="FB183" s="9">
        <f t="shared" si="87"/>
        <v>4463270</v>
      </c>
      <c r="FC183" s="8">
        <v>671405</v>
      </c>
      <c r="FD183" s="8">
        <v>671405</v>
      </c>
      <c r="FE183" s="8">
        <v>671405</v>
      </c>
      <c r="FF183" s="8">
        <v>671405</v>
      </c>
      <c r="FG183" s="8">
        <v>671405</v>
      </c>
      <c r="FH183" s="8">
        <v>671405</v>
      </c>
      <c r="FI183" s="8">
        <v>3231938</v>
      </c>
      <c r="FJ183" s="8"/>
      <c r="FK183" s="8"/>
      <c r="FL183" s="8"/>
      <c r="FM183" s="8"/>
      <c r="FN183" s="8"/>
      <c r="FO183" s="9">
        <f t="shared" si="88"/>
        <v>3231938</v>
      </c>
    </row>
    <row r="184" spans="2:171" ht="14.25" customHeight="1" x14ac:dyDescent="0.3">
      <c r="B184" s="35" t="s">
        <v>72</v>
      </c>
      <c r="C184" s="8">
        <v>381690</v>
      </c>
      <c r="D184" s="8">
        <v>1684349</v>
      </c>
      <c r="E184" s="8">
        <v>1684349</v>
      </c>
      <c r="F184" s="8">
        <v>1684349</v>
      </c>
      <c r="G184" s="8">
        <v>1716089</v>
      </c>
      <c r="H184" s="8">
        <v>1731676</v>
      </c>
      <c r="I184" s="8">
        <v>1731676</v>
      </c>
      <c r="J184" s="8">
        <v>1731676</v>
      </c>
      <c r="K184" s="8">
        <v>1792691</v>
      </c>
      <c r="L184" s="8">
        <v>1792691</v>
      </c>
      <c r="M184" s="8">
        <v>5052549</v>
      </c>
      <c r="N184" s="8">
        <v>5072549</v>
      </c>
      <c r="O184" s="9">
        <f t="shared" si="76"/>
        <v>5072549</v>
      </c>
      <c r="P184" s="8">
        <v>393141</v>
      </c>
      <c r="Q184" s="8">
        <v>393141</v>
      </c>
      <c r="R184" s="8">
        <v>1275061</v>
      </c>
      <c r="S184" s="8">
        <v>2460312</v>
      </c>
      <c r="T184" s="8">
        <v>2463203</v>
      </c>
      <c r="U184" s="8">
        <v>2882267</v>
      </c>
      <c r="V184" s="8">
        <v>2972267</v>
      </c>
      <c r="W184" s="8">
        <v>3669915</v>
      </c>
      <c r="X184" s="8">
        <v>3669915</v>
      </c>
      <c r="Y184" s="8">
        <v>3699915</v>
      </c>
      <c r="Z184" s="8">
        <v>5075348</v>
      </c>
      <c r="AA184" s="8">
        <v>7437006</v>
      </c>
      <c r="AB184" s="9">
        <f t="shared" si="77"/>
        <v>7437006</v>
      </c>
      <c r="AC184" s="8">
        <v>408080</v>
      </c>
      <c r="AD184" s="8">
        <v>408080</v>
      </c>
      <c r="AE184" s="8">
        <v>408080</v>
      </c>
      <c r="AF184" s="8">
        <v>408080</v>
      </c>
      <c r="AG184" s="8">
        <v>476338</v>
      </c>
      <c r="AH184" s="8">
        <v>479971</v>
      </c>
      <c r="AI184" s="8">
        <v>657320</v>
      </c>
      <c r="AJ184" s="8">
        <v>657320</v>
      </c>
      <c r="AK184" s="8">
        <v>657320</v>
      </c>
      <c r="AL184" s="8">
        <v>657820</v>
      </c>
      <c r="AM184" s="8">
        <v>662683</v>
      </c>
      <c r="AN184" s="8">
        <v>1244313</v>
      </c>
      <c r="AO184" s="9">
        <f t="shared" si="78"/>
        <v>1244313</v>
      </c>
      <c r="AP184" s="8">
        <v>420322</v>
      </c>
      <c r="AQ184" s="8">
        <v>420322</v>
      </c>
      <c r="AR184" s="8">
        <v>420322</v>
      </c>
      <c r="AS184" s="8">
        <v>420322</v>
      </c>
      <c r="AT184" s="8">
        <v>420322</v>
      </c>
      <c r="AU184" s="8">
        <v>504723</v>
      </c>
      <c r="AV184" s="8">
        <v>504723</v>
      </c>
      <c r="AW184" s="8">
        <v>504723</v>
      </c>
      <c r="AX184" s="8">
        <v>570753</v>
      </c>
      <c r="AY184" s="8">
        <v>570753</v>
      </c>
      <c r="AZ184" s="8">
        <v>587853</v>
      </c>
      <c r="BA184" s="8">
        <v>587853</v>
      </c>
      <c r="BB184" s="9">
        <f t="shared" si="79"/>
        <v>587853</v>
      </c>
      <c r="BC184" s="8">
        <v>431250</v>
      </c>
      <c r="BD184" s="8">
        <v>431250</v>
      </c>
      <c r="BE184" s="8">
        <v>431250</v>
      </c>
      <c r="BF184" s="8">
        <v>431250</v>
      </c>
      <c r="BG184" s="8">
        <v>431250</v>
      </c>
      <c r="BH184" s="8">
        <v>431250</v>
      </c>
      <c r="BI184" s="8">
        <v>387284</v>
      </c>
      <c r="BJ184" s="8">
        <v>2205184</v>
      </c>
      <c r="BK184" s="8">
        <v>2205184</v>
      </c>
      <c r="BL184" s="8">
        <v>2205184</v>
      </c>
      <c r="BM184" s="8">
        <v>2205184</v>
      </c>
      <c r="BN184" s="8">
        <v>2367980</v>
      </c>
      <c r="BO184" s="9">
        <f t="shared" si="80"/>
        <v>2367980</v>
      </c>
      <c r="BP184" s="8">
        <v>0</v>
      </c>
      <c r="BQ184" s="8">
        <v>0</v>
      </c>
      <c r="BR184" s="8">
        <v>0</v>
      </c>
      <c r="BS184" s="8">
        <v>715600</v>
      </c>
      <c r="BT184" s="8">
        <v>779752</v>
      </c>
      <c r="BU184" s="8">
        <v>815984</v>
      </c>
      <c r="BV184" s="8">
        <v>816601</v>
      </c>
      <c r="BW184" s="8">
        <v>906174</v>
      </c>
      <c r="BX184" s="8">
        <v>1894296</v>
      </c>
      <c r="BY184" s="8">
        <v>1894296</v>
      </c>
      <c r="BZ184" s="8">
        <v>1894296</v>
      </c>
      <c r="CA184" s="8">
        <v>1894296</v>
      </c>
      <c r="CB184" s="9">
        <f t="shared" si="81"/>
        <v>1894296</v>
      </c>
      <c r="CC184" s="8">
        <v>141146</v>
      </c>
      <c r="CD184" s="8">
        <v>141146</v>
      </c>
      <c r="CE184" s="8">
        <v>141146</v>
      </c>
      <c r="CF184" s="8">
        <v>13102751</v>
      </c>
      <c r="CG184" s="8">
        <v>13102751</v>
      </c>
      <c r="CH184" s="8">
        <v>7250329</v>
      </c>
      <c r="CI184" s="8">
        <v>13231642</v>
      </c>
      <c r="CJ184" s="8">
        <v>13553564</v>
      </c>
      <c r="CK184" s="8">
        <v>13578890</v>
      </c>
      <c r="CL184" s="8">
        <v>13736565</v>
      </c>
      <c r="CM184" s="8">
        <v>13736565</v>
      </c>
      <c r="CN184" s="8">
        <v>13736565</v>
      </c>
      <c r="CO184" s="9">
        <f t="shared" si="82"/>
        <v>13736565</v>
      </c>
      <c r="CP184" s="8">
        <v>619004</v>
      </c>
      <c r="CQ184" s="8">
        <v>1519004</v>
      </c>
      <c r="CR184" s="8">
        <v>1519004</v>
      </c>
      <c r="CS184" s="8">
        <v>1882457</v>
      </c>
      <c r="CT184" s="8">
        <v>1992457</v>
      </c>
      <c r="CU184" s="8">
        <v>1992457</v>
      </c>
      <c r="CV184" s="8">
        <v>2972217</v>
      </c>
      <c r="CW184" s="8">
        <v>3468649</v>
      </c>
      <c r="CX184" s="8">
        <v>3468649</v>
      </c>
      <c r="CY184" s="8">
        <v>3524772</v>
      </c>
      <c r="CZ184" s="8">
        <v>3524772</v>
      </c>
      <c r="DA184" s="8">
        <v>3518954</v>
      </c>
      <c r="DB184" s="9">
        <f t="shared" si="83"/>
        <v>3518954</v>
      </c>
      <c r="DC184" s="8">
        <v>840765</v>
      </c>
      <c r="DD184" s="8">
        <v>840765</v>
      </c>
      <c r="DE184" s="8">
        <v>840765</v>
      </c>
      <c r="DF184" s="8">
        <v>840765</v>
      </c>
      <c r="DG184" s="8">
        <v>840765</v>
      </c>
      <c r="DH184" s="8">
        <v>949259</v>
      </c>
      <c r="DI184" s="8">
        <v>2199141</v>
      </c>
      <c r="DJ184" s="8">
        <v>3681178</v>
      </c>
      <c r="DK184" s="8">
        <v>2167633</v>
      </c>
      <c r="DL184" s="8">
        <v>2167633</v>
      </c>
      <c r="DM184" s="8">
        <v>2167633</v>
      </c>
      <c r="DN184" s="8">
        <v>2167633</v>
      </c>
      <c r="DO184" s="9">
        <f t="shared" si="84"/>
        <v>2167633</v>
      </c>
      <c r="DP184" s="8">
        <v>893733</v>
      </c>
      <c r="DQ184" s="8">
        <v>3192274</v>
      </c>
      <c r="DR184" s="8">
        <v>3926209</v>
      </c>
      <c r="DS184" s="8">
        <v>3928709</v>
      </c>
      <c r="DT184" s="8">
        <v>3928709</v>
      </c>
      <c r="DU184" s="8">
        <v>4261783</v>
      </c>
      <c r="DV184" s="8">
        <v>4292824</v>
      </c>
      <c r="DW184" s="8">
        <v>4329381</v>
      </c>
      <c r="DX184" s="8">
        <v>4329786</v>
      </c>
      <c r="DY184" s="8">
        <v>4329786</v>
      </c>
      <c r="DZ184" s="8">
        <v>4329786</v>
      </c>
      <c r="EA184" s="8">
        <v>4251513</v>
      </c>
      <c r="EB184" s="9">
        <f t="shared" si="85"/>
        <v>4251513</v>
      </c>
      <c r="EC184" s="8">
        <v>818621</v>
      </c>
      <c r="ED184" s="8">
        <v>818621</v>
      </c>
      <c r="EE184" s="8">
        <v>1367239</v>
      </c>
      <c r="EF184" s="8">
        <v>1554447</v>
      </c>
      <c r="EG184" s="8">
        <v>1554447</v>
      </c>
      <c r="EH184" s="8">
        <v>1554447</v>
      </c>
      <c r="EI184" s="8">
        <v>1554447</v>
      </c>
      <c r="EJ184" s="8">
        <v>1554447</v>
      </c>
      <c r="EK184" s="8">
        <v>1992544</v>
      </c>
      <c r="EL184" s="8">
        <v>2197426</v>
      </c>
      <c r="EM184" s="8">
        <v>2197426</v>
      </c>
      <c r="EN184" s="8">
        <v>2039596</v>
      </c>
      <c r="EO184" s="9">
        <f t="shared" si="86"/>
        <v>2039596</v>
      </c>
      <c r="EP184" s="8">
        <v>853004</v>
      </c>
      <c r="EQ184" s="8">
        <v>876968</v>
      </c>
      <c r="ER184" s="8">
        <v>876968</v>
      </c>
      <c r="ES184" s="8">
        <v>2476982</v>
      </c>
      <c r="ET184" s="8">
        <v>2487982</v>
      </c>
      <c r="EU184" s="8">
        <v>2487982</v>
      </c>
      <c r="EV184" s="8">
        <v>2487982</v>
      </c>
      <c r="EW184" s="8">
        <v>2487982</v>
      </c>
      <c r="EX184" s="8">
        <v>2487982</v>
      </c>
      <c r="EY184" s="8">
        <v>2487982</v>
      </c>
      <c r="EZ184" s="8">
        <v>2487982</v>
      </c>
      <c r="FA184" s="8">
        <v>2351421</v>
      </c>
      <c r="FB184" s="9">
        <f t="shared" si="87"/>
        <v>2351421</v>
      </c>
      <c r="FC184" s="8">
        <v>879447</v>
      </c>
      <c r="FD184" s="8">
        <v>879447</v>
      </c>
      <c r="FE184" s="8">
        <v>879447</v>
      </c>
      <c r="FF184" s="8">
        <v>879447</v>
      </c>
      <c r="FG184" s="8">
        <v>879447</v>
      </c>
      <c r="FH184" s="8">
        <v>879447</v>
      </c>
      <c r="FI184" s="8">
        <v>3759446</v>
      </c>
      <c r="FJ184" s="8"/>
      <c r="FK184" s="8"/>
      <c r="FL184" s="8"/>
      <c r="FM184" s="8"/>
      <c r="FN184" s="8"/>
      <c r="FO184" s="9">
        <f t="shared" si="88"/>
        <v>3759446</v>
      </c>
    </row>
    <row r="185" spans="2:171" ht="14.25" customHeight="1" x14ac:dyDescent="0.3">
      <c r="B185" s="35" t="s">
        <v>73</v>
      </c>
      <c r="C185" s="8">
        <v>534975</v>
      </c>
      <c r="D185" s="8">
        <v>600425</v>
      </c>
      <c r="E185" s="8">
        <v>600425</v>
      </c>
      <c r="F185" s="8">
        <v>600425</v>
      </c>
      <c r="G185" s="8">
        <v>623485</v>
      </c>
      <c r="H185" s="8">
        <v>625647</v>
      </c>
      <c r="I185" s="8">
        <v>758801</v>
      </c>
      <c r="J185" s="8">
        <v>758801</v>
      </c>
      <c r="K185" s="8">
        <v>802385</v>
      </c>
      <c r="L185" s="8">
        <v>806285</v>
      </c>
      <c r="M185" s="8">
        <v>1085749</v>
      </c>
      <c r="N185" s="8">
        <v>1105749</v>
      </c>
      <c r="O185" s="9">
        <f t="shared" si="76"/>
        <v>1105749</v>
      </c>
      <c r="P185" s="8">
        <v>356879</v>
      </c>
      <c r="Q185" s="8">
        <v>356879</v>
      </c>
      <c r="R185" s="8">
        <v>422799</v>
      </c>
      <c r="S185" s="8">
        <v>1647724</v>
      </c>
      <c r="T185" s="8">
        <v>1647724</v>
      </c>
      <c r="U185" s="8">
        <v>2182259</v>
      </c>
      <c r="V185" s="8">
        <v>2182259</v>
      </c>
      <c r="W185" s="8">
        <v>2291610</v>
      </c>
      <c r="X185" s="8">
        <v>2291610</v>
      </c>
      <c r="Y185" s="8">
        <v>2615610</v>
      </c>
      <c r="Z185" s="8">
        <v>3949423</v>
      </c>
      <c r="AA185" s="8">
        <v>7803365</v>
      </c>
      <c r="AB185" s="9">
        <f t="shared" si="77"/>
        <v>7803365</v>
      </c>
      <c r="AC185" s="8">
        <v>370440</v>
      </c>
      <c r="AD185" s="8">
        <v>370440</v>
      </c>
      <c r="AE185" s="8">
        <v>370440</v>
      </c>
      <c r="AF185" s="8">
        <v>370440</v>
      </c>
      <c r="AG185" s="8">
        <v>370440</v>
      </c>
      <c r="AH185" s="8">
        <v>762549</v>
      </c>
      <c r="AI185" s="8">
        <v>762549</v>
      </c>
      <c r="AJ185" s="8">
        <v>762549</v>
      </c>
      <c r="AK185" s="8">
        <v>762549</v>
      </c>
      <c r="AL185" s="8">
        <v>762549</v>
      </c>
      <c r="AM185" s="8">
        <v>846910</v>
      </c>
      <c r="AN185" s="8">
        <v>2129075</v>
      </c>
      <c r="AO185" s="9">
        <f t="shared" si="78"/>
        <v>2129075</v>
      </c>
      <c r="AP185" s="8">
        <v>381553</v>
      </c>
      <c r="AQ185" s="8">
        <v>381553</v>
      </c>
      <c r="AR185" s="8">
        <v>381553</v>
      </c>
      <c r="AS185" s="8">
        <v>381553</v>
      </c>
      <c r="AT185" s="8">
        <v>381553</v>
      </c>
      <c r="AU185" s="8">
        <v>454726</v>
      </c>
      <c r="AV185" s="8">
        <v>990975</v>
      </c>
      <c r="AW185" s="8">
        <v>990975</v>
      </c>
      <c r="AX185" s="8">
        <v>1190975</v>
      </c>
      <c r="AY185" s="8">
        <v>1217885</v>
      </c>
      <c r="AZ185" s="8">
        <v>1217885</v>
      </c>
      <c r="BA185" s="8">
        <v>786850</v>
      </c>
      <c r="BB185" s="9">
        <f t="shared" si="79"/>
        <v>786850</v>
      </c>
      <c r="BC185" s="8">
        <v>391462</v>
      </c>
      <c r="BD185" s="8">
        <v>391462</v>
      </c>
      <c r="BE185" s="8">
        <v>822497</v>
      </c>
      <c r="BF185" s="8">
        <v>822497</v>
      </c>
      <c r="BG185" s="8">
        <v>822497</v>
      </c>
      <c r="BH185" s="8">
        <v>853864</v>
      </c>
      <c r="BI185" s="8">
        <v>853864</v>
      </c>
      <c r="BJ185" s="8">
        <v>1142253</v>
      </c>
      <c r="BK185" s="8">
        <v>4764687</v>
      </c>
      <c r="BL185" s="8">
        <v>4764687</v>
      </c>
      <c r="BM185" s="8">
        <v>4765662</v>
      </c>
      <c r="BN185" s="8">
        <v>5004178</v>
      </c>
      <c r="BO185" s="9">
        <f t="shared" si="80"/>
        <v>5004178</v>
      </c>
      <c r="BP185" s="8">
        <v>0</v>
      </c>
      <c r="BQ185" s="8">
        <v>0</v>
      </c>
      <c r="BR185" s="8">
        <v>177700</v>
      </c>
      <c r="BS185" s="8">
        <v>177700</v>
      </c>
      <c r="BT185" s="8">
        <v>259807</v>
      </c>
      <c r="BU185" s="8">
        <v>283842</v>
      </c>
      <c r="BV185" s="8">
        <v>496159</v>
      </c>
      <c r="BW185" s="8">
        <v>549159</v>
      </c>
      <c r="BX185" s="8">
        <v>6209500</v>
      </c>
      <c r="BY185" s="8">
        <v>6209500</v>
      </c>
      <c r="BZ185" s="8">
        <v>6363605</v>
      </c>
      <c r="CA185" s="8">
        <v>6363605</v>
      </c>
      <c r="CB185" s="9">
        <f t="shared" si="81"/>
        <v>6363605</v>
      </c>
      <c r="CC185" s="8">
        <v>192786</v>
      </c>
      <c r="CD185" s="8">
        <v>192786</v>
      </c>
      <c r="CE185" s="8">
        <v>192786</v>
      </c>
      <c r="CF185" s="8">
        <v>697407</v>
      </c>
      <c r="CG185" s="8">
        <v>697407</v>
      </c>
      <c r="CH185" s="8">
        <v>1063335</v>
      </c>
      <c r="CI185" s="8">
        <v>1063335</v>
      </c>
      <c r="CJ185" s="8">
        <v>1528372</v>
      </c>
      <c r="CK185" s="8">
        <v>1533004</v>
      </c>
      <c r="CL185" s="8">
        <v>1645004</v>
      </c>
      <c r="CM185" s="8">
        <v>1645004</v>
      </c>
      <c r="CN185" s="8">
        <v>1645004</v>
      </c>
      <c r="CO185" s="9">
        <f t="shared" si="82"/>
        <v>1645004</v>
      </c>
      <c r="CP185" s="8">
        <v>831886</v>
      </c>
      <c r="CQ185" s="8">
        <v>831886</v>
      </c>
      <c r="CR185" s="8">
        <v>831886</v>
      </c>
      <c r="CS185" s="8">
        <v>1724386</v>
      </c>
      <c r="CT185" s="8">
        <v>2593727</v>
      </c>
      <c r="CU185" s="8">
        <v>2677008</v>
      </c>
      <c r="CV185" s="8">
        <v>3478924</v>
      </c>
      <c r="CW185" s="8">
        <v>3486924</v>
      </c>
      <c r="CX185" s="8">
        <v>3486924</v>
      </c>
      <c r="CY185" s="8">
        <v>3563996</v>
      </c>
      <c r="CZ185" s="8">
        <v>3563996</v>
      </c>
      <c r="DA185" s="8">
        <v>3362661</v>
      </c>
      <c r="DB185" s="9">
        <f t="shared" si="83"/>
        <v>3362661</v>
      </c>
      <c r="DC185" s="8">
        <v>1124241</v>
      </c>
      <c r="DD185" s="8">
        <v>1124241</v>
      </c>
      <c r="DE185" s="8">
        <v>1124241</v>
      </c>
      <c r="DF185" s="8">
        <v>1124241</v>
      </c>
      <c r="DG185" s="8">
        <v>1124241</v>
      </c>
      <c r="DH185" s="8">
        <v>1124241</v>
      </c>
      <c r="DI185" s="8">
        <v>1953671</v>
      </c>
      <c r="DJ185" s="8">
        <v>2795647</v>
      </c>
      <c r="DK185" s="8">
        <v>5691025</v>
      </c>
      <c r="DL185" s="8">
        <v>5691025</v>
      </c>
      <c r="DM185" s="8">
        <v>5691025</v>
      </c>
      <c r="DN185" s="8">
        <v>5691025</v>
      </c>
      <c r="DO185" s="9">
        <f t="shared" si="84"/>
        <v>5691025</v>
      </c>
      <c r="DP185" s="8">
        <v>1195068</v>
      </c>
      <c r="DQ185" s="8">
        <v>1333782</v>
      </c>
      <c r="DR185" s="8">
        <v>2447948</v>
      </c>
      <c r="DS185" s="8">
        <v>2450448</v>
      </c>
      <c r="DT185" s="8">
        <v>2450448</v>
      </c>
      <c r="DU185" s="8">
        <v>2584211</v>
      </c>
      <c r="DV185" s="8">
        <v>2604381</v>
      </c>
      <c r="DW185" s="8">
        <v>2660739</v>
      </c>
      <c r="DX185" s="8">
        <v>2661684</v>
      </c>
      <c r="DY185" s="8">
        <v>2661684</v>
      </c>
      <c r="DZ185" s="8">
        <v>2661684</v>
      </c>
      <c r="EA185" s="8">
        <v>2776799</v>
      </c>
      <c r="EB185" s="9">
        <f t="shared" si="85"/>
        <v>2776799</v>
      </c>
      <c r="EC185" s="8">
        <v>1094630</v>
      </c>
      <c r="ED185" s="8">
        <v>1094630</v>
      </c>
      <c r="EE185" s="8">
        <v>2415146</v>
      </c>
      <c r="EF185" s="8">
        <v>3842493</v>
      </c>
      <c r="EG185" s="8">
        <v>3842493</v>
      </c>
      <c r="EH185" s="8">
        <v>3842493</v>
      </c>
      <c r="EI185" s="8">
        <v>3842493</v>
      </c>
      <c r="EJ185" s="8">
        <v>4236244</v>
      </c>
      <c r="EK185" s="8">
        <v>4236244</v>
      </c>
      <c r="EL185" s="8">
        <v>4236244</v>
      </c>
      <c r="EM185" s="8">
        <v>4236244</v>
      </c>
      <c r="EN185" s="8">
        <v>4026316</v>
      </c>
      <c r="EO185" s="9">
        <f t="shared" si="86"/>
        <v>4026316</v>
      </c>
      <c r="EP185" s="8">
        <v>1140605</v>
      </c>
      <c r="EQ185" s="8">
        <v>1216464</v>
      </c>
      <c r="ER185" s="8">
        <v>1216464</v>
      </c>
      <c r="ES185" s="8">
        <v>2927462</v>
      </c>
      <c r="ET185" s="8">
        <v>2927462</v>
      </c>
      <c r="EU185" s="8">
        <v>2927462</v>
      </c>
      <c r="EV185" s="8">
        <v>2927462</v>
      </c>
      <c r="EW185" s="8">
        <v>2927462</v>
      </c>
      <c r="EX185" s="8">
        <v>2927462</v>
      </c>
      <c r="EY185" s="8">
        <v>2927462</v>
      </c>
      <c r="EZ185" s="8">
        <v>2927462</v>
      </c>
      <c r="FA185" s="8">
        <v>2785260</v>
      </c>
      <c r="FB185" s="9">
        <f t="shared" si="87"/>
        <v>2785260</v>
      </c>
      <c r="FC185" s="8">
        <v>1175963</v>
      </c>
      <c r="FD185" s="8">
        <v>1175963</v>
      </c>
      <c r="FE185" s="8">
        <v>1175963</v>
      </c>
      <c r="FF185" s="8">
        <v>1175963</v>
      </c>
      <c r="FG185" s="8">
        <v>1175963</v>
      </c>
      <c r="FH185" s="8">
        <v>1175963</v>
      </c>
      <c r="FI185" s="8">
        <v>4144766</v>
      </c>
      <c r="FJ185" s="8"/>
      <c r="FK185" s="8"/>
      <c r="FL185" s="8"/>
      <c r="FM185" s="8"/>
      <c r="FN185" s="8"/>
      <c r="FO185" s="9">
        <f t="shared" si="88"/>
        <v>4144766</v>
      </c>
    </row>
    <row r="186" spans="2:171" ht="14.25" customHeight="1" x14ac:dyDescent="0.3">
      <c r="B186" s="35" t="s">
        <v>74</v>
      </c>
      <c r="C186" s="8">
        <v>39141</v>
      </c>
      <c r="D186" s="8">
        <v>93561</v>
      </c>
      <c r="E186" s="8">
        <v>93561</v>
      </c>
      <c r="F186" s="8">
        <v>93561</v>
      </c>
      <c r="G186" s="8">
        <v>113346</v>
      </c>
      <c r="H186" s="8">
        <v>114442</v>
      </c>
      <c r="I186" s="8">
        <v>305845</v>
      </c>
      <c r="J186" s="8">
        <v>305845</v>
      </c>
      <c r="K186" s="8">
        <v>349427</v>
      </c>
      <c r="L186" s="8">
        <v>349427</v>
      </c>
      <c r="M186" s="8">
        <v>409940</v>
      </c>
      <c r="N186" s="8">
        <v>744396</v>
      </c>
      <c r="O186" s="9">
        <f t="shared" si="76"/>
        <v>744396</v>
      </c>
      <c r="P186" s="8">
        <v>40315</v>
      </c>
      <c r="Q186" s="8">
        <v>217601</v>
      </c>
      <c r="R186" s="8">
        <v>250561</v>
      </c>
      <c r="S186" s="8">
        <v>544482</v>
      </c>
      <c r="T186" s="8">
        <v>1767825</v>
      </c>
      <c r="U186" s="8">
        <v>2042220</v>
      </c>
      <c r="V186" s="8">
        <v>2340491</v>
      </c>
      <c r="W186" s="8">
        <v>2340491</v>
      </c>
      <c r="X186" s="8">
        <v>2340491</v>
      </c>
      <c r="Y186" s="8">
        <v>3991672</v>
      </c>
      <c r="Z186" s="8">
        <v>4199071</v>
      </c>
      <c r="AA186" s="8">
        <v>5158719</v>
      </c>
      <c r="AB186" s="9">
        <f t="shared" si="77"/>
        <v>5158719</v>
      </c>
      <c r="AC186" s="8">
        <v>41847</v>
      </c>
      <c r="AD186" s="8">
        <v>217847</v>
      </c>
      <c r="AE186" s="8">
        <v>217847</v>
      </c>
      <c r="AF186" s="8">
        <v>217847</v>
      </c>
      <c r="AG186" s="8">
        <v>217847</v>
      </c>
      <c r="AH186" s="8">
        <v>217847</v>
      </c>
      <c r="AI186" s="8">
        <v>217847</v>
      </c>
      <c r="AJ186" s="8">
        <v>217847</v>
      </c>
      <c r="AK186" s="8">
        <v>217847</v>
      </c>
      <c r="AL186" s="8">
        <v>217847</v>
      </c>
      <c r="AM186" s="8">
        <v>272528</v>
      </c>
      <c r="AN186" s="8">
        <v>2120843</v>
      </c>
      <c r="AO186" s="9">
        <f t="shared" si="78"/>
        <v>2120843</v>
      </c>
      <c r="AP186" s="8">
        <v>43102</v>
      </c>
      <c r="AQ186" s="8">
        <v>43102</v>
      </c>
      <c r="AR186" s="8">
        <v>43102</v>
      </c>
      <c r="AS186" s="8">
        <v>43102</v>
      </c>
      <c r="AT186" s="8">
        <v>43102</v>
      </c>
      <c r="AU186" s="8">
        <v>43102</v>
      </c>
      <c r="AV186" s="8">
        <v>43102</v>
      </c>
      <c r="AW186" s="8">
        <v>43102</v>
      </c>
      <c r="AX186" s="8">
        <v>46102</v>
      </c>
      <c r="AY186" s="8">
        <v>46102</v>
      </c>
      <c r="AZ186" s="8">
        <v>46102</v>
      </c>
      <c r="BA186" s="8">
        <v>46102</v>
      </c>
      <c r="BB186" s="9">
        <f t="shared" si="79"/>
        <v>46102</v>
      </c>
      <c r="BC186" s="8">
        <v>44223</v>
      </c>
      <c r="BD186" s="8">
        <v>44223</v>
      </c>
      <c r="BE186" s="8">
        <v>44223</v>
      </c>
      <c r="BF186" s="8">
        <v>44223</v>
      </c>
      <c r="BG186" s="8">
        <v>44223</v>
      </c>
      <c r="BH186" s="8">
        <v>44223</v>
      </c>
      <c r="BI186" s="8">
        <v>39715</v>
      </c>
      <c r="BJ186" s="8">
        <v>215810</v>
      </c>
      <c r="BK186" s="8">
        <v>857817</v>
      </c>
      <c r="BL186" s="8">
        <v>857817</v>
      </c>
      <c r="BM186" s="8">
        <v>857817</v>
      </c>
      <c r="BN186" s="8">
        <v>2289943</v>
      </c>
      <c r="BO186" s="9">
        <f t="shared" si="80"/>
        <v>2289943</v>
      </c>
      <c r="BP186" s="8">
        <v>0</v>
      </c>
      <c r="BQ186" s="8">
        <v>0</v>
      </c>
      <c r="BR186" s="8">
        <v>0</v>
      </c>
      <c r="BS186" s="8">
        <v>790528</v>
      </c>
      <c r="BT186" s="8">
        <v>803030</v>
      </c>
      <c r="BU186" s="8">
        <v>803030</v>
      </c>
      <c r="BV186" s="8">
        <v>805730</v>
      </c>
      <c r="BW186" s="8">
        <v>805730</v>
      </c>
      <c r="BX186" s="8">
        <v>3155194</v>
      </c>
      <c r="BY186" s="8">
        <v>3155194</v>
      </c>
      <c r="BZ186" s="8">
        <v>3155194</v>
      </c>
      <c r="CA186" s="8">
        <v>3155194</v>
      </c>
      <c r="CB186" s="9">
        <f t="shared" si="81"/>
        <v>3155194</v>
      </c>
      <c r="CC186" s="8">
        <v>33782</v>
      </c>
      <c r="CD186" s="8">
        <v>33782</v>
      </c>
      <c r="CE186" s="8">
        <v>33782</v>
      </c>
      <c r="CF186" s="8">
        <v>71669</v>
      </c>
      <c r="CG186" s="8">
        <v>164501</v>
      </c>
      <c r="CH186" s="8">
        <v>189962</v>
      </c>
      <c r="CI186" s="8">
        <v>189962</v>
      </c>
      <c r="CJ186" s="8">
        <v>261100</v>
      </c>
      <c r="CK186" s="8">
        <v>263984</v>
      </c>
      <c r="CL186" s="8">
        <v>423519</v>
      </c>
      <c r="CM186" s="8">
        <v>423519</v>
      </c>
      <c r="CN186" s="8">
        <v>423519</v>
      </c>
      <c r="CO186" s="9">
        <f t="shared" si="82"/>
        <v>423519</v>
      </c>
      <c r="CP186" s="8">
        <v>146225</v>
      </c>
      <c r="CQ186" s="8">
        <v>146225</v>
      </c>
      <c r="CR186" s="8">
        <v>146225</v>
      </c>
      <c r="CS186" s="8">
        <v>146225</v>
      </c>
      <c r="CT186" s="8">
        <v>1356754</v>
      </c>
      <c r="CU186" s="8">
        <v>1356754</v>
      </c>
      <c r="CV186" s="8">
        <v>1356754</v>
      </c>
      <c r="CW186" s="8">
        <v>1357754</v>
      </c>
      <c r="CX186" s="8">
        <v>1357754</v>
      </c>
      <c r="CY186" s="8">
        <v>1369754</v>
      </c>
      <c r="CZ186" s="8">
        <v>1334862</v>
      </c>
      <c r="DA186" s="8">
        <v>1334862</v>
      </c>
      <c r="DB186" s="9">
        <f t="shared" si="83"/>
        <v>1334862</v>
      </c>
      <c r="DC186" s="8">
        <v>206622</v>
      </c>
      <c r="DD186" s="8">
        <v>206622</v>
      </c>
      <c r="DE186" s="8">
        <v>206622</v>
      </c>
      <c r="DF186" s="8">
        <v>206622</v>
      </c>
      <c r="DG186" s="8">
        <v>206622</v>
      </c>
      <c r="DH186" s="8">
        <v>206622</v>
      </c>
      <c r="DI186" s="8">
        <v>220322</v>
      </c>
      <c r="DJ186" s="8">
        <v>220322</v>
      </c>
      <c r="DK186" s="8">
        <v>1274792</v>
      </c>
      <c r="DL186" s="8">
        <v>1274792</v>
      </c>
      <c r="DM186" s="8">
        <v>1274792</v>
      </c>
      <c r="DN186" s="8">
        <v>1274792</v>
      </c>
      <c r="DO186" s="9">
        <f t="shared" si="84"/>
        <v>1274792</v>
      </c>
      <c r="DP186" s="8">
        <v>219639</v>
      </c>
      <c r="DQ186" s="8">
        <v>453220</v>
      </c>
      <c r="DR186" s="8">
        <v>561356</v>
      </c>
      <c r="DS186" s="8">
        <v>563856</v>
      </c>
      <c r="DT186" s="8">
        <v>563856</v>
      </c>
      <c r="DU186" s="8">
        <v>631749</v>
      </c>
      <c r="DV186" s="8">
        <v>634029</v>
      </c>
      <c r="DW186" s="8">
        <v>649261</v>
      </c>
      <c r="DX186" s="8">
        <v>700280</v>
      </c>
      <c r="DY186" s="8">
        <v>700280</v>
      </c>
      <c r="DZ186" s="8">
        <v>700280</v>
      </c>
      <c r="EA186" s="8">
        <v>700280</v>
      </c>
      <c r="EB186" s="9">
        <f t="shared" si="85"/>
        <v>700280</v>
      </c>
      <c r="EC186" s="8">
        <v>201180</v>
      </c>
      <c r="ED186" s="8">
        <v>201180</v>
      </c>
      <c r="EE186" s="8">
        <v>338642</v>
      </c>
      <c r="EF186" s="8">
        <v>557108</v>
      </c>
      <c r="EG186" s="8">
        <v>1842209</v>
      </c>
      <c r="EH186" s="8">
        <v>1842209</v>
      </c>
      <c r="EI186" s="8">
        <v>1842209</v>
      </c>
      <c r="EJ186" s="8">
        <v>1916083</v>
      </c>
      <c r="EK186" s="8">
        <v>1916083</v>
      </c>
      <c r="EL186" s="8">
        <v>1918083</v>
      </c>
      <c r="EM186" s="8">
        <v>2409228</v>
      </c>
      <c r="EN186" s="8">
        <v>2287782</v>
      </c>
      <c r="EO186" s="9">
        <f t="shared" si="86"/>
        <v>2287782</v>
      </c>
      <c r="EP186" s="8">
        <v>209629</v>
      </c>
      <c r="EQ186" s="8">
        <v>1498945</v>
      </c>
      <c r="ER186" s="8">
        <v>1498945</v>
      </c>
      <c r="ES186" s="8">
        <v>2526550</v>
      </c>
      <c r="ET186" s="8">
        <v>2528050</v>
      </c>
      <c r="EU186" s="8">
        <v>2528050</v>
      </c>
      <c r="EV186" s="8">
        <v>2528050</v>
      </c>
      <c r="EW186" s="8">
        <v>2528050</v>
      </c>
      <c r="EX186" s="8">
        <v>2528050</v>
      </c>
      <c r="EY186" s="8">
        <v>2655160</v>
      </c>
      <c r="EZ186" s="8">
        <v>2655160</v>
      </c>
      <c r="FA186" s="8">
        <v>1296498</v>
      </c>
      <c r="FB186" s="9">
        <f t="shared" si="87"/>
        <v>1296498</v>
      </c>
      <c r="FC186" s="8">
        <v>216128</v>
      </c>
      <c r="FD186" s="8">
        <v>1522485</v>
      </c>
      <c r="FE186" s="8">
        <v>1522485</v>
      </c>
      <c r="FF186" s="8">
        <v>1522485</v>
      </c>
      <c r="FG186" s="8">
        <v>1522485</v>
      </c>
      <c r="FH186" s="8">
        <v>1522485</v>
      </c>
      <c r="FI186" s="8">
        <v>1593058</v>
      </c>
      <c r="FJ186" s="8"/>
      <c r="FK186" s="8"/>
      <c r="FL186" s="8"/>
      <c r="FM186" s="8"/>
      <c r="FN186" s="8"/>
      <c r="FO186" s="9">
        <f t="shared" si="88"/>
        <v>1593058</v>
      </c>
    </row>
    <row r="187" spans="2:171" ht="14.25" customHeight="1" thickBot="1" x14ac:dyDescent="0.35">
      <c r="B187" s="14" t="s">
        <v>84</v>
      </c>
      <c r="C187" s="16">
        <f t="shared" ref="C187:AH187" si="89">SUM(C155:C186)</f>
        <v>16323134</v>
      </c>
      <c r="D187" s="16">
        <f t="shared" si="89"/>
        <v>21758636</v>
      </c>
      <c r="E187" s="16">
        <f t="shared" si="89"/>
        <v>21758636</v>
      </c>
      <c r="F187" s="16">
        <f t="shared" si="89"/>
        <v>21758636</v>
      </c>
      <c r="G187" s="16">
        <f t="shared" si="89"/>
        <v>22329916</v>
      </c>
      <c r="H187" s="16">
        <f t="shared" si="89"/>
        <v>22535451</v>
      </c>
      <c r="I187" s="16">
        <f t="shared" si="89"/>
        <v>22813236</v>
      </c>
      <c r="J187" s="16">
        <f t="shared" si="89"/>
        <v>22813236</v>
      </c>
      <c r="K187" s="16">
        <f t="shared" si="89"/>
        <v>26301743</v>
      </c>
      <c r="L187" s="16">
        <f t="shared" si="89"/>
        <v>26712764</v>
      </c>
      <c r="M187" s="16">
        <f t="shared" si="89"/>
        <v>61868704</v>
      </c>
      <c r="N187" s="16">
        <f t="shared" si="89"/>
        <v>77718737</v>
      </c>
      <c r="O187" s="16">
        <f t="shared" si="89"/>
        <v>77718737</v>
      </c>
      <c r="P187" s="16">
        <f t="shared" si="89"/>
        <v>18808472</v>
      </c>
      <c r="Q187" s="16">
        <f t="shared" si="89"/>
        <v>18985758</v>
      </c>
      <c r="R187" s="16">
        <f t="shared" si="89"/>
        <v>26713338</v>
      </c>
      <c r="S187" s="16">
        <f t="shared" si="89"/>
        <v>43207962</v>
      </c>
      <c r="T187" s="16">
        <f t="shared" si="89"/>
        <v>52335341</v>
      </c>
      <c r="U187" s="16">
        <f t="shared" si="89"/>
        <v>61324627</v>
      </c>
      <c r="V187" s="16">
        <f t="shared" si="89"/>
        <v>61836319</v>
      </c>
      <c r="W187" s="16">
        <f t="shared" si="89"/>
        <v>65602862</v>
      </c>
      <c r="X187" s="16">
        <f t="shared" si="89"/>
        <v>66910612</v>
      </c>
      <c r="Y187" s="16">
        <f t="shared" si="89"/>
        <v>79143241</v>
      </c>
      <c r="Z187" s="16">
        <f t="shared" si="89"/>
        <v>99793151</v>
      </c>
      <c r="AA187" s="16">
        <f t="shared" si="89"/>
        <v>132379694</v>
      </c>
      <c r="AB187" s="16">
        <f t="shared" si="89"/>
        <v>132379694</v>
      </c>
      <c r="AC187" s="16">
        <f t="shared" si="89"/>
        <v>17648535</v>
      </c>
      <c r="AD187" s="16">
        <f t="shared" si="89"/>
        <v>24838535</v>
      </c>
      <c r="AE187" s="16">
        <f t="shared" si="89"/>
        <v>25591212</v>
      </c>
      <c r="AF187" s="16">
        <f t="shared" si="89"/>
        <v>26914921</v>
      </c>
      <c r="AG187" s="16">
        <f t="shared" si="89"/>
        <v>33721315</v>
      </c>
      <c r="AH187" s="16">
        <f t="shared" si="89"/>
        <v>33737692</v>
      </c>
      <c r="AI187" s="16">
        <f t="shared" ref="AI187:BN187" si="90">SUM(AI155:AI186)</f>
        <v>33876261</v>
      </c>
      <c r="AJ187" s="16">
        <f t="shared" si="90"/>
        <v>33873196</v>
      </c>
      <c r="AK187" s="16">
        <f t="shared" si="90"/>
        <v>35429033</v>
      </c>
      <c r="AL187" s="16">
        <f t="shared" si="90"/>
        <v>37049360</v>
      </c>
      <c r="AM187" s="16">
        <f t="shared" si="90"/>
        <v>40426512</v>
      </c>
      <c r="AN187" s="16">
        <f t="shared" si="90"/>
        <v>46926989</v>
      </c>
      <c r="AO187" s="16">
        <f t="shared" si="90"/>
        <v>46926989</v>
      </c>
      <c r="AP187" s="16">
        <f t="shared" si="90"/>
        <v>20739018</v>
      </c>
      <c r="AQ187" s="16">
        <f t="shared" si="90"/>
        <v>20739018</v>
      </c>
      <c r="AR187" s="16">
        <f t="shared" si="90"/>
        <v>20739018</v>
      </c>
      <c r="AS187" s="16">
        <f t="shared" si="90"/>
        <v>20739018</v>
      </c>
      <c r="AT187" s="16">
        <f t="shared" si="90"/>
        <v>20829568</v>
      </c>
      <c r="AU187" s="16">
        <f t="shared" si="90"/>
        <v>21058485</v>
      </c>
      <c r="AV187" s="16">
        <f t="shared" si="90"/>
        <v>21606535</v>
      </c>
      <c r="AW187" s="16">
        <f t="shared" si="90"/>
        <v>22549701</v>
      </c>
      <c r="AX187" s="16">
        <f t="shared" si="90"/>
        <v>25733451</v>
      </c>
      <c r="AY187" s="16">
        <f t="shared" si="90"/>
        <v>30802753</v>
      </c>
      <c r="AZ187" s="16">
        <f t="shared" si="90"/>
        <v>35701379</v>
      </c>
      <c r="BA187" s="16">
        <f t="shared" si="90"/>
        <v>36473301</v>
      </c>
      <c r="BB187" s="16">
        <f t="shared" si="90"/>
        <v>36473301</v>
      </c>
      <c r="BC187" s="16">
        <f t="shared" si="90"/>
        <v>27245228</v>
      </c>
      <c r="BD187" s="16">
        <f t="shared" si="90"/>
        <v>27249740</v>
      </c>
      <c r="BE187" s="16">
        <f t="shared" si="90"/>
        <v>27680775</v>
      </c>
      <c r="BF187" s="16">
        <f t="shared" si="90"/>
        <v>29013575</v>
      </c>
      <c r="BG187" s="16">
        <f t="shared" si="90"/>
        <v>29013575</v>
      </c>
      <c r="BH187" s="16">
        <f t="shared" si="90"/>
        <v>29684892</v>
      </c>
      <c r="BI187" s="16">
        <f t="shared" si="90"/>
        <v>26442064</v>
      </c>
      <c r="BJ187" s="16">
        <f t="shared" si="90"/>
        <v>36005179</v>
      </c>
      <c r="BK187" s="16">
        <f t="shared" si="90"/>
        <v>96442200</v>
      </c>
      <c r="BL187" s="16">
        <f t="shared" si="90"/>
        <v>100404981</v>
      </c>
      <c r="BM187" s="16">
        <f t="shared" si="90"/>
        <v>102145423</v>
      </c>
      <c r="BN187" s="16">
        <f t="shared" si="90"/>
        <v>117176454</v>
      </c>
      <c r="BO187" s="16">
        <f t="shared" ref="BO187:CT187" si="91">SUM(BO155:BO186)</f>
        <v>117176454</v>
      </c>
      <c r="BP187" s="16">
        <f t="shared" si="91"/>
        <v>44021237</v>
      </c>
      <c r="BQ187" s="16">
        <f t="shared" si="91"/>
        <v>44021237</v>
      </c>
      <c r="BR187" s="16">
        <f t="shared" si="91"/>
        <v>46286863</v>
      </c>
      <c r="BS187" s="16">
        <f t="shared" si="91"/>
        <v>46286863</v>
      </c>
      <c r="BT187" s="16">
        <f t="shared" si="91"/>
        <v>46612873</v>
      </c>
      <c r="BU187" s="16">
        <f t="shared" si="91"/>
        <v>46319987</v>
      </c>
      <c r="BV187" s="16">
        <f t="shared" si="91"/>
        <v>46977067</v>
      </c>
      <c r="BW187" s="16">
        <f t="shared" si="91"/>
        <v>53635199</v>
      </c>
      <c r="BX187" s="16">
        <f t="shared" si="91"/>
        <v>104942977</v>
      </c>
      <c r="BY187" s="16">
        <f t="shared" si="91"/>
        <v>104942977</v>
      </c>
      <c r="BZ187" s="16">
        <f t="shared" si="91"/>
        <v>105190907</v>
      </c>
      <c r="CA187" s="16">
        <f t="shared" si="91"/>
        <v>105320809</v>
      </c>
      <c r="CB187" s="16">
        <f t="shared" si="91"/>
        <v>105320809</v>
      </c>
      <c r="CC187" s="16">
        <f t="shared" si="91"/>
        <v>72524653</v>
      </c>
      <c r="CD187" s="16">
        <f t="shared" si="91"/>
        <v>72524653</v>
      </c>
      <c r="CE187" s="16">
        <f t="shared" si="91"/>
        <v>76695350</v>
      </c>
      <c r="CF187" s="16">
        <f t="shared" si="91"/>
        <v>99703999</v>
      </c>
      <c r="CG187" s="16">
        <f t="shared" si="91"/>
        <v>103357691</v>
      </c>
      <c r="CH187" s="16">
        <f t="shared" si="91"/>
        <v>121125097</v>
      </c>
      <c r="CI187" s="16">
        <f t="shared" si="91"/>
        <v>157318121</v>
      </c>
      <c r="CJ187" s="16">
        <f t="shared" si="91"/>
        <v>157318121</v>
      </c>
      <c r="CK187" s="16">
        <f t="shared" si="91"/>
        <v>166898432</v>
      </c>
      <c r="CL187" s="16">
        <f t="shared" si="91"/>
        <v>167965163</v>
      </c>
      <c r="CM187" s="16">
        <f t="shared" si="91"/>
        <v>168602353</v>
      </c>
      <c r="CN187" s="16">
        <f t="shared" si="91"/>
        <v>181126759</v>
      </c>
      <c r="CO187" s="16">
        <f t="shared" si="91"/>
        <v>181126759</v>
      </c>
      <c r="CP187" s="16">
        <f t="shared" si="91"/>
        <v>54574953</v>
      </c>
      <c r="CQ187" s="16">
        <f t="shared" si="91"/>
        <v>55474953</v>
      </c>
      <c r="CR187" s="16">
        <f t="shared" si="91"/>
        <v>56121533</v>
      </c>
      <c r="CS187" s="16">
        <f t="shared" si="91"/>
        <v>56121533</v>
      </c>
      <c r="CT187" s="16">
        <f t="shared" si="91"/>
        <v>56269752</v>
      </c>
      <c r="CU187" s="16">
        <f t="shared" ref="CU187:DZ187" si="92">SUM(CU155:CU186)</f>
        <v>56688972</v>
      </c>
      <c r="CV187" s="16">
        <f t="shared" si="92"/>
        <v>56917047</v>
      </c>
      <c r="CW187" s="16">
        <f t="shared" si="92"/>
        <v>78996181</v>
      </c>
      <c r="CX187" s="16">
        <f t="shared" si="92"/>
        <v>79799652</v>
      </c>
      <c r="CY187" s="16">
        <f t="shared" si="92"/>
        <v>86218391</v>
      </c>
      <c r="CZ187" s="16">
        <f t="shared" si="92"/>
        <v>86976883</v>
      </c>
      <c r="DA187" s="16">
        <f t="shared" si="92"/>
        <v>109139170</v>
      </c>
      <c r="DB187" s="16">
        <f t="shared" si="92"/>
        <v>109139170</v>
      </c>
      <c r="DC187" s="16">
        <f t="shared" si="92"/>
        <v>80547833</v>
      </c>
      <c r="DD187" s="16">
        <f t="shared" si="92"/>
        <v>80564734</v>
      </c>
      <c r="DE187" s="16">
        <f t="shared" si="92"/>
        <v>80566356</v>
      </c>
      <c r="DF187" s="16">
        <f t="shared" si="92"/>
        <v>80566356</v>
      </c>
      <c r="DG187" s="16">
        <f t="shared" si="92"/>
        <v>65635533</v>
      </c>
      <c r="DH187" s="16">
        <f t="shared" si="92"/>
        <v>52290063</v>
      </c>
      <c r="DI187" s="16">
        <f t="shared" si="92"/>
        <v>54303401</v>
      </c>
      <c r="DJ187" s="16">
        <f t="shared" si="92"/>
        <v>59038051</v>
      </c>
      <c r="DK187" s="16">
        <f t="shared" si="92"/>
        <v>79398229</v>
      </c>
      <c r="DL187" s="16">
        <f t="shared" si="92"/>
        <v>79719216</v>
      </c>
      <c r="DM187" s="16">
        <f t="shared" si="92"/>
        <v>80302979</v>
      </c>
      <c r="DN187" s="16">
        <f t="shared" si="92"/>
        <v>77766938</v>
      </c>
      <c r="DO187" s="16">
        <f t="shared" si="92"/>
        <v>77766938</v>
      </c>
      <c r="DP187" s="16">
        <f t="shared" si="92"/>
        <v>80801508</v>
      </c>
      <c r="DQ187" s="16">
        <f t="shared" si="92"/>
        <v>80801508</v>
      </c>
      <c r="DR187" s="16">
        <f t="shared" si="92"/>
        <v>80801508</v>
      </c>
      <c r="DS187" s="16">
        <f t="shared" si="92"/>
        <v>83737735</v>
      </c>
      <c r="DT187" s="16">
        <f t="shared" si="92"/>
        <v>83755967</v>
      </c>
      <c r="DU187" s="16">
        <f t="shared" si="92"/>
        <v>84719541</v>
      </c>
      <c r="DV187" s="16">
        <f t="shared" si="92"/>
        <v>85346260</v>
      </c>
      <c r="DW187" s="16">
        <f t="shared" si="92"/>
        <v>91147387</v>
      </c>
      <c r="DX187" s="16">
        <f t="shared" si="92"/>
        <v>92010215</v>
      </c>
      <c r="DY187" s="16">
        <f t="shared" si="92"/>
        <v>92075308</v>
      </c>
      <c r="DZ187" s="16">
        <f t="shared" si="92"/>
        <v>92075308</v>
      </c>
      <c r="EA187" s="16">
        <f t="shared" ref="EA187:FF187" si="93">SUM(EA155:EA186)</f>
        <v>92711647</v>
      </c>
      <c r="EB187" s="16">
        <f t="shared" si="93"/>
        <v>92711647</v>
      </c>
      <c r="EC187" s="16">
        <f t="shared" si="93"/>
        <v>57373065</v>
      </c>
      <c r="ED187" s="16">
        <f t="shared" si="93"/>
        <v>57591050</v>
      </c>
      <c r="EE187" s="16">
        <f t="shared" si="93"/>
        <v>57617290</v>
      </c>
      <c r="EF187" s="16">
        <f t="shared" si="93"/>
        <v>57635817</v>
      </c>
      <c r="EG187" s="16">
        <f t="shared" si="93"/>
        <v>57635817</v>
      </c>
      <c r="EH187" s="16">
        <f t="shared" si="93"/>
        <v>60669183</v>
      </c>
      <c r="EI187" s="16">
        <f t="shared" si="93"/>
        <v>60715163</v>
      </c>
      <c r="EJ187" s="16">
        <f t="shared" si="93"/>
        <v>61138914</v>
      </c>
      <c r="EK187" s="16">
        <f t="shared" si="93"/>
        <v>61577011</v>
      </c>
      <c r="EL187" s="16">
        <f t="shared" si="93"/>
        <v>62406783</v>
      </c>
      <c r="EM187" s="16">
        <f t="shared" si="93"/>
        <v>62191808</v>
      </c>
      <c r="EN187" s="16">
        <f t="shared" si="93"/>
        <v>49819853</v>
      </c>
      <c r="EO187" s="16">
        <f t="shared" si="93"/>
        <v>49819853</v>
      </c>
      <c r="EP187" s="16">
        <f t="shared" si="93"/>
        <v>67643316</v>
      </c>
      <c r="EQ187" s="16">
        <f t="shared" si="93"/>
        <v>68153529</v>
      </c>
      <c r="ER187" s="16">
        <f t="shared" si="93"/>
        <v>68153529</v>
      </c>
      <c r="ES187" s="16">
        <f t="shared" si="93"/>
        <v>68242834</v>
      </c>
      <c r="ET187" s="16">
        <f t="shared" si="93"/>
        <v>68700091</v>
      </c>
      <c r="EU187" s="16">
        <f t="shared" si="93"/>
        <v>68720091</v>
      </c>
      <c r="EV187" s="16">
        <f t="shared" si="93"/>
        <v>68720091</v>
      </c>
      <c r="EW187" s="16">
        <f t="shared" si="93"/>
        <v>68896704</v>
      </c>
      <c r="EX187" s="16">
        <f t="shared" si="93"/>
        <v>68896724</v>
      </c>
      <c r="EY187" s="16">
        <f t="shared" si="93"/>
        <v>69023831</v>
      </c>
      <c r="EZ187" s="16">
        <f t="shared" si="93"/>
        <v>68693240</v>
      </c>
      <c r="FA187" s="16">
        <f t="shared" si="93"/>
        <v>62241468</v>
      </c>
      <c r="FB187" s="16">
        <f t="shared" si="93"/>
        <v>62241468</v>
      </c>
      <c r="FC187" s="16">
        <f t="shared" si="93"/>
        <v>68987694</v>
      </c>
      <c r="FD187" s="16">
        <f t="shared" si="93"/>
        <v>68987694</v>
      </c>
      <c r="FE187" s="16">
        <f t="shared" si="93"/>
        <v>69006999</v>
      </c>
      <c r="FF187" s="16">
        <f t="shared" si="93"/>
        <v>69006999</v>
      </c>
      <c r="FG187" s="16">
        <f t="shared" ref="FG187:GL187" si="94">SUM(FG155:FG186)</f>
        <v>45683963</v>
      </c>
      <c r="FH187" s="16">
        <f t="shared" si="94"/>
        <v>45683963</v>
      </c>
      <c r="FI187" s="16">
        <f t="shared" si="94"/>
        <v>45683963</v>
      </c>
      <c r="FJ187" s="16">
        <f t="shared" si="94"/>
        <v>0</v>
      </c>
      <c r="FK187" s="16">
        <f t="shared" si="94"/>
        <v>0</v>
      </c>
      <c r="FL187" s="16">
        <f t="shared" si="94"/>
        <v>0</v>
      </c>
      <c r="FM187" s="16">
        <f t="shared" si="94"/>
        <v>0</v>
      </c>
      <c r="FN187" s="16">
        <f t="shared" si="94"/>
        <v>0</v>
      </c>
      <c r="FO187" s="16">
        <f t="shared" si="94"/>
        <v>45683963</v>
      </c>
    </row>
    <row r="188" spans="2:171" ht="14.25" customHeight="1" x14ac:dyDescent="0.3">
      <c r="B188" s="4" t="s">
        <v>85</v>
      </c>
    </row>
    <row r="189" spans="2:171" ht="14.25" customHeight="1" x14ac:dyDescent="0.3">
      <c r="C189" s="38" t="s">
        <v>4</v>
      </c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8" t="s">
        <v>5</v>
      </c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8" t="s">
        <v>6</v>
      </c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8" t="s">
        <v>7</v>
      </c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8" t="s">
        <v>8</v>
      </c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8" t="s">
        <v>9</v>
      </c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8" t="s">
        <v>10</v>
      </c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8" t="s">
        <v>11</v>
      </c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8" t="s">
        <v>12</v>
      </c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8" t="s">
        <v>13</v>
      </c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8" t="s">
        <v>14</v>
      </c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8" t="s">
        <v>15</v>
      </c>
      <c r="EQ189" s="39"/>
      <c r="ER189" s="39"/>
      <c r="ES189" s="39"/>
      <c r="ET189" s="39"/>
      <c r="EU189" s="39"/>
      <c r="EV189" s="39"/>
      <c r="EW189" s="39"/>
      <c r="EX189" s="39"/>
      <c r="EY189" s="39"/>
      <c r="EZ189" s="39"/>
      <c r="FA189" s="39"/>
      <c r="FB189" s="39"/>
      <c r="FC189" s="38" t="s">
        <v>16</v>
      </c>
      <c r="FD189" s="39"/>
      <c r="FE189" s="39"/>
      <c r="FF189" s="39"/>
      <c r="FG189" s="39"/>
      <c r="FH189" s="39"/>
      <c r="FI189" s="39"/>
      <c r="FJ189" s="39"/>
      <c r="FK189" s="39"/>
      <c r="FL189" s="39"/>
      <c r="FM189" s="39"/>
      <c r="FN189" s="39"/>
      <c r="FO189" s="39"/>
    </row>
    <row r="190" spans="2:171" ht="14.25" customHeight="1" x14ac:dyDescent="0.3">
      <c r="B190" s="5" t="s">
        <v>17</v>
      </c>
      <c r="C190" s="6" t="s">
        <v>18</v>
      </c>
      <c r="D190" s="6" t="s">
        <v>19</v>
      </c>
      <c r="E190" s="6" t="s">
        <v>20</v>
      </c>
      <c r="F190" s="6" t="s">
        <v>21</v>
      </c>
      <c r="G190" s="6" t="s">
        <v>22</v>
      </c>
      <c r="H190" s="6" t="s">
        <v>23</v>
      </c>
      <c r="I190" s="6" t="s">
        <v>24</v>
      </c>
      <c r="J190" s="6" t="s">
        <v>25</v>
      </c>
      <c r="K190" s="6" t="s">
        <v>26</v>
      </c>
      <c r="L190" s="6" t="s">
        <v>27</v>
      </c>
      <c r="M190" s="6" t="s">
        <v>28</v>
      </c>
      <c r="N190" s="6" t="s">
        <v>29</v>
      </c>
      <c r="O190" s="6" t="s">
        <v>30</v>
      </c>
      <c r="P190" s="6" t="s">
        <v>18</v>
      </c>
      <c r="Q190" s="6" t="s">
        <v>19</v>
      </c>
      <c r="R190" s="6" t="s">
        <v>20</v>
      </c>
      <c r="S190" s="6" t="s">
        <v>21</v>
      </c>
      <c r="T190" s="6" t="s">
        <v>22</v>
      </c>
      <c r="U190" s="6" t="s">
        <v>23</v>
      </c>
      <c r="V190" s="6" t="s">
        <v>24</v>
      </c>
      <c r="W190" s="6" t="s">
        <v>25</v>
      </c>
      <c r="X190" s="6" t="s">
        <v>26</v>
      </c>
      <c r="Y190" s="6" t="s">
        <v>27</v>
      </c>
      <c r="Z190" s="6" t="s">
        <v>28</v>
      </c>
      <c r="AA190" s="6" t="s">
        <v>29</v>
      </c>
      <c r="AB190" s="6" t="s">
        <v>31</v>
      </c>
      <c r="AC190" s="6" t="s">
        <v>18</v>
      </c>
      <c r="AD190" s="6" t="s">
        <v>19</v>
      </c>
      <c r="AE190" s="6" t="s">
        <v>20</v>
      </c>
      <c r="AF190" s="6" t="s">
        <v>21</v>
      </c>
      <c r="AG190" s="6" t="s">
        <v>22</v>
      </c>
      <c r="AH190" s="6" t="s">
        <v>23</v>
      </c>
      <c r="AI190" s="6" t="s">
        <v>24</v>
      </c>
      <c r="AJ190" s="6" t="s">
        <v>25</v>
      </c>
      <c r="AK190" s="6" t="s">
        <v>26</v>
      </c>
      <c r="AL190" s="6" t="s">
        <v>27</v>
      </c>
      <c r="AM190" s="6" t="s">
        <v>28</v>
      </c>
      <c r="AN190" s="6" t="s">
        <v>29</v>
      </c>
      <c r="AO190" s="6" t="s">
        <v>32</v>
      </c>
      <c r="AP190" s="6" t="s">
        <v>18</v>
      </c>
      <c r="AQ190" s="6" t="s">
        <v>19</v>
      </c>
      <c r="AR190" s="6" t="s">
        <v>20</v>
      </c>
      <c r="AS190" s="6" t="s">
        <v>21</v>
      </c>
      <c r="AT190" s="6" t="s">
        <v>22</v>
      </c>
      <c r="AU190" s="6" t="s">
        <v>23</v>
      </c>
      <c r="AV190" s="6" t="s">
        <v>24</v>
      </c>
      <c r="AW190" s="6" t="s">
        <v>25</v>
      </c>
      <c r="AX190" s="6" t="s">
        <v>26</v>
      </c>
      <c r="AY190" s="6" t="s">
        <v>27</v>
      </c>
      <c r="AZ190" s="6" t="s">
        <v>28</v>
      </c>
      <c r="BA190" s="6" t="s">
        <v>29</v>
      </c>
      <c r="BB190" s="6" t="s">
        <v>33</v>
      </c>
      <c r="BC190" s="6" t="s">
        <v>18</v>
      </c>
      <c r="BD190" s="6" t="s">
        <v>19</v>
      </c>
      <c r="BE190" s="6" t="s">
        <v>20</v>
      </c>
      <c r="BF190" s="6" t="s">
        <v>21</v>
      </c>
      <c r="BG190" s="6" t="s">
        <v>22</v>
      </c>
      <c r="BH190" s="6" t="s">
        <v>23</v>
      </c>
      <c r="BI190" s="6" t="s">
        <v>24</v>
      </c>
      <c r="BJ190" s="6" t="s">
        <v>25</v>
      </c>
      <c r="BK190" s="6" t="s">
        <v>26</v>
      </c>
      <c r="BL190" s="6" t="s">
        <v>27</v>
      </c>
      <c r="BM190" s="6" t="s">
        <v>28</v>
      </c>
      <c r="BN190" s="6" t="s">
        <v>29</v>
      </c>
      <c r="BO190" s="6" t="s">
        <v>34</v>
      </c>
      <c r="BP190" s="6" t="s">
        <v>18</v>
      </c>
      <c r="BQ190" s="6" t="s">
        <v>19</v>
      </c>
      <c r="BR190" s="6" t="s">
        <v>20</v>
      </c>
      <c r="BS190" s="6" t="s">
        <v>21</v>
      </c>
      <c r="BT190" s="6" t="s">
        <v>22</v>
      </c>
      <c r="BU190" s="6" t="s">
        <v>23</v>
      </c>
      <c r="BV190" s="6" t="s">
        <v>24</v>
      </c>
      <c r="BW190" s="6" t="s">
        <v>25</v>
      </c>
      <c r="BX190" s="6" t="s">
        <v>26</v>
      </c>
      <c r="BY190" s="6" t="s">
        <v>27</v>
      </c>
      <c r="BZ190" s="6" t="s">
        <v>28</v>
      </c>
      <c r="CA190" s="6" t="s">
        <v>29</v>
      </c>
      <c r="CB190" s="6" t="s">
        <v>35</v>
      </c>
      <c r="CC190" s="6" t="s">
        <v>18</v>
      </c>
      <c r="CD190" s="6" t="s">
        <v>19</v>
      </c>
      <c r="CE190" s="6" t="s">
        <v>20</v>
      </c>
      <c r="CF190" s="6" t="s">
        <v>21</v>
      </c>
      <c r="CG190" s="6" t="s">
        <v>22</v>
      </c>
      <c r="CH190" s="6" t="s">
        <v>23</v>
      </c>
      <c r="CI190" s="6" t="s">
        <v>24</v>
      </c>
      <c r="CJ190" s="6" t="s">
        <v>25</v>
      </c>
      <c r="CK190" s="6" t="s">
        <v>26</v>
      </c>
      <c r="CL190" s="6" t="s">
        <v>27</v>
      </c>
      <c r="CM190" s="6" t="s">
        <v>28</v>
      </c>
      <c r="CN190" s="6" t="s">
        <v>29</v>
      </c>
      <c r="CO190" s="6" t="s">
        <v>36</v>
      </c>
      <c r="CP190" s="6" t="s">
        <v>18</v>
      </c>
      <c r="CQ190" s="6" t="s">
        <v>19</v>
      </c>
      <c r="CR190" s="6" t="s">
        <v>20</v>
      </c>
      <c r="CS190" s="6" t="s">
        <v>21</v>
      </c>
      <c r="CT190" s="6" t="s">
        <v>22</v>
      </c>
      <c r="CU190" s="6" t="s">
        <v>23</v>
      </c>
      <c r="CV190" s="6" t="s">
        <v>24</v>
      </c>
      <c r="CW190" s="6" t="s">
        <v>25</v>
      </c>
      <c r="CX190" s="6" t="s">
        <v>26</v>
      </c>
      <c r="CY190" s="6" t="s">
        <v>27</v>
      </c>
      <c r="CZ190" s="6" t="s">
        <v>28</v>
      </c>
      <c r="DA190" s="6" t="s">
        <v>29</v>
      </c>
      <c r="DB190" s="6" t="s">
        <v>37</v>
      </c>
      <c r="DC190" s="6" t="s">
        <v>18</v>
      </c>
      <c r="DD190" s="6" t="s">
        <v>19</v>
      </c>
      <c r="DE190" s="6" t="s">
        <v>20</v>
      </c>
      <c r="DF190" s="6" t="s">
        <v>21</v>
      </c>
      <c r="DG190" s="6" t="s">
        <v>22</v>
      </c>
      <c r="DH190" s="6" t="s">
        <v>23</v>
      </c>
      <c r="DI190" s="6" t="s">
        <v>24</v>
      </c>
      <c r="DJ190" s="6" t="s">
        <v>25</v>
      </c>
      <c r="DK190" s="6" t="s">
        <v>26</v>
      </c>
      <c r="DL190" s="6" t="s">
        <v>27</v>
      </c>
      <c r="DM190" s="6" t="s">
        <v>28</v>
      </c>
      <c r="DN190" s="6" t="s">
        <v>29</v>
      </c>
      <c r="DO190" s="6" t="s">
        <v>38</v>
      </c>
      <c r="DP190" s="6" t="s">
        <v>18</v>
      </c>
      <c r="DQ190" s="6" t="s">
        <v>19</v>
      </c>
      <c r="DR190" s="6" t="s">
        <v>20</v>
      </c>
      <c r="DS190" s="6" t="s">
        <v>21</v>
      </c>
      <c r="DT190" s="6" t="s">
        <v>22</v>
      </c>
      <c r="DU190" s="6" t="s">
        <v>23</v>
      </c>
      <c r="DV190" s="6" t="s">
        <v>24</v>
      </c>
      <c r="DW190" s="6" t="s">
        <v>25</v>
      </c>
      <c r="DX190" s="6" t="s">
        <v>26</v>
      </c>
      <c r="DY190" s="6" t="s">
        <v>27</v>
      </c>
      <c r="DZ190" s="6" t="s">
        <v>28</v>
      </c>
      <c r="EA190" s="6" t="s">
        <v>29</v>
      </c>
      <c r="EB190" s="6" t="s">
        <v>39</v>
      </c>
      <c r="EC190" s="6" t="s">
        <v>18</v>
      </c>
      <c r="ED190" s="6" t="s">
        <v>19</v>
      </c>
      <c r="EE190" s="6" t="s">
        <v>20</v>
      </c>
      <c r="EF190" s="6" t="s">
        <v>21</v>
      </c>
      <c r="EG190" s="6" t="s">
        <v>22</v>
      </c>
      <c r="EH190" s="6" t="s">
        <v>23</v>
      </c>
      <c r="EI190" s="6" t="s">
        <v>24</v>
      </c>
      <c r="EJ190" s="6" t="s">
        <v>25</v>
      </c>
      <c r="EK190" s="6" t="s">
        <v>26</v>
      </c>
      <c r="EL190" s="6" t="s">
        <v>27</v>
      </c>
      <c r="EM190" s="6" t="s">
        <v>28</v>
      </c>
      <c r="EN190" s="6" t="s">
        <v>29</v>
      </c>
      <c r="EO190" s="6" t="s">
        <v>40</v>
      </c>
      <c r="EP190" s="6" t="s">
        <v>18</v>
      </c>
      <c r="EQ190" s="6" t="s">
        <v>19</v>
      </c>
      <c r="ER190" s="6" t="s">
        <v>20</v>
      </c>
      <c r="ES190" s="6" t="s">
        <v>21</v>
      </c>
      <c r="ET190" s="6" t="s">
        <v>22</v>
      </c>
      <c r="EU190" s="6" t="s">
        <v>23</v>
      </c>
      <c r="EV190" s="6" t="s">
        <v>24</v>
      </c>
      <c r="EW190" s="6" t="s">
        <v>25</v>
      </c>
      <c r="EX190" s="6" t="s">
        <v>26</v>
      </c>
      <c r="EY190" s="6" t="s">
        <v>27</v>
      </c>
      <c r="EZ190" s="6" t="s">
        <v>28</v>
      </c>
      <c r="FA190" s="6" t="s">
        <v>29</v>
      </c>
      <c r="FB190" s="6" t="s">
        <v>41</v>
      </c>
      <c r="FC190" s="6" t="s">
        <v>18</v>
      </c>
      <c r="FD190" s="6" t="s">
        <v>19</v>
      </c>
      <c r="FE190" s="6" t="s">
        <v>20</v>
      </c>
      <c r="FF190" s="6" t="s">
        <v>21</v>
      </c>
      <c r="FG190" s="6" t="s">
        <v>22</v>
      </c>
      <c r="FH190" s="6" t="s">
        <v>23</v>
      </c>
      <c r="FI190" s="6" t="s">
        <v>24</v>
      </c>
      <c r="FJ190" s="6" t="s">
        <v>25</v>
      </c>
      <c r="FK190" s="6" t="s">
        <v>26</v>
      </c>
      <c r="FL190" s="6" t="s">
        <v>27</v>
      </c>
      <c r="FM190" s="6" t="s">
        <v>28</v>
      </c>
      <c r="FN190" s="6" t="s">
        <v>29</v>
      </c>
      <c r="FO190" s="6" t="s">
        <v>42</v>
      </c>
    </row>
    <row r="191" spans="2:171" ht="14.25" customHeight="1" x14ac:dyDescent="0.3">
      <c r="B191" s="7" t="s">
        <v>43</v>
      </c>
      <c r="C191" s="8">
        <v>10118</v>
      </c>
      <c r="D191" s="8">
        <v>41755</v>
      </c>
      <c r="E191" s="8">
        <v>395934</v>
      </c>
      <c r="F191" s="8">
        <v>438597</v>
      </c>
      <c r="G191" s="8">
        <v>473245</v>
      </c>
      <c r="H191" s="8">
        <v>553292</v>
      </c>
      <c r="I191" s="8">
        <v>596322</v>
      </c>
      <c r="J191" s="8">
        <v>732540</v>
      </c>
      <c r="K191" s="8">
        <v>980997</v>
      </c>
      <c r="L191" s="8">
        <v>1061248</v>
      </c>
      <c r="M191" s="8">
        <v>1203613</v>
      </c>
      <c r="N191" s="8">
        <v>1705072</v>
      </c>
      <c r="O191" s="9">
        <f t="shared" ref="O191:O222" si="95">N191</f>
        <v>1705072</v>
      </c>
      <c r="P191" s="8">
        <v>234289</v>
      </c>
      <c r="Q191" s="8">
        <v>280864</v>
      </c>
      <c r="R191" s="8">
        <v>389212</v>
      </c>
      <c r="S191" s="8">
        <v>392496</v>
      </c>
      <c r="T191" s="8">
        <v>611271</v>
      </c>
      <c r="U191" s="8">
        <v>1083953</v>
      </c>
      <c r="V191" s="8">
        <v>1162762</v>
      </c>
      <c r="W191" s="8">
        <v>1169373</v>
      </c>
      <c r="X191" s="8">
        <v>1337490</v>
      </c>
      <c r="Y191" s="8">
        <v>1497095</v>
      </c>
      <c r="Z191" s="8">
        <v>1550823</v>
      </c>
      <c r="AA191" s="8">
        <v>2541880</v>
      </c>
      <c r="AB191" s="9">
        <f t="shared" ref="AB191:AB222" si="96">AA191</f>
        <v>2541880</v>
      </c>
      <c r="AC191" s="8">
        <v>296297</v>
      </c>
      <c r="AD191" s="8">
        <v>366244</v>
      </c>
      <c r="AE191" s="8">
        <v>530044</v>
      </c>
      <c r="AF191" s="8">
        <v>667360</v>
      </c>
      <c r="AG191" s="8">
        <v>884182</v>
      </c>
      <c r="AH191" s="8">
        <v>941102</v>
      </c>
      <c r="AI191" s="8">
        <v>1118959</v>
      </c>
      <c r="AJ191" s="8">
        <v>1260279</v>
      </c>
      <c r="AK191" s="8">
        <v>1329427</v>
      </c>
      <c r="AL191" s="8">
        <v>1451411</v>
      </c>
      <c r="AM191" s="8">
        <v>1484515</v>
      </c>
      <c r="AN191" s="8">
        <v>2202137</v>
      </c>
      <c r="AO191" s="9">
        <f t="shared" ref="AO191:AO222" si="97">AN191</f>
        <v>2202137</v>
      </c>
      <c r="AP191" s="8">
        <v>49620</v>
      </c>
      <c r="AQ191" s="8">
        <v>112581</v>
      </c>
      <c r="AR191" s="8">
        <v>336577</v>
      </c>
      <c r="AS191" s="8">
        <v>379328</v>
      </c>
      <c r="AT191" s="8">
        <v>387962</v>
      </c>
      <c r="AU191" s="8">
        <v>562084</v>
      </c>
      <c r="AV191" s="8">
        <v>615047</v>
      </c>
      <c r="AW191" s="8">
        <v>764328</v>
      </c>
      <c r="AX191" s="8">
        <v>843215</v>
      </c>
      <c r="AY191" s="8">
        <v>936541</v>
      </c>
      <c r="AZ191" s="8">
        <v>1097412</v>
      </c>
      <c r="BA191" s="8">
        <v>2144094</v>
      </c>
      <c r="BB191" s="9">
        <f t="shared" ref="BB191:BB222" si="98">BA191</f>
        <v>2144094</v>
      </c>
      <c r="BC191" s="8">
        <v>11330</v>
      </c>
      <c r="BD191" s="8">
        <v>256250</v>
      </c>
      <c r="BE191" s="8">
        <v>307465</v>
      </c>
      <c r="BF191" s="8">
        <v>359216</v>
      </c>
      <c r="BG191" s="8">
        <v>492849</v>
      </c>
      <c r="BH191" s="8">
        <v>654592</v>
      </c>
      <c r="BI191" s="8">
        <v>722270</v>
      </c>
      <c r="BJ191" s="8">
        <v>749076</v>
      </c>
      <c r="BK191" s="8">
        <v>756398</v>
      </c>
      <c r="BL191" s="8">
        <v>779064</v>
      </c>
      <c r="BM191" s="8">
        <v>815527</v>
      </c>
      <c r="BN191" s="8">
        <v>1832630</v>
      </c>
      <c r="BO191" s="9">
        <f t="shared" ref="BO191:BO222" si="99">BN191</f>
        <v>1832630</v>
      </c>
      <c r="BP191" s="8">
        <v>20973</v>
      </c>
      <c r="BQ191" s="8">
        <v>38684</v>
      </c>
      <c r="BR191" s="8">
        <v>50595</v>
      </c>
      <c r="BS191" s="8">
        <v>52541</v>
      </c>
      <c r="BT191" s="8">
        <v>54303</v>
      </c>
      <c r="BU191" s="8">
        <v>57528</v>
      </c>
      <c r="BV191" s="8">
        <v>61788</v>
      </c>
      <c r="BW191" s="8">
        <v>62832</v>
      </c>
      <c r="BX191" s="8">
        <v>78213</v>
      </c>
      <c r="BY191" s="8">
        <v>91084</v>
      </c>
      <c r="BZ191" s="8">
        <v>94232</v>
      </c>
      <c r="CA191" s="8">
        <v>414610</v>
      </c>
      <c r="CB191" s="9">
        <f t="shared" ref="CB191:CB222" si="100">CA191</f>
        <v>414610</v>
      </c>
      <c r="CC191" s="8">
        <v>48185</v>
      </c>
      <c r="CD191" s="8">
        <v>62496</v>
      </c>
      <c r="CE191" s="8">
        <v>64641</v>
      </c>
      <c r="CF191" s="8">
        <v>64641</v>
      </c>
      <c r="CG191" s="8">
        <v>64641</v>
      </c>
      <c r="CH191" s="8">
        <v>221638</v>
      </c>
      <c r="CI191" s="8">
        <v>222542</v>
      </c>
      <c r="CJ191" s="8">
        <v>228257</v>
      </c>
      <c r="CK191" s="8">
        <v>253516</v>
      </c>
      <c r="CL191" s="8">
        <v>314141</v>
      </c>
      <c r="CM191" s="8">
        <v>1037111</v>
      </c>
      <c r="CN191" s="8">
        <v>1766253</v>
      </c>
      <c r="CO191" s="9">
        <f t="shared" ref="CO191:CO222" si="101">CN191</f>
        <v>1766253</v>
      </c>
      <c r="CP191" s="8">
        <v>2206</v>
      </c>
      <c r="CQ191" s="8">
        <v>2206</v>
      </c>
      <c r="CR191" s="8">
        <v>15228</v>
      </c>
      <c r="CS191" s="8">
        <v>65203</v>
      </c>
      <c r="CT191" s="8">
        <v>262225</v>
      </c>
      <c r="CU191" s="8">
        <v>401055</v>
      </c>
      <c r="CV191" s="8">
        <v>465494</v>
      </c>
      <c r="CW191" s="8">
        <v>498622</v>
      </c>
      <c r="CX191" s="8">
        <v>564762</v>
      </c>
      <c r="CY191" s="8">
        <v>624333</v>
      </c>
      <c r="CZ191" s="8">
        <v>683715</v>
      </c>
      <c r="DA191" s="8">
        <v>1710920</v>
      </c>
      <c r="DB191" s="9">
        <f t="shared" ref="DB191:DB222" si="102">DA191</f>
        <v>1710920</v>
      </c>
      <c r="DC191" s="8">
        <v>0</v>
      </c>
      <c r="DD191" s="8">
        <v>49204</v>
      </c>
      <c r="DE191" s="8">
        <v>67301</v>
      </c>
      <c r="DF191" s="8">
        <v>67301</v>
      </c>
      <c r="DG191" s="8">
        <v>89474</v>
      </c>
      <c r="DH191" s="8">
        <v>91209</v>
      </c>
      <c r="DI191" s="8">
        <v>99748</v>
      </c>
      <c r="DJ191" s="8">
        <v>131689</v>
      </c>
      <c r="DK191" s="8">
        <v>189236</v>
      </c>
      <c r="DL191" s="8">
        <v>271566</v>
      </c>
      <c r="DM191" s="8">
        <v>292561</v>
      </c>
      <c r="DN191" s="8">
        <v>1265060</v>
      </c>
      <c r="DO191" s="9">
        <f t="shared" ref="DO191:DO222" si="103">DN191</f>
        <v>1265060</v>
      </c>
      <c r="DP191" s="8">
        <v>54994</v>
      </c>
      <c r="DQ191" s="8">
        <v>54994</v>
      </c>
      <c r="DR191" s="8">
        <v>83552</v>
      </c>
      <c r="DS191" s="8">
        <v>112261</v>
      </c>
      <c r="DT191" s="8">
        <v>172047</v>
      </c>
      <c r="DU191" s="8">
        <v>194204</v>
      </c>
      <c r="DV191" s="8">
        <v>243359</v>
      </c>
      <c r="DW191" s="8">
        <v>454804</v>
      </c>
      <c r="DX191" s="8">
        <v>703948</v>
      </c>
      <c r="DY191" s="8">
        <v>837804</v>
      </c>
      <c r="DZ191" s="8">
        <v>1221484</v>
      </c>
      <c r="EA191" s="8">
        <v>2191029</v>
      </c>
      <c r="EB191" s="9">
        <f t="shared" ref="EB191:EB222" si="104">EA191</f>
        <v>2191029</v>
      </c>
      <c r="EC191" s="8">
        <v>204322</v>
      </c>
      <c r="ED191" s="8">
        <v>288294</v>
      </c>
      <c r="EE191" s="8">
        <v>300935</v>
      </c>
      <c r="EF191" s="8">
        <v>300935</v>
      </c>
      <c r="EG191" s="8">
        <v>586628</v>
      </c>
      <c r="EH191" s="8">
        <v>599154</v>
      </c>
      <c r="EI191" s="8">
        <v>681921</v>
      </c>
      <c r="EJ191" s="8">
        <v>692831</v>
      </c>
      <c r="EK191" s="8">
        <v>925855</v>
      </c>
      <c r="EL191" s="8">
        <v>1032205</v>
      </c>
      <c r="EM191" s="8">
        <v>1040938</v>
      </c>
      <c r="EN191" s="8">
        <v>1866164</v>
      </c>
      <c r="EO191" s="9">
        <f t="shared" ref="EO191:EO222" si="105">EN191</f>
        <v>1866164</v>
      </c>
      <c r="EP191" s="8">
        <v>5763</v>
      </c>
      <c r="EQ191" s="8">
        <v>76721</v>
      </c>
      <c r="ER191" s="8">
        <v>77970</v>
      </c>
      <c r="ES191" s="8">
        <v>123568</v>
      </c>
      <c r="ET191" s="8">
        <v>123568</v>
      </c>
      <c r="EU191" s="8">
        <v>123891</v>
      </c>
      <c r="EV191" s="8">
        <v>202838</v>
      </c>
      <c r="EW191" s="8">
        <v>289738</v>
      </c>
      <c r="EX191" s="8">
        <v>306386</v>
      </c>
      <c r="EY191" s="8">
        <v>791612</v>
      </c>
      <c r="EZ191" s="8">
        <v>1263445</v>
      </c>
      <c r="FA191" s="8">
        <v>1552207</v>
      </c>
      <c r="FB191" s="9">
        <f t="shared" ref="FB191:FB222" si="106">FA191</f>
        <v>1552207</v>
      </c>
      <c r="FC191" s="8">
        <v>29482</v>
      </c>
      <c r="FD191" s="8">
        <v>119876</v>
      </c>
      <c r="FE191" s="8">
        <v>151962</v>
      </c>
      <c r="FF191" s="8">
        <v>186702</v>
      </c>
      <c r="FG191" s="8">
        <v>197519</v>
      </c>
      <c r="FH191" s="8">
        <v>197519</v>
      </c>
      <c r="FI191" s="8">
        <v>197519</v>
      </c>
      <c r="FJ191" s="8"/>
      <c r="FK191" s="8"/>
      <c r="FL191" s="8"/>
      <c r="FM191" s="8"/>
      <c r="FN191" s="8"/>
      <c r="FO191" s="9">
        <f t="shared" ref="FO191:FO222" si="107">FI191</f>
        <v>197519</v>
      </c>
    </row>
    <row r="192" spans="2:171" ht="14.25" customHeight="1" x14ac:dyDescent="0.3">
      <c r="B192" s="7" t="s">
        <v>44</v>
      </c>
      <c r="C192" s="8">
        <v>1396</v>
      </c>
      <c r="D192" s="8">
        <v>9124</v>
      </c>
      <c r="E192" s="8">
        <v>35586</v>
      </c>
      <c r="F192" s="8">
        <v>78695</v>
      </c>
      <c r="G192" s="8">
        <v>256019</v>
      </c>
      <c r="H192" s="8">
        <v>316297</v>
      </c>
      <c r="I192" s="8">
        <v>418072</v>
      </c>
      <c r="J192" s="8">
        <v>475809</v>
      </c>
      <c r="K192" s="8">
        <v>536348</v>
      </c>
      <c r="L192" s="8">
        <v>727469</v>
      </c>
      <c r="M192" s="8">
        <v>950618</v>
      </c>
      <c r="N192" s="8">
        <v>3450310</v>
      </c>
      <c r="O192" s="9">
        <f t="shared" si="95"/>
        <v>3450310</v>
      </c>
      <c r="P192" s="8">
        <v>12237</v>
      </c>
      <c r="Q192" s="8">
        <v>39921</v>
      </c>
      <c r="R192" s="8">
        <v>88492</v>
      </c>
      <c r="S192" s="8">
        <v>393010</v>
      </c>
      <c r="T192" s="8">
        <v>441357</v>
      </c>
      <c r="U192" s="8">
        <v>501061</v>
      </c>
      <c r="V192" s="8">
        <v>604377</v>
      </c>
      <c r="W192" s="8">
        <v>700796</v>
      </c>
      <c r="X192" s="8">
        <v>1022957</v>
      </c>
      <c r="Y192" s="8">
        <v>1131654</v>
      </c>
      <c r="Z192" s="8">
        <v>1670144</v>
      </c>
      <c r="AA192" s="8">
        <v>6864144</v>
      </c>
      <c r="AB192" s="9">
        <f t="shared" si="96"/>
        <v>6864144</v>
      </c>
      <c r="AC192" s="8">
        <v>21714</v>
      </c>
      <c r="AD192" s="8">
        <v>152401</v>
      </c>
      <c r="AE192" s="8">
        <v>285497</v>
      </c>
      <c r="AF192" s="8">
        <v>319413</v>
      </c>
      <c r="AG192" s="8">
        <v>1726854</v>
      </c>
      <c r="AH192" s="8">
        <v>2505950</v>
      </c>
      <c r="AI192" s="8">
        <v>5165331</v>
      </c>
      <c r="AJ192" s="8">
        <v>5520124</v>
      </c>
      <c r="AK192" s="8">
        <v>5678996</v>
      </c>
      <c r="AL192" s="8">
        <v>6505005</v>
      </c>
      <c r="AM192" s="8">
        <v>8037211</v>
      </c>
      <c r="AN192" s="8">
        <v>9580437</v>
      </c>
      <c r="AO192" s="9">
        <f t="shared" si="97"/>
        <v>9580437</v>
      </c>
      <c r="AP192" s="8">
        <v>10135</v>
      </c>
      <c r="AQ192" s="8">
        <v>86469</v>
      </c>
      <c r="AR192" s="8">
        <v>336859</v>
      </c>
      <c r="AS192" s="8">
        <v>1642400</v>
      </c>
      <c r="AT192" s="8">
        <v>1583477</v>
      </c>
      <c r="AU192" s="8">
        <v>1665938</v>
      </c>
      <c r="AV192" s="8">
        <v>1721530</v>
      </c>
      <c r="AW192" s="8">
        <v>1795093</v>
      </c>
      <c r="AX192" s="8">
        <v>1872680</v>
      </c>
      <c r="AY192" s="8">
        <v>2103801</v>
      </c>
      <c r="AZ192" s="8">
        <v>4609956</v>
      </c>
      <c r="BA192" s="8">
        <v>9137604</v>
      </c>
      <c r="BB192" s="9">
        <f t="shared" si="98"/>
        <v>9137604</v>
      </c>
      <c r="BC192" s="8">
        <v>5570</v>
      </c>
      <c r="BD192" s="8">
        <v>54170</v>
      </c>
      <c r="BE192" s="8">
        <v>1379846</v>
      </c>
      <c r="BF192" s="8">
        <v>1497960</v>
      </c>
      <c r="BG192" s="8">
        <v>1409400</v>
      </c>
      <c r="BH192" s="8">
        <v>1466822</v>
      </c>
      <c r="BI192" s="8">
        <v>1623624</v>
      </c>
      <c r="BJ192" s="8">
        <v>1906766</v>
      </c>
      <c r="BK192" s="8">
        <v>2188123</v>
      </c>
      <c r="BL192" s="8">
        <v>2416760</v>
      </c>
      <c r="BM192" s="8">
        <v>2856319</v>
      </c>
      <c r="BN192" s="8">
        <v>3922193</v>
      </c>
      <c r="BO192" s="9">
        <f t="shared" si="99"/>
        <v>3922193</v>
      </c>
      <c r="BP192" s="8">
        <v>8139</v>
      </c>
      <c r="BQ192" s="8">
        <v>18877</v>
      </c>
      <c r="BR192" s="8">
        <v>50498</v>
      </c>
      <c r="BS192" s="8">
        <v>62422</v>
      </c>
      <c r="BT192" s="8">
        <v>90188</v>
      </c>
      <c r="BU192" s="8">
        <v>1530673</v>
      </c>
      <c r="BV192" s="8">
        <v>1588455</v>
      </c>
      <c r="BW192" s="8">
        <v>1623780</v>
      </c>
      <c r="BX192" s="8">
        <v>1917793</v>
      </c>
      <c r="BY192" s="8">
        <v>1974530</v>
      </c>
      <c r="BZ192" s="8">
        <v>2186222</v>
      </c>
      <c r="CA192" s="8">
        <v>2834888</v>
      </c>
      <c r="CB192" s="9">
        <f t="shared" si="100"/>
        <v>2834888</v>
      </c>
      <c r="CC192" s="8">
        <v>83</v>
      </c>
      <c r="CD192" s="8">
        <v>12143</v>
      </c>
      <c r="CE192" s="8">
        <v>1685894</v>
      </c>
      <c r="CF192" s="8">
        <v>1721923</v>
      </c>
      <c r="CG192" s="8">
        <v>1733011</v>
      </c>
      <c r="CH192" s="8">
        <v>1820859</v>
      </c>
      <c r="CI192" s="8">
        <v>2118378</v>
      </c>
      <c r="CJ192" s="8">
        <v>2253795</v>
      </c>
      <c r="CK192" s="8">
        <v>2521246</v>
      </c>
      <c r="CL192" s="8">
        <v>2755622</v>
      </c>
      <c r="CM192" s="8">
        <v>3285055</v>
      </c>
      <c r="CN192" s="8">
        <v>4423810</v>
      </c>
      <c r="CO192" s="9">
        <f t="shared" si="101"/>
        <v>4423810</v>
      </c>
      <c r="CP192" s="8">
        <v>45176</v>
      </c>
      <c r="CQ192" s="8">
        <v>75678</v>
      </c>
      <c r="CR192" s="8">
        <v>116645</v>
      </c>
      <c r="CS192" s="8">
        <v>137851</v>
      </c>
      <c r="CT192" s="8">
        <v>171316</v>
      </c>
      <c r="CU192" s="8">
        <v>174373</v>
      </c>
      <c r="CV192" s="8">
        <v>186397</v>
      </c>
      <c r="CW192" s="8">
        <v>396798</v>
      </c>
      <c r="CX192" s="8">
        <v>466942</v>
      </c>
      <c r="CY192" s="8">
        <v>488378</v>
      </c>
      <c r="CZ192" s="8">
        <v>707014</v>
      </c>
      <c r="DA192" s="8">
        <v>1286979</v>
      </c>
      <c r="DB192" s="9">
        <f t="shared" si="102"/>
        <v>1286979</v>
      </c>
      <c r="DC192" s="8">
        <v>28591</v>
      </c>
      <c r="DD192" s="8">
        <v>32373</v>
      </c>
      <c r="DE192" s="8">
        <v>46304</v>
      </c>
      <c r="DF192" s="8">
        <v>46304</v>
      </c>
      <c r="DG192" s="8">
        <v>55244</v>
      </c>
      <c r="DH192" s="8">
        <v>55655</v>
      </c>
      <c r="DI192" s="8">
        <v>68230</v>
      </c>
      <c r="DJ192" s="8">
        <v>80614</v>
      </c>
      <c r="DK192" s="8">
        <v>93234</v>
      </c>
      <c r="DL192" s="8">
        <v>150644</v>
      </c>
      <c r="DM192" s="8">
        <v>454323</v>
      </c>
      <c r="DN192" s="8">
        <v>1543008</v>
      </c>
      <c r="DO192" s="9">
        <f t="shared" si="103"/>
        <v>1543008</v>
      </c>
      <c r="DP192" s="8">
        <v>841</v>
      </c>
      <c r="DQ192" s="8">
        <v>841</v>
      </c>
      <c r="DR192" s="8">
        <v>25582</v>
      </c>
      <c r="DS192" s="8">
        <v>31740</v>
      </c>
      <c r="DT192" s="8">
        <v>62776</v>
      </c>
      <c r="DU192" s="8">
        <v>80498</v>
      </c>
      <c r="DV192" s="8">
        <v>170859</v>
      </c>
      <c r="DW192" s="8">
        <v>358224</v>
      </c>
      <c r="DX192" s="8">
        <v>453628</v>
      </c>
      <c r="DY192" s="8">
        <v>591099</v>
      </c>
      <c r="DZ192" s="8">
        <v>893192</v>
      </c>
      <c r="EA192" s="8">
        <v>2028479</v>
      </c>
      <c r="EB192" s="9">
        <f t="shared" si="104"/>
        <v>2028479</v>
      </c>
      <c r="EC192" s="8">
        <v>0</v>
      </c>
      <c r="ED192" s="8">
        <v>0</v>
      </c>
      <c r="EE192" s="8">
        <v>0</v>
      </c>
      <c r="EF192" s="8">
        <v>0</v>
      </c>
      <c r="EG192" s="8">
        <v>3536</v>
      </c>
      <c r="EH192" s="8">
        <v>294788</v>
      </c>
      <c r="EI192" s="8">
        <v>321560</v>
      </c>
      <c r="EJ192" s="8">
        <v>331042</v>
      </c>
      <c r="EK192" s="8">
        <v>335085</v>
      </c>
      <c r="EL192" s="8">
        <v>390566</v>
      </c>
      <c r="EM192" s="8">
        <v>411547</v>
      </c>
      <c r="EN192" s="8">
        <v>733331</v>
      </c>
      <c r="EO192" s="9">
        <f t="shared" si="105"/>
        <v>733331</v>
      </c>
      <c r="EP192" s="8">
        <v>0</v>
      </c>
      <c r="EQ192" s="8">
        <v>1294</v>
      </c>
      <c r="ER192" s="8">
        <v>1294</v>
      </c>
      <c r="ES192" s="8">
        <v>36508</v>
      </c>
      <c r="ET192" s="8">
        <v>36508</v>
      </c>
      <c r="EU192" s="8">
        <v>39078</v>
      </c>
      <c r="EV192" s="8">
        <v>162201</v>
      </c>
      <c r="EW192" s="8">
        <v>254134</v>
      </c>
      <c r="EX192" s="8">
        <v>287265</v>
      </c>
      <c r="EY192" s="8">
        <v>350937</v>
      </c>
      <c r="EZ192" s="8">
        <v>754718</v>
      </c>
      <c r="FA192" s="8">
        <v>849806</v>
      </c>
      <c r="FB192" s="9">
        <f t="shared" si="106"/>
        <v>849806</v>
      </c>
      <c r="FC192" s="8">
        <v>0</v>
      </c>
      <c r="FD192" s="8">
        <v>0</v>
      </c>
      <c r="FE192" s="8">
        <v>0</v>
      </c>
      <c r="FF192" s="8">
        <v>0</v>
      </c>
      <c r="FG192" s="8">
        <v>0</v>
      </c>
      <c r="FH192" s="8">
        <v>0</v>
      </c>
      <c r="FI192" s="8">
        <v>0</v>
      </c>
      <c r="FJ192" s="8"/>
      <c r="FK192" s="8"/>
      <c r="FL192" s="8"/>
      <c r="FM192" s="8"/>
      <c r="FN192" s="8"/>
      <c r="FO192" s="9">
        <f t="shared" si="107"/>
        <v>0</v>
      </c>
    </row>
    <row r="193" spans="2:171" ht="14.25" customHeight="1" x14ac:dyDescent="0.3">
      <c r="B193" s="7" t="s">
        <v>45</v>
      </c>
      <c r="C193" s="8">
        <v>0</v>
      </c>
      <c r="D193" s="8">
        <v>0</v>
      </c>
      <c r="E193" s="8">
        <v>332102</v>
      </c>
      <c r="F193" s="8">
        <v>332102</v>
      </c>
      <c r="G193" s="8">
        <v>332102</v>
      </c>
      <c r="H193" s="8">
        <v>332415</v>
      </c>
      <c r="I193" s="8">
        <v>333125</v>
      </c>
      <c r="J193" s="8">
        <v>333448</v>
      </c>
      <c r="K193" s="8">
        <v>333448</v>
      </c>
      <c r="L193" s="8">
        <v>333448</v>
      </c>
      <c r="M193" s="8">
        <v>916598</v>
      </c>
      <c r="N193" s="8">
        <v>1216982</v>
      </c>
      <c r="O193" s="9">
        <f t="shared" si="95"/>
        <v>1216982</v>
      </c>
      <c r="P193" s="8">
        <v>0</v>
      </c>
      <c r="Q193" s="8">
        <v>0</v>
      </c>
      <c r="R193" s="8">
        <v>225031</v>
      </c>
      <c r="S193" s="8">
        <v>225477</v>
      </c>
      <c r="T193" s="8">
        <v>229296</v>
      </c>
      <c r="U193" s="8">
        <v>229250</v>
      </c>
      <c r="V193" s="8">
        <v>229250</v>
      </c>
      <c r="W193" s="8">
        <v>396781</v>
      </c>
      <c r="X193" s="8">
        <v>398391</v>
      </c>
      <c r="Y193" s="8">
        <v>402039</v>
      </c>
      <c r="Z193" s="8">
        <v>402303</v>
      </c>
      <c r="AA193" s="8">
        <v>981688</v>
      </c>
      <c r="AB193" s="9">
        <f t="shared" si="96"/>
        <v>981688</v>
      </c>
      <c r="AC193" s="8">
        <v>5746</v>
      </c>
      <c r="AD193" s="8">
        <v>21707</v>
      </c>
      <c r="AE193" s="8">
        <v>47382</v>
      </c>
      <c r="AF193" s="8">
        <v>62718</v>
      </c>
      <c r="AG193" s="8">
        <v>65355</v>
      </c>
      <c r="AH193" s="8">
        <v>66490</v>
      </c>
      <c r="AI193" s="8">
        <v>564370</v>
      </c>
      <c r="AJ193" s="8">
        <v>566623</v>
      </c>
      <c r="AK193" s="8">
        <v>566623</v>
      </c>
      <c r="AL193" s="8">
        <v>585921</v>
      </c>
      <c r="AM193" s="8">
        <v>586503</v>
      </c>
      <c r="AN193" s="8">
        <v>1123760</v>
      </c>
      <c r="AO193" s="9">
        <f t="shared" si="97"/>
        <v>1123760</v>
      </c>
      <c r="AP193" s="8">
        <v>0</v>
      </c>
      <c r="AQ193" s="8">
        <v>2950</v>
      </c>
      <c r="AR193" s="8">
        <v>3182</v>
      </c>
      <c r="AS193" s="8">
        <v>3182</v>
      </c>
      <c r="AT193" s="8">
        <v>3182</v>
      </c>
      <c r="AU193" s="8">
        <v>5572</v>
      </c>
      <c r="AV193" s="8">
        <v>24862</v>
      </c>
      <c r="AW193" s="8">
        <v>31754</v>
      </c>
      <c r="AX193" s="8">
        <v>459314</v>
      </c>
      <c r="AY193" s="8">
        <v>459505</v>
      </c>
      <c r="AZ193" s="8">
        <v>459671</v>
      </c>
      <c r="BA193" s="8">
        <v>945719</v>
      </c>
      <c r="BB193" s="9">
        <f t="shared" si="98"/>
        <v>945719</v>
      </c>
      <c r="BC193" s="8">
        <v>15619</v>
      </c>
      <c r="BD193" s="8">
        <v>15619</v>
      </c>
      <c r="BE193" s="8">
        <v>28819</v>
      </c>
      <c r="BF193" s="8">
        <v>28819</v>
      </c>
      <c r="BG193" s="8">
        <v>46601</v>
      </c>
      <c r="BH193" s="8">
        <v>596973</v>
      </c>
      <c r="BI193" s="8">
        <v>605002</v>
      </c>
      <c r="BJ193" s="8">
        <v>605723</v>
      </c>
      <c r="BK193" s="8">
        <v>691963</v>
      </c>
      <c r="BL193" s="8">
        <v>848552</v>
      </c>
      <c r="BM193" s="8">
        <v>852581</v>
      </c>
      <c r="BN193" s="8">
        <v>1163852</v>
      </c>
      <c r="BO193" s="9">
        <f t="shared" si="99"/>
        <v>1163852</v>
      </c>
      <c r="BP193" s="8">
        <v>0</v>
      </c>
      <c r="BQ193" s="8">
        <v>0</v>
      </c>
      <c r="BR193" s="8">
        <v>0</v>
      </c>
      <c r="BS193" s="8">
        <v>0</v>
      </c>
      <c r="BT193" s="8">
        <v>0</v>
      </c>
      <c r="BU193" s="8">
        <v>0</v>
      </c>
      <c r="BV193" s="8">
        <v>0</v>
      </c>
      <c r="BW193" s="8">
        <v>0</v>
      </c>
      <c r="BX193" s="8">
        <v>0</v>
      </c>
      <c r="BY193" s="8">
        <v>0</v>
      </c>
      <c r="BZ193" s="8">
        <v>5347</v>
      </c>
      <c r="CA193" s="8">
        <v>5347</v>
      </c>
      <c r="CB193" s="9">
        <f t="shared" si="100"/>
        <v>5347</v>
      </c>
      <c r="CC193" s="8">
        <v>0</v>
      </c>
      <c r="CD193" s="8">
        <v>0</v>
      </c>
      <c r="CE193" s="8">
        <v>0</v>
      </c>
      <c r="CF193" s="8">
        <v>0</v>
      </c>
      <c r="CG193" s="8">
        <v>948</v>
      </c>
      <c r="CH193" s="8">
        <v>1821650</v>
      </c>
      <c r="CI193" s="8">
        <v>4246519</v>
      </c>
      <c r="CJ193" s="8">
        <v>4379541</v>
      </c>
      <c r="CK193" s="8">
        <v>4393821</v>
      </c>
      <c r="CL193" s="8">
        <v>9521196</v>
      </c>
      <c r="CM193" s="8">
        <v>30028437</v>
      </c>
      <c r="CN193" s="8">
        <v>87163302</v>
      </c>
      <c r="CO193" s="9">
        <f t="shared" si="101"/>
        <v>87163302</v>
      </c>
      <c r="CP193" s="8">
        <v>0</v>
      </c>
      <c r="CQ193" s="8">
        <v>0</v>
      </c>
      <c r="CR193" s="8">
        <v>0</v>
      </c>
      <c r="CS193" s="8">
        <v>0</v>
      </c>
      <c r="CT193" s="8">
        <v>0</v>
      </c>
      <c r="CU193" s="8">
        <v>2829849</v>
      </c>
      <c r="CV193" s="8">
        <v>2862985</v>
      </c>
      <c r="CW193" s="8">
        <v>13366199</v>
      </c>
      <c r="CX193" s="8">
        <v>16914426</v>
      </c>
      <c r="CY193" s="8">
        <v>18166720</v>
      </c>
      <c r="CZ193" s="8">
        <v>24429405</v>
      </c>
      <c r="DA193" s="8">
        <v>47217628</v>
      </c>
      <c r="DB193" s="9">
        <f t="shared" si="102"/>
        <v>47217628</v>
      </c>
      <c r="DC193" s="8">
        <v>0</v>
      </c>
      <c r="DD193" s="8">
        <v>0</v>
      </c>
      <c r="DE193" s="8">
        <v>0</v>
      </c>
      <c r="DF193" s="8">
        <v>0</v>
      </c>
      <c r="DG193" s="8">
        <v>0</v>
      </c>
      <c r="DH193" s="8">
        <v>0</v>
      </c>
      <c r="DI193" s="8">
        <v>0</v>
      </c>
      <c r="DJ193" s="8">
        <v>0</v>
      </c>
      <c r="DK193" s="8">
        <v>0</v>
      </c>
      <c r="DL193" s="8">
        <v>0</v>
      </c>
      <c r="DM193" s="8">
        <v>0</v>
      </c>
      <c r="DN193" s="8">
        <v>186</v>
      </c>
      <c r="DO193" s="9">
        <f t="shared" si="103"/>
        <v>186</v>
      </c>
      <c r="DP193" s="8">
        <v>0</v>
      </c>
      <c r="DQ193" s="8">
        <v>0</v>
      </c>
      <c r="DR193" s="8">
        <v>0</v>
      </c>
      <c r="DS193" s="8">
        <v>0</v>
      </c>
      <c r="DT193" s="8">
        <v>0</v>
      </c>
      <c r="DU193" s="8">
        <v>0</v>
      </c>
      <c r="DV193" s="8">
        <v>0</v>
      </c>
      <c r="DW193" s="8">
        <v>0</v>
      </c>
      <c r="DX193" s="8">
        <v>1233198</v>
      </c>
      <c r="DY193" s="8">
        <v>1275419</v>
      </c>
      <c r="DZ193" s="8">
        <v>2754161</v>
      </c>
      <c r="EA193" s="8">
        <v>5129200</v>
      </c>
      <c r="EB193" s="9">
        <f t="shared" si="104"/>
        <v>5129200</v>
      </c>
      <c r="EC193" s="8">
        <v>0</v>
      </c>
      <c r="ED193" s="8">
        <v>0</v>
      </c>
      <c r="EE193" s="8">
        <v>0</v>
      </c>
      <c r="EF193" s="8">
        <v>0</v>
      </c>
      <c r="EG193" s="8">
        <v>285303</v>
      </c>
      <c r="EH193" s="8">
        <v>285303</v>
      </c>
      <c r="EI193" s="8">
        <v>285303</v>
      </c>
      <c r="EJ193" s="8">
        <v>285303</v>
      </c>
      <c r="EK193" s="8">
        <v>285303</v>
      </c>
      <c r="EL193" s="8">
        <v>285303</v>
      </c>
      <c r="EM193" s="8">
        <v>314286</v>
      </c>
      <c r="EN193" s="8">
        <v>581899</v>
      </c>
      <c r="EO193" s="9">
        <f t="shared" si="105"/>
        <v>581899</v>
      </c>
      <c r="EP193" s="8">
        <v>0</v>
      </c>
      <c r="EQ193" s="8">
        <v>0</v>
      </c>
      <c r="ER193" s="8">
        <v>510213</v>
      </c>
      <c r="ES193" s="8">
        <v>510213</v>
      </c>
      <c r="ET193" s="8">
        <v>510213</v>
      </c>
      <c r="EU193" s="8">
        <v>510213</v>
      </c>
      <c r="EV193" s="8">
        <v>510213</v>
      </c>
      <c r="EW193" s="8">
        <v>510213</v>
      </c>
      <c r="EX193" s="8">
        <v>510213</v>
      </c>
      <c r="EY193" s="8">
        <v>510213</v>
      </c>
      <c r="EZ193" s="8">
        <v>510213</v>
      </c>
      <c r="FA193" s="8">
        <v>510213</v>
      </c>
      <c r="FB193" s="9">
        <f t="shared" si="106"/>
        <v>510213</v>
      </c>
      <c r="FC193" s="8">
        <v>0</v>
      </c>
      <c r="FD193" s="8">
        <v>0</v>
      </c>
      <c r="FE193" s="8">
        <v>0</v>
      </c>
      <c r="FF193" s="8">
        <v>0</v>
      </c>
      <c r="FG193" s="8">
        <v>0</v>
      </c>
      <c r="FH193" s="8">
        <v>0</v>
      </c>
      <c r="FI193" s="8">
        <v>0</v>
      </c>
      <c r="FJ193" s="8"/>
      <c r="FK193" s="8"/>
      <c r="FL193" s="8"/>
      <c r="FM193" s="8"/>
      <c r="FN193" s="8"/>
      <c r="FO193" s="9">
        <f t="shared" si="107"/>
        <v>0</v>
      </c>
    </row>
    <row r="194" spans="2:171" ht="14.25" customHeight="1" x14ac:dyDescent="0.3">
      <c r="B194" s="7" t="s">
        <v>46</v>
      </c>
      <c r="C194" s="8">
        <v>978</v>
      </c>
      <c r="D194" s="8">
        <v>3395</v>
      </c>
      <c r="E194" s="8">
        <v>3395</v>
      </c>
      <c r="F194" s="8">
        <v>22982</v>
      </c>
      <c r="G194" s="8">
        <v>29801</v>
      </c>
      <c r="H194" s="8">
        <v>37273</v>
      </c>
      <c r="I194" s="8">
        <v>57763</v>
      </c>
      <c r="J194" s="8">
        <v>61391</v>
      </c>
      <c r="K194" s="8">
        <v>63617</v>
      </c>
      <c r="L194" s="8">
        <v>91311</v>
      </c>
      <c r="M194" s="8">
        <v>99509</v>
      </c>
      <c r="N194" s="8">
        <v>250908</v>
      </c>
      <c r="O194" s="9">
        <f t="shared" si="95"/>
        <v>250908</v>
      </c>
      <c r="P194" s="8">
        <v>2474</v>
      </c>
      <c r="Q194" s="8">
        <v>18159</v>
      </c>
      <c r="R194" s="8">
        <v>27772</v>
      </c>
      <c r="S194" s="8">
        <v>33278</v>
      </c>
      <c r="T194" s="8">
        <v>58333</v>
      </c>
      <c r="U194" s="8">
        <v>66561</v>
      </c>
      <c r="V194" s="8">
        <v>74129</v>
      </c>
      <c r="W194" s="8">
        <v>80936</v>
      </c>
      <c r="X194" s="8">
        <v>101442</v>
      </c>
      <c r="Y194" s="8">
        <v>105274</v>
      </c>
      <c r="Z194" s="8">
        <v>219564</v>
      </c>
      <c r="AA194" s="8">
        <v>758119</v>
      </c>
      <c r="AB194" s="9">
        <f t="shared" si="96"/>
        <v>758119</v>
      </c>
      <c r="AC194" s="8">
        <v>0</v>
      </c>
      <c r="AD194" s="8">
        <v>7907</v>
      </c>
      <c r="AE194" s="8">
        <v>31019</v>
      </c>
      <c r="AF194" s="8">
        <v>37712</v>
      </c>
      <c r="AG194" s="8">
        <v>65352</v>
      </c>
      <c r="AH194" s="8">
        <v>70285</v>
      </c>
      <c r="AI194" s="8">
        <v>77190</v>
      </c>
      <c r="AJ194" s="8">
        <v>84616</v>
      </c>
      <c r="AK194" s="8">
        <v>88825</v>
      </c>
      <c r="AL194" s="8">
        <v>92047</v>
      </c>
      <c r="AM194" s="8">
        <v>101071</v>
      </c>
      <c r="AN194" s="8">
        <v>409951</v>
      </c>
      <c r="AO194" s="9">
        <f t="shared" si="97"/>
        <v>409951</v>
      </c>
      <c r="AP194" s="8">
        <v>460</v>
      </c>
      <c r="AQ194" s="8">
        <v>18162</v>
      </c>
      <c r="AR194" s="8">
        <v>42694</v>
      </c>
      <c r="AS194" s="8">
        <v>50314</v>
      </c>
      <c r="AT194" s="8">
        <v>61860</v>
      </c>
      <c r="AU194" s="8">
        <v>71790</v>
      </c>
      <c r="AV194" s="8">
        <v>97379</v>
      </c>
      <c r="AW194" s="8">
        <v>104432</v>
      </c>
      <c r="AX194" s="8">
        <v>119591</v>
      </c>
      <c r="AY194" s="8">
        <v>126796</v>
      </c>
      <c r="AZ194" s="8">
        <v>127194</v>
      </c>
      <c r="BA194" s="8">
        <v>364255</v>
      </c>
      <c r="BB194" s="9">
        <f t="shared" si="98"/>
        <v>364255</v>
      </c>
      <c r="BC194" s="8">
        <v>0</v>
      </c>
      <c r="BD194" s="8">
        <v>290</v>
      </c>
      <c r="BE194" s="8">
        <v>4246</v>
      </c>
      <c r="BF194" s="8">
        <v>26426</v>
      </c>
      <c r="BG194" s="8">
        <v>53026</v>
      </c>
      <c r="BH194" s="8">
        <v>84870</v>
      </c>
      <c r="BI194" s="8">
        <v>96108</v>
      </c>
      <c r="BJ194" s="8">
        <v>98890</v>
      </c>
      <c r="BK194" s="8">
        <v>99802</v>
      </c>
      <c r="BL194" s="8">
        <v>126217</v>
      </c>
      <c r="BM194" s="8">
        <v>167413</v>
      </c>
      <c r="BN194" s="8">
        <v>1355173</v>
      </c>
      <c r="BO194" s="9">
        <f t="shared" si="99"/>
        <v>1355173</v>
      </c>
      <c r="BP194" s="8">
        <v>0</v>
      </c>
      <c r="BQ194" s="8">
        <v>0</v>
      </c>
      <c r="BR194" s="8">
        <v>0</v>
      </c>
      <c r="BS194" s="8">
        <v>0</v>
      </c>
      <c r="BT194" s="8">
        <v>0</v>
      </c>
      <c r="BU194" s="8">
        <v>0</v>
      </c>
      <c r="BV194" s="8">
        <v>0</v>
      </c>
      <c r="BW194" s="8">
        <v>0</v>
      </c>
      <c r="BX194" s="8">
        <v>2056</v>
      </c>
      <c r="BY194" s="8">
        <v>2056</v>
      </c>
      <c r="BZ194" s="8">
        <v>7687</v>
      </c>
      <c r="CA194" s="8">
        <v>2242437</v>
      </c>
      <c r="CB194" s="9">
        <f t="shared" si="100"/>
        <v>2242437</v>
      </c>
      <c r="CC194" s="8">
        <v>0</v>
      </c>
      <c r="CD194" s="8">
        <v>0</v>
      </c>
      <c r="CE194" s="8">
        <v>0</v>
      </c>
      <c r="CF194" s="8">
        <v>774</v>
      </c>
      <c r="CG194" s="8">
        <v>49514</v>
      </c>
      <c r="CH194" s="8">
        <v>78788</v>
      </c>
      <c r="CI194" s="8">
        <v>81183</v>
      </c>
      <c r="CJ194" s="8">
        <v>81183</v>
      </c>
      <c r="CK194" s="8">
        <v>87480</v>
      </c>
      <c r="CL194" s="8">
        <v>87480</v>
      </c>
      <c r="CM194" s="8">
        <v>88834</v>
      </c>
      <c r="CN194" s="8">
        <v>274995</v>
      </c>
      <c r="CO194" s="9">
        <f t="shared" si="101"/>
        <v>274995</v>
      </c>
      <c r="CP194" s="8">
        <v>0</v>
      </c>
      <c r="CQ194" s="8">
        <v>1519</v>
      </c>
      <c r="CR194" s="8">
        <v>7323</v>
      </c>
      <c r="CS194" s="8">
        <v>10864</v>
      </c>
      <c r="CT194" s="8">
        <v>17463</v>
      </c>
      <c r="CU194" s="8">
        <v>22280</v>
      </c>
      <c r="CV194" s="8">
        <v>27184</v>
      </c>
      <c r="CW194" s="8">
        <v>41556</v>
      </c>
      <c r="CX194" s="8">
        <v>174121</v>
      </c>
      <c r="CY194" s="8">
        <v>236472</v>
      </c>
      <c r="CZ194" s="8">
        <v>309937</v>
      </c>
      <c r="DA194" s="8">
        <v>463683</v>
      </c>
      <c r="DB194" s="9">
        <f t="shared" si="102"/>
        <v>463683</v>
      </c>
      <c r="DC194" s="8">
        <v>2629</v>
      </c>
      <c r="DD194" s="8">
        <v>3224</v>
      </c>
      <c r="DE194" s="8">
        <v>5683</v>
      </c>
      <c r="DF194" s="8">
        <v>7311</v>
      </c>
      <c r="DG194" s="8">
        <v>7829</v>
      </c>
      <c r="DH194" s="8">
        <v>13065</v>
      </c>
      <c r="DI194" s="8">
        <v>13065</v>
      </c>
      <c r="DJ194" s="8">
        <v>19037</v>
      </c>
      <c r="DK194" s="8">
        <v>50336</v>
      </c>
      <c r="DL194" s="8">
        <v>77955</v>
      </c>
      <c r="DM194" s="8">
        <v>240848</v>
      </c>
      <c r="DN194" s="8">
        <v>429145</v>
      </c>
      <c r="DO194" s="9">
        <f t="shared" si="103"/>
        <v>429145</v>
      </c>
      <c r="DP194" s="8">
        <v>0</v>
      </c>
      <c r="DQ194" s="8">
        <v>1974</v>
      </c>
      <c r="DR194" s="8">
        <v>6068</v>
      </c>
      <c r="DS194" s="8">
        <v>6630</v>
      </c>
      <c r="DT194" s="8">
        <v>18709</v>
      </c>
      <c r="DU194" s="8">
        <v>65620</v>
      </c>
      <c r="DV194" s="8">
        <v>109466</v>
      </c>
      <c r="DW194" s="8">
        <v>110490</v>
      </c>
      <c r="DX194" s="8">
        <v>234808</v>
      </c>
      <c r="DY194" s="8">
        <v>266638</v>
      </c>
      <c r="DZ194" s="8">
        <v>385446</v>
      </c>
      <c r="EA194" s="8">
        <v>1188574</v>
      </c>
      <c r="EB194" s="9">
        <f t="shared" si="104"/>
        <v>1188574</v>
      </c>
      <c r="EC194" s="8">
        <v>417</v>
      </c>
      <c r="ED194" s="8">
        <v>417</v>
      </c>
      <c r="EE194" s="8">
        <v>417</v>
      </c>
      <c r="EF194" s="8">
        <v>71294</v>
      </c>
      <c r="EG194" s="8">
        <v>72446</v>
      </c>
      <c r="EH194" s="8">
        <v>72446</v>
      </c>
      <c r="EI194" s="8">
        <v>92097</v>
      </c>
      <c r="EJ194" s="8">
        <v>105082</v>
      </c>
      <c r="EK194" s="8">
        <v>212007</v>
      </c>
      <c r="EL194" s="8">
        <v>271116</v>
      </c>
      <c r="EM194" s="8">
        <v>286064</v>
      </c>
      <c r="EN194" s="8">
        <v>512541</v>
      </c>
      <c r="EO194" s="9">
        <f t="shared" si="105"/>
        <v>512541</v>
      </c>
      <c r="EP194" s="8">
        <v>1080</v>
      </c>
      <c r="EQ194" s="8">
        <v>2340</v>
      </c>
      <c r="ER194" s="8">
        <v>5226</v>
      </c>
      <c r="ES194" s="8">
        <v>15451</v>
      </c>
      <c r="ET194" s="8">
        <v>30700</v>
      </c>
      <c r="EU194" s="8">
        <v>41291</v>
      </c>
      <c r="EV194" s="8">
        <v>63764</v>
      </c>
      <c r="EW194" s="8">
        <v>88713</v>
      </c>
      <c r="EX194" s="8">
        <v>101157</v>
      </c>
      <c r="EY194" s="8">
        <v>231967</v>
      </c>
      <c r="EZ194" s="8">
        <v>599236</v>
      </c>
      <c r="FA194" s="8">
        <v>855579</v>
      </c>
      <c r="FB194" s="9">
        <f t="shared" si="106"/>
        <v>855579</v>
      </c>
      <c r="FC194" s="8">
        <v>4485</v>
      </c>
      <c r="FD194" s="8">
        <v>4985</v>
      </c>
      <c r="FE194" s="8">
        <v>20789</v>
      </c>
      <c r="FF194" s="8">
        <v>86770</v>
      </c>
      <c r="FG194" s="8">
        <v>86770</v>
      </c>
      <c r="FH194" s="8">
        <v>110607</v>
      </c>
      <c r="FI194" s="8">
        <v>117802</v>
      </c>
      <c r="FJ194" s="8"/>
      <c r="FK194" s="8"/>
      <c r="FL194" s="8"/>
      <c r="FM194" s="8"/>
      <c r="FN194" s="8"/>
      <c r="FO194" s="9">
        <f t="shared" si="107"/>
        <v>117802</v>
      </c>
    </row>
    <row r="195" spans="2:171" ht="14.25" customHeight="1" x14ac:dyDescent="0.3">
      <c r="B195" s="7" t="s">
        <v>47</v>
      </c>
      <c r="C195" s="8">
        <v>40674</v>
      </c>
      <c r="D195" s="8">
        <v>64932</v>
      </c>
      <c r="E195" s="8">
        <v>77235</v>
      </c>
      <c r="F195" s="8">
        <v>89945</v>
      </c>
      <c r="G195" s="8">
        <v>161909</v>
      </c>
      <c r="H195" s="8">
        <v>171718</v>
      </c>
      <c r="I195" s="8">
        <v>184772</v>
      </c>
      <c r="J195" s="8">
        <v>188977</v>
      </c>
      <c r="K195" s="8">
        <v>200050</v>
      </c>
      <c r="L195" s="8">
        <v>207541</v>
      </c>
      <c r="M195" s="8">
        <v>334799</v>
      </c>
      <c r="N195" s="8">
        <v>485976</v>
      </c>
      <c r="O195" s="9">
        <f t="shared" si="95"/>
        <v>485976</v>
      </c>
      <c r="P195" s="8">
        <v>8500</v>
      </c>
      <c r="Q195" s="8">
        <v>14231</v>
      </c>
      <c r="R195" s="8">
        <v>16552</v>
      </c>
      <c r="S195" s="8">
        <v>44155</v>
      </c>
      <c r="T195" s="8">
        <v>58114</v>
      </c>
      <c r="U195" s="8">
        <v>62814</v>
      </c>
      <c r="V195" s="8">
        <v>71329</v>
      </c>
      <c r="W195" s="8">
        <v>338603</v>
      </c>
      <c r="X195" s="8">
        <v>341436</v>
      </c>
      <c r="Y195" s="8">
        <v>341436</v>
      </c>
      <c r="Z195" s="8">
        <v>377739</v>
      </c>
      <c r="AA195" s="8">
        <v>400800</v>
      </c>
      <c r="AB195" s="9">
        <f t="shared" si="96"/>
        <v>400800</v>
      </c>
      <c r="AC195" s="8">
        <v>14078</v>
      </c>
      <c r="AD195" s="8">
        <v>30963</v>
      </c>
      <c r="AE195" s="8">
        <v>44242</v>
      </c>
      <c r="AF195" s="8">
        <v>51297</v>
      </c>
      <c r="AG195" s="8">
        <v>91554</v>
      </c>
      <c r="AH195" s="8">
        <v>153540</v>
      </c>
      <c r="AI195" s="8">
        <v>175277</v>
      </c>
      <c r="AJ195" s="8">
        <v>407638</v>
      </c>
      <c r="AK195" s="8">
        <v>416427</v>
      </c>
      <c r="AL195" s="8">
        <v>416671</v>
      </c>
      <c r="AM195" s="8">
        <v>418669</v>
      </c>
      <c r="AN195" s="8">
        <v>582972</v>
      </c>
      <c r="AO195" s="9">
        <f t="shared" si="97"/>
        <v>582972</v>
      </c>
      <c r="AP195" s="8">
        <v>3475</v>
      </c>
      <c r="AQ195" s="8">
        <v>20116</v>
      </c>
      <c r="AR195" s="8">
        <v>36103</v>
      </c>
      <c r="AS195" s="8">
        <v>41030</v>
      </c>
      <c r="AT195" s="8">
        <v>57941</v>
      </c>
      <c r="AU195" s="8">
        <v>68114</v>
      </c>
      <c r="AV195" s="8">
        <v>68394</v>
      </c>
      <c r="AW195" s="8">
        <v>73726</v>
      </c>
      <c r="AX195" s="8">
        <v>77131</v>
      </c>
      <c r="AY195" s="8">
        <v>92899</v>
      </c>
      <c r="AZ195" s="8">
        <v>206053</v>
      </c>
      <c r="BA195" s="8">
        <v>297922</v>
      </c>
      <c r="BB195" s="9">
        <f t="shared" si="98"/>
        <v>297922</v>
      </c>
      <c r="BC195" s="8">
        <v>52766</v>
      </c>
      <c r="BD195" s="8">
        <v>70260</v>
      </c>
      <c r="BE195" s="8">
        <v>107883</v>
      </c>
      <c r="BF195" s="8">
        <v>157253</v>
      </c>
      <c r="BG195" s="8">
        <v>176123</v>
      </c>
      <c r="BH195" s="8">
        <v>179866</v>
      </c>
      <c r="BI195" s="8">
        <v>191830</v>
      </c>
      <c r="BJ195" s="8">
        <v>210058</v>
      </c>
      <c r="BK195" s="8">
        <v>215023</v>
      </c>
      <c r="BL195" s="8">
        <v>241171</v>
      </c>
      <c r="BM195" s="8">
        <v>362527</v>
      </c>
      <c r="BN195" s="8">
        <v>470464</v>
      </c>
      <c r="BO195" s="9">
        <f t="shared" si="99"/>
        <v>470464</v>
      </c>
      <c r="BP195" s="8">
        <v>0</v>
      </c>
      <c r="BQ195" s="8">
        <v>0</v>
      </c>
      <c r="BR195" s="8">
        <v>0</v>
      </c>
      <c r="BS195" s="8">
        <v>0</v>
      </c>
      <c r="BT195" s="8">
        <v>0</v>
      </c>
      <c r="BU195" s="8">
        <v>0</v>
      </c>
      <c r="BV195" s="8">
        <v>0</v>
      </c>
      <c r="BW195" s="8">
        <v>141055</v>
      </c>
      <c r="BX195" s="8">
        <v>141055</v>
      </c>
      <c r="BY195" s="8">
        <v>153573</v>
      </c>
      <c r="BZ195" s="8">
        <v>172137</v>
      </c>
      <c r="CA195" s="8">
        <v>1389096</v>
      </c>
      <c r="CB195" s="9">
        <f t="shared" si="100"/>
        <v>1389096</v>
      </c>
      <c r="CC195" s="8">
        <v>0</v>
      </c>
      <c r="CD195" s="8">
        <v>796</v>
      </c>
      <c r="CE195" s="8">
        <v>796</v>
      </c>
      <c r="CF195" s="8">
        <v>796</v>
      </c>
      <c r="CG195" s="8">
        <v>796</v>
      </c>
      <c r="CH195" s="8">
        <v>796</v>
      </c>
      <c r="CI195" s="8">
        <v>71682</v>
      </c>
      <c r="CJ195" s="8">
        <v>71682</v>
      </c>
      <c r="CK195" s="8">
        <v>73348</v>
      </c>
      <c r="CL195" s="8">
        <v>73348</v>
      </c>
      <c r="CM195" s="8">
        <v>74919</v>
      </c>
      <c r="CN195" s="8">
        <v>473327</v>
      </c>
      <c r="CO195" s="9">
        <f t="shared" si="101"/>
        <v>473327</v>
      </c>
      <c r="CP195" s="8">
        <v>238</v>
      </c>
      <c r="CQ195" s="8">
        <v>5401</v>
      </c>
      <c r="CR195" s="8">
        <v>16372</v>
      </c>
      <c r="CS195" s="8">
        <v>28155</v>
      </c>
      <c r="CT195" s="8">
        <v>31315</v>
      </c>
      <c r="CU195" s="8">
        <v>35243</v>
      </c>
      <c r="CV195" s="8">
        <v>39222</v>
      </c>
      <c r="CW195" s="8">
        <v>45437</v>
      </c>
      <c r="CX195" s="8">
        <v>51150</v>
      </c>
      <c r="CY195" s="8">
        <v>99287</v>
      </c>
      <c r="CZ195" s="8">
        <v>529583</v>
      </c>
      <c r="DA195" s="8">
        <v>1109914</v>
      </c>
      <c r="DB195" s="9">
        <f t="shared" si="102"/>
        <v>1109914</v>
      </c>
      <c r="DC195" s="8">
        <v>4632</v>
      </c>
      <c r="DD195" s="8">
        <v>9488</v>
      </c>
      <c r="DE195" s="8">
        <v>20834</v>
      </c>
      <c r="DF195" s="8">
        <v>24788</v>
      </c>
      <c r="DG195" s="8">
        <v>34721</v>
      </c>
      <c r="DH195" s="8">
        <v>78114</v>
      </c>
      <c r="DI195" s="8">
        <v>74964</v>
      </c>
      <c r="DJ195" s="8">
        <v>96825</v>
      </c>
      <c r="DK195" s="8">
        <v>140853</v>
      </c>
      <c r="DL195" s="8">
        <v>150439</v>
      </c>
      <c r="DM195" s="8">
        <v>152238</v>
      </c>
      <c r="DN195" s="8">
        <v>857246</v>
      </c>
      <c r="DO195" s="9">
        <f t="shared" si="103"/>
        <v>857246</v>
      </c>
      <c r="DP195" s="8">
        <v>7923</v>
      </c>
      <c r="DQ195" s="8">
        <v>69716</v>
      </c>
      <c r="DR195" s="8">
        <v>109019</v>
      </c>
      <c r="DS195" s="8">
        <v>115221</v>
      </c>
      <c r="DT195" s="8">
        <v>150018</v>
      </c>
      <c r="DU195" s="8">
        <v>288811</v>
      </c>
      <c r="DV195" s="8">
        <v>567988</v>
      </c>
      <c r="DW195" s="8">
        <v>629698</v>
      </c>
      <c r="DX195" s="8">
        <v>629698</v>
      </c>
      <c r="DY195" s="8">
        <v>630608</v>
      </c>
      <c r="DZ195" s="8">
        <v>714801</v>
      </c>
      <c r="EA195" s="8">
        <v>4061138</v>
      </c>
      <c r="EB195" s="9">
        <f t="shared" si="104"/>
        <v>4061138</v>
      </c>
      <c r="EC195" s="8">
        <v>290</v>
      </c>
      <c r="ED195" s="8">
        <v>27991</v>
      </c>
      <c r="EE195" s="8">
        <v>38461</v>
      </c>
      <c r="EF195" s="8">
        <v>39395</v>
      </c>
      <c r="EG195" s="8">
        <v>49104</v>
      </c>
      <c r="EH195" s="8">
        <v>50047</v>
      </c>
      <c r="EI195" s="8">
        <v>50593</v>
      </c>
      <c r="EJ195" s="8">
        <v>50593</v>
      </c>
      <c r="EK195" s="8">
        <v>80202</v>
      </c>
      <c r="EL195" s="8">
        <v>125185</v>
      </c>
      <c r="EM195" s="8">
        <v>134961</v>
      </c>
      <c r="EN195" s="8">
        <v>520963</v>
      </c>
      <c r="EO195" s="9">
        <f t="shared" si="105"/>
        <v>520963</v>
      </c>
      <c r="EP195" s="8">
        <v>27322</v>
      </c>
      <c r="EQ195" s="8">
        <v>58931</v>
      </c>
      <c r="ER195" s="8">
        <v>85879</v>
      </c>
      <c r="ES195" s="8">
        <v>110594</v>
      </c>
      <c r="ET195" s="8">
        <v>121409</v>
      </c>
      <c r="EU195" s="8">
        <v>136950</v>
      </c>
      <c r="EV195" s="8">
        <v>137913</v>
      </c>
      <c r="EW195" s="8">
        <v>138151</v>
      </c>
      <c r="EX195" s="8">
        <v>467717</v>
      </c>
      <c r="EY195" s="8">
        <v>487561</v>
      </c>
      <c r="EZ195" s="8">
        <v>571824</v>
      </c>
      <c r="FA195" s="8">
        <v>682772</v>
      </c>
      <c r="FB195" s="9">
        <f t="shared" si="106"/>
        <v>682772</v>
      </c>
      <c r="FC195" s="8">
        <v>1898</v>
      </c>
      <c r="FD195" s="8">
        <v>9070</v>
      </c>
      <c r="FE195" s="8">
        <v>12542</v>
      </c>
      <c r="FF195" s="8">
        <v>14851</v>
      </c>
      <c r="FG195" s="8">
        <v>32899</v>
      </c>
      <c r="FH195" s="8">
        <v>53108</v>
      </c>
      <c r="FI195" s="8">
        <v>53108</v>
      </c>
      <c r="FJ195" s="8"/>
      <c r="FK195" s="8"/>
      <c r="FL195" s="8"/>
      <c r="FM195" s="8"/>
      <c r="FN195" s="8"/>
      <c r="FO195" s="9">
        <f t="shared" si="107"/>
        <v>53108</v>
      </c>
    </row>
    <row r="196" spans="2:171" ht="14.25" customHeight="1" x14ac:dyDescent="0.3">
      <c r="B196" s="7" t="s">
        <v>48</v>
      </c>
      <c r="C196" s="8">
        <v>45616</v>
      </c>
      <c r="D196" s="8">
        <v>49087</v>
      </c>
      <c r="E196" s="8">
        <v>65352</v>
      </c>
      <c r="F196" s="8">
        <v>96649</v>
      </c>
      <c r="G196" s="8">
        <v>125523</v>
      </c>
      <c r="H196" s="8">
        <v>135142</v>
      </c>
      <c r="I196" s="8">
        <v>146714</v>
      </c>
      <c r="J196" s="8">
        <v>184911</v>
      </c>
      <c r="K196" s="8">
        <v>188935</v>
      </c>
      <c r="L196" s="8">
        <v>201063</v>
      </c>
      <c r="M196" s="8">
        <v>216189</v>
      </c>
      <c r="N196" s="8">
        <v>851466</v>
      </c>
      <c r="O196" s="9">
        <f t="shared" si="95"/>
        <v>851466</v>
      </c>
      <c r="P196" s="8">
        <v>556</v>
      </c>
      <c r="Q196" s="8">
        <v>37958</v>
      </c>
      <c r="R196" s="8">
        <v>57113</v>
      </c>
      <c r="S196" s="8">
        <v>84907</v>
      </c>
      <c r="T196" s="8">
        <v>95453</v>
      </c>
      <c r="U196" s="8">
        <v>130335</v>
      </c>
      <c r="V196" s="8">
        <v>187135</v>
      </c>
      <c r="W196" s="8">
        <v>216981</v>
      </c>
      <c r="X196" s="8">
        <v>277656</v>
      </c>
      <c r="Y196" s="8">
        <v>370589</v>
      </c>
      <c r="Z196" s="8">
        <v>474970</v>
      </c>
      <c r="AA196" s="8">
        <v>2588721</v>
      </c>
      <c r="AB196" s="9">
        <f t="shared" si="96"/>
        <v>2588721</v>
      </c>
      <c r="AC196" s="8">
        <v>4613</v>
      </c>
      <c r="AD196" s="8">
        <v>45155</v>
      </c>
      <c r="AE196" s="8">
        <v>67931</v>
      </c>
      <c r="AF196" s="8">
        <v>95217</v>
      </c>
      <c r="AG196" s="8">
        <v>108452</v>
      </c>
      <c r="AH196" s="8">
        <v>150575</v>
      </c>
      <c r="AI196" s="8">
        <v>156812</v>
      </c>
      <c r="AJ196" s="8">
        <v>159264</v>
      </c>
      <c r="AK196" s="8">
        <v>191007</v>
      </c>
      <c r="AL196" s="8">
        <v>209836</v>
      </c>
      <c r="AM196" s="8">
        <v>370461</v>
      </c>
      <c r="AN196" s="8">
        <v>711067</v>
      </c>
      <c r="AO196" s="9">
        <f t="shared" si="97"/>
        <v>711067</v>
      </c>
      <c r="AP196" s="8">
        <v>304</v>
      </c>
      <c r="AQ196" s="8">
        <v>5348</v>
      </c>
      <c r="AR196" s="8">
        <v>27019</v>
      </c>
      <c r="AS196" s="8">
        <v>36395</v>
      </c>
      <c r="AT196" s="8">
        <v>51008</v>
      </c>
      <c r="AU196" s="8">
        <v>59697</v>
      </c>
      <c r="AV196" s="8">
        <v>64607</v>
      </c>
      <c r="AW196" s="8">
        <v>152903</v>
      </c>
      <c r="AX196" s="8">
        <v>162059</v>
      </c>
      <c r="AY196" s="8">
        <v>168281</v>
      </c>
      <c r="AZ196" s="8">
        <v>234343</v>
      </c>
      <c r="BA196" s="8">
        <v>535330</v>
      </c>
      <c r="BB196" s="9">
        <f t="shared" si="98"/>
        <v>535330</v>
      </c>
      <c r="BC196" s="8">
        <v>108</v>
      </c>
      <c r="BD196" s="8">
        <v>3791</v>
      </c>
      <c r="BE196" s="8">
        <v>20555</v>
      </c>
      <c r="BF196" s="8">
        <v>37403</v>
      </c>
      <c r="BG196" s="8">
        <v>44326</v>
      </c>
      <c r="BH196" s="8">
        <v>136736</v>
      </c>
      <c r="BI196" s="8">
        <v>155505</v>
      </c>
      <c r="BJ196" s="8">
        <v>185987</v>
      </c>
      <c r="BK196" s="8">
        <v>207750</v>
      </c>
      <c r="BL196" s="8">
        <v>272659</v>
      </c>
      <c r="BM196" s="8">
        <v>307592</v>
      </c>
      <c r="BN196" s="8">
        <v>408912</v>
      </c>
      <c r="BO196" s="9">
        <f t="shared" si="99"/>
        <v>408912</v>
      </c>
      <c r="BP196" s="8">
        <v>692</v>
      </c>
      <c r="BQ196" s="8">
        <v>6974</v>
      </c>
      <c r="BR196" s="8">
        <v>8233</v>
      </c>
      <c r="BS196" s="8">
        <v>15973</v>
      </c>
      <c r="BT196" s="8">
        <v>16894</v>
      </c>
      <c r="BU196" s="8">
        <v>17105</v>
      </c>
      <c r="BV196" s="8">
        <v>17105</v>
      </c>
      <c r="BW196" s="8">
        <v>18006</v>
      </c>
      <c r="BX196" s="8">
        <v>18451</v>
      </c>
      <c r="BY196" s="8">
        <v>28317</v>
      </c>
      <c r="BZ196" s="8">
        <v>39553</v>
      </c>
      <c r="CA196" s="8">
        <v>309300</v>
      </c>
      <c r="CB196" s="9">
        <f t="shared" si="100"/>
        <v>309300</v>
      </c>
      <c r="CC196" s="8">
        <v>43903</v>
      </c>
      <c r="CD196" s="8">
        <v>43903</v>
      </c>
      <c r="CE196" s="8">
        <v>44895</v>
      </c>
      <c r="CF196" s="8">
        <v>45322</v>
      </c>
      <c r="CG196" s="8">
        <v>103696</v>
      </c>
      <c r="CH196" s="8">
        <v>109474</v>
      </c>
      <c r="CI196" s="8">
        <v>1149223</v>
      </c>
      <c r="CJ196" s="8">
        <v>1318697</v>
      </c>
      <c r="CK196" s="8">
        <v>1358779</v>
      </c>
      <c r="CL196" s="8">
        <v>2317962</v>
      </c>
      <c r="CM196" s="8">
        <v>2322522</v>
      </c>
      <c r="CN196" s="8">
        <v>4779621</v>
      </c>
      <c r="CO196" s="9">
        <f t="shared" si="101"/>
        <v>4779621</v>
      </c>
      <c r="CP196" s="8">
        <v>4720</v>
      </c>
      <c r="CQ196" s="8">
        <v>23500</v>
      </c>
      <c r="CR196" s="8">
        <v>87812</v>
      </c>
      <c r="CS196" s="8">
        <v>120790</v>
      </c>
      <c r="CT196" s="8">
        <v>136678</v>
      </c>
      <c r="CU196" s="8">
        <v>161269</v>
      </c>
      <c r="CV196" s="8">
        <v>167532</v>
      </c>
      <c r="CW196" s="8">
        <v>178470</v>
      </c>
      <c r="CX196" s="8">
        <v>195920</v>
      </c>
      <c r="CY196" s="8">
        <v>218818</v>
      </c>
      <c r="CZ196" s="8">
        <v>236570</v>
      </c>
      <c r="DA196" s="8">
        <v>534159</v>
      </c>
      <c r="DB196" s="9">
        <f t="shared" si="102"/>
        <v>534159</v>
      </c>
      <c r="DC196" s="8">
        <v>4491</v>
      </c>
      <c r="DD196" s="8">
        <v>9300</v>
      </c>
      <c r="DE196" s="8">
        <v>68828</v>
      </c>
      <c r="DF196" s="8">
        <v>136279</v>
      </c>
      <c r="DG196" s="8">
        <v>156162</v>
      </c>
      <c r="DH196" s="8">
        <v>192894</v>
      </c>
      <c r="DI196" s="8">
        <v>222413</v>
      </c>
      <c r="DJ196" s="8">
        <v>228771</v>
      </c>
      <c r="DK196" s="8">
        <v>326167</v>
      </c>
      <c r="DL196" s="8">
        <v>333749</v>
      </c>
      <c r="DM196" s="8">
        <v>403931</v>
      </c>
      <c r="DN196" s="8">
        <v>633585</v>
      </c>
      <c r="DO196" s="9">
        <f t="shared" si="103"/>
        <v>633585</v>
      </c>
      <c r="DP196" s="8">
        <v>4768</v>
      </c>
      <c r="DQ196" s="8">
        <v>18519</v>
      </c>
      <c r="DR196" s="8">
        <v>28061</v>
      </c>
      <c r="DS196" s="8">
        <v>43165</v>
      </c>
      <c r="DT196" s="8">
        <v>53084</v>
      </c>
      <c r="DU196" s="8">
        <v>61323</v>
      </c>
      <c r="DV196" s="8">
        <v>136838</v>
      </c>
      <c r="DW196" s="8">
        <v>168483</v>
      </c>
      <c r="DX196" s="8">
        <v>221982</v>
      </c>
      <c r="DY196" s="8">
        <v>249660</v>
      </c>
      <c r="DZ196" s="8">
        <v>308493</v>
      </c>
      <c r="EA196" s="8">
        <v>1424080</v>
      </c>
      <c r="EB196" s="9">
        <f t="shared" si="104"/>
        <v>1424080</v>
      </c>
      <c r="EC196" s="8">
        <v>13008</v>
      </c>
      <c r="ED196" s="8">
        <v>39559</v>
      </c>
      <c r="EE196" s="8">
        <v>66046</v>
      </c>
      <c r="EF196" s="8">
        <v>86941</v>
      </c>
      <c r="EG196" s="8">
        <v>125290</v>
      </c>
      <c r="EH196" s="8">
        <v>138148</v>
      </c>
      <c r="EI196" s="8">
        <v>175446</v>
      </c>
      <c r="EJ196" s="8">
        <v>478092</v>
      </c>
      <c r="EK196" s="8">
        <v>517537</v>
      </c>
      <c r="EL196" s="8">
        <v>871085</v>
      </c>
      <c r="EM196" s="8">
        <v>953728</v>
      </c>
      <c r="EN196" s="8">
        <v>1522298</v>
      </c>
      <c r="EO196" s="9">
        <f t="shared" si="105"/>
        <v>1522298</v>
      </c>
      <c r="EP196" s="8">
        <v>0</v>
      </c>
      <c r="EQ196" s="8">
        <v>8644</v>
      </c>
      <c r="ER196" s="8">
        <v>13667</v>
      </c>
      <c r="ES196" s="8">
        <v>33858</v>
      </c>
      <c r="ET196" s="8">
        <v>231286</v>
      </c>
      <c r="EU196" s="8">
        <v>257693</v>
      </c>
      <c r="EV196" s="8">
        <v>271067</v>
      </c>
      <c r="EW196" s="8">
        <v>395271</v>
      </c>
      <c r="EX196" s="8">
        <v>420100</v>
      </c>
      <c r="EY196" s="8">
        <v>809184</v>
      </c>
      <c r="EZ196" s="8">
        <v>879934</v>
      </c>
      <c r="FA196" s="8">
        <v>1266693</v>
      </c>
      <c r="FB196" s="9">
        <f t="shared" si="106"/>
        <v>1266693</v>
      </c>
      <c r="FC196" s="8">
        <v>12152</v>
      </c>
      <c r="FD196" s="8">
        <v>16836</v>
      </c>
      <c r="FE196" s="8">
        <v>26941</v>
      </c>
      <c r="FF196" s="8">
        <v>30736</v>
      </c>
      <c r="FG196" s="8">
        <v>49163</v>
      </c>
      <c r="FH196" s="8">
        <v>53217</v>
      </c>
      <c r="FI196" s="8">
        <v>69537</v>
      </c>
      <c r="FJ196" s="8"/>
      <c r="FK196" s="8"/>
      <c r="FL196" s="8"/>
      <c r="FM196" s="8"/>
      <c r="FN196" s="8"/>
      <c r="FO196" s="9">
        <f t="shared" si="107"/>
        <v>69537</v>
      </c>
    </row>
    <row r="197" spans="2:171" ht="14.25" customHeight="1" x14ac:dyDescent="0.3">
      <c r="B197" s="7" t="s">
        <v>49</v>
      </c>
      <c r="C197" s="8">
        <v>7098</v>
      </c>
      <c r="D197" s="8">
        <v>19046</v>
      </c>
      <c r="E197" s="8">
        <v>32013</v>
      </c>
      <c r="F197" s="8">
        <v>43498</v>
      </c>
      <c r="G197" s="8">
        <v>55885</v>
      </c>
      <c r="H197" s="8">
        <v>64841</v>
      </c>
      <c r="I197" s="8">
        <v>66992</v>
      </c>
      <c r="J197" s="8">
        <v>81600</v>
      </c>
      <c r="K197" s="8">
        <v>84031</v>
      </c>
      <c r="L197" s="8">
        <v>91530</v>
      </c>
      <c r="M197" s="8">
        <v>102090</v>
      </c>
      <c r="N197" s="8">
        <v>1351748</v>
      </c>
      <c r="O197" s="9">
        <f t="shared" si="95"/>
        <v>1351748</v>
      </c>
      <c r="P197" s="8">
        <v>4779</v>
      </c>
      <c r="Q197" s="8">
        <v>5337</v>
      </c>
      <c r="R197" s="8">
        <v>10511</v>
      </c>
      <c r="S197" s="8">
        <v>257652</v>
      </c>
      <c r="T197" s="8">
        <v>258708</v>
      </c>
      <c r="U197" s="8">
        <v>264162</v>
      </c>
      <c r="V197" s="8">
        <v>287878</v>
      </c>
      <c r="W197" s="8">
        <v>578376</v>
      </c>
      <c r="X197" s="8">
        <v>723834</v>
      </c>
      <c r="Y197" s="8">
        <v>826680</v>
      </c>
      <c r="Z197" s="8">
        <v>963642</v>
      </c>
      <c r="AA197" s="8">
        <v>2020689</v>
      </c>
      <c r="AB197" s="9">
        <f t="shared" si="96"/>
        <v>2020689</v>
      </c>
      <c r="AC197" s="8">
        <v>17247</v>
      </c>
      <c r="AD197" s="8">
        <v>33594</v>
      </c>
      <c r="AE197" s="8">
        <v>67560</v>
      </c>
      <c r="AF197" s="8">
        <v>101608</v>
      </c>
      <c r="AG197" s="8">
        <v>104954</v>
      </c>
      <c r="AH197" s="8">
        <v>121207</v>
      </c>
      <c r="AI197" s="8">
        <v>121950</v>
      </c>
      <c r="AJ197" s="8">
        <v>124352</v>
      </c>
      <c r="AK197" s="8">
        <v>237276</v>
      </c>
      <c r="AL197" s="8">
        <v>240838</v>
      </c>
      <c r="AM197" s="8">
        <v>263613</v>
      </c>
      <c r="AN197" s="8">
        <v>536499</v>
      </c>
      <c r="AO197" s="9">
        <f t="shared" si="97"/>
        <v>536499</v>
      </c>
      <c r="AP197" s="8">
        <v>1557</v>
      </c>
      <c r="AQ197" s="8">
        <v>2023</v>
      </c>
      <c r="AR197" s="8">
        <v>12235</v>
      </c>
      <c r="AS197" s="8">
        <v>25449</v>
      </c>
      <c r="AT197" s="8">
        <v>28566</v>
      </c>
      <c r="AU197" s="8">
        <v>48194</v>
      </c>
      <c r="AV197" s="8">
        <v>56504</v>
      </c>
      <c r="AW197" s="8">
        <v>59898</v>
      </c>
      <c r="AX197" s="8">
        <v>63957</v>
      </c>
      <c r="AY197" s="8">
        <v>70783</v>
      </c>
      <c r="AZ197" s="8">
        <v>75838</v>
      </c>
      <c r="BA197" s="8">
        <v>343666</v>
      </c>
      <c r="BB197" s="9">
        <f t="shared" si="98"/>
        <v>343666</v>
      </c>
      <c r="BC197" s="8">
        <v>3716</v>
      </c>
      <c r="BD197" s="8">
        <v>8759</v>
      </c>
      <c r="BE197" s="8">
        <v>13520</v>
      </c>
      <c r="BF197" s="8">
        <v>33682</v>
      </c>
      <c r="BG197" s="8">
        <v>37008</v>
      </c>
      <c r="BH197" s="8">
        <v>58239</v>
      </c>
      <c r="BI197" s="8">
        <v>65076</v>
      </c>
      <c r="BJ197" s="8">
        <v>72572</v>
      </c>
      <c r="BK197" s="8">
        <v>73511</v>
      </c>
      <c r="BL197" s="8">
        <v>79149</v>
      </c>
      <c r="BM197" s="8">
        <v>82629</v>
      </c>
      <c r="BN197" s="8">
        <v>1896806</v>
      </c>
      <c r="BO197" s="9">
        <f t="shared" si="99"/>
        <v>1896806</v>
      </c>
      <c r="BP197" s="8">
        <v>0</v>
      </c>
      <c r="BQ197" s="8">
        <v>0</v>
      </c>
      <c r="BR197" s="8">
        <v>0</v>
      </c>
      <c r="BS197" s="8">
        <v>0</v>
      </c>
      <c r="BT197" s="8">
        <v>0</v>
      </c>
      <c r="BU197" s="8">
        <v>0</v>
      </c>
      <c r="BV197" s="8">
        <v>0</v>
      </c>
      <c r="BW197" s="8">
        <v>128520</v>
      </c>
      <c r="BX197" s="8">
        <v>128520</v>
      </c>
      <c r="BY197" s="8">
        <v>139598</v>
      </c>
      <c r="BZ197" s="8">
        <v>173191</v>
      </c>
      <c r="CA197" s="8">
        <v>756910</v>
      </c>
      <c r="CB197" s="9">
        <f t="shared" si="100"/>
        <v>756910</v>
      </c>
      <c r="CC197" s="8">
        <v>0</v>
      </c>
      <c r="CD197" s="8">
        <v>1246</v>
      </c>
      <c r="CE197" s="8">
        <v>1246</v>
      </c>
      <c r="CF197" s="8">
        <v>123837</v>
      </c>
      <c r="CG197" s="8">
        <v>123837</v>
      </c>
      <c r="CH197" s="8">
        <v>199392</v>
      </c>
      <c r="CI197" s="8">
        <v>218513</v>
      </c>
      <c r="CJ197" s="8">
        <v>227169</v>
      </c>
      <c r="CK197" s="8">
        <v>307304</v>
      </c>
      <c r="CL197" s="8">
        <v>383453</v>
      </c>
      <c r="CM197" s="8">
        <v>584437</v>
      </c>
      <c r="CN197" s="8">
        <v>814213</v>
      </c>
      <c r="CO197" s="9">
        <f t="shared" si="101"/>
        <v>814213</v>
      </c>
      <c r="CP197" s="8">
        <v>0</v>
      </c>
      <c r="CQ197" s="8">
        <v>42307</v>
      </c>
      <c r="CR197" s="8">
        <v>55404</v>
      </c>
      <c r="CS197" s="8">
        <v>151090</v>
      </c>
      <c r="CT197" s="8">
        <v>151090</v>
      </c>
      <c r="CU197" s="8">
        <v>195264</v>
      </c>
      <c r="CV197" s="8">
        <v>183106</v>
      </c>
      <c r="CW197" s="8">
        <v>203863</v>
      </c>
      <c r="CX197" s="8">
        <v>203863</v>
      </c>
      <c r="CY197" s="8">
        <v>483916</v>
      </c>
      <c r="CZ197" s="8">
        <v>492238</v>
      </c>
      <c r="DA197" s="8">
        <v>1187835</v>
      </c>
      <c r="DB197" s="9">
        <f t="shared" si="102"/>
        <v>1187835</v>
      </c>
      <c r="DC197" s="8">
        <v>0</v>
      </c>
      <c r="DD197" s="8">
        <v>0</v>
      </c>
      <c r="DE197" s="8">
        <v>2011</v>
      </c>
      <c r="DF197" s="8">
        <v>7418</v>
      </c>
      <c r="DG197" s="8">
        <v>16712</v>
      </c>
      <c r="DH197" s="8">
        <v>24338</v>
      </c>
      <c r="DI197" s="8">
        <v>62632</v>
      </c>
      <c r="DJ197" s="8">
        <v>89363</v>
      </c>
      <c r="DK197" s="8">
        <v>129706</v>
      </c>
      <c r="DL197" s="8">
        <v>288475</v>
      </c>
      <c r="DM197" s="8">
        <v>313880</v>
      </c>
      <c r="DN197" s="8">
        <v>1615483</v>
      </c>
      <c r="DO197" s="9">
        <f t="shared" si="103"/>
        <v>1615483</v>
      </c>
      <c r="DP197" s="8">
        <v>0</v>
      </c>
      <c r="DQ197" s="8">
        <v>0</v>
      </c>
      <c r="DR197" s="8">
        <v>0</v>
      </c>
      <c r="DS197" s="8">
        <v>0</v>
      </c>
      <c r="DT197" s="8">
        <v>0</v>
      </c>
      <c r="DU197" s="8">
        <v>140301</v>
      </c>
      <c r="DV197" s="8">
        <v>308588</v>
      </c>
      <c r="DW197" s="8">
        <v>312286</v>
      </c>
      <c r="DX197" s="8">
        <v>357836</v>
      </c>
      <c r="DY197" s="8">
        <v>383522</v>
      </c>
      <c r="DZ197" s="8">
        <v>572784</v>
      </c>
      <c r="EA197" s="8">
        <v>824019</v>
      </c>
      <c r="EB197" s="9">
        <f t="shared" si="104"/>
        <v>824019</v>
      </c>
      <c r="EC197" s="8">
        <v>0</v>
      </c>
      <c r="ED197" s="8">
        <v>0</v>
      </c>
      <c r="EE197" s="8">
        <v>5397</v>
      </c>
      <c r="EF197" s="8">
        <v>11722</v>
      </c>
      <c r="EG197" s="8">
        <v>19621</v>
      </c>
      <c r="EH197" s="8">
        <v>25307</v>
      </c>
      <c r="EI197" s="8">
        <v>35466</v>
      </c>
      <c r="EJ197" s="8">
        <v>89146</v>
      </c>
      <c r="EK197" s="8">
        <v>205984</v>
      </c>
      <c r="EL197" s="8">
        <v>340824</v>
      </c>
      <c r="EM197" s="8">
        <v>401366</v>
      </c>
      <c r="EN197" s="8">
        <v>713431</v>
      </c>
      <c r="EO197" s="9">
        <f t="shared" si="105"/>
        <v>713431</v>
      </c>
      <c r="EP197" s="8">
        <v>2634</v>
      </c>
      <c r="EQ197" s="8">
        <v>15498</v>
      </c>
      <c r="ER197" s="8">
        <v>29564</v>
      </c>
      <c r="ES197" s="8">
        <v>34598</v>
      </c>
      <c r="ET197" s="8">
        <v>67061</v>
      </c>
      <c r="EU197" s="8">
        <v>84871</v>
      </c>
      <c r="EV197" s="8">
        <v>90609</v>
      </c>
      <c r="EW197" s="8">
        <v>101428</v>
      </c>
      <c r="EX197" s="8">
        <v>155528</v>
      </c>
      <c r="EY197" s="8">
        <v>231983</v>
      </c>
      <c r="EZ197" s="8">
        <v>573229</v>
      </c>
      <c r="FA197" s="8">
        <v>1133324</v>
      </c>
      <c r="FB197" s="9">
        <f t="shared" si="106"/>
        <v>1133324</v>
      </c>
      <c r="FC197" s="8">
        <v>0</v>
      </c>
      <c r="FD197" s="8">
        <v>1998</v>
      </c>
      <c r="FE197" s="8">
        <v>1998</v>
      </c>
      <c r="FF197" s="8">
        <v>16954</v>
      </c>
      <c r="FG197" s="8">
        <v>32342</v>
      </c>
      <c r="FH197" s="8">
        <v>33019</v>
      </c>
      <c r="FI197" s="8">
        <v>65902</v>
      </c>
      <c r="FJ197" s="8"/>
      <c r="FK197" s="8"/>
      <c r="FL197" s="8"/>
      <c r="FM197" s="8"/>
      <c r="FN197" s="8"/>
      <c r="FO197" s="9">
        <f t="shared" si="107"/>
        <v>65902</v>
      </c>
    </row>
    <row r="198" spans="2:171" ht="14.25" customHeight="1" x14ac:dyDescent="0.3">
      <c r="B198" s="7" t="s">
        <v>50</v>
      </c>
      <c r="C198" s="8">
        <v>9916</v>
      </c>
      <c r="D198" s="8">
        <v>21770</v>
      </c>
      <c r="E198" s="8">
        <v>34914</v>
      </c>
      <c r="F198" s="8">
        <v>51411</v>
      </c>
      <c r="G198" s="8">
        <v>68425</v>
      </c>
      <c r="H198" s="8">
        <v>79556</v>
      </c>
      <c r="I198" s="8">
        <v>126410</v>
      </c>
      <c r="J198" s="8">
        <v>131348</v>
      </c>
      <c r="K198" s="8">
        <v>157970</v>
      </c>
      <c r="L198" s="8">
        <v>199731</v>
      </c>
      <c r="M198" s="8">
        <v>217197</v>
      </c>
      <c r="N198" s="8">
        <v>1714573</v>
      </c>
      <c r="O198" s="9">
        <f t="shared" si="95"/>
        <v>1714573</v>
      </c>
      <c r="P198" s="8">
        <v>1198</v>
      </c>
      <c r="Q198" s="8">
        <v>8747</v>
      </c>
      <c r="R198" s="8">
        <v>21295</v>
      </c>
      <c r="S198" s="8">
        <v>92072</v>
      </c>
      <c r="T198" s="8">
        <v>162456</v>
      </c>
      <c r="U198" s="8">
        <v>180020</v>
      </c>
      <c r="V198" s="8">
        <v>198094</v>
      </c>
      <c r="W198" s="8">
        <v>224670</v>
      </c>
      <c r="X198" s="8">
        <v>295383</v>
      </c>
      <c r="Y198" s="8">
        <v>302512</v>
      </c>
      <c r="Z198" s="8">
        <v>744070</v>
      </c>
      <c r="AA198" s="8">
        <v>5348625</v>
      </c>
      <c r="AB198" s="9">
        <f t="shared" si="96"/>
        <v>5348625</v>
      </c>
      <c r="AC198" s="8">
        <v>806</v>
      </c>
      <c r="AD198" s="8">
        <v>24151</v>
      </c>
      <c r="AE198" s="8">
        <v>65444</v>
      </c>
      <c r="AF198" s="8">
        <v>82482</v>
      </c>
      <c r="AG198" s="8">
        <v>97980</v>
      </c>
      <c r="AH198" s="8">
        <v>114433</v>
      </c>
      <c r="AI198" s="8">
        <v>457572</v>
      </c>
      <c r="AJ198" s="8">
        <v>472745</v>
      </c>
      <c r="AK198" s="8">
        <v>492137</v>
      </c>
      <c r="AL198" s="8">
        <v>512044</v>
      </c>
      <c r="AM198" s="8">
        <v>518577</v>
      </c>
      <c r="AN198" s="8">
        <v>2351193</v>
      </c>
      <c r="AO198" s="9">
        <f t="shared" si="97"/>
        <v>2351193</v>
      </c>
      <c r="AP198" s="8">
        <v>15730</v>
      </c>
      <c r="AQ198" s="8">
        <v>26597</v>
      </c>
      <c r="AR198" s="8">
        <v>55503</v>
      </c>
      <c r="AS198" s="8">
        <v>80121</v>
      </c>
      <c r="AT198" s="8">
        <v>90575</v>
      </c>
      <c r="AU198" s="8">
        <v>123428</v>
      </c>
      <c r="AV198" s="8">
        <v>142009</v>
      </c>
      <c r="AW198" s="8">
        <v>176335</v>
      </c>
      <c r="AX198" s="8">
        <v>240794</v>
      </c>
      <c r="AY198" s="8">
        <v>266125</v>
      </c>
      <c r="AZ198" s="8">
        <v>320498</v>
      </c>
      <c r="BA198" s="8">
        <v>2442265</v>
      </c>
      <c r="BB198" s="9">
        <f t="shared" si="98"/>
        <v>2442265</v>
      </c>
      <c r="BC198" s="8">
        <v>0</v>
      </c>
      <c r="BD198" s="8">
        <v>18013</v>
      </c>
      <c r="BE198" s="8">
        <v>94774</v>
      </c>
      <c r="BF198" s="8">
        <v>137594</v>
      </c>
      <c r="BG198" s="8">
        <v>153150</v>
      </c>
      <c r="BH198" s="8">
        <v>165415</v>
      </c>
      <c r="BI198" s="8">
        <v>173487</v>
      </c>
      <c r="BJ198" s="8">
        <v>182632</v>
      </c>
      <c r="BK198" s="8">
        <v>327458</v>
      </c>
      <c r="BL198" s="8">
        <v>335947</v>
      </c>
      <c r="BM198" s="8">
        <v>771077</v>
      </c>
      <c r="BN198" s="8">
        <v>4320732</v>
      </c>
      <c r="BO198" s="9">
        <f t="shared" si="99"/>
        <v>4320732</v>
      </c>
      <c r="BP198" s="8">
        <v>0</v>
      </c>
      <c r="BQ198" s="8">
        <v>0</v>
      </c>
      <c r="BR198" s="8">
        <v>0</v>
      </c>
      <c r="BS198" s="8">
        <v>0</v>
      </c>
      <c r="BT198" s="8">
        <v>0</v>
      </c>
      <c r="BU198" s="8">
        <v>0</v>
      </c>
      <c r="BV198" s="8">
        <v>0</v>
      </c>
      <c r="BW198" s="8">
        <v>0</v>
      </c>
      <c r="BX198" s="8">
        <v>189973</v>
      </c>
      <c r="BY198" s="8">
        <v>405837</v>
      </c>
      <c r="BZ198" s="8">
        <v>419068</v>
      </c>
      <c r="CA198" s="8">
        <v>849621</v>
      </c>
      <c r="CB198" s="9">
        <f t="shared" si="100"/>
        <v>849621</v>
      </c>
      <c r="CC198" s="8">
        <v>608</v>
      </c>
      <c r="CD198" s="8">
        <v>453</v>
      </c>
      <c r="CE198" s="8">
        <v>453</v>
      </c>
      <c r="CF198" s="8">
        <v>4953</v>
      </c>
      <c r="CG198" s="8">
        <v>4953</v>
      </c>
      <c r="CH198" s="8">
        <v>462469</v>
      </c>
      <c r="CI198" s="8">
        <v>584605</v>
      </c>
      <c r="CJ198" s="8">
        <v>753850</v>
      </c>
      <c r="CK198" s="8">
        <v>987059</v>
      </c>
      <c r="CL198" s="8">
        <v>1180595</v>
      </c>
      <c r="CM198" s="8">
        <v>1232899</v>
      </c>
      <c r="CN198" s="8">
        <v>2520539</v>
      </c>
      <c r="CO198" s="9">
        <f t="shared" si="101"/>
        <v>2520539</v>
      </c>
      <c r="CP198" s="8">
        <v>12969</v>
      </c>
      <c r="CQ198" s="8">
        <v>82229</v>
      </c>
      <c r="CR198" s="8">
        <v>99278</v>
      </c>
      <c r="CS198" s="8">
        <v>110120</v>
      </c>
      <c r="CT198" s="8">
        <v>139657</v>
      </c>
      <c r="CU198" s="8">
        <v>154029</v>
      </c>
      <c r="CV198" s="8">
        <v>161462</v>
      </c>
      <c r="CW198" s="8">
        <v>172127</v>
      </c>
      <c r="CX198" s="8">
        <v>174102</v>
      </c>
      <c r="CY198" s="8">
        <v>174102</v>
      </c>
      <c r="CZ198" s="8">
        <v>179276</v>
      </c>
      <c r="DA198" s="8">
        <v>1360887</v>
      </c>
      <c r="DB198" s="9">
        <f t="shared" si="102"/>
        <v>1360887</v>
      </c>
      <c r="DC198" s="8">
        <v>0</v>
      </c>
      <c r="DD198" s="8">
        <v>30029</v>
      </c>
      <c r="DE198" s="8">
        <v>139577</v>
      </c>
      <c r="DF198" s="8">
        <v>159841</v>
      </c>
      <c r="DG198" s="8">
        <v>208127</v>
      </c>
      <c r="DH198" s="8">
        <v>237709</v>
      </c>
      <c r="DI198" s="8">
        <v>256913</v>
      </c>
      <c r="DJ198" s="8">
        <v>279125</v>
      </c>
      <c r="DK198" s="8">
        <v>312564</v>
      </c>
      <c r="DL198" s="8">
        <v>321336</v>
      </c>
      <c r="DM198" s="8">
        <v>323597</v>
      </c>
      <c r="DN198" s="8">
        <v>2124547</v>
      </c>
      <c r="DO198" s="9">
        <f t="shared" si="103"/>
        <v>2124547</v>
      </c>
      <c r="DP198" s="8">
        <v>4959</v>
      </c>
      <c r="DQ198" s="8">
        <v>9977</v>
      </c>
      <c r="DR198" s="8">
        <v>19334</v>
      </c>
      <c r="DS198" s="8">
        <v>64295</v>
      </c>
      <c r="DT198" s="8">
        <v>84281</v>
      </c>
      <c r="DU198" s="8">
        <v>109249</v>
      </c>
      <c r="DV198" s="8">
        <v>212600</v>
      </c>
      <c r="DW198" s="8">
        <v>245741</v>
      </c>
      <c r="DX198" s="8">
        <v>339818</v>
      </c>
      <c r="DY198" s="8">
        <v>453939</v>
      </c>
      <c r="DZ198" s="8">
        <v>484086</v>
      </c>
      <c r="EA198" s="8">
        <v>1650142</v>
      </c>
      <c r="EB198" s="9">
        <f t="shared" si="104"/>
        <v>1650142</v>
      </c>
      <c r="EC198" s="8">
        <v>0</v>
      </c>
      <c r="ED198" s="8">
        <v>43063</v>
      </c>
      <c r="EE198" s="8">
        <v>58014</v>
      </c>
      <c r="EF198" s="8">
        <v>61920</v>
      </c>
      <c r="EG198" s="8">
        <v>94099</v>
      </c>
      <c r="EH198" s="8">
        <v>96205</v>
      </c>
      <c r="EI198" s="8">
        <v>117674</v>
      </c>
      <c r="EJ198" s="8">
        <v>166698</v>
      </c>
      <c r="EK198" s="8">
        <v>204378</v>
      </c>
      <c r="EL198" s="8">
        <v>632965</v>
      </c>
      <c r="EM198" s="8">
        <v>1043126</v>
      </c>
      <c r="EN198" s="8">
        <v>1512651</v>
      </c>
      <c r="EO198" s="9">
        <f t="shared" si="105"/>
        <v>1512651</v>
      </c>
      <c r="EP198" s="8">
        <v>3738</v>
      </c>
      <c r="EQ198" s="8">
        <v>19756</v>
      </c>
      <c r="ER198" s="8">
        <v>24707</v>
      </c>
      <c r="ES198" s="8">
        <v>35791</v>
      </c>
      <c r="ET198" s="8">
        <v>88140</v>
      </c>
      <c r="EU198" s="8">
        <v>122349</v>
      </c>
      <c r="EV198" s="8">
        <v>133547</v>
      </c>
      <c r="EW198" s="8">
        <v>176145</v>
      </c>
      <c r="EX198" s="8">
        <v>403471</v>
      </c>
      <c r="EY198" s="8">
        <v>954829</v>
      </c>
      <c r="EZ198" s="8">
        <v>1140207</v>
      </c>
      <c r="FA198" s="8">
        <v>2498697</v>
      </c>
      <c r="FB198" s="9">
        <f t="shared" si="106"/>
        <v>2498697</v>
      </c>
      <c r="FC198" s="8">
        <v>14466</v>
      </c>
      <c r="FD198" s="8">
        <v>22679</v>
      </c>
      <c r="FE198" s="8">
        <v>29403</v>
      </c>
      <c r="FF198" s="8">
        <v>52978</v>
      </c>
      <c r="FG198" s="8">
        <v>74547</v>
      </c>
      <c r="FH198" s="8">
        <v>154893</v>
      </c>
      <c r="FI198" s="8">
        <v>240379</v>
      </c>
      <c r="FJ198" s="8"/>
      <c r="FK198" s="8"/>
      <c r="FL198" s="8"/>
      <c r="FM198" s="8"/>
      <c r="FN198" s="8"/>
      <c r="FO198" s="9">
        <f t="shared" si="107"/>
        <v>240379</v>
      </c>
    </row>
    <row r="199" spans="2:171" ht="14.25" customHeight="1" x14ac:dyDescent="0.3">
      <c r="B199" s="7" t="s">
        <v>51</v>
      </c>
      <c r="C199" s="8">
        <v>0</v>
      </c>
      <c r="D199" s="8">
        <v>697</v>
      </c>
      <c r="E199" s="8">
        <v>7790</v>
      </c>
      <c r="F199" s="8">
        <v>25146</v>
      </c>
      <c r="G199" s="8">
        <v>35964</v>
      </c>
      <c r="H199" s="8">
        <v>96076</v>
      </c>
      <c r="I199" s="8">
        <v>109422</v>
      </c>
      <c r="J199" s="8">
        <v>150085</v>
      </c>
      <c r="K199" s="8">
        <v>160700</v>
      </c>
      <c r="L199" s="8">
        <v>195573</v>
      </c>
      <c r="M199" s="8">
        <v>219745</v>
      </c>
      <c r="N199" s="8">
        <v>1083013</v>
      </c>
      <c r="O199" s="9">
        <f t="shared" si="95"/>
        <v>1083013</v>
      </c>
      <c r="P199" s="8">
        <v>0</v>
      </c>
      <c r="Q199" s="8">
        <v>23501</v>
      </c>
      <c r="R199" s="8">
        <v>30615</v>
      </c>
      <c r="S199" s="8">
        <v>36283</v>
      </c>
      <c r="T199" s="8">
        <v>36814</v>
      </c>
      <c r="U199" s="8">
        <v>131514</v>
      </c>
      <c r="V199" s="8">
        <v>152041</v>
      </c>
      <c r="W199" s="8">
        <v>161885</v>
      </c>
      <c r="X199" s="8">
        <v>173942</v>
      </c>
      <c r="Y199" s="8">
        <v>189897</v>
      </c>
      <c r="Z199" s="8">
        <v>254023</v>
      </c>
      <c r="AA199" s="8">
        <v>5743303</v>
      </c>
      <c r="AB199" s="9">
        <f t="shared" si="96"/>
        <v>5743303</v>
      </c>
      <c r="AC199" s="8">
        <v>0</v>
      </c>
      <c r="AD199" s="8">
        <v>10564</v>
      </c>
      <c r="AE199" s="8">
        <v>22512</v>
      </c>
      <c r="AF199" s="8">
        <v>30628</v>
      </c>
      <c r="AG199" s="8">
        <v>49719</v>
      </c>
      <c r="AH199" s="8">
        <v>65693</v>
      </c>
      <c r="AI199" s="8">
        <v>90495</v>
      </c>
      <c r="AJ199" s="8">
        <v>111338</v>
      </c>
      <c r="AK199" s="8">
        <v>122699</v>
      </c>
      <c r="AL199" s="8">
        <v>354487</v>
      </c>
      <c r="AM199" s="8">
        <v>445681</v>
      </c>
      <c r="AN199" s="8">
        <v>689198</v>
      </c>
      <c r="AO199" s="9">
        <f t="shared" si="97"/>
        <v>689198</v>
      </c>
      <c r="AP199" s="8">
        <v>1881</v>
      </c>
      <c r="AQ199" s="8">
        <v>13740</v>
      </c>
      <c r="AR199" s="8">
        <v>36519</v>
      </c>
      <c r="AS199" s="8">
        <v>82691</v>
      </c>
      <c r="AT199" s="8">
        <v>113104</v>
      </c>
      <c r="AU199" s="8">
        <v>136447</v>
      </c>
      <c r="AV199" s="8">
        <v>154707</v>
      </c>
      <c r="AW199" s="8">
        <v>202147</v>
      </c>
      <c r="AX199" s="8">
        <v>216809</v>
      </c>
      <c r="AY199" s="8">
        <v>252442</v>
      </c>
      <c r="AZ199" s="8">
        <v>296852</v>
      </c>
      <c r="BA199" s="8">
        <v>3304033</v>
      </c>
      <c r="BB199" s="9">
        <f t="shared" si="98"/>
        <v>3304033</v>
      </c>
      <c r="BC199" s="8">
        <v>42689</v>
      </c>
      <c r="BD199" s="8">
        <v>51119</v>
      </c>
      <c r="BE199" s="8">
        <v>70015</v>
      </c>
      <c r="BF199" s="8">
        <v>85237</v>
      </c>
      <c r="BG199" s="8">
        <v>96204</v>
      </c>
      <c r="BH199" s="8">
        <v>115279</v>
      </c>
      <c r="BI199" s="8">
        <v>455199</v>
      </c>
      <c r="BJ199" s="8">
        <v>476531</v>
      </c>
      <c r="BK199" s="8">
        <v>506214</v>
      </c>
      <c r="BL199" s="8">
        <v>650572</v>
      </c>
      <c r="BM199" s="8">
        <v>1125507</v>
      </c>
      <c r="BN199" s="8">
        <v>6225986</v>
      </c>
      <c r="BO199" s="9">
        <f t="shared" si="99"/>
        <v>6225986</v>
      </c>
      <c r="BP199" s="8">
        <v>0</v>
      </c>
      <c r="BQ199" s="8">
        <v>0</v>
      </c>
      <c r="BR199" s="8">
        <v>0</v>
      </c>
      <c r="BS199" s="8">
        <v>0</v>
      </c>
      <c r="BT199" s="8">
        <v>0</v>
      </c>
      <c r="BU199" s="8">
        <v>3155</v>
      </c>
      <c r="BV199" s="8">
        <v>9076</v>
      </c>
      <c r="BW199" s="8">
        <v>80906</v>
      </c>
      <c r="BX199" s="8">
        <v>95776</v>
      </c>
      <c r="BY199" s="8">
        <v>169337</v>
      </c>
      <c r="BZ199" s="8">
        <v>214033</v>
      </c>
      <c r="CA199" s="8">
        <v>2543738</v>
      </c>
      <c r="CB199" s="9">
        <f t="shared" si="100"/>
        <v>2543738</v>
      </c>
      <c r="CC199" s="8">
        <v>0</v>
      </c>
      <c r="CD199" s="8">
        <v>2388</v>
      </c>
      <c r="CE199" s="8">
        <v>2388</v>
      </c>
      <c r="CF199" s="8">
        <v>5450</v>
      </c>
      <c r="CG199" s="8">
        <v>9602</v>
      </c>
      <c r="CH199" s="8">
        <v>223525</v>
      </c>
      <c r="CI199" s="8">
        <v>270777</v>
      </c>
      <c r="CJ199" s="8">
        <v>294008</v>
      </c>
      <c r="CK199" s="8">
        <v>321381</v>
      </c>
      <c r="CL199" s="8">
        <v>444449</v>
      </c>
      <c r="CM199" s="8">
        <v>574761</v>
      </c>
      <c r="CN199" s="8">
        <v>1333224</v>
      </c>
      <c r="CO199" s="9">
        <f t="shared" si="101"/>
        <v>1333224</v>
      </c>
      <c r="CP199" s="8">
        <v>0</v>
      </c>
      <c r="CQ199" s="8">
        <v>0</v>
      </c>
      <c r="CR199" s="8">
        <v>60374</v>
      </c>
      <c r="CS199" s="8">
        <v>85451</v>
      </c>
      <c r="CT199" s="8">
        <v>209379</v>
      </c>
      <c r="CU199" s="8">
        <v>211428</v>
      </c>
      <c r="CV199" s="8">
        <v>258317</v>
      </c>
      <c r="CW199" s="8">
        <v>259937</v>
      </c>
      <c r="CX199" s="8">
        <v>264807</v>
      </c>
      <c r="CY199" s="8">
        <v>320941</v>
      </c>
      <c r="CZ199" s="8">
        <v>345825</v>
      </c>
      <c r="DA199" s="8">
        <v>1456358</v>
      </c>
      <c r="DB199" s="9">
        <f t="shared" si="102"/>
        <v>1456358</v>
      </c>
      <c r="DC199" s="8">
        <v>192</v>
      </c>
      <c r="DD199" s="8">
        <v>3525</v>
      </c>
      <c r="DE199" s="8">
        <v>4520</v>
      </c>
      <c r="DF199" s="8">
        <v>26742</v>
      </c>
      <c r="DG199" s="8">
        <v>61539</v>
      </c>
      <c r="DH199" s="8">
        <v>73314</v>
      </c>
      <c r="DI199" s="8">
        <v>115381</v>
      </c>
      <c r="DJ199" s="8">
        <v>144248</v>
      </c>
      <c r="DK199" s="8">
        <v>163178</v>
      </c>
      <c r="DL199" s="8">
        <v>259520</v>
      </c>
      <c r="DM199" s="8">
        <v>643094</v>
      </c>
      <c r="DN199" s="8">
        <v>2666156</v>
      </c>
      <c r="DO199" s="9">
        <f t="shared" si="103"/>
        <v>2666156</v>
      </c>
      <c r="DP199" s="8">
        <v>1008</v>
      </c>
      <c r="DQ199" s="8">
        <v>1618</v>
      </c>
      <c r="DR199" s="8">
        <v>4842</v>
      </c>
      <c r="DS199" s="8">
        <v>13416</v>
      </c>
      <c r="DT199" s="8">
        <v>37713</v>
      </c>
      <c r="DU199" s="8">
        <v>53925</v>
      </c>
      <c r="DV199" s="8">
        <v>84221</v>
      </c>
      <c r="DW199" s="8">
        <v>125223</v>
      </c>
      <c r="DX199" s="8">
        <v>384707</v>
      </c>
      <c r="DY199" s="8">
        <v>535715</v>
      </c>
      <c r="DZ199" s="8">
        <v>947890</v>
      </c>
      <c r="EA199" s="8">
        <v>2874273</v>
      </c>
      <c r="EB199" s="9">
        <f t="shared" si="104"/>
        <v>2874273</v>
      </c>
      <c r="EC199" s="8">
        <v>0</v>
      </c>
      <c r="ED199" s="8">
        <v>1779</v>
      </c>
      <c r="EE199" s="8">
        <v>5723</v>
      </c>
      <c r="EF199" s="8">
        <v>45499</v>
      </c>
      <c r="EG199" s="8">
        <v>54977</v>
      </c>
      <c r="EH199" s="8">
        <v>164335</v>
      </c>
      <c r="EI199" s="8">
        <v>182048</v>
      </c>
      <c r="EJ199" s="8">
        <v>214593</v>
      </c>
      <c r="EK199" s="8">
        <v>233591</v>
      </c>
      <c r="EL199" s="8">
        <v>336526</v>
      </c>
      <c r="EM199" s="8">
        <v>358176</v>
      </c>
      <c r="EN199" s="8">
        <v>2597210</v>
      </c>
      <c r="EO199" s="9">
        <f t="shared" si="105"/>
        <v>2597210</v>
      </c>
      <c r="EP199" s="8">
        <v>5655</v>
      </c>
      <c r="EQ199" s="8">
        <v>20370</v>
      </c>
      <c r="ER199" s="8">
        <v>35136</v>
      </c>
      <c r="ES199" s="8">
        <v>49181</v>
      </c>
      <c r="ET199" s="8">
        <v>90645</v>
      </c>
      <c r="EU199" s="8">
        <v>129127</v>
      </c>
      <c r="EV199" s="8">
        <v>274210</v>
      </c>
      <c r="EW199" s="8">
        <v>288537</v>
      </c>
      <c r="EX199" s="8">
        <v>728314</v>
      </c>
      <c r="EY199" s="8">
        <v>970123</v>
      </c>
      <c r="EZ199" s="8">
        <v>1243774</v>
      </c>
      <c r="FA199" s="8">
        <v>1551017</v>
      </c>
      <c r="FB199" s="9">
        <f t="shared" si="106"/>
        <v>1551017</v>
      </c>
      <c r="FC199" s="8">
        <v>403</v>
      </c>
      <c r="FD199" s="8">
        <v>24677</v>
      </c>
      <c r="FE199" s="8">
        <v>34475</v>
      </c>
      <c r="FF199" s="8">
        <v>71101</v>
      </c>
      <c r="FG199" s="8">
        <v>84551</v>
      </c>
      <c r="FH199" s="8">
        <v>181028</v>
      </c>
      <c r="FI199" s="8">
        <v>230285</v>
      </c>
      <c r="FJ199" s="8"/>
      <c r="FK199" s="8"/>
      <c r="FL199" s="8"/>
      <c r="FM199" s="8"/>
      <c r="FN199" s="8"/>
      <c r="FO199" s="9">
        <f t="shared" si="107"/>
        <v>230285</v>
      </c>
    </row>
    <row r="200" spans="2:171" ht="14.25" customHeight="1" x14ac:dyDescent="0.3">
      <c r="B200" s="7" t="s">
        <v>52</v>
      </c>
      <c r="C200" s="8">
        <v>0</v>
      </c>
      <c r="D200" s="8">
        <v>1820</v>
      </c>
      <c r="E200" s="8">
        <v>27878</v>
      </c>
      <c r="F200" s="8">
        <v>55895</v>
      </c>
      <c r="G200" s="8">
        <v>65321</v>
      </c>
      <c r="H200" s="8">
        <v>78814</v>
      </c>
      <c r="I200" s="8">
        <v>122053</v>
      </c>
      <c r="J200" s="8">
        <v>174415</v>
      </c>
      <c r="K200" s="8">
        <v>205132</v>
      </c>
      <c r="L200" s="8">
        <v>257527</v>
      </c>
      <c r="M200" s="8">
        <v>312098</v>
      </c>
      <c r="N200" s="8">
        <v>4458384</v>
      </c>
      <c r="O200" s="9">
        <f t="shared" si="95"/>
        <v>4458384</v>
      </c>
      <c r="P200" s="8">
        <v>2666</v>
      </c>
      <c r="Q200" s="8">
        <v>39544</v>
      </c>
      <c r="R200" s="8">
        <v>72427</v>
      </c>
      <c r="S200" s="8">
        <v>87275</v>
      </c>
      <c r="T200" s="8">
        <v>101622</v>
      </c>
      <c r="U200" s="8">
        <v>182816</v>
      </c>
      <c r="V200" s="8">
        <v>309028</v>
      </c>
      <c r="W200" s="8">
        <v>389719</v>
      </c>
      <c r="X200" s="8">
        <v>547802</v>
      </c>
      <c r="Y200" s="8">
        <v>688896</v>
      </c>
      <c r="Z200" s="8">
        <v>1299134</v>
      </c>
      <c r="AA200" s="8">
        <v>4089778</v>
      </c>
      <c r="AB200" s="9">
        <f t="shared" si="96"/>
        <v>4089778</v>
      </c>
      <c r="AC200" s="8">
        <v>0</v>
      </c>
      <c r="AD200" s="8">
        <v>3444</v>
      </c>
      <c r="AE200" s="8">
        <v>94369</v>
      </c>
      <c r="AF200" s="8">
        <v>105910</v>
      </c>
      <c r="AG200" s="8">
        <v>118522</v>
      </c>
      <c r="AH200" s="8">
        <v>134938</v>
      </c>
      <c r="AI200" s="8">
        <v>439355</v>
      </c>
      <c r="AJ200" s="8">
        <v>463405</v>
      </c>
      <c r="AK200" s="8">
        <v>487198</v>
      </c>
      <c r="AL200" s="8">
        <v>489588</v>
      </c>
      <c r="AM200" s="8">
        <v>609005</v>
      </c>
      <c r="AN200" s="8">
        <v>1746315</v>
      </c>
      <c r="AO200" s="9">
        <f t="shared" si="97"/>
        <v>1746315</v>
      </c>
      <c r="AP200" s="8">
        <v>1779</v>
      </c>
      <c r="AQ200" s="8">
        <v>3949</v>
      </c>
      <c r="AR200" s="8">
        <v>9947</v>
      </c>
      <c r="AS200" s="8">
        <v>27808</v>
      </c>
      <c r="AT200" s="8">
        <v>38334</v>
      </c>
      <c r="AU200" s="8">
        <v>60262</v>
      </c>
      <c r="AV200" s="8">
        <v>82283</v>
      </c>
      <c r="AW200" s="8">
        <v>148223</v>
      </c>
      <c r="AX200" s="8">
        <v>180827</v>
      </c>
      <c r="AY200" s="8">
        <v>201188</v>
      </c>
      <c r="AZ200" s="8">
        <v>424504</v>
      </c>
      <c r="BA200" s="8">
        <v>721567</v>
      </c>
      <c r="BB200" s="9">
        <f t="shared" si="98"/>
        <v>721567</v>
      </c>
      <c r="BC200" s="8">
        <v>24003</v>
      </c>
      <c r="BD200" s="8">
        <v>34605</v>
      </c>
      <c r="BE200" s="8">
        <v>62717</v>
      </c>
      <c r="BF200" s="8">
        <v>94505</v>
      </c>
      <c r="BG200" s="8">
        <v>104991</v>
      </c>
      <c r="BH200" s="8">
        <v>125930</v>
      </c>
      <c r="BI200" s="8">
        <v>140149</v>
      </c>
      <c r="BJ200" s="8">
        <v>171704</v>
      </c>
      <c r="BK200" s="8">
        <v>178780</v>
      </c>
      <c r="BL200" s="8">
        <v>220065</v>
      </c>
      <c r="BM200" s="8">
        <v>260276</v>
      </c>
      <c r="BN200" s="8">
        <v>3152704</v>
      </c>
      <c r="BO200" s="9">
        <f t="shared" si="99"/>
        <v>3152704</v>
      </c>
      <c r="BP200" s="8">
        <v>0</v>
      </c>
      <c r="BQ200" s="8">
        <v>0</v>
      </c>
      <c r="BR200" s="8">
        <v>0</v>
      </c>
      <c r="BS200" s="8">
        <v>0</v>
      </c>
      <c r="BT200" s="8">
        <v>3627</v>
      </c>
      <c r="BU200" s="8">
        <v>14817</v>
      </c>
      <c r="BV200" s="8">
        <v>14817</v>
      </c>
      <c r="BW200" s="8">
        <v>14817</v>
      </c>
      <c r="BX200" s="8">
        <v>17240</v>
      </c>
      <c r="BY200" s="8">
        <v>23505</v>
      </c>
      <c r="BZ200" s="8">
        <v>184902</v>
      </c>
      <c r="CA200" s="8">
        <v>3062061</v>
      </c>
      <c r="CB200" s="9">
        <f t="shared" si="100"/>
        <v>3062061</v>
      </c>
      <c r="CC200" s="8">
        <v>0</v>
      </c>
      <c r="CD200" s="8">
        <v>0</v>
      </c>
      <c r="CE200" s="8">
        <v>5137</v>
      </c>
      <c r="CF200" s="8">
        <v>17044</v>
      </c>
      <c r="CG200" s="8">
        <v>46786</v>
      </c>
      <c r="CH200" s="8">
        <v>59028</v>
      </c>
      <c r="CI200" s="8">
        <v>192467</v>
      </c>
      <c r="CJ200" s="8">
        <v>472433</v>
      </c>
      <c r="CK200" s="8">
        <v>534944</v>
      </c>
      <c r="CL200" s="8">
        <v>617878</v>
      </c>
      <c r="CM200" s="8">
        <v>953772</v>
      </c>
      <c r="CN200" s="8">
        <v>2342013</v>
      </c>
      <c r="CO200" s="9">
        <f t="shared" si="101"/>
        <v>2342013</v>
      </c>
      <c r="CP200" s="8">
        <v>2754</v>
      </c>
      <c r="CQ200" s="8">
        <v>28980</v>
      </c>
      <c r="CR200" s="8">
        <v>49241</v>
      </c>
      <c r="CS200" s="8">
        <v>141469</v>
      </c>
      <c r="CT200" s="8">
        <v>164198</v>
      </c>
      <c r="CU200" s="8">
        <v>172015</v>
      </c>
      <c r="CV200" s="8">
        <v>183028</v>
      </c>
      <c r="CW200" s="8">
        <v>206035</v>
      </c>
      <c r="CX200" s="8">
        <v>226746</v>
      </c>
      <c r="CY200" s="8">
        <v>242578</v>
      </c>
      <c r="CZ200" s="8">
        <v>258933</v>
      </c>
      <c r="DA200" s="8">
        <v>569689</v>
      </c>
      <c r="DB200" s="9">
        <f t="shared" si="102"/>
        <v>569689</v>
      </c>
      <c r="DC200" s="8">
        <v>1779</v>
      </c>
      <c r="DD200" s="8">
        <v>17116</v>
      </c>
      <c r="DE200" s="8">
        <v>69919</v>
      </c>
      <c r="DF200" s="8">
        <v>102424</v>
      </c>
      <c r="DG200" s="8">
        <v>116915</v>
      </c>
      <c r="DH200" s="8">
        <v>141908</v>
      </c>
      <c r="DI200" s="8">
        <v>165717</v>
      </c>
      <c r="DJ200" s="8">
        <v>174557</v>
      </c>
      <c r="DK200" s="8">
        <v>281371</v>
      </c>
      <c r="DL200" s="8">
        <v>372635</v>
      </c>
      <c r="DM200" s="8">
        <v>694320</v>
      </c>
      <c r="DN200" s="8">
        <v>2600033</v>
      </c>
      <c r="DO200" s="9">
        <f t="shared" si="103"/>
        <v>2600033</v>
      </c>
      <c r="DP200" s="8">
        <v>2594</v>
      </c>
      <c r="DQ200" s="8">
        <v>8486</v>
      </c>
      <c r="DR200" s="8">
        <v>17456</v>
      </c>
      <c r="DS200" s="8">
        <v>17454</v>
      </c>
      <c r="DT200" s="8">
        <v>44699</v>
      </c>
      <c r="DU200" s="8">
        <v>60820</v>
      </c>
      <c r="DV200" s="8">
        <v>101909</v>
      </c>
      <c r="DW200" s="8">
        <v>120461</v>
      </c>
      <c r="DX200" s="8">
        <v>165845</v>
      </c>
      <c r="DY200" s="8">
        <v>180111</v>
      </c>
      <c r="DZ200" s="8">
        <v>250893</v>
      </c>
      <c r="EA200" s="8">
        <v>1423298</v>
      </c>
      <c r="EB200" s="9">
        <f t="shared" si="104"/>
        <v>1423298</v>
      </c>
      <c r="EC200" s="8">
        <v>1819</v>
      </c>
      <c r="ED200" s="8">
        <v>12978</v>
      </c>
      <c r="EE200" s="8">
        <v>31469</v>
      </c>
      <c r="EF200" s="8">
        <v>51765</v>
      </c>
      <c r="EG200" s="8">
        <v>134807</v>
      </c>
      <c r="EH200" s="8">
        <v>241749</v>
      </c>
      <c r="EI200" s="8">
        <v>392356</v>
      </c>
      <c r="EJ200" s="8">
        <v>463175</v>
      </c>
      <c r="EK200" s="8">
        <v>519912</v>
      </c>
      <c r="EL200" s="8">
        <v>743451</v>
      </c>
      <c r="EM200" s="8">
        <v>1252543</v>
      </c>
      <c r="EN200" s="8">
        <v>1680872</v>
      </c>
      <c r="EO200" s="9">
        <f t="shared" si="105"/>
        <v>1680872</v>
      </c>
      <c r="EP200" s="8">
        <v>8022</v>
      </c>
      <c r="EQ200" s="8">
        <v>34595</v>
      </c>
      <c r="ER200" s="8">
        <v>135696</v>
      </c>
      <c r="ES200" s="8">
        <v>154823</v>
      </c>
      <c r="ET200" s="8">
        <v>245461</v>
      </c>
      <c r="EU200" s="8">
        <v>714007</v>
      </c>
      <c r="EV200" s="8">
        <v>745359</v>
      </c>
      <c r="EW200" s="8">
        <v>773188</v>
      </c>
      <c r="EX200" s="8">
        <v>864880</v>
      </c>
      <c r="EY200" s="8">
        <v>993432</v>
      </c>
      <c r="EZ200" s="8">
        <v>1214631</v>
      </c>
      <c r="FA200" s="8">
        <v>1582816</v>
      </c>
      <c r="FB200" s="9">
        <f t="shared" si="106"/>
        <v>1582816</v>
      </c>
      <c r="FC200" s="8">
        <v>2397</v>
      </c>
      <c r="FD200" s="8">
        <v>8452</v>
      </c>
      <c r="FE200" s="8">
        <v>138339</v>
      </c>
      <c r="FF200" s="8">
        <v>145186</v>
      </c>
      <c r="FG200" s="8">
        <v>185593</v>
      </c>
      <c r="FH200" s="8">
        <v>241558</v>
      </c>
      <c r="FI200" s="8">
        <v>301746</v>
      </c>
      <c r="FJ200" s="8"/>
      <c r="FK200" s="8"/>
      <c r="FL200" s="8"/>
      <c r="FM200" s="8"/>
      <c r="FN200" s="8"/>
      <c r="FO200" s="9">
        <f t="shared" si="107"/>
        <v>301746</v>
      </c>
    </row>
    <row r="201" spans="2:171" ht="14.25" customHeight="1" x14ac:dyDescent="0.3">
      <c r="B201" s="7" t="s">
        <v>53</v>
      </c>
      <c r="C201" s="8">
        <v>12429</v>
      </c>
      <c r="D201" s="8">
        <v>18916</v>
      </c>
      <c r="E201" s="8">
        <v>35043</v>
      </c>
      <c r="F201" s="8">
        <v>45254</v>
      </c>
      <c r="G201" s="8">
        <v>114634</v>
      </c>
      <c r="H201" s="8">
        <v>131444</v>
      </c>
      <c r="I201" s="8">
        <v>150230</v>
      </c>
      <c r="J201" s="8">
        <v>319113</v>
      </c>
      <c r="K201" s="8">
        <v>363303</v>
      </c>
      <c r="L201" s="8">
        <v>393356</v>
      </c>
      <c r="M201" s="8">
        <v>447099</v>
      </c>
      <c r="N201" s="8">
        <v>928495</v>
      </c>
      <c r="O201" s="9">
        <f t="shared" si="95"/>
        <v>928495</v>
      </c>
      <c r="P201" s="8">
        <v>18204</v>
      </c>
      <c r="Q201" s="8">
        <v>124788</v>
      </c>
      <c r="R201" s="8">
        <v>136150</v>
      </c>
      <c r="S201" s="8">
        <v>142792</v>
      </c>
      <c r="T201" s="8">
        <v>148075</v>
      </c>
      <c r="U201" s="8">
        <v>156646</v>
      </c>
      <c r="V201" s="8">
        <v>163889</v>
      </c>
      <c r="W201" s="8">
        <v>175721</v>
      </c>
      <c r="X201" s="8">
        <v>249843</v>
      </c>
      <c r="Y201" s="8">
        <v>471418</v>
      </c>
      <c r="Z201" s="8">
        <v>913099</v>
      </c>
      <c r="AA201" s="8">
        <v>3155069</v>
      </c>
      <c r="AB201" s="9">
        <f t="shared" si="96"/>
        <v>3155069</v>
      </c>
      <c r="AC201" s="8">
        <v>4616</v>
      </c>
      <c r="AD201" s="8">
        <v>19474</v>
      </c>
      <c r="AE201" s="8">
        <v>36259</v>
      </c>
      <c r="AF201" s="8">
        <v>45802</v>
      </c>
      <c r="AG201" s="8">
        <v>66620</v>
      </c>
      <c r="AH201" s="8">
        <v>87606</v>
      </c>
      <c r="AI201" s="8">
        <v>114552</v>
      </c>
      <c r="AJ201" s="8">
        <v>123764</v>
      </c>
      <c r="AK201" s="8">
        <v>339298</v>
      </c>
      <c r="AL201" s="8">
        <v>349236</v>
      </c>
      <c r="AM201" s="8">
        <v>366768</v>
      </c>
      <c r="AN201" s="8">
        <v>1150171</v>
      </c>
      <c r="AO201" s="9">
        <f t="shared" si="97"/>
        <v>1150171</v>
      </c>
      <c r="AP201" s="8">
        <v>10445</v>
      </c>
      <c r="AQ201" s="8">
        <v>24572</v>
      </c>
      <c r="AR201" s="8">
        <v>31088</v>
      </c>
      <c r="AS201" s="8">
        <v>55890</v>
      </c>
      <c r="AT201" s="8">
        <v>72982</v>
      </c>
      <c r="AU201" s="8">
        <v>96910</v>
      </c>
      <c r="AV201" s="8">
        <v>112120</v>
      </c>
      <c r="AW201" s="8">
        <v>120390</v>
      </c>
      <c r="AX201" s="8">
        <v>128597</v>
      </c>
      <c r="AY201" s="8">
        <v>194603</v>
      </c>
      <c r="AZ201" s="8">
        <v>202833</v>
      </c>
      <c r="BA201" s="8">
        <v>444901</v>
      </c>
      <c r="BB201" s="9">
        <f t="shared" si="98"/>
        <v>444901</v>
      </c>
      <c r="BC201" s="8">
        <v>3728</v>
      </c>
      <c r="BD201" s="8">
        <v>27318</v>
      </c>
      <c r="BE201" s="8">
        <v>48769</v>
      </c>
      <c r="BF201" s="8">
        <v>69267</v>
      </c>
      <c r="BG201" s="8">
        <v>110424</v>
      </c>
      <c r="BH201" s="8">
        <v>125094</v>
      </c>
      <c r="BI201" s="8">
        <v>134122</v>
      </c>
      <c r="BJ201" s="8">
        <v>145374</v>
      </c>
      <c r="BK201" s="8">
        <v>150808</v>
      </c>
      <c r="BL201" s="8">
        <v>203589</v>
      </c>
      <c r="BM201" s="8">
        <v>742422</v>
      </c>
      <c r="BN201" s="8">
        <v>11914175</v>
      </c>
      <c r="BO201" s="9">
        <f t="shared" si="99"/>
        <v>11914175</v>
      </c>
      <c r="BP201" s="8">
        <v>0</v>
      </c>
      <c r="BQ201" s="8">
        <v>0</v>
      </c>
      <c r="BR201" s="8">
        <v>0</v>
      </c>
      <c r="BS201" s="8">
        <v>0</v>
      </c>
      <c r="BT201" s="8">
        <v>0</v>
      </c>
      <c r="BU201" s="8">
        <v>0</v>
      </c>
      <c r="BV201" s="8">
        <v>0</v>
      </c>
      <c r="BW201" s="8">
        <v>0</v>
      </c>
      <c r="BX201" s="8">
        <v>13390</v>
      </c>
      <c r="BY201" s="8">
        <v>14134</v>
      </c>
      <c r="BZ201" s="8">
        <v>197233</v>
      </c>
      <c r="CA201" s="8">
        <v>1140856</v>
      </c>
      <c r="CB201" s="9">
        <f t="shared" si="100"/>
        <v>1140856</v>
      </c>
      <c r="CC201" s="8">
        <v>0</v>
      </c>
      <c r="CD201" s="8">
        <v>0</v>
      </c>
      <c r="CE201" s="8">
        <v>702</v>
      </c>
      <c r="CF201" s="8">
        <v>11134</v>
      </c>
      <c r="CG201" s="8">
        <v>12042</v>
      </c>
      <c r="CH201" s="8">
        <v>13030</v>
      </c>
      <c r="CI201" s="8">
        <v>15926</v>
      </c>
      <c r="CJ201" s="8">
        <v>25132</v>
      </c>
      <c r="CK201" s="8">
        <v>46649</v>
      </c>
      <c r="CL201" s="8">
        <v>52520</v>
      </c>
      <c r="CM201" s="8">
        <v>184452</v>
      </c>
      <c r="CN201" s="8">
        <v>593532</v>
      </c>
      <c r="CO201" s="9">
        <f t="shared" si="101"/>
        <v>593532</v>
      </c>
      <c r="CP201" s="8">
        <v>720</v>
      </c>
      <c r="CQ201" s="8">
        <v>1105</v>
      </c>
      <c r="CR201" s="8">
        <v>15202</v>
      </c>
      <c r="CS201" s="8">
        <v>34636</v>
      </c>
      <c r="CT201" s="8">
        <v>89931</v>
      </c>
      <c r="CU201" s="8">
        <v>91125</v>
      </c>
      <c r="CV201" s="8">
        <v>105881</v>
      </c>
      <c r="CW201" s="8">
        <v>117087</v>
      </c>
      <c r="CX201" s="8">
        <v>121267</v>
      </c>
      <c r="CY201" s="8">
        <v>126011</v>
      </c>
      <c r="CZ201" s="8">
        <v>368275</v>
      </c>
      <c r="DA201" s="8">
        <v>949512</v>
      </c>
      <c r="DB201" s="9">
        <f t="shared" si="102"/>
        <v>949512</v>
      </c>
      <c r="DC201" s="8">
        <v>23931</v>
      </c>
      <c r="DD201" s="8">
        <v>24463</v>
      </c>
      <c r="DE201" s="8">
        <v>28959</v>
      </c>
      <c r="DF201" s="8">
        <v>33458</v>
      </c>
      <c r="DG201" s="8">
        <v>39357</v>
      </c>
      <c r="DH201" s="8">
        <v>44544</v>
      </c>
      <c r="DI201" s="8">
        <v>74687</v>
      </c>
      <c r="DJ201" s="8">
        <v>92965</v>
      </c>
      <c r="DK201" s="8">
        <v>99952</v>
      </c>
      <c r="DL201" s="8">
        <v>136062</v>
      </c>
      <c r="DM201" s="8">
        <v>618481</v>
      </c>
      <c r="DN201" s="8">
        <v>1966157</v>
      </c>
      <c r="DO201" s="9">
        <f t="shared" si="103"/>
        <v>1966157</v>
      </c>
      <c r="DP201" s="8">
        <v>0</v>
      </c>
      <c r="DQ201" s="8">
        <v>26116</v>
      </c>
      <c r="DR201" s="8">
        <v>36026</v>
      </c>
      <c r="DS201" s="8">
        <v>50240</v>
      </c>
      <c r="DT201" s="8">
        <v>52934</v>
      </c>
      <c r="DU201" s="8">
        <v>125356</v>
      </c>
      <c r="DV201" s="8">
        <v>178461</v>
      </c>
      <c r="DW201" s="8">
        <v>186989</v>
      </c>
      <c r="DX201" s="8">
        <v>323781</v>
      </c>
      <c r="DY201" s="8">
        <v>325476</v>
      </c>
      <c r="DZ201" s="8">
        <v>377537</v>
      </c>
      <c r="EA201" s="8">
        <v>1257167</v>
      </c>
      <c r="EB201" s="9">
        <f t="shared" si="104"/>
        <v>1257167</v>
      </c>
      <c r="EC201" s="8">
        <v>1159</v>
      </c>
      <c r="ED201" s="8">
        <v>5804</v>
      </c>
      <c r="EE201" s="8">
        <v>14171</v>
      </c>
      <c r="EF201" s="8">
        <v>15971</v>
      </c>
      <c r="EG201" s="8">
        <v>19640</v>
      </c>
      <c r="EH201" s="8">
        <v>21670</v>
      </c>
      <c r="EI201" s="8">
        <v>82004</v>
      </c>
      <c r="EJ201" s="8">
        <v>183884</v>
      </c>
      <c r="EK201" s="8">
        <v>262030</v>
      </c>
      <c r="EL201" s="8">
        <v>358118</v>
      </c>
      <c r="EM201" s="8">
        <v>387470</v>
      </c>
      <c r="EN201" s="8">
        <v>777754</v>
      </c>
      <c r="EO201" s="9">
        <f t="shared" si="105"/>
        <v>777754</v>
      </c>
      <c r="EP201" s="8">
        <v>1285</v>
      </c>
      <c r="EQ201" s="8">
        <v>5783</v>
      </c>
      <c r="ER201" s="8">
        <v>11202</v>
      </c>
      <c r="ES201" s="8">
        <v>64048</v>
      </c>
      <c r="ET201" s="8">
        <v>80210</v>
      </c>
      <c r="EU201" s="8">
        <v>150108</v>
      </c>
      <c r="EV201" s="8">
        <v>332521</v>
      </c>
      <c r="EW201" s="8">
        <v>381969</v>
      </c>
      <c r="EX201" s="8">
        <v>400250</v>
      </c>
      <c r="EY201" s="8">
        <v>467141</v>
      </c>
      <c r="EZ201" s="8">
        <v>496998</v>
      </c>
      <c r="FA201" s="8">
        <v>613761</v>
      </c>
      <c r="FB201" s="9">
        <f t="shared" si="106"/>
        <v>613761</v>
      </c>
      <c r="FC201" s="8">
        <v>9601</v>
      </c>
      <c r="FD201" s="8">
        <v>263997</v>
      </c>
      <c r="FE201" s="8">
        <v>287247</v>
      </c>
      <c r="FF201" s="8">
        <v>297280</v>
      </c>
      <c r="FG201" s="8">
        <v>302150</v>
      </c>
      <c r="FH201" s="8">
        <v>306809</v>
      </c>
      <c r="FI201" s="8">
        <v>327383</v>
      </c>
      <c r="FJ201" s="8"/>
      <c r="FK201" s="8"/>
      <c r="FL201" s="8"/>
      <c r="FM201" s="8"/>
      <c r="FN201" s="8"/>
      <c r="FO201" s="9">
        <f t="shared" si="107"/>
        <v>327383</v>
      </c>
    </row>
    <row r="202" spans="2:171" ht="14.25" customHeight="1" x14ac:dyDescent="0.3">
      <c r="B202" s="7" t="s">
        <v>54</v>
      </c>
      <c r="C202" s="8">
        <v>0</v>
      </c>
      <c r="D202" s="8">
        <v>87496</v>
      </c>
      <c r="E202" s="8">
        <v>148151</v>
      </c>
      <c r="F202" s="8">
        <v>167849</v>
      </c>
      <c r="G202" s="8">
        <v>176515</v>
      </c>
      <c r="H202" s="8">
        <v>186955</v>
      </c>
      <c r="I202" s="8">
        <v>190917</v>
      </c>
      <c r="J202" s="8">
        <v>200975</v>
      </c>
      <c r="K202" s="8">
        <v>213734</v>
      </c>
      <c r="L202" s="8">
        <v>226539</v>
      </c>
      <c r="M202" s="8">
        <v>237445</v>
      </c>
      <c r="N202" s="8">
        <v>854515</v>
      </c>
      <c r="O202" s="9">
        <f t="shared" si="95"/>
        <v>854515</v>
      </c>
      <c r="P202" s="8">
        <v>2104</v>
      </c>
      <c r="Q202" s="8">
        <v>7416</v>
      </c>
      <c r="R202" s="8">
        <v>38097</v>
      </c>
      <c r="S202" s="8">
        <v>43963</v>
      </c>
      <c r="T202" s="8">
        <v>65108</v>
      </c>
      <c r="U202" s="8">
        <v>90875</v>
      </c>
      <c r="V202" s="8">
        <v>105667</v>
      </c>
      <c r="W202" s="8">
        <v>109151</v>
      </c>
      <c r="X202" s="8">
        <v>127313</v>
      </c>
      <c r="Y202" s="8">
        <v>137596</v>
      </c>
      <c r="Z202" s="8">
        <v>239806</v>
      </c>
      <c r="AA202" s="8">
        <v>2546923</v>
      </c>
      <c r="AB202" s="9">
        <f t="shared" si="96"/>
        <v>2546923</v>
      </c>
      <c r="AC202" s="8">
        <v>34887</v>
      </c>
      <c r="AD202" s="8">
        <v>39425</v>
      </c>
      <c r="AE202" s="8">
        <v>66313</v>
      </c>
      <c r="AF202" s="8">
        <v>102193</v>
      </c>
      <c r="AG202" s="8">
        <v>177835</v>
      </c>
      <c r="AH202" s="8">
        <v>248669</v>
      </c>
      <c r="AI202" s="8">
        <v>278105</v>
      </c>
      <c r="AJ202" s="8">
        <v>347772</v>
      </c>
      <c r="AK202" s="8">
        <v>370185</v>
      </c>
      <c r="AL202" s="8">
        <v>370773</v>
      </c>
      <c r="AM202" s="8">
        <v>636381</v>
      </c>
      <c r="AN202" s="8">
        <v>704140</v>
      </c>
      <c r="AO202" s="9">
        <f t="shared" si="97"/>
        <v>704140</v>
      </c>
      <c r="AP202" s="8">
        <v>0</v>
      </c>
      <c r="AQ202" s="8">
        <v>14760</v>
      </c>
      <c r="AR202" s="8">
        <v>37156</v>
      </c>
      <c r="AS202" s="8">
        <v>120550</v>
      </c>
      <c r="AT202" s="8">
        <v>151906</v>
      </c>
      <c r="AU202" s="8">
        <v>168876</v>
      </c>
      <c r="AV202" s="8">
        <v>182751</v>
      </c>
      <c r="AW202" s="8">
        <v>194392</v>
      </c>
      <c r="AX202" s="8">
        <v>219308</v>
      </c>
      <c r="AY202" s="8">
        <v>247405</v>
      </c>
      <c r="AZ202" s="8">
        <v>263486</v>
      </c>
      <c r="BA202" s="8">
        <v>427696</v>
      </c>
      <c r="BB202" s="9">
        <f t="shared" si="98"/>
        <v>427696</v>
      </c>
      <c r="BC202" s="8">
        <v>0</v>
      </c>
      <c r="BD202" s="8">
        <v>9784</v>
      </c>
      <c r="BE202" s="8">
        <v>29006</v>
      </c>
      <c r="BF202" s="8">
        <v>79511</v>
      </c>
      <c r="BG202" s="8">
        <v>182525</v>
      </c>
      <c r="BH202" s="8">
        <v>234805</v>
      </c>
      <c r="BI202" s="8">
        <v>250803</v>
      </c>
      <c r="BJ202" s="8">
        <v>272249</v>
      </c>
      <c r="BK202" s="8">
        <v>293881</v>
      </c>
      <c r="BL202" s="8">
        <v>309415</v>
      </c>
      <c r="BM202" s="8">
        <v>372106</v>
      </c>
      <c r="BN202" s="8">
        <v>4424670</v>
      </c>
      <c r="BO202" s="9">
        <f t="shared" si="99"/>
        <v>4424670</v>
      </c>
      <c r="BP202" s="8">
        <v>0</v>
      </c>
      <c r="BQ202" s="8">
        <v>0</v>
      </c>
      <c r="BR202" s="8">
        <v>0</v>
      </c>
      <c r="BS202" s="8">
        <v>0</v>
      </c>
      <c r="BT202" s="8">
        <v>0</v>
      </c>
      <c r="BU202" s="8">
        <v>0</v>
      </c>
      <c r="BV202" s="8">
        <v>119289</v>
      </c>
      <c r="BW202" s="8">
        <v>119289</v>
      </c>
      <c r="BX202" s="8">
        <v>138037</v>
      </c>
      <c r="BY202" s="8">
        <v>150328</v>
      </c>
      <c r="BZ202" s="8">
        <v>292674</v>
      </c>
      <c r="CA202" s="8">
        <v>5367974</v>
      </c>
      <c r="CB202" s="9">
        <f t="shared" si="100"/>
        <v>5367974</v>
      </c>
      <c r="CC202" s="8">
        <v>0</v>
      </c>
      <c r="CD202" s="8">
        <v>6957</v>
      </c>
      <c r="CE202" s="8">
        <v>15053</v>
      </c>
      <c r="CF202" s="8">
        <v>143780</v>
      </c>
      <c r="CG202" s="8">
        <v>155471</v>
      </c>
      <c r="CH202" s="8">
        <v>401534</v>
      </c>
      <c r="CI202" s="8">
        <v>1160777</v>
      </c>
      <c r="CJ202" s="8">
        <v>1399466</v>
      </c>
      <c r="CK202" s="8">
        <v>1402590</v>
      </c>
      <c r="CL202" s="8">
        <v>1474467</v>
      </c>
      <c r="CM202" s="8">
        <v>2606344</v>
      </c>
      <c r="CN202" s="8">
        <v>4437445</v>
      </c>
      <c r="CO202" s="9">
        <f t="shared" si="101"/>
        <v>4437445</v>
      </c>
      <c r="CP202" s="8">
        <v>0</v>
      </c>
      <c r="CQ202" s="8">
        <v>107871</v>
      </c>
      <c r="CR202" s="8">
        <v>144973</v>
      </c>
      <c r="CS202" s="8">
        <v>222035</v>
      </c>
      <c r="CT202" s="8">
        <v>222035</v>
      </c>
      <c r="CU202" s="8">
        <v>224871</v>
      </c>
      <c r="CV202" s="8">
        <v>228427</v>
      </c>
      <c r="CW202" s="8">
        <v>235422</v>
      </c>
      <c r="CX202" s="8">
        <v>248682</v>
      </c>
      <c r="CY202" s="8">
        <v>260587</v>
      </c>
      <c r="CZ202" s="8">
        <v>282970</v>
      </c>
      <c r="DA202" s="8">
        <v>1704487</v>
      </c>
      <c r="DB202" s="9">
        <f t="shared" si="102"/>
        <v>1704487</v>
      </c>
      <c r="DC202" s="8">
        <v>21387</v>
      </c>
      <c r="DD202" s="8">
        <v>27036</v>
      </c>
      <c r="DE202" s="8">
        <v>28608</v>
      </c>
      <c r="DF202" s="8">
        <v>36060</v>
      </c>
      <c r="DG202" s="8">
        <v>40774</v>
      </c>
      <c r="DH202" s="8">
        <v>55175</v>
      </c>
      <c r="DI202" s="8">
        <v>64260</v>
      </c>
      <c r="DJ202" s="8">
        <v>196732</v>
      </c>
      <c r="DK202" s="8">
        <v>264169</v>
      </c>
      <c r="DL202" s="8">
        <v>270426</v>
      </c>
      <c r="DM202" s="8">
        <v>292653</v>
      </c>
      <c r="DN202" s="8">
        <v>2618082</v>
      </c>
      <c r="DO202" s="9">
        <f t="shared" si="103"/>
        <v>2618082</v>
      </c>
      <c r="DP202" s="8">
        <v>15985</v>
      </c>
      <c r="DQ202" s="8">
        <v>47057</v>
      </c>
      <c r="DR202" s="8">
        <v>51346</v>
      </c>
      <c r="DS202" s="8">
        <v>51993</v>
      </c>
      <c r="DT202" s="8">
        <v>97353</v>
      </c>
      <c r="DU202" s="8">
        <v>113501</v>
      </c>
      <c r="DV202" s="8">
        <v>117868</v>
      </c>
      <c r="DW202" s="8">
        <v>118614</v>
      </c>
      <c r="DX202" s="8">
        <v>120693</v>
      </c>
      <c r="DY202" s="8">
        <v>155472</v>
      </c>
      <c r="DZ202" s="8">
        <v>214779</v>
      </c>
      <c r="EA202" s="8">
        <v>3639334</v>
      </c>
      <c r="EB202" s="9">
        <f t="shared" si="104"/>
        <v>3639334</v>
      </c>
      <c r="EC202" s="8">
        <v>52003</v>
      </c>
      <c r="ED202" s="8">
        <v>90870</v>
      </c>
      <c r="EE202" s="8">
        <v>120030</v>
      </c>
      <c r="EF202" s="8">
        <v>142969</v>
      </c>
      <c r="EG202" s="8">
        <v>185312</v>
      </c>
      <c r="EH202" s="8">
        <v>194170</v>
      </c>
      <c r="EI202" s="8">
        <v>208632</v>
      </c>
      <c r="EJ202" s="8">
        <v>233549</v>
      </c>
      <c r="EK202" s="8">
        <v>260740</v>
      </c>
      <c r="EL202" s="8">
        <v>304435</v>
      </c>
      <c r="EM202" s="8">
        <v>654699</v>
      </c>
      <c r="EN202" s="8">
        <v>1039925</v>
      </c>
      <c r="EO202" s="9">
        <f t="shared" si="105"/>
        <v>1039925</v>
      </c>
      <c r="EP202" s="8">
        <v>10185</v>
      </c>
      <c r="EQ202" s="8">
        <v>109599</v>
      </c>
      <c r="ER202" s="8">
        <v>135738</v>
      </c>
      <c r="ES202" s="8">
        <v>319729</v>
      </c>
      <c r="ET202" s="8">
        <v>348250</v>
      </c>
      <c r="EU202" s="8">
        <v>395271</v>
      </c>
      <c r="EV202" s="8">
        <v>439861</v>
      </c>
      <c r="EW202" s="8">
        <v>487602</v>
      </c>
      <c r="EX202" s="8">
        <v>527824</v>
      </c>
      <c r="EY202" s="8">
        <v>562128</v>
      </c>
      <c r="EZ202" s="8">
        <v>610950</v>
      </c>
      <c r="FA202" s="8">
        <v>1252712</v>
      </c>
      <c r="FB202" s="9">
        <f t="shared" si="106"/>
        <v>1252712</v>
      </c>
      <c r="FC202" s="8">
        <v>38439</v>
      </c>
      <c r="FD202" s="8">
        <v>72210</v>
      </c>
      <c r="FE202" s="8">
        <v>215766</v>
      </c>
      <c r="FF202" s="8">
        <v>245770</v>
      </c>
      <c r="FG202" s="8">
        <v>284974</v>
      </c>
      <c r="FH202" s="8">
        <v>300789</v>
      </c>
      <c r="FI202" s="8">
        <v>376916</v>
      </c>
      <c r="FJ202" s="8"/>
      <c r="FK202" s="8"/>
      <c r="FL202" s="8"/>
      <c r="FM202" s="8"/>
      <c r="FN202" s="8"/>
      <c r="FO202" s="9">
        <f t="shared" si="107"/>
        <v>376916</v>
      </c>
    </row>
    <row r="203" spans="2:171" ht="14.25" customHeight="1" x14ac:dyDescent="0.3">
      <c r="B203" s="7" t="s">
        <v>55</v>
      </c>
      <c r="C203" s="8">
        <v>29599</v>
      </c>
      <c r="D203" s="8">
        <v>54282</v>
      </c>
      <c r="E203" s="8">
        <v>121597</v>
      </c>
      <c r="F203" s="8">
        <v>205788</v>
      </c>
      <c r="G203" s="8">
        <v>301092</v>
      </c>
      <c r="H203" s="8">
        <v>542251</v>
      </c>
      <c r="I203" s="8">
        <v>591685</v>
      </c>
      <c r="J203" s="8">
        <v>623971</v>
      </c>
      <c r="K203" s="8">
        <v>648122</v>
      </c>
      <c r="L203" s="8">
        <v>682120</v>
      </c>
      <c r="M203" s="8">
        <v>708307</v>
      </c>
      <c r="N203" s="8">
        <v>1938345</v>
      </c>
      <c r="O203" s="9">
        <f t="shared" si="95"/>
        <v>1938345</v>
      </c>
      <c r="P203" s="8">
        <v>0</v>
      </c>
      <c r="Q203" s="8">
        <v>21717</v>
      </c>
      <c r="R203" s="8">
        <v>50575</v>
      </c>
      <c r="S203" s="8">
        <v>63398</v>
      </c>
      <c r="T203" s="8">
        <v>89304</v>
      </c>
      <c r="U203" s="8">
        <v>112746</v>
      </c>
      <c r="V203" s="8">
        <v>123813</v>
      </c>
      <c r="W203" s="8">
        <v>154761</v>
      </c>
      <c r="X203" s="8">
        <v>169007</v>
      </c>
      <c r="Y203" s="8">
        <v>805127</v>
      </c>
      <c r="Z203" s="8">
        <v>1018416</v>
      </c>
      <c r="AA203" s="8">
        <v>3894291</v>
      </c>
      <c r="AB203" s="9">
        <f t="shared" si="96"/>
        <v>3894291</v>
      </c>
      <c r="AC203" s="8">
        <v>8341</v>
      </c>
      <c r="AD203" s="8">
        <v>29819</v>
      </c>
      <c r="AE203" s="8">
        <v>55293</v>
      </c>
      <c r="AF203" s="8">
        <v>78605</v>
      </c>
      <c r="AG203" s="8">
        <v>121676</v>
      </c>
      <c r="AH203" s="8">
        <v>146652</v>
      </c>
      <c r="AI203" s="8">
        <v>306198</v>
      </c>
      <c r="AJ203" s="8">
        <v>671298</v>
      </c>
      <c r="AK203" s="8">
        <v>690141</v>
      </c>
      <c r="AL203" s="8">
        <v>733203</v>
      </c>
      <c r="AM203" s="8">
        <v>777344</v>
      </c>
      <c r="AN203" s="8">
        <v>978262</v>
      </c>
      <c r="AO203" s="9">
        <f t="shared" si="97"/>
        <v>978262</v>
      </c>
      <c r="AP203" s="8">
        <v>34847</v>
      </c>
      <c r="AQ203" s="8">
        <v>42049</v>
      </c>
      <c r="AR203" s="8">
        <v>101290</v>
      </c>
      <c r="AS203" s="8">
        <v>338773</v>
      </c>
      <c r="AT203" s="8">
        <v>189546</v>
      </c>
      <c r="AU203" s="8">
        <v>208365</v>
      </c>
      <c r="AV203" s="8">
        <v>226597</v>
      </c>
      <c r="AW203" s="8">
        <v>259330</v>
      </c>
      <c r="AX203" s="8">
        <v>303527</v>
      </c>
      <c r="AY203" s="8">
        <v>346476</v>
      </c>
      <c r="AZ203" s="8">
        <v>375914</v>
      </c>
      <c r="BA203" s="8">
        <v>847498</v>
      </c>
      <c r="BB203" s="9">
        <f t="shared" si="98"/>
        <v>847498</v>
      </c>
      <c r="BC203" s="8">
        <v>11204</v>
      </c>
      <c r="BD203" s="8">
        <v>23321</v>
      </c>
      <c r="BE203" s="8">
        <v>63646</v>
      </c>
      <c r="BF203" s="8">
        <v>96097</v>
      </c>
      <c r="BG203" s="8">
        <v>126368</v>
      </c>
      <c r="BH203" s="8">
        <v>222631</v>
      </c>
      <c r="BI203" s="8">
        <v>274526</v>
      </c>
      <c r="BJ203" s="8">
        <v>318793</v>
      </c>
      <c r="BK203" s="8">
        <v>340100</v>
      </c>
      <c r="BL203" s="8">
        <v>517564</v>
      </c>
      <c r="BM203" s="8">
        <v>837262</v>
      </c>
      <c r="BN203" s="8">
        <v>4208574</v>
      </c>
      <c r="BO203" s="9">
        <f t="shared" si="99"/>
        <v>4208574</v>
      </c>
      <c r="BP203" s="8">
        <v>0</v>
      </c>
      <c r="BQ203" s="8">
        <v>0</v>
      </c>
      <c r="BR203" s="8">
        <v>0</v>
      </c>
      <c r="BS203" s="8">
        <v>0</v>
      </c>
      <c r="BT203" s="8">
        <v>0</v>
      </c>
      <c r="BU203" s="8">
        <v>0</v>
      </c>
      <c r="BV203" s="8">
        <v>0</v>
      </c>
      <c r="BW203" s="8">
        <v>240</v>
      </c>
      <c r="BX203" s="8">
        <v>6903</v>
      </c>
      <c r="BY203" s="8">
        <v>6990</v>
      </c>
      <c r="BZ203" s="8">
        <v>186650</v>
      </c>
      <c r="CA203" s="8">
        <v>984116</v>
      </c>
      <c r="CB203" s="9">
        <f t="shared" si="100"/>
        <v>984116</v>
      </c>
      <c r="CC203" s="8">
        <v>0</v>
      </c>
      <c r="CD203" s="8">
        <v>2892</v>
      </c>
      <c r="CE203" s="8">
        <v>2892</v>
      </c>
      <c r="CF203" s="8">
        <v>19166</v>
      </c>
      <c r="CG203" s="8">
        <v>50800</v>
      </c>
      <c r="CH203" s="8">
        <v>98315</v>
      </c>
      <c r="CI203" s="8">
        <v>284598</v>
      </c>
      <c r="CJ203" s="8">
        <v>297423</v>
      </c>
      <c r="CK203" s="8">
        <v>309851</v>
      </c>
      <c r="CL203" s="8">
        <v>451553</v>
      </c>
      <c r="CM203" s="8">
        <v>1055108</v>
      </c>
      <c r="CN203" s="8">
        <v>1787481</v>
      </c>
      <c r="CO203" s="9">
        <f t="shared" si="101"/>
        <v>1787481</v>
      </c>
      <c r="CP203" s="8">
        <v>478</v>
      </c>
      <c r="CQ203" s="8">
        <v>6418</v>
      </c>
      <c r="CR203" s="8">
        <v>13638</v>
      </c>
      <c r="CS203" s="8">
        <v>48108</v>
      </c>
      <c r="CT203" s="8">
        <v>131953</v>
      </c>
      <c r="CU203" s="8">
        <v>205232</v>
      </c>
      <c r="CV203" s="8">
        <v>233489</v>
      </c>
      <c r="CW203" s="8">
        <v>310361</v>
      </c>
      <c r="CX203" s="8">
        <v>349268</v>
      </c>
      <c r="CY203" s="8">
        <v>450535</v>
      </c>
      <c r="CZ203" s="8">
        <v>637347</v>
      </c>
      <c r="DA203" s="8">
        <v>2514531</v>
      </c>
      <c r="DB203" s="9">
        <f t="shared" si="102"/>
        <v>2514531</v>
      </c>
      <c r="DC203" s="8">
        <v>1056</v>
      </c>
      <c r="DD203" s="8">
        <v>19309</v>
      </c>
      <c r="DE203" s="8">
        <v>30811</v>
      </c>
      <c r="DF203" s="8">
        <v>56100</v>
      </c>
      <c r="DG203" s="8">
        <v>74577</v>
      </c>
      <c r="DH203" s="8">
        <v>114896</v>
      </c>
      <c r="DI203" s="8">
        <v>127295</v>
      </c>
      <c r="DJ203" s="8">
        <v>159416</v>
      </c>
      <c r="DK203" s="8">
        <v>261532</v>
      </c>
      <c r="DL203" s="8">
        <v>317802</v>
      </c>
      <c r="DM203" s="8">
        <v>989746</v>
      </c>
      <c r="DN203" s="8">
        <v>2552859</v>
      </c>
      <c r="DO203" s="9">
        <f t="shared" si="103"/>
        <v>2552859</v>
      </c>
      <c r="DP203" s="8">
        <v>6483</v>
      </c>
      <c r="DQ203" s="8">
        <v>10117</v>
      </c>
      <c r="DR203" s="8">
        <v>31454</v>
      </c>
      <c r="DS203" s="8">
        <v>37794</v>
      </c>
      <c r="DT203" s="8">
        <v>141775</v>
      </c>
      <c r="DU203" s="8">
        <v>626559</v>
      </c>
      <c r="DV203" s="8">
        <v>780447</v>
      </c>
      <c r="DW203" s="8">
        <v>896578</v>
      </c>
      <c r="DX203" s="8">
        <v>1054188</v>
      </c>
      <c r="DY203" s="8">
        <v>1129204</v>
      </c>
      <c r="DZ203" s="8">
        <v>1271876</v>
      </c>
      <c r="EA203" s="8">
        <v>2644259</v>
      </c>
      <c r="EB203" s="9">
        <f t="shared" si="104"/>
        <v>2644259</v>
      </c>
      <c r="EC203" s="8">
        <v>29684</v>
      </c>
      <c r="ED203" s="8">
        <v>35528</v>
      </c>
      <c r="EE203" s="8">
        <v>60217</v>
      </c>
      <c r="EF203" s="8">
        <v>97558</v>
      </c>
      <c r="EG203" s="8">
        <v>115188</v>
      </c>
      <c r="EH203" s="8">
        <v>223496</v>
      </c>
      <c r="EI203" s="8">
        <v>335877</v>
      </c>
      <c r="EJ203" s="8">
        <v>541688</v>
      </c>
      <c r="EK203" s="8">
        <v>665492</v>
      </c>
      <c r="EL203" s="8">
        <v>953300</v>
      </c>
      <c r="EM203" s="8">
        <v>1372684</v>
      </c>
      <c r="EN203" s="8">
        <v>2065507</v>
      </c>
      <c r="EO203" s="9">
        <f t="shared" si="105"/>
        <v>2065507</v>
      </c>
      <c r="EP203" s="8">
        <v>14983</v>
      </c>
      <c r="EQ203" s="8">
        <v>18892</v>
      </c>
      <c r="ER203" s="8">
        <v>38287</v>
      </c>
      <c r="ES203" s="8">
        <v>112044</v>
      </c>
      <c r="ET203" s="8">
        <v>122386</v>
      </c>
      <c r="EU203" s="8">
        <v>152270</v>
      </c>
      <c r="EV203" s="8">
        <v>209293</v>
      </c>
      <c r="EW203" s="8">
        <v>469405</v>
      </c>
      <c r="EX203" s="8">
        <v>542439</v>
      </c>
      <c r="EY203" s="8">
        <v>1089461</v>
      </c>
      <c r="EZ203" s="8">
        <v>1334677</v>
      </c>
      <c r="FA203" s="8">
        <v>1939469</v>
      </c>
      <c r="FB203" s="9">
        <f t="shared" si="106"/>
        <v>1939469</v>
      </c>
      <c r="FC203" s="8">
        <v>4609</v>
      </c>
      <c r="FD203" s="8">
        <v>9872</v>
      </c>
      <c r="FE203" s="8">
        <v>285151</v>
      </c>
      <c r="FF203" s="8">
        <v>305275</v>
      </c>
      <c r="FG203" s="8">
        <v>343368</v>
      </c>
      <c r="FH203" s="8">
        <v>399415</v>
      </c>
      <c r="FI203" s="8">
        <v>485847</v>
      </c>
      <c r="FJ203" s="8"/>
      <c r="FK203" s="8"/>
      <c r="FL203" s="8"/>
      <c r="FM203" s="8"/>
      <c r="FN203" s="8"/>
      <c r="FO203" s="9">
        <f t="shared" si="107"/>
        <v>485847</v>
      </c>
    </row>
    <row r="204" spans="2:171" ht="14.25" customHeight="1" x14ac:dyDescent="0.3">
      <c r="B204" s="7" t="s">
        <v>56</v>
      </c>
      <c r="C204" s="8">
        <v>0</v>
      </c>
      <c r="D204" s="8">
        <v>1296</v>
      </c>
      <c r="E204" s="8">
        <v>4861</v>
      </c>
      <c r="F204" s="8">
        <v>8014</v>
      </c>
      <c r="G204" s="8">
        <v>26284</v>
      </c>
      <c r="H204" s="8">
        <v>34806</v>
      </c>
      <c r="I204" s="8">
        <v>46142</v>
      </c>
      <c r="J204" s="8">
        <v>49879</v>
      </c>
      <c r="K204" s="8">
        <v>61956</v>
      </c>
      <c r="L204" s="8">
        <v>72011</v>
      </c>
      <c r="M204" s="8">
        <v>85491</v>
      </c>
      <c r="N204" s="8">
        <v>2774286</v>
      </c>
      <c r="O204" s="9">
        <f t="shared" si="95"/>
        <v>2774286</v>
      </c>
      <c r="P204" s="8">
        <v>1018</v>
      </c>
      <c r="Q204" s="8">
        <v>12472</v>
      </c>
      <c r="R204" s="8">
        <v>29649</v>
      </c>
      <c r="S204" s="8">
        <v>42124</v>
      </c>
      <c r="T204" s="8">
        <v>57161</v>
      </c>
      <c r="U204" s="8">
        <v>67700</v>
      </c>
      <c r="V204" s="8">
        <v>105950</v>
      </c>
      <c r="W204" s="8">
        <v>899677</v>
      </c>
      <c r="X204" s="8">
        <v>1092491</v>
      </c>
      <c r="Y204" s="8">
        <v>1310414</v>
      </c>
      <c r="Z204" s="8">
        <v>1531833</v>
      </c>
      <c r="AA204" s="8">
        <v>3872497</v>
      </c>
      <c r="AB204" s="9">
        <f t="shared" si="96"/>
        <v>3872497</v>
      </c>
      <c r="AC204" s="8">
        <v>490</v>
      </c>
      <c r="AD204" s="8">
        <v>11608</v>
      </c>
      <c r="AE204" s="8">
        <v>21105</v>
      </c>
      <c r="AF204" s="8">
        <v>46465</v>
      </c>
      <c r="AG204" s="8">
        <v>54400</v>
      </c>
      <c r="AH204" s="8">
        <v>112680</v>
      </c>
      <c r="AI204" s="8">
        <v>119010</v>
      </c>
      <c r="AJ204" s="8">
        <v>152174</v>
      </c>
      <c r="AK204" s="8">
        <v>389527</v>
      </c>
      <c r="AL204" s="8">
        <v>473889</v>
      </c>
      <c r="AM204" s="8">
        <v>555590</v>
      </c>
      <c r="AN204" s="8">
        <v>863604</v>
      </c>
      <c r="AO204" s="9">
        <f t="shared" si="97"/>
        <v>863604</v>
      </c>
      <c r="AP204" s="8">
        <v>1478</v>
      </c>
      <c r="AQ204" s="8">
        <v>20527</v>
      </c>
      <c r="AR204" s="8">
        <v>23082</v>
      </c>
      <c r="AS204" s="8">
        <v>88917</v>
      </c>
      <c r="AT204" s="8">
        <v>97677</v>
      </c>
      <c r="AU204" s="8">
        <v>132133</v>
      </c>
      <c r="AV204" s="8">
        <v>149338</v>
      </c>
      <c r="AW204" s="8">
        <v>167809</v>
      </c>
      <c r="AX204" s="8">
        <v>191339</v>
      </c>
      <c r="AY204" s="8">
        <v>272578</v>
      </c>
      <c r="AZ204" s="8">
        <v>323674</v>
      </c>
      <c r="BA204" s="8">
        <v>476437</v>
      </c>
      <c r="BB204" s="9">
        <f t="shared" si="98"/>
        <v>476437</v>
      </c>
      <c r="BC204" s="8">
        <v>1121</v>
      </c>
      <c r="BD204" s="8">
        <v>18125</v>
      </c>
      <c r="BE204" s="8">
        <v>30638</v>
      </c>
      <c r="BF204" s="8">
        <v>58056</v>
      </c>
      <c r="BG204" s="8">
        <v>74877</v>
      </c>
      <c r="BH204" s="8">
        <v>85598</v>
      </c>
      <c r="BI204" s="8">
        <v>97874</v>
      </c>
      <c r="BJ204" s="8">
        <v>106404</v>
      </c>
      <c r="BK204" s="8">
        <v>120355</v>
      </c>
      <c r="BL204" s="8">
        <v>136919</v>
      </c>
      <c r="BM204" s="8">
        <v>362516</v>
      </c>
      <c r="BN204" s="8">
        <v>7623224</v>
      </c>
      <c r="BO204" s="9">
        <f t="shared" si="99"/>
        <v>7623224</v>
      </c>
      <c r="BP204" s="8">
        <v>0</v>
      </c>
      <c r="BQ204" s="8">
        <v>0</v>
      </c>
      <c r="BR204" s="8">
        <v>0</v>
      </c>
      <c r="BS204" s="8">
        <v>23205</v>
      </c>
      <c r="BT204" s="8">
        <v>23205</v>
      </c>
      <c r="BU204" s="8">
        <v>26642</v>
      </c>
      <c r="BV204" s="8">
        <v>40594</v>
      </c>
      <c r="BW204" s="8">
        <v>40900</v>
      </c>
      <c r="BX204" s="8">
        <v>463444</v>
      </c>
      <c r="BY204" s="8">
        <v>742932</v>
      </c>
      <c r="BZ204" s="8">
        <v>912567</v>
      </c>
      <c r="CA204" s="8">
        <v>1622036</v>
      </c>
      <c r="CB204" s="9">
        <f t="shared" si="100"/>
        <v>1622036</v>
      </c>
      <c r="CC204" s="8">
        <v>0</v>
      </c>
      <c r="CD204" s="8">
        <v>6902</v>
      </c>
      <c r="CE204" s="8">
        <v>8183</v>
      </c>
      <c r="CF204" s="8">
        <v>10014</v>
      </c>
      <c r="CG204" s="8">
        <v>24045</v>
      </c>
      <c r="CH204" s="8">
        <v>1086708</v>
      </c>
      <c r="CI204" s="8">
        <v>1216435</v>
      </c>
      <c r="CJ204" s="8">
        <v>1509876</v>
      </c>
      <c r="CK204" s="8">
        <v>2078670</v>
      </c>
      <c r="CL204" s="8">
        <v>2838131</v>
      </c>
      <c r="CM204" s="8">
        <v>3042113</v>
      </c>
      <c r="CN204" s="8">
        <v>5923040</v>
      </c>
      <c r="CO204" s="9">
        <f t="shared" si="101"/>
        <v>5923040</v>
      </c>
      <c r="CP204" s="8">
        <v>1640</v>
      </c>
      <c r="CQ204" s="8">
        <v>3565</v>
      </c>
      <c r="CR204" s="8">
        <v>40151</v>
      </c>
      <c r="CS204" s="8">
        <v>190824</v>
      </c>
      <c r="CT204" s="8">
        <v>226737</v>
      </c>
      <c r="CU204" s="8">
        <v>241915</v>
      </c>
      <c r="CV204" s="8">
        <v>256538</v>
      </c>
      <c r="CW204" s="8">
        <v>277096</v>
      </c>
      <c r="CX204" s="8">
        <v>281941</v>
      </c>
      <c r="CY204" s="8">
        <v>284781</v>
      </c>
      <c r="CZ204" s="8">
        <v>390510</v>
      </c>
      <c r="DA204" s="8">
        <v>977823</v>
      </c>
      <c r="DB204" s="9">
        <f t="shared" si="102"/>
        <v>977823</v>
      </c>
      <c r="DC204" s="8">
        <v>2676</v>
      </c>
      <c r="DD204" s="8">
        <v>15345</v>
      </c>
      <c r="DE204" s="8">
        <v>82924</v>
      </c>
      <c r="DF204" s="8">
        <v>105388</v>
      </c>
      <c r="DG204" s="8">
        <v>118095</v>
      </c>
      <c r="DH204" s="8">
        <v>134821</v>
      </c>
      <c r="DI204" s="8">
        <v>159908</v>
      </c>
      <c r="DJ204" s="8">
        <v>186679</v>
      </c>
      <c r="DK204" s="8">
        <v>205196</v>
      </c>
      <c r="DL204" s="8">
        <v>355528</v>
      </c>
      <c r="DM204" s="8">
        <v>957087</v>
      </c>
      <c r="DN204" s="8">
        <v>3609288</v>
      </c>
      <c r="DO204" s="9">
        <f t="shared" si="103"/>
        <v>3609288</v>
      </c>
      <c r="DP204" s="8">
        <v>6311</v>
      </c>
      <c r="DQ204" s="8">
        <v>14478</v>
      </c>
      <c r="DR204" s="8">
        <v>19091</v>
      </c>
      <c r="DS204" s="8">
        <v>35584</v>
      </c>
      <c r="DT204" s="8">
        <v>52062</v>
      </c>
      <c r="DU204" s="8">
        <v>204685</v>
      </c>
      <c r="DV204" s="8">
        <v>230554</v>
      </c>
      <c r="DW204" s="8">
        <v>387185</v>
      </c>
      <c r="DX204" s="8">
        <v>469669</v>
      </c>
      <c r="DY204" s="8">
        <v>633550</v>
      </c>
      <c r="DZ204" s="8">
        <v>693961</v>
      </c>
      <c r="EA204" s="8">
        <v>1557982</v>
      </c>
      <c r="EB204" s="9">
        <f t="shared" si="104"/>
        <v>1557982</v>
      </c>
      <c r="EC204" s="8">
        <v>12763</v>
      </c>
      <c r="ED204" s="8">
        <v>32739</v>
      </c>
      <c r="EE204" s="8">
        <v>69193</v>
      </c>
      <c r="EF204" s="8">
        <v>143346</v>
      </c>
      <c r="EG204" s="8">
        <v>193709</v>
      </c>
      <c r="EH204" s="8">
        <v>292206</v>
      </c>
      <c r="EI204" s="8">
        <v>383882</v>
      </c>
      <c r="EJ204" s="8">
        <v>495282</v>
      </c>
      <c r="EK204" s="8">
        <v>633020</v>
      </c>
      <c r="EL204" s="8">
        <v>691431</v>
      </c>
      <c r="EM204" s="8">
        <v>727769</v>
      </c>
      <c r="EN204" s="8">
        <v>835835</v>
      </c>
      <c r="EO204" s="9">
        <f t="shared" si="105"/>
        <v>835835</v>
      </c>
      <c r="EP204" s="8">
        <v>1012</v>
      </c>
      <c r="EQ204" s="8">
        <v>20489</v>
      </c>
      <c r="ER204" s="8">
        <v>585315</v>
      </c>
      <c r="ES204" s="8">
        <v>626116</v>
      </c>
      <c r="ET204" s="8">
        <v>760739</v>
      </c>
      <c r="EU204" s="8">
        <v>838656</v>
      </c>
      <c r="EV204" s="8">
        <v>946960</v>
      </c>
      <c r="EW204" s="8">
        <v>999789</v>
      </c>
      <c r="EX204" s="8">
        <v>1046357</v>
      </c>
      <c r="EY204" s="8">
        <v>1268885</v>
      </c>
      <c r="EZ204" s="8">
        <v>1301579</v>
      </c>
      <c r="FA204" s="8">
        <v>1669960</v>
      </c>
      <c r="FB204" s="9">
        <f t="shared" si="106"/>
        <v>1669960</v>
      </c>
      <c r="FC204" s="8">
        <v>7271</v>
      </c>
      <c r="FD204" s="8">
        <v>17488</v>
      </c>
      <c r="FE204" s="8">
        <v>27051</v>
      </c>
      <c r="FF204" s="8">
        <v>40662</v>
      </c>
      <c r="FG204" s="8">
        <v>47194</v>
      </c>
      <c r="FH204" s="8">
        <v>64042</v>
      </c>
      <c r="FI204" s="8">
        <v>80007</v>
      </c>
      <c r="FJ204" s="8"/>
      <c r="FK204" s="8"/>
      <c r="FL204" s="8"/>
      <c r="FM204" s="8"/>
      <c r="FN204" s="8"/>
      <c r="FO204" s="9">
        <f t="shared" si="107"/>
        <v>80007</v>
      </c>
    </row>
    <row r="205" spans="2:171" ht="14.25" customHeight="1" x14ac:dyDescent="0.3">
      <c r="B205" s="7" t="s">
        <v>57</v>
      </c>
      <c r="C205" s="8">
        <v>7253</v>
      </c>
      <c r="D205" s="8">
        <v>21336</v>
      </c>
      <c r="E205" s="8">
        <v>27660</v>
      </c>
      <c r="F205" s="8">
        <v>40795</v>
      </c>
      <c r="G205" s="8">
        <v>48225</v>
      </c>
      <c r="H205" s="8">
        <v>51164</v>
      </c>
      <c r="I205" s="8">
        <v>69695</v>
      </c>
      <c r="J205" s="8">
        <v>69900</v>
      </c>
      <c r="K205" s="8">
        <v>71927</v>
      </c>
      <c r="L205" s="8">
        <v>85423</v>
      </c>
      <c r="M205" s="8">
        <v>92759</v>
      </c>
      <c r="N205" s="8">
        <v>3568606</v>
      </c>
      <c r="O205" s="9">
        <f t="shared" si="95"/>
        <v>3568606</v>
      </c>
      <c r="P205" s="8">
        <v>1478</v>
      </c>
      <c r="Q205" s="8">
        <v>13102</v>
      </c>
      <c r="R205" s="8">
        <v>32657</v>
      </c>
      <c r="S205" s="8">
        <v>38497</v>
      </c>
      <c r="T205" s="8">
        <v>50091</v>
      </c>
      <c r="U205" s="8">
        <v>65569</v>
      </c>
      <c r="V205" s="8">
        <v>69829</v>
      </c>
      <c r="W205" s="8">
        <v>82392</v>
      </c>
      <c r="X205" s="8">
        <v>188496</v>
      </c>
      <c r="Y205" s="8">
        <v>268037</v>
      </c>
      <c r="Z205" s="8">
        <v>296558</v>
      </c>
      <c r="AA205" s="8">
        <v>5268841</v>
      </c>
      <c r="AB205" s="9">
        <f t="shared" si="96"/>
        <v>5268841</v>
      </c>
      <c r="AC205" s="8">
        <v>5253</v>
      </c>
      <c r="AD205" s="8">
        <v>12791</v>
      </c>
      <c r="AE205" s="8">
        <v>22441</v>
      </c>
      <c r="AF205" s="8">
        <v>28098</v>
      </c>
      <c r="AG205" s="8">
        <v>47218</v>
      </c>
      <c r="AH205" s="8">
        <v>60534</v>
      </c>
      <c r="AI205" s="8">
        <v>67947</v>
      </c>
      <c r="AJ205" s="8">
        <v>73535</v>
      </c>
      <c r="AK205" s="8">
        <v>82000</v>
      </c>
      <c r="AL205" s="8">
        <v>106636</v>
      </c>
      <c r="AM205" s="8">
        <v>263373</v>
      </c>
      <c r="AN205" s="8">
        <v>768754</v>
      </c>
      <c r="AO205" s="9">
        <f t="shared" si="97"/>
        <v>768754</v>
      </c>
      <c r="AP205" s="8">
        <v>15992</v>
      </c>
      <c r="AQ205" s="8">
        <v>11924</v>
      </c>
      <c r="AR205" s="8">
        <v>21237</v>
      </c>
      <c r="AS205" s="8">
        <v>34255</v>
      </c>
      <c r="AT205" s="8">
        <v>53809</v>
      </c>
      <c r="AU205" s="8">
        <v>88834</v>
      </c>
      <c r="AV205" s="8">
        <v>103675</v>
      </c>
      <c r="AW205" s="8">
        <v>108080</v>
      </c>
      <c r="AX205" s="8">
        <v>111324</v>
      </c>
      <c r="AY205" s="8">
        <v>281670</v>
      </c>
      <c r="AZ205" s="8">
        <v>395388</v>
      </c>
      <c r="BA205" s="8">
        <v>923890</v>
      </c>
      <c r="BB205" s="9">
        <f t="shared" si="98"/>
        <v>923890</v>
      </c>
      <c r="BC205" s="8">
        <v>5266</v>
      </c>
      <c r="BD205" s="8">
        <v>10053</v>
      </c>
      <c r="BE205" s="8">
        <v>58382</v>
      </c>
      <c r="BF205" s="8">
        <v>136533</v>
      </c>
      <c r="BG205" s="8">
        <v>148370</v>
      </c>
      <c r="BH205" s="8">
        <v>152449</v>
      </c>
      <c r="BI205" s="8">
        <v>170245</v>
      </c>
      <c r="BJ205" s="8">
        <v>197966</v>
      </c>
      <c r="BK205" s="8">
        <v>284218</v>
      </c>
      <c r="BL205" s="8">
        <v>297873</v>
      </c>
      <c r="BM205" s="8">
        <v>717321</v>
      </c>
      <c r="BN205" s="8">
        <v>2387181</v>
      </c>
      <c r="BO205" s="9">
        <f t="shared" si="99"/>
        <v>2387181</v>
      </c>
      <c r="BP205" s="8">
        <v>0</v>
      </c>
      <c r="BQ205" s="8">
        <v>0</v>
      </c>
      <c r="BR205" s="8">
        <v>0</v>
      </c>
      <c r="BS205" s="8">
        <v>0</v>
      </c>
      <c r="BT205" s="8">
        <v>0</v>
      </c>
      <c r="BU205" s="8">
        <v>0</v>
      </c>
      <c r="BV205" s="8">
        <v>0</v>
      </c>
      <c r="BW205" s="8">
        <v>480</v>
      </c>
      <c r="BX205" s="8">
        <v>480</v>
      </c>
      <c r="BY205" s="8">
        <v>69891</v>
      </c>
      <c r="BZ205" s="8">
        <v>234188</v>
      </c>
      <c r="CA205" s="8">
        <v>5616554</v>
      </c>
      <c r="CB205" s="9">
        <f t="shared" si="100"/>
        <v>5616554</v>
      </c>
      <c r="CC205" s="8">
        <v>0</v>
      </c>
      <c r="CD205" s="8">
        <v>0</v>
      </c>
      <c r="CE205" s="8">
        <v>0</v>
      </c>
      <c r="CF205" s="8">
        <v>0</v>
      </c>
      <c r="CG205" s="8">
        <v>342</v>
      </c>
      <c r="CH205" s="8">
        <v>43060</v>
      </c>
      <c r="CI205" s="8">
        <v>44396</v>
      </c>
      <c r="CJ205" s="8">
        <v>61689</v>
      </c>
      <c r="CK205" s="8">
        <v>412119</v>
      </c>
      <c r="CL205" s="8">
        <v>414997</v>
      </c>
      <c r="CM205" s="8">
        <v>422555</v>
      </c>
      <c r="CN205" s="8">
        <v>3216122</v>
      </c>
      <c r="CO205" s="9">
        <f t="shared" si="101"/>
        <v>3216122</v>
      </c>
      <c r="CP205" s="8">
        <v>0</v>
      </c>
      <c r="CQ205" s="8">
        <v>0</v>
      </c>
      <c r="CR205" s="8">
        <v>7436</v>
      </c>
      <c r="CS205" s="8">
        <v>51994</v>
      </c>
      <c r="CT205" s="8">
        <v>52458</v>
      </c>
      <c r="CU205" s="8">
        <v>88621</v>
      </c>
      <c r="CV205" s="8">
        <v>203364</v>
      </c>
      <c r="CW205" s="8">
        <v>245446</v>
      </c>
      <c r="CX205" s="8">
        <v>246905</v>
      </c>
      <c r="CY205" s="8">
        <v>248512</v>
      </c>
      <c r="CZ205" s="8">
        <v>558269</v>
      </c>
      <c r="DA205" s="8">
        <v>1695384</v>
      </c>
      <c r="DB205" s="9">
        <f t="shared" si="102"/>
        <v>1695384</v>
      </c>
      <c r="DC205" s="8">
        <v>4827</v>
      </c>
      <c r="DD205" s="8">
        <v>9469</v>
      </c>
      <c r="DE205" s="8">
        <v>59652</v>
      </c>
      <c r="DF205" s="8">
        <v>63535</v>
      </c>
      <c r="DG205" s="8">
        <v>66826</v>
      </c>
      <c r="DH205" s="8">
        <v>68795</v>
      </c>
      <c r="DI205" s="8">
        <v>94450</v>
      </c>
      <c r="DJ205" s="8">
        <v>114876</v>
      </c>
      <c r="DK205" s="8">
        <v>137094</v>
      </c>
      <c r="DL205" s="8">
        <v>221018</v>
      </c>
      <c r="DM205" s="8">
        <v>401927</v>
      </c>
      <c r="DN205" s="8">
        <v>1563608</v>
      </c>
      <c r="DO205" s="9">
        <f t="shared" si="103"/>
        <v>1563608</v>
      </c>
      <c r="DP205" s="8">
        <v>7201</v>
      </c>
      <c r="DQ205" s="8">
        <v>8728</v>
      </c>
      <c r="DR205" s="8">
        <v>76256</v>
      </c>
      <c r="DS205" s="8">
        <v>139406</v>
      </c>
      <c r="DT205" s="8">
        <v>157512</v>
      </c>
      <c r="DU205" s="8">
        <v>221633</v>
      </c>
      <c r="DV205" s="8">
        <v>395862</v>
      </c>
      <c r="DW205" s="8">
        <v>606682</v>
      </c>
      <c r="DX205" s="8">
        <v>787201</v>
      </c>
      <c r="DY205" s="8">
        <v>870384</v>
      </c>
      <c r="DZ205" s="8">
        <v>2261223</v>
      </c>
      <c r="EA205" s="8">
        <v>7736747</v>
      </c>
      <c r="EB205" s="9">
        <f t="shared" si="104"/>
        <v>7736747</v>
      </c>
      <c r="EC205" s="8">
        <v>6247</v>
      </c>
      <c r="ED205" s="8">
        <v>16897</v>
      </c>
      <c r="EE205" s="8">
        <v>133512</v>
      </c>
      <c r="EF205" s="8">
        <v>152786</v>
      </c>
      <c r="EG205" s="8">
        <v>171704</v>
      </c>
      <c r="EH205" s="8">
        <v>218590</v>
      </c>
      <c r="EI205" s="8">
        <v>335624</v>
      </c>
      <c r="EJ205" s="8">
        <v>354354</v>
      </c>
      <c r="EK205" s="8">
        <v>381936</v>
      </c>
      <c r="EL205" s="8">
        <v>471759</v>
      </c>
      <c r="EM205" s="8">
        <v>616389</v>
      </c>
      <c r="EN205" s="8">
        <v>1476328</v>
      </c>
      <c r="EO205" s="9">
        <f t="shared" si="105"/>
        <v>1476328</v>
      </c>
      <c r="EP205" s="8">
        <v>14075</v>
      </c>
      <c r="EQ205" s="8">
        <v>2369809</v>
      </c>
      <c r="ER205" s="8">
        <v>2421647</v>
      </c>
      <c r="ES205" s="8">
        <v>3500472</v>
      </c>
      <c r="ET205" s="8">
        <v>5026557</v>
      </c>
      <c r="EU205" s="8">
        <v>5067190</v>
      </c>
      <c r="EV205" s="8">
        <v>5092382</v>
      </c>
      <c r="EW205" s="8">
        <v>5321279</v>
      </c>
      <c r="EX205" s="8">
        <v>5739453</v>
      </c>
      <c r="EY205" s="8">
        <v>6046086</v>
      </c>
      <c r="EZ205" s="8">
        <v>6270032</v>
      </c>
      <c r="FA205" s="8">
        <v>6704510</v>
      </c>
      <c r="FB205" s="9">
        <f t="shared" si="106"/>
        <v>6704510</v>
      </c>
      <c r="FC205" s="8">
        <v>0</v>
      </c>
      <c r="FD205" s="8">
        <v>33554</v>
      </c>
      <c r="FE205" s="8">
        <v>91792</v>
      </c>
      <c r="FF205" s="8">
        <v>521645</v>
      </c>
      <c r="FG205" s="8">
        <v>578937</v>
      </c>
      <c r="FH205" s="8">
        <v>677563</v>
      </c>
      <c r="FI205" s="8">
        <v>715946</v>
      </c>
      <c r="FJ205" s="8"/>
      <c r="FK205" s="8"/>
      <c r="FL205" s="8"/>
      <c r="FM205" s="8"/>
      <c r="FN205" s="8"/>
      <c r="FO205" s="9">
        <f t="shared" si="107"/>
        <v>715946</v>
      </c>
    </row>
    <row r="206" spans="2:171" ht="14.25" customHeight="1" x14ac:dyDescent="0.3">
      <c r="B206" s="7" t="s">
        <v>58</v>
      </c>
      <c r="C206" s="8">
        <v>1886</v>
      </c>
      <c r="D206" s="8">
        <v>3167</v>
      </c>
      <c r="E206" s="8">
        <v>7982</v>
      </c>
      <c r="F206" s="8">
        <v>24870</v>
      </c>
      <c r="G206" s="8">
        <v>31114</v>
      </c>
      <c r="H206" s="8">
        <v>72922</v>
      </c>
      <c r="I206" s="8">
        <v>90620</v>
      </c>
      <c r="J206" s="8">
        <v>95302</v>
      </c>
      <c r="K206" s="8">
        <v>104211</v>
      </c>
      <c r="L206" s="8">
        <v>105550</v>
      </c>
      <c r="M206" s="8">
        <v>112354</v>
      </c>
      <c r="N206" s="8">
        <v>728655</v>
      </c>
      <c r="O206" s="9">
        <f t="shared" si="95"/>
        <v>728655</v>
      </c>
      <c r="P206" s="8">
        <v>6634</v>
      </c>
      <c r="Q206" s="8">
        <v>10769</v>
      </c>
      <c r="R206" s="8">
        <v>26110</v>
      </c>
      <c r="S206" s="8">
        <v>40199</v>
      </c>
      <c r="T206" s="8">
        <v>42954</v>
      </c>
      <c r="U206" s="8">
        <v>51790</v>
      </c>
      <c r="V206" s="8">
        <v>97518</v>
      </c>
      <c r="W206" s="8">
        <v>154323</v>
      </c>
      <c r="X206" s="8">
        <v>261731</v>
      </c>
      <c r="Y206" s="8">
        <v>288964</v>
      </c>
      <c r="Z206" s="8">
        <v>329912</v>
      </c>
      <c r="AA206" s="8">
        <v>2870560</v>
      </c>
      <c r="AB206" s="9">
        <f t="shared" si="96"/>
        <v>2870560</v>
      </c>
      <c r="AC206" s="8">
        <v>4933</v>
      </c>
      <c r="AD206" s="8">
        <v>31579</v>
      </c>
      <c r="AE206" s="8">
        <v>49484</v>
      </c>
      <c r="AF206" s="8">
        <v>90462</v>
      </c>
      <c r="AG206" s="8">
        <v>130388</v>
      </c>
      <c r="AH206" s="8">
        <v>448652</v>
      </c>
      <c r="AI206" s="8">
        <v>450415</v>
      </c>
      <c r="AJ206" s="8">
        <v>456394</v>
      </c>
      <c r="AK206" s="8">
        <v>462990</v>
      </c>
      <c r="AL206" s="8">
        <v>490928</v>
      </c>
      <c r="AM206" s="8">
        <v>504560</v>
      </c>
      <c r="AN206" s="8">
        <v>1241636</v>
      </c>
      <c r="AO206" s="9">
        <f t="shared" si="97"/>
        <v>1241636</v>
      </c>
      <c r="AP206" s="8">
        <v>5298</v>
      </c>
      <c r="AQ206" s="8">
        <v>14387</v>
      </c>
      <c r="AR206" s="8">
        <v>33361</v>
      </c>
      <c r="AS206" s="8">
        <v>61411</v>
      </c>
      <c r="AT206" s="8">
        <v>93387</v>
      </c>
      <c r="AU206" s="8">
        <v>120110</v>
      </c>
      <c r="AV206" s="8">
        <v>132207</v>
      </c>
      <c r="AW206" s="8">
        <v>135842</v>
      </c>
      <c r="AX206" s="8">
        <v>147944</v>
      </c>
      <c r="AY206" s="8">
        <v>170495</v>
      </c>
      <c r="AZ206" s="8">
        <v>331878</v>
      </c>
      <c r="BA206" s="8">
        <v>437031</v>
      </c>
      <c r="BB206" s="9">
        <f t="shared" si="98"/>
        <v>437031</v>
      </c>
      <c r="BC206" s="8">
        <v>1935</v>
      </c>
      <c r="BD206" s="8">
        <v>24896</v>
      </c>
      <c r="BE206" s="8">
        <v>36196</v>
      </c>
      <c r="BF206" s="8">
        <v>53293</v>
      </c>
      <c r="BG206" s="8">
        <v>68480</v>
      </c>
      <c r="BH206" s="8">
        <v>88473</v>
      </c>
      <c r="BI206" s="8">
        <v>96160</v>
      </c>
      <c r="BJ206" s="8">
        <v>107501</v>
      </c>
      <c r="BK206" s="8">
        <v>120939</v>
      </c>
      <c r="BL206" s="8">
        <v>314601</v>
      </c>
      <c r="BM206" s="8">
        <v>782081</v>
      </c>
      <c r="BN206" s="8">
        <v>2542440</v>
      </c>
      <c r="BO206" s="9">
        <f t="shared" si="99"/>
        <v>2542440</v>
      </c>
      <c r="BP206" s="8">
        <v>0</v>
      </c>
      <c r="BQ206" s="8">
        <v>0</v>
      </c>
      <c r="BR206" s="8">
        <v>0</v>
      </c>
      <c r="BS206" s="8">
        <v>0</v>
      </c>
      <c r="BT206" s="8">
        <v>193976</v>
      </c>
      <c r="BU206" s="8">
        <v>251887</v>
      </c>
      <c r="BV206" s="8">
        <v>252251</v>
      </c>
      <c r="BW206" s="8">
        <v>406372</v>
      </c>
      <c r="BX206" s="8">
        <v>487060</v>
      </c>
      <c r="BY206" s="8">
        <v>833207</v>
      </c>
      <c r="BZ206" s="8">
        <v>1888344</v>
      </c>
      <c r="CA206" s="8">
        <v>4041052</v>
      </c>
      <c r="CB206" s="9">
        <f t="shared" si="100"/>
        <v>4041052</v>
      </c>
      <c r="CC206" s="8">
        <v>191</v>
      </c>
      <c r="CD206" s="8">
        <v>380</v>
      </c>
      <c r="CE206" s="8">
        <v>1130</v>
      </c>
      <c r="CF206" s="8">
        <v>24370</v>
      </c>
      <c r="CG206" s="8">
        <v>84401</v>
      </c>
      <c r="CH206" s="8">
        <v>161983</v>
      </c>
      <c r="CI206" s="8">
        <v>533481</v>
      </c>
      <c r="CJ206" s="8">
        <v>586086</v>
      </c>
      <c r="CK206" s="8">
        <v>722914</v>
      </c>
      <c r="CL206" s="8">
        <v>813476</v>
      </c>
      <c r="CM206" s="8">
        <v>840042</v>
      </c>
      <c r="CN206" s="8">
        <v>1565979</v>
      </c>
      <c r="CO206" s="9">
        <f t="shared" si="101"/>
        <v>1565979</v>
      </c>
      <c r="CP206" s="8">
        <v>0</v>
      </c>
      <c r="CQ206" s="8">
        <v>15351</v>
      </c>
      <c r="CR206" s="8">
        <v>50559</v>
      </c>
      <c r="CS206" s="8">
        <v>98259</v>
      </c>
      <c r="CT206" s="8">
        <v>103807</v>
      </c>
      <c r="CU206" s="8">
        <v>114609</v>
      </c>
      <c r="CV206" s="8">
        <v>119122</v>
      </c>
      <c r="CW206" s="8">
        <v>1261805</v>
      </c>
      <c r="CX206" s="8">
        <v>1390039</v>
      </c>
      <c r="CY206" s="8">
        <v>1476709</v>
      </c>
      <c r="CZ206" s="8">
        <v>1633087</v>
      </c>
      <c r="DA206" s="8">
        <v>2491396</v>
      </c>
      <c r="DB206" s="9">
        <f t="shared" si="102"/>
        <v>2491396</v>
      </c>
      <c r="DC206" s="8">
        <v>14934</v>
      </c>
      <c r="DD206" s="8">
        <v>15857</v>
      </c>
      <c r="DE206" s="8">
        <v>48229</v>
      </c>
      <c r="DF206" s="8">
        <v>50364</v>
      </c>
      <c r="DG206" s="8">
        <v>75658</v>
      </c>
      <c r="DH206" s="8">
        <v>78381</v>
      </c>
      <c r="DI206" s="8">
        <v>88027</v>
      </c>
      <c r="DJ206" s="8">
        <v>137500</v>
      </c>
      <c r="DK206" s="8">
        <v>192845</v>
      </c>
      <c r="DL206" s="8">
        <v>310109</v>
      </c>
      <c r="DM206" s="8">
        <v>1063150</v>
      </c>
      <c r="DN206" s="8">
        <v>2813948</v>
      </c>
      <c r="DO206" s="9">
        <f t="shared" si="103"/>
        <v>2813948</v>
      </c>
      <c r="DP206" s="8">
        <v>2737</v>
      </c>
      <c r="DQ206" s="8">
        <v>4686</v>
      </c>
      <c r="DR206" s="8">
        <v>10213</v>
      </c>
      <c r="DS206" s="8">
        <v>13604</v>
      </c>
      <c r="DT206" s="8">
        <v>22242</v>
      </c>
      <c r="DU206" s="8">
        <v>57625</v>
      </c>
      <c r="DV206" s="8">
        <v>209309</v>
      </c>
      <c r="DW206" s="8">
        <v>543358</v>
      </c>
      <c r="DX206" s="8">
        <v>614526</v>
      </c>
      <c r="DY206" s="8">
        <v>721032</v>
      </c>
      <c r="DZ206" s="8">
        <v>877544</v>
      </c>
      <c r="EA206" s="8">
        <v>1557905</v>
      </c>
      <c r="EB206" s="9">
        <f t="shared" si="104"/>
        <v>1557905</v>
      </c>
      <c r="EC206" s="8">
        <v>3109</v>
      </c>
      <c r="ED206" s="8">
        <v>5153</v>
      </c>
      <c r="EE206" s="8">
        <v>10528</v>
      </c>
      <c r="EF206" s="8">
        <v>30610</v>
      </c>
      <c r="EG206" s="8">
        <v>58066</v>
      </c>
      <c r="EH206" s="8">
        <v>281091</v>
      </c>
      <c r="EI206" s="8">
        <v>305652</v>
      </c>
      <c r="EJ206" s="8">
        <v>314800</v>
      </c>
      <c r="EK206" s="8">
        <v>324801</v>
      </c>
      <c r="EL206" s="8">
        <v>360548</v>
      </c>
      <c r="EM206" s="8">
        <v>395771</v>
      </c>
      <c r="EN206" s="8">
        <v>646116</v>
      </c>
      <c r="EO206" s="9">
        <f t="shared" si="105"/>
        <v>646116</v>
      </c>
      <c r="EP206" s="8">
        <v>7136</v>
      </c>
      <c r="EQ206" s="8">
        <v>10338</v>
      </c>
      <c r="ER206" s="8">
        <v>21415</v>
      </c>
      <c r="ES206" s="8">
        <v>257499</v>
      </c>
      <c r="ET206" s="8">
        <v>267263</v>
      </c>
      <c r="EU206" s="8">
        <v>504286</v>
      </c>
      <c r="EV206" s="8">
        <v>627767</v>
      </c>
      <c r="EW206" s="8">
        <v>657358</v>
      </c>
      <c r="EX206" s="8">
        <v>728048</v>
      </c>
      <c r="EY206" s="8">
        <v>993191</v>
      </c>
      <c r="EZ206" s="8">
        <v>1171335</v>
      </c>
      <c r="FA206" s="8">
        <v>1472826</v>
      </c>
      <c r="FB206" s="9">
        <f t="shared" si="106"/>
        <v>1472826</v>
      </c>
      <c r="FC206" s="8">
        <v>0</v>
      </c>
      <c r="FD206" s="8">
        <v>5458</v>
      </c>
      <c r="FE206" s="8">
        <v>6694</v>
      </c>
      <c r="FF206" s="8">
        <v>19831</v>
      </c>
      <c r="FG206" s="8">
        <v>157711</v>
      </c>
      <c r="FH206" s="8">
        <v>264304</v>
      </c>
      <c r="FI206" s="8">
        <v>313178</v>
      </c>
      <c r="FJ206" s="8"/>
      <c r="FK206" s="8"/>
      <c r="FL206" s="8"/>
      <c r="FM206" s="8"/>
      <c r="FN206" s="8"/>
      <c r="FO206" s="9">
        <f t="shared" si="107"/>
        <v>313178</v>
      </c>
    </row>
    <row r="207" spans="2:171" ht="14.25" customHeight="1" x14ac:dyDescent="0.3">
      <c r="B207" s="7" t="s">
        <v>59</v>
      </c>
      <c r="C207" s="8">
        <v>9831</v>
      </c>
      <c r="D207" s="8">
        <v>20595</v>
      </c>
      <c r="E207" s="8">
        <v>54791</v>
      </c>
      <c r="F207" s="8">
        <v>82398</v>
      </c>
      <c r="G207" s="8">
        <v>114982</v>
      </c>
      <c r="H207" s="8">
        <v>147864</v>
      </c>
      <c r="I207" s="8">
        <v>165295</v>
      </c>
      <c r="J207" s="8">
        <v>173671</v>
      </c>
      <c r="K207" s="8">
        <v>177394</v>
      </c>
      <c r="L207" s="8">
        <v>326086</v>
      </c>
      <c r="M207" s="8">
        <v>336555</v>
      </c>
      <c r="N207" s="8">
        <v>2386576</v>
      </c>
      <c r="O207" s="9">
        <f t="shared" si="95"/>
        <v>2386576</v>
      </c>
      <c r="P207" s="8">
        <v>5330</v>
      </c>
      <c r="Q207" s="8">
        <v>11749</v>
      </c>
      <c r="R207" s="8">
        <v>16569</v>
      </c>
      <c r="S207" s="8">
        <v>19137</v>
      </c>
      <c r="T207" s="8">
        <v>60902</v>
      </c>
      <c r="U207" s="8">
        <v>81647</v>
      </c>
      <c r="V207" s="8">
        <v>100875</v>
      </c>
      <c r="W207" s="8">
        <v>103634</v>
      </c>
      <c r="X207" s="8">
        <v>146948</v>
      </c>
      <c r="Y207" s="8">
        <v>155825</v>
      </c>
      <c r="Z207" s="8">
        <v>384446</v>
      </c>
      <c r="AA207" s="8">
        <v>3290296</v>
      </c>
      <c r="AB207" s="9">
        <f t="shared" si="96"/>
        <v>3290296</v>
      </c>
      <c r="AC207" s="8">
        <v>2677</v>
      </c>
      <c r="AD207" s="8">
        <v>33425</v>
      </c>
      <c r="AE207" s="8">
        <v>47465</v>
      </c>
      <c r="AF207" s="8">
        <v>59967</v>
      </c>
      <c r="AG207" s="8">
        <v>93243</v>
      </c>
      <c r="AH207" s="8">
        <v>98678</v>
      </c>
      <c r="AI207" s="8">
        <v>137283</v>
      </c>
      <c r="AJ207" s="8">
        <v>151096</v>
      </c>
      <c r="AK207" s="8">
        <v>163966</v>
      </c>
      <c r="AL207" s="8">
        <v>170898</v>
      </c>
      <c r="AM207" s="8">
        <v>411584</v>
      </c>
      <c r="AN207" s="8">
        <v>1017571</v>
      </c>
      <c r="AO207" s="9">
        <f t="shared" si="97"/>
        <v>1017571</v>
      </c>
      <c r="AP207" s="8">
        <v>947</v>
      </c>
      <c r="AQ207" s="8">
        <v>9183</v>
      </c>
      <c r="AR207" s="8">
        <v>35581</v>
      </c>
      <c r="AS207" s="8">
        <v>42442</v>
      </c>
      <c r="AT207" s="8">
        <v>56956</v>
      </c>
      <c r="AU207" s="8">
        <v>66354</v>
      </c>
      <c r="AV207" s="8">
        <v>74978</v>
      </c>
      <c r="AW207" s="8">
        <v>88245</v>
      </c>
      <c r="AX207" s="8">
        <v>172419</v>
      </c>
      <c r="AY207" s="8">
        <v>174247</v>
      </c>
      <c r="AZ207" s="8">
        <v>201946</v>
      </c>
      <c r="BA207" s="8">
        <v>219557</v>
      </c>
      <c r="BB207" s="9">
        <f t="shared" si="98"/>
        <v>219557</v>
      </c>
      <c r="BC207" s="8">
        <v>3450</v>
      </c>
      <c r="BD207" s="8">
        <v>37936</v>
      </c>
      <c r="BE207" s="8">
        <v>47264</v>
      </c>
      <c r="BF207" s="8">
        <v>73467</v>
      </c>
      <c r="BG207" s="8">
        <v>98271</v>
      </c>
      <c r="BH207" s="8">
        <v>103238</v>
      </c>
      <c r="BI207" s="8">
        <v>107305</v>
      </c>
      <c r="BJ207" s="8">
        <v>187658</v>
      </c>
      <c r="BK207" s="8">
        <v>190782</v>
      </c>
      <c r="BL207" s="8">
        <v>194087</v>
      </c>
      <c r="BM207" s="8">
        <v>248063</v>
      </c>
      <c r="BN207" s="8">
        <v>4397281</v>
      </c>
      <c r="BO207" s="9">
        <f t="shared" si="99"/>
        <v>4397281</v>
      </c>
      <c r="BP207" s="8">
        <v>0</v>
      </c>
      <c r="BQ207" s="8">
        <v>0</v>
      </c>
      <c r="BR207" s="8">
        <v>0</v>
      </c>
      <c r="BS207" s="8">
        <v>0</v>
      </c>
      <c r="BT207" s="8">
        <v>0</v>
      </c>
      <c r="BU207" s="8">
        <v>0</v>
      </c>
      <c r="BV207" s="8">
        <v>0</v>
      </c>
      <c r="BW207" s="8">
        <v>0</v>
      </c>
      <c r="BX207" s="8">
        <v>128520</v>
      </c>
      <c r="BY207" s="8">
        <v>184081</v>
      </c>
      <c r="BZ207" s="8">
        <v>242024</v>
      </c>
      <c r="CA207" s="8">
        <v>5116010</v>
      </c>
      <c r="CB207" s="9">
        <f t="shared" si="100"/>
        <v>5116010</v>
      </c>
      <c r="CC207" s="8">
        <v>0</v>
      </c>
      <c r="CD207" s="8">
        <v>1154</v>
      </c>
      <c r="CE207" s="8">
        <v>13310</v>
      </c>
      <c r="CF207" s="8">
        <v>172752</v>
      </c>
      <c r="CG207" s="8">
        <v>174906</v>
      </c>
      <c r="CH207" s="8">
        <v>292147</v>
      </c>
      <c r="CI207" s="8">
        <v>294042</v>
      </c>
      <c r="CJ207" s="8">
        <v>303200</v>
      </c>
      <c r="CK207" s="8">
        <v>303701</v>
      </c>
      <c r="CL207" s="8">
        <v>307642</v>
      </c>
      <c r="CM207" s="8">
        <v>310164</v>
      </c>
      <c r="CN207" s="8">
        <v>504758</v>
      </c>
      <c r="CO207" s="9">
        <f t="shared" si="101"/>
        <v>504758</v>
      </c>
      <c r="CP207" s="8">
        <v>0</v>
      </c>
      <c r="CQ207" s="8">
        <v>1597</v>
      </c>
      <c r="CR207" s="8">
        <v>42435</v>
      </c>
      <c r="CS207" s="8">
        <v>97606</v>
      </c>
      <c r="CT207" s="8">
        <v>190831</v>
      </c>
      <c r="CU207" s="8">
        <v>200009</v>
      </c>
      <c r="CV207" s="8">
        <v>248115</v>
      </c>
      <c r="CW207" s="8">
        <v>265550</v>
      </c>
      <c r="CX207" s="8">
        <v>270495</v>
      </c>
      <c r="CY207" s="8">
        <v>589061</v>
      </c>
      <c r="CZ207" s="8">
        <v>705980</v>
      </c>
      <c r="DA207" s="8">
        <v>1313543</v>
      </c>
      <c r="DB207" s="9">
        <f t="shared" si="102"/>
        <v>1313543</v>
      </c>
      <c r="DC207" s="8">
        <v>651</v>
      </c>
      <c r="DD207" s="8">
        <v>1051</v>
      </c>
      <c r="DE207" s="8">
        <v>13456</v>
      </c>
      <c r="DF207" s="8">
        <v>18782</v>
      </c>
      <c r="DG207" s="8">
        <v>20893</v>
      </c>
      <c r="DH207" s="8">
        <v>24935</v>
      </c>
      <c r="DI207" s="8">
        <v>53760</v>
      </c>
      <c r="DJ207" s="8">
        <v>108948</v>
      </c>
      <c r="DK207" s="8">
        <v>203295</v>
      </c>
      <c r="DL207" s="8">
        <v>413441</v>
      </c>
      <c r="DM207" s="8">
        <v>1084123</v>
      </c>
      <c r="DN207" s="8">
        <v>1984706</v>
      </c>
      <c r="DO207" s="9">
        <f t="shared" si="103"/>
        <v>1984706</v>
      </c>
      <c r="DP207" s="8">
        <v>209265</v>
      </c>
      <c r="DQ207" s="8">
        <v>223604</v>
      </c>
      <c r="DR207" s="8">
        <v>233488</v>
      </c>
      <c r="DS207" s="8">
        <v>239509</v>
      </c>
      <c r="DT207" s="8">
        <v>355821</v>
      </c>
      <c r="DU207" s="8">
        <v>481344</v>
      </c>
      <c r="DV207" s="8">
        <v>537420</v>
      </c>
      <c r="DW207" s="8">
        <v>600558</v>
      </c>
      <c r="DX207" s="8">
        <v>602924</v>
      </c>
      <c r="DY207" s="8">
        <v>608609</v>
      </c>
      <c r="DZ207" s="8">
        <v>625880</v>
      </c>
      <c r="EA207" s="8">
        <v>1013474</v>
      </c>
      <c r="EB207" s="9">
        <f t="shared" si="104"/>
        <v>1013474</v>
      </c>
      <c r="EC207" s="8">
        <v>30855</v>
      </c>
      <c r="ED207" s="8">
        <v>65854</v>
      </c>
      <c r="EE207" s="8">
        <v>77010</v>
      </c>
      <c r="EF207" s="8">
        <v>86285</v>
      </c>
      <c r="EG207" s="8">
        <v>107524</v>
      </c>
      <c r="EH207" s="8">
        <v>124175</v>
      </c>
      <c r="EI207" s="8">
        <v>338025</v>
      </c>
      <c r="EJ207" s="8">
        <v>378752</v>
      </c>
      <c r="EK207" s="8">
        <v>589384</v>
      </c>
      <c r="EL207" s="8">
        <v>714597</v>
      </c>
      <c r="EM207" s="8">
        <v>737644</v>
      </c>
      <c r="EN207" s="8">
        <v>857056</v>
      </c>
      <c r="EO207" s="9">
        <f t="shared" si="105"/>
        <v>857056</v>
      </c>
      <c r="EP207" s="8">
        <v>3210</v>
      </c>
      <c r="EQ207" s="8">
        <v>443622</v>
      </c>
      <c r="ER207" s="8">
        <v>449396</v>
      </c>
      <c r="ES207" s="8">
        <v>479048</v>
      </c>
      <c r="ET207" s="8">
        <v>501587</v>
      </c>
      <c r="EU207" s="8">
        <v>510255</v>
      </c>
      <c r="EV207" s="8">
        <v>523499</v>
      </c>
      <c r="EW207" s="8">
        <v>580508</v>
      </c>
      <c r="EX207" s="8">
        <v>850817</v>
      </c>
      <c r="EY207" s="8">
        <v>1068056</v>
      </c>
      <c r="EZ207" s="8">
        <v>1542643</v>
      </c>
      <c r="FA207" s="8">
        <v>2529827</v>
      </c>
      <c r="FB207" s="9">
        <f t="shared" si="106"/>
        <v>2529827</v>
      </c>
      <c r="FC207" s="8">
        <v>10256</v>
      </c>
      <c r="FD207" s="8">
        <v>10693</v>
      </c>
      <c r="FE207" s="8">
        <v>52940</v>
      </c>
      <c r="FF207" s="8">
        <v>56599</v>
      </c>
      <c r="FG207" s="8">
        <v>62917</v>
      </c>
      <c r="FH207" s="8">
        <v>73337</v>
      </c>
      <c r="FI207" s="8">
        <v>80769</v>
      </c>
      <c r="FJ207" s="8"/>
      <c r="FK207" s="8"/>
      <c r="FL207" s="8"/>
      <c r="FM207" s="8"/>
      <c r="FN207" s="8"/>
      <c r="FO207" s="9">
        <f t="shared" si="107"/>
        <v>80769</v>
      </c>
    </row>
    <row r="208" spans="2:171" ht="14.25" customHeight="1" x14ac:dyDescent="0.3">
      <c r="B208" s="7" t="s">
        <v>60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78</v>
      </c>
      <c r="J208" s="8">
        <v>78</v>
      </c>
      <c r="K208" s="8">
        <v>571</v>
      </c>
      <c r="L208" s="8">
        <v>159</v>
      </c>
      <c r="M208" s="8">
        <v>1276</v>
      </c>
      <c r="N208" s="8">
        <v>1302533</v>
      </c>
      <c r="O208" s="9">
        <f t="shared" si="95"/>
        <v>1302533</v>
      </c>
      <c r="P208" s="8">
        <v>0</v>
      </c>
      <c r="Q208" s="8">
        <v>0</v>
      </c>
      <c r="R208" s="8">
        <v>0</v>
      </c>
      <c r="S208" s="8">
        <v>396</v>
      </c>
      <c r="T208" s="8">
        <v>2394</v>
      </c>
      <c r="U208" s="8">
        <v>17258</v>
      </c>
      <c r="V208" s="8">
        <v>19167</v>
      </c>
      <c r="W208" s="8">
        <v>86275</v>
      </c>
      <c r="X208" s="8">
        <v>87210</v>
      </c>
      <c r="Y208" s="8">
        <v>199134</v>
      </c>
      <c r="Z208" s="8">
        <v>239205</v>
      </c>
      <c r="AA208" s="8">
        <v>1421164</v>
      </c>
      <c r="AB208" s="9">
        <f t="shared" si="96"/>
        <v>1421164</v>
      </c>
      <c r="AC208" s="8">
        <v>0</v>
      </c>
      <c r="AD208" s="8">
        <v>0</v>
      </c>
      <c r="AE208" s="8">
        <v>0</v>
      </c>
      <c r="AF208" s="8">
        <v>6611</v>
      </c>
      <c r="AG208" s="8">
        <v>7280</v>
      </c>
      <c r="AH208" s="8">
        <v>16309</v>
      </c>
      <c r="AI208" s="8">
        <v>23275</v>
      </c>
      <c r="AJ208" s="8">
        <v>31226</v>
      </c>
      <c r="AK208" s="8">
        <v>31519</v>
      </c>
      <c r="AL208" s="8">
        <v>237746</v>
      </c>
      <c r="AM208" s="8">
        <v>242801</v>
      </c>
      <c r="AN208" s="8">
        <v>514439</v>
      </c>
      <c r="AO208" s="9">
        <f t="shared" si="97"/>
        <v>514439</v>
      </c>
      <c r="AP208" s="8">
        <v>0</v>
      </c>
      <c r="AQ208" s="8">
        <v>0</v>
      </c>
      <c r="AR208" s="8">
        <v>0</v>
      </c>
      <c r="AS208" s="8">
        <v>868</v>
      </c>
      <c r="AT208" s="8">
        <v>868</v>
      </c>
      <c r="AU208" s="8">
        <v>986</v>
      </c>
      <c r="AV208" s="8">
        <v>4668</v>
      </c>
      <c r="AW208" s="8">
        <v>4668</v>
      </c>
      <c r="AX208" s="8">
        <v>4668</v>
      </c>
      <c r="AY208" s="8">
        <v>4800</v>
      </c>
      <c r="AZ208" s="8">
        <v>30866</v>
      </c>
      <c r="BA208" s="8">
        <v>322474</v>
      </c>
      <c r="BB208" s="9">
        <f t="shared" si="98"/>
        <v>322474</v>
      </c>
      <c r="BC208" s="8">
        <v>0</v>
      </c>
      <c r="BD208" s="8">
        <v>0</v>
      </c>
      <c r="BE208" s="8">
        <v>1433</v>
      </c>
      <c r="BF208" s="8">
        <v>4468</v>
      </c>
      <c r="BG208" s="8">
        <v>4714</v>
      </c>
      <c r="BH208" s="8">
        <v>4761</v>
      </c>
      <c r="BI208" s="8">
        <v>5887</v>
      </c>
      <c r="BJ208" s="8">
        <v>6162</v>
      </c>
      <c r="BK208" s="8">
        <v>6162</v>
      </c>
      <c r="BL208" s="8">
        <v>10682</v>
      </c>
      <c r="BM208" s="8">
        <v>186483</v>
      </c>
      <c r="BN208" s="8">
        <v>1952113</v>
      </c>
      <c r="BO208" s="9">
        <f t="shared" si="99"/>
        <v>1952113</v>
      </c>
      <c r="BP208" s="8">
        <v>0</v>
      </c>
      <c r="BQ208" s="8">
        <v>0</v>
      </c>
      <c r="BR208" s="8">
        <v>0</v>
      </c>
      <c r="BS208" s="8">
        <v>0</v>
      </c>
      <c r="BT208" s="8">
        <v>0</v>
      </c>
      <c r="BU208" s="8">
        <v>0</v>
      </c>
      <c r="BV208" s="8">
        <v>0</v>
      </c>
      <c r="BW208" s="8">
        <v>433</v>
      </c>
      <c r="BX208" s="8">
        <v>15433</v>
      </c>
      <c r="BY208" s="8">
        <v>15433</v>
      </c>
      <c r="BZ208" s="8">
        <v>623515</v>
      </c>
      <c r="CA208" s="8">
        <v>3626981</v>
      </c>
      <c r="CB208" s="9">
        <f t="shared" si="100"/>
        <v>3626981</v>
      </c>
      <c r="CC208" s="8">
        <v>0</v>
      </c>
      <c r="CD208" s="8">
        <v>0</v>
      </c>
      <c r="CE208" s="8">
        <v>0</v>
      </c>
      <c r="CF208" s="8">
        <v>43258</v>
      </c>
      <c r="CG208" s="8">
        <v>43258</v>
      </c>
      <c r="CH208" s="8">
        <v>58636</v>
      </c>
      <c r="CI208" s="8">
        <v>58636</v>
      </c>
      <c r="CJ208" s="8">
        <v>68198</v>
      </c>
      <c r="CK208" s="8">
        <v>91481</v>
      </c>
      <c r="CL208" s="8">
        <v>94975</v>
      </c>
      <c r="CM208" s="8">
        <v>102297</v>
      </c>
      <c r="CN208" s="8">
        <v>413953</v>
      </c>
      <c r="CO208" s="9">
        <f t="shared" si="101"/>
        <v>413953</v>
      </c>
      <c r="CP208" s="8">
        <v>0</v>
      </c>
      <c r="CQ208" s="8">
        <v>33443</v>
      </c>
      <c r="CR208" s="8">
        <v>54672</v>
      </c>
      <c r="CS208" s="8">
        <v>66820</v>
      </c>
      <c r="CT208" s="8">
        <v>90831</v>
      </c>
      <c r="CU208" s="8">
        <v>96879</v>
      </c>
      <c r="CV208" s="8">
        <v>99181</v>
      </c>
      <c r="CW208" s="8">
        <v>100188</v>
      </c>
      <c r="CX208" s="8">
        <v>105184</v>
      </c>
      <c r="CY208" s="8">
        <v>453116</v>
      </c>
      <c r="CZ208" s="8">
        <v>541004</v>
      </c>
      <c r="DA208" s="8">
        <v>1088733</v>
      </c>
      <c r="DB208" s="9">
        <f t="shared" si="102"/>
        <v>1088733</v>
      </c>
      <c r="DC208" s="8">
        <v>518</v>
      </c>
      <c r="DD208" s="8">
        <v>1699</v>
      </c>
      <c r="DE208" s="8">
        <v>13417</v>
      </c>
      <c r="DF208" s="8">
        <v>48302</v>
      </c>
      <c r="DG208" s="8">
        <v>55952</v>
      </c>
      <c r="DH208" s="8">
        <v>62264</v>
      </c>
      <c r="DI208" s="8">
        <v>69556</v>
      </c>
      <c r="DJ208" s="8">
        <v>74898</v>
      </c>
      <c r="DK208" s="8">
        <v>88333</v>
      </c>
      <c r="DL208" s="8">
        <v>88333</v>
      </c>
      <c r="DM208" s="8">
        <v>117710</v>
      </c>
      <c r="DN208" s="8">
        <v>549134</v>
      </c>
      <c r="DO208" s="9">
        <f t="shared" si="103"/>
        <v>549134</v>
      </c>
      <c r="DP208" s="8">
        <v>0</v>
      </c>
      <c r="DQ208" s="8">
        <v>5334</v>
      </c>
      <c r="DR208" s="8">
        <v>20715</v>
      </c>
      <c r="DS208" s="8">
        <v>27194</v>
      </c>
      <c r="DT208" s="8">
        <v>226634</v>
      </c>
      <c r="DU208" s="8">
        <v>493731</v>
      </c>
      <c r="DV208" s="8">
        <v>993934</v>
      </c>
      <c r="DW208" s="8">
        <v>1077622</v>
      </c>
      <c r="DX208" s="8">
        <v>1093013</v>
      </c>
      <c r="DY208" s="8">
        <v>1233765</v>
      </c>
      <c r="DZ208" s="8">
        <v>1271204</v>
      </c>
      <c r="EA208" s="8">
        <v>1653332</v>
      </c>
      <c r="EB208" s="9">
        <f t="shared" si="104"/>
        <v>1653332</v>
      </c>
      <c r="EC208" s="8">
        <v>395</v>
      </c>
      <c r="ED208" s="8">
        <v>2631</v>
      </c>
      <c r="EE208" s="8">
        <v>7779</v>
      </c>
      <c r="EF208" s="8">
        <v>10379</v>
      </c>
      <c r="EG208" s="8">
        <v>11262</v>
      </c>
      <c r="EH208" s="8">
        <v>13666</v>
      </c>
      <c r="EI208" s="8">
        <v>19777</v>
      </c>
      <c r="EJ208" s="8">
        <v>109703</v>
      </c>
      <c r="EK208" s="8">
        <v>269191</v>
      </c>
      <c r="EL208" s="8">
        <v>285382</v>
      </c>
      <c r="EM208" s="8">
        <v>309239</v>
      </c>
      <c r="EN208" s="8">
        <v>499094</v>
      </c>
      <c r="EO208" s="9">
        <f t="shared" si="105"/>
        <v>499094</v>
      </c>
      <c r="EP208" s="8">
        <v>2139</v>
      </c>
      <c r="EQ208" s="8">
        <v>8089</v>
      </c>
      <c r="ER208" s="8">
        <v>131641</v>
      </c>
      <c r="ES208" s="8">
        <v>139237</v>
      </c>
      <c r="ET208" s="8">
        <v>148364</v>
      </c>
      <c r="EU208" s="8">
        <v>157018</v>
      </c>
      <c r="EV208" s="8">
        <v>168356</v>
      </c>
      <c r="EW208" s="8">
        <v>185860</v>
      </c>
      <c r="EX208" s="8">
        <v>188969</v>
      </c>
      <c r="EY208" s="8">
        <v>380036</v>
      </c>
      <c r="EZ208" s="8">
        <v>388666</v>
      </c>
      <c r="FA208" s="8">
        <v>493715</v>
      </c>
      <c r="FB208" s="9">
        <f t="shared" si="106"/>
        <v>493715</v>
      </c>
      <c r="FC208" s="8">
        <v>420</v>
      </c>
      <c r="FD208" s="8">
        <v>420</v>
      </c>
      <c r="FE208" s="8">
        <v>8200</v>
      </c>
      <c r="FF208" s="8">
        <v>9597</v>
      </c>
      <c r="FG208" s="8">
        <v>11124</v>
      </c>
      <c r="FH208" s="8">
        <v>19010</v>
      </c>
      <c r="FI208" s="8">
        <v>48706</v>
      </c>
      <c r="FJ208" s="8"/>
      <c r="FK208" s="8"/>
      <c r="FL208" s="8"/>
      <c r="FM208" s="8"/>
      <c r="FN208" s="8"/>
      <c r="FO208" s="9">
        <f t="shared" si="107"/>
        <v>48706</v>
      </c>
    </row>
    <row r="209" spans="2:171" ht="14.25" customHeight="1" x14ac:dyDescent="0.3">
      <c r="B209" s="7" t="s">
        <v>61</v>
      </c>
      <c r="C209" s="8">
        <v>4131</v>
      </c>
      <c r="D209" s="8">
        <v>30063</v>
      </c>
      <c r="E209" s="8">
        <v>49842</v>
      </c>
      <c r="F209" s="8">
        <v>70288</v>
      </c>
      <c r="G209" s="8">
        <v>100439</v>
      </c>
      <c r="H209" s="8">
        <v>105170</v>
      </c>
      <c r="I209" s="8">
        <v>117886</v>
      </c>
      <c r="J209" s="8">
        <v>316708</v>
      </c>
      <c r="K209" s="8">
        <v>458942</v>
      </c>
      <c r="L209" s="8">
        <v>458942</v>
      </c>
      <c r="M209" s="8">
        <v>473996</v>
      </c>
      <c r="N209" s="8">
        <v>1753144</v>
      </c>
      <c r="O209" s="9">
        <f t="shared" si="95"/>
        <v>1753144</v>
      </c>
      <c r="P209" s="8">
        <v>387</v>
      </c>
      <c r="Q209" s="8">
        <v>23614</v>
      </c>
      <c r="R209" s="8">
        <v>32313</v>
      </c>
      <c r="S209" s="8">
        <v>45341</v>
      </c>
      <c r="T209" s="8">
        <v>45975</v>
      </c>
      <c r="U209" s="8">
        <v>687177</v>
      </c>
      <c r="V209" s="8">
        <v>687941</v>
      </c>
      <c r="W209" s="8">
        <v>765384</v>
      </c>
      <c r="X209" s="8">
        <v>1041757</v>
      </c>
      <c r="Y209" s="8">
        <v>1473240</v>
      </c>
      <c r="Z209" s="8">
        <v>1659458</v>
      </c>
      <c r="AA209" s="8">
        <v>3777726</v>
      </c>
      <c r="AB209" s="9">
        <f t="shared" si="96"/>
        <v>3777726</v>
      </c>
      <c r="AC209" s="8">
        <v>1071</v>
      </c>
      <c r="AD209" s="8">
        <v>1423</v>
      </c>
      <c r="AE209" s="8">
        <v>1423</v>
      </c>
      <c r="AF209" s="8">
        <v>12701</v>
      </c>
      <c r="AG209" s="8">
        <v>15529</v>
      </c>
      <c r="AH209" s="8">
        <v>15529</v>
      </c>
      <c r="AI209" s="8">
        <v>29013</v>
      </c>
      <c r="AJ209" s="8">
        <v>45562</v>
      </c>
      <c r="AK209" s="8">
        <v>103900</v>
      </c>
      <c r="AL209" s="8">
        <v>232331</v>
      </c>
      <c r="AM209" s="8">
        <v>244480</v>
      </c>
      <c r="AN209" s="8">
        <v>1949273</v>
      </c>
      <c r="AO209" s="9">
        <f t="shared" si="97"/>
        <v>1949273</v>
      </c>
      <c r="AP209" s="8">
        <v>4382</v>
      </c>
      <c r="AQ209" s="8">
        <v>4382</v>
      </c>
      <c r="AR209" s="8">
        <v>4382</v>
      </c>
      <c r="AS209" s="8">
        <v>4382</v>
      </c>
      <c r="AT209" s="8">
        <v>4382</v>
      </c>
      <c r="AU209" s="8">
        <v>4382</v>
      </c>
      <c r="AV209" s="8">
        <v>4382</v>
      </c>
      <c r="AW209" s="8">
        <v>7125</v>
      </c>
      <c r="AX209" s="8">
        <v>23168</v>
      </c>
      <c r="AY209" s="8">
        <v>28046</v>
      </c>
      <c r="AZ209" s="8">
        <v>33663</v>
      </c>
      <c r="BA209" s="8">
        <v>118678</v>
      </c>
      <c r="BB209" s="9">
        <f t="shared" si="98"/>
        <v>118678</v>
      </c>
      <c r="BC209" s="8">
        <v>0</v>
      </c>
      <c r="BD209" s="8">
        <v>0</v>
      </c>
      <c r="BE209" s="8">
        <v>0</v>
      </c>
      <c r="BF209" s="8">
        <v>0</v>
      </c>
      <c r="BG209" s="8">
        <v>0</v>
      </c>
      <c r="BH209" s="8">
        <v>93</v>
      </c>
      <c r="BI209" s="8">
        <v>93</v>
      </c>
      <c r="BJ209" s="8">
        <v>93</v>
      </c>
      <c r="BK209" s="8">
        <v>32706</v>
      </c>
      <c r="BL209" s="8">
        <v>285876</v>
      </c>
      <c r="BM209" s="8">
        <v>715709</v>
      </c>
      <c r="BN209" s="8">
        <v>3233815</v>
      </c>
      <c r="BO209" s="9">
        <f t="shared" si="99"/>
        <v>3233815</v>
      </c>
      <c r="BP209" s="8">
        <v>0</v>
      </c>
      <c r="BQ209" s="8">
        <v>0</v>
      </c>
      <c r="BR209" s="8">
        <v>0</v>
      </c>
      <c r="BS209" s="8">
        <v>0</v>
      </c>
      <c r="BT209" s="8">
        <v>0</v>
      </c>
      <c r="BU209" s="8">
        <v>0</v>
      </c>
      <c r="BV209" s="8">
        <v>75798</v>
      </c>
      <c r="BW209" s="8">
        <v>113337</v>
      </c>
      <c r="BX209" s="8">
        <v>201723</v>
      </c>
      <c r="BY209" s="8">
        <v>352289</v>
      </c>
      <c r="BZ209" s="8">
        <v>893184</v>
      </c>
      <c r="CA209" s="8">
        <v>2061945</v>
      </c>
      <c r="CB209" s="9">
        <f t="shared" si="100"/>
        <v>2061945</v>
      </c>
      <c r="CC209" s="8">
        <v>0</v>
      </c>
      <c r="CD209" s="8">
        <v>0</v>
      </c>
      <c r="CE209" s="8">
        <v>455</v>
      </c>
      <c r="CF209" s="8">
        <v>455</v>
      </c>
      <c r="CG209" s="8">
        <v>455</v>
      </c>
      <c r="CH209" s="8">
        <v>455</v>
      </c>
      <c r="CI209" s="8">
        <v>2228</v>
      </c>
      <c r="CJ209" s="8">
        <v>121352</v>
      </c>
      <c r="CK209" s="8">
        <v>148406</v>
      </c>
      <c r="CL209" s="8">
        <v>159021</v>
      </c>
      <c r="CM209" s="8">
        <v>307603</v>
      </c>
      <c r="CN209" s="8">
        <v>640479</v>
      </c>
      <c r="CO209" s="9">
        <f t="shared" si="101"/>
        <v>640479</v>
      </c>
      <c r="CP209" s="8">
        <v>0</v>
      </c>
      <c r="CQ209" s="8">
        <v>0</v>
      </c>
      <c r="CR209" s="8">
        <v>0</v>
      </c>
      <c r="CS209" s="8">
        <v>11857</v>
      </c>
      <c r="CT209" s="8">
        <v>19837</v>
      </c>
      <c r="CU209" s="8">
        <v>32339</v>
      </c>
      <c r="CV209" s="8">
        <v>36457</v>
      </c>
      <c r="CW209" s="8">
        <v>270776</v>
      </c>
      <c r="CX209" s="8">
        <v>271348</v>
      </c>
      <c r="CY209" s="8">
        <v>596503</v>
      </c>
      <c r="CZ209" s="8">
        <v>678701</v>
      </c>
      <c r="DA209" s="8">
        <v>854869</v>
      </c>
      <c r="DB209" s="9">
        <f t="shared" si="102"/>
        <v>854869</v>
      </c>
      <c r="DC209" s="8">
        <v>6537</v>
      </c>
      <c r="DD209" s="8">
        <v>11078</v>
      </c>
      <c r="DE209" s="8">
        <v>16699</v>
      </c>
      <c r="DF209" s="8">
        <v>37573</v>
      </c>
      <c r="DG209" s="8">
        <v>51249</v>
      </c>
      <c r="DH209" s="8">
        <v>53324</v>
      </c>
      <c r="DI209" s="8">
        <v>55773</v>
      </c>
      <c r="DJ209" s="8">
        <v>69227</v>
      </c>
      <c r="DK209" s="8">
        <v>79893</v>
      </c>
      <c r="DL209" s="8">
        <v>403963</v>
      </c>
      <c r="DM209" s="8">
        <v>545189</v>
      </c>
      <c r="DN209" s="8">
        <v>1044710</v>
      </c>
      <c r="DO209" s="9">
        <f t="shared" si="103"/>
        <v>1044710</v>
      </c>
      <c r="DP209" s="8">
        <v>0</v>
      </c>
      <c r="DQ209" s="8">
        <v>6685</v>
      </c>
      <c r="DR209" s="8">
        <v>12042</v>
      </c>
      <c r="DS209" s="8">
        <v>16024</v>
      </c>
      <c r="DT209" s="8">
        <v>20764</v>
      </c>
      <c r="DU209" s="8">
        <v>57702</v>
      </c>
      <c r="DV209" s="8">
        <v>132398</v>
      </c>
      <c r="DW209" s="8">
        <v>177322</v>
      </c>
      <c r="DX209" s="8">
        <v>213770</v>
      </c>
      <c r="DY209" s="8">
        <v>407344</v>
      </c>
      <c r="DZ209" s="8">
        <v>497988</v>
      </c>
      <c r="EA209" s="8">
        <v>1210426</v>
      </c>
      <c r="EB209" s="9">
        <f t="shared" si="104"/>
        <v>1210426</v>
      </c>
      <c r="EC209" s="8">
        <v>5709</v>
      </c>
      <c r="ED209" s="8">
        <v>21622</v>
      </c>
      <c r="EE209" s="8">
        <v>30498</v>
      </c>
      <c r="EF209" s="8">
        <v>38044</v>
      </c>
      <c r="EG209" s="8">
        <v>39755</v>
      </c>
      <c r="EH209" s="8">
        <v>44912</v>
      </c>
      <c r="EI209" s="8">
        <v>110672</v>
      </c>
      <c r="EJ209" s="8">
        <v>114846</v>
      </c>
      <c r="EK209" s="8">
        <v>118195</v>
      </c>
      <c r="EL209" s="8">
        <v>175153</v>
      </c>
      <c r="EM209" s="8">
        <v>183907</v>
      </c>
      <c r="EN209" s="8">
        <v>339311</v>
      </c>
      <c r="EO209" s="9">
        <f t="shared" si="105"/>
        <v>339311</v>
      </c>
      <c r="EP209" s="8">
        <v>224</v>
      </c>
      <c r="EQ209" s="8">
        <v>664</v>
      </c>
      <c r="ER209" s="8">
        <v>4821</v>
      </c>
      <c r="ES209" s="8">
        <v>11997</v>
      </c>
      <c r="ET209" s="8">
        <v>342570</v>
      </c>
      <c r="EU209" s="8">
        <v>356425</v>
      </c>
      <c r="EV209" s="8">
        <v>373941</v>
      </c>
      <c r="EW209" s="8">
        <v>571281</v>
      </c>
      <c r="EX209" s="8">
        <v>584909</v>
      </c>
      <c r="EY209" s="8">
        <v>671431</v>
      </c>
      <c r="EZ209" s="8">
        <v>776611</v>
      </c>
      <c r="FA209" s="8">
        <v>968127</v>
      </c>
      <c r="FB209" s="9">
        <f t="shared" si="106"/>
        <v>968127</v>
      </c>
      <c r="FC209" s="8">
        <v>11670</v>
      </c>
      <c r="FD209" s="8">
        <v>29387</v>
      </c>
      <c r="FE209" s="8">
        <v>42206</v>
      </c>
      <c r="FF209" s="8">
        <v>50395</v>
      </c>
      <c r="FG209" s="8">
        <v>53285</v>
      </c>
      <c r="FH209" s="8">
        <v>58818</v>
      </c>
      <c r="FI209" s="8">
        <v>60126</v>
      </c>
      <c r="FJ209" s="8"/>
      <c r="FK209" s="8"/>
      <c r="FL209" s="8"/>
      <c r="FM209" s="8"/>
      <c r="FN209" s="8"/>
      <c r="FO209" s="9">
        <f t="shared" si="107"/>
        <v>60126</v>
      </c>
    </row>
    <row r="210" spans="2:171" ht="14.25" customHeight="1" x14ac:dyDescent="0.3">
      <c r="B210" s="7" t="s">
        <v>62</v>
      </c>
      <c r="C210" s="8">
        <v>33648</v>
      </c>
      <c r="D210" s="8">
        <v>64130</v>
      </c>
      <c r="E210" s="8">
        <v>71580</v>
      </c>
      <c r="F210" s="8">
        <v>135488</v>
      </c>
      <c r="G210" s="8">
        <v>161306</v>
      </c>
      <c r="H210" s="8">
        <v>172009</v>
      </c>
      <c r="I210" s="8">
        <v>181509</v>
      </c>
      <c r="J210" s="8">
        <v>199717</v>
      </c>
      <c r="K210" s="8">
        <v>208765</v>
      </c>
      <c r="L210" s="8">
        <v>234930</v>
      </c>
      <c r="M210" s="8">
        <v>252669</v>
      </c>
      <c r="N210" s="8">
        <v>3743321</v>
      </c>
      <c r="O210" s="9">
        <f t="shared" si="95"/>
        <v>3743321</v>
      </c>
      <c r="P210" s="8">
        <v>35877</v>
      </c>
      <c r="Q210" s="8">
        <v>38283</v>
      </c>
      <c r="R210" s="8">
        <v>46456</v>
      </c>
      <c r="S210" s="8">
        <v>59284</v>
      </c>
      <c r="T210" s="8">
        <v>67405</v>
      </c>
      <c r="U210" s="8">
        <v>103946</v>
      </c>
      <c r="V210" s="8">
        <v>108029</v>
      </c>
      <c r="W210" s="8">
        <v>137007</v>
      </c>
      <c r="X210" s="8">
        <v>891995</v>
      </c>
      <c r="Y210" s="8">
        <v>1213018</v>
      </c>
      <c r="Z210" s="8">
        <v>1589170</v>
      </c>
      <c r="AA210" s="8">
        <v>7315463</v>
      </c>
      <c r="AB210" s="9">
        <f t="shared" si="96"/>
        <v>7315463</v>
      </c>
      <c r="AC210" s="8">
        <v>0</v>
      </c>
      <c r="AD210" s="8">
        <v>3616</v>
      </c>
      <c r="AE210" s="8">
        <v>57250</v>
      </c>
      <c r="AF210" s="8">
        <v>67743</v>
      </c>
      <c r="AG210" s="8">
        <v>81636</v>
      </c>
      <c r="AH210" s="8">
        <v>103723</v>
      </c>
      <c r="AI210" s="8">
        <v>132561</v>
      </c>
      <c r="AJ210" s="8">
        <v>409709</v>
      </c>
      <c r="AK210" s="8">
        <v>416712</v>
      </c>
      <c r="AL210" s="8">
        <v>438731</v>
      </c>
      <c r="AM210" s="8">
        <v>472561</v>
      </c>
      <c r="AN210" s="8">
        <v>631337</v>
      </c>
      <c r="AO210" s="9">
        <f t="shared" si="97"/>
        <v>631337</v>
      </c>
      <c r="AP210" s="8">
        <v>5243</v>
      </c>
      <c r="AQ210" s="8">
        <v>9217</v>
      </c>
      <c r="AR210" s="8">
        <v>96830</v>
      </c>
      <c r="AS210" s="8">
        <v>97916</v>
      </c>
      <c r="AT210" s="8">
        <v>135425</v>
      </c>
      <c r="AU210" s="8">
        <v>162949</v>
      </c>
      <c r="AV210" s="8">
        <v>204340</v>
      </c>
      <c r="AW210" s="8">
        <v>224741</v>
      </c>
      <c r="AX210" s="8">
        <v>245112</v>
      </c>
      <c r="AY210" s="8">
        <v>282129</v>
      </c>
      <c r="AZ210" s="8">
        <v>290409</v>
      </c>
      <c r="BA210" s="8">
        <v>756118</v>
      </c>
      <c r="BB210" s="9">
        <f t="shared" si="98"/>
        <v>756118</v>
      </c>
      <c r="BC210" s="8">
        <v>608</v>
      </c>
      <c r="BD210" s="8">
        <v>29866</v>
      </c>
      <c r="BE210" s="8">
        <v>42311</v>
      </c>
      <c r="BF210" s="8">
        <v>80301</v>
      </c>
      <c r="BG210" s="8">
        <v>93591</v>
      </c>
      <c r="BH210" s="8">
        <v>111313</v>
      </c>
      <c r="BI210" s="8">
        <v>128300</v>
      </c>
      <c r="BJ210" s="8">
        <v>134893</v>
      </c>
      <c r="BK210" s="8">
        <v>145734</v>
      </c>
      <c r="BL210" s="8">
        <v>156061</v>
      </c>
      <c r="BM210" s="8">
        <v>251321</v>
      </c>
      <c r="BN210" s="8">
        <v>3400952</v>
      </c>
      <c r="BO210" s="9">
        <f t="shared" si="99"/>
        <v>3400952</v>
      </c>
      <c r="BP210" s="8">
        <v>0</v>
      </c>
      <c r="BQ210" s="8">
        <v>0</v>
      </c>
      <c r="BR210" s="8">
        <v>0</v>
      </c>
      <c r="BS210" s="8">
        <v>0</v>
      </c>
      <c r="BT210" s="8">
        <v>0</v>
      </c>
      <c r="BU210" s="8">
        <v>0</v>
      </c>
      <c r="BV210" s="8">
        <v>185712</v>
      </c>
      <c r="BW210" s="8">
        <v>451558</v>
      </c>
      <c r="BX210" s="8">
        <v>1401599</v>
      </c>
      <c r="BY210" s="8">
        <v>1771984</v>
      </c>
      <c r="BZ210" s="8">
        <v>1913562</v>
      </c>
      <c r="CA210" s="8">
        <v>9377095</v>
      </c>
      <c r="CB210" s="9">
        <f t="shared" si="100"/>
        <v>9377095</v>
      </c>
      <c r="CC210" s="8">
        <v>77711</v>
      </c>
      <c r="CD210" s="8">
        <v>96224</v>
      </c>
      <c r="CE210" s="8">
        <v>98901</v>
      </c>
      <c r="CF210" s="8">
        <v>331888</v>
      </c>
      <c r="CG210" s="8">
        <v>483759</v>
      </c>
      <c r="CH210" s="8">
        <v>2197613</v>
      </c>
      <c r="CI210" s="8">
        <v>2202915</v>
      </c>
      <c r="CJ210" s="8">
        <v>2390543</v>
      </c>
      <c r="CK210" s="8">
        <v>2895464</v>
      </c>
      <c r="CL210" s="8">
        <v>3472654</v>
      </c>
      <c r="CM210" s="8">
        <v>3882775</v>
      </c>
      <c r="CN210" s="8">
        <v>6679917</v>
      </c>
      <c r="CO210" s="9">
        <f t="shared" si="101"/>
        <v>6679917</v>
      </c>
      <c r="CP210" s="8">
        <v>4776</v>
      </c>
      <c r="CQ210" s="8">
        <v>17942</v>
      </c>
      <c r="CR210" s="8">
        <v>47832</v>
      </c>
      <c r="CS210" s="8">
        <v>139182</v>
      </c>
      <c r="CT210" s="8">
        <v>156509</v>
      </c>
      <c r="CU210" s="8">
        <v>183997</v>
      </c>
      <c r="CV210" s="8">
        <v>544700</v>
      </c>
      <c r="CW210" s="8">
        <v>571395</v>
      </c>
      <c r="CX210" s="8">
        <v>667189</v>
      </c>
      <c r="CY210" s="8">
        <v>705933</v>
      </c>
      <c r="CZ210" s="8">
        <v>1709074</v>
      </c>
      <c r="DA210" s="8">
        <v>3216473</v>
      </c>
      <c r="DB210" s="9">
        <f t="shared" si="102"/>
        <v>3216473</v>
      </c>
      <c r="DC210" s="8">
        <v>503</v>
      </c>
      <c r="DD210" s="8">
        <v>6712</v>
      </c>
      <c r="DE210" s="8">
        <v>17451</v>
      </c>
      <c r="DF210" s="8">
        <v>25526</v>
      </c>
      <c r="DG210" s="8">
        <v>49637</v>
      </c>
      <c r="DH210" s="8">
        <v>61835</v>
      </c>
      <c r="DI210" s="8">
        <v>100833</v>
      </c>
      <c r="DJ210" s="8">
        <v>128430</v>
      </c>
      <c r="DK210" s="8">
        <v>153698</v>
      </c>
      <c r="DL210" s="8">
        <v>223873</v>
      </c>
      <c r="DM210" s="8">
        <v>357860</v>
      </c>
      <c r="DN210" s="8">
        <v>1959911</v>
      </c>
      <c r="DO210" s="9">
        <f t="shared" si="103"/>
        <v>1959911</v>
      </c>
      <c r="DP210" s="8">
        <v>5557</v>
      </c>
      <c r="DQ210" s="8">
        <v>8022</v>
      </c>
      <c r="DR210" s="8">
        <v>17565</v>
      </c>
      <c r="DS210" s="8">
        <v>37278</v>
      </c>
      <c r="DT210" s="8">
        <v>44657</v>
      </c>
      <c r="DU210" s="8">
        <v>50260</v>
      </c>
      <c r="DV210" s="8">
        <v>131493</v>
      </c>
      <c r="DW210" s="8">
        <v>145606</v>
      </c>
      <c r="DX210" s="8">
        <v>194408</v>
      </c>
      <c r="DY210" s="8">
        <v>247348</v>
      </c>
      <c r="DZ210" s="8">
        <v>421948</v>
      </c>
      <c r="EA210" s="8">
        <v>3086557</v>
      </c>
      <c r="EB210" s="9">
        <f t="shared" si="104"/>
        <v>3086557</v>
      </c>
      <c r="EC210" s="8">
        <v>11350</v>
      </c>
      <c r="ED210" s="8">
        <v>27703</v>
      </c>
      <c r="EE210" s="8">
        <v>43141</v>
      </c>
      <c r="EF210" s="8">
        <v>47530</v>
      </c>
      <c r="EG210" s="8">
        <v>77043</v>
      </c>
      <c r="EH210" s="8">
        <v>119203</v>
      </c>
      <c r="EI210" s="8">
        <v>131589</v>
      </c>
      <c r="EJ210" s="8">
        <v>380060</v>
      </c>
      <c r="EK210" s="8">
        <v>497019</v>
      </c>
      <c r="EL210" s="8">
        <v>632607</v>
      </c>
      <c r="EM210" s="8">
        <v>861464</v>
      </c>
      <c r="EN210" s="8">
        <v>1562352</v>
      </c>
      <c r="EO210" s="9">
        <f t="shared" si="105"/>
        <v>1562352</v>
      </c>
      <c r="EP210" s="8">
        <v>263</v>
      </c>
      <c r="EQ210" s="8">
        <v>6436</v>
      </c>
      <c r="ER210" s="8">
        <v>686831</v>
      </c>
      <c r="ES210" s="8">
        <v>723870</v>
      </c>
      <c r="ET210" s="8">
        <v>829384</v>
      </c>
      <c r="EU210" s="8">
        <v>835073</v>
      </c>
      <c r="EV210" s="8">
        <v>1035681</v>
      </c>
      <c r="EW210" s="8">
        <v>1128709</v>
      </c>
      <c r="EX210" s="8">
        <v>1151675</v>
      </c>
      <c r="EY210" s="8">
        <v>1203317</v>
      </c>
      <c r="EZ210" s="8">
        <v>1400862</v>
      </c>
      <c r="FA210" s="8">
        <v>2679468</v>
      </c>
      <c r="FB210" s="9">
        <f t="shared" si="106"/>
        <v>2679468</v>
      </c>
      <c r="FC210" s="8">
        <v>3512</v>
      </c>
      <c r="FD210" s="8">
        <v>11205</v>
      </c>
      <c r="FE210" s="8">
        <v>15813</v>
      </c>
      <c r="FF210" s="8">
        <v>258905</v>
      </c>
      <c r="FG210" s="8">
        <v>304055</v>
      </c>
      <c r="FH210" s="8">
        <v>328230</v>
      </c>
      <c r="FI210" s="8">
        <v>357005</v>
      </c>
      <c r="FJ210" s="8"/>
      <c r="FK210" s="8"/>
      <c r="FL210" s="8"/>
      <c r="FM210" s="8"/>
      <c r="FN210" s="8"/>
      <c r="FO210" s="9">
        <f t="shared" si="107"/>
        <v>357005</v>
      </c>
    </row>
    <row r="211" spans="2:171" ht="14.25" customHeight="1" x14ac:dyDescent="0.3">
      <c r="B211" s="7" t="s">
        <v>63</v>
      </c>
      <c r="C211" s="8">
        <v>2130</v>
      </c>
      <c r="D211" s="8">
        <v>3879</v>
      </c>
      <c r="E211" s="8">
        <v>4816</v>
      </c>
      <c r="F211" s="8">
        <v>12751</v>
      </c>
      <c r="G211" s="8">
        <v>16716</v>
      </c>
      <c r="H211" s="8">
        <v>52776</v>
      </c>
      <c r="I211" s="8">
        <v>57054</v>
      </c>
      <c r="J211" s="8">
        <v>62044</v>
      </c>
      <c r="K211" s="8">
        <v>63133</v>
      </c>
      <c r="L211" s="8">
        <v>79335</v>
      </c>
      <c r="M211" s="8">
        <v>92207</v>
      </c>
      <c r="N211" s="8">
        <v>2840229</v>
      </c>
      <c r="O211" s="9">
        <f t="shared" si="95"/>
        <v>2840229</v>
      </c>
      <c r="P211" s="8">
        <v>152</v>
      </c>
      <c r="Q211" s="8">
        <v>289</v>
      </c>
      <c r="R211" s="8">
        <v>1052</v>
      </c>
      <c r="S211" s="8">
        <v>6744</v>
      </c>
      <c r="T211" s="8">
        <v>14070</v>
      </c>
      <c r="U211" s="8">
        <v>21706</v>
      </c>
      <c r="V211" s="8">
        <v>30043</v>
      </c>
      <c r="W211" s="8">
        <v>34075</v>
      </c>
      <c r="X211" s="8">
        <v>243008</v>
      </c>
      <c r="Y211" s="8">
        <v>355605</v>
      </c>
      <c r="Z211" s="8">
        <v>551666</v>
      </c>
      <c r="AA211" s="8">
        <v>3467531</v>
      </c>
      <c r="AB211" s="9">
        <f t="shared" si="96"/>
        <v>3467531</v>
      </c>
      <c r="AC211" s="8">
        <v>1169</v>
      </c>
      <c r="AD211" s="8">
        <v>15520</v>
      </c>
      <c r="AE211" s="8">
        <v>22611</v>
      </c>
      <c r="AF211" s="8">
        <v>43784</v>
      </c>
      <c r="AG211" s="8">
        <v>44687</v>
      </c>
      <c r="AH211" s="8">
        <v>45977</v>
      </c>
      <c r="AI211" s="8">
        <v>54894</v>
      </c>
      <c r="AJ211" s="8">
        <v>64166</v>
      </c>
      <c r="AK211" s="8">
        <v>90285</v>
      </c>
      <c r="AL211" s="8">
        <v>112195</v>
      </c>
      <c r="AM211" s="8">
        <v>127685</v>
      </c>
      <c r="AN211" s="8">
        <v>982737</v>
      </c>
      <c r="AO211" s="9">
        <f t="shared" si="97"/>
        <v>982737</v>
      </c>
      <c r="AP211" s="8">
        <v>0</v>
      </c>
      <c r="AQ211" s="8">
        <v>35651</v>
      </c>
      <c r="AR211" s="8">
        <v>43411</v>
      </c>
      <c r="AS211" s="8">
        <v>44477</v>
      </c>
      <c r="AT211" s="8">
        <v>48730</v>
      </c>
      <c r="AU211" s="8">
        <v>99526</v>
      </c>
      <c r="AV211" s="8">
        <v>116718</v>
      </c>
      <c r="AW211" s="8">
        <v>156865</v>
      </c>
      <c r="AX211" s="8">
        <v>165718</v>
      </c>
      <c r="AY211" s="8">
        <v>182130</v>
      </c>
      <c r="AZ211" s="8">
        <v>185829</v>
      </c>
      <c r="BA211" s="8">
        <v>400794</v>
      </c>
      <c r="BB211" s="9">
        <f t="shared" si="98"/>
        <v>400794</v>
      </c>
      <c r="BC211" s="8">
        <v>722</v>
      </c>
      <c r="BD211" s="8">
        <v>1447</v>
      </c>
      <c r="BE211" s="8">
        <v>10754</v>
      </c>
      <c r="BF211" s="8">
        <v>11951</v>
      </c>
      <c r="BG211" s="8">
        <v>27517</v>
      </c>
      <c r="BH211" s="8">
        <v>30421</v>
      </c>
      <c r="BI211" s="8">
        <v>53731</v>
      </c>
      <c r="BJ211" s="8">
        <v>59321</v>
      </c>
      <c r="BK211" s="8">
        <v>61158</v>
      </c>
      <c r="BL211" s="8">
        <v>69886</v>
      </c>
      <c r="BM211" s="8">
        <v>794923</v>
      </c>
      <c r="BN211" s="8">
        <v>4756095</v>
      </c>
      <c r="BO211" s="9">
        <f t="shared" si="99"/>
        <v>4756095</v>
      </c>
      <c r="BP211" s="8">
        <v>0</v>
      </c>
      <c r="BQ211" s="8">
        <v>0</v>
      </c>
      <c r="BR211" s="8">
        <v>0</v>
      </c>
      <c r="BS211" s="8">
        <v>0</v>
      </c>
      <c r="BT211" s="8">
        <v>2011100</v>
      </c>
      <c r="BU211" s="8">
        <v>2011100</v>
      </c>
      <c r="BV211" s="8">
        <v>2011100</v>
      </c>
      <c r="BW211" s="8">
        <v>2011100</v>
      </c>
      <c r="BX211" s="8">
        <v>2135327</v>
      </c>
      <c r="BY211" s="8">
        <v>2135327</v>
      </c>
      <c r="BZ211" s="8">
        <v>3242318</v>
      </c>
      <c r="CA211" s="8">
        <v>5389145</v>
      </c>
      <c r="CB211" s="9">
        <f t="shared" si="100"/>
        <v>5389145</v>
      </c>
      <c r="CC211" s="8">
        <v>0</v>
      </c>
      <c r="CD211" s="8">
        <v>0</v>
      </c>
      <c r="CE211" s="8">
        <v>959</v>
      </c>
      <c r="CF211" s="8">
        <v>3767</v>
      </c>
      <c r="CG211" s="8">
        <v>14673</v>
      </c>
      <c r="CH211" s="8">
        <v>14673</v>
      </c>
      <c r="CI211" s="8">
        <v>22736</v>
      </c>
      <c r="CJ211" s="8">
        <v>26720</v>
      </c>
      <c r="CK211" s="8">
        <v>59820</v>
      </c>
      <c r="CL211" s="8">
        <v>129422</v>
      </c>
      <c r="CM211" s="8">
        <v>135298</v>
      </c>
      <c r="CN211" s="8">
        <v>2835526</v>
      </c>
      <c r="CO211" s="9">
        <f t="shared" si="101"/>
        <v>2835526</v>
      </c>
      <c r="CP211" s="8">
        <v>0</v>
      </c>
      <c r="CQ211" s="8">
        <v>0</v>
      </c>
      <c r="CR211" s="8">
        <v>0</v>
      </c>
      <c r="CS211" s="8">
        <v>818</v>
      </c>
      <c r="CT211" s="8">
        <v>2076</v>
      </c>
      <c r="CU211" s="8">
        <v>2356</v>
      </c>
      <c r="CV211" s="8">
        <v>14723</v>
      </c>
      <c r="CW211" s="8">
        <v>34344</v>
      </c>
      <c r="CX211" s="8">
        <v>39303</v>
      </c>
      <c r="CY211" s="8">
        <v>94687</v>
      </c>
      <c r="CZ211" s="8">
        <v>217017</v>
      </c>
      <c r="DA211" s="8">
        <v>2340870</v>
      </c>
      <c r="DB211" s="9">
        <f t="shared" si="102"/>
        <v>2340870</v>
      </c>
      <c r="DC211" s="8">
        <v>0</v>
      </c>
      <c r="DD211" s="8">
        <v>0</v>
      </c>
      <c r="DE211" s="8">
        <v>1465</v>
      </c>
      <c r="DF211" s="8">
        <v>20481</v>
      </c>
      <c r="DG211" s="8">
        <v>25648</v>
      </c>
      <c r="DH211" s="8">
        <v>34065</v>
      </c>
      <c r="DI211" s="8">
        <v>42998</v>
      </c>
      <c r="DJ211" s="8">
        <v>56497</v>
      </c>
      <c r="DK211" s="8">
        <v>64348</v>
      </c>
      <c r="DL211" s="8">
        <v>244729</v>
      </c>
      <c r="DM211" s="8">
        <v>312542</v>
      </c>
      <c r="DN211" s="8">
        <v>6346312</v>
      </c>
      <c r="DO211" s="9">
        <f t="shared" si="103"/>
        <v>6346312</v>
      </c>
      <c r="DP211" s="8">
        <v>0</v>
      </c>
      <c r="DQ211" s="8">
        <v>1463</v>
      </c>
      <c r="DR211" s="8">
        <v>12098</v>
      </c>
      <c r="DS211" s="8">
        <v>62160</v>
      </c>
      <c r="DT211" s="8">
        <v>102459</v>
      </c>
      <c r="DU211" s="8">
        <v>148083</v>
      </c>
      <c r="DV211" s="8">
        <v>500293</v>
      </c>
      <c r="DW211" s="8">
        <v>870788</v>
      </c>
      <c r="DX211" s="8">
        <v>890292</v>
      </c>
      <c r="DY211" s="8">
        <v>1164586</v>
      </c>
      <c r="DZ211" s="8">
        <v>1678840</v>
      </c>
      <c r="EA211" s="8">
        <v>2421451</v>
      </c>
      <c r="EB211" s="9">
        <f t="shared" si="104"/>
        <v>2421451</v>
      </c>
      <c r="EC211" s="8">
        <v>0</v>
      </c>
      <c r="ED211" s="8">
        <v>2496</v>
      </c>
      <c r="EE211" s="8">
        <v>6005</v>
      </c>
      <c r="EF211" s="8">
        <v>11430</v>
      </c>
      <c r="EG211" s="8">
        <v>23181</v>
      </c>
      <c r="EH211" s="8">
        <v>40658</v>
      </c>
      <c r="EI211" s="8">
        <v>72257</v>
      </c>
      <c r="EJ211" s="8">
        <v>106896</v>
      </c>
      <c r="EK211" s="8">
        <v>144788</v>
      </c>
      <c r="EL211" s="8">
        <v>172298</v>
      </c>
      <c r="EM211" s="8">
        <v>1070352</v>
      </c>
      <c r="EN211" s="8">
        <v>1570637</v>
      </c>
      <c r="EO211" s="9">
        <f t="shared" si="105"/>
        <v>1570637</v>
      </c>
      <c r="EP211" s="8">
        <v>0</v>
      </c>
      <c r="EQ211" s="8">
        <v>0</v>
      </c>
      <c r="ER211" s="8">
        <v>108701</v>
      </c>
      <c r="ES211" s="8">
        <v>108701</v>
      </c>
      <c r="ET211" s="8">
        <v>116396</v>
      </c>
      <c r="EU211" s="8">
        <v>166248</v>
      </c>
      <c r="EV211" s="8">
        <v>175693</v>
      </c>
      <c r="EW211" s="8">
        <v>257939</v>
      </c>
      <c r="EX211" s="8">
        <v>486089</v>
      </c>
      <c r="EY211" s="8">
        <v>862068</v>
      </c>
      <c r="EZ211" s="8">
        <v>966922</v>
      </c>
      <c r="FA211" s="8">
        <v>1632870</v>
      </c>
      <c r="FB211" s="9">
        <f t="shared" si="106"/>
        <v>1632870</v>
      </c>
      <c r="FC211" s="8">
        <v>0</v>
      </c>
      <c r="FD211" s="8">
        <v>3564</v>
      </c>
      <c r="FE211" s="8">
        <v>8676</v>
      </c>
      <c r="FF211" s="8">
        <v>12838</v>
      </c>
      <c r="FG211" s="8">
        <v>31218</v>
      </c>
      <c r="FH211" s="8">
        <v>35610</v>
      </c>
      <c r="FI211" s="8">
        <v>49617</v>
      </c>
      <c r="FJ211" s="8"/>
      <c r="FK211" s="8"/>
      <c r="FL211" s="8"/>
      <c r="FM211" s="8"/>
      <c r="FN211" s="8"/>
      <c r="FO211" s="9">
        <f t="shared" si="107"/>
        <v>49617</v>
      </c>
    </row>
    <row r="212" spans="2:171" ht="14.25" customHeight="1" x14ac:dyDescent="0.3">
      <c r="B212" s="31" t="s">
        <v>64</v>
      </c>
      <c r="C212" s="8">
        <v>5478</v>
      </c>
      <c r="D212" s="8">
        <v>24739</v>
      </c>
      <c r="E212" s="8">
        <v>34311</v>
      </c>
      <c r="F212" s="8">
        <v>47020</v>
      </c>
      <c r="G212" s="8">
        <v>50009</v>
      </c>
      <c r="H212" s="8">
        <v>77909</v>
      </c>
      <c r="I212" s="8">
        <v>79513</v>
      </c>
      <c r="J212" s="8">
        <v>80679</v>
      </c>
      <c r="K212" s="8">
        <v>102107</v>
      </c>
      <c r="L212" s="8">
        <v>112753</v>
      </c>
      <c r="M212" s="8">
        <v>114585</v>
      </c>
      <c r="N212" s="8">
        <v>314928</v>
      </c>
      <c r="O212" s="9">
        <f t="shared" si="95"/>
        <v>314928</v>
      </c>
      <c r="P212" s="8">
        <v>10135</v>
      </c>
      <c r="Q212" s="8">
        <v>23256</v>
      </c>
      <c r="R212" s="8">
        <v>45098</v>
      </c>
      <c r="S212" s="8">
        <v>61842</v>
      </c>
      <c r="T212" s="8">
        <v>72452</v>
      </c>
      <c r="U212" s="8">
        <v>94571</v>
      </c>
      <c r="V212" s="8">
        <v>857581</v>
      </c>
      <c r="W212" s="8">
        <v>881440</v>
      </c>
      <c r="X212" s="8">
        <v>882888</v>
      </c>
      <c r="Y212" s="8">
        <v>951724</v>
      </c>
      <c r="Z212" s="8">
        <v>952869</v>
      </c>
      <c r="AA212" s="8">
        <v>1746688</v>
      </c>
      <c r="AB212" s="9">
        <f t="shared" si="96"/>
        <v>1746688</v>
      </c>
      <c r="AC212" s="8">
        <v>25005</v>
      </c>
      <c r="AD212" s="8">
        <v>35798</v>
      </c>
      <c r="AE212" s="8">
        <v>45348</v>
      </c>
      <c r="AF212" s="8">
        <v>60060</v>
      </c>
      <c r="AG212" s="8">
        <v>67390</v>
      </c>
      <c r="AH212" s="8">
        <v>325288</v>
      </c>
      <c r="AI212" s="8">
        <v>340238</v>
      </c>
      <c r="AJ212" s="8">
        <v>351616</v>
      </c>
      <c r="AK212" s="8">
        <v>359804</v>
      </c>
      <c r="AL212" s="8">
        <v>370241</v>
      </c>
      <c r="AM212" s="8">
        <v>372489</v>
      </c>
      <c r="AN212" s="8">
        <v>391147</v>
      </c>
      <c r="AO212" s="9">
        <f t="shared" si="97"/>
        <v>391147</v>
      </c>
      <c r="AP212" s="8">
        <v>28354</v>
      </c>
      <c r="AQ212" s="8">
        <v>36138</v>
      </c>
      <c r="AR212" s="8">
        <v>43069</v>
      </c>
      <c r="AS212" s="8">
        <v>52547</v>
      </c>
      <c r="AT212" s="8">
        <v>58925</v>
      </c>
      <c r="AU212" s="8">
        <v>61416</v>
      </c>
      <c r="AV212" s="8">
        <v>75620</v>
      </c>
      <c r="AW212" s="8">
        <v>93391</v>
      </c>
      <c r="AX212" s="8">
        <v>98721</v>
      </c>
      <c r="AY212" s="8">
        <v>111956</v>
      </c>
      <c r="AZ212" s="8">
        <v>114189</v>
      </c>
      <c r="BA212" s="8">
        <v>206759</v>
      </c>
      <c r="BB212" s="9">
        <f t="shared" si="98"/>
        <v>206759</v>
      </c>
      <c r="BC212" s="8">
        <v>6859</v>
      </c>
      <c r="BD212" s="8">
        <v>19399</v>
      </c>
      <c r="BE212" s="8">
        <v>33410</v>
      </c>
      <c r="BF212" s="8">
        <v>46147</v>
      </c>
      <c r="BG212" s="8">
        <v>61420</v>
      </c>
      <c r="BH212" s="8">
        <v>65858</v>
      </c>
      <c r="BI212" s="8">
        <v>67025</v>
      </c>
      <c r="BJ212" s="8">
        <v>67509</v>
      </c>
      <c r="BK212" s="8">
        <v>69615</v>
      </c>
      <c r="BL212" s="8">
        <v>84837</v>
      </c>
      <c r="BM212" s="8">
        <v>94500</v>
      </c>
      <c r="BN212" s="8">
        <v>717548</v>
      </c>
      <c r="BO212" s="9">
        <f t="shared" si="99"/>
        <v>717548</v>
      </c>
      <c r="BP212" s="8">
        <v>0</v>
      </c>
      <c r="BQ212" s="8">
        <v>0</v>
      </c>
      <c r="BR212" s="8">
        <v>0</v>
      </c>
      <c r="BS212" s="8">
        <v>0</v>
      </c>
      <c r="BT212" s="8">
        <v>0</v>
      </c>
      <c r="BU212" s="8">
        <v>0</v>
      </c>
      <c r="BV212" s="8">
        <v>4618</v>
      </c>
      <c r="BW212" s="8">
        <v>4618</v>
      </c>
      <c r="BX212" s="8">
        <v>4618</v>
      </c>
      <c r="BY212" s="8">
        <v>6505</v>
      </c>
      <c r="BZ212" s="8">
        <v>146747</v>
      </c>
      <c r="CA212" s="8">
        <v>3641980</v>
      </c>
      <c r="CB212" s="9">
        <f t="shared" si="100"/>
        <v>3641980</v>
      </c>
      <c r="CC212" s="8">
        <v>0</v>
      </c>
      <c r="CD212" s="8">
        <v>0</v>
      </c>
      <c r="CE212" s="8">
        <v>0</v>
      </c>
      <c r="CF212" s="8">
        <v>28194</v>
      </c>
      <c r="CG212" s="8">
        <v>29572</v>
      </c>
      <c r="CH212" s="8">
        <v>78124</v>
      </c>
      <c r="CI212" s="8">
        <v>414424</v>
      </c>
      <c r="CJ212" s="8">
        <v>419840</v>
      </c>
      <c r="CK212" s="8">
        <v>489801</v>
      </c>
      <c r="CL212" s="8">
        <v>554751</v>
      </c>
      <c r="CM212" s="8">
        <v>558194</v>
      </c>
      <c r="CN212" s="8">
        <v>1000326</v>
      </c>
      <c r="CO212" s="9">
        <f t="shared" si="101"/>
        <v>1000326</v>
      </c>
      <c r="CP212" s="8">
        <v>0</v>
      </c>
      <c r="CQ212" s="8">
        <v>609</v>
      </c>
      <c r="CR212" s="8">
        <v>609</v>
      </c>
      <c r="CS212" s="8">
        <v>21566</v>
      </c>
      <c r="CT212" s="8">
        <v>22018</v>
      </c>
      <c r="CU212" s="8">
        <v>26918</v>
      </c>
      <c r="CV212" s="8">
        <v>32118</v>
      </c>
      <c r="CW212" s="8">
        <v>78304</v>
      </c>
      <c r="CX212" s="8">
        <v>391700</v>
      </c>
      <c r="CY212" s="8">
        <v>513871</v>
      </c>
      <c r="CZ212" s="8">
        <v>699511</v>
      </c>
      <c r="DA212" s="8">
        <v>2266995</v>
      </c>
      <c r="DB212" s="9">
        <f t="shared" si="102"/>
        <v>2266995</v>
      </c>
      <c r="DC212" s="8">
        <v>8654</v>
      </c>
      <c r="DD212" s="8">
        <v>9167</v>
      </c>
      <c r="DE212" s="8">
        <v>15117</v>
      </c>
      <c r="DF212" s="8">
        <v>17282</v>
      </c>
      <c r="DG212" s="8">
        <v>22973</v>
      </c>
      <c r="DH212" s="8">
        <v>39173</v>
      </c>
      <c r="DI212" s="8">
        <v>43031</v>
      </c>
      <c r="DJ212" s="8">
        <v>126419</v>
      </c>
      <c r="DK212" s="8">
        <v>393741</v>
      </c>
      <c r="DL212" s="8">
        <v>476385</v>
      </c>
      <c r="DM212" s="8">
        <v>542194</v>
      </c>
      <c r="DN212" s="8">
        <v>2550964</v>
      </c>
      <c r="DO212" s="9">
        <f t="shared" si="103"/>
        <v>2550964</v>
      </c>
      <c r="DP212" s="8">
        <v>1095</v>
      </c>
      <c r="DQ212" s="8">
        <v>1095</v>
      </c>
      <c r="DR212" s="8">
        <v>4787</v>
      </c>
      <c r="DS212" s="8">
        <v>5763</v>
      </c>
      <c r="DT212" s="8">
        <v>18892</v>
      </c>
      <c r="DU212" s="8">
        <v>30622</v>
      </c>
      <c r="DV212" s="8">
        <v>231757</v>
      </c>
      <c r="DW212" s="8">
        <v>272334</v>
      </c>
      <c r="DX212" s="8">
        <v>286662</v>
      </c>
      <c r="DY212" s="8">
        <v>291139</v>
      </c>
      <c r="DZ212" s="8">
        <v>519377</v>
      </c>
      <c r="EA212" s="8">
        <v>787064</v>
      </c>
      <c r="EB212" s="9">
        <f t="shared" si="104"/>
        <v>787064</v>
      </c>
      <c r="EC212" s="8">
        <v>11950</v>
      </c>
      <c r="ED212" s="8">
        <v>53893</v>
      </c>
      <c r="EE212" s="8">
        <v>117362</v>
      </c>
      <c r="EF212" s="8">
        <v>151593</v>
      </c>
      <c r="EG212" s="8">
        <v>176659</v>
      </c>
      <c r="EH212" s="8">
        <v>186991</v>
      </c>
      <c r="EI212" s="8">
        <v>250687</v>
      </c>
      <c r="EJ212" s="8">
        <v>312232</v>
      </c>
      <c r="EK212" s="8">
        <v>319302</v>
      </c>
      <c r="EL212" s="8">
        <v>390373</v>
      </c>
      <c r="EM212" s="8">
        <v>431455</v>
      </c>
      <c r="EN212" s="8">
        <v>833049</v>
      </c>
      <c r="EO212" s="9">
        <f t="shared" si="105"/>
        <v>833049</v>
      </c>
      <c r="EP212" s="8">
        <v>2111</v>
      </c>
      <c r="EQ212" s="8">
        <v>12876</v>
      </c>
      <c r="ER212" s="8">
        <v>16456</v>
      </c>
      <c r="ES212" s="8">
        <v>27523</v>
      </c>
      <c r="ET212" s="8">
        <v>36529</v>
      </c>
      <c r="EU212" s="8">
        <v>57080</v>
      </c>
      <c r="EV212" s="8">
        <v>135808</v>
      </c>
      <c r="EW212" s="8">
        <v>299938</v>
      </c>
      <c r="EX212" s="8">
        <v>386805</v>
      </c>
      <c r="EY212" s="8">
        <v>487207</v>
      </c>
      <c r="EZ212" s="8">
        <v>585231</v>
      </c>
      <c r="FA212" s="8">
        <v>1026659</v>
      </c>
      <c r="FB212" s="9">
        <f t="shared" si="106"/>
        <v>1026659</v>
      </c>
      <c r="FC212" s="8">
        <v>238</v>
      </c>
      <c r="FD212" s="8">
        <v>14493</v>
      </c>
      <c r="FE212" s="8">
        <v>34135</v>
      </c>
      <c r="FF212" s="8">
        <v>37485</v>
      </c>
      <c r="FG212" s="8">
        <v>43364</v>
      </c>
      <c r="FH212" s="8">
        <v>46020</v>
      </c>
      <c r="FI212" s="8">
        <v>73843</v>
      </c>
      <c r="FJ212" s="8"/>
      <c r="FK212" s="8"/>
      <c r="FL212" s="8"/>
      <c r="FM212" s="8"/>
      <c r="FN212" s="8"/>
      <c r="FO212" s="9">
        <f t="shared" si="107"/>
        <v>73843</v>
      </c>
    </row>
    <row r="213" spans="2:171" ht="14.25" customHeight="1" x14ac:dyDescent="0.3">
      <c r="B213" s="31" t="s">
        <v>65</v>
      </c>
      <c r="C213" s="8">
        <v>1590</v>
      </c>
      <c r="D213" s="8">
        <v>21408</v>
      </c>
      <c r="E213" s="8">
        <v>26376</v>
      </c>
      <c r="F213" s="8">
        <v>31901</v>
      </c>
      <c r="G213" s="8">
        <v>48423</v>
      </c>
      <c r="H213" s="8">
        <v>67926</v>
      </c>
      <c r="I213" s="8">
        <v>84838</v>
      </c>
      <c r="J213" s="8">
        <v>134051</v>
      </c>
      <c r="K213" s="8">
        <v>170221</v>
      </c>
      <c r="L213" s="8">
        <v>217680</v>
      </c>
      <c r="M213" s="8">
        <v>408525</v>
      </c>
      <c r="N213" s="8">
        <v>1344250</v>
      </c>
      <c r="O213" s="9">
        <f t="shared" si="95"/>
        <v>1344250</v>
      </c>
      <c r="P213" s="8">
        <v>15255</v>
      </c>
      <c r="Q213" s="8">
        <v>28477</v>
      </c>
      <c r="R213" s="8">
        <v>41799</v>
      </c>
      <c r="S213" s="8">
        <v>56957</v>
      </c>
      <c r="T213" s="8">
        <v>87956</v>
      </c>
      <c r="U213" s="8">
        <v>111514</v>
      </c>
      <c r="V213" s="8">
        <v>112797</v>
      </c>
      <c r="W213" s="8">
        <v>115378</v>
      </c>
      <c r="X213" s="8">
        <v>118506</v>
      </c>
      <c r="Y213" s="8">
        <v>121644</v>
      </c>
      <c r="Z213" s="8">
        <v>140996</v>
      </c>
      <c r="AA213" s="8">
        <v>1209586</v>
      </c>
      <c r="AB213" s="9">
        <f t="shared" si="96"/>
        <v>1209586</v>
      </c>
      <c r="AC213" s="8">
        <v>1590</v>
      </c>
      <c r="AD213" s="8">
        <v>25216</v>
      </c>
      <c r="AE213" s="8">
        <v>33137</v>
      </c>
      <c r="AF213" s="8">
        <v>40740</v>
      </c>
      <c r="AG213" s="8">
        <v>48970</v>
      </c>
      <c r="AH213" s="8">
        <v>59438</v>
      </c>
      <c r="AI213" s="8">
        <v>77541</v>
      </c>
      <c r="AJ213" s="8">
        <v>161502</v>
      </c>
      <c r="AK213" s="8">
        <v>448033</v>
      </c>
      <c r="AL213" s="8">
        <v>457243</v>
      </c>
      <c r="AM213" s="8">
        <v>543731</v>
      </c>
      <c r="AN213" s="8">
        <v>734609</v>
      </c>
      <c r="AO213" s="9">
        <f t="shared" si="97"/>
        <v>734609</v>
      </c>
      <c r="AP213" s="8">
        <v>7074</v>
      </c>
      <c r="AQ213" s="8">
        <v>10966</v>
      </c>
      <c r="AR213" s="8">
        <v>14040</v>
      </c>
      <c r="AS213" s="8">
        <v>16765</v>
      </c>
      <c r="AT213" s="8">
        <v>32615</v>
      </c>
      <c r="AU213" s="8">
        <v>35569</v>
      </c>
      <c r="AV213" s="8">
        <v>45125</v>
      </c>
      <c r="AW213" s="8">
        <v>55836</v>
      </c>
      <c r="AX213" s="8">
        <v>65197</v>
      </c>
      <c r="AY213" s="8">
        <v>87015</v>
      </c>
      <c r="AZ213" s="8">
        <v>154150</v>
      </c>
      <c r="BA213" s="8">
        <v>473518</v>
      </c>
      <c r="BB213" s="9">
        <f t="shared" si="98"/>
        <v>473518</v>
      </c>
      <c r="BC213" s="8">
        <v>3427</v>
      </c>
      <c r="BD213" s="8">
        <v>19586</v>
      </c>
      <c r="BE213" s="8">
        <v>36538</v>
      </c>
      <c r="BF213" s="8">
        <v>60290</v>
      </c>
      <c r="BG213" s="8">
        <v>70407</v>
      </c>
      <c r="BH213" s="8">
        <v>87446</v>
      </c>
      <c r="BI213" s="8">
        <v>141866</v>
      </c>
      <c r="BJ213" s="8">
        <v>155051</v>
      </c>
      <c r="BK213" s="8">
        <v>162916</v>
      </c>
      <c r="BL213" s="8">
        <v>172475</v>
      </c>
      <c r="BM213" s="8">
        <v>188297</v>
      </c>
      <c r="BN213" s="8">
        <v>2063733</v>
      </c>
      <c r="BO213" s="9">
        <f t="shared" si="99"/>
        <v>2063733</v>
      </c>
      <c r="BP213" s="8">
        <v>0</v>
      </c>
      <c r="BQ213" s="8">
        <v>0</v>
      </c>
      <c r="BR213" s="8">
        <v>0</v>
      </c>
      <c r="BS213" s="8">
        <v>0</v>
      </c>
      <c r="BT213" s="8">
        <v>0</v>
      </c>
      <c r="BU213" s="8">
        <v>0</v>
      </c>
      <c r="BV213" s="8">
        <v>0</v>
      </c>
      <c r="BW213" s="8">
        <v>3440</v>
      </c>
      <c r="BX213" s="8">
        <v>129104</v>
      </c>
      <c r="BY213" s="8">
        <v>135904</v>
      </c>
      <c r="BZ213" s="8">
        <v>146973</v>
      </c>
      <c r="CA213" s="8">
        <v>836233</v>
      </c>
      <c r="CB213" s="9">
        <f t="shared" si="100"/>
        <v>836233</v>
      </c>
      <c r="CC213" s="8">
        <v>0</v>
      </c>
      <c r="CD213" s="8">
        <v>4959</v>
      </c>
      <c r="CE213" s="8">
        <v>19698</v>
      </c>
      <c r="CF213" s="8">
        <v>22322</v>
      </c>
      <c r="CG213" s="8">
        <v>24276</v>
      </c>
      <c r="CH213" s="8">
        <v>727190</v>
      </c>
      <c r="CI213" s="8">
        <v>730224</v>
      </c>
      <c r="CJ213" s="8">
        <v>754520</v>
      </c>
      <c r="CK213" s="8">
        <v>796467</v>
      </c>
      <c r="CL213" s="8">
        <v>808927</v>
      </c>
      <c r="CM213" s="8">
        <v>1019648</v>
      </c>
      <c r="CN213" s="8">
        <v>1996292</v>
      </c>
      <c r="CO213" s="9">
        <f t="shared" si="101"/>
        <v>1996292</v>
      </c>
      <c r="CP213" s="8">
        <v>9063</v>
      </c>
      <c r="CQ213" s="8">
        <v>9303</v>
      </c>
      <c r="CR213" s="8">
        <v>14519</v>
      </c>
      <c r="CS213" s="8">
        <v>19075</v>
      </c>
      <c r="CT213" s="8">
        <v>33800</v>
      </c>
      <c r="CU213" s="8">
        <v>39129</v>
      </c>
      <c r="CV213" s="8">
        <v>52943</v>
      </c>
      <c r="CW213" s="8">
        <v>65382</v>
      </c>
      <c r="CX213" s="8">
        <v>81020</v>
      </c>
      <c r="CY213" s="8">
        <v>97954</v>
      </c>
      <c r="CZ213" s="8">
        <v>105733</v>
      </c>
      <c r="DA213" s="8">
        <v>3573637</v>
      </c>
      <c r="DB213" s="9">
        <f t="shared" si="102"/>
        <v>3573637</v>
      </c>
      <c r="DC213" s="8">
        <v>0</v>
      </c>
      <c r="DD213" s="8">
        <v>0</v>
      </c>
      <c r="DE213" s="8">
        <v>7509</v>
      </c>
      <c r="DF213" s="8">
        <v>7764</v>
      </c>
      <c r="DG213" s="8">
        <v>8765</v>
      </c>
      <c r="DH213" s="8">
        <v>62900</v>
      </c>
      <c r="DI213" s="8">
        <v>64965</v>
      </c>
      <c r="DJ213" s="8">
        <v>112836</v>
      </c>
      <c r="DK213" s="8">
        <v>142906</v>
      </c>
      <c r="DL213" s="8">
        <v>191053</v>
      </c>
      <c r="DM213" s="8">
        <v>228375</v>
      </c>
      <c r="DN213" s="8">
        <v>855347</v>
      </c>
      <c r="DO213" s="9">
        <f t="shared" si="103"/>
        <v>855347</v>
      </c>
      <c r="DP213" s="8">
        <v>0</v>
      </c>
      <c r="DQ213" s="8">
        <v>0</v>
      </c>
      <c r="DR213" s="8">
        <v>2098</v>
      </c>
      <c r="DS213" s="8">
        <v>3706</v>
      </c>
      <c r="DT213" s="8">
        <v>44621</v>
      </c>
      <c r="DU213" s="8">
        <v>354555</v>
      </c>
      <c r="DV213" s="8">
        <v>517508</v>
      </c>
      <c r="DW213" s="8">
        <v>622734</v>
      </c>
      <c r="DX213" s="8">
        <v>767539</v>
      </c>
      <c r="DY213" s="8">
        <v>824775</v>
      </c>
      <c r="DZ213" s="8">
        <v>860052</v>
      </c>
      <c r="EA213" s="8">
        <v>2349987</v>
      </c>
      <c r="EB213" s="9">
        <f t="shared" si="104"/>
        <v>2349987</v>
      </c>
      <c r="EC213" s="8">
        <v>2955</v>
      </c>
      <c r="ED213" s="8">
        <v>10708</v>
      </c>
      <c r="EE213" s="8">
        <v>26717</v>
      </c>
      <c r="EF213" s="8">
        <v>35315</v>
      </c>
      <c r="EG213" s="8">
        <v>70586</v>
      </c>
      <c r="EH213" s="8">
        <v>82815</v>
      </c>
      <c r="EI213" s="8">
        <v>111596</v>
      </c>
      <c r="EJ213" s="8">
        <v>242166</v>
      </c>
      <c r="EK213" s="8">
        <v>374005</v>
      </c>
      <c r="EL213" s="8">
        <v>933439</v>
      </c>
      <c r="EM213" s="8">
        <v>1030482</v>
      </c>
      <c r="EN213" s="8">
        <v>1374233</v>
      </c>
      <c r="EO213" s="9">
        <f t="shared" si="105"/>
        <v>1374233</v>
      </c>
      <c r="EP213" s="8">
        <v>1309</v>
      </c>
      <c r="EQ213" s="8">
        <v>1309</v>
      </c>
      <c r="ER213" s="8">
        <v>31380</v>
      </c>
      <c r="ES213" s="8">
        <v>263367</v>
      </c>
      <c r="ET213" s="8">
        <v>284178</v>
      </c>
      <c r="EU213" s="8">
        <v>312454</v>
      </c>
      <c r="EV213" s="8">
        <v>354735</v>
      </c>
      <c r="EW213" s="8">
        <v>384473</v>
      </c>
      <c r="EX213" s="8">
        <v>655300</v>
      </c>
      <c r="EY213" s="8">
        <v>866322</v>
      </c>
      <c r="EZ213" s="8">
        <v>922724</v>
      </c>
      <c r="FA213" s="8">
        <v>2127078</v>
      </c>
      <c r="FB213" s="9">
        <f t="shared" si="106"/>
        <v>2127078</v>
      </c>
      <c r="FC213" s="8">
        <v>647</v>
      </c>
      <c r="FD213" s="8">
        <v>230853</v>
      </c>
      <c r="FE213" s="8">
        <v>254446</v>
      </c>
      <c r="FF213" s="8">
        <v>303349</v>
      </c>
      <c r="FG213" s="8">
        <v>429268</v>
      </c>
      <c r="FH213" s="8">
        <v>471134</v>
      </c>
      <c r="FI213" s="8">
        <v>547602</v>
      </c>
      <c r="FJ213" s="8"/>
      <c r="FK213" s="8"/>
      <c r="FL213" s="8"/>
      <c r="FM213" s="8"/>
      <c r="FN213" s="8"/>
      <c r="FO213" s="9">
        <f t="shared" si="107"/>
        <v>547602</v>
      </c>
    </row>
    <row r="214" spans="2:171" ht="14.25" customHeight="1" x14ac:dyDescent="0.3">
      <c r="B214" s="7" t="s">
        <v>66</v>
      </c>
      <c r="C214" s="8">
        <v>1087</v>
      </c>
      <c r="D214" s="8">
        <v>4604</v>
      </c>
      <c r="E214" s="8">
        <v>10851</v>
      </c>
      <c r="F214" s="8">
        <v>10851</v>
      </c>
      <c r="G214" s="8">
        <v>11872</v>
      </c>
      <c r="H214" s="8">
        <v>12590</v>
      </c>
      <c r="I214" s="8">
        <v>12590</v>
      </c>
      <c r="J214" s="8">
        <v>66067</v>
      </c>
      <c r="K214" s="8">
        <v>207850</v>
      </c>
      <c r="L214" s="8">
        <v>207880</v>
      </c>
      <c r="M214" s="8">
        <v>210303</v>
      </c>
      <c r="N214" s="8">
        <v>3411415</v>
      </c>
      <c r="O214" s="9">
        <f t="shared" si="95"/>
        <v>3411415</v>
      </c>
      <c r="P214" s="8">
        <v>1310</v>
      </c>
      <c r="Q214" s="8">
        <v>1435</v>
      </c>
      <c r="R214" s="8">
        <v>1747</v>
      </c>
      <c r="S214" s="8">
        <v>2359</v>
      </c>
      <c r="T214" s="8">
        <v>4617</v>
      </c>
      <c r="U214" s="8">
        <v>5558</v>
      </c>
      <c r="V214" s="8">
        <v>5736</v>
      </c>
      <c r="W214" s="8">
        <v>38140</v>
      </c>
      <c r="X214" s="8">
        <v>109743</v>
      </c>
      <c r="Y214" s="8">
        <v>320766</v>
      </c>
      <c r="Z214" s="8">
        <v>361765</v>
      </c>
      <c r="AA214" s="8">
        <v>2587052</v>
      </c>
      <c r="AB214" s="9">
        <f t="shared" si="96"/>
        <v>2587052</v>
      </c>
      <c r="AC214" s="8">
        <v>1340</v>
      </c>
      <c r="AD214" s="8">
        <v>4238</v>
      </c>
      <c r="AE214" s="8">
        <v>5468</v>
      </c>
      <c r="AF214" s="8">
        <v>8831</v>
      </c>
      <c r="AG214" s="8">
        <v>11143</v>
      </c>
      <c r="AH214" s="8">
        <v>12891</v>
      </c>
      <c r="AI214" s="8">
        <v>13890</v>
      </c>
      <c r="AJ214" s="8">
        <v>16620</v>
      </c>
      <c r="AK214" s="8">
        <v>304539</v>
      </c>
      <c r="AL214" s="8">
        <v>373795</v>
      </c>
      <c r="AM214" s="8">
        <v>424776</v>
      </c>
      <c r="AN214" s="8">
        <v>813550</v>
      </c>
      <c r="AO214" s="9">
        <f t="shared" si="97"/>
        <v>813550</v>
      </c>
      <c r="AP214" s="8">
        <v>160</v>
      </c>
      <c r="AQ214" s="8">
        <v>233</v>
      </c>
      <c r="AR214" s="8">
        <v>1364</v>
      </c>
      <c r="AS214" s="8">
        <v>5799</v>
      </c>
      <c r="AT214" s="8">
        <v>5841</v>
      </c>
      <c r="AU214" s="8">
        <v>7455</v>
      </c>
      <c r="AV214" s="8">
        <v>5581</v>
      </c>
      <c r="AW214" s="8">
        <v>6040</v>
      </c>
      <c r="AX214" s="8">
        <v>6498</v>
      </c>
      <c r="AY214" s="8">
        <v>16198</v>
      </c>
      <c r="AZ214" s="8">
        <v>18714</v>
      </c>
      <c r="BA214" s="8">
        <v>114821</v>
      </c>
      <c r="BB214" s="9">
        <f t="shared" si="98"/>
        <v>114821</v>
      </c>
      <c r="BC214" s="8">
        <v>0</v>
      </c>
      <c r="BD214" s="8">
        <v>420</v>
      </c>
      <c r="BE214" s="8">
        <v>2234</v>
      </c>
      <c r="BF214" s="8">
        <v>5200</v>
      </c>
      <c r="BG214" s="8">
        <v>21096</v>
      </c>
      <c r="BH214" s="8">
        <v>23275</v>
      </c>
      <c r="BI214" s="8">
        <v>32241</v>
      </c>
      <c r="BJ214" s="8">
        <v>33578</v>
      </c>
      <c r="BK214" s="8">
        <v>36853</v>
      </c>
      <c r="BL214" s="8">
        <v>39112</v>
      </c>
      <c r="BM214" s="8">
        <v>43324</v>
      </c>
      <c r="BN214" s="8">
        <v>1563149</v>
      </c>
      <c r="BO214" s="9">
        <f t="shared" si="99"/>
        <v>1563149</v>
      </c>
      <c r="BP214" s="8">
        <v>0</v>
      </c>
      <c r="BQ214" s="8">
        <v>0</v>
      </c>
      <c r="BR214" s="8">
        <v>0</v>
      </c>
      <c r="BS214" s="8">
        <v>0</v>
      </c>
      <c r="BT214" s="8">
        <v>0</v>
      </c>
      <c r="BU214" s="8">
        <v>0</v>
      </c>
      <c r="BV214" s="8">
        <v>0</v>
      </c>
      <c r="BW214" s="8">
        <v>0</v>
      </c>
      <c r="BX214" s="8">
        <v>1278</v>
      </c>
      <c r="BY214" s="8">
        <v>4934</v>
      </c>
      <c r="BZ214" s="8">
        <v>11559</v>
      </c>
      <c r="CA214" s="8">
        <v>646307</v>
      </c>
      <c r="CB214" s="9">
        <f t="shared" si="100"/>
        <v>646307</v>
      </c>
      <c r="CC214" s="8">
        <v>0</v>
      </c>
      <c r="CD214" s="8">
        <v>0</v>
      </c>
      <c r="CE214" s="8">
        <v>0</v>
      </c>
      <c r="CF214" s="8">
        <v>565</v>
      </c>
      <c r="CG214" s="8">
        <v>1845</v>
      </c>
      <c r="CH214" s="8">
        <v>21068</v>
      </c>
      <c r="CI214" s="8">
        <v>54173</v>
      </c>
      <c r="CJ214" s="8">
        <v>54405</v>
      </c>
      <c r="CK214" s="8">
        <v>65130</v>
      </c>
      <c r="CL214" s="8">
        <v>71805</v>
      </c>
      <c r="CM214" s="8">
        <v>78772</v>
      </c>
      <c r="CN214" s="8">
        <v>250218</v>
      </c>
      <c r="CO214" s="9">
        <f t="shared" si="101"/>
        <v>250218</v>
      </c>
      <c r="CP214" s="8">
        <v>0</v>
      </c>
      <c r="CQ214" s="8">
        <v>35146</v>
      </c>
      <c r="CR214" s="8">
        <v>37278</v>
      </c>
      <c r="CS214" s="8">
        <v>40127</v>
      </c>
      <c r="CT214" s="8">
        <v>42685</v>
      </c>
      <c r="CU214" s="8">
        <v>44985</v>
      </c>
      <c r="CV214" s="8">
        <v>49433</v>
      </c>
      <c r="CW214" s="8">
        <v>53316</v>
      </c>
      <c r="CX214" s="8">
        <v>63786</v>
      </c>
      <c r="CY214" s="8">
        <v>118150</v>
      </c>
      <c r="CZ214" s="8">
        <v>457790</v>
      </c>
      <c r="DA214" s="8">
        <v>1155037</v>
      </c>
      <c r="DB214" s="9">
        <f t="shared" si="102"/>
        <v>1155037</v>
      </c>
      <c r="DC214" s="8">
        <v>0</v>
      </c>
      <c r="DD214" s="8">
        <v>5571</v>
      </c>
      <c r="DE214" s="8">
        <v>14015</v>
      </c>
      <c r="DF214" s="8">
        <v>16026</v>
      </c>
      <c r="DG214" s="8">
        <v>36550</v>
      </c>
      <c r="DH214" s="8">
        <v>47735</v>
      </c>
      <c r="DI214" s="8">
        <v>72089</v>
      </c>
      <c r="DJ214" s="8">
        <v>90564</v>
      </c>
      <c r="DK214" s="8">
        <v>128244</v>
      </c>
      <c r="DL214" s="8">
        <v>155716</v>
      </c>
      <c r="DM214" s="8">
        <v>290097</v>
      </c>
      <c r="DN214" s="8">
        <v>2261563</v>
      </c>
      <c r="DO214" s="9">
        <f t="shared" si="103"/>
        <v>2261563</v>
      </c>
      <c r="DP214" s="8">
        <v>2915</v>
      </c>
      <c r="DQ214" s="8">
        <v>6588</v>
      </c>
      <c r="DR214" s="8">
        <v>16407</v>
      </c>
      <c r="DS214" s="8">
        <v>22770</v>
      </c>
      <c r="DT214" s="8">
        <v>33973</v>
      </c>
      <c r="DU214" s="8">
        <v>39088</v>
      </c>
      <c r="DV214" s="8">
        <v>69048</v>
      </c>
      <c r="DW214" s="8">
        <v>123577</v>
      </c>
      <c r="DX214" s="8">
        <v>189896</v>
      </c>
      <c r="DY214" s="8">
        <v>264652</v>
      </c>
      <c r="DZ214" s="8">
        <v>344708</v>
      </c>
      <c r="EA214" s="8">
        <v>2467467</v>
      </c>
      <c r="EB214" s="9">
        <f t="shared" si="104"/>
        <v>2467467</v>
      </c>
      <c r="EC214" s="8">
        <v>3193</v>
      </c>
      <c r="ED214" s="8">
        <v>17663</v>
      </c>
      <c r="EE214" s="8">
        <v>30164</v>
      </c>
      <c r="EF214" s="8">
        <v>46352</v>
      </c>
      <c r="EG214" s="8">
        <v>79359</v>
      </c>
      <c r="EH214" s="8">
        <v>123366</v>
      </c>
      <c r="EI214" s="8">
        <v>184086</v>
      </c>
      <c r="EJ214" s="8">
        <v>230177</v>
      </c>
      <c r="EK214" s="8">
        <v>274948</v>
      </c>
      <c r="EL214" s="8">
        <v>298219</v>
      </c>
      <c r="EM214" s="8">
        <v>363300</v>
      </c>
      <c r="EN214" s="8">
        <v>522448</v>
      </c>
      <c r="EO214" s="9">
        <f t="shared" si="105"/>
        <v>522448</v>
      </c>
      <c r="EP214" s="8">
        <v>59530</v>
      </c>
      <c r="EQ214" s="8">
        <v>60488</v>
      </c>
      <c r="ER214" s="8">
        <v>83054</v>
      </c>
      <c r="ES214" s="8">
        <v>119825</v>
      </c>
      <c r="ET214" s="8">
        <v>128008</v>
      </c>
      <c r="EU214" s="8">
        <v>151607</v>
      </c>
      <c r="EV214" s="8">
        <v>184343</v>
      </c>
      <c r="EW214" s="8">
        <v>271953</v>
      </c>
      <c r="EX214" s="8">
        <v>319661</v>
      </c>
      <c r="EY214" s="8">
        <v>418635</v>
      </c>
      <c r="EZ214" s="8">
        <v>590698</v>
      </c>
      <c r="FA214" s="8">
        <v>744771</v>
      </c>
      <c r="FB214" s="9">
        <f t="shared" si="106"/>
        <v>744771</v>
      </c>
      <c r="FC214" s="8">
        <v>1639</v>
      </c>
      <c r="FD214" s="8">
        <v>13310</v>
      </c>
      <c r="FE214" s="8">
        <v>29913</v>
      </c>
      <c r="FF214" s="8">
        <v>195548</v>
      </c>
      <c r="FG214" s="8">
        <v>200942</v>
      </c>
      <c r="FH214" s="8">
        <v>213577</v>
      </c>
      <c r="FI214" s="8">
        <v>246781</v>
      </c>
      <c r="FJ214" s="8"/>
      <c r="FK214" s="8"/>
      <c r="FL214" s="8"/>
      <c r="FM214" s="8"/>
      <c r="FN214" s="8"/>
      <c r="FO214" s="9">
        <f t="shared" si="107"/>
        <v>246781</v>
      </c>
    </row>
    <row r="215" spans="2:171" ht="14.25" customHeight="1" x14ac:dyDescent="0.3">
      <c r="B215" s="7" t="s">
        <v>67</v>
      </c>
      <c r="C215" s="8">
        <v>4535</v>
      </c>
      <c r="D215" s="8">
        <v>15167</v>
      </c>
      <c r="E215" s="8">
        <v>20855</v>
      </c>
      <c r="F215" s="8">
        <v>33924</v>
      </c>
      <c r="G215" s="8">
        <v>42105</v>
      </c>
      <c r="H215" s="8">
        <v>55428</v>
      </c>
      <c r="I215" s="8">
        <v>66869</v>
      </c>
      <c r="J215" s="8">
        <v>95656</v>
      </c>
      <c r="K215" s="8">
        <v>112186</v>
      </c>
      <c r="L215" s="8">
        <v>127390</v>
      </c>
      <c r="M215" s="8">
        <v>134782</v>
      </c>
      <c r="N215" s="8">
        <v>497602</v>
      </c>
      <c r="O215" s="9">
        <f t="shared" si="95"/>
        <v>497602</v>
      </c>
      <c r="P215" s="8">
        <v>3321</v>
      </c>
      <c r="Q215" s="8">
        <v>10940</v>
      </c>
      <c r="R215" s="8">
        <v>30279</v>
      </c>
      <c r="S215" s="8">
        <v>47191</v>
      </c>
      <c r="T215" s="8">
        <v>67789</v>
      </c>
      <c r="U215" s="8">
        <v>86846</v>
      </c>
      <c r="V215" s="8">
        <v>94185</v>
      </c>
      <c r="W215" s="8">
        <v>103408</v>
      </c>
      <c r="X215" s="8">
        <v>130161</v>
      </c>
      <c r="Y215" s="8">
        <v>137520</v>
      </c>
      <c r="Z215" s="8">
        <v>221141</v>
      </c>
      <c r="AA215" s="8">
        <v>1182839</v>
      </c>
      <c r="AB215" s="9">
        <f t="shared" si="96"/>
        <v>1182839</v>
      </c>
      <c r="AC215" s="8">
        <v>381</v>
      </c>
      <c r="AD215" s="8">
        <v>3608</v>
      </c>
      <c r="AE215" s="8">
        <v>13683</v>
      </c>
      <c r="AF215" s="8">
        <v>23143</v>
      </c>
      <c r="AG215" s="8">
        <v>64054</v>
      </c>
      <c r="AH215" s="8">
        <v>132902</v>
      </c>
      <c r="AI215" s="8">
        <v>141810</v>
      </c>
      <c r="AJ215" s="8">
        <v>231540</v>
      </c>
      <c r="AK215" s="8">
        <v>245108</v>
      </c>
      <c r="AL215" s="8">
        <v>263244</v>
      </c>
      <c r="AM215" s="8">
        <v>405965</v>
      </c>
      <c r="AN215" s="8">
        <v>655599</v>
      </c>
      <c r="AO215" s="9">
        <f t="shared" si="97"/>
        <v>655599</v>
      </c>
      <c r="AP215" s="8">
        <v>3069</v>
      </c>
      <c r="AQ215" s="8">
        <v>7974</v>
      </c>
      <c r="AR215" s="8">
        <v>14178</v>
      </c>
      <c r="AS215" s="8">
        <v>40343</v>
      </c>
      <c r="AT215" s="8">
        <v>42397</v>
      </c>
      <c r="AU215" s="8">
        <v>72904</v>
      </c>
      <c r="AV215" s="8">
        <v>100009</v>
      </c>
      <c r="AW215" s="8">
        <v>142786</v>
      </c>
      <c r="AX215" s="8">
        <v>145079</v>
      </c>
      <c r="AY215" s="8">
        <v>204789</v>
      </c>
      <c r="AZ215" s="8">
        <v>214252</v>
      </c>
      <c r="BA215" s="8">
        <v>321508</v>
      </c>
      <c r="BB215" s="9">
        <f t="shared" si="98"/>
        <v>321508</v>
      </c>
      <c r="BC215" s="8">
        <v>951</v>
      </c>
      <c r="BD215" s="8">
        <v>10726</v>
      </c>
      <c r="BE215" s="8">
        <v>16634</v>
      </c>
      <c r="BF215" s="8">
        <v>52861</v>
      </c>
      <c r="BG215" s="8">
        <v>56172</v>
      </c>
      <c r="BH215" s="8">
        <v>65560</v>
      </c>
      <c r="BI215" s="8">
        <v>67346</v>
      </c>
      <c r="BJ215" s="8">
        <v>75318</v>
      </c>
      <c r="BK215" s="8">
        <v>81789</v>
      </c>
      <c r="BL215" s="8">
        <v>89148</v>
      </c>
      <c r="BM215" s="8">
        <v>107175</v>
      </c>
      <c r="BN215" s="8">
        <v>2246158</v>
      </c>
      <c r="BO215" s="9">
        <f t="shared" si="99"/>
        <v>2246158</v>
      </c>
      <c r="BP215" s="8">
        <v>0</v>
      </c>
      <c r="BQ215" s="8">
        <v>0</v>
      </c>
      <c r="BR215" s="8">
        <v>0</v>
      </c>
      <c r="BS215" s="8">
        <v>0</v>
      </c>
      <c r="BT215" s="8">
        <v>0</v>
      </c>
      <c r="BU215" s="8">
        <v>0</v>
      </c>
      <c r="BV215" s="8">
        <v>0</v>
      </c>
      <c r="BW215" s="8">
        <v>15737</v>
      </c>
      <c r="BX215" s="8">
        <v>15737</v>
      </c>
      <c r="BY215" s="8">
        <v>22373</v>
      </c>
      <c r="BZ215" s="8">
        <v>255025</v>
      </c>
      <c r="CA215" s="8">
        <v>2528336</v>
      </c>
      <c r="CB215" s="9">
        <f t="shared" si="100"/>
        <v>2528336</v>
      </c>
      <c r="CC215" s="8">
        <v>0</v>
      </c>
      <c r="CD215" s="8">
        <v>0</v>
      </c>
      <c r="CE215" s="8">
        <v>1435</v>
      </c>
      <c r="CF215" s="8">
        <v>8271</v>
      </c>
      <c r="CG215" s="8">
        <v>35923</v>
      </c>
      <c r="CH215" s="8">
        <v>299686</v>
      </c>
      <c r="CI215" s="8">
        <v>310442</v>
      </c>
      <c r="CJ215" s="8">
        <v>690366</v>
      </c>
      <c r="CK215" s="8">
        <v>1020262</v>
      </c>
      <c r="CL215" s="8">
        <v>1104122</v>
      </c>
      <c r="CM215" s="8">
        <v>1400365</v>
      </c>
      <c r="CN215" s="8">
        <v>2159278</v>
      </c>
      <c r="CO215" s="9">
        <f t="shared" si="101"/>
        <v>2159278</v>
      </c>
      <c r="CP215" s="8">
        <v>12301</v>
      </c>
      <c r="CQ215" s="8">
        <v>20656</v>
      </c>
      <c r="CR215" s="8">
        <v>22141</v>
      </c>
      <c r="CS215" s="8">
        <v>24161</v>
      </c>
      <c r="CT215" s="8">
        <v>37321</v>
      </c>
      <c r="CU215" s="8">
        <v>75078</v>
      </c>
      <c r="CV215" s="8">
        <v>76238</v>
      </c>
      <c r="CW215" s="8">
        <v>76238</v>
      </c>
      <c r="CX215" s="8">
        <v>128081</v>
      </c>
      <c r="CY215" s="8">
        <v>138563</v>
      </c>
      <c r="CZ215" s="8">
        <v>154171</v>
      </c>
      <c r="DA215" s="8">
        <v>1692689</v>
      </c>
      <c r="DB215" s="9">
        <f t="shared" si="102"/>
        <v>1692689</v>
      </c>
      <c r="DC215" s="8">
        <v>370</v>
      </c>
      <c r="DD215" s="8">
        <v>864</v>
      </c>
      <c r="DE215" s="8">
        <v>3552</v>
      </c>
      <c r="DF215" s="8">
        <v>11999</v>
      </c>
      <c r="DG215" s="8">
        <v>17103</v>
      </c>
      <c r="DH215" s="8">
        <v>18149</v>
      </c>
      <c r="DI215" s="8">
        <v>59132</v>
      </c>
      <c r="DJ215" s="8">
        <v>75617</v>
      </c>
      <c r="DK215" s="8">
        <v>103682</v>
      </c>
      <c r="DL215" s="8">
        <v>175157</v>
      </c>
      <c r="DM215" s="8">
        <v>225282</v>
      </c>
      <c r="DN215" s="8">
        <v>2683094</v>
      </c>
      <c r="DO215" s="9">
        <f t="shared" si="103"/>
        <v>2683094</v>
      </c>
      <c r="DP215" s="8">
        <v>833</v>
      </c>
      <c r="DQ215" s="8">
        <v>33681</v>
      </c>
      <c r="DR215" s="8">
        <v>33681</v>
      </c>
      <c r="DS215" s="8">
        <v>35395</v>
      </c>
      <c r="DT215" s="8">
        <v>46523</v>
      </c>
      <c r="DU215" s="8">
        <v>48364</v>
      </c>
      <c r="DV215" s="8">
        <v>67507</v>
      </c>
      <c r="DW215" s="8">
        <v>255831</v>
      </c>
      <c r="DX215" s="8">
        <v>284111</v>
      </c>
      <c r="DY215" s="8">
        <v>335312</v>
      </c>
      <c r="DZ215" s="8">
        <v>3750775</v>
      </c>
      <c r="EA215" s="8">
        <v>4648404</v>
      </c>
      <c r="EB215" s="9">
        <f t="shared" si="104"/>
        <v>4648404</v>
      </c>
      <c r="EC215" s="8">
        <v>4357</v>
      </c>
      <c r="ED215" s="8">
        <v>4357</v>
      </c>
      <c r="EE215" s="8">
        <v>4357</v>
      </c>
      <c r="EF215" s="8">
        <v>7540</v>
      </c>
      <c r="EG215" s="8">
        <v>22945</v>
      </c>
      <c r="EH215" s="8">
        <v>28348</v>
      </c>
      <c r="EI215" s="8">
        <v>78974</v>
      </c>
      <c r="EJ215" s="8">
        <v>97861</v>
      </c>
      <c r="EK215" s="8">
        <v>107867</v>
      </c>
      <c r="EL215" s="8">
        <v>206182</v>
      </c>
      <c r="EM215" s="8">
        <v>251757</v>
      </c>
      <c r="EN215" s="8">
        <v>966971</v>
      </c>
      <c r="EO215" s="9">
        <f t="shared" si="105"/>
        <v>966971</v>
      </c>
      <c r="EP215" s="8">
        <v>5104</v>
      </c>
      <c r="EQ215" s="8">
        <v>8496</v>
      </c>
      <c r="ER215" s="8">
        <v>16055</v>
      </c>
      <c r="ES215" s="8">
        <v>57885</v>
      </c>
      <c r="ET215" s="8">
        <v>66753</v>
      </c>
      <c r="EU215" s="8">
        <v>109688</v>
      </c>
      <c r="EV215" s="8">
        <v>135958</v>
      </c>
      <c r="EW215" s="8">
        <v>239374</v>
      </c>
      <c r="EX215" s="8">
        <v>332103</v>
      </c>
      <c r="EY215" s="8">
        <v>339056</v>
      </c>
      <c r="EZ215" s="8">
        <v>775321</v>
      </c>
      <c r="FA215" s="8">
        <v>1012874</v>
      </c>
      <c r="FB215" s="9">
        <f t="shared" si="106"/>
        <v>1012874</v>
      </c>
      <c r="FC215" s="8">
        <v>61186</v>
      </c>
      <c r="FD215" s="8">
        <v>66826</v>
      </c>
      <c r="FE215" s="8">
        <v>67791</v>
      </c>
      <c r="FF215" s="8">
        <v>71684</v>
      </c>
      <c r="FG215" s="8">
        <v>379965</v>
      </c>
      <c r="FH215" s="8">
        <v>384834</v>
      </c>
      <c r="FI215" s="8">
        <v>413085</v>
      </c>
      <c r="FJ215" s="8"/>
      <c r="FK215" s="8"/>
      <c r="FL215" s="8"/>
      <c r="FM215" s="8"/>
      <c r="FN215" s="8"/>
      <c r="FO215" s="9">
        <f t="shared" si="107"/>
        <v>413085</v>
      </c>
    </row>
    <row r="216" spans="2:171" ht="14.25" customHeight="1" x14ac:dyDescent="0.3">
      <c r="B216" s="32" t="s">
        <v>68</v>
      </c>
      <c r="C216" s="8">
        <v>20287</v>
      </c>
      <c r="D216" s="8">
        <v>32759</v>
      </c>
      <c r="E216" s="8">
        <v>57260</v>
      </c>
      <c r="F216" s="8">
        <v>230853</v>
      </c>
      <c r="G216" s="8">
        <v>257274</v>
      </c>
      <c r="H216" s="8">
        <v>379295</v>
      </c>
      <c r="I216" s="8">
        <v>539770</v>
      </c>
      <c r="J216" s="8">
        <v>660736</v>
      </c>
      <c r="K216" s="8">
        <v>761856</v>
      </c>
      <c r="L216" s="8">
        <v>897504</v>
      </c>
      <c r="M216" s="8">
        <v>1033335</v>
      </c>
      <c r="N216" s="8">
        <v>11793793</v>
      </c>
      <c r="O216" s="9">
        <f t="shared" si="95"/>
        <v>11793793</v>
      </c>
      <c r="P216" s="8">
        <v>9335</v>
      </c>
      <c r="Q216" s="8">
        <v>37787</v>
      </c>
      <c r="R216" s="8">
        <v>92643</v>
      </c>
      <c r="S216" s="8">
        <v>109064</v>
      </c>
      <c r="T216" s="8">
        <v>137701</v>
      </c>
      <c r="U216" s="8">
        <v>191432</v>
      </c>
      <c r="V216" s="8">
        <v>223715</v>
      </c>
      <c r="W216" s="8">
        <v>308852</v>
      </c>
      <c r="X216" s="8">
        <v>400392</v>
      </c>
      <c r="Y216" s="8">
        <v>478887</v>
      </c>
      <c r="Z216" s="8">
        <v>979965</v>
      </c>
      <c r="AA216" s="8">
        <v>8467573</v>
      </c>
      <c r="AB216" s="9">
        <f t="shared" si="96"/>
        <v>8467573</v>
      </c>
      <c r="AC216" s="8">
        <v>11194</v>
      </c>
      <c r="AD216" s="8">
        <v>22268</v>
      </c>
      <c r="AE216" s="8">
        <v>32440</v>
      </c>
      <c r="AF216" s="8">
        <v>58616</v>
      </c>
      <c r="AG216" s="8">
        <v>103473</v>
      </c>
      <c r="AH216" s="8">
        <v>131225</v>
      </c>
      <c r="AI216" s="8">
        <v>186217</v>
      </c>
      <c r="AJ216" s="8">
        <v>204381</v>
      </c>
      <c r="AK216" s="8">
        <v>232205</v>
      </c>
      <c r="AL216" s="8">
        <v>336843</v>
      </c>
      <c r="AM216" s="8">
        <v>346633</v>
      </c>
      <c r="AN216" s="8">
        <v>1091559</v>
      </c>
      <c r="AO216" s="9">
        <f t="shared" si="97"/>
        <v>1091559</v>
      </c>
      <c r="AP216" s="8">
        <v>7540</v>
      </c>
      <c r="AQ216" s="8">
        <v>46543</v>
      </c>
      <c r="AR216" s="8">
        <v>135835</v>
      </c>
      <c r="AS216" s="8">
        <v>163988</v>
      </c>
      <c r="AT216" s="8">
        <v>106195</v>
      </c>
      <c r="AU216" s="8">
        <v>124721</v>
      </c>
      <c r="AV216" s="8">
        <v>145742</v>
      </c>
      <c r="AW216" s="8">
        <v>225397</v>
      </c>
      <c r="AX216" s="8">
        <v>339525</v>
      </c>
      <c r="AY216" s="8">
        <v>362108</v>
      </c>
      <c r="AZ216" s="8">
        <v>412837</v>
      </c>
      <c r="BA216" s="8">
        <v>1327486</v>
      </c>
      <c r="BB216" s="9">
        <f t="shared" si="98"/>
        <v>1327486</v>
      </c>
      <c r="BC216" s="8">
        <v>14131</v>
      </c>
      <c r="BD216" s="8">
        <v>54935</v>
      </c>
      <c r="BE216" s="8">
        <v>87207</v>
      </c>
      <c r="BF216" s="8">
        <v>167250</v>
      </c>
      <c r="BG216" s="8">
        <v>205363</v>
      </c>
      <c r="BH216" s="8">
        <v>240946</v>
      </c>
      <c r="BI216" s="8">
        <v>254247</v>
      </c>
      <c r="BJ216" s="8">
        <v>277216</v>
      </c>
      <c r="BK216" s="8">
        <v>330484</v>
      </c>
      <c r="BL216" s="8">
        <v>1639565</v>
      </c>
      <c r="BM216" s="8">
        <v>1849770</v>
      </c>
      <c r="BN216" s="8">
        <v>7266129</v>
      </c>
      <c r="BO216" s="9">
        <f t="shared" si="99"/>
        <v>7266129</v>
      </c>
      <c r="BP216" s="8">
        <v>0</v>
      </c>
      <c r="BQ216" s="8">
        <v>0</v>
      </c>
      <c r="BR216" s="8">
        <v>0</v>
      </c>
      <c r="BS216" s="8">
        <v>0</v>
      </c>
      <c r="BT216" s="8">
        <v>0</v>
      </c>
      <c r="BU216" s="8">
        <v>10917</v>
      </c>
      <c r="BV216" s="8">
        <v>65801</v>
      </c>
      <c r="BW216" s="8">
        <v>84937</v>
      </c>
      <c r="BX216" s="8">
        <v>277266</v>
      </c>
      <c r="BY216" s="8">
        <v>476684</v>
      </c>
      <c r="BZ216" s="8">
        <v>3409744</v>
      </c>
      <c r="CA216" s="8">
        <v>12255275</v>
      </c>
      <c r="CB216" s="9">
        <f t="shared" si="100"/>
        <v>12255275</v>
      </c>
      <c r="CC216" s="8">
        <v>0</v>
      </c>
      <c r="CD216" s="8">
        <v>4662</v>
      </c>
      <c r="CE216" s="8">
        <v>13707</v>
      </c>
      <c r="CF216" s="8">
        <v>32343</v>
      </c>
      <c r="CG216" s="8">
        <v>83942</v>
      </c>
      <c r="CH216" s="8">
        <v>176833</v>
      </c>
      <c r="CI216" s="8">
        <v>257769</v>
      </c>
      <c r="CJ216" s="8">
        <v>306023</v>
      </c>
      <c r="CK216" s="8">
        <v>306134</v>
      </c>
      <c r="CL216" s="8">
        <v>394171</v>
      </c>
      <c r="CM216" s="8">
        <v>427089</v>
      </c>
      <c r="CN216" s="8">
        <v>1413418</v>
      </c>
      <c r="CO216" s="9">
        <f t="shared" si="101"/>
        <v>1413418</v>
      </c>
      <c r="CP216" s="8">
        <v>0</v>
      </c>
      <c r="CQ216" s="8">
        <v>6793</v>
      </c>
      <c r="CR216" s="8">
        <v>77555</v>
      </c>
      <c r="CS216" s="8">
        <v>122381</v>
      </c>
      <c r="CT216" s="8">
        <v>142146</v>
      </c>
      <c r="CU216" s="8">
        <v>158619</v>
      </c>
      <c r="CV216" s="8">
        <v>325945</v>
      </c>
      <c r="CW216" s="8">
        <v>352543</v>
      </c>
      <c r="CX216" s="8">
        <v>359067</v>
      </c>
      <c r="CY216" s="8">
        <v>375222</v>
      </c>
      <c r="CZ216" s="8">
        <v>467537</v>
      </c>
      <c r="DA216" s="8">
        <v>1885724</v>
      </c>
      <c r="DB216" s="9">
        <f t="shared" si="102"/>
        <v>1885724</v>
      </c>
      <c r="DC216" s="8">
        <v>6368</v>
      </c>
      <c r="DD216" s="8">
        <v>14217</v>
      </c>
      <c r="DE216" s="8">
        <v>32648</v>
      </c>
      <c r="DF216" s="8">
        <v>41584</v>
      </c>
      <c r="DG216" s="8">
        <v>50502</v>
      </c>
      <c r="DH216" s="8">
        <v>99428</v>
      </c>
      <c r="DI216" s="8">
        <v>113145</v>
      </c>
      <c r="DJ216" s="8">
        <v>596508</v>
      </c>
      <c r="DK216" s="8">
        <v>620846</v>
      </c>
      <c r="DL216" s="8">
        <v>670560</v>
      </c>
      <c r="DM216" s="8">
        <v>1197766</v>
      </c>
      <c r="DN216" s="8">
        <v>3855100</v>
      </c>
      <c r="DO216" s="9">
        <f t="shared" si="103"/>
        <v>3855100</v>
      </c>
      <c r="DP216" s="8">
        <v>1444</v>
      </c>
      <c r="DQ216" s="8">
        <v>4606</v>
      </c>
      <c r="DR216" s="8">
        <v>35138</v>
      </c>
      <c r="DS216" s="8">
        <v>50152</v>
      </c>
      <c r="DT216" s="8">
        <v>104442</v>
      </c>
      <c r="DU216" s="8">
        <v>431234</v>
      </c>
      <c r="DV216" s="8">
        <v>622598</v>
      </c>
      <c r="DW216" s="8">
        <v>784017</v>
      </c>
      <c r="DX216" s="8">
        <v>882513</v>
      </c>
      <c r="DY216" s="8">
        <v>1239786</v>
      </c>
      <c r="DZ216" s="8">
        <v>1956296</v>
      </c>
      <c r="EA216" s="8">
        <v>4160003</v>
      </c>
      <c r="EB216" s="9">
        <f t="shared" si="104"/>
        <v>4160003</v>
      </c>
      <c r="EC216" s="8">
        <v>2272</v>
      </c>
      <c r="ED216" s="8">
        <v>28228</v>
      </c>
      <c r="EE216" s="8">
        <v>108055</v>
      </c>
      <c r="EF216" s="8">
        <v>234416</v>
      </c>
      <c r="EG216" s="8">
        <v>147298</v>
      </c>
      <c r="EH216" s="8">
        <v>595109</v>
      </c>
      <c r="EI216" s="8">
        <v>665329</v>
      </c>
      <c r="EJ216" s="8">
        <v>703633</v>
      </c>
      <c r="EK216" s="8">
        <v>808054</v>
      </c>
      <c r="EL216" s="8">
        <v>973450</v>
      </c>
      <c r="EM216" s="8">
        <v>1244645</v>
      </c>
      <c r="EN216" s="8">
        <v>4027305</v>
      </c>
      <c r="EO216" s="9">
        <f t="shared" si="105"/>
        <v>4027305</v>
      </c>
      <c r="EP216" s="8">
        <v>14051</v>
      </c>
      <c r="EQ216" s="8">
        <v>30803</v>
      </c>
      <c r="ER216" s="8">
        <v>32165</v>
      </c>
      <c r="ES216" s="8">
        <v>51374</v>
      </c>
      <c r="ET216" s="8">
        <v>61400</v>
      </c>
      <c r="EU216" s="8">
        <v>107192</v>
      </c>
      <c r="EV216" s="8">
        <v>202973</v>
      </c>
      <c r="EW216" s="8">
        <v>360544</v>
      </c>
      <c r="EX216" s="8">
        <v>929578</v>
      </c>
      <c r="EY216" s="8">
        <v>1303137</v>
      </c>
      <c r="EZ216" s="8">
        <v>1734945</v>
      </c>
      <c r="FA216" s="8">
        <v>2313221</v>
      </c>
      <c r="FB216" s="9">
        <f t="shared" si="106"/>
        <v>2313221</v>
      </c>
      <c r="FC216" s="8">
        <v>2021</v>
      </c>
      <c r="FD216" s="8">
        <v>69348</v>
      </c>
      <c r="FE216" s="8">
        <v>124966</v>
      </c>
      <c r="FF216" s="8">
        <v>130776</v>
      </c>
      <c r="FG216" s="8">
        <v>144694</v>
      </c>
      <c r="FH216" s="8">
        <v>171068</v>
      </c>
      <c r="FI216" s="8">
        <v>230166</v>
      </c>
      <c r="FJ216" s="8"/>
      <c r="FK216" s="8"/>
      <c r="FL216" s="8"/>
      <c r="FM216" s="8"/>
      <c r="FN216" s="8"/>
      <c r="FO216" s="9">
        <f t="shared" si="107"/>
        <v>230166</v>
      </c>
    </row>
    <row r="217" spans="2:171" ht="14.25" customHeight="1" x14ac:dyDescent="0.3">
      <c r="B217" s="32" t="s">
        <v>69</v>
      </c>
      <c r="C217" s="8">
        <v>6852</v>
      </c>
      <c r="D217" s="8">
        <v>15291</v>
      </c>
      <c r="E217" s="8">
        <v>41307</v>
      </c>
      <c r="F217" s="8">
        <v>58322</v>
      </c>
      <c r="G217" s="8">
        <v>69635</v>
      </c>
      <c r="H217" s="8">
        <v>94213</v>
      </c>
      <c r="I217" s="8">
        <v>123885</v>
      </c>
      <c r="J217" s="8">
        <v>180820</v>
      </c>
      <c r="K217" s="8">
        <v>259005</v>
      </c>
      <c r="L217" s="8">
        <v>271118</v>
      </c>
      <c r="M217" s="8">
        <v>322171</v>
      </c>
      <c r="N217" s="8">
        <v>872868</v>
      </c>
      <c r="O217" s="9">
        <f t="shared" si="95"/>
        <v>872868</v>
      </c>
      <c r="P217" s="8">
        <v>19612</v>
      </c>
      <c r="Q217" s="8">
        <v>29919</v>
      </c>
      <c r="R217" s="8">
        <v>50580</v>
      </c>
      <c r="S217" s="8">
        <v>77289</v>
      </c>
      <c r="T217" s="8">
        <v>97042</v>
      </c>
      <c r="U217" s="8">
        <v>119182</v>
      </c>
      <c r="V217" s="8">
        <v>220341</v>
      </c>
      <c r="W217" s="8">
        <v>273721</v>
      </c>
      <c r="X217" s="8">
        <v>290749</v>
      </c>
      <c r="Y217" s="8">
        <v>310462</v>
      </c>
      <c r="Z217" s="8">
        <v>1289693</v>
      </c>
      <c r="AA217" s="8">
        <v>5719708</v>
      </c>
      <c r="AB217" s="9">
        <f t="shared" si="96"/>
        <v>5719708</v>
      </c>
      <c r="AC217" s="8">
        <v>15437</v>
      </c>
      <c r="AD217" s="8">
        <v>29747</v>
      </c>
      <c r="AE217" s="8">
        <v>34721</v>
      </c>
      <c r="AF217" s="8">
        <v>65050</v>
      </c>
      <c r="AG217" s="8">
        <v>150790</v>
      </c>
      <c r="AH217" s="8">
        <v>163300</v>
      </c>
      <c r="AI217" s="8">
        <v>214580</v>
      </c>
      <c r="AJ217" s="8">
        <v>226573</v>
      </c>
      <c r="AK217" s="8">
        <v>235405</v>
      </c>
      <c r="AL217" s="8">
        <v>288586</v>
      </c>
      <c r="AM217" s="8">
        <v>292308</v>
      </c>
      <c r="AN217" s="8">
        <v>1288916</v>
      </c>
      <c r="AO217" s="9">
        <f t="shared" si="97"/>
        <v>1288916</v>
      </c>
      <c r="AP217" s="8">
        <v>8756</v>
      </c>
      <c r="AQ217" s="8">
        <v>13175</v>
      </c>
      <c r="AR217" s="8">
        <v>31167</v>
      </c>
      <c r="AS217" s="8">
        <v>38214</v>
      </c>
      <c r="AT217" s="8">
        <v>41225</v>
      </c>
      <c r="AU217" s="8">
        <v>53134</v>
      </c>
      <c r="AV217" s="8">
        <v>73987</v>
      </c>
      <c r="AW217" s="8">
        <v>123167</v>
      </c>
      <c r="AX217" s="8">
        <v>170342</v>
      </c>
      <c r="AY217" s="8">
        <v>186669</v>
      </c>
      <c r="AZ217" s="8">
        <v>212738</v>
      </c>
      <c r="BA217" s="8">
        <v>886713</v>
      </c>
      <c r="BB217" s="9">
        <f t="shared" si="98"/>
        <v>886713</v>
      </c>
      <c r="BC217" s="8">
        <v>1785</v>
      </c>
      <c r="BD217" s="8">
        <v>12105</v>
      </c>
      <c r="BE217" s="8">
        <v>21850</v>
      </c>
      <c r="BF217" s="8">
        <v>25235</v>
      </c>
      <c r="BG217" s="8">
        <v>40553</v>
      </c>
      <c r="BH217" s="8">
        <v>60365</v>
      </c>
      <c r="BI217" s="8">
        <v>126794</v>
      </c>
      <c r="BJ217" s="8">
        <v>135696</v>
      </c>
      <c r="BK217" s="8">
        <v>154983</v>
      </c>
      <c r="BL217" s="8">
        <v>173658</v>
      </c>
      <c r="BM217" s="8">
        <v>289257</v>
      </c>
      <c r="BN217" s="8">
        <v>2471608</v>
      </c>
      <c r="BO217" s="9">
        <f t="shared" si="99"/>
        <v>2471608</v>
      </c>
      <c r="BP217" s="8">
        <v>0</v>
      </c>
      <c r="BQ217" s="8">
        <v>0</v>
      </c>
      <c r="BR217" s="8">
        <v>0</v>
      </c>
      <c r="BS217" s="8">
        <v>0</v>
      </c>
      <c r="BT217" s="8">
        <v>0</v>
      </c>
      <c r="BU217" s="8">
        <v>0</v>
      </c>
      <c r="BV217" s="8">
        <v>0</v>
      </c>
      <c r="BW217" s="8">
        <v>465388</v>
      </c>
      <c r="BX217" s="8">
        <v>514307</v>
      </c>
      <c r="BY217" s="8">
        <v>573082</v>
      </c>
      <c r="BZ217" s="8">
        <v>577056</v>
      </c>
      <c r="CA217" s="8">
        <v>3772931</v>
      </c>
      <c r="CB217" s="9">
        <f t="shared" si="100"/>
        <v>3772931</v>
      </c>
      <c r="CC217" s="8">
        <v>0</v>
      </c>
      <c r="CD217" s="8">
        <v>1804</v>
      </c>
      <c r="CE217" s="8">
        <v>1804</v>
      </c>
      <c r="CF217" s="8">
        <v>9298</v>
      </c>
      <c r="CG217" s="8">
        <v>12233</v>
      </c>
      <c r="CH217" s="8">
        <v>149930</v>
      </c>
      <c r="CI217" s="8">
        <v>184650</v>
      </c>
      <c r="CJ217" s="8">
        <v>215454</v>
      </c>
      <c r="CK217" s="8">
        <v>272703</v>
      </c>
      <c r="CL217" s="8">
        <v>290343</v>
      </c>
      <c r="CM217" s="8">
        <v>295561</v>
      </c>
      <c r="CN217" s="8">
        <v>4994084</v>
      </c>
      <c r="CO217" s="9">
        <f t="shared" si="101"/>
        <v>4994084</v>
      </c>
      <c r="CP217" s="8">
        <v>865</v>
      </c>
      <c r="CQ217" s="8">
        <v>2651</v>
      </c>
      <c r="CR217" s="8">
        <v>5266</v>
      </c>
      <c r="CS217" s="8">
        <v>30254</v>
      </c>
      <c r="CT217" s="8">
        <v>42729</v>
      </c>
      <c r="CU217" s="8">
        <v>45720</v>
      </c>
      <c r="CV217" s="8">
        <v>47355</v>
      </c>
      <c r="CW217" s="8">
        <v>56909</v>
      </c>
      <c r="CX217" s="8">
        <v>279270</v>
      </c>
      <c r="CY217" s="8">
        <v>280887</v>
      </c>
      <c r="CZ217" s="8">
        <v>465012</v>
      </c>
      <c r="DA217" s="8">
        <v>3244861</v>
      </c>
      <c r="DB217" s="9">
        <f t="shared" si="102"/>
        <v>3244861</v>
      </c>
      <c r="DC217" s="8">
        <v>24009</v>
      </c>
      <c r="DD217" s="8">
        <v>33046</v>
      </c>
      <c r="DE217" s="8">
        <v>47011</v>
      </c>
      <c r="DF217" s="8">
        <v>52122</v>
      </c>
      <c r="DG217" s="8">
        <v>52407</v>
      </c>
      <c r="DH217" s="8">
        <v>78079</v>
      </c>
      <c r="DI217" s="8">
        <v>120680</v>
      </c>
      <c r="DJ217" s="8">
        <v>132609</v>
      </c>
      <c r="DK217" s="8">
        <v>167117</v>
      </c>
      <c r="DL217" s="8">
        <v>366538</v>
      </c>
      <c r="DM217" s="8">
        <v>1269788</v>
      </c>
      <c r="DN217" s="8">
        <v>4547071</v>
      </c>
      <c r="DO217" s="9">
        <f t="shared" si="103"/>
        <v>4547071</v>
      </c>
      <c r="DP217" s="8">
        <v>0</v>
      </c>
      <c r="DQ217" s="8">
        <v>2099</v>
      </c>
      <c r="DR217" s="8">
        <v>369239</v>
      </c>
      <c r="DS217" s="8">
        <v>433257</v>
      </c>
      <c r="DT217" s="8">
        <v>489494</v>
      </c>
      <c r="DU217" s="8">
        <v>583012</v>
      </c>
      <c r="DV217" s="8">
        <v>651489</v>
      </c>
      <c r="DW217" s="8">
        <v>789748</v>
      </c>
      <c r="DX217" s="8">
        <v>905969</v>
      </c>
      <c r="DY217" s="8">
        <v>1358142</v>
      </c>
      <c r="DZ217" s="8">
        <v>1419751</v>
      </c>
      <c r="EA217" s="8">
        <v>3006470</v>
      </c>
      <c r="EB217" s="9">
        <f t="shared" si="104"/>
        <v>3006470</v>
      </c>
      <c r="EC217" s="8">
        <v>0</v>
      </c>
      <c r="ED217" s="8">
        <v>20185</v>
      </c>
      <c r="EE217" s="8">
        <v>35048</v>
      </c>
      <c r="EF217" s="8">
        <v>35267</v>
      </c>
      <c r="EG217" s="8">
        <v>74272</v>
      </c>
      <c r="EH217" s="8">
        <v>136477</v>
      </c>
      <c r="EI217" s="8">
        <v>170934</v>
      </c>
      <c r="EJ217" s="8">
        <v>537668</v>
      </c>
      <c r="EK217" s="8">
        <v>731636</v>
      </c>
      <c r="EL217" s="8">
        <v>871319</v>
      </c>
      <c r="EM217" s="8">
        <v>1613590</v>
      </c>
      <c r="EN217" s="8">
        <v>3474053</v>
      </c>
      <c r="EO217" s="9">
        <f t="shared" si="105"/>
        <v>3474053</v>
      </c>
      <c r="EP217" s="8">
        <v>3498</v>
      </c>
      <c r="EQ217" s="8">
        <v>21485</v>
      </c>
      <c r="ER217" s="8">
        <v>59075</v>
      </c>
      <c r="ES217" s="8">
        <v>62595</v>
      </c>
      <c r="ET217" s="8">
        <v>232990</v>
      </c>
      <c r="EU217" s="8">
        <v>278532</v>
      </c>
      <c r="EV217" s="8">
        <v>305072</v>
      </c>
      <c r="EW217" s="8">
        <v>456179</v>
      </c>
      <c r="EX217" s="8">
        <v>547177</v>
      </c>
      <c r="EY217" s="8">
        <v>814162</v>
      </c>
      <c r="EZ217" s="8">
        <v>1009220</v>
      </c>
      <c r="FA217" s="8">
        <v>2202813</v>
      </c>
      <c r="FB217" s="9">
        <f t="shared" si="106"/>
        <v>2202813</v>
      </c>
      <c r="FC217" s="8">
        <v>4766</v>
      </c>
      <c r="FD217" s="8">
        <v>18173</v>
      </c>
      <c r="FE217" s="8">
        <v>58676</v>
      </c>
      <c r="FF217" s="8">
        <v>204968</v>
      </c>
      <c r="FG217" s="8">
        <v>212864</v>
      </c>
      <c r="FH217" s="8">
        <v>229552</v>
      </c>
      <c r="FI217" s="8">
        <v>240608</v>
      </c>
      <c r="FJ217" s="8"/>
      <c r="FK217" s="8"/>
      <c r="FL217" s="8"/>
      <c r="FM217" s="8"/>
      <c r="FN217" s="8"/>
      <c r="FO217" s="9">
        <f t="shared" si="107"/>
        <v>240608</v>
      </c>
    </row>
    <row r="218" spans="2:171" ht="14.25" customHeight="1" x14ac:dyDescent="0.3">
      <c r="B218" s="35" t="s">
        <v>70</v>
      </c>
      <c r="C218" s="8">
        <v>13564</v>
      </c>
      <c r="D218" s="8">
        <v>20477</v>
      </c>
      <c r="E218" s="8">
        <v>24598</v>
      </c>
      <c r="F218" s="8">
        <v>38432</v>
      </c>
      <c r="G218" s="8">
        <v>51322</v>
      </c>
      <c r="H218" s="8">
        <v>77608</v>
      </c>
      <c r="I218" s="8">
        <v>135092</v>
      </c>
      <c r="J218" s="8">
        <v>209622</v>
      </c>
      <c r="K218" s="8">
        <v>237680</v>
      </c>
      <c r="L218" s="8">
        <v>248338</v>
      </c>
      <c r="M218" s="8">
        <v>459086</v>
      </c>
      <c r="N218" s="8">
        <v>2198968</v>
      </c>
      <c r="O218" s="9">
        <f t="shared" si="95"/>
        <v>2198968</v>
      </c>
      <c r="P218" s="8">
        <v>3985</v>
      </c>
      <c r="Q218" s="8">
        <v>8960</v>
      </c>
      <c r="R218" s="8">
        <v>22513</v>
      </c>
      <c r="S218" s="8">
        <v>54861</v>
      </c>
      <c r="T218" s="8">
        <v>97191</v>
      </c>
      <c r="U218" s="8">
        <v>118254</v>
      </c>
      <c r="V218" s="8">
        <v>148892</v>
      </c>
      <c r="W218" s="8">
        <v>172883</v>
      </c>
      <c r="X218" s="8">
        <v>233072</v>
      </c>
      <c r="Y218" s="8">
        <v>273886</v>
      </c>
      <c r="Z218" s="8">
        <v>387595</v>
      </c>
      <c r="AA218" s="8">
        <v>5236177</v>
      </c>
      <c r="AB218" s="9">
        <f t="shared" si="96"/>
        <v>5236177</v>
      </c>
      <c r="AC218" s="8">
        <v>9726</v>
      </c>
      <c r="AD218" s="8">
        <v>23294</v>
      </c>
      <c r="AE218" s="8">
        <v>71702</v>
      </c>
      <c r="AF218" s="8">
        <v>86206</v>
      </c>
      <c r="AG218" s="8">
        <v>139226</v>
      </c>
      <c r="AH218" s="8">
        <v>166973</v>
      </c>
      <c r="AI218" s="8">
        <v>190248</v>
      </c>
      <c r="AJ218" s="8">
        <v>298231</v>
      </c>
      <c r="AK218" s="8">
        <v>707068</v>
      </c>
      <c r="AL218" s="8">
        <v>723459</v>
      </c>
      <c r="AM218" s="8">
        <v>815127</v>
      </c>
      <c r="AN218" s="8">
        <v>1168396</v>
      </c>
      <c r="AO218" s="9">
        <f t="shared" si="97"/>
        <v>1168396</v>
      </c>
      <c r="AP218" s="8">
        <v>14017</v>
      </c>
      <c r="AQ218" s="8">
        <v>46036</v>
      </c>
      <c r="AR218" s="8">
        <v>257956</v>
      </c>
      <c r="AS218" s="8">
        <v>267916</v>
      </c>
      <c r="AT218" s="8">
        <v>294403</v>
      </c>
      <c r="AU218" s="8">
        <v>327743</v>
      </c>
      <c r="AV218" s="8">
        <v>367668</v>
      </c>
      <c r="AW218" s="8">
        <v>392787</v>
      </c>
      <c r="AX218" s="8">
        <v>399639</v>
      </c>
      <c r="AY218" s="8">
        <v>401277</v>
      </c>
      <c r="AZ218" s="8">
        <v>477603</v>
      </c>
      <c r="BA218" s="8">
        <v>788716</v>
      </c>
      <c r="BB218" s="9">
        <f t="shared" si="98"/>
        <v>788716</v>
      </c>
      <c r="BC218" s="8">
        <v>29699</v>
      </c>
      <c r="BD218" s="8">
        <v>38747</v>
      </c>
      <c r="BE218" s="8">
        <v>61056</v>
      </c>
      <c r="BF218" s="8">
        <v>71352</v>
      </c>
      <c r="BG218" s="8">
        <v>81887</v>
      </c>
      <c r="BH218" s="8">
        <v>83250</v>
      </c>
      <c r="BI218" s="8">
        <v>100618</v>
      </c>
      <c r="BJ218" s="8">
        <v>128254</v>
      </c>
      <c r="BK218" s="8">
        <v>144051</v>
      </c>
      <c r="BL218" s="8">
        <v>156092</v>
      </c>
      <c r="BM218" s="8">
        <v>233374</v>
      </c>
      <c r="BN218" s="8">
        <v>4489680</v>
      </c>
      <c r="BO218" s="9">
        <f t="shared" si="99"/>
        <v>4489680</v>
      </c>
      <c r="BP218" s="8">
        <v>0</v>
      </c>
      <c r="BQ218" s="8">
        <v>0</v>
      </c>
      <c r="BR218" s="8">
        <v>0</v>
      </c>
      <c r="BS218" s="8">
        <v>0</v>
      </c>
      <c r="BT218" s="8">
        <v>0</v>
      </c>
      <c r="BU218" s="8">
        <v>0</v>
      </c>
      <c r="BV218" s="8">
        <v>3996</v>
      </c>
      <c r="BW218" s="8">
        <v>7724</v>
      </c>
      <c r="BX218" s="8">
        <v>7724</v>
      </c>
      <c r="BY218" s="8">
        <v>7724</v>
      </c>
      <c r="BZ218" s="8">
        <v>94622</v>
      </c>
      <c r="CA218" s="8">
        <v>3232734</v>
      </c>
      <c r="CB218" s="9">
        <f t="shared" si="100"/>
        <v>3232734</v>
      </c>
      <c r="CC218" s="8">
        <v>0</v>
      </c>
      <c r="CD218" s="8">
        <v>0</v>
      </c>
      <c r="CE218" s="8">
        <v>6167</v>
      </c>
      <c r="CF218" s="8">
        <v>117050</v>
      </c>
      <c r="CG218" s="8">
        <v>125156</v>
      </c>
      <c r="CH218" s="8">
        <v>189576</v>
      </c>
      <c r="CI218" s="8">
        <v>208597</v>
      </c>
      <c r="CJ218" s="8">
        <v>549574</v>
      </c>
      <c r="CK218" s="8">
        <v>553146</v>
      </c>
      <c r="CL218" s="8">
        <v>598523</v>
      </c>
      <c r="CM218" s="8">
        <v>614902</v>
      </c>
      <c r="CN218" s="8">
        <v>2121693</v>
      </c>
      <c r="CO218" s="9">
        <f t="shared" si="101"/>
        <v>2121693</v>
      </c>
      <c r="CP218" s="8">
        <v>2317</v>
      </c>
      <c r="CQ218" s="8">
        <v>4978</v>
      </c>
      <c r="CR218" s="8">
        <v>12022</v>
      </c>
      <c r="CS218" s="8">
        <v>63293</v>
      </c>
      <c r="CT218" s="8">
        <v>97938</v>
      </c>
      <c r="CU218" s="8">
        <v>153618</v>
      </c>
      <c r="CV218" s="8">
        <v>258932</v>
      </c>
      <c r="CW218" s="8">
        <v>271649</v>
      </c>
      <c r="CX218" s="8">
        <v>294744</v>
      </c>
      <c r="CY218" s="8">
        <v>381288</v>
      </c>
      <c r="CZ218" s="8">
        <v>534587</v>
      </c>
      <c r="DA218" s="8">
        <v>3897060</v>
      </c>
      <c r="DB218" s="9">
        <f t="shared" si="102"/>
        <v>3897060</v>
      </c>
      <c r="DC218" s="8">
        <v>744</v>
      </c>
      <c r="DD218" s="8">
        <v>95439</v>
      </c>
      <c r="DE218" s="8">
        <v>103801</v>
      </c>
      <c r="DF218" s="8">
        <v>126638</v>
      </c>
      <c r="DG218" s="8">
        <v>131463</v>
      </c>
      <c r="DH218" s="8">
        <v>142230</v>
      </c>
      <c r="DI218" s="8">
        <v>151590</v>
      </c>
      <c r="DJ218" s="8">
        <v>158082</v>
      </c>
      <c r="DK218" s="8">
        <v>167441</v>
      </c>
      <c r="DL218" s="8">
        <v>206858</v>
      </c>
      <c r="DM218" s="8">
        <v>257901</v>
      </c>
      <c r="DN218" s="8">
        <v>4261907</v>
      </c>
      <c r="DO218" s="9">
        <f t="shared" si="103"/>
        <v>4261907</v>
      </c>
      <c r="DP218" s="8">
        <v>14120</v>
      </c>
      <c r="DQ218" s="8">
        <v>16885</v>
      </c>
      <c r="DR218" s="8">
        <v>20241</v>
      </c>
      <c r="DS218" s="8">
        <v>28891</v>
      </c>
      <c r="DT218" s="8">
        <v>82823</v>
      </c>
      <c r="DU218" s="8">
        <v>109308</v>
      </c>
      <c r="DV218" s="8">
        <v>565751</v>
      </c>
      <c r="DW218" s="8">
        <v>582340</v>
      </c>
      <c r="DX218" s="8">
        <v>587212</v>
      </c>
      <c r="DY218" s="8">
        <v>604462</v>
      </c>
      <c r="DZ218" s="8">
        <v>1403943</v>
      </c>
      <c r="EA218" s="8">
        <v>3266948</v>
      </c>
      <c r="EB218" s="9">
        <f t="shared" si="104"/>
        <v>3266948</v>
      </c>
      <c r="EC218" s="8">
        <v>706</v>
      </c>
      <c r="ED218" s="8">
        <v>5485</v>
      </c>
      <c r="EE218" s="8">
        <v>28883</v>
      </c>
      <c r="EF218" s="8">
        <v>43106</v>
      </c>
      <c r="EG218" s="8">
        <v>66830</v>
      </c>
      <c r="EH218" s="8">
        <v>78682</v>
      </c>
      <c r="EI218" s="8">
        <v>110079</v>
      </c>
      <c r="EJ218" s="8">
        <v>171977</v>
      </c>
      <c r="EK218" s="8">
        <v>190912</v>
      </c>
      <c r="EL218" s="8">
        <v>290477</v>
      </c>
      <c r="EM218" s="8">
        <v>376706</v>
      </c>
      <c r="EN218" s="8">
        <v>1282723</v>
      </c>
      <c r="EO218" s="9">
        <f t="shared" si="105"/>
        <v>1282723</v>
      </c>
      <c r="EP218" s="8">
        <v>0</v>
      </c>
      <c r="EQ218" s="8">
        <v>11267</v>
      </c>
      <c r="ER218" s="8">
        <v>32422</v>
      </c>
      <c r="ES218" s="8">
        <v>49259</v>
      </c>
      <c r="ET218" s="8">
        <v>162014</v>
      </c>
      <c r="EU218" s="8">
        <v>182427</v>
      </c>
      <c r="EV218" s="8">
        <v>220667</v>
      </c>
      <c r="EW218" s="8">
        <v>246420</v>
      </c>
      <c r="EX218" s="8">
        <v>261856</v>
      </c>
      <c r="EY218" s="8">
        <v>298114</v>
      </c>
      <c r="EZ218" s="8">
        <v>472869</v>
      </c>
      <c r="FA218" s="8">
        <v>2678131</v>
      </c>
      <c r="FB218" s="9">
        <f t="shared" si="106"/>
        <v>2678131</v>
      </c>
      <c r="FC218" s="8">
        <v>173</v>
      </c>
      <c r="FD218" s="8">
        <v>8605</v>
      </c>
      <c r="FE218" s="8">
        <v>94785</v>
      </c>
      <c r="FF218" s="8">
        <v>168911</v>
      </c>
      <c r="FG218" s="8">
        <v>235488</v>
      </c>
      <c r="FH218" s="8">
        <v>270359</v>
      </c>
      <c r="FI218" s="8">
        <v>462136</v>
      </c>
      <c r="FJ218" s="8"/>
      <c r="FK218" s="8"/>
      <c r="FL218" s="8"/>
      <c r="FM218" s="8"/>
      <c r="FN218" s="8"/>
      <c r="FO218" s="9">
        <f t="shared" si="107"/>
        <v>462136</v>
      </c>
    </row>
    <row r="219" spans="2:171" ht="14.25" customHeight="1" x14ac:dyDescent="0.3">
      <c r="B219" s="35" t="s">
        <v>71</v>
      </c>
      <c r="C219" s="8">
        <v>101312</v>
      </c>
      <c r="D219" s="8">
        <v>107835</v>
      </c>
      <c r="E219" s="8">
        <v>119099</v>
      </c>
      <c r="F219" s="8">
        <v>130422</v>
      </c>
      <c r="G219" s="8">
        <v>153998</v>
      </c>
      <c r="H219" s="8">
        <v>178795</v>
      </c>
      <c r="I219" s="8">
        <v>188702</v>
      </c>
      <c r="J219" s="8">
        <v>199906</v>
      </c>
      <c r="K219" s="8">
        <v>275290</v>
      </c>
      <c r="L219" s="8">
        <v>297220</v>
      </c>
      <c r="M219" s="8">
        <v>532597</v>
      </c>
      <c r="N219" s="8">
        <v>4811370</v>
      </c>
      <c r="O219" s="9">
        <f t="shared" si="95"/>
        <v>4811370</v>
      </c>
      <c r="P219" s="8">
        <v>487</v>
      </c>
      <c r="Q219" s="8">
        <v>3531</v>
      </c>
      <c r="R219" s="8">
        <v>43080</v>
      </c>
      <c r="S219" s="8">
        <v>49944</v>
      </c>
      <c r="T219" s="8">
        <v>55532</v>
      </c>
      <c r="U219" s="8">
        <v>73197</v>
      </c>
      <c r="V219" s="8">
        <v>102776</v>
      </c>
      <c r="W219" s="8">
        <v>109219</v>
      </c>
      <c r="X219" s="8">
        <v>178970</v>
      </c>
      <c r="Y219" s="8">
        <v>282944</v>
      </c>
      <c r="Z219" s="8">
        <v>373603</v>
      </c>
      <c r="AA219" s="8">
        <v>5326914</v>
      </c>
      <c r="AB219" s="9">
        <f t="shared" si="96"/>
        <v>5326914</v>
      </c>
      <c r="AC219" s="8">
        <v>57441</v>
      </c>
      <c r="AD219" s="8">
        <v>95669</v>
      </c>
      <c r="AE219" s="8">
        <v>121349</v>
      </c>
      <c r="AF219" s="8">
        <v>137419</v>
      </c>
      <c r="AG219" s="8">
        <v>156314</v>
      </c>
      <c r="AH219" s="8">
        <v>176294</v>
      </c>
      <c r="AI219" s="8">
        <v>213308</v>
      </c>
      <c r="AJ219" s="8">
        <v>238944</v>
      </c>
      <c r="AK219" s="8">
        <v>240879</v>
      </c>
      <c r="AL219" s="8">
        <v>248745</v>
      </c>
      <c r="AM219" s="8">
        <v>260432</v>
      </c>
      <c r="AN219" s="8">
        <v>735414</v>
      </c>
      <c r="AO219" s="9">
        <f t="shared" si="97"/>
        <v>735414</v>
      </c>
      <c r="AP219" s="8">
        <v>60735</v>
      </c>
      <c r="AQ219" s="8">
        <v>73526</v>
      </c>
      <c r="AR219" s="8">
        <v>148840</v>
      </c>
      <c r="AS219" s="8">
        <v>103051</v>
      </c>
      <c r="AT219" s="8">
        <v>224637</v>
      </c>
      <c r="AU219" s="8">
        <v>232286</v>
      </c>
      <c r="AV219" s="8">
        <v>280908</v>
      </c>
      <c r="AW219" s="8">
        <v>294190</v>
      </c>
      <c r="AX219" s="8">
        <v>305143</v>
      </c>
      <c r="AY219" s="8">
        <v>313016</v>
      </c>
      <c r="AZ219" s="8">
        <v>322878</v>
      </c>
      <c r="BA219" s="8">
        <v>425023</v>
      </c>
      <c r="BB219" s="9">
        <f t="shared" si="98"/>
        <v>425023</v>
      </c>
      <c r="BC219" s="8">
        <v>1553</v>
      </c>
      <c r="BD219" s="8">
        <v>22804</v>
      </c>
      <c r="BE219" s="8">
        <v>38959</v>
      </c>
      <c r="BF219" s="8">
        <v>85454</v>
      </c>
      <c r="BG219" s="8">
        <v>122144</v>
      </c>
      <c r="BH219" s="8">
        <v>128549</v>
      </c>
      <c r="BI219" s="8">
        <v>133720</v>
      </c>
      <c r="BJ219" s="8">
        <v>141985</v>
      </c>
      <c r="BK219" s="8">
        <v>141985</v>
      </c>
      <c r="BL219" s="8">
        <v>147942</v>
      </c>
      <c r="BM219" s="8">
        <v>439539</v>
      </c>
      <c r="BN219" s="8">
        <v>3356894</v>
      </c>
      <c r="BO219" s="9">
        <f t="shared" si="99"/>
        <v>3356894</v>
      </c>
      <c r="BP219" s="8">
        <v>0</v>
      </c>
      <c r="BQ219" s="8">
        <v>0</v>
      </c>
      <c r="BR219" s="8">
        <v>0</v>
      </c>
      <c r="BS219" s="8">
        <v>0</v>
      </c>
      <c r="BT219" s="8">
        <v>4855</v>
      </c>
      <c r="BU219" s="8">
        <v>16608</v>
      </c>
      <c r="BV219" s="8">
        <v>18327</v>
      </c>
      <c r="BW219" s="8">
        <v>31725</v>
      </c>
      <c r="BX219" s="8">
        <v>79097</v>
      </c>
      <c r="BY219" s="8">
        <v>79810</v>
      </c>
      <c r="BZ219" s="8">
        <v>497916</v>
      </c>
      <c r="CA219" s="8">
        <v>1481601</v>
      </c>
      <c r="CB219" s="9">
        <f t="shared" si="100"/>
        <v>1481601</v>
      </c>
      <c r="CC219" s="8">
        <v>0</v>
      </c>
      <c r="CD219" s="8">
        <v>0</v>
      </c>
      <c r="CE219" s="8">
        <v>48217</v>
      </c>
      <c r="CF219" s="8">
        <v>55119</v>
      </c>
      <c r="CG219" s="8">
        <v>64591</v>
      </c>
      <c r="CH219" s="8">
        <v>579531</v>
      </c>
      <c r="CI219" s="8">
        <v>669195</v>
      </c>
      <c r="CJ219" s="8">
        <v>780790</v>
      </c>
      <c r="CK219" s="8">
        <v>800536</v>
      </c>
      <c r="CL219" s="8">
        <v>884845</v>
      </c>
      <c r="CM219" s="8">
        <v>933338</v>
      </c>
      <c r="CN219" s="8">
        <v>1711194</v>
      </c>
      <c r="CO219" s="9">
        <f t="shared" si="101"/>
        <v>1711194</v>
      </c>
      <c r="CP219" s="8">
        <v>0</v>
      </c>
      <c r="CQ219" s="8">
        <v>7381</v>
      </c>
      <c r="CR219" s="8">
        <v>1527011</v>
      </c>
      <c r="CS219" s="8">
        <v>1566914</v>
      </c>
      <c r="CT219" s="8">
        <v>1566914</v>
      </c>
      <c r="CU219" s="8">
        <v>2110945</v>
      </c>
      <c r="CV219" s="8">
        <v>2112074</v>
      </c>
      <c r="CW219" s="8">
        <v>2159713</v>
      </c>
      <c r="CX219" s="8">
        <v>2257062</v>
      </c>
      <c r="CY219" s="8">
        <v>2396987</v>
      </c>
      <c r="CZ219" s="8">
        <v>2600195</v>
      </c>
      <c r="DA219" s="8">
        <v>3064709</v>
      </c>
      <c r="DB219" s="9">
        <f t="shared" si="102"/>
        <v>3064709</v>
      </c>
      <c r="DC219" s="8">
        <v>0</v>
      </c>
      <c r="DD219" s="8">
        <v>5639</v>
      </c>
      <c r="DE219" s="8">
        <v>7754</v>
      </c>
      <c r="DF219" s="8">
        <v>45496</v>
      </c>
      <c r="DG219" s="8">
        <v>72911</v>
      </c>
      <c r="DH219" s="8">
        <v>83782</v>
      </c>
      <c r="DI219" s="8">
        <v>322194</v>
      </c>
      <c r="DJ219" s="8">
        <v>340497</v>
      </c>
      <c r="DK219" s="8">
        <v>411919</v>
      </c>
      <c r="DL219" s="8">
        <v>478589</v>
      </c>
      <c r="DM219" s="8">
        <v>715630</v>
      </c>
      <c r="DN219" s="8">
        <v>2852841</v>
      </c>
      <c r="DO219" s="9">
        <f t="shared" si="103"/>
        <v>2852841</v>
      </c>
      <c r="DP219" s="8">
        <v>1523</v>
      </c>
      <c r="DQ219" s="8">
        <v>19095</v>
      </c>
      <c r="DR219" s="8">
        <v>35194</v>
      </c>
      <c r="DS219" s="8">
        <v>36924</v>
      </c>
      <c r="DT219" s="8">
        <v>41434</v>
      </c>
      <c r="DU219" s="8">
        <v>58089</v>
      </c>
      <c r="DV219" s="8">
        <v>70748</v>
      </c>
      <c r="DW219" s="8">
        <v>298304</v>
      </c>
      <c r="DX219" s="8">
        <v>354740</v>
      </c>
      <c r="DY219" s="8">
        <v>650782</v>
      </c>
      <c r="DZ219" s="8">
        <v>1937793</v>
      </c>
      <c r="EA219" s="8">
        <v>9273050</v>
      </c>
      <c r="EB219" s="9">
        <f t="shared" si="104"/>
        <v>9273050</v>
      </c>
      <c r="EC219" s="8">
        <v>0</v>
      </c>
      <c r="ED219" s="8">
        <v>8299</v>
      </c>
      <c r="EE219" s="8">
        <v>48789</v>
      </c>
      <c r="EF219" s="8">
        <v>99233</v>
      </c>
      <c r="EG219" s="8">
        <v>128431</v>
      </c>
      <c r="EH219" s="8">
        <v>424741</v>
      </c>
      <c r="EI219" s="8">
        <v>450985</v>
      </c>
      <c r="EJ219" s="8">
        <v>523195</v>
      </c>
      <c r="EK219" s="8">
        <v>605769</v>
      </c>
      <c r="EL219" s="8">
        <v>920024</v>
      </c>
      <c r="EM219" s="8">
        <v>1081853</v>
      </c>
      <c r="EN219" s="8">
        <v>2647553</v>
      </c>
      <c r="EO219" s="9">
        <f t="shared" si="105"/>
        <v>2647553</v>
      </c>
      <c r="EP219" s="8">
        <v>1500</v>
      </c>
      <c r="EQ219" s="8">
        <v>26722</v>
      </c>
      <c r="ER219" s="8">
        <v>45178</v>
      </c>
      <c r="ES219" s="8">
        <v>71699</v>
      </c>
      <c r="ET219" s="8">
        <v>95893</v>
      </c>
      <c r="EU219" s="8">
        <v>430896</v>
      </c>
      <c r="EV219" s="8">
        <v>674867</v>
      </c>
      <c r="EW219" s="8">
        <v>3644044</v>
      </c>
      <c r="EX219" s="8">
        <v>3735565</v>
      </c>
      <c r="EY219" s="8">
        <v>3778993</v>
      </c>
      <c r="EZ219" s="8">
        <v>3855428</v>
      </c>
      <c r="FA219" s="8">
        <v>4222833</v>
      </c>
      <c r="FB219" s="9">
        <f t="shared" si="106"/>
        <v>4222833</v>
      </c>
      <c r="FC219" s="8">
        <v>0</v>
      </c>
      <c r="FD219" s="8">
        <v>1560</v>
      </c>
      <c r="FE219" s="8">
        <v>17394</v>
      </c>
      <c r="FF219" s="8">
        <v>24950</v>
      </c>
      <c r="FG219" s="8">
        <v>31359</v>
      </c>
      <c r="FH219" s="8">
        <v>46109</v>
      </c>
      <c r="FI219" s="8">
        <v>60064</v>
      </c>
      <c r="FJ219" s="8"/>
      <c r="FK219" s="8"/>
      <c r="FL219" s="8"/>
      <c r="FM219" s="8"/>
      <c r="FN219" s="8"/>
      <c r="FO219" s="9">
        <f t="shared" si="107"/>
        <v>60064</v>
      </c>
    </row>
    <row r="220" spans="2:171" ht="14.25" customHeight="1" x14ac:dyDescent="0.3">
      <c r="B220" s="35" t="s">
        <v>72</v>
      </c>
      <c r="C220" s="8">
        <v>12028</v>
      </c>
      <c r="D220" s="8">
        <v>35270</v>
      </c>
      <c r="E220" s="8">
        <v>49157</v>
      </c>
      <c r="F220" s="8">
        <v>94603</v>
      </c>
      <c r="G220" s="8">
        <v>144502</v>
      </c>
      <c r="H220" s="8">
        <v>162045</v>
      </c>
      <c r="I220" s="8">
        <v>234731</v>
      </c>
      <c r="J220" s="8">
        <v>373030</v>
      </c>
      <c r="K220" s="8">
        <v>656272</v>
      </c>
      <c r="L220" s="8">
        <v>726664</v>
      </c>
      <c r="M220" s="8">
        <v>928946</v>
      </c>
      <c r="N220" s="8">
        <v>4908910</v>
      </c>
      <c r="O220" s="9">
        <f t="shared" si="95"/>
        <v>4908910</v>
      </c>
      <c r="P220" s="8">
        <v>20256</v>
      </c>
      <c r="Q220" s="8">
        <v>35618</v>
      </c>
      <c r="R220" s="8">
        <v>62277</v>
      </c>
      <c r="S220" s="8">
        <v>92123</v>
      </c>
      <c r="T220" s="8">
        <v>114863</v>
      </c>
      <c r="U220" s="8">
        <v>155458</v>
      </c>
      <c r="V220" s="8">
        <v>353960</v>
      </c>
      <c r="W220" s="8">
        <v>679148</v>
      </c>
      <c r="X220" s="8">
        <v>1378263</v>
      </c>
      <c r="Y220" s="8">
        <v>1793489</v>
      </c>
      <c r="Z220" s="8">
        <v>2283342</v>
      </c>
      <c r="AA220" s="8">
        <v>7375959</v>
      </c>
      <c r="AB220" s="9">
        <f t="shared" si="96"/>
        <v>7375959</v>
      </c>
      <c r="AC220" s="8">
        <v>10777</v>
      </c>
      <c r="AD220" s="8">
        <v>50200</v>
      </c>
      <c r="AE220" s="8">
        <v>82689</v>
      </c>
      <c r="AF220" s="8">
        <v>117115</v>
      </c>
      <c r="AG220" s="8">
        <v>166620</v>
      </c>
      <c r="AH220" s="8">
        <v>187172</v>
      </c>
      <c r="AI220" s="8">
        <v>229255</v>
      </c>
      <c r="AJ220" s="8">
        <v>239783</v>
      </c>
      <c r="AK220" s="8">
        <v>278882</v>
      </c>
      <c r="AL220" s="8">
        <v>386091</v>
      </c>
      <c r="AM220" s="8">
        <v>398620</v>
      </c>
      <c r="AN220" s="8">
        <v>1021597</v>
      </c>
      <c r="AO220" s="9">
        <f t="shared" si="97"/>
        <v>1021597</v>
      </c>
      <c r="AP220" s="8">
        <v>4790</v>
      </c>
      <c r="AQ220" s="8">
        <v>11038</v>
      </c>
      <c r="AR220" s="8">
        <v>21207</v>
      </c>
      <c r="AS220" s="8">
        <v>39084</v>
      </c>
      <c r="AT220" s="8">
        <v>46473</v>
      </c>
      <c r="AU220" s="8">
        <v>57282</v>
      </c>
      <c r="AV220" s="8">
        <v>130770</v>
      </c>
      <c r="AW220" s="8">
        <v>166989</v>
      </c>
      <c r="AX220" s="8">
        <v>212133</v>
      </c>
      <c r="AY220" s="8">
        <v>310768</v>
      </c>
      <c r="AZ220" s="8">
        <v>319021</v>
      </c>
      <c r="BA220" s="8">
        <v>682951</v>
      </c>
      <c r="BB220" s="9">
        <f t="shared" si="98"/>
        <v>682951</v>
      </c>
      <c r="BC220" s="8">
        <v>13906</v>
      </c>
      <c r="BD220" s="8">
        <v>25114</v>
      </c>
      <c r="BE220" s="8">
        <v>33901</v>
      </c>
      <c r="BF220" s="8">
        <v>45503</v>
      </c>
      <c r="BG220" s="8">
        <v>58118</v>
      </c>
      <c r="BH220" s="8">
        <v>66687</v>
      </c>
      <c r="BI220" s="8">
        <v>92739</v>
      </c>
      <c r="BJ220" s="8">
        <v>120523</v>
      </c>
      <c r="BK220" s="8">
        <v>152588</v>
      </c>
      <c r="BL220" s="8">
        <v>170304</v>
      </c>
      <c r="BM220" s="8">
        <v>633970</v>
      </c>
      <c r="BN220" s="8">
        <v>2006717</v>
      </c>
      <c r="BO220" s="9">
        <f t="shared" si="99"/>
        <v>2006717</v>
      </c>
      <c r="BP220" s="8">
        <v>0</v>
      </c>
      <c r="BQ220" s="8">
        <v>0</v>
      </c>
      <c r="BR220" s="8">
        <v>0</v>
      </c>
      <c r="BS220" s="8">
        <v>0</v>
      </c>
      <c r="BT220" s="8">
        <v>7102</v>
      </c>
      <c r="BU220" s="8">
        <v>7102</v>
      </c>
      <c r="BV220" s="8">
        <v>7102</v>
      </c>
      <c r="BW220" s="8">
        <v>7102</v>
      </c>
      <c r="BX220" s="8">
        <v>8023</v>
      </c>
      <c r="BY220" s="8">
        <v>42281</v>
      </c>
      <c r="BZ220" s="8">
        <v>46328</v>
      </c>
      <c r="CA220" s="8">
        <v>1092365</v>
      </c>
      <c r="CB220" s="9">
        <f t="shared" si="100"/>
        <v>1092365</v>
      </c>
      <c r="CC220" s="8">
        <v>0</v>
      </c>
      <c r="CD220" s="8">
        <v>0</v>
      </c>
      <c r="CE220" s="8">
        <v>1594</v>
      </c>
      <c r="CF220" s="8">
        <v>3036</v>
      </c>
      <c r="CG220" s="8">
        <v>1363275</v>
      </c>
      <c r="CH220" s="8">
        <v>1379269</v>
      </c>
      <c r="CI220" s="8">
        <v>1415251</v>
      </c>
      <c r="CJ220" s="8">
        <v>1451574</v>
      </c>
      <c r="CK220" s="8">
        <v>2637848</v>
      </c>
      <c r="CL220" s="8">
        <v>3075460</v>
      </c>
      <c r="CM220" s="8">
        <v>3151101</v>
      </c>
      <c r="CN220" s="8">
        <v>13300198</v>
      </c>
      <c r="CO220" s="9">
        <f t="shared" si="101"/>
        <v>13300198</v>
      </c>
      <c r="CP220" s="8">
        <v>0</v>
      </c>
      <c r="CQ220" s="8">
        <v>12437</v>
      </c>
      <c r="CR220" s="8">
        <v>43787</v>
      </c>
      <c r="CS220" s="8">
        <v>117499</v>
      </c>
      <c r="CT220" s="8">
        <v>215474</v>
      </c>
      <c r="CU220" s="8">
        <v>230527</v>
      </c>
      <c r="CV220" s="8">
        <v>305856</v>
      </c>
      <c r="CW220" s="8">
        <v>385789</v>
      </c>
      <c r="CX220" s="8">
        <v>406468</v>
      </c>
      <c r="CY220" s="8">
        <v>715923</v>
      </c>
      <c r="CZ220" s="8">
        <v>1081760</v>
      </c>
      <c r="DA220" s="8">
        <v>3362618</v>
      </c>
      <c r="DB220" s="9">
        <f t="shared" si="102"/>
        <v>3362618</v>
      </c>
      <c r="DC220" s="8">
        <v>570</v>
      </c>
      <c r="DD220" s="8">
        <v>44576</v>
      </c>
      <c r="DE220" s="8">
        <v>109629</v>
      </c>
      <c r="DF220" s="8">
        <v>122124</v>
      </c>
      <c r="DG220" s="8">
        <v>125104</v>
      </c>
      <c r="DH220" s="8">
        <v>135683</v>
      </c>
      <c r="DI220" s="8">
        <v>147151</v>
      </c>
      <c r="DJ220" s="8">
        <v>178266</v>
      </c>
      <c r="DK220" s="8">
        <v>198390</v>
      </c>
      <c r="DL220" s="8">
        <v>307554</v>
      </c>
      <c r="DM220" s="8">
        <v>521602</v>
      </c>
      <c r="DN220" s="8">
        <v>2128369</v>
      </c>
      <c r="DO220" s="9">
        <f t="shared" si="103"/>
        <v>2128369</v>
      </c>
      <c r="DP220" s="8">
        <v>1082</v>
      </c>
      <c r="DQ220" s="8">
        <v>15001</v>
      </c>
      <c r="DR220" s="8">
        <v>32466</v>
      </c>
      <c r="DS220" s="8">
        <v>61168</v>
      </c>
      <c r="DT220" s="8">
        <v>132322</v>
      </c>
      <c r="DU220" s="8">
        <v>259890</v>
      </c>
      <c r="DV220" s="8">
        <v>387807</v>
      </c>
      <c r="DW220" s="8">
        <v>584771</v>
      </c>
      <c r="DX220" s="8">
        <v>691465</v>
      </c>
      <c r="DY220" s="8">
        <v>985711</v>
      </c>
      <c r="DZ220" s="8">
        <v>1236625</v>
      </c>
      <c r="EA220" s="8">
        <v>3895471</v>
      </c>
      <c r="EB220" s="9">
        <f t="shared" si="104"/>
        <v>3895471</v>
      </c>
      <c r="EC220" s="8">
        <v>6192</v>
      </c>
      <c r="ED220" s="8">
        <v>42350</v>
      </c>
      <c r="EE220" s="8">
        <v>63836</v>
      </c>
      <c r="EF220" s="8">
        <v>83398</v>
      </c>
      <c r="EG220" s="8">
        <v>108386</v>
      </c>
      <c r="EH220" s="8">
        <v>115916</v>
      </c>
      <c r="EI220" s="8">
        <v>163353</v>
      </c>
      <c r="EJ220" s="8">
        <v>329852</v>
      </c>
      <c r="EK220" s="8">
        <v>430203</v>
      </c>
      <c r="EL220" s="8">
        <v>614426</v>
      </c>
      <c r="EM220" s="8">
        <v>933622</v>
      </c>
      <c r="EN220" s="8">
        <v>1957443</v>
      </c>
      <c r="EO220" s="9">
        <f t="shared" si="105"/>
        <v>1957443</v>
      </c>
      <c r="EP220" s="8">
        <v>8113</v>
      </c>
      <c r="EQ220" s="8">
        <v>30124</v>
      </c>
      <c r="ER220" s="8">
        <v>57469</v>
      </c>
      <c r="ES220" s="8">
        <v>89032</v>
      </c>
      <c r="ET220" s="8">
        <v>267817</v>
      </c>
      <c r="EU220" s="8">
        <v>296479</v>
      </c>
      <c r="EV220" s="8">
        <v>320054</v>
      </c>
      <c r="EW220" s="8">
        <v>351608</v>
      </c>
      <c r="EX220" s="8">
        <v>588900</v>
      </c>
      <c r="EY220" s="8">
        <v>1172604</v>
      </c>
      <c r="EZ220" s="8">
        <v>1504491</v>
      </c>
      <c r="FA220" s="8">
        <v>2181292</v>
      </c>
      <c r="FB220" s="9">
        <f t="shared" si="106"/>
        <v>2181292</v>
      </c>
      <c r="FC220" s="8">
        <v>22806</v>
      </c>
      <c r="FD220" s="8">
        <v>45630</v>
      </c>
      <c r="FE220" s="8">
        <v>76863</v>
      </c>
      <c r="FF220" s="8">
        <v>105551</v>
      </c>
      <c r="FG220" s="8">
        <v>142445</v>
      </c>
      <c r="FH220" s="8">
        <v>152728</v>
      </c>
      <c r="FI220" s="8">
        <v>176420</v>
      </c>
      <c r="FJ220" s="8"/>
      <c r="FK220" s="8"/>
      <c r="FL220" s="8"/>
      <c r="FM220" s="8"/>
      <c r="FN220" s="8"/>
      <c r="FO220" s="9">
        <f t="shared" si="107"/>
        <v>176420</v>
      </c>
    </row>
    <row r="221" spans="2:171" ht="14.25" customHeight="1" x14ac:dyDescent="0.3">
      <c r="B221" s="35" t="s">
        <v>73</v>
      </c>
      <c r="C221" s="8">
        <v>230608</v>
      </c>
      <c r="D221" s="8">
        <v>362028</v>
      </c>
      <c r="E221" s="8">
        <v>433005</v>
      </c>
      <c r="F221" s="8">
        <v>663539</v>
      </c>
      <c r="G221" s="8">
        <v>452826</v>
      </c>
      <c r="H221" s="8">
        <v>525284</v>
      </c>
      <c r="I221" s="8">
        <v>837578</v>
      </c>
      <c r="J221" s="8">
        <v>1036385</v>
      </c>
      <c r="K221" s="8">
        <v>1244457</v>
      </c>
      <c r="L221" s="8">
        <v>1537664</v>
      </c>
      <c r="M221" s="8">
        <v>1780569</v>
      </c>
      <c r="N221" s="8">
        <v>2674377</v>
      </c>
      <c r="O221" s="9">
        <f t="shared" si="95"/>
        <v>2674377</v>
      </c>
      <c r="P221" s="8">
        <v>59851</v>
      </c>
      <c r="Q221" s="8">
        <v>669372</v>
      </c>
      <c r="R221" s="8">
        <v>1234656</v>
      </c>
      <c r="S221" s="8">
        <v>1517226</v>
      </c>
      <c r="T221" s="8">
        <v>1796326</v>
      </c>
      <c r="U221" s="8">
        <v>2122578</v>
      </c>
      <c r="V221" s="8">
        <v>2173081</v>
      </c>
      <c r="W221" s="8">
        <v>2328791</v>
      </c>
      <c r="X221" s="8">
        <v>2031622</v>
      </c>
      <c r="Y221" s="8">
        <v>2554752</v>
      </c>
      <c r="Z221" s="8">
        <v>3178596</v>
      </c>
      <c r="AA221" s="8">
        <v>8615906</v>
      </c>
      <c r="AB221" s="9">
        <f t="shared" si="96"/>
        <v>8615906</v>
      </c>
      <c r="AC221" s="8">
        <v>102245</v>
      </c>
      <c r="AD221" s="8">
        <v>153978</v>
      </c>
      <c r="AE221" s="8">
        <v>547240</v>
      </c>
      <c r="AF221" s="8">
        <v>982628</v>
      </c>
      <c r="AG221" s="8">
        <v>1146481</v>
      </c>
      <c r="AH221" s="8">
        <v>1608782</v>
      </c>
      <c r="AI221" s="8">
        <v>1683480</v>
      </c>
      <c r="AJ221" s="8">
        <v>1766751</v>
      </c>
      <c r="AK221" s="8">
        <v>1887329</v>
      </c>
      <c r="AL221" s="8">
        <v>2079964</v>
      </c>
      <c r="AM221" s="8">
        <v>2373530</v>
      </c>
      <c r="AN221" s="8">
        <v>4007726</v>
      </c>
      <c r="AO221" s="9">
        <f t="shared" si="97"/>
        <v>4007726</v>
      </c>
      <c r="AP221" s="8">
        <v>27100</v>
      </c>
      <c r="AQ221" s="8">
        <v>52628</v>
      </c>
      <c r="AR221" s="8">
        <v>155421</v>
      </c>
      <c r="AS221" s="8">
        <v>206447</v>
      </c>
      <c r="AT221" s="8">
        <v>282477</v>
      </c>
      <c r="AU221" s="8">
        <v>313709</v>
      </c>
      <c r="AV221" s="8">
        <v>385199</v>
      </c>
      <c r="AW221" s="8">
        <v>453829</v>
      </c>
      <c r="AX221" s="8">
        <v>1337543</v>
      </c>
      <c r="AY221" s="8">
        <v>1723411</v>
      </c>
      <c r="AZ221" s="8">
        <v>2368829</v>
      </c>
      <c r="BA221" s="8">
        <v>3482419</v>
      </c>
      <c r="BB221" s="9">
        <f t="shared" si="98"/>
        <v>3482419</v>
      </c>
      <c r="BC221" s="8">
        <v>210920</v>
      </c>
      <c r="BD221" s="8">
        <v>304513</v>
      </c>
      <c r="BE221" s="8">
        <v>556641</v>
      </c>
      <c r="BF221" s="8">
        <v>681720</v>
      </c>
      <c r="BG221" s="8">
        <v>1101235</v>
      </c>
      <c r="BH221" s="8">
        <v>1176849</v>
      </c>
      <c r="BI221" s="8">
        <v>1354665</v>
      </c>
      <c r="BJ221" s="8">
        <v>1471230</v>
      </c>
      <c r="BK221" s="8">
        <v>1567114</v>
      </c>
      <c r="BL221" s="8">
        <v>1940608</v>
      </c>
      <c r="BM221" s="8">
        <v>2814553</v>
      </c>
      <c r="BN221" s="8">
        <v>7122408</v>
      </c>
      <c r="BO221" s="9">
        <f t="shared" si="99"/>
        <v>7122408</v>
      </c>
      <c r="BP221" s="8">
        <v>63006</v>
      </c>
      <c r="BQ221" s="8">
        <v>82583</v>
      </c>
      <c r="BR221" s="8">
        <v>127391</v>
      </c>
      <c r="BS221" s="8">
        <v>130922</v>
      </c>
      <c r="BT221" s="8">
        <v>153208</v>
      </c>
      <c r="BU221" s="8">
        <v>164751</v>
      </c>
      <c r="BV221" s="8">
        <v>176886</v>
      </c>
      <c r="BW221" s="8">
        <v>179291</v>
      </c>
      <c r="BX221" s="8">
        <v>181243</v>
      </c>
      <c r="BY221" s="8">
        <v>342653</v>
      </c>
      <c r="BZ221" s="8">
        <v>490305</v>
      </c>
      <c r="CA221" s="8">
        <v>6266926</v>
      </c>
      <c r="CB221" s="9">
        <f t="shared" si="100"/>
        <v>6266926</v>
      </c>
      <c r="CC221" s="8">
        <v>117575</v>
      </c>
      <c r="CD221" s="8">
        <v>117575</v>
      </c>
      <c r="CE221" s="8">
        <v>118325</v>
      </c>
      <c r="CF221" s="8">
        <v>189023</v>
      </c>
      <c r="CG221" s="8">
        <v>175987</v>
      </c>
      <c r="CH221" s="8">
        <v>241204</v>
      </c>
      <c r="CI221" s="8">
        <v>358462</v>
      </c>
      <c r="CJ221" s="8">
        <v>415715</v>
      </c>
      <c r="CK221" s="8">
        <v>566590</v>
      </c>
      <c r="CL221" s="8">
        <v>607005</v>
      </c>
      <c r="CM221" s="8">
        <v>611408</v>
      </c>
      <c r="CN221" s="8">
        <v>1567539</v>
      </c>
      <c r="CO221" s="9">
        <f t="shared" si="101"/>
        <v>1567539</v>
      </c>
      <c r="CP221" s="8">
        <v>20013</v>
      </c>
      <c r="CQ221" s="8">
        <v>55413</v>
      </c>
      <c r="CR221" s="8">
        <v>81204</v>
      </c>
      <c r="CS221" s="8">
        <v>232977</v>
      </c>
      <c r="CT221" s="8">
        <v>268054</v>
      </c>
      <c r="CU221" s="8">
        <v>301141</v>
      </c>
      <c r="CV221" s="8">
        <v>309358</v>
      </c>
      <c r="CW221" s="8">
        <v>333993</v>
      </c>
      <c r="CX221" s="8">
        <v>334537</v>
      </c>
      <c r="CY221" s="8">
        <v>336810</v>
      </c>
      <c r="CZ221" s="8">
        <v>977230</v>
      </c>
      <c r="DA221" s="8">
        <v>3058274</v>
      </c>
      <c r="DB221" s="9">
        <f t="shared" si="102"/>
        <v>3058274</v>
      </c>
      <c r="DC221" s="8">
        <v>58652</v>
      </c>
      <c r="DD221" s="8">
        <v>69688</v>
      </c>
      <c r="DE221" s="8">
        <v>74440</v>
      </c>
      <c r="DF221" s="8">
        <v>135222</v>
      </c>
      <c r="DG221" s="8">
        <v>206604</v>
      </c>
      <c r="DH221" s="8">
        <v>439533</v>
      </c>
      <c r="DI221" s="8">
        <v>449847</v>
      </c>
      <c r="DJ221" s="8">
        <v>546014</v>
      </c>
      <c r="DK221" s="8">
        <v>578044</v>
      </c>
      <c r="DL221" s="8">
        <v>642029</v>
      </c>
      <c r="DM221" s="8">
        <v>1087246</v>
      </c>
      <c r="DN221" s="8">
        <v>4531877</v>
      </c>
      <c r="DO221" s="9">
        <f t="shared" si="103"/>
        <v>4531877</v>
      </c>
      <c r="DP221" s="8">
        <v>0</v>
      </c>
      <c r="DQ221" s="8">
        <v>2765</v>
      </c>
      <c r="DR221" s="8">
        <v>141639</v>
      </c>
      <c r="DS221" s="8">
        <v>153789</v>
      </c>
      <c r="DT221" s="8">
        <v>802074</v>
      </c>
      <c r="DU221" s="8">
        <v>1178190</v>
      </c>
      <c r="DV221" s="8">
        <v>1483319</v>
      </c>
      <c r="DW221" s="8">
        <v>1614306</v>
      </c>
      <c r="DX221" s="8">
        <v>1690079</v>
      </c>
      <c r="DY221" s="8">
        <v>1754631</v>
      </c>
      <c r="DZ221" s="8">
        <v>1799088</v>
      </c>
      <c r="EA221" s="8">
        <v>2436982</v>
      </c>
      <c r="EB221" s="9">
        <f t="shared" si="104"/>
        <v>2436982</v>
      </c>
      <c r="EC221" s="8">
        <v>18200</v>
      </c>
      <c r="ED221" s="8">
        <v>39497</v>
      </c>
      <c r="EE221" s="8">
        <v>161475</v>
      </c>
      <c r="EF221" s="8">
        <v>225749</v>
      </c>
      <c r="EG221" s="8">
        <v>287536</v>
      </c>
      <c r="EH221" s="8">
        <v>348720</v>
      </c>
      <c r="EI221" s="8">
        <v>545895</v>
      </c>
      <c r="EJ221" s="8">
        <v>1137158</v>
      </c>
      <c r="EK221" s="8">
        <v>1506925</v>
      </c>
      <c r="EL221" s="8">
        <v>1890623</v>
      </c>
      <c r="EM221" s="8">
        <v>2418096</v>
      </c>
      <c r="EN221" s="8">
        <v>3760736</v>
      </c>
      <c r="EO221" s="9">
        <f t="shared" si="105"/>
        <v>3760736</v>
      </c>
      <c r="EP221" s="8">
        <v>6797</v>
      </c>
      <c r="EQ221" s="8">
        <v>61750</v>
      </c>
      <c r="ER221" s="8">
        <v>143859</v>
      </c>
      <c r="ES221" s="8">
        <v>188339</v>
      </c>
      <c r="ET221" s="8">
        <v>205705</v>
      </c>
      <c r="EU221" s="8">
        <v>220600</v>
      </c>
      <c r="EV221" s="8">
        <v>258805</v>
      </c>
      <c r="EW221" s="8">
        <v>318712</v>
      </c>
      <c r="EX221" s="8">
        <v>599288</v>
      </c>
      <c r="EY221" s="8">
        <v>1218406</v>
      </c>
      <c r="EZ221" s="8">
        <v>1534764</v>
      </c>
      <c r="FA221" s="8">
        <v>2600071</v>
      </c>
      <c r="FB221" s="9">
        <f t="shared" si="106"/>
        <v>2600071</v>
      </c>
      <c r="FC221" s="8">
        <v>8358</v>
      </c>
      <c r="FD221" s="8">
        <v>10858</v>
      </c>
      <c r="FE221" s="8">
        <v>27222</v>
      </c>
      <c r="FF221" s="8">
        <v>35288</v>
      </c>
      <c r="FG221" s="8">
        <v>54877</v>
      </c>
      <c r="FH221" s="8">
        <v>58709</v>
      </c>
      <c r="FI221" s="8">
        <v>170881</v>
      </c>
      <c r="FJ221" s="8"/>
      <c r="FK221" s="8"/>
      <c r="FL221" s="8"/>
      <c r="FM221" s="8"/>
      <c r="FN221" s="8"/>
      <c r="FO221" s="9">
        <f t="shared" si="107"/>
        <v>170881</v>
      </c>
    </row>
    <row r="222" spans="2:171" ht="14.25" customHeight="1" x14ac:dyDescent="0.3">
      <c r="B222" s="35" t="s">
        <v>74</v>
      </c>
      <c r="C222" s="8">
        <v>260</v>
      </c>
      <c r="D222" s="8">
        <v>1204</v>
      </c>
      <c r="E222" s="8">
        <v>3179</v>
      </c>
      <c r="F222" s="8">
        <v>9454</v>
      </c>
      <c r="G222" s="8">
        <v>10103</v>
      </c>
      <c r="H222" s="8">
        <v>11196</v>
      </c>
      <c r="I222" s="8">
        <v>12027</v>
      </c>
      <c r="J222" s="8">
        <v>17309</v>
      </c>
      <c r="K222" s="8">
        <v>54797</v>
      </c>
      <c r="L222" s="8">
        <v>67876</v>
      </c>
      <c r="M222" s="8">
        <v>72212</v>
      </c>
      <c r="N222" s="8">
        <v>683346</v>
      </c>
      <c r="O222" s="9">
        <f t="shared" si="95"/>
        <v>683346</v>
      </c>
      <c r="P222" s="8">
        <v>0</v>
      </c>
      <c r="Q222" s="8">
        <v>631</v>
      </c>
      <c r="R222" s="8">
        <v>1269</v>
      </c>
      <c r="S222" s="8">
        <v>13218</v>
      </c>
      <c r="T222" s="8">
        <v>16012</v>
      </c>
      <c r="U222" s="8">
        <v>95817</v>
      </c>
      <c r="V222" s="8">
        <v>155934</v>
      </c>
      <c r="W222" s="8">
        <v>225165</v>
      </c>
      <c r="X222" s="8">
        <v>626499</v>
      </c>
      <c r="Y222" s="8">
        <v>647640</v>
      </c>
      <c r="Z222" s="8">
        <v>826147</v>
      </c>
      <c r="AA222" s="8">
        <v>5147151</v>
      </c>
      <c r="AB222" s="9">
        <f t="shared" si="96"/>
        <v>5147151</v>
      </c>
      <c r="AC222" s="8">
        <v>355</v>
      </c>
      <c r="AD222" s="8">
        <v>2751</v>
      </c>
      <c r="AE222" s="8">
        <v>3539</v>
      </c>
      <c r="AF222" s="8">
        <v>4688</v>
      </c>
      <c r="AG222" s="8">
        <v>7035</v>
      </c>
      <c r="AH222" s="8">
        <v>9186</v>
      </c>
      <c r="AI222" s="8">
        <v>9935</v>
      </c>
      <c r="AJ222" s="8">
        <v>18251</v>
      </c>
      <c r="AK222" s="8">
        <v>29491</v>
      </c>
      <c r="AL222" s="8">
        <v>54276</v>
      </c>
      <c r="AM222" s="8">
        <v>57655</v>
      </c>
      <c r="AN222" s="8">
        <v>1233125</v>
      </c>
      <c r="AO222" s="9">
        <f t="shared" si="97"/>
        <v>1233125</v>
      </c>
      <c r="AP222" s="8">
        <v>933</v>
      </c>
      <c r="AQ222" s="8">
        <v>2104</v>
      </c>
      <c r="AR222" s="8">
        <v>13660</v>
      </c>
      <c r="AS222" s="8">
        <v>13753</v>
      </c>
      <c r="AT222" s="8">
        <v>24237</v>
      </c>
      <c r="AU222" s="8">
        <v>30260</v>
      </c>
      <c r="AV222" s="8">
        <v>35384</v>
      </c>
      <c r="AW222" s="8">
        <v>37397</v>
      </c>
      <c r="AX222" s="8">
        <v>43140</v>
      </c>
      <c r="AY222" s="8">
        <v>48430</v>
      </c>
      <c r="AZ222" s="8">
        <v>48430</v>
      </c>
      <c r="BA222" s="8">
        <v>52962</v>
      </c>
      <c r="BB222" s="9">
        <f t="shared" si="98"/>
        <v>52962</v>
      </c>
      <c r="BC222" s="8">
        <v>109</v>
      </c>
      <c r="BD222" s="8">
        <v>6814</v>
      </c>
      <c r="BE222" s="8">
        <v>7669</v>
      </c>
      <c r="BF222" s="8">
        <v>8343</v>
      </c>
      <c r="BG222" s="8">
        <v>14245</v>
      </c>
      <c r="BH222" s="8">
        <v>16401</v>
      </c>
      <c r="BI222" s="8">
        <v>17065</v>
      </c>
      <c r="BJ222" s="8">
        <v>23777</v>
      </c>
      <c r="BK222" s="8">
        <v>24037</v>
      </c>
      <c r="BL222" s="8">
        <v>24615</v>
      </c>
      <c r="BM222" s="8">
        <v>46947</v>
      </c>
      <c r="BN222" s="8">
        <v>2289944</v>
      </c>
      <c r="BO222" s="9">
        <f t="shared" si="99"/>
        <v>2289944</v>
      </c>
      <c r="BP222" s="8">
        <v>0</v>
      </c>
      <c r="BQ222" s="8">
        <v>0</v>
      </c>
      <c r="BR222" s="8">
        <v>0</v>
      </c>
      <c r="BS222" s="8">
        <v>0</v>
      </c>
      <c r="BT222" s="8">
        <v>0</v>
      </c>
      <c r="BU222" s="8">
        <v>0</v>
      </c>
      <c r="BV222" s="8">
        <v>175775</v>
      </c>
      <c r="BW222" s="8">
        <v>211674</v>
      </c>
      <c r="BX222" s="8">
        <v>229008</v>
      </c>
      <c r="BY222" s="8">
        <v>446868</v>
      </c>
      <c r="BZ222" s="8">
        <v>469631</v>
      </c>
      <c r="CA222" s="8">
        <v>2866947</v>
      </c>
      <c r="CB222" s="9">
        <f t="shared" si="100"/>
        <v>2866947</v>
      </c>
      <c r="CC222" s="8">
        <v>0</v>
      </c>
      <c r="CD222" s="8">
        <v>0</v>
      </c>
      <c r="CE222" s="8">
        <v>0</v>
      </c>
      <c r="CF222" s="8">
        <v>0</v>
      </c>
      <c r="CG222" s="8">
        <v>0</v>
      </c>
      <c r="CH222" s="8">
        <v>28343</v>
      </c>
      <c r="CI222" s="8">
        <v>61489</v>
      </c>
      <c r="CJ222" s="8">
        <v>66765</v>
      </c>
      <c r="CK222" s="8">
        <v>81253</v>
      </c>
      <c r="CL222" s="8">
        <v>142682</v>
      </c>
      <c r="CM222" s="8">
        <v>186619</v>
      </c>
      <c r="CN222" s="8">
        <v>417710</v>
      </c>
      <c r="CO222" s="9">
        <f t="shared" si="101"/>
        <v>417710</v>
      </c>
      <c r="CP222" s="8">
        <v>2264</v>
      </c>
      <c r="CQ222" s="8">
        <v>2264</v>
      </c>
      <c r="CR222" s="8">
        <v>34516</v>
      </c>
      <c r="CS222" s="8">
        <v>56594</v>
      </c>
      <c r="CT222" s="8">
        <v>95757</v>
      </c>
      <c r="CU222" s="8">
        <v>111103</v>
      </c>
      <c r="CV222" s="8">
        <v>230103</v>
      </c>
      <c r="CW222" s="8">
        <v>370416</v>
      </c>
      <c r="CX222" s="8">
        <v>450509</v>
      </c>
      <c r="CY222" s="8">
        <v>470687</v>
      </c>
      <c r="CZ222" s="8">
        <v>471782</v>
      </c>
      <c r="DA222" s="8">
        <v>1328789</v>
      </c>
      <c r="DB222" s="9">
        <f t="shared" si="102"/>
        <v>1328789</v>
      </c>
      <c r="DC222" s="8">
        <v>0</v>
      </c>
      <c r="DD222" s="8">
        <v>0</v>
      </c>
      <c r="DE222" s="8">
        <v>5329</v>
      </c>
      <c r="DF222" s="8">
        <v>7363</v>
      </c>
      <c r="DG222" s="8">
        <v>25619</v>
      </c>
      <c r="DH222" s="8">
        <v>40656</v>
      </c>
      <c r="DI222" s="8">
        <v>60500</v>
      </c>
      <c r="DJ222" s="8">
        <v>82486</v>
      </c>
      <c r="DK222" s="8">
        <v>126031</v>
      </c>
      <c r="DL222" s="8">
        <v>177584</v>
      </c>
      <c r="DM222" s="8">
        <v>237267</v>
      </c>
      <c r="DN222" s="8">
        <v>1270696</v>
      </c>
      <c r="DO222" s="9">
        <f t="shared" si="103"/>
        <v>1270696</v>
      </c>
      <c r="DP222" s="8">
        <v>2392</v>
      </c>
      <c r="DQ222" s="8">
        <v>45093</v>
      </c>
      <c r="DR222" s="8">
        <v>92720</v>
      </c>
      <c r="DS222" s="8">
        <v>90373</v>
      </c>
      <c r="DT222" s="8">
        <v>115541</v>
      </c>
      <c r="DU222" s="8">
        <v>131016</v>
      </c>
      <c r="DV222" s="8">
        <v>368998</v>
      </c>
      <c r="DW222" s="8">
        <v>382120</v>
      </c>
      <c r="DX222" s="8">
        <v>395997</v>
      </c>
      <c r="DY222" s="8">
        <v>434968</v>
      </c>
      <c r="DZ222" s="8">
        <v>448933</v>
      </c>
      <c r="EA222" s="8">
        <v>689699</v>
      </c>
      <c r="EB222" s="9">
        <f t="shared" si="104"/>
        <v>689699</v>
      </c>
      <c r="EC222" s="8">
        <v>14161</v>
      </c>
      <c r="ED222" s="8">
        <v>16275</v>
      </c>
      <c r="EE222" s="8">
        <v>31248</v>
      </c>
      <c r="EF222" s="8">
        <v>35563</v>
      </c>
      <c r="EG222" s="8">
        <v>76561</v>
      </c>
      <c r="EH222" s="8">
        <v>137736</v>
      </c>
      <c r="EI222" s="8">
        <v>159017</v>
      </c>
      <c r="EJ222" s="8">
        <v>290278</v>
      </c>
      <c r="EK222" s="8">
        <v>319719</v>
      </c>
      <c r="EL222" s="8">
        <v>390413</v>
      </c>
      <c r="EM222" s="8">
        <v>426416</v>
      </c>
      <c r="EN222" s="8">
        <v>2272947</v>
      </c>
      <c r="EO222" s="9">
        <f t="shared" si="105"/>
        <v>2272947</v>
      </c>
      <c r="EP222" s="8">
        <v>11558</v>
      </c>
      <c r="EQ222" s="8">
        <v>20070</v>
      </c>
      <c r="ER222" s="8">
        <v>39199</v>
      </c>
      <c r="ES222" s="8">
        <v>57574</v>
      </c>
      <c r="ET222" s="8">
        <v>180363</v>
      </c>
      <c r="EU222" s="8">
        <v>180881</v>
      </c>
      <c r="EV222" s="8">
        <v>188795</v>
      </c>
      <c r="EW222" s="8">
        <v>210815</v>
      </c>
      <c r="EX222" s="8">
        <v>216616</v>
      </c>
      <c r="EY222" s="8">
        <v>864036</v>
      </c>
      <c r="EZ222" s="8">
        <v>1075742</v>
      </c>
      <c r="FA222" s="8">
        <v>1281918</v>
      </c>
      <c r="FB222" s="9">
        <f t="shared" si="106"/>
        <v>1281918</v>
      </c>
      <c r="FC222" s="8">
        <v>5126</v>
      </c>
      <c r="FD222" s="8">
        <v>7414</v>
      </c>
      <c r="FE222" s="8">
        <v>12240</v>
      </c>
      <c r="FF222" s="8">
        <v>160776</v>
      </c>
      <c r="FG222" s="8">
        <v>168752</v>
      </c>
      <c r="FH222" s="8">
        <v>306291</v>
      </c>
      <c r="FI222" s="8">
        <v>308126</v>
      </c>
      <c r="FJ222" s="8"/>
      <c r="FK222" s="8"/>
      <c r="FL222" s="8"/>
      <c r="FM222" s="8"/>
      <c r="FN222" s="8"/>
      <c r="FO222" s="9">
        <f t="shared" si="107"/>
        <v>308126</v>
      </c>
    </row>
    <row r="223" spans="2:171" ht="14.25" customHeight="1" thickBot="1" x14ac:dyDescent="0.35">
      <c r="B223" s="14" t="s">
        <v>86</v>
      </c>
      <c r="C223" s="16">
        <f t="shared" ref="C223:AH223" si="108">SUM(C191:C222)</f>
        <v>614304</v>
      </c>
      <c r="D223" s="16">
        <f t="shared" si="108"/>
        <v>1157568</v>
      </c>
      <c r="E223" s="16">
        <f t="shared" si="108"/>
        <v>2358520</v>
      </c>
      <c r="F223" s="16">
        <f t="shared" si="108"/>
        <v>3377736</v>
      </c>
      <c r="G223" s="16">
        <f t="shared" si="108"/>
        <v>3987570</v>
      </c>
      <c r="H223" s="16">
        <f t="shared" si="108"/>
        <v>5005074</v>
      </c>
      <c r="I223" s="16">
        <f t="shared" si="108"/>
        <v>6138351</v>
      </c>
      <c r="J223" s="16">
        <f t="shared" si="108"/>
        <v>7680143</v>
      </c>
      <c r="K223" s="16">
        <f t="shared" si="108"/>
        <v>9365007</v>
      </c>
      <c r="L223" s="16">
        <f t="shared" si="108"/>
        <v>10742979</v>
      </c>
      <c r="M223" s="16">
        <f t="shared" si="108"/>
        <v>13409725</v>
      </c>
      <c r="N223" s="16">
        <f t="shared" si="108"/>
        <v>72898964</v>
      </c>
      <c r="O223" s="16">
        <f t="shared" si="108"/>
        <v>72898964</v>
      </c>
      <c r="P223" s="16">
        <f t="shared" si="108"/>
        <v>481430</v>
      </c>
      <c r="Q223" s="16">
        <f t="shared" si="108"/>
        <v>1582387</v>
      </c>
      <c r="R223" s="16">
        <f t="shared" si="108"/>
        <v>2974589</v>
      </c>
      <c r="S223" s="16">
        <f t="shared" si="108"/>
        <v>4230554</v>
      </c>
      <c r="T223" s="16">
        <f t="shared" si="108"/>
        <v>5244344</v>
      </c>
      <c r="U223" s="16">
        <f t="shared" si="108"/>
        <v>7463953</v>
      </c>
      <c r="V223" s="16">
        <f t="shared" si="108"/>
        <v>9337742</v>
      </c>
      <c r="W223" s="16">
        <f t="shared" si="108"/>
        <v>12196665</v>
      </c>
      <c r="X223" s="16">
        <f t="shared" si="108"/>
        <v>16100997</v>
      </c>
      <c r="Y223" s="16">
        <f t="shared" si="108"/>
        <v>20408164</v>
      </c>
      <c r="Z223" s="16">
        <f t="shared" si="108"/>
        <v>27705693</v>
      </c>
      <c r="AA223" s="16">
        <f t="shared" si="108"/>
        <v>124833661</v>
      </c>
      <c r="AB223" s="16">
        <f t="shared" si="108"/>
        <v>124833661</v>
      </c>
      <c r="AC223" s="16">
        <f t="shared" si="108"/>
        <v>659429</v>
      </c>
      <c r="AD223" s="16">
        <f t="shared" si="108"/>
        <v>1341577</v>
      </c>
      <c r="AE223" s="16">
        <f t="shared" si="108"/>
        <v>2626960</v>
      </c>
      <c r="AF223" s="16">
        <f t="shared" si="108"/>
        <v>3721272</v>
      </c>
      <c r="AG223" s="16">
        <f t="shared" si="108"/>
        <v>6214932</v>
      </c>
      <c r="AH223" s="16">
        <f t="shared" si="108"/>
        <v>8682673</v>
      </c>
      <c r="AI223" s="16">
        <f t="shared" ref="AI223:BN223" si="109">SUM(AI191:AI222)</f>
        <v>13381066</v>
      </c>
      <c r="AJ223" s="16">
        <f t="shared" si="109"/>
        <v>15451272</v>
      </c>
      <c r="AK223" s="16">
        <f t="shared" si="109"/>
        <v>17719881</v>
      </c>
      <c r="AL223" s="16">
        <f t="shared" si="109"/>
        <v>20156901</v>
      </c>
      <c r="AM223" s="16">
        <f t="shared" si="109"/>
        <v>23729699</v>
      </c>
      <c r="AN223" s="16">
        <f t="shared" si="109"/>
        <v>43877091</v>
      </c>
      <c r="AO223" s="16">
        <f t="shared" si="109"/>
        <v>43877091</v>
      </c>
      <c r="AP223" s="16">
        <f t="shared" si="109"/>
        <v>326101</v>
      </c>
      <c r="AQ223" s="16">
        <f t="shared" si="109"/>
        <v>778948</v>
      </c>
      <c r="AR223" s="16">
        <f t="shared" si="109"/>
        <v>2160793</v>
      </c>
      <c r="AS223" s="16">
        <f t="shared" si="109"/>
        <v>4206506</v>
      </c>
      <c r="AT223" s="16">
        <f t="shared" si="109"/>
        <v>4481102</v>
      </c>
      <c r="AU223" s="16">
        <f t="shared" si="109"/>
        <v>5267430</v>
      </c>
      <c r="AV223" s="16">
        <f t="shared" si="109"/>
        <v>5985089</v>
      </c>
      <c r="AW223" s="16">
        <f t="shared" si="109"/>
        <v>6968135</v>
      </c>
      <c r="AX223" s="16">
        <f t="shared" si="109"/>
        <v>9072461</v>
      </c>
      <c r="AY223" s="16">
        <f t="shared" si="109"/>
        <v>10628577</v>
      </c>
      <c r="AZ223" s="16">
        <f t="shared" si="109"/>
        <v>15151848</v>
      </c>
      <c r="BA223" s="16">
        <f t="shared" si="109"/>
        <v>34374405</v>
      </c>
      <c r="BB223" s="16">
        <f t="shared" si="109"/>
        <v>34374405</v>
      </c>
      <c r="BC223" s="16">
        <f t="shared" si="109"/>
        <v>467175</v>
      </c>
      <c r="BD223" s="16">
        <f t="shared" si="109"/>
        <v>1210785</v>
      </c>
      <c r="BE223" s="16">
        <f t="shared" si="109"/>
        <v>3354338</v>
      </c>
      <c r="BF223" s="16">
        <f t="shared" si="109"/>
        <v>4370394</v>
      </c>
      <c r="BG223" s="16">
        <f t="shared" si="109"/>
        <v>5381455</v>
      </c>
      <c r="BH223" s="16">
        <f t="shared" si="109"/>
        <v>6758784</v>
      </c>
      <c r="BI223" s="16">
        <f t="shared" si="109"/>
        <v>7935622</v>
      </c>
      <c r="BJ223" s="16">
        <f t="shared" si="109"/>
        <v>8826490</v>
      </c>
      <c r="BK223" s="16">
        <f t="shared" si="109"/>
        <v>9858280</v>
      </c>
      <c r="BL223" s="16">
        <f t="shared" si="109"/>
        <v>13105065</v>
      </c>
      <c r="BM223" s="16">
        <f t="shared" si="109"/>
        <v>20352361</v>
      </c>
      <c r="BN223" s="16">
        <f t="shared" si="109"/>
        <v>111183940</v>
      </c>
      <c r="BO223" s="16">
        <f t="shared" ref="BO223:CT223" si="110">SUM(BO191:BO222)</f>
        <v>111183940</v>
      </c>
      <c r="BP223" s="16">
        <f t="shared" si="110"/>
        <v>92810</v>
      </c>
      <c r="BQ223" s="16">
        <f t="shared" si="110"/>
        <v>147118</v>
      </c>
      <c r="BR223" s="16">
        <f t="shared" si="110"/>
        <v>236717</v>
      </c>
      <c r="BS223" s="16">
        <f t="shared" si="110"/>
        <v>285063</v>
      </c>
      <c r="BT223" s="16">
        <f t="shared" si="110"/>
        <v>2558458</v>
      </c>
      <c r="BU223" s="16">
        <f t="shared" si="110"/>
        <v>4112285</v>
      </c>
      <c r="BV223" s="16">
        <f t="shared" si="110"/>
        <v>4828490</v>
      </c>
      <c r="BW223" s="16">
        <f t="shared" si="110"/>
        <v>6225261</v>
      </c>
      <c r="BX223" s="16">
        <f t="shared" si="110"/>
        <v>9028398</v>
      </c>
      <c r="BY223" s="16">
        <f t="shared" si="110"/>
        <v>11403251</v>
      </c>
      <c r="BZ223" s="16">
        <f t="shared" si="110"/>
        <v>20268537</v>
      </c>
      <c r="CA223" s="16">
        <f t="shared" si="110"/>
        <v>97373407</v>
      </c>
      <c r="CB223" s="16">
        <f t="shared" si="110"/>
        <v>97373407</v>
      </c>
      <c r="CC223" s="16">
        <f t="shared" si="110"/>
        <v>288256</v>
      </c>
      <c r="CD223" s="16">
        <f t="shared" si="110"/>
        <v>366934</v>
      </c>
      <c r="CE223" s="16">
        <f t="shared" si="110"/>
        <v>2157982</v>
      </c>
      <c r="CF223" s="16">
        <f t="shared" si="110"/>
        <v>3210545</v>
      </c>
      <c r="CG223" s="16">
        <f t="shared" si="110"/>
        <v>5098736</v>
      </c>
      <c r="CH223" s="16">
        <f t="shared" si="110"/>
        <v>13236527</v>
      </c>
      <c r="CI223" s="16">
        <f t="shared" si="110"/>
        <v>19656735</v>
      </c>
      <c r="CJ223" s="16">
        <f t="shared" si="110"/>
        <v>22575326</v>
      </c>
      <c r="CK223" s="16">
        <f t="shared" si="110"/>
        <v>26900413</v>
      </c>
      <c r="CL223" s="16">
        <f t="shared" si="110"/>
        <v>36437616</v>
      </c>
      <c r="CM223" s="16">
        <f t="shared" si="110"/>
        <v>62348495</v>
      </c>
      <c r="CN223" s="16">
        <f t="shared" si="110"/>
        <v>165421479</v>
      </c>
      <c r="CO223" s="16">
        <f t="shared" si="110"/>
        <v>165421479</v>
      </c>
      <c r="CP223" s="16">
        <f t="shared" si="110"/>
        <v>122500</v>
      </c>
      <c r="CQ223" s="16">
        <f t="shared" si="110"/>
        <v>606743</v>
      </c>
      <c r="CR223" s="16">
        <f t="shared" si="110"/>
        <v>2780483</v>
      </c>
      <c r="CS223" s="16">
        <f t="shared" si="110"/>
        <v>4107973</v>
      </c>
      <c r="CT223" s="16">
        <f t="shared" si="110"/>
        <v>5135162</v>
      </c>
      <c r="CU223" s="16">
        <f t="shared" ref="CU223:DZ223" si="111">SUM(CU191:CU222)</f>
        <v>9136541</v>
      </c>
      <c r="CV223" s="16">
        <f t="shared" si="111"/>
        <v>10425079</v>
      </c>
      <c r="CW223" s="16">
        <f t="shared" si="111"/>
        <v>23262766</v>
      </c>
      <c r="CX223" s="16">
        <f t="shared" si="111"/>
        <v>28274704</v>
      </c>
      <c r="CY223" s="16">
        <f t="shared" si="111"/>
        <v>32168322</v>
      </c>
      <c r="CZ223" s="16">
        <f t="shared" si="111"/>
        <v>43910038</v>
      </c>
      <c r="DA223" s="16">
        <f t="shared" si="111"/>
        <v>104576066</v>
      </c>
      <c r="DB223" s="16">
        <f t="shared" si="111"/>
        <v>104576066</v>
      </c>
      <c r="DC223" s="16">
        <f t="shared" si="111"/>
        <v>218701</v>
      </c>
      <c r="DD223" s="16">
        <f t="shared" si="111"/>
        <v>564485</v>
      </c>
      <c r="DE223" s="16">
        <f t="shared" si="111"/>
        <v>1187453</v>
      </c>
      <c r="DF223" s="16">
        <f t="shared" si="111"/>
        <v>1657597</v>
      </c>
      <c r="DG223" s="16">
        <f t="shared" si="111"/>
        <v>2115390</v>
      </c>
      <c r="DH223" s="16">
        <f t="shared" si="111"/>
        <v>2828589</v>
      </c>
      <c r="DI223" s="16">
        <f t="shared" si="111"/>
        <v>3614934</v>
      </c>
      <c r="DJ223" s="16">
        <f t="shared" si="111"/>
        <v>5010295</v>
      </c>
      <c r="DK223" s="16">
        <f t="shared" si="111"/>
        <v>6475361</v>
      </c>
      <c r="DL223" s="16">
        <f t="shared" si="111"/>
        <v>9059626</v>
      </c>
      <c r="DM223" s="16">
        <f t="shared" si="111"/>
        <v>16832408</v>
      </c>
      <c r="DN223" s="16">
        <f t="shared" si="111"/>
        <v>72541993</v>
      </c>
      <c r="DO223" s="16">
        <f t="shared" si="111"/>
        <v>72541993</v>
      </c>
      <c r="DP223" s="16">
        <f t="shared" si="111"/>
        <v>356030</v>
      </c>
      <c r="DQ223" s="16">
        <f t="shared" si="111"/>
        <v>669323</v>
      </c>
      <c r="DR223" s="16">
        <f t="shared" si="111"/>
        <v>1597818</v>
      </c>
      <c r="DS223" s="16">
        <f t="shared" si="111"/>
        <v>2037156</v>
      </c>
      <c r="DT223" s="16">
        <f t="shared" si="111"/>
        <v>3809679</v>
      </c>
      <c r="DU223" s="16">
        <f t="shared" si="111"/>
        <v>6858598</v>
      </c>
      <c r="DV223" s="16">
        <f t="shared" si="111"/>
        <v>11180397</v>
      </c>
      <c r="DW223" s="16">
        <f t="shared" si="111"/>
        <v>14446794</v>
      </c>
      <c r="DX223" s="16">
        <f t="shared" si="111"/>
        <v>18126116</v>
      </c>
      <c r="DY223" s="16">
        <f t="shared" si="111"/>
        <v>21645645</v>
      </c>
      <c r="DZ223" s="16">
        <f t="shared" si="111"/>
        <v>34403351</v>
      </c>
      <c r="EA223" s="16">
        <f t="shared" ref="EA223:FF223" si="112">SUM(EA191:EA222)</f>
        <v>87554411</v>
      </c>
      <c r="EB223" s="16">
        <f t="shared" si="112"/>
        <v>87554411</v>
      </c>
      <c r="EC223" s="16">
        <f t="shared" si="112"/>
        <v>437116</v>
      </c>
      <c r="ED223" s="16">
        <f t="shared" si="112"/>
        <v>968318</v>
      </c>
      <c r="EE223" s="16">
        <f t="shared" si="112"/>
        <v>1734480</v>
      </c>
      <c r="EF223" s="16">
        <f t="shared" si="112"/>
        <v>2443911</v>
      </c>
      <c r="EG223" s="16">
        <f t="shared" si="112"/>
        <v>3667058</v>
      </c>
      <c r="EH223" s="16">
        <f t="shared" si="112"/>
        <v>5800220</v>
      </c>
      <c r="EI223" s="16">
        <f t="shared" si="112"/>
        <v>7549390</v>
      </c>
      <c r="EJ223" s="16">
        <f t="shared" si="112"/>
        <v>10666566</v>
      </c>
      <c r="EK223" s="16">
        <f t="shared" si="112"/>
        <v>13335790</v>
      </c>
      <c r="EL223" s="16">
        <f t="shared" si="112"/>
        <v>17927799</v>
      </c>
      <c r="EM223" s="16">
        <f t="shared" si="112"/>
        <v>23686045</v>
      </c>
      <c r="EN223" s="16">
        <f t="shared" si="112"/>
        <v>47030736</v>
      </c>
      <c r="EO223" s="16">
        <f t="shared" si="112"/>
        <v>47030736</v>
      </c>
      <c r="EP223" s="16">
        <f t="shared" si="112"/>
        <v>222297</v>
      </c>
      <c r="EQ223" s="16">
        <f t="shared" si="112"/>
        <v>3517260</v>
      </c>
      <c r="ER223" s="16">
        <f t="shared" si="112"/>
        <v>6070658</v>
      </c>
      <c r="ES223" s="16">
        <f t="shared" si="112"/>
        <v>8485818</v>
      </c>
      <c r="ET223" s="16">
        <f t="shared" si="112"/>
        <v>11810347</v>
      </c>
      <c r="EU223" s="16">
        <f t="shared" si="112"/>
        <v>13620106</v>
      </c>
      <c r="EV223" s="16">
        <f t="shared" si="112"/>
        <v>15499752</v>
      </c>
      <c r="EW223" s="16">
        <f t="shared" si="112"/>
        <v>20841277</v>
      </c>
      <c r="EX223" s="16">
        <f t="shared" si="112"/>
        <v>25064710</v>
      </c>
      <c r="EY223" s="16">
        <f t="shared" si="112"/>
        <v>32504313</v>
      </c>
      <c r="EZ223" s="16">
        <f t="shared" si="112"/>
        <v>39073919</v>
      </c>
      <c r="FA223" s="16">
        <f t="shared" si="112"/>
        <v>56832030</v>
      </c>
      <c r="FB223" s="16">
        <f t="shared" si="112"/>
        <v>56832030</v>
      </c>
      <c r="FC223" s="16">
        <f t="shared" si="112"/>
        <v>258021</v>
      </c>
      <c r="FD223" s="16">
        <f t="shared" si="112"/>
        <v>1153491</v>
      </c>
      <c r="FE223" s="16">
        <f t="shared" si="112"/>
        <v>2256416</v>
      </c>
      <c r="FF223" s="16">
        <f t="shared" si="112"/>
        <v>3863361</v>
      </c>
      <c r="FG223" s="16">
        <f t="shared" ref="FG223:GL223" si="113">SUM(FG191:FG222)</f>
        <v>4964335</v>
      </c>
      <c r="FH223" s="16">
        <f t="shared" si="113"/>
        <v>5903257</v>
      </c>
      <c r="FI223" s="16">
        <f t="shared" si="113"/>
        <v>7101490</v>
      </c>
      <c r="FJ223" s="16">
        <f t="shared" si="113"/>
        <v>0</v>
      </c>
      <c r="FK223" s="16">
        <f t="shared" si="113"/>
        <v>0</v>
      </c>
      <c r="FL223" s="16">
        <f t="shared" si="113"/>
        <v>0</v>
      </c>
      <c r="FM223" s="16">
        <f t="shared" si="113"/>
        <v>0</v>
      </c>
      <c r="FN223" s="16">
        <f t="shared" si="113"/>
        <v>0</v>
      </c>
      <c r="FO223" s="16">
        <f t="shared" si="113"/>
        <v>7101490</v>
      </c>
    </row>
    <row r="224" spans="2:171" ht="14.25" customHeight="1" x14ac:dyDescent="0.3"/>
    <row r="225" spans="2:171" ht="14.25" customHeight="1" x14ac:dyDescent="0.3"/>
    <row r="226" spans="2:171" ht="14.25" customHeight="1" x14ac:dyDescent="0.35">
      <c r="B226" s="3" t="s">
        <v>87</v>
      </c>
    </row>
    <row r="227" spans="2:171" ht="14.25" customHeight="1" x14ac:dyDescent="0.3">
      <c r="B227" s="4" t="s">
        <v>88</v>
      </c>
    </row>
    <row r="228" spans="2:171" ht="14.25" customHeight="1" x14ac:dyDescent="0.3">
      <c r="C228" s="38" t="s">
        <v>4</v>
      </c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8" t="s">
        <v>5</v>
      </c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8" t="s">
        <v>6</v>
      </c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8" t="s">
        <v>7</v>
      </c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8" t="s">
        <v>8</v>
      </c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8" t="s">
        <v>9</v>
      </c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8" t="s">
        <v>10</v>
      </c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8" t="s">
        <v>11</v>
      </c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8" t="s">
        <v>12</v>
      </c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8" t="s">
        <v>13</v>
      </c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8" t="s">
        <v>14</v>
      </c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8" t="s">
        <v>15</v>
      </c>
      <c r="EQ228" s="39"/>
      <c r="ER228" s="39"/>
      <c r="ES228" s="39"/>
      <c r="ET228" s="39"/>
      <c r="EU228" s="39"/>
      <c r="EV228" s="39"/>
      <c r="EW228" s="39"/>
      <c r="EX228" s="39"/>
      <c r="EY228" s="39"/>
      <c r="EZ228" s="39"/>
      <c r="FA228" s="39"/>
      <c r="FB228" s="39"/>
      <c r="FC228" s="38" t="s">
        <v>16</v>
      </c>
      <c r="FD228" s="39"/>
      <c r="FE228" s="39"/>
      <c r="FF228" s="39"/>
      <c r="FG228" s="39"/>
      <c r="FH228" s="39"/>
      <c r="FI228" s="39"/>
      <c r="FJ228" s="39"/>
      <c r="FK228" s="39"/>
      <c r="FL228" s="39"/>
      <c r="FM228" s="39"/>
      <c r="FN228" s="39"/>
      <c r="FO228" s="39"/>
    </row>
    <row r="229" spans="2:171" ht="14.25" customHeight="1" x14ac:dyDescent="0.3">
      <c r="B229" s="5" t="s">
        <v>17</v>
      </c>
      <c r="C229" s="6" t="s">
        <v>18</v>
      </c>
      <c r="D229" s="6" t="s">
        <v>19</v>
      </c>
      <c r="E229" s="6" t="s">
        <v>20</v>
      </c>
      <c r="F229" s="6" t="s">
        <v>21</v>
      </c>
      <c r="G229" s="6" t="s">
        <v>22</v>
      </c>
      <c r="H229" s="6" t="s">
        <v>23</v>
      </c>
      <c r="I229" s="6" t="s">
        <v>24</v>
      </c>
      <c r="J229" s="6" t="s">
        <v>25</v>
      </c>
      <c r="K229" s="6" t="s">
        <v>26</v>
      </c>
      <c r="L229" s="6" t="s">
        <v>27</v>
      </c>
      <c r="M229" s="6" t="s">
        <v>28</v>
      </c>
      <c r="N229" s="6" t="s">
        <v>29</v>
      </c>
      <c r="O229" s="6" t="s">
        <v>30</v>
      </c>
      <c r="P229" s="6" t="s">
        <v>18</v>
      </c>
      <c r="Q229" s="6" t="s">
        <v>19</v>
      </c>
      <c r="R229" s="6" t="s">
        <v>20</v>
      </c>
      <c r="S229" s="6" t="s">
        <v>21</v>
      </c>
      <c r="T229" s="6" t="s">
        <v>22</v>
      </c>
      <c r="U229" s="6" t="s">
        <v>23</v>
      </c>
      <c r="V229" s="6" t="s">
        <v>24</v>
      </c>
      <c r="W229" s="6" t="s">
        <v>25</v>
      </c>
      <c r="X229" s="6" t="s">
        <v>26</v>
      </c>
      <c r="Y229" s="6" t="s">
        <v>27</v>
      </c>
      <c r="Z229" s="6" t="s">
        <v>28</v>
      </c>
      <c r="AA229" s="6" t="s">
        <v>29</v>
      </c>
      <c r="AB229" s="6" t="s">
        <v>31</v>
      </c>
      <c r="AC229" s="6" t="s">
        <v>18</v>
      </c>
      <c r="AD229" s="6" t="s">
        <v>19</v>
      </c>
      <c r="AE229" s="6" t="s">
        <v>20</v>
      </c>
      <c r="AF229" s="6" t="s">
        <v>21</v>
      </c>
      <c r="AG229" s="6" t="s">
        <v>22</v>
      </c>
      <c r="AH229" s="6" t="s">
        <v>23</v>
      </c>
      <c r="AI229" s="6" t="s">
        <v>24</v>
      </c>
      <c r="AJ229" s="6" t="s">
        <v>25</v>
      </c>
      <c r="AK229" s="6" t="s">
        <v>26</v>
      </c>
      <c r="AL229" s="6" t="s">
        <v>27</v>
      </c>
      <c r="AM229" s="6" t="s">
        <v>28</v>
      </c>
      <c r="AN229" s="6" t="s">
        <v>29</v>
      </c>
      <c r="AO229" s="6" t="s">
        <v>32</v>
      </c>
      <c r="AP229" s="6" t="s">
        <v>18</v>
      </c>
      <c r="AQ229" s="6" t="s">
        <v>19</v>
      </c>
      <c r="AR229" s="6" t="s">
        <v>20</v>
      </c>
      <c r="AS229" s="6" t="s">
        <v>21</v>
      </c>
      <c r="AT229" s="6" t="s">
        <v>22</v>
      </c>
      <c r="AU229" s="6" t="s">
        <v>23</v>
      </c>
      <c r="AV229" s="6" t="s">
        <v>24</v>
      </c>
      <c r="AW229" s="6" t="s">
        <v>25</v>
      </c>
      <c r="AX229" s="6" t="s">
        <v>26</v>
      </c>
      <c r="AY229" s="6" t="s">
        <v>27</v>
      </c>
      <c r="AZ229" s="6" t="s">
        <v>28</v>
      </c>
      <c r="BA229" s="6" t="s">
        <v>29</v>
      </c>
      <c r="BB229" s="6" t="s">
        <v>33</v>
      </c>
      <c r="BC229" s="6" t="s">
        <v>18</v>
      </c>
      <c r="BD229" s="6" t="s">
        <v>19</v>
      </c>
      <c r="BE229" s="6" t="s">
        <v>20</v>
      </c>
      <c r="BF229" s="6" t="s">
        <v>21</v>
      </c>
      <c r="BG229" s="6" t="s">
        <v>22</v>
      </c>
      <c r="BH229" s="6" t="s">
        <v>23</v>
      </c>
      <c r="BI229" s="6" t="s">
        <v>24</v>
      </c>
      <c r="BJ229" s="6" t="s">
        <v>25</v>
      </c>
      <c r="BK229" s="6" t="s">
        <v>26</v>
      </c>
      <c r="BL229" s="6" t="s">
        <v>27</v>
      </c>
      <c r="BM229" s="6" t="s">
        <v>28</v>
      </c>
      <c r="BN229" s="6" t="s">
        <v>29</v>
      </c>
      <c r="BO229" s="6" t="s">
        <v>34</v>
      </c>
      <c r="BP229" s="6" t="s">
        <v>18</v>
      </c>
      <c r="BQ229" s="6" t="s">
        <v>19</v>
      </c>
      <c r="BR229" s="6" t="s">
        <v>20</v>
      </c>
      <c r="BS229" s="6" t="s">
        <v>21</v>
      </c>
      <c r="BT229" s="6" t="s">
        <v>22</v>
      </c>
      <c r="BU229" s="6" t="s">
        <v>23</v>
      </c>
      <c r="BV229" s="6" t="s">
        <v>24</v>
      </c>
      <c r="BW229" s="6" t="s">
        <v>25</v>
      </c>
      <c r="BX229" s="6" t="s">
        <v>26</v>
      </c>
      <c r="BY229" s="6" t="s">
        <v>27</v>
      </c>
      <c r="BZ229" s="6" t="s">
        <v>28</v>
      </c>
      <c r="CA229" s="6" t="s">
        <v>29</v>
      </c>
      <c r="CB229" s="6" t="s">
        <v>35</v>
      </c>
      <c r="CC229" s="6" t="s">
        <v>18</v>
      </c>
      <c r="CD229" s="6" t="s">
        <v>19</v>
      </c>
      <c r="CE229" s="6" t="s">
        <v>20</v>
      </c>
      <c r="CF229" s="6" t="s">
        <v>21</v>
      </c>
      <c r="CG229" s="6" t="s">
        <v>22</v>
      </c>
      <c r="CH229" s="6" t="s">
        <v>23</v>
      </c>
      <c r="CI229" s="6" t="s">
        <v>24</v>
      </c>
      <c r="CJ229" s="6" t="s">
        <v>25</v>
      </c>
      <c r="CK229" s="6" t="s">
        <v>26</v>
      </c>
      <c r="CL229" s="6" t="s">
        <v>27</v>
      </c>
      <c r="CM229" s="6" t="s">
        <v>28</v>
      </c>
      <c r="CN229" s="6" t="s">
        <v>29</v>
      </c>
      <c r="CO229" s="6" t="s">
        <v>36</v>
      </c>
      <c r="CP229" s="6" t="s">
        <v>18</v>
      </c>
      <c r="CQ229" s="6" t="s">
        <v>19</v>
      </c>
      <c r="CR229" s="6" t="s">
        <v>20</v>
      </c>
      <c r="CS229" s="6" t="s">
        <v>21</v>
      </c>
      <c r="CT229" s="6" t="s">
        <v>22</v>
      </c>
      <c r="CU229" s="6" t="s">
        <v>23</v>
      </c>
      <c r="CV229" s="6" t="s">
        <v>24</v>
      </c>
      <c r="CW229" s="6" t="s">
        <v>25</v>
      </c>
      <c r="CX229" s="6" t="s">
        <v>26</v>
      </c>
      <c r="CY229" s="6" t="s">
        <v>27</v>
      </c>
      <c r="CZ229" s="6" t="s">
        <v>28</v>
      </c>
      <c r="DA229" s="6" t="s">
        <v>29</v>
      </c>
      <c r="DB229" s="6" t="s">
        <v>37</v>
      </c>
      <c r="DC229" s="6" t="s">
        <v>18</v>
      </c>
      <c r="DD229" s="6" t="s">
        <v>19</v>
      </c>
      <c r="DE229" s="6" t="s">
        <v>20</v>
      </c>
      <c r="DF229" s="6" t="s">
        <v>21</v>
      </c>
      <c r="DG229" s="6" t="s">
        <v>22</v>
      </c>
      <c r="DH229" s="6" t="s">
        <v>23</v>
      </c>
      <c r="DI229" s="6" t="s">
        <v>24</v>
      </c>
      <c r="DJ229" s="6" t="s">
        <v>25</v>
      </c>
      <c r="DK229" s="6" t="s">
        <v>26</v>
      </c>
      <c r="DL229" s="6" t="s">
        <v>27</v>
      </c>
      <c r="DM229" s="6" t="s">
        <v>28</v>
      </c>
      <c r="DN229" s="6" t="s">
        <v>29</v>
      </c>
      <c r="DO229" s="6" t="s">
        <v>38</v>
      </c>
      <c r="DP229" s="6" t="s">
        <v>18</v>
      </c>
      <c r="DQ229" s="6" t="s">
        <v>19</v>
      </c>
      <c r="DR229" s="6" t="s">
        <v>20</v>
      </c>
      <c r="DS229" s="6" t="s">
        <v>21</v>
      </c>
      <c r="DT229" s="6" t="s">
        <v>22</v>
      </c>
      <c r="DU229" s="6" t="s">
        <v>23</v>
      </c>
      <c r="DV229" s="6" t="s">
        <v>24</v>
      </c>
      <c r="DW229" s="6" t="s">
        <v>25</v>
      </c>
      <c r="DX229" s="6" t="s">
        <v>26</v>
      </c>
      <c r="DY229" s="6" t="s">
        <v>27</v>
      </c>
      <c r="DZ229" s="6" t="s">
        <v>28</v>
      </c>
      <c r="EA229" s="6" t="s">
        <v>29</v>
      </c>
      <c r="EB229" s="6" t="s">
        <v>39</v>
      </c>
      <c r="EC229" s="6" t="s">
        <v>18</v>
      </c>
      <c r="ED229" s="6" t="s">
        <v>19</v>
      </c>
      <c r="EE229" s="6" t="s">
        <v>20</v>
      </c>
      <c r="EF229" s="6" t="s">
        <v>21</v>
      </c>
      <c r="EG229" s="6" t="s">
        <v>22</v>
      </c>
      <c r="EH229" s="6" t="s">
        <v>23</v>
      </c>
      <c r="EI229" s="6" t="s">
        <v>24</v>
      </c>
      <c r="EJ229" s="6" t="s">
        <v>25</v>
      </c>
      <c r="EK229" s="6" t="s">
        <v>26</v>
      </c>
      <c r="EL229" s="6" t="s">
        <v>27</v>
      </c>
      <c r="EM229" s="6" t="s">
        <v>28</v>
      </c>
      <c r="EN229" s="6" t="s">
        <v>29</v>
      </c>
      <c r="EO229" s="6" t="s">
        <v>40</v>
      </c>
      <c r="EP229" s="6" t="s">
        <v>18</v>
      </c>
      <c r="EQ229" s="6" t="s">
        <v>19</v>
      </c>
      <c r="ER229" s="6" t="s">
        <v>20</v>
      </c>
      <c r="ES229" s="6" t="s">
        <v>21</v>
      </c>
      <c r="ET229" s="6" t="s">
        <v>22</v>
      </c>
      <c r="EU229" s="6" t="s">
        <v>23</v>
      </c>
      <c r="EV229" s="6" t="s">
        <v>24</v>
      </c>
      <c r="EW229" s="6" t="s">
        <v>25</v>
      </c>
      <c r="EX229" s="6" t="s">
        <v>26</v>
      </c>
      <c r="EY229" s="6" t="s">
        <v>27</v>
      </c>
      <c r="EZ229" s="6" t="s">
        <v>28</v>
      </c>
      <c r="FA229" s="6" t="s">
        <v>29</v>
      </c>
      <c r="FB229" s="6" t="s">
        <v>41</v>
      </c>
      <c r="FC229" s="6" t="s">
        <v>18</v>
      </c>
      <c r="FD229" s="6" t="s">
        <v>19</v>
      </c>
      <c r="FE229" s="6" t="s">
        <v>20</v>
      </c>
      <c r="FF229" s="6" t="s">
        <v>21</v>
      </c>
      <c r="FG229" s="6" t="s">
        <v>22</v>
      </c>
      <c r="FH229" s="6" t="s">
        <v>23</v>
      </c>
      <c r="FI229" s="6" t="s">
        <v>24</v>
      </c>
      <c r="FJ229" s="6" t="s">
        <v>25</v>
      </c>
      <c r="FK229" s="6" t="s">
        <v>26</v>
      </c>
      <c r="FL229" s="6" t="s">
        <v>27</v>
      </c>
      <c r="FM229" s="6" t="s">
        <v>28</v>
      </c>
      <c r="FN229" s="6" t="s">
        <v>29</v>
      </c>
      <c r="FO229" s="6" t="s">
        <v>42</v>
      </c>
    </row>
    <row r="230" spans="2:171" ht="14.25" customHeight="1" x14ac:dyDescent="0.3">
      <c r="B230" s="7" t="s">
        <v>43</v>
      </c>
      <c r="C230" s="8">
        <v>0</v>
      </c>
      <c r="D230" s="8">
        <v>0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9">
        <f t="shared" ref="O230:O261" si="114">N230</f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9">
        <f t="shared" ref="AB230:AB261" si="115">AA230</f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0</v>
      </c>
      <c r="AO230" s="9">
        <f t="shared" ref="AO230:AO261" si="116">AN230</f>
        <v>0</v>
      </c>
      <c r="AP230" s="8">
        <v>0</v>
      </c>
      <c r="AQ230" s="8">
        <v>0</v>
      </c>
      <c r="AR230" s="8">
        <v>0</v>
      </c>
      <c r="AS230" s="8">
        <v>0</v>
      </c>
      <c r="AT230" s="8">
        <v>0</v>
      </c>
      <c r="AU230" s="8">
        <v>0</v>
      </c>
      <c r="AV230" s="8">
        <v>0</v>
      </c>
      <c r="AW230" s="8">
        <v>0</v>
      </c>
      <c r="AX230" s="8">
        <v>0</v>
      </c>
      <c r="AY230" s="8">
        <v>0</v>
      </c>
      <c r="AZ230" s="8">
        <v>0</v>
      </c>
      <c r="BA230" s="8">
        <v>0</v>
      </c>
      <c r="BB230" s="9">
        <f t="shared" ref="BB230:BB261" si="117">BA230</f>
        <v>0</v>
      </c>
      <c r="BC230" s="8">
        <v>0</v>
      </c>
      <c r="BD230" s="8">
        <v>0</v>
      </c>
      <c r="BE230" s="8">
        <v>0</v>
      </c>
      <c r="BF230" s="8">
        <v>0</v>
      </c>
      <c r="BG230" s="8">
        <v>0</v>
      </c>
      <c r="BH230" s="8">
        <v>0</v>
      </c>
      <c r="BI230" s="8">
        <v>0</v>
      </c>
      <c r="BJ230" s="8">
        <v>0</v>
      </c>
      <c r="BK230" s="8">
        <v>0</v>
      </c>
      <c r="BL230" s="8">
        <v>0</v>
      </c>
      <c r="BM230" s="8">
        <v>0</v>
      </c>
      <c r="BN230" s="8">
        <v>0</v>
      </c>
      <c r="BO230" s="9">
        <f t="shared" ref="BO230:BO261" si="118">BN230</f>
        <v>0</v>
      </c>
      <c r="BP230" s="8">
        <v>0</v>
      </c>
      <c r="BQ230" s="8">
        <v>0</v>
      </c>
      <c r="BR230" s="8">
        <v>0</v>
      </c>
      <c r="BS230" s="8">
        <v>0</v>
      </c>
      <c r="BT230" s="8">
        <v>0</v>
      </c>
      <c r="BU230" s="8">
        <v>0</v>
      </c>
      <c r="BV230" s="8">
        <v>0</v>
      </c>
      <c r="BW230" s="8">
        <v>0</v>
      </c>
      <c r="BX230" s="8">
        <v>0</v>
      </c>
      <c r="BY230" s="8">
        <v>0</v>
      </c>
      <c r="BZ230" s="8">
        <v>0</v>
      </c>
      <c r="CA230" s="8">
        <v>0</v>
      </c>
      <c r="CB230" s="9">
        <f t="shared" ref="CB230:CB261" si="119">CA230</f>
        <v>0</v>
      </c>
      <c r="CC230" s="8">
        <v>0</v>
      </c>
      <c r="CD230" s="8">
        <v>0</v>
      </c>
      <c r="CE230" s="8">
        <v>0</v>
      </c>
      <c r="CF230" s="8">
        <v>0</v>
      </c>
      <c r="CG230" s="8">
        <v>0</v>
      </c>
      <c r="CH230" s="8">
        <v>0</v>
      </c>
      <c r="CI230" s="8">
        <v>0</v>
      </c>
      <c r="CJ230" s="8">
        <v>0</v>
      </c>
      <c r="CK230" s="8">
        <v>0</v>
      </c>
      <c r="CL230" s="8">
        <v>0</v>
      </c>
      <c r="CM230" s="8">
        <v>0</v>
      </c>
      <c r="CN230" s="8">
        <v>0</v>
      </c>
      <c r="CO230" s="9">
        <f t="shared" ref="CO230:CO261" si="120">CN230</f>
        <v>0</v>
      </c>
      <c r="CP230" s="8">
        <v>0</v>
      </c>
      <c r="CQ230" s="8">
        <v>0</v>
      </c>
      <c r="CR230" s="8">
        <v>0</v>
      </c>
      <c r="CS230" s="8">
        <v>0</v>
      </c>
      <c r="CT230" s="8">
        <v>0</v>
      </c>
      <c r="CU230" s="8">
        <v>0</v>
      </c>
      <c r="CV230" s="8">
        <v>0</v>
      </c>
      <c r="CW230" s="8">
        <v>0</v>
      </c>
      <c r="CX230" s="8">
        <v>0</v>
      </c>
      <c r="CY230" s="8">
        <v>0</v>
      </c>
      <c r="CZ230" s="8">
        <v>0</v>
      </c>
      <c r="DA230" s="8">
        <v>0</v>
      </c>
      <c r="DB230" s="9">
        <f t="shared" ref="DB230:DB261" si="121">DA230</f>
        <v>0</v>
      </c>
      <c r="DC230" s="8">
        <v>0</v>
      </c>
      <c r="DD230" s="8">
        <v>0</v>
      </c>
      <c r="DE230" s="8">
        <v>0</v>
      </c>
      <c r="DF230" s="8">
        <v>0</v>
      </c>
      <c r="DG230" s="8">
        <v>0</v>
      </c>
      <c r="DH230" s="8">
        <v>0</v>
      </c>
      <c r="DI230" s="8">
        <v>0</v>
      </c>
      <c r="DJ230" s="8">
        <v>0</v>
      </c>
      <c r="DK230" s="8">
        <v>0</v>
      </c>
      <c r="DL230" s="8">
        <v>0</v>
      </c>
      <c r="DM230" s="8">
        <v>0</v>
      </c>
      <c r="DN230" s="8">
        <v>0</v>
      </c>
      <c r="DO230" s="9">
        <f t="shared" ref="DO230:DO261" si="122">DN230</f>
        <v>0</v>
      </c>
      <c r="DP230" s="8">
        <v>0</v>
      </c>
      <c r="DQ230" s="8">
        <v>0</v>
      </c>
      <c r="DR230" s="8">
        <v>0</v>
      </c>
      <c r="DS230" s="8">
        <v>0</v>
      </c>
      <c r="DT230" s="8">
        <v>0</v>
      </c>
      <c r="DU230" s="8">
        <v>0</v>
      </c>
      <c r="DV230" s="8">
        <v>0</v>
      </c>
      <c r="DW230" s="8">
        <v>0</v>
      </c>
      <c r="DX230" s="8">
        <v>0</v>
      </c>
      <c r="DY230" s="8">
        <v>0</v>
      </c>
      <c r="DZ230" s="8">
        <v>0</v>
      </c>
      <c r="EA230" s="8">
        <v>0</v>
      </c>
      <c r="EB230" s="9">
        <f t="shared" ref="EB230:EB261" si="123">EA230</f>
        <v>0</v>
      </c>
      <c r="EC230" s="8">
        <v>0</v>
      </c>
      <c r="ED230" s="8">
        <v>0</v>
      </c>
      <c r="EE230" s="8">
        <v>0</v>
      </c>
      <c r="EF230" s="8">
        <v>0</v>
      </c>
      <c r="EG230" s="8">
        <v>0</v>
      </c>
      <c r="EH230" s="8">
        <v>0</v>
      </c>
      <c r="EI230" s="8">
        <v>0</v>
      </c>
      <c r="EJ230" s="8">
        <v>0</v>
      </c>
      <c r="EK230" s="8">
        <v>0</v>
      </c>
      <c r="EL230" s="8">
        <v>0</v>
      </c>
      <c r="EM230" s="8">
        <v>0</v>
      </c>
      <c r="EN230" s="8">
        <v>0</v>
      </c>
      <c r="EO230" s="9">
        <f t="shared" ref="EO230:EO261" si="124">EN230</f>
        <v>0</v>
      </c>
      <c r="EP230" s="8">
        <v>0</v>
      </c>
      <c r="EQ230" s="8">
        <v>0</v>
      </c>
      <c r="ER230" s="8">
        <v>0</v>
      </c>
      <c r="ES230" s="8">
        <v>0</v>
      </c>
      <c r="ET230" s="8">
        <v>0</v>
      </c>
      <c r="EU230" s="8">
        <v>0</v>
      </c>
      <c r="EV230" s="8">
        <v>0</v>
      </c>
      <c r="EW230" s="8">
        <v>0</v>
      </c>
      <c r="EX230" s="8">
        <v>0</v>
      </c>
      <c r="EY230" s="8">
        <v>0</v>
      </c>
      <c r="EZ230" s="8">
        <v>0</v>
      </c>
      <c r="FA230" s="8">
        <v>0</v>
      </c>
      <c r="FB230" s="9">
        <f t="shared" ref="FB230:FB261" si="125">FA230</f>
        <v>0</v>
      </c>
      <c r="FC230" s="8">
        <v>0</v>
      </c>
      <c r="FD230" s="8">
        <v>0</v>
      </c>
      <c r="FE230" s="8">
        <v>0</v>
      </c>
      <c r="FF230" s="8">
        <v>0</v>
      </c>
      <c r="FG230" s="8">
        <v>0</v>
      </c>
      <c r="FH230" s="8">
        <v>0</v>
      </c>
      <c r="FI230" s="8">
        <v>0</v>
      </c>
      <c r="FJ230" s="8"/>
      <c r="FK230" s="8"/>
      <c r="FL230" s="8"/>
      <c r="FM230" s="8"/>
      <c r="FN230" s="8"/>
      <c r="FO230" s="9">
        <f t="shared" ref="FO230:FO261" si="126">FI230</f>
        <v>0</v>
      </c>
    </row>
    <row r="231" spans="2:171" ht="14.25" customHeight="1" x14ac:dyDescent="0.3">
      <c r="B231" s="7" t="s">
        <v>44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9">
        <f t="shared" si="114"/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9">
        <f t="shared" si="115"/>
        <v>0</v>
      </c>
      <c r="AC231" s="8">
        <v>0</v>
      </c>
      <c r="AD231" s="8">
        <v>0</v>
      </c>
      <c r="AE231" s="8">
        <v>0</v>
      </c>
      <c r="AF231" s="8">
        <v>0</v>
      </c>
      <c r="AG231" s="8">
        <v>0</v>
      </c>
      <c r="AH231" s="8">
        <v>0</v>
      </c>
      <c r="AI231" s="8">
        <v>0</v>
      </c>
      <c r="AJ231" s="8">
        <v>0</v>
      </c>
      <c r="AK231" s="8">
        <v>0</v>
      </c>
      <c r="AL231" s="8">
        <v>0</v>
      </c>
      <c r="AM231" s="8">
        <v>0</v>
      </c>
      <c r="AN231" s="8">
        <v>0</v>
      </c>
      <c r="AO231" s="9">
        <f t="shared" si="116"/>
        <v>0</v>
      </c>
      <c r="AP231" s="8">
        <v>0</v>
      </c>
      <c r="AQ231" s="8">
        <v>0</v>
      </c>
      <c r="AR231" s="8">
        <v>0</v>
      </c>
      <c r="AS231" s="8">
        <v>0</v>
      </c>
      <c r="AT231" s="8">
        <v>0</v>
      </c>
      <c r="AU231" s="8">
        <v>0</v>
      </c>
      <c r="AV231" s="8">
        <v>0</v>
      </c>
      <c r="AW231" s="8">
        <v>0</v>
      </c>
      <c r="AX231" s="8">
        <v>0</v>
      </c>
      <c r="AY231" s="8">
        <v>0</v>
      </c>
      <c r="AZ231" s="8">
        <v>0</v>
      </c>
      <c r="BA231" s="8">
        <v>0</v>
      </c>
      <c r="BB231" s="9">
        <f t="shared" si="117"/>
        <v>0</v>
      </c>
      <c r="BC231" s="8">
        <v>0</v>
      </c>
      <c r="BD231" s="8">
        <v>0</v>
      </c>
      <c r="BE231" s="8">
        <v>0</v>
      </c>
      <c r="BF231" s="8">
        <v>0</v>
      </c>
      <c r="BG231" s="8">
        <v>0</v>
      </c>
      <c r="BH231" s="8">
        <v>0</v>
      </c>
      <c r="BI231" s="8">
        <v>0</v>
      </c>
      <c r="BJ231" s="8">
        <v>0</v>
      </c>
      <c r="BK231" s="8">
        <v>0</v>
      </c>
      <c r="BL231" s="8">
        <v>0</v>
      </c>
      <c r="BM231" s="8">
        <v>0</v>
      </c>
      <c r="BN231" s="8">
        <v>0</v>
      </c>
      <c r="BO231" s="9">
        <f t="shared" si="118"/>
        <v>0</v>
      </c>
      <c r="BP231" s="8">
        <v>0</v>
      </c>
      <c r="BQ231" s="8">
        <v>0</v>
      </c>
      <c r="BR231" s="8">
        <v>0</v>
      </c>
      <c r="BS231" s="8">
        <v>0</v>
      </c>
      <c r="BT231" s="8">
        <v>0</v>
      </c>
      <c r="BU231" s="8">
        <v>0</v>
      </c>
      <c r="BV231" s="8">
        <v>0</v>
      </c>
      <c r="BW231" s="8">
        <v>0</v>
      </c>
      <c r="BX231" s="8">
        <v>0</v>
      </c>
      <c r="BY231" s="8">
        <v>0</v>
      </c>
      <c r="BZ231" s="8">
        <v>0</v>
      </c>
      <c r="CA231" s="8">
        <v>0</v>
      </c>
      <c r="CB231" s="9">
        <f t="shared" si="119"/>
        <v>0</v>
      </c>
      <c r="CC231" s="8">
        <v>0</v>
      </c>
      <c r="CD231" s="8">
        <v>0</v>
      </c>
      <c r="CE231" s="8">
        <v>0</v>
      </c>
      <c r="CF231" s="8">
        <v>0</v>
      </c>
      <c r="CG231" s="8">
        <v>0</v>
      </c>
      <c r="CH231" s="8">
        <v>0</v>
      </c>
      <c r="CI231" s="8">
        <v>0</v>
      </c>
      <c r="CJ231" s="8">
        <v>0</v>
      </c>
      <c r="CK231" s="8">
        <v>0</v>
      </c>
      <c r="CL231" s="8">
        <v>0</v>
      </c>
      <c r="CM231" s="8">
        <v>0</v>
      </c>
      <c r="CN231" s="8">
        <v>0</v>
      </c>
      <c r="CO231" s="9">
        <f t="shared" si="120"/>
        <v>0</v>
      </c>
      <c r="CP231" s="8">
        <v>0</v>
      </c>
      <c r="CQ231" s="8">
        <v>0</v>
      </c>
      <c r="CR231" s="8">
        <v>0</v>
      </c>
      <c r="CS231" s="8">
        <v>0</v>
      </c>
      <c r="CT231" s="8">
        <v>0</v>
      </c>
      <c r="CU231" s="8">
        <v>0</v>
      </c>
      <c r="CV231" s="8">
        <v>0</v>
      </c>
      <c r="CW231" s="8">
        <v>0</v>
      </c>
      <c r="CX231" s="8">
        <v>0</v>
      </c>
      <c r="CY231" s="8">
        <v>0</v>
      </c>
      <c r="CZ231" s="8">
        <v>0</v>
      </c>
      <c r="DA231" s="8">
        <v>0</v>
      </c>
      <c r="DB231" s="9">
        <f t="shared" si="121"/>
        <v>0</v>
      </c>
      <c r="DC231" s="8">
        <v>0</v>
      </c>
      <c r="DD231" s="8">
        <v>0</v>
      </c>
      <c r="DE231" s="8">
        <v>0</v>
      </c>
      <c r="DF231" s="8">
        <v>0</v>
      </c>
      <c r="DG231" s="8">
        <v>0</v>
      </c>
      <c r="DH231" s="8">
        <v>0</v>
      </c>
      <c r="DI231" s="8">
        <v>0</v>
      </c>
      <c r="DJ231" s="8">
        <v>0</v>
      </c>
      <c r="DK231" s="8">
        <v>0</v>
      </c>
      <c r="DL231" s="8">
        <v>0</v>
      </c>
      <c r="DM231" s="8">
        <v>0</v>
      </c>
      <c r="DN231" s="8">
        <v>0</v>
      </c>
      <c r="DO231" s="9">
        <f t="shared" si="122"/>
        <v>0</v>
      </c>
      <c r="DP231" s="8">
        <v>0</v>
      </c>
      <c r="DQ231" s="8">
        <v>0</v>
      </c>
      <c r="DR231" s="8">
        <v>0</v>
      </c>
      <c r="DS231" s="8">
        <v>0</v>
      </c>
      <c r="DT231" s="8">
        <v>0</v>
      </c>
      <c r="DU231" s="8">
        <v>0</v>
      </c>
      <c r="DV231" s="8">
        <v>0</v>
      </c>
      <c r="DW231" s="8">
        <v>0</v>
      </c>
      <c r="DX231" s="8">
        <v>0</v>
      </c>
      <c r="DY231" s="8">
        <v>0</v>
      </c>
      <c r="DZ231" s="8">
        <v>0</v>
      </c>
      <c r="EA231" s="8">
        <v>0</v>
      </c>
      <c r="EB231" s="9">
        <f t="shared" si="123"/>
        <v>0</v>
      </c>
      <c r="EC231" s="8">
        <v>0</v>
      </c>
      <c r="ED231" s="8">
        <v>0</v>
      </c>
      <c r="EE231" s="8">
        <v>0</v>
      </c>
      <c r="EF231" s="8">
        <v>0</v>
      </c>
      <c r="EG231" s="8">
        <v>0</v>
      </c>
      <c r="EH231" s="8">
        <v>0</v>
      </c>
      <c r="EI231" s="8">
        <v>0</v>
      </c>
      <c r="EJ231" s="8">
        <v>0</v>
      </c>
      <c r="EK231" s="8">
        <v>0</v>
      </c>
      <c r="EL231" s="8">
        <v>0</v>
      </c>
      <c r="EM231" s="8">
        <v>0</v>
      </c>
      <c r="EN231" s="8">
        <v>0</v>
      </c>
      <c r="EO231" s="9">
        <f t="shared" si="124"/>
        <v>0</v>
      </c>
      <c r="EP231" s="8">
        <v>0</v>
      </c>
      <c r="EQ231" s="8">
        <v>0</v>
      </c>
      <c r="ER231" s="8">
        <v>0</v>
      </c>
      <c r="ES231" s="8">
        <v>0</v>
      </c>
      <c r="ET231" s="8">
        <v>0</v>
      </c>
      <c r="EU231" s="8">
        <v>0</v>
      </c>
      <c r="EV231" s="8">
        <v>0</v>
      </c>
      <c r="EW231" s="8">
        <v>0</v>
      </c>
      <c r="EX231" s="8">
        <v>0</v>
      </c>
      <c r="EY231" s="8">
        <v>0</v>
      </c>
      <c r="EZ231" s="8">
        <v>0</v>
      </c>
      <c r="FA231" s="8">
        <v>0</v>
      </c>
      <c r="FB231" s="9">
        <f t="shared" si="125"/>
        <v>0</v>
      </c>
      <c r="FC231" s="8">
        <v>0</v>
      </c>
      <c r="FD231" s="8">
        <v>0</v>
      </c>
      <c r="FE231" s="8">
        <v>0</v>
      </c>
      <c r="FF231" s="8">
        <v>0</v>
      </c>
      <c r="FG231" s="8">
        <v>0</v>
      </c>
      <c r="FH231" s="8">
        <v>0</v>
      </c>
      <c r="FI231" s="8">
        <v>0</v>
      </c>
      <c r="FJ231" s="8"/>
      <c r="FK231" s="8"/>
      <c r="FL231" s="8"/>
      <c r="FM231" s="8"/>
      <c r="FN231" s="8"/>
      <c r="FO231" s="9">
        <f t="shared" si="126"/>
        <v>0</v>
      </c>
    </row>
    <row r="232" spans="2:171" ht="14.25" customHeight="1" x14ac:dyDescent="0.3">
      <c r="B232" s="7" t="s">
        <v>45</v>
      </c>
      <c r="C232" s="8">
        <v>32803327</v>
      </c>
      <c r="D232" s="8">
        <v>32803327</v>
      </c>
      <c r="E232" s="8">
        <v>32803327</v>
      </c>
      <c r="F232" s="8">
        <v>32803327</v>
      </c>
      <c r="G232" s="8">
        <v>32803327</v>
      </c>
      <c r="H232" s="8">
        <v>32803327</v>
      </c>
      <c r="I232" s="8">
        <v>32803327</v>
      </c>
      <c r="J232" s="8">
        <v>32803327</v>
      </c>
      <c r="K232" s="8">
        <v>32803327</v>
      </c>
      <c r="L232" s="8">
        <v>32803327</v>
      </c>
      <c r="M232" s="8">
        <v>32803327</v>
      </c>
      <c r="N232" s="8">
        <v>32803327</v>
      </c>
      <c r="O232" s="9">
        <f t="shared" si="114"/>
        <v>32803327</v>
      </c>
      <c r="P232" s="8">
        <v>42185514</v>
      </c>
      <c r="Q232" s="8">
        <v>42185514</v>
      </c>
      <c r="R232" s="8">
        <v>42185514</v>
      </c>
      <c r="S232" s="8">
        <v>42185514</v>
      </c>
      <c r="T232" s="8">
        <v>42185514</v>
      </c>
      <c r="U232" s="8">
        <v>42185514</v>
      </c>
      <c r="V232" s="8">
        <v>42185514</v>
      </c>
      <c r="W232" s="8">
        <v>42185514</v>
      </c>
      <c r="X232" s="8">
        <v>42185514</v>
      </c>
      <c r="Y232" s="8">
        <v>42185514</v>
      </c>
      <c r="Z232" s="8">
        <v>42185514</v>
      </c>
      <c r="AA232" s="8">
        <v>42185514</v>
      </c>
      <c r="AB232" s="9">
        <f t="shared" si="115"/>
        <v>42185514</v>
      </c>
      <c r="AC232" s="8">
        <v>51285250</v>
      </c>
      <c r="AD232" s="8">
        <v>51285250</v>
      </c>
      <c r="AE232" s="8">
        <v>51285250</v>
      </c>
      <c r="AF232" s="8">
        <v>51285250</v>
      </c>
      <c r="AG232" s="8">
        <v>51285250</v>
      </c>
      <c r="AH232" s="8">
        <v>51285250</v>
      </c>
      <c r="AI232" s="8">
        <v>51285250</v>
      </c>
      <c r="AJ232" s="8">
        <v>51285250</v>
      </c>
      <c r="AK232" s="8">
        <v>51285250</v>
      </c>
      <c r="AL232" s="8">
        <v>51285250</v>
      </c>
      <c r="AM232" s="8">
        <v>51285250</v>
      </c>
      <c r="AN232" s="8">
        <v>51285250</v>
      </c>
      <c r="AO232" s="9">
        <f t="shared" si="116"/>
        <v>51285250</v>
      </c>
      <c r="AP232" s="8">
        <v>62616729</v>
      </c>
      <c r="AQ232" s="8">
        <v>62616729</v>
      </c>
      <c r="AR232" s="8">
        <v>62616729</v>
      </c>
      <c r="AS232" s="8">
        <v>62616729</v>
      </c>
      <c r="AT232" s="8">
        <v>62616729</v>
      </c>
      <c r="AU232" s="8">
        <v>62616729</v>
      </c>
      <c r="AV232" s="8">
        <v>62616729</v>
      </c>
      <c r="AW232" s="8">
        <v>62616729</v>
      </c>
      <c r="AX232" s="8">
        <v>62616729</v>
      </c>
      <c r="AY232" s="8">
        <v>62616729</v>
      </c>
      <c r="AZ232" s="8">
        <v>62616729</v>
      </c>
      <c r="BA232" s="8">
        <v>62616729</v>
      </c>
      <c r="BB232" s="9">
        <f t="shared" si="117"/>
        <v>62616729</v>
      </c>
      <c r="BC232" s="8">
        <v>77266026</v>
      </c>
      <c r="BD232" s="8">
        <v>77266026</v>
      </c>
      <c r="BE232" s="8">
        <v>77266026</v>
      </c>
      <c r="BF232" s="8">
        <v>77266026</v>
      </c>
      <c r="BG232" s="8">
        <v>77266026</v>
      </c>
      <c r="BH232" s="8">
        <v>77266026</v>
      </c>
      <c r="BI232" s="8">
        <v>77266026</v>
      </c>
      <c r="BJ232" s="8">
        <v>77266026</v>
      </c>
      <c r="BK232" s="8">
        <v>77266026</v>
      </c>
      <c r="BL232" s="8">
        <v>77266026</v>
      </c>
      <c r="BM232" s="8">
        <v>77266026</v>
      </c>
      <c r="BN232" s="8">
        <v>77266026</v>
      </c>
      <c r="BO232" s="9">
        <f t="shared" si="118"/>
        <v>77266026</v>
      </c>
      <c r="BP232" s="8">
        <v>115343477</v>
      </c>
      <c r="BQ232" s="8">
        <v>115343477</v>
      </c>
      <c r="BR232" s="8">
        <v>115343477</v>
      </c>
      <c r="BS232" s="8">
        <v>115343477</v>
      </c>
      <c r="BT232" s="8">
        <v>115343477</v>
      </c>
      <c r="BU232" s="8">
        <v>115343477</v>
      </c>
      <c r="BV232" s="8">
        <v>115343477</v>
      </c>
      <c r="BW232" s="8">
        <v>115343477</v>
      </c>
      <c r="BX232" s="8">
        <v>115343477</v>
      </c>
      <c r="BY232" s="8">
        <v>115343477</v>
      </c>
      <c r="BZ232" s="8">
        <v>115343477</v>
      </c>
      <c r="CA232" s="8">
        <v>115343477</v>
      </c>
      <c r="CB232" s="9">
        <f t="shared" si="119"/>
        <v>115343477</v>
      </c>
      <c r="CC232" s="8">
        <v>115111563</v>
      </c>
      <c r="CD232" s="8">
        <v>115111563</v>
      </c>
      <c r="CE232" s="8">
        <v>115111563</v>
      </c>
      <c r="CF232" s="8">
        <v>115111563</v>
      </c>
      <c r="CG232" s="8">
        <v>115111563</v>
      </c>
      <c r="CH232" s="8">
        <v>115111563</v>
      </c>
      <c r="CI232" s="8">
        <v>115111563</v>
      </c>
      <c r="CJ232" s="8">
        <v>115111563</v>
      </c>
      <c r="CK232" s="8">
        <v>115111563</v>
      </c>
      <c r="CL232" s="8">
        <v>115111563</v>
      </c>
      <c r="CM232" s="8">
        <v>115111563</v>
      </c>
      <c r="CN232" s="8">
        <v>115111563</v>
      </c>
      <c r="CO232" s="9">
        <f t="shared" si="120"/>
        <v>115111563</v>
      </c>
      <c r="CP232" s="8">
        <v>128734182</v>
      </c>
      <c r="CQ232" s="8">
        <v>128734182</v>
      </c>
      <c r="CR232" s="8">
        <v>128734182</v>
      </c>
      <c r="CS232" s="8">
        <v>128734182</v>
      </c>
      <c r="CT232" s="8">
        <v>128734182</v>
      </c>
      <c r="CU232" s="8">
        <v>128734182</v>
      </c>
      <c r="CV232" s="8">
        <v>128734182</v>
      </c>
      <c r="CW232" s="8">
        <v>128734182</v>
      </c>
      <c r="CX232" s="8">
        <v>128734182</v>
      </c>
      <c r="CY232" s="8">
        <v>128734182</v>
      </c>
      <c r="CZ232" s="8">
        <v>128734182</v>
      </c>
      <c r="DA232" s="8">
        <v>128734182</v>
      </c>
      <c r="DB232" s="9">
        <f t="shared" si="121"/>
        <v>128734182</v>
      </c>
      <c r="DC232" s="8">
        <v>104484009</v>
      </c>
      <c r="DD232" s="8">
        <v>104484009</v>
      </c>
      <c r="DE232" s="8">
        <v>104484009</v>
      </c>
      <c r="DF232" s="8">
        <v>104484009</v>
      </c>
      <c r="DG232" s="8">
        <v>104484009</v>
      </c>
      <c r="DH232" s="8">
        <v>104484009</v>
      </c>
      <c r="DI232" s="8">
        <v>104484009</v>
      </c>
      <c r="DJ232" s="8">
        <v>104484009</v>
      </c>
      <c r="DK232" s="8">
        <v>104484009</v>
      </c>
      <c r="DL232" s="8">
        <v>104484009</v>
      </c>
      <c r="DM232" s="8">
        <v>104484009</v>
      </c>
      <c r="DN232" s="8">
        <v>104484009</v>
      </c>
      <c r="DO232" s="9">
        <f t="shared" si="122"/>
        <v>104484009</v>
      </c>
      <c r="DP232" s="8">
        <v>158759261</v>
      </c>
      <c r="DQ232" s="8">
        <v>158759261</v>
      </c>
      <c r="DR232" s="8">
        <v>158759261</v>
      </c>
      <c r="DS232" s="8">
        <v>158759261</v>
      </c>
      <c r="DT232" s="8">
        <v>158759261</v>
      </c>
      <c r="DU232" s="8">
        <v>158759261</v>
      </c>
      <c r="DV232" s="8">
        <v>158759261</v>
      </c>
      <c r="DW232" s="8">
        <v>158759261</v>
      </c>
      <c r="DX232" s="8">
        <v>158759261</v>
      </c>
      <c r="DY232" s="8">
        <v>158759261</v>
      </c>
      <c r="DZ232" s="8">
        <v>158759261</v>
      </c>
      <c r="EA232" s="8">
        <v>158759261</v>
      </c>
      <c r="EB232" s="9">
        <f t="shared" si="123"/>
        <v>158759261</v>
      </c>
      <c r="EC232" s="8">
        <v>234273812</v>
      </c>
      <c r="ED232" s="8">
        <v>234273812</v>
      </c>
      <c r="EE232" s="8">
        <v>234273812</v>
      </c>
      <c r="EF232" s="8">
        <v>234273812</v>
      </c>
      <c r="EG232" s="8">
        <v>234273812</v>
      </c>
      <c r="EH232" s="8">
        <v>234273812</v>
      </c>
      <c r="EI232" s="8">
        <v>234273812</v>
      </c>
      <c r="EJ232" s="8">
        <v>234273812</v>
      </c>
      <c r="EK232" s="8">
        <v>234273812</v>
      </c>
      <c r="EL232" s="8">
        <v>234273812</v>
      </c>
      <c r="EM232" s="8">
        <v>234273812</v>
      </c>
      <c r="EN232" s="8">
        <v>234273812</v>
      </c>
      <c r="EO232" s="9">
        <f t="shared" si="124"/>
        <v>234273812</v>
      </c>
      <c r="EP232" s="8">
        <v>317360596</v>
      </c>
      <c r="EQ232" s="8">
        <v>317360596</v>
      </c>
      <c r="ER232" s="8">
        <v>317360596</v>
      </c>
      <c r="ES232" s="8">
        <v>317360596</v>
      </c>
      <c r="ET232" s="8">
        <v>317360596</v>
      </c>
      <c r="EU232" s="8">
        <v>317360596</v>
      </c>
      <c r="EV232" s="8">
        <v>317360596</v>
      </c>
      <c r="EW232" s="8">
        <v>317360596</v>
      </c>
      <c r="EX232" s="8">
        <v>317360596</v>
      </c>
      <c r="EY232" s="8">
        <v>317360596</v>
      </c>
      <c r="EZ232" s="8">
        <v>317360596</v>
      </c>
      <c r="FA232" s="8">
        <v>317360596</v>
      </c>
      <c r="FB232" s="9">
        <f t="shared" si="125"/>
        <v>317360596</v>
      </c>
      <c r="FC232" s="8">
        <v>831376361</v>
      </c>
      <c r="FD232" s="8">
        <v>831376361</v>
      </c>
      <c r="FE232" s="8">
        <v>831376361</v>
      </c>
      <c r="FF232" s="8">
        <v>831376361</v>
      </c>
      <c r="FG232" s="8">
        <v>831376361</v>
      </c>
      <c r="FH232" s="8">
        <v>831376361</v>
      </c>
      <c r="FI232" s="8">
        <v>831376361</v>
      </c>
      <c r="FJ232" s="8"/>
      <c r="FK232" s="8"/>
      <c r="FL232" s="8"/>
      <c r="FM232" s="8"/>
      <c r="FN232" s="8"/>
      <c r="FO232" s="9">
        <f t="shared" si="126"/>
        <v>831376361</v>
      </c>
    </row>
    <row r="233" spans="2:171" ht="14.25" customHeight="1" x14ac:dyDescent="0.3">
      <c r="B233" s="7" t="s">
        <v>46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9">
        <f t="shared" si="114"/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9">
        <f t="shared" si="115"/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  <c r="AK233" s="8">
        <v>0</v>
      </c>
      <c r="AL233" s="8">
        <v>0</v>
      </c>
      <c r="AM233" s="8">
        <v>0</v>
      </c>
      <c r="AN233" s="8">
        <v>0</v>
      </c>
      <c r="AO233" s="9">
        <f t="shared" si="116"/>
        <v>0</v>
      </c>
      <c r="AP233" s="8">
        <v>0</v>
      </c>
      <c r="AQ233" s="8">
        <v>0</v>
      </c>
      <c r="AR233" s="8">
        <v>0</v>
      </c>
      <c r="AS233" s="8">
        <v>0</v>
      </c>
      <c r="AT233" s="8">
        <v>0</v>
      </c>
      <c r="AU233" s="8">
        <v>0</v>
      </c>
      <c r="AV233" s="8">
        <v>0</v>
      </c>
      <c r="AW233" s="8">
        <v>0</v>
      </c>
      <c r="AX233" s="8">
        <v>0</v>
      </c>
      <c r="AY233" s="8">
        <v>0</v>
      </c>
      <c r="AZ233" s="8">
        <v>0</v>
      </c>
      <c r="BA233" s="8">
        <v>0</v>
      </c>
      <c r="BB233" s="9">
        <f t="shared" si="117"/>
        <v>0</v>
      </c>
      <c r="BC233" s="8">
        <v>0</v>
      </c>
      <c r="BD233" s="8">
        <v>0</v>
      </c>
      <c r="BE233" s="8">
        <v>0</v>
      </c>
      <c r="BF233" s="8">
        <v>0</v>
      </c>
      <c r="BG233" s="8">
        <v>0</v>
      </c>
      <c r="BH233" s="8">
        <v>0</v>
      </c>
      <c r="BI233" s="8">
        <v>0</v>
      </c>
      <c r="BJ233" s="8">
        <v>0</v>
      </c>
      <c r="BK233" s="8">
        <v>0</v>
      </c>
      <c r="BL233" s="8">
        <v>0</v>
      </c>
      <c r="BM233" s="8">
        <v>0</v>
      </c>
      <c r="BN233" s="8">
        <v>0</v>
      </c>
      <c r="BO233" s="9">
        <f t="shared" si="118"/>
        <v>0</v>
      </c>
      <c r="BP233" s="8">
        <v>0</v>
      </c>
      <c r="BQ233" s="8">
        <v>0</v>
      </c>
      <c r="BR233" s="8">
        <v>0</v>
      </c>
      <c r="BS233" s="8">
        <v>0</v>
      </c>
      <c r="BT233" s="8">
        <v>0</v>
      </c>
      <c r="BU233" s="8">
        <v>0</v>
      </c>
      <c r="BV233" s="8">
        <v>0</v>
      </c>
      <c r="BW233" s="8">
        <v>0</v>
      </c>
      <c r="BX233" s="8">
        <v>0</v>
      </c>
      <c r="BY233" s="8">
        <v>0</v>
      </c>
      <c r="BZ233" s="8">
        <v>0</v>
      </c>
      <c r="CA233" s="8">
        <v>0</v>
      </c>
      <c r="CB233" s="9">
        <f t="shared" si="119"/>
        <v>0</v>
      </c>
      <c r="CC233" s="8">
        <v>0</v>
      </c>
      <c r="CD233" s="8">
        <v>0</v>
      </c>
      <c r="CE233" s="8">
        <v>0</v>
      </c>
      <c r="CF233" s="8">
        <v>0</v>
      </c>
      <c r="CG233" s="8">
        <v>0</v>
      </c>
      <c r="CH233" s="8">
        <v>0</v>
      </c>
      <c r="CI233" s="8">
        <v>0</v>
      </c>
      <c r="CJ233" s="8">
        <v>0</v>
      </c>
      <c r="CK233" s="8">
        <v>0</v>
      </c>
      <c r="CL233" s="8">
        <v>0</v>
      </c>
      <c r="CM233" s="8">
        <v>0</v>
      </c>
      <c r="CN233" s="8">
        <v>0</v>
      </c>
      <c r="CO233" s="9">
        <f t="shared" si="120"/>
        <v>0</v>
      </c>
      <c r="CP233" s="8">
        <v>0</v>
      </c>
      <c r="CQ233" s="8">
        <v>0</v>
      </c>
      <c r="CR233" s="8">
        <v>0</v>
      </c>
      <c r="CS233" s="8">
        <v>0</v>
      </c>
      <c r="CT233" s="8">
        <v>0</v>
      </c>
      <c r="CU233" s="8">
        <v>0</v>
      </c>
      <c r="CV233" s="8">
        <v>0</v>
      </c>
      <c r="CW233" s="8">
        <v>0</v>
      </c>
      <c r="CX233" s="8">
        <v>0</v>
      </c>
      <c r="CY233" s="8">
        <v>0</v>
      </c>
      <c r="CZ233" s="8">
        <v>0</v>
      </c>
      <c r="DA233" s="8">
        <v>0</v>
      </c>
      <c r="DB233" s="9">
        <f t="shared" si="121"/>
        <v>0</v>
      </c>
      <c r="DC233" s="8">
        <v>0</v>
      </c>
      <c r="DD233" s="8">
        <v>0</v>
      </c>
      <c r="DE233" s="8">
        <v>0</v>
      </c>
      <c r="DF233" s="8">
        <v>0</v>
      </c>
      <c r="DG233" s="8">
        <v>0</v>
      </c>
      <c r="DH233" s="8">
        <v>0</v>
      </c>
      <c r="DI233" s="8">
        <v>0</v>
      </c>
      <c r="DJ233" s="8">
        <v>0</v>
      </c>
      <c r="DK233" s="8">
        <v>0</v>
      </c>
      <c r="DL233" s="8">
        <v>0</v>
      </c>
      <c r="DM233" s="8">
        <v>0</v>
      </c>
      <c r="DN233" s="8">
        <v>0</v>
      </c>
      <c r="DO233" s="9">
        <f t="shared" si="122"/>
        <v>0</v>
      </c>
      <c r="DP233" s="8">
        <v>0</v>
      </c>
      <c r="DQ233" s="8">
        <v>0</v>
      </c>
      <c r="DR233" s="8">
        <v>0</v>
      </c>
      <c r="DS233" s="8">
        <v>0</v>
      </c>
      <c r="DT233" s="8">
        <v>0</v>
      </c>
      <c r="DU233" s="8">
        <v>0</v>
      </c>
      <c r="DV233" s="8">
        <v>0</v>
      </c>
      <c r="DW233" s="8">
        <v>0</v>
      </c>
      <c r="DX233" s="8">
        <v>0</v>
      </c>
      <c r="DY233" s="8">
        <v>0</v>
      </c>
      <c r="DZ233" s="8">
        <v>0</v>
      </c>
      <c r="EA233" s="8">
        <v>0</v>
      </c>
      <c r="EB233" s="9">
        <f t="shared" si="123"/>
        <v>0</v>
      </c>
      <c r="EC233" s="8">
        <v>0</v>
      </c>
      <c r="ED233" s="8">
        <v>0</v>
      </c>
      <c r="EE233" s="8">
        <v>0</v>
      </c>
      <c r="EF233" s="8">
        <v>0</v>
      </c>
      <c r="EG233" s="8">
        <v>0</v>
      </c>
      <c r="EH233" s="8">
        <v>0</v>
      </c>
      <c r="EI233" s="8">
        <v>0</v>
      </c>
      <c r="EJ233" s="8">
        <v>0</v>
      </c>
      <c r="EK233" s="8">
        <v>0</v>
      </c>
      <c r="EL233" s="8">
        <v>0</v>
      </c>
      <c r="EM233" s="8">
        <v>0</v>
      </c>
      <c r="EN233" s="8">
        <v>0</v>
      </c>
      <c r="EO233" s="9">
        <f t="shared" si="124"/>
        <v>0</v>
      </c>
      <c r="EP233" s="8">
        <v>0</v>
      </c>
      <c r="EQ233" s="8">
        <v>0</v>
      </c>
      <c r="ER233" s="8">
        <v>0</v>
      </c>
      <c r="ES233" s="8">
        <v>0</v>
      </c>
      <c r="ET233" s="8">
        <v>0</v>
      </c>
      <c r="EU233" s="8">
        <v>0</v>
      </c>
      <c r="EV233" s="8">
        <v>0</v>
      </c>
      <c r="EW233" s="8">
        <v>0</v>
      </c>
      <c r="EX233" s="8">
        <v>0</v>
      </c>
      <c r="EY233" s="8">
        <v>0</v>
      </c>
      <c r="EZ233" s="8">
        <v>0</v>
      </c>
      <c r="FA233" s="8">
        <v>0</v>
      </c>
      <c r="FB233" s="9">
        <f t="shared" si="125"/>
        <v>0</v>
      </c>
      <c r="FC233" s="8">
        <v>0</v>
      </c>
      <c r="FD233" s="8">
        <v>0</v>
      </c>
      <c r="FE233" s="8">
        <v>0</v>
      </c>
      <c r="FF233" s="8">
        <v>0</v>
      </c>
      <c r="FG233" s="8">
        <v>0</v>
      </c>
      <c r="FH233" s="8">
        <v>0</v>
      </c>
      <c r="FI233" s="8">
        <v>0</v>
      </c>
      <c r="FJ233" s="8"/>
      <c r="FK233" s="8"/>
      <c r="FL233" s="8"/>
      <c r="FM233" s="8"/>
      <c r="FN233" s="8"/>
      <c r="FO233" s="9">
        <f t="shared" si="126"/>
        <v>0</v>
      </c>
    </row>
    <row r="234" spans="2:171" ht="14.25" customHeight="1" x14ac:dyDescent="0.3">
      <c r="B234" s="7" t="s">
        <v>47</v>
      </c>
      <c r="C234" s="8">
        <v>0</v>
      </c>
      <c r="D234" s="8">
        <v>0</v>
      </c>
      <c r="E234" s="8">
        <v>0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9">
        <f t="shared" si="114"/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0</v>
      </c>
      <c r="Z234" s="8">
        <v>0</v>
      </c>
      <c r="AA234" s="8">
        <v>0</v>
      </c>
      <c r="AB234" s="9">
        <f t="shared" si="115"/>
        <v>0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0</v>
      </c>
      <c r="AN234" s="8">
        <v>0</v>
      </c>
      <c r="AO234" s="9">
        <f t="shared" si="116"/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</v>
      </c>
      <c r="AU234" s="8">
        <v>0</v>
      </c>
      <c r="AV234" s="8">
        <v>0</v>
      </c>
      <c r="AW234" s="8">
        <v>0</v>
      </c>
      <c r="AX234" s="8">
        <v>0</v>
      </c>
      <c r="AY234" s="8">
        <v>0</v>
      </c>
      <c r="AZ234" s="8">
        <v>0</v>
      </c>
      <c r="BA234" s="8">
        <v>0</v>
      </c>
      <c r="BB234" s="9">
        <f t="shared" si="117"/>
        <v>0</v>
      </c>
      <c r="BC234" s="8">
        <v>0</v>
      </c>
      <c r="BD234" s="8">
        <v>0</v>
      </c>
      <c r="BE234" s="8">
        <v>0</v>
      </c>
      <c r="BF234" s="8">
        <v>0</v>
      </c>
      <c r="BG234" s="8">
        <v>0</v>
      </c>
      <c r="BH234" s="8">
        <v>0</v>
      </c>
      <c r="BI234" s="8">
        <v>0</v>
      </c>
      <c r="BJ234" s="8">
        <v>0</v>
      </c>
      <c r="BK234" s="8">
        <v>0</v>
      </c>
      <c r="BL234" s="8">
        <v>0</v>
      </c>
      <c r="BM234" s="8">
        <v>0</v>
      </c>
      <c r="BN234" s="8">
        <v>0</v>
      </c>
      <c r="BO234" s="9">
        <f t="shared" si="118"/>
        <v>0</v>
      </c>
      <c r="BP234" s="8">
        <v>0</v>
      </c>
      <c r="BQ234" s="8">
        <v>0</v>
      </c>
      <c r="BR234" s="8">
        <v>0</v>
      </c>
      <c r="BS234" s="8">
        <v>0</v>
      </c>
      <c r="BT234" s="8">
        <v>0</v>
      </c>
      <c r="BU234" s="8">
        <v>0</v>
      </c>
      <c r="BV234" s="8">
        <v>0</v>
      </c>
      <c r="BW234" s="8">
        <v>0</v>
      </c>
      <c r="BX234" s="8">
        <v>0</v>
      </c>
      <c r="BY234" s="8">
        <v>0</v>
      </c>
      <c r="BZ234" s="8">
        <v>0</v>
      </c>
      <c r="CA234" s="8">
        <v>0</v>
      </c>
      <c r="CB234" s="9">
        <f t="shared" si="119"/>
        <v>0</v>
      </c>
      <c r="CC234" s="8">
        <v>0</v>
      </c>
      <c r="CD234" s="8">
        <v>0</v>
      </c>
      <c r="CE234" s="8">
        <v>0</v>
      </c>
      <c r="CF234" s="8">
        <v>0</v>
      </c>
      <c r="CG234" s="8">
        <v>0</v>
      </c>
      <c r="CH234" s="8">
        <v>0</v>
      </c>
      <c r="CI234" s="8">
        <v>0</v>
      </c>
      <c r="CJ234" s="8">
        <v>0</v>
      </c>
      <c r="CK234" s="8">
        <v>0</v>
      </c>
      <c r="CL234" s="8">
        <v>0</v>
      </c>
      <c r="CM234" s="8">
        <v>0</v>
      </c>
      <c r="CN234" s="8">
        <v>0</v>
      </c>
      <c r="CO234" s="9">
        <f t="shared" si="120"/>
        <v>0</v>
      </c>
      <c r="CP234" s="8">
        <v>0</v>
      </c>
      <c r="CQ234" s="8">
        <v>0</v>
      </c>
      <c r="CR234" s="8">
        <v>0</v>
      </c>
      <c r="CS234" s="8">
        <v>0</v>
      </c>
      <c r="CT234" s="8">
        <v>0</v>
      </c>
      <c r="CU234" s="8">
        <v>0</v>
      </c>
      <c r="CV234" s="8">
        <v>0</v>
      </c>
      <c r="CW234" s="8">
        <v>0</v>
      </c>
      <c r="CX234" s="8">
        <v>0</v>
      </c>
      <c r="CY234" s="8">
        <v>0</v>
      </c>
      <c r="CZ234" s="8">
        <v>0</v>
      </c>
      <c r="DA234" s="8">
        <v>0</v>
      </c>
      <c r="DB234" s="9">
        <f t="shared" si="121"/>
        <v>0</v>
      </c>
      <c r="DC234" s="8">
        <v>0</v>
      </c>
      <c r="DD234" s="8">
        <v>0</v>
      </c>
      <c r="DE234" s="8">
        <v>0</v>
      </c>
      <c r="DF234" s="8">
        <v>0</v>
      </c>
      <c r="DG234" s="8">
        <v>0</v>
      </c>
      <c r="DH234" s="8">
        <v>0</v>
      </c>
      <c r="DI234" s="8">
        <v>0</v>
      </c>
      <c r="DJ234" s="8">
        <v>0</v>
      </c>
      <c r="DK234" s="8">
        <v>0</v>
      </c>
      <c r="DL234" s="8">
        <v>0</v>
      </c>
      <c r="DM234" s="8">
        <v>0</v>
      </c>
      <c r="DN234" s="8">
        <v>0</v>
      </c>
      <c r="DO234" s="9">
        <f t="shared" si="122"/>
        <v>0</v>
      </c>
      <c r="DP234" s="8">
        <v>0</v>
      </c>
      <c r="DQ234" s="8">
        <v>0</v>
      </c>
      <c r="DR234" s="8">
        <v>0</v>
      </c>
      <c r="DS234" s="8">
        <v>0</v>
      </c>
      <c r="DT234" s="8">
        <v>0</v>
      </c>
      <c r="DU234" s="8">
        <v>0</v>
      </c>
      <c r="DV234" s="8">
        <v>0</v>
      </c>
      <c r="DW234" s="8">
        <v>0</v>
      </c>
      <c r="DX234" s="8">
        <v>0</v>
      </c>
      <c r="DY234" s="8">
        <v>0</v>
      </c>
      <c r="DZ234" s="8">
        <v>0</v>
      </c>
      <c r="EA234" s="8">
        <v>0</v>
      </c>
      <c r="EB234" s="9">
        <f t="shared" si="123"/>
        <v>0</v>
      </c>
      <c r="EC234" s="8">
        <v>0</v>
      </c>
      <c r="ED234" s="8">
        <v>0</v>
      </c>
      <c r="EE234" s="8">
        <v>0</v>
      </c>
      <c r="EF234" s="8">
        <v>0</v>
      </c>
      <c r="EG234" s="8">
        <v>0</v>
      </c>
      <c r="EH234" s="8">
        <v>0</v>
      </c>
      <c r="EI234" s="8">
        <v>0</v>
      </c>
      <c r="EJ234" s="8">
        <v>0</v>
      </c>
      <c r="EK234" s="8">
        <v>0</v>
      </c>
      <c r="EL234" s="8">
        <v>0</v>
      </c>
      <c r="EM234" s="8">
        <v>0</v>
      </c>
      <c r="EN234" s="8">
        <v>0</v>
      </c>
      <c r="EO234" s="9">
        <f t="shared" si="124"/>
        <v>0</v>
      </c>
      <c r="EP234" s="8">
        <v>0</v>
      </c>
      <c r="EQ234" s="8">
        <v>0</v>
      </c>
      <c r="ER234" s="8">
        <v>0</v>
      </c>
      <c r="ES234" s="8">
        <v>0</v>
      </c>
      <c r="ET234" s="8">
        <v>0</v>
      </c>
      <c r="EU234" s="8">
        <v>0</v>
      </c>
      <c r="EV234" s="8">
        <v>0</v>
      </c>
      <c r="EW234" s="8">
        <v>0</v>
      </c>
      <c r="EX234" s="8">
        <v>0</v>
      </c>
      <c r="EY234" s="8">
        <v>0</v>
      </c>
      <c r="EZ234" s="8">
        <v>0</v>
      </c>
      <c r="FA234" s="8">
        <v>0</v>
      </c>
      <c r="FB234" s="9">
        <f t="shared" si="125"/>
        <v>0</v>
      </c>
      <c r="FC234" s="8">
        <v>0</v>
      </c>
      <c r="FD234" s="8">
        <v>0</v>
      </c>
      <c r="FE234" s="8">
        <v>0</v>
      </c>
      <c r="FF234" s="8">
        <v>0</v>
      </c>
      <c r="FG234" s="8">
        <v>0</v>
      </c>
      <c r="FH234" s="8">
        <v>0</v>
      </c>
      <c r="FI234" s="8">
        <v>0</v>
      </c>
      <c r="FJ234" s="8"/>
      <c r="FK234" s="8"/>
      <c r="FL234" s="8"/>
      <c r="FM234" s="8"/>
      <c r="FN234" s="8"/>
      <c r="FO234" s="9">
        <f t="shared" si="126"/>
        <v>0</v>
      </c>
    </row>
    <row r="235" spans="2:171" ht="14.25" customHeight="1" x14ac:dyDescent="0.3">
      <c r="B235" s="7" t="s">
        <v>48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0</v>
      </c>
      <c r="N235" s="8">
        <v>0</v>
      </c>
      <c r="O235" s="9">
        <f t="shared" si="114"/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0</v>
      </c>
      <c r="Z235" s="8">
        <v>0</v>
      </c>
      <c r="AA235" s="8">
        <v>0</v>
      </c>
      <c r="AB235" s="9">
        <f t="shared" si="115"/>
        <v>0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  <c r="AK235" s="8">
        <v>0</v>
      </c>
      <c r="AL235" s="8">
        <v>0</v>
      </c>
      <c r="AM235" s="8">
        <v>0</v>
      </c>
      <c r="AN235" s="8">
        <v>0</v>
      </c>
      <c r="AO235" s="9">
        <f t="shared" si="116"/>
        <v>0</v>
      </c>
      <c r="AP235" s="8">
        <v>0</v>
      </c>
      <c r="AQ235" s="8">
        <v>0</v>
      </c>
      <c r="AR235" s="8">
        <v>0</v>
      </c>
      <c r="AS235" s="8">
        <v>0</v>
      </c>
      <c r="AT235" s="8">
        <v>0</v>
      </c>
      <c r="AU235" s="8">
        <v>0</v>
      </c>
      <c r="AV235" s="8">
        <v>0</v>
      </c>
      <c r="AW235" s="8">
        <v>0</v>
      </c>
      <c r="AX235" s="8">
        <v>0</v>
      </c>
      <c r="AY235" s="8">
        <v>0</v>
      </c>
      <c r="AZ235" s="8">
        <v>0</v>
      </c>
      <c r="BA235" s="8">
        <v>0</v>
      </c>
      <c r="BB235" s="9">
        <f t="shared" si="117"/>
        <v>0</v>
      </c>
      <c r="BC235" s="8">
        <v>0</v>
      </c>
      <c r="BD235" s="8">
        <v>0</v>
      </c>
      <c r="BE235" s="8">
        <v>0</v>
      </c>
      <c r="BF235" s="8">
        <v>0</v>
      </c>
      <c r="BG235" s="8">
        <v>0</v>
      </c>
      <c r="BH235" s="8">
        <v>0</v>
      </c>
      <c r="BI235" s="8">
        <v>0</v>
      </c>
      <c r="BJ235" s="8">
        <v>0</v>
      </c>
      <c r="BK235" s="8">
        <v>0</v>
      </c>
      <c r="BL235" s="8">
        <v>0</v>
      </c>
      <c r="BM235" s="8">
        <v>0</v>
      </c>
      <c r="BN235" s="8">
        <v>0</v>
      </c>
      <c r="BO235" s="9">
        <f t="shared" si="118"/>
        <v>0</v>
      </c>
      <c r="BP235" s="8">
        <v>0</v>
      </c>
      <c r="BQ235" s="8">
        <v>0</v>
      </c>
      <c r="BR235" s="8">
        <v>0</v>
      </c>
      <c r="BS235" s="8">
        <v>0</v>
      </c>
      <c r="BT235" s="8">
        <v>0</v>
      </c>
      <c r="BU235" s="8">
        <v>0</v>
      </c>
      <c r="BV235" s="8">
        <v>0</v>
      </c>
      <c r="BW235" s="8">
        <v>0</v>
      </c>
      <c r="BX235" s="8">
        <v>0</v>
      </c>
      <c r="BY235" s="8">
        <v>0</v>
      </c>
      <c r="BZ235" s="8">
        <v>0</v>
      </c>
      <c r="CA235" s="8">
        <v>0</v>
      </c>
      <c r="CB235" s="9">
        <f t="shared" si="119"/>
        <v>0</v>
      </c>
      <c r="CC235" s="8">
        <v>0</v>
      </c>
      <c r="CD235" s="8">
        <v>0</v>
      </c>
      <c r="CE235" s="8">
        <v>0</v>
      </c>
      <c r="CF235" s="8">
        <v>0</v>
      </c>
      <c r="CG235" s="8">
        <v>0</v>
      </c>
      <c r="CH235" s="8">
        <v>0</v>
      </c>
      <c r="CI235" s="8">
        <v>0</v>
      </c>
      <c r="CJ235" s="8">
        <v>0</v>
      </c>
      <c r="CK235" s="8">
        <v>0</v>
      </c>
      <c r="CL235" s="8">
        <v>0</v>
      </c>
      <c r="CM235" s="8">
        <v>0</v>
      </c>
      <c r="CN235" s="8">
        <v>0</v>
      </c>
      <c r="CO235" s="9">
        <f t="shared" si="120"/>
        <v>0</v>
      </c>
      <c r="CP235" s="8">
        <v>0</v>
      </c>
      <c r="CQ235" s="8">
        <v>0</v>
      </c>
      <c r="CR235" s="8">
        <v>0</v>
      </c>
      <c r="CS235" s="8">
        <v>0</v>
      </c>
      <c r="CT235" s="8">
        <v>0</v>
      </c>
      <c r="CU235" s="8">
        <v>0</v>
      </c>
      <c r="CV235" s="8">
        <v>0</v>
      </c>
      <c r="CW235" s="8">
        <v>0</v>
      </c>
      <c r="CX235" s="8">
        <v>0</v>
      </c>
      <c r="CY235" s="8">
        <v>0</v>
      </c>
      <c r="CZ235" s="8">
        <v>0</v>
      </c>
      <c r="DA235" s="8">
        <v>0</v>
      </c>
      <c r="DB235" s="9">
        <f t="shared" si="121"/>
        <v>0</v>
      </c>
      <c r="DC235" s="8">
        <v>0</v>
      </c>
      <c r="DD235" s="8">
        <v>0</v>
      </c>
      <c r="DE235" s="8">
        <v>0</v>
      </c>
      <c r="DF235" s="8">
        <v>0</v>
      </c>
      <c r="DG235" s="8">
        <v>0</v>
      </c>
      <c r="DH235" s="8">
        <v>0</v>
      </c>
      <c r="DI235" s="8">
        <v>0</v>
      </c>
      <c r="DJ235" s="8">
        <v>0</v>
      </c>
      <c r="DK235" s="8">
        <v>0</v>
      </c>
      <c r="DL235" s="8">
        <v>0</v>
      </c>
      <c r="DM235" s="8">
        <v>0</v>
      </c>
      <c r="DN235" s="8">
        <v>0</v>
      </c>
      <c r="DO235" s="9">
        <f t="shared" si="122"/>
        <v>0</v>
      </c>
      <c r="DP235" s="8">
        <v>0</v>
      </c>
      <c r="DQ235" s="8">
        <v>0</v>
      </c>
      <c r="DR235" s="8">
        <v>0</v>
      </c>
      <c r="DS235" s="8">
        <v>0</v>
      </c>
      <c r="DT235" s="8">
        <v>0</v>
      </c>
      <c r="DU235" s="8">
        <v>0</v>
      </c>
      <c r="DV235" s="8">
        <v>0</v>
      </c>
      <c r="DW235" s="8">
        <v>0</v>
      </c>
      <c r="DX235" s="8">
        <v>0</v>
      </c>
      <c r="DY235" s="8">
        <v>0</v>
      </c>
      <c r="DZ235" s="8">
        <v>0</v>
      </c>
      <c r="EA235" s="8">
        <v>0</v>
      </c>
      <c r="EB235" s="9">
        <f t="shared" si="123"/>
        <v>0</v>
      </c>
      <c r="EC235" s="8">
        <v>0</v>
      </c>
      <c r="ED235" s="8">
        <v>0</v>
      </c>
      <c r="EE235" s="8">
        <v>0</v>
      </c>
      <c r="EF235" s="8">
        <v>0</v>
      </c>
      <c r="EG235" s="8">
        <v>0</v>
      </c>
      <c r="EH235" s="8">
        <v>0</v>
      </c>
      <c r="EI235" s="8">
        <v>0</v>
      </c>
      <c r="EJ235" s="8">
        <v>0</v>
      </c>
      <c r="EK235" s="8">
        <v>0</v>
      </c>
      <c r="EL235" s="8">
        <v>0</v>
      </c>
      <c r="EM235" s="8">
        <v>0</v>
      </c>
      <c r="EN235" s="8">
        <v>0</v>
      </c>
      <c r="EO235" s="9">
        <f t="shared" si="124"/>
        <v>0</v>
      </c>
      <c r="EP235" s="8">
        <v>0</v>
      </c>
      <c r="EQ235" s="8">
        <v>0</v>
      </c>
      <c r="ER235" s="8">
        <v>0</v>
      </c>
      <c r="ES235" s="8">
        <v>0</v>
      </c>
      <c r="ET235" s="8">
        <v>0</v>
      </c>
      <c r="EU235" s="8">
        <v>0</v>
      </c>
      <c r="EV235" s="8">
        <v>0</v>
      </c>
      <c r="EW235" s="8">
        <v>0</v>
      </c>
      <c r="EX235" s="8">
        <v>0</v>
      </c>
      <c r="EY235" s="8">
        <v>0</v>
      </c>
      <c r="EZ235" s="8">
        <v>0</v>
      </c>
      <c r="FA235" s="8">
        <v>0</v>
      </c>
      <c r="FB235" s="9">
        <f t="shared" si="125"/>
        <v>0</v>
      </c>
      <c r="FC235" s="8">
        <v>0</v>
      </c>
      <c r="FD235" s="8">
        <v>0</v>
      </c>
      <c r="FE235" s="8">
        <v>0</v>
      </c>
      <c r="FF235" s="8">
        <v>0</v>
      </c>
      <c r="FG235" s="8">
        <v>0</v>
      </c>
      <c r="FH235" s="8">
        <v>0</v>
      </c>
      <c r="FI235" s="8">
        <v>0</v>
      </c>
      <c r="FJ235" s="8"/>
      <c r="FK235" s="8"/>
      <c r="FL235" s="8"/>
      <c r="FM235" s="8"/>
      <c r="FN235" s="8"/>
      <c r="FO235" s="9">
        <f t="shared" si="126"/>
        <v>0</v>
      </c>
    </row>
    <row r="236" spans="2:171" ht="14.25" customHeight="1" x14ac:dyDescent="0.3">
      <c r="B236" s="7" t="s">
        <v>49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9">
        <f t="shared" si="114"/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9">
        <f t="shared" si="115"/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  <c r="AK236" s="8">
        <v>0</v>
      </c>
      <c r="AL236" s="8">
        <v>0</v>
      </c>
      <c r="AM236" s="8">
        <v>0</v>
      </c>
      <c r="AN236" s="8">
        <v>0</v>
      </c>
      <c r="AO236" s="9">
        <f t="shared" si="116"/>
        <v>0</v>
      </c>
      <c r="AP236" s="8">
        <v>0</v>
      </c>
      <c r="AQ236" s="8">
        <v>0</v>
      </c>
      <c r="AR236" s="8">
        <v>0</v>
      </c>
      <c r="AS236" s="8">
        <v>0</v>
      </c>
      <c r="AT236" s="8">
        <v>0</v>
      </c>
      <c r="AU236" s="8">
        <v>0</v>
      </c>
      <c r="AV236" s="8">
        <v>0</v>
      </c>
      <c r="AW236" s="8">
        <v>0</v>
      </c>
      <c r="AX236" s="8">
        <v>0</v>
      </c>
      <c r="AY236" s="8">
        <v>0</v>
      </c>
      <c r="AZ236" s="8">
        <v>0</v>
      </c>
      <c r="BA236" s="8">
        <v>0</v>
      </c>
      <c r="BB236" s="9">
        <f t="shared" si="117"/>
        <v>0</v>
      </c>
      <c r="BC236" s="8">
        <v>0</v>
      </c>
      <c r="BD236" s="8">
        <v>0</v>
      </c>
      <c r="BE236" s="8">
        <v>0</v>
      </c>
      <c r="BF236" s="8">
        <v>0</v>
      </c>
      <c r="BG236" s="8">
        <v>0</v>
      </c>
      <c r="BH236" s="8">
        <v>0</v>
      </c>
      <c r="BI236" s="8">
        <v>0</v>
      </c>
      <c r="BJ236" s="8">
        <v>0</v>
      </c>
      <c r="BK236" s="8">
        <v>0</v>
      </c>
      <c r="BL236" s="8">
        <v>0</v>
      </c>
      <c r="BM236" s="8">
        <v>0</v>
      </c>
      <c r="BN236" s="8">
        <v>0</v>
      </c>
      <c r="BO236" s="9">
        <f t="shared" si="118"/>
        <v>0</v>
      </c>
      <c r="BP236" s="8">
        <v>0</v>
      </c>
      <c r="BQ236" s="8">
        <v>0</v>
      </c>
      <c r="BR236" s="8">
        <v>0</v>
      </c>
      <c r="BS236" s="8">
        <v>0</v>
      </c>
      <c r="BT236" s="8">
        <v>0</v>
      </c>
      <c r="BU236" s="8">
        <v>0</v>
      </c>
      <c r="BV236" s="8">
        <v>0</v>
      </c>
      <c r="BW236" s="8">
        <v>0</v>
      </c>
      <c r="BX236" s="8">
        <v>0</v>
      </c>
      <c r="BY236" s="8">
        <v>0</v>
      </c>
      <c r="BZ236" s="8">
        <v>0</v>
      </c>
      <c r="CA236" s="8">
        <v>0</v>
      </c>
      <c r="CB236" s="9">
        <f t="shared" si="119"/>
        <v>0</v>
      </c>
      <c r="CC236" s="8">
        <v>0</v>
      </c>
      <c r="CD236" s="8">
        <v>0</v>
      </c>
      <c r="CE236" s="8">
        <v>0</v>
      </c>
      <c r="CF236" s="8">
        <v>0</v>
      </c>
      <c r="CG236" s="8">
        <v>0</v>
      </c>
      <c r="CH236" s="8">
        <v>0</v>
      </c>
      <c r="CI236" s="8">
        <v>0</v>
      </c>
      <c r="CJ236" s="8">
        <v>0</v>
      </c>
      <c r="CK236" s="8">
        <v>0</v>
      </c>
      <c r="CL236" s="8">
        <v>0</v>
      </c>
      <c r="CM236" s="8">
        <v>0</v>
      </c>
      <c r="CN236" s="8">
        <v>0</v>
      </c>
      <c r="CO236" s="9">
        <f t="shared" si="120"/>
        <v>0</v>
      </c>
      <c r="CP236" s="8">
        <v>0</v>
      </c>
      <c r="CQ236" s="8">
        <v>0</v>
      </c>
      <c r="CR236" s="8">
        <v>0</v>
      </c>
      <c r="CS236" s="8">
        <v>0</v>
      </c>
      <c r="CT236" s="8">
        <v>0</v>
      </c>
      <c r="CU236" s="8">
        <v>0</v>
      </c>
      <c r="CV236" s="8">
        <v>0</v>
      </c>
      <c r="CW236" s="8">
        <v>0</v>
      </c>
      <c r="CX236" s="8">
        <v>0</v>
      </c>
      <c r="CY236" s="8">
        <v>0</v>
      </c>
      <c r="CZ236" s="8">
        <v>0</v>
      </c>
      <c r="DA236" s="8">
        <v>0</v>
      </c>
      <c r="DB236" s="9">
        <f t="shared" si="121"/>
        <v>0</v>
      </c>
      <c r="DC236" s="8">
        <v>0</v>
      </c>
      <c r="DD236" s="8">
        <v>0</v>
      </c>
      <c r="DE236" s="8">
        <v>0</v>
      </c>
      <c r="DF236" s="8">
        <v>0</v>
      </c>
      <c r="DG236" s="8">
        <v>0</v>
      </c>
      <c r="DH236" s="8">
        <v>0</v>
      </c>
      <c r="DI236" s="8">
        <v>0</v>
      </c>
      <c r="DJ236" s="8">
        <v>0</v>
      </c>
      <c r="DK236" s="8">
        <v>0</v>
      </c>
      <c r="DL236" s="8">
        <v>0</v>
      </c>
      <c r="DM236" s="8">
        <v>0</v>
      </c>
      <c r="DN236" s="8">
        <v>0</v>
      </c>
      <c r="DO236" s="9">
        <f t="shared" si="122"/>
        <v>0</v>
      </c>
      <c r="DP236" s="8">
        <v>0</v>
      </c>
      <c r="DQ236" s="8">
        <v>0</v>
      </c>
      <c r="DR236" s="8">
        <v>0</v>
      </c>
      <c r="DS236" s="8">
        <v>0</v>
      </c>
      <c r="DT236" s="8">
        <v>0</v>
      </c>
      <c r="DU236" s="8">
        <v>0</v>
      </c>
      <c r="DV236" s="8">
        <v>0</v>
      </c>
      <c r="DW236" s="8">
        <v>0</v>
      </c>
      <c r="DX236" s="8">
        <v>0</v>
      </c>
      <c r="DY236" s="8">
        <v>0</v>
      </c>
      <c r="DZ236" s="8">
        <v>0</v>
      </c>
      <c r="EA236" s="8">
        <v>0</v>
      </c>
      <c r="EB236" s="9">
        <f t="shared" si="123"/>
        <v>0</v>
      </c>
      <c r="EC236" s="8">
        <v>0</v>
      </c>
      <c r="ED236" s="8">
        <v>0</v>
      </c>
      <c r="EE236" s="8">
        <v>0</v>
      </c>
      <c r="EF236" s="8">
        <v>0</v>
      </c>
      <c r="EG236" s="8">
        <v>0</v>
      </c>
      <c r="EH236" s="8">
        <v>0</v>
      </c>
      <c r="EI236" s="8">
        <v>0</v>
      </c>
      <c r="EJ236" s="8">
        <v>0</v>
      </c>
      <c r="EK236" s="8">
        <v>0</v>
      </c>
      <c r="EL236" s="8">
        <v>0</v>
      </c>
      <c r="EM236" s="8">
        <v>0</v>
      </c>
      <c r="EN236" s="8">
        <v>0</v>
      </c>
      <c r="EO236" s="9">
        <f t="shared" si="124"/>
        <v>0</v>
      </c>
      <c r="EP236" s="8">
        <v>0</v>
      </c>
      <c r="EQ236" s="8">
        <v>0</v>
      </c>
      <c r="ER236" s="8">
        <v>0</v>
      </c>
      <c r="ES236" s="8">
        <v>0</v>
      </c>
      <c r="ET236" s="8">
        <v>0</v>
      </c>
      <c r="EU236" s="8">
        <v>0</v>
      </c>
      <c r="EV236" s="8">
        <v>0</v>
      </c>
      <c r="EW236" s="8">
        <v>0</v>
      </c>
      <c r="EX236" s="8">
        <v>0</v>
      </c>
      <c r="EY236" s="8">
        <v>0</v>
      </c>
      <c r="EZ236" s="8">
        <v>0</v>
      </c>
      <c r="FA236" s="8">
        <v>0</v>
      </c>
      <c r="FB236" s="9">
        <f t="shared" si="125"/>
        <v>0</v>
      </c>
      <c r="FC236" s="8">
        <v>0</v>
      </c>
      <c r="FD236" s="8">
        <v>0</v>
      </c>
      <c r="FE236" s="8">
        <v>0</v>
      </c>
      <c r="FF236" s="8">
        <v>0</v>
      </c>
      <c r="FG236" s="8">
        <v>0</v>
      </c>
      <c r="FH236" s="8">
        <v>0</v>
      </c>
      <c r="FI236" s="8">
        <v>0</v>
      </c>
      <c r="FJ236" s="8"/>
      <c r="FK236" s="8"/>
      <c r="FL236" s="8"/>
      <c r="FM236" s="8"/>
      <c r="FN236" s="8"/>
      <c r="FO236" s="9">
        <f t="shared" si="126"/>
        <v>0</v>
      </c>
    </row>
    <row r="237" spans="2:171" ht="14.25" customHeight="1" x14ac:dyDescent="0.3">
      <c r="B237" s="7" t="s">
        <v>50</v>
      </c>
      <c r="C237" s="8">
        <v>0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9">
        <f t="shared" si="114"/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9">
        <f t="shared" si="115"/>
        <v>0</v>
      </c>
      <c r="AC237" s="8">
        <v>0</v>
      </c>
      <c r="AD237" s="8">
        <v>0</v>
      </c>
      <c r="AE237" s="8">
        <v>0</v>
      </c>
      <c r="AF237" s="8">
        <v>0</v>
      </c>
      <c r="AG237" s="8">
        <v>0</v>
      </c>
      <c r="AH237" s="8">
        <v>0</v>
      </c>
      <c r="AI237" s="8">
        <v>0</v>
      </c>
      <c r="AJ237" s="8">
        <v>0</v>
      </c>
      <c r="AK237" s="8">
        <v>0</v>
      </c>
      <c r="AL237" s="8">
        <v>0</v>
      </c>
      <c r="AM237" s="8">
        <v>0</v>
      </c>
      <c r="AN237" s="8">
        <v>0</v>
      </c>
      <c r="AO237" s="9">
        <f t="shared" si="116"/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</v>
      </c>
      <c r="AU237" s="8">
        <v>0</v>
      </c>
      <c r="AV237" s="8">
        <v>0</v>
      </c>
      <c r="AW237" s="8">
        <v>0</v>
      </c>
      <c r="AX237" s="8">
        <v>0</v>
      </c>
      <c r="AY237" s="8">
        <v>0</v>
      </c>
      <c r="AZ237" s="8">
        <v>0</v>
      </c>
      <c r="BA237" s="8">
        <v>0</v>
      </c>
      <c r="BB237" s="9">
        <f t="shared" si="117"/>
        <v>0</v>
      </c>
      <c r="BC237" s="8">
        <v>0</v>
      </c>
      <c r="BD237" s="8">
        <v>0</v>
      </c>
      <c r="BE237" s="8">
        <v>0</v>
      </c>
      <c r="BF237" s="8">
        <v>0</v>
      </c>
      <c r="BG237" s="8">
        <v>0</v>
      </c>
      <c r="BH237" s="8">
        <v>0</v>
      </c>
      <c r="BI237" s="8">
        <v>0</v>
      </c>
      <c r="BJ237" s="8">
        <v>0</v>
      </c>
      <c r="BK237" s="8">
        <v>0</v>
      </c>
      <c r="BL237" s="8">
        <v>0</v>
      </c>
      <c r="BM237" s="8">
        <v>0</v>
      </c>
      <c r="BN237" s="8">
        <v>0</v>
      </c>
      <c r="BO237" s="9">
        <f t="shared" si="118"/>
        <v>0</v>
      </c>
      <c r="BP237" s="8">
        <v>0</v>
      </c>
      <c r="BQ237" s="8">
        <v>0</v>
      </c>
      <c r="BR237" s="8">
        <v>0</v>
      </c>
      <c r="BS237" s="8">
        <v>0</v>
      </c>
      <c r="BT237" s="8">
        <v>0</v>
      </c>
      <c r="BU237" s="8">
        <v>0</v>
      </c>
      <c r="BV237" s="8">
        <v>0</v>
      </c>
      <c r="BW237" s="8">
        <v>0</v>
      </c>
      <c r="BX237" s="8">
        <v>0</v>
      </c>
      <c r="BY237" s="8">
        <v>0</v>
      </c>
      <c r="BZ237" s="8">
        <v>0</v>
      </c>
      <c r="CA237" s="8">
        <v>0</v>
      </c>
      <c r="CB237" s="9">
        <f t="shared" si="119"/>
        <v>0</v>
      </c>
      <c r="CC237" s="8">
        <v>0</v>
      </c>
      <c r="CD237" s="8">
        <v>0</v>
      </c>
      <c r="CE237" s="8">
        <v>0</v>
      </c>
      <c r="CF237" s="8">
        <v>0</v>
      </c>
      <c r="CG237" s="8">
        <v>0</v>
      </c>
      <c r="CH237" s="8">
        <v>0</v>
      </c>
      <c r="CI237" s="8">
        <v>0</v>
      </c>
      <c r="CJ237" s="8">
        <v>0</v>
      </c>
      <c r="CK237" s="8">
        <v>0</v>
      </c>
      <c r="CL237" s="8">
        <v>0</v>
      </c>
      <c r="CM237" s="8">
        <v>0</v>
      </c>
      <c r="CN237" s="8">
        <v>0</v>
      </c>
      <c r="CO237" s="9">
        <f t="shared" si="120"/>
        <v>0</v>
      </c>
      <c r="CP237" s="8">
        <v>0</v>
      </c>
      <c r="CQ237" s="8">
        <v>0</v>
      </c>
      <c r="CR237" s="8">
        <v>0</v>
      </c>
      <c r="CS237" s="8">
        <v>0</v>
      </c>
      <c r="CT237" s="8">
        <v>0</v>
      </c>
      <c r="CU237" s="8">
        <v>0</v>
      </c>
      <c r="CV237" s="8">
        <v>0</v>
      </c>
      <c r="CW237" s="8">
        <v>0</v>
      </c>
      <c r="CX237" s="8">
        <v>0</v>
      </c>
      <c r="CY237" s="8">
        <v>0</v>
      </c>
      <c r="CZ237" s="8">
        <v>0</v>
      </c>
      <c r="DA237" s="8">
        <v>0</v>
      </c>
      <c r="DB237" s="9">
        <f t="shared" si="121"/>
        <v>0</v>
      </c>
      <c r="DC237" s="8">
        <v>0</v>
      </c>
      <c r="DD237" s="8">
        <v>0</v>
      </c>
      <c r="DE237" s="8">
        <v>0</v>
      </c>
      <c r="DF237" s="8">
        <v>0</v>
      </c>
      <c r="DG237" s="8">
        <v>0</v>
      </c>
      <c r="DH237" s="8">
        <v>0</v>
      </c>
      <c r="DI237" s="8">
        <v>0</v>
      </c>
      <c r="DJ237" s="8">
        <v>0</v>
      </c>
      <c r="DK237" s="8">
        <v>0</v>
      </c>
      <c r="DL237" s="8">
        <v>0</v>
      </c>
      <c r="DM237" s="8">
        <v>0</v>
      </c>
      <c r="DN237" s="8">
        <v>0</v>
      </c>
      <c r="DO237" s="9">
        <f t="shared" si="122"/>
        <v>0</v>
      </c>
      <c r="DP237" s="8">
        <v>0</v>
      </c>
      <c r="DQ237" s="8">
        <v>0</v>
      </c>
      <c r="DR237" s="8">
        <v>0</v>
      </c>
      <c r="DS237" s="8">
        <v>0</v>
      </c>
      <c r="DT237" s="8">
        <v>0</v>
      </c>
      <c r="DU237" s="8">
        <v>0</v>
      </c>
      <c r="DV237" s="8">
        <v>0</v>
      </c>
      <c r="DW237" s="8">
        <v>0</v>
      </c>
      <c r="DX237" s="8">
        <v>0</v>
      </c>
      <c r="DY237" s="8">
        <v>0</v>
      </c>
      <c r="DZ237" s="8">
        <v>0</v>
      </c>
      <c r="EA237" s="8">
        <v>0</v>
      </c>
      <c r="EB237" s="9">
        <f t="shared" si="123"/>
        <v>0</v>
      </c>
      <c r="EC237" s="8">
        <v>0</v>
      </c>
      <c r="ED237" s="8">
        <v>0</v>
      </c>
      <c r="EE237" s="8">
        <v>0</v>
      </c>
      <c r="EF237" s="8">
        <v>0</v>
      </c>
      <c r="EG237" s="8">
        <v>0</v>
      </c>
      <c r="EH237" s="8">
        <v>0</v>
      </c>
      <c r="EI237" s="8">
        <v>0</v>
      </c>
      <c r="EJ237" s="8">
        <v>0</v>
      </c>
      <c r="EK237" s="8">
        <v>0</v>
      </c>
      <c r="EL237" s="8">
        <v>0</v>
      </c>
      <c r="EM237" s="8">
        <v>0</v>
      </c>
      <c r="EN237" s="8">
        <v>0</v>
      </c>
      <c r="EO237" s="9">
        <f t="shared" si="124"/>
        <v>0</v>
      </c>
      <c r="EP237" s="8">
        <v>0</v>
      </c>
      <c r="EQ237" s="8">
        <v>0</v>
      </c>
      <c r="ER237" s="8">
        <v>0</v>
      </c>
      <c r="ES237" s="8">
        <v>0</v>
      </c>
      <c r="ET237" s="8">
        <v>0</v>
      </c>
      <c r="EU237" s="8">
        <v>0</v>
      </c>
      <c r="EV237" s="8">
        <v>0</v>
      </c>
      <c r="EW237" s="8">
        <v>0</v>
      </c>
      <c r="EX237" s="8">
        <v>0</v>
      </c>
      <c r="EY237" s="8">
        <v>0</v>
      </c>
      <c r="EZ237" s="8">
        <v>0</v>
      </c>
      <c r="FA237" s="8">
        <v>0</v>
      </c>
      <c r="FB237" s="9">
        <f t="shared" si="125"/>
        <v>0</v>
      </c>
      <c r="FC237" s="8">
        <v>0</v>
      </c>
      <c r="FD237" s="8">
        <v>0</v>
      </c>
      <c r="FE237" s="8">
        <v>0</v>
      </c>
      <c r="FF237" s="8">
        <v>0</v>
      </c>
      <c r="FG237" s="8">
        <v>0</v>
      </c>
      <c r="FH237" s="8">
        <v>0</v>
      </c>
      <c r="FI237" s="8">
        <v>0</v>
      </c>
      <c r="FJ237" s="8"/>
      <c r="FK237" s="8"/>
      <c r="FL237" s="8"/>
      <c r="FM237" s="8"/>
      <c r="FN237" s="8"/>
      <c r="FO237" s="9">
        <f t="shared" si="126"/>
        <v>0</v>
      </c>
    </row>
    <row r="238" spans="2:171" ht="14.25" customHeight="1" x14ac:dyDescent="0.3">
      <c r="B238" s="7" t="s">
        <v>51</v>
      </c>
      <c r="C238" s="8">
        <v>0</v>
      </c>
      <c r="D238" s="8">
        <v>0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9">
        <f t="shared" si="114"/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9">
        <f t="shared" si="115"/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  <c r="AK238" s="8">
        <v>0</v>
      </c>
      <c r="AL238" s="8">
        <v>0</v>
      </c>
      <c r="AM238" s="8">
        <v>0</v>
      </c>
      <c r="AN238" s="8">
        <v>0</v>
      </c>
      <c r="AO238" s="9">
        <f t="shared" si="116"/>
        <v>0</v>
      </c>
      <c r="AP238" s="8">
        <v>0</v>
      </c>
      <c r="AQ238" s="8">
        <v>0</v>
      </c>
      <c r="AR238" s="8">
        <v>0</v>
      </c>
      <c r="AS238" s="8">
        <v>0</v>
      </c>
      <c r="AT238" s="8">
        <v>0</v>
      </c>
      <c r="AU238" s="8">
        <v>0</v>
      </c>
      <c r="AV238" s="8">
        <v>0</v>
      </c>
      <c r="AW238" s="8">
        <v>0</v>
      </c>
      <c r="AX238" s="8">
        <v>0</v>
      </c>
      <c r="AY238" s="8">
        <v>0</v>
      </c>
      <c r="AZ238" s="8">
        <v>0</v>
      </c>
      <c r="BA238" s="8">
        <v>0</v>
      </c>
      <c r="BB238" s="9">
        <f t="shared" si="117"/>
        <v>0</v>
      </c>
      <c r="BC238" s="8">
        <v>0</v>
      </c>
      <c r="BD238" s="8">
        <v>0</v>
      </c>
      <c r="BE238" s="8">
        <v>0</v>
      </c>
      <c r="BF238" s="8">
        <v>0</v>
      </c>
      <c r="BG238" s="8">
        <v>0</v>
      </c>
      <c r="BH238" s="8">
        <v>0</v>
      </c>
      <c r="BI238" s="8">
        <v>0</v>
      </c>
      <c r="BJ238" s="8">
        <v>0</v>
      </c>
      <c r="BK238" s="8">
        <v>0</v>
      </c>
      <c r="BL238" s="8">
        <v>0</v>
      </c>
      <c r="BM238" s="8">
        <v>0</v>
      </c>
      <c r="BN238" s="8">
        <v>0</v>
      </c>
      <c r="BO238" s="9">
        <f t="shared" si="118"/>
        <v>0</v>
      </c>
      <c r="BP238" s="8">
        <v>0</v>
      </c>
      <c r="BQ238" s="8">
        <v>0</v>
      </c>
      <c r="BR238" s="8">
        <v>0</v>
      </c>
      <c r="BS238" s="8">
        <v>0</v>
      </c>
      <c r="BT238" s="8">
        <v>0</v>
      </c>
      <c r="BU238" s="8">
        <v>0</v>
      </c>
      <c r="BV238" s="8">
        <v>0</v>
      </c>
      <c r="BW238" s="8">
        <v>0</v>
      </c>
      <c r="BX238" s="8">
        <v>0</v>
      </c>
      <c r="BY238" s="8">
        <v>0</v>
      </c>
      <c r="BZ238" s="8">
        <v>0</v>
      </c>
      <c r="CA238" s="8">
        <v>0</v>
      </c>
      <c r="CB238" s="9">
        <f t="shared" si="119"/>
        <v>0</v>
      </c>
      <c r="CC238" s="8">
        <v>0</v>
      </c>
      <c r="CD238" s="8">
        <v>0</v>
      </c>
      <c r="CE238" s="8">
        <v>0</v>
      </c>
      <c r="CF238" s="8">
        <v>0</v>
      </c>
      <c r="CG238" s="8">
        <v>0</v>
      </c>
      <c r="CH238" s="8">
        <v>0</v>
      </c>
      <c r="CI238" s="8">
        <v>0</v>
      </c>
      <c r="CJ238" s="8">
        <v>0</v>
      </c>
      <c r="CK238" s="8">
        <v>0</v>
      </c>
      <c r="CL238" s="8">
        <v>0</v>
      </c>
      <c r="CM238" s="8">
        <v>0</v>
      </c>
      <c r="CN238" s="8">
        <v>0</v>
      </c>
      <c r="CO238" s="9">
        <f t="shared" si="120"/>
        <v>0</v>
      </c>
      <c r="CP238" s="8">
        <v>0</v>
      </c>
      <c r="CQ238" s="8">
        <v>0</v>
      </c>
      <c r="CR238" s="8">
        <v>0</v>
      </c>
      <c r="CS238" s="8">
        <v>0</v>
      </c>
      <c r="CT238" s="8">
        <v>0</v>
      </c>
      <c r="CU238" s="8">
        <v>0</v>
      </c>
      <c r="CV238" s="8">
        <v>0</v>
      </c>
      <c r="CW238" s="8">
        <v>0</v>
      </c>
      <c r="CX238" s="8">
        <v>0</v>
      </c>
      <c r="CY238" s="8">
        <v>0</v>
      </c>
      <c r="CZ238" s="8">
        <v>0</v>
      </c>
      <c r="DA238" s="8">
        <v>0</v>
      </c>
      <c r="DB238" s="9">
        <f t="shared" si="121"/>
        <v>0</v>
      </c>
      <c r="DC238" s="8">
        <v>0</v>
      </c>
      <c r="DD238" s="8">
        <v>0</v>
      </c>
      <c r="DE238" s="8">
        <v>0</v>
      </c>
      <c r="DF238" s="8">
        <v>0</v>
      </c>
      <c r="DG238" s="8">
        <v>0</v>
      </c>
      <c r="DH238" s="8">
        <v>0</v>
      </c>
      <c r="DI238" s="8">
        <v>0</v>
      </c>
      <c r="DJ238" s="8">
        <v>0</v>
      </c>
      <c r="DK238" s="8">
        <v>0</v>
      </c>
      <c r="DL238" s="8">
        <v>0</v>
      </c>
      <c r="DM238" s="8">
        <v>0</v>
      </c>
      <c r="DN238" s="8">
        <v>0</v>
      </c>
      <c r="DO238" s="9">
        <f t="shared" si="122"/>
        <v>0</v>
      </c>
      <c r="DP238" s="8">
        <v>0</v>
      </c>
      <c r="DQ238" s="8">
        <v>0</v>
      </c>
      <c r="DR238" s="8">
        <v>0</v>
      </c>
      <c r="DS238" s="8">
        <v>0</v>
      </c>
      <c r="DT238" s="8">
        <v>0</v>
      </c>
      <c r="DU238" s="8">
        <v>0</v>
      </c>
      <c r="DV238" s="8">
        <v>0</v>
      </c>
      <c r="DW238" s="8">
        <v>0</v>
      </c>
      <c r="DX238" s="8">
        <v>0</v>
      </c>
      <c r="DY238" s="8">
        <v>0</v>
      </c>
      <c r="DZ238" s="8">
        <v>0</v>
      </c>
      <c r="EA238" s="8">
        <v>0</v>
      </c>
      <c r="EB238" s="9">
        <f t="shared" si="123"/>
        <v>0</v>
      </c>
      <c r="EC238" s="8">
        <v>0</v>
      </c>
      <c r="ED238" s="8">
        <v>0</v>
      </c>
      <c r="EE238" s="8">
        <v>0</v>
      </c>
      <c r="EF238" s="8">
        <v>0</v>
      </c>
      <c r="EG238" s="8">
        <v>0</v>
      </c>
      <c r="EH238" s="8">
        <v>0</v>
      </c>
      <c r="EI238" s="8">
        <v>0</v>
      </c>
      <c r="EJ238" s="8">
        <v>0</v>
      </c>
      <c r="EK238" s="8">
        <v>0</v>
      </c>
      <c r="EL238" s="8">
        <v>0</v>
      </c>
      <c r="EM238" s="8">
        <v>0</v>
      </c>
      <c r="EN238" s="8">
        <v>0</v>
      </c>
      <c r="EO238" s="9">
        <f t="shared" si="124"/>
        <v>0</v>
      </c>
      <c r="EP238" s="8">
        <v>0</v>
      </c>
      <c r="EQ238" s="8">
        <v>0</v>
      </c>
      <c r="ER238" s="8">
        <v>0</v>
      </c>
      <c r="ES238" s="8">
        <v>0</v>
      </c>
      <c r="ET238" s="8">
        <v>0</v>
      </c>
      <c r="EU238" s="8">
        <v>0</v>
      </c>
      <c r="EV238" s="8">
        <v>0</v>
      </c>
      <c r="EW238" s="8">
        <v>0</v>
      </c>
      <c r="EX238" s="8">
        <v>0</v>
      </c>
      <c r="EY238" s="8">
        <v>0</v>
      </c>
      <c r="EZ238" s="8">
        <v>0</v>
      </c>
      <c r="FA238" s="8">
        <v>0</v>
      </c>
      <c r="FB238" s="9">
        <f t="shared" si="125"/>
        <v>0</v>
      </c>
      <c r="FC238" s="8">
        <v>0</v>
      </c>
      <c r="FD238" s="8">
        <v>0</v>
      </c>
      <c r="FE238" s="8">
        <v>0</v>
      </c>
      <c r="FF238" s="8">
        <v>0</v>
      </c>
      <c r="FG238" s="8">
        <v>0</v>
      </c>
      <c r="FH238" s="8">
        <v>0</v>
      </c>
      <c r="FI238" s="8">
        <v>0</v>
      </c>
      <c r="FJ238" s="8"/>
      <c r="FK238" s="8"/>
      <c r="FL238" s="8"/>
      <c r="FM238" s="8"/>
      <c r="FN238" s="8"/>
      <c r="FO238" s="9">
        <f t="shared" si="126"/>
        <v>0</v>
      </c>
    </row>
    <row r="239" spans="2:171" ht="14.25" customHeight="1" x14ac:dyDescent="0.3">
      <c r="B239" s="7" t="s">
        <v>52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9">
        <f t="shared" si="114"/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9">
        <f t="shared" si="115"/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  <c r="AK239" s="8">
        <v>0</v>
      </c>
      <c r="AL239" s="8">
        <v>0</v>
      </c>
      <c r="AM239" s="8">
        <v>0</v>
      </c>
      <c r="AN239" s="8">
        <v>0</v>
      </c>
      <c r="AO239" s="9">
        <f t="shared" si="116"/>
        <v>0</v>
      </c>
      <c r="AP239" s="8">
        <v>0</v>
      </c>
      <c r="AQ239" s="8">
        <v>0</v>
      </c>
      <c r="AR239" s="8">
        <v>0</v>
      </c>
      <c r="AS239" s="8">
        <v>0</v>
      </c>
      <c r="AT239" s="8">
        <v>0</v>
      </c>
      <c r="AU239" s="8">
        <v>0</v>
      </c>
      <c r="AV239" s="8">
        <v>0</v>
      </c>
      <c r="AW239" s="8">
        <v>0</v>
      </c>
      <c r="AX239" s="8">
        <v>0</v>
      </c>
      <c r="AY239" s="8">
        <v>0</v>
      </c>
      <c r="AZ239" s="8">
        <v>0</v>
      </c>
      <c r="BA239" s="8">
        <v>0</v>
      </c>
      <c r="BB239" s="9">
        <f t="shared" si="117"/>
        <v>0</v>
      </c>
      <c r="BC239" s="8">
        <v>0</v>
      </c>
      <c r="BD239" s="8">
        <v>0</v>
      </c>
      <c r="BE239" s="8">
        <v>0</v>
      </c>
      <c r="BF239" s="8">
        <v>0</v>
      </c>
      <c r="BG239" s="8">
        <v>0</v>
      </c>
      <c r="BH239" s="8">
        <v>0</v>
      </c>
      <c r="BI239" s="8">
        <v>0</v>
      </c>
      <c r="BJ239" s="8">
        <v>0</v>
      </c>
      <c r="BK239" s="8">
        <v>0</v>
      </c>
      <c r="BL239" s="8">
        <v>0</v>
      </c>
      <c r="BM239" s="8">
        <v>0</v>
      </c>
      <c r="BN239" s="8">
        <v>0</v>
      </c>
      <c r="BO239" s="9">
        <f t="shared" si="118"/>
        <v>0</v>
      </c>
      <c r="BP239" s="8">
        <v>0</v>
      </c>
      <c r="BQ239" s="8">
        <v>0</v>
      </c>
      <c r="BR239" s="8">
        <v>0</v>
      </c>
      <c r="BS239" s="8">
        <v>0</v>
      </c>
      <c r="BT239" s="8">
        <v>0</v>
      </c>
      <c r="BU239" s="8">
        <v>0</v>
      </c>
      <c r="BV239" s="8">
        <v>0</v>
      </c>
      <c r="BW239" s="8">
        <v>0</v>
      </c>
      <c r="BX239" s="8">
        <v>0</v>
      </c>
      <c r="BY239" s="8">
        <v>0</v>
      </c>
      <c r="BZ239" s="8">
        <v>0</v>
      </c>
      <c r="CA239" s="8">
        <v>0</v>
      </c>
      <c r="CB239" s="9">
        <f t="shared" si="119"/>
        <v>0</v>
      </c>
      <c r="CC239" s="8">
        <v>0</v>
      </c>
      <c r="CD239" s="8">
        <v>0</v>
      </c>
      <c r="CE239" s="8">
        <v>0</v>
      </c>
      <c r="CF239" s="8">
        <v>0</v>
      </c>
      <c r="CG239" s="8">
        <v>0</v>
      </c>
      <c r="CH239" s="8">
        <v>0</v>
      </c>
      <c r="CI239" s="8">
        <v>0</v>
      </c>
      <c r="CJ239" s="8">
        <v>0</v>
      </c>
      <c r="CK239" s="8">
        <v>0</v>
      </c>
      <c r="CL239" s="8">
        <v>0</v>
      </c>
      <c r="CM239" s="8">
        <v>0</v>
      </c>
      <c r="CN239" s="8">
        <v>0</v>
      </c>
      <c r="CO239" s="9">
        <f t="shared" si="120"/>
        <v>0</v>
      </c>
      <c r="CP239" s="8">
        <v>0</v>
      </c>
      <c r="CQ239" s="8">
        <v>0</v>
      </c>
      <c r="CR239" s="8">
        <v>0</v>
      </c>
      <c r="CS239" s="8">
        <v>0</v>
      </c>
      <c r="CT239" s="8">
        <v>0</v>
      </c>
      <c r="CU239" s="8">
        <v>0</v>
      </c>
      <c r="CV239" s="8">
        <v>0</v>
      </c>
      <c r="CW239" s="8">
        <v>0</v>
      </c>
      <c r="CX239" s="8">
        <v>0</v>
      </c>
      <c r="CY239" s="8">
        <v>0</v>
      </c>
      <c r="CZ239" s="8">
        <v>0</v>
      </c>
      <c r="DA239" s="8">
        <v>0</v>
      </c>
      <c r="DB239" s="9">
        <f t="shared" si="121"/>
        <v>0</v>
      </c>
      <c r="DC239" s="8">
        <v>0</v>
      </c>
      <c r="DD239" s="8">
        <v>0</v>
      </c>
      <c r="DE239" s="8">
        <v>0</v>
      </c>
      <c r="DF239" s="8">
        <v>0</v>
      </c>
      <c r="DG239" s="8">
        <v>0</v>
      </c>
      <c r="DH239" s="8">
        <v>0</v>
      </c>
      <c r="DI239" s="8">
        <v>0</v>
      </c>
      <c r="DJ239" s="8">
        <v>0</v>
      </c>
      <c r="DK239" s="8">
        <v>0</v>
      </c>
      <c r="DL239" s="8">
        <v>0</v>
      </c>
      <c r="DM239" s="8">
        <v>0</v>
      </c>
      <c r="DN239" s="8">
        <v>0</v>
      </c>
      <c r="DO239" s="9">
        <f t="shared" si="122"/>
        <v>0</v>
      </c>
      <c r="DP239" s="8">
        <v>0</v>
      </c>
      <c r="DQ239" s="8">
        <v>0</v>
      </c>
      <c r="DR239" s="8">
        <v>0</v>
      </c>
      <c r="DS239" s="8">
        <v>0</v>
      </c>
      <c r="DT239" s="8">
        <v>0</v>
      </c>
      <c r="DU239" s="8">
        <v>0</v>
      </c>
      <c r="DV239" s="8">
        <v>0</v>
      </c>
      <c r="DW239" s="8">
        <v>0</v>
      </c>
      <c r="DX239" s="8">
        <v>0</v>
      </c>
      <c r="DY239" s="8">
        <v>0</v>
      </c>
      <c r="DZ239" s="8">
        <v>0</v>
      </c>
      <c r="EA239" s="8">
        <v>0</v>
      </c>
      <c r="EB239" s="9">
        <f t="shared" si="123"/>
        <v>0</v>
      </c>
      <c r="EC239" s="8">
        <v>0</v>
      </c>
      <c r="ED239" s="8">
        <v>0</v>
      </c>
      <c r="EE239" s="8">
        <v>0</v>
      </c>
      <c r="EF239" s="8">
        <v>0</v>
      </c>
      <c r="EG239" s="8">
        <v>0</v>
      </c>
      <c r="EH239" s="8">
        <v>0</v>
      </c>
      <c r="EI239" s="8">
        <v>0</v>
      </c>
      <c r="EJ239" s="8">
        <v>0</v>
      </c>
      <c r="EK239" s="8">
        <v>0</v>
      </c>
      <c r="EL239" s="8">
        <v>0</v>
      </c>
      <c r="EM239" s="8">
        <v>0</v>
      </c>
      <c r="EN239" s="8">
        <v>0</v>
      </c>
      <c r="EO239" s="9">
        <f t="shared" si="124"/>
        <v>0</v>
      </c>
      <c r="EP239" s="8">
        <v>0</v>
      </c>
      <c r="EQ239" s="8">
        <v>0</v>
      </c>
      <c r="ER239" s="8">
        <v>0</v>
      </c>
      <c r="ES239" s="8">
        <v>0</v>
      </c>
      <c r="ET239" s="8">
        <v>0</v>
      </c>
      <c r="EU239" s="8">
        <v>0</v>
      </c>
      <c r="EV239" s="8">
        <v>0</v>
      </c>
      <c r="EW239" s="8">
        <v>0</v>
      </c>
      <c r="EX239" s="8">
        <v>0</v>
      </c>
      <c r="EY239" s="8">
        <v>0</v>
      </c>
      <c r="EZ239" s="8">
        <v>0</v>
      </c>
      <c r="FA239" s="8">
        <v>0</v>
      </c>
      <c r="FB239" s="9">
        <f t="shared" si="125"/>
        <v>0</v>
      </c>
      <c r="FC239" s="8">
        <v>0</v>
      </c>
      <c r="FD239" s="8">
        <v>0</v>
      </c>
      <c r="FE239" s="8">
        <v>0</v>
      </c>
      <c r="FF239" s="8">
        <v>0</v>
      </c>
      <c r="FG239" s="8">
        <v>0</v>
      </c>
      <c r="FH239" s="8">
        <v>0</v>
      </c>
      <c r="FI239" s="8">
        <v>0</v>
      </c>
      <c r="FJ239" s="8"/>
      <c r="FK239" s="8"/>
      <c r="FL239" s="8"/>
      <c r="FM239" s="8"/>
      <c r="FN239" s="8"/>
      <c r="FO239" s="9">
        <f t="shared" si="126"/>
        <v>0</v>
      </c>
    </row>
    <row r="240" spans="2:171" ht="14.25" customHeight="1" x14ac:dyDescent="0.3">
      <c r="B240" s="7" t="s">
        <v>53</v>
      </c>
      <c r="C240" s="8">
        <v>0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9">
        <f t="shared" si="114"/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9">
        <f t="shared" si="115"/>
        <v>0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  <c r="AK240" s="8">
        <v>0</v>
      </c>
      <c r="AL240" s="8">
        <v>0</v>
      </c>
      <c r="AM240" s="8">
        <v>0</v>
      </c>
      <c r="AN240" s="8">
        <v>0</v>
      </c>
      <c r="AO240" s="9">
        <f t="shared" si="116"/>
        <v>0</v>
      </c>
      <c r="AP240" s="8">
        <v>0</v>
      </c>
      <c r="AQ240" s="8">
        <v>0</v>
      </c>
      <c r="AR240" s="8">
        <v>0</v>
      </c>
      <c r="AS240" s="8">
        <v>0</v>
      </c>
      <c r="AT240" s="8">
        <v>0</v>
      </c>
      <c r="AU240" s="8">
        <v>0</v>
      </c>
      <c r="AV240" s="8">
        <v>0</v>
      </c>
      <c r="AW240" s="8">
        <v>0</v>
      </c>
      <c r="AX240" s="8">
        <v>0</v>
      </c>
      <c r="AY240" s="8">
        <v>0</v>
      </c>
      <c r="AZ240" s="8">
        <v>0</v>
      </c>
      <c r="BA240" s="8">
        <v>0</v>
      </c>
      <c r="BB240" s="9">
        <f t="shared" si="117"/>
        <v>0</v>
      </c>
      <c r="BC240" s="8">
        <v>0</v>
      </c>
      <c r="BD240" s="8">
        <v>0</v>
      </c>
      <c r="BE240" s="8">
        <v>0</v>
      </c>
      <c r="BF240" s="8">
        <v>0</v>
      </c>
      <c r="BG240" s="8">
        <v>0</v>
      </c>
      <c r="BH240" s="8">
        <v>0</v>
      </c>
      <c r="BI240" s="8">
        <v>0</v>
      </c>
      <c r="BJ240" s="8">
        <v>0</v>
      </c>
      <c r="BK240" s="8">
        <v>0</v>
      </c>
      <c r="BL240" s="8">
        <v>0</v>
      </c>
      <c r="BM240" s="8">
        <v>0</v>
      </c>
      <c r="BN240" s="8">
        <v>0</v>
      </c>
      <c r="BO240" s="9">
        <f t="shared" si="118"/>
        <v>0</v>
      </c>
      <c r="BP240" s="8">
        <v>0</v>
      </c>
      <c r="BQ240" s="8">
        <v>0</v>
      </c>
      <c r="BR240" s="8">
        <v>0</v>
      </c>
      <c r="BS240" s="8">
        <v>0</v>
      </c>
      <c r="BT240" s="8">
        <v>0</v>
      </c>
      <c r="BU240" s="8">
        <v>0</v>
      </c>
      <c r="BV240" s="8">
        <v>0</v>
      </c>
      <c r="BW240" s="8">
        <v>0</v>
      </c>
      <c r="BX240" s="8">
        <v>0</v>
      </c>
      <c r="BY240" s="8">
        <v>0</v>
      </c>
      <c r="BZ240" s="8">
        <v>0</v>
      </c>
      <c r="CA240" s="8">
        <v>0</v>
      </c>
      <c r="CB240" s="9">
        <f t="shared" si="119"/>
        <v>0</v>
      </c>
      <c r="CC240" s="8">
        <v>0</v>
      </c>
      <c r="CD240" s="8">
        <v>0</v>
      </c>
      <c r="CE240" s="8">
        <v>0</v>
      </c>
      <c r="CF240" s="8">
        <v>0</v>
      </c>
      <c r="CG240" s="8">
        <v>0</v>
      </c>
      <c r="CH240" s="8">
        <v>0</v>
      </c>
      <c r="CI240" s="8">
        <v>0</v>
      </c>
      <c r="CJ240" s="8">
        <v>0</v>
      </c>
      <c r="CK240" s="8">
        <v>0</v>
      </c>
      <c r="CL240" s="8">
        <v>0</v>
      </c>
      <c r="CM240" s="8">
        <v>0</v>
      </c>
      <c r="CN240" s="8">
        <v>0</v>
      </c>
      <c r="CO240" s="9">
        <f t="shared" si="120"/>
        <v>0</v>
      </c>
      <c r="CP240" s="8">
        <v>0</v>
      </c>
      <c r="CQ240" s="8">
        <v>0</v>
      </c>
      <c r="CR240" s="8">
        <v>0</v>
      </c>
      <c r="CS240" s="8">
        <v>0</v>
      </c>
      <c r="CT240" s="8">
        <v>0</v>
      </c>
      <c r="CU240" s="8">
        <v>0</v>
      </c>
      <c r="CV240" s="8">
        <v>0</v>
      </c>
      <c r="CW240" s="8">
        <v>0</v>
      </c>
      <c r="CX240" s="8">
        <v>0</v>
      </c>
      <c r="CY240" s="8">
        <v>0</v>
      </c>
      <c r="CZ240" s="8">
        <v>0</v>
      </c>
      <c r="DA240" s="8">
        <v>0</v>
      </c>
      <c r="DB240" s="9">
        <f t="shared" si="121"/>
        <v>0</v>
      </c>
      <c r="DC240" s="8">
        <v>0</v>
      </c>
      <c r="DD240" s="8">
        <v>0</v>
      </c>
      <c r="DE240" s="8">
        <v>0</v>
      </c>
      <c r="DF240" s="8">
        <v>0</v>
      </c>
      <c r="DG240" s="8">
        <v>0</v>
      </c>
      <c r="DH240" s="8">
        <v>0</v>
      </c>
      <c r="DI240" s="8">
        <v>0</v>
      </c>
      <c r="DJ240" s="8">
        <v>0</v>
      </c>
      <c r="DK240" s="8">
        <v>0</v>
      </c>
      <c r="DL240" s="8">
        <v>0</v>
      </c>
      <c r="DM240" s="8">
        <v>0</v>
      </c>
      <c r="DN240" s="8">
        <v>0</v>
      </c>
      <c r="DO240" s="9">
        <f t="shared" si="122"/>
        <v>0</v>
      </c>
      <c r="DP240" s="8">
        <v>0</v>
      </c>
      <c r="DQ240" s="8">
        <v>0</v>
      </c>
      <c r="DR240" s="8">
        <v>0</v>
      </c>
      <c r="DS240" s="8">
        <v>0</v>
      </c>
      <c r="DT240" s="8">
        <v>0</v>
      </c>
      <c r="DU240" s="8">
        <v>0</v>
      </c>
      <c r="DV240" s="8">
        <v>0</v>
      </c>
      <c r="DW240" s="8">
        <v>0</v>
      </c>
      <c r="DX240" s="8">
        <v>0</v>
      </c>
      <c r="DY240" s="8">
        <v>0</v>
      </c>
      <c r="DZ240" s="8">
        <v>0</v>
      </c>
      <c r="EA240" s="8">
        <v>0</v>
      </c>
      <c r="EB240" s="9">
        <f t="shared" si="123"/>
        <v>0</v>
      </c>
      <c r="EC240" s="8">
        <v>0</v>
      </c>
      <c r="ED240" s="8">
        <v>0</v>
      </c>
      <c r="EE240" s="8">
        <v>0</v>
      </c>
      <c r="EF240" s="8">
        <v>0</v>
      </c>
      <c r="EG240" s="8">
        <v>0</v>
      </c>
      <c r="EH240" s="8">
        <v>0</v>
      </c>
      <c r="EI240" s="8">
        <v>0</v>
      </c>
      <c r="EJ240" s="8">
        <v>0</v>
      </c>
      <c r="EK240" s="8">
        <v>0</v>
      </c>
      <c r="EL240" s="8">
        <v>0</v>
      </c>
      <c r="EM240" s="8">
        <v>0</v>
      </c>
      <c r="EN240" s="8">
        <v>0</v>
      </c>
      <c r="EO240" s="9">
        <f t="shared" si="124"/>
        <v>0</v>
      </c>
      <c r="EP240" s="8">
        <v>0</v>
      </c>
      <c r="EQ240" s="8">
        <v>0</v>
      </c>
      <c r="ER240" s="8">
        <v>0</v>
      </c>
      <c r="ES240" s="8">
        <v>0</v>
      </c>
      <c r="ET240" s="8">
        <v>0</v>
      </c>
      <c r="EU240" s="8">
        <v>0</v>
      </c>
      <c r="EV240" s="8">
        <v>0</v>
      </c>
      <c r="EW240" s="8">
        <v>0</v>
      </c>
      <c r="EX240" s="8">
        <v>0</v>
      </c>
      <c r="EY240" s="8">
        <v>0</v>
      </c>
      <c r="EZ240" s="8">
        <v>0</v>
      </c>
      <c r="FA240" s="8">
        <v>0</v>
      </c>
      <c r="FB240" s="9">
        <f t="shared" si="125"/>
        <v>0</v>
      </c>
      <c r="FC240" s="8">
        <v>0</v>
      </c>
      <c r="FD240" s="8">
        <v>0</v>
      </c>
      <c r="FE240" s="8">
        <v>0</v>
      </c>
      <c r="FF240" s="8">
        <v>0</v>
      </c>
      <c r="FG240" s="8">
        <v>0</v>
      </c>
      <c r="FH240" s="8">
        <v>0</v>
      </c>
      <c r="FI240" s="8">
        <v>0</v>
      </c>
      <c r="FJ240" s="8"/>
      <c r="FK240" s="8"/>
      <c r="FL240" s="8"/>
      <c r="FM240" s="8"/>
      <c r="FN240" s="8"/>
      <c r="FO240" s="9">
        <f t="shared" si="126"/>
        <v>0</v>
      </c>
    </row>
    <row r="241" spans="2:171" ht="14.25" customHeight="1" x14ac:dyDescent="0.3">
      <c r="B241" s="7" t="s">
        <v>54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9">
        <f t="shared" si="114"/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9">
        <f t="shared" si="115"/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  <c r="AK241" s="8">
        <v>0</v>
      </c>
      <c r="AL241" s="8">
        <v>0</v>
      </c>
      <c r="AM241" s="8">
        <v>0</v>
      </c>
      <c r="AN241" s="8">
        <v>0</v>
      </c>
      <c r="AO241" s="9">
        <f t="shared" si="116"/>
        <v>0</v>
      </c>
      <c r="AP241" s="8">
        <v>0</v>
      </c>
      <c r="AQ241" s="8">
        <v>0</v>
      </c>
      <c r="AR241" s="8">
        <v>0</v>
      </c>
      <c r="AS241" s="8">
        <v>0</v>
      </c>
      <c r="AT241" s="8">
        <v>0</v>
      </c>
      <c r="AU241" s="8">
        <v>0</v>
      </c>
      <c r="AV241" s="8">
        <v>0</v>
      </c>
      <c r="AW241" s="8">
        <v>0</v>
      </c>
      <c r="AX241" s="8">
        <v>0</v>
      </c>
      <c r="AY241" s="8">
        <v>0</v>
      </c>
      <c r="AZ241" s="8">
        <v>0</v>
      </c>
      <c r="BA241" s="8">
        <v>0</v>
      </c>
      <c r="BB241" s="9">
        <f t="shared" si="117"/>
        <v>0</v>
      </c>
      <c r="BC241" s="8">
        <v>0</v>
      </c>
      <c r="BD241" s="8">
        <v>0</v>
      </c>
      <c r="BE241" s="8">
        <v>0</v>
      </c>
      <c r="BF241" s="8">
        <v>0</v>
      </c>
      <c r="BG241" s="8">
        <v>0</v>
      </c>
      <c r="BH241" s="8">
        <v>0</v>
      </c>
      <c r="BI241" s="8">
        <v>0</v>
      </c>
      <c r="BJ241" s="8">
        <v>0</v>
      </c>
      <c r="BK241" s="8">
        <v>0</v>
      </c>
      <c r="BL241" s="8">
        <v>0</v>
      </c>
      <c r="BM241" s="8">
        <v>0</v>
      </c>
      <c r="BN241" s="8">
        <v>0</v>
      </c>
      <c r="BO241" s="9">
        <f t="shared" si="118"/>
        <v>0</v>
      </c>
      <c r="BP241" s="8">
        <v>0</v>
      </c>
      <c r="BQ241" s="8">
        <v>0</v>
      </c>
      <c r="BR241" s="8">
        <v>0</v>
      </c>
      <c r="BS241" s="8">
        <v>0</v>
      </c>
      <c r="BT241" s="8">
        <v>0</v>
      </c>
      <c r="BU241" s="8">
        <v>0</v>
      </c>
      <c r="BV241" s="8">
        <v>0</v>
      </c>
      <c r="BW241" s="8">
        <v>0</v>
      </c>
      <c r="BX241" s="8">
        <v>0</v>
      </c>
      <c r="BY241" s="8">
        <v>0</v>
      </c>
      <c r="BZ241" s="8">
        <v>0</v>
      </c>
      <c r="CA241" s="8">
        <v>0</v>
      </c>
      <c r="CB241" s="9">
        <f t="shared" si="119"/>
        <v>0</v>
      </c>
      <c r="CC241" s="8">
        <v>0</v>
      </c>
      <c r="CD241" s="8">
        <v>0</v>
      </c>
      <c r="CE241" s="8">
        <v>0</v>
      </c>
      <c r="CF241" s="8">
        <v>0</v>
      </c>
      <c r="CG241" s="8">
        <v>0</v>
      </c>
      <c r="CH241" s="8">
        <v>0</v>
      </c>
      <c r="CI241" s="8">
        <v>0</v>
      </c>
      <c r="CJ241" s="8">
        <v>0</v>
      </c>
      <c r="CK241" s="8">
        <v>0</v>
      </c>
      <c r="CL241" s="8">
        <v>0</v>
      </c>
      <c r="CM241" s="8">
        <v>0</v>
      </c>
      <c r="CN241" s="8">
        <v>0</v>
      </c>
      <c r="CO241" s="9">
        <f t="shared" si="120"/>
        <v>0</v>
      </c>
      <c r="CP241" s="8">
        <v>0</v>
      </c>
      <c r="CQ241" s="8">
        <v>0</v>
      </c>
      <c r="CR241" s="8">
        <v>0</v>
      </c>
      <c r="CS241" s="8">
        <v>0</v>
      </c>
      <c r="CT241" s="8">
        <v>0</v>
      </c>
      <c r="CU241" s="8">
        <v>0</v>
      </c>
      <c r="CV241" s="8">
        <v>0</v>
      </c>
      <c r="CW241" s="8">
        <v>0</v>
      </c>
      <c r="CX241" s="8">
        <v>0</v>
      </c>
      <c r="CY241" s="8">
        <v>0</v>
      </c>
      <c r="CZ241" s="8">
        <v>0</v>
      </c>
      <c r="DA241" s="8">
        <v>0</v>
      </c>
      <c r="DB241" s="9">
        <f t="shared" si="121"/>
        <v>0</v>
      </c>
      <c r="DC241" s="8">
        <v>0</v>
      </c>
      <c r="DD241" s="8">
        <v>0</v>
      </c>
      <c r="DE241" s="8">
        <v>0</v>
      </c>
      <c r="DF241" s="8">
        <v>0</v>
      </c>
      <c r="DG241" s="8">
        <v>0</v>
      </c>
      <c r="DH241" s="8">
        <v>0</v>
      </c>
      <c r="DI241" s="8">
        <v>0</v>
      </c>
      <c r="DJ241" s="8">
        <v>0</v>
      </c>
      <c r="DK241" s="8">
        <v>0</v>
      </c>
      <c r="DL241" s="8">
        <v>0</v>
      </c>
      <c r="DM241" s="8">
        <v>0</v>
      </c>
      <c r="DN241" s="8">
        <v>0</v>
      </c>
      <c r="DO241" s="9">
        <f t="shared" si="122"/>
        <v>0</v>
      </c>
      <c r="DP241" s="8">
        <v>0</v>
      </c>
      <c r="DQ241" s="8">
        <v>0</v>
      </c>
      <c r="DR241" s="8">
        <v>0</v>
      </c>
      <c r="DS241" s="8">
        <v>0</v>
      </c>
      <c r="DT241" s="8">
        <v>0</v>
      </c>
      <c r="DU241" s="8">
        <v>0</v>
      </c>
      <c r="DV241" s="8">
        <v>0</v>
      </c>
      <c r="DW241" s="8">
        <v>0</v>
      </c>
      <c r="DX241" s="8">
        <v>0</v>
      </c>
      <c r="DY241" s="8">
        <v>0</v>
      </c>
      <c r="DZ241" s="8">
        <v>0</v>
      </c>
      <c r="EA241" s="8">
        <v>0</v>
      </c>
      <c r="EB241" s="9">
        <f t="shared" si="123"/>
        <v>0</v>
      </c>
      <c r="EC241" s="8">
        <v>0</v>
      </c>
      <c r="ED241" s="8">
        <v>0</v>
      </c>
      <c r="EE241" s="8">
        <v>0</v>
      </c>
      <c r="EF241" s="8">
        <v>0</v>
      </c>
      <c r="EG241" s="8">
        <v>0</v>
      </c>
      <c r="EH241" s="8">
        <v>0</v>
      </c>
      <c r="EI241" s="8">
        <v>0</v>
      </c>
      <c r="EJ241" s="8">
        <v>0</v>
      </c>
      <c r="EK241" s="8">
        <v>0</v>
      </c>
      <c r="EL241" s="8">
        <v>0</v>
      </c>
      <c r="EM241" s="8">
        <v>0</v>
      </c>
      <c r="EN241" s="8">
        <v>0</v>
      </c>
      <c r="EO241" s="9">
        <f t="shared" si="124"/>
        <v>0</v>
      </c>
      <c r="EP241" s="8">
        <v>0</v>
      </c>
      <c r="EQ241" s="8">
        <v>0</v>
      </c>
      <c r="ER241" s="8">
        <v>0</v>
      </c>
      <c r="ES241" s="8">
        <v>0</v>
      </c>
      <c r="ET241" s="8">
        <v>0</v>
      </c>
      <c r="EU241" s="8">
        <v>0</v>
      </c>
      <c r="EV241" s="8">
        <v>0</v>
      </c>
      <c r="EW241" s="8">
        <v>0</v>
      </c>
      <c r="EX241" s="8">
        <v>0</v>
      </c>
      <c r="EY241" s="8">
        <v>0</v>
      </c>
      <c r="EZ241" s="8">
        <v>0</v>
      </c>
      <c r="FA241" s="8">
        <v>0</v>
      </c>
      <c r="FB241" s="9">
        <f t="shared" si="125"/>
        <v>0</v>
      </c>
      <c r="FC241" s="8">
        <v>0</v>
      </c>
      <c r="FD241" s="8">
        <v>0</v>
      </c>
      <c r="FE241" s="8">
        <v>0</v>
      </c>
      <c r="FF241" s="8">
        <v>0</v>
      </c>
      <c r="FG241" s="8">
        <v>0</v>
      </c>
      <c r="FH241" s="8">
        <v>0</v>
      </c>
      <c r="FI241" s="8">
        <v>0</v>
      </c>
      <c r="FJ241" s="8"/>
      <c r="FK241" s="8"/>
      <c r="FL241" s="8"/>
      <c r="FM241" s="8"/>
      <c r="FN241" s="8"/>
      <c r="FO241" s="9">
        <f t="shared" si="126"/>
        <v>0</v>
      </c>
    </row>
    <row r="242" spans="2:171" ht="14.25" customHeight="1" x14ac:dyDescent="0.3">
      <c r="B242" s="7" t="s">
        <v>55</v>
      </c>
      <c r="C242" s="8">
        <v>0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9">
        <f t="shared" si="114"/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0</v>
      </c>
      <c r="Z242" s="8">
        <v>0</v>
      </c>
      <c r="AA242" s="8">
        <v>0</v>
      </c>
      <c r="AB242" s="9">
        <f t="shared" si="115"/>
        <v>0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</v>
      </c>
      <c r="AM242" s="8">
        <v>0</v>
      </c>
      <c r="AN242" s="8">
        <v>0</v>
      </c>
      <c r="AO242" s="9">
        <f t="shared" si="116"/>
        <v>0</v>
      </c>
      <c r="AP242" s="8">
        <v>0</v>
      </c>
      <c r="AQ242" s="8">
        <v>0</v>
      </c>
      <c r="AR242" s="8">
        <v>0</v>
      </c>
      <c r="AS242" s="8">
        <v>0</v>
      </c>
      <c r="AT242" s="8">
        <v>0</v>
      </c>
      <c r="AU242" s="8">
        <v>0</v>
      </c>
      <c r="AV242" s="8">
        <v>0</v>
      </c>
      <c r="AW242" s="8">
        <v>0</v>
      </c>
      <c r="AX242" s="8">
        <v>0</v>
      </c>
      <c r="AY242" s="8">
        <v>0</v>
      </c>
      <c r="AZ242" s="8">
        <v>0</v>
      </c>
      <c r="BA242" s="8">
        <v>0</v>
      </c>
      <c r="BB242" s="9">
        <f t="shared" si="117"/>
        <v>0</v>
      </c>
      <c r="BC242" s="8">
        <v>0</v>
      </c>
      <c r="BD242" s="8">
        <v>0</v>
      </c>
      <c r="BE242" s="8">
        <v>0</v>
      </c>
      <c r="BF242" s="8">
        <v>0</v>
      </c>
      <c r="BG242" s="8">
        <v>0</v>
      </c>
      <c r="BH242" s="8">
        <v>0</v>
      </c>
      <c r="BI242" s="8">
        <v>0</v>
      </c>
      <c r="BJ242" s="8">
        <v>0</v>
      </c>
      <c r="BK242" s="8">
        <v>0</v>
      </c>
      <c r="BL242" s="8">
        <v>0</v>
      </c>
      <c r="BM242" s="8">
        <v>0</v>
      </c>
      <c r="BN242" s="8">
        <v>0</v>
      </c>
      <c r="BO242" s="9">
        <f t="shared" si="118"/>
        <v>0</v>
      </c>
      <c r="BP242" s="8">
        <v>0</v>
      </c>
      <c r="BQ242" s="8">
        <v>0</v>
      </c>
      <c r="BR242" s="8">
        <v>0</v>
      </c>
      <c r="BS242" s="8">
        <v>0</v>
      </c>
      <c r="BT242" s="8">
        <v>0</v>
      </c>
      <c r="BU242" s="8">
        <v>0</v>
      </c>
      <c r="BV242" s="8">
        <v>0</v>
      </c>
      <c r="BW242" s="8">
        <v>0</v>
      </c>
      <c r="BX242" s="8">
        <v>0</v>
      </c>
      <c r="BY242" s="8">
        <v>0</v>
      </c>
      <c r="BZ242" s="8">
        <v>0</v>
      </c>
      <c r="CA242" s="8">
        <v>0</v>
      </c>
      <c r="CB242" s="9">
        <f t="shared" si="119"/>
        <v>0</v>
      </c>
      <c r="CC242" s="8">
        <v>0</v>
      </c>
      <c r="CD242" s="8">
        <v>0</v>
      </c>
      <c r="CE242" s="8">
        <v>0</v>
      </c>
      <c r="CF242" s="8">
        <v>0</v>
      </c>
      <c r="CG242" s="8">
        <v>0</v>
      </c>
      <c r="CH242" s="8">
        <v>0</v>
      </c>
      <c r="CI242" s="8">
        <v>0</v>
      </c>
      <c r="CJ242" s="8">
        <v>0</v>
      </c>
      <c r="CK242" s="8">
        <v>0</v>
      </c>
      <c r="CL242" s="8">
        <v>0</v>
      </c>
      <c r="CM242" s="8">
        <v>0</v>
      </c>
      <c r="CN242" s="8">
        <v>0</v>
      </c>
      <c r="CO242" s="9">
        <f t="shared" si="120"/>
        <v>0</v>
      </c>
      <c r="CP242" s="8">
        <v>0</v>
      </c>
      <c r="CQ242" s="8">
        <v>0</v>
      </c>
      <c r="CR242" s="8">
        <v>0</v>
      </c>
      <c r="CS242" s="8">
        <v>0</v>
      </c>
      <c r="CT242" s="8">
        <v>0</v>
      </c>
      <c r="CU242" s="8">
        <v>0</v>
      </c>
      <c r="CV242" s="8">
        <v>0</v>
      </c>
      <c r="CW242" s="8">
        <v>0</v>
      </c>
      <c r="CX242" s="8">
        <v>0</v>
      </c>
      <c r="CY242" s="8">
        <v>0</v>
      </c>
      <c r="CZ242" s="8">
        <v>0</v>
      </c>
      <c r="DA242" s="8">
        <v>0</v>
      </c>
      <c r="DB242" s="9">
        <f t="shared" si="121"/>
        <v>0</v>
      </c>
      <c r="DC242" s="8">
        <v>0</v>
      </c>
      <c r="DD242" s="8">
        <v>0</v>
      </c>
      <c r="DE242" s="8">
        <v>0</v>
      </c>
      <c r="DF242" s="8">
        <v>0</v>
      </c>
      <c r="DG242" s="8">
        <v>0</v>
      </c>
      <c r="DH242" s="8">
        <v>0</v>
      </c>
      <c r="DI242" s="8">
        <v>0</v>
      </c>
      <c r="DJ242" s="8">
        <v>0</v>
      </c>
      <c r="DK242" s="8">
        <v>0</v>
      </c>
      <c r="DL242" s="8">
        <v>0</v>
      </c>
      <c r="DM242" s="8">
        <v>0</v>
      </c>
      <c r="DN242" s="8">
        <v>0</v>
      </c>
      <c r="DO242" s="9">
        <f t="shared" si="122"/>
        <v>0</v>
      </c>
      <c r="DP242" s="8">
        <v>0</v>
      </c>
      <c r="DQ242" s="8">
        <v>0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0</v>
      </c>
      <c r="DX242" s="8">
        <v>0</v>
      </c>
      <c r="DY242" s="8">
        <v>0</v>
      </c>
      <c r="DZ242" s="8">
        <v>0</v>
      </c>
      <c r="EA242" s="8">
        <v>0</v>
      </c>
      <c r="EB242" s="9">
        <f t="shared" si="123"/>
        <v>0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0</v>
      </c>
      <c r="EJ242" s="8">
        <v>0</v>
      </c>
      <c r="EK242" s="8">
        <v>0</v>
      </c>
      <c r="EL242" s="8">
        <v>0</v>
      </c>
      <c r="EM242" s="8">
        <v>0</v>
      </c>
      <c r="EN242" s="8">
        <v>0</v>
      </c>
      <c r="EO242" s="9">
        <f t="shared" si="124"/>
        <v>0</v>
      </c>
      <c r="EP242" s="8">
        <v>0</v>
      </c>
      <c r="EQ242" s="8">
        <v>0</v>
      </c>
      <c r="ER242" s="8">
        <v>0</v>
      </c>
      <c r="ES242" s="8">
        <v>0</v>
      </c>
      <c r="ET242" s="8">
        <v>0</v>
      </c>
      <c r="EU242" s="8">
        <v>0</v>
      </c>
      <c r="EV242" s="8">
        <v>0</v>
      </c>
      <c r="EW242" s="8">
        <v>0</v>
      </c>
      <c r="EX242" s="8">
        <v>0</v>
      </c>
      <c r="EY242" s="8">
        <v>0</v>
      </c>
      <c r="EZ242" s="8">
        <v>0</v>
      </c>
      <c r="FA242" s="8">
        <v>0</v>
      </c>
      <c r="FB242" s="9">
        <f t="shared" si="125"/>
        <v>0</v>
      </c>
      <c r="FC242" s="8">
        <v>0</v>
      </c>
      <c r="FD242" s="8">
        <v>0</v>
      </c>
      <c r="FE242" s="8">
        <v>0</v>
      </c>
      <c r="FF242" s="8">
        <v>0</v>
      </c>
      <c r="FG242" s="8">
        <v>0</v>
      </c>
      <c r="FH242" s="8">
        <v>0</v>
      </c>
      <c r="FI242" s="8">
        <v>0</v>
      </c>
      <c r="FJ242" s="8"/>
      <c r="FK242" s="8"/>
      <c r="FL242" s="8"/>
      <c r="FM242" s="8"/>
      <c r="FN242" s="8"/>
      <c r="FO242" s="9">
        <f t="shared" si="126"/>
        <v>0</v>
      </c>
    </row>
    <row r="243" spans="2:171" ht="14.25" customHeight="1" x14ac:dyDescent="0.3">
      <c r="B243" s="7" t="s">
        <v>56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9">
        <f t="shared" si="114"/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9">
        <f t="shared" si="115"/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  <c r="AN243" s="8">
        <v>0</v>
      </c>
      <c r="AO243" s="9">
        <f t="shared" si="116"/>
        <v>0</v>
      </c>
      <c r="AP243" s="8">
        <v>0</v>
      </c>
      <c r="AQ243" s="8">
        <v>0</v>
      </c>
      <c r="AR243" s="8">
        <v>0</v>
      </c>
      <c r="AS243" s="8">
        <v>0</v>
      </c>
      <c r="AT243" s="8">
        <v>0</v>
      </c>
      <c r="AU243" s="8">
        <v>0</v>
      </c>
      <c r="AV243" s="8">
        <v>0</v>
      </c>
      <c r="AW243" s="8">
        <v>0</v>
      </c>
      <c r="AX243" s="8">
        <v>0</v>
      </c>
      <c r="AY243" s="8">
        <v>0</v>
      </c>
      <c r="AZ243" s="8">
        <v>0</v>
      </c>
      <c r="BA243" s="8">
        <v>0</v>
      </c>
      <c r="BB243" s="9">
        <f t="shared" si="117"/>
        <v>0</v>
      </c>
      <c r="BC243" s="8">
        <v>0</v>
      </c>
      <c r="BD243" s="8">
        <v>0</v>
      </c>
      <c r="BE243" s="8">
        <v>0</v>
      </c>
      <c r="BF243" s="8">
        <v>0</v>
      </c>
      <c r="BG243" s="8">
        <v>0</v>
      </c>
      <c r="BH243" s="8">
        <v>0</v>
      </c>
      <c r="BI243" s="8">
        <v>0</v>
      </c>
      <c r="BJ243" s="8">
        <v>0</v>
      </c>
      <c r="BK243" s="8">
        <v>0</v>
      </c>
      <c r="BL243" s="8">
        <v>0</v>
      </c>
      <c r="BM243" s="8">
        <v>0</v>
      </c>
      <c r="BN243" s="8">
        <v>0</v>
      </c>
      <c r="BO243" s="9">
        <f t="shared" si="118"/>
        <v>0</v>
      </c>
      <c r="BP243" s="8">
        <v>0</v>
      </c>
      <c r="BQ243" s="8">
        <v>0</v>
      </c>
      <c r="BR243" s="8">
        <v>0</v>
      </c>
      <c r="BS243" s="8">
        <v>0</v>
      </c>
      <c r="BT243" s="8">
        <v>0</v>
      </c>
      <c r="BU243" s="8">
        <v>0</v>
      </c>
      <c r="BV243" s="8">
        <v>0</v>
      </c>
      <c r="BW243" s="8">
        <v>0</v>
      </c>
      <c r="BX243" s="8">
        <v>0</v>
      </c>
      <c r="BY243" s="8">
        <v>0</v>
      </c>
      <c r="BZ243" s="8">
        <v>0</v>
      </c>
      <c r="CA243" s="8">
        <v>0</v>
      </c>
      <c r="CB243" s="9">
        <f t="shared" si="119"/>
        <v>0</v>
      </c>
      <c r="CC243" s="8">
        <v>0</v>
      </c>
      <c r="CD243" s="8">
        <v>0</v>
      </c>
      <c r="CE243" s="8">
        <v>0</v>
      </c>
      <c r="CF243" s="8">
        <v>0</v>
      </c>
      <c r="CG243" s="8">
        <v>0</v>
      </c>
      <c r="CH243" s="8">
        <v>0</v>
      </c>
      <c r="CI243" s="8">
        <v>0</v>
      </c>
      <c r="CJ243" s="8">
        <v>0</v>
      </c>
      <c r="CK243" s="8">
        <v>0</v>
      </c>
      <c r="CL243" s="8">
        <v>0</v>
      </c>
      <c r="CM243" s="8">
        <v>0</v>
      </c>
      <c r="CN243" s="8">
        <v>0</v>
      </c>
      <c r="CO243" s="9">
        <f t="shared" si="120"/>
        <v>0</v>
      </c>
      <c r="CP243" s="8">
        <v>0</v>
      </c>
      <c r="CQ243" s="8">
        <v>0</v>
      </c>
      <c r="CR243" s="8">
        <v>0</v>
      </c>
      <c r="CS243" s="8">
        <v>0</v>
      </c>
      <c r="CT243" s="8">
        <v>0</v>
      </c>
      <c r="CU243" s="8">
        <v>0</v>
      </c>
      <c r="CV243" s="8">
        <v>0</v>
      </c>
      <c r="CW243" s="8">
        <v>0</v>
      </c>
      <c r="CX243" s="8">
        <v>0</v>
      </c>
      <c r="CY243" s="8">
        <v>0</v>
      </c>
      <c r="CZ243" s="8">
        <v>0</v>
      </c>
      <c r="DA243" s="8">
        <v>0</v>
      </c>
      <c r="DB243" s="9">
        <f t="shared" si="121"/>
        <v>0</v>
      </c>
      <c r="DC243" s="8">
        <v>0</v>
      </c>
      <c r="DD243" s="8">
        <v>0</v>
      </c>
      <c r="DE243" s="8">
        <v>0</v>
      </c>
      <c r="DF243" s="8">
        <v>0</v>
      </c>
      <c r="DG243" s="8">
        <v>0</v>
      </c>
      <c r="DH243" s="8">
        <v>0</v>
      </c>
      <c r="DI243" s="8">
        <v>0</v>
      </c>
      <c r="DJ243" s="8">
        <v>0</v>
      </c>
      <c r="DK243" s="8">
        <v>0</v>
      </c>
      <c r="DL243" s="8">
        <v>0</v>
      </c>
      <c r="DM243" s="8">
        <v>0</v>
      </c>
      <c r="DN243" s="8">
        <v>0</v>
      </c>
      <c r="DO243" s="9">
        <f t="shared" si="122"/>
        <v>0</v>
      </c>
      <c r="DP243" s="8">
        <v>0</v>
      </c>
      <c r="DQ243" s="8">
        <v>0</v>
      </c>
      <c r="DR243" s="8">
        <v>0</v>
      </c>
      <c r="DS243" s="8">
        <v>0</v>
      </c>
      <c r="DT243" s="8">
        <v>0</v>
      </c>
      <c r="DU243" s="8">
        <v>0</v>
      </c>
      <c r="DV243" s="8">
        <v>0</v>
      </c>
      <c r="DW243" s="8">
        <v>0</v>
      </c>
      <c r="DX243" s="8">
        <v>0</v>
      </c>
      <c r="DY243" s="8">
        <v>0</v>
      </c>
      <c r="DZ243" s="8">
        <v>0</v>
      </c>
      <c r="EA243" s="8">
        <v>0</v>
      </c>
      <c r="EB243" s="9">
        <f t="shared" si="123"/>
        <v>0</v>
      </c>
      <c r="EC243" s="8">
        <v>0</v>
      </c>
      <c r="ED243" s="8">
        <v>0</v>
      </c>
      <c r="EE243" s="8">
        <v>0</v>
      </c>
      <c r="EF243" s="8">
        <v>0</v>
      </c>
      <c r="EG243" s="8">
        <v>0</v>
      </c>
      <c r="EH243" s="8">
        <v>0</v>
      </c>
      <c r="EI243" s="8">
        <v>0</v>
      </c>
      <c r="EJ243" s="8">
        <v>0</v>
      </c>
      <c r="EK243" s="8">
        <v>0</v>
      </c>
      <c r="EL243" s="8">
        <v>0</v>
      </c>
      <c r="EM243" s="8">
        <v>0</v>
      </c>
      <c r="EN243" s="8">
        <v>0</v>
      </c>
      <c r="EO243" s="9">
        <f t="shared" si="124"/>
        <v>0</v>
      </c>
      <c r="EP243" s="8">
        <v>0</v>
      </c>
      <c r="EQ243" s="8">
        <v>0</v>
      </c>
      <c r="ER243" s="8">
        <v>0</v>
      </c>
      <c r="ES243" s="8">
        <v>0</v>
      </c>
      <c r="ET243" s="8">
        <v>0</v>
      </c>
      <c r="EU243" s="8">
        <v>0</v>
      </c>
      <c r="EV243" s="8">
        <v>0</v>
      </c>
      <c r="EW243" s="8">
        <v>0</v>
      </c>
      <c r="EX243" s="8">
        <v>0</v>
      </c>
      <c r="EY243" s="8">
        <v>0</v>
      </c>
      <c r="EZ243" s="8">
        <v>0</v>
      </c>
      <c r="FA243" s="8">
        <v>0</v>
      </c>
      <c r="FB243" s="9">
        <f t="shared" si="125"/>
        <v>0</v>
      </c>
      <c r="FC243" s="8">
        <v>0</v>
      </c>
      <c r="FD243" s="8">
        <v>0</v>
      </c>
      <c r="FE243" s="8">
        <v>0</v>
      </c>
      <c r="FF243" s="8">
        <v>0</v>
      </c>
      <c r="FG243" s="8">
        <v>0</v>
      </c>
      <c r="FH243" s="8">
        <v>0</v>
      </c>
      <c r="FI243" s="8">
        <v>0</v>
      </c>
      <c r="FJ243" s="8"/>
      <c r="FK243" s="8"/>
      <c r="FL243" s="8"/>
      <c r="FM243" s="8"/>
      <c r="FN243" s="8"/>
      <c r="FO243" s="9">
        <f t="shared" si="126"/>
        <v>0</v>
      </c>
    </row>
    <row r="244" spans="2:171" ht="14.25" customHeight="1" x14ac:dyDescent="0.3">
      <c r="B244" s="7" t="s">
        <v>57</v>
      </c>
      <c r="C244" s="8">
        <v>0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9">
        <f t="shared" si="114"/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0</v>
      </c>
      <c r="Z244" s="8">
        <v>0</v>
      </c>
      <c r="AA244" s="8">
        <v>0</v>
      </c>
      <c r="AB244" s="9">
        <f t="shared" si="115"/>
        <v>0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  <c r="AK244" s="8">
        <v>0</v>
      </c>
      <c r="AL244" s="8">
        <v>0</v>
      </c>
      <c r="AM244" s="8">
        <v>0</v>
      </c>
      <c r="AN244" s="8">
        <v>0</v>
      </c>
      <c r="AO244" s="9">
        <f t="shared" si="116"/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0</v>
      </c>
      <c r="AU244" s="8">
        <v>0</v>
      </c>
      <c r="AV244" s="8">
        <v>0</v>
      </c>
      <c r="AW244" s="8">
        <v>0</v>
      </c>
      <c r="AX244" s="8">
        <v>0</v>
      </c>
      <c r="AY244" s="8">
        <v>0</v>
      </c>
      <c r="AZ244" s="8">
        <v>0</v>
      </c>
      <c r="BA244" s="8">
        <v>0</v>
      </c>
      <c r="BB244" s="9">
        <f t="shared" si="117"/>
        <v>0</v>
      </c>
      <c r="BC244" s="8">
        <v>0</v>
      </c>
      <c r="BD244" s="8">
        <v>0</v>
      </c>
      <c r="BE244" s="8">
        <v>0</v>
      </c>
      <c r="BF244" s="8">
        <v>0</v>
      </c>
      <c r="BG244" s="8">
        <v>0</v>
      </c>
      <c r="BH244" s="8">
        <v>0</v>
      </c>
      <c r="BI244" s="8">
        <v>0</v>
      </c>
      <c r="BJ244" s="8">
        <v>0</v>
      </c>
      <c r="BK244" s="8">
        <v>0</v>
      </c>
      <c r="BL244" s="8">
        <v>0</v>
      </c>
      <c r="BM244" s="8">
        <v>0</v>
      </c>
      <c r="BN244" s="8">
        <v>0</v>
      </c>
      <c r="BO244" s="9">
        <f t="shared" si="118"/>
        <v>0</v>
      </c>
      <c r="BP244" s="8">
        <v>0</v>
      </c>
      <c r="BQ244" s="8">
        <v>0</v>
      </c>
      <c r="BR244" s="8">
        <v>0</v>
      </c>
      <c r="BS244" s="8">
        <v>0</v>
      </c>
      <c r="BT244" s="8">
        <v>0</v>
      </c>
      <c r="BU244" s="8">
        <v>0</v>
      </c>
      <c r="BV244" s="8">
        <v>0</v>
      </c>
      <c r="BW244" s="8">
        <v>0</v>
      </c>
      <c r="BX244" s="8">
        <v>0</v>
      </c>
      <c r="BY244" s="8">
        <v>0</v>
      </c>
      <c r="BZ244" s="8">
        <v>0</v>
      </c>
      <c r="CA244" s="8">
        <v>0</v>
      </c>
      <c r="CB244" s="9">
        <f t="shared" si="119"/>
        <v>0</v>
      </c>
      <c r="CC244" s="8">
        <v>0</v>
      </c>
      <c r="CD244" s="8">
        <v>0</v>
      </c>
      <c r="CE244" s="8">
        <v>0</v>
      </c>
      <c r="CF244" s="8">
        <v>0</v>
      </c>
      <c r="CG244" s="8">
        <v>0</v>
      </c>
      <c r="CH244" s="8">
        <v>0</v>
      </c>
      <c r="CI244" s="8">
        <v>0</v>
      </c>
      <c r="CJ244" s="8">
        <v>0</v>
      </c>
      <c r="CK244" s="8">
        <v>0</v>
      </c>
      <c r="CL244" s="8">
        <v>0</v>
      </c>
      <c r="CM244" s="8">
        <v>0</v>
      </c>
      <c r="CN244" s="8">
        <v>0</v>
      </c>
      <c r="CO244" s="9">
        <f t="shared" si="120"/>
        <v>0</v>
      </c>
      <c r="CP244" s="8">
        <v>0</v>
      </c>
      <c r="CQ244" s="8">
        <v>0</v>
      </c>
      <c r="CR244" s="8">
        <v>0</v>
      </c>
      <c r="CS244" s="8">
        <v>0</v>
      </c>
      <c r="CT244" s="8">
        <v>0</v>
      </c>
      <c r="CU244" s="8">
        <v>0</v>
      </c>
      <c r="CV244" s="8">
        <v>0</v>
      </c>
      <c r="CW244" s="8">
        <v>0</v>
      </c>
      <c r="CX244" s="8">
        <v>0</v>
      </c>
      <c r="CY244" s="8">
        <v>0</v>
      </c>
      <c r="CZ244" s="8">
        <v>0</v>
      </c>
      <c r="DA244" s="8">
        <v>0</v>
      </c>
      <c r="DB244" s="9">
        <f t="shared" si="121"/>
        <v>0</v>
      </c>
      <c r="DC244" s="8">
        <v>0</v>
      </c>
      <c r="DD244" s="8">
        <v>0</v>
      </c>
      <c r="DE244" s="8">
        <v>0</v>
      </c>
      <c r="DF244" s="8">
        <v>0</v>
      </c>
      <c r="DG244" s="8">
        <v>0</v>
      </c>
      <c r="DH244" s="8">
        <v>0</v>
      </c>
      <c r="DI244" s="8">
        <v>0</v>
      </c>
      <c r="DJ244" s="8">
        <v>0</v>
      </c>
      <c r="DK244" s="8">
        <v>0</v>
      </c>
      <c r="DL244" s="8">
        <v>0</v>
      </c>
      <c r="DM244" s="8">
        <v>0</v>
      </c>
      <c r="DN244" s="8">
        <v>0</v>
      </c>
      <c r="DO244" s="9">
        <f t="shared" si="122"/>
        <v>0</v>
      </c>
      <c r="DP244" s="8">
        <v>0</v>
      </c>
      <c r="DQ244" s="8">
        <v>0</v>
      </c>
      <c r="DR244" s="8">
        <v>0</v>
      </c>
      <c r="DS244" s="8">
        <v>0</v>
      </c>
      <c r="DT244" s="8">
        <v>0</v>
      </c>
      <c r="DU244" s="8">
        <v>0</v>
      </c>
      <c r="DV244" s="8">
        <v>0</v>
      </c>
      <c r="DW244" s="8">
        <v>0</v>
      </c>
      <c r="DX244" s="8">
        <v>0</v>
      </c>
      <c r="DY244" s="8">
        <v>0</v>
      </c>
      <c r="DZ244" s="8">
        <v>0</v>
      </c>
      <c r="EA244" s="8">
        <v>0</v>
      </c>
      <c r="EB244" s="9">
        <f t="shared" si="123"/>
        <v>0</v>
      </c>
      <c r="EC244" s="8">
        <v>0</v>
      </c>
      <c r="ED244" s="8">
        <v>0</v>
      </c>
      <c r="EE244" s="8">
        <v>0</v>
      </c>
      <c r="EF244" s="8">
        <v>0</v>
      </c>
      <c r="EG244" s="8">
        <v>0</v>
      </c>
      <c r="EH244" s="8">
        <v>0</v>
      </c>
      <c r="EI244" s="8">
        <v>0</v>
      </c>
      <c r="EJ244" s="8">
        <v>0</v>
      </c>
      <c r="EK244" s="8">
        <v>0</v>
      </c>
      <c r="EL244" s="8">
        <v>0</v>
      </c>
      <c r="EM244" s="8">
        <v>0</v>
      </c>
      <c r="EN244" s="8">
        <v>0</v>
      </c>
      <c r="EO244" s="9">
        <f t="shared" si="124"/>
        <v>0</v>
      </c>
      <c r="EP244" s="8">
        <v>0</v>
      </c>
      <c r="EQ244" s="8">
        <v>0</v>
      </c>
      <c r="ER244" s="8">
        <v>0</v>
      </c>
      <c r="ES244" s="8">
        <v>0</v>
      </c>
      <c r="ET244" s="8">
        <v>0</v>
      </c>
      <c r="EU244" s="8">
        <v>0</v>
      </c>
      <c r="EV244" s="8">
        <v>0</v>
      </c>
      <c r="EW244" s="8">
        <v>0</v>
      </c>
      <c r="EX244" s="8">
        <v>0</v>
      </c>
      <c r="EY244" s="8">
        <v>0</v>
      </c>
      <c r="EZ244" s="8">
        <v>0</v>
      </c>
      <c r="FA244" s="8">
        <v>0</v>
      </c>
      <c r="FB244" s="9">
        <f t="shared" si="125"/>
        <v>0</v>
      </c>
      <c r="FC244" s="8">
        <v>0</v>
      </c>
      <c r="FD244" s="8">
        <v>0</v>
      </c>
      <c r="FE244" s="8">
        <v>0</v>
      </c>
      <c r="FF244" s="8">
        <v>0</v>
      </c>
      <c r="FG244" s="8">
        <v>0</v>
      </c>
      <c r="FH244" s="8">
        <v>0</v>
      </c>
      <c r="FI244" s="8">
        <v>0</v>
      </c>
      <c r="FJ244" s="8"/>
      <c r="FK244" s="8"/>
      <c r="FL244" s="8"/>
      <c r="FM244" s="8"/>
      <c r="FN244" s="8"/>
      <c r="FO244" s="9">
        <f t="shared" si="126"/>
        <v>0</v>
      </c>
    </row>
    <row r="245" spans="2:171" ht="14.25" customHeight="1" x14ac:dyDescent="0.3">
      <c r="B245" s="7" t="s">
        <v>58</v>
      </c>
      <c r="C245" s="8">
        <v>0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9">
        <f t="shared" si="114"/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9">
        <f t="shared" si="115"/>
        <v>0</v>
      </c>
      <c r="AC245" s="8">
        <v>0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9">
        <f t="shared" si="116"/>
        <v>0</v>
      </c>
      <c r="AP245" s="8">
        <v>0</v>
      </c>
      <c r="AQ245" s="8">
        <v>0</v>
      </c>
      <c r="AR245" s="8">
        <v>0</v>
      </c>
      <c r="AS245" s="8">
        <v>0</v>
      </c>
      <c r="AT245" s="8">
        <v>0</v>
      </c>
      <c r="AU245" s="8">
        <v>0</v>
      </c>
      <c r="AV245" s="8">
        <v>0</v>
      </c>
      <c r="AW245" s="8">
        <v>0</v>
      </c>
      <c r="AX245" s="8">
        <v>0</v>
      </c>
      <c r="AY245" s="8">
        <v>0</v>
      </c>
      <c r="AZ245" s="8">
        <v>0</v>
      </c>
      <c r="BA245" s="8">
        <v>0</v>
      </c>
      <c r="BB245" s="9">
        <f t="shared" si="117"/>
        <v>0</v>
      </c>
      <c r="BC245" s="8">
        <v>0</v>
      </c>
      <c r="BD245" s="8">
        <v>0</v>
      </c>
      <c r="BE245" s="8">
        <v>0</v>
      </c>
      <c r="BF245" s="8">
        <v>0</v>
      </c>
      <c r="BG245" s="8">
        <v>0</v>
      </c>
      <c r="BH245" s="8">
        <v>0</v>
      </c>
      <c r="BI245" s="8">
        <v>0</v>
      </c>
      <c r="BJ245" s="8">
        <v>0</v>
      </c>
      <c r="BK245" s="8">
        <v>0</v>
      </c>
      <c r="BL245" s="8">
        <v>0</v>
      </c>
      <c r="BM245" s="8">
        <v>0</v>
      </c>
      <c r="BN245" s="8">
        <v>0</v>
      </c>
      <c r="BO245" s="9">
        <f t="shared" si="118"/>
        <v>0</v>
      </c>
      <c r="BP245" s="8">
        <v>0</v>
      </c>
      <c r="BQ245" s="8">
        <v>0</v>
      </c>
      <c r="BR245" s="8">
        <v>0</v>
      </c>
      <c r="BS245" s="8">
        <v>0</v>
      </c>
      <c r="BT245" s="8">
        <v>0</v>
      </c>
      <c r="BU245" s="8">
        <v>0</v>
      </c>
      <c r="BV245" s="8">
        <v>0</v>
      </c>
      <c r="BW245" s="8">
        <v>0</v>
      </c>
      <c r="BX245" s="8">
        <v>0</v>
      </c>
      <c r="BY245" s="8">
        <v>0</v>
      </c>
      <c r="BZ245" s="8">
        <v>0</v>
      </c>
      <c r="CA245" s="8">
        <v>0</v>
      </c>
      <c r="CB245" s="9">
        <f t="shared" si="119"/>
        <v>0</v>
      </c>
      <c r="CC245" s="8">
        <v>0</v>
      </c>
      <c r="CD245" s="8">
        <v>0</v>
      </c>
      <c r="CE245" s="8">
        <v>0</v>
      </c>
      <c r="CF245" s="8">
        <v>0</v>
      </c>
      <c r="CG245" s="8">
        <v>0</v>
      </c>
      <c r="CH245" s="8">
        <v>0</v>
      </c>
      <c r="CI245" s="8">
        <v>0</v>
      </c>
      <c r="CJ245" s="8">
        <v>0</v>
      </c>
      <c r="CK245" s="8">
        <v>0</v>
      </c>
      <c r="CL245" s="8">
        <v>0</v>
      </c>
      <c r="CM245" s="8">
        <v>0</v>
      </c>
      <c r="CN245" s="8">
        <v>0</v>
      </c>
      <c r="CO245" s="9">
        <f t="shared" si="120"/>
        <v>0</v>
      </c>
      <c r="CP245" s="8">
        <v>0</v>
      </c>
      <c r="CQ245" s="8">
        <v>0</v>
      </c>
      <c r="CR245" s="8">
        <v>0</v>
      </c>
      <c r="CS245" s="8">
        <v>0</v>
      </c>
      <c r="CT245" s="8">
        <v>0</v>
      </c>
      <c r="CU245" s="8">
        <v>0</v>
      </c>
      <c r="CV245" s="8">
        <v>0</v>
      </c>
      <c r="CW245" s="8">
        <v>0</v>
      </c>
      <c r="CX245" s="8">
        <v>0</v>
      </c>
      <c r="CY245" s="8">
        <v>0</v>
      </c>
      <c r="CZ245" s="8">
        <v>0</v>
      </c>
      <c r="DA245" s="8">
        <v>0</v>
      </c>
      <c r="DB245" s="9">
        <f t="shared" si="121"/>
        <v>0</v>
      </c>
      <c r="DC245" s="8">
        <v>0</v>
      </c>
      <c r="DD245" s="8">
        <v>0</v>
      </c>
      <c r="DE245" s="8">
        <v>0</v>
      </c>
      <c r="DF245" s="8">
        <v>0</v>
      </c>
      <c r="DG245" s="8">
        <v>0</v>
      </c>
      <c r="DH245" s="8">
        <v>0</v>
      </c>
      <c r="DI245" s="8">
        <v>0</v>
      </c>
      <c r="DJ245" s="8">
        <v>0</v>
      </c>
      <c r="DK245" s="8">
        <v>0</v>
      </c>
      <c r="DL245" s="8">
        <v>0</v>
      </c>
      <c r="DM245" s="8">
        <v>0</v>
      </c>
      <c r="DN245" s="8">
        <v>0</v>
      </c>
      <c r="DO245" s="9">
        <f t="shared" si="122"/>
        <v>0</v>
      </c>
      <c r="DP245" s="8">
        <v>0</v>
      </c>
      <c r="DQ245" s="8">
        <v>0</v>
      </c>
      <c r="DR245" s="8">
        <v>0</v>
      </c>
      <c r="DS245" s="8">
        <v>0</v>
      </c>
      <c r="DT245" s="8">
        <v>0</v>
      </c>
      <c r="DU245" s="8">
        <v>0</v>
      </c>
      <c r="DV245" s="8">
        <v>0</v>
      </c>
      <c r="DW245" s="8">
        <v>0</v>
      </c>
      <c r="DX245" s="8">
        <v>0</v>
      </c>
      <c r="DY245" s="8">
        <v>0</v>
      </c>
      <c r="DZ245" s="8">
        <v>0</v>
      </c>
      <c r="EA245" s="8">
        <v>0</v>
      </c>
      <c r="EB245" s="9">
        <f t="shared" si="123"/>
        <v>0</v>
      </c>
      <c r="EC245" s="8">
        <v>0</v>
      </c>
      <c r="ED245" s="8">
        <v>0</v>
      </c>
      <c r="EE245" s="8">
        <v>0</v>
      </c>
      <c r="EF245" s="8">
        <v>0</v>
      </c>
      <c r="EG245" s="8">
        <v>0</v>
      </c>
      <c r="EH245" s="8">
        <v>0</v>
      </c>
      <c r="EI245" s="8">
        <v>0</v>
      </c>
      <c r="EJ245" s="8">
        <v>0</v>
      </c>
      <c r="EK245" s="8">
        <v>0</v>
      </c>
      <c r="EL245" s="8">
        <v>0</v>
      </c>
      <c r="EM245" s="8">
        <v>0</v>
      </c>
      <c r="EN245" s="8">
        <v>0</v>
      </c>
      <c r="EO245" s="9">
        <f t="shared" si="124"/>
        <v>0</v>
      </c>
      <c r="EP245" s="8">
        <v>0</v>
      </c>
      <c r="EQ245" s="8">
        <v>0</v>
      </c>
      <c r="ER245" s="8">
        <v>0</v>
      </c>
      <c r="ES245" s="8">
        <v>0</v>
      </c>
      <c r="ET245" s="8">
        <v>0</v>
      </c>
      <c r="EU245" s="8">
        <v>0</v>
      </c>
      <c r="EV245" s="8">
        <v>0</v>
      </c>
      <c r="EW245" s="8">
        <v>0</v>
      </c>
      <c r="EX245" s="8">
        <v>0</v>
      </c>
      <c r="EY245" s="8">
        <v>0</v>
      </c>
      <c r="EZ245" s="8">
        <v>0</v>
      </c>
      <c r="FA245" s="8">
        <v>0</v>
      </c>
      <c r="FB245" s="9">
        <f t="shared" si="125"/>
        <v>0</v>
      </c>
      <c r="FC245" s="8">
        <v>0</v>
      </c>
      <c r="FD245" s="8">
        <v>0</v>
      </c>
      <c r="FE245" s="8">
        <v>0</v>
      </c>
      <c r="FF245" s="8">
        <v>0</v>
      </c>
      <c r="FG245" s="8">
        <v>0</v>
      </c>
      <c r="FH245" s="8">
        <v>0</v>
      </c>
      <c r="FI245" s="8">
        <v>0</v>
      </c>
      <c r="FJ245" s="8"/>
      <c r="FK245" s="8"/>
      <c r="FL245" s="8"/>
      <c r="FM245" s="8"/>
      <c r="FN245" s="8"/>
      <c r="FO245" s="9">
        <f t="shared" si="126"/>
        <v>0</v>
      </c>
    </row>
    <row r="246" spans="2:171" ht="14.25" customHeight="1" x14ac:dyDescent="0.3">
      <c r="B246" s="7" t="s">
        <v>59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9">
        <f t="shared" si="114"/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9">
        <f t="shared" si="115"/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9">
        <f t="shared" si="116"/>
        <v>0</v>
      </c>
      <c r="AP246" s="8">
        <v>0</v>
      </c>
      <c r="AQ246" s="8">
        <v>0</v>
      </c>
      <c r="AR246" s="8">
        <v>0</v>
      </c>
      <c r="AS246" s="8">
        <v>0</v>
      </c>
      <c r="AT246" s="8">
        <v>0</v>
      </c>
      <c r="AU246" s="8">
        <v>0</v>
      </c>
      <c r="AV246" s="8">
        <v>0</v>
      </c>
      <c r="AW246" s="8">
        <v>0</v>
      </c>
      <c r="AX246" s="8">
        <v>0</v>
      </c>
      <c r="AY246" s="8">
        <v>0</v>
      </c>
      <c r="AZ246" s="8">
        <v>0</v>
      </c>
      <c r="BA246" s="8">
        <v>0</v>
      </c>
      <c r="BB246" s="9">
        <f t="shared" si="117"/>
        <v>0</v>
      </c>
      <c r="BC246" s="8">
        <v>0</v>
      </c>
      <c r="BD246" s="8">
        <v>0</v>
      </c>
      <c r="BE246" s="8">
        <v>0</v>
      </c>
      <c r="BF246" s="8">
        <v>0</v>
      </c>
      <c r="BG246" s="8">
        <v>0</v>
      </c>
      <c r="BH246" s="8">
        <v>0</v>
      </c>
      <c r="BI246" s="8">
        <v>0</v>
      </c>
      <c r="BJ246" s="8">
        <v>0</v>
      </c>
      <c r="BK246" s="8">
        <v>0</v>
      </c>
      <c r="BL246" s="8">
        <v>0</v>
      </c>
      <c r="BM246" s="8">
        <v>0</v>
      </c>
      <c r="BN246" s="8">
        <v>0</v>
      </c>
      <c r="BO246" s="9">
        <f t="shared" si="118"/>
        <v>0</v>
      </c>
      <c r="BP246" s="8">
        <v>0</v>
      </c>
      <c r="BQ246" s="8">
        <v>0</v>
      </c>
      <c r="BR246" s="8">
        <v>0</v>
      </c>
      <c r="BS246" s="8">
        <v>0</v>
      </c>
      <c r="BT246" s="8">
        <v>0</v>
      </c>
      <c r="BU246" s="8">
        <v>0</v>
      </c>
      <c r="BV246" s="8">
        <v>0</v>
      </c>
      <c r="BW246" s="8">
        <v>0</v>
      </c>
      <c r="BX246" s="8">
        <v>0</v>
      </c>
      <c r="BY246" s="8">
        <v>0</v>
      </c>
      <c r="BZ246" s="8">
        <v>0</v>
      </c>
      <c r="CA246" s="8">
        <v>0</v>
      </c>
      <c r="CB246" s="9">
        <f t="shared" si="119"/>
        <v>0</v>
      </c>
      <c r="CC246" s="8">
        <v>0</v>
      </c>
      <c r="CD246" s="8">
        <v>0</v>
      </c>
      <c r="CE246" s="8">
        <v>0</v>
      </c>
      <c r="CF246" s="8">
        <v>0</v>
      </c>
      <c r="CG246" s="8">
        <v>0</v>
      </c>
      <c r="CH246" s="8">
        <v>0</v>
      </c>
      <c r="CI246" s="8">
        <v>0</v>
      </c>
      <c r="CJ246" s="8">
        <v>0</v>
      </c>
      <c r="CK246" s="8">
        <v>0</v>
      </c>
      <c r="CL246" s="8">
        <v>0</v>
      </c>
      <c r="CM246" s="8">
        <v>0</v>
      </c>
      <c r="CN246" s="8">
        <v>0</v>
      </c>
      <c r="CO246" s="9">
        <f t="shared" si="120"/>
        <v>0</v>
      </c>
      <c r="CP246" s="8">
        <v>0</v>
      </c>
      <c r="CQ246" s="8">
        <v>0</v>
      </c>
      <c r="CR246" s="8">
        <v>0</v>
      </c>
      <c r="CS246" s="8">
        <v>0</v>
      </c>
      <c r="CT246" s="8">
        <v>0</v>
      </c>
      <c r="CU246" s="8">
        <v>0</v>
      </c>
      <c r="CV246" s="8">
        <v>0</v>
      </c>
      <c r="CW246" s="8">
        <v>0</v>
      </c>
      <c r="CX246" s="8">
        <v>0</v>
      </c>
      <c r="CY246" s="8">
        <v>0</v>
      </c>
      <c r="CZ246" s="8">
        <v>0</v>
      </c>
      <c r="DA246" s="8">
        <v>0</v>
      </c>
      <c r="DB246" s="9">
        <f t="shared" si="121"/>
        <v>0</v>
      </c>
      <c r="DC246" s="8">
        <v>0</v>
      </c>
      <c r="DD246" s="8">
        <v>0</v>
      </c>
      <c r="DE246" s="8">
        <v>0</v>
      </c>
      <c r="DF246" s="8">
        <v>0</v>
      </c>
      <c r="DG246" s="8">
        <v>0</v>
      </c>
      <c r="DH246" s="8">
        <v>0</v>
      </c>
      <c r="DI246" s="8">
        <v>0</v>
      </c>
      <c r="DJ246" s="8">
        <v>0</v>
      </c>
      <c r="DK246" s="8">
        <v>0</v>
      </c>
      <c r="DL246" s="8">
        <v>0</v>
      </c>
      <c r="DM246" s="8">
        <v>0</v>
      </c>
      <c r="DN246" s="8">
        <v>0</v>
      </c>
      <c r="DO246" s="9">
        <f t="shared" si="122"/>
        <v>0</v>
      </c>
      <c r="DP246" s="8">
        <v>0</v>
      </c>
      <c r="DQ246" s="8">
        <v>0</v>
      </c>
      <c r="DR246" s="8">
        <v>0</v>
      </c>
      <c r="DS246" s="8">
        <v>0</v>
      </c>
      <c r="DT246" s="8">
        <v>0</v>
      </c>
      <c r="DU246" s="8">
        <v>0</v>
      </c>
      <c r="DV246" s="8">
        <v>0</v>
      </c>
      <c r="DW246" s="8">
        <v>0</v>
      </c>
      <c r="DX246" s="8">
        <v>0</v>
      </c>
      <c r="DY246" s="8">
        <v>0</v>
      </c>
      <c r="DZ246" s="8">
        <v>0</v>
      </c>
      <c r="EA246" s="8">
        <v>0</v>
      </c>
      <c r="EB246" s="9">
        <f t="shared" si="123"/>
        <v>0</v>
      </c>
      <c r="EC246" s="8">
        <v>0</v>
      </c>
      <c r="ED246" s="8">
        <v>0</v>
      </c>
      <c r="EE246" s="8">
        <v>0</v>
      </c>
      <c r="EF246" s="8">
        <v>0</v>
      </c>
      <c r="EG246" s="8">
        <v>0</v>
      </c>
      <c r="EH246" s="8">
        <v>0</v>
      </c>
      <c r="EI246" s="8">
        <v>0</v>
      </c>
      <c r="EJ246" s="8">
        <v>0</v>
      </c>
      <c r="EK246" s="8">
        <v>0</v>
      </c>
      <c r="EL246" s="8">
        <v>0</v>
      </c>
      <c r="EM246" s="8">
        <v>0</v>
      </c>
      <c r="EN246" s="8">
        <v>0</v>
      </c>
      <c r="EO246" s="9">
        <f t="shared" si="124"/>
        <v>0</v>
      </c>
      <c r="EP246" s="8">
        <v>0</v>
      </c>
      <c r="EQ246" s="8">
        <v>0</v>
      </c>
      <c r="ER246" s="8">
        <v>0</v>
      </c>
      <c r="ES246" s="8">
        <v>0</v>
      </c>
      <c r="ET246" s="8">
        <v>0</v>
      </c>
      <c r="EU246" s="8">
        <v>0</v>
      </c>
      <c r="EV246" s="8">
        <v>0</v>
      </c>
      <c r="EW246" s="8">
        <v>0</v>
      </c>
      <c r="EX246" s="8">
        <v>0</v>
      </c>
      <c r="EY246" s="8">
        <v>0</v>
      </c>
      <c r="EZ246" s="8">
        <v>0</v>
      </c>
      <c r="FA246" s="8">
        <v>0</v>
      </c>
      <c r="FB246" s="9">
        <f t="shared" si="125"/>
        <v>0</v>
      </c>
      <c r="FC246" s="8">
        <v>0</v>
      </c>
      <c r="FD246" s="8">
        <v>0</v>
      </c>
      <c r="FE246" s="8">
        <v>0</v>
      </c>
      <c r="FF246" s="8">
        <v>0</v>
      </c>
      <c r="FG246" s="8">
        <v>0</v>
      </c>
      <c r="FH246" s="8">
        <v>0</v>
      </c>
      <c r="FI246" s="8">
        <v>0</v>
      </c>
      <c r="FJ246" s="8"/>
      <c r="FK246" s="8"/>
      <c r="FL246" s="8"/>
      <c r="FM246" s="8"/>
      <c r="FN246" s="8"/>
      <c r="FO246" s="9">
        <f t="shared" si="126"/>
        <v>0</v>
      </c>
    </row>
    <row r="247" spans="2:171" ht="14.25" customHeight="1" x14ac:dyDescent="0.3">
      <c r="B247" s="7" t="s">
        <v>60</v>
      </c>
      <c r="C247" s="8">
        <v>0</v>
      </c>
      <c r="D247" s="8">
        <v>0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9">
        <f t="shared" si="114"/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9">
        <f t="shared" si="115"/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9">
        <f t="shared" si="116"/>
        <v>0</v>
      </c>
      <c r="AP247" s="8">
        <v>0</v>
      </c>
      <c r="AQ247" s="8">
        <v>0</v>
      </c>
      <c r="AR247" s="8">
        <v>0</v>
      </c>
      <c r="AS247" s="8">
        <v>0</v>
      </c>
      <c r="AT247" s="8">
        <v>0</v>
      </c>
      <c r="AU247" s="8">
        <v>0</v>
      </c>
      <c r="AV247" s="8">
        <v>0</v>
      </c>
      <c r="AW247" s="8">
        <v>0</v>
      </c>
      <c r="AX247" s="8">
        <v>0</v>
      </c>
      <c r="AY247" s="8">
        <v>0</v>
      </c>
      <c r="AZ247" s="8">
        <v>0</v>
      </c>
      <c r="BA247" s="8">
        <v>0</v>
      </c>
      <c r="BB247" s="9">
        <f t="shared" si="117"/>
        <v>0</v>
      </c>
      <c r="BC247" s="8">
        <v>0</v>
      </c>
      <c r="BD247" s="8">
        <v>0</v>
      </c>
      <c r="BE247" s="8">
        <v>0</v>
      </c>
      <c r="BF247" s="8">
        <v>0</v>
      </c>
      <c r="BG247" s="8">
        <v>0</v>
      </c>
      <c r="BH247" s="8">
        <v>0</v>
      </c>
      <c r="BI247" s="8">
        <v>0</v>
      </c>
      <c r="BJ247" s="8">
        <v>0</v>
      </c>
      <c r="BK247" s="8">
        <v>0</v>
      </c>
      <c r="BL247" s="8">
        <v>0</v>
      </c>
      <c r="BM247" s="8">
        <v>0</v>
      </c>
      <c r="BN247" s="8">
        <v>0</v>
      </c>
      <c r="BO247" s="9">
        <f t="shared" si="118"/>
        <v>0</v>
      </c>
      <c r="BP247" s="8">
        <v>0</v>
      </c>
      <c r="BQ247" s="8">
        <v>0</v>
      </c>
      <c r="BR247" s="8">
        <v>0</v>
      </c>
      <c r="BS247" s="8">
        <v>0</v>
      </c>
      <c r="BT247" s="8">
        <v>0</v>
      </c>
      <c r="BU247" s="8">
        <v>0</v>
      </c>
      <c r="BV247" s="8">
        <v>0</v>
      </c>
      <c r="BW247" s="8">
        <v>0</v>
      </c>
      <c r="BX247" s="8">
        <v>0</v>
      </c>
      <c r="BY247" s="8">
        <v>0</v>
      </c>
      <c r="BZ247" s="8">
        <v>0</v>
      </c>
      <c r="CA247" s="8">
        <v>0</v>
      </c>
      <c r="CB247" s="9">
        <f t="shared" si="119"/>
        <v>0</v>
      </c>
      <c r="CC247" s="8">
        <v>0</v>
      </c>
      <c r="CD247" s="8">
        <v>0</v>
      </c>
      <c r="CE247" s="8">
        <v>0</v>
      </c>
      <c r="CF247" s="8">
        <v>0</v>
      </c>
      <c r="CG247" s="8">
        <v>0</v>
      </c>
      <c r="CH247" s="8">
        <v>0</v>
      </c>
      <c r="CI247" s="8">
        <v>0</v>
      </c>
      <c r="CJ247" s="8">
        <v>0</v>
      </c>
      <c r="CK247" s="8">
        <v>0</v>
      </c>
      <c r="CL247" s="8">
        <v>0</v>
      </c>
      <c r="CM247" s="8">
        <v>0</v>
      </c>
      <c r="CN247" s="8">
        <v>0</v>
      </c>
      <c r="CO247" s="9">
        <f t="shared" si="120"/>
        <v>0</v>
      </c>
      <c r="CP247" s="8">
        <v>0</v>
      </c>
      <c r="CQ247" s="8">
        <v>0</v>
      </c>
      <c r="CR247" s="8">
        <v>0</v>
      </c>
      <c r="CS247" s="8">
        <v>0</v>
      </c>
      <c r="CT247" s="8">
        <v>0</v>
      </c>
      <c r="CU247" s="8">
        <v>0</v>
      </c>
      <c r="CV247" s="8">
        <v>0</v>
      </c>
      <c r="CW247" s="8">
        <v>0</v>
      </c>
      <c r="CX247" s="8">
        <v>0</v>
      </c>
      <c r="CY247" s="8">
        <v>0</v>
      </c>
      <c r="CZ247" s="8">
        <v>0</v>
      </c>
      <c r="DA247" s="8">
        <v>0</v>
      </c>
      <c r="DB247" s="9">
        <f t="shared" si="121"/>
        <v>0</v>
      </c>
      <c r="DC247" s="8">
        <v>0</v>
      </c>
      <c r="DD247" s="8">
        <v>0</v>
      </c>
      <c r="DE247" s="8">
        <v>0</v>
      </c>
      <c r="DF247" s="8">
        <v>0</v>
      </c>
      <c r="DG247" s="8">
        <v>0</v>
      </c>
      <c r="DH247" s="8">
        <v>0</v>
      </c>
      <c r="DI247" s="8">
        <v>0</v>
      </c>
      <c r="DJ247" s="8">
        <v>0</v>
      </c>
      <c r="DK247" s="8">
        <v>0</v>
      </c>
      <c r="DL247" s="8">
        <v>0</v>
      </c>
      <c r="DM247" s="8">
        <v>0</v>
      </c>
      <c r="DN247" s="8">
        <v>0</v>
      </c>
      <c r="DO247" s="9">
        <f t="shared" si="122"/>
        <v>0</v>
      </c>
      <c r="DP247" s="8">
        <v>0</v>
      </c>
      <c r="DQ247" s="8">
        <v>0</v>
      </c>
      <c r="DR247" s="8">
        <v>0</v>
      </c>
      <c r="DS247" s="8">
        <v>0</v>
      </c>
      <c r="DT247" s="8">
        <v>0</v>
      </c>
      <c r="DU247" s="8">
        <v>0</v>
      </c>
      <c r="DV247" s="8">
        <v>0</v>
      </c>
      <c r="DW247" s="8">
        <v>0</v>
      </c>
      <c r="DX247" s="8">
        <v>0</v>
      </c>
      <c r="DY247" s="8">
        <v>0</v>
      </c>
      <c r="DZ247" s="8">
        <v>0</v>
      </c>
      <c r="EA247" s="8">
        <v>0</v>
      </c>
      <c r="EB247" s="9">
        <f t="shared" si="123"/>
        <v>0</v>
      </c>
      <c r="EC247" s="8">
        <v>0</v>
      </c>
      <c r="ED247" s="8">
        <v>0</v>
      </c>
      <c r="EE247" s="8">
        <v>0</v>
      </c>
      <c r="EF247" s="8">
        <v>0</v>
      </c>
      <c r="EG247" s="8">
        <v>0</v>
      </c>
      <c r="EH247" s="8">
        <v>0</v>
      </c>
      <c r="EI247" s="8">
        <v>0</v>
      </c>
      <c r="EJ247" s="8">
        <v>0</v>
      </c>
      <c r="EK247" s="8">
        <v>0</v>
      </c>
      <c r="EL247" s="8">
        <v>0</v>
      </c>
      <c r="EM247" s="8">
        <v>0</v>
      </c>
      <c r="EN247" s="8">
        <v>0</v>
      </c>
      <c r="EO247" s="9">
        <f t="shared" si="124"/>
        <v>0</v>
      </c>
      <c r="EP247" s="8">
        <v>0</v>
      </c>
      <c r="EQ247" s="8">
        <v>0</v>
      </c>
      <c r="ER247" s="8">
        <v>0</v>
      </c>
      <c r="ES247" s="8">
        <v>0</v>
      </c>
      <c r="ET247" s="8">
        <v>0</v>
      </c>
      <c r="EU247" s="8">
        <v>0</v>
      </c>
      <c r="EV247" s="8">
        <v>0</v>
      </c>
      <c r="EW247" s="8">
        <v>0</v>
      </c>
      <c r="EX247" s="8">
        <v>0</v>
      </c>
      <c r="EY247" s="8">
        <v>0</v>
      </c>
      <c r="EZ247" s="8">
        <v>0</v>
      </c>
      <c r="FA247" s="8">
        <v>0</v>
      </c>
      <c r="FB247" s="9">
        <f t="shared" si="125"/>
        <v>0</v>
      </c>
      <c r="FC247" s="8">
        <v>0</v>
      </c>
      <c r="FD247" s="8">
        <v>0</v>
      </c>
      <c r="FE247" s="8">
        <v>0</v>
      </c>
      <c r="FF247" s="8">
        <v>0</v>
      </c>
      <c r="FG247" s="8">
        <v>0</v>
      </c>
      <c r="FH247" s="8">
        <v>0</v>
      </c>
      <c r="FI247" s="8">
        <v>0</v>
      </c>
      <c r="FJ247" s="8"/>
      <c r="FK247" s="8"/>
      <c r="FL247" s="8"/>
      <c r="FM247" s="8"/>
      <c r="FN247" s="8"/>
      <c r="FO247" s="9">
        <f t="shared" si="126"/>
        <v>0</v>
      </c>
    </row>
    <row r="248" spans="2:171" ht="14.25" customHeight="1" x14ac:dyDescent="0.3">
      <c r="B248" s="7" t="s">
        <v>61</v>
      </c>
      <c r="C248" s="8">
        <v>0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9">
        <f t="shared" si="114"/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9">
        <f t="shared" si="115"/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9">
        <f t="shared" si="116"/>
        <v>0</v>
      </c>
      <c r="AP248" s="8">
        <v>0</v>
      </c>
      <c r="AQ248" s="8">
        <v>0</v>
      </c>
      <c r="AR248" s="8">
        <v>0</v>
      </c>
      <c r="AS248" s="8">
        <v>0</v>
      </c>
      <c r="AT248" s="8">
        <v>0</v>
      </c>
      <c r="AU248" s="8">
        <v>0</v>
      </c>
      <c r="AV248" s="8">
        <v>0</v>
      </c>
      <c r="AW248" s="8">
        <v>0</v>
      </c>
      <c r="AX248" s="8">
        <v>0</v>
      </c>
      <c r="AY248" s="8">
        <v>0</v>
      </c>
      <c r="AZ248" s="8">
        <v>0</v>
      </c>
      <c r="BA248" s="8">
        <v>0</v>
      </c>
      <c r="BB248" s="9">
        <f t="shared" si="117"/>
        <v>0</v>
      </c>
      <c r="BC248" s="8">
        <v>0</v>
      </c>
      <c r="BD248" s="8">
        <v>0</v>
      </c>
      <c r="BE248" s="8">
        <v>0</v>
      </c>
      <c r="BF248" s="8">
        <v>0</v>
      </c>
      <c r="BG248" s="8">
        <v>0</v>
      </c>
      <c r="BH248" s="8">
        <v>0</v>
      </c>
      <c r="BI248" s="8">
        <v>0</v>
      </c>
      <c r="BJ248" s="8">
        <v>0</v>
      </c>
      <c r="BK248" s="8">
        <v>0</v>
      </c>
      <c r="BL248" s="8">
        <v>0</v>
      </c>
      <c r="BM248" s="8">
        <v>0</v>
      </c>
      <c r="BN248" s="8">
        <v>0</v>
      </c>
      <c r="BO248" s="9">
        <f t="shared" si="118"/>
        <v>0</v>
      </c>
      <c r="BP248" s="8">
        <v>0</v>
      </c>
      <c r="BQ248" s="8">
        <v>0</v>
      </c>
      <c r="BR248" s="8">
        <v>0</v>
      </c>
      <c r="BS248" s="8">
        <v>0</v>
      </c>
      <c r="BT248" s="8">
        <v>0</v>
      </c>
      <c r="BU248" s="8">
        <v>0</v>
      </c>
      <c r="BV248" s="8">
        <v>0</v>
      </c>
      <c r="BW248" s="8">
        <v>0</v>
      </c>
      <c r="BX248" s="8">
        <v>0</v>
      </c>
      <c r="BY248" s="8">
        <v>0</v>
      </c>
      <c r="BZ248" s="8">
        <v>0</v>
      </c>
      <c r="CA248" s="8">
        <v>0</v>
      </c>
      <c r="CB248" s="9">
        <f t="shared" si="119"/>
        <v>0</v>
      </c>
      <c r="CC248" s="8">
        <v>0</v>
      </c>
      <c r="CD248" s="8">
        <v>0</v>
      </c>
      <c r="CE248" s="8">
        <v>0</v>
      </c>
      <c r="CF248" s="8">
        <v>0</v>
      </c>
      <c r="CG248" s="8">
        <v>0</v>
      </c>
      <c r="CH248" s="8">
        <v>0</v>
      </c>
      <c r="CI248" s="8">
        <v>0</v>
      </c>
      <c r="CJ248" s="8">
        <v>0</v>
      </c>
      <c r="CK248" s="8">
        <v>0</v>
      </c>
      <c r="CL248" s="8">
        <v>0</v>
      </c>
      <c r="CM248" s="8">
        <v>0</v>
      </c>
      <c r="CN248" s="8">
        <v>0</v>
      </c>
      <c r="CO248" s="9">
        <f t="shared" si="120"/>
        <v>0</v>
      </c>
      <c r="CP248" s="8">
        <v>0</v>
      </c>
      <c r="CQ248" s="8">
        <v>0</v>
      </c>
      <c r="CR248" s="8">
        <v>0</v>
      </c>
      <c r="CS248" s="8">
        <v>0</v>
      </c>
      <c r="CT248" s="8">
        <v>0</v>
      </c>
      <c r="CU248" s="8">
        <v>0</v>
      </c>
      <c r="CV248" s="8">
        <v>0</v>
      </c>
      <c r="CW248" s="8">
        <v>0</v>
      </c>
      <c r="CX248" s="8">
        <v>0</v>
      </c>
      <c r="CY248" s="8">
        <v>0</v>
      </c>
      <c r="CZ248" s="8">
        <v>0</v>
      </c>
      <c r="DA248" s="8">
        <v>0</v>
      </c>
      <c r="DB248" s="9">
        <f t="shared" si="121"/>
        <v>0</v>
      </c>
      <c r="DC248" s="8">
        <v>0</v>
      </c>
      <c r="DD248" s="8">
        <v>0</v>
      </c>
      <c r="DE248" s="8">
        <v>0</v>
      </c>
      <c r="DF248" s="8">
        <v>0</v>
      </c>
      <c r="DG248" s="8">
        <v>0</v>
      </c>
      <c r="DH248" s="8">
        <v>0</v>
      </c>
      <c r="DI248" s="8">
        <v>0</v>
      </c>
      <c r="DJ248" s="8">
        <v>0</v>
      </c>
      <c r="DK248" s="8">
        <v>0</v>
      </c>
      <c r="DL248" s="8">
        <v>0</v>
      </c>
      <c r="DM248" s="8">
        <v>0</v>
      </c>
      <c r="DN248" s="8">
        <v>0</v>
      </c>
      <c r="DO248" s="9">
        <f t="shared" si="122"/>
        <v>0</v>
      </c>
      <c r="DP248" s="8">
        <v>0</v>
      </c>
      <c r="DQ248" s="8">
        <v>0</v>
      </c>
      <c r="DR248" s="8">
        <v>0</v>
      </c>
      <c r="DS248" s="8">
        <v>0</v>
      </c>
      <c r="DT248" s="8">
        <v>0</v>
      </c>
      <c r="DU248" s="8">
        <v>0</v>
      </c>
      <c r="DV248" s="8">
        <v>0</v>
      </c>
      <c r="DW248" s="8">
        <v>0</v>
      </c>
      <c r="DX248" s="8">
        <v>0</v>
      </c>
      <c r="DY248" s="8">
        <v>0</v>
      </c>
      <c r="DZ248" s="8">
        <v>0</v>
      </c>
      <c r="EA248" s="8">
        <v>0</v>
      </c>
      <c r="EB248" s="9">
        <f t="shared" si="123"/>
        <v>0</v>
      </c>
      <c r="EC248" s="8">
        <v>0</v>
      </c>
      <c r="ED248" s="8">
        <v>0</v>
      </c>
      <c r="EE248" s="8">
        <v>0</v>
      </c>
      <c r="EF248" s="8">
        <v>0</v>
      </c>
      <c r="EG248" s="8">
        <v>0</v>
      </c>
      <c r="EH248" s="8">
        <v>0</v>
      </c>
      <c r="EI248" s="8">
        <v>0</v>
      </c>
      <c r="EJ248" s="8">
        <v>0</v>
      </c>
      <c r="EK248" s="8">
        <v>0</v>
      </c>
      <c r="EL248" s="8">
        <v>0</v>
      </c>
      <c r="EM248" s="8">
        <v>0</v>
      </c>
      <c r="EN248" s="8">
        <v>0</v>
      </c>
      <c r="EO248" s="9">
        <f t="shared" si="124"/>
        <v>0</v>
      </c>
      <c r="EP248" s="8">
        <v>0</v>
      </c>
      <c r="EQ248" s="8">
        <v>0</v>
      </c>
      <c r="ER248" s="8">
        <v>0</v>
      </c>
      <c r="ES248" s="8">
        <v>0</v>
      </c>
      <c r="ET248" s="8">
        <v>0</v>
      </c>
      <c r="EU248" s="8">
        <v>0</v>
      </c>
      <c r="EV248" s="8">
        <v>0</v>
      </c>
      <c r="EW248" s="8">
        <v>0</v>
      </c>
      <c r="EX248" s="8">
        <v>0</v>
      </c>
      <c r="EY248" s="8">
        <v>0</v>
      </c>
      <c r="EZ248" s="8">
        <v>0</v>
      </c>
      <c r="FA248" s="8">
        <v>0</v>
      </c>
      <c r="FB248" s="9">
        <f t="shared" si="125"/>
        <v>0</v>
      </c>
      <c r="FC248" s="8">
        <v>0</v>
      </c>
      <c r="FD248" s="8">
        <v>0</v>
      </c>
      <c r="FE248" s="8">
        <v>0</v>
      </c>
      <c r="FF248" s="8">
        <v>0</v>
      </c>
      <c r="FG248" s="8">
        <v>0</v>
      </c>
      <c r="FH248" s="8">
        <v>0</v>
      </c>
      <c r="FI248" s="8">
        <v>0</v>
      </c>
      <c r="FJ248" s="8"/>
      <c r="FK248" s="8"/>
      <c r="FL248" s="8"/>
      <c r="FM248" s="8"/>
      <c r="FN248" s="8"/>
      <c r="FO248" s="9">
        <f t="shared" si="126"/>
        <v>0</v>
      </c>
    </row>
    <row r="249" spans="2:171" ht="14.25" customHeight="1" x14ac:dyDescent="0.3">
      <c r="B249" s="7" t="s">
        <v>62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9">
        <f t="shared" si="114"/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9">
        <f t="shared" si="115"/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  <c r="AN249" s="8">
        <v>0</v>
      </c>
      <c r="AO249" s="9">
        <f t="shared" si="116"/>
        <v>0</v>
      </c>
      <c r="AP249" s="8">
        <v>0</v>
      </c>
      <c r="AQ249" s="8">
        <v>0</v>
      </c>
      <c r="AR249" s="8">
        <v>0</v>
      </c>
      <c r="AS249" s="8">
        <v>0</v>
      </c>
      <c r="AT249" s="8">
        <v>0</v>
      </c>
      <c r="AU249" s="8">
        <v>0</v>
      </c>
      <c r="AV249" s="8">
        <v>0</v>
      </c>
      <c r="AW249" s="8">
        <v>0</v>
      </c>
      <c r="AX249" s="8">
        <v>0</v>
      </c>
      <c r="AY249" s="8">
        <v>0</v>
      </c>
      <c r="AZ249" s="8">
        <v>0</v>
      </c>
      <c r="BA249" s="8">
        <v>0</v>
      </c>
      <c r="BB249" s="9">
        <f t="shared" si="117"/>
        <v>0</v>
      </c>
      <c r="BC249" s="8">
        <v>0</v>
      </c>
      <c r="BD249" s="8">
        <v>0</v>
      </c>
      <c r="BE249" s="8">
        <v>0</v>
      </c>
      <c r="BF249" s="8">
        <v>0</v>
      </c>
      <c r="BG249" s="8">
        <v>0</v>
      </c>
      <c r="BH249" s="8">
        <v>0</v>
      </c>
      <c r="BI249" s="8">
        <v>0</v>
      </c>
      <c r="BJ249" s="8">
        <v>0</v>
      </c>
      <c r="BK249" s="8">
        <v>0</v>
      </c>
      <c r="BL249" s="8">
        <v>0</v>
      </c>
      <c r="BM249" s="8">
        <v>0</v>
      </c>
      <c r="BN249" s="8">
        <v>0</v>
      </c>
      <c r="BO249" s="9">
        <f t="shared" si="118"/>
        <v>0</v>
      </c>
      <c r="BP249" s="8">
        <v>0</v>
      </c>
      <c r="BQ249" s="8">
        <v>0</v>
      </c>
      <c r="BR249" s="8">
        <v>0</v>
      </c>
      <c r="BS249" s="8">
        <v>0</v>
      </c>
      <c r="BT249" s="8">
        <v>0</v>
      </c>
      <c r="BU249" s="8">
        <v>0</v>
      </c>
      <c r="BV249" s="8">
        <v>0</v>
      </c>
      <c r="BW249" s="8">
        <v>0</v>
      </c>
      <c r="BX249" s="8">
        <v>0</v>
      </c>
      <c r="BY249" s="8">
        <v>0</v>
      </c>
      <c r="BZ249" s="8">
        <v>0</v>
      </c>
      <c r="CA249" s="8">
        <v>0</v>
      </c>
      <c r="CB249" s="9">
        <f t="shared" si="119"/>
        <v>0</v>
      </c>
      <c r="CC249" s="8">
        <v>0</v>
      </c>
      <c r="CD249" s="8">
        <v>0</v>
      </c>
      <c r="CE249" s="8">
        <v>0</v>
      </c>
      <c r="CF249" s="8">
        <v>0</v>
      </c>
      <c r="CG249" s="8">
        <v>0</v>
      </c>
      <c r="CH249" s="8">
        <v>0</v>
      </c>
      <c r="CI249" s="8">
        <v>0</v>
      </c>
      <c r="CJ249" s="8">
        <v>0</v>
      </c>
      <c r="CK249" s="8">
        <v>0</v>
      </c>
      <c r="CL249" s="8">
        <v>0</v>
      </c>
      <c r="CM249" s="8">
        <v>0</v>
      </c>
      <c r="CN249" s="8">
        <v>0</v>
      </c>
      <c r="CO249" s="9">
        <f t="shared" si="120"/>
        <v>0</v>
      </c>
      <c r="CP249" s="8">
        <v>0</v>
      </c>
      <c r="CQ249" s="8">
        <v>0</v>
      </c>
      <c r="CR249" s="8">
        <v>0</v>
      </c>
      <c r="CS249" s="8">
        <v>0</v>
      </c>
      <c r="CT249" s="8">
        <v>0</v>
      </c>
      <c r="CU249" s="8">
        <v>0</v>
      </c>
      <c r="CV249" s="8">
        <v>0</v>
      </c>
      <c r="CW249" s="8">
        <v>0</v>
      </c>
      <c r="CX249" s="8">
        <v>0</v>
      </c>
      <c r="CY249" s="8">
        <v>0</v>
      </c>
      <c r="CZ249" s="8">
        <v>0</v>
      </c>
      <c r="DA249" s="8">
        <v>0</v>
      </c>
      <c r="DB249" s="9">
        <f t="shared" si="121"/>
        <v>0</v>
      </c>
      <c r="DC249" s="8">
        <v>0</v>
      </c>
      <c r="DD249" s="8">
        <v>0</v>
      </c>
      <c r="DE249" s="8">
        <v>0</v>
      </c>
      <c r="DF249" s="8">
        <v>0</v>
      </c>
      <c r="DG249" s="8">
        <v>0</v>
      </c>
      <c r="DH249" s="8">
        <v>0</v>
      </c>
      <c r="DI249" s="8">
        <v>0</v>
      </c>
      <c r="DJ249" s="8">
        <v>0</v>
      </c>
      <c r="DK249" s="8">
        <v>0</v>
      </c>
      <c r="DL249" s="8">
        <v>0</v>
      </c>
      <c r="DM249" s="8">
        <v>0</v>
      </c>
      <c r="DN249" s="8">
        <v>0</v>
      </c>
      <c r="DO249" s="9">
        <f t="shared" si="122"/>
        <v>0</v>
      </c>
      <c r="DP249" s="8">
        <v>0</v>
      </c>
      <c r="DQ249" s="8">
        <v>0</v>
      </c>
      <c r="DR249" s="8">
        <v>0</v>
      </c>
      <c r="DS249" s="8">
        <v>0</v>
      </c>
      <c r="DT249" s="8">
        <v>0</v>
      </c>
      <c r="DU249" s="8">
        <v>0</v>
      </c>
      <c r="DV249" s="8">
        <v>0</v>
      </c>
      <c r="DW249" s="8">
        <v>0</v>
      </c>
      <c r="DX249" s="8">
        <v>0</v>
      </c>
      <c r="DY249" s="8">
        <v>0</v>
      </c>
      <c r="DZ249" s="8">
        <v>0</v>
      </c>
      <c r="EA249" s="8">
        <v>0</v>
      </c>
      <c r="EB249" s="9">
        <f t="shared" si="123"/>
        <v>0</v>
      </c>
      <c r="EC249" s="8">
        <v>0</v>
      </c>
      <c r="ED249" s="8">
        <v>0</v>
      </c>
      <c r="EE249" s="8">
        <v>0</v>
      </c>
      <c r="EF249" s="8">
        <v>0</v>
      </c>
      <c r="EG249" s="8">
        <v>0</v>
      </c>
      <c r="EH249" s="8">
        <v>0</v>
      </c>
      <c r="EI249" s="8">
        <v>0</v>
      </c>
      <c r="EJ249" s="8">
        <v>0</v>
      </c>
      <c r="EK249" s="8">
        <v>0</v>
      </c>
      <c r="EL249" s="8">
        <v>0</v>
      </c>
      <c r="EM249" s="8">
        <v>0</v>
      </c>
      <c r="EN249" s="8">
        <v>0</v>
      </c>
      <c r="EO249" s="9">
        <f t="shared" si="124"/>
        <v>0</v>
      </c>
      <c r="EP249" s="8">
        <v>0</v>
      </c>
      <c r="EQ249" s="8">
        <v>0</v>
      </c>
      <c r="ER249" s="8">
        <v>0</v>
      </c>
      <c r="ES249" s="8">
        <v>0</v>
      </c>
      <c r="ET249" s="8">
        <v>0</v>
      </c>
      <c r="EU249" s="8">
        <v>0</v>
      </c>
      <c r="EV249" s="8">
        <v>0</v>
      </c>
      <c r="EW249" s="8">
        <v>0</v>
      </c>
      <c r="EX249" s="8">
        <v>0</v>
      </c>
      <c r="EY249" s="8">
        <v>0</v>
      </c>
      <c r="EZ249" s="8">
        <v>0</v>
      </c>
      <c r="FA249" s="8">
        <v>0</v>
      </c>
      <c r="FB249" s="9">
        <f t="shared" si="125"/>
        <v>0</v>
      </c>
      <c r="FC249" s="8">
        <v>0</v>
      </c>
      <c r="FD249" s="8">
        <v>0</v>
      </c>
      <c r="FE249" s="8">
        <v>0</v>
      </c>
      <c r="FF249" s="8">
        <v>0</v>
      </c>
      <c r="FG249" s="8">
        <v>0</v>
      </c>
      <c r="FH249" s="8">
        <v>0</v>
      </c>
      <c r="FI249" s="8">
        <v>0</v>
      </c>
      <c r="FJ249" s="8"/>
      <c r="FK249" s="8"/>
      <c r="FL249" s="8"/>
      <c r="FM249" s="8"/>
      <c r="FN249" s="8"/>
      <c r="FO249" s="9">
        <f t="shared" si="126"/>
        <v>0</v>
      </c>
    </row>
    <row r="250" spans="2:171" ht="14.25" customHeight="1" x14ac:dyDescent="0.3">
      <c r="B250" s="7" t="s">
        <v>63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9">
        <f t="shared" si="114"/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9">
        <f t="shared" si="115"/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  <c r="AN250" s="8">
        <v>0</v>
      </c>
      <c r="AO250" s="9">
        <f t="shared" si="116"/>
        <v>0</v>
      </c>
      <c r="AP250" s="8">
        <v>0</v>
      </c>
      <c r="AQ250" s="8">
        <v>0</v>
      </c>
      <c r="AR250" s="8">
        <v>0</v>
      </c>
      <c r="AS250" s="8">
        <v>0</v>
      </c>
      <c r="AT250" s="8">
        <v>0</v>
      </c>
      <c r="AU250" s="8">
        <v>0</v>
      </c>
      <c r="AV250" s="8">
        <v>0</v>
      </c>
      <c r="AW250" s="8">
        <v>0</v>
      </c>
      <c r="AX250" s="8">
        <v>0</v>
      </c>
      <c r="AY250" s="8">
        <v>0</v>
      </c>
      <c r="AZ250" s="8">
        <v>0</v>
      </c>
      <c r="BA250" s="8">
        <v>0</v>
      </c>
      <c r="BB250" s="9">
        <f t="shared" si="117"/>
        <v>0</v>
      </c>
      <c r="BC250" s="8">
        <v>0</v>
      </c>
      <c r="BD250" s="8">
        <v>0</v>
      </c>
      <c r="BE250" s="8">
        <v>0</v>
      </c>
      <c r="BF250" s="8">
        <v>0</v>
      </c>
      <c r="BG250" s="8">
        <v>0</v>
      </c>
      <c r="BH250" s="8">
        <v>0</v>
      </c>
      <c r="BI250" s="8">
        <v>0</v>
      </c>
      <c r="BJ250" s="8">
        <v>0</v>
      </c>
      <c r="BK250" s="8">
        <v>0</v>
      </c>
      <c r="BL250" s="8">
        <v>0</v>
      </c>
      <c r="BM250" s="8">
        <v>0</v>
      </c>
      <c r="BN250" s="8">
        <v>0</v>
      </c>
      <c r="BO250" s="9">
        <f t="shared" si="118"/>
        <v>0</v>
      </c>
      <c r="BP250" s="8">
        <v>0</v>
      </c>
      <c r="BQ250" s="8">
        <v>0</v>
      </c>
      <c r="BR250" s="8">
        <v>0</v>
      </c>
      <c r="BS250" s="8">
        <v>0</v>
      </c>
      <c r="BT250" s="8">
        <v>0</v>
      </c>
      <c r="BU250" s="8">
        <v>0</v>
      </c>
      <c r="BV250" s="8">
        <v>0</v>
      </c>
      <c r="BW250" s="8">
        <v>0</v>
      </c>
      <c r="BX250" s="8">
        <v>0</v>
      </c>
      <c r="BY250" s="8">
        <v>0</v>
      </c>
      <c r="BZ250" s="8">
        <v>0</v>
      </c>
      <c r="CA250" s="8">
        <v>0</v>
      </c>
      <c r="CB250" s="9">
        <f t="shared" si="119"/>
        <v>0</v>
      </c>
      <c r="CC250" s="8">
        <v>0</v>
      </c>
      <c r="CD250" s="8">
        <v>0</v>
      </c>
      <c r="CE250" s="8">
        <v>0</v>
      </c>
      <c r="CF250" s="8">
        <v>0</v>
      </c>
      <c r="CG250" s="8">
        <v>0</v>
      </c>
      <c r="CH250" s="8">
        <v>0</v>
      </c>
      <c r="CI250" s="8">
        <v>0</v>
      </c>
      <c r="CJ250" s="8">
        <v>0</v>
      </c>
      <c r="CK250" s="8">
        <v>0</v>
      </c>
      <c r="CL250" s="8">
        <v>0</v>
      </c>
      <c r="CM250" s="8">
        <v>0</v>
      </c>
      <c r="CN250" s="8">
        <v>0</v>
      </c>
      <c r="CO250" s="9">
        <f t="shared" si="120"/>
        <v>0</v>
      </c>
      <c r="CP250" s="8">
        <v>0</v>
      </c>
      <c r="CQ250" s="8">
        <v>0</v>
      </c>
      <c r="CR250" s="8">
        <v>0</v>
      </c>
      <c r="CS250" s="8">
        <v>0</v>
      </c>
      <c r="CT250" s="8">
        <v>0</v>
      </c>
      <c r="CU250" s="8">
        <v>0</v>
      </c>
      <c r="CV250" s="8">
        <v>0</v>
      </c>
      <c r="CW250" s="8">
        <v>0</v>
      </c>
      <c r="CX250" s="8">
        <v>0</v>
      </c>
      <c r="CY250" s="8">
        <v>0</v>
      </c>
      <c r="CZ250" s="8">
        <v>0</v>
      </c>
      <c r="DA250" s="8">
        <v>0</v>
      </c>
      <c r="DB250" s="9">
        <f t="shared" si="121"/>
        <v>0</v>
      </c>
      <c r="DC250" s="8">
        <v>0</v>
      </c>
      <c r="DD250" s="8">
        <v>0</v>
      </c>
      <c r="DE250" s="8">
        <v>0</v>
      </c>
      <c r="DF250" s="8">
        <v>0</v>
      </c>
      <c r="DG250" s="8">
        <v>0</v>
      </c>
      <c r="DH250" s="8">
        <v>0</v>
      </c>
      <c r="DI250" s="8">
        <v>0</v>
      </c>
      <c r="DJ250" s="8">
        <v>0</v>
      </c>
      <c r="DK250" s="8">
        <v>0</v>
      </c>
      <c r="DL250" s="8">
        <v>0</v>
      </c>
      <c r="DM250" s="8">
        <v>0</v>
      </c>
      <c r="DN250" s="8">
        <v>0</v>
      </c>
      <c r="DO250" s="9">
        <f t="shared" si="122"/>
        <v>0</v>
      </c>
      <c r="DP250" s="8">
        <v>0</v>
      </c>
      <c r="DQ250" s="8">
        <v>0</v>
      </c>
      <c r="DR250" s="8">
        <v>0</v>
      </c>
      <c r="DS250" s="8">
        <v>0</v>
      </c>
      <c r="DT250" s="8">
        <v>0</v>
      </c>
      <c r="DU250" s="8">
        <v>0</v>
      </c>
      <c r="DV250" s="8">
        <v>0</v>
      </c>
      <c r="DW250" s="8">
        <v>0</v>
      </c>
      <c r="DX250" s="8">
        <v>0</v>
      </c>
      <c r="DY250" s="8">
        <v>0</v>
      </c>
      <c r="DZ250" s="8">
        <v>0</v>
      </c>
      <c r="EA250" s="8">
        <v>0</v>
      </c>
      <c r="EB250" s="9">
        <f t="shared" si="123"/>
        <v>0</v>
      </c>
      <c r="EC250" s="8">
        <v>0</v>
      </c>
      <c r="ED250" s="8">
        <v>0</v>
      </c>
      <c r="EE250" s="8">
        <v>0</v>
      </c>
      <c r="EF250" s="8">
        <v>0</v>
      </c>
      <c r="EG250" s="8">
        <v>0</v>
      </c>
      <c r="EH250" s="8">
        <v>0</v>
      </c>
      <c r="EI250" s="8">
        <v>0</v>
      </c>
      <c r="EJ250" s="8">
        <v>0</v>
      </c>
      <c r="EK250" s="8">
        <v>0</v>
      </c>
      <c r="EL250" s="8">
        <v>0</v>
      </c>
      <c r="EM250" s="8">
        <v>0</v>
      </c>
      <c r="EN250" s="8">
        <v>0</v>
      </c>
      <c r="EO250" s="9">
        <f t="shared" si="124"/>
        <v>0</v>
      </c>
      <c r="EP250" s="8">
        <v>0</v>
      </c>
      <c r="EQ250" s="8">
        <v>0</v>
      </c>
      <c r="ER250" s="8">
        <v>0</v>
      </c>
      <c r="ES250" s="8">
        <v>0</v>
      </c>
      <c r="ET250" s="8">
        <v>0</v>
      </c>
      <c r="EU250" s="8">
        <v>0</v>
      </c>
      <c r="EV250" s="8">
        <v>0</v>
      </c>
      <c r="EW250" s="8">
        <v>0</v>
      </c>
      <c r="EX250" s="8">
        <v>0</v>
      </c>
      <c r="EY250" s="8">
        <v>0</v>
      </c>
      <c r="EZ250" s="8">
        <v>0</v>
      </c>
      <c r="FA250" s="8">
        <v>0</v>
      </c>
      <c r="FB250" s="9">
        <f t="shared" si="125"/>
        <v>0</v>
      </c>
      <c r="FC250" s="8">
        <v>0</v>
      </c>
      <c r="FD250" s="8">
        <v>0</v>
      </c>
      <c r="FE250" s="8">
        <v>0</v>
      </c>
      <c r="FF250" s="8">
        <v>0</v>
      </c>
      <c r="FG250" s="8">
        <v>0</v>
      </c>
      <c r="FH250" s="8">
        <v>0</v>
      </c>
      <c r="FI250" s="8">
        <v>0</v>
      </c>
      <c r="FJ250" s="8"/>
      <c r="FK250" s="8"/>
      <c r="FL250" s="8"/>
      <c r="FM250" s="8"/>
      <c r="FN250" s="8"/>
      <c r="FO250" s="9">
        <f t="shared" si="126"/>
        <v>0</v>
      </c>
    </row>
    <row r="251" spans="2:171" ht="14.25" customHeight="1" x14ac:dyDescent="0.3">
      <c r="B251" s="31" t="s">
        <v>64</v>
      </c>
      <c r="C251" s="8">
        <v>0</v>
      </c>
      <c r="D251" s="8">
        <v>0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0</v>
      </c>
      <c r="N251" s="8">
        <v>0</v>
      </c>
      <c r="O251" s="9">
        <f t="shared" si="114"/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8">
        <v>0</v>
      </c>
      <c r="X251" s="8">
        <v>0</v>
      </c>
      <c r="Y251" s="8">
        <v>0</v>
      </c>
      <c r="Z251" s="8">
        <v>0</v>
      </c>
      <c r="AA251" s="8">
        <v>0</v>
      </c>
      <c r="AB251" s="9">
        <f t="shared" si="115"/>
        <v>0</v>
      </c>
      <c r="AC251" s="8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9">
        <f t="shared" si="116"/>
        <v>0</v>
      </c>
      <c r="AP251" s="8">
        <v>0</v>
      </c>
      <c r="AQ251" s="8">
        <v>0</v>
      </c>
      <c r="AR251" s="8">
        <v>0</v>
      </c>
      <c r="AS251" s="8">
        <v>0</v>
      </c>
      <c r="AT251" s="8">
        <v>0</v>
      </c>
      <c r="AU251" s="8">
        <v>0</v>
      </c>
      <c r="AV251" s="8">
        <v>0</v>
      </c>
      <c r="AW251" s="8">
        <v>0</v>
      </c>
      <c r="AX251" s="8">
        <v>0</v>
      </c>
      <c r="AY251" s="8">
        <v>0</v>
      </c>
      <c r="AZ251" s="8">
        <v>0</v>
      </c>
      <c r="BA251" s="8">
        <v>0</v>
      </c>
      <c r="BB251" s="9">
        <f t="shared" si="117"/>
        <v>0</v>
      </c>
      <c r="BC251" s="8">
        <v>0</v>
      </c>
      <c r="BD251" s="8">
        <v>0</v>
      </c>
      <c r="BE251" s="8">
        <v>0</v>
      </c>
      <c r="BF251" s="8">
        <v>0</v>
      </c>
      <c r="BG251" s="8">
        <v>0</v>
      </c>
      <c r="BH251" s="8">
        <v>0</v>
      </c>
      <c r="BI251" s="8">
        <v>0</v>
      </c>
      <c r="BJ251" s="8">
        <v>0</v>
      </c>
      <c r="BK251" s="8">
        <v>0</v>
      </c>
      <c r="BL251" s="8">
        <v>0</v>
      </c>
      <c r="BM251" s="8">
        <v>0</v>
      </c>
      <c r="BN251" s="8">
        <v>0</v>
      </c>
      <c r="BO251" s="9">
        <f t="shared" si="118"/>
        <v>0</v>
      </c>
      <c r="BP251" s="8">
        <v>0</v>
      </c>
      <c r="BQ251" s="8">
        <v>0</v>
      </c>
      <c r="BR251" s="8">
        <v>0</v>
      </c>
      <c r="BS251" s="8">
        <v>0</v>
      </c>
      <c r="BT251" s="8">
        <v>0</v>
      </c>
      <c r="BU251" s="8">
        <v>0</v>
      </c>
      <c r="BV251" s="8">
        <v>0</v>
      </c>
      <c r="BW251" s="8">
        <v>0</v>
      </c>
      <c r="BX251" s="8">
        <v>0</v>
      </c>
      <c r="BY251" s="8">
        <v>0</v>
      </c>
      <c r="BZ251" s="8">
        <v>0</v>
      </c>
      <c r="CA251" s="8">
        <v>0</v>
      </c>
      <c r="CB251" s="9">
        <f t="shared" si="119"/>
        <v>0</v>
      </c>
      <c r="CC251" s="8">
        <v>0</v>
      </c>
      <c r="CD251" s="8">
        <v>0</v>
      </c>
      <c r="CE251" s="8">
        <v>0</v>
      </c>
      <c r="CF251" s="8">
        <v>0</v>
      </c>
      <c r="CG251" s="8">
        <v>0</v>
      </c>
      <c r="CH251" s="8">
        <v>0</v>
      </c>
      <c r="CI251" s="8">
        <v>0</v>
      </c>
      <c r="CJ251" s="8">
        <v>0</v>
      </c>
      <c r="CK251" s="8">
        <v>0</v>
      </c>
      <c r="CL251" s="8">
        <v>0</v>
      </c>
      <c r="CM251" s="8">
        <v>0</v>
      </c>
      <c r="CN251" s="8">
        <v>0</v>
      </c>
      <c r="CO251" s="9">
        <f t="shared" si="120"/>
        <v>0</v>
      </c>
      <c r="CP251" s="8">
        <v>0</v>
      </c>
      <c r="CQ251" s="8">
        <v>0</v>
      </c>
      <c r="CR251" s="8">
        <v>0</v>
      </c>
      <c r="CS251" s="8">
        <v>0</v>
      </c>
      <c r="CT251" s="8">
        <v>0</v>
      </c>
      <c r="CU251" s="8">
        <v>0</v>
      </c>
      <c r="CV251" s="8">
        <v>0</v>
      </c>
      <c r="CW251" s="8">
        <v>0</v>
      </c>
      <c r="CX251" s="8">
        <v>0</v>
      </c>
      <c r="CY251" s="8">
        <v>0</v>
      </c>
      <c r="CZ251" s="8">
        <v>0</v>
      </c>
      <c r="DA251" s="8">
        <v>0</v>
      </c>
      <c r="DB251" s="9">
        <f t="shared" si="121"/>
        <v>0</v>
      </c>
      <c r="DC251" s="8">
        <v>0</v>
      </c>
      <c r="DD251" s="8">
        <v>0</v>
      </c>
      <c r="DE251" s="8">
        <v>0</v>
      </c>
      <c r="DF251" s="8">
        <v>0</v>
      </c>
      <c r="DG251" s="8">
        <v>0</v>
      </c>
      <c r="DH251" s="8">
        <v>0</v>
      </c>
      <c r="DI251" s="8">
        <v>0</v>
      </c>
      <c r="DJ251" s="8">
        <v>0</v>
      </c>
      <c r="DK251" s="8">
        <v>0</v>
      </c>
      <c r="DL251" s="8">
        <v>0</v>
      </c>
      <c r="DM251" s="8">
        <v>0</v>
      </c>
      <c r="DN251" s="8">
        <v>0</v>
      </c>
      <c r="DO251" s="9">
        <f t="shared" si="122"/>
        <v>0</v>
      </c>
      <c r="DP251" s="8">
        <v>0</v>
      </c>
      <c r="DQ251" s="8">
        <v>0</v>
      </c>
      <c r="DR251" s="8">
        <v>0</v>
      </c>
      <c r="DS251" s="8">
        <v>0</v>
      </c>
      <c r="DT251" s="8">
        <v>0</v>
      </c>
      <c r="DU251" s="8">
        <v>0</v>
      </c>
      <c r="DV251" s="8">
        <v>0</v>
      </c>
      <c r="DW251" s="8">
        <v>0</v>
      </c>
      <c r="DX251" s="8">
        <v>0</v>
      </c>
      <c r="DY251" s="8">
        <v>0</v>
      </c>
      <c r="DZ251" s="8">
        <v>0</v>
      </c>
      <c r="EA251" s="8">
        <v>0</v>
      </c>
      <c r="EB251" s="9">
        <f t="shared" si="123"/>
        <v>0</v>
      </c>
      <c r="EC251" s="8">
        <v>0</v>
      </c>
      <c r="ED251" s="8">
        <v>0</v>
      </c>
      <c r="EE251" s="8">
        <v>0</v>
      </c>
      <c r="EF251" s="8">
        <v>0</v>
      </c>
      <c r="EG251" s="8">
        <v>0</v>
      </c>
      <c r="EH251" s="8">
        <v>0</v>
      </c>
      <c r="EI251" s="8">
        <v>0</v>
      </c>
      <c r="EJ251" s="8">
        <v>0</v>
      </c>
      <c r="EK251" s="8">
        <v>0</v>
      </c>
      <c r="EL251" s="8">
        <v>0</v>
      </c>
      <c r="EM251" s="8">
        <v>0</v>
      </c>
      <c r="EN251" s="8">
        <v>0</v>
      </c>
      <c r="EO251" s="9">
        <f t="shared" si="124"/>
        <v>0</v>
      </c>
      <c r="EP251" s="8">
        <v>0</v>
      </c>
      <c r="EQ251" s="8">
        <v>0</v>
      </c>
      <c r="ER251" s="8">
        <v>0</v>
      </c>
      <c r="ES251" s="8">
        <v>0</v>
      </c>
      <c r="ET251" s="8">
        <v>0</v>
      </c>
      <c r="EU251" s="8">
        <v>0</v>
      </c>
      <c r="EV251" s="8">
        <v>0</v>
      </c>
      <c r="EW251" s="8">
        <v>0</v>
      </c>
      <c r="EX251" s="8">
        <v>0</v>
      </c>
      <c r="EY251" s="8">
        <v>0</v>
      </c>
      <c r="EZ251" s="8">
        <v>0</v>
      </c>
      <c r="FA251" s="8">
        <v>0</v>
      </c>
      <c r="FB251" s="9">
        <f t="shared" si="125"/>
        <v>0</v>
      </c>
      <c r="FC251" s="8">
        <v>0</v>
      </c>
      <c r="FD251" s="8">
        <v>0</v>
      </c>
      <c r="FE251" s="8">
        <v>0</v>
      </c>
      <c r="FF251" s="8">
        <v>0</v>
      </c>
      <c r="FG251" s="8">
        <v>0</v>
      </c>
      <c r="FH251" s="8">
        <v>0</v>
      </c>
      <c r="FI251" s="8">
        <v>0</v>
      </c>
      <c r="FJ251" s="8"/>
      <c r="FK251" s="8"/>
      <c r="FL251" s="8"/>
      <c r="FM251" s="8"/>
      <c r="FN251" s="8"/>
      <c r="FO251" s="9">
        <f t="shared" si="126"/>
        <v>0</v>
      </c>
    </row>
    <row r="252" spans="2:171" ht="14.25" customHeight="1" x14ac:dyDescent="0.3">
      <c r="B252" s="31" t="s">
        <v>65</v>
      </c>
      <c r="C252" s="8">
        <v>0</v>
      </c>
      <c r="D252" s="8">
        <v>0</v>
      </c>
      <c r="E252" s="8">
        <v>0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0</v>
      </c>
      <c r="N252" s="8">
        <v>0</v>
      </c>
      <c r="O252" s="9">
        <f t="shared" si="114"/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9">
        <f t="shared" si="115"/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9">
        <f t="shared" si="116"/>
        <v>0</v>
      </c>
      <c r="AP252" s="8">
        <v>0</v>
      </c>
      <c r="AQ252" s="8">
        <v>0</v>
      </c>
      <c r="AR252" s="8">
        <v>0</v>
      </c>
      <c r="AS252" s="8">
        <v>0</v>
      </c>
      <c r="AT252" s="8">
        <v>0</v>
      </c>
      <c r="AU252" s="8">
        <v>0</v>
      </c>
      <c r="AV252" s="8">
        <v>0</v>
      </c>
      <c r="AW252" s="8">
        <v>0</v>
      </c>
      <c r="AX252" s="8">
        <v>0</v>
      </c>
      <c r="AY252" s="8">
        <v>0</v>
      </c>
      <c r="AZ252" s="8">
        <v>0</v>
      </c>
      <c r="BA252" s="8">
        <v>0</v>
      </c>
      <c r="BB252" s="9">
        <f t="shared" si="117"/>
        <v>0</v>
      </c>
      <c r="BC252" s="8">
        <v>0</v>
      </c>
      <c r="BD252" s="8">
        <v>0</v>
      </c>
      <c r="BE252" s="8">
        <v>0</v>
      </c>
      <c r="BF252" s="8">
        <v>0</v>
      </c>
      <c r="BG252" s="8">
        <v>0</v>
      </c>
      <c r="BH252" s="8">
        <v>0</v>
      </c>
      <c r="BI252" s="8">
        <v>0</v>
      </c>
      <c r="BJ252" s="8">
        <v>0</v>
      </c>
      <c r="BK252" s="8">
        <v>0</v>
      </c>
      <c r="BL252" s="8">
        <v>0</v>
      </c>
      <c r="BM252" s="8">
        <v>0</v>
      </c>
      <c r="BN252" s="8">
        <v>0</v>
      </c>
      <c r="BO252" s="9">
        <f t="shared" si="118"/>
        <v>0</v>
      </c>
      <c r="BP252" s="8">
        <v>0</v>
      </c>
      <c r="BQ252" s="8">
        <v>0</v>
      </c>
      <c r="BR252" s="8">
        <v>0</v>
      </c>
      <c r="BS252" s="8">
        <v>0</v>
      </c>
      <c r="BT252" s="8">
        <v>0</v>
      </c>
      <c r="BU252" s="8">
        <v>0</v>
      </c>
      <c r="BV252" s="8">
        <v>0</v>
      </c>
      <c r="BW252" s="8">
        <v>0</v>
      </c>
      <c r="BX252" s="8">
        <v>0</v>
      </c>
      <c r="BY252" s="8">
        <v>0</v>
      </c>
      <c r="BZ252" s="8">
        <v>0</v>
      </c>
      <c r="CA252" s="8">
        <v>0</v>
      </c>
      <c r="CB252" s="9">
        <f t="shared" si="119"/>
        <v>0</v>
      </c>
      <c r="CC252" s="8">
        <v>0</v>
      </c>
      <c r="CD252" s="8">
        <v>0</v>
      </c>
      <c r="CE252" s="8">
        <v>0</v>
      </c>
      <c r="CF252" s="8">
        <v>0</v>
      </c>
      <c r="CG252" s="8">
        <v>0</v>
      </c>
      <c r="CH252" s="8">
        <v>0</v>
      </c>
      <c r="CI252" s="8">
        <v>0</v>
      </c>
      <c r="CJ252" s="8">
        <v>0</v>
      </c>
      <c r="CK252" s="8">
        <v>0</v>
      </c>
      <c r="CL252" s="8">
        <v>0</v>
      </c>
      <c r="CM252" s="8">
        <v>0</v>
      </c>
      <c r="CN252" s="8">
        <v>0</v>
      </c>
      <c r="CO252" s="9">
        <f t="shared" si="120"/>
        <v>0</v>
      </c>
      <c r="CP252" s="8">
        <v>0</v>
      </c>
      <c r="CQ252" s="8">
        <v>0</v>
      </c>
      <c r="CR252" s="8">
        <v>0</v>
      </c>
      <c r="CS252" s="8">
        <v>0</v>
      </c>
      <c r="CT252" s="8">
        <v>0</v>
      </c>
      <c r="CU252" s="8">
        <v>0</v>
      </c>
      <c r="CV252" s="8">
        <v>0</v>
      </c>
      <c r="CW252" s="8">
        <v>0</v>
      </c>
      <c r="CX252" s="8">
        <v>0</v>
      </c>
      <c r="CY252" s="8">
        <v>0</v>
      </c>
      <c r="CZ252" s="8">
        <v>0</v>
      </c>
      <c r="DA252" s="8">
        <v>0</v>
      </c>
      <c r="DB252" s="9">
        <f t="shared" si="121"/>
        <v>0</v>
      </c>
      <c r="DC252" s="8">
        <v>0</v>
      </c>
      <c r="DD252" s="8">
        <v>0</v>
      </c>
      <c r="DE252" s="8">
        <v>0</v>
      </c>
      <c r="DF252" s="8">
        <v>0</v>
      </c>
      <c r="DG252" s="8">
        <v>0</v>
      </c>
      <c r="DH252" s="8">
        <v>0</v>
      </c>
      <c r="DI252" s="8">
        <v>0</v>
      </c>
      <c r="DJ252" s="8">
        <v>0</v>
      </c>
      <c r="DK252" s="8">
        <v>0</v>
      </c>
      <c r="DL252" s="8">
        <v>0</v>
      </c>
      <c r="DM252" s="8">
        <v>0</v>
      </c>
      <c r="DN252" s="8">
        <v>0</v>
      </c>
      <c r="DO252" s="9">
        <f t="shared" si="122"/>
        <v>0</v>
      </c>
      <c r="DP252" s="8">
        <v>0</v>
      </c>
      <c r="DQ252" s="8">
        <v>0</v>
      </c>
      <c r="DR252" s="8">
        <v>0</v>
      </c>
      <c r="DS252" s="8">
        <v>0</v>
      </c>
      <c r="DT252" s="8">
        <v>0</v>
      </c>
      <c r="DU252" s="8">
        <v>0</v>
      </c>
      <c r="DV252" s="8">
        <v>0</v>
      </c>
      <c r="DW252" s="8">
        <v>0</v>
      </c>
      <c r="DX252" s="8">
        <v>0</v>
      </c>
      <c r="DY252" s="8">
        <v>0</v>
      </c>
      <c r="DZ252" s="8">
        <v>0</v>
      </c>
      <c r="EA252" s="8">
        <v>0</v>
      </c>
      <c r="EB252" s="9">
        <f t="shared" si="123"/>
        <v>0</v>
      </c>
      <c r="EC252" s="8">
        <v>0</v>
      </c>
      <c r="ED252" s="8">
        <v>0</v>
      </c>
      <c r="EE252" s="8">
        <v>0</v>
      </c>
      <c r="EF252" s="8">
        <v>0</v>
      </c>
      <c r="EG252" s="8">
        <v>0</v>
      </c>
      <c r="EH252" s="8">
        <v>0</v>
      </c>
      <c r="EI252" s="8">
        <v>0</v>
      </c>
      <c r="EJ252" s="8">
        <v>0</v>
      </c>
      <c r="EK252" s="8">
        <v>0</v>
      </c>
      <c r="EL252" s="8">
        <v>0</v>
      </c>
      <c r="EM252" s="8">
        <v>0</v>
      </c>
      <c r="EN252" s="8">
        <v>0</v>
      </c>
      <c r="EO252" s="9">
        <f t="shared" si="124"/>
        <v>0</v>
      </c>
      <c r="EP252" s="8">
        <v>0</v>
      </c>
      <c r="EQ252" s="8">
        <v>0</v>
      </c>
      <c r="ER252" s="8">
        <v>0</v>
      </c>
      <c r="ES252" s="8">
        <v>0</v>
      </c>
      <c r="ET252" s="8">
        <v>0</v>
      </c>
      <c r="EU252" s="8">
        <v>0</v>
      </c>
      <c r="EV252" s="8">
        <v>0</v>
      </c>
      <c r="EW252" s="8">
        <v>0</v>
      </c>
      <c r="EX252" s="8">
        <v>0</v>
      </c>
      <c r="EY252" s="8">
        <v>0</v>
      </c>
      <c r="EZ252" s="8">
        <v>0</v>
      </c>
      <c r="FA252" s="8">
        <v>0</v>
      </c>
      <c r="FB252" s="9">
        <f t="shared" si="125"/>
        <v>0</v>
      </c>
      <c r="FC252" s="8">
        <v>0</v>
      </c>
      <c r="FD252" s="8">
        <v>0</v>
      </c>
      <c r="FE252" s="8">
        <v>0</v>
      </c>
      <c r="FF252" s="8">
        <v>0</v>
      </c>
      <c r="FG252" s="8">
        <v>0</v>
      </c>
      <c r="FH252" s="8">
        <v>0</v>
      </c>
      <c r="FI252" s="8">
        <v>0</v>
      </c>
      <c r="FJ252" s="8"/>
      <c r="FK252" s="8"/>
      <c r="FL252" s="8"/>
      <c r="FM252" s="8"/>
      <c r="FN252" s="8"/>
      <c r="FO252" s="9">
        <f t="shared" si="126"/>
        <v>0</v>
      </c>
    </row>
    <row r="253" spans="2:171" ht="14.25" customHeight="1" x14ac:dyDescent="0.3">
      <c r="B253" s="7" t="s">
        <v>66</v>
      </c>
      <c r="C253" s="8">
        <v>0</v>
      </c>
      <c r="D253" s="8">
        <v>0</v>
      </c>
      <c r="E253" s="8">
        <v>0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9">
        <f t="shared" si="114"/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9">
        <f t="shared" si="115"/>
        <v>0</v>
      </c>
      <c r="AC253" s="8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9">
        <f t="shared" si="116"/>
        <v>0</v>
      </c>
      <c r="AP253" s="8">
        <v>0</v>
      </c>
      <c r="AQ253" s="8">
        <v>0</v>
      </c>
      <c r="AR253" s="8">
        <v>0</v>
      </c>
      <c r="AS253" s="8">
        <v>0</v>
      </c>
      <c r="AT253" s="8">
        <v>0</v>
      </c>
      <c r="AU253" s="8">
        <v>0</v>
      </c>
      <c r="AV253" s="8">
        <v>0</v>
      </c>
      <c r="AW253" s="8">
        <v>0</v>
      </c>
      <c r="AX253" s="8">
        <v>0</v>
      </c>
      <c r="AY253" s="8">
        <v>0</v>
      </c>
      <c r="AZ253" s="8">
        <v>0</v>
      </c>
      <c r="BA253" s="8">
        <v>0</v>
      </c>
      <c r="BB253" s="9">
        <f t="shared" si="117"/>
        <v>0</v>
      </c>
      <c r="BC253" s="8">
        <v>0</v>
      </c>
      <c r="BD253" s="8">
        <v>0</v>
      </c>
      <c r="BE253" s="8">
        <v>0</v>
      </c>
      <c r="BF253" s="8">
        <v>0</v>
      </c>
      <c r="BG253" s="8">
        <v>0</v>
      </c>
      <c r="BH253" s="8">
        <v>0</v>
      </c>
      <c r="BI253" s="8">
        <v>0</v>
      </c>
      <c r="BJ253" s="8">
        <v>0</v>
      </c>
      <c r="BK253" s="8">
        <v>0</v>
      </c>
      <c r="BL253" s="8">
        <v>0</v>
      </c>
      <c r="BM253" s="8">
        <v>0</v>
      </c>
      <c r="BN253" s="8">
        <v>0</v>
      </c>
      <c r="BO253" s="9">
        <f t="shared" si="118"/>
        <v>0</v>
      </c>
      <c r="BP253" s="8">
        <v>0</v>
      </c>
      <c r="BQ253" s="8">
        <v>0</v>
      </c>
      <c r="BR253" s="8">
        <v>0</v>
      </c>
      <c r="BS253" s="8">
        <v>0</v>
      </c>
      <c r="BT253" s="8">
        <v>0</v>
      </c>
      <c r="BU253" s="8">
        <v>0</v>
      </c>
      <c r="BV253" s="8">
        <v>0</v>
      </c>
      <c r="BW253" s="8">
        <v>0</v>
      </c>
      <c r="BX253" s="8">
        <v>0</v>
      </c>
      <c r="BY253" s="8">
        <v>0</v>
      </c>
      <c r="BZ253" s="8">
        <v>0</v>
      </c>
      <c r="CA253" s="8">
        <v>0</v>
      </c>
      <c r="CB253" s="9">
        <f t="shared" si="119"/>
        <v>0</v>
      </c>
      <c r="CC253" s="8">
        <v>0</v>
      </c>
      <c r="CD253" s="8">
        <v>0</v>
      </c>
      <c r="CE253" s="8">
        <v>0</v>
      </c>
      <c r="CF253" s="8">
        <v>0</v>
      </c>
      <c r="CG253" s="8">
        <v>0</v>
      </c>
      <c r="CH253" s="8">
        <v>0</v>
      </c>
      <c r="CI253" s="8">
        <v>0</v>
      </c>
      <c r="CJ253" s="8">
        <v>0</v>
      </c>
      <c r="CK253" s="8">
        <v>0</v>
      </c>
      <c r="CL253" s="8">
        <v>0</v>
      </c>
      <c r="CM253" s="8">
        <v>0</v>
      </c>
      <c r="CN253" s="8">
        <v>0</v>
      </c>
      <c r="CO253" s="9">
        <f t="shared" si="120"/>
        <v>0</v>
      </c>
      <c r="CP253" s="8">
        <v>0</v>
      </c>
      <c r="CQ253" s="8">
        <v>0</v>
      </c>
      <c r="CR253" s="8">
        <v>0</v>
      </c>
      <c r="CS253" s="8">
        <v>0</v>
      </c>
      <c r="CT253" s="8">
        <v>0</v>
      </c>
      <c r="CU253" s="8">
        <v>0</v>
      </c>
      <c r="CV253" s="8">
        <v>0</v>
      </c>
      <c r="CW253" s="8">
        <v>0</v>
      </c>
      <c r="CX253" s="8">
        <v>0</v>
      </c>
      <c r="CY253" s="8">
        <v>0</v>
      </c>
      <c r="CZ253" s="8">
        <v>0</v>
      </c>
      <c r="DA253" s="8">
        <v>0</v>
      </c>
      <c r="DB253" s="9">
        <f t="shared" si="121"/>
        <v>0</v>
      </c>
      <c r="DC253" s="8">
        <v>0</v>
      </c>
      <c r="DD253" s="8">
        <v>0</v>
      </c>
      <c r="DE253" s="8">
        <v>0</v>
      </c>
      <c r="DF253" s="8">
        <v>0</v>
      </c>
      <c r="DG253" s="8">
        <v>0</v>
      </c>
      <c r="DH253" s="8">
        <v>0</v>
      </c>
      <c r="DI253" s="8">
        <v>0</v>
      </c>
      <c r="DJ253" s="8">
        <v>0</v>
      </c>
      <c r="DK253" s="8">
        <v>0</v>
      </c>
      <c r="DL253" s="8">
        <v>0</v>
      </c>
      <c r="DM253" s="8">
        <v>0</v>
      </c>
      <c r="DN253" s="8">
        <v>0</v>
      </c>
      <c r="DO253" s="9">
        <f t="shared" si="122"/>
        <v>0</v>
      </c>
      <c r="DP253" s="8">
        <v>0</v>
      </c>
      <c r="DQ253" s="8">
        <v>0</v>
      </c>
      <c r="DR253" s="8">
        <v>0</v>
      </c>
      <c r="DS253" s="8">
        <v>0</v>
      </c>
      <c r="DT253" s="8">
        <v>0</v>
      </c>
      <c r="DU253" s="8">
        <v>0</v>
      </c>
      <c r="DV253" s="8">
        <v>0</v>
      </c>
      <c r="DW253" s="8">
        <v>0</v>
      </c>
      <c r="DX253" s="8">
        <v>0</v>
      </c>
      <c r="DY253" s="8">
        <v>0</v>
      </c>
      <c r="DZ253" s="8">
        <v>0</v>
      </c>
      <c r="EA253" s="8">
        <v>0</v>
      </c>
      <c r="EB253" s="9">
        <f t="shared" si="123"/>
        <v>0</v>
      </c>
      <c r="EC253" s="8">
        <v>0</v>
      </c>
      <c r="ED253" s="8">
        <v>0</v>
      </c>
      <c r="EE253" s="8">
        <v>0</v>
      </c>
      <c r="EF253" s="8">
        <v>0</v>
      </c>
      <c r="EG253" s="8">
        <v>0</v>
      </c>
      <c r="EH253" s="8">
        <v>0</v>
      </c>
      <c r="EI253" s="8">
        <v>0</v>
      </c>
      <c r="EJ253" s="8">
        <v>0</v>
      </c>
      <c r="EK253" s="8">
        <v>0</v>
      </c>
      <c r="EL253" s="8">
        <v>0</v>
      </c>
      <c r="EM253" s="8">
        <v>0</v>
      </c>
      <c r="EN253" s="8">
        <v>0</v>
      </c>
      <c r="EO253" s="9">
        <f t="shared" si="124"/>
        <v>0</v>
      </c>
      <c r="EP253" s="8">
        <v>0</v>
      </c>
      <c r="EQ253" s="8">
        <v>0</v>
      </c>
      <c r="ER253" s="8">
        <v>0</v>
      </c>
      <c r="ES253" s="8">
        <v>0</v>
      </c>
      <c r="ET253" s="8">
        <v>0</v>
      </c>
      <c r="EU253" s="8">
        <v>0</v>
      </c>
      <c r="EV253" s="8">
        <v>0</v>
      </c>
      <c r="EW253" s="8">
        <v>0</v>
      </c>
      <c r="EX253" s="8">
        <v>0</v>
      </c>
      <c r="EY253" s="8">
        <v>0</v>
      </c>
      <c r="EZ253" s="8">
        <v>0</v>
      </c>
      <c r="FA253" s="8">
        <v>0</v>
      </c>
      <c r="FB253" s="9">
        <f t="shared" si="125"/>
        <v>0</v>
      </c>
      <c r="FC253" s="8">
        <v>0</v>
      </c>
      <c r="FD253" s="8">
        <v>0</v>
      </c>
      <c r="FE253" s="8">
        <v>0</v>
      </c>
      <c r="FF253" s="8">
        <v>0</v>
      </c>
      <c r="FG253" s="8">
        <v>0</v>
      </c>
      <c r="FH253" s="8">
        <v>0</v>
      </c>
      <c r="FI253" s="8">
        <v>0</v>
      </c>
      <c r="FJ253" s="8"/>
      <c r="FK253" s="8"/>
      <c r="FL253" s="8"/>
      <c r="FM253" s="8"/>
      <c r="FN253" s="8"/>
      <c r="FO253" s="9">
        <f t="shared" si="126"/>
        <v>0</v>
      </c>
    </row>
    <row r="254" spans="2:171" ht="14.25" customHeight="1" x14ac:dyDescent="0.3">
      <c r="B254" s="7" t="s">
        <v>67</v>
      </c>
      <c r="C254" s="8">
        <v>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9">
        <f t="shared" si="114"/>
        <v>0</v>
      </c>
      <c r="P254" s="8">
        <v>0</v>
      </c>
      <c r="Q254" s="8">
        <v>0</v>
      </c>
      <c r="R254" s="8">
        <v>0</v>
      </c>
      <c r="S254" s="8">
        <v>0</v>
      </c>
      <c r="T254" s="8">
        <v>0</v>
      </c>
      <c r="U254" s="8">
        <v>0</v>
      </c>
      <c r="V254" s="8">
        <v>0</v>
      </c>
      <c r="W254" s="8">
        <v>0</v>
      </c>
      <c r="X254" s="8">
        <v>0</v>
      </c>
      <c r="Y254" s="8">
        <v>0</v>
      </c>
      <c r="Z254" s="8">
        <v>0</v>
      </c>
      <c r="AA254" s="8">
        <v>0</v>
      </c>
      <c r="AB254" s="9">
        <f t="shared" si="115"/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9">
        <f t="shared" si="116"/>
        <v>0</v>
      </c>
      <c r="AP254" s="8">
        <v>0</v>
      </c>
      <c r="AQ254" s="8">
        <v>0</v>
      </c>
      <c r="AR254" s="8">
        <v>0</v>
      </c>
      <c r="AS254" s="8">
        <v>0</v>
      </c>
      <c r="AT254" s="8">
        <v>0</v>
      </c>
      <c r="AU254" s="8">
        <v>0</v>
      </c>
      <c r="AV254" s="8">
        <v>0</v>
      </c>
      <c r="AW254" s="8">
        <v>0</v>
      </c>
      <c r="AX254" s="8">
        <v>0</v>
      </c>
      <c r="AY254" s="8">
        <v>0</v>
      </c>
      <c r="AZ254" s="8">
        <v>0</v>
      </c>
      <c r="BA254" s="8">
        <v>0</v>
      </c>
      <c r="BB254" s="9">
        <f t="shared" si="117"/>
        <v>0</v>
      </c>
      <c r="BC254" s="8">
        <v>0</v>
      </c>
      <c r="BD254" s="8">
        <v>0</v>
      </c>
      <c r="BE254" s="8">
        <v>0</v>
      </c>
      <c r="BF254" s="8">
        <v>0</v>
      </c>
      <c r="BG254" s="8">
        <v>0</v>
      </c>
      <c r="BH254" s="8">
        <v>0</v>
      </c>
      <c r="BI254" s="8">
        <v>0</v>
      </c>
      <c r="BJ254" s="8">
        <v>0</v>
      </c>
      <c r="BK254" s="8">
        <v>0</v>
      </c>
      <c r="BL254" s="8">
        <v>0</v>
      </c>
      <c r="BM254" s="8">
        <v>0</v>
      </c>
      <c r="BN254" s="8">
        <v>0</v>
      </c>
      <c r="BO254" s="9">
        <f t="shared" si="118"/>
        <v>0</v>
      </c>
      <c r="BP254" s="8">
        <v>0</v>
      </c>
      <c r="BQ254" s="8">
        <v>0</v>
      </c>
      <c r="BR254" s="8">
        <v>0</v>
      </c>
      <c r="BS254" s="8">
        <v>0</v>
      </c>
      <c r="BT254" s="8">
        <v>0</v>
      </c>
      <c r="BU254" s="8">
        <v>0</v>
      </c>
      <c r="BV254" s="8">
        <v>0</v>
      </c>
      <c r="BW254" s="8">
        <v>0</v>
      </c>
      <c r="BX254" s="8">
        <v>0</v>
      </c>
      <c r="BY254" s="8">
        <v>0</v>
      </c>
      <c r="BZ254" s="8">
        <v>0</v>
      </c>
      <c r="CA254" s="8">
        <v>0</v>
      </c>
      <c r="CB254" s="9">
        <f t="shared" si="119"/>
        <v>0</v>
      </c>
      <c r="CC254" s="8">
        <v>0</v>
      </c>
      <c r="CD254" s="8">
        <v>0</v>
      </c>
      <c r="CE254" s="8">
        <v>0</v>
      </c>
      <c r="CF254" s="8">
        <v>0</v>
      </c>
      <c r="CG254" s="8">
        <v>0</v>
      </c>
      <c r="CH254" s="8">
        <v>0</v>
      </c>
      <c r="CI254" s="8">
        <v>0</v>
      </c>
      <c r="CJ254" s="8">
        <v>0</v>
      </c>
      <c r="CK254" s="8">
        <v>0</v>
      </c>
      <c r="CL254" s="8">
        <v>0</v>
      </c>
      <c r="CM254" s="8">
        <v>0</v>
      </c>
      <c r="CN254" s="8">
        <v>0</v>
      </c>
      <c r="CO254" s="9">
        <f t="shared" si="120"/>
        <v>0</v>
      </c>
      <c r="CP254" s="8">
        <v>0</v>
      </c>
      <c r="CQ254" s="8">
        <v>0</v>
      </c>
      <c r="CR254" s="8">
        <v>0</v>
      </c>
      <c r="CS254" s="8">
        <v>0</v>
      </c>
      <c r="CT254" s="8">
        <v>0</v>
      </c>
      <c r="CU254" s="8">
        <v>0</v>
      </c>
      <c r="CV254" s="8">
        <v>0</v>
      </c>
      <c r="CW254" s="8">
        <v>0</v>
      </c>
      <c r="CX254" s="8">
        <v>0</v>
      </c>
      <c r="CY254" s="8">
        <v>0</v>
      </c>
      <c r="CZ254" s="8">
        <v>0</v>
      </c>
      <c r="DA254" s="8">
        <v>0</v>
      </c>
      <c r="DB254" s="9">
        <f t="shared" si="121"/>
        <v>0</v>
      </c>
      <c r="DC254" s="8">
        <v>0</v>
      </c>
      <c r="DD254" s="8">
        <v>0</v>
      </c>
      <c r="DE254" s="8">
        <v>0</v>
      </c>
      <c r="DF254" s="8">
        <v>0</v>
      </c>
      <c r="DG254" s="8">
        <v>0</v>
      </c>
      <c r="DH254" s="8">
        <v>0</v>
      </c>
      <c r="DI254" s="8">
        <v>0</v>
      </c>
      <c r="DJ254" s="8">
        <v>0</v>
      </c>
      <c r="DK254" s="8">
        <v>0</v>
      </c>
      <c r="DL254" s="8">
        <v>0</v>
      </c>
      <c r="DM254" s="8">
        <v>0</v>
      </c>
      <c r="DN254" s="8">
        <v>0</v>
      </c>
      <c r="DO254" s="9">
        <f t="shared" si="122"/>
        <v>0</v>
      </c>
      <c r="DP254" s="8">
        <v>0</v>
      </c>
      <c r="DQ254" s="8">
        <v>0</v>
      </c>
      <c r="DR254" s="8">
        <v>0</v>
      </c>
      <c r="DS254" s="8">
        <v>0</v>
      </c>
      <c r="DT254" s="8">
        <v>0</v>
      </c>
      <c r="DU254" s="8">
        <v>0</v>
      </c>
      <c r="DV254" s="8">
        <v>0</v>
      </c>
      <c r="DW254" s="8">
        <v>0</v>
      </c>
      <c r="DX254" s="8">
        <v>0</v>
      </c>
      <c r="DY254" s="8">
        <v>0</v>
      </c>
      <c r="DZ254" s="8">
        <v>0</v>
      </c>
      <c r="EA254" s="8">
        <v>0</v>
      </c>
      <c r="EB254" s="9">
        <f t="shared" si="123"/>
        <v>0</v>
      </c>
      <c r="EC254" s="8">
        <v>0</v>
      </c>
      <c r="ED254" s="8">
        <v>0</v>
      </c>
      <c r="EE254" s="8">
        <v>0</v>
      </c>
      <c r="EF254" s="8">
        <v>0</v>
      </c>
      <c r="EG254" s="8">
        <v>0</v>
      </c>
      <c r="EH254" s="8">
        <v>0</v>
      </c>
      <c r="EI254" s="8">
        <v>0</v>
      </c>
      <c r="EJ254" s="8">
        <v>0</v>
      </c>
      <c r="EK254" s="8">
        <v>0</v>
      </c>
      <c r="EL254" s="8">
        <v>0</v>
      </c>
      <c r="EM254" s="8">
        <v>0</v>
      </c>
      <c r="EN254" s="8">
        <v>0</v>
      </c>
      <c r="EO254" s="9">
        <f t="shared" si="124"/>
        <v>0</v>
      </c>
      <c r="EP254" s="8">
        <v>0</v>
      </c>
      <c r="EQ254" s="8">
        <v>0</v>
      </c>
      <c r="ER254" s="8">
        <v>0</v>
      </c>
      <c r="ES254" s="8">
        <v>0</v>
      </c>
      <c r="ET254" s="8">
        <v>0</v>
      </c>
      <c r="EU254" s="8">
        <v>0</v>
      </c>
      <c r="EV254" s="8">
        <v>0</v>
      </c>
      <c r="EW254" s="8">
        <v>0</v>
      </c>
      <c r="EX254" s="8">
        <v>0</v>
      </c>
      <c r="EY254" s="8">
        <v>0</v>
      </c>
      <c r="EZ254" s="8">
        <v>0</v>
      </c>
      <c r="FA254" s="8">
        <v>0</v>
      </c>
      <c r="FB254" s="9">
        <f t="shared" si="125"/>
        <v>0</v>
      </c>
      <c r="FC254" s="8">
        <v>0</v>
      </c>
      <c r="FD254" s="8">
        <v>0</v>
      </c>
      <c r="FE254" s="8">
        <v>0</v>
      </c>
      <c r="FF254" s="8">
        <v>0</v>
      </c>
      <c r="FG254" s="8">
        <v>0</v>
      </c>
      <c r="FH254" s="8">
        <v>0</v>
      </c>
      <c r="FI254" s="8">
        <v>0</v>
      </c>
      <c r="FJ254" s="8"/>
      <c r="FK254" s="8"/>
      <c r="FL254" s="8"/>
      <c r="FM254" s="8"/>
      <c r="FN254" s="8"/>
      <c r="FO254" s="9">
        <f t="shared" si="126"/>
        <v>0</v>
      </c>
    </row>
    <row r="255" spans="2:171" ht="14.25" customHeight="1" x14ac:dyDescent="0.3">
      <c r="B255" s="32" t="s">
        <v>68</v>
      </c>
      <c r="C255" s="8">
        <v>0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9">
        <f t="shared" si="114"/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</v>
      </c>
      <c r="V255" s="8">
        <v>0</v>
      </c>
      <c r="W255" s="8">
        <v>0</v>
      </c>
      <c r="X255" s="8">
        <v>0</v>
      </c>
      <c r="Y255" s="8">
        <v>0</v>
      </c>
      <c r="Z255" s="8">
        <v>0</v>
      </c>
      <c r="AA255" s="8">
        <v>0</v>
      </c>
      <c r="AB255" s="9">
        <f t="shared" si="115"/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9">
        <f t="shared" si="116"/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9">
        <f t="shared" si="117"/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9">
        <f t="shared" si="118"/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9">
        <f t="shared" si="119"/>
        <v>0</v>
      </c>
      <c r="CC255" s="8">
        <v>0</v>
      </c>
      <c r="CD255" s="8">
        <v>0</v>
      </c>
      <c r="CE255" s="8">
        <v>0</v>
      </c>
      <c r="CF255" s="8">
        <v>0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</v>
      </c>
      <c r="CM255" s="8">
        <v>0</v>
      </c>
      <c r="CN255" s="8">
        <v>0</v>
      </c>
      <c r="CO255" s="9">
        <f t="shared" si="120"/>
        <v>0</v>
      </c>
      <c r="CP255" s="8">
        <v>0</v>
      </c>
      <c r="CQ255" s="8">
        <v>0</v>
      </c>
      <c r="CR255" s="8">
        <v>0</v>
      </c>
      <c r="CS255" s="8">
        <v>0</v>
      </c>
      <c r="CT255" s="8">
        <v>0</v>
      </c>
      <c r="CU255" s="8">
        <v>0</v>
      </c>
      <c r="CV255" s="8">
        <v>0</v>
      </c>
      <c r="CW255" s="8">
        <v>0</v>
      </c>
      <c r="CX255" s="8">
        <v>0</v>
      </c>
      <c r="CY255" s="8">
        <v>0</v>
      </c>
      <c r="CZ255" s="8">
        <v>0</v>
      </c>
      <c r="DA255" s="8">
        <v>0</v>
      </c>
      <c r="DB255" s="9">
        <f t="shared" si="121"/>
        <v>0</v>
      </c>
      <c r="DC255" s="8">
        <v>0</v>
      </c>
      <c r="DD255" s="8">
        <v>0</v>
      </c>
      <c r="DE255" s="8">
        <v>0</v>
      </c>
      <c r="DF255" s="8">
        <v>0</v>
      </c>
      <c r="DG255" s="8">
        <v>0</v>
      </c>
      <c r="DH255" s="8">
        <v>0</v>
      </c>
      <c r="DI255" s="8">
        <v>0</v>
      </c>
      <c r="DJ255" s="8">
        <v>0</v>
      </c>
      <c r="DK255" s="8">
        <v>0</v>
      </c>
      <c r="DL255" s="8">
        <v>0</v>
      </c>
      <c r="DM255" s="8">
        <v>0</v>
      </c>
      <c r="DN255" s="8">
        <v>0</v>
      </c>
      <c r="DO255" s="9">
        <f t="shared" si="122"/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9">
        <f t="shared" si="123"/>
        <v>0</v>
      </c>
      <c r="EC255" s="8">
        <v>0</v>
      </c>
      <c r="ED255" s="8">
        <v>0</v>
      </c>
      <c r="EE255" s="8">
        <v>0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9">
        <f t="shared" si="124"/>
        <v>0</v>
      </c>
      <c r="EP255" s="8">
        <v>0</v>
      </c>
      <c r="EQ255" s="8">
        <v>0</v>
      </c>
      <c r="ER255" s="8">
        <v>0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9">
        <f t="shared" si="125"/>
        <v>0</v>
      </c>
      <c r="FC255" s="8">
        <v>0</v>
      </c>
      <c r="FD255" s="8">
        <v>0</v>
      </c>
      <c r="FE255" s="8">
        <v>0</v>
      </c>
      <c r="FF255" s="8">
        <v>0</v>
      </c>
      <c r="FG255" s="8">
        <v>0</v>
      </c>
      <c r="FH255" s="8">
        <v>0</v>
      </c>
      <c r="FI255" s="8">
        <v>0</v>
      </c>
      <c r="FJ255" s="8"/>
      <c r="FK255" s="8"/>
      <c r="FL255" s="8"/>
      <c r="FM255" s="8"/>
      <c r="FN255" s="8"/>
      <c r="FO255" s="9">
        <f t="shared" si="126"/>
        <v>0</v>
      </c>
    </row>
    <row r="256" spans="2:171" ht="14.25" customHeight="1" x14ac:dyDescent="0.3">
      <c r="B256" s="32" t="s">
        <v>69</v>
      </c>
      <c r="C256" s="8">
        <v>0</v>
      </c>
      <c r="D256" s="8">
        <v>0</v>
      </c>
      <c r="E256" s="8">
        <v>0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9">
        <f t="shared" si="114"/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8">
        <v>0</v>
      </c>
      <c r="W256" s="8">
        <v>0</v>
      </c>
      <c r="X256" s="8">
        <v>0</v>
      </c>
      <c r="Y256" s="8">
        <v>0</v>
      </c>
      <c r="Z256" s="8">
        <v>0</v>
      </c>
      <c r="AA256" s="8">
        <v>0</v>
      </c>
      <c r="AB256" s="9">
        <f t="shared" si="115"/>
        <v>0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0</v>
      </c>
      <c r="AO256" s="9">
        <f t="shared" si="116"/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</v>
      </c>
      <c r="AU256" s="8">
        <v>0</v>
      </c>
      <c r="AV256" s="8">
        <v>0</v>
      </c>
      <c r="AW256" s="8">
        <v>0</v>
      </c>
      <c r="AX256" s="8">
        <v>0</v>
      </c>
      <c r="AY256" s="8">
        <v>0</v>
      </c>
      <c r="AZ256" s="8">
        <v>0</v>
      </c>
      <c r="BA256" s="8">
        <v>0</v>
      </c>
      <c r="BB256" s="9">
        <f t="shared" si="117"/>
        <v>0</v>
      </c>
      <c r="BC256" s="8">
        <v>0</v>
      </c>
      <c r="BD256" s="8">
        <v>0</v>
      </c>
      <c r="BE256" s="8">
        <v>0</v>
      </c>
      <c r="BF256" s="8">
        <v>0</v>
      </c>
      <c r="BG256" s="8">
        <v>0</v>
      </c>
      <c r="BH256" s="8">
        <v>0</v>
      </c>
      <c r="BI256" s="8">
        <v>0</v>
      </c>
      <c r="BJ256" s="8">
        <v>0</v>
      </c>
      <c r="BK256" s="8">
        <v>0</v>
      </c>
      <c r="BL256" s="8">
        <v>0</v>
      </c>
      <c r="BM256" s="8">
        <v>0</v>
      </c>
      <c r="BN256" s="8">
        <v>0</v>
      </c>
      <c r="BO256" s="9">
        <f t="shared" si="118"/>
        <v>0</v>
      </c>
      <c r="BP256" s="8">
        <v>0</v>
      </c>
      <c r="BQ256" s="8">
        <v>0</v>
      </c>
      <c r="BR256" s="8">
        <v>0</v>
      </c>
      <c r="BS256" s="8">
        <v>0</v>
      </c>
      <c r="BT256" s="8">
        <v>0</v>
      </c>
      <c r="BU256" s="8">
        <v>0</v>
      </c>
      <c r="BV256" s="8">
        <v>0</v>
      </c>
      <c r="BW256" s="8">
        <v>0</v>
      </c>
      <c r="BX256" s="8">
        <v>0</v>
      </c>
      <c r="BY256" s="8">
        <v>0</v>
      </c>
      <c r="BZ256" s="8">
        <v>0</v>
      </c>
      <c r="CA256" s="8">
        <v>0</v>
      </c>
      <c r="CB256" s="9">
        <f t="shared" si="119"/>
        <v>0</v>
      </c>
      <c r="CC256" s="8">
        <v>0</v>
      </c>
      <c r="CD256" s="8">
        <v>0</v>
      </c>
      <c r="CE256" s="8">
        <v>0</v>
      </c>
      <c r="CF256" s="8">
        <v>0</v>
      </c>
      <c r="CG256" s="8">
        <v>0</v>
      </c>
      <c r="CH256" s="8">
        <v>0</v>
      </c>
      <c r="CI256" s="8">
        <v>0</v>
      </c>
      <c r="CJ256" s="8">
        <v>0</v>
      </c>
      <c r="CK256" s="8">
        <v>0</v>
      </c>
      <c r="CL256" s="8">
        <v>0</v>
      </c>
      <c r="CM256" s="8">
        <v>0</v>
      </c>
      <c r="CN256" s="8">
        <v>0</v>
      </c>
      <c r="CO256" s="9">
        <f t="shared" si="120"/>
        <v>0</v>
      </c>
      <c r="CP256" s="8">
        <v>0</v>
      </c>
      <c r="CQ256" s="8">
        <v>0</v>
      </c>
      <c r="CR256" s="8">
        <v>0</v>
      </c>
      <c r="CS256" s="8">
        <v>0</v>
      </c>
      <c r="CT256" s="8">
        <v>0</v>
      </c>
      <c r="CU256" s="8">
        <v>0</v>
      </c>
      <c r="CV256" s="8">
        <v>0</v>
      </c>
      <c r="CW256" s="8">
        <v>0</v>
      </c>
      <c r="CX256" s="8">
        <v>0</v>
      </c>
      <c r="CY256" s="8">
        <v>0</v>
      </c>
      <c r="CZ256" s="8">
        <v>0</v>
      </c>
      <c r="DA256" s="8">
        <v>0</v>
      </c>
      <c r="DB256" s="9">
        <f t="shared" si="121"/>
        <v>0</v>
      </c>
      <c r="DC256" s="8">
        <v>0</v>
      </c>
      <c r="DD256" s="8">
        <v>0</v>
      </c>
      <c r="DE256" s="8">
        <v>0</v>
      </c>
      <c r="DF256" s="8">
        <v>0</v>
      </c>
      <c r="DG256" s="8">
        <v>0</v>
      </c>
      <c r="DH256" s="8">
        <v>0</v>
      </c>
      <c r="DI256" s="8">
        <v>0</v>
      </c>
      <c r="DJ256" s="8">
        <v>0</v>
      </c>
      <c r="DK256" s="8">
        <v>0</v>
      </c>
      <c r="DL256" s="8">
        <v>0</v>
      </c>
      <c r="DM256" s="8">
        <v>0</v>
      </c>
      <c r="DN256" s="8">
        <v>0</v>
      </c>
      <c r="DO256" s="9">
        <f t="shared" si="122"/>
        <v>0</v>
      </c>
      <c r="DP256" s="8">
        <v>0</v>
      </c>
      <c r="DQ256" s="8">
        <v>0</v>
      </c>
      <c r="DR256" s="8">
        <v>0</v>
      </c>
      <c r="DS256" s="8">
        <v>0</v>
      </c>
      <c r="DT256" s="8">
        <v>0</v>
      </c>
      <c r="DU256" s="8">
        <v>0</v>
      </c>
      <c r="DV256" s="8">
        <v>0</v>
      </c>
      <c r="DW256" s="8">
        <v>0</v>
      </c>
      <c r="DX256" s="8">
        <v>0</v>
      </c>
      <c r="DY256" s="8">
        <v>0</v>
      </c>
      <c r="DZ256" s="8">
        <v>0</v>
      </c>
      <c r="EA256" s="8">
        <v>0</v>
      </c>
      <c r="EB256" s="9">
        <f t="shared" si="123"/>
        <v>0</v>
      </c>
      <c r="EC256" s="8">
        <v>0</v>
      </c>
      <c r="ED256" s="8">
        <v>0</v>
      </c>
      <c r="EE256" s="8">
        <v>0</v>
      </c>
      <c r="EF256" s="8">
        <v>0</v>
      </c>
      <c r="EG256" s="8">
        <v>0</v>
      </c>
      <c r="EH256" s="8">
        <v>0</v>
      </c>
      <c r="EI256" s="8">
        <v>0</v>
      </c>
      <c r="EJ256" s="8">
        <v>0</v>
      </c>
      <c r="EK256" s="8">
        <v>0</v>
      </c>
      <c r="EL256" s="8">
        <v>0</v>
      </c>
      <c r="EM256" s="8">
        <v>0</v>
      </c>
      <c r="EN256" s="8">
        <v>0</v>
      </c>
      <c r="EO256" s="9">
        <f t="shared" si="124"/>
        <v>0</v>
      </c>
      <c r="EP256" s="8">
        <v>0</v>
      </c>
      <c r="EQ256" s="8">
        <v>0</v>
      </c>
      <c r="ER256" s="8">
        <v>0</v>
      </c>
      <c r="ES256" s="8">
        <v>0</v>
      </c>
      <c r="ET256" s="8">
        <v>0</v>
      </c>
      <c r="EU256" s="8">
        <v>0</v>
      </c>
      <c r="EV256" s="8">
        <v>0</v>
      </c>
      <c r="EW256" s="8">
        <v>0</v>
      </c>
      <c r="EX256" s="8">
        <v>0</v>
      </c>
      <c r="EY256" s="8">
        <v>0</v>
      </c>
      <c r="EZ256" s="8">
        <v>0</v>
      </c>
      <c r="FA256" s="8">
        <v>0</v>
      </c>
      <c r="FB256" s="9">
        <f t="shared" si="125"/>
        <v>0</v>
      </c>
      <c r="FC256" s="8">
        <v>0</v>
      </c>
      <c r="FD256" s="8">
        <v>0</v>
      </c>
      <c r="FE256" s="8">
        <v>0</v>
      </c>
      <c r="FF256" s="8">
        <v>0</v>
      </c>
      <c r="FG256" s="8">
        <v>0</v>
      </c>
      <c r="FH256" s="8">
        <v>0</v>
      </c>
      <c r="FI256" s="8">
        <v>0</v>
      </c>
      <c r="FJ256" s="8"/>
      <c r="FK256" s="8"/>
      <c r="FL256" s="8"/>
      <c r="FM256" s="8"/>
      <c r="FN256" s="8"/>
      <c r="FO256" s="9">
        <f t="shared" si="126"/>
        <v>0</v>
      </c>
    </row>
    <row r="257" spans="2:171" ht="14.25" customHeight="1" x14ac:dyDescent="0.3">
      <c r="B257" s="35" t="s">
        <v>70</v>
      </c>
      <c r="C257" s="8">
        <v>0</v>
      </c>
      <c r="D257" s="8">
        <v>0</v>
      </c>
      <c r="E257" s="8">
        <v>0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9">
        <f t="shared" si="114"/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0</v>
      </c>
      <c r="Z257" s="8">
        <v>0</v>
      </c>
      <c r="AA257" s="8">
        <v>0</v>
      </c>
      <c r="AB257" s="9">
        <f t="shared" si="115"/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9">
        <f t="shared" si="116"/>
        <v>0</v>
      </c>
      <c r="AP257" s="8">
        <v>0</v>
      </c>
      <c r="AQ257" s="8">
        <v>0</v>
      </c>
      <c r="AR257" s="8">
        <v>0</v>
      </c>
      <c r="AS257" s="8">
        <v>0</v>
      </c>
      <c r="AT257" s="8">
        <v>0</v>
      </c>
      <c r="AU257" s="8">
        <v>0</v>
      </c>
      <c r="AV257" s="8">
        <v>0</v>
      </c>
      <c r="AW257" s="8">
        <v>0</v>
      </c>
      <c r="AX257" s="8">
        <v>0</v>
      </c>
      <c r="AY257" s="8">
        <v>0</v>
      </c>
      <c r="AZ257" s="8">
        <v>0</v>
      </c>
      <c r="BA257" s="8">
        <v>0</v>
      </c>
      <c r="BB257" s="9">
        <f t="shared" si="117"/>
        <v>0</v>
      </c>
      <c r="BC257" s="8">
        <v>0</v>
      </c>
      <c r="BD257" s="8">
        <v>0</v>
      </c>
      <c r="BE257" s="8">
        <v>0</v>
      </c>
      <c r="BF257" s="8">
        <v>0</v>
      </c>
      <c r="BG257" s="8">
        <v>0</v>
      </c>
      <c r="BH257" s="8">
        <v>0</v>
      </c>
      <c r="BI257" s="8">
        <v>0</v>
      </c>
      <c r="BJ257" s="8">
        <v>0</v>
      </c>
      <c r="BK257" s="8">
        <v>0</v>
      </c>
      <c r="BL257" s="8">
        <v>0</v>
      </c>
      <c r="BM257" s="8">
        <v>0</v>
      </c>
      <c r="BN257" s="8">
        <v>0</v>
      </c>
      <c r="BO257" s="9">
        <f t="shared" si="118"/>
        <v>0</v>
      </c>
      <c r="BP257" s="8">
        <v>0</v>
      </c>
      <c r="BQ257" s="8">
        <v>0</v>
      </c>
      <c r="BR257" s="8">
        <v>0</v>
      </c>
      <c r="BS257" s="8">
        <v>0</v>
      </c>
      <c r="BT257" s="8">
        <v>0</v>
      </c>
      <c r="BU257" s="8">
        <v>0</v>
      </c>
      <c r="BV257" s="8">
        <v>0</v>
      </c>
      <c r="BW257" s="8">
        <v>0</v>
      </c>
      <c r="BX257" s="8">
        <v>0</v>
      </c>
      <c r="BY257" s="8">
        <v>0</v>
      </c>
      <c r="BZ257" s="8">
        <v>0</v>
      </c>
      <c r="CA257" s="8">
        <v>0</v>
      </c>
      <c r="CB257" s="9">
        <f t="shared" si="119"/>
        <v>0</v>
      </c>
      <c r="CC257" s="8">
        <v>0</v>
      </c>
      <c r="CD257" s="8">
        <v>0</v>
      </c>
      <c r="CE257" s="8">
        <v>0</v>
      </c>
      <c r="CF257" s="8">
        <v>0</v>
      </c>
      <c r="CG257" s="8">
        <v>0</v>
      </c>
      <c r="CH257" s="8">
        <v>0</v>
      </c>
      <c r="CI257" s="8">
        <v>0</v>
      </c>
      <c r="CJ257" s="8">
        <v>0</v>
      </c>
      <c r="CK257" s="8">
        <v>0</v>
      </c>
      <c r="CL257" s="8">
        <v>0</v>
      </c>
      <c r="CM257" s="8">
        <v>0</v>
      </c>
      <c r="CN257" s="8">
        <v>0</v>
      </c>
      <c r="CO257" s="9">
        <f t="shared" si="120"/>
        <v>0</v>
      </c>
      <c r="CP257" s="8">
        <v>0</v>
      </c>
      <c r="CQ257" s="8">
        <v>0</v>
      </c>
      <c r="CR257" s="8">
        <v>0</v>
      </c>
      <c r="CS257" s="8">
        <v>0</v>
      </c>
      <c r="CT257" s="8">
        <v>0</v>
      </c>
      <c r="CU257" s="8">
        <v>0</v>
      </c>
      <c r="CV257" s="8">
        <v>0</v>
      </c>
      <c r="CW257" s="8">
        <v>0</v>
      </c>
      <c r="CX257" s="8">
        <v>0</v>
      </c>
      <c r="CY257" s="8">
        <v>0</v>
      </c>
      <c r="CZ257" s="8">
        <v>0</v>
      </c>
      <c r="DA257" s="8">
        <v>0</v>
      </c>
      <c r="DB257" s="9">
        <f t="shared" si="121"/>
        <v>0</v>
      </c>
      <c r="DC257" s="8">
        <v>0</v>
      </c>
      <c r="DD257" s="8">
        <v>0</v>
      </c>
      <c r="DE257" s="8">
        <v>0</v>
      </c>
      <c r="DF257" s="8">
        <v>0</v>
      </c>
      <c r="DG257" s="8">
        <v>0</v>
      </c>
      <c r="DH257" s="8">
        <v>0</v>
      </c>
      <c r="DI257" s="8">
        <v>0</v>
      </c>
      <c r="DJ257" s="8">
        <v>0</v>
      </c>
      <c r="DK257" s="8">
        <v>0</v>
      </c>
      <c r="DL257" s="8">
        <v>0</v>
      </c>
      <c r="DM257" s="8">
        <v>0</v>
      </c>
      <c r="DN257" s="8">
        <v>0</v>
      </c>
      <c r="DO257" s="9">
        <f t="shared" si="122"/>
        <v>0</v>
      </c>
      <c r="DP257" s="8">
        <v>0</v>
      </c>
      <c r="DQ257" s="8">
        <v>0</v>
      </c>
      <c r="DR257" s="8">
        <v>0</v>
      </c>
      <c r="DS257" s="8">
        <v>0</v>
      </c>
      <c r="DT257" s="8">
        <v>0</v>
      </c>
      <c r="DU257" s="8">
        <v>0</v>
      </c>
      <c r="DV257" s="8">
        <v>0</v>
      </c>
      <c r="DW257" s="8">
        <v>0</v>
      </c>
      <c r="DX257" s="8">
        <v>0</v>
      </c>
      <c r="DY257" s="8">
        <v>0</v>
      </c>
      <c r="DZ257" s="8">
        <v>0</v>
      </c>
      <c r="EA257" s="8">
        <v>0</v>
      </c>
      <c r="EB257" s="9">
        <f t="shared" si="123"/>
        <v>0</v>
      </c>
      <c r="EC257" s="8">
        <v>0</v>
      </c>
      <c r="ED257" s="8">
        <v>0</v>
      </c>
      <c r="EE257" s="8">
        <v>0</v>
      </c>
      <c r="EF257" s="8">
        <v>0</v>
      </c>
      <c r="EG257" s="8">
        <v>0</v>
      </c>
      <c r="EH257" s="8">
        <v>0</v>
      </c>
      <c r="EI257" s="8">
        <v>0</v>
      </c>
      <c r="EJ257" s="8">
        <v>0</v>
      </c>
      <c r="EK257" s="8">
        <v>0</v>
      </c>
      <c r="EL257" s="8">
        <v>0</v>
      </c>
      <c r="EM257" s="8">
        <v>0</v>
      </c>
      <c r="EN257" s="8">
        <v>0</v>
      </c>
      <c r="EO257" s="9">
        <f t="shared" si="124"/>
        <v>0</v>
      </c>
      <c r="EP257" s="8">
        <v>0</v>
      </c>
      <c r="EQ257" s="8">
        <v>0</v>
      </c>
      <c r="ER257" s="8">
        <v>0</v>
      </c>
      <c r="ES257" s="8">
        <v>0</v>
      </c>
      <c r="ET257" s="8">
        <v>0</v>
      </c>
      <c r="EU257" s="8">
        <v>0</v>
      </c>
      <c r="EV257" s="8">
        <v>0</v>
      </c>
      <c r="EW257" s="8">
        <v>0</v>
      </c>
      <c r="EX257" s="8">
        <v>0</v>
      </c>
      <c r="EY257" s="8">
        <v>0</v>
      </c>
      <c r="EZ257" s="8">
        <v>0</v>
      </c>
      <c r="FA257" s="8">
        <v>0</v>
      </c>
      <c r="FB257" s="9">
        <f t="shared" si="125"/>
        <v>0</v>
      </c>
      <c r="FC257" s="8">
        <v>0</v>
      </c>
      <c r="FD257" s="8">
        <v>0</v>
      </c>
      <c r="FE257" s="8">
        <v>0</v>
      </c>
      <c r="FF257" s="8">
        <v>0</v>
      </c>
      <c r="FG257" s="8">
        <v>0</v>
      </c>
      <c r="FH257" s="8">
        <v>0</v>
      </c>
      <c r="FI257" s="8">
        <v>0</v>
      </c>
      <c r="FJ257" s="8"/>
      <c r="FK257" s="8"/>
      <c r="FL257" s="8"/>
      <c r="FM257" s="8"/>
      <c r="FN257" s="8"/>
      <c r="FO257" s="9">
        <f t="shared" si="126"/>
        <v>0</v>
      </c>
    </row>
    <row r="258" spans="2:171" ht="14.25" customHeight="1" x14ac:dyDescent="0.3">
      <c r="B258" s="35" t="s">
        <v>71</v>
      </c>
      <c r="C258" s="8">
        <v>0</v>
      </c>
      <c r="D258" s="8">
        <v>0</v>
      </c>
      <c r="E258" s="8">
        <v>0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9">
        <f t="shared" si="114"/>
        <v>0</v>
      </c>
      <c r="P258" s="8">
        <v>0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0</v>
      </c>
      <c r="Y258" s="8">
        <v>0</v>
      </c>
      <c r="Z258" s="8">
        <v>0</v>
      </c>
      <c r="AA258" s="8">
        <v>0</v>
      </c>
      <c r="AB258" s="9">
        <f t="shared" si="115"/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9">
        <f t="shared" si="116"/>
        <v>0</v>
      </c>
      <c r="AP258" s="8">
        <v>0</v>
      </c>
      <c r="AQ258" s="8">
        <v>0</v>
      </c>
      <c r="AR258" s="8">
        <v>0</v>
      </c>
      <c r="AS258" s="8">
        <v>0</v>
      </c>
      <c r="AT258" s="8">
        <v>0</v>
      </c>
      <c r="AU258" s="8">
        <v>0</v>
      </c>
      <c r="AV258" s="8">
        <v>0</v>
      </c>
      <c r="AW258" s="8">
        <v>0</v>
      </c>
      <c r="AX258" s="8">
        <v>0</v>
      </c>
      <c r="AY258" s="8">
        <v>0</v>
      </c>
      <c r="AZ258" s="8">
        <v>0</v>
      </c>
      <c r="BA258" s="8">
        <v>0</v>
      </c>
      <c r="BB258" s="9">
        <f t="shared" si="117"/>
        <v>0</v>
      </c>
      <c r="BC258" s="8">
        <v>0</v>
      </c>
      <c r="BD258" s="8">
        <v>0</v>
      </c>
      <c r="BE258" s="8">
        <v>0</v>
      </c>
      <c r="BF258" s="8">
        <v>0</v>
      </c>
      <c r="BG258" s="8">
        <v>0</v>
      </c>
      <c r="BH258" s="8">
        <v>0</v>
      </c>
      <c r="BI258" s="8">
        <v>0</v>
      </c>
      <c r="BJ258" s="8">
        <v>0</v>
      </c>
      <c r="BK258" s="8">
        <v>0</v>
      </c>
      <c r="BL258" s="8">
        <v>0</v>
      </c>
      <c r="BM258" s="8">
        <v>0</v>
      </c>
      <c r="BN258" s="8">
        <v>0</v>
      </c>
      <c r="BO258" s="9">
        <f t="shared" si="118"/>
        <v>0</v>
      </c>
      <c r="BP258" s="8">
        <v>0</v>
      </c>
      <c r="BQ258" s="8">
        <v>0</v>
      </c>
      <c r="BR258" s="8">
        <v>0</v>
      </c>
      <c r="BS258" s="8">
        <v>0</v>
      </c>
      <c r="BT258" s="8">
        <v>0</v>
      </c>
      <c r="BU258" s="8">
        <v>0</v>
      </c>
      <c r="BV258" s="8">
        <v>0</v>
      </c>
      <c r="BW258" s="8">
        <v>0</v>
      </c>
      <c r="BX258" s="8">
        <v>0</v>
      </c>
      <c r="BY258" s="8">
        <v>0</v>
      </c>
      <c r="BZ258" s="8">
        <v>0</v>
      </c>
      <c r="CA258" s="8">
        <v>0</v>
      </c>
      <c r="CB258" s="9">
        <f t="shared" si="119"/>
        <v>0</v>
      </c>
      <c r="CC258" s="8">
        <v>0</v>
      </c>
      <c r="CD258" s="8">
        <v>0</v>
      </c>
      <c r="CE258" s="8">
        <v>0</v>
      </c>
      <c r="CF258" s="8">
        <v>0</v>
      </c>
      <c r="CG258" s="8">
        <v>0</v>
      </c>
      <c r="CH258" s="8">
        <v>0</v>
      </c>
      <c r="CI258" s="8">
        <v>0</v>
      </c>
      <c r="CJ258" s="8">
        <v>0</v>
      </c>
      <c r="CK258" s="8">
        <v>0</v>
      </c>
      <c r="CL258" s="8">
        <v>0</v>
      </c>
      <c r="CM258" s="8">
        <v>0</v>
      </c>
      <c r="CN258" s="8">
        <v>0</v>
      </c>
      <c r="CO258" s="9">
        <f t="shared" si="120"/>
        <v>0</v>
      </c>
      <c r="CP258" s="8">
        <v>0</v>
      </c>
      <c r="CQ258" s="8">
        <v>0</v>
      </c>
      <c r="CR258" s="8">
        <v>0</v>
      </c>
      <c r="CS258" s="8">
        <v>0</v>
      </c>
      <c r="CT258" s="8">
        <v>0</v>
      </c>
      <c r="CU258" s="8">
        <v>0</v>
      </c>
      <c r="CV258" s="8">
        <v>0</v>
      </c>
      <c r="CW258" s="8">
        <v>0</v>
      </c>
      <c r="CX258" s="8">
        <v>0</v>
      </c>
      <c r="CY258" s="8">
        <v>0</v>
      </c>
      <c r="CZ258" s="8">
        <v>0</v>
      </c>
      <c r="DA258" s="8">
        <v>0</v>
      </c>
      <c r="DB258" s="9">
        <f t="shared" si="121"/>
        <v>0</v>
      </c>
      <c r="DC258" s="8">
        <v>0</v>
      </c>
      <c r="DD258" s="8">
        <v>0</v>
      </c>
      <c r="DE258" s="8">
        <v>0</v>
      </c>
      <c r="DF258" s="8">
        <v>0</v>
      </c>
      <c r="DG258" s="8">
        <v>0</v>
      </c>
      <c r="DH258" s="8">
        <v>0</v>
      </c>
      <c r="DI258" s="8">
        <v>0</v>
      </c>
      <c r="DJ258" s="8">
        <v>0</v>
      </c>
      <c r="DK258" s="8">
        <v>0</v>
      </c>
      <c r="DL258" s="8">
        <v>0</v>
      </c>
      <c r="DM258" s="8">
        <v>0</v>
      </c>
      <c r="DN258" s="8">
        <v>0</v>
      </c>
      <c r="DO258" s="9">
        <f t="shared" si="122"/>
        <v>0</v>
      </c>
      <c r="DP258" s="8">
        <v>0</v>
      </c>
      <c r="DQ258" s="8">
        <v>0</v>
      </c>
      <c r="DR258" s="8">
        <v>0</v>
      </c>
      <c r="DS258" s="8">
        <v>0</v>
      </c>
      <c r="DT258" s="8">
        <v>0</v>
      </c>
      <c r="DU258" s="8">
        <v>0</v>
      </c>
      <c r="DV258" s="8">
        <v>0</v>
      </c>
      <c r="DW258" s="8">
        <v>0</v>
      </c>
      <c r="DX258" s="8">
        <v>0</v>
      </c>
      <c r="DY258" s="8">
        <v>0</v>
      </c>
      <c r="DZ258" s="8">
        <v>0</v>
      </c>
      <c r="EA258" s="8">
        <v>0</v>
      </c>
      <c r="EB258" s="9">
        <f t="shared" si="123"/>
        <v>0</v>
      </c>
      <c r="EC258" s="8">
        <v>0</v>
      </c>
      <c r="ED258" s="8">
        <v>0</v>
      </c>
      <c r="EE258" s="8">
        <v>0</v>
      </c>
      <c r="EF258" s="8">
        <v>0</v>
      </c>
      <c r="EG258" s="8">
        <v>0</v>
      </c>
      <c r="EH258" s="8">
        <v>0</v>
      </c>
      <c r="EI258" s="8">
        <v>0</v>
      </c>
      <c r="EJ258" s="8">
        <v>0</v>
      </c>
      <c r="EK258" s="8">
        <v>0</v>
      </c>
      <c r="EL258" s="8">
        <v>0</v>
      </c>
      <c r="EM258" s="8">
        <v>0</v>
      </c>
      <c r="EN258" s="8">
        <v>0</v>
      </c>
      <c r="EO258" s="9">
        <f t="shared" si="124"/>
        <v>0</v>
      </c>
      <c r="EP258" s="8">
        <v>0</v>
      </c>
      <c r="EQ258" s="8">
        <v>0</v>
      </c>
      <c r="ER258" s="8">
        <v>0</v>
      </c>
      <c r="ES258" s="8">
        <v>0</v>
      </c>
      <c r="ET258" s="8">
        <v>0</v>
      </c>
      <c r="EU258" s="8">
        <v>0</v>
      </c>
      <c r="EV258" s="8">
        <v>0</v>
      </c>
      <c r="EW258" s="8">
        <v>0</v>
      </c>
      <c r="EX258" s="8">
        <v>0</v>
      </c>
      <c r="EY258" s="8">
        <v>0</v>
      </c>
      <c r="EZ258" s="8">
        <v>0</v>
      </c>
      <c r="FA258" s="8">
        <v>0</v>
      </c>
      <c r="FB258" s="9">
        <f t="shared" si="125"/>
        <v>0</v>
      </c>
      <c r="FC258" s="8">
        <v>0</v>
      </c>
      <c r="FD258" s="8">
        <v>0</v>
      </c>
      <c r="FE258" s="8">
        <v>0</v>
      </c>
      <c r="FF258" s="8">
        <v>0</v>
      </c>
      <c r="FG258" s="8">
        <v>0</v>
      </c>
      <c r="FH258" s="8">
        <v>0</v>
      </c>
      <c r="FI258" s="8">
        <v>0</v>
      </c>
      <c r="FJ258" s="8"/>
      <c r="FK258" s="8"/>
      <c r="FL258" s="8"/>
      <c r="FM258" s="8"/>
      <c r="FN258" s="8"/>
      <c r="FO258" s="9">
        <f t="shared" si="126"/>
        <v>0</v>
      </c>
    </row>
    <row r="259" spans="2:171" ht="14.25" customHeight="1" x14ac:dyDescent="0.3">
      <c r="B259" s="35" t="s">
        <v>72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9">
        <f t="shared" si="114"/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9">
        <f t="shared" si="115"/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9">
        <f t="shared" si="116"/>
        <v>0</v>
      </c>
      <c r="AP259" s="8">
        <v>0</v>
      </c>
      <c r="AQ259" s="8">
        <v>0</v>
      </c>
      <c r="AR259" s="8">
        <v>0</v>
      </c>
      <c r="AS259" s="8">
        <v>0</v>
      </c>
      <c r="AT259" s="8">
        <v>0</v>
      </c>
      <c r="AU259" s="8">
        <v>0</v>
      </c>
      <c r="AV259" s="8">
        <v>0</v>
      </c>
      <c r="AW259" s="8">
        <v>0</v>
      </c>
      <c r="AX259" s="8">
        <v>0</v>
      </c>
      <c r="AY259" s="8">
        <v>0</v>
      </c>
      <c r="AZ259" s="8">
        <v>0</v>
      </c>
      <c r="BA259" s="8">
        <v>0</v>
      </c>
      <c r="BB259" s="9">
        <f t="shared" si="117"/>
        <v>0</v>
      </c>
      <c r="BC259" s="8">
        <v>0</v>
      </c>
      <c r="BD259" s="8">
        <v>0</v>
      </c>
      <c r="BE259" s="8">
        <v>0</v>
      </c>
      <c r="BF259" s="8">
        <v>0</v>
      </c>
      <c r="BG259" s="8">
        <v>0</v>
      </c>
      <c r="BH259" s="8">
        <v>0</v>
      </c>
      <c r="BI259" s="8">
        <v>0</v>
      </c>
      <c r="BJ259" s="8">
        <v>0</v>
      </c>
      <c r="BK259" s="8">
        <v>0</v>
      </c>
      <c r="BL259" s="8">
        <v>0</v>
      </c>
      <c r="BM259" s="8">
        <v>0</v>
      </c>
      <c r="BN259" s="8">
        <v>0</v>
      </c>
      <c r="BO259" s="9">
        <f t="shared" si="118"/>
        <v>0</v>
      </c>
      <c r="BP259" s="8">
        <v>0</v>
      </c>
      <c r="BQ259" s="8">
        <v>0</v>
      </c>
      <c r="BR259" s="8">
        <v>0</v>
      </c>
      <c r="BS259" s="8">
        <v>0</v>
      </c>
      <c r="BT259" s="8">
        <v>0</v>
      </c>
      <c r="BU259" s="8">
        <v>0</v>
      </c>
      <c r="BV259" s="8">
        <v>0</v>
      </c>
      <c r="BW259" s="8">
        <v>0</v>
      </c>
      <c r="BX259" s="8">
        <v>0</v>
      </c>
      <c r="BY259" s="8">
        <v>0</v>
      </c>
      <c r="BZ259" s="8">
        <v>0</v>
      </c>
      <c r="CA259" s="8">
        <v>0</v>
      </c>
      <c r="CB259" s="9">
        <f t="shared" si="119"/>
        <v>0</v>
      </c>
      <c r="CC259" s="8">
        <v>0</v>
      </c>
      <c r="CD259" s="8">
        <v>0</v>
      </c>
      <c r="CE259" s="8">
        <v>0</v>
      </c>
      <c r="CF259" s="8">
        <v>0</v>
      </c>
      <c r="CG259" s="8">
        <v>0</v>
      </c>
      <c r="CH259" s="8">
        <v>0</v>
      </c>
      <c r="CI259" s="8">
        <v>0</v>
      </c>
      <c r="CJ259" s="8">
        <v>0</v>
      </c>
      <c r="CK259" s="8">
        <v>0</v>
      </c>
      <c r="CL259" s="8">
        <v>0</v>
      </c>
      <c r="CM259" s="8">
        <v>0</v>
      </c>
      <c r="CN259" s="8">
        <v>0</v>
      </c>
      <c r="CO259" s="9">
        <f t="shared" si="120"/>
        <v>0</v>
      </c>
      <c r="CP259" s="8">
        <v>0</v>
      </c>
      <c r="CQ259" s="8">
        <v>0</v>
      </c>
      <c r="CR259" s="8">
        <v>0</v>
      </c>
      <c r="CS259" s="8">
        <v>0</v>
      </c>
      <c r="CT259" s="8">
        <v>0</v>
      </c>
      <c r="CU259" s="8">
        <v>0</v>
      </c>
      <c r="CV259" s="8">
        <v>0</v>
      </c>
      <c r="CW259" s="8">
        <v>0</v>
      </c>
      <c r="CX259" s="8">
        <v>0</v>
      </c>
      <c r="CY259" s="8">
        <v>0</v>
      </c>
      <c r="CZ259" s="8">
        <v>0</v>
      </c>
      <c r="DA259" s="8">
        <v>0</v>
      </c>
      <c r="DB259" s="9">
        <f t="shared" si="121"/>
        <v>0</v>
      </c>
      <c r="DC259" s="8">
        <v>0</v>
      </c>
      <c r="DD259" s="8">
        <v>0</v>
      </c>
      <c r="DE259" s="8">
        <v>0</v>
      </c>
      <c r="DF259" s="8">
        <v>0</v>
      </c>
      <c r="DG259" s="8">
        <v>0</v>
      </c>
      <c r="DH259" s="8">
        <v>0</v>
      </c>
      <c r="DI259" s="8">
        <v>0</v>
      </c>
      <c r="DJ259" s="8">
        <v>0</v>
      </c>
      <c r="DK259" s="8">
        <v>0</v>
      </c>
      <c r="DL259" s="8">
        <v>0</v>
      </c>
      <c r="DM259" s="8">
        <v>0</v>
      </c>
      <c r="DN259" s="8">
        <v>0</v>
      </c>
      <c r="DO259" s="9">
        <f t="shared" si="122"/>
        <v>0</v>
      </c>
      <c r="DP259" s="8">
        <v>0</v>
      </c>
      <c r="DQ259" s="8">
        <v>0</v>
      </c>
      <c r="DR259" s="8">
        <v>0</v>
      </c>
      <c r="DS259" s="8">
        <v>0</v>
      </c>
      <c r="DT259" s="8">
        <v>0</v>
      </c>
      <c r="DU259" s="8">
        <v>0</v>
      </c>
      <c r="DV259" s="8">
        <v>0</v>
      </c>
      <c r="DW259" s="8">
        <v>0</v>
      </c>
      <c r="DX259" s="8">
        <v>0</v>
      </c>
      <c r="DY259" s="8">
        <v>0</v>
      </c>
      <c r="DZ259" s="8">
        <v>0</v>
      </c>
      <c r="EA259" s="8">
        <v>0</v>
      </c>
      <c r="EB259" s="9">
        <f t="shared" si="123"/>
        <v>0</v>
      </c>
      <c r="EC259" s="8">
        <v>0</v>
      </c>
      <c r="ED259" s="8">
        <v>0</v>
      </c>
      <c r="EE259" s="8">
        <v>0</v>
      </c>
      <c r="EF259" s="8">
        <v>0</v>
      </c>
      <c r="EG259" s="8">
        <v>0</v>
      </c>
      <c r="EH259" s="8">
        <v>0</v>
      </c>
      <c r="EI259" s="8">
        <v>0</v>
      </c>
      <c r="EJ259" s="8">
        <v>0</v>
      </c>
      <c r="EK259" s="8">
        <v>0</v>
      </c>
      <c r="EL259" s="8">
        <v>0</v>
      </c>
      <c r="EM259" s="8">
        <v>0</v>
      </c>
      <c r="EN259" s="8">
        <v>0</v>
      </c>
      <c r="EO259" s="9">
        <f t="shared" si="124"/>
        <v>0</v>
      </c>
      <c r="EP259" s="8">
        <v>0</v>
      </c>
      <c r="EQ259" s="8">
        <v>0</v>
      </c>
      <c r="ER259" s="8">
        <v>0</v>
      </c>
      <c r="ES259" s="8">
        <v>0</v>
      </c>
      <c r="ET259" s="8">
        <v>0</v>
      </c>
      <c r="EU259" s="8">
        <v>0</v>
      </c>
      <c r="EV259" s="8">
        <v>0</v>
      </c>
      <c r="EW259" s="8">
        <v>0</v>
      </c>
      <c r="EX259" s="8">
        <v>0</v>
      </c>
      <c r="EY259" s="8">
        <v>0</v>
      </c>
      <c r="EZ259" s="8">
        <v>0</v>
      </c>
      <c r="FA259" s="8">
        <v>0</v>
      </c>
      <c r="FB259" s="9">
        <f t="shared" si="125"/>
        <v>0</v>
      </c>
      <c r="FC259" s="8">
        <v>0</v>
      </c>
      <c r="FD259" s="8">
        <v>0</v>
      </c>
      <c r="FE259" s="8">
        <v>0</v>
      </c>
      <c r="FF259" s="8">
        <v>0</v>
      </c>
      <c r="FG259" s="8">
        <v>0</v>
      </c>
      <c r="FH259" s="8">
        <v>0</v>
      </c>
      <c r="FI259" s="8">
        <v>0</v>
      </c>
      <c r="FJ259" s="8"/>
      <c r="FK259" s="8"/>
      <c r="FL259" s="8"/>
      <c r="FM259" s="8"/>
      <c r="FN259" s="8"/>
      <c r="FO259" s="9">
        <f t="shared" si="126"/>
        <v>0</v>
      </c>
    </row>
    <row r="260" spans="2:171" ht="14.25" customHeight="1" x14ac:dyDescent="0.3">
      <c r="B260" s="35" t="s">
        <v>73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9">
        <f t="shared" si="114"/>
        <v>0</v>
      </c>
      <c r="P260" s="8">
        <v>0</v>
      </c>
      <c r="Q260" s="8">
        <v>0</v>
      </c>
      <c r="R260" s="8">
        <v>0</v>
      </c>
      <c r="S260" s="8">
        <v>0</v>
      </c>
      <c r="T260" s="8">
        <v>0</v>
      </c>
      <c r="U260" s="8">
        <v>0</v>
      </c>
      <c r="V260" s="8">
        <v>0</v>
      </c>
      <c r="W260" s="8">
        <v>0</v>
      </c>
      <c r="X260" s="8">
        <v>0</v>
      </c>
      <c r="Y260" s="8">
        <v>0</v>
      </c>
      <c r="Z260" s="8">
        <v>0</v>
      </c>
      <c r="AA260" s="8">
        <v>0</v>
      </c>
      <c r="AB260" s="9">
        <f t="shared" si="115"/>
        <v>0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9">
        <f t="shared" si="116"/>
        <v>0</v>
      </c>
      <c r="AP260" s="8">
        <v>0</v>
      </c>
      <c r="AQ260" s="8">
        <v>0</v>
      </c>
      <c r="AR260" s="8">
        <v>0</v>
      </c>
      <c r="AS260" s="8">
        <v>0</v>
      </c>
      <c r="AT260" s="8">
        <v>0</v>
      </c>
      <c r="AU260" s="8">
        <v>0</v>
      </c>
      <c r="AV260" s="8">
        <v>0</v>
      </c>
      <c r="AW260" s="8">
        <v>0</v>
      </c>
      <c r="AX260" s="8">
        <v>0</v>
      </c>
      <c r="AY260" s="8">
        <v>0</v>
      </c>
      <c r="AZ260" s="8">
        <v>0</v>
      </c>
      <c r="BA260" s="8">
        <v>0</v>
      </c>
      <c r="BB260" s="9">
        <f t="shared" si="117"/>
        <v>0</v>
      </c>
      <c r="BC260" s="8">
        <v>0</v>
      </c>
      <c r="BD260" s="8">
        <v>0</v>
      </c>
      <c r="BE260" s="8">
        <v>0</v>
      </c>
      <c r="BF260" s="8">
        <v>0</v>
      </c>
      <c r="BG260" s="8">
        <v>0</v>
      </c>
      <c r="BH260" s="8">
        <v>0</v>
      </c>
      <c r="BI260" s="8">
        <v>0</v>
      </c>
      <c r="BJ260" s="8">
        <v>0</v>
      </c>
      <c r="BK260" s="8">
        <v>0</v>
      </c>
      <c r="BL260" s="8">
        <v>0</v>
      </c>
      <c r="BM260" s="8">
        <v>0</v>
      </c>
      <c r="BN260" s="8">
        <v>0</v>
      </c>
      <c r="BO260" s="9">
        <f t="shared" si="118"/>
        <v>0</v>
      </c>
      <c r="BP260" s="8">
        <v>0</v>
      </c>
      <c r="BQ260" s="8">
        <v>0</v>
      </c>
      <c r="BR260" s="8">
        <v>0</v>
      </c>
      <c r="BS260" s="8">
        <v>0</v>
      </c>
      <c r="BT260" s="8">
        <v>0</v>
      </c>
      <c r="BU260" s="8">
        <v>0</v>
      </c>
      <c r="BV260" s="8">
        <v>0</v>
      </c>
      <c r="BW260" s="8">
        <v>0</v>
      </c>
      <c r="BX260" s="8">
        <v>0</v>
      </c>
      <c r="BY260" s="8">
        <v>0</v>
      </c>
      <c r="BZ260" s="8">
        <v>0</v>
      </c>
      <c r="CA260" s="8">
        <v>0</v>
      </c>
      <c r="CB260" s="9">
        <f t="shared" si="119"/>
        <v>0</v>
      </c>
      <c r="CC260" s="8">
        <v>0</v>
      </c>
      <c r="CD260" s="8">
        <v>0</v>
      </c>
      <c r="CE260" s="8">
        <v>0</v>
      </c>
      <c r="CF260" s="8">
        <v>0</v>
      </c>
      <c r="CG260" s="8">
        <v>0</v>
      </c>
      <c r="CH260" s="8">
        <v>0</v>
      </c>
      <c r="CI260" s="8">
        <v>0</v>
      </c>
      <c r="CJ260" s="8">
        <v>0</v>
      </c>
      <c r="CK260" s="8">
        <v>0</v>
      </c>
      <c r="CL260" s="8">
        <v>0</v>
      </c>
      <c r="CM260" s="8">
        <v>0</v>
      </c>
      <c r="CN260" s="8">
        <v>0</v>
      </c>
      <c r="CO260" s="9">
        <f t="shared" si="120"/>
        <v>0</v>
      </c>
      <c r="CP260" s="8">
        <v>0</v>
      </c>
      <c r="CQ260" s="8">
        <v>0</v>
      </c>
      <c r="CR260" s="8">
        <v>0</v>
      </c>
      <c r="CS260" s="8">
        <v>0</v>
      </c>
      <c r="CT260" s="8">
        <v>0</v>
      </c>
      <c r="CU260" s="8">
        <v>0</v>
      </c>
      <c r="CV260" s="8">
        <v>0</v>
      </c>
      <c r="CW260" s="8">
        <v>0</v>
      </c>
      <c r="CX260" s="8">
        <v>0</v>
      </c>
      <c r="CY260" s="8">
        <v>0</v>
      </c>
      <c r="CZ260" s="8">
        <v>0</v>
      </c>
      <c r="DA260" s="8">
        <v>0</v>
      </c>
      <c r="DB260" s="9">
        <f t="shared" si="121"/>
        <v>0</v>
      </c>
      <c r="DC260" s="8">
        <v>0</v>
      </c>
      <c r="DD260" s="8">
        <v>0</v>
      </c>
      <c r="DE260" s="8">
        <v>0</v>
      </c>
      <c r="DF260" s="8">
        <v>0</v>
      </c>
      <c r="DG260" s="8">
        <v>0</v>
      </c>
      <c r="DH260" s="8">
        <v>0</v>
      </c>
      <c r="DI260" s="8">
        <v>0</v>
      </c>
      <c r="DJ260" s="8">
        <v>0</v>
      </c>
      <c r="DK260" s="8">
        <v>0</v>
      </c>
      <c r="DL260" s="8">
        <v>0</v>
      </c>
      <c r="DM260" s="8">
        <v>0</v>
      </c>
      <c r="DN260" s="8">
        <v>0</v>
      </c>
      <c r="DO260" s="9">
        <f t="shared" si="122"/>
        <v>0</v>
      </c>
      <c r="DP260" s="8">
        <v>0</v>
      </c>
      <c r="DQ260" s="8">
        <v>0</v>
      </c>
      <c r="DR260" s="8">
        <v>0</v>
      </c>
      <c r="DS260" s="8">
        <v>0</v>
      </c>
      <c r="DT260" s="8">
        <v>0</v>
      </c>
      <c r="DU260" s="8">
        <v>0</v>
      </c>
      <c r="DV260" s="8">
        <v>0</v>
      </c>
      <c r="DW260" s="8">
        <v>0</v>
      </c>
      <c r="DX260" s="8">
        <v>0</v>
      </c>
      <c r="DY260" s="8">
        <v>0</v>
      </c>
      <c r="DZ260" s="8">
        <v>0</v>
      </c>
      <c r="EA260" s="8">
        <v>0</v>
      </c>
      <c r="EB260" s="9">
        <f t="shared" si="123"/>
        <v>0</v>
      </c>
      <c r="EC260" s="8">
        <v>0</v>
      </c>
      <c r="ED260" s="8">
        <v>0</v>
      </c>
      <c r="EE260" s="8">
        <v>0</v>
      </c>
      <c r="EF260" s="8">
        <v>0</v>
      </c>
      <c r="EG260" s="8">
        <v>0</v>
      </c>
      <c r="EH260" s="8">
        <v>0</v>
      </c>
      <c r="EI260" s="8">
        <v>0</v>
      </c>
      <c r="EJ260" s="8">
        <v>0</v>
      </c>
      <c r="EK260" s="8">
        <v>0</v>
      </c>
      <c r="EL260" s="8">
        <v>0</v>
      </c>
      <c r="EM260" s="8">
        <v>0</v>
      </c>
      <c r="EN260" s="8">
        <v>0</v>
      </c>
      <c r="EO260" s="9">
        <f t="shared" si="124"/>
        <v>0</v>
      </c>
      <c r="EP260" s="8">
        <v>0</v>
      </c>
      <c r="EQ260" s="8">
        <v>0</v>
      </c>
      <c r="ER260" s="8">
        <v>0</v>
      </c>
      <c r="ES260" s="8">
        <v>0</v>
      </c>
      <c r="ET260" s="8">
        <v>0</v>
      </c>
      <c r="EU260" s="8">
        <v>0</v>
      </c>
      <c r="EV260" s="8">
        <v>0</v>
      </c>
      <c r="EW260" s="8">
        <v>0</v>
      </c>
      <c r="EX260" s="8">
        <v>0</v>
      </c>
      <c r="EY260" s="8">
        <v>0</v>
      </c>
      <c r="EZ260" s="8">
        <v>0</v>
      </c>
      <c r="FA260" s="8">
        <v>0</v>
      </c>
      <c r="FB260" s="9">
        <f t="shared" si="125"/>
        <v>0</v>
      </c>
      <c r="FC260" s="8">
        <v>0</v>
      </c>
      <c r="FD260" s="8">
        <v>0</v>
      </c>
      <c r="FE260" s="8">
        <v>0</v>
      </c>
      <c r="FF260" s="8">
        <v>0</v>
      </c>
      <c r="FG260" s="8">
        <v>0</v>
      </c>
      <c r="FH260" s="8">
        <v>0</v>
      </c>
      <c r="FI260" s="8">
        <v>0</v>
      </c>
      <c r="FJ260" s="8"/>
      <c r="FK260" s="8"/>
      <c r="FL260" s="8"/>
      <c r="FM260" s="8"/>
      <c r="FN260" s="8"/>
      <c r="FO260" s="9">
        <f t="shared" si="126"/>
        <v>0</v>
      </c>
    </row>
    <row r="261" spans="2:171" ht="14.25" customHeight="1" x14ac:dyDescent="0.3">
      <c r="B261" s="35" t="s">
        <v>74</v>
      </c>
      <c r="C261" s="8">
        <v>0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9">
        <f t="shared" si="114"/>
        <v>0</v>
      </c>
      <c r="P261" s="8">
        <v>0</v>
      </c>
      <c r="Q261" s="8">
        <v>0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9">
        <f t="shared" si="115"/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9">
        <f t="shared" si="116"/>
        <v>0</v>
      </c>
      <c r="AP261" s="8">
        <v>0</v>
      </c>
      <c r="AQ261" s="8">
        <v>0</v>
      </c>
      <c r="AR261" s="8">
        <v>0</v>
      </c>
      <c r="AS261" s="8">
        <v>0</v>
      </c>
      <c r="AT261" s="8">
        <v>0</v>
      </c>
      <c r="AU261" s="8">
        <v>0</v>
      </c>
      <c r="AV261" s="8">
        <v>0</v>
      </c>
      <c r="AW261" s="8">
        <v>0</v>
      </c>
      <c r="AX261" s="8">
        <v>0</v>
      </c>
      <c r="AY261" s="8">
        <v>0</v>
      </c>
      <c r="AZ261" s="8">
        <v>0</v>
      </c>
      <c r="BA261" s="8">
        <v>0</v>
      </c>
      <c r="BB261" s="9">
        <f t="shared" si="117"/>
        <v>0</v>
      </c>
      <c r="BC261" s="8">
        <v>0</v>
      </c>
      <c r="BD261" s="8">
        <v>0</v>
      </c>
      <c r="BE261" s="8">
        <v>0</v>
      </c>
      <c r="BF261" s="8">
        <v>0</v>
      </c>
      <c r="BG261" s="8">
        <v>0</v>
      </c>
      <c r="BH261" s="8">
        <v>0</v>
      </c>
      <c r="BI261" s="8">
        <v>0</v>
      </c>
      <c r="BJ261" s="8">
        <v>0</v>
      </c>
      <c r="BK261" s="8">
        <v>0</v>
      </c>
      <c r="BL261" s="8">
        <v>0</v>
      </c>
      <c r="BM261" s="8">
        <v>0</v>
      </c>
      <c r="BN261" s="8">
        <v>0</v>
      </c>
      <c r="BO261" s="9">
        <f t="shared" si="118"/>
        <v>0</v>
      </c>
      <c r="BP261" s="8">
        <v>0</v>
      </c>
      <c r="BQ261" s="8">
        <v>0</v>
      </c>
      <c r="BR261" s="8">
        <v>0</v>
      </c>
      <c r="BS261" s="8">
        <v>0</v>
      </c>
      <c r="BT261" s="8">
        <v>0</v>
      </c>
      <c r="BU261" s="8">
        <v>0</v>
      </c>
      <c r="BV261" s="8">
        <v>0</v>
      </c>
      <c r="BW261" s="8">
        <v>0</v>
      </c>
      <c r="BX261" s="8">
        <v>0</v>
      </c>
      <c r="BY261" s="8">
        <v>0</v>
      </c>
      <c r="BZ261" s="8">
        <v>0</v>
      </c>
      <c r="CA261" s="8">
        <v>0</v>
      </c>
      <c r="CB261" s="9">
        <f t="shared" si="119"/>
        <v>0</v>
      </c>
      <c r="CC261" s="8">
        <v>0</v>
      </c>
      <c r="CD261" s="8">
        <v>0</v>
      </c>
      <c r="CE261" s="8">
        <v>0</v>
      </c>
      <c r="CF261" s="8">
        <v>0</v>
      </c>
      <c r="CG261" s="8">
        <v>0</v>
      </c>
      <c r="CH261" s="8">
        <v>0</v>
      </c>
      <c r="CI261" s="8">
        <v>0</v>
      </c>
      <c r="CJ261" s="8">
        <v>0</v>
      </c>
      <c r="CK261" s="8">
        <v>0</v>
      </c>
      <c r="CL261" s="8">
        <v>0</v>
      </c>
      <c r="CM261" s="8">
        <v>0</v>
      </c>
      <c r="CN261" s="8">
        <v>0</v>
      </c>
      <c r="CO261" s="9">
        <f t="shared" si="120"/>
        <v>0</v>
      </c>
      <c r="CP261" s="8">
        <v>0</v>
      </c>
      <c r="CQ261" s="8">
        <v>0</v>
      </c>
      <c r="CR261" s="8">
        <v>0</v>
      </c>
      <c r="CS261" s="8">
        <v>0</v>
      </c>
      <c r="CT261" s="8">
        <v>0</v>
      </c>
      <c r="CU261" s="8">
        <v>0</v>
      </c>
      <c r="CV261" s="8">
        <v>0</v>
      </c>
      <c r="CW261" s="8">
        <v>0</v>
      </c>
      <c r="CX261" s="8">
        <v>0</v>
      </c>
      <c r="CY261" s="8">
        <v>0</v>
      </c>
      <c r="CZ261" s="8">
        <v>0</v>
      </c>
      <c r="DA261" s="8">
        <v>0</v>
      </c>
      <c r="DB261" s="9">
        <f t="shared" si="121"/>
        <v>0</v>
      </c>
      <c r="DC261" s="8">
        <v>0</v>
      </c>
      <c r="DD261" s="8">
        <v>0</v>
      </c>
      <c r="DE261" s="8">
        <v>0</v>
      </c>
      <c r="DF261" s="8">
        <v>0</v>
      </c>
      <c r="DG261" s="8">
        <v>0</v>
      </c>
      <c r="DH261" s="8">
        <v>0</v>
      </c>
      <c r="DI261" s="8">
        <v>0</v>
      </c>
      <c r="DJ261" s="8">
        <v>0</v>
      </c>
      <c r="DK261" s="8">
        <v>0</v>
      </c>
      <c r="DL261" s="8">
        <v>0</v>
      </c>
      <c r="DM261" s="8">
        <v>0</v>
      </c>
      <c r="DN261" s="8">
        <v>0</v>
      </c>
      <c r="DO261" s="9">
        <f t="shared" si="122"/>
        <v>0</v>
      </c>
      <c r="DP261" s="8">
        <v>0</v>
      </c>
      <c r="DQ261" s="8">
        <v>0</v>
      </c>
      <c r="DR261" s="8">
        <v>0</v>
      </c>
      <c r="DS261" s="8">
        <v>0</v>
      </c>
      <c r="DT261" s="8">
        <v>0</v>
      </c>
      <c r="DU261" s="8">
        <v>0</v>
      </c>
      <c r="DV261" s="8">
        <v>0</v>
      </c>
      <c r="DW261" s="8">
        <v>0</v>
      </c>
      <c r="DX261" s="8">
        <v>0</v>
      </c>
      <c r="DY261" s="8">
        <v>0</v>
      </c>
      <c r="DZ261" s="8">
        <v>0</v>
      </c>
      <c r="EA261" s="8">
        <v>0</v>
      </c>
      <c r="EB261" s="9">
        <f t="shared" si="123"/>
        <v>0</v>
      </c>
      <c r="EC261" s="8">
        <v>0</v>
      </c>
      <c r="ED261" s="8">
        <v>0</v>
      </c>
      <c r="EE261" s="8">
        <v>0</v>
      </c>
      <c r="EF261" s="8">
        <v>0</v>
      </c>
      <c r="EG261" s="8">
        <v>0</v>
      </c>
      <c r="EH261" s="8">
        <v>0</v>
      </c>
      <c r="EI261" s="8">
        <v>0</v>
      </c>
      <c r="EJ261" s="8">
        <v>0</v>
      </c>
      <c r="EK261" s="8">
        <v>0</v>
      </c>
      <c r="EL261" s="8">
        <v>0</v>
      </c>
      <c r="EM261" s="8">
        <v>0</v>
      </c>
      <c r="EN261" s="8">
        <v>0</v>
      </c>
      <c r="EO261" s="9">
        <f t="shared" si="124"/>
        <v>0</v>
      </c>
      <c r="EP261" s="8">
        <v>0</v>
      </c>
      <c r="EQ261" s="8">
        <v>0</v>
      </c>
      <c r="ER261" s="8">
        <v>0</v>
      </c>
      <c r="ES261" s="8">
        <v>0</v>
      </c>
      <c r="ET261" s="8">
        <v>0</v>
      </c>
      <c r="EU261" s="8">
        <v>0</v>
      </c>
      <c r="EV261" s="8">
        <v>0</v>
      </c>
      <c r="EW261" s="8">
        <v>0</v>
      </c>
      <c r="EX261" s="8">
        <v>0</v>
      </c>
      <c r="EY261" s="8">
        <v>0</v>
      </c>
      <c r="EZ261" s="8">
        <v>0</v>
      </c>
      <c r="FA261" s="8">
        <v>0</v>
      </c>
      <c r="FB261" s="9">
        <f t="shared" si="125"/>
        <v>0</v>
      </c>
      <c r="FC261" s="8">
        <v>0</v>
      </c>
      <c r="FD261" s="8">
        <v>0</v>
      </c>
      <c r="FE261" s="8">
        <v>0</v>
      </c>
      <c r="FF261" s="8">
        <v>0</v>
      </c>
      <c r="FG261" s="8">
        <v>0</v>
      </c>
      <c r="FH261" s="8">
        <v>0</v>
      </c>
      <c r="FI261" s="8">
        <v>0</v>
      </c>
      <c r="FJ261" s="8"/>
      <c r="FK261" s="8"/>
      <c r="FL261" s="8"/>
      <c r="FM261" s="8"/>
      <c r="FN261" s="8"/>
      <c r="FO261" s="9">
        <f t="shared" si="126"/>
        <v>0</v>
      </c>
    </row>
    <row r="262" spans="2:171" ht="14.25" customHeight="1" thickBot="1" x14ac:dyDescent="0.35">
      <c r="B262" s="14" t="s">
        <v>89</v>
      </c>
      <c r="C262" s="16">
        <f t="shared" ref="C262:AH262" si="127">SUM(C230:C261)</f>
        <v>32803327</v>
      </c>
      <c r="D262" s="16">
        <f t="shared" si="127"/>
        <v>32803327</v>
      </c>
      <c r="E262" s="16">
        <f t="shared" si="127"/>
        <v>32803327</v>
      </c>
      <c r="F262" s="16">
        <f t="shared" si="127"/>
        <v>32803327</v>
      </c>
      <c r="G262" s="16">
        <f t="shared" si="127"/>
        <v>32803327</v>
      </c>
      <c r="H262" s="16">
        <f t="shared" si="127"/>
        <v>32803327</v>
      </c>
      <c r="I262" s="16">
        <f t="shared" si="127"/>
        <v>32803327</v>
      </c>
      <c r="J262" s="16">
        <f t="shared" si="127"/>
        <v>32803327</v>
      </c>
      <c r="K262" s="16">
        <f t="shared" si="127"/>
        <v>32803327</v>
      </c>
      <c r="L262" s="16">
        <f t="shared" si="127"/>
        <v>32803327</v>
      </c>
      <c r="M262" s="16">
        <f t="shared" si="127"/>
        <v>32803327</v>
      </c>
      <c r="N262" s="16">
        <f t="shared" si="127"/>
        <v>32803327</v>
      </c>
      <c r="O262" s="16">
        <f t="shared" si="127"/>
        <v>32803327</v>
      </c>
      <c r="P262" s="16">
        <f t="shared" si="127"/>
        <v>42185514</v>
      </c>
      <c r="Q262" s="16">
        <f t="shared" si="127"/>
        <v>42185514</v>
      </c>
      <c r="R262" s="16">
        <f t="shared" si="127"/>
        <v>42185514</v>
      </c>
      <c r="S262" s="16">
        <f t="shared" si="127"/>
        <v>42185514</v>
      </c>
      <c r="T262" s="16">
        <f t="shared" si="127"/>
        <v>42185514</v>
      </c>
      <c r="U262" s="16">
        <f t="shared" si="127"/>
        <v>42185514</v>
      </c>
      <c r="V262" s="16">
        <f t="shared" si="127"/>
        <v>42185514</v>
      </c>
      <c r="W262" s="16">
        <f t="shared" si="127"/>
        <v>42185514</v>
      </c>
      <c r="X262" s="16">
        <f t="shared" si="127"/>
        <v>42185514</v>
      </c>
      <c r="Y262" s="16">
        <f t="shared" si="127"/>
        <v>42185514</v>
      </c>
      <c r="Z262" s="16">
        <f t="shared" si="127"/>
        <v>42185514</v>
      </c>
      <c r="AA262" s="16">
        <f t="shared" si="127"/>
        <v>42185514</v>
      </c>
      <c r="AB262" s="16">
        <f t="shared" si="127"/>
        <v>42185514</v>
      </c>
      <c r="AC262" s="16">
        <f t="shared" si="127"/>
        <v>51285250</v>
      </c>
      <c r="AD262" s="16">
        <f t="shared" si="127"/>
        <v>51285250</v>
      </c>
      <c r="AE262" s="16">
        <f t="shared" si="127"/>
        <v>51285250</v>
      </c>
      <c r="AF262" s="16">
        <f t="shared" si="127"/>
        <v>51285250</v>
      </c>
      <c r="AG262" s="16">
        <f t="shared" si="127"/>
        <v>51285250</v>
      </c>
      <c r="AH262" s="16">
        <f t="shared" si="127"/>
        <v>51285250</v>
      </c>
      <c r="AI262" s="16">
        <f t="shared" ref="AI262:BN262" si="128">SUM(AI230:AI261)</f>
        <v>51285250</v>
      </c>
      <c r="AJ262" s="16">
        <f t="shared" si="128"/>
        <v>51285250</v>
      </c>
      <c r="AK262" s="16">
        <f t="shared" si="128"/>
        <v>51285250</v>
      </c>
      <c r="AL262" s="16">
        <f t="shared" si="128"/>
        <v>51285250</v>
      </c>
      <c r="AM262" s="16">
        <f t="shared" si="128"/>
        <v>51285250</v>
      </c>
      <c r="AN262" s="16">
        <f t="shared" si="128"/>
        <v>51285250</v>
      </c>
      <c r="AO262" s="16">
        <f t="shared" si="128"/>
        <v>51285250</v>
      </c>
      <c r="AP262" s="16">
        <f t="shared" si="128"/>
        <v>62616729</v>
      </c>
      <c r="AQ262" s="16">
        <f t="shared" si="128"/>
        <v>62616729</v>
      </c>
      <c r="AR262" s="16">
        <f t="shared" si="128"/>
        <v>62616729</v>
      </c>
      <c r="AS262" s="16">
        <f t="shared" si="128"/>
        <v>62616729</v>
      </c>
      <c r="AT262" s="16">
        <f t="shared" si="128"/>
        <v>62616729</v>
      </c>
      <c r="AU262" s="16">
        <f t="shared" si="128"/>
        <v>62616729</v>
      </c>
      <c r="AV262" s="16">
        <f t="shared" si="128"/>
        <v>62616729</v>
      </c>
      <c r="AW262" s="16">
        <f t="shared" si="128"/>
        <v>62616729</v>
      </c>
      <c r="AX262" s="16">
        <f t="shared" si="128"/>
        <v>62616729</v>
      </c>
      <c r="AY262" s="16">
        <f t="shared" si="128"/>
        <v>62616729</v>
      </c>
      <c r="AZ262" s="16">
        <f t="shared" si="128"/>
        <v>62616729</v>
      </c>
      <c r="BA262" s="16">
        <f t="shared" si="128"/>
        <v>62616729</v>
      </c>
      <c r="BB262" s="16">
        <f t="shared" si="128"/>
        <v>62616729</v>
      </c>
      <c r="BC262" s="16">
        <f t="shared" si="128"/>
        <v>77266026</v>
      </c>
      <c r="BD262" s="16">
        <f t="shared" si="128"/>
        <v>77266026</v>
      </c>
      <c r="BE262" s="16">
        <f t="shared" si="128"/>
        <v>77266026</v>
      </c>
      <c r="BF262" s="16">
        <f t="shared" si="128"/>
        <v>77266026</v>
      </c>
      <c r="BG262" s="16">
        <f t="shared" si="128"/>
        <v>77266026</v>
      </c>
      <c r="BH262" s="16">
        <f t="shared" si="128"/>
        <v>77266026</v>
      </c>
      <c r="BI262" s="16">
        <f t="shared" si="128"/>
        <v>77266026</v>
      </c>
      <c r="BJ262" s="16">
        <f t="shared" si="128"/>
        <v>77266026</v>
      </c>
      <c r="BK262" s="16">
        <f t="shared" si="128"/>
        <v>77266026</v>
      </c>
      <c r="BL262" s="16">
        <f t="shared" si="128"/>
        <v>77266026</v>
      </c>
      <c r="BM262" s="16">
        <f t="shared" si="128"/>
        <v>77266026</v>
      </c>
      <c r="BN262" s="16">
        <f t="shared" si="128"/>
        <v>77266026</v>
      </c>
      <c r="BO262" s="16">
        <f t="shared" ref="BO262:CT262" si="129">SUM(BO230:BO261)</f>
        <v>77266026</v>
      </c>
      <c r="BP262" s="16">
        <f t="shared" si="129"/>
        <v>115343477</v>
      </c>
      <c r="BQ262" s="16">
        <f t="shared" si="129"/>
        <v>115343477</v>
      </c>
      <c r="BR262" s="16">
        <f t="shared" si="129"/>
        <v>115343477</v>
      </c>
      <c r="BS262" s="16">
        <f t="shared" si="129"/>
        <v>115343477</v>
      </c>
      <c r="BT262" s="16">
        <f t="shared" si="129"/>
        <v>115343477</v>
      </c>
      <c r="BU262" s="16">
        <f t="shared" si="129"/>
        <v>115343477</v>
      </c>
      <c r="BV262" s="16">
        <f t="shared" si="129"/>
        <v>115343477</v>
      </c>
      <c r="BW262" s="16">
        <f t="shared" si="129"/>
        <v>115343477</v>
      </c>
      <c r="BX262" s="16">
        <f t="shared" si="129"/>
        <v>115343477</v>
      </c>
      <c r="BY262" s="16">
        <f t="shared" si="129"/>
        <v>115343477</v>
      </c>
      <c r="BZ262" s="16">
        <f t="shared" si="129"/>
        <v>115343477</v>
      </c>
      <c r="CA262" s="16">
        <f t="shared" si="129"/>
        <v>115343477</v>
      </c>
      <c r="CB262" s="16">
        <f t="shared" si="129"/>
        <v>115343477</v>
      </c>
      <c r="CC262" s="16">
        <f t="shared" si="129"/>
        <v>115111563</v>
      </c>
      <c r="CD262" s="16">
        <f t="shared" si="129"/>
        <v>115111563</v>
      </c>
      <c r="CE262" s="16">
        <f t="shared" si="129"/>
        <v>115111563</v>
      </c>
      <c r="CF262" s="16">
        <f t="shared" si="129"/>
        <v>115111563</v>
      </c>
      <c r="CG262" s="16">
        <f t="shared" si="129"/>
        <v>115111563</v>
      </c>
      <c r="CH262" s="16">
        <f t="shared" si="129"/>
        <v>115111563</v>
      </c>
      <c r="CI262" s="16">
        <f t="shared" si="129"/>
        <v>115111563</v>
      </c>
      <c r="CJ262" s="16">
        <f t="shared" si="129"/>
        <v>115111563</v>
      </c>
      <c r="CK262" s="16">
        <f t="shared" si="129"/>
        <v>115111563</v>
      </c>
      <c r="CL262" s="16">
        <f t="shared" si="129"/>
        <v>115111563</v>
      </c>
      <c r="CM262" s="16">
        <f t="shared" si="129"/>
        <v>115111563</v>
      </c>
      <c r="CN262" s="16">
        <f t="shared" si="129"/>
        <v>115111563</v>
      </c>
      <c r="CO262" s="16">
        <f t="shared" si="129"/>
        <v>115111563</v>
      </c>
      <c r="CP262" s="16">
        <f t="shared" si="129"/>
        <v>128734182</v>
      </c>
      <c r="CQ262" s="16">
        <f t="shared" si="129"/>
        <v>128734182</v>
      </c>
      <c r="CR262" s="16">
        <f t="shared" si="129"/>
        <v>128734182</v>
      </c>
      <c r="CS262" s="16">
        <f t="shared" si="129"/>
        <v>128734182</v>
      </c>
      <c r="CT262" s="16">
        <f t="shared" si="129"/>
        <v>128734182</v>
      </c>
      <c r="CU262" s="16">
        <f t="shared" ref="CU262:DZ262" si="130">SUM(CU230:CU261)</f>
        <v>128734182</v>
      </c>
      <c r="CV262" s="16">
        <f t="shared" si="130"/>
        <v>128734182</v>
      </c>
      <c r="CW262" s="16">
        <f t="shared" si="130"/>
        <v>128734182</v>
      </c>
      <c r="CX262" s="16">
        <f t="shared" si="130"/>
        <v>128734182</v>
      </c>
      <c r="CY262" s="16">
        <f t="shared" si="130"/>
        <v>128734182</v>
      </c>
      <c r="CZ262" s="16">
        <f t="shared" si="130"/>
        <v>128734182</v>
      </c>
      <c r="DA262" s="16">
        <f t="shared" si="130"/>
        <v>128734182</v>
      </c>
      <c r="DB262" s="16">
        <f t="shared" si="130"/>
        <v>128734182</v>
      </c>
      <c r="DC262" s="16">
        <f t="shared" si="130"/>
        <v>104484009</v>
      </c>
      <c r="DD262" s="16">
        <f t="shared" si="130"/>
        <v>104484009</v>
      </c>
      <c r="DE262" s="16">
        <f t="shared" si="130"/>
        <v>104484009</v>
      </c>
      <c r="DF262" s="16">
        <f t="shared" si="130"/>
        <v>104484009</v>
      </c>
      <c r="DG262" s="16">
        <f t="shared" si="130"/>
        <v>104484009</v>
      </c>
      <c r="DH262" s="16">
        <f t="shared" si="130"/>
        <v>104484009</v>
      </c>
      <c r="DI262" s="16">
        <f t="shared" si="130"/>
        <v>104484009</v>
      </c>
      <c r="DJ262" s="16">
        <f t="shared" si="130"/>
        <v>104484009</v>
      </c>
      <c r="DK262" s="16">
        <f t="shared" si="130"/>
        <v>104484009</v>
      </c>
      <c r="DL262" s="16">
        <f t="shared" si="130"/>
        <v>104484009</v>
      </c>
      <c r="DM262" s="16">
        <f t="shared" si="130"/>
        <v>104484009</v>
      </c>
      <c r="DN262" s="16">
        <f t="shared" si="130"/>
        <v>104484009</v>
      </c>
      <c r="DO262" s="16">
        <f t="shared" si="130"/>
        <v>104484009</v>
      </c>
      <c r="DP262" s="16">
        <f t="shared" si="130"/>
        <v>158759261</v>
      </c>
      <c r="DQ262" s="16">
        <f t="shared" si="130"/>
        <v>158759261</v>
      </c>
      <c r="DR262" s="16">
        <f t="shared" si="130"/>
        <v>158759261</v>
      </c>
      <c r="DS262" s="16">
        <f t="shared" si="130"/>
        <v>158759261</v>
      </c>
      <c r="DT262" s="16">
        <f t="shared" si="130"/>
        <v>158759261</v>
      </c>
      <c r="DU262" s="16">
        <f t="shared" si="130"/>
        <v>158759261</v>
      </c>
      <c r="DV262" s="16">
        <f t="shared" si="130"/>
        <v>158759261</v>
      </c>
      <c r="DW262" s="16">
        <f t="shared" si="130"/>
        <v>158759261</v>
      </c>
      <c r="DX262" s="16">
        <f t="shared" si="130"/>
        <v>158759261</v>
      </c>
      <c r="DY262" s="16">
        <f t="shared" si="130"/>
        <v>158759261</v>
      </c>
      <c r="DZ262" s="16">
        <f t="shared" si="130"/>
        <v>158759261</v>
      </c>
      <c r="EA262" s="16">
        <f t="shared" ref="EA262:FF262" si="131">SUM(EA230:EA261)</f>
        <v>158759261</v>
      </c>
      <c r="EB262" s="16">
        <f t="shared" si="131"/>
        <v>158759261</v>
      </c>
      <c r="EC262" s="16">
        <f t="shared" si="131"/>
        <v>234273812</v>
      </c>
      <c r="ED262" s="16">
        <f t="shared" si="131"/>
        <v>234273812</v>
      </c>
      <c r="EE262" s="16">
        <f t="shared" si="131"/>
        <v>234273812</v>
      </c>
      <c r="EF262" s="16">
        <f t="shared" si="131"/>
        <v>234273812</v>
      </c>
      <c r="EG262" s="16">
        <f t="shared" si="131"/>
        <v>234273812</v>
      </c>
      <c r="EH262" s="16">
        <f t="shared" si="131"/>
        <v>234273812</v>
      </c>
      <c r="EI262" s="16">
        <f t="shared" si="131"/>
        <v>234273812</v>
      </c>
      <c r="EJ262" s="16">
        <f t="shared" si="131"/>
        <v>234273812</v>
      </c>
      <c r="EK262" s="16">
        <f t="shared" si="131"/>
        <v>234273812</v>
      </c>
      <c r="EL262" s="16">
        <f t="shared" si="131"/>
        <v>234273812</v>
      </c>
      <c r="EM262" s="16">
        <f t="shared" si="131"/>
        <v>234273812</v>
      </c>
      <c r="EN262" s="16">
        <f t="shared" si="131"/>
        <v>234273812</v>
      </c>
      <c r="EO262" s="16">
        <f t="shared" si="131"/>
        <v>234273812</v>
      </c>
      <c r="EP262" s="16">
        <f t="shared" si="131"/>
        <v>317360596</v>
      </c>
      <c r="EQ262" s="16">
        <f t="shared" si="131"/>
        <v>317360596</v>
      </c>
      <c r="ER262" s="16">
        <f t="shared" si="131"/>
        <v>317360596</v>
      </c>
      <c r="ES262" s="16">
        <f t="shared" si="131"/>
        <v>317360596</v>
      </c>
      <c r="ET262" s="16">
        <f t="shared" si="131"/>
        <v>317360596</v>
      </c>
      <c r="EU262" s="16">
        <f t="shared" si="131"/>
        <v>317360596</v>
      </c>
      <c r="EV262" s="16">
        <f t="shared" si="131"/>
        <v>317360596</v>
      </c>
      <c r="EW262" s="16">
        <f t="shared" si="131"/>
        <v>317360596</v>
      </c>
      <c r="EX262" s="16">
        <f t="shared" si="131"/>
        <v>317360596</v>
      </c>
      <c r="EY262" s="16">
        <f t="shared" si="131"/>
        <v>317360596</v>
      </c>
      <c r="EZ262" s="16">
        <f t="shared" si="131"/>
        <v>317360596</v>
      </c>
      <c r="FA262" s="16">
        <f t="shared" si="131"/>
        <v>317360596</v>
      </c>
      <c r="FB262" s="16">
        <f t="shared" si="131"/>
        <v>317360596</v>
      </c>
      <c r="FC262" s="16">
        <f t="shared" si="131"/>
        <v>831376361</v>
      </c>
      <c r="FD262" s="16">
        <f t="shared" si="131"/>
        <v>831376361</v>
      </c>
      <c r="FE262" s="16">
        <f t="shared" si="131"/>
        <v>831376361</v>
      </c>
      <c r="FF262" s="16">
        <f t="shared" si="131"/>
        <v>831376361</v>
      </c>
      <c r="FG262" s="16">
        <f t="shared" ref="FG262:GL262" si="132">SUM(FG230:FG261)</f>
        <v>831376361</v>
      </c>
      <c r="FH262" s="16">
        <f t="shared" si="132"/>
        <v>831376361</v>
      </c>
      <c r="FI262" s="16">
        <f t="shared" si="132"/>
        <v>831376361</v>
      </c>
      <c r="FJ262" s="16">
        <f t="shared" si="132"/>
        <v>0</v>
      </c>
      <c r="FK262" s="16">
        <f t="shared" si="132"/>
        <v>0</v>
      </c>
      <c r="FL262" s="16">
        <f t="shared" si="132"/>
        <v>0</v>
      </c>
      <c r="FM262" s="16">
        <f t="shared" si="132"/>
        <v>0</v>
      </c>
      <c r="FN262" s="16">
        <f t="shared" si="132"/>
        <v>0</v>
      </c>
      <c r="FO262" s="16">
        <f t="shared" si="132"/>
        <v>831376361</v>
      </c>
    </row>
    <row r="263" spans="2:171" ht="14.25" customHeight="1" x14ac:dyDescent="0.3">
      <c r="B263" s="4" t="s">
        <v>90</v>
      </c>
    </row>
    <row r="264" spans="2:171" ht="14.25" customHeight="1" x14ac:dyDescent="0.3">
      <c r="C264" s="38" t="s">
        <v>4</v>
      </c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8" t="s">
        <v>5</v>
      </c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8" t="s">
        <v>6</v>
      </c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8" t="s">
        <v>7</v>
      </c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8" t="s">
        <v>8</v>
      </c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8" t="s">
        <v>9</v>
      </c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8" t="s">
        <v>10</v>
      </c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8" t="s">
        <v>11</v>
      </c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8" t="s">
        <v>12</v>
      </c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8" t="s">
        <v>13</v>
      </c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8" t="s">
        <v>14</v>
      </c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8" t="s">
        <v>15</v>
      </c>
      <c r="EQ264" s="39"/>
      <c r="ER264" s="39"/>
      <c r="ES264" s="39"/>
      <c r="ET264" s="39"/>
      <c r="EU264" s="39"/>
      <c r="EV264" s="39"/>
      <c r="EW264" s="39"/>
      <c r="EX264" s="39"/>
      <c r="EY264" s="39"/>
      <c r="EZ264" s="39"/>
      <c r="FA264" s="39"/>
      <c r="FB264" s="39"/>
      <c r="FC264" s="38" t="s">
        <v>16</v>
      </c>
      <c r="FD264" s="39"/>
      <c r="FE264" s="39"/>
      <c r="FF264" s="39"/>
      <c r="FG264" s="39"/>
      <c r="FH264" s="39"/>
      <c r="FI264" s="39"/>
      <c r="FJ264" s="39"/>
      <c r="FK264" s="39"/>
      <c r="FL264" s="39"/>
      <c r="FM264" s="39"/>
      <c r="FN264" s="39"/>
      <c r="FO264" s="39"/>
    </row>
    <row r="265" spans="2:171" ht="14.25" customHeight="1" x14ac:dyDescent="0.3">
      <c r="B265" s="5" t="s">
        <v>17</v>
      </c>
      <c r="C265" s="6" t="s">
        <v>18</v>
      </c>
      <c r="D265" s="6" t="s">
        <v>19</v>
      </c>
      <c r="E265" s="6" t="s">
        <v>20</v>
      </c>
      <c r="F265" s="6" t="s">
        <v>21</v>
      </c>
      <c r="G265" s="6" t="s">
        <v>22</v>
      </c>
      <c r="H265" s="6" t="s">
        <v>23</v>
      </c>
      <c r="I265" s="6" t="s">
        <v>24</v>
      </c>
      <c r="J265" s="6" t="s">
        <v>25</v>
      </c>
      <c r="K265" s="6" t="s">
        <v>26</v>
      </c>
      <c r="L265" s="6" t="s">
        <v>27</v>
      </c>
      <c r="M265" s="6" t="s">
        <v>28</v>
      </c>
      <c r="N265" s="6" t="s">
        <v>29</v>
      </c>
      <c r="O265" s="6" t="s">
        <v>30</v>
      </c>
      <c r="P265" s="6" t="s">
        <v>18</v>
      </c>
      <c r="Q265" s="6" t="s">
        <v>19</v>
      </c>
      <c r="R265" s="6" t="s">
        <v>20</v>
      </c>
      <c r="S265" s="6" t="s">
        <v>21</v>
      </c>
      <c r="T265" s="6" t="s">
        <v>22</v>
      </c>
      <c r="U265" s="6" t="s">
        <v>23</v>
      </c>
      <c r="V265" s="6" t="s">
        <v>24</v>
      </c>
      <c r="W265" s="6" t="s">
        <v>25</v>
      </c>
      <c r="X265" s="6" t="s">
        <v>26</v>
      </c>
      <c r="Y265" s="6" t="s">
        <v>27</v>
      </c>
      <c r="Z265" s="6" t="s">
        <v>28</v>
      </c>
      <c r="AA265" s="6" t="s">
        <v>29</v>
      </c>
      <c r="AB265" s="6" t="s">
        <v>31</v>
      </c>
      <c r="AC265" s="6" t="s">
        <v>18</v>
      </c>
      <c r="AD265" s="6" t="s">
        <v>19</v>
      </c>
      <c r="AE265" s="6" t="s">
        <v>20</v>
      </c>
      <c r="AF265" s="6" t="s">
        <v>21</v>
      </c>
      <c r="AG265" s="6" t="s">
        <v>22</v>
      </c>
      <c r="AH265" s="6" t="s">
        <v>23</v>
      </c>
      <c r="AI265" s="6" t="s">
        <v>24</v>
      </c>
      <c r="AJ265" s="6" t="s">
        <v>25</v>
      </c>
      <c r="AK265" s="6" t="s">
        <v>26</v>
      </c>
      <c r="AL265" s="6" t="s">
        <v>27</v>
      </c>
      <c r="AM265" s="6" t="s">
        <v>28</v>
      </c>
      <c r="AN265" s="6" t="s">
        <v>29</v>
      </c>
      <c r="AO265" s="6" t="s">
        <v>32</v>
      </c>
      <c r="AP265" s="6" t="s">
        <v>18</v>
      </c>
      <c r="AQ265" s="6" t="s">
        <v>19</v>
      </c>
      <c r="AR265" s="6" t="s">
        <v>20</v>
      </c>
      <c r="AS265" s="6" t="s">
        <v>21</v>
      </c>
      <c r="AT265" s="6" t="s">
        <v>22</v>
      </c>
      <c r="AU265" s="6" t="s">
        <v>23</v>
      </c>
      <c r="AV265" s="6" t="s">
        <v>24</v>
      </c>
      <c r="AW265" s="6" t="s">
        <v>25</v>
      </c>
      <c r="AX265" s="6" t="s">
        <v>26</v>
      </c>
      <c r="AY265" s="6" t="s">
        <v>27</v>
      </c>
      <c r="AZ265" s="6" t="s">
        <v>28</v>
      </c>
      <c r="BA265" s="6" t="s">
        <v>29</v>
      </c>
      <c r="BB265" s="6" t="s">
        <v>33</v>
      </c>
      <c r="BC265" s="6" t="s">
        <v>18</v>
      </c>
      <c r="BD265" s="6" t="s">
        <v>19</v>
      </c>
      <c r="BE265" s="6" t="s">
        <v>20</v>
      </c>
      <c r="BF265" s="6" t="s">
        <v>21</v>
      </c>
      <c r="BG265" s="6" t="s">
        <v>22</v>
      </c>
      <c r="BH265" s="6" t="s">
        <v>23</v>
      </c>
      <c r="BI265" s="6" t="s">
        <v>24</v>
      </c>
      <c r="BJ265" s="6" t="s">
        <v>25</v>
      </c>
      <c r="BK265" s="6" t="s">
        <v>26</v>
      </c>
      <c r="BL265" s="6" t="s">
        <v>27</v>
      </c>
      <c r="BM265" s="6" t="s">
        <v>28</v>
      </c>
      <c r="BN265" s="6" t="s">
        <v>29</v>
      </c>
      <c r="BO265" s="6" t="s">
        <v>34</v>
      </c>
      <c r="BP265" s="6" t="s">
        <v>18</v>
      </c>
      <c r="BQ265" s="6" t="s">
        <v>19</v>
      </c>
      <c r="BR265" s="6" t="s">
        <v>20</v>
      </c>
      <c r="BS265" s="6" t="s">
        <v>21</v>
      </c>
      <c r="BT265" s="6" t="s">
        <v>22</v>
      </c>
      <c r="BU265" s="6" t="s">
        <v>23</v>
      </c>
      <c r="BV265" s="6" t="s">
        <v>24</v>
      </c>
      <c r="BW265" s="6" t="s">
        <v>25</v>
      </c>
      <c r="BX265" s="6" t="s">
        <v>26</v>
      </c>
      <c r="BY265" s="6" t="s">
        <v>27</v>
      </c>
      <c r="BZ265" s="6" t="s">
        <v>28</v>
      </c>
      <c r="CA265" s="6" t="s">
        <v>29</v>
      </c>
      <c r="CB265" s="6" t="s">
        <v>35</v>
      </c>
      <c r="CC265" s="6" t="s">
        <v>18</v>
      </c>
      <c r="CD265" s="6" t="s">
        <v>19</v>
      </c>
      <c r="CE265" s="6" t="s">
        <v>20</v>
      </c>
      <c r="CF265" s="6" t="s">
        <v>21</v>
      </c>
      <c r="CG265" s="6" t="s">
        <v>22</v>
      </c>
      <c r="CH265" s="6" t="s">
        <v>23</v>
      </c>
      <c r="CI265" s="6" t="s">
        <v>24</v>
      </c>
      <c r="CJ265" s="6" t="s">
        <v>25</v>
      </c>
      <c r="CK265" s="6" t="s">
        <v>26</v>
      </c>
      <c r="CL265" s="6" t="s">
        <v>27</v>
      </c>
      <c r="CM265" s="6" t="s">
        <v>28</v>
      </c>
      <c r="CN265" s="6" t="s">
        <v>29</v>
      </c>
      <c r="CO265" s="6" t="s">
        <v>36</v>
      </c>
      <c r="CP265" s="6" t="s">
        <v>18</v>
      </c>
      <c r="CQ265" s="6" t="s">
        <v>19</v>
      </c>
      <c r="CR265" s="6" t="s">
        <v>20</v>
      </c>
      <c r="CS265" s="6" t="s">
        <v>21</v>
      </c>
      <c r="CT265" s="6" t="s">
        <v>22</v>
      </c>
      <c r="CU265" s="6" t="s">
        <v>23</v>
      </c>
      <c r="CV265" s="6" t="s">
        <v>24</v>
      </c>
      <c r="CW265" s="6" t="s">
        <v>25</v>
      </c>
      <c r="CX265" s="6" t="s">
        <v>26</v>
      </c>
      <c r="CY265" s="6" t="s">
        <v>27</v>
      </c>
      <c r="CZ265" s="6" t="s">
        <v>28</v>
      </c>
      <c r="DA265" s="6" t="s">
        <v>29</v>
      </c>
      <c r="DB265" s="6" t="s">
        <v>37</v>
      </c>
      <c r="DC265" s="6" t="s">
        <v>18</v>
      </c>
      <c r="DD265" s="6" t="s">
        <v>19</v>
      </c>
      <c r="DE265" s="6" t="s">
        <v>20</v>
      </c>
      <c r="DF265" s="6" t="s">
        <v>21</v>
      </c>
      <c r="DG265" s="6" t="s">
        <v>22</v>
      </c>
      <c r="DH265" s="6" t="s">
        <v>23</v>
      </c>
      <c r="DI265" s="6" t="s">
        <v>24</v>
      </c>
      <c r="DJ265" s="6" t="s">
        <v>25</v>
      </c>
      <c r="DK265" s="6" t="s">
        <v>26</v>
      </c>
      <c r="DL265" s="6" t="s">
        <v>27</v>
      </c>
      <c r="DM265" s="6" t="s">
        <v>28</v>
      </c>
      <c r="DN265" s="6" t="s">
        <v>29</v>
      </c>
      <c r="DO265" s="6" t="s">
        <v>38</v>
      </c>
      <c r="DP265" s="6" t="s">
        <v>18</v>
      </c>
      <c r="DQ265" s="6" t="s">
        <v>19</v>
      </c>
      <c r="DR265" s="6" t="s">
        <v>20</v>
      </c>
      <c r="DS265" s="6" t="s">
        <v>21</v>
      </c>
      <c r="DT265" s="6" t="s">
        <v>22</v>
      </c>
      <c r="DU265" s="6" t="s">
        <v>23</v>
      </c>
      <c r="DV265" s="6" t="s">
        <v>24</v>
      </c>
      <c r="DW265" s="6" t="s">
        <v>25</v>
      </c>
      <c r="DX265" s="6" t="s">
        <v>26</v>
      </c>
      <c r="DY265" s="6" t="s">
        <v>27</v>
      </c>
      <c r="DZ265" s="6" t="s">
        <v>28</v>
      </c>
      <c r="EA265" s="6" t="s">
        <v>29</v>
      </c>
      <c r="EB265" s="6" t="s">
        <v>39</v>
      </c>
      <c r="EC265" s="6" t="s">
        <v>18</v>
      </c>
      <c r="ED265" s="6" t="s">
        <v>19</v>
      </c>
      <c r="EE265" s="6" t="s">
        <v>20</v>
      </c>
      <c r="EF265" s="6" t="s">
        <v>21</v>
      </c>
      <c r="EG265" s="6" t="s">
        <v>22</v>
      </c>
      <c r="EH265" s="6" t="s">
        <v>23</v>
      </c>
      <c r="EI265" s="6" t="s">
        <v>24</v>
      </c>
      <c r="EJ265" s="6" t="s">
        <v>25</v>
      </c>
      <c r="EK265" s="6" t="s">
        <v>26</v>
      </c>
      <c r="EL265" s="6" t="s">
        <v>27</v>
      </c>
      <c r="EM265" s="6" t="s">
        <v>28</v>
      </c>
      <c r="EN265" s="6" t="s">
        <v>29</v>
      </c>
      <c r="EO265" s="6" t="s">
        <v>40</v>
      </c>
      <c r="EP265" s="6" t="s">
        <v>18</v>
      </c>
      <c r="EQ265" s="6" t="s">
        <v>19</v>
      </c>
      <c r="ER265" s="6" t="s">
        <v>20</v>
      </c>
      <c r="ES265" s="6" t="s">
        <v>21</v>
      </c>
      <c r="ET265" s="6" t="s">
        <v>22</v>
      </c>
      <c r="EU265" s="6" t="s">
        <v>23</v>
      </c>
      <c r="EV265" s="6" t="s">
        <v>24</v>
      </c>
      <c r="EW265" s="6" t="s">
        <v>25</v>
      </c>
      <c r="EX265" s="6" t="s">
        <v>26</v>
      </c>
      <c r="EY265" s="6" t="s">
        <v>27</v>
      </c>
      <c r="EZ265" s="6" t="s">
        <v>28</v>
      </c>
      <c r="FA265" s="6" t="s">
        <v>29</v>
      </c>
      <c r="FB265" s="6" t="s">
        <v>41</v>
      </c>
      <c r="FC265" s="6" t="s">
        <v>18</v>
      </c>
      <c r="FD265" s="6" t="s">
        <v>19</v>
      </c>
      <c r="FE265" s="6" t="s">
        <v>20</v>
      </c>
      <c r="FF265" s="6" t="s">
        <v>21</v>
      </c>
      <c r="FG265" s="6" t="s">
        <v>22</v>
      </c>
      <c r="FH265" s="6" t="s">
        <v>23</v>
      </c>
      <c r="FI265" s="6" t="s">
        <v>24</v>
      </c>
      <c r="FJ265" s="6" t="s">
        <v>25</v>
      </c>
      <c r="FK265" s="6" t="s">
        <v>26</v>
      </c>
      <c r="FL265" s="6" t="s">
        <v>27</v>
      </c>
      <c r="FM265" s="6" t="s">
        <v>28</v>
      </c>
      <c r="FN265" s="6" t="s">
        <v>29</v>
      </c>
      <c r="FO265" s="6" t="s">
        <v>42</v>
      </c>
    </row>
    <row r="266" spans="2:171" ht="14.25" customHeight="1" x14ac:dyDescent="0.3">
      <c r="B266" s="7" t="s">
        <v>43</v>
      </c>
      <c r="C266" s="8">
        <v>0</v>
      </c>
      <c r="D266" s="8">
        <v>0</v>
      </c>
      <c r="E266" s="8">
        <v>0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9">
        <f t="shared" ref="O266:O297" si="133">N266</f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9">
        <f t="shared" ref="AB266:AB297" si="134">AA266</f>
        <v>0</v>
      </c>
      <c r="AC266" s="8">
        <v>0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  <c r="AK266" s="8">
        <v>0</v>
      </c>
      <c r="AL266" s="8">
        <v>0</v>
      </c>
      <c r="AM266" s="8">
        <v>0</v>
      </c>
      <c r="AN266" s="8">
        <v>0</v>
      </c>
      <c r="AO266" s="9">
        <f t="shared" ref="AO266:AO297" si="135">AN266</f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0</v>
      </c>
      <c r="AU266" s="8">
        <v>0</v>
      </c>
      <c r="AV266" s="8">
        <v>0</v>
      </c>
      <c r="AW266" s="8">
        <v>0</v>
      </c>
      <c r="AX266" s="8">
        <v>0</v>
      </c>
      <c r="AY266" s="8">
        <v>0</v>
      </c>
      <c r="AZ266" s="8">
        <v>0</v>
      </c>
      <c r="BA266" s="8">
        <v>0</v>
      </c>
      <c r="BB266" s="9">
        <f t="shared" ref="BB266:BB297" si="136">BA266</f>
        <v>0</v>
      </c>
      <c r="BC266" s="8">
        <v>0</v>
      </c>
      <c r="BD266" s="8">
        <v>0</v>
      </c>
      <c r="BE266" s="8">
        <v>0</v>
      </c>
      <c r="BF266" s="8">
        <v>0</v>
      </c>
      <c r="BG266" s="8">
        <v>0</v>
      </c>
      <c r="BH266" s="8">
        <v>0</v>
      </c>
      <c r="BI266" s="8">
        <v>0</v>
      </c>
      <c r="BJ266" s="8">
        <v>0</v>
      </c>
      <c r="BK266" s="8">
        <v>0</v>
      </c>
      <c r="BL266" s="8">
        <v>0</v>
      </c>
      <c r="BM266" s="8">
        <v>0</v>
      </c>
      <c r="BN266" s="8">
        <v>0</v>
      </c>
      <c r="BO266" s="9">
        <f t="shared" ref="BO266:BO297" si="137">BN266</f>
        <v>0</v>
      </c>
      <c r="BP266" s="8">
        <v>0</v>
      </c>
      <c r="BQ266" s="8">
        <v>0</v>
      </c>
      <c r="BR266" s="8">
        <v>0</v>
      </c>
      <c r="BS266" s="8">
        <v>0</v>
      </c>
      <c r="BT266" s="8">
        <v>0</v>
      </c>
      <c r="BU266" s="8">
        <v>0</v>
      </c>
      <c r="BV266" s="8">
        <v>0</v>
      </c>
      <c r="BW266" s="8">
        <v>0</v>
      </c>
      <c r="BX266" s="8">
        <v>0</v>
      </c>
      <c r="BY266" s="8">
        <v>0</v>
      </c>
      <c r="BZ266" s="8">
        <v>0</v>
      </c>
      <c r="CA266" s="8">
        <v>0</v>
      </c>
      <c r="CB266" s="9">
        <f t="shared" ref="CB266:CB297" si="138">CA266</f>
        <v>0</v>
      </c>
      <c r="CC266" s="8">
        <v>0</v>
      </c>
      <c r="CD266" s="8">
        <v>0</v>
      </c>
      <c r="CE266" s="8">
        <v>0</v>
      </c>
      <c r="CF266" s="8">
        <v>0</v>
      </c>
      <c r="CG266" s="8">
        <v>0</v>
      </c>
      <c r="CH266" s="8">
        <v>0</v>
      </c>
      <c r="CI266" s="8">
        <v>0</v>
      </c>
      <c r="CJ266" s="8">
        <v>0</v>
      </c>
      <c r="CK266" s="8">
        <v>0</v>
      </c>
      <c r="CL266" s="8">
        <v>0</v>
      </c>
      <c r="CM266" s="8">
        <v>0</v>
      </c>
      <c r="CN266" s="8">
        <v>0</v>
      </c>
      <c r="CO266" s="9">
        <f t="shared" ref="CO266:CO297" si="139">CN266</f>
        <v>0</v>
      </c>
      <c r="CP266" s="8">
        <v>0</v>
      </c>
      <c r="CQ266" s="8">
        <v>0</v>
      </c>
      <c r="CR266" s="8">
        <v>0</v>
      </c>
      <c r="CS266" s="8">
        <v>0</v>
      </c>
      <c r="CT266" s="8">
        <v>0</v>
      </c>
      <c r="CU266" s="8">
        <v>0</v>
      </c>
      <c r="CV266" s="8">
        <v>0</v>
      </c>
      <c r="CW266" s="8">
        <v>0</v>
      </c>
      <c r="CX266" s="8">
        <v>0</v>
      </c>
      <c r="CY266" s="8">
        <v>0</v>
      </c>
      <c r="CZ266" s="8">
        <v>0</v>
      </c>
      <c r="DA266" s="8">
        <v>0</v>
      </c>
      <c r="DB266" s="9">
        <f t="shared" ref="DB266:DB297" si="140">DA266</f>
        <v>0</v>
      </c>
      <c r="DC266" s="8">
        <v>0</v>
      </c>
      <c r="DD266" s="8">
        <v>0</v>
      </c>
      <c r="DE266" s="8">
        <v>0</v>
      </c>
      <c r="DF266" s="8">
        <v>0</v>
      </c>
      <c r="DG266" s="8">
        <v>0</v>
      </c>
      <c r="DH266" s="8">
        <v>0</v>
      </c>
      <c r="DI266" s="8">
        <v>0</v>
      </c>
      <c r="DJ266" s="8">
        <v>0</v>
      </c>
      <c r="DK266" s="8">
        <v>0</v>
      </c>
      <c r="DL266" s="8">
        <v>0</v>
      </c>
      <c r="DM266" s="8">
        <v>0</v>
      </c>
      <c r="DN266" s="8">
        <v>0</v>
      </c>
      <c r="DO266" s="9">
        <f t="shared" ref="DO266:DO297" si="141">DN266</f>
        <v>0</v>
      </c>
      <c r="DP266" s="8">
        <v>0</v>
      </c>
      <c r="DQ266" s="8">
        <v>0</v>
      </c>
      <c r="DR266" s="8">
        <v>0</v>
      </c>
      <c r="DS266" s="8">
        <v>0</v>
      </c>
      <c r="DT266" s="8">
        <v>0</v>
      </c>
      <c r="DU266" s="8">
        <v>0</v>
      </c>
      <c r="DV266" s="8">
        <v>0</v>
      </c>
      <c r="DW266" s="8">
        <v>0</v>
      </c>
      <c r="DX266" s="8">
        <v>0</v>
      </c>
      <c r="DY266" s="8">
        <v>0</v>
      </c>
      <c r="DZ266" s="8">
        <v>0</v>
      </c>
      <c r="EA266" s="8">
        <v>0</v>
      </c>
      <c r="EB266" s="9">
        <f t="shared" ref="EB266:EB297" si="142">EA266</f>
        <v>0</v>
      </c>
      <c r="EC266" s="8">
        <v>0</v>
      </c>
      <c r="ED266" s="8">
        <v>0</v>
      </c>
      <c r="EE266" s="8">
        <v>0</v>
      </c>
      <c r="EF266" s="8">
        <v>0</v>
      </c>
      <c r="EG266" s="8">
        <v>0</v>
      </c>
      <c r="EH266" s="8">
        <v>0</v>
      </c>
      <c r="EI266" s="8">
        <v>0</v>
      </c>
      <c r="EJ266" s="8">
        <v>0</v>
      </c>
      <c r="EK266" s="8">
        <v>0</v>
      </c>
      <c r="EL266" s="8">
        <v>0</v>
      </c>
      <c r="EM266" s="8">
        <v>0</v>
      </c>
      <c r="EN266" s="8">
        <v>0</v>
      </c>
      <c r="EO266" s="9">
        <f t="shared" ref="EO266:EO297" si="143">EN266</f>
        <v>0</v>
      </c>
      <c r="EP266" s="8">
        <v>0</v>
      </c>
      <c r="EQ266" s="8">
        <v>0</v>
      </c>
      <c r="ER266" s="8">
        <v>0</v>
      </c>
      <c r="ES266" s="8">
        <v>0</v>
      </c>
      <c r="ET266" s="8">
        <v>0</v>
      </c>
      <c r="EU266" s="8">
        <v>0</v>
      </c>
      <c r="EV266" s="8">
        <v>0</v>
      </c>
      <c r="EW266" s="8">
        <v>0</v>
      </c>
      <c r="EX266" s="8">
        <v>0</v>
      </c>
      <c r="EY266" s="8">
        <v>0</v>
      </c>
      <c r="EZ266" s="8">
        <v>0</v>
      </c>
      <c r="FA266" s="8">
        <v>0</v>
      </c>
      <c r="FB266" s="9">
        <f t="shared" ref="FB266:FB297" si="144">FA266</f>
        <v>0</v>
      </c>
      <c r="FC266" s="8">
        <v>0</v>
      </c>
      <c r="FD266" s="8">
        <v>0</v>
      </c>
      <c r="FE266" s="8">
        <v>0</v>
      </c>
      <c r="FF266" s="8">
        <v>0</v>
      </c>
      <c r="FG266" s="8">
        <v>0</v>
      </c>
      <c r="FH266" s="8">
        <v>0</v>
      </c>
      <c r="FI266" s="8">
        <v>0</v>
      </c>
      <c r="FJ266" s="8"/>
      <c r="FK266" s="8"/>
      <c r="FL266" s="8"/>
      <c r="FM266" s="8"/>
      <c r="FN266" s="8"/>
      <c r="FO266" s="9">
        <f t="shared" ref="FO266:FO297" si="145">FI266</f>
        <v>0</v>
      </c>
    </row>
    <row r="267" spans="2:171" ht="14.25" customHeight="1" x14ac:dyDescent="0.3">
      <c r="B267" s="7" t="s">
        <v>44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61000</v>
      </c>
      <c r="I267" s="8">
        <v>61000</v>
      </c>
      <c r="J267" s="8">
        <v>61000</v>
      </c>
      <c r="K267" s="8">
        <v>61000</v>
      </c>
      <c r="L267" s="8">
        <v>61000</v>
      </c>
      <c r="M267" s="8">
        <v>61000</v>
      </c>
      <c r="N267" s="8">
        <v>997690</v>
      </c>
      <c r="O267" s="9">
        <f t="shared" si="133"/>
        <v>997690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9">
        <f t="shared" si="134"/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9">
        <f t="shared" si="135"/>
        <v>0</v>
      </c>
      <c r="AP267" s="8">
        <v>0</v>
      </c>
      <c r="AQ267" s="8">
        <v>0</v>
      </c>
      <c r="AR267" s="8">
        <v>0</v>
      </c>
      <c r="AS267" s="8">
        <v>0</v>
      </c>
      <c r="AT267" s="8">
        <v>0</v>
      </c>
      <c r="AU267" s="8">
        <v>0</v>
      </c>
      <c r="AV267" s="8">
        <v>0</v>
      </c>
      <c r="AW267" s="8">
        <v>0</v>
      </c>
      <c r="AX267" s="8">
        <v>0</v>
      </c>
      <c r="AY267" s="8">
        <v>0</v>
      </c>
      <c r="AZ267" s="8">
        <v>0</v>
      </c>
      <c r="BA267" s="8">
        <v>0</v>
      </c>
      <c r="BB267" s="9">
        <f t="shared" si="136"/>
        <v>0</v>
      </c>
      <c r="BC267" s="8">
        <v>0</v>
      </c>
      <c r="BD267" s="8">
        <v>0</v>
      </c>
      <c r="BE267" s="8">
        <v>0</v>
      </c>
      <c r="BF267" s="8">
        <v>0</v>
      </c>
      <c r="BG267" s="8">
        <v>0</v>
      </c>
      <c r="BH267" s="8">
        <v>0</v>
      </c>
      <c r="BI267" s="8">
        <v>0</v>
      </c>
      <c r="BJ267" s="8">
        <v>312000</v>
      </c>
      <c r="BK267" s="8">
        <v>312000</v>
      </c>
      <c r="BL267" s="8">
        <v>533896</v>
      </c>
      <c r="BM267" s="8">
        <v>533896</v>
      </c>
      <c r="BN267" s="8">
        <v>533896</v>
      </c>
      <c r="BO267" s="9">
        <f t="shared" si="137"/>
        <v>533896</v>
      </c>
      <c r="BP267" s="8">
        <v>0</v>
      </c>
      <c r="BQ267" s="8">
        <v>0</v>
      </c>
      <c r="BR267" s="8">
        <v>0</v>
      </c>
      <c r="BS267" s="8">
        <v>0</v>
      </c>
      <c r="BT267" s="8">
        <v>0</v>
      </c>
      <c r="BU267" s="8">
        <v>0</v>
      </c>
      <c r="BV267" s="8">
        <v>393117</v>
      </c>
      <c r="BW267" s="8">
        <v>544110</v>
      </c>
      <c r="BX267" s="8">
        <v>544110</v>
      </c>
      <c r="BY267" s="8">
        <v>544110</v>
      </c>
      <c r="BZ267" s="8">
        <v>544110</v>
      </c>
      <c r="CA267" s="8">
        <v>544110</v>
      </c>
      <c r="CB267" s="9">
        <f t="shared" si="138"/>
        <v>544110</v>
      </c>
      <c r="CC267" s="8">
        <v>0</v>
      </c>
      <c r="CD267" s="8">
        <v>0</v>
      </c>
      <c r="CE267" s="8">
        <v>0</v>
      </c>
      <c r="CF267" s="8">
        <v>0</v>
      </c>
      <c r="CG267" s="8">
        <v>0</v>
      </c>
      <c r="CH267" s="8">
        <v>0</v>
      </c>
      <c r="CI267" s="8">
        <v>0</v>
      </c>
      <c r="CJ267" s="8">
        <v>0</v>
      </c>
      <c r="CK267" s="8">
        <v>248325</v>
      </c>
      <c r="CL267" s="8">
        <v>248325</v>
      </c>
      <c r="CM267" s="8">
        <v>370303</v>
      </c>
      <c r="CN267" s="8">
        <v>370303</v>
      </c>
      <c r="CO267" s="9">
        <f t="shared" si="139"/>
        <v>370303</v>
      </c>
      <c r="CP267" s="8">
        <v>0</v>
      </c>
      <c r="CQ267" s="8">
        <v>0</v>
      </c>
      <c r="CR267" s="8">
        <v>0</v>
      </c>
      <c r="CS267" s="8">
        <v>0</v>
      </c>
      <c r="CT267" s="8">
        <v>0</v>
      </c>
      <c r="CU267" s="8">
        <v>150250</v>
      </c>
      <c r="CV267" s="8">
        <v>150250</v>
      </c>
      <c r="CW267" s="8">
        <v>583960</v>
      </c>
      <c r="CX267" s="8">
        <v>583960</v>
      </c>
      <c r="CY267" s="8">
        <v>583960</v>
      </c>
      <c r="CZ267" s="8">
        <v>583960</v>
      </c>
      <c r="DA267" s="8">
        <v>583960</v>
      </c>
      <c r="DB267" s="9">
        <f t="shared" si="140"/>
        <v>583960</v>
      </c>
      <c r="DC267" s="8">
        <v>0</v>
      </c>
      <c r="DD267" s="8">
        <v>0</v>
      </c>
      <c r="DE267" s="8">
        <v>0</v>
      </c>
      <c r="DF267" s="8">
        <v>0</v>
      </c>
      <c r="DG267" s="8">
        <v>0</v>
      </c>
      <c r="DH267" s="8">
        <v>0</v>
      </c>
      <c r="DI267" s="8">
        <v>384245</v>
      </c>
      <c r="DJ267" s="8">
        <v>384245</v>
      </c>
      <c r="DK267" s="8">
        <v>384245</v>
      </c>
      <c r="DL267" s="8">
        <v>384245</v>
      </c>
      <c r="DM267" s="8">
        <v>384245</v>
      </c>
      <c r="DN267" s="8">
        <v>384245</v>
      </c>
      <c r="DO267" s="9">
        <f t="shared" si="141"/>
        <v>384245</v>
      </c>
      <c r="DP267" s="8">
        <v>0</v>
      </c>
      <c r="DQ267" s="8">
        <v>0</v>
      </c>
      <c r="DR267" s="8">
        <v>0</v>
      </c>
      <c r="DS267" s="8">
        <v>0</v>
      </c>
      <c r="DT267" s="8">
        <v>0</v>
      </c>
      <c r="DU267" s="8">
        <v>0</v>
      </c>
      <c r="DV267" s="8">
        <v>546637</v>
      </c>
      <c r="DW267" s="8">
        <v>546637</v>
      </c>
      <c r="DX267" s="8">
        <v>546637</v>
      </c>
      <c r="DY267" s="8">
        <v>546637</v>
      </c>
      <c r="DZ267" s="8">
        <v>546637</v>
      </c>
      <c r="EA267" s="8">
        <v>546637</v>
      </c>
      <c r="EB267" s="9">
        <f t="shared" si="142"/>
        <v>546637</v>
      </c>
      <c r="EC267" s="8">
        <v>0</v>
      </c>
      <c r="ED267" s="8">
        <v>0</v>
      </c>
      <c r="EE267" s="8">
        <v>0</v>
      </c>
      <c r="EF267" s="8">
        <v>0</v>
      </c>
      <c r="EG267" s="8">
        <v>0</v>
      </c>
      <c r="EH267" s="8">
        <v>0</v>
      </c>
      <c r="EI267" s="8">
        <v>0</v>
      </c>
      <c r="EJ267" s="8">
        <v>0</v>
      </c>
      <c r="EK267" s="8">
        <v>0</v>
      </c>
      <c r="EL267" s="8">
        <v>567665</v>
      </c>
      <c r="EM267" s="8">
        <v>567665</v>
      </c>
      <c r="EN267" s="8">
        <v>567665</v>
      </c>
      <c r="EO267" s="9">
        <f t="shared" si="143"/>
        <v>567665</v>
      </c>
      <c r="EP267" s="8">
        <v>0</v>
      </c>
      <c r="EQ267" s="8">
        <v>0</v>
      </c>
      <c r="ER267" s="8">
        <v>0</v>
      </c>
      <c r="ES267" s="8">
        <v>0</v>
      </c>
      <c r="ET267" s="8">
        <v>457257</v>
      </c>
      <c r="EU267" s="8">
        <v>457257</v>
      </c>
      <c r="EV267" s="8">
        <v>457257</v>
      </c>
      <c r="EW267" s="8">
        <v>457257</v>
      </c>
      <c r="EX267" s="8">
        <v>457257</v>
      </c>
      <c r="EY267" s="8">
        <v>457257</v>
      </c>
      <c r="EZ267" s="8">
        <v>457257</v>
      </c>
      <c r="FA267" s="8">
        <v>512001</v>
      </c>
      <c r="FB267" s="9">
        <f t="shared" si="144"/>
        <v>512001</v>
      </c>
      <c r="FC267" s="8">
        <v>0</v>
      </c>
      <c r="FD267" s="8">
        <v>0</v>
      </c>
      <c r="FE267" s="8">
        <v>0</v>
      </c>
      <c r="FF267" s="8">
        <v>0</v>
      </c>
      <c r="FG267" s="8">
        <v>0</v>
      </c>
      <c r="FH267" s="8">
        <v>0</v>
      </c>
      <c r="FI267" s="8">
        <v>0</v>
      </c>
      <c r="FJ267" s="8"/>
      <c r="FK267" s="8"/>
      <c r="FL267" s="8"/>
      <c r="FM267" s="8"/>
      <c r="FN267" s="8"/>
      <c r="FO267" s="9">
        <f t="shared" si="145"/>
        <v>0</v>
      </c>
    </row>
    <row r="268" spans="2:171" ht="14.25" customHeight="1" x14ac:dyDescent="0.3">
      <c r="B268" s="7" t="s">
        <v>45</v>
      </c>
      <c r="C268" s="8">
        <v>32803327</v>
      </c>
      <c r="D268" s="8">
        <v>156480234</v>
      </c>
      <c r="E268" s="8">
        <v>275386203</v>
      </c>
      <c r="F268" s="8">
        <v>275386203</v>
      </c>
      <c r="G268" s="8">
        <v>275386203</v>
      </c>
      <c r="H268" s="8">
        <v>268885812</v>
      </c>
      <c r="I268" s="8">
        <v>269163597</v>
      </c>
      <c r="J268" s="8">
        <v>271888876</v>
      </c>
      <c r="K268" s="8">
        <v>308999816</v>
      </c>
      <c r="L268" s="8">
        <v>309053534</v>
      </c>
      <c r="M268" s="8">
        <v>296097535</v>
      </c>
      <c r="N268" s="8">
        <v>308131077</v>
      </c>
      <c r="O268" s="9">
        <f t="shared" si="133"/>
        <v>308131077</v>
      </c>
      <c r="P268" s="8">
        <v>42185514</v>
      </c>
      <c r="Q268" s="8">
        <v>209195340</v>
      </c>
      <c r="R268" s="8">
        <v>414583928</v>
      </c>
      <c r="S268" s="8">
        <v>443411563</v>
      </c>
      <c r="T268" s="8">
        <v>447563652</v>
      </c>
      <c r="U268" s="8">
        <v>459128804</v>
      </c>
      <c r="V268" s="8">
        <v>486736299</v>
      </c>
      <c r="W268" s="8">
        <v>486311576</v>
      </c>
      <c r="X268" s="8">
        <v>493630009</v>
      </c>
      <c r="Y268" s="8">
        <v>507682446</v>
      </c>
      <c r="Z268" s="8">
        <v>513114244</v>
      </c>
      <c r="AA268" s="8">
        <v>525724153</v>
      </c>
      <c r="AB268" s="9">
        <f t="shared" si="134"/>
        <v>525724153</v>
      </c>
      <c r="AC268" s="8">
        <v>51285250</v>
      </c>
      <c r="AD268" s="8">
        <v>313350974</v>
      </c>
      <c r="AE268" s="8">
        <v>336708406</v>
      </c>
      <c r="AF268" s="8">
        <v>438589782</v>
      </c>
      <c r="AG268" s="8">
        <v>495962370</v>
      </c>
      <c r="AH268" s="8">
        <v>500668313</v>
      </c>
      <c r="AI268" s="8">
        <v>521079710</v>
      </c>
      <c r="AJ268" s="8">
        <v>536631110</v>
      </c>
      <c r="AK268" s="8">
        <v>539719167</v>
      </c>
      <c r="AL268" s="8">
        <v>532753343</v>
      </c>
      <c r="AM268" s="8">
        <v>525751660</v>
      </c>
      <c r="AN268" s="8">
        <v>507011255</v>
      </c>
      <c r="AO268" s="9">
        <f t="shared" si="135"/>
        <v>507011255</v>
      </c>
      <c r="AP268" s="8">
        <v>62616729</v>
      </c>
      <c r="AQ268" s="8">
        <v>245233007</v>
      </c>
      <c r="AR268" s="8">
        <v>352237999</v>
      </c>
      <c r="AS268" s="8">
        <v>357052099</v>
      </c>
      <c r="AT268" s="8">
        <v>365719781</v>
      </c>
      <c r="AU268" s="8">
        <v>390364271</v>
      </c>
      <c r="AV268" s="8">
        <v>396236310</v>
      </c>
      <c r="AW268" s="8">
        <v>398922000</v>
      </c>
      <c r="AX268" s="8">
        <v>394343146</v>
      </c>
      <c r="AY268" s="8">
        <v>399774136</v>
      </c>
      <c r="AZ268" s="8">
        <v>399774136</v>
      </c>
      <c r="BA268" s="8">
        <v>392637493</v>
      </c>
      <c r="BB268" s="9">
        <f t="shared" si="136"/>
        <v>392637493</v>
      </c>
      <c r="BC268" s="8">
        <v>77266026</v>
      </c>
      <c r="BD268" s="8">
        <v>77266026</v>
      </c>
      <c r="BE268" s="8">
        <v>201665409</v>
      </c>
      <c r="BF268" s="8">
        <v>352364892</v>
      </c>
      <c r="BG268" s="8">
        <v>442966328</v>
      </c>
      <c r="BH268" s="8">
        <v>489532526</v>
      </c>
      <c r="BI268" s="8">
        <v>489536787</v>
      </c>
      <c r="BJ268" s="8">
        <v>505645378</v>
      </c>
      <c r="BK268" s="8">
        <v>522479108</v>
      </c>
      <c r="BL268" s="8">
        <v>511471803</v>
      </c>
      <c r="BM268" s="8">
        <v>511765473</v>
      </c>
      <c r="BN268" s="8">
        <v>474991136</v>
      </c>
      <c r="BO268" s="9">
        <f t="shared" si="137"/>
        <v>474991136</v>
      </c>
      <c r="BP268" s="8">
        <v>115343477</v>
      </c>
      <c r="BQ268" s="8">
        <v>149938714</v>
      </c>
      <c r="BR268" s="8">
        <v>536723356</v>
      </c>
      <c r="BS268" s="8">
        <v>590762352</v>
      </c>
      <c r="BT268" s="8">
        <v>612383431</v>
      </c>
      <c r="BU268" s="8">
        <v>686074737</v>
      </c>
      <c r="BV268" s="8">
        <v>760658622</v>
      </c>
      <c r="BW268" s="8">
        <v>836817482</v>
      </c>
      <c r="BX268" s="8">
        <v>837686016</v>
      </c>
      <c r="BY268" s="8">
        <v>837686016</v>
      </c>
      <c r="BZ268" s="8">
        <v>875381451</v>
      </c>
      <c r="CA268" s="8">
        <v>805216929</v>
      </c>
      <c r="CB268" s="9">
        <f t="shared" si="138"/>
        <v>805216929</v>
      </c>
      <c r="CC268" s="8">
        <v>115111563</v>
      </c>
      <c r="CD268" s="8">
        <v>275216607</v>
      </c>
      <c r="CE268" s="8">
        <v>766760945</v>
      </c>
      <c r="CF268" s="8">
        <v>778623579</v>
      </c>
      <c r="CG268" s="8">
        <v>793907987</v>
      </c>
      <c r="CH268" s="8">
        <v>816578106</v>
      </c>
      <c r="CI268" s="8">
        <v>817881523</v>
      </c>
      <c r="CJ268" s="8">
        <v>804633087</v>
      </c>
      <c r="CK268" s="8">
        <v>822907334</v>
      </c>
      <c r="CL268" s="8">
        <v>822009338</v>
      </c>
      <c r="CM268" s="8">
        <v>782231281</v>
      </c>
      <c r="CN268" s="8">
        <v>675649934</v>
      </c>
      <c r="CO268" s="9">
        <f t="shared" si="139"/>
        <v>675649934</v>
      </c>
      <c r="CP268" s="8">
        <v>128734182</v>
      </c>
      <c r="CQ268" s="8">
        <v>717574580</v>
      </c>
      <c r="CR268" s="8">
        <v>749219906</v>
      </c>
      <c r="CS268" s="8">
        <v>781272624</v>
      </c>
      <c r="CT268" s="8">
        <v>794949591</v>
      </c>
      <c r="CU268" s="8">
        <v>801957904</v>
      </c>
      <c r="CV268" s="8">
        <v>801489255</v>
      </c>
      <c r="CW268" s="8">
        <v>798087791</v>
      </c>
      <c r="CX268" s="8">
        <v>798194537</v>
      </c>
      <c r="CY268" s="8">
        <v>735096992</v>
      </c>
      <c r="CZ268" s="8">
        <v>729014752</v>
      </c>
      <c r="DA268" s="8">
        <v>557924898</v>
      </c>
      <c r="DB268" s="9">
        <f t="shared" si="140"/>
        <v>557924898</v>
      </c>
      <c r="DC268" s="8">
        <v>104484009</v>
      </c>
      <c r="DD268" s="8">
        <v>577041133</v>
      </c>
      <c r="DE268" s="8">
        <v>632298136</v>
      </c>
      <c r="DF268" s="8">
        <v>632298136</v>
      </c>
      <c r="DG268" s="8">
        <v>645048028</v>
      </c>
      <c r="DH268" s="8">
        <v>644136930</v>
      </c>
      <c r="DI268" s="8">
        <v>631953535</v>
      </c>
      <c r="DJ268" s="8">
        <v>653830923</v>
      </c>
      <c r="DK268" s="8">
        <v>591311684</v>
      </c>
      <c r="DL268" s="8">
        <v>659317007</v>
      </c>
      <c r="DM268" s="8">
        <v>646281582</v>
      </c>
      <c r="DN268" s="8">
        <v>531661090</v>
      </c>
      <c r="DO268" s="9">
        <f t="shared" si="141"/>
        <v>531661090</v>
      </c>
      <c r="DP268" s="8">
        <v>158759261</v>
      </c>
      <c r="DQ268" s="8">
        <v>591415124</v>
      </c>
      <c r="DR268" s="8">
        <v>604995452</v>
      </c>
      <c r="DS268" s="8">
        <v>625108994</v>
      </c>
      <c r="DT268" s="8">
        <v>642424976</v>
      </c>
      <c r="DU268" s="8">
        <v>651338136</v>
      </c>
      <c r="DV268" s="8">
        <v>727680006</v>
      </c>
      <c r="DW268" s="8">
        <v>776239221</v>
      </c>
      <c r="DX268" s="8">
        <v>778619221</v>
      </c>
      <c r="DY268" s="8">
        <v>804367907</v>
      </c>
      <c r="DZ268" s="8">
        <v>769833593</v>
      </c>
      <c r="EA268" s="8">
        <v>646000028</v>
      </c>
      <c r="EB268" s="9">
        <f t="shared" si="142"/>
        <v>646000028</v>
      </c>
      <c r="EC268" s="8">
        <v>234273812</v>
      </c>
      <c r="ED268" s="8">
        <v>792383282</v>
      </c>
      <c r="EE268" s="8">
        <v>864033112</v>
      </c>
      <c r="EF268" s="8">
        <v>939292489</v>
      </c>
      <c r="EG268" s="8">
        <v>953032035</v>
      </c>
      <c r="EH268" s="8">
        <v>949469754</v>
      </c>
      <c r="EI268" s="8">
        <v>952615904</v>
      </c>
      <c r="EJ268" s="8">
        <v>1033790923</v>
      </c>
      <c r="EK268" s="8">
        <v>1018210502</v>
      </c>
      <c r="EL268" s="8">
        <v>893229647</v>
      </c>
      <c r="EM268" s="8">
        <v>886504900</v>
      </c>
      <c r="EN268" s="8">
        <v>833776117</v>
      </c>
      <c r="EO268" s="9">
        <f t="shared" si="143"/>
        <v>833776117</v>
      </c>
      <c r="EP268" s="8">
        <v>317360596</v>
      </c>
      <c r="EQ268" s="8">
        <v>875953216</v>
      </c>
      <c r="ER268" s="8">
        <v>890547541</v>
      </c>
      <c r="ES268" s="8">
        <v>924918123</v>
      </c>
      <c r="ET268" s="8">
        <v>950915108</v>
      </c>
      <c r="EU268" s="8">
        <v>967848839</v>
      </c>
      <c r="EV268" s="8">
        <v>953079464</v>
      </c>
      <c r="EW268" s="8">
        <v>971214728</v>
      </c>
      <c r="EX268" s="8">
        <v>949634246</v>
      </c>
      <c r="EY268" s="8">
        <v>941292863</v>
      </c>
      <c r="EZ268" s="8">
        <v>933299827</v>
      </c>
      <c r="FA268" s="8">
        <v>900267158</v>
      </c>
      <c r="FB268" s="9">
        <f t="shared" si="144"/>
        <v>900267158</v>
      </c>
      <c r="FC268" s="8">
        <v>831376361</v>
      </c>
      <c r="FD268" s="8">
        <v>828407144</v>
      </c>
      <c r="FE268" s="8">
        <v>836170277</v>
      </c>
      <c r="FF268" s="8">
        <v>836170277</v>
      </c>
      <c r="FG268" s="8">
        <v>804033231</v>
      </c>
      <c r="FH268" s="8">
        <v>886721464</v>
      </c>
      <c r="FI268" s="8">
        <v>915223020</v>
      </c>
      <c r="FJ268" s="8"/>
      <c r="FK268" s="8"/>
      <c r="FL268" s="8"/>
      <c r="FM268" s="8"/>
      <c r="FN268" s="8"/>
      <c r="FO268" s="9">
        <f t="shared" si="145"/>
        <v>915223020</v>
      </c>
    </row>
    <row r="269" spans="2:171" ht="14.25" customHeight="1" x14ac:dyDescent="0.3">
      <c r="B269" s="7" t="s">
        <v>46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9">
        <f t="shared" si="133"/>
        <v>0</v>
      </c>
      <c r="P269" s="8">
        <v>0</v>
      </c>
      <c r="Q269" s="8">
        <v>0</v>
      </c>
      <c r="R269" s="8">
        <v>0</v>
      </c>
      <c r="S269" s="8">
        <v>0</v>
      </c>
      <c r="T269" s="8">
        <v>0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9">
        <f t="shared" si="134"/>
        <v>0</v>
      </c>
      <c r="AC269" s="8">
        <v>0</v>
      </c>
      <c r="AD269" s="8">
        <v>0</v>
      </c>
      <c r="AE269" s="8">
        <v>0</v>
      </c>
      <c r="AF269" s="8">
        <v>0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9">
        <f t="shared" si="135"/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v>0</v>
      </c>
      <c r="AZ269" s="8">
        <v>0</v>
      </c>
      <c r="BA269" s="8">
        <v>0</v>
      </c>
      <c r="BB269" s="9">
        <f t="shared" si="136"/>
        <v>0</v>
      </c>
      <c r="BC269" s="8">
        <v>0</v>
      </c>
      <c r="BD269" s="8">
        <v>0</v>
      </c>
      <c r="BE269" s="8">
        <v>0</v>
      </c>
      <c r="BF269" s="8">
        <v>0</v>
      </c>
      <c r="BG269" s="8">
        <v>0</v>
      </c>
      <c r="BH269" s="8">
        <v>0</v>
      </c>
      <c r="BI269" s="8">
        <v>0</v>
      </c>
      <c r="BJ269" s="8">
        <v>0</v>
      </c>
      <c r="BK269" s="8">
        <v>0</v>
      </c>
      <c r="BL269" s="8">
        <v>0</v>
      </c>
      <c r="BM269" s="8">
        <v>0</v>
      </c>
      <c r="BN269" s="8">
        <v>0</v>
      </c>
      <c r="BO269" s="9">
        <f t="shared" si="137"/>
        <v>0</v>
      </c>
      <c r="BP269" s="8">
        <v>0</v>
      </c>
      <c r="BQ269" s="8">
        <v>0</v>
      </c>
      <c r="BR269" s="8">
        <v>0</v>
      </c>
      <c r="BS269" s="8">
        <v>0</v>
      </c>
      <c r="BT269" s="8">
        <v>0</v>
      </c>
      <c r="BU269" s="8">
        <v>0</v>
      </c>
      <c r="BV269" s="8">
        <v>0</v>
      </c>
      <c r="BW269" s="8">
        <v>0</v>
      </c>
      <c r="BX269" s="8">
        <v>0</v>
      </c>
      <c r="BY269" s="8">
        <v>0</v>
      </c>
      <c r="BZ269" s="8">
        <v>0</v>
      </c>
      <c r="CA269" s="8">
        <v>0</v>
      </c>
      <c r="CB269" s="9">
        <f t="shared" si="138"/>
        <v>0</v>
      </c>
      <c r="CC269" s="8">
        <v>0</v>
      </c>
      <c r="CD269" s="8">
        <v>0</v>
      </c>
      <c r="CE269" s="8">
        <v>0</v>
      </c>
      <c r="CF269" s="8">
        <v>0</v>
      </c>
      <c r="CG269" s="8">
        <v>0</v>
      </c>
      <c r="CH269" s="8">
        <v>0</v>
      </c>
      <c r="CI269" s="8">
        <v>0</v>
      </c>
      <c r="CJ269" s="8">
        <v>0</v>
      </c>
      <c r="CK269" s="8">
        <v>0</v>
      </c>
      <c r="CL269" s="8">
        <v>0</v>
      </c>
      <c r="CM269" s="8">
        <v>0</v>
      </c>
      <c r="CN269" s="8">
        <v>0</v>
      </c>
      <c r="CO269" s="9">
        <f t="shared" si="139"/>
        <v>0</v>
      </c>
      <c r="CP269" s="8">
        <v>0</v>
      </c>
      <c r="CQ269" s="8">
        <v>0</v>
      </c>
      <c r="CR269" s="8">
        <v>0</v>
      </c>
      <c r="CS269" s="8">
        <v>0</v>
      </c>
      <c r="CT269" s="8">
        <v>0</v>
      </c>
      <c r="CU269" s="8">
        <v>0</v>
      </c>
      <c r="CV269" s="8">
        <v>0</v>
      </c>
      <c r="CW269" s="8">
        <v>0</v>
      </c>
      <c r="CX269" s="8">
        <v>0</v>
      </c>
      <c r="CY269" s="8">
        <v>0</v>
      </c>
      <c r="CZ269" s="8">
        <v>0</v>
      </c>
      <c r="DA269" s="8">
        <v>0</v>
      </c>
      <c r="DB269" s="9">
        <f t="shared" si="140"/>
        <v>0</v>
      </c>
      <c r="DC269" s="8">
        <v>0</v>
      </c>
      <c r="DD269" s="8">
        <v>0</v>
      </c>
      <c r="DE269" s="8">
        <v>0</v>
      </c>
      <c r="DF269" s="8">
        <v>0</v>
      </c>
      <c r="DG269" s="8">
        <v>0</v>
      </c>
      <c r="DH269" s="8">
        <v>0</v>
      </c>
      <c r="DI269" s="8">
        <v>0</v>
      </c>
      <c r="DJ269" s="8">
        <v>0</v>
      </c>
      <c r="DK269" s="8">
        <v>0</v>
      </c>
      <c r="DL269" s="8">
        <v>0</v>
      </c>
      <c r="DM269" s="8">
        <v>0</v>
      </c>
      <c r="DN269" s="8">
        <v>0</v>
      </c>
      <c r="DO269" s="9">
        <f t="shared" si="141"/>
        <v>0</v>
      </c>
      <c r="DP269" s="8">
        <v>0</v>
      </c>
      <c r="DQ269" s="8">
        <v>0</v>
      </c>
      <c r="DR269" s="8">
        <v>0</v>
      </c>
      <c r="DS269" s="8">
        <v>0</v>
      </c>
      <c r="DT269" s="8">
        <v>0</v>
      </c>
      <c r="DU269" s="8">
        <v>0</v>
      </c>
      <c r="DV269" s="8">
        <v>0</v>
      </c>
      <c r="DW269" s="8">
        <v>0</v>
      </c>
      <c r="DX269" s="8">
        <v>0</v>
      </c>
      <c r="DY269" s="8">
        <v>0</v>
      </c>
      <c r="DZ269" s="8">
        <v>0</v>
      </c>
      <c r="EA269" s="8">
        <v>0</v>
      </c>
      <c r="EB269" s="9">
        <f t="shared" si="142"/>
        <v>0</v>
      </c>
      <c r="EC269" s="8">
        <v>0</v>
      </c>
      <c r="ED269" s="8">
        <v>0</v>
      </c>
      <c r="EE269" s="8">
        <v>0</v>
      </c>
      <c r="EF269" s="8">
        <v>0</v>
      </c>
      <c r="EG269" s="8">
        <v>0</v>
      </c>
      <c r="EH269" s="8">
        <v>0</v>
      </c>
      <c r="EI269" s="8">
        <v>0</v>
      </c>
      <c r="EJ269" s="8">
        <v>0</v>
      </c>
      <c r="EK269" s="8">
        <v>0</v>
      </c>
      <c r="EL269" s="8">
        <v>0</v>
      </c>
      <c r="EM269" s="8">
        <v>0</v>
      </c>
      <c r="EN269" s="8">
        <v>0</v>
      </c>
      <c r="EO269" s="9">
        <f t="shared" si="143"/>
        <v>0</v>
      </c>
      <c r="EP269" s="8">
        <v>0</v>
      </c>
      <c r="EQ269" s="8">
        <v>0</v>
      </c>
      <c r="ER269" s="8">
        <v>0</v>
      </c>
      <c r="ES269" s="8">
        <v>0</v>
      </c>
      <c r="ET269" s="8">
        <v>0</v>
      </c>
      <c r="EU269" s="8">
        <v>0</v>
      </c>
      <c r="EV269" s="8">
        <v>0</v>
      </c>
      <c r="EW269" s="8">
        <v>0</v>
      </c>
      <c r="EX269" s="8">
        <v>0</v>
      </c>
      <c r="EY269" s="8">
        <v>0</v>
      </c>
      <c r="EZ269" s="8">
        <v>0</v>
      </c>
      <c r="FA269" s="8">
        <v>0</v>
      </c>
      <c r="FB269" s="9">
        <f t="shared" si="144"/>
        <v>0</v>
      </c>
      <c r="FC269" s="8">
        <v>0</v>
      </c>
      <c r="FD269" s="8">
        <v>0</v>
      </c>
      <c r="FE269" s="8">
        <v>0</v>
      </c>
      <c r="FF269" s="8">
        <v>0</v>
      </c>
      <c r="FG269" s="8">
        <v>0</v>
      </c>
      <c r="FH269" s="8">
        <v>0</v>
      </c>
      <c r="FI269" s="8">
        <v>0</v>
      </c>
      <c r="FJ269" s="8"/>
      <c r="FK269" s="8"/>
      <c r="FL269" s="8"/>
      <c r="FM269" s="8"/>
      <c r="FN269" s="8"/>
      <c r="FO269" s="9">
        <f t="shared" si="145"/>
        <v>0</v>
      </c>
    </row>
    <row r="270" spans="2:171" ht="14.25" customHeight="1" x14ac:dyDescent="0.3">
      <c r="B270" s="7" t="s">
        <v>47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9">
        <f t="shared" si="133"/>
        <v>0</v>
      </c>
      <c r="P270" s="8">
        <v>0</v>
      </c>
      <c r="Q270" s="8">
        <v>0</v>
      </c>
      <c r="R270" s="8">
        <v>0</v>
      </c>
      <c r="S270" s="8">
        <v>0</v>
      </c>
      <c r="T270" s="8">
        <v>0</v>
      </c>
      <c r="U270" s="8">
        <v>0</v>
      </c>
      <c r="V270" s="8">
        <v>0</v>
      </c>
      <c r="W270" s="8">
        <v>0</v>
      </c>
      <c r="X270" s="8">
        <v>0</v>
      </c>
      <c r="Y270" s="8">
        <v>0</v>
      </c>
      <c r="Z270" s="8">
        <v>0</v>
      </c>
      <c r="AA270" s="8">
        <v>0</v>
      </c>
      <c r="AB270" s="9">
        <f t="shared" si="134"/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9">
        <f t="shared" si="135"/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v>0</v>
      </c>
      <c r="AZ270" s="8">
        <v>0</v>
      </c>
      <c r="BA270" s="8">
        <v>0</v>
      </c>
      <c r="BB270" s="9">
        <f t="shared" si="136"/>
        <v>0</v>
      </c>
      <c r="BC270" s="8">
        <v>0</v>
      </c>
      <c r="BD270" s="8">
        <v>0</v>
      </c>
      <c r="BE270" s="8">
        <v>0</v>
      </c>
      <c r="BF270" s="8">
        <v>0</v>
      </c>
      <c r="BG270" s="8">
        <v>0</v>
      </c>
      <c r="BH270" s="8">
        <v>0</v>
      </c>
      <c r="BI270" s="8">
        <v>0</v>
      </c>
      <c r="BJ270" s="8">
        <v>0</v>
      </c>
      <c r="BK270" s="8">
        <v>0</v>
      </c>
      <c r="BL270" s="8">
        <v>0</v>
      </c>
      <c r="BM270" s="8">
        <v>0</v>
      </c>
      <c r="BN270" s="8">
        <v>0</v>
      </c>
      <c r="BO270" s="9">
        <f t="shared" si="137"/>
        <v>0</v>
      </c>
      <c r="BP270" s="8">
        <v>0</v>
      </c>
      <c r="BQ270" s="8">
        <v>0</v>
      </c>
      <c r="BR270" s="8">
        <v>0</v>
      </c>
      <c r="BS270" s="8">
        <v>0</v>
      </c>
      <c r="BT270" s="8">
        <v>0</v>
      </c>
      <c r="BU270" s="8">
        <v>0</v>
      </c>
      <c r="BV270" s="8">
        <v>0</v>
      </c>
      <c r="BW270" s="8">
        <v>0</v>
      </c>
      <c r="BX270" s="8">
        <v>0</v>
      </c>
      <c r="BY270" s="8">
        <v>0</v>
      </c>
      <c r="BZ270" s="8">
        <v>0</v>
      </c>
      <c r="CA270" s="8">
        <v>0</v>
      </c>
      <c r="CB270" s="9">
        <f t="shared" si="138"/>
        <v>0</v>
      </c>
      <c r="CC270" s="8">
        <v>0</v>
      </c>
      <c r="CD270" s="8">
        <v>0</v>
      </c>
      <c r="CE270" s="8">
        <v>0</v>
      </c>
      <c r="CF270" s="8">
        <v>0</v>
      </c>
      <c r="CG270" s="8">
        <v>0</v>
      </c>
      <c r="CH270" s="8">
        <v>0</v>
      </c>
      <c r="CI270" s="8">
        <v>0</v>
      </c>
      <c r="CJ270" s="8">
        <v>0</v>
      </c>
      <c r="CK270" s="8">
        <v>0</v>
      </c>
      <c r="CL270" s="8">
        <v>0</v>
      </c>
      <c r="CM270" s="8">
        <v>0</v>
      </c>
      <c r="CN270" s="8">
        <v>0</v>
      </c>
      <c r="CO270" s="9">
        <f t="shared" si="139"/>
        <v>0</v>
      </c>
      <c r="CP270" s="8">
        <v>0</v>
      </c>
      <c r="CQ270" s="8">
        <v>0</v>
      </c>
      <c r="CR270" s="8">
        <v>0</v>
      </c>
      <c r="CS270" s="8">
        <v>0</v>
      </c>
      <c r="CT270" s="8">
        <v>0</v>
      </c>
      <c r="CU270" s="8">
        <v>0</v>
      </c>
      <c r="CV270" s="8">
        <v>0</v>
      </c>
      <c r="CW270" s="8">
        <v>0</v>
      </c>
      <c r="CX270" s="8">
        <v>0</v>
      </c>
      <c r="CY270" s="8">
        <v>0</v>
      </c>
      <c r="CZ270" s="8">
        <v>0</v>
      </c>
      <c r="DA270" s="8">
        <v>0</v>
      </c>
      <c r="DB270" s="9">
        <f t="shared" si="140"/>
        <v>0</v>
      </c>
      <c r="DC270" s="8">
        <v>0</v>
      </c>
      <c r="DD270" s="8">
        <v>0</v>
      </c>
      <c r="DE270" s="8">
        <v>0</v>
      </c>
      <c r="DF270" s="8">
        <v>0</v>
      </c>
      <c r="DG270" s="8">
        <v>0</v>
      </c>
      <c r="DH270" s="8">
        <v>0</v>
      </c>
      <c r="DI270" s="8">
        <v>0</v>
      </c>
      <c r="DJ270" s="8">
        <v>0</v>
      </c>
      <c r="DK270" s="8">
        <v>0</v>
      </c>
      <c r="DL270" s="8">
        <v>0</v>
      </c>
      <c r="DM270" s="8">
        <v>0</v>
      </c>
      <c r="DN270" s="8">
        <v>0</v>
      </c>
      <c r="DO270" s="9">
        <f t="shared" si="141"/>
        <v>0</v>
      </c>
      <c r="DP270" s="8">
        <v>0</v>
      </c>
      <c r="DQ270" s="8">
        <v>0</v>
      </c>
      <c r="DR270" s="8">
        <v>0</v>
      </c>
      <c r="DS270" s="8">
        <v>0</v>
      </c>
      <c r="DT270" s="8">
        <v>0</v>
      </c>
      <c r="DU270" s="8">
        <v>0</v>
      </c>
      <c r="DV270" s="8">
        <v>0</v>
      </c>
      <c r="DW270" s="8">
        <v>0</v>
      </c>
      <c r="DX270" s="8">
        <v>0</v>
      </c>
      <c r="DY270" s="8">
        <v>0</v>
      </c>
      <c r="DZ270" s="8">
        <v>0</v>
      </c>
      <c r="EA270" s="8">
        <v>0</v>
      </c>
      <c r="EB270" s="9">
        <f t="shared" si="142"/>
        <v>0</v>
      </c>
      <c r="EC270" s="8">
        <v>0</v>
      </c>
      <c r="ED270" s="8">
        <v>0</v>
      </c>
      <c r="EE270" s="8">
        <v>0</v>
      </c>
      <c r="EF270" s="8">
        <v>0</v>
      </c>
      <c r="EG270" s="8">
        <v>0</v>
      </c>
      <c r="EH270" s="8">
        <v>0</v>
      </c>
      <c r="EI270" s="8">
        <v>0</v>
      </c>
      <c r="EJ270" s="8">
        <v>0</v>
      </c>
      <c r="EK270" s="8">
        <v>0</v>
      </c>
      <c r="EL270" s="8">
        <v>0</v>
      </c>
      <c r="EM270" s="8">
        <v>0</v>
      </c>
      <c r="EN270" s="8">
        <v>0</v>
      </c>
      <c r="EO270" s="9">
        <f t="shared" si="143"/>
        <v>0</v>
      </c>
      <c r="EP270" s="8">
        <v>0</v>
      </c>
      <c r="EQ270" s="8">
        <v>0</v>
      </c>
      <c r="ER270" s="8">
        <v>0</v>
      </c>
      <c r="ES270" s="8">
        <v>0</v>
      </c>
      <c r="ET270" s="8">
        <v>0</v>
      </c>
      <c r="EU270" s="8">
        <v>0</v>
      </c>
      <c r="EV270" s="8">
        <v>0</v>
      </c>
      <c r="EW270" s="8">
        <v>0</v>
      </c>
      <c r="EX270" s="8">
        <v>0</v>
      </c>
      <c r="EY270" s="8">
        <v>0</v>
      </c>
      <c r="EZ270" s="8">
        <v>0</v>
      </c>
      <c r="FA270" s="8">
        <v>0</v>
      </c>
      <c r="FB270" s="9">
        <f t="shared" si="144"/>
        <v>0</v>
      </c>
      <c r="FC270" s="8">
        <v>0</v>
      </c>
      <c r="FD270" s="8">
        <v>0</v>
      </c>
      <c r="FE270" s="8">
        <v>0</v>
      </c>
      <c r="FF270" s="8">
        <v>0</v>
      </c>
      <c r="FG270" s="8">
        <v>0</v>
      </c>
      <c r="FH270" s="8">
        <v>0</v>
      </c>
      <c r="FI270" s="8">
        <v>0</v>
      </c>
      <c r="FJ270" s="8"/>
      <c r="FK270" s="8"/>
      <c r="FL270" s="8"/>
      <c r="FM270" s="8"/>
      <c r="FN270" s="8"/>
      <c r="FO270" s="9">
        <f t="shared" si="145"/>
        <v>0</v>
      </c>
    </row>
    <row r="271" spans="2:171" ht="14.25" customHeight="1" x14ac:dyDescent="0.3">
      <c r="B271" s="7" t="s">
        <v>48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9">
        <f t="shared" si="133"/>
        <v>0</v>
      </c>
      <c r="P271" s="8">
        <v>0</v>
      </c>
      <c r="Q271" s="8">
        <v>0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9">
        <f t="shared" si="134"/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9">
        <f t="shared" si="135"/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v>0</v>
      </c>
      <c r="AZ271" s="8">
        <v>0</v>
      </c>
      <c r="BA271" s="8">
        <v>0</v>
      </c>
      <c r="BB271" s="9">
        <f t="shared" si="136"/>
        <v>0</v>
      </c>
      <c r="BC271" s="8">
        <v>0</v>
      </c>
      <c r="BD271" s="8">
        <v>0</v>
      </c>
      <c r="BE271" s="8">
        <v>0</v>
      </c>
      <c r="BF271" s="8">
        <v>2933149</v>
      </c>
      <c r="BG271" s="8">
        <v>2933149</v>
      </c>
      <c r="BH271" s="8">
        <v>2933149</v>
      </c>
      <c r="BI271" s="8">
        <v>2933149</v>
      </c>
      <c r="BJ271" s="8">
        <v>2933149</v>
      </c>
      <c r="BK271" s="8">
        <v>2933149</v>
      </c>
      <c r="BL271" s="8">
        <v>2933149</v>
      </c>
      <c r="BM271" s="8">
        <v>2933149</v>
      </c>
      <c r="BN271" s="8">
        <v>2933149</v>
      </c>
      <c r="BO271" s="9">
        <f t="shared" si="137"/>
        <v>2933149</v>
      </c>
      <c r="BP271" s="8">
        <v>0</v>
      </c>
      <c r="BQ271" s="8">
        <v>0</v>
      </c>
      <c r="BR271" s="8">
        <v>0</v>
      </c>
      <c r="BS271" s="8">
        <v>0</v>
      </c>
      <c r="BT271" s="8">
        <v>0</v>
      </c>
      <c r="BU271" s="8">
        <v>0</v>
      </c>
      <c r="BV271" s="8">
        <v>0</v>
      </c>
      <c r="BW271" s="8">
        <v>0</v>
      </c>
      <c r="BX271" s="8">
        <v>0</v>
      </c>
      <c r="BY271" s="8">
        <v>0</v>
      </c>
      <c r="BZ271" s="8">
        <v>0</v>
      </c>
      <c r="CA271" s="8">
        <v>0</v>
      </c>
      <c r="CB271" s="9">
        <f t="shared" si="138"/>
        <v>0</v>
      </c>
      <c r="CC271" s="8">
        <v>0</v>
      </c>
      <c r="CD271" s="8">
        <v>0</v>
      </c>
      <c r="CE271" s="8">
        <v>0</v>
      </c>
      <c r="CF271" s="8">
        <v>0</v>
      </c>
      <c r="CG271" s="8">
        <v>0</v>
      </c>
      <c r="CH271" s="8">
        <v>0</v>
      </c>
      <c r="CI271" s="8">
        <v>0</v>
      </c>
      <c r="CJ271" s="8">
        <v>0</v>
      </c>
      <c r="CK271" s="8">
        <v>0</v>
      </c>
      <c r="CL271" s="8">
        <v>0</v>
      </c>
      <c r="CM271" s="8">
        <v>0</v>
      </c>
      <c r="CN271" s="8">
        <v>120527</v>
      </c>
      <c r="CO271" s="9">
        <f t="shared" si="139"/>
        <v>120527</v>
      </c>
      <c r="CP271" s="8">
        <v>0</v>
      </c>
      <c r="CQ271" s="8">
        <v>0</v>
      </c>
      <c r="CR271" s="8">
        <v>0</v>
      </c>
      <c r="CS271" s="8">
        <v>0</v>
      </c>
      <c r="CT271" s="8">
        <v>0</v>
      </c>
      <c r="CU271" s="8">
        <v>0</v>
      </c>
      <c r="CV271" s="8">
        <v>0</v>
      </c>
      <c r="CW271" s="8">
        <v>0</v>
      </c>
      <c r="CX271" s="8">
        <v>0</v>
      </c>
      <c r="CY271" s="8">
        <v>0</v>
      </c>
      <c r="CZ271" s="8">
        <v>0</v>
      </c>
      <c r="DA271" s="8">
        <v>0</v>
      </c>
      <c r="DB271" s="9">
        <f t="shared" si="140"/>
        <v>0</v>
      </c>
      <c r="DC271" s="8">
        <v>0</v>
      </c>
      <c r="DD271" s="8">
        <v>0</v>
      </c>
      <c r="DE271" s="8">
        <v>0</v>
      </c>
      <c r="DF271" s="8">
        <v>0</v>
      </c>
      <c r="DG271" s="8">
        <v>0</v>
      </c>
      <c r="DH271" s="8">
        <v>0</v>
      </c>
      <c r="DI271" s="8">
        <v>0</v>
      </c>
      <c r="DJ271" s="8">
        <v>0</v>
      </c>
      <c r="DK271" s="8">
        <v>0</v>
      </c>
      <c r="DL271" s="8">
        <v>0</v>
      </c>
      <c r="DM271" s="8">
        <v>0</v>
      </c>
      <c r="DN271" s="8">
        <v>0</v>
      </c>
      <c r="DO271" s="9">
        <f t="shared" si="141"/>
        <v>0</v>
      </c>
      <c r="DP271" s="8">
        <v>0</v>
      </c>
      <c r="DQ271" s="8">
        <v>0</v>
      </c>
      <c r="DR271" s="8">
        <v>0</v>
      </c>
      <c r="DS271" s="8">
        <v>0</v>
      </c>
      <c r="DT271" s="8">
        <v>0</v>
      </c>
      <c r="DU271" s="8">
        <v>0</v>
      </c>
      <c r="DV271" s="8">
        <v>0</v>
      </c>
      <c r="DW271" s="8">
        <v>0</v>
      </c>
      <c r="DX271" s="8">
        <v>0</v>
      </c>
      <c r="DY271" s="8">
        <v>0</v>
      </c>
      <c r="DZ271" s="8">
        <v>0</v>
      </c>
      <c r="EA271" s="8">
        <v>0</v>
      </c>
      <c r="EB271" s="9">
        <f t="shared" si="142"/>
        <v>0</v>
      </c>
      <c r="EC271" s="8">
        <v>0</v>
      </c>
      <c r="ED271" s="8">
        <v>0</v>
      </c>
      <c r="EE271" s="8">
        <v>0</v>
      </c>
      <c r="EF271" s="8">
        <v>0</v>
      </c>
      <c r="EG271" s="8">
        <v>0</v>
      </c>
      <c r="EH271" s="8">
        <v>0</v>
      </c>
      <c r="EI271" s="8">
        <v>0</v>
      </c>
      <c r="EJ271" s="8">
        <v>0</v>
      </c>
      <c r="EK271" s="8">
        <v>0</v>
      </c>
      <c r="EL271" s="8">
        <v>0</v>
      </c>
      <c r="EM271" s="8">
        <v>0</v>
      </c>
      <c r="EN271" s="8">
        <v>0</v>
      </c>
      <c r="EO271" s="9">
        <f t="shared" si="143"/>
        <v>0</v>
      </c>
      <c r="EP271" s="8">
        <v>0</v>
      </c>
      <c r="EQ271" s="8">
        <v>0</v>
      </c>
      <c r="ER271" s="8">
        <v>0</v>
      </c>
      <c r="ES271" s="8">
        <v>0</v>
      </c>
      <c r="ET271" s="8">
        <v>0</v>
      </c>
      <c r="EU271" s="8">
        <v>0</v>
      </c>
      <c r="EV271" s="8">
        <v>0</v>
      </c>
      <c r="EW271" s="8">
        <v>0</v>
      </c>
      <c r="EX271" s="8">
        <v>0</v>
      </c>
      <c r="EY271" s="8">
        <v>0</v>
      </c>
      <c r="EZ271" s="8">
        <v>0</v>
      </c>
      <c r="FA271" s="8">
        <v>0</v>
      </c>
      <c r="FB271" s="9">
        <f t="shared" si="144"/>
        <v>0</v>
      </c>
      <c r="FC271" s="8">
        <v>0</v>
      </c>
      <c r="FD271" s="8">
        <v>0</v>
      </c>
      <c r="FE271" s="8">
        <v>0</v>
      </c>
      <c r="FF271" s="8">
        <v>0</v>
      </c>
      <c r="FG271" s="8">
        <v>0</v>
      </c>
      <c r="FH271" s="8">
        <v>0</v>
      </c>
      <c r="FI271" s="8">
        <v>0</v>
      </c>
      <c r="FJ271" s="8"/>
      <c r="FK271" s="8"/>
      <c r="FL271" s="8"/>
      <c r="FM271" s="8"/>
      <c r="FN271" s="8"/>
      <c r="FO271" s="9">
        <f t="shared" si="145"/>
        <v>0</v>
      </c>
    </row>
    <row r="272" spans="2:171" ht="14.25" customHeight="1" x14ac:dyDescent="0.3">
      <c r="B272" s="7" t="s">
        <v>49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9">
        <f t="shared" si="133"/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9">
        <f t="shared" si="134"/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9">
        <f t="shared" si="135"/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v>0</v>
      </c>
      <c r="AZ272" s="8">
        <v>0</v>
      </c>
      <c r="BA272" s="8">
        <v>0</v>
      </c>
      <c r="BB272" s="9">
        <f t="shared" si="136"/>
        <v>0</v>
      </c>
      <c r="BC272" s="8">
        <v>0</v>
      </c>
      <c r="BD272" s="8">
        <v>0</v>
      </c>
      <c r="BE272" s="8">
        <v>0</v>
      </c>
      <c r="BF272" s="8">
        <v>0</v>
      </c>
      <c r="BG272" s="8">
        <v>0</v>
      </c>
      <c r="BH272" s="8">
        <v>0</v>
      </c>
      <c r="BI272" s="8">
        <v>0</v>
      </c>
      <c r="BJ272" s="8">
        <v>0</v>
      </c>
      <c r="BK272" s="8">
        <v>0</v>
      </c>
      <c r="BL272" s="8">
        <v>0</v>
      </c>
      <c r="BM272" s="8">
        <v>0</v>
      </c>
      <c r="BN272" s="8">
        <v>0</v>
      </c>
      <c r="BO272" s="9">
        <f t="shared" si="137"/>
        <v>0</v>
      </c>
      <c r="BP272" s="8">
        <v>0</v>
      </c>
      <c r="BQ272" s="8">
        <v>0</v>
      </c>
      <c r="BR272" s="8">
        <v>0</v>
      </c>
      <c r="BS272" s="8">
        <v>0</v>
      </c>
      <c r="BT272" s="8">
        <v>0</v>
      </c>
      <c r="BU272" s="8">
        <v>0</v>
      </c>
      <c r="BV272" s="8">
        <v>0</v>
      </c>
      <c r="BW272" s="8">
        <v>0</v>
      </c>
      <c r="BX272" s="8">
        <v>0</v>
      </c>
      <c r="BY272" s="8">
        <v>0</v>
      </c>
      <c r="BZ272" s="8">
        <v>0</v>
      </c>
      <c r="CA272" s="8">
        <v>0</v>
      </c>
      <c r="CB272" s="9">
        <f t="shared" si="138"/>
        <v>0</v>
      </c>
      <c r="CC272" s="8">
        <v>0</v>
      </c>
      <c r="CD272" s="8">
        <v>0</v>
      </c>
      <c r="CE272" s="8">
        <v>0</v>
      </c>
      <c r="CF272" s="8">
        <v>0</v>
      </c>
      <c r="CG272" s="8">
        <v>0</v>
      </c>
      <c r="CH272" s="8">
        <v>0</v>
      </c>
      <c r="CI272" s="8">
        <v>0</v>
      </c>
      <c r="CJ272" s="8">
        <v>0</v>
      </c>
      <c r="CK272" s="8">
        <v>0</v>
      </c>
      <c r="CL272" s="8">
        <v>0</v>
      </c>
      <c r="CM272" s="8">
        <v>0</v>
      </c>
      <c r="CN272" s="8">
        <v>0</v>
      </c>
      <c r="CO272" s="9">
        <f t="shared" si="139"/>
        <v>0</v>
      </c>
      <c r="CP272" s="8">
        <v>0</v>
      </c>
      <c r="CQ272" s="8">
        <v>0</v>
      </c>
      <c r="CR272" s="8">
        <v>0</v>
      </c>
      <c r="CS272" s="8">
        <v>0</v>
      </c>
      <c r="CT272" s="8">
        <v>0</v>
      </c>
      <c r="CU272" s="8">
        <v>0</v>
      </c>
      <c r="CV272" s="8">
        <v>0</v>
      </c>
      <c r="CW272" s="8">
        <v>0</v>
      </c>
      <c r="CX272" s="8">
        <v>0</v>
      </c>
      <c r="CY272" s="8">
        <v>0</v>
      </c>
      <c r="CZ272" s="8">
        <v>0</v>
      </c>
      <c r="DA272" s="8">
        <v>0</v>
      </c>
      <c r="DB272" s="9">
        <f t="shared" si="140"/>
        <v>0</v>
      </c>
      <c r="DC272" s="8">
        <v>0</v>
      </c>
      <c r="DD272" s="8">
        <v>0</v>
      </c>
      <c r="DE272" s="8">
        <v>0</v>
      </c>
      <c r="DF272" s="8">
        <v>0</v>
      </c>
      <c r="DG272" s="8">
        <v>0</v>
      </c>
      <c r="DH272" s="8">
        <v>0</v>
      </c>
      <c r="DI272" s="8">
        <v>0</v>
      </c>
      <c r="DJ272" s="8">
        <v>0</v>
      </c>
      <c r="DK272" s="8">
        <v>0</v>
      </c>
      <c r="DL272" s="8">
        <v>0</v>
      </c>
      <c r="DM272" s="8">
        <v>0</v>
      </c>
      <c r="DN272" s="8">
        <v>0</v>
      </c>
      <c r="DO272" s="9">
        <f t="shared" si="141"/>
        <v>0</v>
      </c>
      <c r="DP272" s="8">
        <v>0</v>
      </c>
      <c r="DQ272" s="8">
        <v>0</v>
      </c>
      <c r="DR272" s="8">
        <v>0</v>
      </c>
      <c r="DS272" s="8">
        <v>0</v>
      </c>
      <c r="DT272" s="8">
        <v>0</v>
      </c>
      <c r="DU272" s="8">
        <v>0</v>
      </c>
      <c r="DV272" s="8">
        <v>0</v>
      </c>
      <c r="DW272" s="8">
        <v>0</v>
      </c>
      <c r="DX272" s="8">
        <v>0</v>
      </c>
      <c r="DY272" s="8">
        <v>0</v>
      </c>
      <c r="DZ272" s="8">
        <v>0</v>
      </c>
      <c r="EA272" s="8">
        <v>0</v>
      </c>
      <c r="EB272" s="9">
        <f t="shared" si="142"/>
        <v>0</v>
      </c>
      <c r="EC272" s="8">
        <v>0</v>
      </c>
      <c r="ED272" s="8">
        <v>0</v>
      </c>
      <c r="EE272" s="8">
        <v>0</v>
      </c>
      <c r="EF272" s="8">
        <v>0</v>
      </c>
      <c r="EG272" s="8">
        <v>0</v>
      </c>
      <c r="EH272" s="8">
        <v>0</v>
      </c>
      <c r="EI272" s="8">
        <v>0</v>
      </c>
      <c r="EJ272" s="8">
        <v>0</v>
      </c>
      <c r="EK272" s="8">
        <v>0</v>
      </c>
      <c r="EL272" s="8">
        <v>0</v>
      </c>
      <c r="EM272" s="8">
        <v>0</v>
      </c>
      <c r="EN272" s="8">
        <v>0</v>
      </c>
      <c r="EO272" s="9">
        <f t="shared" si="143"/>
        <v>0</v>
      </c>
      <c r="EP272" s="8">
        <v>0</v>
      </c>
      <c r="EQ272" s="8">
        <v>0</v>
      </c>
      <c r="ER272" s="8">
        <v>0</v>
      </c>
      <c r="ES272" s="8">
        <v>0</v>
      </c>
      <c r="ET272" s="8">
        <v>0</v>
      </c>
      <c r="EU272" s="8">
        <v>0</v>
      </c>
      <c r="EV272" s="8">
        <v>0</v>
      </c>
      <c r="EW272" s="8">
        <v>0</v>
      </c>
      <c r="EX272" s="8">
        <v>0</v>
      </c>
      <c r="EY272" s="8">
        <v>0</v>
      </c>
      <c r="EZ272" s="8">
        <v>0</v>
      </c>
      <c r="FA272" s="8">
        <v>0</v>
      </c>
      <c r="FB272" s="9">
        <f t="shared" si="144"/>
        <v>0</v>
      </c>
      <c r="FC272" s="8">
        <v>0</v>
      </c>
      <c r="FD272" s="8">
        <v>0</v>
      </c>
      <c r="FE272" s="8">
        <v>0</v>
      </c>
      <c r="FF272" s="8">
        <v>0</v>
      </c>
      <c r="FG272" s="8">
        <v>0</v>
      </c>
      <c r="FH272" s="8">
        <v>0</v>
      </c>
      <c r="FI272" s="8">
        <v>0</v>
      </c>
      <c r="FJ272" s="8"/>
      <c r="FK272" s="8"/>
      <c r="FL272" s="8"/>
      <c r="FM272" s="8"/>
      <c r="FN272" s="8"/>
      <c r="FO272" s="9">
        <f t="shared" si="145"/>
        <v>0</v>
      </c>
    </row>
    <row r="273" spans="2:171" ht="14.25" customHeight="1" x14ac:dyDescent="0.3">
      <c r="B273" s="7" t="s">
        <v>50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9">
        <f t="shared" si="133"/>
        <v>0</v>
      </c>
      <c r="P273" s="8">
        <v>0</v>
      </c>
      <c r="Q273" s="8">
        <v>0</v>
      </c>
      <c r="R273" s="8">
        <v>0</v>
      </c>
      <c r="S273" s="8">
        <v>0</v>
      </c>
      <c r="T273" s="8">
        <v>0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9">
        <f t="shared" si="134"/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9">
        <f t="shared" si="135"/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v>0</v>
      </c>
      <c r="AZ273" s="8">
        <v>0</v>
      </c>
      <c r="BA273" s="8">
        <v>0</v>
      </c>
      <c r="BB273" s="9">
        <f t="shared" si="136"/>
        <v>0</v>
      </c>
      <c r="BC273" s="8">
        <v>0</v>
      </c>
      <c r="BD273" s="8">
        <v>0</v>
      </c>
      <c r="BE273" s="8">
        <v>0</v>
      </c>
      <c r="BF273" s="8">
        <v>0</v>
      </c>
      <c r="BG273" s="8">
        <v>0</v>
      </c>
      <c r="BH273" s="8">
        <v>0</v>
      </c>
      <c r="BI273" s="8">
        <v>0</v>
      </c>
      <c r="BJ273" s="8">
        <v>0</v>
      </c>
      <c r="BK273" s="8">
        <v>0</v>
      </c>
      <c r="BL273" s="8">
        <v>0</v>
      </c>
      <c r="BM273" s="8">
        <v>0</v>
      </c>
      <c r="BN273" s="8">
        <v>0</v>
      </c>
      <c r="BO273" s="9">
        <f t="shared" si="137"/>
        <v>0</v>
      </c>
      <c r="BP273" s="8">
        <v>0</v>
      </c>
      <c r="BQ273" s="8">
        <v>0</v>
      </c>
      <c r="BR273" s="8">
        <v>0</v>
      </c>
      <c r="BS273" s="8">
        <v>0</v>
      </c>
      <c r="BT273" s="8">
        <v>0</v>
      </c>
      <c r="BU273" s="8">
        <v>0</v>
      </c>
      <c r="BV273" s="8">
        <v>0</v>
      </c>
      <c r="BW273" s="8">
        <v>0</v>
      </c>
      <c r="BX273" s="8">
        <v>0</v>
      </c>
      <c r="BY273" s="8">
        <v>0</v>
      </c>
      <c r="BZ273" s="8">
        <v>0</v>
      </c>
      <c r="CA273" s="8">
        <v>0</v>
      </c>
      <c r="CB273" s="9">
        <f t="shared" si="138"/>
        <v>0</v>
      </c>
      <c r="CC273" s="8">
        <v>0</v>
      </c>
      <c r="CD273" s="8">
        <v>0</v>
      </c>
      <c r="CE273" s="8">
        <v>0</v>
      </c>
      <c r="CF273" s="8">
        <v>0</v>
      </c>
      <c r="CG273" s="8">
        <v>0</v>
      </c>
      <c r="CH273" s="8">
        <v>0</v>
      </c>
      <c r="CI273" s="8">
        <v>0</v>
      </c>
      <c r="CJ273" s="8">
        <v>0</v>
      </c>
      <c r="CK273" s="8">
        <v>0</v>
      </c>
      <c r="CL273" s="8">
        <v>0</v>
      </c>
      <c r="CM273" s="8">
        <v>0</v>
      </c>
      <c r="CN273" s="8">
        <v>0</v>
      </c>
      <c r="CO273" s="9">
        <f t="shared" si="139"/>
        <v>0</v>
      </c>
      <c r="CP273" s="8">
        <v>0</v>
      </c>
      <c r="CQ273" s="8">
        <v>0</v>
      </c>
      <c r="CR273" s="8">
        <v>0</v>
      </c>
      <c r="CS273" s="8">
        <v>0</v>
      </c>
      <c r="CT273" s="8">
        <v>0</v>
      </c>
      <c r="CU273" s="8">
        <v>0</v>
      </c>
      <c r="CV273" s="8">
        <v>0</v>
      </c>
      <c r="CW273" s="8">
        <v>0</v>
      </c>
      <c r="CX273" s="8">
        <v>0</v>
      </c>
      <c r="CY273" s="8">
        <v>0</v>
      </c>
      <c r="CZ273" s="8">
        <v>0</v>
      </c>
      <c r="DA273" s="8">
        <v>0</v>
      </c>
      <c r="DB273" s="9">
        <f t="shared" si="140"/>
        <v>0</v>
      </c>
      <c r="DC273" s="8">
        <v>0</v>
      </c>
      <c r="DD273" s="8">
        <v>0</v>
      </c>
      <c r="DE273" s="8">
        <v>0</v>
      </c>
      <c r="DF273" s="8">
        <v>0</v>
      </c>
      <c r="DG273" s="8">
        <v>0</v>
      </c>
      <c r="DH273" s="8">
        <v>0</v>
      </c>
      <c r="DI273" s="8">
        <v>0</v>
      </c>
      <c r="DJ273" s="8">
        <v>0</v>
      </c>
      <c r="DK273" s="8">
        <v>0</v>
      </c>
      <c r="DL273" s="8">
        <v>0</v>
      </c>
      <c r="DM273" s="8">
        <v>0</v>
      </c>
      <c r="DN273" s="8">
        <v>0</v>
      </c>
      <c r="DO273" s="9">
        <f t="shared" si="141"/>
        <v>0</v>
      </c>
      <c r="DP273" s="8">
        <v>0</v>
      </c>
      <c r="DQ273" s="8">
        <v>0</v>
      </c>
      <c r="DR273" s="8">
        <v>0</v>
      </c>
      <c r="DS273" s="8">
        <v>0</v>
      </c>
      <c r="DT273" s="8">
        <v>0</v>
      </c>
      <c r="DU273" s="8">
        <v>0</v>
      </c>
      <c r="DV273" s="8">
        <v>0</v>
      </c>
      <c r="DW273" s="8">
        <v>0</v>
      </c>
      <c r="DX273" s="8">
        <v>0</v>
      </c>
      <c r="DY273" s="8">
        <v>0</v>
      </c>
      <c r="DZ273" s="8">
        <v>0</v>
      </c>
      <c r="EA273" s="8">
        <v>0</v>
      </c>
      <c r="EB273" s="9">
        <f t="shared" si="142"/>
        <v>0</v>
      </c>
      <c r="EC273" s="8">
        <v>0</v>
      </c>
      <c r="ED273" s="8">
        <v>0</v>
      </c>
      <c r="EE273" s="8">
        <v>0</v>
      </c>
      <c r="EF273" s="8">
        <v>0</v>
      </c>
      <c r="EG273" s="8">
        <v>0</v>
      </c>
      <c r="EH273" s="8">
        <v>0</v>
      </c>
      <c r="EI273" s="8">
        <v>0</v>
      </c>
      <c r="EJ273" s="8">
        <v>0</v>
      </c>
      <c r="EK273" s="8">
        <v>0</v>
      </c>
      <c r="EL273" s="8">
        <v>0</v>
      </c>
      <c r="EM273" s="8">
        <v>0</v>
      </c>
      <c r="EN273" s="8">
        <v>0</v>
      </c>
      <c r="EO273" s="9">
        <f t="shared" si="143"/>
        <v>0</v>
      </c>
      <c r="EP273" s="8">
        <v>0</v>
      </c>
      <c r="EQ273" s="8">
        <v>0</v>
      </c>
      <c r="ER273" s="8">
        <v>0</v>
      </c>
      <c r="ES273" s="8">
        <v>0</v>
      </c>
      <c r="ET273" s="8">
        <v>0</v>
      </c>
      <c r="EU273" s="8">
        <v>0</v>
      </c>
      <c r="EV273" s="8">
        <v>0</v>
      </c>
      <c r="EW273" s="8">
        <v>0</v>
      </c>
      <c r="EX273" s="8">
        <v>0</v>
      </c>
      <c r="EY273" s="8">
        <v>0</v>
      </c>
      <c r="EZ273" s="8">
        <v>0</v>
      </c>
      <c r="FA273" s="8">
        <v>0</v>
      </c>
      <c r="FB273" s="9">
        <f t="shared" si="144"/>
        <v>0</v>
      </c>
      <c r="FC273" s="8">
        <v>0</v>
      </c>
      <c r="FD273" s="8">
        <v>0</v>
      </c>
      <c r="FE273" s="8">
        <v>0</v>
      </c>
      <c r="FF273" s="8">
        <v>0</v>
      </c>
      <c r="FG273" s="8">
        <v>0</v>
      </c>
      <c r="FH273" s="8">
        <v>0</v>
      </c>
      <c r="FI273" s="8">
        <v>0</v>
      </c>
      <c r="FJ273" s="8"/>
      <c r="FK273" s="8"/>
      <c r="FL273" s="8"/>
      <c r="FM273" s="8"/>
      <c r="FN273" s="8"/>
      <c r="FO273" s="9">
        <f t="shared" si="145"/>
        <v>0</v>
      </c>
    </row>
    <row r="274" spans="2:171" ht="14.25" customHeight="1" x14ac:dyDescent="0.3">
      <c r="B274" s="7" t="s">
        <v>51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9">
        <f t="shared" si="133"/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9">
        <f t="shared" si="134"/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9">
        <f t="shared" si="135"/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v>0</v>
      </c>
      <c r="AZ274" s="8">
        <v>0</v>
      </c>
      <c r="BA274" s="8">
        <v>0</v>
      </c>
      <c r="BB274" s="9">
        <f t="shared" si="136"/>
        <v>0</v>
      </c>
      <c r="BC274" s="8">
        <v>0</v>
      </c>
      <c r="BD274" s="8">
        <v>0</v>
      </c>
      <c r="BE274" s="8">
        <v>0</v>
      </c>
      <c r="BF274" s="8">
        <v>0</v>
      </c>
      <c r="BG274" s="8">
        <v>0</v>
      </c>
      <c r="BH274" s="8">
        <v>0</v>
      </c>
      <c r="BI274" s="8">
        <v>0</v>
      </c>
      <c r="BJ274" s="8">
        <v>0</v>
      </c>
      <c r="BK274" s="8">
        <v>0</v>
      </c>
      <c r="BL274" s="8">
        <v>0</v>
      </c>
      <c r="BM274" s="8">
        <v>0</v>
      </c>
      <c r="BN274" s="8">
        <v>0</v>
      </c>
      <c r="BO274" s="9">
        <f t="shared" si="137"/>
        <v>0</v>
      </c>
      <c r="BP274" s="8">
        <v>0</v>
      </c>
      <c r="BQ274" s="8">
        <v>0</v>
      </c>
      <c r="BR274" s="8">
        <v>0</v>
      </c>
      <c r="BS274" s="8">
        <v>0</v>
      </c>
      <c r="BT274" s="8">
        <v>0</v>
      </c>
      <c r="BU274" s="8">
        <v>0</v>
      </c>
      <c r="BV274" s="8">
        <v>0</v>
      </c>
      <c r="BW274" s="8">
        <v>0</v>
      </c>
      <c r="BX274" s="8">
        <v>0</v>
      </c>
      <c r="BY274" s="8">
        <v>0</v>
      </c>
      <c r="BZ274" s="8">
        <v>0</v>
      </c>
      <c r="CA274" s="8">
        <v>0</v>
      </c>
      <c r="CB274" s="9">
        <f t="shared" si="138"/>
        <v>0</v>
      </c>
      <c r="CC274" s="8">
        <v>0</v>
      </c>
      <c r="CD274" s="8">
        <v>0</v>
      </c>
      <c r="CE274" s="8">
        <v>0</v>
      </c>
      <c r="CF274" s="8">
        <v>0</v>
      </c>
      <c r="CG274" s="8">
        <v>0</v>
      </c>
      <c r="CH274" s="8">
        <v>0</v>
      </c>
      <c r="CI274" s="8">
        <v>0</v>
      </c>
      <c r="CJ274" s="8">
        <v>0</v>
      </c>
      <c r="CK274" s="8">
        <v>0</v>
      </c>
      <c r="CL274" s="8">
        <v>0</v>
      </c>
      <c r="CM274" s="8">
        <v>0</v>
      </c>
      <c r="CN274" s="8">
        <v>0</v>
      </c>
      <c r="CO274" s="9">
        <f t="shared" si="139"/>
        <v>0</v>
      </c>
      <c r="CP274" s="8">
        <v>0</v>
      </c>
      <c r="CQ274" s="8">
        <v>0</v>
      </c>
      <c r="CR274" s="8">
        <v>0</v>
      </c>
      <c r="CS274" s="8">
        <v>0</v>
      </c>
      <c r="CT274" s="8">
        <v>0</v>
      </c>
      <c r="CU274" s="8">
        <v>0</v>
      </c>
      <c r="CV274" s="8">
        <v>0</v>
      </c>
      <c r="CW274" s="8">
        <v>0</v>
      </c>
      <c r="CX274" s="8">
        <v>0</v>
      </c>
      <c r="CY274" s="8">
        <v>0</v>
      </c>
      <c r="CZ274" s="8">
        <v>0</v>
      </c>
      <c r="DA274" s="8">
        <v>0</v>
      </c>
      <c r="DB274" s="9">
        <f t="shared" si="140"/>
        <v>0</v>
      </c>
      <c r="DC274" s="8">
        <v>0</v>
      </c>
      <c r="DD274" s="8">
        <v>0</v>
      </c>
      <c r="DE274" s="8">
        <v>0</v>
      </c>
      <c r="DF274" s="8">
        <v>0</v>
      </c>
      <c r="DG274" s="8">
        <v>0</v>
      </c>
      <c r="DH274" s="8">
        <v>0</v>
      </c>
      <c r="DI274" s="8">
        <v>0</v>
      </c>
      <c r="DJ274" s="8">
        <v>0</v>
      </c>
      <c r="DK274" s="8">
        <v>0</v>
      </c>
      <c r="DL274" s="8">
        <v>0</v>
      </c>
      <c r="DM274" s="8">
        <v>0</v>
      </c>
      <c r="DN274" s="8">
        <v>0</v>
      </c>
      <c r="DO274" s="9">
        <f t="shared" si="141"/>
        <v>0</v>
      </c>
      <c r="DP274" s="8">
        <v>0</v>
      </c>
      <c r="DQ274" s="8">
        <v>0</v>
      </c>
      <c r="DR274" s="8">
        <v>0</v>
      </c>
      <c r="DS274" s="8">
        <v>0</v>
      </c>
      <c r="DT274" s="8">
        <v>0</v>
      </c>
      <c r="DU274" s="8">
        <v>0</v>
      </c>
      <c r="DV274" s="8">
        <v>0</v>
      </c>
      <c r="DW274" s="8">
        <v>0</v>
      </c>
      <c r="DX274" s="8">
        <v>0</v>
      </c>
      <c r="DY274" s="8">
        <v>0</v>
      </c>
      <c r="DZ274" s="8">
        <v>0</v>
      </c>
      <c r="EA274" s="8">
        <v>0</v>
      </c>
      <c r="EB274" s="9">
        <f t="shared" si="142"/>
        <v>0</v>
      </c>
      <c r="EC274" s="8">
        <v>0</v>
      </c>
      <c r="ED274" s="8">
        <v>0</v>
      </c>
      <c r="EE274" s="8">
        <v>0</v>
      </c>
      <c r="EF274" s="8">
        <v>0</v>
      </c>
      <c r="EG274" s="8">
        <v>0</v>
      </c>
      <c r="EH274" s="8">
        <v>0</v>
      </c>
      <c r="EI274" s="8">
        <v>0</v>
      </c>
      <c r="EJ274" s="8">
        <v>0</v>
      </c>
      <c r="EK274" s="8">
        <v>0</v>
      </c>
      <c r="EL274" s="8">
        <v>0</v>
      </c>
      <c r="EM274" s="8">
        <v>0</v>
      </c>
      <c r="EN274" s="8">
        <v>0</v>
      </c>
      <c r="EO274" s="9">
        <f t="shared" si="143"/>
        <v>0</v>
      </c>
      <c r="EP274" s="8">
        <v>0</v>
      </c>
      <c r="EQ274" s="8">
        <v>0</v>
      </c>
      <c r="ER274" s="8">
        <v>0</v>
      </c>
      <c r="ES274" s="8">
        <v>0</v>
      </c>
      <c r="ET274" s="8">
        <v>0</v>
      </c>
      <c r="EU274" s="8">
        <v>0</v>
      </c>
      <c r="EV274" s="8">
        <v>0</v>
      </c>
      <c r="EW274" s="8">
        <v>0</v>
      </c>
      <c r="EX274" s="8">
        <v>0</v>
      </c>
      <c r="EY274" s="8">
        <v>0</v>
      </c>
      <c r="EZ274" s="8">
        <v>0</v>
      </c>
      <c r="FA274" s="8">
        <v>0</v>
      </c>
      <c r="FB274" s="9">
        <f t="shared" si="144"/>
        <v>0</v>
      </c>
      <c r="FC274" s="8">
        <v>0</v>
      </c>
      <c r="FD274" s="8">
        <v>0</v>
      </c>
      <c r="FE274" s="8">
        <v>0</v>
      </c>
      <c r="FF274" s="8">
        <v>0</v>
      </c>
      <c r="FG274" s="8">
        <v>0</v>
      </c>
      <c r="FH274" s="8">
        <v>0</v>
      </c>
      <c r="FI274" s="8">
        <v>0</v>
      </c>
      <c r="FJ274" s="8"/>
      <c r="FK274" s="8"/>
      <c r="FL274" s="8"/>
      <c r="FM274" s="8"/>
      <c r="FN274" s="8"/>
      <c r="FO274" s="9">
        <f t="shared" si="145"/>
        <v>0</v>
      </c>
    </row>
    <row r="275" spans="2:171" ht="14.25" customHeight="1" x14ac:dyDescent="0.3">
      <c r="B275" s="7" t="s">
        <v>52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9">
        <f t="shared" si="133"/>
        <v>0</v>
      </c>
      <c r="P275" s="8">
        <v>0</v>
      </c>
      <c r="Q275" s="8">
        <v>0</v>
      </c>
      <c r="R275" s="8">
        <v>0</v>
      </c>
      <c r="S275" s="8">
        <v>0</v>
      </c>
      <c r="T275" s="8">
        <v>0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9">
        <f t="shared" si="134"/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9">
        <f t="shared" si="135"/>
        <v>0</v>
      </c>
      <c r="AP275" s="8">
        <v>0</v>
      </c>
      <c r="AQ275" s="8">
        <v>0</v>
      </c>
      <c r="AR275" s="8">
        <v>0</v>
      </c>
      <c r="AS275" s="8">
        <v>0</v>
      </c>
      <c r="AT275" s="8">
        <v>0</v>
      </c>
      <c r="AU275" s="8">
        <v>0</v>
      </c>
      <c r="AV275" s="8">
        <v>0</v>
      </c>
      <c r="AW275" s="8">
        <v>0</v>
      </c>
      <c r="AX275" s="8">
        <v>0</v>
      </c>
      <c r="AY275" s="8">
        <v>0</v>
      </c>
      <c r="AZ275" s="8">
        <v>0</v>
      </c>
      <c r="BA275" s="8">
        <v>0</v>
      </c>
      <c r="BB275" s="9">
        <f t="shared" si="136"/>
        <v>0</v>
      </c>
      <c r="BC275" s="8">
        <v>0</v>
      </c>
      <c r="BD275" s="8">
        <v>0</v>
      </c>
      <c r="BE275" s="8">
        <v>0</v>
      </c>
      <c r="BF275" s="8">
        <v>0</v>
      </c>
      <c r="BG275" s="8">
        <v>0</v>
      </c>
      <c r="BH275" s="8">
        <v>0</v>
      </c>
      <c r="BI275" s="8">
        <v>0</v>
      </c>
      <c r="BJ275" s="8">
        <v>0</v>
      </c>
      <c r="BK275" s="8">
        <v>0</v>
      </c>
      <c r="BL275" s="8">
        <v>0</v>
      </c>
      <c r="BM275" s="8">
        <v>0</v>
      </c>
      <c r="BN275" s="8">
        <v>0</v>
      </c>
      <c r="BO275" s="9">
        <f t="shared" si="137"/>
        <v>0</v>
      </c>
      <c r="BP275" s="8">
        <v>0</v>
      </c>
      <c r="BQ275" s="8">
        <v>0</v>
      </c>
      <c r="BR275" s="8">
        <v>0</v>
      </c>
      <c r="BS275" s="8">
        <v>0</v>
      </c>
      <c r="BT275" s="8">
        <v>0</v>
      </c>
      <c r="BU275" s="8">
        <v>0</v>
      </c>
      <c r="BV275" s="8">
        <v>0</v>
      </c>
      <c r="BW275" s="8">
        <v>0</v>
      </c>
      <c r="BX275" s="8">
        <v>0</v>
      </c>
      <c r="BY275" s="8">
        <v>0</v>
      </c>
      <c r="BZ275" s="8">
        <v>0</v>
      </c>
      <c r="CA275" s="8">
        <v>0</v>
      </c>
      <c r="CB275" s="9">
        <f t="shared" si="138"/>
        <v>0</v>
      </c>
      <c r="CC275" s="8">
        <v>0</v>
      </c>
      <c r="CD275" s="8">
        <v>0</v>
      </c>
      <c r="CE275" s="8">
        <v>0</v>
      </c>
      <c r="CF275" s="8">
        <v>0</v>
      </c>
      <c r="CG275" s="8">
        <v>0</v>
      </c>
      <c r="CH275" s="8">
        <v>0</v>
      </c>
      <c r="CI275" s="8">
        <v>0</v>
      </c>
      <c r="CJ275" s="8">
        <v>0</v>
      </c>
      <c r="CK275" s="8">
        <v>0</v>
      </c>
      <c r="CL275" s="8">
        <v>0</v>
      </c>
      <c r="CM275" s="8">
        <v>0</v>
      </c>
      <c r="CN275" s="8">
        <v>0</v>
      </c>
      <c r="CO275" s="9">
        <f t="shared" si="139"/>
        <v>0</v>
      </c>
      <c r="CP275" s="8">
        <v>0</v>
      </c>
      <c r="CQ275" s="8">
        <v>0</v>
      </c>
      <c r="CR275" s="8">
        <v>0</v>
      </c>
      <c r="CS275" s="8">
        <v>0</v>
      </c>
      <c r="CT275" s="8">
        <v>0</v>
      </c>
      <c r="CU275" s="8">
        <v>0</v>
      </c>
      <c r="CV275" s="8">
        <v>0</v>
      </c>
      <c r="CW275" s="8">
        <v>0</v>
      </c>
      <c r="CX275" s="8">
        <v>0</v>
      </c>
      <c r="CY275" s="8">
        <v>0</v>
      </c>
      <c r="CZ275" s="8">
        <v>0</v>
      </c>
      <c r="DA275" s="8">
        <v>0</v>
      </c>
      <c r="DB275" s="9">
        <f t="shared" si="140"/>
        <v>0</v>
      </c>
      <c r="DC275" s="8">
        <v>0</v>
      </c>
      <c r="DD275" s="8">
        <v>0</v>
      </c>
      <c r="DE275" s="8">
        <v>0</v>
      </c>
      <c r="DF275" s="8">
        <v>0</v>
      </c>
      <c r="DG275" s="8">
        <v>0</v>
      </c>
      <c r="DH275" s="8">
        <v>0</v>
      </c>
      <c r="DI275" s="8">
        <v>0</v>
      </c>
      <c r="DJ275" s="8">
        <v>0</v>
      </c>
      <c r="DK275" s="8">
        <v>0</v>
      </c>
      <c r="DL275" s="8">
        <v>0</v>
      </c>
      <c r="DM275" s="8">
        <v>0</v>
      </c>
      <c r="DN275" s="8">
        <v>0</v>
      </c>
      <c r="DO275" s="9">
        <f t="shared" si="141"/>
        <v>0</v>
      </c>
      <c r="DP275" s="8">
        <v>0</v>
      </c>
      <c r="DQ275" s="8">
        <v>0</v>
      </c>
      <c r="DR275" s="8">
        <v>0</v>
      </c>
      <c r="DS275" s="8">
        <v>0</v>
      </c>
      <c r="DT275" s="8">
        <v>0</v>
      </c>
      <c r="DU275" s="8">
        <v>0</v>
      </c>
      <c r="DV275" s="8">
        <v>0</v>
      </c>
      <c r="DW275" s="8">
        <v>0</v>
      </c>
      <c r="DX275" s="8">
        <v>0</v>
      </c>
      <c r="DY275" s="8">
        <v>0</v>
      </c>
      <c r="DZ275" s="8">
        <v>0</v>
      </c>
      <c r="EA275" s="8">
        <v>0</v>
      </c>
      <c r="EB275" s="9">
        <f t="shared" si="142"/>
        <v>0</v>
      </c>
      <c r="EC275" s="8">
        <v>0</v>
      </c>
      <c r="ED275" s="8">
        <v>0</v>
      </c>
      <c r="EE275" s="8">
        <v>0</v>
      </c>
      <c r="EF275" s="8">
        <v>0</v>
      </c>
      <c r="EG275" s="8">
        <v>0</v>
      </c>
      <c r="EH275" s="8">
        <v>0</v>
      </c>
      <c r="EI275" s="8">
        <v>0</v>
      </c>
      <c r="EJ275" s="8">
        <v>0</v>
      </c>
      <c r="EK275" s="8">
        <v>0</v>
      </c>
      <c r="EL275" s="8">
        <v>0</v>
      </c>
      <c r="EM275" s="8">
        <v>0</v>
      </c>
      <c r="EN275" s="8">
        <v>0</v>
      </c>
      <c r="EO275" s="9">
        <f t="shared" si="143"/>
        <v>0</v>
      </c>
      <c r="EP275" s="8">
        <v>0</v>
      </c>
      <c r="EQ275" s="8">
        <v>0</v>
      </c>
      <c r="ER275" s="8">
        <v>0</v>
      </c>
      <c r="ES275" s="8">
        <v>0</v>
      </c>
      <c r="ET275" s="8">
        <v>0</v>
      </c>
      <c r="EU275" s="8">
        <v>0</v>
      </c>
      <c r="EV275" s="8">
        <v>0</v>
      </c>
      <c r="EW275" s="8">
        <v>0</v>
      </c>
      <c r="EX275" s="8">
        <v>0</v>
      </c>
      <c r="EY275" s="8">
        <v>0</v>
      </c>
      <c r="EZ275" s="8">
        <v>0</v>
      </c>
      <c r="FA275" s="8">
        <v>0</v>
      </c>
      <c r="FB275" s="9">
        <f t="shared" si="144"/>
        <v>0</v>
      </c>
      <c r="FC275" s="8">
        <v>0</v>
      </c>
      <c r="FD275" s="8">
        <v>0</v>
      </c>
      <c r="FE275" s="8">
        <v>0</v>
      </c>
      <c r="FF275" s="8">
        <v>0</v>
      </c>
      <c r="FG275" s="8">
        <v>0</v>
      </c>
      <c r="FH275" s="8">
        <v>0</v>
      </c>
      <c r="FI275" s="8">
        <v>0</v>
      </c>
      <c r="FJ275" s="8"/>
      <c r="FK275" s="8"/>
      <c r="FL275" s="8"/>
      <c r="FM275" s="8"/>
      <c r="FN275" s="8"/>
      <c r="FO275" s="9">
        <f t="shared" si="145"/>
        <v>0</v>
      </c>
    </row>
    <row r="276" spans="2:171" ht="14.25" customHeight="1" x14ac:dyDescent="0.3">
      <c r="B276" s="7" t="s">
        <v>53</v>
      </c>
      <c r="C276" s="8">
        <v>0</v>
      </c>
      <c r="D276" s="8">
        <v>0</v>
      </c>
      <c r="E276" s="8">
        <v>0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9">
        <f t="shared" si="133"/>
        <v>0</v>
      </c>
      <c r="P276" s="8">
        <v>0</v>
      </c>
      <c r="Q276" s="8">
        <v>0</v>
      </c>
      <c r="R276" s="8">
        <v>0</v>
      </c>
      <c r="S276" s="8">
        <v>0</v>
      </c>
      <c r="T276" s="8">
        <v>0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9">
        <f t="shared" si="134"/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0</v>
      </c>
      <c r="AO276" s="9">
        <f t="shared" si="135"/>
        <v>0</v>
      </c>
      <c r="AP276" s="8">
        <v>0</v>
      </c>
      <c r="AQ276" s="8">
        <v>0</v>
      </c>
      <c r="AR276" s="8">
        <v>0</v>
      </c>
      <c r="AS276" s="8">
        <v>0</v>
      </c>
      <c r="AT276" s="8">
        <v>0</v>
      </c>
      <c r="AU276" s="8">
        <v>0</v>
      </c>
      <c r="AV276" s="8">
        <v>0</v>
      </c>
      <c r="AW276" s="8">
        <v>0</v>
      </c>
      <c r="AX276" s="8">
        <v>0</v>
      </c>
      <c r="AY276" s="8">
        <v>0</v>
      </c>
      <c r="AZ276" s="8">
        <v>0</v>
      </c>
      <c r="BA276" s="8">
        <v>0</v>
      </c>
      <c r="BB276" s="9">
        <f t="shared" si="136"/>
        <v>0</v>
      </c>
      <c r="BC276" s="8">
        <v>0</v>
      </c>
      <c r="BD276" s="8">
        <v>0</v>
      </c>
      <c r="BE276" s="8">
        <v>0</v>
      </c>
      <c r="BF276" s="8">
        <v>0</v>
      </c>
      <c r="BG276" s="8">
        <v>0</v>
      </c>
      <c r="BH276" s="8">
        <v>0</v>
      </c>
      <c r="BI276" s="8">
        <v>0</v>
      </c>
      <c r="BJ276" s="8">
        <v>0</v>
      </c>
      <c r="BK276" s="8">
        <v>0</v>
      </c>
      <c r="BL276" s="8">
        <v>0</v>
      </c>
      <c r="BM276" s="8">
        <v>0</v>
      </c>
      <c r="BN276" s="8">
        <v>0</v>
      </c>
      <c r="BO276" s="9">
        <f t="shared" si="137"/>
        <v>0</v>
      </c>
      <c r="BP276" s="8">
        <v>0</v>
      </c>
      <c r="BQ276" s="8">
        <v>0</v>
      </c>
      <c r="BR276" s="8">
        <v>0</v>
      </c>
      <c r="BS276" s="8">
        <v>0</v>
      </c>
      <c r="BT276" s="8">
        <v>0</v>
      </c>
      <c r="BU276" s="8">
        <v>0</v>
      </c>
      <c r="BV276" s="8">
        <v>0</v>
      </c>
      <c r="BW276" s="8">
        <v>0</v>
      </c>
      <c r="BX276" s="8">
        <v>0</v>
      </c>
      <c r="BY276" s="8">
        <v>0</v>
      </c>
      <c r="BZ276" s="8">
        <v>0</v>
      </c>
      <c r="CA276" s="8">
        <v>0</v>
      </c>
      <c r="CB276" s="9">
        <f t="shared" si="138"/>
        <v>0</v>
      </c>
      <c r="CC276" s="8">
        <v>0</v>
      </c>
      <c r="CD276" s="8">
        <v>0</v>
      </c>
      <c r="CE276" s="8">
        <v>0</v>
      </c>
      <c r="CF276" s="8">
        <v>0</v>
      </c>
      <c r="CG276" s="8">
        <v>0</v>
      </c>
      <c r="CH276" s="8">
        <v>0</v>
      </c>
      <c r="CI276" s="8">
        <v>0</v>
      </c>
      <c r="CJ276" s="8">
        <v>0</v>
      </c>
      <c r="CK276" s="8">
        <v>0</v>
      </c>
      <c r="CL276" s="8">
        <v>0</v>
      </c>
      <c r="CM276" s="8">
        <v>0</v>
      </c>
      <c r="CN276" s="8">
        <v>0</v>
      </c>
      <c r="CO276" s="9">
        <f t="shared" si="139"/>
        <v>0</v>
      </c>
      <c r="CP276" s="8">
        <v>0</v>
      </c>
      <c r="CQ276" s="8">
        <v>0</v>
      </c>
      <c r="CR276" s="8">
        <v>0</v>
      </c>
      <c r="CS276" s="8">
        <v>0</v>
      </c>
      <c r="CT276" s="8">
        <v>0</v>
      </c>
      <c r="CU276" s="8">
        <v>0</v>
      </c>
      <c r="CV276" s="8">
        <v>0</v>
      </c>
      <c r="CW276" s="8">
        <v>0</v>
      </c>
      <c r="CX276" s="8">
        <v>0</v>
      </c>
      <c r="CY276" s="8">
        <v>0</v>
      </c>
      <c r="CZ276" s="8">
        <v>0</v>
      </c>
      <c r="DA276" s="8">
        <v>0</v>
      </c>
      <c r="DB276" s="9">
        <f t="shared" si="140"/>
        <v>0</v>
      </c>
      <c r="DC276" s="8">
        <v>0</v>
      </c>
      <c r="DD276" s="8">
        <v>0</v>
      </c>
      <c r="DE276" s="8">
        <v>0</v>
      </c>
      <c r="DF276" s="8">
        <v>0</v>
      </c>
      <c r="DG276" s="8">
        <v>0</v>
      </c>
      <c r="DH276" s="8">
        <v>0</v>
      </c>
      <c r="DI276" s="8">
        <v>0</v>
      </c>
      <c r="DJ276" s="8">
        <v>0</v>
      </c>
      <c r="DK276" s="8">
        <v>0</v>
      </c>
      <c r="DL276" s="8">
        <v>0</v>
      </c>
      <c r="DM276" s="8">
        <v>0</v>
      </c>
      <c r="DN276" s="8">
        <v>0</v>
      </c>
      <c r="DO276" s="9">
        <f t="shared" si="141"/>
        <v>0</v>
      </c>
      <c r="DP276" s="8">
        <v>0</v>
      </c>
      <c r="DQ276" s="8">
        <v>0</v>
      </c>
      <c r="DR276" s="8">
        <v>0</v>
      </c>
      <c r="DS276" s="8">
        <v>0</v>
      </c>
      <c r="DT276" s="8">
        <v>0</v>
      </c>
      <c r="DU276" s="8">
        <v>0</v>
      </c>
      <c r="DV276" s="8">
        <v>0</v>
      </c>
      <c r="DW276" s="8">
        <v>0</v>
      </c>
      <c r="DX276" s="8">
        <v>0</v>
      </c>
      <c r="DY276" s="8">
        <v>0</v>
      </c>
      <c r="DZ276" s="8">
        <v>0</v>
      </c>
      <c r="EA276" s="8">
        <v>0</v>
      </c>
      <c r="EB276" s="9">
        <f t="shared" si="142"/>
        <v>0</v>
      </c>
      <c r="EC276" s="8">
        <v>0</v>
      </c>
      <c r="ED276" s="8">
        <v>0</v>
      </c>
      <c r="EE276" s="8">
        <v>0</v>
      </c>
      <c r="EF276" s="8">
        <v>0</v>
      </c>
      <c r="EG276" s="8">
        <v>0</v>
      </c>
      <c r="EH276" s="8">
        <v>0</v>
      </c>
      <c r="EI276" s="8">
        <v>0</v>
      </c>
      <c r="EJ276" s="8">
        <v>0</v>
      </c>
      <c r="EK276" s="8">
        <v>0</v>
      </c>
      <c r="EL276" s="8">
        <v>0</v>
      </c>
      <c r="EM276" s="8">
        <v>0</v>
      </c>
      <c r="EN276" s="8">
        <v>0</v>
      </c>
      <c r="EO276" s="9">
        <f t="shared" si="143"/>
        <v>0</v>
      </c>
      <c r="EP276" s="8">
        <v>0</v>
      </c>
      <c r="EQ276" s="8">
        <v>0</v>
      </c>
      <c r="ER276" s="8">
        <v>0</v>
      </c>
      <c r="ES276" s="8">
        <v>0</v>
      </c>
      <c r="ET276" s="8">
        <v>0</v>
      </c>
      <c r="EU276" s="8">
        <v>0</v>
      </c>
      <c r="EV276" s="8">
        <v>0</v>
      </c>
      <c r="EW276" s="8">
        <v>0</v>
      </c>
      <c r="EX276" s="8">
        <v>0</v>
      </c>
      <c r="EY276" s="8">
        <v>0</v>
      </c>
      <c r="EZ276" s="8">
        <v>0</v>
      </c>
      <c r="FA276" s="8">
        <v>0</v>
      </c>
      <c r="FB276" s="9">
        <f t="shared" si="144"/>
        <v>0</v>
      </c>
      <c r="FC276" s="8">
        <v>0</v>
      </c>
      <c r="FD276" s="8">
        <v>0</v>
      </c>
      <c r="FE276" s="8">
        <v>0</v>
      </c>
      <c r="FF276" s="8">
        <v>0</v>
      </c>
      <c r="FG276" s="8">
        <v>0</v>
      </c>
      <c r="FH276" s="8">
        <v>0</v>
      </c>
      <c r="FI276" s="8">
        <v>0</v>
      </c>
      <c r="FJ276" s="8"/>
      <c r="FK276" s="8"/>
      <c r="FL276" s="8"/>
      <c r="FM276" s="8"/>
      <c r="FN276" s="8"/>
      <c r="FO276" s="9">
        <f t="shared" si="145"/>
        <v>0</v>
      </c>
    </row>
    <row r="277" spans="2:171" ht="14.25" customHeight="1" x14ac:dyDescent="0.3">
      <c r="B277" s="7" t="s">
        <v>54</v>
      </c>
      <c r="C277" s="8">
        <v>0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0</v>
      </c>
      <c r="O277" s="9">
        <f t="shared" si="133"/>
        <v>0</v>
      </c>
      <c r="P277" s="8">
        <v>0</v>
      </c>
      <c r="Q277" s="8">
        <v>0</v>
      </c>
      <c r="R277" s="8">
        <v>0</v>
      </c>
      <c r="S277" s="8">
        <v>0</v>
      </c>
      <c r="T277" s="8">
        <v>0</v>
      </c>
      <c r="U277" s="8">
        <v>0</v>
      </c>
      <c r="V277" s="8">
        <v>0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9">
        <f t="shared" si="134"/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9">
        <f t="shared" si="135"/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v>0</v>
      </c>
      <c r="AZ277" s="8">
        <v>0</v>
      </c>
      <c r="BA277" s="8">
        <v>0</v>
      </c>
      <c r="BB277" s="9">
        <f t="shared" si="136"/>
        <v>0</v>
      </c>
      <c r="BC277" s="8">
        <v>0</v>
      </c>
      <c r="BD277" s="8">
        <v>0</v>
      </c>
      <c r="BE277" s="8">
        <v>0</v>
      </c>
      <c r="BF277" s="8">
        <v>0</v>
      </c>
      <c r="BG277" s="8">
        <v>0</v>
      </c>
      <c r="BH277" s="8">
        <v>0</v>
      </c>
      <c r="BI277" s="8">
        <v>0</v>
      </c>
      <c r="BJ277" s="8">
        <v>0</v>
      </c>
      <c r="BK277" s="8">
        <v>0</v>
      </c>
      <c r="BL277" s="8">
        <v>0</v>
      </c>
      <c r="BM277" s="8">
        <v>0</v>
      </c>
      <c r="BN277" s="8">
        <v>0</v>
      </c>
      <c r="BO277" s="9">
        <f t="shared" si="137"/>
        <v>0</v>
      </c>
      <c r="BP277" s="8">
        <v>0</v>
      </c>
      <c r="BQ277" s="8">
        <v>0</v>
      </c>
      <c r="BR277" s="8">
        <v>0</v>
      </c>
      <c r="BS277" s="8">
        <v>0</v>
      </c>
      <c r="BT277" s="8">
        <v>0</v>
      </c>
      <c r="BU277" s="8">
        <v>0</v>
      </c>
      <c r="BV277" s="8">
        <v>0</v>
      </c>
      <c r="BW277" s="8">
        <v>0</v>
      </c>
      <c r="BX277" s="8">
        <v>0</v>
      </c>
      <c r="BY277" s="8">
        <v>0</v>
      </c>
      <c r="BZ277" s="8">
        <v>0</v>
      </c>
      <c r="CA277" s="8">
        <v>0</v>
      </c>
      <c r="CB277" s="9">
        <f t="shared" si="138"/>
        <v>0</v>
      </c>
      <c r="CC277" s="8">
        <v>0</v>
      </c>
      <c r="CD277" s="8">
        <v>0</v>
      </c>
      <c r="CE277" s="8">
        <v>0</v>
      </c>
      <c r="CF277" s="8">
        <v>0</v>
      </c>
      <c r="CG277" s="8">
        <v>0</v>
      </c>
      <c r="CH277" s="8">
        <v>0</v>
      </c>
      <c r="CI277" s="8">
        <v>0</v>
      </c>
      <c r="CJ277" s="8">
        <v>0</v>
      </c>
      <c r="CK277" s="8">
        <v>0</v>
      </c>
      <c r="CL277" s="8">
        <v>0</v>
      </c>
      <c r="CM277" s="8">
        <v>0</v>
      </c>
      <c r="CN277" s="8">
        <v>0</v>
      </c>
      <c r="CO277" s="9">
        <f t="shared" si="139"/>
        <v>0</v>
      </c>
      <c r="CP277" s="8">
        <v>0</v>
      </c>
      <c r="CQ277" s="8">
        <v>0</v>
      </c>
      <c r="CR277" s="8">
        <v>0</v>
      </c>
      <c r="CS277" s="8">
        <v>0</v>
      </c>
      <c r="CT277" s="8">
        <v>0</v>
      </c>
      <c r="CU277" s="8">
        <v>0</v>
      </c>
      <c r="CV277" s="8">
        <v>0</v>
      </c>
      <c r="CW277" s="8">
        <v>0</v>
      </c>
      <c r="CX277" s="8">
        <v>0</v>
      </c>
      <c r="CY277" s="8">
        <v>0</v>
      </c>
      <c r="CZ277" s="8">
        <v>0</v>
      </c>
      <c r="DA277" s="8">
        <v>0</v>
      </c>
      <c r="DB277" s="9">
        <f t="shared" si="140"/>
        <v>0</v>
      </c>
      <c r="DC277" s="8">
        <v>0</v>
      </c>
      <c r="DD277" s="8">
        <v>0</v>
      </c>
      <c r="DE277" s="8">
        <v>0</v>
      </c>
      <c r="DF277" s="8">
        <v>0</v>
      </c>
      <c r="DG277" s="8">
        <v>0</v>
      </c>
      <c r="DH277" s="8">
        <v>0</v>
      </c>
      <c r="DI277" s="8">
        <v>0</v>
      </c>
      <c r="DJ277" s="8">
        <v>0</v>
      </c>
      <c r="DK277" s="8">
        <v>0</v>
      </c>
      <c r="DL277" s="8">
        <v>0</v>
      </c>
      <c r="DM277" s="8">
        <v>0</v>
      </c>
      <c r="DN277" s="8">
        <v>0</v>
      </c>
      <c r="DO277" s="9">
        <f t="shared" si="141"/>
        <v>0</v>
      </c>
      <c r="DP277" s="8">
        <v>0</v>
      </c>
      <c r="DQ277" s="8">
        <v>0</v>
      </c>
      <c r="DR277" s="8">
        <v>0</v>
      </c>
      <c r="DS277" s="8">
        <v>0</v>
      </c>
      <c r="DT277" s="8">
        <v>0</v>
      </c>
      <c r="DU277" s="8">
        <v>0</v>
      </c>
      <c r="DV277" s="8">
        <v>0</v>
      </c>
      <c r="DW277" s="8">
        <v>0</v>
      </c>
      <c r="DX277" s="8">
        <v>0</v>
      </c>
      <c r="DY277" s="8">
        <v>0</v>
      </c>
      <c r="DZ277" s="8">
        <v>0</v>
      </c>
      <c r="EA277" s="8">
        <v>0</v>
      </c>
      <c r="EB277" s="9">
        <f t="shared" si="142"/>
        <v>0</v>
      </c>
      <c r="EC277" s="8">
        <v>0</v>
      </c>
      <c r="ED277" s="8">
        <v>0</v>
      </c>
      <c r="EE277" s="8">
        <v>0</v>
      </c>
      <c r="EF277" s="8">
        <v>0</v>
      </c>
      <c r="EG277" s="8">
        <v>0</v>
      </c>
      <c r="EH277" s="8">
        <v>0</v>
      </c>
      <c r="EI277" s="8">
        <v>0</v>
      </c>
      <c r="EJ277" s="8">
        <v>0</v>
      </c>
      <c r="EK277" s="8">
        <v>0</v>
      </c>
      <c r="EL277" s="8">
        <v>0</v>
      </c>
      <c r="EM277" s="8">
        <v>0</v>
      </c>
      <c r="EN277" s="8">
        <v>0</v>
      </c>
      <c r="EO277" s="9">
        <f t="shared" si="143"/>
        <v>0</v>
      </c>
      <c r="EP277" s="8">
        <v>0</v>
      </c>
      <c r="EQ277" s="8">
        <v>0</v>
      </c>
      <c r="ER277" s="8">
        <v>0</v>
      </c>
      <c r="ES277" s="8">
        <v>0</v>
      </c>
      <c r="ET277" s="8">
        <v>0</v>
      </c>
      <c r="EU277" s="8">
        <v>0</v>
      </c>
      <c r="EV277" s="8">
        <v>0</v>
      </c>
      <c r="EW277" s="8">
        <v>0</v>
      </c>
      <c r="EX277" s="8">
        <v>0</v>
      </c>
      <c r="EY277" s="8">
        <v>0</v>
      </c>
      <c r="EZ277" s="8">
        <v>0</v>
      </c>
      <c r="FA277" s="8">
        <v>0</v>
      </c>
      <c r="FB277" s="9">
        <f t="shared" si="144"/>
        <v>0</v>
      </c>
      <c r="FC277" s="8">
        <v>0</v>
      </c>
      <c r="FD277" s="8">
        <v>0</v>
      </c>
      <c r="FE277" s="8">
        <v>0</v>
      </c>
      <c r="FF277" s="8">
        <v>0</v>
      </c>
      <c r="FG277" s="8">
        <v>0</v>
      </c>
      <c r="FH277" s="8">
        <v>0</v>
      </c>
      <c r="FI277" s="8">
        <v>0</v>
      </c>
      <c r="FJ277" s="8"/>
      <c r="FK277" s="8"/>
      <c r="FL277" s="8"/>
      <c r="FM277" s="8"/>
      <c r="FN277" s="8"/>
      <c r="FO277" s="9">
        <f t="shared" si="145"/>
        <v>0</v>
      </c>
    </row>
    <row r="278" spans="2:171" ht="14.25" customHeight="1" x14ac:dyDescent="0.3">
      <c r="B278" s="7" t="s">
        <v>55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9">
        <f t="shared" si="133"/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9">
        <f t="shared" si="134"/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9">
        <f t="shared" si="135"/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v>0</v>
      </c>
      <c r="AZ278" s="8">
        <v>0</v>
      </c>
      <c r="BA278" s="8">
        <v>0</v>
      </c>
      <c r="BB278" s="9">
        <f t="shared" si="136"/>
        <v>0</v>
      </c>
      <c r="BC278" s="8">
        <v>0</v>
      </c>
      <c r="BD278" s="8">
        <v>0</v>
      </c>
      <c r="BE278" s="8">
        <v>0</v>
      </c>
      <c r="BF278" s="8">
        <v>0</v>
      </c>
      <c r="BG278" s="8">
        <v>0</v>
      </c>
      <c r="BH278" s="8">
        <v>0</v>
      </c>
      <c r="BI278" s="8">
        <v>0</v>
      </c>
      <c r="BJ278" s="8">
        <v>0</v>
      </c>
      <c r="BK278" s="8">
        <v>0</v>
      </c>
      <c r="BL278" s="8">
        <v>0</v>
      </c>
      <c r="BM278" s="8">
        <v>0</v>
      </c>
      <c r="BN278" s="8">
        <v>0</v>
      </c>
      <c r="BO278" s="9">
        <f t="shared" si="137"/>
        <v>0</v>
      </c>
      <c r="BP278" s="8">
        <v>0</v>
      </c>
      <c r="BQ278" s="8">
        <v>0</v>
      </c>
      <c r="BR278" s="8">
        <v>0</v>
      </c>
      <c r="BS278" s="8">
        <v>0</v>
      </c>
      <c r="BT278" s="8">
        <v>0</v>
      </c>
      <c r="BU278" s="8">
        <v>0</v>
      </c>
      <c r="BV278" s="8">
        <v>0</v>
      </c>
      <c r="BW278" s="8">
        <v>0</v>
      </c>
      <c r="BX278" s="8">
        <v>0</v>
      </c>
      <c r="BY278" s="8">
        <v>0</v>
      </c>
      <c r="BZ278" s="8">
        <v>0</v>
      </c>
      <c r="CA278" s="8">
        <v>0</v>
      </c>
      <c r="CB278" s="9">
        <f t="shared" si="138"/>
        <v>0</v>
      </c>
      <c r="CC278" s="8">
        <v>0</v>
      </c>
      <c r="CD278" s="8">
        <v>0</v>
      </c>
      <c r="CE278" s="8">
        <v>0</v>
      </c>
      <c r="CF278" s="8">
        <v>0</v>
      </c>
      <c r="CG278" s="8">
        <v>0</v>
      </c>
      <c r="CH278" s="8">
        <v>0</v>
      </c>
      <c r="CI278" s="8">
        <v>0</v>
      </c>
      <c r="CJ278" s="8">
        <v>0</v>
      </c>
      <c r="CK278" s="8">
        <v>0</v>
      </c>
      <c r="CL278" s="8">
        <v>0</v>
      </c>
      <c r="CM278" s="8">
        <v>0</v>
      </c>
      <c r="CN278" s="8">
        <v>0</v>
      </c>
      <c r="CO278" s="9">
        <f t="shared" si="139"/>
        <v>0</v>
      </c>
      <c r="CP278" s="8">
        <v>0</v>
      </c>
      <c r="CQ278" s="8">
        <v>0</v>
      </c>
      <c r="CR278" s="8">
        <v>0</v>
      </c>
      <c r="CS278" s="8">
        <v>0</v>
      </c>
      <c r="CT278" s="8">
        <v>0</v>
      </c>
      <c r="CU278" s="8">
        <v>0</v>
      </c>
      <c r="CV278" s="8">
        <v>0</v>
      </c>
      <c r="CW278" s="8">
        <v>0</v>
      </c>
      <c r="CX278" s="8">
        <v>0</v>
      </c>
      <c r="CY278" s="8">
        <v>0</v>
      </c>
      <c r="CZ278" s="8">
        <v>0</v>
      </c>
      <c r="DA278" s="8">
        <v>0</v>
      </c>
      <c r="DB278" s="9">
        <f t="shared" si="140"/>
        <v>0</v>
      </c>
      <c r="DC278" s="8">
        <v>0</v>
      </c>
      <c r="DD278" s="8">
        <v>0</v>
      </c>
      <c r="DE278" s="8">
        <v>0</v>
      </c>
      <c r="DF278" s="8">
        <v>0</v>
      </c>
      <c r="DG278" s="8">
        <v>0</v>
      </c>
      <c r="DH278" s="8">
        <v>0</v>
      </c>
      <c r="DI278" s="8">
        <v>0</v>
      </c>
      <c r="DJ278" s="8">
        <v>0</v>
      </c>
      <c r="DK278" s="8">
        <v>0</v>
      </c>
      <c r="DL278" s="8">
        <v>0</v>
      </c>
      <c r="DM278" s="8">
        <v>0</v>
      </c>
      <c r="DN278" s="8">
        <v>0</v>
      </c>
      <c r="DO278" s="9">
        <f t="shared" si="141"/>
        <v>0</v>
      </c>
      <c r="DP278" s="8">
        <v>0</v>
      </c>
      <c r="DQ278" s="8">
        <v>0</v>
      </c>
      <c r="DR278" s="8">
        <v>0</v>
      </c>
      <c r="DS278" s="8">
        <v>0</v>
      </c>
      <c r="DT278" s="8">
        <v>0</v>
      </c>
      <c r="DU278" s="8">
        <v>0</v>
      </c>
      <c r="DV278" s="8">
        <v>0</v>
      </c>
      <c r="DW278" s="8">
        <v>0</v>
      </c>
      <c r="DX278" s="8">
        <v>0</v>
      </c>
      <c r="DY278" s="8">
        <v>0</v>
      </c>
      <c r="DZ278" s="8">
        <v>0</v>
      </c>
      <c r="EA278" s="8">
        <v>0</v>
      </c>
      <c r="EB278" s="9">
        <f t="shared" si="142"/>
        <v>0</v>
      </c>
      <c r="EC278" s="8">
        <v>0</v>
      </c>
      <c r="ED278" s="8">
        <v>0</v>
      </c>
      <c r="EE278" s="8">
        <v>0</v>
      </c>
      <c r="EF278" s="8">
        <v>0</v>
      </c>
      <c r="EG278" s="8">
        <v>0</v>
      </c>
      <c r="EH278" s="8">
        <v>0</v>
      </c>
      <c r="EI278" s="8">
        <v>0</v>
      </c>
      <c r="EJ278" s="8">
        <v>0</v>
      </c>
      <c r="EK278" s="8">
        <v>0</v>
      </c>
      <c r="EL278" s="8">
        <v>0</v>
      </c>
      <c r="EM278" s="8">
        <v>0</v>
      </c>
      <c r="EN278" s="8">
        <v>0</v>
      </c>
      <c r="EO278" s="9">
        <f t="shared" si="143"/>
        <v>0</v>
      </c>
      <c r="EP278" s="8">
        <v>0</v>
      </c>
      <c r="EQ278" s="8">
        <v>0</v>
      </c>
      <c r="ER278" s="8">
        <v>0</v>
      </c>
      <c r="ES278" s="8">
        <v>0</v>
      </c>
      <c r="ET278" s="8">
        <v>0</v>
      </c>
      <c r="EU278" s="8">
        <v>0</v>
      </c>
      <c r="EV278" s="8">
        <v>0</v>
      </c>
      <c r="EW278" s="8">
        <v>0</v>
      </c>
      <c r="EX278" s="8">
        <v>0</v>
      </c>
      <c r="EY278" s="8">
        <v>0</v>
      </c>
      <c r="EZ278" s="8">
        <v>0</v>
      </c>
      <c r="FA278" s="8">
        <v>0</v>
      </c>
      <c r="FB278" s="9">
        <f t="shared" si="144"/>
        <v>0</v>
      </c>
      <c r="FC278" s="8">
        <v>0</v>
      </c>
      <c r="FD278" s="8">
        <v>0</v>
      </c>
      <c r="FE278" s="8">
        <v>0</v>
      </c>
      <c r="FF278" s="8">
        <v>0</v>
      </c>
      <c r="FG278" s="8">
        <v>0</v>
      </c>
      <c r="FH278" s="8">
        <v>0</v>
      </c>
      <c r="FI278" s="8">
        <v>0</v>
      </c>
      <c r="FJ278" s="8"/>
      <c r="FK278" s="8"/>
      <c r="FL278" s="8"/>
      <c r="FM278" s="8"/>
      <c r="FN278" s="8"/>
      <c r="FO278" s="9">
        <f t="shared" si="145"/>
        <v>0</v>
      </c>
    </row>
    <row r="279" spans="2:171" ht="14.25" customHeight="1" x14ac:dyDescent="0.3">
      <c r="B279" s="7" t="s">
        <v>56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9">
        <f t="shared" si="133"/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9">
        <f t="shared" si="134"/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9">
        <f t="shared" si="135"/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v>0</v>
      </c>
      <c r="AZ279" s="8">
        <v>0</v>
      </c>
      <c r="BA279" s="8">
        <v>0</v>
      </c>
      <c r="BB279" s="9">
        <f t="shared" si="136"/>
        <v>0</v>
      </c>
      <c r="BC279" s="8">
        <v>0</v>
      </c>
      <c r="BD279" s="8">
        <v>0</v>
      </c>
      <c r="BE279" s="8">
        <v>0</v>
      </c>
      <c r="BF279" s="8">
        <v>0</v>
      </c>
      <c r="BG279" s="8">
        <v>0</v>
      </c>
      <c r="BH279" s="8">
        <v>0</v>
      </c>
      <c r="BI279" s="8">
        <v>0</v>
      </c>
      <c r="BJ279" s="8">
        <v>0</v>
      </c>
      <c r="BK279" s="8">
        <v>0</v>
      </c>
      <c r="BL279" s="8">
        <v>0</v>
      </c>
      <c r="BM279" s="8">
        <v>0</v>
      </c>
      <c r="BN279" s="8">
        <v>0</v>
      </c>
      <c r="BO279" s="9">
        <f t="shared" si="137"/>
        <v>0</v>
      </c>
      <c r="BP279" s="8">
        <v>0</v>
      </c>
      <c r="BQ279" s="8">
        <v>0</v>
      </c>
      <c r="BR279" s="8">
        <v>0</v>
      </c>
      <c r="BS279" s="8">
        <v>0</v>
      </c>
      <c r="BT279" s="8">
        <v>0</v>
      </c>
      <c r="BU279" s="8">
        <v>0</v>
      </c>
      <c r="BV279" s="8">
        <v>0</v>
      </c>
      <c r="BW279" s="8">
        <v>0</v>
      </c>
      <c r="BX279" s="8">
        <v>0</v>
      </c>
      <c r="BY279" s="8">
        <v>0</v>
      </c>
      <c r="BZ279" s="8">
        <v>0</v>
      </c>
      <c r="CA279" s="8">
        <v>0</v>
      </c>
      <c r="CB279" s="9">
        <f t="shared" si="138"/>
        <v>0</v>
      </c>
      <c r="CC279" s="8">
        <v>0</v>
      </c>
      <c r="CD279" s="8">
        <v>0</v>
      </c>
      <c r="CE279" s="8">
        <v>0</v>
      </c>
      <c r="CF279" s="8">
        <v>0</v>
      </c>
      <c r="CG279" s="8">
        <v>0</v>
      </c>
      <c r="CH279" s="8">
        <v>0</v>
      </c>
      <c r="CI279" s="8">
        <v>0</v>
      </c>
      <c r="CJ279" s="8">
        <v>0</v>
      </c>
      <c r="CK279" s="8">
        <v>0</v>
      </c>
      <c r="CL279" s="8">
        <v>0</v>
      </c>
      <c r="CM279" s="8">
        <v>0</v>
      </c>
      <c r="CN279" s="8">
        <v>0</v>
      </c>
      <c r="CO279" s="9">
        <f t="shared" si="139"/>
        <v>0</v>
      </c>
      <c r="CP279" s="8">
        <v>0</v>
      </c>
      <c r="CQ279" s="8">
        <v>0</v>
      </c>
      <c r="CR279" s="8">
        <v>0</v>
      </c>
      <c r="CS279" s="8">
        <v>0</v>
      </c>
      <c r="CT279" s="8">
        <v>0</v>
      </c>
      <c r="CU279" s="8">
        <v>0</v>
      </c>
      <c r="CV279" s="8">
        <v>0</v>
      </c>
      <c r="CW279" s="8">
        <v>0</v>
      </c>
      <c r="CX279" s="8">
        <v>0</v>
      </c>
      <c r="CY279" s="8">
        <v>0</v>
      </c>
      <c r="CZ279" s="8">
        <v>0</v>
      </c>
      <c r="DA279" s="8">
        <v>0</v>
      </c>
      <c r="DB279" s="9">
        <f t="shared" si="140"/>
        <v>0</v>
      </c>
      <c r="DC279" s="8">
        <v>0</v>
      </c>
      <c r="DD279" s="8">
        <v>0</v>
      </c>
      <c r="DE279" s="8">
        <v>0</v>
      </c>
      <c r="DF279" s="8">
        <v>0</v>
      </c>
      <c r="DG279" s="8">
        <v>0</v>
      </c>
      <c r="DH279" s="8">
        <v>0</v>
      </c>
      <c r="DI279" s="8">
        <v>0</v>
      </c>
      <c r="DJ279" s="8">
        <v>0</v>
      </c>
      <c r="DK279" s="8">
        <v>0</v>
      </c>
      <c r="DL279" s="8">
        <v>0</v>
      </c>
      <c r="DM279" s="8">
        <v>0</v>
      </c>
      <c r="DN279" s="8">
        <v>0</v>
      </c>
      <c r="DO279" s="9">
        <f t="shared" si="141"/>
        <v>0</v>
      </c>
      <c r="DP279" s="8">
        <v>0</v>
      </c>
      <c r="DQ279" s="8">
        <v>0</v>
      </c>
      <c r="DR279" s="8">
        <v>0</v>
      </c>
      <c r="DS279" s="8">
        <v>0</v>
      </c>
      <c r="DT279" s="8">
        <v>0</v>
      </c>
      <c r="DU279" s="8">
        <v>0</v>
      </c>
      <c r="DV279" s="8">
        <v>0</v>
      </c>
      <c r="DW279" s="8">
        <v>0</v>
      </c>
      <c r="DX279" s="8">
        <v>0</v>
      </c>
      <c r="DY279" s="8">
        <v>0</v>
      </c>
      <c r="DZ279" s="8">
        <v>0</v>
      </c>
      <c r="EA279" s="8">
        <v>0</v>
      </c>
      <c r="EB279" s="9">
        <f t="shared" si="142"/>
        <v>0</v>
      </c>
      <c r="EC279" s="8">
        <v>0</v>
      </c>
      <c r="ED279" s="8">
        <v>0</v>
      </c>
      <c r="EE279" s="8">
        <v>0</v>
      </c>
      <c r="EF279" s="8">
        <v>0</v>
      </c>
      <c r="EG279" s="8">
        <v>0</v>
      </c>
      <c r="EH279" s="8">
        <v>0</v>
      </c>
      <c r="EI279" s="8">
        <v>0</v>
      </c>
      <c r="EJ279" s="8">
        <v>0</v>
      </c>
      <c r="EK279" s="8">
        <v>0</v>
      </c>
      <c r="EL279" s="8">
        <v>0</v>
      </c>
      <c r="EM279" s="8">
        <v>0</v>
      </c>
      <c r="EN279" s="8">
        <v>0</v>
      </c>
      <c r="EO279" s="9">
        <f t="shared" si="143"/>
        <v>0</v>
      </c>
      <c r="EP279" s="8">
        <v>0</v>
      </c>
      <c r="EQ279" s="8">
        <v>0</v>
      </c>
      <c r="ER279" s="8">
        <v>0</v>
      </c>
      <c r="ES279" s="8">
        <v>0</v>
      </c>
      <c r="ET279" s="8">
        <v>0</v>
      </c>
      <c r="EU279" s="8">
        <v>0</v>
      </c>
      <c r="EV279" s="8">
        <v>0</v>
      </c>
      <c r="EW279" s="8">
        <v>0</v>
      </c>
      <c r="EX279" s="8">
        <v>0</v>
      </c>
      <c r="EY279" s="8">
        <v>0</v>
      </c>
      <c r="EZ279" s="8">
        <v>0</v>
      </c>
      <c r="FA279" s="8">
        <v>0</v>
      </c>
      <c r="FB279" s="9">
        <f t="shared" si="144"/>
        <v>0</v>
      </c>
      <c r="FC279" s="8">
        <v>0</v>
      </c>
      <c r="FD279" s="8">
        <v>0</v>
      </c>
      <c r="FE279" s="8">
        <v>0</v>
      </c>
      <c r="FF279" s="8">
        <v>0</v>
      </c>
      <c r="FG279" s="8">
        <v>0</v>
      </c>
      <c r="FH279" s="8">
        <v>0</v>
      </c>
      <c r="FI279" s="8">
        <v>0</v>
      </c>
      <c r="FJ279" s="8"/>
      <c r="FK279" s="8"/>
      <c r="FL279" s="8"/>
      <c r="FM279" s="8"/>
      <c r="FN279" s="8"/>
      <c r="FO279" s="9">
        <f t="shared" si="145"/>
        <v>0</v>
      </c>
    </row>
    <row r="280" spans="2:171" ht="14.25" customHeight="1" x14ac:dyDescent="0.3">
      <c r="B280" s="7" t="s">
        <v>57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9">
        <f t="shared" si="133"/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9">
        <f t="shared" si="134"/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9">
        <f t="shared" si="135"/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v>0</v>
      </c>
      <c r="AZ280" s="8">
        <v>0</v>
      </c>
      <c r="BA280" s="8">
        <v>0</v>
      </c>
      <c r="BB280" s="9">
        <f t="shared" si="136"/>
        <v>0</v>
      </c>
      <c r="BC280" s="8">
        <v>0</v>
      </c>
      <c r="BD280" s="8">
        <v>0</v>
      </c>
      <c r="BE280" s="8">
        <v>0</v>
      </c>
      <c r="BF280" s="8">
        <v>0</v>
      </c>
      <c r="BG280" s="8">
        <v>0</v>
      </c>
      <c r="BH280" s="8">
        <v>0</v>
      </c>
      <c r="BI280" s="8">
        <v>0</v>
      </c>
      <c r="BJ280" s="8">
        <v>0</v>
      </c>
      <c r="BK280" s="8">
        <v>0</v>
      </c>
      <c r="BL280" s="8">
        <v>0</v>
      </c>
      <c r="BM280" s="8">
        <v>0</v>
      </c>
      <c r="BN280" s="8">
        <v>0</v>
      </c>
      <c r="BO280" s="9">
        <f t="shared" si="137"/>
        <v>0</v>
      </c>
      <c r="BP280" s="8">
        <v>0</v>
      </c>
      <c r="BQ280" s="8">
        <v>0</v>
      </c>
      <c r="BR280" s="8">
        <v>0</v>
      </c>
      <c r="BS280" s="8">
        <v>0</v>
      </c>
      <c r="BT280" s="8">
        <v>0</v>
      </c>
      <c r="BU280" s="8">
        <v>0</v>
      </c>
      <c r="BV280" s="8">
        <v>0</v>
      </c>
      <c r="BW280" s="8">
        <v>0</v>
      </c>
      <c r="BX280" s="8">
        <v>0</v>
      </c>
      <c r="BY280" s="8">
        <v>0</v>
      </c>
      <c r="BZ280" s="8">
        <v>0</v>
      </c>
      <c r="CA280" s="8">
        <v>0</v>
      </c>
      <c r="CB280" s="9">
        <f t="shared" si="138"/>
        <v>0</v>
      </c>
      <c r="CC280" s="8">
        <v>0</v>
      </c>
      <c r="CD280" s="8">
        <v>0</v>
      </c>
      <c r="CE280" s="8">
        <v>0</v>
      </c>
      <c r="CF280" s="8">
        <v>0</v>
      </c>
      <c r="CG280" s="8">
        <v>0</v>
      </c>
      <c r="CH280" s="8">
        <v>0</v>
      </c>
      <c r="CI280" s="8">
        <v>0</v>
      </c>
      <c r="CJ280" s="8">
        <v>0</v>
      </c>
      <c r="CK280" s="8">
        <v>0</v>
      </c>
      <c r="CL280" s="8">
        <v>0</v>
      </c>
      <c r="CM280" s="8">
        <v>0</v>
      </c>
      <c r="CN280" s="8">
        <v>0</v>
      </c>
      <c r="CO280" s="9">
        <f t="shared" si="139"/>
        <v>0</v>
      </c>
      <c r="CP280" s="8">
        <v>0</v>
      </c>
      <c r="CQ280" s="8">
        <v>0</v>
      </c>
      <c r="CR280" s="8">
        <v>0</v>
      </c>
      <c r="CS280" s="8">
        <v>0</v>
      </c>
      <c r="CT280" s="8">
        <v>0</v>
      </c>
      <c r="CU280" s="8">
        <v>0</v>
      </c>
      <c r="CV280" s="8">
        <v>0</v>
      </c>
      <c r="CW280" s="8">
        <v>0</v>
      </c>
      <c r="CX280" s="8">
        <v>0</v>
      </c>
      <c r="CY280" s="8">
        <v>0</v>
      </c>
      <c r="CZ280" s="8">
        <v>0</v>
      </c>
      <c r="DA280" s="8">
        <v>0</v>
      </c>
      <c r="DB280" s="9">
        <f t="shared" si="140"/>
        <v>0</v>
      </c>
      <c r="DC280" s="8">
        <v>0</v>
      </c>
      <c r="DD280" s="8">
        <v>0</v>
      </c>
      <c r="DE280" s="8">
        <v>0</v>
      </c>
      <c r="DF280" s="8">
        <v>0</v>
      </c>
      <c r="DG280" s="8">
        <v>0</v>
      </c>
      <c r="DH280" s="8">
        <v>0</v>
      </c>
      <c r="DI280" s="8">
        <v>0</v>
      </c>
      <c r="DJ280" s="8">
        <v>0</v>
      </c>
      <c r="DK280" s="8">
        <v>0</v>
      </c>
      <c r="DL280" s="8">
        <v>0</v>
      </c>
      <c r="DM280" s="8">
        <v>0</v>
      </c>
      <c r="DN280" s="8">
        <v>0</v>
      </c>
      <c r="DO280" s="9">
        <f t="shared" si="141"/>
        <v>0</v>
      </c>
      <c r="DP280" s="8">
        <v>0</v>
      </c>
      <c r="DQ280" s="8">
        <v>0</v>
      </c>
      <c r="DR280" s="8">
        <v>0</v>
      </c>
      <c r="DS280" s="8">
        <v>0</v>
      </c>
      <c r="DT280" s="8">
        <v>0</v>
      </c>
      <c r="DU280" s="8">
        <v>0</v>
      </c>
      <c r="DV280" s="8">
        <v>0</v>
      </c>
      <c r="DW280" s="8">
        <v>0</v>
      </c>
      <c r="DX280" s="8">
        <v>0</v>
      </c>
      <c r="DY280" s="8">
        <v>0</v>
      </c>
      <c r="DZ280" s="8">
        <v>0</v>
      </c>
      <c r="EA280" s="8">
        <v>0</v>
      </c>
      <c r="EB280" s="9">
        <f t="shared" si="142"/>
        <v>0</v>
      </c>
      <c r="EC280" s="8">
        <v>0</v>
      </c>
      <c r="ED280" s="8">
        <v>0</v>
      </c>
      <c r="EE280" s="8">
        <v>0</v>
      </c>
      <c r="EF280" s="8">
        <v>0</v>
      </c>
      <c r="EG280" s="8">
        <v>0</v>
      </c>
      <c r="EH280" s="8">
        <v>0</v>
      </c>
      <c r="EI280" s="8">
        <v>0</v>
      </c>
      <c r="EJ280" s="8">
        <v>0</v>
      </c>
      <c r="EK280" s="8">
        <v>0</v>
      </c>
      <c r="EL280" s="8">
        <v>0</v>
      </c>
      <c r="EM280" s="8">
        <v>0</v>
      </c>
      <c r="EN280" s="8">
        <v>0</v>
      </c>
      <c r="EO280" s="9">
        <f t="shared" si="143"/>
        <v>0</v>
      </c>
      <c r="EP280" s="8">
        <v>0</v>
      </c>
      <c r="EQ280" s="8">
        <v>0</v>
      </c>
      <c r="ER280" s="8">
        <v>0</v>
      </c>
      <c r="ES280" s="8">
        <v>0</v>
      </c>
      <c r="ET280" s="8">
        <v>0</v>
      </c>
      <c r="EU280" s="8">
        <v>0</v>
      </c>
      <c r="EV280" s="8">
        <v>0</v>
      </c>
      <c r="EW280" s="8">
        <v>0</v>
      </c>
      <c r="EX280" s="8">
        <v>0</v>
      </c>
      <c r="EY280" s="8">
        <v>0</v>
      </c>
      <c r="EZ280" s="8">
        <v>0</v>
      </c>
      <c r="FA280" s="8">
        <v>0</v>
      </c>
      <c r="FB280" s="9">
        <f t="shared" si="144"/>
        <v>0</v>
      </c>
      <c r="FC280" s="8">
        <v>0</v>
      </c>
      <c r="FD280" s="8">
        <v>0</v>
      </c>
      <c r="FE280" s="8">
        <v>0</v>
      </c>
      <c r="FF280" s="8">
        <v>0</v>
      </c>
      <c r="FG280" s="8">
        <v>0</v>
      </c>
      <c r="FH280" s="8">
        <v>0</v>
      </c>
      <c r="FI280" s="8">
        <v>0</v>
      </c>
      <c r="FJ280" s="8"/>
      <c r="FK280" s="8"/>
      <c r="FL280" s="8"/>
      <c r="FM280" s="8"/>
      <c r="FN280" s="8"/>
      <c r="FO280" s="9">
        <f t="shared" si="145"/>
        <v>0</v>
      </c>
    </row>
    <row r="281" spans="2:171" ht="14.25" customHeight="1" x14ac:dyDescent="0.3">
      <c r="B281" s="7" t="s">
        <v>58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9">
        <f t="shared" si="133"/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9">
        <f t="shared" si="134"/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9">
        <f t="shared" si="135"/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v>0</v>
      </c>
      <c r="AZ281" s="8">
        <v>0</v>
      </c>
      <c r="BA281" s="8">
        <v>0</v>
      </c>
      <c r="BB281" s="9">
        <f t="shared" si="136"/>
        <v>0</v>
      </c>
      <c r="BC281" s="8">
        <v>0</v>
      </c>
      <c r="BD281" s="8">
        <v>0</v>
      </c>
      <c r="BE281" s="8">
        <v>0</v>
      </c>
      <c r="BF281" s="8">
        <v>0</v>
      </c>
      <c r="BG281" s="8">
        <v>0</v>
      </c>
      <c r="BH281" s="8">
        <v>0</v>
      </c>
      <c r="BI281" s="8">
        <v>0</v>
      </c>
      <c r="BJ281" s="8">
        <v>0</v>
      </c>
      <c r="BK281" s="8">
        <v>0</v>
      </c>
      <c r="BL281" s="8">
        <v>0</v>
      </c>
      <c r="BM281" s="8">
        <v>0</v>
      </c>
      <c r="BN281" s="8">
        <v>0</v>
      </c>
      <c r="BO281" s="9">
        <f t="shared" si="137"/>
        <v>0</v>
      </c>
      <c r="BP281" s="8">
        <v>0</v>
      </c>
      <c r="BQ281" s="8">
        <v>0</v>
      </c>
      <c r="BR281" s="8">
        <v>0</v>
      </c>
      <c r="BS281" s="8">
        <v>0</v>
      </c>
      <c r="BT281" s="8">
        <v>0</v>
      </c>
      <c r="BU281" s="8">
        <v>0</v>
      </c>
      <c r="BV281" s="8">
        <v>0</v>
      </c>
      <c r="BW281" s="8">
        <v>0</v>
      </c>
      <c r="BX281" s="8">
        <v>0</v>
      </c>
      <c r="BY281" s="8">
        <v>0</v>
      </c>
      <c r="BZ281" s="8">
        <v>0</v>
      </c>
      <c r="CA281" s="8">
        <v>0</v>
      </c>
      <c r="CB281" s="9">
        <f t="shared" si="138"/>
        <v>0</v>
      </c>
      <c r="CC281" s="8">
        <v>0</v>
      </c>
      <c r="CD281" s="8">
        <v>0</v>
      </c>
      <c r="CE281" s="8">
        <v>0</v>
      </c>
      <c r="CF281" s="8">
        <v>0</v>
      </c>
      <c r="CG281" s="8">
        <v>0</v>
      </c>
      <c r="CH281" s="8">
        <v>0</v>
      </c>
      <c r="CI281" s="8">
        <v>0</v>
      </c>
      <c r="CJ281" s="8">
        <v>0</v>
      </c>
      <c r="CK281" s="8">
        <v>0</v>
      </c>
      <c r="CL281" s="8">
        <v>0</v>
      </c>
      <c r="CM281" s="8">
        <v>0</v>
      </c>
      <c r="CN281" s="8">
        <v>0</v>
      </c>
      <c r="CO281" s="9">
        <f t="shared" si="139"/>
        <v>0</v>
      </c>
      <c r="CP281" s="8">
        <v>0</v>
      </c>
      <c r="CQ281" s="8">
        <v>0</v>
      </c>
      <c r="CR281" s="8">
        <v>0</v>
      </c>
      <c r="CS281" s="8">
        <v>0</v>
      </c>
      <c r="CT281" s="8">
        <v>0</v>
      </c>
      <c r="CU281" s="8">
        <v>0</v>
      </c>
      <c r="CV281" s="8">
        <v>0</v>
      </c>
      <c r="CW281" s="8">
        <v>0</v>
      </c>
      <c r="CX281" s="8">
        <v>0</v>
      </c>
      <c r="CY281" s="8">
        <v>0</v>
      </c>
      <c r="CZ281" s="8">
        <v>0</v>
      </c>
      <c r="DA281" s="8">
        <v>0</v>
      </c>
      <c r="DB281" s="9">
        <f t="shared" si="140"/>
        <v>0</v>
      </c>
      <c r="DC281" s="8">
        <v>0</v>
      </c>
      <c r="DD281" s="8">
        <v>0</v>
      </c>
      <c r="DE281" s="8">
        <v>0</v>
      </c>
      <c r="DF281" s="8">
        <v>0</v>
      </c>
      <c r="DG281" s="8">
        <v>0</v>
      </c>
      <c r="DH281" s="8">
        <v>0</v>
      </c>
      <c r="DI281" s="8">
        <v>0</v>
      </c>
      <c r="DJ281" s="8">
        <v>0</v>
      </c>
      <c r="DK281" s="8">
        <v>0</v>
      </c>
      <c r="DL281" s="8">
        <v>0</v>
      </c>
      <c r="DM281" s="8">
        <v>0</v>
      </c>
      <c r="DN281" s="8">
        <v>0</v>
      </c>
      <c r="DO281" s="9">
        <f t="shared" si="141"/>
        <v>0</v>
      </c>
      <c r="DP281" s="8">
        <v>0</v>
      </c>
      <c r="DQ281" s="8">
        <v>0</v>
      </c>
      <c r="DR281" s="8">
        <v>0</v>
      </c>
      <c r="DS281" s="8">
        <v>0</v>
      </c>
      <c r="DT281" s="8">
        <v>0</v>
      </c>
      <c r="DU281" s="8">
        <v>0</v>
      </c>
      <c r="DV281" s="8">
        <v>0</v>
      </c>
      <c r="DW281" s="8">
        <v>0</v>
      </c>
      <c r="DX281" s="8">
        <v>0</v>
      </c>
      <c r="DY281" s="8">
        <v>0</v>
      </c>
      <c r="DZ281" s="8">
        <v>0</v>
      </c>
      <c r="EA281" s="8">
        <v>0</v>
      </c>
      <c r="EB281" s="9">
        <f t="shared" si="142"/>
        <v>0</v>
      </c>
      <c r="EC281" s="8">
        <v>0</v>
      </c>
      <c r="ED281" s="8">
        <v>0</v>
      </c>
      <c r="EE281" s="8">
        <v>0</v>
      </c>
      <c r="EF281" s="8">
        <v>0</v>
      </c>
      <c r="EG281" s="8">
        <v>0</v>
      </c>
      <c r="EH281" s="8">
        <v>0</v>
      </c>
      <c r="EI281" s="8">
        <v>0</v>
      </c>
      <c r="EJ281" s="8">
        <v>0</v>
      </c>
      <c r="EK281" s="8">
        <v>0</v>
      </c>
      <c r="EL281" s="8">
        <v>0</v>
      </c>
      <c r="EM281" s="8">
        <v>0</v>
      </c>
      <c r="EN281" s="8">
        <v>0</v>
      </c>
      <c r="EO281" s="9">
        <f t="shared" si="143"/>
        <v>0</v>
      </c>
      <c r="EP281" s="8">
        <v>0</v>
      </c>
      <c r="EQ281" s="8">
        <v>0</v>
      </c>
      <c r="ER281" s="8">
        <v>0</v>
      </c>
      <c r="ES281" s="8">
        <v>0</v>
      </c>
      <c r="ET281" s="8">
        <v>0</v>
      </c>
      <c r="EU281" s="8">
        <v>0</v>
      </c>
      <c r="EV281" s="8">
        <v>0</v>
      </c>
      <c r="EW281" s="8">
        <v>0</v>
      </c>
      <c r="EX281" s="8">
        <v>0</v>
      </c>
      <c r="EY281" s="8">
        <v>0</v>
      </c>
      <c r="EZ281" s="8">
        <v>0</v>
      </c>
      <c r="FA281" s="8">
        <v>0</v>
      </c>
      <c r="FB281" s="9">
        <f t="shared" si="144"/>
        <v>0</v>
      </c>
      <c r="FC281" s="8">
        <v>0</v>
      </c>
      <c r="FD281" s="8">
        <v>0</v>
      </c>
      <c r="FE281" s="8">
        <v>0</v>
      </c>
      <c r="FF281" s="8">
        <v>0</v>
      </c>
      <c r="FG281" s="8">
        <v>0</v>
      </c>
      <c r="FH281" s="8">
        <v>0</v>
      </c>
      <c r="FI281" s="8">
        <v>0</v>
      </c>
      <c r="FJ281" s="8"/>
      <c r="FK281" s="8"/>
      <c r="FL281" s="8"/>
      <c r="FM281" s="8"/>
      <c r="FN281" s="8"/>
      <c r="FO281" s="9">
        <f t="shared" si="145"/>
        <v>0</v>
      </c>
    </row>
    <row r="282" spans="2:171" ht="14.25" customHeight="1" x14ac:dyDescent="0.3">
      <c r="B282" s="7" t="s">
        <v>59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9">
        <f t="shared" si="133"/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9">
        <f t="shared" si="134"/>
        <v>0</v>
      </c>
      <c r="AC282" s="8">
        <v>0</v>
      </c>
      <c r="AD282" s="8">
        <v>0</v>
      </c>
      <c r="AE282" s="8">
        <v>0</v>
      </c>
      <c r="AF282" s="8">
        <v>0</v>
      </c>
      <c r="AG282" s="8">
        <v>0</v>
      </c>
      <c r="AH282" s="8">
        <v>0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9">
        <f t="shared" si="135"/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v>0</v>
      </c>
      <c r="AZ282" s="8">
        <v>0</v>
      </c>
      <c r="BA282" s="8">
        <v>0</v>
      </c>
      <c r="BB282" s="9">
        <f t="shared" si="136"/>
        <v>0</v>
      </c>
      <c r="BC282" s="8">
        <v>0</v>
      </c>
      <c r="BD282" s="8">
        <v>0</v>
      </c>
      <c r="BE282" s="8">
        <v>0</v>
      </c>
      <c r="BF282" s="8">
        <v>0</v>
      </c>
      <c r="BG282" s="8">
        <v>0</v>
      </c>
      <c r="BH282" s="8">
        <v>0</v>
      </c>
      <c r="BI282" s="8">
        <v>0</v>
      </c>
      <c r="BJ282" s="8">
        <v>0</v>
      </c>
      <c r="BK282" s="8">
        <v>0</v>
      </c>
      <c r="BL282" s="8">
        <v>0</v>
      </c>
      <c r="BM282" s="8">
        <v>0</v>
      </c>
      <c r="BN282" s="8">
        <v>0</v>
      </c>
      <c r="BO282" s="9">
        <f t="shared" si="137"/>
        <v>0</v>
      </c>
      <c r="BP282" s="8">
        <v>0</v>
      </c>
      <c r="BQ282" s="8">
        <v>0</v>
      </c>
      <c r="BR282" s="8">
        <v>0</v>
      </c>
      <c r="BS282" s="8">
        <v>0</v>
      </c>
      <c r="BT282" s="8">
        <v>0</v>
      </c>
      <c r="BU282" s="8">
        <v>0</v>
      </c>
      <c r="BV282" s="8">
        <v>0</v>
      </c>
      <c r="BW282" s="8">
        <v>0</v>
      </c>
      <c r="BX282" s="8">
        <v>0</v>
      </c>
      <c r="BY282" s="8">
        <v>0</v>
      </c>
      <c r="BZ282" s="8">
        <v>0</v>
      </c>
      <c r="CA282" s="8">
        <v>0</v>
      </c>
      <c r="CB282" s="9">
        <f t="shared" si="138"/>
        <v>0</v>
      </c>
      <c r="CC282" s="8">
        <v>0</v>
      </c>
      <c r="CD282" s="8">
        <v>0</v>
      </c>
      <c r="CE282" s="8">
        <v>0</v>
      </c>
      <c r="CF282" s="8">
        <v>0</v>
      </c>
      <c r="CG282" s="8">
        <v>0</v>
      </c>
      <c r="CH282" s="8">
        <v>0</v>
      </c>
      <c r="CI282" s="8">
        <v>0</v>
      </c>
      <c r="CJ282" s="8">
        <v>0</v>
      </c>
      <c r="CK282" s="8">
        <v>0</v>
      </c>
      <c r="CL282" s="8">
        <v>0</v>
      </c>
      <c r="CM282" s="8">
        <v>0</v>
      </c>
      <c r="CN282" s="8">
        <v>0</v>
      </c>
      <c r="CO282" s="9">
        <f t="shared" si="139"/>
        <v>0</v>
      </c>
      <c r="CP282" s="8">
        <v>0</v>
      </c>
      <c r="CQ282" s="8">
        <v>0</v>
      </c>
      <c r="CR282" s="8">
        <v>0</v>
      </c>
      <c r="CS282" s="8">
        <v>0</v>
      </c>
      <c r="CT282" s="8">
        <v>0</v>
      </c>
      <c r="CU282" s="8">
        <v>0</v>
      </c>
      <c r="CV282" s="8">
        <v>0</v>
      </c>
      <c r="CW282" s="8">
        <v>0</v>
      </c>
      <c r="CX282" s="8">
        <v>0</v>
      </c>
      <c r="CY282" s="8">
        <v>0</v>
      </c>
      <c r="CZ282" s="8">
        <v>0</v>
      </c>
      <c r="DA282" s="8">
        <v>0</v>
      </c>
      <c r="DB282" s="9">
        <f t="shared" si="140"/>
        <v>0</v>
      </c>
      <c r="DC282" s="8">
        <v>0</v>
      </c>
      <c r="DD282" s="8">
        <v>0</v>
      </c>
      <c r="DE282" s="8">
        <v>0</v>
      </c>
      <c r="DF282" s="8">
        <v>0</v>
      </c>
      <c r="DG282" s="8">
        <v>0</v>
      </c>
      <c r="DH282" s="8">
        <v>0</v>
      </c>
      <c r="DI282" s="8">
        <v>0</v>
      </c>
      <c r="DJ282" s="8">
        <v>0</v>
      </c>
      <c r="DK282" s="8">
        <v>0</v>
      </c>
      <c r="DL282" s="8">
        <v>0</v>
      </c>
      <c r="DM282" s="8">
        <v>0</v>
      </c>
      <c r="DN282" s="8">
        <v>0</v>
      </c>
      <c r="DO282" s="9">
        <f t="shared" si="141"/>
        <v>0</v>
      </c>
      <c r="DP282" s="8">
        <v>0</v>
      </c>
      <c r="DQ282" s="8">
        <v>0</v>
      </c>
      <c r="DR282" s="8">
        <v>0</v>
      </c>
      <c r="DS282" s="8">
        <v>0</v>
      </c>
      <c r="DT282" s="8">
        <v>0</v>
      </c>
      <c r="DU282" s="8">
        <v>0</v>
      </c>
      <c r="DV282" s="8">
        <v>0</v>
      </c>
      <c r="DW282" s="8">
        <v>0</v>
      </c>
      <c r="DX282" s="8">
        <v>0</v>
      </c>
      <c r="DY282" s="8">
        <v>0</v>
      </c>
      <c r="DZ282" s="8">
        <v>0</v>
      </c>
      <c r="EA282" s="8">
        <v>0</v>
      </c>
      <c r="EB282" s="9">
        <f t="shared" si="142"/>
        <v>0</v>
      </c>
      <c r="EC282" s="8">
        <v>0</v>
      </c>
      <c r="ED282" s="8">
        <v>0</v>
      </c>
      <c r="EE282" s="8">
        <v>0</v>
      </c>
      <c r="EF282" s="8">
        <v>0</v>
      </c>
      <c r="EG282" s="8">
        <v>0</v>
      </c>
      <c r="EH282" s="8">
        <v>0</v>
      </c>
      <c r="EI282" s="8">
        <v>0</v>
      </c>
      <c r="EJ282" s="8">
        <v>0</v>
      </c>
      <c r="EK282" s="8">
        <v>0</v>
      </c>
      <c r="EL282" s="8">
        <v>0</v>
      </c>
      <c r="EM282" s="8">
        <v>0</v>
      </c>
      <c r="EN282" s="8">
        <v>0</v>
      </c>
      <c r="EO282" s="9">
        <f t="shared" si="143"/>
        <v>0</v>
      </c>
      <c r="EP282" s="8">
        <v>0</v>
      </c>
      <c r="EQ282" s="8">
        <v>0</v>
      </c>
      <c r="ER282" s="8">
        <v>0</v>
      </c>
      <c r="ES282" s="8">
        <v>0</v>
      </c>
      <c r="ET282" s="8">
        <v>0</v>
      </c>
      <c r="EU282" s="8">
        <v>0</v>
      </c>
      <c r="EV282" s="8">
        <v>0</v>
      </c>
      <c r="EW282" s="8">
        <v>0</v>
      </c>
      <c r="EX282" s="8">
        <v>0</v>
      </c>
      <c r="EY282" s="8">
        <v>0</v>
      </c>
      <c r="EZ282" s="8">
        <v>0</v>
      </c>
      <c r="FA282" s="8">
        <v>0</v>
      </c>
      <c r="FB282" s="9">
        <f t="shared" si="144"/>
        <v>0</v>
      </c>
      <c r="FC282" s="8">
        <v>0</v>
      </c>
      <c r="FD282" s="8">
        <v>0</v>
      </c>
      <c r="FE282" s="8">
        <v>0</v>
      </c>
      <c r="FF282" s="8">
        <v>0</v>
      </c>
      <c r="FG282" s="8">
        <v>0</v>
      </c>
      <c r="FH282" s="8">
        <v>0</v>
      </c>
      <c r="FI282" s="8">
        <v>0</v>
      </c>
      <c r="FJ282" s="8"/>
      <c r="FK282" s="8"/>
      <c r="FL282" s="8"/>
      <c r="FM282" s="8"/>
      <c r="FN282" s="8"/>
      <c r="FO282" s="9">
        <f t="shared" si="145"/>
        <v>0</v>
      </c>
    </row>
    <row r="283" spans="2:171" ht="14.25" customHeight="1" x14ac:dyDescent="0.3">
      <c r="B283" s="7" t="s">
        <v>60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9">
        <f t="shared" si="133"/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9">
        <f t="shared" si="134"/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9">
        <f t="shared" si="135"/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v>0</v>
      </c>
      <c r="AZ283" s="8">
        <v>0</v>
      </c>
      <c r="BA283" s="8">
        <v>0</v>
      </c>
      <c r="BB283" s="9">
        <f t="shared" si="136"/>
        <v>0</v>
      </c>
      <c r="BC283" s="8">
        <v>0</v>
      </c>
      <c r="BD283" s="8">
        <v>0</v>
      </c>
      <c r="BE283" s="8">
        <v>0</v>
      </c>
      <c r="BF283" s="8">
        <v>0</v>
      </c>
      <c r="BG283" s="8">
        <v>0</v>
      </c>
      <c r="BH283" s="8">
        <v>0</v>
      </c>
      <c r="BI283" s="8">
        <v>0</v>
      </c>
      <c r="BJ283" s="8">
        <v>0</v>
      </c>
      <c r="BK283" s="8">
        <v>0</v>
      </c>
      <c r="BL283" s="8">
        <v>0</v>
      </c>
      <c r="BM283" s="8">
        <v>0</v>
      </c>
      <c r="BN283" s="8">
        <v>0</v>
      </c>
      <c r="BO283" s="9">
        <f t="shared" si="137"/>
        <v>0</v>
      </c>
      <c r="BP283" s="8">
        <v>0</v>
      </c>
      <c r="BQ283" s="8">
        <v>0</v>
      </c>
      <c r="BR283" s="8">
        <v>0</v>
      </c>
      <c r="BS283" s="8">
        <v>0</v>
      </c>
      <c r="BT283" s="8">
        <v>0</v>
      </c>
      <c r="BU283" s="8">
        <v>0</v>
      </c>
      <c r="BV283" s="8">
        <v>0</v>
      </c>
      <c r="BW283" s="8">
        <v>0</v>
      </c>
      <c r="BX283" s="8">
        <v>0</v>
      </c>
      <c r="BY283" s="8">
        <v>0</v>
      </c>
      <c r="BZ283" s="8">
        <v>0</v>
      </c>
      <c r="CA283" s="8">
        <v>0</v>
      </c>
      <c r="CB283" s="9">
        <f t="shared" si="138"/>
        <v>0</v>
      </c>
      <c r="CC283" s="8">
        <v>0</v>
      </c>
      <c r="CD283" s="8">
        <v>0</v>
      </c>
      <c r="CE283" s="8">
        <v>0</v>
      </c>
      <c r="CF283" s="8">
        <v>0</v>
      </c>
      <c r="CG283" s="8">
        <v>0</v>
      </c>
      <c r="CH283" s="8">
        <v>0</v>
      </c>
      <c r="CI283" s="8">
        <v>0</v>
      </c>
      <c r="CJ283" s="8">
        <v>0</v>
      </c>
      <c r="CK283" s="8">
        <v>0</v>
      </c>
      <c r="CL283" s="8">
        <v>0</v>
      </c>
      <c r="CM283" s="8">
        <v>0</v>
      </c>
      <c r="CN283" s="8">
        <v>0</v>
      </c>
      <c r="CO283" s="9">
        <f t="shared" si="139"/>
        <v>0</v>
      </c>
      <c r="CP283" s="8">
        <v>0</v>
      </c>
      <c r="CQ283" s="8">
        <v>0</v>
      </c>
      <c r="CR283" s="8">
        <v>0</v>
      </c>
      <c r="CS283" s="8">
        <v>0</v>
      </c>
      <c r="CT283" s="8">
        <v>0</v>
      </c>
      <c r="CU283" s="8">
        <v>0</v>
      </c>
      <c r="CV283" s="8">
        <v>0</v>
      </c>
      <c r="CW283" s="8">
        <v>0</v>
      </c>
      <c r="CX283" s="8">
        <v>0</v>
      </c>
      <c r="CY283" s="8">
        <v>0</v>
      </c>
      <c r="CZ283" s="8">
        <v>0</v>
      </c>
      <c r="DA283" s="8">
        <v>0</v>
      </c>
      <c r="DB283" s="9">
        <f t="shared" si="140"/>
        <v>0</v>
      </c>
      <c r="DC283" s="8">
        <v>0</v>
      </c>
      <c r="DD283" s="8">
        <v>0</v>
      </c>
      <c r="DE283" s="8">
        <v>0</v>
      </c>
      <c r="DF283" s="8">
        <v>0</v>
      </c>
      <c r="DG283" s="8">
        <v>0</v>
      </c>
      <c r="DH283" s="8">
        <v>0</v>
      </c>
      <c r="DI283" s="8">
        <v>0</v>
      </c>
      <c r="DJ283" s="8">
        <v>0</v>
      </c>
      <c r="DK283" s="8">
        <v>0</v>
      </c>
      <c r="DL283" s="8">
        <v>0</v>
      </c>
      <c r="DM283" s="8">
        <v>0</v>
      </c>
      <c r="DN283" s="8">
        <v>0</v>
      </c>
      <c r="DO283" s="9">
        <f t="shared" si="141"/>
        <v>0</v>
      </c>
      <c r="DP283" s="8">
        <v>0</v>
      </c>
      <c r="DQ283" s="8">
        <v>0</v>
      </c>
      <c r="DR283" s="8">
        <v>0</v>
      </c>
      <c r="DS283" s="8">
        <v>0</v>
      </c>
      <c r="DT283" s="8">
        <v>0</v>
      </c>
      <c r="DU283" s="8">
        <v>0</v>
      </c>
      <c r="DV283" s="8">
        <v>0</v>
      </c>
      <c r="DW283" s="8">
        <v>0</v>
      </c>
      <c r="DX283" s="8">
        <v>0</v>
      </c>
      <c r="DY283" s="8">
        <v>0</v>
      </c>
      <c r="DZ283" s="8">
        <v>0</v>
      </c>
      <c r="EA283" s="8">
        <v>0</v>
      </c>
      <c r="EB283" s="9">
        <f t="shared" si="142"/>
        <v>0</v>
      </c>
      <c r="EC283" s="8">
        <v>0</v>
      </c>
      <c r="ED283" s="8">
        <v>0</v>
      </c>
      <c r="EE283" s="8">
        <v>0</v>
      </c>
      <c r="EF283" s="8">
        <v>0</v>
      </c>
      <c r="EG283" s="8">
        <v>0</v>
      </c>
      <c r="EH283" s="8">
        <v>0</v>
      </c>
      <c r="EI283" s="8">
        <v>0</v>
      </c>
      <c r="EJ283" s="8">
        <v>0</v>
      </c>
      <c r="EK283" s="8">
        <v>0</v>
      </c>
      <c r="EL283" s="8">
        <v>0</v>
      </c>
      <c r="EM283" s="8">
        <v>0</v>
      </c>
      <c r="EN283" s="8">
        <v>0</v>
      </c>
      <c r="EO283" s="9">
        <f t="shared" si="143"/>
        <v>0</v>
      </c>
      <c r="EP283" s="8">
        <v>0</v>
      </c>
      <c r="EQ283" s="8">
        <v>0</v>
      </c>
      <c r="ER283" s="8">
        <v>0</v>
      </c>
      <c r="ES283" s="8">
        <v>0</v>
      </c>
      <c r="ET283" s="8">
        <v>0</v>
      </c>
      <c r="EU283" s="8">
        <v>0</v>
      </c>
      <c r="EV283" s="8">
        <v>0</v>
      </c>
      <c r="EW283" s="8">
        <v>0</v>
      </c>
      <c r="EX283" s="8">
        <v>0</v>
      </c>
      <c r="EY283" s="8">
        <v>0</v>
      </c>
      <c r="EZ283" s="8">
        <v>0</v>
      </c>
      <c r="FA283" s="8">
        <v>0</v>
      </c>
      <c r="FB283" s="9">
        <f t="shared" si="144"/>
        <v>0</v>
      </c>
      <c r="FC283" s="8">
        <v>0</v>
      </c>
      <c r="FD283" s="8">
        <v>0</v>
      </c>
      <c r="FE283" s="8">
        <v>0</v>
      </c>
      <c r="FF283" s="8">
        <v>0</v>
      </c>
      <c r="FG283" s="8">
        <v>0</v>
      </c>
      <c r="FH283" s="8">
        <v>0</v>
      </c>
      <c r="FI283" s="8">
        <v>0</v>
      </c>
      <c r="FJ283" s="8"/>
      <c r="FK283" s="8"/>
      <c r="FL283" s="8"/>
      <c r="FM283" s="8"/>
      <c r="FN283" s="8"/>
      <c r="FO283" s="9">
        <f t="shared" si="145"/>
        <v>0</v>
      </c>
    </row>
    <row r="284" spans="2:171" ht="14.25" customHeight="1" x14ac:dyDescent="0.3">
      <c r="B284" s="7" t="s">
        <v>61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9">
        <f t="shared" si="133"/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9">
        <f t="shared" si="134"/>
        <v>0</v>
      </c>
      <c r="AC284" s="8">
        <v>0</v>
      </c>
      <c r="AD284" s="8">
        <v>0</v>
      </c>
      <c r="AE284" s="8">
        <v>0</v>
      </c>
      <c r="AF284" s="8">
        <v>0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9">
        <f t="shared" si="135"/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v>0</v>
      </c>
      <c r="AZ284" s="8">
        <v>0</v>
      </c>
      <c r="BA284" s="8">
        <v>0</v>
      </c>
      <c r="BB284" s="9">
        <f t="shared" si="136"/>
        <v>0</v>
      </c>
      <c r="BC284" s="8">
        <v>0</v>
      </c>
      <c r="BD284" s="8">
        <v>0</v>
      </c>
      <c r="BE284" s="8">
        <v>0</v>
      </c>
      <c r="BF284" s="8">
        <v>0</v>
      </c>
      <c r="BG284" s="8">
        <v>0</v>
      </c>
      <c r="BH284" s="8">
        <v>0</v>
      </c>
      <c r="BI284" s="8">
        <v>0</v>
      </c>
      <c r="BJ284" s="8">
        <v>0</v>
      </c>
      <c r="BK284" s="8">
        <v>0</v>
      </c>
      <c r="BL284" s="8">
        <v>0</v>
      </c>
      <c r="BM284" s="8">
        <v>0</v>
      </c>
      <c r="BN284" s="8">
        <v>0</v>
      </c>
      <c r="BO284" s="9">
        <f t="shared" si="137"/>
        <v>0</v>
      </c>
      <c r="BP284" s="8">
        <v>0</v>
      </c>
      <c r="BQ284" s="8">
        <v>0</v>
      </c>
      <c r="BR284" s="8">
        <v>0</v>
      </c>
      <c r="BS284" s="8">
        <v>0</v>
      </c>
      <c r="BT284" s="8">
        <v>0</v>
      </c>
      <c r="BU284" s="8">
        <v>0</v>
      </c>
      <c r="BV284" s="8">
        <v>0</v>
      </c>
      <c r="BW284" s="8">
        <v>0</v>
      </c>
      <c r="BX284" s="8">
        <v>0</v>
      </c>
      <c r="BY284" s="8">
        <v>0</v>
      </c>
      <c r="BZ284" s="8">
        <v>0</v>
      </c>
      <c r="CA284" s="8">
        <v>0</v>
      </c>
      <c r="CB284" s="9">
        <f t="shared" si="138"/>
        <v>0</v>
      </c>
      <c r="CC284" s="8">
        <v>0</v>
      </c>
      <c r="CD284" s="8">
        <v>0</v>
      </c>
      <c r="CE284" s="8">
        <v>0</v>
      </c>
      <c r="CF284" s="8">
        <v>0</v>
      </c>
      <c r="CG284" s="8">
        <v>0</v>
      </c>
      <c r="CH284" s="8">
        <v>0</v>
      </c>
      <c r="CI284" s="8">
        <v>0</v>
      </c>
      <c r="CJ284" s="8">
        <v>0</v>
      </c>
      <c r="CK284" s="8">
        <v>0</v>
      </c>
      <c r="CL284" s="8">
        <v>0</v>
      </c>
      <c r="CM284" s="8">
        <v>0</v>
      </c>
      <c r="CN284" s="8">
        <v>0</v>
      </c>
      <c r="CO284" s="9">
        <f t="shared" si="139"/>
        <v>0</v>
      </c>
      <c r="CP284" s="8">
        <v>0</v>
      </c>
      <c r="CQ284" s="8">
        <v>0</v>
      </c>
      <c r="CR284" s="8">
        <v>0</v>
      </c>
      <c r="CS284" s="8">
        <v>0</v>
      </c>
      <c r="CT284" s="8">
        <v>0</v>
      </c>
      <c r="CU284" s="8">
        <v>0</v>
      </c>
      <c r="CV284" s="8">
        <v>0</v>
      </c>
      <c r="CW284" s="8">
        <v>0</v>
      </c>
      <c r="CX284" s="8">
        <v>0</v>
      </c>
      <c r="CY284" s="8">
        <v>0</v>
      </c>
      <c r="CZ284" s="8">
        <v>0</v>
      </c>
      <c r="DA284" s="8">
        <v>0</v>
      </c>
      <c r="DB284" s="9">
        <f t="shared" si="140"/>
        <v>0</v>
      </c>
      <c r="DC284" s="8">
        <v>0</v>
      </c>
      <c r="DD284" s="8">
        <v>0</v>
      </c>
      <c r="DE284" s="8">
        <v>0</v>
      </c>
      <c r="DF284" s="8">
        <v>0</v>
      </c>
      <c r="DG284" s="8">
        <v>0</v>
      </c>
      <c r="DH284" s="8">
        <v>0</v>
      </c>
      <c r="DI284" s="8">
        <v>0</v>
      </c>
      <c r="DJ284" s="8">
        <v>0</v>
      </c>
      <c r="DK284" s="8">
        <v>0</v>
      </c>
      <c r="DL284" s="8">
        <v>0</v>
      </c>
      <c r="DM284" s="8">
        <v>0</v>
      </c>
      <c r="DN284" s="8">
        <v>0</v>
      </c>
      <c r="DO284" s="9">
        <f t="shared" si="141"/>
        <v>0</v>
      </c>
      <c r="DP284" s="8">
        <v>0</v>
      </c>
      <c r="DQ284" s="8">
        <v>0</v>
      </c>
      <c r="DR284" s="8">
        <v>0</v>
      </c>
      <c r="DS284" s="8">
        <v>0</v>
      </c>
      <c r="DT284" s="8">
        <v>0</v>
      </c>
      <c r="DU284" s="8">
        <v>0</v>
      </c>
      <c r="DV284" s="8">
        <v>0</v>
      </c>
      <c r="DW284" s="8">
        <v>0</v>
      </c>
      <c r="DX284" s="8">
        <v>0</v>
      </c>
      <c r="DY284" s="8">
        <v>0</v>
      </c>
      <c r="DZ284" s="8">
        <v>0</v>
      </c>
      <c r="EA284" s="8">
        <v>0</v>
      </c>
      <c r="EB284" s="9">
        <f t="shared" si="142"/>
        <v>0</v>
      </c>
      <c r="EC284" s="8">
        <v>0</v>
      </c>
      <c r="ED284" s="8">
        <v>0</v>
      </c>
      <c r="EE284" s="8">
        <v>0</v>
      </c>
      <c r="EF284" s="8">
        <v>0</v>
      </c>
      <c r="EG284" s="8">
        <v>0</v>
      </c>
      <c r="EH284" s="8">
        <v>0</v>
      </c>
      <c r="EI284" s="8">
        <v>0</v>
      </c>
      <c r="EJ284" s="8">
        <v>0</v>
      </c>
      <c r="EK284" s="8">
        <v>0</v>
      </c>
      <c r="EL284" s="8">
        <v>0</v>
      </c>
      <c r="EM284" s="8">
        <v>0</v>
      </c>
      <c r="EN284" s="8">
        <v>0</v>
      </c>
      <c r="EO284" s="9">
        <f t="shared" si="143"/>
        <v>0</v>
      </c>
      <c r="EP284" s="8">
        <v>0</v>
      </c>
      <c r="EQ284" s="8">
        <v>0</v>
      </c>
      <c r="ER284" s="8">
        <v>0</v>
      </c>
      <c r="ES284" s="8">
        <v>0</v>
      </c>
      <c r="ET284" s="8">
        <v>0</v>
      </c>
      <c r="EU284" s="8">
        <v>0</v>
      </c>
      <c r="EV284" s="8">
        <v>0</v>
      </c>
      <c r="EW284" s="8">
        <v>0</v>
      </c>
      <c r="EX284" s="8">
        <v>0</v>
      </c>
      <c r="EY284" s="8">
        <v>0</v>
      </c>
      <c r="EZ284" s="8">
        <v>0</v>
      </c>
      <c r="FA284" s="8">
        <v>0</v>
      </c>
      <c r="FB284" s="9">
        <f t="shared" si="144"/>
        <v>0</v>
      </c>
      <c r="FC284" s="8">
        <v>0</v>
      </c>
      <c r="FD284" s="8">
        <v>0</v>
      </c>
      <c r="FE284" s="8">
        <v>0</v>
      </c>
      <c r="FF284" s="8">
        <v>0</v>
      </c>
      <c r="FG284" s="8">
        <v>0</v>
      </c>
      <c r="FH284" s="8">
        <v>0</v>
      </c>
      <c r="FI284" s="8">
        <v>0</v>
      </c>
      <c r="FJ284" s="8"/>
      <c r="FK284" s="8"/>
      <c r="FL284" s="8"/>
      <c r="FM284" s="8"/>
      <c r="FN284" s="8"/>
      <c r="FO284" s="9">
        <f t="shared" si="145"/>
        <v>0</v>
      </c>
    </row>
    <row r="285" spans="2:171" ht="14.25" customHeight="1" x14ac:dyDescent="0.3">
      <c r="B285" s="7" t="s">
        <v>62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9">
        <f t="shared" si="133"/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9">
        <f t="shared" si="134"/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9">
        <f t="shared" si="135"/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v>0</v>
      </c>
      <c r="AZ285" s="8">
        <v>0</v>
      </c>
      <c r="BA285" s="8">
        <v>0</v>
      </c>
      <c r="BB285" s="9">
        <f t="shared" si="136"/>
        <v>0</v>
      </c>
      <c r="BC285" s="8">
        <v>0</v>
      </c>
      <c r="BD285" s="8">
        <v>0</v>
      </c>
      <c r="BE285" s="8">
        <v>0</v>
      </c>
      <c r="BF285" s="8">
        <v>0</v>
      </c>
      <c r="BG285" s="8">
        <v>0</v>
      </c>
      <c r="BH285" s="8">
        <v>0</v>
      </c>
      <c r="BI285" s="8">
        <v>0</v>
      </c>
      <c r="BJ285" s="8">
        <v>0</v>
      </c>
      <c r="BK285" s="8">
        <v>0</v>
      </c>
      <c r="BL285" s="8">
        <v>0</v>
      </c>
      <c r="BM285" s="8">
        <v>0</v>
      </c>
      <c r="BN285" s="8">
        <v>0</v>
      </c>
      <c r="BO285" s="9">
        <f t="shared" si="137"/>
        <v>0</v>
      </c>
      <c r="BP285" s="8">
        <v>0</v>
      </c>
      <c r="BQ285" s="8">
        <v>0</v>
      </c>
      <c r="BR285" s="8">
        <v>0</v>
      </c>
      <c r="BS285" s="8">
        <v>0</v>
      </c>
      <c r="BT285" s="8">
        <v>0</v>
      </c>
      <c r="BU285" s="8">
        <v>0</v>
      </c>
      <c r="BV285" s="8">
        <v>0</v>
      </c>
      <c r="BW285" s="8">
        <v>0</v>
      </c>
      <c r="BX285" s="8">
        <v>0</v>
      </c>
      <c r="BY285" s="8">
        <v>0</v>
      </c>
      <c r="BZ285" s="8">
        <v>0</v>
      </c>
      <c r="CA285" s="8">
        <v>0</v>
      </c>
      <c r="CB285" s="9">
        <f t="shared" si="138"/>
        <v>0</v>
      </c>
      <c r="CC285" s="8">
        <v>0</v>
      </c>
      <c r="CD285" s="8">
        <v>0</v>
      </c>
      <c r="CE285" s="8">
        <v>0</v>
      </c>
      <c r="CF285" s="8">
        <v>0</v>
      </c>
      <c r="CG285" s="8">
        <v>0</v>
      </c>
      <c r="CH285" s="8">
        <v>0</v>
      </c>
      <c r="CI285" s="8">
        <v>0</v>
      </c>
      <c r="CJ285" s="8">
        <v>0</v>
      </c>
      <c r="CK285" s="8">
        <v>0</v>
      </c>
      <c r="CL285" s="8">
        <v>0</v>
      </c>
      <c r="CM285" s="8">
        <v>0</v>
      </c>
      <c r="CN285" s="8">
        <v>0</v>
      </c>
      <c r="CO285" s="9">
        <f t="shared" si="139"/>
        <v>0</v>
      </c>
      <c r="CP285" s="8">
        <v>0</v>
      </c>
      <c r="CQ285" s="8">
        <v>0</v>
      </c>
      <c r="CR285" s="8">
        <v>0</v>
      </c>
      <c r="CS285" s="8">
        <v>0</v>
      </c>
      <c r="CT285" s="8">
        <v>0</v>
      </c>
      <c r="CU285" s="8">
        <v>0</v>
      </c>
      <c r="CV285" s="8">
        <v>0</v>
      </c>
      <c r="CW285" s="8">
        <v>0</v>
      </c>
      <c r="CX285" s="8">
        <v>0</v>
      </c>
      <c r="CY285" s="8">
        <v>0</v>
      </c>
      <c r="CZ285" s="8">
        <v>0</v>
      </c>
      <c r="DA285" s="8">
        <v>0</v>
      </c>
      <c r="DB285" s="9">
        <f t="shared" si="140"/>
        <v>0</v>
      </c>
      <c r="DC285" s="8">
        <v>0</v>
      </c>
      <c r="DD285" s="8">
        <v>0</v>
      </c>
      <c r="DE285" s="8">
        <v>0</v>
      </c>
      <c r="DF285" s="8">
        <v>0</v>
      </c>
      <c r="DG285" s="8">
        <v>0</v>
      </c>
      <c r="DH285" s="8">
        <v>0</v>
      </c>
      <c r="DI285" s="8">
        <v>0</v>
      </c>
      <c r="DJ285" s="8">
        <v>0</v>
      </c>
      <c r="DK285" s="8">
        <v>0</v>
      </c>
      <c r="DL285" s="8">
        <v>0</v>
      </c>
      <c r="DM285" s="8">
        <v>0</v>
      </c>
      <c r="DN285" s="8">
        <v>0</v>
      </c>
      <c r="DO285" s="9">
        <f t="shared" si="141"/>
        <v>0</v>
      </c>
      <c r="DP285" s="8">
        <v>0</v>
      </c>
      <c r="DQ285" s="8">
        <v>0</v>
      </c>
      <c r="DR285" s="8">
        <v>0</v>
      </c>
      <c r="DS285" s="8">
        <v>0</v>
      </c>
      <c r="DT285" s="8">
        <v>0</v>
      </c>
      <c r="DU285" s="8">
        <v>0</v>
      </c>
      <c r="DV285" s="8">
        <v>0</v>
      </c>
      <c r="DW285" s="8">
        <v>0</v>
      </c>
      <c r="DX285" s="8">
        <v>0</v>
      </c>
      <c r="DY285" s="8">
        <v>0</v>
      </c>
      <c r="DZ285" s="8">
        <v>0</v>
      </c>
      <c r="EA285" s="8">
        <v>0</v>
      </c>
      <c r="EB285" s="9">
        <f t="shared" si="142"/>
        <v>0</v>
      </c>
      <c r="EC285" s="8">
        <v>0</v>
      </c>
      <c r="ED285" s="8">
        <v>0</v>
      </c>
      <c r="EE285" s="8">
        <v>0</v>
      </c>
      <c r="EF285" s="8">
        <v>0</v>
      </c>
      <c r="EG285" s="8">
        <v>0</v>
      </c>
      <c r="EH285" s="8">
        <v>0</v>
      </c>
      <c r="EI285" s="8">
        <v>0</v>
      </c>
      <c r="EJ285" s="8">
        <v>0</v>
      </c>
      <c r="EK285" s="8">
        <v>0</v>
      </c>
      <c r="EL285" s="8">
        <v>0</v>
      </c>
      <c r="EM285" s="8">
        <v>0</v>
      </c>
      <c r="EN285" s="8">
        <v>0</v>
      </c>
      <c r="EO285" s="9">
        <f t="shared" si="143"/>
        <v>0</v>
      </c>
      <c r="EP285" s="8">
        <v>0</v>
      </c>
      <c r="EQ285" s="8">
        <v>0</v>
      </c>
      <c r="ER285" s="8">
        <v>0</v>
      </c>
      <c r="ES285" s="8">
        <v>0</v>
      </c>
      <c r="ET285" s="8">
        <v>0</v>
      </c>
      <c r="EU285" s="8">
        <v>0</v>
      </c>
      <c r="EV285" s="8">
        <v>0</v>
      </c>
      <c r="EW285" s="8">
        <v>0</v>
      </c>
      <c r="EX285" s="8">
        <v>0</v>
      </c>
      <c r="EY285" s="8">
        <v>0</v>
      </c>
      <c r="EZ285" s="8">
        <v>0</v>
      </c>
      <c r="FA285" s="8">
        <v>0</v>
      </c>
      <c r="FB285" s="9">
        <f t="shared" si="144"/>
        <v>0</v>
      </c>
      <c r="FC285" s="8">
        <v>0</v>
      </c>
      <c r="FD285" s="8">
        <v>0</v>
      </c>
      <c r="FE285" s="8">
        <v>0</v>
      </c>
      <c r="FF285" s="8">
        <v>0</v>
      </c>
      <c r="FG285" s="8">
        <v>0</v>
      </c>
      <c r="FH285" s="8">
        <v>0</v>
      </c>
      <c r="FI285" s="8">
        <v>0</v>
      </c>
      <c r="FJ285" s="8"/>
      <c r="FK285" s="8"/>
      <c r="FL285" s="8"/>
      <c r="FM285" s="8"/>
      <c r="FN285" s="8"/>
      <c r="FO285" s="9">
        <f t="shared" si="145"/>
        <v>0</v>
      </c>
    </row>
    <row r="286" spans="2:171" ht="14.25" customHeight="1" x14ac:dyDescent="0.3">
      <c r="B286" s="7" t="s">
        <v>63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9">
        <f t="shared" si="133"/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9">
        <f t="shared" si="134"/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9">
        <f t="shared" si="135"/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v>0</v>
      </c>
      <c r="AZ286" s="8">
        <v>0</v>
      </c>
      <c r="BA286" s="8">
        <v>0</v>
      </c>
      <c r="BB286" s="9">
        <f t="shared" si="136"/>
        <v>0</v>
      </c>
      <c r="BC286" s="8">
        <v>0</v>
      </c>
      <c r="BD286" s="8">
        <v>0</v>
      </c>
      <c r="BE286" s="8">
        <v>0</v>
      </c>
      <c r="BF286" s="8">
        <v>0</v>
      </c>
      <c r="BG286" s="8">
        <v>0</v>
      </c>
      <c r="BH286" s="8">
        <v>0</v>
      </c>
      <c r="BI286" s="8">
        <v>0</v>
      </c>
      <c r="BJ286" s="8">
        <v>0</v>
      </c>
      <c r="BK286" s="8">
        <v>0</v>
      </c>
      <c r="BL286" s="8">
        <v>0</v>
      </c>
      <c r="BM286" s="8">
        <v>0</v>
      </c>
      <c r="BN286" s="8">
        <v>0</v>
      </c>
      <c r="BO286" s="9">
        <f t="shared" si="137"/>
        <v>0</v>
      </c>
      <c r="BP286" s="8">
        <v>0</v>
      </c>
      <c r="BQ286" s="8">
        <v>0</v>
      </c>
      <c r="BR286" s="8">
        <v>0</v>
      </c>
      <c r="BS286" s="8">
        <v>0</v>
      </c>
      <c r="BT286" s="8">
        <v>0</v>
      </c>
      <c r="BU286" s="8">
        <v>0</v>
      </c>
      <c r="BV286" s="8">
        <v>0</v>
      </c>
      <c r="BW286" s="8">
        <v>0</v>
      </c>
      <c r="BX286" s="8">
        <v>0</v>
      </c>
      <c r="BY286" s="8">
        <v>0</v>
      </c>
      <c r="BZ286" s="8">
        <v>0</v>
      </c>
      <c r="CA286" s="8">
        <v>0</v>
      </c>
      <c r="CB286" s="9">
        <f t="shared" si="138"/>
        <v>0</v>
      </c>
      <c r="CC286" s="8">
        <v>0</v>
      </c>
      <c r="CD286" s="8">
        <v>0</v>
      </c>
      <c r="CE286" s="8">
        <v>0</v>
      </c>
      <c r="CF286" s="8">
        <v>0</v>
      </c>
      <c r="CG286" s="8">
        <v>0</v>
      </c>
      <c r="CH286" s="8">
        <v>0</v>
      </c>
      <c r="CI286" s="8">
        <v>0</v>
      </c>
      <c r="CJ286" s="8">
        <v>0</v>
      </c>
      <c r="CK286" s="8">
        <v>0</v>
      </c>
      <c r="CL286" s="8">
        <v>0</v>
      </c>
      <c r="CM286" s="8">
        <v>0</v>
      </c>
      <c r="CN286" s="8">
        <v>0</v>
      </c>
      <c r="CO286" s="9">
        <f t="shared" si="139"/>
        <v>0</v>
      </c>
      <c r="CP286" s="8">
        <v>0</v>
      </c>
      <c r="CQ286" s="8">
        <v>0</v>
      </c>
      <c r="CR286" s="8">
        <v>0</v>
      </c>
      <c r="CS286" s="8">
        <v>0</v>
      </c>
      <c r="CT286" s="8">
        <v>0</v>
      </c>
      <c r="CU286" s="8">
        <v>0</v>
      </c>
      <c r="CV286" s="8">
        <v>0</v>
      </c>
      <c r="CW286" s="8">
        <v>0</v>
      </c>
      <c r="CX286" s="8">
        <v>0</v>
      </c>
      <c r="CY286" s="8">
        <v>0</v>
      </c>
      <c r="CZ286" s="8">
        <v>0</v>
      </c>
      <c r="DA286" s="8">
        <v>0</v>
      </c>
      <c r="DB286" s="9">
        <f t="shared" si="140"/>
        <v>0</v>
      </c>
      <c r="DC286" s="8">
        <v>0</v>
      </c>
      <c r="DD286" s="8">
        <v>0</v>
      </c>
      <c r="DE286" s="8">
        <v>0</v>
      </c>
      <c r="DF286" s="8">
        <v>0</v>
      </c>
      <c r="DG286" s="8">
        <v>0</v>
      </c>
      <c r="DH286" s="8">
        <v>0</v>
      </c>
      <c r="DI286" s="8">
        <v>0</v>
      </c>
      <c r="DJ286" s="8">
        <v>0</v>
      </c>
      <c r="DK286" s="8">
        <v>0</v>
      </c>
      <c r="DL286" s="8">
        <v>0</v>
      </c>
      <c r="DM286" s="8">
        <v>0</v>
      </c>
      <c r="DN286" s="8">
        <v>0</v>
      </c>
      <c r="DO286" s="9">
        <f t="shared" si="141"/>
        <v>0</v>
      </c>
      <c r="DP286" s="8">
        <v>0</v>
      </c>
      <c r="DQ286" s="8">
        <v>0</v>
      </c>
      <c r="DR286" s="8">
        <v>0</v>
      </c>
      <c r="DS286" s="8">
        <v>0</v>
      </c>
      <c r="DT286" s="8">
        <v>0</v>
      </c>
      <c r="DU286" s="8">
        <v>0</v>
      </c>
      <c r="DV286" s="8">
        <v>0</v>
      </c>
      <c r="DW286" s="8">
        <v>0</v>
      </c>
      <c r="DX286" s="8">
        <v>0</v>
      </c>
      <c r="DY286" s="8">
        <v>0</v>
      </c>
      <c r="DZ286" s="8">
        <v>0</v>
      </c>
      <c r="EA286" s="8">
        <v>0</v>
      </c>
      <c r="EB286" s="9">
        <f t="shared" si="142"/>
        <v>0</v>
      </c>
      <c r="EC286" s="8">
        <v>0</v>
      </c>
      <c r="ED286" s="8">
        <v>0</v>
      </c>
      <c r="EE286" s="8">
        <v>0</v>
      </c>
      <c r="EF286" s="8">
        <v>0</v>
      </c>
      <c r="EG286" s="8">
        <v>0</v>
      </c>
      <c r="EH286" s="8">
        <v>0</v>
      </c>
      <c r="EI286" s="8">
        <v>0</v>
      </c>
      <c r="EJ286" s="8">
        <v>0</v>
      </c>
      <c r="EK286" s="8">
        <v>0</v>
      </c>
      <c r="EL286" s="8">
        <v>0</v>
      </c>
      <c r="EM286" s="8">
        <v>0</v>
      </c>
      <c r="EN286" s="8">
        <v>0</v>
      </c>
      <c r="EO286" s="9">
        <f t="shared" si="143"/>
        <v>0</v>
      </c>
      <c r="EP286" s="8">
        <v>0</v>
      </c>
      <c r="EQ286" s="8">
        <v>0</v>
      </c>
      <c r="ER286" s="8">
        <v>0</v>
      </c>
      <c r="ES286" s="8">
        <v>0</v>
      </c>
      <c r="ET286" s="8">
        <v>0</v>
      </c>
      <c r="EU286" s="8">
        <v>0</v>
      </c>
      <c r="EV286" s="8">
        <v>0</v>
      </c>
      <c r="EW286" s="8">
        <v>0</v>
      </c>
      <c r="EX286" s="8">
        <v>0</v>
      </c>
      <c r="EY286" s="8">
        <v>0</v>
      </c>
      <c r="EZ286" s="8">
        <v>0</v>
      </c>
      <c r="FA286" s="8">
        <v>0</v>
      </c>
      <c r="FB286" s="9">
        <f t="shared" si="144"/>
        <v>0</v>
      </c>
      <c r="FC286" s="8">
        <v>0</v>
      </c>
      <c r="FD286" s="8">
        <v>0</v>
      </c>
      <c r="FE286" s="8">
        <v>0</v>
      </c>
      <c r="FF286" s="8">
        <v>0</v>
      </c>
      <c r="FG286" s="8">
        <v>0</v>
      </c>
      <c r="FH286" s="8">
        <v>0</v>
      </c>
      <c r="FI286" s="8">
        <v>0</v>
      </c>
      <c r="FJ286" s="8"/>
      <c r="FK286" s="8"/>
      <c r="FL286" s="8"/>
      <c r="FM286" s="8"/>
      <c r="FN286" s="8"/>
      <c r="FO286" s="9">
        <f t="shared" si="145"/>
        <v>0</v>
      </c>
    </row>
    <row r="287" spans="2:171" ht="14.25" customHeight="1" x14ac:dyDescent="0.3">
      <c r="B287" s="7" t="s">
        <v>64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9">
        <f t="shared" si="133"/>
        <v>0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9">
        <f t="shared" si="134"/>
        <v>0</v>
      </c>
      <c r="AC287" s="8">
        <v>0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9">
        <f t="shared" si="135"/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v>0</v>
      </c>
      <c r="AZ287" s="8">
        <v>0</v>
      </c>
      <c r="BA287" s="8">
        <v>0</v>
      </c>
      <c r="BB287" s="9">
        <f t="shared" si="136"/>
        <v>0</v>
      </c>
      <c r="BC287" s="8">
        <v>0</v>
      </c>
      <c r="BD287" s="8">
        <v>0</v>
      </c>
      <c r="BE287" s="8">
        <v>0</v>
      </c>
      <c r="BF287" s="8">
        <v>0</v>
      </c>
      <c r="BG287" s="8">
        <v>0</v>
      </c>
      <c r="BH287" s="8">
        <v>0</v>
      </c>
      <c r="BI287" s="8">
        <v>0</v>
      </c>
      <c r="BJ287" s="8">
        <v>0</v>
      </c>
      <c r="BK287" s="8">
        <v>0</v>
      </c>
      <c r="BL287" s="8">
        <v>0</v>
      </c>
      <c r="BM287" s="8">
        <v>0</v>
      </c>
      <c r="BN287" s="8">
        <v>0</v>
      </c>
      <c r="BO287" s="9">
        <f t="shared" si="137"/>
        <v>0</v>
      </c>
      <c r="BP287" s="8">
        <v>0</v>
      </c>
      <c r="BQ287" s="8">
        <v>0</v>
      </c>
      <c r="BR287" s="8">
        <v>0</v>
      </c>
      <c r="BS287" s="8">
        <v>0</v>
      </c>
      <c r="BT287" s="8">
        <v>0</v>
      </c>
      <c r="BU287" s="8">
        <v>0</v>
      </c>
      <c r="BV287" s="8">
        <v>0</v>
      </c>
      <c r="BW287" s="8">
        <v>0</v>
      </c>
      <c r="BX287" s="8">
        <v>0</v>
      </c>
      <c r="BY287" s="8">
        <v>0</v>
      </c>
      <c r="BZ287" s="8">
        <v>0</v>
      </c>
      <c r="CA287" s="8">
        <v>0</v>
      </c>
      <c r="CB287" s="9">
        <f t="shared" si="138"/>
        <v>0</v>
      </c>
      <c r="CC287" s="8">
        <v>0</v>
      </c>
      <c r="CD287" s="8">
        <v>0</v>
      </c>
      <c r="CE287" s="8">
        <v>0</v>
      </c>
      <c r="CF287" s="8">
        <v>0</v>
      </c>
      <c r="CG287" s="8">
        <v>0</v>
      </c>
      <c r="CH287" s="8">
        <v>0</v>
      </c>
      <c r="CI287" s="8">
        <v>0</v>
      </c>
      <c r="CJ287" s="8">
        <v>0</v>
      </c>
      <c r="CK287" s="8">
        <v>0</v>
      </c>
      <c r="CL287" s="8">
        <v>0</v>
      </c>
      <c r="CM287" s="8">
        <v>0</v>
      </c>
      <c r="CN287" s="8">
        <v>0</v>
      </c>
      <c r="CO287" s="9">
        <f t="shared" si="139"/>
        <v>0</v>
      </c>
      <c r="CP287" s="8">
        <v>0</v>
      </c>
      <c r="CQ287" s="8">
        <v>0</v>
      </c>
      <c r="CR287" s="8">
        <v>0</v>
      </c>
      <c r="CS287" s="8">
        <v>0</v>
      </c>
      <c r="CT287" s="8">
        <v>0</v>
      </c>
      <c r="CU287" s="8">
        <v>0</v>
      </c>
      <c r="CV287" s="8">
        <v>0</v>
      </c>
      <c r="CW287" s="8">
        <v>0</v>
      </c>
      <c r="CX287" s="8">
        <v>0</v>
      </c>
      <c r="CY287" s="8">
        <v>0</v>
      </c>
      <c r="CZ287" s="8">
        <v>0</v>
      </c>
      <c r="DA287" s="8">
        <v>0</v>
      </c>
      <c r="DB287" s="9">
        <f t="shared" si="140"/>
        <v>0</v>
      </c>
      <c r="DC287" s="8">
        <v>0</v>
      </c>
      <c r="DD287" s="8">
        <v>0</v>
      </c>
      <c r="DE287" s="8">
        <v>0</v>
      </c>
      <c r="DF287" s="8">
        <v>0</v>
      </c>
      <c r="DG287" s="8">
        <v>0</v>
      </c>
      <c r="DH287" s="8">
        <v>0</v>
      </c>
      <c r="DI287" s="8">
        <v>0</v>
      </c>
      <c r="DJ287" s="8">
        <v>0</v>
      </c>
      <c r="DK287" s="8">
        <v>0</v>
      </c>
      <c r="DL287" s="8">
        <v>0</v>
      </c>
      <c r="DM287" s="8">
        <v>0</v>
      </c>
      <c r="DN287" s="8">
        <v>0</v>
      </c>
      <c r="DO287" s="9">
        <f t="shared" si="141"/>
        <v>0</v>
      </c>
      <c r="DP287" s="8">
        <v>0</v>
      </c>
      <c r="DQ287" s="8">
        <v>0</v>
      </c>
      <c r="DR287" s="8">
        <v>0</v>
      </c>
      <c r="DS287" s="8">
        <v>0</v>
      </c>
      <c r="DT287" s="8">
        <v>0</v>
      </c>
      <c r="DU287" s="8">
        <v>0</v>
      </c>
      <c r="DV287" s="8">
        <v>0</v>
      </c>
      <c r="DW287" s="8">
        <v>0</v>
      </c>
      <c r="DX287" s="8">
        <v>0</v>
      </c>
      <c r="DY287" s="8">
        <v>0</v>
      </c>
      <c r="DZ287" s="8">
        <v>0</v>
      </c>
      <c r="EA287" s="8">
        <v>0</v>
      </c>
      <c r="EB287" s="9">
        <f t="shared" si="142"/>
        <v>0</v>
      </c>
      <c r="EC287" s="8">
        <v>0</v>
      </c>
      <c r="ED287" s="8">
        <v>0</v>
      </c>
      <c r="EE287" s="8">
        <v>0</v>
      </c>
      <c r="EF287" s="8">
        <v>0</v>
      </c>
      <c r="EG287" s="8">
        <v>0</v>
      </c>
      <c r="EH287" s="8">
        <v>0</v>
      </c>
      <c r="EI287" s="8">
        <v>0</v>
      </c>
      <c r="EJ287" s="8">
        <v>0</v>
      </c>
      <c r="EK287" s="8">
        <v>0</v>
      </c>
      <c r="EL287" s="8">
        <v>0</v>
      </c>
      <c r="EM287" s="8">
        <v>0</v>
      </c>
      <c r="EN287" s="8">
        <v>0</v>
      </c>
      <c r="EO287" s="9">
        <f t="shared" si="143"/>
        <v>0</v>
      </c>
      <c r="EP287" s="8">
        <v>0</v>
      </c>
      <c r="EQ287" s="8">
        <v>0</v>
      </c>
      <c r="ER287" s="8">
        <v>0</v>
      </c>
      <c r="ES287" s="8">
        <v>0</v>
      </c>
      <c r="ET287" s="8">
        <v>0</v>
      </c>
      <c r="EU287" s="8">
        <v>0</v>
      </c>
      <c r="EV287" s="8">
        <v>0</v>
      </c>
      <c r="EW287" s="8">
        <v>0</v>
      </c>
      <c r="EX287" s="8">
        <v>0</v>
      </c>
      <c r="EY287" s="8">
        <v>0</v>
      </c>
      <c r="EZ287" s="8">
        <v>0</v>
      </c>
      <c r="FA287" s="8">
        <v>0</v>
      </c>
      <c r="FB287" s="9">
        <f t="shared" si="144"/>
        <v>0</v>
      </c>
      <c r="FC287" s="8">
        <v>0</v>
      </c>
      <c r="FD287" s="8">
        <v>0</v>
      </c>
      <c r="FE287" s="8">
        <v>0</v>
      </c>
      <c r="FF287" s="8">
        <v>0</v>
      </c>
      <c r="FG287" s="8">
        <v>0</v>
      </c>
      <c r="FH287" s="8">
        <v>0</v>
      </c>
      <c r="FI287" s="8">
        <v>0</v>
      </c>
      <c r="FJ287" s="8"/>
      <c r="FK287" s="8"/>
      <c r="FL287" s="8"/>
      <c r="FM287" s="8"/>
      <c r="FN287" s="8"/>
      <c r="FO287" s="9">
        <f t="shared" si="145"/>
        <v>0</v>
      </c>
    </row>
    <row r="288" spans="2:171" ht="14.25" customHeight="1" x14ac:dyDescent="0.3">
      <c r="B288" s="7" t="s">
        <v>65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9">
        <f t="shared" si="133"/>
        <v>0</v>
      </c>
      <c r="P288" s="8">
        <v>0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9">
        <f t="shared" si="134"/>
        <v>0</v>
      </c>
      <c r="AC288" s="8">
        <v>0</v>
      </c>
      <c r="AD288" s="8">
        <v>0</v>
      </c>
      <c r="AE288" s="8">
        <v>0</v>
      </c>
      <c r="AF288" s="8">
        <v>0</v>
      </c>
      <c r="AG288" s="8">
        <v>0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9">
        <f t="shared" si="135"/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v>0</v>
      </c>
      <c r="AZ288" s="8">
        <v>0</v>
      </c>
      <c r="BA288" s="8">
        <v>0</v>
      </c>
      <c r="BB288" s="9">
        <f t="shared" si="136"/>
        <v>0</v>
      </c>
      <c r="BC288" s="8">
        <v>0</v>
      </c>
      <c r="BD288" s="8">
        <v>0</v>
      </c>
      <c r="BE288" s="8">
        <v>0</v>
      </c>
      <c r="BF288" s="8">
        <v>0</v>
      </c>
      <c r="BG288" s="8">
        <v>0</v>
      </c>
      <c r="BH288" s="8">
        <v>0</v>
      </c>
      <c r="BI288" s="8">
        <v>0</v>
      </c>
      <c r="BJ288" s="8">
        <v>0</v>
      </c>
      <c r="BK288" s="8">
        <v>0</v>
      </c>
      <c r="BL288" s="8">
        <v>0</v>
      </c>
      <c r="BM288" s="8">
        <v>0</v>
      </c>
      <c r="BN288" s="8">
        <v>0</v>
      </c>
      <c r="BO288" s="9">
        <f t="shared" si="137"/>
        <v>0</v>
      </c>
      <c r="BP288" s="8">
        <v>0</v>
      </c>
      <c r="BQ288" s="8">
        <v>0</v>
      </c>
      <c r="BR288" s="8">
        <v>0</v>
      </c>
      <c r="BS288" s="8">
        <v>0</v>
      </c>
      <c r="BT288" s="8">
        <v>0</v>
      </c>
      <c r="BU288" s="8">
        <v>0</v>
      </c>
      <c r="BV288" s="8">
        <v>0</v>
      </c>
      <c r="BW288" s="8">
        <v>0</v>
      </c>
      <c r="BX288" s="8">
        <v>0</v>
      </c>
      <c r="BY288" s="8">
        <v>0</v>
      </c>
      <c r="BZ288" s="8">
        <v>0</v>
      </c>
      <c r="CA288" s="8">
        <v>0</v>
      </c>
      <c r="CB288" s="9">
        <f t="shared" si="138"/>
        <v>0</v>
      </c>
      <c r="CC288" s="8">
        <v>0</v>
      </c>
      <c r="CD288" s="8">
        <v>0</v>
      </c>
      <c r="CE288" s="8">
        <v>0</v>
      </c>
      <c r="CF288" s="8">
        <v>0</v>
      </c>
      <c r="CG288" s="8">
        <v>0</v>
      </c>
      <c r="CH288" s="8">
        <v>0</v>
      </c>
      <c r="CI288" s="8">
        <v>0</v>
      </c>
      <c r="CJ288" s="8">
        <v>0</v>
      </c>
      <c r="CK288" s="8">
        <v>0</v>
      </c>
      <c r="CL288" s="8">
        <v>0</v>
      </c>
      <c r="CM288" s="8">
        <v>0</v>
      </c>
      <c r="CN288" s="8">
        <v>0</v>
      </c>
      <c r="CO288" s="9">
        <f t="shared" si="139"/>
        <v>0</v>
      </c>
      <c r="CP288" s="8">
        <v>0</v>
      </c>
      <c r="CQ288" s="8">
        <v>0</v>
      </c>
      <c r="CR288" s="8">
        <v>0</v>
      </c>
      <c r="CS288" s="8">
        <v>0</v>
      </c>
      <c r="CT288" s="8">
        <v>0</v>
      </c>
      <c r="CU288" s="8">
        <v>0</v>
      </c>
      <c r="CV288" s="8">
        <v>0</v>
      </c>
      <c r="CW288" s="8">
        <v>0</v>
      </c>
      <c r="CX288" s="8">
        <v>0</v>
      </c>
      <c r="CY288" s="8">
        <v>0</v>
      </c>
      <c r="CZ288" s="8">
        <v>0</v>
      </c>
      <c r="DA288" s="8">
        <v>0</v>
      </c>
      <c r="DB288" s="9">
        <f t="shared" si="140"/>
        <v>0</v>
      </c>
      <c r="DC288" s="8">
        <v>0</v>
      </c>
      <c r="DD288" s="8">
        <v>0</v>
      </c>
      <c r="DE288" s="8">
        <v>0</v>
      </c>
      <c r="DF288" s="8">
        <v>0</v>
      </c>
      <c r="DG288" s="8">
        <v>0</v>
      </c>
      <c r="DH288" s="8">
        <v>0</v>
      </c>
      <c r="DI288" s="8">
        <v>0</v>
      </c>
      <c r="DJ288" s="8">
        <v>0</v>
      </c>
      <c r="DK288" s="8">
        <v>0</v>
      </c>
      <c r="DL288" s="8">
        <v>0</v>
      </c>
      <c r="DM288" s="8">
        <v>0</v>
      </c>
      <c r="DN288" s="8">
        <v>0</v>
      </c>
      <c r="DO288" s="9">
        <f t="shared" si="141"/>
        <v>0</v>
      </c>
      <c r="DP288" s="8">
        <v>0</v>
      </c>
      <c r="DQ288" s="8">
        <v>0</v>
      </c>
      <c r="DR288" s="8">
        <v>0</v>
      </c>
      <c r="DS288" s="8">
        <v>0</v>
      </c>
      <c r="DT288" s="8">
        <v>0</v>
      </c>
      <c r="DU288" s="8">
        <v>0</v>
      </c>
      <c r="DV288" s="8">
        <v>0</v>
      </c>
      <c r="DW288" s="8">
        <v>0</v>
      </c>
      <c r="DX288" s="8">
        <v>0</v>
      </c>
      <c r="DY288" s="8">
        <v>0</v>
      </c>
      <c r="DZ288" s="8">
        <v>0</v>
      </c>
      <c r="EA288" s="8">
        <v>0</v>
      </c>
      <c r="EB288" s="9">
        <f t="shared" si="142"/>
        <v>0</v>
      </c>
      <c r="EC288" s="8">
        <v>0</v>
      </c>
      <c r="ED288" s="8">
        <v>0</v>
      </c>
      <c r="EE288" s="8">
        <v>0</v>
      </c>
      <c r="EF288" s="8">
        <v>0</v>
      </c>
      <c r="EG288" s="8">
        <v>0</v>
      </c>
      <c r="EH288" s="8">
        <v>0</v>
      </c>
      <c r="EI288" s="8">
        <v>0</v>
      </c>
      <c r="EJ288" s="8">
        <v>0</v>
      </c>
      <c r="EK288" s="8">
        <v>0</v>
      </c>
      <c r="EL288" s="8">
        <v>0</v>
      </c>
      <c r="EM288" s="8">
        <v>0</v>
      </c>
      <c r="EN288" s="8">
        <v>0</v>
      </c>
      <c r="EO288" s="9">
        <f t="shared" si="143"/>
        <v>0</v>
      </c>
      <c r="EP288" s="8">
        <v>0</v>
      </c>
      <c r="EQ288" s="8">
        <v>0</v>
      </c>
      <c r="ER288" s="8">
        <v>0</v>
      </c>
      <c r="ES288" s="8">
        <v>0</v>
      </c>
      <c r="ET288" s="8">
        <v>0</v>
      </c>
      <c r="EU288" s="8">
        <v>0</v>
      </c>
      <c r="EV288" s="8">
        <v>0</v>
      </c>
      <c r="EW288" s="8">
        <v>0</v>
      </c>
      <c r="EX288" s="8">
        <v>0</v>
      </c>
      <c r="EY288" s="8">
        <v>0</v>
      </c>
      <c r="EZ288" s="8">
        <v>0</v>
      </c>
      <c r="FA288" s="8">
        <v>0</v>
      </c>
      <c r="FB288" s="9">
        <f t="shared" si="144"/>
        <v>0</v>
      </c>
      <c r="FC288" s="8">
        <v>0</v>
      </c>
      <c r="FD288" s="8">
        <v>0</v>
      </c>
      <c r="FE288" s="8">
        <v>0</v>
      </c>
      <c r="FF288" s="8">
        <v>0</v>
      </c>
      <c r="FG288" s="8">
        <v>0</v>
      </c>
      <c r="FH288" s="8">
        <v>0</v>
      </c>
      <c r="FI288" s="8">
        <v>0</v>
      </c>
      <c r="FJ288" s="8"/>
      <c r="FK288" s="8"/>
      <c r="FL288" s="8"/>
      <c r="FM288" s="8"/>
      <c r="FN288" s="8"/>
      <c r="FO288" s="9">
        <f t="shared" si="145"/>
        <v>0</v>
      </c>
    </row>
    <row r="289" spans="2:171" ht="14.25" customHeight="1" x14ac:dyDescent="0.3">
      <c r="B289" s="7" t="s">
        <v>66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9">
        <f t="shared" si="133"/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9">
        <f t="shared" si="134"/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9">
        <f t="shared" si="135"/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v>0</v>
      </c>
      <c r="AZ289" s="8">
        <v>0</v>
      </c>
      <c r="BA289" s="8">
        <v>0</v>
      </c>
      <c r="BB289" s="9">
        <f t="shared" si="136"/>
        <v>0</v>
      </c>
      <c r="BC289" s="8">
        <v>0</v>
      </c>
      <c r="BD289" s="8">
        <v>0</v>
      </c>
      <c r="BE289" s="8">
        <v>0</v>
      </c>
      <c r="BF289" s="8">
        <v>0</v>
      </c>
      <c r="BG289" s="8">
        <v>0</v>
      </c>
      <c r="BH289" s="8">
        <v>0</v>
      </c>
      <c r="BI289" s="8">
        <v>0</v>
      </c>
      <c r="BJ289" s="8">
        <v>0</v>
      </c>
      <c r="BK289" s="8">
        <v>0</v>
      </c>
      <c r="BL289" s="8">
        <v>0</v>
      </c>
      <c r="BM289" s="8">
        <v>0</v>
      </c>
      <c r="BN289" s="8">
        <v>0</v>
      </c>
      <c r="BO289" s="9">
        <f t="shared" si="137"/>
        <v>0</v>
      </c>
      <c r="BP289" s="8">
        <v>0</v>
      </c>
      <c r="BQ289" s="8">
        <v>0</v>
      </c>
      <c r="BR289" s="8">
        <v>0</v>
      </c>
      <c r="BS289" s="8">
        <v>0</v>
      </c>
      <c r="BT289" s="8">
        <v>0</v>
      </c>
      <c r="BU289" s="8">
        <v>0</v>
      </c>
      <c r="BV289" s="8">
        <v>0</v>
      </c>
      <c r="BW289" s="8">
        <v>0</v>
      </c>
      <c r="BX289" s="8">
        <v>0</v>
      </c>
      <c r="BY289" s="8">
        <v>0</v>
      </c>
      <c r="BZ289" s="8">
        <v>0</v>
      </c>
      <c r="CA289" s="8">
        <v>0</v>
      </c>
      <c r="CB289" s="9">
        <f t="shared" si="138"/>
        <v>0</v>
      </c>
      <c r="CC289" s="8">
        <v>0</v>
      </c>
      <c r="CD289" s="8">
        <v>0</v>
      </c>
      <c r="CE289" s="8">
        <v>0</v>
      </c>
      <c r="CF289" s="8">
        <v>0</v>
      </c>
      <c r="CG289" s="8">
        <v>0</v>
      </c>
      <c r="CH289" s="8">
        <v>0</v>
      </c>
      <c r="CI289" s="8">
        <v>0</v>
      </c>
      <c r="CJ289" s="8">
        <v>0</v>
      </c>
      <c r="CK289" s="8">
        <v>0</v>
      </c>
      <c r="CL289" s="8">
        <v>0</v>
      </c>
      <c r="CM289" s="8">
        <v>0</v>
      </c>
      <c r="CN289" s="8">
        <v>0</v>
      </c>
      <c r="CO289" s="9">
        <f t="shared" si="139"/>
        <v>0</v>
      </c>
      <c r="CP289" s="8">
        <v>0</v>
      </c>
      <c r="CQ289" s="8">
        <v>0</v>
      </c>
      <c r="CR289" s="8">
        <v>0</v>
      </c>
      <c r="CS289" s="8">
        <v>0</v>
      </c>
      <c r="CT289" s="8">
        <v>0</v>
      </c>
      <c r="CU289" s="8">
        <v>0</v>
      </c>
      <c r="CV289" s="8">
        <v>0</v>
      </c>
      <c r="CW289" s="8">
        <v>0</v>
      </c>
      <c r="CX289" s="8">
        <v>0</v>
      </c>
      <c r="CY289" s="8">
        <v>0</v>
      </c>
      <c r="CZ289" s="8">
        <v>0</v>
      </c>
      <c r="DA289" s="8">
        <v>0</v>
      </c>
      <c r="DB289" s="9">
        <f t="shared" si="140"/>
        <v>0</v>
      </c>
      <c r="DC289" s="8">
        <v>0</v>
      </c>
      <c r="DD289" s="8">
        <v>0</v>
      </c>
      <c r="DE289" s="8">
        <v>0</v>
      </c>
      <c r="DF289" s="8">
        <v>0</v>
      </c>
      <c r="DG289" s="8">
        <v>0</v>
      </c>
      <c r="DH289" s="8">
        <v>0</v>
      </c>
      <c r="DI289" s="8">
        <v>0</v>
      </c>
      <c r="DJ289" s="8">
        <v>0</v>
      </c>
      <c r="DK289" s="8">
        <v>0</v>
      </c>
      <c r="DL289" s="8">
        <v>0</v>
      </c>
      <c r="DM289" s="8">
        <v>0</v>
      </c>
      <c r="DN289" s="8">
        <v>0</v>
      </c>
      <c r="DO289" s="9">
        <f t="shared" si="141"/>
        <v>0</v>
      </c>
      <c r="DP289" s="8">
        <v>0</v>
      </c>
      <c r="DQ289" s="8">
        <v>0</v>
      </c>
      <c r="DR289" s="8">
        <v>0</v>
      </c>
      <c r="DS289" s="8">
        <v>0</v>
      </c>
      <c r="DT289" s="8">
        <v>0</v>
      </c>
      <c r="DU289" s="8">
        <v>0</v>
      </c>
      <c r="DV289" s="8">
        <v>0</v>
      </c>
      <c r="DW289" s="8">
        <v>0</v>
      </c>
      <c r="DX289" s="8">
        <v>0</v>
      </c>
      <c r="DY289" s="8">
        <v>0</v>
      </c>
      <c r="DZ289" s="8">
        <v>0</v>
      </c>
      <c r="EA289" s="8">
        <v>0</v>
      </c>
      <c r="EB289" s="9">
        <f t="shared" si="142"/>
        <v>0</v>
      </c>
      <c r="EC289" s="8">
        <v>0</v>
      </c>
      <c r="ED289" s="8">
        <v>0</v>
      </c>
      <c r="EE289" s="8">
        <v>0</v>
      </c>
      <c r="EF289" s="8">
        <v>0</v>
      </c>
      <c r="EG289" s="8">
        <v>0</v>
      </c>
      <c r="EH289" s="8">
        <v>0</v>
      </c>
      <c r="EI289" s="8">
        <v>0</v>
      </c>
      <c r="EJ289" s="8">
        <v>0</v>
      </c>
      <c r="EK289" s="8">
        <v>0</v>
      </c>
      <c r="EL289" s="8">
        <v>0</v>
      </c>
      <c r="EM289" s="8">
        <v>0</v>
      </c>
      <c r="EN289" s="8">
        <v>0</v>
      </c>
      <c r="EO289" s="9">
        <f t="shared" si="143"/>
        <v>0</v>
      </c>
      <c r="EP289" s="8">
        <v>0</v>
      </c>
      <c r="EQ289" s="8">
        <v>0</v>
      </c>
      <c r="ER289" s="8">
        <v>0</v>
      </c>
      <c r="ES289" s="8">
        <v>0</v>
      </c>
      <c r="ET289" s="8">
        <v>0</v>
      </c>
      <c r="EU289" s="8">
        <v>0</v>
      </c>
      <c r="EV289" s="8">
        <v>0</v>
      </c>
      <c r="EW289" s="8">
        <v>0</v>
      </c>
      <c r="EX289" s="8">
        <v>0</v>
      </c>
      <c r="EY289" s="8">
        <v>0</v>
      </c>
      <c r="EZ289" s="8">
        <v>0</v>
      </c>
      <c r="FA289" s="8">
        <v>0</v>
      </c>
      <c r="FB289" s="9">
        <f t="shared" si="144"/>
        <v>0</v>
      </c>
      <c r="FC289" s="8">
        <v>0</v>
      </c>
      <c r="FD289" s="8">
        <v>0</v>
      </c>
      <c r="FE289" s="8">
        <v>0</v>
      </c>
      <c r="FF289" s="8">
        <v>0</v>
      </c>
      <c r="FG289" s="8">
        <v>0</v>
      </c>
      <c r="FH289" s="8">
        <v>0</v>
      </c>
      <c r="FI289" s="8">
        <v>0</v>
      </c>
      <c r="FJ289" s="8"/>
      <c r="FK289" s="8"/>
      <c r="FL289" s="8"/>
      <c r="FM289" s="8"/>
      <c r="FN289" s="8"/>
      <c r="FO289" s="9">
        <f t="shared" si="145"/>
        <v>0</v>
      </c>
    </row>
    <row r="290" spans="2:171" ht="14.25" customHeight="1" x14ac:dyDescent="0.3">
      <c r="B290" s="7" t="s">
        <v>67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9">
        <f t="shared" si="133"/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9">
        <f t="shared" si="134"/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9">
        <f t="shared" si="135"/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v>0</v>
      </c>
      <c r="AZ290" s="8">
        <v>0</v>
      </c>
      <c r="BA290" s="8">
        <v>0</v>
      </c>
      <c r="BB290" s="9">
        <f t="shared" si="136"/>
        <v>0</v>
      </c>
      <c r="BC290" s="8">
        <v>0</v>
      </c>
      <c r="BD290" s="8">
        <v>0</v>
      </c>
      <c r="BE290" s="8">
        <v>0</v>
      </c>
      <c r="BF290" s="8">
        <v>0</v>
      </c>
      <c r="BG290" s="8">
        <v>0</v>
      </c>
      <c r="BH290" s="8">
        <v>0</v>
      </c>
      <c r="BI290" s="8">
        <v>0</v>
      </c>
      <c r="BJ290" s="8">
        <v>0</v>
      </c>
      <c r="BK290" s="8">
        <v>0</v>
      </c>
      <c r="BL290" s="8">
        <v>0</v>
      </c>
      <c r="BM290" s="8">
        <v>0</v>
      </c>
      <c r="BN290" s="8">
        <v>0</v>
      </c>
      <c r="BO290" s="9">
        <f t="shared" si="137"/>
        <v>0</v>
      </c>
      <c r="BP290" s="8">
        <v>0</v>
      </c>
      <c r="BQ290" s="8">
        <v>0</v>
      </c>
      <c r="BR290" s="8">
        <v>0</v>
      </c>
      <c r="BS290" s="8">
        <v>0</v>
      </c>
      <c r="BT290" s="8">
        <v>0</v>
      </c>
      <c r="BU290" s="8">
        <v>0</v>
      </c>
      <c r="BV290" s="8">
        <v>0</v>
      </c>
      <c r="BW290" s="8">
        <v>0</v>
      </c>
      <c r="BX290" s="8">
        <v>0</v>
      </c>
      <c r="BY290" s="8">
        <v>0</v>
      </c>
      <c r="BZ290" s="8">
        <v>0</v>
      </c>
      <c r="CA290" s="8">
        <v>0</v>
      </c>
      <c r="CB290" s="9">
        <f t="shared" si="138"/>
        <v>0</v>
      </c>
      <c r="CC290" s="8">
        <v>0</v>
      </c>
      <c r="CD290" s="8">
        <v>0</v>
      </c>
      <c r="CE290" s="8">
        <v>0</v>
      </c>
      <c r="CF290" s="8">
        <v>0</v>
      </c>
      <c r="CG290" s="8">
        <v>0</v>
      </c>
      <c r="CH290" s="8">
        <v>0</v>
      </c>
      <c r="CI290" s="8">
        <v>0</v>
      </c>
      <c r="CJ290" s="8">
        <v>0</v>
      </c>
      <c r="CK290" s="8">
        <v>0</v>
      </c>
      <c r="CL290" s="8">
        <v>0</v>
      </c>
      <c r="CM290" s="8">
        <v>0</v>
      </c>
      <c r="CN290" s="8">
        <v>0</v>
      </c>
      <c r="CO290" s="9">
        <f t="shared" si="139"/>
        <v>0</v>
      </c>
      <c r="CP290" s="8">
        <v>0</v>
      </c>
      <c r="CQ290" s="8">
        <v>0</v>
      </c>
      <c r="CR290" s="8">
        <v>0</v>
      </c>
      <c r="CS290" s="8">
        <v>0</v>
      </c>
      <c r="CT290" s="8">
        <v>0</v>
      </c>
      <c r="CU290" s="8">
        <v>0</v>
      </c>
      <c r="CV290" s="8">
        <v>0</v>
      </c>
      <c r="CW290" s="8">
        <v>0</v>
      </c>
      <c r="CX290" s="8">
        <v>0</v>
      </c>
      <c r="CY290" s="8">
        <v>0</v>
      </c>
      <c r="CZ290" s="8">
        <v>0</v>
      </c>
      <c r="DA290" s="8">
        <v>0</v>
      </c>
      <c r="DB290" s="9">
        <f t="shared" si="140"/>
        <v>0</v>
      </c>
      <c r="DC290" s="8">
        <v>0</v>
      </c>
      <c r="DD290" s="8">
        <v>0</v>
      </c>
      <c r="DE290" s="8">
        <v>0</v>
      </c>
      <c r="DF290" s="8">
        <v>0</v>
      </c>
      <c r="DG290" s="8">
        <v>0</v>
      </c>
      <c r="DH290" s="8">
        <v>0</v>
      </c>
      <c r="DI290" s="8">
        <v>0</v>
      </c>
      <c r="DJ290" s="8">
        <v>0</v>
      </c>
      <c r="DK290" s="8">
        <v>0</v>
      </c>
      <c r="DL290" s="8">
        <v>0</v>
      </c>
      <c r="DM290" s="8">
        <v>0</v>
      </c>
      <c r="DN290" s="8">
        <v>0</v>
      </c>
      <c r="DO290" s="9">
        <f t="shared" si="141"/>
        <v>0</v>
      </c>
      <c r="DP290" s="8">
        <v>0</v>
      </c>
      <c r="DQ290" s="8">
        <v>0</v>
      </c>
      <c r="DR290" s="8">
        <v>0</v>
      </c>
      <c r="DS290" s="8">
        <v>0</v>
      </c>
      <c r="DT290" s="8">
        <v>0</v>
      </c>
      <c r="DU290" s="8">
        <v>0</v>
      </c>
      <c r="DV290" s="8">
        <v>0</v>
      </c>
      <c r="DW290" s="8">
        <v>0</v>
      </c>
      <c r="DX290" s="8">
        <v>0</v>
      </c>
      <c r="DY290" s="8">
        <v>0</v>
      </c>
      <c r="DZ290" s="8">
        <v>0</v>
      </c>
      <c r="EA290" s="8">
        <v>0</v>
      </c>
      <c r="EB290" s="9">
        <f t="shared" si="142"/>
        <v>0</v>
      </c>
      <c r="EC290" s="8">
        <v>0</v>
      </c>
      <c r="ED290" s="8">
        <v>0</v>
      </c>
      <c r="EE290" s="8">
        <v>0</v>
      </c>
      <c r="EF290" s="8">
        <v>0</v>
      </c>
      <c r="EG290" s="8">
        <v>0</v>
      </c>
      <c r="EH290" s="8">
        <v>0</v>
      </c>
      <c r="EI290" s="8">
        <v>0</v>
      </c>
      <c r="EJ290" s="8">
        <v>0</v>
      </c>
      <c r="EK290" s="8">
        <v>0</v>
      </c>
      <c r="EL290" s="8">
        <v>0</v>
      </c>
      <c r="EM290" s="8">
        <v>0</v>
      </c>
      <c r="EN290" s="8">
        <v>0</v>
      </c>
      <c r="EO290" s="9">
        <f t="shared" si="143"/>
        <v>0</v>
      </c>
      <c r="EP290" s="8">
        <v>0</v>
      </c>
      <c r="EQ290" s="8">
        <v>0</v>
      </c>
      <c r="ER290" s="8">
        <v>0</v>
      </c>
      <c r="ES290" s="8">
        <v>0</v>
      </c>
      <c r="ET290" s="8">
        <v>0</v>
      </c>
      <c r="EU290" s="8">
        <v>0</v>
      </c>
      <c r="EV290" s="8">
        <v>0</v>
      </c>
      <c r="EW290" s="8">
        <v>0</v>
      </c>
      <c r="EX290" s="8">
        <v>0</v>
      </c>
      <c r="EY290" s="8">
        <v>0</v>
      </c>
      <c r="EZ290" s="8">
        <v>0</v>
      </c>
      <c r="FA290" s="8">
        <v>0</v>
      </c>
      <c r="FB290" s="9">
        <f t="shared" si="144"/>
        <v>0</v>
      </c>
      <c r="FC290" s="8">
        <v>0</v>
      </c>
      <c r="FD290" s="8">
        <v>0</v>
      </c>
      <c r="FE290" s="8">
        <v>0</v>
      </c>
      <c r="FF290" s="8">
        <v>0</v>
      </c>
      <c r="FG290" s="8">
        <v>0</v>
      </c>
      <c r="FH290" s="8">
        <v>0</v>
      </c>
      <c r="FI290" s="8">
        <v>0</v>
      </c>
      <c r="FJ290" s="8"/>
      <c r="FK290" s="8"/>
      <c r="FL290" s="8"/>
      <c r="FM290" s="8"/>
      <c r="FN290" s="8"/>
      <c r="FO290" s="9">
        <f t="shared" si="145"/>
        <v>0</v>
      </c>
    </row>
    <row r="291" spans="2:171" ht="14.25" customHeight="1" x14ac:dyDescent="0.3">
      <c r="B291" s="7" t="s">
        <v>68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9">
        <f t="shared" si="133"/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9">
        <f t="shared" si="134"/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9">
        <f t="shared" si="135"/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v>0</v>
      </c>
      <c r="AZ291" s="8">
        <v>0</v>
      </c>
      <c r="BA291" s="8">
        <v>0</v>
      </c>
      <c r="BB291" s="9">
        <f t="shared" si="136"/>
        <v>0</v>
      </c>
      <c r="BC291" s="8">
        <v>0</v>
      </c>
      <c r="BD291" s="8">
        <v>0</v>
      </c>
      <c r="BE291" s="8">
        <v>0</v>
      </c>
      <c r="BF291" s="8">
        <v>0</v>
      </c>
      <c r="BG291" s="8">
        <v>0</v>
      </c>
      <c r="BH291" s="8">
        <v>0</v>
      </c>
      <c r="BI291" s="8">
        <v>0</v>
      </c>
      <c r="BJ291" s="8">
        <v>0</v>
      </c>
      <c r="BK291" s="8">
        <v>0</v>
      </c>
      <c r="BL291" s="8">
        <v>0</v>
      </c>
      <c r="BM291" s="8">
        <v>0</v>
      </c>
      <c r="BN291" s="8">
        <v>0</v>
      </c>
      <c r="BO291" s="9">
        <f t="shared" si="137"/>
        <v>0</v>
      </c>
      <c r="BP291" s="8">
        <v>0</v>
      </c>
      <c r="BQ291" s="8">
        <v>0</v>
      </c>
      <c r="BR291" s="8">
        <v>0</v>
      </c>
      <c r="BS291" s="8">
        <v>0</v>
      </c>
      <c r="BT291" s="8">
        <v>0</v>
      </c>
      <c r="BU291" s="8">
        <v>0</v>
      </c>
      <c r="BV291" s="8">
        <v>0</v>
      </c>
      <c r="BW291" s="8">
        <v>0</v>
      </c>
      <c r="BX291" s="8">
        <v>0</v>
      </c>
      <c r="BY291" s="8">
        <v>0</v>
      </c>
      <c r="BZ291" s="8">
        <v>0</v>
      </c>
      <c r="CA291" s="8">
        <v>0</v>
      </c>
      <c r="CB291" s="9">
        <f t="shared" si="138"/>
        <v>0</v>
      </c>
      <c r="CC291" s="8">
        <v>0</v>
      </c>
      <c r="CD291" s="8">
        <v>0</v>
      </c>
      <c r="CE291" s="8">
        <v>0</v>
      </c>
      <c r="CF291" s="8">
        <v>0</v>
      </c>
      <c r="CG291" s="8">
        <v>0</v>
      </c>
      <c r="CH291" s="8">
        <v>0</v>
      </c>
      <c r="CI291" s="8">
        <v>0</v>
      </c>
      <c r="CJ291" s="8">
        <v>0</v>
      </c>
      <c r="CK291" s="8">
        <v>0</v>
      </c>
      <c r="CL291" s="8">
        <v>0</v>
      </c>
      <c r="CM291" s="8">
        <v>0</v>
      </c>
      <c r="CN291" s="8">
        <v>0</v>
      </c>
      <c r="CO291" s="9">
        <f t="shared" si="139"/>
        <v>0</v>
      </c>
      <c r="CP291" s="8">
        <v>0</v>
      </c>
      <c r="CQ291" s="8">
        <v>0</v>
      </c>
      <c r="CR291" s="8">
        <v>0</v>
      </c>
      <c r="CS291" s="8">
        <v>0</v>
      </c>
      <c r="CT291" s="8">
        <v>0</v>
      </c>
      <c r="CU291" s="8">
        <v>0</v>
      </c>
      <c r="CV291" s="8">
        <v>0</v>
      </c>
      <c r="CW291" s="8">
        <v>0</v>
      </c>
      <c r="CX291" s="8">
        <v>0</v>
      </c>
      <c r="CY291" s="8">
        <v>0</v>
      </c>
      <c r="CZ291" s="8">
        <v>0</v>
      </c>
      <c r="DA291" s="8">
        <v>0</v>
      </c>
      <c r="DB291" s="9">
        <f t="shared" si="140"/>
        <v>0</v>
      </c>
      <c r="DC291" s="8">
        <v>0</v>
      </c>
      <c r="DD291" s="8">
        <v>0</v>
      </c>
      <c r="DE291" s="8">
        <v>0</v>
      </c>
      <c r="DF291" s="8">
        <v>0</v>
      </c>
      <c r="DG291" s="8">
        <v>0</v>
      </c>
      <c r="DH291" s="8">
        <v>0</v>
      </c>
      <c r="DI291" s="8">
        <v>0</v>
      </c>
      <c r="DJ291" s="8">
        <v>0</v>
      </c>
      <c r="DK291" s="8">
        <v>0</v>
      </c>
      <c r="DL291" s="8">
        <v>0</v>
      </c>
      <c r="DM291" s="8">
        <v>0</v>
      </c>
      <c r="DN291" s="8">
        <v>0</v>
      </c>
      <c r="DO291" s="9">
        <f t="shared" si="141"/>
        <v>0</v>
      </c>
      <c r="DP291" s="8">
        <v>0</v>
      </c>
      <c r="DQ291" s="8">
        <v>0</v>
      </c>
      <c r="DR291" s="8">
        <v>0</v>
      </c>
      <c r="DS291" s="8">
        <v>0</v>
      </c>
      <c r="DT291" s="8">
        <v>0</v>
      </c>
      <c r="DU291" s="8">
        <v>0</v>
      </c>
      <c r="DV291" s="8">
        <v>0</v>
      </c>
      <c r="DW291" s="8">
        <v>0</v>
      </c>
      <c r="DX291" s="8">
        <v>0</v>
      </c>
      <c r="DY291" s="8">
        <v>0</v>
      </c>
      <c r="DZ291" s="8">
        <v>0</v>
      </c>
      <c r="EA291" s="8">
        <v>0</v>
      </c>
      <c r="EB291" s="9">
        <f t="shared" si="142"/>
        <v>0</v>
      </c>
      <c r="EC291" s="8">
        <v>0</v>
      </c>
      <c r="ED291" s="8">
        <v>0</v>
      </c>
      <c r="EE291" s="8">
        <v>0</v>
      </c>
      <c r="EF291" s="8">
        <v>0</v>
      </c>
      <c r="EG291" s="8">
        <v>0</v>
      </c>
      <c r="EH291" s="8">
        <v>0</v>
      </c>
      <c r="EI291" s="8">
        <v>0</v>
      </c>
      <c r="EJ291" s="8">
        <v>0</v>
      </c>
      <c r="EK291" s="8">
        <v>0</v>
      </c>
      <c r="EL291" s="8">
        <v>0</v>
      </c>
      <c r="EM291" s="8">
        <v>0</v>
      </c>
      <c r="EN291" s="8">
        <v>0</v>
      </c>
      <c r="EO291" s="9">
        <f t="shared" si="143"/>
        <v>0</v>
      </c>
      <c r="EP291" s="8">
        <v>0</v>
      </c>
      <c r="EQ291" s="8">
        <v>0</v>
      </c>
      <c r="ER291" s="8">
        <v>0</v>
      </c>
      <c r="ES291" s="8">
        <v>0</v>
      </c>
      <c r="ET291" s="8">
        <v>0</v>
      </c>
      <c r="EU291" s="8">
        <v>0</v>
      </c>
      <c r="EV291" s="8">
        <v>0</v>
      </c>
      <c r="EW291" s="8">
        <v>0</v>
      </c>
      <c r="EX291" s="8">
        <v>0</v>
      </c>
      <c r="EY291" s="8">
        <v>0</v>
      </c>
      <c r="EZ291" s="8">
        <v>0</v>
      </c>
      <c r="FA291" s="8">
        <v>0</v>
      </c>
      <c r="FB291" s="9">
        <f t="shared" si="144"/>
        <v>0</v>
      </c>
      <c r="FC291" s="8">
        <v>0</v>
      </c>
      <c r="FD291" s="8">
        <v>0</v>
      </c>
      <c r="FE291" s="8">
        <v>0</v>
      </c>
      <c r="FF291" s="8">
        <v>0</v>
      </c>
      <c r="FG291" s="8">
        <v>0</v>
      </c>
      <c r="FH291" s="8">
        <v>0</v>
      </c>
      <c r="FI291" s="8">
        <v>0</v>
      </c>
      <c r="FJ291" s="8"/>
      <c r="FK291" s="8"/>
      <c r="FL291" s="8"/>
      <c r="FM291" s="8"/>
      <c r="FN291" s="8"/>
      <c r="FO291" s="9">
        <f t="shared" si="145"/>
        <v>0</v>
      </c>
    </row>
    <row r="292" spans="2:171" ht="14.25" customHeight="1" x14ac:dyDescent="0.3">
      <c r="B292" s="7" t="s">
        <v>69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9">
        <f t="shared" si="133"/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9">
        <f t="shared" si="134"/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9">
        <f t="shared" si="135"/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v>0</v>
      </c>
      <c r="AZ292" s="8">
        <v>0</v>
      </c>
      <c r="BA292" s="8">
        <v>0</v>
      </c>
      <c r="BB292" s="9">
        <f t="shared" si="136"/>
        <v>0</v>
      </c>
      <c r="BC292" s="8">
        <v>0</v>
      </c>
      <c r="BD292" s="8">
        <v>0</v>
      </c>
      <c r="BE292" s="8">
        <v>0</v>
      </c>
      <c r="BF292" s="8">
        <v>0</v>
      </c>
      <c r="BG292" s="8">
        <v>0</v>
      </c>
      <c r="BH292" s="8">
        <v>0</v>
      </c>
      <c r="BI292" s="8">
        <v>0</v>
      </c>
      <c r="BJ292" s="8">
        <v>0</v>
      </c>
      <c r="BK292" s="8">
        <v>0</v>
      </c>
      <c r="BL292" s="8">
        <v>0</v>
      </c>
      <c r="BM292" s="8">
        <v>0</v>
      </c>
      <c r="BN292" s="8">
        <v>0</v>
      </c>
      <c r="BO292" s="9">
        <f t="shared" si="137"/>
        <v>0</v>
      </c>
      <c r="BP292" s="8">
        <v>0</v>
      </c>
      <c r="BQ292" s="8">
        <v>0</v>
      </c>
      <c r="BR292" s="8">
        <v>0</v>
      </c>
      <c r="BS292" s="8">
        <v>0</v>
      </c>
      <c r="BT292" s="8">
        <v>0</v>
      </c>
      <c r="BU292" s="8">
        <v>0</v>
      </c>
      <c r="BV292" s="8">
        <v>0</v>
      </c>
      <c r="BW292" s="8">
        <v>0</v>
      </c>
      <c r="BX292" s="8">
        <v>0</v>
      </c>
      <c r="BY292" s="8">
        <v>0</v>
      </c>
      <c r="BZ292" s="8">
        <v>0</v>
      </c>
      <c r="CA292" s="8">
        <v>0</v>
      </c>
      <c r="CB292" s="9">
        <f t="shared" si="138"/>
        <v>0</v>
      </c>
      <c r="CC292" s="8">
        <v>0</v>
      </c>
      <c r="CD292" s="8">
        <v>0</v>
      </c>
      <c r="CE292" s="8">
        <v>0</v>
      </c>
      <c r="CF292" s="8">
        <v>0</v>
      </c>
      <c r="CG292" s="8">
        <v>0</v>
      </c>
      <c r="CH292" s="8">
        <v>0</v>
      </c>
      <c r="CI292" s="8">
        <v>0</v>
      </c>
      <c r="CJ292" s="8">
        <v>0</v>
      </c>
      <c r="CK292" s="8">
        <v>0</v>
      </c>
      <c r="CL292" s="8">
        <v>0</v>
      </c>
      <c r="CM292" s="8">
        <v>0</v>
      </c>
      <c r="CN292" s="8">
        <v>0</v>
      </c>
      <c r="CO292" s="9">
        <f t="shared" si="139"/>
        <v>0</v>
      </c>
      <c r="CP292" s="8">
        <v>0</v>
      </c>
      <c r="CQ292" s="8">
        <v>0</v>
      </c>
      <c r="CR292" s="8">
        <v>0</v>
      </c>
      <c r="CS292" s="8">
        <v>0</v>
      </c>
      <c r="CT292" s="8">
        <v>0</v>
      </c>
      <c r="CU292" s="8">
        <v>0</v>
      </c>
      <c r="CV292" s="8">
        <v>0</v>
      </c>
      <c r="CW292" s="8">
        <v>0</v>
      </c>
      <c r="CX292" s="8">
        <v>0</v>
      </c>
      <c r="CY292" s="8">
        <v>0</v>
      </c>
      <c r="CZ292" s="8">
        <v>0</v>
      </c>
      <c r="DA292" s="8">
        <v>0</v>
      </c>
      <c r="DB292" s="9">
        <f t="shared" si="140"/>
        <v>0</v>
      </c>
      <c r="DC292" s="8">
        <v>0</v>
      </c>
      <c r="DD292" s="8">
        <v>0</v>
      </c>
      <c r="DE292" s="8">
        <v>0</v>
      </c>
      <c r="DF292" s="8">
        <v>0</v>
      </c>
      <c r="DG292" s="8">
        <v>0</v>
      </c>
      <c r="DH292" s="8">
        <v>0</v>
      </c>
      <c r="DI292" s="8">
        <v>0</v>
      </c>
      <c r="DJ292" s="8">
        <v>0</v>
      </c>
      <c r="DK292" s="8">
        <v>0</v>
      </c>
      <c r="DL292" s="8">
        <v>0</v>
      </c>
      <c r="DM292" s="8">
        <v>0</v>
      </c>
      <c r="DN292" s="8">
        <v>0</v>
      </c>
      <c r="DO292" s="9">
        <f t="shared" si="141"/>
        <v>0</v>
      </c>
      <c r="DP292" s="8">
        <v>0</v>
      </c>
      <c r="DQ292" s="8">
        <v>0</v>
      </c>
      <c r="DR292" s="8">
        <v>0</v>
      </c>
      <c r="DS292" s="8">
        <v>0</v>
      </c>
      <c r="DT292" s="8">
        <v>0</v>
      </c>
      <c r="DU292" s="8">
        <v>0</v>
      </c>
      <c r="DV292" s="8">
        <v>0</v>
      </c>
      <c r="DW292" s="8">
        <v>0</v>
      </c>
      <c r="DX292" s="8">
        <v>0</v>
      </c>
      <c r="DY292" s="8">
        <v>0</v>
      </c>
      <c r="DZ292" s="8">
        <v>0</v>
      </c>
      <c r="EA292" s="8">
        <v>0</v>
      </c>
      <c r="EB292" s="9">
        <f t="shared" si="142"/>
        <v>0</v>
      </c>
      <c r="EC292" s="8">
        <v>0</v>
      </c>
      <c r="ED292" s="8">
        <v>0</v>
      </c>
      <c r="EE292" s="8">
        <v>0</v>
      </c>
      <c r="EF292" s="8">
        <v>0</v>
      </c>
      <c r="EG292" s="8">
        <v>0</v>
      </c>
      <c r="EH292" s="8">
        <v>0</v>
      </c>
      <c r="EI292" s="8">
        <v>0</v>
      </c>
      <c r="EJ292" s="8">
        <v>0</v>
      </c>
      <c r="EK292" s="8">
        <v>0</v>
      </c>
      <c r="EL292" s="8">
        <v>0</v>
      </c>
      <c r="EM292" s="8">
        <v>0</v>
      </c>
      <c r="EN292" s="8">
        <v>0</v>
      </c>
      <c r="EO292" s="9">
        <f t="shared" si="143"/>
        <v>0</v>
      </c>
      <c r="EP292" s="8">
        <v>0</v>
      </c>
      <c r="EQ292" s="8">
        <v>0</v>
      </c>
      <c r="ER292" s="8">
        <v>0</v>
      </c>
      <c r="ES292" s="8">
        <v>0</v>
      </c>
      <c r="ET292" s="8">
        <v>0</v>
      </c>
      <c r="EU292" s="8">
        <v>0</v>
      </c>
      <c r="EV292" s="8">
        <v>0</v>
      </c>
      <c r="EW292" s="8">
        <v>0</v>
      </c>
      <c r="EX292" s="8">
        <v>0</v>
      </c>
      <c r="EY292" s="8">
        <v>0</v>
      </c>
      <c r="EZ292" s="8">
        <v>0</v>
      </c>
      <c r="FA292" s="8">
        <v>0</v>
      </c>
      <c r="FB292" s="9">
        <f t="shared" si="144"/>
        <v>0</v>
      </c>
      <c r="FC292" s="8">
        <v>0</v>
      </c>
      <c r="FD292" s="8">
        <v>0</v>
      </c>
      <c r="FE292" s="8">
        <v>0</v>
      </c>
      <c r="FF292" s="8">
        <v>0</v>
      </c>
      <c r="FG292" s="8">
        <v>0</v>
      </c>
      <c r="FH292" s="8">
        <v>0</v>
      </c>
      <c r="FI292" s="8">
        <v>0</v>
      </c>
      <c r="FJ292" s="8"/>
      <c r="FK292" s="8"/>
      <c r="FL292" s="8"/>
      <c r="FM292" s="8"/>
      <c r="FN292" s="8"/>
      <c r="FO292" s="9">
        <f t="shared" si="145"/>
        <v>0</v>
      </c>
    </row>
    <row r="293" spans="2:171" ht="14.25" customHeight="1" x14ac:dyDescent="0.3">
      <c r="B293" s="7" t="s">
        <v>70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9">
        <f t="shared" si="133"/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9">
        <f t="shared" si="134"/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9">
        <f t="shared" si="135"/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v>0</v>
      </c>
      <c r="AZ293" s="8">
        <v>0</v>
      </c>
      <c r="BA293" s="8">
        <v>0</v>
      </c>
      <c r="BB293" s="9">
        <f t="shared" si="136"/>
        <v>0</v>
      </c>
      <c r="BC293" s="8">
        <v>0</v>
      </c>
      <c r="BD293" s="8">
        <v>0</v>
      </c>
      <c r="BE293" s="8">
        <v>0</v>
      </c>
      <c r="BF293" s="8">
        <v>0</v>
      </c>
      <c r="BG293" s="8">
        <v>0</v>
      </c>
      <c r="BH293" s="8">
        <v>0</v>
      </c>
      <c r="BI293" s="8">
        <v>0</v>
      </c>
      <c r="BJ293" s="8">
        <v>0</v>
      </c>
      <c r="BK293" s="8">
        <v>0</v>
      </c>
      <c r="BL293" s="8">
        <v>0</v>
      </c>
      <c r="BM293" s="8">
        <v>0</v>
      </c>
      <c r="BN293" s="8">
        <v>0</v>
      </c>
      <c r="BO293" s="9">
        <f t="shared" si="137"/>
        <v>0</v>
      </c>
      <c r="BP293" s="8">
        <v>0</v>
      </c>
      <c r="BQ293" s="8">
        <v>0</v>
      </c>
      <c r="BR293" s="8">
        <v>0</v>
      </c>
      <c r="BS293" s="8">
        <v>0</v>
      </c>
      <c r="BT293" s="8">
        <v>0</v>
      </c>
      <c r="BU293" s="8">
        <v>0</v>
      </c>
      <c r="BV293" s="8">
        <v>0</v>
      </c>
      <c r="BW293" s="8">
        <v>0</v>
      </c>
      <c r="BX293" s="8">
        <v>0</v>
      </c>
      <c r="BY293" s="8">
        <v>0</v>
      </c>
      <c r="BZ293" s="8">
        <v>0</v>
      </c>
      <c r="CA293" s="8">
        <v>0</v>
      </c>
      <c r="CB293" s="9">
        <f t="shared" si="138"/>
        <v>0</v>
      </c>
      <c r="CC293" s="8">
        <v>0</v>
      </c>
      <c r="CD293" s="8">
        <v>0</v>
      </c>
      <c r="CE293" s="8">
        <v>0</v>
      </c>
      <c r="CF293" s="8">
        <v>0</v>
      </c>
      <c r="CG293" s="8">
        <v>0</v>
      </c>
      <c r="CH293" s="8">
        <v>0</v>
      </c>
      <c r="CI293" s="8">
        <v>0</v>
      </c>
      <c r="CJ293" s="8">
        <v>0</v>
      </c>
      <c r="CK293" s="8">
        <v>0</v>
      </c>
      <c r="CL293" s="8">
        <v>0</v>
      </c>
      <c r="CM293" s="8">
        <v>0</v>
      </c>
      <c r="CN293" s="8">
        <v>0</v>
      </c>
      <c r="CO293" s="9">
        <f t="shared" si="139"/>
        <v>0</v>
      </c>
      <c r="CP293" s="8">
        <v>0</v>
      </c>
      <c r="CQ293" s="8">
        <v>0</v>
      </c>
      <c r="CR293" s="8">
        <v>0</v>
      </c>
      <c r="CS293" s="8">
        <v>0</v>
      </c>
      <c r="CT293" s="8">
        <v>0</v>
      </c>
      <c r="CU293" s="8">
        <v>0</v>
      </c>
      <c r="CV293" s="8">
        <v>0</v>
      </c>
      <c r="CW293" s="8">
        <v>0</v>
      </c>
      <c r="CX293" s="8">
        <v>0</v>
      </c>
      <c r="CY293" s="8">
        <v>0</v>
      </c>
      <c r="CZ293" s="8">
        <v>0</v>
      </c>
      <c r="DA293" s="8">
        <v>0</v>
      </c>
      <c r="DB293" s="9">
        <f t="shared" si="140"/>
        <v>0</v>
      </c>
      <c r="DC293" s="8">
        <v>0</v>
      </c>
      <c r="DD293" s="8">
        <v>0</v>
      </c>
      <c r="DE293" s="8">
        <v>0</v>
      </c>
      <c r="DF293" s="8">
        <v>0</v>
      </c>
      <c r="DG293" s="8">
        <v>0</v>
      </c>
      <c r="DH293" s="8">
        <v>0</v>
      </c>
      <c r="DI293" s="8">
        <v>0</v>
      </c>
      <c r="DJ293" s="8">
        <v>0</v>
      </c>
      <c r="DK293" s="8">
        <v>0</v>
      </c>
      <c r="DL293" s="8">
        <v>0</v>
      </c>
      <c r="DM293" s="8">
        <v>0</v>
      </c>
      <c r="DN293" s="8">
        <v>0</v>
      </c>
      <c r="DO293" s="9">
        <f t="shared" si="141"/>
        <v>0</v>
      </c>
      <c r="DP293" s="8">
        <v>0</v>
      </c>
      <c r="DQ293" s="8">
        <v>0</v>
      </c>
      <c r="DR293" s="8">
        <v>0</v>
      </c>
      <c r="DS293" s="8">
        <v>0</v>
      </c>
      <c r="DT293" s="8">
        <v>0</v>
      </c>
      <c r="DU293" s="8">
        <v>0</v>
      </c>
      <c r="DV293" s="8">
        <v>0</v>
      </c>
      <c r="DW293" s="8">
        <v>0</v>
      </c>
      <c r="DX293" s="8">
        <v>0</v>
      </c>
      <c r="DY293" s="8">
        <v>0</v>
      </c>
      <c r="DZ293" s="8">
        <v>0</v>
      </c>
      <c r="EA293" s="8">
        <v>0</v>
      </c>
      <c r="EB293" s="9">
        <f t="shared" si="142"/>
        <v>0</v>
      </c>
      <c r="EC293" s="8">
        <v>0</v>
      </c>
      <c r="ED293" s="8">
        <v>0</v>
      </c>
      <c r="EE293" s="8">
        <v>0</v>
      </c>
      <c r="EF293" s="8">
        <v>0</v>
      </c>
      <c r="EG293" s="8">
        <v>0</v>
      </c>
      <c r="EH293" s="8">
        <v>0</v>
      </c>
      <c r="EI293" s="8">
        <v>0</v>
      </c>
      <c r="EJ293" s="8">
        <v>0</v>
      </c>
      <c r="EK293" s="8">
        <v>0</v>
      </c>
      <c r="EL293" s="8">
        <v>0</v>
      </c>
      <c r="EM293" s="8">
        <v>0</v>
      </c>
      <c r="EN293" s="8">
        <v>0</v>
      </c>
      <c r="EO293" s="9">
        <f t="shared" si="143"/>
        <v>0</v>
      </c>
      <c r="EP293" s="8">
        <v>0</v>
      </c>
      <c r="EQ293" s="8">
        <v>0</v>
      </c>
      <c r="ER293" s="8">
        <v>0</v>
      </c>
      <c r="ES293" s="8">
        <v>0</v>
      </c>
      <c r="ET293" s="8">
        <v>0</v>
      </c>
      <c r="EU293" s="8">
        <v>0</v>
      </c>
      <c r="EV293" s="8">
        <v>0</v>
      </c>
      <c r="EW293" s="8">
        <v>0</v>
      </c>
      <c r="EX293" s="8">
        <v>0</v>
      </c>
      <c r="EY293" s="8">
        <v>0</v>
      </c>
      <c r="EZ293" s="8">
        <v>0</v>
      </c>
      <c r="FA293" s="8">
        <v>0</v>
      </c>
      <c r="FB293" s="9">
        <f t="shared" si="144"/>
        <v>0</v>
      </c>
      <c r="FC293" s="8">
        <v>0</v>
      </c>
      <c r="FD293" s="8">
        <v>0</v>
      </c>
      <c r="FE293" s="8">
        <v>0</v>
      </c>
      <c r="FF293" s="8">
        <v>0</v>
      </c>
      <c r="FG293" s="8">
        <v>0</v>
      </c>
      <c r="FH293" s="8">
        <v>0</v>
      </c>
      <c r="FI293" s="8">
        <v>0</v>
      </c>
      <c r="FJ293" s="8"/>
      <c r="FK293" s="8"/>
      <c r="FL293" s="8"/>
      <c r="FM293" s="8"/>
      <c r="FN293" s="8"/>
      <c r="FO293" s="9">
        <f t="shared" si="145"/>
        <v>0</v>
      </c>
    </row>
    <row r="294" spans="2:171" ht="14.25" customHeight="1" x14ac:dyDescent="0.3">
      <c r="B294" s="7" t="s">
        <v>71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9">
        <f t="shared" si="133"/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9">
        <f t="shared" si="134"/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9">
        <f t="shared" si="135"/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v>0</v>
      </c>
      <c r="AZ294" s="8">
        <v>0</v>
      </c>
      <c r="BA294" s="8">
        <v>0</v>
      </c>
      <c r="BB294" s="9">
        <f t="shared" si="136"/>
        <v>0</v>
      </c>
      <c r="BC294" s="8">
        <v>0</v>
      </c>
      <c r="BD294" s="8">
        <v>0</v>
      </c>
      <c r="BE294" s="8">
        <v>0</v>
      </c>
      <c r="BF294" s="8">
        <v>0</v>
      </c>
      <c r="BG294" s="8">
        <v>0</v>
      </c>
      <c r="BH294" s="8">
        <v>0</v>
      </c>
      <c r="BI294" s="8">
        <v>0</v>
      </c>
      <c r="BJ294" s="8">
        <v>0</v>
      </c>
      <c r="BK294" s="8">
        <v>0</v>
      </c>
      <c r="BL294" s="8">
        <v>0</v>
      </c>
      <c r="BM294" s="8">
        <v>0</v>
      </c>
      <c r="BN294" s="8">
        <v>0</v>
      </c>
      <c r="BO294" s="9">
        <f t="shared" si="137"/>
        <v>0</v>
      </c>
      <c r="BP294" s="8">
        <v>0</v>
      </c>
      <c r="BQ294" s="8">
        <v>0</v>
      </c>
      <c r="BR294" s="8">
        <v>0</v>
      </c>
      <c r="BS294" s="8">
        <v>0</v>
      </c>
      <c r="BT294" s="8">
        <v>0</v>
      </c>
      <c r="BU294" s="8">
        <v>0</v>
      </c>
      <c r="BV294" s="8">
        <v>0</v>
      </c>
      <c r="BW294" s="8">
        <v>0</v>
      </c>
      <c r="BX294" s="8">
        <v>0</v>
      </c>
      <c r="BY294" s="8">
        <v>0</v>
      </c>
      <c r="BZ294" s="8">
        <v>0</v>
      </c>
      <c r="CA294" s="8">
        <v>0</v>
      </c>
      <c r="CB294" s="9">
        <f t="shared" si="138"/>
        <v>0</v>
      </c>
      <c r="CC294" s="8">
        <v>0</v>
      </c>
      <c r="CD294" s="8">
        <v>0</v>
      </c>
      <c r="CE294" s="8">
        <v>0</v>
      </c>
      <c r="CF294" s="8">
        <v>0</v>
      </c>
      <c r="CG294" s="8">
        <v>0</v>
      </c>
      <c r="CH294" s="8">
        <v>0</v>
      </c>
      <c r="CI294" s="8">
        <v>0</v>
      </c>
      <c r="CJ294" s="8">
        <v>0</v>
      </c>
      <c r="CK294" s="8">
        <v>0</v>
      </c>
      <c r="CL294" s="8">
        <v>0</v>
      </c>
      <c r="CM294" s="8">
        <v>0</v>
      </c>
      <c r="CN294" s="8">
        <v>0</v>
      </c>
      <c r="CO294" s="9">
        <f t="shared" si="139"/>
        <v>0</v>
      </c>
      <c r="CP294" s="8">
        <v>0</v>
      </c>
      <c r="CQ294" s="8">
        <v>0</v>
      </c>
      <c r="CR294" s="8">
        <v>0</v>
      </c>
      <c r="CS294" s="8">
        <v>0</v>
      </c>
      <c r="CT294" s="8">
        <v>0</v>
      </c>
      <c r="CU294" s="8">
        <v>0</v>
      </c>
      <c r="CV294" s="8">
        <v>0</v>
      </c>
      <c r="CW294" s="8">
        <v>0</v>
      </c>
      <c r="CX294" s="8">
        <v>0</v>
      </c>
      <c r="CY294" s="8">
        <v>0</v>
      </c>
      <c r="CZ294" s="8">
        <v>0</v>
      </c>
      <c r="DA294" s="8">
        <v>0</v>
      </c>
      <c r="DB294" s="9">
        <f t="shared" si="140"/>
        <v>0</v>
      </c>
      <c r="DC294" s="8">
        <v>0</v>
      </c>
      <c r="DD294" s="8">
        <v>0</v>
      </c>
      <c r="DE294" s="8">
        <v>0</v>
      </c>
      <c r="DF294" s="8">
        <v>0</v>
      </c>
      <c r="DG294" s="8">
        <v>0</v>
      </c>
      <c r="DH294" s="8">
        <v>0</v>
      </c>
      <c r="DI294" s="8">
        <v>0</v>
      </c>
      <c r="DJ294" s="8">
        <v>0</v>
      </c>
      <c r="DK294" s="8">
        <v>0</v>
      </c>
      <c r="DL294" s="8">
        <v>0</v>
      </c>
      <c r="DM294" s="8">
        <v>0</v>
      </c>
      <c r="DN294" s="8">
        <v>0</v>
      </c>
      <c r="DO294" s="9">
        <f t="shared" si="141"/>
        <v>0</v>
      </c>
      <c r="DP294" s="8">
        <v>0</v>
      </c>
      <c r="DQ294" s="8">
        <v>0</v>
      </c>
      <c r="DR294" s="8">
        <v>0</v>
      </c>
      <c r="DS294" s="8">
        <v>0</v>
      </c>
      <c r="DT294" s="8">
        <v>0</v>
      </c>
      <c r="DU294" s="8">
        <v>0</v>
      </c>
      <c r="DV294" s="8">
        <v>0</v>
      </c>
      <c r="DW294" s="8">
        <v>0</v>
      </c>
      <c r="DX294" s="8">
        <v>0</v>
      </c>
      <c r="DY294" s="8">
        <v>0</v>
      </c>
      <c r="DZ294" s="8">
        <v>0</v>
      </c>
      <c r="EA294" s="8">
        <v>0</v>
      </c>
      <c r="EB294" s="9">
        <f t="shared" si="142"/>
        <v>0</v>
      </c>
      <c r="EC294" s="8">
        <v>0</v>
      </c>
      <c r="ED294" s="8">
        <v>0</v>
      </c>
      <c r="EE294" s="8">
        <v>0</v>
      </c>
      <c r="EF294" s="8">
        <v>0</v>
      </c>
      <c r="EG294" s="8">
        <v>0</v>
      </c>
      <c r="EH294" s="8">
        <v>0</v>
      </c>
      <c r="EI294" s="8">
        <v>0</v>
      </c>
      <c r="EJ294" s="8">
        <v>0</v>
      </c>
      <c r="EK294" s="8">
        <v>0</v>
      </c>
      <c r="EL294" s="8">
        <v>0</v>
      </c>
      <c r="EM294" s="8">
        <v>0</v>
      </c>
      <c r="EN294" s="8">
        <v>0</v>
      </c>
      <c r="EO294" s="9">
        <f t="shared" si="143"/>
        <v>0</v>
      </c>
      <c r="EP294" s="8">
        <v>0</v>
      </c>
      <c r="EQ294" s="8">
        <v>0</v>
      </c>
      <c r="ER294" s="8">
        <v>0</v>
      </c>
      <c r="ES294" s="8">
        <v>0</v>
      </c>
      <c r="ET294" s="8">
        <v>0</v>
      </c>
      <c r="EU294" s="8">
        <v>0</v>
      </c>
      <c r="EV294" s="8">
        <v>0</v>
      </c>
      <c r="EW294" s="8">
        <v>0</v>
      </c>
      <c r="EX294" s="8">
        <v>0</v>
      </c>
      <c r="EY294" s="8">
        <v>0</v>
      </c>
      <c r="EZ294" s="8">
        <v>0</v>
      </c>
      <c r="FA294" s="8">
        <v>0</v>
      </c>
      <c r="FB294" s="9">
        <f t="shared" si="144"/>
        <v>0</v>
      </c>
      <c r="FC294" s="8">
        <v>0</v>
      </c>
      <c r="FD294" s="8">
        <v>0</v>
      </c>
      <c r="FE294" s="8">
        <v>0</v>
      </c>
      <c r="FF294" s="8">
        <v>0</v>
      </c>
      <c r="FG294" s="8">
        <v>0</v>
      </c>
      <c r="FH294" s="8">
        <v>0</v>
      </c>
      <c r="FI294" s="8">
        <v>0</v>
      </c>
      <c r="FJ294" s="8"/>
      <c r="FK294" s="8"/>
      <c r="FL294" s="8"/>
      <c r="FM294" s="8"/>
      <c r="FN294" s="8"/>
      <c r="FO294" s="9">
        <f t="shared" si="145"/>
        <v>0</v>
      </c>
    </row>
    <row r="295" spans="2:171" ht="14.25" customHeight="1" x14ac:dyDescent="0.3">
      <c r="B295" s="7" t="s">
        <v>72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9">
        <f t="shared" si="133"/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9">
        <f t="shared" si="134"/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9">
        <f t="shared" si="135"/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v>0</v>
      </c>
      <c r="AZ295" s="8">
        <v>0</v>
      </c>
      <c r="BA295" s="8">
        <v>0</v>
      </c>
      <c r="BB295" s="9">
        <f t="shared" si="136"/>
        <v>0</v>
      </c>
      <c r="BC295" s="8">
        <v>0</v>
      </c>
      <c r="BD295" s="8">
        <v>0</v>
      </c>
      <c r="BE295" s="8">
        <v>0</v>
      </c>
      <c r="BF295" s="8">
        <v>0</v>
      </c>
      <c r="BG295" s="8">
        <v>0</v>
      </c>
      <c r="BH295" s="8">
        <v>0</v>
      </c>
      <c r="BI295" s="8">
        <v>0</v>
      </c>
      <c r="BJ295" s="8">
        <v>0</v>
      </c>
      <c r="BK295" s="8">
        <v>0</v>
      </c>
      <c r="BL295" s="8">
        <v>0</v>
      </c>
      <c r="BM295" s="8">
        <v>0</v>
      </c>
      <c r="BN295" s="8">
        <v>0</v>
      </c>
      <c r="BO295" s="9">
        <f t="shared" si="137"/>
        <v>0</v>
      </c>
      <c r="BP295" s="8">
        <v>0</v>
      </c>
      <c r="BQ295" s="8">
        <v>0</v>
      </c>
      <c r="BR295" s="8">
        <v>0</v>
      </c>
      <c r="BS295" s="8">
        <v>0</v>
      </c>
      <c r="BT295" s="8">
        <v>0</v>
      </c>
      <c r="BU295" s="8">
        <v>0</v>
      </c>
      <c r="BV295" s="8">
        <v>0</v>
      </c>
      <c r="BW295" s="8">
        <v>0</v>
      </c>
      <c r="BX295" s="8">
        <v>0</v>
      </c>
      <c r="BY295" s="8">
        <v>0</v>
      </c>
      <c r="BZ295" s="8">
        <v>0</v>
      </c>
      <c r="CA295" s="8">
        <v>0</v>
      </c>
      <c r="CB295" s="9">
        <f t="shared" si="138"/>
        <v>0</v>
      </c>
      <c r="CC295" s="8">
        <v>0</v>
      </c>
      <c r="CD295" s="8">
        <v>0</v>
      </c>
      <c r="CE295" s="8">
        <v>0</v>
      </c>
      <c r="CF295" s="8">
        <v>0</v>
      </c>
      <c r="CG295" s="8">
        <v>0</v>
      </c>
      <c r="CH295" s="8">
        <v>0</v>
      </c>
      <c r="CI295" s="8">
        <v>0</v>
      </c>
      <c r="CJ295" s="8">
        <v>0</v>
      </c>
      <c r="CK295" s="8">
        <v>0</v>
      </c>
      <c r="CL295" s="8">
        <v>0</v>
      </c>
      <c r="CM295" s="8">
        <v>0</v>
      </c>
      <c r="CN295" s="8">
        <v>0</v>
      </c>
      <c r="CO295" s="9">
        <f t="shared" si="139"/>
        <v>0</v>
      </c>
      <c r="CP295" s="8">
        <v>0</v>
      </c>
      <c r="CQ295" s="8">
        <v>0</v>
      </c>
      <c r="CR295" s="8">
        <v>0</v>
      </c>
      <c r="CS295" s="8">
        <v>0</v>
      </c>
      <c r="CT295" s="8">
        <v>0</v>
      </c>
      <c r="CU295" s="8">
        <v>0</v>
      </c>
      <c r="CV295" s="8">
        <v>0</v>
      </c>
      <c r="CW295" s="8">
        <v>0</v>
      </c>
      <c r="CX295" s="8">
        <v>0</v>
      </c>
      <c r="CY295" s="8">
        <v>0</v>
      </c>
      <c r="CZ295" s="8">
        <v>0</v>
      </c>
      <c r="DA295" s="8">
        <v>0</v>
      </c>
      <c r="DB295" s="9">
        <f t="shared" si="140"/>
        <v>0</v>
      </c>
      <c r="DC295" s="8">
        <v>0</v>
      </c>
      <c r="DD295" s="8">
        <v>0</v>
      </c>
      <c r="DE295" s="8">
        <v>0</v>
      </c>
      <c r="DF295" s="8">
        <v>0</v>
      </c>
      <c r="DG295" s="8">
        <v>0</v>
      </c>
      <c r="DH295" s="8">
        <v>0</v>
      </c>
      <c r="DI295" s="8">
        <v>0</v>
      </c>
      <c r="DJ295" s="8">
        <v>0</v>
      </c>
      <c r="DK295" s="8">
        <v>0</v>
      </c>
      <c r="DL295" s="8">
        <v>0</v>
      </c>
      <c r="DM295" s="8">
        <v>0</v>
      </c>
      <c r="DN295" s="8">
        <v>0</v>
      </c>
      <c r="DO295" s="9">
        <f t="shared" si="141"/>
        <v>0</v>
      </c>
      <c r="DP295" s="8">
        <v>0</v>
      </c>
      <c r="DQ295" s="8">
        <v>0</v>
      </c>
      <c r="DR295" s="8">
        <v>0</v>
      </c>
      <c r="DS295" s="8">
        <v>0</v>
      </c>
      <c r="DT295" s="8">
        <v>0</v>
      </c>
      <c r="DU295" s="8">
        <v>0</v>
      </c>
      <c r="DV295" s="8">
        <v>0</v>
      </c>
      <c r="DW295" s="8">
        <v>0</v>
      </c>
      <c r="DX295" s="8">
        <v>0</v>
      </c>
      <c r="DY295" s="8">
        <v>0</v>
      </c>
      <c r="DZ295" s="8">
        <v>0</v>
      </c>
      <c r="EA295" s="8">
        <v>0</v>
      </c>
      <c r="EB295" s="9">
        <f t="shared" si="142"/>
        <v>0</v>
      </c>
      <c r="EC295" s="8">
        <v>0</v>
      </c>
      <c r="ED295" s="8">
        <v>0</v>
      </c>
      <c r="EE295" s="8">
        <v>0</v>
      </c>
      <c r="EF295" s="8">
        <v>0</v>
      </c>
      <c r="EG295" s="8">
        <v>0</v>
      </c>
      <c r="EH295" s="8">
        <v>0</v>
      </c>
      <c r="EI295" s="8">
        <v>0</v>
      </c>
      <c r="EJ295" s="8">
        <v>0</v>
      </c>
      <c r="EK295" s="8">
        <v>0</v>
      </c>
      <c r="EL295" s="8">
        <v>0</v>
      </c>
      <c r="EM295" s="8">
        <v>0</v>
      </c>
      <c r="EN295" s="8">
        <v>0</v>
      </c>
      <c r="EO295" s="9">
        <f t="shared" si="143"/>
        <v>0</v>
      </c>
      <c r="EP295" s="8">
        <v>0</v>
      </c>
      <c r="EQ295" s="8">
        <v>0</v>
      </c>
      <c r="ER295" s="8">
        <v>0</v>
      </c>
      <c r="ES295" s="8">
        <v>0</v>
      </c>
      <c r="ET295" s="8">
        <v>0</v>
      </c>
      <c r="EU295" s="8">
        <v>0</v>
      </c>
      <c r="EV295" s="8">
        <v>0</v>
      </c>
      <c r="EW295" s="8">
        <v>0</v>
      </c>
      <c r="EX295" s="8">
        <v>0</v>
      </c>
      <c r="EY295" s="8">
        <v>0</v>
      </c>
      <c r="EZ295" s="8">
        <v>0</v>
      </c>
      <c r="FA295" s="8">
        <v>0</v>
      </c>
      <c r="FB295" s="9">
        <f t="shared" si="144"/>
        <v>0</v>
      </c>
      <c r="FC295" s="8">
        <v>0</v>
      </c>
      <c r="FD295" s="8">
        <v>0</v>
      </c>
      <c r="FE295" s="8">
        <v>0</v>
      </c>
      <c r="FF295" s="8">
        <v>0</v>
      </c>
      <c r="FG295" s="8">
        <v>0</v>
      </c>
      <c r="FH295" s="8">
        <v>0</v>
      </c>
      <c r="FI295" s="8">
        <v>0</v>
      </c>
      <c r="FJ295" s="8"/>
      <c r="FK295" s="8"/>
      <c r="FL295" s="8"/>
      <c r="FM295" s="8"/>
      <c r="FN295" s="8"/>
      <c r="FO295" s="9">
        <f t="shared" si="145"/>
        <v>0</v>
      </c>
    </row>
    <row r="296" spans="2:171" ht="14.25" customHeight="1" x14ac:dyDescent="0.3">
      <c r="B296" s="7" t="s">
        <v>73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9">
        <f t="shared" si="133"/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9">
        <f t="shared" si="134"/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9">
        <f t="shared" si="135"/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v>0</v>
      </c>
      <c r="AZ296" s="8">
        <v>0</v>
      </c>
      <c r="BA296" s="8">
        <v>0</v>
      </c>
      <c r="BB296" s="9">
        <f t="shared" si="136"/>
        <v>0</v>
      </c>
      <c r="BC296" s="8">
        <v>0</v>
      </c>
      <c r="BD296" s="8">
        <v>0</v>
      </c>
      <c r="BE296" s="8">
        <v>0</v>
      </c>
      <c r="BF296" s="8">
        <v>0</v>
      </c>
      <c r="BG296" s="8">
        <v>0</v>
      </c>
      <c r="BH296" s="8">
        <v>0</v>
      </c>
      <c r="BI296" s="8">
        <v>0</v>
      </c>
      <c r="BJ296" s="8">
        <v>0</v>
      </c>
      <c r="BK296" s="8">
        <v>0</v>
      </c>
      <c r="BL296" s="8">
        <v>0</v>
      </c>
      <c r="BM296" s="8">
        <v>0</v>
      </c>
      <c r="BN296" s="8">
        <v>0</v>
      </c>
      <c r="BO296" s="9">
        <f t="shared" si="137"/>
        <v>0</v>
      </c>
      <c r="BP296" s="8">
        <v>0</v>
      </c>
      <c r="BQ296" s="8">
        <v>0</v>
      </c>
      <c r="BR296" s="8">
        <v>0</v>
      </c>
      <c r="BS296" s="8">
        <v>0</v>
      </c>
      <c r="BT296" s="8">
        <v>0</v>
      </c>
      <c r="BU296" s="8">
        <v>0</v>
      </c>
      <c r="BV296" s="8">
        <v>0</v>
      </c>
      <c r="BW296" s="8">
        <v>0</v>
      </c>
      <c r="BX296" s="8">
        <v>0</v>
      </c>
      <c r="BY296" s="8">
        <v>0</v>
      </c>
      <c r="BZ296" s="8">
        <v>0</v>
      </c>
      <c r="CA296" s="8">
        <v>0</v>
      </c>
      <c r="CB296" s="9">
        <f t="shared" si="138"/>
        <v>0</v>
      </c>
      <c r="CC296" s="8">
        <v>0</v>
      </c>
      <c r="CD296" s="8">
        <v>0</v>
      </c>
      <c r="CE296" s="8">
        <v>0</v>
      </c>
      <c r="CF296" s="8">
        <v>0</v>
      </c>
      <c r="CG296" s="8">
        <v>0</v>
      </c>
      <c r="CH296" s="8">
        <v>0</v>
      </c>
      <c r="CI296" s="8">
        <v>0</v>
      </c>
      <c r="CJ296" s="8">
        <v>0</v>
      </c>
      <c r="CK296" s="8">
        <v>0</v>
      </c>
      <c r="CL296" s="8">
        <v>0</v>
      </c>
      <c r="CM296" s="8">
        <v>0</v>
      </c>
      <c r="CN296" s="8">
        <v>0</v>
      </c>
      <c r="CO296" s="9">
        <f t="shared" si="139"/>
        <v>0</v>
      </c>
      <c r="CP296" s="8">
        <v>0</v>
      </c>
      <c r="CQ296" s="8">
        <v>0</v>
      </c>
      <c r="CR296" s="8">
        <v>0</v>
      </c>
      <c r="CS296" s="8">
        <v>0</v>
      </c>
      <c r="CT296" s="8">
        <v>0</v>
      </c>
      <c r="CU296" s="8">
        <v>0</v>
      </c>
      <c r="CV296" s="8">
        <v>0</v>
      </c>
      <c r="CW296" s="8">
        <v>0</v>
      </c>
      <c r="CX296" s="8">
        <v>0</v>
      </c>
      <c r="CY296" s="8">
        <v>0</v>
      </c>
      <c r="CZ296" s="8">
        <v>0</v>
      </c>
      <c r="DA296" s="8">
        <v>0</v>
      </c>
      <c r="DB296" s="9">
        <f t="shared" si="140"/>
        <v>0</v>
      </c>
      <c r="DC296" s="8">
        <v>0</v>
      </c>
      <c r="DD296" s="8">
        <v>0</v>
      </c>
      <c r="DE296" s="8">
        <v>0</v>
      </c>
      <c r="DF296" s="8">
        <v>0</v>
      </c>
      <c r="DG296" s="8">
        <v>0</v>
      </c>
      <c r="DH296" s="8">
        <v>0</v>
      </c>
      <c r="DI296" s="8">
        <v>0</v>
      </c>
      <c r="DJ296" s="8">
        <v>0</v>
      </c>
      <c r="DK296" s="8">
        <v>0</v>
      </c>
      <c r="DL296" s="8">
        <v>0</v>
      </c>
      <c r="DM296" s="8">
        <v>0</v>
      </c>
      <c r="DN296" s="8">
        <v>0</v>
      </c>
      <c r="DO296" s="9">
        <f t="shared" si="141"/>
        <v>0</v>
      </c>
      <c r="DP296" s="8">
        <v>0</v>
      </c>
      <c r="DQ296" s="8">
        <v>0</v>
      </c>
      <c r="DR296" s="8">
        <v>0</v>
      </c>
      <c r="DS296" s="8">
        <v>0</v>
      </c>
      <c r="DT296" s="8">
        <v>0</v>
      </c>
      <c r="DU296" s="8">
        <v>0</v>
      </c>
      <c r="DV296" s="8">
        <v>0</v>
      </c>
      <c r="DW296" s="8">
        <v>0</v>
      </c>
      <c r="DX296" s="8">
        <v>0</v>
      </c>
      <c r="DY296" s="8">
        <v>0</v>
      </c>
      <c r="DZ296" s="8">
        <v>0</v>
      </c>
      <c r="EA296" s="8">
        <v>0</v>
      </c>
      <c r="EB296" s="9">
        <f t="shared" si="142"/>
        <v>0</v>
      </c>
      <c r="EC296" s="8">
        <v>0</v>
      </c>
      <c r="ED296" s="8">
        <v>0</v>
      </c>
      <c r="EE296" s="8">
        <v>0</v>
      </c>
      <c r="EF296" s="8">
        <v>0</v>
      </c>
      <c r="EG296" s="8">
        <v>0</v>
      </c>
      <c r="EH296" s="8">
        <v>0</v>
      </c>
      <c r="EI296" s="8">
        <v>0</v>
      </c>
      <c r="EJ296" s="8">
        <v>0</v>
      </c>
      <c r="EK296" s="8">
        <v>0</v>
      </c>
      <c r="EL296" s="8">
        <v>0</v>
      </c>
      <c r="EM296" s="8">
        <v>0</v>
      </c>
      <c r="EN296" s="8">
        <v>0</v>
      </c>
      <c r="EO296" s="9">
        <f t="shared" si="143"/>
        <v>0</v>
      </c>
      <c r="EP296" s="8">
        <v>0</v>
      </c>
      <c r="EQ296" s="8">
        <v>0</v>
      </c>
      <c r="ER296" s="8">
        <v>0</v>
      </c>
      <c r="ES296" s="8">
        <v>0</v>
      </c>
      <c r="ET296" s="8">
        <v>0</v>
      </c>
      <c r="EU296" s="8">
        <v>0</v>
      </c>
      <c r="EV296" s="8">
        <v>0</v>
      </c>
      <c r="EW296" s="8">
        <v>0</v>
      </c>
      <c r="EX296" s="8">
        <v>0</v>
      </c>
      <c r="EY296" s="8">
        <v>0</v>
      </c>
      <c r="EZ296" s="8">
        <v>0</v>
      </c>
      <c r="FA296" s="8">
        <v>0</v>
      </c>
      <c r="FB296" s="9">
        <f t="shared" si="144"/>
        <v>0</v>
      </c>
      <c r="FC296" s="8">
        <v>0</v>
      </c>
      <c r="FD296" s="8">
        <v>0</v>
      </c>
      <c r="FE296" s="8">
        <v>0</v>
      </c>
      <c r="FF296" s="8">
        <v>0</v>
      </c>
      <c r="FG296" s="8">
        <v>0</v>
      </c>
      <c r="FH296" s="8">
        <v>0</v>
      </c>
      <c r="FI296" s="8">
        <v>0</v>
      </c>
      <c r="FJ296" s="8"/>
      <c r="FK296" s="8"/>
      <c r="FL296" s="8"/>
      <c r="FM296" s="8"/>
      <c r="FN296" s="8"/>
      <c r="FO296" s="9">
        <f t="shared" si="145"/>
        <v>0</v>
      </c>
    </row>
    <row r="297" spans="2:171" ht="14.25" customHeight="1" x14ac:dyDescent="0.3">
      <c r="B297" s="7" t="s">
        <v>74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9">
        <f t="shared" si="133"/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9">
        <f t="shared" si="134"/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9">
        <f t="shared" si="135"/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v>0</v>
      </c>
      <c r="AZ297" s="8">
        <v>0</v>
      </c>
      <c r="BA297" s="8">
        <v>0</v>
      </c>
      <c r="BB297" s="9">
        <f t="shared" si="136"/>
        <v>0</v>
      </c>
      <c r="BC297" s="8">
        <v>0</v>
      </c>
      <c r="BD297" s="8">
        <v>0</v>
      </c>
      <c r="BE297" s="8">
        <v>0</v>
      </c>
      <c r="BF297" s="8">
        <v>0</v>
      </c>
      <c r="BG297" s="8">
        <v>0</v>
      </c>
      <c r="BH297" s="8">
        <v>0</v>
      </c>
      <c r="BI297" s="8">
        <v>0</v>
      </c>
      <c r="BJ297" s="8">
        <v>0</v>
      </c>
      <c r="BK297" s="8">
        <v>0</v>
      </c>
      <c r="BL297" s="8">
        <v>0</v>
      </c>
      <c r="BM297" s="8">
        <v>0</v>
      </c>
      <c r="BN297" s="8">
        <v>0</v>
      </c>
      <c r="BO297" s="9">
        <f t="shared" si="137"/>
        <v>0</v>
      </c>
      <c r="BP297" s="8">
        <v>0</v>
      </c>
      <c r="BQ297" s="8">
        <v>0</v>
      </c>
      <c r="BR297" s="8">
        <v>0</v>
      </c>
      <c r="BS297" s="8">
        <v>0</v>
      </c>
      <c r="BT297" s="8">
        <v>0</v>
      </c>
      <c r="BU297" s="8">
        <v>0</v>
      </c>
      <c r="BV297" s="8">
        <v>0</v>
      </c>
      <c r="BW297" s="8">
        <v>0</v>
      </c>
      <c r="BX297" s="8">
        <v>0</v>
      </c>
      <c r="BY297" s="8">
        <v>0</v>
      </c>
      <c r="BZ297" s="8">
        <v>0</v>
      </c>
      <c r="CA297" s="8">
        <v>0</v>
      </c>
      <c r="CB297" s="9">
        <f t="shared" si="138"/>
        <v>0</v>
      </c>
      <c r="CC297" s="8">
        <v>0</v>
      </c>
      <c r="CD297" s="8">
        <v>0</v>
      </c>
      <c r="CE297" s="8">
        <v>0</v>
      </c>
      <c r="CF297" s="8">
        <v>0</v>
      </c>
      <c r="CG297" s="8">
        <v>0</v>
      </c>
      <c r="CH297" s="8">
        <v>0</v>
      </c>
      <c r="CI297" s="8">
        <v>0</v>
      </c>
      <c r="CJ297" s="8">
        <v>0</v>
      </c>
      <c r="CK297" s="8">
        <v>0</v>
      </c>
      <c r="CL297" s="8">
        <v>0</v>
      </c>
      <c r="CM297" s="8">
        <v>0</v>
      </c>
      <c r="CN297" s="8">
        <v>0</v>
      </c>
      <c r="CO297" s="9">
        <f t="shared" si="139"/>
        <v>0</v>
      </c>
      <c r="CP297" s="8">
        <v>0</v>
      </c>
      <c r="CQ297" s="8">
        <v>0</v>
      </c>
      <c r="CR297" s="8">
        <v>0</v>
      </c>
      <c r="CS297" s="8">
        <v>0</v>
      </c>
      <c r="CT297" s="8">
        <v>0</v>
      </c>
      <c r="CU297" s="8">
        <v>0</v>
      </c>
      <c r="CV297" s="8">
        <v>0</v>
      </c>
      <c r="CW297" s="8">
        <v>0</v>
      </c>
      <c r="CX297" s="8">
        <v>0</v>
      </c>
      <c r="CY297" s="8">
        <v>0</v>
      </c>
      <c r="CZ297" s="8">
        <v>0</v>
      </c>
      <c r="DA297" s="8">
        <v>0</v>
      </c>
      <c r="DB297" s="9">
        <f t="shared" si="140"/>
        <v>0</v>
      </c>
      <c r="DC297" s="8">
        <v>0</v>
      </c>
      <c r="DD297" s="8">
        <v>0</v>
      </c>
      <c r="DE297" s="8">
        <v>0</v>
      </c>
      <c r="DF297" s="8">
        <v>0</v>
      </c>
      <c r="DG297" s="8">
        <v>0</v>
      </c>
      <c r="DH297" s="8">
        <v>0</v>
      </c>
      <c r="DI297" s="8">
        <v>0</v>
      </c>
      <c r="DJ297" s="8">
        <v>0</v>
      </c>
      <c r="DK297" s="8">
        <v>0</v>
      </c>
      <c r="DL297" s="8">
        <v>0</v>
      </c>
      <c r="DM297" s="8">
        <v>0</v>
      </c>
      <c r="DN297" s="8">
        <v>0</v>
      </c>
      <c r="DO297" s="9">
        <f t="shared" si="141"/>
        <v>0</v>
      </c>
      <c r="DP297" s="8">
        <v>0</v>
      </c>
      <c r="DQ297" s="8">
        <v>0</v>
      </c>
      <c r="DR297" s="8">
        <v>0</v>
      </c>
      <c r="DS297" s="8">
        <v>0</v>
      </c>
      <c r="DT297" s="8">
        <v>0</v>
      </c>
      <c r="DU297" s="8">
        <v>0</v>
      </c>
      <c r="DV297" s="8">
        <v>0</v>
      </c>
      <c r="DW297" s="8">
        <v>0</v>
      </c>
      <c r="DX297" s="8">
        <v>0</v>
      </c>
      <c r="DY297" s="8">
        <v>0</v>
      </c>
      <c r="DZ297" s="8">
        <v>0</v>
      </c>
      <c r="EA297" s="8">
        <v>0</v>
      </c>
      <c r="EB297" s="9">
        <f t="shared" si="142"/>
        <v>0</v>
      </c>
      <c r="EC297" s="8">
        <v>0</v>
      </c>
      <c r="ED297" s="8">
        <v>0</v>
      </c>
      <c r="EE297" s="8">
        <v>0</v>
      </c>
      <c r="EF297" s="8">
        <v>0</v>
      </c>
      <c r="EG297" s="8">
        <v>0</v>
      </c>
      <c r="EH297" s="8">
        <v>0</v>
      </c>
      <c r="EI297" s="8">
        <v>0</v>
      </c>
      <c r="EJ297" s="8">
        <v>0</v>
      </c>
      <c r="EK297" s="8">
        <v>0</v>
      </c>
      <c r="EL297" s="8">
        <v>0</v>
      </c>
      <c r="EM297" s="8">
        <v>0</v>
      </c>
      <c r="EN297" s="8">
        <v>0</v>
      </c>
      <c r="EO297" s="9">
        <f t="shared" si="143"/>
        <v>0</v>
      </c>
      <c r="EP297" s="8">
        <v>0</v>
      </c>
      <c r="EQ297" s="8">
        <v>0</v>
      </c>
      <c r="ER297" s="8">
        <v>0</v>
      </c>
      <c r="ES297" s="8">
        <v>0</v>
      </c>
      <c r="ET297" s="8">
        <v>0</v>
      </c>
      <c r="EU297" s="8">
        <v>0</v>
      </c>
      <c r="EV297" s="8">
        <v>0</v>
      </c>
      <c r="EW297" s="8">
        <v>0</v>
      </c>
      <c r="EX297" s="8">
        <v>0</v>
      </c>
      <c r="EY297" s="8">
        <v>0</v>
      </c>
      <c r="EZ297" s="8">
        <v>0</v>
      </c>
      <c r="FA297" s="8">
        <v>0</v>
      </c>
      <c r="FB297" s="9">
        <f t="shared" si="144"/>
        <v>0</v>
      </c>
      <c r="FC297" s="8">
        <v>0</v>
      </c>
      <c r="FD297" s="8">
        <v>0</v>
      </c>
      <c r="FE297" s="8">
        <v>0</v>
      </c>
      <c r="FF297" s="8">
        <v>0</v>
      </c>
      <c r="FG297" s="8">
        <v>0</v>
      </c>
      <c r="FH297" s="8">
        <v>0</v>
      </c>
      <c r="FI297" s="8">
        <v>0</v>
      </c>
      <c r="FJ297" s="8"/>
      <c r="FK297" s="8"/>
      <c r="FL297" s="8"/>
      <c r="FM297" s="8"/>
      <c r="FN297" s="8"/>
      <c r="FO297" s="9">
        <f t="shared" si="145"/>
        <v>0</v>
      </c>
    </row>
    <row r="298" spans="2:171" ht="14.25" customHeight="1" thickBot="1" x14ac:dyDescent="0.35">
      <c r="B298" s="14" t="s">
        <v>91</v>
      </c>
      <c r="C298" s="16">
        <f t="shared" ref="C298:AH298" si="146">SUM(C266:C297)</f>
        <v>32803327</v>
      </c>
      <c r="D298" s="16">
        <f t="shared" si="146"/>
        <v>156480234</v>
      </c>
      <c r="E298" s="16">
        <f t="shared" si="146"/>
        <v>275386203</v>
      </c>
      <c r="F298" s="16">
        <f t="shared" si="146"/>
        <v>275386203</v>
      </c>
      <c r="G298" s="16">
        <f t="shared" si="146"/>
        <v>275386203</v>
      </c>
      <c r="H298" s="16">
        <f t="shared" si="146"/>
        <v>268946812</v>
      </c>
      <c r="I298" s="16">
        <f t="shared" si="146"/>
        <v>269224597</v>
      </c>
      <c r="J298" s="16">
        <f t="shared" si="146"/>
        <v>271949876</v>
      </c>
      <c r="K298" s="16">
        <f t="shared" si="146"/>
        <v>309060816</v>
      </c>
      <c r="L298" s="16">
        <f t="shared" si="146"/>
        <v>309114534</v>
      </c>
      <c r="M298" s="16">
        <f t="shared" si="146"/>
        <v>296158535</v>
      </c>
      <c r="N298" s="16">
        <f t="shared" si="146"/>
        <v>309128767</v>
      </c>
      <c r="O298" s="16">
        <f t="shared" si="146"/>
        <v>309128767</v>
      </c>
      <c r="P298" s="16">
        <f t="shared" si="146"/>
        <v>42185514</v>
      </c>
      <c r="Q298" s="16">
        <f t="shared" si="146"/>
        <v>209195340</v>
      </c>
      <c r="R298" s="16">
        <f t="shared" si="146"/>
        <v>414583928</v>
      </c>
      <c r="S298" s="16">
        <f t="shared" si="146"/>
        <v>443411563</v>
      </c>
      <c r="T298" s="16">
        <f t="shared" si="146"/>
        <v>447563652</v>
      </c>
      <c r="U298" s="16">
        <f t="shared" si="146"/>
        <v>459128804</v>
      </c>
      <c r="V298" s="16">
        <f t="shared" si="146"/>
        <v>486736299</v>
      </c>
      <c r="W298" s="16">
        <f t="shared" si="146"/>
        <v>486311576</v>
      </c>
      <c r="X298" s="16">
        <f t="shared" si="146"/>
        <v>493630009</v>
      </c>
      <c r="Y298" s="16">
        <f t="shared" si="146"/>
        <v>507682446</v>
      </c>
      <c r="Z298" s="16">
        <f t="shared" si="146"/>
        <v>513114244</v>
      </c>
      <c r="AA298" s="16">
        <f t="shared" si="146"/>
        <v>525724153</v>
      </c>
      <c r="AB298" s="16">
        <f t="shared" si="146"/>
        <v>525724153</v>
      </c>
      <c r="AC298" s="16">
        <f t="shared" si="146"/>
        <v>51285250</v>
      </c>
      <c r="AD298" s="16">
        <f t="shared" si="146"/>
        <v>313350974</v>
      </c>
      <c r="AE298" s="16">
        <f t="shared" si="146"/>
        <v>336708406</v>
      </c>
      <c r="AF298" s="16">
        <f t="shared" si="146"/>
        <v>438589782</v>
      </c>
      <c r="AG298" s="16">
        <f t="shared" si="146"/>
        <v>495962370</v>
      </c>
      <c r="AH298" s="16">
        <f t="shared" si="146"/>
        <v>500668313</v>
      </c>
      <c r="AI298" s="16">
        <f t="shared" ref="AI298:BN298" si="147">SUM(AI266:AI297)</f>
        <v>521079710</v>
      </c>
      <c r="AJ298" s="16">
        <f t="shared" si="147"/>
        <v>536631110</v>
      </c>
      <c r="AK298" s="16">
        <f t="shared" si="147"/>
        <v>539719167</v>
      </c>
      <c r="AL298" s="16">
        <f t="shared" si="147"/>
        <v>532753343</v>
      </c>
      <c r="AM298" s="16">
        <f t="shared" si="147"/>
        <v>525751660</v>
      </c>
      <c r="AN298" s="16">
        <f t="shared" si="147"/>
        <v>507011255</v>
      </c>
      <c r="AO298" s="16">
        <f t="shared" si="147"/>
        <v>507011255</v>
      </c>
      <c r="AP298" s="16">
        <f t="shared" si="147"/>
        <v>62616729</v>
      </c>
      <c r="AQ298" s="16">
        <f t="shared" si="147"/>
        <v>245233007</v>
      </c>
      <c r="AR298" s="16">
        <f t="shared" si="147"/>
        <v>352237999</v>
      </c>
      <c r="AS298" s="16">
        <f t="shared" si="147"/>
        <v>357052099</v>
      </c>
      <c r="AT298" s="16">
        <f t="shared" si="147"/>
        <v>365719781</v>
      </c>
      <c r="AU298" s="16">
        <f t="shared" si="147"/>
        <v>390364271</v>
      </c>
      <c r="AV298" s="16">
        <f t="shared" si="147"/>
        <v>396236310</v>
      </c>
      <c r="AW298" s="16">
        <f t="shared" si="147"/>
        <v>398922000</v>
      </c>
      <c r="AX298" s="16">
        <f t="shared" si="147"/>
        <v>394343146</v>
      </c>
      <c r="AY298" s="16">
        <f t="shared" si="147"/>
        <v>399774136</v>
      </c>
      <c r="AZ298" s="16">
        <f t="shared" si="147"/>
        <v>399774136</v>
      </c>
      <c r="BA298" s="16">
        <f t="shared" si="147"/>
        <v>392637493</v>
      </c>
      <c r="BB298" s="16">
        <f t="shared" si="147"/>
        <v>392637493</v>
      </c>
      <c r="BC298" s="16">
        <f t="shared" si="147"/>
        <v>77266026</v>
      </c>
      <c r="BD298" s="16">
        <f t="shared" si="147"/>
        <v>77266026</v>
      </c>
      <c r="BE298" s="16">
        <f t="shared" si="147"/>
        <v>201665409</v>
      </c>
      <c r="BF298" s="16">
        <f t="shared" si="147"/>
        <v>355298041</v>
      </c>
      <c r="BG298" s="16">
        <f t="shared" si="147"/>
        <v>445899477</v>
      </c>
      <c r="BH298" s="16">
        <f t="shared" si="147"/>
        <v>492465675</v>
      </c>
      <c r="BI298" s="16">
        <f t="shared" si="147"/>
        <v>492469936</v>
      </c>
      <c r="BJ298" s="16">
        <f t="shared" si="147"/>
        <v>508890527</v>
      </c>
      <c r="BK298" s="16">
        <f t="shared" si="147"/>
        <v>525724257</v>
      </c>
      <c r="BL298" s="16">
        <f t="shared" si="147"/>
        <v>514938848</v>
      </c>
      <c r="BM298" s="16">
        <f t="shared" si="147"/>
        <v>515232518</v>
      </c>
      <c r="BN298" s="16">
        <f t="shared" si="147"/>
        <v>478458181</v>
      </c>
      <c r="BO298" s="16">
        <f t="shared" ref="BO298:CT298" si="148">SUM(BO266:BO297)</f>
        <v>478458181</v>
      </c>
      <c r="BP298" s="16">
        <f t="shared" si="148"/>
        <v>115343477</v>
      </c>
      <c r="BQ298" s="16">
        <f t="shared" si="148"/>
        <v>149938714</v>
      </c>
      <c r="BR298" s="16">
        <f t="shared" si="148"/>
        <v>536723356</v>
      </c>
      <c r="BS298" s="16">
        <f t="shared" si="148"/>
        <v>590762352</v>
      </c>
      <c r="BT298" s="16">
        <f t="shared" si="148"/>
        <v>612383431</v>
      </c>
      <c r="BU298" s="16">
        <f t="shared" si="148"/>
        <v>686074737</v>
      </c>
      <c r="BV298" s="16">
        <f t="shared" si="148"/>
        <v>761051739</v>
      </c>
      <c r="BW298" s="16">
        <f t="shared" si="148"/>
        <v>837361592</v>
      </c>
      <c r="BX298" s="16">
        <f t="shared" si="148"/>
        <v>838230126</v>
      </c>
      <c r="BY298" s="16">
        <f t="shared" si="148"/>
        <v>838230126</v>
      </c>
      <c r="BZ298" s="16">
        <f t="shared" si="148"/>
        <v>875925561</v>
      </c>
      <c r="CA298" s="16">
        <f t="shared" si="148"/>
        <v>805761039</v>
      </c>
      <c r="CB298" s="16">
        <f t="shared" si="148"/>
        <v>805761039</v>
      </c>
      <c r="CC298" s="16">
        <f t="shared" si="148"/>
        <v>115111563</v>
      </c>
      <c r="CD298" s="16">
        <f t="shared" si="148"/>
        <v>275216607</v>
      </c>
      <c r="CE298" s="16">
        <f t="shared" si="148"/>
        <v>766760945</v>
      </c>
      <c r="CF298" s="16">
        <f t="shared" si="148"/>
        <v>778623579</v>
      </c>
      <c r="CG298" s="16">
        <f t="shared" si="148"/>
        <v>793907987</v>
      </c>
      <c r="CH298" s="16">
        <f t="shared" si="148"/>
        <v>816578106</v>
      </c>
      <c r="CI298" s="16">
        <f t="shared" si="148"/>
        <v>817881523</v>
      </c>
      <c r="CJ298" s="16">
        <f t="shared" si="148"/>
        <v>804633087</v>
      </c>
      <c r="CK298" s="16">
        <f t="shared" si="148"/>
        <v>823155659</v>
      </c>
      <c r="CL298" s="16">
        <f t="shared" si="148"/>
        <v>822257663</v>
      </c>
      <c r="CM298" s="16">
        <f t="shared" si="148"/>
        <v>782601584</v>
      </c>
      <c r="CN298" s="16">
        <f t="shared" si="148"/>
        <v>676140764</v>
      </c>
      <c r="CO298" s="16">
        <f t="shared" si="148"/>
        <v>676140764</v>
      </c>
      <c r="CP298" s="16">
        <f t="shared" si="148"/>
        <v>128734182</v>
      </c>
      <c r="CQ298" s="16">
        <f t="shared" si="148"/>
        <v>717574580</v>
      </c>
      <c r="CR298" s="16">
        <f t="shared" si="148"/>
        <v>749219906</v>
      </c>
      <c r="CS298" s="16">
        <f t="shared" si="148"/>
        <v>781272624</v>
      </c>
      <c r="CT298" s="16">
        <f t="shared" si="148"/>
        <v>794949591</v>
      </c>
      <c r="CU298" s="16">
        <f t="shared" ref="CU298:DZ298" si="149">SUM(CU266:CU297)</f>
        <v>802108154</v>
      </c>
      <c r="CV298" s="16">
        <f t="shared" si="149"/>
        <v>801639505</v>
      </c>
      <c r="CW298" s="16">
        <f t="shared" si="149"/>
        <v>798671751</v>
      </c>
      <c r="CX298" s="16">
        <f t="shared" si="149"/>
        <v>798778497</v>
      </c>
      <c r="CY298" s="16">
        <f t="shared" si="149"/>
        <v>735680952</v>
      </c>
      <c r="CZ298" s="16">
        <f t="shared" si="149"/>
        <v>729598712</v>
      </c>
      <c r="DA298" s="16">
        <f t="shared" si="149"/>
        <v>558508858</v>
      </c>
      <c r="DB298" s="16">
        <f t="shared" si="149"/>
        <v>558508858</v>
      </c>
      <c r="DC298" s="16">
        <f t="shared" si="149"/>
        <v>104484009</v>
      </c>
      <c r="DD298" s="16">
        <f t="shared" si="149"/>
        <v>577041133</v>
      </c>
      <c r="DE298" s="16">
        <f t="shared" si="149"/>
        <v>632298136</v>
      </c>
      <c r="DF298" s="16">
        <f t="shared" si="149"/>
        <v>632298136</v>
      </c>
      <c r="DG298" s="16">
        <f t="shared" si="149"/>
        <v>645048028</v>
      </c>
      <c r="DH298" s="16">
        <f t="shared" si="149"/>
        <v>644136930</v>
      </c>
      <c r="DI298" s="16">
        <f t="shared" si="149"/>
        <v>632337780</v>
      </c>
      <c r="DJ298" s="16">
        <f t="shared" si="149"/>
        <v>654215168</v>
      </c>
      <c r="DK298" s="16">
        <f t="shared" si="149"/>
        <v>591695929</v>
      </c>
      <c r="DL298" s="16">
        <f t="shared" si="149"/>
        <v>659701252</v>
      </c>
      <c r="DM298" s="16">
        <f t="shared" si="149"/>
        <v>646665827</v>
      </c>
      <c r="DN298" s="16">
        <f t="shared" si="149"/>
        <v>532045335</v>
      </c>
      <c r="DO298" s="16">
        <f t="shared" si="149"/>
        <v>532045335</v>
      </c>
      <c r="DP298" s="16">
        <f t="shared" si="149"/>
        <v>158759261</v>
      </c>
      <c r="DQ298" s="16">
        <f t="shared" si="149"/>
        <v>591415124</v>
      </c>
      <c r="DR298" s="16">
        <f t="shared" si="149"/>
        <v>604995452</v>
      </c>
      <c r="DS298" s="16">
        <f t="shared" si="149"/>
        <v>625108994</v>
      </c>
      <c r="DT298" s="16">
        <f t="shared" si="149"/>
        <v>642424976</v>
      </c>
      <c r="DU298" s="16">
        <f t="shared" si="149"/>
        <v>651338136</v>
      </c>
      <c r="DV298" s="16">
        <f t="shared" si="149"/>
        <v>728226643</v>
      </c>
      <c r="DW298" s="16">
        <f t="shared" si="149"/>
        <v>776785858</v>
      </c>
      <c r="DX298" s="16">
        <f t="shared" si="149"/>
        <v>779165858</v>
      </c>
      <c r="DY298" s="16">
        <f t="shared" si="149"/>
        <v>804914544</v>
      </c>
      <c r="DZ298" s="16">
        <f t="shared" si="149"/>
        <v>770380230</v>
      </c>
      <c r="EA298" s="16">
        <f t="shared" ref="EA298:FF298" si="150">SUM(EA266:EA297)</f>
        <v>646546665</v>
      </c>
      <c r="EB298" s="16">
        <f t="shared" si="150"/>
        <v>646546665</v>
      </c>
      <c r="EC298" s="16">
        <f t="shared" si="150"/>
        <v>234273812</v>
      </c>
      <c r="ED298" s="16">
        <f t="shared" si="150"/>
        <v>792383282</v>
      </c>
      <c r="EE298" s="16">
        <f t="shared" si="150"/>
        <v>864033112</v>
      </c>
      <c r="EF298" s="16">
        <f t="shared" si="150"/>
        <v>939292489</v>
      </c>
      <c r="EG298" s="16">
        <f t="shared" si="150"/>
        <v>953032035</v>
      </c>
      <c r="EH298" s="16">
        <f t="shared" si="150"/>
        <v>949469754</v>
      </c>
      <c r="EI298" s="16">
        <f t="shared" si="150"/>
        <v>952615904</v>
      </c>
      <c r="EJ298" s="16">
        <f t="shared" si="150"/>
        <v>1033790923</v>
      </c>
      <c r="EK298" s="16">
        <f t="shared" si="150"/>
        <v>1018210502</v>
      </c>
      <c r="EL298" s="16">
        <f t="shared" si="150"/>
        <v>893797312</v>
      </c>
      <c r="EM298" s="16">
        <f t="shared" si="150"/>
        <v>887072565</v>
      </c>
      <c r="EN298" s="16">
        <f t="shared" si="150"/>
        <v>834343782</v>
      </c>
      <c r="EO298" s="16">
        <f t="shared" si="150"/>
        <v>834343782</v>
      </c>
      <c r="EP298" s="16">
        <f t="shared" si="150"/>
        <v>317360596</v>
      </c>
      <c r="EQ298" s="16">
        <f t="shared" si="150"/>
        <v>875953216</v>
      </c>
      <c r="ER298" s="16">
        <f t="shared" si="150"/>
        <v>890547541</v>
      </c>
      <c r="ES298" s="16">
        <f t="shared" si="150"/>
        <v>924918123</v>
      </c>
      <c r="ET298" s="16">
        <f t="shared" si="150"/>
        <v>951372365</v>
      </c>
      <c r="EU298" s="16">
        <f t="shared" si="150"/>
        <v>968306096</v>
      </c>
      <c r="EV298" s="16">
        <f t="shared" si="150"/>
        <v>953536721</v>
      </c>
      <c r="EW298" s="16">
        <f t="shared" si="150"/>
        <v>971671985</v>
      </c>
      <c r="EX298" s="16">
        <f t="shared" si="150"/>
        <v>950091503</v>
      </c>
      <c r="EY298" s="16">
        <f t="shared" si="150"/>
        <v>941750120</v>
      </c>
      <c r="EZ298" s="16">
        <f t="shared" si="150"/>
        <v>933757084</v>
      </c>
      <c r="FA298" s="16">
        <f t="shared" si="150"/>
        <v>900779159</v>
      </c>
      <c r="FB298" s="16">
        <f t="shared" si="150"/>
        <v>900779159</v>
      </c>
      <c r="FC298" s="16">
        <f t="shared" si="150"/>
        <v>831376361</v>
      </c>
      <c r="FD298" s="16">
        <f t="shared" si="150"/>
        <v>828407144</v>
      </c>
      <c r="FE298" s="16">
        <f t="shared" si="150"/>
        <v>836170277</v>
      </c>
      <c r="FF298" s="16">
        <f t="shared" si="150"/>
        <v>836170277</v>
      </c>
      <c r="FG298" s="16">
        <f t="shared" ref="FG298:GL298" si="151">SUM(FG266:FG297)</f>
        <v>804033231</v>
      </c>
      <c r="FH298" s="16">
        <f t="shared" si="151"/>
        <v>886721464</v>
      </c>
      <c r="FI298" s="16">
        <f t="shared" si="151"/>
        <v>915223020</v>
      </c>
      <c r="FJ298" s="16">
        <f t="shared" si="151"/>
        <v>0</v>
      </c>
      <c r="FK298" s="16">
        <f t="shared" si="151"/>
        <v>0</v>
      </c>
      <c r="FL298" s="16">
        <f t="shared" si="151"/>
        <v>0</v>
      </c>
      <c r="FM298" s="16">
        <f t="shared" si="151"/>
        <v>0</v>
      </c>
      <c r="FN298" s="16">
        <f t="shared" si="151"/>
        <v>0</v>
      </c>
      <c r="FO298" s="16">
        <f t="shared" si="151"/>
        <v>915223020</v>
      </c>
    </row>
    <row r="299" spans="2:171" ht="14.25" customHeight="1" x14ac:dyDescent="0.3">
      <c r="B299" s="4" t="s">
        <v>92</v>
      </c>
    </row>
    <row r="300" spans="2:171" ht="14.25" customHeight="1" x14ac:dyDescent="0.3">
      <c r="C300" s="38" t="s">
        <v>4</v>
      </c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8" t="s">
        <v>5</v>
      </c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8" t="s">
        <v>6</v>
      </c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8" t="s">
        <v>7</v>
      </c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8" t="s">
        <v>8</v>
      </c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8" t="s">
        <v>9</v>
      </c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8" t="s">
        <v>10</v>
      </c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8" t="s">
        <v>11</v>
      </c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8" t="s">
        <v>12</v>
      </c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8" t="s">
        <v>13</v>
      </c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8" t="s">
        <v>14</v>
      </c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8" t="s">
        <v>15</v>
      </c>
      <c r="EQ300" s="39"/>
      <c r="ER300" s="39"/>
      <c r="ES300" s="39"/>
      <c r="ET300" s="39"/>
      <c r="EU300" s="39"/>
      <c r="EV300" s="39"/>
      <c r="EW300" s="39"/>
      <c r="EX300" s="39"/>
      <c r="EY300" s="39"/>
      <c r="EZ300" s="39"/>
      <c r="FA300" s="39"/>
      <c r="FB300" s="39"/>
      <c r="FC300" s="38" t="s">
        <v>16</v>
      </c>
      <c r="FD300" s="39"/>
      <c r="FE300" s="39"/>
      <c r="FF300" s="39"/>
      <c r="FG300" s="39"/>
      <c r="FH300" s="39"/>
      <c r="FI300" s="39"/>
      <c r="FJ300" s="39"/>
      <c r="FK300" s="39"/>
      <c r="FL300" s="39"/>
      <c r="FM300" s="39"/>
      <c r="FN300" s="39"/>
      <c r="FO300" s="39"/>
    </row>
    <row r="301" spans="2:171" ht="14.25" customHeight="1" x14ac:dyDescent="0.3">
      <c r="B301" s="5" t="s">
        <v>17</v>
      </c>
      <c r="C301" s="6" t="s">
        <v>18</v>
      </c>
      <c r="D301" s="6" t="s">
        <v>19</v>
      </c>
      <c r="E301" s="6" t="s">
        <v>20</v>
      </c>
      <c r="F301" s="6" t="s">
        <v>21</v>
      </c>
      <c r="G301" s="6" t="s">
        <v>22</v>
      </c>
      <c r="H301" s="6" t="s">
        <v>23</v>
      </c>
      <c r="I301" s="6" t="s">
        <v>24</v>
      </c>
      <c r="J301" s="6" t="s">
        <v>25</v>
      </c>
      <c r="K301" s="6" t="s">
        <v>26</v>
      </c>
      <c r="L301" s="6" t="s">
        <v>27</v>
      </c>
      <c r="M301" s="6" t="s">
        <v>28</v>
      </c>
      <c r="N301" s="6" t="s">
        <v>29</v>
      </c>
      <c r="O301" s="6" t="s">
        <v>30</v>
      </c>
      <c r="P301" s="6" t="s">
        <v>18</v>
      </c>
      <c r="Q301" s="6" t="s">
        <v>19</v>
      </c>
      <c r="R301" s="6" t="s">
        <v>20</v>
      </c>
      <c r="S301" s="6" t="s">
        <v>21</v>
      </c>
      <c r="T301" s="6" t="s">
        <v>22</v>
      </c>
      <c r="U301" s="6" t="s">
        <v>23</v>
      </c>
      <c r="V301" s="6" t="s">
        <v>24</v>
      </c>
      <c r="W301" s="6" t="s">
        <v>25</v>
      </c>
      <c r="X301" s="6" t="s">
        <v>26</v>
      </c>
      <c r="Y301" s="6" t="s">
        <v>27</v>
      </c>
      <c r="Z301" s="6" t="s">
        <v>28</v>
      </c>
      <c r="AA301" s="6" t="s">
        <v>29</v>
      </c>
      <c r="AB301" s="6" t="s">
        <v>31</v>
      </c>
      <c r="AC301" s="6" t="s">
        <v>18</v>
      </c>
      <c r="AD301" s="6" t="s">
        <v>19</v>
      </c>
      <c r="AE301" s="6" t="s">
        <v>20</v>
      </c>
      <c r="AF301" s="6" t="s">
        <v>21</v>
      </c>
      <c r="AG301" s="6" t="s">
        <v>22</v>
      </c>
      <c r="AH301" s="6" t="s">
        <v>23</v>
      </c>
      <c r="AI301" s="6" t="s">
        <v>24</v>
      </c>
      <c r="AJ301" s="6" t="s">
        <v>25</v>
      </c>
      <c r="AK301" s="6" t="s">
        <v>26</v>
      </c>
      <c r="AL301" s="6" t="s">
        <v>27</v>
      </c>
      <c r="AM301" s="6" t="s">
        <v>28</v>
      </c>
      <c r="AN301" s="6" t="s">
        <v>29</v>
      </c>
      <c r="AO301" s="6" t="s">
        <v>32</v>
      </c>
      <c r="AP301" s="6" t="s">
        <v>18</v>
      </c>
      <c r="AQ301" s="6" t="s">
        <v>19</v>
      </c>
      <c r="AR301" s="6" t="s">
        <v>20</v>
      </c>
      <c r="AS301" s="6" t="s">
        <v>21</v>
      </c>
      <c r="AT301" s="6" t="s">
        <v>22</v>
      </c>
      <c r="AU301" s="6" t="s">
        <v>23</v>
      </c>
      <c r="AV301" s="6" t="s">
        <v>24</v>
      </c>
      <c r="AW301" s="6" t="s">
        <v>25</v>
      </c>
      <c r="AX301" s="6" t="s">
        <v>26</v>
      </c>
      <c r="AY301" s="6" t="s">
        <v>27</v>
      </c>
      <c r="AZ301" s="6" t="s">
        <v>28</v>
      </c>
      <c r="BA301" s="6" t="s">
        <v>29</v>
      </c>
      <c r="BB301" s="6" t="s">
        <v>33</v>
      </c>
      <c r="BC301" s="6" t="s">
        <v>18</v>
      </c>
      <c r="BD301" s="6" t="s">
        <v>19</v>
      </c>
      <c r="BE301" s="6" t="s">
        <v>20</v>
      </c>
      <c r="BF301" s="6" t="s">
        <v>21</v>
      </c>
      <c r="BG301" s="6" t="s">
        <v>22</v>
      </c>
      <c r="BH301" s="6" t="s">
        <v>23</v>
      </c>
      <c r="BI301" s="6" t="s">
        <v>24</v>
      </c>
      <c r="BJ301" s="6" t="s">
        <v>25</v>
      </c>
      <c r="BK301" s="6" t="s">
        <v>26</v>
      </c>
      <c r="BL301" s="6" t="s">
        <v>27</v>
      </c>
      <c r="BM301" s="6" t="s">
        <v>28</v>
      </c>
      <c r="BN301" s="6" t="s">
        <v>29</v>
      </c>
      <c r="BO301" s="6" t="s">
        <v>34</v>
      </c>
      <c r="BP301" s="6" t="s">
        <v>18</v>
      </c>
      <c r="BQ301" s="6" t="s">
        <v>19</v>
      </c>
      <c r="BR301" s="6" t="s">
        <v>20</v>
      </c>
      <c r="BS301" s="6" t="s">
        <v>21</v>
      </c>
      <c r="BT301" s="6" t="s">
        <v>22</v>
      </c>
      <c r="BU301" s="6" t="s">
        <v>23</v>
      </c>
      <c r="BV301" s="6" t="s">
        <v>24</v>
      </c>
      <c r="BW301" s="6" t="s">
        <v>25</v>
      </c>
      <c r="BX301" s="6" t="s">
        <v>26</v>
      </c>
      <c r="BY301" s="6" t="s">
        <v>27</v>
      </c>
      <c r="BZ301" s="6" t="s">
        <v>28</v>
      </c>
      <c r="CA301" s="6" t="s">
        <v>29</v>
      </c>
      <c r="CB301" s="6" t="s">
        <v>35</v>
      </c>
      <c r="CC301" s="6" t="s">
        <v>18</v>
      </c>
      <c r="CD301" s="6" t="s">
        <v>19</v>
      </c>
      <c r="CE301" s="6" t="s">
        <v>20</v>
      </c>
      <c r="CF301" s="6" t="s">
        <v>21</v>
      </c>
      <c r="CG301" s="6" t="s">
        <v>22</v>
      </c>
      <c r="CH301" s="6" t="s">
        <v>23</v>
      </c>
      <c r="CI301" s="6" t="s">
        <v>24</v>
      </c>
      <c r="CJ301" s="6" t="s">
        <v>25</v>
      </c>
      <c r="CK301" s="6" t="s">
        <v>26</v>
      </c>
      <c r="CL301" s="6" t="s">
        <v>27</v>
      </c>
      <c r="CM301" s="6" t="s">
        <v>28</v>
      </c>
      <c r="CN301" s="6" t="s">
        <v>29</v>
      </c>
      <c r="CO301" s="6" t="s">
        <v>36</v>
      </c>
      <c r="CP301" s="6" t="s">
        <v>18</v>
      </c>
      <c r="CQ301" s="6" t="s">
        <v>19</v>
      </c>
      <c r="CR301" s="6" t="s">
        <v>20</v>
      </c>
      <c r="CS301" s="6" t="s">
        <v>21</v>
      </c>
      <c r="CT301" s="6" t="s">
        <v>22</v>
      </c>
      <c r="CU301" s="6" t="s">
        <v>23</v>
      </c>
      <c r="CV301" s="6" t="s">
        <v>24</v>
      </c>
      <c r="CW301" s="6" t="s">
        <v>25</v>
      </c>
      <c r="CX301" s="6" t="s">
        <v>26</v>
      </c>
      <c r="CY301" s="6" t="s">
        <v>27</v>
      </c>
      <c r="CZ301" s="6" t="s">
        <v>28</v>
      </c>
      <c r="DA301" s="6" t="s">
        <v>29</v>
      </c>
      <c r="DB301" s="6" t="s">
        <v>37</v>
      </c>
      <c r="DC301" s="6" t="s">
        <v>18</v>
      </c>
      <c r="DD301" s="6" t="s">
        <v>19</v>
      </c>
      <c r="DE301" s="6" t="s">
        <v>20</v>
      </c>
      <c r="DF301" s="6" t="s">
        <v>21</v>
      </c>
      <c r="DG301" s="6" t="s">
        <v>22</v>
      </c>
      <c r="DH301" s="6" t="s">
        <v>23</v>
      </c>
      <c r="DI301" s="6" t="s">
        <v>24</v>
      </c>
      <c r="DJ301" s="6" t="s">
        <v>25</v>
      </c>
      <c r="DK301" s="6" t="s">
        <v>26</v>
      </c>
      <c r="DL301" s="6" t="s">
        <v>27</v>
      </c>
      <c r="DM301" s="6" t="s">
        <v>28</v>
      </c>
      <c r="DN301" s="6" t="s">
        <v>29</v>
      </c>
      <c r="DO301" s="6" t="s">
        <v>38</v>
      </c>
      <c r="DP301" s="6" t="s">
        <v>18</v>
      </c>
      <c r="DQ301" s="6" t="s">
        <v>19</v>
      </c>
      <c r="DR301" s="6" t="s">
        <v>20</v>
      </c>
      <c r="DS301" s="6" t="s">
        <v>21</v>
      </c>
      <c r="DT301" s="6" t="s">
        <v>22</v>
      </c>
      <c r="DU301" s="6" t="s">
        <v>23</v>
      </c>
      <c r="DV301" s="6" t="s">
        <v>24</v>
      </c>
      <c r="DW301" s="6" t="s">
        <v>25</v>
      </c>
      <c r="DX301" s="6" t="s">
        <v>26</v>
      </c>
      <c r="DY301" s="6" t="s">
        <v>27</v>
      </c>
      <c r="DZ301" s="6" t="s">
        <v>28</v>
      </c>
      <c r="EA301" s="6" t="s">
        <v>29</v>
      </c>
      <c r="EB301" s="6" t="s">
        <v>39</v>
      </c>
      <c r="EC301" s="6" t="s">
        <v>18</v>
      </c>
      <c r="ED301" s="6" t="s">
        <v>19</v>
      </c>
      <c r="EE301" s="6" t="s">
        <v>20</v>
      </c>
      <c r="EF301" s="6" t="s">
        <v>21</v>
      </c>
      <c r="EG301" s="6" t="s">
        <v>22</v>
      </c>
      <c r="EH301" s="6" t="s">
        <v>23</v>
      </c>
      <c r="EI301" s="6" t="s">
        <v>24</v>
      </c>
      <c r="EJ301" s="6" t="s">
        <v>25</v>
      </c>
      <c r="EK301" s="6" t="s">
        <v>26</v>
      </c>
      <c r="EL301" s="6" t="s">
        <v>27</v>
      </c>
      <c r="EM301" s="6" t="s">
        <v>28</v>
      </c>
      <c r="EN301" s="6" t="s">
        <v>29</v>
      </c>
      <c r="EO301" s="6" t="s">
        <v>40</v>
      </c>
      <c r="EP301" s="6" t="s">
        <v>18</v>
      </c>
      <c r="EQ301" s="6" t="s">
        <v>19</v>
      </c>
      <c r="ER301" s="6" t="s">
        <v>20</v>
      </c>
      <c r="ES301" s="6" t="s">
        <v>21</v>
      </c>
      <c r="ET301" s="6" t="s">
        <v>22</v>
      </c>
      <c r="EU301" s="6" t="s">
        <v>23</v>
      </c>
      <c r="EV301" s="6" t="s">
        <v>24</v>
      </c>
      <c r="EW301" s="6" t="s">
        <v>25</v>
      </c>
      <c r="EX301" s="6" t="s">
        <v>26</v>
      </c>
      <c r="EY301" s="6" t="s">
        <v>27</v>
      </c>
      <c r="EZ301" s="6" t="s">
        <v>28</v>
      </c>
      <c r="FA301" s="6" t="s">
        <v>29</v>
      </c>
      <c r="FB301" s="6" t="s">
        <v>41</v>
      </c>
      <c r="FC301" s="6" t="s">
        <v>18</v>
      </c>
      <c r="FD301" s="6" t="s">
        <v>19</v>
      </c>
      <c r="FE301" s="6" t="s">
        <v>20</v>
      </c>
      <c r="FF301" s="6" t="s">
        <v>21</v>
      </c>
      <c r="FG301" s="6" t="s">
        <v>22</v>
      </c>
      <c r="FH301" s="6" t="s">
        <v>23</v>
      </c>
      <c r="FI301" s="6" t="s">
        <v>24</v>
      </c>
      <c r="FJ301" s="6" t="s">
        <v>25</v>
      </c>
      <c r="FK301" s="6" t="s">
        <v>26</v>
      </c>
      <c r="FL301" s="6" t="s">
        <v>27</v>
      </c>
      <c r="FM301" s="6" t="s">
        <v>28</v>
      </c>
      <c r="FN301" s="6" t="s">
        <v>29</v>
      </c>
      <c r="FO301" s="6" t="s">
        <v>42</v>
      </c>
    </row>
    <row r="302" spans="2:171" ht="14.25" customHeight="1" x14ac:dyDescent="0.3">
      <c r="B302" s="7" t="s">
        <v>43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9">
        <f t="shared" ref="O302:O333" si="152">N302</f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9">
        <f t="shared" ref="AB302:AB333" si="153">AA302</f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9">
        <f t="shared" ref="AO302:AO333" si="154">AN302</f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v>0</v>
      </c>
      <c r="AZ302" s="8">
        <v>0</v>
      </c>
      <c r="BA302" s="8">
        <v>0</v>
      </c>
      <c r="BB302" s="9">
        <f t="shared" ref="BB302:BB333" si="155">BA302</f>
        <v>0</v>
      </c>
      <c r="BC302" s="8">
        <v>0</v>
      </c>
      <c r="BD302" s="8">
        <v>0</v>
      </c>
      <c r="BE302" s="8">
        <v>0</v>
      </c>
      <c r="BF302" s="8">
        <v>0</v>
      </c>
      <c r="BG302" s="8">
        <v>0</v>
      </c>
      <c r="BH302" s="8">
        <v>0</v>
      </c>
      <c r="BI302" s="8">
        <v>0</v>
      </c>
      <c r="BJ302" s="8">
        <v>0</v>
      </c>
      <c r="BK302" s="8">
        <v>0</v>
      </c>
      <c r="BL302" s="8">
        <v>0</v>
      </c>
      <c r="BM302" s="8">
        <v>0</v>
      </c>
      <c r="BN302" s="8">
        <v>0</v>
      </c>
      <c r="BO302" s="9">
        <f t="shared" ref="BO302:BO333" si="156">BN302</f>
        <v>0</v>
      </c>
      <c r="BP302" s="8">
        <v>0</v>
      </c>
      <c r="BQ302" s="8">
        <v>0</v>
      </c>
      <c r="BR302" s="8">
        <v>0</v>
      </c>
      <c r="BS302" s="8">
        <v>0</v>
      </c>
      <c r="BT302" s="8">
        <v>0</v>
      </c>
      <c r="BU302" s="8">
        <v>0</v>
      </c>
      <c r="BV302" s="8">
        <v>0</v>
      </c>
      <c r="BW302" s="8">
        <v>0</v>
      </c>
      <c r="BX302" s="8">
        <v>0</v>
      </c>
      <c r="BY302" s="8">
        <v>0</v>
      </c>
      <c r="BZ302" s="8">
        <v>0</v>
      </c>
      <c r="CA302" s="8">
        <v>0</v>
      </c>
      <c r="CB302" s="9">
        <f t="shared" ref="CB302:CB333" si="157">CA302</f>
        <v>0</v>
      </c>
      <c r="CC302" s="8">
        <v>0</v>
      </c>
      <c r="CD302" s="8">
        <v>0</v>
      </c>
      <c r="CE302" s="8">
        <v>0</v>
      </c>
      <c r="CF302" s="8">
        <v>0</v>
      </c>
      <c r="CG302" s="8">
        <v>0</v>
      </c>
      <c r="CH302" s="8">
        <v>0</v>
      </c>
      <c r="CI302" s="8">
        <v>0</v>
      </c>
      <c r="CJ302" s="8">
        <v>0</v>
      </c>
      <c r="CK302" s="8">
        <v>0</v>
      </c>
      <c r="CL302" s="8">
        <v>0</v>
      </c>
      <c r="CM302" s="8">
        <v>0</v>
      </c>
      <c r="CN302" s="8">
        <v>0</v>
      </c>
      <c r="CO302" s="9">
        <f t="shared" ref="CO302:CO333" si="158">CN302</f>
        <v>0</v>
      </c>
      <c r="CP302" s="8">
        <v>0</v>
      </c>
      <c r="CQ302" s="8">
        <v>0</v>
      </c>
      <c r="CR302" s="8">
        <v>0</v>
      </c>
      <c r="CS302" s="8">
        <v>0</v>
      </c>
      <c r="CT302" s="8">
        <v>0</v>
      </c>
      <c r="CU302" s="8">
        <v>0</v>
      </c>
      <c r="CV302" s="8">
        <v>0</v>
      </c>
      <c r="CW302" s="8">
        <v>0</v>
      </c>
      <c r="CX302" s="8">
        <v>0</v>
      </c>
      <c r="CY302" s="8">
        <v>0</v>
      </c>
      <c r="CZ302" s="8">
        <v>0</v>
      </c>
      <c r="DA302" s="8">
        <v>0</v>
      </c>
      <c r="DB302" s="9">
        <f t="shared" ref="DB302:DB333" si="159">DA302</f>
        <v>0</v>
      </c>
      <c r="DC302" s="8">
        <v>0</v>
      </c>
      <c r="DD302" s="8">
        <v>0</v>
      </c>
      <c r="DE302" s="8">
        <v>0</v>
      </c>
      <c r="DF302" s="8">
        <v>0</v>
      </c>
      <c r="DG302" s="8">
        <v>0</v>
      </c>
      <c r="DH302" s="8">
        <v>0</v>
      </c>
      <c r="DI302" s="8">
        <v>0</v>
      </c>
      <c r="DJ302" s="8">
        <v>0</v>
      </c>
      <c r="DK302" s="8">
        <v>0</v>
      </c>
      <c r="DL302" s="8">
        <v>0</v>
      </c>
      <c r="DM302" s="8">
        <v>0</v>
      </c>
      <c r="DN302" s="8">
        <v>0</v>
      </c>
      <c r="DO302" s="9">
        <f t="shared" ref="DO302:DO333" si="160">DN302</f>
        <v>0</v>
      </c>
      <c r="DP302" s="8">
        <v>0</v>
      </c>
      <c r="DQ302" s="8">
        <v>0</v>
      </c>
      <c r="DR302" s="8">
        <v>0</v>
      </c>
      <c r="DS302" s="8">
        <v>0</v>
      </c>
      <c r="DT302" s="8">
        <v>0</v>
      </c>
      <c r="DU302" s="8">
        <v>0</v>
      </c>
      <c r="DV302" s="8">
        <v>0</v>
      </c>
      <c r="DW302" s="8">
        <v>0</v>
      </c>
      <c r="DX302" s="8">
        <v>0</v>
      </c>
      <c r="DY302" s="8">
        <v>0</v>
      </c>
      <c r="DZ302" s="8">
        <v>0</v>
      </c>
      <c r="EA302" s="8">
        <v>0</v>
      </c>
      <c r="EB302" s="9">
        <f t="shared" ref="EB302:EB333" si="161">EA302</f>
        <v>0</v>
      </c>
      <c r="EC302" s="8">
        <v>0</v>
      </c>
      <c r="ED302" s="8">
        <v>0</v>
      </c>
      <c r="EE302" s="8">
        <v>0</v>
      </c>
      <c r="EF302" s="8">
        <v>0</v>
      </c>
      <c r="EG302" s="8">
        <v>0</v>
      </c>
      <c r="EH302" s="8">
        <v>0</v>
      </c>
      <c r="EI302" s="8">
        <v>0</v>
      </c>
      <c r="EJ302" s="8">
        <v>0</v>
      </c>
      <c r="EK302" s="8">
        <v>0</v>
      </c>
      <c r="EL302" s="8">
        <v>0</v>
      </c>
      <c r="EM302" s="8">
        <v>0</v>
      </c>
      <c r="EN302" s="8">
        <v>0</v>
      </c>
      <c r="EO302" s="9">
        <f t="shared" ref="EO302:EO333" si="162">EN302</f>
        <v>0</v>
      </c>
      <c r="EP302" s="8">
        <v>0</v>
      </c>
      <c r="EQ302" s="8">
        <v>0</v>
      </c>
      <c r="ER302" s="8">
        <v>0</v>
      </c>
      <c r="ES302" s="8">
        <v>0</v>
      </c>
      <c r="ET302" s="8">
        <v>0</v>
      </c>
      <c r="EU302" s="8">
        <v>0</v>
      </c>
      <c r="EV302" s="8">
        <v>0</v>
      </c>
      <c r="EW302" s="8">
        <v>0</v>
      </c>
      <c r="EX302" s="8">
        <v>0</v>
      </c>
      <c r="EY302" s="8">
        <v>0</v>
      </c>
      <c r="EZ302" s="8">
        <v>0</v>
      </c>
      <c r="FA302" s="8">
        <v>0</v>
      </c>
      <c r="FB302" s="9">
        <f t="shared" ref="FB302:FB333" si="163">FA302</f>
        <v>0</v>
      </c>
      <c r="FC302" s="8">
        <v>0</v>
      </c>
      <c r="FD302" s="8">
        <v>0</v>
      </c>
      <c r="FE302" s="8">
        <v>0</v>
      </c>
      <c r="FF302" s="8">
        <v>0</v>
      </c>
      <c r="FG302" s="8">
        <v>0</v>
      </c>
      <c r="FH302" s="8">
        <v>0</v>
      </c>
      <c r="FI302" s="8">
        <v>0</v>
      </c>
      <c r="FJ302" s="8"/>
      <c r="FK302" s="8"/>
      <c r="FL302" s="8"/>
      <c r="FM302" s="8"/>
      <c r="FN302" s="8"/>
      <c r="FO302" s="9">
        <f t="shared" ref="FO302:FO333" si="164">FI302</f>
        <v>0</v>
      </c>
    </row>
    <row r="303" spans="2:171" ht="14.25" customHeight="1" x14ac:dyDescent="0.3">
      <c r="B303" s="7" t="s">
        <v>44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936690</v>
      </c>
      <c r="O303" s="9">
        <f t="shared" si="152"/>
        <v>936690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9">
        <f t="shared" si="153"/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9">
        <f t="shared" si="154"/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v>0</v>
      </c>
      <c r="AZ303" s="8">
        <v>0</v>
      </c>
      <c r="BA303" s="8">
        <v>0</v>
      </c>
      <c r="BB303" s="9">
        <f t="shared" si="155"/>
        <v>0</v>
      </c>
      <c r="BC303" s="8">
        <v>0</v>
      </c>
      <c r="BD303" s="8">
        <v>0</v>
      </c>
      <c r="BE303" s="8">
        <v>0</v>
      </c>
      <c r="BF303" s="8">
        <v>0</v>
      </c>
      <c r="BG303" s="8">
        <v>0</v>
      </c>
      <c r="BH303" s="8">
        <v>0</v>
      </c>
      <c r="BI303" s="8">
        <v>0</v>
      </c>
      <c r="BJ303" s="8">
        <v>0</v>
      </c>
      <c r="BK303" s="8">
        <v>0</v>
      </c>
      <c r="BL303" s="8">
        <v>0</v>
      </c>
      <c r="BM303" s="8">
        <v>221896</v>
      </c>
      <c r="BN303" s="8">
        <v>533896</v>
      </c>
      <c r="BO303" s="9">
        <f t="shared" si="156"/>
        <v>533896</v>
      </c>
      <c r="BP303" s="8">
        <v>0</v>
      </c>
      <c r="BQ303" s="8">
        <v>0</v>
      </c>
      <c r="BR303" s="8">
        <v>0</v>
      </c>
      <c r="BS303" s="8">
        <v>0</v>
      </c>
      <c r="BT303" s="8">
        <v>0</v>
      </c>
      <c r="BU303" s="8">
        <v>0</v>
      </c>
      <c r="BV303" s="8">
        <v>0</v>
      </c>
      <c r="BW303" s="8">
        <v>0</v>
      </c>
      <c r="BX303" s="8">
        <v>0</v>
      </c>
      <c r="BY303" s="8">
        <v>0</v>
      </c>
      <c r="BZ303" s="8">
        <v>544110</v>
      </c>
      <c r="CA303" s="8">
        <v>544110</v>
      </c>
      <c r="CB303" s="9">
        <f t="shared" si="157"/>
        <v>544110</v>
      </c>
      <c r="CC303" s="8">
        <v>0</v>
      </c>
      <c r="CD303" s="8">
        <v>0</v>
      </c>
      <c r="CE303" s="8">
        <v>0</v>
      </c>
      <c r="CF303" s="8">
        <v>0</v>
      </c>
      <c r="CG303" s="8">
        <v>0</v>
      </c>
      <c r="CH303" s="8">
        <v>0</v>
      </c>
      <c r="CI303" s="8">
        <v>0</v>
      </c>
      <c r="CJ303" s="8">
        <v>0</v>
      </c>
      <c r="CK303" s="8">
        <v>0</v>
      </c>
      <c r="CL303" s="8">
        <v>0</v>
      </c>
      <c r="CM303" s="8">
        <v>329123</v>
      </c>
      <c r="CN303" s="8">
        <v>370303</v>
      </c>
      <c r="CO303" s="9">
        <f t="shared" si="158"/>
        <v>370303</v>
      </c>
      <c r="CP303" s="8">
        <v>0</v>
      </c>
      <c r="CQ303" s="8">
        <v>0</v>
      </c>
      <c r="CR303" s="8">
        <v>0</v>
      </c>
      <c r="CS303" s="8">
        <v>0</v>
      </c>
      <c r="CT303" s="8">
        <v>0</v>
      </c>
      <c r="CU303" s="8">
        <v>0</v>
      </c>
      <c r="CV303" s="8">
        <v>0</v>
      </c>
      <c r="CW303" s="8">
        <v>0</v>
      </c>
      <c r="CX303" s="8">
        <v>0</v>
      </c>
      <c r="CY303" s="8">
        <v>150250</v>
      </c>
      <c r="CZ303" s="8">
        <v>571960</v>
      </c>
      <c r="DA303" s="8">
        <v>583960</v>
      </c>
      <c r="DB303" s="9">
        <f t="shared" si="159"/>
        <v>583960</v>
      </c>
      <c r="DC303" s="8">
        <v>0</v>
      </c>
      <c r="DD303" s="8">
        <v>0</v>
      </c>
      <c r="DE303" s="8">
        <v>0</v>
      </c>
      <c r="DF303" s="8">
        <v>0</v>
      </c>
      <c r="DG303" s="8">
        <v>0</v>
      </c>
      <c r="DH303" s="8">
        <v>0</v>
      </c>
      <c r="DI303" s="8">
        <v>0</v>
      </c>
      <c r="DJ303" s="8">
        <v>0</v>
      </c>
      <c r="DK303" s="8">
        <v>0</v>
      </c>
      <c r="DL303" s="8">
        <v>77550</v>
      </c>
      <c r="DM303" s="8">
        <v>77550</v>
      </c>
      <c r="DN303" s="8">
        <v>384245</v>
      </c>
      <c r="DO303" s="9">
        <f t="shared" si="160"/>
        <v>384245</v>
      </c>
      <c r="DP303" s="8">
        <v>0</v>
      </c>
      <c r="DQ303" s="8">
        <v>0</v>
      </c>
      <c r="DR303" s="8">
        <v>0</v>
      </c>
      <c r="DS303" s="8">
        <v>0</v>
      </c>
      <c r="DT303" s="8">
        <v>0</v>
      </c>
      <c r="DU303" s="8">
        <v>0</v>
      </c>
      <c r="DV303" s="8">
        <v>0</v>
      </c>
      <c r="DW303" s="8">
        <v>0</v>
      </c>
      <c r="DX303" s="8">
        <v>0</v>
      </c>
      <c r="DY303" s="8">
        <v>0</v>
      </c>
      <c r="DZ303" s="8">
        <v>0</v>
      </c>
      <c r="EA303" s="8">
        <v>532137</v>
      </c>
      <c r="EB303" s="9">
        <f t="shared" si="161"/>
        <v>532137</v>
      </c>
      <c r="EC303" s="8">
        <v>0</v>
      </c>
      <c r="ED303" s="8">
        <v>0</v>
      </c>
      <c r="EE303" s="8">
        <v>0</v>
      </c>
      <c r="EF303" s="8">
        <v>0</v>
      </c>
      <c r="EG303" s="8">
        <v>0</v>
      </c>
      <c r="EH303" s="8">
        <v>0</v>
      </c>
      <c r="EI303" s="8">
        <v>0</v>
      </c>
      <c r="EJ303" s="8">
        <v>0</v>
      </c>
      <c r="EK303" s="8">
        <v>0</v>
      </c>
      <c r="EL303" s="8">
        <v>0</v>
      </c>
      <c r="EM303" s="8">
        <v>228050</v>
      </c>
      <c r="EN303" s="8">
        <v>567665</v>
      </c>
      <c r="EO303" s="9">
        <f t="shared" si="162"/>
        <v>567665</v>
      </c>
      <c r="EP303" s="8">
        <v>0</v>
      </c>
      <c r="EQ303" s="8">
        <v>0</v>
      </c>
      <c r="ER303" s="8">
        <v>0</v>
      </c>
      <c r="ES303" s="8">
        <v>0</v>
      </c>
      <c r="ET303" s="8">
        <v>0</v>
      </c>
      <c r="EU303" s="8">
        <v>0</v>
      </c>
      <c r="EV303" s="8">
        <v>0</v>
      </c>
      <c r="EW303" s="8">
        <v>288056</v>
      </c>
      <c r="EX303" s="8">
        <v>288056</v>
      </c>
      <c r="EY303" s="8">
        <v>457257</v>
      </c>
      <c r="EZ303" s="8">
        <v>457257</v>
      </c>
      <c r="FA303" s="8">
        <v>512000</v>
      </c>
      <c r="FB303" s="9">
        <f t="shared" si="163"/>
        <v>512000</v>
      </c>
      <c r="FC303" s="8">
        <v>0</v>
      </c>
      <c r="FD303" s="8">
        <v>0</v>
      </c>
      <c r="FE303" s="8">
        <v>0</v>
      </c>
      <c r="FF303" s="8">
        <v>0</v>
      </c>
      <c r="FG303" s="8">
        <v>0</v>
      </c>
      <c r="FH303" s="8">
        <v>0</v>
      </c>
      <c r="FI303" s="8">
        <v>0</v>
      </c>
      <c r="FJ303" s="8"/>
      <c r="FK303" s="8"/>
      <c r="FL303" s="8"/>
      <c r="FM303" s="8"/>
      <c r="FN303" s="8"/>
      <c r="FO303" s="9">
        <f t="shared" si="164"/>
        <v>0</v>
      </c>
    </row>
    <row r="304" spans="2:171" ht="14.25" customHeight="1" x14ac:dyDescent="0.3">
      <c r="B304" s="7" t="s">
        <v>45</v>
      </c>
      <c r="C304" s="8">
        <v>0</v>
      </c>
      <c r="D304" s="8">
        <v>26096154</v>
      </c>
      <c r="E304" s="8">
        <v>56041628</v>
      </c>
      <c r="F304" s="8">
        <v>67318231</v>
      </c>
      <c r="G304" s="8">
        <v>75880333</v>
      </c>
      <c r="H304" s="8">
        <v>87475379</v>
      </c>
      <c r="I304" s="8">
        <v>100784752</v>
      </c>
      <c r="J304" s="8">
        <v>111472287</v>
      </c>
      <c r="K304" s="8">
        <v>126528466</v>
      </c>
      <c r="L304" s="8">
        <v>136860771</v>
      </c>
      <c r="M304" s="8">
        <v>152732018</v>
      </c>
      <c r="N304" s="8">
        <v>291127776</v>
      </c>
      <c r="O304" s="9">
        <f t="shared" si="152"/>
        <v>291127776</v>
      </c>
      <c r="P304" s="8">
        <v>0</v>
      </c>
      <c r="Q304" s="8">
        <v>0</v>
      </c>
      <c r="R304" s="8">
        <v>49059627</v>
      </c>
      <c r="S304" s="8">
        <v>61400946</v>
      </c>
      <c r="T304" s="8">
        <v>69418231</v>
      </c>
      <c r="U304" s="8">
        <v>88410605</v>
      </c>
      <c r="V304" s="8">
        <v>100551700</v>
      </c>
      <c r="W304" s="8">
        <v>125437166</v>
      </c>
      <c r="X304" s="8">
        <v>148405911</v>
      </c>
      <c r="Y304" s="8">
        <v>170926042</v>
      </c>
      <c r="Z304" s="8">
        <v>220271482</v>
      </c>
      <c r="AA304" s="8">
        <v>472604438</v>
      </c>
      <c r="AB304" s="9">
        <f t="shared" si="153"/>
        <v>472604438</v>
      </c>
      <c r="AC304" s="8">
        <v>0</v>
      </c>
      <c r="AD304" s="8">
        <v>0</v>
      </c>
      <c r="AE304" s="8">
        <v>51754465</v>
      </c>
      <c r="AF304" s="8">
        <v>72757328</v>
      </c>
      <c r="AG304" s="8">
        <v>94780526</v>
      </c>
      <c r="AH304" s="8">
        <v>115638319</v>
      </c>
      <c r="AI304" s="8">
        <v>139693890</v>
      </c>
      <c r="AJ304" s="8">
        <v>167697218</v>
      </c>
      <c r="AK304" s="8">
        <v>190292478</v>
      </c>
      <c r="AL304" s="8">
        <v>226263713</v>
      </c>
      <c r="AM304" s="8">
        <v>270132140</v>
      </c>
      <c r="AN304" s="8">
        <v>457056186</v>
      </c>
      <c r="AO304" s="9">
        <f t="shared" si="154"/>
        <v>457056186</v>
      </c>
      <c r="AP304" s="8">
        <v>2093965</v>
      </c>
      <c r="AQ304" s="8">
        <v>2093965</v>
      </c>
      <c r="AR304" s="8">
        <v>31543603</v>
      </c>
      <c r="AS304" s="8">
        <v>74454780</v>
      </c>
      <c r="AT304" s="8">
        <v>98361776</v>
      </c>
      <c r="AU304" s="8">
        <v>127116959</v>
      </c>
      <c r="AV304" s="8">
        <v>157979448</v>
      </c>
      <c r="AW304" s="8">
        <v>187370413</v>
      </c>
      <c r="AX304" s="8">
        <v>211726962</v>
      </c>
      <c r="AY304" s="8">
        <v>236795579</v>
      </c>
      <c r="AZ304" s="8">
        <v>260800690</v>
      </c>
      <c r="BA304" s="8">
        <v>348344063</v>
      </c>
      <c r="BB304" s="9">
        <f t="shared" si="155"/>
        <v>348344063</v>
      </c>
      <c r="BC304" s="8">
        <v>0</v>
      </c>
      <c r="BD304" s="8">
        <v>0</v>
      </c>
      <c r="BE304" s="8">
        <v>63256610</v>
      </c>
      <c r="BF304" s="8">
        <v>100568264</v>
      </c>
      <c r="BG304" s="8">
        <v>137547567</v>
      </c>
      <c r="BH304" s="8">
        <v>161291810</v>
      </c>
      <c r="BI304" s="8">
        <v>186949153</v>
      </c>
      <c r="BJ304" s="8">
        <v>217757175</v>
      </c>
      <c r="BK304" s="8">
        <v>249717064</v>
      </c>
      <c r="BL304" s="8">
        <v>280760399</v>
      </c>
      <c r="BM304" s="8">
        <v>319638723</v>
      </c>
      <c r="BN304" s="8">
        <v>457781336</v>
      </c>
      <c r="BO304" s="9">
        <f t="shared" si="156"/>
        <v>457781336</v>
      </c>
      <c r="BP304" s="8">
        <v>1619576</v>
      </c>
      <c r="BQ304" s="8">
        <v>1619576</v>
      </c>
      <c r="BR304" s="8">
        <v>130886351</v>
      </c>
      <c r="BS304" s="8">
        <v>166570379</v>
      </c>
      <c r="BT304" s="8">
        <v>212049842</v>
      </c>
      <c r="BU304" s="8">
        <v>257484591</v>
      </c>
      <c r="BV304" s="8">
        <v>284568768</v>
      </c>
      <c r="BW304" s="8">
        <v>337549838</v>
      </c>
      <c r="BX304" s="8">
        <v>419088681</v>
      </c>
      <c r="BY304" s="8">
        <v>455125273</v>
      </c>
      <c r="BZ304" s="8">
        <v>500123278</v>
      </c>
      <c r="CA304" s="8">
        <v>711428105</v>
      </c>
      <c r="CB304" s="9">
        <f t="shared" si="157"/>
        <v>711428105</v>
      </c>
      <c r="CC304" s="8">
        <v>0</v>
      </c>
      <c r="CD304" s="8">
        <v>0</v>
      </c>
      <c r="CE304" s="8">
        <v>52772913</v>
      </c>
      <c r="CF304" s="8">
        <v>172160206</v>
      </c>
      <c r="CG304" s="8">
        <v>227578612</v>
      </c>
      <c r="CH304" s="8">
        <v>283930204</v>
      </c>
      <c r="CI304" s="8">
        <v>323225275</v>
      </c>
      <c r="CJ304" s="8">
        <v>358601343</v>
      </c>
      <c r="CK304" s="8">
        <v>390850048</v>
      </c>
      <c r="CL304" s="8">
        <v>416545797</v>
      </c>
      <c r="CM304" s="8">
        <v>453975017</v>
      </c>
      <c r="CN304" s="8">
        <v>614294558</v>
      </c>
      <c r="CO304" s="9">
        <f t="shared" si="158"/>
        <v>614294558</v>
      </c>
      <c r="CP304" s="8">
        <v>82112</v>
      </c>
      <c r="CQ304" s="8">
        <v>411585</v>
      </c>
      <c r="CR304" s="8">
        <v>88252653</v>
      </c>
      <c r="CS304" s="8">
        <v>163822769</v>
      </c>
      <c r="CT304" s="8">
        <v>202491289</v>
      </c>
      <c r="CU304" s="8">
        <v>239324382</v>
      </c>
      <c r="CV304" s="8">
        <v>265648059</v>
      </c>
      <c r="CW304" s="8">
        <v>306546068</v>
      </c>
      <c r="CX304" s="8">
        <v>332747518</v>
      </c>
      <c r="CY304" s="8">
        <v>382881051</v>
      </c>
      <c r="CZ304" s="8">
        <v>413093986</v>
      </c>
      <c r="DA304" s="8">
        <v>489728306</v>
      </c>
      <c r="DB304" s="9">
        <f t="shared" si="159"/>
        <v>489728306</v>
      </c>
      <c r="DC304" s="8">
        <v>0</v>
      </c>
      <c r="DD304" s="8">
        <v>1865</v>
      </c>
      <c r="DE304" s="8">
        <v>95517566</v>
      </c>
      <c r="DF304" s="8">
        <v>118701463</v>
      </c>
      <c r="DG304" s="8">
        <v>128201625</v>
      </c>
      <c r="DH304" s="8">
        <v>148304915</v>
      </c>
      <c r="DI304" s="8">
        <v>176448546</v>
      </c>
      <c r="DJ304" s="8">
        <v>206625456</v>
      </c>
      <c r="DK304" s="8">
        <v>237062860</v>
      </c>
      <c r="DL304" s="8">
        <v>279701690</v>
      </c>
      <c r="DM304" s="8">
        <v>389110786</v>
      </c>
      <c r="DN304" s="8">
        <v>454987208</v>
      </c>
      <c r="DO304" s="9">
        <f t="shared" si="160"/>
        <v>454987208</v>
      </c>
      <c r="DP304" s="8">
        <v>170507</v>
      </c>
      <c r="DQ304" s="8">
        <v>17831125</v>
      </c>
      <c r="DR304" s="8">
        <v>106346070</v>
      </c>
      <c r="DS304" s="8">
        <v>139231099</v>
      </c>
      <c r="DT304" s="8">
        <v>177321230</v>
      </c>
      <c r="DU304" s="8">
        <v>216759257</v>
      </c>
      <c r="DV304" s="8">
        <v>259164746</v>
      </c>
      <c r="DW304" s="8">
        <v>300668299</v>
      </c>
      <c r="DX304" s="8">
        <v>338905827</v>
      </c>
      <c r="DY304" s="8">
        <v>338905827</v>
      </c>
      <c r="DZ304" s="8">
        <v>426214534</v>
      </c>
      <c r="EA304" s="8">
        <v>573742657</v>
      </c>
      <c r="EB304" s="9">
        <f t="shared" si="161"/>
        <v>573742657</v>
      </c>
      <c r="EC304" s="8">
        <v>178155</v>
      </c>
      <c r="ED304" s="8">
        <v>4285023</v>
      </c>
      <c r="EE304" s="8">
        <v>136526237</v>
      </c>
      <c r="EF304" s="8">
        <v>165496891</v>
      </c>
      <c r="EG304" s="8">
        <v>227803211</v>
      </c>
      <c r="EH304" s="8">
        <v>325739260</v>
      </c>
      <c r="EI304" s="8">
        <v>400739627</v>
      </c>
      <c r="EJ304" s="8">
        <v>505840710</v>
      </c>
      <c r="EK304" s="8">
        <v>580749731</v>
      </c>
      <c r="EL304" s="8">
        <v>620811339</v>
      </c>
      <c r="EM304" s="8">
        <v>707560195</v>
      </c>
      <c r="EN304" s="8">
        <v>822879139</v>
      </c>
      <c r="EO304" s="9">
        <f t="shared" si="162"/>
        <v>822879139</v>
      </c>
      <c r="EP304" s="8">
        <v>32596643</v>
      </c>
      <c r="EQ304" s="8">
        <v>33349248</v>
      </c>
      <c r="ER304" s="8">
        <v>221590125</v>
      </c>
      <c r="ES304" s="8">
        <v>240622045</v>
      </c>
      <c r="ET304" s="8">
        <v>297003296</v>
      </c>
      <c r="EU304" s="8">
        <v>387489250</v>
      </c>
      <c r="EV304" s="8">
        <v>434690307</v>
      </c>
      <c r="EW304" s="8">
        <v>488747226</v>
      </c>
      <c r="EX304" s="8">
        <v>564069996</v>
      </c>
      <c r="EY304" s="8">
        <v>607875728</v>
      </c>
      <c r="EZ304" s="8">
        <v>700072654</v>
      </c>
      <c r="FA304" s="8">
        <v>822320872</v>
      </c>
      <c r="FB304" s="9">
        <f t="shared" si="163"/>
        <v>822320872</v>
      </c>
      <c r="FC304" s="8">
        <v>7514415</v>
      </c>
      <c r="FD304" s="8">
        <v>10771323</v>
      </c>
      <c r="FE304" s="8">
        <v>61771964</v>
      </c>
      <c r="FF304" s="8">
        <v>160009564</v>
      </c>
      <c r="FG304" s="8">
        <v>192473239</v>
      </c>
      <c r="FH304" s="8">
        <v>274896219</v>
      </c>
      <c r="FI304" s="8">
        <v>293615144</v>
      </c>
      <c r="FJ304" s="8"/>
      <c r="FK304" s="8"/>
      <c r="FL304" s="8"/>
      <c r="FM304" s="8"/>
      <c r="FN304" s="8"/>
      <c r="FO304" s="9">
        <f t="shared" si="164"/>
        <v>293615144</v>
      </c>
    </row>
    <row r="305" spans="2:171" ht="14.25" customHeight="1" x14ac:dyDescent="0.3">
      <c r="B305" s="7" t="s">
        <v>46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9">
        <f t="shared" si="152"/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9">
        <f t="shared" si="153"/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9">
        <f t="shared" si="154"/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v>0</v>
      </c>
      <c r="AZ305" s="8">
        <v>0</v>
      </c>
      <c r="BA305" s="8">
        <v>0</v>
      </c>
      <c r="BB305" s="9">
        <f t="shared" si="155"/>
        <v>0</v>
      </c>
      <c r="BC305" s="8">
        <v>0</v>
      </c>
      <c r="BD305" s="8">
        <v>0</v>
      </c>
      <c r="BE305" s="8">
        <v>0</v>
      </c>
      <c r="BF305" s="8">
        <v>0</v>
      </c>
      <c r="BG305" s="8">
        <v>0</v>
      </c>
      <c r="BH305" s="8">
        <v>0</v>
      </c>
      <c r="BI305" s="8">
        <v>0</v>
      </c>
      <c r="BJ305" s="8">
        <v>0</v>
      </c>
      <c r="BK305" s="8">
        <v>0</v>
      </c>
      <c r="BL305" s="8">
        <v>0</v>
      </c>
      <c r="BM305" s="8">
        <v>0</v>
      </c>
      <c r="BN305" s="8">
        <v>0</v>
      </c>
      <c r="BO305" s="9">
        <f t="shared" si="156"/>
        <v>0</v>
      </c>
      <c r="BP305" s="8">
        <v>0</v>
      </c>
      <c r="BQ305" s="8">
        <v>0</v>
      </c>
      <c r="BR305" s="8">
        <v>0</v>
      </c>
      <c r="BS305" s="8">
        <v>0</v>
      </c>
      <c r="BT305" s="8">
        <v>0</v>
      </c>
      <c r="BU305" s="8">
        <v>0</v>
      </c>
      <c r="BV305" s="8">
        <v>0</v>
      </c>
      <c r="BW305" s="8">
        <v>0</v>
      </c>
      <c r="BX305" s="8">
        <v>0</v>
      </c>
      <c r="BY305" s="8">
        <v>0</v>
      </c>
      <c r="BZ305" s="8">
        <v>0</v>
      </c>
      <c r="CA305" s="8">
        <v>0</v>
      </c>
      <c r="CB305" s="9">
        <f t="shared" si="157"/>
        <v>0</v>
      </c>
      <c r="CC305" s="8">
        <v>0</v>
      </c>
      <c r="CD305" s="8">
        <v>0</v>
      </c>
      <c r="CE305" s="8">
        <v>0</v>
      </c>
      <c r="CF305" s="8">
        <v>0</v>
      </c>
      <c r="CG305" s="8">
        <v>0</v>
      </c>
      <c r="CH305" s="8">
        <v>0</v>
      </c>
      <c r="CI305" s="8">
        <v>0</v>
      </c>
      <c r="CJ305" s="8">
        <v>0</v>
      </c>
      <c r="CK305" s="8">
        <v>0</v>
      </c>
      <c r="CL305" s="8">
        <v>0</v>
      </c>
      <c r="CM305" s="8">
        <v>0</v>
      </c>
      <c r="CN305" s="8">
        <v>0</v>
      </c>
      <c r="CO305" s="9">
        <f t="shared" si="158"/>
        <v>0</v>
      </c>
      <c r="CP305" s="8">
        <v>0</v>
      </c>
      <c r="CQ305" s="8">
        <v>0</v>
      </c>
      <c r="CR305" s="8">
        <v>0</v>
      </c>
      <c r="CS305" s="8">
        <v>0</v>
      </c>
      <c r="CT305" s="8">
        <v>0</v>
      </c>
      <c r="CU305" s="8">
        <v>0</v>
      </c>
      <c r="CV305" s="8">
        <v>0</v>
      </c>
      <c r="CW305" s="8">
        <v>0</v>
      </c>
      <c r="CX305" s="8">
        <v>0</v>
      </c>
      <c r="CY305" s="8">
        <v>0</v>
      </c>
      <c r="CZ305" s="8">
        <v>0</v>
      </c>
      <c r="DA305" s="8">
        <v>0</v>
      </c>
      <c r="DB305" s="9">
        <f t="shared" si="159"/>
        <v>0</v>
      </c>
      <c r="DC305" s="8">
        <v>0</v>
      </c>
      <c r="DD305" s="8">
        <v>0</v>
      </c>
      <c r="DE305" s="8">
        <v>0</v>
      </c>
      <c r="DF305" s="8">
        <v>0</v>
      </c>
      <c r="DG305" s="8">
        <v>0</v>
      </c>
      <c r="DH305" s="8">
        <v>0</v>
      </c>
      <c r="DI305" s="8">
        <v>0</v>
      </c>
      <c r="DJ305" s="8">
        <v>0</v>
      </c>
      <c r="DK305" s="8">
        <v>0</v>
      </c>
      <c r="DL305" s="8">
        <v>0</v>
      </c>
      <c r="DM305" s="8">
        <v>0</v>
      </c>
      <c r="DN305" s="8">
        <v>0</v>
      </c>
      <c r="DO305" s="9">
        <f t="shared" si="160"/>
        <v>0</v>
      </c>
      <c r="DP305" s="8">
        <v>0</v>
      </c>
      <c r="DQ305" s="8">
        <v>0</v>
      </c>
      <c r="DR305" s="8">
        <v>0</v>
      </c>
      <c r="DS305" s="8">
        <v>0</v>
      </c>
      <c r="DT305" s="8">
        <v>0</v>
      </c>
      <c r="DU305" s="8">
        <v>0</v>
      </c>
      <c r="DV305" s="8">
        <v>0</v>
      </c>
      <c r="DW305" s="8">
        <v>0</v>
      </c>
      <c r="DX305" s="8">
        <v>0</v>
      </c>
      <c r="DY305" s="8">
        <v>0</v>
      </c>
      <c r="DZ305" s="8">
        <v>0</v>
      </c>
      <c r="EA305" s="8">
        <v>0</v>
      </c>
      <c r="EB305" s="9">
        <f t="shared" si="161"/>
        <v>0</v>
      </c>
      <c r="EC305" s="8">
        <v>0</v>
      </c>
      <c r="ED305" s="8">
        <v>0</v>
      </c>
      <c r="EE305" s="8">
        <v>0</v>
      </c>
      <c r="EF305" s="8">
        <v>0</v>
      </c>
      <c r="EG305" s="8">
        <v>0</v>
      </c>
      <c r="EH305" s="8">
        <v>0</v>
      </c>
      <c r="EI305" s="8">
        <v>0</v>
      </c>
      <c r="EJ305" s="8">
        <v>0</v>
      </c>
      <c r="EK305" s="8">
        <v>0</v>
      </c>
      <c r="EL305" s="8">
        <v>0</v>
      </c>
      <c r="EM305" s="8">
        <v>0</v>
      </c>
      <c r="EN305" s="8">
        <v>0</v>
      </c>
      <c r="EO305" s="9">
        <f t="shared" si="162"/>
        <v>0</v>
      </c>
      <c r="EP305" s="8">
        <v>0</v>
      </c>
      <c r="EQ305" s="8">
        <v>0</v>
      </c>
      <c r="ER305" s="8">
        <v>0</v>
      </c>
      <c r="ES305" s="8">
        <v>0</v>
      </c>
      <c r="ET305" s="8">
        <v>0</v>
      </c>
      <c r="EU305" s="8">
        <v>0</v>
      </c>
      <c r="EV305" s="8">
        <v>0</v>
      </c>
      <c r="EW305" s="8">
        <v>0</v>
      </c>
      <c r="EX305" s="8">
        <v>0</v>
      </c>
      <c r="EY305" s="8">
        <v>0</v>
      </c>
      <c r="EZ305" s="8">
        <v>0</v>
      </c>
      <c r="FA305" s="8">
        <v>0</v>
      </c>
      <c r="FB305" s="9">
        <f t="shared" si="163"/>
        <v>0</v>
      </c>
      <c r="FC305" s="8">
        <v>0</v>
      </c>
      <c r="FD305" s="8">
        <v>0</v>
      </c>
      <c r="FE305" s="8">
        <v>0</v>
      </c>
      <c r="FF305" s="8">
        <v>0</v>
      </c>
      <c r="FG305" s="8">
        <v>0</v>
      </c>
      <c r="FH305" s="8">
        <v>0</v>
      </c>
      <c r="FI305" s="8">
        <v>0</v>
      </c>
      <c r="FJ305" s="8"/>
      <c r="FK305" s="8"/>
      <c r="FL305" s="8"/>
      <c r="FM305" s="8"/>
      <c r="FN305" s="8"/>
      <c r="FO305" s="9">
        <f t="shared" si="164"/>
        <v>0</v>
      </c>
    </row>
    <row r="306" spans="2:171" ht="14.25" customHeight="1" x14ac:dyDescent="0.3">
      <c r="B306" s="7" t="s">
        <v>47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9">
        <f t="shared" si="152"/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9">
        <f t="shared" si="153"/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9">
        <f t="shared" si="154"/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v>0</v>
      </c>
      <c r="AZ306" s="8">
        <v>0</v>
      </c>
      <c r="BA306" s="8">
        <v>0</v>
      </c>
      <c r="BB306" s="9">
        <f t="shared" si="155"/>
        <v>0</v>
      </c>
      <c r="BC306" s="8">
        <v>0</v>
      </c>
      <c r="BD306" s="8">
        <v>0</v>
      </c>
      <c r="BE306" s="8">
        <v>0</v>
      </c>
      <c r="BF306" s="8">
        <v>0</v>
      </c>
      <c r="BG306" s="8">
        <v>0</v>
      </c>
      <c r="BH306" s="8">
        <v>0</v>
      </c>
      <c r="BI306" s="8">
        <v>0</v>
      </c>
      <c r="BJ306" s="8">
        <v>0</v>
      </c>
      <c r="BK306" s="8">
        <v>0</v>
      </c>
      <c r="BL306" s="8">
        <v>0</v>
      </c>
      <c r="BM306" s="8">
        <v>0</v>
      </c>
      <c r="BN306" s="8">
        <v>0</v>
      </c>
      <c r="BO306" s="9">
        <f t="shared" si="156"/>
        <v>0</v>
      </c>
      <c r="BP306" s="8">
        <v>0</v>
      </c>
      <c r="BQ306" s="8">
        <v>0</v>
      </c>
      <c r="BR306" s="8">
        <v>0</v>
      </c>
      <c r="BS306" s="8">
        <v>0</v>
      </c>
      <c r="BT306" s="8">
        <v>0</v>
      </c>
      <c r="BU306" s="8">
        <v>0</v>
      </c>
      <c r="BV306" s="8">
        <v>0</v>
      </c>
      <c r="BW306" s="8">
        <v>0</v>
      </c>
      <c r="BX306" s="8">
        <v>0</v>
      </c>
      <c r="BY306" s="8">
        <v>0</v>
      </c>
      <c r="BZ306" s="8">
        <v>0</v>
      </c>
      <c r="CA306" s="8">
        <v>0</v>
      </c>
      <c r="CB306" s="9">
        <f t="shared" si="157"/>
        <v>0</v>
      </c>
      <c r="CC306" s="8">
        <v>0</v>
      </c>
      <c r="CD306" s="8">
        <v>0</v>
      </c>
      <c r="CE306" s="8">
        <v>0</v>
      </c>
      <c r="CF306" s="8">
        <v>0</v>
      </c>
      <c r="CG306" s="8">
        <v>0</v>
      </c>
      <c r="CH306" s="8">
        <v>0</v>
      </c>
      <c r="CI306" s="8">
        <v>0</v>
      </c>
      <c r="CJ306" s="8">
        <v>0</v>
      </c>
      <c r="CK306" s="8">
        <v>0</v>
      </c>
      <c r="CL306" s="8">
        <v>0</v>
      </c>
      <c r="CM306" s="8">
        <v>0</v>
      </c>
      <c r="CN306" s="8">
        <v>0</v>
      </c>
      <c r="CO306" s="9">
        <f t="shared" si="158"/>
        <v>0</v>
      </c>
      <c r="CP306" s="8">
        <v>0</v>
      </c>
      <c r="CQ306" s="8">
        <v>0</v>
      </c>
      <c r="CR306" s="8">
        <v>0</v>
      </c>
      <c r="CS306" s="8">
        <v>0</v>
      </c>
      <c r="CT306" s="8">
        <v>0</v>
      </c>
      <c r="CU306" s="8">
        <v>0</v>
      </c>
      <c r="CV306" s="8">
        <v>0</v>
      </c>
      <c r="CW306" s="8">
        <v>0</v>
      </c>
      <c r="CX306" s="8">
        <v>0</v>
      </c>
      <c r="CY306" s="8">
        <v>0</v>
      </c>
      <c r="CZ306" s="8">
        <v>0</v>
      </c>
      <c r="DA306" s="8">
        <v>0</v>
      </c>
      <c r="DB306" s="9">
        <f t="shared" si="159"/>
        <v>0</v>
      </c>
      <c r="DC306" s="8">
        <v>0</v>
      </c>
      <c r="DD306" s="8">
        <v>0</v>
      </c>
      <c r="DE306" s="8">
        <v>0</v>
      </c>
      <c r="DF306" s="8">
        <v>0</v>
      </c>
      <c r="DG306" s="8">
        <v>0</v>
      </c>
      <c r="DH306" s="8">
        <v>0</v>
      </c>
      <c r="DI306" s="8">
        <v>0</v>
      </c>
      <c r="DJ306" s="8">
        <v>0</v>
      </c>
      <c r="DK306" s="8">
        <v>0</v>
      </c>
      <c r="DL306" s="8">
        <v>0</v>
      </c>
      <c r="DM306" s="8">
        <v>0</v>
      </c>
      <c r="DN306" s="8">
        <v>0</v>
      </c>
      <c r="DO306" s="9">
        <f t="shared" si="160"/>
        <v>0</v>
      </c>
      <c r="DP306" s="8">
        <v>0</v>
      </c>
      <c r="DQ306" s="8">
        <v>0</v>
      </c>
      <c r="DR306" s="8">
        <v>0</v>
      </c>
      <c r="DS306" s="8">
        <v>0</v>
      </c>
      <c r="DT306" s="8">
        <v>0</v>
      </c>
      <c r="DU306" s="8">
        <v>0</v>
      </c>
      <c r="DV306" s="8">
        <v>0</v>
      </c>
      <c r="DW306" s="8">
        <v>0</v>
      </c>
      <c r="DX306" s="8">
        <v>0</v>
      </c>
      <c r="DY306" s="8">
        <v>0</v>
      </c>
      <c r="DZ306" s="8">
        <v>0</v>
      </c>
      <c r="EA306" s="8">
        <v>0</v>
      </c>
      <c r="EB306" s="9">
        <f t="shared" si="161"/>
        <v>0</v>
      </c>
      <c r="EC306" s="8">
        <v>0</v>
      </c>
      <c r="ED306" s="8">
        <v>0</v>
      </c>
      <c r="EE306" s="8">
        <v>0</v>
      </c>
      <c r="EF306" s="8">
        <v>0</v>
      </c>
      <c r="EG306" s="8">
        <v>0</v>
      </c>
      <c r="EH306" s="8">
        <v>0</v>
      </c>
      <c r="EI306" s="8">
        <v>0</v>
      </c>
      <c r="EJ306" s="8">
        <v>0</v>
      </c>
      <c r="EK306" s="8">
        <v>0</v>
      </c>
      <c r="EL306" s="8">
        <v>0</v>
      </c>
      <c r="EM306" s="8">
        <v>0</v>
      </c>
      <c r="EN306" s="8">
        <v>0</v>
      </c>
      <c r="EO306" s="9">
        <f t="shared" si="162"/>
        <v>0</v>
      </c>
      <c r="EP306" s="8">
        <v>0</v>
      </c>
      <c r="EQ306" s="8">
        <v>0</v>
      </c>
      <c r="ER306" s="8">
        <v>0</v>
      </c>
      <c r="ES306" s="8">
        <v>0</v>
      </c>
      <c r="ET306" s="8">
        <v>0</v>
      </c>
      <c r="EU306" s="8">
        <v>0</v>
      </c>
      <c r="EV306" s="8">
        <v>0</v>
      </c>
      <c r="EW306" s="8">
        <v>0</v>
      </c>
      <c r="EX306" s="8">
        <v>0</v>
      </c>
      <c r="EY306" s="8">
        <v>0</v>
      </c>
      <c r="EZ306" s="8">
        <v>0</v>
      </c>
      <c r="FA306" s="8">
        <v>0</v>
      </c>
      <c r="FB306" s="9">
        <f t="shared" si="163"/>
        <v>0</v>
      </c>
      <c r="FC306" s="8">
        <v>0</v>
      </c>
      <c r="FD306" s="8">
        <v>0</v>
      </c>
      <c r="FE306" s="8">
        <v>0</v>
      </c>
      <c r="FF306" s="8">
        <v>0</v>
      </c>
      <c r="FG306" s="8">
        <v>0</v>
      </c>
      <c r="FH306" s="8">
        <v>0</v>
      </c>
      <c r="FI306" s="8">
        <v>0</v>
      </c>
      <c r="FJ306" s="8"/>
      <c r="FK306" s="8"/>
      <c r="FL306" s="8"/>
      <c r="FM306" s="8"/>
      <c r="FN306" s="8"/>
      <c r="FO306" s="9">
        <f t="shared" si="164"/>
        <v>0</v>
      </c>
    </row>
    <row r="307" spans="2:171" ht="14.25" customHeight="1" x14ac:dyDescent="0.3">
      <c r="B307" s="7" t="s">
        <v>48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9">
        <f t="shared" si="152"/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9">
        <f t="shared" si="153"/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9">
        <f t="shared" si="154"/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v>0</v>
      </c>
      <c r="AZ307" s="8">
        <v>0</v>
      </c>
      <c r="BA307" s="8">
        <v>0</v>
      </c>
      <c r="BB307" s="9">
        <f t="shared" si="155"/>
        <v>0</v>
      </c>
      <c r="BC307" s="8">
        <v>0</v>
      </c>
      <c r="BD307" s="8">
        <v>0</v>
      </c>
      <c r="BE307" s="8">
        <v>0</v>
      </c>
      <c r="BF307" s="8">
        <v>2933149</v>
      </c>
      <c r="BG307" s="8">
        <v>2933149</v>
      </c>
      <c r="BH307" s="8">
        <v>2933149</v>
      </c>
      <c r="BI307" s="8">
        <v>2933149</v>
      </c>
      <c r="BJ307" s="8">
        <v>2933149</v>
      </c>
      <c r="BK307" s="8">
        <v>2933149</v>
      </c>
      <c r="BL307" s="8">
        <v>2933149</v>
      </c>
      <c r="BM307" s="8">
        <v>2933149</v>
      </c>
      <c r="BN307" s="8">
        <v>2933149</v>
      </c>
      <c r="BO307" s="9">
        <f t="shared" si="156"/>
        <v>2933149</v>
      </c>
      <c r="BP307" s="8">
        <v>0</v>
      </c>
      <c r="BQ307" s="8">
        <v>0</v>
      </c>
      <c r="BR307" s="8">
        <v>0</v>
      </c>
      <c r="BS307" s="8">
        <v>0</v>
      </c>
      <c r="BT307" s="8">
        <v>0</v>
      </c>
      <c r="BU307" s="8">
        <v>0</v>
      </c>
      <c r="BV307" s="8">
        <v>0</v>
      </c>
      <c r="BW307" s="8">
        <v>0</v>
      </c>
      <c r="BX307" s="8">
        <v>0</v>
      </c>
      <c r="BY307" s="8">
        <v>0</v>
      </c>
      <c r="BZ307" s="8">
        <v>0</v>
      </c>
      <c r="CA307" s="8">
        <v>0</v>
      </c>
      <c r="CB307" s="9">
        <f t="shared" si="157"/>
        <v>0</v>
      </c>
      <c r="CC307" s="8">
        <v>0</v>
      </c>
      <c r="CD307" s="8">
        <v>0</v>
      </c>
      <c r="CE307" s="8">
        <v>0</v>
      </c>
      <c r="CF307" s="8">
        <v>0</v>
      </c>
      <c r="CG307" s="8">
        <v>0</v>
      </c>
      <c r="CH307" s="8">
        <v>0</v>
      </c>
      <c r="CI307" s="8">
        <v>0</v>
      </c>
      <c r="CJ307" s="8">
        <v>0</v>
      </c>
      <c r="CK307" s="8">
        <v>0</v>
      </c>
      <c r="CL307" s="8">
        <v>0</v>
      </c>
      <c r="CM307" s="8">
        <v>0</v>
      </c>
      <c r="CN307" s="8">
        <v>0</v>
      </c>
      <c r="CO307" s="9">
        <f t="shared" si="158"/>
        <v>0</v>
      </c>
      <c r="CP307" s="8">
        <v>0</v>
      </c>
      <c r="CQ307" s="8">
        <v>0</v>
      </c>
      <c r="CR307" s="8">
        <v>0</v>
      </c>
      <c r="CS307" s="8">
        <v>0</v>
      </c>
      <c r="CT307" s="8">
        <v>0</v>
      </c>
      <c r="CU307" s="8">
        <v>0</v>
      </c>
      <c r="CV307" s="8">
        <v>0</v>
      </c>
      <c r="CW307" s="8">
        <v>0</v>
      </c>
      <c r="CX307" s="8">
        <v>0</v>
      </c>
      <c r="CY307" s="8">
        <v>0</v>
      </c>
      <c r="CZ307" s="8">
        <v>0</v>
      </c>
      <c r="DA307" s="8">
        <v>0</v>
      </c>
      <c r="DB307" s="9">
        <f t="shared" si="159"/>
        <v>0</v>
      </c>
      <c r="DC307" s="8">
        <v>0</v>
      </c>
      <c r="DD307" s="8">
        <v>0</v>
      </c>
      <c r="DE307" s="8">
        <v>0</v>
      </c>
      <c r="DF307" s="8">
        <v>0</v>
      </c>
      <c r="DG307" s="8">
        <v>0</v>
      </c>
      <c r="DH307" s="8">
        <v>0</v>
      </c>
      <c r="DI307" s="8">
        <v>0</v>
      </c>
      <c r="DJ307" s="8">
        <v>0</v>
      </c>
      <c r="DK307" s="8">
        <v>0</v>
      </c>
      <c r="DL307" s="8">
        <v>0</v>
      </c>
      <c r="DM307" s="8">
        <v>0</v>
      </c>
      <c r="DN307" s="8">
        <v>0</v>
      </c>
      <c r="DO307" s="9">
        <f t="shared" si="160"/>
        <v>0</v>
      </c>
      <c r="DP307" s="8">
        <v>0</v>
      </c>
      <c r="DQ307" s="8">
        <v>0</v>
      </c>
      <c r="DR307" s="8">
        <v>0</v>
      </c>
      <c r="DS307" s="8">
        <v>0</v>
      </c>
      <c r="DT307" s="8">
        <v>0</v>
      </c>
      <c r="DU307" s="8">
        <v>0</v>
      </c>
      <c r="DV307" s="8">
        <v>0</v>
      </c>
      <c r="DW307" s="8">
        <v>0</v>
      </c>
      <c r="DX307" s="8">
        <v>0</v>
      </c>
      <c r="DY307" s="8">
        <v>0</v>
      </c>
      <c r="DZ307" s="8">
        <v>0</v>
      </c>
      <c r="EA307" s="8">
        <v>0</v>
      </c>
      <c r="EB307" s="9">
        <f t="shared" si="161"/>
        <v>0</v>
      </c>
      <c r="EC307" s="8">
        <v>0</v>
      </c>
      <c r="ED307" s="8">
        <v>0</v>
      </c>
      <c r="EE307" s="8">
        <v>0</v>
      </c>
      <c r="EF307" s="8">
        <v>0</v>
      </c>
      <c r="EG307" s="8">
        <v>0</v>
      </c>
      <c r="EH307" s="8">
        <v>0</v>
      </c>
      <c r="EI307" s="8">
        <v>0</v>
      </c>
      <c r="EJ307" s="8">
        <v>0</v>
      </c>
      <c r="EK307" s="8">
        <v>0</v>
      </c>
      <c r="EL307" s="8">
        <v>0</v>
      </c>
      <c r="EM307" s="8">
        <v>0</v>
      </c>
      <c r="EN307" s="8">
        <v>0</v>
      </c>
      <c r="EO307" s="9">
        <f t="shared" si="162"/>
        <v>0</v>
      </c>
      <c r="EP307" s="8">
        <v>0</v>
      </c>
      <c r="EQ307" s="8">
        <v>0</v>
      </c>
      <c r="ER307" s="8">
        <v>0</v>
      </c>
      <c r="ES307" s="8">
        <v>0</v>
      </c>
      <c r="ET307" s="8">
        <v>0</v>
      </c>
      <c r="EU307" s="8">
        <v>0</v>
      </c>
      <c r="EV307" s="8">
        <v>0</v>
      </c>
      <c r="EW307" s="8">
        <v>0</v>
      </c>
      <c r="EX307" s="8">
        <v>0</v>
      </c>
      <c r="EY307" s="8">
        <v>0</v>
      </c>
      <c r="EZ307" s="8">
        <v>0</v>
      </c>
      <c r="FA307" s="8">
        <v>0</v>
      </c>
      <c r="FB307" s="9">
        <f t="shared" si="163"/>
        <v>0</v>
      </c>
      <c r="FC307" s="8">
        <v>0</v>
      </c>
      <c r="FD307" s="8">
        <v>0</v>
      </c>
      <c r="FE307" s="8">
        <v>0</v>
      </c>
      <c r="FF307" s="8">
        <v>0</v>
      </c>
      <c r="FG307" s="8">
        <v>0</v>
      </c>
      <c r="FH307" s="8">
        <v>0</v>
      </c>
      <c r="FI307" s="8">
        <v>0</v>
      </c>
      <c r="FJ307" s="8"/>
      <c r="FK307" s="8"/>
      <c r="FL307" s="8"/>
      <c r="FM307" s="8"/>
      <c r="FN307" s="8"/>
      <c r="FO307" s="9">
        <f t="shared" si="164"/>
        <v>0</v>
      </c>
    </row>
    <row r="308" spans="2:171" ht="14.25" customHeight="1" x14ac:dyDescent="0.3">
      <c r="B308" s="7" t="s">
        <v>49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9">
        <f t="shared" si="152"/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9">
        <f t="shared" si="153"/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9">
        <f t="shared" si="154"/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v>0</v>
      </c>
      <c r="AZ308" s="8">
        <v>0</v>
      </c>
      <c r="BA308" s="8">
        <v>0</v>
      </c>
      <c r="BB308" s="9">
        <f t="shared" si="155"/>
        <v>0</v>
      </c>
      <c r="BC308" s="8">
        <v>0</v>
      </c>
      <c r="BD308" s="8">
        <v>0</v>
      </c>
      <c r="BE308" s="8">
        <v>0</v>
      </c>
      <c r="BF308" s="8">
        <v>0</v>
      </c>
      <c r="BG308" s="8">
        <v>0</v>
      </c>
      <c r="BH308" s="8">
        <v>0</v>
      </c>
      <c r="BI308" s="8">
        <v>0</v>
      </c>
      <c r="BJ308" s="8">
        <v>0</v>
      </c>
      <c r="BK308" s="8">
        <v>0</v>
      </c>
      <c r="BL308" s="8">
        <v>0</v>
      </c>
      <c r="BM308" s="8">
        <v>0</v>
      </c>
      <c r="BN308" s="8">
        <v>0</v>
      </c>
      <c r="BO308" s="9">
        <f t="shared" si="156"/>
        <v>0</v>
      </c>
      <c r="BP308" s="8">
        <v>0</v>
      </c>
      <c r="BQ308" s="8">
        <v>0</v>
      </c>
      <c r="BR308" s="8">
        <v>0</v>
      </c>
      <c r="BS308" s="8">
        <v>0</v>
      </c>
      <c r="BT308" s="8">
        <v>0</v>
      </c>
      <c r="BU308" s="8">
        <v>0</v>
      </c>
      <c r="BV308" s="8">
        <v>0</v>
      </c>
      <c r="BW308" s="8">
        <v>0</v>
      </c>
      <c r="BX308" s="8">
        <v>0</v>
      </c>
      <c r="BY308" s="8">
        <v>0</v>
      </c>
      <c r="BZ308" s="8">
        <v>0</v>
      </c>
      <c r="CA308" s="8">
        <v>0</v>
      </c>
      <c r="CB308" s="9">
        <f t="shared" si="157"/>
        <v>0</v>
      </c>
      <c r="CC308" s="8">
        <v>0</v>
      </c>
      <c r="CD308" s="8">
        <v>0</v>
      </c>
      <c r="CE308" s="8">
        <v>0</v>
      </c>
      <c r="CF308" s="8">
        <v>0</v>
      </c>
      <c r="CG308" s="8">
        <v>0</v>
      </c>
      <c r="CH308" s="8">
        <v>0</v>
      </c>
      <c r="CI308" s="8">
        <v>0</v>
      </c>
      <c r="CJ308" s="8">
        <v>0</v>
      </c>
      <c r="CK308" s="8">
        <v>0</v>
      </c>
      <c r="CL308" s="8">
        <v>0</v>
      </c>
      <c r="CM308" s="8">
        <v>0</v>
      </c>
      <c r="CN308" s="8">
        <v>0</v>
      </c>
      <c r="CO308" s="9">
        <f t="shared" si="158"/>
        <v>0</v>
      </c>
      <c r="CP308" s="8">
        <v>0</v>
      </c>
      <c r="CQ308" s="8">
        <v>0</v>
      </c>
      <c r="CR308" s="8">
        <v>0</v>
      </c>
      <c r="CS308" s="8">
        <v>0</v>
      </c>
      <c r="CT308" s="8">
        <v>0</v>
      </c>
      <c r="CU308" s="8">
        <v>0</v>
      </c>
      <c r="CV308" s="8">
        <v>0</v>
      </c>
      <c r="CW308" s="8">
        <v>0</v>
      </c>
      <c r="CX308" s="8">
        <v>0</v>
      </c>
      <c r="CY308" s="8">
        <v>0</v>
      </c>
      <c r="CZ308" s="8">
        <v>0</v>
      </c>
      <c r="DA308" s="8">
        <v>0</v>
      </c>
      <c r="DB308" s="9">
        <f t="shared" si="159"/>
        <v>0</v>
      </c>
      <c r="DC308" s="8">
        <v>0</v>
      </c>
      <c r="DD308" s="8">
        <v>0</v>
      </c>
      <c r="DE308" s="8">
        <v>0</v>
      </c>
      <c r="DF308" s="8">
        <v>0</v>
      </c>
      <c r="DG308" s="8">
        <v>0</v>
      </c>
      <c r="DH308" s="8">
        <v>0</v>
      </c>
      <c r="DI308" s="8">
        <v>0</v>
      </c>
      <c r="DJ308" s="8">
        <v>0</v>
      </c>
      <c r="DK308" s="8">
        <v>0</v>
      </c>
      <c r="DL308" s="8">
        <v>0</v>
      </c>
      <c r="DM308" s="8">
        <v>0</v>
      </c>
      <c r="DN308" s="8">
        <v>0</v>
      </c>
      <c r="DO308" s="9">
        <f t="shared" si="160"/>
        <v>0</v>
      </c>
      <c r="DP308" s="8">
        <v>0</v>
      </c>
      <c r="DQ308" s="8">
        <v>0</v>
      </c>
      <c r="DR308" s="8">
        <v>0</v>
      </c>
      <c r="DS308" s="8">
        <v>0</v>
      </c>
      <c r="DT308" s="8">
        <v>0</v>
      </c>
      <c r="DU308" s="8">
        <v>0</v>
      </c>
      <c r="DV308" s="8">
        <v>0</v>
      </c>
      <c r="DW308" s="8">
        <v>0</v>
      </c>
      <c r="DX308" s="8">
        <v>0</v>
      </c>
      <c r="DY308" s="8">
        <v>0</v>
      </c>
      <c r="DZ308" s="8">
        <v>0</v>
      </c>
      <c r="EA308" s="8">
        <v>0</v>
      </c>
      <c r="EB308" s="9">
        <f t="shared" si="161"/>
        <v>0</v>
      </c>
      <c r="EC308" s="8">
        <v>0</v>
      </c>
      <c r="ED308" s="8">
        <v>0</v>
      </c>
      <c r="EE308" s="8">
        <v>0</v>
      </c>
      <c r="EF308" s="8">
        <v>0</v>
      </c>
      <c r="EG308" s="8">
        <v>0</v>
      </c>
      <c r="EH308" s="8">
        <v>0</v>
      </c>
      <c r="EI308" s="8">
        <v>0</v>
      </c>
      <c r="EJ308" s="8">
        <v>0</v>
      </c>
      <c r="EK308" s="8">
        <v>0</v>
      </c>
      <c r="EL308" s="8">
        <v>0</v>
      </c>
      <c r="EM308" s="8">
        <v>0</v>
      </c>
      <c r="EN308" s="8">
        <v>0</v>
      </c>
      <c r="EO308" s="9">
        <f t="shared" si="162"/>
        <v>0</v>
      </c>
      <c r="EP308" s="8">
        <v>0</v>
      </c>
      <c r="EQ308" s="8">
        <v>0</v>
      </c>
      <c r="ER308" s="8">
        <v>0</v>
      </c>
      <c r="ES308" s="8">
        <v>0</v>
      </c>
      <c r="ET308" s="8">
        <v>0</v>
      </c>
      <c r="EU308" s="8">
        <v>0</v>
      </c>
      <c r="EV308" s="8">
        <v>0</v>
      </c>
      <c r="EW308" s="8">
        <v>0</v>
      </c>
      <c r="EX308" s="8">
        <v>0</v>
      </c>
      <c r="EY308" s="8">
        <v>0</v>
      </c>
      <c r="EZ308" s="8">
        <v>0</v>
      </c>
      <c r="FA308" s="8">
        <v>0</v>
      </c>
      <c r="FB308" s="9">
        <f t="shared" si="163"/>
        <v>0</v>
      </c>
      <c r="FC308" s="8">
        <v>0</v>
      </c>
      <c r="FD308" s="8">
        <v>0</v>
      </c>
      <c r="FE308" s="8">
        <v>0</v>
      </c>
      <c r="FF308" s="8">
        <v>0</v>
      </c>
      <c r="FG308" s="8">
        <v>0</v>
      </c>
      <c r="FH308" s="8">
        <v>0</v>
      </c>
      <c r="FI308" s="8">
        <v>0</v>
      </c>
      <c r="FJ308" s="8"/>
      <c r="FK308" s="8"/>
      <c r="FL308" s="8"/>
      <c r="FM308" s="8"/>
      <c r="FN308" s="8"/>
      <c r="FO308" s="9">
        <f t="shared" si="164"/>
        <v>0</v>
      </c>
    </row>
    <row r="309" spans="2:171" ht="14.25" customHeight="1" x14ac:dyDescent="0.3">
      <c r="B309" s="7" t="s">
        <v>50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9">
        <f t="shared" si="152"/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9">
        <f t="shared" si="153"/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9">
        <f t="shared" si="154"/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v>0</v>
      </c>
      <c r="AZ309" s="8">
        <v>0</v>
      </c>
      <c r="BA309" s="8">
        <v>0</v>
      </c>
      <c r="BB309" s="9">
        <f t="shared" si="155"/>
        <v>0</v>
      </c>
      <c r="BC309" s="8">
        <v>0</v>
      </c>
      <c r="BD309" s="8">
        <v>0</v>
      </c>
      <c r="BE309" s="8">
        <v>0</v>
      </c>
      <c r="BF309" s="8">
        <v>0</v>
      </c>
      <c r="BG309" s="8">
        <v>0</v>
      </c>
      <c r="BH309" s="8">
        <v>0</v>
      </c>
      <c r="BI309" s="8">
        <v>0</v>
      </c>
      <c r="BJ309" s="8">
        <v>0</v>
      </c>
      <c r="BK309" s="8">
        <v>0</v>
      </c>
      <c r="BL309" s="8">
        <v>0</v>
      </c>
      <c r="BM309" s="8">
        <v>0</v>
      </c>
      <c r="BN309" s="8">
        <v>0</v>
      </c>
      <c r="BO309" s="9">
        <f t="shared" si="156"/>
        <v>0</v>
      </c>
      <c r="BP309" s="8">
        <v>0</v>
      </c>
      <c r="BQ309" s="8">
        <v>0</v>
      </c>
      <c r="BR309" s="8">
        <v>0</v>
      </c>
      <c r="BS309" s="8">
        <v>0</v>
      </c>
      <c r="BT309" s="8">
        <v>0</v>
      </c>
      <c r="BU309" s="8">
        <v>0</v>
      </c>
      <c r="BV309" s="8">
        <v>0</v>
      </c>
      <c r="BW309" s="8">
        <v>0</v>
      </c>
      <c r="BX309" s="8">
        <v>0</v>
      </c>
      <c r="BY309" s="8">
        <v>0</v>
      </c>
      <c r="BZ309" s="8">
        <v>0</v>
      </c>
      <c r="CA309" s="8">
        <v>0</v>
      </c>
      <c r="CB309" s="9">
        <f t="shared" si="157"/>
        <v>0</v>
      </c>
      <c r="CC309" s="8">
        <v>0</v>
      </c>
      <c r="CD309" s="8">
        <v>0</v>
      </c>
      <c r="CE309" s="8">
        <v>0</v>
      </c>
      <c r="CF309" s="8">
        <v>0</v>
      </c>
      <c r="CG309" s="8">
        <v>0</v>
      </c>
      <c r="CH309" s="8">
        <v>0</v>
      </c>
      <c r="CI309" s="8">
        <v>0</v>
      </c>
      <c r="CJ309" s="8">
        <v>0</v>
      </c>
      <c r="CK309" s="8">
        <v>0</v>
      </c>
      <c r="CL309" s="8">
        <v>0</v>
      </c>
      <c r="CM309" s="8">
        <v>0</v>
      </c>
      <c r="CN309" s="8">
        <v>0</v>
      </c>
      <c r="CO309" s="9">
        <f t="shared" si="158"/>
        <v>0</v>
      </c>
      <c r="CP309" s="8">
        <v>0</v>
      </c>
      <c r="CQ309" s="8">
        <v>0</v>
      </c>
      <c r="CR309" s="8">
        <v>0</v>
      </c>
      <c r="CS309" s="8">
        <v>0</v>
      </c>
      <c r="CT309" s="8">
        <v>0</v>
      </c>
      <c r="CU309" s="8">
        <v>0</v>
      </c>
      <c r="CV309" s="8">
        <v>0</v>
      </c>
      <c r="CW309" s="8">
        <v>0</v>
      </c>
      <c r="CX309" s="8">
        <v>0</v>
      </c>
      <c r="CY309" s="8">
        <v>0</v>
      </c>
      <c r="CZ309" s="8">
        <v>0</v>
      </c>
      <c r="DA309" s="8">
        <v>0</v>
      </c>
      <c r="DB309" s="9">
        <f t="shared" si="159"/>
        <v>0</v>
      </c>
      <c r="DC309" s="8">
        <v>0</v>
      </c>
      <c r="DD309" s="8">
        <v>0</v>
      </c>
      <c r="DE309" s="8">
        <v>0</v>
      </c>
      <c r="DF309" s="8">
        <v>0</v>
      </c>
      <c r="DG309" s="8">
        <v>0</v>
      </c>
      <c r="DH309" s="8">
        <v>0</v>
      </c>
      <c r="DI309" s="8">
        <v>0</v>
      </c>
      <c r="DJ309" s="8">
        <v>0</v>
      </c>
      <c r="DK309" s="8">
        <v>0</v>
      </c>
      <c r="DL309" s="8">
        <v>0</v>
      </c>
      <c r="DM309" s="8">
        <v>0</v>
      </c>
      <c r="DN309" s="8">
        <v>0</v>
      </c>
      <c r="DO309" s="9">
        <f t="shared" si="160"/>
        <v>0</v>
      </c>
      <c r="DP309" s="8">
        <v>0</v>
      </c>
      <c r="DQ309" s="8">
        <v>0</v>
      </c>
      <c r="DR309" s="8">
        <v>0</v>
      </c>
      <c r="DS309" s="8">
        <v>0</v>
      </c>
      <c r="DT309" s="8">
        <v>0</v>
      </c>
      <c r="DU309" s="8">
        <v>0</v>
      </c>
      <c r="DV309" s="8">
        <v>0</v>
      </c>
      <c r="DW309" s="8">
        <v>0</v>
      </c>
      <c r="DX309" s="8">
        <v>0</v>
      </c>
      <c r="DY309" s="8">
        <v>0</v>
      </c>
      <c r="DZ309" s="8">
        <v>0</v>
      </c>
      <c r="EA309" s="8">
        <v>0</v>
      </c>
      <c r="EB309" s="9">
        <f t="shared" si="161"/>
        <v>0</v>
      </c>
      <c r="EC309" s="8">
        <v>0</v>
      </c>
      <c r="ED309" s="8">
        <v>0</v>
      </c>
      <c r="EE309" s="8">
        <v>0</v>
      </c>
      <c r="EF309" s="8">
        <v>0</v>
      </c>
      <c r="EG309" s="8">
        <v>0</v>
      </c>
      <c r="EH309" s="8">
        <v>0</v>
      </c>
      <c r="EI309" s="8">
        <v>0</v>
      </c>
      <c r="EJ309" s="8">
        <v>0</v>
      </c>
      <c r="EK309" s="8">
        <v>0</v>
      </c>
      <c r="EL309" s="8">
        <v>0</v>
      </c>
      <c r="EM309" s="8">
        <v>0</v>
      </c>
      <c r="EN309" s="8">
        <v>0</v>
      </c>
      <c r="EO309" s="9">
        <f t="shared" si="162"/>
        <v>0</v>
      </c>
      <c r="EP309" s="8">
        <v>0</v>
      </c>
      <c r="EQ309" s="8">
        <v>0</v>
      </c>
      <c r="ER309" s="8">
        <v>0</v>
      </c>
      <c r="ES309" s="8">
        <v>0</v>
      </c>
      <c r="ET309" s="8">
        <v>0</v>
      </c>
      <c r="EU309" s="8">
        <v>0</v>
      </c>
      <c r="EV309" s="8">
        <v>0</v>
      </c>
      <c r="EW309" s="8">
        <v>0</v>
      </c>
      <c r="EX309" s="8">
        <v>0</v>
      </c>
      <c r="EY309" s="8">
        <v>0</v>
      </c>
      <c r="EZ309" s="8">
        <v>0</v>
      </c>
      <c r="FA309" s="8">
        <v>0</v>
      </c>
      <c r="FB309" s="9">
        <f t="shared" si="163"/>
        <v>0</v>
      </c>
      <c r="FC309" s="8">
        <v>0</v>
      </c>
      <c r="FD309" s="8">
        <v>0</v>
      </c>
      <c r="FE309" s="8">
        <v>0</v>
      </c>
      <c r="FF309" s="8">
        <v>0</v>
      </c>
      <c r="FG309" s="8">
        <v>0</v>
      </c>
      <c r="FH309" s="8">
        <v>0</v>
      </c>
      <c r="FI309" s="8">
        <v>0</v>
      </c>
      <c r="FJ309" s="8"/>
      <c r="FK309" s="8"/>
      <c r="FL309" s="8"/>
      <c r="FM309" s="8"/>
      <c r="FN309" s="8"/>
      <c r="FO309" s="9">
        <f t="shared" si="164"/>
        <v>0</v>
      </c>
    </row>
    <row r="310" spans="2:171" ht="14.25" customHeight="1" x14ac:dyDescent="0.3">
      <c r="B310" s="7" t="s">
        <v>51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9">
        <f t="shared" si="152"/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9">
        <f t="shared" si="153"/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9">
        <f t="shared" si="154"/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v>0</v>
      </c>
      <c r="AZ310" s="8">
        <v>0</v>
      </c>
      <c r="BA310" s="8">
        <v>0</v>
      </c>
      <c r="BB310" s="9">
        <f t="shared" si="155"/>
        <v>0</v>
      </c>
      <c r="BC310" s="8">
        <v>0</v>
      </c>
      <c r="BD310" s="8">
        <v>0</v>
      </c>
      <c r="BE310" s="8">
        <v>0</v>
      </c>
      <c r="BF310" s="8">
        <v>0</v>
      </c>
      <c r="BG310" s="8">
        <v>0</v>
      </c>
      <c r="BH310" s="8">
        <v>0</v>
      </c>
      <c r="BI310" s="8">
        <v>0</v>
      </c>
      <c r="BJ310" s="8">
        <v>0</v>
      </c>
      <c r="BK310" s="8">
        <v>0</v>
      </c>
      <c r="BL310" s="8">
        <v>0</v>
      </c>
      <c r="BM310" s="8">
        <v>0</v>
      </c>
      <c r="BN310" s="8">
        <v>0</v>
      </c>
      <c r="BO310" s="9">
        <f t="shared" si="156"/>
        <v>0</v>
      </c>
      <c r="BP310" s="8">
        <v>0</v>
      </c>
      <c r="BQ310" s="8">
        <v>0</v>
      </c>
      <c r="BR310" s="8">
        <v>0</v>
      </c>
      <c r="BS310" s="8">
        <v>0</v>
      </c>
      <c r="BT310" s="8">
        <v>0</v>
      </c>
      <c r="BU310" s="8">
        <v>0</v>
      </c>
      <c r="BV310" s="8">
        <v>0</v>
      </c>
      <c r="BW310" s="8">
        <v>0</v>
      </c>
      <c r="BX310" s="8">
        <v>0</v>
      </c>
      <c r="BY310" s="8">
        <v>0</v>
      </c>
      <c r="BZ310" s="8">
        <v>0</v>
      </c>
      <c r="CA310" s="8">
        <v>0</v>
      </c>
      <c r="CB310" s="9">
        <f t="shared" si="157"/>
        <v>0</v>
      </c>
      <c r="CC310" s="8">
        <v>0</v>
      </c>
      <c r="CD310" s="8">
        <v>0</v>
      </c>
      <c r="CE310" s="8">
        <v>0</v>
      </c>
      <c r="CF310" s="8">
        <v>0</v>
      </c>
      <c r="CG310" s="8">
        <v>0</v>
      </c>
      <c r="CH310" s="8">
        <v>0</v>
      </c>
      <c r="CI310" s="8">
        <v>0</v>
      </c>
      <c r="CJ310" s="8">
        <v>0</v>
      </c>
      <c r="CK310" s="8">
        <v>0</v>
      </c>
      <c r="CL310" s="8">
        <v>0</v>
      </c>
      <c r="CM310" s="8">
        <v>0</v>
      </c>
      <c r="CN310" s="8">
        <v>0</v>
      </c>
      <c r="CO310" s="9">
        <f t="shared" si="158"/>
        <v>0</v>
      </c>
      <c r="CP310" s="8">
        <v>0</v>
      </c>
      <c r="CQ310" s="8">
        <v>0</v>
      </c>
      <c r="CR310" s="8">
        <v>0</v>
      </c>
      <c r="CS310" s="8">
        <v>0</v>
      </c>
      <c r="CT310" s="8">
        <v>0</v>
      </c>
      <c r="CU310" s="8">
        <v>0</v>
      </c>
      <c r="CV310" s="8">
        <v>0</v>
      </c>
      <c r="CW310" s="8">
        <v>0</v>
      </c>
      <c r="CX310" s="8">
        <v>0</v>
      </c>
      <c r="CY310" s="8">
        <v>0</v>
      </c>
      <c r="CZ310" s="8">
        <v>0</v>
      </c>
      <c r="DA310" s="8">
        <v>0</v>
      </c>
      <c r="DB310" s="9">
        <f t="shared" si="159"/>
        <v>0</v>
      </c>
      <c r="DC310" s="8">
        <v>0</v>
      </c>
      <c r="DD310" s="8">
        <v>0</v>
      </c>
      <c r="DE310" s="8">
        <v>0</v>
      </c>
      <c r="DF310" s="8">
        <v>0</v>
      </c>
      <c r="DG310" s="8">
        <v>0</v>
      </c>
      <c r="DH310" s="8">
        <v>0</v>
      </c>
      <c r="DI310" s="8">
        <v>0</v>
      </c>
      <c r="DJ310" s="8">
        <v>0</v>
      </c>
      <c r="DK310" s="8">
        <v>0</v>
      </c>
      <c r="DL310" s="8">
        <v>0</v>
      </c>
      <c r="DM310" s="8">
        <v>0</v>
      </c>
      <c r="DN310" s="8">
        <v>0</v>
      </c>
      <c r="DO310" s="9">
        <f t="shared" si="160"/>
        <v>0</v>
      </c>
      <c r="DP310" s="8">
        <v>0</v>
      </c>
      <c r="DQ310" s="8">
        <v>0</v>
      </c>
      <c r="DR310" s="8">
        <v>0</v>
      </c>
      <c r="DS310" s="8">
        <v>0</v>
      </c>
      <c r="DT310" s="8">
        <v>0</v>
      </c>
      <c r="DU310" s="8">
        <v>0</v>
      </c>
      <c r="DV310" s="8">
        <v>0</v>
      </c>
      <c r="DW310" s="8">
        <v>0</v>
      </c>
      <c r="DX310" s="8">
        <v>0</v>
      </c>
      <c r="DY310" s="8">
        <v>0</v>
      </c>
      <c r="DZ310" s="8">
        <v>0</v>
      </c>
      <c r="EA310" s="8">
        <v>0</v>
      </c>
      <c r="EB310" s="9">
        <f t="shared" si="161"/>
        <v>0</v>
      </c>
      <c r="EC310" s="8">
        <v>0</v>
      </c>
      <c r="ED310" s="8">
        <v>0</v>
      </c>
      <c r="EE310" s="8">
        <v>0</v>
      </c>
      <c r="EF310" s="8">
        <v>0</v>
      </c>
      <c r="EG310" s="8">
        <v>0</v>
      </c>
      <c r="EH310" s="8">
        <v>0</v>
      </c>
      <c r="EI310" s="8">
        <v>0</v>
      </c>
      <c r="EJ310" s="8">
        <v>0</v>
      </c>
      <c r="EK310" s="8">
        <v>0</v>
      </c>
      <c r="EL310" s="8">
        <v>0</v>
      </c>
      <c r="EM310" s="8">
        <v>0</v>
      </c>
      <c r="EN310" s="8">
        <v>0</v>
      </c>
      <c r="EO310" s="9">
        <f t="shared" si="162"/>
        <v>0</v>
      </c>
      <c r="EP310" s="8">
        <v>0</v>
      </c>
      <c r="EQ310" s="8">
        <v>0</v>
      </c>
      <c r="ER310" s="8">
        <v>0</v>
      </c>
      <c r="ES310" s="8">
        <v>0</v>
      </c>
      <c r="ET310" s="8">
        <v>0</v>
      </c>
      <c r="EU310" s="8">
        <v>0</v>
      </c>
      <c r="EV310" s="8">
        <v>0</v>
      </c>
      <c r="EW310" s="8">
        <v>0</v>
      </c>
      <c r="EX310" s="8">
        <v>0</v>
      </c>
      <c r="EY310" s="8">
        <v>0</v>
      </c>
      <c r="EZ310" s="8">
        <v>0</v>
      </c>
      <c r="FA310" s="8">
        <v>0</v>
      </c>
      <c r="FB310" s="9">
        <f t="shared" si="163"/>
        <v>0</v>
      </c>
      <c r="FC310" s="8">
        <v>0</v>
      </c>
      <c r="FD310" s="8">
        <v>0</v>
      </c>
      <c r="FE310" s="8">
        <v>0</v>
      </c>
      <c r="FF310" s="8">
        <v>0</v>
      </c>
      <c r="FG310" s="8">
        <v>0</v>
      </c>
      <c r="FH310" s="8">
        <v>0</v>
      </c>
      <c r="FI310" s="8">
        <v>0</v>
      </c>
      <c r="FJ310" s="8"/>
      <c r="FK310" s="8"/>
      <c r="FL310" s="8"/>
      <c r="FM310" s="8"/>
      <c r="FN310" s="8"/>
      <c r="FO310" s="9">
        <f t="shared" si="164"/>
        <v>0</v>
      </c>
    </row>
    <row r="311" spans="2:171" ht="14.25" customHeight="1" x14ac:dyDescent="0.3">
      <c r="B311" s="7" t="s">
        <v>52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9">
        <f t="shared" si="152"/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0</v>
      </c>
      <c r="Y311" s="8">
        <v>0</v>
      </c>
      <c r="Z311" s="8">
        <v>0</v>
      </c>
      <c r="AA311" s="8">
        <v>0</v>
      </c>
      <c r="AB311" s="9">
        <f t="shared" si="153"/>
        <v>0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9">
        <f t="shared" si="154"/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v>0</v>
      </c>
      <c r="AZ311" s="8">
        <v>0</v>
      </c>
      <c r="BA311" s="8">
        <v>0</v>
      </c>
      <c r="BB311" s="9">
        <f t="shared" si="155"/>
        <v>0</v>
      </c>
      <c r="BC311" s="8">
        <v>0</v>
      </c>
      <c r="BD311" s="8">
        <v>0</v>
      </c>
      <c r="BE311" s="8">
        <v>0</v>
      </c>
      <c r="BF311" s="8">
        <v>0</v>
      </c>
      <c r="BG311" s="8">
        <v>0</v>
      </c>
      <c r="BH311" s="8">
        <v>0</v>
      </c>
      <c r="BI311" s="8">
        <v>0</v>
      </c>
      <c r="BJ311" s="8">
        <v>0</v>
      </c>
      <c r="BK311" s="8">
        <v>0</v>
      </c>
      <c r="BL311" s="8">
        <v>0</v>
      </c>
      <c r="BM311" s="8">
        <v>0</v>
      </c>
      <c r="BN311" s="8">
        <v>0</v>
      </c>
      <c r="BO311" s="9">
        <f t="shared" si="156"/>
        <v>0</v>
      </c>
      <c r="BP311" s="8">
        <v>0</v>
      </c>
      <c r="BQ311" s="8">
        <v>0</v>
      </c>
      <c r="BR311" s="8">
        <v>0</v>
      </c>
      <c r="BS311" s="8">
        <v>0</v>
      </c>
      <c r="BT311" s="8">
        <v>0</v>
      </c>
      <c r="BU311" s="8">
        <v>0</v>
      </c>
      <c r="BV311" s="8">
        <v>0</v>
      </c>
      <c r="BW311" s="8">
        <v>0</v>
      </c>
      <c r="BX311" s="8">
        <v>0</v>
      </c>
      <c r="BY311" s="8">
        <v>0</v>
      </c>
      <c r="BZ311" s="8">
        <v>0</v>
      </c>
      <c r="CA311" s="8">
        <v>0</v>
      </c>
      <c r="CB311" s="9">
        <f t="shared" si="157"/>
        <v>0</v>
      </c>
      <c r="CC311" s="8">
        <v>0</v>
      </c>
      <c r="CD311" s="8">
        <v>0</v>
      </c>
      <c r="CE311" s="8">
        <v>0</v>
      </c>
      <c r="CF311" s="8">
        <v>0</v>
      </c>
      <c r="CG311" s="8">
        <v>0</v>
      </c>
      <c r="CH311" s="8">
        <v>0</v>
      </c>
      <c r="CI311" s="8">
        <v>0</v>
      </c>
      <c r="CJ311" s="8">
        <v>0</v>
      </c>
      <c r="CK311" s="8">
        <v>0</v>
      </c>
      <c r="CL311" s="8">
        <v>0</v>
      </c>
      <c r="CM311" s="8">
        <v>0</v>
      </c>
      <c r="CN311" s="8">
        <v>0</v>
      </c>
      <c r="CO311" s="9">
        <f t="shared" si="158"/>
        <v>0</v>
      </c>
      <c r="CP311" s="8">
        <v>0</v>
      </c>
      <c r="CQ311" s="8">
        <v>0</v>
      </c>
      <c r="CR311" s="8">
        <v>0</v>
      </c>
      <c r="CS311" s="8">
        <v>0</v>
      </c>
      <c r="CT311" s="8">
        <v>0</v>
      </c>
      <c r="CU311" s="8">
        <v>0</v>
      </c>
      <c r="CV311" s="8">
        <v>0</v>
      </c>
      <c r="CW311" s="8">
        <v>0</v>
      </c>
      <c r="CX311" s="8">
        <v>0</v>
      </c>
      <c r="CY311" s="8">
        <v>0</v>
      </c>
      <c r="CZ311" s="8">
        <v>0</v>
      </c>
      <c r="DA311" s="8">
        <v>0</v>
      </c>
      <c r="DB311" s="9">
        <f t="shared" si="159"/>
        <v>0</v>
      </c>
      <c r="DC311" s="8">
        <v>0</v>
      </c>
      <c r="DD311" s="8">
        <v>0</v>
      </c>
      <c r="DE311" s="8">
        <v>0</v>
      </c>
      <c r="DF311" s="8">
        <v>0</v>
      </c>
      <c r="DG311" s="8">
        <v>0</v>
      </c>
      <c r="DH311" s="8">
        <v>0</v>
      </c>
      <c r="DI311" s="8">
        <v>0</v>
      </c>
      <c r="DJ311" s="8">
        <v>0</v>
      </c>
      <c r="DK311" s="8">
        <v>0</v>
      </c>
      <c r="DL311" s="8">
        <v>0</v>
      </c>
      <c r="DM311" s="8">
        <v>0</v>
      </c>
      <c r="DN311" s="8">
        <v>0</v>
      </c>
      <c r="DO311" s="9">
        <f t="shared" si="160"/>
        <v>0</v>
      </c>
      <c r="DP311" s="8">
        <v>0</v>
      </c>
      <c r="DQ311" s="8">
        <v>0</v>
      </c>
      <c r="DR311" s="8">
        <v>0</v>
      </c>
      <c r="DS311" s="8">
        <v>0</v>
      </c>
      <c r="DT311" s="8">
        <v>0</v>
      </c>
      <c r="DU311" s="8">
        <v>0</v>
      </c>
      <c r="DV311" s="8">
        <v>0</v>
      </c>
      <c r="DW311" s="8">
        <v>0</v>
      </c>
      <c r="DX311" s="8">
        <v>0</v>
      </c>
      <c r="DY311" s="8">
        <v>0</v>
      </c>
      <c r="DZ311" s="8">
        <v>0</v>
      </c>
      <c r="EA311" s="8">
        <v>0</v>
      </c>
      <c r="EB311" s="9">
        <f t="shared" si="161"/>
        <v>0</v>
      </c>
      <c r="EC311" s="8">
        <v>0</v>
      </c>
      <c r="ED311" s="8">
        <v>0</v>
      </c>
      <c r="EE311" s="8">
        <v>0</v>
      </c>
      <c r="EF311" s="8">
        <v>0</v>
      </c>
      <c r="EG311" s="8">
        <v>0</v>
      </c>
      <c r="EH311" s="8">
        <v>0</v>
      </c>
      <c r="EI311" s="8">
        <v>0</v>
      </c>
      <c r="EJ311" s="8">
        <v>0</v>
      </c>
      <c r="EK311" s="8">
        <v>0</v>
      </c>
      <c r="EL311" s="8">
        <v>0</v>
      </c>
      <c r="EM311" s="8">
        <v>0</v>
      </c>
      <c r="EN311" s="8">
        <v>0</v>
      </c>
      <c r="EO311" s="9">
        <f t="shared" si="162"/>
        <v>0</v>
      </c>
      <c r="EP311" s="8">
        <v>0</v>
      </c>
      <c r="EQ311" s="8">
        <v>0</v>
      </c>
      <c r="ER311" s="8">
        <v>0</v>
      </c>
      <c r="ES311" s="8">
        <v>0</v>
      </c>
      <c r="ET311" s="8">
        <v>0</v>
      </c>
      <c r="EU311" s="8">
        <v>0</v>
      </c>
      <c r="EV311" s="8">
        <v>0</v>
      </c>
      <c r="EW311" s="8">
        <v>0</v>
      </c>
      <c r="EX311" s="8">
        <v>0</v>
      </c>
      <c r="EY311" s="8">
        <v>0</v>
      </c>
      <c r="EZ311" s="8">
        <v>0</v>
      </c>
      <c r="FA311" s="8">
        <v>0</v>
      </c>
      <c r="FB311" s="9">
        <f t="shared" si="163"/>
        <v>0</v>
      </c>
      <c r="FC311" s="8">
        <v>0</v>
      </c>
      <c r="FD311" s="8">
        <v>0</v>
      </c>
      <c r="FE311" s="8">
        <v>0</v>
      </c>
      <c r="FF311" s="8">
        <v>0</v>
      </c>
      <c r="FG311" s="8">
        <v>0</v>
      </c>
      <c r="FH311" s="8">
        <v>0</v>
      </c>
      <c r="FI311" s="8">
        <v>0</v>
      </c>
      <c r="FJ311" s="8"/>
      <c r="FK311" s="8"/>
      <c r="FL311" s="8"/>
      <c r="FM311" s="8"/>
      <c r="FN311" s="8"/>
      <c r="FO311" s="9">
        <f t="shared" si="164"/>
        <v>0</v>
      </c>
    </row>
    <row r="312" spans="2:171" ht="14.25" customHeight="1" x14ac:dyDescent="0.3">
      <c r="B312" s="7" t="s">
        <v>53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9">
        <f t="shared" si="152"/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9">
        <f t="shared" si="153"/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9">
        <f t="shared" si="154"/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v>0</v>
      </c>
      <c r="AZ312" s="8">
        <v>0</v>
      </c>
      <c r="BA312" s="8">
        <v>0</v>
      </c>
      <c r="BB312" s="9">
        <f t="shared" si="155"/>
        <v>0</v>
      </c>
      <c r="BC312" s="8">
        <v>0</v>
      </c>
      <c r="BD312" s="8">
        <v>0</v>
      </c>
      <c r="BE312" s="8">
        <v>0</v>
      </c>
      <c r="BF312" s="8">
        <v>0</v>
      </c>
      <c r="BG312" s="8">
        <v>0</v>
      </c>
      <c r="BH312" s="8">
        <v>0</v>
      </c>
      <c r="BI312" s="8">
        <v>0</v>
      </c>
      <c r="BJ312" s="8">
        <v>0</v>
      </c>
      <c r="BK312" s="8">
        <v>0</v>
      </c>
      <c r="BL312" s="8">
        <v>0</v>
      </c>
      <c r="BM312" s="8">
        <v>0</v>
      </c>
      <c r="BN312" s="8">
        <v>0</v>
      </c>
      <c r="BO312" s="9">
        <f t="shared" si="156"/>
        <v>0</v>
      </c>
      <c r="BP312" s="8">
        <v>0</v>
      </c>
      <c r="BQ312" s="8">
        <v>0</v>
      </c>
      <c r="BR312" s="8">
        <v>0</v>
      </c>
      <c r="BS312" s="8">
        <v>0</v>
      </c>
      <c r="BT312" s="8">
        <v>0</v>
      </c>
      <c r="BU312" s="8">
        <v>0</v>
      </c>
      <c r="BV312" s="8">
        <v>0</v>
      </c>
      <c r="BW312" s="8">
        <v>0</v>
      </c>
      <c r="BX312" s="8">
        <v>0</v>
      </c>
      <c r="BY312" s="8">
        <v>0</v>
      </c>
      <c r="BZ312" s="8">
        <v>0</v>
      </c>
      <c r="CA312" s="8">
        <v>0</v>
      </c>
      <c r="CB312" s="9">
        <f t="shared" si="157"/>
        <v>0</v>
      </c>
      <c r="CC312" s="8">
        <v>0</v>
      </c>
      <c r="CD312" s="8">
        <v>0</v>
      </c>
      <c r="CE312" s="8">
        <v>0</v>
      </c>
      <c r="CF312" s="8">
        <v>0</v>
      </c>
      <c r="CG312" s="8">
        <v>0</v>
      </c>
      <c r="CH312" s="8">
        <v>0</v>
      </c>
      <c r="CI312" s="8">
        <v>0</v>
      </c>
      <c r="CJ312" s="8">
        <v>0</v>
      </c>
      <c r="CK312" s="8">
        <v>0</v>
      </c>
      <c r="CL312" s="8">
        <v>0</v>
      </c>
      <c r="CM312" s="8">
        <v>0</v>
      </c>
      <c r="CN312" s="8">
        <v>0</v>
      </c>
      <c r="CO312" s="9">
        <f t="shared" si="158"/>
        <v>0</v>
      </c>
      <c r="CP312" s="8">
        <v>0</v>
      </c>
      <c r="CQ312" s="8">
        <v>0</v>
      </c>
      <c r="CR312" s="8">
        <v>0</v>
      </c>
      <c r="CS312" s="8">
        <v>0</v>
      </c>
      <c r="CT312" s="8">
        <v>0</v>
      </c>
      <c r="CU312" s="8">
        <v>0</v>
      </c>
      <c r="CV312" s="8">
        <v>0</v>
      </c>
      <c r="CW312" s="8">
        <v>0</v>
      </c>
      <c r="CX312" s="8">
        <v>0</v>
      </c>
      <c r="CY312" s="8">
        <v>0</v>
      </c>
      <c r="CZ312" s="8">
        <v>0</v>
      </c>
      <c r="DA312" s="8">
        <v>0</v>
      </c>
      <c r="DB312" s="9">
        <f t="shared" si="159"/>
        <v>0</v>
      </c>
      <c r="DC312" s="8">
        <v>0</v>
      </c>
      <c r="DD312" s="8">
        <v>0</v>
      </c>
      <c r="DE312" s="8">
        <v>0</v>
      </c>
      <c r="DF312" s="8">
        <v>0</v>
      </c>
      <c r="DG312" s="8">
        <v>0</v>
      </c>
      <c r="DH312" s="8">
        <v>0</v>
      </c>
      <c r="DI312" s="8">
        <v>0</v>
      </c>
      <c r="DJ312" s="8">
        <v>0</v>
      </c>
      <c r="DK312" s="8">
        <v>0</v>
      </c>
      <c r="DL312" s="8">
        <v>0</v>
      </c>
      <c r="DM312" s="8">
        <v>0</v>
      </c>
      <c r="DN312" s="8">
        <v>0</v>
      </c>
      <c r="DO312" s="9">
        <f t="shared" si="160"/>
        <v>0</v>
      </c>
      <c r="DP312" s="8">
        <v>0</v>
      </c>
      <c r="DQ312" s="8">
        <v>0</v>
      </c>
      <c r="DR312" s="8">
        <v>0</v>
      </c>
      <c r="DS312" s="8">
        <v>0</v>
      </c>
      <c r="DT312" s="8">
        <v>0</v>
      </c>
      <c r="DU312" s="8">
        <v>0</v>
      </c>
      <c r="DV312" s="8">
        <v>0</v>
      </c>
      <c r="DW312" s="8">
        <v>0</v>
      </c>
      <c r="DX312" s="8">
        <v>0</v>
      </c>
      <c r="DY312" s="8">
        <v>0</v>
      </c>
      <c r="DZ312" s="8">
        <v>0</v>
      </c>
      <c r="EA312" s="8">
        <v>0</v>
      </c>
      <c r="EB312" s="9">
        <f t="shared" si="161"/>
        <v>0</v>
      </c>
      <c r="EC312" s="8">
        <v>0</v>
      </c>
      <c r="ED312" s="8">
        <v>0</v>
      </c>
      <c r="EE312" s="8">
        <v>0</v>
      </c>
      <c r="EF312" s="8">
        <v>0</v>
      </c>
      <c r="EG312" s="8">
        <v>0</v>
      </c>
      <c r="EH312" s="8">
        <v>0</v>
      </c>
      <c r="EI312" s="8">
        <v>0</v>
      </c>
      <c r="EJ312" s="8">
        <v>0</v>
      </c>
      <c r="EK312" s="8">
        <v>0</v>
      </c>
      <c r="EL312" s="8">
        <v>0</v>
      </c>
      <c r="EM312" s="8">
        <v>0</v>
      </c>
      <c r="EN312" s="8">
        <v>0</v>
      </c>
      <c r="EO312" s="9">
        <f t="shared" si="162"/>
        <v>0</v>
      </c>
      <c r="EP312" s="8">
        <v>0</v>
      </c>
      <c r="EQ312" s="8">
        <v>0</v>
      </c>
      <c r="ER312" s="8">
        <v>0</v>
      </c>
      <c r="ES312" s="8">
        <v>0</v>
      </c>
      <c r="ET312" s="8">
        <v>0</v>
      </c>
      <c r="EU312" s="8">
        <v>0</v>
      </c>
      <c r="EV312" s="8">
        <v>0</v>
      </c>
      <c r="EW312" s="8">
        <v>0</v>
      </c>
      <c r="EX312" s="8">
        <v>0</v>
      </c>
      <c r="EY312" s="8">
        <v>0</v>
      </c>
      <c r="EZ312" s="8">
        <v>0</v>
      </c>
      <c r="FA312" s="8">
        <v>0</v>
      </c>
      <c r="FB312" s="9">
        <f t="shared" si="163"/>
        <v>0</v>
      </c>
      <c r="FC312" s="8">
        <v>0</v>
      </c>
      <c r="FD312" s="8">
        <v>0</v>
      </c>
      <c r="FE312" s="8">
        <v>0</v>
      </c>
      <c r="FF312" s="8">
        <v>0</v>
      </c>
      <c r="FG312" s="8">
        <v>0</v>
      </c>
      <c r="FH312" s="8">
        <v>0</v>
      </c>
      <c r="FI312" s="8">
        <v>0</v>
      </c>
      <c r="FJ312" s="8"/>
      <c r="FK312" s="8"/>
      <c r="FL312" s="8"/>
      <c r="FM312" s="8"/>
      <c r="FN312" s="8"/>
      <c r="FO312" s="9">
        <f t="shared" si="164"/>
        <v>0</v>
      </c>
    </row>
    <row r="313" spans="2:171" ht="14.25" customHeight="1" x14ac:dyDescent="0.3">
      <c r="B313" s="7" t="s">
        <v>54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9">
        <f t="shared" si="152"/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9">
        <f t="shared" si="153"/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9">
        <f t="shared" si="154"/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v>0</v>
      </c>
      <c r="AZ313" s="8">
        <v>0</v>
      </c>
      <c r="BA313" s="8">
        <v>0</v>
      </c>
      <c r="BB313" s="9">
        <f t="shared" si="155"/>
        <v>0</v>
      </c>
      <c r="BC313" s="8">
        <v>0</v>
      </c>
      <c r="BD313" s="8">
        <v>0</v>
      </c>
      <c r="BE313" s="8">
        <v>0</v>
      </c>
      <c r="BF313" s="8">
        <v>0</v>
      </c>
      <c r="BG313" s="8">
        <v>0</v>
      </c>
      <c r="BH313" s="8">
        <v>0</v>
      </c>
      <c r="BI313" s="8">
        <v>0</v>
      </c>
      <c r="BJ313" s="8">
        <v>0</v>
      </c>
      <c r="BK313" s="8">
        <v>0</v>
      </c>
      <c r="BL313" s="8">
        <v>0</v>
      </c>
      <c r="BM313" s="8">
        <v>0</v>
      </c>
      <c r="BN313" s="8">
        <v>0</v>
      </c>
      <c r="BO313" s="9">
        <f t="shared" si="156"/>
        <v>0</v>
      </c>
      <c r="BP313" s="8">
        <v>0</v>
      </c>
      <c r="BQ313" s="8">
        <v>0</v>
      </c>
      <c r="BR313" s="8">
        <v>0</v>
      </c>
      <c r="BS313" s="8">
        <v>0</v>
      </c>
      <c r="BT313" s="8">
        <v>0</v>
      </c>
      <c r="BU313" s="8">
        <v>0</v>
      </c>
      <c r="BV313" s="8">
        <v>0</v>
      </c>
      <c r="BW313" s="8">
        <v>0</v>
      </c>
      <c r="BX313" s="8">
        <v>0</v>
      </c>
      <c r="BY313" s="8">
        <v>0</v>
      </c>
      <c r="BZ313" s="8">
        <v>0</v>
      </c>
      <c r="CA313" s="8">
        <v>0</v>
      </c>
      <c r="CB313" s="9">
        <f t="shared" si="157"/>
        <v>0</v>
      </c>
      <c r="CC313" s="8">
        <v>0</v>
      </c>
      <c r="CD313" s="8">
        <v>0</v>
      </c>
      <c r="CE313" s="8">
        <v>0</v>
      </c>
      <c r="CF313" s="8">
        <v>0</v>
      </c>
      <c r="CG313" s="8">
        <v>0</v>
      </c>
      <c r="CH313" s="8">
        <v>0</v>
      </c>
      <c r="CI313" s="8">
        <v>0</v>
      </c>
      <c r="CJ313" s="8">
        <v>0</v>
      </c>
      <c r="CK313" s="8">
        <v>0</v>
      </c>
      <c r="CL313" s="8">
        <v>0</v>
      </c>
      <c r="CM313" s="8">
        <v>0</v>
      </c>
      <c r="CN313" s="8">
        <v>0</v>
      </c>
      <c r="CO313" s="9">
        <f t="shared" si="158"/>
        <v>0</v>
      </c>
      <c r="CP313" s="8">
        <v>0</v>
      </c>
      <c r="CQ313" s="8">
        <v>0</v>
      </c>
      <c r="CR313" s="8">
        <v>0</v>
      </c>
      <c r="CS313" s="8">
        <v>0</v>
      </c>
      <c r="CT313" s="8">
        <v>0</v>
      </c>
      <c r="CU313" s="8">
        <v>0</v>
      </c>
      <c r="CV313" s="8">
        <v>0</v>
      </c>
      <c r="CW313" s="8">
        <v>0</v>
      </c>
      <c r="CX313" s="8">
        <v>0</v>
      </c>
      <c r="CY313" s="8">
        <v>0</v>
      </c>
      <c r="CZ313" s="8">
        <v>0</v>
      </c>
      <c r="DA313" s="8">
        <v>0</v>
      </c>
      <c r="DB313" s="9">
        <f t="shared" si="159"/>
        <v>0</v>
      </c>
      <c r="DC313" s="8">
        <v>0</v>
      </c>
      <c r="DD313" s="8">
        <v>0</v>
      </c>
      <c r="DE313" s="8">
        <v>0</v>
      </c>
      <c r="DF313" s="8">
        <v>0</v>
      </c>
      <c r="DG313" s="8">
        <v>0</v>
      </c>
      <c r="DH313" s="8">
        <v>0</v>
      </c>
      <c r="DI313" s="8">
        <v>0</v>
      </c>
      <c r="DJ313" s="8">
        <v>0</v>
      </c>
      <c r="DK313" s="8">
        <v>0</v>
      </c>
      <c r="DL313" s="8">
        <v>0</v>
      </c>
      <c r="DM313" s="8">
        <v>0</v>
      </c>
      <c r="DN313" s="8">
        <v>0</v>
      </c>
      <c r="DO313" s="9">
        <f t="shared" si="160"/>
        <v>0</v>
      </c>
      <c r="DP313" s="8">
        <v>0</v>
      </c>
      <c r="DQ313" s="8">
        <v>0</v>
      </c>
      <c r="DR313" s="8">
        <v>0</v>
      </c>
      <c r="DS313" s="8">
        <v>0</v>
      </c>
      <c r="DT313" s="8">
        <v>0</v>
      </c>
      <c r="DU313" s="8">
        <v>0</v>
      </c>
      <c r="DV313" s="8">
        <v>0</v>
      </c>
      <c r="DW313" s="8">
        <v>0</v>
      </c>
      <c r="DX313" s="8">
        <v>0</v>
      </c>
      <c r="DY313" s="8">
        <v>0</v>
      </c>
      <c r="DZ313" s="8">
        <v>0</v>
      </c>
      <c r="EA313" s="8">
        <v>0</v>
      </c>
      <c r="EB313" s="9">
        <f t="shared" si="161"/>
        <v>0</v>
      </c>
      <c r="EC313" s="8">
        <v>0</v>
      </c>
      <c r="ED313" s="8">
        <v>0</v>
      </c>
      <c r="EE313" s="8">
        <v>0</v>
      </c>
      <c r="EF313" s="8">
        <v>0</v>
      </c>
      <c r="EG313" s="8">
        <v>0</v>
      </c>
      <c r="EH313" s="8">
        <v>0</v>
      </c>
      <c r="EI313" s="8">
        <v>0</v>
      </c>
      <c r="EJ313" s="8">
        <v>0</v>
      </c>
      <c r="EK313" s="8">
        <v>0</v>
      </c>
      <c r="EL313" s="8">
        <v>0</v>
      </c>
      <c r="EM313" s="8">
        <v>0</v>
      </c>
      <c r="EN313" s="8">
        <v>0</v>
      </c>
      <c r="EO313" s="9">
        <f t="shared" si="162"/>
        <v>0</v>
      </c>
      <c r="EP313" s="8">
        <v>0</v>
      </c>
      <c r="EQ313" s="8">
        <v>0</v>
      </c>
      <c r="ER313" s="8">
        <v>0</v>
      </c>
      <c r="ES313" s="8">
        <v>0</v>
      </c>
      <c r="ET313" s="8">
        <v>0</v>
      </c>
      <c r="EU313" s="8">
        <v>0</v>
      </c>
      <c r="EV313" s="8">
        <v>0</v>
      </c>
      <c r="EW313" s="8">
        <v>0</v>
      </c>
      <c r="EX313" s="8">
        <v>0</v>
      </c>
      <c r="EY313" s="8">
        <v>0</v>
      </c>
      <c r="EZ313" s="8">
        <v>0</v>
      </c>
      <c r="FA313" s="8">
        <v>0</v>
      </c>
      <c r="FB313" s="9">
        <f t="shared" si="163"/>
        <v>0</v>
      </c>
      <c r="FC313" s="8">
        <v>0</v>
      </c>
      <c r="FD313" s="8">
        <v>0</v>
      </c>
      <c r="FE313" s="8">
        <v>0</v>
      </c>
      <c r="FF313" s="8">
        <v>0</v>
      </c>
      <c r="FG313" s="8">
        <v>0</v>
      </c>
      <c r="FH313" s="8">
        <v>0</v>
      </c>
      <c r="FI313" s="8">
        <v>0</v>
      </c>
      <c r="FJ313" s="8"/>
      <c r="FK313" s="8"/>
      <c r="FL313" s="8"/>
      <c r="FM313" s="8"/>
      <c r="FN313" s="8"/>
      <c r="FO313" s="9">
        <f t="shared" si="164"/>
        <v>0</v>
      </c>
    </row>
    <row r="314" spans="2:171" ht="14.25" customHeight="1" x14ac:dyDescent="0.3">
      <c r="B314" s="7" t="s">
        <v>55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9">
        <f t="shared" si="152"/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9">
        <f t="shared" si="153"/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9">
        <f t="shared" si="154"/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v>0</v>
      </c>
      <c r="AZ314" s="8">
        <v>0</v>
      </c>
      <c r="BA314" s="8">
        <v>0</v>
      </c>
      <c r="BB314" s="9">
        <f t="shared" si="155"/>
        <v>0</v>
      </c>
      <c r="BC314" s="8">
        <v>0</v>
      </c>
      <c r="BD314" s="8">
        <v>0</v>
      </c>
      <c r="BE314" s="8">
        <v>0</v>
      </c>
      <c r="BF314" s="8">
        <v>0</v>
      </c>
      <c r="BG314" s="8">
        <v>0</v>
      </c>
      <c r="BH314" s="8">
        <v>0</v>
      </c>
      <c r="BI314" s="8">
        <v>0</v>
      </c>
      <c r="BJ314" s="8">
        <v>0</v>
      </c>
      <c r="BK314" s="8">
        <v>0</v>
      </c>
      <c r="BL314" s="8">
        <v>0</v>
      </c>
      <c r="BM314" s="8">
        <v>0</v>
      </c>
      <c r="BN314" s="8">
        <v>0</v>
      </c>
      <c r="BO314" s="9">
        <f t="shared" si="156"/>
        <v>0</v>
      </c>
      <c r="BP314" s="8">
        <v>0</v>
      </c>
      <c r="BQ314" s="8">
        <v>0</v>
      </c>
      <c r="BR314" s="8">
        <v>0</v>
      </c>
      <c r="BS314" s="8">
        <v>0</v>
      </c>
      <c r="BT314" s="8">
        <v>0</v>
      </c>
      <c r="BU314" s="8">
        <v>0</v>
      </c>
      <c r="BV314" s="8">
        <v>0</v>
      </c>
      <c r="BW314" s="8">
        <v>0</v>
      </c>
      <c r="BX314" s="8">
        <v>0</v>
      </c>
      <c r="BY314" s="8">
        <v>0</v>
      </c>
      <c r="BZ314" s="8">
        <v>0</v>
      </c>
      <c r="CA314" s="8">
        <v>0</v>
      </c>
      <c r="CB314" s="9">
        <f t="shared" si="157"/>
        <v>0</v>
      </c>
      <c r="CC314" s="8">
        <v>0</v>
      </c>
      <c r="CD314" s="8">
        <v>0</v>
      </c>
      <c r="CE314" s="8">
        <v>0</v>
      </c>
      <c r="CF314" s="8">
        <v>0</v>
      </c>
      <c r="CG314" s="8">
        <v>0</v>
      </c>
      <c r="CH314" s="8">
        <v>0</v>
      </c>
      <c r="CI314" s="8">
        <v>0</v>
      </c>
      <c r="CJ314" s="8">
        <v>0</v>
      </c>
      <c r="CK314" s="8">
        <v>0</v>
      </c>
      <c r="CL314" s="8">
        <v>0</v>
      </c>
      <c r="CM314" s="8">
        <v>0</v>
      </c>
      <c r="CN314" s="8">
        <v>0</v>
      </c>
      <c r="CO314" s="9">
        <f t="shared" si="158"/>
        <v>0</v>
      </c>
      <c r="CP314" s="8">
        <v>0</v>
      </c>
      <c r="CQ314" s="8">
        <v>0</v>
      </c>
      <c r="CR314" s="8">
        <v>0</v>
      </c>
      <c r="CS314" s="8">
        <v>0</v>
      </c>
      <c r="CT314" s="8">
        <v>0</v>
      </c>
      <c r="CU314" s="8">
        <v>0</v>
      </c>
      <c r="CV314" s="8">
        <v>0</v>
      </c>
      <c r="CW314" s="8">
        <v>0</v>
      </c>
      <c r="CX314" s="8">
        <v>0</v>
      </c>
      <c r="CY314" s="8">
        <v>0</v>
      </c>
      <c r="CZ314" s="8">
        <v>0</v>
      </c>
      <c r="DA314" s="8">
        <v>0</v>
      </c>
      <c r="DB314" s="9">
        <f t="shared" si="159"/>
        <v>0</v>
      </c>
      <c r="DC314" s="8">
        <v>0</v>
      </c>
      <c r="DD314" s="8">
        <v>0</v>
      </c>
      <c r="DE314" s="8">
        <v>0</v>
      </c>
      <c r="DF314" s="8">
        <v>0</v>
      </c>
      <c r="DG314" s="8">
        <v>0</v>
      </c>
      <c r="DH314" s="8">
        <v>0</v>
      </c>
      <c r="DI314" s="8">
        <v>0</v>
      </c>
      <c r="DJ314" s="8">
        <v>0</v>
      </c>
      <c r="DK314" s="8">
        <v>0</v>
      </c>
      <c r="DL314" s="8">
        <v>0</v>
      </c>
      <c r="DM314" s="8">
        <v>0</v>
      </c>
      <c r="DN314" s="8">
        <v>0</v>
      </c>
      <c r="DO314" s="9">
        <f t="shared" si="160"/>
        <v>0</v>
      </c>
      <c r="DP314" s="8">
        <v>0</v>
      </c>
      <c r="DQ314" s="8">
        <v>0</v>
      </c>
      <c r="DR314" s="8">
        <v>0</v>
      </c>
      <c r="DS314" s="8">
        <v>0</v>
      </c>
      <c r="DT314" s="8">
        <v>0</v>
      </c>
      <c r="DU314" s="8">
        <v>0</v>
      </c>
      <c r="DV314" s="8">
        <v>0</v>
      </c>
      <c r="DW314" s="8">
        <v>0</v>
      </c>
      <c r="DX314" s="8">
        <v>0</v>
      </c>
      <c r="DY314" s="8">
        <v>0</v>
      </c>
      <c r="DZ314" s="8">
        <v>0</v>
      </c>
      <c r="EA314" s="8">
        <v>0</v>
      </c>
      <c r="EB314" s="9">
        <f t="shared" si="161"/>
        <v>0</v>
      </c>
      <c r="EC314" s="8">
        <v>0</v>
      </c>
      <c r="ED314" s="8">
        <v>0</v>
      </c>
      <c r="EE314" s="8">
        <v>0</v>
      </c>
      <c r="EF314" s="8">
        <v>0</v>
      </c>
      <c r="EG314" s="8">
        <v>0</v>
      </c>
      <c r="EH314" s="8">
        <v>0</v>
      </c>
      <c r="EI314" s="8">
        <v>0</v>
      </c>
      <c r="EJ314" s="8">
        <v>0</v>
      </c>
      <c r="EK314" s="8">
        <v>0</v>
      </c>
      <c r="EL314" s="8">
        <v>0</v>
      </c>
      <c r="EM314" s="8">
        <v>0</v>
      </c>
      <c r="EN314" s="8">
        <v>0</v>
      </c>
      <c r="EO314" s="9">
        <f t="shared" si="162"/>
        <v>0</v>
      </c>
      <c r="EP314" s="8">
        <v>0</v>
      </c>
      <c r="EQ314" s="8">
        <v>0</v>
      </c>
      <c r="ER314" s="8">
        <v>0</v>
      </c>
      <c r="ES314" s="8">
        <v>0</v>
      </c>
      <c r="ET314" s="8">
        <v>0</v>
      </c>
      <c r="EU314" s="8">
        <v>0</v>
      </c>
      <c r="EV314" s="8">
        <v>0</v>
      </c>
      <c r="EW314" s="8">
        <v>0</v>
      </c>
      <c r="EX314" s="8">
        <v>0</v>
      </c>
      <c r="EY314" s="8">
        <v>0</v>
      </c>
      <c r="EZ314" s="8">
        <v>0</v>
      </c>
      <c r="FA314" s="8">
        <v>0</v>
      </c>
      <c r="FB314" s="9">
        <f t="shared" si="163"/>
        <v>0</v>
      </c>
      <c r="FC314" s="8">
        <v>0</v>
      </c>
      <c r="FD314" s="8">
        <v>0</v>
      </c>
      <c r="FE314" s="8">
        <v>0</v>
      </c>
      <c r="FF314" s="8">
        <v>0</v>
      </c>
      <c r="FG314" s="8">
        <v>0</v>
      </c>
      <c r="FH314" s="8">
        <v>0</v>
      </c>
      <c r="FI314" s="8">
        <v>0</v>
      </c>
      <c r="FJ314" s="8"/>
      <c r="FK314" s="8"/>
      <c r="FL314" s="8"/>
      <c r="FM314" s="8"/>
      <c r="FN314" s="8"/>
      <c r="FO314" s="9">
        <f t="shared" si="164"/>
        <v>0</v>
      </c>
    </row>
    <row r="315" spans="2:171" ht="14.25" customHeight="1" x14ac:dyDescent="0.3">
      <c r="B315" s="7" t="s">
        <v>56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9">
        <f t="shared" si="152"/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9">
        <f t="shared" si="153"/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9">
        <f t="shared" si="154"/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v>0</v>
      </c>
      <c r="AZ315" s="8">
        <v>0</v>
      </c>
      <c r="BA315" s="8">
        <v>0</v>
      </c>
      <c r="BB315" s="9">
        <f t="shared" si="155"/>
        <v>0</v>
      </c>
      <c r="BC315" s="8">
        <v>0</v>
      </c>
      <c r="BD315" s="8">
        <v>0</v>
      </c>
      <c r="BE315" s="8">
        <v>0</v>
      </c>
      <c r="BF315" s="8">
        <v>0</v>
      </c>
      <c r="BG315" s="8">
        <v>0</v>
      </c>
      <c r="BH315" s="8">
        <v>0</v>
      </c>
      <c r="BI315" s="8">
        <v>0</v>
      </c>
      <c r="BJ315" s="8">
        <v>0</v>
      </c>
      <c r="BK315" s="8">
        <v>0</v>
      </c>
      <c r="BL315" s="8">
        <v>0</v>
      </c>
      <c r="BM315" s="8">
        <v>0</v>
      </c>
      <c r="BN315" s="8">
        <v>0</v>
      </c>
      <c r="BO315" s="9">
        <f t="shared" si="156"/>
        <v>0</v>
      </c>
      <c r="BP315" s="8">
        <v>0</v>
      </c>
      <c r="BQ315" s="8">
        <v>0</v>
      </c>
      <c r="BR315" s="8">
        <v>0</v>
      </c>
      <c r="BS315" s="8">
        <v>0</v>
      </c>
      <c r="BT315" s="8">
        <v>0</v>
      </c>
      <c r="BU315" s="8">
        <v>0</v>
      </c>
      <c r="BV315" s="8">
        <v>0</v>
      </c>
      <c r="BW315" s="8">
        <v>0</v>
      </c>
      <c r="BX315" s="8">
        <v>0</v>
      </c>
      <c r="BY315" s="8">
        <v>0</v>
      </c>
      <c r="BZ315" s="8">
        <v>0</v>
      </c>
      <c r="CA315" s="8">
        <v>0</v>
      </c>
      <c r="CB315" s="9">
        <f t="shared" si="157"/>
        <v>0</v>
      </c>
      <c r="CC315" s="8">
        <v>0</v>
      </c>
      <c r="CD315" s="8">
        <v>0</v>
      </c>
      <c r="CE315" s="8">
        <v>0</v>
      </c>
      <c r="CF315" s="8">
        <v>0</v>
      </c>
      <c r="CG315" s="8">
        <v>0</v>
      </c>
      <c r="CH315" s="8">
        <v>0</v>
      </c>
      <c r="CI315" s="8">
        <v>0</v>
      </c>
      <c r="CJ315" s="8">
        <v>0</v>
      </c>
      <c r="CK315" s="8">
        <v>0</v>
      </c>
      <c r="CL315" s="8">
        <v>0</v>
      </c>
      <c r="CM315" s="8">
        <v>0</v>
      </c>
      <c r="CN315" s="8">
        <v>0</v>
      </c>
      <c r="CO315" s="9">
        <f t="shared" si="158"/>
        <v>0</v>
      </c>
      <c r="CP315" s="8">
        <v>0</v>
      </c>
      <c r="CQ315" s="8">
        <v>0</v>
      </c>
      <c r="CR315" s="8">
        <v>0</v>
      </c>
      <c r="CS315" s="8">
        <v>0</v>
      </c>
      <c r="CT315" s="8">
        <v>0</v>
      </c>
      <c r="CU315" s="8">
        <v>0</v>
      </c>
      <c r="CV315" s="8">
        <v>0</v>
      </c>
      <c r="CW315" s="8">
        <v>0</v>
      </c>
      <c r="CX315" s="8">
        <v>0</v>
      </c>
      <c r="CY315" s="8">
        <v>0</v>
      </c>
      <c r="CZ315" s="8">
        <v>0</v>
      </c>
      <c r="DA315" s="8">
        <v>0</v>
      </c>
      <c r="DB315" s="9">
        <f t="shared" si="159"/>
        <v>0</v>
      </c>
      <c r="DC315" s="8">
        <v>0</v>
      </c>
      <c r="DD315" s="8">
        <v>0</v>
      </c>
      <c r="DE315" s="8">
        <v>0</v>
      </c>
      <c r="DF315" s="8">
        <v>0</v>
      </c>
      <c r="DG315" s="8">
        <v>0</v>
      </c>
      <c r="DH315" s="8">
        <v>0</v>
      </c>
      <c r="DI315" s="8">
        <v>0</v>
      </c>
      <c r="DJ315" s="8">
        <v>0</v>
      </c>
      <c r="DK315" s="8">
        <v>0</v>
      </c>
      <c r="DL315" s="8">
        <v>0</v>
      </c>
      <c r="DM315" s="8">
        <v>0</v>
      </c>
      <c r="DN315" s="8">
        <v>0</v>
      </c>
      <c r="DO315" s="9">
        <f t="shared" si="160"/>
        <v>0</v>
      </c>
      <c r="DP315" s="8">
        <v>0</v>
      </c>
      <c r="DQ315" s="8">
        <v>0</v>
      </c>
      <c r="DR315" s="8">
        <v>0</v>
      </c>
      <c r="DS315" s="8">
        <v>0</v>
      </c>
      <c r="DT315" s="8">
        <v>0</v>
      </c>
      <c r="DU315" s="8">
        <v>0</v>
      </c>
      <c r="DV315" s="8">
        <v>0</v>
      </c>
      <c r="DW315" s="8">
        <v>0</v>
      </c>
      <c r="DX315" s="8">
        <v>0</v>
      </c>
      <c r="DY315" s="8">
        <v>0</v>
      </c>
      <c r="DZ315" s="8">
        <v>0</v>
      </c>
      <c r="EA315" s="8">
        <v>0</v>
      </c>
      <c r="EB315" s="9">
        <f t="shared" si="161"/>
        <v>0</v>
      </c>
      <c r="EC315" s="8">
        <v>0</v>
      </c>
      <c r="ED315" s="8">
        <v>0</v>
      </c>
      <c r="EE315" s="8">
        <v>0</v>
      </c>
      <c r="EF315" s="8">
        <v>0</v>
      </c>
      <c r="EG315" s="8">
        <v>0</v>
      </c>
      <c r="EH315" s="8">
        <v>0</v>
      </c>
      <c r="EI315" s="8">
        <v>0</v>
      </c>
      <c r="EJ315" s="8">
        <v>0</v>
      </c>
      <c r="EK315" s="8">
        <v>0</v>
      </c>
      <c r="EL315" s="8">
        <v>0</v>
      </c>
      <c r="EM315" s="8">
        <v>0</v>
      </c>
      <c r="EN315" s="8">
        <v>0</v>
      </c>
      <c r="EO315" s="9">
        <f t="shared" si="162"/>
        <v>0</v>
      </c>
      <c r="EP315" s="8">
        <v>0</v>
      </c>
      <c r="EQ315" s="8">
        <v>0</v>
      </c>
      <c r="ER315" s="8">
        <v>0</v>
      </c>
      <c r="ES315" s="8">
        <v>0</v>
      </c>
      <c r="ET315" s="8">
        <v>0</v>
      </c>
      <c r="EU315" s="8">
        <v>0</v>
      </c>
      <c r="EV315" s="8">
        <v>0</v>
      </c>
      <c r="EW315" s="8">
        <v>0</v>
      </c>
      <c r="EX315" s="8">
        <v>0</v>
      </c>
      <c r="EY315" s="8">
        <v>0</v>
      </c>
      <c r="EZ315" s="8">
        <v>0</v>
      </c>
      <c r="FA315" s="8">
        <v>0</v>
      </c>
      <c r="FB315" s="9">
        <f t="shared" si="163"/>
        <v>0</v>
      </c>
      <c r="FC315" s="8">
        <v>0</v>
      </c>
      <c r="FD315" s="8">
        <v>0</v>
      </c>
      <c r="FE315" s="8">
        <v>0</v>
      </c>
      <c r="FF315" s="8">
        <v>0</v>
      </c>
      <c r="FG315" s="8">
        <v>0</v>
      </c>
      <c r="FH315" s="8">
        <v>0</v>
      </c>
      <c r="FI315" s="8">
        <v>0</v>
      </c>
      <c r="FJ315" s="8"/>
      <c r="FK315" s="8"/>
      <c r="FL315" s="8"/>
      <c r="FM315" s="8"/>
      <c r="FN315" s="8"/>
      <c r="FO315" s="9">
        <f t="shared" si="164"/>
        <v>0</v>
      </c>
    </row>
    <row r="316" spans="2:171" ht="14.25" customHeight="1" x14ac:dyDescent="0.3">
      <c r="B316" s="7" t="s">
        <v>57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9">
        <f t="shared" si="152"/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9">
        <f t="shared" si="153"/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9">
        <f t="shared" si="154"/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v>0</v>
      </c>
      <c r="AZ316" s="8">
        <v>0</v>
      </c>
      <c r="BA316" s="8">
        <v>0</v>
      </c>
      <c r="BB316" s="9">
        <f t="shared" si="155"/>
        <v>0</v>
      </c>
      <c r="BC316" s="8">
        <v>0</v>
      </c>
      <c r="BD316" s="8">
        <v>0</v>
      </c>
      <c r="BE316" s="8">
        <v>0</v>
      </c>
      <c r="BF316" s="8">
        <v>0</v>
      </c>
      <c r="BG316" s="8">
        <v>0</v>
      </c>
      <c r="BH316" s="8">
        <v>0</v>
      </c>
      <c r="BI316" s="8">
        <v>0</v>
      </c>
      <c r="BJ316" s="8">
        <v>0</v>
      </c>
      <c r="BK316" s="8">
        <v>0</v>
      </c>
      <c r="BL316" s="8">
        <v>0</v>
      </c>
      <c r="BM316" s="8">
        <v>0</v>
      </c>
      <c r="BN316" s="8">
        <v>0</v>
      </c>
      <c r="BO316" s="9">
        <f t="shared" si="156"/>
        <v>0</v>
      </c>
      <c r="BP316" s="8">
        <v>0</v>
      </c>
      <c r="BQ316" s="8">
        <v>0</v>
      </c>
      <c r="BR316" s="8">
        <v>0</v>
      </c>
      <c r="BS316" s="8">
        <v>0</v>
      </c>
      <c r="BT316" s="8">
        <v>0</v>
      </c>
      <c r="BU316" s="8">
        <v>0</v>
      </c>
      <c r="BV316" s="8">
        <v>0</v>
      </c>
      <c r="BW316" s="8">
        <v>0</v>
      </c>
      <c r="BX316" s="8">
        <v>0</v>
      </c>
      <c r="BY316" s="8">
        <v>0</v>
      </c>
      <c r="BZ316" s="8">
        <v>0</v>
      </c>
      <c r="CA316" s="8">
        <v>0</v>
      </c>
      <c r="CB316" s="9">
        <f t="shared" si="157"/>
        <v>0</v>
      </c>
      <c r="CC316" s="8">
        <v>0</v>
      </c>
      <c r="CD316" s="8">
        <v>0</v>
      </c>
      <c r="CE316" s="8">
        <v>0</v>
      </c>
      <c r="CF316" s="8">
        <v>0</v>
      </c>
      <c r="CG316" s="8">
        <v>0</v>
      </c>
      <c r="CH316" s="8">
        <v>0</v>
      </c>
      <c r="CI316" s="8">
        <v>0</v>
      </c>
      <c r="CJ316" s="8">
        <v>0</v>
      </c>
      <c r="CK316" s="8">
        <v>0</v>
      </c>
      <c r="CL316" s="8">
        <v>0</v>
      </c>
      <c r="CM316" s="8">
        <v>0</v>
      </c>
      <c r="CN316" s="8">
        <v>0</v>
      </c>
      <c r="CO316" s="9">
        <f t="shared" si="158"/>
        <v>0</v>
      </c>
      <c r="CP316" s="8">
        <v>0</v>
      </c>
      <c r="CQ316" s="8">
        <v>0</v>
      </c>
      <c r="CR316" s="8">
        <v>0</v>
      </c>
      <c r="CS316" s="8">
        <v>0</v>
      </c>
      <c r="CT316" s="8">
        <v>0</v>
      </c>
      <c r="CU316" s="8">
        <v>0</v>
      </c>
      <c r="CV316" s="8">
        <v>0</v>
      </c>
      <c r="CW316" s="8">
        <v>0</v>
      </c>
      <c r="CX316" s="8">
        <v>0</v>
      </c>
      <c r="CY316" s="8">
        <v>0</v>
      </c>
      <c r="CZ316" s="8">
        <v>0</v>
      </c>
      <c r="DA316" s="8">
        <v>0</v>
      </c>
      <c r="DB316" s="9">
        <f t="shared" si="159"/>
        <v>0</v>
      </c>
      <c r="DC316" s="8">
        <v>0</v>
      </c>
      <c r="DD316" s="8">
        <v>0</v>
      </c>
      <c r="DE316" s="8">
        <v>0</v>
      </c>
      <c r="DF316" s="8">
        <v>0</v>
      </c>
      <c r="DG316" s="8">
        <v>0</v>
      </c>
      <c r="DH316" s="8">
        <v>0</v>
      </c>
      <c r="DI316" s="8">
        <v>0</v>
      </c>
      <c r="DJ316" s="8">
        <v>0</v>
      </c>
      <c r="DK316" s="8">
        <v>0</v>
      </c>
      <c r="DL316" s="8">
        <v>0</v>
      </c>
      <c r="DM316" s="8">
        <v>0</v>
      </c>
      <c r="DN316" s="8">
        <v>0</v>
      </c>
      <c r="DO316" s="9">
        <f t="shared" si="160"/>
        <v>0</v>
      </c>
      <c r="DP316" s="8">
        <v>0</v>
      </c>
      <c r="DQ316" s="8">
        <v>0</v>
      </c>
      <c r="DR316" s="8">
        <v>0</v>
      </c>
      <c r="DS316" s="8">
        <v>0</v>
      </c>
      <c r="DT316" s="8">
        <v>0</v>
      </c>
      <c r="DU316" s="8">
        <v>0</v>
      </c>
      <c r="DV316" s="8">
        <v>0</v>
      </c>
      <c r="DW316" s="8">
        <v>0</v>
      </c>
      <c r="DX316" s="8">
        <v>0</v>
      </c>
      <c r="DY316" s="8">
        <v>0</v>
      </c>
      <c r="DZ316" s="8">
        <v>0</v>
      </c>
      <c r="EA316" s="8">
        <v>0</v>
      </c>
      <c r="EB316" s="9">
        <f t="shared" si="161"/>
        <v>0</v>
      </c>
      <c r="EC316" s="8">
        <v>0</v>
      </c>
      <c r="ED316" s="8">
        <v>0</v>
      </c>
      <c r="EE316" s="8">
        <v>0</v>
      </c>
      <c r="EF316" s="8">
        <v>0</v>
      </c>
      <c r="EG316" s="8">
        <v>0</v>
      </c>
      <c r="EH316" s="8">
        <v>0</v>
      </c>
      <c r="EI316" s="8">
        <v>0</v>
      </c>
      <c r="EJ316" s="8">
        <v>0</v>
      </c>
      <c r="EK316" s="8">
        <v>0</v>
      </c>
      <c r="EL316" s="8">
        <v>0</v>
      </c>
      <c r="EM316" s="8">
        <v>0</v>
      </c>
      <c r="EN316" s="8">
        <v>0</v>
      </c>
      <c r="EO316" s="9">
        <f t="shared" si="162"/>
        <v>0</v>
      </c>
      <c r="EP316" s="8">
        <v>0</v>
      </c>
      <c r="EQ316" s="8">
        <v>0</v>
      </c>
      <c r="ER316" s="8">
        <v>0</v>
      </c>
      <c r="ES316" s="8">
        <v>0</v>
      </c>
      <c r="ET316" s="8">
        <v>0</v>
      </c>
      <c r="EU316" s="8">
        <v>0</v>
      </c>
      <c r="EV316" s="8">
        <v>0</v>
      </c>
      <c r="EW316" s="8">
        <v>0</v>
      </c>
      <c r="EX316" s="8">
        <v>0</v>
      </c>
      <c r="EY316" s="8">
        <v>0</v>
      </c>
      <c r="EZ316" s="8">
        <v>0</v>
      </c>
      <c r="FA316" s="8">
        <v>0</v>
      </c>
      <c r="FB316" s="9">
        <f t="shared" si="163"/>
        <v>0</v>
      </c>
      <c r="FC316" s="8">
        <v>0</v>
      </c>
      <c r="FD316" s="8">
        <v>0</v>
      </c>
      <c r="FE316" s="8">
        <v>0</v>
      </c>
      <c r="FF316" s="8">
        <v>0</v>
      </c>
      <c r="FG316" s="8">
        <v>0</v>
      </c>
      <c r="FH316" s="8">
        <v>0</v>
      </c>
      <c r="FI316" s="8">
        <v>0</v>
      </c>
      <c r="FJ316" s="8"/>
      <c r="FK316" s="8"/>
      <c r="FL316" s="8"/>
      <c r="FM316" s="8"/>
      <c r="FN316" s="8"/>
      <c r="FO316" s="9">
        <f t="shared" si="164"/>
        <v>0</v>
      </c>
    </row>
    <row r="317" spans="2:171" ht="14.25" customHeight="1" x14ac:dyDescent="0.3">
      <c r="B317" s="7" t="s">
        <v>58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9">
        <f t="shared" si="152"/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9">
        <f t="shared" si="153"/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9">
        <f t="shared" si="154"/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v>0</v>
      </c>
      <c r="AZ317" s="8">
        <v>0</v>
      </c>
      <c r="BA317" s="8">
        <v>0</v>
      </c>
      <c r="BB317" s="9">
        <f t="shared" si="155"/>
        <v>0</v>
      </c>
      <c r="BC317" s="8">
        <v>0</v>
      </c>
      <c r="BD317" s="8">
        <v>0</v>
      </c>
      <c r="BE317" s="8">
        <v>0</v>
      </c>
      <c r="BF317" s="8">
        <v>0</v>
      </c>
      <c r="BG317" s="8">
        <v>0</v>
      </c>
      <c r="BH317" s="8">
        <v>0</v>
      </c>
      <c r="BI317" s="8">
        <v>0</v>
      </c>
      <c r="BJ317" s="8">
        <v>0</v>
      </c>
      <c r="BK317" s="8">
        <v>0</v>
      </c>
      <c r="BL317" s="8">
        <v>0</v>
      </c>
      <c r="BM317" s="8">
        <v>0</v>
      </c>
      <c r="BN317" s="8">
        <v>0</v>
      </c>
      <c r="BO317" s="9">
        <f t="shared" si="156"/>
        <v>0</v>
      </c>
      <c r="BP317" s="8">
        <v>0</v>
      </c>
      <c r="BQ317" s="8">
        <v>0</v>
      </c>
      <c r="BR317" s="8">
        <v>0</v>
      </c>
      <c r="BS317" s="8">
        <v>0</v>
      </c>
      <c r="BT317" s="8">
        <v>0</v>
      </c>
      <c r="BU317" s="8">
        <v>0</v>
      </c>
      <c r="BV317" s="8">
        <v>0</v>
      </c>
      <c r="BW317" s="8">
        <v>0</v>
      </c>
      <c r="BX317" s="8">
        <v>0</v>
      </c>
      <c r="BY317" s="8">
        <v>0</v>
      </c>
      <c r="BZ317" s="8">
        <v>0</v>
      </c>
      <c r="CA317" s="8">
        <v>0</v>
      </c>
      <c r="CB317" s="9">
        <f t="shared" si="157"/>
        <v>0</v>
      </c>
      <c r="CC317" s="8">
        <v>0</v>
      </c>
      <c r="CD317" s="8">
        <v>0</v>
      </c>
      <c r="CE317" s="8">
        <v>0</v>
      </c>
      <c r="CF317" s="8">
        <v>0</v>
      </c>
      <c r="CG317" s="8">
        <v>0</v>
      </c>
      <c r="CH317" s="8">
        <v>0</v>
      </c>
      <c r="CI317" s="8">
        <v>0</v>
      </c>
      <c r="CJ317" s="8">
        <v>0</v>
      </c>
      <c r="CK317" s="8">
        <v>0</v>
      </c>
      <c r="CL317" s="8">
        <v>0</v>
      </c>
      <c r="CM317" s="8">
        <v>0</v>
      </c>
      <c r="CN317" s="8">
        <v>0</v>
      </c>
      <c r="CO317" s="9">
        <f t="shared" si="158"/>
        <v>0</v>
      </c>
      <c r="CP317" s="8">
        <v>0</v>
      </c>
      <c r="CQ317" s="8">
        <v>0</v>
      </c>
      <c r="CR317" s="8">
        <v>0</v>
      </c>
      <c r="CS317" s="8">
        <v>0</v>
      </c>
      <c r="CT317" s="8">
        <v>0</v>
      </c>
      <c r="CU317" s="8">
        <v>0</v>
      </c>
      <c r="CV317" s="8">
        <v>0</v>
      </c>
      <c r="CW317" s="8">
        <v>0</v>
      </c>
      <c r="CX317" s="8">
        <v>0</v>
      </c>
      <c r="CY317" s="8">
        <v>0</v>
      </c>
      <c r="CZ317" s="8">
        <v>0</v>
      </c>
      <c r="DA317" s="8">
        <v>0</v>
      </c>
      <c r="DB317" s="9">
        <f t="shared" si="159"/>
        <v>0</v>
      </c>
      <c r="DC317" s="8">
        <v>0</v>
      </c>
      <c r="DD317" s="8">
        <v>0</v>
      </c>
      <c r="DE317" s="8">
        <v>0</v>
      </c>
      <c r="DF317" s="8">
        <v>0</v>
      </c>
      <c r="DG317" s="8">
        <v>0</v>
      </c>
      <c r="DH317" s="8">
        <v>0</v>
      </c>
      <c r="DI317" s="8">
        <v>0</v>
      </c>
      <c r="DJ317" s="8">
        <v>0</v>
      </c>
      <c r="DK317" s="8">
        <v>0</v>
      </c>
      <c r="DL317" s="8">
        <v>0</v>
      </c>
      <c r="DM317" s="8">
        <v>0</v>
      </c>
      <c r="DN317" s="8">
        <v>0</v>
      </c>
      <c r="DO317" s="9">
        <f t="shared" si="160"/>
        <v>0</v>
      </c>
      <c r="DP317" s="8">
        <v>0</v>
      </c>
      <c r="DQ317" s="8">
        <v>0</v>
      </c>
      <c r="DR317" s="8">
        <v>0</v>
      </c>
      <c r="DS317" s="8">
        <v>0</v>
      </c>
      <c r="DT317" s="8">
        <v>0</v>
      </c>
      <c r="DU317" s="8">
        <v>0</v>
      </c>
      <c r="DV317" s="8">
        <v>0</v>
      </c>
      <c r="DW317" s="8">
        <v>0</v>
      </c>
      <c r="DX317" s="8">
        <v>0</v>
      </c>
      <c r="DY317" s="8">
        <v>0</v>
      </c>
      <c r="DZ317" s="8">
        <v>0</v>
      </c>
      <c r="EA317" s="8">
        <v>0</v>
      </c>
      <c r="EB317" s="9">
        <f t="shared" si="161"/>
        <v>0</v>
      </c>
      <c r="EC317" s="8">
        <v>0</v>
      </c>
      <c r="ED317" s="8">
        <v>0</v>
      </c>
      <c r="EE317" s="8">
        <v>0</v>
      </c>
      <c r="EF317" s="8">
        <v>0</v>
      </c>
      <c r="EG317" s="8">
        <v>0</v>
      </c>
      <c r="EH317" s="8">
        <v>0</v>
      </c>
      <c r="EI317" s="8">
        <v>0</v>
      </c>
      <c r="EJ317" s="8">
        <v>0</v>
      </c>
      <c r="EK317" s="8">
        <v>0</v>
      </c>
      <c r="EL317" s="8">
        <v>0</v>
      </c>
      <c r="EM317" s="8">
        <v>0</v>
      </c>
      <c r="EN317" s="8">
        <v>0</v>
      </c>
      <c r="EO317" s="9">
        <f t="shared" si="162"/>
        <v>0</v>
      </c>
      <c r="EP317" s="8">
        <v>0</v>
      </c>
      <c r="EQ317" s="8">
        <v>0</v>
      </c>
      <c r="ER317" s="8">
        <v>0</v>
      </c>
      <c r="ES317" s="8">
        <v>0</v>
      </c>
      <c r="ET317" s="8">
        <v>0</v>
      </c>
      <c r="EU317" s="8">
        <v>0</v>
      </c>
      <c r="EV317" s="8">
        <v>0</v>
      </c>
      <c r="EW317" s="8">
        <v>0</v>
      </c>
      <c r="EX317" s="8">
        <v>0</v>
      </c>
      <c r="EY317" s="8">
        <v>0</v>
      </c>
      <c r="EZ317" s="8">
        <v>0</v>
      </c>
      <c r="FA317" s="8">
        <v>0</v>
      </c>
      <c r="FB317" s="9">
        <f t="shared" si="163"/>
        <v>0</v>
      </c>
      <c r="FC317" s="8">
        <v>0</v>
      </c>
      <c r="FD317" s="8">
        <v>0</v>
      </c>
      <c r="FE317" s="8">
        <v>0</v>
      </c>
      <c r="FF317" s="8">
        <v>0</v>
      </c>
      <c r="FG317" s="8">
        <v>0</v>
      </c>
      <c r="FH317" s="8">
        <v>0</v>
      </c>
      <c r="FI317" s="8">
        <v>0</v>
      </c>
      <c r="FJ317" s="8"/>
      <c r="FK317" s="8"/>
      <c r="FL317" s="8"/>
      <c r="FM317" s="8"/>
      <c r="FN317" s="8"/>
      <c r="FO317" s="9">
        <f t="shared" si="164"/>
        <v>0</v>
      </c>
    </row>
    <row r="318" spans="2:171" ht="14.25" customHeight="1" x14ac:dyDescent="0.3">
      <c r="B318" s="7" t="s">
        <v>59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9">
        <f t="shared" si="152"/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9">
        <f t="shared" si="153"/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9">
        <f t="shared" si="154"/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v>0</v>
      </c>
      <c r="AZ318" s="8">
        <v>0</v>
      </c>
      <c r="BA318" s="8">
        <v>0</v>
      </c>
      <c r="BB318" s="9">
        <f t="shared" si="155"/>
        <v>0</v>
      </c>
      <c r="BC318" s="8">
        <v>0</v>
      </c>
      <c r="BD318" s="8">
        <v>0</v>
      </c>
      <c r="BE318" s="8">
        <v>0</v>
      </c>
      <c r="BF318" s="8">
        <v>0</v>
      </c>
      <c r="BG318" s="8">
        <v>0</v>
      </c>
      <c r="BH318" s="8">
        <v>0</v>
      </c>
      <c r="BI318" s="8">
        <v>0</v>
      </c>
      <c r="BJ318" s="8">
        <v>0</v>
      </c>
      <c r="BK318" s="8">
        <v>0</v>
      </c>
      <c r="BL318" s="8">
        <v>0</v>
      </c>
      <c r="BM318" s="8">
        <v>0</v>
      </c>
      <c r="BN318" s="8">
        <v>0</v>
      </c>
      <c r="BO318" s="9">
        <f t="shared" si="156"/>
        <v>0</v>
      </c>
      <c r="BP318" s="8">
        <v>0</v>
      </c>
      <c r="BQ318" s="8">
        <v>0</v>
      </c>
      <c r="BR318" s="8">
        <v>0</v>
      </c>
      <c r="BS318" s="8">
        <v>0</v>
      </c>
      <c r="BT318" s="8">
        <v>0</v>
      </c>
      <c r="BU318" s="8">
        <v>0</v>
      </c>
      <c r="BV318" s="8">
        <v>0</v>
      </c>
      <c r="BW318" s="8">
        <v>0</v>
      </c>
      <c r="BX318" s="8">
        <v>0</v>
      </c>
      <c r="BY318" s="8">
        <v>0</v>
      </c>
      <c r="BZ318" s="8">
        <v>0</v>
      </c>
      <c r="CA318" s="8">
        <v>0</v>
      </c>
      <c r="CB318" s="9">
        <f t="shared" si="157"/>
        <v>0</v>
      </c>
      <c r="CC318" s="8">
        <v>0</v>
      </c>
      <c r="CD318" s="8">
        <v>0</v>
      </c>
      <c r="CE318" s="8">
        <v>0</v>
      </c>
      <c r="CF318" s="8">
        <v>0</v>
      </c>
      <c r="CG318" s="8">
        <v>0</v>
      </c>
      <c r="CH318" s="8">
        <v>0</v>
      </c>
      <c r="CI318" s="8">
        <v>0</v>
      </c>
      <c r="CJ318" s="8">
        <v>0</v>
      </c>
      <c r="CK318" s="8">
        <v>0</v>
      </c>
      <c r="CL318" s="8">
        <v>0</v>
      </c>
      <c r="CM318" s="8">
        <v>0</v>
      </c>
      <c r="CN318" s="8">
        <v>0</v>
      </c>
      <c r="CO318" s="9">
        <f t="shared" si="158"/>
        <v>0</v>
      </c>
      <c r="CP318" s="8">
        <v>0</v>
      </c>
      <c r="CQ318" s="8">
        <v>0</v>
      </c>
      <c r="CR318" s="8">
        <v>0</v>
      </c>
      <c r="CS318" s="8">
        <v>0</v>
      </c>
      <c r="CT318" s="8">
        <v>0</v>
      </c>
      <c r="CU318" s="8">
        <v>0</v>
      </c>
      <c r="CV318" s="8">
        <v>0</v>
      </c>
      <c r="CW318" s="8">
        <v>0</v>
      </c>
      <c r="CX318" s="8">
        <v>0</v>
      </c>
      <c r="CY318" s="8">
        <v>0</v>
      </c>
      <c r="CZ318" s="8">
        <v>0</v>
      </c>
      <c r="DA318" s="8">
        <v>0</v>
      </c>
      <c r="DB318" s="9">
        <f t="shared" si="159"/>
        <v>0</v>
      </c>
      <c r="DC318" s="8">
        <v>0</v>
      </c>
      <c r="DD318" s="8">
        <v>0</v>
      </c>
      <c r="DE318" s="8">
        <v>0</v>
      </c>
      <c r="DF318" s="8">
        <v>0</v>
      </c>
      <c r="DG318" s="8">
        <v>0</v>
      </c>
      <c r="DH318" s="8">
        <v>0</v>
      </c>
      <c r="DI318" s="8">
        <v>0</v>
      </c>
      <c r="DJ318" s="8">
        <v>0</v>
      </c>
      <c r="DK318" s="8">
        <v>0</v>
      </c>
      <c r="DL318" s="8">
        <v>0</v>
      </c>
      <c r="DM318" s="8">
        <v>0</v>
      </c>
      <c r="DN318" s="8">
        <v>0</v>
      </c>
      <c r="DO318" s="9">
        <f t="shared" si="160"/>
        <v>0</v>
      </c>
      <c r="DP318" s="8">
        <v>0</v>
      </c>
      <c r="DQ318" s="8">
        <v>0</v>
      </c>
      <c r="DR318" s="8">
        <v>0</v>
      </c>
      <c r="DS318" s="8">
        <v>0</v>
      </c>
      <c r="DT318" s="8">
        <v>0</v>
      </c>
      <c r="DU318" s="8">
        <v>0</v>
      </c>
      <c r="DV318" s="8">
        <v>0</v>
      </c>
      <c r="DW318" s="8">
        <v>0</v>
      </c>
      <c r="DX318" s="8">
        <v>0</v>
      </c>
      <c r="DY318" s="8">
        <v>0</v>
      </c>
      <c r="DZ318" s="8">
        <v>0</v>
      </c>
      <c r="EA318" s="8">
        <v>0</v>
      </c>
      <c r="EB318" s="9">
        <f t="shared" si="161"/>
        <v>0</v>
      </c>
      <c r="EC318" s="8">
        <v>0</v>
      </c>
      <c r="ED318" s="8">
        <v>0</v>
      </c>
      <c r="EE318" s="8">
        <v>0</v>
      </c>
      <c r="EF318" s="8">
        <v>0</v>
      </c>
      <c r="EG318" s="8">
        <v>0</v>
      </c>
      <c r="EH318" s="8">
        <v>0</v>
      </c>
      <c r="EI318" s="8">
        <v>0</v>
      </c>
      <c r="EJ318" s="8">
        <v>0</v>
      </c>
      <c r="EK318" s="8">
        <v>0</v>
      </c>
      <c r="EL318" s="8">
        <v>0</v>
      </c>
      <c r="EM318" s="8">
        <v>0</v>
      </c>
      <c r="EN318" s="8">
        <v>0</v>
      </c>
      <c r="EO318" s="9">
        <f t="shared" si="162"/>
        <v>0</v>
      </c>
      <c r="EP318" s="8">
        <v>0</v>
      </c>
      <c r="EQ318" s="8">
        <v>0</v>
      </c>
      <c r="ER318" s="8">
        <v>0</v>
      </c>
      <c r="ES318" s="8">
        <v>0</v>
      </c>
      <c r="ET318" s="8">
        <v>0</v>
      </c>
      <c r="EU318" s="8">
        <v>0</v>
      </c>
      <c r="EV318" s="8">
        <v>0</v>
      </c>
      <c r="EW318" s="8">
        <v>0</v>
      </c>
      <c r="EX318" s="8">
        <v>0</v>
      </c>
      <c r="EY318" s="8">
        <v>0</v>
      </c>
      <c r="EZ318" s="8">
        <v>0</v>
      </c>
      <c r="FA318" s="8">
        <v>0</v>
      </c>
      <c r="FB318" s="9">
        <f t="shared" si="163"/>
        <v>0</v>
      </c>
      <c r="FC318" s="8">
        <v>0</v>
      </c>
      <c r="FD318" s="8">
        <v>0</v>
      </c>
      <c r="FE318" s="8">
        <v>0</v>
      </c>
      <c r="FF318" s="8">
        <v>0</v>
      </c>
      <c r="FG318" s="8">
        <v>0</v>
      </c>
      <c r="FH318" s="8">
        <v>0</v>
      </c>
      <c r="FI318" s="8">
        <v>0</v>
      </c>
      <c r="FJ318" s="8"/>
      <c r="FK318" s="8"/>
      <c r="FL318" s="8"/>
      <c r="FM318" s="8"/>
      <c r="FN318" s="8"/>
      <c r="FO318" s="9">
        <f t="shared" si="164"/>
        <v>0</v>
      </c>
    </row>
    <row r="319" spans="2:171" ht="14.25" customHeight="1" x14ac:dyDescent="0.3">
      <c r="B319" s="7" t="s">
        <v>60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9">
        <f t="shared" si="152"/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9">
        <f t="shared" si="153"/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9">
        <f t="shared" si="154"/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v>0</v>
      </c>
      <c r="AZ319" s="8">
        <v>0</v>
      </c>
      <c r="BA319" s="8">
        <v>0</v>
      </c>
      <c r="BB319" s="9">
        <f t="shared" si="155"/>
        <v>0</v>
      </c>
      <c r="BC319" s="8">
        <v>0</v>
      </c>
      <c r="BD319" s="8">
        <v>0</v>
      </c>
      <c r="BE319" s="8">
        <v>0</v>
      </c>
      <c r="BF319" s="8">
        <v>0</v>
      </c>
      <c r="BG319" s="8">
        <v>0</v>
      </c>
      <c r="BH319" s="8">
        <v>0</v>
      </c>
      <c r="BI319" s="8">
        <v>0</v>
      </c>
      <c r="BJ319" s="8">
        <v>0</v>
      </c>
      <c r="BK319" s="8">
        <v>0</v>
      </c>
      <c r="BL319" s="8">
        <v>0</v>
      </c>
      <c r="BM319" s="8">
        <v>0</v>
      </c>
      <c r="BN319" s="8">
        <v>0</v>
      </c>
      <c r="BO319" s="9">
        <f t="shared" si="156"/>
        <v>0</v>
      </c>
      <c r="BP319" s="8">
        <v>0</v>
      </c>
      <c r="BQ319" s="8">
        <v>0</v>
      </c>
      <c r="BR319" s="8">
        <v>0</v>
      </c>
      <c r="BS319" s="8">
        <v>0</v>
      </c>
      <c r="BT319" s="8">
        <v>0</v>
      </c>
      <c r="BU319" s="8">
        <v>0</v>
      </c>
      <c r="BV319" s="8">
        <v>0</v>
      </c>
      <c r="BW319" s="8">
        <v>0</v>
      </c>
      <c r="BX319" s="8">
        <v>0</v>
      </c>
      <c r="BY319" s="8">
        <v>0</v>
      </c>
      <c r="BZ319" s="8">
        <v>0</v>
      </c>
      <c r="CA319" s="8">
        <v>0</v>
      </c>
      <c r="CB319" s="9">
        <f t="shared" si="157"/>
        <v>0</v>
      </c>
      <c r="CC319" s="8">
        <v>0</v>
      </c>
      <c r="CD319" s="8">
        <v>0</v>
      </c>
      <c r="CE319" s="8">
        <v>0</v>
      </c>
      <c r="CF319" s="8">
        <v>0</v>
      </c>
      <c r="CG319" s="8">
        <v>0</v>
      </c>
      <c r="CH319" s="8">
        <v>0</v>
      </c>
      <c r="CI319" s="8">
        <v>0</v>
      </c>
      <c r="CJ319" s="8">
        <v>0</v>
      </c>
      <c r="CK319" s="8">
        <v>0</v>
      </c>
      <c r="CL319" s="8">
        <v>0</v>
      </c>
      <c r="CM319" s="8">
        <v>0</v>
      </c>
      <c r="CN319" s="8">
        <v>0</v>
      </c>
      <c r="CO319" s="9">
        <f t="shared" si="158"/>
        <v>0</v>
      </c>
      <c r="CP319" s="8">
        <v>0</v>
      </c>
      <c r="CQ319" s="8">
        <v>0</v>
      </c>
      <c r="CR319" s="8">
        <v>0</v>
      </c>
      <c r="CS319" s="8">
        <v>0</v>
      </c>
      <c r="CT319" s="8">
        <v>0</v>
      </c>
      <c r="CU319" s="8">
        <v>0</v>
      </c>
      <c r="CV319" s="8">
        <v>0</v>
      </c>
      <c r="CW319" s="8">
        <v>0</v>
      </c>
      <c r="CX319" s="8">
        <v>0</v>
      </c>
      <c r="CY319" s="8">
        <v>0</v>
      </c>
      <c r="CZ319" s="8">
        <v>0</v>
      </c>
      <c r="DA319" s="8">
        <v>0</v>
      </c>
      <c r="DB319" s="9">
        <f t="shared" si="159"/>
        <v>0</v>
      </c>
      <c r="DC319" s="8">
        <v>0</v>
      </c>
      <c r="DD319" s="8">
        <v>0</v>
      </c>
      <c r="DE319" s="8">
        <v>0</v>
      </c>
      <c r="DF319" s="8">
        <v>0</v>
      </c>
      <c r="DG319" s="8">
        <v>0</v>
      </c>
      <c r="DH319" s="8">
        <v>0</v>
      </c>
      <c r="DI319" s="8">
        <v>0</v>
      </c>
      <c r="DJ319" s="8">
        <v>0</v>
      </c>
      <c r="DK319" s="8">
        <v>0</v>
      </c>
      <c r="DL319" s="8">
        <v>0</v>
      </c>
      <c r="DM319" s="8">
        <v>0</v>
      </c>
      <c r="DN319" s="8">
        <v>0</v>
      </c>
      <c r="DO319" s="9">
        <f t="shared" si="160"/>
        <v>0</v>
      </c>
      <c r="DP319" s="8">
        <v>0</v>
      </c>
      <c r="DQ319" s="8">
        <v>0</v>
      </c>
      <c r="DR319" s="8">
        <v>0</v>
      </c>
      <c r="DS319" s="8">
        <v>0</v>
      </c>
      <c r="DT319" s="8">
        <v>0</v>
      </c>
      <c r="DU319" s="8">
        <v>0</v>
      </c>
      <c r="DV319" s="8">
        <v>0</v>
      </c>
      <c r="DW319" s="8">
        <v>0</v>
      </c>
      <c r="DX319" s="8">
        <v>0</v>
      </c>
      <c r="DY319" s="8">
        <v>0</v>
      </c>
      <c r="DZ319" s="8">
        <v>0</v>
      </c>
      <c r="EA319" s="8">
        <v>0</v>
      </c>
      <c r="EB319" s="9">
        <f t="shared" si="161"/>
        <v>0</v>
      </c>
      <c r="EC319" s="8">
        <v>0</v>
      </c>
      <c r="ED319" s="8">
        <v>0</v>
      </c>
      <c r="EE319" s="8">
        <v>0</v>
      </c>
      <c r="EF319" s="8">
        <v>0</v>
      </c>
      <c r="EG319" s="8">
        <v>0</v>
      </c>
      <c r="EH319" s="8">
        <v>0</v>
      </c>
      <c r="EI319" s="8">
        <v>0</v>
      </c>
      <c r="EJ319" s="8">
        <v>0</v>
      </c>
      <c r="EK319" s="8">
        <v>0</v>
      </c>
      <c r="EL319" s="8">
        <v>0</v>
      </c>
      <c r="EM319" s="8">
        <v>0</v>
      </c>
      <c r="EN319" s="8">
        <v>0</v>
      </c>
      <c r="EO319" s="9">
        <f t="shared" si="162"/>
        <v>0</v>
      </c>
      <c r="EP319" s="8">
        <v>0</v>
      </c>
      <c r="EQ319" s="8">
        <v>0</v>
      </c>
      <c r="ER319" s="8">
        <v>0</v>
      </c>
      <c r="ES319" s="8">
        <v>0</v>
      </c>
      <c r="ET319" s="8">
        <v>0</v>
      </c>
      <c r="EU319" s="8">
        <v>0</v>
      </c>
      <c r="EV319" s="8">
        <v>0</v>
      </c>
      <c r="EW319" s="8">
        <v>0</v>
      </c>
      <c r="EX319" s="8">
        <v>0</v>
      </c>
      <c r="EY319" s="8">
        <v>0</v>
      </c>
      <c r="EZ319" s="8">
        <v>0</v>
      </c>
      <c r="FA319" s="8">
        <v>0</v>
      </c>
      <c r="FB319" s="9">
        <f t="shared" si="163"/>
        <v>0</v>
      </c>
      <c r="FC319" s="8">
        <v>0</v>
      </c>
      <c r="FD319" s="8">
        <v>0</v>
      </c>
      <c r="FE319" s="8">
        <v>0</v>
      </c>
      <c r="FF319" s="8">
        <v>0</v>
      </c>
      <c r="FG319" s="8">
        <v>0</v>
      </c>
      <c r="FH319" s="8">
        <v>0</v>
      </c>
      <c r="FI319" s="8">
        <v>0</v>
      </c>
      <c r="FJ319" s="8"/>
      <c r="FK319" s="8"/>
      <c r="FL319" s="8"/>
      <c r="FM319" s="8"/>
      <c r="FN319" s="8"/>
      <c r="FO319" s="9">
        <f t="shared" si="164"/>
        <v>0</v>
      </c>
    </row>
    <row r="320" spans="2:171" ht="14.25" customHeight="1" x14ac:dyDescent="0.3">
      <c r="B320" s="7" t="s">
        <v>61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9">
        <f t="shared" si="152"/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9">
        <f t="shared" si="153"/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9">
        <f t="shared" si="154"/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v>0</v>
      </c>
      <c r="AZ320" s="8">
        <v>0</v>
      </c>
      <c r="BA320" s="8">
        <v>0</v>
      </c>
      <c r="BB320" s="9">
        <f t="shared" si="155"/>
        <v>0</v>
      </c>
      <c r="BC320" s="8">
        <v>0</v>
      </c>
      <c r="BD320" s="8">
        <v>0</v>
      </c>
      <c r="BE320" s="8">
        <v>0</v>
      </c>
      <c r="BF320" s="8">
        <v>0</v>
      </c>
      <c r="BG320" s="8">
        <v>0</v>
      </c>
      <c r="BH320" s="8">
        <v>0</v>
      </c>
      <c r="BI320" s="8">
        <v>0</v>
      </c>
      <c r="BJ320" s="8">
        <v>0</v>
      </c>
      <c r="BK320" s="8">
        <v>0</v>
      </c>
      <c r="BL320" s="8">
        <v>0</v>
      </c>
      <c r="BM320" s="8">
        <v>0</v>
      </c>
      <c r="BN320" s="8">
        <v>0</v>
      </c>
      <c r="BO320" s="9">
        <f t="shared" si="156"/>
        <v>0</v>
      </c>
      <c r="BP320" s="8">
        <v>0</v>
      </c>
      <c r="BQ320" s="8">
        <v>0</v>
      </c>
      <c r="BR320" s="8">
        <v>0</v>
      </c>
      <c r="BS320" s="8">
        <v>0</v>
      </c>
      <c r="BT320" s="8">
        <v>0</v>
      </c>
      <c r="BU320" s="8">
        <v>0</v>
      </c>
      <c r="BV320" s="8">
        <v>0</v>
      </c>
      <c r="BW320" s="8">
        <v>0</v>
      </c>
      <c r="BX320" s="8">
        <v>0</v>
      </c>
      <c r="BY320" s="8">
        <v>0</v>
      </c>
      <c r="BZ320" s="8">
        <v>0</v>
      </c>
      <c r="CA320" s="8">
        <v>0</v>
      </c>
      <c r="CB320" s="9">
        <f t="shared" si="157"/>
        <v>0</v>
      </c>
      <c r="CC320" s="8">
        <v>0</v>
      </c>
      <c r="CD320" s="8">
        <v>0</v>
      </c>
      <c r="CE320" s="8">
        <v>0</v>
      </c>
      <c r="CF320" s="8">
        <v>0</v>
      </c>
      <c r="CG320" s="8">
        <v>0</v>
      </c>
      <c r="CH320" s="8">
        <v>0</v>
      </c>
      <c r="CI320" s="8">
        <v>0</v>
      </c>
      <c r="CJ320" s="8">
        <v>0</v>
      </c>
      <c r="CK320" s="8">
        <v>0</v>
      </c>
      <c r="CL320" s="8">
        <v>0</v>
      </c>
      <c r="CM320" s="8">
        <v>0</v>
      </c>
      <c r="CN320" s="8">
        <v>0</v>
      </c>
      <c r="CO320" s="9">
        <f t="shared" si="158"/>
        <v>0</v>
      </c>
      <c r="CP320" s="8">
        <v>0</v>
      </c>
      <c r="CQ320" s="8">
        <v>0</v>
      </c>
      <c r="CR320" s="8">
        <v>0</v>
      </c>
      <c r="CS320" s="8">
        <v>0</v>
      </c>
      <c r="CT320" s="8">
        <v>0</v>
      </c>
      <c r="CU320" s="8">
        <v>0</v>
      </c>
      <c r="CV320" s="8">
        <v>0</v>
      </c>
      <c r="CW320" s="8">
        <v>0</v>
      </c>
      <c r="CX320" s="8">
        <v>0</v>
      </c>
      <c r="CY320" s="8">
        <v>0</v>
      </c>
      <c r="CZ320" s="8">
        <v>0</v>
      </c>
      <c r="DA320" s="8">
        <v>0</v>
      </c>
      <c r="DB320" s="9">
        <f t="shared" si="159"/>
        <v>0</v>
      </c>
      <c r="DC320" s="8">
        <v>0</v>
      </c>
      <c r="DD320" s="8">
        <v>0</v>
      </c>
      <c r="DE320" s="8">
        <v>0</v>
      </c>
      <c r="DF320" s="8">
        <v>0</v>
      </c>
      <c r="DG320" s="8">
        <v>0</v>
      </c>
      <c r="DH320" s="8">
        <v>0</v>
      </c>
      <c r="DI320" s="8">
        <v>0</v>
      </c>
      <c r="DJ320" s="8">
        <v>0</v>
      </c>
      <c r="DK320" s="8">
        <v>0</v>
      </c>
      <c r="DL320" s="8">
        <v>0</v>
      </c>
      <c r="DM320" s="8">
        <v>0</v>
      </c>
      <c r="DN320" s="8">
        <v>0</v>
      </c>
      <c r="DO320" s="9">
        <f t="shared" si="160"/>
        <v>0</v>
      </c>
      <c r="DP320" s="8">
        <v>0</v>
      </c>
      <c r="DQ320" s="8">
        <v>0</v>
      </c>
      <c r="DR320" s="8">
        <v>0</v>
      </c>
      <c r="DS320" s="8">
        <v>0</v>
      </c>
      <c r="DT320" s="8">
        <v>0</v>
      </c>
      <c r="DU320" s="8">
        <v>0</v>
      </c>
      <c r="DV320" s="8">
        <v>0</v>
      </c>
      <c r="DW320" s="8">
        <v>0</v>
      </c>
      <c r="DX320" s="8">
        <v>0</v>
      </c>
      <c r="DY320" s="8">
        <v>0</v>
      </c>
      <c r="DZ320" s="8">
        <v>0</v>
      </c>
      <c r="EA320" s="8">
        <v>0</v>
      </c>
      <c r="EB320" s="9">
        <f t="shared" si="161"/>
        <v>0</v>
      </c>
      <c r="EC320" s="8">
        <v>0</v>
      </c>
      <c r="ED320" s="8">
        <v>0</v>
      </c>
      <c r="EE320" s="8">
        <v>0</v>
      </c>
      <c r="EF320" s="8">
        <v>0</v>
      </c>
      <c r="EG320" s="8">
        <v>0</v>
      </c>
      <c r="EH320" s="8">
        <v>0</v>
      </c>
      <c r="EI320" s="8">
        <v>0</v>
      </c>
      <c r="EJ320" s="8">
        <v>0</v>
      </c>
      <c r="EK320" s="8">
        <v>0</v>
      </c>
      <c r="EL320" s="8">
        <v>0</v>
      </c>
      <c r="EM320" s="8">
        <v>0</v>
      </c>
      <c r="EN320" s="8">
        <v>0</v>
      </c>
      <c r="EO320" s="9">
        <f t="shared" si="162"/>
        <v>0</v>
      </c>
      <c r="EP320" s="8">
        <v>0</v>
      </c>
      <c r="EQ320" s="8">
        <v>0</v>
      </c>
      <c r="ER320" s="8">
        <v>0</v>
      </c>
      <c r="ES320" s="8">
        <v>0</v>
      </c>
      <c r="ET320" s="8">
        <v>0</v>
      </c>
      <c r="EU320" s="8">
        <v>0</v>
      </c>
      <c r="EV320" s="8">
        <v>0</v>
      </c>
      <c r="EW320" s="8">
        <v>0</v>
      </c>
      <c r="EX320" s="8">
        <v>0</v>
      </c>
      <c r="EY320" s="8">
        <v>0</v>
      </c>
      <c r="EZ320" s="8">
        <v>0</v>
      </c>
      <c r="FA320" s="8">
        <v>0</v>
      </c>
      <c r="FB320" s="9">
        <f t="shared" si="163"/>
        <v>0</v>
      </c>
      <c r="FC320" s="8">
        <v>0</v>
      </c>
      <c r="FD320" s="8">
        <v>0</v>
      </c>
      <c r="FE320" s="8">
        <v>0</v>
      </c>
      <c r="FF320" s="8">
        <v>0</v>
      </c>
      <c r="FG320" s="8">
        <v>0</v>
      </c>
      <c r="FH320" s="8">
        <v>0</v>
      </c>
      <c r="FI320" s="8">
        <v>0</v>
      </c>
      <c r="FJ320" s="8"/>
      <c r="FK320" s="8"/>
      <c r="FL320" s="8"/>
      <c r="FM320" s="8"/>
      <c r="FN320" s="8"/>
      <c r="FO320" s="9">
        <f t="shared" si="164"/>
        <v>0</v>
      </c>
    </row>
    <row r="321" spans="2:171" ht="14.25" customHeight="1" x14ac:dyDescent="0.3">
      <c r="B321" s="7" t="s">
        <v>62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9">
        <f t="shared" si="152"/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9">
        <f t="shared" si="153"/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9">
        <f t="shared" si="154"/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v>0</v>
      </c>
      <c r="AZ321" s="8">
        <v>0</v>
      </c>
      <c r="BA321" s="8">
        <v>0</v>
      </c>
      <c r="BB321" s="9">
        <f t="shared" si="155"/>
        <v>0</v>
      </c>
      <c r="BC321" s="8">
        <v>0</v>
      </c>
      <c r="BD321" s="8">
        <v>0</v>
      </c>
      <c r="BE321" s="8">
        <v>0</v>
      </c>
      <c r="BF321" s="8">
        <v>0</v>
      </c>
      <c r="BG321" s="8">
        <v>0</v>
      </c>
      <c r="BH321" s="8">
        <v>0</v>
      </c>
      <c r="BI321" s="8">
        <v>0</v>
      </c>
      <c r="BJ321" s="8">
        <v>0</v>
      </c>
      <c r="BK321" s="8">
        <v>0</v>
      </c>
      <c r="BL321" s="8">
        <v>0</v>
      </c>
      <c r="BM321" s="8">
        <v>0</v>
      </c>
      <c r="BN321" s="8">
        <v>0</v>
      </c>
      <c r="BO321" s="9">
        <f t="shared" si="156"/>
        <v>0</v>
      </c>
      <c r="BP321" s="8">
        <v>0</v>
      </c>
      <c r="BQ321" s="8">
        <v>0</v>
      </c>
      <c r="BR321" s="8">
        <v>0</v>
      </c>
      <c r="BS321" s="8">
        <v>0</v>
      </c>
      <c r="BT321" s="8">
        <v>0</v>
      </c>
      <c r="BU321" s="8">
        <v>0</v>
      </c>
      <c r="BV321" s="8">
        <v>0</v>
      </c>
      <c r="BW321" s="8">
        <v>0</v>
      </c>
      <c r="BX321" s="8">
        <v>0</v>
      </c>
      <c r="BY321" s="8">
        <v>0</v>
      </c>
      <c r="BZ321" s="8">
        <v>0</v>
      </c>
      <c r="CA321" s="8">
        <v>0</v>
      </c>
      <c r="CB321" s="9">
        <f t="shared" si="157"/>
        <v>0</v>
      </c>
      <c r="CC321" s="8">
        <v>0</v>
      </c>
      <c r="CD321" s="8">
        <v>0</v>
      </c>
      <c r="CE321" s="8">
        <v>0</v>
      </c>
      <c r="CF321" s="8">
        <v>0</v>
      </c>
      <c r="CG321" s="8">
        <v>0</v>
      </c>
      <c r="CH321" s="8">
        <v>0</v>
      </c>
      <c r="CI321" s="8">
        <v>0</v>
      </c>
      <c r="CJ321" s="8">
        <v>0</v>
      </c>
      <c r="CK321" s="8">
        <v>0</v>
      </c>
      <c r="CL321" s="8">
        <v>0</v>
      </c>
      <c r="CM321" s="8">
        <v>0</v>
      </c>
      <c r="CN321" s="8">
        <v>0</v>
      </c>
      <c r="CO321" s="9">
        <f t="shared" si="158"/>
        <v>0</v>
      </c>
      <c r="CP321" s="8">
        <v>0</v>
      </c>
      <c r="CQ321" s="8">
        <v>0</v>
      </c>
      <c r="CR321" s="8">
        <v>0</v>
      </c>
      <c r="CS321" s="8">
        <v>0</v>
      </c>
      <c r="CT321" s="8">
        <v>0</v>
      </c>
      <c r="CU321" s="8">
        <v>0</v>
      </c>
      <c r="CV321" s="8">
        <v>0</v>
      </c>
      <c r="CW321" s="8">
        <v>0</v>
      </c>
      <c r="CX321" s="8">
        <v>0</v>
      </c>
      <c r="CY321" s="8">
        <v>0</v>
      </c>
      <c r="CZ321" s="8">
        <v>0</v>
      </c>
      <c r="DA321" s="8">
        <v>0</v>
      </c>
      <c r="DB321" s="9">
        <f t="shared" si="159"/>
        <v>0</v>
      </c>
      <c r="DC321" s="8">
        <v>0</v>
      </c>
      <c r="DD321" s="8">
        <v>0</v>
      </c>
      <c r="DE321" s="8">
        <v>0</v>
      </c>
      <c r="DF321" s="8">
        <v>0</v>
      </c>
      <c r="DG321" s="8">
        <v>0</v>
      </c>
      <c r="DH321" s="8">
        <v>0</v>
      </c>
      <c r="DI321" s="8">
        <v>0</v>
      </c>
      <c r="DJ321" s="8">
        <v>0</v>
      </c>
      <c r="DK321" s="8">
        <v>0</v>
      </c>
      <c r="DL321" s="8">
        <v>0</v>
      </c>
      <c r="DM321" s="8">
        <v>0</v>
      </c>
      <c r="DN321" s="8">
        <v>0</v>
      </c>
      <c r="DO321" s="9">
        <f t="shared" si="160"/>
        <v>0</v>
      </c>
      <c r="DP321" s="8">
        <v>0</v>
      </c>
      <c r="DQ321" s="8">
        <v>0</v>
      </c>
      <c r="DR321" s="8">
        <v>0</v>
      </c>
      <c r="DS321" s="8">
        <v>0</v>
      </c>
      <c r="DT321" s="8">
        <v>0</v>
      </c>
      <c r="DU321" s="8">
        <v>0</v>
      </c>
      <c r="DV321" s="8">
        <v>0</v>
      </c>
      <c r="DW321" s="8">
        <v>0</v>
      </c>
      <c r="DX321" s="8">
        <v>0</v>
      </c>
      <c r="DY321" s="8">
        <v>0</v>
      </c>
      <c r="DZ321" s="8">
        <v>0</v>
      </c>
      <c r="EA321" s="8">
        <v>0</v>
      </c>
      <c r="EB321" s="9">
        <f t="shared" si="161"/>
        <v>0</v>
      </c>
      <c r="EC321" s="8">
        <v>0</v>
      </c>
      <c r="ED321" s="8">
        <v>0</v>
      </c>
      <c r="EE321" s="8">
        <v>0</v>
      </c>
      <c r="EF321" s="8">
        <v>0</v>
      </c>
      <c r="EG321" s="8">
        <v>0</v>
      </c>
      <c r="EH321" s="8">
        <v>0</v>
      </c>
      <c r="EI321" s="8">
        <v>0</v>
      </c>
      <c r="EJ321" s="8">
        <v>0</v>
      </c>
      <c r="EK321" s="8">
        <v>0</v>
      </c>
      <c r="EL321" s="8">
        <v>0</v>
      </c>
      <c r="EM321" s="8">
        <v>0</v>
      </c>
      <c r="EN321" s="8">
        <v>0</v>
      </c>
      <c r="EO321" s="9">
        <f t="shared" si="162"/>
        <v>0</v>
      </c>
      <c r="EP321" s="8">
        <v>0</v>
      </c>
      <c r="EQ321" s="8">
        <v>0</v>
      </c>
      <c r="ER321" s="8">
        <v>0</v>
      </c>
      <c r="ES321" s="8">
        <v>0</v>
      </c>
      <c r="ET321" s="8">
        <v>0</v>
      </c>
      <c r="EU321" s="8">
        <v>0</v>
      </c>
      <c r="EV321" s="8">
        <v>0</v>
      </c>
      <c r="EW321" s="8">
        <v>0</v>
      </c>
      <c r="EX321" s="8">
        <v>0</v>
      </c>
      <c r="EY321" s="8">
        <v>0</v>
      </c>
      <c r="EZ321" s="8">
        <v>0</v>
      </c>
      <c r="FA321" s="8">
        <v>0</v>
      </c>
      <c r="FB321" s="9">
        <f t="shared" si="163"/>
        <v>0</v>
      </c>
      <c r="FC321" s="8">
        <v>0</v>
      </c>
      <c r="FD321" s="8">
        <v>0</v>
      </c>
      <c r="FE321" s="8">
        <v>0</v>
      </c>
      <c r="FF321" s="8">
        <v>0</v>
      </c>
      <c r="FG321" s="8">
        <v>0</v>
      </c>
      <c r="FH321" s="8">
        <v>0</v>
      </c>
      <c r="FI321" s="8">
        <v>0</v>
      </c>
      <c r="FJ321" s="8"/>
      <c r="FK321" s="8"/>
      <c r="FL321" s="8"/>
      <c r="FM321" s="8"/>
      <c r="FN321" s="8"/>
      <c r="FO321" s="9">
        <f t="shared" si="164"/>
        <v>0</v>
      </c>
    </row>
    <row r="322" spans="2:171" ht="14.25" customHeight="1" x14ac:dyDescent="0.3">
      <c r="B322" s="7" t="s">
        <v>63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9">
        <f t="shared" si="152"/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9">
        <f t="shared" si="153"/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9">
        <f t="shared" si="154"/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v>0</v>
      </c>
      <c r="AZ322" s="8">
        <v>0</v>
      </c>
      <c r="BA322" s="8">
        <v>0</v>
      </c>
      <c r="BB322" s="9">
        <f t="shared" si="155"/>
        <v>0</v>
      </c>
      <c r="BC322" s="8">
        <v>0</v>
      </c>
      <c r="BD322" s="8">
        <v>0</v>
      </c>
      <c r="BE322" s="8">
        <v>0</v>
      </c>
      <c r="BF322" s="8">
        <v>0</v>
      </c>
      <c r="BG322" s="8">
        <v>0</v>
      </c>
      <c r="BH322" s="8">
        <v>0</v>
      </c>
      <c r="BI322" s="8">
        <v>0</v>
      </c>
      <c r="BJ322" s="8">
        <v>0</v>
      </c>
      <c r="BK322" s="8">
        <v>0</v>
      </c>
      <c r="BL322" s="8">
        <v>0</v>
      </c>
      <c r="BM322" s="8">
        <v>0</v>
      </c>
      <c r="BN322" s="8">
        <v>0</v>
      </c>
      <c r="BO322" s="9">
        <f t="shared" si="156"/>
        <v>0</v>
      </c>
      <c r="BP322" s="8">
        <v>0</v>
      </c>
      <c r="BQ322" s="8">
        <v>0</v>
      </c>
      <c r="BR322" s="8">
        <v>0</v>
      </c>
      <c r="BS322" s="8">
        <v>0</v>
      </c>
      <c r="BT322" s="8">
        <v>0</v>
      </c>
      <c r="BU322" s="8">
        <v>0</v>
      </c>
      <c r="BV322" s="8">
        <v>0</v>
      </c>
      <c r="BW322" s="8">
        <v>0</v>
      </c>
      <c r="BX322" s="8">
        <v>0</v>
      </c>
      <c r="BY322" s="8">
        <v>0</v>
      </c>
      <c r="BZ322" s="8">
        <v>0</v>
      </c>
      <c r="CA322" s="8">
        <v>0</v>
      </c>
      <c r="CB322" s="9">
        <f t="shared" si="157"/>
        <v>0</v>
      </c>
      <c r="CC322" s="8">
        <v>0</v>
      </c>
      <c r="CD322" s="8">
        <v>0</v>
      </c>
      <c r="CE322" s="8">
        <v>0</v>
      </c>
      <c r="CF322" s="8">
        <v>0</v>
      </c>
      <c r="CG322" s="8">
        <v>0</v>
      </c>
      <c r="CH322" s="8">
        <v>0</v>
      </c>
      <c r="CI322" s="8">
        <v>0</v>
      </c>
      <c r="CJ322" s="8">
        <v>0</v>
      </c>
      <c r="CK322" s="8">
        <v>0</v>
      </c>
      <c r="CL322" s="8">
        <v>0</v>
      </c>
      <c r="CM322" s="8">
        <v>0</v>
      </c>
      <c r="CN322" s="8">
        <v>0</v>
      </c>
      <c r="CO322" s="9">
        <f t="shared" si="158"/>
        <v>0</v>
      </c>
      <c r="CP322" s="8">
        <v>0</v>
      </c>
      <c r="CQ322" s="8">
        <v>0</v>
      </c>
      <c r="CR322" s="8">
        <v>0</v>
      </c>
      <c r="CS322" s="8">
        <v>0</v>
      </c>
      <c r="CT322" s="8">
        <v>0</v>
      </c>
      <c r="CU322" s="8">
        <v>0</v>
      </c>
      <c r="CV322" s="8">
        <v>0</v>
      </c>
      <c r="CW322" s="8">
        <v>0</v>
      </c>
      <c r="CX322" s="8">
        <v>0</v>
      </c>
      <c r="CY322" s="8">
        <v>0</v>
      </c>
      <c r="CZ322" s="8">
        <v>0</v>
      </c>
      <c r="DA322" s="8">
        <v>0</v>
      </c>
      <c r="DB322" s="9">
        <f t="shared" si="159"/>
        <v>0</v>
      </c>
      <c r="DC322" s="8">
        <v>0</v>
      </c>
      <c r="DD322" s="8">
        <v>0</v>
      </c>
      <c r="DE322" s="8">
        <v>0</v>
      </c>
      <c r="DF322" s="8">
        <v>0</v>
      </c>
      <c r="DG322" s="8">
        <v>0</v>
      </c>
      <c r="DH322" s="8">
        <v>0</v>
      </c>
      <c r="DI322" s="8">
        <v>0</v>
      </c>
      <c r="DJ322" s="8">
        <v>0</v>
      </c>
      <c r="DK322" s="8">
        <v>0</v>
      </c>
      <c r="DL322" s="8">
        <v>0</v>
      </c>
      <c r="DM322" s="8">
        <v>0</v>
      </c>
      <c r="DN322" s="8">
        <v>0</v>
      </c>
      <c r="DO322" s="9">
        <f t="shared" si="160"/>
        <v>0</v>
      </c>
      <c r="DP322" s="8">
        <v>0</v>
      </c>
      <c r="DQ322" s="8">
        <v>0</v>
      </c>
      <c r="DR322" s="8">
        <v>0</v>
      </c>
      <c r="DS322" s="8">
        <v>0</v>
      </c>
      <c r="DT322" s="8">
        <v>0</v>
      </c>
      <c r="DU322" s="8">
        <v>0</v>
      </c>
      <c r="DV322" s="8">
        <v>0</v>
      </c>
      <c r="DW322" s="8">
        <v>0</v>
      </c>
      <c r="DX322" s="8">
        <v>0</v>
      </c>
      <c r="DY322" s="8">
        <v>0</v>
      </c>
      <c r="DZ322" s="8">
        <v>0</v>
      </c>
      <c r="EA322" s="8">
        <v>0</v>
      </c>
      <c r="EB322" s="9">
        <f t="shared" si="161"/>
        <v>0</v>
      </c>
      <c r="EC322" s="8">
        <v>0</v>
      </c>
      <c r="ED322" s="8">
        <v>0</v>
      </c>
      <c r="EE322" s="8">
        <v>0</v>
      </c>
      <c r="EF322" s="8">
        <v>0</v>
      </c>
      <c r="EG322" s="8">
        <v>0</v>
      </c>
      <c r="EH322" s="8">
        <v>0</v>
      </c>
      <c r="EI322" s="8">
        <v>0</v>
      </c>
      <c r="EJ322" s="8">
        <v>0</v>
      </c>
      <c r="EK322" s="8">
        <v>0</v>
      </c>
      <c r="EL322" s="8">
        <v>0</v>
      </c>
      <c r="EM322" s="8">
        <v>0</v>
      </c>
      <c r="EN322" s="8">
        <v>0</v>
      </c>
      <c r="EO322" s="9">
        <f t="shared" si="162"/>
        <v>0</v>
      </c>
      <c r="EP322" s="8">
        <v>0</v>
      </c>
      <c r="EQ322" s="8">
        <v>0</v>
      </c>
      <c r="ER322" s="8">
        <v>0</v>
      </c>
      <c r="ES322" s="8">
        <v>0</v>
      </c>
      <c r="ET322" s="8">
        <v>0</v>
      </c>
      <c r="EU322" s="8">
        <v>0</v>
      </c>
      <c r="EV322" s="8">
        <v>0</v>
      </c>
      <c r="EW322" s="8">
        <v>0</v>
      </c>
      <c r="EX322" s="8">
        <v>0</v>
      </c>
      <c r="EY322" s="8">
        <v>0</v>
      </c>
      <c r="EZ322" s="8">
        <v>0</v>
      </c>
      <c r="FA322" s="8">
        <v>0</v>
      </c>
      <c r="FB322" s="9">
        <f t="shared" si="163"/>
        <v>0</v>
      </c>
      <c r="FC322" s="8">
        <v>0</v>
      </c>
      <c r="FD322" s="8">
        <v>0</v>
      </c>
      <c r="FE322" s="8">
        <v>0</v>
      </c>
      <c r="FF322" s="8">
        <v>0</v>
      </c>
      <c r="FG322" s="8">
        <v>0</v>
      </c>
      <c r="FH322" s="8">
        <v>0</v>
      </c>
      <c r="FI322" s="8">
        <v>0</v>
      </c>
      <c r="FJ322" s="8"/>
      <c r="FK322" s="8"/>
      <c r="FL322" s="8"/>
      <c r="FM322" s="8"/>
      <c r="FN322" s="8"/>
      <c r="FO322" s="9">
        <f t="shared" si="164"/>
        <v>0</v>
      </c>
    </row>
    <row r="323" spans="2:171" ht="14.25" customHeight="1" x14ac:dyDescent="0.3">
      <c r="B323" s="7" t="s">
        <v>64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9">
        <f t="shared" si="152"/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9">
        <f t="shared" si="153"/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9">
        <f t="shared" si="154"/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v>0</v>
      </c>
      <c r="AZ323" s="8">
        <v>0</v>
      </c>
      <c r="BA323" s="8">
        <v>0</v>
      </c>
      <c r="BB323" s="9">
        <f t="shared" si="155"/>
        <v>0</v>
      </c>
      <c r="BC323" s="8">
        <v>0</v>
      </c>
      <c r="BD323" s="8">
        <v>0</v>
      </c>
      <c r="BE323" s="8">
        <v>0</v>
      </c>
      <c r="BF323" s="8">
        <v>0</v>
      </c>
      <c r="BG323" s="8">
        <v>0</v>
      </c>
      <c r="BH323" s="8">
        <v>0</v>
      </c>
      <c r="BI323" s="8">
        <v>0</v>
      </c>
      <c r="BJ323" s="8">
        <v>0</v>
      </c>
      <c r="BK323" s="8">
        <v>0</v>
      </c>
      <c r="BL323" s="8">
        <v>0</v>
      </c>
      <c r="BM323" s="8">
        <v>0</v>
      </c>
      <c r="BN323" s="8">
        <v>0</v>
      </c>
      <c r="BO323" s="9">
        <f t="shared" si="156"/>
        <v>0</v>
      </c>
      <c r="BP323" s="8">
        <v>0</v>
      </c>
      <c r="BQ323" s="8">
        <v>0</v>
      </c>
      <c r="BR323" s="8">
        <v>0</v>
      </c>
      <c r="BS323" s="8">
        <v>0</v>
      </c>
      <c r="BT323" s="8">
        <v>0</v>
      </c>
      <c r="BU323" s="8">
        <v>0</v>
      </c>
      <c r="BV323" s="8">
        <v>0</v>
      </c>
      <c r="BW323" s="8">
        <v>0</v>
      </c>
      <c r="BX323" s="8">
        <v>0</v>
      </c>
      <c r="BY323" s="8">
        <v>0</v>
      </c>
      <c r="BZ323" s="8">
        <v>0</v>
      </c>
      <c r="CA323" s="8">
        <v>0</v>
      </c>
      <c r="CB323" s="9">
        <f t="shared" si="157"/>
        <v>0</v>
      </c>
      <c r="CC323" s="8">
        <v>0</v>
      </c>
      <c r="CD323" s="8">
        <v>0</v>
      </c>
      <c r="CE323" s="8">
        <v>0</v>
      </c>
      <c r="CF323" s="8">
        <v>0</v>
      </c>
      <c r="CG323" s="8">
        <v>0</v>
      </c>
      <c r="CH323" s="8">
        <v>0</v>
      </c>
      <c r="CI323" s="8">
        <v>0</v>
      </c>
      <c r="CJ323" s="8">
        <v>0</v>
      </c>
      <c r="CK323" s="8">
        <v>0</v>
      </c>
      <c r="CL323" s="8">
        <v>0</v>
      </c>
      <c r="CM323" s="8">
        <v>0</v>
      </c>
      <c r="CN323" s="8">
        <v>0</v>
      </c>
      <c r="CO323" s="9">
        <f t="shared" si="158"/>
        <v>0</v>
      </c>
      <c r="CP323" s="8">
        <v>0</v>
      </c>
      <c r="CQ323" s="8">
        <v>0</v>
      </c>
      <c r="CR323" s="8">
        <v>0</v>
      </c>
      <c r="CS323" s="8">
        <v>0</v>
      </c>
      <c r="CT323" s="8">
        <v>0</v>
      </c>
      <c r="CU323" s="8">
        <v>0</v>
      </c>
      <c r="CV323" s="8">
        <v>0</v>
      </c>
      <c r="CW323" s="8">
        <v>0</v>
      </c>
      <c r="CX323" s="8">
        <v>0</v>
      </c>
      <c r="CY323" s="8">
        <v>0</v>
      </c>
      <c r="CZ323" s="8">
        <v>0</v>
      </c>
      <c r="DA323" s="8">
        <v>0</v>
      </c>
      <c r="DB323" s="9">
        <f t="shared" si="159"/>
        <v>0</v>
      </c>
      <c r="DC323" s="8">
        <v>0</v>
      </c>
      <c r="DD323" s="8">
        <v>0</v>
      </c>
      <c r="DE323" s="8">
        <v>0</v>
      </c>
      <c r="DF323" s="8">
        <v>0</v>
      </c>
      <c r="DG323" s="8">
        <v>0</v>
      </c>
      <c r="DH323" s="8">
        <v>0</v>
      </c>
      <c r="DI323" s="8">
        <v>0</v>
      </c>
      <c r="DJ323" s="8">
        <v>0</v>
      </c>
      <c r="DK323" s="8">
        <v>0</v>
      </c>
      <c r="DL323" s="8">
        <v>0</v>
      </c>
      <c r="DM323" s="8">
        <v>0</v>
      </c>
      <c r="DN323" s="8">
        <v>0</v>
      </c>
      <c r="DO323" s="9">
        <f t="shared" si="160"/>
        <v>0</v>
      </c>
      <c r="DP323" s="8">
        <v>0</v>
      </c>
      <c r="DQ323" s="8">
        <v>0</v>
      </c>
      <c r="DR323" s="8">
        <v>0</v>
      </c>
      <c r="DS323" s="8">
        <v>0</v>
      </c>
      <c r="DT323" s="8">
        <v>0</v>
      </c>
      <c r="DU323" s="8">
        <v>0</v>
      </c>
      <c r="DV323" s="8">
        <v>0</v>
      </c>
      <c r="DW323" s="8">
        <v>0</v>
      </c>
      <c r="DX323" s="8">
        <v>0</v>
      </c>
      <c r="DY323" s="8">
        <v>0</v>
      </c>
      <c r="DZ323" s="8">
        <v>0</v>
      </c>
      <c r="EA323" s="8">
        <v>0</v>
      </c>
      <c r="EB323" s="9">
        <f t="shared" si="161"/>
        <v>0</v>
      </c>
      <c r="EC323" s="8">
        <v>0</v>
      </c>
      <c r="ED323" s="8">
        <v>0</v>
      </c>
      <c r="EE323" s="8">
        <v>0</v>
      </c>
      <c r="EF323" s="8">
        <v>0</v>
      </c>
      <c r="EG323" s="8">
        <v>0</v>
      </c>
      <c r="EH323" s="8">
        <v>0</v>
      </c>
      <c r="EI323" s="8">
        <v>0</v>
      </c>
      <c r="EJ323" s="8">
        <v>0</v>
      </c>
      <c r="EK323" s="8">
        <v>0</v>
      </c>
      <c r="EL323" s="8">
        <v>0</v>
      </c>
      <c r="EM323" s="8">
        <v>0</v>
      </c>
      <c r="EN323" s="8">
        <v>0</v>
      </c>
      <c r="EO323" s="9">
        <f t="shared" si="162"/>
        <v>0</v>
      </c>
      <c r="EP323" s="8">
        <v>0</v>
      </c>
      <c r="EQ323" s="8">
        <v>0</v>
      </c>
      <c r="ER323" s="8">
        <v>0</v>
      </c>
      <c r="ES323" s="8">
        <v>0</v>
      </c>
      <c r="ET323" s="8">
        <v>0</v>
      </c>
      <c r="EU323" s="8">
        <v>0</v>
      </c>
      <c r="EV323" s="8">
        <v>0</v>
      </c>
      <c r="EW323" s="8">
        <v>0</v>
      </c>
      <c r="EX323" s="8">
        <v>0</v>
      </c>
      <c r="EY323" s="8">
        <v>0</v>
      </c>
      <c r="EZ323" s="8">
        <v>0</v>
      </c>
      <c r="FA323" s="8">
        <v>0</v>
      </c>
      <c r="FB323" s="9">
        <f t="shared" si="163"/>
        <v>0</v>
      </c>
      <c r="FC323" s="8">
        <v>0</v>
      </c>
      <c r="FD323" s="8">
        <v>0</v>
      </c>
      <c r="FE323" s="8">
        <v>0</v>
      </c>
      <c r="FF323" s="8">
        <v>0</v>
      </c>
      <c r="FG323" s="8">
        <v>0</v>
      </c>
      <c r="FH323" s="8">
        <v>0</v>
      </c>
      <c r="FI323" s="8">
        <v>0</v>
      </c>
      <c r="FJ323" s="8"/>
      <c r="FK323" s="8"/>
      <c r="FL323" s="8"/>
      <c r="FM323" s="8"/>
      <c r="FN323" s="8"/>
      <c r="FO323" s="9">
        <f t="shared" si="164"/>
        <v>0</v>
      </c>
    </row>
    <row r="324" spans="2:171" ht="14.25" customHeight="1" x14ac:dyDescent="0.3">
      <c r="B324" s="7" t="s">
        <v>65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9">
        <f t="shared" si="152"/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9">
        <f t="shared" si="153"/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9">
        <f t="shared" si="154"/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</v>
      </c>
      <c r="BB324" s="9">
        <f t="shared" si="155"/>
        <v>0</v>
      </c>
      <c r="BC324" s="8">
        <v>0</v>
      </c>
      <c r="BD324" s="8">
        <v>0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</v>
      </c>
      <c r="BO324" s="9">
        <f t="shared" si="156"/>
        <v>0</v>
      </c>
      <c r="BP324" s="8">
        <v>0</v>
      </c>
      <c r="BQ324" s="8">
        <v>0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9">
        <f t="shared" si="157"/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9">
        <f t="shared" si="158"/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</v>
      </c>
      <c r="CX324" s="8">
        <v>0</v>
      </c>
      <c r="CY324" s="8">
        <v>0</v>
      </c>
      <c r="CZ324" s="8">
        <v>0</v>
      </c>
      <c r="DA324" s="8">
        <v>0</v>
      </c>
      <c r="DB324" s="9">
        <f t="shared" si="159"/>
        <v>0</v>
      </c>
      <c r="DC324" s="8">
        <v>0</v>
      </c>
      <c r="DD324" s="8">
        <v>0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0</v>
      </c>
      <c r="DL324" s="8">
        <v>0</v>
      </c>
      <c r="DM324" s="8">
        <v>0</v>
      </c>
      <c r="DN324" s="8">
        <v>0</v>
      </c>
      <c r="DO324" s="9">
        <f t="shared" si="160"/>
        <v>0</v>
      </c>
      <c r="DP324" s="8">
        <v>0</v>
      </c>
      <c r="DQ324" s="8">
        <v>0</v>
      </c>
      <c r="DR324" s="8">
        <v>0</v>
      </c>
      <c r="DS324" s="8">
        <v>0</v>
      </c>
      <c r="DT324" s="8">
        <v>0</v>
      </c>
      <c r="DU324" s="8">
        <v>0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0</v>
      </c>
      <c r="EB324" s="9">
        <f t="shared" si="161"/>
        <v>0</v>
      </c>
      <c r="EC324" s="8">
        <v>0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</v>
      </c>
      <c r="EO324" s="9">
        <f t="shared" si="162"/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9">
        <f t="shared" si="163"/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</v>
      </c>
      <c r="FJ324" s="8"/>
      <c r="FK324" s="8"/>
      <c r="FL324" s="8"/>
      <c r="FM324" s="8"/>
      <c r="FN324" s="8"/>
      <c r="FO324" s="9">
        <f t="shared" si="164"/>
        <v>0</v>
      </c>
    </row>
    <row r="325" spans="2:171" ht="14.25" customHeight="1" x14ac:dyDescent="0.3">
      <c r="B325" s="7" t="s">
        <v>66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9">
        <f t="shared" si="152"/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9">
        <f t="shared" si="153"/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9">
        <f t="shared" si="154"/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v>0</v>
      </c>
      <c r="AZ325" s="8">
        <v>0</v>
      </c>
      <c r="BA325" s="8">
        <v>0</v>
      </c>
      <c r="BB325" s="9">
        <f t="shared" si="155"/>
        <v>0</v>
      </c>
      <c r="BC325" s="8">
        <v>0</v>
      </c>
      <c r="BD325" s="8">
        <v>0</v>
      </c>
      <c r="BE325" s="8">
        <v>0</v>
      </c>
      <c r="BF325" s="8">
        <v>0</v>
      </c>
      <c r="BG325" s="8">
        <v>0</v>
      </c>
      <c r="BH325" s="8">
        <v>0</v>
      </c>
      <c r="BI325" s="8">
        <v>0</v>
      </c>
      <c r="BJ325" s="8">
        <v>0</v>
      </c>
      <c r="BK325" s="8">
        <v>0</v>
      </c>
      <c r="BL325" s="8">
        <v>0</v>
      </c>
      <c r="BM325" s="8">
        <v>0</v>
      </c>
      <c r="BN325" s="8">
        <v>0</v>
      </c>
      <c r="BO325" s="9">
        <f t="shared" si="156"/>
        <v>0</v>
      </c>
      <c r="BP325" s="8">
        <v>0</v>
      </c>
      <c r="BQ325" s="8">
        <v>0</v>
      </c>
      <c r="BR325" s="8">
        <v>0</v>
      </c>
      <c r="BS325" s="8">
        <v>0</v>
      </c>
      <c r="BT325" s="8">
        <v>0</v>
      </c>
      <c r="BU325" s="8">
        <v>0</v>
      </c>
      <c r="BV325" s="8">
        <v>0</v>
      </c>
      <c r="BW325" s="8">
        <v>0</v>
      </c>
      <c r="BX325" s="8">
        <v>0</v>
      </c>
      <c r="BY325" s="8">
        <v>0</v>
      </c>
      <c r="BZ325" s="8">
        <v>0</v>
      </c>
      <c r="CA325" s="8">
        <v>0</v>
      </c>
      <c r="CB325" s="9">
        <f t="shared" si="157"/>
        <v>0</v>
      </c>
      <c r="CC325" s="8">
        <v>0</v>
      </c>
      <c r="CD325" s="8">
        <v>0</v>
      </c>
      <c r="CE325" s="8">
        <v>0</v>
      </c>
      <c r="CF325" s="8">
        <v>0</v>
      </c>
      <c r="CG325" s="8">
        <v>0</v>
      </c>
      <c r="CH325" s="8">
        <v>0</v>
      </c>
      <c r="CI325" s="8">
        <v>0</v>
      </c>
      <c r="CJ325" s="8">
        <v>0</v>
      </c>
      <c r="CK325" s="8">
        <v>0</v>
      </c>
      <c r="CL325" s="8">
        <v>0</v>
      </c>
      <c r="CM325" s="8">
        <v>0</v>
      </c>
      <c r="CN325" s="8">
        <v>0</v>
      </c>
      <c r="CO325" s="9">
        <f t="shared" si="158"/>
        <v>0</v>
      </c>
      <c r="CP325" s="8">
        <v>0</v>
      </c>
      <c r="CQ325" s="8">
        <v>0</v>
      </c>
      <c r="CR325" s="8">
        <v>0</v>
      </c>
      <c r="CS325" s="8">
        <v>0</v>
      </c>
      <c r="CT325" s="8">
        <v>0</v>
      </c>
      <c r="CU325" s="8">
        <v>0</v>
      </c>
      <c r="CV325" s="8">
        <v>0</v>
      </c>
      <c r="CW325" s="8">
        <v>0</v>
      </c>
      <c r="CX325" s="8">
        <v>0</v>
      </c>
      <c r="CY325" s="8">
        <v>0</v>
      </c>
      <c r="CZ325" s="8">
        <v>0</v>
      </c>
      <c r="DA325" s="8">
        <v>0</v>
      </c>
      <c r="DB325" s="9">
        <f t="shared" si="159"/>
        <v>0</v>
      </c>
      <c r="DC325" s="8">
        <v>0</v>
      </c>
      <c r="DD325" s="8">
        <v>0</v>
      </c>
      <c r="DE325" s="8">
        <v>0</v>
      </c>
      <c r="DF325" s="8">
        <v>0</v>
      </c>
      <c r="DG325" s="8">
        <v>0</v>
      </c>
      <c r="DH325" s="8">
        <v>0</v>
      </c>
      <c r="DI325" s="8">
        <v>0</v>
      </c>
      <c r="DJ325" s="8">
        <v>0</v>
      </c>
      <c r="DK325" s="8">
        <v>0</v>
      </c>
      <c r="DL325" s="8">
        <v>0</v>
      </c>
      <c r="DM325" s="8">
        <v>0</v>
      </c>
      <c r="DN325" s="8">
        <v>0</v>
      </c>
      <c r="DO325" s="9">
        <f t="shared" si="160"/>
        <v>0</v>
      </c>
      <c r="DP325" s="8">
        <v>0</v>
      </c>
      <c r="DQ325" s="8">
        <v>0</v>
      </c>
      <c r="DR325" s="8">
        <v>0</v>
      </c>
      <c r="DS325" s="8">
        <v>0</v>
      </c>
      <c r="DT325" s="8">
        <v>0</v>
      </c>
      <c r="DU325" s="8">
        <v>0</v>
      </c>
      <c r="DV325" s="8">
        <v>0</v>
      </c>
      <c r="DW325" s="8">
        <v>0</v>
      </c>
      <c r="DX325" s="8">
        <v>0</v>
      </c>
      <c r="DY325" s="8">
        <v>0</v>
      </c>
      <c r="DZ325" s="8">
        <v>0</v>
      </c>
      <c r="EA325" s="8">
        <v>0</v>
      </c>
      <c r="EB325" s="9">
        <f t="shared" si="161"/>
        <v>0</v>
      </c>
      <c r="EC325" s="8">
        <v>0</v>
      </c>
      <c r="ED325" s="8">
        <v>0</v>
      </c>
      <c r="EE325" s="8">
        <v>0</v>
      </c>
      <c r="EF325" s="8">
        <v>0</v>
      </c>
      <c r="EG325" s="8">
        <v>0</v>
      </c>
      <c r="EH325" s="8">
        <v>0</v>
      </c>
      <c r="EI325" s="8">
        <v>0</v>
      </c>
      <c r="EJ325" s="8">
        <v>0</v>
      </c>
      <c r="EK325" s="8">
        <v>0</v>
      </c>
      <c r="EL325" s="8">
        <v>0</v>
      </c>
      <c r="EM325" s="8">
        <v>0</v>
      </c>
      <c r="EN325" s="8">
        <v>0</v>
      </c>
      <c r="EO325" s="9">
        <f t="shared" si="162"/>
        <v>0</v>
      </c>
      <c r="EP325" s="8">
        <v>0</v>
      </c>
      <c r="EQ325" s="8">
        <v>0</v>
      </c>
      <c r="ER325" s="8">
        <v>0</v>
      </c>
      <c r="ES325" s="8">
        <v>0</v>
      </c>
      <c r="ET325" s="8">
        <v>0</v>
      </c>
      <c r="EU325" s="8">
        <v>0</v>
      </c>
      <c r="EV325" s="8">
        <v>0</v>
      </c>
      <c r="EW325" s="8">
        <v>0</v>
      </c>
      <c r="EX325" s="8">
        <v>0</v>
      </c>
      <c r="EY325" s="8">
        <v>0</v>
      </c>
      <c r="EZ325" s="8">
        <v>0</v>
      </c>
      <c r="FA325" s="8">
        <v>0</v>
      </c>
      <c r="FB325" s="9">
        <f t="shared" si="163"/>
        <v>0</v>
      </c>
      <c r="FC325" s="8">
        <v>0</v>
      </c>
      <c r="FD325" s="8">
        <v>0</v>
      </c>
      <c r="FE325" s="8">
        <v>0</v>
      </c>
      <c r="FF325" s="8">
        <v>0</v>
      </c>
      <c r="FG325" s="8">
        <v>0</v>
      </c>
      <c r="FH325" s="8">
        <v>0</v>
      </c>
      <c r="FI325" s="8">
        <v>0</v>
      </c>
      <c r="FJ325" s="8"/>
      <c r="FK325" s="8"/>
      <c r="FL325" s="8"/>
      <c r="FM325" s="8"/>
      <c r="FN325" s="8"/>
      <c r="FO325" s="9">
        <f t="shared" si="164"/>
        <v>0</v>
      </c>
    </row>
    <row r="326" spans="2:171" ht="14.25" customHeight="1" x14ac:dyDescent="0.3">
      <c r="B326" s="7" t="s">
        <v>67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9">
        <f t="shared" si="152"/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9">
        <f t="shared" si="153"/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9">
        <f t="shared" si="154"/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v>0</v>
      </c>
      <c r="AZ326" s="8">
        <v>0</v>
      </c>
      <c r="BA326" s="8">
        <v>0</v>
      </c>
      <c r="BB326" s="9">
        <f t="shared" si="155"/>
        <v>0</v>
      </c>
      <c r="BC326" s="8">
        <v>0</v>
      </c>
      <c r="BD326" s="8">
        <v>0</v>
      </c>
      <c r="BE326" s="8">
        <v>0</v>
      </c>
      <c r="BF326" s="8">
        <v>0</v>
      </c>
      <c r="BG326" s="8">
        <v>0</v>
      </c>
      <c r="BH326" s="8">
        <v>0</v>
      </c>
      <c r="BI326" s="8">
        <v>0</v>
      </c>
      <c r="BJ326" s="8">
        <v>0</v>
      </c>
      <c r="BK326" s="8">
        <v>0</v>
      </c>
      <c r="BL326" s="8">
        <v>0</v>
      </c>
      <c r="BM326" s="8">
        <v>0</v>
      </c>
      <c r="BN326" s="8">
        <v>0</v>
      </c>
      <c r="BO326" s="9">
        <f t="shared" si="156"/>
        <v>0</v>
      </c>
      <c r="BP326" s="8">
        <v>0</v>
      </c>
      <c r="BQ326" s="8">
        <v>0</v>
      </c>
      <c r="BR326" s="8">
        <v>0</v>
      </c>
      <c r="BS326" s="8">
        <v>0</v>
      </c>
      <c r="BT326" s="8">
        <v>0</v>
      </c>
      <c r="BU326" s="8">
        <v>0</v>
      </c>
      <c r="BV326" s="8">
        <v>0</v>
      </c>
      <c r="BW326" s="8">
        <v>0</v>
      </c>
      <c r="BX326" s="8">
        <v>0</v>
      </c>
      <c r="BY326" s="8">
        <v>0</v>
      </c>
      <c r="BZ326" s="8">
        <v>0</v>
      </c>
      <c r="CA326" s="8">
        <v>0</v>
      </c>
      <c r="CB326" s="9">
        <f t="shared" si="157"/>
        <v>0</v>
      </c>
      <c r="CC326" s="8">
        <v>0</v>
      </c>
      <c r="CD326" s="8">
        <v>0</v>
      </c>
      <c r="CE326" s="8">
        <v>0</v>
      </c>
      <c r="CF326" s="8">
        <v>0</v>
      </c>
      <c r="CG326" s="8">
        <v>0</v>
      </c>
      <c r="CH326" s="8">
        <v>0</v>
      </c>
      <c r="CI326" s="8">
        <v>0</v>
      </c>
      <c r="CJ326" s="8">
        <v>0</v>
      </c>
      <c r="CK326" s="8">
        <v>0</v>
      </c>
      <c r="CL326" s="8">
        <v>0</v>
      </c>
      <c r="CM326" s="8">
        <v>0</v>
      </c>
      <c r="CN326" s="8">
        <v>0</v>
      </c>
      <c r="CO326" s="9">
        <f t="shared" si="158"/>
        <v>0</v>
      </c>
      <c r="CP326" s="8">
        <v>0</v>
      </c>
      <c r="CQ326" s="8">
        <v>0</v>
      </c>
      <c r="CR326" s="8">
        <v>0</v>
      </c>
      <c r="CS326" s="8">
        <v>0</v>
      </c>
      <c r="CT326" s="8">
        <v>0</v>
      </c>
      <c r="CU326" s="8">
        <v>0</v>
      </c>
      <c r="CV326" s="8">
        <v>0</v>
      </c>
      <c r="CW326" s="8">
        <v>0</v>
      </c>
      <c r="CX326" s="8">
        <v>0</v>
      </c>
      <c r="CY326" s="8">
        <v>0</v>
      </c>
      <c r="CZ326" s="8">
        <v>0</v>
      </c>
      <c r="DA326" s="8">
        <v>0</v>
      </c>
      <c r="DB326" s="9">
        <f t="shared" si="159"/>
        <v>0</v>
      </c>
      <c r="DC326" s="8">
        <v>0</v>
      </c>
      <c r="DD326" s="8">
        <v>0</v>
      </c>
      <c r="DE326" s="8">
        <v>0</v>
      </c>
      <c r="DF326" s="8">
        <v>0</v>
      </c>
      <c r="DG326" s="8">
        <v>0</v>
      </c>
      <c r="DH326" s="8">
        <v>0</v>
      </c>
      <c r="DI326" s="8">
        <v>0</v>
      </c>
      <c r="DJ326" s="8">
        <v>0</v>
      </c>
      <c r="DK326" s="8">
        <v>0</v>
      </c>
      <c r="DL326" s="8">
        <v>0</v>
      </c>
      <c r="DM326" s="8">
        <v>0</v>
      </c>
      <c r="DN326" s="8">
        <v>0</v>
      </c>
      <c r="DO326" s="9">
        <f t="shared" si="160"/>
        <v>0</v>
      </c>
      <c r="DP326" s="8">
        <v>0</v>
      </c>
      <c r="DQ326" s="8">
        <v>0</v>
      </c>
      <c r="DR326" s="8">
        <v>0</v>
      </c>
      <c r="DS326" s="8">
        <v>0</v>
      </c>
      <c r="DT326" s="8">
        <v>0</v>
      </c>
      <c r="DU326" s="8">
        <v>0</v>
      </c>
      <c r="DV326" s="8">
        <v>0</v>
      </c>
      <c r="DW326" s="8">
        <v>0</v>
      </c>
      <c r="DX326" s="8">
        <v>0</v>
      </c>
      <c r="DY326" s="8">
        <v>0</v>
      </c>
      <c r="DZ326" s="8">
        <v>0</v>
      </c>
      <c r="EA326" s="8">
        <v>0</v>
      </c>
      <c r="EB326" s="9">
        <f t="shared" si="161"/>
        <v>0</v>
      </c>
      <c r="EC326" s="8">
        <v>0</v>
      </c>
      <c r="ED326" s="8">
        <v>0</v>
      </c>
      <c r="EE326" s="8">
        <v>0</v>
      </c>
      <c r="EF326" s="8">
        <v>0</v>
      </c>
      <c r="EG326" s="8">
        <v>0</v>
      </c>
      <c r="EH326" s="8">
        <v>0</v>
      </c>
      <c r="EI326" s="8">
        <v>0</v>
      </c>
      <c r="EJ326" s="8">
        <v>0</v>
      </c>
      <c r="EK326" s="8">
        <v>0</v>
      </c>
      <c r="EL326" s="8">
        <v>0</v>
      </c>
      <c r="EM326" s="8">
        <v>0</v>
      </c>
      <c r="EN326" s="8">
        <v>0</v>
      </c>
      <c r="EO326" s="9">
        <f t="shared" si="162"/>
        <v>0</v>
      </c>
      <c r="EP326" s="8">
        <v>0</v>
      </c>
      <c r="EQ326" s="8">
        <v>0</v>
      </c>
      <c r="ER326" s="8">
        <v>0</v>
      </c>
      <c r="ES326" s="8">
        <v>0</v>
      </c>
      <c r="ET326" s="8">
        <v>0</v>
      </c>
      <c r="EU326" s="8">
        <v>0</v>
      </c>
      <c r="EV326" s="8">
        <v>0</v>
      </c>
      <c r="EW326" s="8">
        <v>0</v>
      </c>
      <c r="EX326" s="8">
        <v>0</v>
      </c>
      <c r="EY326" s="8">
        <v>0</v>
      </c>
      <c r="EZ326" s="8">
        <v>0</v>
      </c>
      <c r="FA326" s="8">
        <v>0</v>
      </c>
      <c r="FB326" s="9">
        <f t="shared" si="163"/>
        <v>0</v>
      </c>
      <c r="FC326" s="8">
        <v>0</v>
      </c>
      <c r="FD326" s="8">
        <v>0</v>
      </c>
      <c r="FE326" s="8">
        <v>0</v>
      </c>
      <c r="FF326" s="8">
        <v>0</v>
      </c>
      <c r="FG326" s="8">
        <v>0</v>
      </c>
      <c r="FH326" s="8">
        <v>0</v>
      </c>
      <c r="FI326" s="8">
        <v>0</v>
      </c>
      <c r="FJ326" s="8"/>
      <c r="FK326" s="8"/>
      <c r="FL326" s="8"/>
      <c r="FM326" s="8"/>
      <c r="FN326" s="8"/>
      <c r="FO326" s="9">
        <f t="shared" si="164"/>
        <v>0</v>
      </c>
    </row>
    <row r="327" spans="2:171" ht="14.25" customHeight="1" x14ac:dyDescent="0.3">
      <c r="B327" s="7" t="s">
        <v>68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9">
        <f t="shared" si="152"/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9">
        <f t="shared" si="153"/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  <c r="AK327" s="8">
        <v>0</v>
      </c>
      <c r="AL327" s="8">
        <v>0</v>
      </c>
      <c r="AM327" s="8">
        <v>0</v>
      </c>
      <c r="AN327" s="8">
        <v>0</v>
      </c>
      <c r="AO327" s="9">
        <f t="shared" si="154"/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v>0</v>
      </c>
      <c r="AZ327" s="8">
        <v>0</v>
      </c>
      <c r="BA327" s="8">
        <v>0</v>
      </c>
      <c r="BB327" s="9">
        <f t="shared" si="155"/>
        <v>0</v>
      </c>
      <c r="BC327" s="8">
        <v>0</v>
      </c>
      <c r="BD327" s="8">
        <v>0</v>
      </c>
      <c r="BE327" s="8">
        <v>0</v>
      </c>
      <c r="BF327" s="8">
        <v>0</v>
      </c>
      <c r="BG327" s="8">
        <v>0</v>
      </c>
      <c r="BH327" s="8">
        <v>0</v>
      </c>
      <c r="BI327" s="8">
        <v>0</v>
      </c>
      <c r="BJ327" s="8">
        <v>0</v>
      </c>
      <c r="BK327" s="8">
        <v>0</v>
      </c>
      <c r="BL327" s="8">
        <v>0</v>
      </c>
      <c r="BM327" s="8">
        <v>0</v>
      </c>
      <c r="BN327" s="8">
        <v>0</v>
      </c>
      <c r="BO327" s="9">
        <f t="shared" si="156"/>
        <v>0</v>
      </c>
      <c r="BP327" s="8">
        <v>0</v>
      </c>
      <c r="BQ327" s="8">
        <v>0</v>
      </c>
      <c r="BR327" s="8">
        <v>0</v>
      </c>
      <c r="BS327" s="8">
        <v>0</v>
      </c>
      <c r="BT327" s="8">
        <v>0</v>
      </c>
      <c r="BU327" s="8">
        <v>0</v>
      </c>
      <c r="BV327" s="8">
        <v>0</v>
      </c>
      <c r="BW327" s="8">
        <v>0</v>
      </c>
      <c r="BX327" s="8">
        <v>0</v>
      </c>
      <c r="BY327" s="8">
        <v>0</v>
      </c>
      <c r="BZ327" s="8">
        <v>0</v>
      </c>
      <c r="CA327" s="8">
        <v>0</v>
      </c>
      <c r="CB327" s="9">
        <f t="shared" si="157"/>
        <v>0</v>
      </c>
      <c r="CC327" s="8">
        <v>0</v>
      </c>
      <c r="CD327" s="8">
        <v>0</v>
      </c>
      <c r="CE327" s="8">
        <v>0</v>
      </c>
      <c r="CF327" s="8">
        <v>0</v>
      </c>
      <c r="CG327" s="8">
        <v>0</v>
      </c>
      <c r="CH327" s="8">
        <v>0</v>
      </c>
      <c r="CI327" s="8">
        <v>0</v>
      </c>
      <c r="CJ327" s="8">
        <v>0</v>
      </c>
      <c r="CK327" s="8">
        <v>0</v>
      </c>
      <c r="CL327" s="8">
        <v>0</v>
      </c>
      <c r="CM327" s="8">
        <v>0</v>
      </c>
      <c r="CN327" s="8">
        <v>0</v>
      </c>
      <c r="CO327" s="9">
        <f t="shared" si="158"/>
        <v>0</v>
      </c>
      <c r="CP327" s="8">
        <v>0</v>
      </c>
      <c r="CQ327" s="8">
        <v>0</v>
      </c>
      <c r="CR327" s="8">
        <v>0</v>
      </c>
      <c r="CS327" s="8">
        <v>0</v>
      </c>
      <c r="CT327" s="8">
        <v>0</v>
      </c>
      <c r="CU327" s="8">
        <v>0</v>
      </c>
      <c r="CV327" s="8">
        <v>0</v>
      </c>
      <c r="CW327" s="8">
        <v>0</v>
      </c>
      <c r="CX327" s="8">
        <v>0</v>
      </c>
      <c r="CY327" s="8">
        <v>0</v>
      </c>
      <c r="CZ327" s="8">
        <v>0</v>
      </c>
      <c r="DA327" s="8">
        <v>0</v>
      </c>
      <c r="DB327" s="9">
        <f t="shared" si="159"/>
        <v>0</v>
      </c>
      <c r="DC327" s="8">
        <v>0</v>
      </c>
      <c r="DD327" s="8">
        <v>0</v>
      </c>
      <c r="DE327" s="8">
        <v>0</v>
      </c>
      <c r="DF327" s="8">
        <v>0</v>
      </c>
      <c r="DG327" s="8">
        <v>0</v>
      </c>
      <c r="DH327" s="8">
        <v>0</v>
      </c>
      <c r="DI327" s="8">
        <v>0</v>
      </c>
      <c r="DJ327" s="8">
        <v>0</v>
      </c>
      <c r="DK327" s="8">
        <v>0</v>
      </c>
      <c r="DL327" s="8">
        <v>0</v>
      </c>
      <c r="DM327" s="8">
        <v>0</v>
      </c>
      <c r="DN327" s="8">
        <v>0</v>
      </c>
      <c r="DO327" s="9">
        <f t="shared" si="160"/>
        <v>0</v>
      </c>
      <c r="DP327" s="8">
        <v>0</v>
      </c>
      <c r="DQ327" s="8">
        <v>0</v>
      </c>
      <c r="DR327" s="8">
        <v>0</v>
      </c>
      <c r="DS327" s="8">
        <v>0</v>
      </c>
      <c r="DT327" s="8">
        <v>0</v>
      </c>
      <c r="DU327" s="8">
        <v>0</v>
      </c>
      <c r="DV327" s="8">
        <v>0</v>
      </c>
      <c r="DW327" s="8">
        <v>0</v>
      </c>
      <c r="DX327" s="8">
        <v>0</v>
      </c>
      <c r="DY327" s="8">
        <v>0</v>
      </c>
      <c r="DZ327" s="8">
        <v>0</v>
      </c>
      <c r="EA327" s="8">
        <v>0</v>
      </c>
      <c r="EB327" s="9">
        <f t="shared" si="161"/>
        <v>0</v>
      </c>
      <c r="EC327" s="8">
        <v>0</v>
      </c>
      <c r="ED327" s="8">
        <v>0</v>
      </c>
      <c r="EE327" s="8">
        <v>0</v>
      </c>
      <c r="EF327" s="8">
        <v>0</v>
      </c>
      <c r="EG327" s="8">
        <v>0</v>
      </c>
      <c r="EH327" s="8">
        <v>0</v>
      </c>
      <c r="EI327" s="8">
        <v>0</v>
      </c>
      <c r="EJ327" s="8">
        <v>0</v>
      </c>
      <c r="EK327" s="8">
        <v>0</v>
      </c>
      <c r="EL327" s="8">
        <v>0</v>
      </c>
      <c r="EM327" s="8">
        <v>0</v>
      </c>
      <c r="EN327" s="8">
        <v>0</v>
      </c>
      <c r="EO327" s="9">
        <f t="shared" si="162"/>
        <v>0</v>
      </c>
      <c r="EP327" s="8">
        <v>0</v>
      </c>
      <c r="EQ327" s="8">
        <v>0</v>
      </c>
      <c r="ER327" s="8">
        <v>0</v>
      </c>
      <c r="ES327" s="8">
        <v>0</v>
      </c>
      <c r="ET327" s="8">
        <v>0</v>
      </c>
      <c r="EU327" s="8">
        <v>0</v>
      </c>
      <c r="EV327" s="8">
        <v>0</v>
      </c>
      <c r="EW327" s="8">
        <v>0</v>
      </c>
      <c r="EX327" s="8">
        <v>0</v>
      </c>
      <c r="EY327" s="8">
        <v>0</v>
      </c>
      <c r="EZ327" s="8">
        <v>0</v>
      </c>
      <c r="FA327" s="8">
        <v>0</v>
      </c>
      <c r="FB327" s="9">
        <f t="shared" si="163"/>
        <v>0</v>
      </c>
      <c r="FC327" s="8">
        <v>0</v>
      </c>
      <c r="FD327" s="8">
        <v>0</v>
      </c>
      <c r="FE327" s="8">
        <v>0</v>
      </c>
      <c r="FF327" s="8">
        <v>0</v>
      </c>
      <c r="FG327" s="8">
        <v>0</v>
      </c>
      <c r="FH327" s="8">
        <v>0</v>
      </c>
      <c r="FI327" s="8">
        <v>0</v>
      </c>
      <c r="FJ327" s="8"/>
      <c r="FK327" s="8"/>
      <c r="FL327" s="8"/>
      <c r="FM327" s="8"/>
      <c r="FN327" s="8"/>
      <c r="FO327" s="9">
        <f t="shared" si="164"/>
        <v>0</v>
      </c>
    </row>
    <row r="328" spans="2:171" ht="14.25" customHeight="1" x14ac:dyDescent="0.3">
      <c r="B328" s="7" t="s">
        <v>69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9">
        <f t="shared" si="152"/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9">
        <f t="shared" si="153"/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9">
        <f t="shared" si="154"/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v>0</v>
      </c>
      <c r="AZ328" s="8">
        <v>0</v>
      </c>
      <c r="BA328" s="8">
        <v>0</v>
      </c>
      <c r="BB328" s="9">
        <f t="shared" si="155"/>
        <v>0</v>
      </c>
      <c r="BC328" s="8">
        <v>0</v>
      </c>
      <c r="BD328" s="8">
        <v>0</v>
      </c>
      <c r="BE328" s="8">
        <v>0</v>
      </c>
      <c r="BF328" s="8">
        <v>0</v>
      </c>
      <c r="BG328" s="8">
        <v>0</v>
      </c>
      <c r="BH328" s="8">
        <v>0</v>
      </c>
      <c r="BI328" s="8">
        <v>0</v>
      </c>
      <c r="BJ328" s="8">
        <v>0</v>
      </c>
      <c r="BK328" s="8">
        <v>0</v>
      </c>
      <c r="BL328" s="8">
        <v>0</v>
      </c>
      <c r="BM328" s="8">
        <v>0</v>
      </c>
      <c r="BN328" s="8">
        <v>0</v>
      </c>
      <c r="BO328" s="9">
        <f t="shared" si="156"/>
        <v>0</v>
      </c>
      <c r="BP328" s="8">
        <v>0</v>
      </c>
      <c r="BQ328" s="8">
        <v>0</v>
      </c>
      <c r="BR328" s="8">
        <v>0</v>
      </c>
      <c r="BS328" s="8">
        <v>0</v>
      </c>
      <c r="BT328" s="8">
        <v>0</v>
      </c>
      <c r="BU328" s="8">
        <v>0</v>
      </c>
      <c r="BV328" s="8">
        <v>0</v>
      </c>
      <c r="BW328" s="8">
        <v>0</v>
      </c>
      <c r="BX328" s="8">
        <v>0</v>
      </c>
      <c r="BY328" s="8">
        <v>0</v>
      </c>
      <c r="BZ328" s="8">
        <v>0</v>
      </c>
      <c r="CA328" s="8">
        <v>0</v>
      </c>
      <c r="CB328" s="9">
        <f t="shared" si="157"/>
        <v>0</v>
      </c>
      <c r="CC328" s="8">
        <v>0</v>
      </c>
      <c r="CD328" s="8">
        <v>0</v>
      </c>
      <c r="CE328" s="8">
        <v>0</v>
      </c>
      <c r="CF328" s="8">
        <v>0</v>
      </c>
      <c r="CG328" s="8">
        <v>0</v>
      </c>
      <c r="CH328" s="8">
        <v>0</v>
      </c>
      <c r="CI328" s="8">
        <v>0</v>
      </c>
      <c r="CJ328" s="8">
        <v>0</v>
      </c>
      <c r="CK328" s="8">
        <v>0</v>
      </c>
      <c r="CL328" s="8">
        <v>0</v>
      </c>
      <c r="CM328" s="8">
        <v>0</v>
      </c>
      <c r="CN328" s="8">
        <v>0</v>
      </c>
      <c r="CO328" s="9">
        <f t="shared" si="158"/>
        <v>0</v>
      </c>
      <c r="CP328" s="8">
        <v>0</v>
      </c>
      <c r="CQ328" s="8">
        <v>0</v>
      </c>
      <c r="CR328" s="8">
        <v>0</v>
      </c>
      <c r="CS328" s="8">
        <v>0</v>
      </c>
      <c r="CT328" s="8">
        <v>0</v>
      </c>
      <c r="CU328" s="8">
        <v>0</v>
      </c>
      <c r="CV328" s="8">
        <v>0</v>
      </c>
      <c r="CW328" s="8">
        <v>0</v>
      </c>
      <c r="CX328" s="8">
        <v>0</v>
      </c>
      <c r="CY328" s="8">
        <v>0</v>
      </c>
      <c r="CZ328" s="8">
        <v>0</v>
      </c>
      <c r="DA328" s="8">
        <v>0</v>
      </c>
      <c r="DB328" s="9">
        <f t="shared" si="159"/>
        <v>0</v>
      </c>
      <c r="DC328" s="8">
        <v>0</v>
      </c>
      <c r="DD328" s="8">
        <v>0</v>
      </c>
      <c r="DE328" s="8">
        <v>0</v>
      </c>
      <c r="DF328" s="8">
        <v>0</v>
      </c>
      <c r="DG328" s="8">
        <v>0</v>
      </c>
      <c r="DH328" s="8">
        <v>0</v>
      </c>
      <c r="DI328" s="8">
        <v>0</v>
      </c>
      <c r="DJ328" s="8">
        <v>0</v>
      </c>
      <c r="DK328" s="8">
        <v>0</v>
      </c>
      <c r="DL328" s="8">
        <v>0</v>
      </c>
      <c r="DM328" s="8">
        <v>0</v>
      </c>
      <c r="DN328" s="8">
        <v>0</v>
      </c>
      <c r="DO328" s="9">
        <f t="shared" si="160"/>
        <v>0</v>
      </c>
      <c r="DP328" s="8">
        <v>0</v>
      </c>
      <c r="DQ328" s="8">
        <v>0</v>
      </c>
      <c r="DR328" s="8">
        <v>0</v>
      </c>
      <c r="DS328" s="8">
        <v>0</v>
      </c>
      <c r="DT328" s="8">
        <v>0</v>
      </c>
      <c r="DU328" s="8">
        <v>0</v>
      </c>
      <c r="DV328" s="8">
        <v>0</v>
      </c>
      <c r="DW328" s="8">
        <v>0</v>
      </c>
      <c r="DX328" s="8">
        <v>0</v>
      </c>
      <c r="DY328" s="8">
        <v>0</v>
      </c>
      <c r="DZ328" s="8">
        <v>0</v>
      </c>
      <c r="EA328" s="8">
        <v>0</v>
      </c>
      <c r="EB328" s="9">
        <f t="shared" si="161"/>
        <v>0</v>
      </c>
      <c r="EC328" s="8">
        <v>0</v>
      </c>
      <c r="ED328" s="8">
        <v>0</v>
      </c>
      <c r="EE328" s="8">
        <v>0</v>
      </c>
      <c r="EF328" s="8">
        <v>0</v>
      </c>
      <c r="EG328" s="8">
        <v>0</v>
      </c>
      <c r="EH328" s="8">
        <v>0</v>
      </c>
      <c r="EI328" s="8">
        <v>0</v>
      </c>
      <c r="EJ328" s="8">
        <v>0</v>
      </c>
      <c r="EK328" s="8">
        <v>0</v>
      </c>
      <c r="EL328" s="8">
        <v>0</v>
      </c>
      <c r="EM328" s="8">
        <v>0</v>
      </c>
      <c r="EN328" s="8">
        <v>0</v>
      </c>
      <c r="EO328" s="9">
        <f t="shared" si="162"/>
        <v>0</v>
      </c>
      <c r="EP328" s="8">
        <v>0</v>
      </c>
      <c r="EQ328" s="8">
        <v>0</v>
      </c>
      <c r="ER328" s="8">
        <v>0</v>
      </c>
      <c r="ES328" s="8">
        <v>0</v>
      </c>
      <c r="ET328" s="8">
        <v>0</v>
      </c>
      <c r="EU328" s="8">
        <v>0</v>
      </c>
      <c r="EV328" s="8">
        <v>0</v>
      </c>
      <c r="EW328" s="8">
        <v>0</v>
      </c>
      <c r="EX328" s="8">
        <v>0</v>
      </c>
      <c r="EY328" s="8">
        <v>0</v>
      </c>
      <c r="EZ328" s="8">
        <v>0</v>
      </c>
      <c r="FA328" s="8">
        <v>0</v>
      </c>
      <c r="FB328" s="9">
        <f t="shared" si="163"/>
        <v>0</v>
      </c>
      <c r="FC328" s="8">
        <v>0</v>
      </c>
      <c r="FD328" s="8">
        <v>0</v>
      </c>
      <c r="FE328" s="8">
        <v>0</v>
      </c>
      <c r="FF328" s="8">
        <v>0</v>
      </c>
      <c r="FG328" s="8">
        <v>0</v>
      </c>
      <c r="FH328" s="8">
        <v>0</v>
      </c>
      <c r="FI328" s="8">
        <v>0</v>
      </c>
      <c r="FJ328" s="8"/>
      <c r="FK328" s="8"/>
      <c r="FL328" s="8"/>
      <c r="FM328" s="8"/>
      <c r="FN328" s="8"/>
      <c r="FO328" s="9">
        <f t="shared" si="164"/>
        <v>0</v>
      </c>
    </row>
    <row r="329" spans="2:171" ht="14.25" customHeight="1" x14ac:dyDescent="0.3">
      <c r="B329" s="7" t="s">
        <v>70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9">
        <f t="shared" si="152"/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9">
        <f t="shared" si="153"/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9">
        <f t="shared" si="154"/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v>0</v>
      </c>
      <c r="AZ329" s="8">
        <v>0</v>
      </c>
      <c r="BA329" s="8">
        <v>0</v>
      </c>
      <c r="BB329" s="9">
        <f t="shared" si="155"/>
        <v>0</v>
      </c>
      <c r="BC329" s="8">
        <v>0</v>
      </c>
      <c r="BD329" s="8">
        <v>0</v>
      </c>
      <c r="BE329" s="8">
        <v>0</v>
      </c>
      <c r="BF329" s="8">
        <v>0</v>
      </c>
      <c r="BG329" s="8">
        <v>0</v>
      </c>
      <c r="BH329" s="8">
        <v>0</v>
      </c>
      <c r="BI329" s="8">
        <v>0</v>
      </c>
      <c r="BJ329" s="8">
        <v>0</v>
      </c>
      <c r="BK329" s="8">
        <v>0</v>
      </c>
      <c r="BL329" s="8">
        <v>0</v>
      </c>
      <c r="BM329" s="8">
        <v>0</v>
      </c>
      <c r="BN329" s="8">
        <v>0</v>
      </c>
      <c r="BO329" s="9">
        <f t="shared" si="156"/>
        <v>0</v>
      </c>
      <c r="BP329" s="8">
        <v>0</v>
      </c>
      <c r="BQ329" s="8">
        <v>0</v>
      </c>
      <c r="BR329" s="8">
        <v>0</v>
      </c>
      <c r="BS329" s="8">
        <v>0</v>
      </c>
      <c r="BT329" s="8">
        <v>0</v>
      </c>
      <c r="BU329" s="8">
        <v>0</v>
      </c>
      <c r="BV329" s="8">
        <v>0</v>
      </c>
      <c r="BW329" s="8">
        <v>0</v>
      </c>
      <c r="BX329" s="8">
        <v>0</v>
      </c>
      <c r="BY329" s="8">
        <v>0</v>
      </c>
      <c r="BZ329" s="8">
        <v>0</v>
      </c>
      <c r="CA329" s="8">
        <v>0</v>
      </c>
      <c r="CB329" s="9">
        <f t="shared" si="157"/>
        <v>0</v>
      </c>
      <c r="CC329" s="8">
        <v>0</v>
      </c>
      <c r="CD329" s="8">
        <v>0</v>
      </c>
      <c r="CE329" s="8">
        <v>0</v>
      </c>
      <c r="CF329" s="8">
        <v>0</v>
      </c>
      <c r="CG329" s="8">
        <v>0</v>
      </c>
      <c r="CH329" s="8">
        <v>0</v>
      </c>
      <c r="CI329" s="8">
        <v>0</v>
      </c>
      <c r="CJ329" s="8">
        <v>0</v>
      </c>
      <c r="CK329" s="8">
        <v>0</v>
      </c>
      <c r="CL329" s="8">
        <v>0</v>
      </c>
      <c r="CM329" s="8">
        <v>0</v>
      </c>
      <c r="CN329" s="8">
        <v>0</v>
      </c>
      <c r="CO329" s="9">
        <f t="shared" si="158"/>
        <v>0</v>
      </c>
      <c r="CP329" s="8">
        <v>0</v>
      </c>
      <c r="CQ329" s="8">
        <v>0</v>
      </c>
      <c r="CR329" s="8">
        <v>0</v>
      </c>
      <c r="CS329" s="8">
        <v>0</v>
      </c>
      <c r="CT329" s="8">
        <v>0</v>
      </c>
      <c r="CU329" s="8">
        <v>0</v>
      </c>
      <c r="CV329" s="8">
        <v>0</v>
      </c>
      <c r="CW329" s="8">
        <v>0</v>
      </c>
      <c r="CX329" s="8">
        <v>0</v>
      </c>
      <c r="CY329" s="8">
        <v>0</v>
      </c>
      <c r="CZ329" s="8">
        <v>0</v>
      </c>
      <c r="DA329" s="8">
        <v>0</v>
      </c>
      <c r="DB329" s="9">
        <f t="shared" si="159"/>
        <v>0</v>
      </c>
      <c r="DC329" s="8">
        <v>0</v>
      </c>
      <c r="DD329" s="8">
        <v>0</v>
      </c>
      <c r="DE329" s="8">
        <v>0</v>
      </c>
      <c r="DF329" s="8">
        <v>0</v>
      </c>
      <c r="DG329" s="8">
        <v>0</v>
      </c>
      <c r="DH329" s="8">
        <v>0</v>
      </c>
      <c r="DI329" s="8">
        <v>0</v>
      </c>
      <c r="DJ329" s="8">
        <v>0</v>
      </c>
      <c r="DK329" s="8">
        <v>0</v>
      </c>
      <c r="DL329" s="8">
        <v>0</v>
      </c>
      <c r="DM329" s="8">
        <v>0</v>
      </c>
      <c r="DN329" s="8">
        <v>0</v>
      </c>
      <c r="DO329" s="9">
        <f t="shared" si="160"/>
        <v>0</v>
      </c>
      <c r="DP329" s="8">
        <v>0</v>
      </c>
      <c r="DQ329" s="8">
        <v>0</v>
      </c>
      <c r="DR329" s="8">
        <v>0</v>
      </c>
      <c r="DS329" s="8">
        <v>0</v>
      </c>
      <c r="DT329" s="8">
        <v>0</v>
      </c>
      <c r="DU329" s="8">
        <v>0</v>
      </c>
      <c r="DV329" s="8">
        <v>0</v>
      </c>
      <c r="DW329" s="8">
        <v>0</v>
      </c>
      <c r="DX329" s="8">
        <v>0</v>
      </c>
      <c r="DY329" s="8">
        <v>0</v>
      </c>
      <c r="DZ329" s="8">
        <v>0</v>
      </c>
      <c r="EA329" s="8">
        <v>0</v>
      </c>
      <c r="EB329" s="9">
        <f t="shared" si="161"/>
        <v>0</v>
      </c>
      <c r="EC329" s="8">
        <v>0</v>
      </c>
      <c r="ED329" s="8">
        <v>0</v>
      </c>
      <c r="EE329" s="8">
        <v>0</v>
      </c>
      <c r="EF329" s="8">
        <v>0</v>
      </c>
      <c r="EG329" s="8">
        <v>0</v>
      </c>
      <c r="EH329" s="8">
        <v>0</v>
      </c>
      <c r="EI329" s="8">
        <v>0</v>
      </c>
      <c r="EJ329" s="8">
        <v>0</v>
      </c>
      <c r="EK329" s="8">
        <v>0</v>
      </c>
      <c r="EL329" s="8">
        <v>0</v>
      </c>
      <c r="EM329" s="8">
        <v>0</v>
      </c>
      <c r="EN329" s="8">
        <v>0</v>
      </c>
      <c r="EO329" s="9">
        <f t="shared" si="162"/>
        <v>0</v>
      </c>
      <c r="EP329" s="8">
        <v>0</v>
      </c>
      <c r="EQ329" s="8">
        <v>0</v>
      </c>
      <c r="ER329" s="8">
        <v>0</v>
      </c>
      <c r="ES329" s="8">
        <v>0</v>
      </c>
      <c r="ET329" s="8">
        <v>0</v>
      </c>
      <c r="EU329" s="8">
        <v>0</v>
      </c>
      <c r="EV329" s="8">
        <v>0</v>
      </c>
      <c r="EW329" s="8">
        <v>0</v>
      </c>
      <c r="EX329" s="8">
        <v>0</v>
      </c>
      <c r="EY329" s="8">
        <v>0</v>
      </c>
      <c r="EZ329" s="8">
        <v>0</v>
      </c>
      <c r="FA329" s="8">
        <v>0</v>
      </c>
      <c r="FB329" s="9">
        <f t="shared" si="163"/>
        <v>0</v>
      </c>
      <c r="FC329" s="8">
        <v>0</v>
      </c>
      <c r="FD329" s="8">
        <v>0</v>
      </c>
      <c r="FE329" s="8">
        <v>0</v>
      </c>
      <c r="FF329" s="8">
        <v>0</v>
      </c>
      <c r="FG329" s="8">
        <v>0</v>
      </c>
      <c r="FH329" s="8">
        <v>0</v>
      </c>
      <c r="FI329" s="8">
        <v>0</v>
      </c>
      <c r="FJ329" s="8"/>
      <c r="FK329" s="8"/>
      <c r="FL329" s="8"/>
      <c r="FM329" s="8"/>
      <c r="FN329" s="8"/>
      <c r="FO329" s="9">
        <f t="shared" si="164"/>
        <v>0</v>
      </c>
    </row>
    <row r="330" spans="2:171" ht="14.25" customHeight="1" x14ac:dyDescent="0.3">
      <c r="B330" s="7" t="s">
        <v>71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9">
        <f t="shared" si="152"/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9">
        <f t="shared" si="153"/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  <c r="AK330" s="8">
        <v>0</v>
      </c>
      <c r="AL330" s="8">
        <v>0</v>
      </c>
      <c r="AM330" s="8">
        <v>0</v>
      </c>
      <c r="AN330" s="8">
        <v>0</v>
      </c>
      <c r="AO330" s="9">
        <f t="shared" si="154"/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v>0</v>
      </c>
      <c r="AZ330" s="8">
        <v>0</v>
      </c>
      <c r="BA330" s="8">
        <v>0</v>
      </c>
      <c r="BB330" s="9">
        <f t="shared" si="155"/>
        <v>0</v>
      </c>
      <c r="BC330" s="8">
        <v>0</v>
      </c>
      <c r="BD330" s="8">
        <v>0</v>
      </c>
      <c r="BE330" s="8">
        <v>0</v>
      </c>
      <c r="BF330" s="8">
        <v>0</v>
      </c>
      <c r="BG330" s="8">
        <v>0</v>
      </c>
      <c r="BH330" s="8">
        <v>0</v>
      </c>
      <c r="BI330" s="8">
        <v>0</v>
      </c>
      <c r="BJ330" s="8">
        <v>0</v>
      </c>
      <c r="BK330" s="8">
        <v>0</v>
      </c>
      <c r="BL330" s="8">
        <v>0</v>
      </c>
      <c r="BM330" s="8">
        <v>0</v>
      </c>
      <c r="BN330" s="8">
        <v>0</v>
      </c>
      <c r="BO330" s="9">
        <f t="shared" si="156"/>
        <v>0</v>
      </c>
      <c r="BP330" s="8">
        <v>0</v>
      </c>
      <c r="BQ330" s="8">
        <v>0</v>
      </c>
      <c r="BR330" s="8">
        <v>0</v>
      </c>
      <c r="BS330" s="8">
        <v>0</v>
      </c>
      <c r="BT330" s="8">
        <v>0</v>
      </c>
      <c r="BU330" s="8">
        <v>0</v>
      </c>
      <c r="BV330" s="8">
        <v>0</v>
      </c>
      <c r="BW330" s="8">
        <v>0</v>
      </c>
      <c r="BX330" s="8">
        <v>0</v>
      </c>
      <c r="BY330" s="8">
        <v>0</v>
      </c>
      <c r="BZ330" s="8">
        <v>0</v>
      </c>
      <c r="CA330" s="8">
        <v>0</v>
      </c>
      <c r="CB330" s="9">
        <f t="shared" si="157"/>
        <v>0</v>
      </c>
      <c r="CC330" s="8">
        <v>0</v>
      </c>
      <c r="CD330" s="8">
        <v>0</v>
      </c>
      <c r="CE330" s="8">
        <v>0</v>
      </c>
      <c r="CF330" s="8">
        <v>0</v>
      </c>
      <c r="CG330" s="8">
        <v>0</v>
      </c>
      <c r="CH330" s="8">
        <v>0</v>
      </c>
      <c r="CI330" s="8">
        <v>0</v>
      </c>
      <c r="CJ330" s="8">
        <v>0</v>
      </c>
      <c r="CK330" s="8">
        <v>0</v>
      </c>
      <c r="CL330" s="8">
        <v>0</v>
      </c>
      <c r="CM330" s="8">
        <v>0</v>
      </c>
      <c r="CN330" s="8">
        <v>0</v>
      </c>
      <c r="CO330" s="9">
        <f t="shared" si="158"/>
        <v>0</v>
      </c>
      <c r="CP330" s="8">
        <v>0</v>
      </c>
      <c r="CQ330" s="8">
        <v>0</v>
      </c>
      <c r="CR330" s="8">
        <v>0</v>
      </c>
      <c r="CS330" s="8">
        <v>0</v>
      </c>
      <c r="CT330" s="8">
        <v>0</v>
      </c>
      <c r="CU330" s="8">
        <v>0</v>
      </c>
      <c r="CV330" s="8">
        <v>0</v>
      </c>
      <c r="CW330" s="8">
        <v>0</v>
      </c>
      <c r="CX330" s="8">
        <v>0</v>
      </c>
      <c r="CY330" s="8">
        <v>0</v>
      </c>
      <c r="CZ330" s="8">
        <v>0</v>
      </c>
      <c r="DA330" s="8">
        <v>0</v>
      </c>
      <c r="DB330" s="9">
        <f t="shared" si="159"/>
        <v>0</v>
      </c>
      <c r="DC330" s="8">
        <v>0</v>
      </c>
      <c r="DD330" s="8">
        <v>0</v>
      </c>
      <c r="DE330" s="8">
        <v>0</v>
      </c>
      <c r="DF330" s="8">
        <v>0</v>
      </c>
      <c r="DG330" s="8">
        <v>0</v>
      </c>
      <c r="DH330" s="8">
        <v>0</v>
      </c>
      <c r="DI330" s="8">
        <v>0</v>
      </c>
      <c r="DJ330" s="8">
        <v>0</v>
      </c>
      <c r="DK330" s="8">
        <v>0</v>
      </c>
      <c r="DL330" s="8">
        <v>0</v>
      </c>
      <c r="DM330" s="8">
        <v>0</v>
      </c>
      <c r="DN330" s="8">
        <v>0</v>
      </c>
      <c r="DO330" s="9">
        <f t="shared" si="160"/>
        <v>0</v>
      </c>
      <c r="DP330" s="8">
        <v>0</v>
      </c>
      <c r="DQ330" s="8">
        <v>0</v>
      </c>
      <c r="DR330" s="8">
        <v>0</v>
      </c>
      <c r="DS330" s="8">
        <v>0</v>
      </c>
      <c r="DT330" s="8">
        <v>0</v>
      </c>
      <c r="DU330" s="8">
        <v>0</v>
      </c>
      <c r="DV330" s="8">
        <v>0</v>
      </c>
      <c r="DW330" s="8">
        <v>0</v>
      </c>
      <c r="DX330" s="8">
        <v>0</v>
      </c>
      <c r="DY330" s="8">
        <v>0</v>
      </c>
      <c r="DZ330" s="8">
        <v>0</v>
      </c>
      <c r="EA330" s="8">
        <v>0</v>
      </c>
      <c r="EB330" s="9">
        <f t="shared" si="161"/>
        <v>0</v>
      </c>
      <c r="EC330" s="8">
        <v>0</v>
      </c>
      <c r="ED330" s="8">
        <v>0</v>
      </c>
      <c r="EE330" s="8">
        <v>0</v>
      </c>
      <c r="EF330" s="8">
        <v>0</v>
      </c>
      <c r="EG330" s="8">
        <v>0</v>
      </c>
      <c r="EH330" s="8">
        <v>0</v>
      </c>
      <c r="EI330" s="8">
        <v>0</v>
      </c>
      <c r="EJ330" s="8">
        <v>0</v>
      </c>
      <c r="EK330" s="8">
        <v>0</v>
      </c>
      <c r="EL330" s="8">
        <v>0</v>
      </c>
      <c r="EM330" s="8">
        <v>0</v>
      </c>
      <c r="EN330" s="8">
        <v>0</v>
      </c>
      <c r="EO330" s="9">
        <f t="shared" si="162"/>
        <v>0</v>
      </c>
      <c r="EP330" s="8">
        <v>0</v>
      </c>
      <c r="EQ330" s="8">
        <v>0</v>
      </c>
      <c r="ER330" s="8">
        <v>0</v>
      </c>
      <c r="ES330" s="8">
        <v>0</v>
      </c>
      <c r="ET330" s="8">
        <v>0</v>
      </c>
      <c r="EU330" s="8">
        <v>0</v>
      </c>
      <c r="EV330" s="8">
        <v>0</v>
      </c>
      <c r="EW330" s="8">
        <v>0</v>
      </c>
      <c r="EX330" s="8">
        <v>0</v>
      </c>
      <c r="EY330" s="8">
        <v>0</v>
      </c>
      <c r="EZ330" s="8">
        <v>0</v>
      </c>
      <c r="FA330" s="8">
        <v>0</v>
      </c>
      <c r="FB330" s="9">
        <f t="shared" si="163"/>
        <v>0</v>
      </c>
      <c r="FC330" s="8">
        <v>0</v>
      </c>
      <c r="FD330" s="8">
        <v>0</v>
      </c>
      <c r="FE330" s="8">
        <v>0</v>
      </c>
      <c r="FF330" s="8">
        <v>0</v>
      </c>
      <c r="FG330" s="8">
        <v>0</v>
      </c>
      <c r="FH330" s="8">
        <v>0</v>
      </c>
      <c r="FI330" s="8">
        <v>0</v>
      </c>
      <c r="FJ330" s="8"/>
      <c r="FK330" s="8"/>
      <c r="FL330" s="8"/>
      <c r="FM330" s="8"/>
      <c r="FN330" s="8"/>
      <c r="FO330" s="9">
        <f t="shared" si="164"/>
        <v>0</v>
      </c>
    </row>
    <row r="331" spans="2:171" ht="14.25" customHeight="1" x14ac:dyDescent="0.3">
      <c r="B331" s="7" t="s">
        <v>72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9">
        <f t="shared" si="152"/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9">
        <f t="shared" si="153"/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  <c r="AN331" s="8">
        <v>0</v>
      </c>
      <c r="AO331" s="9">
        <f t="shared" si="154"/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v>0</v>
      </c>
      <c r="AZ331" s="8">
        <v>0</v>
      </c>
      <c r="BA331" s="8">
        <v>0</v>
      </c>
      <c r="BB331" s="9">
        <f t="shared" si="155"/>
        <v>0</v>
      </c>
      <c r="BC331" s="8">
        <v>0</v>
      </c>
      <c r="BD331" s="8">
        <v>0</v>
      </c>
      <c r="BE331" s="8">
        <v>0</v>
      </c>
      <c r="BF331" s="8">
        <v>0</v>
      </c>
      <c r="BG331" s="8">
        <v>0</v>
      </c>
      <c r="BH331" s="8">
        <v>0</v>
      </c>
      <c r="BI331" s="8">
        <v>0</v>
      </c>
      <c r="BJ331" s="8">
        <v>0</v>
      </c>
      <c r="BK331" s="8">
        <v>0</v>
      </c>
      <c r="BL331" s="8">
        <v>0</v>
      </c>
      <c r="BM331" s="8">
        <v>0</v>
      </c>
      <c r="BN331" s="8">
        <v>0</v>
      </c>
      <c r="BO331" s="9">
        <f t="shared" si="156"/>
        <v>0</v>
      </c>
      <c r="BP331" s="8">
        <v>0</v>
      </c>
      <c r="BQ331" s="8">
        <v>0</v>
      </c>
      <c r="BR331" s="8">
        <v>0</v>
      </c>
      <c r="BS331" s="8">
        <v>0</v>
      </c>
      <c r="BT331" s="8">
        <v>0</v>
      </c>
      <c r="BU331" s="8">
        <v>0</v>
      </c>
      <c r="BV331" s="8">
        <v>0</v>
      </c>
      <c r="BW331" s="8">
        <v>0</v>
      </c>
      <c r="BX331" s="8">
        <v>0</v>
      </c>
      <c r="BY331" s="8">
        <v>0</v>
      </c>
      <c r="BZ331" s="8">
        <v>0</v>
      </c>
      <c r="CA331" s="8">
        <v>0</v>
      </c>
      <c r="CB331" s="9">
        <f t="shared" si="157"/>
        <v>0</v>
      </c>
      <c r="CC331" s="8">
        <v>0</v>
      </c>
      <c r="CD331" s="8">
        <v>0</v>
      </c>
      <c r="CE331" s="8">
        <v>0</v>
      </c>
      <c r="CF331" s="8">
        <v>0</v>
      </c>
      <c r="CG331" s="8">
        <v>0</v>
      </c>
      <c r="CH331" s="8">
        <v>0</v>
      </c>
      <c r="CI331" s="8">
        <v>0</v>
      </c>
      <c r="CJ331" s="8">
        <v>0</v>
      </c>
      <c r="CK331" s="8">
        <v>0</v>
      </c>
      <c r="CL331" s="8">
        <v>0</v>
      </c>
      <c r="CM331" s="8">
        <v>0</v>
      </c>
      <c r="CN331" s="8">
        <v>0</v>
      </c>
      <c r="CO331" s="9">
        <f t="shared" si="158"/>
        <v>0</v>
      </c>
      <c r="CP331" s="8">
        <v>0</v>
      </c>
      <c r="CQ331" s="8">
        <v>0</v>
      </c>
      <c r="CR331" s="8">
        <v>0</v>
      </c>
      <c r="CS331" s="8">
        <v>0</v>
      </c>
      <c r="CT331" s="8">
        <v>0</v>
      </c>
      <c r="CU331" s="8">
        <v>0</v>
      </c>
      <c r="CV331" s="8">
        <v>0</v>
      </c>
      <c r="CW331" s="8">
        <v>0</v>
      </c>
      <c r="CX331" s="8">
        <v>0</v>
      </c>
      <c r="CY331" s="8">
        <v>0</v>
      </c>
      <c r="CZ331" s="8">
        <v>0</v>
      </c>
      <c r="DA331" s="8">
        <v>0</v>
      </c>
      <c r="DB331" s="9">
        <f t="shared" si="159"/>
        <v>0</v>
      </c>
      <c r="DC331" s="8">
        <v>0</v>
      </c>
      <c r="DD331" s="8">
        <v>0</v>
      </c>
      <c r="DE331" s="8">
        <v>0</v>
      </c>
      <c r="DF331" s="8">
        <v>0</v>
      </c>
      <c r="DG331" s="8">
        <v>0</v>
      </c>
      <c r="DH331" s="8">
        <v>0</v>
      </c>
      <c r="DI331" s="8">
        <v>0</v>
      </c>
      <c r="DJ331" s="8">
        <v>0</v>
      </c>
      <c r="DK331" s="8">
        <v>0</v>
      </c>
      <c r="DL331" s="8">
        <v>0</v>
      </c>
      <c r="DM331" s="8">
        <v>0</v>
      </c>
      <c r="DN331" s="8">
        <v>0</v>
      </c>
      <c r="DO331" s="9">
        <f t="shared" si="160"/>
        <v>0</v>
      </c>
      <c r="DP331" s="8">
        <v>0</v>
      </c>
      <c r="DQ331" s="8">
        <v>0</v>
      </c>
      <c r="DR331" s="8">
        <v>0</v>
      </c>
      <c r="DS331" s="8">
        <v>0</v>
      </c>
      <c r="DT331" s="8">
        <v>0</v>
      </c>
      <c r="DU331" s="8">
        <v>0</v>
      </c>
      <c r="DV331" s="8">
        <v>0</v>
      </c>
      <c r="DW331" s="8">
        <v>0</v>
      </c>
      <c r="DX331" s="8">
        <v>0</v>
      </c>
      <c r="DY331" s="8">
        <v>0</v>
      </c>
      <c r="DZ331" s="8">
        <v>0</v>
      </c>
      <c r="EA331" s="8">
        <v>0</v>
      </c>
      <c r="EB331" s="9">
        <f t="shared" si="161"/>
        <v>0</v>
      </c>
      <c r="EC331" s="8">
        <v>0</v>
      </c>
      <c r="ED331" s="8">
        <v>0</v>
      </c>
      <c r="EE331" s="8">
        <v>0</v>
      </c>
      <c r="EF331" s="8">
        <v>0</v>
      </c>
      <c r="EG331" s="8">
        <v>0</v>
      </c>
      <c r="EH331" s="8">
        <v>0</v>
      </c>
      <c r="EI331" s="8">
        <v>0</v>
      </c>
      <c r="EJ331" s="8">
        <v>0</v>
      </c>
      <c r="EK331" s="8">
        <v>0</v>
      </c>
      <c r="EL331" s="8">
        <v>0</v>
      </c>
      <c r="EM331" s="8">
        <v>0</v>
      </c>
      <c r="EN331" s="8">
        <v>0</v>
      </c>
      <c r="EO331" s="9">
        <f t="shared" si="162"/>
        <v>0</v>
      </c>
      <c r="EP331" s="8">
        <v>0</v>
      </c>
      <c r="EQ331" s="8">
        <v>0</v>
      </c>
      <c r="ER331" s="8">
        <v>0</v>
      </c>
      <c r="ES331" s="8">
        <v>0</v>
      </c>
      <c r="ET331" s="8">
        <v>0</v>
      </c>
      <c r="EU331" s="8">
        <v>0</v>
      </c>
      <c r="EV331" s="8">
        <v>0</v>
      </c>
      <c r="EW331" s="8">
        <v>0</v>
      </c>
      <c r="EX331" s="8">
        <v>0</v>
      </c>
      <c r="EY331" s="8">
        <v>0</v>
      </c>
      <c r="EZ331" s="8">
        <v>0</v>
      </c>
      <c r="FA331" s="8">
        <v>0</v>
      </c>
      <c r="FB331" s="9">
        <f t="shared" si="163"/>
        <v>0</v>
      </c>
      <c r="FC331" s="8">
        <v>0</v>
      </c>
      <c r="FD331" s="8">
        <v>0</v>
      </c>
      <c r="FE331" s="8">
        <v>0</v>
      </c>
      <c r="FF331" s="8">
        <v>0</v>
      </c>
      <c r="FG331" s="8">
        <v>0</v>
      </c>
      <c r="FH331" s="8">
        <v>0</v>
      </c>
      <c r="FI331" s="8">
        <v>0</v>
      </c>
      <c r="FJ331" s="8"/>
      <c r="FK331" s="8"/>
      <c r="FL331" s="8"/>
      <c r="FM331" s="8"/>
      <c r="FN331" s="8"/>
      <c r="FO331" s="9">
        <f t="shared" si="164"/>
        <v>0</v>
      </c>
    </row>
    <row r="332" spans="2:171" ht="14.25" customHeight="1" x14ac:dyDescent="0.3">
      <c r="B332" s="7" t="s">
        <v>73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9">
        <f t="shared" si="152"/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9">
        <f t="shared" si="153"/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  <c r="AK332" s="8">
        <v>0</v>
      </c>
      <c r="AL332" s="8">
        <v>0</v>
      </c>
      <c r="AM332" s="8">
        <v>0</v>
      </c>
      <c r="AN332" s="8">
        <v>0</v>
      </c>
      <c r="AO332" s="9">
        <f t="shared" si="154"/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v>0</v>
      </c>
      <c r="AZ332" s="8">
        <v>0</v>
      </c>
      <c r="BA332" s="8">
        <v>0</v>
      </c>
      <c r="BB332" s="9">
        <f t="shared" si="155"/>
        <v>0</v>
      </c>
      <c r="BC332" s="8">
        <v>0</v>
      </c>
      <c r="BD332" s="8">
        <v>0</v>
      </c>
      <c r="BE332" s="8">
        <v>0</v>
      </c>
      <c r="BF332" s="8">
        <v>0</v>
      </c>
      <c r="BG332" s="8">
        <v>0</v>
      </c>
      <c r="BH332" s="8">
        <v>0</v>
      </c>
      <c r="BI332" s="8">
        <v>0</v>
      </c>
      <c r="BJ332" s="8">
        <v>0</v>
      </c>
      <c r="BK332" s="8">
        <v>0</v>
      </c>
      <c r="BL332" s="8">
        <v>0</v>
      </c>
      <c r="BM332" s="8">
        <v>0</v>
      </c>
      <c r="BN332" s="8">
        <v>0</v>
      </c>
      <c r="BO332" s="9">
        <f t="shared" si="156"/>
        <v>0</v>
      </c>
      <c r="BP332" s="8">
        <v>0</v>
      </c>
      <c r="BQ332" s="8">
        <v>0</v>
      </c>
      <c r="BR332" s="8">
        <v>0</v>
      </c>
      <c r="BS332" s="8">
        <v>0</v>
      </c>
      <c r="BT332" s="8">
        <v>0</v>
      </c>
      <c r="BU332" s="8">
        <v>0</v>
      </c>
      <c r="BV332" s="8">
        <v>0</v>
      </c>
      <c r="BW332" s="8">
        <v>0</v>
      </c>
      <c r="BX332" s="8">
        <v>0</v>
      </c>
      <c r="BY332" s="8">
        <v>0</v>
      </c>
      <c r="BZ332" s="8">
        <v>0</v>
      </c>
      <c r="CA332" s="8">
        <v>0</v>
      </c>
      <c r="CB332" s="9">
        <f t="shared" si="157"/>
        <v>0</v>
      </c>
      <c r="CC332" s="8">
        <v>0</v>
      </c>
      <c r="CD332" s="8">
        <v>0</v>
      </c>
      <c r="CE332" s="8">
        <v>0</v>
      </c>
      <c r="CF332" s="8">
        <v>0</v>
      </c>
      <c r="CG332" s="8">
        <v>0</v>
      </c>
      <c r="CH332" s="8">
        <v>0</v>
      </c>
      <c r="CI332" s="8">
        <v>0</v>
      </c>
      <c r="CJ332" s="8">
        <v>0</v>
      </c>
      <c r="CK332" s="8">
        <v>0</v>
      </c>
      <c r="CL332" s="8">
        <v>0</v>
      </c>
      <c r="CM332" s="8">
        <v>0</v>
      </c>
      <c r="CN332" s="8">
        <v>0</v>
      </c>
      <c r="CO332" s="9">
        <f t="shared" si="158"/>
        <v>0</v>
      </c>
      <c r="CP332" s="8">
        <v>0</v>
      </c>
      <c r="CQ332" s="8">
        <v>0</v>
      </c>
      <c r="CR332" s="8">
        <v>0</v>
      </c>
      <c r="CS332" s="8">
        <v>0</v>
      </c>
      <c r="CT332" s="8">
        <v>0</v>
      </c>
      <c r="CU332" s="8">
        <v>0</v>
      </c>
      <c r="CV332" s="8">
        <v>0</v>
      </c>
      <c r="CW332" s="8">
        <v>0</v>
      </c>
      <c r="CX332" s="8">
        <v>0</v>
      </c>
      <c r="CY332" s="8">
        <v>0</v>
      </c>
      <c r="CZ332" s="8">
        <v>0</v>
      </c>
      <c r="DA332" s="8">
        <v>0</v>
      </c>
      <c r="DB332" s="9">
        <f t="shared" si="159"/>
        <v>0</v>
      </c>
      <c r="DC332" s="8">
        <v>0</v>
      </c>
      <c r="DD332" s="8">
        <v>0</v>
      </c>
      <c r="DE332" s="8">
        <v>0</v>
      </c>
      <c r="DF332" s="8">
        <v>0</v>
      </c>
      <c r="DG332" s="8">
        <v>0</v>
      </c>
      <c r="DH332" s="8">
        <v>0</v>
      </c>
      <c r="DI332" s="8">
        <v>0</v>
      </c>
      <c r="DJ332" s="8">
        <v>0</v>
      </c>
      <c r="DK332" s="8">
        <v>0</v>
      </c>
      <c r="DL332" s="8">
        <v>0</v>
      </c>
      <c r="DM332" s="8">
        <v>0</v>
      </c>
      <c r="DN332" s="8">
        <v>0</v>
      </c>
      <c r="DO332" s="9">
        <f t="shared" si="160"/>
        <v>0</v>
      </c>
      <c r="DP332" s="8">
        <v>0</v>
      </c>
      <c r="DQ332" s="8">
        <v>0</v>
      </c>
      <c r="DR332" s="8">
        <v>0</v>
      </c>
      <c r="DS332" s="8">
        <v>0</v>
      </c>
      <c r="DT332" s="8">
        <v>0</v>
      </c>
      <c r="DU332" s="8">
        <v>0</v>
      </c>
      <c r="DV332" s="8">
        <v>0</v>
      </c>
      <c r="DW332" s="8">
        <v>0</v>
      </c>
      <c r="DX332" s="8">
        <v>0</v>
      </c>
      <c r="DY332" s="8">
        <v>0</v>
      </c>
      <c r="DZ332" s="8">
        <v>0</v>
      </c>
      <c r="EA332" s="8">
        <v>0</v>
      </c>
      <c r="EB332" s="9">
        <f t="shared" si="161"/>
        <v>0</v>
      </c>
      <c r="EC332" s="8">
        <v>0</v>
      </c>
      <c r="ED332" s="8">
        <v>0</v>
      </c>
      <c r="EE332" s="8">
        <v>0</v>
      </c>
      <c r="EF332" s="8">
        <v>0</v>
      </c>
      <c r="EG332" s="8">
        <v>0</v>
      </c>
      <c r="EH332" s="8">
        <v>0</v>
      </c>
      <c r="EI332" s="8">
        <v>0</v>
      </c>
      <c r="EJ332" s="8">
        <v>0</v>
      </c>
      <c r="EK332" s="8">
        <v>0</v>
      </c>
      <c r="EL332" s="8">
        <v>0</v>
      </c>
      <c r="EM332" s="8">
        <v>0</v>
      </c>
      <c r="EN332" s="8">
        <v>0</v>
      </c>
      <c r="EO332" s="9">
        <f t="shared" si="162"/>
        <v>0</v>
      </c>
      <c r="EP332" s="8">
        <v>0</v>
      </c>
      <c r="EQ332" s="8">
        <v>0</v>
      </c>
      <c r="ER332" s="8">
        <v>0</v>
      </c>
      <c r="ES332" s="8">
        <v>0</v>
      </c>
      <c r="ET332" s="8">
        <v>0</v>
      </c>
      <c r="EU332" s="8">
        <v>0</v>
      </c>
      <c r="EV332" s="8">
        <v>0</v>
      </c>
      <c r="EW332" s="8">
        <v>0</v>
      </c>
      <c r="EX332" s="8">
        <v>0</v>
      </c>
      <c r="EY332" s="8">
        <v>0</v>
      </c>
      <c r="EZ332" s="8">
        <v>0</v>
      </c>
      <c r="FA332" s="8">
        <v>0</v>
      </c>
      <c r="FB332" s="9">
        <f t="shared" si="163"/>
        <v>0</v>
      </c>
      <c r="FC332" s="8">
        <v>0</v>
      </c>
      <c r="FD332" s="8">
        <v>0</v>
      </c>
      <c r="FE332" s="8">
        <v>0</v>
      </c>
      <c r="FF332" s="8">
        <v>0</v>
      </c>
      <c r="FG332" s="8">
        <v>0</v>
      </c>
      <c r="FH332" s="8">
        <v>0</v>
      </c>
      <c r="FI332" s="8">
        <v>0</v>
      </c>
      <c r="FJ332" s="8"/>
      <c r="FK332" s="8"/>
      <c r="FL332" s="8"/>
      <c r="FM332" s="8"/>
      <c r="FN332" s="8"/>
      <c r="FO332" s="9">
        <f t="shared" si="164"/>
        <v>0</v>
      </c>
    </row>
    <row r="333" spans="2:171" ht="14.25" customHeight="1" x14ac:dyDescent="0.3">
      <c r="B333" s="7" t="s">
        <v>74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9">
        <f t="shared" si="152"/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9">
        <f t="shared" si="153"/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  <c r="AK333" s="8">
        <v>0</v>
      </c>
      <c r="AL333" s="8">
        <v>0</v>
      </c>
      <c r="AM333" s="8">
        <v>0</v>
      </c>
      <c r="AN333" s="8">
        <v>0</v>
      </c>
      <c r="AO333" s="9">
        <f t="shared" si="154"/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v>0</v>
      </c>
      <c r="AZ333" s="8">
        <v>0</v>
      </c>
      <c r="BA333" s="8">
        <v>0</v>
      </c>
      <c r="BB333" s="9">
        <f t="shared" si="155"/>
        <v>0</v>
      </c>
      <c r="BC333" s="8">
        <v>0</v>
      </c>
      <c r="BD333" s="8">
        <v>0</v>
      </c>
      <c r="BE333" s="8">
        <v>0</v>
      </c>
      <c r="BF333" s="8">
        <v>0</v>
      </c>
      <c r="BG333" s="8">
        <v>0</v>
      </c>
      <c r="BH333" s="8">
        <v>0</v>
      </c>
      <c r="BI333" s="8">
        <v>0</v>
      </c>
      <c r="BJ333" s="8">
        <v>0</v>
      </c>
      <c r="BK333" s="8">
        <v>0</v>
      </c>
      <c r="BL333" s="8">
        <v>0</v>
      </c>
      <c r="BM333" s="8">
        <v>0</v>
      </c>
      <c r="BN333" s="8">
        <v>0</v>
      </c>
      <c r="BO333" s="9">
        <f t="shared" si="156"/>
        <v>0</v>
      </c>
      <c r="BP333" s="8">
        <v>0</v>
      </c>
      <c r="BQ333" s="8">
        <v>0</v>
      </c>
      <c r="BR333" s="8">
        <v>0</v>
      </c>
      <c r="BS333" s="8">
        <v>0</v>
      </c>
      <c r="BT333" s="8">
        <v>0</v>
      </c>
      <c r="BU333" s="8">
        <v>0</v>
      </c>
      <c r="BV333" s="8">
        <v>0</v>
      </c>
      <c r="BW333" s="8">
        <v>0</v>
      </c>
      <c r="BX333" s="8">
        <v>0</v>
      </c>
      <c r="BY333" s="8">
        <v>0</v>
      </c>
      <c r="BZ333" s="8">
        <v>0</v>
      </c>
      <c r="CA333" s="8">
        <v>0</v>
      </c>
      <c r="CB333" s="9">
        <f t="shared" si="157"/>
        <v>0</v>
      </c>
      <c r="CC333" s="8">
        <v>0</v>
      </c>
      <c r="CD333" s="8">
        <v>0</v>
      </c>
      <c r="CE333" s="8">
        <v>0</v>
      </c>
      <c r="CF333" s="8">
        <v>0</v>
      </c>
      <c r="CG333" s="8">
        <v>0</v>
      </c>
      <c r="CH333" s="8">
        <v>0</v>
      </c>
      <c r="CI333" s="8">
        <v>0</v>
      </c>
      <c r="CJ333" s="8">
        <v>0</v>
      </c>
      <c r="CK333" s="8">
        <v>0</v>
      </c>
      <c r="CL333" s="8">
        <v>0</v>
      </c>
      <c r="CM333" s="8">
        <v>0</v>
      </c>
      <c r="CN333" s="8">
        <v>0</v>
      </c>
      <c r="CO333" s="9">
        <f t="shared" si="158"/>
        <v>0</v>
      </c>
      <c r="CP333" s="8">
        <v>0</v>
      </c>
      <c r="CQ333" s="8">
        <v>0</v>
      </c>
      <c r="CR333" s="8">
        <v>0</v>
      </c>
      <c r="CS333" s="8">
        <v>0</v>
      </c>
      <c r="CT333" s="8">
        <v>0</v>
      </c>
      <c r="CU333" s="8">
        <v>0</v>
      </c>
      <c r="CV333" s="8">
        <v>0</v>
      </c>
      <c r="CW333" s="8">
        <v>0</v>
      </c>
      <c r="CX333" s="8">
        <v>0</v>
      </c>
      <c r="CY333" s="8">
        <v>0</v>
      </c>
      <c r="CZ333" s="8">
        <v>0</v>
      </c>
      <c r="DA333" s="8">
        <v>0</v>
      </c>
      <c r="DB333" s="9">
        <f t="shared" si="159"/>
        <v>0</v>
      </c>
      <c r="DC333" s="8">
        <v>0</v>
      </c>
      <c r="DD333" s="8">
        <v>0</v>
      </c>
      <c r="DE333" s="8">
        <v>0</v>
      </c>
      <c r="DF333" s="8">
        <v>0</v>
      </c>
      <c r="DG333" s="8">
        <v>0</v>
      </c>
      <c r="DH333" s="8">
        <v>0</v>
      </c>
      <c r="DI333" s="8">
        <v>0</v>
      </c>
      <c r="DJ333" s="8">
        <v>0</v>
      </c>
      <c r="DK333" s="8">
        <v>0</v>
      </c>
      <c r="DL333" s="8">
        <v>0</v>
      </c>
      <c r="DM333" s="8">
        <v>0</v>
      </c>
      <c r="DN333" s="8">
        <v>0</v>
      </c>
      <c r="DO333" s="9">
        <f t="shared" si="160"/>
        <v>0</v>
      </c>
      <c r="DP333" s="8">
        <v>0</v>
      </c>
      <c r="DQ333" s="8">
        <v>0</v>
      </c>
      <c r="DR333" s="8">
        <v>0</v>
      </c>
      <c r="DS333" s="8">
        <v>0</v>
      </c>
      <c r="DT333" s="8">
        <v>0</v>
      </c>
      <c r="DU333" s="8">
        <v>0</v>
      </c>
      <c r="DV333" s="8">
        <v>0</v>
      </c>
      <c r="DW333" s="8">
        <v>0</v>
      </c>
      <c r="DX333" s="8">
        <v>0</v>
      </c>
      <c r="DY333" s="8">
        <v>0</v>
      </c>
      <c r="DZ333" s="8">
        <v>0</v>
      </c>
      <c r="EA333" s="8">
        <v>0</v>
      </c>
      <c r="EB333" s="9">
        <f t="shared" si="161"/>
        <v>0</v>
      </c>
      <c r="EC333" s="8">
        <v>0</v>
      </c>
      <c r="ED333" s="8">
        <v>0</v>
      </c>
      <c r="EE333" s="8">
        <v>0</v>
      </c>
      <c r="EF333" s="8">
        <v>0</v>
      </c>
      <c r="EG333" s="8">
        <v>0</v>
      </c>
      <c r="EH333" s="8">
        <v>0</v>
      </c>
      <c r="EI333" s="8">
        <v>0</v>
      </c>
      <c r="EJ333" s="8">
        <v>0</v>
      </c>
      <c r="EK333" s="8">
        <v>0</v>
      </c>
      <c r="EL333" s="8">
        <v>0</v>
      </c>
      <c r="EM333" s="8">
        <v>0</v>
      </c>
      <c r="EN333" s="8">
        <v>0</v>
      </c>
      <c r="EO333" s="9">
        <f t="shared" si="162"/>
        <v>0</v>
      </c>
      <c r="EP333" s="8">
        <v>0</v>
      </c>
      <c r="EQ333" s="8">
        <v>0</v>
      </c>
      <c r="ER333" s="8">
        <v>0</v>
      </c>
      <c r="ES333" s="8">
        <v>0</v>
      </c>
      <c r="ET333" s="8">
        <v>0</v>
      </c>
      <c r="EU333" s="8">
        <v>0</v>
      </c>
      <c r="EV333" s="8">
        <v>0</v>
      </c>
      <c r="EW333" s="8">
        <v>0</v>
      </c>
      <c r="EX333" s="8">
        <v>0</v>
      </c>
      <c r="EY333" s="8">
        <v>0</v>
      </c>
      <c r="EZ333" s="8">
        <v>0</v>
      </c>
      <c r="FA333" s="8">
        <v>0</v>
      </c>
      <c r="FB333" s="9">
        <f t="shared" si="163"/>
        <v>0</v>
      </c>
      <c r="FC333" s="8">
        <v>0</v>
      </c>
      <c r="FD333" s="8">
        <v>0</v>
      </c>
      <c r="FE333" s="8">
        <v>0</v>
      </c>
      <c r="FF333" s="8">
        <v>0</v>
      </c>
      <c r="FG333" s="8">
        <v>0</v>
      </c>
      <c r="FH333" s="8">
        <v>0</v>
      </c>
      <c r="FI333" s="8">
        <v>0</v>
      </c>
      <c r="FJ333" s="8"/>
      <c r="FK333" s="8"/>
      <c r="FL333" s="8"/>
      <c r="FM333" s="8"/>
      <c r="FN333" s="8"/>
      <c r="FO333" s="9">
        <f t="shared" si="164"/>
        <v>0</v>
      </c>
    </row>
    <row r="334" spans="2:171" ht="14.25" customHeight="1" thickBot="1" x14ac:dyDescent="0.35">
      <c r="B334" s="14" t="s">
        <v>93</v>
      </c>
      <c r="C334" s="16">
        <f t="shared" ref="C334:AH334" si="165">SUM(C302:C333)</f>
        <v>0</v>
      </c>
      <c r="D334" s="16">
        <f t="shared" si="165"/>
        <v>26096154</v>
      </c>
      <c r="E334" s="16">
        <f t="shared" si="165"/>
        <v>56041628</v>
      </c>
      <c r="F334" s="16">
        <f t="shared" si="165"/>
        <v>67318231</v>
      </c>
      <c r="G334" s="16">
        <f t="shared" si="165"/>
        <v>75880333</v>
      </c>
      <c r="H334" s="16">
        <f t="shared" si="165"/>
        <v>87475379</v>
      </c>
      <c r="I334" s="16">
        <f t="shared" si="165"/>
        <v>100784752</v>
      </c>
      <c r="J334" s="16">
        <f t="shared" si="165"/>
        <v>111472287</v>
      </c>
      <c r="K334" s="16">
        <f t="shared" si="165"/>
        <v>126528466</v>
      </c>
      <c r="L334" s="16">
        <f t="shared" si="165"/>
        <v>136860771</v>
      </c>
      <c r="M334" s="16">
        <f t="shared" si="165"/>
        <v>152732018</v>
      </c>
      <c r="N334" s="16">
        <f t="shared" si="165"/>
        <v>292064466</v>
      </c>
      <c r="O334" s="16">
        <f t="shared" si="165"/>
        <v>292064466</v>
      </c>
      <c r="P334" s="16">
        <f t="shared" si="165"/>
        <v>0</v>
      </c>
      <c r="Q334" s="16">
        <f t="shared" si="165"/>
        <v>0</v>
      </c>
      <c r="R334" s="16">
        <f t="shared" si="165"/>
        <v>49059627</v>
      </c>
      <c r="S334" s="16">
        <f t="shared" si="165"/>
        <v>61400946</v>
      </c>
      <c r="T334" s="16">
        <f t="shared" si="165"/>
        <v>69418231</v>
      </c>
      <c r="U334" s="16">
        <f t="shared" si="165"/>
        <v>88410605</v>
      </c>
      <c r="V334" s="16">
        <f t="shared" si="165"/>
        <v>100551700</v>
      </c>
      <c r="W334" s="16">
        <f t="shared" si="165"/>
        <v>125437166</v>
      </c>
      <c r="X334" s="16">
        <f t="shared" si="165"/>
        <v>148405911</v>
      </c>
      <c r="Y334" s="16">
        <f t="shared" si="165"/>
        <v>170926042</v>
      </c>
      <c r="Z334" s="16">
        <f t="shared" si="165"/>
        <v>220271482</v>
      </c>
      <c r="AA334" s="16">
        <f t="shared" si="165"/>
        <v>472604438</v>
      </c>
      <c r="AB334" s="16">
        <f t="shared" si="165"/>
        <v>472604438</v>
      </c>
      <c r="AC334" s="16">
        <f t="shared" si="165"/>
        <v>0</v>
      </c>
      <c r="AD334" s="16">
        <f t="shared" si="165"/>
        <v>0</v>
      </c>
      <c r="AE334" s="16">
        <f t="shared" si="165"/>
        <v>51754465</v>
      </c>
      <c r="AF334" s="16">
        <f t="shared" si="165"/>
        <v>72757328</v>
      </c>
      <c r="AG334" s="16">
        <f t="shared" si="165"/>
        <v>94780526</v>
      </c>
      <c r="AH334" s="16">
        <f t="shared" si="165"/>
        <v>115638319</v>
      </c>
      <c r="AI334" s="16">
        <f t="shared" ref="AI334:BN334" si="166">SUM(AI302:AI333)</f>
        <v>139693890</v>
      </c>
      <c r="AJ334" s="16">
        <f t="shared" si="166"/>
        <v>167697218</v>
      </c>
      <c r="AK334" s="16">
        <f t="shared" si="166"/>
        <v>190292478</v>
      </c>
      <c r="AL334" s="16">
        <f t="shared" si="166"/>
        <v>226263713</v>
      </c>
      <c r="AM334" s="16">
        <f t="shared" si="166"/>
        <v>270132140</v>
      </c>
      <c r="AN334" s="16">
        <f t="shared" si="166"/>
        <v>457056186</v>
      </c>
      <c r="AO334" s="16">
        <f t="shared" si="166"/>
        <v>457056186</v>
      </c>
      <c r="AP334" s="16">
        <f t="shared" si="166"/>
        <v>2093965</v>
      </c>
      <c r="AQ334" s="16">
        <f t="shared" si="166"/>
        <v>2093965</v>
      </c>
      <c r="AR334" s="16">
        <f t="shared" si="166"/>
        <v>31543603</v>
      </c>
      <c r="AS334" s="16">
        <f t="shared" si="166"/>
        <v>74454780</v>
      </c>
      <c r="AT334" s="16">
        <f t="shared" si="166"/>
        <v>98361776</v>
      </c>
      <c r="AU334" s="16">
        <f t="shared" si="166"/>
        <v>127116959</v>
      </c>
      <c r="AV334" s="16">
        <f t="shared" si="166"/>
        <v>157979448</v>
      </c>
      <c r="AW334" s="16">
        <f t="shared" si="166"/>
        <v>187370413</v>
      </c>
      <c r="AX334" s="16">
        <f t="shared" si="166"/>
        <v>211726962</v>
      </c>
      <c r="AY334" s="16">
        <f t="shared" si="166"/>
        <v>236795579</v>
      </c>
      <c r="AZ334" s="16">
        <f t="shared" si="166"/>
        <v>260800690</v>
      </c>
      <c r="BA334" s="16">
        <f t="shared" si="166"/>
        <v>348344063</v>
      </c>
      <c r="BB334" s="16">
        <f t="shared" si="166"/>
        <v>348344063</v>
      </c>
      <c r="BC334" s="16">
        <f t="shared" si="166"/>
        <v>0</v>
      </c>
      <c r="BD334" s="16">
        <f t="shared" si="166"/>
        <v>0</v>
      </c>
      <c r="BE334" s="16">
        <f t="shared" si="166"/>
        <v>63256610</v>
      </c>
      <c r="BF334" s="16">
        <f t="shared" si="166"/>
        <v>103501413</v>
      </c>
      <c r="BG334" s="16">
        <f t="shared" si="166"/>
        <v>140480716</v>
      </c>
      <c r="BH334" s="16">
        <f t="shared" si="166"/>
        <v>164224959</v>
      </c>
      <c r="BI334" s="16">
        <f t="shared" si="166"/>
        <v>189882302</v>
      </c>
      <c r="BJ334" s="16">
        <f t="shared" si="166"/>
        <v>220690324</v>
      </c>
      <c r="BK334" s="16">
        <f t="shared" si="166"/>
        <v>252650213</v>
      </c>
      <c r="BL334" s="16">
        <f t="shared" si="166"/>
        <v>283693548</v>
      </c>
      <c r="BM334" s="16">
        <f t="shared" si="166"/>
        <v>322793768</v>
      </c>
      <c r="BN334" s="16">
        <f t="shared" si="166"/>
        <v>461248381</v>
      </c>
      <c r="BO334" s="16">
        <f t="shared" ref="BO334:CT334" si="167">SUM(BO302:BO333)</f>
        <v>461248381</v>
      </c>
      <c r="BP334" s="16">
        <f t="shared" si="167"/>
        <v>1619576</v>
      </c>
      <c r="BQ334" s="16">
        <f t="shared" si="167"/>
        <v>1619576</v>
      </c>
      <c r="BR334" s="16">
        <f t="shared" si="167"/>
        <v>130886351</v>
      </c>
      <c r="BS334" s="16">
        <f t="shared" si="167"/>
        <v>166570379</v>
      </c>
      <c r="BT334" s="16">
        <f t="shared" si="167"/>
        <v>212049842</v>
      </c>
      <c r="BU334" s="16">
        <f t="shared" si="167"/>
        <v>257484591</v>
      </c>
      <c r="BV334" s="16">
        <f t="shared" si="167"/>
        <v>284568768</v>
      </c>
      <c r="BW334" s="16">
        <f t="shared" si="167"/>
        <v>337549838</v>
      </c>
      <c r="BX334" s="16">
        <f t="shared" si="167"/>
        <v>419088681</v>
      </c>
      <c r="BY334" s="16">
        <f t="shared" si="167"/>
        <v>455125273</v>
      </c>
      <c r="BZ334" s="16">
        <f t="shared" si="167"/>
        <v>500667388</v>
      </c>
      <c r="CA334" s="16">
        <f t="shared" si="167"/>
        <v>711972215</v>
      </c>
      <c r="CB334" s="16">
        <f t="shared" si="167"/>
        <v>711972215</v>
      </c>
      <c r="CC334" s="16">
        <f t="shared" si="167"/>
        <v>0</v>
      </c>
      <c r="CD334" s="16">
        <f t="shared" si="167"/>
        <v>0</v>
      </c>
      <c r="CE334" s="16">
        <f t="shared" si="167"/>
        <v>52772913</v>
      </c>
      <c r="CF334" s="16">
        <f t="shared" si="167"/>
        <v>172160206</v>
      </c>
      <c r="CG334" s="16">
        <f t="shared" si="167"/>
        <v>227578612</v>
      </c>
      <c r="CH334" s="16">
        <f t="shared" si="167"/>
        <v>283930204</v>
      </c>
      <c r="CI334" s="16">
        <f t="shared" si="167"/>
        <v>323225275</v>
      </c>
      <c r="CJ334" s="16">
        <f t="shared" si="167"/>
        <v>358601343</v>
      </c>
      <c r="CK334" s="16">
        <f t="shared" si="167"/>
        <v>390850048</v>
      </c>
      <c r="CL334" s="16">
        <f t="shared" si="167"/>
        <v>416545797</v>
      </c>
      <c r="CM334" s="16">
        <f t="shared" si="167"/>
        <v>454304140</v>
      </c>
      <c r="CN334" s="16">
        <f t="shared" si="167"/>
        <v>614664861</v>
      </c>
      <c r="CO334" s="16">
        <f t="shared" si="167"/>
        <v>614664861</v>
      </c>
      <c r="CP334" s="16">
        <f t="shared" si="167"/>
        <v>82112</v>
      </c>
      <c r="CQ334" s="16">
        <f t="shared" si="167"/>
        <v>411585</v>
      </c>
      <c r="CR334" s="16">
        <f t="shared" si="167"/>
        <v>88252653</v>
      </c>
      <c r="CS334" s="16">
        <f t="shared" si="167"/>
        <v>163822769</v>
      </c>
      <c r="CT334" s="16">
        <f t="shared" si="167"/>
        <v>202491289</v>
      </c>
      <c r="CU334" s="16">
        <f t="shared" ref="CU334:DZ334" si="168">SUM(CU302:CU333)</f>
        <v>239324382</v>
      </c>
      <c r="CV334" s="16">
        <f t="shared" si="168"/>
        <v>265648059</v>
      </c>
      <c r="CW334" s="16">
        <f t="shared" si="168"/>
        <v>306546068</v>
      </c>
      <c r="CX334" s="16">
        <f t="shared" si="168"/>
        <v>332747518</v>
      </c>
      <c r="CY334" s="16">
        <f t="shared" si="168"/>
        <v>383031301</v>
      </c>
      <c r="CZ334" s="16">
        <f t="shared" si="168"/>
        <v>413665946</v>
      </c>
      <c r="DA334" s="16">
        <f t="shared" si="168"/>
        <v>490312266</v>
      </c>
      <c r="DB334" s="16">
        <f t="shared" si="168"/>
        <v>490312266</v>
      </c>
      <c r="DC334" s="16">
        <f t="shared" si="168"/>
        <v>0</v>
      </c>
      <c r="DD334" s="16">
        <f t="shared" si="168"/>
        <v>1865</v>
      </c>
      <c r="DE334" s="16">
        <f t="shared" si="168"/>
        <v>95517566</v>
      </c>
      <c r="DF334" s="16">
        <f t="shared" si="168"/>
        <v>118701463</v>
      </c>
      <c r="DG334" s="16">
        <f t="shared" si="168"/>
        <v>128201625</v>
      </c>
      <c r="DH334" s="16">
        <f t="shared" si="168"/>
        <v>148304915</v>
      </c>
      <c r="DI334" s="16">
        <f t="shared" si="168"/>
        <v>176448546</v>
      </c>
      <c r="DJ334" s="16">
        <f t="shared" si="168"/>
        <v>206625456</v>
      </c>
      <c r="DK334" s="16">
        <f t="shared" si="168"/>
        <v>237062860</v>
      </c>
      <c r="DL334" s="16">
        <f t="shared" si="168"/>
        <v>279779240</v>
      </c>
      <c r="DM334" s="16">
        <f t="shared" si="168"/>
        <v>389188336</v>
      </c>
      <c r="DN334" s="16">
        <f t="shared" si="168"/>
        <v>455371453</v>
      </c>
      <c r="DO334" s="16">
        <f t="shared" si="168"/>
        <v>455371453</v>
      </c>
      <c r="DP334" s="16">
        <f t="shared" si="168"/>
        <v>170507</v>
      </c>
      <c r="DQ334" s="16">
        <f t="shared" si="168"/>
        <v>17831125</v>
      </c>
      <c r="DR334" s="16">
        <f t="shared" si="168"/>
        <v>106346070</v>
      </c>
      <c r="DS334" s="16">
        <f t="shared" si="168"/>
        <v>139231099</v>
      </c>
      <c r="DT334" s="16">
        <f t="shared" si="168"/>
        <v>177321230</v>
      </c>
      <c r="DU334" s="16">
        <f t="shared" si="168"/>
        <v>216759257</v>
      </c>
      <c r="DV334" s="16">
        <f t="shared" si="168"/>
        <v>259164746</v>
      </c>
      <c r="DW334" s="16">
        <f t="shared" si="168"/>
        <v>300668299</v>
      </c>
      <c r="DX334" s="16">
        <f t="shared" si="168"/>
        <v>338905827</v>
      </c>
      <c r="DY334" s="16">
        <f t="shared" si="168"/>
        <v>338905827</v>
      </c>
      <c r="DZ334" s="16">
        <f t="shared" si="168"/>
        <v>426214534</v>
      </c>
      <c r="EA334" s="16">
        <f t="shared" ref="EA334:FF334" si="169">SUM(EA302:EA333)</f>
        <v>574274794</v>
      </c>
      <c r="EB334" s="16">
        <f t="shared" si="169"/>
        <v>574274794</v>
      </c>
      <c r="EC334" s="16">
        <f t="shared" si="169"/>
        <v>178155</v>
      </c>
      <c r="ED334" s="16">
        <f t="shared" si="169"/>
        <v>4285023</v>
      </c>
      <c r="EE334" s="16">
        <f t="shared" si="169"/>
        <v>136526237</v>
      </c>
      <c r="EF334" s="16">
        <f t="shared" si="169"/>
        <v>165496891</v>
      </c>
      <c r="EG334" s="16">
        <f t="shared" si="169"/>
        <v>227803211</v>
      </c>
      <c r="EH334" s="16">
        <f t="shared" si="169"/>
        <v>325739260</v>
      </c>
      <c r="EI334" s="16">
        <f t="shared" si="169"/>
        <v>400739627</v>
      </c>
      <c r="EJ334" s="16">
        <f t="shared" si="169"/>
        <v>505840710</v>
      </c>
      <c r="EK334" s="16">
        <f t="shared" si="169"/>
        <v>580749731</v>
      </c>
      <c r="EL334" s="16">
        <f t="shared" si="169"/>
        <v>620811339</v>
      </c>
      <c r="EM334" s="16">
        <f t="shared" si="169"/>
        <v>707788245</v>
      </c>
      <c r="EN334" s="16">
        <f t="shared" si="169"/>
        <v>823446804</v>
      </c>
      <c r="EO334" s="16">
        <f t="shared" si="169"/>
        <v>823446804</v>
      </c>
      <c r="EP334" s="16">
        <f t="shared" si="169"/>
        <v>32596643</v>
      </c>
      <c r="EQ334" s="16">
        <f t="shared" si="169"/>
        <v>33349248</v>
      </c>
      <c r="ER334" s="16">
        <f t="shared" si="169"/>
        <v>221590125</v>
      </c>
      <c r="ES334" s="16">
        <f t="shared" si="169"/>
        <v>240622045</v>
      </c>
      <c r="ET334" s="16">
        <f t="shared" si="169"/>
        <v>297003296</v>
      </c>
      <c r="EU334" s="16">
        <f t="shared" si="169"/>
        <v>387489250</v>
      </c>
      <c r="EV334" s="16">
        <f t="shared" si="169"/>
        <v>434690307</v>
      </c>
      <c r="EW334" s="16">
        <f t="shared" si="169"/>
        <v>489035282</v>
      </c>
      <c r="EX334" s="16">
        <f t="shared" si="169"/>
        <v>564358052</v>
      </c>
      <c r="EY334" s="16">
        <f t="shared" si="169"/>
        <v>608332985</v>
      </c>
      <c r="EZ334" s="16">
        <f t="shared" si="169"/>
        <v>700529911</v>
      </c>
      <c r="FA334" s="16">
        <f t="shared" si="169"/>
        <v>822832872</v>
      </c>
      <c r="FB334" s="16">
        <f t="shared" si="169"/>
        <v>822832872</v>
      </c>
      <c r="FC334" s="16">
        <f t="shared" si="169"/>
        <v>7514415</v>
      </c>
      <c r="FD334" s="16">
        <f t="shared" si="169"/>
        <v>10771323</v>
      </c>
      <c r="FE334" s="16">
        <f t="shared" si="169"/>
        <v>61771964</v>
      </c>
      <c r="FF334" s="16">
        <f t="shared" si="169"/>
        <v>160009564</v>
      </c>
      <c r="FG334" s="16">
        <f t="shared" ref="FG334:GL334" si="170">SUM(FG302:FG333)</f>
        <v>192473239</v>
      </c>
      <c r="FH334" s="16">
        <f t="shared" si="170"/>
        <v>274896219</v>
      </c>
      <c r="FI334" s="16">
        <f t="shared" si="170"/>
        <v>293615144</v>
      </c>
      <c r="FJ334" s="16">
        <f t="shared" si="170"/>
        <v>0</v>
      </c>
      <c r="FK334" s="16">
        <f t="shared" si="170"/>
        <v>0</v>
      </c>
      <c r="FL334" s="16">
        <f t="shared" si="170"/>
        <v>0</v>
      </c>
      <c r="FM334" s="16">
        <f t="shared" si="170"/>
        <v>0</v>
      </c>
      <c r="FN334" s="16">
        <f t="shared" si="170"/>
        <v>0</v>
      </c>
      <c r="FO334" s="16">
        <f t="shared" si="170"/>
        <v>293615144</v>
      </c>
    </row>
  </sheetData>
  <mergeCells count="117">
    <mergeCell ref="EP300:FB300"/>
    <mergeCell ref="P117:AB117"/>
    <mergeCell ref="EP228:FB228"/>
    <mergeCell ref="C42:O42"/>
    <mergeCell ref="CP6:DB6"/>
    <mergeCell ref="FC117:FO117"/>
    <mergeCell ref="AC189:AO189"/>
    <mergeCell ref="AP117:BB117"/>
    <mergeCell ref="DC153:DO153"/>
    <mergeCell ref="C117:O117"/>
    <mergeCell ref="BC189:BO189"/>
    <mergeCell ref="CC300:CO300"/>
    <mergeCell ref="EP78:FB78"/>
    <mergeCell ref="EC300:EO300"/>
    <mergeCell ref="AC42:AO42"/>
    <mergeCell ref="P300:AB300"/>
    <mergeCell ref="FC153:FO153"/>
    <mergeCell ref="AP300:BB300"/>
    <mergeCell ref="AP189:BB189"/>
    <mergeCell ref="C228:O228"/>
    <mergeCell ref="CP42:DB42"/>
    <mergeCell ref="DP153:EB153"/>
    <mergeCell ref="BC78:BO78"/>
    <mergeCell ref="CC153:CO153"/>
    <mergeCell ref="EC117:EO117"/>
    <mergeCell ref="BP189:CB189"/>
    <mergeCell ref="AP264:BB264"/>
    <mergeCell ref="CP300:DB300"/>
    <mergeCell ref="DP300:EB300"/>
    <mergeCell ref="P78:AB78"/>
    <mergeCell ref="DP228:EB228"/>
    <mergeCell ref="BP78:CB78"/>
    <mergeCell ref="BP6:CB6"/>
    <mergeCell ref="CP117:DB117"/>
    <mergeCell ref="EP117:FB117"/>
    <mergeCell ref="C189:O189"/>
    <mergeCell ref="CP78:DB78"/>
    <mergeCell ref="BC117:BO117"/>
    <mergeCell ref="CC228:CO228"/>
    <mergeCell ref="EP6:FB6"/>
    <mergeCell ref="DC189:DO189"/>
    <mergeCell ref="P153:AB153"/>
    <mergeCell ref="BC300:BO300"/>
    <mergeCell ref="AC264:AO264"/>
    <mergeCell ref="DC300:DO300"/>
    <mergeCell ref="DP78:EB78"/>
    <mergeCell ref="EC153:EO153"/>
    <mergeCell ref="DC228:DO228"/>
    <mergeCell ref="AP153:BB153"/>
    <mergeCell ref="DC42:DO42"/>
    <mergeCell ref="BC264:BO264"/>
    <mergeCell ref="BP42:CB42"/>
    <mergeCell ref="AC78:AO78"/>
    <mergeCell ref="AP228:BB228"/>
    <mergeCell ref="CC6:CO6"/>
    <mergeCell ref="P189:AB189"/>
    <mergeCell ref="DC78:DO78"/>
    <mergeCell ref="CP228:DB228"/>
    <mergeCell ref="AP78:BB78"/>
    <mergeCell ref="FC6:FO6"/>
    <mergeCell ref="CP264:DB264"/>
    <mergeCell ref="EP264:FB264"/>
    <mergeCell ref="AP6:BB6"/>
    <mergeCell ref="DP42:EB42"/>
    <mergeCell ref="EC78:EO78"/>
    <mergeCell ref="FC189:FO189"/>
    <mergeCell ref="CP153:DB153"/>
    <mergeCell ref="BP228:CB228"/>
    <mergeCell ref="DC6:DO6"/>
    <mergeCell ref="DC117:DO117"/>
    <mergeCell ref="P6:AB6"/>
    <mergeCell ref="DP6:EB6"/>
    <mergeCell ref="P228:AB228"/>
    <mergeCell ref="BP117:CB117"/>
    <mergeCell ref="FC78:FO78"/>
    <mergeCell ref="DP117:EB117"/>
    <mergeCell ref="C300:O300"/>
    <mergeCell ref="AC117:AO117"/>
    <mergeCell ref="EP42:FB42"/>
    <mergeCell ref="CC189:CO189"/>
    <mergeCell ref="EC189:EO189"/>
    <mergeCell ref="AC300:AO300"/>
    <mergeCell ref="C264:O264"/>
    <mergeCell ref="P42:AB42"/>
    <mergeCell ref="C78:O78"/>
    <mergeCell ref="AC153:AO153"/>
    <mergeCell ref="DC264:DO264"/>
    <mergeCell ref="FC264:FO264"/>
    <mergeCell ref="C6:O6"/>
    <mergeCell ref="CC42:CO42"/>
    <mergeCell ref="BC6:BO6"/>
    <mergeCell ref="EC228:EO228"/>
    <mergeCell ref="AP42:BB42"/>
    <mergeCell ref="BP153:CB153"/>
    <mergeCell ref="C153:O153"/>
    <mergeCell ref="FC300:FO300"/>
    <mergeCell ref="CC264:CO264"/>
    <mergeCell ref="EC264:EO264"/>
    <mergeCell ref="BC42:BO42"/>
    <mergeCell ref="AC6:AO6"/>
    <mergeCell ref="FC228:FO228"/>
    <mergeCell ref="P264:AB264"/>
    <mergeCell ref="EC42:EO42"/>
    <mergeCell ref="BP300:CB300"/>
    <mergeCell ref="AC228:AO228"/>
    <mergeCell ref="DP189:EB189"/>
    <mergeCell ref="CC117:CO117"/>
    <mergeCell ref="EP153:FB153"/>
    <mergeCell ref="CC78:CO78"/>
    <mergeCell ref="BC153:BO153"/>
    <mergeCell ref="FC42:FO42"/>
    <mergeCell ref="EC6:EO6"/>
    <mergeCell ref="BP264:CB264"/>
    <mergeCell ref="CP189:DB189"/>
    <mergeCell ref="BC228:BO228"/>
    <mergeCell ref="EP189:FB189"/>
    <mergeCell ref="DP264:EB26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3E50"/>
  </sheetPr>
  <dimension ref="B1:FO334"/>
  <sheetViews>
    <sheetView tabSelected="1" workbookViewId="0">
      <selection activeCell="D26" sqref="D26"/>
    </sheetView>
  </sheetViews>
  <sheetFormatPr baseColWidth="10" defaultColWidth="14.44140625" defaultRowHeight="15" customHeight="1" x14ac:dyDescent="0.3"/>
  <cols>
    <col min="1" max="1" width="3" style="36" customWidth="1"/>
    <col min="2" max="2" width="38" style="36" customWidth="1"/>
    <col min="3" max="171" width="15" style="36" customWidth="1"/>
    <col min="172" max="172" width="14.44140625" style="36" customWidth="1"/>
    <col min="173" max="16384" width="14.44140625" style="36"/>
  </cols>
  <sheetData>
    <row r="1" spans="2:171" ht="14.25" customHeight="1" x14ac:dyDescent="0.4">
      <c r="B1" s="1" t="s">
        <v>0</v>
      </c>
      <c r="C1">
        <v>1.620347026546048</v>
      </c>
      <c r="D1">
        <v>1.620347026546048</v>
      </c>
      <c r="E1">
        <v>1.620347026546048</v>
      </c>
      <c r="F1">
        <v>1.620347026546048</v>
      </c>
      <c r="G1">
        <v>1.620347026546048</v>
      </c>
      <c r="H1">
        <v>1.620347026546048</v>
      </c>
      <c r="I1">
        <v>1.620347026546048</v>
      </c>
      <c r="J1">
        <v>1.620347026546048</v>
      </c>
      <c r="K1">
        <v>1.620347026546048</v>
      </c>
      <c r="L1">
        <v>1.620347026546048</v>
      </c>
      <c r="M1">
        <v>1.620347026546048</v>
      </c>
      <c r="N1">
        <v>1.620347026546048</v>
      </c>
      <c r="P1">
        <v>1.552209120613723</v>
      </c>
      <c r="Q1">
        <v>1.552209120613723</v>
      </c>
      <c r="R1">
        <v>1.552209120613723</v>
      </c>
      <c r="S1">
        <v>1.552209120613723</v>
      </c>
      <c r="T1">
        <v>1.552209120613723</v>
      </c>
      <c r="U1">
        <v>1.552209120613723</v>
      </c>
      <c r="V1">
        <v>1.552209120613723</v>
      </c>
      <c r="W1">
        <v>1.552209120613723</v>
      </c>
      <c r="X1">
        <v>1.552209120613723</v>
      </c>
      <c r="Y1">
        <v>1.552209120613723</v>
      </c>
      <c r="Z1">
        <v>1.552209120613723</v>
      </c>
      <c r="AA1">
        <v>1.552209120613723</v>
      </c>
      <c r="AC1">
        <v>1.51141236685572</v>
      </c>
      <c r="AD1">
        <v>1.51141236685572</v>
      </c>
      <c r="AE1">
        <v>1.51141236685572</v>
      </c>
      <c r="AF1">
        <v>1.51141236685572</v>
      </c>
      <c r="AG1">
        <v>1.51141236685572</v>
      </c>
      <c r="AH1">
        <v>1.51141236685572</v>
      </c>
      <c r="AI1">
        <v>1.51141236685572</v>
      </c>
      <c r="AJ1">
        <v>1.51141236685572</v>
      </c>
      <c r="AK1">
        <v>1.51141236685572</v>
      </c>
      <c r="AL1">
        <v>1.51141236685572</v>
      </c>
      <c r="AM1">
        <v>1.51141236685572</v>
      </c>
      <c r="AN1">
        <v>1.51141236685572</v>
      </c>
      <c r="AP1">
        <v>1.477884485323955</v>
      </c>
      <c r="AQ1">
        <v>1.477884485323955</v>
      </c>
      <c r="AR1">
        <v>1.477884485323955</v>
      </c>
      <c r="AS1">
        <v>1.477884485323955</v>
      </c>
      <c r="AT1">
        <v>1.477884485323955</v>
      </c>
      <c r="AU1">
        <v>1.477884485323955</v>
      </c>
      <c r="AV1">
        <v>1.477884485323955</v>
      </c>
      <c r="AW1">
        <v>1.477884485323955</v>
      </c>
      <c r="AX1">
        <v>1.477884485323955</v>
      </c>
      <c r="AY1">
        <v>1.477884485323955</v>
      </c>
      <c r="AZ1">
        <v>1.477884485323955</v>
      </c>
      <c r="BA1">
        <v>1.477884485323955</v>
      </c>
      <c r="BC1">
        <v>1.440854543056838</v>
      </c>
      <c r="BD1">
        <v>1.440854543056838</v>
      </c>
      <c r="BE1">
        <v>1.440854543056838</v>
      </c>
      <c r="BF1">
        <v>1.440854543056838</v>
      </c>
      <c r="BG1">
        <v>1.440854543056838</v>
      </c>
      <c r="BH1">
        <v>1.440854543056838</v>
      </c>
      <c r="BI1">
        <v>1.440854543056838</v>
      </c>
      <c r="BJ1">
        <v>1.440854543056838</v>
      </c>
      <c r="BK1">
        <v>1.440854543056838</v>
      </c>
      <c r="BL1">
        <v>1.440854543056838</v>
      </c>
      <c r="BM1">
        <v>1.440854543056838</v>
      </c>
      <c r="BN1">
        <v>1.440854543056838</v>
      </c>
      <c r="BP1">
        <v>1.398975672215109</v>
      </c>
      <c r="BQ1">
        <v>1.398975672215109</v>
      </c>
      <c r="BR1">
        <v>1.398975672215109</v>
      </c>
      <c r="BS1">
        <v>1.398975672215109</v>
      </c>
      <c r="BT1">
        <v>1.398975672215109</v>
      </c>
      <c r="BU1">
        <v>1.398975672215109</v>
      </c>
      <c r="BV1">
        <v>1.398975672215109</v>
      </c>
      <c r="BW1">
        <v>1.398975672215109</v>
      </c>
      <c r="BX1">
        <v>1.398975672215109</v>
      </c>
      <c r="BY1">
        <v>1.398975672215109</v>
      </c>
      <c r="BZ1">
        <v>1.398975672215109</v>
      </c>
      <c r="CA1">
        <v>1.398975672215109</v>
      </c>
      <c r="CC1">
        <v>1.3584483401715779</v>
      </c>
      <c r="CD1">
        <v>1.3584483401715779</v>
      </c>
      <c r="CE1">
        <v>1.3584483401715779</v>
      </c>
      <c r="CF1">
        <v>1.3584483401715779</v>
      </c>
      <c r="CG1">
        <v>1.3584483401715779</v>
      </c>
      <c r="CH1">
        <v>1.3584483401715779</v>
      </c>
      <c r="CI1">
        <v>1.3584483401715779</v>
      </c>
      <c r="CJ1">
        <v>1.3584483401715779</v>
      </c>
      <c r="CK1">
        <v>1.3584483401715779</v>
      </c>
      <c r="CL1">
        <v>1.3584483401715779</v>
      </c>
      <c r="CM1">
        <v>1.3584483401715779</v>
      </c>
      <c r="CN1">
        <v>1.3584483401715779</v>
      </c>
      <c r="CP1">
        <v>1.2675174013921111</v>
      </c>
      <c r="CQ1">
        <v>1.2675174013921111</v>
      </c>
      <c r="CR1">
        <v>1.2675174013921111</v>
      </c>
      <c r="CS1">
        <v>1.2675174013921111</v>
      </c>
      <c r="CT1">
        <v>1.2675174013921111</v>
      </c>
      <c r="CU1">
        <v>1.2675174013921111</v>
      </c>
      <c r="CV1">
        <v>1.2675174013921111</v>
      </c>
      <c r="CW1">
        <v>1.2675174013921111</v>
      </c>
      <c r="CX1">
        <v>1.2675174013921111</v>
      </c>
      <c r="CY1">
        <v>1.2675174013921111</v>
      </c>
      <c r="CZ1">
        <v>1.2675174013921111</v>
      </c>
      <c r="DA1">
        <v>1.2675174013921111</v>
      </c>
      <c r="DC1">
        <v>1.1239584404896621</v>
      </c>
      <c r="DD1">
        <v>1.1239584404896621</v>
      </c>
      <c r="DE1">
        <v>1.1239584404896621</v>
      </c>
      <c r="DF1">
        <v>1.1239584404896621</v>
      </c>
      <c r="DG1">
        <v>1.1239584404896621</v>
      </c>
      <c r="DH1">
        <v>1.1239584404896621</v>
      </c>
      <c r="DI1">
        <v>1.1239584404896621</v>
      </c>
      <c r="DJ1">
        <v>1.1239584404896621</v>
      </c>
      <c r="DK1">
        <v>1.1239584404896621</v>
      </c>
      <c r="DL1">
        <v>1.1239584404896621</v>
      </c>
      <c r="DM1">
        <v>1.1239584404896621</v>
      </c>
      <c r="DN1">
        <v>1.1239584404896621</v>
      </c>
      <c r="DP1">
        <v>1.0813539192399051</v>
      </c>
      <c r="DQ1">
        <v>1.0813539192399051</v>
      </c>
      <c r="DR1">
        <v>1.0813539192399051</v>
      </c>
      <c r="DS1">
        <v>1.0813539192399051</v>
      </c>
      <c r="DT1">
        <v>1.0813539192399051</v>
      </c>
      <c r="DU1">
        <v>1.0813539192399051</v>
      </c>
      <c r="DV1">
        <v>1.0813539192399051</v>
      </c>
      <c r="DW1">
        <v>1.0813539192399051</v>
      </c>
      <c r="DX1">
        <v>1.0813539192399051</v>
      </c>
      <c r="DY1">
        <v>1.0813539192399051</v>
      </c>
      <c r="DZ1">
        <v>1.0813539192399051</v>
      </c>
      <c r="EA1">
        <v>1.0813539192399051</v>
      </c>
      <c r="EC1">
        <v>1.034463169854194</v>
      </c>
      <c r="ED1">
        <v>1.034463169854194</v>
      </c>
      <c r="EE1">
        <v>1.034463169854194</v>
      </c>
      <c r="EF1">
        <v>1.034463169854194</v>
      </c>
      <c r="EG1">
        <v>1.034463169854194</v>
      </c>
      <c r="EH1">
        <v>1.034463169854194</v>
      </c>
      <c r="EI1">
        <v>1.034463169854194</v>
      </c>
      <c r="EJ1">
        <v>1.034463169854194</v>
      </c>
      <c r="EK1">
        <v>1.034463169854194</v>
      </c>
      <c r="EL1">
        <v>1.034463169854194</v>
      </c>
      <c r="EM1">
        <v>1.034463169854194</v>
      </c>
      <c r="EN1">
        <v>1.034463169854194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</row>
    <row r="2" spans="2:171" ht="14.25" customHeight="1" x14ac:dyDescent="0.3">
      <c r="B2" s="2" t="s">
        <v>94</v>
      </c>
    </row>
    <row r="3" spans="2:171" ht="14.25" customHeight="1" x14ac:dyDescent="0.3"/>
    <row r="4" spans="2:171" ht="14.25" customHeight="1" x14ac:dyDescent="0.35">
      <c r="B4" s="3" t="s">
        <v>2</v>
      </c>
    </row>
    <row r="5" spans="2:171" ht="14.25" customHeight="1" x14ac:dyDescent="0.3">
      <c r="B5" s="4" t="s">
        <v>3</v>
      </c>
    </row>
    <row r="6" spans="2:171" ht="14.25" customHeight="1" x14ac:dyDescent="0.3">
      <c r="C6" s="38" t="s">
        <v>4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8" t="s">
        <v>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8" t="s">
        <v>6</v>
      </c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8" t="s">
        <v>7</v>
      </c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8" t="s">
        <v>8</v>
      </c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8" t="s">
        <v>9</v>
      </c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8" t="s">
        <v>10</v>
      </c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8" t="s">
        <v>11</v>
      </c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8" t="s">
        <v>12</v>
      </c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8" t="s">
        <v>13</v>
      </c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8" t="s">
        <v>14</v>
      </c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8" t="s">
        <v>15</v>
      </c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8" t="s">
        <v>16</v>
      </c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</row>
    <row r="7" spans="2:171" ht="14.25" customHeight="1" x14ac:dyDescent="0.3">
      <c r="B7" s="5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25</v>
      </c>
      <c r="K7" s="6" t="s">
        <v>26</v>
      </c>
      <c r="L7" s="6" t="s">
        <v>27</v>
      </c>
      <c r="M7" s="6" t="s">
        <v>28</v>
      </c>
      <c r="N7" s="6" t="s">
        <v>29</v>
      </c>
      <c r="O7" s="6" t="s">
        <v>30</v>
      </c>
      <c r="P7" s="6" t="s">
        <v>18</v>
      </c>
      <c r="Q7" s="6" t="s">
        <v>19</v>
      </c>
      <c r="R7" s="6" t="s">
        <v>20</v>
      </c>
      <c r="S7" s="6" t="s">
        <v>21</v>
      </c>
      <c r="T7" s="6" t="s">
        <v>22</v>
      </c>
      <c r="U7" s="6" t="s">
        <v>23</v>
      </c>
      <c r="V7" s="6" t="s">
        <v>24</v>
      </c>
      <c r="W7" s="6" t="s">
        <v>25</v>
      </c>
      <c r="X7" s="6" t="s">
        <v>26</v>
      </c>
      <c r="Y7" s="6" t="s">
        <v>27</v>
      </c>
      <c r="Z7" s="6" t="s">
        <v>28</v>
      </c>
      <c r="AA7" s="6" t="s">
        <v>29</v>
      </c>
      <c r="AB7" s="6" t="s">
        <v>31</v>
      </c>
      <c r="AC7" s="6" t="s">
        <v>18</v>
      </c>
      <c r="AD7" s="6" t="s">
        <v>19</v>
      </c>
      <c r="AE7" s="6" t="s">
        <v>20</v>
      </c>
      <c r="AF7" s="6" t="s">
        <v>21</v>
      </c>
      <c r="AG7" s="6" t="s">
        <v>22</v>
      </c>
      <c r="AH7" s="6" t="s">
        <v>23</v>
      </c>
      <c r="AI7" s="6" t="s">
        <v>24</v>
      </c>
      <c r="AJ7" s="6" t="s">
        <v>25</v>
      </c>
      <c r="AK7" s="6" t="s">
        <v>26</v>
      </c>
      <c r="AL7" s="6" t="s">
        <v>27</v>
      </c>
      <c r="AM7" s="6" t="s">
        <v>28</v>
      </c>
      <c r="AN7" s="6" t="s">
        <v>29</v>
      </c>
      <c r="AO7" s="6" t="s">
        <v>32</v>
      </c>
      <c r="AP7" s="6" t="s">
        <v>18</v>
      </c>
      <c r="AQ7" s="6" t="s">
        <v>19</v>
      </c>
      <c r="AR7" s="6" t="s">
        <v>20</v>
      </c>
      <c r="AS7" s="6" t="s">
        <v>21</v>
      </c>
      <c r="AT7" s="6" t="s">
        <v>22</v>
      </c>
      <c r="AU7" s="6" t="s">
        <v>23</v>
      </c>
      <c r="AV7" s="6" t="s">
        <v>24</v>
      </c>
      <c r="AW7" s="6" t="s">
        <v>25</v>
      </c>
      <c r="AX7" s="6" t="s">
        <v>26</v>
      </c>
      <c r="AY7" s="6" t="s">
        <v>27</v>
      </c>
      <c r="AZ7" s="6" t="s">
        <v>28</v>
      </c>
      <c r="BA7" s="6" t="s">
        <v>29</v>
      </c>
      <c r="BB7" s="6" t="s">
        <v>33</v>
      </c>
      <c r="BC7" s="6" t="s">
        <v>18</v>
      </c>
      <c r="BD7" s="6" t="s">
        <v>19</v>
      </c>
      <c r="BE7" s="6" t="s">
        <v>20</v>
      </c>
      <c r="BF7" s="6" t="s">
        <v>21</v>
      </c>
      <c r="BG7" s="6" t="s">
        <v>22</v>
      </c>
      <c r="BH7" s="6" t="s">
        <v>23</v>
      </c>
      <c r="BI7" s="6" t="s">
        <v>24</v>
      </c>
      <c r="BJ7" s="6" t="s">
        <v>25</v>
      </c>
      <c r="BK7" s="6" t="s">
        <v>26</v>
      </c>
      <c r="BL7" s="6" t="s">
        <v>27</v>
      </c>
      <c r="BM7" s="6" t="s">
        <v>28</v>
      </c>
      <c r="BN7" s="6" t="s">
        <v>29</v>
      </c>
      <c r="BO7" s="6" t="s">
        <v>34</v>
      </c>
      <c r="BP7" s="6" t="s">
        <v>18</v>
      </c>
      <c r="BQ7" s="6" t="s">
        <v>19</v>
      </c>
      <c r="BR7" s="6" t="s">
        <v>20</v>
      </c>
      <c r="BS7" s="6" t="s">
        <v>21</v>
      </c>
      <c r="BT7" s="6" t="s">
        <v>22</v>
      </c>
      <c r="BU7" s="6" t="s">
        <v>23</v>
      </c>
      <c r="BV7" s="6" t="s">
        <v>24</v>
      </c>
      <c r="BW7" s="6" t="s">
        <v>25</v>
      </c>
      <c r="BX7" s="6" t="s">
        <v>26</v>
      </c>
      <c r="BY7" s="6" t="s">
        <v>27</v>
      </c>
      <c r="BZ7" s="6" t="s">
        <v>28</v>
      </c>
      <c r="CA7" s="6" t="s">
        <v>29</v>
      </c>
      <c r="CB7" s="6" t="s">
        <v>35</v>
      </c>
      <c r="CC7" s="6" t="s">
        <v>18</v>
      </c>
      <c r="CD7" s="6" t="s">
        <v>19</v>
      </c>
      <c r="CE7" s="6" t="s">
        <v>20</v>
      </c>
      <c r="CF7" s="6" t="s">
        <v>21</v>
      </c>
      <c r="CG7" s="6" t="s">
        <v>22</v>
      </c>
      <c r="CH7" s="6" t="s">
        <v>23</v>
      </c>
      <c r="CI7" s="6" t="s">
        <v>24</v>
      </c>
      <c r="CJ7" s="6" t="s">
        <v>25</v>
      </c>
      <c r="CK7" s="6" t="s">
        <v>26</v>
      </c>
      <c r="CL7" s="6" t="s">
        <v>27</v>
      </c>
      <c r="CM7" s="6" t="s">
        <v>28</v>
      </c>
      <c r="CN7" s="6" t="s">
        <v>29</v>
      </c>
      <c r="CO7" s="6" t="s">
        <v>36</v>
      </c>
      <c r="CP7" s="6" t="s">
        <v>18</v>
      </c>
      <c r="CQ7" s="6" t="s">
        <v>19</v>
      </c>
      <c r="CR7" s="6" t="s">
        <v>20</v>
      </c>
      <c r="CS7" s="6" t="s">
        <v>21</v>
      </c>
      <c r="CT7" s="6" t="s">
        <v>22</v>
      </c>
      <c r="CU7" s="6" t="s">
        <v>23</v>
      </c>
      <c r="CV7" s="6" t="s">
        <v>24</v>
      </c>
      <c r="CW7" s="6" t="s">
        <v>25</v>
      </c>
      <c r="CX7" s="6" t="s">
        <v>26</v>
      </c>
      <c r="CY7" s="6" t="s">
        <v>27</v>
      </c>
      <c r="CZ7" s="6" t="s">
        <v>28</v>
      </c>
      <c r="DA7" s="6" t="s">
        <v>29</v>
      </c>
      <c r="DB7" s="6" t="s">
        <v>37</v>
      </c>
      <c r="DC7" s="6" t="s">
        <v>18</v>
      </c>
      <c r="DD7" s="6" t="s">
        <v>19</v>
      </c>
      <c r="DE7" s="6" t="s">
        <v>20</v>
      </c>
      <c r="DF7" s="6" t="s">
        <v>21</v>
      </c>
      <c r="DG7" s="6" t="s">
        <v>22</v>
      </c>
      <c r="DH7" s="6" t="s">
        <v>23</v>
      </c>
      <c r="DI7" s="6" t="s">
        <v>24</v>
      </c>
      <c r="DJ7" s="6" t="s">
        <v>25</v>
      </c>
      <c r="DK7" s="6" t="s">
        <v>26</v>
      </c>
      <c r="DL7" s="6" t="s">
        <v>27</v>
      </c>
      <c r="DM7" s="6" t="s">
        <v>28</v>
      </c>
      <c r="DN7" s="6" t="s">
        <v>29</v>
      </c>
      <c r="DO7" s="6" t="s">
        <v>38</v>
      </c>
      <c r="DP7" s="6" t="s">
        <v>18</v>
      </c>
      <c r="DQ7" s="6" t="s">
        <v>19</v>
      </c>
      <c r="DR7" s="6" t="s">
        <v>20</v>
      </c>
      <c r="DS7" s="6" t="s">
        <v>21</v>
      </c>
      <c r="DT7" s="6" t="s">
        <v>22</v>
      </c>
      <c r="DU7" s="6" t="s">
        <v>23</v>
      </c>
      <c r="DV7" s="6" t="s">
        <v>24</v>
      </c>
      <c r="DW7" s="6" t="s">
        <v>25</v>
      </c>
      <c r="DX7" s="6" t="s">
        <v>26</v>
      </c>
      <c r="DY7" s="6" t="s">
        <v>27</v>
      </c>
      <c r="DZ7" s="6" t="s">
        <v>28</v>
      </c>
      <c r="EA7" s="6" t="s">
        <v>29</v>
      </c>
      <c r="EB7" s="6" t="s">
        <v>39</v>
      </c>
      <c r="EC7" s="6" t="s">
        <v>18</v>
      </c>
      <c r="ED7" s="6" t="s">
        <v>19</v>
      </c>
      <c r="EE7" s="6" t="s">
        <v>20</v>
      </c>
      <c r="EF7" s="6" t="s">
        <v>21</v>
      </c>
      <c r="EG7" s="6" t="s">
        <v>22</v>
      </c>
      <c r="EH7" s="6" t="s">
        <v>23</v>
      </c>
      <c r="EI7" s="6" t="s">
        <v>24</v>
      </c>
      <c r="EJ7" s="6" t="s">
        <v>25</v>
      </c>
      <c r="EK7" s="6" t="s">
        <v>26</v>
      </c>
      <c r="EL7" s="6" t="s">
        <v>27</v>
      </c>
      <c r="EM7" s="6" t="s">
        <v>28</v>
      </c>
      <c r="EN7" s="6" t="s">
        <v>29</v>
      </c>
      <c r="EO7" s="6" t="s">
        <v>40</v>
      </c>
      <c r="EP7" s="6" t="s">
        <v>18</v>
      </c>
      <c r="EQ7" s="6" t="s">
        <v>19</v>
      </c>
      <c r="ER7" s="6" t="s">
        <v>20</v>
      </c>
      <c r="ES7" s="6" t="s">
        <v>21</v>
      </c>
      <c r="ET7" s="6" t="s">
        <v>22</v>
      </c>
      <c r="EU7" s="6" t="s">
        <v>23</v>
      </c>
      <c r="EV7" s="6" t="s">
        <v>24</v>
      </c>
      <c r="EW7" s="6" t="s">
        <v>25</v>
      </c>
      <c r="EX7" s="6" t="s">
        <v>26</v>
      </c>
      <c r="EY7" s="6" t="s">
        <v>27</v>
      </c>
      <c r="EZ7" s="6" t="s">
        <v>28</v>
      </c>
      <c r="FA7" s="6" t="s">
        <v>29</v>
      </c>
      <c r="FB7" s="6" t="s">
        <v>41</v>
      </c>
      <c r="FC7" s="6" t="s">
        <v>18</v>
      </c>
      <c r="FD7" s="6" t="s">
        <v>19</v>
      </c>
      <c r="FE7" s="6" t="s">
        <v>20</v>
      </c>
      <c r="FF7" s="6" t="s">
        <v>21</v>
      </c>
      <c r="FG7" s="6" t="s">
        <v>22</v>
      </c>
      <c r="FH7" s="6" t="s">
        <v>23</v>
      </c>
      <c r="FI7" s="6" t="s">
        <v>24</v>
      </c>
      <c r="FJ7" s="6" t="s">
        <v>25</v>
      </c>
      <c r="FK7" s="6" t="s">
        <v>26</v>
      </c>
      <c r="FL7" s="6" t="s">
        <v>27</v>
      </c>
      <c r="FM7" s="6" t="s">
        <v>28</v>
      </c>
      <c r="FN7" s="6" t="s">
        <v>29</v>
      </c>
      <c r="FO7" s="6" t="s">
        <v>42</v>
      </c>
    </row>
    <row r="8" spans="2:171" ht="14.25" customHeight="1" x14ac:dyDescent="0.3">
      <c r="B8" s="7" t="s">
        <v>43</v>
      </c>
      <c r="C8" s="8">
        <f>+MINVU_Mes_Corriente!C8*SALUD_Mes_Constante!$C$1</f>
        <v>1211322.8266350292</v>
      </c>
      <c r="D8" s="8">
        <f>+MINVU_Mes_Corriente!D8*SALUD_Mes_Constante!$C$1</f>
        <v>1211322.8266350292</v>
      </c>
      <c r="E8" s="8">
        <f>+MINVU_Mes_Corriente!E8*SALUD_Mes_Constante!$C$1</f>
        <v>1211322.8266350292</v>
      </c>
      <c r="F8" s="8">
        <f>+MINVU_Mes_Corriente!F8*SALUD_Mes_Constante!$C$1</f>
        <v>1211322.8266350292</v>
      </c>
      <c r="G8" s="8">
        <f>+MINVU_Mes_Corriente!G8*SALUD_Mes_Constante!$C$1</f>
        <v>1211322.8266350292</v>
      </c>
      <c r="H8" s="8">
        <f>+MINVU_Mes_Corriente!H8*SALUD_Mes_Constante!$C$1</f>
        <v>1211322.8266350292</v>
      </c>
      <c r="I8" s="8">
        <f>+MINVU_Mes_Corriente!I8*SALUD_Mes_Constante!$C$1</f>
        <v>1211322.8266350292</v>
      </c>
      <c r="J8" s="8">
        <f>+MINVU_Mes_Corriente!J8*SALUD_Mes_Constante!$C$1</f>
        <v>1211322.8266350292</v>
      </c>
      <c r="K8" s="8">
        <f>+MINVU_Mes_Corriente!K8*SALUD_Mes_Constante!$C$1</f>
        <v>1211322.8266350292</v>
      </c>
      <c r="L8" s="8">
        <f>+MINVU_Mes_Corriente!L8*SALUD_Mes_Constante!$C$1</f>
        <v>1211322.8266350292</v>
      </c>
      <c r="M8" s="8">
        <f>+MINVU_Mes_Corriente!M8*SALUD_Mes_Constante!$C$1</f>
        <v>1211322.8266350292</v>
      </c>
      <c r="N8" s="8">
        <f>+MINVU_Mes_Corriente!N8*SALUD_Mes_Constante!$C$1</f>
        <v>1211322.8266350292</v>
      </c>
      <c r="O8" s="9">
        <f t="shared" ref="O8:O39" si="0">N8</f>
        <v>1211322.8266350292</v>
      </c>
      <c r="P8" s="8">
        <f>+MINVU_Mes_Corriente!P8*SALUD_Mes_Constante!$P$1</f>
        <v>319755.07884642691</v>
      </c>
      <c r="Q8" s="8">
        <f>+MINVU_Mes_Corriente!Q8*SALUD_Mes_Constante!$P$1</f>
        <v>319755.07884642691</v>
      </c>
      <c r="R8" s="8">
        <f>+MINVU_Mes_Corriente!R8*SALUD_Mes_Constante!$P$1</f>
        <v>319755.07884642691</v>
      </c>
      <c r="S8" s="8">
        <f>+MINVU_Mes_Corriente!S8*SALUD_Mes_Constante!$P$1</f>
        <v>319755.07884642691</v>
      </c>
      <c r="T8" s="8">
        <f>+MINVU_Mes_Corriente!T8*SALUD_Mes_Constante!$P$1</f>
        <v>319755.07884642691</v>
      </c>
      <c r="U8" s="8">
        <f>+MINVU_Mes_Corriente!U8*SALUD_Mes_Constante!$P$1</f>
        <v>319755.07884642691</v>
      </c>
      <c r="V8" s="8">
        <f>+MINVU_Mes_Corriente!V8*SALUD_Mes_Constante!$P$1</f>
        <v>319755.07884642691</v>
      </c>
      <c r="W8" s="8">
        <f>+MINVU_Mes_Corriente!W8*SALUD_Mes_Constante!$P$1</f>
        <v>319755.07884642691</v>
      </c>
      <c r="X8" s="8">
        <f>+MINVU_Mes_Corriente!X8*SALUD_Mes_Constante!$P$1</f>
        <v>319755.07884642691</v>
      </c>
      <c r="Y8" s="8">
        <f>+MINVU_Mes_Corriente!Y8*SALUD_Mes_Constante!$P$1</f>
        <v>319755.07884642691</v>
      </c>
      <c r="Z8" s="8">
        <f>+MINVU_Mes_Corriente!Z8*SALUD_Mes_Constante!$P$1</f>
        <v>319755.07884642691</v>
      </c>
      <c r="AA8" s="8">
        <f>+MINVU_Mes_Corriente!AA8*SALUD_Mes_Constante!$P$1</f>
        <v>319755.07884642691</v>
      </c>
      <c r="AB8" s="9">
        <f t="shared" ref="AB8:AB39" si="1">AA8</f>
        <v>319755.07884642691</v>
      </c>
      <c r="AC8" s="8">
        <f>+MINVU_Mes_Corriente!AC8*SALUD_Mes_Constante!$AC$1</f>
        <v>0</v>
      </c>
      <c r="AD8" s="8">
        <f>+MINVU_Mes_Corriente!AD8*SALUD_Mes_Constante!$AC$1</f>
        <v>0</v>
      </c>
      <c r="AE8" s="8">
        <f>+MINVU_Mes_Corriente!AE8*SALUD_Mes_Constante!$AC$1</f>
        <v>0</v>
      </c>
      <c r="AF8" s="8">
        <f>+MINVU_Mes_Corriente!AF8*SALUD_Mes_Constante!$AC$1</f>
        <v>0</v>
      </c>
      <c r="AG8" s="8">
        <f>+MINVU_Mes_Corriente!AG8*SALUD_Mes_Constante!$AC$1</f>
        <v>0</v>
      </c>
      <c r="AH8" s="8">
        <f>+MINVU_Mes_Corriente!AH8*SALUD_Mes_Constante!$AC$1</f>
        <v>0</v>
      </c>
      <c r="AI8" s="8">
        <f>+MINVU_Mes_Corriente!AI8*SALUD_Mes_Constante!$AC$1</f>
        <v>0</v>
      </c>
      <c r="AJ8" s="8">
        <f>+MINVU_Mes_Corriente!AJ8*SALUD_Mes_Constante!$AC$1</f>
        <v>0</v>
      </c>
      <c r="AK8" s="8">
        <f>+MINVU_Mes_Corriente!AK8*SALUD_Mes_Constante!$AC$1</f>
        <v>0</v>
      </c>
      <c r="AL8" s="8">
        <f>+MINVU_Mes_Corriente!AL8*SALUD_Mes_Constante!$AC$1</f>
        <v>0</v>
      </c>
      <c r="AM8" s="8">
        <f>+MINVU_Mes_Corriente!AM8*SALUD_Mes_Constante!$AC$1</f>
        <v>0</v>
      </c>
      <c r="AN8" s="8">
        <f>+MINVU_Mes_Corriente!AN8*SALUD_Mes_Constante!$AC$1</f>
        <v>0</v>
      </c>
      <c r="AO8" s="9">
        <f t="shared" ref="AO8:AO39" si="2">AN8</f>
        <v>0</v>
      </c>
      <c r="AP8" s="8">
        <f>+MINVU_Mes_Corriente!AP8*SALUD_Mes_Constante!$AP$1</f>
        <v>350796.57297443523</v>
      </c>
      <c r="AQ8" s="8">
        <f>+MINVU_Mes_Corriente!AQ8*SALUD_Mes_Constante!$AP$1</f>
        <v>350796.57297443523</v>
      </c>
      <c r="AR8" s="8">
        <f>+MINVU_Mes_Corriente!AR8*SALUD_Mes_Constante!$AP$1</f>
        <v>350796.57297443523</v>
      </c>
      <c r="AS8" s="8">
        <f>+MINVU_Mes_Corriente!AS8*SALUD_Mes_Constante!$AP$1</f>
        <v>350796.57297443523</v>
      </c>
      <c r="AT8" s="8">
        <f>+MINVU_Mes_Corriente!AT8*SALUD_Mes_Constante!$AP$1</f>
        <v>350796.57297443523</v>
      </c>
      <c r="AU8" s="8">
        <f>+MINVU_Mes_Corriente!AU8*SALUD_Mes_Constante!$AP$1</f>
        <v>350796.57297443523</v>
      </c>
      <c r="AV8" s="8">
        <f>+MINVU_Mes_Corriente!AV8*SALUD_Mes_Constante!$AP$1</f>
        <v>350796.57297443523</v>
      </c>
      <c r="AW8" s="8">
        <f>+MINVU_Mes_Corriente!AW8*SALUD_Mes_Constante!$AP$1</f>
        <v>350796.57297443523</v>
      </c>
      <c r="AX8" s="8">
        <f>+MINVU_Mes_Corriente!AX8*SALUD_Mes_Constante!$AP$1</f>
        <v>350796.57297443523</v>
      </c>
      <c r="AY8" s="8">
        <f>+MINVU_Mes_Corriente!AY8*SALUD_Mes_Constante!$AP$1</f>
        <v>350796.57297443523</v>
      </c>
      <c r="AZ8" s="8">
        <f>+MINVU_Mes_Corriente!AZ8*SALUD_Mes_Constante!$AP$1</f>
        <v>350796.57297443523</v>
      </c>
      <c r="BA8" s="8">
        <f>+MINVU_Mes_Corriente!BA8*SALUD_Mes_Constante!$AP$1</f>
        <v>350796.57297443523</v>
      </c>
      <c r="BB8" s="9">
        <f t="shared" ref="BB8:BB39" si="3">BA8</f>
        <v>350796.57297443523</v>
      </c>
      <c r="BC8" s="8">
        <f>+MINVU_Mes_Corriente!BC8*SALUD_Mes_Constante!$BC$1</f>
        <v>0</v>
      </c>
      <c r="BD8" s="8">
        <f>+MINVU_Mes_Corriente!BD8*SALUD_Mes_Constante!$BC$1</f>
        <v>0</v>
      </c>
      <c r="BE8" s="8">
        <f>+MINVU_Mes_Corriente!BE8*SALUD_Mes_Constante!$BC$1</f>
        <v>0</v>
      </c>
      <c r="BF8" s="8">
        <f>+MINVU_Mes_Corriente!BF8*SALUD_Mes_Constante!$BC$1</f>
        <v>0</v>
      </c>
      <c r="BG8" s="8">
        <f>+MINVU_Mes_Corriente!BG8*SALUD_Mes_Constante!$BC$1</f>
        <v>0</v>
      </c>
      <c r="BH8" s="8">
        <f>+MINVU_Mes_Corriente!BH8*SALUD_Mes_Constante!$BC$1</f>
        <v>0</v>
      </c>
      <c r="BI8" s="8">
        <f>+MINVU_Mes_Corriente!BI8*SALUD_Mes_Constante!$BC$1</f>
        <v>0</v>
      </c>
      <c r="BJ8" s="8">
        <f>+MINVU_Mes_Corriente!BJ8*SALUD_Mes_Constante!$BC$1</f>
        <v>0</v>
      </c>
      <c r="BK8" s="8">
        <f>+MINVU_Mes_Corriente!BK8*SALUD_Mes_Constante!$BC$1</f>
        <v>0</v>
      </c>
      <c r="BL8" s="8">
        <f>+MINVU_Mes_Corriente!BL8*SALUD_Mes_Constante!$BC$1</f>
        <v>0</v>
      </c>
      <c r="BM8" s="8">
        <f>+MINVU_Mes_Corriente!BM8*SALUD_Mes_Constante!$BC$1</f>
        <v>0</v>
      </c>
      <c r="BN8" s="8">
        <f>+MINVU_Mes_Corriente!BN8*SALUD_Mes_Constante!$BC$1</f>
        <v>0</v>
      </c>
      <c r="BO8" s="9">
        <f t="shared" ref="BO8:BO39" si="4">BN8</f>
        <v>0</v>
      </c>
      <c r="BP8" s="8">
        <f>+MINVU_Mes_Corriente!BP8*SALUD_Mes_Constante!$BP$1</f>
        <v>0</v>
      </c>
      <c r="BQ8" s="8">
        <f>+MINVU_Mes_Corriente!BQ8*SALUD_Mes_Constante!$BP$1</f>
        <v>0</v>
      </c>
      <c r="BR8" s="8">
        <f>+MINVU_Mes_Corriente!BR8*SALUD_Mes_Constante!$BP$1</f>
        <v>0</v>
      </c>
      <c r="BS8" s="8">
        <f>+MINVU_Mes_Corriente!BS8*SALUD_Mes_Constante!$BP$1</f>
        <v>0</v>
      </c>
      <c r="BT8" s="8">
        <f>+MINVU_Mes_Corriente!BT8*SALUD_Mes_Constante!$BP$1</f>
        <v>0</v>
      </c>
      <c r="BU8" s="8">
        <f>+MINVU_Mes_Corriente!BU8*SALUD_Mes_Constante!$BP$1</f>
        <v>0</v>
      </c>
      <c r="BV8" s="8">
        <f>+MINVU_Mes_Corriente!BV8*SALUD_Mes_Constante!$BP$1</f>
        <v>0</v>
      </c>
      <c r="BW8" s="8">
        <f>+MINVU_Mes_Corriente!BW8*SALUD_Mes_Constante!$BP$1</f>
        <v>0</v>
      </c>
      <c r="BX8" s="8">
        <f>+MINVU_Mes_Corriente!BX8*SALUD_Mes_Constante!$BP$1</f>
        <v>0</v>
      </c>
      <c r="BY8" s="8">
        <f>+MINVU_Mes_Corriente!BY8*SALUD_Mes_Constante!$BP$1</f>
        <v>0</v>
      </c>
      <c r="BZ8" s="8">
        <f>+MINVU_Mes_Corriente!BZ8*SALUD_Mes_Constante!$BP$1</f>
        <v>0</v>
      </c>
      <c r="CA8" s="8">
        <f>+MINVU_Mes_Corriente!CA8*SALUD_Mes_Constante!$BP$1</f>
        <v>0</v>
      </c>
      <c r="CB8" s="9">
        <f t="shared" ref="CB8:CB39" si="5">CA8</f>
        <v>0</v>
      </c>
      <c r="CC8" s="8">
        <f>+MINVU_Mes_Corriente!CC8*SALUD_Mes_Constante!$CC$1</f>
        <v>1393767.997016039</v>
      </c>
      <c r="CD8" s="8">
        <f>+MINVU_Mes_Corriente!CD8*SALUD_Mes_Constante!$CC$1</f>
        <v>1393767.997016039</v>
      </c>
      <c r="CE8" s="8">
        <f>+MINVU_Mes_Corriente!CE8*SALUD_Mes_Constante!$CC$1</f>
        <v>1393767.997016039</v>
      </c>
      <c r="CF8" s="8">
        <f>+MINVU_Mes_Corriente!CF8*SALUD_Mes_Constante!$CC$1</f>
        <v>1393767.997016039</v>
      </c>
      <c r="CG8" s="8">
        <f>+MINVU_Mes_Corriente!CG8*SALUD_Mes_Constante!$CC$1</f>
        <v>1393767.997016039</v>
      </c>
      <c r="CH8" s="8">
        <f>+MINVU_Mes_Corriente!CH8*SALUD_Mes_Constante!$CC$1</f>
        <v>1393767.997016039</v>
      </c>
      <c r="CI8" s="8">
        <f>+MINVU_Mes_Corriente!CI8*SALUD_Mes_Constante!$CC$1</f>
        <v>1393767.997016039</v>
      </c>
      <c r="CJ8" s="8">
        <f>+MINVU_Mes_Corriente!CJ8*SALUD_Mes_Constante!$CC$1</f>
        <v>1393767.997016039</v>
      </c>
      <c r="CK8" s="8">
        <f>+MINVU_Mes_Corriente!CK8*SALUD_Mes_Constante!$CC$1</f>
        <v>1393767.997016039</v>
      </c>
      <c r="CL8" s="8">
        <f>+MINVU_Mes_Corriente!CL8*SALUD_Mes_Constante!$CC$1</f>
        <v>1393767.997016039</v>
      </c>
      <c r="CM8" s="8">
        <f>+MINVU_Mes_Corriente!CM8*SALUD_Mes_Constante!$CC$1</f>
        <v>1393767.997016039</v>
      </c>
      <c r="CN8" s="8">
        <f>+MINVU_Mes_Corriente!CN8*SALUD_Mes_Constante!$CC$1</f>
        <v>1393767.997016039</v>
      </c>
      <c r="CO8" s="9">
        <f t="shared" ref="CO8:CO39" si="6">CN8</f>
        <v>1393767.997016039</v>
      </c>
      <c r="CP8" s="8">
        <f>+MINVU_Mes_Corriente!CP8*SALUD_Mes_Constante!$CP$1</f>
        <v>1014780.7691415311</v>
      </c>
      <c r="CQ8" s="8">
        <f>+MINVU_Mes_Corriente!CQ8*SALUD_Mes_Constante!$CP$1</f>
        <v>1014780.7691415311</v>
      </c>
      <c r="CR8" s="8">
        <f>+MINVU_Mes_Corriente!CR8*SALUD_Mes_Constante!$CP$1</f>
        <v>1014780.7691415311</v>
      </c>
      <c r="CS8" s="8">
        <f>+MINVU_Mes_Corriente!CS8*SALUD_Mes_Constante!$CP$1</f>
        <v>1014780.7691415311</v>
      </c>
      <c r="CT8" s="8">
        <f>+MINVU_Mes_Corriente!CT8*SALUD_Mes_Constante!$CP$1</f>
        <v>1014780.7691415311</v>
      </c>
      <c r="CU8" s="8">
        <f>+MINVU_Mes_Corriente!CU8*SALUD_Mes_Constante!$CP$1</f>
        <v>1014780.7691415311</v>
      </c>
      <c r="CV8" s="8">
        <f>+MINVU_Mes_Corriente!CV8*SALUD_Mes_Constante!$CP$1</f>
        <v>1014780.7691415311</v>
      </c>
      <c r="CW8" s="8">
        <f>+MINVU_Mes_Corriente!CW8*SALUD_Mes_Constante!$CP$1</f>
        <v>1014780.7691415311</v>
      </c>
      <c r="CX8" s="8">
        <f>+MINVU_Mes_Corriente!CX8*SALUD_Mes_Constante!$CP$1</f>
        <v>1014780.7691415311</v>
      </c>
      <c r="CY8" s="8">
        <f>+MINVU_Mes_Corriente!CY8*SALUD_Mes_Constante!$CP$1</f>
        <v>1014780.7691415311</v>
      </c>
      <c r="CZ8" s="8">
        <f>+MINVU_Mes_Corriente!CZ8*SALUD_Mes_Constante!$CP$1</f>
        <v>1014780.7691415311</v>
      </c>
      <c r="DA8" s="8">
        <f>+MINVU_Mes_Corriente!DA8*SALUD_Mes_Constante!$CP$1</f>
        <v>1014780.7691415311</v>
      </c>
      <c r="DB8" s="9">
        <f t="shared" ref="DB8:DB39" si="7">DA8</f>
        <v>1014780.7691415311</v>
      </c>
      <c r="DC8" s="8">
        <f>+MINVU_Mes_Corriente!DC8*SALUD_Mes_Constante!$DC$1</f>
        <v>2587250.0497891176</v>
      </c>
      <c r="DD8" s="8">
        <f>+MINVU_Mes_Corriente!DD8*SALUD_Mes_Constante!$DC$1</f>
        <v>2587250.0497891176</v>
      </c>
      <c r="DE8" s="8">
        <f>+MINVU_Mes_Corriente!DE8*SALUD_Mes_Constante!$DC$1</f>
        <v>2587250.0497891176</v>
      </c>
      <c r="DF8" s="8">
        <f>+MINVU_Mes_Corriente!DF8*SALUD_Mes_Constante!$DC$1</f>
        <v>2587250.0497891176</v>
      </c>
      <c r="DG8" s="8">
        <f>+MINVU_Mes_Corriente!DG8*SALUD_Mes_Constante!$DC$1</f>
        <v>2587250.0497891176</v>
      </c>
      <c r="DH8" s="8">
        <f>+MINVU_Mes_Corriente!DH8*SALUD_Mes_Constante!$DC$1</f>
        <v>2587250.0497891176</v>
      </c>
      <c r="DI8" s="8">
        <f>+MINVU_Mes_Corriente!DI8*SALUD_Mes_Constante!$DC$1</f>
        <v>2587250.0497891176</v>
      </c>
      <c r="DJ8" s="8">
        <f>+MINVU_Mes_Corriente!DJ8*SALUD_Mes_Constante!$DC$1</f>
        <v>2587250.0497891176</v>
      </c>
      <c r="DK8" s="8">
        <f>+MINVU_Mes_Corriente!DK8*SALUD_Mes_Constante!$DC$1</f>
        <v>2587250.0497891176</v>
      </c>
      <c r="DL8" s="8">
        <f>+MINVU_Mes_Corriente!DL8*SALUD_Mes_Constante!$DC$1</f>
        <v>2587250.0497891176</v>
      </c>
      <c r="DM8" s="8">
        <f>+MINVU_Mes_Corriente!DM8*SALUD_Mes_Constante!$DC$1</f>
        <v>2587250.0497891176</v>
      </c>
      <c r="DN8" s="8">
        <f>+MINVU_Mes_Corriente!DN8*SALUD_Mes_Constante!$DC$1</f>
        <v>2587250.0497891176</v>
      </c>
      <c r="DO8" s="9">
        <f t="shared" ref="DO8:DO39" si="8">DN8</f>
        <v>2587250.0497891176</v>
      </c>
      <c r="DP8" s="8">
        <f>+MINVU_Mes_Corriente!DP8*SALUD_Mes_Constante!$DP$1</f>
        <v>1432147.2933491687</v>
      </c>
      <c r="DQ8" s="8">
        <f>+MINVU_Mes_Corriente!DQ8*SALUD_Mes_Constante!$DP$1</f>
        <v>1432147.2933491687</v>
      </c>
      <c r="DR8" s="8">
        <f>+MINVU_Mes_Corriente!DR8*SALUD_Mes_Constante!$DP$1</f>
        <v>1432147.2933491687</v>
      </c>
      <c r="DS8" s="8">
        <f>+MINVU_Mes_Corriente!DS8*SALUD_Mes_Constante!$DP$1</f>
        <v>1432147.2933491687</v>
      </c>
      <c r="DT8" s="8">
        <f>+MINVU_Mes_Corriente!DT8*SALUD_Mes_Constante!$DP$1</f>
        <v>1432147.2933491687</v>
      </c>
      <c r="DU8" s="8">
        <f>+MINVU_Mes_Corriente!DU8*SALUD_Mes_Constante!$DP$1</f>
        <v>1432147.2933491687</v>
      </c>
      <c r="DV8" s="8">
        <f>+MINVU_Mes_Corriente!DV8*SALUD_Mes_Constante!$DP$1</f>
        <v>1432147.2933491687</v>
      </c>
      <c r="DW8" s="8">
        <f>+MINVU_Mes_Corriente!DW8*SALUD_Mes_Constante!$DP$1</f>
        <v>1432147.2933491687</v>
      </c>
      <c r="DX8" s="8">
        <f>+MINVU_Mes_Corriente!DX8*SALUD_Mes_Constante!$DP$1</f>
        <v>1432147.2933491687</v>
      </c>
      <c r="DY8" s="8">
        <f>+MINVU_Mes_Corriente!DY8*SALUD_Mes_Constante!$DP$1</f>
        <v>1432147.2933491687</v>
      </c>
      <c r="DZ8" s="8">
        <f>+MINVU_Mes_Corriente!DZ8*SALUD_Mes_Constante!$DP$1</f>
        <v>1432147.2933491687</v>
      </c>
      <c r="EA8" s="8">
        <f>+MINVU_Mes_Corriente!EA8*SALUD_Mes_Constante!$DP$1</f>
        <v>1432147.2933491687</v>
      </c>
      <c r="EB8" s="9">
        <f t="shared" ref="EB8:EB39" si="9">EA8</f>
        <v>1432147.2933491687</v>
      </c>
      <c r="EC8" s="8">
        <f>+MINVU_Mes_Corriente!EC8*SALUD_Mes_Constante!$EC$1</f>
        <v>1509834.1681499712</v>
      </c>
      <c r="ED8" s="8">
        <f>+MINVU_Mes_Corriente!ED8*SALUD_Mes_Constante!$EC$1</f>
        <v>1509834.1681499712</v>
      </c>
      <c r="EE8" s="8">
        <f>+MINVU_Mes_Corriente!EE8*SALUD_Mes_Constante!$EC$1</f>
        <v>1509834.1681499712</v>
      </c>
      <c r="EF8" s="8">
        <f>+MINVU_Mes_Corriente!EF8*SALUD_Mes_Constante!$EC$1</f>
        <v>1509834.1681499712</v>
      </c>
      <c r="EG8" s="8">
        <f>+MINVU_Mes_Corriente!EG8*SALUD_Mes_Constante!$EC$1</f>
        <v>1509834.1681499712</v>
      </c>
      <c r="EH8" s="8">
        <f>+MINVU_Mes_Corriente!EH8*SALUD_Mes_Constante!$EC$1</f>
        <v>1509834.1681499712</v>
      </c>
      <c r="EI8" s="8">
        <f>+MINVU_Mes_Corriente!EI8*SALUD_Mes_Constante!$EC$1</f>
        <v>1509834.1681499712</v>
      </c>
      <c r="EJ8" s="8">
        <f>+MINVU_Mes_Corriente!EJ8*SALUD_Mes_Constante!$EC$1</f>
        <v>1509834.1681499712</v>
      </c>
      <c r="EK8" s="8">
        <f>+MINVU_Mes_Corriente!EK8*SALUD_Mes_Constante!$EC$1</f>
        <v>1509834.1681499712</v>
      </c>
      <c r="EL8" s="8">
        <f>+MINVU_Mes_Corriente!EL8*SALUD_Mes_Constante!$EC$1</f>
        <v>1509834.1681499712</v>
      </c>
      <c r="EM8" s="8">
        <f>+MINVU_Mes_Corriente!EM8*SALUD_Mes_Constante!$EC$1</f>
        <v>1509834.1681499712</v>
      </c>
      <c r="EN8" s="8">
        <f>+MINVU_Mes_Corriente!EN8*SALUD_Mes_Constante!$EC$1</f>
        <v>1509834.1681499712</v>
      </c>
      <c r="EO8" s="9">
        <f t="shared" ref="EO8:EO39" si="10">EN8</f>
        <v>1509834.1681499712</v>
      </c>
      <c r="EP8" s="8">
        <f>+MINVU_Mes_Corriente!EP8*SALUD_Mes_Constante!$EP$1</f>
        <v>781455</v>
      </c>
      <c r="EQ8" s="8">
        <f>+MINVU_Mes_Corriente!EQ8*SALUD_Mes_Constante!$EP$1</f>
        <v>781455</v>
      </c>
      <c r="ER8" s="8">
        <f>+MINVU_Mes_Corriente!ER8*SALUD_Mes_Constante!$EP$1</f>
        <v>781455</v>
      </c>
      <c r="ES8" s="8">
        <f>+MINVU_Mes_Corriente!ES8*SALUD_Mes_Constante!$EP$1</f>
        <v>781455</v>
      </c>
      <c r="ET8" s="8">
        <f>+MINVU_Mes_Corriente!ET8*SALUD_Mes_Constante!$EP$1</f>
        <v>781455</v>
      </c>
      <c r="EU8" s="8">
        <f>+MINVU_Mes_Corriente!EU8*SALUD_Mes_Constante!$EP$1</f>
        <v>781455</v>
      </c>
      <c r="EV8" s="8">
        <f>+MINVU_Mes_Corriente!EV8*SALUD_Mes_Constante!$EP$1</f>
        <v>781455</v>
      </c>
      <c r="EW8" s="8">
        <f>+MINVU_Mes_Corriente!EW8*SALUD_Mes_Constante!$EP$1</f>
        <v>781455</v>
      </c>
      <c r="EX8" s="8">
        <f>+MINVU_Mes_Corriente!EX8*SALUD_Mes_Constante!$EP$1</f>
        <v>781455</v>
      </c>
      <c r="EY8" s="8">
        <f>+MINVU_Mes_Corriente!EY8*SALUD_Mes_Constante!$EP$1</f>
        <v>781455</v>
      </c>
      <c r="EZ8" s="8">
        <f>+MINVU_Mes_Corriente!EZ8*SALUD_Mes_Constante!$EP$1</f>
        <v>781455</v>
      </c>
      <c r="FA8" s="8">
        <f>+MINVU_Mes_Corriente!FA8*SALUD_Mes_Constante!$EP$1</f>
        <v>781455</v>
      </c>
      <c r="FB8" s="9">
        <f t="shared" ref="FB8:FB39" si="11">FA8</f>
        <v>781455</v>
      </c>
      <c r="FC8" s="8">
        <f>+MINVU_Mes_Corriente!FC8*SALUD_Mes_Constante!$FC$1</f>
        <v>657325</v>
      </c>
      <c r="FD8" s="8">
        <f>+MINVU_Mes_Corriente!FD8*SALUD_Mes_Constante!$FC$1</f>
        <v>657325</v>
      </c>
      <c r="FE8" s="8">
        <f>+MINVU_Mes_Corriente!FE8*SALUD_Mes_Constante!$FC$1</f>
        <v>657325</v>
      </c>
      <c r="FF8" s="8">
        <f>+MINVU_Mes_Corriente!FF8*SALUD_Mes_Constante!$FC$1</f>
        <v>657325</v>
      </c>
      <c r="FG8" s="8">
        <f>+MINVU_Mes_Corriente!FG8*SALUD_Mes_Constante!$FC$1</f>
        <v>657325</v>
      </c>
      <c r="FH8" s="8">
        <f>+MINVU_Mes_Corriente!FH8*SALUD_Mes_Constante!$FC$1</f>
        <v>657325</v>
      </c>
      <c r="FI8" s="8">
        <f>+MINVU_Mes_Corriente!FI8*SALUD_Mes_Constante!$FC$1</f>
        <v>657325</v>
      </c>
      <c r="FJ8" s="8"/>
      <c r="FK8" s="8"/>
      <c r="FL8" s="8"/>
      <c r="FM8" s="8"/>
      <c r="FN8" s="8"/>
      <c r="FO8" s="9">
        <f t="shared" ref="FO8:FO39" si="12">FI8</f>
        <v>657325</v>
      </c>
    </row>
    <row r="9" spans="2:171" ht="14.25" customHeight="1" x14ac:dyDescent="0.3">
      <c r="B9" s="7" t="s">
        <v>44</v>
      </c>
      <c r="C9" s="8">
        <f>+MINVU_Mes_Corriente!C9*SALUD_Mes_Constante!$C$1</f>
        <v>0</v>
      </c>
      <c r="D9" s="8">
        <f>+MINVU_Mes_Corriente!D9*SALUD_Mes_Constante!$C$1</f>
        <v>0</v>
      </c>
      <c r="E9" s="8">
        <f>+MINVU_Mes_Corriente!E9*SALUD_Mes_Constante!$C$1</f>
        <v>0</v>
      </c>
      <c r="F9" s="8">
        <f>+MINVU_Mes_Corriente!F9*SALUD_Mes_Constante!$C$1</f>
        <v>0</v>
      </c>
      <c r="G9" s="8">
        <f>+MINVU_Mes_Corriente!G9*SALUD_Mes_Constante!$C$1</f>
        <v>0</v>
      </c>
      <c r="H9" s="8">
        <f>+MINVU_Mes_Corriente!H9*SALUD_Mes_Constante!$C$1</f>
        <v>0</v>
      </c>
      <c r="I9" s="8">
        <f>+MINVU_Mes_Corriente!I9*SALUD_Mes_Constante!$C$1</f>
        <v>0</v>
      </c>
      <c r="J9" s="8">
        <f>+MINVU_Mes_Corriente!J9*SALUD_Mes_Constante!$C$1</f>
        <v>0</v>
      </c>
      <c r="K9" s="8">
        <f>+MINVU_Mes_Corriente!K9*SALUD_Mes_Constante!$C$1</f>
        <v>0</v>
      </c>
      <c r="L9" s="8">
        <f>+MINVU_Mes_Corriente!L9*SALUD_Mes_Constante!$C$1</f>
        <v>0</v>
      </c>
      <c r="M9" s="8">
        <f>+MINVU_Mes_Corriente!M9*SALUD_Mes_Constante!$C$1</f>
        <v>0</v>
      </c>
      <c r="N9" s="8">
        <f>+MINVU_Mes_Corriente!N9*SALUD_Mes_Constante!$C$1</f>
        <v>0</v>
      </c>
      <c r="O9" s="9">
        <f t="shared" si="0"/>
        <v>0</v>
      </c>
      <c r="P9" s="8">
        <f>+MINVU_Mes_Corriente!P9*SALUD_Mes_Constante!$P$1</f>
        <v>0</v>
      </c>
      <c r="Q9" s="8">
        <f>+MINVU_Mes_Corriente!Q9*SALUD_Mes_Constante!$P$1</f>
        <v>0</v>
      </c>
      <c r="R9" s="8">
        <f>+MINVU_Mes_Corriente!R9*SALUD_Mes_Constante!$P$1</f>
        <v>0</v>
      </c>
      <c r="S9" s="8">
        <f>+MINVU_Mes_Corriente!S9*SALUD_Mes_Constante!$P$1</f>
        <v>0</v>
      </c>
      <c r="T9" s="8">
        <f>+MINVU_Mes_Corriente!T9*SALUD_Mes_Constante!$P$1</f>
        <v>0</v>
      </c>
      <c r="U9" s="8">
        <f>+MINVU_Mes_Corriente!U9*SALUD_Mes_Constante!$P$1</f>
        <v>0</v>
      </c>
      <c r="V9" s="8">
        <f>+MINVU_Mes_Corriente!V9*SALUD_Mes_Constante!$P$1</f>
        <v>0</v>
      </c>
      <c r="W9" s="8">
        <f>+MINVU_Mes_Corriente!W9*SALUD_Mes_Constante!$P$1</f>
        <v>0</v>
      </c>
      <c r="X9" s="8">
        <f>+MINVU_Mes_Corriente!X9*SALUD_Mes_Constante!$P$1</f>
        <v>0</v>
      </c>
      <c r="Y9" s="8">
        <f>+MINVU_Mes_Corriente!Y9*SALUD_Mes_Constante!$P$1</f>
        <v>0</v>
      </c>
      <c r="Z9" s="8">
        <f>+MINVU_Mes_Corriente!Z9*SALUD_Mes_Constante!$P$1</f>
        <v>0</v>
      </c>
      <c r="AA9" s="8">
        <f>+MINVU_Mes_Corriente!AA9*SALUD_Mes_Constante!$P$1</f>
        <v>0</v>
      </c>
      <c r="AB9" s="9">
        <f t="shared" si="1"/>
        <v>0</v>
      </c>
      <c r="AC9" s="8">
        <f>+MINVU_Mes_Corriente!AC9*SALUD_Mes_Constante!$AC$1</f>
        <v>0</v>
      </c>
      <c r="AD9" s="8">
        <f>+MINVU_Mes_Corriente!AD9*SALUD_Mes_Constante!$AC$1</f>
        <v>0</v>
      </c>
      <c r="AE9" s="8">
        <f>+MINVU_Mes_Corriente!AE9*SALUD_Mes_Constante!$AC$1</f>
        <v>0</v>
      </c>
      <c r="AF9" s="8">
        <f>+MINVU_Mes_Corriente!AF9*SALUD_Mes_Constante!$AC$1</f>
        <v>0</v>
      </c>
      <c r="AG9" s="8">
        <f>+MINVU_Mes_Corriente!AG9*SALUD_Mes_Constante!$AC$1</f>
        <v>0</v>
      </c>
      <c r="AH9" s="8">
        <f>+MINVU_Mes_Corriente!AH9*SALUD_Mes_Constante!$AC$1</f>
        <v>0</v>
      </c>
      <c r="AI9" s="8">
        <f>+MINVU_Mes_Corriente!AI9*SALUD_Mes_Constante!$AC$1</f>
        <v>0</v>
      </c>
      <c r="AJ9" s="8">
        <f>+MINVU_Mes_Corriente!AJ9*SALUD_Mes_Constante!$AC$1</f>
        <v>0</v>
      </c>
      <c r="AK9" s="8">
        <f>+MINVU_Mes_Corriente!AK9*SALUD_Mes_Constante!$AC$1</f>
        <v>0</v>
      </c>
      <c r="AL9" s="8">
        <f>+MINVU_Mes_Corriente!AL9*SALUD_Mes_Constante!$AC$1</f>
        <v>0</v>
      </c>
      <c r="AM9" s="8">
        <f>+MINVU_Mes_Corriente!AM9*SALUD_Mes_Constante!$AC$1</f>
        <v>0</v>
      </c>
      <c r="AN9" s="8">
        <f>+MINVU_Mes_Corriente!AN9*SALUD_Mes_Constante!$AC$1</f>
        <v>0</v>
      </c>
      <c r="AO9" s="9">
        <f t="shared" si="2"/>
        <v>0</v>
      </c>
      <c r="AP9" s="8">
        <f>+MINVU_Mes_Corriente!AP9*SALUD_Mes_Constante!$AP$1</f>
        <v>0</v>
      </c>
      <c r="AQ9" s="8">
        <f>+MINVU_Mes_Corriente!AQ9*SALUD_Mes_Constante!$AP$1</f>
        <v>0</v>
      </c>
      <c r="AR9" s="8">
        <f>+MINVU_Mes_Corriente!AR9*SALUD_Mes_Constante!$AP$1</f>
        <v>0</v>
      </c>
      <c r="AS9" s="8">
        <f>+MINVU_Mes_Corriente!AS9*SALUD_Mes_Constante!$AP$1</f>
        <v>0</v>
      </c>
      <c r="AT9" s="8">
        <f>+MINVU_Mes_Corriente!AT9*SALUD_Mes_Constante!$AP$1</f>
        <v>0</v>
      </c>
      <c r="AU9" s="8">
        <f>+MINVU_Mes_Corriente!AU9*SALUD_Mes_Constante!$AP$1</f>
        <v>0</v>
      </c>
      <c r="AV9" s="8">
        <f>+MINVU_Mes_Corriente!AV9*SALUD_Mes_Constante!$AP$1</f>
        <v>0</v>
      </c>
      <c r="AW9" s="8">
        <f>+MINVU_Mes_Corriente!AW9*SALUD_Mes_Constante!$AP$1</f>
        <v>0</v>
      </c>
      <c r="AX9" s="8">
        <f>+MINVU_Mes_Corriente!AX9*SALUD_Mes_Constante!$AP$1</f>
        <v>0</v>
      </c>
      <c r="AY9" s="8">
        <f>+MINVU_Mes_Corriente!AY9*SALUD_Mes_Constante!$AP$1</f>
        <v>0</v>
      </c>
      <c r="AZ9" s="8">
        <f>+MINVU_Mes_Corriente!AZ9*SALUD_Mes_Constante!$AP$1</f>
        <v>0</v>
      </c>
      <c r="BA9" s="8">
        <f>+MINVU_Mes_Corriente!BA9*SALUD_Mes_Constante!$AP$1</f>
        <v>0</v>
      </c>
      <c r="BB9" s="9">
        <f t="shared" si="3"/>
        <v>0</v>
      </c>
      <c r="BC9" s="8">
        <f>+MINVU_Mes_Corriente!BC9*SALUD_Mes_Constante!$BC$1</f>
        <v>0</v>
      </c>
      <c r="BD9" s="8">
        <f>+MINVU_Mes_Corriente!BD9*SALUD_Mes_Constante!$BC$1</f>
        <v>0</v>
      </c>
      <c r="BE9" s="8">
        <f>+MINVU_Mes_Corriente!BE9*SALUD_Mes_Constante!$BC$1</f>
        <v>0</v>
      </c>
      <c r="BF9" s="8">
        <f>+MINVU_Mes_Corriente!BF9*SALUD_Mes_Constante!$BC$1</f>
        <v>0</v>
      </c>
      <c r="BG9" s="8">
        <f>+MINVU_Mes_Corriente!BG9*SALUD_Mes_Constante!$BC$1</f>
        <v>0</v>
      </c>
      <c r="BH9" s="8">
        <f>+MINVU_Mes_Corriente!BH9*SALUD_Mes_Constante!$BC$1</f>
        <v>0</v>
      </c>
      <c r="BI9" s="8">
        <f>+MINVU_Mes_Corriente!BI9*SALUD_Mes_Constante!$BC$1</f>
        <v>0</v>
      </c>
      <c r="BJ9" s="8">
        <f>+MINVU_Mes_Corriente!BJ9*SALUD_Mes_Constante!$BC$1</f>
        <v>0</v>
      </c>
      <c r="BK9" s="8">
        <f>+MINVU_Mes_Corriente!BK9*SALUD_Mes_Constante!$BC$1</f>
        <v>0</v>
      </c>
      <c r="BL9" s="8">
        <f>+MINVU_Mes_Corriente!BL9*SALUD_Mes_Constante!$BC$1</f>
        <v>0</v>
      </c>
      <c r="BM9" s="8">
        <f>+MINVU_Mes_Corriente!BM9*SALUD_Mes_Constante!$BC$1</f>
        <v>0</v>
      </c>
      <c r="BN9" s="8">
        <f>+MINVU_Mes_Corriente!BN9*SALUD_Mes_Constante!$BC$1</f>
        <v>0</v>
      </c>
      <c r="BO9" s="9">
        <f t="shared" si="4"/>
        <v>0</v>
      </c>
      <c r="BP9" s="8">
        <f>+MINVU_Mes_Corriente!BP9*SALUD_Mes_Constante!$BP$1</f>
        <v>0</v>
      </c>
      <c r="BQ9" s="8">
        <f>+MINVU_Mes_Corriente!BQ9*SALUD_Mes_Constante!$BP$1</f>
        <v>0</v>
      </c>
      <c r="BR9" s="8">
        <f>+MINVU_Mes_Corriente!BR9*SALUD_Mes_Constante!$BP$1</f>
        <v>0</v>
      </c>
      <c r="BS9" s="8">
        <f>+MINVU_Mes_Corriente!BS9*SALUD_Mes_Constante!$BP$1</f>
        <v>0</v>
      </c>
      <c r="BT9" s="8">
        <f>+MINVU_Mes_Corriente!BT9*SALUD_Mes_Constante!$BP$1</f>
        <v>0</v>
      </c>
      <c r="BU9" s="8">
        <f>+MINVU_Mes_Corriente!BU9*SALUD_Mes_Constante!$BP$1</f>
        <v>0</v>
      </c>
      <c r="BV9" s="8">
        <f>+MINVU_Mes_Corriente!BV9*SALUD_Mes_Constante!$BP$1</f>
        <v>0</v>
      </c>
      <c r="BW9" s="8">
        <f>+MINVU_Mes_Corriente!BW9*SALUD_Mes_Constante!$BP$1</f>
        <v>0</v>
      </c>
      <c r="BX9" s="8">
        <f>+MINVU_Mes_Corriente!BX9*SALUD_Mes_Constante!$BP$1</f>
        <v>0</v>
      </c>
      <c r="BY9" s="8">
        <f>+MINVU_Mes_Corriente!BY9*SALUD_Mes_Constante!$BP$1</f>
        <v>0</v>
      </c>
      <c r="BZ9" s="8">
        <f>+MINVU_Mes_Corriente!BZ9*SALUD_Mes_Constante!$BP$1</f>
        <v>0</v>
      </c>
      <c r="CA9" s="8">
        <f>+MINVU_Mes_Corriente!CA9*SALUD_Mes_Constante!$BP$1</f>
        <v>0</v>
      </c>
      <c r="CB9" s="9">
        <f t="shared" si="5"/>
        <v>0</v>
      </c>
      <c r="CC9" s="8">
        <f>+MINVU_Mes_Corriente!CC9*SALUD_Mes_Constante!$CC$1</f>
        <v>0</v>
      </c>
      <c r="CD9" s="8">
        <f>+MINVU_Mes_Corriente!CD9*SALUD_Mes_Constante!$CC$1</f>
        <v>0</v>
      </c>
      <c r="CE9" s="8">
        <f>+MINVU_Mes_Corriente!CE9*SALUD_Mes_Constante!$CC$1</f>
        <v>0</v>
      </c>
      <c r="CF9" s="8">
        <f>+MINVU_Mes_Corriente!CF9*SALUD_Mes_Constante!$CC$1</f>
        <v>0</v>
      </c>
      <c r="CG9" s="8">
        <f>+MINVU_Mes_Corriente!CG9*SALUD_Mes_Constante!$CC$1</f>
        <v>0</v>
      </c>
      <c r="CH9" s="8">
        <f>+MINVU_Mes_Corriente!CH9*SALUD_Mes_Constante!$CC$1</f>
        <v>0</v>
      </c>
      <c r="CI9" s="8">
        <f>+MINVU_Mes_Corriente!CI9*SALUD_Mes_Constante!$CC$1</f>
        <v>0</v>
      </c>
      <c r="CJ9" s="8">
        <f>+MINVU_Mes_Corriente!CJ9*SALUD_Mes_Constante!$CC$1</f>
        <v>0</v>
      </c>
      <c r="CK9" s="8">
        <f>+MINVU_Mes_Corriente!CK9*SALUD_Mes_Constante!$CC$1</f>
        <v>0</v>
      </c>
      <c r="CL9" s="8">
        <f>+MINVU_Mes_Corriente!CL9*SALUD_Mes_Constante!$CC$1</f>
        <v>0</v>
      </c>
      <c r="CM9" s="8">
        <f>+MINVU_Mes_Corriente!CM9*SALUD_Mes_Constante!$CC$1</f>
        <v>0</v>
      </c>
      <c r="CN9" s="8">
        <f>+MINVU_Mes_Corriente!CN9*SALUD_Mes_Constante!$CC$1</f>
        <v>0</v>
      </c>
      <c r="CO9" s="9">
        <f t="shared" si="6"/>
        <v>0</v>
      </c>
      <c r="CP9" s="8">
        <f>+MINVU_Mes_Corriente!CP9*SALUD_Mes_Constante!$CP$1</f>
        <v>0</v>
      </c>
      <c r="CQ9" s="8">
        <f>+MINVU_Mes_Corriente!CQ9*SALUD_Mes_Constante!$CP$1</f>
        <v>0</v>
      </c>
      <c r="CR9" s="8">
        <f>+MINVU_Mes_Corriente!CR9*SALUD_Mes_Constante!$CP$1</f>
        <v>0</v>
      </c>
      <c r="CS9" s="8">
        <f>+MINVU_Mes_Corriente!CS9*SALUD_Mes_Constante!$CP$1</f>
        <v>0</v>
      </c>
      <c r="CT9" s="8">
        <f>+MINVU_Mes_Corriente!CT9*SALUD_Mes_Constante!$CP$1</f>
        <v>0</v>
      </c>
      <c r="CU9" s="8">
        <f>+MINVU_Mes_Corriente!CU9*SALUD_Mes_Constante!$CP$1</f>
        <v>0</v>
      </c>
      <c r="CV9" s="8">
        <f>+MINVU_Mes_Corriente!CV9*SALUD_Mes_Constante!$CP$1</f>
        <v>0</v>
      </c>
      <c r="CW9" s="8">
        <f>+MINVU_Mes_Corriente!CW9*SALUD_Mes_Constante!$CP$1</f>
        <v>0</v>
      </c>
      <c r="CX9" s="8">
        <f>+MINVU_Mes_Corriente!CX9*SALUD_Mes_Constante!$CP$1</f>
        <v>0</v>
      </c>
      <c r="CY9" s="8">
        <f>+MINVU_Mes_Corriente!CY9*SALUD_Mes_Constante!$CP$1</f>
        <v>0</v>
      </c>
      <c r="CZ9" s="8">
        <f>+MINVU_Mes_Corriente!CZ9*SALUD_Mes_Constante!$CP$1</f>
        <v>0</v>
      </c>
      <c r="DA9" s="8">
        <f>+MINVU_Mes_Corriente!DA9*SALUD_Mes_Constante!$CP$1</f>
        <v>0</v>
      </c>
      <c r="DB9" s="9">
        <f t="shared" si="7"/>
        <v>0</v>
      </c>
      <c r="DC9" s="8">
        <f>+MINVU_Mes_Corriente!DC9*SALUD_Mes_Constante!$DC$1</f>
        <v>0</v>
      </c>
      <c r="DD9" s="8">
        <f>+MINVU_Mes_Corriente!DD9*SALUD_Mes_Constante!$DC$1</f>
        <v>0</v>
      </c>
      <c r="DE9" s="8">
        <f>+MINVU_Mes_Corriente!DE9*SALUD_Mes_Constante!$DC$1</f>
        <v>0</v>
      </c>
      <c r="DF9" s="8">
        <f>+MINVU_Mes_Corriente!DF9*SALUD_Mes_Constante!$DC$1</f>
        <v>0</v>
      </c>
      <c r="DG9" s="8">
        <f>+MINVU_Mes_Corriente!DG9*SALUD_Mes_Constante!$DC$1</f>
        <v>0</v>
      </c>
      <c r="DH9" s="8">
        <f>+MINVU_Mes_Corriente!DH9*SALUD_Mes_Constante!$DC$1</f>
        <v>0</v>
      </c>
      <c r="DI9" s="8">
        <f>+MINVU_Mes_Corriente!DI9*SALUD_Mes_Constante!$DC$1</f>
        <v>0</v>
      </c>
      <c r="DJ9" s="8">
        <f>+MINVU_Mes_Corriente!DJ9*SALUD_Mes_Constante!$DC$1</f>
        <v>0</v>
      </c>
      <c r="DK9" s="8">
        <f>+MINVU_Mes_Corriente!DK9*SALUD_Mes_Constante!$DC$1</f>
        <v>0</v>
      </c>
      <c r="DL9" s="8">
        <f>+MINVU_Mes_Corriente!DL9*SALUD_Mes_Constante!$DC$1</f>
        <v>0</v>
      </c>
      <c r="DM9" s="8">
        <f>+MINVU_Mes_Corriente!DM9*SALUD_Mes_Constante!$DC$1</f>
        <v>0</v>
      </c>
      <c r="DN9" s="8">
        <f>+MINVU_Mes_Corriente!DN9*SALUD_Mes_Constante!$DC$1</f>
        <v>0</v>
      </c>
      <c r="DO9" s="9">
        <f t="shared" si="8"/>
        <v>0</v>
      </c>
      <c r="DP9" s="8">
        <f>+MINVU_Mes_Corriente!DP9*SALUD_Mes_Constante!$DP$1</f>
        <v>0</v>
      </c>
      <c r="DQ9" s="8">
        <f>+MINVU_Mes_Corriente!DQ9*SALUD_Mes_Constante!$DP$1</f>
        <v>0</v>
      </c>
      <c r="DR9" s="8">
        <f>+MINVU_Mes_Corriente!DR9*SALUD_Mes_Constante!$DP$1</f>
        <v>0</v>
      </c>
      <c r="DS9" s="8">
        <f>+MINVU_Mes_Corriente!DS9*SALUD_Mes_Constante!$DP$1</f>
        <v>0</v>
      </c>
      <c r="DT9" s="8">
        <f>+MINVU_Mes_Corriente!DT9*SALUD_Mes_Constante!$DP$1</f>
        <v>0</v>
      </c>
      <c r="DU9" s="8">
        <f>+MINVU_Mes_Corriente!DU9*SALUD_Mes_Constante!$DP$1</f>
        <v>0</v>
      </c>
      <c r="DV9" s="8">
        <f>+MINVU_Mes_Corriente!DV9*SALUD_Mes_Constante!$DP$1</f>
        <v>0</v>
      </c>
      <c r="DW9" s="8">
        <f>+MINVU_Mes_Corriente!DW9*SALUD_Mes_Constante!$DP$1</f>
        <v>0</v>
      </c>
      <c r="DX9" s="8">
        <f>+MINVU_Mes_Corriente!DX9*SALUD_Mes_Constante!$DP$1</f>
        <v>0</v>
      </c>
      <c r="DY9" s="8">
        <f>+MINVU_Mes_Corriente!DY9*SALUD_Mes_Constante!$DP$1</f>
        <v>0</v>
      </c>
      <c r="DZ9" s="8">
        <f>+MINVU_Mes_Corriente!DZ9*SALUD_Mes_Constante!$DP$1</f>
        <v>0</v>
      </c>
      <c r="EA9" s="8">
        <f>+MINVU_Mes_Corriente!EA9*SALUD_Mes_Constante!$DP$1</f>
        <v>0</v>
      </c>
      <c r="EB9" s="9">
        <f t="shared" si="9"/>
        <v>0</v>
      </c>
      <c r="EC9" s="8">
        <f>+MINVU_Mes_Corriente!EC9*SALUD_Mes_Constante!$EC$1</f>
        <v>0</v>
      </c>
      <c r="ED9" s="8">
        <f>+MINVU_Mes_Corriente!ED9*SALUD_Mes_Constante!$EC$1</f>
        <v>0</v>
      </c>
      <c r="EE9" s="8">
        <f>+MINVU_Mes_Corriente!EE9*SALUD_Mes_Constante!$EC$1</f>
        <v>0</v>
      </c>
      <c r="EF9" s="8">
        <f>+MINVU_Mes_Corriente!EF9*SALUD_Mes_Constante!$EC$1</f>
        <v>0</v>
      </c>
      <c r="EG9" s="8">
        <f>+MINVU_Mes_Corriente!EG9*SALUD_Mes_Constante!$EC$1</f>
        <v>0</v>
      </c>
      <c r="EH9" s="8">
        <f>+MINVU_Mes_Corriente!EH9*SALUD_Mes_Constante!$EC$1</f>
        <v>0</v>
      </c>
      <c r="EI9" s="8">
        <f>+MINVU_Mes_Corriente!EI9*SALUD_Mes_Constante!$EC$1</f>
        <v>0</v>
      </c>
      <c r="EJ9" s="8">
        <f>+MINVU_Mes_Corriente!EJ9*SALUD_Mes_Constante!$EC$1</f>
        <v>0</v>
      </c>
      <c r="EK9" s="8">
        <f>+MINVU_Mes_Corriente!EK9*SALUD_Mes_Constante!$EC$1</f>
        <v>0</v>
      </c>
      <c r="EL9" s="8">
        <f>+MINVU_Mes_Corriente!EL9*SALUD_Mes_Constante!$EC$1</f>
        <v>0</v>
      </c>
      <c r="EM9" s="8">
        <f>+MINVU_Mes_Corriente!EM9*SALUD_Mes_Constante!$EC$1</f>
        <v>0</v>
      </c>
      <c r="EN9" s="8">
        <f>+MINVU_Mes_Corriente!EN9*SALUD_Mes_Constante!$EC$1</f>
        <v>0</v>
      </c>
      <c r="EO9" s="9">
        <f t="shared" si="10"/>
        <v>0</v>
      </c>
      <c r="EP9" s="8">
        <f>+MINVU_Mes_Corriente!EP9*SALUD_Mes_Constante!$EP$1</f>
        <v>0</v>
      </c>
      <c r="EQ9" s="8">
        <f>+MINVU_Mes_Corriente!EQ9*SALUD_Mes_Constante!$EP$1</f>
        <v>0</v>
      </c>
      <c r="ER9" s="8">
        <f>+MINVU_Mes_Corriente!ER9*SALUD_Mes_Constante!$EP$1</f>
        <v>0</v>
      </c>
      <c r="ES9" s="8">
        <f>+MINVU_Mes_Corriente!ES9*SALUD_Mes_Constante!$EP$1</f>
        <v>0</v>
      </c>
      <c r="ET9" s="8">
        <f>+MINVU_Mes_Corriente!ET9*SALUD_Mes_Constante!$EP$1</f>
        <v>0</v>
      </c>
      <c r="EU9" s="8">
        <f>+MINVU_Mes_Corriente!EU9*SALUD_Mes_Constante!$EP$1</f>
        <v>0</v>
      </c>
      <c r="EV9" s="8">
        <f>+MINVU_Mes_Corriente!EV9*SALUD_Mes_Constante!$EP$1</f>
        <v>0</v>
      </c>
      <c r="EW9" s="8">
        <f>+MINVU_Mes_Corriente!EW9*SALUD_Mes_Constante!$EP$1</f>
        <v>0</v>
      </c>
      <c r="EX9" s="8">
        <f>+MINVU_Mes_Corriente!EX9*SALUD_Mes_Constante!$EP$1</f>
        <v>0</v>
      </c>
      <c r="EY9" s="8">
        <f>+MINVU_Mes_Corriente!EY9*SALUD_Mes_Constante!$EP$1</f>
        <v>0</v>
      </c>
      <c r="EZ9" s="8">
        <f>+MINVU_Mes_Corriente!EZ9*SALUD_Mes_Constante!$EP$1</f>
        <v>0</v>
      </c>
      <c r="FA9" s="8">
        <f>+MINVU_Mes_Corriente!FA9*SALUD_Mes_Constante!$EP$1</f>
        <v>0</v>
      </c>
      <c r="FB9" s="9">
        <f t="shared" si="11"/>
        <v>0</v>
      </c>
      <c r="FC9" s="8">
        <f>+MINVU_Mes_Corriente!FC9*SALUD_Mes_Constante!$FC$1</f>
        <v>3133791</v>
      </c>
      <c r="FD9" s="8">
        <f>+MINVU_Mes_Corriente!FD9*SALUD_Mes_Constante!$FC$1</f>
        <v>3133791</v>
      </c>
      <c r="FE9" s="8">
        <f>+MINVU_Mes_Corriente!FE9*SALUD_Mes_Constante!$FC$1</f>
        <v>3133791</v>
      </c>
      <c r="FF9" s="8">
        <f>+MINVU_Mes_Corriente!FF9*SALUD_Mes_Constante!$FC$1</f>
        <v>3133791</v>
      </c>
      <c r="FG9" s="8">
        <f>+MINVU_Mes_Corriente!FG9*SALUD_Mes_Constante!$FC$1</f>
        <v>3133791</v>
      </c>
      <c r="FH9" s="8">
        <f>+MINVU_Mes_Corriente!FH9*SALUD_Mes_Constante!$FC$1</f>
        <v>3133791</v>
      </c>
      <c r="FI9" s="8">
        <f>+MINVU_Mes_Corriente!FI9*SALUD_Mes_Constante!$FC$1</f>
        <v>3133791</v>
      </c>
      <c r="FJ9" s="8"/>
      <c r="FK9" s="8"/>
      <c r="FL9" s="8"/>
      <c r="FM9" s="8"/>
      <c r="FN9" s="8"/>
      <c r="FO9" s="9">
        <f t="shared" si="12"/>
        <v>3133791</v>
      </c>
    </row>
    <row r="10" spans="2:171" ht="14.25" customHeight="1" x14ac:dyDescent="0.3">
      <c r="B10" s="7" t="s">
        <v>45</v>
      </c>
      <c r="C10" s="8">
        <f>+MINVU_Mes_Corriente!C10*SALUD_Mes_Constante!$C$1</f>
        <v>444864125.93771327</v>
      </c>
      <c r="D10" s="8">
        <f>+MINVU_Mes_Corriente!D10*SALUD_Mes_Constante!$C$1</f>
        <v>444864125.93771327</v>
      </c>
      <c r="E10" s="8">
        <f>+MINVU_Mes_Corriente!E10*SALUD_Mes_Constante!$C$1</f>
        <v>444864125.93771327</v>
      </c>
      <c r="F10" s="8">
        <f>+MINVU_Mes_Corriente!F10*SALUD_Mes_Constante!$C$1</f>
        <v>444864125.93771327</v>
      </c>
      <c r="G10" s="8">
        <f>+MINVU_Mes_Corriente!G10*SALUD_Mes_Constante!$C$1</f>
        <v>444864125.93771327</v>
      </c>
      <c r="H10" s="8">
        <f>+MINVU_Mes_Corriente!H10*SALUD_Mes_Constante!$C$1</f>
        <v>444864125.93771327</v>
      </c>
      <c r="I10" s="8">
        <f>+MINVU_Mes_Corriente!I10*SALUD_Mes_Constante!$C$1</f>
        <v>444864125.93771327</v>
      </c>
      <c r="J10" s="8">
        <f>+MINVU_Mes_Corriente!J10*SALUD_Mes_Constante!$C$1</f>
        <v>444864125.93771327</v>
      </c>
      <c r="K10" s="8">
        <f>+MINVU_Mes_Corriente!K10*SALUD_Mes_Constante!$C$1</f>
        <v>444864125.93771327</v>
      </c>
      <c r="L10" s="8">
        <f>+MINVU_Mes_Corriente!L10*SALUD_Mes_Constante!$C$1</f>
        <v>444864125.93771327</v>
      </c>
      <c r="M10" s="8">
        <f>+MINVU_Mes_Corriente!M10*SALUD_Mes_Constante!$C$1</f>
        <v>444864125.93771327</v>
      </c>
      <c r="N10" s="8">
        <f>+MINVU_Mes_Corriente!N10*SALUD_Mes_Constante!$C$1</f>
        <v>444864125.93771327</v>
      </c>
      <c r="O10" s="9">
        <f t="shared" si="0"/>
        <v>444864125.93771327</v>
      </c>
      <c r="P10" s="8">
        <f>+MINVU_Mes_Corriente!P10*SALUD_Mes_Constante!$P$1</f>
        <v>820828807.18312228</v>
      </c>
      <c r="Q10" s="8">
        <f>+MINVU_Mes_Corriente!Q10*SALUD_Mes_Constante!$P$1</f>
        <v>820828807.18312228</v>
      </c>
      <c r="R10" s="8">
        <f>+MINVU_Mes_Corriente!R10*SALUD_Mes_Constante!$P$1</f>
        <v>820828807.18312228</v>
      </c>
      <c r="S10" s="8">
        <f>+MINVU_Mes_Corriente!S10*SALUD_Mes_Constante!$P$1</f>
        <v>820828807.18312228</v>
      </c>
      <c r="T10" s="8">
        <f>+MINVU_Mes_Corriente!T10*SALUD_Mes_Constante!$P$1</f>
        <v>820828807.18312228</v>
      </c>
      <c r="U10" s="8">
        <f>+MINVU_Mes_Corriente!U10*SALUD_Mes_Constante!$P$1</f>
        <v>820828807.18312228</v>
      </c>
      <c r="V10" s="8">
        <f>+MINVU_Mes_Corriente!V10*SALUD_Mes_Constante!$P$1</f>
        <v>820828807.18312228</v>
      </c>
      <c r="W10" s="8">
        <f>+MINVU_Mes_Corriente!W10*SALUD_Mes_Constante!$P$1</f>
        <v>820828807.18312228</v>
      </c>
      <c r="X10" s="8">
        <f>+MINVU_Mes_Corriente!X10*SALUD_Mes_Constante!$P$1</f>
        <v>820828807.18312228</v>
      </c>
      <c r="Y10" s="8">
        <f>+MINVU_Mes_Corriente!Y10*SALUD_Mes_Constante!$P$1</f>
        <v>820828807.18312228</v>
      </c>
      <c r="Z10" s="8">
        <f>+MINVU_Mes_Corriente!Z10*SALUD_Mes_Constante!$P$1</f>
        <v>820828807.18312228</v>
      </c>
      <c r="AA10" s="8">
        <f>+MINVU_Mes_Corriente!AA10*SALUD_Mes_Constante!$P$1</f>
        <v>820828807.18312228</v>
      </c>
      <c r="AB10" s="9">
        <f t="shared" si="1"/>
        <v>820828807.18312228</v>
      </c>
      <c r="AC10" s="8">
        <f>+MINVU_Mes_Corriente!AC10*SALUD_Mes_Constante!$AC$1</f>
        <v>752418559.24747539</v>
      </c>
      <c r="AD10" s="8">
        <f>+MINVU_Mes_Corriente!AD10*SALUD_Mes_Constante!$AC$1</f>
        <v>752418559.24747539</v>
      </c>
      <c r="AE10" s="8">
        <f>+MINVU_Mes_Corriente!AE10*SALUD_Mes_Constante!$AC$1</f>
        <v>752418559.24747539</v>
      </c>
      <c r="AF10" s="8">
        <f>+MINVU_Mes_Corriente!AF10*SALUD_Mes_Constante!$AC$1</f>
        <v>752418559.24747539</v>
      </c>
      <c r="AG10" s="8">
        <f>+MINVU_Mes_Corriente!AG10*SALUD_Mes_Constante!$AC$1</f>
        <v>752418559.24747539</v>
      </c>
      <c r="AH10" s="8">
        <f>+MINVU_Mes_Corriente!AH10*SALUD_Mes_Constante!$AC$1</f>
        <v>752418559.24747539</v>
      </c>
      <c r="AI10" s="8">
        <f>+MINVU_Mes_Corriente!AI10*SALUD_Mes_Constante!$AC$1</f>
        <v>752418559.24747539</v>
      </c>
      <c r="AJ10" s="8">
        <f>+MINVU_Mes_Corriente!AJ10*SALUD_Mes_Constante!$AC$1</f>
        <v>752418559.24747539</v>
      </c>
      <c r="AK10" s="8">
        <f>+MINVU_Mes_Corriente!AK10*SALUD_Mes_Constante!$AC$1</f>
        <v>752418559.24747539</v>
      </c>
      <c r="AL10" s="8">
        <f>+MINVU_Mes_Corriente!AL10*SALUD_Mes_Constante!$AC$1</f>
        <v>752418559.24747539</v>
      </c>
      <c r="AM10" s="8">
        <f>+MINVU_Mes_Corriente!AM10*SALUD_Mes_Constante!$AC$1</f>
        <v>752418559.24747539</v>
      </c>
      <c r="AN10" s="8">
        <f>+MINVU_Mes_Corriente!AN10*SALUD_Mes_Constante!$AC$1</f>
        <v>752418559.24747539</v>
      </c>
      <c r="AO10" s="9">
        <f t="shared" si="2"/>
        <v>752418559.24747539</v>
      </c>
      <c r="AP10" s="8">
        <f>+MINVU_Mes_Corriente!AP10*SALUD_Mes_Constante!$AP$1</f>
        <v>516249539.26957929</v>
      </c>
      <c r="AQ10" s="8">
        <f>+MINVU_Mes_Corriente!AQ10*SALUD_Mes_Constante!$AP$1</f>
        <v>516249539.26957929</v>
      </c>
      <c r="AR10" s="8">
        <f>+MINVU_Mes_Corriente!AR10*SALUD_Mes_Constante!$AP$1</f>
        <v>516249539.26957929</v>
      </c>
      <c r="AS10" s="8">
        <f>+MINVU_Mes_Corriente!AS10*SALUD_Mes_Constante!$AP$1</f>
        <v>516249539.26957929</v>
      </c>
      <c r="AT10" s="8">
        <f>+MINVU_Mes_Corriente!AT10*SALUD_Mes_Constante!$AP$1</f>
        <v>516249539.26957929</v>
      </c>
      <c r="AU10" s="8">
        <f>+MINVU_Mes_Corriente!AU10*SALUD_Mes_Constante!$AP$1</f>
        <v>516249539.26957929</v>
      </c>
      <c r="AV10" s="8">
        <f>+MINVU_Mes_Corriente!AV10*SALUD_Mes_Constante!$AP$1</f>
        <v>516249539.26957929</v>
      </c>
      <c r="AW10" s="8">
        <f>+MINVU_Mes_Corriente!AW10*SALUD_Mes_Constante!$AP$1</f>
        <v>516249539.26957929</v>
      </c>
      <c r="AX10" s="8">
        <f>+MINVU_Mes_Corriente!AX10*SALUD_Mes_Constante!$AP$1</f>
        <v>516249539.26957929</v>
      </c>
      <c r="AY10" s="8">
        <f>+MINVU_Mes_Corriente!AY10*SALUD_Mes_Constante!$AP$1</f>
        <v>516249539.26957929</v>
      </c>
      <c r="AZ10" s="8">
        <f>+MINVU_Mes_Corriente!AZ10*SALUD_Mes_Constante!$AP$1</f>
        <v>516249539.26957929</v>
      </c>
      <c r="BA10" s="8">
        <f>+MINVU_Mes_Corriente!BA10*SALUD_Mes_Constante!$AP$1</f>
        <v>516249539.26957929</v>
      </c>
      <c r="BB10" s="9">
        <f t="shared" si="3"/>
        <v>516249539.26957929</v>
      </c>
      <c r="BC10" s="8">
        <f>+MINVU_Mes_Corriente!BC10*SALUD_Mes_Constante!$BC$1</f>
        <v>633400067.77133071</v>
      </c>
      <c r="BD10" s="8">
        <f>+MINVU_Mes_Corriente!BD10*SALUD_Mes_Constante!$BC$1</f>
        <v>633400067.77133071</v>
      </c>
      <c r="BE10" s="8">
        <f>+MINVU_Mes_Corriente!BE10*SALUD_Mes_Constante!$BC$1</f>
        <v>633400067.77133071</v>
      </c>
      <c r="BF10" s="8">
        <f>+MINVU_Mes_Corriente!BF10*SALUD_Mes_Constante!$BC$1</f>
        <v>633400067.77133071</v>
      </c>
      <c r="BG10" s="8">
        <f>+MINVU_Mes_Corriente!BG10*SALUD_Mes_Constante!$BC$1</f>
        <v>633400067.77133071</v>
      </c>
      <c r="BH10" s="8">
        <f>+MINVU_Mes_Corriente!BH10*SALUD_Mes_Constante!$BC$1</f>
        <v>633400067.77133071</v>
      </c>
      <c r="BI10" s="8">
        <f>+MINVU_Mes_Corriente!BI10*SALUD_Mes_Constante!$BC$1</f>
        <v>633400067.77133071</v>
      </c>
      <c r="BJ10" s="8">
        <f>+MINVU_Mes_Corriente!BJ10*SALUD_Mes_Constante!$BC$1</f>
        <v>633400067.77133071</v>
      </c>
      <c r="BK10" s="8">
        <f>+MINVU_Mes_Corriente!BK10*SALUD_Mes_Constante!$BC$1</f>
        <v>633400067.77133071</v>
      </c>
      <c r="BL10" s="8">
        <f>+MINVU_Mes_Corriente!BL10*SALUD_Mes_Constante!$BC$1</f>
        <v>633400067.77133071</v>
      </c>
      <c r="BM10" s="8">
        <f>+MINVU_Mes_Corriente!BM10*SALUD_Mes_Constante!$BC$1</f>
        <v>633400067.77133071</v>
      </c>
      <c r="BN10" s="8">
        <f>+MINVU_Mes_Corriente!BN10*SALUD_Mes_Constante!$BC$1</f>
        <v>633400067.77133071</v>
      </c>
      <c r="BO10" s="9">
        <f t="shared" si="4"/>
        <v>633400067.77133071</v>
      </c>
      <c r="BP10" s="8">
        <f>+MINVU_Mes_Corriente!BP10*SALUD_Mes_Constante!$BP$1</f>
        <v>585994597.27836108</v>
      </c>
      <c r="BQ10" s="8">
        <f>+MINVU_Mes_Corriente!BQ10*SALUD_Mes_Constante!$BP$1</f>
        <v>585994597.27836108</v>
      </c>
      <c r="BR10" s="8">
        <f>+MINVU_Mes_Corriente!BR10*SALUD_Mes_Constante!$BP$1</f>
        <v>585994597.27836108</v>
      </c>
      <c r="BS10" s="8">
        <f>+MINVU_Mes_Corriente!BS10*SALUD_Mes_Constante!$BP$1</f>
        <v>585994597.27836108</v>
      </c>
      <c r="BT10" s="8">
        <f>+MINVU_Mes_Corriente!BT10*SALUD_Mes_Constante!$BP$1</f>
        <v>585994597.27836108</v>
      </c>
      <c r="BU10" s="8">
        <f>+MINVU_Mes_Corriente!BU10*SALUD_Mes_Constante!$BP$1</f>
        <v>585994597.27836108</v>
      </c>
      <c r="BV10" s="8">
        <f>+MINVU_Mes_Corriente!BV10*SALUD_Mes_Constante!$BP$1</f>
        <v>585994597.27836108</v>
      </c>
      <c r="BW10" s="8">
        <f>+MINVU_Mes_Corriente!BW10*SALUD_Mes_Constante!$BP$1</f>
        <v>585994597.27836108</v>
      </c>
      <c r="BX10" s="8">
        <f>+MINVU_Mes_Corriente!BX10*SALUD_Mes_Constante!$BP$1</f>
        <v>585994597.27836108</v>
      </c>
      <c r="BY10" s="8">
        <f>+MINVU_Mes_Corriente!BY10*SALUD_Mes_Constante!$BP$1</f>
        <v>585994597.27836108</v>
      </c>
      <c r="BZ10" s="8">
        <f>+MINVU_Mes_Corriente!BZ10*SALUD_Mes_Constante!$BP$1</f>
        <v>585994597.27836108</v>
      </c>
      <c r="CA10" s="8">
        <f>+MINVU_Mes_Corriente!CA10*SALUD_Mes_Constante!$BP$1</f>
        <v>585994597.27836108</v>
      </c>
      <c r="CB10" s="9">
        <f t="shared" si="5"/>
        <v>585994597.27836108</v>
      </c>
      <c r="CC10" s="8">
        <f>+MINVU_Mes_Corriente!CC10*SALUD_Mes_Constante!$CC$1</f>
        <v>997037214.23722506</v>
      </c>
      <c r="CD10" s="8">
        <f>+MINVU_Mes_Corriente!CD10*SALUD_Mes_Constante!$CC$1</f>
        <v>997037214.23722506</v>
      </c>
      <c r="CE10" s="8">
        <f>+MINVU_Mes_Corriente!CE10*SALUD_Mes_Constante!$CC$1</f>
        <v>997037214.23722506</v>
      </c>
      <c r="CF10" s="8">
        <f>+MINVU_Mes_Corriente!CF10*SALUD_Mes_Constante!$CC$1</f>
        <v>997037214.23722506</v>
      </c>
      <c r="CG10" s="8">
        <f>+MINVU_Mes_Corriente!CG10*SALUD_Mes_Constante!$CC$1</f>
        <v>997037214.23722506</v>
      </c>
      <c r="CH10" s="8">
        <f>+MINVU_Mes_Corriente!CH10*SALUD_Mes_Constante!$CC$1</f>
        <v>997037214.23722506</v>
      </c>
      <c r="CI10" s="8">
        <f>+MINVU_Mes_Corriente!CI10*SALUD_Mes_Constante!$CC$1</f>
        <v>997037214.23722506</v>
      </c>
      <c r="CJ10" s="8">
        <f>+MINVU_Mes_Corriente!CJ10*SALUD_Mes_Constante!$CC$1</f>
        <v>997037214.23722506</v>
      </c>
      <c r="CK10" s="8">
        <f>+MINVU_Mes_Corriente!CK10*SALUD_Mes_Constante!$CC$1</f>
        <v>997037214.23722506</v>
      </c>
      <c r="CL10" s="8">
        <f>+MINVU_Mes_Corriente!CL10*SALUD_Mes_Constante!$CC$1</f>
        <v>997037214.23722506</v>
      </c>
      <c r="CM10" s="8">
        <f>+MINVU_Mes_Corriente!CM10*SALUD_Mes_Constante!$CC$1</f>
        <v>997037214.23722506</v>
      </c>
      <c r="CN10" s="8">
        <f>+MINVU_Mes_Corriente!CN10*SALUD_Mes_Constante!$CC$1</f>
        <v>997037214.23722506</v>
      </c>
      <c r="CO10" s="9">
        <f t="shared" si="6"/>
        <v>997037214.23722506</v>
      </c>
      <c r="CP10" s="8">
        <f>+MINVU_Mes_Corriente!CP10*SALUD_Mes_Constante!$CP$1</f>
        <v>828930156.84292328</v>
      </c>
      <c r="CQ10" s="8">
        <f>+MINVU_Mes_Corriente!CQ10*SALUD_Mes_Constante!$CP$1</f>
        <v>828930156.84292328</v>
      </c>
      <c r="CR10" s="8">
        <f>+MINVU_Mes_Corriente!CR10*SALUD_Mes_Constante!$CP$1</f>
        <v>828930156.84292328</v>
      </c>
      <c r="CS10" s="8">
        <f>+MINVU_Mes_Corriente!CS10*SALUD_Mes_Constante!$CP$1</f>
        <v>828930156.84292328</v>
      </c>
      <c r="CT10" s="8">
        <f>+MINVU_Mes_Corriente!CT10*SALUD_Mes_Constante!$CP$1</f>
        <v>828930156.84292328</v>
      </c>
      <c r="CU10" s="8">
        <f>+MINVU_Mes_Corriente!CU10*SALUD_Mes_Constante!$CP$1</f>
        <v>828930156.84292328</v>
      </c>
      <c r="CV10" s="8">
        <f>+MINVU_Mes_Corriente!CV10*SALUD_Mes_Constante!$CP$1</f>
        <v>828930156.84292328</v>
      </c>
      <c r="CW10" s="8">
        <f>+MINVU_Mes_Corriente!CW10*SALUD_Mes_Constante!$CP$1</f>
        <v>828930156.84292328</v>
      </c>
      <c r="CX10" s="8">
        <f>+MINVU_Mes_Corriente!CX10*SALUD_Mes_Constante!$CP$1</f>
        <v>828930156.84292328</v>
      </c>
      <c r="CY10" s="8">
        <f>+MINVU_Mes_Corriente!CY10*SALUD_Mes_Constante!$CP$1</f>
        <v>828930156.84292328</v>
      </c>
      <c r="CZ10" s="8">
        <f>+MINVU_Mes_Corriente!CZ10*SALUD_Mes_Constante!$CP$1</f>
        <v>828930156.84292328</v>
      </c>
      <c r="DA10" s="8">
        <f>+MINVU_Mes_Corriente!DA10*SALUD_Mes_Constante!$CP$1</f>
        <v>828930156.84292328</v>
      </c>
      <c r="DB10" s="9">
        <f t="shared" si="7"/>
        <v>828930156.84292328</v>
      </c>
      <c r="DC10" s="8">
        <f>+MINVU_Mes_Corriente!DC10*SALUD_Mes_Constante!$DC$1</f>
        <v>721778984.8694582</v>
      </c>
      <c r="DD10" s="8">
        <f>+MINVU_Mes_Corriente!DD10*SALUD_Mes_Constante!$DC$1</f>
        <v>721778984.8694582</v>
      </c>
      <c r="DE10" s="8">
        <f>+MINVU_Mes_Corriente!DE10*SALUD_Mes_Constante!$DC$1</f>
        <v>721778984.8694582</v>
      </c>
      <c r="DF10" s="8">
        <f>+MINVU_Mes_Corriente!DF10*SALUD_Mes_Constante!$DC$1</f>
        <v>721778984.8694582</v>
      </c>
      <c r="DG10" s="8">
        <f>+MINVU_Mes_Corriente!DG10*SALUD_Mes_Constante!$DC$1</f>
        <v>721778984.8694582</v>
      </c>
      <c r="DH10" s="8">
        <f>+MINVU_Mes_Corriente!DH10*SALUD_Mes_Constante!$DC$1</f>
        <v>721778984.8694582</v>
      </c>
      <c r="DI10" s="8">
        <f>+MINVU_Mes_Corriente!DI10*SALUD_Mes_Constante!$DC$1</f>
        <v>721778984.8694582</v>
      </c>
      <c r="DJ10" s="8">
        <f>+MINVU_Mes_Corriente!DJ10*SALUD_Mes_Constante!$DC$1</f>
        <v>721778984.8694582</v>
      </c>
      <c r="DK10" s="8">
        <f>+MINVU_Mes_Corriente!DK10*SALUD_Mes_Constante!$DC$1</f>
        <v>721778984.8694582</v>
      </c>
      <c r="DL10" s="8">
        <f>+MINVU_Mes_Corriente!DL10*SALUD_Mes_Constante!$DC$1</f>
        <v>721778984.8694582</v>
      </c>
      <c r="DM10" s="8">
        <f>+MINVU_Mes_Corriente!DM10*SALUD_Mes_Constante!$DC$1</f>
        <v>721778984.8694582</v>
      </c>
      <c r="DN10" s="8">
        <f>+MINVU_Mes_Corriente!DN10*SALUD_Mes_Constante!$DC$1</f>
        <v>721778984.8694582</v>
      </c>
      <c r="DO10" s="9">
        <f t="shared" si="8"/>
        <v>721778984.8694582</v>
      </c>
      <c r="DP10" s="8">
        <f>+MINVU_Mes_Corriente!DP10*SALUD_Mes_Constante!$DP$1</f>
        <v>766962042.08372927</v>
      </c>
      <c r="DQ10" s="8">
        <f>+MINVU_Mes_Corriente!DQ10*SALUD_Mes_Constante!$DP$1</f>
        <v>766962042.08372927</v>
      </c>
      <c r="DR10" s="8">
        <f>+MINVU_Mes_Corriente!DR10*SALUD_Mes_Constante!$DP$1</f>
        <v>766962042.08372927</v>
      </c>
      <c r="DS10" s="8">
        <f>+MINVU_Mes_Corriente!DS10*SALUD_Mes_Constante!$DP$1</f>
        <v>766962042.08372927</v>
      </c>
      <c r="DT10" s="8">
        <f>+MINVU_Mes_Corriente!DT10*SALUD_Mes_Constante!$DP$1</f>
        <v>766962042.08372927</v>
      </c>
      <c r="DU10" s="8">
        <f>+MINVU_Mes_Corriente!DU10*SALUD_Mes_Constante!$DP$1</f>
        <v>766962042.08372927</v>
      </c>
      <c r="DV10" s="8">
        <f>+MINVU_Mes_Corriente!DV10*SALUD_Mes_Constante!$DP$1</f>
        <v>766962042.08372927</v>
      </c>
      <c r="DW10" s="8">
        <f>+MINVU_Mes_Corriente!DW10*SALUD_Mes_Constante!$DP$1</f>
        <v>766962042.08372927</v>
      </c>
      <c r="DX10" s="8">
        <f>+MINVU_Mes_Corriente!DX10*SALUD_Mes_Constante!$DP$1</f>
        <v>766962042.08372927</v>
      </c>
      <c r="DY10" s="8">
        <f>+MINVU_Mes_Corriente!DY10*SALUD_Mes_Constante!$DP$1</f>
        <v>766962042.08372927</v>
      </c>
      <c r="DZ10" s="8">
        <f>+MINVU_Mes_Corriente!DZ10*SALUD_Mes_Constante!$DP$1</f>
        <v>766962042.08372927</v>
      </c>
      <c r="EA10" s="8">
        <f>+MINVU_Mes_Corriente!EA10*SALUD_Mes_Constante!$DP$1</f>
        <v>766962042.08372927</v>
      </c>
      <c r="EB10" s="9">
        <f t="shared" si="9"/>
        <v>766962042.08372927</v>
      </c>
      <c r="EC10" s="8">
        <f>+MINVU_Mes_Corriente!EC10*SALUD_Mes_Constante!$EC$1</f>
        <v>601903779.49138403</v>
      </c>
      <c r="ED10" s="8">
        <f>+MINVU_Mes_Corriente!ED10*SALUD_Mes_Constante!$EC$1</f>
        <v>601903779.49138403</v>
      </c>
      <c r="EE10" s="8">
        <f>+MINVU_Mes_Corriente!EE10*SALUD_Mes_Constante!$EC$1</f>
        <v>601903779.49138403</v>
      </c>
      <c r="EF10" s="8">
        <f>+MINVU_Mes_Corriente!EF10*SALUD_Mes_Constante!$EC$1</f>
        <v>601903779.49138403</v>
      </c>
      <c r="EG10" s="8">
        <f>+MINVU_Mes_Corriente!EG10*SALUD_Mes_Constante!$EC$1</f>
        <v>601903779.49138403</v>
      </c>
      <c r="EH10" s="8">
        <f>+MINVU_Mes_Corriente!EH10*SALUD_Mes_Constante!$EC$1</f>
        <v>601903779.49138403</v>
      </c>
      <c r="EI10" s="8">
        <f>+MINVU_Mes_Corriente!EI10*SALUD_Mes_Constante!$EC$1</f>
        <v>601903779.49138403</v>
      </c>
      <c r="EJ10" s="8">
        <f>+MINVU_Mes_Corriente!EJ10*SALUD_Mes_Constante!$EC$1</f>
        <v>601903779.49138403</v>
      </c>
      <c r="EK10" s="8">
        <f>+MINVU_Mes_Corriente!EK10*SALUD_Mes_Constante!$EC$1</f>
        <v>601903779.49138403</v>
      </c>
      <c r="EL10" s="8">
        <f>+MINVU_Mes_Corriente!EL10*SALUD_Mes_Constante!$EC$1</f>
        <v>601903779.49138403</v>
      </c>
      <c r="EM10" s="8">
        <f>+MINVU_Mes_Corriente!EM10*SALUD_Mes_Constante!$EC$1</f>
        <v>601903779.49138403</v>
      </c>
      <c r="EN10" s="8">
        <f>+MINVU_Mes_Corriente!EN10*SALUD_Mes_Constante!$EC$1</f>
        <v>601903779.49138403</v>
      </c>
      <c r="EO10" s="9">
        <f t="shared" si="10"/>
        <v>601903779.49138403</v>
      </c>
      <c r="EP10" s="8">
        <f>+MINVU_Mes_Corriente!EP10*SALUD_Mes_Constante!$EP$1</f>
        <v>573366549</v>
      </c>
      <c r="EQ10" s="8">
        <f>+MINVU_Mes_Corriente!EQ10*SALUD_Mes_Constante!$EP$1</f>
        <v>573366549</v>
      </c>
      <c r="ER10" s="8">
        <f>+MINVU_Mes_Corriente!ER10*SALUD_Mes_Constante!$EP$1</f>
        <v>573366549</v>
      </c>
      <c r="ES10" s="8">
        <f>+MINVU_Mes_Corriente!ES10*SALUD_Mes_Constante!$EP$1</f>
        <v>573366549</v>
      </c>
      <c r="ET10" s="8">
        <f>+MINVU_Mes_Corriente!ET10*SALUD_Mes_Constante!$EP$1</f>
        <v>573366549</v>
      </c>
      <c r="EU10" s="8">
        <f>+MINVU_Mes_Corriente!EU10*SALUD_Mes_Constante!$EP$1</f>
        <v>573366549</v>
      </c>
      <c r="EV10" s="8">
        <f>+MINVU_Mes_Corriente!EV10*SALUD_Mes_Constante!$EP$1</f>
        <v>573366549</v>
      </c>
      <c r="EW10" s="8">
        <f>+MINVU_Mes_Corriente!EW10*SALUD_Mes_Constante!$EP$1</f>
        <v>573366549</v>
      </c>
      <c r="EX10" s="8">
        <f>+MINVU_Mes_Corriente!EX10*SALUD_Mes_Constante!$EP$1</f>
        <v>573366549</v>
      </c>
      <c r="EY10" s="8">
        <f>+MINVU_Mes_Corriente!EY10*SALUD_Mes_Constante!$EP$1</f>
        <v>573366549</v>
      </c>
      <c r="EZ10" s="8">
        <f>+MINVU_Mes_Corriente!EZ10*SALUD_Mes_Constante!$EP$1</f>
        <v>573366549</v>
      </c>
      <c r="FA10" s="8">
        <f>+MINVU_Mes_Corriente!FA10*SALUD_Mes_Constante!$EP$1</f>
        <v>573366549</v>
      </c>
      <c r="FB10" s="9">
        <f t="shared" si="11"/>
        <v>573366549</v>
      </c>
      <c r="FC10" s="8">
        <f>+MINVU_Mes_Corriente!FC10*SALUD_Mes_Constante!$FC$1</f>
        <v>201002151</v>
      </c>
      <c r="FD10" s="8">
        <f>+MINVU_Mes_Corriente!FD10*SALUD_Mes_Constante!$FC$1</f>
        <v>201002151</v>
      </c>
      <c r="FE10" s="8">
        <f>+MINVU_Mes_Corriente!FE10*SALUD_Mes_Constante!$FC$1</f>
        <v>201002151</v>
      </c>
      <c r="FF10" s="8">
        <f>+MINVU_Mes_Corriente!FF10*SALUD_Mes_Constante!$FC$1</f>
        <v>201002151</v>
      </c>
      <c r="FG10" s="8">
        <f>+MINVU_Mes_Corriente!FG10*SALUD_Mes_Constante!$FC$1</f>
        <v>201002151</v>
      </c>
      <c r="FH10" s="8">
        <f>+MINVU_Mes_Corriente!FH10*SALUD_Mes_Constante!$FC$1</f>
        <v>201002151</v>
      </c>
      <c r="FI10" s="8">
        <f>+MINVU_Mes_Corriente!FI10*SALUD_Mes_Constante!$FC$1</f>
        <v>201002151</v>
      </c>
      <c r="FJ10" s="8"/>
      <c r="FK10" s="8"/>
      <c r="FL10" s="8"/>
      <c r="FM10" s="8"/>
      <c r="FN10" s="8"/>
      <c r="FO10" s="9">
        <f t="shared" si="12"/>
        <v>201002151</v>
      </c>
    </row>
    <row r="11" spans="2:171" ht="14.25" customHeight="1" x14ac:dyDescent="0.3">
      <c r="B11" s="7" t="s">
        <v>46</v>
      </c>
      <c r="C11" s="8">
        <f>+MINVU_Mes_Corriente!C11*SALUD_Mes_Constante!$C$1</f>
        <v>0</v>
      </c>
      <c r="D11" s="8">
        <f>+MINVU_Mes_Corriente!D11*SALUD_Mes_Constante!$C$1</f>
        <v>0</v>
      </c>
      <c r="E11" s="8">
        <f>+MINVU_Mes_Corriente!E11*SALUD_Mes_Constante!$C$1</f>
        <v>0</v>
      </c>
      <c r="F11" s="8">
        <f>+MINVU_Mes_Corriente!F11*SALUD_Mes_Constante!$C$1</f>
        <v>0</v>
      </c>
      <c r="G11" s="8">
        <f>+MINVU_Mes_Corriente!G11*SALUD_Mes_Constante!$C$1</f>
        <v>0</v>
      </c>
      <c r="H11" s="8">
        <f>+MINVU_Mes_Corriente!H11*SALUD_Mes_Constante!$C$1</f>
        <v>0</v>
      </c>
      <c r="I11" s="8">
        <f>+MINVU_Mes_Corriente!I11*SALUD_Mes_Constante!$C$1</f>
        <v>0</v>
      </c>
      <c r="J11" s="8">
        <f>+MINVU_Mes_Corriente!J11*SALUD_Mes_Constante!$C$1</f>
        <v>0</v>
      </c>
      <c r="K11" s="8">
        <f>+MINVU_Mes_Corriente!K11*SALUD_Mes_Constante!$C$1</f>
        <v>0</v>
      </c>
      <c r="L11" s="8">
        <f>+MINVU_Mes_Corriente!L11*SALUD_Mes_Constante!$C$1</f>
        <v>0</v>
      </c>
      <c r="M11" s="8">
        <f>+MINVU_Mes_Corriente!M11*SALUD_Mes_Constante!$C$1</f>
        <v>0</v>
      </c>
      <c r="N11" s="8">
        <f>+MINVU_Mes_Corriente!N11*SALUD_Mes_Constante!$C$1</f>
        <v>0</v>
      </c>
      <c r="O11" s="9">
        <f t="shared" si="0"/>
        <v>0</v>
      </c>
      <c r="P11" s="8">
        <f>+MINVU_Mes_Corriente!P11*SALUD_Mes_Constante!$P$1</f>
        <v>0</v>
      </c>
      <c r="Q11" s="8">
        <f>+MINVU_Mes_Corriente!Q11*SALUD_Mes_Constante!$P$1</f>
        <v>0</v>
      </c>
      <c r="R11" s="8">
        <f>+MINVU_Mes_Corriente!R11*SALUD_Mes_Constante!$P$1</f>
        <v>0</v>
      </c>
      <c r="S11" s="8">
        <f>+MINVU_Mes_Corriente!S11*SALUD_Mes_Constante!$P$1</f>
        <v>0</v>
      </c>
      <c r="T11" s="8">
        <f>+MINVU_Mes_Corriente!T11*SALUD_Mes_Constante!$P$1</f>
        <v>0</v>
      </c>
      <c r="U11" s="8">
        <f>+MINVU_Mes_Corriente!U11*SALUD_Mes_Constante!$P$1</f>
        <v>0</v>
      </c>
      <c r="V11" s="8">
        <f>+MINVU_Mes_Corriente!V11*SALUD_Mes_Constante!$P$1</f>
        <v>0</v>
      </c>
      <c r="W11" s="8">
        <f>+MINVU_Mes_Corriente!W11*SALUD_Mes_Constante!$P$1</f>
        <v>0</v>
      </c>
      <c r="X11" s="8">
        <f>+MINVU_Mes_Corriente!X11*SALUD_Mes_Constante!$P$1</f>
        <v>0</v>
      </c>
      <c r="Y11" s="8">
        <f>+MINVU_Mes_Corriente!Y11*SALUD_Mes_Constante!$P$1</f>
        <v>0</v>
      </c>
      <c r="Z11" s="8">
        <f>+MINVU_Mes_Corriente!Z11*SALUD_Mes_Constante!$P$1</f>
        <v>0</v>
      </c>
      <c r="AA11" s="8">
        <f>+MINVU_Mes_Corriente!AA11*SALUD_Mes_Constante!$P$1</f>
        <v>0</v>
      </c>
      <c r="AB11" s="9">
        <f t="shared" si="1"/>
        <v>0</v>
      </c>
      <c r="AC11" s="8">
        <f>+MINVU_Mes_Corriente!AC11*SALUD_Mes_Constante!$AC$1</f>
        <v>0</v>
      </c>
      <c r="AD11" s="8">
        <f>+MINVU_Mes_Corriente!AD11*SALUD_Mes_Constante!$AC$1</f>
        <v>0</v>
      </c>
      <c r="AE11" s="8">
        <f>+MINVU_Mes_Corriente!AE11*SALUD_Mes_Constante!$AC$1</f>
        <v>0</v>
      </c>
      <c r="AF11" s="8">
        <f>+MINVU_Mes_Corriente!AF11*SALUD_Mes_Constante!$AC$1</f>
        <v>0</v>
      </c>
      <c r="AG11" s="8">
        <f>+MINVU_Mes_Corriente!AG11*SALUD_Mes_Constante!$AC$1</f>
        <v>0</v>
      </c>
      <c r="AH11" s="8">
        <f>+MINVU_Mes_Corriente!AH11*SALUD_Mes_Constante!$AC$1</f>
        <v>0</v>
      </c>
      <c r="AI11" s="8">
        <f>+MINVU_Mes_Corriente!AI11*SALUD_Mes_Constante!$AC$1</f>
        <v>0</v>
      </c>
      <c r="AJ11" s="8">
        <f>+MINVU_Mes_Corriente!AJ11*SALUD_Mes_Constante!$AC$1</f>
        <v>0</v>
      </c>
      <c r="AK11" s="8">
        <f>+MINVU_Mes_Corriente!AK11*SALUD_Mes_Constante!$AC$1</f>
        <v>0</v>
      </c>
      <c r="AL11" s="8">
        <f>+MINVU_Mes_Corriente!AL11*SALUD_Mes_Constante!$AC$1</f>
        <v>0</v>
      </c>
      <c r="AM11" s="8">
        <f>+MINVU_Mes_Corriente!AM11*SALUD_Mes_Constante!$AC$1</f>
        <v>0</v>
      </c>
      <c r="AN11" s="8">
        <f>+MINVU_Mes_Corriente!AN11*SALUD_Mes_Constante!$AC$1</f>
        <v>0</v>
      </c>
      <c r="AO11" s="9">
        <f t="shared" si="2"/>
        <v>0</v>
      </c>
      <c r="AP11" s="8">
        <f>+MINVU_Mes_Corriente!AP11*SALUD_Mes_Constante!$AP$1</f>
        <v>0</v>
      </c>
      <c r="AQ11" s="8">
        <f>+MINVU_Mes_Corriente!AQ11*SALUD_Mes_Constante!$AP$1</f>
        <v>0</v>
      </c>
      <c r="AR11" s="8">
        <f>+MINVU_Mes_Corriente!AR11*SALUD_Mes_Constante!$AP$1</f>
        <v>0</v>
      </c>
      <c r="AS11" s="8">
        <f>+MINVU_Mes_Corriente!AS11*SALUD_Mes_Constante!$AP$1</f>
        <v>0</v>
      </c>
      <c r="AT11" s="8">
        <f>+MINVU_Mes_Corriente!AT11*SALUD_Mes_Constante!$AP$1</f>
        <v>0</v>
      </c>
      <c r="AU11" s="8">
        <f>+MINVU_Mes_Corriente!AU11*SALUD_Mes_Constante!$AP$1</f>
        <v>0</v>
      </c>
      <c r="AV11" s="8">
        <f>+MINVU_Mes_Corriente!AV11*SALUD_Mes_Constante!$AP$1</f>
        <v>0</v>
      </c>
      <c r="AW11" s="8">
        <f>+MINVU_Mes_Corriente!AW11*SALUD_Mes_Constante!$AP$1</f>
        <v>0</v>
      </c>
      <c r="AX11" s="8">
        <f>+MINVU_Mes_Corriente!AX11*SALUD_Mes_Constante!$AP$1</f>
        <v>0</v>
      </c>
      <c r="AY11" s="8">
        <f>+MINVU_Mes_Corriente!AY11*SALUD_Mes_Constante!$AP$1</f>
        <v>0</v>
      </c>
      <c r="AZ11" s="8">
        <f>+MINVU_Mes_Corriente!AZ11*SALUD_Mes_Constante!$AP$1</f>
        <v>0</v>
      </c>
      <c r="BA11" s="8">
        <f>+MINVU_Mes_Corriente!BA11*SALUD_Mes_Constante!$AP$1</f>
        <v>0</v>
      </c>
      <c r="BB11" s="9">
        <f t="shared" si="3"/>
        <v>0</v>
      </c>
      <c r="BC11" s="8">
        <f>+MINVU_Mes_Corriente!BC11*SALUD_Mes_Constante!$BC$1</f>
        <v>0</v>
      </c>
      <c r="BD11" s="8">
        <f>+MINVU_Mes_Corriente!BD11*SALUD_Mes_Constante!$BC$1</f>
        <v>0</v>
      </c>
      <c r="BE11" s="8">
        <f>+MINVU_Mes_Corriente!BE11*SALUD_Mes_Constante!$BC$1</f>
        <v>0</v>
      </c>
      <c r="BF11" s="8">
        <f>+MINVU_Mes_Corriente!BF11*SALUD_Mes_Constante!$BC$1</f>
        <v>0</v>
      </c>
      <c r="BG11" s="8">
        <f>+MINVU_Mes_Corriente!BG11*SALUD_Mes_Constante!$BC$1</f>
        <v>0</v>
      </c>
      <c r="BH11" s="8">
        <f>+MINVU_Mes_Corriente!BH11*SALUD_Mes_Constante!$BC$1</f>
        <v>0</v>
      </c>
      <c r="BI11" s="8">
        <f>+MINVU_Mes_Corriente!BI11*SALUD_Mes_Constante!$BC$1</f>
        <v>0</v>
      </c>
      <c r="BJ11" s="8">
        <f>+MINVU_Mes_Corriente!BJ11*SALUD_Mes_Constante!$BC$1</f>
        <v>0</v>
      </c>
      <c r="BK11" s="8">
        <f>+MINVU_Mes_Corriente!BK11*SALUD_Mes_Constante!$BC$1</f>
        <v>0</v>
      </c>
      <c r="BL11" s="8">
        <f>+MINVU_Mes_Corriente!BL11*SALUD_Mes_Constante!$BC$1</f>
        <v>0</v>
      </c>
      <c r="BM11" s="8">
        <f>+MINVU_Mes_Corriente!BM11*SALUD_Mes_Constante!$BC$1</f>
        <v>0</v>
      </c>
      <c r="BN11" s="8">
        <f>+MINVU_Mes_Corriente!BN11*SALUD_Mes_Constante!$BC$1</f>
        <v>0</v>
      </c>
      <c r="BO11" s="9">
        <f t="shared" si="4"/>
        <v>0</v>
      </c>
      <c r="BP11" s="8">
        <f>+MINVU_Mes_Corriente!BP11*SALUD_Mes_Constante!$BP$1</f>
        <v>0</v>
      </c>
      <c r="BQ11" s="8">
        <f>+MINVU_Mes_Corriente!BQ11*SALUD_Mes_Constante!$BP$1</f>
        <v>0</v>
      </c>
      <c r="BR11" s="8">
        <f>+MINVU_Mes_Corriente!BR11*SALUD_Mes_Constante!$BP$1</f>
        <v>0</v>
      </c>
      <c r="BS11" s="8">
        <f>+MINVU_Mes_Corriente!BS11*SALUD_Mes_Constante!$BP$1</f>
        <v>0</v>
      </c>
      <c r="BT11" s="8">
        <f>+MINVU_Mes_Corriente!BT11*SALUD_Mes_Constante!$BP$1</f>
        <v>0</v>
      </c>
      <c r="BU11" s="8">
        <f>+MINVU_Mes_Corriente!BU11*SALUD_Mes_Constante!$BP$1</f>
        <v>0</v>
      </c>
      <c r="BV11" s="8">
        <f>+MINVU_Mes_Corriente!BV11*SALUD_Mes_Constante!$BP$1</f>
        <v>0</v>
      </c>
      <c r="BW11" s="8">
        <f>+MINVU_Mes_Corriente!BW11*SALUD_Mes_Constante!$BP$1</f>
        <v>0</v>
      </c>
      <c r="BX11" s="8">
        <f>+MINVU_Mes_Corriente!BX11*SALUD_Mes_Constante!$BP$1</f>
        <v>0</v>
      </c>
      <c r="BY11" s="8">
        <f>+MINVU_Mes_Corriente!BY11*SALUD_Mes_Constante!$BP$1</f>
        <v>0</v>
      </c>
      <c r="BZ11" s="8">
        <f>+MINVU_Mes_Corriente!BZ11*SALUD_Mes_Constante!$BP$1</f>
        <v>0</v>
      </c>
      <c r="CA11" s="8">
        <f>+MINVU_Mes_Corriente!CA11*SALUD_Mes_Constante!$BP$1</f>
        <v>0</v>
      </c>
      <c r="CB11" s="9">
        <f t="shared" si="5"/>
        <v>0</v>
      </c>
      <c r="CC11" s="8">
        <f>+MINVU_Mes_Corriente!CC11*SALUD_Mes_Constante!$CC$1</f>
        <v>0</v>
      </c>
      <c r="CD11" s="8">
        <f>+MINVU_Mes_Corriente!CD11*SALUD_Mes_Constante!$CC$1</f>
        <v>0</v>
      </c>
      <c r="CE11" s="8">
        <f>+MINVU_Mes_Corriente!CE11*SALUD_Mes_Constante!$CC$1</f>
        <v>0</v>
      </c>
      <c r="CF11" s="8">
        <f>+MINVU_Mes_Corriente!CF11*SALUD_Mes_Constante!$CC$1</f>
        <v>0</v>
      </c>
      <c r="CG11" s="8">
        <f>+MINVU_Mes_Corriente!CG11*SALUD_Mes_Constante!$CC$1</f>
        <v>0</v>
      </c>
      <c r="CH11" s="8">
        <f>+MINVU_Mes_Corriente!CH11*SALUD_Mes_Constante!$CC$1</f>
        <v>0</v>
      </c>
      <c r="CI11" s="8">
        <f>+MINVU_Mes_Corriente!CI11*SALUD_Mes_Constante!$CC$1</f>
        <v>0</v>
      </c>
      <c r="CJ11" s="8">
        <f>+MINVU_Mes_Corriente!CJ11*SALUD_Mes_Constante!$CC$1</f>
        <v>0</v>
      </c>
      <c r="CK11" s="8">
        <f>+MINVU_Mes_Corriente!CK11*SALUD_Mes_Constante!$CC$1</f>
        <v>0</v>
      </c>
      <c r="CL11" s="8">
        <f>+MINVU_Mes_Corriente!CL11*SALUD_Mes_Constante!$CC$1</f>
        <v>0</v>
      </c>
      <c r="CM11" s="8">
        <f>+MINVU_Mes_Corriente!CM11*SALUD_Mes_Constante!$CC$1</f>
        <v>0</v>
      </c>
      <c r="CN11" s="8">
        <f>+MINVU_Mes_Corriente!CN11*SALUD_Mes_Constante!$CC$1</f>
        <v>0</v>
      </c>
      <c r="CO11" s="9">
        <f t="shared" si="6"/>
        <v>0</v>
      </c>
      <c r="CP11" s="8">
        <f>+MINVU_Mes_Corriente!CP11*SALUD_Mes_Constante!$CP$1</f>
        <v>0</v>
      </c>
      <c r="CQ11" s="8">
        <f>+MINVU_Mes_Corriente!CQ11*SALUD_Mes_Constante!$CP$1</f>
        <v>0</v>
      </c>
      <c r="CR11" s="8">
        <f>+MINVU_Mes_Corriente!CR11*SALUD_Mes_Constante!$CP$1</f>
        <v>0</v>
      </c>
      <c r="CS11" s="8">
        <f>+MINVU_Mes_Corriente!CS11*SALUD_Mes_Constante!$CP$1</f>
        <v>0</v>
      </c>
      <c r="CT11" s="8">
        <f>+MINVU_Mes_Corriente!CT11*SALUD_Mes_Constante!$CP$1</f>
        <v>0</v>
      </c>
      <c r="CU11" s="8">
        <f>+MINVU_Mes_Corriente!CU11*SALUD_Mes_Constante!$CP$1</f>
        <v>0</v>
      </c>
      <c r="CV11" s="8">
        <f>+MINVU_Mes_Corriente!CV11*SALUD_Mes_Constante!$CP$1</f>
        <v>0</v>
      </c>
      <c r="CW11" s="8">
        <f>+MINVU_Mes_Corriente!CW11*SALUD_Mes_Constante!$CP$1</f>
        <v>0</v>
      </c>
      <c r="CX11" s="8">
        <f>+MINVU_Mes_Corriente!CX11*SALUD_Mes_Constante!$CP$1</f>
        <v>0</v>
      </c>
      <c r="CY11" s="8">
        <f>+MINVU_Mes_Corriente!CY11*SALUD_Mes_Constante!$CP$1</f>
        <v>0</v>
      </c>
      <c r="CZ11" s="8">
        <f>+MINVU_Mes_Corriente!CZ11*SALUD_Mes_Constante!$CP$1</f>
        <v>0</v>
      </c>
      <c r="DA11" s="8">
        <f>+MINVU_Mes_Corriente!DA11*SALUD_Mes_Constante!$CP$1</f>
        <v>0</v>
      </c>
      <c r="DB11" s="9">
        <f t="shared" si="7"/>
        <v>0</v>
      </c>
      <c r="DC11" s="8">
        <f>+MINVU_Mes_Corriente!DC11*SALUD_Mes_Constante!$DC$1</f>
        <v>0</v>
      </c>
      <c r="DD11" s="8">
        <f>+MINVU_Mes_Corriente!DD11*SALUD_Mes_Constante!$DC$1</f>
        <v>0</v>
      </c>
      <c r="DE11" s="8">
        <f>+MINVU_Mes_Corriente!DE11*SALUD_Mes_Constante!$DC$1</f>
        <v>0</v>
      </c>
      <c r="DF11" s="8">
        <f>+MINVU_Mes_Corriente!DF11*SALUD_Mes_Constante!$DC$1</f>
        <v>0</v>
      </c>
      <c r="DG11" s="8">
        <f>+MINVU_Mes_Corriente!DG11*SALUD_Mes_Constante!$DC$1</f>
        <v>0</v>
      </c>
      <c r="DH11" s="8">
        <f>+MINVU_Mes_Corriente!DH11*SALUD_Mes_Constante!$DC$1</f>
        <v>0</v>
      </c>
      <c r="DI11" s="8">
        <f>+MINVU_Mes_Corriente!DI11*SALUD_Mes_Constante!$DC$1</f>
        <v>0</v>
      </c>
      <c r="DJ11" s="8">
        <f>+MINVU_Mes_Corriente!DJ11*SALUD_Mes_Constante!$DC$1</f>
        <v>0</v>
      </c>
      <c r="DK11" s="8">
        <f>+MINVU_Mes_Corriente!DK11*SALUD_Mes_Constante!$DC$1</f>
        <v>0</v>
      </c>
      <c r="DL11" s="8">
        <f>+MINVU_Mes_Corriente!DL11*SALUD_Mes_Constante!$DC$1</f>
        <v>0</v>
      </c>
      <c r="DM11" s="8">
        <f>+MINVU_Mes_Corriente!DM11*SALUD_Mes_Constante!$DC$1</f>
        <v>0</v>
      </c>
      <c r="DN11" s="8">
        <f>+MINVU_Mes_Corriente!DN11*SALUD_Mes_Constante!$DC$1</f>
        <v>0</v>
      </c>
      <c r="DO11" s="9">
        <f t="shared" si="8"/>
        <v>0</v>
      </c>
      <c r="DP11" s="8">
        <f>+MINVU_Mes_Corriente!DP11*SALUD_Mes_Constante!$DP$1</f>
        <v>0</v>
      </c>
      <c r="DQ11" s="8">
        <f>+MINVU_Mes_Corriente!DQ11*SALUD_Mes_Constante!$DP$1</f>
        <v>0</v>
      </c>
      <c r="DR11" s="8">
        <f>+MINVU_Mes_Corriente!DR11*SALUD_Mes_Constante!$DP$1</f>
        <v>0</v>
      </c>
      <c r="DS11" s="8">
        <f>+MINVU_Mes_Corriente!DS11*SALUD_Mes_Constante!$DP$1</f>
        <v>0</v>
      </c>
      <c r="DT11" s="8">
        <f>+MINVU_Mes_Corriente!DT11*SALUD_Mes_Constante!$DP$1</f>
        <v>0</v>
      </c>
      <c r="DU11" s="8">
        <f>+MINVU_Mes_Corriente!DU11*SALUD_Mes_Constante!$DP$1</f>
        <v>0</v>
      </c>
      <c r="DV11" s="8">
        <f>+MINVU_Mes_Corriente!DV11*SALUD_Mes_Constante!$DP$1</f>
        <v>0</v>
      </c>
      <c r="DW11" s="8">
        <f>+MINVU_Mes_Corriente!DW11*SALUD_Mes_Constante!$DP$1</f>
        <v>0</v>
      </c>
      <c r="DX11" s="8">
        <f>+MINVU_Mes_Corriente!DX11*SALUD_Mes_Constante!$DP$1</f>
        <v>0</v>
      </c>
      <c r="DY11" s="8">
        <f>+MINVU_Mes_Corriente!DY11*SALUD_Mes_Constante!$DP$1</f>
        <v>0</v>
      </c>
      <c r="DZ11" s="8">
        <f>+MINVU_Mes_Corriente!DZ11*SALUD_Mes_Constante!$DP$1</f>
        <v>0</v>
      </c>
      <c r="EA11" s="8">
        <f>+MINVU_Mes_Corriente!EA11*SALUD_Mes_Constante!$DP$1</f>
        <v>0</v>
      </c>
      <c r="EB11" s="9">
        <f t="shared" si="9"/>
        <v>0</v>
      </c>
      <c r="EC11" s="8">
        <f>+MINVU_Mes_Corriente!EC11*SALUD_Mes_Constante!$EC$1</f>
        <v>0</v>
      </c>
      <c r="ED11" s="8">
        <f>+MINVU_Mes_Corriente!ED11*SALUD_Mes_Constante!$EC$1</f>
        <v>0</v>
      </c>
      <c r="EE11" s="8">
        <f>+MINVU_Mes_Corriente!EE11*SALUD_Mes_Constante!$EC$1</f>
        <v>0</v>
      </c>
      <c r="EF11" s="8">
        <f>+MINVU_Mes_Corriente!EF11*SALUD_Mes_Constante!$EC$1</f>
        <v>0</v>
      </c>
      <c r="EG11" s="8">
        <f>+MINVU_Mes_Corriente!EG11*SALUD_Mes_Constante!$EC$1</f>
        <v>0</v>
      </c>
      <c r="EH11" s="8">
        <f>+MINVU_Mes_Corriente!EH11*SALUD_Mes_Constante!$EC$1</f>
        <v>0</v>
      </c>
      <c r="EI11" s="8">
        <f>+MINVU_Mes_Corriente!EI11*SALUD_Mes_Constante!$EC$1</f>
        <v>0</v>
      </c>
      <c r="EJ11" s="8">
        <f>+MINVU_Mes_Corriente!EJ11*SALUD_Mes_Constante!$EC$1</f>
        <v>0</v>
      </c>
      <c r="EK11" s="8">
        <f>+MINVU_Mes_Corriente!EK11*SALUD_Mes_Constante!$EC$1</f>
        <v>0</v>
      </c>
      <c r="EL11" s="8">
        <f>+MINVU_Mes_Corriente!EL11*SALUD_Mes_Constante!$EC$1</f>
        <v>0</v>
      </c>
      <c r="EM11" s="8">
        <f>+MINVU_Mes_Corriente!EM11*SALUD_Mes_Constante!$EC$1</f>
        <v>0</v>
      </c>
      <c r="EN11" s="8">
        <f>+MINVU_Mes_Corriente!EN11*SALUD_Mes_Constante!$EC$1</f>
        <v>0</v>
      </c>
      <c r="EO11" s="9">
        <f t="shared" si="10"/>
        <v>0</v>
      </c>
      <c r="EP11" s="8">
        <f>+MINVU_Mes_Corriente!EP11*SALUD_Mes_Constante!$EP$1</f>
        <v>0</v>
      </c>
      <c r="EQ11" s="8">
        <f>+MINVU_Mes_Corriente!EQ11*SALUD_Mes_Constante!$EP$1</f>
        <v>0</v>
      </c>
      <c r="ER11" s="8">
        <f>+MINVU_Mes_Corriente!ER11*SALUD_Mes_Constante!$EP$1</f>
        <v>0</v>
      </c>
      <c r="ES11" s="8">
        <f>+MINVU_Mes_Corriente!ES11*SALUD_Mes_Constante!$EP$1</f>
        <v>0</v>
      </c>
      <c r="ET11" s="8">
        <f>+MINVU_Mes_Corriente!ET11*SALUD_Mes_Constante!$EP$1</f>
        <v>0</v>
      </c>
      <c r="EU11" s="8">
        <f>+MINVU_Mes_Corriente!EU11*SALUD_Mes_Constante!$EP$1</f>
        <v>0</v>
      </c>
      <c r="EV11" s="8">
        <f>+MINVU_Mes_Corriente!EV11*SALUD_Mes_Constante!$EP$1</f>
        <v>0</v>
      </c>
      <c r="EW11" s="8">
        <f>+MINVU_Mes_Corriente!EW11*SALUD_Mes_Constante!$EP$1</f>
        <v>0</v>
      </c>
      <c r="EX11" s="8">
        <f>+MINVU_Mes_Corriente!EX11*SALUD_Mes_Constante!$EP$1</f>
        <v>0</v>
      </c>
      <c r="EY11" s="8">
        <f>+MINVU_Mes_Corriente!EY11*SALUD_Mes_Constante!$EP$1</f>
        <v>0</v>
      </c>
      <c r="EZ11" s="8">
        <f>+MINVU_Mes_Corriente!EZ11*SALUD_Mes_Constante!$EP$1</f>
        <v>0</v>
      </c>
      <c r="FA11" s="8">
        <f>+MINVU_Mes_Corriente!FA11*SALUD_Mes_Constante!$EP$1</f>
        <v>0</v>
      </c>
      <c r="FB11" s="9">
        <f t="shared" si="11"/>
        <v>0</v>
      </c>
      <c r="FC11" s="8">
        <f>+MINVU_Mes_Corriente!FC11*SALUD_Mes_Constante!$FC$1</f>
        <v>3783756</v>
      </c>
      <c r="FD11" s="8">
        <f>+MINVU_Mes_Corriente!FD11*SALUD_Mes_Constante!$FC$1</f>
        <v>3783756</v>
      </c>
      <c r="FE11" s="8">
        <f>+MINVU_Mes_Corriente!FE11*SALUD_Mes_Constante!$FC$1</f>
        <v>3783756</v>
      </c>
      <c r="FF11" s="8">
        <f>+MINVU_Mes_Corriente!FF11*SALUD_Mes_Constante!$FC$1</f>
        <v>3783756</v>
      </c>
      <c r="FG11" s="8">
        <f>+MINVU_Mes_Corriente!FG11*SALUD_Mes_Constante!$FC$1</f>
        <v>3783756</v>
      </c>
      <c r="FH11" s="8">
        <f>+MINVU_Mes_Corriente!FH11*SALUD_Mes_Constante!$FC$1</f>
        <v>3783756</v>
      </c>
      <c r="FI11" s="8">
        <f>+MINVU_Mes_Corriente!FI11*SALUD_Mes_Constante!$FC$1</f>
        <v>3783756</v>
      </c>
      <c r="FJ11" s="8"/>
      <c r="FK11" s="8"/>
      <c r="FL11" s="8"/>
      <c r="FM11" s="8"/>
      <c r="FN11" s="8"/>
      <c r="FO11" s="9">
        <f t="shared" si="12"/>
        <v>3783756</v>
      </c>
    </row>
    <row r="12" spans="2:171" ht="14.25" customHeight="1" x14ac:dyDescent="0.3">
      <c r="B12" s="7" t="s">
        <v>47</v>
      </c>
      <c r="C12" s="8">
        <f>+MINVU_Mes_Corriente!C12*SALUD_Mes_Constante!$C$1</f>
        <v>0</v>
      </c>
      <c r="D12" s="8">
        <f>+MINVU_Mes_Corriente!D12*SALUD_Mes_Constante!$C$1</f>
        <v>0</v>
      </c>
      <c r="E12" s="8">
        <f>+MINVU_Mes_Corriente!E12*SALUD_Mes_Constante!$C$1</f>
        <v>0</v>
      </c>
      <c r="F12" s="8">
        <f>+MINVU_Mes_Corriente!F12*SALUD_Mes_Constante!$C$1</f>
        <v>0</v>
      </c>
      <c r="G12" s="8">
        <f>+MINVU_Mes_Corriente!G12*SALUD_Mes_Constante!$C$1</f>
        <v>0</v>
      </c>
      <c r="H12" s="8">
        <f>+MINVU_Mes_Corriente!H12*SALUD_Mes_Constante!$C$1</f>
        <v>0</v>
      </c>
      <c r="I12" s="8">
        <f>+MINVU_Mes_Corriente!I12*SALUD_Mes_Constante!$C$1</f>
        <v>0</v>
      </c>
      <c r="J12" s="8">
        <f>+MINVU_Mes_Corriente!J12*SALUD_Mes_Constante!$C$1</f>
        <v>0</v>
      </c>
      <c r="K12" s="8">
        <f>+MINVU_Mes_Corriente!K12*SALUD_Mes_Constante!$C$1</f>
        <v>0</v>
      </c>
      <c r="L12" s="8">
        <f>+MINVU_Mes_Corriente!L12*SALUD_Mes_Constante!$C$1</f>
        <v>0</v>
      </c>
      <c r="M12" s="8">
        <f>+MINVU_Mes_Corriente!M12*SALUD_Mes_Constante!$C$1</f>
        <v>0</v>
      </c>
      <c r="N12" s="8">
        <f>+MINVU_Mes_Corriente!N12*SALUD_Mes_Constante!$C$1</f>
        <v>0</v>
      </c>
      <c r="O12" s="9">
        <f t="shared" si="0"/>
        <v>0</v>
      </c>
      <c r="P12" s="8">
        <f>+MINVU_Mes_Corriente!P12*SALUD_Mes_Constante!$P$1</f>
        <v>0</v>
      </c>
      <c r="Q12" s="8">
        <f>+MINVU_Mes_Corriente!Q12*SALUD_Mes_Constante!$P$1</f>
        <v>0</v>
      </c>
      <c r="R12" s="8">
        <f>+MINVU_Mes_Corriente!R12*SALUD_Mes_Constante!$P$1</f>
        <v>0</v>
      </c>
      <c r="S12" s="8">
        <f>+MINVU_Mes_Corriente!S12*SALUD_Mes_Constante!$P$1</f>
        <v>0</v>
      </c>
      <c r="T12" s="8">
        <f>+MINVU_Mes_Corriente!T12*SALUD_Mes_Constante!$P$1</f>
        <v>0</v>
      </c>
      <c r="U12" s="8">
        <f>+MINVU_Mes_Corriente!U12*SALUD_Mes_Constante!$P$1</f>
        <v>0</v>
      </c>
      <c r="V12" s="8">
        <f>+MINVU_Mes_Corriente!V12*SALUD_Mes_Constante!$P$1</f>
        <v>0</v>
      </c>
      <c r="W12" s="8">
        <f>+MINVU_Mes_Corriente!W12*SALUD_Mes_Constante!$P$1</f>
        <v>0</v>
      </c>
      <c r="X12" s="8">
        <f>+MINVU_Mes_Corriente!X12*SALUD_Mes_Constante!$P$1</f>
        <v>0</v>
      </c>
      <c r="Y12" s="8">
        <f>+MINVU_Mes_Corriente!Y12*SALUD_Mes_Constante!$P$1</f>
        <v>0</v>
      </c>
      <c r="Z12" s="8">
        <f>+MINVU_Mes_Corriente!Z12*SALUD_Mes_Constante!$P$1</f>
        <v>0</v>
      </c>
      <c r="AA12" s="8">
        <f>+MINVU_Mes_Corriente!AA12*SALUD_Mes_Constante!$P$1</f>
        <v>0</v>
      </c>
      <c r="AB12" s="9">
        <f t="shared" si="1"/>
        <v>0</v>
      </c>
      <c r="AC12" s="8">
        <f>+MINVU_Mes_Corriente!AC12*SALUD_Mes_Constante!$AC$1</f>
        <v>0</v>
      </c>
      <c r="AD12" s="8">
        <f>+MINVU_Mes_Corriente!AD12*SALUD_Mes_Constante!$AC$1</f>
        <v>0</v>
      </c>
      <c r="AE12" s="8">
        <f>+MINVU_Mes_Corriente!AE12*SALUD_Mes_Constante!$AC$1</f>
        <v>0</v>
      </c>
      <c r="AF12" s="8">
        <f>+MINVU_Mes_Corriente!AF12*SALUD_Mes_Constante!$AC$1</f>
        <v>0</v>
      </c>
      <c r="AG12" s="8">
        <f>+MINVU_Mes_Corriente!AG12*SALUD_Mes_Constante!$AC$1</f>
        <v>0</v>
      </c>
      <c r="AH12" s="8">
        <f>+MINVU_Mes_Corriente!AH12*SALUD_Mes_Constante!$AC$1</f>
        <v>0</v>
      </c>
      <c r="AI12" s="8">
        <f>+MINVU_Mes_Corriente!AI12*SALUD_Mes_Constante!$AC$1</f>
        <v>0</v>
      </c>
      <c r="AJ12" s="8">
        <f>+MINVU_Mes_Corriente!AJ12*SALUD_Mes_Constante!$AC$1</f>
        <v>0</v>
      </c>
      <c r="AK12" s="8">
        <f>+MINVU_Mes_Corriente!AK12*SALUD_Mes_Constante!$AC$1</f>
        <v>0</v>
      </c>
      <c r="AL12" s="8">
        <f>+MINVU_Mes_Corriente!AL12*SALUD_Mes_Constante!$AC$1</f>
        <v>0</v>
      </c>
      <c r="AM12" s="8">
        <f>+MINVU_Mes_Corriente!AM12*SALUD_Mes_Constante!$AC$1</f>
        <v>0</v>
      </c>
      <c r="AN12" s="8">
        <f>+MINVU_Mes_Corriente!AN12*SALUD_Mes_Constante!$AC$1</f>
        <v>0</v>
      </c>
      <c r="AO12" s="9">
        <f t="shared" si="2"/>
        <v>0</v>
      </c>
      <c r="AP12" s="8">
        <f>+MINVU_Mes_Corriente!AP12*SALUD_Mes_Constante!$AP$1</f>
        <v>0</v>
      </c>
      <c r="AQ12" s="8">
        <f>+MINVU_Mes_Corriente!AQ12*SALUD_Mes_Constante!$AP$1</f>
        <v>0</v>
      </c>
      <c r="AR12" s="8">
        <f>+MINVU_Mes_Corriente!AR12*SALUD_Mes_Constante!$AP$1</f>
        <v>0</v>
      </c>
      <c r="AS12" s="8">
        <f>+MINVU_Mes_Corriente!AS12*SALUD_Mes_Constante!$AP$1</f>
        <v>0</v>
      </c>
      <c r="AT12" s="8">
        <f>+MINVU_Mes_Corriente!AT12*SALUD_Mes_Constante!$AP$1</f>
        <v>0</v>
      </c>
      <c r="AU12" s="8">
        <f>+MINVU_Mes_Corriente!AU12*SALUD_Mes_Constante!$AP$1</f>
        <v>0</v>
      </c>
      <c r="AV12" s="8">
        <f>+MINVU_Mes_Corriente!AV12*SALUD_Mes_Constante!$AP$1</f>
        <v>0</v>
      </c>
      <c r="AW12" s="8">
        <f>+MINVU_Mes_Corriente!AW12*SALUD_Mes_Constante!$AP$1</f>
        <v>0</v>
      </c>
      <c r="AX12" s="8">
        <f>+MINVU_Mes_Corriente!AX12*SALUD_Mes_Constante!$AP$1</f>
        <v>0</v>
      </c>
      <c r="AY12" s="8">
        <f>+MINVU_Mes_Corriente!AY12*SALUD_Mes_Constante!$AP$1</f>
        <v>0</v>
      </c>
      <c r="AZ12" s="8">
        <f>+MINVU_Mes_Corriente!AZ12*SALUD_Mes_Constante!$AP$1</f>
        <v>0</v>
      </c>
      <c r="BA12" s="8">
        <f>+MINVU_Mes_Corriente!BA12*SALUD_Mes_Constante!$AP$1</f>
        <v>0</v>
      </c>
      <c r="BB12" s="9">
        <f t="shared" si="3"/>
        <v>0</v>
      </c>
      <c r="BC12" s="8">
        <f>+MINVU_Mes_Corriente!BC12*SALUD_Mes_Constante!$BC$1</f>
        <v>0</v>
      </c>
      <c r="BD12" s="8">
        <f>+MINVU_Mes_Corriente!BD12*SALUD_Mes_Constante!$BC$1</f>
        <v>0</v>
      </c>
      <c r="BE12" s="8">
        <f>+MINVU_Mes_Corriente!BE12*SALUD_Mes_Constante!$BC$1</f>
        <v>0</v>
      </c>
      <c r="BF12" s="8">
        <f>+MINVU_Mes_Corriente!BF12*SALUD_Mes_Constante!$BC$1</f>
        <v>0</v>
      </c>
      <c r="BG12" s="8">
        <f>+MINVU_Mes_Corriente!BG12*SALUD_Mes_Constante!$BC$1</f>
        <v>0</v>
      </c>
      <c r="BH12" s="8">
        <f>+MINVU_Mes_Corriente!BH12*SALUD_Mes_Constante!$BC$1</f>
        <v>0</v>
      </c>
      <c r="BI12" s="8">
        <f>+MINVU_Mes_Corriente!BI12*SALUD_Mes_Constante!$BC$1</f>
        <v>0</v>
      </c>
      <c r="BJ12" s="8">
        <f>+MINVU_Mes_Corriente!BJ12*SALUD_Mes_Constante!$BC$1</f>
        <v>0</v>
      </c>
      <c r="BK12" s="8">
        <f>+MINVU_Mes_Corriente!BK12*SALUD_Mes_Constante!$BC$1</f>
        <v>0</v>
      </c>
      <c r="BL12" s="8">
        <f>+MINVU_Mes_Corriente!BL12*SALUD_Mes_Constante!$BC$1</f>
        <v>0</v>
      </c>
      <c r="BM12" s="8">
        <f>+MINVU_Mes_Corriente!BM12*SALUD_Mes_Constante!$BC$1</f>
        <v>0</v>
      </c>
      <c r="BN12" s="8">
        <f>+MINVU_Mes_Corriente!BN12*SALUD_Mes_Constante!$BC$1</f>
        <v>0</v>
      </c>
      <c r="BO12" s="9">
        <f t="shared" si="4"/>
        <v>0</v>
      </c>
      <c r="BP12" s="8">
        <f>+MINVU_Mes_Corriente!BP12*SALUD_Mes_Constante!$BP$1</f>
        <v>0</v>
      </c>
      <c r="BQ12" s="8">
        <f>+MINVU_Mes_Corriente!BQ12*SALUD_Mes_Constante!$BP$1</f>
        <v>0</v>
      </c>
      <c r="BR12" s="8">
        <f>+MINVU_Mes_Corriente!BR12*SALUD_Mes_Constante!$BP$1</f>
        <v>0</v>
      </c>
      <c r="BS12" s="8">
        <f>+MINVU_Mes_Corriente!BS12*SALUD_Mes_Constante!$BP$1</f>
        <v>0</v>
      </c>
      <c r="BT12" s="8">
        <f>+MINVU_Mes_Corriente!BT12*SALUD_Mes_Constante!$BP$1</f>
        <v>0</v>
      </c>
      <c r="BU12" s="8">
        <f>+MINVU_Mes_Corriente!BU12*SALUD_Mes_Constante!$BP$1</f>
        <v>0</v>
      </c>
      <c r="BV12" s="8">
        <f>+MINVU_Mes_Corriente!BV12*SALUD_Mes_Constante!$BP$1</f>
        <v>0</v>
      </c>
      <c r="BW12" s="8">
        <f>+MINVU_Mes_Corriente!BW12*SALUD_Mes_Constante!$BP$1</f>
        <v>0</v>
      </c>
      <c r="BX12" s="8">
        <f>+MINVU_Mes_Corriente!BX12*SALUD_Mes_Constante!$BP$1</f>
        <v>0</v>
      </c>
      <c r="BY12" s="8">
        <f>+MINVU_Mes_Corriente!BY12*SALUD_Mes_Constante!$BP$1</f>
        <v>0</v>
      </c>
      <c r="BZ12" s="8">
        <f>+MINVU_Mes_Corriente!BZ12*SALUD_Mes_Constante!$BP$1</f>
        <v>0</v>
      </c>
      <c r="CA12" s="8">
        <f>+MINVU_Mes_Corriente!CA12*SALUD_Mes_Constante!$BP$1</f>
        <v>0</v>
      </c>
      <c r="CB12" s="9">
        <f t="shared" si="5"/>
        <v>0</v>
      </c>
      <c r="CC12" s="8">
        <f>+MINVU_Mes_Corriente!CC12*SALUD_Mes_Constante!$CC$1</f>
        <v>0</v>
      </c>
      <c r="CD12" s="8">
        <f>+MINVU_Mes_Corriente!CD12*SALUD_Mes_Constante!$CC$1</f>
        <v>0</v>
      </c>
      <c r="CE12" s="8">
        <f>+MINVU_Mes_Corriente!CE12*SALUD_Mes_Constante!$CC$1</f>
        <v>0</v>
      </c>
      <c r="CF12" s="8">
        <f>+MINVU_Mes_Corriente!CF12*SALUD_Mes_Constante!$CC$1</f>
        <v>0</v>
      </c>
      <c r="CG12" s="8">
        <f>+MINVU_Mes_Corriente!CG12*SALUD_Mes_Constante!$CC$1</f>
        <v>0</v>
      </c>
      <c r="CH12" s="8">
        <f>+MINVU_Mes_Corriente!CH12*SALUD_Mes_Constante!$CC$1</f>
        <v>0</v>
      </c>
      <c r="CI12" s="8">
        <f>+MINVU_Mes_Corriente!CI12*SALUD_Mes_Constante!$CC$1</f>
        <v>0</v>
      </c>
      <c r="CJ12" s="8">
        <f>+MINVU_Mes_Corriente!CJ12*SALUD_Mes_Constante!$CC$1</f>
        <v>0</v>
      </c>
      <c r="CK12" s="8">
        <f>+MINVU_Mes_Corriente!CK12*SALUD_Mes_Constante!$CC$1</f>
        <v>0</v>
      </c>
      <c r="CL12" s="8">
        <f>+MINVU_Mes_Corriente!CL12*SALUD_Mes_Constante!$CC$1</f>
        <v>0</v>
      </c>
      <c r="CM12" s="8">
        <f>+MINVU_Mes_Corriente!CM12*SALUD_Mes_Constante!$CC$1</f>
        <v>0</v>
      </c>
      <c r="CN12" s="8">
        <f>+MINVU_Mes_Corriente!CN12*SALUD_Mes_Constante!$CC$1</f>
        <v>0</v>
      </c>
      <c r="CO12" s="9">
        <f t="shared" si="6"/>
        <v>0</v>
      </c>
      <c r="CP12" s="8">
        <f>+MINVU_Mes_Corriente!CP12*SALUD_Mes_Constante!$CP$1</f>
        <v>0</v>
      </c>
      <c r="CQ12" s="8">
        <f>+MINVU_Mes_Corriente!CQ12*SALUD_Mes_Constante!$CP$1</f>
        <v>0</v>
      </c>
      <c r="CR12" s="8">
        <f>+MINVU_Mes_Corriente!CR12*SALUD_Mes_Constante!$CP$1</f>
        <v>0</v>
      </c>
      <c r="CS12" s="8">
        <f>+MINVU_Mes_Corriente!CS12*SALUD_Mes_Constante!$CP$1</f>
        <v>0</v>
      </c>
      <c r="CT12" s="8">
        <f>+MINVU_Mes_Corriente!CT12*SALUD_Mes_Constante!$CP$1</f>
        <v>0</v>
      </c>
      <c r="CU12" s="8">
        <f>+MINVU_Mes_Corriente!CU12*SALUD_Mes_Constante!$CP$1</f>
        <v>0</v>
      </c>
      <c r="CV12" s="8">
        <f>+MINVU_Mes_Corriente!CV12*SALUD_Mes_Constante!$CP$1</f>
        <v>0</v>
      </c>
      <c r="CW12" s="8">
        <f>+MINVU_Mes_Corriente!CW12*SALUD_Mes_Constante!$CP$1</f>
        <v>0</v>
      </c>
      <c r="CX12" s="8">
        <f>+MINVU_Mes_Corriente!CX12*SALUD_Mes_Constante!$CP$1</f>
        <v>0</v>
      </c>
      <c r="CY12" s="8">
        <f>+MINVU_Mes_Corriente!CY12*SALUD_Mes_Constante!$CP$1</f>
        <v>0</v>
      </c>
      <c r="CZ12" s="8">
        <f>+MINVU_Mes_Corriente!CZ12*SALUD_Mes_Constante!$CP$1</f>
        <v>0</v>
      </c>
      <c r="DA12" s="8">
        <f>+MINVU_Mes_Corriente!DA12*SALUD_Mes_Constante!$CP$1</f>
        <v>0</v>
      </c>
      <c r="DB12" s="9">
        <f t="shared" si="7"/>
        <v>0</v>
      </c>
      <c r="DC12" s="8">
        <f>+MINVU_Mes_Corriente!DC12*SALUD_Mes_Constante!$DC$1</f>
        <v>0</v>
      </c>
      <c r="DD12" s="8">
        <f>+MINVU_Mes_Corriente!DD12*SALUD_Mes_Constante!$DC$1</f>
        <v>0</v>
      </c>
      <c r="DE12" s="8">
        <f>+MINVU_Mes_Corriente!DE12*SALUD_Mes_Constante!$DC$1</f>
        <v>0</v>
      </c>
      <c r="DF12" s="8">
        <f>+MINVU_Mes_Corriente!DF12*SALUD_Mes_Constante!$DC$1</f>
        <v>0</v>
      </c>
      <c r="DG12" s="8">
        <f>+MINVU_Mes_Corriente!DG12*SALUD_Mes_Constante!$DC$1</f>
        <v>0</v>
      </c>
      <c r="DH12" s="8">
        <f>+MINVU_Mes_Corriente!DH12*SALUD_Mes_Constante!$DC$1</f>
        <v>0</v>
      </c>
      <c r="DI12" s="8">
        <f>+MINVU_Mes_Corriente!DI12*SALUD_Mes_Constante!$DC$1</f>
        <v>0</v>
      </c>
      <c r="DJ12" s="8">
        <f>+MINVU_Mes_Corriente!DJ12*SALUD_Mes_Constante!$DC$1</f>
        <v>0</v>
      </c>
      <c r="DK12" s="8">
        <f>+MINVU_Mes_Corriente!DK12*SALUD_Mes_Constante!$DC$1</f>
        <v>0</v>
      </c>
      <c r="DL12" s="8">
        <f>+MINVU_Mes_Corriente!DL12*SALUD_Mes_Constante!$DC$1</f>
        <v>0</v>
      </c>
      <c r="DM12" s="8">
        <f>+MINVU_Mes_Corriente!DM12*SALUD_Mes_Constante!$DC$1</f>
        <v>0</v>
      </c>
      <c r="DN12" s="8">
        <f>+MINVU_Mes_Corriente!DN12*SALUD_Mes_Constante!$DC$1</f>
        <v>0</v>
      </c>
      <c r="DO12" s="9">
        <f t="shared" si="8"/>
        <v>0</v>
      </c>
      <c r="DP12" s="8">
        <f>+MINVU_Mes_Corriente!DP12*SALUD_Mes_Constante!$DP$1</f>
        <v>0</v>
      </c>
      <c r="DQ12" s="8">
        <f>+MINVU_Mes_Corriente!DQ12*SALUD_Mes_Constante!$DP$1</f>
        <v>0</v>
      </c>
      <c r="DR12" s="8">
        <f>+MINVU_Mes_Corriente!DR12*SALUD_Mes_Constante!$DP$1</f>
        <v>0</v>
      </c>
      <c r="DS12" s="8">
        <f>+MINVU_Mes_Corriente!DS12*SALUD_Mes_Constante!$DP$1</f>
        <v>0</v>
      </c>
      <c r="DT12" s="8">
        <f>+MINVU_Mes_Corriente!DT12*SALUD_Mes_Constante!$DP$1</f>
        <v>0</v>
      </c>
      <c r="DU12" s="8">
        <f>+MINVU_Mes_Corriente!DU12*SALUD_Mes_Constante!$DP$1</f>
        <v>0</v>
      </c>
      <c r="DV12" s="8">
        <f>+MINVU_Mes_Corriente!DV12*SALUD_Mes_Constante!$DP$1</f>
        <v>0</v>
      </c>
      <c r="DW12" s="8">
        <f>+MINVU_Mes_Corriente!DW12*SALUD_Mes_Constante!$DP$1</f>
        <v>0</v>
      </c>
      <c r="DX12" s="8">
        <f>+MINVU_Mes_Corriente!DX12*SALUD_Mes_Constante!$DP$1</f>
        <v>0</v>
      </c>
      <c r="DY12" s="8">
        <f>+MINVU_Mes_Corriente!DY12*SALUD_Mes_Constante!$DP$1</f>
        <v>0</v>
      </c>
      <c r="DZ12" s="8">
        <f>+MINVU_Mes_Corriente!DZ12*SALUD_Mes_Constante!$DP$1</f>
        <v>0</v>
      </c>
      <c r="EA12" s="8">
        <f>+MINVU_Mes_Corriente!EA12*SALUD_Mes_Constante!$DP$1</f>
        <v>0</v>
      </c>
      <c r="EB12" s="9">
        <f t="shared" si="9"/>
        <v>0</v>
      </c>
      <c r="EC12" s="8">
        <f>+MINVU_Mes_Corriente!EC12*SALUD_Mes_Constante!$EC$1</f>
        <v>0</v>
      </c>
      <c r="ED12" s="8">
        <f>+MINVU_Mes_Corriente!ED12*SALUD_Mes_Constante!$EC$1</f>
        <v>0</v>
      </c>
      <c r="EE12" s="8">
        <f>+MINVU_Mes_Corriente!EE12*SALUD_Mes_Constante!$EC$1</f>
        <v>0</v>
      </c>
      <c r="EF12" s="8">
        <f>+MINVU_Mes_Corriente!EF12*SALUD_Mes_Constante!$EC$1</f>
        <v>0</v>
      </c>
      <c r="EG12" s="8">
        <f>+MINVU_Mes_Corriente!EG12*SALUD_Mes_Constante!$EC$1</f>
        <v>0</v>
      </c>
      <c r="EH12" s="8">
        <f>+MINVU_Mes_Corriente!EH12*SALUD_Mes_Constante!$EC$1</f>
        <v>0</v>
      </c>
      <c r="EI12" s="8">
        <f>+MINVU_Mes_Corriente!EI12*SALUD_Mes_Constante!$EC$1</f>
        <v>0</v>
      </c>
      <c r="EJ12" s="8">
        <f>+MINVU_Mes_Corriente!EJ12*SALUD_Mes_Constante!$EC$1</f>
        <v>0</v>
      </c>
      <c r="EK12" s="8">
        <f>+MINVU_Mes_Corriente!EK12*SALUD_Mes_Constante!$EC$1</f>
        <v>0</v>
      </c>
      <c r="EL12" s="8">
        <f>+MINVU_Mes_Corriente!EL12*SALUD_Mes_Constante!$EC$1</f>
        <v>0</v>
      </c>
      <c r="EM12" s="8">
        <f>+MINVU_Mes_Corriente!EM12*SALUD_Mes_Constante!$EC$1</f>
        <v>0</v>
      </c>
      <c r="EN12" s="8">
        <f>+MINVU_Mes_Corriente!EN12*SALUD_Mes_Constante!$EC$1</f>
        <v>0</v>
      </c>
      <c r="EO12" s="9">
        <f t="shared" si="10"/>
        <v>0</v>
      </c>
      <c r="EP12" s="8">
        <f>+MINVU_Mes_Corriente!EP12*SALUD_Mes_Constante!$EP$1</f>
        <v>0</v>
      </c>
      <c r="EQ12" s="8">
        <f>+MINVU_Mes_Corriente!EQ12*SALUD_Mes_Constante!$EP$1</f>
        <v>0</v>
      </c>
      <c r="ER12" s="8">
        <f>+MINVU_Mes_Corriente!ER12*SALUD_Mes_Constante!$EP$1</f>
        <v>0</v>
      </c>
      <c r="ES12" s="8">
        <f>+MINVU_Mes_Corriente!ES12*SALUD_Mes_Constante!$EP$1</f>
        <v>0</v>
      </c>
      <c r="ET12" s="8">
        <f>+MINVU_Mes_Corriente!ET12*SALUD_Mes_Constante!$EP$1</f>
        <v>0</v>
      </c>
      <c r="EU12" s="8">
        <f>+MINVU_Mes_Corriente!EU12*SALUD_Mes_Constante!$EP$1</f>
        <v>0</v>
      </c>
      <c r="EV12" s="8">
        <f>+MINVU_Mes_Corriente!EV12*SALUD_Mes_Constante!$EP$1</f>
        <v>0</v>
      </c>
      <c r="EW12" s="8">
        <f>+MINVU_Mes_Corriente!EW12*SALUD_Mes_Constante!$EP$1</f>
        <v>0</v>
      </c>
      <c r="EX12" s="8">
        <f>+MINVU_Mes_Corriente!EX12*SALUD_Mes_Constante!$EP$1</f>
        <v>0</v>
      </c>
      <c r="EY12" s="8">
        <f>+MINVU_Mes_Corriente!EY12*SALUD_Mes_Constante!$EP$1</f>
        <v>0</v>
      </c>
      <c r="EZ12" s="8">
        <f>+MINVU_Mes_Corriente!EZ12*SALUD_Mes_Constante!$EP$1</f>
        <v>0</v>
      </c>
      <c r="FA12" s="8">
        <f>+MINVU_Mes_Corriente!FA12*SALUD_Mes_Constante!$EP$1</f>
        <v>0</v>
      </c>
      <c r="FB12" s="9">
        <f t="shared" si="11"/>
        <v>0</v>
      </c>
      <c r="FC12" s="8">
        <f>+MINVU_Mes_Corriente!FC12*SALUD_Mes_Constante!$FC$1</f>
        <v>22899006</v>
      </c>
      <c r="FD12" s="8">
        <f>+MINVU_Mes_Corriente!FD12*SALUD_Mes_Constante!$FC$1</f>
        <v>22899006</v>
      </c>
      <c r="FE12" s="8">
        <f>+MINVU_Mes_Corriente!FE12*SALUD_Mes_Constante!$FC$1</f>
        <v>22899006</v>
      </c>
      <c r="FF12" s="8">
        <f>+MINVU_Mes_Corriente!FF12*SALUD_Mes_Constante!$FC$1</f>
        <v>22899006</v>
      </c>
      <c r="FG12" s="8">
        <f>+MINVU_Mes_Corriente!FG12*SALUD_Mes_Constante!$FC$1</f>
        <v>22899006</v>
      </c>
      <c r="FH12" s="8">
        <f>+MINVU_Mes_Corriente!FH12*SALUD_Mes_Constante!$FC$1</f>
        <v>22899006</v>
      </c>
      <c r="FI12" s="8">
        <f>+MINVU_Mes_Corriente!FI12*SALUD_Mes_Constante!$FC$1</f>
        <v>22899006</v>
      </c>
      <c r="FJ12" s="8"/>
      <c r="FK12" s="8"/>
      <c r="FL12" s="8"/>
      <c r="FM12" s="8"/>
      <c r="FN12" s="8"/>
      <c r="FO12" s="9">
        <f t="shared" si="12"/>
        <v>22899006</v>
      </c>
    </row>
    <row r="13" spans="2:171" ht="14.25" customHeight="1" x14ac:dyDescent="0.3">
      <c r="B13" s="7" t="s">
        <v>48</v>
      </c>
      <c r="C13" s="8">
        <f>+MINVU_Mes_Corriente!C13*SALUD_Mes_Constante!$C$1</f>
        <v>0</v>
      </c>
      <c r="D13" s="8">
        <f>+MINVU_Mes_Corriente!D13*SALUD_Mes_Constante!$C$1</f>
        <v>0</v>
      </c>
      <c r="E13" s="8">
        <f>+MINVU_Mes_Corriente!E13*SALUD_Mes_Constante!$C$1</f>
        <v>0</v>
      </c>
      <c r="F13" s="8">
        <f>+MINVU_Mes_Corriente!F13*SALUD_Mes_Constante!$C$1</f>
        <v>0</v>
      </c>
      <c r="G13" s="8">
        <f>+MINVU_Mes_Corriente!G13*SALUD_Mes_Constante!$C$1</f>
        <v>0</v>
      </c>
      <c r="H13" s="8">
        <f>+MINVU_Mes_Corriente!H13*SALUD_Mes_Constante!$C$1</f>
        <v>0</v>
      </c>
      <c r="I13" s="8">
        <f>+MINVU_Mes_Corriente!I13*SALUD_Mes_Constante!$C$1</f>
        <v>0</v>
      </c>
      <c r="J13" s="8">
        <f>+MINVU_Mes_Corriente!J13*SALUD_Mes_Constante!$C$1</f>
        <v>0</v>
      </c>
      <c r="K13" s="8">
        <f>+MINVU_Mes_Corriente!K13*SALUD_Mes_Constante!$C$1</f>
        <v>0</v>
      </c>
      <c r="L13" s="8">
        <f>+MINVU_Mes_Corriente!L13*SALUD_Mes_Constante!$C$1</f>
        <v>0</v>
      </c>
      <c r="M13" s="8">
        <f>+MINVU_Mes_Corriente!M13*SALUD_Mes_Constante!$C$1</f>
        <v>0</v>
      </c>
      <c r="N13" s="8">
        <f>+MINVU_Mes_Corriente!N13*SALUD_Mes_Constante!$C$1</f>
        <v>0</v>
      </c>
      <c r="O13" s="9">
        <f t="shared" si="0"/>
        <v>0</v>
      </c>
      <c r="P13" s="8">
        <f>+MINVU_Mes_Corriente!P13*SALUD_Mes_Constante!$P$1</f>
        <v>0</v>
      </c>
      <c r="Q13" s="8">
        <f>+MINVU_Mes_Corriente!Q13*SALUD_Mes_Constante!$P$1</f>
        <v>0</v>
      </c>
      <c r="R13" s="8">
        <f>+MINVU_Mes_Corriente!R13*SALUD_Mes_Constante!$P$1</f>
        <v>0</v>
      </c>
      <c r="S13" s="8">
        <f>+MINVU_Mes_Corriente!S13*SALUD_Mes_Constante!$P$1</f>
        <v>0</v>
      </c>
      <c r="T13" s="8">
        <f>+MINVU_Mes_Corriente!T13*SALUD_Mes_Constante!$P$1</f>
        <v>0</v>
      </c>
      <c r="U13" s="8">
        <f>+MINVU_Mes_Corriente!U13*SALUD_Mes_Constante!$P$1</f>
        <v>0</v>
      </c>
      <c r="V13" s="8">
        <f>+MINVU_Mes_Corriente!V13*SALUD_Mes_Constante!$P$1</f>
        <v>0</v>
      </c>
      <c r="W13" s="8">
        <f>+MINVU_Mes_Corriente!W13*SALUD_Mes_Constante!$P$1</f>
        <v>0</v>
      </c>
      <c r="X13" s="8">
        <f>+MINVU_Mes_Corriente!X13*SALUD_Mes_Constante!$P$1</f>
        <v>0</v>
      </c>
      <c r="Y13" s="8">
        <f>+MINVU_Mes_Corriente!Y13*SALUD_Mes_Constante!$P$1</f>
        <v>0</v>
      </c>
      <c r="Z13" s="8">
        <f>+MINVU_Mes_Corriente!Z13*SALUD_Mes_Constante!$P$1</f>
        <v>0</v>
      </c>
      <c r="AA13" s="8">
        <f>+MINVU_Mes_Corriente!AA13*SALUD_Mes_Constante!$P$1</f>
        <v>0</v>
      </c>
      <c r="AB13" s="9">
        <f t="shared" si="1"/>
        <v>0</v>
      </c>
      <c r="AC13" s="8">
        <f>+MINVU_Mes_Corriente!AC13*SALUD_Mes_Constante!$AC$1</f>
        <v>0</v>
      </c>
      <c r="AD13" s="8">
        <f>+MINVU_Mes_Corriente!AD13*SALUD_Mes_Constante!$AC$1</f>
        <v>0</v>
      </c>
      <c r="AE13" s="8">
        <f>+MINVU_Mes_Corriente!AE13*SALUD_Mes_Constante!$AC$1</f>
        <v>0</v>
      </c>
      <c r="AF13" s="8">
        <f>+MINVU_Mes_Corriente!AF13*SALUD_Mes_Constante!$AC$1</f>
        <v>0</v>
      </c>
      <c r="AG13" s="8">
        <f>+MINVU_Mes_Corriente!AG13*SALUD_Mes_Constante!$AC$1</f>
        <v>0</v>
      </c>
      <c r="AH13" s="8">
        <f>+MINVU_Mes_Corriente!AH13*SALUD_Mes_Constante!$AC$1</f>
        <v>0</v>
      </c>
      <c r="AI13" s="8">
        <f>+MINVU_Mes_Corriente!AI13*SALUD_Mes_Constante!$AC$1</f>
        <v>0</v>
      </c>
      <c r="AJ13" s="8">
        <f>+MINVU_Mes_Corriente!AJ13*SALUD_Mes_Constante!$AC$1</f>
        <v>0</v>
      </c>
      <c r="AK13" s="8">
        <f>+MINVU_Mes_Corriente!AK13*SALUD_Mes_Constante!$AC$1</f>
        <v>0</v>
      </c>
      <c r="AL13" s="8">
        <f>+MINVU_Mes_Corriente!AL13*SALUD_Mes_Constante!$AC$1</f>
        <v>0</v>
      </c>
      <c r="AM13" s="8">
        <f>+MINVU_Mes_Corriente!AM13*SALUD_Mes_Constante!$AC$1</f>
        <v>0</v>
      </c>
      <c r="AN13" s="8">
        <f>+MINVU_Mes_Corriente!AN13*SALUD_Mes_Constante!$AC$1</f>
        <v>0</v>
      </c>
      <c r="AO13" s="9">
        <f t="shared" si="2"/>
        <v>0</v>
      </c>
      <c r="AP13" s="8">
        <f>+MINVU_Mes_Corriente!AP13*SALUD_Mes_Constante!$AP$1</f>
        <v>0</v>
      </c>
      <c r="AQ13" s="8">
        <f>+MINVU_Mes_Corriente!AQ13*SALUD_Mes_Constante!$AP$1</f>
        <v>0</v>
      </c>
      <c r="AR13" s="8">
        <f>+MINVU_Mes_Corriente!AR13*SALUD_Mes_Constante!$AP$1</f>
        <v>0</v>
      </c>
      <c r="AS13" s="8">
        <f>+MINVU_Mes_Corriente!AS13*SALUD_Mes_Constante!$AP$1</f>
        <v>0</v>
      </c>
      <c r="AT13" s="8">
        <f>+MINVU_Mes_Corriente!AT13*SALUD_Mes_Constante!$AP$1</f>
        <v>0</v>
      </c>
      <c r="AU13" s="8">
        <f>+MINVU_Mes_Corriente!AU13*SALUD_Mes_Constante!$AP$1</f>
        <v>0</v>
      </c>
      <c r="AV13" s="8">
        <f>+MINVU_Mes_Corriente!AV13*SALUD_Mes_Constante!$AP$1</f>
        <v>0</v>
      </c>
      <c r="AW13" s="8">
        <f>+MINVU_Mes_Corriente!AW13*SALUD_Mes_Constante!$AP$1</f>
        <v>0</v>
      </c>
      <c r="AX13" s="8">
        <f>+MINVU_Mes_Corriente!AX13*SALUD_Mes_Constante!$AP$1</f>
        <v>0</v>
      </c>
      <c r="AY13" s="8">
        <f>+MINVU_Mes_Corriente!AY13*SALUD_Mes_Constante!$AP$1</f>
        <v>0</v>
      </c>
      <c r="AZ13" s="8">
        <f>+MINVU_Mes_Corriente!AZ13*SALUD_Mes_Constante!$AP$1</f>
        <v>0</v>
      </c>
      <c r="BA13" s="8">
        <f>+MINVU_Mes_Corriente!BA13*SALUD_Mes_Constante!$AP$1</f>
        <v>0</v>
      </c>
      <c r="BB13" s="9">
        <f t="shared" si="3"/>
        <v>0</v>
      </c>
      <c r="BC13" s="8">
        <f>+MINVU_Mes_Corriente!BC13*SALUD_Mes_Constante!$BC$1</f>
        <v>5913267.0447052633</v>
      </c>
      <c r="BD13" s="8">
        <f>+MINVU_Mes_Corriente!BD13*SALUD_Mes_Constante!$BC$1</f>
        <v>5913267.0447052633</v>
      </c>
      <c r="BE13" s="8">
        <f>+MINVU_Mes_Corriente!BE13*SALUD_Mes_Constante!$BC$1</f>
        <v>5913267.0447052633</v>
      </c>
      <c r="BF13" s="8">
        <f>+MINVU_Mes_Corriente!BF13*SALUD_Mes_Constante!$BC$1</f>
        <v>5913267.0447052633</v>
      </c>
      <c r="BG13" s="8">
        <f>+MINVU_Mes_Corriente!BG13*SALUD_Mes_Constante!$BC$1</f>
        <v>5913267.0447052633</v>
      </c>
      <c r="BH13" s="8">
        <f>+MINVU_Mes_Corriente!BH13*SALUD_Mes_Constante!$BC$1</f>
        <v>5913267.0447052633</v>
      </c>
      <c r="BI13" s="8">
        <f>+MINVU_Mes_Corriente!BI13*SALUD_Mes_Constante!$BC$1</f>
        <v>5913267.0447052633</v>
      </c>
      <c r="BJ13" s="8">
        <f>+MINVU_Mes_Corriente!BJ13*SALUD_Mes_Constante!$BC$1</f>
        <v>5913267.0447052633</v>
      </c>
      <c r="BK13" s="8">
        <f>+MINVU_Mes_Corriente!BK13*SALUD_Mes_Constante!$BC$1</f>
        <v>5913267.0447052633</v>
      </c>
      <c r="BL13" s="8">
        <f>+MINVU_Mes_Corriente!BL13*SALUD_Mes_Constante!$BC$1</f>
        <v>5913267.0447052633</v>
      </c>
      <c r="BM13" s="8">
        <f>+MINVU_Mes_Corriente!BM13*SALUD_Mes_Constante!$BC$1</f>
        <v>5913267.0447052633</v>
      </c>
      <c r="BN13" s="8">
        <f>+MINVU_Mes_Corriente!BN13*SALUD_Mes_Constante!$BC$1</f>
        <v>5913267.0447052633</v>
      </c>
      <c r="BO13" s="9">
        <f t="shared" si="4"/>
        <v>5913267.0447052633</v>
      </c>
      <c r="BP13" s="8">
        <f>+MINVU_Mes_Corriente!BP13*SALUD_Mes_Constante!$BP$1</f>
        <v>0</v>
      </c>
      <c r="BQ13" s="8">
        <f>+MINVU_Mes_Corriente!BQ13*SALUD_Mes_Constante!$BP$1</f>
        <v>0</v>
      </c>
      <c r="BR13" s="8">
        <f>+MINVU_Mes_Corriente!BR13*SALUD_Mes_Constante!$BP$1</f>
        <v>0</v>
      </c>
      <c r="BS13" s="8">
        <f>+MINVU_Mes_Corriente!BS13*SALUD_Mes_Constante!$BP$1</f>
        <v>0</v>
      </c>
      <c r="BT13" s="8">
        <f>+MINVU_Mes_Corriente!BT13*SALUD_Mes_Constante!$BP$1</f>
        <v>0</v>
      </c>
      <c r="BU13" s="8">
        <f>+MINVU_Mes_Corriente!BU13*SALUD_Mes_Constante!$BP$1</f>
        <v>0</v>
      </c>
      <c r="BV13" s="8">
        <f>+MINVU_Mes_Corriente!BV13*SALUD_Mes_Constante!$BP$1</f>
        <v>0</v>
      </c>
      <c r="BW13" s="8">
        <f>+MINVU_Mes_Corriente!BW13*SALUD_Mes_Constante!$BP$1</f>
        <v>0</v>
      </c>
      <c r="BX13" s="8">
        <f>+MINVU_Mes_Corriente!BX13*SALUD_Mes_Constante!$BP$1</f>
        <v>0</v>
      </c>
      <c r="BY13" s="8">
        <f>+MINVU_Mes_Corriente!BY13*SALUD_Mes_Constante!$BP$1</f>
        <v>0</v>
      </c>
      <c r="BZ13" s="8">
        <f>+MINVU_Mes_Corriente!BZ13*SALUD_Mes_Constante!$BP$1</f>
        <v>0</v>
      </c>
      <c r="CA13" s="8">
        <f>+MINVU_Mes_Corriente!CA13*SALUD_Mes_Constante!$BP$1</f>
        <v>0</v>
      </c>
      <c r="CB13" s="9">
        <f t="shared" si="5"/>
        <v>0</v>
      </c>
      <c r="CC13" s="8">
        <f>+MINVU_Mes_Corriente!CC13*SALUD_Mes_Constante!$CC$1</f>
        <v>0</v>
      </c>
      <c r="CD13" s="8">
        <f>+MINVU_Mes_Corriente!CD13*SALUD_Mes_Constante!$CC$1</f>
        <v>0</v>
      </c>
      <c r="CE13" s="8">
        <f>+MINVU_Mes_Corriente!CE13*SALUD_Mes_Constante!$CC$1</f>
        <v>0</v>
      </c>
      <c r="CF13" s="8">
        <f>+MINVU_Mes_Corriente!CF13*SALUD_Mes_Constante!$CC$1</f>
        <v>0</v>
      </c>
      <c r="CG13" s="8">
        <f>+MINVU_Mes_Corriente!CG13*SALUD_Mes_Constante!$CC$1</f>
        <v>0</v>
      </c>
      <c r="CH13" s="8">
        <f>+MINVU_Mes_Corriente!CH13*SALUD_Mes_Constante!$CC$1</f>
        <v>0</v>
      </c>
      <c r="CI13" s="8">
        <f>+MINVU_Mes_Corriente!CI13*SALUD_Mes_Constante!$CC$1</f>
        <v>0</v>
      </c>
      <c r="CJ13" s="8">
        <f>+MINVU_Mes_Corriente!CJ13*SALUD_Mes_Constante!$CC$1</f>
        <v>0</v>
      </c>
      <c r="CK13" s="8">
        <f>+MINVU_Mes_Corriente!CK13*SALUD_Mes_Constante!$CC$1</f>
        <v>0</v>
      </c>
      <c r="CL13" s="8">
        <f>+MINVU_Mes_Corriente!CL13*SALUD_Mes_Constante!$CC$1</f>
        <v>0</v>
      </c>
      <c r="CM13" s="8">
        <f>+MINVU_Mes_Corriente!CM13*SALUD_Mes_Constante!$CC$1</f>
        <v>0</v>
      </c>
      <c r="CN13" s="8">
        <f>+MINVU_Mes_Corriente!CN13*SALUD_Mes_Constante!$CC$1</f>
        <v>0</v>
      </c>
      <c r="CO13" s="9">
        <f t="shared" si="6"/>
        <v>0</v>
      </c>
      <c r="CP13" s="8">
        <f>+MINVU_Mes_Corriente!CP13*SALUD_Mes_Constante!$CP$1</f>
        <v>0</v>
      </c>
      <c r="CQ13" s="8">
        <f>+MINVU_Mes_Corriente!CQ13*SALUD_Mes_Constante!$CP$1</f>
        <v>0</v>
      </c>
      <c r="CR13" s="8">
        <f>+MINVU_Mes_Corriente!CR13*SALUD_Mes_Constante!$CP$1</f>
        <v>0</v>
      </c>
      <c r="CS13" s="8">
        <f>+MINVU_Mes_Corriente!CS13*SALUD_Mes_Constante!$CP$1</f>
        <v>0</v>
      </c>
      <c r="CT13" s="8">
        <f>+MINVU_Mes_Corriente!CT13*SALUD_Mes_Constante!$CP$1</f>
        <v>0</v>
      </c>
      <c r="CU13" s="8">
        <f>+MINVU_Mes_Corriente!CU13*SALUD_Mes_Constante!$CP$1</f>
        <v>0</v>
      </c>
      <c r="CV13" s="8">
        <f>+MINVU_Mes_Corriente!CV13*SALUD_Mes_Constante!$CP$1</f>
        <v>0</v>
      </c>
      <c r="CW13" s="8">
        <f>+MINVU_Mes_Corriente!CW13*SALUD_Mes_Constante!$CP$1</f>
        <v>0</v>
      </c>
      <c r="CX13" s="8">
        <f>+MINVU_Mes_Corriente!CX13*SALUD_Mes_Constante!$CP$1</f>
        <v>0</v>
      </c>
      <c r="CY13" s="8">
        <f>+MINVU_Mes_Corriente!CY13*SALUD_Mes_Constante!$CP$1</f>
        <v>0</v>
      </c>
      <c r="CZ13" s="8">
        <f>+MINVU_Mes_Corriente!CZ13*SALUD_Mes_Constante!$CP$1</f>
        <v>0</v>
      </c>
      <c r="DA13" s="8">
        <f>+MINVU_Mes_Corriente!DA13*SALUD_Mes_Constante!$CP$1</f>
        <v>0</v>
      </c>
      <c r="DB13" s="9">
        <f t="shared" si="7"/>
        <v>0</v>
      </c>
      <c r="DC13" s="8">
        <f>+MINVU_Mes_Corriente!DC13*SALUD_Mes_Constante!$DC$1</f>
        <v>0</v>
      </c>
      <c r="DD13" s="8">
        <f>+MINVU_Mes_Corriente!DD13*SALUD_Mes_Constante!$DC$1</f>
        <v>0</v>
      </c>
      <c r="DE13" s="8">
        <f>+MINVU_Mes_Corriente!DE13*SALUD_Mes_Constante!$DC$1</f>
        <v>0</v>
      </c>
      <c r="DF13" s="8">
        <f>+MINVU_Mes_Corriente!DF13*SALUD_Mes_Constante!$DC$1</f>
        <v>0</v>
      </c>
      <c r="DG13" s="8">
        <f>+MINVU_Mes_Corriente!DG13*SALUD_Mes_Constante!$DC$1</f>
        <v>0</v>
      </c>
      <c r="DH13" s="8">
        <f>+MINVU_Mes_Corriente!DH13*SALUD_Mes_Constante!$DC$1</f>
        <v>0</v>
      </c>
      <c r="DI13" s="8">
        <f>+MINVU_Mes_Corriente!DI13*SALUD_Mes_Constante!$DC$1</f>
        <v>0</v>
      </c>
      <c r="DJ13" s="8">
        <f>+MINVU_Mes_Corriente!DJ13*SALUD_Mes_Constante!$DC$1</f>
        <v>0</v>
      </c>
      <c r="DK13" s="8">
        <f>+MINVU_Mes_Corriente!DK13*SALUD_Mes_Constante!$DC$1</f>
        <v>0</v>
      </c>
      <c r="DL13" s="8">
        <f>+MINVU_Mes_Corriente!DL13*SALUD_Mes_Constante!$DC$1</f>
        <v>0</v>
      </c>
      <c r="DM13" s="8">
        <f>+MINVU_Mes_Corriente!DM13*SALUD_Mes_Constante!$DC$1</f>
        <v>0</v>
      </c>
      <c r="DN13" s="8">
        <f>+MINVU_Mes_Corriente!DN13*SALUD_Mes_Constante!$DC$1</f>
        <v>0</v>
      </c>
      <c r="DO13" s="9">
        <f t="shared" si="8"/>
        <v>0</v>
      </c>
      <c r="DP13" s="8">
        <f>+MINVU_Mes_Corriente!DP13*SALUD_Mes_Constante!$DP$1</f>
        <v>0</v>
      </c>
      <c r="DQ13" s="8">
        <f>+MINVU_Mes_Corriente!DQ13*SALUD_Mes_Constante!$DP$1</f>
        <v>0</v>
      </c>
      <c r="DR13" s="8">
        <f>+MINVU_Mes_Corriente!DR13*SALUD_Mes_Constante!$DP$1</f>
        <v>0</v>
      </c>
      <c r="DS13" s="8">
        <f>+MINVU_Mes_Corriente!DS13*SALUD_Mes_Constante!$DP$1</f>
        <v>0</v>
      </c>
      <c r="DT13" s="8">
        <f>+MINVU_Mes_Corriente!DT13*SALUD_Mes_Constante!$DP$1</f>
        <v>0</v>
      </c>
      <c r="DU13" s="8">
        <f>+MINVU_Mes_Corriente!DU13*SALUD_Mes_Constante!$DP$1</f>
        <v>0</v>
      </c>
      <c r="DV13" s="8">
        <f>+MINVU_Mes_Corriente!DV13*SALUD_Mes_Constante!$DP$1</f>
        <v>0</v>
      </c>
      <c r="DW13" s="8">
        <f>+MINVU_Mes_Corriente!DW13*SALUD_Mes_Constante!$DP$1</f>
        <v>0</v>
      </c>
      <c r="DX13" s="8">
        <f>+MINVU_Mes_Corriente!DX13*SALUD_Mes_Constante!$DP$1</f>
        <v>0</v>
      </c>
      <c r="DY13" s="8">
        <f>+MINVU_Mes_Corriente!DY13*SALUD_Mes_Constante!$DP$1</f>
        <v>0</v>
      </c>
      <c r="DZ13" s="8">
        <f>+MINVU_Mes_Corriente!DZ13*SALUD_Mes_Constante!$DP$1</f>
        <v>0</v>
      </c>
      <c r="EA13" s="8">
        <f>+MINVU_Mes_Corriente!EA13*SALUD_Mes_Constante!$DP$1</f>
        <v>0</v>
      </c>
      <c r="EB13" s="9">
        <f t="shared" si="9"/>
        <v>0</v>
      </c>
      <c r="EC13" s="8">
        <f>+MINVU_Mes_Corriente!EC13*SALUD_Mes_Constante!$EC$1</f>
        <v>0</v>
      </c>
      <c r="ED13" s="8">
        <f>+MINVU_Mes_Corriente!ED13*SALUD_Mes_Constante!$EC$1</f>
        <v>0</v>
      </c>
      <c r="EE13" s="8">
        <f>+MINVU_Mes_Corriente!EE13*SALUD_Mes_Constante!$EC$1</f>
        <v>0</v>
      </c>
      <c r="EF13" s="8">
        <f>+MINVU_Mes_Corriente!EF13*SALUD_Mes_Constante!$EC$1</f>
        <v>0</v>
      </c>
      <c r="EG13" s="8">
        <f>+MINVU_Mes_Corriente!EG13*SALUD_Mes_Constante!$EC$1</f>
        <v>0</v>
      </c>
      <c r="EH13" s="8">
        <f>+MINVU_Mes_Corriente!EH13*SALUD_Mes_Constante!$EC$1</f>
        <v>0</v>
      </c>
      <c r="EI13" s="8">
        <f>+MINVU_Mes_Corriente!EI13*SALUD_Mes_Constante!$EC$1</f>
        <v>0</v>
      </c>
      <c r="EJ13" s="8">
        <f>+MINVU_Mes_Corriente!EJ13*SALUD_Mes_Constante!$EC$1</f>
        <v>0</v>
      </c>
      <c r="EK13" s="8">
        <f>+MINVU_Mes_Corriente!EK13*SALUD_Mes_Constante!$EC$1</f>
        <v>0</v>
      </c>
      <c r="EL13" s="8">
        <f>+MINVU_Mes_Corriente!EL13*SALUD_Mes_Constante!$EC$1</f>
        <v>0</v>
      </c>
      <c r="EM13" s="8">
        <f>+MINVU_Mes_Corriente!EM13*SALUD_Mes_Constante!$EC$1</f>
        <v>0</v>
      </c>
      <c r="EN13" s="8">
        <f>+MINVU_Mes_Corriente!EN13*SALUD_Mes_Constante!$EC$1</f>
        <v>0</v>
      </c>
      <c r="EO13" s="9">
        <f t="shared" si="10"/>
        <v>0</v>
      </c>
      <c r="EP13" s="8">
        <f>+MINVU_Mes_Corriente!EP13*SALUD_Mes_Constante!$EP$1</f>
        <v>0</v>
      </c>
      <c r="EQ13" s="8">
        <f>+MINVU_Mes_Corriente!EQ13*SALUD_Mes_Constante!$EP$1</f>
        <v>0</v>
      </c>
      <c r="ER13" s="8">
        <f>+MINVU_Mes_Corriente!ER13*SALUD_Mes_Constante!$EP$1</f>
        <v>0</v>
      </c>
      <c r="ES13" s="8">
        <f>+MINVU_Mes_Corriente!ES13*SALUD_Mes_Constante!$EP$1</f>
        <v>0</v>
      </c>
      <c r="ET13" s="8">
        <f>+MINVU_Mes_Corriente!ET13*SALUD_Mes_Constante!$EP$1</f>
        <v>0</v>
      </c>
      <c r="EU13" s="8">
        <f>+MINVU_Mes_Corriente!EU13*SALUD_Mes_Constante!$EP$1</f>
        <v>0</v>
      </c>
      <c r="EV13" s="8">
        <f>+MINVU_Mes_Corriente!EV13*SALUD_Mes_Constante!$EP$1</f>
        <v>0</v>
      </c>
      <c r="EW13" s="8">
        <f>+MINVU_Mes_Corriente!EW13*SALUD_Mes_Constante!$EP$1</f>
        <v>0</v>
      </c>
      <c r="EX13" s="8">
        <f>+MINVU_Mes_Corriente!EX13*SALUD_Mes_Constante!$EP$1</f>
        <v>0</v>
      </c>
      <c r="EY13" s="8">
        <f>+MINVU_Mes_Corriente!EY13*SALUD_Mes_Constante!$EP$1</f>
        <v>0</v>
      </c>
      <c r="EZ13" s="8">
        <f>+MINVU_Mes_Corriente!EZ13*SALUD_Mes_Constante!$EP$1</f>
        <v>0</v>
      </c>
      <c r="FA13" s="8">
        <f>+MINVU_Mes_Corriente!FA13*SALUD_Mes_Constante!$EP$1</f>
        <v>0</v>
      </c>
      <c r="FB13" s="9">
        <f t="shared" si="11"/>
        <v>0</v>
      </c>
      <c r="FC13" s="8">
        <f>+MINVU_Mes_Corriente!FC13*SALUD_Mes_Constante!$FC$1</f>
        <v>3191908</v>
      </c>
      <c r="FD13" s="8">
        <f>+MINVU_Mes_Corriente!FD13*SALUD_Mes_Constante!$FC$1</f>
        <v>3191908</v>
      </c>
      <c r="FE13" s="8">
        <f>+MINVU_Mes_Corriente!FE13*SALUD_Mes_Constante!$FC$1</f>
        <v>3191908</v>
      </c>
      <c r="FF13" s="8">
        <f>+MINVU_Mes_Corriente!FF13*SALUD_Mes_Constante!$FC$1</f>
        <v>3191908</v>
      </c>
      <c r="FG13" s="8">
        <f>+MINVU_Mes_Corriente!FG13*SALUD_Mes_Constante!$FC$1</f>
        <v>3191908</v>
      </c>
      <c r="FH13" s="8">
        <f>+MINVU_Mes_Corriente!FH13*SALUD_Mes_Constante!$FC$1</f>
        <v>3191908</v>
      </c>
      <c r="FI13" s="8">
        <f>+MINVU_Mes_Corriente!FI13*SALUD_Mes_Constante!$FC$1</f>
        <v>3191908</v>
      </c>
      <c r="FJ13" s="8"/>
      <c r="FK13" s="8"/>
      <c r="FL13" s="8"/>
      <c r="FM13" s="8"/>
      <c r="FN13" s="8"/>
      <c r="FO13" s="9">
        <f t="shared" si="12"/>
        <v>3191908</v>
      </c>
    </row>
    <row r="14" spans="2:171" ht="14.25" customHeight="1" x14ac:dyDescent="0.3">
      <c r="B14" s="7" t="s">
        <v>49</v>
      </c>
      <c r="C14" s="8">
        <f>+MINVU_Mes_Corriente!C14*SALUD_Mes_Constante!$C$1</f>
        <v>0</v>
      </c>
      <c r="D14" s="8">
        <f>+MINVU_Mes_Corriente!D14*SALUD_Mes_Constante!$C$1</f>
        <v>0</v>
      </c>
      <c r="E14" s="8">
        <f>+MINVU_Mes_Corriente!E14*SALUD_Mes_Constante!$C$1</f>
        <v>0</v>
      </c>
      <c r="F14" s="8">
        <f>+MINVU_Mes_Corriente!F14*SALUD_Mes_Constante!$C$1</f>
        <v>0</v>
      </c>
      <c r="G14" s="8">
        <f>+MINVU_Mes_Corriente!G14*SALUD_Mes_Constante!$C$1</f>
        <v>0</v>
      </c>
      <c r="H14" s="8">
        <f>+MINVU_Mes_Corriente!H14*SALUD_Mes_Constante!$C$1</f>
        <v>0</v>
      </c>
      <c r="I14" s="8">
        <f>+MINVU_Mes_Corriente!I14*SALUD_Mes_Constante!$C$1</f>
        <v>0</v>
      </c>
      <c r="J14" s="8">
        <f>+MINVU_Mes_Corriente!J14*SALUD_Mes_Constante!$C$1</f>
        <v>0</v>
      </c>
      <c r="K14" s="8">
        <f>+MINVU_Mes_Corriente!K14*SALUD_Mes_Constante!$C$1</f>
        <v>0</v>
      </c>
      <c r="L14" s="8">
        <f>+MINVU_Mes_Corriente!L14*SALUD_Mes_Constante!$C$1</f>
        <v>0</v>
      </c>
      <c r="M14" s="8">
        <f>+MINVU_Mes_Corriente!M14*SALUD_Mes_Constante!$C$1</f>
        <v>0</v>
      </c>
      <c r="N14" s="8">
        <f>+MINVU_Mes_Corriente!N14*SALUD_Mes_Constante!$C$1</f>
        <v>0</v>
      </c>
      <c r="O14" s="9">
        <f t="shared" si="0"/>
        <v>0</v>
      </c>
      <c r="P14" s="8">
        <f>+MINVU_Mes_Corriente!P14*SALUD_Mes_Constante!$P$1</f>
        <v>0</v>
      </c>
      <c r="Q14" s="8">
        <f>+MINVU_Mes_Corriente!Q14*SALUD_Mes_Constante!$P$1</f>
        <v>0</v>
      </c>
      <c r="R14" s="8">
        <f>+MINVU_Mes_Corriente!R14*SALUD_Mes_Constante!$P$1</f>
        <v>0</v>
      </c>
      <c r="S14" s="8">
        <f>+MINVU_Mes_Corriente!S14*SALUD_Mes_Constante!$P$1</f>
        <v>0</v>
      </c>
      <c r="T14" s="8">
        <f>+MINVU_Mes_Corriente!T14*SALUD_Mes_Constante!$P$1</f>
        <v>0</v>
      </c>
      <c r="U14" s="8">
        <f>+MINVU_Mes_Corriente!U14*SALUD_Mes_Constante!$P$1</f>
        <v>0</v>
      </c>
      <c r="V14" s="8">
        <f>+MINVU_Mes_Corriente!V14*SALUD_Mes_Constante!$P$1</f>
        <v>0</v>
      </c>
      <c r="W14" s="8">
        <f>+MINVU_Mes_Corriente!W14*SALUD_Mes_Constante!$P$1</f>
        <v>0</v>
      </c>
      <c r="X14" s="8">
        <f>+MINVU_Mes_Corriente!X14*SALUD_Mes_Constante!$P$1</f>
        <v>0</v>
      </c>
      <c r="Y14" s="8">
        <f>+MINVU_Mes_Corriente!Y14*SALUD_Mes_Constante!$P$1</f>
        <v>0</v>
      </c>
      <c r="Z14" s="8">
        <f>+MINVU_Mes_Corriente!Z14*SALUD_Mes_Constante!$P$1</f>
        <v>0</v>
      </c>
      <c r="AA14" s="8">
        <f>+MINVU_Mes_Corriente!AA14*SALUD_Mes_Constante!$P$1</f>
        <v>0</v>
      </c>
      <c r="AB14" s="9">
        <f t="shared" si="1"/>
        <v>0</v>
      </c>
      <c r="AC14" s="8">
        <f>+MINVU_Mes_Corriente!AC14*SALUD_Mes_Constante!$AC$1</f>
        <v>0</v>
      </c>
      <c r="AD14" s="8">
        <f>+MINVU_Mes_Corriente!AD14*SALUD_Mes_Constante!$AC$1</f>
        <v>0</v>
      </c>
      <c r="AE14" s="8">
        <f>+MINVU_Mes_Corriente!AE14*SALUD_Mes_Constante!$AC$1</f>
        <v>0</v>
      </c>
      <c r="AF14" s="8">
        <f>+MINVU_Mes_Corriente!AF14*SALUD_Mes_Constante!$AC$1</f>
        <v>0</v>
      </c>
      <c r="AG14" s="8">
        <f>+MINVU_Mes_Corriente!AG14*SALUD_Mes_Constante!$AC$1</f>
        <v>0</v>
      </c>
      <c r="AH14" s="8">
        <f>+MINVU_Mes_Corriente!AH14*SALUD_Mes_Constante!$AC$1</f>
        <v>0</v>
      </c>
      <c r="AI14" s="8">
        <f>+MINVU_Mes_Corriente!AI14*SALUD_Mes_Constante!$AC$1</f>
        <v>0</v>
      </c>
      <c r="AJ14" s="8">
        <f>+MINVU_Mes_Corriente!AJ14*SALUD_Mes_Constante!$AC$1</f>
        <v>0</v>
      </c>
      <c r="AK14" s="8">
        <f>+MINVU_Mes_Corriente!AK14*SALUD_Mes_Constante!$AC$1</f>
        <v>0</v>
      </c>
      <c r="AL14" s="8">
        <f>+MINVU_Mes_Corriente!AL14*SALUD_Mes_Constante!$AC$1</f>
        <v>0</v>
      </c>
      <c r="AM14" s="8">
        <f>+MINVU_Mes_Corriente!AM14*SALUD_Mes_Constante!$AC$1</f>
        <v>0</v>
      </c>
      <c r="AN14" s="8">
        <f>+MINVU_Mes_Corriente!AN14*SALUD_Mes_Constante!$AC$1</f>
        <v>0</v>
      </c>
      <c r="AO14" s="9">
        <f t="shared" si="2"/>
        <v>0</v>
      </c>
      <c r="AP14" s="8">
        <f>+MINVU_Mes_Corriente!AP14*SALUD_Mes_Constante!$AP$1</f>
        <v>0</v>
      </c>
      <c r="AQ14" s="8">
        <f>+MINVU_Mes_Corriente!AQ14*SALUD_Mes_Constante!$AP$1</f>
        <v>0</v>
      </c>
      <c r="AR14" s="8">
        <f>+MINVU_Mes_Corriente!AR14*SALUD_Mes_Constante!$AP$1</f>
        <v>0</v>
      </c>
      <c r="AS14" s="8">
        <f>+MINVU_Mes_Corriente!AS14*SALUD_Mes_Constante!$AP$1</f>
        <v>0</v>
      </c>
      <c r="AT14" s="8">
        <f>+MINVU_Mes_Corriente!AT14*SALUD_Mes_Constante!$AP$1</f>
        <v>0</v>
      </c>
      <c r="AU14" s="8">
        <f>+MINVU_Mes_Corriente!AU14*SALUD_Mes_Constante!$AP$1</f>
        <v>0</v>
      </c>
      <c r="AV14" s="8">
        <f>+MINVU_Mes_Corriente!AV14*SALUD_Mes_Constante!$AP$1</f>
        <v>0</v>
      </c>
      <c r="AW14" s="8">
        <f>+MINVU_Mes_Corriente!AW14*SALUD_Mes_Constante!$AP$1</f>
        <v>0</v>
      </c>
      <c r="AX14" s="8">
        <f>+MINVU_Mes_Corriente!AX14*SALUD_Mes_Constante!$AP$1</f>
        <v>0</v>
      </c>
      <c r="AY14" s="8">
        <f>+MINVU_Mes_Corriente!AY14*SALUD_Mes_Constante!$AP$1</f>
        <v>0</v>
      </c>
      <c r="AZ14" s="8">
        <f>+MINVU_Mes_Corriente!AZ14*SALUD_Mes_Constante!$AP$1</f>
        <v>0</v>
      </c>
      <c r="BA14" s="8">
        <f>+MINVU_Mes_Corriente!BA14*SALUD_Mes_Constante!$AP$1</f>
        <v>0</v>
      </c>
      <c r="BB14" s="9">
        <f t="shared" si="3"/>
        <v>0</v>
      </c>
      <c r="BC14" s="8">
        <f>+MINVU_Mes_Corriente!BC14*SALUD_Mes_Constante!$BC$1</f>
        <v>0</v>
      </c>
      <c r="BD14" s="8">
        <f>+MINVU_Mes_Corriente!BD14*SALUD_Mes_Constante!$BC$1</f>
        <v>0</v>
      </c>
      <c r="BE14" s="8">
        <f>+MINVU_Mes_Corriente!BE14*SALUD_Mes_Constante!$BC$1</f>
        <v>0</v>
      </c>
      <c r="BF14" s="8">
        <f>+MINVU_Mes_Corriente!BF14*SALUD_Mes_Constante!$BC$1</f>
        <v>0</v>
      </c>
      <c r="BG14" s="8">
        <f>+MINVU_Mes_Corriente!BG14*SALUD_Mes_Constante!$BC$1</f>
        <v>0</v>
      </c>
      <c r="BH14" s="8">
        <f>+MINVU_Mes_Corriente!BH14*SALUD_Mes_Constante!$BC$1</f>
        <v>0</v>
      </c>
      <c r="BI14" s="8">
        <f>+MINVU_Mes_Corriente!BI14*SALUD_Mes_Constante!$BC$1</f>
        <v>0</v>
      </c>
      <c r="BJ14" s="8">
        <f>+MINVU_Mes_Corriente!BJ14*SALUD_Mes_Constante!$BC$1</f>
        <v>0</v>
      </c>
      <c r="BK14" s="8">
        <f>+MINVU_Mes_Corriente!BK14*SALUD_Mes_Constante!$BC$1</f>
        <v>0</v>
      </c>
      <c r="BL14" s="8">
        <f>+MINVU_Mes_Corriente!BL14*SALUD_Mes_Constante!$BC$1</f>
        <v>0</v>
      </c>
      <c r="BM14" s="8">
        <f>+MINVU_Mes_Corriente!BM14*SALUD_Mes_Constante!$BC$1</f>
        <v>0</v>
      </c>
      <c r="BN14" s="8">
        <f>+MINVU_Mes_Corriente!BN14*SALUD_Mes_Constante!$BC$1</f>
        <v>0</v>
      </c>
      <c r="BO14" s="9">
        <f t="shared" si="4"/>
        <v>0</v>
      </c>
      <c r="BP14" s="8">
        <f>+MINVU_Mes_Corriente!BP14*SALUD_Mes_Constante!$BP$1</f>
        <v>0</v>
      </c>
      <c r="BQ14" s="8">
        <f>+MINVU_Mes_Corriente!BQ14*SALUD_Mes_Constante!$BP$1</f>
        <v>0</v>
      </c>
      <c r="BR14" s="8">
        <f>+MINVU_Mes_Corriente!BR14*SALUD_Mes_Constante!$BP$1</f>
        <v>0</v>
      </c>
      <c r="BS14" s="8">
        <f>+MINVU_Mes_Corriente!BS14*SALUD_Mes_Constante!$BP$1</f>
        <v>0</v>
      </c>
      <c r="BT14" s="8">
        <f>+MINVU_Mes_Corriente!BT14*SALUD_Mes_Constante!$BP$1</f>
        <v>0</v>
      </c>
      <c r="BU14" s="8">
        <f>+MINVU_Mes_Corriente!BU14*SALUD_Mes_Constante!$BP$1</f>
        <v>0</v>
      </c>
      <c r="BV14" s="8">
        <f>+MINVU_Mes_Corriente!BV14*SALUD_Mes_Constante!$BP$1</f>
        <v>0</v>
      </c>
      <c r="BW14" s="8">
        <f>+MINVU_Mes_Corriente!BW14*SALUD_Mes_Constante!$BP$1</f>
        <v>0</v>
      </c>
      <c r="BX14" s="8">
        <f>+MINVU_Mes_Corriente!BX14*SALUD_Mes_Constante!$BP$1</f>
        <v>0</v>
      </c>
      <c r="BY14" s="8">
        <f>+MINVU_Mes_Corriente!BY14*SALUD_Mes_Constante!$BP$1</f>
        <v>0</v>
      </c>
      <c r="BZ14" s="8">
        <f>+MINVU_Mes_Corriente!BZ14*SALUD_Mes_Constante!$BP$1</f>
        <v>0</v>
      </c>
      <c r="CA14" s="8">
        <f>+MINVU_Mes_Corriente!CA14*SALUD_Mes_Constante!$BP$1</f>
        <v>0</v>
      </c>
      <c r="CB14" s="9">
        <f t="shared" si="5"/>
        <v>0</v>
      </c>
      <c r="CC14" s="8">
        <f>+MINVU_Mes_Corriente!CC14*SALUD_Mes_Constante!$CC$1</f>
        <v>0</v>
      </c>
      <c r="CD14" s="8">
        <f>+MINVU_Mes_Corriente!CD14*SALUD_Mes_Constante!$CC$1</f>
        <v>0</v>
      </c>
      <c r="CE14" s="8">
        <f>+MINVU_Mes_Corriente!CE14*SALUD_Mes_Constante!$CC$1</f>
        <v>0</v>
      </c>
      <c r="CF14" s="8">
        <f>+MINVU_Mes_Corriente!CF14*SALUD_Mes_Constante!$CC$1</f>
        <v>0</v>
      </c>
      <c r="CG14" s="8">
        <f>+MINVU_Mes_Corriente!CG14*SALUD_Mes_Constante!$CC$1</f>
        <v>0</v>
      </c>
      <c r="CH14" s="8">
        <f>+MINVU_Mes_Corriente!CH14*SALUD_Mes_Constante!$CC$1</f>
        <v>0</v>
      </c>
      <c r="CI14" s="8">
        <f>+MINVU_Mes_Corriente!CI14*SALUD_Mes_Constante!$CC$1</f>
        <v>0</v>
      </c>
      <c r="CJ14" s="8">
        <f>+MINVU_Mes_Corriente!CJ14*SALUD_Mes_Constante!$CC$1</f>
        <v>0</v>
      </c>
      <c r="CK14" s="8">
        <f>+MINVU_Mes_Corriente!CK14*SALUD_Mes_Constante!$CC$1</f>
        <v>0</v>
      </c>
      <c r="CL14" s="8">
        <f>+MINVU_Mes_Corriente!CL14*SALUD_Mes_Constante!$CC$1</f>
        <v>0</v>
      </c>
      <c r="CM14" s="8">
        <f>+MINVU_Mes_Corriente!CM14*SALUD_Mes_Constante!$CC$1</f>
        <v>0</v>
      </c>
      <c r="CN14" s="8">
        <f>+MINVU_Mes_Corriente!CN14*SALUD_Mes_Constante!$CC$1</f>
        <v>0</v>
      </c>
      <c r="CO14" s="9">
        <f t="shared" si="6"/>
        <v>0</v>
      </c>
      <c r="CP14" s="8">
        <f>+MINVU_Mes_Corriente!CP14*SALUD_Mes_Constante!$CP$1</f>
        <v>0</v>
      </c>
      <c r="CQ14" s="8">
        <f>+MINVU_Mes_Corriente!CQ14*SALUD_Mes_Constante!$CP$1</f>
        <v>0</v>
      </c>
      <c r="CR14" s="8">
        <f>+MINVU_Mes_Corriente!CR14*SALUD_Mes_Constante!$CP$1</f>
        <v>0</v>
      </c>
      <c r="CS14" s="8">
        <f>+MINVU_Mes_Corriente!CS14*SALUD_Mes_Constante!$CP$1</f>
        <v>0</v>
      </c>
      <c r="CT14" s="8">
        <f>+MINVU_Mes_Corriente!CT14*SALUD_Mes_Constante!$CP$1</f>
        <v>0</v>
      </c>
      <c r="CU14" s="8">
        <f>+MINVU_Mes_Corriente!CU14*SALUD_Mes_Constante!$CP$1</f>
        <v>0</v>
      </c>
      <c r="CV14" s="8">
        <f>+MINVU_Mes_Corriente!CV14*SALUD_Mes_Constante!$CP$1</f>
        <v>0</v>
      </c>
      <c r="CW14" s="8">
        <f>+MINVU_Mes_Corriente!CW14*SALUD_Mes_Constante!$CP$1</f>
        <v>0</v>
      </c>
      <c r="CX14" s="8">
        <f>+MINVU_Mes_Corriente!CX14*SALUD_Mes_Constante!$CP$1</f>
        <v>0</v>
      </c>
      <c r="CY14" s="8">
        <f>+MINVU_Mes_Corriente!CY14*SALUD_Mes_Constante!$CP$1</f>
        <v>0</v>
      </c>
      <c r="CZ14" s="8">
        <f>+MINVU_Mes_Corriente!CZ14*SALUD_Mes_Constante!$CP$1</f>
        <v>0</v>
      </c>
      <c r="DA14" s="8">
        <f>+MINVU_Mes_Corriente!DA14*SALUD_Mes_Constante!$CP$1</f>
        <v>0</v>
      </c>
      <c r="DB14" s="9">
        <f t="shared" si="7"/>
        <v>0</v>
      </c>
      <c r="DC14" s="8">
        <f>+MINVU_Mes_Corriente!DC14*SALUD_Mes_Constante!$DC$1</f>
        <v>0</v>
      </c>
      <c r="DD14" s="8">
        <f>+MINVU_Mes_Corriente!DD14*SALUD_Mes_Constante!$DC$1</f>
        <v>0</v>
      </c>
      <c r="DE14" s="8">
        <f>+MINVU_Mes_Corriente!DE14*SALUD_Mes_Constante!$DC$1</f>
        <v>0</v>
      </c>
      <c r="DF14" s="8">
        <f>+MINVU_Mes_Corriente!DF14*SALUD_Mes_Constante!$DC$1</f>
        <v>0</v>
      </c>
      <c r="DG14" s="8">
        <f>+MINVU_Mes_Corriente!DG14*SALUD_Mes_Constante!$DC$1</f>
        <v>0</v>
      </c>
      <c r="DH14" s="8">
        <f>+MINVU_Mes_Corriente!DH14*SALUD_Mes_Constante!$DC$1</f>
        <v>0</v>
      </c>
      <c r="DI14" s="8">
        <f>+MINVU_Mes_Corriente!DI14*SALUD_Mes_Constante!$DC$1</f>
        <v>0</v>
      </c>
      <c r="DJ14" s="8">
        <f>+MINVU_Mes_Corriente!DJ14*SALUD_Mes_Constante!$DC$1</f>
        <v>0</v>
      </c>
      <c r="DK14" s="8">
        <f>+MINVU_Mes_Corriente!DK14*SALUD_Mes_Constante!$DC$1</f>
        <v>0</v>
      </c>
      <c r="DL14" s="8">
        <f>+MINVU_Mes_Corriente!DL14*SALUD_Mes_Constante!$DC$1</f>
        <v>0</v>
      </c>
      <c r="DM14" s="8">
        <f>+MINVU_Mes_Corriente!DM14*SALUD_Mes_Constante!$DC$1</f>
        <v>0</v>
      </c>
      <c r="DN14" s="8">
        <f>+MINVU_Mes_Corriente!DN14*SALUD_Mes_Constante!$DC$1</f>
        <v>0</v>
      </c>
      <c r="DO14" s="9">
        <f t="shared" si="8"/>
        <v>0</v>
      </c>
      <c r="DP14" s="8">
        <f>+MINVU_Mes_Corriente!DP14*SALUD_Mes_Constante!$DP$1</f>
        <v>0</v>
      </c>
      <c r="DQ14" s="8">
        <f>+MINVU_Mes_Corriente!DQ14*SALUD_Mes_Constante!$DP$1</f>
        <v>0</v>
      </c>
      <c r="DR14" s="8">
        <f>+MINVU_Mes_Corriente!DR14*SALUD_Mes_Constante!$DP$1</f>
        <v>0</v>
      </c>
      <c r="DS14" s="8">
        <f>+MINVU_Mes_Corriente!DS14*SALUD_Mes_Constante!$DP$1</f>
        <v>0</v>
      </c>
      <c r="DT14" s="8">
        <f>+MINVU_Mes_Corriente!DT14*SALUD_Mes_Constante!$DP$1</f>
        <v>0</v>
      </c>
      <c r="DU14" s="8">
        <f>+MINVU_Mes_Corriente!DU14*SALUD_Mes_Constante!$DP$1</f>
        <v>0</v>
      </c>
      <c r="DV14" s="8">
        <f>+MINVU_Mes_Corriente!DV14*SALUD_Mes_Constante!$DP$1</f>
        <v>0</v>
      </c>
      <c r="DW14" s="8">
        <f>+MINVU_Mes_Corriente!DW14*SALUD_Mes_Constante!$DP$1</f>
        <v>0</v>
      </c>
      <c r="DX14" s="8">
        <f>+MINVU_Mes_Corriente!DX14*SALUD_Mes_Constante!$DP$1</f>
        <v>0</v>
      </c>
      <c r="DY14" s="8">
        <f>+MINVU_Mes_Corriente!DY14*SALUD_Mes_Constante!$DP$1</f>
        <v>0</v>
      </c>
      <c r="DZ14" s="8">
        <f>+MINVU_Mes_Corriente!DZ14*SALUD_Mes_Constante!$DP$1</f>
        <v>0</v>
      </c>
      <c r="EA14" s="8">
        <f>+MINVU_Mes_Corriente!EA14*SALUD_Mes_Constante!$DP$1</f>
        <v>0</v>
      </c>
      <c r="EB14" s="9">
        <f t="shared" si="9"/>
        <v>0</v>
      </c>
      <c r="EC14" s="8">
        <f>+MINVU_Mes_Corriente!EC14*SALUD_Mes_Constante!$EC$1</f>
        <v>0</v>
      </c>
      <c r="ED14" s="8">
        <f>+MINVU_Mes_Corriente!ED14*SALUD_Mes_Constante!$EC$1</f>
        <v>0</v>
      </c>
      <c r="EE14" s="8">
        <f>+MINVU_Mes_Corriente!EE14*SALUD_Mes_Constante!$EC$1</f>
        <v>0</v>
      </c>
      <c r="EF14" s="8">
        <f>+MINVU_Mes_Corriente!EF14*SALUD_Mes_Constante!$EC$1</f>
        <v>0</v>
      </c>
      <c r="EG14" s="8">
        <f>+MINVU_Mes_Corriente!EG14*SALUD_Mes_Constante!$EC$1</f>
        <v>0</v>
      </c>
      <c r="EH14" s="8">
        <f>+MINVU_Mes_Corriente!EH14*SALUD_Mes_Constante!$EC$1</f>
        <v>0</v>
      </c>
      <c r="EI14" s="8">
        <f>+MINVU_Mes_Corriente!EI14*SALUD_Mes_Constante!$EC$1</f>
        <v>0</v>
      </c>
      <c r="EJ14" s="8">
        <f>+MINVU_Mes_Corriente!EJ14*SALUD_Mes_Constante!$EC$1</f>
        <v>0</v>
      </c>
      <c r="EK14" s="8">
        <f>+MINVU_Mes_Corriente!EK14*SALUD_Mes_Constante!$EC$1</f>
        <v>0</v>
      </c>
      <c r="EL14" s="8">
        <f>+MINVU_Mes_Corriente!EL14*SALUD_Mes_Constante!$EC$1</f>
        <v>0</v>
      </c>
      <c r="EM14" s="8">
        <f>+MINVU_Mes_Corriente!EM14*SALUD_Mes_Constante!$EC$1</f>
        <v>0</v>
      </c>
      <c r="EN14" s="8">
        <f>+MINVU_Mes_Corriente!EN14*SALUD_Mes_Constante!$EC$1</f>
        <v>0</v>
      </c>
      <c r="EO14" s="9">
        <f t="shared" si="10"/>
        <v>0</v>
      </c>
      <c r="EP14" s="8">
        <f>+MINVU_Mes_Corriente!EP14*SALUD_Mes_Constante!$EP$1</f>
        <v>0</v>
      </c>
      <c r="EQ14" s="8">
        <f>+MINVU_Mes_Corriente!EQ14*SALUD_Mes_Constante!$EP$1</f>
        <v>0</v>
      </c>
      <c r="ER14" s="8">
        <f>+MINVU_Mes_Corriente!ER14*SALUD_Mes_Constante!$EP$1</f>
        <v>0</v>
      </c>
      <c r="ES14" s="8">
        <f>+MINVU_Mes_Corriente!ES14*SALUD_Mes_Constante!$EP$1</f>
        <v>0</v>
      </c>
      <c r="ET14" s="8">
        <f>+MINVU_Mes_Corriente!ET14*SALUD_Mes_Constante!$EP$1</f>
        <v>0</v>
      </c>
      <c r="EU14" s="8">
        <f>+MINVU_Mes_Corriente!EU14*SALUD_Mes_Constante!$EP$1</f>
        <v>0</v>
      </c>
      <c r="EV14" s="8">
        <f>+MINVU_Mes_Corriente!EV14*SALUD_Mes_Constante!$EP$1</f>
        <v>0</v>
      </c>
      <c r="EW14" s="8">
        <f>+MINVU_Mes_Corriente!EW14*SALUD_Mes_Constante!$EP$1</f>
        <v>0</v>
      </c>
      <c r="EX14" s="8">
        <f>+MINVU_Mes_Corriente!EX14*SALUD_Mes_Constante!$EP$1</f>
        <v>0</v>
      </c>
      <c r="EY14" s="8">
        <f>+MINVU_Mes_Corriente!EY14*SALUD_Mes_Constante!$EP$1</f>
        <v>0</v>
      </c>
      <c r="EZ14" s="8">
        <f>+MINVU_Mes_Corriente!EZ14*SALUD_Mes_Constante!$EP$1</f>
        <v>0</v>
      </c>
      <c r="FA14" s="8">
        <f>+MINVU_Mes_Corriente!FA14*SALUD_Mes_Constante!$EP$1</f>
        <v>0</v>
      </c>
      <c r="FB14" s="9">
        <f t="shared" si="11"/>
        <v>0</v>
      </c>
      <c r="FC14" s="8">
        <f>+MINVU_Mes_Corriente!FC14*SALUD_Mes_Constante!$FC$1</f>
        <v>14546113</v>
      </c>
      <c r="FD14" s="8">
        <f>+MINVU_Mes_Corriente!FD14*SALUD_Mes_Constante!$FC$1</f>
        <v>14546113</v>
      </c>
      <c r="FE14" s="8">
        <f>+MINVU_Mes_Corriente!FE14*SALUD_Mes_Constante!$FC$1</f>
        <v>14546113</v>
      </c>
      <c r="FF14" s="8">
        <f>+MINVU_Mes_Corriente!FF14*SALUD_Mes_Constante!$FC$1</f>
        <v>14546113</v>
      </c>
      <c r="FG14" s="8">
        <f>+MINVU_Mes_Corriente!FG14*SALUD_Mes_Constante!$FC$1</f>
        <v>14546113</v>
      </c>
      <c r="FH14" s="8">
        <f>+MINVU_Mes_Corriente!FH14*SALUD_Mes_Constante!$FC$1</f>
        <v>14546113</v>
      </c>
      <c r="FI14" s="8">
        <f>+MINVU_Mes_Corriente!FI14*SALUD_Mes_Constante!$FC$1</f>
        <v>14546113</v>
      </c>
      <c r="FJ14" s="8"/>
      <c r="FK14" s="8"/>
      <c r="FL14" s="8"/>
      <c r="FM14" s="8"/>
      <c r="FN14" s="8"/>
      <c r="FO14" s="9">
        <f t="shared" si="12"/>
        <v>14546113</v>
      </c>
    </row>
    <row r="15" spans="2:171" ht="14.25" customHeight="1" x14ac:dyDescent="0.3">
      <c r="B15" s="7" t="s">
        <v>50</v>
      </c>
      <c r="C15" s="8">
        <f>+MINVU_Mes_Corriente!C15*SALUD_Mes_Constante!$C$1</f>
        <v>0</v>
      </c>
      <c r="D15" s="8">
        <f>+MINVU_Mes_Corriente!D15*SALUD_Mes_Constante!$C$1</f>
        <v>0</v>
      </c>
      <c r="E15" s="8">
        <f>+MINVU_Mes_Corriente!E15*SALUD_Mes_Constante!$C$1</f>
        <v>0</v>
      </c>
      <c r="F15" s="8">
        <f>+MINVU_Mes_Corriente!F15*SALUD_Mes_Constante!$C$1</f>
        <v>0</v>
      </c>
      <c r="G15" s="8">
        <f>+MINVU_Mes_Corriente!G15*SALUD_Mes_Constante!$C$1</f>
        <v>0</v>
      </c>
      <c r="H15" s="8">
        <f>+MINVU_Mes_Corriente!H15*SALUD_Mes_Constante!$C$1</f>
        <v>0</v>
      </c>
      <c r="I15" s="8">
        <f>+MINVU_Mes_Corriente!I15*SALUD_Mes_Constante!$C$1</f>
        <v>0</v>
      </c>
      <c r="J15" s="8">
        <f>+MINVU_Mes_Corriente!J15*SALUD_Mes_Constante!$C$1</f>
        <v>0</v>
      </c>
      <c r="K15" s="8">
        <f>+MINVU_Mes_Corriente!K15*SALUD_Mes_Constante!$C$1</f>
        <v>0</v>
      </c>
      <c r="L15" s="8">
        <f>+MINVU_Mes_Corriente!L15*SALUD_Mes_Constante!$C$1</f>
        <v>0</v>
      </c>
      <c r="M15" s="8">
        <f>+MINVU_Mes_Corriente!M15*SALUD_Mes_Constante!$C$1</f>
        <v>0</v>
      </c>
      <c r="N15" s="8">
        <f>+MINVU_Mes_Corriente!N15*SALUD_Mes_Constante!$C$1</f>
        <v>0</v>
      </c>
      <c r="O15" s="9">
        <f t="shared" si="0"/>
        <v>0</v>
      </c>
      <c r="P15" s="8">
        <f>+MINVU_Mes_Corriente!P15*SALUD_Mes_Constante!$P$1</f>
        <v>0</v>
      </c>
      <c r="Q15" s="8">
        <f>+MINVU_Mes_Corriente!Q15*SALUD_Mes_Constante!$P$1</f>
        <v>0</v>
      </c>
      <c r="R15" s="8">
        <f>+MINVU_Mes_Corriente!R15*SALUD_Mes_Constante!$P$1</f>
        <v>0</v>
      </c>
      <c r="S15" s="8">
        <f>+MINVU_Mes_Corriente!S15*SALUD_Mes_Constante!$P$1</f>
        <v>0</v>
      </c>
      <c r="T15" s="8">
        <f>+MINVU_Mes_Corriente!T15*SALUD_Mes_Constante!$P$1</f>
        <v>0</v>
      </c>
      <c r="U15" s="8">
        <f>+MINVU_Mes_Corriente!U15*SALUD_Mes_Constante!$P$1</f>
        <v>0</v>
      </c>
      <c r="V15" s="8">
        <f>+MINVU_Mes_Corriente!V15*SALUD_Mes_Constante!$P$1</f>
        <v>0</v>
      </c>
      <c r="W15" s="8">
        <f>+MINVU_Mes_Corriente!W15*SALUD_Mes_Constante!$P$1</f>
        <v>0</v>
      </c>
      <c r="X15" s="8">
        <f>+MINVU_Mes_Corriente!X15*SALUD_Mes_Constante!$P$1</f>
        <v>0</v>
      </c>
      <c r="Y15" s="8">
        <f>+MINVU_Mes_Corriente!Y15*SALUD_Mes_Constante!$P$1</f>
        <v>0</v>
      </c>
      <c r="Z15" s="8">
        <f>+MINVU_Mes_Corriente!Z15*SALUD_Mes_Constante!$P$1</f>
        <v>0</v>
      </c>
      <c r="AA15" s="8">
        <f>+MINVU_Mes_Corriente!AA15*SALUD_Mes_Constante!$P$1</f>
        <v>0</v>
      </c>
      <c r="AB15" s="9">
        <f t="shared" si="1"/>
        <v>0</v>
      </c>
      <c r="AC15" s="8">
        <f>+MINVU_Mes_Corriente!AC15*SALUD_Mes_Constante!$AC$1</f>
        <v>0</v>
      </c>
      <c r="AD15" s="8">
        <f>+MINVU_Mes_Corriente!AD15*SALUD_Mes_Constante!$AC$1</f>
        <v>0</v>
      </c>
      <c r="AE15" s="8">
        <f>+MINVU_Mes_Corriente!AE15*SALUD_Mes_Constante!$AC$1</f>
        <v>0</v>
      </c>
      <c r="AF15" s="8">
        <f>+MINVU_Mes_Corriente!AF15*SALUD_Mes_Constante!$AC$1</f>
        <v>0</v>
      </c>
      <c r="AG15" s="8">
        <f>+MINVU_Mes_Corriente!AG15*SALUD_Mes_Constante!$AC$1</f>
        <v>0</v>
      </c>
      <c r="AH15" s="8">
        <f>+MINVU_Mes_Corriente!AH15*SALUD_Mes_Constante!$AC$1</f>
        <v>0</v>
      </c>
      <c r="AI15" s="8">
        <f>+MINVU_Mes_Corriente!AI15*SALUD_Mes_Constante!$AC$1</f>
        <v>0</v>
      </c>
      <c r="AJ15" s="8">
        <f>+MINVU_Mes_Corriente!AJ15*SALUD_Mes_Constante!$AC$1</f>
        <v>0</v>
      </c>
      <c r="AK15" s="8">
        <f>+MINVU_Mes_Corriente!AK15*SALUD_Mes_Constante!$AC$1</f>
        <v>0</v>
      </c>
      <c r="AL15" s="8">
        <f>+MINVU_Mes_Corriente!AL15*SALUD_Mes_Constante!$AC$1</f>
        <v>0</v>
      </c>
      <c r="AM15" s="8">
        <f>+MINVU_Mes_Corriente!AM15*SALUD_Mes_Constante!$AC$1</f>
        <v>0</v>
      </c>
      <c r="AN15" s="8">
        <f>+MINVU_Mes_Corriente!AN15*SALUD_Mes_Constante!$AC$1</f>
        <v>0</v>
      </c>
      <c r="AO15" s="9">
        <f t="shared" si="2"/>
        <v>0</v>
      </c>
      <c r="AP15" s="8">
        <f>+MINVU_Mes_Corriente!AP15*SALUD_Mes_Constante!$AP$1</f>
        <v>0</v>
      </c>
      <c r="AQ15" s="8">
        <f>+MINVU_Mes_Corriente!AQ15*SALUD_Mes_Constante!$AP$1</f>
        <v>0</v>
      </c>
      <c r="AR15" s="8">
        <f>+MINVU_Mes_Corriente!AR15*SALUD_Mes_Constante!$AP$1</f>
        <v>0</v>
      </c>
      <c r="AS15" s="8">
        <f>+MINVU_Mes_Corriente!AS15*SALUD_Mes_Constante!$AP$1</f>
        <v>0</v>
      </c>
      <c r="AT15" s="8">
        <f>+MINVU_Mes_Corriente!AT15*SALUD_Mes_Constante!$AP$1</f>
        <v>0</v>
      </c>
      <c r="AU15" s="8">
        <f>+MINVU_Mes_Corriente!AU15*SALUD_Mes_Constante!$AP$1</f>
        <v>0</v>
      </c>
      <c r="AV15" s="8">
        <f>+MINVU_Mes_Corriente!AV15*SALUD_Mes_Constante!$AP$1</f>
        <v>0</v>
      </c>
      <c r="AW15" s="8">
        <f>+MINVU_Mes_Corriente!AW15*SALUD_Mes_Constante!$AP$1</f>
        <v>0</v>
      </c>
      <c r="AX15" s="8">
        <f>+MINVU_Mes_Corriente!AX15*SALUD_Mes_Constante!$AP$1</f>
        <v>0</v>
      </c>
      <c r="AY15" s="8">
        <f>+MINVU_Mes_Corriente!AY15*SALUD_Mes_Constante!$AP$1</f>
        <v>0</v>
      </c>
      <c r="AZ15" s="8">
        <f>+MINVU_Mes_Corriente!AZ15*SALUD_Mes_Constante!$AP$1</f>
        <v>0</v>
      </c>
      <c r="BA15" s="8">
        <f>+MINVU_Mes_Corriente!BA15*SALUD_Mes_Constante!$AP$1</f>
        <v>0</v>
      </c>
      <c r="BB15" s="9">
        <f t="shared" si="3"/>
        <v>0</v>
      </c>
      <c r="BC15" s="8">
        <f>+MINVU_Mes_Corriente!BC15*SALUD_Mes_Constante!$BC$1</f>
        <v>0</v>
      </c>
      <c r="BD15" s="8">
        <f>+MINVU_Mes_Corriente!BD15*SALUD_Mes_Constante!$BC$1</f>
        <v>0</v>
      </c>
      <c r="BE15" s="8">
        <f>+MINVU_Mes_Corriente!BE15*SALUD_Mes_Constante!$BC$1</f>
        <v>0</v>
      </c>
      <c r="BF15" s="8">
        <f>+MINVU_Mes_Corriente!BF15*SALUD_Mes_Constante!$BC$1</f>
        <v>0</v>
      </c>
      <c r="BG15" s="8">
        <f>+MINVU_Mes_Corriente!BG15*SALUD_Mes_Constante!$BC$1</f>
        <v>0</v>
      </c>
      <c r="BH15" s="8">
        <f>+MINVU_Mes_Corriente!BH15*SALUD_Mes_Constante!$BC$1</f>
        <v>0</v>
      </c>
      <c r="BI15" s="8">
        <f>+MINVU_Mes_Corriente!BI15*SALUD_Mes_Constante!$BC$1</f>
        <v>0</v>
      </c>
      <c r="BJ15" s="8">
        <f>+MINVU_Mes_Corriente!BJ15*SALUD_Mes_Constante!$BC$1</f>
        <v>0</v>
      </c>
      <c r="BK15" s="8">
        <f>+MINVU_Mes_Corriente!BK15*SALUD_Mes_Constante!$BC$1</f>
        <v>0</v>
      </c>
      <c r="BL15" s="8">
        <f>+MINVU_Mes_Corriente!BL15*SALUD_Mes_Constante!$BC$1</f>
        <v>0</v>
      </c>
      <c r="BM15" s="8">
        <f>+MINVU_Mes_Corriente!BM15*SALUD_Mes_Constante!$BC$1</f>
        <v>0</v>
      </c>
      <c r="BN15" s="8">
        <f>+MINVU_Mes_Corriente!BN15*SALUD_Mes_Constante!$BC$1</f>
        <v>0</v>
      </c>
      <c r="BO15" s="9">
        <f t="shared" si="4"/>
        <v>0</v>
      </c>
      <c r="BP15" s="8">
        <f>+MINVU_Mes_Corriente!BP15*SALUD_Mes_Constante!$BP$1</f>
        <v>0</v>
      </c>
      <c r="BQ15" s="8">
        <f>+MINVU_Mes_Corriente!BQ15*SALUD_Mes_Constante!$BP$1</f>
        <v>0</v>
      </c>
      <c r="BR15" s="8">
        <f>+MINVU_Mes_Corriente!BR15*SALUD_Mes_Constante!$BP$1</f>
        <v>0</v>
      </c>
      <c r="BS15" s="8">
        <f>+MINVU_Mes_Corriente!BS15*SALUD_Mes_Constante!$BP$1</f>
        <v>0</v>
      </c>
      <c r="BT15" s="8">
        <f>+MINVU_Mes_Corriente!BT15*SALUD_Mes_Constante!$BP$1</f>
        <v>0</v>
      </c>
      <c r="BU15" s="8">
        <f>+MINVU_Mes_Corriente!BU15*SALUD_Mes_Constante!$BP$1</f>
        <v>0</v>
      </c>
      <c r="BV15" s="8">
        <f>+MINVU_Mes_Corriente!BV15*SALUD_Mes_Constante!$BP$1</f>
        <v>0</v>
      </c>
      <c r="BW15" s="8">
        <f>+MINVU_Mes_Corriente!BW15*SALUD_Mes_Constante!$BP$1</f>
        <v>0</v>
      </c>
      <c r="BX15" s="8">
        <f>+MINVU_Mes_Corriente!BX15*SALUD_Mes_Constante!$BP$1</f>
        <v>0</v>
      </c>
      <c r="BY15" s="8">
        <f>+MINVU_Mes_Corriente!BY15*SALUD_Mes_Constante!$BP$1</f>
        <v>0</v>
      </c>
      <c r="BZ15" s="8">
        <f>+MINVU_Mes_Corriente!BZ15*SALUD_Mes_Constante!$BP$1</f>
        <v>0</v>
      </c>
      <c r="CA15" s="8">
        <f>+MINVU_Mes_Corriente!CA15*SALUD_Mes_Constante!$BP$1</f>
        <v>0</v>
      </c>
      <c r="CB15" s="9">
        <f t="shared" si="5"/>
        <v>0</v>
      </c>
      <c r="CC15" s="8">
        <f>+MINVU_Mes_Corriente!CC15*SALUD_Mes_Constante!$CC$1</f>
        <v>0</v>
      </c>
      <c r="CD15" s="8">
        <f>+MINVU_Mes_Corriente!CD15*SALUD_Mes_Constante!$CC$1</f>
        <v>0</v>
      </c>
      <c r="CE15" s="8">
        <f>+MINVU_Mes_Corriente!CE15*SALUD_Mes_Constante!$CC$1</f>
        <v>0</v>
      </c>
      <c r="CF15" s="8">
        <f>+MINVU_Mes_Corriente!CF15*SALUD_Mes_Constante!$CC$1</f>
        <v>0</v>
      </c>
      <c r="CG15" s="8">
        <f>+MINVU_Mes_Corriente!CG15*SALUD_Mes_Constante!$CC$1</f>
        <v>0</v>
      </c>
      <c r="CH15" s="8">
        <f>+MINVU_Mes_Corriente!CH15*SALUD_Mes_Constante!$CC$1</f>
        <v>0</v>
      </c>
      <c r="CI15" s="8">
        <f>+MINVU_Mes_Corriente!CI15*SALUD_Mes_Constante!$CC$1</f>
        <v>0</v>
      </c>
      <c r="CJ15" s="8">
        <f>+MINVU_Mes_Corriente!CJ15*SALUD_Mes_Constante!$CC$1</f>
        <v>0</v>
      </c>
      <c r="CK15" s="8">
        <f>+MINVU_Mes_Corriente!CK15*SALUD_Mes_Constante!$CC$1</f>
        <v>0</v>
      </c>
      <c r="CL15" s="8">
        <f>+MINVU_Mes_Corriente!CL15*SALUD_Mes_Constante!$CC$1</f>
        <v>0</v>
      </c>
      <c r="CM15" s="8">
        <f>+MINVU_Mes_Corriente!CM15*SALUD_Mes_Constante!$CC$1</f>
        <v>0</v>
      </c>
      <c r="CN15" s="8">
        <f>+MINVU_Mes_Corriente!CN15*SALUD_Mes_Constante!$CC$1</f>
        <v>0</v>
      </c>
      <c r="CO15" s="9">
        <f t="shared" si="6"/>
        <v>0</v>
      </c>
      <c r="CP15" s="8">
        <f>+MINVU_Mes_Corriente!CP15*SALUD_Mes_Constante!$CP$1</f>
        <v>0</v>
      </c>
      <c r="CQ15" s="8">
        <f>+MINVU_Mes_Corriente!CQ15*SALUD_Mes_Constante!$CP$1</f>
        <v>0</v>
      </c>
      <c r="CR15" s="8">
        <f>+MINVU_Mes_Corriente!CR15*SALUD_Mes_Constante!$CP$1</f>
        <v>0</v>
      </c>
      <c r="CS15" s="8">
        <f>+MINVU_Mes_Corriente!CS15*SALUD_Mes_Constante!$CP$1</f>
        <v>0</v>
      </c>
      <c r="CT15" s="8">
        <f>+MINVU_Mes_Corriente!CT15*SALUD_Mes_Constante!$CP$1</f>
        <v>0</v>
      </c>
      <c r="CU15" s="8">
        <f>+MINVU_Mes_Corriente!CU15*SALUD_Mes_Constante!$CP$1</f>
        <v>0</v>
      </c>
      <c r="CV15" s="8">
        <f>+MINVU_Mes_Corriente!CV15*SALUD_Mes_Constante!$CP$1</f>
        <v>0</v>
      </c>
      <c r="CW15" s="8">
        <f>+MINVU_Mes_Corriente!CW15*SALUD_Mes_Constante!$CP$1</f>
        <v>0</v>
      </c>
      <c r="CX15" s="8">
        <f>+MINVU_Mes_Corriente!CX15*SALUD_Mes_Constante!$CP$1</f>
        <v>0</v>
      </c>
      <c r="CY15" s="8">
        <f>+MINVU_Mes_Corriente!CY15*SALUD_Mes_Constante!$CP$1</f>
        <v>0</v>
      </c>
      <c r="CZ15" s="8">
        <f>+MINVU_Mes_Corriente!CZ15*SALUD_Mes_Constante!$CP$1</f>
        <v>0</v>
      </c>
      <c r="DA15" s="8">
        <f>+MINVU_Mes_Corriente!DA15*SALUD_Mes_Constante!$CP$1</f>
        <v>0</v>
      </c>
      <c r="DB15" s="9">
        <f t="shared" si="7"/>
        <v>0</v>
      </c>
      <c r="DC15" s="8">
        <f>+MINVU_Mes_Corriente!DC15*SALUD_Mes_Constante!$DC$1</f>
        <v>0</v>
      </c>
      <c r="DD15" s="8">
        <f>+MINVU_Mes_Corriente!DD15*SALUD_Mes_Constante!$DC$1</f>
        <v>0</v>
      </c>
      <c r="DE15" s="8">
        <f>+MINVU_Mes_Corriente!DE15*SALUD_Mes_Constante!$DC$1</f>
        <v>0</v>
      </c>
      <c r="DF15" s="8">
        <f>+MINVU_Mes_Corriente!DF15*SALUD_Mes_Constante!$DC$1</f>
        <v>0</v>
      </c>
      <c r="DG15" s="8">
        <f>+MINVU_Mes_Corriente!DG15*SALUD_Mes_Constante!$DC$1</f>
        <v>0</v>
      </c>
      <c r="DH15" s="8">
        <f>+MINVU_Mes_Corriente!DH15*SALUD_Mes_Constante!$DC$1</f>
        <v>0</v>
      </c>
      <c r="DI15" s="8">
        <f>+MINVU_Mes_Corriente!DI15*SALUD_Mes_Constante!$DC$1</f>
        <v>0</v>
      </c>
      <c r="DJ15" s="8">
        <f>+MINVU_Mes_Corriente!DJ15*SALUD_Mes_Constante!$DC$1</f>
        <v>0</v>
      </c>
      <c r="DK15" s="8">
        <f>+MINVU_Mes_Corriente!DK15*SALUD_Mes_Constante!$DC$1</f>
        <v>0</v>
      </c>
      <c r="DL15" s="8">
        <f>+MINVU_Mes_Corriente!DL15*SALUD_Mes_Constante!$DC$1</f>
        <v>0</v>
      </c>
      <c r="DM15" s="8">
        <f>+MINVU_Mes_Corriente!DM15*SALUD_Mes_Constante!$DC$1</f>
        <v>0</v>
      </c>
      <c r="DN15" s="8">
        <f>+MINVU_Mes_Corriente!DN15*SALUD_Mes_Constante!$DC$1</f>
        <v>0</v>
      </c>
      <c r="DO15" s="9">
        <f t="shared" si="8"/>
        <v>0</v>
      </c>
      <c r="DP15" s="8">
        <f>+MINVU_Mes_Corriente!DP15*SALUD_Mes_Constante!$DP$1</f>
        <v>0</v>
      </c>
      <c r="DQ15" s="8">
        <f>+MINVU_Mes_Corriente!DQ15*SALUD_Mes_Constante!$DP$1</f>
        <v>0</v>
      </c>
      <c r="DR15" s="8">
        <f>+MINVU_Mes_Corriente!DR15*SALUD_Mes_Constante!$DP$1</f>
        <v>0</v>
      </c>
      <c r="DS15" s="8">
        <f>+MINVU_Mes_Corriente!DS15*SALUD_Mes_Constante!$DP$1</f>
        <v>0</v>
      </c>
      <c r="DT15" s="8">
        <f>+MINVU_Mes_Corriente!DT15*SALUD_Mes_Constante!$DP$1</f>
        <v>0</v>
      </c>
      <c r="DU15" s="8">
        <f>+MINVU_Mes_Corriente!DU15*SALUD_Mes_Constante!$DP$1</f>
        <v>0</v>
      </c>
      <c r="DV15" s="8">
        <f>+MINVU_Mes_Corriente!DV15*SALUD_Mes_Constante!$DP$1</f>
        <v>0</v>
      </c>
      <c r="DW15" s="8">
        <f>+MINVU_Mes_Corriente!DW15*SALUD_Mes_Constante!$DP$1</f>
        <v>0</v>
      </c>
      <c r="DX15" s="8">
        <f>+MINVU_Mes_Corriente!DX15*SALUD_Mes_Constante!$DP$1</f>
        <v>0</v>
      </c>
      <c r="DY15" s="8">
        <f>+MINVU_Mes_Corriente!DY15*SALUD_Mes_Constante!$DP$1</f>
        <v>0</v>
      </c>
      <c r="DZ15" s="8">
        <f>+MINVU_Mes_Corriente!DZ15*SALUD_Mes_Constante!$DP$1</f>
        <v>0</v>
      </c>
      <c r="EA15" s="8">
        <f>+MINVU_Mes_Corriente!EA15*SALUD_Mes_Constante!$DP$1</f>
        <v>0</v>
      </c>
      <c r="EB15" s="9">
        <f t="shared" si="9"/>
        <v>0</v>
      </c>
      <c r="EC15" s="8">
        <f>+MINVU_Mes_Corriente!EC15*SALUD_Mes_Constante!$EC$1</f>
        <v>0</v>
      </c>
      <c r="ED15" s="8">
        <f>+MINVU_Mes_Corriente!ED15*SALUD_Mes_Constante!$EC$1</f>
        <v>0</v>
      </c>
      <c r="EE15" s="8">
        <f>+MINVU_Mes_Corriente!EE15*SALUD_Mes_Constante!$EC$1</f>
        <v>0</v>
      </c>
      <c r="EF15" s="8">
        <f>+MINVU_Mes_Corriente!EF15*SALUD_Mes_Constante!$EC$1</f>
        <v>0</v>
      </c>
      <c r="EG15" s="8">
        <f>+MINVU_Mes_Corriente!EG15*SALUD_Mes_Constante!$EC$1</f>
        <v>0</v>
      </c>
      <c r="EH15" s="8">
        <f>+MINVU_Mes_Corriente!EH15*SALUD_Mes_Constante!$EC$1</f>
        <v>0</v>
      </c>
      <c r="EI15" s="8">
        <f>+MINVU_Mes_Corriente!EI15*SALUD_Mes_Constante!$EC$1</f>
        <v>0</v>
      </c>
      <c r="EJ15" s="8">
        <f>+MINVU_Mes_Corriente!EJ15*SALUD_Mes_Constante!$EC$1</f>
        <v>0</v>
      </c>
      <c r="EK15" s="8">
        <f>+MINVU_Mes_Corriente!EK15*SALUD_Mes_Constante!$EC$1</f>
        <v>0</v>
      </c>
      <c r="EL15" s="8">
        <f>+MINVU_Mes_Corriente!EL15*SALUD_Mes_Constante!$EC$1</f>
        <v>0</v>
      </c>
      <c r="EM15" s="8">
        <f>+MINVU_Mes_Corriente!EM15*SALUD_Mes_Constante!$EC$1</f>
        <v>0</v>
      </c>
      <c r="EN15" s="8">
        <f>+MINVU_Mes_Corriente!EN15*SALUD_Mes_Constante!$EC$1</f>
        <v>0</v>
      </c>
      <c r="EO15" s="9">
        <f t="shared" si="10"/>
        <v>0</v>
      </c>
      <c r="EP15" s="8">
        <f>+MINVU_Mes_Corriente!EP15*SALUD_Mes_Constante!$EP$1</f>
        <v>0</v>
      </c>
      <c r="EQ15" s="8">
        <f>+MINVU_Mes_Corriente!EQ15*SALUD_Mes_Constante!$EP$1</f>
        <v>0</v>
      </c>
      <c r="ER15" s="8">
        <f>+MINVU_Mes_Corriente!ER15*SALUD_Mes_Constante!$EP$1</f>
        <v>0</v>
      </c>
      <c r="ES15" s="8">
        <f>+MINVU_Mes_Corriente!ES15*SALUD_Mes_Constante!$EP$1</f>
        <v>0</v>
      </c>
      <c r="ET15" s="8">
        <f>+MINVU_Mes_Corriente!ET15*SALUD_Mes_Constante!$EP$1</f>
        <v>0</v>
      </c>
      <c r="EU15" s="8">
        <f>+MINVU_Mes_Corriente!EU15*SALUD_Mes_Constante!$EP$1</f>
        <v>0</v>
      </c>
      <c r="EV15" s="8">
        <f>+MINVU_Mes_Corriente!EV15*SALUD_Mes_Constante!$EP$1</f>
        <v>0</v>
      </c>
      <c r="EW15" s="8">
        <f>+MINVU_Mes_Corriente!EW15*SALUD_Mes_Constante!$EP$1</f>
        <v>0</v>
      </c>
      <c r="EX15" s="8">
        <f>+MINVU_Mes_Corriente!EX15*SALUD_Mes_Constante!$EP$1</f>
        <v>0</v>
      </c>
      <c r="EY15" s="8">
        <f>+MINVU_Mes_Corriente!EY15*SALUD_Mes_Constante!$EP$1</f>
        <v>0</v>
      </c>
      <c r="EZ15" s="8">
        <f>+MINVU_Mes_Corriente!EZ15*SALUD_Mes_Constante!$EP$1</f>
        <v>0</v>
      </c>
      <c r="FA15" s="8">
        <f>+MINVU_Mes_Corriente!FA15*SALUD_Mes_Constante!$EP$1</f>
        <v>0</v>
      </c>
      <c r="FB15" s="9">
        <f t="shared" si="11"/>
        <v>0</v>
      </c>
      <c r="FC15" s="8">
        <f>+MINVU_Mes_Corriente!FC15*SALUD_Mes_Constante!$FC$1</f>
        <v>15086131</v>
      </c>
      <c r="FD15" s="8">
        <f>+MINVU_Mes_Corriente!FD15*SALUD_Mes_Constante!$FC$1</f>
        <v>15086131</v>
      </c>
      <c r="FE15" s="8">
        <f>+MINVU_Mes_Corriente!FE15*SALUD_Mes_Constante!$FC$1</f>
        <v>15086131</v>
      </c>
      <c r="FF15" s="8">
        <f>+MINVU_Mes_Corriente!FF15*SALUD_Mes_Constante!$FC$1</f>
        <v>15086131</v>
      </c>
      <c r="FG15" s="8">
        <f>+MINVU_Mes_Corriente!FG15*SALUD_Mes_Constante!$FC$1</f>
        <v>15086131</v>
      </c>
      <c r="FH15" s="8">
        <f>+MINVU_Mes_Corriente!FH15*SALUD_Mes_Constante!$FC$1</f>
        <v>15086131</v>
      </c>
      <c r="FI15" s="8">
        <f>+MINVU_Mes_Corriente!FI15*SALUD_Mes_Constante!$FC$1</f>
        <v>15086131</v>
      </c>
      <c r="FJ15" s="8"/>
      <c r="FK15" s="8"/>
      <c r="FL15" s="8"/>
      <c r="FM15" s="8"/>
      <c r="FN15" s="8"/>
      <c r="FO15" s="9">
        <f t="shared" si="12"/>
        <v>15086131</v>
      </c>
    </row>
    <row r="16" spans="2:171" ht="14.25" customHeight="1" x14ac:dyDescent="0.3">
      <c r="B16" s="7" t="s">
        <v>51</v>
      </c>
      <c r="C16" s="8">
        <f>+MINVU_Mes_Corriente!C16*SALUD_Mes_Constante!$C$1</f>
        <v>0</v>
      </c>
      <c r="D16" s="8">
        <f>+MINVU_Mes_Corriente!D16*SALUD_Mes_Constante!$C$1</f>
        <v>0</v>
      </c>
      <c r="E16" s="8">
        <f>+MINVU_Mes_Corriente!E16*SALUD_Mes_Constante!$C$1</f>
        <v>0</v>
      </c>
      <c r="F16" s="8">
        <f>+MINVU_Mes_Corriente!F16*SALUD_Mes_Constante!$C$1</f>
        <v>0</v>
      </c>
      <c r="G16" s="8">
        <f>+MINVU_Mes_Corriente!G16*SALUD_Mes_Constante!$C$1</f>
        <v>0</v>
      </c>
      <c r="H16" s="8">
        <f>+MINVU_Mes_Corriente!H16*SALUD_Mes_Constante!$C$1</f>
        <v>0</v>
      </c>
      <c r="I16" s="8">
        <f>+MINVU_Mes_Corriente!I16*SALUD_Mes_Constante!$C$1</f>
        <v>0</v>
      </c>
      <c r="J16" s="8">
        <f>+MINVU_Mes_Corriente!J16*SALUD_Mes_Constante!$C$1</f>
        <v>0</v>
      </c>
      <c r="K16" s="8">
        <f>+MINVU_Mes_Corriente!K16*SALUD_Mes_Constante!$C$1</f>
        <v>0</v>
      </c>
      <c r="L16" s="8">
        <f>+MINVU_Mes_Corriente!L16*SALUD_Mes_Constante!$C$1</f>
        <v>0</v>
      </c>
      <c r="M16" s="8">
        <f>+MINVU_Mes_Corriente!M16*SALUD_Mes_Constante!$C$1</f>
        <v>0</v>
      </c>
      <c r="N16" s="8">
        <f>+MINVU_Mes_Corriente!N16*SALUD_Mes_Constante!$C$1</f>
        <v>0</v>
      </c>
      <c r="O16" s="9">
        <f t="shared" si="0"/>
        <v>0</v>
      </c>
      <c r="P16" s="8">
        <f>+MINVU_Mes_Corriente!P16*SALUD_Mes_Constante!$P$1</f>
        <v>0</v>
      </c>
      <c r="Q16" s="8">
        <f>+MINVU_Mes_Corriente!Q16*SALUD_Mes_Constante!$P$1</f>
        <v>0</v>
      </c>
      <c r="R16" s="8">
        <f>+MINVU_Mes_Corriente!R16*SALUD_Mes_Constante!$P$1</f>
        <v>0</v>
      </c>
      <c r="S16" s="8">
        <f>+MINVU_Mes_Corriente!S16*SALUD_Mes_Constante!$P$1</f>
        <v>0</v>
      </c>
      <c r="T16" s="8">
        <f>+MINVU_Mes_Corriente!T16*SALUD_Mes_Constante!$P$1</f>
        <v>0</v>
      </c>
      <c r="U16" s="8">
        <f>+MINVU_Mes_Corriente!U16*SALUD_Mes_Constante!$P$1</f>
        <v>0</v>
      </c>
      <c r="V16" s="8">
        <f>+MINVU_Mes_Corriente!V16*SALUD_Mes_Constante!$P$1</f>
        <v>0</v>
      </c>
      <c r="W16" s="8">
        <f>+MINVU_Mes_Corriente!W16*SALUD_Mes_Constante!$P$1</f>
        <v>0</v>
      </c>
      <c r="X16" s="8">
        <f>+MINVU_Mes_Corriente!X16*SALUD_Mes_Constante!$P$1</f>
        <v>0</v>
      </c>
      <c r="Y16" s="8">
        <f>+MINVU_Mes_Corriente!Y16*SALUD_Mes_Constante!$P$1</f>
        <v>0</v>
      </c>
      <c r="Z16" s="8">
        <f>+MINVU_Mes_Corriente!Z16*SALUD_Mes_Constante!$P$1</f>
        <v>0</v>
      </c>
      <c r="AA16" s="8">
        <f>+MINVU_Mes_Corriente!AA16*SALUD_Mes_Constante!$P$1</f>
        <v>0</v>
      </c>
      <c r="AB16" s="9">
        <f t="shared" si="1"/>
        <v>0</v>
      </c>
      <c r="AC16" s="8">
        <f>+MINVU_Mes_Corriente!AC16*SALUD_Mes_Constante!$AC$1</f>
        <v>0</v>
      </c>
      <c r="AD16" s="8">
        <f>+MINVU_Mes_Corriente!AD16*SALUD_Mes_Constante!$AC$1</f>
        <v>0</v>
      </c>
      <c r="AE16" s="8">
        <f>+MINVU_Mes_Corriente!AE16*SALUD_Mes_Constante!$AC$1</f>
        <v>0</v>
      </c>
      <c r="AF16" s="8">
        <f>+MINVU_Mes_Corriente!AF16*SALUD_Mes_Constante!$AC$1</f>
        <v>0</v>
      </c>
      <c r="AG16" s="8">
        <f>+MINVU_Mes_Corriente!AG16*SALUD_Mes_Constante!$AC$1</f>
        <v>0</v>
      </c>
      <c r="AH16" s="8">
        <f>+MINVU_Mes_Corriente!AH16*SALUD_Mes_Constante!$AC$1</f>
        <v>0</v>
      </c>
      <c r="AI16" s="8">
        <f>+MINVU_Mes_Corriente!AI16*SALUD_Mes_Constante!$AC$1</f>
        <v>0</v>
      </c>
      <c r="AJ16" s="8">
        <f>+MINVU_Mes_Corriente!AJ16*SALUD_Mes_Constante!$AC$1</f>
        <v>0</v>
      </c>
      <c r="AK16" s="8">
        <f>+MINVU_Mes_Corriente!AK16*SALUD_Mes_Constante!$AC$1</f>
        <v>0</v>
      </c>
      <c r="AL16" s="8">
        <f>+MINVU_Mes_Corriente!AL16*SALUD_Mes_Constante!$AC$1</f>
        <v>0</v>
      </c>
      <c r="AM16" s="8">
        <f>+MINVU_Mes_Corriente!AM16*SALUD_Mes_Constante!$AC$1</f>
        <v>0</v>
      </c>
      <c r="AN16" s="8">
        <f>+MINVU_Mes_Corriente!AN16*SALUD_Mes_Constante!$AC$1</f>
        <v>0</v>
      </c>
      <c r="AO16" s="9">
        <f t="shared" si="2"/>
        <v>0</v>
      </c>
      <c r="AP16" s="8">
        <f>+MINVU_Mes_Corriente!AP16*SALUD_Mes_Constante!$AP$1</f>
        <v>0</v>
      </c>
      <c r="AQ16" s="8">
        <f>+MINVU_Mes_Corriente!AQ16*SALUD_Mes_Constante!$AP$1</f>
        <v>0</v>
      </c>
      <c r="AR16" s="8">
        <f>+MINVU_Mes_Corriente!AR16*SALUD_Mes_Constante!$AP$1</f>
        <v>0</v>
      </c>
      <c r="AS16" s="8">
        <f>+MINVU_Mes_Corriente!AS16*SALUD_Mes_Constante!$AP$1</f>
        <v>0</v>
      </c>
      <c r="AT16" s="8">
        <f>+MINVU_Mes_Corriente!AT16*SALUD_Mes_Constante!$AP$1</f>
        <v>0</v>
      </c>
      <c r="AU16" s="8">
        <f>+MINVU_Mes_Corriente!AU16*SALUD_Mes_Constante!$AP$1</f>
        <v>0</v>
      </c>
      <c r="AV16" s="8">
        <f>+MINVU_Mes_Corriente!AV16*SALUD_Mes_Constante!$AP$1</f>
        <v>0</v>
      </c>
      <c r="AW16" s="8">
        <f>+MINVU_Mes_Corriente!AW16*SALUD_Mes_Constante!$AP$1</f>
        <v>0</v>
      </c>
      <c r="AX16" s="8">
        <f>+MINVU_Mes_Corriente!AX16*SALUD_Mes_Constante!$AP$1</f>
        <v>0</v>
      </c>
      <c r="AY16" s="8">
        <f>+MINVU_Mes_Corriente!AY16*SALUD_Mes_Constante!$AP$1</f>
        <v>0</v>
      </c>
      <c r="AZ16" s="8">
        <f>+MINVU_Mes_Corriente!AZ16*SALUD_Mes_Constante!$AP$1</f>
        <v>0</v>
      </c>
      <c r="BA16" s="8">
        <f>+MINVU_Mes_Corriente!BA16*SALUD_Mes_Constante!$AP$1</f>
        <v>0</v>
      </c>
      <c r="BB16" s="9">
        <f t="shared" si="3"/>
        <v>0</v>
      </c>
      <c r="BC16" s="8">
        <f>+MINVU_Mes_Corriente!BC16*SALUD_Mes_Constante!$BC$1</f>
        <v>0</v>
      </c>
      <c r="BD16" s="8">
        <f>+MINVU_Mes_Corriente!BD16*SALUD_Mes_Constante!$BC$1</f>
        <v>0</v>
      </c>
      <c r="BE16" s="8">
        <f>+MINVU_Mes_Corriente!BE16*SALUD_Mes_Constante!$BC$1</f>
        <v>0</v>
      </c>
      <c r="BF16" s="8">
        <f>+MINVU_Mes_Corriente!BF16*SALUD_Mes_Constante!$BC$1</f>
        <v>0</v>
      </c>
      <c r="BG16" s="8">
        <f>+MINVU_Mes_Corriente!BG16*SALUD_Mes_Constante!$BC$1</f>
        <v>0</v>
      </c>
      <c r="BH16" s="8">
        <f>+MINVU_Mes_Corriente!BH16*SALUD_Mes_Constante!$BC$1</f>
        <v>0</v>
      </c>
      <c r="BI16" s="8">
        <f>+MINVU_Mes_Corriente!BI16*SALUD_Mes_Constante!$BC$1</f>
        <v>0</v>
      </c>
      <c r="BJ16" s="8">
        <f>+MINVU_Mes_Corriente!BJ16*SALUD_Mes_Constante!$BC$1</f>
        <v>0</v>
      </c>
      <c r="BK16" s="8">
        <f>+MINVU_Mes_Corriente!BK16*SALUD_Mes_Constante!$BC$1</f>
        <v>0</v>
      </c>
      <c r="BL16" s="8">
        <f>+MINVU_Mes_Corriente!BL16*SALUD_Mes_Constante!$BC$1</f>
        <v>0</v>
      </c>
      <c r="BM16" s="8">
        <f>+MINVU_Mes_Corriente!BM16*SALUD_Mes_Constante!$BC$1</f>
        <v>0</v>
      </c>
      <c r="BN16" s="8">
        <f>+MINVU_Mes_Corriente!BN16*SALUD_Mes_Constante!$BC$1</f>
        <v>0</v>
      </c>
      <c r="BO16" s="9">
        <f t="shared" si="4"/>
        <v>0</v>
      </c>
      <c r="BP16" s="8">
        <f>+MINVU_Mes_Corriente!BP16*SALUD_Mes_Constante!$BP$1</f>
        <v>0</v>
      </c>
      <c r="BQ16" s="8">
        <f>+MINVU_Mes_Corriente!BQ16*SALUD_Mes_Constante!$BP$1</f>
        <v>0</v>
      </c>
      <c r="BR16" s="8">
        <f>+MINVU_Mes_Corriente!BR16*SALUD_Mes_Constante!$BP$1</f>
        <v>0</v>
      </c>
      <c r="BS16" s="8">
        <f>+MINVU_Mes_Corriente!BS16*SALUD_Mes_Constante!$BP$1</f>
        <v>0</v>
      </c>
      <c r="BT16" s="8">
        <f>+MINVU_Mes_Corriente!BT16*SALUD_Mes_Constante!$BP$1</f>
        <v>0</v>
      </c>
      <c r="BU16" s="8">
        <f>+MINVU_Mes_Corriente!BU16*SALUD_Mes_Constante!$BP$1</f>
        <v>0</v>
      </c>
      <c r="BV16" s="8">
        <f>+MINVU_Mes_Corriente!BV16*SALUD_Mes_Constante!$BP$1</f>
        <v>0</v>
      </c>
      <c r="BW16" s="8">
        <f>+MINVU_Mes_Corriente!BW16*SALUD_Mes_Constante!$BP$1</f>
        <v>0</v>
      </c>
      <c r="BX16" s="8">
        <f>+MINVU_Mes_Corriente!BX16*SALUD_Mes_Constante!$BP$1</f>
        <v>0</v>
      </c>
      <c r="BY16" s="8">
        <f>+MINVU_Mes_Corriente!BY16*SALUD_Mes_Constante!$BP$1</f>
        <v>0</v>
      </c>
      <c r="BZ16" s="8">
        <f>+MINVU_Mes_Corriente!BZ16*SALUD_Mes_Constante!$BP$1</f>
        <v>0</v>
      </c>
      <c r="CA16" s="8">
        <f>+MINVU_Mes_Corriente!CA16*SALUD_Mes_Constante!$BP$1</f>
        <v>0</v>
      </c>
      <c r="CB16" s="9">
        <f t="shared" si="5"/>
        <v>0</v>
      </c>
      <c r="CC16" s="8">
        <f>+MINVU_Mes_Corriente!CC16*SALUD_Mes_Constante!$CC$1</f>
        <v>0</v>
      </c>
      <c r="CD16" s="8">
        <f>+MINVU_Mes_Corriente!CD16*SALUD_Mes_Constante!$CC$1</f>
        <v>0</v>
      </c>
      <c r="CE16" s="8">
        <f>+MINVU_Mes_Corriente!CE16*SALUD_Mes_Constante!$CC$1</f>
        <v>0</v>
      </c>
      <c r="CF16" s="8">
        <f>+MINVU_Mes_Corriente!CF16*SALUD_Mes_Constante!$CC$1</f>
        <v>0</v>
      </c>
      <c r="CG16" s="8">
        <f>+MINVU_Mes_Corriente!CG16*SALUD_Mes_Constante!$CC$1</f>
        <v>0</v>
      </c>
      <c r="CH16" s="8">
        <f>+MINVU_Mes_Corriente!CH16*SALUD_Mes_Constante!$CC$1</f>
        <v>0</v>
      </c>
      <c r="CI16" s="8">
        <f>+MINVU_Mes_Corriente!CI16*SALUD_Mes_Constante!$CC$1</f>
        <v>0</v>
      </c>
      <c r="CJ16" s="8">
        <f>+MINVU_Mes_Corriente!CJ16*SALUD_Mes_Constante!$CC$1</f>
        <v>0</v>
      </c>
      <c r="CK16" s="8">
        <f>+MINVU_Mes_Corriente!CK16*SALUD_Mes_Constante!$CC$1</f>
        <v>0</v>
      </c>
      <c r="CL16" s="8">
        <f>+MINVU_Mes_Corriente!CL16*SALUD_Mes_Constante!$CC$1</f>
        <v>0</v>
      </c>
      <c r="CM16" s="8">
        <f>+MINVU_Mes_Corriente!CM16*SALUD_Mes_Constante!$CC$1</f>
        <v>0</v>
      </c>
      <c r="CN16" s="8">
        <f>+MINVU_Mes_Corriente!CN16*SALUD_Mes_Constante!$CC$1</f>
        <v>0</v>
      </c>
      <c r="CO16" s="9">
        <f t="shared" si="6"/>
        <v>0</v>
      </c>
      <c r="CP16" s="8">
        <f>+MINVU_Mes_Corriente!CP16*SALUD_Mes_Constante!$CP$1</f>
        <v>0</v>
      </c>
      <c r="CQ16" s="8">
        <f>+MINVU_Mes_Corriente!CQ16*SALUD_Mes_Constante!$CP$1</f>
        <v>0</v>
      </c>
      <c r="CR16" s="8">
        <f>+MINVU_Mes_Corriente!CR16*SALUD_Mes_Constante!$CP$1</f>
        <v>0</v>
      </c>
      <c r="CS16" s="8">
        <f>+MINVU_Mes_Corriente!CS16*SALUD_Mes_Constante!$CP$1</f>
        <v>0</v>
      </c>
      <c r="CT16" s="8">
        <f>+MINVU_Mes_Corriente!CT16*SALUD_Mes_Constante!$CP$1</f>
        <v>0</v>
      </c>
      <c r="CU16" s="8">
        <f>+MINVU_Mes_Corriente!CU16*SALUD_Mes_Constante!$CP$1</f>
        <v>0</v>
      </c>
      <c r="CV16" s="8">
        <f>+MINVU_Mes_Corriente!CV16*SALUD_Mes_Constante!$CP$1</f>
        <v>0</v>
      </c>
      <c r="CW16" s="8">
        <f>+MINVU_Mes_Corriente!CW16*SALUD_Mes_Constante!$CP$1</f>
        <v>0</v>
      </c>
      <c r="CX16" s="8">
        <f>+MINVU_Mes_Corriente!CX16*SALUD_Mes_Constante!$CP$1</f>
        <v>0</v>
      </c>
      <c r="CY16" s="8">
        <f>+MINVU_Mes_Corriente!CY16*SALUD_Mes_Constante!$CP$1</f>
        <v>0</v>
      </c>
      <c r="CZ16" s="8">
        <f>+MINVU_Mes_Corriente!CZ16*SALUD_Mes_Constante!$CP$1</f>
        <v>0</v>
      </c>
      <c r="DA16" s="8">
        <f>+MINVU_Mes_Corriente!DA16*SALUD_Mes_Constante!$CP$1</f>
        <v>0</v>
      </c>
      <c r="DB16" s="9">
        <f t="shared" si="7"/>
        <v>0</v>
      </c>
      <c r="DC16" s="8">
        <f>+MINVU_Mes_Corriente!DC16*SALUD_Mes_Constante!$DC$1</f>
        <v>0</v>
      </c>
      <c r="DD16" s="8">
        <f>+MINVU_Mes_Corriente!DD16*SALUD_Mes_Constante!$DC$1</f>
        <v>0</v>
      </c>
      <c r="DE16" s="8">
        <f>+MINVU_Mes_Corriente!DE16*SALUD_Mes_Constante!$DC$1</f>
        <v>0</v>
      </c>
      <c r="DF16" s="8">
        <f>+MINVU_Mes_Corriente!DF16*SALUD_Mes_Constante!$DC$1</f>
        <v>0</v>
      </c>
      <c r="DG16" s="8">
        <f>+MINVU_Mes_Corriente!DG16*SALUD_Mes_Constante!$DC$1</f>
        <v>0</v>
      </c>
      <c r="DH16" s="8">
        <f>+MINVU_Mes_Corriente!DH16*SALUD_Mes_Constante!$DC$1</f>
        <v>0</v>
      </c>
      <c r="DI16" s="8">
        <f>+MINVU_Mes_Corriente!DI16*SALUD_Mes_Constante!$DC$1</f>
        <v>0</v>
      </c>
      <c r="DJ16" s="8">
        <f>+MINVU_Mes_Corriente!DJ16*SALUD_Mes_Constante!$DC$1</f>
        <v>0</v>
      </c>
      <c r="DK16" s="8">
        <f>+MINVU_Mes_Corriente!DK16*SALUD_Mes_Constante!$DC$1</f>
        <v>0</v>
      </c>
      <c r="DL16" s="8">
        <f>+MINVU_Mes_Corriente!DL16*SALUD_Mes_Constante!$DC$1</f>
        <v>0</v>
      </c>
      <c r="DM16" s="8">
        <f>+MINVU_Mes_Corriente!DM16*SALUD_Mes_Constante!$DC$1</f>
        <v>0</v>
      </c>
      <c r="DN16" s="8">
        <f>+MINVU_Mes_Corriente!DN16*SALUD_Mes_Constante!$DC$1</f>
        <v>0</v>
      </c>
      <c r="DO16" s="9">
        <f t="shared" si="8"/>
        <v>0</v>
      </c>
      <c r="DP16" s="8">
        <f>+MINVU_Mes_Corriente!DP16*SALUD_Mes_Constante!$DP$1</f>
        <v>0</v>
      </c>
      <c r="DQ16" s="8">
        <f>+MINVU_Mes_Corriente!DQ16*SALUD_Mes_Constante!$DP$1</f>
        <v>0</v>
      </c>
      <c r="DR16" s="8">
        <f>+MINVU_Mes_Corriente!DR16*SALUD_Mes_Constante!$DP$1</f>
        <v>0</v>
      </c>
      <c r="DS16" s="8">
        <f>+MINVU_Mes_Corriente!DS16*SALUD_Mes_Constante!$DP$1</f>
        <v>0</v>
      </c>
      <c r="DT16" s="8">
        <f>+MINVU_Mes_Corriente!DT16*SALUD_Mes_Constante!$DP$1</f>
        <v>0</v>
      </c>
      <c r="DU16" s="8">
        <f>+MINVU_Mes_Corriente!DU16*SALUD_Mes_Constante!$DP$1</f>
        <v>0</v>
      </c>
      <c r="DV16" s="8">
        <f>+MINVU_Mes_Corriente!DV16*SALUD_Mes_Constante!$DP$1</f>
        <v>0</v>
      </c>
      <c r="DW16" s="8">
        <f>+MINVU_Mes_Corriente!DW16*SALUD_Mes_Constante!$DP$1</f>
        <v>0</v>
      </c>
      <c r="DX16" s="8">
        <f>+MINVU_Mes_Corriente!DX16*SALUD_Mes_Constante!$DP$1</f>
        <v>0</v>
      </c>
      <c r="DY16" s="8">
        <f>+MINVU_Mes_Corriente!DY16*SALUD_Mes_Constante!$DP$1</f>
        <v>0</v>
      </c>
      <c r="DZ16" s="8">
        <f>+MINVU_Mes_Corriente!DZ16*SALUD_Mes_Constante!$DP$1</f>
        <v>0</v>
      </c>
      <c r="EA16" s="8">
        <f>+MINVU_Mes_Corriente!EA16*SALUD_Mes_Constante!$DP$1</f>
        <v>0</v>
      </c>
      <c r="EB16" s="9">
        <f t="shared" si="9"/>
        <v>0</v>
      </c>
      <c r="EC16" s="8">
        <f>+MINVU_Mes_Corriente!EC16*SALUD_Mes_Constante!$EC$1</f>
        <v>0</v>
      </c>
      <c r="ED16" s="8">
        <f>+MINVU_Mes_Corriente!ED16*SALUD_Mes_Constante!$EC$1</f>
        <v>0</v>
      </c>
      <c r="EE16" s="8">
        <f>+MINVU_Mes_Corriente!EE16*SALUD_Mes_Constante!$EC$1</f>
        <v>0</v>
      </c>
      <c r="EF16" s="8">
        <f>+MINVU_Mes_Corriente!EF16*SALUD_Mes_Constante!$EC$1</f>
        <v>0</v>
      </c>
      <c r="EG16" s="8">
        <f>+MINVU_Mes_Corriente!EG16*SALUD_Mes_Constante!$EC$1</f>
        <v>0</v>
      </c>
      <c r="EH16" s="8">
        <f>+MINVU_Mes_Corriente!EH16*SALUD_Mes_Constante!$EC$1</f>
        <v>0</v>
      </c>
      <c r="EI16" s="8">
        <f>+MINVU_Mes_Corriente!EI16*SALUD_Mes_Constante!$EC$1</f>
        <v>0</v>
      </c>
      <c r="EJ16" s="8">
        <f>+MINVU_Mes_Corriente!EJ16*SALUD_Mes_Constante!$EC$1</f>
        <v>0</v>
      </c>
      <c r="EK16" s="8">
        <f>+MINVU_Mes_Corriente!EK16*SALUD_Mes_Constante!$EC$1</f>
        <v>0</v>
      </c>
      <c r="EL16" s="8">
        <f>+MINVU_Mes_Corriente!EL16*SALUD_Mes_Constante!$EC$1</f>
        <v>0</v>
      </c>
      <c r="EM16" s="8">
        <f>+MINVU_Mes_Corriente!EM16*SALUD_Mes_Constante!$EC$1</f>
        <v>0</v>
      </c>
      <c r="EN16" s="8">
        <f>+MINVU_Mes_Corriente!EN16*SALUD_Mes_Constante!$EC$1</f>
        <v>0</v>
      </c>
      <c r="EO16" s="9">
        <f t="shared" si="10"/>
        <v>0</v>
      </c>
      <c r="EP16" s="8">
        <f>+MINVU_Mes_Corriente!EP16*SALUD_Mes_Constante!$EP$1</f>
        <v>0</v>
      </c>
      <c r="EQ16" s="8">
        <f>+MINVU_Mes_Corriente!EQ16*SALUD_Mes_Constante!$EP$1</f>
        <v>0</v>
      </c>
      <c r="ER16" s="8">
        <f>+MINVU_Mes_Corriente!ER16*SALUD_Mes_Constante!$EP$1</f>
        <v>0</v>
      </c>
      <c r="ES16" s="8">
        <f>+MINVU_Mes_Corriente!ES16*SALUD_Mes_Constante!$EP$1</f>
        <v>0</v>
      </c>
      <c r="ET16" s="8">
        <f>+MINVU_Mes_Corriente!ET16*SALUD_Mes_Constante!$EP$1</f>
        <v>0</v>
      </c>
      <c r="EU16" s="8">
        <f>+MINVU_Mes_Corriente!EU16*SALUD_Mes_Constante!$EP$1</f>
        <v>0</v>
      </c>
      <c r="EV16" s="8">
        <f>+MINVU_Mes_Corriente!EV16*SALUD_Mes_Constante!$EP$1</f>
        <v>0</v>
      </c>
      <c r="EW16" s="8">
        <f>+MINVU_Mes_Corriente!EW16*SALUD_Mes_Constante!$EP$1</f>
        <v>0</v>
      </c>
      <c r="EX16" s="8">
        <f>+MINVU_Mes_Corriente!EX16*SALUD_Mes_Constante!$EP$1</f>
        <v>0</v>
      </c>
      <c r="EY16" s="8">
        <f>+MINVU_Mes_Corriente!EY16*SALUD_Mes_Constante!$EP$1</f>
        <v>0</v>
      </c>
      <c r="EZ16" s="8">
        <f>+MINVU_Mes_Corriente!EZ16*SALUD_Mes_Constante!$EP$1</f>
        <v>0</v>
      </c>
      <c r="FA16" s="8">
        <f>+MINVU_Mes_Corriente!FA16*SALUD_Mes_Constante!$EP$1</f>
        <v>0</v>
      </c>
      <c r="FB16" s="9">
        <f t="shared" si="11"/>
        <v>0</v>
      </c>
      <c r="FC16" s="8">
        <f>+MINVU_Mes_Corriente!FC16*SALUD_Mes_Constante!$FC$1</f>
        <v>21931475</v>
      </c>
      <c r="FD16" s="8">
        <f>+MINVU_Mes_Corriente!FD16*SALUD_Mes_Constante!$FC$1</f>
        <v>21931475</v>
      </c>
      <c r="FE16" s="8">
        <f>+MINVU_Mes_Corriente!FE16*SALUD_Mes_Constante!$FC$1</f>
        <v>21931475</v>
      </c>
      <c r="FF16" s="8">
        <f>+MINVU_Mes_Corriente!FF16*SALUD_Mes_Constante!$FC$1</f>
        <v>21931475</v>
      </c>
      <c r="FG16" s="8">
        <f>+MINVU_Mes_Corriente!FG16*SALUD_Mes_Constante!$FC$1</f>
        <v>21931475</v>
      </c>
      <c r="FH16" s="8">
        <f>+MINVU_Mes_Corriente!FH16*SALUD_Mes_Constante!$FC$1</f>
        <v>21931475</v>
      </c>
      <c r="FI16" s="8">
        <f>+MINVU_Mes_Corriente!FI16*SALUD_Mes_Constante!$FC$1</f>
        <v>21931475</v>
      </c>
      <c r="FJ16" s="8"/>
      <c r="FK16" s="8"/>
      <c r="FL16" s="8"/>
      <c r="FM16" s="8"/>
      <c r="FN16" s="8"/>
      <c r="FO16" s="9">
        <f t="shared" si="12"/>
        <v>21931475</v>
      </c>
    </row>
    <row r="17" spans="2:171" ht="14.25" customHeight="1" x14ac:dyDescent="0.3">
      <c r="B17" s="7" t="s">
        <v>52</v>
      </c>
      <c r="C17" s="8">
        <f>+MINVU_Mes_Corriente!C17*SALUD_Mes_Constante!$C$1</f>
        <v>0</v>
      </c>
      <c r="D17" s="8">
        <f>+MINVU_Mes_Corriente!D17*SALUD_Mes_Constante!$C$1</f>
        <v>0</v>
      </c>
      <c r="E17" s="8">
        <f>+MINVU_Mes_Corriente!E17*SALUD_Mes_Constante!$C$1</f>
        <v>0</v>
      </c>
      <c r="F17" s="8">
        <f>+MINVU_Mes_Corriente!F17*SALUD_Mes_Constante!$C$1</f>
        <v>0</v>
      </c>
      <c r="G17" s="8">
        <f>+MINVU_Mes_Corriente!G17*SALUD_Mes_Constante!$C$1</f>
        <v>0</v>
      </c>
      <c r="H17" s="8">
        <f>+MINVU_Mes_Corriente!H17*SALUD_Mes_Constante!$C$1</f>
        <v>0</v>
      </c>
      <c r="I17" s="8">
        <f>+MINVU_Mes_Corriente!I17*SALUD_Mes_Constante!$C$1</f>
        <v>0</v>
      </c>
      <c r="J17" s="8">
        <f>+MINVU_Mes_Corriente!J17*SALUD_Mes_Constante!$C$1</f>
        <v>0</v>
      </c>
      <c r="K17" s="8">
        <f>+MINVU_Mes_Corriente!K17*SALUD_Mes_Constante!$C$1</f>
        <v>0</v>
      </c>
      <c r="L17" s="8">
        <f>+MINVU_Mes_Corriente!L17*SALUD_Mes_Constante!$C$1</f>
        <v>0</v>
      </c>
      <c r="M17" s="8">
        <f>+MINVU_Mes_Corriente!M17*SALUD_Mes_Constante!$C$1</f>
        <v>0</v>
      </c>
      <c r="N17" s="8">
        <f>+MINVU_Mes_Corriente!N17*SALUD_Mes_Constante!$C$1</f>
        <v>0</v>
      </c>
      <c r="O17" s="9">
        <f t="shared" si="0"/>
        <v>0</v>
      </c>
      <c r="P17" s="8">
        <f>+MINVU_Mes_Corriente!P17*SALUD_Mes_Constante!$P$1</f>
        <v>0</v>
      </c>
      <c r="Q17" s="8">
        <f>+MINVU_Mes_Corriente!Q17*SALUD_Mes_Constante!$P$1</f>
        <v>0</v>
      </c>
      <c r="R17" s="8">
        <f>+MINVU_Mes_Corriente!R17*SALUD_Mes_Constante!$P$1</f>
        <v>0</v>
      </c>
      <c r="S17" s="8">
        <f>+MINVU_Mes_Corriente!S17*SALUD_Mes_Constante!$P$1</f>
        <v>0</v>
      </c>
      <c r="T17" s="8">
        <f>+MINVU_Mes_Corriente!T17*SALUD_Mes_Constante!$P$1</f>
        <v>0</v>
      </c>
      <c r="U17" s="8">
        <f>+MINVU_Mes_Corriente!U17*SALUD_Mes_Constante!$P$1</f>
        <v>0</v>
      </c>
      <c r="V17" s="8">
        <f>+MINVU_Mes_Corriente!V17*SALUD_Mes_Constante!$P$1</f>
        <v>0</v>
      </c>
      <c r="W17" s="8">
        <f>+MINVU_Mes_Corriente!W17*SALUD_Mes_Constante!$P$1</f>
        <v>0</v>
      </c>
      <c r="X17" s="8">
        <f>+MINVU_Mes_Corriente!X17*SALUD_Mes_Constante!$P$1</f>
        <v>0</v>
      </c>
      <c r="Y17" s="8">
        <f>+MINVU_Mes_Corriente!Y17*SALUD_Mes_Constante!$P$1</f>
        <v>0</v>
      </c>
      <c r="Z17" s="8">
        <f>+MINVU_Mes_Corriente!Z17*SALUD_Mes_Constante!$P$1</f>
        <v>0</v>
      </c>
      <c r="AA17" s="8">
        <f>+MINVU_Mes_Corriente!AA17*SALUD_Mes_Constante!$P$1</f>
        <v>0</v>
      </c>
      <c r="AB17" s="9">
        <f t="shared" si="1"/>
        <v>0</v>
      </c>
      <c r="AC17" s="8">
        <f>+MINVU_Mes_Corriente!AC17*SALUD_Mes_Constante!$AC$1</f>
        <v>0</v>
      </c>
      <c r="AD17" s="8">
        <f>+MINVU_Mes_Corriente!AD17*SALUD_Mes_Constante!$AC$1</f>
        <v>0</v>
      </c>
      <c r="AE17" s="8">
        <f>+MINVU_Mes_Corriente!AE17*SALUD_Mes_Constante!$AC$1</f>
        <v>0</v>
      </c>
      <c r="AF17" s="8">
        <f>+MINVU_Mes_Corriente!AF17*SALUD_Mes_Constante!$AC$1</f>
        <v>0</v>
      </c>
      <c r="AG17" s="8">
        <f>+MINVU_Mes_Corriente!AG17*SALUD_Mes_Constante!$AC$1</f>
        <v>0</v>
      </c>
      <c r="AH17" s="8">
        <f>+MINVU_Mes_Corriente!AH17*SALUD_Mes_Constante!$AC$1</f>
        <v>0</v>
      </c>
      <c r="AI17" s="8">
        <f>+MINVU_Mes_Corriente!AI17*SALUD_Mes_Constante!$AC$1</f>
        <v>0</v>
      </c>
      <c r="AJ17" s="8">
        <f>+MINVU_Mes_Corriente!AJ17*SALUD_Mes_Constante!$AC$1</f>
        <v>0</v>
      </c>
      <c r="AK17" s="8">
        <f>+MINVU_Mes_Corriente!AK17*SALUD_Mes_Constante!$AC$1</f>
        <v>0</v>
      </c>
      <c r="AL17" s="8">
        <f>+MINVU_Mes_Corriente!AL17*SALUD_Mes_Constante!$AC$1</f>
        <v>0</v>
      </c>
      <c r="AM17" s="8">
        <f>+MINVU_Mes_Corriente!AM17*SALUD_Mes_Constante!$AC$1</f>
        <v>0</v>
      </c>
      <c r="AN17" s="8">
        <f>+MINVU_Mes_Corriente!AN17*SALUD_Mes_Constante!$AC$1</f>
        <v>0</v>
      </c>
      <c r="AO17" s="9">
        <f t="shared" si="2"/>
        <v>0</v>
      </c>
      <c r="AP17" s="8">
        <f>+MINVU_Mes_Corriente!AP17*SALUD_Mes_Constante!$AP$1</f>
        <v>0</v>
      </c>
      <c r="AQ17" s="8">
        <f>+MINVU_Mes_Corriente!AQ17*SALUD_Mes_Constante!$AP$1</f>
        <v>0</v>
      </c>
      <c r="AR17" s="8">
        <f>+MINVU_Mes_Corriente!AR17*SALUD_Mes_Constante!$AP$1</f>
        <v>0</v>
      </c>
      <c r="AS17" s="8">
        <f>+MINVU_Mes_Corriente!AS17*SALUD_Mes_Constante!$AP$1</f>
        <v>0</v>
      </c>
      <c r="AT17" s="8">
        <f>+MINVU_Mes_Corriente!AT17*SALUD_Mes_Constante!$AP$1</f>
        <v>0</v>
      </c>
      <c r="AU17" s="8">
        <f>+MINVU_Mes_Corriente!AU17*SALUD_Mes_Constante!$AP$1</f>
        <v>0</v>
      </c>
      <c r="AV17" s="8">
        <f>+MINVU_Mes_Corriente!AV17*SALUD_Mes_Constante!$AP$1</f>
        <v>0</v>
      </c>
      <c r="AW17" s="8">
        <f>+MINVU_Mes_Corriente!AW17*SALUD_Mes_Constante!$AP$1</f>
        <v>0</v>
      </c>
      <c r="AX17" s="8">
        <f>+MINVU_Mes_Corriente!AX17*SALUD_Mes_Constante!$AP$1</f>
        <v>0</v>
      </c>
      <c r="AY17" s="8">
        <f>+MINVU_Mes_Corriente!AY17*SALUD_Mes_Constante!$AP$1</f>
        <v>0</v>
      </c>
      <c r="AZ17" s="8">
        <f>+MINVU_Mes_Corriente!AZ17*SALUD_Mes_Constante!$AP$1</f>
        <v>0</v>
      </c>
      <c r="BA17" s="8">
        <f>+MINVU_Mes_Corriente!BA17*SALUD_Mes_Constante!$AP$1</f>
        <v>0</v>
      </c>
      <c r="BB17" s="9">
        <f t="shared" si="3"/>
        <v>0</v>
      </c>
      <c r="BC17" s="8">
        <f>+MINVU_Mes_Corriente!BC17*SALUD_Mes_Constante!$BC$1</f>
        <v>0</v>
      </c>
      <c r="BD17" s="8">
        <f>+MINVU_Mes_Corriente!BD17*SALUD_Mes_Constante!$BC$1</f>
        <v>0</v>
      </c>
      <c r="BE17" s="8">
        <f>+MINVU_Mes_Corriente!BE17*SALUD_Mes_Constante!$BC$1</f>
        <v>0</v>
      </c>
      <c r="BF17" s="8">
        <f>+MINVU_Mes_Corriente!BF17*SALUD_Mes_Constante!$BC$1</f>
        <v>0</v>
      </c>
      <c r="BG17" s="8">
        <f>+MINVU_Mes_Corriente!BG17*SALUD_Mes_Constante!$BC$1</f>
        <v>0</v>
      </c>
      <c r="BH17" s="8">
        <f>+MINVU_Mes_Corriente!BH17*SALUD_Mes_Constante!$BC$1</f>
        <v>0</v>
      </c>
      <c r="BI17" s="8">
        <f>+MINVU_Mes_Corriente!BI17*SALUD_Mes_Constante!$BC$1</f>
        <v>0</v>
      </c>
      <c r="BJ17" s="8">
        <f>+MINVU_Mes_Corriente!BJ17*SALUD_Mes_Constante!$BC$1</f>
        <v>0</v>
      </c>
      <c r="BK17" s="8">
        <f>+MINVU_Mes_Corriente!BK17*SALUD_Mes_Constante!$BC$1</f>
        <v>0</v>
      </c>
      <c r="BL17" s="8">
        <f>+MINVU_Mes_Corriente!BL17*SALUD_Mes_Constante!$BC$1</f>
        <v>0</v>
      </c>
      <c r="BM17" s="8">
        <f>+MINVU_Mes_Corriente!BM17*SALUD_Mes_Constante!$BC$1</f>
        <v>0</v>
      </c>
      <c r="BN17" s="8">
        <f>+MINVU_Mes_Corriente!BN17*SALUD_Mes_Constante!$BC$1</f>
        <v>0</v>
      </c>
      <c r="BO17" s="9">
        <f t="shared" si="4"/>
        <v>0</v>
      </c>
      <c r="BP17" s="8">
        <f>+MINVU_Mes_Corriente!BP17*SALUD_Mes_Constante!$BP$1</f>
        <v>0</v>
      </c>
      <c r="BQ17" s="8">
        <f>+MINVU_Mes_Corriente!BQ17*SALUD_Mes_Constante!$BP$1</f>
        <v>0</v>
      </c>
      <c r="BR17" s="8">
        <f>+MINVU_Mes_Corriente!BR17*SALUD_Mes_Constante!$BP$1</f>
        <v>0</v>
      </c>
      <c r="BS17" s="8">
        <f>+MINVU_Mes_Corriente!BS17*SALUD_Mes_Constante!$BP$1</f>
        <v>0</v>
      </c>
      <c r="BT17" s="8">
        <f>+MINVU_Mes_Corriente!BT17*SALUD_Mes_Constante!$BP$1</f>
        <v>0</v>
      </c>
      <c r="BU17" s="8">
        <f>+MINVU_Mes_Corriente!BU17*SALUD_Mes_Constante!$BP$1</f>
        <v>0</v>
      </c>
      <c r="BV17" s="8">
        <f>+MINVU_Mes_Corriente!BV17*SALUD_Mes_Constante!$BP$1</f>
        <v>0</v>
      </c>
      <c r="BW17" s="8">
        <f>+MINVU_Mes_Corriente!BW17*SALUD_Mes_Constante!$BP$1</f>
        <v>0</v>
      </c>
      <c r="BX17" s="8">
        <f>+MINVU_Mes_Corriente!BX17*SALUD_Mes_Constante!$BP$1</f>
        <v>0</v>
      </c>
      <c r="BY17" s="8">
        <f>+MINVU_Mes_Corriente!BY17*SALUD_Mes_Constante!$BP$1</f>
        <v>0</v>
      </c>
      <c r="BZ17" s="8">
        <f>+MINVU_Mes_Corriente!BZ17*SALUD_Mes_Constante!$BP$1</f>
        <v>0</v>
      </c>
      <c r="CA17" s="8">
        <f>+MINVU_Mes_Corriente!CA17*SALUD_Mes_Constante!$BP$1</f>
        <v>0</v>
      </c>
      <c r="CB17" s="9">
        <f t="shared" si="5"/>
        <v>0</v>
      </c>
      <c r="CC17" s="8">
        <f>+MINVU_Mes_Corriente!CC17*SALUD_Mes_Constante!$CC$1</f>
        <v>0</v>
      </c>
      <c r="CD17" s="8">
        <f>+MINVU_Mes_Corriente!CD17*SALUD_Mes_Constante!$CC$1</f>
        <v>0</v>
      </c>
      <c r="CE17" s="8">
        <f>+MINVU_Mes_Corriente!CE17*SALUD_Mes_Constante!$CC$1</f>
        <v>0</v>
      </c>
      <c r="CF17" s="8">
        <f>+MINVU_Mes_Corriente!CF17*SALUD_Mes_Constante!$CC$1</f>
        <v>0</v>
      </c>
      <c r="CG17" s="8">
        <f>+MINVU_Mes_Corriente!CG17*SALUD_Mes_Constante!$CC$1</f>
        <v>0</v>
      </c>
      <c r="CH17" s="8">
        <f>+MINVU_Mes_Corriente!CH17*SALUD_Mes_Constante!$CC$1</f>
        <v>0</v>
      </c>
      <c r="CI17" s="8">
        <f>+MINVU_Mes_Corriente!CI17*SALUD_Mes_Constante!$CC$1</f>
        <v>0</v>
      </c>
      <c r="CJ17" s="8">
        <f>+MINVU_Mes_Corriente!CJ17*SALUD_Mes_Constante!$CC$1</f>
        <v>0</v>
      </c>
      <c r="CK17" s="8">
        <f>+MINVU_Mes_Corriente!CK17*SALUD_Mes_Constante!$CC$1</f>
        <v>0</v>
      </c>
      <c r="CL17" s="8">
        <f>+MINVU_Mes_Corriente!CL17*SALUD_Mes_Constante!$CC$1</f>
        <v>0</v>
      </c>
      <c r="CM17" s="8">
        <f>+MINVU_Mes_Corriente!CM17*SALUD_Mes_Constante!$CC$1</f>
        <v>0</v>
      </c>
      <c r="CN17" s="8">
        <f>+MINVU_Mes_Corriente!CN17*SALUD_Mes_Constante!$CC$1</f>
        <v>0</v>
      </c>
      <c r="CO17" s="9">
        <f t="shared" si="6"/>
        <v>0</v>
      </c>
      <c r="CP17" s="8">
        <f>+MINVU_Mes_Corriente!CP17*SALUD_Mes_Constante!$CP$1</f>
        <v>0</v>
      </c>
      <c r="CQ17" s="8">
        <f>+MINVU_Mes_Corriente!CQ17*SALUD_Mes_Constante!$CP$1</f>
        <v>0</v>
      </c>
      <c r="CR17" s="8">
        <f>+MINVU_Mes_Corriente!CR17*SALUD_Mes_Constante!$CP$1</f>
        <v>0</v>
      </c>
      <c r="CS17" s="8">
        <f>+MINVU_Mes_Corriente!CS17*SALUD_Mes_Constante!$CP$1</f>
        <v>0</v>
      </c>
      <c r="CT17" s="8">
        <f>+MINVU_Mes_Corriente!CT17*SALUD_Mes_Constante!$CP$1</f>
        <v>0</v>
      </c>
      <c r="CU17" s="8">
        <f>+MINVU_Mes_Corriente!CU17*SALUD_Mes_Constante!$CP$1</f>
        <v>0</v>
      </c>
      <c r="CV17" s="8">
        <f>+MINVU_Mes_Corriente!CV17*SALUD_Mes_Constante!$CP$1</f>
        <v>0</v>
      </c>
      <c r="CW17" s="8">
        <f>+MINVU_Mes_Corriente!CW17*SALUD_Mes_Constante!$CP$1</f>
        <v>0</v>
      </c>
      <c r="CX17" s="8">
        <f>+MINVU_Mes_Corriente!CX17*SALUD_Mes_Constante!$CP$1</f>
        <v>0</v>
      </c>
      <c r="CY17" s="8">
        <f>+MINVU_Mes_Corriente!CY17*SALUD_Mes_Constante!$CP$1</f>
        <v>0</v>
      </c>
      <c r="CZ17" s="8">
        <f>+MINVU_Mes_Corriente!CZ17*SALUD_Mes_Constante!$CP$1</f>
        <v>0</v>
      </c>
      <c r="DA17" s="8">
        <f>+MINVU_Mes_Corriente!DA17*SALUD_Mes_Constante!$CP$1</f>
        <v>0</v>
      </c>
      <c r="DB17" s="9">
        <f t="shared" si="7"/>
        <v>0</v>
      </c>
      <c r="DC17" s="8">
        <f>+MINVU_Mes_Corriente!DC17*SALUD_Mes_Constante!$DC$1</f>
        <v>0</v>
      </c>
      <c r="DD17" s="8">
        <f>+MINVU_Mes_Corriente!DD17*SALUD_Mes_Constante!$DC$1</f>
        <v>0</v>
      </c>
      <c r="DE17" s="8">
        <f>+MINVU_Mes_Corriente!DE17*SALUD_Mes_Constante!$DC$1</f>
        <v>0</v>
      </c>
      <c r="DF17" s="8">
        <f>+MINVU_Mes_Corriente!DF17*SALUD_Mes_Constante!$DC$1</f>
        <v>0</v>
      </c>
      <c r="DG17" s="8">
        <f>+MINVU_Mes_Corriente!DG17*SALUD_Mes_Constante!$DC$1</f>
        <v>0</v>
      </c>
      <c r="DH17" s="8">
        <f>+MINVU_Mes_Corriente!DH17*SALUD_Mes_Constante!$DC$1</f>
        <v>0</v>
      </c>
      <c r="DI17" s="8">
        <f>+MINVU_Mes_Corriente!DI17*SALUD_Mes_Constante!$DC$1</f>
        <v>0</v>
      </c>
      <c r="DJ17" s="8">
        <f>+MINVU_Mes_Corriente!DJ17*SALUD_Mes_Constante!$DC$1</f>
        <v>0</v>
      </c>
      <c r="DK17" s="8">
        <f>+MINVU_Mes_Corriente!DK17*SALUD_Mes_Constante!$DC$1</f>
        <v>0</v>
      </c>
      <c r="DL17" s="8">
        <f>+MINVU_Mes_Corriente!DL17*SALUD_Mes_Constante!$DC$1</f>
        <v>0</v>
      </c>
      <c r="DM17" s="8">
        <f>+MINVU_Mes_Corriente!DM17*SALUD_Mes_Constante!$DC$1</f>
        <v>0</v>
      </c>
      <c r="DN17" s="8">
        <f>+MINVU_Mes_Corriente!DN17*SALUD_Mes_Constante!$DC$1</f>
        <v>0</v>
      </c>
      <c r="DO17" s="9">
        <f t="shared" si="8"/>
        <v>0</v>
      </c>
      <c r="DP17" s="8">
        <f>+MINVU_Mes_Corriente!DP17*SALUD_Mes_Constante!$DP$1</f>
        <v>0</v>
      </c>
      <c r="DQ17" s="8">
        <f>+MINVU_Mes_Corriente!DQ17*SALUD_Mes_Constante!$DP$1</f>
        <v>0</v>
      </c>
      <c r="DR17" s="8">
        <f>+MINVU_Mes_Corriente!DR17*SALUD_Mes_Constante!$DP$1</f>
        <v>0</v>
      </c>
      <c r="DS17" s="8">
        <f>+MINVU_Mes_Corriente!DS17*SALUD_Mes_Constante!$DP$1</f>
        <v>0</v>
      </c>
      <c r="DT17" s="8">
        <f>+MINVU_Mes_Corriente!DT17*SALUD_Mes_Constante!$DP$1</f>
        <v>0</v>
      </c>
      <c r="DU17" s="8">
        <f>+MINVU_Mes_Corriente!DU17*SALUD_Mes_Constante!$DP$1</f>
        <v>0</v>
      </c>
      <c r="DV17" s="8">
        <f>+MINVU_Mes_Corriente!DV17*SALUD_Mes_Constante!$DP$1</f>
        <v>0</v>
      </c>
      <c r="DW17" s="8">
        <f>+MINVU_Mes_Corriente!DW17*SALUD_Mes_Constante!$DP$1</f>
        <v>0</v>
      </c>
      <c r="DX17" s="8">
        <f>+MINVU_Mes_Corriente!DX17*SALUD_Mes_Constante!$DP$1</f>
        <v>0</v>
      </c>
      <c r="DY17" s="8">
        <f>+MINVU_Mes_Corriente!DY17*SALUD_Mes_Constante!$DP$1</f>
        <v>0</v>
      </c>
      <c r="DZ17" s="8">
        <f>+MINVU_Mes_Corriente!DZ17*SALUD_Mes_Constante!$DP$1</f>
        <v>0</v>
      </c>
      <c r="EA17" s="8">
        <f>+MINVU_Mes_Corriente!EA17*SALUD_Mes_Constante!$DP$1</f>
        <v>0</v>
      </c>
      <c r="EB17" s="9">
        <f t="shared" si="9"/>
        <v>0</v>
      </c>
      <c r="EC17" s="8">
        <f>+MINVU_Mes_Corriente!EC17*SALUD_Mes_Constante!$EC$1</f>
        <v>0</v>
      </c>
      <c r="ED17" s="8">
        <f>+MINVU_Mes_Corriente!ED17*SALUD_Mes_Constante!$EC$1</f>
        <v>0</v>
      </c>
      <c r="EE17" s="8">
        <f>+MINVU_Mes_Corriente!EE17*SALUD_Mes_Constante!$EC$1</f>
        <v>0</v>
      </c>
      <c r="EF17" s="8">
        <f>+MINVU_Mes_Corriente!EF17*SALUD_Mes_Constante!$EC$1</f>
        <v>0</v>
      </c>
      <c r="EG17" s="8">
        <f>+MINVU_Mes_Corriente!EG17*SALUD_Mes_Constante!$EC$1</f>
        <v>0</v>
      </c>
      <c r="EH17" s="8">
        <f>+MINVU_Mes_Corriente!EH17*SALUD_Mes_Constante!$EC$1</f>
        <v>0</v>
      </c>
      <c r="EI17" s="8">
        <f>+MINVU_Mes_Corriente!EI17*SALUD_Mes_Constante!$EC$1</f>
        <v>0</v>
      </c>
      <c r="EJ17" s="8">
        <f>+MINVU_Mes_Corriente!EJ17*SALUD_Mes_Constante!$EC$1</f>
        <v>0</v>
      </c>
      <c r="EK17" s="8">
        <f>+MINVU_Mes_Corriente!EK17*SALUD_Mes_Constante!$EC$1</f>
        <v>0</v>
      </c>
      <c r="EL17" s="8">
        <f>+MINVU_Mes_Corriente!EL17*SALUD_Mes_Constante!$EC$1</f>
        <v>0</v>
      </c>
      <c r="EM17" s="8">
        <f>+MINVU_Mes_Corriente!EM17*SALUD_Mes_Constante!$EC$1</f>
        <v>0</v>
      </c>
      <c r="EN17" s="8">
        <f>+MINVU_Mes_Corriente!EN17*SALUD_Mes_Constante!$EC$1</f>
        <v>0</v>
      </c>
      <c r="EO17" s="9">
        <f t="shared" si="10"/>
        <v>0</v>
      </c>
      <c r="EP17" s="8">
        <f>+MINVU_Mes_Corriente!EP17*SALUD_Mes_Constante!$EP$1</f>
        <v>0</v>
      </c>
      <c r="EQ17" s="8">
        <f>+MINVU_Mes_Corriente!EQ17*SALUD_Mes_Constante!$EP$1</f>
        <v>0</v>
      </c>
      <c r="ER17" s="8">
        <f>+MINVU_Mes_Corriente!ER17*SALUD_Mes_Constante!$EP$1</f>
        <v>0</v>
      </c>
      <c r="ES17" s="8">
        <f>+MINVU_Mes_Corriente!ES17*SALUD_Mes_Constante!$EP$1</f>
        <v>0</v>
      </c>
      <c r="ET17" s="8">
        <f>+MINVU_Mes_Corriente!ET17*SALUD_Mes_Constante!$EP$1</f>
        <v>0</v>
      </c>
      <c r="EU17" s="8">
        <f>+MINVU_Mes_Corriente!EU17*SALUD_Mes_Constante!$EP$1</f>
        <v>0</v>
      </c>
      <c r="EV17" s="8">
        <f>+MINVU_Mes_Corriente!EV17*SALUD_Mes_Constante!$EP$1</f>
        <v>0</v>
      </c>
      <c r="EW17" s="8">
        <f>+MINVU_Mes_Corriente!EW17*SALUD_Mes_Constante!$EP$1</f>
        <v>0</v>
      </c>
      <c r="EX17" s="8">
        <f>+MINVU_Mes_Corriente!EX17*SALUD_Mes_Constante!$EP$1</f>
        <v>0</v>
      </c>
      <c r="EY17" s="8">
        <f>+MINVU_Mes_Corriente!EY17*SALUD_Mes_Constante!$EP$1</f>
        <v>0</v>
      </c>
      <c r="EZ17" s="8">
        <f>+MINVU_Mes_Corriente!EZ17*SALUD_Mes_Constante!$EP$1</f>
        <v>0</v>
      </c>
      <c r="FA17" s="8">
        <f>+MINVU_Mes_Corriente!FA17*SALUD_Mes_Constante!$EP$1</f>
        <v>0</v>
      </c>
      <c r="FB17" s="9">
        <f t="shared" si="11"/>
        <v>0</v>
      </c>
      <c r="FC17" s="8">
        <f>+MINVU_Mes_Corriente!FC17*SALUD_Mes_Constante!$FC$1</f>
        <v>50768194</v>
      </c>
      <c r="FD17" s="8">
        <f>+MINVU_Mes_Corriente!FD17*SALUD_Mes_Constante!$FC$1</f>
        <v>50768194</v>
      </c>
      <c r="FE17" s="8">
        <f>+MINVU_Mes_Corriente!FE17*SALUD_Mes_Constante!$FC$1</f>
        <v>50768194</v>
      </c>
      <c r="FF17" s="8">
        <f>+MINVU_Mes_Corriente!FF17*SALUD_Mes_Constante!$FC$1</f>
        <v>50768194</v>
      </c>
      <c r="FG17" s="8">
        <f>+MINVU_Mes_Corriente!FG17*SALUD_Mes_Constante!$FC$1</f>
        <v>50768194</v>
      </c>
      <c r="FH17" s="8">
        <f>+MINVU_Mes_Corriente!FH17*SALUD_Mes_Constante!$FC$1</f>
        <v>50768194</v>
      </c>
      <c r="FI17" s="8">
        <f>+MINVU_Mes_Corriente!FI17*SALUD_Mes_Constante!$FC$1</f>
        <v>50768194</v>
      </c>
      <c r="FJ17" s="8"/>
      <c r="FK17" s="8"/>
      <c r="FL17" s="8"/>
      <c r="FM17" s="8"/>
      <c r="FN17" s="8"/>
      <c r="FO17" s="9">
        <f t="shared" si="12"/>
        <v>50768194</v>
      </c>
    </row>
    <row r="18" spans="2:171" ht="14.25" customHeight="1" x14ac:dyDescent="0.3">
      <c r="B18" s="7" t="s">
        <v>53</v>
      </c>
      <c r="C18" s="8">
        <f>+MINVU_Mes_Corriente!C18*SALUD_Mes_Constante!$C$1</f>
        <v>0</v>
      </c>
      <c r="D18" s="8">
        <f>+MINVU_Mes_Corriente!D18*SALUD_Mes_Constante!$C$1</f>
        <v>0</v>
      </c>
      <c r="E18" s="8">
        <f>+MINVU_Mes_Corriente!E18*SALUD_Mes_Constante!$C$1</f>
        <v>0</v>
      </c>
      <c r="F18" s="8">
        <f>+MINVU_Mes_Corriente!F18*SALUD_Mes_Constante!$C$1</f>
        <v>0</v>
      </c>
      <c r="G18" s="8">
        <f>+MINVU_Mes_Corriente!G18*SALUD_Mes_Constante!$C$1</f>
        <v>0</v>
      </c>
      <c r="H18" s="8">
        <f>+MINVU_Mes_Corriente!H18*SALUD_Mes_Constante!$C$1</f>
        <v>0</v>
      </c>
      <c r="I18" s="8">
        <f>+MINVU_Mes_Corriente!I18*SALUD_Mes_Constante!$C$1</f>
        <v>0</v>
      </c>
      <c r="J18" s="8">
        <f>+MINVU_Mes_Corriente!J18*SALUD_Mes_Constante!$C$1</f>
        <v>0</v>
      </c>
      <c r="K18" s="8">
        <f>+MINVU_Mes_Corriente!K18*SALUD_Mes_Constante!$C$1</f>
        <v>0</v>
      </c>
      <c r="L18" s="8">
        <f>+MINVU_Mes_Corriente!L18*SALUD_Mes_Constante!$C$1</f>
        <v>0</v>
      </c>
      <c r="M18" s="8">
        <f>+MINVU_Mes_Corriente!M18*SALUD_Mes_Constante!$C$1</f>
        <v>0</v>
      </c>
      <c r="N18" s="8">
        <f>+MINVU_Mes_Corriente!N18*SALUD_Mes_Constante!$C$1</f>
        <v>0</v>
      </c>
      <c r="O18" s="9">
        <f t="shared" si="0"/>
        <v>0</v>
      </c>
      <c r="P18" s="8">
        <f>+MINVU_Mes_Corriente!P18*SALUD_Mes_Constante!$P$1</f>
        <v>0</v>
      </c>
      <c r="Q18" s="8">
        <f>+MINVU_Mes_Corriente!Q18*SALUD_Mes_Constante!$P$1</f>
        <v>0</v>
      </c>
      <c r="R18" s="8">
        <f>+MINVU_Mes_Corriente!R18*SALUD_Mes_Constante!$P$1</f>
        <v>0</v>
      </c>
      <c r="S18" s="8">
        <f>+MINVU_Mes_Corriente!S18*SALUD_Mes_Constante!$P$1</f>
        <v>0</v>
      </c>
      <c r="T18" s="8">
        <f>+MINVU_Mes_Corriente!T18*SALUD_Mes_Constante!$P$1</f>
        <v>0</v>
      </c>
      <c r="U18" s="8">
        <f>+MINVU_Mes_Corriente!U18*SALUD_Mes_Constante!$P$1</f>
        <v>0</v>
      </c>
      <c r="V18" s="8">
        <f>+MINVU_Mes_Corriente!V18*SALUD_Mes_Constante!$P$1</f>
        <v>0</v>
      </c>
      <c r="W18" s="8">
        <f>+MINVU_Mes_Corriente!W18*SALUD_Mes_Constante!$P$1</f>
        <v>0</v>
      </c>
      <c r="X18" s="8">
        <f>+MINVU_Mes_Corriente!X18*SALUD_Mes_Constante!$P$1</f>
        <v>0</v>
      </c>
      <c r="Y18" s="8">
        <f>+MINVU_Mes_Corriente!Y18*SALUD_Mes_Constante!$P$1</f>
        <v>0</v>
      </c>
      <c r="Z18" s="8">
        <f>+MINVU_Mes_Corriente!Z18*SALUD_Mes_Constante!$P$1</f>
        <v>0</v>
      </c>
      <c r="AA18" s="8">
        <f>+MINVU_Mes_Corriente!AA18*SALUD_Mes_Constante!$P$1</f>
        <v>0</v>
      </c>
      <c r="AB18" s="9">
        <f t="shared" si="1"/>
        <v>0</v>
      </c>
      <c r="AC18" s="8">
        <f>+MINVU_Mes_Corriente!AC18*SALUD_Mes_Constante!$AC$1</f>
        <v>0</v>
      </c>
      <c r="AD18" s="8">
        <f>+MINVU_Mes_Corriente!AD18*SALUD_Mes_Constante!$AC$1</f>
        <v>0</v>
      </c>
      <c r="AE18" s="8">
        <f>+MINVU_Mes_Corriente!AE18*SALUD_Mes_Constante!$AC$1</f>
        <v>0</v>
      </c>
      <c r="AF18" s="8">
        <f>+MINVU_Mes_Corriente!AF18*SALUD_Mes_Constante!$AC$1</f>
        <v>0</v>
      </c>
      <c r="AG18" s="8">
        <f>+MINVU_Mes_Corriente!AG18*SALUD_Mes_Constante!$AC$1</f>
        <v>0</v>
      </c>
      <c r="AH18" s="8">
        <f>+MINVU_Mes_Corriente!AH18*SALUD_Mes_Constante!$AC$1</f>
        <v>0</v>
      </c>
      <c r="AI18" s="8">
        <f>+MINVU_Mes_Corriente!AI18*SALUD_Mes_Constante!$AC$1</f>
        <v>0</v>
      </c>
      <c r="AJ18" s="8">
        <f>+MINVU_Mes_Corriente!AJ18*SALUD_Mes_Constante!$AC$1</f>
        <v>0</v>
      </c>
      <c r="AK18" s="8">
        <f>+MINVU_Mes_Corriente!AK18*SALUD_Mes_Constante!$AC$1</f>
        <v>0</v>
      </c>
      <c r="AL18" s="8">
        <f>+MINVU_Mes_Corriente!AL18*SALUD_Mes_Constante!$AC$1</f>
        <v>0</v>
      </c>
      <c r="AM18" s="8">
        <f>+MINVU_Mes_Corriente!AM18*SALUD_Mes_Constante!$AC$1</f>
        <v>0</v>
      </c>
      <c r="AN18" s="8">
        <f>+MINVU_Mes_Corriente!AN18*SALUD_Mes_Constante!$AC$1</f>
        <v>0</v>
      </c>
      <c r="AO18" s="9">
        <f t="shared" si="2"/>
        <v>0</v>
      </c>
      <c r="AP18" s="8">
        <f>+MINVU_Mes_Corriente!AP18*SALUD_Mes_Constante!$AP$1</f>
        <v>0</v>
      </c>
      <c r="AQ18" s="8">
        <f>+MINVU_Mes_Corriente!AQ18*SALUD_Mes_Constante!$AP$1</f>
        <v>0</v>
      </c>
      <c r="AR18" s="8">
        <f>+MINVU_Mes_Corriente!AR18*SALUD_Mes_Constante!$AP$1</f>
        <v>0</v>
      </c>
      <c r="AS18" s="8">
        <f>+MINVU_Mes_Corriente!AS18*SALUD_Mes_Constante!$AP$1</f>
        <v>0</v>
      </c>
      <c r="AT18" s="8">
        <f>+MINVU_Mes_Corriente!AT18*SALUD_Mes_Constante!$AP$1</f>
        <v>0</v>
      </c>
      <c r="AU18" s="8">
        <f>+MINVU_Mes_Corriente!AU18*SALUD_Mes_Constante!$AP$1</f>
        <v>0</v>
      </c>
      <c r="AV18" s="8">
        <f>+MINVU_Mes_Corriente!AV18*SALUD_Mes_Constante!$AP$1</f>
        <v>0</v>
      </c>
      <c r="AW18" s="8">
        <f>+MINVU_Mes_Corriente!AW18*SALUD_Mes_Constante!$AP$1</f>
        <v>0</v>
      </c>
      <c r="AX18" s="8">
        <f>+MINVU_Mes_Corriente!AX18*SALUD_Mes_Constante!$AP$1</f>
        <v>0</v>
      </c>
      <c r="AY18" s="8">
        <f>+MINVU_Mes_Corriente!AY18*SALUD_Mes_Constante!$AP$1</f>
        <v>0</v>
      </c>
      <c r="AZ18" s="8">
        <f>+MINVU_Mes_Corriente!AZ18*SALUD_Mes_Constante!$AP$1</f>
        <v>0</v>
      </c>
      <c r="BA18" s="8">
        <f>+MINVU_Mes_Corriente!BA18*SALUD_Mes_Constante!$AP$1</f>
        <v>0</v>
      </c>
      <c r="BB18" s="9">
        <f t="shared" si="3"/>
        <v>0</v>
      </c>
      <c r="BC18" s="8">
        <f>+MINVU_Mes_Corriente!BC18*SALUD_Mes_Constante!$BC$1</f>
        <v>0</v>
      </c>
      <c r="BD18" s="8">
        <f>+MINVU_Mes_Corriente!BD18*SALUD_Mes_Constante!$BC$1</f>
        <v>0</v>
      </c>
      <c r="BE18" s="8">
        <f>+MINVU_Mes_Corriente!BE18*SALUD_Mes_Constante!$BC$1</f>
        <v>0</v>
      </c>
      <c r="BF18" s="8">
        <f>+MINVU_Mes_Corriente!BF18*SALUD_Mes_Constante!$BC$1</f>
        <v>0</v>
      </c>
      <c r="BG18" s="8">
        <f>+MINVU_Mes_Corriente!BG18*SALUD_Mes_Constante!$BC$1</f>
        <v>0</v>
      </c>
      <c r="BH18" s="8">
        <f>+MINVU_Mes_Corriente!BH18*SALUD_Mes_Constante!$BC$1</f>
        <v>0</v>
      </c>
      <c r="BI18" s="8">
        <f>+MINVU_Mes_Corriente!BI18*SALUD_Mes_Constante!$BC$1</f>
        <v>0</v>
      </c>
      <c r="BJ18" s="8">
        <f>+MINVU_Mes_Corriente!BJ18*SALUD_Mes_Constante!$BC$1</f>
        <v>0</v>
      </c>
      <c r="BK18" s="8">
        <f>+MINVU_Mes_Corriente!BK18*SALUD_Mes_Constante!$BC$1</f>
        <v>0</v>
      </c>
      <c r="BL18" s="8">
        <f>+MINVU_Mes_Corriente!BL18*SALUD_Mes_Constante!$BC$1</f>
        <v>0</v>
      </c>
      <c r="BM18" s="8">
        <f>+MINVU_Mes_Corriente!BM18*SALUD_Mes_Constante!$BC$1</f>
        <v>0</v>
      </c>
      <c r="BN18" s="8">
        <f>+MINVU_Mes_Corriente!BN18*SALUD_Mes_Constante!$BC$1</f>
        <v>0</v>
      </c>
      <c r="BO18" s="9">
        <f t="shared" si="4"/>
        <v>0</v>
      </c>
      <c r="BP18" s="8">
        <f>+MINVU_Mes_Corriente!BP18*SALUD_Mes_Constante!$BP$1</f>
        <v>0</v>
      </c>
      <c r="BQ18" s="8">
        <f>+MINVU_Mes_Corriente!BQ18*SALUD_Mes_Constante!$BP$1</f>
        <v>0</v>
      </c>
      <c r="BR18" s="8">
        <f>+MINVU_Mes_Corriente!BR18*SALUD_Mes_Constante!$BP$1</f>
        <v>0</v>
      </c>
      <c r="BS18" s="8">
        <f>+MINVU_Mes_Corriente!BS18*SALUD_Mes_Constante!$BP$1</f>
        <v>0</v>
      </c>
      <c r="BT18" s="8">
        <f>+MINVU_Mes_Corriente!BT18*SALUD_Mes_Constante!$BP$1</f>
        <v>0</v>
      </c>
      <c r="BU18" s="8">
        <f>+MINVU_Mes_Corriente!BU18*SALUD_Mes_Constante!$BP$1</f>
        <v>0</v>
      </c>
      <c r="BV18" s="8">
        <f>+MINVU_Mes_Corriente!BV18*SALUD_Mes_Constante!$BP$1</f>
        <v>0</v>
      </c>
      <c r="BW18" s="8">
        <f>+MINVU_Mes_Corriente!BW18*SALUD_Mes_Constante!$BP$1</f>
        <v>0</v>
      </c>
      <c r="BX18" s="8">
        <f>+MINVU_Mes_Corriente!BX18*SALUD_Mes_Constante!$BP$1</f>
        <v>0</v>
      </c>
      <c r="BY18" s="8">
        <f>+MINVU_Mes_Corriente!BY18*SALUD_Mes_Constante!$BP$1</f>
        <v>0</v>
      </c>
      <c r="BZ18" s="8">
        <f>+MINVU_Mes_Corriente!BZ18*SALUD_Mes_Constante!$BP$1</f>
        <v>0</v>
      </c>
      <c r="CA18" s="8">
        <f>+MINVU_Mes_Corriente!CA18*SALUD_Mes_Constante!$BP$1</f>
        <v>0</v>
      </c>
      <c r="CB18" s="9">
        <f t="shared" si="5"/>
        <v>0</v>
      </c>
      <c r="CC18" s="8">
        <f>+MINVU_Mes_Corriente!CC18*SALUD_Mes_Constante!$CC$1</f>
        <v>0</v>
      </c>
      <c r="CD18" s="8">
        <f>+MINVU_Mes_Corriente!CD18*SALUD_Mes_Constante!$CC$1</f>
        <v>0</v>
      </c>
      <c r="CE18" s="8">
        <f>+MINVU_Mes_Corriente!CE18*SALUD_Mes_Constante!$CC$1</f>
        <v>0</v>
      </c>
      <c r="CF18" s="8">
        <f>+MINVU_Mes_Corriente!CF18*SALUD_Mes_Constante!$CC$1</f>
        <v>0</v>
      </c>
      <c r="CG18" s="8">
        <f>+MINVU_Mes_Corriente!CG18*SALUD_Mes_Constante!$CC$1</f>
        <v>0</v>
      </c>
      <c r="CH18" s="8">
        <f>+MINVU_Mes_Corriente!CH18*SALUD_Mes_Constante!$CC$1</f>
        <v>0</v>
      </c>
      <c r="CI18" s="8">
        <f>+MINVU_Mes_Corriente!CI18*SALUD_Mes_Constante!$CC$1</f>
        <v>0</v>
      </c>
      <c r="CJ18" s="8">
        <f>+MINVU_Mes_Corriente!CJ18*SALUD_Mes_Constante!$CC$1</f>
        <v>0</v>
      </c>
      <c r="CK18" s="8">
        <f>+MINVU_Mes_Corriente!CK18*SALUD_Mes_Constante!$CC$1</f>
        <v>0</v>
      </c>
      <c r="CL18" s="8">
        <f>+MINVU_Mes_Corriente!CL18*SALUD_Mes_Constante!$CC$1</f>
        <v>0</v>
      </c>
      <c r="CM18" s="8">
        <f>+MINVU_Mes_Corriente!CM18*SALUD_Mes_Constante!$CC$1</f>
        <v>0</v>
      </c>
      <c r="CN18" s="8">
        <f>+MINVU_Mes_Corriente!CN18*SALUD_Mes_Constante!$CC$1</f>
        <v>0</v>
      </c>
      <c r="CO18" s="9">
        <f t="shared" si="6"/>
        <v>0</v>
      </c>
      <c r="CP18" s="8">
        <f>+MINVU_Mes_Corriente!CP18*SALUD_Mes_Constante!$CP$1</f>
        <v>0</v>
      </c>
      <c r="CQ18" s="8">
        <f>+MINVU_Mes_Corriente!CQ18*SALUD_Mes_Constante!$CP$1</f>
        <v>0</v>
      </c>
      <c r="CR18" s="8">
        <f>+MINVU_Mes_Corriente!CR18*SALUD_Mes_Constante!$CP$1</f>
        <v>0</v>
      </c>
      <c r="CS18" s="8">
        <f>+MINVU_Mes_Corriente!CS18*SALUD_Mes_Constante!$CP$1</f>
        <v>0</v>
      </c>
      <c r="CT18" s="8">
        <f>+MINVU_Mes_Corriente!CT18*SALUD_Mes_Constante!$CP$1</f>
        <v>0</v>
      </c>
      <c r="CU18" s="8">
        <f>+MINVU_Mes_Corriente!CU18*SALUD_Mes_Constante!$CP$1</f>
        <v>0</v>
      </c>
      <c r="CV18" s="8">
        <f>+MINVU_Mes_Corriente!CV18*SALUD_Mes_Constante!$CP$1</f>
        <v>0</v>
      </c>
      <c r="CW18" s="8">
        <f>+MINVU_Mes_Corriente!CW18*SALUD_Mes_Constante!$CP$1</f>
        <v>0</v>
      </c>
      <c r="CX18" s="8">
        <f>+MINVU_Mes_Corriente!CX18*SALUD_Mes_Constante!$CP$1</f>
        <v>0</v>
      </c>
      <c r="CY18" s="8">
        <f>+MINVU_Mes_Corriente!CY18*SALUD_Mes_Constante!$CP$1</f>
        <v>0</v>
      </c>
      <c r="CZ18" s="8">
        <f>+MINVU_Mes_Corriente!CZ18*SALUD_Mes_Constante!$CP$1</f>
        <v>0</v>
      </c>
      <c r="DA18" s="8">
        <f>+MINVU_Mes_Corriente!DA18*SALUD_Mes_Constante!$CP$1</f>
        <v>0</v>
      </c>
      <c r="DB18" s="9">
        <f t="shared" si="7"/>
        <v>0</v>
      </c>
      <c r="DC18" s="8">
        <f>+MINVU_Mes_Corriente!DC18*SALUD_Mes_Constante!$DC$1</f>
        <v>0</v>
      </c>
      <c r="DD18" s="8">
        <f>+MINVU_Mes_Corriente!DD18*SALUD_Mes_Constante!$DC$1</f>
        <v>0</v>
      </c>
      <c r="DE18" s="8">
        <f>+MINVU_Mes_Corriente!DE18*SALUD_Mes_Constante!$DC$1</f>
        <v>0</v>
      </c>
      <c r="DF18" s="8">
        <f>+MINVU_Mes_Corriente!DF18*SALUD_Mes_Constante!$DC$1</f>
        <v>0</v>
      </c>
      <c r="DG18" s="8">
        <f>+MINVU_Mes_Corriente!DG18*SALUD_Mes_Constante!$DC$1</f>
        <v>0</v>
      </c>
      <c r="DH18" s="8">
        <f>+MINVU_Mes_Corriente!DH18*SALUD_Mes_Constante!$DC$1</f>
        <v>0</v>
      </c>
      <c r="DI18" s="8">
        <f>+MINVU_Mes_Corriente!DI18*SALUD_Mes_Constante!$DC$1</f>
        <v>0</v>
      </c>
      <c r="DJ18" s="8">
        <f>+MINVU_Mes_Corriente!DJ18*SALUD_Mes_Constante!$DC$1</f>
        <v>0</v>
      </c>
      <c r="DK18" s="8">
        <f>+MINVU_Mes_Corriente!DK18*SALUD_Mes_Constante!$DC$1</f>
        <v>0</v>
      </c>
      <c r="DL18" s="8">
        <f>+MINVU_Mes_Corriente!DL18*SALUD_Mes_Constante!$DC$1</f>
        <v>0</v>
      </c>
      <c r="DM18" s="8">
        <f>+MINVU_Mes_Corriente!DM18*SALUD_Mes_Constante!$DC$1</f>
        <v>0</v>
      </c>
      <c r="DN18" s="8">
        <f>+MINVU_Mes_Corriente!DN18*SALUD_Mes_Constante!$DC$1</f>
        <v>0</v>
      </c>
      <c r="DO18" s="9">
        <f t="shared" si="8"/>
        <v>0</v>
      </c>
      <c r="DP18" s="8">
        <f>+MINVU_Mes_Corriente!DP18*SALUD_Mes_Constante!$DP$1</f>
        <v>0</v>
      </c>
      <c r="DQ18" s="8">
        <f>+MINVU_Mes_Corriente!DQ18*SALUD_Mes_Constante!$DP$1</f>
        <v>0</v>
      </c>
      <c r="DR18" s="8">
        <f>+MINVU_Mes_Corriente!DR18*SALUD_Mes_Constante!$DP$1</f>
        <v>0</v>
      </c>
      <c r="DS18" s="8">
        <f>+MINVU_Mes_Corriente!DS18*SALUD_Mes_Constante!$DP$1</f>
        <v>0</v>
      </c>
      <c r="DT18" s="8">
        <f>+MINVU_Mes_Corriente!DT18*SALUD_Mes_Constante!$DP$1</f>
        <v>0</v>
      </c>
      <c r="DU18" s="8">
        <f>+MINVU_Mes_Corriente!DU18*SALUD_Mes_Constante!$DP$1</f>
        <v>0</v>
      </c>
      <c r="DV18" s="8">
        <f>+MINVU_Mes_Corriente!DV18*SALUD_Mes_Constante!$DP$1</f>
        <v>0</v>
      </c>
      <c r="DW18" s="8">
        <f>+MINVU_Mes_Corriente!DW18*SALUD_Mes_Constante!$DP$1</f>
        <v>0</v>
      </c>
      <c r="DX18" s="8">
        <f>+MINVU_Mes_Corriente!DX18*SALUD_Mes_Constante!$DP$1</f>
        <v>0</v>
      </c>
      <c r="DY18" s="8">
        <f>+MINVU_Mes_Corriente!DY18*SALUD_Mes_Constante!$DP$1</f>
        <v>0</v>
      </c>
      <c r="DZ18" s="8">
        <f>+MINVU_Mes_Corriente!DZ18*SALUD_Mes_Constante!$DP$1</f>
        <v>0</v>
      </c>
      <c r="EA18" s="8">
        <f>+MINVU_Mes_Corriente!EA18*SALUD_Mes_Constante!$DP$1</f>
        <v>0</v>
      </c>
      <c r="EB18" s="9">
        <f t="shared" si="9"/>
        <v>0</v>
      </c>
      <c r="EC18" s="8">
        <f>+MINVU_Mes_Corriente!EC18*SALUD_Mes_Constante!$EC$1</f>
        <v>0</v>
      </c>
      <c r="ED18" s="8">
        <f>+MINVU_Mes_Corriente!ED18*SALUD_Mes_Constante!$EC$1</f>
        <v>0</v>
      </c>
      <c r="EE18" s="8">
        <f>+MINVU_Mes_Corriente!EE18*SALUD_Mes_Constante!$EC$1</f>
        <v>0</v>
      </c>
      <c r="EF18" s="8">
        <f>+MINVU_Mes_Corriente!EF18*SALUD_Mes_Constante!$EC$1</f>
        <v>0</v>
      </c>
      <c r="EG18" s="8">
        <f>+MINVU_Mes_Corriente!EG18*SALUD_Mes_Constante!$EC$1</f>
        <v>0</v>
      </c>
      <c r="EH18" s="8">
        <f>+MINVU_Mes_Corriente!EH18*SALUD_Mes_Constante!$EC$1</f>
        <v>0</v>
      </c>
      <c r="EI18" s="8">
        <f>+MINVU_Mes_Corriente!EI18*SALUD_Mes_Constante!$EC$1</f>
        <v>0</v>
      </c>
      <c r="EJ18" s="8">
        <f>+MINVU_Mes_Corriente!EJ18*SALUD_Mes_Constante!$EC$1</f>
        <v>0</v>
      </c>
      <c r="EK18" s="8">
        <f>+MINVU_Mes_Corriente!EK18*SALUD_Mes_Constante!$EC$1</f>
        <v>0</v>
      </c>
      <c r="EL18" s="8">
        <f>+MINVU_Mes_Corriente!EL18*SALUD_Mes_Constante!$EC$1</f>
        <v>0</v>
      </c>
      <c r="EM18" s="8">
        <f>+MINVU_Mes_Corriente!EM18*SALUD_Mes_Constante!$EC$1</f>
        <v>0</v>
      </c>
      <c r="EN18" s="8">
        <f>+MINVU_Mes_Corriente!EN18*SALUD_Mes_Constante!$EC$1</f>
        <v>0</v>
      </c>
      <c r="EO18" s="9">
        <f t="shared" si="10"/>
        <v>0</v>
      </c>
      <c r="EP18" s="8">
        <f>+MINVU_Mes_Corriente!EP18*SALUD_Mes_Constante!$EP$1</f>
        <v>0</v>
      </c>
      <c r="EQ18" s="8">
        <f>+MINVU_Mes_Corriente!EQ18*SALUD_Mes_Constante!$EP$1</f>
        <v>0</v>
      </c>
      <c r="ER18" s="8">
        <f>+MINVU_Mes_Corriente!ER18*SALUD_Mes_Constante!$EP$1</f>
        <v>0</v>
      </c>
      <c r="ES18" s="8">
        <f>+MINVU_Mes_Corriente!ES18*SALUD_Mes_Constante!$EP$1</f>
        <v>0</v>
      </c>
      <c r="ET18" s="8">
        <f>+MINVU_Mes_Corriente!ET18*SALUD_Mes_Constante!$EP$1</f>
        <v>0</v>
      </c>
      <c r="EU18" s="8">
        <f>+MINVU_Mes_Corriente!EU18*SALUD_Mes_Constante!$EP$1</f>
        <v>0</v>
      </c>
      <c r="EV18" s="8">
        <f>+MINVU_Mes_Corriente!EV18*SALUD_Mes_Constante!$EP$1</f>
        <v>0</v>
      </c>
      <c r="EW18" s="8">
        <f>+MINVU_Mes_Corriente!EW18*SALUD_Mes_Constante!$EP$1</f>
        <v>0</v>
      </c>
      <c r="EX18" s="8">
        <f>+MINVU_Mes_Corriente!EX18*SALUD_Mes_Constante!$EP$1</f>
        <v>0</v>
      </c>
      <c r="EY18" s="8">
        <f>+MINVU_Mes_Corriente!EY18*SALUD_Mes_Constante!$EP$1</f>
        <v>0</v>
      </c>
      <c r="EZ18" s="8">
        <f>+MINVU_Mes_Corriente!EZ18*SALUD_Mes_Constante!$EP$1</f>
        <v>0</v>
      </c>
      <c r="FA18" s="8">
        <f>+MINVU_Mes_Corriente!FA18*SALUD_Mes_Constante!$EP$1</f>
        <v>0</v>
      </c>
      <c r="FB18" s="9">
        <f t="shared" si="11"/>
        <v>0</v>
      </c>
      <c r="FC18" s="8">
        <f>+MINVU_Mes_Corriente!FC18*SALUD_Mes_Constante!$FC$1</f>
        <v>1204885</v>
      </c>
      <c r="FD18" s="8">
        <f>+MINVU_Mes_Corriente!FD18*SALUD_Mes_Constante!$FC$1</f>
        <v>1204885</v>
      </c>
      <c r="FE18" s="8">
        <f>+MINVU_Mes_Corriente!FE18*SALUD_Mes_Constante!$FC$1</f>
        <v>1204885</v>
      </c>
      <c r="FF18" s="8">
        <f>+MINVU_Mes_Corriente!FF18*SALUD_Mes_Constante!$FC$1</f>
        <v>1204885</v>
      </c>
      <c r="FG18" s="8">
        <f>+MINVU_Mes_Corriente!FG18*SALUD_Mes_Constante!$FC$1</f>
        <v>1204885</v>
      </c>
      <c r="FH18" s="8">
        <f>+MINVU_Mes_Corriente!FH18*SALUD_Mes_Constante!$FC$1</f>
        <v>1204885</v>
      </c>
      <c r="FI18" s="8">
        <f>+MINVU_Mes_Corriente!FI18*SALUD_Mes_Constante!$FC$1</f>
        <v>1204885</v>
      </c>
      <c r="FJ18" s="8"/>
      <c r="FK18" s="8"/>
      <c r="FL18" s="8"/>
      <c r="FM18" s="8"/>
      <c r="FN18" s="8"/>
      <c r="FO18" s="9">
        <f t="shared" si="12"/>
        <v>1204885</v>
      </c>
    </row>
    <row r="19" spans="2:171" ht="14.25" customHeight="1" x14ac:dyDescent="0.3">
      <c r="B19" s="7" t="s">
        <v>54</v>
      </c>
      <c r="C19" s="8">
        <f>+MINVU_Mes_Corriente!C19*SALUD_Mes_Constante!$C$1</f>
        <v>0</v>
      </c>
      <c r="D19" s="8">
        <f>+MINVU_Mes_Corriente!D19*SALUD_Mes_Constante!$C$1</f>
        <v>0</v>
      </c>
      <c r="E19" s="8">
        <f>+MINVU_Mes_Corriente!E19*SALUD_Mes_Constante!$C$1</f>
        <v>0</v>
      </c>
      <c r="F19" s="8">
        <f>+MINVU_Mes_Corriente!F19*SALUD_Mes_Constante!$C$1</f>
        <v>0</v>
      </c>
      <c r="G19" s="8">
        <f>+MINVU_Mes_Corriente!G19*SALUD_Mes_Constante!$C$1</f>
        <v>0</v>
      </c>
      <c r="H19" s="8">
        <f>+MINVU_Mes_Corriente!H19*SALUD_Mes_Constante!$C$1</f>
        <v>0</v>
      </c>
      <c r="I19" s="8">
        <f>+MINVU_Mes_Corriente!I19*SALUD_Mes_Constante!$C$1</f>
        <v>0</v>
      </c>
      <c r="J19" s="8">
        <f>+MINVU_Mes_Corriente!J19*SALUD_Mes_Constante!$C$1</f>
        <v>0</v>
      </c>
      <c r="K19" s="8">
        <f>+MINVU_Mes_Corriente!K19*SALUD_Mes_Constante!$C$1</f>
        <v>0</v>
      </c>
      <c r="L19" s="8">
        <f>+MINVU_Mes_Corriente!L19*SALUD_Mes_Constante!$C$1</f>
        <v>0</v>
      </c>
      <c r="M19" s="8">
        <f>+MINVU_Mes_Corriente!M19*SALUD_Mes_Constante!$C$1</f>
        <v>0</v>
      </c>
      <c r="N19" s="8">
        <f>+MINVU_Mes_Corriente!N19*SALUD_Mes_Constante!$C$1</f>
        <v>0</v>
      </c>
      <c r="O19" s="9">
        <f t="shared" si="0"/>
        <v>0</v>
      </c>
      <c r="P19" s="8">
        <f>+MINVU_Mes_Corriente!P19*SALUD_Mes_Constante!$P$1</f>
        <v>0</v>
      </c>
      <c r="Q19" s="8">
        <f>+MINVU_Mes_Corriente!Q19*SALUD_Mes_Constante!$P$1</f>
        <v>0</v>
      </c>
      <c r="R19" s="8">
        <f>+MINVU_Mes_Corriente!R19*SALUD_Mes_Constante!$P$1</f>
        <v>0</v>
      </c>
      <c r="S19" s="8">
        <f>+MINVU_Mes_Corriente!S19*SALUD_Mes_Constante!$P$1</f>
        <v>0</v>
      </c>
      <c r="T19" s="8">
        <f>+MINVU_Mes_Corriente!T19*SALUD_Mes_Constante!$P$1</f>
        <v>0</v>
      </c>
      <c r="U19" s="8">
        <f>+MINVU_Mes_Corriente!U19*SALUD_Mes_Constante!$P$1</f>
        <v>0</v>
      </c>
      <c r="V19" s="8">
        <f>+MINVU_Mes_Corriente!V19*SALUD_Mes_Constante!$P$1</f>
        <v>0</v>
      </c>
      <c r="W19" s="8">
        <f>+MINVU_Mes_Corriente!W19*SALUD_Mes_Constante!$P$1</f>
        <v>0</v>
      </c>
      <c r="X19" s="8">
        <f>+MINVU_Mes_Corriente!X19*SALUD_Mes_Constante!$P$1</f>
        <v>0</v>
      </c>
      <c r="Y19" s="8">
        <f>+MINVU_Mes_Corriente!Y19*SALUD_Mes_Constante!$P$1</f>
        <v>0</v>
      </c>
      <c r="Z19" s="8">
        <f>+MINVU_Mes_Corriente!Z19*SALUD_Mes_Constante!$P$1</f>
        <v>0</v>
      </c>
      <c r="AA19" s="8">
        <f>+MINVU_Mes_Corriente!AA19*SALUD_Mes_Constante!$P$1</f>
        <v>0</v>
      </c>
      <c r="AB19" s="9">
        <f t="shared" si="1"/>
        <v>0</v>
      </c>
      <c r="AC19" s="8">
        <f>+MINVU_Mes_Corriente!AC19*SALUD_Mes_Constante!$AC$1</f>
        <v>0</v>
      </c>
      <c r="AD19" s="8">
        <f>+MINVU_Mes_Corriente!AD19*SALUD_Mes_Constante!$AC$1</f>
        <v>0</v>
      </c>
      <c r="AE19" s="8">
        <f>+MINVU_Mes_Corriente!AE19*SALUD_Mes_Constante!$AC$1</f>
        <v>0</v>
      </c>
      <c r="AF19" s="8">
        <f>+MINVU_Mes_Corriente!AF19*SALUD_Mes_Constante!$AC$1</f>
        <v>0</v>
      </c>
      <c r="AG19" s="8">
        <f>+MINVU_Mes_Corriente!AG19*SALUD_Mes_Constante!$AC$1</f>
        <v>0</v>
      </c>
      <c r="AH19" s="8">
        <f>+MINVU_Mes_Corriente!AH19*SALUD_Mes_Constante!$AC$1</f>
        <v>0</v>
      </c>
      <c r="AI19" s="8">
        <f>+MINVU_Mes_Corriente!AI19*SALUD_Mes_Constante!$AC$1</f>
        <v>0</v>
      </c>
      <c r="AJ19" s="8">
        <f>+MINVU_Mes_Corriente!AJ19*SALUD_Mes_Constante!$AC$1</f>
        <v>0</v>
      </c>
      <c r="AK19" s="8">
        <f>+MINVU_Mes_Corriente!AK19*SALUD_Mes_Constante!$AC$1</f>
        <v>0</v>
      </c>
      <c r="AL19" s="8">
        <f>+MINVU_Mes_Corriente!AL19*SALUD_Mes_Constante!$AC$1</f>
        <v>0</v>
      </c>
      <c r="AM19" s="8">
        <f>+MINVU_Mes_Corriente!AM19*SALUD_Mes_Constante!$AC$1</f>
        <v>0</v>
      </c>
      <c r="AN19" s="8">
        <f>+MINVU_Mes_Corriente!AN19*SALUD_Mes_Constante!$AC$1</f>
        <v>0</v>
      </c>
      <c r="AO19" s="9">
        <f t="shared" si="2"/>
        <v>0</v>
      </c>
      <c r="AP19" s="8">
        <f>+MINVU_Mes_Corriente!AP19*SALUD_Mes_Constante!$AP$1</f>
        <v>0</v>
      </c>
      <c r="AQ19" s="8">
        <f>+MINVU_Mes_Corriente!AQ19*SALUD_Mes_Constante!$AP$1</f>
        <v>0</v>
      </c>
      <c r="AR19" s="8">
        <f>+MINVU_Mes_Corriente!AR19*SALUD_Mes_Constante!$AP$1</f>
        <v>0</v>
      </c>
      <c r="AS19" s="8">
        <f>+MINVU_Mes_Corriente!AS19*SALUD_Mes_Constante!$AP$1</f>
        <v>0</v>
      </c>
      <c r="AT19" s="8">
        <f>+MINVU_Mes_Corriente!AT19*SALUD_Mes_Constante!$AP$1</f>
        <v>0</v>
      </c>
      <c r="AU19" s="8">
        <f>+MINVU_Mes_Corriente!AU19*SALUD_Mes_Constante!$AP$1</f>
        <v>0</v>
      </c>
      <c r="AV19" s="8">
        <f>+MINVU_Mes_Corriente!AV19*SALUD_Mes_Constante!$AP$1</f>
        <v>0</v>
      </c>
      <c r="AW19" s="8">
        <f>+MINVU_Mes_Corriente!AW19*SALUD_Mes_Constante!$AP$1</f>
        <v>0</v>
      </c>
      <c r="AX19" s="8">
        <f>+MINVU_Mes_Corriente!AX19*SALUD_Mes_Constante!$AP$1</f>
        <v>0</v>
      </c>
      <c r="AY19" s="8">
        <f>+MINVU_Mes_Corriente!AY19*SALUD_Mes_Constante!$AP$1</f>
        <v>0</v>
      </c>
      <c r="AZ19" s="8">
        <f>+MINVU_Mes_Corriente!AZ19*SALUD_Mes_Constante!$AP$1</f>
        <v>0</v>
      </c>
      <c r="BA19" s="8">
        <f>+MINVU_Mes_Corriente!BA19*SALUD_Mes_Constante!$AP$1</f>
        <v>0</v>
      </c>
      <c r="BB19" s="9">
        <f t="shared" si="3"/>
        <v>0</v>
      </c>
      <c r="BC19" s="8">
        <f>+MINVU_Mes_Corriente!BC19*SALUD_Mes_Constante!$BC$1</f>
        <v>0</v>
      </c>
      <c r="BD19" s="8">
        <f>+MINVU_Mes_Corriente!BD19*SALUD_Mes_Constante!$BC$1</f>
        <v>0</v>
      </c>
      <c r="BE19" s="8">
        <f>+MINVU_Mes_Corriente!BE19*SALUD_Mes_Constante!$BC$1</f>
        <v>0</v>
      </c>
      <c r="BF19" s="8">
        <f>+MINVU_Mes_Corriente!BF19*SALUD_Mes_Constante!$BC$1</f>
        <v>0</v>
      </c>
      <c r="BG19" s="8">
        <f>+MINVU_Mes_Corriente!BG19*SALUD_Mes_Constante!$BC$1</f>
        <v>0</v>
      </c>
      <c r="BH19" s="8">
        <f>+MINVU_Mes_Corriente!BH19*SALUD_Mes_Constante!$BC$1</f>
        <v>0</v>
      </c>
      <c r="BI19" s="8">
        <f>+MINVU_Mes_Corriente!BI19*SALUD_Mes_Constante!$BC$1</f>
        <v>0</v>
      </c>
      <c r="BJ19" s="8">
        <f>+MINVU_Mes_Corriente!BJ19*SALUD_Mes_Constante!$BC$1</f>
        <v>0</v>
      </c>
      <c r="BK19" s="8">
        <f>+MINVU_Mes_Corriente!BK19*SALUD_Mes_Constante!$BC$1</f>
        <v>0</v>
      </c>
      <c r="BL19" s="8">
        <f>+MINVU_Mes_Corriente!BL19*SALUD_Mes_Constante!$BC$1</f>
        <v>0</v>
      </c>
      <c r="BM19" s="8">
        <f>+MINVU_Mes_Corriente!BM19*SALUD_Mes_Constante!$BC$1</f>
        <v>0</v>
      </c>
      <c r="BN19" s="8">
        <f>+MINVU_Mes_Corriente!BN19*SALUD_Mes_Constante!$BC$1</f>
        <v>0</v>
      </c>
      <c r="BO19" s="9">
        <f t="shared" si="4"/>
        <v>0</v>
      </c>
      <c r="BP19" s="8">
        <f>+MINVU_Mes_Corriente!BP19*SALUD_Mes_Constante!$BP$1</f>
        <v>0</v>
      </c>
      <c r="BQ19" s="8">
        <f>+MINVU_Mes_Corriente!BQ19*SALUD_Mes_Constante!$BP$1</f>
        <v>0</v>
      </c>
      <c r="BR19" s="8">
        <f>+MINVU_Mes_Corriente!BR19*SALUD_Mes_Constante!$BP$1</f>
        <v>0</v>
      </c>
      <c r="BS19" s="8">
        <f>+MINVU_Mes_Corriente!BS19*SALUD_Mes_Constante!$BP$1</f>
        <v>0</v>
      </c>
      <c r="BT19" s="8">
        <f>+MINVU_Mes_Corriente!BT19*SALUD_Mes_Constante!$BP$1</f>
        <v>0</v>
      </c>
      <c r="BU19" s="8">
        <f>+MINVU_Mes_Corriente!BU19*SALUD_Mes_Constante!$BP$1</f>
        <v>0</v>
      </c>
      <c r="BV19" s="8">
        <f>+MINVU_Mes_Corriente!BV19*SALUD_Mes_Constante!$BP$1</f>
        <v>0</v>
      </c>
      <c r="BW19" s="8">
        <f>+MINVU_Mes_Corriente!BW19*SALUD_Mes_Constante!$BP$1</f>
        <v>0</v>
      </c>
      <c r="BX19" s="8">
        <f>+MINVU_Mes_Corriente!BX19*SALUD_Mes_Constante!$BP$1</f>
        <v>0</v>
      </c>
      <c r="BY19" s="8">
        <f>+MINVU_Mes_Corriente!BY19*SALUD_Mes_Constante!$BP$1</f>
        <v>0</v>
      </c>
      <c r="BZ19" s="8">
        <f>+MINVU_Mes_Corriente!BZ19*SALUD_Mes_Constante!$BP$1</f>
        <v>0</v>
      </c>
      <c r="CA19" s="8">
        <f>+MINVU_Mes_Corriente!CA19*SALUD_Mes_Constante!$BP$1</f>
        <v>0</v>
      </c>
      <c r="CB19" s="9">
        <f t="shared" si="5"/>
        <v>0</v>
      </c>
      <c r="CC19" s="8">
        <f>+MINVU_Mes_Corriente!CC19*SALUD_Mes_Constante!$CC$1</f>
        <v>0</v>
      </c>
      <c r="CD19" s="8">
        <f>+MINVU_Mes_Corriente!CD19*SALUD_Mes_Constante!$CC$1</f>
        <v>0</v>
      </c>
      <c r="CE19" s="8">
        <f>+MINVU_Mes_Corriente!CE19*SALUD_Mes_Constante!$CC$1</f>
        <v>0</v>
      </c>
      <c r="CF19" s="8">
        <f>+MINVU_Mes_Corriente!CF19*SALUD_Mes_Constante!$CC$1</f>
        <v>0</v>
      </c>
      <c r="CG19" s="8">
        <f>+MINVU_Mes_Corriente!CG19*SALUD_Mes_Constante!$CC$1</f>
        <v>0</v>
      </c>
      <c r="CH19" s="8">
        <f>+MINVU_Mes_Corriente!CH19*SALUD_Mes_Constante!$CC$1</f>
        <v>0</v>
      </c>
      <c r="CI19" s="8">
        <f>+MINVU_Mes_Corriente!CI19*SALUD_Mes_Constante!$CC$1</f>
        <v>0</v>
      </c>
      <c r="CJ19" s="8">
        <f>+MINVU_Mes_Corriente!CJ19*SALUD_Mes_Constante!$CC$1</f>
        <v>0</v>
      </c>
      <c r="CK19" s="8">
        <f>+MINVU_Mes_Corriente!CK19*SALUD_Mes_Constante!$CC$1</f>
        <v>0</v>
      </c>
      <c r="CL19" s="8">
        <f>+MINVU_Mes_Corriente!CL19*SALUD_Mes_Constante!$CC$1</f>
        <v>0</v>
      </c>
      <c r="CM19" s="8">
        <f>+MINVU_Mes_Corriente!CM19*SALUD_Mes_Constante!$CC$1</f>
        <v>0</v>
      </c>
      <c r="CN19" s="8">
        <f>+MINVU_Mes_Corriente!CN19*SALUD_Mes_Constante!$CC$1</f>
        <v>0</v>
      </c>
      <c r="CO19" s="9">
        <f t="shared" si="6"/>
        <v>0</v>
      </c>
      <c r="CP19" s="8">
        <f>+MINVU_Mes_Corriente!CP19*SALUD_Mes_Constante!$CP$1</f>
        <v>0</v>
      </c>
      <c r="CQ19" s="8">
        <f>+MINVU_Mes_Corriente!CQ19*SALUD_Mes_Constante!$CP$1</f>
        <v>0</v>
      </c>
      <c r="CR19" s="8">
        <f>+MINVU_Mes_Corriente!CR19*SALUD_Mes_Constante!$CP$1</f>
        <v>0</v>
      </c>
      <c r="CS19" s="8">
        <f>+MINVU_Mes_Corriente!CS19*SALUD_Mes_Constante!$CP$1</f>
        <v>0</v>
      </c>
      <c r="CT19" s="8">
        <f>+MINVU_Mes_Corriente!CT19*SALUD_Mes_Constante!$CP$1</f>
        <v>0</v>
      </c>
      <c r="CU19" s="8">
        <f>+MINVU_Mes_Corriente!CU19*SALUD_Mes_Constante!$CP$1</f>
        <v>0</v>
      </c>
      <c r="CV19" s="8">
        <f>+MINVU_Mes_Corriente!CV19*SALUD_Mes_Constante!$CP$1</f>
        <v>0</v>
      </c>
      <c r="CW19" s="8">
        <f>+MINVU_Mes_Corriente!CW19*SALUD_Mes_Constante!$CP$1</f>
        <v>0</v>
      </c>
      <c r="CX19" s="8">
        <f>+MINVU_Mes_Corriente!CX19*SALUD_Mes_Constante!$CP$1</f>
        <v>0</v>
      </c>
      <c r="CY19" s="8">
        <f>+MINVU_Mes_Corriente!CY19*SALUD_Mes_Constante!$CP$1</f>
        <v>0</v>
      </c>
      <c r="CZ19" s="8">
        <f>+MINVU_Mes_Corriente!CZ19*SALUD_Mes_Constante!$CP$1</f>
        <v>0</v>
      </c>
      <c r="DA19" s="8">
        <f>+MINVU_Mes_Corriente!DA19*SALUD_Mes_Constante!$CP$1</f>
        <v>0</v>
      </c>
      <c r="DB19" s="9">
        <f t="shared" si="7"/>
        <v>0</v>
      </c>
      <c r="DC19" s="8">
        <f>+MINVU_Mes_Corriente!DC19*SALUD_Mes_Constante!$DC$1</f>
        <v>0</v>
      </c>
      <c r="DD19" s="8">
        <f>+MINVU_Mes_Corriente!DD19*SALUD_Mes_Constante!$DC$1</f>
        <v>0</v>
      </c>
      <c r="DE19" s="8">
        <f>+MINVU_Mes_Corriente!DE19*SALUD_Mes_Constante!$DC$1</f>
        <v>0</v>
      </c>
      <c r="DF19" s="8">
        <f>+MINVU_Mes_Corriente!DF19*SALUD_Mes_Constante!$DC$1</f>
        <v>0</v>
      </c>
      <c r="DG19" s="8">
        <f>+MINVU_Mes_Corriente!DG19*SALUD_Mes_Constante!$DC$1</f>
        <v>0</v>
      </c>
      <c r="DH19" s="8">
        <f>+MINVU_Mes_Corriente!DH19*SALUD_Mes_Constante!$DC$1</f>
        <v>0</v>
      </c>
      <c r="DI19" s="8">
        <f>+MINVU_Mes_Corriente!DI19*SALUD_Mes_Constante!$DC$1</f>
        <v>0</v>
      </c>
      <c r="DJ19" s="8">
        <f>+MINVU_Mes_Corriente!DJ19*SALUD_Mes_Constante!$DC$1</f>
        <v>0</v>
      </c>
      <c r="DK19" s="8">
        <f>+MINVU_Mes_Corriente!DK19*SALUD_Mes_Constante!$DC$1</f>
        <v>0</v>
      </c>
      <c r="DL19" s="8">
        <f>+MINVU_Mes_Corriente!DL19*SALUD_Mes_Constante!$DC$1</f>
        <v>0</v>
      </c>
      <c r="DM19" s="8">
        <f>+MINVU_Mes_Corriente!DM19*SALUD_Mes_Constante!$DC$1</f>
        <v>0</v>
      </c>
      <c r="DN19" s="8">
        <f>+MINVU_Mes_Corriente!DN19*SALUD_Mes_Constante!$DC$1</f>
        <v>0</v>
      </c>
      <c r="DO19" s="9">
        <f t="shared" si="8"/>
        <v>0</v>
      </c>
      <c r="DP19" s="8">
        <f>+MINVU_Mes_Corriente!DP19*SALUD_Mes_Constante!$DP$1</f>
        <v>0</v>
      </c>
      <c r="DQ19" s="8">
        <f>+MINVU_Mes_Corriente!DQ19*SALUD_Mes_Constante!$DP$1</f>
        <v>0</v>
      </c>
      <c r="DR19" s="8">
        <f>+MINVU_Mes_Corriente!DR19*SALUD_Mes_Constante!$DP$1</f>
        <v>0</v>
      </c>
      <c r="DS19" s="8">
        <f>+MINVU_Mes_Corriente!DS19*SALUD_Mes_Constante!$DP$1</f>
        <v>0</v>
      </c>
      <c r="DT19" s="8">
        <f>+MINVU_Mes_Corriente!DT19*SALUD_Mes_Constante!$DP$1</f>
        <v>0</v>
      </c>
      <c r="DU19" s="8">
        <f>+MINVU_Mes_Corriente!DU19*SALUD_Mes_Constante!$DP$1</f>
        <v>0</v>
      </c>
      <c r="DV19" s="8">
        <f>+MINVU_Mes_Corriente!DV19*SALUD_Mes_Constante!$DP$1</f>
        <v>0</v>
      </c>
      <c r="DW19" s="8">
        <f>+MINVU_Mes_Corriente!DW19*SALUD_Mes_Constante!$DP$1</f>
        <v>0</v>
      </c>
      <c r="DX19" s="8">
        <f>+MINVU_Mes_Corriente!DX19*SALUD_Mes_Constante!$DP$1</f>
        <v>0</v>
      </c>
      <c r="DY19" s="8">
        <f>+MINVU_Mes_Corriente!DY19*SALUD_Mes_Constante!$DP$1</f>
        <v>0</v>
      </c>
      <c r="DZ19" s="8">
        <f>+MINVU_Mes_Corriente!DZ19*SALUD_Mes_Constante!$DP$1</f>
        <v>0</v>
      </c>
      <c r="EA19" s="8">
        <f>+MINVU_Mes_Corriente!EA19*SALUD_Mes_Constante!$DP$1</f>
        <v>0</v>
      </c>
      <c r="EB19" s="9">
        <f t="shared" si="9"/>
        <v>0</v>
      </c>
      <c r="EC19" s="8">
        <f>+MINVU_Mes_Corriente!EC19*SALUD_Mes_Constante!$EC$1</f>
        <v>0</v>
      </c>
      <c r="ED19" s="8">
        <f>+MINVU_Mes_Corriente!ED19*SALUD_Mes_Constante!$EC$1</f>
        <v>0</v>
      </c>
      <c r="EE19" s="8">
        <f>+MINVU_Mes_Corriente!EE19*SALUD_Mes_Constante!$EC$1</f>
        <v>0</v>
      </c>
      <c r="EF19" s="8">
        <f>+MINVU_Mes_Corriente!EF19*SALUD_Mes_Constante!$EC$1</f>
        <v>0</v>
      </c>
      <c r="EG19" s="8">
        <f>+MINVU_Mes_Corriente!EG19*SALUD_Mes_Constante!$EC$1</f>
        <v>0</v>
      </c>
      <c r="EH19" s="8">
        <f>+MINVU_Mes_Corriente!EH19*SALUD_Mes_Constante!$EC$1</f>
        <v>0</v>
      </c>
      <c r="EI19" s="8">
        <f>+MINVU_Mes_Corriente!EI19*SALUD_Mes_Constante!$EC$1</f>
        <v>0</v>
      </c>
      <c r="EJ19" s="8">
        <f>+MINVU_Mes_Corriente!EJ19*SALUD_Mes_Constante!$EC$1</f>
        <v>0</v>
      </c>
      <c r="EK19" s="8">
        <f>+MINVU_Mes_Corriente!EK19*SALUD_Mes_Constante!$EC$1</f>
        <v>0</v>
      </c>
      <c r="EL19" s="8">
        <f>+MINVU_Mes_Corriente!EL19*SALUD_Mes_Constante!$EC$1</f>
        <v>0</v>
      </c>
      <c r="EM19" s="8">
        <f>+MINVU_Mes_Corriente!EM19*SALUD_Mes_Constante!$EC$1</f>
        <v>0</v>
      </c>
      <c r="EN19" s="8">
        <f>+MINVU_Mes_Corriente!EN19*SALUD_Mes_Constante!$EC$1</f>
        <v>0</v>
      </c>
      <c r="EO19" s="9">
        <f t="shared" si="10"/>
        <v>0</v>
      </c>
      <c r="EP19" s="8">
        <f>+MINVU_Mes_Corriente!EP19*SALUD_Mes_Constante!$EP$1</f>
        <v>0</v>
      </c>
      <c r="EQ19" s="8">
        <f>+MINVU_Mes_Corriente!EQ19*SALUD_Mes_Constante!$EP$1</f>
        <v>0</v>
      </c>
      <c r="ER19" s="8">
        <f>+MINVU_Mes_Corriente!ER19*SALUD_Mes_Constante!$EP$1</f>
        <v>0</v>
      </c>
      <c r="ES19" s="8">
        <f>+MINVU_Mes_Corriente!ES19*SALUD_Mes_Constante!$EP$1</f>
        <v>0</v>
      </c>
      <c r="ET19" s="8">
        <f>+MINVU_Mes_Corriente!ET19*SALUD_Mes_Constante!$EP$1</f>
        <v>0</v>
      </c>
      <c r="EU19" s="8">
        <f>+MINVU_Mes_Corriente!EU19*SALUD_Mes_Constante!$EP$1</f>
        <v>0</v>
      </c>
      <c r="EV19" s="8">
        <f>+MINVU_Mes_Corriente!EV19*SALUD_Mes_Constante!$EP$1</f>
        <v>0</v>
      </c>
      <c r="EW19" s="8">
        <f>+MINVU_Mes_Corriente!EW19*SALUD_Mes_Constante!$EP$1</f>
        <v>0</v>
      </c>
      <c r="EX19" s="8">
        <f>+MINVU_Mes_Corriente!EX19*SALUD_Mes_Constante!$EP$1</f>
        <v>0</v>
      </c>
      <c r="EY19" s="8">
        <f>+MINVU_Mes_Corriente!EY19*SALUD_Mes_Constante!$EP$1</f>
        <v>0</v>
      </c>
      <c r="EZ19" s="8">
        <f>+MINVU_Mes_Corriente!EZ19*SALUD_Mes_Constante!$EP$1</f>
        <v>0</v>
      </c>
      <c r="FA19" s="8">
        <f>+MINVU_Mes_Corriente!FA19*SALUD_Mes_Constante!$EP$1</f>
        <v>0</v>
      </c>
      <c r="FB19" s="9">
        <f t="shared" si="11"/>
        <v>0</v>
      </c>
      <c r="FC19" s="8">
        <f>+MINVU_Mes_Corriente!FC19*SALUD_Mes_Constante!$FC$1</f>
        <v>1473262</v>
      </c>
      <c r="FD19" s="8">
        <f>+MINVU_Mes_Corriente!FD19*SALUD_Mes_Constante!$FC$1</f>
        <v>1473262</v>
      </c>
      <c r="FE19" s="8">
        <f>+MINVU_Mes_Corriente!FE19*SALUD_Mes_Constante!$FC$1</f>
        <v>1473262</v>
      </c>
      <c r="FF19" s="8">
        <f>+MINVU_Mes_Corriente!FF19*SALUD_Mes_Constante!$FC$1</f>
        <v>1473262</v>
      </c>
      <c r="FG19" s="8">
        <f>+MINVU_Mes_Corriente!FG19*SALUD_Mes_Constante!$FC$1</f>
        <v>1473262</v>
      </c>
      <c r="FH19" s="8">
        <f>+MINVU_Mes_Corriente!FH19*SALUD_Mes_Constante!$FC$1</f>
        <v>1473262</v>
      </c>
      <c r="FI19" s="8">
        <f>+MINVU_Mes_Corriente!FI19*SALUD_Mes_Constante!$FC$1</f>
        <v>1473262</v>
      </c>
      <c r="FJ19" s="8"/>
      <c r="FK19" s="8"/>
      <c r="FL19" s="8"/>
      <c r="FM19" s="8"/>
      <c r="FN19" s="8"/>
      <c r="FO19" s="9">
        <f t="shared" si="12"/>
        <v>1473262</v>
      </c>
    </row>
    <row r="20" spans="2:171" ht="14.25" customHeight="1" x14ac:dyDescent="0.3">
      <c r="B20" s="7" t="s">
        <v>55</v>
      </c>
      <c r="C20" s="8">
        <f>+MINVU_Mes_Corriente!C20*SALUD_Mes_Constante!$C$1</f>
        <v>0</v>
      </c>
      <c r="D20" s="8">
        <f>+MINVU_Mes_Corriente!D20*SALUD_Mes_Constante!$C$1</f>
        <v>0</v>
      </c>
      <c r="E20" s="8">
        <f>+MINVU_Mes_Corriente!E20*SALUD_Mes_Constante!$C$1</f>
        <v>0</v>
      </c>
      <c r="F20" s="8">
        <f>+MINVU_Mes_Corriente!F20*SALUD_Mes_Constante!$C$1</f>
        <v>0</v>
      </c>
      <c r="G20" s="8">
        <f>+MINVU_Mes_Corriente!G20*SALUD_Mes_Constante!$C$1</f>
        <v>0</v>
      </c>
      <c r="H20" s="8">
        <f>+MINVU_Mes_Corriente!H20*SALUD_Mes_Constante!$C$1</f>
        <v>0</v>
      </c>
      <c r="I20" s="8">
        <f>+MINVU_Mes_Corriente!I20*SALUD_Mes_Constante!$C$1</f>
        <v>0</v>
      </c>
      <c r="J20" s="8">
        <f>+MINVU_Mes_Corriente!J20*SALUD_Mes_Constante!$C$1</f>
        <v>0</v>
      </c>
      <c r="K20" s="8">
        <f>+MINVU_Mes_Corriente!K20*SALUD_Mes_Constante!$C$1</f>
        <v>0</v>
      </c>
      <c r="L20" s="8">
        <f>+MINVU_Mes_Corriente!L20*SALUD_Mes_Constante!$C$1</f>
        <v>0</v>
      </c>
      <c r="M20" s="8">
        <f>+MINVU_Mes_Corriente!M20*SALUD_Mes_Constante!$C$1</f>
        <v>0</v>
      </c>
      <c r="N20" s="8">
        <f>+MINVU_Mes_Corriente!N20*SALUD_Mes_Constante!$C$1</f>
        <v>0</v>
      </c>
      <c r="O20" s="9">
        <f t="shared" si="0"/>
        <v>0</v>
      </c>
      <c r="P20" s="8">
        <f>+MINVU_Mes_Corriente!P20*SALUD_Mes_Constante!$P$1</f>
        <v>0</v>
      </c>
      <c r="Q20" s="8">
        <f>+MINVU_Mes_Corriente!Q20*SALUD_Mes_Constante!$P$1</f>
        <v>0</v>
      </c>
      <c r="R20" s="8">
        <f>+MINVU_Mes_Corriente!R20*SALUD_Mes_Constante!$P$1</f>
        <v>0</v>
      </c>
      <c r="S20" s="8">
        <f>+MINVU_Mes_Corriente!S20*SALUD_Mes_Constante!$P$1</f>
        <v>0</v>
      </c>
      <c r="T20" s="8">
        <f>+MINVU_Mes_Corriente!T20*SALUD_Mes_Constante!$P$1</f>
        <v>0</v>
      </c>
      <c r="U20" s="8">
        <f>+MINVU_Mes_Corriente!U20*SALUD_Mes_Constante!$P$1</f>
        <v>0</v>
      </c>
      <c r="V20" s="8">
        <f>+MINVU_Mes_Corriente!V20*SALUD_Mes_Constante!$P$1</f>
        <v>0</v>
      </c>
      <c r="W20" s="8">
        <f>+MINVU_Mes_Corriente!W20*SALUD_Mes_Constante!$P$1</f>
        <v>0</v>
      </c>
      <c r="X20" s="8">
        <f>+MINVU_Mes_Corriente!X20*SALUD_Mes_Constante!$P$1</f>
        <v>0</v>
      </c>
      <c r="Y20" s="8">
        <f>+MINVU_Mes_Corriente!Y20*SALUD_Mes_Constante!$P$1</f>
        <v>0</v>
      </c>
      <c r="Z20" s="8">
        <f>+MINVU_Mes_Corriente!Z20*SALUD_Mes_Constante!$P$1</f>
        <v>0</v>
      </c>
      <c r="AA20" s="8">
        <f>+MINVU_Mes_Corriente!AA20*SALUD_Mes_Constante!$P$1</f>
        <v>0</v>
      </c>
      <c r="AB20" s="9">
        <f t="shared" si="1"/>
        <v>0</v>
      </c>
      <c r="AC20" s="8">
        <f>+MINVU_Mes_Corriente!AC20*SALUD_Mes_Constante!$AC$1</f>
        <v>0</v>
      </c>
      <c r="AD20" s="8">
        <f>+MINVU_Mes_Corriente!AD20*SALUD_Mes_Constante!$AC$1</f>
        <v>0</v>
      </c>
      <c r="AE20" s="8">
        <f>+MINVU_Mes_Corriente!AE20*SALUD_Mes_Constante!$AC$1</f>
        <v>0</v>
      </c>
      <c r="AF20" s="8">
        <f>+MINVU_Mes_Corriente!AF20*SALUD_Mes_Constante!$AC$1</f>
        <v>0</v>
      </c>
      <c r="AG20" s="8">
        <f>+MINVU_Mes_Corriente!AG20*SALUD_Mes_Constante!$AC$1</f>
        <v>0</v>
      </c>
      <c r="AH20" s="8">
        <f>+MINVU_Mes_Corriente!AH20*SALUD_Mes_Constante!$AC$1</f>
        <v>0</v>
      </c>
      <c r="AI20" s="8">
        <f>+MINVU_Mes_Corriente!AI20*SALUD_Mes_Constante!$AC$1</f>
        <v>0</v>
      </c>
      <c r="AJ20" s="8">
        <f>+MINVU_Mes_Corriente!AJ20*SALUD_Mes_Constante!$AC$1</f>
        <v>0</v>
      </c>
      <c r="AK20" s="8">
        <f>+MINVU_Mes_Corriente!AK20*SALUD_Mes_Constante!$AC$1</f>
        <v>0</v>
      </c>
      <c r="AL20" s="8">
        <f>+MINVU_Mes_Corriente!AL20*SALUD_Mes_Constante!$AC$1</f>
        <v>0</v>
      </c>
      <c r="AM20" s="8">
        <f>+MINVU_Mes_Corriente!AM20*SALUD_Mes_Constante!$AC$1</f>
        <v>0</v>
      </c>
      <c r="AN20" s="8">
        <f>+MINVU_Mes_Corriente!AN20*SALUD_Mes_Constante!$AC$1</f>
        <v>0</v>
      </c>
      <c r="AO20" s="9">
        <f t="shared" si="2"/>
        <v>0</v>
      </c>
      <c r="AP20" s="8">
        <f>+MINVU_Mes_Corriente!AP20*SALUD_Mes_Constante!$AP$1</f>
        <v>0</v>
      </c>
      <c r="AQ20" s="8">
        <f>+MINVU_Mes_Corriente!AQ20*SALUD_Mes_Constante!$AP$1</f>
        <v>0</v>
      </c>
      <c r="AR20" s="8">
        <f>+MINVU_Mes_Corriente!AR20*SALUD_Mes_Constante!$AP$1</f>
        <v>0</v>
      </c>
      <c r="AS20" s="8">
        <f>+MINVU_Mes_Corriente!AS20*SALUD_Mes_Constante!$AP$1</f>
        <v>0</v>
      </c>
      <c r="AT20" s="8">
        <f>+MINVU_Mes_Corriente!AT20*SALUD_Mes_Constante!$AP$1</f>
        <v>0</v>
      </c>
      <c r="AU20" s="8">
        <f>+MINVU_Mes_Corriente!AU20*SALUD_Mes_Constante!$AP$1</f>
        <v>0</v>
      </c>
      <c r="AV20" s="8">
        <f>+MINVU_Mes_Corriente!AV20*SALUD_Mes_Constante!$AP$1</f>
        <v>0</v>
      </c>
      <c r="AW20" s="8">
        <f>+MINVU_Mes_Corriente!AW20*SALUD_Mes_Constante!$AP$1</f>
        <v>0</v>
      </c>
      <c r="AX20" s="8">
        <f>+MINVU_Mes_Corriente!AX20*SALUD_Mes_Constante!$AP$1</f>
        <v>0</v>
      </c>
      <c r="AY20" s="8">
        <f>+MINVU_Mes_Corriente!AY20*SALUD_Mes_Constante!$AP$1</f>
        <v>0</v>
      </c>
      <c r="AZ20" s="8">
        <f>+MINVU_Mes_Corriente!AZ20*SALUD_Mes_Constante!$AP$1</f>
        <v>0</v>
      </c>
      <c r="BA20" s="8">
        <f>+MINVU_Mes_Corriente!BA20*SALUD_Mes_Constante!$AP$1</f>
        <v>0</v>
      </c>
      <c r="BB20" s="9">
        <f t="shared" si="3"/>
        <v>0</v>
      </c>
      <c r="BC20" s="8">
        <f>+MINVU_Mes_Corriente!BC20*SALUD_Mes_Constante!$BC$1</f>
        <v>0</v>
      </c>
      <c r="BD20" s="8">
        <f>+MINVU_Mes_Corriente!BD20*SALUD_Mes_Constante!$BC$1</f>
        <v>0</v>
      </c>
      <c r="BE20" s="8">
        <f>+MINVU_Mes_Corriente!BE20*SALUD_Mes_Constante!$BC$1</f>
        <v>0</v>
      </c>
      <c r="BF20" s="8">
        <f>+MINVU_Mes_Corriente!BF20*SALUD_Mes_Constante!$BC$1</f>
        <v>0</v>
      </c>
      <c r="BG20" s="8">
        <f>+MINVU_Mes_Corriente!BG20*SALUD_Mes_Constante!$BC$1</f>
        <v>0</v>
      </c>
      <c r="BH20" s="8">
        <f>+MINVU_Mes_Corriente!BH20*SALUD_Mes_Constante!$BC$1</f>
        <v>0</v>
      </c>
      <c r="BI20" s="8">
        <f>+MINVU_Mes_Corriente!BI20*SALUD_Mes_Constante!$BC$1</f>
        <v>0</v>
      </c>
      <c r="BJ20" s="8">
        <f>+MINVU_Mes_Corriente!BJ20*SALUD_Mes_Constante!$BC$1</f>
        <v>0</v>
      </c>
      <c r="BK20" s="8">
        <f>+MINVU_Mes_Corriente!BK20*SALUD_Mes_Constante!$BC$1</f>
        <v>0</v>
      </c>
      <c r="BL20" s="8">
        <f>+MINVU_Mes_Corriente!BL20*SALUD_Mes_Constante!$BC$1</f>
        <v>0</v>
      </c>
      <c r="BM20" s="8">
        <f>+MINVU_Mes_Corriente!BM20*SALUD_Mes_Constante!$BC$1</f>
        <v>0</v>
      </c>
      <c r="BN20" s="8">
        <f>+MINVU_Mes_Corriente!BN20*SALUD_Mes_Constante!$BC$1</f>
        <v>0</v>
      </c>
      <c r="BO20" s="9">
        <f t="shared" si="4"/>
        <v>0</v>
      </c>
      <c r="BP20" s="8">
        <f>+MINVU_Mes_Corriente!BP20*SALUD_Mes_Constante!$BP$1</f>
        <v>0</v>
      </c>
      <c r="BQ20" s="8">
        <f>+MINVU_Mes_Corriente!BQ20*SALUD_Mes_Constante!$BP$1</f>
        <v>0</v>
      </c>
      <c r="BR20" s="8">
        <f>+MINVU_Mes_Corriente!BR20*SALUD_Mes_Constante!$BP$1</f>
        <v>0</v>
      </c>
      <c r="BS20" s="8">
        <f>+MINVU_Mes_Corriente!BS20*SALUD_Mes_Constante!$BP$1</f>
        <v>0</v>
      </c>
      <c r="BT20" s="8">
        <f>+MINVU_Mes_Corriente!BT20*SALUD_Mes_Constante!$BP$1</f>
        <v>0</v>
      </c>
      <c r="BU20" s="8">
        <f>+MINVU_Mes_Corriente!BU20*SALUD_Mes_Constante!$BP$1</f>
        <v>0</v>
      </c>
      <c r="BV20" s="8">
        <f>+MINVU_Mes_Corriente!BV20*SALUD_Mes_Constante!$BP$1</f>
        <v>0</v>
      </c>
      <c r="BW20" s="8">
        <f>+MINVU_Mes_Corriente!BW20*SALUD_Mes_Constante!$BP$1</f>
        <v>0</v>
      </c>
      <c r="BX20" s="8">
        <f>+MINVU_Mes_Corriente!BX20*SALUD_Mes_Constante!$BP$1</f>
        <v>0</v>
      </c>
      <c r="BY20" s="8">
        <f>+MINVU_Mes_Corriente!BY20*SALUD_Mes_Constante!$BP$1</f>
        <v>0</v>
      </c>
      <c r="BZ20" s="8">
        <f>+MINVU_Mes_Corriente!BZ20*SALUD_Mes_Constante!$BP$1</f>
        <v>0</v>
      </c>
      <c r="CA20" s="8">
        <f>+MINVU_Mes_Corriente!CA20*SALUD_Mes_Constante!$BP$1</f>
        <v>0</v>
      </c>
      <c r="CB20" s="9">
        <f t="shared" si="5"/>
        <v>0</v>
      </c>
      <c r="CC20" s="8">
        <f>+MINVU_Mes_Corriente!CC20*SALUD_Mes_Constante!$CC$1</f>
        <v>0</v>
      </c>
      <c r="CD20" s="8">
        <f>+MINVU_Mes_Corriente!CD20*SALUD_Mes_Constante!$CC$1</f>
        <v>0</v>
      </c>
      <c r="CE20" s="8">
        <f>+MINVU_Mes_Corriente!CE20*SALUD_Mes_Constante!$CC$1</f>
        <v>0</v>
      </c>
      <c r="CF20" s="8">
        <f>+MINVU_Mes_Corriente!CF20*SALUD_Mes_Constante!$CC$1</f>
        <v>0</v>
      </c>
      <c r="CG20" s="8">
        <f>+MINVU_Mes_Corriente!CG20*SALUD_Mes_Constante!$CC$1</f>
        <v>0</v>
      </c>
      <c r="CH20" s="8">
        <f>+MINVU_Mes_Corriente!CH20*SALUD_Mes_Constante!$CC$1</f>
        <v>0</v>
      </c>
      <c r="CI20" s="8">
        <f>+MINVU_Mes_Corriente!CI20*SALUD_Mes_Constante!$CC$1</f>
        <v>0</v>
      </c>
      <c r="CJ20" s="8">
        <f>+MINVU_Mes_Corriente!CJ20*SALUD_Mes_Constante!$CC$1</f>
        <v>0</v>
      </c>
      <c r="CK20" s="8">
        <f>+MINVU_Mes_Corriente!CK20*SALUD_Mes_Constante!$CC$1</f>
        <v>0</v>
      </c>
      <c r="CL20" s="8">
        <f>+MINVU_Mes_Corriente!CL20*SALUD_Mes_Constante!$CC$1</f>
        <v>0</v>
      </c>
      <c r="CM20" s="8">
        <f>+MINVU_Mes_Corriente!CM20*SALUD_Mes_Constante!$CC$1</f>
        <v>0</v>
      </c>
      <c r="CN20" s="8">
        <f>+MINVU_Mes_Corriente!CN20*SALUD_Mes_Constante!$CC$1</f>
        <v>0</v>
      </c>
      <c r="CO20" s="9">
        <f t="shared" si="6"/>
        <v>0</v>
      </c>
      <c r="CP20" s="8">
        <f>+MINVU_Mes_Corriente!CP20*SALUD_Mes_Constante!$CP$1</f>
        <v>0</v>
      </c>
      <c r="CQ20" s="8">
        <f>+MINVU_Mes_Corriente!CQ20*SALUD_Mes_Constante!$CP$1</f>
        <v>0</v>
      </c>
      <c r="CR20" s="8">
        <f>+MINVU_Mes_Corriente!CR20*SALUD_Mes_Constante!$CP$1</f>
        <v>0</v>
      </c>
      <c r="CS20" s="8">
        <f>+MINVU_Mes_Corriente!CS20*SALUD_Mes_Constante!$CP$1</f>
        <v>0</v>
      </c>
      <c r="CT20" s="8">
        <f>+MINVU_Mes_Corriente!CT20*SALUD_Mes_Constante!$CP$1</f>
        <v>0</v>
      </c>
      <c r="CU20" s="8">
        <f>+MINVU_Mes_Corriente!CU20*SALUD_Mes_Constante!$CP$1</f>
        <v>0</v>
      </c>
      <c r="CV20" s="8">
        <f>+MINVU_Mes_Corriente!CV20*SALUD_Mes_Constante!$CP$1</f>
        <v>0</v>
      </c>
      <c r="CW20" s="8">
        <f>+MINVU_Mes_Corriente!CW20*SALUD_Mes_Constante!$CP$1</f>
        <v>0</v>
      </c>
      <c r="CX20" s="8">
        <f>+MINVU_Mes_Corriente!CX20*SALUD_Mes_Constante!$CP$1</f>
        <v>0</v>
      </c>
      <c r="CY20" s="8">
        <f>+MINVU_Mes_Corriente!CY20*SALUD_Mes_Constante!$CP$1</f>
        <v>0</v>
      </c>
      <c r="CZ20" s="8">
        <f>+MINVU_Mes_Corriente!CZ20*SALUD_Mes_Constante!$CP$1</f>
        <v>0</v>
      </c>
      <c r="DA20" s="8">
        <f>+MINVU_Mes_Corriente!DA20*SALUD_Mes_Constante!$CP$1</f>
        <v>0</v>
      </c>
      <c r="DB20" s="9">
        <f t="shared" si="7"/>
        <v>0</v>
      </c>
      <c r="DC20" s="8">
        <f>+MINVU_Mes_Corriente!DC20*SALUD_Mes_Constante!$DC$1</f>
        <v>0</v>
      </c>
      <c r="DD20" s="8">
        <f>+MINVU_Mes_Corriente!DD20*SALUD_Mes_Constante!$DC$1</f>
        <v>0</v>
      </c>
      <c r="DE20" s="8">
        <f>+MINVU_Mes_Corriente!DE20*SALUD_Mes_Constante!$DC$1</f>
        <v>0</v>
      </c>
      <c r="DF20" s="8">
        <f>+MINVU_Mes_Corriente!DF20*SALUD_Mes_Constante!$DC$1</f>
        <v>0</v>
      </c>
      <c r="DG20" s="8">
        <f>+MINVU_Mes_Corriente!DG20*SALUD_Mes_Constante!$DC$1</f>
        <v>0</v>
      </c>
      <c r="DH20" s="8">
        <f>+MINVU_Mes_Corriente!DH20*SALUD_Mes_Constante!$DC$1</f>
        <v>0</v>
      </c>
      <c r="DI20" s="8">
        <f>+MINVU_Mes_Corriente!DI20*SALUD_Mes_Constante!$DC$1</f>
        <v>0</v>
      </c>
      <c r="DJ20" s="8">
        <f>+MINVU_Mes_Corriente!DJ20*SALUD_Mes_Constante!$DC$1</f>
        <v>0</v>
      </c>
      <c r="DK20" s="8">
        <f>+MINVU_Mes_Corriente!DK20*SALUD_Mes_Constante!$DC$1</f>
        <v>0</v>
      </c>
      <c r="DL20" s="8">
        <f>+MINVU_Mes_Corriente!DL20*SALUD_Mes_Constante!$DC$1</f>
        <v>0</v>
      </c>
      <c r="DM20" s="8">
        <f>+MINVU_Mes_Corriente!DM20*SALUD_Mes_Constante!$DC$1</f>
        <v>0</v>
      </c>
      <c r="DN20" s="8">
        <f>+MINVU_Mes_Corriente!DN20*SALUD_Mes_Constante!$DC$1</f>
        <v>0</v>
      </c>
      <c r="DO20" s="9">
        <f t="shared" si="8"/>
        <v>0</v>
      </c>
      <c r="DP20" s="8">
        <f>+MINVU_Mes_Corriente!DP20*SALUD_Mes_Constante!$DP$1</f>
        <v>0</v>
      </c>
      <c r="DQ20" s="8">
        <f>+MINVU_Mes_Corriente!DQ20*SALUD_Mes_Constante!$DP$1</f>
        <v>0</v>
      </c>
      <c r="DR20" s="8">
        <f>+MINVU_Mes_Corriente!DR20*SALUD_Mes_Constante!$DP$1</f>
        <v>0</v>
      </c>
      <c r="DS20" s="8">
        <f>+MINVU_Mes_Corriente!DS20*SALUD_Mes_Constante!$DP$1</f>
        <v>0</v>
      </c>
      <c r="DT20" s="8">
        <f>+MINVU_Mes_Corriente!DT20*SALUD_Mes_Constante!$DP$1</f>
        <v>0</v>
      </c>
      <c r="DU20" s="8">
        <f>+MINVU_Mes_Corriente!DU20*SALUD_Mes_Constante!$DP$1</f>
        <v>0</v>
      </c>
      <c r="DV20" s="8">
        <f>+MINVU_Mes_Corriente!DV20*SALUD_Mes_Constante!$DP$1</f>
        <v>0</v>
      </c>
      <c r="DW20" s="8">
        <f>+MINVU_Mes_Corriente!DW20*SALUD_Mes_Constante!$DP$1</f>
        <v>0</v>
      </c>
      <c r="DX20" s="8">
        <f>+MINVU_Mes_Corriente!DX20*SALUD_Mes_Constante!$DP$1</f>
        <v>0</v>
      </c>
      <c r="DY20" s="8">
        <f>+MINVU_Mes_Corriente!DY20*SALUD_Mes_Constante!$DP$1</f>
        <v>0</v>
      </c>
      <c r="DZ20" s="8">
        <f>+MINVU_Mes_Corriente!DZ20*SALUD_Mes_Constante!$DP$1</f>
        <v>0</v>
      </c>
      <c r="EA20" s="8">
        <f>+MINVU_Mes_Corriente!EA20*SALUD_Mes_Constante!$DP$1</f>
        <v>0</v>
      </c>
      <c r="EB20" s="9">
        <f t="shared" si="9"/>
        <v>0</v>
      </c>
      <c r="EC20" s="8">
        <f>+MINVU_Mes_Corriente!EC20*SALUD_Mes_Constante!$EC$1</f>
        <v>0</v>
      </c>
      <c r="ED20" s="8">
        <f>+MINVU_Mes_Corriente!ED20*SALUD_Mes_Constante!$EC$1</f>
        <v>0</v>
      </c>
      <c r="EE20" s="8">
        <f>+MINVU_Mes_Corriente!EE20*SALUD_Mes_Constante!$EC$1</f>
        <v>0</v>
      </c>
      <c r="EF20" s="8">
        <f>+MINVU_Mes_Corriente!EF20*SALUD_Mes_Constante!$EC$1</f>
        <v>0</v>
      </c>
      <c r="EG20" s="8">
        <f>+MINVU_Mes_Corriente!EG20*SALUD_Mes_Constante!$EC$1</f>
        <v>0</v>
      </c>
      <c r="EH20" s="8">
        <f>+MINVU_Mes_Corriente!EH20*SALUD_Mes_Constante!$EC$1</f>
        <v>0</v>
      </c>
      <c r="EI20" s="8">
        <f>+MINVU_Mes_Corriente!EI20*SALUD_Mes_Constante!$EC$1</f>
        <v>0</v>
      </c>
      <c r="EJ20" s="8">
        <f>+MINVU_Mes_Corriente!EJ20*SALUD_Mes_Constante!$EC$1</f>
        <v>0</v>
      </c>
      <c r="EK20" s="8">
        <f>+MINVU_Mes_Corriente!EK20*SALUD_Mes_Constante!$EC$1</f>
        <v>0</v>
      </c>
      <c r="EL20" s="8">
        <f>+MINVU_Mes_Corriente!EL20*SALUD_Mes_Constante!$EC$1</f>
        <v>0</v>
      </c>
      <c r="EM20" s="8">
        <f>+MINVU_Mes_Corriente!EM20*SALUD_Mes_Constante!$EC$1</f>
        <v>0</v>
      </c>
      <c r="EN20" s="8">
        <f>+MINVU_Mes_Corriente!EN20*SALUD_Mes_Constante!$EC$1</f>
        <v>0</v>
      </c>
      <c r="EO20" s="9">
        <f t="shared" si="10"/>
        <v>0</v>
      </c>
      <c r="EP20" s="8">
        <f>+MINVU_Mes_Corriente!EP20*SALUD_Mes_Constante!$EP$1</f>
        <v>0</v>
      </c>
      <c r="EQ20" s="8">
        <f>+MINVU_Mes_Corriente!EQ20*SALUD_Mes_Constante!$EP$1</f>
        <v>0</v>
      </c>
      <c r="ER20" s="8">
        <f>+MINVU_Mes_Corriente!ER20*SALUD_Mes_Constante!$EP$1</f>
        <v>0</v>
      </c>
      <c r="ES20" s="8">
        <f>+MINVU_Mes_Corriente!ES20*SALUD_Mes_Constante!$EP$1</f>
        <v>0</v>
      </c>
      <c r="ET20" s="8">
        <f>+MINVU_Mes_Corriente!ET20*SALUD_Mes_Constante!$EP$1</f>
        <v>0</v>
      </c>
      <c r="EU20" s="8">
        <f>+MINVU_Mes_Corriente!EU20*SALUD_Mes_Constante!$EP$1</f>
        <v>0</v>
      </c>
      <c r="EV20" s="8">
        <f>+MINVU_Mes_Corriente!EV20*SALUD_Mes_Constante!$EP$1</f>
        <v>0</v>
      </c>
      <c r="EW20" s="8">
        <f>+MINVU_Mes_Corriente!EW20*SALUD_Mes_Constante!$EP$1</f>
        <v>0</v>
      </c>
      <c r="EX20" s="8">
        <f>+MINVU_Mes_Corriente!EX20*SALUD_Mes_Constante!$EP$1</f>
        <v>0</v>
      </c>
      <c r="EY20" s="8">
        <f>+MINVU_Mes_Corriente!EY20*SALUD_Mes_Constante!$EP$1</f>
        <v>0</v>
      </c>
      <c r="EZ20" s="8">
        <f>+MINVU_Mes_Corriente!EZ20*SALUD_Mes_Constante!$EP$1</f>
        <v>0</v>
      </c>
      <c r="FA20" s="8">
        <f>+MINVU_Mes_Corriente!FA20*SALUD_Mes_Constante!$EP$1</f>
        <v>0</v>
      </c>
      <c r="FB20" s="9">
        <f t="shared" si="11"/>
        <v>0</v>
      </c>
      <c r="FC20" s="8">
        <f>+MINVU_Mes_Corriente!FC20*SALUD_Mes_Constante!$FC$1</f>
        <v>19044871</v>
      </c>
      <c r="FD20" s="8">
        <f>+MINVU_Mes_Corriente!FD20*SALUD_Mes_Constante!$FC$1</f>
        <v>19044871</v>
      </c>
      <c r="FE20" s="8">
        <f>+MINVU_Mes_Corriente!FE20*SALUD_Mes_Constante!$FC$1</f>
        <v>19044871</v>
      </c>
      <c r="FF20" s="8">
        <f>+MINVU_Mes_Corriente!FF20*SALUD_Mes_Constante!$FC$1</f>
        <v>19044871</v>
      </c>
      <c r="FG20" s="8">
        <f>+MINVU_Mes_Corriente!FG20*SALUD_Mes_Constante!$FC$1</f>
        <v>19044871</v>
      </c>
      <c r="FH20" s="8">
        <f>+MINVU_Mes_Corriente!FH20*SALUD_Mes_Constante!$FC$1</f>
        <v>19044871</v>
      </c>
      <c r="FI20" s="8">
        <f>+MINVU_Mes_Corriente!FI20*SALUD_Mes_Constante!$FC$1</f>
        <v>19044871</v>
      </c>
      <c r="FJ20" s="8"/>
      <c r="FK20" s="8"/>
      <c r="FL20" s="8"/>
      <c r="FM20" s="8"/>
      <c r="FN20" s="8"/>
      <c r="FO20" s="9">
        <f t="shared" si="12"/>
        <v>19044871</v>
      </c>
    </row>
    <row r="21" spans="2:171" ht="14.25" customHeight="1" x14ac:dyDescent="0.3">
      <c r="B21" s="7" t="s">
        <v>56</v>
      </c>
      <c r="C21" s="8">
        <f>+MINVU_Mes_Corriente!C21*SALUD_Mes_Constante!$C$1</f>
        <v>0</v>
      </c>
      <c r="D21" s="8">
        <f>+MINVU_Mes_Corriente!D21*SALUD_Mes_Constante!$C$1</f>
        <v>0</v>
      </c>
      <c r="E21" s="8">
        <f>+MINVU_Mes_Corriente!E21*SALUD_Mes_Constante!$C$1</f>
        <v>0</v>
      </c>
      <c r="F21" s="8">
        <f>+MINVU_Mes_Corriente!F21*SALUD_Mes_Constante!$C$1</f>
        <v>0</v>
      </c>
      <c r="G21" s="8">
        <f>+MINVU_Mes_Corriente!G21*SALUD_Mes_Constante!$C$1</f>
        <v>0</v>
      </c>
      <c r="H21" s="8">
        <f>+MINVU_Mes_Corriente!H21*SALUD_Mes_Constante!$C$1</f>
        <v>0</v>
      </c>
      <c r="I21" s="8">
        <f>+MINVU_Mes_Corriente!I21*SALUD_Mes_Constante!$C$1</f>
        <v>0</v>
      </c>
      <c r="J21" s="8">
        <f>+MINVU_Mes_Corriente!J21*SALUD_Mes_Constante!$C$1</f>
        <v>0</v>
      </c>
      <c r="K21" s="8">
        <f>+MINVU_Mes_Corriente!K21*SALUD_Mes_Constante!$C$1</f>
        <v>0</v>
      </c>
      <c r="L21" s="8">
        <f>+MINVU_Mes_Corriente!L21*SALUD_Mes_Constante!$C$1</f>
        <v>0</v>
      </c>
      <c r="M21" s="8">
        <f>+MINVU_Mes_Corriente!M21*SALUD_Mes_Constante!$C$1</f>
        <v>0</v>
      </c>
      <c r="N21" s="8">
        <f>+MINVU_Mes_Corriente!N21*SALUD_Mes_Constante!$C$1</f>
        <v>0</v>
      </c>
      <c r="O21" s="9">
        <f t="shared" si="0"/>
        <v>0</v>
      </c>
      <c r="P21" s="8">
        <f>+MINVU_Mes_Corriente!P21*SALUD_Mes_Constante!$P$1</f>
        <v>0</v>
      </c>
      <c r="Q21" s="8">
        <f>+MINVU_Mes_Corriente!Q21*SALUD_Mes_Constante!$P$1</f>
        <v>0</v>
      </c>
      <c r="R21" s="8">
        <f>+MINVU_Mes_Corriente!R21*SALUD_Mes_Constante!$P$1</f>
        <v>0</v>
      </c>
      <c r="S21" s="8">
        <f>+MINVU_Mes_Corriente!S21*SALUD_Mes_Constante!$P$1</f>
        <v>0</v>
      </c>
      <c r="T21" s="8">
        <f>+MINVU_Mes_Corriente!T21*SALUD_Mes_Constante!$P$1</f>
        <v>0</v>
      </c>
      <c r="U21" s="8">
        <f>+MINVU_Mes_Corriente!U21*SALUD_Mes_Constante!$P$1</f>
        <v>0</v>
      </c>
      <c r="V21" s="8">
        <f>+MINVU_Mes_Corriente!V21*SALUD_Mes_Constante!$P$1</f>
        <v>0</v>
      </c>
      <c r="W21" s="8">
        <f>+MINVU_Mes_Corriente!W21*SALUD_Mes_Constante!$P$1</f>
        <v>0</v>
      </c>
      <c r="X21" s="8">
        <f>+MINVU_Mes_Corriente!X21*SALUD_Mes_Constante!$P$1</f>
        <v>0</v>
      </c>
      <c r="Y21" s="8">
        <f>+MINVU_Mes_Corriente!Y21*SALUD_Mes_Constante!$P$1</f>
        <v>0</v>
      </c>
      <c r="Z21" s="8">
        <f>+MINVU_Mes_Corriente!Z21*SALUD_Mes_Constante!$P$1</f>
        <v>0</v>
      </c>
      <c r="AA21" s="8">
        <f>+MINVU_Mes_Corriente!AA21*SALUD_Mes_Constante!$P$1</f>
        <v>0</v>
      </c>
      <c r="AB21" s="9">
        <f t="shared" si="1"/>
        <v>0</v>
      </c>
      <c r="AC21" s="8">
        <f>+MINVU_Mes_Corriente!AC21*SALUD_Mes_Constante!$AC$1</f>
        <v>0</v>
      </c>
      <c r="AD21" s="8">
        <f>+MINVU_Mes_Corriente!AD21*SALUD_Mes_Constante!$AC$1</f>
        <v>0</v>
      </c>
      <c r="AE21" s="8">
        <f>+MINVU_Mes_Corriente!AE21*SALUD_Mes_Constante!$AC$1</f>
        <v>0</v>
      </c>
      <c r="AF21" s="8">
        <f>+MINVU_Mes_Corriente!AF21*SALUD_Mes_Constante!$AC$1</f>
        <v>0</v>
      </c>
      <c r="AG21" s="8">
        <f>+MINVU_Mes_Corriente!AG21*SALUD_Mes_Constante!$AC$1</f>
        <v>0</v>
      </c>
      <c r="AH21" s="8">
        <f>+MINVU_Mes_Corriente!AH21*SALUD_Mes_Constante!$AC$1</f>
        <v>0</v>
      </c>
      <c r="AI21" s="8">
        <f>+MINVU_Mes_Corriente!AI21*SALUD_Mes_Constante!$AC$1</f>
        <v>0</v>
      </c>
      <c r="AJ21" s="8">
        <f>+MINVU_Mes_Corriente!AJ21*SALUD_Mes_Constante!$AC$1</f>
        <v>0</v>
      </c>
      <c r="AK21" s="8">
        <f>+MINVU_Mes_Corriente!AK21*SALUD_Mes_Constante!$AC$1</f>
        <v>0</v>
      </c>
      <c r="AL21" s="8">
        <f>+MINVU_Mes_Corriente!AL21*SALUD_Mes_Constante!$AC$1</f>
        <v>0</v>
      </c>
      <c r="AM21" s="8">
        <f>+MINVU_Mes_Corriente!AM21*SALUD_Mes_Constante!$AC$1</f>
        <v>0</v>
      </c>
      <c r="AN21" s="8">
        <f>+MINVU_Mes_Corriente!AN21*SALUD_Mes_Constante!$AC$1</f>
        <v>0</v>
      </c>
      <c r="AO21" s="9">
        <f t="shared" si="2"/>
        <v>0</v>
      </c>
      <c r="AP21" s="8">
        <f>+MINVU_Mes_Corriente!AP21*SALUD_Mes_Constante!$AP$1</f>
        <v>0</v>
      </c>
      <c r="AQ21" s="8">
        <f>+MINVU_Mes_Corriente!AQ21*SALUD_Mes_Constante!$AP$1</f>
        <v>0</v>
      </c>
      <c r="AR21" s="8">
        <f>+MINVU_Mes_Corriente!AR21*SALUD_Mes_Constante!$AP$1</f>
        <v>0</v>
      </c>
      <c r="AS21" s="8">
        <f>+MINVU_Mes_Corriente!AS21*SALUD_Mes_Constante!$AP$1</f>
        <v>0</v>
      </c>
      <c r="AT21" s="8">
        <f>+MINVU_Mes_Corriente!AT21*SALUD_Mes_Constante!$AP$1</f>
        <v>0</v>
      </c>
      <c r="AU21" s="8">
        <f>+MINVU_Mes_Corriente!AU21*SALUD_Mes_Constante!$AP$1</f>
        <v>0</v>
      </c>
      <c r="AV21" s="8">
        <f>+MINVU_Mes_Corriente!AV21*SALUD_Mes_Constante!$AP$1</f>
        <v>0</v>
      </c>
      <c r="AW21" s="8">
        <f>+MINVU_Mes_Corriente!AW21*SALUD_Mes_Constante!$AP$1</f>
        <v>0</v>
      </c>
      <c r="AX21" s="8">
        <f>+MINVU_Mes_Corriente!AX21*SALUD_Mes_Constante!$AP$1</f>
        <v>0</v>
      </c>
      <c r="AY21" s="8">
        <f>+MINVU_Mes_Corriente!AY21*SALUD_Mes_Constante!$AP$1</f>
        <v>0</v>
      </c>
      <c r="AZ21" s="8">
        <f>+MINVU_Mes_Corriente!AZ21*SALUD_Mes_Constante!$AP$1</f>
        <v>0</v>
      </c>
      <c r="BA21" s="8">
        <f>+MINVU_Mes_Corriente!BA21*SALUD_Mes_Constante!$AP$1</f>
        <v>0</v>
      </c>
      <c r="BB21" s="9">
        <f t="shared" si="3"/>
        <v>0</v>
      </c>
      <c r="BC21" s="8">
        <f>+MINVU_Mes_Corriente!BC21*SALUD_Mes_Constante!$BC$1</f>
        <v>0</v>
      </c>
      <c r="BD21" s="8">
        <f>+MINVU_Mes_Corriente!BD21*SALUD_Mes_Constante!$BC$1</f>
        <v>0</v>
      </c>
      <c r="BE21" s="8">
        <f>+MINVU_Mes_Corriente!BE21*SALUD_Mes_Constante!$BC$1</f>
        <v>0</v>
      </c>
      <c r="BF21" s="8">
        <f>+MINVU_Mes_Corriente!BF21*SALUD_Mes_Constante!$BC$1</f>
        <v>0</v>
      </c>
      <c r="BG21" s="8">
        <f>+MINVU_Mes_Corriente!BG21*SALUD_Mes_Constante!$BC$1</f>
        <v>0</v>
      </c>
      <c r="BH21" s="8">
        <f>+MINVU_Mes_Corriente!BH21*SALUD_Mes_Constante!$BC$1</f>
        <v>0</v>
      </c>
      <c r="BI21" s="8">
        <f>+MINVU_Mes_Corriente!BI21*SALUD_Mes_Constante!$BC$1</f>
        <v>0</v>
      </c>
      <c r="BJ21" s="8">
        <f>+MINVU_Mes_Corriente!BJ21*SALUD_Mes_Constante!$BC$1</f>
        <v>0</v>
      </c>
      <c r="BK21" s="8">
        <f>+MINVU_Mes_Corriente!BK21*SALUD_Mes_Constante!$BC$1</f>
        <v>0</v>
      </c>
      <c r="BL21" s="8">
        <f>+MINVU_Mes_Corriente!BL21*SALUD_Mes_Constante!$BC$1</f>
        <v>0</v>
      </c>
      <c r="BM21" s="8">
        <f>+MINVU_Mes_Corriente!BM21*SALUD_Mes_Constante!$BC$1</f>
        <v>0</v>
      </c>
      <c r="BN21" s="8">
        <f>+MINVU_Mes_Corriente!BN21*SALUD_Mes_Constante!$BC$1</f>
        <v>0</v>
      </c>
      <c r="BO21" s="9">
        <f t="shared" si="4"/>
        <v>0</v>
      </c>
      <c r="BP21" s="8">
        <f>+MINVU_Mes_Corriente!BP21*SALUD_Mes_Constante!$BP$1</f>
        <v>0</v>
      </c>
      <c r="BQ21" s="8">
        <f>+MINVU_Mes_Corriente!BQ21*SALUD_Mes_Constante!$BP$1</f>
        <v>0</v>
      </c>
      <c r="BR21" s="8">
        <f>+MINVU_Mes_Corriente!BR21*SALUD_Mes_Constante!$BP$1</f>
        <v>0</v>
      </c>
      <c r="BS21" s="8">
        <f>+MINVU_Mes_Corriente!BS21*SALUD_Mes_Constante!$BP$1</f>
        <v>0</v>
      </c>
      <c r="BT21" s="8">
        <f>+MINVU_Mes_Corriente!BT21*SALUD_Mes_Constante!$BP$1</f>
        <v>0</v>
      </c>
      <c r="BU21" s="8">
        <f>+MINVU_Mes_Corriente!BU21*SALUD_Mes_Constante!$BP$1</f>
        <v>0</v>
      </c>
      <c r="BV21" s="8">
        <f>+MINVU_Mes_Corriente!BV21*SALUD_Mes_Constante!$BP$1</f>
        <v>0</v>
      </c>
      <c r="BW21" s="8">
        <f>+MINVU_Mes_Corriente!BW21*SALUD_Mes_Constante!$BP$1</f>
        <v>0</v>
      </c>
      <c r="BX21" s="8">
        <f>+MINVU_Mes_Corriente!BX21*SALUD_Mes_Constante!$BP$1</f>
        <v>0</v>
      </c>
      <c r="BY21" s="8">
        <f>+MINVU_Mes_Corriente!BY21*SALUD_Mes_Constante!$BP$1</f>
        <v>0</v>
      </c>
      <c r="BZ21" s="8">
        <f>+MINVU_Mes_Corriente!BZ21*SALUD_Mes_Constante!$BP$1</f>
        <v>0</v>
      </c>
      <c r="CA21" s="8">
        <f>+MINVU_Mes_Corriente!CA21*SALUD_Mes_Constante!$BP$1</f>
        <v>0</v>
      </c>
      <c r="CB21" s="9">
        <f t="shared" si="5"/>
        <v>0</v>
      </c>
      <c r="CC21" s="8">
        <f>+MINVU_Mes_Corriente!CC21*SALUD_Mes_Constante!$CC$1</f>
        <v>0</v>
      </c>
      <c r="CD21" s="8">
        <f>+MINVU_Mes_Corriente!CD21*SALUD_Mes_Constante!$CC$1</f>
        <v>0</v>
      </c>
      <c r="CE21" s="8">
        <f>+MINVU_Mes_Corriente!CE21*SALUD_Mes_Constante!$CC$1</f>
        <v>0</v>
      </c>
      <c r="CF21" s="8">
        <f>+MINVU_Mes_Corriente!CF21*SALUD_Mes_Constante!$CC$1</f>
        <v>0</v>
      </c>
      <c r="CG21" s="8">
        <f>+MINVU_Mes_Corriente!CG21*SALUD_Mes_Constante!$CC$1</f>
        <v>0</v>
      </c>
      <c r="CH21" s="8">
        <f>+MINVU_Mes_Corriente!CH21*SALUD_Mes_Constante!$CC$1</f>
        <v>0</v>
      </c>
      <c r="CI21" s="8">
        <f>+MINVU_Mes_Corriente!CI21*SALUD_Mes_Constante!$CC$1</f>
        <v>0</v>
      </c>
      <c r="CJ21" s="8">
        <f>+MINVU_Mes_Corriente!CJ21*SALUD_Mes_Constante!$CC$1</f>
        <v>0</v>
      </c>
      <c r="CK21" s="8">
        <f>+MINVU_Mes_Corriente!CK21*SALUD_Mes_Constante!$CC$1</f>
        <v>0</v>
      </c>
      <c r="CL21" s="8">
        <f>+MINVU_Mes_Corriente!CL21*SALUD_Mes_Constante!$CC$1</f>
        <v>0</v>
      </c>
      <c r="CM21" s="8">
        <f>+MINVU_Mes_Corriente!CM21*SALUD_Mes_Constante!$CC$1</f>
        <v>0</v>
      </c>
      <c r="CN21" s="8">
        <f>+MINVU_Mes_Corriente!CN21*SALUD_Mes_Constante!$CC$1</f>
        <v>0</v>
      </c>
      <c r="CO21" s="9">
        <f t="shared" si="6"/>
        <v>0</v>
      </c>
      <c r="CP21" s="8">
        <f>+MINVU_Mes_Corriente!CP21*SALUD_Mes_Constante!$CP$1</f>
        <v>0</v>
      </c>
      <c r="CQ21" s="8">
        <f>+MINVU_Mes_Corriente!CQ21*SALUD_Mes_Constante!$CP$1</f>
        <v>0</v>
      </c>
      <c r="CR21" s="8">
        <f>+MINVU_Mes_Corriente!CR21*SALUD_Mes_Constante!$CP$1</f>
        <v>0</v>
      </c>
      <c r="CS21" s="8">
        <f>+MINVU_Mes_Corriente!CS21*SALUD_Mes_Constante!$CP$1</f>
        <v>0</v>
      </c>
      <c r="CT21" s="8">
        <f>+MINVU_Mes_Corriente!CT21*SALUD_Mes_Constante!$CP$1</f>
        <v>0</v>
      </c>
      <c r="CU21" s="8">
        <f>+MINVU_Mes_Corriente!CU21*SALUD_Mes_Constante!$CP$1</f>
        <v>0</v>
      </c>
      <c r="CV21" s="8">
        <f>+MINVU_Mes_Corriente!CV21*SALUD_Mes_Constante!$CP$1</f>
        <v>0</v>
      </c>
      <c r="CW21" s="8">
        <f>+MINVU_Mes_Corriente!CW21*SALUD_Mes_Constante!$CP$1</f>
        <v>0</v>
      </c>
      <c r="CX21" s="8">
        <f>+MINVU_Mes_Corriente!CX21*SALUD_Mes_Constante!$CP$1</f>
        <v>0</v>
      </c>
      <c r="CY21" s="8">
        <f>+MINVU_Mes_Corriente!CY21*SALUD_Mes_Constante!$CP$1</f>
        <v>0</v>
      </c>
      <c r="CZ21" s="8">
        <f>+MINVU_Mes_Corriente!CZ21*SALUD_Mes_Constante!$CP$1</f>
        <v>0</v>
      </c>
      <c r="DA21" s="8">
        <f>+MINVU_Mes_Corriente!DA21*SALUD_Mes_Constante!$CP$1</f>
        <v>0</v>
      </c>
      <c r="DB21" s="9">
        <f t="shared" si="7"/>
        <v>0</v>
      </c>
      <c r="DC21" s="8">
        <f>+MINVU_Mes_Corriente!DC21*SALUD_Mes_Constante!$DC$1</f>
        <v>0</v>
      </c>
      <c r="DD21" s="8">
        <f>+MINVU_Mes_Corriente!DD21*SALUD_Mes_Constante!$DC$1</f>
        <v>0</v>
      </c>
      <c r="DE21" s="8">
        <f>+MINVU_Mes_Corriente!DE21*SALUD_Mes_Constante!$DC$1</f>
        <v>0</v>
      </c>
      <c r="DF21" s="8">
        <f>+MINVU_Mes_Corriente!DF21*SALUD_Mes_Constante!$DC$1</f>
        <v>0</v>
      </c>
      <c r="DG21" s="8">
        <f>+MINVU_Mes_Corriente!DG21*SALUD_Mes_Constante!$DC$1</f>
        <v>0</v>
      </c>
      <c r="DH21" s="8">
        <f>+MINVU_Mes_Corriente!DH21*SALUD_Mes_Constante!$DC$1</f>
        <v>0</v>
      </c>
      <c r="DI21" s="8">
        <f>+MINVU_Mes_Corriente!DI21*SALUD_Mes_Constante!$DC$1</f>
        <v>0</v>
      </c>
      <c r="DJ21" s="8">
        <f>+MINVU_Mes_Corriente!DJ21*SALUD_Mes_Constante!$DC$1</f>
        <v>0</v>
      </c>
      <c r="DK21" s="8">
        <f>+MINVU_Mes_Corriente!DK21*SALUD_Mes_Constante!$DC$1</f>
        <v>0</v>
      </c>
      <c r="DL21" s="8">
        <f>+MINVU_Mes_Corriente!DL21*SALUD_Mes_Constante!$DC$1</f>
        <v>0</v>
      </c>
      <c r="DM21" s="8">
        <f>+MINVU_Mes_Corriente!DM21*SALUD_Mes_Constante!$DC$1</f>
        <v>0</v>
      </c>
      <c r="DN21" s="8">
        <f>+MINVU_Mes_Corriente!DN21*SALUD_Mes_Constante!$DC$1</f>
        <v>0</v>
      </c>
      <c r="DO21" s="9">
        <f t="shared" si="8"/>
        <v>0</v>
      </c>
      <c r="DP21" s="8">
        <f>+MINVU_Mes_Corriente!DP21*SALUD_Mes_Constante!$DP$1</f>
        <v>0</v>
      </c>
      <c r="DQ21" s="8">
        <f>+MINVU_Mes_Corriente!DQ21*SALUD_Mes_Constante!$DP$1</f>
        <v>0</v>
      </c>
      <c r="DR21" s="8">
        <f>+MINVU_Mes_Corriente!DR21*SALUD_Mes_Constante!$DP$1</f>
        <v>0</v>
      </c>
      <c r="DS21" s="8">
        <f>+MINVU_Mes_Corriente!DS21*SALUD_Mes_Constante!$DP$1</f>
        <v>0</v>
      </c>
      <c r="DT21" s="8">
        <f>+MINVU_Mes_Corriente!DT21*SALUD_Mes_Constante!$DP$1</f>
        <v>0</v>
      </c>
      <c r="DU21" s="8">
        <f>+MINVU_Mes_Corriente!DU21*SALUD_Mes_Constante!$DP$1</f>
        <v>0</v>
      </c>
      <c r="DV21" s="8">
        <f>+MINVU_Mes_Corriente!DV21*SALUD_Mes_Constante!$DP$1</f>
        <v>0</v>
      </c>
      <c r="DW21" s="8">
        <f>+MINVU_Mes_Corriente!DW21*SALUD_Mes_Constante!$DP$1</f>
        <v>0</v>
      </c>
      <c r="DX21" s="8">
        <f>+MINVU_Mes_Corriente!DX21*SALUD_Mes_Constante!$DP$1</f>
        <v>0</v>
      </c>
      <c r="DY21" s="8">
        <f>+MINVU_Mes_Corriente!DY21*SALUD_Mes_Constante!$DP$1</f>
        <v>0</v>
      </c>
      <c r="DZ21" s="8">
        <f>+MINVU_Mes_Corriente!DZ21*SALUD_Mes_Constante!$DP$1</f>
        <v>0</v>
      </c>
      <c r="EA21" s="8">
        <f>+MINVU_Mes_Corriente!EA21*SALUD_Mes_Constante!$DP$1</f>
        <v>0</v>
      </c>
      <c r="EB21" s="9">
        <f t="shared" si="9"/>
        <v>0</v>
      </c>
      <c r="EC21" s="8">
        <f>+MINVU_Mes_Corriente!EC21*SALUD_Mes_Constante!$EC$1</f>
        <v>0</v>
      </c>
      <c r="ED21" s="8">
        <f>+MINVU_Mes_Corriente!ED21*SALUD_Mes_Constante!$EC$1</f>
        <v>0</v>
      </c>
      <c r="EE21" s="8">
        <f>+MINVU_Mes_Corriente!EE21*SALUD_Mes_Constante!$EC$1</f>
        <v>0</v>
      </c>
      <c r="EF21" s="8">
        <f>+MINVU_Mes_Corriente!EF21*SALUD_Mes_Constante!$EC$1</f>
        <v>0</v>
      </c>
      <c r="EG21" s="8">
        <f>+MINVU_Mes_Corriente!EG21*SALUD_Mes_Constante!$EC$1</f>
        <v>0</v>
      </c>
      <c r="EH21" s="8">
        <f>+MINVU_Mes_Corriente!EH21*SALUD_Mes_Constante!$EC$1</f>
        <v>0</v>
      </c>
      <c r="EI21" s="8">
        <f>+MINVU_Mes_Corriente!EI21*SALUD_Mes_Constante!$EC$1</f>
        <v>0</v>
      </c>
      <c r="EJ21" s="8">
        <f>+MINVU_Mes_Corriente!EJ21*SALUD_Mes_Constante!$EC$1</f>
        <v>0</v>
      </c>
      <c r="EK21" s="8">
        <f>+MINVU_Mes_Corriente!EK21*SALUD_Mes_Constante!$EC$1</f>
        <v>0</v>
      </c>
      <c r="EL21" s="8">
        <f>+MINVU_Mes_Corriente!EL21*SALUD_Mes_Constante!$EC$1</f>
        <v>0</v>
      </c>
      <c r="EM21" s="8">
        <f>+MINVU_Mes_Corriente!EM21*SALUD_Mes_Constante!$EC$1</f>
        <v>0</v>
      </c>
      <c r="EN21" s="8">
        <f>+MINVU_Mes_Corriente!EN21*SALUD_Mes_Constante!$EC$1</f>
        <v>0</v>
      </c>
      <c r="EO21" s="9">
        <f t="shared" si="10"/>
        <v>0</v>
      </c>
      <c r="EP21" s="8">
        <f>+MINVU_Mes_Corriente!EP21*SALUD_Mes_Constante!$EP$1</f>
        <v>0</v>
      </c>
      <c r="EQ21" s="8">
        <f>+MINVU_Mes_Corriente!EQ21*SALUD_Mes_Constante!$EP$1</f>
        <v>0</v>
      </c>
      <c r="ER21" s="8">
        <f>+MINVU_Mes_Corriente!ER21*SALUD_Mes_Constante!$EP$1</f>
        <v>0</v>
      </c>
      <c r="ES21" s="8">
        <f>+MINVU_Mes_Corriente!ES21*SALUD_Mes_Constante!$EP$1</f>
        <v>0</v>
      </c>
      <c r="ET21" s="8">
        <f>+MINVU_Mes_Corriente!ET21*SALUD_Mes_Constante!$EP$1</f>
        <v>0</v>
      </c>
      <c r="EU21" s="8">
        <f>+MINVU_Mes_Corriente!EU21*SALUD_Mes_Constante!$EP$1</f>
        <v>0</v>
      </c>
      <c r="EV21" s="8">
        <f>+MINVU_Mes_Corriente!EV21*SALUD_Mes_Constante!$EP$1</f>
        <v>0</v>
      </c>
      <c r="EW21" s="8">
        <f>+MINVU_Mes_Corriente!EW21*SALUD_Mes_Constante!$EP$1</f>
        <v>0</v>
      </c>
      <c r="EX21" s="8">
        <f>+MINVU_Mes_Corriente!EX21*SALUD_Mes_Constante!$EP$1</f>
        <v>0</v>
      </c>
      <c r="EY21" s="8">
        <f>+MINVU_Mes_Corriente!EY21*SALUD_Mes_Constante!$EP$1</f>
        <v>0</v>
      </c>
      <c r="EZ21" s="8">
        <f>+MINVU_Mes_Corriente!EZ21*SALUD_Mes_Constante!$EP$1</f>
        <v>0</v>
      </c>
      <c r="FA21" s="8">
        <f>+MINVU_Mes_Corriente!FA21*SALUD_Mes_Constante!$EP$1</f>
        <v>0</v>
      </c>
      <c r="FB21" s="9">
        <f t="shared" si="11"/>
        <v>0</v>
      </c>
      <c r="FC21" s="8">
        <f>+MINVU_Mes_Corriente!FC21*SALUD_Mes_Constante!$FC$1</f>
        <v>36636103</v>
      </c>
      <c r="FD21" s="8">
        <f>+MINVU_Mes_Corriente!FD21*SALUD_Mes_Constante!$FC$1</f>
        <v>36636103</v>
      </c>
      <c r="FE21" s="8">
        <f>+MINVU_Mes_Corriente!FE21*SALUD_Mes_Constante!$FC$1</f>
        <v>36636103</v>
      </c>
      <c r="FF21" s="8">
        <f>+MINVU_Mes_Corriente!FF21*SALUD_Mes_Constante!$FC$1</f>
        <v>36636103</v>
      </c>
      <c r="FG21" s="8">
        <f>+MINVU_Mes_Corriente!FG21*SALUD_Mes_Constante!$FC$1</f>
        <v>36636103</v>
      </c>
      <c r="FH21" s="8">
        <f>+MINVU_Mes_Corriente!FH21*SALUD_Mes_Constante!$FC$1</f>
        <v>36636103</v>
      </c>
      <c r="FI21" s="8">
        <f>+MINVU_Mes_Corriente!FI21*SALUD_Mes_Constante!$FC$1</f>
        <v>36636103</v>
      </c>
      <c r="FJ21" s="8"/>
      <c r="FK21" s="8"/>
      <c r="FL21" s="8"/>
      <c r="FM21" s="8"/>
      <c r="FN21" s="8"/>
      <c r="FO21" s="9">
        <f t="shared" si="12"/>
        <v>36636103</v>
      </c>
    </row>
    <row r="22" spans="2:171" ht="14.25" customHeight="1" x14ac:dyDescent="0.3">
      <c r="B22" s="7" t="s">
        <v>57</v>
      </c>
      <c r="C22" s="8">
        <f>+MINVU_Mes_Corriente!C22*SALUD_Mes_Constante!$C$1</f>
        <v>0</v>
      </c>
      <c r="D22" s="8">
        <f>+MINVU_Mes_Corriente!D22*SALUD_Mes_Constante!$C$1</f>
        <v>0</v>
      </c>
      <c r="E22" s="8">
        <f>+MINVU_Mes_Corriente!E22*SALUD_Mes_Constante!$C$1</f>
        <v>0</v>
      </c>
      <c r="F22" s="8">
        <f>+MINVU_Mes_Corriente!F22*SALUD_Mes_Constante!$C$1</f>
        <v>0</v>
      </c>
      <c r="G22" s="8">
        <f>+MINVU_Mes_Corriente!G22*SALUD_Mes_Constante!$C$1</f>
        <v>0</v>
      </c>
      <c r="H22" s="8">
        <f>+MINVU_Mes_Corriente!H22*SALUD_Mes_Constante!$C$1</f>
        <v>0</v>
      </c>
      <c r="I22" s="8">
        <f>+MINVU_Mes_Corriente!I22*SALUD_Mes_Constante!$C$1</f>
        <v>0</v>
      </c>
      <c r="J22" s="8">
        <f>+MINVU_Mes_Corriente!J22*SALUD_Mes_Constante!$C$1</f>
        <v>0</v>
      </c>
      <c r="K22" s="8">
        <f>+MINVU_Mes_Corriente!K22*SALUD_Mes_Constante!$C$1</f>
        <v>0</v>
      </c>
      <c r="L22" s="8">
        <f>+MINVU_Mes_Corriente!L22*SALUD_Mes_Constante!$C$1</f>
        <v>0</v>
      </c>
      <c r="M22" s="8">
        <f>+MINVU_Mes_Corriente!M22*SALUD_Mes_Constante!$C$1</f>
        <v>0</v>
      </c>
      <c r="N22" s="8">
        <f>+MINVU_Mes_Corriente!N22*SALUD_Mes_Constante!$C$1</f>
        <v>0</v>
      </c>
      <c r="O22" s="9">
        <f t="shared" si="0"/>
        <v>0</v>
      </c>
      <c r="P22" s="8">
        <f>+MINVU_Mes_Corriente!P22*SALUD_Mes_Constante!$P$1</f>
        <v>0</v>
      </c>
      <c r="Q22" s="8">
        <f>+MINVU_Mes_Corriente!Q22*SALUD_Mes_Constante!$P$1</f>
        <v>0</v>
      </c>
      <c r="R22" s="8">
        <f>+MINVU_Mes_Corriente!R22*SALUD_Mes_Constante!$P$1</f>
        <v>0</v>
      </c>
      <c r="S22" s="8">
        <f>+MINVU_Mes_Corriente!S22*SALUD_Mes_Constante!$P$1</f>
        <v>0</v>
      </c>
      <c r="T22" s="8">
        <f>+MINVU_Mes_Corriente!T22*SALUD_Mes_Constante!$P$1</f>
        <v>0</v>
      </c>
      <c r="U22" s="8">
        <f>+MINVU_Mes_Corriente!U22*SALUD_Mes_Constante!$P$1</f>
        <v>0</v>
      </c>
      <c r="V22" s="8">
        <f>+MINVU_Mes_Corriente!V22*SALUD_Mes_Constante!$P$1</f>
        <v>0</v>
      </c>
      <c r="W22" s="8">
        <f>+MINVU_Mes_Corriente!W22*SALUD_Mes_Constante!$P$1</f>
        <v>0</v>
      </c>
      <c r="X22" s="8">
        <f>+MINVU_Mes_Corriente!X22*SALUD_Mes_Constante!$P$1</f>
        <v>0</v>
      </c>
      <c r="Y22" s="8">
        <f>+MINVU_Mes_Corriente!Y22*SALUD_Mes_Constante!$P$1</f>
        <v>0</v>
      </c>
      <c r="Z22" s="8">
        <f>+MINVU_Mes_Corriente!Z22*SALUD_Mes_Constante!$P$1</f>
        <v>0</v>
      </c>
      <c r="AA22" s="8">
        <f>+MINVU_Mes_Corriente!AA22*SALUD_Mes_Constante!$P$1</f>
        <v>0</v>
      </c>
      <c r="AB22" s="9">
        <f t="shared" si="1"/>
        <v>0</v>
      </c>
      <c r="AC22" s="8">
        <f>+MINVU_Mes_Corriente!AC22*SALUD_Mes_Constante!$AC$1</f>
        <v>0</v>
      </c>
      <c r="AD22" s="8">
        <f>+MINVU_Mes_Corriente!AD22*SALUD_Mes_Constante!$AC$1</f>
        <v>0</v>
      </c>
      <c r="AE22" s="8">
        <f>+MINVU_Mes_Corriente!AE22*SALUD_Mes_Constante!$AC$1</f>
        <v>0</v>
      </c>
      <c r="AF22" s="8">
        <f>+MINVU_Mes_Corriente!AF22*SALUD_Mes_Constante!$AC$1</f>
        <v>0</v>
      </c>
      <c r="AG22" s="8">
        <f>+MINVU_Mes_Corriente!AG22*SALUD_Mes_Constante!$AC$1</f>
        <v>0</v>
      </c>
      <c r="AH22" s="8">
        <f>+MINVU_Mes_Corriente!AH22*SALUD_Mes_Constante!$AC$1</f>
        <v>0</v>
      </c>
      <c r="AI22" s="8">
        <f>+MINVU_Mes_Corriente!AI22*SALUD_Mes_Constante!$AC$1</f>
        <v>0</v>
      </c>
      <c r="AJ22" s="8">
        <f>+MINVU_Mes_Corriente!AJ22*SALUD_Mes_Constante!$AC$1</f>
        <v>0</v>
      </c>
      <c r="AK22" s="8">
        <f>+MINVU_Mes_Corriente!AK22*SALUD_Mes_Constante!$AC$1</f>
        <v>0</v>
      </c>
      <c r="AL22" s="8">
        <f>+MINVU_Mes_Corriente!AL22*SALUD_Mes_Constante!$AC$1</f>
        <v>0</v>
      </c>
      <c r="AM22" s="8">
        <f>+MINVU_Mes_Corriente!AM22*SALUD_Mes_Constante!$AC$1</f>
        <v>0</v>
      </c>
      <c r="AN22" s="8">
        <f>+MINVU_Mes_Corriente!AN22*SALUD_Mes_Constante!$AC$1</f>
        <v>0</v>
      </c>
      <c r="AO22" s="9">
        <f t="shared" si="2"/>
        <v>0</v>
      </c>
      <c r="AP22" s="8">
        <f>+MINVU_Mes_Corriente!AP22*SALUD_Mes_Constante!$AP$1</f>
        <v>0</v>
      </c>
      <c r="AQ22" s="8">
        <f>+MINVU_Mes_Corriente!AQ22*SALUD_Mes_Constante!$AP$1</f>
        <v>0</v>
      </c>
      <c r="AR22" s="8">
        <f>+MINVU_Mes_Corriente!AR22*SALUD_Mes_Constante!$AP$1</f>
        <v>0</v>
      </c>
      <c r="AS22" s="8">
        <f>+MINVU_Mes_Corriente!AS22*SALUD_Mes_Constante!$AP$1</f>
        <v>0</v>
      </c>
      <c r="AT22" s="8">
        <f>+MINVU_Mes_Corriente!AT22*SALUD_Mes_Constante!$AP$1</f>
        <v>0</v>
      </c>
      <c r="AU22" s="8">
        <f>+MINVU_Mes_Corriente!AU22*SALUD_Mes_Constante!$AP$1</f>
        <v>0</v>
      </c>
      <c r="AV22" s="8">
        <f>+MINVU_Mes_Corriente!AV22*SALUD_Mes_Constante!$AP$1</f>
        <v>0</v>
      </c>
      <c r="AW22" s="8">
        <f>+MINVU_Mes_Corriente!AW22*SALUD_Mes_Constante!$AP$1</f>
        <v>0</v>
      </c>
      <c r="AX22" s="8">
        <f>+MINVU_Mes_Corriente!AX22*SALUD_Mes_Constante!$AP$1</f>
        <v>0</v>
      </c>
      <c r="AY22" s="8">
        <f>+MINVU_Mes_Corriente!AY22*SALUD_Mes_Constante!$AP$1</f>
        <v>0</v>
      </c>
      <c r="AZ22" s="8">
        <f>+MINVU_Mes_Corriente!AZ22*SALUD_Mes_Constante!$AP$1</f>
        <v>0</v>
      </c>
      <c r="BA22" s="8">
        <f>+MINVU_Mes_Corriente!BA22*SALUD_Mes_Constante!$AP$1</f>
        <v>0</v>
      </c>
      <c r="BB22" s="9">
        <f t="shared" si="3"/>
        <v>0</v>
      </c>
      <c r="BC22" s="8">
        <f>+MINVU_Mes_Corriente!BC22*SALUD_Mes_Constante!$BC$1</f>
        <v>0</v>
      </c>
      <c r="BD22" s="8">
        <f>+MINVU_Mes_Corriente!BD22*SALUD_Mes_Constante!$BC$1</f>
        <v>0</v>
      </c>
      <c r="BE22" s="8">
        <f>+MINVU_Mes_Corriente!BE22*SALUD_Mes_Constante!$BC$1</f>
        <v>0</v>
      </c>
      <c r="BF22" s="8">
        <f>+MINVU_Mes_Corriente!BF22*SALUD_Mes_Constante!$BC$1</f>
        <v>0</v>
      </c>
      <c r="BG22" s="8">
        <f>+MINVU_Mes_Corriente!BG22*SALUD_Mes_Constante!$BC$1</f>
        <v>0</v>
      </c>
      <c r="BH22" s="8">
        <f>+MINVU_Mes_Corriente!BH22*SALUD_Mes_Constante!$BC$1</f>
        <v>0</v>
      </c>
      <c r="BI22" s="8">
        <f>+MINVU_Mes_Corriente!BI22*SALUD_Mes_Constante!$BC$1</f>
        <v>0</v>
      </c>
      <c r="BJ22" s="8">
        <f>+MINVU_Mes_Corriente!BJ22*SALUD_Mes_Constante!$BC$1</f>
        <v>0</v>
      </c>
      <c r="BK22" s="8">
        <f>+MINVU_Mes_Corriente!BK22*SALUD_Mes_Constante!$BC$1</f>
        <v>0</v>
      </c>
      <c r="BL22" s="8">
        <f>+MINVU_Mes_Corriente!BL22*SALUD_Mes_Constante!$BC$1</f>
        <v>0</v>
      </c>
      <c r="BM22" s="8">
        <f>+MINVU_Mes_Corriente!BM22*SALUD_Mes_Constante!$BC$1</f>
        <v>0</v>
      </c>
      <c r="BN22" s="8">
        <f>+MINVU_Mes_Corriente!BN22*SALUD_Mes_Constante!$BC$1</f>
        <v>0</v>
      </c>
      <c r="BO22" s="9">
        <f t="shared" si="4"/>
        <v>0</v>
      </c>
      <c r="BP22" s="8">
        <f>+MINVU_Mes_Corriente!BP22*SALUD_Mes_Constante!$BP$1</f>
        <v>0</v>
      </c>
      <c r="BQ22" s="8">
        <f>+MINVU_Mes_Corriente!BQ22*SALUD_Mes_Constante!$BP$1</f>
        <v>0</v>
      </c>
      <c r="BR22" s="8">
        <f>+MINVU_Mes_Corriente!BR22*SALUD_Mes_Constante!$BP$1</f>
        <v>0</v>
      </c>
      <c r="BS22" s="8">
        <f>+MINVU_Mes_Corriente!BS22*SALUD_Mes_Constante!$BP$1</f>
        <v>0</v>
      </c>
      <c r="BT22" s="8">
        <f>+MINVU_Mes_Corriente!BT22*SALUD_Mes_Constante!$BP$1</f>
        <v>0</v>
      </c>
      <c r="BU22" s="8">
        <f>+MINVU_Mes_Corriente!BU22*SALUD_Mes_Constante!$BP$1</f>
        <v>0</v>
      </c>
      <c r="BV22" s="8">
        <f>+MINVU_Mes_Corriente!BV22*SALUD_Mes_Constante!$BP$1</f>
        <v>0</v>
      </c>
      <c r="BW22" s="8">
        <f>+MINVU_Mes_Corriente!BW22*SALUD_Mes_Constante!$BP$1</f>
        <v>0</v>
      </c>
      <c r="BX22" s="8">
        <f>+MINVU_Mes_Corriente!BX22*SALUD_Mes_Constante!$BP$1</f>
        <v>0</v>
      </c>
      <c r="BY22" s="8">
        <f>+MINVU_Mes_Corriente!BY22*SALUD_Mes_Constante!$BP$1</f>
        <v>0</v>
      </c>
      <c r="BZ22" s="8">
        <f>+MINVU_Mes_Corriente!BZ22*SALUD_Mes_Constante!$BP$1</f>
        <v>0</v>
      </c>
      <c r="CA22" s="8">
        <f>+MINVU_Mes_Corriente!CA22*SALUD_Mes_Constante!$BP$1</f>
        <v>0</v>
      </c>
      <c r="CB22" s="9">
        <f t="shared" si="5"/>
        <v>0</v>
      </c>
      <c r="CC22" s="8">
        <f>+MINVU_Mes_Corriente!CC22*SALUD_Mes_Constante!$CC$1</f>
        <v>0</v>
      </c>
      <c r="CD22" s="8">
        <f>+MINVU_Mes_Corriente!CD22*SALUD_Mes_Constante!$CC$1</f>
        <v>0</v>
      </c>
      <c r="CE22" s="8">
        <f>+MINVU_Mes_Corriente!CE22*SALUD_Mes_Constante!$CC$1</f>
        <v>0</v>
      </c>
      <c r="CF22" s="8">
        <f>+MINVU_Mes_Corriente!CF22*SALUD_Mes_Constante!$CC$1</f>
        <v>0</v>
      </c>
      <c r="CG22" s="8">
        <f>+MINVU_Mes_Corriente!CG22*SALUD_Mes_Constante!$CC$1</f>
        <v>0</v>
      </c>
      <c r="CH22" s="8">
        <f>+MINVU_Mes_Corriente!CH22*SALUD_Mes_Constante!$CC$1</f>
        <v>0</v>
      </c>
      <c r="CI22" s="8">
        <f>+MINVU_Mes_Corriente!CI22*SALUD_Mes_Constante!$CC$1</f>
        <v>0</v>
      </c>
      <c r="CJ22" s="8">
        <f>+MINVU_Mes_Corriente!CJ22*SALUD_Mes_Constante!$CC$1</f>
        <v>0</v>
      </c>
      <c r="CK22" s="8">
        <f>+MINVU_Mes_Corriente!CK22*SALUD_Mes_Constante!$CC$1</f>
        <v>0</v>
      </c>
      <c r="CL22" s="8">
        <f>+MINVU_Mes_Corriente!CL22*SALUD_Mes_Constante!$CC$1</f>
        <v>0</v>
      </c>
      <c r="CM22" s="8">
        <f>+MINVU_Mes_Corriente!CM22*SALUD_Mes_Constante!$CC$1</f>
        <v>0</v>
      </c>
      <c r="CN22" s="8">
        <f>+MINVU_Mes_Corriente!CN22*SALUD_Mes_Constante!$CC$1</f>
        <v>0</v>
      </c>
      <c r="CO22" s="9">
        <f t="shared" si="6"/>
        <v>0</v>
      </c>
      <c r="CP22" s="8">
        <f>+MINVU_Mes_Corriente!CP22*SALUD_Mes_Constante!$CP$1</f>
        <v>0</v>
      </c>
      <c r="CQ22" s="8">
        <f>+MINVU_Mes_Corriente!CQ22*SALUD_Mes_Constante!$CP$1</f>
        <v>0</v>
      </c>
      <c r="CR22" s="8">
        <f>+MINVU_Mes_Corriente!CR22*SALUD_Mes_Constante!$CP$1</f>
        <v>0</v>
      </c>
      <c r="CS22" s="8">
        <f>+MINVU_Mes_Corriente!CS22*SALUD_Mes_Constante!$CP$1</f>
        <v>0</v>
      </c>
      <c r="CT22" s="8">
        <f>+MINVU_Mes_Corriente!CT22*SALUD_Mes_Constante!$CP$1</f>
        <v>0</v>
      </c>
      <c r="CU22" s="8">
        <f>+MINVU_Mes_Corriente!CU22*SALUD_Mes_Constante!$CP$1</f>
        <v>0</v>
      </c>
      <c r="CV22" s="8">
        <f>+MINVU_Mes_Corriente!CV22*SALUD_Mes_Constante!$CP$1</f>
        <v>0</v>
      </c>
      <c r="CW22" s="8">
        <f>+MINVU_Mes_Corriente!CW22*SALUD_Mes_Constante!$CP$1</f>
        <v>0</v>
      </c>
      <c r="CX22" s="8">
        <f>+MINVU_Mes_Corriente!CX22*SALUD_Mes_Constante!$CP$1</f>
        <v>0</v>
      </c>
      <c r="CY22" s="8">
        <f>+MINVU_Mes_Corriente!CY22*SALUD_Mes_Constante!$CP$1</f>
        <v>0</v>
      </c>
      <c r="CZ22" s="8">
        <f>+MINVU_Mes_Corriente!CZ22*SALUD_Mes_Constante!$CP$1</f>
        <v>0</v>
      </c>
      <c r="DA22" s="8">
        <f>+MINVU_Mes_Corriente!DA22*SALUD_Mes_Constante!$CP$1</f>
        <v>0</v>
      </c>
      <c r="DB22" s="9">
        <f t="shared" si="7"/>
        <v>0</v>
      </c>
      <c r="DC22" s="8">
        <f>+MINVU_Mes_Corriente!DC22*SALUD_Mes_Constante!$DC$1</f>
        <v>0</v>
      </c>
      <c r="DD22" s="8">
        <f>+MINVU_Mes_Corriente!DD22*SALUD_Mes_Constante!$DC$1</f>
        <v>0</v>
      </c>
      <c r="DE22" s="8">
        <f>+MINVU_Mes_Corriente!DE22*SALUD_Mes_Constante!$DC$1</f>
        <v>0</v>
      </c>
      <c r="DF22" s="8">
        <f>+MINVU_Mes_Corriente!DF22*SALUD_Mes_Constante!$DC$1</f>
        <v>0</v>
      </c>
      <c r="DG22" s="8">
        <f>+MINVU_Mes_Corriente!DG22*SALUD_Mes_Constante!$DC$1</f>
        <v>0</v>
      </c>
      <c r="DH22" s="8">
        <f>+MINVU_Mes_Corriente!DH22*SALUD_Mes_Constante!$DC$1</f>
        <v>0</v>
      </c>
      <c r="DI22" s="8">
        <f>+MINVU_Mes_Corriente!DI22*SALUD_Mes_Constante!$DC$1</f>
        <v>0</v>
      </c>
      <c r="DJ22" s="8">
        <f>+MINVU_Mes_Corriente!DJ22*SALUD_Mes_Constante!$DC$1</f>
        <v>0</v>
      </c>
      <c r="DK22" s="8">
        <f>+MINVU_Mes_Corriente!DK22*SALUD_Mes_Constante!$DC$1</f>
        <v>0</v>
      </c>
      <c r="DL22" s="8">
        <f>+MINVU_Mes_Corriente!DL22*SALUD_Mes_Constante!$DC$1</f>
        <v>0</v>
      </c>
      <c r="DM22" s="8">
        <f>+MINVU_Mes_Corriente!DM22*SALUD_Mes_Constante!$DC$1</f>
        <v>0</v>
      </c>
      <c r="DN22" s="8">
        <f>+MINVU_Mes_Corriente!DN22*SALUD_Mes_Constante!$DC$1</f>
        <v>0</v>
      </c>
      <c r="DO22" s="9">
        <f t="shared" si="8"/>
        <v>0</v>
      </c>
      <c r="DP22" s="8">
        <f>+MINVU_Mes_Corriente!DP22*SALUD_Mes_Constante!$DP$1</f>
        <v>0</v>
      </c>
      <c r="DQ22" s="8">
        <f>+MINVU_Mes_Corriente!DQ22*SALUD_Mes_Constante!$DP$1</f>
        <v>0</v>
      </c>
      <c r="DR22" s="8">
        <f>+MINVU_Mes_Corriente!DR22*SALUD_Mes_Constante!$DP$1</f>
        <v>0</v>
      </c>
      <c r="DS22" s="8">
        <f>+MINVU_Mes_Corriente!DS22*SALUD_Mes_Constante!$DP$1</f>
        <v>0</v>
      </c>
      <c r="DT22" s="8">
        <f>+MINVU_Mes_Corriente!DT22*SALUD_Mes_Constante!$DP$1</f>
        <v>0</v>
      </c>
      <c r="DU22" s="8">
        <f>+MINVU_Mes_Corriente!DU22*SALUD_Mes_Constante!$DP$1</f>
        <v>0</v>
      </c>
      <c r="DV22" s="8">
        <f>+MINVU_Mes_Corriente!DV22*SALUD_Mes_Constante!$DP$1</f>
        <v>0</v>
      </c>
      <c r="DW22" s="8">
        <f>+MINVU_Mes_Corriente!DW22*SALUD_Mes_Constante!$DP$1</f>
        <v>0</v>
      </c>
      <c r="DX22" s="8">
        <f>+MINVU_Mes_Corriente!DX22*SALUD_Mes_Constante!$DP$1</f>
        <v>0</v>
      </c>
      <c r="DY22" s="8">
        <f>+MINVU_Mes_Corriente!DY22*SALUD_Mes_Constante!$DP$1</f>
        <v>0</v>
      </c>
      <c r="DZ22" s="8">
        <f>+MINVU_Mes_Corriente!DZ22*SALUD_Mes_Constante!$DP$1</f>
        <v>0</v>
      </c>
      <c r="EA22" s="8">
        <f>+MINVU_Mes_Corriente!EA22*SALUD_Mes_Constante!$DP$1</f>
        <v>0</v>
      </c>
      <c r="EB22" s="9">
        <f t="shared" si="9"/>
        <v>0</v>
      </c>
      <c r="EC22" s="8">
        <f>+MINVU_Mes_Corriente!EC22*SALUD_Mes_Constante!$EC$1</f>
        <v>0</v>
      </c>
      <c r="ED22" s="8">
        <f>+MINVU_Mes_Corriente!ED22*SALUD_Mes_Constante!$EC$1</f>
        <v>0</v>
      </c>
      <c r="EE22" s="8">
        <f>+MINVU_Mes_Corriente!EE22*SALUD_Mes_Constante!$EC$1</f>
        <v>0</v>
      </c>
      <c r="EF22" s="8">
        <f>+MINVU_Mes_Corriente!EF22*SALUD_Mes_Constante!$EC$1</f>
        <v>0</v>
      </c>
      <c r="EG22" s="8">
        <f>+MINVU_Mes_Corriente!EG22*SALUD_Mes_Constante!$EC$1</f>
        <v>0</v>
      </c>
      <c r="EH22" s="8">
        <f>+MINVU_Mes_Corriente!EH22*SALUD_Mes_Constante!$EC$1</f>
        <v>0</v>
      </c>
      <c r="EI22" s="8">
        <f>+MINVU_Mes_Corriente!EI22*SALUD_Mes_Constante!$EC$1</f>
        <v>0</v>
      </c>
      <c r="EJ22" s="8">
        <f>+MINVU_Mes_Corriente!EJ22*SALUD_Mes_Constante!$EC$1</f>
        <v>0</v>
      </c>
      <c r="EK22" s="8">
        <f>+MINVU_Mes_Corriente!EK22*SALUD_Mes_Constante!$EC$1</f>
        <v>0</v>
      </c>
      <c r="EL22" s="8">
        <f>+MINVU_Mes_Corriente!EL22*SALUD_Mes_Constante!$EC$1</f>
        <v>0</v>
      </c>
      <c r="EM22" s="8">
        <f>+MINVU_Mes_Corriente!EM22*SALUD_Mes_Constante!$EC$1</f>
        <v>0</v>
      </c>
      <c r="EN22" s="8">
        <f>+MINVU_Mes_Corriente!EN22*SALUD_Mes_Constante!$EC$1</f>
        <v>0</v>
      </c>
      <c r="EO22" s="9">
        <f t="shared" si="10"/>
        <v>0</v>
      </c>
      <c r="EP22" s="8">
        <f>+MINVU_Mes_Corriente!EP22*SALUD_Mes_Constante!$EP$1</f>
        <v>0</v>
      </c>
      <c r="EQ22" s="8">
        <f>+MINVU_Mes_Corriente!EQ22*SALUD_Mes_Constante!$EP$1</f>
        <v>0</v>
      </c>
      <c r="ER22" s="8">
        <f>+MINVU_Mes_Corriente!ER22*SALUD_Mes_Constante!$EP$1</f>
        <v>0</v>
      </c>
      <c r="ES22" s="8">
        <f>+MINVU_Mes_Corriente!ES22*SALUD_Mes_Constante!$EP$1</f>
        <v>0</v>
      </c>
      <c r="ET22" s="8">
        <f>+MINVU_Mes_Corriente!ET22*SALUD_Mes_Constante!$EP$1</f>
        <v>0</v>
      </c>
      <c r="EU22" s="8">
        <f>+MINVU_Mes_Corriente!EU22*SALUD_Mes_Constante!$EP$1</f>
        <v>0</v>
      </c>
      <c r="EV22" s="8">
        <f>+MINVU_Mes_Corriente!EV22*SALUD_Mes_Constante!$EP$1</f>
        <v>0</v>
      </c>
      <c r="EW22" s="8">
        <f>+MINVU_Mes_Corriente!EW22*SALUD_Mes_Constante!$EP$1</f>
        <v>0</v>
      </c>
      <c r="EX22" s="8">
        <f>+MINVU_Mes_Corriente!EX22*SALUD_Mes_Constante!$EP$1</f>
        <v>0</v>
      </c>
      <c r="EY22" s="8">
        <f>+MINVU_Mes_Corriente!EY22*SALUD_Mes_Constante!$EP$1</f>
        <v>0</v>
      </c>
      <c r="EZ22" s="8">
        <f>+MINVU_Mes_Corriente!EZ22*SALUD_Mes_Constante!$EP$1</f>
        <v>0</v>
      </c>
      <c r="FA22" s="8">
        <f>+MINVU_Mes_Corriente!FA22*SALUD_Mes_Constante!$EP$1</f>
        <v>0</v>
      </c>
      <c r="FB22" s="9">
        <f t="shared" si="11"/>
        <v>0</v>
      </c>
      <c r="FC22" s="8">
        <f>+MINVU_Mes_Corriente!FC22*SALUD_Mes_Constante!$FC$1</f>
        <v>5112502</v>
      </c>
      <c r="FD22" s="8">
        <f>+MINVU_Mes_Corriente!FD22*SALUD_Mes_Constante!$FC$1</f>
        <v>5112502</v>
      </c>
      <c r="FE22" s="8">
        <f>+MINVU_Mes_Corriente!FE22*SALUD_Mes_Constante!$FC$1</f>
        <v>5112502</v>
      </c>
      <c r="FF22" s="8">
        <f>+MINVU_Mes_Corriente!FF22*SALUD_Mes_Constante!$FC$1</f>
        <v>5112502</v>
      </c>
      <c r="FG22" s="8">
        <f>+MINVU_Mes_Corriente!FG22*SALUD_Mes_Constante!$FC$1</f>
        <v>5112502</v>
      </c>
      <c r="FH22" s="8">
        <f>+MINVU_Mes_Corriente!FH22*SALUD_Mes_Constante!$FC$1</f>
        <v>5112502</v>
      </c>
      <c r="FI22" s="8">
        <f>+MINVU_Mes_Corriente!FI22*SALUD_Mes_Constante!$FC$1</f>
        <v>5112502</v>
      </c>
      <c r="FJ22" s="8"/>
      <c r="FK22" s="8"/>
      <c r="FL22" s="8"/>
      <c r="FM22" s="8"/>
      <c r="FN22" s="8"/>
      <c r="FO22" s="9">
        <f t="shared" si="12"/>
        <v>5112502</v>
      </c>
    </row>
    <row r="23" spans="2:171" ht="14.25" customHeight="1" x14ac:dyDescent="0.3">
      <c r="B23" s="7" t="s">
        <v>58</v>
      </c>
      <c r="C23" s="8">
        <f>+MINVU_Mes_Corriente!C23*SALUD_Mes_Constante!$C$1</f>
        <v>0</v>
      </c>
      <c r="D23" s="8">
        <f>+MINVU_Mes_Corriente!D23*SALUD_Mes_Constante!$C$1</f>
        <v>0</v>
      </c>
      <c r="E23" s="8">
        <f>+MINVU_Mes_Corriente!E23*SALUD_Mes_Constante!$C$1</f>
        <v>0</v>
      </c>
      <c r="F23" s="8">
        <f>+MINVU_Mes_Corriente!F23*SALUD_Mes_Constante!$C$1</f>
        <v>0</v>
      </c>
      <c r="G23" s="8">
        <f>+MINVU_Mes_Corriente!G23*SALUD_Mes_Constante!$C$1</f>
        <v>0</v>
      </c>
      <c r="H23" s="8">
        <f>+MINVU_Mes_Corriente!H23*SALUD_Mes_Constante!$C$1</f>
        <v>0</v>
      </c>
      <c r="I23" s="8">
        <f>+MINVU_Mes_Corriente!I23*SALUD_Mes_Constante!$C$1</f>
        <v>0</v>
      </c>
      <c r="J23" s="8">
        <f>+MINVU_Mes_Corriente!J23*SALUD_Mes_Constante!$C$1</f>
        <v>0</v>
      </c>
      <c r="K23" s="8">
        <f>+MINVU_Mes_Corriente!K23*SALUD_Mes_Constante!$C$1</f>
        <v>0</v>
      </c>
      <c r="L23" s="8">
        <f>+MINVU_Mes_Corriente!L23*SALUD_Mes_Constante!$C$1</f>
        <v>0</v>
      </c>
      <c r="M23" s="8">
        <f>+MINVU_Mes_Corriente!M23*SALUD_Mes_Constante!$C$1</f>
        <v>0</v>
      </c>
      <c r="N23" s="8">
        <f>+MINVU_Mes_Corriente!N23*SALUD_Mes_Constante!$C$1</f>
        <v>0</v>
      </c>
      <c r="O23" s="9">
        <f t="shared" si="0"/>
        <v>0</v>
      </c>
      <c r="P23" s="8">
        <f>+MINVU_Mes_Corriente!P23*SALUD_Mes_Constante!$P$1</f>
        <v>0</v>
      </c>
      <c r="Q23" s="8">
        <f>+MINVU_Mes_Corriente!Q23*SALUD_Mes_Constante!$P$1</f>
        <v>0</v>
      </c>
      <c r="R23" s="8">
        <f>+MINVU_Mes_Corriente!R23*SALUD_Mes_Constante!$P$1</f>
        <v>0</v>
      </c>
      <c r="S23" s="8">
        <f>+MINVU_Mes_Corriente!S23*SALUD_Mes_Constante!$P$1</f>
        <v>0</v>
      </c>
      <c r="T23" s="8">
        <f>+MINVU_Mes_Corriente!T23*SALUD_Mes_Constante!$P$1</f>
        <v>0</v>
      </c>
      <c r="U23" s="8">
        <f>+MINVU_Mes_Corriente!U23*SALUD_Mes_Constante!$P$1</f>
        <v>0</v>
      </c>
      <c r="V23" s="8">
        <f>+MINVU_Mes_Corriente!V23*SALUD_Mes_Constante!$P$1</f>
        <v>0</v>
      </c>
      <c r="W23" s="8">
        <f>+MINVU_Mes_Corriente!W23*SALUD_Mes_Constante!$P$1</f>
        <v>0</v>
      </c>
      <c r="X23" s="8">
        <f>+MINVU_Mes_Corriente!X23*SALUD_Mes_Constante!$P$1</f>
        <v>0</v>
      </c>
      <c r="Y23" s="8">
        <f>+MINVU_Mes_Corriente!Y23*SALUD_Mes_Constante!$P$1</f>
        <v>0</v>
      </c>
      <c r="Z23" s="8">
        <f>+MINVU_Mes_Corriente!Z23*SALUD_Mes_Constante!$P$1</f>
        <v>0</v>
      </c>
      <c r="AA23" s="8">
        <f>+MINVU_Mes_Corriente!AA23*SALUD_Mes_Constante!$P$1</f>
        <v>0</v>
      </c>
      <c r="AB23" s="9">
        <f t="shared" si="1"/>
        <v>0</v>
      </c>
      <c r="AC23" s="8">
        <f>+MINVU_Mes_Corriente!AC23*SALUD_Mes_Constante!$AC$1</f>
        <v>0</v>
      </c>
      <c r="AD23" s="8">
        <f>+MINVU_Mes_Corriente!AD23*SALUD_Mes_Constante!$AC$1</f>
        <v>0</v>
      </c>
      <c r="AE23" s="8">
        <f>+MINVU_Mes_Corriente!AE23*SALUD_Mes_Constante!$AC$1</f>
        <v>0</v>
      </c>
      <c r="AF23" s="8">
        <f>+MINVU_Mes_Corriente!AF23*SALUD_Mes_Constante!$AC$1</f>
        <v>0</v>
      </c>
      <c r="AG23" s="8">
        <f>+MINVU_Mes_Corriente!AG23*SALUD_Mes_Constante!$AC$1</f>
        <v>0</v>
      </c>
      <c r="AH23" s="8">
        <f>+MINVU_Mes_Corriente!AH23*SALUD_Mes_Constante!$AC$1</f>
        <v>0</v>
      </c>
      <c r="AI23" s="8">
        <f>+MINVU_Mes_Corriente!AI23*SALUD_Mes_Constante!$AC$1</f>
        <v>0</v>
      </c>
      <c r="AJ23" s="8">
        <f>+MINVU_Mes_Corriente!AJ23*SALUD_Mes_Constante!$AC$1</f>
        <v>0</v>
      </c>
      <c r="AK23" s="8">
        <f>+MINVU_Mes_Corriente!AK23*SALUD_Mes_Constante!$AC$1</f>
        <v>0</v>
      </c>
      <c r="AL23" s="8">
        <f>+MINVU_Mes_Corriente!AL23*SALUD_Mes_Constante!$AC$1</f>
        <v>0</v>
      </c>
      <c r="AM23" s="8">
        <f>+MINVU_Mes_Corriente!AM23*SALUD_Mes_Constante!$AC$1</f>
        <v>0</v>
      </c>
      <c r="AN23" s="8">
        <f>+MINVU_Mes_Corriente!AN23*SALUD_Mes_Constante!$AC$1</f>
        <v>0</v>
      </c>
      <c r="AO23" s="9">
        <f t="shared" si="2"/>
        <v>0</v>
      </c>
      <c r="AP23" s="8">
        <f>+MINVU_Mes_Corriente!AP23*SALUD_Mes_Constante!$AP$1</f>
        <v>0</v>
      </c>
      <c r="AQ23" s="8">
        <f>+MINVU_Mes_Corriente!AQ23*SALUD_Mes_Constante!$AP$1</f>
        <v>0</v>
      </c>
      <c r="AR23" s="8">
        <f>+MINVU_Mes_Corriente!AR23*SALUD_Mes_Constante!$AP$1</f>
        <v>0</v>
      </c>
      <c r="AS23" s="8">
        <f>+MINVU_Mes_Corriente!AS23*SALUD_Mes_Constante!$AP$1</f>
        <v>0</v>
      </c>
      <c r="AT23" s="8">
        <f>+MINVU_Mes_Corriente!AT23*SALUD_Mes_Constante!$AP$1</f>
        <v>0</v>
      </c>
      <c r="AU23" s="8">
        <f>+MINVU_Mes_Corriente!AU23*SALUD_Mes_Constante!$AP$1</f>
        <v>0</v>
      </c>
      <c r="AV23" s="8">
        <f>+MINVU_Mes_Corriente!AV23*SALUD_Mes_Constante!$AP$1</f>
        <v>0</v>
      </c>
      <c r="AW23" s="8">
        <f>+MINVU_Mes_Corriente!AW23*SALUD_Mes_Constante!$AP$1</f>
        <v>0</v>
      </c>
      <c r="AX23" s="8">
        <f>+MINVU_Mes_Corriente!AX23*SALUD_Mes_Constante!$AP$1</f>
        <v>0</v>
      </c>
      <c r="AY23" s="8">
        <f>+MINVU_Mes_Corriente!AY23*SALUD_Mes_Constante!$AP$1</f>
        <v>0</v>
      </c>
      <c r="AZ23" s="8">
        <f>+MINVU_Mes_Corriente!AZ23*SALUD_Mes_Constante!$AP$1</f>
        <v>0</v>
      </c>
      <c r="BA23" s="8">
        <f>+MINVU_Mes_Corriente!BA23*SALUD_Mes_Constante!$AP$1</f>
        <v>0</v>
      </c>
      <c r="BB23" s="9">
        <f t="shared" si="3"/>
        <v>0</v>
      </c>
      <c r="BC23" s="8">
        <f>+MINVU_Mes_Corriente!BC23*SALUD_Mes_Constante!$BC$1</f>
        <v>0</v>
      </c>
      <c r="BD23" s="8">
        <f>+MINVU_Mes_Corriente!BD23*SALUD_Mes_Constante!$BC$1</f>
        <v>0</v>
      </c>
      <c r="BE23" s="8">
        <f>+MINVU_Mes_Corriente!BE23*SALUD_Mes_Constante!$BC$1</f>
        <v>0</v>
      </c>
      <c r="BF23" s="8">
        <f>+MINVU_Mes_Corriente!BF23*SALUD_Mes_Constante!$BC$1</f>
        <v>0</v>
      </c>
      <c r="BG23" s="8">
        <f>+MINVU_Mes_Corriente!BG23*SALUD_Mes_Constante!$BC$1</f>
        <v>0</v>
      </c>
      <c r="BH23" s="8">
        <f>+MINVU_Mes_Corriente!BH23*SALUD_Mes_Constante!$BC$1</f>
        <v>0</v>
      </c>
      <c r="BI23" s="8">
        <f>+MINVU_Mes_Corriente!BI23*SALUD_Mes_Constante!$BC$1</f>
        <v>0</v>
      </c>
      <c r="BJ23" s="8">
        <f>+MINVU_Mes_Corriente!BJ23*SALUD_Mes_Constante!$BC$1</f>
        <v>0</v>
      </c>
      <c r="BK23" s="8">
        <f>+MINVU_Mes_Corriente!BK23*SALUD_Mes_Constante!$BC$1</f>
        <v>0</v>
      </c>
      <c r="BL23" s="8">
        <f>+MINVU_Mes_Corriente!BL23*SALUD_Mes_Constante!$BC$1</f>
        <v>0</v>
      </c>
      <c r="BM23" s="8">
        <f>+MINVU_Mes_Corriente!BM23*SALUD_Mes_Constante!$BC$1</f>
        <v>0</v>
      </c>
      <c r="BN23" s="8">
        <f>+MINVU_Mes_Corriente!BN23*SALUD_Mes_Constante!$BC$1</f>
        <v>0</v>
      </c>
      <c r="BO23" s="9">
        <f t="shared" si="4"/>
        <v>0</v>
      </c>
      <c r="BP23" s="8">
        <f>+MINVU_Mes_Corriente!BP23*SALUD_Mes_Constante!$BP$1</f>
        <v>0</v>
      </c>
      <c r="BQ23" s="8">
        <f>+MINVU_Mes_Corriente!BQ23*SALUD_Mes_Constante!$BP$1</f>
        <v>0</v>
      </c>
      <c r="BR23" s="8">
        <f>+MINVU_Mes_Corriente!BR23*SALUD_Mes_Constante!$BP$1</f>
        <v>0</v>
      </c>
      <c r="BS23" s="8">
        <f>+MINVU_Mes_Corriente!BS23*SALUD_Mes_Constante!$BP$1</f>
        <v>0</v>
      </c>
      <c r="BT23" s="8">
        <f>+MINVU_Mes_Corriente!BT23*SALUD_Mes_Constante!$BP$1</f>
        <v>0</v>
      </c>
      <c r="BU23" s="8">
        <f>+MINVU_Mes_Corriente!BU23*SALUD_Mes_Constante!$BP$1</f>
        <v>0</v>
      </c>
      <c r="BV23" s="8">
        <f>+MINVU_Mes_Corriente!BV23*SALUD_Mes_Constante!$BP$1</f>
        <v>0</v>
      </c>
      <c r="BW23" s="8">
        <f>+MINVU_Mes_Corriente!BW23*SALUD_Mes_Constante!$BP$1</f>
        <v>0</v>
      </c>
      <c r="BX23" s="8">
        <f>+MINVU_Mes_Corriente!BX23*SALUD_Mes_Constante!$BP$1</f>
        <v>0</v>
      </c>
      <c r="BY23" s="8">
        <f>+MINVU_Mes_Corriente!BY23*SALUD_Mes_Constante!$BP$1</f>
        <v>0</v>
      </c>
      <c r="BZ23" s="8">
        <f>+MINVU_Mes_Corriente!BZ23*SALUD_Mes_Constante!$BP$1</f>
        <v>0</v>
      </c>
      <c r="CA23" s="8">
        <f>+MINVU_Mes_Corriente!CA23*SALUD_Mes_Constante!$BP$1</f>
        <v>0</v>
      </c>
      <c r="CB23" s="9">
        <f t="shared" si="5"/>
        <v>0</v>
      </c>
      <c r="CC23" s="8">
        <f>+MINVU_Mes_Corriente!CC23*SALUD_Mes_Constante!$CC$1</f>
        <v>0</v>
      </c>
      <c r="CD23" s="8">
        <f>+MINVU_Mes_Corriente!CD23*SALUD_Mes_Constante!$CC$1</f>
        <v>0</v>
      </c>
      <c r="CE23" s="8">
        <f>+MINVU_Mes_Corriente!CE23*SALUD_Mes_Constante!$CC$1</f>
        <v>0</v>
      </c>
      <c r="CF23" s="8">
        <f>+MINVU_Mes_Corriente!CF23*SALUD_Mes_Constante!$CC$1</f>
        <v>0</v>
      </c>
      <c r="CG23" s="8">
        <f>+MINVU_Mes_Corriente!CG23*SALUD_Mes_Constante!$CC$1</f>
        <v>0</v>
      </c>
      <c r="CH23" s="8">
        <f>+MINVU_Mes_Corriente!CH23*SALUD_Mes_Constante!$CC$1</f>
        <v>0</v>
      </c>
      <c r="CI23" s="8">
        <f>+MINVU_Mes_Corriente!CI23*SALUD_Mes_Constante!$CC$1</f>
        <v>0</v>
      </c>
      <c r="CJ23" s="8">
        <f>+MINVU_Mes_Corriente!CJ23*SALUD_Mes_Constante!$CC$1</f>
        <v>0</v>
      </c>
      <c r="CK23" s="8">
        <f>+MINVU_Mes_Corriente!CK23*SALUD_Mes_Constante!$CC$1</f>
        <v>0</v>
      </c>
      <c r="CL23" s="8">
        <f>+MINVU_Mes_Corriente!CL23*SALUD_Mes_Constante!$CC$1</f>
        <v>0</v>
      </c>
      <c r="CM23" s="8">
        <f>+MINVU_Mes_Corriente!CM23*SALUD_Mes_Constante!$CC$1</f>
        <v>0</v>
      </c>
      <c r="CN23" s="8">
        <f>+MINVU_Mes_Corriente!CN23*SALUD_Mes_Constante!$CC$1</f>
        <v>0</v>
      </c>
      <c r="CO23" s="9">
        <f t="shared" si="6"/>
        <v>0</v>
      </c>
      <c r="CP23" s="8">
        <f>+MINVU_Mes_Corriente!CP23*SALUD_Mes_Constante!$CP$1</f>
        <v>0</v>
      </c>
      <c r="CQ23" s="8">
        <f>+MINVU_Mes_Corriente!CQ23*SALUD_Mes_Constante!$CP$1</f>
        <v>0</v>
      </c>
      <c r="CR23" s="8">
        <f>+MINVU_Mes_Corriente!CR23*SALUD_Mes_Constante!$CP$1</f>
        <v>0</v>
      </c>
      <c r="CS23" s="8">
        <f>+MINVU_Mes_Corriente!CS23*SALUD_Mes_Constante!$CP$1</f>
        <v>0</v>
      </c>
      <c r="CT23" s="8">
        <f>+MINVU_Mes_Corriente!CT23*SALUD_Mes_Constante!$CP$1</f>
        <v>0</v>
      </c>
      <c r="CU23" s="8">
        <f>+MINVU_Mes_Corriente!CU23*SALUD_Mes_Constante!$CP$1</f>
        <v>0</v>
      </c>
      <c r="CV23" s="8">
        <f>+MINVU_Mes_Corriente!CV23*SALUD_Mes_Constante!$CP$1</f>
        <v>0</v>
      </c>
      <c r="CW23" s="8">
        <f>+MINVU_Mes_Corriente!CW23*SALUD_Mes_Constante!$CP$1</f>
        <v>0</v>
      </c>
      <c r="CX23" s="8">
        <f>+MINVU_Mes_Corriente!CX23*SALUD_Mes_Constante!$CP$1</f>
        <v>0</v>
      </c>
      <c r="CY23" s="8">
        <f>+MINVU_Mes_Corriente!CY23*SALUD_Mes_Constante!$CP$1</f>
        <v>0</v>
      </c>
      <c r="CZ23" s="8">
        <f>+MINVU_Mes_Corriente!CZ23*SALUD_Mes_Constante!$CP$1</f>
        <v>0</v>
      </c>
      <c r="DA23" s="8">
        <f>+MINVU_Mes_Corriente!DA23*SALUD_Mes_Constante!$CP$1</f>
        <v>0</v>
      </c>
      <c r="DB23" s="9">
        <f t="shared" si="7"/>
        <v>0</v>
      </c>
      <c r="DC23" s="8">
        <f>+MINVU_Mes_Corriente!DC23*SALUD_Mes_Constante!$DC$1</f>
        <v>0</v>
      </c>
      <c r="DD23" s="8">
        <f>+MINVU_Mes_Corriente!DD23*SALUD_Mes_Constante!$DC$1</f>
        <v>0</v>
      </c>
      <c r="DE23" s="8">
        <f>+MINVU_Mes_Corriente!DE23*SALUD_Mes_Constante!$DC$1</f>
        <v>0</v>
      </c>
      <c r="DF23" s="8">
        <f>+MINVU_Mes_Corriente!DF23*SALUD_Mes_Constante!$DC$1</f>
        <v>0</v>
      </c>
      <c r="DG23" s="8">
        <f>+MINVU_Mes_Corriente!DG23*SALUD_Mes_Constante!$DC$1</f>
        <v>0</v>
      </c>
      <c r="DH23" s="8">
        <f>+MINVU_Mes_Corriente!DH23*SALUD_Mes_Constante!$DC$1</f>
        <v>0</v>
      </c>
      <c r="DI23" s="8">
        <f>+MINVU_Mes_Corriente!DI23*SALUD_Mes_Constante!$DC$1</f>
        <v>0</v>
      </c>
      <c r="DJ23" s="8">
        <f>+MINVU_Mes_Corriente!DJ23*SALUD_Mes_Constante!$DC$1</f>
        <v>0</v>
      </c>
      <c r="DK23" s="8">
        <f>+MINVU_Mes_Corriente!DK23*SALUD_Mes_Constante!$DC$1</f>
        <v>0</v>
      </c>
      <c r="DL23" s="8">
        <f>+MINVU_Mes_Corriente!DL23*SALUD_Mes_Constante!$DC$1</f>
        <v>0</v>
      </c>
      <c r="DM23" s="8">
        <f>+MINVU_Mes_Corriente!DM23*SALUD_Mes_Constante!$DC$1</f>
        <v>0</v>
      </c>
      <c r="DN23" s="8">
        <f>+MINVU_Mes_Corriente!DN23*SALUD_Mes_Constante!$DC$1</f>
        <v>0</v>
      </c>
      <c r="DO23" s="9">
        <f t="shared" si="8"/>
        <v>0</v>
      </c>
      <c r="DP23" s="8">
        <f>+MINVU_Mes_Corriente!DP23*SALUD_Mes_Constante!$DP$1</f>
        <v>0</v>
      </c>
      <c r="DQ23" s="8">
        <f>+MINVU_Mes_Corriente!DQ23*SALUD_Mes_Constante!$DP$1</f>
        <v>0</v>
      </c>
      <c r="DR23" s="8">
        <f>+MINVU_Mes_Corriente!DR23*SALUD_Mes_Constante!$DP$1</f>
        <v>0</v>
      </c>
      <c r="DS23" s="8">
        <f>+MINVU_Mes_Corriente!DS23*SALUD_Mes_Constante!$DP$1</f>
        <v>0</v>
      </c>
      <c r="DT23" s="8">
        <f>+MINVU_Mes_Corriente!DT23*SALUD_Mes_Constante!$DP$1</f>
        <v>0</v>
      </c>
      <c r="DU23" s="8">
        <f>+MINVU_Mes_Corriente!DU23*SALUD_Mes_Constante!$DP$1</f>
        <v>0</v>
      </c>
      <c r="DV23" s="8">
        <f>+MINVU_Mes_Corriente!DV23*SALUD_Mes_Constante!$DP$1</f>
        <v>0</v>
      </c>
      <c r="DW23" s="8">
        <f>+MINVU_Mes_Corriente!DW23*SALUD_Mes_Constante!$DP$1</f>
        <v>0</v>
      </c>
      <c r="DX23" s="8">
        <f>+MINVU_Mes_Corriente!DX23*SALUD_Mes_Constante!$DP$1</f>
        <v>0</v>
      </c>
      <c r="DY23" s="8">
        <f>+MINVU_Mes_Corriente!DY23*SALUD_Mes_Constante!$DP$1</f>
        <v>0</v>
      </c>
      <c r="DZ23" s="8">
        <f>+MINVU_Mes_Corriente!DZ23*SALUD_Mes_Constante!$DP$1</f>
        <v>0</v>
      </c>
      <c r="EA23" s="8">
        <f>+MINVU_Mes_Corriente!EA23*SALUD_Mes_Constante!$DP$1</f>
        <v>0</v>
      </c>
      <c r="EB23" s="9">
        <f t="shared" si="9"/>
        <v>0</v>
      </c>
      <c r="EC23" s="8">
        <f>+MINVU_Mes_Corriente!EC23*SALUD_Mes_Constante!$EC$1</f>
        <v>0</v>
      </c>
      <c r="ED23" s="8">
        <f>+MINVU_Mes_Corriente!ED23*SALUD_Mes_Constante!$EC$1</f>
        <v>0</v>
      </c>
      <c r="EE23" s="8">
        <f>+MINVU_Mes_Corriente!EE23*SALUD_Mes_Constante!$EC$1</f>
        <v>0</v>
      </c>
      <c r="EF23" s="8">
        <f>+MINVU_Mes_Corriente!EF23*SALUD_Mes_Constante!$EC$1</f>
        <v>0</v>
      </c>
      <c r="EG23" s="8">
        <f>+MINVU_Mes_Corriente!EG23*SALUD_Mes_Constante!$EC$1</f>
        <v>0</v>
      </c>
      <c r="EH23" s="8">
        <f>+MINVU_Mes_Corriente!EH23*SALUD_Mes_Constante!$EC$1</f>
        <v>0</v>
      </c>
      <c r="EI23" s="8">
        <f>+MINVU_Mes_Corriente!EI23*SALUD_Mes_Constante!$EC$1</f>
        <v>0</v>
      </c>
      <c r="EJ23" s="8">
        <f>+MINVU_Mes_Corriente!EJ23*SALUD_Mes_Constante!$EC$1</f>
        <v>0</v>
      </c>
      <c r="EK23" s="8">
        <f>+MINVU_Mes_Corriente!EK23*SALUD_Mes_Constante!$EC$1</f>
        <v>0</v>
      </c>
      <c r="EL23" s="8">
        <f>+MINVU_Mes_Corriente!EL23*SALUD_Mes_Constante!$EC$1</f>
        <v>0</v>
      </c>
      <c r="EM23" s="8">
        <f>+MINVU_Mes_Corriente!EM23*SALUD_Mes_Constante!$EC$1</f>
        <v>0</v>
      </c>
      <c r="EN23" s="8">
        <f>+MINVU_Mes_Corriente!EN23*SALUD_Mes_Constante!$EC$1</f>
        <v>0</v>
      </c>
      <c r="EO23" s="9">
        <f t="shared" si="10"/>
        <v>0</v>
      </c>
      <c r="EP23" s="8">
        <f>+MINVU_Mes_Corriente!EP23*SALUD_Mes_Constante!$EP$1</f>
        <v>0</v>
      </c>
      <c r="EQ23" s="8">
        <f>+MINVU_Mes_Corriente!EQ23*SALUD_Mes_Constante!$EP$1</f>
        <v>0</v>
      </c>
      <c r="ER23" s="8">
        <f>+MINVU_Mes_Corriente!ER23*SALUD_Mes_Constante!$EP$1</f>
        <v>0</v>
      </c>
      <c r="ES23" s="8">
        <f>+MINVU_Mes_Corriente!ES23*SALUD_Mes_Constante!$EP$1</f>
        <v>0</v>
      </c>
      <c r="ET23" s="8">
        <f>+MINVU_Mes_Corriente!ET23*SALUD_Mes_Constante!$EP$1</f>
        <v>0</v>
      </c>
      <c r="EU23" s="8">
        <f>+MINVU_Mes_Corriente!EU23*SALUD_Mes_Constante!$EP$1</f>
        <v>0</v>
      </c>
      <c r="EV23" s="8">
        <f>+MINVU_Mes_Corriente!EV23*SALUD_Mes_Constante!$EP$1</f>
        <v>0</v>
      </c>
      <c r="EW23" s="8">
        <f>+MINVU_Mes_Corriente!EW23*SALUD_Mes_Constante!$EP$1</f>
        <v>0</v>
      </c>
      <c r="EX23" s="8">
        <f>+MINVU_Mes_Corriente!EX23*SALUD_Mes_Constante!$EP$1</f>
        <v>0</v>
      </c>
      <c r="EY23" s="8">
        <f>+MINVU_Mes_Corriente!EY23*SALUD_Mes_Constante!$EP$1</f>
        <v>0</v>
      </c>
      <c r="EZ23" s="8">
        <f>+MINVU_Mes_Corriente!EZ23*SALUD_Mes_Constante!$EP$1</f>
        <v>0</v>
      </c>
      <c r="FA23" s="8">
        <f>+MINVU_Mes_Corriente!FA23*SALUD_Mes_Constante!$EP$1</f>
        <v>0</v>
      </c>
      <c r="FB23" s="9">
        <f t="shared" si="11"/>
        <v>0</v>
      </c>
      <c r="FC23" s="8">
        <f>+MINVU_Mes_Corriente!FC23*SALUD_Mes_Constante!$FC$1</f>
        <v>7914575</v>
      </c>
      <c r="FD23" s="8">
        <f>+MINVU_Mes_Corriente!FD23*SALUD_Mes_Constante!$FC$1</f>
        <v>7914575</v>
      </c>
      <c r="FE23" s="8">
        <f>+MINVU_Mes_Corriente!FE23*SALUD_Mes_Constante!$FC$1</f>
        <v>7914575</v>
      </c>
      <c r="FF23" s="8">
        <f>+MINVU_Mes_Corriente!FF23*SALUD_Mes_Constante!$FC$1</f>
        <v>7914575</v>
      </c>
      <c r="FG23" s="8">
        <f>+MINVU_Mes_Corriente!FG23*SALUD_Mes_Constante!$FC$1</f>
        <v>7914575</v>
      </c>
      <c r="FH23" s="8">
        <f>+MINVU_Mes_Corriente!FH23*SALUD_Mes_Constante!$FC$1</f>
        <v>7914575</v>
      </c>
      <c r="FI23" s="8">
        <f>+MINVU_Mes_Corriente!FI23*SALUD_Mes_Constante!$FC$1</f>
        <v>7914575</v>
      </c>
      <c r="FJ23" s="8"/>
      <c r="FK23" s="8"/>
      <c r="FL23" s="8"/>
      <c r="FM23" s="8"/>
      <c r="FN23" s="8"/>
      <c r="FO23" s="9">
        <f t="shared" si="12"/>
        <v>7914575</v>
      </c>
    </row>
    <row r="24" spans="2:171" ht="14.25" customHeight="1" x14ac:dyDescent="0.3">
      <c r="B24" s="7" t="s">
        <v>59</v>
      </c>
      <c r="C24" s="8">
        <f>+MINVU_Mes_Corriente!C24*SALUD_Mes_Constante!$C$1</f>
        <v>0</v>
      </c>
      <c r="D24" s="8">
        <f>+MINVU_Mes_Corriente!D24*SALUD_Mes_Constante!$C$1</f>
        <v>0</v>
      </c>
      <c r="E24" s="8">
        <f>+MINVU_Mes_Corriente!E24*SALUD_Mes_Constante!$C$1</f>
        <v>0</v>
      </c>
      <c r="F24" s="8">
        <f>+MINVU_Mes_Corriente!F24*SALUD_Mes_Constante!$C$1</f>
        <v>0</v>
      </c>
      <c r="G24" s="8">
        <f>+MINVU_Mes_Corriente!G24*SALUD_Mes_Constante!$C$1</f>
        <v>0</v>
      </c>
      <c r="H24" s="8">
        <f>+MINVU_Mes_Corriente!H24*SALUD_Mes_Constante!$C$1</f>
        <v>0</v>
      </c>
      <c r="I24" s="8">
        <f>+MINVU_Mes_Corriente!I24*SALUD_Mes_Constante!$C$1</f>
        <v>0</v>
      </c>
      <c r="J24" s="8">
        <f>+MINVU_Mes_Corriente!J24*SALUD_Mes_Constante!$C$1</f>
        <v>0</v>
      </c>
      <c r="K24" s="8">
        <f>+MINVU_Mes_Corriente!K24*SALUD_Mes_Constante!$C$1</f>
        <v>0</v>
      </c>
      <c r="L24" s="8">
        <f>+MINVU_Mes_Corriente!L24*SALUD_Mes_Constante!$C$1</f>
        <v>0</v>
      </c>
      <c r="M24" s="8">
        <f>+MINVU_Mes_Corriente!M24*SALUD_Mes_Constante!$C$1</f>
        <v>0</v>
      </c>
      <c r="N24" s="8">
        <f>+MINVU_Mes_Corriente!N24*SALUD_Mes_Constante!$C$1</f>
        <v>0</v>
      </c>
      <c r="O24" s="9">
        <f t="shared" si="0"/>
        <v>0</v>
      </c>
      <c r="P24" s="8">
        <f>+MINVU_Mes_Corriente!P24*SALUD_Mes_Constante!$P$1</f>
        <v>0</v>
      </c>
      <c r="Q24" s="8">
        <f>+MINVU_Mes_Corriente!Q24*SALUD_Mes_Constante!$P$1</f>
        <v>0</v>
      </c>
      <c r="R24" s="8">
        <f>+MINVU_Mes_Corriente!R24*SALUD_Mes_Constante!$P$1</f>
        <v>0</v>
      </c>
      <c r="S24" s="8">
        <f>+MINVU_Mes_Corriente!S24*SALUD_Mes_Constante!$P$1</f>
        <v>0</v>
      </c>
      <c r="T24" s="8">
        <f>+MINVU_Mes_Corriente!T24*SALUD_Mes_Constante!$P$1</f>
        <v>0</v>
      </c>
      <c r="U24" s="8">
        <f>+MINVU_Mes_Corriente!U24*SALUD_Mes_Constante!$P$1</f>
        <v>0</v>
      </c>
      <c r="V24" s="8">
        <f>+MINVU_Mes_Corriente!V24*SALUD_Mes_Constante!$P$1</f>
        <v>0</v>
      </c>
      <c r="W24" s="8">
        <f>+MINVU_Mes_Corriente!W24*SALUD_Mes_Constante!$P$1</f>
        <v>0</v>
      </c>
      <c r="X24" s="8">
        <f>+MINVU_Mes_Corriente!X24*SALUD_Mes_Constante!$P$1</f>
        <v>0</v>
      </c>
      <c r="Y24" s="8">
        <f>+MINVU_Mes_Corriente!Y24*SALUD_Mes_Constante!$P$1</f>
        <v>0</v>
      </c>
      <c r="Z24" s="8">
        <f>+MINVU_Mes_Corriente!Z24*SALUD_Mes_Constante!$P$1</f>
        <v>0</v>
      </c>
      <c r="AA24" s="8">
        <f>+MINVU_Mes_Corriente!AA24*SALUD_Mes_Constante!$P$1</f>
        <v>0</v>
      </c>
      <c r="AB24" s="9">
        <f t="shared" si="1"/>
        <v>0</v>
      </c>
      <c r="AC24" s="8">
        <f>+MINVU_Mes_Corriente!AC24*SALUD_Mes_Constante!$AC$1</f>
        <v>0</v>
      </c>
      <c r="AD24" s="8">
        <f>+MINVU_Mes_Corriente!AD24*SALUD_Mes_Constante!$AC$1</f>
        <v>0</v>
      </c>
      <c r="AE24" s="8">
        <f>+MINVU_Mes_Corriente!AE24*SALUD_Mes_Constante!$AC$1</f>
        <v>0</v>
      </c>
      <c r="AF24" s="8">
        <f>+MINVU_Mes_Corriente!AF24*SALUD_Mes_Constante!$AC$1</f>
        <v>0</v>
      </c>
      <c r="AG24" s="8">
        <f>+MINVU_Mes_Corriente!AG24*SALUD_Mes_Constante!$AC$1</f>
        <v>0</v>
      </c>
      <c r="AH24" s="8">
        <f>+MINVU_Mes_Corriente!AH24*SALUD_Mes_Constante!$AC$1</f>
        <v>0</v>
      </c>
      <c r="AI24" s="8">
        <f>+MINVU_Mes_Corriente!AI24*SALUD_Mes_Constante!$AC$1</f>
        <v>0</v>
      </c>
      <c r="AJ24" s="8">
        <f>+MINVU_Mes_Corriente!AJ24*SALUD_Mes_Constante!$AC$1</f>
        <v>0</v>
      </c>
      <c r="AK24" s="8">
        <f>+MINVU_Mes_Corriente!AK24*SALUD_Mes_Constante!$AC$1</f>
        <v>0</v>
      </c>
      <c r="AL24" s="8">
        <f>+MINVU_Mes_Corriente!AL24*SALUD_Mes_Constante!$AC$1</f>
        <v>0</v>
      </c>
      <c r="AM24" s="8">
        <f>+MINVU_Mes_Corriente!AM24*SALUD_Mes_Constante!$AC$1</f>
        <v>0</v>
      </c>
      <c r="AN24" s="8">
        <f>+MINVU_Mes_Corriente!AN24*SALUD_Mes_Constante!$AC$1</f>
        <v>0</v>
      </c>
      <c r="AO24" s="9">
        <f t="shared" si="2"/>
        <v>0</v>
      </c>
      <c r="AP24" s="8">
        <f>+MINVU_Mes_Corriente!AP24*SALUD_Mes_Constante!$AP$1</f>
        <v>0</v>
      </c>
      <c r="AQ24" s="8">
        <f>+MINVU_Mes_Corriente!AQ24*SALUD_Mes_Constante!$AP$1</f>
        <v>0</v>
      </c>
      <c r="AR24" s="8">
        <f>+MINVU_Mes_Corriente!AR24*SALUD_Mes_Constante!$AP$1</f>
        <v>0</v>
      </c>
      <c r="AS24" s="8">
        <f>+MINVU_Mes_Corriente!AS24*SALUD_Mes_Constante!$AP$1</f>
        <v>0</v>
      </c>
      <c r="AT24" s="8">
        <f>+MINVU_Mes_Corriente!AT24*SALUD_Mes_Constante!$AP$1</f>
        <v>0</v>
      </c>
      <c r="AU24" s="8">
        <f>+MINVU_Mes_Corriente!AU24*SALUD_Mes_Constante!$AP$1</f>
        <v>0</v>
      </c>
      <c r="AV24" s="8">
        <f>+MINVU_Mes_Corriente!AV24*SALUD_Mes_Constante!$AP$1</f>
        <v>0</v>
      </c>
      <c r="AW24" s="8">
        <f>+MINVU_Mes_Corriente!AW24*SALUD_Mes_Constante!$AP$1</f>
        <v>0</v>
      </c>
      <c r="AX24" s="8">
        <f>+MINVU_Mes_Corriente!AX24*SALUD_Mes_Constante!$AP$1</f>
        <v>0</v>
      </c>
      <c r="AY24" s="8">
        <f>+MINVU_Mes_Corriente!AY24*SALUD_Mes_Constante!$AP$1</f>
        <v>0</v>
      </c>
      <c r="AZ24" s="8">
        <f>+MINVU_Mes_Corriente!AZ24*SALUD_Mes_Constante!$AP$1</f>
        <v>0</v>
      </c>
      <c r="BA24" s="8">
        <f>+MINVU_Mes_Corriente!BA24*SALUD_Mes_Constante!$AP$1</f>
        <v>0</v>
      </c>
      <c r="BB24" s="9">
        <f t="shared" si="3"/>
        <v>0</v>
      </c>
      <c r="BC24" s="8">
        <f>+MINVU_Mes_Corriente!BC24*SALUD_Mes_Constante!$BC$1</f>
        <v>0</v>
      </c>
      <c r="BD24" s="8">
        <f>+MINVU_Mes_Corriente!BD24*SALUD_Mes_Constante!$BC$1</f>
        <v>0</v>
      </c>
      <c r="BE24" s="8">
        <f>+MINVU_Mes_Corriente!BE24*SALUD_Mes_Constante!$BC$1</f>
        <v>0</v>
      </c>
      <c r="BF24" s="8">
        <f>+MINVU_Mes_Corriente!BF24*SALUD_Mes_Constante!$BC$1</f>
        <v>0</v>
      </c>
      <c r="BG24" s="8">
        <f>+MINVU_Mes_Corriente!BG24*SALUD_Mes_Constante!$BC$1</f>
        <v>0</v>
      </c>
      <c r="BH24" s="8">
        <f>+MINVU_Mes_Corriente!BH24*SALUD_Mes_Constante!$BC$1</f>
        <v>0</v>
      </c>
      <c r="BI24" s="8">
        <f>+MINVU_Mes_Corriente!BI24*SALUD_Mes_Constante!$BC$1</f>
        <v>0</v>
      </c>
      <c r="BJ24" s="8">
        <f>+MINVU_Mes_Corriente!BJ24*SALUD_Mes_Constante!$BC$1</f>
        <v>0</v>
      </c>
      <c r="BK24" s="8">
        <f>+MINVU_Mes_Corriente!BK24*SALUD_Mes_Constante!$BC$1</f>
        <v>0</v>
      </c>
      <c r="BL24" s="8">
        <f>+MINVU_Mes_Corriente!BL24*SALUD_Mes_Constante!$BC$1</f>
        <v>0</v>
      </c>
      <c r="BM24" s="8">
        <f>+MINVU_Mes_Corriente!BM24*SALUD_Mes_Constante!$BC$1</f>
        <v>0</v>
      </c>
      <c r="BN24" s="8">
        <f>+MINVU_Mes_Corriente!BN24*SALUD_Mes_Constante!$BC$1</f>
        <v>0</v>
      </c>
      <c r="BO24" s="9">
        <f t="shared" si="4"/>
        <v>0</v>
      </c>
      <c r="BP24" s="8">
        <f>+MINVU_Mes_Corriente!BP24*SALUD_Mes_Constante!$BP$1</f>
        <v>0</v>
      </c>
      <c r="BQ24" s="8">
        <f>+MINVU_Mes_Corriente!BQ24*SALUD_Mes_Constante!$BP$1</f>
        <v>0</v>
      </c>
      <c r="BR24" s="8">
        <f>+MINVU_Mes_Corriente!BR24*SALUD_Mes_Constante!$BP$1</f>
        <v>0</v>
      </c>
      <c r="BS24" s="8">
        <f>+MINVU_Mes_Corriente!BS24*SALUD_Mes_Constante!$BP$1</f>
        <v>0</v>
      </c>
      <c r="BT24" s="8">
        <f>+MINVU_Mes_Corriente!BT24*SALUD_Mes_Constante!$BP$1</f>
        <v>0</v>
      </c>
      <c r="BU24" s="8">
        <f>+MINVU_Mes_Corriente!BU24*SALUD_Mes_Constante!$BP$1</f>
        <v>0</v>
      </c>
      <c r="BV24" s="8">
        <f>+MINVU_Mes_Corriente!BV24*SALUD_Mes_Constante!$BP$1</f>
        <v>0</v>
      </c>
      <c r="BW24" s="8">
        <f>+MINVU_Mes_Corriente!BW24*SALUD_Mes_Constante!$BP$1</f>
        <v>0</v>
      </c>
      <c r="BX24" s="8">
        <f>+MINVU_Mes_Corriente!BX24*SALUD_Mes_Constante!$BP$1</f>
        <v>0</v>
      </c>
      <c r="BY24" s="8">
        <f>+MINVU_Mes_Corriente!BY24*SALUD_Mes_Constante!$BP$1</f>
        <v>0</v>
      </c>
      <c r="BZ24" s="8">
        <f>+MINVU_Mes_Corriente!BZ24*SALUD_Mes_Constante!$BP$1</f>
        <v>0</v>
      </c>
      <c r="CA24" s="8">
        <f>+MINVU_Mes_Corriente!CA24*SALUD_Mes_Constante!$BP$1</f>
        <v>0</v>
      </c>
      <c r="CB24" s="9">
        <f t="shared" si="5"/>
        <v>0</v>
      </c>
      <c r="CC24" s="8">
        <f>+MINVU_Mes_Corriente!CC24*SALUD_Mes_Constante!$CC$1</f>
        <v>0</v>
      </c>
      <c r="CD24" s="8">
        <f>+MINVU_Mes_Corriente!CD24*SALUD_Mes_Constante!$CC$1</f>
        <v>0</v>
      </c>
      <c r="CE24" s="8">
        <f>+MINVU_Mes_Corriente!CE24*SALUD_Mes_Constante!$CC$1</f>
        <v>0</v>
      </c>
      <c r="CF24" s="8">
        <f>+MINVU_Mes_Corriente!CF24*SALUD_Mes_Constante!$CC$1</f>
        <v>0</v>
      </c>
      <c r="CG24" s="8">
        <f>+MINVU_Mes_Corriente!CG24*SALUD_Mes_Constante!$CC$1</f>
        <v>0</v>
      </c>
      <c r="CH24" s="8">
        <f>+MINVU_Mes_Corriente!CH24*SALUD_Mes_Constante!$CC$1</f>
        <v>0</v>
      </c>
      <c r="CI24" s="8">
        <f>+MINVU_Mes_Corriente!CI24*SALUD_Mes_Constante!$CC$1</f>
        <v>0</v>
      </c>
      <c r="CJ24" s="8">
        <f>+MINVU_Mes_Corriente!CJ24*SALUD_Mes_Constante!$CC$1</f>
        <v>0</v>
      </c>
      <c r="CK24" s="8">
        <f>+MINVU_Mes_Corriente!CK24*SALUD_Mes_Constante!$CC$1</f>
        <v>0</v>
      </c>
      <c r="CL24" s="8">
        <f>+MINVU_Mes_Corriente!CL24*SALUD_Mes_Constante!$CC$1</f>
        <v>0</v>
      </c>
      <c r="CM24" s="8">
        <f>+MINVU_Mes_Corriente!CM24*SALUD_Mes_Constante!$CC$1</f>
        <v>0</v>
      </c>
      <c r="CN24" s="8">
        <f>+MINVU_Mes_Corriente!CN24*SALUD_Mes_Constante!$CC$1</f>
        <v>0</v>
      </c>
      <c r="CO24" s="9">
        <f t="shared" si="6"/>
        <v>0</v>
      </c>
      <c r="CP24" s="8">
        <f>+MINVU_Mes_Corriente!CP24*SALUD_Mes_Constante!$CP$1</f>
        <v>0</v>
      </c>
      <c r="CQ24" s="8">
        <f>+MINVU_Mes_Corriente!CQ24*SALUD_Mes_Constante!$CP$1</f>
        <v>0</v>
      </c>
      <c r="CR24" s="8">
        <f>+MINVU_Mes_Corriente!CR24*SALUD_Mes_Constante!$CP$1</f>
        <v>0</v>
      </c>
      <c r="CS24" s="8">
        <f>+MINVU_Mes_Corriente!CS24*SALUD_Mes_Constante!$CP$1</f>
        <v>0</v>
      </c>
      <c r="CT24" s="8">
        <f>+MINVU_Mes_Corriente!CT24*SALUD_Mes_Constante!$CP$1</f>
        <v>0</v>
      </c>
      <c r="CU24" s="8">
        <f>+MINVU_Mes_Corriente!CU24*SALUD_Mes_Constante!$CP$1</f>
        <v>0</v>
      </c>
      <c r="CV24" s="8">
        <f>+MINVU_Mes_Corriente!CV24*SALUD_Mes_Constante!$CP$1</f>
        <v>0</v>
      </c>
      <c r="CW24" s="8">
        <f>+MINVU_Mes_Corriente!CW24*SALUD_Mes_Constante!$CP$1</f>
        <v>0</v>
      </c>
      <c r="CX24" s="8">
        <f>+MINVU_Mes_Corriente!CX24*SALUD_Mes_Constante!$CP$1</f>
        <v>0</v>
      </c>
      <c r="CY24" s="8">
        <f>+MINVU_Mes_Corriente!CY24*SALUD_Mes_Constante!$CP$1</f>
        <v>0</v>
      </c>
      <c r="CZ24" s="8">
        <f>+MINVU_Mes_Corriente!CZ24*SALUD_Mes_Constante!$CP$1</f>
        <v>0</v>
      </c>
      <c r="DA24" s="8">
        <f>+MINVU_Mes_Corriente!DA24*SALUD_Mes_Constante!$CP$1</f>
        <v>0</v>
      </c>
      <c r="DB24" s="9">
        <f t="shared" si="7"/>
        <v>0</v>
      </c>
      <c r="DC24" s="8">
        <f>+MINVU_Mes_Corriente!DC24*SALUD_Mes_Constante!$DC$1</f>
        <v>0</v>
      </c>
      <c r="DD24" s="8">
        <f>+MINVU_Mes_Corriente!DD24*SALUD_Mes_Constante!$DC$1</f>
        <v>0</v>
      </c>
      <c r="DE24" s="8">
        <f>+MINVU_Mes_Corriente!DE24*SALUD_Mes_Constante!$DC$1</f>
        <v>0</v>
      </c>
      <c r="DF24" s="8">
        <f>+MINVU_Mes_Corriente!DF24*SALUD_Mes_Constante!$DC$1</f>
        <v>0</v>
      </c>
      <c r="DG24" s="8">
        <f>+MINVU_Mes_Corriente!DG24*SALUD_Mes_Constante!$DC$1</f>
        <v>0</v>
      </c>
      <c r="DH24" s="8">
        <f>+MINVU_Mes_Corriente!DH24*SALUD_Mes_Constante!$DC$1</f>
        <v>0</v>
      </c>
      <c r="DI24" s="8">
        <f>+MINVU_Mes_Corriente!DI24*SALUD_Mes_Constante!$DC$1</f>
        <v>0</v>
      </c>
      <c r="DJ24" s="8">
        <f>+MINVU_Mes_Corriente!DJ24*SALUD_Mes_Constante!$DC$1</f>
        <v>0</v>
      </c>
      <c r="DK24" s="8">
        <f>+MINVU_Mes_Corriente!DK24*SALUD_Mes_Constante!$DC$1</f>
        <v>0</v>
      </c>
      <c r="DL24" s="8">
        <f>+MINVU_Mes_Corriente!DL24*SALUD_Mes_Constante!$DC$1</f>
        <v>0</v>
      </c>
      <c r="DM24" s="8">
        <f>+MINVU_Mes_Corriente!DM24*SALUD_Mes_Constante!$DC$1</f>
        <v>0</v>
      </c>
      <c r="DN24" s="8">
        <f>+MINVU_Mes_Corriente!DN24*SALUD_Mes_Constante!$DC$1</f>
        <v>0</v>
      </c>
      <c r="DO24" s="9">
        <f t="shared" si="8"/>
        <v>0</v>
      </c>
      <c r="DP24" s="8">
        <f>+MINVU_Mes_Corriente!DP24*SALUD_Mes_Constante!$DP$1</f>
        <v>0</v>
      </c>
      <c r="DQ24" s="8">
        <f>+MINVU_Mes_Corriente!DQ24*SALUD_Mes_Constante!$DP$1</f>
        <v>0</v>
      </c>
      <c r="DR24" s="8">
        <f>+MINVU_Mes_Corriente!DR24*SALUD_Mes_Constante!$DP$1</f>
        <v>0</v>
      </c>
      <c r="DS24" s="8">
        <f>+MINVU_Mes_Corriente!DS24*SALUD_Mes_Constante!$DP$1</f>
        <v>0</v>
      </c>
      <c r="DT24" s="8">
        <f>+MINVU_Mes_Corriente!DT24*SALUD_Mes_Constante!$DP$1</f>
        <v>0</v>
      </c>
      <c r="DU24" s="8">
        <f>+MINVU_Mes_Corriente!DU24*SALUD_Mes_Constante!$DP$1</f>
        <v>0</v>
      </c>
      <c r="DV24" s="8">
        <f>+MINVU_Mes_Corriente!DV24*SALUD_Mes_Constante!$DP$1</f>
        <v>0</v>
      </c>
      <c r="DW24" s="8">
        <f>+MINVU_Mes_Corriente!DW24*SALUD_Mes_Constante!$DP$1</f>
        <v>0</v>
      </c>
      <c r="DX24" s="8">
        <f>+MINVU_Mes_Corriente!DX24*SALUD_Mes_Constante!$DP$1</f>
        <v>0</v>
      </c>
      <c r="DY24" s="8">
        <f>+MINVU_Mes_Corriente!DY24*SALUD_Mes_Constante!$DP$1</f>
        <v>0</v>
      </c>
      <c r="DZ24" s="8">
        <f>+MINVU_Mes_Corriente!DZ24*SALUD_Mes_Constante!$DP$1</f>
        <v>0</v>
      </c>
      <c r="EA24" s="8">
        <f>+MINVU_Mes_Corriente!EA24*SALUD_Mes_Constante!$DP$1</f>
        <v>0</v>
      </c>
      <c r="EB24" s="9">
        <f t="shared" si="9"/>
        <v>0</v>
      </c>
      <c r="EC24" s="8">
        <f>+MINVU_Mes_Corriente!EC24*SALUD_Mes_Constante!$EC$1</f>
        <v>0</v>
      </c>
      <c r="ED24" s="8">
        <f>+MINVU_Mes_Corriente!ED24*SALUD_Mes_Constante!$EC$1</f>
        <v>0</v>
      </c>
      <c r="EE24" s="8">
        <f>+MINVU_Mes_Corriente!EE24*SALUD_Mes_Constante!$EC$1</f>
        <v>0</v>
      </c>
      <c r="EF24" s="8">
        <f>+MINVU_Mes_Corriente!EF24*SALUD_Mes_Constante!$EC$1</f>
        <v>0</v>
      </c>
      <c r="EG24" s="8">
        <f>+MINVU_Mes_Corriente!EG24*SALUD_Mes_Constante!$EC$1</f>
        <v>0</v>
      </c>
      <c r="EH24" s="8">
        <f>+MINVU_Mes_Corriente!EH24*SALUD_Mes_Constante!$EC$1</f>
        <v>0</v>
      </c>
      <c r="EI24" s="8">
        <f>+MINVU_Mes_Corriente!EI24*SALUD_Mes_Constante!$EC$1</f>
        <v>0</v>
      </c>
      <c r="EJ24" s="8">
        <f>+MINVU_Mes_Corriente!EJ24*SALUD_Mes_Constante!$EC$1</f>
        <v>0</v>
      </c>
      <c r="EK24" s="8">
        <f>+MINVU_Mes_Corriente!EK24*SALUD_Mes_Constante!$EC$1</f>
        <v>0</v>
      </c>
      <c r="EL24" s="8">
        <f>+MINVU_Mes_Corriente!EL24*SALUD_Mes_Constante!$EC$1</f>
        <v>0</v>
      </c>
      <c r="EM24" s="8">
        <f>+MINVU_Mes_Corriente!EM24*SALUD_Mes_Constante!$EC$1</f>
        <v>0</v>
      </c>
      <c r="EN24" s="8">
        <f>+MINVU_Mes_Corriente!EN24*SALUD_Mes_Constante!$EC$1</f>
        <v>0</v>
      </c>
      <c r="EO24" s="9">
        <f t="shared" si="10"/>
        <v>0</v>
      </c>
      <c r="EP24" s="8">
        <f>+MINVU_Mes_Corriente!EP24*SALUD_Mes_Constante!$EP$1</f>
        <v>0</v>
      </c>
      <c r="EQ24" s="8">
        <f>+MINVU_Mes_Corriente!EQ24*SALUD_Mes_Constante!$EP$1</f>
        <v>0</v>
      </c>
      <c r="ER24" s="8">
        <f>+MINVU_Mes_Corriente!ER24*SALUD_Mes_Constante!$EP$1</f>
        <v>0</v>
      </c>
      <c r="ES24" s="8">
        <f>+MINVU_Mes_Corriente!ES24*SALUD_Mes_Constante!$EP$1</f>
        <v>0</v>
      </c>
      <c r="ET24" s="8">
        <f>+MINVU_Mes_Corriente!ET24*SALUD_Mes_Constante!$EP$1</f>
        <v>0</v>
      </c>
      <c r="EU24" s="8">
        <f>+MINVU_Mes_Corriente!EU24*SALUD_Mes_Constante!$EP$1</f>
        <v>0</v>
      </c>
      <c r="EV24" s="8">
        <f>+MINVU_Mes_Corriente!EV24*SALUD_Mes_Constante!$EP$1</f>
        <v>0</v>
      </c>
      <c r="EW24" s="8">
        <f>+MINVU_Mes_Corriente!EW24*SALUD_Mes_Constante!$EP$1</f>
        <v>0</v>
      </c>
      <c r="EX24" s="8">
        <f>+MINVU_Mes_Corriente!EX24*SALUD_Mes_Constante!$EP$1</f>
        <v>0</v>
      </c>
      <c r="EY24" s="8">
        <f>+MINVU_Mes_Corriente!EY24*SALUD_Mes_Constante!$EP$1</f>
        <v>0</v>
      </c>
      <c r="EZ24" s="8">
        <f>+MINVU_Mes_Corriente!EZ24*SALUD_Mes_Constante!$EP$1</f>
        <v>0</v>
      </c>
      <c r="FA24" s="8">
        <f>+MINVU_Mes_Corriente!FA24*SALUD_Mes_Constante!$EP$1</f>
        <v>0</v>
      </c>
      <c r="FB24" s="9">
        <f t="shared" si="11"/>
        <v>0</v>
      </c>
      <c r="FC24" s="8">
        <f>+MINVU_Mes_Corriente!FC24*SALUD_Mes_Constante!$FC$1</f>
        <v>1516870</v>
      </c>
      <c r="FD24" s="8">
        <f>+MINVU_Mes_Corriente!FD24*SALUD_Mes_Constante!$FC$1</f>
        <v>1516870</v>
      </c>
      <c r="FE24" s="8">
        <f>+MINVU_Mes_Corriente!FE24*SALUD_Mes_Constante!$FC$1</f>
        <v>1516870</v>
      </c>
      <c r="FF24" s="8">
        <f>+MINVU_Mes_Corriente!FF24*SALUD_Mes_Constante!$FC$1</f>
        <v>1516870</v>
      </c>
      <c r="FG24" s="8">
        <f>+MINVU_Mes_Corriente!FG24*SALUD_Mes_Constante!$FC$1</f>
        <v>1516870</v>
      </c>
      <c r="FH24" s="8">
        <f>+MINVU_Mes_Corriente!FH24*SALUD_Mes_Constante!$FC$1</f>
        <v>1516870</v>
      </c>
      <c r="FI24" s="8">
        <f>+MINVU_Mes_Corriente!FI24*SALUD_Mes_Constante!$FC$1</f>
        <v>1516870</v>
      </c>
      <c r="FJ24" s="8"/>
      <c r="FK24" s="8"/>
      <c r="FL24" s="8"/>
      <c r="FM24" s="8"/>
      <c r="FN24" s="8"/>
      <c r="FO24" s="9">
        <f t="shared" si="12"/>
        <v>1516870</v>
      </c>
    </row>
    <row r="25" spans="2:171" ht="14.25" customHeight="1" x14ac:dyDescent="0.3">
      <c r="B25" s="7" t="s">
        <v>60</v>
      </c>
      <c r="C25" s="8">
        <f>+MINVU_Mes_Corriente!C25*SALUD_Mes_Constante!$C$1</f>
        <v>0</v>
      </c>
      <c r="D25" s="8">
        <f>+MINVU_Mes_Corriente!D25*SALUD_Mes_Constante!$C$1</f>
        <v>0</v>
      </c>
      <c r="E25" s="8">
        <f>+MINVU_Mes_Corriente!E25*SALUD_Mes_Constante!$C$1</f>
        <v>0</v>
      </c>
      <c r="F25" s="8">
        <f>+MINVU_Mes_Corriente!F25*SALUD_Mes_Constante!$C$1</f>
        <v>0</v>
      </c>
      <c r="G25" s="8">
        <f>+MINVU_Mes_Corriente!G25*SALUD_Mes_Constante!$C$1</f>
        <v>0</v>
      </c>
      <c r="H25" s="8">
        <f>+MINVU_Mes_Corriente!H25*SALUD_Mes_Constante!$C$1</f>
        <v>0</v>
      </c>
      <c r="I25" s="8">
        <f>+MINVU_Mes_Corriente!I25*SALUD_Mes_Constante!$C$1</f>
        <v>0</v>
      </c>
      <c r="J25" s="8">
        <f>+MINVU_Mes_Corriente!J25*SALUD_Mes_Constante!$C$1</f>
        <v>0</v>
      </c>
      <c r="K25" s="8">
        <f>+MINVU_Mes_Corriente!K25*SALUD_Mes_Constante!$C$1</f>
        <v>0</v>
      </c>
      <c r="L25" s="8">
        <f>+MINVU_Mes_Corriente!L25*SALUD_Mes_Constante!$C$1</f>
        <v>0</v>
      </c>
      <c r="M25" s="8">
        <f>+MINVU_Mes_Corriente!M25*SALUD_Mes_Constante!$C$1</f>
        <v>0</v>
      </c>
      <c r="N25" s="8">
        <f>+MINVU_Mes_Corriente!N25*SALUD_Mes_Constante!$C$1</f>
        <v>0</v>
      </c>
      <c r="O25" s="9">
        <f t="shared" si="0"/>
        <v>0</v>
      </c>
      <c r="P25" s="8">
        <f>+MINVU_Mes_Corriente!P25*SALUD_Mes_Constante!$P$1</f>
        <v>0</v>
      </c>
      <c r="Q25" s="8">
        <f>+MINVU_Mes_Corriente!Q25*SALUD_Mes_Constante!$P$1</f>
        <v>0</v>
      </c>
      <c r="R25" s="8">
        <f>+MINVU_Mes_Corriente!R25*SALUD_Mes_Constante!$P$1</f>
        <v>0</v>
      </c>
      <c r="S25" s="8">
        <f>+MINVU_Mes_Corriente!S25*SALUD_Mes_Constante!$P$1</f>
        <v>0</v>
      </c>
      <c r="T25" s="8">
        <f>+MINVU_Mes_Corriente!T25*SALUD_Mes_Constante!$P$1</f>
        <v>0</v>
      </c>
      <c r="U25" s="8">
        <f>+MINVU_Mes_Corriente!U25*SALUD_Mes_Constante!$P$1</f>
        <v>0</v>
      </c>
      <c r="V25" s="8">
        <f>+MINVU_Mes_Corriente!V25*SALUD_Mes_Constante!$P$1</f>
        <v>0</v>
      </c>
      <c r="W25" s="8">
        <f>+MINVU_Mes_Corriente!W25*SALUD_Mes_Constante!$P$1</f>
        <v>0</v>
      </c>
      <c r="X25" s="8">
        <f>+MINVU_Mes_Corriente!X25*SALUD_Mes_Constante!$P$1</f>
        <v>0</v>
      </c>
      <c r="Y25" s="8">
        <f>+MINVU_Mes_Corriente!Y25*SALUD_Mes_Constante!$P$1</f>
        <v>0</v>
      </c>
      <c r="Z25" s="8">
        <f>+MINVU_Mes_Corriente!Z25*SALUD_Mes_Constante!$P$1</f>
        <v>0</v>
      </c>
      <c r="AA25" s="8">
        <f>+MINVU_Mes_Corriente!AA25*SALUD_Mes_Constante!$P$1</f>
        <v>0</v>
      </c>
      <c r="AB25" s="9">
        <f t="shared" si="1"/>
        <v>0</v>
      </c>
      <c r="AC25" s="8">
        <f>+MINVU_Mes_Corriente!AC25*SALUD_Mes_Constante!$AC$1</f>
        <v>0</v>
      </c>
      <c r="AD25" s="8">
        <f>+MINVU_Mes_Corriente!AD25*SALUD_Mes_Constante!$AC$1</f>
        <v>0</v>
      </c>
      <c r="AE25" s="8">
        <f>+MINVU_Mes_Corriente!AE25*SALUD_Mes_Constante!$AC$1</f>
        <v>0</v>
      </c>
      <c r="AF25" s="8">
        <f>+MINVU_Mes_Corriente!AF25*SALUD_Mes_Constante!$AC$1</f>
        <v>0</v>
      </c>
      <c r="AG25" s="8">
        <f>+MINVU_Mes_Corriente!AG25*SALUD_Mes_Constante!$AC$1</f>
        <v>0</v>
      </c>
      <c r="AH25" s="8">
        <f>+MINVU_Mes_Corriente!AH25*SALUD_Mes_Constante!$AC$1</f>
        <v>0</v>
      </c>
      <c r="AI25" s="8">
        <f>+MINVU_Mes_Corriente!AI25*SALUD_Mes_Constante!$AC$1</f>
        <v>0</v>
      </c>
      <c r="AJ25" s="8">
        <f>+MINVU_Mes_Corriente!AJ25*SALUD_Mes_Constante!$AC$1</f>
        <v>0</v>
      </c>
      <c r="AK25" s="8">
        <f>+MINVU_Mes_Corriente!AK25*SALUD_Mes_Constante!$AC$1</f>
        <v>0</v>
      </c>
      <c r="AL25" s="8">
        <f>+MINVU_Mes_Corriente!AL25*SALUD_Mes_Constante!$AC$1</f>
        <v>0</v>
      </c>
      <c r="AM25" s="8">
        <f>+MINVU_Mes_Corriente!AM25*SALUD_Mes_Constante!$AC$1</f>
        <v>0</v>
      </c>
      <c r="AN25" s="8">
        <f>+MINVU_Mes_Corriente!AN25*SALUD_Mes_Constante!$AC$1</f>
        <v>0</v>
      </c>
      <c r="AO25" s="9">
        <f t="shared" si="2"/>
        <v>0</v>
      </c>
      <c r="AP25" s="8">
        <f>+MINVU_Mes_Corriente!AP25*SALUD_Mes_Constante!$AP$1</f>
        <v>0</v>
      </c>
      <c r="AQ25" s="8">
        <f>+MINVU_Mes_Corriente!AQ25*SALUD_Mes_Constante!$AP$1</f>
        <v>0</v>
      </c>
      <c r="AR25" s="8">
        <f>+MINVU_Mes_Corriente!AR25*SALUD_Mes_Constante!$AP$1</f>
        <v>0</v>
      </c>
      <c r="AS25" s="8">
        <f>+MINVU_Mes_Corriente!AS25*SALUD_Mes_Constante!$AP$1</f>
        <v>0</v>
      </c>
      <c r="AT25" s="8">
        <f>+MINVU_Mes_Corriente!AT25*SALUD_Mes_Constante!$AP$1</f>
        <v>0</v>
      </c>
      <c r="AU25" s="8">
        <f>+MINVU_Mes_Corriente!AU25*SALUD_Mes_Constante!$AP$1</f>
        <v>0</v>
      </c>
      <c r="AV25" s="8">
        <f>+MINVU_Mes_Corriente!AV25*SALUD_Mes_Constante!$AP$1</f>
        <v>0</v>
      </c>
      <c r="AW25" s="8">
        <f>+MINVU_Mes_Corriente!AW25*SALUD_Mes_Constante!$AP$1</f>
        <v>0</v>
      </c>
      <c r="AX25" s="8">
        <f>+MINVU_Mes_Corriente!AX25*SALUD_Mes_Constante!$AP$1</f>
        <v>0</v>
      </c>
      <c r="AY25" s="8">
        <f>+MINVU_Mes_Corriente!AY25*SALUD_Mes_Constante!$AP$1</f>
        <v>0</v>
      </c>
      <c r="AZ25" s="8">
        <f>+MINVU_Mes_Corriente!AZ25*SALUD_Mes_Constante!$AP$1</f>
        <v>0</v>
      </c>
      <c r="BA25" s="8">
        <f>+MINVU_Mes_Corriente!BA25*SALUD_Mes_Constante!$AP$1</f>
        <v>0</v>
      </c>
      <c r="BB25" s="9">
        <f t="shared" si="3"/>
        <v>0</v>
      </c>
      <c r="BC25" s="8">
        <f>+MINVU_Mes_Corriente!BC25*SALUD_Mes_Constante!$BC$1</f>
        <v>0</v>
      </c>
      <c r="BD25" s="8">
        <f>+MINVU_Mes_Corriente!BD25*SALUD_Mes_Constante!$BC$1</f>
        <v>0</v>
      </c>
      <c r="BE25" s="8">
        <f>+MINVU_Mes_Corriente!BE25*SALUD_Mes_Constante!$BC$1</f>
        <v>0</v>
      </c>
      <c r="BF25" s="8">
        <f>+MINVU_Mes_Corriente!BF25*SALUD_Mes_Constante!$BC$1</f>
        <v>0</v>
      </c>
      <c r="BG25" s="8">
        <f>+MINVU_Mes_Corriente!BG25*SALUD_Mes_Constante!$BC$1</f>
        <v>0</v>
      </c>
      <c r="BH25" s="8">
        <f>+MINVU_Mes_Corriente!BH25*SALUD_Mes_Constante!$BC$1</f>
        <v>0</v>
      </c>
      <c r="BI25" s="8">
        <f>+MINVU_Mes_Corriente!BI25*SALUD_Mes_Constante!$BC$1</f>
        <v>0</v>
      </c>
      <c r="BJ25" s="8">
        <f>+MINVU_Mes_Corriente!BJ25*SALUD_Mes_Constante!$BC$1</f>
        <v>0</v>
      </c>
      <c r="BK25" s="8">
        <f>+MINVU_Mes_Corriente!BK25*SALUD_Mes_Constante!$BC$1</f>
        <v>0</v>
      </c>
      <c r="BL25" s="8">
        <f>+MINVU_Mes_Corriente!BL25*SALUD_Mes_Constante!$BC$1</f>
        <v>0</v>
      </c>
      <c r="BM25" s="8">
        <f>+MINVU_Mes_Corriente!BM25*SALUD_Mes_Constante!$BC$1</f>
        <v>0</v>
      </c>
      <c r="BN25" s="8">
        <f>+MINVU_Mes_Corriente!BN25*SALUD_Mes_Constante!$BC$1</f>
        <v>0</v>
      </c>
      <c r="BO25" s="9">
        <f t="shared" si="4"/>
        <v>0</v>
      </c>
      <c r="BP25" s="8">
        <f>+MINVU_Mes_Corriente!BP25*SALUD_Mes_Constante!$BP$1</f>
        <v>0</v>
      </c>
      <c r="BQ25" s="8">
        <f>+MINVU_Mes_Corriente!BQ25*SALUD_Mes_Constante!$BP$1</f>
        <v>0</v>
      </c>
      <c r="BR25" s="8">
        <f>+MINVU_Mes_Corriente!BR25*SALUD_Mes_Constante!$BP$1</f>
        <v>0</v>
      </c>
      <c r="BS25" s="8">
        <f>+MINVU_Mes_Corriente!BS25*SALUD_Mes_Constante!$BP$1</f>
        <v>0</v>
      </c>
      <c r="BT25" s="8">
        <f>+MINVU_Mes_Corriente!BT25*SALUD_Mes_Constante!$BP$1</f>
        <v>0</v>
      </c>
      <c r="BU25" s="8">
        <f>+MINVU_Mes_Corriente!BU25*SALUD_Mes_Constante!$BP$1</f>
        <v>0</v>
      </c>
      <c r="BV25" s="8">
        <f>+MINVU_Mes_Corriente!BV25*SALUD_Mes_Constante!$BP$1</f>
        <v>0</v>
      </c>
      <c r="BW25" s="8">
        <f>+MINVU_Mes_Corriente!BW25*SALUD_Mes_Constante!$BP$1</f>
        <v>0</v>
      </c>
      <c r="BX25" s="8">
        <f>+MINVU_Mes_Corriente!BX25*SALUD_Mes_Constante!$BP$1</f>
        <v>0</v>
      </c>
      <c r="BY25" s="8">
        <f>+MINVU_Mes_Corriente!BY25*SALUD_Mes_Constante!$BP$1</f>
        <v>0</v>
      </c>
      <c r="BZ25" s="8">
        <f>+MINVU_Mes_Corriente!BZ25*SALUD_Mes_Constante!$BP$1</f>
        <v>0</v>
      </c>
      <c r="CA25" s="8">
        <f>+MINVU_Mes_Corriente!CA25*SALUD_Mes_Constante!$BP$1</f>
        <v>0</v>
      </c>
      <c r="CB25" s="9">
        <f t="shared" si="5"/>
        <v>0</v>
      </c>
      <c r="CC25" s="8">
        <f>+MINVU_Mes_Corriente!CC25*SALUD_Mes_Constante!$CC$1</f>
        <v>0</v>
      </c>
      <c r="CD25" s="8">
        <f>+MINVU_Mes_Corriente!CD25*SALUD_Mes_Constante!$CC$1</f>
        <v>0</v>
      </c>
      <c r="CE25" s="8">
        <f>+MINVU_Mes_Corriente!CE25*SALUD_Mes_Constante!$CC$1</f>
        <v>0</v>
      </c>
      <c r="CF25" s="8">
        <f>+MINVU_Mes_Corriente!CF25*SALUD_Mes_Constante!$CC$1</f>
        <v>0</v>
      </c>
      <c r="CG25" s="8">
        <f>+MINVU_Mes_Corriente!CG25*SALUD_Mes_Constante!$CC$1</f>
        <v>0</v>
      </c>
      <c r="CH25" s="8">
        <f>+MINVU_Mes_Corriente!CH25*SALUD_Mes_Constante!$CC$1</f>
        <v>0</v>
      </c>
      <c r="CI25" s="8">
        <f>+MINVU_Mes_Corriente!CI25*SALUD_Mes_Constante!$CC$1</f>
        <v>0</v>
      </c>
      <c r="CJ25" s="8">
        <f>+MINVU_Mes_Corriente!CJ25*SALUD_Mes_Constante!$CC$1</f>
        <v>0</v>
      </c>
      <c r="CK25" s="8">
        <f>+MINVU_Mes_Corriente!CK25*SALUD_Mes_Constante!$CC$1</f>
        <v>0</v>
      </c>
      <c r="CL25" s="8">
        <f>+MINVU_Mes_Corriente!CL25*SALUD_Mes_Constante!$CC$1</f>
        <v>0</v>
      </c>
      <c r="CM25" s="8">
        <f>+MINVU_Mes_Corriente!CM25*SALUD_Mes_Constante!$CC$1</f>
        <v>0</v>
      </c>
      <c r="CN25" s="8">
        <f>+MINVU_Mes_Corriente!CN25*SALUD_Mes_Constante!$CC$1</f>
        <v>0</v>
      </c>
      <c r="CO25" s="9">
        <f t="shared" si="6"/>
        <v>0</v>
      </c>
      <c r="CP25" s="8">
        <f>+MINVU_Mes_Corriente!CP25*SALUD_Mes_Constante!$CP$1</f>
        <v>0</v>
      </c>
      <c r="CQ25" s="8">
        <f>+MINVU_Mes_Corriente!CQ25*SALUD_Mes_Constante!$CP$1</f>
        <v>0</v>
      </c>
      <c r="CR25" s="8">
        <f>+MINVU_Mes_Corriente!CR25*SALUD_Mes_Constante!$CP$1</f>
        <v>0</v>
      </c>
      <c r="CS25" s="8">
        <f>+MINVU_Mes_Corriente!CS25*SALUD_Mes_Constante!$CP$1</f>
        <v>0</v>
      </c>
      <c r="CT25" s="8">
        <f>+MINVU_Mes_Corriente!CT25*SALUD_Mes_Constante!$CP$1</f>
        <v>0</v>
      </c>
      <c r="CU25" s="8">
        <f>+MINVU_Mes_Corriente!CU25*SALUD_Mes_Constante!$CP$1</f>
        <v>0</v>
      </c>
      <c r="CV25" s="8">
        <f>+MINVU_Mes_Corriente!CV25*SALUD_Mes_Constante!$CP$1</f>
        <v>0</v>
      </c>
      <c r="CW25" s="8">
        <f>+MINVU_Mes_Corriente!CW25*SALUD_Mes_Constante!$CP$1</f>
        <v>0</v>
      </c>
      <c r="CX25" s="8">
        <f>+MINVU_Mes_Corriente!CX25*SALUD_Mes_Constante!$CP$1</f>
        <v>0</v>
      </c>
      <c r="CY25" s="8">
        <f>+MINVU_Mes_Corriente!CY25*SALUD_Mes_Constante!$CP$1</f>
        <v>0</v>
      </c>
      <c r="CZ25" s="8">
        <f>+MINVU_Mes_Corriente!CZ25*SALUD_Mes_Constante!$CP$1</f>
        <v>0</v>
      </c>
      <c r="DA25" s="8">
        <f>+MINVU_Mes_Corriente!DA25*SALUD_Mes_Constante!$CP$1</f>
        <v>0</v>
      </c>
      <c r="DB25" s="9">
        <f t="shared" si="7"/>
        <v>0</v>
      </c>
      <c r="DC25" s="8">
        <f>+MINVU_Mes_Corriente!DC25*SALUD_Mes_Constante!$DC$1</f>
        <v>0</v>
      </c>
      <c r="DD25" s="8">
        <f>+MINVU_Mes_Corriente!DD25*SALUD_Mes_Constante!$DC$1</f>
        <v>0</v>
      </c>
      <c r="DE25" s="8">
        <f>+MINVU_Mes_Corriente!DE25*SALUD_Mes_Constante!$DC$1</f>
        <v>0</v>
      </c>
      <c r="DF25" s="8">
        <f>+MINVU_Mes_Corriente!DF25*SALUD_Mes_Constante!$DC$1</f>
        <v>0</v>
      </c>
      <c r="DG25" s="8">
        <f>+MINVU_Mes_Corriente!DG25*SALUD_Mes_Constante!$DC$1</f>
        <v>0</v>
      </c>
      <c r="DH25" s="8">
        <f>+MINVU_Mes_Corriente!DH25*SALUD_Mes_Constante!$DC$1</f>
        <v>0</v>
      </c>
      <c r="DI25" s="8">
        <f>+MINVU_Mes_Corriente!DI25*SALUD_Mes_Constante!$DC$1</f>
        <v>0</v>
      </c>
      <c r="DJ25" s="8">
        <f>+MINVU_Mes_Corriente!DJ25*SALUD_Mes_Constante!$DC$1</f>
        <v>0</v>
      </c>
      <c r="DK25" s="8">
        <f>+MINVU_Mes_Corriente!DK25*SALUD_Mes_Constante!$DC$1</f>
        <v>0</v>
      </c>
      <c r="DL25" s="8">
        <f>+MINVU_Mes_Corriente!DL25*SALUD_Mes_Constante!$DC$1</f>
        <v>0</v>
      </c>
      <c r="DM25" s="8">
        <f>+MINVU_Mes_Corriente!DM25*SALUD_Mes_Constante!$DC$1</f>
        <v>0</v>
      </c>
      <c r="DN25" s="8">
        <f>+MINVU_Mes_Corriente!DN25*SALUD_Mes_Constante!$DC$1</f>
        <v>0</v>
      </c>
      <c r="DO25" s="9">
        <f t="shared" si="8"/>
        <v>0</v>
      </c>
      <c r="DP25" s="8">
        <f>+MINVU_Mes_Corriente!DP25*SALUD_Mes_Constante!$DP$1</f>
        <v>0</v>
      </c>
      <c r="DQ25" s="8">
        <f>+MINVU_Mes_Corriente!DQ25*SALUD_Mes_Constante!$DP$1</f>
        <v>0</v>
      </c>
      <c r="DR25" s="8">
        <f>+MINVU_Mes_Corriente!DR25*SALUD_Mes_Constante!$DP$1</f>
        <v>0</v>
      </c>
      <c r="DS25" s="8">
        <f>+MINVU_Mes_Corriente!DS25*SALUD_Mes_Constante!$DP$1</f>
        <v>0</v>
      </c>
      <c r="DT25" s="8">
        <f>+MINVU_Mes_Corriente!DT25*SALUD_Mes_Constante!$DP$1</f>
        <v>0</v>
      </c>
      <c r="DU25" s="8">
        <f>+MINVU_Mes_Corriente!DU25*SALUD_Mes_Constante!$DP$1</f>
        <v>0</v>
      </c>
      <c r="DV25" s="8">
        <f>+MINVU_Mes_Corriente!DV25*SALUD_Mes_Constante!$DP$1</f>
        <v>0</v>
      </c>
      <c r="DW25" s="8">
        <f>+MINVU_Mes_Corriente!DW25*SALUD_Mes_Constante!$DP$1</f>
        <v>0</v>
      </c>
      <c r="DX25" s="8">
        <f>+MINVU_Mes_Corriente!DX25*SALUD_Mes_Constante!$DP$1</f>
        <v>0</v>
      </c>
      <c r="DY25" s="8">
        <f>+MINVU_Mes_Corriente!DY25*SALUD_Mes_Constante!$DP$1</f>
        <v>0</v>
      </c>
      <c r="DZ25" s="8">
        <f>+MINVU_Mes_Corriente!DZ25*SALUD_Mes_Constante!$DP$1</f>
        <v>0</v>
      </c>
      <c r="EA25" s="8">
        <f>+MINVU_Mes_Corriente!EA25*SALUD_Mes_Constante!$DP$1</f>
        <v>0</v>
      </c>
      <c r="EB25" s="9">
        <f t="shared" si="9"/>
        <v>0</v>
      </c>
      <c r="EC25" s="8">
        <f>+MINVU_Mes_Corriente!EC25*SALUD_Mes_Constante!$EC$1</f>
        <v>0</v>
      </c>
      <c r="ED25" s="8">
        <f>+MINVU_Mes_Corriente!ED25*SALUD_Mes_Constante!$EC$1</f>
        <v>0</v>
      </c>
      <c r="EE25" s="8">
        <f>+MINVU_Mes_Corriente!EE25*SALUD_Mes_Constante!$EC$1</f>
        <v>0</v>
      </c>
      <c r="EF25" s="8">
        <f>+MINVU_Mes_Corriente!EF25*SALUD_Mes_Constante!$EC$1</f>
        <v>0</v>
      </c>
      <c r="EG25" s="8">
        <f>+MINVU_Mes_Corriente!EG25*SALUD_Mes_Constante!$EC$1</f>
        <v>0</v>
      </c>
      <c r="EH25" s="8">
        <f>+MINVU_Mes_Corriente!EH25*SALUD_Mes_Constante!$EC$1</f>
        <v>0</v>
      </c>
      <c r="EI25" s="8">
        <f>+MINVU_Mes_Corriente!EI25*SALUD_Mes_Constante!$EC$1</f>
        <v>0</v>
      </c>
      <c r="EJ25" s="8">
        <f>+MINVU_Mes_Corriente!EJ25*SALUD_Mes_Constante!$EC$1</f>
        <v>0</v>
      </c>
      <c r="EK25" s="8">
        <f>+MINVU_Mes_Corriente!EK25*SALUD_Mes_Constante!$EC$1</f>
        <v>0</v>
      </c>
      <c r="EL25" s="8">
        <f>+MINVU_Mes_Corriente!EL25*SALUD_Mes_Constante!$EC$1</f>
        <v>0</v>
      </c>
      <c r="EM25" s="8">
        <f>+MINVU_Mes_Corriente!EM25*SALUD_Mes_Constante!$EC$1</f>
        <v>0</v>
      </c>
      <c r="EN25" s="8">
        <f>+MINVU_Mes_Corriente!EN25*SALUD_Mes_Constante!$EC$1</f>
        <v>0</v>
      </c>
      <c r="EO25" s="9">
        <f t="shared" si="10"/>
        <v>0</v>
      </c>
      <c r="EP25" s="8">
        <f>+MINVU_Mes_Corriente!EP25*SALUD_Mes_Constante!$EP$1</f>
        <v>0</v>
      </c>
      <c r="EQ25" s="8">
        <f>+MINVU_Mes_Corriente!EQ25*SALUD_Mes_Constante!$EP$1</f>
        <v>0</v>
      </c>
      <c r="ER25" s="8">
        <f>+MINVU_Mes_Corriente!ER25*SALUD_Mes_Constante!$EP$1</f>
        <v>0</v>
      </c>
      <c r="ES25" s="8">
        <f>+MINVU_Mes_Corriente!ES25*SALUD_Mes_Constante!$EP$1</f>
        <v>0</v>
      </c>
      <c r="ET25" s="8">
        <f>+MINVU_Mes_Corriente!ET25*SALUD_Mes_Constante!$EP$1</f>
        <v>0</v>
      </c>
      <c r="EU25" s="8">
        <f>+MINVU_Mes_Corriente!EU25*SALUD_Mes_Constante!$EP$1</f>
        <v>0</v>
      </c>
      <c r="EV25" s="8">
        <f>+MINVU_Mes_Corriente!EV25*SALUD_Mes_Constante!$EP$1</f>
        <v>0</v>
      </c>
      <c r="EW25" s="8">
        <f>+MINVU_Mes_Corriente!EW25*SALUD_Mes_Constante!$EP$1</f>
        <v>0</v>
      </c>
      <c r="EX25" s="8">
        <f>+MINVU_Mes_Corriente!EX25*SALUD_Mes_Constante!$EP$1</f>
        <v>0</v>
      </c>
      <c r="EY25" s="8">
        <f>+MINVU_Mes_Corriente!EY25*SALUD_Mes_Constante!$EP$1</f>
        <v>0</v>
      </c>
      <c r="EZ25" s="8">
        <f>+MINVU_Mes_Corriente!EZ25*SALUD_Mes_Constante!$EP$1</f>
        <v>0</v>
      </c>
      <c r="FA25" s="8">
        <f>+MINVU_Mes_Corriente!FA25*SALUD_Mes_Constante!$EP$1</f>
        <v>0</v>
      </c>
      <c r="FB25" s="9">
        <f t="shared" si="11"/>
        <v>0</v>
      </c>
      <c r="FC25" s="8">
        <f>+MINVU_Mes_Corriente!FC25*SALUD_Mes_Constante!$FC$1</f>
        <v>3495611</v>
      </c>
      <c r="FD25" s="8">
        <f>+MINVU_Mes_Corriente!FD25*SALUD_Mes_Constante!$FC$1</f>
        <v>3495611</v>
      </c>
      <c r="FE25" s="8">
        <f>+MINVU_Mes_Corriente!FE25*SALUD_Mes_Constante!$FC$1</f>
        <v>3495611</v>
      </c>
      <c r="FF25" s="8">
        <f>+MINVU_Mes_Corriente!FF25*SALUD_Mes_Constante!$FC$1</f>
        <v>3495611</v>
      </c>
      <c r="FG25" s="8">
        <f>+MINVU_Mes_Corriente!FG25*SALUD_Mes_Constante!$FC$1</f>
        <v>3495611</v>
      </c>
      <c r="FH25" s="8">
        <f>+MINVU_Mes_Corriente!FH25*SALUD_Mes_Constante!$FC$1</f>
        <v>3495611</v>
      </c>
      <c r="FI25" s="8">
        <f>+MINVU_Mes_Corriente!FI25*SALUD_Mes_Constante!$FC$1</f>
        <v>3495611</v>
      </c>
      <c r="FJ25" s="8"/>
      <c r="FK25" s="8"/>
      <c r="FL25" s="8"/>
      <c r="FM25" s="8"/>
      <c r="FN25" s="8"/>
      <c r="FO25" s="9">
        <f t="shared" si="12"/>
        <v>3495611</v>
      </c>
    </row>
    <row r="26" spans="2:171" ht="14.25" customHeight="1" x14ac:dyDescent="0.3">
      <c r="B26" s="7" t="s">
        <v>61</v>
      </c>
      <c r="C26" s="8">
        <f>+MINVU_Mes_Corriente!C26*SALUD_Mes_Constante!$C$1</f>
        <v>0</v>
      </c>
      <c r="D26" s="8">
        <f>+MINVU_Mes_Corriente!D26*SALUD_Mes_Constante!$C$1</f>
        <v>0</v>
      </c>
      <c r="E26" s="8">
        <f>+MINVU_Mes_Corriente!E26*SALUD_Mes_Constante!$C$1</f>
        <v>0</v>
      </c>
      <c r="F26" s="8">
        <f>+MINVU_Mes_Corriente!F26*SALUD_Mes_Constante!$C$1</f>
        <v>0</v>
      </c>
      <c r="G26" s="8">
        <f>+MINVU_Mes_Corriente!G26*SALUD_Mes_Constante!$C$1</f>
        <v>0</v>
      </c>
      <c r="H26" s="8">
        <f>+MINVU_Mes_Corriente!H26*SALUD_Mes_Constante!$C$1</f>
        <v>0</v>
      </c>
      <c r="I26" s="8">
        <f>+MINVU_Mes_Corriente!I26*SALUD_Mes_Constante!$C$1</f>
        <v>0</v>
      </c>
      <c r="J26" s="8">
        <f>+MINVU_Mes_Corriente!J26*SALUD_Mes_Constante!$C$1</f>
        <v>0</v>
      </c>
      <c r="K26" s="8">
        <f>+MINVU_Mes_Corriente!K26*SALUD_Mes_Constante!$C$1</f>
        <v>0</v>
      </c>
      <c r="L26" s="8">
        <f>+MINVU_Mes_Corriente!L26*SALUD_Mes_Constante!$C$1</f>
        <v>0</v>
      </c>
      <c r="M26" s="8">
        <f>+MINVU_Mes_Corriente!M26*SALUD_Mes_Constante!$C$1</f>
        <v>0</v>
      </c>
      <c r="N26" s="8">
        <f>+MINVU_Mes_Corriente!N26*SALUD_Mes_Constante!$C$1</f>
        <v>0</v>
      </c>
      <c r="O26" s="9">
        <f t="shared" si="0"/>
        <v>0</v>
      </c>
      <c r="P26" s="8">
        <f>+MINVU_Mes_Corriente!P26*SALUD_Mes_Constante!$P$1</f>
        <v>0</v>
      </c>
      <c r="Q26" s="8">
        <f>+MINVU_Mes_Corriente!Q26*SALUD_Mes_Constante!$P$1</f>
        <v>0</v>
      </c>
      <c r="R26" s="8">
        <f>+MINVU_Mes_Corriente!R26*SALUD_Mes_Constante!$P$1</f>
        <v>0</v>
      </c>
      <c r="S26" s="8">
        <f>+MINVU_Mes_Corriente!S26*SALUD_Mes_Constante!$P$1</f>
        <v>0</v>
      </c>
      <c r="T26" s="8">
        <f>+MINVU_Mes_Corriente!T26*SALUD_Mes_Constante!$P$1</f>
        <v>0</v>
      </c>
      <c r="U26" s="8">
        <f>+MINVU_Mes_Corriente!U26*SALUD_Mes_Constante!$P$1</f>
        <v>0</v>
      </c>
      <c r="V26" s="8">
        <f>+MINVU_Mes_Corriente!V26*SALUD_Mes_Constante!$P$1</f>
        <v>0</v>
      </c>
      <c r="W26" s="8">
        <f>+MINVU_Mes_Corriente!W26*SALUD_Mes_Constante!$P$1</f>
        <v>0</v>
      </c>
      <c r="X26" s="8">
        <f>+MINVU_Mes_Corriente!X26*SALUD_Mes_Constante!$P$1</f>
        <v>0</v>
      </c>
      <c r="Y26" s="8">
        <f>+MINVU_Mes_Corriente!Y26*SALUD_Mes_Constante!$P$1</f>
        <v>0</v>
      </c>
      <c r="Z26" s="8">
        <f>+MINVU_Mes_Corriente!Z26*SALUD_Mes_Constante!$P$1</f>
        <v>0</v>
      </c>
      <c r="AA26" s="8">
        <f>+MINVU_Mes_Corriente!AA26*SALUD_Mes_Constante!$P$1</f>
        <v>0</v>
      </c>
      <c r="AB26" s="9">
        <f t="shared" si="1"/>
        <v>0</v>
      </c>
      <c r="AC26" s="8">
        <f>+MINVU_Mes_Corriente!AC26*SALUD_Mes_Constante!$AC$1</f>
        <v>0</v>
      </c>
      <c r="AD26" s="8">
        <f>+MINVU_Mes_Corriente!AD26*SALUD_Mes_Constante!$AC$1</f>
        <v>0</v>
      </c>
      <c r="AE26" s="8">
        <f>+MINVU_Mes_Corriente!AE26*SALUD_Mes_Constante!$AC$1</f>
        <v>0</v>
      </c>
      <c r="AF26" s="8">
        <f>+MINVU_Mes_Corriente!AF26*SALUD_Mes_Constante!$AC$1</f>
        <v>0</v>
      </c>
      <c r="AG26" s="8">
        <f>+MINVU_Mes_Corriente!AG26*SALUD_Mes_Constante!$AC$1</f>
        <v>0</v>
      </c>
      <c r="AH26" s="8">
        <f>+MINVU_Mes_Corriente!AH26*SALUD_Mes_Constante!$AC$1</f>
        <v>0</v>
      </c>
      <c r="AI26" s="8">
        <f>+MINVU_Mes_Corriente!AI26*SALUD_Mes_Constante!$AC$1</f>
        <v>0</v>
      </c>
      <c r="AJ26" s="8">
        <f>+MINVU_Mes_Corriente!AJ26*SALUD_Mes_Constante!$AC$1</f>
        <v>0</v>
      </c>
      <c r="AK26" s="8">
        <f>+MINVU_Mes_Corriente!AK26*SALUD_Mes_Constante!$AC$1</f>
        <v>0</v>
      </c>
      <c r="AL26" s="8">
        <f>+MINVU_Mes_Corriente!AL26*SALUD_Mes_Constante!$AC$1</f>
        <v>0</v>
      </c>
      <c r="AM26" s="8">
        <f>+MINVU_Mes_Corriente!AM26*SALUD_Mes_Constante!$AC$1</f>
        <v>0</v>
      </c>
      <c r="AN26" s="8">
        <f>+MINVU_Mes_Corriente!AN26*SALUD_Mes_Constante!$AC$1</f>
        <v>0</v>
      </c>
      <c r="AO26" s="9">
        <f t="shared" si="2"/>
        <v>0</v>
      </c>
      <c r="AP26" s="8">
        <f>+MINVU_Mes_Corriente!AP26*SALUD_Mes_Constante!$AP$1</f>
        <v>0</v>
      </c>
      <c r="AQ26" s="8">
        <f>+MINVU_Mes_Corriente!AQ26*SALUD_Mes_Constante!$AP$1</f>
        <v>0</v>
      </c>
      <c r="AR26" s="8">
        <f>+MINVU_Mes_Corriente!AR26*SALUD_Mes_Constante!$AP$1</f>
        <v>0</v>
      </c>
      <c r="AS26" s="8">
        <f>+MINVU_Mes_Corriente!AS26*SALUD_Mes_Constante!$AP$1</f>
        <v>0</v>
      </c>
      <c r="AT26" s="8">
        <f>+MINVU_Mes_Corriente!AT26*SALUD_Mes_Constante!$AP$1</f>
        <v>0</v>
      </c>
      <c r="AU26" s="8">
        <f>+MINVU_Mes_Corriente!AU26*SALUD_Mes_Constante!$AP$1</f>
        <v>0</v>
      </c>
      <c r="AV26" s="8">
        <f>+MINVU_Mes_Corriente!AV26*SALUD_Mes_Constante!$AP$1</f>
        <v>0</v>
      </c>
      <c r="AW26" s="8">
        <f>+MINVU_Mes_Corriente!AW26*SALUD_Mes_Constante!$AP$1</f>
        <v>0</v>
      </c>
      <c r="AX26" s="8">
        <f>+MINVU_Mes_Corriente!AX26*SALUD_Mes_Constante!$AP$1</f>
        <v>0</v>
      </c>
      <c r="AY26" s="8">
        <f>+MINVU_Mes_Corriente!AY26*SALUD_Mes_Constante!$AP$1</f>
        <v>0</v>
      </c>
      <c r="AZ26" s="8">
        <f>+MINVU_Mes_Corriente!AZ26*SALUD_Mes_Constante!$AP$1</f>
        <v>0</v>
      </c>
      <c r="BA26" s="8">
        <f>+MINVU_Mes_Corriente!BA26*SALUD_Mes_Constante!$AP$1</f>
        <v>0</v>
      </c>
      <c r="BB26" s="9">
        <f t="shared" si="3"/>
        <v>0</v>
      </c>
      <c r="BC26" s="8">
        <f>+MINVU_Mes_Corriente!BC26*SALUD_Mes_Constante!$BC$1</f>
        <v>0</v>
      </c>
      <c r="BD26" s="8">
        <f>+MINVU_Mes_Corriente!BD26*SALUD_Mes_Constante!$BC$1</f>
        <v>0</v>
      </c>
      <c r="BE26" s="8">
        <f>+MINVU_Mes_Corriente!BE26*SALUD_Mes_Constante!$BC$1</f>
        <v>0</v>
      </c>
      <c r="BF26" s="8">
        <f>+MINVU_Mes_Corriente!BF26*SALUD_Mes_Constante!$BC$1</f>
        <v>0</v>
      </c>
      <c r="BG26" s="8">
        <f>+MINVU_Mes_Corriente!BG26*SALUD_Mes_Constante!$BC$1</f>
        <v>0</v>
      </c>
      <c r="BH26" s="8">
        <f>+MINVU_Mes_Corriente!BH26*SALUD_Mes_Constante!$BC$1</f>
        <v>0</v>
      </c>
      <c r="BI26" s="8">
        <f>+MINVU_Mes_Corriente!BI26*SALUD_Mes_Constante!$BC$1</f>
        <v>0</v>
      </c>
      <c r="BJ26" s="8">
        <f>+MINVU_Mes_Corriente!BJ26*SALUD_Mes_Constante!$BC$1</f>
        <v>0</v>
      </c>
      <c r="BK26" s="8">
        <f>+MINVU_Mes_Corriente!BK26*SALUD_Mes_Constante!$BC$1</f>
        <v>0</v>
      </c>
      <c r="BL26" s="8">
        <f>+MINVU_Mes_Corriente!BL26*SALUD_Mes_Constante!$BC$1</f>
        <v>0</v>
      </c>
      <c r="BM26" s="8">
        <f>+MINVU_Mes_Corriente!BM26*SALUD_Mes_Constante!$BC$1</f>
        <v>0</v>
      </c>
      <c r="BN26" s="8">
        <f>+MINVU_Mes_Corriente!BN26*SALUD_Mes_Constante!$BC$1</f>
        <v>0</v>
      </c>
      <c r="BO26" s="9">
        <f t="shared" si="4"/>
        <v>0</v>
      </c>
      <c r="BP26" s="8">
        <f>+MINVU_Mes_Corriente!BP26*SALUD_Mes_Constante!$BP$1</f>
        <v>0</v>
      </c>
      <c r="BQ26" s="8">
        <f>+MINVU_Mes_Corriente!BQ26*SALUD_Mes_Constante!$BP$1</f>
        <v>0</v>
      </c>
      <c r="BR26" s="8">
        <f>+MINVU_Mes_Corriente!BR26*SALUD_Mes_Constante!$BP$1</f>
        <v>0</v>
      </c>
      <c r="BS26" s="8">
        <f>+MINVU_Mes_Corriente!BS26*SALUD_Mes_Constante!$BP$1</f>
        <v>0</v>
      </c>
      <c r="BT26" s="8">
        <f>+MINVU_Mes_Corriente!BT26*SALUD_Mes_Constante!$BP$1</f>
        <v>0</v>
      </c>
      <c r="BU26" s="8">
        <f>+MINVU_Mes_Corriente!BU26*SALUD_Mes_Constante!$BP$1</f>
        <v>0</v>
      </c>
      <c r="BV26" s="8">
        <f>+MINVU_Mes_Corriente!BV26*SALUD_Mes_Constante!$BP$1</f>
        <v>0</v>
      </c>
      <c r="BW26" s="8">
        <f>+MINVU_Mes_Corriente!BW26*SALUD_Mes_Constante!$BP$1</f>
        <v>0</v>
      </c>
      <c r="BX26" s="8">
        <f>+MINVU_Mes_Corriente!BX26*SALUD_Mes_Constante!$BP$1</f>
        <v>0</v>
      </c>
      <c r="BY26" s="8">
        <f>+MINVU_Mes_Corriente!BY26*SALUD_Mes_Constante!$BP$1</f>
        <v>0</v>
      </c>
      <c r="BZ26" s="8">
        <f>+MINVU_Mes_Corriente!BZ26*SALUD_Mes_Constante!$BP$1</f>
        <v>0</v>
      </c>
      <c r="CA26" s="8">
        <f>+MINVU_Mes_Corriente!CA26*SALUD_Mes_Constante!$BP$1</f>
        <v>0</v>
      </c>
      <c r="CB26" s="9">
        <f t="shared" si="5"/>
        <v>0</v>
      </c>
      <c r="CC26" s="8">
        <f>+MINVU_Mes_Corriente!CC26*SALUD_Mes_Constante!$CC$1</f>
        <v>0</v>
      </c>
      <c r="CD26" s="8">
        <f>+MINVU_Mes_Corriente!CD26*SALUD_Mes_Constante!$CC$1</f>
        <v>0</v>
      </c>
      <c r="CE26" s="8">
        <f>+MINVU_Mes_Corriente!CE26*SALUD_Mes_Constante!$CC$1</f>
        <v>0</v>
      </c>
      <c r="CF26" s="8">
        <f>+MINVU_Mes_Corriente!CF26*SALUD_Mes_Constante!$CC$1</f>
        <v>0</v>
      </c>
      <c r="CG26" s="8">
        <f>+MINVU_Mes_Corriente!CG26*SALUD_Mes_Constante!$CC$1</f>
        <v>0</v>
      </c>
      <c r="CH26" s="8">
        <f>+MINVU_Mes_Corriente!CH26*SALUD_Mes_Constante!$CC$1</f>
        <v>0</v>
      </c>
      <c r="CI26" s="8">
        <f>+MINVU_Mes_Corriente!CI26*SALUD_Mes_Constante!$CC$1</f>
        <v>0</v>
      </c>
      <c r="CJ26" s="8">
        <f>+MINVU_Mes_Corriente!CJ26*SALUD_Mes_Constante!$CC$1</f>
        <v>0</v>
      </c>
      <c r="CK26" s="8">
        <f>+MINVU_Mes_Corriente!CK26*SALUD_Mes_Constante!$CC$1</f>
        <v>0</v>
      </c>
      <c r="CL26" s="8">
        <f>+MINVU_Mes_Corriente!CL26*SALUD_Mes_Constante!$CC$1</f>
        <v>0</v>
      </c>
      <c r="CM26" s="8">
        <f>+MINVU_Mes_Corriente!CM26*SALUD_Mes_Constante!$CC$1</f>
        <v>0</v>
      </c>
      <c r="CN26" s="8">
        <f>+MINVU_Mes_Corriente!CN26*SALUD_Mes_Constante!$CC$1</f>
        <v>0</v>
      </c>
      <c r="CO26" s="9">
        <f t="shared" si="6"/>
        <v>0</v>
      </c>
      <c r="CP26" s="8">
        <f>+MINVU_Mes_Corriente!CP26*SALUD_Mes_Constante!$CP$1</f>
        <v>0</v>
      </c>
      <c r="CQ26" s="8">
        <f>+MINVU_Mes_Corriente!CQ26*SALUD_Mes_Constante!$CP$1</f>
        <v>0</v>
      </c>
      <c r="CR26" s="8">
        <f>+MINVU_Mes_Corriente!CR26*SALUD_Mes_Constante!$CP$1</f>
        <v>0</v>
      </c>
      <c r="CS26" s="8">
        <f>+MINVU_Mes_Corriente!CS26*SALUD_Mes_Constante!$CP$1</f>
        <v>0</v>
      </c>
      <c r="CT26" s="8">
        <f>+MINVU_Mes_Corriente!CT26*SALUD_Mes_Constante!$CP$1</f>
        <v>0</v>
      </c>
      <c r="CU26" s="8">
        <f>+MINVU_Mes_Corriente!CU26*SALUD_Mes_Constante!$CP$1</f>
        <v>0</v>
      </c>
      <c r="CV26" s="8">
        <f>+MINVU_Mes_Corriente!CV26*SALUD_Mes_Constante!$CP$1</f>
        <v>0</v>
      </c>
      <c r="CW26" s="8">
        <f>+MINVU_Mes_Corriente!CW26*SALUD_Mes_Constante!$CP$1</f>
        <v>0</v>
      </c>
      <c r="CX26" s="8">
        <f>+MINVU_Mes_Corriente!CX26*SALUD_Mes_Constante!$CP$1</f>
        <v>0</v>
      </c>
      <c r="CY26" s="8">
        <f>+MINVU_Mes_Corriente!CY26*SALUD_Mes_Constante!$CP$1</f>
        <v>0</v>
      </c>
      <c r="CZ26" s="8">
        <f>+MINVU_Mes_Corriente!CZ26*SALUD_Mes_Constante!$CP$1</f>
        <v>0</v>
      </c>
      <c r="DA26" s="8">
        <f>+MINVU_Mes_Corriente!DA26*SALUD_Mes_Constante!$CP$1</f>
        <v>0</v>
      </c>
      <c r="DB26" s="9">
        <f t="shared" si="7"/>
        <v>0</v>
      </c>
      <c r="DC26" s="8">
        <f>+MINVU_Mes_Corriente!DC26*SALUD_Mes_Constante!$DC$1</f>
        <v>0</v>
      </c>
      <c r="DD26" s="8">
        <f>+MINVU_Mes_Corriente!DD26*SALUD_Mes_Constante!$DC$1</f>
        <v>0</v>
      </c>
      <c r="DE26" s="8">
        <f>+MINVU_Mes_Corriente!DE26*SALUD_Mes_Constante!$DC$1</f>
        <v>0</v>
      </c>
      <c r="DF26" s="8">
        <f>+MINVU_Mes_Corriente!DF26*SALUD_Mes_Constante!$DC$1</f>
        <v>0</v>
      </c>
      <c r="DG26" s="8">
        <f>+MINVU_Mes_Corriente!DG26*SALUD_Mes_Constante!$DC$1</f>
        <v>0</v>
      </c>
      <c r="DH26" s="8">
        <f>+MINVU_Mes_Corriente!DH26*SALUD_Mes_Constante!$DC$1</f>
        <v>0</v>
      </c>
      <c r="DI26" s="8">
        <f>+MINVU_Mes_Corriente!DI26*SALUD_Mes_Constante!$DC$1</f>
        <v>0</v>
      </c>
      <c r="DJ26" s="8">
        <f>+MINVU_Mes_Corriente!DJ26*SALUD_Mes_Constante!$DC$1</f>
        <v>0</v>
      </c>
      <c r="DK26" s="8">
        <f>+MINVU_Mes_Corriente!DK26*SALUD_Mes_Constante!$DC$1</f>
        <v>0</v>
      </c>
      <c r="DL26" s="8">
        <f>+MINVU_Mes_Corriente!DL26*SALUD_Mes_Constante!$DC$1</f>
        <v>0</v>
      </c>
      <c r="DM26" s="8">
        <f>+MINVU_Mes_Corriente!DM26*SALUD_Mes_Constante!$DC$1</f>
        <v>0</v>
      </c>
      <c r="DN26" s="8">
        <f>+MINVU_Mes_Corriente!DN26*SALUD_Mes_Constante!$DC$1</f>
        <v>0</v>
      </c>
      <c r="DO26" s="9">
        <f t="shared" si="8"/>
        <v>0</v>
      </c>
      <c r="DP26" s="8">
        <f>+MINVU_Mes_Corriente!DP26*SALUD_Mes_Constante!$DP$1</f>
        <v>0</v>
      </c>
      <c r="DQ26" s="8">
        <f>+MINVU_Mes_Corriente!DQ26*SALUD_Mes_Constante!$DP$1</f>
        <v>0</v>
      </c>
      <c r="DR26" s="8">
        <f>+MINVU_Mes_Corriente!DR26*SALUD_Mes_Constante!$DP$1</f>
        <v>0</v>
      </c>
      <c r="DS26" s="8">
        <f>+MINVU_Mes_Corriente!DS26*SALUD_Mes_Constante!$DP$1</f>
        <v>0</v>
      </c>
      <c r="DT26" s="8">
        <f>+MINVU_Mes_Corriente!DT26*SALUD_Mes_Constante!$DP$1</f>
        <v>0</v>
      </c>
      <c r="DU26" s="8">
        <f>+MINVU_Mes_Corriente!DU26*SALUD_Mes_Constante!$DP$1</f>
        <v>0</v>
      </c>
      <c r="DV26" s="8">
        <f>+MINVU_Mes_Corriente!DV26*SALUD_Mes_Constante!$DP$1</f>
        <v>0</v>
      </c>
      <c r="DW26" s="8">
        <f>+MINVU_Mes_Corriente!DW26*SALUD_Mes_Constante!$DP$1</f>
        <v>0</v>
      </c>
      <c r="DX26" s="8">
        <f>+MINVU_Mes_Corriente!DX26*SALUD_Mes_Constante!$DP$1</f>
        <v>0</v>
      </c>
      <c r="DY26" s="8">
        <f>+MINVU_Mes_Corriente!DY26*SALUD_Mes_Constante!$DP$1</f>
        <v>0</v>
      </c>
      <c r="DZ26" s="8">
        <f>+MINVU_Mes_Corriente!DZ26*SALUD_Mes_Constante!$DP$1</f>
        <v>0</v>
      </c>
      <c r="EA26" s="8">
        <f>+MINVU_Mes_Corriente!EA26*SALUD_Mes_Constante!$DP$1</f>
        <v>0</v>
      </c>
      <c r="EB26" s="9">
        <f t="shared" si="9"/>
        <v>0</v>
      </c>
      <c r="EC26" s="8">
        <f>+MINVU_Mes_Corriente!EC26*SALUD_Mes_Constante!$EC$1</f>
        <v>0</v>
      </c>
      <c r="ED26" s="8">
        <f>+MINVU_Mes_Corriente!ED26*SALUD_Mes_Constante!$EC$1</f>
        <v>0</v>
      </c>
      <c r="EE26" s="8">
        <f>+MINVU_Mes_Corriente!EE26*SALUD_Mes_Constante!$EC$1</f>
        <v>0</v>
      </c>
      <c r="EF26" s="8">
        <f>+MINVU_Mes_Corriente!EF26*SALUD_Mes_Constante!$EC$1</f>
        <v>0</v>
      </c>
      <c r="EG26" s="8">
        <f>+MINVU_Mes_Corriente!EG26*SALUD_Mes_Constante!$EC$1</f>
        <v>0</v>
      </c>
      <c r="EH26" s="8">
        <f>+MINVU_Mes_Corriente!EH26*SALUD_Mes_Constante!$EC$1</f>
        <v>0</v>
      </c>
      <c r="EI26" s="8">
        <f>+MINVU_Mes_Corriente!EI26*SALUD_Mes_Constante!$EC$1</f>
        <v>0</v>
      </c>
      <c r="EJ26" s="8">
        <f>+MINVU_Mes_Corriente!EJ26*SALUD_Mes_Constante!$EC$1</f>
        <v>0</v>
      </c>
      <c r="EK26" s="8">
        <f>+MINVU_Mes_Corriente!EK26*SALUD_Mes_Constante!$EC$1</f>
        <v>0</v>
      </c>
      <c r="EL26" s="8">
        <f>+MINVU_Mes_Corriente!EL26*SALUD_Mes_Constante!$EC$1</f>
        <v>0</v>
      </c>
      <c r="EM26" s="8">
        <f>+MINVU_Mes_Corriente!EM26*SALUD_Mes_Constante!$EC$1</f>
        <v>0</v>
      </c>
      <c r="EN26" s="8">
        <f>+MINVU_Mes_Corriente!EN26*SALUD_Mes_Constante!$EC$1</f>
        <v>0</v>
      </c>
      <c r="EO26" s="9">
        <f t="shared" si="10"/>
        <v>0</v>
      </c>
      <c r="EP26" s="8">
        <f>+MINVU_Mes_Corriente!EP26*SALUD_Mes_Constante!$EP$1</f>
        <v>0</v>
      </c>
      <c r="EQ26" s="8">
        <f>+MINVU_Mes_Corriente!EQ26*SALUD_Mes_Constante!$EP$1</f>
        <v>0</v>
      </c>
      <c r="ER26" s="8">
        <f>+MINVU_Mes_Corriente!ER26*SALUD_Mes_Constante!$EP$1</f>
        <v>0</v>
      </c>
      <c r="ES26" s="8">
        <f>+MINVU_Mes_Corriente!ES26*SALUD_Mes_Constante!$EP$1</f>
        <v>0</v>
      </c>
      <c r="ET26" s="8">
        <f>+MINVU_Mes_Corriente!ET26*SALUD_Mes_Constante!$EP$1</f>
        <v>0</v>
      </c>
      <c r="EU26" s="8">
        <f>+MINVU_Mes_Corriente!EU26*SALUD_Mes_Constante!$EP$1</f>
        <v>0</v>
      </c>
      <c r="EV26" s="8">
        <f>+MINVU_Mes_Corriente!EV26*SALUD_Mes_Constante!$EP$1</f>
        <v>0</v>
      </c>
      <c r="EW26" s="8">
        <f>+MINVU_Mes_Corriente!EW26*SALUD_Mes_Constante!$EP$1</f>
        <v>0</v>
      </c>
      <c r="EX26" s="8">
        <f>+MINVU_Mes_Corriente!EX26*SALUD_Mes_Constante!$EP$1</f>
        <v>0</v>
      </c>
      <c r="EY26" s="8">
        <f>+MINVU_Mes_Corriente!EY26*SALUD_Mes_Constante!$EP$1</f>
        <v>0</v>
      </c>
      <c r="EZ26" s="8">
        <f>+MINVU_Mes_Corriente!EZ26*SALUD_Mes_Constante!$EP$1</f>
        <v>0</v>
      </c>
      <c r="FA26" s="8">
        <f>+MINVU_Mes_Corriente!FA26*SALUD_Mes_Constante!$EP$1</f>
        <v>0</v>
      </c>
      <c r="FB26" s="9">
        <f t="shared" si="11"/>
        <v>0</v>
      </c>
      <c r="FC26" s="8">
        <f>+MINVU_Mes_Corriente!FC26*SALUD_Mes_Constante!$FC$1</f>
        <v>13124470</v>
      </c>
      <c r="FD26" s="8">
        <f>+MINVU_Mes_Corriente!FD26*SALUD_Mes_Constante!$FC$1</f>
        <v>13124470</v>
      </c>
      <c r="FE26" s="8">
        <f>+MINVU_Mes_Corriente!FE26*SALUD_Mes_Constante!$FC$1</f>
        <v>13124470</v>
      </c>
      <c r="FF26" s="8">
        <f>+MINVU_Mes_Corriente!FF26*SALUD_Mes_Constante!$FC$1</f>
        <v>13124470</v>
      </c>
      <c r="FG26" s="8">
        <f>+MINVU_Mes_Corriente!FG26*SALUD_Mes_Constante!$FC$1</f>
        <v>13124470</v>
      </c>
      <c r="FH26" s="8">
        <f>+MINVU_Mes_Corriente!FH26*SALUD_Mes_Constante!$FC$1</f>
        <v>13124470</v>
      </c>
      <c r="FI26" s="8">
        <f>+MINVU_Mes_Corriente!FI26*SALUD_Mes_Constante!$FC$1</f>
        <v>13124470</v>
      </c>
      <c r="FJ26" s="8"/>
      <c r="FK26" s="8"/>
      <c r="FL26" s="8"/>
      <c r="FM26" s="8"/>
      <c r="FN26" s="8"/>
      <c r="FO26" s="9">
        <f t="shared" si="12"/>
        <v>13124470</v>
      </c>
    </row>
    <row r="27" spans="2:171" ht="14.25" customHeight="1" x14ac:dyDescent="0.3">
      <c r="B27" s="7" t="s">
        <v>62</v>
      </c>
      <c r="C27" s="8">
        <f>+MINVU_Mes_Corriente!C27*SALUD_Mes_Constante!$C$1</f>
        <v>0</v>
      </c>
      <c r="D27" s="8">
        <f>+MINVU_Mes_Corriente!D27*SALUD_Mes_Constante!$C$1</f>
        <v>0</v>
      </c>
      <c r="E27" s="8">
        <f>+MINVU_Mes_Corriente!E27*SALUD_Mes_Constante!$C$1</f>
        <v>0</v>
      </c>
      <c r="F27" s="8">
        <f>+MINVU_Mes_Corriente!F27*SALUD_Mes_Constante!$C$1</f>
        <v>0</v>
      </c>
      <c r="G27" s="8">
        <f>+MINVU_Mes_Corriente!G27*SALUD_Mes_Constante!$C$1</f>
        <v>0</v>
      </c>
      <c r="H27" s="8">
        <f>+MINVU_Mes_Corriente!H27*SALUD_Mes_Constante!$C$1</f>
        <v>0</v>
      </c>
      <c r="I27" s="8">
        <f>+MINVU_Mes_Corriente!I27*SALUD_Mes_Constante!$C$1</f>
        <v>0</v>
      </c>
      <c r="J27" s="8">
        <f>+MINVU_Mes_Corriente!J27*SALUD_Mes_Constante!$C$1</f>
        <v>0</v>
      </c>
      <c r="K27" s="8">
        <f>+MINVU_Mes_Corriente!K27*SALUD_Mes_Constante!$C$1</f>
        <v>0</v>
      </c>
      <c r="L27" s="8">
        <f>+MINVU_Mes_Corriente!L27*SALUD_Mes_Constante!$C$1</f>
        <v>0</v>
      </c>
      <c r="M27" s="8">
        <f>+MINVU_Mes_Corriente!M27*SALUD_Mes_Constante!$C$1</f>
        <v>0</v>
      </c>
      <c r="N27" s="8">
        <f>+MINVU_Mes_Corriente!N27*SALUD_Mes_Constante!$C$1</f>
        <v>0</v>
      </c>
      <c r="O27" s="9">
        <f t="shared" si="0"/>
        <v>0</v>
      </c>
      <c r="P27" s="8">
        <f>+MINVU_Mes_Corriente!P27*SALUD_Mes_Constante!$P$1</f>
        <v>0</v>
      </c>
      <c r="Q27" s="8">
        <f>+MINVU_Mes_Corriente!Q27*SALUD_Mes_Constante!$P$1</f>
        <v>0</v>
      </c>
      <c r="R27" s="8">
        <f>+MINVU_Mes_Corriente!R27*SALUD_Mes_Constante!$P$1</f>
        <v>0</v>
      </c>
      <c r="S27" s="8">
        <f>+MINVU_Mes_Corriente!S27*SALUD_Mes_Constante!$P$1</f>
        <v>0</v>
      </c>
      <c r="T27" s="8">
        <f>+MINVU_Mes_Corriente!T27*SALUD_Mes_Constante!$P$1</f>
        <v>0</v>
      </c>
      <c r="U27" s="8">
        <f>+MINVU_Mes_Corriente!U27*SALUD_Mes_Constante!$P$1</f>
        <v>0</v>
      </c>
      <c r="V27" s="8">
        <f>+MINVU_Mes_Corriente!V27*SALUD_Mes_Constante!$P$1</f>
        <v>0</v>
      </c>
      <c r="W27" s="8">
        <f>+MINVU_Mes_Corriente!W27*SALUD_Mes_Constante!$P$1</f>
        <v>0</v>
      </c>
      <c r="X27" s="8">
        <f>+MINVU_Mes_Corriente!X27*SALUD_Mes_Constante!$P$1</f>
        <v>0</v>
      </c>
      <c r="Y27" s="8">
        <f>+MINVU_Mes_Corriente!Y27*SALUD_Mes_Constante!$P$1</f>
        <v>0</v>
      </c>
      <c r="Z27" s="8">
        <f>+MINVU_Mes_Corriente!Z27*SALUD_Mes_Constante!$P$1</f>
        <v>0</v>
      </c>
      <c r="AA27" s="8">
        <f>+MINVU_Mes_Corriente!AA27*SALUD_Mes_Constante!$P$1</f>
        <v>0</v>
      </c>
      <c r="AB27" s="9">
        <f t="shared" si="1"/>
        <v>0</v>
      </c>
      <c r="AC27" s="8">
        <f>+MINVU_Mes_Corriente!AC27*SALUD_Mes_Constante!$AC$1</f>
        <v>0</v>
      </c>
      <c r="AD27" s="8">
        <f>+MINVU_Mes_Corriente!AD27*SALUD_Mes_Constante!$AC$1</f>
        <v>0</v>
      </c>
      <c r="AE27" s="8">
        <f>+MINVU_Mes_Corriente!AE27*SALUD_Mes_Constante!$AC$1</f>
        <v>0</v>
      </c>
      <c r="AF27" s="8">
        <f>+MINVU_Mes_Corriente!AF27*SALUD_Mes_Constante!$AC$1</f>
        <v>0</v>
      </c>
      <c r="AG27" s="8">
        <f>+MINVU_Mes_Corriente!AG27*SALUD_Mes_Constante!$AC$1</f>
        <v>0</v>
      </c>
      <c r="AH27" s="8">
        <f>+MINVU_Mes_Corriente!AH27*SALUD_Mes_Constante!$AC$1</f>
        <v>0</v>
      </c>
      <c r="AI27" s="8">
        <f>+MINVU_Mes_Corriente!AI27*SALUD_Mes_Constante!$AC$1</f>
        <v>0</v>
      </c>
      <c r="AJ27" s="8">
        <f>+MINVU_Mes_Corriente!AJ27*SALUD_Mes_Constante!$AC$1</f>
        <v>0</v>
      </c>
      <c r="AK27" s="8">
        <f>+MINVU_Mes_Corriente!AK27*SALUD_Mes_Constante!$AC$1</f>
        <v>0</v>
      </c>
      <c r="AL27" s="8">
        <f>+MINVU_Mes_Corriente!AL27*SALUD_Mes_Constante!$AC$1</f>
        <v>0</v>
      </c>
      <c r="AM27" s="8">
        <f>+MINVU_Mes_Corriente!AM27*SALUD_Mes_Constante!$AC$1</f>
        <v>0</v>
      </c>
      <c r="AN27" s="8">
        <f>+MINVU_Mes_Corriente!AN27*SALUD_Mes_Constante!$AC$1</f>
        <v>0</v>
      </c>
      <c r="AO27" s="9">
        <f t="shared" si="2"/>
        <v>0</v>
      </c>
      <c r="AP27" s="8">
        <f>+MINVU_Mes_Corriente!AP27*SALUD_Mes_Constante!$AP$1</f>
        <v>0</v>
      </c>
      <c r="AQ27" s="8">
        <f>+MINVU_Mes_Corriente!AQ27*SALUD_Mes_Constante!$AP$1</f>
        <v>0</v>
      </c>
      <c r="AR27" s="8">
        <f>+MINVU_Mes_Corriente!AR27*SALUD_Mes_Constante!$AP$1</f>
        <v>0</v>
      </c>
      <c r="AS27" s="8">
        <f>+MINVU_Mes_Corriente!AS27*SALUD_Mes_Constante!$AP$1</f>
        <v>0</v>
      </c>
      <c r="AT27" s="8">
        <f>+MINVU_Mes_Corriente!AT27*SALUD_Mes_Constante!$AP$1</f>
        <v>0</v>
      </c>
      <c r="AU27" s="8">
        <f>+MINVU_Mes_Corriente!AU27*SALUD_Mes_Constante!$AP$1</f>
        <v>0</v>
      </c>
      <c r="AV27" s="8">
        <f>+MINVU_Mes_Corriente!AV27*SALUD_Mes_Constante!$AP$1</f>
        <v>0</v>
      </c>
      <c r="AW27" s="8">
        <f>+MINVU_Mes_Corriente!AW27*SALUD_Mes_Constante!$AP$1</f>
        <v>0</v>
      </c>
      <c r="AX27" s="8">
        <f>+MINVU_Mes_Corriente!AX27*SALUD_Mes_Constante!$AP$1</f>
        <v>0</v>
      </c>
      <c r="AY27" s="8">
        <f>+MINVU_Mes_Corriente!AY27*SALUD_Mes_Constante!$AP$1</f>
        <v>0</v>
      </c>
      <c r="AZ27" s="8">
        <f>+MINVU_Mes_Corriente!AZ27*SALUD_Mes_Constante!$AP$1</f>
        <v>0</v>
      </c>
      <c r="BA27" s="8">
        <f>+MINVU_Mes_Corriente!BA27*SALUD_Mes_Constante!$AP$1</f>
        <v>0</v>
      </c>
      <c r="BB27" s="9">
        <f t="shared" si="3"/>
        <v>0</v>
      </c>
      <c r="BC27" s="8">
        <f>+MINVU_Mes_Corriente!BC27*SALUD_Mes_Constante!$BC$1</f>
        <v>0</v>
      </c>
      <c r="BD27" s="8">
        <f>+MINVU_Mes_Corriente!BD27*SALUD_Mes_Constante!$BC$1</f>
        <v>0</v>
      </c>
      <c r="BE27" s="8">
        <f>+MINVU_Mes_Corriente!BE27*SALUD_Mes_Constante!$BC$1</f>
        <v>0</v>
      </c>
      <c r="BF27" s="8">
        <f>+MINVU_Mes_Corriente!BF27*SALUD_Mes_Constante!$BC$1</f>
        <v>0</v>
      </c>
      <c r="BG27" s="8">
        <f>+MINVU_Mes_Corriente!BG27*SALUD_Mes_Constante!$BC$1</f>
        <v>0</v>
      </c>
      <c r="BH27" s="8">
        <f>+MINVU_Mes_Corriente!BH27*SALUD_Mes_Constante!$BC$1</f>
        <v>0</v>
      </c>
      <c r="BI27" s="8">
        <f>+MINVU_Mes_Corriente!BI27*SALUD_Mes_Constante!$BC$1</f>
        <v>0</v>
      </c>
      <c r="BJ27" s="8">
        <f>+MINVU_Mes_Corriente!BJ27*SALUD_Mes_Constante!$BC$1</f>
        <v>0</v>
      </c>
      <c r="BK27" s="8">
        <f>+MINVU_Mes_Corriente!BK27*SALUD_Mes_Constante!$BC$1</f>
        <v>0</v>
      </c>
      <c r="BL27" s="8">
        <f>+MINVU_Mes_Corriente!BL27*SALUD_Mes_Constante!$BC$1</f>
        <v>0</v>
      </c>
      <c r="BM27" s="8">
        <f>+MINVU_Mes_Corriente!BM27*SALUD_Mes_Constante!$BC$1</f>
        <v>0</v>
      </c>
      <c r="BN27" s="8">
        <f>+MINVU_Mes_Corriente!BN27*SALUD_Mes_Constante!$BC$1</f>
        <v>0</v>
      </c>
      <c r="BO27" s="9">
        <f t="shared" si="4"/>
        <v>0</v>
      </c>
      <c r="BP27" s="8">
        <f>+MINVU_Mes_Corriente!BP27*SALUD_Mes_Constante!$BP$1</f>
        <v>0</v>
      </c>
      <c r="BQ27" s="8">
        <f>+MINVU_Mes_Corriente!BQ27*SALUD_Mes_Constante!$BP$1</f>
        <v>0</v>
      </c>
      <c r="BR27" s="8">
        <f>+MINVU_Mes_Corriente!BR27*SALUD_Mes_Constante!$BP$1</f>
        <v>0</v>
      </c>
      <c r="BS27" s="8">
        <f>+MINVU_Mes_Corriente!BS27*SALUD_Mes_Constante!$BP$1</f>
        <v>0</v>
      </c>
      <c r="BT27" s="8">
        <f>+MINVU_Mes_Corriente!BT27*SALUD_Mes_Constante!$BP$1</f>
        <v>0</v>
      </c>
      <c r="BU27" s="8">
        <f>+MINVU_Mes_Corriente!BU27*SALUD_Mes_Constante!$BP$1</f>
        <v>0</v>
      </c>
      <c r="BV27" s="8">
        <f>+MINVU_Mes_Corriente!BV27*SALUD_Mes_Constante!$BP$1</f>
        <v>0</v>
      </c>
      <c r="BW27" s="8">
        <f>+MINVU_Mes_Corriente!BW27*SALUD_Mes_Constante!$BP$1</f>
        <v>0</v>
      </c>
      <c r="BX27" s="8">
        <f>+MINVU_Mes_Corriente!BX27*SALUD_Mes_Constante!$BP$1</f>
        <v>0</v>
      </c>
      <c r="BY27" s="8">
        <f>+MINVU_Mes_Corriente!BY27*SALUD_Mes_Constante!$BP$1</f>
        <v>0</v>
      </c>
      <c r="BZ27" s="8">
        <f>+MINVU_Mes_Corriente!BZ27*SALUD_Mes_Constante!$BP$1</f>
        <v>0</v>
      </c>
      <c r="CA27" s="8">
        <f>+MINVU_Mes_Corriente!CA27*SALUD_Mes_Constante!$BP$1</f>
        <v>0</v>
      </c>
      <c r="CB27" s="9">
        <f t="shared" si="5"/>
        <v>0</v>
      </c>
      <c r="CC27" s="8">
        <f>+MINVU_Mes_Corriente!CC27*SALUD_Mes_Constante!$CC$1</f>
        <v>0</v>
      </c>
      <c r="CD27" s="8">
        <f>+MINVU_Mes_Corriente!CD27*SALUD_Mes_Constante!$CC$1</f>
        <v>0</v>
      </c>
      <c r="CE27" s="8">
        <f>+MINVU_Mes_Corriente!CE27*SALUD_Mes_Constante!$CC$1</f>
        <v>0</v>
      </c>
      <c r="CF27" s="8">
        <f>+MINVU_Mes_Corriente!CF27*SALUD_Mes_Constante!$CC$1</f>
        <v>0</v>
      </c>
      <c r="CG27" s="8">
        <f>+MINVU_Mes_Corriente!CG27*SALUD_Mes_Constante!$CC$1</f>
        <v>0</v>
      </c>
      <c r="CH27" s="8">
        <f>+MINVU_Mes_Corriente!CH27*SALUD_Mes_Constante!$CC$1</f>
        <v>0</v>
      </c>
      <c r="CI27" s="8">
        <f>+MINVU_Mes_Corriente!CI27*SALUD_Mes_Constante!$CC$1</f>
        <v>0</v>
      </c>
      <c r="CJ27" s="8">
        <f>+MINVU_Mes_Corriente!CJ27*SALUD_Mes_Constante!$CC$1</f>
        <v>0</v>
      </c>
      <c r="CK27" s="8">
        <f>+MINVU_Mes_Corriente!CK27*SALUD_Mes_Constante!$CC$1</f>
        <v>0</v>
      </c>
      <c r="CL27" s="8">
        <f>+MINVU_Mes_Corriente!CL27*SALUD_Mes_Constante!$CC$1</f>
        <v>0</v>
      </c>
      <c r="CM27" s="8">
        <f>+MINVU_Mes_Corriente!CM27*SALUD_Mes_Constante!$CC$1</f>
        <v>0</v>
      </c>
      <c r="CN27" s="8">
        <f>+MINVU_Mes_Corriente!CN27*SALUD_Mes_Constante!$CC$1</f>
        <v>0</v>
      </c>
      <c r="CO27" s="9">
        <f t="shared" si="6"/>
        <v>0</v>
      </c>
      <c r="CP27" s="8">
        <f>+MINVU_Mes_Corriente!CP27*SALUD_Mes_Constante!$CP$1</f>
        <v>0</v>
      </c>
      <c r="CQ27" s="8">
        <f>+MINVU_Mes_Corriente!CQ27*SALUD_Mes_Constante!$CP$1</f>
        <v>0</v>
      </c>
      <c r="CR27" s="8">
        <f>+MINVU_Mes_Corriente!CR27*SALUD_Mes_Constante!$CP$1</f>
        <v>0</v>
      </c>
      <c r="CS27" s="8">
        <f>+MINVU_Mes_Corriente!CS27*SALUD_Mes_Constante!$CP$1</f>
        <v>0</v>
      </c>
      <c r="CT27" s="8">
        <f>+MINVU_Mes_Corriente!CT27*SALUD_Mes_Constante!$CP$1</f>
        <v>0</v>
      </c>
      <c r="CU27" s="8">
        <f>+MINVU_Mes_Corriente!CU27*SALUD_Mes_Constante!$CP$1</f>
        <v>0</v>
      </c>
      <c r="CV27" s="8">
        <f>+MINVU_Mes_Corriente!CV27*SALUD_Mes_Constante!$CP$1</f>
        <v>0</v>
      </c>
      <c r="CW27" s="8">
        <f>+MINVU_Mes_Corriente!CW27*SALUD_Mes_Constante!$CP$1</f>
        <v>0</v>
      </c>
      <c r="CX27" s="8">
        <f>+MINVU_Mes_Corriente!CX27*SALUD_Mes_Constante!$CP$1</f>
        <v>0</v>
      </c>
      <c r="CY27" s="8">
        <f>+MINVU_Mes_Corriente!CY27*SALUD_Mes_Constante!$CP$1</f>
        <v>0</v>
      </c>
      <c r="CZ27" s="8">
        <f>+MINVU_Mes_Corriente!CZ27*SALUD_Mes_Constante!$CP$1</f>
        <v>0</v>
      </c>
      <c r="DA27" s="8">
        <f>+MINVU_Mes_Corriente!DA27*SALUD_Mes_Constante!$CP$1</f>
        <v>0</v>
      </c>
      <c r="DB27" s="9">
        <f t="shared" si="7"/>
        <v>0</v>
      </c>
      <c r="DC27" s="8">
        <f>+MINVU_Mes_Corriente!DC27*SALUD_Mes_Constante!$DC$1</f>
        <v>0</v>
      </c>
      <c r="DD27" s="8">
        <f>+MINVU_Mes_Corriente!DD27*SALUD_Mes_Constante!$DC$1</f>
        <v>0</v>
      </c>
      <c r="DE27" s="8">
        <f>+MINVU_Mes_Corriente!DE27*SALUD_Mes_Constante!$DC$1</f>
        <v>0</v>
      </c>
      <c r="DF27" s="8">
        <f>+MINVU_Mes_Corriente!DF27*SALUD_Mes_Constante!$DC$1</f>
        <v>0</v>
      </c>
      <c r="DG27" s="8">
        <f>+MINVU_Mes_Corriente!DG27*SALUD_Mes_Constante!$DC$1</f>
        <v>0</v>
      </c>
      <c r="DH27" s="8">
        <f>+MINVU_Mes_Corriente!DH27*SALUD_Mes_Constante!$DC$1</f>
        <v>0</v>
      </c>
      <c r="DI27" s="8">
        <f>+MINVU_Mes_Corriente!DI27*SALUD_Mes_Constante!$DC$1</f>
        <v>0</v>
      </c>
      <c r="DJ27" s="8">
        <f>+MINVU_Mes_Corriente!DJ27*SALUD_Mes_Constante!$DC$1</f>
        <v>0</v>
      </c>
      <c r="DK27" s="8">
        <f>+MINVU_Mes_Corriente!DK27*SALUD_Mes_Constante!$DC$1</f>
        <v>0</v>
      </c>
      <c r="DL27" s="8">
        <f>+MINVU_Mes_Corriente!DL27*SALUD_Mes_Constante!$DC$1</f>
        <v>0</v>
      </c>
      <c r="DM27" s="8">
        <f>+MINVU_Mes_Corriente!DM27*SALUD_Mes_Constante!$DC$1</f>
        <v>0</v>
      </c>
      <c r="DN27" s="8">
        <f>+MINVU_Mes_Corriente!DN27*SALUD_Mes_Constante!$DC$1</f>
        <v>0</v>
      </c>
      <c r="DO27" s="9">
        <f t="shared" si="8"/>
        <v>0</v>
      </c>
      <c r="DP27" s="8">
        <f>+MINVU_Mes_Corriente!DP27*SALUD_Mes_Constante!$DP$1</f>
        <v>0</v>
      </c>
      <c r="DQ27" s="8">
        <f>+MINVU_Mes_Corriente!DQ27*SALUD_Mes_Constante!$DP$1</f>
        <v>0</v>
      </c>
      <c r="DR27" s="8">
        <f>+MINVU_Mes_Corriente!DR27*SALUD_Mes_Constante!$DP$1</f>
        <v>0</v>
      </c>
      <c r="DS27" s="8">
        <f>+MINVU_Mes_Corriente!DS27*SALUD_Mes_Constante!$DP$1</f>
        <v>0</v>
      </c>
      <c r="DT27" s="8">
        <f>+MINVU_Mes_Corriente!DT27*SALUD_Mes_Constante!$DP$1</f>
        <v>0</v>
      </c>
      <c r="DU27" s="8">
        <f>+MINVU_Mes_Corriente!DU27*SALUD_Mes_Constante!$DP$1</f>
        <v>0</v>
      </c>
      <c r="DV27" s="8">
        <f>+MINVU_Mes_Corriente!DV27*SALUD_Mes_Constante!$DP$1</f>
        <v>0</v>
      </c>
      <c r="DW27" s="8">
        <f>+MINVU_Mes_Corriente!DW27*SALUD_Mes_Constante!$DP$1</f>
        <v>0</v>
      </c>
      <c r="DX27" s="8">
        <f>+MINVU_Mes_Corriente!DX27*SALUD_Mes_Constante!$DP$1</f>
        <v>0</v>
      </c>
      <c r="DY27" s="8">
        <f>+MINVU_Mes_Corriente!DY27*SALUD_Mes_Constante!$DP$1</f>
        <v>0</v>
      </c>
      <c r="DZ27" s="8">
        <f>+MINVU_Mes_Corriente!DZ27*SALUD_Mes_Constante!$DP$1</f>
        <v>0</v>
      </c>
      <c r="EA27" s="8">
        <f>+MINVU_Mes_Corriente!EA27*SALUD_Mes_Constante!$DP$1</f>
        <v>0</v>
      </c>
      <c r="EB27" s="9">
        <f t="shared" si="9"/>
        <v>0</v>
      </c>
      <c r="EC27" s="8">
        <f>+MINVU_Mes_Corriente!EC27*SALUD_Mes_Constante!$EC$1</f>
        <v>0</v>
      </c>
      <c r="ED27" s="8">
        <f>+MINVU_Mes_Corriente!ED27*SALUD_Mes_Constante!$EC$1</f>
        <v>0</v>
      </c>
      <c r="EE27" s="8">
        <f>+MINVU_Mes_Corriente!EE27*SALUD_Mes_Constante!$EC$1</f>
        <v>0</v>
      </c>
      <c r="EF27" s="8">
        <f>+MINVU_Mes_Corriente!EF27*SALUD_Mes_Constante!$EC$1</f>
        <v>0</v>
      </c>
      <c r="EG27" s="8">
        <f>+MINVU_Mes_Corriente!EG27*SALUD_Mes_Constante!$EC$1</f>
        <v>0</v>
      </c>
      <c r="EH27" s="8">
        <f>+MINVU_Mes_Corriente!EH27*SALUD_Mes_Constante!$EC$1</f>
        <v>0</v>
      </c>
      <c r="EI27" s="8">
        <f>+MINVU_Mes_Corriente!EI27*SALUD_Mes_Constante!$EC$1</f>
        <v>0</v>
      </c>
      <c r="EJ27" s="8">
        <f>+MINVU_Mes_Corriente!EJ27*SALUD_Mes_Constante!$EC$1</f>
        <v>0</v>
      </c>
      <c r="EK27" s="8">
        <f>+MINVU_Mes_Corriente!EK27*SALUD_Mes_Constante!$EC$1</f>
        <v>0</v>
      </c>
      <c r="EL27" s="8">
        <f>+MINVU_Mes_Corriente!EL27*SALUD_Mes_Constante!$EC$1</f>
        <v>0</v>
      </c>
      <c r="EM27" s="8">
        <f>+MINVU_Mes_Corriente!EM27*SALUD_Mes_Constante!$EC$1</f>
        <v>0</v>
      </c>
      <c r="EN27" s="8">
        <f>+MINVU_Mes_Corriente!EN27*SALUD_Mes_Constante!$EC$1</f>
        <v>0</v>
      </c>
      <c r="EO27" s="9">
        <f t="shared" si="10"/>
        <v>0</v>
      </c>
      <c r="EP27" s="8">
        <f>+MINVU_Mes_Corriente!EP27*SALUD_Mes_Constante!$EP$1</f>
        <v>0</v>
      </c>
      <c r="EQ27" s="8">
        <f>+MINVU_Mes_Corriente!EQ27*SALUD_Mes_Constante!$EP$1</f>
        <v>0</v>
      </c>
      <c r="ER27" s="8">
        <f>+MINVU_Mes_Corriente!ER27*SALUD_Mes_Constante!$EP$1</f>
        <v>0</v>
      </c>
      <c r="ES27" s="8">
        <f>+MINVU_Mes_Corriente!ES27*SALUD_Mes_Constante!$EP$1</f>
        <v>0</v>
      </c>
      <c r="ET27" s="8">
        <f>+MINVU_Mes_Corriente!ET27*SALUD_Mes_Constante!$EP$1</f>
        <v>0</v>
      </c>
      <c r="EU27" s="8">
        <f>+MINVU_Mes_Corriente!EU27*SALUD_Mes_Constante!$EP$1</f>
        <v>0</v>
      </c>
      <c r="EV27" s="8">
        <f>+MINVU_Mes_Corriente!EV27*SALUD_Mes_Constante!$EP$1</f>
        <v>0</v>
      </c>
      <c r="EW27" s="8">
        <f>+MINVU_Mes_Corriente!EW27*SALUD_Mes_Constante!$EP$1</f>
        <v>0</v>
      </c>
      <c r="EX27" s="8">
        <f>+MINVU_Mes_Corriente!EX27*SALUD_Mes_Constante!$EP$1</f>
        <v>0</v>
      </c>
      <c r="EY27" s="8">
        <f>+MINVU_Mes_Corriente!EY27*SALUD_Mes_Constante!$EP$1</f>
        <v>0</v>
      </c>
      <c r="EZ27" s="8">
        <f>+MINVU_Mes_Corriente!EZ27*SALUD_Mes_Constante!$EP$1</f>
        <v>0</v>
      </c>
      <c r="FA27" s="8">
        <f>+MINVU_Mes_Corriente!FA27*SALUD_Mes_Constante!$EP$1</f>
        <v>0</v>
      </c>
      <c r="FB27" s="9">
        <f t="shared" si="11"/>
        <v>0</v>
      </c>
      <c r="FC27" s="8">
        <f>+MINVU_Mes_Corriente!FC27*SALUD_Mes_Constante!$FC$1</f>
        <v>12054052</v>
      </c>
      <c r="FD27" s="8">
        <f>+MINVU_Mes_Corriente!FD27*SALUD_Mes_Constante!$FC$1</f>
        <v>12054052</v>
      </c>
      <c r="FE27" s="8">
        <f>+MINVU_Mes_Corriente!FE27*SALUD_Mes_Constante!$FC$1</f>
        <v>12054052</v>
      </c>
      <c r="FF27" s="8">
        <f>+MINVU_Mes_Corriente!FF27*SALUD_Mes_Constante!$FC$1</f>
        <v>12054052</v>
      </c>
      <c r="FG27" s="8">
        <f>+MINVU_Mes_Corriente!FG27*SALUD_Mes_Constante!$FC$1</f>
        <v>12054052</v>
      </c>
      <c r="FH27" s="8">
        <f>+MINVU_Mes_Corriente!FH27*SALUD_Mes_Constante!$FC$1</f>
        <v>12054052</v>
      </c>
      <c r="FI27" s="8">
        <f>+MINVU_Mes_Corriente!FI27*SALUD_Mes_Constante!$FC$1</f>
        <v>12054052</v>
      </c>
      <c r="FJ27" s="8"/>
      <c r="FK27" s="8"/>
      <c r="FL27" s="8"/>
      <c r="FM27" s="8"/>
      <c r="FN27" s="8"/>
      <c r="FO27" s="9">
        <f t="shared" si="12"/>
        <v>12054052</v>
      </c>
    </row>
    <row r="28" spans="2:171" ht="14.25" customHeight="1" x14ac:dyDescent="0.3">
      <c r="B28" s="7" t="s">
        <v>63</v>
      </c>
      <c r="C28" s="8">
        <f>+MINVU_Mes_Corriente!C28*SALUD_Mes_Constante!$C$1</f>
        <v>0</v>
      </c>
      <c r="D28" s="8">
        <f>+MINVU_Mes_Corriente!D28*SALUD_Mes_Constante!$C$1</f>
        <v>0</v>
      </c>
      <c r="E28" s="8">
        <f>+MINVU_Mes_Corriente!E28*SALUD_Mes_Constante!$C$1</f>
        <v>0</v>
      </c>
      <c r="F28" s="8">
        <f>+MINVU_Mes_Corriente!F28*SALUD_Mes_Constante!$C$1</f>
        <v>0</v>
      </c>
      <c r="G28" s="8">
        <f>+MINVU_Mes_Corriente!G28*SALUD_Mes_Constante!$C$1</f>
        <v>0</v>
      </c>
      <c r="H28" s="8">
        <f>+MINVU_Mes_Corriente!H28*SALUD_Mes_Constante!$C$1</f>
        <v>0</v>
      </c>
      <c r="I28" s="8">
        <f>+MINVU_Mes_Corriente!I28*SALUD_Mes_Constante!$C$1</f>
        <v>0</v>
      </c>
      <c r="J28" s="8">
        <f>+MINVU_Mes_Corriente!J28*SALUD_Mes_Constante!$C$1</f>
        <v>0</v>
      </c>
      <c r="K28" s="8">
        <f>+MINVU_Mes_Corriente!K28*SALUD_Mes_Constante!$C$1</f>
        <v>0</v>
      </c>
      <c r="L28" s="8">
        <f>+MINVU_Mes_Corriente!L28*SALUD_Mes_Constante!$C$1</f>
        <v>0</v>
      </c>
      <c r="M28" s="8">
        <f>+MINVU_Mes_Corriente!M28*SALUD_Mes_Constante!$C$1</f>
        <v>0</v>
      </c>
      <c r="N28" s="8">
        <f>+MINVU_Mes_Corriente!N28*SALUD_Mes_Constante!$C$1</f>
        <v>0</v>
      </c>
      <c r="O28" s="9">
        <f t="shared" si="0"/>
        <v>0</v>
      </c>
      <c r="P28" s="8">
        <f>+MINVU_Mes_Corriente!P28*SALUD_Mes_Constante!$P$1</f>
        <v>0</v>
      </c>
      <c r="Q28" s="8">
        <f>+MINVU_Mes_Corriente!Q28*SALUD_Mes_Constante!$P$1</f>
        <v>0</v>
      </c>
      <c r="R28" s="8">
        <f>+MINVU_Mes_Corriente!R28*SALUD_Mes_Constante!$P$1</f>
        <v>0</v>
      </c>
      <c r="S28" s="8">
        <f>+MINVU_Mes_Corriente!S28*SALUD_Mes_Constante!$P$1</f>
        <v>0</v>
      </c>
      <c r="T28" s="8">
        <f>+MINVU_Mes_Corriente!T28*SALUD_Mes_Constante!$P$1</f>
        <v>0</v>
      </c>
      <c r="U28" s="8">
        <f>+MINVU_Mes_Corriente!U28*SALUD_Mes_Constante!$P$1</f>
        <v>0</v>
      </c>
      <c r="V28" s="8">
        <f>+MINVU_Mes_Corriente!V28*SALUD_Mes_Constante!$P$1</f>
        <v>0</v>
      </c>
      <c r="W28" s="8">
        <f>+MINVU_Mes_Corriente!W28*SALUD_Mes_Constante!$P$1</f>
        <v>0</v>
      </c>
      <c r="X28" s="8">
        <f>+MINVU_Mes_Corriente!X28*SALUD_Mes_Constante!$P$1</f>
        <v>0</v>
      </c>
      <c r="Y28" s="8">
        <f>+MINVU_Mes_Corriente!Y28*SALUD_Mes_Constante!$P$1</f>
        <v>0</v>
      </c>
      <c r="Z28" s="8">
        <f>+MINVU_Mes_Corriente!Z28*SALUD_Mes_Constante!$P$1</f>
        <v>0</v>
      </c>
      <c r="AA28" s="8">
        <f>+MINVU_Mes_Corriente!AA28*SALUD_Mes_Constante!$P$1</f>
        <v>0</v>
      </c>
      <c r="AB28" s="9">
        <f t="shared" si="1"/>
        <v>0</v>
      </c>
      <c r="AC28" s="8">
        <f>+MINVU_Mes_Corriente!AC28*SALUD_Mes_Constante!$AC$1</f>
        <v>0</v>
      </c>
      <c r="AD28" s="8">
        <f>+MINVU_Mes_Corriente!AD28*SALUD_Mes_Constante!$AC$1</f>
        <v>0</v>
      </c>
      <c r="AE28" s="8">
        <f>+MINVU_Mes_Corriente!AE28*SALUD_Mes_Constante!$AC$1</f>
        <v>0</v>
      </c>
      <c r="AF28" s="8">
        <f>+MINVU_Mes_Corriente!AF28*SALUD_Mes_Constante!$AC$1</f>
        <v>0</v>
      </c>
      <c r="AG28" s="8">
        <f>+MINVU_Mes_Corriente!AG28*SALUD_Mes_Constante!$AC$1</f>
        <v>0</v>
      </c>
      <c r="AH28" s="8">
        <f>+MINVU_Mes_Corriente!AH28*SALUD_Mes_Constante!$AC$1</f>
        <v>0</v>
      </c>
      <c r="AI28" s="8">
        <f>+MINVU_Mes_Corriente!AI28*SALUD_Mes_Constante!$AC$1</f>
        <v>0</v>
      </c>
      <c r="AJ28" s="8">
        <f>+MINVU_Mes_Corriente!AJ28*SALUD_Mes_Constante!$AC$1</f>
        <v>0</v>
      </c>
      <c r="AK28" s="8">
        <f>+MINVU_Mes_Corriente!AK28*SALUD_Mes_Constante!$AC$1</f>
        <v>0</v>
      </c>
      <c r="AL28" s="8">
        <f>+MINVU_Mes_Corriente!AL28*SALUD_Mes_Constante!$AC$1</f>
        <v>0</v>
      </c>
      <c r="AM28" s="8">
        <f>+MINVU_Mes_Corriente!AM28*SALUD_Mes_Constante!$AC$1</f>
        <v>0</v>
      </c>
      <c r="AN28" s="8">
        <f>+MINVU_Mes_Corriente!AN28*SALUD_Mes_Constante!$AC$1</f>
        <v>0</v>
      </c>
      <c r="AO28" s="9">
        <f t="shared" si="2"/>
        <v>0</v>
      </c>
      <c r="AP28" s="8">
        <f>+MINVU_Mes_Corriente!AP28*SALUD_Mes_Constante!$AP$1</f>
        <v>0</v>
      </c>
      <c r="AQ28" s="8">
        <f>+MINVU_Mes_Corriente!AQ28*SALUD_Mes_Constante!$AP$1</f>
        <v>0</v>
      </c>
      <c r="AR28" s="8">
        <f>+MINVU_Mes_Corriente!AR28*SALUD_Mes_Constante!$AP$1</f>
        <v>0</v>
      </c>
      <c r="AS28" s="8">
        <f>+MINVU_Mes_Corriente!AS28*SALUD_Mes_Constante!$AP$1</f>
        <v>0</v>
      </c>
      <c r="AT28" s="8">
        <f>+MINVU_Mes_Corriente!AT28*SALUD_Mes_Constante!$AP$1</f>
        <v>0</v>
      </c>
      <c r="AU28" s="8">
        <f>+MINVU_Mes_Corriente!AU28*SALUD_Mes_Constante!$AP$1</f>
        <v>0</v>
      </c>
      <c r="AV28" s="8">
        <f>+MINVU_Mes_Corriente!AV28*SALUD_Mes_Constante!$AP$1</f>
        <v>0</v>
      </c>
      <c r="AW28" s="8">
        <f>+MINVU_Mes_Corriente!AW28*SALUD_Mes_Constante!$AP$1</f>
        <v>0</v>
      </c>
      <c r="AX28" s="8">
        <f>+MINVU_Mes_Corriente!AX28*SALUD_Mes_Constante!$AP$1</f>
        <v>0</v>
      </c>
      <c r="AY28" s="8">
        <f>+MINVU_Mes_Corriente!AY28*SALUD_Mes_Constante!$AP$1</f>
        <v>0</v>
      </c>
      <c r="AZ28" s="8">
        <f>+MINVU_Mes_Corriente!AZ28*SALUD_Mes_Constante!$AP$1</f>
        <v>0</v>
      </c>
      <c r="BA28" s="8">
        <f>+MINVU_Mes_Corriente!BA28*SALUD_Mes_Constante!$AP$1</f>
        <v>0</v>
      </c>
      <c r="BB28" s="9">
        <f t="shared" si="3"/>
        <v>0</v>
      </c>
      <c r="BC28" s="8">
        <f>+MINVU_Mes_Corriente!BC28*SALUD_Mes_Constante!$BC$1</f>
        <v>0</v>
      </c>
      <c r="BD28" s="8">
        <f>+MINVU_Mes_Corriente!BD28*SALUD_Mes_Constante!$BC$1</f>
        <v>0</v>
      </c>
      <c r="BE28" s="8">
        <f>+MINVU_Mes_Corriente!BE28*SALUD_Mes_Constante!$BC$1</f>
        <v>0</v>
      </c>
      <c r="BF28" s="8">
        <f>+MINVU_Mes_Corriente!BF28*SALUD_Mes_Constante!$BC$1</f>
        <v>0</v>
      </c>
      <c r="BG28" s="8">
        <f>+MINVU_Mes_Corriente!BG28*SALUD_Mes_Constante!$BC$1</f>
        <v>0</v>
      </c>
      <c r="BH28" s="8">
        <f>+MINVU_Mes_Corriente!BH28*SALUD_Mes_Constante!$BC$1</f>
        <v>0</v>
      </c>
      <c r="BI28" s="8">
        <f>+MINVU_Mes_Corriente!BI28*SALUD_Mes_Constante!$BC$1</f>
        <v>0</v>
      </c>
      <c r="BJ28" s="8">
        <f>+MINVU_Mes_Corriente!BJ28*SALUD_Mes_Constante!$BC$1</f>
        <v>0</v>
      </c>
      <c r="BK28" s="8">
        <f>+MINVU_Mes_Corriente!BK28*SALUD_Mes_Constante!$BC$1</f>
        <v>0</v>
      </c>
      <c r="BL28" s="8">
        <f>+MINVU_Mes_Corriente!BL28*SALUD_Mes_Constante!$BC$1</f>
        <v>0</v>
      </c>
      <c r="BM28" s="8">
        <f>+MINVU_Mes_Corriente!BM28*SALUD_Mes_Constante!$BC$1</f>
        <v>0</v>
      </c>
      <c r="BN28" s="8">
        <f>+MINVU_Mes_Corriente!BN28*SALUD_Mes_Constante!$BC$1</f>
        <v>0</v>
      </c>
      <c r="BO28" s="9">
        <f t="shared" si="4"/>
        <v>0</v>
      </c>
      <c r="BP28" s="8">
        <f>+MINVU_Mes_Corriente!BP28*SALUD_Mes_Constante!$BP$1</f>
        <v>0</v>
      </c>
      <c r="BQ28" s="8">
        <f>+MINVU_Mes_Corriente!BQ28*SALUD_Mes_Constante!$BP$1</f>
        <v>0</v>
      </c>
      <c r="BR28" s="8">
        <f>+MINVU_Mes_Corriente!BR28*SALUD_Mes_Constante!$BP$1</f>
        <v>0</v>
      </c>
      <c r="BS28" s="8">
        <f>+MINVU_Mes_Corriente!BS28*SALUD_Mes_Constante!$BP$1</f>
        <v>0</v>
      </c>
      <c r="BT28" s="8">
        <f>+MINVU_Mes_Corriente!BT28*SALUD_Mes_Constante!$BP$1</f>
        <v>0</v>
      </c>
      <c r="BU28" s="8">
        <f>+MINVU_Mes_Corriente!BU28*SALUD_Mes_Constante!$BP$1</f>
        <v>0</v>
      </c>
      <c r="BV28" s="8">
        <f>+MINVU_Mes_Corriente!BV28*SALUD_Mes_Constante!$BP$1</f>
        <v>0</v>
      </c>
      <c r="BW28" s="8">
        <f>+MINVU_Mes_Corriente!BW28*SALUD_Mes_Constante!$BP$1</f>
        <v>0</v>
      </c>
      <c r="BX28" s="8">
        <f>+MINVU_Mes_Corriente!BX28*SALUD_Mes_Constante!$BP$1</f>
        <v>0</v>
      </c>
      <c r="BY28" s="8">
        <f>+MINVU_Mes_Corriente!BY28*SALUD_Mes_Constante!$BP$1</f>
        <v>0</v>
      </c>
      <c r="BZ28" s="8">
        <f>+MINVU_Mes_Corriente!BZ28*SALUD_Mes_Constante!$BP$1</f>
        <v>0</v>
      </c>
      <c r="CA28" s="8">
        <f>+MINVU_Mes_Corriente!CA28*SALUD_Mes_Constante!$BP$1</f>
        <v>0</v>
      </c>
      <c r="CB28" s="9">
        <f t="shared" si="5"/>
        <v>0</v>
      </c>
      <c r="CC28" s="8">
        <f>+MINVU_Mes_Corriente!CC28*SALUD_Mes_Constante!$CC$1</f>
        <v>0</v>
      </c>
      <c r="CD28" s="8">
        <f>+MINVU_Mes_Corriente!CD28*SALUD_Mes_Constante!$CC$1</f>
        <v>0</v>
      </c>
      <c r="CE28" s="8">
        <f>+MINVU_Mes_Corriente!CE28*SALUD_Mes_Constante!$CC$1</f>
        <v>0</v>
      </c>
      <c r="CF28" s="8">
        <f>+MINVU_Mes_Corriente!CF28*SALUD_Mes_Constante!$CC$1</f>
        <v>0</v>
      </c>
      <c r="CG28" s="8">
        <f>+MINVU_Mes_Corriente!CG28*SALUD_Mes_Constante!$CC$1</f>
        <v>0</v>
      </c>
      <c r="CH28" s="8">
        <f>+MINVU_Mes_Corriente!CH28*SALUD_Mes_Constante!$CC$1</f>
        <v>0</v>
      </c>
      <c r="CI28" s="8">
        <f>+MINVU_Mes_Corriente!CI28*SALUD_Mes_Constante!$CC$1</f>
        <v>0</v>
      </c>
      <c r="CJ28" s="8">
        <f>+MINVU_Mes_Corriente!CJ28*SALUD_Mes_Constante!$CC$1</f>
        <v>0</v>
      </c>
      <c r="CK28" s="8">
        <f>+MINVU_Mes_Corriente!CK28*SALUD_Mes_Constante!$CC$1</f>
        <v>0</v>
      </c>
      <c r="CL28" s="8">
        <f>+MINVU_Mes_Corriente!CL28*SALUD_Mes_Constante!$CC$1</f>
        <v>0</v>
      </c>
      <c r="CM28" s="8">
        <f>+MINVU_Mes_Corriente!CM28*SALUD_Mes_Constante!$CC$1</f>
        <v>0</v>
      </c>
      <c r="CN28" s="8">
        <f>+MINVU_Mes_Corriente!CN28*SALUD_Mes_Constante!$CC$1</f>
        <v>0</v>
      </c>
      <c r="CO28" s="9">
        <f t="shared" si="6"/>
        <v>0</v>
      </c>
      <c r="CP28" s="8">
        <f>+MINVU_Mes_Corriente!CP28*SALUD_Mes_Constante!$CP$1</f>
        <v>0</v>
      </c>
      <c r="CQ28" s="8">
        <f>+MINVU_Mes_Corriente!CQ28*SALUD_Mes_Constante!$CP$1</f>
        <v>0</v>
      </c>
      <c r="CR28" s="8">
        <f>+MINVU_Mes_Corriente!CR28*SALUD_Mes_Constante!$CP$1</f>
        <v>0</v>
      </c>
      <c r="CS28" s="8">
        <f>+MINVU_Mes_Corriente!CS28*SALUD_Mes_Constante!$CP$1</f>
        <v>0</v>
      </c>
      <c r="CT28" s="8">
        <f>+MINVU_Mes_Corriente!CT28*SALUD_Mes_Constante!$CP$1</f>
        <v>0</v>
      </c>
      <c r="CU28" s="8">
        <f>+MINVU_Mes_Corriente!CU28*SALUD_Mes_Constante!$CP$1</f>
        <v>0</v>
      </c>
      <c r="CV28" s="8">
        <f>+MINVU_Mes_Corriente!CV28*SALUD_Mes_Constante!$CP$1</f>
        <v>0</v>
      </c>
      <c r="CW28" s="8">
        <f>+MINVU_Mes_Corriente!CW28*SALUD_Mes_Constante!$CP$1</f>
        <v>0</v>
      </c>
      <c r="CX28" s="8">
        <f>+MINVU_Mes_Corriente!CX28*SALUD_Mes_Constante!$CP$1</f>
        <v>0</v>
      </c>
      <c r="CY28" s="8">
        <f>+MINVU_Mes_Corriente!CY28*SALUD_Mes_Constante!$CP$1</f>
        <v>0</v>
      </c>
      <c r="CZ28" s="8">
        <f>+MINVU_Mes_Corriente!CZ28*SALUD_Mes_Constante!$CP$1</f>
        <v>0</v>
      </c>
      <c r="DA28" s="8">
        <f>+MINVU_Mes_Corriente!DA28*SALUD_Mes_Constante!$CP$1</f>
        <v>0</v>
      </c>
      <c r="DB28" s="9">
        <f t="shared" si="7"/>
        <v>0</v>
      </c>
      <c r="DC28" s="8">
        <f>+MINVU_Mes_Corriente!DC28*SALUD_Mes_Constante!$DC$1</f>
        <v>0</v>
      </c>
      <c r="DD28" s="8">
        <f>+MINVU_Mes_Corriente!DD28*SALUD_Mes_Constante!$DC$1</f>
        <v>0</v>
      </c>
      <c r="DE28" s="8">
        <f>+MINVU_Mes_Corriente!DE28*SALUD_Mes_Constante!$DC$1</f>
        <v>0</v>
      </c>
      <c r="DF28" s="8">
        <f>+MINVU_Mes_Corriente!DF28*SALUD_Mes_Constante!$DC$1</f>
        <v>0</v>
      </c>
      <c r="DG28" s="8">
        <f>+MINVU_Mes_Corriente!DG28*SALUD_Mes_Constante!$DC$1</f>
        <v>0</v>
      </c>
      <c r="DH28" s="8">
        <f>+MINVU_Mes_Corriente!DH28*SALUD_Mes_Constante!$DC$1</f>
        <v>0</v>
      </c>
      <c r="DI28" s="8">
        <f>+MINVU_Mes_Corriente!DI28*SALUD_Mes_Constante!$DC$1</f>
        <v>0</v>
      </c>
      <c r="DJ28" s="8">
        <f>+MINVU_Mes_Corriente!DJ28*SALUD_Mes_Constante!$DC$1</f>
        <v>0</v>
      </c>
      <c r="DK28" s="8">
        <f>+MINVU_Mes_Corriente!DK28*SALUD_Mes_Constante!$DC$1</f>
        <v>0</v>
      </c>
      <c r="DL28" s="8">
        <f>+MINVU_Mes_Corriente!DL28*SALUD_Mes_Constante!$DC$1</f>
        <v>0</v>
      </c>
      <c r="DM28" s="8">
        <f>+MINVU_Mes_Corriente!DM28*SALUD_Mes_Constante!$DC$1</f>
        <v>0</v>
      </c>
      <c r="DN28" s="8">
        <f>+MINVU_Mes_Corriente!DN28*SALUD_Mes_Constante!$DC$1</f>
        <v>0</v>
      </c>
      <c r="DO28" s="9">
        <f t="shared" si="8"/>
        <v>0</v>
      </c>
      <c r="DP28" s="8">
        <f>+MINVU_Mes_Corriente!DP28*SALUD_Mes_Constante!$DP$1</f>
        <v>0</v>
      </c>
      <c r="DQ28" s="8">
        <f>+MINVU_Mes_Corriente!DQ28*SALUD_Mes_Constante!$DP$1</f>
        <v>0</v>
      </c>
      <c r="DR28" s="8">
        <f>+MINVU_Mes_Corriente!DR28*SALUD_Mes_Constante!$DP$1</f>
        <v>0</v>
      </c>
      <c r="DS28" s="8">
        <f>+MINVU_Mes_Corriente!DS28*SALUD_Mes_Constante!$DP$1</f>
        <v>0</v>
      </c>
      <c r="DT28" s="8">
        <f>+MINVU_Mes_Corriente!DT28*SALUD_Mes_Constante!$DP$1</f>
        <v>0</v>
      </c>
      <c r="DU28" s="8">
        <f>+MINVU_Mes_Corriente!DU28*SALUD_Mes_Constante!$DP$1</f>
        <v>0</v>
      </c>
      <c r="DV28" s="8">
        <f>+MINVU_Mes_Corriente!DV28*SALUD_Mes_Constante!$DP$1</f>
        <v>0</v>
      </c>
      <c r="DW28" s="8">
        <f>+MINVU_Mes_Corriente!DW28*SALUD_Mes_Constante!$DP$1</f>
        <v>0</v>
      </c>
      <c r="DX28" s="8">
        <f>+MINVU_Mes_Corriente!DX28*SALUD_Mes_Constante!$DP$1</f>
        <v>0</v>
      </c>
      <c r="DY28" s="8">
        <f>+MINVU_Mes_Corriente!DY28*SALUD_Mes_Constante!$DP$1</f>
        <v>0</v>
      </c>
      <c r="DZ28" s="8">
        <f>+MINVU_Mes_Corriente!DZ28*SALUD_Mes_Constante!$DP$1</f>
        <v>0</v>
      </c>
      <c r="EA28" s="8">
        <f>+MINVU_Mes_Corriente!EA28*SALUD_Mes_Constante!$DP$1</f>
        <v>0</v>
      </c>
      <c r="EB28" s="9">
        <f t="shared" si="9"/>
        <v>0</v>
      </c>
      <c r="EC28" s="8">
        <f>+MINVU_Mes_Corriente!EC28*SALUD_Mes_Constante!$EC$1</f>
        <v>0</v>
      </c>
      <c r="ED28" s="8">
        <f>+MINVU_Mes_Corriente!ED28*SALUD_Mes_Constante!$EC$1</f>
        <v>0</v>
      </c>
      <c r="EE28" s="8">
        <f>+MINVU_Mes_Corriente!EE28*SALUD_Mes_Constante!$EC$1</f>
        <v>0</v>
      </c>
      <c r="EF28" s="8">
        <f>+MINVU_Mes_Corriente!EF28*SALUD_Mes_Constante!$EC$1</f>
        <v>0</v>
      </c>
      <c r="EG28" s="8">
        <f>+MINVU_Mes_Corriente!EG28*SALUD_Mes_Constante!$EC$1</f>
        <v>0</v>
      </c>
      <c r="EH28" s="8">
        <f>+MINVU_Mes_Corriente!EH28*SALUD_Mes_Constante!$EC$1</f>
        <v>0</v>
      </c>
      <c r="EI28" s="8">
        <f>+MINVU_Mes_Corriente!EI28*SALUD_Mes_Constante!$EC$1</f>
        <v>0</v>
      </c>
      <c r="EJ28" s="8">
        <f>+MINVU_Mes_Corriente!EJ28*SALUD_Mes_Constante!$EC$1</f>
        <v>0</v>
      </c>
      <c r="EK28" s="8">
        <f>+MINVU_Mes_Corriente!EK28*SALUD_Mes_Constante!$EC$1</f>
        <v>0</v>
      </c>
      <c r="EL28" s="8">
        <f>+MINVU_Mes_Corriente!EL28*SALUD_Mes_Constante!$EC$1</f>
        <v>0</v>
      </c>
      <c r="EM28" s="8">
        <f>+MINVU_Mes_Corriente!EM28*SALUD_Mes_Constante!$EC$1</f>
        <v>0</v>
      </c>
      <c r="EN28" s="8">
        <f>+MINVU_Mes_Corriente!EN28*SALUD_Mes_Constante!$EC$1</f>
        <v>0</v>
      </c>
      <c r="EO28" s="9">
        <f t="shared" si="10"/>
        <v>0</v>
      </c>
      <c r="EP28" s="8">
        <f>+MINVU_Mes_Corriente!EP28*SALUD_Mes_Constante!$EP$1</f>
        <v>0</v>
      </c>
      <c r="EQ28" s="8">
        <f>+MINVU_Mes_Corriente!EQ28*SALUD_Mes_Constante!$EP$1</f>
        <v>0</v>
      </c>
      <c r="ER28" s="8">
        <f>+MINVU_Mes_Corriente!ER28*SALUD_Mes_Constante!$EP$1</f>
        <v>0</v>
      </c>
      <c r="ES28" s="8">
        <f>+MINVU_Mes_Corriente!ES28*SALUD_Mes_Constante!$EP$1</f>
        <v>0</v>
      </c>
      <c r="ET28" s="8">
        <f>+MINVU_Mes_Corriente!ET28*SALUD_Mes_Constante!$EP$1</f>
        <v>0</v>
      </c>
      <c r="EU28" s="8">
        <f>+MINVU_Mes_Corriente!EU28*SALUD_Mes_Constante!$EP$1</f>
        <v>0</v>
      </c>
      <c r="EV28" s="8">
        <f>+MINVU_Mes_Corriente!EV28*SALUD_Mes_Constante!$EP$1</f>
        <v>0</v>
      </c>
      <c r="EW28" s="8">
        <f>+MINVU_Mes_Corriente!EW28*SALUD_Mes_Constante!$EP$1</f>
        <v>0</v>
      </c>
      <c r="EX28" s="8">
        <f>+MINVU_Mes_Corriente!EX28*SALUD_Mes_Constante!$EP$1</f>
        <v>0</v>
      </c>
      <c r="EY28" s="8">
        <f>+MINVU_Mes_Corriente!EY28*SALUD_Mes_Constante!$EP$1</f>
        <v>0</v>
      </c>
      <c r="EZ28" s="8">
        <f>+MINVU_Mes_Corriente!EZ28*SALUD_Mes_Constante!$EP$1</f>
        <v>0</v>
      </c>
      <c r="FA28" s="8">
        <f>+MINVU_Mes_Corriente!FA28*SALUD_Mes_Constante!$EP$1</f>
        <v>0</v>
      </c>
      <c r="FB28" s="9">
        <f t="shared" si="11"/>
        <v>0</v>
      </c>
      <c r="FC28" s="8">
        <f>+MINVU_Mes_Corriente!FC28*SALUD_Mes_Constante!$FC$1</f>
        <v>0</v>
      </c>
      <c r="FD28" s="8">
        <f>+MINVU_Mes_Corriente!FD28*SALUD_Mes_Constante!$FC$1</f>
        <v>0</v>
      </c>
      <c r="FE28" s="8">
        <f>+MINVU_Mes_Corriente!FE28*SALUD_Mes_Constante!$FC$1</f>
        <v>0</v>
      </c>
      <c r="FF28" s="8">
        <f>+MINVU_Mes_Corriente!FF28*SALUD_Mes_Constante!$FC$1</f>
        <v>0</v>
      </c>
      <c r="FG28" s="8">
        <f>+MINVU_Mes_Corriente!FG28*SALUD_Mes_Constante!$FC$1</f>
        <v>0</v>
      </c>
      <c r="FH28" s="8">
        <f>+MINVU_Mes_Corriente!FH28*SALUD_Mes_Constante!$FC$1</f>
        <v>0</v>
      </c>
      <c r="FI28" s="8">
        <f>+MINVU_Mes_Corriente!FI28*SALUD_Mes_Constante!$FC$1</f>
        <v>0</v>
      </c>
      <c r="FJ28" s="8"/>
      <c r="FK28" s="8"/>
      <c r="FL28" s="8"/>
      <c r="FM28" s="8"/>
      <c r="FN28" s="8"/>
      <c r="FO28" s="9">
        <f t="shared" si="12"/>
        <v>0</v>
      </c>
    </row>
    <row r="29" spans="2:171" ht="14.25" customHeight="1" x14ac:dyDescent="0.3">
      <c r="B29" s="31" t="s">
        <v>64</v>
      </c>
      <c r="C29" s="8">
        <f>+MINVU_Mes_Corriente!C29*SALUD_Mes_Constante!$C$1</f>
        <v>0</v>
      </c>
      <c r="D29" s="8">
        <f>+MINVU_Mes_Corriente!D29*SALUD_Mes_Constante!$C$1</f>
        <v>0</v>
      </c>
      <c r="E29" s="8">
        <f>+MINVU_Mes_Corriente!E29*SALUD_Mes_Constante!$C$1</f>
        <v>0</v>
      </c>
      <c r="F29" s="8">
        <f>+MINVU_Mes_Corriente!F29*SALUD_Mes_Constante!$C$1</f>
        <v>0</v>
      </c>
      <c r="G29" s="8">
        <f>+MINVU_Mes_Corriente!G29*SALUD_Mes_Constante!$C$1</f>
        <v>0</v>
      </c>
      <c r="H29" s="8">
        <f>+MINVU_Mes_Corriente!H29*SALUD_Mes_Constante!$C$1</f>
        <v>0</v>
      </c>
      <c r="I29" s="8">
        <f>+MINVU_Mes_Corriente!I29*SALUD_Mes_Constante!$C$1</f>
        <v>0</v>
      </c>
      <c r="J29" s="8">
        <f>+MINVU_Mes_Corriente!J29*SALUD_Mes_Constante!$C$1</f>
        <v>0</v>
      </c>
      <c r="K29" s="8">
        <f>+MINVU_Mes_Corriente!K29*SALUD_Mes_Constante!$C$1</f>
        <v>0</v>
      </c>
      <c r="L29" s="8">
        <f>+MINVU_Mes_Corriente!L29*SALUD_Mes_Constante!$C$1</f>
        <v>0</v>
      </c>
      <c r="M29" s="8">
        <f>+MINVU_Mes_Corriente!M29*SALUD_Mes_Constante!$C$1</f>
        <v>0</v>
      </c>
      <c r="N29" s="8">
        <f>+MINVU_Mes_Corriente!N29*SALUD_Mes_Constante!$C$1</f>
        <v>0</v>
      </c>
      <c r="O29" s="9">
        <f t="shared" si="0"/>
        <v>0</v>
      </c>
      <c r="P29" s="8">
        <f>+MINVU_Mes_Corriente!P29*SALUD_Mes_Constante!$P$1</f>
        <v>0</v>
      </c>
      <c r="Q29" s="8">
        <f>+MINVU_Mes_Corriente!Q29*SALUD_Mes_Constante!$P$1</f>
        <v>0</v>
      </c>
      <c r="R29" s="8">
        <f>+MINVU_Mes_Corriente!R29*SALUD_Mes_Constante!$P$1</f>
        <v>0</v>
      </c>
      <c r="S29" s="8">
        <f>+MINVU_Mes_Corriente!S29*SALUD_Mes_Constante!$P$1</f>
        <v>0</v>
      </c>
      <c r="T29" s="8">
        <f>+MINVU_Mes_Corriente!T29*SALUD_Mes_Constante!$P$1</f>
        <v>0</v>
      </c>
      <c r="U29" s="8">
        <f>+MINVU_Mes_Corriente!U29*SALUD_Mes_Constante!$P$1</f>
        <v>0</v>
      </c>
      <c r="V29" s="8">
        <f>+MINVU_Mes_Corriente!V29*SALUD_Mes_Constante!$P$1</f>
        <v>0</v>
      </c>
      <c r="W29" s="8">
        <f>+MINVU_Mes_Corriente!W29*SALUD_Mes_Constante!$P$1</f>
        <v>0</v>
      </c>
      <c r="X29" s="8">
        <f>+MINVU_Mes_Corriente!X29*SALUD_Mes_Constante!$P$1</f>
        <v>0</v>
      </c>
      <c r="Y29" s="8">
        <f>+MINVU_Mes_Corriente!Y29*SALUD_Mes_Constante!$P$1</f>
        <v>0</v>
      </c>
      <c r="Z29" s="8">
        <f>+MINVU_Mes_Corriente!Z29*SALUD_Mes_Constante!$P$1</f>
        <v>0</v>
      </c>
      <c r="AA29" s="8">
        <f>+MINVU_Mes_Corriente!AA29*SALUD_Mes_Constante!$P$1</f>
        <v>0</v>
      </c>
      <c r="AB29" s="9">
        <f t="shared" si="1"/>
        <v>0</v>
      </c>
      <c r="AC29" s="8">
        <f>+MINVU_Mes_Corriente!AC29*SALUD_Mes_Constante!$AC$1</f>
        <v>0</v>
      </c>
      <c r="AD29" s="8">
        <f>+MINVU_Mes_Corriente!AD29*SALUD_Mes_Constante!$AC$1</f>
        <v>0</v>
      </c>
      <c r="AE29" s="8">
        <f>+MINVU_Mes_Corriente!AE29*SALUD_Mes_Constante!$AC$1</f>
        <v>0</v>
      </c>
      <c r="AF29" s="8">
        <f>+MINVU_Mes_Corriente!AF29*SALUD_Mes_Constante!$AC$1</f>
        <v>0</v>
      </c>
      <c r="AG29" s="8">
        <f>+MINVU_Mes_Corriente!AG29*SALUD_Mes_Constante!$AC$1</f>
        <v>0</v>
      </c>
      <c r="AH29" s="8">
        <f>+MINVU_Mes_Corriente!AH29*SALUD_Mes_Constante!$AC$1</f>
        <v>0</v>
      </c>
      <c r="AI29" s="8">
        <f>+MINVU_Mes_Corriente!AI29*SALUD_Mes_Constante!$AC$1</f>
        <v>0</v>
      </c>
      <c r="AJ29" s="8">
        <f>+MINVU_Mes_Corriente!AJ29*SALUD_Mes_Constante!$AC$1</f>
        <v>0</v>
      </c>
      <c r="AK29" s="8">
        <f>+MINVU_Mes_Corriente!AK29*SALUD_Mes_Constante!$AC$1</f>
        <v>0</v>
      </c>
      <c r="AL29" s="8">
        <f>+MINVU_Mes_Corriente!AL29*SALUD_Mes_Constante!$AC$1</f>
        <v>0</v>
      </c>
      <c r="AM29" s="8">
        <f>+MINVU_Mes_Corriente!AM29*SALUD_Mes_Constante!$AC$1</f>
        <v>0</v>
      </c>
      <c r="AN29" s="8">
        <f>+MINVU_Mes_Corriente!AN29*SALUD_Mes_Constante!$AC$1</f>
        <v>0</v>
      </c>
      <c r="AO29" s="9">
        <f t="shared" si="2"/>
        <v>0</v>
      </c>
      <c r="AP29" s="8">
        <f>+MINVU_Mes_Corriente!AP29*SALUD_Mes_Constante!$AP$1</f>
        <v>0</v>
      </c>
      <c r="AQ29" s="8">
        <f>+MINVU_Mes_Corriente!AQ29*SALUD_Mes_Constante!$AP$1</f>
        <v>0</v>
      </c>
      <c r="AR29" s="8">
        <f>+MINVU_Mes_Corriente!AR29*SALUD_Mes_Constante!$AP$1</f>
        <v>0</v>
      </c>
      <c r="AS29" s="8">
        <f>+MINVU_Mes_Corriente!AS29*SALUD_Mes_Constante!$AP$1</f>
        <v>0</v>
      </c>
      <c r="AT29" s="8">
        <f>+MINVU_Mes_Corriente!AT29*SALUD_Mes_Constante!$AP$1</f>
        <v>0</v>
      </c>
      <c r="AU29" s="8">
        <f>+MINVU_Mes_Corriente!AU29*SALUD_Mes_Constante!$AP$1</f>
        <v>0</v>
      </c>
      <c r="AV29" s="8">
        <f>+MINVU_Mes_Corriente!AV29*SALUD_Mes_Constante!$AP$1</f>
        <v>0</v>
      </c>
      <c r="AW29" s="8">
        <f>+MINVU_Mes_Corriente!AW29*SALUD_Mes_Constante!$AP$1</f>
        <v>0</v>
      </c>
      <c r="AX29" s="8">
        <f>+MINVU_Mes_Corriente!AX29*SALUD_Mes_Constante!$AP$1</f>
        <v>0</v>
      </c>
      <c r="AY29" s="8">
        <f>+MINVU_Mes_Corriente!AY29*SALUD_Mes_Constante!$AP$1</f>
        <v>0</v>
      </c>
      <c r="AZ29" s="8">
        <f>+MINVU_Mes_Corriente!AZ29*SALUD_Mes_Constante!$AP$1</f>
        <v>0</v>
      </c>
      <c r="BA29" s="8">
        <f>+MINVU_Mes_Corriente!BA29*SALUD_Mes_Constante!$AP$1</f>
        <v>0</v>
      </c>
      <c r="BB29" s="9">
        <f t="shared" si="3"/>
        <v>0</v>
      </c>
      <c r="BC29" s="8">
        <f>+MINVU_Mes_Corriente!BC29*SALUD_Mes_Constante!$BC$1</f>
        <v>0</v>
      </c>
      <c r="BD29" s="8">
        <f>+MINVU_Mes_Corriente!BD29*SALUD_Mes_Constante!$BC$1</f>
        <v>0</v>
      </c>
      <c r="BE29" s="8">
        <f>+MINVU_Mes_Corriente!BE29*SALUD_Mes_Constante!$BC$1</f>
        <v>0</v>
      </c>
      <c r="BF29" s="8">
        <f>+MINVU_Mes_Corriente!BF29*SALUD_Mes_Constante!$BC$1</f>
        <v>0</v>
      </c>
      <c r="BG29" s="8">
        <f>+MINVU_Mes_Corriente!BG29*SALUD_Mes_Constante!$BC$1</f>
        <v>0</v>
      </c>
      <c r="BH29" s="8">
        <f>+MINVU_Mes_Corriente!BH29*SALUD_Mes_Constante!$BC$1</f>
        <v>0</v>
      </c>
      <c r="BI29" s="8">
        <f>+MINVU_Mes_Corriente!BI29*SALUD_Mes_Constante!$BC$1</f>
        <v>0</v>
      </c>
      <c r="BJ29" s="8">
        <f>+MINVU_Mes_Corriente!BJ29*SALUD_Mes_Constante!$BC$1</f>
        <v>0</v>
      </c>
      <c r="BK29" s="8">
        <f>+MINVU_Mes_Corriente!BK29*SALUD_Mes_Constante!$BC$1</f>
        <v>0</v>
      </c>
      <c r="BL29" s="8">
        <f>+MINVU_Mes_Corriente!BL29*SALUD_Mes_Constante!$BC$1</f>
        <v>0</v>
      </c>
      <c r="BM29" s="8">
        <f>+MINVU_Mes_Corriente!BM29*SALUD_Mes_Constante!$BC$1</f>
        <v>0</v>
      </c>
      <c r="BN29" s="8">
        <f>+MINVU_Mes_Corriente!BN29*SALUD_Mes_Constante!$BC$1</f>
        <v>0</v>
      </c>
      <c r="BO29" s="9">
        <f t="shared" si="4"/>
        <v>0</v>
      </c>
      <c r="BP29" s="8">
        <f>+MINVU_Mes_Corriente!BP29*SALUD_Mes_Constante!$BP$1</f>
        <v>0</v>
      </c>
      <c r="BQ29" s="8">
        <f>+MINVU_Mes_Corriente!BQ29*SALUD_Mes_Constante!$BP$1</f>
        <v>0</v>
      </c>
      <c r="BR29" s="8">
        <f>+MINVU_Mes_Corriente!BR29*SALUD_Mes_Constante!$BP$1</f>
        <v>0</v>
      </c>
      <c r="BS29" s="8">
        <f>+MINVU_Mes_Corriente!BS29*SALUD_Mes_Constante!$BP$1</f>
        <v>0</v>
      </c>
      <c r="BT29" s="8">
        <f>+MINVU_Mes_Corriente!BT29*SALUD_Mes_Constante!$BP$1</f>
        <v>0</v>
      </c>
      <c r="BU29" s="8">
        <f>+MINVU_Mes_Corriente!BU29*SALUD_Mes_Constante!$BP$1</f>
        <v>0</v>
      </c>
      <c r="BV29" s="8">
        <f>+MINVU_Mes_Corriente!BV29*SALUD_Mes_Constante!$BP$1</f>
        <v>0</v>
      </c>
      <c r="BW29" s="8">
        <f>+MINVU_Mes_Corriente!BW29*SALUD_Mes_Constante!$BP$1</f>
        <v>0</v>
      </c>
      <c r="BX29" s="8">
        <f>+MINVU_Mes_Corriente!BX29*SALUD_Mes_Constante!$BP$1</f>
        <v>0</v>
      </c>
      <c r="BY29" s="8">
        <f>+MINVU_Mes_Corriente!BY29*SALUD_Mes_Constante!$BP$1</f>
        <v>0</v>
      </c>
      <c r="BZ29" s="8">
        <f>+MINVU_Mes_Corriente!BZ29*SALUD_Mes_Constante!$BP$1</f>
        <v>0</v>
      </c>
      <c r="CA29" s="8">
        <f>+MINVU_Mes_Corriente!CA29*SALUD_Mes_Constante!$BP$1</f>
        <v>0</v>
      </c>
      <c r="CB29" s="9">
        <f t="shared" si="5"/>
        <v>0</v>
      </c>
      <c r="CC29" s="8">
        <f>+MINVU_Mes_Corriente!CC29*SALUD_Mes_Constante!$CC$1</f>
        <v>0</v>
      </c>
      <c r="CD29" s="8">
        <f>+MINVU_Mes_Corriente!CD29*SALUD_Mes_Constante!$CC$1</f>
        <v>0</v>
      </c>
      <c r="CE29" s="8">
        <f>+MINVU_Mes_Corriente!CE29*SALUD_Mes_Constante!$CC$1</f>
        <v>0</v>
      </c>
      <c r="CF29" s="8">
        <f>+MINVU_Mes_Corriente!CF29*SALUD_Mes_Constante!$CC$1</f>
        <v>0</v>
      </c>
      <c r="CG29" s="8">
        <f>+MINVU_Mes_Corriente!CG29*SALUD_Mes_Constante!$CC$1</f>
        <v>0</v>
      </c>
      <c r="CH29" s="8">
        <f>+MINVU_Mes_Corriente!CH29*SALUD_Mes_Constante!$CC$1</f>
        <v>0</v>
      </c>
      <c r="CI29" s="8">
        <f>+MINVU_Mes_Corriente!CI29*SALUD_Mes_Constante!$CC$1</f>
        <v>0</v>
      </c>
      <c r="CJ29" s="8">
        <f>+MINVU_Mes_Corriente!CJ29*SALUD_Mes_Constante!$CC$1</f>
        <v>0</v>
      </c>
      <c r="CK29" s="8">
        <f>+MINVU_Mes_Corriente!CK29*SALUD_Mes_Constante!$CC$1</f>
        <v>0</v>
      </c>
      <c r="CL29" s="8">
        <f>+MINVU_Mes_Corriente!CL29*SALUD_Mes_Constante!$CC$1</f>
        <v>0</v>
      </c>
      <c r="CM29" s="8">
        <f>+MINVU_Mes_Corriente!CM29*SALUD_Mes_Constante!$CC$1</f>
        <v>0</v>
      </c>
      <c r="CN29" s="8">
        <f>+MINVU_Mes_Corriente!CN29*SALUD_Mes_Constante!$CC$1</f>
        <v>0</v>
      </c>
      <c r="CO29" s="9">
        <f t="shared" si="6"/>
        <v>0</v>
      </c>
      <c r="CP29" s="8">
        <f>+MINVU_Mes_Corriente!CP29*SALUD_Mes_Constante!$CP$1</f>
        <v>0</v>
      </c>
      <c r="CQ29" s="8">
        <f>+MINVU_Mes_Corriente!CQ29*SALUD_Mes_Constante!$CP$1</f>
        <v>0</v>
      </c>
      <c r="CR29" s="8">
        <f>+MINVU_Mes_Corriente!CR29*SALUD_Mes_Constante!$CP$1</f>
        <v>0</v>
      </c>
      <c r="CS29" s="8">
        <f>+MINVU_Mes_Corriente!CS29*SALUD_Mes_Constante!$CP$1</f>
        <v>0</v>
      </c>
      <c r="CT29" s="8">
        <f>+MINVU_Mes_Corriente!CT29*SALUD_Mes_Constante!$CP$1</f>
        <v>0</v>
      </c>
      <c r="CU29" s="8">
        <f>+MINVU_Mes_Corriente!CU29*SALUD_Mes_Constante!$CP$1</f>
        <v>0</v>
      </c>
      <c r="CV29" s="8">
        <f>+MINVU_Mes_Corriente!CV29*SALUD_Mes_Constante!$CP$1</f>
        <v>0</v>
      </c>
      <c r="CW29" s="8">
        <f>+MINVU_Mes_Corriente!CW29*SALUD_Mes_Constante!$CP$1</f>
        <v>0</v>
      </c>
      <c r="CX29" s="8">
        <f>+MINVU_Mes_Corriente!CX29*SALUD_Mes_Constante!$CP$1</f>
        <v>0</v>
      </c>
      <c r="CY29" s="8">
        <f>+MINVU_Mes_Corriente!CY29*SALUD_Mes_Constante!$CP$1</f>
        <v>0</v>
      </c>
      <c r="CZ29" s="8">
        <f>+MINVU_Mes_Corriente!CZ29*SALUD_Mes_Constante!$CP$1</f>
        <v>0</v>
      </c>
      <c r="DA29" s="8">
        <f>+MINVU_Mes_Corriente!DA29*SALUD_Mes_Constante!$CP$1</f>
        <v>0</v>
      </c>
      <c r="DB29" s="9">
        <f t="shared" si="7"/>
        <v>0</v>
      </c>
      <c r="DC29" s="8">
        <f>+MINVU_Mes_Corriente!DC29*SALUD_Mes_Constante!$DC$1</f>
        <v>0</v>
      </c>
      <c r="DD29" s="8">
        <f>+MINVU_Mes_Corriente!DD29*SALUD_Mes_Constante!$DC$1</f>
        <v>0</v>
      </c>
      <c r="DE29" s="8">
        <f>+MINVU_Mes_Corriente!DE29*SALUD_Mes_Constante!$DC$1</f>
        <v>0</v>
      </c>
      <c r="DF29" s="8">
        <f>+MINVU_Mes_Corriente!DF29*SALUD_Mes_Constante!$DC$1</f>
        <v>0</v>
      </c>
      <c r="DG29" s="8">
        <f>+MINVU_Mes_Corriente!DG29*SALUD_Mes_Constante!$DC$1</f>
        <v>0</v>
      </c>
      <c r="DH29" s="8">
        <f>+MINVU_Mes_Corriente!DH29*SALUD_Mes_Constante!$DC$1</f>
        <v>0</v>
      </c>
      <c r="DI29" s="8">
        <f>+MINVU_Mes_Corriente!DI29*SALUD_Mes_Constante!$DC$1</f>
        <v>0</v>
      </c>
      <c r="DJ29" s="8">
        <f>+MINVU_Mes_Corriente!DJ29*SALUD_Mes_Constante!$DC$1</f>
        <v>0</v>
      </c>
      <c r="DK29" s="8">
        <f>+MINVU_Mes_Corriente!DK29*SALUD_Mes_Constante!$DC$1</f>
        <v>0</v>
      </c>
      <c r="DL29" s="8">
        <f>+MINVU_Mes_Corriente!DL29*SALUD_Mes_Constante!$DC$1</f>
        <v>0</v>
      </c>
      <c r="DM29" s="8">
        <f>+MINVU_Mes_Corriente!DM29*SALUD_Mes_Constante!$DC$1</f>
        <v>0</v>
      </c>
      <c r="DN29" s="8">
        <f>+MINVU_Mes_Corriente!DN29*SALUD_Mes_Constante!$DC$1</f>
        <v>0</v>
      </c>
      <c r="DO29" s="9">
        <f t="shared" si="8"/>
        <v>0</v>
      </c>
      <c r="DP29" s="8">
        <f>+MINVU_Mes_Corriente!DP29*SALUD_Mes_Constante!$DP$1</f>
        <v>0</v>
      </c>
      <c r="DQ29" s="8">
        <f>+MINVU_Mes_Corriente!DQ29*SALUD_Mes_Constante!$DP$1</f>
        <v>0</v>
      </c>
      <c r="DR29" s="8">
        <f>+MINVU_Mes_Corriente!DR29*SALUD_Mes_Constante!$DP$1</f>
        <v>0</v>
      </c>
      <c r="DS29" s="8">
        <f>+MINVU_Mes_Corriente!DS29*SALUD_Mes_Constante!$DP$1</f>
        <v>0</v>
      </c>
      <c r="DT29" s="8">
        <f>+MINVU_Mes_Corriente!DT29*SALUD_Mes_Constante!$DP$1</f>
        <v>0</v>
      </c>
      <c r="DU29" s="8">
        <f>+MINVU_Mes_Corriente!DU29*SALUD_Mes_Constante!$DP$1</f>
        <v>0</v>
      </c>
      <c r="DV29" s="8">
        <f>+MINVU_Mes_Corriente!DV29*SALUD_Mes_Constante!$DP$1</f>
        <v>0</v>
      </c>
      <c r="DW29" s="8">
        <f>+MINVU_Mes_Corriente!DW29*SALUD_Mes_Constante!$DP$1</f>
        <v>0</v>
      </c>
      <c r="DX29" s="8">
        <f>+MINVU_Mes_Corriente!DX29*SALUD_Mes_Constante!$DP$1</f>
        <v>0</v>
      </c>
      <c r="DY29" s="8">
        <f>+MINVU_Mes_Corriente!DY29*SALUD_Mes_Constante!$DP$1</f>
        <v>0</v>
      </c>
      <c r="DZ29" s="8">
        <f>+MINVU_Mes_Corriente!DZ29*SALUD_Mes_Constante!$DP$1</f>
        <v>0</v>
      </c>
      <c r="EA29" s="8">
        <f>+MINVU_Mes_Corriente!EA29*SALUD_Mes_Constante!$DP$1</f>
        <v>0</v>
      </c>
      <c r="EB29" s="9">
        <f t="shared" si="9"/>
        <v>0</v>
      </c>
      <c r="EC29" s="8">
        <f>+MINVU_Mes_Corriente!EC29*SALUD_Mes_Constante!$EC$1</f>
        <v>0</v>
      </c>
      <c r="ED29" s="8">
        <f>+MINVU_Mes_Corriente!ED29*SALUD_Mes_Constante!$EC$1</f>
        <v>0</v>
      </c>
      <c r="EE29" s="8">
        <f>+MINVU_Mes_Corriente!EE29*SALUD_Mes_Constante!$EC$1</f>
        <v>0</v>
      </c>
      <c r="EF29" s="8">
        <f>+MINVU_Mes_Corriente!EF29*SALUD_Mes_Constante!$EC$1</f>
        <v>0</v>
      </c>
      <c r="EG29" s="8">
        <f>+MINVU_Mes_Corriente!EG29*SALUD_Mes_Constante!$EC$1</f>
        <v>0</v>
      </c>
      <c r="EH29" s="8">
        <f>+MINVU_Mes_Corriente!EH29*SALUD_Mes_Constante!$EC$1</f>
        <v>0</v>
      </c>
      <c r="EI29" s="8">
        <f>+MINVU_Mes_Corriente!EI29*SALUD_Mes_Constante!$EC$1</f>
        <v>0</v>
      </c>
      <c r="EJ29" s="8">
        <f>+MINVU_Mes_Corriente!EJ29*SALUD_Mes_Constante!$EC$1</f>
        <v>0</v>
      </c>
      <c r="EK29" s="8">
        <f>+MINVU_Mes_Corriente!EK29*SALUD_Mes_Constante!$EC$1</f>
        <v>0</v>
      </c>
      <c r="EL29" s="8">
        <f>+MINVU_Mes_Corriente!EL29*SALUD_Mes_Constante!$EC$1</f>
        <v>0</v>
      </c>
      <c r="EM29" s="8">
        <f>+MINVU_Mes_Corriente!EM29*SALUD_Mes_Constante!$EC$1</f>
        <v>0</v>
      </c>
      <c r="EN29" s="8">
        <f>+MINVU_Mes_Corriente!EN29*SALUD_Mes_Constante!$EC$1</f>
        <v>0</v>
      </c>
      <c r="EO29" s="9">
        <f t="shared" si="10"/>
        <v>0</v>
      </c>
      <c r="EP29" s="8">
        <f>+MINVU_Mes_Corriente!EP29*SALUD_Mes_Constante!$EP$1</f>
        <v>0</v>
      </c>
      <c r="EQ29" s="8">
        <f>+MINVU_Mes_Corriente!EQ29*SALUD_Mes_Constante!$EP$1</f>
        <v>0</v>
      </c>
      <c r="ER29" s="8">
        <f>+MINVU_Mes_Corriente!ER29*SALUD_Mes_Constante!$EP$1</f>
        <v>0</v>
      </c>
      <c r="ES29" s="8">
        <f>+MINVU_Mes_Corriente!ES29*SALUD_Mes_Constante!$EP$1</f>
        <v>0</v>
      </c>
      <c r="ET29" s="8">
        <f>+MINVU_Mes_Corriente!ET29*SALUD_Mes_Constante!$EP$1</f>
        <v>0</v>
      </c>
      <c r="EU29" s="8">
        <f>+MINVU_Mes_Corriente!EU29*SALUD_Mes_Constante!$EP$1</f>
        <v>0</v>
      </c>
      <c r="EV29" s="8">
        <f>+MINVU_Mes_Corriente!EV29*SALUD_Mes_Constante!$EP$1</f>
        <v>0</v>
      </c>
      <c r="EW29" s="8">
        <f>+MINVU_Mes_Corriente!EW29*SALUD_Mes_Constante!$EP$1</f>
        <v>0</v>
      </c>
      <c r="EX29" s="8">
        <f>+MINVU_Mes_Corriente!EX29*SALUD_Mes_Constante!$EP$1</f>
        <v>0</v>
      </c>
      <c r="EY29" s="8">
        <f>+MINVU_Mes_Corriente!EY29*SALUD_Mes_Constante!$EP$1</f>
        <v>0</v>
      </c>
      <c r="EZ29" s="8">
        <f>+MINVU_Mes_Corriente!EZ29*SALUD_Mes_Constante!$EP$1</f>
        <v>0</v>
      </c>
      <c r="FA29" s="8">
        <f>+MINVU_Mes_Corriente!FA29*SALUD_Mes_Constante!$EP$1</f>
        <v>0</v>
      </c>
      <c r="FB29" s="9">
        <f t="shared" si="11"/>
        <v>0</v>
      </c>
      <c r="FC29" s="8">
        <f>+MINVU_Mes_Corriente!FC29*SALUD_Mes_Constante!$FC$1</f>
        <v>5803182</v>
      </c>
      <c r="FD29" s="8">
        <f>+MINVU_Mes_Corriente!FD29*SALUD_Mes_Constante!$FC$1</f>
        <v>5803182</v>
      </c>
      <c r="FE29" s="8">
        <f>+MINVU_Mes_Corriente!FE29*SALUD_Mes_Constante!$FC$1</f>
        <v>5803182</v>
      </c>
      <c r="FF29" s="8">
        <f>+MINVU_Mes_Corriente!FF29*SALUD_Mes_Constante!$FC$1</f>
        <v>5803182</v>
      </c>
      <c r="FG29" s="8">
        <f>+MINVU_Mes_Corriente!FG29*SALUD_Mes_Constante!$FC$1</f>
        <v>5803182</v>
      </c>
      <c r="FH29" s="8">
        <f>+MINVU_Mes_Corriente!FH29*SALUD_Mes_Constante!$FC$1</f>
        <v>5803182</v>
      </c>
      <c r="FI29" s="8">
        <f>+MINVU_Mes_Corriente!FI29*SALUD_Mes_Constante!$FC$1</f>
        <v>5803182</v>
      </c>
      <c r="FJ29" s="8"/>
      <c r="FK29" s="8"/>
      <c r="FL29" s="8"/>
      <c r="FM29" s="8"/>
      <c r="FN29" s="8"/>
      <c r="FO29" s="9">
        <f t="shared" si="12"/>
        <v>5803182</v>
      </c>
    </row>
    <row r="30" spans="2:171" ht="14.25" customHeight="1" x14ac:dyDescent="0.3">
      <c r="B30" s="31" t="s">
        <v>65</v>
      </c>
      <c r="C30" s="8">
        <f>+MINVU_Mes_Corriente!C30*SALUD_Mes_Constante!$C$1</f>
        <v>0</v>
      </c>
      <c r="D30" s="8">
        <f>+MINVU_Mes_Corriente!D30*SALUD_Mes_Constante!$C$1</f>
        <v>0</v>
      </c>
      <c r="E30" s="8">
        <f>+MINVU_Mes_Corriente!E30*SALUD_Mes_Constante!$C$1</f>
        <v>0</v>
      </c>
      <c r="F30" s="8">
        <f>+MINVU_Mes_Corriente!F30*SALUD_Mes_Constante!$C$1</f>
        <v>0</v>
      </c>
      <c r="G30" s="8">
        <f>+MINVU_Mes_Corriente!G30*SALUD_Mes_Constante!$C$1</f>
        <v>0</v>
      </c>
      <c r="H30" s="8">
        <f>+MINVU_Mes_Corriente!H30*SALUD_Mes_Constante!$C$1</f>
        <v>0</v>
      </c>
      <c r="I30" s="8">
        <f>+MINVU_Mes_Corriente!I30*SALUD_Mes_Constante!$C$1</f>
        <v>0</v>
      </c>
      <c r="J30" s="8">
        <f>+MINVU_Mes_Corriente!J30*SALUD_Mes_Constante!$C$1</f>
        <v>0</v>
      </c>
      <c r="K30" s="8">
        <f>+MINVU_Mes_Corriente!K30*SALUD_Mes_Constante!$C$1</f>
        <v>0</v>
      </c>
      <c r="L30" s="8">
        <f>+MINVU_Mes_Corriente!L30*SALUD_Mes_Constante!$C$1</f>
        <v>0</v>
      </c>
      <c r="M30" s="8">
        <f>+MINVU_Mes_Corriente!M30*SALUD_Mes_Constante!$C$1</f>
        <v>0</v>
      </c>
      <c r="N30" s="8">
        <f>+MINVU_Mes_Corriente!N30*SALUD_Mes_Constante!$C$1</f>
        <v>0</v>
      </c>
      <c r="O30" s="9">
        <f t="shared" si="0"/>
        <v>0</v>
      </c>
      <c r="P30" s="8">
        <f>+MINVU_Mes_Corriente!P30*SALUD_Mes_Constante!$P$1</f>
        <v>0</v>
      </c>
      <c r="Q30" s="8">
        <f>+MINVU_Mes_Corriente!Q30*SALUD_Mes_Constante!$P$1</f>
        <v>0</v>
      </c>
      <c r="R30" s="8">
        <f>+MINVU_Mes_Corriente!R30*SALUD_Mes_Constante!$P$1</f>
        <v>0</v>
      </c>
      <c r="S30" s="8">
        <f>+MINVU_Mes_Corriente!S30*SALUD_Mes_Constante!$P$1</f>
        <v>0</v>
      </c>
      <c r="T30" s="8">
        <f>+MINVU_Mes_Corriente!T30*SALUD_Mes_Constante!$P$1</f>
        <v>0</v>
      </c>
      <c r="U30" s="8">
        <f>+MINVU_Mes_Corriente!U30*SALUD_Mes_Constante!$P$1</f>
        <v>0</v>
      </c>
      <c r="V30" s="8">
        <f>+MINVU_Mes_Corriente!V30*SALUD_Mes_Constante!$P$1</f>
        <v>0</v>
      </c>
      <c r="W30" s="8">
        <f>+MINVU_Mes_Corriente!W30*SALUD_Mes_Constante!$P$1</f>
        <v>0</v>
      </c>
      <c r="X30" s="8">
        <f>+MINVU_Mes_Corriente!X30*SALUD_Mes_Constante!$P$1</f>
        <v>0</v>
      </c>
      <c r="Y30" s="8">
        <f>+MINVU_Mes_Corriente!Y30*SALUD_Mes_Constante!$P$1</f>
        <v>0</v>
      </c>
      <c r="Z30" s="8">
        <f>+MINVU_Mes_Corriente!Z30*SALUD_Mes_Constante!$P$1</f>
        <v>0</v>
      </c>
      <c r="AA30" s="8">
        <f>+MINVU_Mes_Corriente!AA30*SALUD_Mes_Constante!$P$1</f>
        <v>0</v>
      </c>
      <c r="AB30" s="9">
        <f t="shared" si="1"/>
        <v>0</v>
      </c>
      <c r="AC30" s="8">
        <f>+MINVU_Mes_Corriente!AC30*SALUD_Mes_Constante!$AC$1</f>
        <v>0</v>
      </c>
      <c r="AD30" s="8">
        <f>+MINVU_Mes_Corriente!AD30*SALUD_Mes_Constante!$AC$1</f>
        <v>0</v>
      </c>
      <c r="AE30" s="8">
        <f>+MINVU_Mes_Corriente!AE30*SALUD_Mes_Constante!$AC$1</f>
        <v>0</v>
      </c>
      <c r="AF30" s="8">
        <f>+MINVU_Mes_Corriente!AF30*SALUD_Mes_Constante!$AC$1</f>
        <v>0</v>
      </c>
      <c r="AG30" s="8">
        <f>+MINVU_Mes_Corriente!AG30*SALUD_Mes_Constante!$AC$1</f>
        <v>0</v>
      </c>
      <c r="AH30" s="8">
        <f>+MINVU_Mes_Corriente!AH30*SALUD_Mes_Constante!$AC$1</f>
        <v>0</v>
      </c>
      <c r="AI30" s="8">
        <f>+MINVU_Mes_Corriente!AI30*SALUD_Mes_Constante!$AC$1</f>
        <v>0</v>
      </c>
      <c r="AJ30" s="8">
        <f>+MINVU_Mes_Corriente!AJ30*SALUD_Mes_Constante!$AC$1</f>
        <v>0</v>
      </c>
      <c r="AK30" s="8">
        <f>+MINVU_Mes_Corriente!AK30*SALUD_Mes_Constante!$AC$1</f>
        <v>0</v>
      </c>
      <c r="AL30" s="8">
        <f>+MINVU_Mes_Corriente!AL30*SALUD_Mes_Constante!$AC$1</f>
        <v>0</v>
      </c>
      <c r="AM30" s="8">
        <f>+MINVU_Mes_Corriente!AM30*SALUD_Mes_Constante!$AC$1</f>
        <v>0</v>
      </c>
      <c r="AN30" s="8">
        <f>+MINVU_Mes_Corriente!AN30*SALUD_Mes_Constante!$AC$1</f>
        <v>0</v>
      </c>
      <c r="AO30" s="9">
        <f t="shared" si="2"/>
        <v>0</v>
      </c>
      <c r="AP30" s="8">
        <f>+MINVU_Mes_Corriente!AP30*SALUD_Mes_Constante!$AP$1</f>
        <v>0</v>
      </c>
      <c r="AQ30" s="8">
        <f>+MINVU_Mes_Corriente!AQ30*SALUD_Mes_Constante!$AP$1</f>
        <v>0</v>
      </c>
      <c r="AR30" s="8">
        <f>+MINVU_Mes_Corriente!AR30*SALUD_Mes_Constante!$AP$1</f>
        <v>0</v>
      </c>
      <c r="AS30" s="8">
        <f>+MINVU_Mes_Corriente!AS30*SALUD_Mes_Constante!$AP$1</f>
        <v>0</v>
      </c>
      <c r="AT30" s="8">
        <f>+MINVU_Mes_Corriente!AT30*SALUD_Mes_Constante!$AP$1</f>
        <v>0</v>
      </c>
      <c r="AU30" s="8">
        <f>+MINVU_Mes_Corriente!AU30*SALUD_Mes_Constante!$AP$1</f>
        <v>0</v>
      </c>
      <c r="AV30" s="8">
        <f>+MINVU_Mes_Corriente!AV30*SALUD_Mes_Constante!$AP$1</f>
        <v>0</v>
      </c>
      <c r="AW30" s="8">
        <f>+MINVU_Mes_Corriente!AW30*SALUD_Mes_Constante!$AP$1</f>
        <v>0</v>
      </c>
      <c r="AX30" s="8">
        <f>+MINVU_Mes_Corriente!AX30*SALUD_Mes_Constante!$AP$1</f>
        <v>0</v>
      </c>
      <c r="AY30" s="8">
        <f>+MINVU_Mes_Corriente!AY30*SALUD_Mes_Constante!$AP$1</f>
        <v>0</v>
      </c>
      <c r="AZ30" s="8">
        <f>+MINVU_Mes_Corriente!AZ30*SALUD_Mes_Constante!$AP$1</f>
        <v>0</v>
      </c>
      <c r="BA30" s="8">
        <f>+MINVU_Mes_Corriente!BA30*SALUD_Mes_Constante!$AP$1</f>
        <v>0</v>
      </c>
      <c r="BB30" s="9">
        <f t="shared" si="3"/>
        <v>0</v>
      </c>
      <c r="BC30" s="8">
        <f>+MINVU_Mes_Corriente!BC30*SALUD_Mes_Constante!$BC$1</f>
        <v>0</v>
      </c>
      <c r="BD30" s="8">
        <f>+MINVU_Mes_Corriente!BD30*SALUD_Mes_Constante!$BC$1</f>
        <v>0</v>
      </c>
      <c r="BE30" s="8">
        <f>+MINVU_Mes_Corriente!BE30*SALUD_Mes_Constante!$BC$1</f>
        <v>0</v>
      </c>
      <c r="BF30" s="8">
        <f>+MINVU_Mes_Corriente!BF30*SALUD_Mes_Constante!$BC$1</f>
        <v>0</v>
      </c>
      <c r="BG30" s="8">
        <f>+MINVU_Mes_Corriente!BG30*SALUD_Mes_Constante!$BC$1</f>
        <v>0</v>
      </c>
      <c r="BH30" s="8">
        <f>+MINVU_Mes_Corriente!BH30*SALUD_Mes_Constante!$BC$1</f>
        <v>0</v>
      </c>
      <c r="BI30" s="8">
        <f>+MINVU_Mes_Corriente!BI30*SALUD_Mes_Constante!$BC$1</f>
        <v>0</v>
      </c>
      <c r="BJ30" s="8">
        <f>+MINVU_Mes_Corriente!BJ30*SALUD_Mes_Constante!$BC$1</f>
        <v>0</v>
      </c>
      <c r="BK30" s="8">
        <f>+MINVU_Mes_Corriente!BK30*SALUD_Mes_Constante!$BC$1</f>
        <v>0</v>
      </c>
      <c r="BL30" s="8">
        <f>+MINVU_Mes_Corriente!BL30*SALUD_Mes_Constante!$BC$1</f>
        <v>0</v>
      </c>
      <c r="BM30" s="8">
        <f>+MINVU_Mes_Corriente!BM30*SALUD_Mes_Constante!$BC$1</f>
        <v>0</v>
      </c>
      <c r="BN30" s="8">
        <f>+MINVU_Mes_Corriente!BN30*SALUD_Mes_Constante!$BC$1</f>
        <v>0</v>
      </c>
      <c r="BO30" s="9">
        <f t="shared" si="4"/>
        <v>0</v>
      </c>
      <c r="BP30" s="8">
        <f>+MINVU_Mes_Corriente!BP30*SALUD_Mes_Constante!$BP$1</f>
        <v>0</v>
      </c>
      <c r="BQ30" s="8">
        <f>+MINVU_Mes_Corriente!BQ30*SALUD_Mes_Constante!$BP$1</f>
        <v>0</v>
      </c>
      <c r="BR30" s="8">
        <f>+MINVU_Mes_Corriente!BR30*SALUD_Mes_Constante!$BP$1</f>
        <v>0</v>
      </c>
      <c r="BS30" s="8">
        <f>+MINVU_Mes_Corriente!BS30*SALUD_Mes_Constante!$BP$1</f>
        <v>0</v>
      </c>
      <c r="BT30" s="8">
        <f>+MINVU_Mes_Corriente!BT30*SALUD_Mes_Constante!$BP$1</f>
        <v>0</v>
      </c>
      <c r="BU30" s="8">
        <f>+MINVU_Mes_Corriente!BU30*SALUD_Mes_Constante!$BP$1</f>
        <v>0</v>
      </c>
      <c r="BV30" s="8">
        <f>+MINVU_Mes_Corriente!BV30*SALUD_Mes_Constante!$BP$1</f>
        <v>0</v>
      </c>
      <c r="BW30" s="8">
        <f>+MINVU_Mes_Corriente!BW30*SALUD_Mes_Constante!$BP$1</f>
        <v>0</v>
      </c>
      <c r="BX30" s="8">
        <f>+MINVU_Mes_Corriente!BX30*SALUD_Mes_Constante!$BP$1</f>
        <v>0</v>
      </c>
      <c r="BY30" s="8">
        <f>+MINVU_Mes_Corriente!BY30*SALUD_Mes_Constante!$BP$1</f>
        <v>0</v>
      </c>
      <c r="BZ30" s="8">
        <f>+MINVU_Mes_Corriente!BZ30*SALUD_Mes_Constante!$BP$1</f>
        <v>0</v>
      </c>
      <c r="CA30" s="8">
        <f>+MINVU_Mes_Corriente!CA30*SALUD_Mes_Constante!$BP$1</f>
        <v>0</v>
      </c>
      <c r="CB30" s="9">
        <f t="shared" si="5"/>
        <v>0</v>
      </c>
      <c r="CC30" s="8">
        <f>+MINVU_Mes_Corriente!CC30*SALUD_Mes_Constante!$CC$1</f>
        <v>0</v>
      </c>
      <c r="CD30" s="8">
        <f>+MINVU_Mes_Corriente!CD30*SALUD_Mes_Constante!$CC$1</f>
        <v>0</v>
      </c>
      <c r="CE30" s="8">
        <f>+MINVU_Mes_Corriente!CE30*SALUD_Mes_Constante!$CC$1</f>
        <v>0</v>
      </c>
      <c r="CF30" s="8">
        <f>+MINVU_Mes_Corriente!CF30*SALUD_Mes_Constante!$CC$1</f>
        <v>0</v>
      </c>
      <c r="CG30" s="8">
        <f>+MINVU_Mes_Corriente!CG30*SALUD_Mes_Constante!$CC$1</f>
        <v>0</v>
      </c>
      <c r="CH30" s="8">
        <f>+MINVU_Mes_Corriente!CH30*SALUD_Mes_Constante!$CC$1</f>
        <v>0</v>
      </c>
      <c r="CI30" s="8">
        <f>+MINVU_Mes_Corriente!CI30*SALUD_Mes_Constante!$CC$1</f>
        <v>0</v>
      </c>
      <c r="CJ30" s="8">
        <f>+MINVU_Mes_Corriente!CJ30*SALUD_Mes_Constante!$CC$1</f>
        <v>0</v>
      </c>
      <c r="CK30" s="8">
        <f>+MINVU_Mes_Corriente!CK30*SALUD_Mes_Constante!$CC$1</f>
        <v>0</v>
      </c>
      <c r="CL30" s="8">
        <f>+MINVU_Mes_Corriente!CL30*SALUD_Mes_Constante!$CC$1</f>
        <v>0</v>
      </c>
      <c r="CM30" s="8">
        <f>+MINVU_Mes_Corriente!CM30*SALUD_Mes_Constante!$CC$1</f>
        <v>0</v>
      </c>
      <c r="CN30" s="8">
        <f>+MINVU_Mes_Corriente!CN30*SALUD_Mes_Constante!$CC$1</f>
        <v>0</v>
      </c>
      <c r="CO30" s="9">
        <f t="shared" si="6"/>
        <v>0</v>
      </c>
      <c r="CP30" s="8">
        <f>+MINVU_Mes_Corriente!CP30*SALUD_Mes_Constante!$CP$1</f>
        <v>0</v>
      </c>
      <c r="CQ30" s="8">
        <f>+MINVU_Mes_Corriente!CQ30*SALUD_Mes_Constante!$CP$1</f>
        <v>0</v>
      </c>
      <c r="CR30" s="8">
        <f>+MINVU_Mes_Corriente!CR30*SALUD_Mes_Constante!$CP$1</f>
        <v>0</v>
      </c>
      <c r="CS30" s="8">
        <f>+MINVU_Mes_Corriente!CS30*SALUD_Mes_Constante!$CP$1</f>
        <v>0</v>
      </c>
      <c r="CT30" s="8">
        <f>+MINVU_Mes_Corriente!CT30*SALUD_Mes_Constante!$CP$1</f>
        <v>0</v>
      </c>
      <c r="CU30" s="8">
        <f>+MINVU_Mes_Corriente!CU30*SALUD_Mes_Constante!$CP$1</f>
        <v>0</v>
      </c>
      <c r="CV30" s="8">
        <f>+MINVU_Mes_Corriente!CV30*SALUD_Mes_Constante!$CP$1</f>
        <v>0</v>
      </c>
      <c r="CW30" s="8">
        <f>+MINVU_Mes_Corriente!CW30*SALUD_Mes_Constante!$CP$1</f>
        <v>0</v>
      </c>
      <c r="CX30" s="8">
        <f>+MINVU_Mes_Corriente!CX30*SALUD_Mes_Constante!$CP$1</f>
        <v>0</v>
      </c>
      <c r="CY30" s="8">
        <f>+MINVU_Mes_Corriente!CY30*SALUD_Mes_Constante!$CP$1</f>
        <v>0</v>
      </c>
      <c r="CZ30" s="8">
        <f>+MINVU_Mes_Corriente!CZ30*SALUD_Mes_Constante!$CP$1</f>
        <v>0</v>
      </c>
      <c r="DA30" s="8">
        <f>+MINVU_Mes_Corriente!DA30*SALUD_Mes_Constante!$CP$1</f>
        <v>0</v>
      </c>
      <c r="DB30" s="9">
        <f t="shared" si="7"/>
        <v>0</v>
      </c>
      <c r="DC30" s="8">
        <f>+MINVU_Mes_Corriente!DC30*SALUD_Mes_Constante!$DC$1</f>
        <v>0</v>
      </c>
      <c r="DD30" s="8">
        <f>+MINVU_Mes_Corriente!DD30*SALUD_Mes_Constante!$DC$1</f>
        <v>0</v>
      </c>
      <c r="DE30" s="8">
        <f>+MINVU_Mes_Corriente!DE30*SALUD_Mes_Constante!$DC$1</f>
        <v>0</v>
      </c>
      <c r="DF30" s="8">
        <f>+MINVU_Mes_Corriente!DF30*SALUD_Mes_Constante!$DC$1</f>
        <v>0</v>
      </c>
      <c r="DG30" s="8">
        <f>+MINVU_Mes_Corriente!DG30*SALUD_Mes_Constante!$DC$1</f>
        <v>0</v>
      </c>
      <c r="DH30" s="8">
        <f>+MINVU_Mes_Corriente!DH30*SALUD_Mes_Constante!$DC$1</f>
        <v>0</v>
      </c>
      <c r="DI30" s="8">
        <f>+MINVU_Mes_Corriente!DI30*SALUD_Mes_Constante!$DC$1</f>
        <v>0</v>
      </c>
      <c r="DJ30" s="8">
        <f>+MINVU_Mes_Corriente!DJ30*SALUD_Mes_Constante!$DC$1</f>
        <v>0</v>
      </c>
      <c r="DK30" s="8">
        <f>+MINVU_Mes_Corriente!DK30*SALUD_Mes_Constante!$DC$1</f>
        <v>0</v>
      </c>
      <c r="DL30" s="8">
        <f>+MINVU_Mes_Corriente!DL30*SALUD_Mes_Constante!$DC$1</f>
        <v>0</v>
      </c>
      <c r="DM30" s="8">
        <f>+MINVU_Mes_Corriente!DM30*SALUD_Mes_Constante!$DC$1</f>
        <v>0</v>
      </c>
      <c r="DN30" s="8">
        <f>+MINVU_Mes_Corriente!DN30*SALUD_Mes_Constante!$DC$1</f>
        <v>0</v>
      </c>
      <c r="DO30" s="9">
        <f t="shared" si="8"/>
        <v>0</v>
      </c>
      <c r="DP30" s="8">
        <f>+MINVU_Mes_Corriente!DP30*SALUD_Mes_Constante!$DP$1</f>
        <v>0</v>
      </c>
      <c r="DQ30" s="8">
        <f>+MINVU_Mes_Corriente!DQ30*SALUD_Mes_Constante!$DP$1</f>
        <v>0</v>
      </c>
      <c r="DR30" s="8">
        <f>+MINVU_Mes_Corriente!DR30*SALUD_Mes_Constante!$DP$1</f>
        <v>0</v>
      </c>
      <c r="DS30" s="8">
        <f>+MINVU_Mes_Corriente!DS30*SALUD_Mes_Constante!$DP$1</f>
        <v>0</v>
      </c>
      <c r="DT30" s="8">
        <f>+MINVU_Mes_Corriente!DT30*SALUD_Mes_Constante!$DP$1</f>
        <v>0</v>
      </c>
      <c r="DU30" s="8">
        <f>+MINVU_Mes_Corriente!DU30*SALUD_Mes_Constante!$DP$1</f>
        <v>0</v>
      </c>
      <c r="DV30" s="8">
        <f>+MINVU_Mes_Corriente!DV30*SALUD_Mes_Constante!$DP$1</f>
        <v>0</v>
      </c>
      <c r="DW30" s="8">
        <f>+MINVU_Mes_Corriente!DW30*SALUD_Mes_Constante!$DP$1</f>
        <v>0</v>
      </c>
      <c r="DX30" s="8">
        <f>+MINVU_Mes_Corriente!DX30*SALUD_Mes_Constante!$DP$1</f>
        <v>0</v>
      </c>
      <c r="DY30" s="8">
        <f>+MINVU_Mes_Corriente!DY30*SALUD_Mes_Constante!$DP$1</f>
        <v>0</v>
      </c>
      <c r="DZ30" s="8">
        <f>+MINVU_Mes_Corriente!DZ30*SALUD_Mes_Constante!$DP$1</f>
        <v>0</v>
      </c>
      <c r="EA30" s="8">
        <f>+MINVU_Mes_Corriente!EA30*SALUD_Mes_Constante!$DP$1</f>
        <v>0</v>
      </c>
      <c r="EB30" s="9">
        <f t="shared" si="9"/>
        <v>0</v>
      </c>
      <c r="EC30" s="8">
        <f>+MINVU_Mes_Corriente!EC30*SALUD_Mes_Constante!$EC$1</f>
        <v>0</v>
      </c>
      <c r="ED30" s="8">
        <f>+MINVU_Mes_Corriente!ED30*SALUD_Mes_Constante!$EC$1</f>
        <v>0</v>
      </c>
      <c r="EE30" s="8">
        <f>+MINVU_Mes_Corriente!EE30*SALUD_Mes_Constante!$EC$1</f>
        <v>0</v>
      </c>
      <c r="EF30" s="8">
        <f>+MINVU_Mes_Corriente!EF30*SALUD_Mes_Constante!$EC$1</f>
        <v>0</v>
      </c>
      <c r="EG30" s="8">
        <f>+MINVU_Mes_Corriente!EG30*SALUD_Mes_Constante!$EC$1</f>
        <v>0</v>
      </c>
      <c r="EH30" s="8">
        <f>+MINVU_Mes_Corriente!EH30*SALUD_Mes_Constante!$EC$1</f>
        <v>0</v>
      </c>
      <c r="EI30" s="8">
        <f>+MINVU_Mes_Corriente!EI30*SALUD_Mes_Constante!$EC$1</f>
        <v>0</v>
      </c>
      <c r="EJ30" s="8">
        <f>+MINVU_Mes_Corriente!EJ30*SALUD_Mes_Constante!$EC$1</f>
        <v>0</v>
      </c>
      <c r="EK30" s="8">
        <f>+MINVU_Mes_Corriente!EK30*SALUD_Mes_Constante!$EC$1</f>
        <v>0</v>
      </c>
      <c r="EL30" s="8">
        <f>+MINVU_Mes_Corriente!EL30*SALUD_Mes_Constante!$EC$1</f>
        <v>0</v>
      </c>
      <c r="EM30" s="8">
        <f>+MINVU_Mes_Corriente!EM30*SALUD_Mes_Constante!$EC$1</f>
        <v>0</v>
      </c>
      <c r="EN30" s="8">
        <f>+MINVU_Mes_Corriente!EN30*SALUD_Mes_Constante!$EC$1</f>
        <v>0</v>
      </c>
      <c r="EO30" s="9">
        <f t="shared" si="10"/>
        <v>0</v>
      </c>
      <c r="EP30" s="8">
        <f>+MINVU_Mes_Corriente!EP30*SALUD_Mes_Constante!$EP$1</f>
        <v>0</v>
      </c>
      <c r="EQ30" s="8">
        <f>+MINVU_Mes_Corriente!EQ30*SALUD_Mes_Constante!$EP$1</f>
        <v>0</v>
      </c>
      <c r="ER30" s="8">
        <f>+MINVU_Mes_Corriente!ER30*SALUD_Mes_Constante!$EP$1</f>
        <v>0</v>
      </c>
      <c r="ES30" s="8">
        <f>+MINVU_Mes_Corriente!ES30*SALUD_Mes_Constante!$EP$1</f>
        <v>0</v>
      </c>
      <c r="ET30" s="8">
        <f>+MINVU_Mes_Corriente!ET30*SALUD_Mes_Constante!$EP$1</f>
        <v>0</v>
      </c>
      <c r="EU30" s="8">
        <f>+MINVU_Mes_Corriente!EU30*SALUD_Mes_Constante!$EP$1</f>
        <v>0</v>
      </c>
      <c r="EV30" s="8">
        <f>+MINVU_Mes_Corriente!EV30*SALUD_Mes_Constante!$EP$1</f>
        <v>0</v>
      </c>
      <c r="EW30" s="8">
        <f>+MINVU_Mes_Corriente!EW30*SALUD_Mes_Constante!$EP$1</f>
        <v>0</v>
      </c>
      <c r="EX30" s="8">
        <f>+MINVU_Mes_Corriente!EX30*SALUD_Mes_Constante!$EP$1</f>
        <v>0</v>
      </c>
      <c r="EY30" s="8">
        <f>+MINVU_Mes_Corriente!EY30*SALUD_Mes_Constante!$EP$1</f>
        <v>0</v>
      </c>
      <c r="EZ30" s="8">
        <f>+MINVU_Mes_Corriente!EZ30*SALUD_Mes_Constante!$EP$1</f>
        <v>0</v>
      </c>
      <c r="FA30" s="8">
        <f>+MINVU_Mes_Corriente!FA30*SALUD_Mes_Constante!$EP$1</f>
        <v>0</v>
      </c>
      <c r="FB30" s="9">
        <f t="shared" si="11"/>
        <v>0</v>
      </c>
      <c r="FC30" s="8">
        <f>+MINVU_Mes_Corriente!FC30*SALUD_Mes_Constante!$FC$1</f>
        <v>8792255</v>
      </c>
      <c r="FD30" s="8">
        <f>+MINVU_Mes_Corriente!FD30*SALUD_Mes_Constante!$FC$1</f>
        <v>8792255</v>
      </c>
      <c r="FE30" s="8">
        <f>+MINVU_Mes_Corriente!FE30*SALUD_Mes_Constante!$FC$1</f>
        <v>8792255</v>
      </c>
      <c r="FF30" s="8">
        <f>+MINVU_Mes_Corriente!FF30*SALUD_Mes_Constante!$FC$1</f>
        <v>8792255</v>
      </c>
      <c r="FG30" s="8">
        <f>+MINVU_Mes_Corriente!FG30*SALUD_Mes_Constante!$FC$1</f>
        <v>8792255</v>
      </c>
      <c r="FH30" s="8">
        <f>+MINVU_Mes_Corriente!FH30*SALUD_Mes_Constante!$FC$1</f>
        <v>8792255</v>
      </c>
      <c r="FI30" s="8">
        <f>+MINVU_Mes_Corriente!FI30*SALUD_Mes_Constante!$FC$1</f>
        <v>8792255</v>
      </c>
      <c r="FJ30" s="8"/>
      <c r="FK30" s="8"/>
      <c r="FL30" s="8"/>
      <c r="FM30" s="8"/>
      <c r="FN30" s="8"/>
      <c r="FO30" s="9">
        <f t="shared" si="12"/>
        <v>8792255</v>
      </c>
    </row>
    <row r="31" spans="2:171" ht="14.25" customHeight="1" x14ac:dyDescent="0.3">
      <c r="B31" s="7" t="s">
        <v>66</v>
      </c>
      <c r="C31" s="8">
        <f>+MINVU_Mes_Corriente!C31*SALUD_Mes_Constante!$C$1</f>
        <v>0</v>
      </c>
      <c r="D31" s="8">
        <f>+MINVU_Mes_Corriente!D31*SALUD_Mes_Constante!$C$1</f>
        <v>0</v>
      </c>
      <c r="E31" s="8">
        <f>+MINVU_Mes_Corriente!E31*SALUD_Mes_Constante!$C$1</f>
        <v>0</v>
      </c>
      <c r="F31" s="8">
        <f>+MINVU_Mes_Corriente!F31*SALUD_Mes_Constante!$C$1</f>
        <v>0</v>
      </c>
      <c r="G31" s="8">
        <f>+MINVU_Mes_Corriente!G31*SALUD_Mes_Constante!$C$1</f>
        <v>0</v>
      </c>
      <c r="H31" s="8">
        <f>+MINVU_Mes_Corriente!H31*SALUD_Mes_Constante!$C$1</f>
        <v>0</v>
      </c>
      <c r="I31" s="8">
        <f>+MINVU_Mes_Corriente!I31*SALUD_Mes_Constante!$C$1</f>
        <v>0</v>
      </c>
      <c r="J31" s="8">
        <f>+MINVU_Mes_Corriente!J31*SALUD_Mes_Constante!$C$1</f>
        <v>0</v>
      </c>
      <c r="K31" s="8">
        <f>+MINVU_Mes_Corriente!K31*SALUD_Mes_Constante!$C$1</f>
        <v>0</v>
      </c>
      <c r="L31" s="8">
        <f>+MINVU_Mes_Corriente!L31*SALUD_Mes_Constante!$C$1</f>
        <v>0</v>
      </c>
      <c r="M31" s="8">
        <f>+MINVU_Mes_Corriente!M31*SALUD_Mes_Constante!$C$1</f>
        <v>0</v>
      </c>
      <c r="N31" s="8">
        <f>+MINVU_Mes_Corriente!N31*SALUD_Mes_Constante!$C$1</f>
        <v>0</v>
      </c>
      <c r="O31" s="9">
        <f t="shared" si="0"/>
        <v>0</v>
      </c>
      <c r="P31" s="8">
        <f>+MINVU_Mes_Corriente!P31*SALUD_Mes_Constante!$P$1</f>
        <v>0</v>
      </c>
      <c r="Q31" s="8">
        <f>+MINVU_Mes_Corriente!Q31*SALUD_Mes_Constante!$P$1</f>
        <v>0</v>
      </c>
      <c r="R31" s="8">
        <f>+MINVU_Mes_Corriente!R31*SALUD_Mes_Constante!$P$1</f>
        <v>0</v>
      </c>
      <c r="S31" s="8">
        <f>+MINVU_Mes_Corriente!S31*SALUD_Mes_Constante!$P$1</f>
        <v>0</v>
      </c>
      <c r="T31" s="8">
        <f>+MINVU_Mes_Corriente!T31*SALUD_Mes_Constante!$P$1</f>
        <v>0</v>
      </c>
      <c r="U31" s="8">
        <f>+MINVU_Mes_Corriente!U31*SALUD_Mes_Constante!$P$1</f>
        <v>0</v>
      </c>
      <c r="V31" s="8">
        <f>+MINVU_Mes_Corriente!V31*SALUD_Mes_Constante!$P$1</f>
        <v>0</v>
      </c>
      <c r="W31" s="8">
        <f>+MINVU_Mes_Corriente!W31*SALUD_Mes_Constante!$P$1</f>
        <v>0</v>
      </c>
      <c r="X31" s="8">
        <f>+MINVU_Mes_Corriente!X31*SALUD_Mes_Constante!$P$1</f>
        <v>0</v>
      </c>
      <c r="Y31" s="8">
        <f>+MINVU_Mes_Corriente!Y31*SALUD_Mes_Constante!$P$1</f>
        <v>0</v>
      </c>
      <c r="Z31" s="8">
        <f>+MINVU_Mes_Corriente!Z31*SALUD_Mes_Constante!$P$1</f>
        <v>0</v>
      </c>
      <c r="AA31" s="8">
        <f>+MINVU_Mes_Corriente!AA31*SALUD_Mes_Constante!$P$1</f>
        <v>0</v>
      </c>
      <c r="AB31" s="9">
        <f t="shared" si="1"/>
        <v>0</v>
      </c>
      <c r="AC31" s="8">
        <f>+MINVU_Mes_Corriente!AC31*SALUD_Mes_Constante!$AC$1</f>
        <v>0</v>
      </c>
      <c r="AD31" s="8">
        <f>+MINVU_Mes_Corriente!AD31*SALUD_Mes_Constante!$AC$1</f>
        <v>0</v>
      </c>
      <c r="AE31" s="8">
        <f>+MINVU_Mes_Corriente!AE31*SALUD_Mes_Constante!$AC$1</f>
        <v>0</v>
      </c>
      <c r="AF31" s="8">
        <f>+MINVU_Mes_Corriente!AF31*SALUD_Mes_Constante!$AC$1</f>
        <v>0</v>
      </c>
      <c r="AG31" s="8">
        <f>+MINVU_Mes_Corriente!AG31*SALUD_Mes_Constante!$AC$1</f>
        <v>0</v>
      </c>
      <c r="AH31" s="8">
        <f>+MINVU_Mes_Corriente!AH31*SALUD_Mes_Constante!$AC$1</f>
        <v>0</v>
      </c>
      <c r="AI31" s="8">
        <f>+MINVU_Mes_Corriente!AI31*SALUD_Mes_Constante!$AC$1</f>
        <v>0</v>
      </c>
      <c r="AJ31" s="8">
        <f>+MINVU_Mes_Corriente!AJ31*SALUD_Mes_Constante!$AC$1</f>
        <v>0</v>
      </c>
      <c r="AK31" s="8">
        <f>+MINVU_Mes_Corriente!AK31*SALUD_Mes_Constante!$AC$1</f>
        <v>0</v>
      </c>
      <c r="AL31" s="8">
        <f>+MINVU_Mes_Corriente!AL31*SALUD_Mes_Constante!$AC$1</f>
        <v>0</v>
      </c>
      <c r="AM31" s="8">
        <f>+MINVU_Mes_Corriente!AM31*SALUD_Mes_Constante!$AC$1</f>
        <v>0</v>
      </c>
      <c r="AN31" s="8">
        <f>+MINVU_Mes_Corriente!AN31*SALUD_Mes_Constante!$AC$1</f>
        <v>0</v>
      </c>
      <c r="AO31" s="9">
        <f t="shared" si="2"/>
        <v>0</v>
      </c>
      <c r="AP31" s="8">
        <f>+MINVU_Mes_Corriente!AP31*SALUD_Mes_Constante!$AP$1</f>
        <v>0</v>
      </c>
      <c r="AQ31" s="8">
        <f>+MINVU_Mes_Corriente!AQ31*SALUD_Mes_Constante!$AP$1</f>
        <v>0</v>
      </c>
      <c r="AR31" s="8">
        <f>+MINVU_Mes_Corriente!AR31*SALUD_Mes_Constante!$AP$1</f>
        <v>0</v>
      </c>
      <c r="AS31" s="8">
        <f>+MINVU_Mes_Corriente!AS31*SALUD_Mes_Constante!$AP$1</f>
        <v>0</v>
      </c>
      <c r="AT31" s="8">
        <f>+MINVU_Mes_Corriente!AT31*SALUD_Mes_Constante!$AP$1</f>
        <v>0</v>
      </c>
      <c r="AU31" s="8">
        <f>+MINVU_Mes_Corriente!AU31*SALUD_Mes_Constante!$AP$1</f>
        <v>0</v>
      </c>
      <c r="AV31" s="8">
        <f>+MINVU_Mes_Corriente!AV31*SALUD_Mes_Constante!$AP$1</f>
        <v>0</v>
      </c>
      <c r="AW31" s="8">
        <f>+MINVU_Mes_Corriente!AW31*SALUD_Mes_Constante!$AP$1</f>
        <v>0</v>
      </c>
      <c r="AX31" s="8">
        <f>+MINVU_Mes_Corriente!AX31*SALUD_Mes_Constante!$AP$1</f>
        <v>0</v>
      </c>
      <c r="AY31" s="8">
        <f>+MINVU_Mes_Corriente!AY31*SALUD_Mes_Constante!$AP$1</f>
        <v>0</v>
      </c>
      <c r="AZ31" s="8">
        <f>+MINVU_Mes_Corriente!AZ31*SALUD_Mes_Constante!$AP$1</f>
        <v>0</v>
      </c>
      <c r="BA31" s="8">
        <f>+MINVU_Mes_Corriente!BA31*SALUD_Mes_Constante!$AP$1</f>
        <v>0</v>
      </c>
      <c r="BB31" s="9">
        <f t="shared" si="3"/>
        <v>0</v>
      </c>
      <c r="BC31" s="8">
        <f>+MINVU_Mes_Corriente!BC31*SALUD_Mes_Constante!$BC$1</f>
        <v>0</v>
      </c>
      <c r="BD31" s="8">
        <f>+MINVU_Mes_Corriente!BD31*SALUD_Mes_Constante!$BC$1</f>
        <v>0</v>
      </c>
      <c r="BE31" s="8">
        <f>+MINVU_Mes_Corriente!BE31*SALUD_Mes_Constante!$BC$1</f>
        <v>0</v>
      </c>
      <c r="BF31" s="8">
        <f>+MINVU_Mes_Corriente!BF31*SALUD_Mes_Constante!$BC$1</f>
        <v>0</v>
      </c>
      <c r="BG31" s="8">
        <f>+MINVU_Mes_Corriente!BG31*SALUD_Mes_Constante!$BC$1</f>
        <v>0</v>
      </c>
      <c r="BH31" s="8">
        <f>+MINVU_Mes_Corriente!BH31*SALUD_Mes_Constante!$BC$1</f>
        <v>0</v>
      </c>
      <c r="BI31" s="8">
        <f>+MINVU_Mes_Corriente!BI31*SALUD_Mes_Constante!$BC$1</f>
        <v>0</v>
      </c>
      <c r="BJ31" s="8">
        <f>+MINVU_Mes_Corriente!BJ31*SALUD_Mes_Constante!$BC$1</f>
        <v>0</v>
      </c>
      <c r="BK31" s="8">
        <f>+MINVU_Mes_Corriente!BK31*SALUD_Mes_Constante!$BC$1</f>
        <v>0</v>
      </c>
      <c r="BL31" s="8">
        <f>+MINVU_Mes_Corriente!BL31*SALUD_Mes_Constante!$BC$1</f>
        <v>0</v>
      </c>
      <c r="BM31" s="8">
        <f>+MINVU_Mes_Corriente!BM31*SALUD_Mes_Constante!$BC$1</f>
        <v>0</v>
      </c>
      <c r="BN31" s="8">
        <f>+MINVU_Mes_Corriente!BN31*SALUD_Mes_Constante!$BC$1</f>
        <v>0</v>
      </c>
      <c r="BO31" s="9">
        <f t="shared" si="4"/>
        <v>0</v>
      </c>
      <c r="BP31" s="8">
        <f>+MINVU_Mes_Corriente!BP31*SALUD_Mes_Constante!$BP$1</f>
        <v>0</v>
      </c>
      <c r="BQ31" s="8">
        <f>+MINVU_Mes_Corriente!BQ31*SALUD_Mes_Constante!$BP$1</f>
        <v>0</v>
      </c>
      <c r="BR31" s="8">
        <f>+MINVU_Mes_Corriente!BR31*SALUD_Mes_Constante!$BP$1</f>
        <v>0</v>
      </c>
      <c r="BS31" s="8">
        <f>+MINVU_Mes_Corriente!BS31*SALUD_Mes_Constante!$BP$1</f>
        <v>0</v>
      </c>
      <c r="BT31" s="8">
        <f>+MINVU_Mes_Corriente!BT31*SALUD_Mes_Constante!$BP$1</f>
        <v>0</v>
      </c>
      <c r="BU31" s="8">
        <f>+MINVU_Mes_Corriente!BU31*SALUD_Mes_Constante!$BP$1</f>
        <v>0</v>
      </c>
      <c r="BV31" s="8">
        <f>+MINVU_Mes_Corriente!BV31*SALUD_Mes_Constante!$BP$1</f>
        <v>0</v>
      </c>
      <c r="BW31" s="8">
        <f>+MINVU_Mes_Corriente!BW31*SALUD_Mes_Constante!$BP$1</f>
        <v>0</v>
      </c>
      <c r="BX31" s="8">
        <f>+MINVU_Mes_Corriente!BX31*SALUD_Mes_Constante!$BP$1</f>
        <v>0</v>
      </c>
      <c r="BY31" s="8">
        <f>+MINVU_Mes_Corriente!BY31*SALUD_Mes_Constante!$BP$1</f>
        <v>0</v>
      </c>
      <c r="BZ31" s="8">
        <f>+MINVU_Mes_Corriente!BZ31*SALUD_Mes_Constante!$BP$1</f>
        <v>0</v>
      </c>
      <c r="CA31" s="8">
        <f>+MINVU_Mes_Corriente!CA31*SALUD_Mes_Constante!$BP$1</f>
        <v>0</v>
      </c>
      <c r="CB31" s="9">
        <f t="shared" si="5"/>
        <v>0</v>
      </c>
      <c r="CC31" s="8">
        <f>+MINVU_Mes_Corriente!CC31*SALUD_Mes_Constante!$CC$1</f>
        <v>0</v>
      </c>
      <c r="CD31" s="8">
        <f>+MINVU_Mes_Corriente!CD31*SALUD_Mes_Constante!$CC$1</f>
        <v>0</v>
      </c>
      <c r="CE31" s="8">
        <f>+MINVU_Mes_Corriente!CE31*SALUD_Mes_Constante!$CC$1</f>
        <v>0</v>
      </c>
      <c r="CF31" s="8">
        <f>+MINVU_Mes_Corriente!CF31*SALUD_Mes_Constante!$CC$1</f>
        <v>0</v>
      </c>
      <c r="CG31" s="8">
        <f>+MINVU_Mes_Corriente!CG31*SALUD_Mes_Constante!$CC$1</f>
        <v>0</v>
      </c>
      <c r="CH31" s="8">
        <f>+MINVU_Mes_Corriente!CH31*SALUD_Mes_Constante!$CC$1</f>
        <v>0</v>
      </c>
      <c r="CI31" s="8">
        <f>+MINVU_Mes_Corriente!CI31*SALUD_Mes_Constante!$CC$1</f>
        <v>0</v>
      </c>
      <c r="CJ31" s="8">
        <f>+MINVU_Mes_Corriente!CJ31*SALUD_Mes_Constante!$CC$1</f>
        <v>0</v>
      </c>
      <c r="CK31" s="8">
        <f>+MINVU_Mes_Corriente!CK31*SALUD_Mes_Constante!$CC$1</f>
        <v>0</v>
      </c>
      <c r="CL31" s="8">
        <f>+MINVU_Mes_Corriente!CL31*SALUD_Mes_Constante!$CC$1</f>
        <v>0</v>
      </c>
      <c r="CM31" s="8">
        <f>+MINVU_Mes_Corriente!CM31*SALUD_Mes_Constante!$CC$1</f>
        <v>0</v>
      </c>
      <c r="CN31" s="8">
        <f>+MINVU_Mes_Corriente!CN31*SALUD_Mes_Constante!$CC$1</f>
        <v>0</v>
      </c>
      <c r="CO31" s="9">
        <f t="shared" si="6"/>
        <v>0</v>
      </c>
      <c r="CP31" s="8">
        <f>+MINVU_Mes_Corriente!CP31*SALUD_Mes_Constante!$CP$1</f>
        <v>0</v>
      </c>
      <c r="CQ31" s="8">
        <f>+MINVU_Mes_Corriente!CQ31*SALUD_Mes_Constante!$CP$1</f>
        <v>0</v>
      </c>
      <c r="CR31" s="8">
        <f>+MINVU_Mes_Corriente!CR31*SALUD_Mes_Constante!$CP$1</f>
        <v>0</v>
      </c>
      <c r="CS31" s="8">
        <f>+MINVU_Mes_Corriente!CS31*SALUD_Mes_Constante!$CP$1</f>
        <v>0</v>
      </c>
      <c r="CT31" s="8">
        <f>+MINVU_Mes_Corriente!CT31*SALUD_Mes_Constante!$CP$1</f>
        <v>0</v>
      </c>
      <c r="CU31" s="8">
        <f>+MINVU_Mes_Corriente!CU31*SALUD_Mes_Constante!$CP$1</f>
        <v>0</v>
      </c>
      <c r="CV31" s="8">
        <f>+MINVU_Mes_Corriente!CV31*SALUD_Mes_Constante!$CP$1</f>
        <v>0</v>
      </c>
      <c r="CW31" s="8">
        <f>+MINVU_Mes_Corriente!CW31*SALUD_Mes_Constante!$CP$1</f>
        <v>0</v>
      </c>
      <c r="CX31" s="8">
        <f>+MINVU_Mes_Corriente!CX31*SALUD_Mes_Constante!$CP$1</f>
        <v>0</v>
      </c>
      <c r="CY31" s="8">
        <f>+MINVU_Mes_Corriente!CY31*SALUD_Mes_Constante!$CP$1</f>
        <v>0</v>
      </c>
      <c r="CZ31" s="8">
        <f>+MINVU_Mes_Corriente!CZ31*SALUD_Mes_Constante!$CP$1</f>
        <v>0</v>
      </c>
      <c r="DA31" s="8">
        <f>+MINVU_Mes_Corriente!DA31*SALUD_Mes_Constante!$CP$1</f>
        <v>0</v>
      </c>
      <c r="DB31" s="9">
        <f t="shared" si="7"/>
        <v>0</v>
      </c>
      <c r="DC31" s="8">
        <f>+MINVU_Mes_Corriente!DC31*SALUD_Mes_Constante!$DC$1</f>
        <v>0</v>
      </c>
      <c r="DD31" s="8">
        <f>+MINVU_Mes_Corriente!DD31*SALUD_Mes_Constante!$DC$1</f>
        <v>0</v>
      </c>
      <c r="DE31" s="8">
        <f>+MINVU_Mes_Corriente!DE31*SALUD_Mes_Constante!$DC$1</f>
        <v>0</v>
      </c>
      <c r="DF31" s="8">
        <f>+MINVU_Mes_Corriente!DF31*SALUD_Mes_Constante!$DC$1</f>
        <v>0</v>
      </c>
      <c r="DG31" s="8">
        <f>+MINVU_Mes_Corriente!DG31*SALUD_Mes_Constante!$DC$1</f>
        <v>0</v>
      </c>
      <c r="DH31" s="8">
        <f>+MINVU_Mes_Corriente!DH31*SALUD_Mes_Constante!$DC$1</f>
        <v>0</v>
      </c>
      <c r="DI31" s="8">
        <f>+MINVU_Mes_Corriente!DI31*SALUD_Mes_Constante!$DC$1</f>
        <v>0</v>
      </c>
      <c r="DJ31" s="8">
        <f>+MINVU_Mes_Corriente!DJ31*SALUD_Mes_Constante!$DC$1</f>
        <v>0</v>
      </c>
      <c r="DK31" s="8">
        <f>+MINVU_Mes_Corriente!DK31*SALUD_Mes_Constante!$DC$1</f>
        <v>0</v>
      </c>
      <c r="DL31" s="8">
        <f>+MINVU_Mes_Corriente!DL31*SALUD_Mes_Constante!$DC$1</f>
        <v>0</v>
      </c>
      <c r="DM31" s="8">
        <f>+MINVU_Mes_Corriente!DM31*SALUD_Mes_Constante!$DC$1</f>
        <v>0</v>
      </c>
      <c r="DN31" s="8">
        <f>+MINVU_Mes_Corriente!DN31*SALUD_Mes_Constante!$DC$1</f>
        <v>0</v>
      </c>
      <c r="DO31" s="9">
        <f t="shared" si="8"/>
        <v>0</v>
      </c>
      <c r="DP31" s="8">
        <f>+MINVU_Mes_Corriente!DP31*SALUD_Mes_Constante!$DP$1</f>
        <v>0</v>
      </c>
      <c r="DQ31" s="8">
        <f>+MINVU_Mes_Corriente!DQ31*SALUD_Mes_Constante!$DP$1</f>
        <v>0</v>
      </c>
      <c r="DR31" s="8">
        <f>+MINVU_Mes_Corriente!DR31*SALUD_Mes_Constante!$DP$1</f>
        <v>0</v>
      </c>
      <c r="DS31" s="8">
        <f>+MINVU_Mes_Corriente!DS31*SALUD_Mes_Constante!$DP$1</f>
        <v>0</v>
      </c>
      <c r="DT31" s="8">
        <f>+MINVU_Mes_Corriente!DT31*SALUD_Mes_Constante!$DP$1</f>
        <v>0</v>
      </c>
      <c r="DU31" s="8">
        <f>+MINVU_Mes_Corriente!DU31*SALUD_Mes_Constante!$DP$1</f>
        <v>0</v>
      </c>
      <c r="DV31" s="8">
        <f>+MINVU_Mes_Corriente!DV31*SALUD_Mes_Constante!$DP$1</f>
        <v>0</v>
      </c>
      <c r="DW31" s="8">
        <f>+MINVU_Mes_Corriente!DW31*SALUD_Mes_Constante!$DP$1</f>
        <v>0</v>
      </c>
      <c r="DX31" s="8">
        <f>+MINVU_Mes_Corriente!DX31*SALUD_Mes_Constante!$DP$1</f>
        <v>0</v>
      </c>
      <c r="DY31" s="8">
        <f>+MINVU_Mes_Corriente!DY31*SALUD_Mes_Constante!$DP$1</f>
        <v>0</v>
      </c>
      <c r="DZ31" s="8">
        <f>+MINVU_Mes_Corriente!DZ31*SALUD_Mes_Constante!$DP$1</f>
        <v>0</v>
      </c>
      <c r="EA31" s="8">
        <f>+MINVU_Mes_Corriente!EA31*SALUD_Mes_Constante!$DP$1</f>
        <v>0</v>
      </c>
      <c r="EB31" s="9">
        <f t="shared" si="9"/>
        <v>0</v>
      </c>
      <c r="EC31" s="8">
        <f>+MINVU_Mes_Corriente!EC31*SALUD_Mes_Constante!$EC$1</f>
        <v>0</v>
      </c>
      <c r="ED31" s="8">
        <f>+MINVU_Mes_Corriente!ED31*SALUD_Mes_Constante!$EC$1</f>
        <v>0</v>
      </c>
      <c r="EE31" s="8">
        <f>+MINVU_Mes_Corriente!EE31*SALUD_Mes_Constante!$EC$1</f>
        <v>0</v>
      </c>
      <c r="EF31" s="8">
        <f>+MINVU_Mes_Corriente!EF31*SALUD_Mes_Constante!$EC$1</f>
        <v>0</v>
      </c>
      <c r="EG31" s="8">
        <f>+MINVU_Mes_Corriente!EG31*SALUD_Mes_Constante!$EC$1</f>
        <v>0</v>
      </c>
      <c r="EH31" s="8">
        <f>+MINVU_Mes_Corriente!EH31*SALUD_Mes_Constante!$EC$1</f>
        <v>0</v>
      </c>
      <c r="EI31" s="8">
        <f>+MINVU_Mes_Corriente!EI31*SALUD_Mes_Constante!$EC$1</f>
        <v>0</v>
      </c>
      <c r="EJ31" s="8">
        <f>+MINVU_Mes_Corriente!EJ31*SALUD_Mes_Constante!$EC$1</f>
        <v>0</v>
      </c>
      <c r="EK31" s="8">
        <f>+MINVU_Mes_Corriente!EK31*SALUD_Mes_Constante!$EC$1</f>
        <v>0</v>
      </c>
      <c r="EL31" s="8">
        <f>+MINVU_Mes_Corriente!EL31*SALUD_Mes_Constante!$EC$1</f>
        <v>0</v>
      </c>
      <c r="EM31" s="8">
        <f>+MINVU_Mes_Corriente!EM31*SALUD_Mes_Constante!$EC$1</f>
        <v>0</v>
      </c>
      <c r="EN31" s="8">
        <f>+MINVU_Mes_Corriente!EN31*SALUD_Mes_Constante!$EC$1</f>
        <v>0</v>
      </c>
      <c r="EO31" s="9">
        <f t="shared" si="10"/>
        <v>0</v>
      </c>
      <c r="EP31" s="8">
        <f>+MINVU_Mes_Corriente!EP31*SALUD_Mes_Constante!$EP$1</f>
        <v>0</v>
      </c>
      <c r="EQ31" s="8">
        <f>+MINVU_Mes_Corriente!EQ31*SALUD_Mes_Constante!$EP$1</f>
        <v>0</v>
      </c>
      <c r="ER31" s="8">
        <f>+MINVU_Mes_Corriente!ER31*SALUD_Mes_Constante!$EP$1</f>
        <v>0</v>
      </c>
      <c r="ES31" s="8">
        <f>+MINVU_Mes_Corriente!ES31*SALUD_Mes_Constante!$EP$1</f>
        <v>0</v>
      </c>
      <c r="ET31" s="8">
        <f>+MINVU_Mes_Corriente!ET31*SALUD_Mes_Constante!$EP$1</f>
        <v>0</v>
      </c>
      <c r="EU31" s="8">
        <f>+MINVU_Mes_Corriente!EU31*SALUD_Mes_Constante!$EP$1</f>
        <v>0</v>
      </c>
      <c r="EV31" s="8">
        <f>+MINVU_Mes_Corriente!EV31*SALUD_Mes_Constante!$EP$1</f>
        <v>0</v>
      </c>
      <c r="EW31" s="8">
        <f>+MINVU_Mes_Corriente!EW31*SALUD_Mes_Constante!$EP$1</f>
        <v>0</v>
      </c>
      <c r="EX31" s="8">
        <f>+MINVU_Mes_Corriente!EX31*SALUD_Mes_Constante!$EP$1</f>
        <v>0</v>
      </c>
      <c r="EY31" s="8">
        <f>+MINVU_Mes_Corriente!EY31*SALUD_Mes_Constante!$EP$1</f>
        <v>0</v>
      </c>
      <c r="EZ31" s="8">
        <f>+MINVU_Mes_Corriente!EZ31*SALUD_Mes_Constante!$EP$1</f>
        <v>0</v>
      </c>
      <c r="FA31" s="8">
        <f>+MINVU_Mes_Corriente!FA31*SALUD_Mes_Constante!$EP$1</f>
        <v>0</v>
      </c>
      <c r="FB31" s="9">
        <f t="shared" si="11"/>
        <v>0</v>
      </c>
      <c r="FC31" s="8">
        <f>+MINVU_Mes_Corriente!FC31*SALUD_Mes_Constante!$FC$1</f>
        <v>18659595</v>
      </c>
      <c r="FD31" s="8">
        <f>+MINVU_Mes_Corriente!FD31*SALUD_Mes_Constante!$FC$1</f>
        <v>18659595</v>
      </c>
      <c r="FE31" s="8">
        <f>+MINVU_Mes_Corriente!FE31*SALUD_Mes_Constante!$FC$1</f>
        <v>18659595</v>
      </c>
      <c r="FF31" s="8">
        <f>+MINVU_Mes_Corriente!FF31*SALUD_Mes_Constante!$FC$1</f>
        <v>18659595</v>
      </c>
      <c r="FG31" s="8">
        <f>+MINVU_Mes_Corriente!FG31*SALUD_Mes_Constante!$FC$1</f>
        <v>18659595</v>
      </c>
      <c r="FH31" s="8">
        <f>+MINVU_Mes_Corriente!FH31*SALUD_Mes_Constante!$FC$1</f>
        <v>18659595</v>
      </c>
      <c r="FI31" s="8">
        <f>+MINVU_Mes_Corriente!FI31*SALUD_Mes_Constante!$FC$1</f>
        <v>18659595</v>
      </c>
      <c r="FJ31" s="8"/>
      <c r="FK31" s="8"/>
      <c r="FL31" s="8"/>
      <c r="FM31" s="8"/>
      <c r="FN31" s="8"/>
      <c r="FO31" s="9">
        <f t="shared" si="12"/>
        <v>18659595</v>
      </c>
    </row>
    <row r="32" spans="2:171" ht="14.25" customHeight="1" x14ac:dyDescent="0.3">
      <c r="B32" s="7" t="s">
        <v>67</v>
      </c>
      <c r="C32" s="8">
        <f>+MINVU_Mes_Corriente!C32*SALUD_Mes_Constante!$C$1</f>
        <v>0</v>
      </c>
      <c r="D32" s="8">
        <f>+MINVU_Mes_Corriente!D32*SALUD_Mes_Constante!$C$1</f>
        <v>0</v>
      </c>
      <c r="E32" s="8">
        <f>+MINVU_Mes_Corriente!E32*SALUD_Mes_Constante!$C$1</f>
        <v>0</v>
      </c>
      <c r="F32" s="8">
        <f>+MINVU_Mes_Corriente!F32*SALUD_Mes_Constante!$C$1</f>
        <v>0</v>
      </c>
      <c r="G32" s="8">
        <f>+MINVU_Mes_Corriente!G32*SALUD_Mes_Constante!$C$1</f>
        <v>0</v>
      </c>
      <c r="H32" s="8">
        <f>+MINVU_Mes_Corriente!H32*SALUD_Mes_Constante!$C$1</f>
        <v>0</v>
      </c>
      <c r="I32" s="8">
        <f>+MINVU_Mes_Corriente!I32*SALUD_Mes_Constante!$C$1</f>
        <v>0</v>
      </c>
      <c r="J32" s="8">
        <f>+MINVU_Mes_Corriente!J32*SALUD_Mes_Constante!$C$1</f>
        <v>0</v>
      </c>
      <c r="K32" s="8">
        <f>+MINVU_Mes_Corriente!K32*SALUD_Mes_Constante!$C$1</f>
        <v>0</v>
      </c>
      <c r="L32" s="8">
        <f>+MINVU_Mes_Corriente!L32*SALUD_Mes_Constante!$C$1</f>
        <v>0</v>
      </c>
      <c r="M32" s="8">
        <f>+MINVU_Mes_Corriente!M32*SALUD_Mes_Constante!$C$1</f>
        <v>0</v>
      </c>
      <c r="N32" s="8">
        <f>+MINVU_Mes_Corriente!N32*SALUD_Mes_Constante!$C$1</f>
        <v>0</v>
      </c>
      <c r="O32" s="9">
        <f t="shared" si="0"/>
        <v>0</v>
      </c>
      <c r="P32" s="8">
        <f>+MINVU_Mes_Corriente!P32*SALUD_Mes_Constante!$P$1</f>
        <v>0</v>
      </c>
      <c r="Q32" s="8">
        <f>+MINVU_Mes_Corriente!Q32*SALUD_Mes_Constante!$P$1</f>
        <v>0</v>
      </c>
      <c r="R32" s="8">
        <f>+MINVU_Mes_Corriente!R32*SALUD_Mes_Constante!$P$1</f>
        <v>0</v>
      </c>
      <c r="S32" s="8">
        <f>+MINVU_Mes_Corriente!S32*SALUD_Mes_Constante!$P$1</f>
        <v>0</v>
      </c>
      <c r="T32" s="8">
        <f>+MINVU_Mes_Corriente!T32*SALUD_Mes_Constante!$P$1</f>
        <v>0</v>
      </c>
      <c r="U32" s="8">
        <f>+MINVU_Mes_Corriente!U32*SALUD_Mes_Constante!$P$1</f>
        <v>0</v>
      </c>
      <c r="V32" s="8">
        <f>+MINVU_Mes_Corriente!V32*SALUD_Mes_Constante!$P$1</f>
        <v>0</v>
      </c>
      <c r="W32" s="8">
        <f>+MINVU_Mes_Corriente!W32*SALUD_Mes_Constante!$P$1</f>
        <v>0</v>
      </c>
      <c r="X32" s="8">
        <f>+MINVU_Mes_Corriente!X32*SALUD_Mes_Constante!$P$1</f>
        <v>0</v>
      </c>
      <c r="Y32" s="8">
        <f>+MINVU_Mes_Corriente!Y32*SALUD_Mes_Constante!$P$1</f>
        <v>0</v>
      </c>
      <c r="Z32" s="8">
        <f>+MINVU_Mes_Corriente!Z32*SALUD_Mes_Constante!$P$1</f>
        <v>0</v>
      </c>
      <c r="AA32" s="8">
        <f>+MINVU_Mes_Corriente!AA32*SALUD_Mes_Constante!$P$1</f>
        <v>0</v>
      </c>
      <c r="AB32" s="9">
        <f t="shared" si="1"/>
        <v>0</v>
      </c>
      <c r="AC32" s="8">
        <f>+MINVU_Mes_Corriente!AC32*SALUD_Mes_Constante!$AC$1</f>
        <v>0</v>
      </c>
      <c r="AD32" s="8">
        <f>+MINVU_Mes_Corriente!AD32*SALUD_Mes_Constante!$AC$1</f>
        <v>0</v>
      </c>
      <c r="AE32" s="8">
        <f>+MINVU_Mes_Corriente!AE32*SALUD_Mes_Constante!$AC$1</f>
        <v>0</v>
      </c>
      <c r="AF32" s="8">
        <f>+MINVU_Mes_Corriente!AF32*SALUD_Mes_Constante!$AC$1</f>
        <v>0</v>
      </c>
      <c r="AG32" s="8">
        <f>+MINVU_Mes_Corriente!AG32*SALUD_Mes_Constante!$AC$1</f>
        <v>0</v>
      </c>
      <c r="AH32" s="8">
        <f>+MINVU_Mes_Corriente!AH32*SALUD_Mes_Constante!$AC$1</f>
        <v>0</v>
      </c>
      <c r="AI32" s="8">
        <f>+MINVU_Mes_Corriente!AI32*SALUD_Mes_Constante!$AC$1</f>
        <v>0</v>
      </c>
      <c r="AJ32" s="8">
        <f>+MINVU_Mes_Corriente!AJ32*SALUD_Mes_Constante!$AC$1</f>
        <v>0</v>
      </c>
      <c r="AK32" s="8">
        <f>+MINVU_Mes_Corriente!AK32*SALUD_Mes_Constante!$AC$1</f>
        <v>0</v>
      </c>
      <c r="AL32" s="8">
        <f>+MINVU_Mes_Corriente!AL32*SALUD_Mes_Constante!$AC$1</f>
        <v>0</v>
      </c>
      <c r="AM32" s="8">
        <f>+MINVU_Mes_Corriente!AM32*SALUD_Mes_Constante!$AC$1</f>
        <v>0</v>
      </c>
      <c r="AN32" s="8">
        <f>+MINVU_Mes_Corriente!AN32*SALUD_Mes_Constante!$AC$1</f>
        <v>0</v>
      </c>
      <c r="AO32" s="9">
        <f t="shared" si="2"/>
        <v>0</v>
      </c>
      <c r="AP32" s="8">
        <f>+MINVU_Mes_Corriente!AP32*SALUD_Mes_Constante!$AP$1</f>
        <v>0</v>
      </c>
      <c r="AQ32" s="8">
        <f>+MINVU_Mes_Corriente!AQ32*SALUD_Mes_Constante!$AP$1</f>
        <v>0</v>
      </c>
      <c r="AR32" s="8">
        <f>+MINVU_Mes_Corriente!AR32*SALUD_Mes_Constante!$AP$1</f>
        <v>0</v>
      </c>
      <c r="AS32" s="8">
        <f>+MINVU_Mes_Corriente!AS32*SALUD_Mes_Constante!$AP$1</f>
        <v>0</v>
      </c>
      <c r="AT32" s="8">
        <f>+MINVU_Mes_Corriente!AT32*SALUD_Mes_Constante!$AP$1</f>
        <v>0</v>
      </c>
      <c r="AU32" s="8">
        <f>+MINVU_Mes_Corriente!AU32*SALUD_Mes_Constante!$AP$1</f>
        <v>0</v>
      </c>
      <c r="AV32" s="8">
        <f>+MINVU_Mes_Corriente!AV32*SALUD_Mes_Constante!$AP$1</f>
        <v>0</v>
      </c>
      <c r="AW32" s="8">
        <f>+MINVU_Mes_Corriente!AW32*SALUD_Mes_Constante!$AP$1</f>
        <v>0</v>
      </c>
      <c r="AX32" s="8">
        <f>+MINVU_Mes_Corriente!AX32*SALUD_Mes_Constante!$AP$1</f>
        <v>0</v>
      </c>
      <c r="AY32" s="8">
        <f>+MINVU_Mes_Corriente!AY32*SALUD_Mes_Constante!$AP$1</f>
        <v>0</v>
      </c>
      <c r="AZ32" s="8">
        <f>+MINVU_Mes_Corriente!AZ32*SALUD_Mes_Constante!$AP$1</f>
        <v>0</v>
      </c>
      <c r="BA32" s="8">
        <f>+MINVU_Mes_Corriente!BA32*SALUD_Mes_Constante!$AP$1</f>
        <v>0</v>
      </c>
      <c r="BB32" s="9">
        <f t="shared" si="3"/>
        <v>0</v>
      </c>
      <c r="BC32" s="8">
        <f>+MINVU_Mes_Corriente!BC32*SALUD_Mes_Constante!$BC$1</f>
        <v>0</v>
      </c>
      <c r="BD32" s="8">
        <f>+MINVU_Mes_Corriente!BD32*SALUD_Mes_Constante!$BC$1</f>
        <v>0</v>
      </c>
      <c r="BE32" s="8">
        <f>+MINVU_Mes_Corriente!BE32*SALUD_Mes_Constante!$BC$1</f>
        <v>0</v>
      </c>
      <c r="BF32" s="8">
        <f>+MINVU_Mes_Corriente!BF32*SALUD_Mes_Constante!$BC$1</f>
        <v>0</v>
      </c>
      <c r="BG32" s="8">
        <f>+MINVU_Mes_Corriente!BG32*SALUD_Mes_Constante!$BC$1</f>
        <v>0</v>
      </c>
      <c r="BH32" s="8">
        <f>+MINVU_Mes_Corriente!BH32*SALUD_Mes_Constante!$BC$1</f>
        <v>0</v>
      </c>
      <c r="BI32" s="8">
        <f>+MINVU_Mes_Corriente!BI32*SALUD_Mes_Constante!$BC$1</f>
        <v>0</v>
      </c>
      <c r="BJ32" s="8">
        <f>+MINVU_Mes_Corriente!BJ32*SALUD_Mes_Constante!$BC$1</f>
        <v>0</v>
      </c>
      <c r="BK32" s="8">
        <f>+MINVU_Mes_Corriente!BK32*SALUD_Mes_Constante!$BC$1</f>
        <v>0</v>
      </c>
      <c r="BL32" s="8">
        <f>+MINVU_Mes_Corriente!BL32*SALUD_Mes_Constante!$BC$1</f>
        <v>0</v>
      </c>
      <c r="BM32" s="8">
        <f>+MINVU_Mes_Corriente!BM32*SALUD_Mes_Constante!$BC$1</f>
        <v>0</v>
      </c>
      <c r="BN32" s="8">
        <f>+MINVU_Mes_Corriente!BN32*SALUD_Mes_Constante!$BC$1</f>
        <v>0</v>
      </c>
      <c r="BO32" s="9">
        <f t="shared" si="4"/>
        <v>0</v>
      </c>
      <c r="BP32" s="8">
        <f>+MINVU_Mes_Corriente!BP32*SALUD_Mes_Constante!$BP$1</f>
        <v>0</v>
      </c>
      <c r="BQ32" s="8">
        <f>+MINVU_Mes_Corriente!BQ32*SALUD_Mes_Constante!$BP$1</f>
        <v>0</v>
      </c>
      <c r="BR32" s="8">
        <f>+MINVU_Mes_Corriente!BR32*SALUD_Mes_Constante!$BP$1</f>
        <v>0</v>
      </c>
      <c r="BS32" s="8">
        <f>+MINVU_Mes_Corriente!BS32*SALUD_Mes_Constante!$BP$1</f>
        <v>0</v>
      </c>
      <c r="BT32" s="8">
        <f>+MINVU_Mes_Corriente!BT32*SALUD_Mes_Constante!$BP$1</f>
        <v>0</v>
      </c>
      <c r="BU32" s="8">
        <f>+MINVU_Mes_Corriente!BU32*SALUD_Mes_Constante!$BP$1</f>
        <v>0</v>
      </c>
      <c r="BV32" s="8">
        <f>+MINVU_Mes_Corriente!BV32*SALUD_Mes_Constante!$BP$1</f>
        <v>0</v>
      </c>
      <c r="BW32" s="8">
        <f>+MINVU_Mes_Corriente!BW32*SALUD_Mes_Constante!$BP$1</f>
        <v>0</v>
      </c>
      <c r="BX32" s="8">
        <f>+MINVU_Mes_Corriente!BX32*SALUD_Mes_Constante!$BP$1</f>
        <v>0</v>
      </c>
      <c r="BY32" s="8">
        <f>+MINVU_Mes_Corriente!BY32*SALUD_Mes_Constante!$BP$1</f>
        <v>0</v>
      </c>
      <c r="BZ32" s="8">
        <f>+MINVU_Mes_Corriente!BZ32*SALUD_Mes_Constante!$BP$1</f>
        <v>0</v>
      </c>
      <c r="CA32" s="8">
        <f>+MINVU_Mes_Corriente!CA32*SALUD_Mes_Constante!$BP$1</f>
        <v>0</v>
      </c>
      <c r="CB32" s="9">
        <f t="shared" si="5"/>
        <v>0</v>
      </c>
      <c r="CC32" s="8">
        <f>+MINVU_Mes_Corriente!CC32*SALUD_Mes_Constante!$CC$1</f>
        <v>0</v>
      </c>
      <c r="CD32" s="8">
        <f>+MINVU_Mes_Corriente!CD32*SALUD_Mes_Constante!$CC$1</f>
        <v>0</v>
      </c>
      <c r="CE32" s="8">
        <f>+MINVU_Mes_Corriente!CE32*SALUD_Mes_Constante!$CC$1</f>
        <v>0</v>
      </c>
      <c r="CF32" s="8">
        <f>+MINVU_Mes_Corriente!CF32*SALUD_Mes_Constante!$CC$1</f>
        <v>0</v>
      </c>
      <c r="CG32" s="8">
        <f>+MINVU_Mes_Corriente!CG32*SALUD_Mes_Constante!$CC$1</f>
        <v>0</v>
      </c>
      <c r="CH32" s="8">
        <f>+MINVU_Mes_Corriente!CH32*SALUD_Mes_Constante!$CC$1</f>
        <v>0</v>
      </c>
      <c r="CI32" s="8">
        <f>+MINVU_Mes_Corriente!CI32*SALUD_Mes_Constante!$CC$1</f>
        <v>0</v>
      </c>
      <c r="CJ32" s="8">
        <f>+MINVU_Mes_Corriente!CJ32*SALUD_Mes_Constante!$CC$1</f>
        <v>0</v>
      </c>
      <c r="CK32" s="8">
        <f>+MINVU_Mes_Corriente!CK32*SALUD_Mes_Constante!$CC$1</f>
        <v>0</v>
      </c>
      <c r="CL32" s="8">
        <f>+MINVU_Mes_Corriente!CL32*SALUD_Mes_Constante!$CC$1</f>
        <v>0</v>
      </c>
      <c r="CM32" s="8">
        <f>+MINVU_Mes_Corriente!CM32*SALUD_Mes_Constante!$CC$1</f>
        <v>0</v>
      </c>
      <c r="CN32" s="8">
        <f>+MINVU_Mes_Corriente!CN32*SALUD_Mes_Constante!$CC$1</f>
        <v>0</v>
      </c>
      <c r="CO32" s="9">
        <f t="shared" si="6"/>
        <v>0</v>
      </c>
      <c r="CP32" s="8">
        <f>+MINVU_Mes_Corriente!CP32*SALUD_Mes_Constante!$CP$1</f>
        <v>0</v>
      </c>
      <c r="CQ32" s="8">
        <f>+MINVU_Mes_Corriente!CQ32*SALUD_Mes_Constante!$CP$1</f>
        <v>0</v>
      </c>
      <c r="CR32" s="8">
        <f>+MINVU_Mes_Corriente!CR32*SALUD_Mes_Constante!$CP$1</f>
        <v>0</v>
      </c>
      <c r="CS32" s="8">
        <f>+MINVU_Mes_Corriente!CS32*SALUD_Mes_Constante!$CP$1</f>
        <v>0</v>
      </c>
      <c r="CT32" s="8">
        <f>+MINVU_Mes_Corriente!CT32*SALUD_Mes_Constante!$CP$1</f>
        <v>0</v>
      </c>
      <c r="CU32" s="8">
        <f>+MINVU_Mes_Corriente!CU32*SALUD_Mes_Constante!$CP$1</f>
        <v>0</v>
      </c>
      <c r="CV32" s="8">
        <f>+MINVU_Mes_Corriente!CV32*SALUD_Mes_Constante!$CP$1</f>
        <v>0</v>
      </c>
      <c r="CW32" s="8">
        <f>+MINVU_Mes_Corriente!CW32*SALUD_Mes_Constante!$CP$1</f>
        <v>0</v>
      </c>
      <c r="CX32" s="8">
        <f>+MINVU_Mes_Corriente!CX32*SALUD_Mes_Constante!$CP$1</f>
        <v>0</v>
      </c>
      <c r="CY32" s="8">
        <f>+MINVU_Mes_Corriente!CY32*SALUD_Mes_Constante!$CP$1</f>
        <v>0</v>
      </c>
      <c r="CZ32" s="8">
        <f>+MINVU_Mes_Corriente!CZ32*SALUD_Mes_Constante!$CP$1</f>
        <v>0</v>
      </c>
      <c r="DA32" s="8">
        <f>+MINVU_Mes_Corriente!DA32*SALUD_Mes_Constante!$CP$1</f>
        <v>0</v>
      </c>
      <c r="DB32" s="9">
        <f t="shared" si="7"/>
        <v>0</v>
      </c>
      <c r="DC32" s="8">
        <f>+MINVU_Mes_Corriente!DC32*SALUD_Mes_Constante!$DC$1</f>
        <v>0</v>
      </c>
      <c r="DD32" s="8">
        <f>+MINVU_Mes_Corriente!DD32*SALUD_Mes_Constante!$DC$1</f>
        <v>0</v>
      </c>
      <c r="DE32" s="8">
        <f>+MINVU_Mes_Corriente!DE32*SALUD_Mes_Constante!$DC$1</f>
        <v>0</v>
      </c>
      <c r="DF32" s="8">
        <f>+MINVU_Mes_Corriente!DF32*SALUD_Mes_Constante!$DC$1</f>
        <v>0</v>
      </c>
      <c r="DG32" s="8">
        <f>+MINVU_Mes_Corriente!DG32*SALUD_Mes_Constante!$DC$1</f>
        <v>0</v>
      </c>
      <c r="DH32" s="8">
        <f>+MINVU_Mes_Corriente!DH32*SALUD_Mes_Constante!$DC$1</f>
        <v>0</v>
      </c>
      <c r="DI32" s="8">
        <f>+MINVU_Mes_Corriente!DI32*SALUD_Mes_Constante!$DC$1</f>
        <v>0</v>
      </c>
      <c r="DJ32" s="8">
        <f>+MINVU_Mes_Corriente!DJ32*SALUD_Mes_Constante!$DC$1</f>
        <v>0</v>
      </c>
      <c r="DK32" s="8">
        <f>+MINVU_Mes_Corriente!DK32*SALUD_Mes_Constante!$DC$1</f>
        <v>0</v>
      </c>
      <c r="DL32" s="8">
        <f>+MINVU_Mes_Corriente!DL32*SALUD_Mes_Constante!$DC$1</f>
        <v>0</v>
      </c>
      <c r="DM32" s="8">
        <f>+MINVU_Mes_Corriente!DM32*SALUD_Mes_Constante!$DC$1</f>
        <v>0</v>
      </c>
      <c r="DN32" s="8">
        <f>+MINVU_Mes_Corriente!DN32*SALUD_Mes_Constante!$DC$1</f>
        <v>0</v>
      </c>
      <c r="DO32" s="9">
        <f t="shared" si="8"/>
        <v>0</v>
      </c>
      <c r="DP32" s="8">
        <f>+MINVU_Mes_Corriente!DP32*SALUD_Mes_Constante!$DP$1</f>
        <v>0</v>
      </c>
      <c r="DQ32" s="8">
        <f>+MINVU_Mes_Corriente!DQ32*SALUD_Mes_Constante!$DP$1</f>
        <v>0</v>
      </c>
      <c r="DR32" s="8">
        <f>+MINVU_Mes_Corriente!DR32*SALUD_Mes_Constante!$DP$1</f>
        <v>0</v>
      </c>
      <c r="DS32" s="8">
        <f>+MINVU_Mes_Corriente!DS32*SALUD_Mes_Constante!$DP$1</f>
        <v>0</v>
      </c>
      <c r="DT32" s="8">
        <f>+MINVU_Mes_Corriente!DT32*SALUD_Mes_Constante!$DP$1</f>
        <v>0</v>
      </c>
      <c r="DU32" s="8">
        <f>+MINVU_Mes_Corriente!DU32*SALUD_Mes_Constante!$DP$1</f>
        <v>0</v>
      </c>
      <c r="DV32" s="8">
        <f>+MINVU_Mes_Corriente!DV32*SALUD_Mes_Constante!$DP$1</f>
        <v>0</v>
      </c>
      <c r="DW32" s="8">
        <f>+MINVU_Mes_Corriente!DW32*SALUD_Mes_Constante!$DP$1</f>
        <v>0</v>
      </c>
      <c r="DX32" s="8">
        <f>+MINVU_Mes_Corriente!DX32*SALUD_Mes_Constante!$DP$1</f>
        <v>0</v>
      </c>
      <c r="DY32" s="8">
        <f>+MINVU_Mes_Corriente!DY32*SALUD_Mes_Constante!$DP$1</f>
        <v>0</v>
      </c>
      <c r="DZ32" s="8">
        <f>+MINVU_Mes_Corriente!DZ32*SALUD_Mes_Constante!$DP$1</f>
        <v>0</v>
      </c>
      <c r="EA32" s="8">
        <f>+MINVU_Mes_Corriente!EA32*SALUD_Mes_Constante!$DP$1</f>
        <v>0</v>
      </c>
      <c r="EB32" s="9">
        <f t="shared" si="9"/>
        <v>0</v>
      </c>
      <c r="EC32" s="8">
        <f>+MINVU_Mes_Corriente!EC32*SALUD_Mes_Constante!$EC$1</f>
        <v>0</v>
      </c>
      <c r="ED32" s="8">
        <f>+MINVU_Mes_Corriente!ED32*SALUD_Mes_Constante!$EC$1</f>
        <v>0</v>
      </c>
      <c r="EE32" s="8">
        <f>+MINVU_Mes_Corriente!EE32*SALUD_Mes_Constante!$EC$1</f>
        <v>0</v>
      </c>
      <c r="EF32" s="8">
        <f>+MINVU_Mes_Corriente!EF32*SALUD_Mes_Constante!$EC$1</f>
        <v>0</v>
      </c>
      <c r="EG32" s="8">
        <f>+MINVU_Mes_Corriente!EG32*SALUD_Mes_Constante!$EC$1</f>
        <v>0</v>
      </c>
      <c r="EH32" s="8">
        <f>+MINVU_Mes_Corriente!EH32*SALUD_Mes_Constante!$EC$1</f>
        <v>0</v>
      </c>
      <c r="EI32" s="8">
        <f>+MINVU_Mes_Corriente!EI32*SALUD_Mes_Constante!$EC$1</f>
        <v>0</v>
      </c>
      <c r="EJ32" s="8">
        <f>+MINVU_Mes_Corriente!EJ32*SALUD_Mes_Constante!$EC$1</f>
        <v>0</v>
      </c>
      <c r="EK32" s="8">
        <f>+MINVU_Mes_Corriente!EK32*SALUD_Mes_Constante!$EC$1</f>
        <v>0</v>
      </c>
      <c r="EL32" s="8">
        <f>+MINVU_Mes_Corriente!EL32*SALUD_Mes_Constante!$EC$1</f>
        <v>0</v>
      </c>
      <c r="EM32" s="8">
        <f>+MINVU_Mes_Corriente!EM32*SALUD_Mes_Constante!$EC$1</f>
        <v>0</v>
      </c>
      <c r="EN32" s="8">
        <f>+MINVU_Mes_Corriente!EN32*SALUD_Mes_Constante!$EC$1</f>
        <v>0</v>
      </c>
      <c r="EO32" s="9">
        <f t="shared" si="10"/>
        <v>0</v>
      </c>
      <c r="EP32" s="8">
        <f>+MINVU_Mes_Corriente!EP32*SALUD_Mes_Constante!$EP$1</f>
        <v>0</v>
      </c>
      <c r="EQ32" s="8">
        <f>+MINVU_Mes_Corriente!EQ32*SALUD_Mes_Constante!$EP$1</f>
        <v>0</v>
      </c>
      <c r="ER32" s="8">
        <f>+MINVU_Mes_Corriente!ER32*SALUD_Mes_Constante!$EP$1</f>
        <v>0</v>
      </c>
      <c r="ES32" s="8">
        <f>+MINVU_Mes_Corriente!ES32*SALUD_Mes_Constante!$EP$1</f>
        <v>0</v>
      </c>
      <c r="ET32" s="8">
        <f>+MINVU_Mes_Corriente!ET32*SALUD_Mes_Constante!$EP$1</f>
        <v>0</v>
      </c>
      <c r="EU32" s="8">
        <f>+MINVU_Mes_Corriente!EU32*SALUD_Mes_Constante!$EP$1</f>
        <v>0</v>
      </c>
      <c r="EV32" s="8">
        <f>+MINVU_Mes_Corriente!EV32*SALUD_Mes_Constante!$EP$1</f>
        <v>0</v>
      </c>
      <c r="EW32" s="8">
        <f>+MINVU_Mes_Corriente!EW32*SALUD_Mes_Constante!$EP$1</f>
        <v>0</v>
      </c>
      <c r="EX32" s="8">
        <f>+MINVU_Mes_Corriente!EX32*SALUD_Mes_Constante!$EP$1</f>
        <v>0</v>
      </c>
      <c r="EY32" s="8">
        <f>+MINVU_Mes_Corriente!EY32*SALUD_Mes_Constante!$EP$1</f>
        <v>0</v>
      </c>
      <c r="EZ32" s="8">
        <f>+MINVU_Mes_Corriente!EZ32*SALUD_Mes_Constante!$EP$1</f>
        <v>0</v>
      </c>
      <c r="FA32" s="8">
        <f>+MINVU_Mes_Corriente!FA32*SALUD_Mes_Constante!$EP$1</f>
        <v>0</v>
      </c>
      <c r="FB32" s="9">
        <f t="shared" si="11"/>
        <v>0</v>
      </c>
      <c r="FC32" s="8">
        <f>+MINVU_Mes_Corriente!FC32*SALUD_Mes_Constante!$FC$1</f>
        <v>143523</v>
      </c>
      <c r="FD32" s="8">
        <f>+MINVU_Mes_Corriente!FD32*SALUD_Mes_Constante!$FC$1</f>
        <v>143523</v>
      </c>
      <c r="FE32" s="8">
        <f>+MINVU_Mes_Corriente!FE32*SALUD_Mes_Constante!$FC$1</f>
        <v>143523</v>
      </c>
      <c r="FF32" s="8">
        <f>+MINVU_Mes_Corriente!FF32*SALUD_Mes_Constante!$FC$1</f>
        <v>143523</v>
      </c>
      <c r="FG32" s="8">
        <f>+MINVU_Mes_Corriente!FG32*SALUD_Mes_Constante!$FC$1</f>
        <v>143523</v>
      </c>
      <c r="FH32" s="8">
        <f>+MINVU_Mes_Corriente!FH32*SALUD_Mes_Constante!$FC$1</f>
        <v>143523</v>
      </c>
      <c r="FI32" s="8">
        <f>+MINVU_Mes_Corriente!FI32*SALUD_Mes_Constante!$FC$1</f>
        <v>143523</v>
      </c>
      <c r="FJ32" s="8"/>
      <c r="FK32" s="8"/>
      <c r="FL32" s="8"/>
      <c r="FM32" s="8"/>
      <c r="FN32" s="8"/>
      <c r="FO32" s="9">
        <f t="shared" si="12"/>
        <v>143523</v>
      </c>
    </row>
    <row r="33" spans="2:171" ht="14.25" customHeight="1" x14ac:dyDescent="0.3">
      <c r="B33" s="32" t="s">
        <v>68</v>
      </c>
      <c r="C33" s="33">
        <f>+MINVU_Mes_Corriente!C33*SALUD_Mes_Constante!$C$1</f>
        <v>0</v>
      </c>
      <c r="D33" s="33">
        <f>+MINVU_Mes_Corriente!D33*SALUD_Mes_Constante!$C$1</f>
        <v>0</v>
      </c>
      <c r="E33" s="33">
        <f>+MINVU_Mes_Corriente!E33*SALUD_Mes_Constante!$C$1</f>
        <v>0</v>
      </c>
      <c r="F33" s="33">
        <f>+MINVU_Mes_Corriente!F33*SALUD_Mes_Constante!$C$1</f>
        <v>0</v>
      </c>
      <c r="G33" s="33">
        <f>+MINVU_Mes_Corriente!G33*SALUD_Mes_Constante!$C$1</f>
        <v>0</v>
      </c>
      <c r="H33" s="33">
        <f>+MINVU_Mes_Corriente!H33*SALUD_Mes_Constante!$C$1</f>
        <v>0</v>
      </c>
      <c r="I33" s="33">
        <f>+MINVU_Mes_Corriente!I33*SALUD_Mes_Constante!$C$1</f>
        <v>0</v>
      </c>
      <c r="J33" s="33">
        <f>+MINVU_Mes_Corriente!J33*SALUD_Mes_Constante!$C$1</f>
        <v>0</v>
      </c>
      <c r="K33" s="33">
        <f>+MINVU_Mes_Corriente!K33*SALUD_Mes_Constante!$C$1</f>
        <v>0</v>
      </c>
      <c r="L33" s="33">
        <f>+MINVU_Mes_Corriente!L33*SALUD_Mes_Constante!$C$1</f>
        <v>0</v>
      </c>
      <c r="M33" s="33">
        <f>+MINVU_Mes_Corriente!M33*SALUD_Mes_Constante!$C$1</f>
        <v>0</v>
      </c>
      <c r="N33" s="33">
        <f>+MINVU_Mes_Corriente!N33*SALUD_Mes_Constante!$C$1</f>
        <v>0</v>
      </c>
      <c r="O33" s="34">
        <f t="shared" si="0"/>
        <v>0</v>
      </c>
      <c r="P33" s="33">
        <f>+MINVU_Mes_Corriente!P33*SALUD_Mes_Constante!$P$1</f>
        <v>0</v>
      </c>
      <c r="Q33" s="33">
        <f>+MINVU_Mes_Corriente!Q33*SALUD_Mes_Constante!$P$1</f>
        <v>0</v>
      </c>
      <c r="R33" s="33">
        <f>+MINVU_Mes_Corriente!R33*SALUD_Mes_Constante!$P$1</f>
        <v>0</v>
      </c>
      <c r="S33" s="33">
        <f>+MINVU_Mes_Corriente!S33*SALUD_Mes_Constante!$P$1</f>
        <v>0</v>
      </c>
      <c r="T33" s="33">
        <f>+MINVU_Mes_Corriente!T33*SALUD_Mes_Constante!$P$1</f>
        <v>0</v>
      </c>
      <c r="U33" s="33">
        <f>+MINVU_Mes_Corriente!U33*SALUD_Mes_Constante!$P$1</f>
        <v>0</v>
      </c>
      <c r="V33" s="33">
        <f>+MINVU_Mes_Corriente!V33*SALUD_Mes_Constante!$P$1</f>
        <v>0</v>
      </c>
      <c r="W33" s="33">
        <f>+MINVU_Mes_Corriente!W33*SALUD_Mes_Constante!$P$1</f>
        <v>0</v>
      </c>
      <c r="X33" s="33">
        <f>+MINVU_Mes_Corriente!X33*SALUD_Mes_Constante!$P$1</f>
        <v>0</v>
      </c>
      <c r="Y33" s="33">
        <f>+MINVU_Mes_Corriente!Y33*SALUD_Mes_Constante!$P$1</f>
        <v>0</v>
      </c>
      <c r="Z33" s="33">
        <f>+MINVU_Mes_Corriente!Z33*SALUD_Mes_Constante!$P$1</f>
        <v>0</v>
      </c>
      <c r="AA33" s="33">
        <f>+MINVU_Mes_Corriente!AA33*SALUD_Mes_Constante!$P$1</f>
        <v>0</v>
      </c>
      <c r="AB33" s="34">
        <f t="shared" si="1"/>
        <v>0</v>
      </c>
      <c r="AC33" s="33">
        <f>+MINVU_Mes_Corriente!AC33*SALUD_Mes_Constante!$AC$1</f>
        <v>0</v>
      </c>
      <c r="AD33" s="33">
        <f>+MINVU_Mes_Corriente!AD33*SALUD_Mes_Constante!$AC$1</f>
        <v>0</v>
      </c>
      <c r="AE33" s="33">
        <f>+MINVU_Mes_Corriente!AE33*SALUD_Mes_Constante!$AC$1</f>
        <v>0</v>
      </c>
      <c r="AF33" s="33">
        <f>+MINVU_Mes_Corriente!AF33*SALUD_Mes_Constante!$AC$1</f>
        <v>0</v>
      </c>
      <c r="AG33" s="33">
        <f>+MINVU_Mes_Corriente!AG33*SALUD_Mes_Constante!$AC$1</f>
        <v>0</v>
      </c>
      <c r="AH33" s="33">
        <f>+MINVU_Mes_Corriente!AH33*SALUD_Mes_Constante!$AC$1</f>
        <v>0</v>
      </c>
      <c r="AI33" s="33">
        <f>+MINVU_Mes_Corriente!AI33*SALUD_Mes_Constante!$AC$1</f>
        <v>0</v>
      </c>
      <c r="AJ33" s="33">
        <f>+MINVU_Mes_Corriente!AJ33*SALUD_Mes_Constante!$AC$1</f>
        <v>0</v>
      </c>
      <c r="AK33" s="33">
        <f>+MINVU_Mes_Corriente!AK33*SALUD_Mes_Constante!$AC$1</f>
        <v>0</v>
      </c>
      <c r="AL33" s="33">
        <f>+MINVU_Mes_Corriente!AL33*SALUD_Mes_Constante!$AC$1</f>
        <v>0</v>
      </c>
      <c r="AM33" s="33">
        <f>+MINVU_Mes_Corriente!AM33*SALUD_Mes_Constante!$AC$1</f>
        <v>0</v>
      </c>
      <c r="AN33" s="33">
        <f>+MINVU_Mes_Corriente!AN33*SALUD_Mes_Constante!$AC$1</f>
        <v>0</v>
      </c>
      <c r="AO33" s="34">
        <f t="shared" si="2"/>
        <v>0</v>
      </c>
      <c r="AP33" s="33">
        <f>+MINVU_Mes_Corriente!AP33*SALUD_Mes_Constante!$AP$1</f>
        <v>0</v>
      </c>
      <c r="AQ33" s="33">
        <f>+MINVU_Mes_Corriente!AQ33*SALUD_Mes_Constante!$AP$1</f>
        <v>0</v>
      </c>
      <c r="AR33" s="33">
        <f>+MINVU_Mes_Corriente!AR33*SALUD_Mes_Constante!$AP$1</f>
        <v>0</v>
      </c>
      <c r="AS33" s="33">
        <f>+MINVU_Mes_Corriente!AS33*SALUD_Mes_Constante!$AP$1</f>
        <v>0</v>
      </c>
      <c r="AT33" s="33">
        <f>+MINVU_Mes_Corriente!AT33*SALUD_Mes_Constante!$AP$1</f>
        <v>0</v>
      </c>
      <c r="AU33" s="33">
        <f>+MINVU_Mes_Corriente!AU33*SALUD_Mes_Constante!$AP$1</f>
        <v>0</v>
      </c>
      <c r="AV33" s="33">
        <f>+MINVU_Mes_Corriente!AV33*SALUD_Mes_Constante!$AP$1</f>
        <v>0</v>
      </c>
      <c r="AW33" s="33">
        <f>+MINVU_Mes_Corriente!AW33*SALUD_Mes_Constante!$AP$1</f>
        <v>0</v>
      </c>
      <c r="AX33" s="33">
        <f>+MINVU_Mes_Corriente!AX33*SALUD_Mes_Constante!$AP$1</f>
        <v>0</v>
      </c>
      <c r="AY33" s="33">
        <f>+MINVU_Mes_Corriente!AY33*SALUD_Mes_Constante!$AP$1</f>
        <v>0</v>
      </c>
      <c r="AZ33" s="33">
        <f>+MINVU_Mes_Corriente!AZ33*SALUD_Mes_Constante!$AP$1</f>
        <v>0</v>
      </c>
      <c r="BA33" s="33">
        <f>+MINVU_Mes_Corriente!BA33*SALUD_Mes_Constante!$AP$1</f>
        <v>0</v>
      </c>
      <c r="BB33" s="34">
        <f t="shared" si="3"/>
        <v>0</v>
      </c>
      <c r="BC33" s="33">
        <f>+MINVU_Mes_Corriente!BC33*SALUD_Mes_Constante!$BC$1</f>
        <v>0</v>
      </c>
      <c r="BD33" s="33">
        <f>+MINVU_Mes_Corriente!BD33*SALUD_Mes_Constante!$BC$1</f>
        <v>0</v>
      </c>
      <c r="BE33" s="33">
        <f>+MINVU_Mes_Corriente!BE33*SALUD_Mes_Constante!$BC$1</f>
        <v>0</v>
      </c>
      <c r="BF33" s="33">
        <f>+MINVU_Mes_Corriente!BF33*SALUD_Mes_Constante!$BC$1</f>
        <v>0</v>
      </c>
      <c r="BG33" s="33">
        <f>+MINVU_Mes_Corriente!BG33*SALUD_Mes_Constante!$BC$1</f>
        <v>0</v>
      </c>
      <c r="BH33" s="33">
        <f>+MINVU_Mes_Corriente!BH33*SALUD_Mes_Constante!$BC$1</f>
        <v>0</v>
      </c>
      <c r="BI33" s="33">
        <f>+MINVU_Mes_Corriente!BI33*SALUD_Mes_Constante!$BC$1</f>
        <v>0</v>
      </c>
      <c r="BJ33" s="33">
        <f>+MINVU_Mes_Corriente!BJ33*SALUD_Mes_Constante!$BC$1</f>
        <v>0</v>
      </c>
      <c r="BK33" s="33">
        <f>+MINVU_Mes_Corriente!BK33*SALUD_Mes_Constante!$BC$1</f>
        <v>0</v>
      </c>
      <c r="BL33" s="33">
        <f>+MINVU_Mes_Corriente!BL33*SALUD_Mes_Constante!$BC$1</f>
        <v>0</v>
      </c>
      <c r="BM33" s="33">
        <f>+MINVU_Mes_Corriente!BM33*SALUD_Mes_Constante!$BC$1</f>
        <v>0</v>
      </c>
      <c r="BN33" s="33">
        <f>+MINVU_Mes_Corriente!BN33*SALUD_Mes_Constante!$BC$1</f>
        <v>0</v>
      </c>
      <c r="BO33" s="34">
        <f t="shared" si="4"/>
        <v>0</v>
      </c>
      <c r="BP33" s="33">
        <f>+MINVU_Mes_Corriente!BP33*SALUD_Mes_Constante!$BP$1</f>
        <v>0</v>
      </c>
      <c r="BQ33" s="33">
        <f>+MINVU_Mes_Corriente!BQ33*SALUD_Mes_Constante!$BP$1</f>
        <v>0</v>
      </c>
      <c r="BR33" s="33">
        <f>+MINVU_Mes_Corriente!BR33*SALUD_Mes_Constante!$BP$1</f>
        <v>0</v>
      </c>
      <c r="BS33" s="33">
        <f>+MINVU_Mes_Corriente!BS33*SALUD_Mes_Constante!$BP$1</f>
        <v>0</v>
      </c>
      <c r="BT33" s="33">
        <f>+MINVU_Mes_Corriente!BT33*SALUD_Mes_Constante!$BP$1</f>
        <v>0</v>
      </c>
      <c r="BU33" s="33">
        <f>+MINVU_Mes_Corriente!BU33*SALUD_Mes_Constante!$BP$1</f>
        <v>0</v>
      </c>
      <c r="BV33" s="33">
        <f>+MINVU_Mes_Corriente!BV33*SALUD_Mes_Constante!$BP$1</f>
        <v>0</v>
      </c>
      <c r="BW33" s="33">
        <f>+MINVU_Mes_Corriente!BW33*SALUD_Mes_Constante!$BP$1</f>
        <v>0</v>
      </c>
      <c r="BX33" s="33">
        <f>+MINVU_Mes_Corriente!BX33*SALUD_Mes_Constante!$BP$1</f>
        <v>0</v>
      </c>
      <c r="BY33" s="33">
        <f>+MINVU_Mes_Corriente!BY33*SALUD_Mes_Constante!$BP$1</f>
        <v>0</v>
      </c>
      <c r="BZ33" s="33">
        <f>+MINVU_Mes_Corriente!BZ33*SALUD_Mes_Constante!$BP$1</f>
        <v>0</v>
      </c>
      <c r="CA33" s="33">
        <f>+MINVU_Mes_Corriente!CA33*SALUD_Mes_Constante!$BP$1</f>
        <v>0</v>
      </c>
      <c r="CB33" s="34">
        <f t="shared" si="5"/>
        <v>0</v>
      </c>
      <c r="CC33" s="33">
        <f>+MINVU_Mes_Corriente!CC33*SALUD_Mes_Constante!$CC$1</f>
        <v>0</v>
      </c>
      <c r="CD33" s="33">
        <f>+MINVU_Mes_Corriente!CD33*SALUD_Mes_Constante!$CC$1</f>
        <v>0</v>
      </c>
      <c r="CE33" s="33">
        <f>+MINVU_Mes_Corriente!CE33*SALUD_Mes_Constante!$CC$1</f>
        <v>0</v>
      </c>
      <c r="CF33" s="33">
        <f>+MINVU_Mes_Corriente!CF33*SALUD_Mes_Constante!$CC$1</f>
        <v>0</v>
      </c>
      <c r="CG33" s="33">
        <f>+MINVU_Mes_Corriente!CG33*SALUD_Mes_Constante!$CC$1</f>
        <v>0</v>
      </c>
      <c r="CH33" s="33">
        <f>+MINVU_Mes_Corriente!CH33*SALUD_Mes_Constante!$CC$1</f>
        <v>0</v>
      </c>
      <c r="CI33" s="33">
        <f>+MINVU_Mes_Corriente!CI33*SALUD_Mes_Constante!$CC$1</f>
        <v>0</v>
      </c>
      <c r="CJ33" s="33">
        <f>+MINVU_Mes_Corriente!CJ33*SALUD_Mes_Constante!$CC$1</f>
        <v>0</v>
      </c>
      <c r="CK33" s="33">
        <f>+MINVU_Mes_Corriente!CK33*SALUD_Mes_Constante!$CC$1</f>
        <v>0</v>
      </c>
      <c r="CL33" s="33">
        <f>+MINVU_Mes_Corriente!CL33*SALUD_Mes_Constante!$CC$1</f>
        <v>0</v>
      </c>
      <c r="CM33" s="33">
        <f>+MINVU_Mes_Corriente!CM33*SALUD_Mes_Constante!$CC$1</f>
        <v>0</v>
      </c>
      <c r="CN33" s="33">
        <f>+MINVU_Mes_Corriente!CN33*SALUD_Mes_Constante!$CC$1</f>
        <v>0</v>
      </c>
      <c r="CO33" s="34">
        <f t="shared" si="6"/>
        <v>0</v>
      </c>
      <c r="CP33" s="33">
        <f>+MINVU_Mes_Corriente!CP33*SALUD_Mes_Constante!$CP$1</f>
        <v>0</v>
      </c>
      <c r="CQ33" s="33">
        <f>+MINVU_Mes_Corriente!CQ33*SALUD_Mes_Constante!$CP$1</f>
        <v>0</v>
      </c>
      <c r="CR33" s="33">
        <f>+MINVU_Mes_Corriente!CR33*SALUD_Mes_Constante!$CP$1</f>
        <v>0</v>
      </c>
      <c r="CS33" s="33">
        <f>+MINVU_Mes_Corriente!CS33*SALUD_Mes_Constante!$CP$1</f>
        <v>0</v>
      </c>
      <c r="CT33" s="33">
        <f>+MINVU_Mes_Corriente!CT33*SALUD_Mes_Constante!$CP$1</f>
        <v>0</v>
      </c>
      <c r="CU33" s="33">
        <f>+MINVU_Mes_Corriente!CU33*SALUD_Mes_Constante!$CP$1</f>
        <v>0</v>
      </c>
      <c r="CV33" s="33">
        <f>+MINVU_Mes_Corriente!CV33*SALUD_Mes_Constante!$CP$1</f>
        <v>0</v>
      </c>
      <c r="CW33" s="33">
        <f>+MINVU_Mes_Corriente!CW33*SALUD_Mes_Constante!$CP$1</f>
        <v>0</v>
      </c>
      <c r="CX33" s="33">
        <f>+MINVU_Mes_Corriente!CX33*SALUD_Mes_Constante!$CP$1</f>
        <v>0</v>
      </c>
      <c r="CY33" s="33">
        <f>+MINVU_Mes_Corriente!CY33*SALUD_Mes_Constante!$CP$1</f>
        <v>0</v>
      </c>
      <c r="CZ33" s="33">
        <f>+MINVU_Mes_Corriente!CZ33*SALUD_Mes_Constante!$CP$1</f>
        <v>0</v>
      </c>
      <c r="DA33" s="33">
        <f>+MINVU_Mes_Corriente!DA33*SALUD_Mes_Constante!$CP$1</f>
        <v>0</v>
      </c>
      <c r="DB33" s="34">
        <f t="shared" si="7"/>
        <v>0</v>
      </c>
      <c r="DC33" s="33">
        <f>+MINVU_Mes_Corriente!DC33*SALUD_Mes_Constante!$DC$1</f>
        <v>0</v>
      </c>
      <c r="DD33" s="33">
        <f>+MINVU_Mes_Corriente!DD33*SALUD_Mes_Constante!$DC$1</f>
        <v>0</v>
      </c>
      <c r="DE33" s="33">
        <f>+MINVU_Mes_Corriente!DE33*SALUD_Mes_Constante!$DC$1</f>
        <v>0</v>
      </c>
      <c r="DF33" s="33">
        <f>+MINVU_Mes_Corriente!DF33*SALUD_Mes_Constante!$DC$1</f>
        <v>0</v>
      </c>
      <c r="DG33" s="33">
        <f>+MINVU_Mes_Corriente!DG33*SALUD_Mes_Constante!$DC$1</f>
        <v>0</v>
      </c>
      <c r="DH33" s="33">
        <f>+MINVU_Mes_Corriente!DH33*SALUD_Mes_Constante!$DC$1</f>
        <v>0</v>
      </c>
      <c r="DI33" s="33">
        <f>+MINVU_Mes_Corriente!DI33*SALUD_Mes_Constante!$DC$1</f>
        <v>0</v>
      </c>
      <c r="DJ33" s="33">
        <f>+MINVU_Mes_Corriente!DJ33*SALUD_Mes_Constante!$DC$1</f>
        <v>0</v>
      </c>
      <c r="DK33" s="33">
        <f>+MINVU_Mes_Corriente!DK33*SALUD_Mes_Constante!$DC$1</f>
        <v>0</v>
      </c>
      <c r="DL33" s="33">
        <f>+MINVU_Mes_Corriente!DL33*SALUD_Mes_Constante!$DC$1</f>
        <v>0</v>
      </c>
      <c r="DM33" s="33">
        <f>+MINVU_Mes_Corriente!DM33*SALUD_Mes_Constante!$DC$1</f>
        <v>0</v>
      </c>
      <c r="DN33" s="33">
        <f>+MINVU_Mes_Corriente!DN33*SALUD_Mes_Constante!$DC$1</f>
        <v>0</v>
      </c>
      <c r="DO33" s="34">
        <f t="shared" si="8"/>
        <v>0</v>
      </c>
      <c r="DP33" s="33">
        <f>+MINVU_Mes_Corriente!DP33*SALUD_Mes_Constante!$DP$1</f>
        <v>0</v>
      </c>
      <c r="DQ33" s="33">
        <f>+MINVU_Mes_Corriente!DQ33*SALUD_Mes_Constante!$DP$1</f>
        <v>0</v>
      </c>
      <c r="DR33" s="33">
        <f>+MINVU_Mes_Corriente!DR33*SALUD_Mes_Constante!$DP$1</f>
        <v>0</v>
      </c>
      <c r="DS33" s="33">
        <f>+MINVU_Mes_Corriente!DS33*SALUD_Mes_Constante!$DP$1</f>
        <v>0</v>
      </c>
      <c r="DT33" s="33">
        <f>+MINVU_Mes_Corriente!DT33*SALUD_Mes_Constante!$DP$1</f>
        <v>0</v>
      </c>
      <c r="DU33" s="33">
        <f>+MINVU_Mes_Corriente!DU33*SALUD_Mes_Constante!$DP$1</f>
        <v>0</v>
      </c>
      <c r="DV33" s="33">
        <f>+MINVU_Mes_Corriente!DV33*SALUD_Mes_Constante!$DP$1</f>
        <v>0</v>
      </c>
      <c r="DW33" s="33">
        <f>+MINVU_Mes_Corriente!DW33*SALUD_Mes_Constante!$DP$1</f>
        <v>0</v>
      </c>
      <c r="DX33" s="33">
        <f>+MINVU_Mes_Corriente!DX33*SALUD_Mes_Constante!$DP$1</f>
        <v>0</v>
      </c>
      <c r="DY33" s="33">
        <f>+MINVU_Mes_Corriente!DY33*SALUD_Mes_Constante!$DP$1</f>
        <v>0</v>
      </c>
      <c r="DZ33" s="33">
        <f>+MINVU_Mes_Corriente!DZ33*SALUD_Mes_Constante!$DP$1</f>
        <v>0</v>
      </c>
      <c r="EA33" s="33">
        <f>+MINVU_Mes_Corriente!EA33*SALUD_Mes_Constante!$DP$1</f>
        <v>0</v>
      </c>
      <c r="EB33" s="34">
        <f t="shared" si="9"/>
        <v>0</v>
      </c>
      <c r="EC33" s="33">
        <f>+MINVU_Mes_Corriente!EC33*SALUD_Mes_Constante!$EC$1</f>
        <v>0</v>
      </c>
      <c r="ED33" s="33">
        <f>+MINVU_Mes_Corriente!ED33*SALUD_Mes_Constante!$EC$1</f>
        <v>0</v>
      </c>
      <c r="EE33" s="33">
        <f>+MINVU_Mes_Corriente!EE33*SALUD_Mes_Constante!$EC$1</f>
        <v>0</v>
      </c>
      <c r="EF33" s="33">
        <f>+MINVU_Mes_Corriente!EF33*SALUD_Mes_Constante!$EC$1</f>
        <v>0</v>
      </c>
      <c r="EG33" s="33">
        <f>+MINVU_Mes_Corriente!EG33*SALUD_Mes_Constante!$EC$1</f>
        <v>0</v>
      </c>
      <c r="EH33" s="33">
        <f>+MINVU_Mes_Corriente!EH33*SALUD_Mes_Constante!$EC$1</f>
        <v>0</v>
      </c>
      <c r="EI33" s="33">
        <f>+MINVU_Mes_Corriente!EI33*SALUD_Mes_Constante!$EC$1</f>
        <v>0</v>
      </c>
      <c r="EJ33" s="33">
        <f>+MINVU_Mes_Corriente!EJ33*SALUD_Mes_Constante!$EC$1</f>
        <v>0</v>
      </c>
      <c r="EK33" s="33">
        <f>+MINVU_Mes_Corriente!EK33*SALUD_Mes_Constante!$EC$1</f>
        <v>0</v>
      </c>
      <c r="EL33" s="33">
        <f>+MINVU_Mes_Corriente!EL33*SALUD_Mes_Constante!$EC$1</f>
        <v>0</v>
      </c>
      <c r="EM33" s="33">
        <f>+MINVU_Mes_Corriente!EM33*SALUD_Mes_Constante!$EC$1</f>
        <v>0</v>
      </c>
      <c r="EN33" s="33">
        <f>+MINVU_Mes_Corriente!EN33*SALUD_Mes_Constante!$EC$1</f>
        <v>0</v>
      </c>
      <c r="EO33" s="34">
        <f t="shared" si="10"/>
        <v>0</v>
      </c>
      <c r="EP33" s="33">
        <f>+MINVU_Mes_Corriente!EP33*SALUD_Mes_Constante!$EP$1</f>
        <v>0</v>
      </c>
      <c r="EQ33" s="33">
        <f>+MINVU_Mes_Corriente!EQ33*SALUD_Mes_Constante!$EP$1</f>
        <v>0</v>
      </c>
      <c r="ER33" s="33">
        <f>+MINVU_Mes_Corriente!ER33*SALUD_Mes_Constante!$EP$1</f>
        <v>0</v>
      </c>
      <c r="ES33" s="33">
        <f>+MINVU_Mes_Corriente!ES33*SALUD_Mes_Constante!$EP$1</f>
        <v>0</v>
      </c>
      <c r="ET33" s="33">
        <f>+MINVU_Mes_Corriente!ET33*SALUD_Mes_Constante!$EP$1</f>
        <v>0</v>
      </c>
      <c r="EU33" s="33">
        <f>+MINVU_Mes_Corriente!EU33*SALUD_Mes_Constante!$EP$1</f>
        <v>0</v>
      </c>
      <c r="EV33" s="33">
        <f>+MINVU_Mes_Corriente!EV33*SALUD_Mes_Constante!$EP$1</f>
        <v>0</v>
      </c>
      <c r="EW33" s="33">
        <f>+MINVU_Mes_Corriente!EW33*SALUD_Mes_Constante!$EP$1</f>
        <v>0</v>
      </c>
      <c r="EX33" s="33">
        <f>+MINVU_Mes_Corriente!EX33*SALUD_Mes_Constante!$EP$1</f>
        <v>0</v>
      </c>
      <c r="EY33" s="33">
        <f>+MINVU_Mes_Corriente!EY33*SALUD_Mes_Constante!$EP$1</f>
        <v>0</v>
      </c>
      <c r="EZ33" s="33">
        <f>+MINVU_Mes_Corriente!EZ33*SALUD_Mes_Constante!$EP$1</f>
        <v>0</v>
      </c>
      <c r="FA33" s="33">
        <f>+MINVU_Mes_Corriente!FA33*SALUD_Mes_Constante!$EP$1</f>
        <v>0</v>
      </c>
      <c r="FB33" s="34">
        <f t="shared" si="11"/>
        <v>0</v>
      </c>
      <c r="FC33" s="33">
        <f>+MINVU_Mes_Corriente!FC33*SALUD_Mes_Constante!$FC$1</f>
        <v>9039952</v>
      </c>
      <c r="FD33" s="33">
        <f>+MINVU_Mes_Corriente!FD33*SALUD_Mes_Constante!$FC$1</f>
        <v>9039952</v>
      </c>
      <c r="FE33" s="33">
        <f>+MINVU_Mes_Corriente!FE33*SALUD_Mes_Constante!$FC$1</f>
        <v>9039952</v>
      </c>
      <c r="FF33" s="33">
        <f>+MINVU_Mes_Corriente!FF33*SALUD_Mes_Constante!$FC$1</f>
        <v>9039952</v>
      </c>
      <c r="FG33" s="33">
        <f>+MINVU_Mes_Corriente!FG33*SALUD_Mes_Constante!$FC$1</f>
        <v>9039952</v>
      </c>
      <c r="FH33" s="33">
        <f>+MINVU_Mes_Corriente!FH33*SALUD_Mes_Constante!$FC$1</f>
        <v>9039952</v>
      </c>
      <c r="FI33" s="33">
        <f>+MINVU_Mes_Corriente!FI33*SALUD_Mes_Constante!$FC$1</f>
        <v>9039952</v>
      </c>
      <c r="FJ33" s="33"/>
      <c r="FK33" s="33"/>
      <c r="FL33" s="33"/>
      <c r="FM33" s="33"/>
      <c r="FN33" s="33"/>
      <c r="FO33" s="34">
        <f t="shared" si="12"/>
        <v>9039952</v>
      </c>
    </row>
    <row r="34" spans="2:171" ht="14.25" customHeight="1" x14ac:dyDescent="0.3">
      <c r="B34" s="32" t="s">
        <v>69</v>
      </c>
      <c r="C34" s="33">
        <f>+MINVU_Mes_Corriente!C34*SALUD_Mes_Constante!$C$1</f>
        <v>0</v>
      </c>
      <c r="D34" s="33">
        <f>+MINVU_Mes_Corriente!D34*SALUD_Mes_Constante!$C$1</f>
        <v>0</v>
      </c>
      <c r="E34" s="33">
        <f>+MINVU_Mes_Corriente!E34*SALUD_Mes_Constante!$C$1</f>
        <v>0</v>
      </c>
      <c r="F34" s="33">
        <f>+MINVU_Mes_Corriente!F34*SALUD_Mes_Constante!$C$1</f>
        <v>0</v>
      </c>
      <c r="G34" s="33">
        <f>+MINVU_Mes_Corriente!G34*SALUD_Mes_Constante!$C$1</f>
        <v>0</v>
      </c>
      <c r="H34" s="33">
        <f>+MINVU_Mes_Corriente!H34*SALUD_Mes_Constante!$C$1</f>
        <v>0</v>
      </c>
      <c r="I34" s="33">
        <f>+MINVU_Mes_Corriente!I34*SALUD_Mes_Constante!$C$1</f>
        <v>0</v>
      </c>
      <c r="J34" s="33">
        <f>+MINVU_Mes_Corriente!J34*SALUD_Mes_Constante!$C$1</f>
        <v>0</v>
      </c>
      <c r="K34" s="33">
        <f>+MINVU_Mes_Corriente!K34*SALUD_Mes_Constante!$C$1</f>
        <v>0</v>
      </c>
      <c r="L34" s="33">
        <f>+MINVU_Mes_Corriente!L34*SALUD_Mes_Constante!$C$1</f>
        <v>0</v>
      </c>
      <c r="M34" s="33">
        <f>+MINVU_Mes_Corriente!M34*SALUD_Mes_Constante!$C$1</f>
        <v>0</v>
      </c>
      <c r="N34" s="33">
        <f>+MINVU_Mes_Corriente!N34*SALUD_Mes_Constante!$C$1</f>
        <v>0</v>
      </c>
      <c r="O34" s="34">
        <f t="shared" si="0"/>
        <v>0</v>
      </c>
      <c r="P34" s="33">
        <f>+MINVU_Mes_Corriente!P34*SALUD_Mes_Constante!$P$1</f>
        <v>0</v>
      </c>
      <c r="Q34" s="33">
        <f>+MINVU_Mes_Corriente!Q34*SALUD_Mes_Constante!$P$1</f>
        <v>0</v>
      </c>
      <c r="R34" s="33">
        <f>+MINVU_Mes_Corriente!R34*SALUD_Mes_Constante!$P$1</f>
        <v>0</v>
      </c>
      <c r="S34" s="33">
        <f>+MINVU_Mes_Corriente!S34*SALUD_Mes_Constante!$P$1</f>
        <v>0</v>
      </c>
      <c r="T34" s="33">
        <f>+MINVU_Mes_Corriente!T34*SALUD_Mes_Constante!$P$1</f>
        <v>0</v>
      </c>
      <c r="U34" s="33">
        <f>+MINVU_Mes_Corriente!U34*SALUD_Mes_Constante!$P$1</f>
        <v>0</v>
      </c>
      <c r="V34" s="33">
        <f>+MINVU_Mes_Corriente!V34*SALUD_Mes_Constante!$P$1</f>
        <v>0</v>
      </c>
      <c r="W34" s="33">
        <f>+MINVU_Mes_Corriente!W34*SALUD_Mes_Constante!$P$1</f>
        <v>0</v>
      </c>
      <c r="X34" s="33">
        <f>+MINVU_Mes_Corriente!X34*SALUD_Mes_Constante!$P$1</f>
        <v>0</v>
      </c>
      <c r="Y34" s="33">
        <f>+MINVU_Mes_Corriente!Y34*SALUD_Mes_Constante!$P$1</f>
        <v>0</v>
      </c>
      <c r="Z34" s="33">
        <f>+MINVU_Mes_Corriente!Z34*SALUD_Mes_Constante!$P$1</f>
        <v>0</v>
      </c>
      <c r="AA34" s="33">
        <f>+MINVU_Mes_Corriente!AA34*SALUD_Mes_Constante!$P$1</f>
        <v>0</v>
      </c>
      <c r="AB34" s="34">
        <f t="shared" si="1"/>
        <v>0</v>
      </c>
      <c r="AC34" s="33">
        <f>+MINVU_Mes_Corriente!AC34*SALUD_Mes_Constante!$AC$1</f>
        <v>0</v>
      </c>
      <c r="AD34" s="33">
        <f>+MINVU_Mes_Corriente!AD34*SALUD_Mes_Constante!$AC$1</f>
        <v>0</v>
      </c>
      <c r="AE34" s="33">
        <f>+MINVU_Mes_Corriente!AE34*SALUD_Mes_Constante!$AC$1</f>
        <v>0</v>
      </c>
      <c r="AF34" s="33">
        <f>+MINVU_Mes_Corriente!AF34*SALUD_Mes_Constante!$AC$1</f>
        <v>0</v>
      </c>
      <c r="AG34" s="33">
        <f>+MINVU_Mes_Corriente!AG34*SALUD_Mes_Constante!$AC$1</f>
        <v>0</v>
      </c>
      <c r="AH34" s="33">
        <f>+MINVU_Mes_Corriente!AH34*SALUD_Mes_Constante!$AC$1</f>
        <v>0</v>
      </c>
      <c r="AI34" s="33">
        <f>+MINVU_Mes_Corriente!AI34*SALUD_Mes_Constante!$AC$1</f>
        <v>0</v>
      </c>
      <c r="AJ34" s="33">
        <f>+MINVU_Mes_Corriente!AJ34*SALUD_Mes_Constante!$AC$1</f>
        <v>0</v>
      </c>
      <c r="AK34" s="33">
        <f>+MINVU_Mes_Corriente!AK34*SALUD_Mes_Constante!$AC$1</f>
        <v>0</v>
      </c>
      <c r="AL34" s="33">
        <f>+MINVU_Mes_Corriente!AL34*SALUD_Mes_Constante!$AC$1</f>
        <v>0</v>
      </c>
      <c r="AM34" s="33">
        <f>+MINVU_Mes_Corriente!AM34*SALUD_Mes_Constante!$AC$1</f>
        <v>0</v>
      </c>
      <c r="AN34" s="33">
        <f>+MINVU_Mes_Corriente!AN34*SALUD_Mes_Constante!$AC$1</f>
        <v>0</v>
      </c>
      <c r="AO34" s="34">
        <f t="shared" si="2"/>
        <v>0</v>
      </c>
      <c r="AP34" s="33">
        <f>+MINVU_Mes_Corriente!AP34*SALUD_Mes_Constante!$AP$1</f>
        <v>0</v>
      </c>
      <c r="AQ34" s="33">
        <f>+MINVU_Mes_Corriente!AQ34*SALUD_Mes_Constante!$AP$1</f>
        <v>0</v>
      </c>
      <c r="AR34" s="33">
        <f>+MINVU_Mes_Corriente!AR34*SALUD_Mes_Constante!$AP$1</f>
        <v>0</v>
      </c>
      <c r="AS34" s="33">
        <f>+MINVU_Mes_Corriente!AS34*SALUD_Mes_Constante!$AP$1</f>
        <v>0</v>
      </c>
      <c r="AT34" s="33">
        <f>+MINVU_Mes_Corriente!AT34*SALUD_Mes_Constante!$AP$1</f>
        <v>0</v>
      </c>
      <c r="AU34" s="33">
        <f>+MINVU_Mes_Corriente!AU34*SALUD_Mes_Constante!$AP$1</f>
        <v>0</v>
      </c>
      <c r="AV34" s="33">
        <f>+MINVU_Mes_Corriente!AV34*SALUD_Mes_Constante!$AP$1</f>
        <v>0</v>
      </c>
      <c r="AW34" s="33">
        <f>+MINVU_Mes_Corriente!AW34*SALUD_Mes_Constante!$AP$1</f>
        <v>0</v>
      </c>
      <c r="AX34" s="33">
        <f>+MINVU_Mes_Corriente!AX34*SALUD_Mes_Constante!$AP$1</f>
        <v>0</v>
      </c>
      <c r="AY34" s="33">
        <f>+MINVU_Mes_Corriente!AY34*SALUD_Mes_Constante!$AP$1</f>
        <v>0</v>
      </c>
      <c r="AZ34" s="33">
        <f>+MINVU_Mes_Corriente!AZ34*SALUD_Mes_Constante!$AP$1</f>
        <v>0</v>
      </c>
      <c r="BA34" s="33">
        <f>+MINVU_Mes_Corriente!BA34*SALUD_Mes_Constante!$AP$1</f>
        <v>0</v>
      </c>
      <c r="BB34" s="34">
        <f t="shared" si="3"/>
        <v>0</v>
      </c>
      <c r="BC34" s="33">
        <f>+MINVU_Mes_Corriente!BC34*SALUD_Mes_Constante!$BC$1</f>
        <v>0</v>
      </c>
      <c r="BD34" s="33">
        <f>+MINVU_Mes_Corriente!BD34*SALUD_Mes_Constante!$BC$1</f>
        <v>0</v>
      </c>
      <c r="BE34" s="33">
        <f>+MINVU_Mes_Corriente!BE34*SALUD_Mes_Constante!$BC$1</f>
        <v>0</v>
      </c>
      <c r="BF34" s="33">
        <f>+MINVU_Mes_Corriente!BF34*SALUD_Mes_Constante!$BC$1</f>
        <v>0</v>
      </c>
      <c r="BG34" s="33">
        <f>+MINVU_Mes_Corriente!BG34*SALUD_Mes_Constante!$BC$1</f>
        <v>0</v>
      </c>
      <c r="BH34" s="33">
        <f>+MINVU_Mes_Corriente!BH34*SALUD_Mes_Constante!$BC$1</f>
        <v>0</v>
      </c>
      <c r="BI34" s="33">
        <f>+MINVU_Mes_Corriente!BI34*SALUD_Mes_Constante!$BC$1</f>
        <v>0</v>
      </c>
      <c r="BJ34" s="33">
        <f>+MINVU_Mes_Corriente!BJ34*SALUD_Mes_Constante!$BC$1</f>
        <v>0</v>
      </c>
      <c r="BK34" s="33">
        <f>+MINVU_Mes_Corriente!BK34*SALUD_Mes_Constante!$BC$1</f>
        <v>0</v>
      </c>
      <c r="BL34" s="33">
        <f>+MINVU_Mes_Corriente!BL34*SALUD_Mes_Constante!$BC$1</f>
        <v>0</v>
      </c>
      <c r="BM34" s="33">
        <f>+MINVU_Mes_Corriente!BM34*SALUD_Mes_Constante!$BC$1</f>
        <v>0</v>
      </c>
      <c r="BN34" s="33">
        <f>+MINVU_Mes_Corriente!BN34*SALUD_Mes_Constante!$BC$1</f>
        <v>0</v>
      </c>
      <c r="BO34" s="34">
        <f t="shared" si="4"/>
        <v>0</v>
      </c>
      <c r="BP34" s="33">
        <f>+MINVU_Mes_Corriente!BP34*SALUD_Mes_Constante!$BP$1</f>
        <v>0</v>
      </c>
      <c r="BQ34" s="33">
        <f>+MINVU_Mes_Corriente!BQ34*SALUD_Mes_Constante!$BP$1</f>
        <v>0</v>
      </c>
      <c r="BR34" s="33">
        <f>+MINVU_Mes_Corriente!BR34*SALUD_Mes_Constante!$BP$1</f>
        <v>0</v>
      </c>
      <c r="BS34" s="33">
        <f>+MINVU_Mes_Corriente!BS34*SALUD_Mes_Constante!$BP$1</f>
        <v>0</v>
      </c>
      <c r="BT34" s="33">
        <f>+MINVU_Mes_Corriente!BT34*SALUD_Mes_Constante!$BP$1</f>
        <v>0</v>
      </c>
      <c r="BU34" s="33">
        <f>+MINVU_Mes_Corriente!BU34*SALUD_Mes_Constante!$BP$1</f>
        <v>0</v>
      </c>
      <c r="BV34" s="33">
        <f>+MINVU_Mes_Corriente!BV34*SALUD_Mes_Constante!$BP$1</f>
        <v>0</v>
      </c>
      <c r="BW34" s="33">
        <f>+MINVU_Mes_Corriente!BW34*SALUD_Mes_Constante!$BP$1</f>
        <v>0</v>
      </c>
      <c r="BX34" s="33">
        <f>+MINVU_Mes_Corriente!BX34*SALUD_Mes_Constante!$BP$1</f>
        <v>0</v>
      </c>
      <c r="BY34" s="33">
        <f>+MINVU_Mes_Corriente!BY34*SALUD_Mes_Constante!$BP$1</f>
        <v>0</v>
      </c>
      <c r="BZ34" s="33">
        <f>+MINVU_Mes_Corriente!BZ34*SALUD_Mes_Constante!$BP$1</f>
        <v>0</v>
      </c>
      <c r="CA34" s="33">
        <f>+MINVU_Mes_Corriente!CA34*SALUD_Mes_Constante!$BP$1</f>
        <v>0</v>
      </c>
      <c r="CB34" s="34">
        <f t="shared" si="5"/>
        <v>0</v>
      </c>
      <c r="CC34" s="33">
        <f>+MINVU_Mes_Corriente!CC34*SALUD_Mes_Constante!$CC$1</f>
        <v>0</v>
      </c>
      <c r="CD34" s="33">
        <f>+MINVU_Mes_Corriente!CD34*SALUD_Mes_Constante!$CC$1</f>
        <v>0</v>
      </c>
      <c r="CE34" s="33">
        <f>+MINVU_Mes_Corriente!CE34*SALUD_Mes_Constante!$CC$1</f>
        <v>0</v>
      </c>
      <c r="CF34" s="33">
        <f>+MINVU_Mes_Corriente!CF34*SALUD_Mes_Constante!$CC$1</f>
        <v>0</v>
      </c>
      <c r="CG34" s="33">
        <f>+MINVU_Mes_Corriente!CG34*SALUD_Mes_Constante!$CC$1</f>
        <v>0</v>
      </c>
      <c r="CH34" s="33">
        <f>+MINVU_Mes_Corriente!CH34*SALUD_Mes_Constante!$CC$1</f>
        <v>0</v>
      </c>
      <c r="CI34" s="33">
        <f>+MINVU_Mes_Corriente!CI34*SALUD_Mes_Constante!$CC$1</f>
        <v>0</v>
      </c>
      <c r="CJ34" s="33">
        <f>+MINVU_Mes_Corriente!CJ34*SALUD_Mes_Constante!$CC$1</f>
        <v>0</v>
      </c>
      <c r="CK34" s="33">
        <f>+MINVU_Mes_Corriente!CK34*SALUD_Mes_Constante!$CC$1</f>
        <v>0</v>
      </c>
      <c r="CL34" s="33">
        <f>+MINVU_Mes_Corriente!CL34*SALUD_Mes_Constante!$CC$1</f>
        <v>0</v>
      </c>
      <c r="CM34" s="33">
        <f>+MINVU_Mes_Corriente!CM34*SALUD_Mes_Constante!$CC$1</f>
        <v>0</v>
      </c>
      <c r="CN34" s="33">
        <f>+MINVU_Mes_Corriente!CN34*SALUD_Mes_Constante!$CC$1</f>
        <v>0</v>
      </c>
      <c r="CO34" s="34">
        <f t="shared" si="6"/>
        <v>0</v>
      </c>
      <c r="CP34" s="33">
        <f>+MINVU_Mes_Corriente!CP34*SALUD_Mes_Constante!$CP$1</f>
        <v>0</v>
      </c>
      <c r="CQ34" s="33">
        <f>+MINVU_Mes_Corriente!CQ34*SALUD_Mes_Constante!$CP$1</f>
        <v>0</v>
      </c>
      <c r="CR34" s="33">
        <f>+MINVU_Mes_Corriente!CR34*SALUD_Mes_Constante!$CP$1</f>
        <v>0</v>
      </c>
      <c r="CS34" s="33">
        <f>+MINVU_Mes_Corriente!CS34*SALUD_Mes_Constante!$CP$1</f>
        <v>0</v>
      </c>
      <c r="CT34" s="33">
        <f>+MINVU_Mes_Corriente!CT34*SALUD_Mes_Constante!$CP$1</f>
        <v>0</v>
      </c>
      <c r="CU34" s="33">
        <f>+MINVU_Mes_Corriente!CU34*SALUD_Mes_Constante!$CP$1</f>
        <v>0</v>
      </c>
      <c r="CV34" s="33">
        <f>+MINVU_Mes_Corriente!CV34*SALUD_Mes_Constante!$CP$1</f>
        <v>0</v>
      </c>
      <c r="CW34" s="33">
        <f>+MINVU_Mes_Corriente!CW34*SALUD_Mes_Constante!$CP$1</f>
        <v>0</v>
      </c>
      <c r="CX34" s="33">
        <f>+MINVU_Mes_Corriente!CX34*SALUD_Mes_Constante!$CP$1</f>
        <v>0</v>
      </c>
      <c r="CY34" s="33">
        <f>+MINVU_Mes_Corriente!CY34*SALUD_Mes_Constante!$CP$1</f>
        <v>0</v>
      </c>
      <c r="CZ34" s="33">
        <f>+MINVU_Mes_Corriente!CZ34*SALUD_Mes_Constante!$CP$1</f>
        <v>0</v>
      </c>
      <c r="DA34" s="33">
        <f>+MINVU_Mes_Corriente!DA34*SALUD_Mes_Constante!$CP$1</f>
        <v>0</v>
      </c>
      <c r="DB34" s="34">
        <f t="shared" si="7"/>
        <v>0</v>
      </c>
      <c r="DC34" s="33">
        <f>+MINVU_Mes_Corriente!DC34*SALUD_Mes_Constante!$DC$1</f>
        <v>0</v>
      </c>
      <c r="DD34" s="33">
        <f>+MINVU_Mes_Corriente!DD34*SALUD_Mes_Constante!$DC$1</f>
        <v>0</v>
      </c>
      <c r="DE34" s="33">
        <f>+MINVU_Mes_Corriente!DE34*SALUD_Mes_Constante!$DC$1</f>
        <v>0</v>
      </c>
      <c r="DF34" s="33">
        <f>+MINVU_Mes_Corriente!DF34*SALUD_Mes_Constante!$DC$1</f>
        <v>0</v>
      </c>
      <c r="DG34" s="33">
        <f>+MINVU_Mes_Corriente!DG34*SALUD_Mes_Constante!$DC$1</f>
        <v>0</v>
      </c>
      <c r="DH34" s="33">
        <f>+MINVU_Mes_Corriente!DH34*SALUD_Mes_Constante!$DC$1</f>
        <v>0</v>
      </c>
      <c r="DI34" s="33">
        <f>+MINVU_Mes_Corriente!DI34*SALUD_Mes_Constante!$DC$1</f>
        <v>0</v>
      </c>
      <c r="DJ34" s="33">
        <f>+MINVU_Mes_Corriente!DJ34*SALUD_Mes_Constante!$DC$1</f>
        <v>0</v>
      </c>
      <c r="DK34" s="33">
        <f>+MINVU_Mes_Corriente!DK34*SALUD_Mes_Constante!$DC$1</f>
        <v>0</v>
      </c>
      <c r="DL34" s="33">
        <f>+MINVU_Mes_Corriente!DL34*SALUD_Mes_Constante!$DC$1</f>
        <v>0</v>
      </c>
      <c r="DM34" s="33">
        <f>+MINVU_Mes_Corriente!DM34*SALUD_Mes_Constante!$DC$1</f>
        <v>0</v>
      </c>
      <c r="DN34" s="33">
        <f>+MINVU_Mes_Corriente!DN34*SALUD_Mes_Constante!$DC$1</f>
        <v>0</v>
      </c>
      <c r="DO34" s="34">
        <f t="shared" si="8"/>
        <v>0</v>
      </c>
      <c r="DP34" s="33">
        <f>+MINVU_Mes_Corriente!DP34*SALUD_Mes_Constante!$DP$1</f>
        <v>0</v>
      </c>
      <c r="DQ34" s="33">
        <f>+MINVU_Mes_Corriente!DQ34*SALUD_Mes_Constante!$DP$1</f>
        <v>0</v>
      </c>
      <c r="DR34" s="33">
        <f>+MINVU_Mes_Corriente!DR34*SALUD_Mes_Constante!$DP$1</f>
        <v>0</v>
      </c>
      <c r="DS34" s="33">
        <f>+MINVU_Mes_Corriente!DS34*SALUD_Mes_Constante!$DP$1</f>
        <v>0</v>
      </c>
      <c r="DT34" s="33">
        <f>+MINVU_Mes_Corriente!DT34*SALUD_Mes_Constante!$DP$1</f>
        <v>0</v>
      </c>
      <c r="DU34" s="33">
        <f>+MINVU_Mes_Corriente!DU34*SALUD_Mes_Constante!$DP$1</f>
        <v>0</v>
      </c>
      <c r="DV34" s="33">
        <f>+MINVU_Mes_Corriente!DV34*SALUD_Mes_Constante!$DP$1</f>
        <v>0</v>
      </c>
      <c r="DW34" s="33">
        <f>+MINVU_Mes_Corriente!DW34*SALUD_Mes_Constante!$DP$1</f>
        <v>0</v>
      </c>
      <c r="DX34" s="33">
        <f>+MINVU_Mes_Corriente!DX34*SALUD_Mes_Constante!$DP$1</f>
        <v>0</v>
      </c>
      <c r="DY34" s="33">
        <f>+MINVU_Mes_Corriente!DY34*SALUD_Mes_Constante!$DP$1</f>
        <v>0</v>
      </c>
      <c r="DZ34" s="33">
        <f>+MINVU_Mes_Corriente!DZ34*SALUD_Mes_Constante!$DP$1</f>
        <v>0</v>
      </c>
      <c r="EA34" s="33">
        <f>+MINVU_Mes_Corriente!EA34*SALUD_Mes_Constante!$DP$1</f>
        <v>0</v>
      </c>
      <c r="EB34" s="34">
        <f t="shared" si="9"/>
        <v>0</v>
      </c>
      <c r="EC34" s="33">
        <f>+MINVU_Mes_Corriente!EC34*SALUD_Mes_Constante!$EC$1</f>
        <v>0</v>
      </c>
      <c r="ED34" s="33">
        <f>+MINVU_Mes_Corriente!ED34*SALUD_Mes_Constante!$EC$1</f>
        <v>0</v>
      </c>
      <c r="EE34" s="33">
        <f>+MINVU_Mes_Corriente!EE34*SALUD_Mes_Constante!$EC$1</f>
        <v>0</v>
      </c>
      <c r="EF34" s="33">
        <f>+MINVU_Mes_Corriente!EF34*SALUD_Mes_Constante!$EC$1</f>
        <v>0</v>
      </c>
      <c r="EG34" s="33">
        <f>+MINVU_Mes_Corriente!EG34*SALUD_Mes_Constante!$EC$1</f>
        <v>0</v>
      </c>
      <c r="EH34" s="33">
        <f>+MINVU_Mes_Corriente!EH34*SALUD_Mes_Constante!$EC$1</f>
        <v>0</v>
      </c>
      <c r="EI34" s="33">
        <f>+MINVU_Mes_Corriente!EI34*SALUD_Mes_Constante!$EC$1</f>
        <v>0</v>
      </c>
      <c r="EJ34" s="33">
        <f>+MINVU_Mes_Corriente!EJ34*SALUD_Mes_Constante!$EC$1</f>
        <v>0</v>
      </c>
      <c r="EK34" s="33">
        <f>+MINVU_Mes_Corriente!EK34*SALUD_Mes_Constante!$EC$1</f>
        <v>0</v>
      </c>
      <c r="EL34" s="33">
        <f>+MINVU_Mes_Corriente!EL34*SALUD_Mes_Constante!$EC$1</f>
        <v>0</v>
      </c>
      <c r="EM34" s="33">
        <f>+MINVU_Mes_Corriente!EM34*SALUD_Mes_Constante!$EC$1</f>
        <v>0</v>
      </c>
      <c r="EN34" s="33">
        <f>+MINVU_Mes_Corriente!EN34*SALUD_Mes_Constante!$EC$1</f>
        <v>0</v>
      </c>
      <c r="EO34" s="34">
        <f t="shared" si="10"/>
        <v>0</v>
      </c>
      <c r="EP34" s="33">
        <f>+MINVU_Mes_Corriente!EP34*SALUD_Mes_Constante!$EP$1</f>
        <v>0</v>
      </c>
      <c r="EQ34" s="33">
        <f>+MINVU_Mes_Corriente!EQ34*SALUD_Mes_Constante!$EP$1</f>
        <v>0</v>
      </c>
      <c r="ER34" s="33">
        <f>+MINVU_Mes_Corriente!ER34*SALUD_Mes_Constante!$EP$1</f>
        <v>0</v>
      </c>
      <c r="ES34" s="33">
        <f>+MINVU_Mes_Corriente!ES34*SALUD_Mes_Constante!$EP$1</f>
        <v>0</v>
      </c>
      <c r="ET34" s="33">
        <f>+MINVU_Mes_Corriente!ET34*SALUD_Mes_Constante!$EP$1</f>
        <v>0</v>
      </c>
      <c r="EU34" s="33">
        <f>+MINVU_Mes_Corriente!EU34*SALUD_Mes_Constante!$EP$1</f>
        <v>0</v>
      </c>
      <c r="EV34" s="33">
        <f>+MINVU_Mes_Corriente!EV34*SALUD_Mes_Constante!$EP$1</f>
        <v>0</v>
      </c>
      <c r="EW34" s="33">
        <f>+MINVU_Mes_Corriente!EW34*SALUD_Mes_Constante!$EP$1</f>
        <v>0</v>
      </c>
      <c r="EX34" s="33">
        <f>+MINVU_Mes_Corriente!EX34*SALUD_Mes_Constante!$EP$1</f>
        <v>0</v>
      </c>
      <c r="EY34" s="33">
        <f>+MINVU_Mes_Corriente!EY34*SALUD_Mes_Constante!$EP$1</f>
        <v>0</v>
      </c>
      <c r="EZ34" s="33">
        <f>+MINVU_Mes_Corriente!EZ34*SALUD_Mes_Constante!$EP$1</f>
        <v>0</v>
      </c>
      <c r="FA34" s="33">
        <f>+MINVU_Mes_Corriente!FA34*SALUD_Mes_Constante!$EP$1</f>
        <v>0</v>
      </c>
      <c r="FB34" s="34">
        <f t="shared" si="11"/>
        <v>0</v>
      </c>
      <c r="FC34" s="33">
        <f>+MINVU_Mes_Corriente!FC34*SALUD_Mes_Constante!$FC$1</f>
        <v>14023719</v>
      </c>
      <c r="FD34" s="33">
        <f>+MINVU_Mes_Corriente!FD34*SALUD_Mes_Constante!$FC$1</f>
        <v>14023719</v>
      </c>
      <c r="FE34" s="33">
        <f>+MINVU_Mes_Corriente!FE34*SALUD_Mes_Constante!$FC$1</f>
        <v>14023719</v>
      </c>
      <c r="FF34" s="33">
        <f>+MINVU_Mes_Corriente!FF34*SALUD_Mes_Constante!$FC$1</f>
        <v>14023719</v>
      </c>
      <c r="FG34" s="33">
        <f>+MINVU_Mes_Corriente!FG34*SALUD_Mes_Constante!$FC$1</f>
        <v>14023719</v>
      </c>
      <c r="FH34" s="33">
        <f>+MINVU_Mes_Corriente!FH34*SALUD_Mes_Constante!$FC$1</f>
        <v>14023719</v>
      </c>
      <c r="FI34" s="33">
        <f>+MINVU_Mes_Corriente!FI34*SALUD_Mes_Constante!$FC$1</f>
        <v>14023719</v>
      </c>
      <c r="FJ34" s="33"/>
      <c r="FK34" s="33"/>
      <c r="FL34" s="33"/>
      <c r="FM34" s="33"/>
      <c r="FN34" s="33"/>
      <c r="FO34" s="34">
        <f t="shared" si="12"/>
        <v>14023719</v>
      </c>
    </row>
    <row r="35" spans="2:171" ht="14.25" customHeight="1" x14ac:dyDescent="0.3">
      <c r="B35" s="35" t="s">
        <v>70</v>
      </c>
      <c r="C35" s="33">
        <f>+MINVU_Mes_Corriente!C35*SALUD_Mes_Constante!$C$1</f>
        <v>0</v>
      </c>
      <c r="D35" s="33">
        <f>+MINVU_Mes_Corriente!D35*SALUD_Mes_Constante!$C$1</f>
        <v>0</v>
      </c>
      <c r="E35" s="33">
        <f>+MINVU_Mes_Corriente!E35*SALUD_Mes_Constante!$C$1</f>
        <v>0</v>
      </c>
      <c r="F35" s="33">
        <f>+MINVU_Mes_Corriente!F35*SALUD_Mes_Constante!$C$1</f>
        <v>0</v>
      </c>
      <c r="G35" s="33">
        <f>+MINVU_Mes_Corriente!G35*SALUD_Mes_Constante!$C$1</f>
        <v>0</v>
      </c>
      <c r="H35" s="33">
        <f>+MINVU_Mes_Corriente!H35*SALUD_Mes_Constante!$C$1</f>
        <v>0</v>
      </c>
      <c r="I35" s="33">
        <f>+MINVU_Mes_Corriente!I35*SALUD_Mes_Constante!$C$1</f>
        <v>0</v>
      </c>
      <c r="J35" s="33">
        <f>+MINVU_Mes_Corriente!J35*SALUD_Mes_Constante!$C$1</f>
        <v>0</v>
      </c>
      <c r="K35" s="33">
        <f>+MINVU_Mes_Corriente!K35*SALUD_Mes_Constante!$C$1</f>
        <v>0</v>
      </c>
      <c r="L35" s="33">
        <f>+MINVU_Mes_Corriente!L35*SALUD_Mes_Constante!$C$1</f>
        <v>0</v>
      </c>
      <c r="M35" s="33">
        <f>+MINVU_Mes_Corriente!M35*SALUD_Mes_Constante!$C$1</f>
        <v>0</v>
      </c>
      <c r="N35" s="33">
        <f>+MINVU_Mes_Corriente!N35*SALUD_Mes_Constante!$C$1</f>
        <v>0</v>
      </c>
      <c r="O35" s="34">
        <f t="shared" si="0"/>
        <v>0</v>
      </c>
      <c r="P35" s="33">
        <f>+MINVU_Mes_Corriente!P35*SALUD_Mes_Constante!$P$1</f>
        <v>0</v>
      </c>
      <c r="Q35" s="33">
        <f>+MINVU_Mes_Corriente!Q35*SALUD_Mes_Constante!$P$1</f>
        <v>0</v>
      </c>
      <c r="R35" s="33">
        <f>+MINVU_Mes_Corriente!R35*SALUD_Mes_Constante!$P$1</f>
        <v>0</v>
      </c>
      <c r="S35" s="33">
        <f>+MINVU_Mes_Corriente!S35*SALUD_Mes_Constante!$P$1</f>
        <v>0</v>
      </c>
      <c r="T35" s="33">
        <f>+MINVU_Mes_Corriente!T35*SALUD_Mes_Constante!$P$1</f>
        <v>0</v>
      </c>
      <c r="U35" s="33">
        <f>+MINVU_Mes_Corriente!U35*SALUD_Mes_Constante!$P$1</f>
        <v>0</v>
      </c>
      <c r="V35" s="33">
        <f>+MINVU_Mes_Corriente!V35*SALUD_Mes_Constante!$P$1</f>
        <v>0</v>
      </c>
      <c r="W35" s="33">
        <f>+MINVU_Mes_Corriente!W35*SALUD_Mes_Constante!$P$1</f>
        <v>0</v>
      </c>
      <c r="X35" s="33">
        <f>+MINVU_Mes_Corriente!X35*SALUD_Mes_Constante!$P$1</f>
        <v>0</v>
      </c>
      <c r="Y35" s="33">
        <f>+MINVU_Mes_Corriente!Y35*SALUD_Mes_Constante!$P$1</f>
        <v>0</v>
      </c>
      <c r="Z35" s="33">
        <f>+MINVU_Mes_Corriente!Z35*SALUD_Mes_Constante!$P$1</f>
        <v>0</v>
      </c>
      <c r="AA35" s="33">
        <f>+MINVU_Mes_Corriente!AA35*SALUD_Mes_Constante!$P$1</f>
        <v>0</v>
      </c>
      <c r="AB35" s="34">
        <f t="shared" si="1"/>
        <v>0</v>
      </c>
      <c r="AC35" s="33">
        <f>+MINVU_Mes_Corriente!AC35*SALUD_Mes_Constante!$AC$1</f>
        <v>0</v>
      </c>
      <c r="AD35" s="33">
        <f>+MINVU_Mes_Corriente!AD35*SALUD_Mes_Constante!$AC$1</f>
        <v>0</v>
      </c>
      <c r="AE35" s="33">
        <f>+MINVU_Mes_Corriente!AE35*SALUD_Mes_Constante!$AC$1</f>
        <v>0</v>
      </c>
      <c r="AF35" s="33">
        <f>+MINVU_Mes_Corriente!AF35*SALUD_Mes_Constante!$AC$1</f>
        <v>0</v>
      </c>
      <c r="AG35" s="33">
        <f>+MINVU_Mes_Corriente!AG35*SALUD_Mes_Constante!$AC$1</f>
        <v>0</v>
      </c>
      <c r="AH35" s="33">
        <f>+MINVU_Mes_Corriente!AH35*SALUD_Mes_Constante!$AC$1</f>
        <v>0</v>
      </c>
      <c r="AI35" s="33">
        <f>+MINVU_Mes_Corriente!AI35*SALUD_Mes_Constante!$AC$1</f>
        <v>0</v>
      </c>
      <c r="AJ35" s="33">
        <f>+MINVU_Mes_Corriente!AJ35*SALUD_Mes_Constante!$AC$1</f>
        <v>0</v>
      </c>
      <c r="AK35" s="33">
        <f>+MINVU_Mes_Corriente!AK35*SALUD_Mes_Constante!$AC$1</f>
        <v>0</v>
      </c>
      <c r="AL35" s="33">
        <f>+MINVU_Mes_Corriente!AL35*SALUD_Mes_Constante!$AC$1</f>
        <v>0</v>
      </c>
      <c r="AM35" s="33">
        <f>+MINVU_Mes_Corriente!AM35*SALUD_Mes_Constante!$AC$1</f>
        <v>0</v>
      </c>
      <c r="AN35" s="33">
        <f>+MINVU_Mes_Corriente!AN35*SALUD_Mes_Constante!$AC$1</f>
        <v>0</v>
      </c>
      <c r="AO35" s="34">
        <f t="shared" si="2"/>
        <v>0</v>
      </c>
      <c r="AP35" s="33">
        <f>+MINVU_Mes_Corriente!AP35*SALUD_Mes_Constante!$AP$1</f>
        <v>0</v>
      </c>
      <c r="AQ35" s="33">
        <f>+MINVU_Mes_Corriente!AQ35*SALUD_Mes_Constante!$AP$1</f>
        <v>0</v>
      </c>
      <c r="AR35" s="33">
        <f>+MINVU_Mes_Corriente!AR35*SALUD_Mes_Constante!$AP$1</f>
        <v>0</v>
      </c>
      <c r="AS35" s="33">
        <f>+MINVU_Mes_Corriente!AS35*SALUD_Mes_Constante!$AP$1</f>
        <v>0</v>
      </c>
      <c r="AT35" s="33">
        <f>+MINVU_Mes_Corriente!AT35*SALUD_Mes_Constante!$AP$1</f>
        <v>0</v>
      </c>
      <c r="AU35" s="33">
        <f>+MINVU_Mes_Corriente!AU35*SALUD_Mes_Constante!$AP$1</f>
        <v>0</v>
      </c>
      <c r="AV35" s="33">
        <f>+MINVU_Mes_Corriente!AV35*SALUD_Mes_Constante!$AP$1</f>
        <v>0</v>
      </c>
      <c r="AW35" s="33">
        <f>+MINVU_Mes_Corriente!AW35*SALUD_Mes_Constante!$AP$1</f>
        <v>0</v>
      </c>
      <c r="AX35" s="33">
        <f>+MINVU_Mes_Corriente!AX35*SALUD_Mes_Constante!$AP$1</f>
        <v>0</v>
      </c>
      <c r="AY35" s="33">
        <f>+MINVU_Mes_Corriente!AY35*SALUD_Mes_Constante!$AP$1</f>
        <v>0</v>
      </c>
      <c r="AZ35" s="33">
        <f>+MINVU_Mes_Corriente!AZ35*SALUD_Mes_Constante!$AP$1</f>
        <v>0</v>
      </c>
      <c r="BA35" s="33">
        <f>+MINVU_Mes_Corriente!BA35*SALUD_Mes_Constante!$AP$1</f>
        <v>0</v>
      </c>
      <c r="BB35" s="34">
        <f t="shared" si="3"/>
        <v>0</v>
      </c>
      <c r="BC35" s="33">
        <f>+MINVU_Mes_Corriente!BC35*SALUD_Mes_Constante!$BC$1</f>
        <v>0</v>
      </c>
      <c r="BD35" s="33">
        <f>+MINVU_Mes_Corriente!BD35*SALUD_Mes_Constante!$BC$1</f>
        <v>0</v>
      </c>
      <c r="BE35" s="33">
        <f>+MINVU_Mes_Corriente!BE35*SALUD_Mes_Constante!$BC$1</f>
        <v>0</v>
      </c>
      <c r="BF35" s="33">
        <f>+MINVU_Mes_Corriente!BF35*SALUD_Mes_Constante!$BC$1</f>
        <v>0</v>
      </c>
      <c r="BG35" s="33">
        <f>+MINVU_Mes_Corriente!BG35*SALUD_Mes_Constante!$BC$1</f>
        <v>0</v>
      </c>
      <c r="BH35" s="33">
        <f>+MINVU_Mes_Corriente!BH35*SALUD_Mes_Constante!$BC$1</f>
        <v>0</v>
      </c>
      <c r="BI35" s="33">
        <f>+MINVU_Mes_Corriente!BI35*SALUD_Mes_Constante!$BC$1</f>
        <v>0</v>
      </c>
      <c r="BJ35" s="33">
        <f>+MINVU_Mes_Corriente!BJ35*SALUD_Mes_Constante!$BC$1</f>
        <v>0</v>
      </c>
      <c r="BK35" s="33">
        <f>+MINVU_Mes_Corriente!BK35*SALUD_Mes_Constante!$BC$1</f>
        <v>0</v>
      </c>
      <c r="BL35" s="33">
        <f>+MINVU_Mes_Corriente!BL35*SALUD_Mes_Constante!$BC$1</f>
        <v>0</v>
      </c>
      <c r="BM35" s="33">
        <f>+MINVU_Mes_Corriente!BM35*SALUD_Mes_Constante!$BC$1</f>
        <v>0</v>
      </c>
      <c r="BN35" s="33">
        <f>+MINVU_Mes_Corriente!BN35*SALUD_Mes_Constante!$BC$1</f>
        <v>0</v>
      </c>
      <c r="BO35" s="34">
        <f t="shared" si="4"/>
        <v>0</v>
      </c>
      <c r="BP35" s="33">
        <f>+MINVU_Mes_Corriente!BP35*SALUD_Mes_Constante!$BP$1</f>
        <v>0</v>
      </c>
      <c r="BQ35" s="33">
        <f>+MINVU_Mes_Corriente!BQ35*SALUD_Mes_Constante!$BP$1</f>
        <v>0</v>
      </c>
      <c r="BR35" s="33">
        <f>+MINVU_Mes_Corriente!BR35*SALUD_Mes_Constante!$BP$1</f>
        <v>0</v>
      </c>
      <c r="BS35" s="33">
        <f>+MINVU_Mes_Corriente!BS35*SALUD_Mes_Constante!$BP$1</f>
        <v>0</v>
      </c>
      <c r="BT35" s="33">
        <f>+MINVU_Mes_Corriente!BT35*SALUD_Mes_Constante!$BP$1</f>
        <v>0</v>
      </c>
      <c r="BU35" s="33">
        <f>+MINVU_Mes_Corriente!BU35*SALUD_Mes_Constante!$BP$1</f>
        <v>0</v>
      </c>
      <c r="BV35" s="33">
        <f>+MINVU_Mes_Corriente!BV35*SALUD_Mes_Constante!$BP$1</f>
        <v>0</v>
      </c>
      <c r="BW35" s="33">
        <f>+MINVU_Mes_Corriente!BW35*SALUD_Mes_Constante!$BP$1</f>
        <v>0</v>
      </c>
      <c r="BX35" s="33">
        <f>+MINVU_Mes_Corriente!BX35*SALUD_Mes_Constante!$BP$1</f>
        <v>0</v>
      </c>
      <c r="BY35" s="33">
        <f>+MINVU_Mes_Corriente!BY35*SALUD_Mes_Constante!$BP$1</f>
        <v>0</v>
      </c>
      <c r="BZ35" s="33">
        <f>+MINVU_Mes_Corriente!BZ35*SALUD_Mes_Constante!$BP$1</f>
        <v>0</v>
      </c>
      <c r="CA35" s="33">
        <f>+MINVU_Mes_Corriente!CA35*SALUD_Mes_Constante!$BP$1</f>
        <v>0</v>
      </c>
      <c r="CB35" s="34">
        <f t="shared" si="5"/>
        <v>0</v>
      </c>
      <c r="CC35" s="33">
        <f>+MINVU_Mes_Corriente!CC35*SALUD_Mes_Constante!$CC$1</f>
        <v>0</v>
      </c>
      <c r="CD35" s="33">
        <f>+MINVU_Mes_Corriente!CD35*SALUD_Mes_Constante!$CC$1</f>
        <v>0</v>
      </c>
      <c r="CE35" s="33">
        <f>+MINVU_Mes_Corriente!CE35*SALUD_Mes_Constante!$CC$1</f>
        <v>0</v>
      </c>
      <c r="CF35" s="33">
        <f>+MINVU_Mes_Corriente!CF35*SALUD_Mes_Constante!$CC$1</f>
        <v>0</v>
      </c>
      <c r="CG35" s="33">
        <f>+MINVU_Mes_Corriente!CG35*SALUD_Mes_Constante!$CC$1</f>
        <v>0</v>
      </c>
      <c r="CH35" s="33">
        <f>+MINVU_Mes_Corriente!CH35*SALUD_Mes_Constante!$CC$1</f>
        <v>0</v>
      </c>
      <c r="CI35" s="33">
        <f>+MINVU_Mes_Corriente!CI35*SALUD_Mes_Constante!$CC$1</f>
        <v>0</v>
      </c>
      <c r="CJ35" s="33">
        <f>+MINVU_Mes_Corriente!CJ35*SALUD_Mes_Constante!$CC$1</f>
        <v>0</v>
      </c>
      <c r="CK35" s="33">
        <f>+MINVU_Mes_Corriente!CK35*SALUD_Mes_Constante!$CC$1</f>
        <v>0</v>
      </c>
      <c r="CL35" s="33">
        <f>+MINVU_Mes_Corriente!CL35*SALUD_Mes_Constante!$CC$1</f>
        <v>0</v>
      </c>
      <c r="CM35" s="33">
        <f>+MINVU_Mes_Corriente!CM35*SALUD_Mes_Constante!$CC$1</f>
        <v>0</v>
      </c>
      <c r="CN35" s="33">
        <f>+MINVU_Mes_Corriente!CN35*SALUD_Mes_Constante!$CC$1</f>
        <v>0</v>
      </c>
      <c r="CO35" s="34">
        <f t="shared" si="6"/>
        <v>0</v>
      </c>
      <c r="CP35" s="33">
        <f>+MINVU_Mes_Corriente!CP35*SALUD_Mes_Constante!$CP$1</f>
        <v>0</v>
      </c>
      <c r="CQ35" s="33">
        <f>+MINVU_Mes_Corriente!CQ35*SALUD_Mes_Constante!$CP$1</f>
        <v>0</v>
      </c>
      <c r="CR35" s="33">
        <f>+MINVU_Mes_Corriente!CR35*SALUD_Mes_Constante!$CP$1</f>
        <v>0</v>
      </c>
      <c r="CS35" s="33">
        <f>+MINVU_Mes_Corriente!CS35*SALUD_Mes_Constante!$CP$1</f>
        <v>0</v>
      </c>
      <c r="CT35" s="33">
        <f>+MINVU_Mes_Corriente!CT35*SALUD_Mes_Constante!$CP$1</f>
        <v>0</v>
      </c>
      <c r="CU35" s="33">
        <f>+MINVU_Mes_Corriente!CU35*SALUD_Mes_Constante!$CP$1</f>
        <v>0</v>
      </c>
      <c r="CV35" s="33">
        <f>+MINVU_Mes_Corriente!CV35*SALUD_Mes_Constante!$CP$1</f>
        <v>0</v>
      </c>
      <c r="CW35" s="33">
        <f>+MINVU_Mes_Corriente!CW35*SALUD_Mes_Constante!$CP$1</f>
        <v>0</v>
      </c>
      <c r="CX35" s="33">
        <f>+MINVU_Mes_Corriente!CX35*SALUD_Mes_Constante!$CP$1</f>
        <v>0</v>
      </c>
      <c r="CY35" s="33">
        <f>+MINVU_Mes_Corriente!CY35*SALUD_Mes_Constante!$CP$1</f>
        <v>0</v>
      </c>
      <c r="CZ35" s="33">
        <f>+MINVU_Mes_Corriente!CZ35*SALUD_Mes_Constante!$CP$1</f>
        <v>0</v>
      </c>
      <c r="DA35" s="33">
        <f>+MINVU_Mes_Corriente!DA35*SALUD_Mes_Constante!$CP$1</f>
        <v>0</v>
      </c>
      <c r="DB35" s="34">
        <f t="shared" si="7"/>
        <v>0</v>
      </c>
      <c r="DC35" s="33">
        <f>+MINVU_Mes_Corriente!DC35*SALUD_Mes_Constante!$DC$1</f>
        <v>0</v>
      </c>
      <c r="DD35" s="33">
        <f>+MINVU_Mes_Corriente!DD35*SALUD_Mes_Constante!$DC$1</f>
        <v>0</v>
      </c>
      <c r="DE35" s="33">
        <f>+MINVU_Mes_Corriente!DE35*SALUD_Mes_Constante!$DC$1</f>
        <v>0</v>
      </c>
      <c r="DF35" s="33">
        <f>+MINVU_Mes_Corriente!DF35*SALUD_Mes_Constante!$DC$1</f>
        <v>0</v>
      </c>
      <c r="DG35" s="33">
        <f>+MINVU_Mes_Corriente!DG35*SALUD_Mes_Constante!$DC$1</f>
        <v>0</v>
      </c>
      <c r="DH35" s="33">
        <f>+MINVU_Mes_Corriente!DH35*SALUD_Mes_Constante!$DC$1</f>
        <v>0</v>
      </c>
      <c r="DI35" s="33">
        <f>+MINVU_Mes_Corriente!DI35*SALUD_Mes_Constante!$DC$1</f>
        <v>0</v>
      </c>
      <c r="DJ35" s="33">
        <f>+MINVU_Mes_Corriente!DJ35*SALUD_Mes_Constante!$DC$1</f>
        <v>0</v>
      </c>
      <c r="DK35" s="33">
        <f>+MINVU_Mes_Corriente!DK35*SALUD_Mes_Constante!$DC$1</f>
        <v>0</v>
      </c>
      <c r="DL35" s="33">
        <f>+MINVU_Mes_Corriente!DL35*SALUD_Mes_Constante!$DC$1</f>
        <v>0</v>
      </c>
      <c r="DM35" s="33">
        <f>+MINVU_Mes_Corriente!DM35*SALUD_Mes_Constante!$DC$1</f>
        <v>0</v>
      </c>
      <c r="DN35" s="33">
        <f>+MINVU_Mes_Corriente!DN35*SALUD_Mes_Constante!$DC$1</f>
        <v>0</v>
      </c>
      <c r="DO35" s="34">
        <f t="shared" si="8"/>
        <v>0</v>
      </c>
      <c r="DP35" s="33">
        <f>+MINVU_Mes_Corriente!DP35*SALUD_Mes_Constante!$DP$1</f>
        <v>0</v>
      </c>
      <c r="DQ35" s="33">
        <f>+MINVU_Mes_Corriente!DQ35*SALUD_Mes_Constante!$DP$1</f>
        <v>0</v>
      </c>
      <c r="DR35" s="33">
        <f>+MINVU_Mes_Corriente!DR35*SALUD_Mes_Constante!$DP$1</f>
        <v>0</v>
      </c>
      <c r="DS35" s="33">
        <f>+MINVU_Mes_Corriente!DS35*SALUD_Mes_Constante!$DP$1</f>
        <v>0</v>
      </c>
      <c r="DT35" s="33">
        <f>+MINVU_Mes_Corriente!DT35*SALUD_Mes_Constante!$DP$1</f>
        <v>0</v>
      </c>
      <c r="DU35" s="33">
        <f>+MINVU_Mes_Corriente!DU35*SALUD_Mes_Constante!$DP$1</f>
        <v>0</v>
      </c>
      <c r="DV35" s="33">
        <f>+MINVU_Mes_Corriente!DV35*SALUD_Mes_Constante!$DP$1</f>
        <v>0</v>
      </c>
      <c r="DW35" s="33">
        <f>+MINVU_Mes_Corriente!DW35*SALUD_Mes_Constante!$DP$1</f>
        <v>0</v>
      </c>
      <c r="DX35" s="33">
        <f>+MINVU_Mes_Corriente!DX35*SALUD_Mes_Constante!$DP$1</f>
        <v>0</v>
      </c>
      <c r="DY35" s="33">
        <f>+MINVU_Mes_Corriente!DY35*SALUD_Mes_Constante!$DP$1</f>
        <v>0</v>
      </c>
      <c r="DZ35" s="33">
        <f>+MINVU_Mes_Corriente!DZ35*SALUD_Mes_Constante!$DP$1</f>
        <v>0</v>
      </c>
      <c r="EA35" s="33">
        <f>+MINVU_Mes_Corriente!EA35*SALUD_Mes_Constante!$DP$1</f>
        <v>0</v>
      </c>
      <c r="EB35" s="34">
        <f t="shared" si="9"/>
        <v>0</v>
      </c>
      <c r="EC35" s="33">
        <f>+MINVU_Mes_Corriente!EC35*SALUD_Mes_Constante!$EC$1</f>
        <v>0</v>
      </c>
      <c r="ED35" s="33">
        <f>+MINVU_Mes_Corriente!ED35*SALUD_Mes_Constante!$EC$1</f>
        <v>0</v>
      </c>
      <c r="EE35" s="33">
        <f>+MINVU_Mes_Corriente!EE35*SALUD_Mes_Constante!$EC$1</f>
        <v>0</v>
      </c>
      <c r="EF35" s="33">
        <f>+MINVU_Mes_Corriente!EF35*SALUD_Mes_Constante!$EC$1</f>
        <v>0</v>
      </c>
      <c r="EG35" s="33">
        <f>+MINVU_Mes_Corriente!EG35*SALUD_Mes_Constante!$EC$1</f>
        <v>0</v>
      </c>
      <c r="EH35" s="33">
        <f>+MINVU_Mes_Corriente!EH35*SALUD_Mes_Constante!$EC$1</f>
        <v>0</v>
      </c>
      <c r="EI35" s="33">
        <f>+MINVU_Mes_Corriente!EI35*SALUD_Mes_Constante!$EC$1</f>
        <v>0</v>
      </c>
      <c r="EJ35" s="33">
        <f>+MINVU_Mes_Corriente!EJ35*SALUD_Mes_Constante!$EC$1</f>
        <v>0</v>
      </c>
      <c r="EK35" s="33">
        <f>+MINVU_Mes_Corriente!EK35*SALUD_Mes_Constante!$EC$1</f>
        <v>0</v>
      </c>
      <c r="EL35" s="33">
        <f>+MINVU_Mes_Corriente!EL35*SALUD_Mes_Constante!$EC$1</f>
        <v>0</v>
      </c>
      <c r="EM35" s="33">
        <f>+MINVU_Mes_Corriente!EM35*SALUD_Mes_Constante!$EC$1</f>
        <v>0</v>
      </c>
      <c r="EN35" s="33">
        <f>+MINVU_Mes_Corriente!EN35*SALUD_Mes_Constante!$EC$1</f>
        <v>0</v>
      </c>
      <c r="EO35" s="34">
        <f t="shared" si="10"/>
        <v>0</v>
      </c>
      <c r="EP35" s="33">
        <f>+MINVU_Mes_Corriente!EP35*SALUD_Mes_Constante!$EP$1</f>
        <v>0</v>
      </c>
      <c r="EQ35" s="33">
        <f>+MINVU_Mes_Corriente!EQ35*SALUD_Mes_Constante!$EP$1</f>
        <v>0</v>
      </c>
      <c r="ER35" s="33">
        <f>+MINVU_Mes_Corriente!ER35*SALUD_Mes_Constante!$EP$1</f>
        <v>0</v>
      </c>
      <c r="ES35" s="33">
        <f>+MINVU_Mes_Corriente!ES35*SALUD_Mes_Constante!$EP$1</f>
        <v>0</v>
      </c>
      <c r="ET35" s="33">
        <f>+MINVU_Mes_Corriente!ET35*SALUD_Mes_Constante!$EP$1</f>
        <v>0</v>
      </c>
      <c r="EU35" s="33">
        <f>+MINVU_Mes_Corriente!EU35*SALUD_Mes_Constante!$EP$1</f>
        <v>0</v>
      </c>
      <c r="EV35" s="33">
        <f>+MINVU_Mes_Corriente!EV35*SALUD_Mes_Constante!$EP$1</f>
        <v>0</v>
      </c>
      <c r="EW35" s="33">
        <f>+MINVU_Mes_Corriente!EW35*SALUD_Mes_Constante!$EP$1</f>
        <v>0</v>
      </c>
      <c r="EX35" s="33">
        <f>+MINVU_Mes_Corriente!EX35*SALUD_Mes_Constante!$EP$1</f>
        <v>0</v>
      </c>
      <c r="EY35" s="33">
        <f>+MINVU_Mes_Corriente!EY35*SALUD_Mes_Constante!$EP$1</f>
        <v>0</v>
      </c>
      <c r="EZ35" s="33">
        <f>+MINVU_Mes_Corriente!EZ35*SALUD_Mes_Constante!$EP$1</f>
        <v>0</v>
      </c>
      <c r="FA35" s="33">
        <f>+MINVU_Mes_Corriente!FA35*SALUD_Mes_Constante!$EP$1</f>
        <v>0</v>
      </c>
      <c r="FB35" s="34">
        <f t="shared" si="11"/>
        <v>0</v>
      </c>
      <c r="FC35" s="33">
        <f>+MINVU_Mes_Corriente!FC35*SALUD_Mes_Constante!$FC$1</f>
        <v>11724655</v>
      </c>
      <c r="FD35" s="33">
        <f>+MINVU_Mes_Corriente!FD35*SALUD_Mes_Constante!$FC$1</f>
        <v>11724655</v>
      </c>
      <c r="FE35" s="33">
        <f>+MINVU_Mes_Corriente!FE35*SALUD_Mes_Constante!$FC$1</f>
        <v>11724655</v>
      </c>
      <c r="FF35" s="33">
        <f>+MINVU_Mes_Corriente!FF35*SALUD_Mes_Constante!$FC$1</f>
        <v>11724655</v>
      </c>
      <c r="FG35" s="33">
        <f>+MINVU_Mes_Corriente!FG35*SALUD_Mes_Constante!$FC$1</f>
        <v>11724655</v>
      </c>
      <c r="FH35" s="33">
        <f>+MINVU_Mes_Corriente!FH35*SALUD_Mes_Constante!$FC$1</f>
        <v>11724655</v>
      </c>
      <c r="FI35" s="33">
        <f>+MINVU_Mes_Corriente!FI35*SALUD_Mes_Constante!$FC$1</f>
        <v>11724655</v>
      </c>
      <c r="FJ35" s="33"/>
      <c r="FK35" s="33"/>
      <c r="FL35" s="33"/>
      <c r="FM35" s="33"/>
      <c r="FN35" s="33"/>
      <c r="FO35" s="34">
        <f t="shared" si="12"/>
        <v>11724655</v>
      </c>
    </row>
    <row r="36" spans="2:171" ht="14.25" customHeight="1" x14ac:dyDescent="0.3">
      <c r="B36" s="35" t="s">
        <v>71</v>
      </c>
      <c r="C36" s="33">
        <f>+MINVU_Mes_Corriente!C36*SALUD_Mes_Constante!$C$1</f>
        <v>0</v>
      </c>
      <c r="D36" s="33">
        <f>+MINVU_Mes_Corriente!D36*SALUD_Mes_Constante!$C$1</f>
        <v>0</v>
      </c>
      <c r="E36" s="33">
        <f>+MINVU_Mes_Corriente!E36*SALUD_Mes_Constante!$C$1</f>
        <v>0</v>
      </c>
      <c r="F36" s="33">
        <f>+MINVU_Mes_Corriente!F36*SALUD_Mes_Constante!$C$1</f>
        <v>0</v>
      </c>
      <c r="G36" s="33">
        <f>+MINVU_Mes_Corriente!G36*SALUD_Mes_Constante!$C$1</f>
        <v>0</v>
      </c>
      <c r="H36" s="33">
        <f>+MINVU_Mes_Corriente!H36*SALUD_Mes_Constante!$C$1</f>
        <v>0</v>
      </c>
      <c r="I36" s="33">
        <f>+MINVU_Mes_Corriente!I36*SALUD_Mes_Constante!$C$1</f>
        <v>0</v>
      </c>
      <c r="J36" s="33">
        <f>+MINVU_Mes_Corriente!J36*SALUD_Mes_Constante!$C$1</f>
        <v>0</v>
      </c>
      <c r="K36" s="33">
        <f>+MINVU_Mes_Corriente!K36*SALUD_Mes_Constante!$C$1</f>
        <v>0</v>
      </c>
      <c r="L36" s="33">
        <f>+MINVU_Mes_Corriente!L36*SALUD_Mes_Constante!$C$1</f>
        <v>0</v>
      </c>
      <c r="M36" s="33">
        <f>+MINVU_Mes_Corriente!M36*SALUD_Mes_Constante!$C$1</f>
        <v>0</v>
      </c>
      <c r="N36" s="33">
        <f>+MINVU_Mes_Corriente!N36*SALUD_Mes_Constante!$C$1</f>
        <v>0</v>
      </c>
      <c r="O36" s="34">
        <f t="shared" si="0"/>
        <v>0</v>
      </c>
      <c r="P36" s="33">
        <f>+MINVU_Mes_Corriente!P36*SALUD_Mes_Constante!$P$1</f>
        <v>0</v>
      </c>
      <c r="Q36" s="33">
        <f>+MINVU_Mes_Corriente!Q36*SALUD_Mes_Constante!$P$1</f>
        <v>0</v>
      </c>
      <c r="R36" s="33">
        <f>+MINVU_Mes_Corriente!R36*SALUD_Mes_Constante!$P$1</f>
        <v>0</v>
      </c>
      <c r="S36" s="33">
        <f>+MINVU_Mes_Corriente!S36*SALUD_Mes_Constante!$P$1</f>
        <v>0</v>
      </c>
      <c r="T36" s="33">
        <f>+MINVU_Mes_Corriente!T36*SALUD_Mes_Constante!$P$1</f>
        <v>0</v>
      </c>
      <c r="U36" s="33">
        <f>+MINVU_Mes_Corriente!U36*SALUD_Mes_Constante!$P$1</f>
        <v>0</v>
      </c>
      <c r="V36" s="33">
        <f>+MINVU_Mes_Corriente!V36*SALUD_Mes_Constante!$P$1</f>
        <v>0</v>
      </c>
      <c r="W36" s="33">
        <f>+MINVU_Mes_Corriente!W36*SALUD_Mes_Constante!$P$1</f>
        <v>0</v>
      </c>
      <c r="X36" s="33">
        <f>+MINVU_Mes_Corriente!X36*SALUD_Mes_Constante!$P$1</f>
        <v>0</v>
      </c>
      <c r="Y36" s="33">
        <f>+MINVU_Mes_Corriente!Y36*SALUD_Mes_Constante!$P$1</f>
        <v>0</v>
      </c>
      <c r="Z36" s="33">
        <f>+MINVU_Mes_Corriente!Z36*SALUD_Mes_Constante!$P$1</f>
        <v>0</v>
      </c>
      <c r="AA36" s="33">
        <f>+MINVU_Mes_Corriente!AA36*SALUD_Mes_Constante!$P$1</f>
        <v>0</v>
      </c>
      <c r="AB36" s="34">
        <f t="shared" si="1"/>
        <v>0</v>
      </c>
      <c r="AC36" s="33">
        <f>+MINVU_Mes_Corriente!AC36*SALUD_Mes_Constante!$AC$1</f>
        <v>0</v>
      </c>
      <c r="AD36" s="33">
        <f>+MINVU_Mes_Corriente!AD36*SALUD_Mes_Constante!$AC$1</f>
        <v>0</v>
      </c>
      <c r="AE36" s="33">
        <f>+MINVU_Mes_Corriente!AE36*SALUD_Mes_Constante!$AC$1</f>
        <v>0</v>
      </c>
      <c r="AF36" s="33">
        <f>+MINVU_Mes_Corriente!AF36*SALUD_Mes_Constante!$AC$1</f>
        <v>0</v>
      </c>
      <c r="AG36" s="33">
        <f>+MINVU_Mes_Corriente!AG36*SALUD_Mes_Constante!$AC$1</f>
        <v>0</v>
      </c>
      <c r="AH36" s="33">
        <f>+MINVU_Mes_Corriente!AH36*SALUD_Mes_Constante!$AC$1</f>
        <v>0</v>
      </c>
      <c r="AI36" s="33">
        <f>+MINVU_Mes_Corriente!AI36*SALUD_Mes_Constante!$AC$1</f>
        <v>0</v>
      </c>
      <c r="AJ36" s="33">
        <f>+MINVU_Mes_Corriente!AJ36*SALUD_Mes_Constante!$AC$1</f>
        <v>0</v>
      </c>
      <c r="AK36" s="33">
        <f>+MINVU_Mes_Corriente!AK36*SALUD_Mes_Constante!$AC$1</f>
        <v>0</v>
      </c>
      <c r="AL36" s="33">
        <f>+MINVU_Mes_Corriente!AL36*SALUD_Mes_Constante!$AC$1</f>
        <v>0</v>
      </c>
      <c r="AM36" s="33">
        <f>+MINVU_Mes_Corriente!AM36*SALUD_Mes_Constante!$AC$1</f>
        <v>0</v>
      </c>
      <c r="AN36" s="33">
        <f>+MINVU_Mes_Corriente!AN36*SALUD_Mes_Constante!$AC$1</f>
        <v>0</v>
      </c>
      <c r="AO36" s="34">
        <f t="shared" si="2"/>
        <v>0</v>
      </c>
      <c r="AP36" s="33">
        <f>+MINVU_Mes_Corriente!AP36*SALUD_Mes_Constante!$AP$1</f>
        <v>0</v>
      </c>
      <c r="AQ36" s="33">
        <f>+MINVU_Mes_Corriente!AQ36*SALUD_Mes_Constante!$AP$1</f>
        <v>0</v>
      </c>
      <c r="AR36" s="33">
        <f>+MINVU_Mes_Corriente!AR36*SALUD_Mes_Constante!$AP$1</f>
        <v>0</v>
      </c>
      <c r="AS36" s="33">
        <f>+MINVU_Mes_Corriente!AS36*SALUD_Mes_Constante!$AP$1</f>
        <v>0</v>
      </c>
      <c r="AT36" s="33">
        <f>+MINVU_Mes_Corriente!AT36*SALUD_Mes_Constante!$AP$1</f>
        <v>0</v>
      </c>
      <c r="AU36" s="33">
        <f>+MINVU_Mes_Corriente!AU36*SALUD_Mes_Constante!$AP$1</f>
        <v>0</v>
      </c>
      <c r="AV36" s="33">
        <f>+MINVU_Mes_Corriente!AV36*SALUD_Mes_Constante!$AP$1</f>
        <v>0</v>
      </c>
      <c r="AW36" s="33">
        <f>+MINVU_Mes_Corriente!AW36*SALUD_Mes_Constante!$AP$1</f>
        <v>0</v>
      </c>
      <c r="AX36" s="33">
        <f>+MINVU_Mes_Corriente!AX36*SALUD_Mes_Constante!$AP$1</f>
        <v>0</v>
      </c>
      <c r="AY36" s="33">
        <f>+MINVU_Mes_Corriente!AY36*SALUD_Mes_Constante!$AP$1</f>
        <v>0</v>
      </c>
      <c r="AZ36" s="33">
        <f>+MINVU_Mes_Corriente!AZ36*SALUD_Mes_Constante!$AP$1</f>
        <v>0</v>
      </c>
      <c r="BA36" s="33">
        <f>+MINVU_Mes_Corriente!BA36*SALUD_Mes_Constante!$AP$1</f>
        <v>0</v>
      </c>
      <c r="BB36" s="34">
        <f t="shared" si="3"/>
        <v>0</v>
      </c>
      <c r="BC36" s="33">
        <f>+MINVU_Mes_Corriente!BC36*SALUD_Mes_Constante!$BC$1</f>
        <v>0</v>
      </c>
      <c r="BD36" s="33">
        <f>+MINVU_Mes_Corriente!BD36*SALUD_Mes_Constante!$BC$1</f>
        <v>0</v>
      </c>
      <c r="BE36" s="33">
        <f>+MINVU_Mes_Corriente!BE36*SALUD_Mes_Constante!$BC$1</f>
        <v>0</v>
      </c>
      <c r="BF36" s="33">
        <f>+MINVU_Mes_Corriente!BF36*SALUD_Mes_Constante!$BC$1</f>
        <v>0</v>
      </c>
      <c r="BG36" s="33">
        <f>+MINVU_Mes_Corriente!BG36*SALUD_Mes_Constante!$BC$1</f>
        <v>0</v>
      </c>
      <c r="BH36" s="33">
        <f>+MINVU_Mes_Corriente!BH36*SALUD_Mes_Constante!$BC$1</f>
        <v>0</v>
      </c>
      <c r="BI36" s="33">
        <f>+MINVU_Mes_Corriente!BI36*SALUD_Mes_Constante!$BC$1</f>
        <v>0</v>
      </c>
      <c r="BJ36" s="33">
        <f>+MINVU_Mes_Corriente!BJ36*SALUD_Mes_Constante!$BC$1</f>
        <v>0</v>
      </c>
      <c r="BK36" s="33">
        <f>+MINVU_Mes_Corriente!BK36*SALUD_Mes_Constante!$BC$1</f>
        <v>0</v>
      </c>
      <c r="BL36" s="33">
        <f>+MINVU_Mes_Corriente!BL36*SALUD_Mes_Constante!$BC$1</f>
        <v>0</v>
      </c>
      <c r="BM36" s="33">
        <f>+MINVU_Mes_Corriente!BM36*SALUD_Mes_Constante!$BC$1</f>
        <v>0</v>
      </c>
      <c r="BN36" s="33">
        <f>+MINVU_Mes_Corriente!BN36*SALUD_Mes_Constante!$BC$1</f>
        <v>0</v>
      </c>
      <c r="BO36" s="34">
        <f t="shared" si="4"/>
        <v>0</v>
      </c>
      <c r="BP36" s="33">
        <f>+MINVU_Mes_Corriente!BP36*SALUD_Mes_Constante!$BP$1</f>
        <v>0</v>
      </c>
      <c r="BQ36" s="33">
        <f>+MINVU_Mes_Corriente!BQ36*SALUD_Mes_Constante!$BP$1</f>
        <v>0</v>
      </c>
      <c r="BR36" s="33">
        <f>+MINVU_Mes_Corriente!BR36*SALUD_Mes_Constante!$BP$1</f>
        <v>0</v>
      </c>
      <c r="BS36" s="33">
        <f>+MINVU_Mes_Corriente!BS36*SALUD_Mes_Constante!$BP$1</f>
        <v>0</v>
      </c>
      <c r="BT36" s="33">
        <f>+MINVU_Mes_Corriente!BT36*SALUD_Mes_Constante!$BP$1</f>
        <v>0</v>
      </c>
      <c r="BU36" s="33">
        <f>+MINVU_Mes_Corriente!BU36*SALUD_Mes_Constante!$BP$1</f>
        <v>0</v>
      </c>
      <c r="BV36" s="33">
        <f>+MINVU_Mes_Corriente!BV36*SALUD_Mes_Constante!$BP$1</f>
        <v>0</v>
      </c>
      <c r="BW36" s="33">
        <f>+MINVU_Mes_Corriente!BW36*SALUD_Mes_Constante!$BP$1</f>
        <v>0</v>
      </c>
      <c r="BX36" s="33">
        <f>+MINVU_Mes_Corriente!BX36*SALUD_Mes_Constante!$BP$1</f>
        <v>0</v>
      </c>
      <c r="BY36" s="33">
        <f>+MINVU_Mes_Corriente!BY36*SALUD_Mes_Constante!$BP$1</f>
        <v>0</v>
      </c>
      <c r="BZ36" s="33">
        <f>+MINVU_Mes_Corriente!BZ36*SALUD_Mes_Constante!$BP$1</f>
        <v>0</v>
      </c>
      <c r="CA36" s="33">
        <f>+MINVU_Mes_Corriente!CA36*SALUD_Mes_Constante!$BP$1</f>
        <v>0</v>
      </c>
      <c r="CB36" s="34">
        <f t="shared" si="5"/>
        <v>0</v>
      </c>
      <c r="CC36" s="33">
        <f>+MINVU_Mes_Corriente!CC36*SALUD_Mes_Constante!$CC$1</f>
        <v>0</v>
      </c>
      <c r="CD36" s="33">
        <f>+MINVU_Mes_Corriente!CD36*SALUD_Mes_Constante!$CC$1</f>
        <v>0</v>
      </c>
      <c r="CE36" s="33">
        <f>+MINVU_Mes_Corriente!CE36*SALUD_Mes_Constante!$CC$1</f>
        <v>0</v>
      </c>
      <c r="CF36" s="33">
        <f>+MINVU_Mes_Corriente!CF36*SALUD_Mes_Constante!$CC$1</f>
        <v>0</v>
      </c>
      <c r="CG36" s="33">
        <f>+MINVU_Mes_Corriente!CG36*SALUD_Mes_Constante!$CC$1</f>
        <v>0</v>
      </c>
      <c r="CH36" s="33">
        <f>+MINVU_Mes_Corriente!CH36*SALUD_Mes_Constante!$CC$1</f>
        <v>0</v>
      </c>
      <c r="CI36" s="33">
        <f>+MINVU_Mes_Corriente!CI36*SALUD_Mes_Constante!$CC$1</f>
        <v>0</v>
      </c>
      <c r="CJ36" s="33">
        <f>+MINVU_Mes_Corriente!CJ36*SALUD_Mes_Constante!$CC$1</f>
        <v>0</v>
      </c>
      <c r="CK36" s="33">
        <f>+MINVU_Mes_Corriente!CK36*SALUD_Mes_Constante!$CC$1</f>
        <v>0</v>
      </c>
      <c r="CL36" s="33">
        <f>+MINVU_Mes_Corriente!CL36*SALUD_Mes_Constante!$CC$1</f>
        <v>0</v>
      </c>
      <c r="CM36" s="33">
        <f>+MINVU_Mes_Corriente!CM36*SALUD_Mes_Constante!$CC$1</f>
        <v>0</v>
      </c>
      <c r="CN36" s="33">
        <f>+MINVU_Mes_Corriente!CN36*SALUD_Mes_Constante!$CC$1</f>
        <v>0</v>
      </c>
      <c r="CO36" s="34">
        <f t="shared" si="6"/>
        <v>0</v>
      </c>
      <c r="CP36" s="33">
        <f>+MINVU_Mes_Corriente!CP36*SALUD_Mes_Constante!$CP$1</f>
        <v>0</v>
      </c>
      <c r="CQ36" s="33">
        <f>+MINVU_Mes_Corriente!CQ36*SALUD_Mes_Constante!$CP$1</f>
        <v>0</v>
      </c>
      <c r="CR36" s="33">
        <f>+MINVU_Mes_Corriente!CR36*SALUD_Mes_Constante!$CP$1</f>
        <v>0</v>
      </c>
      <c r="CS36" s="33">
        <f>+MINVU_Mes_Corriente!CS36*SALUD_Mes_Constante!$CP$1</f>
        <v>0</v>
      </c>
      <c r="CT36" s="33">
        <f>+MINVU_Mes_Corriente!CT36*SALUD_Mes_Constante!$CP$1</f>
        <v>0</v>
      </c>
      <c r="CU36" s="33">
        <f>+MINVU_Mes_Corriente!CU36*SALUD_Mes_Constante!$CP$1</f>
        <v>0</v>
      </c>
      <c r="CV36" s="33">
        <f>+MINVU_Mes_Corriente!CV36*SALUD_Mes_Constante!$CP$1</f>
        <v>0</v>
      </c>
      <c r="CW36" s="33">
        <f>+MINVU_Mes_Corriente!CW36*SALUD_Mes_Constante!$CP$1</f>
        <v>0</v>
      </c>
      <c r="CX36" s="33">
        <f>+MINVU_Mes_Corriente!CX36*SALUD_Mes_Constante!$CP$1</f>
        <v>0</v>
      </c>
      <c r="CY36" s="33">
        <f>+MINVU_Mes_Corriente!CY36*SALUD_Mes_Constante!$CP$1</f>
        <v>0</v>
      </c>
      <c r="CZ36" s="33">
        <f>+MINVU_Mes_Corriente!CZ36*SALUD_Mes_Constante!$CP$1</f>
        <v>0</v>
      </c>
      <c r="DA36" s="33">
        <f>+MINVU_Mes_Corriente!DA36*SALUD_Mes_Constante!$CP$1</f>
        <v>0</v>
      </c>
      <c r="DB36" s="34">
        <f t="shared" si="7"/>
        <v>0</v>
      </c>
      <c r="DC36" s="33">
        <f>+MINVU_Mes_Corriente!DC36*SALUD_Mes_Constante!$DC$1</f>
        <v>0</v>
      </c>
      <c r="DD36" s="33">
        <f>+MINVU_Mes_Corriente!DD36*SALUD_Mes_Constante!$DC$1</f>
        <v>0</v>
      </c>
      <c r="DE36" s="33">
        <f>+MINVU_Mes_Corriente!DE36*SALUD_Mes_Constante!$DC$1</f>
        <v>0</v>
      </c>
      <c r="DF36" s="33">
        <f>+MINVU_Mes_Corriente!DF36*SALUD_Mes_Constante!$DC$1</f>
        <v>0</v>
      </c>
      <c r="DG36" s="33">
        <f>+MINVU_Mes_Corriente!DG36*SALUD_Mes_Constante!$DC$1</f>
        <v>0</v>
      </c>
      <c r="DH36" s="33">
        <f>+MINVU_Mes_Corriente!DH36*SALUD_Mes_Constante!$DC$1</f>
        <v>0</v>
      </c>
      <c r="DI36" s="33">
        <f>+MINVU_Mes_Corriente!DI36*SALUD_Mes_Constante!$DC$1</f>
        <v>0</v>
      </c>
      <c r="DJ36" s="33">
        <f>+MINVU_Mes_Corriente!DJ36*SALUD_Mes_Constante!$DC$1</f>
        <v>0</v>
      </c>
      <c r="DK36" s="33">
        <f>+MINVU_Mes_Corriente!DK36*SALUD_Mes_Constante!$DC$1</f>
        <v>0</v>
      </c>
      <c r="DL36" s="33">
        <f>+MINVU_Mes_Corriente!DL36*SALUD_Mes_Constante!$DC$1</f>
        <v>0</v>
      </c>
      <c r="DM36" s="33">
        <f>+MINVU_Mes_Corriente!DM36*SALUD_Mes_Constante!$DC$1</f>
        <v>0</v>
      </c>
      <c r="DN36" s="33">
        <f>+MINVU_Mes_Corriente!DN36*SALUD_Mes_Constante!$DC$1</f>
        <v>0</v>
      </c>
      <c r="DO36" s="34">
        <f t="shared" si="8"/>
        <v>0</v>
      </c>
      <c r="DP36" s="33">
        <f>+MINVU_Mes_Corriente!DP36*SALUD_Mes_Constante!$DP$1</f>
        <v>0</v>
      </c>
      <c r="DQ36" s="33">
        <f>+MINVU_Mes_Corriente!DQ36*SALUD_Mes_Constante!$DP$1</f>
        <v>0</v>
      </c>
      <c r="DR36" s="33">
        <f>+MINVU_Mes_Corriente!DR36*SALUD_Mes_Constante!$DP$1</f>
        <v>0</v>
      </c>
      <c r="DS36" s="33">
        <f>+MINVU_Mes_Corriente!DS36*SALUD_Mes_Constante!$DP$1</f>
        <v>0</v>
      </c>
      <c r="DT36" s="33">
        <f>+MINVU_Mes_Corriente!DT36*SALUD_Mes_Constante!$DP$1</f>
        <v>0</v>
      </c>
      <c r="DU36" s="33">
        <f>+MINVU_Mes_Corriente!DU36*SALUD_Mes_Constante!$DP$1</f>
        <v>0</v>
      </c>
      <c r="DV36" s="33">
        <f>+MINVU_Mes_Corriente!DV36*SALUD_Mes_Constante!$DP$1</f>
        <v>0</v>
      </c>
      <c r="DW36" s="33">
        <f>+MINVU_Mes_Corriente!DW36*SALUD_Mes_Constante!$DP$1</f>
        <v>0</v>
      </c>
      <c r="DX36" s="33">
        <f>+MINVU_Mes_Corriente!DX36*SALUD_Mes_Constante!$DP$1</f>
        <v>0</v>
      </c>
      <c r="DY36" s="33">
        <f>+MINVU_Mes_Corriente!DY36*SALUD_Mes_Constante!$DP$1</f>
        <v>0</v>
      </c>
      <c r="DZ36" s="33">
        <f>+MINVU_Mes_Corriente!DZ36*SALUD_Mes_Constante!$DP$1</f>
        <v>0</v>
      </c>
      <c r="EA36" s="33">
        <f>+MINVU_Mes_Corriente!EA36*SALUD_Mes_Constante!$DP$1</f>
        <v>0</v>
      </c>
      <c r="EB36" s="34">
        <f t="shared" si="9"/>
        <v>0</v>
      </c>
      <c r="EC36" s="33">
        <f>+MINVU_Mes_Corriente!EC36*SALUD_Mes_Constante!$EC$1</f>
        <v>0</v>
      </c>
      <c r="ED36" s="33">
        <f>+MINVU_Mes_Corriente!ED36*SALUD_Mes_Constante!$EC$1</f>
        <v>0</v>
      </c>
      <c r="EE36" s="33">
        <f>+MINVU_Mes_Corriente!EE36*SALUD_Mes_Constante!$EC$1</f>
        <v>0</v>
      </c>
      <c r="EF36" s="33">
        <f>+MINVU_Mes_Corriente!EF36*SALUD_Mes_Constante!$EC$1</f>
        <v>0</v>
      </c>
      <c r="EG36" s="33">
        <f>+MINVU_Mes_Corriente!EG36*SALUD_Mes_Constante!$EC$1</f>
        <v>0</v>
      </c>
      <c r="EH36" s="33">
        <f>+MINVU_Mes_Corriente!EH36*SALUD_Mes_Constante!$EC$1</f>
        <v>0</v>
      </c>
      <c r="EI36" s="33">
        <f>+MINVU_Mes_Corriente!EI36*SALUD_Mes_Constante!$EC$1</f>
        <v>0</v>
      </c>
      <c r="EJ36" s="33">
        <f>+MINVU_Mes_Corriente!EJ36*SALUD_Mes_Constante!$EC$1</f>
        <v>0</v>
      </c>
      <c r="EK36" s="33">
        <f>+MINVU_Mes_Corriente!EK36*SALUD_Mes_Constante!$EC$1</f>
        <v>0</v>
      </c>
      <c r="EL36" s="33">
        <f>+MINVU_Mes_Corriente!EL36*SALUD_Mes_Constante!$EC$1</f>
        <v>0</v>
      </c>
      <c r="EM36" s="33">
        <f>+MINVU_Mes_Corriente!EM36*SALUD_Mes_Constante!$EC$1</f>
        <v>0</v>
      </c>
      <c r="EN36" s="33">
        <f>+MINVU_Mes_Corriente!EN36*SALUD_Mes_Constante!$EC$1</f>
        <v>0</v>
      </c>
      <c r="EO36" s="34">
        <f t="shared" si="10"/>
        <v>0</v>
      </c>
      <c r="EP36" s="33">
        <f>+MINVU_Mes_Corriente!EP36*SALUD_Mes_Constante!$EP$1</f>
        <v>0</v>
      </c>
      <c r="EQ36" s="33">
        <f>+MINVU_Mes_Corriente!EQ36*SALUD_Mes_Constante!$EP$1</f>
        <v>0</v>
      </c>
      <c r="ER36" s="33">
        <f>+MINVU_Mes_Corriente!ER36*SALUD_Mes_Constante!$EP$1</f>
        <v>0</v>
      </c>
      <c r="ES36" s="33">
        <f>+MINVU_Mes_Corriente!ES36*SALUD_Mes_Constante!$EP$1</f>
        <v>0</v>
      </c>
      <c r="ET36" s="33">
        <f>+MINVU_Mes_Corriente!ET36*SALUD_Mes_Constante!$EP$1</f>
        <v>0</v>
      </c>
      <c r="EU36" s="33">
        <f>+MINVU_Mes_Corriente!EU36*SALUD_Mes_Constante!$EP$1</f>
        <v>0</v>
      </c>
      <c r="EV36" s="33">
        <f>+MINVU_Mes_Corriente!EV36*SALUD_Mes_Constante!$EP$1</f>
        <v>0</v>
      </c>
      <c r="EW36" s="33">
        <f>+MINVU_Mes_Corriente!EW36*SALUD_Mes_Constante!$EP$1</f>
        <v>0</v>
      </c>
      <c r="EX36" s="33">
        <f>+MINVU_Mes_Corriente!EX36*SALUD_Mes_Constante!$EP$1</f>
        <v>0</v>
      </c>
      <c r="EY36" s="33">
        <f>+MINVU_Mes_Corriente!EY36*SALUD_Mes_Constante!$EP$1</f>
        <v>0</v>
      </c>
      <c r="EZ36" s="33">
        <f>+MINVU_Mes_Corriente!EZ36*SALUD_Mes_Constante!$EP$1</f>
        <v>0</v>
      </c>
      <c r="FA36" s="33">
        <f>+MINVU_Mes_Corriente!FA36*SALUD_Mes_Constante!$EP$1</f>
        <v>0</v>
      </c>
      <c r="FB36" s="34">
        <f t="shared" si="11"/>
        <v>0</v>
      </c>
      <c r="FC36" s="33">
        <f>+MINVU_Mes_Corriente!FC36*SALUD_Mes_Constante!$FC$1</f>
        <v>24126484</v>
      </c>
      <c r="FD36" s="33">
        <f>+MINVU_Mes_Corriente!FD36*SALUD_Mes_Constante!$FC$1</f>
        <v>24126484</v>
      </c>
      <c r="FE36" s="33">
        <f>+MINVU_Mes_Corriente!FE36*SALUD_Mes_Constante!$FC$1</f>
        <v>24126484</v>
      </c>
      <c r="FF36" s="33">
        <f>+MINVU_Mes_Corriente!FF36*SALUD_Mes_Constante!$FC$1</f>
        <v>24126484</v>
      </c>
      <c r="FG36" s="33">
        <f>+MINVU_Mes_Corriente!FG36*SALUD_Mes_Constante!$FC$1</f>
        <v>24126484</v>
      </c>
      <c r="FH36" s="33">
        <f>+MINVU_Mes_Corriente!FH36*SALUD_Mes_Constante!$FC$1</f>
        <v>24126484</v>
      </c>
      <c r="FI36" s="33">
        <f>+MINVU_Mes_Corriente!FI36*SALUD_Mes_Constante!$FC$1</f>
        <v>24126484</v>
      </c>
      <c r="FJ36" s="33"/>
      <c r="FK36" s="33"/>
      <c r="FL36" s="33"/>
      <c r="FM36" s="33"/>
      <c r="FN36" s="33"/>
      <c r="FO36" s="34">
        <f t="shared" si="12"/>
        <v>24126484</v>
      </c>
    </row>
    <row r="37" spans="2:171" ht="14.25" customHeight="1" x14ac:dyDescent="0.3">
      <c r="B37" s="35" t="s">
        <v>72</v>
      </c>
      <c r="C37" s="33">
        <f>+MINVU_Mes_Corriente!C37*SALUD_Mes_Constante!$C$1</f>
        <v>0</v>
      </c>
      <c r="D37" s="33">
        <f>+MINVU_Mes_Corriente!D37*SALUD_Mes_Constante!$C$1</f>
        <v>0</v>
      </c>
      <c r="E37" s="33">
        <f>+MINVU_Mes_Corriente!E37*SALUD_Mes_Constante!$C$1</f>
        <v>0</v>
      </c>
      <c r="F37" s="33">
        <f>+MINVU_Mes_Corriente!F37*SALUD_Mes_Constante!$C$1</f>
        <v>0</v>
      </c>
      <c r="G37" s="33">
        <f>+MINVU_Mes_Corriente!G37*SALUD_Mes_Constante!$C$1</f>
        <v>0</v>
      </c>
      <c r="H37" s="33">
        <f>+MINVU_Mes_Corriente!H37*SALUD_Mes_Constante!$C$1</f>
        <v>0</v>
      </c>
      <c r="I37" s="33">
        <f>+MINVU_Mes_Corriente!I37*SALUD_Mes_Constante!$C$1</f>
        <v>0</v>
      </c>
      <c r="J37" s="33">
        <f>+MINVU_Mes_Corriente!J37*SALUD_Mes_Constante!$C$1</f>
        <v>0</v>
      </c>
      <c r="K37" s="33">
        <f>+MINVU_Mes_Corriente!K37*SALUD_Mes_Constante!$C$1</f>
        <v>0</v>
      </c>
      <c r="L37" s="33">
        <f>+MINVU_Mes_Corriente!L37*SALUD_Mes_Constante!$C$1</f>
        <v>0</v>
      </c>
      <c r="M37" s="33">
        <f>+MINVU_Mes_Corriente!M37*SALUD_Mes_Constante!$C$1</f>
        <v>0</v>
      </c>
      <c r="N37" s="33">
        <f>+MINVU_Mes_Corriente!N37*SALUD_Mes_Constante!$C$1</f>
        <v>0</v>
      </c>
      <c r="O37" s="34">
        <f t="shared" si="0"/>
        <v>0</v>
      </c>
      <c r="P37" s="33">
        <f>+MINVU_Mes_Corriente!P37*SALUD_Mes_Constante!$P$1</f>
        <v>0</v>
      </c>
      <c r="Q37" s="33">
        <f>+MINVU_Mes_Corriente!Q37*SALUD_Mes_Constante!$P$1</f>
        <v>0</v>
      </c>
      <c r="R37" s="33">
        <f>+MINVU_Mes_Corriente!R37*SALUD_Mes_Constante!$P$1</f>
        <v>0</v>
      </c>
      <c r="S37" s="33">
        <f>+MINVU_Mes_Corriente!S37*SALUD_Mes_Constante!$P$1</f>
        <v>0</v>
      </c>
      <c r="T37" s="33">
        <f>+MINVU_Mes_Corriente!T37*SALUD_Mes_Constante!$P$1</f>
        <v>0</v>
      </c>
      <c r="U37" s="33">
        <f>+MINVU_Mes_Corriente!U37*SALUD_Mes_Constante!$P$1</f>
        <v>0</v>
      </c>
      <c r="V37" s="33">
        <f>+MINVU_Mes_Corriente!V37*SALUD_Mes_Constante!$P$1</f>
        <v>0</v>
      </c>
      <c r="W37" s="33">
        <f>+MINVU_Mes_Corriente!W37*SALUD_Mes_Constante!$P$1</f>
        <v>0</v>
      </c>
      <c r="X37" s="33">
        <f>+MINVU_Mes_Corriente!X37*SALUD_Mes_Constante!$P$1</f>
        <v>0</v>
      </c>
      <c r="Y37" s="33">
        <f>+MINVU_Mes_Corriente!Y37*SALUD_Mes_Constante!$P$1</f>
        <v>0</v>
      </c>
      <c r="Z37" s="33">
        <f>+MINVU_Mes_Corriente!Z37*SALUD_Mes_Constante!$P$1</f>
        <v>0</v>
      </c>
      <c r="AA37" s="33">
        <f>+MINVU_Mes_Corriente!AA37*SALUD_Mes_Constante!$P$1</f>
        <v>0</v>
      </c>
      <c r="AB37" s="34">
        <f t="shared" si="1"/>
        <v>0</v>
      </c>
      <c r="AC37" s="33">
        <f>+MINVU_Mes_Corriente!AC37*SALUD_Mes_Constante!$AC$1</f>
        <v>0</v>
      </c>
      <c r="AD37" s="33">
        <f>+MINVU_Mes_Corriente!AD37*SALUD_Mes_Constante!$AC$1</f>
        <v>0</v>
      </c>
      <c r="AE37" s="33">
        <f>+MINVU_Mes_Corriente!AE37*SALUD_Mes_Constante!$AC$1</f>
        <v>0</v>
      </c>
      <c r="AF37" s="33">
        <f>+MINVU_Mes_Corriente!AF37*SALUD_Mes_Constante!$AC$1</f>
        <v>0</v>
      </c>
      <c r="AG37" s="33">
        <f>+MINVU_Mes_Corriente!AG37*SALUD_Mes_Constante!$AC$1</f>
        <v>0</v>
      </c>
      <c r="AH37" s="33">
        <f>+MINVU_Mes_Corriente!AH37*SALUD_Mes_Constante!$AC$1</f>
        <v>0</v>
      </c>
      <c r="AI37" s="33">
        <f>+MINVU_Mes_Corriente!AI37*SALUD_Mes_Constante!$AC$1</f>
        <v>0</v>
      </c>
      <c r="AJ37" s="33">
        <f>+MINVU_Mes_Corriente!AJ37*SALUD_Mes_Constante!$AC$1</f>
        <v>0</v>
      </c>
      <c r="AK37" s="33">
        <f>+MINVU_Mes_Corriente!AK37*SALUD_Mes_Constante!$AC$1</f>
        <v>0</v>
      </c>
      <c r="AL37" s="33">
        <f>+MINVU_Mes_Corriente!AL37*SALUD_Mes_Constante!$AC$1</f>
        <v>0</v>
      </c>
      <c r="AM37" s="33">
        <f>+MINVU_Mes_Corriente!AM37*SALUD_Mes_Constante!$AC$1</f>
        <v>0</v>
      </c>
      <c r="AN37" s="33">
        <f>+MINVU_Mes_Corriente!AN37*SALUD_Mes_Constante!$AC$1</f>
        <v>0</v>
      </c>
      <c r="AO37" s="34">
        <f t="shared" si="2"/>
        <v>0</v>
      </c>
      <c r="AP37" s="33">
        <f>+MINVU_Mes_Corriente!AP37*SALUD_Mes_Constante!$AP$1</f>
        <v>0</v>
      </c>
      <c r="AQ37" s="33">
        <f>+MINVU_Mes_Corriente!AQ37*SALUD_Mes_Constante!$AP$1</f>
        <v>0</v>
      </c>
      <c r="AR37" s="33">
        <f>+MINVU_Mes_Corriente!AR37*SALUD_Mes_Constante!$AP$1</f>
        <v>0</v>
      </c>
      <c r="AS37" s="33">
        <f>+MINVU_Mes_Corriente!AS37*SALUD_Mes_Constante!$AP$1</f>
        <v>0</v>
      </c>
      <c r="AT37" s="33">
        <f>+MINVU_Mes_Corriente!AT37*SALUD_Mes_Constante!$AP$1</f>
        <v>0</v>
      </c>
      <c r="AU37" s="33">
        <f>+MINVU_Mes_Corriente!AU37*SALUD_Mes_Constante!$AP$1</f>
        <v>0</v>
      </c>
      <c r="AV37" s="33">
        <f>+MINVU_Mes_Corriente!AV37*SALUD_Mes_Constante!$AP$1</f>
        <v>0</v>
      </c>
      <c r="AW37" s="33">
        <f>+MINVU_Mes_Corriente!AW37*SALUD_Mes_Constante!$AP$1</f>
        <v>0</v>
      </c>
      <c r="AX37" s="33">
        <f>+MINVU_Mes_Corriente!AX37*SALUD_Mes_Constante!$AP$1</f>
        <v>0</v>
      </c>
      <c r="AY37" s="33">
        <f>+MINVU_Mes_Corriente!AY37*SALUD_Mes_Constante!$AP$1</f>
        <v>0</v>
      </c>
      <c r="AZ37" s="33">
        <f>+MINVU_Mes_Corriente!AZ37*SALUD_Mes_Constante!$AP$1</f>
        <v>0</v>
      </c>
      <c r="BA37" s="33">
        <f>+MINVU_Mes_Corriente!BA37*SALUD_Mes_Constante!$AP$1</f>
        <v>0</v>
      </c>
      <c r="BB37" s="34">
        <f t="shared" si="3"/>
        <v>0</v>
      </c>
      <c r="BC37" s="33">
        <f>+MINVU_Mes_Corriente!BC37*SALUD_Mes_Constante!$BC$1</f>
        <v>0</v>
      </c>
      <c r="BD37" s="33">
        <f>+MINVU_Mes_Corriente!BD37*SALUD_Mes_Constante!$BC$1</f>
        <v>0</v>
      </c>
      <c r="BE37" s="33">
        <f>+MINVU_Mes_Corriente!BE37*SALUD_Mes_Constante!$BC$1</f>
        <v>0</v>
      </c>
      <c r="BF37" s="33">
        <f>+MINVU_Mes_Corriente!BF37*SALUD_Mes_Constante!$BC$1</f>
        <v>0</v>
      </c>
      <c r="BG37" s="33">
        <f>+MINVU_Mes_Corriente!BG37*SALUD_Mes_Constante!$BC$1</f>
        <v>0</v>
      </c>
      <c r="BH37" s="33">
        <f>+MINVU_Mes_Corriente!BH37*SALUD_Mes_Constante!$BC$1</f>
        <v>0</v>
      </c>
      <c r="BI37" s="33">
        <f>+MINVU_Mes_Corriente!BI37*SALUD_Mes_Constante!$BC$1</f>
        <v>0</v>
      </c>
      <c r="BJ37" s="33">
        <f>+MINVU_Mes_Corriente!BJ37*SALUD_Mes_Constante!$BC$1</f>
        <v>0</v>
      </c>
      <c r="BK37" s="33">
        <f>+MINVU_Mes_Corriente!BK37*SALUD_Mes_Constante!$BC$1</f>
        <v>0</v>
      </c>
      <c r="BL37" s="33">
        <f>+MINVU_Mes_Corriente!BL37*SALUD_Mes_Constante!$BC$1</f>
        <v>0</v>
      </c>
      <c r="BM37" s="33">
        <f>+MINVU_Mes_Corriente!BM37*SALUD_Mes_Constante!$BC$1</f>
        <v>0</v>
      </c>
      <c r="BN37" s="33">
        <f>+MINVU_Mes_Corriente!BN37*SALUD_Mes_Constante!$BC$1</f>
        <v>0</v>
      </c>
      <c r="BO37" s="34">
        <f t="shared" si="4"/>
        <v>0</v>
      </c>
      <c r="BP37" s="33">
        <f>+MINVU_Mes_Corriente!BP37*SALUD_Mes_Constante!$BP$1</f>
        <v>0</v>
      </c>
      <c r="BQ37" s="33">
        <f>+MINVU_Mes_Corriente!BQ37*SALUD_Mes_Constante!$BP$1</f>
        <v>0</v>
      </c>
      <c r="BR37" s="33">
        <f>+MINVU_Mes_Corriente!BR37*SALUD_Mes_Constante!$BP$1</f>
        <v>0</v>
      </c>
      <c r="BS37" s="33">
        <f>+MINVU_Mes_Corriente!BS37*SALUD_Mes_Constante!$BP$1</f>
        <v>0</v>
      </c>
      <c r="BT37" s="33">
        <f>+MINVU_Mes_Corriente!BT37*SALUD_Mes_Constante!$BP$1</f>
        <v>0</v>
      </c>
      <c r="BU37" s="33">
        <f>+MINVU_Mes_Corriente!BU37*SALUD_Mes_Constante!$BP$1</f>
        <v>0</v>
      </c>
      <c r="BV37" s="33">
        <f>+MINVU_Mes_Corriente!BV37*SALUD_Mes_Constante!$BP$1</f>
        <v>0</v>
      </c>
      <c r="BW37" s="33">
        <f>+MINVU_Mes_Corriente!BW37*SALUD_Mes_Constante!$BP$1</f>
        <v>0</v>
      </c>
      <c r="BX37" s="33">
        <f>+MINVU_Mes_Corriente!BX37*SALUD_Mes_Constante!$BP$1</f>
        <v>0</v>
      </c>
      <c r="BY37" s="33">
        <f>+MINVU_Mes_Corriente!BY37*SALUD_Mes_Constante!$BP$1</f>
        <v>0</v>
      </c>
      <c r="BZ37" s="33">
        <f>+MINVU_Mes_Corriente!BZ37*SALUD_Mes_Constante!$BP$1</f>
        <v>0</v>
      </c>
      <c r="CA37" s="33">
        <f>+MINVU_Mes_Corriente!CA37*SALUD_Mes_Constante!$BP$1</f>
        <v>0</v>
      </c>
      <c r="CB37" s="34">
        <f t="shared" si="5"/>
        <v>0</v>
      </c>
      <c r="CC37" s="33">
        <f>+MINVU_Mes_Corriente!CC37*SALUD_Mes_Constante!$CC$1</f>
        <v>0</v>
      </c>
      <c r="CD37" s="33">
        <f>+MINVU_Mes_Corriente!CD37*SALUD_Mes_Constante!$CC$1</f>
        <v>0</v>
      </c>
      <c r="CE37" s="33">
        <f>+MINVU_Mes_Corriente!CE37*SALUD_Mes_Constante!$CC$1</f>
        <v>0</v>
      </c>
      <c r="CF37" s="33">
        <f>+MINVU_Mes_Corriente!CF37*SALUD_Mes_Constante!$CC$1</f>
        <v>0</v>
      </c>
      <c r="CG37" s="33">
        <f>+MINVU_Mes_Corriente!CG37*SALUD_Mes_Constante!$CC$1</f>
        <v>0</v>
      </c>
      <c r="CH37" s="33">
        <f>+MINVU_Mes_Corriente!CH37*SALUD_Mes_Constante!$CC$1</f>
        <v>0</v>
      </c>
      <c r="CI37" s="33">
        <f>+MINVU_Mes_Corriente!CI37*SALUD_Mes_Constante!$CC$1</f>
        <v>0</v>
      </c>
      <c r="CJ37" s="33">
        <f>+MINVU_Mes_Corriente!CJ37*SALUD_Mes_Constante!$CC$1</f>
        <v>0</v>
      </c>
      <c r="CK37" s="33">
        <f>+MINVU_Mes_Corriente!CK37*SALUD_Mes_Constante!$CC$1</f>
        <v>0</v>
      </c>
      <c r="CL37" s="33">
        <f>+MINVU_Mes_Corriente!CL37*SALUD_Mes_Constante!$CC$1</f>
        <v>0</v>
      </c>
      <c r="CM37" s="33">
        <f>+MINVU_Mes_Corriente!CM37*SALUD_Mes_Constante!$CC$1</f>
        <v>0</v>
      </c>
      <c r="CN37" s="33">
        <f>+MINVU_Mes_Corriente!CN37*SALUD_Mes_Constante!$CC$1</f>
        <v>0</v>
      </c>
      <c r="CO37" s="34">
        <f t="shared" si="6"/>
        <v>0</v>
      </c>
      <c r="CP37" s="33">
        <f>+MINVU_Mes_Corriente!CP37*SALUD_Mes_Constante!$CP$1</f>
        <v>0</v>
      </c>
      <c r="CQ37" s="33">
        <f>+MINVU_Mes_Corriente!CQ37*SALUD_Mes_Constante!$CP$1</f>
        <v>0</v>
      </c>
      <c r="CR37" s="33">
        <f>+MINVU_Mes_Corriente!CR37*SALUD_Mes_Constante!$CP$1</f>
        <v>0</v>
      </c>
      <c r="CS37" s="33">
        <f>+MINVU_Mes_Corriente!CS37*SALUD_Mes_Constante!$CP$1</f>
        <v>0</v>
      </c>
      <c r="CT37" s="33">
        <f>+MINVU_Mes_Corriente!CT37*SALUD_Mes_Constante!$CP$1</f>
        <v>0</v>
      </c>
      <c r="CU37" s="33">
        <f>+MINVU_Mes_Corriente!CU37*SALUD_Mes_Constante!$CP$1</f>
        <v>0</v>
      </c>
      <c r="CV37" s="33">
        <f>+MINVU_Mes_Corriente!CV37*SALUD_Mes_Constante!$CP$1</f>
        <v>0</v>
      </c>
      <c r="CW37" s="33">
        <f>+MINVU_Mes_Corriente!CW37*SALUD_Mes_Constante!$CP$1</f>
        <v>0</v>
      </c>
      <c r="CX37" s="33">
        <f>+MINVU_Mes_Corriente!CX37*SALUD_Mes_Constante!$CP$1</f>
        <v>0</v>
      </c>
      <c r="CY37" s="33">
        <f>+MINVU_Mes_Corriente!CY37*SALUD_Mes_Constante!$CP$1</f>
        <v>0</v>
      </c>
      <c r="CZ37" s="33">
        <f>+MINVU_Mes_Corriente!CZ37*SALUD_Mes_Constante!$CP$1</f>
        <v>0</v>
      </c>
      <c r="DA37" s="33">
        <f>+MINVU_Mes_Corriente!DA37*SALUD_Mes_Constante!$CP$1</f>
        <v>0</v>
      </c>
      <c r="DB37" s="34">
        <f t="shared" si="7"/>
        <v>0</v>
      </c>
      <c r="DC37" s="33">
        <f>+MINVU_Mes_Corriente!DC37*SALUD_Mes_Constante!$DC$1</f>
        <v>0</v>
      </c>
      <c r="DD37" s="33">
        <f>+MINVU_Mes_Corriente!DD37*SALUD_Mes_Constante!$DC$1</f>
        <v>0</v>
      </c>
      <c r="DE37" s="33">
        <f>+MINVU_Mes_Corriente!DE37*SALUD_Mes_Constante!$DC$1</f>
        <v>0</v>
      </c>
      <c r="DF37" s="33">
        <f>+MINVU_Mes_Corriente!DF37*SALUD_Mes_Constante!$DC$1</f>
        <v>0</v>
      </c>
      <c r="DG37" s="33">
        <f>+MINVU_Mes_Corriente!DG37*SALUD_Mes_Constante!$DC$1</f>
        <v>0</v>
      </c>
      <c r="DH37" s="33">
        <f>+MINVU_Mes_Corriente!DH37*SALUD_Mes_Constante!$DC$1</f>
        <v>0</v>
      </c>
      <c r="DI37" s="33">
        <f>+MINVU_Mes_Corriente!DI37*SALUD_Mes_Constante!$DC$1</f>
        <v>0</v>
      </c>
      <c r="DJ37" s="33">
        <f>+MINVU_Mes_Corriente!DJ37*SALUD_Mes_Constante!$DC$1</f>
        <v>0</v>
      </c>
      <c r="DK37" s="33">
        <f>+MINVU_Mes_Corriente!DK37*SALUD_Mes_Constante!$DC$1</f>
        <v>0</v>
      </c>
      <c r="DL37" s="33">
        <f>+MINVU_Mes_Corriente!DL37*SALUD_Mes_Constante!$DC$1</f>
        <v>0</v>
      </c>
      <c r="DM37" s="33">
        <f>+MINVU_Mes_Corriente!DM37*SALUD_Mes_Constante!$DC$1</f>
        <v>0</v>
      </c>
      <c r="DN37" s="33">
        <f>+MINVU_Mes_Corriente!DN37*SALUD_Mes_Constante!$DC$1</f>
        <v>0</v>
      </c>
      <c r="DO37" s="34">
        <f t="shared" si="8"/>
        <v>0</v>
      </c>
      <c r="DP37" s="33">
        <f>+MINVU_Mes_Corriente!DP37*SALUD_Mes_Constante!$DP$1</f>
        <v>0</v>
      </c>
      <c r="DQ37" s="33">
        <f>+MINVU_Mes_Corriente!DQ37*SALUD_Mes_Constante!$DP$1</f>
        <v>0</v>
      </c>
      <c r="DR37" s="33">
        <f>+MINVU_Mes_Corriente!DR37*SALUD_Mes_Constante!$DP$1</f>
        <v>0</v>
      </c>
      <c r="DS37" s="33">
        <f>+MINVU_Mes_Corriente!DS37*SALUD_Mes_Constante!$DP$1</f>
        <v>0</v>
      </c>
      <c r="DT37" s="33">
        <f>+MINVU_Mes_Corriente!DT37*SALUD_Mes_Constante!$DP$1</f>
        <v>0</v>
      </c>
      <c r="DU37" s="33">
        <f>+MINVU_Mes_Corriente!DU37*SALUD_Mes_Constante!$DP$1</f>
        <v>0</v>
      </c>
      <c r="DV37" s="33">
        <f>+MINVU_Mes_Corriente!DV37*SALUD_Mes_Constante!$DP$1</f>
        <v>0</v>
      </c>
      <c r="DW37" s="33">
        <f>+MINVU_Mes_Corriente!DW37*SALUD_Mes_Constante!$DP$1</f>
        <v>0</v>
      </c>
      <c r="DX37" s="33">
        <f>+MINVU_Mes_Corriente!DX37*SALUD_Mes_Constante!$DP$1</f>
        <v>0</v>
      </c>
      <c r="DY37" s="33">
        <f>+MINVU_Mes_Corriente!DY37*SALUD_Mes_Constante!$DP$1</f>
        <v>0</v>
      </c>
      <c r="DZ37" s="33">
        <f>+MINVU_Mes_Corriente!DZ37*SALUD_Mes_Constante!$DP$1</f>
        <v>0</v>
      </c>
      <c r="EA37" s="33">
        <f>+MINVU_Mes_Corriente!EA37*SALUD_Mes_Constante!$DP$1</f>
        <v>0</v>
      </c>
      <c r="EB37" s="34">
        <f t="shared" si="9"/>
        <v>0</v>
      </c>
      <c r="EC37" s="33">
        <f>+MINVU_Mes_Corriente!EC37*SALUD_Mes_Constante!$EC$1</f>
        <v>0</v>
      </c>
      <c r="ED37" s="33">
        <f>+MINVU_Mes_Corriente!ED37*SALUD_Mes_Constante!$EC$1</f>
        <v>0</v>
      </c>
      <c r="EE37" s="33">
        <f>+MINVU_Mes_Corriente!EE37*SALUD_Mes_Constante!$EC$1</f>
        <v>0</v>
      </c>
      <c r="EF37" s="33">
        <f>+MINVU_Mes_Corriente!EF37*SALUD_Mes_Constante!$EC$1</f>
        <v>0</v>
      </c>
      <c r="EG37" s="33">
        <f>+MINVU_Mes_Corriente!EG37*SALUD_Mes_Constante!$EC$1</f>
        <v>0</v>
      </c>
      <c r="EH37" s="33">
        <f>+MINVU_Mes_Corriente!EH37*SALUD_Mes_Constante!$EC$1</f>
        <v>0</v>
      </c>
      <c r="EI37" s="33">
        <f>+MINVU_Mes_Corriente!EI37*SALUD_Mes_Constante!$EC$1</f>
        <v>0</v>
      </c>
      <c r="EJ37" s="33">
        <f>+MINVU_Mes_Corriente!EJ37*SALUD_Mes_Constante!$EC$1</f>
        <v>0</v>
      </c>
      <c r="EK37" s="33">
        <f>+MINVU_Mes_Corriente!EK37*SALUD_Mes_Constante!$EC$1</f>
        <v>0</v>
      </c>
      <c r="EL37" s="33">
        <f>+MINVU_Mes_Corriente!EL37*SALUD_Mes_Constante!$EC$1</f>
        <v>0</v>
      </c>
      <c r="EM37" s="33">
        <f>+MINVU_Mes_Corriente!EM37*SALUD_Mes_Constante!$EC$1</f>
        <v>0</v>
      </c>
      <c r="EN37" s="33">
        <f>+MINVU_Mes_Corriente!EN37*SALUD_Mes_Constante!$EC$1</f>
        <v>0</v>
      </c>
      <c r="EO37" s="34">
        <f t="shared" si="10"/>
        <v>0</v>
      </c>
      <c r="EP37" s="33">
        <f>+MINVU_Mes_Corriente!EP37*SALUD_Mes_Constante!$EP$1</f>
        <v>0</v>
      </c>
      <c r="EQ37" s="33">
        <f>+MINVU_Mes_Corriente!EQ37*SALUD_Mes_Constante!$EP$1</f>
        <v>0</v>
      </c>
      <c r="ER37" s="33">
        <f>+MINVU_Mes_Corriente!ER37*SALUD_Mes_Constante!$EP$1</f>
        <v>0</v>
      </c>
      <c r="ES37" s="33">
        <f>+MINVU_Mes_Corriente!ES37*SALUD_Mes_Constante!$EP$1</f>
        <v>0</v>
      </c>
      <c r="ET37" s="33">
        <f>+MINVU_Mes_Corriente!ET37*SALUD_Mes_Constante!$EP$1</f>
        <v>0</v>
      </c>
      <c r="EU37" s="33">
        <f>+MINVU_Mes_Corriente!EU37*SALUD_Mes_Constante!$EP$1</f>
        <v>0</v>
      </c>
      <c r="EV37" s="33">
        <f>+MINVU_Mes_Corriente!EV37*SALUD_Mes_Constante!$EP$1</f>
        <v>0</v>
      </c>
      <c r="EW37" s="33">
        <f>+MINVU_Mes_Corriente!EW37*SALUD_Mes_Constante!$EP$1</f>
        <v>0</v>
      </c>
      <c r="EX37" s="33">
        <f>+MINVU_Mes_Corriente!EX37*SALUD_Mes_Constante!$EP$1</f>
        <v>0</v>
      </c>
      <c r="EY37" s="33">
        <f>+MINVU_Mes_Corriente!EY37*SALUD_Mes_Constante!$EP$1</f>
        <v>0</v>
      </c>
      <c r="EZ37" s="33">
        <f>+MINVU_Mes_Corriente!EZ37*SALUD_Mes_Constante!$EP$1</f>
        <v>0</v>
      </c>
      <c r="FA37" s="33">
        <f>+MINVU_Mes_Corriente!FA37*SALUD_Mes_Constante!$EP$1</f>
        <v>0</v>
      </c>
      <c r="FB37" s="34">
        <f t="shared" si="11"/>
        <v>0</v>
      </c>
      <c r="FC37" s="33">
        <f>+MINVU_Mes_Corriente!FC37*SALUD_Mes_Constante!$FC$1</f>
        <v>15241290</v>
      </c>
      <c r="FD37" s="33">
        <f>+MINVU_Mes_Corriente!FD37*SALUD_Mes_Constante!$FC$1</f>
        <v>15241290</v>
      </c>
      <c r="FE37" s="33">
        <f>+MINVU_Mes_Corriente!FE37*SALUD_Mes_Constante!$FC$1</f>
        <v>15241290</v>
      </c>
      <c r="FF37" s="33">
        <f>+MINVU_Mes_Corriente!FF37*SALUD_Mes_Constante!$FC$1</f>
        <v>15241290</v>
      </c>
      <c r="FG37" s="33">
        <f>+MINVU_Mes_Corriente!FG37*SALUD_Mes_Constante!$FC$1</f>
        <v>15241290</v>
      </c>
      <c r="FH37" s="33">
        <f>+MINVU_Mes_Corriente!FH37*SALUD_Mes_Constante!$FC$1</f>
        <v>15241290</v>
      </c>
      <c r="FI37" s="33">
        <f>+MINVU_Mes_Corriente!FI37*SALUD_Mes_Constante!$FC$1</f>
        <v>15241290</v>
      </c>
      <c r="FJ37" s="33"/>
      <c r="FK37" s="33"/>
      <c r="FL37" s="33"/>
      <c r="FM37" s="33"/>
      <c r="FN37" s="33"/>
      <c r="FO37" s="34">
        <f t="shared" si="12"/>
        <v>15241290</v>
      </c>
    </row>
    <row r="38" spans="2:171" ht="14.25" customHeight="1" x14ac:dyDescent="0.3">
      <c r="B38" s="35" t="s">
        <v>73</v>
      </c>
      <c r="C38" s="33">
        <f>+MINVU_Mes_Corriente!C38*SALUD_Mes_Constante!$C$1</f>
        <v>0</v>
      </c>
      <c r="D38" s="33">
        <f>+MINVU_Mes_Corriente!D38*SALUD_Mes_Constante!$C$1</f>
        <v>0</v>
      </c>
      <c r="E38" s="33">
        <f>+MINVU_Mes_Corriente!E38*SALUD_Mes_Constante!$C$1</f>
        <v>0</v>
      </c>
      <c r="F38" s="33">
        <f>+MINVU_Mes_Corriente!F38*SALUD_Mes_Constante!$C$1</f>
        <v>0</v>
      </c>
      <c r="G38" s="33">
        <f>+MINVU_Mes_Corriente!G38*SALUD_Mes_Constante!$C$1</f>
        <v>0</v>
      </c>
      <c r="H38" s="33">
        <f>+MINVU_Mes_Corriente!H38*SALUD_Mes_Constante!$C$1</f>
        <v>0</v>
      </c>
      <c r="I38" s="33">
        <f>+MINVU_Mes_Corriente!I38*SALUD_Mes_Constante!$C$1</f>
        <v>0</v>
      </c>
      <c r="J38" s="33">
        <f>+MINVU_Mes_Corriente!J38*SALUD_Mes_Constante!$C$1</f>
        <v>0</v>
      </c>
      <c r="K38" s="33">
        <f>+MINVU_Mes_Corriente!K38*SALUD_Mes_Constante!$C$1</f>
        <v>0</v>
      </c>
      <c r="L38" s="33">
        <f>+MINVU_Mes_Corriente!L38*SALUD_Mes_Constante!$C$1</f>
        <v>0</v>
      </c>
      <c r="M38" s="33">
        <f>+MINVU_Mes_Corriente!M38*SALUD_Mes_Constante!$C$1</f>
        <v>0</v>
      </c>
      <c r="N38" s="33">
        <f>+MINVU_Mes_Corriente!N38*SALUD_Mes_Constante!$C$1</f>
        <v>0</v>
      </c>
      <c r="O38" s="34">
        <f t="shared" si="0"/>
        <v>0</v>
      </c>
      <c r="P38" s="33">
        <f>+MINVU_Mes_Corriente!P38*SALUD_Mes_Constante!$P$1</f>
        <v>0</v>
      </c>
      <c r="Q38" s="33">
        <f>+MINVU_Mes_Corriente!Q38*SALUD_Mes_Constante!$P$1</f>
        <v>0</v>
      </c>
      <c r="R38" s="33">
        <f>+MINVU_Mes_Corriente!R38*SALUD_Mes_Constante!$P$1</f>
        <v>0</v>
      </c>
      <c r="S38" s="33">
        <f>+MINVU_Mes_Corriente!S38*SALUD_Mes_Constante!$P$1</f>
        <v>0</v>
      </c>
      <c r="T38" s="33">
        <f>+MINVU_Mes_Corriente!T38*SALUD_Mes_Constante!$P$1</f>
        <v>0</v>
      </c>
      <c r="U38" s="33">
        <f>+MINVU_Mes_Corriente!U38*SALUD_Mes_Constante!$P$1</f>
        <v>0</v>
      </c>
      <c r="V38" s="33">
        <f>+MINVU_Mes_Corriente!V38*SALUD_Mes_Constante!$P$1</f>
        <v>0</v>
      </c>
      <c r="W38" s="33">
        <f>+MINVU_Mes_Corriente!W38*SALUD_Mes_Constante!$P$1</f>
        <v>0</v>
      </c>
      <c r="X38" s="33">
        <f>+MINVU_Mes_Corriente!X38*SALUD_Mes_Constante!$P$1</f>
        <v>0</v>
      </c>
      <c r="Y38" s="33">
        <f>+MINVU_Mes_Corriente!Y38*SALUD_Mes_Constante!$P$1</f>
        <v>0</v>
      </c>
      <c r="Z38" s="33">
        <f>+MINVU_Mes_Corriente!Z38*SALUD_Mes_Constante!$P$1</f>
        <v>0</v>
      </c>
      <c r="AA38" s="33">
        <f>+MINVU_Mes_Corriente!AA38*SALUD_Mes_Constante!$P$1</f>
        <v>0</v>
      </c>
      <c r="AB38" s="34">
        <f t="shared" si="1"/>
        <v>0</v>
      </c>
      <c r="AC38" s="33">
        <f>+MINVU_Mes_Corriente!AC38*SALUD_Mes_Constante!$AC$1</f>
        <v>0</v>
      </c>
      <c r="AD38" s="33">
        <f>+MINVU_Mes_Corriente!AD38*SALUD_Mes_Constante!$AC$1</f>
        <v>0</v>
      </c>
      <c r="AE38" s="33">
        <f>+MINVU_Mes_Corriente!AE38*SALUD_Mes_Constante!$AC$1</f>
        <v>0</v>
      </c>
      <c r="AF38" s="33">
        <f>+MINVU_Mes_Corriente!AF38*SALUD_Mes_Constante!$AC$1</f>
        <v>0</v>
      </c>
      <c r="AG38" s="33">
        <f>+MINVU_Mes_Corriente!AG38*SALUD_Mes_Constante!$AC$1</f>
        <v>0</v>
      </c>
      <c r="AH38" s="33">
        <f>+MINVU_Mes_Corriente!AH38*SALUD_Mes_Constante!$AC$1</f>
        <v>0</v>
      </c>
      <c r="AI38" s="33">
        <f>+MINVU_Mes_Corriente!AI38*SALUD_Mes_Constante!$AC$1</f>
        <v>0</v>
      </c>
      <c r="AJ38" s="33">
        <f>+MINVU_Mes_Corriente!AJ38*SALUD_Mes_Constante!$AC$1</f>
        <v>0</v>
      </c>
      <c r="AK38" s="33">
        <f>+MINVU_Mes_Corriente!AK38*SALUD_Mes_Constante!$AC$1</f>
        <v>0</v>
      </c>
      <c r="AL38" s="33">
        <f>+MINVU_Mes_Corriente!AL38*SALUD_Mes_Constante!$AC$1</f>
        <v>0</v>
      </c>
      <c r="AM38" s="33">
        <f>+MINVU_Mes_Corriente!AM38*SALUD_Mes_Constante!$AC$1</f>
        <v>0</v>
      </c>
      <c r="AN38" s="33">
        <f>+MINVU_Mes_Corriente!AN38*SALUD_Mes_Constante!$AC$1</f>
        <v>0</v>
      </c>
      <c r="AO38" s="34">
        <f t="shared" si="2"/>
        <v>0</v>
      </c>
      <c r="AP38" s="33">
        <f>+MINVU_Mes_Corriente!AP38*SALUD_Mes_Constante!$AP$1</f>
        <v>0</v>
      </c>
      <c r="AQ38" s="33">
        <f>+MINVU_Mes_Corriente!AQ38*SALUD_Mes_Constante!$AP$1</f>
        <v>0</v>
      </c>
      <c r="AR38" s="33">
        <f>+MINVU_Mes_Corriente!AR38*SALUD_Mes_Constante!$AP$1</f>
        <v>0</v>
      </c>
      <c r="AS38" s="33">
        <f>+MINVU_Mes_Corriente!AS38*SALUD_Mes_Constante!$AP$1</f>
        <v>0</v>
      </c>
      <c r="AT38" s="33">
        <f>+MINVU_Mes_Corriente!AT38*SALUD_Mes_Constante!$AP$1</f>
        <v>0</v>
      </c>
      <c r="AU38" s="33">
        <f>+MINVU_Mes_Corriente!AU38*SALUD_Mes_Constante!$AP$1</f>
        <v>0</v>
      </c>
      <c r="AV38" s="33">
        <f>+MINVU_Mes_Corriente!AV38*SALUD_Mes_Constante!$AP$1</f>
        <v>0</v>
      </c>
      <c r="AW38" s="33">
        <f>+MINVU_Mes_Corriente!AW38*SALUD_Mes_Constante!$AP$1</f>
        <v>0</v>
      </c>
      <c r="AX38" s="33">
        <f>+MINVU_Mes_Corriente!AX38*SALUD_Mes_Constante!$AP$1</f>
        <v>0</v>
      </c>
      <c r="AY38" s="33">
        <f>+MINVU_Mes_Corriente!AY38*SALUD_Mes_Constante!$AP$1</f>
        <v>0</v>
      </c>
      <c r="AZ38" s="33">
        <f>+MINVU_Mes_Corriente!AZ38*SALUD_Mes_Constante!$AP$1</f>
        <v>0</v>
      </c>
      <c r="BA38" s="33">
        <f>+MINVU_Mes_Corriente!BA38*SALUD_Mes_Constante!$AP$1</f>
        <v>0</v>
      </c>
      <c r="BB38" s="34">
        <f t="shared" si="3"/>
        <v>0</v>
      </c>
      <c r="BC38" s="33">
        <f>+MINVU_Mes_Corriente!BC38*SALUD_Mes_Constante!$BC$1</f>
        <v>0</v>
      </c>
      <c r="BD38" s="33">
        <f>+MINVU_Mes_Corriente!BD38*SALUD_Mes_Constante!$BC$1</f>
        <v>0</v>
      </c>
      <c r="BE38" s="33">
        <f>+MINVU_Mes_Corriente!BE38*SALUD_Mes_Constante!$BC$1</f>
        <v>0</v>
      </c>
      <c r="BF38" s="33">
        <f>+MINVU_Mes_Corriente!BF38*SALUD_Mes_Constante!$BC$1</f>
        <v>0</v>
      </c>
      <c r="BG38" s="33">
        <f>+MINVU_Mes_Corriente!BG38*SALUD_Mes_Constante!$BC$1</f>
        <v>0</v>
      </c>
      <c r="BH38" s="33">
        <f>+MINVU_Mes_Corriente!BH38*SALUD_Mes_Constante!$BC$1</f>
        <v>0</v>
      </c>
      <c r="BI38" s="33">
        <f>+MINVU_Mes_Corriente!BI38*SALUD_Mes_Constante!$BC$1</f>
        <v>0</v>
      </c>
      <c r="BJ38" s="33">
        <f>+MINVU_Mes_Corriente!BJ38*SALUD_Mes_Constante!$BC$1</f>
        <v>0</v>
      </c>
      <c r="BK38" s="33">
        <f>+MINVU_Mes_Corriente!BK38*SALUD_Mes_Constante!$BC$1</f>
        <v>0</v>
      </c>
      <c r="BL38" s="33">
        <f>+MINVU_Mes_Corriente!BL38*SALUD_Mes_Constante!$BC$1</f>
        <v>0</v>
      </c>
      <c r="BM38" s="33">
        <f>+MINVU_Mes_Corriente!BM38*SALUD_Mes_Constante!$BC$1</f>
        <v>0</v>
      </c>
      <c r="BN38" s="33">
        <f>+MINVU_Mes_Corriente!BN38*SALUD_Mes_Constante!$BC$1</f>
        <v>0</v>
      </c>
      <c r="BO38" s="34">
        <f t="shared" si="4"/>
        <v>0</v>
      </c>
      <c r="BP38" s="33">
        <f>+MINVU_Mes_Corriente!BP38*SALUD_Mes_Constante!$BP$1</f>
        <v>0</v>
      </c>
      <c r="BQ38" s="33">
        <f>+MINVU_Mes_Corriente!BQ38*SALUD_Mes_Constante!$BP$1</f>
        <v>0</v>
      </c>
      <c r="BR38" s="33">
        <f>+MINVU_Mes_Corriente!BR38*SALUD_Mes_Constante!$BP$1</f>
        <v>0</v>
      </c>
      <c r="BS38" s="33">
        <f>+MINVU_Mes_Corriente!BS38*SALUD_Mes_Constante!$BP$1</f>
        <v>0</v>
      </c>
      <c r="BT38" s="33">
        <f>+MINVU_Mes_Corriente!BT38*SALUD_Mes_Constante!$BP$1</f>
        <v>0</v>
      </c>
      <c r="BU38" s="33">
        <f>+MINVU_Mes_Corriente!BU38*SALUD_Mes_Constante!$BP$1</f>
        <v>0</v>
      </c>
      <c r="BV38" s="33">
        <f>+MINVU_Mes_Corriente!BV38*SALUD_Mes_Constante!$BP$1</f>
        <v>0</v>
      </c>
      <c r="BW38" s="33">
        <f>+MINVU_Mes_Corriente!BW38*SALUD_Mes_Constante!$BP$1</f>
        <v>0</v>
      </c>
      <c r="BX38" s="33">
        <f>+MINVU_Mes_Corriente!BX38*SALUD_Mes_Constante!$BP$1</f>
        <v>0</v>
      </c>
      <c r="BY38" s="33">
        <f>+MINVU_Mes_Corriente!BY38*SALUD_Mes_Constante!$BP$1</f>
        <v>0</v>
      </c>
      <c r="BZ38" s="33">
        <f>+MINVU_Mes_Corriente!BZ38*SALUD_Mes_Constante!$BP$1</f>
        <v>0</v>
      </c>
      <c r="CA38" s="33">
        <f>+MINVU_Mes_Corriente!CA38*SALUD_Mes_Constante!$BP$1</f>
        <v>0</v>
      </c>
      <c r="CB38" s="34">
        <f t="shared" si="5"/>
        <v>0</v>
      </c>
      <c r="CC38" s="33">
        <f>+MINVU_Mes_Corriente!CC38*SALUD_Mes_Constante!$CC$1</f>
        <v>0</v>
      </c>
      <c r="CD38" s="33">
        <f>+MINVU_Mes_Corriente!CD38*SALUD_Mes_Constante!$CC$1</f>
        <v>0</v>
      </c>
      <c r="CE38" s="33">
        <f>+MINVU_Mes_Corriente!CE38*SALUD_Mes_Constante!$CC$1</f>
        <v>0</v>
      </c>
      <c r="CF38" s="33">
        <f>+MINVU_Mes_Corriente!CF38*SALUD_Mes_Constante!$CC$1</f>
        <v>0</v>
      </c>
      <c r="CG38" s="33">
        <f>+MINVU_Mes_Corriente!CG38*SALUD_Mes_Constante!$CC$1</f>
        <v>0</v>
      </c>
      <c r="CH38" s="33">
        <f>+MINVU_Mes_Corriente!CH38*SALUD_Mes_Constante!$CC$1</f>
        <v>0</v>
      </c>
      <c r="CI38" s="33">
        <f>+MINVU_Mes_Corriente!CI38*SALUD_Mes_Constante!$CC$1</f>
        <v>0</v>
      </c>
      <c r="CJ38" s="33">
        <f>+MINVU_Mes_Corriente!CJ38*SALUD_Mes_Constante!$CC$1</f>
        <v>0</v>
      </c>
      <c r="CK38" s="33">
        <f>+MINVU_Mes_Corriente!CK38*SALUD_Mes_Constante!$CC$1</f>
        <v>0</v>
      </c>
      <c r="CL38" s="33">
        <f>+MINVU_Mes_Corriente!CL38*SALUD_Mes_Constante!$CC$1</f>
        <v>0</v>
      </c>
      <c r="CM38" s="33">
        <f>+MINVU_Mes_Corriente!CM38*SALUD_Mes_Constante!$CC$1</f>
        <v>0</v>
      </c>
      <c r="CN38" s="33">
        <f>+MINVU_Mes_Corriente!CN38*SALUD_Mes_Constante!$CC$1</f>
        <v>0</v>
      </c>
      <c r="CO38" s="34">
        <f t="shared" si="6"/>
        <v>0</v>
      </c>
      <c r="CP38" s="33">
        <f>+MINVU_Mes_Corriente!CP38*SALUD_Mes_Constante!$CP$1</f>
        <v>0</v>
      </c>
      <c r="CQ38" s="33">
        <f>+MINVU_Mes_Corriente!CQ38*SALUD_Mes_Constante!$CP$1</f>
        <v>0</v>
      </c>
      <c r="CR38" s="33">
        <f>+MINVU_Mes_Corriente!CR38*SALUD_Mes_Constante!$CP$1</f>
        <v>0</v>
      </c>
      <c r="CS38" s="33">
        <f>+MINVU_Mes_Corriente!CS38*SALUD_Mes_Constante!$CP$1</f>
        <v>0</v>
      </c>
      <c r="CT38" s="33">
        <f>+MINVU_Mes_Corriente!CT38*SALUD_Mes_Constante!$CP$1</f>
        <v>0</v>
      </c>
      <c r="CU38" s="33">
        <f>+MINVU_Mes_Corriente!CU38*SALUD_Mes_Constante!$CP$1</f>
        <v>0</v>
      </c>
      <c r="CV38" s="33">
        <f>+MINVU_Mes_Corriente!CV38*SALUD_Mes_Constante!$CP$1</f>
        <v>0</v>
      </c>
      <c r="CW38" s="33">
        <f>+MINVU_Mes_Corriente!CW38*SALUD_Mes_Constante!$CP$1</f>
        <v>0</v>
      </c>
      <c r="CX38" s="33">
        <f>+MINVU_Mes_Corriente!CX38*SALUD_Mes_Constante!$CP$1</f>
        <v>0</v>
      </c>
      <c r="CY38" s="33">
        <f>+MINVU_Mes_Corriente!CY38*SALUD_Mes_Constante!$CP$1</f>
        <v>0</v>
      </c>
      <c r="CZ38" s="33">
        <f>+MINVU_Mes_Corriente!CZ38*SALUD_Mes_Constante!$CP$1</f>
        <v>0</v>
      </c>
      <c r="DA38" s="33">
        <f>+MINVU_Mes_Corriente!DA38*SALUD_Mes_Constante!$CP$1</f>
        <v>0</v>
      </c>
      <c r="DB38" s="34">
        <f t="shared" si="7"/>
        <v>0</v>
      </c>
      <c r="DC38" s="33">
        <f>+MINVU_Mes_Corriente!DC38*SALUD_Mes_Constante!$DC$1</f>
        <v>0</v>
      </c>
      <c r="DD38" s="33">
        <f>+MINVU_Mes_Corriente!DD38*SALUD_Mes_Constante!$DC$1</f>
        <v>0</v>
      </c>
      <c r="DE38" s="33">
        <f>+MINVU_Mes_Corriente!DE38*SALUD_Mes_Constante!$DC$1</f>
        <v>0</v>
      </c>
      <c r="DF38" s="33">
        <f>+MINVU_Mes_Corriente!DF38*SALUD_Mes_Constante!$DC$1</f>
        <v>0</v>
      </c>
      <c r="DG38" s="33">
        <f>+MINVU_Mes_Corriente!DG38*SALUD_Mes_Constante!$DC$1</f>
        <v>0</v>
      </c>
      <c r="DH38" s="33">
        <f>+MINVU_Mes_Corriente!DH38*SALUD_Mes_Constante!$DC$1</f>
        <v>0</v>
      </c>
      <c r="DI38" s="33">
        <f>+MINVU_Mes_Corriente!DI38*SALUD_Mes_Constante!$DC$1</f>
        <v>0</v>
      </c>
      <c r="DJ38" s="33">
        <f>+MINVU_Mes_Corriente!DJ38*SALUD_Mes_Constante!$DC$1</f>
        <v>0</v>
      </c>
      <c r="DK38" s="33">
        <f>+MINVU_Mes_Corriente!DK38*SALUD_Mes_Constante!$DC$1</f>
        <v>0</v>
      </c>
      <c r="DL38" s="33">
        <f>+MINVU_Mes_Corriente!DL38*SALUD_Mes_Constante!$DC$1</f>
        <v>0</v>
      </c>
      <c r="DM38" s="33">
        <f>+MINVU_Mes_Corriente!DM38*SALUD_Mes_Constante!$DC$1</f>
        <v>0</v>
      </c>
      <c r="DN38" s="33">
        <f>+MINVU_Mes_Corriente!DN38*SALUD_Mes_Constante!$DC$1</f>
        <v>0</v>
      </c>
      <c r="DO38" s="34">
        <f t="shared" si="8"/>
        <v>0</v>
      </c>
      <c r="DP38" s="33">
        <f>+MINVU_Mes_Corriente!DP38*SALUD_Mes_Constante!$DP$1</f>
        <v>0</v>
      </c>
      <c r="DQ38" s="33">
        <f>+MINVU_Mes_Corriente!DQ38*SALUD_Mes_Constante!$DP$1</f>
        <v>0</v>
      </c>
      <c r="DR38" s="33">
        <f>+MINVU_Mes_Corriente!DR38*SALUD_Mes_Constante!$DP$1</f>
        <v>0</v>
      </c>
      <c r="DS38" s="33">
        <f>+MINVU_Mes_Corriente!DS38*SALUD_Mes_Constante!$DP$1</f>
        <v>0</v>
      </c>
      <c r="DT38" s="33">
        <f>+MINVU_Mes_Corriente!DT38*SALUD_Mes_Constante!$DP$1</f>
        <v>0</v>
      </c>
      <c r="DU38" s="33">
        <f>+MINVU_Mes_Corriente!DU38*SALUD_Mes_Constante!$DP$1</f>
        <v>0</v>
      </c>
      <c r="DV38" s="33">
        <f>+MINVU_Mes_Corriente!DV38*SALUD_Mes_Constante!$DP$1</f>
        <v>0</v>
      </c>
      <c r="DW38" s="33">
        <f>+MINVU_Mes_Corriente!DW38*SALUD_Mes_Constante!$DP$1</f>
        <v>0</v>
      </c>
      <c r="DX38" s="33">
        <f>+MINVU_Mes_Corriente!DX38*SALUD_Mes_Constante!$DP$1</f>
        <v>0</v>
      </c>
      <c r="DY38" s="33">
        <f>+MINVU_Mes_Corriente!DY38*SALUD_Mes_Constante!$DP$1</f>
        <v>0</v>
      </c>
      <c r="DZ38" s="33">
        <f>+MINVU_Mes_Corriente!DZ38*SALUD_Mes_Constante!$DP$1</f>
        <v>0</v>
      </c>
      <c r="EA38" s="33">
        <f>+MINVU_Mes_Corriente!EA38*SALUD_Mes_Constante!$DP$1</f>
        <v>0</v>
      </c>
      <c r="EB38" s="34">
        <f t="shared" si="9"/>
        <v>0</v>
      </c>
      <c r="EC38" s="33">
        <f>+MINVU_Mes_Corriente!EC38*SALUD_Mes_Constante!$EC$1</f>
        <v>0</v>
      </c>
      <c r="ED38" s="33">
        <f>+MINVU_Mes_Corriente!ED38*SALUD_Mes_Constante!$EC$1</f>
        <v>0</v>
      </c>
      <c r="EE38" s="33">
        <f>+MINVU_Mes_Corriente!EE38*SALUD_Mes_Constante!$EC$1</f>
        <v>0</v>
      </c>
      <c r="EF38" s="33">
        <f>+MINVU_Mes_Corriente!EF38*SALUD_Mes_Constante!$EC$1</f>
        <v>0</v>
      </c>
      <c r="EG38" s="33">
        <f>+MINVU_Mes_Corriente!EG38*SALUD_Mes_Constante!$EC$1</f>
        <v>0</v>
      </c>
      <c r="EH38" s="33">
        <f>+MINVU_Mes_Corriente!EH38*SALUD_Mes_Constante!$EC$1</f>
        <v>0</v>
      </c>
      <c r="EI38" s="33">
        <f>+MINVU_Mes_Corriente!EI38*SALUD_Mes_Constante!$EC$1</f>
        <v>0</v>
      </c>
      <c r="EJ38" s="33">
        <f>+MINVU_Mes_Corriente!EJ38*SALUD_Mes_Constante!$EC$1</f>
        <v>0</v>
      </c>
      <c r="EK38" s="33">
        <f>+MINVU_Mes_Corriente!EK38*SALUD_Mes_Constante!$EC$1</f>
        <v>0</v>
      </c>
      <c r="EL38" s="33">
        <f>+MINVU_Mes_Corriente!EL38*SALUD_Mes_Constante!$EC$1</f>
        <v>0</v>
      </c>
      <c r="EM38" s="33">
        <f>+MINVU_Mes_Corriente!EM38*SALUD_Mes_Constante!$EC$1</f>
        <v>0</v>
      </c>
      <c r="EN38" s="33">
        <f>+MINVU_Mes_Corriente!EN38*SALUD_Mes_Constante!$EC$1</f>
        <v>0</v>
      </c>
      <c r="EO38" s="34">
        <f t="shared" si="10"/>
        <v>0</v>
      </c>
      <c r="EP38" s="33">
        <f>+MINVU_Mes_Corriente!EP38*SALUD_Mes_Constante!$EP$1</f>
        <v>0</v>
      </c>
      <c r="EQ38" s="33">
        <f>+MINVU_Mes_Corriente!EQ38*SALUD_Mes_Constante!$EP$1</f>
        <v>0</v>
      </c>
      <c r="ER38" s="33">
        <f>+MINVU_Mes_Corriente!ER38*SALUD_Mes_Constante!$EP$1</f>
        <v>0</v>
      </c>
      <c r="ES38" s="33">
        <f>+MINVU_Mes_Corriente!ES38*SALUD_Mes_Constante!$EP$1</f>
        <v>0</v>
      </c>
      <c r="ET38" s="33">
        <f>+MINVU_Mes_Corriente!ET38*SALUD_Mes_Constante!$EP$1</f>
        <v>0</v>
      </c>
      <c r="EU38" s="33">
        <f>+MINVU_Mes_Corriente!EU38*SALUD_Mes_Constante!$EP$1</f>
        <v>0</v>
      </c>
      <c r="EV38" s="33">
        <f>+MINVU_Mes_Corriente!EV38*SALUD_Mes_Constante!$EP$1</f>
        <v>0</v>
      </c>
      <c r="EW38" s="33">
        <f>+MINVU_Mes_Corriente!EW38*SALUD_Mes_Constante!$EP$1</f>
        <v>0</v>
      </c>
      <c r="EX38" s="33">
        <f>+MINVU_Mes_Corriente!EX38*SALUD_Mes_Constante!$EP$1</f>
        <v>0</v>
      </c>
      <c r="EY38" s="33">
        <f>+MINVU_Mes_Corriente!EY38*SALUD_Mes_Constante!$EP$1</f>
        <v>0</v>
      </c>
      <c r="EZ38" s="33">
        <f>+MINVU_Mes_Corriente!EZ38*SALUD_Mes_Constante!$EP$1</f>
        <v>0</v>
      </c>
      <c r="FA38" s="33">
        <f>+MINVU_Mes_Corriente!FA38*SALUD_Mes_Constante!$EP$1</f>
        <v>0</v>
      </c>
      <c r="FB38" s="34">
        <f t="shared" si="11"/>
        <v>0</v>
      </c>
      <c r="FC38" s="33">
        <f>+MINVU_Mes_Corriente!FC38*SALUD_Mes_Constante!$FC$1</f>
        <v>92970744</v>
      </c>
      <c r="FD38" s="33">
        <f>+MINVU_Mes_Corriente!FD38*SALUD_Mes_Constante!$FC$1</f>
        <v>92970744</v>
      </c>
      <c r="FE38" s="33">
        <f>+MINVU_Mes_Corriente!FE38*SALUD_Mes_Constante!$FC$1</f>
        <v>92970744</v>
      </c>
      <c r="FF38" s="33">
        <f>+MINVU_Mes_Corriente!FF38*SALUD_Mes_Constante!$FC$1</f>
        <v>92970744</v>
      </c>
      <c r="FG38" s="33">
        <f>+MINVU_Mes_Corriente!FG38*SALUD_Mes_Constante!$FC$1</f>
        <v>92970744</v>
      </c>
      <c r="FH38" s="33">
        <f>+MINVU_Mes_Corriente!FH38*SALUD_Mes_Constante!$FC$1</f>
        <v>92970744</v>
      </c>
      <c r="FI38" s="33">
        <f>+MINVU_Mes_Corriente!FI38*SALUD_Mes_Constante!$FC$1</f>
        <v>92970744</v>
      </c>
      <c r="FJ38" s="33"/>
      <c r="FK38" s="33"/>
      <c r="FL38" s="33"/>
      <c r="FM38" s="33"/>
      <c r="FN38" s="33"/>
      <c r="FO38" s="34">
        <f t="shared" si="12"/>
        <v>92970744</v>
      </c>
    </row>
    <row r="39" spans="2:171" ht="14.25" customHeight="1" x14ac:dyDescent="0.3">
      <c r="B39" s="35" t="s">
        <v>74</v>
      </c>
      <c r="C39" s="33">
        <f>+MINVU_Mes_Corriente!C39*SALUD_Mes_Constante!$C$1</f>
        <v>0</v>
      </c>
      <c r="D39" s="33">
        <f>+MINVU_Mes_Corriente!D39*SALUD_Mes_Constante!$C$1</f>
        <v>0</v>
      </c>
      <c r="E39" s="33">
        <f>+MINVU_Mes_Corriente!E39*SALUD_Mes_Constante!$C$1</f>
        <v>0</v>
      </c>
      <c r="F39" s="33">
        <f>+MINVU_Mes_Corriente!F39*SALUD_Mes_Constante!$C$1</f>
        <v>0</v>
      </c>
      <c r="G39" s="33">
        <f>+MINVU_Mes_Corriente!G39*SALUD_Mes_Constante!$C$1</f>
        <v>0</v>
      </c>
      <c r="H39" s="33">
        <f>+MINVU_Mes_Corriente!H39*SALUD_Mes_Constante!$C$1</f>
        <v>0</v>
      </c>
      <c r="I39" s="33">
        <f>+MINVU_Mes_Corriente!I39*SALUD_Mes_Constante!$C$1</f>
        <v>0</v>
      </c>
      <c r="J39" s="33">
        <f>+MINVU_Mes_Corriente!J39*SALUD_Mes_Constante!$C$1</f>
        <v>0</v>
      </c>
      <c r="K39" s="33">
        <f>+MINVU_Mes_Corriente!K39*SALUD_Mes_Constante!$C$1</f>
        <v>0</v>
      </c>
      <c r="L39" s="33">
        <f>+MINVU_Mes_Corriente!L39*SALUD_Mes_Constante!$C$1</f>
        <v>0</v>
      </c>
      <c r="M39" s="33">
        <f>+MINVU_Mes_Corriente!M39*SALUD_Mes_Constante!$C$1</f>
        <v>0</v>
      </c>
      <c r="N39" s="33">
        <f>+MINVU_Mes_Corriente!N39*SALUD_Mes_Constante!$C$1</f>
        <v>0</v>
      </c>
      <c r="O39" s="34">
        <f t="shared" si="0"/>
        <v>0</v>
      </c>
      <c r="P39" s="33">
        <f>+MINVU_Mes_Corriente!P39*SALUD_Mes_Constante!$P$1</f>
        <v>0</v>
      </c>
      <c r="Q39" s="33">
        <f>+MINVU_Mes_Corriente!Q39*SALUD_Mes_Constante!$P$1</f>
        <v>0</v>
      </c>
      <c r="R39" s="33">
        <f>+MINVU_Mes_Corriente!R39*SALUD_Mes_Constante!$P$1</f>
        <v>0</v>
      </c>
      <c r="S39" s="33">
        <f>+MINVU_Mes_Corriente!S39*SALUD_Mes_Constante!$P$1</f>
        <v>0</v>
      </c>
      <c r="T39" s="33">
        <f>+MINVU_Mes_Corriente!T39*SALUD_Mes_Constante!$P$1</f>
        <v>0</v>
      </c>
      <c r="U39" s="33">
        <f>+MINVU_Mes_Corriente!U39*SALUD_Mes_Constante!$P$1</f>
        <v>0</v>
      </c>
      <c r="V39" s="33">
        <f>+MINVU_Mes_Corriente!V39*SALUD_Mes_Constante!$P$1</f>
        <v>0</v>
      </c>
      <c r="W39" s="33">
        <f>+MINVU_Mes_Corriente!W39*SALUD_Mes_Constante!$P$1</f>
        <v>0</v>
      </c>
      <c r="X39" s="33">
        <f>+MINVU_Mes_Corriente!X39*SALUD_Mes_Constante!$P$1</f>
        <v>0</v>
      </c>
      <c r="Y39" s="33">
        <f>+MINVU_Mes_Corriente!Y39*SALUD_Mes_Constante!$P$1</f>
        <v>0</v>
      </c>
      <c r="Z39" s="33">
        <f>+MINVU_Mes_Corriente!Z39*SALUD_Mes_Constante!$P$1</f>
        <v>0</v>
      </c>
      <c r="AA39" s="33">
        <f>+MINVU_Mes_Corriente!AA39*SALUD_Mes_Constante!$P$1</f>
        <v>0</v>
      </c>
      <c r="AB39" s="34">
        <f t="shared" si="1"/>
        <v>0</v>
      </c>
      <c r="AC39" s="33">
        <f>+MINVU_Mes_Corriente!AC39*SALUD_Mes_Constante!$AC$1</f>
        <v>0</v>
      </c>
      <c r="AD39" s="33">
        <f>+MINVU_Mes_Corriente!AD39*SALUD_Mes_Constante!$AC$1</f>
        <v>0</v>
      </c>
      <c r="AE39" s="33">
        <f>+MINVU_Mes_Corriente!AE39*SALUD_Mes_Constante!$AC$1</f>
        <v>0</v>
      </c>
      <c r="AF39" s="33">
        <f>+MINVU_Mes_Corriente!AF39*SALUD_Mes_Constante!$AC$1</f>
        <v>0</v>
      </c>
      <c r="AG39" s="33">
        <f>+MINVU_Mes_Corriente!AG39*SALUD_Mes_Constante!$AC$1</f>
        <v>0</v>
      </c>
      <c r="AH39" s="33">
        <f>+MINVU_Mes_Corriente!AH39*SALUD_Mes_Constante!$AC$1</f>
        <v>0</v>
      </c>
      <c r="AI39" s="33">
        <f>+MINVU_Mes_Corriente!AI39*SALUD_Mes_Constante!$AC$1</f>
        <v>0</v>
      </c>
      <c r="AJ39" s="33">
        <f>+MINVU_Mes_Corriente!AJ39*SALUD_Mes_Constante!$AC$1</f>
        <v>0</v>
      </c>
      <c r="AK39" s="33">
        <f>+MINVU_Mes_Corriente!AK39*SALUD_Mes_Constante!$AC$1</f>
        <v>0</v>
      </c>
      <c r="AL39" s="33">
        <f>+MINVU_Mes_Corriente!AL39*SALUD_Mes_Constante!$AC$1</f>
        <v>0</v>
      </c>
      <c r="AM39" s="33">
        <f>+MINVU_Mes_Corriente!AM39*SALUD_Mes_Constante!$AC$1</f>
        <v>0</v>
      </c>
      <c r="AN39" s="33">
        <f>+MINVU_Mes_Corriente!AN39*SALUD_Mes_Constante!$AC$1</f>
        <v>0</v>
      </c>
      <c r="AO39" s="34">
        <f t="shared" si="2"/>
        <v>0</v>
      </c>
      <c r="AP39" s="33">
        <f>+MINVU_Mes_Corriente!AP39*SALUD_Mes_Constante!$AP$1</f>
        <v>0</v>
      </c>
      <c r="AQ39" s="33">
        <f>+MINVU_Mes_Corriente!AQ39*SALUD_Mes_Constante!$AP$1</f>
        <v>0</v>
      </c>
      <c r="AR39" s="33">
        <f>+MINVU_Mes_Corriente!AR39*SALUD_Mes_Constante!$AP$1</f>
        <v>0</v>
      </c>
      <c r="AS39" s="33">
        <f>+MINVU_Mes_Corriente!AS39*SALUD_Mes_Constante!$AP$1</f>
        <v>0</v>
      </c>
      <c r="AT39" s="33">
        <f>+MINVU_Mes_Corriente!AT39*SALUD_Mes_Constante!$AP$1</f>
        <v>0</v>
      </c>
      <c r="AU39" s="33">
        <f>+MINVU_Mes_Corriente!AU39*SALUD_Mes_Constante!$AP$1</f>
        <v>0</v>
      </c>
      <c r="AV39" s="33">
        <f>+MINVU_Mes_Corriente!AV39*SALUD_Mes_Constante!$AP$1</f>
        <v>0</v>
      </c>
      <c r="AW39" s="33">
        <f>+MINVU_Mes_Corriente!AW39*SALUD_Mes_Constante!$AP$1</f>
        <v>0</v>
      </c>
      <c r="AX39" s="33">
        <f>+MINVU_Mes_Corriente!AX39*SALUD_Mes_Constante!$AP$1</f>
        <v>0</v>
      </c>
      <c r="AY39" s="33">
        <f>+MINVU_Mes_Corriente!AY39*SALUD_Mes_Constante!$AP$1</f>
        <v>0</v>
      </c>
      <c r="AZ39" s="33">
        <f>+MINVU_Mes_Corriente!AZ39*SALUD_Mes_Constante!$AP$1</f>
        <v>0</v>
      </c>
      <c r="BA39" s="33">
        <f>+MINVU_Mes_Corriente!BA39*SALUD_Mes_Constante!$AP$1</f>
        <v>0</v>
      </c>
      <c r="BB39" s="34">
        <f t="shared" si="3"/>
        <v>0</v>
      </c>
      <c r="BC39" s="33">
        <f>+MINVU_Mes_Corriente!BC39*SALUD_Mes_Constante!$BC$1</f>
        <v>0</v>
      </c>
      <c r="BD39" s="33">
        <f>+MINVU_Mes_Corriente!BD39*SALUD_Mes_Constante!$BC$1</f>
        <v>0</v>
      </c>
      <c r="BE39" s="33">
        <f>+MINVU_Mes_Corriente!BE39*SALUD_Mes_Constante!$BC$1</f>
        <v>0</v>
      </c>
      <c r="BF39" s="33">
        <f>+MINVU_Mes_Corriente!BF39*SALUD_Mes_Constante!$BC$1</f>
        <v>0</v>
      </c>
      <c r="BG39" s="33">
        <f>+MINVU_Mes_Corriente!BG39*SALUD_Mes_Constante!$BC$1</f>
        <v>0</v>
      </c>
      <c r="BH39" s="33">
        <f>+MINVU_Mes_Corriente!BH39*SALUD_Mes_Constante!$BC$1</f>
        <v>0</v>
      </c>
      <c r="BI39" s="33">
        <f>+MINVU_Mes_Corriente!BI39*SALUD_Mes_Constante!$BC$1</f>
        <v>0</v>
      </c>
      <c r="BJ39" s="33">
        <f>+MINVU_Mes_Corriente!BJ39*SALUD_Mes_Constante!$BC$1</f>
        <v>0</v>
      </c>
      <c r="BK39" s="33">
        <f>+MINVU_Mes_Corriente!BK39*SALUD_Mes_Constante!$BC$1</f>
        <v>0</v>
      </c>
      <c r="BL39" s="33">
        <f>+MINVU_Mes_Corriente!BL39*SALUD_Mes_Constante!$BC$1</f>
        <v>0</v>
      </c>
      <c r="BM39" s="33">
        <f>+MINVU_Mes_Corriente!BM39*SALUD_Mes_Constante!$BC$1</f>
        <v>0</v>
      </c>
      <c r="BN39" s="33">
        <f>+MINVU_Mes_Corriente!BN39*SALUD_Mes_Constante!$BC$1</f>
        <v>0</v>
      </c>
      <c r="BO39" s="34">
        <f t="shared" si="4"/>
        <v>0</v>
      </c>
      <c r="BP39" s="33">
        <f>+MINVU_Mes_Corriente!BP39*SALUD_Mes_Constante!$BP$1</f>
        <v>0</v>
      </c>
      <c r="BQ39" s="33">
        <f>+MINVU_Mes_Corriente!BQ39*SALUD_Mes_Constante!$BP$1</f>
        <v>0</v>
      </c>
      <c r="BR39" s="33">
        <f>+MINVU_Mes_Corriente!BR39*SALUD_Mes_Constante!$BP$1</f>
        <v>0</v>
      </c>
      <c r="BS39" s="33">
        <f>+MINVU_Mes_Corriente!BS39*SALUD_Mes_Constante!$BP$1</f>
        <v>0</v>
      </c>
      <c r="BT39" s="33">
        <f>+MINVU_Mes_Corriente!BT39*SALUD_Mes_Constante!$BP$1</f>
        <v>0</v>
      </c>
      <c r="BU39" s="33">
        <f>+MINVU_Mes_Corriente!BU39*SALUD_Mes_Constante!$BP$1</f>
        <v>0</v>
      </c>
      <c r="BV39" s="33">
        <f>+MINVU_Mes_Corriente!BV39*SALUD_Mes_Constante!$BP$1</f>
        <v>0</v>
      </c>
      <c r="BW39" s="33">
        <f>+MINVU_Mes_Corriente!BW39*SALUD_Mes_Constante!$BP$1</f>
        <v>0</v>
      </c>
      <c r="BX39" s="33">
        <f>+MINVU_Mes_Corriente!BX39*SALUD_Mes_Constante!$BP$1</f>
        <v>0</v>
      </c>
      <c r="BY39" s="33">
        <f>+MINVU_Mes_Corriente!BY39*SALUD_Mes_Constante!$BP$1</f>
        <v>0</v>
      </c>
      <c r="BZ39" s="33">
        <f>+MINVU_Mes_Corriente!BZ39*SALUD_Mes_Constante!$BP$1</f>
        <v>0</v>
      </c>
      <c r="CA39" s="33">
        <f>+MINVU_Mes_Corriente!CA39*SALUD_Mes_Constante!$BP$1</f>
        <v>0</v>
      </c>
      <c r="CB39" s="34">
        <f t="shared" si="5"/>
        <v>0</v>
      </c>
      <c r="CC39" s="33">
        <f>+MINVU_Mes_Corriente!CC39*SALUD_Mes_Constante!$CC$1</f>
        <v>0</v>
      </c>
      <c r="CD39" s="33">
        <f>+MINVU_Mes_Corriente!CD39*SALUD_Mes_Constante!$CC$1</f>
        <v>0</v>
      </c>
      <c r="CE39" s="33">
        <f>+MINVU_Mes_Corriente!CE39*SALUD_Mes_Constante!$CC$1</f>
        <v>0</v>
      </c>
      <c r="CF39" s="33">
        <f>+MINVU_Mes_Corriente!CF39*SALUD_Mes_Constante!$CC$1</f>
        <v>0</v>
      </c>
      <c r="CG39" s="33">
        <f>+MINVU_Mes_Corriente!CG39*SALUD_Mes_Constante!$CC$1</f>
        <v>0</v>
      </c>
      <c r="CH39" s="33">
        <f>+MINVU_Mes_Corriente!CH39*SALUD_Mes_Constante!$CC$1</f>
        <v>0</v>
      </c>
      <c r="CI39" s="33">
        <f>+MINVU_Mes_Corriente!CI39*SALUD_Mes_Constante!$CC$1</f>
        <v>0</v>
      </c>
      <c r="CJ39" s="33">
        <f>+MINVU_Mes_Corriente!CJ39*SALUD_Mes_Constante!$CC$1</f>
        <v>0</v>
      </c>
      <c r="CK39" s="33">
        <f>+MINVU_Mes_Corriente!CK39*SALUD_Mes_Constante!$CC$1</f>
        <v>0</v>
      </c>
      <c r="CL39" s="33">
        <f>+MINVU_Mes_Corriente!CL39*SALUD_Mes_Constante!$CC$1</f>
        <v>0</v>
      </c>
      <c r="CM39" s="33">
        <f>+MINVU_Mes_Corriente!CM39*SALUD_Mes_Constante!$CC$1</f>
        <v>0</v>
      </c>
      <c r="CN39" s="33">
        <f>+MINVU_Mes_Corriente!CN39*SALUD_Mes_Constante!$CC$1</f>
        <v>0</v>
      </c>
      <c r="CO39" s="34">
        <f t="shared" si="6"/>
        <v>0</v>
      </c>
      <c r="CP39" s="33">
        <f>+MINVU_Mes_Corriente!CP39*SALUD_Mes_Constante!$CP$1</f>
        <v>0</v>
      </c>
      <c r="CQ39" s="33">
        <f>+MINVU_Mes_Corriente!CQ39*SALUD_Mes_Constante!$CP$1</f>
        <v>0</v>
      </c>
      <c r="CR39" s="33">
        <f>+MINVU_Mes_Corriente!CR39*SALUD_Mes_Constante!$CP$1</f>
        <v>0</v>
      </c>
      <c r="CS39" s="33">
        <f>+MINVU_Mes_Corriente!CS39*SALUD_Mes_Constante!$CP$1</f>
        <v>0</v>
      </c>
      <c r="CT39" s="33">
        <f>+MINVU_Mes_Corriente!CT39*SALUD_Mes_Constante!$CP$1</f>
        <v>0</v>
      </c>
      <c r="CU39" s="33">
        <f>+MINVU_Mes_Corriente!CU39*SALUD_Mes_Constante!$CP$1</f>
        <v>0</v>
      </c>
      <c r="CV39" s="33">
        <f>+MINVU_Mes_Corriente!CV39*SALUD_Mes_Constante!$CP$1</f>
        <v>0</v>
      </c>
      <c r="CW39" s="33">
        <f>+MINVU_Mes_Corriente!CW39*SALUD_Mes_Constante!$CP$1</f>
        <v>0</v>
      </c>
      <c r="CX39" s="33">
        <f>+MINVU_Mes_Corriente!CX39*SALUD_Mes_Constante!$CP$1</f>
        <v>0</v>
      </c>
      <c r="CY39" s="33">
        <f>+MINVU_Mes_Corriente!CY39*SALUD_Mes_Constante!$CP$1</f>
        <v>0</v>
      </c>
      <c r="CZ39" s="33">
        <f>+MINVU_Mes_Corriente!CZ39*SALUD_Mes_Constante!$CP$1</f>
        <v>0</v>
      </c>
      <c r="DA39" s="33">
        <f>+MINVU_Mes_Corriente!DA39*SALUD_Mes_Constante!$CP$1</f>
        <v>0</v>
      </c>
      <c r="DB39" s="34">
        <f t="shared" si="7"/>
        <v>0</v>
      </c>
      <c r="DC39" s="33">
        <f>+MINVU_Mes_Corriente!DC39*SALUD_Mes_Constante!$DC$1</f>
        <v>0</v>
      </c>
      <c r="DD39" s="33">
        <f>+MINVU_Mes_Corriente!DD39*SALUD_Mes_Constante!$DC$1</f>
        <v>0</v>
      </c>
      <c r="DE39" s="33">
        <f>+MINVU_Mes_Corriente!DE39*SALUD_Mes_Constante!$DC$1</f>
        <v>0</v>
      </c>
      <c r="DF39" s="33">
        <f>+MINVU_Mes_Corriente!DF39*SALUD_Mes_Constante!$DC$1</f>
        <v>0</v>
      </c>
      <c r="DG39" s="33">
        <f>+MINVU_Mes_Corriente!DG39*SALUD_Mes_Constante!$DC$1</f>
        <v>0</v>
      </c>
      <c r="DH39" s="33">
        <f>+MINVU_Mes_Corriente!DH39*SALUD_Mes_Constante!$DC$1</f>
        <v>0</v>
      </c>
      <c r="DI39" s="33">
        <f>+MINVU_Mes_Corriente!DI39*SALUD_Mes_Constante!$DC$1</f>
        <v>0</v>
      </c>
      <c r="DJ39" s="33">
        <f>+MINVU_Mes_Corriente!DJ39*SALUD_Mes_Constante!$DC$1</f>
        <v>0</v>
      </c>
      <c r="DK39" s="33">
        <f>+MINVU_Mes_Corriente!DK39*SALUD_Mes_Constante!$DC$1</f>
        <v>0</v>
      </c>
      <c r="DL39" s="33">
        <f>+MINVU_Mes_Corriente!DL39*SALUD_Mes_Constante!$DC$1</f>
        <v>0</v>
      </c>
      <c r="DM39" s="33">
        <f>+MINVU_Mes_Corriente!DM39*SALUD_Mes_Constante!$DC$1</f>
        <v>0</v>
      </c>
      <c r="DN39" s="33">
        <f>+MINVU_Mes_Corriente!DN39*SALUD_Mes_Constante!$DC$1</f>
        <v>0</v>
      </c>
      <c r="DO39" s="34">
        <f t="shared" si="8"/>
        <v>0</v>
      </c>
      <c r="DP39" s="33">
        <f>+MINVU_Mes_Corriente!DP39*SALUD_Mes_Constante!$DP$1</f>
        <v>0</v>
      </c>
      <c r="DQ39" s="33">
        <f>+MINVU_Mes_Corriente!DQ39*SALUD_Mes_Constante!$DP$1</f>
        <v>0</v>
      </c>
      <c r="DR39" s="33">
        <f>+MINVU_Mes_Corriente!DR39*SALUD_Mes_Constante!$DP$1</f>
        <v>0</v>
      </c>
      <c r="DS39" s="33">
        <f>+MINVU_Mes_Corriente!DS39*SALUD_Mes_Constante!$DP$1</f>
        <v>0</v>
      </c>
      <c r="DT39" s="33">
        <f>+MINVU_Mes_Corriente!DT39*SALUD_Mes_Constante!$DP$1</f>
        <v>0</v>
      </c>
      <c r="DU39" s="33">
        <f>+MINVU_Mes_Corriente!DU39*SALUD_Mes_Constante!$DP$1</f>
        <v>0</v>
      </c>
      <c r="DV39" s="33">
        <f>+MINVU_Mes_Corriente!DV39*SALUD_Mes_Constante!$DP$1</f>
        <v>0</v>
      </c>
      <c r="DW39" s="33">
        <f>+MINVU_Mes_Corriente!DW39*SALUD_Mes_Constante!$DP$1</f>
        <v>0</v>
      </c>
      <c r="DX39" s="33">
        <f>+MINVU_Mes_Corriente!DX39*SALUD_Mes_Constante!$DP$1</f>
        <v>0</v>
      </c>
      <c r="DY39" s="33">
        <f>+MINVU_Mes_Corriente!DY39*SALUD_Mes_Constante!$DP$1</f>
        <v>0</v>
      </c>
      <c r="DZ39" s="33">
        <f>+MINVU_Mes_Corriente!DZ39*SALUD_Mes_Constante!$DP$1</f>
        <v>0</v>
      </c>
      <c r="EA39" s="33">
        <f>+MINVU_Mes_Corriente!EA39*SALUD_Mes_Constante!$DP$1</f>
        <v>0</v>
      </c>
      <c r="EB39" s="34">
        <f t="shared" si="9"/>
        <v>0</v>
      </c>
      <c r="EC39" s="33">
        <f>+MINVU_Mes_Corriente!EC39*SALUD_Mes_Constante!$EC$1</f>
        <v>0</v>
      </c>
      <c r="ED39" s="33">
        <f>+MINVU_Mes_Corriente!ED39*SALUD_Mes_Constante!$EC$1</f>
        <v>0</v>
      </c>
      <c r="EE39" s="33">
        <f>+MINVU_Mes_Corriente!EE39*SALUD_Mes_Constante!$EC$1</f>
        <v>0</v>
      </c>
      <c r="EF39" s="33">
        <f>+MINVU_Mes_Corriente!EF39*SALUD_Mes_Constante!$EC$1</f>
        <v>0</v>
      </c>
      <c r="EG39" s="33">
        <f>+MINVU_Mes_Corriente!EG39*SALUD_Mes_Constante!$EC$1</f>
        <v>0</v>
      </c>
      <c r="EH39" s="33">
        <f>+MINVU_Mes_Corriente!EH39*SALUD_Mes_Constante!$EC$1</f>
        <v>0</v>
      </c>
      <c r="EI39" s="33">
        <f>+MINVU_Mes_Corriente!EI39*SALUD_Mes_Constante!$EC$1</f>
        <v>0</v>
      </c>
      <c r="EJ39" s="33">
        <f>+MINVU_Mes_Corriente!EJ39*SALUD_Mes_Constante!$EC$1</f>
        <v>0</v>
      </c>
      <c r="EK39" s="33">
        <f>+MINVU_Mes_Corriente!EK39*SALUD_Mes_Constante!$EC$1</f>
        <v>0</v>
      </c>
      <c r="EL39" s="33">
        <f>+MINVU_Mes_Corriente!EL39*SALUD_Mes_Constante!$EC$1</f>
        <v>0</v>
      </c>
      <c r="EM39" s="33">
        <f>+MINVU_Mes_Corriente!EM39*SALUD_Mes_Constante!$EC$1</f>
        <v>0</v>
      </c>
      <c r="EN39" s="33">
        <f>+MINVU_Mes_Corriente!EN39*SALUD_Mes_Constante!$EC$1</f>
        <v>0</v>
      </c>
      <c r="EO39" s="34">
        <f t="shared" si="10"/>
        <v>0</v>
      </c>
      <c r="EP39" s="33">
        <f>+MINVU_Mes_Corriente!EP39*SALUD_Mes_Constante!$EP$1</f>
        <v>0</v>
      </c>
      <c r="EQ39" s="33">
        <f>+MINVU_Mes_Corriente!EQ39*SALUD_Mes_Constante!$EP$1</f>
        <v>0</v>
      </c>
      <c r="ER39" s="33">
        <f>+MINVU_Mes_Corriente!ER39*SALUD_Mes_Constante!$EP$1</f>
        <v>0</v>
      </c>
      <c r="ES39" s="33">
        <f>+MINVU_Mes_Corriente!ES39*SALUD_Mes_Constante!$EP$1</f>
        <v>0</v>
      </c>
      <c r="ET39" s="33">
        <f>+MINVU_Mes_Corriente!ET39*SALUD_Mes_Constante!$EP$1</f>
        <v>0</v>
      </c>
      <c r="EU39" s="33">
        <f>+MINVU_Mes_Corriente!EU39*SALUD_Mes_Constante!$EP$1</f>
        <v>0</v>
      </c>
      <c r="EV39" s="33">
        <f>+MINVU_Mes_Corriente!EV39*SALUD_Mes_Constante!$EP$1</f>
        <v>0</v>
      </c>
      <c r="EW39" s="33">
        <f>+MINVU_Mes_Corriente!EW39*SALUD_Mes_Constante!$EP$1</f>
        <v>0</v>
      </c>
      <c r="EX39" s="33">
        <f>+MINVU_Mes_Corriente!EX39*SALUD_Mes_Constante!$EP$1</f>
        <v>0</v>
      </c>
      <c r="EY39" s="33">
        <f>+MINVU_Mes_Corriente!EY39*SALUD_Mes_Constante!$EP$1</f>
        <v>0</v>
      </c>
      <c r="EZ39" s="33">
        <f>+MINVU_Mes_Corriente!EZ39*SALUD_Mes_Constante!$EP$1</f>
        <v>0</v>
      </c>
      <c r="FA39" s="33">
        <f>+MINVU_Mes_Corriente!FA39*SALUD_Mes_Constante!$EP$1</f>
        <v>0</v>
      </c>
      <c r="FB39" s="34">
        <f t="shared" si="11"/>
        <v>0</v>
      </c>
      <c r="FC39" s="33">
        <f>+MINVU_Mes_Corriente!FC39*SALUD_Mes_Constante!$FC$1</f>
        <v>9165660</v>
      </c>
      <c r="FD39" s="33">
        <f>+MINVU_Mes_Corriente!FD39*SALUD_Mes_Constante!$FC$1</f>
        <v>9165660</v>
      </c>
      <c r="FE39" s="33">
        <f>+MINVU_Mes_Corriente!FE39*SALUD_Mes_Constante!$FC$1</f>
        <v>9165660</v>
      </c>
      <c r="FF39" s="33">
        <f>+MINVU_Mes_Corriente!FF39*SALUD_Mes_Constante!$FC$1</f>
        <v>9165660</v>
      </c>
      <c r="FG39" s="33">
        <f>+MINVU_Mes_Corriente!FG39*SALUD_Mes_Constante!$FC$1</f>
        <v>9165660</v>
      </c>
      <c r="FH39" s="33">
        <f>+MINVU_Mes_Corriente!FH39*SALUD_Mes_Constante!$FC$1</f>
        <v>9165660</v>
      </c>
      <c r="FI39" s="33">
        <f>+MINVU_Mes_Corriente!FI39*SALUD_Mes_Constante!$FC$1</f>
        <v>9165660</v>
      </c>
      <c r="FJ39" s="33"/>
      <c r="FK39" s="33"/>
      <c r="FL39" s="33"/>
      <c r="FM39" s="33"/>
      <c r="FN39" s="33"/>
      <c r="FO39" s="34">
        <f t="shared" si="12"/>
        <v>9165660</v>
      </c>
    </row>
    <row r="40" spans="2:171" ht="14.25" customHeight="1" thickBot="1" x14ac:dyDescent="0.35">
      <c r="B40" s="14" t="s">
        <v>75</v>
      </c>
      <c r="C40" s="16">
        <f t="shared" ref="C40:AH40" si="13">SUM(C8:C39)</f>
        <v>446075448.76434827</v>
      </c>
      <c r="D40" s="16">
        <f t="shared" si="13"/>
        <v>446075448.76434827</v>
      </c>
      <c r="E40" s="16">
        <f t="shared" si="13"/>
        <v>446075448.76434827</v>
      </c>
      <c r="F40" s="16">
        <f t="shared" si="13"/>
        <v>446075448.76434827</v>
      </c>
      <c r="G40" s="16">
        <f t="shared" si="13"/>
        <v>446075448.76434827</v>
      </c>
      <c r="H40" s="16">
        <f t="shared" si="13"/>
        <v>446075448.76434827</v>
      </c>
      <c r="I40" s="16">
        <f t="shared" si="13"/>
        <v>446075448.76434827</v>
      </c>
      <c r="J40" s="16">
        <f t="shared" si="13"/>
        <v>446075448.76434827</v>
      </c>
      <c r="K40" s="16">
        <f t="shared" si="13"/>
        <v>446075448.76434827</v>
      </c>
      <c r="L40" s="16">
        <f t="shared" si="13"/>
        <v>446075448.76434827</v>
      </c>
      <c r="M40" s="16">
        <f t="shared" si="13"/>
        <v>446075448.76434827</v>
      </c>
      <c r="N40" s="16">
        <f t="shared" si="13"/>
        <v>446075448.76434827</v>
      </c>
      <c r="O40" s="16">
        <f t="shared" si="13"/>
        <v>446075448.76434827</v>
      </c>
      <c r="P40" s="16">
        <f t="shared" si="13"/>
        <v>821148562.26196873</v>
      </c>
      <c r="Q40" s="16">
        <f t="shared" si="13"/>
        <v>821148562.26196873</v>
      </c>
      <c r="R40" s="16">
        <f t="shared" si="13"/>
        <v>821148562.26196873</v>
      </c>
      <c r="S40" s="16">
        <f t="shared" si="13"/>
        <v>821148562.26196873</v>
      </c>
      <c r="T40" s="16">
        <f t="shared" si="13"/>
        <v>821148562.26196873</v>
      </c>
      <c r="U40" s="16">
        <f t="shared" si="13"/>
        <v>821148562.26196873</v>
      </c>
      <c r="V40" s="16">
        <f t="shared" si="13"/>
        <v>821148562.26196873</v>
      </c>
      <c r="W40" s="16">
        <f t="shared" si="13"/>
        <v>821148562.26196873</v>
      </c>
      <c r="X40" s="16">
        <f t="shared" si="13"/>
        <v>821148562.26196873</v>
      </c>
      <c r="Y40" s="16">
        <f t="shared" si="13"/>
        <v>821148562.26196873</v>
      </c>
      <c r="Z40" s="16">
        <f t="shared" si="13"/>
        <v>821148562.26196873</v>
      </c>
      <c r="AA40" s="16">
        <f t="shared" si="13"/>
        <v>821148562.26196873</v>
      </c>
      <c r="AB40" s="16">
        <f t="shared" si="13"/>
        <v>821148562.26196873</v>
      </c>
      <c r="AC40" s="16">
        <f t="shared" si="13"/>
        <v>752418559.24747539</v>
      </c>
      <c r="AD40" s="16">
        <f t="shared" si="13"/>
        <v>752418559.24747539</v>
      </c>
      <c r="AE40" s="16">
        <f t="shared" si="13"/>
        <v>752418559.24747539</v>
      </c>
      <c r="AF40" s="16">
        <f t="shared" si="13"/>
        <v>752418559.24747539</v>
      </c>
      <c r="AG40" s="16">
        <f t="shared" si="13"/>
        <v>752418559.24747539</v>
      </c>
      <c r="AH40" s="16">
        <f t="shared" si="13"/>
        <v>752418559.24747539</v>
      </c>
      <c r="AI40" s="16">
        <f t="shared" ref="AI40:BN40" si="14">SUM(AI8:AI39)</f>
        <v>752418559.24747539</v>
      </c>
      <c r="AJ40" s="16">
        <f t="shared" si="14"/>
        <v>752418559.24747539</v>
      </c>
      <c r="AK40" s="16">
        <f t="shared" si="14"/>
        <v>752418559.24747539</v>
      </c>
      <c r="AL40" s="16">
        <f t="shared" si="14"/>
        <v>752418559.24747539</v>
      </c>
      <c r="AM40" s="16">
        <f t="shared" si="14"/>
        <v>752418559.24747539</v>
      </c>
      <c r="AN40" s="16">
        <f t="shared" si="14"/>
        <v>752418559.24747539</v>
      </c>
      <c r="AO40" s="16">
        <f t="shared" si="14"/>
        <v>752418559.24747539</v>
      </c>
      <c r="AP40" s="16">
        <f t="shared" si="14"/>
        <v>516600335.84255373</v>
      </c>
      <c r="AQ40" s="16">
        <f t="shared" si="14"/>
        <v>516600335.84255373</v>
      </c>
      <c r="AR40" s="16">
        <f t="shared" si="14"/>
        <v>516600335.84255373</v>
      </c>
      <c r="AS40" s="16">
        <f t="shared" si="14"/>
        <v>516600335.84255373</v>
      </c>
      <c r="AT40" s="16">
        <f t="shared" si="14"/>
        <v>516600335.84255373</v>
      </c>
      <c r="AU40" s="16">
        <f t="shared" si="14"/>
        <v>516600335.84255373</v>
      </c>
      <c r="AV40" s="16">
        <f t="shared" si="14"/>
        <v>516600335.84255373</v>
      </c>
      <c r="AW40" s="16">
        <f t="shared" si="14"/>
        <v>516600335.84255373</v>
      </c>
      <c r="AX40" s="16">
        <f t="shared" si="14"/>
        <v>516600335.84255373</v>
      </c>
      <c r="AY40" s="16">
        <f t="shared" si="14"/>
        <v>516600335.84255373</v>
      </c>
      <c r="AZ40" s="16">
        <f t="shared" si="14"/>
        <v>516600335.84255373</v>
      </c>
      <c r="BA40" s="16">
        <f t="shared" si="14"/>
        <v>516600335.84255373</v>
      </c>
      <c r="BB40" s="16">
        <f t="shared" si="14"/>
        <v>516600335.84255373</v>
      </c>
      <c r="BC40" s="16">
        <f t="shared" si="14"/>
        <v>639313334.81603599</v>
      </c>
      <c r="BD40" s="16">
        <f t="shared" si="14"/>
        <v>639313334.81603599</v>
      </c>
      <c r="BE40" s="16">
        <f t="shared" si="14"/>
        <v>639313334.81603599</v>
      </c>
      <c r="BF40" s="16">
        <f t="shared" si="14"/>
        <v>639313334.81603599</v>
      </c>
      <c r="BG40" s="16">
        <f t="shared" si="14"/>
        <v>639313334.81603599</v>
      </c>
      <c r="BH40" s="16">
        <f t="shared" si="14"/>
        <v>639313334.81603599</v>
      </c>
      <c r="BI40" s="16">
        <f t="shared" si="14"/>
        <v>639313334.81603599</v>
      </c>
      <c r="BJ40" s="16">
        <f t="shared" si="14"/>
        <v>639313334.81603599</v>
      </c>
      <c r="BK40" s="16">
        <f t="shared" si="14"/>
        <v>639313334.81603599</v>
      </c>
      <c r="BL40" s="16">
        <f t="shared" si="14"/>
        <v>639313334.81603599</v>
      </c>
      <c r="BM40" s="16">
        <f t="shared" si="14"/>
        <v>639313334.81603599</v>
      </c>
      <c r="BN40" s="16">
        <f t="shared" si="14"/>
        <v>639313334.81603599</v>
      </c>
      <c r="BO40" s="16">
        <f t="shared" ref="BO40:CT40" si="15">SUM(BO8:BO39)</f>
        <v>639313334.81603599</v>
      </c>
      <c r="BP40" s="16">
        <f t="shared" si="15"/>
        <v>585994597.27836108</v>
      </c>
      <c r="BQ40" s="16">
        <f t="shared" si="15"/>
        <v>585994597.27836108</v>
      </c>
      <c r="BR40" s="16">
        <f t="shared" si="15"/>
        <v>585994597.27836108</v>
      </c>
      <c r="BS40" s="16">
        <f t="shared" si="15"/>
        <v>585994597.27836108</v>
      </c>
      <c r="BT40" s="16">
        <f t="shared" si="15"/>
        <v>585994597.27836108</v>
      </c>
      <c r="BU40" s="16">
        <f t="shared" si="15"/>
        <v>585994597.27836108</v>
      </c>
      <c r="BV40" s="16">
        <f t="shared" si="15"/>
        <v>585994597.27836108</v>
      </c>
      <c r="BW40" s="16">
        <f t="shared" si="15"/>
        <v>585994597.27836108</v>
      </c>
      <c r="BX40" s="16">
        <f t="shared" si="15"/>
        <v>585994597.27836108</v>
      </c>
      <c r="BY40" s="16">
        <f t="shared" si="15"/>
        <v>585994597.27836108</v>
      </c>
      <c r="BZ40" s="16">
        <f t="shared" si="15"/>
        <v>585994597.27836108</v>
      </c>
      <c r="CA40" s="16">
        <f t="shared" si="15"/>
        <v>585994597.27836108</v>
      </c>
      <c r="CB40" s="16">
        <f t="shared" si="15"/>
        <v>585994597.27836108</v>
      </c>
      <c r="CC40" s="16">
        <f t="shared" si="15"/>
        <v>998430982.23424113</v>
      </c>
      <c r="CD40" s="16">
        <f t="shared" si="15"/>
        <v>998430982.23424113</v>
      </c>
      <c r="CE40" s="16">
        <f t="shared" si="15"/>
        <v>998430982.23424113</v>
      </c>
      <c r="CF40" s="16">
        <f t="shared" si="15"/>
        <v>998430982.23424113</v>
      </c>
      <c r="CG40" s="16">
        <f t="shared" si="15"/>
        <v>998430982.23424113</v>
      </c>
      <c r="CH40" s="16">
        <f t="shared" si="15"/>
        <v>998430982.23424113</v>
      </c>
      <c r="CI40" s="16">
        <f t="shared" si="15"/>
        <v>998430982.23424113</v>
      </c>
      <c r="CJ40" s="16">
        <f t="shared" si="15"/>
        <v>998430982.23424113</v>
      </c>
      <c r="CK40" s="16">
        <f t="shared" si="15"/>
        <v>998430982.23424113</v>
      </c>
      <c r="CL40" s="16">
        <f t="shared" si="15"/>
        <v>998430982.23424113</v>
      </c>
      <c r="CM40" s="16">
        <f t="shared" si="15"/>
        <v>998430982.23424113</v>
      </c>
      <c r="CN40" s="16">
        <f t="shared" si="15"/>
        <v>998430982.23424113</v>
      </c>
      <c r="CO40" s="16">
        <f t="shared" si="15"/>
        <v>998430982.23424113</v>
      </c>
      <c r="CP40" s="16">
        <f t="shared" si="15"/>
        <v>829944937.61206484</v>
      </c>
      <c r="CQ40" s="16">
        <f t="shared" si="15"/>
        <v>829944937.61206484</v>
      </c>
      <c r="CR40" s="16">
        <f t="shared" si="15"/>
        <v>829944937.61206484</v>
      </c>
      <c r="CS40" s="16">
        <f t="shared" si="15"/>
        <v>829944937.61206484</v>
      </c>
      <c r="CT40" s="16">
        <f t="shared" si="15"/>
        <v>829944937.61206484</v>
      </c>
      <c r="CU40" s="16">
        <f t="shared" ref="CU40:DZ40" si="16">SUM(CU8:CU39)</f>
        <v>829944937.61206484</v>
      </c>
      <c r="CV40" s="16">
        <f t="shared" si="16"/>
        <v>829944937.61206484</v>
      </c>
      <c r="CW40" s="16">
        <f t="shared" si="16"/>
        <v>829944937.61206484</v>
      </c>
      <c r="CX40" s="16">
        <f t="shared" si="16"/>
        <v>829944937.61206484</v>
      </c>
      <c r="CY40" s="16">
        <f t="shared" si="16"/>
        <v>829944937.61206484</v>
      </c>
      <c r="CZ40" s="16">
        <f t="shared" si="16"/>
        <v>829944937.61206484</v>
      </c>
      <c r="DA40" s="16">
        <f t="shared" si="16"/>
        <v>829944937.61206484</v>
      </c>
      <c r="DB40" s="16">
        <f t="shared" si="16"/>
        <v>829944937.61206484</v>
      </c>
      <c r="DC40" s="16">
        <f t="shared" si="16"/>
        <v>724366234.91924727</v>
      </c>
      <c r="DD40" s="16">
        <f t="shared" si="16"/>
        <v>724366234.91924727</v>
      </c>
      <c r="DE40" s="16">
        <f t="shared" si="16"/>
        <v>724366234.91924727</v>
      </c>
      <c r="DF40" s="16">
        <f t="shared" si="16"/>
        <v>724366234.91924727</v>
      </c>
      <c r="DG40" s="16">
        <f t="shared" si="16"/>
        <v>724366234.91924727</v>
      </c>
      <c r="DH40" s="16">
        <f t="shared" si="16"/>
        <v>724366234.91924727</v>
      </c>
      <c r="DI40" s="16">
        <f t="shared" si="16"/>
        <v>724366234.91924727</v>
      </c>
      <c r="DJ40" s="16">
        <f t="shared" si="16"/>
        <v>724366234.91924727</v>
      </c>
      <c r="DK40" s="16">
        <f t="shared" si="16"/>
        <v>724366234.91924727</v>
      </c>
      <c r="DL40" s="16">
        <f t="shared" si="16"/>
        <v>724366234.91924727</v>
      </c>
      <c r="DM40" s="16">
        <f t="shared" si="16"/>
        <v>724366234.91924727</v>
      </c>
      <c r="DN40" s="16">
        <f t="shared" si="16"/>
        <v>724366234.91924727</v>
      </c>
      <c r="DO40" s="16">
        <f t="shared" si="16"/>
        <v>724366234.91924727</v>
      </c>
      <c r="DP40" s="16">
        <f t="shared" si="16"/>
        <v>768394189.37707841</v>
      </c>
      <c r="DQ40" s="16">
        <f t="shared" si="16"/>
        <v>768394189.37707841</v>
      </c>
      <c r="DR40" s="16">
        <f t="shared" si="16"/>
        <v>768394189.37707841</v>
      </c>
      <c r="DS40" s="16">
        <f t="shared" si="16"/>
        <v>768394189.37707841</v>
      </c>
      <c r="DT40" s="16">
        <f t="shared" si="16"/>
        <v>768394189.37707841</v>
      </c>
      <c r="DU40" s="16">
        <f t="shared" si="16"/>
        <v>768394189.37707841</v>
      </c>
      <c r="DV40" s="16">
        <f t="shared" si="16"/>
        <v>768394189.37707841</v>
      </c>
      <c r="DW40" s="16">
        <f t="shared" si="16"/>
        <v>768394189.37707841</v>
      </c>
      <c r="DX40" s="16">
        <f t="shared" si="16"/>
        <v>768394189.37707841</v>
      </c>
      <c r="DY40" s="16">
        <f t="shared" si="16"/>
        <v>768394189.37707841</v>
      </c>
      <c r="DZ40" s="16">
        <f t="shared" si="16"/>
        <v>768394189.37707841</v>
      </c>
      <c r="EA40" s="16">
        <f t="shared" ref="EA40:FF40" si="17">SUM(EA8:EA39)</f>
        <v>768394189.37707841</v>
      </c>
      <c r="EB40" s="16">
        <f t="shared" si="17"/>
        <v>768394189.37707841</v>
      </c>
      <c r="EC40" s="16">
        <f t="shared" si="17"/>
        <v>603413613.65953398</v>
      </c>
      <c r="ED40" s="16">
        <f t="shared" si="17"/>
        <v>603413613.65953398</v>
      </c>
      <c r="EE40" s="16">
        <f t="shared" si="17"/>
        <v>603413613.65953398</v>
      </c>
      <c r="EF40" s="16">
        <f t="shared" si="17"/>
        <v>603413613.65953398</v>
      </c>
      <c r="EG40" s="16">
        <f t="shared" si="17"/>
        <v>603413613.65953398</v>
      </c>
      <c r="EH40" s="16">
        <f t="shared" si="17"/>
        <v>603413613.65953398</v>
      </c>
      <c r="EI40" s="16">
        <f t="shared" si="17"/>
        <v>603413613.65953398</v>
      </c>
      <c r="EJ40" s="16">
        <f t="shared" si="17"/>
        <v>603413613.65953398</v>
      </c>
      <c r="EK40" s="16">
        <f t="shared" si="17"/>
        <v>603413613.65953398</v>
      </c>
      <c r="EL40" s="16">
        <f t="shared" si="17"/>
        <v>603413613.65953398</v>
      </c>
      <c r="EM40" s="16">
        <f t="shared" si="17"/>
        <v>603413613.65953398</v>
      </c>
      <c r="EN40" s="16">
        <f t="shared" si="17"/>
        <v>603413613.65953398</v>
      </c>
      <c r="EO40" s="16">
        <f t="shared" si="17"/>
        <v>603413613.65953398</v>
      </c>
      <c r="EP40" s="16">
        <f t="shared" si="17"/>
        <v>574148004</v>
      </c>
      <c r="EQ40" s="16">
        <f t="shared" si="17"/>
        <v>574148004</v>
      </c>
      <c r="ER40" s="16">
        <f t="shared" si="17"/>
        <v>574148004</v>
      </c>
      <c r="ES40" s="16">
        <f t="shared" si="17"/>
        <v>574148004</v>
      </c>
      <c r="ET40" s="16">
        <f t="shared" si="17"/>
        <v>574148004</v>
      </c>
      <c r="EU40" s="16">
        <f t="shared" si="17"/>
        <v>574148004</v>
      </c>
      <c r="EV40" s="16">
        <f t="shared" si="17"/>
        <v>574148004</v>
      </c>
      <c r="EW40" s="16">
        <f t="shared" si="17"/>
        <v>574148004</v>
      </c>
      <c r="EX40" s="16">
        <f t="shared" si="17"/>
        <v>574148004</v>
      </c>
      <c r="EY40" s="16">
        <f t="shared" si="17"/>
        <v>574148004</v>
      </c>
      <c r="EZ40" s="16">
        <f t="shared" si="17"/>
        <v>574148004</v>
      </c>
      <c r="FA40" s="16">
        <f t="shared" si="17"/>
        <v>574148004</v>
      </c>
      <c r="FB40" s="16">
        <f t="shared" si="17"/>
        <v>574148004</v>
      </c>
      <c r="FC40" s="16">
        <f t="shared" si="17"/>
        <v>648268110</v>
      </c>
      <c r="FD40" s="16">
        <f t="shared" si="17"/>
        <v>648268110</v>
      </c>
      <c r="FE40" s="16">
        <f t="shared" si="17"/>
        <v>648268110</v>
      </c>
      <c r="FF40" s="16">
        <f t="shared" si="17"/>
        <v>648268110</v>
      </c>
      <c r="FG40" s="16">
        <f t="shared" ref="FG40:GL40" si="18">SUM(FG8:FG39)</f>
        <v>648268110</v>
      </c>
      <c r="FH40" s="16">
        <f t="shared" si="18"/>
        <v>648268110</v>
      </c>
      <c r="FI40" s="16">
        <f t="shared" si="18"/>
        <v>648268110</v>
      </c>
      <c r="FJ40" s="16">
        <f t="shared" si="18"/>
        <v>0</v>
      </c>
      <c r="FK40" s="16">
        <f t="shared" si="18"/>
        <v>0</v>
      </c>
      <c r="FL40" s="16">
        <f t="shared" si="18"/>
        <v>0</v>
      </c>
      <c r="FM40" s="16">
        <f t="shared" si="18"/>
        <v>0</v>
      </c>
      <c r="FN40" s="16">
        <f t="shared" si="18"/>
        <v>0</v>
      </c>
      <c r="FO40" s="16">
        <f t="shared" si="18"/>
        <v>648268110</v>
      </c>
    </row>
    <row r="41" spans="2:171" ht="14.25" customHeight="1" thickTop="1" x14ac:dyDescent="0.3">
      <c r="B41" s="4" t="s">
        <v>76</v>
      </c>
    </row>
    <row r="42" spans="2:171" ht="14.25" customHeight="1" x14ac:dyDescent="0.3">
      <c r="C42" s="38" t="s">
        <v>4</v>
      </c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8" t="s">
        <v>5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8" t="s">
        <v>6</v>
      </c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8" t="s">
        <v>7</v>
      </c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8" t="s">
        <v>8</v>
      </c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8" t="s">
        <v>9</v>
      </c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  <c r="CC42" s="38" t="s">
        <v>10</v>
      </c>
      <c r="CD42" s="39"/>
      <c r="CE42" s="39"/>
      <c r="CF42" s="39"/>
      <c r="CG42" s="39"/>
      <c r="CH42" s="39"/>
      <c r="CI42" s="39"/>
      <c r="CJ42" s="39"/>
      <c r="CK42" s="39"/>
      <c r="CL42" s="39"/>
      <c r="CM42" s="39"/>
      <c r="CN42" s="39"/>
      <c r="CO42" s="39"/>
      <c r="CP42" s="38" t="s">
        <v>11</v>
      </c>
      <c r="CQ42" s="39"/>
      <c r="CR42" s="39"/>
      <c r="CS42" s="39"/>
      <c r="CT42" s="39"/>
      <c r="CU42" s="39"/>
      <c r="CV42" s="39"/>
      <c r="CW42" s="39"/>
      <c r="CX42" s="39"/>
      <c r="CY42" s="39"/>
      <c r="CZ42" s="39"/>
      <c r="DA42" s="39"/>
      <c r="DB42" s="39"/>
      <c r="DC42" s="38" t="s">
        <v>12</v>
      </c>
      <c r="DD42" s="39"/>
      <c r="DE42" s="39"/>
      <c r="DF42" s="39"/>
      <c r="DG42" s="39"/>
      <c r="DH42" s="39"/>
      <c r="DI42" s="39"/>
      <c r="DJ42" s="39"/>
      <c r="DK42" s="39"/>
      <c r="DL42" s="39"/>
      <c r="DM42" s="39"/>
      <c r="DN42" s="39"/>
      <c r="DO42" s="39"/>
      <c r="DP42" s="38" t="s">
        <v>13</v>
      </c>
      <c r="DQ42" s="39"/>
      <c r="DR42" s="39"/>
      <c r="DS42" s="39"/>
      <c r="DT42" s="39"/>
      <c r="DU42" s="39"/>
      <c r="DV42" s="39"/>
      <c r="DW42" s="39"/>
      <c r="DX42" s="39"/>
      <c r="DY42" s="39"/>
      <c r="DZ42" s="39"/>
      <c r="EA42" s="39"/>
      <c r="EB42" s="39"/>
      <c r="EC42" s="38" t="s">
        <v>14</v>
      </c>
      <c r="ED42" s="39"/>
      <c r="EE42" s="39"/>
      <c r="EF42" s="39"/>
      <c r="EG42" s="39"/>
      <c r="EH42" s="39"/>
      <c r="EI42" s="39"/>
      <c r="EJ42" s="39"/>
      <c r="EK42" s="39"/>
      <c r="EL42" s="39"/>
      <c r="EM42" s="39"/>
      <c r="EN42" s="39"/>
      <c r="EO42" s="39"/>
      <c r="EP42" s="38" t="s">
        <v>15</v>
      </c>
      <c r="EQ42" s="39"/>
      <c r="ER42" s="39"/>
      <c r="ES42" s="39"/>
      <c r="ET42" s="39"/>
      <c r="EU42" s="39"/>
      <c r="EV42" s="39"/>
      <c r="EW42" s="39"/>
      <c r="EX42" s="39"/>
      <c r="EY42" s="39"/>
      <c r="EZ42" s="39"/>
      <c r="FA42" s="39"/>
      <c r="FB42" s="39"/>
      <c r="FC42" s="38" t="s">
        <v>16</v>
      </c>
      <c r="FD42" s="39"/>
      <c r="FE42" s="39"/>
      <c r="FF42" s="39"/>
      <c r="FG42" s="39"/>
      <c r="FH42" s="39"/>
      <c r="FI42" s="39"/>
      <c r="FJ42" s="39"/>
      <c r="FK42" s="39"/>
      <c r="FL42" s="39"/>
      <c r="FM42" s="39"/>
      <c r="FN42" s="39"/>
      <c r="FO42" s="39"/>
    </row>
    <row r="43" spans="2:171" ht="14.25" customHeight="1" x14ac:dyDescent="0.3">
      <c r="B43" s="5" t="s">
        <v>17</v>
      </c>
      <c r="C43" s="6" t="s">
        <v>18</v>
      </c>
      <c r="D43" s="6" t="s">
        <v>19</v>
      </c>
      <c r="E43" s="6" t="s">
        <v>20</v>
      </c>
      <c r="F43" s="6" t="s">
        <v>21</v>
      </c>
      <c r="G43" s="6" t="s">
        <v>22</v>
      </c>
      <c r="H43" s="6" t="s">
        <v>23</v>
      </c>
      <c r="I43" s="6" t="s">
        <v>24</v>
      </c>
      <c r="J43" s="6" t="s">
        <v>25</v>
      </c>
      <c r="K43" s="6" t="s">
        <v>26</v>
      </c>
      <c r="L43" s="6" t="s">
        <v>27</v>
      </c>
      <c r="M43" s="6" t="s">
        <v>28</v>
      </c>
      <c r="N43" s="6" t="s">
        <v>29</v>
      </c>
      <c r="O43" s="6" t="s">
        <v>30</v>
      </c>
      <c r="P43" s="6" t="s">
        <v>18</v>
      </c>
      <c r="Q43" s="6" t="s">
        <v>19</v>
      </c>
      <c r="R43" s="6" t="s">
        <v>20</v>
      </c>
      <c r="S43" s="6" t="s">
        <v>21</v>
      </c>
      <c r="T43" s="6" t="s">
        <v>22</v>
      </c>
      <c r="U43" s="6" t="s">
        <v>23</v>
      </c>
      <c r="V43" s="6" t="s">
        <v>24</v>
      </c>
      <c r="W43" s="6" t="s">
        <v>25</v>
      </c>
      <c r="X43" s="6" t="s">
        <v>26</v>
      </c>
      <c r="Y43" s="6" t="s">
        <v>27</v>
      </c>
      <c r="Z43" s="6" t="s">
        <v>28</v>
      </c>
      <c r="AA43" s="6" t="s">
        <v>29</v>
      </c>
      <c r="AB43" s="6" t="s">
        <v>31</v>
      </c>
      <c r="AC43" s="6" t="s">
        <v>18</v>
      </c>
      <c r="AD43" s="6" t="s">
        <v>19</v>
      </c>
      <c r="AE43" s="6" t="s">
        <v>20</v>
      </c>
      <c r="AF43" s="6" t="s">
        <v>21</v>
      </c>
      <c r="AG43" s="6" t="s">
        <v>22</v>
      </c>
      <c r="AH43" s="6" t="s">
        <v>23</v>
      </c>
      <c r="AI43" s="6" t="s">
        <v>24</v>
      </c>
      <c r="AJ43" s="6" t="s">
        <v>25</v>
      </c>
      <c r="AK43" s="6" t="s">
        <v>26</v>
      </c>
      <c r="AL43" s="6" t="s">
        <v>27</v>
      </c>
      <c r="AM43" s="6" t="s">
        <v>28</v>
      </c>
      <c r="AN43" s="6" t="s">
        <v>29</v>
      </c>
      <c r="AO43" s="6" t="s">
        <v>32</v>
      </c>
      <c r="AP43" s="6" t="s">
        <v>18</v>
      </c>
      <c r="AQ43" s="6" t="s">
        <v>19</v>
      </c>
      <c r="AR43" s="6" t="s">
        <v>20</v>
      </c>
      <c r="AS43" s="6" t="s">
        <v>21</v>
      </c>
      <c r="AT43" s="6" t="s">
        <v>22</v>
      </c>
      <c r="AU43" s="6" t="s">
        <v>23</v>
      </c>
      <c r="AV43" s="6" t="s">
        <v>24</v>
      </c>
      <c r="AW43" s="6" t="s">
        <v>25</v>
      </c>
      <c r="AX43" s="6" t="s">
        <v>26</v>
      </c>
      <c r="AY43" s="6" t="s">
        <v>27</v>
      </c>
      <c r="AZ43" s="6" t="s">
        <v>28</v>
      </c>
      <c r="BA43" s="6" t="s">
        <v>29</v>
      </c>
      <c r="BB43" s="6" t="s">
        <v>33</v>
      </c>
      <c r="BC43" s="6" t="s">
        <v>18</v>
      </c>
      <c r="BD43" s="6" t="s">
        <v>19</v>
      </c>
      <c r="BE43" s="6" t="s">
        <v>20</v>
      </c>
      <c r="BF43" s="6" t="s">
        <v>21</v>
      </c>
      <c r="BG43" s="6" t="s">
        <v>22</v>
      </c>
      <c r="BH43" s="6" t="s">
        <v>23</v>
      </c>
      <c r="BI43" s="6" t="s">
        <v>24</v>
      </c>
      <c r="BJ43" s="6" t="s">
        <v>25</v>
      </c>
      <c r="BK43" s="6" t="s">
        <v>26</v>
      </c>
      <c r="BL43" s="6" t="s">
        <v>27</v>
      </c>
      <c r="BM43" s="6" t="s">
        <v>28</v>
      </c>
      <c r="BN43" s="6" t="s">
        <v>29</v>
      </c>
      <c r="BO43" s="6" t="s">
        <v>34</v>
      </c>
      <c r="BP43" s="6" t="s">
        <v>18</v>
      </c>
      <c r="BQ43" s="6" t="s">
        <v>19</v>
      </c>
      <c r="BR43" s="6" t="s">
        <v>20</v>
      </c>
      <c r="BS43" s="6" t="s">
        <v>21</v>
      </c>
      <c r="BT43" s="6" t="s">
        <v>22</v>
      </c>
      <c r="BU43" s="6" t="s">
        <v>23</v>
      </c>
      <c r="BV43" s="6" t="s">
        <v>24</v>
      </c>
      <c r="BW43" s="6" t="s">
        <v>25</v>
      </c>
      <c r="BX43" s="6" t="s">
        <v>26</v>
      </c>
      <c r="BY43" s="6" t="s">
        <v>27</v>
      </c>
      <c r="BZ43" s="6" t="s">
        <v>28</v>
      </c>
      <c r="CA43" s="6" t="s">
        <v>29</v>
      </c>
      <c r="CB43" s="6" t="s">
        <v>35</v>
      </c>
      <c r="CC43" s="6" t="s">
        <v>18</v>
      </c>
      <c r="CD43" s="6" t="s">
        <v>19</v>
      </c>
      <c r="CE43" s="6" t="s">
        <v>20</v>
      </c>
      <c r="CF43" s="6" t="s">
        <v>21</v>
      </c>
      <c r="CG43" s="6" t="s">
        <v>22</v>
      </c>
      <c r="CH43" s="6" t="s">
        <v>23</v>
      </c>
      <c r="CI43" s="6" t="s">
        <v>24</v>
      </c>
      <c r="CJ43" s="6" t="s">
        <v>25</v>
      </c>
      <c r="CK43" s="6" t="s">
        <v>26</v>
      </c>
      <c r="CL43" s="6" t="s">
        <v>27</v>
      </c>
      <c r="CM43" s="6" t="s">
        <v>28</v>
      </c>
      <c r="CN43" s="6" t="s">
        <v>29</v>
      </c>
      <c r="CO43" s="6" t="s">
        <v>36</v>
      </c>
      <c r="CP43" s="6" t="s">
        <v>18</v>
      </c>
      <c r="CQ43" s="6" t="s">
        <v>19</v>
      </c>
      <c r="CR43" s="6" t="s">
        <v>20</v>
      </c>
      <c r="CS43" s="6" t="s">
        <v>21</v>
      </c>
      <c r="CT43" s="6" t="s">
        <v>22</v>
      </c>
      <c r="CU43" s="6" t="s">
        <v>23</v>
      </c>
      <c r="CV43" s="6" t="s">
        <v>24</v>
      </c>
      <c r="CW43" s="6" t="s">
        <v>25</v>
      </c>
      <c r="CX43" s="6" t="s">
        <v>26</v>
      </c>
      <c r="CY43" s="6" t="s">
        <v>27</v>
      </c>
      <c r="CZ43" s="6" t="s">
        <v>28</v>
      </c>
      <c r="DA43" s="6" t="s">
        <v>29</v>
      </c>
      <c r="DB43" s="6" t="s">
        <v>37</v>
      </c>
      <c r="DC43" s="6" t="s">
        <v>18</v>
      </c>
      <c r="DD43" s="6" t="s">
        <v>19</v>
      </c>
      <c r="DE43" s="6" t="s">
        <v>20</v>
      </c>
      <c r="DF43" s="6" t="s">
        <v>21</v>
      </c>
      <c r="DG43" s="6" t="s">
        <v>22</v>
      </c>
      <c r="DH43" s="6" t="s">
        <v>23</v>
      </c>
      <c r="DI43" s="6" t="s">
        <v>24</v>
      </c>
      <c r="DJ43" s="6" t="s">
        <v>25</v>
      </c>
      <c r="DK43" s="6" t="s">
        <v>26</v>
      </c>
      <c r="DL43" s="6" t="s">
        <v>27</v>
      </c>
      <c r="DM43" s="6" t="s">
        <v>28</v>
      </c>
      <c r="DN43" s="6" t="s">
        <v>29</v>
      </c>
      <c r="DO43" s="6" t="s">
        <v>38</v>
      </c>
      <c r="DP43" s="6" t="s">
        <v>18</v>
      </c>
      <c r="DQ43" s="6" t="s">
        <v>19</v>
      </c>
      <c r="DR43" s="6" t="s">
        <v>20</v>
      </c>
      <c r="DS43" s="6" t="s">
        <v>21</v>
      </c>
      <c r="DT43" s="6" t="s">
        <v>22</v>
      </c>
      <c r="DU43" s="6" t="s">
        <v>23</v>
      </c>
      <c r="DV43" s="6" t="s">
        <v>24</v>
      </c>
      <c r="DW43" s="6" t="s">
        <v>25</v>
      </c>
      <c r="DX43" s="6" t="s">
        <v>26</v>
      </c>
      <c r="DY43" s="6" t="s">
        <v>27</v>
      </c>
      <c r="DZ43" s="6" t="s">
        <v>28</v>
      </c>
      <c r="EA43" s="6" t="s">
        <v>29</v>
      </c>
      <c r="EB43" s="6" t="s">
        <v>39</v>
      </c>
      <c r="EC43" s="6" t="s">
        <v>18</v>
      </c>
      <c r="ED43" s="6" t="s">
        <v>19</v>
      </c>
      <c r="EE43" s="6" t="s">
        <v>20</v>
      </c>
      <c r="EF43" s="6" t="s">
        <v>21</v>
      </c>
      <c r="EG43" s="6" t="s">
        <v>22</v>
      </c>
      <c r="EH43" s="6" t="s">
        <v>23</v>
      </c>
      <c r="EI43" s="6" t="s">
        <v>24</v>
      </c>
      <c r="EJ43" s="6" t="s">
        <v>25</v>
      </c>
      <c r="EK43" s="6" t="s">
        <v>26</v>
      </c>
      <c r="EL43" s="6" t="s">
        <v>27</v>
      </c>
      <c r="EM43" s="6" t="s">
        <v>28</v>
      </c>
      <c r="EN43" s="6" t="s">
        <v>29</v>
      </c>
      <c r="EO43" s="6" t="s">
        <v>40</v>
      </c>
      <c r="EP43" s="6" t="s">
        <v>18</v>
      </c>
      <c r="EQ43" s="6" t="s">
        <v>19</v>
      </c>
      <c r="ER43" s="6" t="s">
        <v>20</v>
      </c>
      <c r="ES43" s="6" t="s">
        <v>21</v>
      </c>
      <c r="ET43" s="6" t="s">
        <v>22</v>
      </c>
      <c r="EU43" s="6" t="s">
        <v>23</v>
      </c>
      <c r="EV43" s="6" t="s">
        <v>24</v>
      </c>
      <c r="EW43" s="6" t="s">
        <v>25</v>
      </c>
      <c r="EX43" s="6" t="s">
        <v>26</v>
      </c>
      <c r="EY43" s="6" t="s">
        <v>27</v>
      </c>
      <c r="EZ43" s="6" t="s">
        <v>28</v>
      </c>
      <c r="FA43" s="6" t="s">
        <v>29</v>
      </c>
      <c r="FB43" s="6" t="s">
        <v>41</v>
      </c>
      <c r="FC43" s="6" t="s">
        <v>18</v>
      </c>
      <c r="FD43" s="6" t="s">
        <v>19</v>
      </c>
      <c r="FE43" s="6" t="s">
        <v>20</v>
      </c>
      <c r="FF43" s="6" t="s">
        <v>21</v>
      </c>
      <c r="FG43" s="6" t="s">
        <v>22</v>
      </c>
      <c r="FH43" s="6" t="s">
        <v>23</v>
      </c>
      <c r="FI43" s="6" t="s">
        <v>24</v>
      </c>
      <c r="FJ43" s="6" t="s">
        <v>25</v>
      </c>
      <c r="FK43" s="6" t="s">
        <v>26</v>
      </c>
      <c r="FL43" s="6" t="s">
        <v>27</v>
      </c>
      <c r="FM43" s="6" t="s">
        <v>28</v>
      </c>
      <c r="FN43" s="6" t="s">
        <v>29</v>
      </c>
      <c r="FO43" s="6" t="s">
        <v>42</v>
      </c>
    </row>
    <row r="44" spans="2:171" ht="14.25" customHeight="1" x14ac:dyDescent="0.3">
      <c r="B44" s="7" t="s">
        <v>43</v>
      </c>
      <c r="C44" s="8">
        <f>+MINVU_Mes_Corriente!C44*SALUD_Mes_Constante!$C$1</f>
        <v>1211322.8266350292</v>
      </c>
      <c r="D44" s="8">
        <f>+MINVU_Mes_Corriente!D44*SALUD_Mes_Constante!$C$1</f>
        <v>1211322.8266350292</v>
      </c>
      <c r="E44" s="8">
        <f>+MINVU_Mes_Corriente!E44*SALUD_Mes_Constante!$C$1</f>
        <v>1211322.8266350292</v>
      </c>
      <c r="F44" s="8">
        <f>+MINVU_Mes_Corriente!F44*SALUD_Mes_Constante!$C$1</f>
        <v>1211322.8266350292</v>
      </c>
      <c r="G44" s="8">
        <f>+MINVU_Mes_Corriente!G44*SALUD_Mes_Constante!$C$1</f>
        <v>1211322.8266350292</v>
      </c>
      <c r="H44" s="8">
        <f>+MINVU_Mes_Corriente!H44*SALUD_Mes_Constante!$C$1</f>
        <v>1211322.8266350292</v>
      </c>
      <c r="I44" s="8">
        <f>+MINVU_Mes_Corriente!I44*SALUD_Mes_Constante!$C$1</f>
        <v>1211322.8266350292</v>
      </c>
      <c r="J44" s="8">
        <f>+MINVU_Mes_Corriente!J44*SALUD_Mes_Constante!$C$1</f>
        <v>1211322.8266350292</v>
      </c>
      <c r="K44" s="8">
        <f>+MINVU_Mes_Corriente!K44*SALUD_Mes_Constante!$C$1</f>
        <v>1211322.8266350292</v>
      </c>
      <c r="L44" s="8">
        <f>+MINVU_Mes_Corriente!L44*SALUD_Mes_Constante!$C$1</f>
        <v>1211322.8266350292</v>
      </c>
      <c r="M44" s="8">
        <f>+MINVU_Mes_Corriente!M44*SALUD_Mes_Constante!$C$1</f>
        <v>1211322.8266350292</v>
      </c>
      <c r="N44" s="8">
        <f>+MINVU_Mes_Corriente!N44*SALUD_Mes_Constante!$C$1</f>
        <v>130053.91339166545</v>
      </c>
      <c r="O44" s="9">
        <f t="shared" ref="O44:O75" si="19">N44</f>
        <v>130053.91339166545</v>
      </c>
      <c r="P44" s="8">
        <f>+MINVU_Mes_Corriente!P44*SALUD_Mes_Constante!$P$1</f>
        <v>319755.07884642691</v>
      </c>
      <c r="Q44" s="8">
        <f>+MINVU_Mes_Corriente!Q44*SALUD_Mes_Constante!$P$1</f>
        <v>319755.07884642691</v>
      </c>
      <c r="R44" s="8">
        <f>+MINVU_Mes_Corriente!R44*SALUD_Mes_Constante!$P$1</f>
        <v>319755.07884642691</v>
      </c>
      <c r="S44" s="8">
        <f>+MINVU_Mes_Corriente!S44*SALUD_Mes_Constante!$P$1</f>
        <v>319755.07884642691</v>
      </c>
      <c r="T44" s="8">
        <f>+MINVU_Mes_Corriente!T44*SALUD_Mes_Constante!$P$1</f>
        <v>319755.07884642691</v>
      </c>
      <c r="U44" s="8">
        <f>+MINVU_Mes_Corriente!U44*SALUD_Mes_Constante!$P$1</f>
        <v>319755.07884642691</v>
      </c>
      <c r="V44" s="8">
        <f>+MINVU_Mes_Corriente!V44*SALUD_Mes_Constante!$P$1</f>
        <v>319755.07884642691</v>
      </c>
      <c r="W44" s="8">
        <f>+MINVU_Mes_Corriente!W44*SALUD_Mes_Constante!$P$1</f>
        <v>319755.07884642691</v>
      </c>
      <c r="X44" s="8">
        <f>+MINVU_Mes_Corriente!X44*SALUD_Mes_Constante!$P$1</f>
        <v>199177.92214803232</v>
      </c>
      <c r="Y44" s="8">
        <f>+MINVU_Mes_Corriente!Y44*SALUD_Mes_Constante!$P$1</f>
        <v>199177.92214803232</v>
      </c>
      <c r="Z44" s="8">
        <f>+MINVU_Mes_Corriente!Z44*SALUD_Mes_Constante!$P$1</f>
        <v>199177.92214803232</v>
      </c>
      <c r="AA44" s="8">
        <f>+MINVU_Mes_Corriente!AA44*SALUD_Mes_Constante!$P$1</f>
        <v>199177.92214803232</v>
      </c>
      <c r="AB44" s="9">
        <f t="shared" ref="AB44:AB75" si="20">AA44</f>
        <v>199177.92214803232</v>
      </c>
      <c r="AC44" s="8">
        <f>+MINVU_Mes_Corriente!AC44*SALUD_Mes_Constante!$AC$1</f>
        <v>0</v>
      </c>
      <c r="AD44" s="8">
        <f>+MINVU_Mes_Corriente!AD44*SALUD_Mes_Constante!$AC$1</f>
        <v>0</v>
      </c>
      <c r="AE44" s="8">
        <f>+MINVU_Mes_Corriente!AE44*SALUD_Mes_Constante!$AC$1</f>
        <v>0</v>
      </c>
      <c r="AF44" s="8">
        <f>+MINVU_Mes_Corriente!AF44*SALUD_Mes_Constante!$AC$1</f>
        <v>0</v>
      </c>
      <c r="AG44" s="8">
        <f>+MINVU_Mes_Corriente!AG44*SALUD_Mes_Constante!$AC$1</f>
        <v>0</v>
      </c>
      <c r="AH44" s="8">
        <f>+MINVU_Mes_Corriente!AH44*SALUD_Mes_Constante!$AC$1</f>
        <v>0</v>
      </c>
      <c r="AI44" s="8">
        <f>+MINVU_Mes_Corriente!AI44*SALUD_Mes_Constante!$AC$1</f>
        <v>0</v>
      </c>
      <c r="AJ44" s="8">
        <f>+MINVU_Mes_Corriente!AJ44*SALUD_Mes_Constante!$AC$1</f>
        <v>0</v>
      </c>
      <c r="AK44" s="8">
        <f>+MINVU_Mes_Corriente!AK44*SALUD_Mes_Constante!$AC$1</f>
        <v>120548.73896804538</v>
      </c>
      <c r="AL44" s="8">
        <f>+MINVU_Mes_Corriente!AL44*SALUD_Mes_Constante!$AC$1</f>
        <v>120548.73896804538</v>
      </c>
      <c r="AM44" s="8">
        <f>+MINVU_Mes_Corriente!AM44*SALUD_Mes_Constante!$AC$1</f>
        <v>120548.73896804538</v>
      </c>
      <c r="AN44" s="8">
        <f>+MINVU_Mes_Corriente!AN44*SALUD_Mes_Constante!$AC$1</f>
        <v>120548.73896804538</v>
      </c>
      <c r="AO44" s="9">
        <f t="shared" ref="AO44:AO75" si="21">AN44</f>
        <v>120548.73896804538</v>
      </c>
      <c r="AP44" s="8">
        <f>+MINVU_Mes_Corriente!AP44*SALUD_Mes_Constante!$AP$1</f>
        <v>350796.57297443523</v>
      </c>
      <c r="AQ44" s="8">
        <f>+MINVU_Mes_Corriente!AQ44*SALUD_Mes_Constante!$AP$1</f>
        <v>350796.57297443523</v>
      </c>
      <c r="AR44" s="8">
        <f>+MINVU_Mes_Corriente!AR44*SALUD_Mes_Constante!$AP$1</f>
        <v>350796.57297443523</v>
      </c>
      <c r="AS44" s="8">
        <f>+MINVU_Mes_Corriente!AS44*SALUD_Mes_Constante!$AP$1</f>
        <v>350796.57297443523</v>
      </c>
      <c r="AT44" s="8">
        <f>+MINVU_Mes_Corriente!AT44*SALUD_Mes_Constante!$AP$1</f>
        <v>350796.57297443523</v>
      </c>
      <c r="AU44" s="8">
        <f>+MINVU_Mes_Corriente!AU44*SALUD_Mes_Constante!$AP$1</f>
        <v>350796.57297443523</v>
      </c>
      <c r="AV44" s="8">
        <f>+MINVU_Mes_Corriente!AV44*SALUD_Mes_Constante!$AP$1</f>
        <v>350796.57297443523</v>
      </c>
      <c r="AW44" s="8">
        <f>+MINVU_Mes_Corriente!AW44*SALUD_Mes_Constante!$AP$1</f>
        <v>350796.57297443523</v>
      </c>
      <c r="AX44" s="8">
        <f>+MINVU_Mes_Corriente!AX44*SALUD_Mes_Constante!$AP$1</f>
        <v>350796.57297443523</v>
      </c>
      <c r="AY44" s="8">
        <f>+MINVU_Mes_Corriente!AY44*SALUD_Mes_Constante!$AP$1</f>
        <v>350796.57297443523</v>
      </c>
      <c r="AZ44" s="8">
        <f>+MINVU_Mes_Corriente!AZ44*SALUD_Mes_Constante!$AP$1</f>
        <v>350796.57297443523</v>
      </c>
      <c r="BA44" s="8">
        <f>+MINVU_Mes_Corriente!BA44*SALUD_Mes_Constante!$AP$1</f>
        <v>350798.05085892056</v>
      </c>
      <c r="BB44" s="9">
        <f t="shared" ref="BB44:BB75" si="22">BA44</f>
        <v>350798.05085892056</v>
      </c>
      <c r="BC44" s="8">
        <f>+MINVU_Mes_Corriente!BC44*SALUD_Mes_Constante!$BC$1</f>
        <v>0</v>
      </c>
      <c r="BD44" s="8">
        <f>+MINVU_Mes_Corriente!BD44*SALUD_Mes_Constante!$BC$1</f>
        <v>0</v>
      </c>
      <c r="BE44" s="8">
        <f>+MINVU_Mes_Corriente!BE44*SALUD_Mes_Constante!$BC$1</f>
        <v>0</v>
      </c>
      <c r="BF44" s="8">
        <f>+MINVU_Mes_Corriente!BF44*SALUD_Mes_Constante!$BC$1</f>
        <v>0</v>
      </c>
      <c r="BG44" s="8">
        <f>+MINVU_Mes_Corriente!BG44*SALUD_Mes_Constante!$BC$1</f>
        <v>0</v>
      </c>
      <c r="BH44" s="8">
        <f>+MINVU_Mes_Corriente!BH44*SALUD_Mes_Constante!$BC$1</f>
        <v>0</v>
      </c>
      <c r="BI44" s="8">
        <f>+MINVU_Mes_Corriente!BI44*SALUD_Mes_Constante!$BC$1</f>
        <v>0</v>
      </c>
      <c r="BJ44" s="8">
        <f>+MINVU_Mes_Corriente!BJ44*SALUD_Mes_Constante!$BC$1</f>
        <v>0</v>
      </c>
      <c r="BK44" s="8">
        <f>+MINVU_Mes_Corriente!BK44*SALUD_Mes_Constante!$BC$1</f>
        <v>0</v>
      </c>
      <c r="BL44" s="8">
        <f>+MINVU_Mes_Corriente!BL44*SALUD_Mes_Constante!$BC$1</f>
        <v>0</v>
      </c>
      <c r="BM44" s="8">
        <f>+MINVU_Mes_Corriente!BM44*SALUD_Mes_Constante!$BC$1</f>
        <v>0</v>
      </c>
      <c r="BN44" s="8">
        <f>+MINVU_Mes_Corriente!BN44*SALUD_Mes_Constante!$BC$1</f>
        <v>0</v>
      </c>
      <c r="BO44" s="9">
        <f t="shared" ref="BO44:BO75" si="23">BN44</f>
        <v>0</v>
      </c>
      <c r="BP44" s="8">
        <f>+MINVU_Mes_Corriente!BP44*SALUD_Mes_Constante!$BP$1</f>
        <v>0</v>
      </c>
      <c r="BQ44" s="8">
        <f>+MINVU_Mes_Corriente!BQ44*SALUD_Mes_Constante!$BP$1</f>
        <v>0</v>
      </c>
      <c r="BR44" s="8">
        <f>+MINVU_Mes_Corriente!BR44*SALUD_Mes_Constante!$BP$1</f>
        <v>0</v>
      </c>
      <c r="BS44" s="8">
        <f>+MINVU_Mes_Corriente!BS44*SALUD_Mes_Constante!$BP$1</f>
        <v>0</v>
      </c>
      <c r="BT44" s="8">
        <f>+MINVU_Mes_Corriente!BT44*SALUD_Mes_Constante!$BP$1</f>
        <v>0</v>
      </c>
      <c r="BU44" s="8">
        <f>+MINVU_Mes_Corriente!BU44*SALUD_Mes_Constante!$BP$1</f>
        <v>0</v>
      </c>
      <c r="BV44" s="8">
        <f>+MINVU_Mes_Corriente!BV44*SALUD_Mes_Constante!$BP$1</f>
        <v>0</v>
      </c>
      <c r="BW44" s="8">
        <f>+MINVU_Mes_Corriente!BW44*SALUD_Mes_Constante!$BP$1</f>
        <v>0</v>
      </c>
      <c r="BX44" s="8">
        <f>+MINVU_Mes_Corriente!BX44*SALUD_Mes_Constante!$BP$1</f>
        <v>0</v>
      </c>
      <c r="BY44" s="8">
        <f>+MINVU_Mes_Corriente!BY44*SALUD_Mes_Constante!$BP$1</f>
        <v>0</v>
      </c>
      <c r="BZ44" s="8">
        <f>+MINVU_Mes_Corriente!BZ44*SALUD_Mes_Constante!$BP$1</f>
        <v>0</v>
      </c>
      <c r="CA44" s="8">
        <f>+MINVU_Mes_Corriente!CA44*SALUD_Mes_Constante!$BP$1</f>
        <v>0</v>
      </c>
      <c r="CB44" s="9">
        <f t="shared" ref="CB44:CB75" si="24">CA44</f>
        <v>0</v>
      </c>
      <c r="CC44" s="8">
        <f>+MINVU_Mes_Corriente!CC44*SALUD_Mes_Constante!$CC$1</f>
        <v>1393767.997016039</v>
      </c>
      <c r="CD44" s="8">
        <f>+MINVU_Mes_Corriente!CD44*SALUD_Mes_Constante!$CC$1</f>
        <v>1393767.997016039</v>
      </c>
      <c r="CE44" s="8">
        <f>+MINVU_Mes_Corriente!CE44*SALUD_Mes_Constante!$CC$1</f>
        <v>1393767.997016039</v>
      </c>
      <c r="CF44" s="8">
        <f>+MINVU_Mes_Corriente!CF44*SALUD_Mes_Constante!$CC$1</f>
        <v>1393767.997016039</v>
      </c>
      <c r="CG44" s="8">
        <f>+MINVU_Mes_Corriente!CG44*SALUD_Mes_Constante!$CC$1</f>
        <v>1393767.997016039</v>
      </c>
      <c r="CH44" s="8">
        <f>+MINVU_Mes_Corriente!CH44*SALUD_Mes_Constante!$CC$1</f>
        <v>1393767.997016039</v>
      </c>
      <c r="CI44" s="8">
        <f>+MINVU_Mes_Corriente!CI44*SALUD_Mes_Constante!$CC$1</f>
        <v>1393767.997016039</v>
      </c>
      <c r="CJ44" s="8">
        <f>+MINVU_Mes_Corriente!CJ44*SALUD_Mes_Constante!$CC$1</f>
        <v>1393767.997016039</v>
      </c>
      <c r="CK44" s="8">
        <f>+MINVU_Mes_Corriente!CK44*SALUD_Mes_Constante!$CC$1</f>
        <v>1393767.997016039</v>
      </c>
      <c r="CL44" s="8">
        <f>+MINVU_Mes_Corriente!CL44*SALUD_Mes_Constante!$CC$1</f>
        <v>1393767.997016039</v>
      </c>
      <c r="CM44" s="8">
        <f>+MINVU_Mes_Corriente!CM44*SALUD_Mes_Constante!$CC$1</f>
        <v>1393767.997016039</v>
      </c>
      <c r="CN44" s="8">
        <f>+MINVU_Mes_Corriente!CN44*SALUD_Mes_Constante!$CC$1</f>
        <v>13584.483401715779</v>
      </c>
      <c r="CO44" s="9">
        <f t="shared" ref="CO44:CO75" si="25">CN44</f>
        <v>13584.483401715779</v>
      </c>
      <c r="CP44" s="8">
        <f>+MINVU_Mes_Corriente!CP44*SALUD_Mes_Constante!$CP$1</f>
        <v>1014780.7691415311</v>
      </c>
      <c r="CQ44" s="8">
        <f>+MINVU_Mes_Corriente!CQ44*SALUD_Mes_Constante!$CP$1</f>
        <v>1014780.7691415311</v>
      </c>
      <c r="CR44" s="8">
        <f>+MINVU_Mes_Corriente!CR44*SALUD_Mes_Constante!$CP$1</f>
        <v>1014780.7691415311</v>
      </c>
      <c r="CS44" s="8">
        <f>+MINVU_Mes_Corriente!CS44*SALUD_Mes_Constante!$CP$1</f>
        <v>1014780.7691415311</v>
      </c>
      <c r="CT44" s="8">
        <f>+MINVU_Mes_Corriente!CT44*SALUD_Mes_Constante!$CP$1</f>
        <v>1014780.7691415311</v>
      </c>
      <c r="CU44" s="8">
        <f>+MINVU_Mes_Corriente!CU44*SALUD_Mes_Constante!$CP$1</f>
        <v>1014780.7691415311</v>
      </c>
      <c r="CV44" s="8">
        <f>+MINVU_Mes_Corriente!CV44*SALUD_Mes_Constante!$CP$1</f>
        <v>1014780.7691415311</v>
      </c>
      <c r="CW44" s="8">
        <f>+MINVU_Mes_Corriente!CW44*SALUD_Mes_Constante!$CP$1</f>
        <v>1014780.7691415311</v>
      </c>
      <c r="CX44" s="8">
        <f>+MINVU_Mes_Corriente!CX44*SALUD_Mes_Constante!$CP$1</f>
        <v>1014780.7691415311</v>
      </c>
      <c r="CY44" s="8">
        <f>+MINVU_Mes_Corriente!CY44*SALUD_Mes_Constante!$CP$1</f>
        <v>1014780.7691415311</v>
      </c>
      <c r="CZ44" s="8">
        <f>+MINVU_Mes_Corriente!CZ44*SALUD_Mes_Constante!$CP$1</f>
        <v>1014780.7691415311</v>
      </c>
      <c r="DA44" s="8">
        <f>+MINVU_Mes_Corriente!DA44*SALUD_Mes_Constante!$CP$1</f>
        <v>7605.1044083526667</v>
      </c>
      <c r="DB44" s="9">
        <f t="shared" ref="DB44:DB75" si="26">DA44</f>
        <v>7605.1044083526667</v>
      </c>
      <c r="DC44" s="8">
        <f>+MINVU_Mes_Corriente!DC44*SALUD_Mes_Constante!$DC$1</f>
        <v>2587250.0497891176</v>
      </c>
      <c r="DD44" s="8">
        <f>+MINVU_Mes_Corriente!DD44*SALUD_Mes_Constante!$DC$1</f>
        <v>2587250.0497891176</v>
      </c>
      <c r="DE44" s="8">
        <f>+MINVU_Mes_Corriente!DE44*SALUD_Mes_Constante!$DC$1</f>
        <v>2587250.0497891176</v>
      </c>
      <c r="DF44" s="8">
        <f>+MINVU_Mes_Corriente!DF44*SALUD_Mes_Constante!$DC$1</f>
        <v>2587250.0497891176</v>
      </c>
      <c r="DG44" s="8">
        <f>+MINVU_Mes_Corriente!DG44*SALUD_Mes_Constante!$DC$1</f>
        <v>2587250.0497891176</v>
      </c>
      <c r="DH44" s="8">
        <f>+MINVU_Mes_Corriente!DH44*SALUD_Mes_Constante!$DC$1</f>
        <v>2587250.0497891176</v>
      </c>
      <c r="DI44" s="8">
        <f>+MINVU_Mes_Corriente!DI44*SALUD_Mes_Constante!$DC$1</f>
        <v>2587250.0497891176</v>
      </c>
      <c r="DJ44" s="8">
        <f>+MINVU_Mes_Corriente!DJ44*SALUD_Mes_Constante!$DC$1</f>
        <v>1020936.4098343797</v>
      </c>
      <c r="DK44" s="8">
        <f>+MINVU_Mes_Corriente!DK44*SALUD_Mes_Constante!$DC$1</f>
        <v>402759.26756506553</v>
      </c>
      <c r="DL44" s="8">
        <f>+MINVU_Mes_Corriente!DL44*SALUD_Mes_Constante!$DC$1</f>
        <v>402759.26756506553</v>
      </c>
      <c r="DM44" s="8">
        <f>+MINVU_Mes_Corriente!DM44*SALUD_Mes_Constante!$DC$1</f>
        <v>402759.26756506553</v>
      </c>
      <c r="DN44" s="8">
        <f>+MINVU_Mes_Corriente!DN44*SALUD_Mes_Constante!$DC$1</f>
        <v>223227.1379487708</v>
      </c>
      <c r="DO44" s="9">
        <f t="shared" ref="DO44:DO75" si="27">DN44</f>
        <v>223227.1379487708</v>
      </c>
      <c r="DP44" s="8">
        <f>+MINVU_Mes_Corriente!DP44*SALUD_Mes_Constante!$DP$1</f>
        <v>1432147.2933491687</v>
      </c>
      <c r="DQ44" s="8">
        <f>+MINVU_Mes_Corriente!DQ44*SALUD_Mes_Constante!$DP$1</f>
        <v>1432147.2933491687</v>
      </c>
      <c r="DR44" s="8">
        <f>+MINVU_Mes_Corriente!DR44*SALUD_Mes_Constante!$DP$1</f>
        <v>1432147.2933491687</v>
      </c>
      <c r="DS44" s="8">
        <f>+MINVU_Mes_Corriente!DS44*SALUD_Mes_Constante!$DP$1</f>
        <v>1432147.2933491687</v>
      </c>
      <c r="DT44" s="8">
        <f>+MINVU_Mes_Corriente!DT44*SALUD_Mes_Constante!$DP$1</f>
        <v>1432147.2933491687</v>
      </c>
      <c r="DU44" s="8">
        <f>+MINVU_Mes_Corriente!DU44*SALUD_Mes_Constante!$DP$1</f>
        <v>1432147.2933491687</v>
      </c>
      <c r="DV44" s="8">
        <f>+MINVU_Mes_Corriente!DV44*SALUD_Mes_Constante!$DP$1</f>
        <v>1432147.2933491687</v>
      </c>
      <c r="DW44" s="8">
        <f>+MINVU_Mes_Corriente!DW44*SALUD_Mes_Constante!$DP$1</f>
        <v>1432147.2933491687</v>
      </c>
      <c r="DX44" s="8">
        <f>+MINVU_Mes_Corriente!DX44*SALUD_Mes_Constante!$DP$1</f>
        <v>1432147.2933491687</v>
      </c>
      <c r="DY44" s="8">
        <f>+MINVU_Mes_Corriente!DY44*SALUD_Mes_Constante!$DP$1</f>
        <v>1432147.2933491687</v>
      </c>
      <c r="DZ44" s="8">
        <f>+MINVU_Mes_Corriente!DZ44*SALUD_Mes_Constante!$DP$1</f>
        <v>1432147.2933491687</v>
      </c>
      <c r="EA44" s="8">
        <f>+MINVU_Mes_Corriente!EA44*SALUD_Mes_Constante!$DP$1</f>
        <v>345454.7298099763</v>
      </c>
      <c r="EB44" s="9">
        <f t="shared" ref="EB44:EB75" si="28">EA44</f>
        <v>345454.7298099763</v>
      </c>
      <c r="EC44" s="8">
        <f>+MINVU_Mes_Corriente!EC44*SALUD_Mes_Constante!$EC$1</f>
        <v>1509834.1681499712</v>
      </c>
      <c r="ED44" s="8">
        <f>+MINVU_Mes_Corriente!ED44*SALUD_Mes_Constante!$EC$1</f>
        <v>1509834.1681499712</v>
      </c>
      <c r="EE44" s="8">
        <f>+MINVU_Mes_Corriente!EE44*SALUD_Mes_Constante!$EC$1</f>
        <v>1509834.1681499712</v>
      </c>
      <c r="EF44" s="8">
        <f>+MINVU_Mes_Corriente!EF44*SALUD_Mes_Constante!$EC$1</f>
        <v>1509834.1681499712</v>
      </c>
      <c r="EG44" s="8">
        <f>+MINVU_Mes_Corriente!EG44*SALUD_Mes_Constante!$EC$1</f>
        <v>1509834.1681499712</v>
      </c>
      <c r="EH44" s="8">
        <f>+MINVU_Mes_Corriente!EH44*SALUD_Mes_Constante!$EC$1</f>
        <v>965395.16739253898</v>
      </c>
      <c r="EI44" s="8">
        <f>+MINVU_Mes_Corriente!EI44*SALUD_Mes_Constante!$EC$1</f>
        <v>965395.16739253898</v>
      </c>
      <c r="EJ44" s="8">
        <f>+MINVU_Mes_Corriente!EJ44*SALUD_Mes_Constante!$EC$1</f>
        <v>965395.16739253898</v>
      </c>
      <c r="EK44" s="8">
        <f>+MINVU_Mes_Corriente!EK44*SALUD_Mes_Constante!$EC$1</f>
        <v>965395.16739253898</v>
      </c>
      <c r="EL44" s="8">
        <f>+MINVU_Mes_Corriente!EL44*SALUD_Mes_Constante!$EC$1</f>
        <v>965395.16739253898</v>
      </c>
      <c r="EM44" s="8">
        <f>+MINVU_Mes_Corriente!EM44*SALUD_Mes_Constante!$EC$1</f>
        <v>920781.87426623714</v>
      </c>
      <c r="EN44" s="8">
        <f>+MINVU_Mes_Corriente!EN44*SALUD_Mes_Constante!$EC$1</f>
        <v>815311.11285741313</v>
      </c>
      <c r="EO44" s="9">
        <f t="shared" ref="EO44:EO75" si="29">EN44</f>
        <v>815311.11285741313</v>
      </c>
      <c r="EP44" s="8">
        <f>+MINVU_Mes_Corriente!EP44*SALUD_Mes_Constante!$EP$1</f>
        <v>781455</v>
      </c>
      <c r="EQ44" s="8">
        <f>+MINVU_Mes_Corriente!EQ44*SALUD_Mes_Constante!$EP$1</f>
        <v>781455</v>
      </c>
      <c r="ER44" s="8">
        <f>+MINVU_Mes_Corriente!ER44*SALUD_Mes_Constante!$EP$1</f>
        <v>781455</v>
      </c>
      <c r="ES44" s="8">
        <f>+MINVU_Mes_Corriente!ES44*SALUD_Mes_Constante!$EP$1</f>
        <v>781455</v>
      </c>
      <c r="ET44" s="8">
        <f>+MINVU_Mes_Corriente!ET44*SALUD_Mes_Constante!$EP$1</f>
        <v>781455</v>
      </c>
      <c r="EU44" s="8">
        <f>+MINVU_Mes_Corriente!EU44*SALUD_Mes_Constante!$EP$1</f>
        <v>781455</v>
      </c>
      <c r="EV44" s="8">
        <f>+MINVU_Mes_Corriente!EV44*SALUD_Mes_Constante!$EP$1</f>
        <v>781455</v>
      </c>
      <c r="EW44" s="8">
        <f>+MINVU_Mes_Corriente!EW44*SALUD_Mes_Constante!$EP$1</f>
        <v>781455</v>
      </c>
      <c r="EX44" s="8">
        <f>+MINVU_Mes_Corriente!EX44*SALUD_Mes_Constante!$EP$1</f>
        <v>781455</v>
      </c>
      <c r="EY44" s="8">
        <f>+MINVU_Mes_Corriente!EY44*SALUD_Mes_Constante!$EP$1</f>
        <v>781455</v>
      </c>
      <c r="EZ44" s="8">
        <f>+MINVU_Mes_Corriente!EZ44*SALUD_Mes_Constante!$EP$1</f>
        <v>781455</v>
      </c>
      <c r="FA44" s="8">
        <f>+MINVU_Mes_Corriente!FA44*SALUD_Mes_Constante!$EP$1</f>
        <v>707580</v>
      </c>
      <c r="FB44" s="9">
        <f t="shared" ref="FB44:FB75" si="30">FA44</f>
        <v>707580</v>
      </c>
      <c r="FC44" s="8">
        <f>+MINVU_Mes_Corriente!FC44*SALUD_Mes_Constante!$FC$1</f>
        <v>657325</v>
      </c>
      <c r="FD44" s="8">
        <f>+MINVU_Mes_Corriente!FD44*SALUD_Mes_Constante!$FC$1</f>
        <v>657325</v>
      </c>
      <c r="FE44" s="8">
        <f>+MINVU_Mes_Corriente!FE44*SALUD_Mes_Constante!$FC$1</f>
        <v>657325</v>
      </c>
      <c r="FF44" s="8">
        <f>+MINVU_Mes_Corriente!FF44*SALUD_Mes_Constante!$FC$1</f>
        <v>657325</v>
      </c>
      <c r="FG44" s="8">
        <f>+MINVU_Mes_Corriente!FG44*SALUD_Mes_Constante!$FC$1</f>
        <v>657325</v>
      </c>
      <c r="FH44" s="8">
        <f>+MINVU_Mes_Corriente!FH44*SALUD_Mes_Constante!$FC$1</f>
        <v>657325</v>
      </c>
      <c r="FI44" s="8">
        <f>+MINVU_Mes_Corriente!FI44*SALUD_Mes_Constante!$FC$1</f>
        <v>657325</v>
      </c>
      <c r="FJ44" s="8"/>
      <c r="FK44" s="8"/>
      <c r="FL44" s="8"/>
      <c r="FM44" s="8"/>
      <c r="FN44" s="8"/>
      <c r="FO44" s="9">
        <f t="shared" ref="FO44:FO75" si="31">FI44</f>
        <v>657325</v>
      </c>
    </row>
    <row r="45" spans="2:171" ht="14.25" customHeight="1" x14ac:dyDescent="0.3">
      <c r="B45" s="7" t="s">
        <v>44</v>
      </c>
      <c r="C45" s="8">
        <f>+MINVU_Mes_Corriente!C45*SALUD_Mes_Constante!$C$1</f>
        <v>0</v>
      </c>
      <c r="D45" s="8">
        <f>+MINVU_Mes_Corriente!D45*SALUD_Mes_Constante!$C$1</f>
        <v>1216285.9495773397</v>
      </c>
      <c r="E45" s="8">
        <f>+MINVU_Mes_Corriente!E45*SALUD_Mes_Constante!$C$1</f>
        <v>1216285.9495773397</v>
      </c>
      <c r="F45" s="8">
        <f>+MINVU_Mes_Corriente!F45*SALUD_Mes_Constante!$C$1</f>
        <v>1216285.9495773397</v>
      </c>
      <c r="G45" s="8">
        <f>+MINVU_Mes_Corriente!G45*SALUD_Mes_Constante!$C$1</f>
        <v>1216285.9495773397</v>
      </c>
      <c r="H45" s="8">
        <f>+MINVU_Mes_Corriente!H45*SALUD_Mes_Constante!$C$1</f>
        <v>1216285.9495773397</v>
      </c>
      <c r="I45" s="8">
        <f>+MINVU_Mes_Corriente!I45*SALUD_Mes_Constante!$C$1</f>
        <v>1216285.9495773397</v>
      </c>
      <c r="J45" s="8">
        <f>+MINVU_Mes_Corriente!J45*SALUD_Mes_Constante!$C$1</f>
        <v>1216285.9495773397</v>
      </c>
      <c r="K45" s="8">
        <f>+MINVU_Mes_Corriente!K45*SALUD_Mes_Constante!$C$1</f>
        <v>1340950.5887587129</v>
      </c>
      <c r="L45" s="8">
        <f>+MINVU_Mes_Corriente!L45*SALUD_Mes_Constante!$C$1</f>
        <v>1340950.5887587129</v>
      </c>
      <c r="M45" s="8">
        <f>+MINVU_Mes_Corriente!M45*SALUD_Mes_Constante!$C$1</f>
        <v>2409806.0234317072</v>
      </c>
      <c r="N45" s="8">
        <f>+MINVU_Mes_Corriente!N45*SALUD_Mes_Constante!$C$1</f>
        <v>2409806.0234317072</v>
      </c>
      <c r="O45" s="9">
        <f t="shared" si="19"/>
        <v>2409806.0234317072</v>
      </c>
      <c r="P45" s="8">
        <f>+MINVU_Mes_Corriente!P45*SALUD_Mes_Constante!$P$1</f>
        <v>0</v>
      </c>
      <c r="Q45" s="8">
        <f>+MINVU_Mes_Corriente!Q45*SALUD_Mes_Constante!$P$1</f>
        <v>5509553.8559454447</v>
      </c>
      <c r="R45" s="8">
        <f>+MINVU_Mes_Corriente!R45*SALUD_Mes_Constante!$P$1</f>
        <v>5509553.8559454447</v>
      </c>
      <c r="S45" s="8">
        <f>+MINVU_Mes_Corriente!S45*SALUD_Mes_Constante!$P$1</f>
        <v>5509553.8559454447</v>
      </c>
      <c r="T45" s="8">
        <f>+MINVU_Mes_Corriente!T45*SALUD_Mes_Constante!$P$1</f>
        <v>5509553.8559454447</v>
      </c>
      <c r="U45" s="8">
        <f>+MINVU_Mes_Corriente!U45*SALUD_Mes_Constante!$P$1</f>
        <v>5879813.1629492808</v>
      </c>
      <c r="V45" s="8">
        <f>+MINVU_Mes_Corriente!V45*SALUD_Mes_Constante!$P$1</f>
        <v>6845606.9910498625</v>
      </c>
      <c r="W45" s="8">
        <f>+MINVU_Mes_Corriente!W45*SALUD_Mes_Constante!$P$1</f>
        <v>6166731.2578491243</v>
      </c>
      <c r="X45" s="8">
        <f>+MINVU_Mes_Corriente!X45*SALUD_Mes_Constante!$P$1</f>
        <v>6166731.2578491243</v>
      </c>
      <c r="Y45" s="8">
        <f>+MINVU_Mes_Corriente!Y45*SALUD_Mes_Constante!$P$1</f>
        <v>2990717.3709333702</v>
      </c>
      <c r="Z45" s="8">
        <f>+MINVU_Mes_Corriente!Z45*SALUD_Mes_Constante!$P$1</f>
        <v>2990717.3709333702</v>
      </c>
      <c r="AA45" s="8">
        <f>+MINVU_Mes_Corriente!AA45*SALUD_Mes_Constante!$P$1</f>
        <v>2180911.2461997434</v>
      </c>
      <c r="AB45" s="9">
        <f t="shared" si="20"/>
        <v>2180911.2461997434</v>
      </c>
      <c r="AC45" s="8">
        <f>+MINVU_Mes_Corriente!AC45*SALUD_Mes_Constante!$AC$1</f>
        <v>0</v>
      </c>
      <c r="AD45" s="8">
        <f>+MINVU_Mes_Corriente!AD45*SALUD_Mes_Constante!$AC$1</f>
        <v>4908553.4873426473</v>
      </c>
      <c r="AE45" s="8">
        <f>+MINVU_Mes_Corriente!AE45*SALUD_Mes_Constante!$AC$1</f>
        <v>4908553.4873426473</v>
      </c>
      <c r="AF45" s="8">
        <f>+MINVU_Mes_Corriente!AF45*SALUD_Mes_Constante!$AC$1</f>
        <v>4908553.4873426473</v>
      </c>
      <c r="AG45" s="8">
        <f>+MINVU_Mes_Corriente!AG45*SALUD_Mes_Constante!$AC$1</f>
        <v>4908553.4873426473</v>
      </c>
      <c r="AH45" s="8">
        <f>+MINVU_Mes_Corriente!AH45*SALUD_Mes_Constante!$AC$1</f>
        <v>4908553.4873426473</v>
      </c>
      <c r="AI45" s="8">
        <f>+MINVU_Mes_Corriente!AI45*SALUD_Mes_Constante!$AC$1</f>
        <v>4908553.4873426473</v>
      </c>
      <c r="AJ45" s="8">
        <f>+MINVU_Mes_Corriente!AJ45*SALUD_Mes_Constante!$AC$1</f>
        <v>4908553.4873426473</v>
      </c>
      <c r="AK45" s="8">
        <f>+MINVU_Mes_Corriente!AK45*SALUD_Mes_Constante!$AC$1</f>
        <v>4908553.4873426473</v>
      </c>
      <c r="AL45" s="8">
        <f>+MINVU_Mes_Corriente!AL45*SALUD_Mes_Constante!$AC$1</f>
        <v>4908553.4873426473</v>
      </c>
      <c r="AM45" s="8">
        <f>+MINVU_Mes_Corriente!AM45*SALUD_Mes_Constante!$AC$1</f>
        <v>4908553.4873426473</v>
      </c>
      <c r="AN45" s="8">
        <f>+MINVU_Mes_Corriente!AN45*SALUD_Mes_Constante!$AC$1</f>
        <v>3302485.8981878543</v>
      </c>
      <c r="AO45" s="9">
        <f t="shared" si="21"/>
        <v>3302485.8981878543</v>
      </c>
      <c r="AP45" s="8">
        <f>+MINVU_Mes_Corriente!AP45*SALUD_Mes_Constante!$AP$1</f>
        <v>0</v>
      </c>
      <c r="AQ45" s="8">
        <f>+MINVU_Mes_Corriente!AQ45*SALUD_Mes_Constante!$AP$1</f>
        <v>0</v>
      </c>
      <c r="AR45" s="8">
        <f>+MINVU_Mes_Corriente!AR45*SALUD_Mes_Constante!$AP$1</f>
        <v>8024164.9457595013</v>
      </c>
      <c r="AS45" s="8">
        <f>+MINVU_Mes_Corriente!AS45*SALUD_Mes_Constante!$AP$1</f>
        <v>8024164.9457595013</v>
      </c>
      <c r="AT45" s="8">
        <f>+MINVU_Mes_Corriente!AT45*SALUD_Mes_Constante!$AP$1</f>
        <v>8024164.9457595013</v>
      </c>
      <c r="AU45" s="8">
        <f>+MINVU_Mes_Corriente!AU45*SALUD_Mes_Constante!$AP$1</f>
        <v>8024164.9457595013</v>
      </c>
      <c r="AV45" s="8">
        <f>+MINVU_Mes_Corriente!AV45*SALUD_Mes_Constante!$AP$1</f>
        <v>8024164.9457595013</v>
      </c>
      <c r="AW45" s="8">
        <f>+MINVU_Mes_Corriente!AW45*SALUD_Mes_Constante!$AP$1</f>
        <v>8024164.9457595013</v>
      </c>
      <c r="AX45" s="8">
        <f>+MINVU_Mes_Corriente!AX45*SALUD_Mes_Constante!$AP$1</f>
        <v>7563636.9276342485</v>
      </c>
      <c r="AY45" s="8">
        <f>+MINVU_Mes_Corriente!AY45*SALUD_Mes_Constante!$AP$1</f>
        <v>7563636.9276342485</v>
      </c>
      <c r="AZ45" s="8">
        <f>+MINVU_Mes_Corriente!AZ45*SALUD_Mes_Constante!$AP$1</f>
        <v>7563636.9276342485</v>
      </c>
      <c r="BA45" s="8">
        <f>+MINVU_Mes_Corriente!BA45*SALUD_Mes_Constante!$AP$1</f>
        <v>7563636.9276342485</v>
      </c>
      <c r="BB45" s="9">
        <f t="shared" si="22"/>
        <v>7563636.9276342485</v>
      </c>
      <c r="BC45" s="8">
        <f>+MINVU_Mes_Corriente!BC45*SALUD_Mes_Constante!$BC$1</f>
        <v>0</v>
      </c>
      <c r="BD45" s="8">
        <f>+MINVU_Mes_Corriente!BD45*SALUD_Mes_Constante!$BC$1</f>
        <v>0</v>
      </c>
      <c r="BE45" s="8">
        <f>+MINVU_Mes_Corriente!BE45*SALUD_Mes_Constante!$BC$1</f>
        <v>10213240.956349732</v>
      </c>
      <c r="BF45" s="8">
        <f>+MINVU_Mes_Corriente!BF45*SALUD_Mes_Constante!$BC$1</f>
        <v>10213240.956349732</v>
      </c>
      <c r="BG45" s="8">
        <f>+MINVU_Mes_Corriente!BG45*SALUD_Mes_Constante!$BC$1</f>
        <v>10213240.956349732</v>
      </c>
      <c r="BH45" s="8">
        <f>+MINVU_Mes_Corriente!BH45*SALUD_Mes_Constante!$BC$1</f>
        <v>10213240.956349732</v>
      </c>
      <c r="BI45" s="8">
        <f>+MINVU_Mes_Corriente!BI45*SALUD_Mes_Constante!$BC$1</f>
        <v>5178317.400237374</v>
      </c>
      <c r="BJ45" s="8">
        <f>+MINVU_Mes_Corriente!BJ45*SALUD_Mes_Constante!$BC$1</f>
        <v>5178317.400237374</v>
      </c>
      <c r="BK45" s="8">
        <f>+MINVU_Mes_Corriente!BK45*SALUD_Mes_Constante!$BC$1</f>
        <v>5178317.400237374</v>
      </c>
      <c r="BL45" s="8">
        <f>+MINVU_Mes_Corriente!BL45*SALUD_Mes_Constante!$BC$1</f>
        <v>5178317.400237374</v>
      </c>
      <c r="BM45" s="8">
        <f>+MINVU_Mes_Corriente!BM45*SALUD_Mes_Constante!$BC$1</f>
        <v>5395811.511802718</v>
      </c>
      <c r="BN45" s="8">
        <f>+MINVU_Mes_Corriente!BN45*SALUD_Mes_Constante!$BC$1</f>
        <v>3778898.9521297649</v>
      </c>
      <c r="BO45" s="9">
        <f t="shared" si="23"/>
        <v>3778898.9521297649</v>
      </c>
      <c r="BP45" s="8">
        <f>+MINVU_Mes_Corriente!BP45*SALUD_Mes_Constante!$BP$1</f>
        <v>0</v>
      </c>
      <c r="BQ45" s="8">
        <f>+MINVU_Mes_Corriente!BQ45*SALUD_Mes_Constante!$BP$1</f>
        <v>0</v>
      </c>
      <c r="BR45" s="8">
        <f>+MINVU_Mes_Corriente!BR45*SALUD_Mes_Constante!$BP$1</f>
        <v>0</v>
      </c>
      <c r="BS45" s="8">
        <f>+MINVU_Mes_Corriente!BS45*SALUD_Mes_Constante!$BP$1</f>
        <v>3112740.4563380284</v>
      </c>
      <c r="BT45" s="8">
        <f>+MINVU_Mes_Corriente!BT45*SALUD_Mes_Constante!$BP$1</f>
        <v>3112740.4563380284</v>
      </c>
      <c r="BU45" s="8">
        <f>+MINVU_Mes_Corriente!BU45*SALUD_Mes_Constante!$BP$1</f>
        <v>3112740.4563380284</v>
      </c>
      <c r="BV45" s="8">
        <f>+MINVU_Mes_Corriente!BV45*SALUD_Mes_Constante!$BP$1</f>
        <v>3112740.4563380284</v>
      </c>
      <c r="BW45" s="8">
        <f>+MINVU_Mes_Corriente!BW45*SALUD_Mes_Constante!$BP$1</f>
        <v>2309083.4927016646</v>
      </c>
      <c r="BX45" s="8">
        <f>+MINVU_Mes_Corriente!BX45*SALUD_Mes_Constante!$BP$1</f>
        <v>2309083.4927016646</v>
      </c>
      <c r="BY45" s="8">
        <f>+MINVU_Mes_Corriente!BY45*SALUD_Mes_Constante!$BP$1</f>
        <v>2309083.4927016646</v>
      </c>
      <c r="BZ45" s="8">
        <f>+MINVU_Mes_Corriente!BZ45*SALUD_Mes_Constante!$BP$1</f>
        <v>2309083.4927016646</v>
      </c>
      <c r="CA45" s="8">
        <f>+MINVU_Mes_Corriente!CA45*SALUD_Mes_Constante!$BP$1</f>
        <v>1907655.8174135725</v>
      </c>
      <c r="CB45" s="9">
        <f t="shared" si="24"/>
        <v>1907655.8174135725</v>
      </c>
      <c r="CC45" s="8">
        <f>+MINVU_Mes_Corriente!CC45*SALUD_Mes_Constante!$CC$1</f>
        <v>0</v>
      </c>
      <c r="CD45" s="8">
        <f>+MINVU_Mes_Corriente!CD45*SALUD_Mes_Constante!$CC$1</f>
        <v>0</v>
      </c>
      <c r="CE45" s="8">
        <f>+MINVU_Mes_Corriente!CE45*SALUD_Mes_Constante!$CC$1</f>
        <v>1090952.202163372</v>
      </c>
      <c r="CF45" s="8">
        <f>+MINVU_Mes_Corriente!CF45*SALUD_Mes_Constante!$CC$1</f>
        <v>1090952.202163372</v>
      </c>
      <c r="CG45" s="8">
        <f>+MINVU_Mes_Corriente!CG45*SALUD_Mes_Constante!$CC$1</f>
        <v>1090952.202163372</v>
      </c>
      <c r="CH45" s="8">
        <f>+MINVU_Mes_Corriente!CH45*SALUD_Mes_Constante!$CC$1</f>
        <v>1675084.9884371504</v>
      </c>
      <c r="CI45" s="8">
        <f>+MINVU_Mes_Corriente!CI45*SALUD_Mes_Constante!$CC$1</f>
        <v>1675084.9884371504</v>
      </c>
      <c r="CJ45" s="8">
        <f>+MINVU_Mes_Corriente!CJ45*SALUD_Mes_Constante!$CC$1</f>
        <v>1675084.9884371504</v>
      </c>
      <c r="CK45" s="8">
        <f>+MINVU_Mes_Corriente!CK45*SALUD_Mes_Constante!$CC$1</f>
        <v>1675084.9884371504</v>
      </c>
      <c r="CL45" s="8">
        <f>+MINVU_Mes_Corriente!CL45*SALUD_Mes_Constante!$CC$1</f>
        <v>1675084.9884371504</v>
      </c>
      <c r="CM45" s="8">
        <f>+MINVU_Mes_Corriente!CM45*SALUD_Mes_Constante!$CC$1</f>
        <v>1675084.9884371504</v>
      </c>
      <c r="CN45" s="8">
        <f>+MINVU_Mes_Corriente!CN45*SALUD_Mes_Constante!$CC$1</f>
        <v>1675084.9884371504</v>
      </c>
      <c r="CO45" s="9">
        <f t="shared" si="25"/>
        <v>1675084.9884371504</v>
      </c>
      <c r="CP45" s="8">
        <f>+MINVU_Mes_Corriente!CP45*SALUD_Mes_Constante!$CP$1</f>
        <v>0</v>
      </c>
      <c r="CQ45" s="8">
        <f>+MINVU_Mes_Corriente!CQ45*SALUD_Mes_Constante!$CP$1</f>
        <v>3372806.7668213448</v>
      </c>
      <c r="CR45" s="8">
        <f>+MINVU_Mes_Corriente!CR45*SALUD_Mes_Constante!$CP$1</f>
        <v>3372806.7668213448</v>
      </c>
      <c r="CS45" s="8">
        <f>+MINVU_Mes_Corriente!CS45*SALUD_Mes_Constante!$CP$1</f>
        <v>3372806.7668213448</v>
      </c>
      <c r="CT45" s="8">
        <f>+MINVU_Mes_Corriente!CT45*SALUD_Mes_Constante!$CP$1</f>
        <v>3372806.7668213448</v>
      </c>
      <c r="CU45" s="8">
        <f>+MINVU_Mes_Corriente!CU45*SALUD_Mes_Constante!$CP$1</f>
        <v>3372806.7668213448</v>
      </c>
      <c r="CV45" s="8">
        <f>+MINVU_Mes_Corriente!CV45*SALUD_Mes_Constante!$CP$1</f>
        <v>3372806.7668213448</v>
      </c>
      <c r="CW45" s="8">
        <f>+MINVU_Mes_Corriente!CW45*SALUD_Mes_Constante!$CP$1</f>
        <v>3372806.7668213448</v>
      </c>
      <c r="CX45" s="8">
        <f>+MINVU_Mes_Corriente!CX45*SALUD_Mes_Constante!$CP$1</f>
        <v>3372806.7668213448</v>
      </c>
      <c r="CY45" s="8">
        <f>+MINVU_Mes_Corriente!CY45*SALUD_Mes_Constante!$CP$1</f>
        <v>3372806.7668213448</v>
      </c>
      <c r="CZ45" s="8">
        <f>+MINVU_Mes_Corriente!CZ45*SALUD_Mes_Constante!$CP$1</f>
        <v>2767701.5645011594</v>
      </c>
      <c r="DA45" s="8">
        <f>+MINVU_Mes_Corriente!DA45*SALUD_Mes_Constante!$CP$1</f>
        <v>2767701.5645011594</v>
      </c>
      <c r="DB45" s="9">
        <f t="shared" si="26"/>
        <v>2767701.5645011594</v>
      </c>
      <c r="DC45" s="8">
        <f>+MINVU_Mes_Corriente!DC45*SALUD_Mes_Constante!$DC$1</f>
        <v>0</v>
      </c>
      <c r="DD45" s="8">
        <f>+MINVU_Mes_Corriente!DD45*SALUD_Mes_Constante!$DC$1</f>
        <v>6487183.5257689571</v>
      </c>
      <c r="DE45" s="8">
        <f>+MINVU_Mes_Corriente!DE45*SALUD_Mes_Constante!$DC$1</f>
        <v>6487183.5257689571</v>
      </c>
      <c r="DF45" s="8">
        <f>+MINVU_Mes_Corriente!DF45*SALUD_Mes_Constante!$DC$1</f>
        <v>6487183.5257689571</v>
      </c>
      <c r="DG45" s="8">
        <f>+MINVU_Mes_Corriente!DG45*SALUD_Mes_Constante!$DC$1</f>
        <v>6487183.5257689571</v>
      </c>
      <c r="DH45" s="8">
        <f>+MINVU_Mes_Corriente!DH45*SALUD_Mes_Constante!$DC$1</f>
        <v>6487183.5257689571</v>
      </c>
      <c r="DI45" s="8">
        <f>+MINVU_Mes_Corriente!DI45*SALUD_Mes_Constante!$DC$1</f>
        <v>6487183.5257689571</v>
      </c>
      <c r="DJ45" s="8">
        <f>+MINVU_Mes_Corriente!DJ45*SALUD_Mes_Constante!$DC$1</f>
        <v>6487183.5257689571</v>
      </c>
      <c r="DK45" s="8">
        <f>+MINVU_Mes_Corriente!DK45*SALUD_Mes_Constante!$DC$1</f>
        <v>4497528.6912869066</v>
      </c>
      <c r="DL45" s="8">
        <f>+MINVU_Mes_Corriente!DL45*SALUD_Mes_Constante!$DC$1</f>
        <v>4497528.6912869066</v>
      </c>
      <c r="DM45" s="8">
        <f>+MINVU_Mes_Corriente!DM45*SALUD_Mes_Constante!$DC$1</f>
        <v>1918429.5881082201</v>
      </c>
      <c r="DN45" s="8">
        <f>+MINVU_Mes_Corriente!DN45*SALUD_Mes_Constante!$DC$1</f>
        <v>1918429.5881082201</v>
      </c>
      <c r="DO45" s="9">
        <f t="shared" si="27"/>
        <v>1918429.5881082201</v>
      </c>
      <c r="DP45" s="8">
        <f>+MINVU_Mes_Corriente!DP45*SALUD_Mes_Constante!$DP$1</f>
        <v>0</v>
      </c>
      <c r="DQ45" s="8">
        <f>+MINVU_Mes_Corriente!DQ45*SALUD_Mes_Constante!$DP$1</f>
        <v>4188763.9008313543</v>
      </c>
      <c r="DR45" s="8">
        <f>+MINVU_Mes_Corriente!DR45*SALUD_Mes_Constante!$DP$1</f>
        <v>4188763.9008313543</v>
      </c>
      <c r="DS45" s="8">
        <f>+MINVU_Mes_Corriente!DS45*SALUD_Mes_Constante!$DP$1</f>
        <v>4188763.9008313543</v>
      </c>
      <c r="DT45" s="8">
        <f>+MINVU_Mes_Corriente!DT45*SALUD_Mes_Constante!$DP$1</f>
        <v>4188763.9008313543</v>
      </c>
      <c r="DU45" s="8">
        <f>+MINVU_Mes_Corriente!DU45*SALUD_Mes_Constante!$DP$1</f>
        <v>4796818.9418052258</v>
      </c>
      <c r="DV45" s="8">
        <f>+MINVU_Mes_Corriente!DV45*SALUD_Mes_Constante!$DP$1</f>
        <v>4796818.9418052258</v>
      </c>
      <c r="DW45" s="8">
        <f>+MINVU_Mes_Corriente!DW45*SALUD_Mes_Constante!$DP$1</f>
        <v>4796818.9418052258</v>
      </c>
      <c r="DX45" s="8">
        <f>+MINVU_Mes_Corriente!DX45*SALUD_Mes_Constante!$DP$1</f>
        <v>4796818.9418052258</v>
      </c>
      <c r="DY45" s="8">
        <f>+MINVU_Mes_Corriente!DY45*SALUD_Mes_Constante!$DP$1</f>
        <v>4796818.9418052258</v>
      </c>
      <c r="DZ45" s="8">
        <f>+MINVU_Mes_Corriente!DZ45*SALUD_Mes_Constante!$DP$1</f>
        <v>4796818.9418052258</v>
      </c>
      <c r="EA45" s="8">
        <f>+MINVU_Mes_Corriente!EA45*SALUD_Mes_Constante!$DP$1</f>
        <v>3481160.4994061762</v>
      </c>
      <c r="EB45" s="9">
        <f t="shared" si="28"/>
        <v>3481160.4994061762</v>
      </c>
      <c r="EC45" s="8">
        <f>+MINVU_Mes_Corriente!EC45*SALUD_Mes_Constante!$EC$1</f>
        <v>0</v>
      </c>
      <c r="ED45" s="8">
        <f>+MINVU_Mes_Corriente!ED45*SALUD_Mes_Constante!$EC$1</f>
        <v>0</v>
      </c>
      <c r="EE45" s="8">
        <f>+MINVU_Mes_Corriente!EE45*SALUD_Mes_Constante!$EC$1</f>
        <v>3963028.4037114172</v>
      </c>
      <c r="EF45" s="8">
        <f>+MINVU_Mes_Corriente!EF45*SALUD_Mes_Constante!$EC$1</f>
        <v>3963028.4037114172</v>
      </c>
      <c r="EG45" s="8">
        <f>+MINVU_Mes_Corriente!EG45*SALUD_Mes_Constante!$EC$1</f>
        <v>3963028.4037114172</v>
      </c>
      <c r="EH45" s="8">
        <f>+MINVU_Mes_Corriente!EH45*SALUD_Mes_Constante!$EC$1</f>
        <v>4014007.7831850015</v>
      </c>
      <c r="EI45" s="8">
        <f>+MINVU_Mes_Corriente!EI45*SALUD_Mes_Constante!$EC$1</f>
        <v>4014007.7831850015</v>
      </c>
      <c r="EJ45" s="8">
        <f>+MINVU_Mes_Corriente!EJ45*SALUD_Mes_Constante!$EC$1</f>
        <v>4014007.7831850015</v>
      </c>
      <c r="EK45" s="8">
        <f>+MINVU_Mes_Corriente!EK45*SALUD_Mes_Constante!$EC$1</f>
        <v>4056735.249952659</v>
      </c>
      <c r="EL45" s="8">
        <f>+MINVU_Mes_Corriente!EL45*SALUD_Mes_Constante!$EC$1</f>
        <v>4292592.8526794156</v>
      </c>
      <c r="EM45" s="8">
        <f>+MINVU_Mes_Corriente!EM45*SALUD_Mes_Constante!$EC$1</f>
        <v>4055863.197500472</v>
      </c>
      <c r="EN45" s="8">
        <f>+MINVU_Mes_Corriente!EN45*SALUD_Mes_Constante!$EC$1</f>
        <v>3797247.4050369235</v>
      </c>
      <c r="EO45" s="9">
        <f t="shared" si="29"/>
        <v>3797247.4050369235</v>
      </c>
      <c r="EP45" s="8">
        <f>+MINVU_Mes_Corriente!EP45*SALUD_Mes_Constante!$EP$1</f>
        <v>0</v>
      </c>
      <c r="EQ45" s="8">
        <f>+MINVU_Mes_Corriente!EQ45*SALUD_Mes_Constante!$EP$1</f>
        <v>2843210</v>
      </c>
      <c r="ER45" s="8">
        <f>+MINVU_Mes_Corriente!ER45*SALUD_Mes_Constante!$EP$1</f>
        <v>2843210</v>
      </c>
      <c r="ES45" s="8">
        <f>+MINVU_Mes_Corriente!ES45*SALUD_Mes_Constante!$EP$1</f>
        <v>2843210</v>
      </c>
      <c r="ET45" s="8">
        <f>+MINVU_Mes_Corriente!ET45*SALUD_Mes_Constante!$EP$1</f>
        <v>2843210</v>
      </c>
      <c r="EU45" s="8">
        <f>+MINVU_Mes_Corriente!EU45*SALUD_Mes_Constante!$EP$1</f>
        <v>2843210</v>
      </c>
      <c r="EV45" s="8">
        <f>+MINVU_Mes_Corriente!EV45*SALUD_Mes_Constante!$EP$1</f>
        <v>2843210</v>
      </c>
      <c r="EW45" s="8">
        <f>+MINVU_Mes_Corriente!EW45*SALUD_Mes_Constante!$EP$1</f>
        <v>2843210</v>
      </c>
      <c r="EX45" s="8">
        <f>+MINVU_Mes_Corriente!EX45*SALUD_Mes_Constante!$EP$1</f>
        <v>2843210</v>
      </c>
      <c r="EY45" s="8">
        <f>+MINVU_Mes_Corriente!EY45*SALUD_Mes_Constante!$EP$1</f>
        <v>2877119</v>
      </c>
      <c r="EZ45" s="8">
        <f>+MINVU_Mes_Corriente!EZ45*SALUD_Mes_Constante!$EP$1</f>
        <v>2019159</v>
      </c>
      <c r="FA45" s="8">
        <f>+MINVU_Mes_Corriente!FA45*SALUD_Mes_Constante!$EP$1</f>
        <v>1493716</v>
      </c>
      <c r="FB45" s="9">
        <f t="shared" si="30"/>
        <v>1493716</v>
      </c>
      <c r="FC45" s="8">
        <f>+MINVU_Mes_Corriente!FC45*SALUD_Mes_Constante!$FC$1</f>
        <v>3133791</v>
      </c>
      <c r="FD45" s="8">
        <f>+MINVU_Mes_Corriente!FD45*SALUD_Mes_Constante!$FC$1</f>
        <v>3133791</v>
      </c>
      <c r="FE45" s="8">
        <f>+MINVU_Mes_Corriente!FE45*SALUD_Mes_Constante!$FC$1</f>
        <v>3133791</v>
      </c>
      <c r="FF45" s="8">
        <f>+MINVU_Mes_Corriente!FF45*SALUD_Mes_Constante!$FC$1</f>
        <v>3133791</v>
      </c>
      <c r="FG45" s="8">
        <f>+MINVU_Mes_Corriente!FG45*SALUD_Mes_Constante!$FC$1</f>
        <v>3133791</v>
      </c>
      <c r="FH45" s="8">
        <f>+MINVU_Mes_Corriente!FH45*SALUD_Mes_Constante!$FC$1</f>
        <v>3133791</v>
      </c>
      <c r="FI45" s="8">
        <f>+MINVU_Mes_Corriente!FI45*SALUD_Mes_Constante!$FC$1</f>
        <v>3133791</v>
      </c>
      <c r="FJ45" s="8"/>
      <c r="FK45" s="8"/>
      <c r="FL45" s="8"/>
      <c r="FM45" s="8"/>
      <c r="FN45" s="8"/>
      <c r="FO45" s="9">
        <f t="shared" si="31"/>
        <v>3133791</v>
      </c>
    </row>
    <row r="46" spans="2:171" ht="14.25" customHeight="1" x14ac:dyDescent="0.3">
      <c r="B46" s="7" t="s">
        <v>45</v>
      </c>
      <c r="C46" s="8">
        <f>+MINVU_Mes_Corriente!C46*SALUD_Mes_Constante!$C$1</f>
        <v>444864125.93771327</v>
      </c>
      <c r="D46" s="8">
        <f>+MINVU_Mes_Corriente!D46*SALUD_Mes_Constante!$C$1</f>
        <v>243248331.47827381</v>
      </c>
      <c r="E46" s="8">
        <f>+MINVU_Mes_Corriente!E46*SALUD_Mes_Constante!$C$1</f>
        <v>50579398.170547239</v>
      </c>
      <c r="F46" s="8">
        <f>+MINVU_Mes_Corriente!F46*SALUD_Mes_Constante!$C$1</f>
        <v>50579398.170547239</v>
      </c>
      <c r="G46" s="8">
        <f>+MINVU_Mes_Corriente!G46*SALUD_Mes_Constante!$C$1</f>
        <v>50579398.170547239</v>
      </c>
      <c r="H46" s="8">
        <f>+MINVU_Mes_Corriente!H46*SALUD_Mes_Constante!$C$1</f>
        <v>61112287.398783937</v>
      </c>
      <c r="I46" s="8">
        <f>+MINVU_Mes_Corriente!I46*SALUD_Mes_Constante!$C$1</f>
        <v>60662179.300014839</v>
      </c>
      <c r="J46" s="8">
        <f>+MINVU_Mes_Corriente!J46*SALUD_Mes_Constante!$C$1</f>
        <v>60662179.300014839</v>
      </c>
      <c r="K46" s="8">
        <f>+MINVU_Mes_Corriente!K46*SALUD_Mes_Constante!$C$1</f>
        <v>404913.37950467155</v>
      </c>
      <c r="L46" s="8">
        <f>+MINVU_Mes_Corriente!L46*SALUD_Mes_Constante!$C$1</f>
        <v>404913.37950467155</v>
      </c>
      <c r="M46" s="8">
        <f>+MINVU_Mes_Corriente!M46*SALUD_Mes_Constante!$C$1</f>
        <v>20329272.400415249</v>
      </c>
      <c r="N46" s="8">
        <f>+MINVU_Mes_Corriente!N46*SALUD_Mes_Constante!$C$1</f>
        <v>674830.78718671226</v>
      </c>
      <c r="O46" s="9">
        <f t="shared" si="19"/>
        <v>674830.78718671226</v>
      </c>
      <c r="P46" s="8">
        <f>+MINVU_Mes_Corriente!P46*SALUD_Mes_Constante!$P$1</f>
        <v>820828807.18312228</v>
      </c>
      <c r="Q46" s="8">
        <f>+MINVU_Mes_Corriente!Q46*SALUD_Mes_Constante!$P$1</f>
        <v>556085078.17786598</v>
      </c>
      <c r="R46" s="8">
        <f>+MINVU_Mes_Corriente!R46*SALUD_Mes_Constante!$P$1</f>
        <v>237279038.61429173</v>
      </c>
      <c r="S46" s="8">
        <f>+MINVU_Mes_Corriente!S46*SALUD_Mes_Constante!$P$1</f>
        <v>192532520.64156833</v>
      </c>
      <c r="T46" s="8">
        <f>+MINVU_Mes_Corriente!T46*SALUD_Mes_Constante!$P$1</f>
        <v>186087610.22616842</v>
      </c>
      <c r="U46" s="8">
        <f>+MINVU_Mes_Corriente!U46*SALUD_Mes_Constante!$P$1</f>
        <v>167765816.50348055</v>
      </c>
      <c r="V46" s="8">
        <f>+MINVU_Mes_Corriente!V46*SALUD_Mes_Constante!$P$1</f>
        <v>123947417.13908221</v>
      </c>
      <c r="W46" s="8">
        <f>+MINVU_Mes_Corriente!W46*SALUD_Mes_Constante!$P$1</f>
        <v>127534404.7782355</v>
      </c>
      <c r="X46" s="8">
        <f>+MINVU_Mes_Corriente!X46*SALUD_Mes_Constante!$P$1</f>
        <v>116174666.32703504</v>
      </c>
      <c r="Y46" s="8">
        <f>+MINVU_Mes_Corriente!Y46*SALUD_Mes_Constante!$P$1</f>
        <v>94362345.448785305</v>
      </c>
      <c r="Z46" s="8">
        <f>+MINVU_Mes_Corriente!Z46*SALUD_Mes_Constante!$P$1</f>
        <v>8383926.9444523342</v>
      </c>
      <c r="AA46" s="8">
        <f>+MINVU_Mes_Corriente!AA46*SALUD_Mes_Constante!$P$1</f>
        <v>-10655147.269498505</v>
      </c>
      <c r="AB46" s="9">
        <f t="shared" si="20"/>
        <v>-10655147.269498505</v>
      </c>
      <c r="AC46" s="8">
        <f>+MINVU_Mes_Corriente!AC46*SALUD_Mes_Constante!$AC$1</f>
        <v>752418559.24747539</v>
      </c>
      <c r="AD46" s="8">
        <f>+MINVU_Mes_Corriente!AD46*SALUD_Mes_Constante!$AC$1</f>
        <v>351420629.57753491</v>
      </c>
      <c r="AE46" s="8">
        <f>+MINVU_Mes_Corriente!AE46*SALUD_Mes_Constante!$AC$1</f>
        <v>316117917.99474341</v>
      </c>
      <c r="AF46" s="8">
        <f>+MINVU_Mes_Corriente!AF46*SALUD_Mes_Constante!$AC$1</f>
        <v>162133146.35606584</v>
      </c>
      <c r="AG46" s="8">
        <f>+MINVU_Mes_Corriente!AG46*SALUD_Mes_Constante!$AC$1</f>
        <v>75419507.33434777</v>
      </c>
      <c r="AH46" s="8">
        <f>+MINVU_Mes_Corriente!AH46*SALUD_Mes_Constante!$AC$1</f>
        <v>68306886.886429653</v>
      </c>
      <c r="AI46" s="8">
        <f>+MINVU_Mes_Corriente!AI46*SALUD_Mes_Constante!$AC$1</f>
        <v>37456849.035827912</v>
      </c>
      <c r="AJ46" s="8">
        <f>+MINVU_Mes_Corriente!AJ46*SALUD_Mes_Constante!$AC$1</f>
        <v>13952270.753907871</v>
      </c>
      <c r="AK46" s="8">
        <f>+MINVU_Mes_Corriente!AK46*SALUD_Mes_Constante!$AC$1</f>
        <v>9284943.2145524975</v>
      </c>
      <c r="AL46" s="8">
        <f>+MINVU_Mes_Corriente!AL46*SALUD_Mes_Constante!$AC$1</f>
        <v>19877203.715589985</v>
      </c>
      <c r="AM46" s="8">
        <f>+MINVU_Mes_Corriente!AM46*SALUD_Mes_Constante!$AC$1</f>
        <v>30459633.990593445</v>
      </c>
      <c r="AN46" s="8">
        <f>+MINVU_Mes_Corriente!AN46*SALUD_Mes_Constante!$AC$1</f>
        <v>60175355.348457597</v>
      </c>
      <c r="AO46" s="9">
        <f t="shared" si="21"/>
        <v>60175355.348457597</v>
      </c>
      <c r="AP46" s="8">
        <f>+MINVU_Mes_Corriente!AP46*SALUD_Mes_Constante!$AP$1</f>
        <v>516249539.26957929</v>
      </c>
      <c r="AQ46" s="8">
        <f>+MINVU_Mes_Corriente!AQ46*SALUD_Mes_Constante!$AP$1</f>
        <v>246363775.24577302</v>
      </c>
      <c r="AR46" s="8">
        <f>+MINVU_Mes_Corriente!AR46*SALUD_Mes_Constante!$AP$1</f>
        <v>80198592.770999596</v>
      </c>
      <c r="AS46" s="8">
        <f>+MINVU_Mes_Corriente!AS46*SALUD_Mes_Constante!$AP$1</f>
        <v>73083909.070201531</v>
      </c>
      <c r="AT46" s="8">
        <f>+MINVU_Mes_Corriente!AT46*SALUD_Mes_Constante!$AP$1</f>
        <v>60274076.318679832</v>
      </c>
      <c r="AU46" s="8">
        <f>+MINVU_Mes_Corriente!AU46*SALUD_Mes_Constante!$AP$1</f>
        <v>23908499.907480046</v>
      </c>
      <c r="AV46" s="8">
        <f>+MINVU_Mes_Corriente!AV46*SALUD_Mes_Constante!$AP$1</f>
        <v>15230304.572162855</v>
      </c>
      <c r="AW46" s="8">
        <f>+MINVU_Mes_Corriente!AW46*SALUD_Mes_Constante!$AP$1</f>
        <v>11261164.988773163</v>
      </c>
      <c r="AX46" s="8">
        <f>+MINVU_Mes_Corriente!AX46*SALUD_Mes_Constante!$AP$1</f>
        <v>17869846.165832542</v>
      </c>
      <c r="AY46" s="8">
        <f>+MINVU_Mes_Corriente!AY46*SALUD_Mes_Constante!$AP$1</f>
        <v>9843470.3048829976</v>
      </c>
      <c r="AZ46" s="8">
        <f>+MINVU_Mes_Corriente!AZ46*SALUD_Mes_Constante!$AP$1</f>
        <v>9843470.3048829976</v>
      </c>
      <c r="BA46" s="8">
        <f>+MINVU_Mes_Corriente!BA46*SALUD_Mes_Constante!$AP$1</f>
        <v>11429680.767212227</v>
      </c>
      <c r="BB46" s="9">
        <f t="shared" si="22"/>
        <v>11429680.767212227</v>
      </c>
      <c r="BC46" s="8">
        <f>+MINVU_Mes_Corriente!BC46*SALUD_Mes_Constante!$BC$1</f>
        <v>633400067.77133071</v>
      </c>
      <c r="BD46" s="8">
        <f>+MINVU_Mes_Corriente!BD46*SALUD_Mes_Constante!$BC$1</f>
        <v>633400067.77133071</v>
      </c>
      <c r="BE46" s="8">
        <f>+MINVU_Mes_Corriente!BE46*SALUD_Mes_Constante!$BC$1</f>
        <v>443945410.66596347</v>
      </c>
      <c r="BF46" s="8">
        <f>+MINVU_Mes_Corriente!BF46*SALUD_Mes_Constante!$BC$1</f>
        <v>226809375.94909671</v>
      </c>
      <c r="BG46" s="8">
        <f>+MINVU_Mes_Corriente!BG46*SALUD_Mes_Constante!$BC$1</f>
        <v>96265885.281023368</v>
      </c>
      <c r="BH46" s="8">
        <f>+MINVU_Mes_Corriente!BH46*SALUD_Mes_Constante!$BC$1</f>
        <v>29170767.339839119</v>
      </c>
      <c r="BI46" s="8">
        <f>+MINVU_Mes_Corriente!BI46*SALUD_Mes_Constante!$BC$1</f>
        <v>32970992.380060669</v>
      </c>
      <c r="BJ46" s="8">
        <f>+MINVU_Mes_Corriente!BJ46*SALUD_Mes_Constante!$BC$1</f>
        <v>9760855.8554661777</v>
      </c>
      <c r="BK46" s="8">
        <f>+MINVU_Mes_Corriente!BK46*SALUD_Mes_Constante!$BC$1</f>
        <v>-14494100.491626009</v>
      </c>
      <c r="BL46" s="8">
        <f>+MINVU_Mes_Corriente!BL46*SALUD_Mes_Constante!$BC$1</f>
        <v>1365824.9244362393</v>
      </c>
      <c r="BM46" s="8">
        <f>+MINVU_Mes_Corriente!BM46*SALUD_Mes_Constante!$BC$1</f>
        <v>998130.37188447872</v>
      </c>
      <c r="BN46" s="8">
        <f>+MINVU_Mes_Corriente!BN46*SALUD_Mes_Constante!$BC$1</f>
        <v>7433081.8575761588</v>
      </c>
      <c r="BO46" s="9">
        <f t="shared" si="23"/>
        <v>7433081.8575761588</v>
      </c>
      <c r="BP46" s="8">
        <f>+MINVU_Mes_Corriente!BP46*SALUD_Mes_Constante!$BP$1</f>
        <v>585994597.27836108</v>
      </c>
      <c r="BQ46" s="8">
        <f>+MINVU_Mes_Corriente!BQ46*SALUD_Mes_Constante!$BP$1</f>
        <v>540742718.83252251</v>
      </c>
      <c r="BR46" s="8">
        <f>+MINVU_Mes_Corriente!BR46*SALUD_Mes_Constante!$BP$1</f>
        <v>4836740.1464788737</v>
      </c>
      <c r="BS46" s="8">
        <f>+MINVU_Mes_Corriente!BS46*SALUD_Mes_Constante!$BP$1</f>
        <v>22385919.0653009</v>
      </c>
      <c r="BT46" s="8">
        <f>+MINVU_Mes_Corriente!BT46*SALUD_Mes_Constante!$BP$1</f>
        <v>2175281.2624839949</v>
      </c>
      <c r="BU46" s="8">
        <f>+MINVU_Mes_Corriente!BU46*SALUD_Mes_Constante!$BP$1</f>
        <v>15773.450704225354</v>
      </c>
      <c r="BV46" s="8">
        <f>+MINVU_Mes_Corriente!BV46*SALUD_Mes_Constante!$BP$1</f>
        <v>0</v>
      </c>
      <c r="BW46" s="8">
        <f>+MINVU_Mes_Corriente!BW46*SALUD_Mes_Constante!$BP$1</f>
        <v>0</v>
      </c>
      <c r="BX46" s="8">
        <f>+MINVU_Mes_Corriente!BX46*SALUD_Mes_Constante!$BP$1</f>
        <v>1831354.2852752884</v>
      </c>
      <c r="BY46" s="8">
        <f>+MINVU_Mes_Corriente!BY46*SALUD_Mes_Constante!$BP$1</f>
        <v>1831354.2852752884</v>
      </c>
      <c r="BZ46" s="8">
        <f>+MINVU_Mes_Corriente!BZ46*SALUD_Mes_Constante!$BP$1</f>
        <v>463882.14622279134</v>
      </c>
      <c r="CA46" s="8">
        <f>+MINVU_Mes_Corriente!CA46*SALUD_Mes_Constante!$BP$1</f>
        <v>2389947.0845070425</v>
      </c>
      <c r="CB46" s="9">
        <f t="shared" si="24"/>
        <v>2389947.0845070425</v>
      </c>
      <c r="CC46" s="8">
        <f>+MINVU_Mes_Corriente!CC46*SALUD_Mes_Constante!$CC$1</f>
        <v>997037214.23722506</v>
      </c>
      <c r="CD46" s="8">
        <f>+MINVU_Mes_Corriente!CD46*SALUD_Mes_Constante!$CC$1</f>
        <v>779542782.9623276</v>
      </c>
      <c r="CE46" s="8">
        <f>+MINVU_Mes_Corriente!CE46*SALUD_Mes_Constante!$CC$1</f>
        <v>168650395.57553154</v>
      </c>
      <c r="CF46" s="8">
        <f>+MINVU_Mes_Corriente!CF46*SALUD_Mes_Constante!$CC$1</f>
        <v>98216704.778067887</v>
      </c>
      <c r="CG46" s="8">
        <f>+MINVU_Mes_Corriente!CG46*SALUD_Mes_Constante!$CC$1</f>
        <v>99250376.647519588</v>
      </c>
      <c r="CH46" s="8">
        <f>+MINVU_Mes_Corriente!CH46*SALUD_Mes_Constante!$CC$1</f>
        <v>5237769.2651995532</v>
      </c>
      <c r="CI46" s="8">
        <f>+MINVU_Mes_Corriente!CI46*SALUD_Mes_Constante!$CC$1</f>
        <v>5766178.500559493</v>
      </c>
      <c r="CJ46" s="8">
        <f>+MINVU_Mes_Corriente!CJ46*SALUD_Mes_Constante!$CC$1</f>
        <v>26329236.528161135</v>
      </c>
      <c r="CK46" s="8">
        <f>+MINVU_Mes_Corriente!CK46*SALUD_Mes_Constante!$CC$1</f>
        <v>3520890.2551286835</v>
      </c>
      <c r="CL46" s="8">
        <f>+MINVU_Mes_Corriente!CL46*SALUD_Mes_Constante!$CC$1</f>
        <v>11053953.607609103</v>
      </c>
      <c r="CM46" s="8">
        <f>+MINVU_Mes_Corriente!CM46*SALUD_Mes_Constante!$CC$1</f>
        <v>65370202.303618059</v>
      </c>
      <c r="CN46" s="8">
        <f>+MINVU_Mes_Corriente!CN46*SALUD_Mes_Constante!$CC$1</f>
        <v>952693.40544572927</v>
      </c>
      <c r="CO46" s="9">
        <f t="shared" si="25"/>
        <v>952693.40544572927</v>
      </c>
      <c r="CP46" s="8">
        <f>+MINVU_Mes_Corriente!CP46*SALUD_Mes_Constante!$CP$1</f>
        <v>828930156.84292328</v>
      </c>
      <c r="CQ46" s="8">
        <f>+MINVU_Mes_Corriente!CQ46*SALUD_Mes_Constante!$CP$1</f>
        <v>79191898.968445465</v>
      </c>
      <c r="CR46" s="8">
        <f>+MINVU_Mes_Corriente!CR46*SALUD_Mes_Constante!$CP$1</f>
        <v>49404703.875870056</v>
      </c>
      <c r="CS46" s="8">
        <f>+MINVU_Mes_Corriente!CS46*SALUD_Mes_Constante!$CP$1</f>
        <v>13073794.293967515</v>
      </c>
      <c r="CT46" s="8">
        <f>+MINVU_Mes_Corriente!CT46*SALUD_Mes_Constante!$CP$1</f>
        <v>17342290.964965194</v>
      </c>
      <c r="CU46" s="8">
        <f>+MINVU_Mes_Corriente!CU46*SALUD_Mes_Constante!$CP$1</f>
        <v>11074580.924825983</v>
      </c>
      <c r="CV46" s="8">
        <f>+MINVU_Mes_Corriente!CV46*SALUD_Mes_Constante!$CP$1</f>
        <v>15828718.01554524</v>
      </c>
      <c r="CW46" s="8">
        <f>+MINVU_Mes_Corriente!CW46*SALUD_Mes_Constante!$CP$1</f>
        <v>29412803.407656606</v>
      </c>
      <c r="CX46" s="8">
        <f>+MINVU_Mes_Corriente!CX46*SALUD_Mes_Constante!$CP$1</f>
        <v>29412803.407656606</v>
      </c>
      <c r="CY46" s="8">
        <f>+MINVU_Mes_Corriente!CY46*SALUD_Mes_Constante!$CP$1</f>
        <v>109889312.24965195</v>
      </c>
      <c r="CZ46" s="8">
        <f>+MINVU_Mes_Corriente!CZ46*SALUD_Mes_Constante!$CP$1</f>
        <v>126896870.8816705</v>
      </c>
      <c r="DA46" s="8">
        <f>+MINVU_Mes_Corriente!DA46*SALUD_Mes_Constante!$CP$1</f>
        <v>0</v>
      </c>
      <c r="DB46" s="9">
        <f t="shared" si="26"/>
        <v>0</v>
      </c>
      <c r="DC46" s="8">
        <f>+MINVU_Mes_Corriente!DC46*SALUD_Mes_Constante!$DC$1</f>
        <v>721778984.8694582</v>
      </c>
      <c r="DD46" s="8">
        <f>+MINVU_Mes_Corriente!DD46*SALUD_Mes_Constante!$DC$1</f>
        <v>186945926.95957214</v>
      </c>
      <c r="DE46" s="8">
        <f>+MINVU_Mes_Corriente!DE46*SALUD_Mes_Constante!$DC$1</f>
        <v>124839352.04155958</v>
      </c>
      <c r="DF46" s="8">
        <f>+MINVU_Mes_Corriente!DF46*SALUD_Mes_Constante!$DC$1</f>
        <v>124839352.04155958</v>
      </c>
      <c r="DG46" s="8">
        <f>+MINVU_Mes_Corriente!DG46*SALUD_Mes_Constante!$DC$1</f>
        <v>22785965.62966774</v>
      </c>
      <c r="DH46" s="8">
        <f>+MINVU_Mes_Corriente!DH46*SALUD_Mes_Constante!$DC$1</f>
        <v>19678.264376093004</v>
      </c>
      <c r="DI46" s="8">
        <f>+MINVU_Mes_Corriente!DI46*SALUD_Mes_Constante!$DC$1</f>
        <v>24436829.043308314</v>
      </c>
      <c r="DJ46" s="8">
        <f>+MINVU_Mes_Corriente!DJ46*SALUD_Mes_Constante!$DC$1</f>
        <v>24077398.373624124</v>
      </c>
      <c r="DK46" s="8">
        <f>+MINVU_Mes_Corriente!DK46*SALUD_Mes_Constante!$DC$1</f>
        <v>98637754.264376134</v>
      </c>
      <c r="DL46" s="8">
        <f>+MINVU_Mes_Corriente!DL46*SALUD_Mes_Constante!$DC$1</f>
        <v>95106664.610019594</v>
      </c>
      <c r="DM46" s="8">
        <f>+MINVU_Mes_Corriente!DM46*SALUD_Mes_Constante!$DC$1</f>
        <v>60612759.96934475</v>
      </c>
      <c r="DN46" s="8">
        <f>+MINVU_Mes_Corriente!DN46*SALUD_Mes_Constante!$DC$1</f>
        <v>0</v>
      </c>
      <c r="DO46" s="9">
        <f t="shared" si="27"/>
        <v>0</v>
      </c>
      <c r="DP46" s="8">
        <f>+MINVU_Mes_Corriente!DP46*SALUD_Mes_Constante!$DP$1</f>
        <v>766962042.08372927</v>
      </c>
      <c r="DQ46" s="8">
        <f>+MINVU_Mes_Corriente!DQ46*SALUD_Mes_Constante!$DP$1</f>
        <v>337596544.93646085</v>
      </c>
      <c r="DR46" s="8">
        <f>+MINVU_Mes_Corriente!DR46*SALUD_Mes_Constante!$DP$1</f>
        <v>293807631.6199525</v>
      </c>
      <c r="DS46" s="8">
        <f>+MINVU_Mes_Corriente!DS46*SALUD_Mes_Constante!$DP$1</f>
        <v>288030491.81828982</v>
      </c>
      <c r="DT46" s="8">
        <f>+MINVU_Mes_Corriente!DT46*SALUD_Mes_Constante!$DP$1</f>
        <v>231600131.62054634</v>
      </c>
      <c r="DU46" s="8">
        <f>+MINVU_Mes_Corriente!DU46*SALUD_Mes_Constante!$DP$1</f>
        <v>218712462.61460811</v>
      </c>
      <c r="DV46" s="8">
        <f>+MINVU_Mes_Corriente!DV46*SALUD_Mes_Constante!$DP$1</f>
        <v>154137657.20843232</v>
      </c>
      <c r="DW46" s="8">
        <f>+MINVU_Mes_Corriente!DW46*SALUD_Mes_Constante!$DP$1</f>
        <v>80281737.096199527</v>
      </c>
      <c r="DX46" s="8">
        <f>+MINVU_Mes_Corriente!DX46*SALUD_Mes_Constante!$DP$1</f>
        <v>80281737.096199527</v>
      </c>
      <c r="DY46" s="8">
        <f>+MINVU_Mes_Corriente!DY46*SALUD_Mes_Constante!$DP$1</f>
        <v>53403268.859857485</v>
      </c>
      <c r="DZ46" s="8">
        <f>+MINVU_Mes_Corriente!DZ46*SALUD_Mes_Constante!$DP$1</f>
        <v>16017284.590261284</v>
      </c>
      <c r="EA46" s="8">
        <f>+MINVU_Mes_Corriente!EA46*SALUD_Mes_Constante!$DP$1</f>
        <v>500.66686460807608</v>
      </c>
      <c r="EB46" s="9">
        <f t="shared" si="28"/>
        <v>500.66686460807608</v>
      </c>
      <c r="EC46" s="8">
        <f>+MINVU_Mes_Corriente!EC46*SALUD_Mes_Constante!$EC$1</f>
        <v>601903779.49138403</v>
      </c>
      <c r="ED46" s="8">
        <f>+MINVU_Mes_Corriente!ED46*SALUD_Mes_Constante!$EC$1</f>
        <v>29932795.946222298</v>
      </c>
      <c r="EE46" s="8">
        <f>+MINVU_Mes_Corriente!EE46*SALUD_Mes_Constante!$EC$1</f>
        <v>-22808647.746828243</v>
      </c>
      <c r="EF46" s="8">
        <f>+MINVU_Mes_Corriente!EF46*SALUD_Mes_Constante!$EC$1</f>
        <v>9418999.2264722567</v>
      </c>
      <c r="EG46" s="8">
        <f>+MINVU_Mes_Corriente!EG46*SALUD_Mes_Constante!$EC$1</f>
        <v>5444111.7369816303</v>
      </c>
      <c r="EH46" s="8">
        <f>+MINVU_Mes_Corriente!EH46*SALUD_Mes_Constante!$EC$1</f>
        <v>11277440.241620902</v>
      </c>
      <c r="EI46" s="8">
        <f>+MINVU_Mes_Corriente!EI46*SALUD_Mes_Constante!$EC$1</f>
        <v>16094203.858170796</v>
      </c>
      <c r="EJ46" s="8">
        <f>+MINVU_Mes_Corriente!EJ46*SALUD_Mes_Constante!$EC$1</f>
        <v>69701.09392160573</v>
      </c>
      <c r="EK46" s="8">
        <f>+MINVU_Mes_Corriente!EK46*SALUD_Mes_Constante!$EC$1</f>
        <v>643690.56958909275</v>
      </c>
      <c r="EL46" s="8">
        <f>+MINVU_Mes_Corriente!EL46*SALUD_Mes_Constante!$EC$1</f>
        <v>29870133.33970838</v>
      </c>
      <c r="EM46" s="8">
        <f>+MINVU_Mes_Corriente!EM46*SALUD_Mes_Constante!$EC$1</f>
        <v>27091944.91346335</v>
      </c>
      <c r="EN46" s="8">
        <f>+MINVU_Mes_Corriente!EN46*SALUD_Mes_Constante!$EC$1</f>
        <v>0</v>
      </c>
      <c r="EO46" s="9">
        <f t="shared" si="29"/>
        <v>0</v>
      </c>
      <c r="EP46" s="8">
        <f>+MINVU_Mes_Corriente!EP46*SALUD_Mes_Constante!$EP$1</f>
        <v>573366549</v>
      </c>
      <c r="EQ46" s="8">
        <f>+MINVU_Mes_Corriente!EQ46*SALUD_Mes_Constante!$EP$1</f>
        <v>53140143</v>
      </c>
      <c r="ER46" s="8">
        <f>+MINVU_Mes_Corriente!ER46*SALUD_Mes_Constante!$EP$1</f>
        <v>41684097</v>
      </c>
      <c r="ES46" s="8">
        <f>+MINVU_Mes_Corriente!ES46*SALUD_Mes_Constante!$EP$1</f>
        <v>41684097</v>
      </c>
      <c r="ET46" s="8">
        <f>+MINVU_Mes_Corriente!ET46*SALUD_Mes_Constante!$EP$1</f>
        <v>15687112</v>
      </c>
      <c r="EU46" s="8">
        <f>+MINVU_Mes_Corriente!EU46*SALUD_Mes_Constante!$EP$1</f>
        <v>2508407</v>
      </c>
      <c r="EV46" s="8">
        <f>+MINVU_Mes_Corriente!EV46*SALUD_Mes_Constante!$EP$1</f>
        <v>1553156</v>
      </c>
      <c r="EW46" s="8">
        <f>+MINVU_Mes_Corriente!EW46*SALUD_Mes_Constante!$EP$1</f>
        <v>7169832</v>
      </c>
      <c r="EX46" s="8">
        <f>+MINVU_Mes_Corriente!EX46*SALUD_Mes_Constante!$EP$1</f>
        <v>10580484</v>
      </c>
      <c r="EY46" s="8">
        <f>+MINVU_Mes_Corriente!EY46*SALUD_Mes_Constante!$EP$1</f>
        <v>8375929</v>
      </c>
      <c r="EZ46" s="8">
        <f>+MINVU_Mes_Corriente!EZ46*SALUD_Mes_Constante!$EP$1</f>
        <v>298318</v>
      </c>
      <c r="FA46" s="8">
        <f>+MINVU_Mes_Corriente!FA46*SALUD_Mes_Constante!$EP$1</f>
        <v>0</v>
      </c>
      <c r="FB46" s="9">
        <f t="shared" si="30"/>
        <v>0</v>
      </c>
      <c r="FC46" s="8">
        <f>+MINVU_Mes_Corriente!FC46*SALUD_Mes_Constante!$FC$1</f>
        <v>201002151</v>
      </c>
      <c r="FD46" s="8">
        <f>+MINVU_Mes_Corriente!FD46*SALUD_Mes_Constante!$FC$1</f>
        <v>176224317</v>
      </c>
      <c r="FE46" s="8">
        <f>+MINVU_Mes_Corriente!FE46*SALUD_Mes_Constante!$FC$1</f>
        <v>176224317</v>
      </c>
      <c r="FF46" s="8">
        <f>+MINVU_Mes_Corriente!FF46*SALUD_Mes_Constante!$FC$1</f>
        <v>176224317</v>
      </c>
      <c r="FG46" s="8">
        <f>+MINVU_Mes_Corriente!FG46*SALUD_Mes_Constante!$FC$1</f>
        <v>111319589</v>
      </c>
      <c r="FH46" s="8">
        <f>+MINVU_Mes_Corriente!FH46*SALUD_Mes_Constante!$FC$1</f>
        <v>30121356</v>
      </c>
      <c r="FI46" s="8">
        <f>+MINVU_Mes_Corriente!FI46*SALUD_Mes_Constante!$FC$1</f>
        <v>30121356</v>
      </c>
      <c r="FJ46" s="8"/>
      <c r="FK46" s="8"/>
      <c r="FL46" s="8"/>
      <c r="FM46" s="8"/>
      <c r="FN46" s="8"/>
      <c r="FO46" s="9">
        <f t="shared" si="31"/>
        <v>30121356</v>
      </c>
    </row>
    <row r="47" spans="2:171" ht="14.25" customHeight="1" x14ac:dyDescent="0.3">
      <c r="B47" s="7" t="s">
        <v>46</v>
      </c>
      <c r="C47" s="8">
        <f>+MINVU_Mes_Corriente!C47*SALUD_Mes_Constante!$C$1</f>
        <v>0</v>
      </c>
      <c r="D47" s="8">
        <f>+MINVU_Mes_Corriente!D47*SALUD_Mes_Constante!$C$1</f>
        <v>0</v>
      </c>
      <c r="E47" s="8">
        <f>+MINVU_Mes_Corriente!E47*SALUD_Mes_Constante!$C$1</f>
        <v>238090.55138662321</v>
      </c>
      <c r="F47" s="8">
        <f>+MINVU_Mes_Corriente!F47*SALUD_Mes_Constante!$C$1</f>
        <v>238090.55138662321</v>
      </c>
      <c r="G47" s="8">
        <f>+MINVU_Mes_Corriente!G47*SALUD_Mes_Constante!$C$1</f>
        <v>238090.55138662321</v>
      </c>
      <c r="H47" s="8">
        <f>+MINVU_Mes_Corriente!H47*SALUD_Mes_Constante!$C$1</f>
        <v>238090.55138662321</v>
      </c>
      <c r="I47" s="8">
        <f>+MINVU_Mes_Corriente!I47*SALUD_Mes_Constante!$C$1</f>
        <v>238090.55138662321</v>
      </c>
      <c r="J47" s="8">
        <f>+MINVU_Mes_Corriente!J47*SALUD_Mes_Constante!$C$1</f>
        <v>238090.55138662321</v>
      </c>
      <c r="K47" s="8">
        <f>+MINVU_Mes_Corriente!K47*SALUD_Mes_Constante!$C$1</f>
        <v>271811.59335607302</v>
      </c>
      <c r="L47" s="8">
        <f>+MINVU_Mes_Corriente!L47*SALUD_Mes_Constante!$C$1</f>
        <v>271811.59335607302</v>
      </c>
      <c r="M47" s="8">
        <f>+MINVU_Mes_Corriente!M47*SALUD_Mes_Constante!$C$1</f>
        <v>271811.59335607302</v>
      </c>
      <c r="N47" s="8">
        <f>+MINVU_Mes_Corriente!N47*SALUD_Mes_Constante!$C$1</f>
        <v>271811.59335607302</v>
      </c>
      <c r="O47" s="9">
        <f t="shared" si="19"/>
        <v>271811.59335607302</v>
      </c>
      <c r="P47" s="8">
        <f>+MINVU_Mes_Corriente!P47*SALUD_Mes_Constante!$P$1</f>
        <v>0</v>
      </c>
      <c r="Q47" s="8">
        <f>+MINVU_Mes_Corriente!Q47*SALUD_Mes_Constante!$P$1</f>
        <v>0</v>
      </c>
      <c r="R47" s="8">
        <f>+MINVU_Mes_Corriente!R47*SALUD_Mes_Constante!$P$1</f>
        <v>0</v>
      </c>
      <c r="S47" s="8">
        <f>+MINVU_Mes_Corriente!S47*SALUD_Mes_Constante!$P$1</f>
        <v>0</v>
      </c>
      <c r="T47" s="8">
        <f>+MINVU_Mes_Corriente!T47*SALUD_Mes_Constante!$P$1</f>
        <v>0</v>
      </c>
      <c r="U47" s="8">
        <f>+MINVU_Mes_Corriente!U47*SALUD_Mes_Constante!$P$1</f>
        <v>650897.16380167613</v>
      </c>
      <c r="V47" s="8">
        <f>+MINVU_Mes_Corriente!V47*SALUD_Mes_Constante!$P$1</f>
        <v>868288.70777098986</v>
      </c>
      <c r="W47" s="8">
        <f>+MINVU_Mes_Corriente!W47*SALUD_Mes_Constante!$P$1</f>
        <v>868288.70777098986</v>
      </c>
      <c r="X47" s="8">
        <f>+MINVU_Mes_Corriente!X47*SALUD_Mes_Constante!$P$1</f>
        <v>868288.70777098986</v>
      </c>
      <c r="Y47" s="8">
        <f>+MINVU_Mes_Corriente!Y47*SALUD_Mes_Constante!$P$1</f>
        <v>868288.70777098986</v>
      </c>
      <c r="Z47" s="8">
        <f>+MINVU_Mes_Corriente!Z47*SALUD_Mes_Constante!$P$1</f>
        <v>868288.70777098986</v>
      </c>
      <c r="AA47" s="8">
        <f>+MINVU_Mes_Corriente!AA47*SALUD_Mes_Constante!$P$1</f>
        <v>304898.88535303297</v>
      </c>
      <c r="AB47" s="9">
        <f t="shared" si="20"/>
        <v>304898.88535303297</v>
      </c>
      <c r="AC47" s="8">
        <f>+MINVU_Mes_Corriente!AC47*SALUD_Mes_Constante!$AC$1</f>
        <v>0</v>
      </c>
      <c r="AD47" s="8">
        <f>+MINVU_Mes_Corriente!AD47*SALUD_Mes_Constante!$AC$1</f>
        <v>2172325.7894591228</v>
      </c>
      <c r="AE47" s="8">
        <f>+MINVU_Mes_Corriente!AE47*SALUD_Mes_Constante!$AC$1</f>
        <v>2172325.7894591228</v>
      </c>
      <c r="AF47" s="8">
        <f>+MINVU_Mes_Corriente!AF47*SALUD_Mes_Constante!$AC$1</f>
        <v>2172325.7894591228</v>
      </c>
      <c r="AG47" s="8">
        <f>+MINVU_Mes_Corriente!AG47*SALUD_Mes_Constante!$AC$1</f>
        <v>3062113.8981878543</v>
      </c>
      <c r="AH47" s="8">
        <f>+MINVU_Mes_Corriente!AH47*SALUD_Mes_Constante!$AC$1</f>
        <v>3062113.8981878543</v>
      </c>
      <c r="AI47" s="8">
        <f>+MINVU_Mes_Corriente!AI47*SALUD_Mes_Constante!$AC$1</f>
        <v>3062113.8981878543</v>
      </c>
      <c r="AJ47" s="8">
        <f>+MINVU_Mes_Corriente!AJ47*SALUD_Mes_Constante!$AC$1</f>
        <v>3062113.8981878543</v>
      </c>
      <c r="AK47" s="8">
        <f>+MINVU_Mes_Corriente!AK47*SALUD_Mes_Constante!$AC$1</f>
        <v>3177186.7901507816</v>
      </c>
      <c r="AL47" s="8">
        <f>+MINVU_Mes_Corriente!AL47*SALUD_Mes_Constante!$AC$1</f>
        <v>3177186.7901507816</v>
      </c>
      <c r="AM47" s="8">
        <f>+MINVU_Mes_Corriente!AM47*SALUD_Mes_Constante!$AC$1</f>
        <v>932013.94743394654</v>
      </c>
      <c r="AN47" s="8">
        <f>+MINVU_Mes_Corriente!AN47*SALUD_Mes_Constante!$AC$1</f>
        <v>932013.94743394654</v>
      </c>
      <c r="AO47" s="9">
        <f t="shared" si="21"/>
        <v>932013.94743394654</v>
      </c>
      <c r="AP47" s="8">
        <f>+MINVU_Mes_Corriente!AP47*SALUD_Mes_Constante!$AP$1</f>
        <v>0</v>
      </c>
      <c r="AQ47" s="8">
        <f>+MINVU_Mes_Corriente!AQ47*SALUD_Mes_Constante!$AP$1</f>
        <v>0</v>
      </c>
      <c r="AR47" s="8">
        <f>+MINVU_Mes_Corriente!AR47*SALUD_Mes_Constante!$AP$1</f>
        <v>0</v>
      </c>
      <c r="AS47" s="8">
        <f>+MINVU_Mes_Corriente!AS47*SALUD_Mes_Constante!$AP$1</f>
        <v>0</v>
      </c>
      <c r="AT47" s="8">
        <f>+MINVU_Mes_Corriente!AT47*SALUD_Mes_Constante!$AP$1</f>
        <v>2316010.5115649938</v>
      </c>
      <c r="AU47" s="8">
        <f>+MINVU_Mes_Corriente!AU47*SALUD_Mes_Constante!$AP$1</f>
        <v>2316010.5115649938</v>
      </c>
      <c r="AV47" s="8">
        <f>+MINVU_Mes_Corriente!AV47*SALUD_Mes_Constante!$AP$1</f>
        <v>2316010.5115649938</v>
      </c>
      <c r="AW47" s="8">
        <f>+MINVU_Mes_Corriente!AW47*SALUD_Mes_Constante!$AP$1</f>
        <v>2316010.5115649938</v>
      </c>
      <c r="AX47" s="8">
        <f>+MINVU_Mes_Corriente!AX47*SALUD_Mes_Constante!$AP$1</f>
        <v>1456376.8324090354</v>
      </c>
      <c r="AY47" s="8">
        <f>+MINVU_Mes_Corriente!AY47*SALUD_Mes_Constante!$AP$1</f>
        <v>1456376.8324090354</v>
      </c>
      <c r="AZ47" s="8">
        <f>+MINVU_Mes_Corriente!AZ47*SALUD_Mes_Constante!$AP$1</f>
        <v>1456376.8324090354</v>
      </c>
      <c r="BA47" s="8">
        <f>+MINVU_Mes_Corriente!BA47*SALUD_Mes_Constante!$AP$1</f>
        <v>1147098.4682808062</v>
      </c>
      <c r="BB47" s="9">
        <f t="shared" si="22"/>
        <v>1147098.4682808062</v>
      </c>
      <c r="BC47" s="8">
        <f>+MINVU_Mes_Corriente!BC47*SALUD_Mes_Constante!$BC$1</f>
        <v>0</v>
      </c>
      <c r="BD47" s="8">
        <f>+MINVU_Mes_Corriente!BD47*SALUD_Mes_Constante!$BC$1</f>
        <v>0</v>
      </c>
      <c r="BE47" s="8">
        <f>+MINVU_Mes_Corriente!BE47*SALUD_Mes_Constante!$BC$1</f>
        <v>0</v>
      </c>
      <c r="BF47" s="8">
        <f>+MINVU_Mes_Corriente!BF47*SALUD_Mes_Constante!$BC$1</f>
        <v>2587779.0818937104</v>
      </c>
      <c r="BG47" s="8">
        <f>+MINVU_Mes_Corriente!BG47*SALUD_Mes_Constante!$BC$1</f>
        <v>2587779.0818937104</v>
      </c>
      <c r="BH47" s="8">
        <f>+MINVU_Mes_Corriente!BH47*SALUD_Mes_Constante!$BC$1</f>
        <v>2587779.0818937104</v>
      </c>
      <c r="BI47" s="8">
        <f>+MINVU_Mes_Corriente!BI47*SALUD_Mes_Constante!$BC$1</f>
        <v>2587779.0818937104</v>
      </c>
      <c r="BJ47" s="8">
        <f>+MINVU_Mes_Corriente!BJ47*SALUD_Mes_Constante!$BC$1</f>
        <v>2587779.0818937104</v>
      </c>
      <c r="BK47" s="8">
        <f>+MINVU_Mes_Corriente!BK47*SALUD_Mes_Constante!$BC$1</f>
        <v>1695653.8195964661</v>
      </c>
      <c r="BL47" s="8">
        <f>+MINVU_Mes_Corriente!BL47*SALUD_Mes_Constante!$BC$1</f>
        <v>1695653.8195964661</v>
      </c>
      <c r="BM47" s="8">
        <f>+MINVU_Mes_Corriente!BM47*SALUD_Mes_Constante!$BC$1</f>
        <v>1695653.8195964661</v>
      </c>
      <c r="BN47" s="8">
        <f>+MINVU_Mes_Corriente!BN47*SALUD_Mes_Constante!$BC$1</f>
        <v>1695653.8195964661</v>
      </c>
      <c r="BO47" s="9">
        <f t="shared" si="23"/>
        <v>1695653.8195964661</v>
      </c>
      <c r="BP47" s="8">
        <f>+MINVU_Mes_Corriente!BP47*SALUD_Mes_Constante!$BP$1</f>
        <v>0</v>
      </c>
      <c r="BQ47" s="8">
        <f>+MINVU_Mes_Corriente!BQ47*SALUD_Mes_Constante!$BP$1</f>
        <v>0</v>
      </c>
      <c r="BR47" s="8">
        <f>+MINVU_Mes_Corriente!BR47*SALUD_Mes_Constante!$BP$1</f>
        <v>0</v>
      </c>
      <c r="BS47" s="8">
        <f>+MINVU_Mes_Corriente!BS47*SALUD_Mes_Constante!$BP$1</f>
        <v>0</v>
      </c>
      <c r="BT47" s="8">
        <f>+MINVU_Mes_Corriente!BT47*SALUD_Mes_Constante!$BP$1</f>
        <v>575912.11805377726</v>
      </c>
      <c r="BU47" s="8">
        <f>+MINVU_Mes_Corriente!BU47*SALUD_Mes_Constante!$BP$1</f>
        <v>575912.11805377726</v>
      </c>
      <c r="BV47" s="8">
        <f>+MINVU_Mes_Corriente!BV47*SALUD_Mes_Constante!$BP$1</f>
        <v>575912.11805377726</v>
      </c>
      <c r="BW47" s="8">
        <f>+MINVU_Mes_Corriente!BW47*SALUD_Mes_Constante!$BP$1</f>
        <v>583470.78361075546</v>
      </c>
      <c r="BX47" s="8">
        <f>+MINVU_Mes_Corriente!BX47*SALUD_Mes_Constante!$BP$1</f>
        <v>583470.78361075546</v>
      </c>
      <c r="BY47" s="8">
        <f>+MINVU_Mes_Corriente!BY47*SALUD_Mes_Constante!$BP$1</f>
        <v>583470.78361075546</v>
      </c>
      <c r="BZ47" s="8">
        <f>+MINVU_Mes_Corriente!BZ47*SALUD_Mes_Constante!$BP$1</f>
        <v>583470.78361075546</v>
      </c>
      <c r="CA47" s="8">
        <f>+MINVU_Mes_Corriente!CA47*SALUD_Mes_Constante!$BP$1</f>
        <v>583470.78361075546</v>
      </c>
      <c r="CB47" s="9">
        <f t="shared" si="24"/>
        <v>583470.78361075546</v>
      </c>
      <c r="CC47" s="8">
        <f>+MINVU_Mes_Corriente!CC47*SALUD_Mes_Constante!$CC$1</f>
        <v>0</v>
      </c>
      <c r="CD47" s="8">
        <f>+MINVU_Mes_Corriente!CD47*SALUD_Mes_Constante!$CC$1</f>
        <v>0</v>
      </c>
      <c r="CE47" s="8">
        <f>+MINVU_Mes_Corriente!CE47*SALUD_Mes_Constante!$CC$1</f>
        <v>1419608.4013427827</v>
      </c>
      <c r="CF47" s="8">
        <f>+MINVU_Mes_Corriente!CF47*SALUD_Mes_Constante!$CC$1</f>
        <v>1419608.4013427827</v>
      </c>
      <c r="CG47" s="8">
        <f>+MINVU_Mes_Corriente!CG47*SALUD_Mes_Constante!$CC$1</f>
        <v>1889831.2189481538</v>
      </c>
      <c r="CH47" s="8">
        <f>+MINVU_Mes_Corriente!CH47*SALUD_Mes_Constante!$CC$1</f>
        <v>1889831.2189481538</v>
      </c>
      <c r="CI47" s="8">
        <f>+MINVU_Mes_Corriente!CI47*SALUD_Mes_Constante!$CC$1</f>
        <v>1889831.2189481538</v>
      </c>
      <c r="CJ47" s="8">
        <f>+MINVU_Mes_Corriente!CJ47*SALUD_Mes_Constante!$CC$1</f>
        <v>1889831.2189481538</v>
      </c>
      <c r="CK47" s="8">
        <f>+MINVU_Mes_Corriente!CK47*SALUD_Mes_Constante!$CC$1</f>
        <v>1889831.2189481538</v>
      </c>
      <c r="CL47" s="8">
        <f>+MINVU_Mes_Corriente!CL47*SALUD_Mes_Constante!$CC$1</f>
        <v>1889831.2189481538</v>
      </c>
      <c r="CM47" s="8">
        <f>+MINVU_Mes_Corriente!CM47*SALUD_Mes_Constante!$CC$1</f>
        <v>1889831.2189481538</v>
      </c>
      <c r="CN47" s="8">
        <f>+MINVU_Mes_Corriente!CN47*SALUD_Mes_Constante!$CC$1</f>
        <v>1394380.6572174563</v>
      </c>
      <c r="CO47" s="9">
        <f t="shared" si="25"/>
        <v>1394380.6572174563</v>
      </c>
      <c r="CP47" s="8">
        <f>+MINVU_Mes_Corriente!CP47*SALUD_Mes_Constante!$CP$1</f>
        <v>0</v>
      </c>
      <c r="CQ47" s="8">
        <f>+MINVU_Mes_Corriente!CQ47*SALUD_Mes_Constante!$CP$1</f>
        <v>0</v>
      </c>
      <c r="CR47" s="8">
        <f>+MINVU_Mes_Corriente!CR47*SALUD_Mes_Constante!$CP$1</f>
        <v>542479.70255220402</v>
      </c>
      <c r="CS47" s="8">
        <f>+MINVU_Mes_Corriente!CS47*SALUD_Mes_Constante!$CP$1</f>
        <v>542479.70255220402</v>
      </c>
      <c r="CT47" s="8">
        <f>+MINVU_Mes_Corriente!CT47*SALUD_Mes_Constante!$CP$1</f>
        <v>542479.70255220402</v>
      </c>
      <c r="CU47" s="8">
        <f>+MINVU_Mes_Corriente!CU47*SALUD_Mes_Constante!$CP$1</f>
        <v>542479.70255220402</v>
      </c>
      <c r="CV47" s="8">
        <f>+MINVU_Mes_Corriente!CV47*SALUD_Mes_Constante!$CP$1</f>
        <v>542479.70255220402</v>
      </c>
      <c r="CW47" s="8">
        <f>+MINVU_Mes_Corriente!CW47*SALUD_Mes_Constante!$CP$1</f>
        <v>542479.70255220402</v>
      </c>
      <c r="CX47" s="8">
        <f>+MINVU_Mes_Corriente!CX47*SALUD_Mes_Constante!$CP$1</f>
        <v>542479.70255220402</v>
      </c>
      <c r="CY47" s="8">
        <f>+MINVU_Mes_Corriente!CY47*SALUD_Mes_Constante!$CP$1</f>
        <v>542479.70255220402</v>
      </c>
      <c r="CZ47" s="8">
        <f>+MINVU_Mes_Corriente!CZ47*SALUD_Mes_Constante!$CP$1</f>
        <v>542479.70255220402</v>
      </c>
      <c r="DA47" s="8">
        <f>+MINVU_Mes_Corriente!DA47*SALUD_Mes_Constante!$CP$1</f>
        <v>191294.99373549881</v>
      </c>
      <c r="DB47" s="9">
        <f t="shared" si="26"/>
        <v>191294.99373549881</v>
      </c>
      <c r="DC47" s="8">
        <f>+MINVU_Mes_Corriente!DC47*SALUD_Mes_Constante!$DC$1</f>
        <v>0</v>
      </c>
      <c r="DD47" s="8">
        <f>+MINVU_Mes_Corriente!DD47*SALUD_Mes_Constante!$DC$1</f>
        <v>311411.7932311492</v>
      </c>
      <c r="DE47" s="8">
        <f>+MINVU_Mes_Corriente!DE47*SALUD_Mes_Constante!$DC$1</f>
        <v>311411.7932311492</v>
      </c>
      <c r="DF47" s="8">
        <f>+MINVU_Mes_Corriente!DF47*SALUD_Mes_Constante!$DC$1</f>
        <v>311411.7932311492</v>
      </c>
      <c r="DG47" s="8">
        <f>+MINVU_Mes_Corriente!DG47*SALUD_Mes_Constante!$DC$1</f>
        <v>311411.7932311492</v>
      </c>
      <c r="DH47" s="8">
        <f>+MINVU_Mes_Corriente!DH47*SALUD_Mes_Constante!$DC$1</f>
        <v>311411.7932311492</v>
      </c>
      <c r="DI47" s="8">
        <f>+MINVU_Mes_Corriente!DI47*SALUD_Mes_Constante!$DC$1</f>
        <v>311411.7932311492</v>
      </c>
      <c r="DJ47" s="8">
        <f>+MINVU_Mes_Corriente!DJ47*SALUD_Mes_Constante!$DC$1</f>
        <v>311411.7932311492</v>
      </c>
      <c r="DK47" s="8">
        <f>+MINVU_Mes_Corriente!DK47*SALUD_Mes_Constante!$DC$1</f>
        <v>311411.7932311492</v>
      </c>
      <c r="DL47" s="8">
        <f>+MINVU_Mes_Corriente!DL47*SALUD_Mes_Constante!$DC$1</f>
        <v>311411.7932311492</v>
      </c>
      <c r="DM47" s="8">
        <f>+MINVU_Mes_Corriente!DM47*SALUD_Mes_Constante!$DC$1</f>
        <v>311412.9171895897</v>
      </c>
      <c r="DN47" s="8">
        <f>+MINVU_Mes_Corriente!DN47*SALUD_Mes_Constante!$DC$1</f>
        <v>311412.9171895897</v>
      </c>
      <c r="DO47" s="9">
        <f t="shared" si="27"/>
        <v>311412.9171895897</v>
      </c>
      <c r="DP47" s="8">
        <f>+MINVU_Mes_Corriente!DP47*SALUD_Mes_Constante!$DP$1</f>
        <v>0</v>
      </c>
      <c r="DQ47" s="8">
        <f>+MINVU_Mes_Corriente!DQ47*SALUD_Mes_Constante!$DP$1</f>
        <v>0</v>
      </c>
      <c r="DR47" s="8">
        <f>+MINVU_Mes_Corriente!DR47*SALUD_Mes_Constante!$DP$1</f>
        <v>0</v>
      </c>
      <c r="DS47" s="8">
        <f>+MINVU_Mes_Corriente!DS47*SALUD_Mes_Constante!$DP$1</f>
        <v>0</v>
      </c>
      <c r="DT47" s="8">
        <f>+MINVU_Mes_Corriente!DT47*SALUD_Mes_Constante!$DP$1</f>
        <v>0</v>
      </c>
      <c r="DU47" s="8">
        <f>+MINVU_Mes_Corriente!DU47*SALUD_Mes_Constante!$DP$1</f>
        <v>0</v>
      </c>
      <c r="DV47" s="8">
        <f>+MINVU_Mes_Corriente!DV47*SALUD_Mes_Constante!$DP$1</f>
        <v>0</v>
      </c>
      <c r="DW47" s="8">
        <f>+MINVU_Mes_Corriente!DW47*SALUD_Mes_Constante!$DP$1</f>
        <v>0</v>
      </c>
      <c r="DX47" s="8">
        <f>+MINVU_Mes_Corriente!DX47*SALUD_Mes_Constante!$DP$1</f>
        <v>0</v>
      </c>
      <c r="DY47" s="8">
        <f>+MINVU_Mes_Corriente!DY47*SALUD_Mes_Constante!$DP$1</f>
        <v>0</v>
      </c>
      <c r="DZ47" s="8">
        <f>+MINVU_Mes_Corriente!DZ47*SALUD_Mes_Constante!$DP$1</f>
        <v>0</v>
      </c>
      <c r="EA47" s="8">
        <f>+MINVU_Mes_Corriente!EA47*SALUD_Mes_Constante!$DP$1</f>
        <v>10.813539192399052</v>
      </c>
      <c r="EB47" s="9">
        <f t="shared" si="28"/>
        <v>10.813539192399052</v>
      </c>
      <c r="EC47" s="8">
        <f>+MINVU_Mes_Corriente!EC47*SALUD_Mes_Constante!$EC$1</f>
        <v>0</v>
      </c>
      <c r="ED47" s="8">
        <f>+MINVU_Mes_Corriente!ED47*SALUD_Mes_Constante!$EC$1</f>
        <v>0</v>
      </c>
      <c r="EE47" s="8">
        <f>+MINVU_Mes_Corriente!EE47*SALUD_Mes_Constante!$EC$1</f>
        <v>0</v>
      </c>
      <c r="EF47" s="8">
        <f>+MINVU_Mes_Corriente!EF47*SALUD_Mes_Constante!$EC$1</f>
        <v>687342.84643060004</v>
      </c>
      <c r="EG47" s="8">
        <f>+MINVU_Mes_Corriente!EG47*SALUD_Mes_Constante!$EC$1</f>
        <v>687342.84643060004</v>
      </c>
      <c r="EH47" s="8">
        <f>+MINVU_Mes_Corriente!EH47*SALUD_Mes_Constante!$EC$1</f>
        <v>770322.30960045417</v>
      </c>
      <c r="EI47" s="8">
        <f>+MINVU_Mes_Corriente!EI47*SALUD_Mes_Constante!$EC$1</f>
        <v>770322.30960045417</v>
      </c>
      <c r="EJ47" s="8">
        <f>+MINVU_Mes_Corriente!EJ47*SALUD_Mes_Constante!$EC$1</f>
        <v>770322.30960045417</v>
      </c>
      <c r="EK47" s="8">
        <f>+MINVU_Mes_Corriente!EK47*SALUD_Mes_Constante!$EC$1</f>
        <v>770322.30960045417</v>
      </c>
      <c r="EL47" s="8">
        <f>+MINVU_Mes_Corriente!EL47*SALUD_Mes_Constante!$EC$1</f>
        <v>41613.349933724661</v>
      </c>
      <c r="EM47" s="8">
        <f>+MINVU_Mes_Corriente!EM47*SALUD_Mes_Constante!$EC$1</f>
        <v>41613.349933724661</v>
      </c>
      <c r="EN47" s="8">
        <f>+MINVU_Mes_Corriente!EN47*SALUD_Mes_Constante!$EC$1</f>
        <v>41613.349933724661</v>
      </c>
      <c r="EO47" s="9">
        <f t="shared" si="29"/>
        <v>41613.349933724661</v>
      </c>
      <c r="EP47" s="8">
        <f>+MINVU_Mes_Corriente!EP47*SALUD_Mes_Constante!$EP$1</f>
        <v>0</v>
      </c>
      <c r="EQ47" s="8">
        <f>+MINVU_Mes_Corriente!EQ47*SALUD_Mes_Constante!$EP$1</f>
        <v>1899765</v>
      </c>
      <c r="ER47" s="8">
        <f>+MINVU_Mes_Corriente!ER47*SALUD_Mes_Constante!$EP$1</f>
        <v>1899765</v>
      </c>
      <c r="ES47" s="8">
        <f>+MINVU_Mes_Corriente!ES47*SALUD_Mes_Constante!$EP$1</f>
        <v>1899765</v>
      </c>
      <c r="ET47" s="8">
        <f>+MINVU_Mes_Corriente!ET47*SALUD_Mes_Constante!$EP$1</f>
        <v>1899765</v>
      </c>
      <c r="EU47" s="8">
        <f>+MINVU_Mes_Corriente!EU47*SALUD_Mes_Constante!$EP$1</f>
        <v>1899765</v>
      </c>
      <c r="EV47" s="8">
        <f>+MINVU_Mes_Corriente!EV47*SALUD_Mes_Constante!$EP$1</f>
        <v>1899765</v>
      </c>
      <c r="EW47" s="8">
        <f>+MINVU_Mes_Corriente!EW47*SALUD_Mes_Constante!$EP$1</f>
        <v>303882</v>
      </c>
      <c r="EX47" s="8">
        <f>+MINVU_Mes_Corriente!EX47*SALUD_Mes_Constante!$EP$1</f>
        <v>303882</v>
      </c>
      <c r="EY47" s="8">
        <f>+MINVU_Mes_Corriente!EY47*SALUD_Mes_Constante!$EP$1</f>
        <v>303882</v>
      </c>
      <c r="EZ47" s="8">
        <f>+MINVU_Mes_Corriente!EZ47*SALUD_Mes_Constante!$EP$1</f>
        <v>303882</v>
      </c>
      <c r="FA47" s="8">
        <f>+MINVU_Mes_Corriente!FA47*SALUD_Mes_Constante!$EP$1</f>
        <v>11953</v>
      </c>
      <c r="FB47" s="9">
        <f t="shared" si="30"/>
        <v>11953</v>
      </c>
      <c r="FC47" s="8">
        <f>+MINVU_Mes_Corriente!FC47*SALUD_Mes_Constante!$FC$1</f>
        <v>3783756</v>
      </c>
      <c r="FD47" s="8">
        <f>+MINVU_Mes_Corriente!FD47*SALUD_Mes_Constante!$FC$1</f>
        <v>3783756</v>
      </c>
      <c r="FE47" s="8">
        <f>+MINVU_Mes_Corriente!FE47*SALUD_Mes_Constante!$FC$1</f>
        <v>3783756</v>
      </c>
      <c r="FF47" s="8">
        <f>+MINVU_Mes_Corriente!FF47*SALUD_Mes_Constante!$FC$1</f>
        <v>3783756</v>
      </c>
      <c r="FG47" s="8">
        <f>+MINVU_Mes_Corriente!FG47*SALUD_Mes_Constante!$FC$1</f>
        <v>3783756</v>
      </c>
      <c r="FH47" s="8">
        <f>+MINVU_Mes_Corriente!FH47*SALUD_Mes_Constante!$FC$1</f>
        <v>3783756</v>
      </c>
      <c r="FI47" s="8">
        <f>+MINVU_Mes_Corriente!FI47*SALUD_Mes_Constante!$FC$1</f>
        <v>3783756</v>
      </c>
      <c r="FJ47" s="8"/>
      <c r="FK47" s="8"/>
      <c r="FL47" s="8"/>
      <c r="FM47" s="8"/>
      <c r="FN47" s="8"/>
      <c r="FO47" s="9">
        <f t="shared" si="31"/>
        <v>3783756</v>
      </c>
    </row>
    <row r="48" spans="2:171" ht="14.25" customHeight="1" x14ac:dyDescent="0.3">
      <c r="B48" s="7" t="s">
        <v>47</v>
      </c>
      <c r="C48" s="8">
        <f>+MINVU_Mes_Corriente!C48*SALUD_Mes_Constante!$C$1</f>
        <v>0</v>
      </c>
      <c r="D48" s="8">
        <f>+MINVU_Mes_Corriente!D48*SALUD_Mes_Constante!$C$1</f>
        <v>15119121.072519653</v>
      </c>
      <c r="E48" s="8">
        <f>+MINVU_Mes_Corriente!E48*SALUD_Mes_Constante!$C$1</f>
        <v>19629267.901824117</v>
      </c>
      <c r="F48" s="8">
        <f>+MINVU_Mes_Corriente!F48*SALUD_Mes_Constante!$C$1</f>
        <v>19629267.901824117</v>
      </c>
      <c r="G48" s="8">
        <f>+MINVU_Mes_Corriente!G48*SALUD_Mes_Constante!$C$1</f>
        <v>19629267.901824117</v>
      </c>
      <c r="H48" s="8">
        <f>+MINVU_Mes_Corriente!H48*SALUD_Mes_Constante!$C$1</f>
        <v>19629267.901824117</v>
      </c>
      <c r="I48" s="8">
        <f>+MINVU_Mes_Corriente!I48*SALUD_Mes_Constante!$C$1</f>
        <v>19629267.901824117</v>
      </c>
      <c r="J48" s="8">
        <f>+MINVU_Mes_Corriente!J48*SALUD_Mes_Constante!$C$1</f>
        <v>19650244.914429784</v>
      </c>
      <c r="K48" s="8">
        <f>+MINVU_Mes_Corriente!K48*SALUD_Mes_Constante!$C$1</f>
        <v>19650244.914429784</v>
      </c>
      <c r="L48" s="8">
        <f>+MINVU_Mes_Corriente!L48*SALUD_Mes_Constante!$C$1</f>
        <v>19650244.914429784</v>
      </c>
      <c r="M48" s="8">
        <f>+MINVU_Mes_Corriente!M48*SALUD_Mes_Constante!$C$1</f>
        <v>7273977.6135251382</v>
      </c>
      <c r="N48" s="8">
        <f>+MINVU_Mes_Corriente!N48*SALUD_Mes_Constante!$C$1</f>
        <v>7273977.6135251382</v>
      </c>
      <c r="O48" s="9">
        <f t="shared" si="19"/>
        <v>7273977.6135251382</v>
      </c>
      <c r="P48" s="8">
        <f>+MINVU_Mes_Corriente!P48*SALUD_Mes_Constante!$P$1</f>
        <v>0</v>
      </c>
      <c r="Q48" s="8">
        <f>+MINVU_Mes_Corriente!Q48*SALUD_Mes_Constante!$P$1</f>
        <v>4170017.56357437</v>
      </c>
      <c r="R48" s="8">
        <f>+MINVU_Mes_Corriente!R48*SALUD_Mes_Constante!$P$1</f>
        <v>37852686.948714294</v>
      </c>
      <c r="S48" s="8">
        <f>+MINVU_Mes_Corriente!S48*SALUD_Mes_Constante!$P$1</f>
        <v>37852686.948714294</v>
      </c>
      <c r="T48" s="8">
        <f>+MINVU_Mes_Corriente!T48*SALUD_Mes_Constante!$P$1</f>
        <v>37852686.948714294</v>
      </c>
      <c r="U48" s="8">
        <f>+MINVU_Mes_Corriente!U48*SALUD_Mes_Constante!$P$1</f>
        <v>38554845.818724237</v>
      </c>
      <c r="V48" s="8">
        <f>+MINVU_Mes_Corriente!V48*SALUD_Mes_Constante!$P$1</f>
        <v>38554845.818724237</v>
      </c>
      <c r="W48" s="8">
        <f>+MINVU_Mes_Corriente!W48*SALUD_Mes_Constante!$P$1</f>
        <v>39024004.129847974</v>
      </c>
      <c r="X48" s="8">
        <f>+MINVU_Mes_Corriente!X48*SALUD_Mes_Constante!$P$1</f>
        <v>39024004.129847974</v>
      </c>
      <c r="Y48" s="8">
        <f>+MINVU_Mes_Corriente!Y48*SALUD_Mes_Constante!$P$1</f>
        <v>39286411.290524207</v>
      </c>
      <c r="Z48" s="8">
        <f>+MINVU_Mes_Corriente!Z48*SALUD_Mes_Constante!$P$1</f>
        <v>37385580.658048004</v>
      </c>
      <c r="AA48" s="8">
        <f>+MINVU_Mes_Corriente!AA48*SALUD_Mes_Constante!$P$1</f>
        <v>18733372.836482447</v>
      </c>
      <c r="AB48" s="9">
        <f t="shared" si="20"/>
        <v>18733372.836482447</v>
      </c>
      <c r="AC48" s="8">
        <f>+MINVU_Mes_Corriente!AC48*SALUD_Mes_Constante!$AC$1</f>
        <v>0</v>
      </c>
      <c r="AD48" s="8">
        <f>+MINVU_Mes_Corriente!AD48*SALUD_Mes_Constante!$AC$1</f>
        <v>16812023.161709782</v>
      </c>
      <c r="AE48" s="8">
        <f>+MINVU_Mes_Corriente!AE48*SALUD_Mes_Constante!$AC$1</f>
        <v>16935239.543505326</v>
      </c>
      <c r="AF48" s="8">
        <f>+MINVU_Mes_Corriente!AF48*SALUD_Mes_Constante!$AC$1</f>
        <v>16967898.141928345</v>
      </c>
      <c r="AG48" s="8">
        <f>+MINVU_Mes_Corriente!AG48*SALUD_Mes_Constante!$AC$1</f>
        <v>16967898.141928345</v>
      </c>
      <c r="AH48" s="8">
        <f>+MINVU_Mes_Corriente!AH48*SALUD_Mes_Constante!$AC$1</f>
        <v>16967898.141928345</v>
      </c>
      <c r="AI48" s="8">
        <f>+MINVU_Mes_Corriente!AI48*SALUD_Mes_Constante!$AC$1</f>
        <v>16967898.141928345</v>
      </c>
      <c r="AJ48" s="8">
        <f>+MINVU_Mes_Corriente!AJ48*SALUD_Mes_Constante!$AC$1</f>
        <v>16967898.141928345</v>
      </c>
      <c r="AK48" s="8">
        <f>+MINVU_Mes_Corriente!AK48*SALUD_Mes_Constante!$AC$1</f>
        <v>16967898.141928345</v>
      </c>
      <c r="AL48" s="8">
        <f>+MINVU_Mes_Corriente!AL48*SALUD_Mes_Constante!$AC$1</f>
        <v>11603632.666205561</v>
      </c>
      <c r="AM48" s="8">
        <f>+MINVU_Mes_Corriente!AM48*SALUD_Mes_Constante!$AC$1</f>
        <v>10603218.240697192</v>
      </c>
      <c r="AN48" s="8">
        <f>+MINVU_Mes_Corriente!AN48*SALUD_Mes_Constante!$AC$1</f>
        <v>7673207.829021995</v>
      </c>
      <c r="AO48" s="9">
        <f t="shared" si="21"/>
        <v>7673207.829021995</v>
      </c>
      <c r="AP48" s="8">
        <f>+MINVU_Mes_Corriente!AP48*SALUD_Mes_Constante!$AP$1</f>
        <v>0</v>
      </c>
      <c r="AQ48" s="8">
        <f>+MINVU_Mes_Corriente!AQ48*SALUD_Mes_Constante!$AP$1</f>
        <v>10804141.034762613</v>
      </c>
      <c r="AR48" s="8">
        <f>+MINVU_Mes_Corriente!AR48*SALUD_Mes_Constante!$AP$1</f>
        <v>11269772.18801569</v>
      </c>
      <c r="AS48" s="8">
        <f>+MINVU_Mes_Corriente!AS48*SALUD_Mes_Constante!$AP$1</f>
        <v>11269772.18801569</v>
      </c>
      <c r="AT48" s="8">
        <f>+MINVU_Mes_Corriente!AT48*SALUD_Mes_Constante!$AP$1</f>
        <v>11675037.671581225</v>
      </c>
      <c r="AU48" s="8">
        <f>+MINVU_Mes_Corriente!AU48*SALUD_Mes_Constante!$AP$1</f>
        <v>11765742.831867982</v>
      </c>
      <c r="AV48" s="8">
        <f>+MINVU_Mes_Corriente!AV48*SALUD_Mes_Constante!$AP$1</f>
        <v>11765742.831867982</v>
      </c>
      <c r="AW48" s="8">
        <f>+MINVU_Mes_Corriente!AW48*SALUD_Mes_Constante!$AP$1</f>
        <v>14389233.122142566</v>
      </c>
      <c r="AX48" s="8">
        <f>+MINVU_Mes_Corriente!AX48*SALUD_Mes_Constante!$AP$1</f>
        <v>14389233.122142566</v>
      </c>
      <c r="AY48" s="8">
        <f>+MINVU_Mes_Corriente!AY48*SALUD_Mes_Constante!$AP$1</f>
        <v>14522238.292168267</v>
      </c>
      <c r="AZ48" s="8">
        <f>+MINVU_Mes_Corriente!AZ48*SALUD_Mes_Constante!$AP$1</f>
        <v>14522238.292168267</v>
      </c>
      <c r="BA48" s="8">
        <f>+MINVU_Mes_Corriente!BA48*SALUD_Mes_Constante!$AP$1</f>
        <v>14772699.809549574</v>
      </c>
      <c r="BB48" s="9">
        <f t="shared" si="22"/>
        <v>14772699.809549574</v>
      </c>
      <c r="BC48" s="8">
        <f>+MINVU_Mes_Corriente!BC48*SALUD_Mes_Constante!$BC$1</f>
        <v>0</v>
      </c>
      <c r="BD48" s="8">
        <f>+MINVU_Mes_Corriente!BD48*SALUD_Mes_Constante!$BC$1</f>
        <v>0</v>
      </c>
      <c r="BE48" s="8">
        <f>+MINVU_Mes_Corriente!BE48*SALUD_Mes_Constante!$BC$1</f>
        <v>2297407.9883950949</v>
      </c>
      <c r="BF48" s="8">
        <f>+MINVU_Mes_Corriente!BF48*SALUD_Mes_Constante!$BC$1</f>
        <v>2297407.9883950949</v>
      </c>
      <c r="BG48" s="8">
        <f>+MINVU_Mes_Corriente!BG48*SALUD_Mes_Constante!$BC$1</f>
        <v>2297407.9883950949</v>
      </c>
      <c r="BH48" s="8">
        <f>+MINVU_Mes_Corriente!BH48*SALUD_Mes_Constante!$BC$1</f>
        <v>5389412.6767770024</v>
      </c>
      <c r="BI48" s="8">
        <f>+MINVU_Mes_Corriente!BI48*SALUD_Mes_Constante!$BC$1</f>
        <v>5389412.6767770024</v>
      </c>
      <c r="BJ48" s="8">
        <f>+MINVU_Mes_Corriente!BJ48*SALUD_Mes_Constante!$BC$1</f>
        <v>5672413.7992878826</v>
      </c>
      <c r="BK48" s="8">
        <f>+MINVU_Mes_Corriente!BK48*SALUD_Mes_Constante!$BC$1</f>
        <v>4657324.5694316244</v>
      </c>
      <c r="BL48" s="8">
        <f>+MINVU_Mes_Corriente!BL48*SALUD_Mes_Constante!$BC$1</f>
        <v>4657324.5694316244</v>
      </c>
      <c r="BM48" s="8">
        <f>+MINVU_Mes_Corriente!BM48*SALUD_Mes_Constante!$BC$1</f>
        <v>4657324.5694316244</v>
      </c>
      <c r="BN48" s="8">
        <f>+MINVU_Mes_Corriente!BN48*SALUD_Mes_Constante!$BC$1</f>
        <v>3121506.1851509963</v>
      </c>
      <c r="BO48" s="9">
        <f t="shared" si="23"/>
        <v>3121506.1851509963</v>
      </c>
      <c r="BP48" s="8">
        <f>+MINVU_Mes_Corriente!BP48*SALUD_Mes_Constante!$BP$1</f>
        <v>0</v>
      </c>
      <c r="BQ48" s="8">
        <f>+MINVU_Mes_Corriente!BQ48*SALUD_Mes_Constante!$BP$1</f>
        <v>0</v>
      </c>
      <c r="BR48" s="8">
        <f>+MINVU_Mes_Corriente!BR48*SALUD_Mes_Constante!$BP$1</f>
        <v>32946938.903201029</v>
      </c>
      <c r="BS48" s="8">
        <f>+MINVU_Mes_Corriente!BS48*SALUD_Mes_Constante!$BP$1</f>
        <v>32946938.903201029</v>
      </c>
      <c r="BT48" s="8">
        <f>+MINVU_Mes_Corriente!BT48*SALUD_Mes_Constante!$BP$1</f>
        <v>32946938.903201029</v>
      </c>
      <c r="BU48" s="8">
        <f>+MINVU_Mes_Corriente!BU48*SALUD_Mes_Constante!$BP$1</f>
        <v>30560352.158258647</v>
      </c>
      <c r="BV48" s="8">
        <f>+MINVU_Mes_Corriente!BV48*SALUD_Mes_Constante!$BP$1</f>
        <v>29854010.740332909</v>
      </c>
      <c r="BW48" s="8">
        <f>+MINVU_Mes_Corriente!BW48*SALUD_Mes_Constante!$BP$1</f>
        <v>29854010.740332909</v>
      </c>
      <c r="BX48" s="8">
        <f>+MINVU_Mes_Corriente!BX48*SALUD_Mes_Constante!$BP$1</f>
        <v>28871747.951600514</v>
      </c>
      <c r="BY48" s="8">
        <f>+MINVU_Mes_Corriente!BY48*SALUD_Mes_Constante!$BP$1</f>
        <v>28871747.951600514</v>
      </c>
      <c r="BZ48" s="8">
        <f>+MINVU_Mes_Corriente!BZ48*SALUD_Mes_Constante!$BP$1</f>
        <v>28871747.951600514</v>
      </c>
      <c r="CA48" s="8">
        <f>+MINVU_Mes_Corriente!CA48*SALUD_Mes_Constante!$BP$1</f>
        <v>32177221.089372601</v>
      </c>
      <c r="CB48" s="9">
        <f t="shared" si="24"/>
        <v>32177221.089372601</v>
      </c>
      <c r="CC48" s="8">
        <f>+MINVU_Mes_Corriente!CC48*SALUD_Mes_Constante!$CC$1</f>
        <v>0</v>
      </c>
      <c r="CD48" s="8">
        <f>+MINVU_Mes_Corriente!CD48*SALUD_Mes_Constante!$CC$1</f>
        <v>0</v>
      </c>
      <c r="CE48" s="8">
        <f>+MINVU_Mes_Corriente!CE48*SALUD_Mes_Constante!$CC$1</f>
        <v>58717998.966803439</v>
      </c>
      <c r="CF48" s="8">
        <f>+MINVU_Mes_Corriente!CF48*SALUD_Mes_Constante!$CC$1</f>
        <v>58717998.966803439</v>
      </c>
      <c r="CG48" s="8">
        <f>+MINVU_Mes_Corriente!CG48*SALUD_Mes_Constante!$CC$1</f>
        <v>58717998.966803439</v>
      </c>
      <c r="CH48" s="8">
        <f>+MINVU_Mes_Corriente!CH48*SALUD_Mes_Constante!$CC$1</f>
        <v>58717998.966803439</v>
      </c>
      <c r="CI48" s="8">
        <f>+MINVU_Mes_Corriente!CI48*SALUD_Mes_Constante!$CC$1</f>
        <v>58717998.966803439</v>
      </c>
      <c r="CJ48" s="8">
        <f>+MINVU_Mes_Corriente!CJ48*SALUD_Mes_Constante!$CC$1</f>
        <v>58717998.966803439</v>
      </c>
      <c r="CK48" s="8">
        <f>+MINVU_Mes_Corriente!CK48*SALUD_Mes_Constante!$CC$1</f>
        <v>61913979.6232749</v>
      </c>
      <c r="CL48" s="8">
        <f>+MINVU_Mes_Corriente!CL48*SALUD_Mes_Constante!$CC$1</f>
        <v>61983260.488623656</v>
      </c>
      <c r="CM48" s="8">
        <f>+MINVU_Mes_Corriente!CM48*SALUD_Mes_Constante!$CC$1</f>
        <v>53620359.081685945</v>
      </c>
      <c r="CN48" s="8">
        <f>+MINVU_Mes_Corriente!CN48*SALUD_Mes_Constante!$CC$1</f>
        <v>52797355.380828053</v>
      </c>
      <c r="CO48" s="9">
        <f t="shared" si="25"/>
        <v>52797355.380828053</v>
      </c>
      <c r="CP48" s="8">
        <f>+MINVU_Mes_Corriente!CP48*SALUD_Mes_Constante!$CP$1</f>
        <v>0</v>
      </c>
      <c r="CQ48" s="8">
        <f>+MINVU_Mes_Corriente!CQ48*SALUD_Mes_Constante!$CP$1</f>
        <v>59524804.904408343</v>
      </c>
      <c r="CR48" s="8">
        <f>+MINVU_Mes_Corriente!CR48*SALUD_Mes_Constante!$CP$1</f>
        <v>59524804.904408343</v>
      </c>
      <c r="CS48" s="8">
        <f>+MINVU_Mes_Corriente!CS48*SALUD_Mes_Constante!$CP$1</f>
        <v>59524804.904408343</v>
      </c>
      <c r="CT48" s="8">
        <f>+MINVU_Mes_Corriente!CT48*SALUD_Mes_Constante!$CP$1</f>
        <v>59524804.904408343</v>
      </c>
      <c r="CU48" s="8">
        <f>+MINVU_Mes_Corriente!CU48*SALUD_Mes_Constante!$CP$1</f>
        <v>59524804.904408343</v>
      </c>
      <c r="CV48" s="8">
        <f>+MINVU_Mes_Corriente!CV48*SALUD_Mes_Constante!$CP$1</f>
        <v>59524804.904408343</v>
      </c>
      <c r="CW48" s="8">
        <f>+MINVU_Mes_Corriente!CW48*SALUD_Mes_Constante!$CP$1</f>
        <v>59524804.904408343</v>
      </c>
      <c r="CX48" s="8">
        <f>+MINVU_Mes_Corriente!CX48*SALUD_Mes_Constante!$CP$1</f>
        <v>59524804.904408343</v>
      </c>
      <c r="CY48" s="8">
        <f>+MINVU_Mes_Corriente!CY48*SALUD_Mes_Constante!$CP$1</f>
        <v>59328716.159860775</v>
      </c>
      <c r="CZ48" s="8">
        <f>+MINVU_Mes_Corriente!CZ48*SALUD_Mes_Constante!$CP$1</f>
        <v>59328716.159860775</v>
      </c>
      <c r="DA48" s="8">
        <f>+MINVU_Mes_Corriente!DA48*SALUD_Mes_Constante!$CP$1</f>
        <v>36376176.430858463</v>
      </c>
      <c r="DB48" s="9">
        <f t="shared" si="26"/>
        <v>36376176.430858463</v>
      </c>
      <c r="DC48" s="8">
        <f>+MINVU_Mes_Corriente!DC48*SALUD_Mes_Constante!$DC$1</f>
        <v>0</v>
      </c>
      <c r="DD48" s="8">
        <f>+MINVU_Mes_Corriente!DD48*SALUD_Mes_Constante!$DC$1</f>
        <v>28138160.186812069</v>
      </c>
      <c r="DE48" s="8">
        <f>+MINVU_Mes_Corriente!DE48*SALUD_Mes_Constante!$DC$1</f>
        <v>28138160.186812069</v>
      </c>
      <c r="DF48" s="8">
        <f>+MINVU_Mes_Corriente!DF48*SALUD_Mes_Constante!$DC$1</f>
        <v>28138160.186812069</v>
      </c>
      <c r="DG48" s="8">
        <f>+MINVU_Mes_Corriente!DG48*SALUD_Mes_Constante!$DC$1</f>
        <v>28138160.186812069</v>
      </c>
      <c r="DH48" s="8">
        <f>+MINVU_Mes_Corriente!DH48*SALUD_Mes_Constante!$DC$1</f>
        <v>28520315.048246078</v>
      </c>
      <c r="DI48" s="8">
        <f>+MINVU_Mes_Corriente!DI48*SALUD_Mes_Constante!$DC$1</f>
        <v>28520315.048246078</v>
      </c>
      <c r="DJ48" s="8">
        <f>+MINVU_Mes_Corriente!DJ48*SALUD_Mes_Constante!$DC$1</f>
        <v>28520315.048246078</v>
      </c>
      <c r="DK48" s="8">
        <f>+MINVU_Mes_Corriente!DK48*SALUD_Mes_Constante!$DC$1</f>
        <v>10541881.583170461</v>
      </c>
      <c r="DL48" s="8">
        <f>+MINVU_Mes_Corriente!DL48*SALUD_Mes_Constante!$DC$1</f>
        <v>11015184.978294419</v>
      </c>
      <c r="DM48" s="8">
        <f>+MINVU_Mes_Corriente!DM48*SALUD_Mes_Constante!$DC$1</f>
        <v>10956595.272708574</v>
      </c>
      <c r="DN48" s="8">
        <f>+MINVU_Mes_Corriente!DN48*SALUD_Mes_Constante!$DC$1</f>
        <v>8626219.1807427257</v>
      </c>
      <c r="DO48" s="9">
        <f t="shared" si="27"/>
        <v>8626219.1807427257</v>
      </c>
      <c r="DP48" s="8">
        <f>+MINVU_Mes_Corriente!DP48*SALUD_Mes_Constante!$DP$1</f>
        <v>0</v>
      </c>
      <c r="DQ48" s="8">
        <f>+MINVU_Mes_Corriente!DQ48*SALUD_Mes_Constante!$DP$1</f>
        <v>26828914.111638956</v>
      </c>
      <c r="DR48" s="8">
        <f>+MINVU_Mes_Corriente!DR48*SALUD_Mes_Constante!$DP$1</f>
        <v>26828914.111638956</v>
      </c>
      <c r="DS48" s="8">
        <f>+MINVU_Mes_Corriente!DS48*SALUD_Mes_Constante!$DP$1</f>
        <v>26828914.111638956</v>
      </c>
      <c r="DT48" s="8">
        <f>+MINVU_Mes_Corriente!DT48*SALUD_Mes_Constante!$DP$1</f>
        <v>26893103.280285038</v>
      </c>
      <c r="DU48" s="8">
        <f>+MINVU_Mes_Corriente!DU48*SALUD_Mes_Constante!$DP$1</f>
        <v>26893103.280285038</v>
      </c>
      <c r="DV48" s="8">
        <f>+MINVU_Mes_Corriente!DV48*SALUD_Mes_Constante!$DP$1</f>
        <v>27303039.144299291</v>
      </c>
      <c r="DW48" s="8">
        <f>+MINVU_Mes_Corriente!DW48*SALUD_Mes_Constante!$DP$1</f>
        <v>26178161.811163899</v>
      </c>
      <c r="DX48" s="8">
        <f>+MINVU_Mes_Corriente!DX48*SALUD_Mes_Constante!$DP$1</f>
        <v>26178161.811163899</v>
      </c>
      <c r="DY48" s="8">
        <f>+MINVU_Mes_Corriente!DY48*SALUD_Mes_Constante!$DP$1</f>
        <v>26331106.346793354</v>
      </c>
      <c r="DZ48" s="8">
        <f>+MINVU_Mes_Corriente!DZ48*SALUD_Mes_Constante!$DP$1</f>
        <v>19978712.212589074</v>
      </c>
      <c r="EA48" s="8">
        <f>+MINVU_Mes_Corriente!EA48*SALUD_Mes_Constante!$DP$1</f>
        <v>19225142.618764848</v>
      </c>
      <c r="EB48" s="9">
        <f t="shared" si="28"/>
        <v>19225142.618764848</v>
      </c>
      <c r="EC48" s="8">
        <f>+MINVU_Mes_Corriente!EC48*SALUD_Mes_Constante!$EC$1</f>
        <v>0</v>
      </c>
      <c r="ED48" s="8">
        <f>+MINVU_Mes_Corriente!ED48*SALUD_Mes_Constante!$EC$1</f>
        <v>15286091.574512398</v>
      </c>
      <c r="EE48" s="8">
        <f>+MINVU_Mes_Corriente!EE48*SALUD_Mes_Constante!$EC$1</f>
        <v>16559914.004923305</v>
      </c>
      <c r="EF48" s="8">
        <f>+MINVU_Mes_Corriente!EF48*SALUD_Mes_Constante!$EC$1</f>
        <v>16837903.223631881</v>
      </c>
      <c r="EG48" s="8">
        <f>+MINVU_Mes_Corriente!EG48*SALUD_Mes_Constante!$EC$1</f>
        <v>16837903.223631881</v>
      </c>
      <c r="EH48" s="8">
        <f>+MINVU_Mes_Corriente!EH48*SALUD_Mes_Constante!$EC$1</f>
        <v>16837903.223631881</v>
      </c>
      <c r="EI48" s="8">
        <f>+MINVU_Mes_Corriente!EI48*SALUD_Mes_Constante!$EC$1</f>
        <v>19004653.572997533</v>
      </c>
      <c r="EJ48" s="8">
        <f>+MINVU_Mes_Corriente!EJ48*SALUD_Mes_Constante!$EC$1</f>
        <v>17898505.208861951</v>
      </c>
      <c r="EK48" s="8">
        <f>+MINVU_Mes_Corriente!EK48*SALUD_Mes_Constante!$EC$1</f>
        <v>17898505.208861951</v>
      </c>
      <c r="EL48" s="8">
        <f>+MINVU_Mes_Corriente!EL48*SALUD_Mes_Constante!$EC$1</f>
        <v>15914887.94338193</v>
      </c>
      <c r="EM48" s="8">
        <f>+MINVU_Mes_Corriente!EM48*SALUD_Mes_Constante!$EC$1</f>
        <v>11395816.965536827</v>
      </c>
      <c r="EN48" s="8">
        <f>+MINVU_Mes_Corriente!EN48*SALUD_Mes_Constante!$EC$1</f>
        <v>11115458.826169282</v>
      </c>
      <c r="EO48" s="9">
        <f t="shared" si="29"/>
        <v>11115458.826169282</v>
      </c>
      <c r="EP48" s="8">
        <f>+MINVU_Mes_Corriente!EP48*SALUD_Mes_Constante!$EP$1</f>
        <v>0</v>
      </c>
      <c r="EQ48" s="8">
        <f>+MINVU_Mes_Corriente!EQ48*SALUD_Mes_Constante!$EP$1</f>
        <v>19414328</v>
      </c>
      <c r="ER48" s="8">
        <f>+MINVU_Mes_Corriente!ER48*SALUD_Mes_Constante!$EP$1</f>
        <v>19414328</v>
      </c>
      <c r="ES48" s="8">
        <f>+MINVU_Mes_Corriente!ES48*SALUD_Mes_Constante!$EP$1</f>
        <v>19414328</v>
      </c>
      <c r="ET48" s="8">
        <f>+MINVU_Mes_Corriente!ET48*SALUD_Mes_Constante!$EP$1</f>
        <v>19414328</v>
      </c>
      <c r="EU48" s="8">
        <f>+MINVU_Mes_Corriente!EU48*SALUD_Mes_Constante!$EP$1</f>
        <v>19414328</v>
      </c>
      <c r="EV48" s="8">
        <f>+MINVU_Mes_Corriente!EV48*SALUD_Mes_Constante!$EP$1</f>
        <v>21993341</v>
      </c>
      <c r="EW48" s="8">
        <f>+MINVU_Mes_Corriente!EW48*SALUD_Mes_Constante!$EP$1</f>
        <v>21993341</v>
      </c>
      <c r="EX48" s="8">
        <f>+MINVU_Mes_Corriente!EX48*SALUD_Mes_Constante!$EP$1</f>
        <v>22644417</v>
      </c>
      <c r="EY48" s="8">
        <f>+MINVU_Mes_Corriente!EY48*SALUD_Mes_Constante!$EP$1</f>
        <v>22644417</v>
      </c>
      <c r="EZ48" s="8">
        <f>+MINVU_Mes_Corriente!EZ48*SALUD_Mes_Constante!$EP$1</f>
        <v>22644417</v>
      </c>
      <c r="FA48" s="8">
        <f>+MINVU_Mes_Corriente!FA48*SALUD_Mes_Constante!$EP$1</f>
        <v>23461897</v>
      </c>
      <c r="FB48" s="9">
        <f t="shared" si="30"/>
        <v>23461897</v>
      </c>
      <c r="FC48" s="8">
        <f>+MINVU_Mes_Corriente!FC48*SALUD_Mes_Constante!$FC$1</f>
        <v>22899006</v>
      </c>
      <c r="FD48" s="8">
        <f>+MINVU_Mes_Corriente!FD48*SALUD_Mes_Constante!$FC$1</f>
        <v>22899006</v>
      </c>
      <c r="FE48" s="8">
        <f>+MINVU_Mes_Corriente!FE48*SALUD_Mes_Constante!$FC$1</f>
        <v>22899006</v>
      </c>
      <c r="FF48" s="8">
        <f>+MINVU_Mes_Corriente!FF48*SALUD_Mes_Constante!$FC$1</f>
        <v>22899006</v>
      </c>
      <c r="FG48" s="8">
        <f>+MINVU_Mes_Corriente!FG48*SALUD_Mes_Constante!$FC$1</f>
        <v>22899006</v>
      </c>
      <c r="FH48" s="8">
        <f>+MINVU_Mes_Corriente!FH48*SALUD_Mes_Constante!$FC$1</f>
        <v>22899006</v>
      </c>
      <c r="FI48" s="8">
        <f>+MINVU_Mes_Corriente!FI48*SALUD_Mes_Constante!$FC$1</f>
        <v>22899006</v>
      </c>
      <c r="FJ48" s="8"/>
      <c r="FK48" s="8"/>
      <c r="FL48" s="8"/>
      <c r="FM48" s="8"/>
      <c r="FN48" s="8"/>
      <c r="FO48" s="9">
        <f t="shared" si="31"/>
        <v>22899006</v>
      </c>
    </row>
    <row r="49" spans="2:171" ht="14.25" customHeight="1" x14ac:dyDescent="0.3">
      <c r="B49" s="7" t="s">
        <v>48</v>
      </c>
      <c r="C49" s="8">
        <f>+MINVU_Mes_Corriente!C49*SALUD_Mes_Constante!$C$1</f>
        <v>0</v>
      </c>
      <c r="D49" s="8">
        <f>+MINVU_Mes_Corriente!D49*SALUD_Mes_Constante!$C$1</f>
        <v>0</v>
      </c>
      <c r="E49" s="8">
        <f>+MINVU_Mes_Corriente!E49*SALUD_Mes_Constante!$C$1</f>
        <v>5135456.5706658764</v>
      </c>
      <c r="F49" s="8">
        <f>+MINVU_Mes_Corriente!F49*SALUD_Mes_Constante!$C$1</f>
        <v>5135456.5706658764</v>
      </c>
      <c r="G49" s="8">
        <f>+MINVU_Mes_Corriente!G49*SALUD_Mes_Constante!$C$1</f>
        <v>5135456.5706658764</v>
      </c>
      <c r="H49" s="8">
        <f>+MINVU_Mes_Corriente!H49*SALUD_Mes_Constante!$C$1</f>
        <v>5135456.5706658764</v>
      </c>
      <c r="I49" s="8">
        <f>+MINVU_Mes_Corriente!I49*SALUD_Mes_Constante!$C$1</f>
        <v>5135456.5706658764</v>
      </c>
      <c r="J49" s="8">
        <f>+MINVU_Mes_Corriente!J49*SALUD_Mes_Constante!$C$1</f>
        <v>5135456.5706658764</v>
      </c>
      <c r="K49" s="8">
        <f>+MINVU_Mes_Corriente!K49*SALUD_Mes_Constante!$C$1</f>
        <v>5135456.5706658764</v>
      </c>
      <c r="L49" s="8">
        <f>+MINVU_Mes_Corriente!L49*SALUD_Mes_Constante!$C$1</f>
        <v>5135456.5706658764</v>
      </c>
      <c r="M49" s="8">
        <f>+MINVU_Mes_Corriente!M49*SALUD_Mes_Constante!$C$1</f>
        <v>3917809.5295862383</v>
      </c>
      <c r="N49" s="8">
        <f>+MINVU_Mes_Corriente!N49*SALUD_Mes_Constante!$C$1</f>
        <v>3917809.5295862383</v>
      </c>
      <c r="O49" s="9">
        <f t="shared" si="19"/>
        <v>3917809.5295862383</v>
      </c>
      <c r="P49" s="8">
        <f>+MINVU_Mes_Corriente!P49*SALUD_Mes_Constante!$P$1</f>
        <v>0</v>
      </c>
      <c r="Q49" s="8">
        <f>+MINVU_Mes_Corriente!Q49*SALUD_Mes_Constante!$P$1</f>
        <v>0</v>
      </c>
      <c r="R49" s="8">
        <f>+MINVU_Mes_Corriente!R49*SALUD_Mes_Constante!$P$1</f>
        <v>13390721.818440115</v>
      </c>
      <c r="S49" s="8">
        <f>+MINVU_Mes_Corriente!S49*SALUD_Mes_Constante!$P$1</f>
        <v>12617797.734621391</v>
      </c>
      <c r="T49" s="8">
        <f>+MINVU_Mes_Corriente!T49*SALUD_Mes_Constante!$P$1</f>
        <v>12648675.83065776</v>
      </c>
      <c r="U49" s="8">
        <f>+MINVU_Mes_Corriente!U49*SALUD_Mes_Constante!$P$1</f>
        <v>13335148.075294781</v>
      </c>
      <c r="V49" s="8">
        <f>+MINVU_Mes_Corriente!V49*SALUD_Mes_Constante!$P$1</f>
        <v>13940303.188521091</v>
      </c>
      <c r="W49" s="8">
        <f>+MINVU_Mes_Corriente!W49*SALUD_Mes_Constante!$P$1</f>
        <v>13940303.188521091</v>
      </c>
      <c r="X49" s="8">
        <f>+MINVU_Mes_Corriente!X49*SALUD_Mes_Constante!$P$1</f>
        <v>29181061.148174446</v>
      </c>
      <c r="Y49" s="8">
        <f>+MINVU_Mes_Corriente!Y49*SALUD_Mes_Constante!$P$1</f>
        <v>29181061.148174446</v>
      </c>
      <c r="Z49" s="8">
        <f>+MINVU_Mes_Corriente!Z49*SALUD_Mes_Constante!$P$1</f>
        <v>29531093.618127562</v>
      </c>
      <c r="AA49" s="8">
        <f>+MINVU_Mes_Corriente!AA49*SALUD_Mes_Constante!$P$1</f>
        <v>29531093.618127562</v>
      </c>
      <c r="AB49" s="9">
        <f t="shared" si="20"/>
        <v>29531093.618127562</v>
      </c>
      <c r="AC49" s="8">
        <f>+MINVU_Mes_Corriente!AC49*SALUD_Mes_Constante!$AC$1</f>
        <v>0</v>
      </c>
      <c r="AD49" s="8">
        <f>+MINVU_Mes_Corriente!AD49*SALUD_Mes_Constante!$AC$1</f>
        <v>1798474.9176926268</v>
      </c>
      <c r="AE49" s="8">
        <f>+MINVU_Mes_Corriente!AE49*SALUD_Mes_Constante!$AC$1</f>
        <v>1798474.9176926268</v>
      </c>
      <c r="AF49" s="8">
        <f>+MINVU_Mes_Corriente!AF49*SALUD_Mes_Constante!$AC$1</f>
        <v>33072689.137640059</v>
      </c>
      <c r="AG49" s="8">
        <f>+MINVU_Mes_Corriente!AG49*SALUD_Mes_Constante!$AC$1</f>
        <v>33072689.137640059</v>
      </c>
      <c r="AH49" s="8">
        <f>+MINVU_Mes_Corriente!AH49*SALUD_Mes_Constante!$AC$1</f>
        <v>33072689.137640059</v>
      </c>
      <c r="AI49" s="8">
        <f>+MINVU_Mes_Corriente!AI49*SALUD_Mes_Constante!$AC$1</f>
        <v>33954385.144556649</v>
      </c>
      <c r="AJ49" s="8">
        <f>+MINVU_Mes_Corriente!AJ49*SALUD_Mes_Constante!$AC$1</f>
        <v>33954385.144556649</v>
      </c>
      <c r="AK49" s="8">
        <f>+MINVU_Mes_Corriente!AK49*SALUD_Mes_Constante!$AC$1</f>
        <v>33954385.144556649</v>
      </c>
      <c r="AL49" s="8">
        <f>+MINVU_Mes_Corriente!AL49*SALUD_Mes_Constante!$AC$1</f>
        <v>33954385.144556649</v>
      </c>
      <c r="AM49" s="8">
        <f>+MINVU_Mes_Corriente!AM49*SALUD_Mes_Constante!$AC$1</f>
        <v>26962924.046202794</v>
      </c>
      <c r="AN49" s="8">
        <f>+MINVU_Mes_Corriente!AN49*SALUD_Mes_Constante!$AC$1</f>
        <v>26575954.115091991</v>
      </c>
      <c r="AO49" s="9">
        <f t="shared" si="21"/>
        <v>26575954.115091991</v>
      </c>
      <c r="AP49" s="8">
        <f>+MINVU_Mes_Corriente!AP49*SALUD_Mes_Constante!$AP$1</f>
        <v>0</v>
      </c>
      <c r="AQ49" s="8">
        <f>+MINVU_Mes_Corriente!AQ49*SALUD_Mes_Constante!$AP$1</f>
        <v>916278.03570945479</v>
      </c>
      <c r="AR49" s="8">
        <f>+MINVU_Mes_Corriente!AR49*SALUD_Mes_Constante!$AP$1</f>
        <v>916278.03570945479</v>
      </c>
      <c r="AS49" s="8">
        <f>+MINVU_Mes_Corriente!AS49*SALUD_Mes_Constante!$AP$1</f>
        <v>1726807.5249560394</v>
      </c>
      <c r="AT49" s="8">
        <f>+MINVU_Mes_Corriente!AT49*SALUD_Mes_Constante!$AP$1</f>
        <v>7638345.4662518594</v>
      </c>
      <c r="AU49" s="8">
        <f>+MINVU_Mes_Corriente!AU49*SALUD_Mes_Constante!$AP$1</f>
        <v>43512327.249560393</v>
      </c>
      <c r="AV49" s="8">
        <f>+MINVU_Mes_Corriente!AV49*SALUD_Mes_Constante!$AP$1</f>
        <v>43512327.249560393</v>
      </c>
      <c r="AW49" s="8">
        <f>+MINVU_Mes_Corriente!AW49*SALUD_Mes_Constante!$AP$1</f>
        <v>43512327.249560393</v>
      </c>
      <c r="AX49" s="8">
        <f>+MINVU_Mes_Corriente!AX49*SALUD_Mes_Constante!$AP$1</f>
        <v>43512327.249560393</v>
      </c>
      <c r="AY49" s="8">
        <f>+MINVU_Mes_Corriente!AY49*SALUD_Mes_Constante!$AP$1</f>
        <v>38010682.048153654</v>
      </c>
      <c r="AZ49" s="8">
        <f>+MINVU_Mes_Corriente!AZ49*SALUD_Mes_Constante!$AP$1</f>
        <v>38010682.048153654</v>
      </c>
      <c r="BA49" s="8">
        <f>+MINVU_Mes_Corriente!BA49*SALUD_Mes_Constante!$AP$1</f>
        <v>58723187.29554984</v>
      </c>
      <c r="BB49" s="9">
        <f t="shared" si="22"/>
        <v>58723187.29554984</v>
      </c>
      <c r="BC49" s="8">
        <f>+MINVU_Mes_Corriente!BC49*SALUD_Mes_Constante!$BC$1</f>
        <v>5913267.0447052633</v>
      </c>
      <c r="BD49" s="8">
        <f>+MINVU_Mes_Corriente!BD49*SALUD_Mes_Constante!$BC$1</f>
        <v>5913267.0447052633</v>
      </c>
      <c r="BE49" s="8">
        <f>+MINVU_Mes_Corriente!BE49*SALUD_Mes_Constante!$BC$1</f>
        <v>10437994.093102995</v>
      </c>
      <c r="BF49" s="8">
        <f>+MINVU_Mes_Corriente!BF49*SALUD_Mes_Constante!$BC$1</f>
        <v>10437994.093102995</v>
      </c>
      <c r="BG49" s="8">
        <f>+MINVU_Mes_Corriente!BG49*SALUD_Mes_Constante!$BC$1</f>
        <v>34995944.86034552</v>
      </c>
      <c r="BH49" s="8">
        <f>+MINVU_Mes_Corriente!BH49*SALUD_Mes_Constante!$BC$1</f>
        <v>34995944.86034552</v>
      </c>
      <c r="BI49" s="8">
        <f>+MINVU_Mes_Corriente!BI49*SALUD_Mes_Constante!$BC$1</f>
        <v>34995944.86034552</v>
      </c>
      <c r="BJ49" s="8">
        <f>+MINVU_Mes_Corriente!BJ49*SALUD_Mes_Constante!$BC$1</f>
        <v>34995944.86034552</v>
      </c>
      <c r="BK49" s="8">
        <f>+MINVU_Mes_Corriente!BK49*SALUD_Mes_Constante!$BC$1</f>
        <v>34538348.188579723</v>
      </c>
      <c r="BL49" s="8">
        <f>+MINVU_Mes_Corriente!BL49*SALUD_Mes_Constante!$BC$1</f>
        <v>27894711.975998953</v>
      </c>
      <c r="BM49" s="8">
        <f>+MINVU_Mes_Corriente!BM49*SALUD_Mes_Constante!$BC$1</f>
        <v>27744863.103521042</v>
      </c>
      <c r="BN49" s="8">
        <f>+MINVU_Mes_Corriente!BN49*SALUD_Mes_Constante!$BC$1</f>
        <v>23249356.585256502</v>
      </c>
      <c r="BO49" s="9">
        <f t="shared" si="23"/>
        <v>23249356.585256502</v>
      </c>
      <c r="BP49" s="8">
        <f>+MINVU_Mes_Corriente!BP49*SALUD_Mes_Constante!$BP$1</f>
        <v>0</v>
      </c>
      <c r="BQ49" s="8">
        <f>+MINVU_Mes_Corriente!BQ49*SALUD_Mes_Constante!$BP$1</f>
        <v>0</v>
      </c>
      <c r="BR49" s="8">
        <f>+MINVU_Mes_Corriente!BR49*SALUD_Mes_Constante!$BP$1</f>
        <v>13954133.205633804</v>
      </c>
      <c r="BS49" s="8">
        <f>+MINVU_Mes_Corriente!BS49*SALUD_Mes_Constante!$BP$1</f>
        <v>13954133.205633804</v>
      </c>
      <c r="BT49" s="8">
        <f>+MINVU_Mes_Corriente!BT49*SALUD_Mes_Constante!$BP$1</f>
        <v>13954133.205633804</v>
      </c>
      <c r="BU49" s="8">
        <f>+MINVU_Mes_Corriente!BU49*SALUD_Mes_Constante!$BP$1</f>
        <v>13954133.205633804</v>
      </c>
      <c r="BV49" s="8">
        <f>+MINVU_Mes_Corriente!BV49*SALUD_Mes_Constante!$BP$1</f>
        <v>13954133.205633804</v>
      </c>
      <c r="BW49" s="8">
        <f>+MINVU_Mes_Corriente!BW49*SALUD_Mes_Constante!$BP$1</f>
        <v>13791120.363380283</v>
      </c>
      <c r="BX49" s="8">
        <f>+MINVU_Mes_Corriente!BX49*SALUD_Mes_Constante!$BP$1</f>
        <v>13791120.363380283</v>
      </c>
      <c r="BY49" s="8">
        <f>+MINVU_Mes_Corriente!BY49*SALUD_Mes_Constante!$BP$1</f>
        <v>13791120.363380283</v>
      </c>
      <c r="BZ49" s="8">
        <f>+MINVU_Mes_Corriente!BZ49*SALUD_Mes_Constante!$BP$1</f>
        <v>13791120.363380283</v>
      </c>
      <c r="CA49" s="8">
        <f>+MINVU_Mes_Corriente!CA49*SALUD_Mes_Constante!$BP$1</f>
        <v>13232306.525992319</v>
      </c>
      <c r="CB49" s="9">
        <f t="shared" si="24"/>
        <v>13232306.525992319</v>
      </c>
      <c r="CC49" s="8">
        <f>+MINVU_Mes_Corriente!CC49*SALUD_Mes_Constante!$CC$1</f>
        <v>0</v>
      </c>
      <c r="CD49" s="8">
        <f>+MINVU_Mes_Corriente!CD49*SALUD_Mes_Constante!$CC$1</f>
        <v>0</v>
      </c>
      <c r="CE49" s="8">
        <f>+MINVU_Mes_Corriente!CE49*SALUD_Mes_Constante!$CC$1</f>
        <v>896109.95673256251</v>
      </c>
      <c r="CF49" s="8">
        <f>+MINVU_Mes_Corriente!CF49*SALUD_Mes_Constante!$CC$1</f>
        <v>7505331.9880641559</v>
      </c>
      <c r="CG49" s="8">
        <f>+MINVU_Mes_Corriente!CG49*SALUD_Mes_Constante!$CC$1</f>
        <v>7505331.9880641559</v>
      </c>
      <c r="CH49" s="8">
        <f>+MINVU_Mes_Corriente!CH49*SALUD_Mes_Constante!$CC$1</f>
        <v>7529013.8179783672</v>
      </c>
      <c r="CI49" s="8">
        <f>+MINVU_Mes_Corriente!CI49*SALUD_Mes_Constante!$CC$1</f>
        <v>7529013.8179783672</v>
      </c>
      <c r="CJ49" s="8">
        <f>+MINVU_Mes_Corriente!CJ49*SALUD_Mes_Constante!$CC$1</f>
        <v>7529013.8179783672</v>
      </c>
      <c r="CK49" s="8">
        <f>+MINVU_Mes_Corriente!CK49*SALUD_Mes_Constante!$CC$1</f>
        <v>7529013.8179783672</v>
      </c>
      <c r="CL49" s="8">
        <f>+MINVU_Mes_Corriente!CL49*SALUD_Mes_Constante!$CC$1</f>
        <v>7529013.8179783672</v>
      </c>
      <c r="CM49" s="8">
        <f>+MINVU_Mes_Corriente!CM49*SALUD_Mes_Constante!$CC$1</f>
        <v>7198848.3826930253</v>
      </c>
      <c r="CN49" s="8">
        <f>+MINVU_Mes_Corriente!CN49*SALUD_Mes_Constante!$CC$1</f>
        <v>1707509.7918687058</v>
      </c>
      <c r="CO49" s="9">
        <f t="shared" si="25"/>
        <v>1707509.7918687058</v>
      </c>
      <c r="CP49" s="8">
        <f>+MINVU_Mes_Corriente!CP49*SALUD_Mes_Constante!$CP$1</f>
        <v>0</v>
      </c>
      <c r="CQ49" s="8">
        <f>+MINVU_Mes_Corriente!CQ49*SALUD_Mes_Constante!$CP$1</f>
        <v>0</v>
      </c>
      <c r="CR49" s="8">
        <f>+MINVU_Mes_Corriente!CR49*SALUD_Mes_Constante!$CP$1</f>
        <v>647375.64013921097</v>
      </c>
      <c r="CS49" s="8">
        <f>+MINVU_Mes_Corriente!CS49*SALUD_Mes_Constante!$CP$1</f>
        <v>647375.64013921097</v>
      </c>
      <c r="CT49" s="8">
        <f>+MINVU_Mes_Corriente!CT49*SALUD_Mes_Constante!$CP$1</f>
        <v>647375.64013921097</v>
      </c>
      <c r="CU49" s="8">
        <f>+MINVU_Mes_Corriente!CU49*SALUD_Mes_Constante!$CP$1</f>
        <v>1065546.1085846866</v>
      </c>
      <c r="CV49" s="8">
        <f>+MINVU_Mes_Corriente!CV49*SALUD_Mes_Constante!$CP$1</f>
        <v>1065546.1085846866</v>
      </c>
      <c r="CW49" s="8">
        <f>+MINVU_Mes_Corriente!CW49*SALUD_Mes_Constante!$CP$1</f>
        <v>1065546.1085846866</v>
      </c>
      <c r="CX49" s="8">
        <f>+MINVU_Mes_Corriente!CX49*SALUD_Mes_Constante!$CP$1</f>
        <v>1065546.1085846866</v>
      </c>
      <c r="CY49" s="8">
        <f>+MINVU_Mes_Corriente!CY49*SALUD_Mes_Constante!$CP$1</f>
        <v>1053322.1707656609</v>
      </c>
      <c r="CZ49" s="8">
        <f>+MINVU_Mes_Corriente!CZ49*SALUD_Mes_Constante!$CP$1</f>
        <v>1053322.1707656609</v>
      </c>
      <c r="DA49" s="8">
        <f>+MINVU_Mes_Corriente!DA49*SALUD_Mes_Constante!$CP$1</f>
        <v>936680.14941995335</v>
      </c>
      <c r="DB49" s="9">
        <f t="shared" si="26"/>
        <v>936680.14941995335</v>
      </c>
      <c r="DC49" s="8">
        <f>+MINVU_Mes_Corriente!DC49*SALUD_Mes_Constante!$DC$1</f>
        <v>0</v>
      </c>
      <c r="DD49" s="8">
        <f>+MINVU_Mes_Corriente!DD49*SALUD_Mes_Constante!$DC$1</f>
        <v>0</v>
      </c>
      <c r="DE49" s="8">
        <f>+MINVU_Mes_Corriente!DE49*SALUD_Mes_Constante!$DC$1</f>
        <v>0</v>
      </c>
      <c r="DF49" s="8">
        <f>+MINVU_Mes_Corriente!DF49*SALUD_Mes_Constante!$DC$1</f>
        <v>0</v>
      </c>
      <c r="DG49" s="8">
        <f>+MINVU_Mes_Corriente!DG49*SALUD_Mes_Constante!$DC$1</f>
        <v>0</v>
      </c>
      <c r="DH49" s="8">
        <f>+MINVU_Mes_Corriente!DH49*SALUD_Mes_Constante!$DC$1</f>
        <v>0</v>
      </c>
      <c r="DI49" s="8">
        <f>+MINVU_Mes_Corriente!DI49*SALUD_Mes_Constante!$DC$1</f>
        <v>46610.556527106288</v>
      </c>
      <c r="DJ49" s="8">
        <f>+MINVU_Mes_Corriente!DJ49*SALUD_Mes_Constante!$DC$1</f>
        <v>46610.556527106288</v>
      </c>
      <c r="DK49" s="8">
        <f>+MINVU_Mes_Corriente!DK49*SALUD_Mes_Constante!$DC$1</f>
        <v>46610.556527106288</v>
      </c>
      <c r="DL49" s="8">
        <f>+MINVU_Mes_Corriente!DL49*SALUD_Mes_Constante!$DC$1</f>
        <v>46610.556527106288</v>
      </c>
      <c r="DM49" s="8">
        <f>+MINVU_Mes_Corriente!DM49*SALUD_Mes_Constante!$DC$1</f>
        <v>46610.556527106288</v>
      </c>
      <c r="DN49" s="8">
        <f>+MINVU_Mes_Corriente!DN49*SALUD_Mes_Constante!$DC$1</f>
        <v>7294.4902787779074</v>
      </c>
      <c r="DO49" s="9">
        <f t="shared" si="27"/>
        <v>7294.4902787779074</v>
      </c>
      <c r="DP49" s="8">
        <f>+MINVU_Mes_Corriente!DP49*SALUD_Mes_Constante!$DP$1</f>
        <v>0</v>
      </c>
      <c r="DQ49" s="8">
        <f>+MINVU_Mes_Corriente!DQ49*SALUD_Mes_Constante!$DP$1</f>
        <v>37825.760095011879</v>
      </c>
      <c r="DR49" s="8">
        <f>+MINVU_Mes_Corriente!DR49*SALUD_Mes_Constante!$DP$1</f>
        <v>37825.760095011879</v>
      </c>
      <c r="DS49" s="8">
        <f>+MINVU_Mes_Corriente!DS49*SALUD_Mes_Constante!$DP$1</f>
        <v>37825.760095011879</v>
      </c>
      <c r="DT49" s="8">
        <f>+MINVU_Mes_Corriente!DT49*SALUD_Mes_Constante!$DP$1</f>
        <v>37825.760095011879</v>
      </c>
      <c r="DU49" s="8">
        <f>+MINVU_Mes_Corriente!DU49*SALUD_Mes_Constante!$DP$1</f>
        <v>37825.760095011879</v>
      </c>
      <c r="DV49" s="8">
        <f>+MINVU_Mes_Corriente!DV49*SALUD_Mes_Constante!$DP$1</f>
        <v>37825.760095011879</v>
      </c>
      <c r="DW49" s="8">
        <f>+MINVU_Mes_Corriente!DW49*SALUD_Mes_Constante!$DP$1</f>
        <v>37825.760095011879</v>
      </c>
      <c r="DX49" s="8">
        <f>+MINVU_Mes_Corriente!DX49*SALUD_Mes_Constante!$DP$1</f>
        <v>37825.760095011879</v>
      </c>
      <c r="DY49" s="8">
        <f>+MINVU_Mes_Corriente!DY49*SALUD_Mes_Constante!$DP$1</f>
        <v>109224.31532066509</v>
      </c>
      <c r="DZ49" s="8">
        <f>+MINVU_Mes_Corriente!DZ49*SALUD_Mes_Constante!$DP$1</f>
        <v>136549.04750593824</v>
      </c>
      <c r="EA49" s="8">
        <f>+MINVU_Mes_Corriente!EA49*SALUD_Mes_Constante!$DP$1</f>
        <v>136559.86104513064</v>
      </c>
      <c r="EB49" s="9">
        <f t="shared" si="28"/>
        <v>136559.86104513064</v>
      </c>
      <c r="EC49" s="8">
        <f>+MINVU_Mes_Corriente!EC49*SALUD_Mes_Constante!$EC$1</f>
        <v>0</v>
      </c>
      <c r="ED49" s="8">
        <f>+MINVU_Mes_Corriente!ED49*SALUD_Mes_Constante!$EC$1</f>
        <v>534214.36678659322</v>
      </c>
      <c r="EE49" s="8">
        <f>+MINVU_Mes_Corriente!EE49*SALUD_Mes_Constante!$EC$1</f>
        <v>534214.36678659322</v>
      </c>
      <c r="EF49" s="8">
        <f>+MINVU_Mes_Corriente!EF49*SALUD_Mes_Constante!$EC$1</f>
        <v>534214.36678659322</v>
      </c>
      <c r="EG49" s="8">
        <f>+MINVU_Mes_Corriente!EG49*SALUD_Mes_Constante!$EC$1</f>
        <v>534214.36678659322</v>
      </c>
      <c r="EH49" s="8">
        <f>+MINVU_Mes_Corriente!EH49*SALUD_Mes_Constante!$EC$1</f>
        <v>534214.36678659322</v>
      </c>
      <c r="EI49" s="8">
        <f>+MINVU_Mes_Corriente!EI49*SALUD_Mes_Constante!$EC$1</f>
        <v>534214.36678659322</v>
      </c>
      <c r="EJ49" s="8">
        <f>+MINVU_Mes_Corriente!EJ49*SALUD_Mes_Constante!$EC$1</f>
        <v>699370.54970649478</v>
      </c>
      <c r="EK49" s="8">
        <f>+MINVU_Mes_Corriente!EK49*SALUD_Mes_Constante!$EC$1</f>
        <v>699370.54970649478</v>
      </c>
      <c r="EL49" s="8">
        <f>+MINVU_Mes_Corriente!EL49*SALUD_Mes_Constante!$EC$1</f>
        <v>762760.38382882008</v>
      </c>
      <c r="EM49" s="8">
        <f>+MINVU_Mes_Corriente!EM49*SALUD_Mes_Constante!$EC$1</f>
        <v>385424.42567695503</v>
      </c>
      <c r="EN49" s="8">
        <f>+MINVU_Mes_Corriente!EN49*SALUD_Mes_Constante!$EC$1</f>
        <v>374046.36527172872</v>
      </c>
      <c r="EO49" s="9">
        <f t="shared" si="29"/>
        <v>374046.36527172872</v>
      </c>
      <c r="EP49" s="8">
        <f>+MINVU_Mes_Corriente!EP49*SALUD_Mes_Constante!$EP$1</f>
        <v>0</v>
      </c>
      <c r="EQ49" s="8">
        <f>+MINVU_Mes_Corriente!EQ49*SALUD_Mes_Constante!$EP$1</f>
        <v>3180410</v>
      </c>
      <c r="ER49" s="8">
        <f>+MINVU_Mes_Corriente!ER49*SALUD_Mes_Constante!$EP$1</f>
        <v>3180410</v>
      </c>
      <c r="ES49" s="8">
        <f>+MINVU_Mes_Corriente!ES49*SALUD_Mes_Constante!$EP$1</f>
        <v>3180410</v>
      </c>
      <c r="ET49" s="8">
        <f>+MINVU_Mes_Corriente!ET49*SALUD_Mes_Constante!$EP$1</f>
        <v>3180410</v>
      </c>
      <c r="EU49" s="8">
        <f>+MINVU_Mes_Corriente!EU49*SALUD_Mes_Constante!$EP$1</f>
        <v>3180410</v>
      </c>
      <c r="EV49" s="8">
        <f>+MINVU_Mes_Corriente!EV49*SALUD_Mes_Constante!$EP$1</f>
        <v>3408370</v>
      </c>
      <c r="EW49" s="8">
        <f>+MINVU_Mes_Corriente!EW49*SALUD_Mes_Constante!$EP$1</f>
        <v>3408370</v>
      </c>
      <c r="EX49" s="8">
        <f>+MINVU_Mes_Corriente!EX49*SALUD_Mes_Constante!$EP$1</f>
        <v>3408370</v>
      </c>
      <c r="EY49" s="8">
        <f>+MINVU_Mes_Corriente!EY49*SALUD_Mes_Constante!$EP$1</f>
        <v>3408370</v>
      </c>
      <c r="EZ49" s="8">
        <f>+MINVU_Mes_Corriente!EZ49*SALUD_Mes_Constante!$EP$1</f>
        <v>481841</v>
      </c>
      <c r="FA49" s="8">
        <f>+MINVU_Mes_Corriente!FA49*SALUD_Mes_Constante!$EP$1</f>
        <v>3808031</v>
      </c>
      <c r="FB49" s="9">
        <f t="shared" si="30"/>
        <v>3808031</v>
      </c>
      <c r="FC49" s="8">
        <f>+MINVU_Mes_Corriente!FC49*SALUD_Mes_Constante!$FC$1</f>
        <v>3191908</v>
      </c>
      <c r="FD49" s="8">
        <f>+MINVU_Mes_Corriente!FD49*SALUD_Mes_Constante!$FC$1</f>
        <v>3191908</v>
      </c>
      <c r="FE49" s="8">
        <f>+MINVU_Mes_Corriente!FE49*SALUD_Mes_Constante!$FC$1</f>
        <v>3191908</v>
      </c>
      <c r="FF49" s="8">
        <f>+MINVU_Mes_Corriente!FF49*SALUD_Mes_Constante!$FC$1</f>
        <v>3191908</v>
      </c>
      <c r="FG49" s="8">
        <f>+MINVU_Mes_Corriente!FG49*SALUD_Mes_Constante!$FC$1</f>
        <v>3191908</v>
      </c>
      <c r="FH49" s="8">
        <f>+MINVU_Mes_Corriente!FH49*SALUD_Mes_Constante!$FC$1</f>
        <v>3368346</v>
      </c>
      <c r="FI49" s="8">
        <f>+MINVU_Mes_Corriente!FI49*SALUD_Mes_Constante!$FC$1</f>
        <v>3368346</v>
      </c>
      <c r="FJ49" s="8"/>
      <c r="FK49" s="8"/>
      <c r="FL49" s="8"/>
      <c r="FM49" s="8"/>
      <c r="FN49" s="8"/>
      <c r="FO49" s="9">
        <f t="shared" si="31"/>
        <v>3368346</v>
      </c>
    </row>
    <row r="50" spans="2:171" ht="14.25" customHeight="1" x14ac:dyDescent="0.3">
      <c r="B50" s="7" t="s">
        <v>49</v>
      </c>
      <c r="C50" s="8">
        <f>+MINVU_Mes_Corriente!C50*SALUD_Mes_Constante!$C$1</f>
        <v>0</v>
      </c>
      <c r="D50" s="8">
        <f>+MINVU_Mes_Corriente!D50*SALUD_Mes_Constante!$C$1</f>
        <v>4279767.5094171744</v>
      </c>
      <c r="E50" s="8">
        <f>+MINVU_Mes_Corriente!E50*SALUD_Mes_Constante!$C$1</f>
        <v>4279767.5094171744</v>
      </c>
      <c r="F50" s="8">
        <f>+MINVU_Mes_Corriente!F50*SALUD_Mes_Constante!$C$1</f>
        <v>4279767.5094171744</v>
      </c>
      <c r="G50" s="8">
        <f>+MINVU_Mes_Corriente!G50*SALUD_Mes_Constante!$C$1</f>
        <v>4279767.5094171744</v>
      </c>
      <c r="H50" s="8">
        <f>+MINVU_Mes_Corriente!H50*SALUD_Mes_Constante!$C$1</f>
        <v>4279767.5094171744</v>
      </c>
      <c r="I50" s="8">
        <f>+MINVU_Mes_Corriente!I50*SALUD_Mes_Constante!$C$1</f>
        <v>4279767.5094171744</v>
      </c>
      <c r="J50" s="8">
        <f>+MINVU_Mes_Corriente!J50*SALUD_Mes_Constante!$C$1</f>
        <v>4279767.5094171744</v>
      </c>
      <c r="K50" s="8">
        <f>+MINVU_Mes_Corriente!K50*SALUD_Mes_Constante!$C$1</f>
        <v>4279767.5094171744</v>
      </c>
      <c r="L50" s="8">
        <f>+MINVU_Mes_Corriente!L50*SALUD_Mes_Constante!$C$1</f>
        <v>4279767.5094171744</v>
      </c>
      <c r="M50" s="8">
        <f>+MINVU_Mes_Corriente!M50*SALUD_Mes_Constante!$C$1</f>
        <v>6822182.7335014101</v>
      </c>
      <c r="N50" s="8">
        <f>+MINVU_Mes_Corriente!N50*SALUD_Mes_Constante!$C$1</f>
        <v>6822182.7335014101</v>
      </c>
      <c r="O50" s="9">
        <f t="shared" si="19"/>
        <v>6822182.7335014101</v>
      </c>
      <c r="P50" s="8">
        <f>+MINVU_Mes_Corriente!P50*SALUD_Mes_Constante!$P$1</f>
        <v>0</v>
      </c>
      <c r="Q50" s="8">
        <f>+MINVU_Mes_Corriente!Q50*SALUD_Mes_Constante!$P$1</f>
        <v>5490741.0814036066</v>
      </c>
      <c r="R50" s="8">
        <f>+MINVU_Mes_Corriente!R50*SALUD_Mes_Constante!$P$1</f>
        <v>5490741.0814036066</v>
      </c>
      <c r="S50" s="8">
        <f>+MINVU_Mes_Corriente!S50*SALUD_Mes_Constante!$P$1</f>
        <v>5505473.0981673514</v>
      </c>
      <c r="T50" s="8">
        <f>+MINVU_Mes_Corriente!T50*SALUD_Mes_Constante!$P$1</f>
        <v>5505473.0981673514</v>
      </c>
      <c r="U50" s="8">
        <f>+MINVU_Mes_Corriente!U50*SALUD_Mes_Constante!$P$1</f>
        <v>5505473.0981673514</v>
      </c>
      <c r="V50" s="8">
        <f>+MINVU_Mes_Corriente!V50*SALUD_Mes_Constante!$P$1</f>
        <v>5505473.0981673514</v>
      </c>
      <c r="W50" s="8">
        <f>+MINVU_Mes_Corriente!W50*SALUD_Mes_Constante!$P$1</f>
        <v>8947003.2206279263</v>
      </c>
      <c r="X50" s="8">
        <f>+MINVU_Mes_Corriente!X50*SALUD_Mes_Constante!$P$1</f>
        <v>8947003.2206279263</v>
      </c>
      <c r="Y50" s="8">
        <f>+MINVU_Mes_Corriente!Y50*SALUD_Mes_Constante!$P$1</f>
        <v>8947003.2206279263</v>
      </c>
      <c r="Z50" s="8">
        <f>+MINVU_Mes_Corriente!Z50*SALUD_Mes_Constante!$P$1</f>
        <v>9405328.6642989032</v>
      </c>
      <c r="AA50" s="8">
        <f>+MINVU_Mes_Corriente!AA50*SALUD_Mes_Constante!$P$1</f>
        <v>11140659.65591703</v>
      </c>
      <c r="AB50" s="9">
        <f t="shared" si="20"/>
        <v>11140659.65591703</v>
      </c>
      <c r="AC50" s="8">
        <f>+MINVU_Mes_Corriente!AC50*SALUD_Mes_Constante!$AC$1</f>
        <v>0</v>
      </c>
      <c r="AD50" s="8">
        <f>+MINVU_Mes_Corriente!AD50*SALUD_Mes_Constante!$AC$1</f>
        <v>7919465.2687785309</v>
      </c>
      <c r="AE50" s="8">
        <f>+MINVU_Mes_Corriente!AE50*SALUD_Mes_Constante!$AC$1</f>
        <v>7919465.2687785309</v>
      </c>
      <c r="AF50" s="8">
        <f>+MINVU_Mes_Corriente!AF50*SALUD_Mes_Constante!$AC$1</f>
        <v>7919465.2687785309</v>
      </c>
      <c r="AG50" s="8">
        <f>+MINVU_Mes_Corriente!AG50*SALUD_Mes_Constante!$AC$1</f>
        <v>8053497.3174712965</v>
      </c>
      <c r="AH50" s="8">
        <f>+MINVU_Mes_Corriente!AH50*SALUD_Mes_Constante!$AC$1</f>
        <v>8053497.3174712965</v>
      </c>
      <c r="AI50" s="8">
        <f>+MINVU_Mes_Corriente!AI50*SALUD_Mes_Constante!$AC$1</f>
        <v>8053497.3174712965</v>
      </c>
      <c r="AJ50" s="8">
        <f>+MINVU_Mes_Corriente!AJ50*SALUD_Mes_Constante!$AC$1</f>
        <v>8053497.3174712965</v>
      </c>
      <c r="AK50" s="8">
        <f>+MINVU_Mes_Corriente!AK50*SALUD_Mes_Constante!$AC$1</f>
        <v>8053497.3174712965</v>
      </c>
      <c r="AL50" s="8">
        <f>+MINVU_Mes_Corriente!AL50*SALUD_Mes_Constante!$AC$1</f>
        <v>8053497.3174712965</v>
      </c>
      <c r="AM50" s="8">
        <f>+MINVU_Mes_Corriente!AM50*SALUD_Mes_Constante!$AC$1</f>
        <v>8302040.0127265183</v>
      </c>
      <c r="AN50" s="8">
        <f>+MINVU_Mes_Corriente!AN50*SALUD_Mes_Constante!$AC$1</f>
        <v>9731949.4676995426</v>
      </c>
      <c r="AO50" s="9">
        <f t="shared" si="21"/>
        <v>9731949.4676995426</v>
      </c>
      <c r="AP50" s="8">
        <f>+MINVU_Mes_Corriente!AP50*SALUD_Mes_Constante!$AP$1</f>
        <v>0</v>
      </c>
      <c r="AQ50" s="8">
        <f>+MINVU_Mes_Corriente!AQ50*SALUD_Mes_Constante!$AP$1</f>
        <v>0</v>
      </c>
      <c r="AR50" s="8">
        <f>+MINVU_Mes_Corriente!AR50*SALUD_Mes_Constante!$AP$1</f>
        <v>0</v>
      </c>
      <c r="AS50" s="8">
        <f>+MINVU_Mes_Corriente!AS50*SALUD_Mes_Constante!$AP$1</f>
        <v>0</v>
      </c>
      <c r="AT50" s="8">
        <f>+MINVU_Mes_Corriente!AT50*SALUD_Mes_Constante!$AP$1</f>
        <v>0</v>
      </c>
      <c r="AU50" s="8">
        <f>+MINVU_Mes_Corriente!AU50*SALUD_Mes_Constante!$AP$1</f>
        <v>52696.92709319626</v>
      </c>
      <c r="AV50" s="8">
        <f>+MINVU_Mes_Corriente!AV50*SALUD_Mes_Constante!$AP$1</f>
        <v>52696.92709319626</v>
      </c>
      <c r="AW50" s="8">
        <f>+MINVU_Mes_Corriente!AW50*SALUD_Mes_Constante!$AP$1</f>
        <v>52696.92709319626</v>
      </c>
      <c r="AX50" s="8">
        <f>+MINVU_Mes_Corriente!AX50*SALUD_Mes_Constante!$AP$1</f>
        <v>52696.92709319626</v>
      </c>
      <c r="AY50" s="8">
        <f>+MINVU_Mes_Corriente!AY50*SALUD_Mes_Constante!$AP$1</f>
        <v>52696.92709319626</v>
      </c>
      <c r="AZ50" s="8">
        <f>+MINVU_Mes_Corriente!AZ50*SALUD_Mes_Constante!$AP$1</f>
        <v>52696.92709319626</v>
      </c>
      <c r="BA50" s="8">
        <f>+MINVU_Mes_Corriente!BA50*SALUD_Mes_Constante!$AP$1</f>
        <v>272173.11835520086</v>
      </c>
      <c r="BB50" s="9">
        <f t="shared" si="22"/>
        <v>272173.11835520086</v>
      </c>
      <c r="BC50" s="8">
        <f>+MINVU_Mes_Corriente!BC50*SALUD_Mes_Constante!$BC$1</f>
        <v>0</v>
      </c>
      <c r="BD50" s="8">
        <f>+MINVU_Mes_Corriente!BD50*SALUD_Mes_Constante!$BC$1</f>
        <v>0</v>
      </c>
      <c r="BE50" s="8">
        <f>+MINVU_Mes_Corriente!BE50*SALUD_Mes_Constante!$BC$1</f>
        <v>11305362.592641437</v>
      </c>
      <c r="BF50" s="8">
        <f>+MINVU_Mes_Corriente!BF50*SALUD_Mes_Constante!$BC$1</f>
        <v>11508523.083212452</v>
      </c>
      <c r="BG50" s="8">
        <f>+MINVU_Mes_Corriente!BG50*SALUD_Mes_Constante!$BC$1</f>
        <v>11508523.083212452</v>
      </c>
      <c r="BH50" s="8">
        <f>+MINVU_Mes_Corriente!BH50*SALUD_Mes_Constante!$BC$1</f>
        <v>11508523.083212452</v>
      </c>
      <c r="BI50" s="8">
        <f>+MINVU_Mes_Corriente!BI50*SALUD_Mes_Constante!$BC$1</f>
        <v>11508523.083212452</v>
      </c>
      <c r="BJ50" s="8">
        <f>+MINVU_Mes_Corriente!BJ50*SALUD_Mes_Constante!$BC$1</f>
        <v>5413670.9038639078</v>
      </c>
      <c r="BK50" s="8">
        <f>+MINVU_Mes_Corriente!BK50*SALUD_Mes_Constante!$BC$1</f>
        <v>5413670.9038639078</v>
      </c>
      <c r="BL50" s="8">
        <f>+MINVU_Mes_Corriente!BL50*SALUD_Mes_Constante!$BC$1</f>
        <v>5413670.9038639078</v>
      </c>
      <c r="BM50" s="8">
        <f>+MINVU_Mes_Corriente!BM50*SALUD_Mes_Constante!$BC$1</f>
        <v>5413670.9038639078</v>
      </c>
      <c r="BN50" s="8">
        <f>+MINVU_Mes_Corriente!BN50*SALUD_Mes_Constante!$BC$1</f>
        <v>258513.7995516287</v>
      </c>
      <c r="BO50" s="9">
        <f t="shared" si="23"/>
        <v>258513.7995516287</v>
      </c>
      <c r="BP50" s="8">
        <f>+MINVU_Mes_Corriente!BP50*SALUD_Mes_Constante!$BP$1</f>
        <v>0</v>
      </c>
      <c r="BQ50" s="8">
        <f>+MINVU_Mes_Corriente!BQ50*SALUD_Mes_Constante!$BP$1</f>
        <v>0</v>
      </c>
      <c r="BR50" s="8">
        <f>+MINVU_Mes_Corriente!BR50*SALUD_Mes_Constante!$BP$1</f>
        <v>4022641.2284250963</v>
      </c>
      <c r="BS50" s="8">
        <f>+MINVU_Mes_Corriente!BS50*SALUD_Mes_Constante!$BP$1</f>
        <v>4022641.2284250963</v>
      </c>
      <c r="BT50" s="8">
        <f>+MINVU_Mes_Corriente!BT50*SALUD_Mes_Constante!$BP$1</f>
        <v>4022641.2284250963</v>
      </c>
      <c r="BU50" s="8">
        <f>+MINVU_Mes_Corriente!BU50*SALUD_Mes_Constante!$BP$1</f>
        <v>4022641.2284250963</v>
      </c>
      <c r="BV50" s="8">
        <f>+MINVU_Mes_Corriente!BV50*SALUD_Mes_Constante!$BP$1</f>
        <v>1882027.982074264</v>
      </c>
      <c r="BW50" s="8">
        <f>+MINVU_Mes_Corriente!BW50*SALUD_Mes_Constante!$BP$1</f>
        <v>659720.55364916776</v>
      </c>
      <c r="BX50" s="8">
        <f>+MINVU_Mes_Corriente!BX50*SALUD_Mes_Constante!$BP$1</f>
        <v>659720.55364916776</v>
      </c>
      <c r="BY50" s="8">
        <f>+MINVU_Mes_Corriente!BY50*SALUD_Mes_Constante!$BP$1</f>
        <v>659720.55364916776</v>
      </c>
      <c r="BZ50" s="8">
        <f>+MINVU_Mes_Corriente!BZ50*SALUD_Mes_Constante!$BP$1</f>
        <v>659720.55364916776</v>
      </c>
      <c r="CA50" s="8">
        <f>+MINVU_Mes_Corriente!CA50*SALUD_Mes_Constante!$BP$1</f>
        <v>283715.06427656853</v>
      </c>
      <c r="CB50" s="9">
        <f t="shared" si="24"/>
        <v>283715.06427656853</v>
      </c>
      <c r="CC50" s="8">
        <f>+MINVU_Mes_Corriente!CC50*SALUD_Mes_Constante!$CC$1</f>
        <v>0</v>
      </c>
      <c r="CD50" s="8">
        <f>+MINVU_Mes_Corriente!CD50*SALUD_Mes_Constante!$CC$1</f>
        <v>3385394.5423349501</v>
      </c>
      <c r="CE50" s="8">
        <f>+MINVU_Mes_Corriente!CE50*SALUD_Mes_Constante!$CC$1</f>
        <v>6744489.5248041786</v>
      </c>
      <c r="CF50" s="8">
        <f>+MINVU_Mes_Corriente!CF50*SALUD_Mes_Constante!$CC$1</f>
        <v>7082025.9007832902</v>
      </c>
      <c r="CG50" s="8">
        <f>+MINVU_Mes_Corriente!CG50*SALUD_Mes_Constante!$CC$1</f>
        <v>7082025.9007832902</v>
      </c>
      <c r="CH50" s="8">
        <f>+MINVU_Mes_Corriente!CH50*SALUD_Mes_Constante!$CC$1</f>
        <v>7082025.9007832902</v>
      </c>
      <c r="CI50" s="8">
        <f>+MINVU_Mes_Corriente!CI50*SALUD_Mes_Constante!$CC$1</f>
        <v>7920923.4472211869</v>
      </c>
      <c r="CJ50" s="8">
        <f>+MINVU_Mes_Corriente!CJ50*SALUD_Mes_Constante!$CC$1</f>
        <v>7920923.4472211869</v>
      </c>
      <c r="CK50" s="8">
        <f>+MINVU_Mes_Corriente!CK50*SALUD_Mes_Constante!$CC$1</f>
        <v>7930886.3073480055</v>
      </c>
      <c r="CL50" s="8">
        <f>+MINVU_Mes_Corriente!CL50*SALUD_Mes_Constante!$CC$1</f>
        <v>7930886.3073480055</v>
      </c>
      <c r="CM50" s="8">
        <f>+MINVU_Mes_Corriente!CM50*SALUD_Mes_Constante!$CC$1</f>
        <v>7925634.5460649021</v>
      </c>
      <c r="CN50" s="8">
        <f>+MINVU_Mes_Corriente!CN50*SALUD_Mes_Constante!$CC$1</f>
        <v>6991291.0607982101</v>
      </c>
      <c r="CO50" s="9">
        <f t="shared" si="25"/>
        <v>6991291.0607982101</v>
      </c>
      <c r="CP50" s="8">
        <f>+MINVU_Mes_Corriente!CP50*SALUD_Mes_Constante!$CP$1</f>
        <v>0</v>
      </c>
      <c r="CQ50" s="8">
        <f>+MINVU_Mes_Corriente!CQ50*SALUD_Mes_Constante!$CP$1</f>
        <v>9863319.7482598592</v>
      </c>
      <c r="CR50" s="8">
        <f>+MINVU_Mes_Corriente!CR50*SALUD_Mes_Constante!$CP$1</f>
        <v>9863319.7482598592</v>
      </c>
      <c r="CS50" s="8">
        <f>+MINVU_Mes_Corriente!CS50*SALUD_Mes_Constante!$CP$1</f>
        <v>9863319.7482598592</v>
      </c>
      <c r="CT50" s="8">
        <f>+MINVU_Mes_Corriente!CT50*SALUD_Mes_Constante!$CP$1</f>
        <v>9863319.7482598592</v>
      </c>
      <c r="CU50" s="8">
        <f>+MINVU_Mes_Corriente!CU50*SALUD_Mes_Constante!$CP$1</f>
        <v>16514593.229234336</v>
      </c>
      <c r="CV50" s="8">
        <f>+MINVU_Mes_Corriente!CV50*SALUD_Mes_Constante!$CP$1</f>
        <v>15230285.024825983</v>
      </c>
      <c r="CW50" s="8">
        <f>+MINVU_Mes_Corriente!CW50*SALUD_Mes_Constante!$CP$1</f>
        <v>15230285.024825983</v>
      </c>
      <c r="CX50" s="8">
        <f>+MINVU_Mes_Corriente!CX50*SALUD_Mes_Constante!$CP$1</f>
        <v>15230285.024825983</v>
      </c>
      <c r="CY50" s="8">
        <f>+MINVU_Mes_Corriente!CY50*SALUD_Mes_Constante!$CP$1</f>
        <v>4435272.8081206484</v>
      </c>
      <c r="CZ50" s="8">
        <f>+MINVU_Mes_Corriente!CZ50*SALUD_Mes_Constante!$CP$1</f>
        <v>4435272.8081206484</v>
      </c>
      <c r="DA50" s="8">
        <f>+MINVU_Mes_Corriente!DA50*SALUD_Mes_Constante!$CP$1</f>
        <v>4430159.6429234333</v>
      </c>
      <c r="DB50" s="9">
        <f t="shared" si="26"/>
        <v>4430159.6429234333</v>
      </c>
      <c r="DC50" s="8">
        <f>+MINVU_Mes_Corriente!DC50*SALUD_Mes_Constante!$DC$1</f>
        <v>0</v>
      </c>
      <c r="DD50" s="8">
        <f>+MINVU_Mes_Corriente!DD50*SALUD_Mes_Constante!$DC$1</f>
        <v>7317776.4497479722</v>
      </c>
      <c r="DE50" s="8">
        <f>+MINVU_Mes_Corriente!DE50*SALUD_Mes_Constante!$DC$1</f>
        <v>7317776.4497479722</v>
      </c>
      <c r="DF50" s="8">
        <f>+MINVU_Mes_Corriente!DF50*SALUD_Mes_Constante!$DC$1</f>
        <v>7317776.4497479722</v>
      </c>
      <c r="DG50" s="8">
        <f>+MINVU_Mes_Corriente!DG50*SALUD_Mes_Constante!$DC$1</f>
        <v>7317776.4497479722</v>
      </c>
      <c r="DH50" s="8">
        <f>+MINVU_Mes_Corriente!DH50*SALUD_Mes_Constante!$DC$1</f>
        <v>5891613.6835716516</v>
      </c>
      <c r="DI50" s="8">
        <f>+MINVU_Mes_Corriente!DI50*SALUD_Mes_Constante!$DC$1</f>
        <v>3811426.2446250403</v>
      </c>
      <c r="DJ50" s="8">
        <f>+MINVU_Mes_Corriente!DJ50*SALUD_Mes_Constante!$DC$1</f>
        <v>3811426.2446250403</v>
      </c>
      <c r="DK50" s="8">
        <f>+MINVU_Mes_Corriente!DK50*SALUD_Mes_Constante!$DC$1</f>
        <v>3811426.2446250403</v>
      </c>
      <c r="DL50" s="8">
        <f>+MINVU_Mes_Corriente!DL50*SALUD_Mes_Constante!$DC$1</f>
        <v>3811426.2446250403</v>
      </c>
      <c r="DM50" s="8">
        <f>+MINVU_Mes_Corriente!DM50*SALUD_Mes_Constante!$DC$1</f>
        <v>562397.33278469322</v>
      </c>
      <c r="DN50" s="8">
        <f>+MINVU_Mes_Corriente!DN50*SALUD_Mes_Constante!$DC$1</f>
        <v>562397.33278469322</v>
      </c>
      <c r="DO50" s="9">
        <f t="shared" si="27"/>
        <v>562397.33278469322</v>
      </c>
      <c r="DP50" s="8">
        <f>+MINVU_Mes_Corriente!DP50*SALUD_Mes_Constante!$DP$1</f>
        <v>0</v>
      </c>
      <c r="DQ50" s="8">
        <f>+MINVU_Mes_Corriente!DQ50*SALUD_Mes_Constante!$DP$1</f>
        <v>2472228.0961995251</v>
      </c>
      <c r="DR50" s="8">
        <f>+MINVU_Mes_Corriente!DR50*SALUD_Mes_Constante!$DP$1</f>
        <v>2472228.0961995251</v>
      </c>
      <c r="DS50" s="8">
        <f>+MINVU_Mes_Corriente!DS50*SALUD_Mes_Constante!$DP$1</f>
        <v>2472228.0961995251</v>
      </c>
      <c r="DT50" s="8">
        <f>+MINVU_Mes_Corriente!DT50*SALUD_Mes_Constante!$DP$1</f>
        <v>2472228.0961995251</v>
      </c>
      <c r="DU50" s="8">
        <f>+MINVU_Mes_Corriente!DU50*SALUD_Mes_Constante!$DP$1</f>
        <v>3052251.1995249409</v>
      </c>
      <c r="DV50" s="8">
        <f>+MINVU_Mes_Corriente!DV50*SALUD_Mes_Constante!$DP$1</f>
        <v>3366677.5599762471</v>
      </c>
      <c r="DW50" s="8">
        <f>+MINVU_Mes_Corriente!DW50*SALUD_Mes_Constante!$DP$1</f>
        <v>3405855.0124703092</v>
      </c>
      <c r="DX50" s="8">
        <f>+MINVU_Mes_Corriente!DX50*SALUD_Mes_Constante!$DP$1</f>
        <v>3405855.0124703092</v>
      </c>
      <c r="DY50" s="8">
        <f>+MINVU_Mes_Corriente!DY50*SALUD_Mes_Constante!$DP$1</f>
        <v>3405855.0124703092</v>
      </c>
      <c r="DZ50" s="8">
        <f>+MINVU_Mes_Corriente!DZ50*SALUD_Mes_Constante!$DP$1</f>
        <v>2913988.2060570074</v>
      </c>
      <c r="EA50" s="8">
        <f>+MINVU_Mes_Corriente!EA50*SALUD_Mes_Constante!$DP$1</f>
        <v>2069714.645486936</v>
      </c>
      <c r="EB50" s="9">
        <f t="shared" si="28"/>
        <v>2069714.645486936</v>
      </c>
      <c r="EC50" s="8">
        <f>+MINVU_Mes_Corriente!EC50*SALUD_Mes_Constante!$EC$1</f>
        <v>0</v>
      </c>
      <c r="ED50" s="8">
        <f>+MINVU_Mes_Corriente!ED50*SALUD_Mes_Constante!$EC$1</f>
        <v>9673894.0549138393</v>
      </c>
      <c r="EE50" s="8">
        <f>+MINVU_Mes_Corriente!EE50*SALUD_Mes_Constante!$EC$1</f>
        <v>10835244.477182349</v>
      </c>
      <c r="EF50" s="8">
        <f>+MINVU_Mes_Corriente!EF50*SALUD_Mes_Constante!$EC$1</f>
        <v>10988143.306002647</v>
      </c>
      <c r="EG50" s="8">
        <f>+MINVU_Mes_Corriente!EG50*SALUD_Mes_Constante!$EC$1</f>
        <v>10988143.306002647</v>
      </c>
      <c r="EH50" s="8">
        <f>+MINVU_Mes_Corriente!EH50*SALUD_Mes_Constante!$EC$1</f>
        <v>10988143.306002647</v>
      </c>
      <c r="EI50" s="8">
        <f>+MINVU_Mes_Corriente!EI50*SALUD_Mes_Constante!$EC$1</f>
        <v>9368630.1802688856</v>
      </c>
      <c r="EJ50" s="8">
        <f>+MINVU_Mes_Corriente!EJ50*SALUD_Mes_Constante!$EC$1</f>
        <v>9368630.1802688856</v>
      </c>
      <c r="EK50" s="8">
        <f>+MINVU_Mes_Corriente!EK50*SALUD_Mes_Constante!$EC$1</f>
        <v>10838633.37852679</v>
      </c>
      <c r="EL50" s="8">
        <f>+MINVU_Mes_Corriente!EL50*SALUD_Mes_Constante!$EC$1</f>
        <v>9527587.8598750215</v>
      </c>
      <c r="EM50" s="8">
        <f>+MINVU_Mes_Corriente!EM50*SALUD_Mes_Constante!$EC$1</f>
        <v>9153648.0443097875</v>
      </c>
      <c r="EN50" s="8">
        <f>+MINVU_Mes_Corriente!EN50*SALUD_Mes_Constante!$EC$1</f>
        <v>9153648.0443097875</v>
      </c>
      <c r="EO50" s="9">
        <f t="shared" si="29"/>
        <v>9153648.0443097875</v>
      </c>
      <c r="EP50" s="8">
        <f>+MINVU_Mes_Corriente!EP50*SALUD_Mes_Constante!$EP$1</f>
        <v>0</v>
      </c>
      <c r="EQ50" s="8">
        <f>+MINVU_Mes_Corriente!EQ50*SALUD_Mes_Constante!$EP$1</f>
        <v>18012526</v>
      </c>
      <c r="ER50" s="8">
        <f>+MINVU_Mes_Corriente!ER50*SALUD_Mes_Constante!$EP$1</f>
        <v>18012526</v>
      </c>
      <c r="ES50" s="8">
        <f>+MINVU_Mes_Corriente!ES50*SALUD_Mes_Constante!$EP$1</f>
        <v>18012526</v>
      </c>
      <c r="ET50" s="8">
        <f>+MINVU_Mes_Corriente!ET50*SALUD_Mes_Constante!$EP$1</f>
        <v>19119938</v>
      </c>
      <c r="EU50" s="8">
        <f>+MINVU_Mes_Corriente!EU50*SALUD_Mes_Constante!$EP$1</f>
        <v>19119938</v>
      </c>
      <c r="EV50" s="8">
        <f>+MINVU_Mes_Corriente!EV50*SALUD_Mes_Constante!$EP$1</f>
        <v>19119938</v>
      </c>
      <c r="EW50" s="8">
        <f>+MINVU_Mes_Corriente!EW50*SALUD_Mes_Constante!$EP$1</f>
        <v>19119938</v>
      </c>
      <c r="EX50" s="8">
        <f>+MINVU_Mes_Corriente!EX50*SALUD_Mes_Constante!$EP$1</f>
        <v>25642997</v>
      </c>
      <c r="EY50" s="8">
        <f>+MINVU_Mes_Corriente!EY50*SALUD_Mes_Constante!$EP$1</f>
        <v>25642997</v>
      </c>
      <c r="EZ50" s="8">
        <f>+MINVU_Mes_Corriente!EZ50*SALUD_Mes_Constante!$EP$1</f>
        <v>25642997</v>
      </c>
      <c r="FA50" s="8">
        <f>+MINVU_Mes_Corriente!FA50*SALUD_Mes_Constante!$EP$1</f>
        <v>24091722</v>
      </c>
      <c r="FB50" s="9">
        <f t="shared" si="30"/>
        <v>24091722</v>
      </c>
      <c r="FC50" s="8">
        <f>+MINVU_Mes_Corriente!FC50*SALUD_Mes_Constante!$FC$1</f>
        <v>14546113</v>
      </c>
      <c r="FD50" s="8">
        <f>+MINVU_Mes_Corriente!FD50*SALUD_Mes_Constante!$FC$1</f>
        <v>14546113</v>
      </c>
      <c r="FE50" s="8">
        <f>+MINVU_Mes_Corriente!FE50*SALUD_Mes_Constante!$FC$1</f>
        <v>14546113</v>
      </c>
      <c r="FF50" s="8">
        <f>+MINVU_Mes_Corriente!FF50*SALUD_Mes_Constante!$FC$1</f>
        <v>14546113</v>
      </c>
      <c r="FG50" s="8">
        <f>+MINVU_Mes_Corriente!FG50*SALUD_Mes_Constante!$FC$1</f>
        <v>14546113</v>
      </c>
      <c r="FH50" s="8">
        <f>+MINVU_Mes_Corriente!FH50*SALUD_Mes_Constante!$FC$1</f>
        <v>14546113</v>
      </c>
      <c r="FI50" s="8">
        <f>+MINVU_Mes_Corriente!FI50*SALUD_Mes_Constante!$FC$1</f>
        <v>14546113</v>
      </c>
      <c r="FJ50" s="8"/>
      <c r="FK50" s="8"/>
      <c r="FL50" s="8"/>
      <c r="FM50" s="8"/>
      <c r="FN50" s="8"/>
      <c r="FO50" s="9">
        <f t="shared" si="31"/>
        <v>14546113</v>
      </c>
    </row>
    <row r="51" spans="2:171" ht="14.25" customHeight="1" x14ac:dyDescent="0.3">
      <c r="B51" s="7" t="s">
        <v>50</v>
      </c>
      <c r="C51" s="8">
        <f>+MINVU_Mes_Corriente!C51*SALUD_Mes_Constante!$C$1</f>
        <v>0</v>
      </c>
      <c r="D51" s="8">
        <f>+MINVU_Mes_Corriente!D51*SALUD_Mes_Constante!$C$1</f>
        <v>560484.51787038415</v>
      </c>
      <c r="E51" s="8">
        <f>+MINVU_Mes_Corriente!E51*SALUD_Mes_Constante!$C$1</f>
        <v>7218441.8395372992</v>
      </c>
      <c r="F51" s="8">
        <f>+MINVU_Mes_Corriente!F51*SALUD_Mes_Constante!$C$1</f>
        <v>7218441.8395372992</v>
      </c>
      <c r="G51" s="8">
        <f>+MINVU_Mes_Corriente!G51*SALUD_Mes_Constante!$C$1</f>
        <v>7218441.8395372992</v>
      </c>
      <c r="H51" s="8">
        <f>+MINVU_Mes_Corriente!H51*SALUD_Mes_Constante!$C$1</f>
        <v>7218441.8395372992</v>
      </c>
      <c r="I51" s="8">
        <f>+MINVU_Mes_Corriente!I51*SALUD_Mes_Constante!$C$1</f>
        <v>7218441.8395372992</v>
      </c>
      <c r="J51" s="8">
        <f>+MINVU_Mes_Corriente!J51*SALUD_Mes_Constante!$C$1</f>
        <v>7218441.8395372992</v>
      </c>
      <c r="K51" s="8">
        <f>+MINVU_Mes_Corriente!K51*SALUD_Mes_Constante!$C$1</f>
        <v>7218441.8395372992</v>
      </c>
      <c r="L51" s="8">
        <f>+MINVU_Mes_Corriente!L51*SALUD_Mes_Constante!$C$1</f>
        <v>7218441.8395372992</v>
      </c>
      <c r="M51" s="8">
        <f>+MINVU_Mes_Corriente!M51*SALUD_Mes_Constante!$C$1</f>
        <v>2265079.8677146672</v>
      </c>
      <c r="N51" s="8">
        <f>+MINVU_Mes_Corriente!N51*SALUD_Mes_Constante!$C$1</f>
        <v>2265079.8677146672</v>
      </c>
      <c r="O51" s="9">
        <f t="shared" si="19"/>
        <v>2265079.8677146672</v>
      </c>
      <c r="P51" s="8">
        <f>+MINVU_Mes_Corriente!P51*SALUD_Mes_Constante!$P$1</f>
        <v>0</v>
      </c>
      <c r="Q51" s="8">
        <f>+MINVU_Mes_Corriente!Q51*SALUD_Mes_Constante!$P$1</f>
        <v>3041572.3983520376</v>
      </c>
      <c r="R51" s="8">
        <f>+MINVU_Mes_Corriente!R51*SALUD_Mes_Constante!$P$1</f>
        <v>45335893.328029536</v>
      </c>
      <c r="S51" s="8">
        <f>+MINVU_Mes_Corriente!S51*SALUD_Mes_Constante!$P$1</f>
        <v>45335893.328029536</v>
      </c>
      <c r="T51" s="8">
        <f>+MINVU_Mes_Corriente!T51*SALUD_Mes_Constante!$P$1</f>
        <v>45335893.328029536</v>
      </c>
      <c r="U51" s="8">
        <f>+MINVU_Mes_Corriente!U51*SALUD_Mes_Constante!$P$1</f>
        <v>45937978.171615273</v>
      </c>
      <c r="V51" s="8">
        <f>+MINVU_Mes_Corriente!V51*SALUD_Mes_Constante!$P$1</f>
        <v>49060800.956385829</v>
      </c>
      <c r="W51" s="8">
        <f>+MINVU_Mes_Corriente!W51*SALUD_Mes_Constante!$P$1</f>
        <v>51127676.055121444</v>
      </c>
      <c r="X51" s="8">
        <f>+MINVU_Mes_Corriente!X51*SALUD_Mes_Constante!$P$1</f>
        <v>51127676.055121444</v>
      </c>
      <c r="Y51" s="8">
        <f>+MINVU_Mes_Corriente!Y51*SALUD_Mes_Constante!$P$1</f>
        <v>51127676.055121444</v>
      </c>
      <c r="Z51" s="8">
        <f>+MINVU_Mes_Corriente!Z51*SALUD_Mes_Constante!$P$1</f>
        <v>47138265.78377609</v>
      </c>
      <c r="AA51" s="8">
        <f>+MINVU_Mes_Corriente!AA51*SALUD_Mes_Constante!$P$1</f>
        <v>50343102.64185252</v>
      </c>
      <c r="AB51" s="9">
        <f t="shared" si="20"/>
        <v>50343102.64185252</v>
      </c>
      <c r="AC51" s="8">
        <f>+MINVU_Mes_Corriente!AC51*SALUD_Mes_Constante!$AC$1</f>
        <v>0</v>
      </c>
      <c r="AD51" s="8">
        <f>+MINVU_Mes_Corriente!AD51*SALUD_Mes_Constante!$AC$1</f>
        <v>34648022.156314842</v>
      </c>
      <c r="AE51" s="8">
        <f>+MINVU_Mes_Corriente!AE51*SALUD_Mes_Constante!$AC$1</f>
        <v>34648022.156314842</v>
      </c>
      <c r="AF51" s="8">
        <f>+MINVU_Mes_Corriente!AF51*SALUD_Mes_Constante!$AC$1</f>
        <v>51595581.222022407</v>
      </c>
      <c r="AG51" s="8">
        <f>+MINVU_Mes_Corriente!AG51*SALUD_Mes_Constante!$AC$1</f>
        <v>52816959.601327986</v>
      </c>
      <c r="AH51" s="8">
        <f>+MINVU_Mes_Corriente!AH51*SALUD_Mes_Constante!$AC$1</f>
        <v>58263548.685848668</v>
      </c>
      <c r="AI51" s="8">
        <f>+MINVU_Mes_Corriente!AI51*SALUD_Mes_Constante!$AC$1</f>
        <v>61279750.410568543</v>
      </c>
      <c r="AJ51" s="8">
        <f>+MINVU_Mes_Corriente!AJ51*SALUD_Mes_Constante!$AC$1</f>
        <v>61279750.410568543</v>
      </c>
      <c r="AK51" s="8">
        <f>+MINVU_Mes_Corriente!AK51*SALUD_Mes_Constante!$AC$1</f>
        <v>61279750.410568543</v>
      </c>
      <c r="AL51" s="8">
        <f>+MINVU_Mes_Corriente!AL51*SALUD_Mes_Constante!$AC$1</f>
        <v>60149044.68197538</v>
      </c>
      <c r="AM51" s="8">
        <f>+MINVU_Mes_Corriente!AM51*SALUD_Mes_Constante!$AC$1</f>
        <v>60149044.68197538</v>
      </c>
      <c r="AN51" s="8">
        <f>+MINVU_Mes_Corriente!AN51*SALUD_Mes_Constante!$AC$1</f>
        <v>50984024.48167105</v>
      </c>
      <c r="AO51" s="9">
        <f t="shared" si="21"/>
        <v>50984024.48167105</v>
      </c>
      <c r="AP51" s="8">
        <f>+MINVU_Mes_Corriente!AP51*SALUD_Mes_Constante!$AP$1</f>
        <v>0</v>
      </c>
      <c r="AQ51" s="8">
        <f>+MINVU_Mes_Corriente!AQ51*SALUD_Mes_Constante!$AP$1</f>
        <v>15728113.704314891</v>
      </c>
      <c r="AR51" s="8">
        <f>+MINVU_Mes_Corriente!AR51*SALUD_Mes_Constante!$AP$1</f>
        <v>46076613.4873529</v>
      </c>
      <c r="AS51" s="8">
        <f>+MINVU_Mes_Corriente!AS51*SALUD_Mes_Constante!$AP$1</f>
        <v>46144140.985256322</v>
      </c>
      <c r="AT51" s="8">
        <f>+MINVU_Mes_Corriente!AT51*SALUD_Mes_Constante!$AP$1</f>
        <v>46144140.985256322</v>
      </c>
      <c r="AU51" s="8">
        <f>+MINVU_Mes_Corriente!AU51*SALUD_Mes_Constante!$AP$1</f>
        <v>46825427.998376839</v>
      </c>
      <c r="AV51" s="8">
        <f>+MINVU_Mes_Corriente!AV51*SALUD_Mes_Constante!$AP$1</f>
        <v>47362723.248207763</v>
      </c>
      <c r="AW51" s="8">
        <f>+MINVU_Mes_Corriente!AW51*SALUD_Mes_Constante!$AP$1</f>
        <v>47362723.248207763</v>
      </c>
      <c r="AX51" s="8">
        <f>+MINVU_Mes_Corriente!AX51*SALUD_Mes_Constante!$AP$1</f>
        <v>47385816.671175435</v>
      </c>
      <c r="AY51" s="8">
        <f>+MINVU_Mes_Corriente!AY51*SALUD_Mes_Constante!$AP$1</f>
        <v>51467517.848505341</v>
      </c>
      <c r="AZ51" s="8">
        <f>+MINVU_Mes_Corriente!AZ51*SALUD_Mes_Constante!$AP$1</f>
        <v>51467517.848505341</v>
      </c>
      <c r="BA51" s="8">
        <f>+MINVU_Mes_Corriente!BA51*SALUD_Mes_Constante!$AP$1</f>
        <v>58209980.084945217</v>
      </c>
      <c r="BB51" s="9">
        <f t="shared" si="22"/>
        <v>58209980.084945217</v>
      </c>
      <c r="BC51" s="8">
        <f>+MINVU_Mes_Corriente!BC51*SALUD_Mes_Constante!$BC$1</f>
        <v>0</v>
      </c>
      <c r="BD51" s="8">
        <f>+MINVU_Mes_Corriente!BD51*SALUD_Mes_Constante!$BC$1</f>
        <v>0</v>
      </c>
      <c r="BE51" s="8">
        <f>+MINVU_Mes_Corriente!BE51*SALUD_Mes_Constante!$BC$1</f>
        <v>5181455.5814321525</v>
      </c>
      <c r="BF51" s="8">
        <f>+MINVU_Mes_Corriente!BF51*SALUD_Mes_Constante!$BC$1</f>
        <v>45203912.289067663</v>
      </c>
      <c r="BG51" s="8">
        <f>+MINVU_Mes_Corriente!BG51*SALUD_Mes_Constante!$BC$1</f>
        <v>45203912.289067663</v>
      </c>
      <c r="BH51" s="8">
        <f>+MINVU_Mes_Corriente!BH51*SALUD_Mes_Constante!$BC$1</f>
        <v>47740045.380720042</v>
      </c>
      <c r="BI51" s="8">
        <f>+MINVU_Mes_Corriente!BI51*SALUD_Mes_Constante!$BC$1</f>
        <v>47740045.380720042</v>
      </c>
      <c r="BJ51" s="8">
        <f>+MINVU_Mes_Corriente!BJ51*SALUD_Mes_Constante!$BC$1</f>
        <v>45987662.236054346</v>
      </c>
      <c r="BK51" s="8">
        <f>+MINVU_Mes_Corriente!BK51*SALUD_Mes_Constante!$BC$1</f>
        <v>45002600.414875388</v>
      </c>
      <c r="BL51" s="8">
        <f>+MINVU_Mes_Corriente!BL51*SALUD_Mes_Constante!$BC$1</f>
        <v>45002600.414875388</v>
      </c>
      <c r="BM51" s="8">
        <f>+MINVU_Mes_Corriente!BM51*SALUD_Mes_Constante!$BC$1</f>
        <v>45002600.414875388</v>
      </c>
      <c r="BN51" s="8">
        <f>+MINVU_Mes_Corriente!BN51*SALUD_Mes_Constante!$BC$1</f>
        <v>48986475.334300421</v>
      </c>
      <c r="BO51" s="9">
        <f t="shared" si="23"/>
        <v>48986475.334300421</v>
      </c>
      <c r="BP51" s="8">
        <f>+MINVU_Mes_Corriente!BP51*SALUD_Mes_Constante!$BP$1</f>
        <v>0</v>
      </c>
      <c r="BQ51" s="8">
        <f>+MINVU_Mes_Corriente!BQ51*SALUD_Mes_Constante!$BP$1</f>
        <v>0</v>
      </c>
      <c r="BR51" s="8">
        <f>+MINVU_Mes_Corriente!BR51*SALUD_Mes_Constante!$BP$1</f>
        <v>10788023.226376442</v>
      </c>
      <c r="BS51" s="8">
        <f>+MINVU_Mes_Corriente!BS51*SALUD_Mes_Constante!$BP$1</f>
        <v>11414764.32752881</v>
      </c>
      <c r="BT51" s="8">
        <f>+MINVU_Mes_Corriente!BT51*SALUD_Mes_Constante!$BP$1</f>
        <v>27769777.61254802</v>
      </c>
      <c r="BU51" s="8">
        <f>+MINVU_Mes_Corriente!BU51*SALUD_Mes_Constante!$BP$1</f>
        <v>46215382.369782336</v>
      </c>
      <c r="BV51" s="8">
        <f>+MINVU_Mes_Corriente!BV51*SALUD_Mes_Constante!$BP$1</f>
        <v>47567337.070678622</v>
      </c>
      <c r="BW51" s="8">
        <f>+MINVU_Mes_Corriente!BW51*SALUD_Mes_Constante!$BP$1</f>
        <v>60019412.480665818</v>
      </c>
      <c r="BX51" s="8">
        <f>+MINVU_Mes_Corriente!BX51*SALUD_Mes_Constante!$BP$1</f>
        <v>60509332.362099878</v>
      </c>
      <c r="BY51" s="8">
        <f>+MINVU_Mes_Corriente!BY51*SALUD_Mes_Constante!$BP$1</f>
        <v>60509332.362099878</v>
      </c>
      <c r="BZ51" s="8">
        <f>+MINVU_Mes_Corriente!BZ51*SALUD_Mes_Constante!$BP$1</f>
        <v>60688269.744430222</v>
      </c>
      <c r="CA51" s="8">
        <f>+MINVU_Mes_Corriente!CA51*SALUD_Mes_Constante!$BP$1</f>
        <v>60143004.986427665</v>
      </c>
      <c r="CB51" s="9">
        <f t="shared" si="24"/>
        <v>60143004.986427665</v>
      </c>
      <c r="CC51" s="8">
        <f>+MINVU_Mes_Corriente!CC51*SALUD_Mes_Constante!$CC$1</f>
        <v>0</v>
      </c>
      <c r="CD51" s="8">
        <f>+MINVU_Mes_Corriente!CD51*SALUD_Mes_Constante!$CC$1</f>
        <v>4821005.4651249535</v>
      </c>
      <c r="CE51" s="8">
        <f>+MINVU_Mes_Corriente!CE51*SALUD_Mes_Constante!$CC$1</f>
        <v>37478327.706825815</v>
      </c>
      <c r="CF51" s="8">
        <f>+MINVU_Mes_Corriente!CF51*SALUD_Mes_Constante!$CC$1</f>
        <v>37723302.129802316</v>
      </c>
      <c r="CG51" s="8">
        <f>+MINVU_Mes_Corriente!CG51*SALUD_Mes_Constante!$CC$1</f>
        <v>37745954.255874678</v>
      </c>
      <c r="CH51" s="8">
        <f>+MINVU_Mes_Corriente!CH51*SALUD_Mes_Constante!$CC$1</f>
        <v>37745954.255874678</v>
      </c>
      <c r="CI51" s="8">
        <f>+MINVU_Mes_Corriente!CI51*SALUD_Mes_Constante!$CC$1</f>
        <v>37745954.255874678</v>
      </c>
      <c r="CJ51" s="8">
        <f>+MINVU_Mes_Corriente!CJ51*SALUD_Mes_Constante!$CC$1</f>
        <v>37745954.255874678</v>
      </c>
      <c r="CK51" s="8">
        <f>+MINVU_Mes_Corriente!CK51*SALUD_Mes_Constante!$CC$1</f>
        <v>49891688.719134659</v>
      </c>
      <c r="CL51" s="8">
        <f>+MINVU_Mes_Corriente!CL51*SALUD_Mes_Constante!$CC$1</f>
        <v>49891688.719134659</v>
      </c>
      <c r="CM51" s="8">
        <f>+MINVU_Mes_Corriente!CM51*SALUD_Mes_Constante!$CC$1</f>
        <v>49811163.976874307</v>
      </c>
      <c r="CN51" s="8">
        <f>+MINVU_Mes_Corriente!CN51*SALUD_Mes_Constante!$CC$1</f>
        <v>47273522.705706827</v>
      </c>
      <c r="CO51" s="9">
        <f t="shared" si="25"/>
        <v>47273522.705706827</v>
      </c>
      <c r="CP51" s="8">
        <f>+MINVU_Mes_Corriente!CP51*SALUD_Mes_Constante!$CP$1</f>
        <v>0</v>
      </c>
      <c r="CQ51" s="8">
        <f>+MINVU_Mes_Corriente!CQ51*SALUD_Mes_Constante!$CP$1</f>
        <v>32933979.423897903</v>
      </c>
      <c r="CR51" s="8">
        <f>+MINVU_Mes_Corriente!CR51*SALUD_Mes_Constante!$CP$1</f>
        <v>32933979.423897903</v>
      </c>
      <c r="CS51" s="8">
        <f>+MINVU_Mes_Corriente!CS51*SALUD_Mes_Constante!$CP$1</f>
        <v>32933979.423897903</v>
      </c>
      <c r="CT51" s="8">
        <f>+MINVU_Mes_Corriente!CT51*SALUD_Mes_Constante!$CP$1</f>
        <v>32933979.423897903</v>
      </c>
      <c r="CU51" s="8">
        <f>+MINVU_Mes_Corriente!CU51*SALUD_Mes_Constante!$CP$1</f>
        <v>32933979.423897903</v>
      </c>
      <c r="CV51" s="8">
        <f>+MINVU_Mes_Corriente!CV51*SALUD_Mes_Constante!$CP$1</f>
        <v>32933979.423897903</v>
      </c>
      <c r="CW51" s="8">
        <f>+MINVU_Mes_Corriente!CW51*SALUD_Mes_Constante!$CP$1</f>
        <v>32933979.423897903</v>
      </c>
      <c r="CX51" s="8">
        <f>+MINVU_Mes_Corriente!CX51*SALUD_Mes_Constante!$CP$1</f>
        <v>32933979.423897903</v>
      </c>
      <c r="CY51" s="8">
        <f>+MINVU_Mes_Corriente!CY51*SALUD_Mes_Constante!$CP$1</f>
        <v>29229160.41647331</v>
      </c>
      <c r="CZ51" s="8">
        <f>+MINVU_Mes_Corriente!CZ51*SALUD_Mes_Constante!$CP$1</f>
        <v>29229160.41647331</v>
      </c>
      <c r="DA51" s="8">
        <f>+MINVU_Mes_Corriente!DA51*SALUD_Mes_Constante!$CP$1</f>
        <v>25066505.25104408</v>
      </c>
      <c r="DB51" s="9">
        <f t="shared" si="26"/>
        <v>25066505.25104408</v>
      </c>
      <c r="DC51" s="8">
        <f>+MINVU_Mes_Corriente!DC51*SALUD_Mes_Constante!$DC$1</f>
        <v>0</v>
      </c>
      <c r="DD51" s="8">
        <f>+MINVU_Mes_Corriente!DD51*SALUD_Mes_Constante!$DC$1</f>
        <v>5816589.4576689666</v>
      </c>
      <c r="DE51" s="8">
        <f>+MINVU_Mes_Corriente!DE51*SALUD_Mes_Constante!$DC$1</f>
        <v>13419293.867914829</v>
      </c>
      <c r="DF51" s="8">
        <f>+MINVU_Mes_Corriente!DF51*SALUD_Mes_Constante!$DC$1</f>
        <v>13419293.867914829</v>
      </c>
      <c r="DG51" s="8">
        <f>+MINVU_Mes_Corriente!DG51*SALUD_Mes_Constante!$DC$1</f>
        <v>13419293.867914829</v>
      </c>
      <c r="DH51" s="8">
        <f>+MINVU_Mes_Corriente!DH51*SALUD_Mes_Constante!$DC$1</f>
        <v>13419293.867914829</v>
      </c>
      <c r="DI51" s="8">
        <f>+MINVU_Mes_Corriente!DI51*SALUD_Mes_Constante!$DC$1</f>
        <v>13425812.82686967</v>
      </c>
      <c r="DJ51" s="8">
        <f>+MINVU_Mes_Corriente!DJ51*SALUD_Mes_Constante!$DC$1</f>
        <v>13425812.82686967</v>
      </c>
      <c r="DK51" s="8">
        <f>+MINVU_Mes_Corriente!DK51*SALUD_Mes_Constante!$DC$1</f>
        <v>14599385.040839426</v>
      </c>
      <c r="DL51" s="8">
        <f>+MINVU_Mes_Corriente!DL51*SALUD_Mes_Constante!$DC$1</f>
        <v>10165292.563933756</v>
      </c>
      <c r="DM51" s="8">
        <f>+MINVU_Mes_Corriente!DM51*SALUD_Mes_Constante!$DC$1</f>
        <v>10165292.563933756</v>
      </c>
      <c r="DN51" s="8">
        <f>+MINVU_Mes_Corriente!DN51*SALUD_Mes_Constante!$DC$1</f>
        <v>6617718.9350889856</v>
      </c>
      <c r="DO51" s="9">
        <f t="shared" si="27"/>
        <v>6617718.9350889856</v>
      </c>
      <c r="DP51" s="8">
        <f>+MINVU_Mes_Corriente!DP51*SALUD_Mes_Constante!$DP$1</f>
        <v>0</v>
      </c>
      <c r="DQ51" s="8">
        <f>+MINVU_Mes_Corriente!DQ51*SALUD_Mes_Constante!$DP$1</f>
        <v>802453.27909738722</v>
      </c>
      <c r="DR51" s="8">
        <f>+MINVU_Mes_Corriente!DR51*SALUD_Mes_Constante!$DP$1</f>
        <v>1991942.5902612829</v>
      </c>
      <c r="DS51" s="8">
        <f>+MINVU_Mes_Corriente!DS51*SALUD_Mes_Constante!$DP$1</f>
        <v>1991942.5902612829</v>
      </c>
      <c r="DT51" s="8">
        <f>+MINVU_Mes_Corriente!DT51*SALUD_Mes_Constante!$DP$1</f>
        <v>1991942.5902612829</v>
      </c>
      <c r="DU51" s="8">
        <f>+MINVU_Mes_Corriente!DU51*SALUD_Mes_Constante!$DP$1</f>
        <v>2521950.9121140144</v>
      </c>
      <c r="DV51" s="8">
        <f>+MINVU_Mes_Corriente!DV51*SALUD_Mes_Constante!$DP$1</f>
        <v>2790716.0219714968</v>
      </c>
      <c r="DW51" s="8">
        <f>+MINVU_Mes_Corriente!DW51*SALUD_Mes_Constante!$DP$1</f>
        <v>2790716.0219714968</v>
      </c>
      <c r="DX51" s="8">
        <f>+MINVU_Mes_Corriente!DX51*SALUD_Mes_Constante!$DP$1</f>
        <v>2790716.0219714968</v>
      </c>
      <c r="DY51" s="8">
        <f>+MINVU_Mes_Corriente!DY51*SALUD_Mes_Constante!$DP$1</f>
        <v>2844785.8806413305</v>
      </c>
      <c r="DZ51" s="8">
        <f>+MINVU_Mes_Corriente!DZ51*SALUD_Mes_Constante!$DP$1</f>
        <v>2304110.0023752972</v>
      </c>
      <c r="EA51" s="8">
        <f>+MINVU_Mes_Corriente!EA51*SALUD_Mes_Constante!$DP$1</f>
        <v>2412845.545724466</v>
      </c>
      <c r="EB51" s="9">
        <f t="shared" si="28"/>
        <v>2412845.545724466</v>
      </c>
      <c r="EC51" s="8">
        <f>+MINVU_Mes_Corriente!EC51*SALUD_Mes_Constante!$EC$1</f>
        <v>0</v>
      </c>
      <c r="ED51" s="8">
        <f>+MINVU_Mes_Corriente!ED51*SALUD_Mes_Constante!$EC$1</f>
        <v>9964056.8362052608</v>
      </c>
      <c r="EE51" s="8">
        <f>+MINVU_Mes_Corriente!EE51*SALUD_Mes_Constante!$EC$1</f>
        <v>11576370.098276839</v>
      </c>
      <c r="EF51" s="8">
        <f>+MINVU_Mes_Corriente!EF51*SALUD_Mes_Constante!$EC$1</f>
        <v>14188440.290854</v>
      </c>
      <c r="EG51" s="8">
        <f>+MINVU_Mes_Corriente!EG51*SALUD_Mes_Constante!$EC$1</f>
        <v>14188440.290854</v>
      </c>
      <c r="EH51" s="8">
        <f>+MINVU_Mes_Corriente!EH51*SALUD_Mes_Constante!$EC$1</f>
        <v>14572434.053967047</v>
      </c>
      <c r="EI51" s="8">
        <f>+MINVU_Mes_Corriente!EI51*SALUD_Mes_Constante!$EC$1</f>
        <v>6249604.7598939575</v>
      </c>
      <c r="EJ51" s="8">
        <f>+MINVU_Mes_Corriente!EJ51*SALUD_Mes_Constante!$EC$1</f>
        <v>6280999.6826358624</v>
      </c>
      <c r="EK51" s="8">
        <f>+MINVU_Mes_Corriente!EK51*SALUD_Mes_Constante!$EC$1</f>
        <v>6280999.6826358624</v>
      </c>
      <c r="EL51" s="8">
        <f>+MINVU_Mes_Corriente!EL51*SALUD_Mes_Constante!$EC$1</f>
        <v>4825651.7241052818</v>
      </c>
      <c r="EM51" s="8">
        <f>+MINVU_Mes_Corriente!EM51*SALUD_Mes_Constante!$EC$1</f>
        <v>4825652.7585684517</v>
      </c>
      <c r="EN51" s="8">
        <f>+MINVU_Mes_Corriente!EN51*SALUD_Mes_Constante!$EC$1</f>
        <v>4584793.5264154505</v>
      </c>
      <c r="EO51" s="9">
        <f t="shared" si="29"/>
        <v>4584793.5264154505</v>
      </c>
      <c r="EP51" s="8">
        <f>+MINVU_Mes_Corriente!EP51*SALUD_Mes_Constante!$EP$1</f>
        <v>0</v>
      </c>
      <c r="EQ51" s="8">
        <f>+MINVU_Mes_Corriente!EQ51*SALUD_Mes_Constante!$EP$1</f>
        <v>12759484</v>
      </c>
      <c r="ER51" s="8">
        <f>+MINVU_Mes_Corriente!ER51*SALUD_Mes_Constante!$EP$1</f>
        <v>12759484</v>
      </c>
      <c r="ES51" s="8">
        <f>+MINVU_Mes_Corriente!ES51*SALUD_Mes_Constante!$EP$1</f>
        <v>12759484</v>
      </c>
      <c r="ET51" s="8">
        <f>+MINVU_Mes_Corriente!ET51*SALUD_Mes_Constante!$EP$1</f>
        <v>12759484</v>
      </c>
      <c r="EU51" s="8">
        <f>+MINVU_Mes_Corriente!EU51*SALUD_Mes_Constante!$EP$1</f>
        <v>12759484</v>
      </c>
      <c r="EV51" s="8">
        <f>+MINVU_Mes_Corriente!EV51*SALUD_Mes_Constante!$EP$1</f>
        <v>12759484</v>
      </c>
      <c r="EW51" s="8">
        <f>+MINVU_Mes_Corriente!EW51*SALUD_Mes_Constante!$EP$1</f>
        <v>12759484</v>
      </c>
      <c r="EX51" s="8">
        <f>+MINVU_Mes_Corriente!EX51*SALUD_Mes_Constante!$EP$1</f>
        <v>21660342</v>
      </c>
      <c r="EY51" s="8">
        <f>+MINVU_Mes_Corriente!EY51*SALUD_Mes_Constante!$EP$1</f>
        <v>21660352</v>
      </c>
      <c r="EZ51" s="8">
        <f>+MINVU_Mes_Corriente!EZ51*SALUD_Mes_Constante!$EP$1</f>
        <v>21660352</v>
      </c>
      <c r="FA51" s="8">
        <f>+MINVU_Mes_Corriente!FA51*SALUD_Mes_Constante!$EP$1</f>
        <v>23225106</v>
      </c>
      <c r="FB51" s="9">
        <f t="shared" si="30"/>
        <v>23225106</v>
      </c>
      <c r="FC51" s="8">
        <f>+MINVU_Mes_Corriente!FC51*SALUD_Mes_Constante!$FC$1</f>
        <v>15086131</v>
      </c>
      <c r="FD51" s="8">
        <f>+MINVU_Mes_Corriente!FD51*SALUD_Mes_Constante!$FC$1</f>
        <v>15086131</v>
      </c>
      <c r="FE51" s="8">
        <f>+MINVU_Mes_Corriente!FE51*SALUD_Mes_Constante!$FC$1</f>
        <v>15086131</v>
      </c>
      <c r="FF51" s="8">
        <f>+MINVU_Mes_Corriente!FF51*SALUD_Mes_Constante!$FC$1</f>
        <v>15086131</v>
      </c>
      <c r="FG51" s="8">
        <f>+MINVU_Mes_Corriente!FG51*SALUD_Mes_Constante!$FC$1</f>
        <v>15086131</v>
      </c>
      <c r="FH51" s="8">
        <f>+MINVU_Mes_Corriente!FH51*SALUD_Mes_Constante!$FC$1</f>
        <v>32743030</v>
      </c>
      <c r="FI51" s="8">
        <f>+MINVU_Mes_Corriente!FI51*SALUD_Mes_Constante!$FC$1</f>
        <v>32743030</v>
      </c>
      <c r="FJ51" s="8"/>
      <c r="FK51" s="8"/>
      <c r="FL51" s="8"/>
      <c r="FM51" s="8"/>
      <c r="FN51" s="8"/>
      <c r="FO51" s="9">
        <f t="shared" si="31"/>
        <v>32743030</v>
      </c>
    </row>
    <row r="52" spans="2:171" ht="14.25" customHeight="1" x14ac:dyDescent="0.3">
      <c r="B52" s="7" t="s">
        <v>51</v>
      </c>
      <c r="C52" s="8">
        <f>+MINVU_Mes_Corriente!C52*SALUD_Mes_Constante!$C$1</f>
        <v>0</v>
      </c>
      <c r="D52" s="8">
        <f>+MINVU_Mes_Corriente!D52*SALUD_Mes_Constante!$C$1</f>
        <v>3105526.3244846514</v>
      </c>
      <c r="E52" s="8">
        <f>+MINVU_Mes_Corriente!E52*SALUD_Mes_Constante!$C$1</f>
        <v>6444774.7447723579</v>
      </c>
      <c r="F52" s="8">
        <f>+MINVU_Mes_Corriente!F52*SALUD_Mes_Constante!$C$1</f>
        <v>6444774.7447723579</v>
      </c>
      <c r="G52" s="8">
        <f>+MINVU_Mes_Corriente!G52*SALUD_Mes_Constante!$C$1</f>
        <v>6444774.7447723579</v>
      </c>
      <c r="H52" s="8">
        <f>+MINVU_Mes_Corriente!H52*SALUD_Mes_Constante!$C$1</f>
        <v>6444774.7447723579</v>
      </c>
      <c r="I52" s="8">
        <f>+MINVU_Mes_Corriente!I52*SALUD_Mes_Constante!$C$1</f>
        <v>6444774.7447723579</v>
      </c>
      <c r="J52" s="8">
        <f>+MINVU_Mes_Corriente!J52*SALUD_Mes_Constante!$C$1</f>
        <v>6761842.6305798618</v>
      </c>
      <c r="K52" s="8">
        <f>+MINVU_Mes_Corriente!K52*SALUD_Mes_Constante!$C$1</f>
        <v>6618898.8565920228</v>
      </c>
      <c r="L52" s="8">
        <f>+MINVU_Mes_Corriente!L52*SALUD_Mes_Constante!$C$1</f>
        <v>6618898.8565920228</v>
      </c>
      <c r="M52" s="8">
        <f>+MINVU_Mes_Corriente!M52*SALUD_Mes_Constante!$C$1</f>
        <v>4611246.7616787786</v>
      </c>
      <c r="N52" s="8">
        <f>+MINVU_Mes_Corriente!N52*SALUD_Mes_Constante!$C$1</f>
        <v>4611246.7616787786</v>
      </c>
      <c r="O52" s="9">
        <f t="shared" si="19"/>
        <v>4611246.7616787786</v>
      </c>
      <c r="P52" s="8">
        <f>+MINVU_Mes_Corriente!P52*SALUD_Mes_Constante!$P$1</f>
        <v>0</v>
      </c>
      <c r="Q52" s="8">
        <f>+MINVU_Mes_Corriente!Q52*SALUD_Mes_Constante!$P$1</f>
        <v>9894237.2842733301</v>
      </c>
      <c r="R52" s="8">
        <f>+MINVU_Mes_Corriente!R52*SALUD_Mes_Constante!$P$1</f>
        <v>9894237.2842733301</v>
      </c>
      <c r="S52" s="8">
        <f>+MINVU_Mes_Corriente!S52*SALUD_Mes_Constante!$P$1</f>
        <v>11312369.685466681</v>
      </c>
      <c r="T52" s="8">
        <f>+MINVU_Mes_Corriente!T52*SALUD_Mes_Constante!$P$1</f>
        <v>11412945.075436847</v>
      </c>
      <c r="U52" s="8">
        <f>+MINVU_Mes_Corriente!U52*SALUD_Mes_Constante!$P$1</f>
        <v>11412945.075436847</v>
      </c>
      <c r="V52" s="8">
        <f>+MINVU_Mes_Corriente!V52*SALUD_Mes_Constante!$P$1</f>
        <v>12846431.929251309</v>
      </c>
      <c r="W52" s="8">
        <f>+MINVU_Mes_Corriente!W52*SALUD_Mes_Constante!$P$1</f>
        <v>12846431.929251309</v>
      </c>
      <c r="X52" s="8">
        <f>+MINVU_Mes_Corriente!X52*SALUD_Mes_Constante!$P$1</f>
        <v>12912448.935360132</v>
      </c>
      <c r="Y52" s="8">
        <f>+MINVU_Mes_Corriente!Y52*SALUD_Mes_Constante!$P$1</f>
        <v>12912448.935360132</v>
      </c>
      <c r="Z52" s="8">
        <f>+MINVU_Mes_Corriente!Z52*SALUD_Mes_Constante!$P$1</f>
        <v>15488918.945020594</v>
      </c>
      <c r="AA52" s="8">
        <f>+MINVU_Mes_Corriente!AA52*SALUD_Mes_Constante!$P$1</f>
        <v>15368777.959085092</v>
      </c>
      <c r="AB52" s="9">
        <f t="shared" si="20"/>
        <v>15368777.959085092</v>
      </c>
      <c r="AC52" s="8">
        <f>+MINVU_Mes_Corriente!AC52*SALUD_Mes_Constante!$AC$1</f>
        <v>0</v>
      </c>
      <c r="AD52" s="8">
        <f>+MINVU_Mes_Corriente!AD52*SALUD_Mes_Constante!$AC$1</f>
        <v>2040607.7131000138</v>
      </c>
      <c r="AE52" s="8">
        <f>+MINVU_Mes_Corriente!AE52*SALUD_Mes_Constante!$AC$1</f>
        <v>2040607.7131000138</v>
      </c>
      <c r="AF52" s="8">
        <f>+MINVU_Mes_Corriente!AF52*SALUD_Mes_Constante!$AC$1</f>
        <v>13530313.137916723</v>
      </c>
      <c r="AG52" s="8">
        <f>+MINVU_Mes_Corriente!AG52*SALUD_Mes_Constante!$AC$1</f>
        <v>13530313.137916723</v>
      </c>
      <c r="AH52" s="8">
        <f>+MINVU_Mes_Corriente!AH52*SALUD_Mes_Constante!$AC$1</f>
        <v>13530313.137916723</v>
      </c>
      <c r="AI52" s="8">
        <f>+MINVU_Mes_Corriente!AI52*SALUD_Mes_Constante!$AC$1</f>
        <v>25796651.761792779</v>
      </c>
      <c r="AJ52" s="8">
        <f>+MINVU_Mes_Corriente!AJ52*SALUD_Mes_Constante!$AC$1</f>
        <v>26505643.211785864</v>
      </c>
      <c r="AK52" s="8">
        <f>+MINVU_Mes_Corriente!AK52*SALUD_Mes_Constante!$AC$1</f>
        <v>26505643.211785864</v>
      </c>
      <c r="AL52" s="8">
        <f>+MINVU_Mes_Corriente!AL52*SALUD_Mes_Constante!$AC$1</f>
        <v>26505643.211785864</v>
      </c>
      <c r="AM52" s="8">
        <f>+MINVU_Mes_Corriente!AM52*SALUD_Mes_Constante!$AC$1</f>
        <v>24632584.628026005</v>
      </c>
      <c r="AN52" s="8">
        <f>+MINVU_Mes_Corriente!AN52*SALUD_Mes_Constante!$AC$1</f>
        <v>11003308.742564671</v>
      </c>
      <c r="AO52" s="9">
        <f t="shared" si="21"/>
        <v>11003308.742564671</v>
      </c>
      <c r="AP52" s="8">
        <f>+MINVU_Mes_Corriente!AP52*SALUD_Mes_Constante!$AP$1</f>
        <v>0</v>
      </c>
      <c r="AQ52" s="8">
        <f>+MINVU_Mes_Corriente!AQ52*SALUD_Mes_Constante!$AP$1</f>
        <v>0</v>
      </c>
      <c r="AR52" s="8">
        <f>+MINVU_Mes_Corriente!AR52*SALUD_Mes_Constante!$AP$1</f>
        <v>6168227.2638982814</v>
      </c>
      <c r="AS52" s="8">
        <f>+MINVU_Mes_Corriente!AS52*SALUD_Mes_Constante!$AP$1</f>
        <v>6168227.2638982814</v>
      </c>
      <c r="AT52" s="8">
        <f>+MINVU_Mes_Corriente!AT52*SALUD_Mes_Constante!$AP$1</f>
        <v>6636487.5736507503</v>
      </c>
      <c r="AU52" s="8">
        <f>+MINVU_Mes_Corriente!AU52*SALUD_Mes_Constante!$AP$1</f>
        <v>6984606.2199377781</v>
      </c>
      <c r="AV52" s="8">
        <f>+MINVU_Mes_Corriente!AV52*SALUD_Mes_Constante!$AP$1</f>
        <v>7164648.0194778843</v>
      </c>
      <c r="AW52" s="8">
        <f>+MINVU_Mes_Corriente!AW52*SALUD_Mes_Constante!$AP$1</f>
        <v>7164648.0194778843</v>
      </c>
      <c r="AX52" s="8">
        <f>+MINVU_Mes_Corriente!AX52*SALUD_Mes_Constante!$AP$1</f>
        <v>7164648.0194778843</v>
      </c>
      <c r="AY52" s="8">
        <f>+MINVU_Mes_Corriente!AY52*SALUD_Mes_Constante!$AP$1</f>
        <v>14554070.446097659</v>
      </c>
      <c r="AZ52" s="8">
        <f>+MINVU_Mes_Corriente!AZ52*SALUD_Mes_Constante!$AP$1</f>
        <v>14554070.446097659</v>
      </c>
      <c r="BA52" s="8">
        <f>+MINVU_Mes_Corriente!BA52*SALUD_Mes_Constante!$AP$1</f>
        <v>17114387.086162586</v>
      </c>
      <c r="BB52" s="9">
        <f t="shared" si="22"/>
        <v>17114387.086162586</v>
      </c>
      <c r="BC52" s="8">
        <f>+MINVU_Mes_Corriente!BC52*SALUD_Mes_Constante!$BC$1</f>
        <v>0</v>
      </c>
      <c r="BD52" s="8">
        <f>+MINVU_Mes_Corriente!BD52*SALUD_Mes_Constante!$BC$1</f>
        <v>0</v>
      </c>
      <c r="BE52" s="8">
        <f>+MINVU_Mes_Corriente!BE52*SALUD_Mes_Constante!$BC$1</f>
        <v>2616597.6136093899</v>
      </c>
      <c r="BF52" s="8">
        <f>+MINVU_Mes_Corriente!BF52*SALUD_Mes_Constante!$BC$1</f>
        <v>10804145.490439143</v>
      </c>
      <c r="BG52" s="8">
        <f>+MINVU_Mes_Corriente!BG52*SALUD_Mes_Constante!$BC$1</f>
        <v>29608331.810892794</v>
      </c>
      <c r="BH52" s="8">
        <f>+MINVU_Mes_Corriente!BH52*SALUD_Mes_Constante!$BC$1</f>
        <v>29682648.206514578</v>
      </c>
      <c r="BI52" s="8">
        <f>+MINVU_Mes_Corriente!BI52*SALUD_Mes_Constante!$BC$1</f>
        <v>29682648.206514578</v>
      </c>
      <c r="BJ52" s="8">
        <f>+MINVU_Mes_Corriente!BJ52*SALUD_Mes_Constante!$BC$1</f>
        <v>30352057.700382441</v>
      </c>
      <c r="BK52" s="8">
        <f>+MINVU_Mes_Corriente!BK52*SALUD_Mes_Constante!$BC$1</f>
        <v>31427206.070156939</v>
      </c>
      <c r="BL52" s="8">
        <f>+MINVU_Mes_Corriente!BL52*SALUD_Mes_Constante!$BC$1</f>
        <v>31427206.070156939</v>
      </c>
      <c r="BM52" s="8">
        <f>+MINVU_Mes_Corriente!BM52*SALUD_Mes_Constante!$BC$1</f>
        <v>31427206.070156939</v>
      </c>
      <c r="BN52" s="8">
        <f>+MINVU_Mes_Corriente!BN52*SALUD_Mes_Constante!$BC$1</f>
        <v>36160835.41447977</v>
      </c>
      <c r="BO52" s="9">
        <f t="shared" si="23"/>
        <v>36160835.41447977</v>
      </c>
      <c r="BP52" s="8">
        <f>+MINVU_Mes_Corriente!BP52*SALUD_Mes_Constante!$BP$1</f>
        <v>0</v>
      </c>
      <c r="BQ52" s="8">
        <f>+MINVU_Mes_Corriente!BQ52*SALUD_Mes_Constante!$BP$1</f>
        <v>0</v>
      </c>
      <c r="BR52" s="8">
        <f>+MINVU_Mes_Corriente!BR52*SALUD_Mes_Constante!$BP$1</f>
        <v>33350327.942381565</v>
      </c>
      <c r="BS52" s="8">
        <f>+MINVU_Mes_Corriente!BS52*SALUD_Mes_Constante!$BP$1</f>
        <v>33350327.942381565</v>
      </c>
      <c r="BT52" s="8">
        <f>+MINVU_Mes_Corriente!BT52*SALUD_Mes_Constante!$BP$1</f>
        <v>33949485.440204866</v>
      </c>
      <c r="BU52" s="8">
        <f>+MINVU_Mes_Corriente!BU52*SALUD_Mes_Constante!$BP$1</f>
        <v>35745455.433802821</v>
      </c>
      <c r="BV52" s="8">
        <f>+MINVU_Mes_Corriente!BV52*SALUD_Mes_Constante!$BP$1</f>
        <v>45424303.596414857</v>
      </c>
      <c r="BW52" s="8">
        <f>+MINVU_Mes_Corriente!BW52*SALUD_Mes_Constante!$BP$1</f>
        <v>44514341.269398212</v>
      </c>
      <c r="BX52" s="8">
        <f>+MINVU_Mes_Corriente!BX52*SALUD_Mes_Constante!$BP$1</f>
        <v>38019911.480665818</v>
      </c>
      <c r="BY52" s="8">
        <f>+MINVU_Mes_Corriente!BY52*SALUD_Mes_Constante!$BP$1</f>
        <v>38019911.480665818</v>
      </c>
      <c r="BZ52" s="8">
        <f>+MINVU_Mes_Corriente!BZ52*SALUD_Mes_Constante!$BP$1</f>
        <v>38019911.480665818</v>
      </c>
      <c r="CA52" s="8">
        <f>+MINVU_Mes_Corriente!CA52*SALUD_Mes_Constante!$BP$1</f>
        <v>34221530.249423817</v>
      </c>
      <c r="CB52" s="9">
        <f t="shared" si="24"/>
        <v>34221530.249423817</v>
      </c>
      <c r="CC52" s="8">
        <f>+MINVU_Mes_Corriente!CC52*SALUD_Mes_Constante!$CC$1</f>
        <v>0</v>
      </c>
      <c r="CD52" s="8">
        <f>+MINVU_Mes_Corriente!CD52*SALUD_Mes_Constante!$CC$1</f>
        <v>1622302.4781797838</v>
      </c>
      <c r="CE52" s="8">
        <f>+MINVU_Mes_Corriente!CE52*SALUD_Mes_Constante!$CC$1</f>
        <v>47850060.407310709</v>
      </c>
      <c r="CF52" s="8">
        <f>+MINVU_Mes_Corriente!CF52*SALUD_Mes_Constante!$CC$1</f>
        <v>47850060.407310709</v>
      </c>
      <c r="CG52" s="8">
        <f>+MINVU_Mes_Corriente!CG52*SALUD_Mes_Constante!$CC$1</f>
        <v>47850060.407310709</v>
      </c>
      <c r="CH52" s="8">
        <f>+MINVU_Mes_Corriente!CH52*SALUD_Mes_Constante!$CC$1</f>
        <v>47850060.407310709</v>
      </c>
      <c r="CI52" s="8">
        <f>+MINVU_Mes_Corriente!CI52*SALUD_Mes_Constante!$CC$1</f>
        <v>47850060.407310709</v>
      </c>
      <c r="CJ52" s="8">
        <f>+MINVU_Mes_Corriente!CJ52*SALUD_Mes_Constante!$CC$1</f>
        <v>47850060.407310709</v>
      </c>
      <c r="CK52" s="8">
        <f>+MINVU_Mes_Corriente!CK52*SALUD_Mes_Constante!$CC$1</f>
        <v>53228562.203655355</v>
      </c>
      <c r="CL52" s="8">
        <f>+MINVU_Mes_Corriente!CL52*SALUD_Mes_Constante!$CC$1</f>
        <v>51807895.571055584</v>
      </c>
      <c r="CM52" s="8">
        <f>+MINVU_Mes_Corriente!CM52*SALUD_Mes_Constante!$CC$1</f>
        <v>51807895.571055584</v>
      </c>
      <c r="CN52" s="8">
        <f>+MINVU_Mes_Corriente!CN52*SALUD_Mes_Constante!$CC$1</f>
        <v>54018542.025363676</v>
      </c>
      <c r="CO52" s="9">
        <f t="shared" si="25"/>
        <v>54018542.025363676</v>
      </c>
      <c r="CP52" s="8">
        <f>+MINVU_Mes_Corriente!CP52*SALUD_Mes_Constante!$CP$1</f>
        <v>0</v>
      </c>
      <c r="CQ52" s="8">
        <f>+MINVU_Mes_Corriente!CQ52*SALUD_Mes_Constante!$CP$1</f>
        <v>119416094.72018559</v>
      </c>
      <c r="CR52" s="8">
        <f>+MINVU_Mes_Corriente!CR52*SALUD_Mes_Constante!$CP$1</f>
        <v>119935581.65707654</v>
      </c>
      <c r="CS52" s="8">
        <f>+MINVU_Mes_Corriente!CS52*SALUD_Mes_Constante!$CP$1</f>
        <v>119996588.53712295</v>
      </c>
      <c r="CT52" s="8">
        <f>+MINVU_Mes_Corriente!CT52*SALUD_Mes_Constante!$CP$1</f>
        <v>119996588.53712295</v>
      </c>
      <c r="CU52" s="8">
        <f>+MINVU_Mes_Corriente!CU52*SALUD_Mes_Constante!$CP$1</f>
        <v>119996588.53712295</v>
      </c>
      <c r="CV52" s="8">
        <f>+MINVU_Mes_Corriente!CV52*SALUD_Mes_Constante!$CP$1</f>
        <v>119996588.53712295</v>
      </c>
      <c r="CW52" s="8">
        <f>+MINVU_Mes_Corriente!CW52*SALUD_Mes_Constante!$CP$1</f>
        <v>119996588.53712295</v>
      </c>
      <c r="CX52" s="8">
        <f>+MINVU_Mes_Corriente!CX52*SALUD_Mes_Constante!$CP$1</f>
        <v>119996588.53712295</v>
      </c>
      <c r="CY52" s="8">
        <f>+MINVU_Mes_Corriente!CY52*SALUD_Mes_Constante!$CP$1</f>
        <v>119996588.53712295</v>
      </c>
      <c r="CZ52" s="8">
        <f>+MINVU_Mes_Corriente!CZ52*SALUD_Mes_Constante!$CP$1</f>
        <v>112785190.24385148</v>
      </c>
      <c r="DA52" s="8">
        <f>+MINVU_Mes_Corriente!DA52*SALUD_Mes_Constante!$CP$1</f>
        <v>54600919.348259851</v>
      </c>
      <c r="DB52" s="9">
        <f t="shared" si="26"/>
        <v>54600919.348259851</v>
      </c>
      <c r="DC52" s="8">
        <f>+MINVU_Mes_Corriente!DC52*SALUD_Mes_Constante!$DC$1</f>
        <v>0</v>
      </c>
      <c r="DD52" s="8">
        <f>+MINVU_Mes_Corriente!DD52*SALUD_Mes_Constante!$DC$1</f>
        <v>69625965.908857152</v>
      </c>
      <c r="DE52" s="8">
        <f>+MINVU_Mes_Corriente!DE52*SALUD_Mes_Constante!$DC$1</f>
        <v>69672704.596646473</v>
      </c>
      <c r="DF52" s="8">
        <f>+MINVU_Mes_Corriente!DF52*SALUD_Mes_Constante!$DC$1</f>
        <v>69672704.596646473</v>
      </c>
      <c r="DG52" s="8">
        <f>+MINVU_Mes_Corriente!DG52*SALUD_Mes_Constante!$DC$1</f>
        <v>69672704.596646473</v>
      </c>
      <c r="DH52" s="8">
        <f>+MINVU_Mes_Corriente!DH52*SALUD_Mes_Constante!$DC$1</f>
        <v>69672704.596646473</v>
      </c>
      <c r="DI52" s="8">
        <f>+MINVU_Mes_Corriente!DI52*SALUD_Mes_Constante!$DC$1</f>
        <v>69672704.596646473</v>
      </c>
      <c r="DJ52" s="8">
        <f>+MINVU_Mes_Corriente!DJ52*SALUD_Mes_Constante!$DC$1</f>
        <v>69678410.93364884</v>
      </c>
      <c r="DK52" s="8">
        <f>+MINVU_Mes_Corriente!DK52*SALUD_Mes_Constante!$DC$1</f>
        <v>24356182.777286299</v>
      </c>
      <c r="DL52" s="8">
        <f>+MINVU_Mes_Corriente!DL52*SALUD_Mes_Constante!$DC$1</f>
        <v>24356182.777286299</v>
      </c>
      <c r="DM52" s="8">
        <f>+MINVU_Mes_Corriente!DM52*SALUD_Mes_Constante!$DC$1</f>
        <v>24217895.426602215</v>
      </c>
      <c r="DN52" s="8">
        <f>+MINVU_Mes_Corriente!DN52*SALUD_Mes_Constante!$DC$1</f>
        <v>24020326.011932939</v>
      </c>
      <c r="DO52" s="9">
        <f t="shared" si="27"/>
        <v>24020326.011932939</v>
      </c>
      <c r="DP52" s="8">
        <f>+MINVU_Mes_Corriente!DP52*SALUD_Mes_Constante!$DP$1</f>
        <v>0</v>
      </c>
      <c r="DQ52" s="8">
        <f>+MINVU_Mes_Corriente!DQ52*SALUD_Mes_Constante!$DP$1</f>
        <v>23950902.550475061</v>
      </c>
      <c r="DR52" s="8">
        <f>+MINVU_Mes_Corriente!DR52*SALUD_Mes_Constante!$DP$1</f>
        <v>23950902.550475061</v>
      </c>
      <c r="DS52" s="8">
        <f>+MINVU_Mes_Corriente!DS52*SALUD_Mes_Constante!$DP$1</f>
        <v>23950902.550475061</v>
      </c>
      <c r="DT52" s="8">
        <f>+MINVU_Mes_Corriente!DT52*SALUD_Mes_Constante!$DP$1</f>
        <v>24353770.685273163</v>
      </c>
      <c r="DU52" s="8">
        <f>+MINVU_Mes_Corriente!DU52*SALUD_Mes_Constante!$DP$1</f>
        <v>25012997.556413304</v>
      </c>
      <c r="DV52" s="8">
        <f>+MINVU_Mes_Corriente!DV52*SALUD_Mes_Constante!$DP$1</f>
        <v>30502644.279691216</v>
      </c>
      <c r="DW52" s="8">
        <f>+MINVU_Mes_Corriente!DW52*SALUD_Mes_Constante!$DP$1</f>
        <v>42486330.605700716</v>
      </c>
      <c r="DX52" s="8">
        <f>+MINVU_Mes_Corriente!DX52*SALUD_Mes_Constante!$DP$1</f>
        <v>42486330.605700716</v>
      </c>
      <c r="DY52" s="8">
        <f>+MINVU_Mes_Corriente!DY52*SALUD_Mes_Constante!$DP$1</f>
        <v>43332427.328978628</v>
      </c>
      <c r="DZ52" s="8">
        <f>+MINVU_Mes_Corriente!DZ52*SALUD_Mes_Constante!$DP$1</f>
        <v>43332427.328978628</v>
      </c>
      <c r="EA52" s="8">
        <f>+MINVU_Mes_Corriente!EA52*SALUD_Mes_Constante!$DP$1</f>
        <v>30061449.717933495</v>
      </c>
      <c r="EB52" s="9">
        <f t="shared" si="28"/>
        <v>30061449.717933495</v>
      </c>
      <c r="EC52" s="8">
        <f>+MINVU_Mes_Corriente!EC52*SALUD_Mes_Constante!$EC$1</f>
        <v>0</v>
      </c>
      <c r="ED52" s="8">
        <f>+MINVU_Mes_Corriente!ED52*SALUD_Mes_Constante!$EC$1</f>
        <v>39371725.140124962</v>
      </c>
      <c r="EE52" s="8">
        <f>+MINVU_Mes_Corriente!EE52*SALUD_Mes_Constante!$EC$1</f>
        <v>40224638.989206575</v>
      </c>
      <c r="EF52" s="8">
        <f>+MINVU_Mes_Corriente!EF52*SALUD_Mes_Constante!$EC$1</f>
        <v>40254854.62393485</v>
      </c>
      <c r="EG52" s="8">
        <f>+MINVU_Mes_Corriente!EG52*SALUD_Mes_Constante!$EC$1</f>
        <v>36330238.941109627</v>
      </c>
      <c r="EH52" s="8">
        <f>+MINVU_Mes_Corriente!EH52*SALUD_Mes_Constante!$EC$1</f>
        <v>36345047.281386092</v>
      </c>
      <c r="EI52" s="8">
        <f>+MINVU_Mes_Corriente!EI52*SALUD_Mes_Constante!$EC$1</f>
        <v>36345047.281386092</v>
      </c>
      <c r="EJ52" s="8">
        <f>+MINVU_Mes_Corriente!EJ52*SALUD_Mes_Constante!$EC$1</f>
        <v>37039852.74512402</v>
      </c>
      <c r="EK52" s="8">
        <f>+MINVU_Mes_Corriente!EK52*SALUD_Mes_Constante!$EC$1</f>
        <v>35468922.147699289</v>
      </c>
      <c r="EL52" s="8">
        <f>+MINVU_Mes_Corriente!EL52*SALUD_Mes_Constante!$EC$1</f>
        <v>20928619.554251082</v>
      </c>
      <c r="EM52" s="8">
        <f>+MINVU_Mes_Corriente!EM52*SALUD_Mes_Constante!$EC$1</f>
        <v>20243244.256769545</v>
      </c>
      <c r="EN52" s="8">
        <f>+MINVU_Mes_Corriente!EN52*SALUD_Mes_Constante!$EC$1</f>
        <v>17271566.73584548</v>
      </c>
      <c r="EO52" s="9">
        <f t="shared" si="29"/>
        <v>17271566.73584548</v>
      </c>
      <c r="EP52" s="8">
        <f>+MINVU_Mes_Corriente!EP52*SALUD_Mes_Constante!$EP$1</f>
        <v>0</v>
      </c>
      <c r="EQ52" s="8">
        <f>+MINVU_Mes_Corriente!EQ52*SALUD_Mes_Constante!$EP$1</f>
        <v>11138854</v>
      </c>
      <c r="ER52" s="8">
        <f>+MINVU_Mes_Corriente!ER52*SALUD_Mes_Constante!$EP$1</f>
        <v>14916172</v>
      </c>
      <c r="ES52" s="8">
        <f>+MINVU_Mes_Corriente!ES52*SALUD_Mes_Constante!$EP$1</f>
        <v>14916172</v>
      </c>
      <c r="ET52" s="8">
        <f>+MINVU_Mes_Corriente!ET52*SALUD_Mes_Constante!$EP$1</f>
        <v>14916172</v>
      </c>
      <c r="EU52" s="8">
        <f>+MINVU_Mes_Corriente!EU52*SALUD_Mes_Constante!$EP$1</f>
        <v>14916172</v>
      </c>
      <c r="EV52" s="8">
        <f>+MINVU_Mes_Corriente!EV52*SALUD_Mes_Constante!$EP$1</f>
        <v>14916172</v>
      </c>
      <c r="EW52" s="8">
        <f>+MINVU_Mes_Corriente!EW52*SALUD_Mes_Constante!$EP$1</f>
        <v>22787635</v>
      </c>
      <c r="EX52" s="8">
        <f>+MINVU_Mes_Corriente!EX52*SALUD_Mes_Constante!$EP$1</f>
        <v>19742032</v>
      </c>
      <c r="EY52" s="8">
        <f>+MINVU_Mes_Corriente!EY52*SALUD_Mes_Constante!$EP$1</f>
        <v>19742032</v>
      </c>
      <c r="EZ52" s="8">
        <f>+MINVU_Mes_Corriente!EZ52*SALUD_Mes_Constante!$EP$1</f>
        <v>20748661</v>
      </c>
      <c r="FA52" s="8">
        <f>+MINVU_Mes_Corriente!FA52*SALUD_Mes_Constante!$EP$1</f>
        <v>14450372</v>
      </c>
      <c r="FB52" s="9">
        <f t="shared" si="30"/>
        <v>14450372</v>
      </c>
      <c r="FC52" s="8">
        <f>+MINVU_Mes_Corriente!FC52*SALUD_Mes_Constante!$FC$1</f>
        <v>21931475</v>
      </c>
      <c r="FD52" s="8">
        <f>+MINVU_Mes_Corriente!FD52*SALUD_Mes_Constante!$FC$1</f>
        <v>21931475</v>
      </c>
      <c r="FE52" s="8">
        <f>+MINVU_Mes_Corriente!FE52*SALUD_Mes_Constante!$FC$1</f>
        <v>21931475</v>
      </c>
      <c r="FF52" s="8">
        <f>+MINVU_Mes_Corriente!FF52*SALUD_Mes_Constante!$FC$1</f>
        <v>21931475</v>
      </c>
      <c r="FG52" s="8">
        <f>+MINVU_Mes_Corriente!FG52*SALUD_Mes_Constante!$FC$1</f>
        <v>21931475</v>
      </c>
      <c r="FH52" s="8">
        <f>+MINVU_Mes_Corriente!FH52*SALUD_Mes_Constante!$FC$1</f>
        <v>21931475</v>
      </c>
      <c r="FI52" s="8">
        <f>+MINVU_Mes_Corriente!FI52*SALUD_Mes_Constante!$FC$1</f>
        <v>21931475</v>
      </c>
      <c r="FJ52" s="8"/>
      <c r="FK52" s="8"/>
      <c r="FL52" s="8"/>
      <c r="FM52" s="8"/>
      <c r="FN52" s="8"/>
      <c r="FO52" s="9">
        <f t="shared" si="31"/>
        <v>21931475</v>
      </c>
    </row>
    <row r="53" spans="2:171" ht="14.25" customHeight="1" x14ac:dyDescent="0.3">
      <c r="B53" s="7" t="s">
        <v>52</v>
      </c>
      <c r="C53" s="8">
        <f>+MINVU_Mes_Corriente!C53*SALUD_Mes_Constante!$C$1</f>
        <v>0</v>
      </c>
      <c r="D53" s="8">
        <f>+MINVU_Mes_Corriente!D53*SALUD_Mes_Constante!$C$1</f>
        <v>23010470.347323153</v>
      </c>
      <c r="E53" s="8">
        <f>+MINVU_Mes_Corriente!E53*SALUD_Mes_Constante!$C$1</f>
        <v>27889213.718226314</v>
      </c>
      <c r="F53" s="8">
        <f>+MINVU_Mes_Corriente!F53*SALUD_Mes_Constante!$C$1</f>
        <v>27889213.718226314</v>
      </c>
      <c r="G53" s="8">
        <f>+MINVU_Mes_Corriente!G53*SALUD_Mes_Constante!$C$1</f>
        <v>27889213.718226314</v>
      </c>
      <c r="H53" s="8">
        <f>+MINVU_Mes_Corriente!H53*SALUD_Mes_Constante!$C$1</f>
        <v>27889213.718226314</v>
      </c>
      <c r="I53" s="8">
        <f>+MINVU_Mes_Corriente!I53*SALUD_Mes_Constante!$C$1</f>
        <v>27889213.718226314</v>
      </c>
      <c r="J53" s="8">
        <f>+MINVU_Mes_Corriente!J53*SALUD_Mes_Constante!$C$1</f>
        <v>27889213.718226314</v>
      </c>
      <c r="K53" s="8">
        <f>+MINVU_Mes_Corriente!K53*SALUD_Mes_Constante!$C$1</f>
        <v>28472311.799199175</v>
      </c>
      <c r="L53" s="8">
        <f>+MINVU_Mes_Corriente!L53*SALUD_Mes_Constante!$C$1</f>
        <v>28472311.799199175</v>
      </c>
      <c r="M53" s="8">
        <f>+MINVU_Mes_Corriente!M53*SALUD_Mes_Constante!$C$1</f>
        <v>23386207.758267839</v>
      </c>
      <c r="N53" s="8">
        <f>+MINVU_Mes_Corriente!N53*SALUD_Mes_Constante!$C$1</f>
        <v>23386207.758267839</v>
      </c>
      <c r="O53" s="9">
        <f t="shared" si="19"/>
        <v>23386207.758267839</v>
      </c>
      <c r="P53" s="8">
        <f>+MINVU_Mes_Corriente!P53*SALUD_Mes_Constante!$P$1</f>
        <v>0</v>
      </c>
      <c r="Q53" s="8">
        <f>+MINVU_Mes_Corriente!Q53*SALUD_Mes_Constante!$P$1</f>
        <v>57973548.473930933</v>
      </c>
      <c r="R53" s="8">
        <f>+MINVU_Mes_Corriente!R53*SALUD_Mes_Constante!$P$1</f>
        <v>59828348.344935335</v>
      </c>
      <c r="S53" s="8">
        <f>+MINVU_Mes_Corriente!S53*SALUD_Mes_Constante!$P$1</f>
        <v>59828348.344935335</v>
      </c>
      <c r="T53" s="8">
        <f>+MINVU_Mes_Corriente!T53*SALUD_Mes_Constante!$P$1</f>
        <v>59828348.344935335</v>
      </c>
      <c r="U53" s="8">
        <f>+MINVU_Mes_Corriente!U53*SALUD_Mes_Constante!$P$1</f>
        <v>30058348.012217633</v>
      </c>
      <c r="V53" s="8">
        <f>+MINVU_Mes_Corriente!V53*SALUD_Mes_Constante!$P$1</f>
        <v>31315544.267367512</v>
      </c>
      <c r="W53" s="8">
        <f>+MINVU_Mes_Corriente!W53*SALUD_Mes_Constante!$P$1</f>
        <v>31315544.267367512</v>
      </c>
      <c r="X53" s="8">
        <f>+MINVU_Mes_Corriente!X53*SALUD_Mes_Constante!$P$1</f>
        <v>31315544.267367512</v>
      </c>
      <c r="Y53" s="8">
        <f>+MINVU_Mes_Corriente!Y53*SALUD_Mes_Constante!$P$1</f>
        <v>31315544.267367512</v>
      </c>
      <c r="Z53" s="8">
        <f>+MINVU_Mes_Corriente!Z53*SALUD_Mes_Constante!$P$1</f>
        <v>30627910.97030827</v>
      </c>
      <c r="AA53" s="8">
        <f>+MINVU_Mes_Corriente!AA53*SALUD_Mes_Constante!$P$1</f>
        <v>21686711.459582318</v>
      </c>
      <c r="AB53" s="9">
        <f t="shared" si="20"/>
        <v>21686711.459582318</v>
      </c>
      <c r="AC53" s="8">
        <f>+MINVU_Mes_Corriente!AC53*SALUD_Mes_Constante!$AC$1</f>
        <v>0</v>
      </c>
      <c r="AD53" s="8">
        <f>+MINVU_Mes_Corriente!AD53*SALUD_Mes_Constante!$AC$1</f>
        <v>42993294.608382903</v>
      </c>
      <c r="AE53" s="8">
        <f>+MINVU_Mes_Corriente!AE53*SALUD_Mes_Constante!$AC$1</f>
        <v>42993294.608382903</v>
      </c>
      <c r="AF53" s="8">
        <f>+MINVU_Mes_Corriente!AF53*SALUD_Mes_Constante!$AC$1</f>
        <v>42993294.608382903</v>
      </c>
      <c r="AG53" s="8">
        <f>+MINVU_Mes_Corriente!AG53*SALUD_Mes_Constante!$AC$1</f>
        <v>43507186.904412784</v>
      </c>
      <c r="AH53" s="8">
        <f>+MINVU_Mes_Corriente!AH53*SALUD_Mes_Constante!$AC$1</f>
        <v>43507186.904412784</v>
      </c>
      <c r="AI53" s="8">
        <f>+MINVU_Mes_Corriente!AI53*SALUD_Mes_Constante!$AC$1</f>
        <v>43507186.904412784</v>
      </c>
      <c r="AJ53" s="8">
        <f>+MINVU_Mes_Corriente!AJ53*SALUD_Mes_Constante!$AC$1</f>
        <v>43507186.904412784</v>
      </c>
      <c r="AK53" s="8">
        <f>+MINVU_Mes_Corriente!AK53*SALUD_Mes_Constante!$AC$1</f>
        <v>43507186.904412784</v>
      </c>
      <c r="AL53" s="8">
        <f>+MINVU_Mes_Corriente!AL53*SALUD_Mes_Constante!$AC$1</f>
        <v>42221086.824733712</v>
      </c>
      <c r="AM53" s="8">
        <f>+MINVU_Mes_Corriente!AM53*SALUD_Mes_Constante!$AC$1</f>
        <v>47296736.017706461</v>
      </c>
      <c r="AN53" s="8">
        <f>+MINVU_Mes_Corriente!AN53*SALUD_Mes_Constante!$AC$1</f>
        <v>46909119.202102639</v>
      </c>
      <c r="AO53" s="9">
        <f t="shared" si="21"/>
        <v>46909119.202102639</v>
      </c>
      <c r="AP53" s="8">
        <f>+MINVU_Mes_Corriente!AP53*SALUD_Mes_Constante!$AP$1</f>
        <v>0</v>
      </c>
      <c r="AQ53" s="8">
        <f>+MINVU_Mes_Corriente!AQ53*SALUD_Mes_Constante!$AP$1</f>
        <v>38677357.217367776</v>
      </c>
      <c r="AR53" s="8">
        <f>+MINVU_Mes_Corriente!AR53*SALUD_Mes_Constante!$AP$1</f>
        <v>48889781.384011902</v>
      </c>
      <c r="AS53" s="8">
        <f>+MINVU_Mes_Corriente!AS53*SALUD_Mes_Constante!$AP$1</f>
        <v>48889781.384011902</v>
      </c>
      <c r="AT53" s="8">
        <f>+MINVU_Mes_Corriente!AT53*SALUD_Mes_Constante!$AP$1</f>
        <v>49290468.381441899</v>
      </c>
      <c r="AU53" s="8">
        <f>+MINVU_Mes_Corriente!AU53*SALUD_Mes_Constante!$AP$1</f>
        <v>42182847.490599215</v>
      </c>
      <c r="AV53" s="8">
        <f>+MINVU_Mes_Corriente!AV53*SALUD_Mes_Constante!$AP$1</f>
        <v>42182847.490599215</v>
      </c>
      <c r="AW53" s="8">
        <f>+MINVU_Mes_Corriente!AW53*SALUD_Mes_Constante!$AP$1</f>
        <v>42182847.490599215</v>
      </c>
      <c r="AX53" s="8">
        <f>+MINVU_Mes_Corriente!AX53*SALUD_Mes_Constante!$AP$1</f>
        <v>38723912.056539968</v>
      </c>
      <c r="AY53" s="8">
        <f>+MINVU_Mes_Corriente!AY53*SALUD_Mes_Constante!$AP$1</f>
        <v>38754063.855809547</v>
      </c>
      <c r="AZ53" s="8">
        <f>+MINVU_Mes_Corriente!AZ53*SALUD_Mes_Constante!$AP$1</f>
        <v>38754063.855809547</v>
      </c>
      <c r="BA53" s="8">
        <f>+MINVU_Mes_Corriente!BA53*SALUD_Mes_Constante!$AP$1</f>
        <v>48031918.210469358</v>
      </c>
      <c r="BB53" s="9">
        <f t="shared" si="22"/>
        <v>48031918.210469358</v>
      </c>
      <c r="BC53" s="8">
        <f>+MINVU_Mes_Corriente!BC53*SALUD_Mes_Constante!$BC$1</f>
        <v>0</v>
      </c>
      <c r="BD53" s="8">
        <f>+MINVU_Mes_Corriente!BD53*SALUD_Mes_Constante!$BC$1</f>
        <v>0</v>
      </c>
      <c r="BE53" s="8">
        <f>+MINVU_Mes_Corriente!BE53*SALUD_Mes_Constante!$BC$1</f>
        <v>9751147.3775550593</v>
      </c>
      <c r="BF53" s="8">
        <f>+MINVU_Mes_Corriente!BF53*SALUD_Mes_Constante!$BC$1</f>
        <v>12897989.548991168</v>
      </c>
      <c r="BG53" s="8">
        <f>+MINVU_Mes_Corriente!BG53*SALUD_Mes_Constante!$BC$1</f>
        <v>87601008.229460657</v>
      </c>
      <c r="BH53" s="8">
        <f>+MINVU_Mes_Corriente!BH53*SALUD_Mes_Constante!$BC$1</f>
        <v>94531007.078201264</v>
      </c>
      <c r="BI53" s="8">
        <f>+MINVU_Mes_Corriente!BI53*SALUD_Mes_Constante!$BC$1</f>
        <v>94531007.078201264</v>
      </c>
      <c r="BJ53" s="8">
        <f>+MINVU_Mes_Corriente!BJ53*SALUD_Mes_Constante!$BC$1</f>
        <v>93985753.138599515</v>
      </c>
      <c r="BK53" s="8">
        <f>+MINVU_Mes_Corriente!BK53*SALUD_Mes_Constante!$BC$1</f>
        <v>85993632.6860082</v>
      </c>
      <c r="BL53" s="8">
        <f>+MINVU_Mes_Corriente!BL53*SALUD_Mes_Constante!$BC$1</f>
        <v>77807578.975339592</v>
      </c>
      <c r="BM53" s="8">
        <f>+MINVU_Mes_Corriente!BM53*SALUD_Mes_Constante!$BC$1</f>
        <v>77807578.975339592</v>
      </c>
      <c r="BN53" s="8">
        <f>+MINVU_Mes_Corriente!BN53*SALUD_Mes_Constante!$BC$1</f>
        <v>82577742.627456173</v>
      </c>
      <c r="BO53" s="9">
        <f t="shared" si="23"/>
        <v>82577742.627456173</v>
      </c>
      <c r="BP53" s="8">
        <f>+MINVU_Mes_Corriente!BP53*SALUD_Mes_Constante!$BP$1</f>
        <v>0</v>
      </c>
      <c r="BQ53" s="8">
        <f>+MINVU_Mes_Corriente!BQ53*SALUD_Mes_Constante!$BP$1</f>
        <v>0</v>
      </c>
      <c r="BR53" s="8">
        <f>+MINVU_Mes_Corriente!BR53*SALUD_Mes_Constante!$BP$1</f>
        <v>96047139.235851482</v>
      </c>
      <c r="BS53" s="8">
        <f>+MINVU_Mes_Corriente!BS53*SALUD_Mes_Constante!$BP$1</f>
        <v>96047139.235851482</v>
      </c>
      <c r="BT53" s="8">
        <f>+MINVU_Mes_Corriente!BT53*SALUD_Mes_Constante!$BP$1</f>
        <v>96047139.235851482</v>
      </c>
      <c r="BU53" s="8">
        <f>+MINVU_Mes_Corriente!BU53*SALUD_Mes_Constante!$BP$1</f>
        <v>122716864.50499362</v>
      </c>
      <c r="BV53" s="8">
        <f>+MINVU_Mes_Corriente!BV53*SALUD_Mes_Constante!$BP$1</f>
        <v>153732611.22407171</v>
      </c>
      <c r="BW53" s="8">
        <f>+MINVU_Mes_Corriente!BW53*SALUD_Mes_Constante!$BP$1</f>
        <v>147089400.37259924</v>
      </c>
      <c r="BX53" s="8">
        <f>+MINVU_Mes_Corriente!BX53*SALUD_Mes_Constante!$BP$1</f>
        <v>113484055.95288093</v>
      </c>
      <c r="BY53" s="8">
        <f>+MINVU_Mes_Corriente!BY53*SALUD_Mes_Constante!$BP$1</f>
        <v>113484055.95288093</v>
      </c>
      <c r="BZ53" s="8">
        <f>+MINVU_Mes_Corriente!BZ53*SALUD_Mes_Constante!$BP$1</f>
        <v>113484055.95288093</v>
      </c>
      <c r="CA53" s="8">
        <f>+MINVU_Mes_Corriente!CA53*SALUD_Mes_Constante!$BP$1</f>
        <v>110527830.09679899</v>
      </c>
      <c r="CB53" s="9">
        <f t="shared" si="24"/>
        <v>110527830.09679899</v>
      </c>
      <c r="CC53" s="8">
        <f>+MINVU_Mes_Corriente!CC53*SALUD_Mes_Constante!$CC$1</f>
        <v>0</v>
      </c>
      <c r="CD53" s="8">
        <f>+MINVU_Mes_Corriente!CD53*SALUD_Mes_Constante!$CC$1</f>
        <v>2308192.5542707946</v>
      </c>
      <c r="CE53" s="8">
        <f>+MINVU_Mes_Corriente!CE53*SALUD_Mes_Constante!$CC$1</f>
        <v>80744480.788511753</v>
      </c>
      <c r="CF53" s="8">
        <f>+MINVU_Mes_Corriente!CF53*SALUD_Mes_Constante!$CC$1</f>
        <v>80744480.788511753</v>
      </c>
      <c r="CG53" s="8">
        <f>+MINVU_Mes_Corriente!CG53*SALUD_Mes_Constante!$CC$1</f>
        <v>80744480.788511753</v>
      </c>
      <c r="CH53" s="8">
        <f>+MINVU_Mes_Corriente!CH53*SALUD_Mes_Constante!$CC$1</f>
        <v>80744480.788511753</v>
      </c>
      <c r="CI53" s="8">
        <f>+MINVU_Mes_Corriente!CI53*SALUD_Mes_Constante!$CC$1</f>
        <v>95620129.942558751</v>
      </c>
      <c r="CJ53" s="8">
        <f>+MINVU_Mes_Corriente!CJ53*SALUD_Mes_Constante!$CC$1</f>
        <v>95620129.942558751</v>
      </c>
      <c r="CK53" s="8">
        <f>+MINVU_Mes_Corriente!CK53*SALUD_Mes_Constante!$CC$1</f>
        <v>93710345.834390163</v>
      </c>
      <c r="CL53" s="8">
        <f>+MINVU_Mes_Corriente!CL53*SALUD_Mes_Constante!$CC$1</f>
        <v>96834479.516598299</v>
      </c>
      <c r="CM53" s="8">
        <f>+MINVU_Mes_Corriente!CM53*SALUD_Mes_Constante!$CC$1</f>
        <v>118270092.00671393</v>
      </c>
      <c r="CN53" s="8">
        <f>+MINVU_Mes_Corriente!CN53*SALUD_Mes_Constante!$CC$1</f>
        <v>104595400.84296905</v>
      </c>
      <c r="CO53" s="9">
        <f t="shared" si="25"/>
        <v>104595400.84296905</v>
      </c>
      <c r="CP53" s="8">
        <f>+MINVU_Mes_Corriente!CP53*SALUD_Mes_Constante!$CP$1</f>
        <v>0</v>
      </c>
      <c r="CQ53" s="8">
        <f>+MINVU_Mes_Corriente!CQ53*SALUD_Mes_Constante!$CP$1</f>
        <v>92692461.301392093</v>
      </c>
      <c r="CR53" s="8">
        <f>+MINVU_Mes_Corriente!CR53*SALUD_Mes_Constante!$CP$1</f>
        <v>107679273.97865427</v>
      </c>
      <c r="CS53" s="8">
        <f>+MINVU_Mes_Corriente!CS53*SALUD_Mes_Constante!$CP$1</f>
        <v>117476530.71995357</v>
      </c>
      <c r="CT53" s="8">
        <f>+MINVU_Mes_Corriente!CT53*SALUD_Mes_Constante!$CP$1</f>
        <v>110399376.46218096</v>
      </c>
      <c r="CU53" s="8">
        <f>+MINVU_Mes_Corriente!CU53*SALUD_Mes_Constante!$CP$1</f>
        <v>112051792.000232</v>
      </c>
      <c r="CV53" s="8">
        <f>+MINVU_Mes_Corriente!CV53*SALUD_Mes_Constante!$CP$1</f>
        <v>112051792.000232</v>
      </c>
      <c r="CW53" s="8">
        <f>+MINVU_Mes_Corriente!CW53*SALUD_Mes_Constante!$CP$1</f>
        <v>112051792.000232</v>
      </c>
      <c r="CX53" s="8">
        <f>+MINVU_Mes_Corriente!CX53*SALUD_Mes_Constante!$CP$1</f>
        <v>112051792.000232</v>
      </c>
      <c r="CY53" s="8">
        <f>+MINVU_Mes_Corriente!CY53*SALUD_Mes_Constante!$CP$1</f>
        <v>80751035.36589326</v>
      </c>
      <c r="CZ53" s="8">
        <f>+MINVU_Mes_Corriente!CZ53*SALUD_Mes_Constante!$CP$1</f>
        <v>80751035.36589326</v>
      </c>
      <c r="DA53" s="8">
        <f>+MINVU_Mes_Corriente!DA53*SALUD_Mes_Constante!$CP$1</f>
        <v>73674393.185150802</v>
      </c>
      <c r="DB53" s="9">
        <f t="shared" si="26"/>
        <v>73674393.185150802</v>
      </c>
      <c r="DC53" s="8">
        <f>+MINVU_Mes_Corriente!DC53*SALUD_Mes_Constante!$DC$1</f>
        <v>0</v>
      </c>
      <c r="DD53" s="8">
        <f>+MINVU_Mes_Corriente!DD53*SALUD_Mes_Constante!$DC$1</f>
        <v>31693706.052875232</v>
      </c>
      <c r="DE53" s="8">
        <f>+MINVU_Mes_Corriente!DE53*SALUD_Mes_Constante!$DC$1</f>
        <v>55859375.626581654</v>
      </c>
      <c r="DF53" s="8">
        <f>+MINVU_Mes_Corriente!DF53*SALUD_Mes_Constante!$DC$1</f>
        <v>55859375.626581654</v>
      </c>
      <c r="DG53" s="8">
        <f>+MINVU_Mes_Corriente!DG53*SALUD_Mes_Constante!$DC$1</f>
        <v>55998803.795082837</v>
      </c>
      <c r="DH53" s="8">
        <f>+MINVU_Mes_Corriente!DH53*SALUD_Mes_Constante!$DC$1</f>
        <v>52447312.047114521</v>
      </c>
      <c r="DI53" s="8">
        <f>+MINVU_Mes_Corriente!DI53*SALUD_Mes_Constante!$DC$1</f>
        <v>52452931.839316964</v>
      </c>
      <c r="DJ53" s="8">
        <f>+MINVU_Mes_Corriente!DJ53*SALUD_Mes_Constante!$DC$1</f>
        <v>52452932.96327541</v>
      </c>
      <c r="DK53" s="8">
        <f>+MINVU_Mes_Corriente!DK53*SALUD_Mes_Constante!$DC$1</f>
        <v>46025637.315091059</v>
      </c>
      <c r="DL53" s="8">
        <f>+MINVU_Mes_Corriente!DL53*SALUD_Mes_Constante!$DC$1</f>
        <v>46025637.315091059</v>
      </c>
      <c r="DM53" s="8">
        <f>+MINVU_Mes_Corriente!DM53*SALUD_Mes_Constante!$DC$1</f>
        <v>42828048.609196603</v>
      </c>
      <c r="DN53" s="8">
        <f>+MINVU_Mes_Corriente!DN53*SALUD_Mes_Constante!$DC$1</f>
        <v>42828520.671741612</v>
      </c>
      <c r="DO53" s="9">
        <f t="shared" si="27"/>
        <v>42828520.671741612</v>
      </c>
      <c r="DP53" s="8">
        <f>+MINVU_Mes_Corriente!DP53*SALUD_Mes_Constante!$DP$1</f>
        <v>0</v>
      </c>
      <c r="DQ53" s="8">
        <f>+MINVU_Mes_Corriente!DQ53*SALUD_Mes_Constante!$DP$1</f>
        <v>41041773.694774352</v>
      </c>
      <c r="DR53" s="8">
        <f>+MINVU_Mes_Corriente!DR53*SALUD_Mes_Constante!$DP$1</f>
        <v>41041773.694774352</v>
      </c>
      <c r="DS53" s="8">
        <f>+MINVU_Mes_Corriente!DS53*SALUD_Mes_Constante!$DP$1</f>
        <v>41041773.694774352</v>
      </c>
      <c r="DT53" s="8">
        <f>+MINVU_Mes_Corriente!DT53*SALUD_Mes_Constante!$DP$1</f>
        <v>41041773.694774352</v>
      </c>
      <c r="DU53" s="8">
        <f>+MINVU_Mes_Corriente!DU53*SALUD_Mes_Constante!$DP$1</f>
        <v>41041773.694774352</v>
      </c>
      <c r="DV53" s="8">
        <f>+MINVU_Mes_Corriente!DV53*SALUD_Mes_Constante!$DP$1</f>
        <v>43329841.811757721</v>
      </c>
      <c r="DW53" s="8">
        <f>+MINVU_Mes_Corriente!DW53*SALUD_Mes_Constante!$DP$1</f>
        <v>42010168.302256539</v>
      </c>
      <c r="DX53" s="8">
        <f>+MINVU_Mes_Corriente!DX53*SALUD_Mes_Constante!$DP$1</f>
        <v>42010168.302256539</v>
      </c>
      <c r="DY53" s="8">
        <f>+MINVU_Mes_Corriente!DY53*SALUD_Mes_Constante!$DP$1</f>
        <v>57399454.44121141</v>
      </c>
      <c r="DZ53" s="8">
        <f>+MINVU_Mes_Corriente!DZ53*SALUD_Mes_Constante!$DP$1</f>
        <v>57399454.44121141</v>
      </c>
      <c r="EA53" s="8">
        <f>+MINVU_Mes_Corriente!EA53*SALUD_Mes_Constante!$DP$1</f>
        <v>50366431.279097393</v>
      </c>
      <c r="EB53" s="9">
        <f t="shared" si="28"/>
        <v>50366431.279097393</v>
      </c>
      <c r="EC53" s="8">
        <f>+MINVU_Mes_Corriente!EC53*SALUD_Mes_Constante!$EC$1</f>
        <v>0</v>
      </c>
      <c r="ED53" s="8">
        <f>+MINVU_Mes_Corriente!ED53*SALUD_Mes_Constante!$EC$1</f>
        <v>56743488.944139346</v>
      </c>
      <c r="EE53" s="8">
        <f>+MINVU_Mes_Corriente!EE53*SALUD_Mes_Constante!$EC$1</f>
        <v>62123744.304109052</v>
      </c>
      <c r="EF53" s="8">
        <f>+MINVU_Mes_Corriente!EF53*SALUD_Mes_Constante!$EC$1</f>
        <v>62223708.618064739</v>
      </c>
      <c r="EG53" s="8">
        <f>+MINVU_Mes_Corriente!EG53*SALUD_Mes_Constante!$EC$1</f>
        <v>62223708.618064739</v>
      </c>
      <c r="EH53" s="8">
        <f>+MINVU_Mes_Corriente!EH53*SALUD_Mes_Constante!$EC$1</f>
        <v>62223708.618064739</v>
      </c>
      <c r="EI53" s="8">
        <f>+MINVU_Mes_Corriente!EI53*SALUD_Mes_Constante!$EC$1</f>
        <v>91075609.515053943</v>
      </c>
      <c r="EJ53" s="8">
        <f>+MINVU_Mes_Corriente!EJ53*SALUD_Mes_Constante!$EC$1</f>
        <v>91075609.515053943</v>
      </c>
      <c r="EK53" s="8">
        <f>+MINVU_Mes_Corriente!EK53*SALUD_Mes_Constante!$EC$1</f>
        <v>90702117.622041255</v>
      </c>
      <c r="EL53" s="8">
        <f>+MINVU_Mes_Corriente!EL53*SALUD_Mes_Constante!$EC$1</f>
        <v>87715247.975004703</v>
      </c>
      <c r="EM53" s="8">
        <f>+MINVU_Mes_Corriente!EM53*SALUD_Mes_Constante!$EC$1</f>
        <v>89327141.245029315</v>
      </c>
      <c r="EN53" s="8">
        <f>+MINVU_Mes_Corriente!EN53*SALUD_Mes_Constante!$EC$1</f>
        <v>89146908.795871973</v>
      </c>
      <c r="EO53" s="9">
        <f t="shared" si="29"/>
        <v>89146908.795871973</v>
      </c>
      <c r="EP53" s="8">
        <f>+MINVU_Mes_Corriente!EP53*SALUD_Mes_Constante!$EP$1</f>
        <v>0</v>
      </c>
      <c r="EQ53" s="8">
        <f>+MINVU_Mes_Corriente!EQ53*SALUD_Mes_Constante!$EP$1</f>
        <v>69438475</v>
      </c>
      <c r="ER53" s="8">
        <f>+MINVU_Mes_Corriente!ER53*SALUD_Mes_Constante!$EP$1</f>
        <v>69438475</v>
      </c>
      <c r="ES53" s="8">
        <f>+MINVU_Mes_Corriente!ES53*SALUD_Mes_Constante!$EP$1</f>
        <v>69438475</v>
      </c>
      <c r="ET53" s="8">
        <f>+MINVU_Mes_Corriente!ET53*SALUD_Mes_Constante!$EP$1</f>
        <v>69438475</v>
      </c>
      <c r="EU53" s="8">
        <f>+MINVU_Mes_Corriente!EU53*SALUD_Mes_Constante!$EP$1</f>
        <v>69438475</v>
      </c>
      <c r="EV53" s="8">
        <f>+MINVU_Mes_Corriente!EV53*SALUD_Mes_Constante!$EP$1</f>
        <v>69438475</v>
      </c>
      <c r="EW53" s="8">
        <f>+MINVU_Mes_Corriente!EW53*SALUD_Mes_Constante!$EP$1</f>
        <v>69438475</v>
      </c>
      <c r="EX53" s="8">
        <f>+MINVU_Mes_Corriente!EX53*SALUD_Mes_Constante!$EP$1</f>
        <v>69438475</v>
      </c>
      <c r="EY53" s="8">
        <f>+MINVU_Mes_Corriente!EY53*SALUD_Mes_Constante!$EP$1</f>
        <v>62110568</v>
      </c>
      <c r="EZ53" s="8">
        <f>+MINVU_Mes_Corriente!EZ53*SALUD_Mes_Constante!$EP$1</f>
        <v>62646658</v>
      </c>
      <c r="FA53" s="8">
        <f>+MINVU_Mes_Corriente!FA53*SALUD_Mes_Constante!$EP$1</f>
        <v>53192169</v>
      </c>
      <c r="FB53" s="9">
        <f t="shared" si="30"/>
        <v>53192169</v>
      </c>
      <c r="FC53" s="8">
        <f>+MINVU_Mes_Corriente!FC53*SALUD_Mes_Constante!$FC$1</f>
        <v>50768194</v>
      </c>
      <c r="FD53" s="8">
        <f>+MINVU_Mes_Corriente!FD53*SALUD_Mes_Constante!$FC$1</f>
        <v>50768194</v>
      </c>
      <c r="FE53" s="8">
        <f>+MINVU_Mes_Corriente!FE53*SALUD_Mes_Constante!$FC$1</f>
        <v>50768194</v>
      </c>
      <c r="FF53" s="8">
        <f>+MINVU_Mes_Corriente!FF53*SALUD_Mes_Constante!$FC$1</f>
        <v>50768194</v>
      </c>
      <c r="FG53" s="8">
        <f>+MINVU_Mes_Corriente!FG53*SALUD_Mes_Constante!$FC$1</f>
        <v>50768194</v>
      </c>
      <c r="FH53" s="8">
        <f>+MINVU_Mes_Corriente!FH53*SALUD_Mes_Constante!$FC$1</f>
        <v>50768194</v>
      </c>
      <c r="FI53" s="8">
        <f>+MINVU_Mes_Corriente!FI53*SALUD_Mes_Constante!$FC$1</f>
        <v>50768194</v>
      </c>
      <c r="FJ53" s="8"/>
      <c r="FK53" s="8"/>
      <c r="FL53" s="8"/>
      <c r="FM53" s="8"/>
      <c r="FN53" s="8"/>
      <c r="FO53" s="9">
        <f t="shared" si="31"/>
        <v>50768194</v>
      </c>
    </row>
    <row r="54" spans="2:171" ht="14.25" customHeight="1" x14ac:dyDescent="0.3">
      <c r="B54" s="7" t="s">
        <v>53</v>
      </c>
      <c r="C54" s="8">
        <f>+MINVU_Mes_Corriente!C54*SALUD_Mes_Constante!$C$1</f>
        <v>0</v>
      </c>
      <c r="D54" s="8">
        <f>+MINVU_Mes_Corriente!D54*SALUD_Mes_Constante!$C$1</f>
        <v>0</v>
      </c>
      <c r="E54" s="8">
        <f>+MINVU_Mes_Corriente!E54*SALUD_Mes_Constante!$C$1</f>
        <v>9238144.4552869666</v>
      </c>
      <c r="F54" s="8">
        <f>+MINVU_Mes_Corriente!F54*SALUD_Mes_Constante!$C$1</f>
        <v>9238144.4552869666</v>
      </c>
      <c r="G54" s="8">
        <f>+MINVU_Mes_Corriente!G54*SALUD_Mes_Constante!$C$1</f>
        <v>9238144.4552869666</v>
      </c>
      <c r="H54" s="8">
        <f>+MINVU_Mes_Corriente!H54*SALUD_Mes_Constante!$C$1</f>
        <v>9238144.4552869666</v>
      </c>
      <c r="I54" s="8">
        <f>+MINVU_Mes_Corriente!I54*SALUD_Mes_Constante!$C$1</f>
        <v>9238144.4552869666</v>
      </c>
      <c r="J54" s="8">
        <f>+MINVU_Mes_Corriente!J54*SALUD_Mes_Constante!$C$1</f>
        <v>9238144.4552869666</v>
      </c>
      <c r="K54" s="8">
        <f>+MINVU_Mes_Corriente!K54*SALUD_Mes_Constante!$C$1</f>
        <v>9315541.9513569642</v>
      </c>
      <c r="L54" s="8">
        <f>+MINVU_Mes_Corriente!L54*SALUD_Mes_Constante!$C$1</f>
        <v>9315541.9513569642</v>
      </c>
      <c r="M54" s="8">
        <f>+MINVU_Mes_Corriente!M54*SALUD_Mes_Constante!$C$1</f>
        <v>11148556.284443129</v>
      </c>
      <c r="N54" s="8">
        <f>+MINVU_Mes_Corriente!N54*SALUD_Mes_Constante!$C$1</f>
        <v>11148556.284443129</v>
      </c>
      <c r="O54" s="9">
        <f t="shared" si="19"/>
        <v>11148556.284443129</v>
      </c>
      <c r="P54" s="8">
        <f>+MINVU_Mes_Corriente!P54*SALUD_Mes_Constante!$P$1</f>
        <v>0</v>
      </c>
      <c r="Q54" s="8">
        <f>+MINVU_Mes_Corriente!Q54*SALUD_Mes_Constante!$P$1</f>
        <v>812382.79187384539</v>
      </c>
      <c r="R54" s="8">
        <f>+MINVU_Mes_Corriente!R54*SALUD_Mes_Constante!$P$1</f>
        <v>6353188.8262537271</v>
      </c>
      <c r="S54" s="8">
        <f>+MINVU_Mes_Corriente!S54*SALUD_Mes_Constante!$P$1</f>
        <v>6353188.8262537271</v>
      </c>
      <c r="T54" s="8">
        <f>+MINVU_Mes_Corriente!T54*SALUD_Mes_Constante!$P$1</f>
        <v>6354927.3004688146</v>
      </c>
      <c r="U54" s="8">
        <f>+MINVU_Mes_Corriente!U54*SALUD_Mes_Constante!$P$1</f>
        <v>6354927.3004688146</v>
      </c>
      <c r="V54" s="8">
        <f>+MINVU_Mes_Corriente!V54*SALUD_Mes_Constante!$P$1</f>
        <v>6956897.2805796256</v>
      </c>
      <c r="W54" s="8">
        <f>+MINVU_Mes_Corriente!W54*SALUD_Mes_Constante!$P$1</f>
        <v>7482236.248614857</v>
      </c>
      <c r="X54" s="8">
        <f>+MINVU_Mes_Corriente!X54*SALUD_Mes_Constante!$P$1</f>
        <v>7482236.248614857</v>
      </c>
      <c r="Y54" s="8">
        <f>+MINVU_Mes_Corriente!Y54*SALUD_Mes_Constante!$P$1</f>
        <v>7482236.248614857</v>
      </c>
      <c r="Z54" s="8">
        <f>+MINVU_Mes_Corriente!Z54*SALUD_Mes_Constante!$P$1</f>
        <v>7482236.248614857</v>
      </c>
      <c r="AA54" s="8">
        <f>+MINVU_Mes_Corriente!AA54*SALUD_Mes_Constante!$P$1</f>
        <v>7315411.0211677765</v>
      </c>
      <c r="AB54" s="9">
        <f t="shared" si="20"/>
        <v>7315411.0211677765</v>
      </c>
      <c r="AC54" s="8">
        <f>+MINVU_Mes_Corriente!AC54*SALUD_Mes_Constante!$AC$1</f>
        <v>0</v>
      </c>
      <c r="AD54" s="8">
        <f>+MINVU_Mes_Corriente!AD54*SALUD_Mes_Constante!$AC$1</f>
        <v>3073210.6877853093</v>
      </c>
      <c r="AE54" s="8">
        <f>+MINVU_Mes_Corriente!AE54*SALUD_Mes_Constante!$AC$1</f>
        <v>3073210.6877853093</v>
      </c>
      <c r="AF54" s="8">
        <f>+MINVU_Mes_Corriente!AF54*SALUD_Mes_Constante!$AC$1</f>
        <v>4428179.783372527</v>
      </c>
      <c r="AG54" s="8">
        <f>+MINVU_Mes_Corriente!AG54*SALUD_Mes_Constante!$AC$1</f>
        <v>4428179.783372527</v>
      </c>
      <c r="AH54" s="8">
        <f>+MINVU_Mes_Corriente!AH54*SALUD_Mes_Constante!$AC$1</f>
        <v>4428179.783372527</v>
      </c>
      <c r="AI54" s="8">
        <f>+MINVU_Mes_Corriente!AI54*SALUD_Mes_Constante!$AC$1</f>
        <v>9029996.6650989074</v>
      </c>
      <c r="AJ54" s="8">
        <f>+MINVU_Mes_Corriente!AJ54*SALUD_Mes_Constante!$AC$1</f>
        <v>9029996.6650989074</v>
      </c>
      <c r="AK54" s="8">
        <f>+MINVU_Mes_Corriente!AK54*SALUD_Mes_Constante!$AC$1</f>
        <v>9029996.6650989074</v>
      </c>
      <c r="AL54" s="8">
        <f>+MINVU_Mes_Corriente!AL54*SALUD_Mes_Constante!$AC$1</f>
        <v>9029996.6650989074</v>
      </c>
      <c r="AM54" s="8">
        <f>+MINVU_Mes_Corriente!AM54*SALUD_Mes_Constante!$AC$1</f>
        <v>9029996.6650989074</v>
      </c>
      <c r="AN54" s="8">
        <f>+MINVU_Mes_Corriente!AN54*SALUD_Mes_Constante!$AC$1</f>
        <v>1647688.8629132661</v>
      </c>
      <c r="AO54" s="9">
        <f t="shared" si="21"/>
        <v>1647688.8629132661</v>
      </c>
      <c r="AP54" s="8">
        <f>+MINVU_Mes_Corriente!AP54*SALUD_Mes_Constante!$AP$1</f>
        <v>0</v>
      </c>
      <c r="AQ54" s="8">
        <f>+MINVU_Mes_Corriente!AQ54*SALUD_Mes_Constante!$AP$1</f>
        <v>11815967.258217232</v>
      </c>
      <c r="AR54" s="8">
        <f>+MINVU_Mes_Corriente!AR54*SALUD_Mes_Constante!$AP$1</f>
        <v>11815967.258217232</v>
      </c>
      <c r="AS54" s="8">
        <f>+MINVU_Mes_Corriente!AS54*SALUD_Mes_Constante!$AP$1</f>
        <v>11815967.258217232</v>
      </c>
      <c r="AT54" s="8">
        <f>+MINVU_Mes_Corriente!AT54*SALUD_Mes_Constante!$AP$1</f>
        <v>11815967.258217232</v>
      </c>
      <c r="AU54" s="8">
        <f>+MINVU_Mes_Corriente!AU54*SALUD_Mes_Constante!$AP$1</f>
        <v>11815967.258217232</v>
      </c>
      <c r="AV54" s="8">
        <f>+MINVU_Mes_Corriente!AV54*SALUD_Mes_Constante!$AP$1</f>
        <v>12171360.051941024</v>
      </c>
      <c r="AW54" s="8">
        <f>+MINVU_Mes_Corriente!AW54*SALUD_Mes_Constante!$AP$1</f>
        <v>12171360.051941024</v>
      </c>
      <c r="AX54" s="8">
        <f>+MINVU_Mes_Corriente!AX54*SALUD_Mes_Constante!$AP$1</f>
        <v>12171360.051941024</v>
      </c>
      <c r="AY54" s="8">
        <f>+MINVU_Mes_Corriente!AY54*SALUD_Mes_Constante!$AP$1</f>
        <v>12171360.051941024</v>
      </c>
      <c r="AZ54" s="8">
        <f>+MINVU_Mes_Corriente!AZ54*SALUD_Mes_Constante!$AP$1</f>
        <v>12171360.051941024</v>
      </c>
      <c r="BA54" s="8">
        <f>+MINVU_Mes_Corriente!BA54*SALUD_Mes_Constante!$AP$1</f>
        <v>10899736.514811307</v>
      </c>
      <c r="BB54" s="9">
        <f t="shared" si="22"/>
        <v>10899736.514811307</v>
      </c>
      <c r="BC54" s="8">
        <f>+MINVU_Mes_Corriente!BC54*SALUD_Mes_Constante!$BC$1</f>
        <v>0</v>
      </c>
      <c r="BD54" s="8">
        <f>+MINVU_Mes_Corriente!BD54*SALUD_Mes_Constante!$BC$1</f>
        <v>0</v>
      </c>
      <c r="BE54" s="8">
        <f>+MINVU_Mes_Corriente!BE54*SALUD_Mes_Constante!$BC$1</f>
        <v>3990347.2380324421</v>
      </c>
      <c r="BF54" s="8">
        <f>+MINVU_Mes_Corriente!BF54*SALUD_Mes_Constante!$BC$1</f>
        <v>4234023.1174996709</v>
      </c>
      <c r="BG54" s="8">
        <f>+MINVU_Mes_Corriente!BG54*SALUD_Mes_Constante!$BC$1</f>
        <v>4234023.1174996709</v>
      </c>
      <c r="BH54" s="8">
        <f>+MINVU_Mes_Corriente!BH54*SALUD_Mes_Constante!$BC$1</f>
        <v>9565184.9268099722</v>
      </c>
      <c r="BI54" s="8">
        <f>+MINVU_Mes_Corriente!BI54*SALUD_Mes_Constante!$BC$1</f>
        <v>9565184.9268099722</v>
      </c>
      <c r="BJ54" s="8">
        <f>+MINVU_Mes_Corriente!BJ54*SALUD_Mes_Constante!$BC$1</f>
        <v>10237594.27983648</v>
      </c>
      <c r="BK54" s="8">
        <f>+MINVU_Mes_Corriente!BK54*SALUD_Mes_Constante!$BC$1</f>
        <v>6242783.2744296473</v>
      </c>
      <c r="BL54" s="8">
        <f>+MINVU_Mes_Corriente!BL54*SALUD_Mes_Constante!$BC$1</f>
        <v>6242783.2744296473</v>
      </c>
      <c r="BM54" s="8">
        <f>+MINVU_Mes_Corriente!BM54*SALUD_Mes_Constante!$BC$1</f>
        <v>6242783.2744296473</v>
      </c>
      <c r="BN54" s="8">
        <f>+MINVU_Mes_Corriente!BN54*SALUD_Mes_Constante!$BC$1</f>
        <v>8243522.1941184253</v>
      </c>
      <c r="BO54" s="9">
        <f t="shared" si="23"/>
        <v>8243522.1941184253</v>
      </c>
      <c r="BP54" s="8">
        <f>+MINVU_Mes_Corriente!BP54*SALUD_Mes_Constante!$BP$1</f>
        <v>0</v>
      </c>
      <c r="BQ54" s="8">
        <f>+MINVU_Mes_Corriente!BQ54*SALUD_Mes_Constante!$BP$1</f>
        <v>0</v>
      </c>
      <c r="BR54" s="8">
        <f>+MINVU_Mes_Corriente!BR54*SALUD_Mes_Constante!$BP$1</f>
        <v>8553337.2599231768</v>
      </c>
      <c r="BS54" s="8">
        <f>+MINVU_Mes_Corriente!BS54*SALUD_Mes_Constante!$BP$1</f>
        <v>8553337.2599231768</v>
      </c>
      <c r="BT54" s="8">
        <f>+MINVU_Mes_Corriente!BT54*SALUD_Mes_Constante!$BP$1</f>
        <v>8553337.2599231768</v>
      </c>
      <c r="BU54" s="8">
        <f>+MINVU_Mes_Corriente!BU54*SALUD_Mes_Constante!$BP$1</f>
        <v>11482083.036875801</v>
      </c>
      <c r="BV54" s="8">
        <f>+MINVU_Mes_Corriente!BV54*SALUD_Mes_Constante!$BP$1</f>
        <v>11482083.036875801</v>
      </c>
      <c r="BW54" s="8">
        <f>+MINVU_Mes_Corriente!BW54*SALUD_Mes_Constante!$BP$1</f>
        <v>10432778.535979515</v>
      </c>
      <c r="BX54" s="8">
        <f>+MINVU_Mes_Corriente!BX54*SALUD_Mes_Constante!$BP$1</f>
        <v>10432778.535979515</v>
      </c>
      <c r="BY54" s="8">
        <f>+MINVU_Mes_Corriente!BY54*SALUD_Mes_Constante!$BP$1</f>
        <v>10432778.535979515</v>
      </c>
      <c r="BZ54" s="8">
        <f>+MINVU_Mes_Corriente!BZ54*SALUD_Mes_Constante!$BP$1</f>
        <v>10432778.535979515</v>
      </c>
      <c r="CA54" s="8">
        <f>+MINVU_Mes_Corriente!CA54*SALUD_Mes_Constante!$BP$1</f>
        <v>10104069.616133165</v>
      </c>
      <c r="CB54" s="9">
        <f t="shared" si="24"/>
        <v>10104069.616133165</v>
      </c>
      <c r="CC54" s="8">
        <f>+MINVU_Mes_Corriente!CC54*SALUD_Mes_Constante!$CC$1</f>
        <v>0</v>
      </c>
      <c r="CD54" s="8">
        <f>+MINVU_Mes_Corriente!CD54*SALUD_Mes_Constante!$CC$1</f>
        <v>219642.07832898173</v>
      </c>
      <c r="CE54" s="8">
        <f>+MINVU_Mes_Corriente!CE54*SALUD_Mes_Constante!$CC$1</f>
        <v>15163784.197687432</v>
      </c>
      <c r="CF54" s="8">
        <f>+MINVU_Mes_Corriente!CF54*SALUD_Mes_Constante!$CC$1</f>
        <v>16034738.408056697</v>
      </c>
      <c r="CG54" s="8">
        <f>+MINVU_Mes_Corriente!CG54*SALUD_Mes_Constante!$CC$1</f>
        <v>16034738.408056697</v>
      </c>
      <c r="CH54" s="8">
        <f>+MINVU_Mes_Corriente!CH54*SALUD_Mes_Constante!$CC$1</f>
        <v>16034738.408056697</v>
      </c>
      <c r="CI54" s="8">
        <f>+MINVU_Mes_Corriente!CI54*SALUD_Mes_Constante!$CC$1</f>
        <v>16034738.408056697</v>
      </c>
      <c r="CJ54" s="8">
        <f>+MINVU_Mes_Corriente!CJ54*SALUD_Mes_Constante!$CC$1</f>
        <v>16034738.408056697</v>
      </c>
      <c r="CK54" s="8">
        <f>+MINVU_Mes_Corriente!CK54*SALUD_Mes_Constante!$CC$1</f>
        <v>16221904.061917197</v>
      </c>
      <c r="CL54" s="8">
        <f>+MINVU_Mes_Corriente!CL54*SALUD_Mes_Constante!$CC$1</f>
        <v>16221904.061917197</v>
      </c>
      <c r="CM54" s="8">
        <f>+MINVU_Mes_Corriente!CM54*SALUD_Mes_Constante!$CC$1</f>
        <v>7810015.6493845591</v>
      </c>
      <c r="CN54" s="8">
        <f>+MINVU_Mes_Corriente!CN54*SALUD_Mes_Constante!$CC$1</f>
        <v>7810015.6493845591</v>
      </c>
      <c r="CO54" s="9">
        <f t="shared" si="25"/>
        <v>7810015.6493845591</v>
      </c>
      <c r="CP54" s="8">
        <f>+MINVU_Mes_Corriente!CP54*SALUD_Mes_Constante!$CP$1</f>
        <v>0</v>
      </c>
      <c r="CQ54" s="8">
        <f>+MINVU_Mes_Corriente!CQ54*SALUD_Mes_Constante!$CP$1</f>
        <v>9481387.6023201831</v>
      </c>
      <c r="CR54" s="8">
        <f>+MINVU_Mes_Corriente!CR54*SALUD_Mes_Constante!$CP$1</f>
        <v>9481387.6023201831</v>
      </c>
      <c r="CS54" s="8">
        <f>+MINVU_Mes_Corriente!CS54*SALUD_Mes_Constante!$CP$1</f>
        <v>9481387.6023201831</v>
      </c>
      <c r="CT54" s="8">
        <f>+MINVU_Mes_Corriente!CT54*SALUD_Mes_Constante!$CP$1</f>
        <v>9481387.6023201831</v>
      </c>
      <c r="CU54" s="8">
        <f>+MINVU_Mes_Corriente!CU54*SALUD_Mes_Constante!$CP$1</f>
        <v>9481387.6023201831</v>
      </c>
      <c r="CV54" s="8">
        <f>+MINVU_Mes_Corriente!CV54*SALUD_Mes_Constante!$CP$1</f>
        <v>9481387.6023201831</v>
      </c>
      <c r="CW54" s="8">
        <f>+MINVU_Mes_Corriente!CW54*SALUD_Mes_Constante!$CP$1</f>
        <v>9481387.6023201831</v>
      </c>
      <c r="CX54" s="8">
        <f>+MINVU_Mes_Corriente!CX54*SALUD_Mes_Constante!$CP$1</f>
        <v>9481387.6023201831</v>
      </c>
      <c r="CY54" s="8">
        <f>+MINVU_Mes_Corriente!CY54*SALUD_Mes_Constante!$CP$1</f>
        <v>8777413.5076566115</v>
      </c>
      <c r="CZ54" s="8">
        <f>+MINVU_Mes_Corriente!CZ54*SALUD_Mes_Constante!$CP$1</f>
        <v>6988989.5498839896</v>
      </c>
      <c r="DA54" s="8">
        <f>+MINVU_Mes_Corriente!DA54*SALUD_Mes_Constante!$CP$1</f>
        <v>6995327.1368909497</v>
      </c>
      <c r="DB54" s="9">
        <f t="shared" si="26"/>
        <v>6995327.1368909497</v>
      </c>
      <c r="DC54" s="8">
        <f>+MINVU_Mes_Corriente!DC54*SALUD_Mes_Constante!$DC$1</f>
        <v>0</v>
      </c>
      <c r="DD54" s="8">
        <f>+MINVU_Mes_Corriente!DD54*SALUD_Mes_Constante!$DC$1</f>
        <v>0</v>
      </c>
      <c r="DE54" s="8">
        <f>+MINVU_Mes_Corriente!DE54*SALUD_Mes_Constante!$DC$1</f>
        <v>9570899.5062236432</v>
      </c>
      <c r="DF54" s="8">
        <f>+MINVU_Mes_Corriente!DF54*SALUD_Mes_Constante!$DC$1</f>
        <v>9570899.5062236432</v>
      </c>
      <c r="DG54" s="8">
        <f>+MINVU_Mes_Corriente!DG54*SALUD_Mes_Constante!$DC$1</f>
        <v>9570899.5062236432</v>
      </c>
      <c r="DH54" s="8">
        <f>+MINVU_Mes_Corriente!DH54*SALUD_Mes_Constante!$DC$1</f>
        <v>9570899.5062236432</v>
      </c>
      <c r="DI54" s="8">
        <f>+MINVU_Mes_Corriente!DI54*SALUD_Mes_Constante!$DC$1</f>
        <v>9807509.6173233259</v>
      </c>
      <c r="DJ54" s="8">
        <f>+MINVU_Mes_Corriente!DJ54*SALUD_Mes_Constante!$DC$1</f>
        <v>9832318.7519802544</v>
      </c>
      <c r="DK54" s="8">
        <f>+MINVU_Mes_Corriente!DK54*SALUD_Mes_Constante!$DC$1</f>
        <v>9832318.7519802544</v>
      </c>
      <c r="DL54" s="8">
        <f>+MINVU_Mes_Corriente!DL54*SALUD_Mes_Constante!$DC$1</f>
        <v>9934772.059664648</v>
      </c>
      <c r="DM54" s="8">
        <f>+MINVU_Mes_Corriente!DM54*SALUD_Mes_Constante!$DC$1</f>
        <v>10936602.299969144</v>
      </c>
      <c r="DN54" s="8">
        <f>+MINVU_Mes_Corriente!DN54*SALUD_Mes_Constante!$DC$1</f>
        <v>10774394.865754558</v>
      </c>
      <c r="DO54" s="9">
        <f t="shared" si="27"/>
        <v>10774394.865754558</v>
      </c>
      <c r="DP54" s="8">
        <f>+MINVU_Mes_Corriente!DP54*SALUD_Mes_Constante!$DP$1</f>
        <v>0</v>
      </c>
      <c r="DQ54" s="8">
        <f>+MINVU_Mes_Corriente!DQ54*SALUD_Mes_Constante!$DP$1</f>
        <v>4894220.8147268416</v>
      </c>
      <c r="DR54" s="8">
        <f>+MINVU_Mes_Corriente!DR54*SALUD_Mes_Constante!$DP$1</f>
        <v>4894220.8147268416</v>
      </c>
      <c r="DS54" s="8">
        <f>+MINVU_Mes_Corriente!DS54*SALUD_Mes_Constante!$DP$1</f>
        <v>4894220.8147268416</v>
      </c>
      <c r="DT54" s="8">
        <f>+MINVU_Mes_Corriente!DT54*SALUD_Mes_Constante!$DP$1</f>
        <v>5587235.6704275543</v>
      </c>
      <c r="DU54" s="8">
        <f>+MINVU_Mes_Corriente!DU54*SALUD_Mes_Constante!$DP$1</f>
        <v>5587235.6704275543</v>
      </c>
      <c r="DV54" s="8">
        <f>+MINVU_Mes_Corriente!DV54*SALUD_Mes_Constante!$DP$1</f>
        <v>6356510.8485748228</v>
      </c>
      <c r="DW54" s="8">
        <f>+MINVU_Mes_Corriente!DW54*SALUD_Mes_Constante!$DP$1</f>
        <v>6356510.8485748228</v>
      </c>
      <c r="DX54" s="8">
        <f>+MINVU_Mes_Corriente!DX54*SALUD_Mes_Constante!$DP$1</f>
        <v>6356510.8485748228</v>
      </c>
      <c r="DY54" s="8">
        <f>+MINVU_Mes_Corriente!DY54*SALUD_Mes_Constante!$DP$1</f>
        <v>6747442.9988123523</v>
      </c>
      <c r="DZ54" s="8">
        <f>+MINVU_Mes_Corriente!DZ54*SALUD_Mes_Constante!$DP$1</f>
        <v>6747442.9988123523</v>
      </c>
      <c r="EA54" s="8">
        <f>+MINVU_Mes_Corriente!EA54*SALUD_Mes_Constante!$DP$1</f>
        <v>5162391.1799287414</v>
      </c>
      <c r="EB54" s="9">
        <f t="shared" si="28"/>
        <v>5162391.1799287414</v>
      </c>
      <c r="EC54" s="8">
        <f>+MINVU_Mes_Corriente!EC54*SALUD_Mes_Constante!$EC$1</f>
        <v>0</v>
      </c>
      <c r="ED54" s="8">
        <f>+MINVU_Mes_Corriente!ED54*SALUD_Mes_Constante!$EC$1</f>
        <v>0</v>
      </c>
      <c r="EE54" s="8">
        <f>+MINVU_Mes_Corriente!EE54*SALUD_Mes_Constante!$EC$1</f>
        <v>1785796.8735088045</v>
      </c>
      <c r="EF54" s="8">
        <f>+MINVU_Mes_Corriente!EF54*SALUD_Mes_Constante!$EC$1</f>
        <v>1785796.8735088045</v>
      </c>
      <c r="EG54" s="8">
        <f>+MINVU_Mes_Corriente!EG54*SALUD_Mes_Constante!$EC$1</f>
        <v>1785796.8735088045</v>
      </c>
      <c r="EH54" s="8">
        <f>+MINVU_Mes_Corriente!EH54*SALUD_Mes_Constante!$EC$1</f>
        <v>3013975.6854762346</v>
      </c>
      <c r="EI54" s="8">
        <f>+MINVU_Mes_Corriente!EI54*SALUD_Mes_Constante!$EC$1</f>
        <v>3205131.0312440814</v>
      </c>
      <c r="EJ54" s="8">
        <f>+MINVU_Mes_Corriente!EJ54*SALUD_Mes_Constante!$EC$1</f>
        <v>3205131.0312440814</v>
      </c>
      <c r="EK54" s="8">
        <f>+MINVU_Mes_Corriente!EK54*SALUD_Mes_Constante!$EC$1</f>
        <v>2750935.4940352198</v>
      </c>
      <c r="EL54" s="8">
        <f>+MINVU_Mes_Corriente!EL54*SALUD_Mes_Constante!$EC$1</f>
        <v>1613281.5195985604</v>
      </c>
      <c r="EM54" s="8">
        <f>+MINVU_Mes_Corriente!EM54*SALUD_Mes_Constante!$EC$1</f>
        <v>1453652.4733951897</v>
      </c>
      <c r="EN54" s="8">
        <f>+MINVU_Mes_Corriente!EN54*SALUD_Mes_Constante!$EC$1</f>
        <v>1381241.0859685661</v>
      </c>
      <c r="EO54" s="9">
        <f t="shared" si="29"/>
        <v>1381241.0859685661</v>
      </c>
      <c r="EP54" s="8">
        <f>+MINVU_Mes_Corriente!EP54*SALUD_Mes_Constante!$EP$1</f>
        <v>0</v>
      </c>
      <c r="EQ54" s="8">
        <f>+MINVU_Mes_Corriente!EQ54*SALUD_Mes_Constante!$EP$1</f>
        <v>4801570</v>
      </c>
      <c r="ER54" s="8">
        <f>+MINVU_Mes_Corriente!ER54*SALUD_Mes_Constante!$EP$1</f>
        <v>4801570</v>
      </c>
      <c r="ES54" s="8">
        <f>+MINVU_Mes_Corriente!ES54*SALUD_Mes_Constante!$EP$1</f>
        <v>4801570</v>
      </c>
      <c r="ET54" s="8">
        <f>+MINVU_Mes_Corriente!ET54*SALUD_Mes_Constante!$EP$1</f>
        <v>4801570</v>
      </c>
      <c r="EU54" s="8">
        <f>+MINVU_Mes_Corriente!EU54*SALUD_Mes_Constante!$EP$1</f>
        <v>5337303</v>
      </c>
      <c r="EV54" s="8">
        <f>+MINVU_Mes_Corriente!EV54*SALUD_Mes_Constante!$EP$1</f>
        <v>5337303</v>
      </c>
      <c r="EW54" s="8">
        <f>+MINVU_Mes_Corriente!EW54*SALUD_Mes_Constante!$EP$1</f>
        <v>5337303</v>
      </c>
      <c r="EX54" s="8">
        <f>+MINVU_Mes_Corriente!EX54*SALUD_Mes_Constante!$EP$1</f>
        <v>5337303</v>
      </c>
      <c r="EY54" s="8">
        <f>+MINVU_Mes_Corriente!EY54*SALUD_Mes_Constante!$EP$1</f>
        <v>5337303</v>
      </c>
      <c r="EZ54" s="8">
        <f>+MINVU_Mes_Corriente!EZ54*SALUD_Mes_Constante!$EP$1</f>
        <v>5337303</v>
      </c>
      <c r="FA54" s="8">
        <f>+MINVU_Mes_Corriente!FA54*SALUD_Mes_Constante!$EP$1</f>
        <v>3499759</v>
      </c>
      <c r="FB54" s="9">
        <f t="shared" si="30"/>
        <v>3499759</v>
      </c>
      <c r="FC54" s="8">
        <f>+MINVU_Mes_Corriente!FC54*SALUD_Mes_Constante!$FC$1</f>
        <v>1204885</v>
      </c>
      <c r="FD54" s="8">
        <f>+MINVU_Mes_Corriente!FD54*SALUD_Mes_Constante!$FC$1</f>
        <v>1204885</v>
      </c>
      <c r="FE54" s="8">
        <f>+MINVU_Mes_Corriente!FE54*SALUD_Mes_Constante!$FC$1</f>
        <v>1204885</v>
      </c>
      <c r="FF54" s="8">
        <f>+MINVU_Mes_Corriente!FF54*SALUD_Mes_Constante!$FC$1</f>
        <v>1204885</v>
      </c>
      <c r="FG54" s="8">
        <f>+MINVU_Mes_Corriente!FG54*SALUD_Mes_Constante!$FC$1</f>
        <v>1204885</v>
      </c>
      <c r="FH54" s="8">
        <f>+MINVU_Mes_Corriente!FH54*SALUD_Mes_Constante!$FC$1</f>
        <v>1204885</v>
      </c>
      <c r="FI54" s="8">
        <f>+MINVU_Mes_Corriente!FI54*SALUD_Mes_Constante!$FC$1</f>
        <v>1204885</v>
      </c>
      <c r="FJ54" s="8"/>
      <c r="FK54" s="8"/>
      <c r="FL54" s="8"/>
      <c r="FM54" s="8"/>
      <c r="FN54" s="8"/>
      <c r="FO54" s="9">
        <f t="shared" si="31"/>
        <v>1204885</v>
      </c>
    </row>
    <row r="55" spans="2:171" ht="14.25" customHeight="1" x14ac:dyDescent="0.3">
      <c r="B55" s="7" t="s">
        <v>54</v>
      </c>
      <c r="C55" s="8">
        <f>+MINVU_Mes_Corriente!C55*SALUD_Mes_Constante!$C$1</f>
        <v>0</v>
      </c>
      <c r="D55" s="8">
        <f>+MINVU_Mes_Corriente!D55*SALUD_Mes_Constante!$C$1</f>
        <v>1098558.01601661</v>
      </c>
      <c r="E55" s="8">
        <f>+MINVU_Mes_Corriente!E55*SALUD_Mes_Constante!$C$1</f>
        <v>32082028.545157947</v>
      </c>
      <c r="F55" s="8">
        <f>+MINVU_Mes_Corriente!F55*SALUD_Mes_Constante!$C$1</f>
        <v>32082028.545157947</v>
      </c>
      <c r="G55" s="8">
        <f>+MINVU_Mes_Corriente!G55*SALUD_Mes_Constante!$C$1</f>
        <v>32082028.545157947</v>
      </c>
      <c r="H55" s="8">
        <f>+MINVU_Mes_Corriente!H55*SALUD_Mes_Constante!$C$1</f>
        <v>32082028.545157947</v>
      </c>
      <c r="I55" s="8">
        <f>+MINVU_Mes_Corriente!I55*SALUD_Mes_Constante!$C$1</f>
        <v>32082028.545157947</v>
      </c>
      <c r="J55" s="8">
        <f>+MINVU_Mes_Corriente!J55*SALUD_Mes_Constante!$C$1</f>
        <v>32339780.387364678</v>
      </c>
      <c r="K55" s="8">
        <f>+MINVU_Mes_Corriente!K55*SALUD_Mes_Constante!$C$1</f>
        <v>47227600.162538938</v>
      </c>
      <c r="L55" s="8">
        <f>+MINVU_Mes_Corriente!L55*SALUD_Mes_Constante!$C$1</f>
        <v>47227600.162538938</v>
      </c>
      <c r="M55" s="8">
        <f>+MINVU_Mes_Corriente!M55*SALUD_Mes_Constante!$C$1</f>
        <v>40769846.438083947</v>
      </c>
      <c r="N55" s="8">
        <f>+MINVU_Mes_Corriente!N55*SALUD_Mes_Constante!$C$1</f>
        <v>38995083.580602109</v>
      </c>
      <c r="O55" s="9">
        <f t="shared" si="19"/>
        <v>38995083.580602109</v>
      </c>
      <c r="P55" s="8">
        <f>+MINVU_Mes_Corriente!P55*SALUD_Mes_Constante!$P$1</f>
        <v>0</v>
      </c>
      <c r="Q55" s="8">
        <f>+MINVU_Mes_Corriente!Q55*SALUD_Mes_Constante!$P$1</f>
        <v>3337033.8522517392</v>
      </c>
      <c r="R55" s="8">
        <f>+MINVU_Mes_Corriente!R55*SALUD_Mes_Constante!$P$1</f>
        <v>17267713.344225027</v>
      </c>
      <c r="S55" s="8">
        <f>+MINVU_Mes_Corriente!S55*SALUD_Mes_Constante!$P$1</f>
        <v>17267713.344225027</v>
      </c>
      <c r="T55" s="8">
        <f>+MINVU_Mes_Corriente!T55*SALUD_Mes_Constante!$P$1</f>
        <v>17267713.344225027</v>
      </c>
      <c r="U55" s="8">
        <f>+MINVU_Mes_Corriente!U55*SALUD_Mes_Constante!$P$1</f>
        <v>19782236.240090914</v>
      </c>
      <c r="V55" s="8">
        <f>+MINVU_Mes_Corriente!V55*SALUD_Mes_Constante!$P$1</f>
        <v>19782236.240090914</v>
      </c>
      <c r="W55" s="8">
        <f>+MINVU_Mes_Corriente!W55*SALUD_Mes_Constante!$P$1</f>
        <v>20596598.098593544</v>
      </c>
      <c r="X55" s="8">
        <f>+MINVU_Mes_Corriente!X55*SALUD_Mes_Constante!$P$1</f>
        <v>20596598.098593544</v>
      </c>
      <c r="Y55" s="8">
        <f>+MINVU_Mes_Corriente!Y55*SALUD_Mes_Constante!$P$1</f>
        <v>21271847.871288527</v>
      </c>
      <c r="Z55" s="8">
        <f>+MINVU_Mes_Corriente!Z55*SALUD_Mes_Constante!$P$1</f>
        <v>23665096.668560866</v>
      </c>
      <c r="AA55" s="8">
        <f>+MINVU_Mes_Corriente!AA55*SALUD_Mes_Constante!$P$1</f>
        <v>22856811.70876544</v>
      </c>
      <c r="AB55" s="9">
        <f t="shared" si="20"/>
        <v>22856811.70876544</v>
      </c>
      <c r="AC55" s="8">
        <f>+MINVU_Mes_Corriente!AC55*SALUD_Mes_Constante!$AC$1</f>
        <v>0</v>
      </c>
      <c r="AD55" s="8">
        <f>+MINVU_Mes_Corriente!AD55*SALUD_Mes_Constante!$AC$1</f>
        <v>10711022.75058791</v>
      </c>
      <c r="AE55" s="8">
        <f>+MINVU_Mes_Corriente!AE55*SALUD_Mes_Constante!$AC$1</f>
        <v>16290688.671185503</v>
      </c>
      <c r="AF55" s="8">
        <f>+MINVU_Mes_Corriente!AF55*SALUD_Mes_Constante!$AC$1</f>
        <v>21928043.690413613</v>
      </c>
      <c r="AG55" s="8">
        <f>+MINVU_Mes_Corriente!AG55*SALUD_Mes_Constante!$AC$1</f>
        <v>25421680.933462441</v>
      </c>
      <c r="AH55" s="8">
        <f>+MINVU_Mes_Corriente!AH55*SALUD_Mes_Constante!$AC$1</f>
        <v>25421680.933462441</v>
      </c>
      <c r="AI55" s="8">
        <f>+MINVU_Mes_Corriente!AI55*SALUD_Mes_Constante!$AC$1</f>
        <v>25448795.671323836</v>
      </c>
      <c r="AJ55" s="8">
        <f>+MINVU_Mes_Corriente!AJ55*SALUD_Mes_Constante!$AC$1</f>
        <v>25438619.331857793</v>
      </c>
      <c r="AK55" s="8">
        <f>+MINVU_Mes_Corriente!AK55*SALUD_Mes_Constante!$AC$1</f>
        <v>25438619.331857793</v>
      </c>
      <c r="AL55" s="8">
        <f>+MINVU_Mes_Corriente!AL55*SALUD_Mes_Constante!$AC$1</f>
        <v>29777127.019504771</v>
      </c>
      <c r="AM55" s="8">
        <f>+MINVU_Mes_Corriente!AM55*SALUD_Mes_Constante!$AC$1</f>
        <v>29777127.019504771</v>
      </c>
      <c r="AN55" s="8">
        <f>+MINVU_Mes_Corriente!AN55*SALUD_Mes_Constante!$AC$1</f>
        <v>16557605.60658459</v>
      </c>
      <c r="AO55" s="9">
        <f t="shared" si="21"/>
        <v>16557605.60658459</v>
      </c>
      <c r="AP55" s="8">
        <f>+MINVU_Mes_Corriente!AP55*SALUD_Mes_Constante!$AP$1</f>
        <v>0</v>
      </c>
      <c r="AQ55" s="8">
        <f>+MINVU_Mes_Corriente!AQ55*SALUD_Mes_Constante!$AP$1</f>
        <v>11056944.999053158</v>
      </c>
      <c r="AR55" s="8">
        <f>+MINVU_Mes_Corriente!AR55*SALUD_Mes_Constante!$AP$1</f>
        <v>11056944.999053158</v>
      </c>
      <c r="AS55" s="8">
        <f>+MINVU_Mes_Corriente!AS55*SALUD_Mes_Constante!$AP$1</f>
        <v>11056944.999053158</v>
      </c>
      <c r="AT55" s="8">
        <f>+MINVU_Mes_Corriente!AT55*SALUD_Mes_Constante!$AP$1</f>
        <v>11056944.999053158</v>
      </c>
      <c r="AU55" s="8">
        <f>+MINVU_Mes_Corriente!AU55*SALUD_Mes_Constante!$AP$1</f>
        <v>12208072.180440957</v>
      </c>
      <c r="AV55" s="8">
        <f>+MINVU_Mes_Corriente!AV55*SALUD_Mes_Constante!$AP$1</f>
        <v>13538385.466251859</v>
      </c>
      <c r="AW55" s="8">
        <f>+MINVU_Mes_Corriente!AW55*SALUD_Mes_Constante!$AP$1</f>
        <v>13538385.466251859</v>
      </c>
      <c r="AX55" s="8">
        <f>+MINVU_Mes_Corriente!AX55*SALUD_Mes_Constante!$AP$1</f>
        <v>13538385.466251859</v>
      </c>
      <c r="AY55" s="8">
        <f>+MINVU_Mes_Corriente!AY55*SALUD_Mes_Constante!$AP$1</f>
        <v>13680110.154740971</v>
      </c>
      <c r="AZ55" s="8">
        <f>+MINVU_Mes_Corriente!AZ55*SALUD_Mes_Constante!$AP$1</f>
        <v>13680110.154740971</v>
      </c>
      <c r="BA55" s="8">
        <f>+MINVU_Mes_Corriente!BA55*SALUD_Mes_Constante!$AP$1</f>
        <v>18637815.537670769</v>
      </c>
      <c r="BB55" s="9">
        <f t="shared" si="22"/>
        <v>18637815.537670769</v>
      </c>
      <c r="BC55" s="8">
        <f>+MINVU_Mes_Corriente!BC55*SALUD_Mes_Constante!$BC$1</f>
        <v>0</v>
      </c>
      <c r="BD55" s="8">
        <f>+MINVU_Mes_Corriente!BD55*SALUD_Mes_Constante!$BC$1</f>
        <v>0</v>
      </c>
      <c r="BE55" s="8">
        <f>+MINVU_Mes_Corriente!BE55*SALUD_Mes_Constante!$BC$1</f>
        <v>5488775.4469207451</v>
      </c>
      <c r="BF55" s="8">
        <f>+MINVU_Mes_Corriente!BF55*SALUD_Mes_Constante!$BC$1</f>
        <v>6695494.0084399329</v>
      </c>
      <c r="BG55" s="8">
        <f>+MINVU_Mes_Corriente!BG55*SALUD_Mes_Constante!$BC$1</f>
        <v>6695494.0084399329</v>
      </c>
      <c r="BH55" s="8">
        <f>+MINVU_Mes_Corriente!BH55*SALUD_Mes_Constante!$BC$1</f>
        <v>11273583.104839776</v>
      </c>
      <c r="BI55" s="8">
        <f>+MINVU_Mes_Corriente!BI55*SALUD_Mes_Constante!$BC$1</f>
        <v>11273583.104839776</v>
      </c>
      <c r="BJ55" s="8">
        <f>+MINVU_Mes_Corriente!BJ55*SALUD_Mes_Constante!$BC$1</f>
        <v>8937051.5930370595</v>
      </c>
      <c r="BK55" s="8">
        <f>+MINVU_Mes_Corriente!BK55*SALUD_Mes_Constante!$BC$1</f>
        <v>8301322.0741131501</v>
      </c>
      <c r="BL55" s="8">
        <f>+MINVU_Mes_Corriente!BL55*SALUD_Mes_Constante!$BC$1</f>
        <v>8301322.0741131501</v>
      </c>
      <c r="BM55" s="8">
        <f>+MINVU_Mes_Corriente!BM55*SALUD_Mes_Constante!$BC$1</f>
        <v>8301322.0741131501</v>
      </c>
      <c r="BN55" s="8">
        <f>+MINVU_Mes_Corriente!BN55*SALUD_Mes_Constante!$BC$1</f>
        <v>6545643.6951074786</v>
      </c>
      <c r="BO55" s="9">
        <f t="shared" si="23"/>
        <v>6545643.6951074786</v>
      </c>
      <c r="BP55" s="8">
        <f>+MINVU_Mes_Corriente!BP55*SALUD_Mes_Constante!$BP$1</f>
        <v>0</v>
      </c>
      <c r="BQ55" s="8">
        <f>+MINVU_Mes_Corriente!BQ55*SALUD_Mes_Constante!$BP$1</f>
        <v>0</v>
      </c>
      <c r="BR55" s="8">
        <f>+MINVU_Mes_Corriente!BR55*SALUD_Mes_Constante!$BP$1</f>
        <v>11477936.472983357</v>
      </c>
      <c r="BS55" s="8">
        <f>+MINVU_Mes_Corriente!BS55*SALUD_Mes_Constante!$BP$1</f>
        <v>11477936.472983357</v>
      </c>
      <c r="BT55" s="8">
        <f>+MINVU_Mes_Corriente!BT55*SALUD_Mes_Constante!$BP$1</f>
        <v>11477936.472983357</v>
      </c>
      <c r="BU55" s="8">
        <f>+MINVU_Mes_Corriente!BU55*SALUD_Mes_Constante!$BP$1</f>
        <v>11563601.349295776</v>
      </c>
      <c r="BV55" s="8">
        <f>+MINVU_Mes_Corriente!BV55*SALUD_Mes_Constante!$BP$1</f>
        <v>13570027.647119079</v>
      </c>
      <c r="BW55" s="8">
        <f>+MINVU_Mes_Corriente!BW55*SALUD_Mes_Constante!$BP$1</f>
        <v>13570027.647119079</v>
      </c>
      <c r="BX55" s="8">
        <f>+MINVU_Mes_Corriente!BX55*SALUD_Mes_Constante!$BP$1</f>
        <v>13523355.02074264</v>
      </c>
      <c r="BY55" s="8">
        <f>+MINVU_Mes_Corriente!BY55*SALUD_Mes_Constante!$BP$1</f>
        <v>13523355.02074264</v>
      </c>
      <c r="BZ55" s="8">
        <f>+MINVU_Mes_Corriente!BZ55*SALUD_Mes_Constante!$BP$1</f>
        <v>13523355.02074264</v>
      </c>
      <c r="CA55" s="8">
        <f>+MINVU_Mes_Corriente!CA55*SALUD_Mes_Constante!$BP$1</f>
        <v>14174033.994622281</v>
      </c>
      <c r="CB55" s="9">
        <f t="shared" si="24"/>
        <v>14174033.994622281</v>
      </c>
      <c r="CC55" s="8">
        <f>+MINVU_Mes_Corriente!CC55*SALUD_Mes_Constante!$CC$1</f>
        <v>0</v>
      </c>
      <c r="CD55" s="8">
        <f>+MINVU_Mes_Corriente!CD55*SALUD_Mes_Constante!$CC$1</f>
        <v>0</v>
      </c>
      <c r="CE55" s="8">
        <f>+MINVU_Mes_Corriente!CE55*SALUD_Mes_Constante!$CC$1</f>
        <v>4381744.4020887734</v>
      </c>
      <c r="CF55" s="8">
        <f>+MINVU_Mes_Corriente!CF55*SALUD_Mes_Constante!$CC$1</f>
        <v>4381744.4020887734</v>
      </c>
      <c r="CG55" s="8">
        <f>+MINVU_Mes_Corriente!CG55*SALUD_Mes_Constante!$CC$1</f>
        <v>4381744.4020887734</v>
      </c>
      <c r="CH55" s="8">
        <f>+MINVU_Mes_Corriente!CH55*SALUD_Mes_Constante!$CC$1</f>
        <v>4381744.4020887734</v>
      </c>
      <c r="CI55" s="8">
        <f>+MINVU_Mes_Corriente!CI55*SALUD_Mes_Constante!$CC$1</f>
        <v>4381744.4020887734</v>
      </c>
      <c r="CJ55" s="8">
        <f>+MINVU_Mes_Corriente!CJ55*SALUD_Mes_Constante!$CC$1</f>
        <v>4381744.4020887734</v>
      </c>
      <c r="CK55" s="8">
        <f>+MINVU_Mes_Corriente!CK55*SALUD_Mes_Constante!$CC$1</f>
        <v>2405059.4300634093</v>
      </c>
      <c r="CL55" s="8">
        <f>+MINVU_Mes_Corriente!CL55*SALUD_Mes_Constante!$CC$1</f>
        <v>2405059.4300634093</v>
      </c>
      <c r="CM55" s="8">
        <f>+MINVU_Mes_Corriente!CM55*SALUD_Mes_Constante!$CC$1</f>
        <v>2405059.4300634093</v>
      </c>
      <c r="CN55" s="8">
        <f>+MINVU_Mes_Corriente!CN55*SALUD_Mes_Constante!$CC$1</f>
        <v>2181701.9955240586</v>
      </c>
      <c r="CO55" s="9">
        <f t="shared" si="25"/>
        <v>2181701.9955240586</v>
      </c>
      <c r="CP55" s="8">
        <f>+MINVU_Mes_Corriente!CP55*SALUD_Mes_Constante!$CP$1</f>
        <v>0</v>
      </c>
      <c r="CQ55" s="8">
        <f>+MINVU_Mes_Corriente!CQ55*SALUD_Mes_Constante!$CP$1</f>
        <v>1582527.1635730856</v>
      </c>
      <c r="CR55" s="8">
        <f>+MINVU_Mes_Corriente!CR55*SALUD_Mes_Constante!$CP$1</f>
        <v>1582527.1635730856</v>
      </c>
      <c r="CS55" s="8">
        <f>+MINVU_Mes_Corriente!CS55*SALUD_Mes_Constante!$CP$1</f>
        <v>1582527.1635730856</v>
      </c>
      <c r="CT55" s="8">
        <f>+MINVU_Mes_Corriente!CT55*SALUD_Mes_Constante!$CP$1</f>
        <v>1582527.1635730856</v>
      </c>
      <c r="CU55" s="8">
        <f>+MINVU_Mes_Corriente!CU55*SALUD_Mes_Constante!$CP$1</f>
        <v>1582527.1635730856</v>
      </c>
      <c r="CV55" s="8">
        <f>+MINVU_Mes_Corriente!CV55*SALUD_Mes_Constante!$CP$1</f>
        <v>1644008.0951276098</v>
      </c>
      <c r="CW55" s="8">
        <f>+MINVU_Mes_Corriente!CW55*SALUD_Mes_Constante!$CP$1</f>
        <v>535002.61740139197</v>
      </c>
      <c r="CX55" s="8">
        <f>+MINVU_Mes_Corriente!CX55*SALUD_Mes_Constante!$CP$1</f>
        <v>535002.61740139197</v>
      </c>
      <c r="CY55" s="8">
        <f>+MINVU_Mes_Corriente!CY55*SALUD_Mes_Constante!$CP$1</f>
        <v>535002.61740139197</v>
      </c>
      <c r="CZ55" s="8">
        <f>+MINVU_Mes_Corriente!CZ55*SALUD_Mes_Constante!$CP$1</f>
        <v>417204.62018561474</v>
      </c>
      <c r="DA55" s="8">
        <f>+MINVU_Mes_Corriente!DA55*SALUD_Mes_Constante!$CP$1</f>
        <v>417204.62018561474</v>
      </c>
      <c r="DB55" s="9">
        <f t="shared" si="26"/>
        <v>417204.62018561474</v>
      </c>
      <c r="DC55" s="8">
        <f>+MINVU_Mes_Corriente!DC55*SALUD_Mes_Constante!$DC$1</f>
        <v>0</v>
      </c>
      <c r="DD55" s="8">
        <f>+MINVU_Mes_Corriente!DD55*SALUD_Mes_Constante!$DC$1</f>
        <v>2661941.5839934177</v>
      </c>
      <c r="DE55" s="8">
        <f>+MINVU_Mes_Corriente!DE55*SALUD_Mes_Constante!$DC$1</f>
        <v>2661941.5839934177</v>
      </c>
      <c r="DF55" s="8">
        <f>+MINVU_Mes_Corriente!DF55*SALUD_Mes_Constante!$DC$1</f>
        <v>2661941.5839934177</v>
      </c>
      <c r="DG55" s="8">
        <f>+MINVU_Mes_Corriente!DG55*SALUD_Mes_Constante!$DC$1</f>
        <v>2661941.5839934177</v>
      </c>
      <c r="DH55" s="8">
        <f>+MINVU_Mes_Corriente!DH55*SALUD_Mes_Constante!$DC$1</f>
        <v>2661941.5839934177</v>
      </c>
      <c r="DI55" s="8">
        <f>+MINVU_Mes_Corriente!DI55*SALUD_Mes_Constante!$DC$1</f>
        <v>698781.82182903029</v>
      </c>
      <c r="DJ55" s="8">
        <f>+MINVU_Mes_Corriente!DJ55*SALUD_Mes_Constante!$DC$1</f>
        <v>698781.82182903029</v>
      </c>
      <c r="DK55" s="8">
        <f>+MINVU_Mes_Corriente!DK55*SALUD_Mes_Constante!$DC$1</f>
        <v>698781.82182903029</v>
      </c>
      <c r="DL55" s="8">
        <f>+MINVU_Mes_Corriente!DL55*SALUD_Mes_Constante!$DC$1</f>
        <v>698781.82182903029</v>
      </c>
      <c r="DM55" s="8">
        <f>+MINVU_Mes_Corriente!DM55*SALUD_Mes_Constante!$DC$1</f>
        <v>468800.81761135708</v>
      </c>
      <c r="DN55" s="8">
        <f>+MINVU_Mes_Corriente!DN55*SALUD_Mes_Constante!$DC$1</f>
        <v>468800.81761135708</v>
      </c>
      <c r="DO55" s="9">
        <f t="shared" si="27"/>
        <v>468800.81761135708</v>
      </c>
      <c r="DP55" s="8">
        <f>+MINVU_Mes_Corriente!DP55*SALUD_Mes_Constante!$DP$1</f>
        <v>0</v>
      </c>
      <c r="DQ55" s="8">
        <f>+MINVU_Mes_Corriente!DQ55*SALUD_Mes_Constante!$DP$1</f>
        <v>4404751.3699524943</v>
      </c>
      <c r="DR55" s="8">
        <f>+MINVU_Mes_Corriente!DR55*SALUD_Mes_Constante!$DP$1</f>
        <v>4404751.3699524943</v>
      </c>
      <c r="DS55" s="8">
        <f>+MINVU_Mes_Corriente!DS55*SALUD_Mes_Constante!$DP$1</f>
        <v>4404751.3699524943</v>
      </c>
      <c r="DT55" s="8">
        <f>+MINVU_Mes_Corriente!DT55*SALUD_Mes_Constante!$DP$1</f>
        <v>4404751.3699524943</v>
      </c>
      <c r="DU55" s="8">
        <f>+MINVU_Mes_Corriente!DU55*SALUD_Mes_Constante!$DP$1</f>
        <v>4404751.3699524943</v>
      </c>
      <c r="DV55" s="8">
        <f>+MINVU_Mes_Corriente!DV55*SALUD_Mes_Constante!$DP$1</f>
        <v>3744585.8836104516</v>
      </c>
      <c r="DW55" s="8">
        <f>+MINVU_Mes_Corriente!DW55*SALUD_Mes_Constante!$DP$1</f>
        <v>3744585.8836104516</v>
      </c>
      <c r="DX55" s="8">
        <f>+MINVU_Mes_Corriente!DX55*SALUD_Mes_Constante!$DP$1</f>
        <v>3744585.8836104516</v>
      </c>
      <c r="DY55" s="8">
        <f>+MINVU_Mes_Corriente!DY55*SALUD_Mes_Constante!$DP$1</f>
        <v>3744585.8836104516</v>
      </c>
      <c r="DZ55" s="8">
        <f>+MINVU_Mes_Corriente!DZ55*SALUD_Mes_Constante!$DP$1</f>
        <v>3744585.8836104516</v>
      </c>
      <c r="EA55" s="8">
        <f>+MINVU_Mes_Corriente!EA55*SALUD_Mes_Constante!$DP$1</f>
        <v>4099375.9418052263</v>
      </c>
      <c r="EB55" s="9">
        <f t="shared" si="28"/>
        <v>4099375.9418052263</v>
      </c>
      <c r="EC55" s="8">
        <f>+MINVU_Mes_Corriente!EC55*SALUD_Mes_Constante!$EC$1</f>
        <v>0</v>
      </c>
      <c r="ED55" s="8">
        <f>+MINVU_Mes_Corriente!ED55*SALUD_Mes_Constante!$EC$1</f>
        <v>4395058.4985798132</v>
      </c>
      <c r="EE55" s="8">
        <f>+MINVU_Mes_Corriente!EE55*SALUD_Mes_Constante!$EC$1</f>
        <v>4395058.4985798132</v>
      </c>
      <c r="EF55" s="8">
        <f>+MINVU_Mes_Corriente!EF55*SALUD_Mes_Constante!$EC$1</f>
        <v>4395058.4985798132</v>
      </c>
      <c r="EG55" s="8">
        <f>+MINVU_Mes_Corriente!EG55*SALUD_Mes_Constante!$EC$1</f>
        <v>4638363.2016663495</v>
      </c>
      <c r="EH55" s="8">
        <f>+MINVU_Mes_Corriente!EH55*SALUD_Mes_Constante!$EC$1</f>
        <v>4638363.2016663495</v>
      </c>
      <c r="EI55" s="8">
        <f>+MINVU_Mes_Corriente!EI55*SALUD_Mes_Constante!$EC$1</f>
        <v>4638363.2016663495</v>
      </c>
      <c r="EJ55" s="8">
        <f>+MINVU_Mes_Corriente!EJ55*SALUD_Mes_Constante!$EC$1</f>
        <v>4638363.2016663495</v>
      </c>
      <c r="EK55" s="8">
        <f>+MINVU_Mes_Corriente!EK55*SALUD_Mes_Constante!$EC$1</f>
        <v>6227027.6012118896</v>
      </c>
      <c r="EL55" s="8">
        <f>+MINVU_Mes_Corriente!EL55*SALUD_Mes_Constante!$EC$1</f>
        <v>5316883.1117212633</v>
      </c>
      <c r="EM55" s="8">
        <f>+MINVU_Mes_Corriente!EM55*SALUD_Mes_Constante!$EC$1</f>
        <v>5316883.1117212633</v>
      </c>
      <c r="EN55" s="8">
        <f>+MINVU_Mes_Corriente!EN55*SALUD_Mes_Constante!$EC$1</f>
        <v>5316883.1117212633</v>
      </c>
      <c r="EO55" s="9">
        <f t="shared" si="29"/>
        <v>5316883.1117212633</v>
      </c>
      <c r="EP55" s="8">
        <f>+MINVU_Mes_Corriente!EP55*SALUD_Mes_Constante!$EP$1</f>
        <v>0</v>
      </c>
      <c r="EQ55" s="8">
        <f>+MINVU_Mes_Corriente!EQ55*SALUD_Mes_Constante!$EP$1</f>
        <v>4699720</v>
      </c>
      <c r="ER55" s="8">
        <f>+MINVU_Mes_Corriente!ER55*SALUD_Mes_Constante!$EP$1</f>
        <v>4699720</v>
      </c>
      <c r="ES55" s="8">
        <f>+MINVU_Mes_Corriente!ES55*SALUD_Mes_Constante!$EP$1</f>
        <v>4699720</v>
      </c>
      <c r="ET55" s="8">
        <f>+MINVU_Mes_Corriente!ET55*SALUD_Mes_Constante!$EP$1</f>
        <v>4699720</v>
      </c>
      <c r="EU55" s="8">
        <f>+MINVU_Mes_Corriente!EU55*SALUD_Mes_Constante!$EP$1</f>
        <v>4699720</v>
      </c>
      <c r="EV55" s="8">
        <f>+MINVU_Mes_Corriente!EV55*SALUD_Mes_Constante!$EP$1</f>
        <v>4699720</v>
      </c>
      <c r="EW55" s="8">
        <f>+MINVU_Mes_Corriente!EW55*SALUD_Mes_Constante!$EP$1</f>
        <v>4699720</v>
      </c>
      <c r="EX55" s="8">
        <f>+MINVU_Mes_Corriente!EX55*SALUD_Mes_Constante!$EP$1</f>
        <v>3072070</v>
      </c>
      <c r="EY55" s="8">
        <f>+MINVU_Mes_Corriente!EY55*SALUD_Mes_Constante!$EP$1</f>
        <v>3601813</v>
      </c>
      <c r="EZ55" s="8">
        <f>+MINVU_Mes_Corriente!EZ55*SALUD_Mes_Constante!$EP$1</f>
        <v>3601813</v>
      </c>
      <c r="FA55" s="8">
        <f>+MINVU_Mes_Corriente!FA55*SALUD_Mes_Constante!$EP$1</f>
        <v>2365042</v>
      </c>
      <c r="FB55" s="9">
        <f t="shared" si="30"/>
        <v>2365042</v>
      </c>
      <c r="FC55" s="8">
        <f>+MINVU_Mes_Corriente!FC55*SALUD_Mes_Constante!$FC$1</f>
        <v>1473262</v>
      </c>
      <c r="FD55" s="8">
        <f>+MINVU_Mes_Corriente!FD55*SALUD_Mes_Constante!$FC$1</f>
        <v>1473262</v>
      </c>
      <c r="FE55" s="8">
        <f>+MINVU_Mes_Corriente!FE55*SALUD_Mes_Constante!$FC$1</f>
        <v>1473262</v>
      </c>
      <c r="FF55" s="8">
        <f>+MINVU_Mes_Corriente!FF55*SALUD_Mes_Constante!$FC$1</f>
        <v>1473262</v>
      </c>
      <c r="FG55" s="8">
        <f>+MINVU_Mes_Corriente!FG55*SALUD_Mes_Constante!$FC$1</f>
        <v>1473262</v>
      </c>
      <c r="FH55" s="8">
        <f>+MINVU_Mes_Corriente!FH55*SALUD_Mes_Constante!$FC$1</f>
        <v>1729150</v>
      </c>
      <c r="FI55" s="8">
        <f>+MINVU_Mes_Corriente!FI55*SALUD_Mes_Constante!$FC$1</f>
        <v>1729150</v>
      </c>
      <c r="FJ55" s="8"/>
      <c r="FK55" s="8"/>
      <c r="FL55" s="8"/>
      <c r="FM55" s="8"/>
      <c r="FN55" s="8"/>
      <c r="FO55" s="9">
        <f t="shared" si="31"/>
        <v>1729150</v>
      </c>
    </row>
    <row r="56" spans="2:171" ht="14.25" customHeight="1" x14ac:dyDescent="0.3">
      <c r="B56" s="7" t="s">
        <v>55</v>
      </c>
      <c r="C56" s="8">
        <f>+MINVU_Mes_Corriente!C56*SALUD_Mes_Constante!$C$1</f>
        <v>0</v>
      </c>
      <c r="D56" s="8">
        <f>+MINVU_Mes_Corriente!D56*SALUD_Mes_Constante!$C$1</f>
        <v>0</v>
      </c>
      <c r="E56" s="8">
        <f>+MINVU_Mes_Corriente!E56*SALUD_Mes_Constante!$C$1</f>
        <v>28732806.888921849</v>
      </c>
      <c r="F56" s="8">
        <f>+MINVU_Mes_Corriente!F56*SALUD_Mes_Constante!$C$1</f>
        <v>28732806.888921849</v>
      </c>
      <c r="G56" s="8">
        <f>+MINVU_Mes_Corriente!G56*SALUD_Mes_Constante!$C$1</f>
        <v>28732806.888921849</v>
      </c>
      <c r="H56" s="8">
        <f>+MINVU_Mes_Corriente!H56*SALUD_Mes_Constante!$C$1</f>
        <v>28732806.888921849</v>
      </c>
      <c r="I56" s="8">
        <f>+MINVU_Mes_Corriente!I56*SALUD_Mes_Constante!$C$1</f>
        <v>28732806.888921849</v>
      </c>
      <c r="J56" s="8">
        <f>+MINVU_Mes_Corriente!J56*SALUD_Mes_Constante!$C$1</f>
        <v>28786454.958623763</v>
      </c>
      <c r="K56" s="8">
        <f>+MINVU_Mes_Corriente!K56*SALUD_Mes_Constante!$C$1</f>
        <v>53009490.938751303</v>
      </c>
      <c r="L56" s="8">
        <f>+MINVU_Mes_Corriente!L56*SALUD_Mes_Constante!$C$1</f>
        <v>53009490.938751303</v>
      </c>
      <c r="M56" s="8">
        <f>+MINVU_Mes_Corriente!M56*SALUD_Mes_Constante!$C$1</f>
        <v>46747925.591576457</v>
      </c>
      <c r="N56" s="8">
        <f>+MINVU_Mes_Corriente!N56*SALUD_Mes_Constante!$C$1</f>
        <v>46747925.591576457</v>
      </c>
      <c r="O56" s="9">
        <f t="shared" si="19"/>
        <v>46747925.591576457</v>
      </c>
      <c r="P56" s="8">
        <f>+MINVU_Mes_Corriente!P56*SALUD_Mes_Constante!$P$1</f>
        <v>0</v>
      </c>
      <c r="Q56" s="8">
        <f>+MINVU_Mes_Corriente!Q56*SALUD_Mes_Constante!$P$1</f>
        <v>8891218.3770421892</v>
      </c>
      <c r="R56" s="8">
        <f>+MINVU_Mes_Corriente!R56*SALUD_Mes_Constante!$P$1</f>
        <v>39774106.082966313</v>
      </c>
      <c r="S56" s="8">
        <f>+MINVU_Mes_Corriente!S56*SALUD_Mes_Constante!$P$1</f>
        <v>40568129.345361538</v>
      </c>
      <c r="T56" s="8">
        <f>+MINVU_Mes_Corriente!T56*SALUD_Mes_Constante!$P$1</f>
        <v>40568129.345361538</v>
      </c>
      <c r="U56" s="8">
        <f>+MINVU_Mes_Corriente!U56*SALUD_Mes_Constante!$P$1</f>
        <v>41243048.497513838</v>
      </c>
      <c r="V56" s="8">
        <f>+MINVU_Mes_Corriente!V56*SALUD_Mes_Constante!$P$1</f>
        <v>45363978.999857917</v>
      </c>
      <c r="W56" s="8">
        <f>+MINVU_Mes_Corriente!W56*SALUD_Mes_Constante!$P$1</f>
        <v>39334762.604631327</v>
      </c>
      <c r="X56" s="8">
        <f>+MINVU_Mes_Corriente!X56*SALUD_Mes_Constante!$P$1</f>
        <v>39334762.604631327</v>
      </c>
      <c r="Y56" s="8">
        <f>+MINVU_Mes_Corriente!Y56*SALUD_Mes_Constante!$P$1</f>
        <v>39334762.604631327</v>
      </c>
      <c r="Z56" s="8">
        <f>+MINVU_Mes_Corriente!Z56*SALUD_Mes_Constante!$P$1</f>
        <v>39173270.767722674</v>
      </c>
      <c r="AA56" s="8">
        <f>+MINVU_Mes_Corriente!AA56*SALUD_Mes_Constante!$P$1</f>
        <v>39011938.808353446</v>
      </c>
      <c r="AB56" s="9">
        <f t="shared" si="20"/>
        <v>39011938.808353446</v>
      </c>
      <c r="AC56" s="8">
        <f>+MINVU_Mes_Corriente!AC56*SALUD_Mes_Constante!$AC$1</f>
        <v>0</v>
      </c>
      <c r="AD56" s="8">
        <f>+MINVU_Mes_Corriente!AD56*SALUD_Mes_Constante!$AC$1</f>
        <v>22293568.191451099</v>
      </c>
      <c r="AE56" s="8">
        <f>+MINVU_Mes_Corriente!AE56*SALUD_Mes_Constante!$AC$1</f>
        <v>22293568.191451099</v>
      </c>
      <c r="AF56" s="8">
        <f>+MINVU_Mes_Corriente!AF56*SALUD_Mes_Constante!$AC$1</f>
        <v>34352840.298243187</v>
      </c>
      <c r="AG56" s="8">
        <f>+MINVU_Mes_Corriente!AG56*SALUD_Mes_Constante!$AC$1</f>
        <v>38619404.757227831</v>
      </c>
      <c r="AH56" s="8">
        <f>+MINVU_Mes_Corriente!AH56*SALUD_Mes_Constante!$AC$1</f>
        <v>39456817.893207915</v>
      </c>
      <c r="AI56" s="8">
        <f>+MINVU_Mes_Corriente!AI56*SALUD_Mes_Constante!$AC$1</f>
        <v>39456817.893207915</v>
      </c>
      <c r="AJ56" s="8">
        <f>+MINVU_Mes_Corriente!AJ56*SALUD_Mes_Constante!$AC$1</f>
        <v>39456817.893207915</v>
      </c>
      <c r="AK56" s="8">
        <f>+MINVU_Mes_Corriente!AK56*SALUD_Mes_Constante!$AC$1</f>
        <v>39666527.870521508</v>
      </c>
      <c r="AL56" s="8">
        <f>+MINVU_Mes_Corriente!AL56*SALUD_Mes_Constante!$AC$1</f>
        <v>38460047.482916035</v>
      </c>
      <c r="AM56" s="8">
        <f>+MINVU_Mes_Corriente!AM56*SALUD_Mes_Constante!$AC$1</f>
        <v>38588880.273066811</v>
      </c>
      <c r="AN56" s="8">
        <f>+MINVU_Mes_Corriente!AN56*SALUD_Mes_Constante!$AC$1</f>
        <v>28404181.185226172</v>
      </c>
      <c r="AO56" s="9">
        <f t="shared" si="21"/>
        <v>28404181.185226172</v>
      </c>
      <c r="AP56" s="8">
        <f>+MINVU_Mes_Corriente!AP56*SALUD_Mes_Constante!$AP$1</f>
        <v>0</v>
      </c>
      <c r="AQ56" s="8">
        <f>+MINVU_Mes_Corriente!AQ56*SALUD_Mes_Constante!$AP$1</f>
        <v>27843398.385229271</v>
      </c>
      <c r="AR56" s="8">
        <f>+MINVU_Mes_Corriente!AR56*SALUD_Mes_Constante!$AP$1</f>
        <v>27843398.385229271</v>
      </c>
      <c r="AS56" s="8">
        <f>+MINVU_Mes_Corriente!AS56*SALUD_Mes_Constante!$AP$1</f>
        <v>27843398.385229271</v>
      </c>
      <c r="AT56" s="8">
        <f>+MINVU_Mes_Corriente!AT56*SALUD_Mes_Constante!$AP$1</f>
        <v>27843398.385229271</v>
      </c>
      <c r="AU56" s="8">
        <f>+MINVU_Mes_Corriente!AU56*SALUD_Mes_Constante!$AP$1</f>
        <v>27843398.385229271</v>
      </c>
      <c r="AV56" s="8">
        <f>+MINVU_Mes_Corriente!AV56*SALUD_Mes_Constante!$AP$1</f>
        <v>28779385.488435004</v>
      </c>
      <c r="AW56" s="8">
        <f>+MINVU_Mes_Corriente!AW56*SALUD_Mes_Constante!$AP$1</f>
        <v>28640878.154470444</v>
      </c>
      <c r="AX56" s="8">
        <f>+MINVU_Mes_Corriente!AX56*SALUD_Mes_Constante!$AP$1</f>
        <v>25782976.172325172</v>
      </c>
      <c r="AY56" s="8">
        <f>+MINVU_Mes_Corriente!AY56*SALUD_Mes_Constante!$AP$1</f>
        <v>25782976.172325172</v>
      </c>
      <c r="AZ56" s="8">
        <f>+MINVU_Mes_Corriente!AZ56*SALUD_Mes_Constante!$AP$1</f>
        <v>25782976.172325172</v>
      </c>
      <c r="BA56" s="8">
        <f>+MINVU_Mes_Corriente!BA56*SALUD_Mes_Constante!$AP$1</f>
        <v>25104503.051264707</v>
      </c>
      <c r="BB56" s="9">
        <f t="shared" si="22"/>
        <v>25104503.051264707</v>
      </c>
      <c r="BC56" s="8">
        <f>+MINVU_Mes_Corriente!BC56*SALUD_Mes_Constante!$BC$1</f>
        <v>0</v>
      </c>
      <c r="BD56" s="8">
        <f>+MINVU_Mes_Corriente!BD56*SALUD_Mes_Constante!$BC$1</f>
        <v>0</v>
      </c>
      <c r="BE56" s="8">
        <f>+MINVU_Mes_Corriente!BE56*SALUD_Mes_Constante!$BC$1</f>
        <v>14705466.648819732</v>
      </c>
      <c r="BF56" s="8">
        <f>+MINVU_Mes_Corriente!BF56*SALUD_Mes_Constante!$BC$1</f>
        <v>14705466.648819732</v>
      </c>
      <c r="BG56" s="8">
        <f>+MINVU_Mes_Corriente!BG56*SALUD_Mes_Constante!$BC$1</f>
        <v>14705466.648819732</v>
      </c>
      <c r="BH56" s="8">
        <f>+MINVU_Mes_Corriente!BH56*SALUD_Mes_Constante!$BC$1</f>
        <v>16419897.684821315</v>
      </c>
      <c r="BI56" s="8">
        <f>+MINVU_Mes_Corriente!BI56*SALUD_Mes_Constante!$BC$1</f>
        <v>16419897.684821315</v>
      </c>
      <c r="BJ56" s="8">
        <f>+MINVU_Mes_Corriente!BJ56*SALUD_Mes_Constante!$BC$1</f>
        <v>16537889.26335224</v>
      </c>
      <c r="BK56" s="8">
        <f>+MINVU_Mes_Corriente!BK56*SALUD_Mes_Constante!$BC$1</f>
        <v>16599027.603323227</v>
      </c>
      <c r="BL56" s="8">
        <f>+MINVU_Mes_Corriente!BL56*SALUD_Mes_Constante!$BC$1</f>
        <v>16599027.603323227</v>
      </c>
      <c r="BM56" s="8">
        <f>+MINVU_Mes_Corriente!BM56*SALUD_Mes_Constante!$BC$1</f>
        <v>16599027.603323227</v>
      </c>
      <c r="BN56" s="8">
        <f>+MINVU_Mes_Corriente!BN56*SALUD_Mes_Constante!$BC$1</f>
        <v>17705510.236845579</v>
      </c>
      <c r="BO56" s="9">
        <f t="shared" si="23"/>
        <v>17705510.236845579</v>
      </c>
      <c r="BP56" s="8">
        <f>+MINVU_Mes_Corriente!BP56*SALUD_Mes_Constante!$BP$1</f>
        <v>0</v>
      </c>
      <c r="BQ56" s="8">
        <f>+MINVU_Mes_Corriente!BQ56*SALUD_Mes_Constante!$BP$1</f>
        <v>45251878.445838675</v>
      </c>
      <c r="BR56" s="8">
        <f>+MINVU_Mes_Corriente!BR56*SALUD_Mes_Constante!$BP$1</f>
        <v>76133449.408194631</v>
      </c>
      <c r="BS56" s="8">
        <f>+MINVU_Mes_Corriente!BS56*SALUD_Mes_Constante!$BP$1</f>
        <v>76133449.408194631</v>
      </c>
      <c r="BT56" s="8">
        <f>+MINVU_Mes_Corriente!BT56*SALUD_Mes_Constante!$BP$1</f>
        <v>76133449.408194631</v>
      </c>
      <c r="BU56" s="8">
        <f>+MINVU_Mes_Corriente!BU56*SALUD_Mes_Constante!$BP$1</f>
        <v>119785344.55928299</v>
      </c>
      <c r="BV56" s="8">
        <f>+MINVU_Mes_Corriente!BV56*SALUD_Mes_Constante!$BP$1</f>
        <v>120103176.44327787</v>
      </c>
      <c r="BW56" s="8">
        <f>+MINVU_Mes_Corriente!BW56*SALUD_Mes_Constante!$BP$1</f>
        <v>182211360.32880923</v>
      </c>
      <c r="BX56" s="8">
        <f>+MINVU_Mes_Corriente!BX56*SALUD_Mes_Constante!$BP$1</f>
        <v>179804439.47247121</v>
      </c>
      <c r="BY56" s="8">
        <f>+MINVU_Mes_Corriente!BY56*SALUD_Mes_Constante!$BP$1</f>
        <v>179804439.47247121</v>
      </c>
      <c r="BZ56" s="8">
        <f>+MINVU_Mes_Corriente!BZ56*SALUD_Mes_Constante!$BP$1</f>
        <v>179908942.95518568</v>
      </c>
      <c r="CA56" s="8">
        <f>+MINVU_Mes_Corriente!CA56*SALUD_Mes_Constante!$BP$1</f>
        <v>178152576.56389245</v>
      </c>
      <c r="CB56" s="9">
        <f t="shared" si="24"/>
        <v>178152576.56389245</v>
      </c>
      <c r="CC56" s="8">
        <f>+MINVU_Mes_Corriente!CC56*SALUD_Mes_Constante!$CC$1</f>
        <v>0</v>
      </c>
      <c r="CD56" s="8">
        <f>+MINVU_Mes_Corriente!CD56*SALUD_Mes_Constante!$CC$1</f>
        <v>776031.27415143605</v>
      </c>
      <c r="CE56" s="8">
        <f>+MINVU_Mes_Corriente!CE56*SALUD_Mes_Constante!$CC$1</f>
        <v>165644929.1480791</v>
      </c>
      <c r="CF56" s="8">
        <f>+MINVU_Mes_Corriente!CF56*SALUD_Mes_Constante!$CC$1</f>
        <v>168015166.11339054</v>
      </c>
      <c r="CG56" s="8">
        <f>+MINVU_Mes_Corriente!CG56*SALUD_Mes_Constante!$CC$1</f>
        <v>168015166.11339054</v>
      </c>
      <c r="CH56" s="8">
        <f>+MINVU_Mes_Corriente!CH56*SALUD_Mes_Constante!$CC$1</f>
        <v>168015166.11339054</v>
      </c>
      <c r="CI56" s="8">
        <f>+MINVU_Mes_Corriente!CI56*SALUD_Mes_Constante!$CC$1</f>
        <v>168015166.11339054</v>
      </c>
      <c r="CJ56" s="8">
        <f>+MINVU_Mes_Corriente!CJ56*SALUD_Mes_Constante!$CC$1</f>
        <v>168015166.11339054</v>
      </c>
      <c r="CK56" s="8">
        <f>+MINVU_Mes_Corriente!CK56*SALUD_Mes_Constante!$CC$1</f>
        <v>168015166.11339054</v>
      </c>
      <c r="CL56" s="8">
        <f>+MINVU_Mes_Corriente!CL56*SALUD_Mes_Constante!$CC$1</f>
        <v>168015166.11339054</v>
      </c>
      <c r="CM56" s="8">
        <f>+MINVU_Mes_Corriente!CM56*SALUD_Mes_Constante!$CC$1</f>
        <v>114617324.94516972</v>
      </c>
      <c r="CN56" s="8">
        <f>+MINVU_Mes_Corriente!CN56*SALUD_Mes_Constante!$CC$1</f>
        <v>111009974.88698249</v>
      </c>
      <c r="CO56" s="9">
        <f t="shared" si="25"/>
        <v>111009974.88698249</v>
      </c>
      <c r="CP56" s="8">
        <f>+MINVU_Mes_Corriente!CP56*SALUD_Mes_Constante!$CP$1</f>
        <v>0</v>
      </c>
      <c r="CQ56" s="8">
        <f>+MINVU_Mes_Corriente!CQ56*SALUD_Mes_Constante!$CP$1</f>
        <v>83540748.637586996</v>
      </c>
      <c r="CR56" s="8">
        <f>+MINVU_Mes_Corriente!CR56*SALUD_Mes_Constante!$CP$1</f>
        <v>83767169.073549867</v>
      </c>
      <c r="CS56" s="8">
        <f>+MINVU_Mes_Corriente!CS56*SALUD_Mes_Constante!$CP$1</f>
        <v>83767169.073549867</v>
      </c>
      <c r="CT56" s="8">
        <f>+MINVU_Mes_Corriente!CT56*SALUD_Mes_Constante!$CP$1</f>
        <v>84760566.824129909</v>
      </c>
      <c r="CU56" s="8">
        <f>+MINVU_Mes_Corriente!CU56*SALUD_Mes_Constante!$CP$1</f>
        <v>85240393.141531304</v>
      </c>
      <c r="CV56" s="8">
        <f>+MINVU_Mes_Corriente!CV56*SALUD_Mes_Constante!$CP$1</f>
        <v>85240393.141531304</v>
      </c>
      <c r="CW56" s="8">
        <f>+MINVU_Mes_Corriente!CW56*SALUD_Mes_Constante!$CP$1</f>
        <v>85240393.141531304</v>
      </c>
      <c r="CX56" s="8">
        <f>+MINVU_Mes_Corriente!CX56*SALUD_Mes_Constante!$CP$1</f>
        <v>85240393.141531304</v>
      </c>
      <c r="CY56" s="8">
        <f>+MINVU_Mes_Corriente!CY56*SALUD_Mes_Constante!$CP$1</f>
        <v>84331688.368677482</v>
      </c>
      <c r="CZ56" s="8">
        <f>+MINVU_Mes_Corriente!CZ56*SALUD_Mes_Constante!$CP$1</f>
        <v>84331688.368677482</v>
      </c>
      <c r="DA56" s="8">
        <f>+MINVU_Mes_Corriente!DA56*SALUD_Mes_Constante!$CP$1</f>
        <v>48157170.153828293</v>
      </c>
      <c r="DB56" s="9">
        <f t="shared" si="26"/>
        <v>48157170.153828293</v>
      </c>
      <c r="DC56" s="8">
        <f>+MINVU_Mes_Corriente!DC56*SALUD_Mes_Constante!$DC$1</f>
        <v>0</v>
      </c>
      <c r="DD56" s="8">
        <f>+MINVU_Mes_Corriente!DD56*SALUD_Mes_Constante!$DC$1</f>
        <v>60337037.228474468</v>
      </c>
      <c r="DE56" s="8">
        <f>+MINVU_Mes_Corriente!DE56*SALUD_Mes_Constante!$DC$1</f>
        <v>60337037.228474468</v>
      </c>
      <c r="DF56" s="8">
        <f>+MINVU_Mes_Corriente!DF56*SALUD_Mes_Constante!$DC$1</f>
        <v>60337037.228474468</v>
      </c>
      <c r="DG56" s="8">
        <f>+MINVU_Mes_Corriente!DG56*SALUD_Mes_Constante!$DC$1</f>
        <v>60337037.228474468</v>
      </c>
      <c r="DH56" s="8">
        <f>+MINVU_Mes_Corriente!DH56*SALUD_Mes_Constante!$DC$1</f>
        <v>60851707.914000645</v>
      </c>
      <c r="DI56" s="8">
        <f>+MINVU_Mes_Corriente!DI56*SALUD_Mes_Constante!$DC$1</f>
        <v>61724890.995165139</v>
      </c>
      <c r="DJ56" s="8">
        <f>+MINVU_Mes_Corriente!DJ56*SALUD_Mes_Constante!$DC$1</f>
        <v>61724890.995165139</v>
      </c>
      <c r="DK56" s="8">
        <f>+MINVU_Mes_Corriente!DK56*SALUD_Mes_Constante!$DC$1</f>
        <v>61724890.995165139</v>
      </c>
      <c r="DL56" s="8">
        <f>+MINVU_Mes_Corriente!DL56*SALUD_Mes_Constante!$DC$1</f>
        <v>61724890.995165139</v>
      </c>
      <c r="DM56" s="8">
        <f>+MINVU_Mes_Corriente!DM56*SALUD_Mes_Constante!$DC$1</f>
        <v>61724890.995165139</v>
      </c>
      <c r="DN56" s="8">
        <f>+MINVU_Mes_Corriente!DN56*SALUD_Mes_Constante!$DC$1</f>
        <v>42129662.42073863</v>
      </c>
      <c r="DO56" s="9">
        <f t="shared" si="27"/>
        <v>42129662.42073863</v>
      </c>
      <c r="DP56" s="8">
        <f>+MINVU_Mes_Corriente!DP56*SALUD_Mes_Constante!$DP$1</f>
        <v>0</v>
      </c>
      <c r="DQ56" s="8">
        <f>+MINVU_Mes_Corriente!DQ56*SALUD_Mes_Constante!$DP$1</f>
        <v>31221255.864014253</v>
      </c>
      <c r="DR56" s="8">
        <f>+MINVU_Mes_Corriente!DR56*SALUD_Mes_Constante!$DP$1</f>
        <v>31318577.716745846</v>
      </c>
      <c r="DS56" s="8">
        <f>+MINVU_Mes_Corriente!DS56*SALUD_Mes_Constante!$DP$1</f>
        <v>31318577.716745846</v>
      </c>
      <c r="DT56" s="8">
        <f>+MINVU_Mes_Corriente!DT56*SALUD_Mes_Constante!$DP$1</f>
        <v>31318577.716745846</v>
      </c>
      <c r="DU56" s="8">
        <f>+MINVU_Mes_Corriente!DU56*SALUD_Mes_Constante!$DP$1</f>
        <v>31610642.759501189</v>
      </c>
      <c r="DV56" s="8">
        <f>+MINVU_Mes_Corriente!DV56*SALUD_Mes_Constante!$DP$1</f>
        <v>35718701.973277912</v>
      </c>
      <c r="DW56" s="8">
        <f>+MINVU_Mes_Corriente!DW56*SALUD_Mes_Constante!$DP$1</f>
        <v>35859144.976247035</v>
      </c>
      <c r="DX56" s="8">
        <f>+MINVU_Mes_Corriente!DX56*SALUD_Mes_Constante!$DP$1</f>
        <v>35859144.976247035</v>
      </c>
      <c r="DY56" s="8">
        <f>+MINVU_Mes_Corriente!DY56*SALUD_Mes_Constante!$DP$1</f>
        <v>36720367.678147271</v>
      </c>
      <c r="DZ56" s="8">
        <f>+MINVU_Mes_Corriente!DZ56*SALUD_Mes_Constante!$DP$1</f>
        <v>25016627.661520194</v>
      </c>
      <c r="EA56" s="8">
        <f>+MINVU_Mes_Corriente!EA56*SALUD_Mes_Constante!$DP$1</f>
        <v>23726811.415083136</v>
      </c>
      <c r="EB56" s="9">
        <f t="shared" si="28"/>
        <v>23726811.415083136</v>
      </c>
      <c r="EC56" s="8">
        <f>+MINVU_Mes_Corriente!EC56*SALUD_Mes_Constante!$EC$1</f>
        <v>0</v>
      </c>
      <c r="ED56" s="8">
        <f>+MINVU_Mes_Corriente!ED56*SALUD_Mes_Constante!$EC$1</f>
        <v>25802751.394811582</v>
      </c>
      <c r="EE56" s="8">
        <f>+MINVU_Mes_Corriente!EE56*SALUD_Mes_Constante!$EC$1</f>
        <v>28940277.154516179</v>
      </c>
      <c r="EF56" s="8">
        <f>+MINVU_Mes_Corriente!EF56*SALUD_Mes_Constante!$EC$1</f>
        <v>29450801.280249942</v>
      </c>
      <c r="EG56" s="8">
        <f>+MINVU_Mes_Corriente!EG56*SALUD_Mes_Constante!$EC$1</f>
        <v>29450801.280249942</v>
      </c>
      <c r="EH56" s="8">
        <f>+MINVU_Mes_Corriente!EH56*SALUD_Mes_Constante!$EC$1</f>
        <v>29616199.527551591</v>
      </c>
      <c r="EI56" s="8">
        <f>+MINVU_Mes_Corriente!EI56*SALUD_Mes_Constante!$EC$1</f>
        <v>26177806.361673918</v>
      </c>
      <c r="EJ56" s="8">
        <f>+MINVU_Mes_Corriente!EJ56*SALUD_Mes_Constante!$EC$1</f>
        <v>26177806.361673918</v>
      </c>
      <c r="EK56" s="8">
        <f>+MINVU_Mes_Corriente!EK56*SALUD_Mes_Constante!$EC$1</f>
        <v>26177806.361673918</v>
      </c>
      <c r="EL56" s="8">
        <f>+MINVU_Mes_Corriente!EL56*SALUD_Mes_Constante!$EC$1</f>
        <v>22603795.074228358</v>
      </c>
      <c r="EM56" s="8">
        <f>+MINVU_Mes_Corriente!EM56*SALUD_Mes_Constante!$EC$1</f>
        <v>21004612.253171742</v>
      </c>
      <c r="EN56" s="8">
        <f>+MINVU_Mes_Corriente!EN56*SALUD_Mes_Constante!$EC$1</f>
        <v>20102854.156599123</v>
      </c>
      <c r="EO56" s="9">
        <f t="shared" si="29"/>
        <v>20102854.156599123</v>
      </c>
      <c r="EP56" s="8">
        <f>+MINVU_Mes_Corriente!EP56*SALUD_Mes_Constante!$EP$1</f>
        <v>0</v>
      </c>
      <c r="EQ56" s="8">
        <f>+MINVU_Mes_Corriente!EQ56*SALUD_Mes_Constante!$EP$1</f>
        <v>14374234</v>
      </c>
      <c r="ER56" s="8">
        <f>+MINVU_Mes_Corriente!ER56*SALUD_Mes_Constante!$EP$1</f>
        <v>14374234</v>
      </c>
      <c r="ES56" s="8">
        <f>+MINVU_Mes_Corriente!ES56*SALUD_Mes_Constante!$EP$1</f>
        <v>14374234</v>
      </c>
      <c r="ET56" s="8">
        <f>+MINVU_Mes_Corriente!ET56*SALUD_Mes_Constante!$EP$1</f>
        <v>14374234</v>
      </c>
      <c r="EU56" s="8">
        <f>+MINVU_Mes_Corriente!EU56*SALUD_Mes_Constante!$EP$1</f>
        <v>14374234</v>
      </c>
      <c r="EV56" s="8">
        <f>+MINVU_Mes_Corriente!EV56*SALUD_Mes_Constante!$EP$1</f>
        <v>14374234</v>
      </c>
      <c r="EW56" s="8">
        <f>+MINVU_Mes_Corriente!EW56*SALUD_Mes_Constante!$EP$1</f>
        <v>14374234</v>
      </c>
      <c r="EX56" s="8">
        <f>+MINVU_Mes_Corriente!EX56*SALUD_Mes_Constante!$EP$1</f>
        <v>14374234</v>
      </c>
      <c r="EY56" s="8">
        <f>+MINVU_Mes_Corriente!EY56*SALUD_Mes_Constante!$EP$1</f>
        <v>15359094</v>
      </c>
      <c r="EZ56" s="8">
        <f>+MINVU_Mes_Corriente!EZ56*SALUD_Mes_Constante!$EP$1</f>
        <v>15359094</v>
      </c>
      <c r="FA56" s="8">
        <f>+MINVU_Mes_Corriente!FA56*SALUD_Mes_Constante!$EP$1</f>
        <v>10904200</v>
      </c>
      <c r="FB56" s="9">
        <f t="shared" si="30"/>
        <v>10904200</v>
      </c>
      <c r="FC56" s="8">
        <f>+MINVU_Mes_Corriente!FC56*SALUD_Mes_Constante!$FC$1</f>
        <v>19044871</v>
      </c>
      <c r="FD56" s="8">
        <f>+MINVU_Mes_Corriente!FD56*SALUD_Mes_Constante!$FC$1</f>
        <v>19044871</v>
      </c>
      <c r="FE56" s="8">
        <f>+MINVU_Mes_Corriente!FE56*SALUD_Mes_Constante!$FC$1</f>
        <v>19044871</v>
      </c>
      <c r="FF56" s="8">
        <f>+MINVU_Mes_Corriente!FF56*SALUD_Mes_Constante!$FC$1</f>
        <v>19044871</v>
      </c>
      <c r="FG56" s="8">
        <f>+MINVU_Mes_Corriente!FG56*SALUD_Mes_Constante!$FC$1</f>
        <v>19044871</v>
      </c>
      <c r="FH56" s="8">
        <f>+MINVU_Mes_Corriente!FH56*SALUD_Mes_Constante!$FC$1</f>
        <v>19044871</v>
      </c>
      <c r="FI56" s="8">
        <f>+MINVU_Mes_Corriente!FI56*SALUD_Mes_Constante!$FC$1</f>
        <v>19044871</v>
      </c>
      <c r="FJ56" s="8"/>
      <c r="FK56" s="8"/>
      <c r="FL56" s="8"/>
      <c r="FM56" s="8"/>
      <c r="FN56" s="8"/>
      <c r="FO56" s="9">
        <f t="shared" si="31"/>
        <v>19044871</v>
      </c>
    </row>
    <row r="57" spans="2:171" ht="14.25" customHeight="1" x14ac:dyDescent="0.3">
      <c r="B57" s="7" t="s">
        <v>56</v>
      </c>
      <c r="C57" s="8">
        <f>+MINVU_Mes_Corriente!C57*SALUD_Mes_Constante!$C$1</f>
        <v>0</v>
      </c>
      <c r="D57" s="8">
        <f>+MINVU_Mes_Corriente!D57*SALUD_Mes_Constante!$C$1</f>
        <v>7009955.0283256723</v>
      </c>
      <c r="E57" s="8">
        <f>+MINVU_Mes_Corriente!E57*SALUD_Mes_Constante!$C$1</f>
        <v>7009955.0283256723</v>
      </c>
      <c r="F57" s="8">
        <f>+MINVU_Mes_Corriente!F57*SALUD_Mes_Constante!$C$1</f>
        <v>7009955.0283256723</v>
      </c>
      <c r="G57" s="8">
        <f>+MINVU_Mes_Corriente!G57*SALUD_Mes_Constante!$C$1</f>
        <v>7009955.0283256723</v>
      </c>
      <c r="H57" s="8">
        <f>+MINVU_Mes_Corriente!H57*SALUD_Mes_Constante!$C$1</f>
        <v>7009955.0283256723</v>
      </c>
      <c r="I57" s="8">
        <f>+MINVU_Mes_Corriente!I57*SALUD_Mes_Constante!$C$1</f>
        <v>7009955.0283256723</v>
      </c>
      <c r="J57" s="8">
        <f>+MINVU_Mes_Corriente!J57*SALUD_Mes_Constante!$C$1</f>
        <v>7009955.0283256723</v>
      </c>
      <c r="K57" s="8">
        <f>+MINVU_Mes_Corriente!K57*SALUD_Mes_Constante!$C$1</f>
        <v>8519039.3059469089</v>
      </c>
      <c r="L57" s="8">
        <f>+MINVU_Mes_Corriente!L57*SALUD_Mes_Constante!$C$1</f>
        <v>8519039.3059469089</v>
      </c>
      <c r="M57" s="8">
        <f>+MINVU_Mes_Corriente!M57*SALUD_Mes_Constante!$C$1</f>
        <v>9756935.8238172941</v>
      </c>
      <c r="N57" s="8">
        <f>+MINVU_Mes_Corriente!N57*SALUD_Mes_Constante!$C$1</f>
        <v>9756935.8238172941</v>
      </c>
      <c r="O57" s="9">
        <f t="shared" si="19"/>
        <v>9756935.8238172941</v>
      </c>
      <c r="P57" s="8">
        <f>+MINVU_Mes_Corriente!P57*SALUD_Mes_Constante!$P$1</f>
        <v>0</v>
      </c>
      <c r="Q57" s="8">
        <f>+MINVU_Mes_Corriente!Q57*SALUD_Mes_Constante!$P$1</f>
        <v>8689781.9906236641</v>
      </c>
      <c r="R57" s="8">
        <f>+MINVU_Mes_Corriente!R57*SALUD_Mes_Constante!$P$1</f>
        <v>8689781.9906236641</v>
      </c>
      <c r="S57" s="8">
        <f>+MINVU_Mes_Corriente!S57*SALUD_Mes_Constante!$P$1</f>
        <v>8690374.9345077388</v>
      </c>
      <c r="T57" s="8">
        <f>+MINVU_Mes_Corriente!T57*SALUD_Mes_Constante!$P$1</f>
        <v>10671578.955249321</v>
      </c>
      <c r="U57" s="8">
        <f>+MINVU_Mes_Corriente!U57*SALUD_Mes_Constante!$P$1</f>
        <v>11277503.964199455</v>
      </c>
      <c r="V57" s="8">
        <f>+MINVU_Mes_Corriente!V57*SALUD_Mes_Constante!$P$1</f>
        <v>11277503.964199455</v>
      </c>
      <c r="W57" s="8">
        <f>+MINVU_Mes_Corriente!W57*SALUD_Mes_Constante!$P$1</f>
        <v>11964205.935786329</v>
      </c>
      <c r="X57" s="8">
        <f>+MINVU_Mes_Corriente!X57*SALUD_Mes_Constante!$P$1</f>
        <v>12019200.704929672</v>
      </c>
      <c r="Y57" s="8">
        <f>+MINVU_Mes_Corriente!Y57*SALUD_Mes_Constante!$P$1</f>
        <v>12217504.7333428</v>
      </c>
      <c r="Z57" s="8">
        <f>+MINVU_Mes_Corriente!Z57*SALUD_Mes_Constante!$P$1</f>
        <v>13493619.313254718</v>
      </c>
      <c r="AA57" s="8">
        <f>+MINVU_Mes_Corriente!AA57*SALUD_Mes_Constante!$P$1</f>
        <v>8218151.0103707882</v>
      </c>
      <c r="AB57" s="9">
        <f t="shared" si="20"/>
        <v>8218151.0103707882</v>
      </c>
      <c r="AC57" s="8">
        <f>+MINVU_Mes_Corriente!AC57*SALUD_Mes_Constante!$AC$1</f>
        <v>0</v>
      </c>
      <c r="AD57" s="8">
        <f>+MINVU_Mes_Corriente!AD57*SALUD_Mes_Constante!$AC$1</f>
        <v>11859502.6886153</v>
      </c>
      <c r="AE57" s="8">
        <f>+MINVU_Mes_Corriente!AE57*SALUD_Mes_Constante!$AC$1</f>
        <v>11859502.6886153</v>
      </c>
      <c r="AF57" s="8">
        <f>+MINVU_Mes_Corriente!AF57*SALUD_Mes_Constante!$AC$1</f>
        <v>11859502.6886153</v>
      </c>
      <c r="AG57" s="8">
        <f>+MINVU_Mes_Corriente!AG57*SALUD_Mes_Constante!$AC$1</f>
        <v>11859502.6886153</v>
      </c>
      <c r="AH57" s="8">
        <f>+MINVU_Mes_Corriente!AH57*SALUD_Mes_Constante!$AC$1</f>
        <v>11981999.638124222</v>
      </c>
      <c r="AI57" s="8">
        <f>+MINVU_Mes_Corriente!AI57*SALUD_Mes_Constante!$AC$1</f>
        <v>12237447.976483608</v>
      </c>
      <c r="AJ57" s="8">
        <f>+MINVU_Mes_Corriente!AJ57*SALUD_Mes_Constante!$AC$1</f>
        <v>12237447.976483608</v>
      </c>
      <c r="AK57" s="8">
        <f>+MINVU_Mes_Corriente!AK57*SALUD_Mes_Constante!$AC$1</f>
        <v>12237447.976483608</v>
      </c>
      <c r="AL57" s="8">
        <f>+MINVU_Mes_Corriente!AL57*SALUD_Mes_Constante!$AC$1</f>
        <v>12237447.976483608</v>
      </c>
      <c r="AM57" s="8">
        <f>+MINVU_Mes_Corriente!AM57*SALUD_Mes_Constante!$AC$1</f>
        <v>10419400.2686402</v>
      </c>
      <c r="AN57" s="8">
        <f>+MINVU_Mes_Corriente!AN57*SALUD_Mes_Constante!$AC$1</f>
        <v>4575764.6667588875</v>
      </c>
      <c r="AO57" s="9">
        <f t="shared" si="21"/>
        <v>4575764.6667588875</v>
      </c>
      <c r="AP57" s="8">
        <f>+MINVU_Mes_Corriente!AP57*SALUD_Mes_Constante!$AP$1</f>
        <v>0</v>
      </c>
      <c r="AQ57" s="8">
        <f>+MINVU_Mes_Corriente!AQ57*SALUD_Mes_Constante!$AP$1</f>
        <v>7357707.0255647227</v>
      </c>
      <c r="AR57" s="8">
        <f>+MINVU_Mes_Corriente!AR57*SALUD_Mes_Constante!$AP$1</f>
        <v>7357707.0255647227</v>
      </c>
      <c r="AS57" s="8">
        <f>+MINVU_Mes_Corriente!AS57*SALUD_Mes_Constante!$AP$1</f>
        <v>7357707.0255647227</v>
      </c>
      <c r="AT57" s="8">
        <f>+MINVU_Mes_Corriente!AT57*SALUD_Mes_Constante!$AP$1</f>
        <v>7384533.5847423235</v>
      </c>
      <c r="AU57" s="8">
        <f>+MINVU_Mes_Corriente!AU57*SALUD_Mes_Constante!$AP$1</f>
        <v>7384533.5847423235</v>
      </c>
      <c r="AV57" s="8">
        <f>+MINVU_Mes_Corriente!AV57*SALUD_Mes_Constante!$AP$1</f>
        <v>7384533.5847423235</v>
      </c>
      <c r="AW57" s="8">
        <f>+MINVU_Mes_Corriente!AW57*SALUD_Mes_Constante!$AP$1</f>
        <v>7384533.5847423235</v>
      </c>
      <c r="AX57" s="8">
        <f>+MINVU_Mes_Corriente!AX57*SALUD_Mes_Constante!$AP$1</f>
        <v>7384533.5847423235</v>
      </c>
      <c r="AY57" s="8">
        <f>+MINVU_Mes_Corriente!AY57*SALUD_Mes_Constante!$AP$1</f>
        <v>7405837.2895982685</v>
      </c>
      <c r="AZ57" s="8">
        <f>+MINVU_Mes_Corriente!AZ57*SALUD_Mes_Constante!$AP$1</f>
        <v>7405837.2895982685</v>
      </c>
      <c r="BA57" s="8">
        <f>+MINVU_Mes_Corriente!BA57*SALUD_Mes_Constante!$AP$1</f>
        <v>3499488.5843365341</v>
      </c>
      <c r="BB57" s="9">
        <f t="shared" si="22"/>
        <v>3499488.5843365341</v>
      </c>
      <c r="BC57" s="8">
        <f>+MINVU_Mes_Corriente!BC57*SALUD_Mes_Constante!$BC$1</f>
        <v>0</v>
      </c>
      <c r="BD57" s="8">
        <f>+MINVU_Mes_Corriente!BD57*SALUD_Mes_Constante!$BC$1</f>
        <v>0</v>
      </c>
      <c r="BE57" s="8">
        <f>+MINVU_Mes_Corriente!BE57*SALUD_Mes_Constante!$BC$1</f>
        <v>0</v>
      </c>
      <c r="BF57" s="8">
        <f>+MINVU_Mes_Corriente!BF57*SALUD_Mes_Constante!$BC$1</f>
        <v>17102103.407886066</v>
      </c>
      <c r="BG57" s="8">
        <f>+MINVU_Mes_Corriente!BG57*SALUD_Mes_Constante!$BC$1</f>
        <v>17102103.407886066</v>
      </c>
      <c r="BH57" s="8">
        <f>+MINVU_Mes_Corriente!BH57*SALUD_Mes_Constante!$BC$1</f>
        <v>17102103.407886066</v>
      </c>
      <c r="BI57" s="8">
        <f>+MINVU_Mes_Corriente!BI57*SALUD_Mes_Constante!$BC$1</f>
        <v>17102103.407886066</v>
      </c>
      <c r="BJ57" s="8">
        <f>+MINVU_Mes_Corriente!BJ57*SALUD_Mes_Constante!$BC$1</f>
        <v>12175730.951338524</v>
      </c>
      <c r="BK57" s="8">
        <f>+MINVU_Mes_Corriente!BK57*SALUD_Mes_Constante!$BC$1</f>
        <v>12175730.951338524</v>
      </c>
      <c r="BL57" s="8">
        <f>+MINVU_Mes_Corriente!BL57*SALUD_Mes_Constante!$BC$1</f>
        <v>12175730.951338524</v>
      </c>
      <c r="BM57" s="8">
        <f>+MINVU_Mes_Corriente!BM57*SALUD_Mes_Constante!$BC$1</f>
        <v>12175730.951338524</v>
      </c>
      <c r="BN57" s="8">
        <f>+MINVU_Mes_Corriente!BN57*SALUD_Mes_Constante!$BC$1</f>
        <v>6190379.3946986692</v>
      </c>
      <c r="BO57" s="9">
        <f t="shared" si="23"/>
        <v>6190379.3946986692</v>
      </c>
      <c r="BP57" s="8">
        <f>+MINVU_Mes_Corriente!BP57*SALUD_Mes_Constante!$BP$1</f>
        <v>0</v>
      </c>
      <c r="BQ57" s="8">
        <f>+MINVU_Mes_Corriente!BQ57*SALUD_Mes_Constante!$BP$1</f>
        <v>0</v>
      </c>
      <c r="BR57" s="8">
        <f>+MINVU_Mes_Corriente!BR57*SALUD_Mes_Constante!$BP$1</f>
        <v>36257176.952112682</v>
      </c>
      <c r="BS57" s="8">
        <f>+MINVU_Mes_Corriente!BS57*SALUD_Mes_Constante!$BP$1</f>
        <v>36257176.952112682</v>
      </c>
      <c r="BT57" s="8">
        <f>+MINVU_Mes_Corriente!BT57*SALUD_Mes_Constante!$BP$1</f>
        <v>36257176.952112682</v>
      </c>
      <c r="BU57" s="8">
        <f>+MINVU_Mes_Corriente!BU57*SALUD_Mes_Constante!$BP$1</f>
        <v>13108718.217157492</v>
      </c>
      <c r="BV57" s="8">
        <f>+MINVU_Mes_Corriente!BV57*SALUD_Mes_Constante!$BP$1</f>
        <v>13108718.217157492</v>
      </c>
      <c r="BW57" s="8">
        <f>+MINVU_Mes_Corriente!BW57*SALUD_Mes_Constante!$BP$1</f>
        <v>14265216.430985916</v>
      </c>
      <c r="BX57" s="8">
        <f>+MINVU_Mes_Corriente!BX57*SALUD_Mes_Constante!$BP$1</f>
        <v>11611174.916005123</v>
      </c>
      <c r="BY57" s="8">
        <f>+MINVU_Mes_Corriente!BY57*SALUD_Mes_Constante!$BP$1</f>
        <v>11611174.916005123</v>
      </c>
      <c r="BZ57" s="8">
        <f>+MINVU_Mes_Corriente!BZ57*SALUD_Mes_Constante!$BP$1</f>
        <v>11611174.916005123</v>
      </c>
      <c r="CA57" s="8">
        <f>+MINVU_Mes_Corriente!CA57*SALUD_Mes_Constante!$BP$1</f>
        <v>12317403.016901409</v>
      </c>
      <c r="CB57" s="9">
        <f t="shared" si="24"/>
        <v>12317403.016901409</v>
      </c>
      <c r="CC57" s="8">
        <f>+MINVU_Mes_Corriente!CC57*SALUD_Mes_Constante!$CC$1</f>
        <v>0</v>
      </c>
      <c r="CD57" s="8">
        <f>+MINVU_Mes_Corriente!CD57*SALUD_Mes_Constante!$CC$1</f>
        <v>31933983.820216339</v>
      </c>
      <c r="CE57" s="8">
        <f>+MINVU_Mes_Corriente!CE57*SALUD_Mes_Constante!$CC$1</f>
        <v>32885749.405445732</v>
      </c>
      <c r="CF57" s="8">
        <f>+MINVU_Mes_Corriente!CF57*SALUD_Mes_Constante!$CC$1</f>
        <v>32885749.405445732</v>
      </c>
      <c r="CG57" s="8">
        <f>+MINVU_Mes_Corriente!CG57*SALUD_Mes_Constante!$CC$1</f>
        <v>32885749.405445732</v>
      </c>
      <c r="CH57" s="8">
        <f>+MINVU_Mes_Corriente!CH57*SALUD_Mes_Constante!$CC$1</f>
        <v>32885749.405445732</v>
      </c>
      <c r="CI57" s="8">
        <f>+MINVU_Mes_Corriente!CI57*SALUD_Mes_Constante!$CC$1</f>
        <v>33075637.389779937</v>
      </c>
      <c r="CJ57" s="8">
        <f>+MINVU_Mes_Corriente!CJ57*SALUD_Mes_Constante!$CC$1</f>
        <v>19341745.047370385</v>
      </c>
      <c r="CK57" s="8">
        <f>+MINVU_Mes_Corriente!CK57*SALUD_Mes_Constante!$CC$1</f>
        <v>19341745.047370385</v>
      </c>
      <c r="CL57" s="8">
        <f>+MINVU_Mes_Corriente!CL57*SALUD_Mes_Constante!$CC$1</f>
        <v>19341745.047370385</v>
      </c>
      <c r="CM57" s="8">
        <f>+MINVU_Mes_Corriente!CM57*SALUD_Mes_Constante!$CC$1</f>
        <v>19341745.047370385</v>
      </c>
      <c r="CN57" s="8">
        <f>+MINVU_Mes_Corriente!CN57*SALUD_Mes_Constante!$CC$1</f>
        <v>24801983.321894817</v>
      </c>
      <c r="CO57" s="9">
        <f t="shared" si="25"/>
        <v>24801983.321894817</v>
      </c>
      <c r="CP57" s="8">
        <f>+MINVU_Mes_Corriente!CP57*SALUD_Mes_Constante!$CP$1</f>
        <v>0</v>
      </c>
      <c r="CQ57" s="8">
        <f>+MINVU_Mes_Corriente!CQ57*SALUD_Mes_Constante!$CP$1</f>
        <v>31193565.222737812</v>
      </c>
      <c r="CR57" s="8">
        <f>+MINVU_Mes_Corriente!CR57*SALUD_Mes_Constante!$CP$1</f>
        <v>31193565.222737812</v>
      </c>
      <c r="CS57" s="8">
        <f>+MINVU_Mes_Corriente!CS57*SALUD_Mes_Constante!$CP$1</f>
        <v>31193565.222737812</v>
      </c>
      <c r="CT57" s="8">
        <f>+MINVU_Mes_Corriente!CT57*SALUD_Mes_Constante!$CP$1</f>
        <v>31193565.222737812</v>
      </c>
      <c r="CU57" s="8">
        <f>+MINVU_Mes_Corriente!CU57*SALUD_Mes_Constante!$CP$1</f>
        <v>31193565.222737812</v>
      </c>
      <c r="CV57" s="8">
        <f>+MINVU_Mes_Corriente!CV57*SALUD_Mes_Constante!$CP$1</f>
        <v>31273625.424361944</v>
      </c>
      <c r="CW57" s="8">
        <f>+MINVU_Mes_Corriente!CW57*SALUD_Mes_Constante!$CP$1</f>
        <v>31273625.424361944</v>
      </c>
      <c r="CX57" s="8">
        <f>+MINVU_Mes_Corriente!CX57*SALUD_Mes_Constante!$CP$1</f>
        <v>31273625.424361944</v>
      </c>
      <c r="CY57" s="8">
        <f>+MINVU_Mes_Corriente!CY57*SALUD_Mes_Constante!$CP$1</f>
        <v>31603125.44547563</v>
      </c>
      <c r="CZ57" s="8">
        <f>+MINVU_Mes_Corriente!CZ57*SALUD_Mes_Constante!$CP$1</f>
        <v>30073449.954988394</v>
      </c>
      <c r="DA57" s="8">
        <f>+MINVU_Mes_Corriente!DA57*SALUD_Mes_Constante!$CP$1</f>
        <v>34765907.113921106</v>
      </c>
      <c r="DB57" s="9">
        <f t="shared" si="26"/>
        <v>34765907.113921106</v>
      </c>
      <c r="DC57" s="8">
        <f>+MINVU_Mes_Corriente!DC57*SALUD_Mes_Constante!$DC$1</f>
        <v>0</v>
      </c>
      <c r="DD57" s="8">
        <f>+MINVU_Mes_Corriente!DD57*SALUD_Mes_Constante!$DC$1</f>
        <v>38961469.723896734</v>
      </c>
      <c r="DE57" s="8">
        <f>+MINVU_Mes_Corriente!DE57*SALUD_Mes_Constante!$DC$1</f>
        <v>38961469.723896734</v>
      </c>
      <c r="DF57" s="8">
        <f>+MINVU_Mes_Corriente!DF57*SALUD_Mes_Constante!$DC$1</f>
        <v>38961469.723896734</v>
      </c>
      <c r="DG57" s="8">
        <f>+MINVU_Mes_Corriente!DG57*SALUD_Mes_Constante!$DC$1</f>
        <v>39661368.760415614</v>
      </c>
      <c r="DH57" s="8">
        <f>+MINVU_Mes_Corriente!DH57*SALUD_Mes_Constante!$DC$1</f>
        <v>39661368.760415614</v>
      </c>
      <c r="DI57" s="8">
        <f>+MINVU_Mes_Corriente!DI57*SALUD_Mes_Constante!$DC$1</f>
        <v>47360399.780886762</v>
      </c>
      <c r="DJ57" s="8">
        <f>+MINVU_Mes_Corriente!DJ57*SALUD_Mes_Constante!$DC$1</f>
        <v>47360399.780886762</v>
      </c>
      <c r="DK57" s="8">
        <f>+MINVU_Mes_Corriente!DK57*SALUD_Mes_Constante!$DC$1</f>
        <v>47659668.327126861</v>
      </c>
      <c r="DL57" s="8">
        <f>+MINVU_Mes_Corriente!DL57*SALUD_Mes_Constante!$DC$1</f>
        <v>47659668.327126861</v>
      </c>
      <c r="DM57" s="8">
        <f>+MINVU_Mes_Corriente!DM57*SALUD_Mes_Constante!$DC$1</f>
        <v>47598531.731714867</v>
      </c>
      <c r="DN57" s="8">
        <f>+MINVU_Mes_Corriente!DN57*SALUD_Mes_Constante!$DC$1</f>
        <v>45168811.201111019</v>
      </c>
      <c r="DO57" s="9">
        <f t="shared" si="27"/>
        <v>45168811.201111019</v>
      </c>
      <c r="DP57" s="8">
        <f>+MINVU_Mes_Corriente!DP57*SALUD_Mes_Constante!$DP$1</f>
        <v>0</v>
      </c>
      <c r="DQ57" s="8">
        <f>+MINVU_Mes_Corriente!DQ57*SALUD_Mes_Constante!$DP$1</f>
        <v>44433209.934085518</v>
      </c>
      <c r="DR57" s="8">
        <f>+MINVU_Mes_Corriente!DR57*SALUD_Mes_Constante!$DP$1</f>
        <v>47788154.804038011</v>
      </c>
      <c r="DS57" s="8">
        <f>+MINVU_Mes_Corriente!DS57*SALUD_Mes_Constante!$DP$1</f>
        <v>47788154.804038011</v>
      </c>
      <c r="DT57" s="8">
        <f>+MINVU_Mes_Corriente!DT57*SALUD_Mes_Constante!$DP$1</f>
        <v>47788154.804038011</v>
      </c>
      <c r="DU57" s="8">
        <f>+MINVU_Mes_Corriente!DU57*SALUD_Mes_Constante!$DP$1</f>
        <v>49247428.941805229</v>
      </c>
      <c r="DV57" s="8">
        <f>+MINVU_Mes_Corriente!DV57*SALUD_Mes_Constante!$DP$1</f>
        <v>77698199.834323049</v>
      </c>
      <c r="DW57" s="8">
        <f>+MINVU_Mes_Corriente!DW57*SALUD_Mes_Constante!$DP$1</f>
        <v>77698199.834323049</v>
      </c>
      <c r="DX57" s="8">
        <f>+MINVU_Mes_Corriente!DX57*SALUD_Mes_Constante!$DP$1</f>
        <v>77698199.834323049</v>
      </c>
      <c r="DY57" s="8">
        <f>+MINVU_Mes_Corriente!DY57*SALUD_Mes_Constante!$DP$1</f>
        <v>78032869.14014253</v>
      </c>
      <c r="DZ57" s="8">
        <f>+MINVU_Mes_Corriente!DZ57*SALUD_Mes_Constante!$DP$1</f>
        <v>78032869.14014253</v>
      </c>
      <c r="EA57" s="8">
        <f>+MINVU_Mes_Corriente!EA57*SALUD_Mes_Constante!$DP$1</f>
        <v>76598552.650831357</v>
      </c>
      <c r="EB57" s="9">
        <f t="shared" si="28"/>
        <v>76598552.650831357</v>
      </c>
      <c r="EC57" s="8">
        <f>+MINVU_Mes_Corriente!EC57*SALUD_Mes_Constante!$EC$1</f>
        <v>0</v>
      </c>
      <c r="ED57" s="8">
        <f>+MINVU_Mes_Corriente!ED57*SALUD_Mes_Constante!$EC$1</f>
        <v>59632021.487786382</v>
      </c>
      <c r="EE57" s="8">
        <f>+MINVU_Mes_Corriente!EE57*SALUD_Mes_Constante!$EC$1</f>
        <v>59770094.390456334</v>
      </c>
      <c r="EF57" s="8">
        <f>+MINVU_Mes_Corriente!EF57*SALUD_Mes_Constante!$EC$1</f>
        <v>60846467.801174</v>
      </c>
      <c r="EG57" s="8">
        <f>+MINVU_Mes_Corriente!EG57*SALUD_Mes_Constante!$EC$1</f>
        <v>60846467.801174</v>
      </c>
      <c r="EH57" s="8">
        <f>+MINVU_Mes_Corriente!EH57*SALUD_Mes_Constante!$EC$1</f>
        <v>61831082.259799264</v>
      </c>
      <c r="EI57" s="8">
        <f>+MINVU_Mes_Corriente!EI57*SALUD_Mes_Constante!$EC$1</f>
        <v>95282229.168149948</v>
      </c>
      <c r="EJ57" s="8">
        <f>+MINVU_Mes_Corriente!EJ57*SALUD_Mes_Constante!$EC$1</f>
        <v>95404988.912516534</v>
      </c>
      <c r="EK57" s="8">
        <f>+MINVU_Mes_Corriente!EK57*SALUD_Mes_Constante!$EC$1</f>
        <v>95404988.912516534</v>
      </c>
      <c r="EL57" s="8">
        <f>+MINVU_Mes_Corriente!EL57*SALUD_Mes_Constante!$EC$1</f>
        <v>94714623.364703625</v>
      </c>
      <c r="EM57" s="8">
        <f>+MINVU_Mes_Corriente!EM57*SALUD_Mes_Constante!$EC$1</f>
        <v>89787070.81158869</v>
      </c>
      <c r="EN57" s="8">
        <f>+MINVU_Mes_Corriente!EN57*SALUD_Mes_Constante!$EC$1</f>
        <v>87514355.227419019</v>
      </c>
      <c r="EO57" s="9">
        <f t="shared" si="29"/>
        <v>87514355.227419019</v>
      </c>
      <c r="EP57" s="8">
        <f>+MINVU_Mes_Corriente!EP57*SALUD_Mes_Constante!$EP$1</f>
        <v>0</v>
      </c>
      <c r="EQ57" s="8">
        <f>+MINVU_Mes_Corriente!EQ57*SALUD_Mes_Constante!$EP$1</f>
        <v>42351060</v>
      </c>
      <c r="ER57" s="8">
        <f>+MINVU_Mes_Corriente!ER57*SALUD_Mes_Constante!$EP$1</f>
        <v>42351060</v>
      </c>
      <c r="ES57" s="8">
        <f>+MINVU_Mes_Corriente!ES57*SALUD_Mes_Constante!$EP$1</f>
        <v>42351060</v>
      </c>
      <c r="ET57" s="8">
        <f>+MINVU_Mes_Corriente!ET57*SALUD_Mes_Constante!$EP$1</f>
        <v>44686487</v>
      </c>
      <c r="EU57" s="8">
        <f>+MINVU_Mes_Corriente!EU57*SALUD_Mes_Constante!$EP$1</f>
        <v>44686487</v>
      </c>
      <c r="EV57" s="8">
        <f>+MINVU_Mes_Corriente!EV57*SALUD_Mes_Constante!$EP$1</f>
        <v>44686487</v>
      </c>
      <c r="EW57" s="8">
        <f>+MINVU_Mes_Corriente!EW57*SALUD_Mes_Constante!$EP$1</f>
        <v>43553154</v>
      </c>
      <c r="EX57" s="8">
        <f>+MINVU_Mes_Corriente!EX57*SALUD_Mes_Constante!$EP$1</f>
        <v>43553154</v>
      </c>
      <c r="EY57" s="8">
        <f>+MINVU_Mes_Corriente!EY57*SALUD_Mes_Constante!$EP$1</f>
        <v>46457289</v>
      </c>
      <c r="EZ57" s="8">
        <f>+MINVU_Mes_Corriente!EZ57*SALUD_Mes_Constante!$EP$1</f>
        <v>46457289</v>
      </c>
      <c r="FA57" s="8">
        <f>+MINVU_Mes_Corriente!FA57*SALUD_Mes_Constante!$EP$1</f>
        <v>43219085</v>
      </c>
      <c r="FB57" s="9">
        <f t="shared" si="30"/>
        <v>43219085</v>
      </c>
      <c r="FC57" s="8">
        <f>+MINVU_Mes_Corriente!FC57*SALUD_Mes_Constante!$FC$1</f>
        <v>36636103</v>
      </c>
      <c r="FD57" s="8">
        <f>+MINVU_Mes_Corriente!FD57*SALUD_Mes_Constante!$FC$1</f>
        <v>36636103</v>
      </c>
      <c r="FE57" s="8">
        <f>+MINVU_Mes_Corriente!FE57*SALUD_Mes_Constante!$FC$1</f>
        <v>36636103</v>
      </c>
      <c r="FF57" s="8">
        <f>+MINVU_Mes_Corriente!FF57*SALUD_Mes_Constante!$FC$1</f>
        <v>36636103</v>
      </c>
      <c r="FG57" s="8">
        <f>+MINVU_Mes_Corriente!FG57*SALUD_Mes_Constante!$FC$1</f>
        <v>36636103</v>
      </c>
      <c r="FH57" s="8">
        <f>+MINVU_Mes_Corriente!FH57*SALUD_Mes_Constante!$FC$1</f>
        <v>54317730</v>
      </c>
      <c r="FI57" s="8">
        <f>+MINVU_Mes_Corriente!FI57*SALUD_Mes_Constante!$FC$1</f>
        <v>54317730</v>
      </c>
      <c r="FJ57" s="8"/>
      <c r="FK57" s="8"/>
      <c r="FL57" s="8"/>
      <c r="FM57" s="8"/>
      <c r="FN57" s="8"/>
      <c r="FO57" s="9">
        <f t="shared" si="31"/>
        <v>54317730</v>
      </c>
    </row>
    <row r="58" spans="2:171" ht="14.25" customHeight="1" x14ac:dyDescent="0.3">
      <c r="B58" s="7" t="s">
        <v>57</v>
      </c>
      <c r="C58" s="8">
        <f>+MINVU_Mes_Corriente!C58*SALUD_Mes_Constante!$C$1</f>
        <v>0</v>
      </c>
      <c r="D58" s="8">
        <f>+MINVU_Mes_Corriente!D58*SALUD_Mes_Constante!$C$1</f>
        <v>1468857.5423402048</v>
      </c>
      <c r="E58" s="8">
        <f>+MINVU_Mes_Corriente!E58*SALUD_Mes_Constante!$C$1</f>
        <v>12426885.321666915</v>
      </c>
      <c r="F58" s="8">
        <f>+MINVU_Mes_Corriente!F58*SALUD_Mes_Constante!$C$1</f>
        <v>12426885.321666915</v>
      </c>
      <c r="G58" s="8">
        <f>+MINVU_Mes_Corriente!G58*SALUD_Mes_Constante!$C$1</f>
        <v>12426885.321666915</v>
      </c>
      <c r="H58" s="8">
        <f>+MINVU_Mes_Corriente!H58*SALUD_Mes_Constante!$C$1</f>
        <v>12426885.321666915</v>
      </c>
      <c r="I58" s="8">
        <f>+MINVU_Mes_Corriente!I58*SALUD_Mes_Constante!$C$1</f>
        <v>12426885.321666915</v>
      </c>
      <c r="J58" s="8">
        <f>+MINVU_Mes_Corriente!J58*SALUD_Mes_Constante!$C$1</f>
        <v>12869387.511493403</v>
      </c>
      <c r="K58" s="8">
        <f>+MINVU_Mes_Corriente!K58*SALUD_Mes_Constante!$C$1</f>
        <v>12869387.511493403</v>
      </c>
      <c r="L58" s="8">
        <f>+MINVU_Mes_Corriente!L58*SALUD_Mes_Constante!$C$1</f>
        <v>12869387.511493403</v>
      </c>
      <c r="M58" s="8">
        <f>+MINVU_Mes_Corriente!M58*SALUD_Mes_Constante!$C$1</f>
        <v>14826658.156310249</v>
      </c>
      <c r="N58" s="8">
        <f>+MINVU_Mes_Corriente!N58*SALUD_Mes_Constante!$C$1</f>
        <v>14867490.901379211</v>
      </c>
      <c r="O58" s="9">
        <f t="shared" si="19"/>
        <v>14867490.901379211</v>
      </c>
      <c r="P58" s="8">
        <f>+MINVU_Mes_Corriente!P58*SALUD_Mes_Constante!$P$1</f>
        <v>0</v>
      </c>
      <c r="Q58" s="8">
        <f>+MINVU_Mes_Corriente!Q58*SALUD_Mes_Constante!$P$1</f>
        <v>4216257.8732774528</v>
      </c>
      <c r="R58" s="8">
        <f>+MINVU_Mes_Corriente!R58*SALUD_Mes_Constante!$P$1</f>
        <v>11713910.662878245</v>
      </c>
      <c r="S58" s="8">
        <f>+MINVU_Mes_Corriente!S58*SALUD_Mes_Constante!$P$1</f>
        <v>12989565.788890462</v>
      </c>
      <c r="T58" s="8">
        <f>+MINVU_Mes_Corriente!T58*SALUD_Mes_Constante!$P$1</f>
        <v>13241787.353317227</v>
      </c>
      <c r="U58" s="8">
        <f>+MINVU_Mes_Corriente!U58*SALUD_Mes_Constante!$P$1</f>
        <v>14737171.650234403</v>
      </c>
      <c r="V58" s="8">
        <f>+MINVU_Mes_Corriente!V58*SALUD_Mes_Constante!$P$1</f>
        <v>14737171.650234403</v>
      </c>
      <c r="W58" s="8">
        <f>+MINVU_Mes_Corriente!W58*SALUD_Mes_Constante!$P$1</f>
        <v>15093125.797982663</v>
      </c>
      <c r="X58" s="8">
        <f>+MINVU_Mes_Corriente!X58*SALUD_Mes_Constante!$P$1</f>
        <v>13069839.835772121</v>
      </c>
      <c r="Y58" s="8">
        <f>+MINVU_Mes_Corriente!Y58*SALUD_Mes_Constante!$P$1</f>
        <v>13069839.835772121</v>
      </c>
      <c r="Z58" s="8">
        <f>+MINVU_Mes_Corriente!Z58*SALUD_Mes_Constante!$P$1</f>
        <v>13395529.010086656</v>
      </c>
      <c r="AA58" s="8">
        <f>+MINVU_Mes_Corriente!AA58*SALUD_Mes_Constante!$P$1</f>
        <v>13202331.749680348</v>
      </c>
      <c r="AB58" s="9">
        <f t="shared" si="20"/>
        <v>13202331.749680348</v>
      </c>
      <c r="AC58" s="8">
        <f>+MINVU_Mes_Corriente!AC58*SALUD_Mes_Constante!$AC$1</f>
        <v>0</v>
      </c>
      <c r="AD58" s="8">
        <f>+MINVU_Mes_Corriente!AD58*SALUD_Mes_Constante!$AC$1</f>
        <v>2765925.4394798726</v>
      </c>
      <c r="AE58" s="8">
        <f>+MINVU_Mes_Corriente!AE58*SALUD_Mes_Constante!$AC$1</f>
        <v>18944400.810900539</v>
      </c>
      <c r="AF58" s="8">
        <f>+MINVU_Mes_Corriente!AF58*SALUD_Mes_Constante!$AC$1</f>
        <v>20087432.107345413</v>
      </c>
      <c r="AG58" s="8">
        <f>+MINVU_Mes_Corriente!AG58*SALUD_Mes_Constante!$AC$1</f>
        <v>20087432.107345413</v>
      </c>
      <c r="AH58" s="8">
        <f>+MINVU_Mes_Corriente!AH58*SALUD_Mes_Constante!$AC$1</f>
        <v>20087432.107345413</v>
      </c>
      <c r="AI58" s="8">
        <f>+MINVU_Mes_Corriente!AI58*SALUD_Mes_Constante!$AC$1</f>
        <v>20087432.107345413</v>
      </c>
      <c r="AJ58" s="8">
        <f>+MINVU_Mes_Corriente!AJ58*SALUD_Mes_Constante!$AC$1</f>
        <v>21049169.490385946</v>
      </c>
      <c r="AK58" s="8">
        <f>+MINVU_Mes_Corriente!AK58*SALUD_Mes_Constante!$AC$1</f>
        <v>21049169.490385946</v>
      </c>
      <c r="AL58" s="8">
        <f>+MINVU_Mes_Corriente!AL58*SALUD_Mes_Constante!$AC$1</f>
        <v>23886569.620694425</v>
      </c>
      <c r="AM58" s="8">
        <f>+MINVU_Mes_Corriente!AM58*SALUD_Mes_Constante!$AC$1</f>
        <v>23271857.051321067</v>
      </c>
      <c r="AN58" s="8">
        <f>+MINVU_Mes_Corriente!AN58*SALUD_Mes_Constante!$AC$1</f>
        <v>19029308.93484576</v>
      </c>
      <c r="AO58" s="9">
        <f t="shared" si="21"/>
        <v>19029308.93484576</v>
      </c>
      <c r="AP58" s="8">
        <f>+MINVU_Mes_Corriente!AP58*SALUD_Mes_Constante!$AP$1</f>
        <v>0</v>
      </c>
      <c r="AQ58" s="8">
        <f>+MINVU_Mes_Corriente!AQ58*SALUD_Mes_Constante!$AP$1</f>
        <v>7289496.7450290807</v>
      </c>
      <c r="AR58" s="8">
        <f>+MINVU_Mes_Corriente!AR58*SALUD_Mes_Constante!$AP$1</f>
        <v>7289496.7450290807</v>
      </c>
      <c r="AS58" s="8">
        <f>+MINVU_Mes_Corriente!AS58*SALUD_Mes_Constante!$AP$1</f>
        <v>7289496.7450290807</v>
      </c>
      <c r="AT58" s="8">
        <f>+MINVU_Mes_Corriente!AT58*SALUD_Mes_Constante!$AP$1</f>
        <v>7289496.7450290807</v>
      </c>
      <c r="AU58" s="8">
        <f>+MINVU_Mes_Corriente!AU58*SALUD_Mes_Constante!$AP$1</f>
        <v>10278380.673339644</v>
      </c>
      <c r="AV58" s="8">
        <f>+MINVU_Mes_Corriente!AV58*SALUD_Mes_Constante!$AP$1</f>
        <v>13696185.104287839</v>
      </c>
      <c r="AW58" s="8">
        <f>+MINVU_Mes_Corriente!AW58*SALUD_Mes_Constante!$AP$1</f>
        <v>13696185.104287839</v>
      </c>
      <c r="AX58" s="8">
        <f>+MINVU_Mes_Corriente!AX58*SALUD_Mes_Constante!$AP$1</f>
        <v>13571061.492222372</v>
      </c>
      <c r="AY58" s="8">
        <f>+MINVU_Mes_Corriente!AY58*SALUD_Mes_Constante!$AP$1</f>
        <v>13571061.492222372</v>
      </c>
      <c r="AZ58" s="8">
        <f>+MINVU_Mes_Corriente!AZ58*SALUD_Mes_Constante!$AP$1</f>
        <v>16379042.014337886</v>
      </c>
      <c r="BA58" s="8">
        <f>+MINVU_Mes_Corriente!BA58*SALUD_Mes_Constante!$AP$1</f>
        <v>16490809.984309481</v>
      </c>
      <c r="BB58" s="9">
        <f t="shared" si="22"/>
        <v>16490809.984309481</v>
      </c>
      <c r="BC58" s="8">
        <f>+MINVU_Mes_Corriente!BC58*SALUD_Mes_Constante!$BC$1</f>
        <v>0</v>
      </c>
      <c r="BD58" s="8">
        <f>+MINVU_Mes_Corriente!BD58*SALUD_Mes_Constante!$BC$1</f>
        <v>0</v>
      </c>
      <c r="BE58" s="8">
        <f>+MINVU_Mes_Corriente!BE58*SALUD_Mes_Constante!$BC$1</f>
        <v>2211711.7235922464</v>
      </c>
      <c r="BF58" s="8">
        <f>+MINVU_Mes_Corriente!BF58*SALUD_Mes_Constante!$BC$1</f>
        <v>2958765.9870763556</v>
      </c>
      <c r="BG58" s="8">
        <f>+MINVU_Mes_Corriente!BG58*SALUD_Mes_Constante!$BC$1</f>
        <v>3140528.3468284328</v>
      </c>
      <c r="BH58" s="8">
        <f>+MINVU_Mes_Corriente!BH58*SALUD_Mes_Constante!$BC$1</f>
        <v>13270791.930898065</v>
      </c>
      <c r="BI58" s="8">
        <f>+MINVU_Mes_Corriente!BI58*SALUD_Mes_Constante!$BC$1</f>
        <v>13270791.930898065</v>
      </c>
      <c r="BJ58" s="8">
        <f>+MINVU_Mes_Corriente!BJ58*SALUD_Mes_Constante!$BC$1</f>
        <v>13887747.115125943</v>
      </c>
      <c r="BK58" s="8">
        <f>+MINVU_Mes_Corriente!BK58*SALUD_Mes_Constante!$BC$1</f>
        <v>10389291.768693132</v>
      </c>
      <c r="BL58" s="8">
        <f>+MINVU_Mes_Corriente!BL58*SALUD_Mes_Constante!$BC$1</f>
        <v>10389291.768693132</v>
      </c>
      <c r="BM58" s="8">
        <f>+MINVU_Mes_Corriente!BM58*SALUD_Mes_Constante!$BC$1</f>
        <v>10389291.768693132</v>
      </c>
      <c r="BN58" s="8">
        <f>+MINVU_Mes_Corriente!BN58*SALUD_Mes_Constante!$BC$1</f>
        <v>3707480.1149940668</v>
      </c>
      <c r="BO58" s="9">
        <f t="shared" si="23"/>
        <v>3707480.1149940668</v>
      </c>
      <c r="BP58" s="8">
        <f>+MINVU_Mes_Corriente!BP58*SALUD_Mes_Constante!$BP$1</f>
        <v>0</v>
      </c>
      <c r="BQ58" s="8">
        <f>+MINVU_Mes_Corriente!BQ58*SALUD_Mes_Constante!$BP$1</f>
        <v>0</v>
      </c>
      <c r="BR58" s="8">
        <f>+MINVU_Mes_Corriente!BR58*SALUD_Mes_Constante!$BP$1</f>
        <v>7589876.704225353</v>
      </c>
      <c r="BS58" s="8">
        <f>+MINVU_Mes_Corriente!BS58*SALUD_Mes_Constante!$BP$1</f>
        <v>7589876.704225353</v>
      </c>
      <c r="BT58" s="8">
        <f>+MINVU_Mes_Corriente!BT58*SALUD_Mes_Constante!$BP$1</f>
        <v>7589876.704225353</v>
      </c>
      <c r="BU58" s="8">
        <f>+MINVU_Mes_Corriente!BU58*SALUD_Mes_Constante!$BP$1</f>
        <v>7589876.704225353</v>
      </c>
      <c r="BV58" s="8">
        <f>+MINVU_Mes_Corriente!BV58*SALUD_Mes_Constante!$BP$1</f>
        <v>7589876.704225353</v>
      </c>
      <c r="BW58" s="8">
        <f>+MINVU_Mes_Corriente!BW58*SALUD_Mes_Constante!$BP$1</f>
        <v>4295715.683738797</v>
      </c>
      <c r="BX58" s="8">
        <f>+MINVU_Mes_Corriente!BX58*SALUD_Mes_Constante!$BP$1</f>
        <v>4295715.683738797</v>
      </c>
      <c r="BY58" s="8">
        <f>+MINVU_Mes_Corriente!BY58*SALUD_Mes_Constante!$BP$1</f>
        <v>4295715.683738797</v>
      </c>
      <c r="BZ58" s="8">
        <f>+MINVU_Mes_Corriente!BZ58*SALUD_Mes_Constante!$BP$1</f>
        <v>4295715.683738797</v>
      </c>
      <c r="CA58" s="8">
        <f>+MINVU_Mes_Corriente!CA58*SALUD_Mes_Constante!$BP$1</f>
        <v>4295715.683738797</v>
      </c>
      <c r="CB58" s="9">
        <f t="shared" si="24"/>
        <v>4295715.683738797</v>
      </c>
      <c r="CC58" s="8">
        <f>+MINVU_Mes_Corriente!CC58*SALUD_Mes_Constante!$CC$1</f>
        <v>0</v>
      </c>
      <c r="CD58" s="8">
        <f>+MINVU_Mes_Corriente!CD58*SALUD_Mes_Constante!$CC$1</f>
        <v>7148898.2372249169</v>
      </c>
      <c r="CE58" s="8">
        <f>+MINVU_Mes_Corriente!CE58*SALUD_Mes_Constante!$CC$1</f>
        <v>9008577.3368146215</v>
      </c>
      <c r="CF58" s="8">
        <f>+MINVU_Mes_Corriente!CF58*SALUD_Mes_Constante!$CC$1</f>
        <v>9008577.3368146215</v>
      </c>
      <c r="CG58" s="8">
        <f>+MINVU_Mes_Corriente!CG58*SALUD_Mes_Constante!$CC$1</f>
        <v>9008577.3368146215</v>
      </c>
      <c r="CH58" s="8">
        <f>+MINVU_Mes_Corriente!CH58*SALUD_Mes_Constante!$CC$1</f>
        <v>9396456.4498321526</v>
      </c>
      <c r="CI58" s="8">
        <f>+MINVU_Mes_Corriente!CI58*SALUD_Mes_Constante!$CC$1</f>
        <v>9396456.4498321526</v>
      </c>
      <c r="CJ58" s="8">
        <f>+MINVU_Mes_Corriente!CJ58*SALUD_Mes_Constante!$CC$1</f>
        <v>10243726.113390528</v>
      </c>
      <c r="CK58" s="8">
        <f>+MINVU_Mes_Corriente!CK58*SALUD_Mes_Constante!$CC$1</f>
        <v>10243726.113390528</v>
      </c>
      <c r="CL58" s="8">
        <f>+MINVU_Mes_Corriente!CL58*SALUD_Mes_Constante!$CC$1</f>
        <v>10243726.113390528</v>
      </c>
      <c r="CM58" s="8">
        <f>+MINVU_Mes_Corriente!CM58*SALUD_Mes_Constante!$CC$1</f>
        <v>10243726.113390528</v>
      </c>
      <c r="CN58" s="8">
        <f>+MINVU_Mes_Corriente!CN58*SALUD_Mes_Constante!$CC$1</f>
        <v>9102778.9369638208</v>
      </c>
      <c r="CO58" s="9">
        <f t="shared" si="25"/>
        <v>9102778.9369638208</v>
      </c>
      <c r="CP58" s="8">
        <f>+MINVU_Mes_Corriente!CP58*SALUD_Mes_Constante!$CP$1</f>
        <v>0</v>
      </c>
      <c r="CQ58" s="8">
        <f>+MINVU_Mes_Corriente!CQ58*SALUD_Mes_Constante!$CP$1</f>
        <v>13339360.737354986</v>
      </c>
      <c r="CR58" s="8">
        <f>+MINVU_Mes_Corriente!CR58*SALUD_Mes_Constante!$CP$1</f>
        <v>13339360.737354986</v>
      </c>
      <c r="CS58" s="8">
        <f>+MINVU_Mes_Corriente!CS58*SALUD_Mes_Constante!$CP$1</f>
        <v>13357164.286774939</v>
      </c>
      <c r="CT58" s="8">
        <f>+MINVU_Mes_Corriente!CT58*SALUD_Mes_Constante!$CP$1</f>
        <v>13357164.286774939</v>
      </c>
      <c r="CU58" s="8">
        <f>+MINVU_Mes_Corriente!CU58*SALUD_Mes_Constante!$CP$1</f>
        <v>13357164.286774939</v>
      </c>
      <c r="CV58" s="8">
        <f>+MINVU_Mes_Corriente!CV58*SALUD_Mes_Constante!$CP$1</f>
        <v>13357164.286774939</v>
      </c>
      <c r="CW58" s="8">
        <f>+MINVU_Mes_Corriente!CW58*SALUD_Mes_Constante!$CP$1</f>
        <v>13357164.286774939</v>
      </c>
      <c r="CX58" s="8">
        <f>+MINVU_Mes_Corriente!CX58*SALUD_Mes_Constante!$CP$1</f>
        <v>13357164.286774939</v>
      </c>
      <c r="CY58" s="8">
        <f>+MINVU_Mes_Corriente!CY58*SALUD_Mes_Constante!$CP$1</f>
        <v>13362111.407192573</v>
      </c>
      <c r="CZ58" s="8">
        <f>+MINVU_Mes_Corriente!CZ58*SALUD_Mes_Constante!$CP$1</f>
        <v>7118456.3122969819</v>
      </c>
      <c r="DA58" s="8">
        <f>+MINVU_Mes_Corriente!DA58*SALUD_Mes_Constante!$CP$1</f>
        <v>8401882.324593965</v>
      </c>
      <c r="DB58" s="9">
        <f t="shared" si="26"/>
        <v>8401882.324593965</v>
      </c>
      <c r="DC58" s="8">
        <f>+MINVU_Mes_Corriente!DC58*SALUD_Mes_Constante!$DC$1</f>
        <v>0</v>
      </c>
      <c r="DD58" s="8">
        <f>+MINVU_Mes_Corriente!DD58*SALUD_Mes_Constante!$DC$1</f>
        <v>7286576.4873984195</v>
      </c>
      <c r="DE58" s="8">
        <f>+MINVU_Mes_Corriente!DE58*SALUD_Mes_Constante!$DC$1</f>
        <v>7286576.4873984195</v>
      </c>
      <c r="DF58" s="8">
        <f>+MINVU_Mes_Corriente!DF58*SALUD_Mes_Constante!$DC$1</f>
        <v>7286576.4873984195</v>
      </c>
      <c r="DG58" s="8">
        <f>+MINVU_Mes_Corriente!DG58*SALUD_Mes_Constante!$DC$1</f>
        <v>7286576.4873984195</v>
      </c>
      <c r="DH58" s="8">
        <f>+MINVU_Mes_Corriente!DH58*SALUD_Mes_Constante!$DC$1</f>
        <v>7286576.4873984195</v>
      </c>
      <c r="DI58" s="8">
        <f>+MINVU_Mes_Corriente!DI58*SALUD_Mes_Constante!$DC$1</f>
        <v>2368142.2195247412</v>
      </c>
      <c r="DJ58" s="8">
        <f>+MINVU_Mes_Corriente!DJ58*SALUD_Mes_Constante!$DC$1</f>
        <v>2368142.2195247412</v>
      </c>
      <c r="DK58" s="8">
        <f>+MINVU_Mes_Corriente!DK58*SALUD_Mes_Constante!$DC$1</f>
        <v>2539804.3921407275</v>
      </c>
      <c r="DL58" s="8">
        <f>+MINVU_Mes_Corriente!DL58*SALUD_Mes_Constante!$DC$1</f>
        <v>2539804.3921407275</v>
      </c>
      <c r="DM58" s="8">
        <f>+MINVU_Mes_Corriente!DM58*SALUD_Mes_Constante!$DC$1</f>
        <v>645853.49490793154</v>
      </c>
      <c r="DN58" s="8">
        <f>+MINVU_Mes_Corriente!DN58*SALUD_Mes_Constante!$DC$1</f>
        <v>645853.49490793154</v>
      </c>
      <c r="DO58" s="9">
        <f t="shared" si="27"/>
        <v>645853.49490793154</v>
      </c>
      <c r="DP58" s="8">
        <f>+MINVU_Mes_Corriente!DP58*SALUD_Mes_Constante!$DP$1</f>
        <v>0</v>
      </c>
      <c r="DQ58" s="8">
        <f>+MINVU_Mes_Corriente!DQ58*SALUD_Mes_Constante!$DP$1</f>
        <v>4329618.8996437062</v>
      </c>
      <c r="DR58" s="8">
        <f>+MINVU_Mes_Corriente!DR58*SALUD_Mes_Constante!$DP$1</f>
        <v>4329618.8996437062</v>
      </c>
      <c r="DS58" s="8">
        <f>+MINVU_Mes_Corriente!DS58*SALUD_Mes_Constante!$DP$1</f>
        <v>4429806.3402612833</v>
      </c>
      <c r="DT58" s="8">
        <f>+MINVU_Mes_Corriente!DT58*SALUD_Mes_Constante!$DP$1</f>
        <v>4988481.354513065</v>
      </c>
      <c r="DU58" s="8">
        <f>+MINVU_Mes_Corriente!DU58*SALUD_Mes_Constante!$DP$1</f>
        <v>5840725.5748218531</v>
      </c>
      <c r="DV58" s="8">
        <f>+MINVU_Mes_Corriente!DV58*SALUD_Mes_Constante!$DP$1</f>
        <v>6321970.2416864615</v>
      </c>
      <c r="DW58" s="8">
        <f>+MINVU_Mes_Corriente!DW58*SALUD_Mes_Constante!$DP$1</f>
        <v>6321970.2416864615</v>
      </c>
      <c r="DX58" s="8">
        <f>+MINVU_Mes_Corriente!DX58*SALUD_Mes_Constante!$DP$1</f>
        <v>6321970.2416864615</v>
      </c>
      <c r="DY58" s="8">
        <f>+MINVU_Mes_Corriente!DY58*SALUD_Mes_Constante!$DP$1</f>
        <v>6436378.5676959623</v>
      </c>
      <c r="DZ58" s="8">
        <f>+MINVU_Mes_Corriente!DZ58*SALUD_Mes_Constante!$DP$1</f>
        <v>5658650.445961996</v>
      </c>
      <c r="EA58" s="8">
        <f>+MINVU_Mes_Corriente!EA58*SALUD_Mes_Constante!$DP$1</f>
        <v>5027739.908551069</v>
      </c>
      <c r="EB58" s="9">
        <f t="shared" si="28"/>
        <v>5027739.908551069</v>
      </c>
      <c r="EC58" s="8">
        <f>+MINVU_Mes_Corriente!EC58*SALUD_Mes_Constante!$EC$1</f>
        <v>0</v>
      </c>
      <c r="ED58" s="8">
        <f>+MINVU_Mes_Corriente!ED58*SALUD_Mes_Constante!$EC$1</f>
        <v>9927716.145048283</v>
      </c>
      <c r="EE58" s="8">
        <f>+MINVU_Mes_Corriente!EE58*SALUD_Mes_Constante!$EC$1</f>
        <v>11445517.748532472</v>
      </c>
      <c r="EF58" s="8">
        <f>+MINVU_Mes_Corriente!EF58*SALUD_Mes_Constante!$EC$1</f>
        <v>12094141.672978599</v>
      </c>
      <c r="EG58" s="8">
        <f>+MINVU_Mes_Corriente!EG58*SALUD_Mes_Constante!$EC$1</f>
        <v>12145864.831471309</v>
      </c>
      <c r="EH58" s="8">
        <f>+MINVU_Mes_Corriente!EH58*SALUD_Mes_Constante!$EC$1</f>
        <v>4235072.562582843</v>
      </c>
      <c r="EI58" s="8">
        <f>+MINVU_Mes_Corriente!EI58*SALUD_Mes_Constante!$EC$1</f>
        <v>4372118.2433251264</v>
      </c>
      <c r="EJ58" s="8">
        <f>+MINVU_Mes_Corriente!EJ58*SALUD_Mes_Constante!$EC$1</f>
        <v>4372118.2433251264</v>
      </c>
      <c r="EK58" s="8">
        <f>+MINVU_Mes_Corriente!EK58*SALUD_Mes_Constante!$EC$1</f>
        <v>4926168.4413936734</v>
      </c>
      <c r="EL58" s="8">
        <f>+MINVU_Mes_Corriente!EL58*SALUD_Mes_Constante!$EC$1</f>
        <v>4555898.9011550825</v>
      </c>
      <c r="EM58" s="8">
        <f>+MINVU_Mes_Corriente!EM58*SALUD_Mes_Constante!$EC$1</f>
        <v>4352728.2656693794</v>
      </c>
      <c r="EN58" s="8">
        <f>+MINVU_Mes_Corriente!EN58*SALUD_Mes_Constante!$EC$1</f>
        <v>4352728.2656693794</v>
      </c>
      <c r="EO58" s="9">
        <f t="shared" si="29"/>
        <v>4352728.2656693794</v>
      </c>
      <c r="EP58" s="8">
        <f>+MINVU_Mes_Corriente!EP58*SALUD_Mes_Constante!$EP$1</f>
        <v>0</v>
      </c>
      <c r="EQ58" s="8">
        <f>+MINVU_Mes_Corriente!EQ58*SALUD_Mes_Constante!$EP$1</f>
        <v>8928411</v>
      </c>
      <c r="ER58" s="8">
        <f>+MINVU_Mes_Corriente!ER58*SALUD_Mes_Constante!$EP$1</f>
        <v>8928411</v>
      </c>
      <c r="ES58" s="8">
        <f>+MINVU_Mes_Corriente!ES58*SALUD_Mes_Constante!$EP$1</f>
        <v>8928411</v>
      </c>
      <c r="ET58" s="8">
        <f>+MINVU_Mes_Corriente!ET58*SALUD_Mes_Constante!$EP$1</f>
        <v>8928411</v>
      </c>
      <c r="EU58" s="8">
        <f>+MINVU_Mes_Corriente!EU58*SALUD_Mes_Constante!$EP$1</f>
        <v>8928411</v>
      </c>
      <c r="EV58" s="8">
        <f>+MINVU_Mes_Corriente!EV58*SALUD_Mes_Constante!$EP$1</f>
        <v>9044839</v>
      </c>
      <c r="EW58" s="8">
        <f>+MINVU_Mes_Corriente!EW58*SALUD_Mes_Constante!$EP$1</f>
        <v>9044839</v>
      </c>
      <c r="EX58" s="8">
        <f>+MINVU_Mes_Corriente!EX58*SALUD_Mes_Constante!$EP$1</f>
        <v>9044839</v>
      </c>
      <c r="EY58" s="8">
        <f>+MINVU_Mes_Corriente!EY58*SALUD_Mes_Constante!$EP$1</f>
        <v>12794598</v>
      </c>
      <c r="EZ58" s="8">
        <f>+MINVU_Mes_Corriente!EZ58*SALUD_Mes_Constante!$EP$1</f>
        <v>12794598</v>
      </c>
      <c r="FA58" s="8">
        <f>+MINVU_Mes_Corriente!FA58*SALUD_Mes_Constante!$EP$1</f>
        <v>11331576</v>
      </c>
      <c r="FB58" s="9">
        <f t="shared" si="30"/>
        <v>11331576</v>
      </c>
      <c r="FC58" s="8">
        <f>+MINVU_Mes_Corriente!FC58*SALUD_Mes_Constante!$FC$1</f>
        <v>5112502</v>
      </c>
      <c r="FD58" s="8">
        <f>+MINVU_Mes_Corriente!FD58*SALUD_Mes_Constante!$FC$1</f>
        <v>5112502</v>
      </c>
      <c r="FE58" s="8">
        <f>+MINVU_Mes_Corriente!FE58*SALUD_Mes_Constante!$FC$1</f>
        <v>5112502</v>
      </c>
      <c r="FF58" s="8">
        <f>+MINVU_Mes_Corriente!FF58*SALUD_Mes_Constante!$FC$1</f>
        <v>5112502</v>
      </c>
      <c r="FG58" s="8">
        <f>+MINVU_Mes_Corriente!FG58*SALUD_Mes_Constante!$FC$1</f>
        <v>5112502</v>
      </c>
      <c r="FH58" s="8">
        <f>+MINVU_Mes_Corriente!FH58*SALUD_Mes_Constante!$FC$1</f>
        <v>11021658</v>
      </c>
      <c r="FI58" s="8">
        <f>+MINVU_Mes_Corriente!FI58*SALUD_Mes_Constante!$FC$1</f>
        <v>11021658</v>
      </c>
      <c r="FJ58" s="8"/>
      <c r="FK58" s="8"/>
      <c r="FL58" s="8"/>
      <c r="FM58" s="8"/>
      <c r="FN58" s="8"/>
      <c r="FO58" s="9">
        <f t="shared" si="31"/>
        <v>11021658</v>
      </c>
    </row>
    <row r="59" spans="2:171" ht="14.25" customHeight="1" x14ac:dyDescent="0.3">
      <c r="B59" s="7" t="s">
        <v>58</v>
      </c>
      <c r="C59" s="8">
        <f>+MINVU_Mes_Corriente!C59*SALUD_Mes_Constante!$C$1</f>
        <v>0</v>
      </c>
      <c r="D59" s="8">
        <f>+MINVU_Mes_Corriente!D59*SALUD_Mes_Constante!$C$1</f>
        <v>12359900.175589502</v>
      </c>
      <c r="E59" s="8">
        <f>+MINVU_Mes_Corriente!E59*SALUD_Mes_Constante!$C$1</f>
        <v>12359900.175589502</v>
      </c>
      <c r="F59" s="8">
        <f>+MINVU_Mes_Corriente!F59*SALUD_Mes_Constante!$C$1</f>
        <v>12359900.175589502</v>
      </c>
      <c r="G59" s="8">
        <f>+MINVU_Mes_Corriente!G59*SALUD_Mes_Constante!$C$1</f>
        <v>12359900.175589502</v>
      </c>
      <c r="H59" s="8">
        <f>+MINVU_Mes_Corriente!H59*SALUD_Mes_Constante!$C$1</f>
        <v>12359900.175589502</v>
      </c>
      <c r="I59" s="8">
        <f>+MINVU_Mes_Corriente!I59*SALUD_Mes_Constante!$C$1</f>
        <v>12359900.175589502</v>
      </c>
      <c r="J59" s="8">
        <f>+MINVU_Mes_Corriente!J59*SALUD_Mes_Constante!$C$1</f>
        <v>12359900.175589502</v>
      </c>
      <c r="K59" s="8">
        <f>+MINVU_Mes_Corriente!K59*SALUD_Mes_Constante!$C$1</f>
        <v>17220941.255227648</v>
      </c>
      <c r="L59" s="8">
        <f>+MINVU_Mes_Corriente!L59*SALUD_Mes_Constante!$C$1</f>
        <v>17220941.255227648</v>
      </c>
      <c r="M59" s="8">
        <f>+MINVU_Mes_Corriente!M59*SALUD_Mes_Constante!$C$1</f>
        <v>18475379.895892039</v>
      </c>
      <c r="N59" s="8">
        <f>+MINVU_Mes_Corriente!N59*SALUD_Mes_Constante!$C$1</f>
        <v>20839446.763458405</v>
      </c>
      <c r="O59" s="9">
        <f t="shared" si="19"/>
        <v>20839446.763458405</v>
      </c>
      <c r="P59" s="8">
        <f>+MINVU_Mes_Corriente!P59*SALUD_Mes_Constante!$P$1</f>
        <v>0</v>
      </c>
      <c r="Q59" s="8">
        <f>+MINVU_Mes_Corriente!Q59*SALUD_Mes_Constante!$P$1</f>
        <v>0</v>
      </c>
      <c r="R59" s="8">
        <f>+MINVU_Mes_Corriente!R59*SALUD_Mes_Constante!$P$1</f>
        <v>21401555.122034371</v>
      </c>
      <c r="S59" s="8">
        <f>+MINVU_Mes_Corriente!S59*SALUD_Mes_Constante!$P$1</f>
        <v>21577625.307003826</v>
      </c>
      <c r="T59" s="8">
        <f>+MINVU_Mes_Corriente!T59*SALUD_Mes_Constante!$P$1</f>
        <v>23993190.21480323</v>
      </c>
      <c r="U59" s="8">
        <f>+MINVU_Mes_Corriente!U59*SALUD_Mes_Constante!$P$1</f>
        <v>26016116.064497788</v>
      </c>
      <c r="V59" s="8">
        <f>+MINVU_Mes_Corriente!V59*SALUD_Mes_Constante!$P$1</f>
        <v>43239974.844438113</v>
      </c>
      <c r="W59" s="8">
        <f>+MINVU_Mes_Corriente!W59*SALUD_Mes_Constante!$P$1</f>
        <v>43294488.428754069</v>
      </c>
      <c r="X59" s="8">
        <f>+MINVU_Mes_Corriente!X59*SALUD_Mes_Constante!$P$1</f>
        <v>43294488.428754069</v>
      </c>
      <c r="Y59" s="8">
        <f>+MINVU_Mes_Corriente!Y59*SALUD_Mes_Constante!$P$1</f>
        <v>43294488.428754069</v>
      </c>
      <c r="Z59" s="8">
        <f>+MINVU_Mes_Corriente!Z59*SALUD_Mes_Constante!$P$1</f>
        <v>43294488.428754069</v>
      </c>
      <c r="AA59" s="8">
        <f>+MINVU_Mes_Corriente!AA59*SALUD_Mes_Constante!$P$1</f>
        <v>34842615.082255989</v>
      </c>
      <c r="AB59" s="9">
        <f t="shared" si="20"/>
        <v>34842615.082255989</v>
      </c>
      <c r="AC59" s="8">
        <f>+MINVU_Mes_Corriente!AC59*SALUD_Mes_Constante!$AC$1</f>
        <v>0</v>
      </c>
      <c r="AD59" s="8">
        <f>+MINVU_Mes_Corriente!AD59*SALUD_Mes_Constante!$AC$1</f>
        <v>19395170.480841056</v>
      </c>
      <c r="AE59" s="8">
        <f>+MINVU_Mes_Corriente!AE59*SALUD_Mes_Constante!$AC$1</f>
        <v>19395170.480841056</v>
      </c>
      <c r="AF59" s="8">
        <f>+MINVU_Mes_Corriente!AF59*SALUD_Mes_Constante!$AC$1</f>
        <v>19395170.480841056</v>
      </c>
      <c r="AG59" s="8">
        <f>+MINVU_Mes_Corriente!AG59*SALUD_Mes_Constante!$AC$1</f>
        <v>21281045.841471851</v>
      </c>
      <c r="AH59" s="8">
        <f>+MINVU_Mes_Corriente!AH59*SALUD_Mes_Constante!$AC$1</f>
        <v>21281045.841471851</v>
      </c>
      <c r="AI59" s="8">
        <f>+MINVU_Mes_Corriente!AI59*SALUD_Mes_Constante!$AC$1</f>
        <v>21960830.758887812</v>
      </c>
      <c r="AJ59" s="8">
        <f>+MINVU_Mes_Corriente!AJ59*SALUD_Mes_Constante!$AC$1</f>
        <v>21960830.758887812</v>
      </c>
      <c r="AK59" s="8">
        <f>+MINVU_Mes_Corriente!AK59*SALUD_Mes_Constante!$AC$1</f>
        <v>21960830.758887812</v>
      </c>
      <c r="AL59" s="8">
        <f>+MINVU_Mes_Corriente!AL59*SALUD_Mes_Constante!$AC$1</f>
        <v>24338642.128095172</v>
      </c>
      <c r="AM59" s="8">
        <f>+MINVU_Mes_Corriente!AM59*SALUD_Mes_Constante!$AC$1</f>
        <v>29760356.38788214</v>
      </c>
      <c r="AN59" s="8">
        <f>+MINVU_Mes_Corriente!AN59*SALUD_Mes_Constante!$AC$1</f>
        <v>19261700.677548762</v>
      </c>
      <c r="AO59" s="9">
        <f t="shared" si="21"/>
        <v>19261700.677548762</v>
      </c>
      <c r="AP59" s="8">
        <f>+MINVU_Mes_Corriente!AP59*SALUD_Mes_Constante!$AP$1</f>
        <v>0</v>
      </c>
      <c r="AQ59" s="8">
        <f>+MINVU_Mes_Corriente!AQ59*SALUD_Mes_Constante!$AP$1</f>
        <v>0</v>
      </c>
      <c r="AR59" s="8">
        <f>+MINVU_Mes_Corriente!AR59*SALUD_Mes_Constante!$AP$1</f>
        <v>10135922.954145813</v>
      </c>
      <c r="AS59" s="8">
        <f>+MINVU_Mes_Corriente!AS59*SALUD_Mes_Constante!$AP$1</f>
        <v>10135922.954145813</v>
      </c>
      <c r="AT59" s="8">
        <f>+MINVU_Mes_Corriente!AT59*SALUD_Mes_Constante!$AP$1</f>
        <v>11288672.852698497</v>
      </c>
      <c r="AU59" s="8">
        <f>+MINVU_Mes_Corriente!AU59*SALUD_Mes_Constante!$AP$1</f>
        <v>15705797.6485865</v>
      </c>
      <c r="AV59" s="8">
        <f>+MINVU_Mes_Corriente!AV59*SALUD_Mes_Constante!$AP$1</f>
        <v>15705797.6485865</v>
      </c>
      <c r="AW59" s="8">
        <f>+MINVU_Mes_Corriente!AW59*SALUD_Mes_Constante!$AP$1</f>
        <v>15705797.6485865</v>
      </c>
      <c r="AX59" s="8">
        <f>+MINVU_Mes_Corriente!AX59*SALUD_Mes_Constante!$AP$1</f>
        <v>15705797.6485865</v>
      </c>
      <c r="AY59" s="8">
        <f>+MINVU_Mes_Corriente!AY59*SALUD_Mes_Constante!$AP$1</f>
        <v>17157944.775598537</v>
      </c>
      <c r="AZ59" s="8">
        <f>+MINVU_Mes_Corriente!AZ59*SALUD_Mes_Constante!$AP$1</f>
        <v>17157944.775598537</v>
      </c>
      <c r="BA59" s="8">
        <f>+MINVU_Mes_Corriente!BA59*SALUD_Mes_Constante!$AP$1</f>
        <v>23411904.118490461</v>
      </c>
      <c r="BB59" s="9">
        <f t="shared" si="22"/>
        <v>23411904.118490461</v>
      </c>
      <c r="BC59" s="8">
        <f>+MINVU_Mes_Corriente!BC59*SALUD_Mes_Constante!$BC$1</f>
        <v>0</v>
      </c>
      <c r="BD59" s="8">
        <f>+MINVU_Mes_Corriente!BD59*SALUD_Mes_Constante!$BC$1</f>
        <v>0</v>
      </c>
      <c r="BE59" s="8">
        <f>+MINVU_Mes_Corriente!BE59*SALUD_Mes_Constante!$BC$1</f>
        <v>3150148.9326124233</v>
      </c>
      <c r="BF59" s="8">
        <f>+MINVU_Mes_Corriente!BF59*SALUD_Mes_Constante!$BC$1</f>
        <v>18695619.371488862</v>
      </c>
      <c r="BG59" s="8">
        <f>+MINVU_Mes_Corriente!BG59*SALUD_Mes_Constante!$BC$1</f>
        <v>18695619.371488862</v>
      </c>
      <c r="BH59" s="8">
        <f>+MINVU_Mes_Corriente!BH59*SALUD_Mes_Constante!$BC$1</f>
        <v>19155953.66688646</v>
      </c>
      <c r="BI59" s="8">
        <f>+MINVU_Mes_Corriente!BI59*SALUD_Mes_Constante!$BC$1</f>
        <v>19155953.66688646</v>
      </c>
      <c r="BJ59" s="8">
        <f>+MINVU_Mes_Corriente!BJ59*SALUD_Mes_Constante!$BC$1</f>
        <v>18665421.941975474</v>
      </c>
      <c r="BK59" s="8">
        <f>+MINVU_Mes_Corriente!BK59*SALUD_Mes_Constante!$BC$1</f>
        <v>18665421.941975474</v>
      </c>
      <c r="BL59" s="8">
        <f>+MINVU_Mes_Corriente!BL59*SALUD_Mes_Constante!$BC$1</f>
        <v>18665421.941975474</v>
      </c>
      <c r="BM59" s="8">
        <f>+MINVU_Mes_Corriente!BM59*SALUD_Mes_Constante!$BC$1</f>
        <v>18665421.941975474</v>
      </c>
      <c r="BN59" s="8">
        <f>+MINVU_Mes_Corriente!BN59*SALUD_Mes_Constante!$BC$1</f>
        <v>16226622.897270214</v>
      </c>
      <c r="BO59" s="9">
        <f t="shared" si="23"/>
        <v>16226622.897270214</v>
      </c>
      <c r="BP59" s="8">
        <f>+MINVU_Mes_Corriente!BP59*SALUD_Mes_Constante!$BP$1</f>
        <v>0</v>
      </c>
      <c r="BQ59" s="8">
        <f>+MINVU_Mes_Corriente!BQ59*SALUD_Mes_Constante!$BP$1</f>
        <v>0</v>
      </c>
      <c r="BR59" s="8">
        <f>+MINVU_Mes_Corriente!BR59*SALUD_Mes_Constante!$BP$1</f>
        <v>35024911.614852756</v>
      </c>
      <c r="BS59" s="8">
        <f>+MINVU_Mes_Corriente!BS59*SALUD_Mes_Constante!$BP$1</f>
        <v>35024911.614852756</v>
      </c>
      <c r="BT59" s="8">
        <f>+MINVU_Mes_Corriente!BT59*SALUD_Mes_Constante!$BP$1</f>
        <v>35024911.614852756</v>
      </c>
      <c r="BU59" s="8">
        <f>+MINVU_Mes_Corriente!BU59*SALUD_Mes_Constante!$BP$1</f>
        <v>10624537.530345712</v>
      </c>
      <c r="BV59" s="8">
        <f>+MINVU_Mes_Corriente!BV59*SALUD_Mes_Constante!$BP$1</f>
        <v>10624537.530345712</v>
      </c>
      <c r="BW59" s="8">
        <f>+MINVU_Mes_Corriente!BW59*SALUD_Mes_Constante!$BP$1</f>
        <v>26111568.950320106</v>
      </c>
      <c r="BX59" s="8">
        <f>+MINVU_Mes_Corriente!BX59*SALUD_Mes_Constante!$BP$1</f>
        <v>24676224.107554421</v>
      </c>
      <c r="BY59" s="8">
        <f>+MINVU_Mes_Corriente!BY59*SALUD_Mes_Constante!$BP$1</f>
        <v>24676224.107554421</v>
      </c>
      <c r="BZ59" s="8">
        <f>+MINVU_Mes_Corriente!BZ59*SALUD_Mes_Constante!$BP$1</f>
        <v>24887949.282714471</v>
      </c>
      <c r="CA59" s="8">
        <f>+MINVU_Mes_Corriente!CA59*SALUD_Mes_Constante!$BP$1</f>
        <v>24887949.282714471</v>
      </c>
      <c r="CB59" s="9">
        <f t="shared" si="24"/>
        <v>24887949.282714471</v>
      </c>
      <c r="CC59" s="8">
        <f>+MINVU_Mes_Corriente!CC59*SALUD_Mes_Constante!$CC$1</f>
        <v>0</v>
      </c>
      <c r="CD59" s="8">
        <f>+MINVU_Mes_Corriente!CD59*SALUD_Mes_Constante!$CC$1</f>
        <v>31646631.242819846</v>
      </c>
      <c r="CE59" s="8">
        <f>+MINVU_Mes_Corriente!CE59*SALUD_Mes_Constante!$CC$1</f>
        <v>32037167.480790753</v>
      </c>
      <c r="CF59" s="8">
        <f>+MINVU_Mes_Corriente!CF59*SALUD_Mes_Constante!$CC$1</f>
        <v>32241287.928384934</v>
      </c>
      <c r="CG59" s="8">
        <f>+MINVU_Mes_Corriente!CG59*SALUD_Mes_Constante!$CC$1</f>
        <v>32241287.928384934</v>
      </c>
      <c r="CH59" s="8">
        <f>+MINVU_Mes_Corriente!CH59*SALUD_Mes_Constante!$CC$1</f>
        <v>32241287.928384934</v>
      </c>
      <c r="CI59" s="8">
        <f>+MINVU_Mes_Corriente!CI59*SALUD_Mes_Constante!$CC$1</f>
        <v>32241287.928384934</v>
      </c>
      <c r="CJ59" s="8">
        <f>+MINVU_Mes_Corriente!CJ59*SALUD_Mes_Constante!$CC$1</f>
        <v>32241287.928384934</v>
      </c>
      <c r="CK59" s="8">
        <f>+MINVU_Mes_Corriente!CK59*SALUD_Mes_Constante!$CC$1</f>
        <v>32241287.928384934</v>
      </c>
      <c r="CL59" s="8">
        <f>+MINVU_Mes_Corriente!CL59*SALUD_Mes_Constante!$CC$1</f>
        <v>32241287.928384934</v>
      </c>
      <c r="CM59" s="8">
        <f>+MINVU_Mes_Corriente!CM59*SALUD_Mes_Constante!$CC$1</f>
        <v>32241287.928384934</v>
      </c>
      <c r="CN59" s="8">
        <f>+MINVU_Mes_Corriente!CN59*SALUD_Mes_Constante!$CC$1</f>
        <v>32551386.364789262</v>
      </c>
      <c r="CO59" s="9">
        <f t="shared" si="25"/>
        <v>32551386.364789262</v>
      </c>
      <c r="CP59" s="8">
        <f>+MINVU_Mes_Corriente!CP59*SALUD_Mes_Constante!$CP$1</f>
        <v>0</v>
      </c>
      <c r="CQ59" s="8">
        <f>+MINVU_Mes_Corriente!CQ59*SALUD_Mes_Constante!$CP$1</f>
        <v>18368137.161020879</v>
      </c>
      <c r="CR59" s="8">
        <f>+MINVU_Mes_Corriente!CR59*SALUD_Mes_Constante!$CP$1</f>
        <v>18368137.161020879</v>
      </c>
      <c r="CS59" s="8">
        <f>+MINVU_Mes_Corriente!CS59*SALUD_Mes_Constante!$CP$1</f>
        <v>18368137.161020879</v>
      </c>
      <c r="CT59" s="8">
        <f>+MINVU_Mes_Corriente!CT59*SALUD_Mes_Constante!$CP$1</f>
        <v>18368137.161020879</v>
      </c>
      <c r="CU59" s="8">
        <f>+MINVU_Mes_Corriente!CU59*SALUD_Mes_Constante!$CP$1</f>
        <v>18368137.161020879</v>
      </c>
      <c r="CV59" s="8">
        <f>+MINVU_Mes_Corriente!CV59*SALUD_Mes_Constante!$CP$1</f>
        <v>18368137.161020879</v>
      </c>
      <c r="CW59" s="8">
        <f>+MINVU_Mes_Corriente!CW59*SALUD_Mes_Constante!$CP$1</f>
        <v>18368137.161020879</v>
      </c>
      <c r="CX59" s="8">
        <f>+MINVU_Mes_Corriente!CX59*SALUD_Mes_Constante!$CP$1</f>
        <v>18368137.161020879</v>
      </c>
      <c r="CY59" s="8">
        <f>+MINVU_Mes_Corriente!CY59*SALUD_Mes_Constante!$CP$1</f>
        <v>18904489.684454754</v>
      </c>
      <c r="CZ59" s="8">
        <f>+MINVU_Mes_Corriente!CZ59*SALUD_Mes_Constante!$CP$1</f>
        <v>18904489.684454754</v>
      </c>
      <c r="DA59" s="8">
        <f>+MINVU_Mes_Corriente!DA59*SALUD_Mes_Constante!$CP$1</f>
        <v>16839380.620649647</v>
      </c>
      <c r="DB59" s="9">
        <f t="shared" si="26"/>
        <v>16839380.620649647</v>
      </c>
      <c r="DC59" s="8">
        <f>+MINVU_Mes_Corriente!DC59*SALUD_Mes_Constante!$DC$1</f>
        <v>0</v>
      </c>
      <c r="DD59" s="8">
        <f>+MINVU_Mes_Corriente!DD59*SALUD_Mes_Constante!$DC$1</f>
        <v>18450299.317354191</v>
      </c>
      <c r="DE59" s="8">
        <f>+MINVU_Mes_Corriente!DE59*SALUD_Mes_Constante!$DC$1</f>
        <v>18450299.317354191</v>
      </c>
      <c r="DF59" s="8">
        <f>+MINVU_Mes_Corriente!DF59*SALUD_Mes_Constante!$DC$1</f>
        <v>18450299.317354191</v>
      </c>
      <c r="DG59" s="8">
        <f>+MINVU_Mes_Corriente!DG59*SALUD_Mes_Constante!$DC$1</f>
        <v>18450299.317354191</v>
      </c>
      <c r="DH59" s="8">
        <f>+MINVU_Mes_Corriente!DH59*SALUD_Mes_Constante!$DC$1</f>
        <v>18450299.317354191</v>
      </c>
      <c r="DI59" s="8">
        <f>+MINVU_Mes_Corriente!DI59*SALUD_Mes_Constante!$DC$1</f>
        <v>18696460.827281151</v>
      </c>
      <c r="DJ59" s="8">
        <f>+MINVU_Mes_Corriente!DJ59*SALUD_Mes_Constante!$DC$1</f>
        <v>18696460.827281151</v>
      </c>
      <c r="DK59" s="8">
        <f>+MINVU_Mes_Corriente!DK59*SALUD_Mes_Constante!$DC$1</f>
        <v>18696460.827281151</v>
      </c>
      <c r="DL59" s="8">
        <f>+MINVU_Mes_Corriente!DL59*SALUD_Mes_Constante!$DC$1</f>
        <v>18696460.827281151</v>
      </c>
      <c r="DM59" s="8">
        <f>+MINVU_Mes_Corriente!DM59*SALUD_Mes_Constante!$DC$1</f>
        <v>26244997.184446055</v>
      </c>
      <c r="DN59" s="8">
        <f>+MINVU_Mes_Corriente!DN59*SALUD_Mes_Constante!$DC$1</f>
        <v>26244997.184446055</v>
      </c>
      <c r="DO59" s="9">
        <f t="shared" si="27"/>
        <v>26244997.184446055</v>
      </c>
      <c r="DP59" s="8">
        <f>+MINVU_Mes_Corriente!DP59*SALUD_Mes_Constante!$DP$1</f>
        <v>0</v>
      </c>
      <c r="DQ59" s="8">
        <f>+MINVU_Mes_Corriente!DQ59*SALUD_Mes_Constante!$DP$1</f>
        <v>15830282.81294537</v>
      </c>
      <c r="DR59" s="8">
        <f>+MINVU_Mes_Corriente!DR59*SALUD_Mes_Constante!$DP$1</f>
        <v>15830282.81294537</v>
      </c>
      <c r="DS59" s="8">
        <f>+MINVU_Mes_Corriente!DS59*SALUD_Mes_Constante!$DP$1</f>
        <v>15830282.81294537</v>
      </c>
      <c r="DT59" s="8">
        <f>+MINVU_Mes_Corriente!DT59*SALUD_Mes_Constante!$DP$1</f>
        <v>15830282.81294537</v>
      </c>
      <c r="DU59" s="8">
        <f>+MINVU_Mes_Corriente!DU59*SALUD_Mes_Constante!$DP$1</f>
        <v>15830282.81294537</v>
      </c>
      <c r="DV59" s="8">
        <f>+MINVU_Mes_Corriente!DV59*SALUD_Mes_Constante!$DP$1</f>
        <v>16432364.45486936</v>
      </c>
      <c r="DW59" s="8">
        <f>+MINVU_Mes_Corriente!DW59*SALUD_Mes_Constante!$DP$1</f>
        <v>16432364.45486936</v>
      </c>
      <c r="DX59" s="8">
        <f>+MINVU_Mes_Corriente!DX59*SALUD_Mes_Constante!$DP$1</f>
        <v>16432364.45486936</v>
      </c>
      <c r="DY59" s="8">
        <f>+MINVU_Mes_Corriente!DY59*SALUD_Mes_Constante!$DP$1</f>
        <v>17267455.157957245</v>
      </c>
      <c r="DZ59" s="8">
        <f>+MINVU_Mes_Corriente!DZ59*SALUD_Mes_Constante!$DP$1</f>
        <v>17267455.157957245</v>
      </c>
      <c r="EA59" s="8">
        <f>+MINVU_Mes_Corriente!EA59*SALUD_Mes_Constante!$DP$1</f>
        <v>16125156.131828981</v>
      </c>
      <c r="EB59" s="9">
        <f t="shared" si="28"/>
        <v>16125156.131828981</v>
      </c>
      <c r="EC59" s="8">
        <f>+MINVU_Mes_Corriente!EC59*SALUD_Mes_Constante!$EC$1</f>
        <v>0</v>
      </c>
      <c r="ED59" s="8">
        <f>+MINVU_Mes_Corriente!ED59*SALUD_Mes_Constante!$EC$1</f>
        <v>19952345.972164355</v>
      </c>
      <c r="EE59" s="8">
        <f>+MINVU_Mes_Corriente!EE59*SALUD_Mes_Constante!$EC$1</f>
        <v>20414813.076879371</v>
      </c>
      <c r="EF59" s="8">
        <f>+MINVU_Mes_Corriente!EF59*SALUD_Mes_Constante!$EC$1</f>
        <v>20414813.076879371</v>
      </c>
      <c r="EG59" s="8">
        <f>+MINVU_Mes_Corriente!EG59*SALUD_Mes_Constante!$EC$1</f>
        <v>20414813.076879371</v>
      </c>
      <c r="EH59" s="8">
        <f>+MINVU_Mes_Corriente!EH59*SALUD_Mes_Constante!$EC$1</f>
        <v>20414813.076879371</v>
      </c>
      <c r="EI59" s="8">
        <f>+MINVU_Mes_Corriente!EI59*SALUD_Mes_Constante!$EC$1</f>
        <v>28757075.796061344</v>
      </c>
      <c r="EJ59" s="8">
        <f>+MINVU_Mes_Corriente!EJ59*SALUD_Mes_Constante!$EC$1</f>
        <v>29322411.987312999</v>
      </c>
      <c r="EK59" s="8">
        <f>+MINVU_Mes_Corriente!EK59*SALUD_Mes_Constante!$EC$1</f>
        <v>28169353.821814042</v>
      </c>
      <c r="EL59" s="8">
        <f>+MINVU_Mes_Corriente!EL59*SALUD_Mes_Constante!$EC$1</f>
        <v>30723343.04525657</v>
      </c>
      <c r="EM59" s="8">
        <f>+MINVU_Mes_Corriente!EM59*SALUD_Mes_Constante!$EC$1</f>
        <v>30699860.731300879</v>
      </c>
      <c r="EN59" s="8">
        <f>+MINVU_Mes_Corriente!EN59*SALUD_Mes_Constante!$EC$1</f>
        <v>30699860.731300879</v>
      </c>
      <c r="EO59" s="9">
        <f t="shared" si="29"/>
        <v>30699860.731300879</v>
      </c>
      <c r="EP59" s="8">
        <f>+MINVU_Mes_Corriente!EP59*SALUD_Mes_Constante!$EP$1</f>
        <v>0</v>
      </c>
      <c r="EQ59" s="8">
        <f>+MINVU_Mes_Corriente!EQ59*SALUD_Mes_Constante!$EP$1</f>
        <v>27331578</v>
      </c>
      <c r="ER59" s="8">
        <f>+MINVU_Mes_Corriente!ER59*SALUD_Mes_Constante!$EP$1</f>
        <v>27331578</v>
      </c>
      <c r="ES59" s="8">
        <f>+MINVU_Mes_Corriente!ES59*SALUD_Mes_Constante!$EP$1</f>
        <v>27331578</v>
      </c>
      <c r="ET59" s="8">
        <f>+MINVU_Mes_Corriente!ET59*SALUD_Mes_Constante!$EP$1</f>
        <v>27331578</v>
      </c>
      <c r="EU59" s="8">
        <f>+MINVU_Mes_Corriente!EU59*SALUD_Mes_Constante!$EP$1</f>
        <v>21934830</v>
      </c>
      <c r="EV59" s="8">
        <f>+MINVU_Mes_Corriente!EV59*SALUD_Mes_Constante!$EP$1</f>
        <v>21934830</v>
      </c>
      <c r="EW59" s="8">
        <f>+MINVU_Mes_Corriente!EW59*SALUD_Mes_Constante!$EP$1</f>
        <v>21934830</v>
      </c>
      <c r="EX59" s="8">
        <f>+MINVU_Mes_Corriente!EX59*SALUD_Mes_Constante!$EP$1</f>
        <v>21744257</v>
      </c>
      <c r="EY59" s="8">
        <f>+MINVU_Mes_Corriente!EY59*SALUD_Mes_Constante!$EP$1</f>
        <v>21744257</v>
      </c>
      <c r="EZ59" s="8">
        <f>+MINVU_Mes_Corriente!EZ59*SALUD_Mes_Constante!$EP$1</f>
        <v>21744257</v>
      </c>
      <c r="FA59" s="8">
        <f>+MINVU_Mes_Corriente!FA59*SALUD_Mes_Constante!$EP$1</f>
        <v>23309491</v>
      </c>
      <c r="FB59" s="9">
        <f t="shared" si="30"/>
        <v>23309491</v>
      </c>
      <c r="FC59" s="8">
        <f>+MINVU_Mes_Corriente!FC59*SALUD_Mes_Constante!$FC$1</f>
        <v>7914575</v>
      </c>
      <c r="FD59" s="8">
        <f>+MINVU_Mes_Corriente!FD59*SALUD_Mes_Constante!$FC$1</f>
        <v>7914575</v>
      </c>
      <c r="FE59" s="8">
        <f>+MINVU_Mes_Corriente!FE59*SALUD_Mes_Constante!$FC$1</f>
        <v>7914575</v>
      </c>
      <c r="FF59" s="8">
        <f>+MINVU_Mes_Corriente!FF59*SALUD_Mes_Constante!$FC$1</f>
        <v>7914575</v>
      </c>
      <c r="FG59" s="8">
        <f>+MINVU_Mes_Corriente!FG59*SALUD_Mes_Constante!$FC$1</f>
        <v>7914575</v>
      </c>
      <c r="FH59" s="8">
        <f>+MINVU_Mes_Corriente!FH59*SALUD_Mes_Constante!$FC$1</f>
        <v>33050945</v>
      </c>
      <c r="FI59" s="8">
        <f>+MINVU_Mes_Corriente!FI59*SALUD_Mes_Constante!$FC$1</f>
        <v>33050945</v>
      </c>
      <c r="FJ59" s="8"/>
      <c r="FK59" s="8"/>
      <c r="FL59" s="8"/>
      <c r="FM59" s="8"/>
      <c r="FN59" s="8"/>
      <c r="FO59" s="9">
        <f t="shared" si="31"/>
        <v>33050945</v>
      </c>
    </row>
    <row r="60" spans="2:171" ht="14.25" customHeight="1" x14ac:dyDescent="0.3">
      <c r="B60" s="7" t="s">
        <v>59</v>
      </c>
      <c r="C60" s="8">
        <f>+MINVU_Mes_Corriente!C60*SALUD_Mes_Constante!$C$1</f>
        <v>0</v>
      </c>
      <c r="D60" s="8">
        <f>+MINVU_Mes_Corriente!D60*SALUD_Mes_Constante!$C$1</f>
        <v>56198.49592169658</v>
      </c>
      <c r="E60" s="8">
        <f>+MINVU_Mes_Corriente!E60*SALUD_Mes_Constante!$C$1</f>
        <v>15462662.188046865</v>
      </c>
      <c r="F60" s="8">
        <f>+MINVU_Mes_Corriente!F60*SALUD_Mes_Constante!$C$1</f>
        <v>15462662.188046865</v>
      </c>
      <c r="G60" s="8">
        <f>+MINVU_Mes_Corriente!G60*SALUD_Mes_Constante!$C$1</f>
        <v>15462662.188046865</v>
      </c>
      <c r="H60" s="8">
        <f>+MINVU_Mes_Corriente!H60*SALUD_Mes_Constante!$C$1</f>
        <v>15462662.188046865</v>
      </c>
      <c r="I60" s="8">
        <f>+MINVU_Mes_Corriente!I60*SALUD_Mes_Constante!$C$1</f>
        <v>15462662.188046865</v>
      </c>
      <c r="J60" s="8">
        <f>+MINVU_Mes_Corriente!J60*SALUD_Mes_Constante!$C$1</f>
        <v>15462662.188046865</v>
      </c>
      <c r="K60" s="8">
        <f>+MINVU_Mes_Corriente!K60*SALUD_Mes_Constante!$C$1</f>
        <v>15462662.188046865</v>
      </c>
      <c r="L60" s="8">
        <f>+MINVU_Mes_Corriente!L60*SALUD_Mes_Constante!$C$1</f>
        <v>15462662.188046865</v>
      </c>
      <c r="M60" s="8">
        <f>+MINVU_Mes_Corriente!M60*SALUD_Mes_Constante!$C$1</f>
        <v>15488670.378169956</v>
      </c>
      <c r="N60" s="8">
        <f>+MINVU_Mes_Corriente!N60*SALUD_Mes_Constante!$C$1</f>
        <v>15488670.378169956</v>
      </c>
      <c r="O60" s="9">
        <f t="shared" si="19"/>
        <v>15488670.378169956</v>
      </c>
      <c r="P60" s="8">
        <f>+MINVU_Mes_Corriente!P60*SALUD_Mes_Constante!$P$1</f>
        <v>0</v>
      </c>
      <c r="Q60" s="8">
        <f>+MINVU_Mes_Corriente!Q60*SALUD_Mes_Constante!$P$1</f>
        <v>3366637.584600084</v>
      </c>
      <c r="R60" s="8">
        <f>+MINVU_Mes_Corriente!R60*SALUD_Mes_Constante!$P$1</f>
        <v>6428225.7195624355</v>
      </c>
      <c r="S60" s="8">
        <f>+MINVU_Mes_Corriente!S60*SALUD_Mes_Constante!$P$1</f>
        <v>17585674.069328021</v>
      </c>
      <c r="T60" s="8">
        <f>+MINVU_Mes_Corriente!T60*SALUD_Mes_Constante!$P$1</f>
        <v>17585674.069328021</v>
      </c>
      <c r="U60" s="8">
        <f>+MINVU_Mes_Corriente!U60*SALUD_Mes_Constante!$P$1</f>
        <v>20670008.276743848</v>
      </c>
      <c r="V60" s="8">
        <f>+MINVU_Mes_Corriente!V60*SALUD_Mes_Constante!$P$1</f>
        <v>20670008.276743848</v>
      </c>
      <c r="W60" s="8">
        <f>+MINVU_Mes_Corriente!W60*SALUD_Mes_Constante!$P$1</f>
        <v>20670008.276743848</v>
      </c>
      <c r="X60" s="8">
        <f>+MINVU_Mes_Corriente!X60*SALUD_Mes_Constante!$P$1</f>
        <v>20670008.276743848</v>
      </c>
      <c r="Y60" s="8">
        <f>+MINVU_Mes_Corriente!Y60*SALUD_Mes_Constante!$P$1</f>
        <v>20670008.276743848</v>
      </c>
      <c r="Z60" s="8">
        <f>+MINVU_Mes_Corriente!Z60*SALUD_Mes_Constante!$P$1</f>
        <v>20644297.484870002</v>
      </c>
      <c r="AA60" s="8">
        <f>+MINVU_Mes_Corriente!AA60*SALUD_Mes_Constante!$P$1</f>
        <v>20644297.484870002</v>
      </c>
      <c r="AB60" s="9">
        <f t="shared" si="20"/>
        <v>20644297.484870002</v>
      </c>
      <c r="AC60" s="8">
        <f>+MINVU_Mes_Corriente!AC60*SALUD_Mes_Constante!$AC$1</f>
        <v>0</v>
      </c>
      <c r="AD60" s="8">
        <f>+MINVU_Mes_Corriente!AD60*SALUD_Mes_Constante!$AC$1</f>
        <v>13712675.619864434</v>
      </c>
      <c r="AE60" s="8">
        <f>+MINVU_Mes_Corriente!AE60*SALUD_Mes_Constante!$AC$1</f>
        <v>13712675.619864434</v>
      </c>
      <c r="AF60" s="8">
        <f>+MINVU_Mes_Corriente!AF60*SALUD_Mes_Constante!$AC$1</f>
        <v>13712675.619864434</v>
      </c>
      <c r="AG60" s="8">
        <f>+MINVU_Mes_Corriente!AG60*SALUD_Mes_Constante!$AC$1</f>
        <v>13899663.023654724</v>
      </c>
      <c r="AH60" s="8">
        <f>+MINVU_Mes_Corriente!AH60*SALUD_Mes_Constante!$AC$1</f>
        <v>13899663.023654724</v>
      </c>
      <c r="AI60" s="8">
        <f>+MINVU_Mes_Corriente!AI60*SALUD_Mes_Constante!$AC$1</f>
        <v>13899663.023654724</v>
      </c>
      <c r="AJ60" s="8">
        <f>+MINVU_Mes_Corriente!AJ60*SALUD_Mes_Constante!$AC$1</f>
        <v>13899663.023654724</v>
      </c>
      <c r="AK60" s="8">
        <f>+MINVU_Mes_Corriente!AK60*SALUD_Mes_Constante!$AC$1</f>
        <v>13899663.023654724</v>
      </c>
      <c r="AL60" s="8">
        <f>+MINVU_Mes_Corriente!AL60*SALUD_Mes_Constante!$AC$1</f>
        <v>13501349.942730669</v>
      </c>
      <c r="AM60" s="8">
        <f>+MINVU_Mes_Corriente!AM60*SALUD_Mes_Constante!$AC$1</f>
        <v>13501349.942730669</v>
      </c>
      <c r="AN60" s="8">
        <f>+MINVU_Mes_Corriente!AN60*SALUD_Mes_Constante!$AC$1</f>
        <v>12452370.81505049</v>
      </c>
      <c r="AO60" s="9">
        <f t="shared" si="21"/>
        <v>12452370.81505049</v>
      </c>
      <c r="AP60" s="8">
        <f>+MINVU_Mes_Corriente!AP60*SALUD_Mes_Constante!$AP$1</f>
        <v>0</v>
      </c>
      <c r="AQ60" s="8">
        <f>+MINVU_Mes_Corriente!AQ60*SALUD_Mes_Constante!$AP$1</f>
        <v>6262040.4152576756</v>
      </c>
      <c r="AR60" s="8">
        <f>+MINVU_Mes_Corriente!AR60*SALUD_Mes_Constante!$AP$1</f>
        <v>7222542.6663059648</v>
      </c>
      <c r="AS60" s="8">
        <f>+MINVU_Mes_Corriente!AS60*SALUD_Mes_Constante!$AP$1</f>
        <v>7222542.6663059648</v>
      </c>
      <c r="AT60" s="8">
        <f>+MINVU_Mes_Corriente!AT60*SALUD_Mes_Constante!$AP$1</f>
        <v>7385059.7116190987</v>
      </c>
      <c r="AU60" s="8">
        <f>+MINVU_Mes_Corriente!AU60*SALUD_Mes_Constante!$AP$1</f>
        <v>7418662.3711619098</v>
      </c>
      <c r="AV60" s="8">
        <f>+MINVU_Mes_Corriente!AV60*SALUD_Mes_Constante!$AP$1</f>
        <v>7498375.0266468273</v>
      </c>
      <c r="AW60" s="8">
        <f>+MINVU_Mes_Corriente!AW60*SALUD_Mes_Constante!$AP$1</f>
        <v>7498375.0266468273</v>
      </c>
      <c r="AX60" s="8">
        <f>+MINVU_Mes_Corriente!AX60*SALUD_Mes_Constante!$AP$1</f>
        <v>8867326.1244420391</v>
      </c>
      <c r="AY60" s="8">
        <f>+MINVU_Mes_Corriente!AY60*SALUD_Mes_Constante!$AP$1</f>
        <v>8867326.1244420391</v>
      </c>
      <c r="AZ60" s="8">
        <f>+MINVU_Mes_Corriente!AZ60*SALUD_Mes_Constante!$AP$1</f>
        <v>9621047.2119572554</v>
      </c>
      <c r="BA60" s="8">
        <f>+MINVU_Mes_Corriente!BA60*SALUD_Mes_Constante!$AP$1</f>
        <v>10337330.529690247</v>
      </c>
      <c r="BB60" s="9">
        <f t="shared" si="22"/>
        <v>10337330.529690247</v>
      </c>
      <c r="BC60" s="8">
        <f>+MINVU_Mes_Corriente!BC60*SALUD_Mes_Constante!$BC$1</f>
        <v>0</v>
      </c>
      <c r="BD60" s="8">
        <f>+MINVU_Mes_Corriente!BD60*SALUD_Mes_Constante!$BC$1</f>
        <v>0</v>
      </c>
      <c r="BE60" s="8">
        <f>+MINVU_Mes_Corriente!BE60*SALUD_Mes_Constante!$BC$1</f>
        <v>1563557.7159435584</v>
      </c>
      <c r="BF60" s="8">
        <f>+MINVU_Mes_Corriente!BF60*SALUD_Mes_Constante!$BC$1</f>
        <v>1563557.7159435584</v>
      </c>
      <c r="BG60" s="8">
        <f>+MINVU_Mes_Corriente!BG60*SALUD_Mes_Constante!$BC$1</f>
        <v>1563557.7159435584</v>
      </c>
      <c r="BH60" s="8">
        <f>+MINVU_Mes_Corriente!BH60*SALUD_Mes_Constante!$BC$1</f>
        <v>1915495.0832124494</v>
      </c>
      <c r="BI60" s="8">
        <f>+MINVU_Mes_Corriente!BI60*SALUD_Mes_Constante!$BC$1</f>
        <v>1915495.0832124494</v>
      </c>
      <c r="BJ60" s="8">
        <f>+MINVU_Mes_Corriente!BJ60*SALUD_Mes_Constante!$BC$1</f>
        <v>1915495.0832124494</v>
      </c>
      <c r="BK60" s="8">
        <f>+MINVU_Mes_Corriente!BK60*SALUD_Mes_Constante!$BC$1</f>
        <v>1915495.0832124494</v>
      </c>
      <c r="BL60" s="8">
        <f>+MINVU_Mes_Corriente!BL60*SALUD_Mes_Constante!$BC$1</f>
        <v>1915495.0832124494</v>
      </c>
      <c r="BM60" s="8">
        <f>+MINVU_Mes_Corriente!BM60*SALUD_Mes_Constante!$BC$1</f>
        <v>1915495.0832124494</v>
      </c>
      <c r="BN60" s="8">
        <f>+MINVU_Mes_Corriente!BN60*SALUD_Mes_Constante!$BC$1</f>
        <v>1915495.0832124494</v>
      </c>
      <c r="BO60" s="9">
        <f t="shared" si="23"/>
        <v>1915495.0832124494</v>
      </c>
      <c r="BP60" s="8">
        <f>+MINVU_Mes_Corriente!BP60*SALUD_Mes_Constante!$BP$1</f>
        <v>0</v>
      </c>
      <c r="BQ60" s="8">
        <f>+MINVU_Mes_Corriente!BQ60*SALUD_Mes_Constante!$BP$1</f>
        <v>0</v>
      </c>
      <c r="BR60" s="8">
        <f>+MINVU_Mes_Corriente!BR60*SALUD_Mes_Constante!$BP$1</f>
        <v>570281.24097311147</v>
      </c>
      <c r="BS60" s="8">
        <f>+MINVU_Mes_Corriente!BS60*SALUD_Mes_Constante!$BP$1</f>
        <v>570281.24097311147</v>
      </c>
      <c r="BT60" s="8">
        <f>+MINVU_Mes_Corriente!BT60*SALUD_Mes_Constante!$BP$1</f>
        <v>570281.24097311147</v>
      </c>
      <c r="BU60" s="8">
        <f>+MINVU_Mes_Corriente!BU60*SALUD_Mes_Constante!$BP$1</f>
        <v>570281.24097311147</v>
      </c>
      <c r="BV60" s="8">
        <f>+MINVU_Mes_Corriente!BV60*SALUD_Mes_Constante!$BP$1</f>
        <v>570281.24097311147</v>
      </c>
      <c r="BW60" s="8">
        <f>+MINVU_Mes_Corriente!BW60*SALUD_Mes_Constante!$BP$1</f>
        <v>570281.24097311147</v>
      </c>
      <c r="BX60" s="8">
        <f>+MINVU_Mes_Corriente!BX60*SALUD_Mes_Constante!$BP$1</f>
        <v>570281.24097311147</v>
      </c>
      <c r="BY60" s="8">
        <f>+MINVU_Mes_Corriente!BY60*SALUD_Mes_Constante!$BP$1</f>
        <v>570281.24097311147</v>
      </c>
      <c r="BZ60" s="8">
        <f>+MINVU_Mes_Corriente!BZ60*SALUD_Mes_Constante!$BP$1</f>
        <v>570281.24097311147</v>
      </c>
      <c r="CA60" s="8">
        <f>+MINVU_Mes_Corriente!CA60*SALUD_Mes_Constante!$BP$1</f>
        <v>338540.92087067867</v>
      </c>
      <c r="CB60" s="9">
        <f t="shared" si="24"/>
        <v>338540.92087067867</v>
      </c>
      <c r="CC60" s="8">
        <f>+MINVU_Mes_Corriente!CC60*SALUD_Mes_Constante!$CC$1</f>
        <v>0</v>
      </c>
      <c r="CD60" s="8">
        <f>+MINVU_Mes_Corriente!CD60*SALUD_Mes_Constante!$CC$1</f>
        <v>232800.00895188365</v>
      </c>
      <c r="CE60" s="8">
        <f>+MINVU_Mes_Corriente!CE60*SALUD_Mes_Constante!$CC$1</f>
        <v>1198526.367773219</v>
      </c>
      <c r="CF60" s="8">
        <f>+MINVU_Mes_Corriente!CF60*SALUD_Mes_Constante!$CC$1</f>
        <v>1755490.1872435659</v>
      </c>
      <c r="CG60" s="8">
        <f>+MINVU_Mes_Corriente!CG60*SALUD_Mes_Constante!$CC$1</f>
        <v>1755490.1872435659</v>
      </c>
      <c r="CH60" s="8">
        <f>+MINVU_Mes_Corriente!CH60*SALUD_Mes_Constante!$CC$1</f>
        <v>1755490.1872435659</v>
      </c>
      <c r="CI60" s="8">
        <f>+MINVU_Mes_Corriente!CI60*SALUD_Mes_Constante!$CC$1</f>
        <v>5304960.8370011197</v>
      </c>
      <c r="CJ60" s="8">
        <f>+MINVU_Mes_Corriente!CJ60*SALUD_Mes_Constante!$CC$1</f>
        <v>5304960.8370011197</v>
      </c>
      <c r="CK60" s="8">
        <f>+MINVU_Mes_Corriente!CK60*SALUD_Mes_Constante!$CC$1</f>
        <v>5304960.8370011197</v>
      </c>
      <c r="CL60" s="8">
        <f>+MINVU_Mes_Corriente!CL60*SALUD_Mes_Constante!$CC$1</f>
        <v>5304960.8370011197</v>
      </c>
      <c r="CM60" s="8">
        <f>+MINVU_Mes_Corriente!CM60*SALUD_Mes_Constante!$CC$1</f>
        <v>5304960.8370011197</v>
      </c>
      <c r="CN60" s="8">
        <f>+MINVU_Mes_Corriente!CN60*SALUD_Mes_Constante!$CC$1</f>
        <v>4859503.8910854161</v>
      </c>
      <c r="CO60" s="9">
        <f t="shared" si="25"/>
        <v>4859503.8910854161</v>
      </c>
      <c r="CP60" s="8">
        <f>+MINVU_Mes_Corriente!CP60*SALUD_Mes_Constante!$CP$1</f>
        <v>0</v>
      </c>
      <c r="CQ60" s="8">
        <f>+MINVU_Mes_Corriente!CQ60*SALUD_Mes_Constante!$CP$1</f>
        <v>2985622.028770301</v>
      </c>
      <c r="CR60" s="8">
        <f>+MINVU_Mes_Corriente!CR60*SALUD_Mes_Constante!$CP$1</f>
        <v>2985622.028770301</v>
      </c>
      <c r="CS60" s="8">
        <f>+MINVU_Mes_Corriente!CS60*SALUD_Mes_Constante!$CP$1</f>
        <v>2985622.028770301</v>
      </c>
      <c r="CT60" s="8">
        <f>+MINVU_Mes_Corriente!CT60*SALUD_Mes_Constante!$CP$1</f>
        <v>3574096.1352668204</v>
      </c>
      <c r="CU60" s="8">
        <f>+MINVU_Mes_Corriente!CU60*SALUD_Mes_Constante!$CP$1</f>
        <v>4785167.1842227364</v>
      </c>
      <c r="CV60" s="8">
        <f>+MINVU_Mes_Corriente!CV60*SALUD_Mes_Constante!$CP$1</f>
        <v>4785167.1842227364</v>
      </c>
      <c r="CW60" s="8">
        <f>+MINVU_Mes_Corriente!CW60*SALUD_Mes_Constante!$CP$1</f>
        <v>4785167.1842227364</v>
      </c>
      <c r="CX60" s="8">
        <f>+MINVU_Mes_Corriente!CX60*SALUD_Mes_Constante!$CP$1</f>
        <v>4785167.1842227364</v>
      </c>
      <c r="CY60" s="8">
        <f>+MINVU_Mes_Corriente!CY60*SALUD_Mes_Constante!$CP$1</f>
        <v>4785167.1842227364</v>
      </c>
      <c r="CZ60" s="8">
        <f>+MINVU_Mes_Corriente!CZ60*SALUD_Mes_Constante!$CP$1</f>
        <v>4785167.1842227364</v>
      </c>
      <c r="DA60" s="8">
        <f>+MINVU_Mes_Corriente!DA60*SALUD_Mes_Constante!$CP$1</f>
        <v>4785167.1842227364</v>
      </c>
      <c r="DB60" s="9">
        <f t="shared" si="26"/>
        <v>4785167.1842227364</v>
      </c>
      <c r="DC60" s="8">
        <f>+MINVU_Mes_Corriente!DC60*SALUD_Mes_Constante!$DC$1</f>
        <v>0</v>
      </c>
      <c r="DD60" s="8">
        <f>+MINVU_Mes_Corriente!DD60*SALUD_Mes_Constante!$DC$1</f>
        <v>0</v>
      </c>
      <c r="DE60" s="8">
        <f>+MINVU_Mes_Corriente!DE60*SALUD_Mes_Constante!$DC$1</f>
        <v>0</v>
      </c>
      <c r="DF60" s="8">
        <f>+MINVU_Mes_Corriente!DF60*SALUD_Mes_Constante!$DC$1</f>
        <v>0</v>
      </c>
      <c r="DG60" s="8">
        <f>+MINVU_Mes_Corriente!DG60*SALUD_Mes_Constante!$DC$1</f>
        <v>0</v>
      </c>
      <c r="DH60" s="8">
        <f>+MINVU_Mes_Corriente!DH60*SALUD_Mes_Constante!$DC$1</f>
        <v>0</v>
      </c>
      <c r="DI60" s="8">
        <f>+MINVU_Mes_Corriente!DI60*SALUD_Mes_Constante!$DC$1</f>
        <v>117176.03929636875</v>
      </c>
      <c r="DJ60" s="8">
        <f>+MINVU_Mes_Corriente!DJ60*SALUD_Mes_Constante!$DC$1</f>
        <v>117176.03929636875</v>
      </c>
      <c r="DK60" s="8">
        <f>+MINVU_Mes_Corriente!DK60*SALUD_Mes_Constante!$DC$1</f>
        <v>117176.03929636875</v>
      </c>
      <c r="DL60" s="8">
        <f>+MINVU_Mes_Corriente!DL60*SALUD_Mes_Constante!$DC$1</f>
        <v>477865.54243390623</v>
      </c>
      <c r="DM60" s="8">
        <f>+MINVU_Mes_Corriente!DM60*SALUD_Mes_Constante!$DC$1</f>
        <v>361139.08651373332</v>
      </c>
      <c r="DN60" s="8">
        <f>+MINVU_Mes_Corriente!DN60*SALUD_Mes_Constante!$DC$1</f>
        <v>361139.08651373332</v>
      </c>
      <c r="DO60" s="9">
        <f t="shared" si="27"/>
        <v>361139.08651373332</v>
      </c>
      <c r="DP60" s="8">
        <f>+MINVU_Mes_Corriente!DP60*SALUD_Mes_Constante!$DP$1</f>
        <v>0</v>
      </c>
      <c r="DQ60" s="8">
        <f>+MINVU_Mes_Corriente!DQ60*SALUD_Mes_Constante!$DP$1</f>
        <v>688822.4465558196</v>
      </c>
      <c r="DR60" s="8">
        <f>+MINVU_Mes_Corriente!DR60*SALUD_Mes_Constante!$DP$1</f>
        <v>688822.4465558196</v>
      </c>
      <c r="DS60" s="8">
        <f>+MINVU_Mes_Corriente!DS60*SALUD_Mes_Constante!$DP$1</f>
        <v>688822.4465558196</v>
      </c>
      <c r="DT60" s="8">
        <f>+MINVU_Mes_Corriente!DT60*SALUD_Mes_Constante!$DP$1</f>
        <v>688822.4465558196</v>
      </c>
      <c r="DU60" s="8">
        <f>+MINVU_Mes_Corriente!DU60*SALUD_Mes_Constante!$DP$1</f>
        <v>1982610.5059382424</v>
      </c>
      <c r="DV60" s="8">
        <f>+MINVU_Mes_Corriente!DV60*SALUD_Mes_Constante!$DP$1</f>
        <v>2516394.9156769598</v>
      </c>
      <c r="DW60" s="8">
        <f>+MINVU_Mes_Corriente!DW60*SALUD_Mes_Constante!$DP$1</f>
        <v>2516394.9156769598</v>
      </c>
      <c r="DX60" s="8">
        <f>+MINVU_Mes_Corriente!DX60*SALUD_Mes_Constante!$DP$1</f>
        <v>2516394.9156769598</v>
      </c>
      <c r="DY60" s="8">
        <f>+MINVU_Mes_Corriente!DY60*SALUD_Mes_Constante!$DP$1</f>
        <v>2678326.5837292164</v>
      </c>
      <c r="DZ60" s="8">
        <f>+MINVU_Mes_Corriente!DZ60*SALUD_Mes_Constante!$DP$1</f>
        <v>3283579.8366983375</v>
      </c>
      <c r="EA60" s="8">
        <f>+MINVU_Mes_Corriente!EA60*SALUD_Mes_Constante!$DP$1</f>
        <v>3283590.65023753</v>
      </c>
      <c r="EB60" s="9">
        <f t="shared" si="28"/>
        <v>3283590.65023753</v>
      </c>
      <c r="EC60" s="8">
        <f>+MINVU_Mes_Corriente!EC60*SALUD_Mes_Constante!$EC$1</f>
        <v>0</v>
      </c>
      <c r="ED60" s="8">
        <f>+MINVU_Mes_Corriente!ED60*SALUD_Mes_Constante!$EC$1</f>
        <v>1825926.8032569583</v>
      </c>
      <c r="EE60" s="8">
        <f>+MINVU_Mes_Corriente!EE60*SALUD_Mes_Constante!$EC$1</f>
        <v>2405069.9744366589</v>
      </c>
      <c r="EF60" s="8">
        <f>+MINVU_Mes_Corriente!EF60*SALUD_Mes_Constante!$EC$1</f>
        <v>2405069.9744366589</v>
      </c>
      <c r="EG60" s="8">
        <f>+MINVU_Mes_Corriente!EG60*SALUD_Mes_Constante!$EC$1</f>
        <v>2405069.9744366589</v>
      </c>
      <c r="EH60" s="8">
        <f>+MINVU_Mes_Corriente!EH60*SALUD_Mes_Constante!$EC$1</f>
        <v>2405069.9744366589</v>
      </c>
      <c r="EI60" s="8">
        <f>+MINVU_Mes_Corriente!EI60*SALUD_Mes_Constante!$EC$1</f>
        <v>2405069.9744366589</v>
      </c>
      <c r="EJ60" s="8">
        <f>+MINVU_Mes_Corriente!EJ60*SALUD_Mes_Constante!$EC$1</f>
        <v>3110119.7269456531</v>
      </c>
      <c r="EK60" s="8">
        <f>+MINVU_Mes_Corriente!EK60*SALUD_Mes_Constante!$EC$1</f>
        <v>3110119.7269456531</v>
      </c>
      <c r="EL60" s="8">
        <f>+MINVU_Mes_Corriente!EL60*SALUD_Mes_Constante!$EC$1</f>
        <v>3110119.7269456531</v>
      </c>
      <c r="EM60" s="8">
        <f>+MINVU_Mes_Corriente!EM60*SALUD_Mes_Constante!$EC$1</f>
        <v>3110119.7269456531</v>
      </c>
      <c r="EN60" s="8">
        <f>+MINVU_Mes_Corriente!EN60*SALUD_Mes_Constante!$EC$1</f>
        <v>2876197.604809694</v>
      </c>
      <c r="EO60" s="9">
        <f t="shared" si="29"/>
        <v>2876197.604809694</v>
      </c>
      <c r="EP60" s="8">
        <f>+MINVU_Mes_Corriente!EP60*SALUD_Mes_Constante!$EP$1</f>
        <v>0</v>
      </c>
      <c r="EQ60" s="8">
        <f>+MINVU_Mes_Corriente!EQ60*SALUD_Mes_Constante!$EP$1</f>
        <v>2825732</v>
      </c>
      <c r="ER60" s="8">
        <f>+MINVU_Mes_Corriente!ER60*SALUD_Mes_Constante!$EP$1</f>
        <v>2825732</v>
      </c>
      <c r="ES60" s="8">
        <f>+MINVU_Mes_Corriente!ES60*SALUD_Mes_Constante!$EP$1</f>
        <v>2825732</v>
      </c>
      <c r="ET60" s="8">
        <f>+MINVU_Mes_Corriente!ET60*SALUD_Mes_Constante!$EP$1</f>
        <v>2825732</v>
      </c>
      <c r="EU60" s="8">
        <f>+MINVU_Mes_Corriente!EU60*SALUD_Mes_Constante!$EP$1</f>
        <v>2825732</v>
      </c>
      <c r="EV60" s="8">
        <f>+MINVU_Mes_Corriente!EV60*SALUD_Mes_Constante!$EP$1</f>
        <v>4920808</v>
      </c>
      <c r="EW60" s="8">
        <f>+MINVU_Mes_Corriente!EW60*SALUD_Mes_Constante!$EP$1</f>
        <v>4920808</v>
      </c>
      <c r="EX60" s="8">
        <f>+MINVU_Mes_Corriente!EX60*SALUD_Mes_Constante!$EP$1</f>
        <v>4920808</v>
      </c>
      <c r="EY60" s="8">
        <f>+MINVU_Mes_Corriente!EY60*SALUD_Mes_Constante!$EP$1</f>
        <v>4920808</v>
      </c>
      <c r="EZ60" s="8">
        <f>+MINVU_Mes_Corriente!EZ60*SALUD_Mes_Constante!$EP$1</f>
        <v>4920808</v>
      </c>
      <c r="FA60" s="8">
        <f>+MINVU_Mes_Corriente!FA60*SALUD_Mes_Constante!$EP$1</f>
        <v>4832808</v>
      </c>
      <c r="FB60" s="9">
        <f t="shared" si="30"/>
        <v>4832808</v>
      </c>
      <c r="FC60" s="8">
        <f>+MINVU_Mes_Corriente!FC60*SALUD_Mes_Constante!$FC$1</f>
        <v>1516870</v>
      </c>
      <c r="FD60" s="8">
        <f>+MINVU_Mes_Corriente!FD60*SALUD_Mes_Constante!$FC$1</f>
        <v>1516870</v>
      </c>
      <c r="FE60" s="8">
        <f>+MINVU_Mes_Corriente!FE60*SALUD_Mes_Constante!$FC$1</f>
        <v>1516870</v>
      </c>
      <c r="FF60" s="8">
        <f>+MINVU_Mes_Corriente!FF60*SALUD_Mes_Constante!$FC$1</f>
        <v>1516870</v>
      </c>
      <c r="FG60" s="8">
        <f>+MINVU_Mes_Corriente!FG60*SALUD_Mes_Constante!$FC$1</f>
        <v>1516870</v>
      </c>
      <c r="FH60" s="8">
        <f>+MINVU_Mes_Corriente!FH60*SALUD_Mes_Constante!$FC$1</f>
        <v>1516870</v>
      </c>
      <c r="FI60" s="8">
        <f>+MINVU_Mes_Corriente!FI60*SALUD_Mes_Constante!$FC$1</f>
        <v>1516870</v>
      </c>
      <c r="FJ60" s="8"/>
      <c r="FK60" s="8"/>
      <c r="FL60" s="8"/>
      <c r="FM60" s="8"/>
      <c r="FN60" s="8"/>
      <c r="FO60" s="9">
        <f t="shared" si="31"/>
        <v>1516870</v>
      </c>
    </row>
    <row r="61" spans="2:171" ht="14.25" customHeight="1" x14ac:dyDescent="0.3">
      <c r="B61" s="7" t="s">
        <v>60</v>
      </c>
      <c r="C61" s="8">
        <f>+MINVU_Mes_Corriente!C61*SALUD_Mes_Constante!$C$1</f>
        <v>0</v>
      </c>
      <c r="D61" s="8">
        <f>+MINVU_Mes_Corriente!D61*SALUD_Mes_Constante!$C$1</f>
        <v>3728821.9744920665</v>
      </c>
      <c r="E61" s="8">
        <f>+MINVU_Mes_Corriente!E61*SALUD_Mes_Constante!$C$1</f>
        <v>3728821.9744920665</v>
      </c>
      <c r="F61" s="8">
        <f>+MINVU_Mes_Corriente!F61*SALUD_Mes_Constante!$C$1</f>
        <v>3728821.9744920665</v>
      </c>
      <c r="G61" s="8">
        <f>+MINVU_Mes_Corriente!G61*SALUD_Mes_Constante!$C$1</f>
        <v>3728821.9744920665</v>
      </c>
      <c r="H61" s="8">
        <f>+MINVU_Mes_Corriente!H61*SALUD_Mes_Constante!$C$1</f>
        <v>3728821.9744920665</v>
      </c>
      <c r="I61" s="8">
        <f>+MINVU_Mes_Corriente!I61*SALUD_Mes_Constante!$C$1</f>
        <v>3728821.9744920665</v>
      </c>
      <c r="J61" s="8">
        <f>+MINVU_Mes_Corriente!J61*SALUD_Mes_Constante!$C$1</f>
        <v>4096605.1018834352</v>
      </c>
      <c r="K61" s="8">
        <f>+MINVU_Mes_Corriente!K61*SALUD_Mes_Constante!$C$1</f>
        <v>4129810.8734984435</v>
      </c>
      <c r="L61" s="8">
        <f>+MINVU_Mes_Corriente!L61*SALUD_Mes_Constante!$C$1</f>
        <v>4129810.8734984435</v>
      </c>
      <c r="M61" s="8">
        <f>+MINVU_Mes_Corriente!M61*SALUD_Mes_Constante!$C$1</f>
        <v>2468751.0075633996</v>
      </c>
      <c r="N61" s="8">
        <f>+MINVU_Mes_Corriente!N61*SALUD_Mes_Constante!$C$1</f>
        <v>2468751.0075633996</v>
      </c>
      <c r="O61" s="9">
        <f t="shared" si="19"/>
        <v>2468751.0075633996</v>
      </c>
      <c r="P61" s="8">
        <f>+MINVU_Mes_Corriente!P61*SALUD_Mes_Constante!$P$1</f>
        <v>0</v>
      </c>
      <c r="Q61" s="8">
        <f>+MINVU_Mes_Corriente!Q61*SALUD_Mes_Constante!$P$1</f>
        <v>0</v>
      </c>
      <c r="R61" s="8">
        <f>+MINVU_Mes_Corriente!R61*SALUD_Mes_Constante!$P$1</f>
        <v>1372121.8184401188</v>
      </c>
      <c r="S61" s="8">
        <f>+MINVU_Mes_Corriente!S61*SALUD_Mes_Constante!$P$1</f>
        <v>1682475.1666429883</v>
      </c>
      <c r="T61" s="8">
        <f>+MINVU_Mes_Corriente!T61*SALUD_Mes_Constante!$P$1</f>
        <v>1687768.1997442811</v>
      </c>
      <c r="U61" s="8">
        <f>+MINVU_Mes_Corriente!U61*SALUD_Mes_Constante!$P$1</f>
        <v>1687768.1997442811</v>
      </c>
      <c r="V61" s="8">
        <f>+MINVU_Mes_Corriente!V61*SALUD_Mes_Constante!$P$1</f>
        <v>2501861.5260690427</v>
      </c>
      <c r="W61" s="8">
        <f>+MINVU_Mes_Corriente!W61*SALUD_Mes_Constante!$P$1</f>
        <v>2877221.3922432153</v>
      </c>
      <c r="X61" s="8">
        <f>+MINVU_Mes_Corriente!X61*SALUD_Mes_Constante!$P$1</f>
        <v>2877221.3922432153</v>
      </c>
      <c r="Y61" s="8">
        <f>+MINVU_Mes_Corriente!Y61*SALUD_Mes_Constante!$P$1</f>
        <v>2877221.3922432153</v>
      </c>
      <c r="Z61" s="8">
        <f>+MINVU_Mes_Corriente!Z61*SALUD_Mes_Constante!$P$1</f>
        <v>2896822.6890183254</v>
      </c>
      <c r="AA61" s="8">
        <f>+MINVU_Mes_Corriente!AA61*SALUD_Mes_Constante!$P$1</f>
        <v>1229751.6456883075</v>
      </c>
      <c r="AB61" s="9">
        <f t="shared" si="20"/>
        <v>1229751.6456883075</v>
      </c>
      <c r="AC61" s="8">
        <f>+MINVU_Mes_Corriente!AC61*SALUD_Mes_Constante!$AC$1</f>
        <v>0</v>
      </c>
      <c r="AD61" s="8">
        <f>+MINVU_Mes_Corriente!AD61*SALUD_Mes_Constante!$AC$1</f>
        <v>2701233.9673537142</v>
      </c>
      <c r="AE61" s="8">
        <f>+MINVU_Mes_Corriente!AE61*SALUD_Mes_Constante!$AC$1</f>
        <v>2701233.9673537142</v>
      </c>
      <c r="AF61" s="8">
        <f>+MINVU_Mes_Corriente!AF61*SALUD_Mes_Constante!$AC$1</f>
        <v>4166528.6086595654</v>
      </c>
      <c r="AG61" s="8">
        <f>+MINVU_Mes_Corriente!AG61*SALUD_Mes_Constante!$AC$1</f>
        <v>7082355.9266841887</v>
      </c>
      <c r="AH61" s="8">
        <f>+MINVU_Mes_Corriente!AH61*SALUD_Mes_Constante!$AC$1</f>
        <v>7082355.9266841887</v>
      </c>
      <c r="AI61" s="8">
        <f>+MINVU_Mes_Corriente!AI61*SALUD_Mes_Constante!$AC$1</f>
        <v>7832806.9293124909</v>
      </c>
      <c r="AJ61" s="8">
        <f>+MINVU_Mes_Corriente!AJ61*SALUD_Mes_Constante!$AC$1</f>
        <v>7832806.9293124909</v>
      </c>
      <c r="AK61" s="8">
        <f>+MINVU_Mes_Corriente!AK61*SALUD_Mes_Constante!$AC$1</f>
        <v>7755461.912851017</v>
      </c>
      <c r="AL61" s="8">
        <f>+MINVU_Mes_Corriente!AL61*SALUD_Mes_Constante!$AC$1</f>
        <v>6667113.5158389816</v>
      </c>
      <c r="AM61" s="8">
        <f>+MINVU_Mes_Corriente!AM61*SALUD_Mes_Constante!$AC$1</f>
        <v>5221452.121178586</v>
      </c>
      <c r="AN61" s="8">
        <f>+MINVU_Mes_Corriente!AN61*SALUD_Mes_Constante!$AC$1</f>
        <v>2208311.0065015908</v>
      </c>
      <c r="AO61" s="9">
        <f t="shared" si="21"/>
        <v>2208311.0065015908</v>
      </c>
      <c r="AP61" s="8">
        <f>+MINVU_Mes_Corriente!AP61*SALUD_Mes_Constante!$AP$1</f>
        <v>0</v>
      </c>
      <c r="AQ61" s="8">
        <f>+MINVU_Mes_Corriente!AQ61*SALUD_Mes_Constante!$AP$1</f>
        <v>4388332.6503449203</v>
      </c>
      <c r="AR61" s="8">
        <f>+MINVU_Mes_Corriente!AR61*SALUD_Mes_Constante!$AP$1</f>
        <v>7684241.1689435951</v>
      </c>
      <c r="AS61" s="8">
        <f>+MINVU_Mes_Corriente!AS61*SALUD_Mes_Constante!$AP$1</f>
        <v>7684241.1689435951</v>
      </c>
      <c r="AT61" s="8">
        <f>+MINVU_Mes_Corriente!AT61*SALUD_Mes_Constante!$AP$1</f>
        <v>7684241.1689435951</v>
      </c>
      <c r="AU61" s="8">
        <f>+MINVU_Mes_Corriente!AU61*SALUD_Mes_Constante!$AP$1</f>
        <v>7684241.1689435951</v>
      </c>
      <c r="AV61" s="8">
        <f>+MINVU_Mes_Corriente!AV61*SALUD_Mes_Constante!$AP$1</f>
        <v>8161469.2817530092</v>
      </c>
      <c r="AW61" s="8">
        <f>+MINVU_Mes_Corriente!AW61*SALUD_Mes_Constante!$AP$1</f>
        <v>8161469.2817530092</v>
      </c>
      <c r="AX61" s="8">
        <f>+MINVU_Mes_Corriente!AX61*SALUD_Mes_Constante!$AP$1</f>
        <v>8161469.2817530092</v>
      </c>
      <c r="AY61" s="8">
        <f>+MINVU_Mes_Corriente!AY61*SALUD_Mes_Constante!$AP$1</f>
        <v>8161469.2817530092</v>
      </c>
      <c r="AZ61" s="8">
        <f>+MINVU_Mes_Corriente!AZ61*SALUD_Mes_Constante!$AP$1</f>
        <v>8161469.2817530092</v>
      </c>
      <c r="BA61" s="8">
        <f>+MINVU_Mes_Corriente!BA61*SALUD_Mes_Constante!$AP$1</f>
        <v>2941287.1805762206</v>
      </c>
      <c r="BB61" s="9">
        <f t="shared" si="22"/>
        <v>2941287.1805762206</v>
      </c>
      <c r="BC61" s="8">
        <f>+MINVU_Mes_Corriente!BC61*SALUD_Mes_Constante!$BC$1</f>
        <v>0</v>
      </c>
      <c r="BD61" s="8">
        <f>+MINVU_Mes_Corriente!BD61*SALUD_Mes_Constante!$BC$1</f>
        <v>0</v>
      </c>
      <c r="BE61" s="8">
        <f>+MINVU_Mes_Corriente!BE61*SALUD_Mes_Constante!$BC$1</f>
        <v>3746433.6175656081</v>
      </c>
      <c r="BF61" s="8">
        <f>+MINVU_Mes_Corriente!BF61*SALUD_Mes_Constante!$BC$1</f>
        <v>6797902.7450876981</v>
      </c>
      <c r="BG61" s="8">
        <f>+MINVU_Mes_Corriente!BG61*SALUD_Mes_Constante!$BC$1</f>
        <v>6797902.7450876981</v>
      </c>
      <c r="BH61" s="8">
        <f>+MINVU_Mes_Corriente!BH61*SALUD_Mes_Constante!$BC$1</f>
        <v>7805130.6725570373</v>
      </c>
      <c r="BI61" s="8">
        <f>+MINVU_Mes_Corriente!BI61*SALUD_Mes_Constante!$BC$1</f>
        <v>7805130.6725570373</v>
      </c>
      <c r="BJ61" s="8">
        <f>+MINVU_Mes_Corriente!BJ61*SALUD_Mes_Constante!$BC$1</f>
        <v>7760165.9248318626</v>
      </c>
      <c r="BK61" s="8">
        <f>+MINVU_Mes_Corriente!BK61*SALUD_Mes_Constante!$BC$1</f>
        <v>7760165.9248318626</v>
      </c>
      <c r="BL61" s="8">
        <f>+MINVU_Mes_Corriente!BL61*SALUD_Mes_Constante!$BC$1</f>
        <v>6055842.4834498232</v>
      </c>
      <c r="BM61" s="8">
        <f>+MINVU_Mes_Corriente!BM61*SALUD_Mes_Constante!$BC$1</f>
        <v>6055842.4834498232</v>
      </c>
      <c r="BN61" s="8">
        <f>+MINVU_Mes_Corriente!BN61*SALUD_Mes_Constante!$BC$1</f>
        <v>5111859.4252934204</v>
      </c>
      <c r="BO61" s="9">
        <f t="shared" si="23"/>
        <v>5111859.4252934204</v>
      </c>
      <c r="BP61" s="8">
        <f>+MINVU_Mes_Corriente!BP61*SALUD_Mes_Constante!$BP$1</f>
        <v>0</v>
      </c>
      <c r="BQ61" s="8">
        <f>+MINVU_Mes_Corriente!BQ61*SALUD_Mes_Constante!$BP$1</f>
        <v>0</v>
      </c>
      <c r="BR61" s="8">
        <f>+MINVU_Mes_Corriente!BR61*SALUD_Mes_Constante!$BP$1</f>
        <v>3368268.9587708069</v>
      </c>
      <c r="BS61" s="8">
        <f>+MINVU_Mes_Corriente!BS61*SALUD_Mes_Constante!$BP$1</f>
        <v>3368268.9587708069</v>
      </c>
      <c r="BT61" s="8">
        <f>+MINVU_Mes_Corriente!BT61*SALUD_Mes_Constante!$BP$1</f>
        <v>3368268.9587708069</v>
      </c>
      <c r="BU61" s="8">
        <f>+MINVU_Mes_Corriente!BU61*SALUD_Mes_Constante!$BP$1</f>
        <v>3368268.9587708069</v>
      </c>
      <c r="BV61" s="8">
        <f>+MINVU_Mes_Corriente!BV61*SALUD_Mes_Constante!$BP$1</f>
        <v>4251428.3108834829</v>
      </c>
      <c r="BW61" s="8">
        <f>+MINVU_Mes_Corriente!BW61*SALUD_Mes_Constante!$BP$1</f>
        <v>4251428.3108834829</v>
      </c>
      <c r="BX61" s="8">
        <f>+MINVU_Mes_Corriente!BX61*SALUD_Mes_Constante!$BP$1</f>
        <v>3762479.3185659414</v>
      </c>
      <c r="BY61" s="8">
        <f>+MINVU_Mes_Corriente!BY61*SALUD_Mes_Constante!$BP$1</f>
        <v>3762479.3185659414</v>
      </c>
      <c r="BZ61" s="8">
        <f>+MINVU_Mes_Corriente!BZ61*SALUD_Mes_Constante!$BP$1</f>
        <v>3762479.3185659414</v>
      </c>
      <c r="CA61" s="8">
        <f>+MINVU_Mes_Corriente!CA61*SALUD_Mes_Constante!$BP$1</f>
        <v>3762479.3185659414</v>
      </c>
      <c r="CB61" s="9">
        <f t="shared" si="24"/>
        <v>3762479.3185659414</v>
      </c>
      <c r="CC61" s="8">
        <f>+MINVU_Mes_Corriente!CC61*SALUD_Mes_Constante!$CC$1</f>
        <v>0</v>
      </c>
      <c r="CD61" s="8">
        <f>+MINVU_Mes_Corriente!CD61*SALUD_Mes_Constante!$CC$1</f>
        <v>0</v>
      </c>
      <c r="CE61" s="8">
        <f>+MINVU_Mes_Corriente!CE61*SALUD_Mes_Constante!$CC$1</f>
        <v>3087524.8578888476</v>
      </c>
      <c r="CF61" s="8">
        <f>+MINVU_Mes_Corriente!CF61*SALUD_Mes_Constante!$CC$1</f>
        <v>3879770.5714285718</v>
      </c>
      <c r="CG61" s="8">
        <f>+MINVU_Mes_Corriente!CG61*SALUD_Mes_Constante!$CC$1</f>
        <v>3879770.5714285718</v>
      </c>
      <c r="CH61" s="8">
        <f>+MINVU_Mes_Corriente!CH61*SALUD_Mes_Constante!$CC$1</f>
        <v>3879770.5714285718</v>
      </c>
      <c r="CI61" s="8">
        <f>+MINVU_Mes_Corriente!CI61*SALUD_Mes_Constante!$CC$1</f>
        <v>3879770.5714285718</v>
      </c>
      <c r="CJ61" s="8">
        <f>+MINVU_Mes_Corriente!CJ61*SALUD_Mes_Constante!$CC$1</f>
        <v>3883405.7791868709</v>
      </c>
      <c r="CK61" s="8">
        <f>+MINVU_Mes_Corriente!CK61*SALUD_Mes_Constante!$CC$1</f>
        <v>3883405.7791868709</v>
      </c>
      <c r="CL61" s="8">
        <f>+MINVU_Mes_Corriente!CL61*SALUD_Mes_Constante!$CC$1</f>
        <v>3883405.7791868709</v>
      </c>
      <c r="CM61" s="8">
        <f>+MINVU_Mes_Corriente!CM61*SALUD_Mes_Constante!$CC$1</f>
        <v>3883405.7791868709</v>
      </c>
      <c r="CN61" s="8">
        <f>+MINVU_Mes_Corriente!CN61*SALUD_Mes_Constante!$CC$1</f>
        <v>2900471.9552405821</v>
      </c>
      <c r="CO61" s="9">
        <f t="shared" si="25"/>
        <v>2900471.9552405821</v>
      </c>
      <c r="CP61" s="8">
        <f>+MINVU_Mes_Corriente!CP61*SALUD_Mes_Constante!$CP$1</f>
        <v>0</v>
      </c>
      <c r="CQ61" s="8">
        <f>+MINVU_Mes_Corriente!CQ61*SALUD_Mes_Constante!$CP$1</f>
        <v>2934732.4726218092</v>
      </c>
      <c r="CR61" s="8">
        <f>+MINVU_Mes_Corriente!CR61*SALUD_Mes_Constante!$CP$1</f>
        <v>2934732.4726218092</v>
      </c>
      <c r="CS61" s="8">
        <f>+MINVU_Mes_Corriente!CS61*SALUD_Mes_Constante!$CP$1</f>
        <v>2934732.4726218092</v>
      </c>
      <c r="CT61" s="8">
        <f>+MINVU_Mes_Corriente!CT61*SALUD_Mes_Constante!$CP$1</f>
        <v>2934732.4726218092</v>
      </c>
      <c r="CU61" s="8">
        <f>+MINVU_Mes_Corriente!CU61*SALUD_Mes_Constante!$CP$1</f>
        <v>2934732.4726218092</v>
      </c>
      <c r="CV61" s="8">
        <f>+MINVU_Mes_Corriente!CV61*SALUD_Mes_Constante!$CP$1</f>
        <v>2934732.4726218092</v>
      </c>
      <c r="CW61" s="8">
        <f>+MINVU_Mes_Corriente!CW61*SALUD_Mes_Constante!$CP$1</f>
        <v>2934732.4726218092</v>
      </c>
      <c r="CX61" s="8">
        <f>+MINVU_Mes_Corriente!CX61*SALUD_Mes_Constante!$CP$1</f>
        <v>2934732.4726218092</v>
      </c>
      <c r="CY61" s="8">
        <f>+MINVU_Mes_Corriente!CY61*SALUD_Mes_Constante!$CP$1</f>
        <v>1880073.0709976794</v>
      </c>
      <c r="CZ61" s="8">
        <f>+MINVU_Mes_Corriente!CZ61*SALUD_Mes_Constante!$CP$1</f>
        <v>1880073.0709976794</v>
      </c>
      <c r="DA61" s="8">
        <f>+MINVU_Mes_Corriente!DA61*SALUD_Mes_Constante!$CP$1</f>
        <v>1410474.3515081203</v>
      </c>
      <c r="DB61" s="9">
        <f t="shared" si="26"/>
        <v>1410474.3515081203</v>
      </c>
      <c r="DC61" s="8">
        <f>+MINVU_Mes_Corriente!DC61*SALUD_Mes_Constante!$DC$1</f>
        <v>0</v>
      </c>
      <c r="DD61" s="8">
        <f>+MINVU_Mes_Corriente!DD61*SALUD_Mes_Constante!$DC$1</f>
        <v>3893706.7462195265</v>
      </c>
      <c r="DE61" s="8">
        <f>+MINVU_Mes_Corriente!DE61*SALUD_Mes_Constante!$DC$1</f>
        <v>3893706.7462195265</v>
      </c>
      <c r="DF61" s="8">
        <f>+MINVU_Mes_Corriente!DF61*SALUD_Mes_Constante!$DC$1</f>
        <v>3893706.7462195265</v>
      </c>
      <c r="DG61" s="8">
        <f>+MINVU_Mes_Corriente!DG61*SALUD_Mes_Constante!$DC$1</f>
        <v>3893706.7462195265</v>
      </c>
      <c r="DH61" s="8">
        <f>+MINVU_Mes_Corriente!DH61*SALUD_Mes_Constante!$DC$1</f>
        <v>3893706.7462195265</v>
      </c>
      <c r="DI61" s="8">
        <f>+MINVU_Mes_Corriente!DI61*SALUD_Mes_Constante!$DC$1</f>
        <v>1895089.4671330119</v>
      </c>
      <c r="DJ61" s="8">
        <f>+MINVU_Mes_Corriente!DJ61*SALUD_Mes_Constante!$DC$1</f>
        <v>1895089.4671330119</v>
      </c>
      <c r="DK61" s="8">
        <f>+MINVU_Mes_Corriente!DK61*SALUD_Mes_Constante!$DC$1</f>
        <v>1895089.4671330119</v>
      </c>
      <c r="DL61" s="8">
        <f>+MINVU_Mes_Corriente!DL61*SALUD_Mes_Constante!$DC$1</f>
        <v>1895089.4671330119</v>
      </c>
      <c r="DM61" s="8">
        <f>+MINVU_Mes_Corriente!DM61*SALUD_Mes_Constante!$DC$1</f>
        <v>317205.79899187339</v>
      </c>
      <c r="DN61" s="8">
        <f>+MINVU_Mes_Corriente!DN61*SALUD_Mes_Constante!$DC$1</f>
        <v>317205.79899187339</v>
      </c>
      <c r="DO61" s="9">
        <f t="shared" si="27"/>
        <v>317205.79899187339</v>
      </c>
      <c r="DP61" s="8">
        <f>+MINVU_Mes_Corriente!DP61*SALUD_Mes_Constante!$DP$1</f>
        <v>0</v>
      </c>
      <c r="DQ61" s="8">
        <f>+MINVU_Mes_Corriente!DQ61*SALUD_Mes_Constante!$DP$1</f>
        <v>1340824.7921615203</v>
      </c>
      <c r="DR61" s="8">
        <f>+MINVU_Mes_Corriente!DR61*SALUD_Mes_Constante!$DP$1</f>
        <v>1340824.7921615203</v>
      </c>
      <c r="DS61" s="8">
        <f>+MINVU_Mes_Corriente!DS61*SALUD_Mes_Constante!$DP$1</f>
        <v>1340824.7921615203</v>
      </c>
      <c r="DT61" s="8">
        <f>+MINVU_Mes_Corriente!DT61*SALUD_Mes_Constante!$DP$1</f>
        <v>1341114.5950118767</v>
      </c>
      <c r="DU61" s="8">
        <f>+MINVU_Mes_Corriente!DU61*SALUD_Mes_Constante!$DP$1</f>
        <v>1934571.3580760097</v>
      </c>
      <c r="DV61" s="8">
        <f>+MINVU_Mes_Corriente!DV61*SALUD_Mes_Constante!$DP$1</f>
        <v>5345690.4014251791</v>
      </c>
      <c r="DW61" s="8">
        <f>+MINVU_Mes_Corriente!DW61*SALUD_Mes_Constante!$DP$1</f>
        <v>5345690.4014251791</v>
      </c>
      <c r="DX61" s="8">
        <f>+MINVU_Mes_Corriente!DX61*SALUD_Mes_Constante!$DP$1</f>
        <v>5345690.4014251791</v>
      </c>
      <c r="DY61" s="8">
        <f>+MINVU_Mes_Corriente!DY61*SALUD_Mes_Constante!$DP$1</f>
        <v>5932776.9085510699</v>
      </c>
      <c r="DZ61" s="8">
        <f>+MINVU_Mes_Corriente!DZ61*SALUD_Mes_Constante!$DP$1</f>
        <v>5932776.9085510699</v>
      </c>
      <c r="EA61" s="8">
        <f>+MINVU_Mes_Corriente!EA61*SALUD_Mes_Constante!$DP$1</f>
        <v>1207826.910926366</v>
      </c>
      <c r="EB61" s="9">
        <f t="shared" si="28"/>
        <v>1207826.910926366</v>
      </c>
      <c r="EC61" s="8">
        <f>+MINVU_Mes_Corriente!EC61*SALUD_Mes_Constante!$EC$1</f>
        <v>0</v>
      </c>
      <c r="ED61" s="8">
        <f>+MINVU_Mes_Corriente!ED61*SALUD_Mes_Constante!$EC$1</f>
        <v>3735223.0622988059</v>
      </c>
      <c r="EE61" s="8">
        <f>+MINVU_Mes_Corriente!EE61*SALUD_Mes_Constante!$EC$1</f>
        <v>5296514.5319068339</v>
      </c>
      <c r="EF61" s="8">
        <f>+MINVU_Mes_Corriente!EF61*SALUD_Mes_Constante!$EC$1</f>
        <v>8291730.2277977625</v>
      </c>
      <c r="EG61" s="8">
        <f>+MINVU_Mes_Corriente!EG61*SALUD_Mes_Constante!$EC$1</f>
        <v>8291730.2277977625</v>
      </c>
      <c r="EH61" s="8">
        <f>+MINVU_Mes_Corriente!EH61*SALUD_Mes_Constante!$EC$1</f>
        <v>6099038.6455216799</v>
      </c>
      <c r="EI61" s="8">
        <f>+MINVU_Mes_Corriente!EI61*SALUD_Mes_Constante!$EC$1</f>
        <v>6099038.6455216799</v>
      </c>
      <c r="EJ61" s="8">
        <f>+MINVU_Mes_Corriente!EJ61*SALUD_Mes_Constante!$EC$1</f>
        <v>6099038.6455216799</v>
      </c>
      <c r="EK61" s="8">
        <f>+MINVU_Mes_Corriente!EK61*SALUD_Mes_Constante!$EC$1</f>
        <v>6099038.6455216799</v>
      </c>
      <c r="EL61" s="8">
        <f>+MINVU_Mes_Corriente!EL61*SALUD_Mes_Constante!$EC$1</f>
        <v>5116876.8990721442</v>
      </c>
      <c r="EM61" s="8">
        <f>+MINVU_Mes_Corriente!EM61*SALUD_Mes_Constante!$EC$1</f>
        <v>2992596.435144858</v>
      </c>
      <c r="EN61" s="8">
        <f>+MINVU_Mes_Corriente!EN61*SALUD_Mes_Constante!$EC$1</f>
        <v>2992596.435144858</v>
      </c>
      <c r="EO61" s="9">
        <f t="shared" si="29"/>
        <v>2992596.435144858</v>
      </c>
      <c r="EP61" s="8">
        <f>+MINVU_Mes_Corriente!EP61*SALUD_Mes_Constante!$EP$1</f>
        <v>0</v>
      </c>
      <c r="EQ61" s="8">
        <f>+MINVU_Mes_Corriente!EQ61*SALUD_Mes_Constante!$EP$1</f>
        <v>9973389</v>
      </c>
      <c r="ER61" s="8">
        <f>+MINVU_Mes_Corriente!ER61*SALUD_Mes_Constante!$EP$1</f>
        <v>9973389</v>
      </c>
      <c r="ES61" s="8">
        <f>+MINVU_Mes_Corriente!ES61*SALUD_Mes_Constante!$EP$1</f>
        <v>9973389</v>
      </c>
      <c r="ET61" s="8">
        <f>+MINVU_Mes_Corriente!ET61*SALUD_Mes_Constante!$EP$1</f>
        <v>9973389</v>
      </c>
      <c r="EU61" s="8">
        <f>+MINVU_Mes_Corriente!EU61*SALUD_Mes_Constante!$EP$1</f>
        <v>9973389</v>
      </c>
      <c r="EV61" s="8">
        <f>+MINVU_Mes_Corriente!EV61*SALUD_Mes_Constante!$EP$1</f>
        <v>9973389</v>
      </c>
      <c r="EW61" s="8">
        <f>+MINVU_Mes_Corriente!EW61*SALUD_Mes_Constante!$EP$1</f>
        <v>9973389</v>
      </c>
      <c r="EX61" s="8">
        <f>+MINVU_Mes_Corriente!EX61*SALUD_Mes_Constante!$EP$1</f>
        <v>7847247</v>
      </c>
      <c r="EY61" s="8">
        <f>+MINVU_Mes_Corriente!EY61*SALUD_Mes_Constante!$EP$1</f>
        <v>7847247</v>
      </c>
      <c r="EZ61" s="8">
        <f>+MINVU_Mes_Corriente!EZ61*SALUD_Mes_Constante!$EP$1</f>
        <v>7847247</v>
      </c>
      <c r="FA61" s="8">
        <f>+MINVU_Mes_Corriente!FA61*SALUD_Mes_Constante!$EP$1</f>
        <v>6716609</v>
      </c>
      <c r="FB61" s="9">
        <f t="shared" si="30"/>
        <v>6716609</v>
      </c>
      <c r="FC61" s="8">
        <f>+MINVU_Mes_Corriente!FC61*SALUD_Mes_Constante!$FC$1</f>
        <v>3495611</v>
      </c>
      <c r="FD61" s="8">
        <f>+MINVU_Mes_Corriente!FD61*SALUD_Mes_Constante!$FC$1</f>
        <v>3495611</v>
      </c>
      <c r="FE61" s="8">
        <f>+MINVU_Mes_Corriente!FE61*SALUD_Mes_Constante!$FC$1</f>
        <v>3495611</v>
      </c>
      <c r="FF61" s="8">
        <f>+MINVU_Mes_Corriente!FF61*SALUD_Mes_Constante!$FC$1</f>
        <v>3495611</v>
      </c>
      <c r="FG61" s="8">
        <f>+MINVU_Mes_Corriente!FG61*SALUD_Mes_Constante!$FC$1</f>
        <v>3495611</v>
      </c>
      <c r="FH61" s="8">
        <f>+MINVU_Mes_Corriente!FH61*SALUD_Mes_Constante!$FC$1</f>
        <v>3495611</v>
      </c>
      <c r="FI61" s="8">
        <f>+MINVU_Mes_Corriente!FI61*SALUD_Mes_Constante!$FC$1</f>
        <v>3495611</v>
      </c>
      <c r="FJ61" s="8"/>
      <c r="FK61" s="8"/>
      <c r="FL61" s="8"/>
      <c r="FM61" s="8"/>
      <c r="FN61" s="8"/>
      <c r="FO61" s="9">
        <f t="shared" si="31"/>
        <v>3495611</v>
      </c>
    </row>
    <row r="62" spans="2:171" ht="14.25" customHeight="1" x14ac:dyDescent="0.3">
      <c r="B62" s="7" t="s">
        <v>61</v>
      </c>
      <c r="C62" s="8">
        <f>+MINVU_Mes_Corriente!C62*SALUD_Mes_Constante!$C$1</f>
        <v>0</v>
      </c>
      <c r="D62" s="8">
        <f>+MINVU_Mes_Corriente!D62*SALUD_Mes_Constante!$C$1</f>
        <v>0</v>
      </c>
      <c r="E62" s="8">
        <f>+MINVU_Mes_Corriente!E62*SALUD_Mes_Constante!$C$1</f>
        <v>1675780.7186712148</v>
      </c>
      <c r="F62" s="8">
        <f>+MINVU_Mes_Corriente!F62*SALUD_Mes_Constante!$C$1</f>
        <v>1675780.7186712148</v>
      </c>
      <c r="G62" s="8">
        <f>+MINVU_Mes_Corriente!G62*SALUD_Mes_Constante!$C$1</f>
        <v>1675780.7186712148</v>
      </c>
      <c r="H62" s="8">
        <f>+MINVU_Mes_Corriente!H62*SALUD_Mes_Constante!$C$1</f>
        <v>1675780.7186712148</v>
      </c>
      <c r="I62" s="8">
        <f>+MINVU_Mes_Corriente!I62*SALUD_Mes_Constante!$C$1</f>
        <v>1675780.7186712148</v>
      </c>
      <c r="J62" s="8">
        <f>+MINVU_Mes_Corriente!J62*SALUD_Mes_Constante!$C$1</f>
        <v>1968324.6522319445</v>
      </c>
      <c r="K62" s="8">
        <f>+MINVU_Mes_Corriente!K62*SALUD_Mes_Constante!$C$1</f>
        <v>1955734.5558356817</v>
      </c>
      <c r="L62" s="8">
        <f>+MINVU_Mes_Corriente!L62*SALUD_Mes_Constante!$C$1</f>
        <v>1955734.5558356817</v>
      </c>
      <c r="M62" s="8">
        <f>+MINVU_Mes_Corriente!M62*SALUD_Mes_Constante!$C$1</f>
        <v>1568110.2791042565</v>
      </c>
      <c r="N62" s="8">
        <f>+MINVU_Mes_Corriente!N62*SALUD_Mes_Constante!$C$1</f>
        <v>1568110.2791042565</v>
      </c>
      <c r="O62" s="9">
        <f t="shared" si="19"/>
        <v>1568110.2791042565</v>
      </c>
      <c r="P62" s="8">
        <f>+MINVU_Mes_Corriente!P62*SALUD_Mes_Constante!$P$1</f>
        <v>0</v>
      </c>
      <c r="Q62" s="8">
        <f>+MINVU_Mes_Corriente!Q62*SALUD_Mes_Constante!$P$1</f>
        <v>0</v>
      </c>
      <c r="R62" s="8">
        <f>+MINVU_Mes_Corriente!R62*SALUD_Mes_Constante!$P$1</f>
        <v>1324088.7072027272</v>
      </c>
      <c r="S62" s="8">
        <f>+MINVU_Mes_Corriente!S62*SALUD_Mes_Constante!$P$1</f>
        <v>1873235.4587299326</v>
      </c>
      <c r="T62" s="8">
        <f>+MINVU_Mes_Corriente!T62*SALUD_Mes_Constante!$P$1</f>
        <v>1873235.4587299326</v>
      </c>
      <c r="U62" s="8">
        <f>+MINVU_Mes_Corriente!U62*SALUD_Mes_Constante!$P$1</f>
        <v>3524073.4990765722</v>
      </c>
      <c r="V62" s="8">
        <f>+MINVU_Mes_Corriente!V62*SALUD_Mes_Constante!$P$1</f>
        <v>4490025.652507457</v>
      </c>
      <c r="W62" s="8">
        <f>+MINVU_Mes_Corriente!W62*SALUD_Mes_Constante!$P$1</f>
        <v>4490025.652507457</v>
      </c>
      <c r="X62" s="8">
        <f>+MINVU_Mes_Corriente!X62*SALUD_Mes_Constante!$P$1</f>
        <v>4490025.652507457</v>
      </c>
      <c r="Y62" s="8">
        <f>+MINVU_Mes_Corriente!Y62*SALUD_Mes_Constante!$P$1</f>
        <v>4490025.652507457</v>
      </c>
      <c r="Z62" s="8">
        <f>+MINVU_Mes_Corriente!Z62*SALUD_Mes_Constante!$P$1</f>
        <v>4769504.0090921987</v>
      </c>
      <c r="AA62" s="8">
        <f>+MINVU_Mes_Corriente!AA62*SALUD_Mes_Constante!$P$1</f>
        <v>4717292.350902115</v>
      </c>
      <c r="AB62" s="9">
        <f t="shared" si="20"/>
        <v>4717292.350902115</v>
      </c>
      <c r="AC62" s="8">
        <f>+MINVU_Mes_Corriente!AC62*SALUD_Mes_Constante!$AC$1</f>
        <v>0</v>
      </c>
      <c r="AD62" s="8">
        <f>+MINVU_Mes_Corriente!AD62*SALUD_Mes_Constante!$AC$1</f>
        <v>605184.62581269885</v>
      </c>
      <c r="AE62" s="8">
        <f>+MINVU_Mes_Corriente!AE62*SALUD_Mes_Constante!$AC$1</f>
        <v>605184.62581269885</v>
      </c>
      <c r="AF62" s="8">
        <f>+MINVU_Mes_Corriente!AF62*SALUD_Mes_Constante!$AC$1</f>
        <v>2877822.8540600361</v>
      </c>
      <c r="AG62" s="8">
        <f>+MINVU_Mes_Corriente!AG62*SALUD_Mes_Constante!$AC$1</f>
        <v>6747750.3884354681</v>
      </c>
      <c r="AH62" s="8">
        <f>+MINVU_Mes_Corriente!AH62*SALUD_Mes_Constante!$AC$1</f>
        <v>7296501.8992945086</v>
      </c>
      <c r="AI62" s="8">
        <f>+MINVU_Mes_Corriente!AI62*SALUD_Mes_Constante!$AC$1</f>
        <v>7296501.8992945086</v>
      </c>
      <c r="AJ62" s="8">
        <f>+MINVU_Mes_Corriente!AJ62*SALUD_Mes_Constante!$AC$1</f>
        <v>7299538.3267395217</v>
      </c>
      <c r="AK62" s="8">
        <f>+MINVU_Mes_Corriente!AK62*SALUD_Mes_Constante!$AC$1</f>
        <v>7299538.3267395217</v>
      </c>
      <c r="AL62" s="8">
        <f>+MINVU_Mes_Corriente!AL62*SALUD_Mes_Constante!$AC$1</f>
        <v>7368992.2592336424</v>
      </c>
      <c r="AM62" s="8">
        <f>+MINVU_Mes_Corriente!AM62*SALUD_Mes_Constante!$AC$1</f>
        <v>7368992.2592336424</v>
      </c>
      <c r="AN62" s="8">
        <f>+MINVU_Mes_Corriente!AN62*SALUD_Mes_Constante!$AC$1</f>
        <v>4224176.8991561765</v>
      </c>
      <c r="AO62" s="9">
        <f t="shared" si="21"/>
        <v>4224176.8991561765</v>
      </c>
      <c r="AP62" s="8">
        <f>+MINVU_Mes_Corriente!AP62*SALUD_Mes_Constante!$AP$1</f>
        <v>0</v>
      </c>
      <c r="AQ62" s="8">
        <f>+MINVU_Mes_Corriente!AQ62*SALUD_Mes_Constante!$AP$1</f>
        <v>13957413.010144731</v>
      </c>
      <c r="AR62" s="8">
        <f>+MINVU_Mes_Corriente!AR62*SALUD_Mes_Constante!$AP$1</f>
        <v>13957413.010144731</v>
      </c>
      <c r="AS62" s="8">
        <f>+MINVU_Mes_Corriente!AS62*SALUD_Mes_Constante!$AP$1</f>
        <v>13957413.010144731</v>
      </c>
      <c r="AT62" s="8">
        <f>+MINVU_Mes_Corriente!AT62*SALUD_Mes_Constante!$AP$1</f>
        <v>14037501.048288921</v>
      </c>
      <c r="AU62" s="8">
        <f>+MINVU_Mes_Corriente!AU62*SALUD_Mes_Constante!$AP$1</f>
        <v>14074158.495062897</v>
      </c>
      <c r="AV62" s="8">
        <f>+MINVU_Mes_Corriente!AV62*SALUD_Mes_Constante!$AP$1</f>
        <v>14241611.674557012</v>
      </c>
      <c r="AW62" s="8">
        <f>+MINVU_Mes_Corriente!AW62*SALUD_Mes_Constante!$AP$1</f>
        <v>22260677.918842148</v>
      </c>
      <c r="AX62" s="8">
        <f>+MINVU_Mes_Corriente!AX62*SALUD_Mes_Constante!$AP$1</f>
        <v>22433315.51711078</v>
      </c>
      <c r="AY62" s="8">
        <f>+MINVU_Mes_Corriente!AY62*SALUD_Mes_Constante!$AP$1</f>
        <v>22433315.51711078</v>
      </c>
      <c r="AZ62" s="8">
        <f>+MINVU_Mes_Corriente!AZ62*SALUD_Mes_Constante!$AP$1</f>
        <v>22433315.51711078</v>
      </c>
      <c r="BA62" s="8">
        <f>+MINVU_Mes_Corriente!BA62*SALUD_Mes_Constante!$AP$1</f>
        <v>33724842.164750434</v>
      </c>
      <c r="BB62" s="9">
        <f t="shared" si="22"/>
        <v>33724842.164750434</v>
      </c>
      <c r="BC62" s="8">
        <f>+MINVU_Mes_Corriente!BC62*SALUD_Mes_Constante!$BC$1</f>
        <v>0</v>
      </c>
      <c r="BD62" s="8">
        <f>+MINVU_Mes_Corriente!BD62*SALUD_Mes_Constante!$BC$1</f>
        <v>0</v>
      </c>
      <c r="BE62" s="8">
        <f>+MINVU_Mes_Corriente!BE62*SALUD_Mes_Constante!$BC$1</f>
        <v>51251841.599367015</v>
      </c>
      <c r="BF62" s="8">
        <f>+MINVU_Mes_Corriente!BF62*SALUD_Mes_Constante!$BC$1</f>
        <v>51251841.599367015</v>
      </c>
      <c r="BG62" s="8">
        <f>+MINVU_Mes_Corriente!BG62*SALUD_Mes_Constante!$BC$1</f>
        <v>51251841.599367015</v>
      </c>
      <c r="BH62" s="8">
        <f>+MINVU_Mes_Corriente!BH62*SALUD_Mes_Constante!$BC$1</f>
        <v>51251841.599367015</v>
      </c>
      <c r="BI62" s="8">
        <f>+MINVU_Mes_Corriente!BI62*SALUD_Mes_Constante!$BC$1</f>
        <v>51251841.599367015</v>
      </c>
      <c r="BJ62" s="8">
        <f>+MINVU_Mes_Corriente!BJ62*SALUD_Mes_Constante!$BC$1</f>
        <v>51251841.599367015</v>
      </c>
      <c r="BK62" s="8">
        <f>+MINVU_Mes_Corriente!BK62*SALUD_Mes_Constante!$BC$1</f>
        <v>51251841.599367015</v>
      </c>
      <c r="BL62" s="8">
        <f>+MINVU_Mes_Corriente!BL62*SALUD_Mes_Constante!$BC$1</f>
        <v>51251841.599367015</v>
      </c>
      <c r="BM62" s="8">
        <f>+MINVU_Mes_Corriente!BM62*SALUD_Mes_Constante!$BC$1</f>
        <v>51251841.599367015</v>
      </c>
      <c r="BN62" s="8">
        <f>+MINVU_Mes_Corriente!BN62*SALUD_Mes_Constante!$BC$1</f>
        <v>53699030.740076497</v>
      </c>
      <c r="BO62" s="9">
        <f t="shared" si="23"/>
        <v>53699030.740076497</v>
      </c>
      <c r="BP62" s="8">
        <f>+MINVU_Mes_Corriente!BP62*SALUD_Mes_Constante!$BP$1</f>
        <v>0</v>
      </c>
      <c r="BQ62" s="8">
        <f>+MINVU_Mes_Corriente!BQ62*SALUD_Mes_Constante!$BP$1</f>
        <v>0</v>
      </c>
      <c r="BR62" s="8">
        <f>+MINVU_Mes_Corriente!BR62*SALUD_Mes_Constante!$BP$1</f>
        <v>37749647.567477599</v>
      </c>
      <c r="BS62" s="8">
        <f>+MINVU_Mes_Corriente!BS62*SALUD_Mes_Constante!$BP$1</f>
        <v>39518765.622023053</v>
      </c>
      <c r="BT62" s="8">
        <f>+MINVU_Mes_Corriente!BT62*SALUD_Mes_Constante!$BP$1</f>
        <v>39518765.622023053</v>
      </c>
      <c r="BU62" s="8">
        <f>+MINVU_Mes_Corriente!BU62*SALUD_Mes_Constante!$BP$1</f>
        <v>39518765.622023053</v>
      </c>
      <c r="BV62" s="8">
        <f>+MINVU_Mes_Corriente!BV62*SALUD_Mes_Constante!$BP$1</f>
        <v>86895804.228937268</v>
      </c>
      <c r="BW62" s="8">
        <f>+MINVU_Mes_Corriente!BW62*SALUD_Mes_Constante!$BP$1</f>
        <v>81846523.304481447</v>
      </c>
      <c r="BX62" s="8">
        <f>+MINVU_Mes_Corriente!BX62*SALUD_Mes_Constante!$BP$1</f>
        <v>75835846.712419987</v>
      </c>
      <c r="BY62" s="8">
        <f>+MINVU_Mes_Corriente!BY62*SALUD_Mes_Constante!$BP$1</f>
        <v>75835846.712419987</v>
      </c>
      <c r="BZ62" s="8">
        <f>+MINVU_Mes_Corriente!BZ62*SALUD_Mes_Constante!$BP$1</f>
        <v>75835846.712419987</v>
      </c>
      <c r="CA62" s="8">
        <f>+MINVU_Mes_Corriente!CA62*SALUD_Mes_Constante!$BP$1</f>
        <v>74575544.503713191</v>
      </c>
      <c r="CB62" s="9">
        <f t="shared" si="24"/>
        <v>74575544.503713191</v>
      </c>
      <c r="CC62" s="8">
        <f>+MINVU_Mes_Corriente!CC62*SALUD_Mes_Constante!$CC$1</f>
        <v>0</v>
      </c>
      <c r="CD62" s="8">
        <f>+MINVU_Mes_Corriente!CD62*SALUD_Mes_Constante!$CC$1</f>
        <v>38382472.885490492</v>
      </c>
      <c r="CE62" s="8">
        <f>+MINVU_Mes_Corriente!CE62*SALUD_Mes_Constante!$CC$1</f>
        <v>49996445.462886989</v>
      </c>
      <c r="CF62" s="8">
        <f>+MINVU_Mes_Corriente!CF62*SALUD_Mes_Constante!$CC$1</f>
        <v>49996445.462886989</v>
      </c>
      <c r="CG62" s="8">
        <f>+MINVU_Mes_Corriente!CG62*SALUD_Mes_Constante!$CC$1</f>
        <v>49996445.462886989</v>
      </c>
      <c r="CH62" s="8">
        <f>+MINVU_Mes_Corriente!CH62*SALUD_Mes_Constante!$CC$1</f>
        <v>49996445.462886989</v>
      </c>
      <c r="CI62" s="8">
        <f>+MINVU_Mes_Corriente!CI62*SALUD_Mes_Constante!$CC$1</f>
        <v>49996445.462886989</v>
      </c>
      <c r="CJ62" s="8">
        <f>+MINVU_Mes_Corriente!CJ62*SALUD_Mes_Constante!$CC$1</f>
        <v>49996445.462886989</v>
      </c>
      <c r="CK62" s="8">
        <f>+MINVU_Mes_Corriente!CK62*SALUD_Mes_Constante!$CC$1</f>
        <v>51571511.975382328</v>
      </c>
      <c r="CL62" s="8">
        <f>+MINVU_Mes_Corriente!CL62*SALUD_Mes_Constante!$CC$1</f>
        <v>51571511.975382328</v>
      </c>
      <c r="CM62" s="8">
        <f>+MINVU_Mes_Corriente!CM62*SALUD_Mes_Constante!$CC$1</f>
        <v>51553682.340917572</v>
      </c>
      <c r="CN62" s="8">
        <f>+MINVU_Mes_Corriente!CN62*SALUD_Mes_Constante!$CC$1</f>
        <v>39791577.764267065</v>
      </c>
      <c r="CO62" s="9">
        <f t="shared" si="25"/>
        <v>39791577.764267065</v>
      </c>
      <c r="CP62" s="8">
        <f>+MINVU_Mes_Corriente!CP62*SALUD_Mes_Constante!$CP$1</f>
        <v>0</v>
      </c>
      <c r="CQ62" s="8">
        <f>+MINVU_Mes_Corriente!CQ62*SALUD_Mes_Constante!$CP$1</f>
        <v>33470025.208120644</v>
      </c>
      <c r="CR62" s="8">
        <f>+MINVU_Mes_Corriente!CR62*SALUD_Mes_Constante!$CP$1</f>
        <v>33470025.208120644</v>
      </c>
      <c r="CS62" s="8">
        <f>+MINVU_Mes_Corriente!CS62*SALUD_Mes_Constante!$CP$1</f>
        <v>33470025.208120644</v>
      </c>
      <c r="CT62" s="8">
        <f>+MINVU_Mes_Corriente!CT62*SALUD_Mes_Constante!$CP$1</f>
        <v>33470025.208120644</v>
      </c>
      <c r="CU62" s="8">
        <f>+MINVU_Mes_Corriente!CU62*SALUD_Mes_Constante!$CP$1</f>
        <v>33470025.208120644</v>
      </c>
      <c r="CV62" s="8">
        <f>+MINVU_Mes_Corriente!CV62*SALUD_Mes_Constante!$CP$1</f>
        <v>34180944.030626446</v>
      </c>
      <c r="CW62" s="8">
        <f>+MINVU_Mes_Corriente!CW62*SALUD_Mes_Constante!$CP$1</f>
        <v>34180944.030626446</v>
      </c>
      <c r="CX62" s="8">
        <f>+MINVU_Mes_Corriente!CX62*SALUD_Mes_Constante!$CP$1</f>
        <v>34180944.030626446</v>
      </c>
      <c r="CY62" s="8">
        <f>+MINVU_Mes_Corriente!CY62*SALUD_Mes_Constante!$CP$1</f>
        <v>36945230.90324825</v>
      </c>
      <c r="CZ62" s="8">
        <f>+MINVU_Mes_Corriente!CZ62*SALUD_Mes_Constante!$CP$1</f>
        <v>36833325.594431549</v>
      </c>
      <c r="DA62" s="8">
        <f>+MINVU_Mes_Corriente!DA62*SALUD_Mes_Constante!$CP$1</f>
        <v>33960895.404640362</v>
      </c>
      <c r="DB62" s="9">
        <f t="shared" si="26"/>
        <v>33960895.404640362</v>
      </c>
      <c r="DC62" s="8">
        <f>+MINVU_Mes_Corriente!DC62*SALUD_Mes_Constante!$DC$1</f>
        <v>0</v>
      </c>
      <c r="DD62" s="8">
        <f>+MINVU_Mes_Corriente!DD62*SALUD_Mes_Constante!$DC$1</f>
        <v>16603142.181874301</v>
      </c>
      <c r="DE62" s="8">
        <f>+MINVU_Mes_Corriente!DE62*SALUD_Mes_Constante!$DC$1</f>
        <v>25424766.033329915</v>
      </c>
      <c r="DF62" s="8">
        <f>+MINVU_Mes_Corriente!DF62*SALUD_Mes_Constante!$DC$1</f>
        <v>25424766.033329915</v>
      </c>
      <c r="DG62" s="8">
        <f>+MINVU_Mes_Corriente!DG62*SALUD_Mes_Constante!$DC$1</f>
        <v>25424766.033329915</v>
      </c>
      <c r="DH62" s="8">
        <f>+MINVU_Mes_Corriente!DH62*SALUD_Mes_Constante!$DC$1</f>
        <v>25439749.523300085</v>
      </c>
      <c r="DI62" s="8">
        <f>+MINVU_Mes_Corriente!DI62*SALUD_Mes_Constante!$DC$1</f>
        <v>25529903.3537702</v>
      </c>
      <c r="DJ62" s="8">
        <f>+MINVU_Mes_Corriente!DJ62*SALUD_Mes_Constante!$DC$1</f>
        <v>25961416.850118313</v>
      </c>
      <c r="DK62" s="8">
        <f>+MINVU_Mes_Corriente!DK62*SALUD_Mes_Constante!$DC$1</f>
        <v>25961416.850118313</v>
      </c>
      <c r="DL62" s="8">
        <f>+MINVU_Mes_Corriente!DL62*SALUD_Mes_Constante!$DC$1</f>
        <v>24766363.542433918</v>
      </c>
      <c r="DM62" s="8">
        <f>+MINVU_Mes_Corriente!DM62*SALUD_Mes_Constante!$DC$1</f>
        <v>20536343.703734193</v>
      </c>
      <c r="DN62" s="8">
        <f>+MINVU_Mes_Corriente!DN62*SALUD_Mes_Constante!$DC$1</f>
        <v>19432334.401604783</v>
      </c>
      <c r="DO62" s="9">
        <f t="shared" si="27"/>
        <v>19432334.401604783</v>
      </c>
      <c r="DP62" s="8">
        <f>+MINVU_Mes_Corriente!DP62*SALUD_Mes_Constante!$DP$1</f>
        <v>0</v>
      </c>
      <c r="DQ62" s="8">
        <f>+MINVU_Mes_Corriente!DQ62*SALUD_Mes_Constante!$DP$1</f>
        <v>6406506.1656769598</v>
      </c>
      <c r="DR62" s="8">
        <f>+MINVU_Mes_Corriente!DR62*SALUD_Mes_Constante!$DP$1</f>
        <v>6406506.1656769598</v>
      </c>
      <c r="DS62" s="8">
        <f>+MINVU_Mes_Corriente!DS62*SALUD_Mes_Constante!$DP$1</f>
        <v>6406506.1656769598</v>
      </c>
      <c r="DT62" s="8">
        <f>+MINVU_Mes_Corriente!DT62*SALUD_Mes_Constante!$DP$1</f>
        <v>6406506.1656769598</v>
      </c>
      <c r="DU62" s="8">
        <f>+MINVU_Mes_Corriente!DU62*SALUD_Mes_Constante!$DP$1</f>
        <v>6480497.8076009508</v>
      </c>
      <c r="DV62" s="8">
        <f>+MINVU_Mes_Corriente!DV62*SALUD_Mes_Constante!$DP$1</f>
        <v>12979420.804631831</v>
      </c>
      <c r="DW62" s="8">
        <f>+MINVU_Mes_Corriente!DW62*SALUD_Mes_Constante!$DP$1</f>
        <v>12979420.804631831</v>
      </c>
      <c r="DX62" s="8">
        <f>+MINVU_Mes_Corriente!DX62*SALUD_Mes_Constante!$DP$1</f>
        <v>12979420.804631831</v>
      </c>
      <c r="DY62" s="8">
        <f>+MINVU_Mes_Corriente!DY62*SALUD_Mes_Constante!$DP$1</f>
        <v>12979420.804631831</v>
      </c>
      <c r="DZ62" s="8">
        <f>+MINVU_Mes_Corriente!DZ62*SALUD_Mes_Constante!$DP$1</f>
        <v>12979420.804631831</v>
      </c>
      <c r="EA62" s="8">
        <f>+MINVU_Mes_Corriente!EA62*SALUD_Mes_Constante!$DP$1</f>
        <v>11239355.82007126</v>
      </c>
      <c r="EB62" s="9">
        <f t="shared" si="28"/>
        <v>11239355.82007126</v>
      </c>
      <c r="EC62" s="8">
        <f>+MINVU_Mes_Corriente!EC62*SALUD_Mes_Constante!$EC$1</f>
        <v>0</v>
      </c>
      <c r="ED62" s="8">
        <f>+MINVU_Mes_Corriente!ED62*SALUD_Mes_Constante!$EC$1</f>
        <v>8491908.1613330785</v>
      </c>
      <c r="EE62" s="8">
        <f>+MINVU_Mes_Corriente!EE62*SALUD_Mes_Constante!$EC$1</f>
        <v>11165784.42491952</v>
      </c>
      <c r="EF62" s="8">
        <f>+MINVU_Mes_Corriente!EF62*SALUD_Mes_Constante!$EC$1</f>
        <v>11304659.036546106</v>
      </c>
      <c r="EG62" s="8">
        <f>+MINVU_Mes_Corriente!EG62*SALUD_Mes_Constante!$EC$1</f>
        <v>12279554.713690585</v>
      </c>
      <c r="EH62" s="8">
        <f>+MINVU_Mes_Corriente!EH62*SALUD_Mes_Constante!$EC$1</f>
        <v>10308571.346903993</v>
      </c>
      <c r="EI62" s="8">
        <f>+MINVU_Mes_Corriente!EI62*SALUD_Mes_Constante!$EC$1</f>
        <v>10339325.936943758</v>
      </c>
      <c r="EJ62" s="8">
        <f>+MINVU_Mes_Corriente!EJ62*SALUD_Mes_Constante!$EC$1</f>
        <v>10339325.936943758</v>
      </c>
      <c r="EK62" s="8">
        <f>+MINVU_Mes_Corriente!EK62*SALUD_Mes_Constante!$EC$1</f>
        <v>9012069.3459572028</v>
      </c>
      <c r="EL62" s="8">
        <f>+MINVU_Mes_Corriente!EL62*SALUD_Mes_Constante!$EC$1</f>
        <v>7846220.0433629965</v>
      </c>
      <c r="EM62" s="8">
        <f>+MINVU_Mes_Corriente!EM62*SALUD_Mes_Constante!$EC$1</f>
        <v>7858149.4726377558</v>
      </c>
      <c r="EN62" s="8">
        <f>+MINVU_Mes_Corriente!EN62*SALUD_Mes_Constante!$EC$1</f>
        <v>7752148.0316227963</v>
      </c>
      <c r="EO62" s="9">
        <f t="shared" si="29"/>
        <v>7752148.0316227963</v>
      </c>
      <c r="EP62" s="8">
        <f>+MINVU_Mes_Corriente!EP62*SALUD_Mes_Constante!$EP$1</f>
        <v>0</v>
      </c>
      <c r="EQ62" s="8">
        <f>+MINVU_Mes_Corriente!EQ62*SALUD_Mes_Constante!$EP$1</f>
        <v>693751</v>
      </c>
      <c r="ER62" s="8">
        <f>+MINVU_Mes_Corriente!ER62*SALUD_Mes_Constante!$EP$1</f>
        <v>759551</v>
      </c>
      <c r="ES62" s="8">
        <f>+MINVU_Mes_Corriente!ES62*SALUD_Mes_Constante!$EP$1</f>
        <v>759551</v>
      </c>
      <c r="ET62" s="8">
        <f>+MINVU_Mes_Corriente!ET62*SALUD_Mes_Constante!$EP$1</f>
        <v>759551</v>
      </c>
      <c r="EU62" s="8">
        <f>+MINVU_Mes_Corriente!EU62*SALUD_Mes_Constante!$EP$1</f>
        <v>18297095</v>
      </c>
      <c r="EV62" s="8">
        <f>+MINVU_Mes_Corriente!EV62*SALUD_Mes_Constante!$EP$1</f>
        <v>18297095</v>
      </c>
      <c r="EW62" s="8">
        <f>+MINVU_Mes_Corriente!EW62*SALUD_Mes_Constante!$EP$1</f>
        <v>18297095</v>
      </c>
      <c r="EX62" s="8">
        <f>+MINVU_Mes_Corriente!EX62*SALUD_Mes_Constante!$EP$1</f>
        <v>18297095</v>
      </c>
      <c r="EY62" s="8">
        <f>+MINVU_Mes_Corriente!EY62*SALUD_Mes_Constante!$EP$1</f>
        <v>16995331</v>
      </c>
      <c r="EZ62" s="8">
        <f>+MINVU_Mes_Corriente!EZ62*SALUD_Mes_Constante!$EP$1</f>
        <v>16995331</v>
      </c>
      <c r="FA62" s="8">
        <f>+MINVU_Mes_Corriente!FA62*SALUD_Mes_Constante!$EP$1</f>
        <v>14319655</v>
      </c>
      <c r="FB62" s="9">
        <f t="shared" si="30"/>
        <v>14319655</v>
      </c>
      <c r="FC62" s="8">
        <f>+MINVU_Mes_Corriente!FC62*SALUD_Mes_Constante!$FC$1</f>
        <v>13124470</v>
      </c>
      <c r="FD62" s="8">
        <f>+MINVU_Mes_Corriente!FD62*SALUD_Mes_Constante!$FC$1</f>
        <v>13124470</v>
      </c>
      <c r="FE62" s="8">
        <f>+MINVU_Mes_Corriente!FE62*SALUD_Mes_Constante!$FC$1</f>
        <v>13124470</v>
      </c>
      <c r="FF62" s="8">
        <f>+MINVU_Mes_Corriente!FF62*SALUD_Mes_Constante!$FC$1</f>
        <v>13124470</v>
      </c>
      <c r="FG62" s="8">
        <f>+MINVU_Mes_Corriente!FG62*SALUD_Mes_Constante!$FC$1</f>
        <v>13124470</v>
      </c>
      <c r="FH62" s="8">
        <f>+MINVU_Mes_Corriente!FH62*SALUD_Mes_Constante!$FC$1</f>
        <v>13124470</v>
      </c>
      <c r="FI62" s="8">
        <f>+MINVU_Mes_Corriente!FI62*SALUD_Mes_Constante!$FC$1</f>
        <v>13124470</v>
      </c>
      <c r="FJ62" s="8"/>
      <c r="FK62" s="8"/>
      <c r="FL62" s="8"/>
      <c r="FM62" s="8"/>
      <c r="FN62" s="8"/>
      <c r="FO62" s="9">
        <f t="shared" si="31"/>
        <v>13124470</v>
      </c>
    </row>
    <row r="63" spans="2:171" ht="14.25" customHeight="1" x14ac:dyDescent="0.3">
      <c r="B63" s="7" t="s">
        <v>62</v>
      </c>
      <c r="C63" s="8">
        <f>+MINVU_Mes_Corriente!C63*SALUD_Mes_Constante!$C$1</f>
        <v>0</v>
      </c>
      <c r="D63" s="8">
        <f>+MINVU_Mes_Corriente!D63*SALUD_Mes_Constante!$C$1</f>
        <v>36891351.388402797</v>
      </c>
      <c r="E63" s="8">
        <f>+MINVU_Mes_Corriente!E63*SALUD_Mes_Constante!$C$1</f>
        <v>36891351.388402797</v>
      </c>
      <c r="F63" s="8">
        <f>+MINVU_Mes_Corriente!F63*SALUD_Mes_Constante!$C$1</f>
        <v>36891351.388402797</v>
      </c>
      <c r="G63" s="8">
        <f>+MINVU_Mes_Corriente!G63*SALUD_Mes_Constante!$C$1</f>
        <v>36891351.388402797</v>
      </c>
      <c r="H63" s="8">
        <f>+MINVU_Mes_Corriente!H63*SALUD_Mes_Constante!$C$1</f>
        <v>36891351.388402797</v>
      </c>
      <c r="I63" s="8">
        <f>+MINVU_Mes_Corriente!I63*SALUD_Mes_Constante!$C$1</f>
        <v>36891351.388402797</v>
      </c>
      <c r="J63" s="8">
        <f>+MINVU_Mes_Corriente!J63*SALUD_Mes_Constante!$C$1</f>
        <v>38030492.61604628</v>
      </c>
      <c r="K63" s="8">
        <f>+MINVU_Mes_Corriente!K63*SALUD_Mes_Constante!$C$1</f>
        <v>41089085.588907018</v>
      </c>
      <c r="L63" s="8">
        <f>+MINVU_Mes_Corriente!L63*SALUD_Mes_Constante!$C$1</f>
        <v>41089085.588907018</v>
      </c>
      <c r="M63" s="8">
        <f>+MINVU_Mes_Corriente!M63*SALUD_Mes_Constante!$C$1</f>
        <v>21725094.420880917</v>
      </c>
      <c r="N63" s="8">
        <f>+MINVU_Mes_Corriente!N63*SALUD_Mes_Constante!$C$1</f>
        <v>21725094.420880917</v>
      </c>
      <c r="O63" s="9">
        <f t="shared" si="19"/>
        <v>21725094.420880917</v>
      </c>
      <c r="P63" s="8">
        <f>+MINVU_Mes_Corriente!P63*SALUD_Mes_Constante!$P$1</f>
        <v>0</v>
      </c>
      <c r="Q63" s="8">
        <f>+MINVU_Mes_Corriente!Q63*SALUD_Mes_Constante!$P$1</f>
        <v>17292604.569683187</v>
      </c>
      <c r="R63" s="8">
        <f>+MINVU_Mes_Corriente!R63*SALUD_Mes_Constante!$P$1</f>
        <v>17429926.958374761</v>
      </c>
      <c r="S63" s="8">
        <f>+MINVU_Mes_Corriente!S63*SALUD_Mes_Constante!$P$1</f>
        <v>17429926.958374761</v>
      </c>
      <c r="T63" s="8">
        <f>+MINVU_Mes_Corriente!T63*SALUD_Mes_Constante!$P$1</f>
        <v>17573271.918454319</v>
      </c>
      <c r="U63" s="8">
        <f>+MINVU_Mes_Corriente!U63*SALUD_Mes_Constante!$P$1</f>
        <v>18905210.147179991</v>
      </c>
      <c r="V63" s="8">
        <f>+MINVU_Mes_Corriente!V63*SALUD_Mes_Constante!$P$1</f>
        <v>20935229.592555754</v>
      </c>
      <c r="W63" s="8">
        <f>+MINVU_Mes_Corriente!W63*SALUD_Mes_Constante!$P$1</f>
        <v>22261182.502912339</v>
      </c>
      <c r="X63" s="8">
        <f>+MINVU_Mes_Corriente!X63*SALUD_Mes_Constante!$P$1</f>
        <v>22273815.932945013</v>
      </c>
      <c r="Y63" s="8">
        <f>+MINVU_Mes_Corriente!Y63*SALUD_Mes_Constante!$P$1</f>
        <v>22367549.185111511</v>
      </c>
      <c r="Z63" s="8">
        <f>+MINVU_Mes_Corriente!Z63*SALUD_Mes_Constante!$P$1</f>
        <v>28604573.785196751</v>
      </c>
      <c r="AA63" s="8">
        <f>+MINVU_Mes_Corriente!AA63*SALUD_Mes_Constante!$P$1</f>
        <v>27908702.914334413</v>
      </c>
      <c r="AB63" s="9">
        <f t="shared" si="20"/>
        <v>27908702.914334413</v>
      </c>
      <c r="AC63" s="8">
        <f>+MINVU_Mes_Corriente!AC63*SALUD_Mes_Constante!$AC$1</f>
        <v>0</v>
      </c>
      <c r="AD63" s="8">
        <f>+MINVU_Mes_Corriente!AD63*SALUD_Mes_Constante!$AC$1</f>
        <v>37769247.392170422</v>
      </c>
      <c r="AE63" s="8">
        <f>+MINVU_Mes_Corriente!AE63*SALUD_Mes_Constante!$AC$1</f>
        <v>37769247.392170422</v>
      </c>
      <c r="AF63" s="8">
        <f>+MINVU_Mes_Corriente!AF63*SALUD_Mes_Constante!$AC$1</f>
        <v>40065011.741043024</v>
      </c>
      <c r="AG63" s="8">
        <f>+MINVU_Mes_Corriente!AG63*SALUD_Mes_Constante!$AC$1</f>
        <v>41465558.987965137</v>
      </c>
      <c r="AH63" s="8">
        <f>+MINVU_Mes_Corriente!AH63*SALUD_Mes_Constante!$AC$1</f>
        <v>41465558.987965137</v>
      </c>
      <c r="AI63" s="8">
        <f>+MINVU_Mes_Corriente!AI63*SALUD_Mes_Constante!$AC$1</f>
        <v>41465558.987965137</v>
      </c>
      <c r="AJ63" s="8">
        <f>+MINVU_Mes_Corriente!AJ63*SALUD_Mes_Constante!$AC$1</f>
        <v>56221828.573246643</v>
      </c>
      <c r="AK63" s="8">
        <f>+MINVU_Mes_Corriente!AK63*SALUD_Mes_Constante!$AC$1</f>
        <v>58634335.924747542</v>
      </c>
      <c r="AL63" s="8">
        <f>+MINVU_Mes_Corriente!AL63*SALUD_Mes_Constante!$AC$1</f>
        <v>54591327.491769262</v>
      </c>
      <c r="AM63" s="8">
        <f>+MINVU_Mes_Corriente!AM63*SALUD_Mes_Constante!$AC$1</f>
        <v>50264400.245677136</v>
      </c>
      <c r="AN63" s="8">
        <f>+MINVU_Mes_Corriente!AN63*SALUD_Mes_Constante!$AC$1</f>
        <v>36098553.321621247</v>
      </c>
      <c r="AO63" s="9">
        <f t="shared" si="21"/>
        <v>36098553.321621247</v>
      </c>
      <c r="AP63" s="8">
        <f>+MINVU_Mes_Corriente!AP63*SALUD_Mes_Constante!$AP$1</f>
        <v>0</v>
      </c>
      <c r="AQ63" s="8">
        <f>+MINVU_Mes_Corriente!AQ63*SALUD_Mes_Constante!$AP$1</f>
        <v>35868795.886649534</v>
      </c>
      <c r="AR63" s="8">
        <f>+MINVU_Mes_Corriente!AR63*SALUD_Mes_Constante!$AP$1</f>
        <v>42193732.10983362</v>
      </c>
      <c r="AS63" s="8">
        <f>+MINVU_Mes_Corriente!AS63*SALUD_Mes_Constante!$AP$1</f>
        <v>47681724.614364937</v>
      </c>
      <c r="AT63" s="8">
        <f>+MINVU_Mes_Corriente!AT63*SALUD_Mes_Constante!$AP$1</f>
        <v>48144871.443798184</v>
      </c>
      <c r="AU63" s="8">
        <f>+MINVU_Mes_Corriente!AU63*SALUD_Mes_Constante!$AP$1</f>
        <v>44261434.381712429</v>
      </c>
      <c r="AV63" s="8">
        <f>+MINVU_Mes_Corriente!AV63*SALUD_Mes_Constante!$AP$1</f>
        <v>48138416.044366293</v>
      </c>
      <c r="AW63" s="8">
        <f>+MINVU_Mes_Corriente!AW63*SALUD_Mes_Constante!$AP$1</f>
        <v>48138416.044366293</v>
      </c>
      <c r="AX63" s="8">
        <f>+MINVU_Mes_Corriente!AX63*SALUD_Mes_Constante!$AP$1</f>
        <v>45586396.247801974</v>
      </c>
      <c r="AY63" s="8">
        <f>+MINVU_Mes_Corriente!AY63*SALUD_Mes_Constante!$AP$1</f>
        <v>45945798.542134449</v>
      </c>
      <c r="AZ63" s="8">
        <f>+MINVU_Mes_Corriente!AZ63*SALUD_Mes_Constante!$AP$1</f>
        <v>45945798.542134449</v>
      </c>
      <c r="BA63" s="8">
        <f>+MINVU_Mes_Corriente!BA63*SALUD_Mes_Constante!$AP$1</f>
        <v>45171645.701609626</v>
      </c>
      <c r="BB63" s="9">
        <f t="shared" si="22"/>
        <v>45171645.701609626</v>
      </c>
      <c r="BC63" s="8">
        <f>+MINVU_Mes_Corriente!BC63*SALUD_Mes_Constante!$BC$1</f>
        <v>0</v>
      </c>
      <c r="BD63" s="8">
        <f>+MINVU_Mes_Corriente!BD63*SALUD_Mes_Constante!$BC$1</f>
        <v>0</v>
      </c>
      <c r="BE63" s="8">
        <f>+MINVU_Mes_Corriente!BE63*SALUD_Mes_Constante!$BC$1</f>
        <v>0</v>
      </c>
      <c r="BF63" s="8">
        <f>+MINVU_Mes_Corriente!BF63*SALUD_Mes_Constante!$BC$1</f>
        <v>65292891.315310583</v>
      </c>
      <c r="BG63" s="8">
        <f>+MINVU_Mes_Corriente!BG63*SALUD_Mes_Constante!$BC$1</f>
        <v>65292891.315310583</v>
      </c>
      <c r="BH63" s="8">
        <f>+MINVU_Mes_Corriente!BH63*SALUD_Mes_Constante!$BC$1</f>
        <v>66175377.260714777</v>
      </c>
      <c r="BI63" s="8">
        <f>+MINVU_Mes_Corriente!BI63*SALUD_Mes_Constante!$BC$1</f>
        <v>66175377.260714777</v>
      </c>
      <c r="BJ63" s="8">
        <f>+MINVU_Mes_Corriente!BJ63*SALUD_Mes_Constante!$BC$1</f>
        <v>65307030.420941599</v>
      </c>
      <c r="BK63" s="8">
        <f>+MINVU_Mes_Corriente!BK63*SALUD_Mes_Constante!$BC$1</f>
        <v>54711082.648555994</v>
      </c>
      <c r="BL63" s="8">
        <f>+MINVU_Mes_Corriente!BL63*SALUD_Mes_Constante!$BC$1</f>
        <v>54711082.648555994</v>
      </c>
      <c r="BM63" s="8">
        <f>+MINVU_Mes_Corriente!BM63*SALUD_Mes_Constante!$BC$1</f>
        <v>54711082.648555994</v>
      </c>
      <c r="BN63" s="8">
        <f>+MINVU_Mes_Corriente!BN63*SALUD_Mes_Constante!$BC$1</f>
        <v>52238762.122906514</v>
      </c>
      <c r="BO63" s="9">
        <f t="shared" si="23"/>
        <v>52238762.122906514</v>
      </c>
      <c r="BP63" s="8">
        <f>+MINVU_Mes_Corriente!BP63*SALUD_Mes_Constante!$BP$1</f>
        <v>0</v>
      </c>
      <c r="BQ63" s="8">
        <f>+MINVU_Mes_Corriente!BQ63*SALUD_Mes_Constante!$BP$1</f>
        <v>0</v>
      </c>
      <c r="BR63" s="8">
        <f>+MINVU_Mes_Corriente!BR63*SALUD_Mes_Constante!$BP$1</f>
        <v>50661857.267861724</v>
      </c>
      <c r="BS63" s="8">
        <f>+MINVU_Mes_Corriente!BS63*SALUD_Mes_Constante!$BP$1</f>
        <v>50661857.267861724</v>
      </c>
      <c r="BT63" s="8">
        <f>+MINVU_Mes_Corriente!BT63*SALUD_Mes_Constante!$BP$1</f>
        <v>50661857.267861724</v>
      </c>
      <c r="BU63" s="8">
        <f>+MINVU_Mes_Corriente!BU63*SALUD_Mes_Constante!$BP$1</f>
        <v>50661857.267861724</v>
      </c>
      <c r="BV63" s="8">
        <f>+MINVU_Mes_Corriente!BV63*SALUD_Mes_Constante!$BP$1</f>
        <v>50661857.267861724</v>
      </c>
      <c r="BW63" s="8">
        <f>+MINVU_Mes_Corriente!BW63*SALUD_Mes_Constante!$BP$1</f>
        <v>59266182.994110122</v>
      </c>
      <c r="BX63" s="8">
        <f>+MINVU_Mes_Corriente!BX63*SALUD_Mes_Constante!$BP$1</f>
        <v>58113971.241741367</v>
      </c>
      <c r="BY63" s="8">
        <f>+MINVU_Mes_Corriente!BY63*SALUD_Mes_Constante!$BP$1</f>
        <v>58113971.241741367</v>
      </c>
      <c r="BZ63" s="8">
        <f>+MINVU_Mes_Corriente!BZ63*SALUD_Mes_Constante!$BP$1</f>
        <v>58322189.184891172</v>
      </c>
      <c r="CA63" s="8">
        <f>+MINVU_Mes_Corriente!CA63*SALUD_Mes_Constante!$BP$1</f>
        <v>61252354.922151096</v>
      </c>
      <c r="CB63" s="9">
        <f t="shared" si="24"/>
        <v>61252354.922151096</v>
      </c>
      <c r="CC63" s="8">
        <f>+MINVU_Mes_Corriente!CC63*SALUD_Mes_Constante!$CC$1</f>
        <v>0</v>
      </c>
      <c r="CD63" s="8">
        <f>+MINVU_Mes_Corriente!CD63*SALUD_Mes_Constante!$CC$1</f>
        <v>49629178.08653488</v>
      </c>
      <c r="CE63" s="8">
        <f>+MINVU_Mes_Corriente!CE63*SALUD_Mes_Constante!$CC$1</f>
        <v>50902559.033196576</v>
      </c>
      <c r="CF63" s="8">
        <f>+MINVU_Mes_Corriente!CF63*SALUD_Mes_Constante!$CC$1</f>
        <v>50902559.033196576</v>
      </c>
      <c r="CG63" s="8">
        <f>+MINVU_Mes_Corriente!CG63*SALUD_Mes_Constante!$CC$1</f>
        <v>50902559.033196576</v>
      </c>
      <c r="CH63" s="8">
        <f>+MINVU_Mes_Corriente!CH63*SALUD_Mes_Constante!$CC$1</f>
        <v>62946306.628869832</v>
      </c>
      <c r="CI63" s="8">
        <f>+MINVU_Mes_Corriente!CI63*SALUD_Mes_Constante!$CC$1</f>
        <v>62946306.628869832</v>
      </c>
      <c r="CJ63" s="8">
        <f>+MINVU_Mes_Corriente!CJ63*SALUD_Mes_Constante!$CC$1</f>
        <v>52771065.330100715</v>
      </c>
      <c r="CK63" s="8">
        <f>+MINVU_Mes_Corriente!CK63*SALUD_Mes_Constante!$CC$1</f>
        <v>53912755.577769496</v>
      </c>
      <c r="CL63" s="8">
        <f>+MINVU_Mes_Corriente!CL63*SALUD_Mes_Constante!$CC$1</f>
        <v>53912755.577769496</v>
      </c>
      <c r="CM63" s="8">
        <f>+MINVU_Mes_Corriente!CM63*SALUD_Mes_Constante!$CC$1</f>
        <v>53854062.458784044</v>
      </c>
      <c r="CN63" s="8">
        <f>+MINVU_Mes_Corriente!CN63*SALUD_Mes_Constante!$CC$1</f>
        <v>39489102.939947784</v>
      </c>
      <c r="CO63" s="9">
        <f t="shared" si="25"/>
        <v>39489102.939947784</v>
      </c>
      <c r="CP63" s="8">
        <f>+MINVU_Mes_Corriente!CP63*SALUD_Mes_Constante!$CP$1</f>
        <v>0</v>
      </c>
      <c r="CQ63" s="8">
        <f>+MINVU_Mes_Corriente!CQ63*SALUD_Mes_Constante!$CP$1</f>
        <v>46102090.955220409</v>
      </c>
      <c r="CR63" s="8">
        <f>+MINVU_Mes_Corriente!CR63*SALUD_Mes_Constante!$CP$1</f>
        <v>46102090.955220409</v>
      </c>
      <c r="CS63" s="8">
        <f>+MINVU_Mes_Corriente!CS63*SALUD_Mes_Constante!$CP$1</f>
        <v>46102090.955220409</v>
      </c>
      <c r="CT63" s="8">
        <f>+MINVU_Mes_Corriente!CT63*SALUD_Mes_Constante!$CP$1</f>
        <v>46464518.543387465</v>
      </c>
      <c r="CU63" s="8">
        <f>+MINVU_Mes_Corriente!CU63*SALUD_Mes_Constante!$CP$1</f>
        <v>46464518.543387465</v>
      </c>
      <c r="CV63" s="8">
        <f>+MINVU_Mes_Corriente!CV63*SALUD_Mes_Constante!$CP$1</f>
        <v>46464518.543387465</v>
      </c>
      <c r="CW63" s="8">
        <f>+MINVU_Mes_Corriente!CW63*SALUD_Mes_Constante!$CP$1</f>
        <v>36946291.81531322</v>
      </c>
      <c r="CX63" s="8">
        <f>+MINVU_Mes_Corriente!CX63*SALUD_Mes_Constante!$CP$1</f>
        <v>36946291.81531322</v>
      </c>
      <c r="CY63" s="8">
        <f>+MINVU_Mes_Corriente!CY63*SALUD_Mes_Constante!$CP$1</f>
        <v>36946291.81531322</v>
      </c>
      <c r="CZ63" s="8">
        <f>+MINVU_Mes_Corriente!CZ63*SALUD_Mes_Constante!$CP$1</f>
        <v>36946291.81531322</v>
      </c>
      <c r="DA63" s="8">
        <f>+MINVU_Mes_Corriente!DA63*SALUD_Mes_Constante!$CP$1</f>
        <v>34608523.280742452</v>
      </c>
      <c r="DB63" s="9">
        <f t="shared" si="26"/>
        <v>34608523.280742452</v>
      </c>
      <c r="DC63" s="8">
        <f>+MINVU_Mes_Corriente!DC63*SALUD_Mes_Constante!$DC$1</f>
        <v>0</v>
      </c>
      <c r="DD63" s="8">
        <f>+MINVU_Mes_Corriente!DD63*SALUD_Mes_Constante!$DC$1</f>
        <v>53238902.489250101</v>
      </c>
      <c r="DE63" s="8">
        <f>+MINVU_Mes_Corriente!DE63*SALUD_Mes_Constante!$DC$1</f>
        <v>53641135.74426502</v>
      </c>
      <c r="DF63" s="8">
        <f>+MINVU_Mes_Corriente!DF63*SALUD_Mes_Constante!$DC$1</f>
        <v>53641135.74426502</v>
      </c>
      <c r="DG63" s="8">
        <f>+MINVU_Mes_Corriente!DG63*SALUD_Mes_Constante!$DC$1</f>
        <v>53641135.74426502</v>
      </c>
      <c r="DH63" s="8">
        <f>+MINVU_Mes_Corriente!DH63*SALUD_Mes_Constante!$DC$1</f>
        <v>53641135.74426502</v>
      </c>
      <c r="DI63" s="8">
        <f>+MINVU_Mes_Corriente!DI63*SALUD_Mes_Constante!$DC$1</f>
        <v>42516415.396152683</v>
      </c>
      <c r="DJ63" s="8">
        <f>+MINVU_Mes_Corriente!DJ63*SALUD_Mes_Constante!$DC$1</f>
        <v>42516415.396152683</v>
      </c>
      <c r="DK63" s="8">
        <f>+MINVU_Mes_Corriente!DK63*SALUD_Mes_Constante!$DC$1</f>
        <v>42516415.396152683</v>
      </c>
      <c r="DL63" s="8">
        <f>+MINVU_Mes_Corriente!DL63*SALUD_Mes_Constante!$DC$1</f>
        <v>40084403.114288673</v>
      </c>
      <c r="DM63" s="8">
        <f>+MINVU_Mes_Corriente!DM63*SALUD_Mes_Constante!$DC$1</f>
        <v>40084403.114288673</v>
      </c>
      <c r="DN63" s="8">
        <f>+MINVU_Mes_Corriente!DN63*SALUD_Mes_Constante!$DC$1</f>
        <v>40800728.803415306</v>
      </c>
      <c r="DO63" s="9">
        <f t="shared" si="27"/>
        <v>40800728.803415306</v>
      </c>
      <c r="DP63" s="8">
        <f>+MINVU_Mes_Corriente!DP63*SALUD_Mes_Constante!$DP$1</f>
        <v>0</v>
      </c>
      <c r="DQ63" s="8">
        <f>+MINVU_Mes_Corriente!DQ63*SALUD_Mes_Constante!$DP$1</f>
        <v>27768596.609857485</v>
      </c>
      <c r="DR63" s="8">
        <f>+MINVU_Mes_Corriente!DR63*SALUD_Mes_Constante!$DP$1</f>
        <v>27768596.609857485</v>
      </c>
      <c r="DS63" s="8">
        <f>+MINVU_Mes_Corriente!DS63*SALUD_Mes_Constante!$DP$1</f>
        <v>27768596.609857485</v>
      </c>
      <c r="DT63" s="8">
        <f>+MINVU_Mes_Corriente!DT63*SALUD_Mes_Constante!$DP$1</f>
        <v>27872036.763064135</v>
      </c>
      <c r="DU63" s="8">
        <f>+MINVU_Mes_Corriente!DU63*SALUD_Mes_Constante!$DP$1</f>
        <v>29804578.419833731</v>
      </c>
      <c r="DV63" s="8">
        <f>+MINVU_Mes_Corriente!DV63*SALUD_Mes_Constante!$DP$1</f>
        <v>29824209.318883613</v>
      </c>
      <c r="DW63" s="8">
        <f>+MINVU_Mes_Corriente!DW63*SALUD_Mes_Constante!$DP$1</f>
        <v>29824209.318883613</v>
      </c>
      <c r="DX63" s="8">
        <f>+MINVU_Mes_Corriente!DX63*SALUD_Mes_Constante!$DP$1</f>
        <v>29824209.318883613</v>
      </c>
      <c r="DY63" s="8">
        <f>+MINVU_Mes_Corriente!DY63*SALUD_Mes_Constante!$DP$1</f>
        <v>29934617.716745846</v>
      </c>
      <c r="DZ63" s="8">
        <f>+MINVU_Mes_Corriente!DZ63*SALUD_Mes_Constante!$DP$1</f>
        <v>24093843.480997626</v>
      </c>
      <c r="EA63" s="8">
        <f>+MINVU_Mes_Corriente!EA63*SALUD_Mes_Constante!$DP$1</f>
        <v>20301218.449524943</v>
      </c>
      <c r="EB63" s="9">
        <f t="shared" si="28"/>
        <v>20301218.449524943</v>
      </c>
      <c r="EC63" s="8">
        <f>+MINVU_Mes_Corriente!EC63*SALUD_Mes_Constante!$EC$1</f>
        <v>0</v>
      </c>
      <c r="ED63" s="8">
        <f>+MINVU_Mes_Corriente!ED63*SALUD_Mes_Constante!$EC$1</f>
        <v>19452491.29956447</v>
      </c>
      <c r="EE63" s="8">
        <f>+MINVU_Mes_Corriente!EE63*SALUD_Mes_Constante!$EC$1</f>
        <v>21123842.409202795</v>
      </c>
      <c r="EF63" s="8">
        <f>+MINVU_Mes_Corriente!EF63*SALUD_Mes_Constante!$EC$1</f>
        <v>22526631.362999424</v>
      </c>
      <c r="EG63" s="8">
        <f>+MINVU_Mes_Corriente!EG63*SALUD_Mes_Constante!$EC$1</f>
        <v>22526631.362999424</v>
      </c>
      <c r="EH63" s="8">
        <f>+MINVU_Mes_Corriente!EH63*SALUD_Mes_Constante!$EC$1</f>
        <v>22526631.362999424</v>
      </c>
      <c r="EI63" s="8">
        <f>+MINVU_Mes_Corriente!EI63*SALUD_Mes_Constante!$EC$1</f>
        <v>19155393.477182347</v>
      </c>
      <c r="EJ63" s="8">
        <f>+MINVU_Mes_Corriente!EJ63*SALUD_Mes_Constante!$EC$1</f>
        <v>19039570.842832793</v>
      </c>
      <c r="EK63" s="8">
        <f>+MINVU_Mes_Corriente!EK63*SALUD_Mes_Constante!$EC$1</f>
        <v>22150952.614845667</v>
      </c>
      <c r="EL63" s="8">
        <f>+MINVU_Mes_Corriente!EL63*SALUD_Mes_Constante!$EC$1</f>
        <v>21512562.634538908</v>
      </c>
      <c r="EM63" s="8">
        <f>+MINVU_Mes_Corriente!EM63*SALUD_Mes_Constante!$EC$1</f>
        <v>21512562.634538908</v>
      </c>
      <c r="EN63" s="8">
        <f>+MINVU_Mes_Corriente!EN63*SALUD_Mes_Constante!$EC$1</f>
        <v>21120761.777882971</v>
      </c>
      <c r="EO63" s="9">
        <f t="shared" si="29"/>
        <v>21120761.777882971</v>
      </c>
      <c r="EP63" s="8">
        <f>+MINVU_Mes_Corriente!EP63*SALUD_Mes_Constante!$EP$1</f>
        <v>0</v>
      </c>
      <c r="EQ63" s="8">
        <f>+MINVU_Mes_Corriente!EQ63*SALUD_Mes_Constante!$EP$1</f>
        <v>16529595</v>
      </c>
      <c r="ER63" s="8">
        <f>+MINVU_Mes_Corriente!ER63*SALUD_Mes_Constante!$EP$1</f>
        <v>16529595</v>
      </c>
      <c r="ES63" s="8">
        <f>+MINVU_Mes_Corriente!ES63*SALUD_Mes_Constante!$EP$1</f>
        <v>16529595</v>
      </c>
      <c r="ET63" s="8">
        <f>+MINVU_Mes_Corriente!ET63*SALUD_Mes_Constante!$EP$1</f>
        <v>16529605</v>
      </c>
      <c r="EU63" s="8">
        <f>+MINVU_Mes_Corriente!EU63*SALUD_Mes_Constante!$EP$1</f>
        <v>16529605</v>
      </c>
      <c r="EV63" s="8">
        <f>+MINVU_Mes_Corriente!EV63*SALUD_Mes_Constante!$EP$1</f>
        <v>16529605</v>
      </c>
      <c r="EW63" s="8">
        <f>+MINVU_Mes_Corriente!EW63*SALUD_Mes_Constante!$EP$1</f>
        <v>13642145</v>
      </c>
      <c r="EX63" s="8">
        <f>+MINVU_Mes_Corriente!EX63*SALUD_Mes_Constante!$EP$1</f>
        <v>15155608</v>
      </c>
      <c r="EY63" s="8">
        <f>+MINVU_Mes_Corriente!EY63*SALUD_Mes_Constante!$EP$1</f>
        <v>15155608</v>
      </c>
      <c r="EZ63" s="8">
        <f>+MINVU_Mes_Corriente!EZ63*SALUD_Mes_Constante!$EP$1</f>
        <v>15477358</v>
      </c>
      <c r="FA63" s="8">
        <f>+MINVU_Mes_Corriente!FA63*SALUD_Mes_Constante!$EP$1</f>
        <v>9671854</v>
      </c>
      <c r="FB63" s="9">
        <f t="shared" si="30"/>
        <v>9671854</v>
      </c>
      <c r="FC63" s="8">
        <f>+MINVU_Mes_Corriente!FC63*SALUD_Mes_Constante!$FC$1</f>
        <v>12054052</v>
      </c>
      <c r="FD63" s="8">
        <f>+MINVU_Mes_Corriente!FD63*SALUD_Mes_Constante!$FC$1</f>
        <v>12054052</v>
      </c>
      <c r="FE63" s="8">
        <f>+MINVU_Mes_Corriente!FE63*SALUD_Mes_Constante!$FC$1</f>
        <v>12054052</v>
      </c>
      <c r="FF63" s="8">
        <f>+MINVU_Mes_Corriente!FF63*SALUD_Mes_Constante!$FC$1</f>
        <v>12054052</v>
      </c>
      <c r="FG63" s="8">
        <f>+MINVU_Mes_Corriente!FG63*SALUD_Mes_Constante!$FC$1</f>
        <v>12054052</v>
      </c>
      <c r="FH63" s="8">
        <f>+MINVU_Mes_Corriente!FH63*SALUD_Mes_Constante!$FC$1</f>
        <v>13553528</v>
      </c>
      <c r="FI63" s="8">
        <f>+MINVU_Mes_Corriente!FI63*SALUD_Mes_Constante!$FC$1</f>
        <v>13553528</v>
      </c>
      <c r="FJ63" s="8"/>
      <c r="FK63" s="8"/>
      <c r="FL63" s="8"/>
      <c r="FM63" s="8"/>
      <c r="FN63" s="8"/>
      <c r="FO63" s="9">
        <f t="shared" si="31"/>
        <v>13553528</v>
      </c>
    </row>
    <row r="64" spans="2:171" ht="14.25" customHeight="1" x14ac:dyDescent="0.3">
      <c r="B64" s="7" t="s">
        <v>63</v>
      </c>
      <c r="C64" s="8">
        <f>+MINVU_Mes_Corriente!C64*SALUD_Mes_Constante!$C$1</f>
        <v>0</v>
      </c>
      <c r="D64" s="8">
        <f>+MINVU_Mes_Corriente!D64*SALUD_Mes_Constante!$C$1</f>
        <v>0</v>
      </c>
      <c r="E64" s="8">
        <f>+MINVU_Mes_Corriente!E64*SALUD_Mes_Constante!$C$1</f>
        <v>0</v>
      </c>
      <c r="F64" s="8">
        <f>+MINVU_Mes_Corriente!F64*SALUD_Mes_Constante!$C$1</f>
        <v>0</v>
      </c>
      <c r="G64" s="8">
        <f>+MINVU_Mes_Corriente!G64*SALUD_Mes_Constante!$C$1</f>
        <v>0</v>
      </c>
      <c r="H64" s="8">
        <f>+MINVU_Mes_Corriente!H64*SALUD_Mes_Constante!$C$1</f>
        <v>0</v>
      </c>
      <c r="I64" s="8">
        <f>+MINVU_Mes_Corriente!I64*SALUD_Mes_Constante!$C$1</f>
        <v>0</v>
      </c>
      <c r="J64" s="8">
        <f>+MINVU_Mes_Corriente!J64*SALUD_Mes_Constante!$C$1</f>
        <v>0</v>
      </c>
      <c r="K64" s="8">
        <f>+MINVU_Mes_Corriente!K64*SALUD_Mes_Constante!$C$1</f>
        <v>0</v>
      </c>
      <c r="L64" s="8">
        <f>+MINVU_Mes_Corriente!L64*SALUD_Mes_Constante!$C$1</f>
        <v>0</v>
      </c>
      <c r="M64" s="8">
        <f>+MINVU_Mes_Corriente!M64*SALUD_Mes_Constante!$C$1</f>
        <v>3669100.8441346586</v>
      </c>
      <c r="N64" s="8">
        <f>+MINVU_Mes_Corriente!N64*SALUD_Mes_Constante!$C$1</f>
        <v>3669100.8441346586</v>
      </c>
      <c r="O64" s="9">
        <f t="shared" si="19"/>
        <v>3669100.8441346586</v>
      </c>
      <c r="P64" s="8">
        <f>+MINVU_Mes_Corriente!P64*SALUD_Mes_Constante!$P$1</f>
        <v>0</v>
      </c>
      <c r="Q64" s="8">
        <f>+MINVU_Mes_Corriente!Q64*SALUD_Mes_Constante!$P$1</f>
        <v>4739645.7144480729</v>
      </c>
      <c r="R64" s="8">
        <f>+MINVU_Mes_Corriente!R64*SALUD_Mes_Constante!$P$1</f>
        <v>4739645.7144480729</v>
      </c>
      <c r="S64" s="8">
        <f>+MINVU_Mes_Corriente!S64*SALUD_Mes_Constante!$P$1</f>
        <v>4739645.7144480729</v>
      </c>
      <c r="T64" s="8">
        <f>+MINVU_Mes_Corriente!T64*SALUD_Mes_Constante!$P$1</f>
        <v>5328820.8347776653</v>
      </c>
      <c r="U64" s="8">
        <f>+MINVU_Mes_Corriente!U64*SALUD_Mes_Constante!$P$1</f>
        <v>6883723.038215653</v>
      </c>
      <c r="V64" s="8">
        <f>+MINVU_Mes_Corriente!V64*SALUD_Mes_Constante!$P$1</f>
        <v>8061613.8249751357</v>
      </c>
      <c r="W64" s="8">
        <f>+MINVU_Mes_Corriente!W64*SALUD_Mes_Constante!$P$1</f>
        <v>8061613.8249751357</v>
      </c>
      <c r="X64" s="8">
        <f>+MINVU_Mes_Corriente!X64*SALUD_Mes_Constante!$P$1</f>
        <v>8061613.8249751357</v>
      </c>
      <c r="Y64" s="8">
        <f>+MINVU_Mes_Corriente!Y64*SALUD_Mes_Constante!$P$1</f>
        <v>8191665.6661457559</v>
      </c>
      <c r="Z64" s="8">
        <f>+MINVU_Mes_Corriente!Z64*SALUD_Mes_Constante!$P$1</f>
        <v>7444315.7797982637</v>
      </c>
      <c r="AA64" s="8">
        <f>+MINVU_Mes_Corriente!AA64*SALUD_Mes_Constante!$P$1</f>
        <v>8081894.9893450746</v>
      </c>
      <c r="AB64" s="9">
        <f t="shared" si="20"/>
        <v>8081894.9893450746</v>
      </c>
      <c r="AC64" s="8">
        <f>+MINVU_Mes_Corriente!AC64*SALUD_Mes_Constante!$AC$1</f>
        <v>0</v>
      </c>
      <c r="AD64" s="8">
        <f>+MINVU_Mes_Corriente!AD64*SALUD_Mes_Constante!$AC$1</f>
        <v>6688992.7212615851</v>
      </c>
      <c r="AE64" s="8">
        <f>+MINVU_Mes_Corriente!AE64*SALUD_Mes_Constante!$AC$1</f>
        <v>6688992.7212615851</v>
      </c>
      <c r="AF64" s="8">
        <f>+MINVU_Mes_Corriente!AF64*SALUD_Mes_Constante!$AC$1</f>
        <v>8316324.3710056711</v>
      </c>
      <c r="AG64" s="8">
        <f>+MINVU_Mes_Corriente!AG64*SALUD_Mes_Constante!$AC$1</f>
        <v>16525667.951860562</v>
      </c>
      <c r="AH64" s="8">
        <f>+MINVU_Mes_Corriente!AH64*SALUD_Mes_Constante!$AC$1</f>
        <v>16661521.252455387</v>
      </c>
      <c r="AI64" s="8">
        <f>+MINVU_Mes_Corriente!AI64*SALUD_Mes_Constante!$AC$1</f>
        <v>17080315.482362706</v>
      </c>
      <c r="AJ64" s="8">
        <f>+MINVU_Mes_Corriente!AJ64*SALUD_Mes_Constante!$AC$1</f>
        <v>17101475.255498685</v>
      </c>
      <c r="AK64" s="8">
        <f>+MINVU_Mes_Corriente!AK64*SALUD_Mes_Constante!$AC$1</f>
        <v>17142310.594826393</v>
      </c>
      <c r="AL64" s="8">
        <f>+MINVU_Mes_Corriente!AL64*SALUD_Mes_Constante!$AC$1</f>
        <v>17504250.025729701</v>
      </c>
      <c r="AM64" s="8">
        <f>+MINVU_Mes_Corriente!AM64*SALUD_Mes_Constante!$AC$1</f>
        <v>13106869.803568957</v>
      </c>
      <c r="AN64" s="8">
        <f>+MINVU_Mes_Corriente!AN64*SALUD_Mes_Constante!$AC$1</f>
        <v>12716601.970673675</v>
      </c>
      <c r="AO64" s="9">
        <f t="shared" si="21"/>
        <v>12716601.970673675</v>
      </c>
      <c r="AP64" s="8">
        <f>+MINVU_Mes_Corriente!AP64*SALUD_Mes_Constante!$AP$1</f>
        <v>0</v>
      </c>
      <c r="AQ64" s="8">
        <f>+MINVU_Mes_Corriente!AQ64*SALUD_Mes_Constante!$AP$1</f>
        <v>7999233.0344920866</v>
      </c>
      <c r="AR64" s="8">
        <f>+MINVU_Mes_Corriente!AR64*SALUD_Mes_Constante!$AP$1</f>
        <v>8416343.7622074932</v>
      </c>
      <c r="AS64" s="8">
        <f>+MINVU_Mes_Corriente!AS64*SALUD_Mes_Constante!$AP$1</f>
        <v>8416343.7622074932</v>
      </c>
      <c r="AT64" s="8">
        <f>+MINVU_Mes_Corriente!AT64*SALUD_Mes_Constante!$AP$1</f>
        <v>8478855.3201677259</v>
      </c>
      <c r="AU64" s="8">
        <f>+MINVU_Mes_Corriente!AU64*SALUD_Mes_Constante!$AP$1</f>
        <v>8478855.3201677259</v>
      </c>
      <c r="AV64" s="8">
        <f>+MINVU_Mes_Corriente!AV64*SALUD_Mes_Constante!$AP$1</f>
        <v>8478855.3201677259</v>
      </c>
      <c r="AW64" s="8">
        <f>+MINVU_Mes_Corriente!AW64*SALUD_Mes_Constante!$AP$1</f>
        <v>9068098.2096577846</v>
      </c>
      <c r="AX64" s="8">
        <f>+MINVU_Mes_Corriente!AX64*SALUD_Mes_Constante!$AP$1</f>
        <v>9093958.2323819827</v>
      </c>
      <c r="AY64" s="8">
        <f>+MINVU_Mes_Corriente!AY64*SALUD_Mes_Constante!$AP$1</f>
        <v>9114556.9863384273</v>
      </c>
      <c r="AZ64" s="8">
        <f>+MINVU_Mes_Corriente!AZ64*SALUD_Mes_Constante!$AP$1</f>
        <v>9114556.9863384273</v>
      </c>
      <c r="BA64" s="8">
        <f>+MINVU_Mes_Corriente!BA64*SALUD_Mes_Constante!$AP$1</f>
        <v>8813678.917624779</v>
      </c>
      <c r="BB64" s="9">
        <f t="shared" si="22"/>
        <v>8813678.917624779</v>
      </c>
      <c r="BC64" s="8">
        <f>+MINVU_Mes_Corriente!BC64*SALUD_Mes_Constante!$BC$1</f>
        <v>0</v>
      </c>
      <c r="BD64" s="8">
        <f>+MINVU_Mes_Corriente!BD64*SALUD_Mes_Constante!$BC$1</f>
        <v>0</v>
      </c>
      <c r="BE64" s="8">
        <f>+MINVU_Mes_Corriente!BE64*SALUD_Mes_Constante!$BC$1</f>
        <v>5838642.3062112639</v>
      </c>
      <c r="BF64" s="8">
        <f>+MINVU_Mes_Corriente!BF64*SALUD_Mes_Constante!$BC$1</f>
        <v>9389910.7350652795</v>
      </c>
      <c r="BG64" s="8">
        <f>+MINVU_Mes_Corriente!BG64*SALUD_Mes_Constante!$BC$1</f>
        <v>9389910.7350652795</v>
      </c>
      <c r="BH64" s="8">
        <f>+MINVU_Mes_Corriente!BH64*SALUD_Mes_Constante!$BC$1</f>
        <v>9389910.7350652795</v>
      </c>
      <c r="BI64" s="8">
        <f>+MINVU_Mes_Corriente!BI64*SALUD_Mes_Constante!$BC$1</f>
        <v>9389910.7350652795</v>
      </c>
      <c r="BJ64" s="8">
        <f>+MINVU_Mes_Corriente!BJ64*SALUD_Mes_Constante!$BC$1</f>
        <v>7945292.6799419774</v>
      </c>
      <c r="BK64" s="8">
        <f>+MINVU_Mes_Corriente!BK64*SALUD_Mes_Constante!$BC$1</f>
        <v>7945292.6799419774</v>
      </c>
      <c r="BL64" s="8">
        <f>+MINVU_Mes_Corriente!BL64*SALUD_Mes_Constante!$BC$1</f>
        <v>7945292.6799419774</v>
      </c>
      <c r="BM64" s="8">
        <f>+MINVU_Mes_Corriente!BM64*SALUD_Mes_Constante!$BC$1</f>
        <v>7945292.6799419774</v>
      </c>
      <c r="BN64" s="8">
        <f>+MINVU_Mes_Corriente!BN64*SALUD_Mes_Constante!$BC$1</f>
        <v>7448480.2700778078</v>
      </c>
      <c r="BO64" s="9">
        <f t="shared" si="23"/>
        <v>7448480.2700778078</v>
      </c>
      <c r="BP64" s="8">
        <f>+MINVU_Mes_Corriente!BP64*SALUD_Mes_Constante!$BP$1</f>
        <v>0</v>
      </c>
      <c r="BQ64" s="8">
        <f>+MINVU_Mes_Corriente!BQ64*SALUD_Mes_Constante!$BP$1</f>
        <v>0</v>
      </c>
      <c r="BR64" s="8">
        <f>+MINVU_Mes_Corriente!BR64*SALUD_Mes_Constante!$BP$1</f>
        <v>2202033.8742637648</v>
      </c>
      <c r="BS64" s="8">
        <f>+MINVU_Mes_Corriente!BS64*SALUD_Mes_Constante!$BP$1</f>
        <v>5511124.7631242005</v>
      </c>
      <c r="BT64" s="8">
        <f>+MINVU_Mes_Corriente!BT64*SALUD_Mes_Constante!$BP$1</f>
        <v>5511124.7631242005</v>
      </c>
      <c r="BU64" s="8">
        <f>+MINVU_Mes_Corriente!BU64*SALUD_Mes_Constante!$BP$1</f>
        <v>7511117.1718309866</v>
      </c>
      <c r="BV64" s="8">
        <f>+MINVU_Mes_Corriente!BV64*SALUD_Mes_Constante!$BP$1</f>
        <v>9003873.1782330349</v>
      </c>
      <c r="BW64" s="8">
        <f>+MINVU_Mes_Corriente!BW64*SALUD_Mes_Constante!$BP$1</f>
        <v>7864166.8693982083</v>
      </c>
      <c r="BX64" s="8">
        <f>+MINVU_Mes_Corriente!BX64*SALUD_Mes_Constante!$BP$1</f>
        <v>7864166.8693982083</v>
      </c>
      <c r="BY64" s="8">
        <f>+MINVU_Mes_Corriente!BY64*SALUD_Mes_Constante!$BP$1</f>
        <v>7864166.8693982083</v>
      </c>
      <c r="BZ64" s="8">
        <f>+MINVU_Mes_Corriente!BZ64*SALUD_Mes_Constante!$BP$1</f>
        <v>7864166.8693982083</v>
      </c>
      <c r="CA64" s="8">
        <f>+MINVU_Mes_Corriente!CA64*SALUD_Mes_Constante!$BP$1</f>
        <v>8802838.975160053</v>
      </c>
      <c r="CB64" s="9">
        <f t="shared" si="24"/>
        <v>8802838.975160053</v>
      </c>
      <c r="CC64" s="8">
        <f>+MINVU_Mes_Corriente!CC64*SALUD_Mes_Constante!$CC$1</f>
        <v>0</v>
      </c>
      <c r="CD64" s="8">
        <f>+MINVU_Mes_Corriente!CD64*SALUD_Mes_Constante!$CC$1</f>
        <v>4988260.341663559</v>
      </c>
      <c r="CE64" s="8">
        <f>+MINVU_Mes_Corriente!CE64*SALUD_Mes_Constante!$CC$1</f>
        <v>5990584.657217457</v>
      </c>
      <c r="CF64" s="8">
        <f>+MINVU_Mes_Corriente!CF64*SALUD_Mes_Constante!$CC$1</f>
        <v>8096743.340544574</v>
      </c>
      <c r="CG64" s="8">
        <f>+MINVU_Mes_Corriente!CG64*SALUD_Mes_Constante!$CC$1</f>
        <v>8096743.340544574</v>
      </c>
      <c r="CH64" s="8">
        <f>+MINVU_Mes_Corriente!CH64*SALUD_Mes_Constante!$CC$1</f>
        <v>9071378.403580755</v>
      </c>
      <c r="CI64" s="8">
        <f>+MINVU_Mes_Corriente!CI64*SALUD_Mes_Constante!$CC$1</f>
        <v>9186720.1767997015</v>
      </c>
      <c r="CJ64" s="8">
        <f>+MINVU_Mes_Corriente!CJ64*SALUD_Mes_Constante!$CC$1</f>
        <v>9557541.2540096994</v>
      </c>
      <c r="CK64" s="8">
        <f>+MINVU_Mes_Corriente!CK64*SALUD_Mes_Constante!$CC$1</f>
        <v>9557541.2540096994</v>
      </c>
      <c r="CL64" s="8">
        <f>+MINVU_Mes_Corriente!CL64*SALUD_Mes_Constante!$CC$1</f>
        <v>10192162.131294293</v>
      </c>
      <c r="CM64" s="8">
        <f>+MINVU_Mes_Corriente!CM64*SALUD_Mes_Constante!$CC$1</f>
        <v>10365725.641924655</v>
      </c>
      <c r="CN64" s="8">
        <f>+MINVU_Mes_Corriente!CN64*SALUD_Mes_Constante!$CC$1</f>
        <v>9291404.9227900039</v>
      </c>
      <c r="CO64" s="9">
        <f t="shared" si="25"/>
        <v>9291404.9227900039</v>
      </c>
      <c r="CP64" s="8">
        <f>+MINVU_Mes_Corriente!CP64*SALUD_Mes_Constante!$CP$1</f>
        <v>0</v>
      </c>
      <c r="CQ64" s="8">
        <f>+MINVU_Mes_Corriente!CQ64*SALUD_Mes_Constante!$CP$1</f>
        <v>4224020.7529002307</v>
      </c>
      <c r="CR64" s="8">
        <f>+MINVU_Mes_Corriente!CR64*SALUD_Mes_Constante!$CP$1</f>
        <v>4224020.7529002307</v>
      </c>
      <c r="CS64" s="8">
        <f>+MINVU_Mes_Corriente!CS64*SALUD_Mes_Constante!$CP$1</f>
        <v>4224020.7529002307</v>
      </c>
      <c r="CT64" s="8">
        <f>+MINVU_Mes_Corriente!CT64*SALUD_Mes_Constante!$CP$1</f>
        <v>4983998.8364269128</v>
      </c>
      <c r="CU64" s="8">
        <f>+MINVU_Mes_Corriente!CU64*SALUD_Mes_Constante!$CP$1</f>
        <v>4983998.8364269128</v>
      </c>
      <c r="CV64" s="8">
        <f>+MINVU_Mes_Corriente!CV64*SALUD_Mes_Constante!$CP$1</f>
        <v>3151951.999767981</v>
      </c>
      <c r="CW64" s="8">
        <f>+MINVU_Mes_Corriente!CW64*SALUD_Mes_Constante!$CP$1</f>
        <v>3151951.999767981</v>
      </c>
      <c r="CX64" s="8">
        <f>+MINVU_Mes_Corriente!CX64*SALUD_Mes_Constante!$CP$1</f>
        <v>3151951.999767981</v>
      </c>
      <c r="CY64" s="8">
        <f>+MINVU_Mes_Corriente!CY64*SALUD_Mes_Constante!$CP$1</f>
        <v>2386319.5211136886</v>
      </c>
      <c r="CZ64" s="8">
        <f>+MINVU_Mes_Corriente!CZ64*SALUD_Mes_Constante!$CP$1</f>
        <v>2386319.5211136886</v>
      </c>
      <c r="DA64" s="8">
        <f>+MINVU_Mes_Corriente!DA64*SALUD_Mes_Constante!$CP$1</f>
        <v>1714356.5784222735</v>
      </c>
      <c r="DB64" s="9">
        <f t="shared" si="26"/>
        <v>1714356.5784222735</v>
      </c>
      <c r="DC64" s="8">
        <f>+MINVU_Mes_Corriente!DC64*SALUD_Mes_Constante!$DC$1</f>
        <v>0</v>
      </c>
      <c r="DD64" s="8">
        <f>+MINVU_Mes_Corriente!DD64*SALUD_Mes_Constante!$DC$1</f>
        <v>2655261.8989815875</v>
      </c>
      <c r="DE64" s="8">
        <f>+MINVU_Mes_Corriente!DE64*SALUD_Mes_Constante!$DC$1</f>
        <v>2655261.8989815875</v>
      </c>
      <c r="DF64" s="8">
        <f>+MINVU_Mes_Corriente!DF64*SALUD_Mes_Constante!$DC$1</f>
        <v>2655261.8989815875</v>
      </c>
      <c r="DG64" s="8">
        <f>+MINVU_Mes_Corriente!DG64*SALUD_Mes_Constante!$DC$1</f>
        <v>2656340.8990844577</v>
      </c>
      <c r="DH64" s="8">
        <f>+MINVU_Mes_Corriente!DH64*SALUD_Mes_Constante!$DC$1</f>
        <v>3397499.3259952697</v>
      </c>
      <c r="DI64" s="8">
        <f>+MINVU_Mes_Corriente!DI64*SALUD_Mes_Constante!$DC$1</f>
        <v>3397499.3259952697</v>
      </c>
      <c r="DJ64" s="8">
        <f>+MINVU_Mes_Corriente!DJ64*SALUD_Mes_Constante!$DC$1</f>
        <v>3397499.3259952697</v>
      </c>
      <c r="DK64" s="8">
        <f>+MINVU_Mes_Corriente!DK64*SALUD_Mes_Constante!$DC$1</f>
        <v>3397499.3259952697</v>
      </c>
      <c r="DL64" s="8">
        <f>+MINVU_Mes_Corriente!DL64*SALUD_Mes_Constante!$DC$1</f>
        <v>6855517.0702602649</v>
      </c>
      <c r="DM64" s="8">
        <f>+MINVU_Mes_Corriente!DM64*SALUD_Mes_Constante!$DC$1</f>
        <v>3895330.8661660342</v>
      </c>
      <c r="DN64" s="8">
        <f>+MINVU_Mes_Corriente!DN64*SALUD_Mes_Constante!$DC$1</f>
        <v>1148685.5261804347</v>
      </c>
      <c r="DO64" s="9">
        <f t="shared" si="27"/>
        <v>1148685.5261804347</v>
      </c>
      <c r="DP64" s="8">
        <f>+MINVU_Mes_Corriente!DP64*SALUD_Mes_Constante!$DP$1</f>
        <v>0</v>
      </c>
      <c r="DQ64" s="8">
        <f>+MINVU_Mes_Corriente!DQ64*SALUD_Mes_Constante!$DP$1</f>
        <v>7437385.7280285042</v>
      </c>
      <c r="DR64" s="8">
        <f>+MINVU_Mes_Corriente!DR64*SALUD_Mes_Constante!$DP$1</f>
        <v>7437385.7280285042</v>
      </c>
      <c r="DS64" s="8">
        <f>+MINVU_Mes_Corriente!DS64*SALUD_Mes_Constante!$DP$1</f>
        <v>7437385.7280285042</v>
      </c>
      <c r="DT64" s="8">
        <f>+MINVU_Mes_Corriente!DT64*SALUD_Mes_Constante!$DP$1</f>
        <v>7437385.7280285042</v>
      </c>
      <c r="DU64" s="8">
        <f>+MINVU_Mes_Corriente!DU64*SALUD_Mes_Constante!$DP$1</f>
        <v>7437385.7280285042</v>
      </c>
      <c r="DV64" s="8">
        <f>+MINVU_Mes_Corriente!DV64*SALUD_Mes_Constante!$DP$1</f>
        <v>7496168.1270783851</v>
      </c>
      <c r="DW64" s="8">
        <f>+MINVU_Mes_Corriente!DW64*SALUD_Mes_Constante!$DP$1</f>
        <v>7496168.1270783851</v>
      </c>
      <c r="DX64" s="8">
        <f>+MINVU_Mes_Corriente!DX64*SALUD_Mes_Constante!$DP$1</f>
        <v>7496168.1270783851</v>
      </c>
      <c r="DY64" s="8">
        <f>+MINVU_Mes_Corriente!DY64*SALUD_Mes_Constante!$DP$1</f>
        <v>8358565.179334918</v>
      </c>
      <c r="DZ64" s="8">
        <f>+MINVU_Mes_Corriente!DZ64*SALUD_Mes_Constante!$DP$1</f>
        <v>8358565.179334918</v>
      </c>
      <c r="EA64" s="8">
        <f>+MINVU_Mes_Corriente!EA64*SALUD_Mes_Constante!$DP$1</f>
        <v>6022487.1110451315</v>
      </c>
      <c r="EB64" s="9">
        <f t="shared" si="28"/>
        <v>6022487.1110451315</v>
      </c>
      <c r="EC64" s="8">
        <f>+MINVU_Mes_Corriente!EC64*SALUD_Mes_Constante!$EC$1</f>
        <v>0</v>
      </c>
      <c r="ED64" s="8">
        <f>+MINVU_Mes_Corriente!ED64*SALUD_Mes_Constante!$EC$1</f>
        <v>3816888.757242945</v>
      </c>
      <c r="EE64" s="8">
        <f>+MINVU_Mes_Corriente!EE64*SALUD_Mes_Constante!$EC$1</f>
        <v>3839831.0814239713</v>
      </c>
      <c r="EF64" s="8">
        <f>+MINVU_Mes_Corriente!EF64*SALUD_Mes_Constante!$EC$1</f>
        <v>3839831.0814239713</v>
      </c>
      <c r="EG64" s="8">
        <f>+MINVU_Mes_Corriente!EG64*SALUD_Mes_Constante!$EC$1</f>
        <v>3839831.0814239713</v>
      </c>
      <c r="EH64" s="8">
        <f>+MINVU_Mes_Corriente!EH64*SALUD_Mes_Constante!$EC$1</f>
        <v>3839831.0814239713</v>
      </c>
      <c r="EI64" s="8">
        <f>+MINVU_Mes_Corriente!EI64*SALUD_Mes_Constante!$EC$1</f>
        <v>3839831.0814239713</v>
      </c>
      <c r="EJ64" s="8">
        <f>+MINVU_Mes_Corriente!EJ64*SALUD_Mes_Constante!$EC$1</f>
        <v>3839831.0814239713</v>
      </c>
      <c r="EK64" s="8">
        <f>+MINVU_Mes_Corriente!EK64*SALUD_Mes_Constante!$EC$1</f>
        <v>3910301.8159439489</v>
      </c>
      <c r="EL64" s="8">
        <f>+MINVU_Mes_Corriente!EL64*SALUD_Mes_Constante!$EC$1</f>
        <v>4047237.8435902279</v>
      </c>
      <c r="EM64" s="8">
        <f>+MINVU_Mes_Corriente!EM64*SALUD_Mes_Constante!$EC$1</f>
        <v>4096092.4357129317</v>
      </c>
      <c r="EN64" s="8">
        <f>+MINVU_Mes_Corriente!EN64*SALUD_Mes_Constante!$EC$1</f>
        <v>3385261.0685476223</v>
      </c>
      <c r="EO64" s="9">
        <f t="shared" si="29"/>
        <v>3385261.0685476223</v>
      </c>
      <c r="EP64" s="8">
        <f>+MINVU_Mes_Corriente!EP64*SALUD_Mes_Constante!$EP$1</f>
        <v>0</v>
      </c>
      <c r="EQ64" s="8">
        <f>+MINVU_Mes_Corriente!EQ64*SALUD_Mes_Constante!$EP$1</f>
        <v>911351</v>
      </c>
      <c r="ER64" s="8">
        <f>+MINVU_Mes_Corriente!ER64*SALUD_Mes_Constante!$EP$1</f>
        <v>980721</v>
      </c>
      <c r="ES64" s="8">
        <f>+MINVU_Mes_Corriente!ES64*SALUD_Mes_Constante!$EP$1</f>
        <v>980721</v>
      </c>
      <c r="ET64" s="8">
        <f>+MINVU_Mes_Corriente!ET64*SALUD_Mes_Constante!$EP$1</f>
        <v>980721</v>
      </c>
      <c r="EU64" s="8">
        <f>+MINVU_Mes_Corriente!EU64*SALUD_Mes_Constante!$EP$1</f>
        <v>1375095</v>
      </c>
      <c r="EV64" s="8">
        <f>+MINVU_Mes_Corriente!EV64*SALUD_Mes_Constante!$EP$1</f>
        <v>1375095</v>
      </c>
      <c r="EW64" s="8">
        <f>+MINVU_Mes_Corriente!EW64*SALUD_Mes_Constante!$EP$1</f>
        <v>1375095</v>
      </c>
      <c r="EX64" s="8">
        <f>+MINVU_Mes_Corriente!EX64*SALUD_Mes_Constante!$EP$1</f>
        <v>1375095</v>
      </c>
      <c r="EY64" s="8">
        <f>+MINVU_Mes_Corriente!EY64*SALUD_Mes_Constante!$EP$1</f>
        <v>1440225</v>
      </c>
      <c r="EZ64" s="8">
        <f>+MINVU_Mes_Corriente!EZ64*SALUD_Mes_Constante!$EP$1</f>
        <v>1440225</v>
      </c>
      <c r="FA64" s="8">
        <f>+MINVU_Mes_Corriente!FA64*SALUD_Mes_Constante!$EP$1</f>
        <v>1376420</v>
      </c>
      <c r="FB64" s="9">
        <f t="shared" si="30"/>
        <v>1376420</v>
      </c>
      <c r="FC64" s="8">
        <f>+MINVU_Mes_Corriente!FC64*SALUD_Mes_Constante!$FC$1</f>
        <v>0</v>
      </c>
      <c r="FD64" s="8">
        <f>+MINVU_Mes_Corriente!FD64*SALUD_Mes_Constante!$FC$1</f>
        <v>0</v>
      </c>
      <c r="FE64" s="8">
        <f>+MINVU_Mes_Corriente!FE64*SALUD_Mes_Constante!$FC$1</f>
        <v>0</v>
      </c>
      <c r="FF64" s="8">
        <f>+MINVU_Mes_Corriente!FF64*SALUD_Mes_Constante!$FC$1</f>
        <v>0</v>
      </c>
      <c r="FG64" s="8">
        <f>+MINVU_Mes_Corriente!FG64*SALUD_Mes_Constante!$FC$1</f>
        <v>0</v>
      </c>
      <c r="FH64" s="8">
        <f>+MINVU_Mes_Corriente!FH64*SALUD_Mes_Constante!$FC$1</f>
        <v>63805</v>
      </c>
      <c r="FI64" s="8">
        <f>+MINVU_Mes_Corriente!FI64*SALUD_Mes_Constante!$FC$1</f>
        <v>63805</v>
      </c>
      <c r="FJ64" s="8"/>
      <c r="FK64" s="8"/>
      <c r="FL64" s="8"/>
      <c r="FM64" s="8"/>
      <c r="FN64" s="8"/>
      <c r="FO64" s="9">
        <f t="shared" si="31"/>
        <v>63805</v>
      </c>
    </row>
    <row r="65" spans="2:171" ht="14.25" customHeight="1" x14ac:dyDescent="0.3">
      <c r="B65" s="31" t="s">
        <v>64</v>
      </c>
      <c r="C65" s="8">
        <f>+MINVU_Mes_Corriente!C65*SALUD_Mes_Constante!$C$1</f>
        <v>0</v>
      </c>
      <c r="D65" s="8">
        <f>+MINVU_Mes_Corriente!D65*SALUD_Mes_Constante!$C$1</f>
        <v>2544996.4368975237</v>
      </c>
      <c r="E65" s="8">
        <f>+MINVU_Mes_Corriente!E65*SALUD_Mes_Constante!$C$1</f>
        <v>2544996.4368975237</v>
      </c>
      <c r="F65" s="8">
        <f>+MINVU_Mes_Corriente!F65*SALUD_Mes_Constante!$C$1</f>
        <v>2544996.4368975237</v>
      </c>
      <c r="G65" s="8">
        <f>+MINVU_Mes_Corriente!G65*SALUD_Mes_Constante!$C$1</f>
        <v>2544996.4368975237</v>
      </c>
      <c r="H65" s="8">
        <f>+MINVU_Mes_Corriente!H65*SALUD_Mes_Constante!$C$1</f>
        <v>2544996.4368975237</v>
      </c>
      <c r="I65" s="8">
        <f>+MINVU_Mes_Corriente!I65*SALUD_Mes_Constante!$C$1</f>
        <v>2544996.4368975237</v>
      </c>
      <c r="J65" s="8">
        <f>+MINVU_Mes_Corriente!J65*SALUD_Mes_Constante!$C$1</f>
        <v>2544996.4368975237</v>
      </c>
      <c r="K65" s="8">
        <f>+MINVU_Mes_Corriente!K65*SALUD_Mes_Constante!$C$1</f>
        <v>2962822.3618567409</v>
      </c>
      <c r="L65" s="8">
        <f>+MINVU_Mes_Corriente!L65*SALUD_Mes_Constante!$C$1</f>
        <v>2962822.3618567409</v>
      </c>
      <c r="M65" s="8">
        <f>+MINVU_Mes_Corriente!M65*SALUD_Mes_Constante!$C$1</f>
        <v>2644521.3919620351</v>
      </c>
      <c r="N65" s="8">
        <f>+MINVU_Mes_Corriente!N65*SALUD_Mes_Constante!$C$1</f>
        <v>2837618.1471155277</v>
      </c>
      <c r="O65" s="9">
        <f t="shared" si="19"/>
        <v>2837618.1471155277</v>
      </c>
      <c r="P65" s="8">
        <f>+MINVU_Mes_Corriente!P65*SALUD_Mes_Constante!$P$1</f>
        <v>0</v>
      </c>
      <c r="Q65" s="8">
        <f>+MINVU_Mes_Corriente!Q65*SALUD_Mes_Constante!$P$1</f>
        <v>0</v>
      </c>
      <c r="R65" s="8">
        <f>+MINVU_Mes_Corriente!R65*SALUD_Mes_Constante!$P$1</f>
        <v>315551.69654780498</v>
      </c>
      <c r="S65" s="8">
        <f>+MINVU_Mes_Corriente!S65*SALUD_Mes_Constante!$P$1</f>
        <v>315551.69654780498</v>
      </c>
      <c r="T65" s="8">
        <f>+MINVU_Mes_Corriente!T65*SALUD_Mes_Constante!$P$1</f>
        <v>316549.76701235957</v>
      </c>
      <c r="U65" s="8">
        <f>+MINVU_Mes_Corriente!U65*SALUD_Mes_Constante!$P$1</f>
        <v>934741.88464270462</v>
      </c>
      <c r="V65" s="8">
        <f>+MINVU_Mes_Corriente!V65*SALUD_Mes_Constante!$P$1</f>
        <v>934741.88464270462</v>
      </c>
      <c r="W65" s="8">
        <f>+MINVU_Mes_Corriente!W65*SALUD_Mes_Constante!$P$1</f>
        <v>934741.88464270462</v>
      </c>
      <c r="X65" s="8">
        <f>+MINVU_Mes_Corriente!X65*SALUD_Mes_Constante!$P$1</f>
        <v>952325.30956101685</v>
      </c>
      <c r="Y65" s="8">
        <f>+MINVU_Mes_Corriente!Y65*SALUD_Mes_Constante!$P$1</f>
        <v>6162600.8293791711</v>
      </c>
      <c r="Z65" s="8">
        <f>+MINVU_Mes_Corriente!Z65*SALUD_Mes_Constante!$P$1</f>
        <v>6162600.8293791711</v>
      </c>
      <c r="AA65" s="8">
        <f>+MINVU_Mes_Corriente!AA65*SALUD_Mes_Constante!$P$1</f>
        <v>7251835.6400056798</v>
      </c>
      <c r="AB65" s="9">
        <f t="shared" si="20"/>
        <v>7251835.6400056798</v>
      </c>
      <c r="AC65" s="8">
        <f>+MINVU_Mes_Corriente!AC65*SALUD_Mes_Constante!$AC$1</f>
        <v>0</v>
      </c>
      <c r="AD65" s="8">
        <f>+MINVU_Mes_Corriente!AD65*SALUD_Mes_Constante!$AC$1</f>
        <v>6747259.1794162402</v>
      </c>
      <c r="AE65" s="8">
        <f>+MINVU_Mes_Corriente!AE65*SALUD_Mes_Constante!$AC$1</f>
        <v>6747259.1794162402</v>
      </c>
      <c r="AF65" s="8">
        <f>+MINVU_Mes_Corriente!AF65*SALUD_Mes_Constante!$AC$1</f>
        <v>6747259.1794162402</v>
      </c>
      <c r="AG65" s="8">
        <f>+MINVU_Mes_Corriente!AG65*SALUD_Mes_Constante!$AC$1</f>
        <v>7033618.9235025588</v>
      </c>
      <c r="AH65" s="8">
        <f>+MINVU_Mes_Corriente!AH65*SALUD_Mes_Constante!$AC$1</f>
        <v>7033618.9235025588</v>
      </c>
      <c r="AI65" s="8">
        <f>+MINVU_Mes_Corriente!AI65*SALUD_Mes_Constante!$AC$1</f>
        <v>7834156.6205560938</v>
      </c>
      <c r="AJ65" s="8">
        <f>+MINVU_Mes_Corriente!AJ65*SALUD_Mes_Constante!$AC$1</f>
        <v>7834156.6205560938</v>
      </c>
      <c r="AK65" s="8">
        <f>+MINVU_Mes_Corriente!AK65*SALUD_Mes_Constante!$AC$1</f>
        <v>7834156.6205560938</v>
      </c>
      <c r="AL65" s="8">
        <f>+MINVU_Mes_Corriente!AL65*SALUD_Mes_Constante!$AC$1</f>
        <v>7834156.6205560938</v>
      </c>
      <c r="AM65" s="8">
        <f>+MINVU_Mes_Corriente!AM65*SALUD_Mes_Constante!$AC$1</f>
        <v>7834156.6205560938</v>
      </c>
      <c r="AN65" s="8">
        <f>+MINVU_Mes_Corriente!AN65*SALUD_Mes_Constante!$AC$1</f>
        <v>7959835.0930972472</v>
      </c>
      <c r="AO65" s="9">
        <f t="shared" si="21"/>
        <v>7959835.0930972472</v>
      </c>
      <c r="AP65" s="8">
        <f>+MINVU_Mes_Corriente!AP65*SALUD_Mes_Constante!$AP$1</f>
        <v>0</v>
      </c>
      <c r="AQ65" s="8">
        <f>+MINVU_Mes_Corriente!AQ65*SALUD_Mes_Constante!$AP$1</f>
        <v>0</v>
      </c>
      <c r="AR65" s="8">
        <f>+MINVU_Mes_Corriente!AR65*SALUD_Mes_Constante!$AP$1</f>
        <v>11123899.077776274</v>
      </c>
      <c r="AS65" s="8">
        <f>+MINVU_Mes_Corriente!AS65*SALUD_Mes_Constante!$AP$1</f>
        <v>11123899.077776274</v>
      </c>
      <c r="AT65" s="8">
        <f>+MINVU_Mes_Corriente!AT65*SALUD_Mes_Constante!$AP$1</f>
        <v>11123899.077776274</v>
      </c>
      <c r="AU65" s="8">
        <f>+MINVU_Mes_Corriente!AU65*SALUD_Mes_Constante!$AP$1</f>
        <v>11123899.077776274</v>
      </c>
      <c r="AV65" s="8">
        <f>+MINVU_Mes_Corriente!AV65*SALUD_Mes_Constante!$AP$1</f>
        <v>11123899.077776274</v>
      </c>
      <c r="AW65" s="8">
        <f>+MINVU_Mes_Corriente!AW65*SALUD_Mes_Constante!$AP$1</f>
        <v>11123899.077776274</v>
      </c>
      <c r="AX65" s="8">
        <f>+MINVU_Mes_Corriente!AX65*SALUD_Mes_Constante!$AP$1</f>
        <v>11123899.077776274</v>
      </c>
      <c r="AY65" s="8">
        <f>+MINVU_Mes_Corriente!AY65*SALUD_Mes_Constante!$AP$1</f>
        <v>13220485.124036249</v>
      </c>
      <c r="AZ65" s="8">
        <f>+MINVU_Mes_Corriente!AZ65*SALUD_Mes_Constante!$AP$1</f>
        <v>13220485.124036249</v>
      </c>
      <c r="BA65" s="8">
        <f>+MINVU_Mes_Corriente!BA65*SALUD_Mes_Constante!$AP$1</f>
        <v>16136302.443392398</v>
      </c>
      <c r="BB65" s="9">
        <f t="shared" si="22"/>
        <v>16136302.443392398</v>
      </c>
      <c r="BC65" s="8">
        <f>+MINVU_Mes_Corriente!BC65*SALUD_Mes_Constante!$BC$1</f>
        <v>0</v>
      </c>
      <c r="BD65" s="8">
        <f>+MINVU_Mes_Corriente!BD65*SALUD_Mes_Constante!$BC$1</f>
        <v>0</v>
      </c>
      <c r="BE65" s="8">
        <f>+MINVU_Mes_Corriente!BE65*SALUD_Mes_Constante!$BC$1</f>
        <v>1270927.3625214298</v>
      </c>
      <c r="BF65" s="8">
        <f>+MINVU_Mes_Corriente!BF65*SALUD_Mes_Constante!$BC$1</f>
        <v>8255721.9095344869</v>
      </c>
      <c r="BG65" s="8">
        <f>+MINVU_Mes_Corriente!BG65*SALUD_Mes_Constante!$BC$1</f>
        <v>10056281.466701835</v>
      </c>
      <c r="BH65" s="8">
        <f>+MINVU_Mes_Corriente!BH65*SALUD_Mes_Constante!$BC$1</f>
        <v>11063134.771989981</v>
      </c>
      <c r="BI65" s="8">
        <f>+MINVU_Mes_Corriente!BI65*SALUD_Mes_Constante!$BC$1</f>
        <v>11063134.771989981</v>
      </c>
      <c r="BJ65" s="8">
        <f>+MINVU_Mes_Corriente!BJ65*SALUD_Mes_Constante!$BC$1</f>
        <v>11063134.771989981</v>
      </c>
      <c r="BK65" s="8">
        <f>+MINVU_Mes_Corriente!BK65*SALUD_Mes_Constante!$BC$1</f>
        <v>9281862.4937359914</v>
      </c>
      <c r="BL65" s="8">
        <f>+MINVU_Mes_Corriente!BL65*SALUD_Mes_Constante!$BC$1</f>
        <v>8796566.8342344742</v>
      </c>
      <c r="BM65" s="8">
        <f>+MINVU_Mes_Corriente!BM65*SALUD_Mes_Constante!$BC$1</f>
        <v>8796566.8342344742</v>
      </c>
      <c r="BN65" s="8">
        <f>+MINVU_Mes_Corriente!BN65*SALUD_Mes_Constante!$BC$1</f>
        <v>4161984.7129104584</v>
      </c>
      <c r="BO65" s="9">
        <f t="shared" si="23"/>
        <v>4161984.7129104584</v>
      </c>
      <c r="BP65" s="8">
        <f>+MINVU_Mes_Corriente!BP65*SALUD_Mes_Constante!$BP$1</f>
        <v>0</v>
      </c>
      <c r="BQ65" s="8">
        <f>+MINVU_Mes_Corriente!BQ65*SALUD_Mes_Constante!$BP$1</f>
        <v>0</v>
      </c>
      <c r="BR65" s="8">
        <f>+MINVU_Mes_Corriente!BR65*SALUD_Mes_Constante!$BP$1</f>
        <v>4466446.6747759292</v>
      </c>
      <c r="BS65" s="8">
        <f>+MINVU_Mes_Corriente!BS65*SALUD_Mes_Constante!$BP$1</f>
        <v>7470842.0612035859</v>
      </c>
      <c r="BT65" s="8">
        <f>+MINVU_Mes_Corriente!BT65*SALUD_Mes_Constante!$BP$1</f>
        <v>7470842.0612035859</v>
      </c>
      <c r="BU65" s="8">
        <f>+MINVU_Mes_Corriente!BU65*SALUD_Mes_Constante!$BP$1</f>
        <v>7519434.082202306</v>
      </c>
      <c r="BV65" s="8">
        <f>+MINVU_Mes_Corriente!BV65*SALUD_Mes_Constante!$BP$1</f>
        <v>7519434.082202306</v>
      </c>
      <c r="BW65" s="8">
        <f>+MINVU_Mes_Corriente!BW65*SALUD_Mes_Constante!$BP$1</f>
        <v>4567385.5674775932</v>
      </c>
      <c r="BX65" s="8">
        <f>+MINVU_Mes_Corriente!BX65*SALUD_Mes_Constante!$BP$1</f>
        <v>4165252.8084507049</v>
      </c>
      <c r="BY65" s="8">
        <f>+MINVU_Mes_Corriente!BY65*SALUD_Mes_Constante!$BP$1</f>
        <v>4165252.8084507049</v>
      </c>
      <c r="BZ65" s="8">
        <f>+MINVU_Mes_Corriente!BZ65*SALUD_Mes_Constante!$BP$1</f>
        <v>4165252.8084507049</v>
      </c>
      <c r="CA65" s="8">
        <f>+MINVU_Mes_Corriente!CA65*SALUD_Mes_Constante!$BP$1</f>
        <v>1057482.9126760564</v>
      </c>
      <c r="CB65" s="9">
        <f t="shared" si="24"/>
        <v>1057482.9126760564</v>
      </c>
      <c r="CC65" s="8">
        <f>+MINVU_Mes_Corriente!CC65*SALUD_Mes_Constante!$CC$1</f>
        <v>0</v>
      </c>
      <c r="CD65" s="8">
        <f>+MINVU_Mes_Corriente!CD65*SALUD_Mes_Constante!$CC$1</f>
        <v>0</v>
      </c>
      <c r="CE65" s="8">
        <f>+MINVU_Mes_Corriente!CE65*SALUD_Mes_Constante!$CC$1</f>
        <v>4866881.6240208885</v>
      </c>
      <c r="CF65" s="8">
        <f>+MINVU_Mes_Corriente!CF65*SALUD_Mes_Constante!$CC$1</f>
        <v>4866881.6240208885</v>
      </c>
      <c r="CG65" s="8">
        <f>+MINVU_Mes_Corriente!CG65*SALUD_Mes_Constante!$CC$1</f>
        <v>4866881.6240208885</v>
      </c>
      <c r="CH65" s="8">
        <f>+MINVU_Mes_Corriente!CH65*SALUD_Mes_Constante!$CC$1</f>
        <v>4866881.6240208885</v>
      </c>
      <c r="CI65" s="8">
        <f>+MINVU_Mes_Corriente!CI65*SALUD_Mes_Constante!$CC$1</f>
        <v>5019611.9709063787</v>
      </c>
      <c r="CJ65" s="8">
        <f>+MINVU_Mes_Corriente!CJ65*SALUD_Mes_Constante!$CC$1</f>
        <v>5452412.2536367029</v>
      </c>
      <c r="CK65" s="8">
        <f>+MINVU_Mes_Corriente!CK65*SALUD_Mes_Constante!$CC$1</f>
        <v>5452412.2536367029</v>
      </c>
      <c r="CL65" s="8">
        <f>+MINVU_Mes_Corriente!CL65*SALUD_Mes_Constante!$CC$1</f>
        <v>5452412.2536367029</v>
      </c>
      <c r="CM65" s="8">
        <f>+MINVU_Mes_Corriente!CM65*SALUD_Mes_Constante!$CC$1</f>
        <v>4538967.1376352115</v>
      </c>
      <c r="CN65" s="8">
        <f>+MINVU_Mes_Corriente!CN65*SALUD_Mes_Constante!$CC$1</f>
        <v>1397617.8396120851</v>
      </c>
      <c r="CO65" s="9">
        <f t="shared" si="25"/>
        <v>1397617.8396120851</v>
      </c>
      <c r="CP65" s="8">
        <f>+MINVU_Mes_Corriente!CP65*SALUD_Mes_Constante!$CP$1</f>
        <v>0</v>
      </c>
      <c r="CQ65" s="8">
        <f>+MINVU_Mes_Corriente!CQ65*SALUD_Mes_Constante!$CP$1</f>
        <v>10015097.351972155</v>
      </c>
      <c r="CR65" s="8">
        <f>+MINVU_Mes_Corriente!CR65*SALUD_Mes_Constante!$CP$1</f>
        <v>10015097.351972155</v>
      </c>
      <c r="CS65" s="8">
        <f>+MINVU_Mes_Corriente!CS65*SALUD_Mes_Constante!$CP$1</f>
        <v>10015097.351972155</v>
      </c>
      <c r="CT65" s="8">
        <f>+MINVU_Mes_Corriente!CT65*SALUD_Mes_Constante!$CP$1</f>
        <v>10015097.351972155</v>
      </c>
      <c r="CU65" s="8">
        <f>+MINVU_Mes_Corriente!CU65*SALUD_Mes_Constante!$CP$1</f>
        <v>10319301.528306263</v>
      </c>
      <c r="CV65" s="8">
        <f>+MINVU_Mes_Corriente!CV65*SALUD_Mes_Constante!$CP$1</f>
        <v>10147986.411368908</v>
      </c>
      <c r="CW65" s="8">
        <f>+MINVU_Mes_Corriente!CW65*SALUD_Mes_Constante!$CP$1</f>
        <v>10152247.804872388</v>
      </c>
      <c r="CX65" s="8">
        <f>+MINVU_Mes_Corriente!CX65*SALUD_Mes_Constante!$CP$1</f>
        <v>10152247.804872388</v>
      </c>
      <c r="CY65" s="8">
        <f>+MINVU_Mes_Corriente!CY65*SALUD_Mes_Constante!$CP$1</f>
        <v>3438123.206032482</v>
      </c>
      <c r="CZ65" s="8">
        <f>+MINVU_Mes_Corriente!CZ65*SALUD_Mes_Constante!$CP$1</f>
        <v>3438123.206032482</v>
      </c>
      <c r="DA65" s="8">
        <f>+MINVU_Mes_Corriente!DA65*SALUD_Mes_Constante!$CP$1</f>
        <v>1559942.5385150809</v>
      </c>
      <c r="DB65" s="9">
        <f t="shared" si="26"/>
        <v>1559942.5385150809</v>
      </c>
      <c r="DC65" s="8">
        <f>+MINVU_Mes_Corriente!DC65*SALUD_Mes_Constante!$DC$1</f>
        <v>0</v>
      </c>
      <c r="DD65" s="8">
        <f>+MINVU_Mes_Corriente!DD65*SALUD_Mes_Constante!$DC$1</f>
        <v>7732719.4268079456</v>
      </c>
      <c r="DE65" s="8">
        <f>+MINVU_Mes_Corriente!DE65*SALUD_Mes_Constante!$DC$1</f>
        <v>7732719.4268079456</v>
      </c>
      <c r="DF65" s="8">
        <f>+MINVU_Mes_Corriente!DF65*SALUD_Mes_Constante!$DC$1</f>
        <v>7732719.4268079456</v>
      </c>
      <c r="DG65" s="8">
        <f>+MINVU_Mes_Corriente!DG65*SALUD_Mes_Constante!$DC$1</f>
        <v>7732719.4268079456</v>
      </c>
      <c r="DH65" s="8">
        <f>+MINVU_Mes_Corriente!DH65*SALUD_Mes_Constante!$DC$1</f>
        <v>7732719.4268079456</v>
      </c>
      <c r="DI65" s="8">
        <f>+MINVU_Mes_Corriente!DI65*SALUD_Mes_Constante!$DC$1</f>
        <v>4524566.6355313258</v>
      </c>
      <c r="DJ65" s="8">
        <f>+MINVU_Mes_Corriente!DJ65*SALUD_Mes_Constante!$DC$1</f>
        <v>4524566.6355313258</v>
      </c>
      <c r="DK65" s="8">
        <f>+MINVU_Mes_Corriente!DK65*SALUD_Mes_Constante!$DC$1</f>
        <v>4524566.6355313258</v>
      </c>
      <c r="DL65" s="8">
        <f>+MINVU_Mes_Corriente!DL65*SALUD_Mes_Constante!$DC$1</f>
        <v>5277981.8292356776</v>
      </c>
      <c r="DM65" s="8">
        <f>+MINVU_Mes_Corriente!DM65*SALUD_Mes_Constante!$DC$1</f>
        <v>3847122.0407365514</v>
      </c>
      <c r="DN65" s="8">
        <f>+MINVU_Mes_Corriente!DN65*SALUD_Mes_Constante!$DC$1</f>
        <v>3750924.6857319223</v>
      </c>
      <c r="DO65" s="9">
        <f t="shared" si="27"/>
        <v>3750924.6857319223</v>
      </c>
      <c r="DP65" s="8">
        <f>+MINVU_Mes_Corriente!DP65*SALUD_Mes_Constante!$DP$1</f>
        <v>0</v>
      </c>
      <c r="DQ65" s="8">
        <f>+MINVU_Mes_Corriente!DQ65*SALUD_Mes_Constante!$DP$1</f>
        <v>5657247.9299287414</v>
      </c>
      <c r="DR65" s="8">
        <f>+MINVU_Mes_Corriente!DR65*SALUD_Mes_Constante!$DP$1</f>
        <v>5657247.9299287414</v>
      </c>
      <c r="DS65" s="8">
        <f>+MINVU_Mes_Corriente!DS65*SALUD_Mes_Constante!$DP$1</f>
        <v>5657247.9299287414</v>
      </c>
      <c r="DT65" s="8">
        <f>+MINVU_Mes_Corriente!DT65*SALUD_Mes_Constante!$DP$1</f>
        <v>5657247.9299287414</v>
      </c>
      <c r="DU65" s="8">
        <f>+MINVU_Mes_Corriente!DU65*SALUD_Mes_Constante!$DP$1</f>
        <v>5657247.9299287414</v>
      </c>
      <c r="DV65" s="8">
        <f>+MINVU_Mes_Corriente!DV65*SALUD_Mes_Constante!$DP$1</f>
        <v>10484774.078978624</v>
      </c>
      <c r="DW65" s="8">
        <f>+MINVU_Mes_Corriente!DW65*SALUD_Mes_Constante!$DP$1</f>
        <v>10484774.078978624</v>
      </c>
      <c r="DX65" s="8">
        <f>+MINVU_Mes_Corriente!DX65*SALUD_Mes_Constante!$DP$1</f>
        <v>10484774.078978624</v>
      </c>
      <c r="DY65" s="8">
        <f>+MINVU_Mes_Corriente!DY65*SALUD_Mes_Constante!$DP$1</f>
        <v>10655208.432897864</v>
      </c>
      <c r="DZ65" s="8">
        <f>+MINVU_Mes_Corriente!DZ65*SALUD_Mes_Constante!$DP$1</f>
        <v>10813469.98574822</v>
      </c>
      <c r="EA65" s="8">
        <f>+MINVU_Mes_Corriente!EA65*SALUD_Mes_Constante!$DP$1</f>
        <v>3239414.0985748223</v>
      </c>
      <c r="EB65" s="9">
        <f t="shared" si="28"/>
        <v>3239414.0985748223</v>
      </c>
      <c r="EC65" s="8">
        <f>+MINVU_Mes_Corriente!EC65*SALUD_Mes_Constante!$EC$1</f>
        <v>0</v>
      </c>
      <c r="ED65" s="8">
        <f>+MINVU_Mes_Corriente!ED65*SALUD_Mes_Constante!$EC$1</f>
        <v>2178503.9199015331</v>
      </c>
      <c r="EE65" s="8">
        <f>+MINVU_Mes_Corriente!EE65*SALUD_Mes_Constante!$EC$1</f>
        <v>7245227.9755728059</v>
      </c>
      <c r="EF65" s="8">
        <f>+MINVU_Mes_Corriente!EF65*SALUD_Mes_Constante!$EC$1</f>
        <v>11075840.955690207</v>
      </c>
      <c r="EG65" s="8">
        <f>+MINVU_Mes_Corriente!EG65*SALUD_Mes_Constante!$EC$1</f>
        <v>11075840.955690207</v>
      </c>
      <c r="EH65" s="8">
        <f>+MINVU_Mes_Corriente!EH65*SALUD_Mes_Constante!$EC$1</f>
        <v>11441492.652338568</v>
      </c>
      <c r="EI65" s="8">
        <f>+MINVU_Mes_Corriente!EI65*SALUD_Mes_Constante!$EC$1</f>
        <v>11445554.989206586</v>
      </c>
      <c r="EJ65" s="8">
        <f>+MINVU_Mes_Corriente!EJ65*SALUD_Mes_Constante!$EC$1</f>
        <v>11445554.989206586</v>
      </c>
      <c r="EK65" s="8">
        <f>+MINVU_Mes_Corriente!EK65*SALUD_Mes_Constante!$EC$1</f>
        <v>15375002.649498196</v>
      </c>
      <c r="EL65" s="8">
        <f>+MINVU_Mes_Corriente!EL65*SALUD_Mes_Constante!$EC$1</f>
        <v>12755356.048665021</v>
      </c>
      <c r="EM65" s="8">
        <f>+MINVU_Mes_Corriente!EM65*SALUD_Mes_Constante!$EC$1</f>
        <v>12301434.644196171</v>
      </c>
      <c r="EN65" s="8">
        <f>+MINVU_Mes_Corriente!EN65*SALUD_Mes_Constante!$EC$1</f>
        <v>11782127.926150346</v>
      </c>
      <c r="EO65" s="9">
        <f t="shared" si="29"/>
        <v>11782127.926150346</v>
      </c>
      <c r="EP65" s="8">
        <f>+MINVU_Mes_Corriente!EP65*SALUD_Mes_Constante!$EP$1</f>
        <v>0</v>
      </c>
      <c r="EQ65" s="8">
        <f>+MINVU_Mes_Corriente!EQ65*SALUD_Mes_Constante!$EP$1</f>
        <v>15950741</v>
      </c>
      <c r="ER65" s="8">
        <f>+MINVU_Mes_Corriente!ER65*SALUD_Mes_Constante!$EP$1</f>
        <v>16457573</v>
      </c>
      <c r="ES65" s="8">
        <f>+MINVU_Mes_Corriente!ES65*SALUD_Mes_Constante!$EP$1</f>
        <v>16457573</v>
      </c>
      <c r="ET65" s="8">
        <f>+MINVU_Mes_Corriente!ET65*SALUD_Mes_Constante!$EP$1</f>
        <v>16457573</v>
      </c>
      <c r="EU65" s="8">
        <f>+MINVU_Mes_Corriente!EU65*SALUD_Mes_Constante!$EP$1</f>
        <v>16457573</v>
      </c>
      <c r="EV65" s="8">
        <f>+MINVU_Mes_Corriente!EV65*SALUD_Mes_Constante!$EP$1</f>
        <v>16457573</v>
      </c>
      <c r="EW65" s="8">
        <f>+MINVU_Mes_Corriente!EW65*SALUD_Mes_Constante!$EP$1</f>
        <v>16457573</v>
      </c>
      <c r="EX65" s="8">
        <f>+MINVU_Mes_Corriente!EX65*SALUD_Mes_Constante!$EP$1</f>
        <v>21869842</v>
      </c>
      <c r="EY65" s="8">
        <f>+MINVU_Mes_Corriente!EY65*SALUD_Mes_Constante!$EP$1</f>
        <v>21968330</v>
      </c>
      <c r="EZ65" s="8">
        <f>+MINVU_Mes_Corriente!EZ65*SALUD_Mes_Constante!$EP$1</f>
        <v>21968330</v>
      </c>
      <c r="FA65" s="8">
        <f>+MINVU_Mes_Corriente!FA65*SALUD_Mes_Constante!$EP$1</f>
        <v>20373302</v>
      </c>
      <c r="FB65" s="9">
        <f t="shared" si="30"/>
        <v>20373302</v>
      </c>
      <c r="FC65" s="8">
        <f>+MINVU_Mes_Corriente!FC65*SALUD_Mes_Constante!$FC$1</f>
        <v>5803182</v>
      </c>
      <c r="FD65" s="8">
        <f>+MINVU_Mes_Corriente!FD65*SALUD_Mes_Constante!$FC$1</f>
        <v>5803182</v>
      </c>
      <c r="FE65" s="8">
        <f>+MINVU_Mes_Corriente!FE65*SALUD_Mes_Constante!$FC$1</f>
        <v>5803182</v>
      </c>
      <c r="FF65" s="8">
        <f>+MINVU_Mes_Corriente!FF65*SALUD_Mes_Constante!$FC$1</f>
        <v>5803182</v>
      </c>
      <c r="FG65" s="8">
        <f>+MINVU_Mes_Corriente!FG65*SALUD_Mes_Constante!$FC$1</f>
        <v>5803182</v>
      </c>
      <c r="FH65" s="8">
        <f>+MINVU_Mes_Corriente!FH65*SALUD_Mes_Constante!$FC$1</f>
        <v>5803182</v>
      </c>
      <c r="FI65" s="8">
        <f>+MINVU_Mes_Corriente!FI65*SALUD_Mes_Constante!$FC$1</f>
        <v>5803182</v>
      </c>
      <c r="FJ65" s="8"/>
      <c r="FK65" s="8"/>
      <c r="FL65" s="8"/>
      <c r="FM65" s="8"/>
      <c r="FN65" s="8"/>
      <c r="FO65" s="9">
        <f t="shared" si="31"/>
        <v>5803182</v>
      </c>
    </row>
    <row r="66" spans="2:171" ht="14.25" customHeight="1" x14ac:dyDescent="0.3">
      <c r="B66" s="31" t="s">
        <v>65</v>
      </c>
      <c r="C66" s="8">
        <f>+MINVU_Mes_Corriente!C66*SALUD_Mes_Constante!$C$1</f>
        <v>0</v>
      </c>
      <c r="D66" s="8">
        <f>+MINVU_Mes_Corriente!D66*SALUD_Mes_Constante!$C$1</f>
        <v>19246008.839982208</v>
      </c>
      <c r="E66" s="8">
        <f>+MINVU_Mes_Corriente!E66*SALUD_Mes_Constante!$C$1</f>
        <v>24307328.052795496</v>
      </c>
      <c r="F66" s="8">
        <f>+MINVU_Mes_Corriente!F66*SALUD_Mes_Constante!$C$1</f>
        <v>24307328.052795496</v>
      </c>
      <c r="G66" s="8">
        <f>+MINVU_Mes_Corriente!G66*SALUD_Mes_Constante!$C$1</f>
        <v>24307328.052795496</v>
      </c>
      <c r="H66" s="8">
        <f>+MINVU_Mes_Corriente!H66*SALUD_Mes_Constante!$C$1</f>
        <v>24307328.052795496</v>
      </c>
      <c r="I66" s="8">
        <f>+MINVU_Mes_Corriente!I66*SALUD_Mes_Constante!$C$1</f>
        <v>24307328.052795496</v>
      </c>
      <c r="J66" s="8">
        <f>+MINVU_Mes_Corriente!J66*SALUD_Mes_Constante!$C$1</f>
        <v>24307328.052795496</v>
      </c>
      <c r="K66" s="8">
        <f>+MINVU_Mes_Corriente!K66*SALUD_Mes_Constante!$C$1</f>
        <v>38295638.101735137</v>
      </c>
      <c r="L66" s="8">
        <f>+MINVU_Mes_Corriente!L66*SALUD_Mes_Constante!$C$1</f>
        <v>38295638.101735137</v>
      </c>
      <c r="M66" s="8">
        <f>+MINVU_Mes_Corriente!M66*SALUD_Mes_Constante!$C$1</f>
        <v>38218924.39211034</v>
      </c>
      <c r="N66" s="8">
        <f>+MINVU_Mes_Corriente!N66*SALUD_Mes_Constante!$C$1</f>
        <v>38218924.39211034</v>
      </c>
      <c r="O66" s="9">
        <f t="shared" si="19"/>
        <v>38218924.39211034</v>
      </c>
      <c r="P66" s="8">
        <f>+MINVU_Mes_Corriente!P66*SALUD_Mes_Constante!$P$1</f>
        <v>0</v>
      </c>
      <c r="Q66" s="8">
        <f>+MINVU_Mes_Corriente!Q66*SALUD_Mes_Constante!$P$1</f>
        <v>8102278.5995169738</v>
      </c>
      <c r="R66" s="8">
        <f>+MINVU_Mes_Corriente!R66*SALUD_Mes_Constante!$P$1</f>
        <v>11389182.306009373</v>
      </c>
      <c r="S66" s="8">
        <f>+MINVU_Mes_Corriente!S66*SALUD_Mes_Constante!$P$1</f>
        <v>11389182.306009373</v>
      </c>
      <c r="T66" s="8">
        <f>+MINVU_Mes_Corriente!T66*SALUD_Mes_Constante!$P$1</f>
        <v>12475716.272766013</v>
      </c>
      <c r="U66" s="8">
        <f>+MINVU_Mes_Corriente!U66*SALUD_Mes_Constante!$P$1</f>
        <v>13796441.34280437</v>
      </c>
      <c r="V66" s="8">
        <f>+MINVU_Mes_Corriente!V66*SALUD_Mes_Constante!$P$1</f>
        <v>14206202.819718705</v>
      </c>
      <c r="W66" s="8">
        <f>+MINVU_Mes_Corriente!W66*SALUD_Mes_Constante!$P$1</f>
        <v>14206202.819718705</v>
      </c>
      <c r="X66" s="8">
        <f>+MINVU_Mes_Corriente!X66*SALUD_Mes_Constante!$P$1</f>
        <v>14206202.819718705</v>
      </c>
      <c r="Y66" s="8">
        <f>+MINVU_Mes_Corriente!Y66*SALUD_Mes_Constante!$P$1</f>
        <v>14206202.819718705</v>
      </c>
      <c r="Z66" s="8">
        <f>+MINVU_Mes_Corriente!Z66*SALUD_Mes_Constante!$P$1</f>
        <v>14479889.884074437</v>
      </c>
      <c r="AA66" s="8">
        <f>+MINVU_Mes_Corriente!AA66*SALUD_Mes_Constante!$P$1</f>
        <v>17412295.41497371</v>
      </c>
      <c r="AB66" s="9">
        <f t="shared" si="20"/>
        <v>17412295.41497371</v>
      </c>
      <c r="AC66" s="8">
        <f>+MINVU_Mes_Corriente!AC66*SALUD_Mes_Constante!$AC$1</f>
        <v>0</v>
      </c>
      <c r="AD66" s="8">
        <f>+MINVU_Mes_Corriente!AD66*SALUD_Mes_Constante!$AC$1</f>
        <v>0</v>
      </c>
      <c r="AE66" s="8">
        <f>+MINVU_Mes_Corriente!AE66*SALUD_Mes_Constante!$AC$1</f>
        <v>0</v>
      </c>
      <c r="AF66" s="8">
        <f>+MINVU_Mes_Corriente!AF66*SALUD_Mes_Constante!$AC$1</f>
        <v>10784778.162678102</v>
      </c>
      <c r="AG66" s="8">
        <f>+MINVU_Mes_Corriente!AG66*SALUD_Mes_Constante!$AC$1</f>
        <v>11503497.062664269</v>
      </c>
      <c r="AH66" s="8">
        <f>+MINVU_Mes_Corriente!AH66*SALUD_Mes_Constante!$AC$1</f>
        <v>11503497.062664269</v>
      </c>
      <c r="AI66" s="8">
        <f>+MINVU_Mes_Corriente!AI66*SALUD_Mes_Constante!$AC$1</f>
        <v>12383816.172914648</v>
      </c>
      <c r="AJ66" s="8">
        <f>+MINVU_Mes_Corriente!AJ66*SALUD_Mes_Constante!$AC$1</f>
        <v>13785391.18024623</v>
      </c>
      <c r="AK66" s="8">
        <f>+MINVU_Mes_Corriente!AK66*SALUD_Mes_Constante!$AC$1</f>
        <v>13805625.969013695</v>
      </c>
      <c r="AL66" s="8">
        <f>+MINVU_Mes_Corriente!AL66*SALUD_Mes_Constante!$AC$1</f>
        <v>13941202.681145387</v>
      </c>
      <c r="AM66" s="8">
        <f>+MINVU_Mes_Corriente!AM66*SALUD_Mes_Constante!$AC$1</f>
        <v>13941202.681145387</v>
      </c>
      <c r="AN66" s="8">
        <f>+MINVU_Mes_Corriente!AN66*SALUD_Mes_Constante!$AC$1</f>
        <v>11030010.86484991</v>
      </c>
      <c r="AO66" s="9">
        <f t="shared" si="21"/>
        <v>11030010.86484991</v>
      </c>
      <c r="AP66" s="8">
        <f>+MINVU_Mes_Corriente!AP66*SALUD_Mes_Constante!$AP$1</f>
        <v>0</v>
      </c>
      <c r="AQ66" s="8">
        <f>+MINVU_Mes_Corriente!AQ66*SALUD_Mes_Constante!$AP$1</f>
        <v>0</v>
      </c>
      <c r="AR66" s="8">
        <f>+MINVU_Mes_Corriente!AR66*SALUD_Mes_Constante!$AP$1</f>
        <v>9469238.917624779</v>
      </c>
      <c r="AS66" s="8">
        <f>+MINVU_Mes_Corriente!AS66*SALUD_Mes_Constante!$AP$1</f>
        <v>9469238.917624779</v>
      </c>
      <c r="AT66" s="8">
        <f>+MINVU_Mes_Corriente!AT66*SALUD_Mes_Constante!$AP$1</f>
        <v>9469238.917624779</v>
      </c>
      <c r="AU66" s="8">
        <f>+MINVU_Mes_Corriente!AU66*SALUD_Mes_Constante!$AP$1</f>
        <v>9623441.3848234806</v>
      </c>
      <c r="AV66" s="8">
        <f>+MINVU_Mes_Corriente!AV66*SALUD_Mes_Constante!$AP$1</f>
        <v>9766753.3212498296</v>
      </c>
      <c r="AW66" s="8">
        <f>+MINVU_Mes_Corriente!AW66*SALUD_Mes_Constante!$AP$1</f>
        <v>9766753.3212498296</v>
      </c>
      <c r="AX66" s="8">
        <f>+MINVU_Mes_Corriente!AX66*SALUD_Mes_Constante!$AP$1</f>
        <v>9424339.3090761527</v>
      </c>
      <c r="AY66" s="8">
        <f>+MINVU_Mes_Corriente!AY66*SALUD_Mes_Constante!$AP$1</f>
        <v>9424339.3090761527</v>
      </c>
      <c r="AZ66" s="8">
        <f>+MINVU_Mes_Corriente!AZ66*SALUD_Mes_Constante!$AP$1</f>
        <v>9424339.3090761527</v>
      </c>
      <c r="BA66" s="8">
        <f>+MINVU_Mes_Corriente!BA66*SALUD_Mes_Constante!$AP$1</f>
        <v>9519466.2997430004</v>
      </c>
      <c r="BB66" s="9">
        <f t="shared" si="22"/>
        <v>9519466.2997430004</v>
      </c>
      <c r="BC66" s="8">
        <f>+MINVU_Mes_Corriente!BC66*SALUD_Mes_Constante!$BC$1</f>
        <v>0</v>
      </c>
      <c r="BD66" s="8">
        <f>+MINVU_Mes_Corriente!BD66*SALUD_Mes_Constante!$BC$1</f>
        <v>0</v>
      </c>
      <c r="BE66" s="8">
        <f>+MINVU_Mes_Corriente!BE66*SALUD_Mes_Constante!$BC$1</f>
        <v>3458050.9033364113</v>
      </c>
      <c r="BF66" s="8">
        <f>+MINVU_Mes_Corriente!BF66*SALUD_Mes_Constante!$BC$1</f>
        <v>4539569.2910457617</v>
      </c>
      <c r="BG66" s="8">
        <f>+MINVU_Mes_Corriente!BG66*SALUD_Mes_Constante!$BC$1</f>
        <v>5729438.4995384431</v>
      </c>
      <c r="BH66" s="8">
        <f>+MINVU_Mes_Corriente!BH66*SALUD_Mes_Constante!$BC$1</f>
        <v>9009053.9762626942</v>
      </c>
      <c r="BI66" s="8">
        <f>+MINVU_Mes_Corriente!BI66*SALUD_Mes_Constante!$BC$1</f>
        <v>9009053.9762626942</v>
      </c>
      <c r="BJ66" s="8">
        <f>+MINVU_Mes_Corriente!BJ66*SALUD_Mes_Constante!$BC$1</f>
        <v>9853809.7046024017</v>
      </c>
      <c r="BK66" s="8">
        <f>+MINVU_Mes_Corriente!BK66*SALUD_Mes_Constante!$BC$1</f>
        <v>9853809.7046024017</v>
      </c>
      <c r="BL66" s="8">
        <f>+MINVU_Mes_Corriente!BL66*SALUD_Mes_Constante!$BC$1</f>
        <v>9853809.7046024017</v>
      </c>
      <c r="BM66" s="8">
        <f>+MINVU_Mes_Corriente!BM66*SALUD_Mes_Constante!$BC$1</f>
        <v>9853809.7046024017</v>
      </c>
      <c r="BN66" s="8">
        <f>+MINVU_Mes_Corriente!BN66*SALUD_Mes_Constante!$BC$1</f>
        <v>7322917.0009231195</v>
      </c>
      <c r="BO66" s="9">
        <f t="shared" si="23"/>
        <v>7322917.0009231195</v>
      </c>
      <c r="BP66" s="8">
        <f>+MINVU_Mes_Corriente!BP66*SALUD_Mes_Constante!$BP$1</f>
        <v>0</v>
      </c>
      <c r="BQ66" s="8">
        <f>+MINVU_Mes_Corriente!BQ66*SALUD_Mes_Constante!$BP$1</f>
        <v>0</v>
      </c>
      <c r="BR66" s="8">
        <f>+MINVU_Mes_Corriente!BR66*SALUD_Mes_Constante!$BP$1</f>
        <v>0</v>
      </c>
      <c r="BS66" s="8">
        <f>+MINVU_Mes_Corriente!BS66*SALUD_Mes_Constante!$BP$1</f>
        <v>5782502.2609475041</v>
      </c>
      <c r="BT66" s="8">
        <f>+MINVU_Mes_Corriente!BT66*SALUD_Mes_Constante!$BP$1</f>
        <v>5782502.2609475041</v>
      </c>
      <c r="BU66" s="8">
        <f>+MINVU_Mes_Corriente!BU66*SALUD_Mes_Constante!$BP$1</f>
        <v>5782502.2609475041</v>
      </c>
      <c r="BV66" s="8">
        <f>+MINVU_Mes_Corriente!BV66*SALUD_Mes_Constante!$BP$1</f>
        <v>5782502.2609475041</v>
      </c>
      <c r="BW66" s="8">
        <f>+MINVU_Mes_Corriente!BW66*SALUD_Mes_Constante!$BP$1</f>
        <v>6301793.6366197187</v>
      </c>
      <c r="BX66" s="8">
        <f>+MINVU_Mes_Corriente!BX66*SALUD_Mes_Constante!$BP$1</f>
        <v>6301793.6366197187</v>
      </c>
      <c r="BY66" s="8">
        <f>+MINVU_Mes_Corriente!BY66*SALUD_Mes_Constante!$BP$1</f>
        <v>6301793.6366197187</v>
      </c>
      <c r="BZ66" s="8">
        <f>+MINVU_Mes_Corriente!BZ66*SALUD_Mes_Constante!$BP$1</f>
        <v>6301793.6366197187</v>
      </c>
      <c r="CA66" s="8">
        <f>+MINVU_Mes_Corriente!CA66*SALUD_Mes_Constante!$BP$1</f>
        <v>6272703.3364916779</v>
      </c>
      <c r="CB66" s="9">
        <f t="shared" si="24"/>
        <v>6272703.3364916779</v>
      </c>
      <c r="CC66" s="8">
        <f>+MINVU_Mes_Corriente!CC66*SALUD_Mes_Constante!$CC$1</f>
        <v>0</v>
      </c>
      <c r="CD66" s="8">
        <f>+MINVU_Mes_Corriente!CD66*SALUD_Mes_Constante!$CC$1</f>
        <v>0</v>
      </c>
      <c r="CE66" s="8">
        <f>+MINVU_Mes_Corriente!CE66*SALUD_Mes_Constante!$CC$1</f>
        <v>5574434.8757926151</v>
      </c>
      <c r="CF66" s="8">
        <f>+MINVU_Mes_Corriente!CF66*SALUD_Mes_Constante!$CC$1</f>
        <v>5574434.8757926151</v>
      </c>
      <c r="CG66" s="8">
        <f>+MINVU_Mes_Corriente!CG66*SALUD_Mes_Constante!$CC$1</f>
        <v>5574434.8757926151</v>
      </c>
      <c r="CH66" s="8">
        <f>+MINVU_Mes_Corriente!CH66*SALUD_Mes_Constante!$CC$1</f>
        <v>5574434.8757926151</v>
      </c>
      <c r="CI66" s="8">
        <f>+MINVU_Mes_Corriente!CI66*SALUD_Mes_Constante!$CC$1</f>
        <v>5574434.8757926151</v>
      </c>
      <c r="CJ66" s="8">
        <f>+MINVU_Mes_Corriente!CJ66*SALUD_Mes_Constante!$CC$1</f>
        <v>5705887.8463259982</v>
      </c>
      <c r="CK66" s="8">
        <f>+MINVU_Mes_Corriente!CK66*SALUD_Mes_Constante!$CC$1</f>
        <v>5705887.8463259982</v>
      </c>
      <c r="CL66" s="8">
        <f>+MINVU_Mes_Corriente!CL66*SALUD_Mes_Constante!$CC$1</f>
        <v>5705887.8463259982</v>
      </c>
      <c r="CM66" s="8">
        <f>+MINVU_Mes_Corriente!CM66*SALUD_Mes_Constante!$CC$1</f>
        <v>5705887.8463259982</v>
      </c>
      <c r="CN66" s="8">
        <f>+MINVU_Mes_Corriente!CN66*SALUD_Mes_Constante!$CC$1</f>
        <v>4332887.8075345028</v>
      </c>
      <c r="CO66" s="9">
        <f t="shared" si="25"/>
        <v>4332887.8075345028</v>
      </c>
      <c r="CP66" s="8">
        <f>+MINVU_Mes_Corriente!CP66*SALUD_Mes_Constante!$CP$1</f>
        <v>0</v>
      </c>
      <c r="CQ66" s="8">
        <f>+MINVU_Mes_Corriente!CQ66*SALUD_Mes_Constante!$CP$1</f>
        <v>8591052.9591647312</v>
      </c>
      <c r="CR66" s="8">
        <f>+MINVU_Mes_Corriente!CR66*SALUD_Mes_Constante!$CP$1</f>
        <v>8591052.9591647312</v>
      </c>
      <c r="CS66" s="8">
        <f>+MINVU_Mes_Corriente!CS66*SALUD_Mes_Constante!$CP$1</f>
        <v>8591052.9591647312</v>
      </c>
      <c r="CT66" s="8">
        <f>+MINVU_Mes_Corriente!CT66*SALUD_Mes_Constante!$CP$1</f>
        <v>8591052.9591647312</v>
      </c>
      <c r="CU66" s="8">
        <f>+MINVU_Mes_Corriente!CU66*SALUD_Mes_Constante!$CP$1</f>
        <v>8591052.9591647312</v>
      </c>
      <c r="CV66" s="8">
        <f>+MINVU_Mes_Corriente!CV66*SALUD_Mes_Constante!$CP$1</f>
        <v>8895459.9382830616</v>
      </c>
      <c r="CW66" s="8">
        <f>+MINVU_Mes_Corriente!CW66*SALUD_Mes_Constante!$CP$1</f>
        <v>8895459.9382830616</v>
      </c>
      <c r="CX66" s="8">
        <f>+MINVU_Mes_Corriente!CX66*SALUD_Mes_Constante!$CP$1</f>
        <v>8895459.9382830616</v>
      </c>
      <c r="CY66" s="8">
        <f>+MINVU_Mes_Corriente!CY66*SALUD_Mes_Constante!$CP$1</f>
        <v>6481355.1682134559</v>
      </c>
      <c r="CZ66" s="8">
        <f>+MINVU_Mes_Corriente!CZ66*SALUD_Mes_Constante!$CP$1</f>
        <v>6511400.4006960541</v>
      </c>
      <c r="DA66" s="8">
        <f>+MINVU_Mes_Corriente!DA66*SALUD_Mes_Constante!$CP$1</f>
        <v>5115797.8308584681</v>
      </c>
      <c r="DB66" s="9">
        <f t="shared" si="26"/>
        <v>5115797.8308584681</v>
      </c>
      <c r="DC66" s="8">
        <f>+MINVU_Mes_Corriente!DC66*SALUD_Mes_Constante!$DC$1</f>
        <v>0</v>
      </c>
      <c r="DD66" s="8">
        <f>+MINVU_Mes_Corriente!DD66*SALUD_Mes_Constante!$DC$1</f>
        <v>3079574.193601483</v>
      </c>
      <c r="DE66" s="8">
        <f>+MINVU_Mes_Corriente!DE66*SALUD_Mes_Constante!$DC$1</f>
        <v>7295138.8027980691</v>
      </c>
      <c r="DF66" s="8">
        <f>+MINVU_Mes_Corriente!DF66*SALUD_Mes_Constante!$DC$1</f>
        <v>7295138.8027980691</v>
      </c>
      <c r="DG66" s="8">
        <f>+MINVU_Mes_Corriente!DG66*SALUD_Mes_Constante!$DC$1</f>
        <v>7295138.8027980691</v>
      </c>
      <c r="DH66" s="8">
        <f>+MINVU_Mes_Corriente!DH66*SALUD_Mes_Constante!$DC$1</f>
        <v>7295138.8027980691</v>
      </c>
      <c r="DI66" s="8">
        <f>+MINVU_Mes_Corriente!DI66*SALUD_Mes_Constante!$DC$1</f>
        <v>3013135.8862256985</v>
      </c>
      <c r="DJ66" s="8">
        <f>+MINVU_Mes_Corriente!DJ66*SALUD_Mes_Constante!$DC$1</f>
        <v>3013135.8862256985</v>
      </c>
      <c r="DK66" s="8">
        <f>+MINVU_Mes_Corriente!DK66*SALUD_Mes_Constante!$DC$1</f>
        <v>3531867.4335973682</v>
      </c>
      <c r="DL66" s="8">
        <f>+MINVU_Mes_Corriente!DL66*SALUD_Mes_Constante!$DC$1</f>
        <v>3687142.2921510153</v>
      </c>
      <c r="DM66" s="8">
        <f>+MINVU_Mes_Corriente!DM66*SALUD_Mes_Constante!$DC$1</f>
        <v>3147642.2407159773</v>
      </c>
      <c r="DN66" s="8">
        <f>+MINVU_Mes_Corriente!DN66*SALUD_Mes_Constante!$DC$1</f>
        <v>2523841.9343688935</v>
      </c>
      <c r="DO66" s="9">
        <f t="shared" si="27"/>
        <v>2523841.9343688935</v>
      </c>
      <c r="DP66" s="8">
        <f>+MINVU_Mes_Corriente!DP66*SALUD_Mes_Constante!$DP$1</f>
        <v>0</v>
      </c>
      <c r="DQ66" s="8">
        <f>+MINVU_Mes_Corriente!DQ66*SALUD_Mes_Constante!$DP$1</f>
        <v>10764165.653800476</v>
      </c>
      <c r="DR66" s="8">
        <f>+MINVU_Mes_Corriente!DR66*SALUD_Mes_Constante!$DP$1</f>
        <v>10764165.653800476</v>
      </c>
      <c r="DS66" s="8">
        <f>+MINVU_Mes_Corriente!DS66*SALUD_Mes_Constante!$DP$1</f>
        <v>10764165.653800476</v>
      </c>
      <c r="DT66" s="8">
        <f>+MINVU_Mes_Corriente!DT66*SALUD_Mes_Constante!$DP$1</f>
        <v>10764165.653800476</v>
      </c>
      <c r="DU66" s="8">
        <f>+MINVU_Mes_Corriente!DU66*SALUD_Mes_Constante!$DP$1</f>
        <v>10764165.653800476</v>
      </c>
      <c r="DV66" s="8">
        <f>+MINVU_Mes_Corriente!DV66*SALUD_Mes_Constante!$DP$1</f>
        <v>11545745.558194775</v>
      </c>
      <c r="DW66" s="8">
        <f>+MINVU_Mes_Corriente!DW66*SALUD_Mes_Constante!$DP$1</f>
        <v>11545745.558194775</v>
      </c>
      <c r="DX66" s="8">
        <f>+MINVU_Mes_Corriente!DX66*SALUD_Mes_Constante!$DP$1</f>
        <v>11545745.558194775</v>
      </c>
      <c r="DY66" s="8">
        <f>+MINVU_Mes_Corriente!DY66*SALUD_Mes_Constante!$DP$1</f>
        <v>11808556.733372923</v>
      </c>
      <c r="DZ66" s="8">
        <f>+MINVU_Mes_Corriente!DZ66*SALUD_Mes_Constante!$DP$1</f>
        <v>11808556.733372923</v>
      </c>
      <c r="EA66" s="8">
        <f>+MINVU_Mes_Corriente!EA66*SALUD_Mes_Constante!$DP$1</f>
        <v>9298206.5861045141</v>
      </c>
      <c r="EB66" s="9">
        <f t="shared" si="28"/>
        <v>9298206.5861045141</v>
      </c>
      <c r="EC66" s="8">
        <f>+MINVU_Mes_Corriente!EC66*SALUD_Mes_Constante!$EC$1</f>
        <v>0</v>
      </c>
      <c r="ED66" s="8">
        <f>+MINVU_Mes_Corriente!ED66*SALUD_Mes_Constante!$EC$1</f>
        <v>15658852.102063999</v>
      </c>
      <c r="EE66" s="8">
        <f>+MINVU_Mes_Corriente!EE66*SALUD_Mes_Constante!$EC$1</f>
        <v>17771538.302783556</v>
      </c>
      <c r="EF66" s="8">
        <f>+MINVU_Mes_Corriente!EF66*SALUD_Mes_Constante!$EC$1</f>
        <v>19071560.581897363</v>
      </c>
      <c r="EG66" s="8">
        <f>+MINVU_Mes_Corriente!EG66*SALUD_Mes_Constante!$EC$1</f>
        <v>19071560.581897363</v>
      </c>
      <c r="EH66" s="8">
        <f>+MINVU_Mes_Corriente!EH66*SALUD_Mes_Constante!$EC$1</f>
        <v>19071560.581897363</v>
      </c>
      <c r="EI66" s="8">
        <f>+MINVU_Mes_Corriente!EI66*SALUD_Mes_Constante!$EC$1</f>
        <v>18108343.993940536</v>
      </c>
      <c r="EJ66" s="8">
        <f>+MINVU_Mes_Corriente!EJ66*SALUD_Mes_Constante!$EC$1</f>
        <v>18261084.549895849</v>
      </c>
      <c r="EK66" s="8">
        <f>+MINVU_Mes_Corriente!EK66*SALUD_Mes_Constante!$EC$1</f>
        <v>18261084.549895849</v>
      </c>
      <c r="EL66" s="8">
        <f>+MINVU_Mes_Corriente!EL66*SALUD_Mes_Constante!$EC$1</f>
        <v>16633663.987691719</v>
      </c>
      <c r="EM66" s="8">
        <f>+MINVU_Mes_Corriente!EM66*SALUD_Mes_Constante!$EC$1</f>
        <v>16972688.602348033</v>
      </c>
      <c r="EN66" s="8">
        <f>+MINVU_Mes_Corriente!EN66*SALUD_Mes_Constante!$EC$1</f>
        <v>16290288.420942998</v>
      </c>
      <c r="EO66" s="9">
        <f t="shared" si="29"/>
        <v>16290288.420942998</v>
      </c>
      <c r="EP66" s="8">
        <f>+MINVU_Mes_Corriente!EP66*SALUD_Mes_Constante!$EP$1</f>
        <v>0</v>
      </c>
      <c r="EQ66" s="8">
        <f>+MINVU_Mes_Corriente!EQ66*SALUD_Mes_Constante!$EP$1</f>
        <v>17685526</v>
      </c>
      <c r="ER66" s="8">
        <f>+MINVU_Mes_Corriente!ER66*SALUD_Mes_Constante!$EP$1</f>
        <v>17685526</v>
      </c>
      <c r="ES66" s="8">
        <f>+MINVU_Mes_Corriente!ES66*SALUD_Mes_Constante!$EP$1</f>
        <v>17685526</v>
      </c>
      <c r="ET66" s="8">
        <f>+MINVU_Mes_Corriente!ET66*SALUD_Mes_Constante!$EP$1</f>
        <v>17685526</v>
      </c>
      <c r="EU66" s="8">
        <f>+MINVU_Mes_Corriente!EU66*SALUD_Mes_Constante!$EP$1</f>
        <v>17685526</v>
      </c>
      <c r="EV66" s="8">
        <f>+MINVU_Mes_Corriente!EV66*SALUD_Mes_Constante!$EP$1</f>
        <v>17685526</v>
      </c>
      <c r="EW66" s="8">
        <f>+MINVU_Mes_Corriente!EW66*SALUD_Mes_Constante!$EP$1</f>
        <v>17685526</v>
      </c>
      <c r="EX66" s="8">
        <f>+MINVU_Mes_Corriente!EX66*SALUD_Mes_Constante!$EP$1</f>
        <v>17685526</v>
      </c>
      <c r="EY66" s="8">
        <f>+MINVU_Mes_Corriente!EY66*SALUD_Mes_Constante!$EP$1</f>
        <v>18653714</v>
      </c>
      <c r="EZ66" s="8">
        <f>+MINVU_Mes_Corriente!EZ66*SALUD_Mes_Constante!$EP$1</f>
        <v>18653714</v>
      </c>
      <c r="FA66" s="8">
        <f>+MINVU_Mes_Corriente!FA66*SALUD_Mes_Constante!$EP$1</f>
        <v>17960408</v>
      </c>
      <c r="FB66" s="9">
        <f t="shared" si="30"/>
        <v>17960408</v>
      </c>
      <c r="FC66" s="8">
        <f>+MINVU_Mes_Corriente!FC66*SALUD_Mes_Constante!$FC$1</f>
        <v>8792255</v>
      </c>
      <c r="FD66" s="8">
        <f>+MINVU_Mes_Corriente!FD66*SALUD_Mes_Constante!$FC$1</f>
        <v>8792255</v>
      </c>
      <c r="FE66" s="8">
        <f>+MINVU_Mes_Corriente!FE66*SALUD_Mes_Constante!$FC$1</f>
        <v>8792255</v>
      </c>
      <c r="FF66" s="8">
        <f>+MINVU_Mes_Corriente!FF66*SALUD_Mes_Constante!$FC$1</f>
        <v>8792255</v>
      </c>
      <c r="FG66" s="8">
        <f>+MINVU_Mes_Corriente!FG66*SALUD_Mes_Constante!$FC$1</f>
        <v>8792255</v>
      </c>
      <c r="FH66" s="8">
        <f>+MINVU_Mes_Corriente!FH66*SALUD_Mes_Constante!$FC$1</f>
        <v>8792255</v>
      </c>
      <c r="FI66" s="8">
        <f>+MINVU_Mes_Corriente!FI66*SALUD_Mes_Constante!$FC$1</f>
        <v>8792255</v>
      </c>
      <c r="FJ66" s="8"/>
      <c r="FK66" s="8"/>
      <c r="FL66" s="8"/>
      <c r="FM66" s="8"/>
      <c r="FN66" s="8"/>
      <c r="FO66" s="9">
        <f t="shared" si="31"/>
        <v>8792255</v>
      </c>
    </row>
    <row r="67" spans="2:171" ht="14.25" customHeight="1" x14ac:dyDescent="0.3">
      <c r="B67" s="7" t="s">
        <v>66</v>
      </c>
      <c r="C67" s="8">
        <f>+MINVU_Mes_Corriente!C67*SALUD_Mes_Constante!$C$1</f>
        <v>0</v>
      </c>
      <c r="D67" s="8">
        <f>+MINVU_Mes_Corriente!D67*SALUD_Mes_Constante!$C$1</f>
        <v>14217675.031588316</v>
      </c>
      <c r="E67" s="8">
        <f>+MINVU_Mes_Corriente!E67*SALUD_Mes_Constante!$C$1</f>
        <v>14486975.087053243</v>
      </c>
      <c r="F67" s="8">
        <f>+MINVU_Mes_Corriente!F67*SALUD_Mes_Constante!$C$1</f>
        <v>14486975.087053243</v>
      </c>
      <c r="G67" s="8">
        <f>+MINVU_Mes_Corriente!G67*SALUD_Mes_Constante!$C$1</f>
        <v>14486975.087053243</v>
      </c>
      <c r="H67" s="8">
        <f>+MINVU_Mes_Corriente!H67*SALUD_Mes_Constante!$C$1</f>
        <v>14486975.087053243</v>
      </c>
      <c r="I67" s="8">
        <f>+MINVU_Mes_Corriente!I67*SALUD_Mes_Constante!$C$1</f>
        <v>14486975.087053243</v>
      </c>
      <c r="J67" s="8">
        <f>+MINVU_Mes_Corriente!J67*SALUD_Mes_Constante!$C$1</f>
        <v>14486975.087053243</v>
      </c>
      <c r="K67" s="8">
        <f>+MINVU_Mes_Corriente!K67*SALUD_Mes_Constante!$C$1</f>
        <v>14486975.087053243</v>
      </c>
      <c r="L67" s="8">
        <f>+MINVU_Mes_Corriente!L67*SALUD_Mes_Constante!$C$1</f>
        <v>14486975.087053243</v>
      </c>
      <c r="M67" s="8">
        <f>+MINVU_Mes_Corriente!M67*SALUD_Mes_Constante!$C$1</f>
        <v>12086513.604923626</v>
      </c>
      <c r="N67" s="8">
        <f>+MINVU_Mes_Corriente!N67*SALUD_Mes_Constante!$C$1</f>
        <v>12086513.604923626</v>
      </c>
      <c r="O67" s="9">
        <f t="shared" si="19"/>
        <v>12086513.604923626</v>
      </c>
      <c r="P67" s="8">
        <f>+MINVU_Mes_Corriente!P67*SALUD_Mes_Constante!$P$1</f>
        <v>0</v>
      </c>
      <c r="Q67" s="8">
        <f>+MINVU_Mes_Corriente!Q67*SALUD_Mes_Constante!$P$1</f>
        <v>0</v>
      </c>
      <c r="R67" s="8">
        <f>+MINVU_Mes_Corriente!R67*SALUD_Mes_Constante!$P$1</f>
        <v>37077350.731922135</v>
      </c>
      <c r="S67" s="8">
        <f>+MINVU_Mes_Corriente!S67*SALUD_Mes_Constante!$P$1</f>
        <v>37077350.731922135</v>
      </c>
      <c r="T67" s="8">
        <f>+MINVU_Mes_Corriente!T67*SALUD_Mes_Constante!$P$1</f>
        <v>22766111.47322062</v>
      </c>
      <c r="U67" s="8">
        <f>+MINVU_Mes_Corriente!U67*SALUD_Mes_Constante!$P$1</f>
        <v>23284488.783349898</v>
      </c>
      <c r="V67" s="8">
        <f>+MINVU_Mes_Corriente!V67*SALUD_Mes_Constante!$P$1</f>
        <v>23284488.783349898</v>
      </c>
      <c r="W67" s="8">
        <f>+MINVU_Mes_Corriente!W67*SALUD_Mes_Constante!$P$1</f>
        <v>23284488.783349898</v>
      </c>
      <c r="X67" s="8">
        <f>+MINVU_Mes_Corriente!X67*SALUD_Mes_Constante!$P$1</f>
        <v>23284488.783349898</v>
      </c>
      <c r="Y67" s="8">
        <f>+MINVU_Mes_Corriente!Y67*SALUD_Mes_Constante!$P$1</f>
        <v>23284488.783349898</v>
      </c>
      <c r="Z67" s="8">
        <f>+MINVU_Mes_Corriente!Z67*SALUD_Mes_Constante!$P$1</f>
        <v>23352941.205568966</v>
      </c>
      <c r="AA67" s="8">
        <f>+MINVU_Mes_Corriente!AA67*SALUD_Mes_Constante!$P$1</f>
        <v>25066097.337690003</v>
      </c>
      <c r="AB67" s="9">
        <f t="shared" si="20"/>
        <v>25066097.337690003</v>
      </c>
      <c r="AC67" s="8">
        <f>+MINVU_Mes_Corriente!AC67*SALUD_Mes_Constante!$AC$1</f>
        <v>0</v>
      </c>
      <c r="AD67" s="8">
        <f>+MINVU_Mes_Corriente!AD67*SALUD_Mes_Constante!$AC$1</f>
        <v>13093230.818370452</v>
      </c>
      <c r="AE67" s="8">
        <f>+MINVU_Mes_Corriente!AE67*SALUD_Mes_Constante!$AC$1</f>
        <v>13093230.818370452</v>
      </c>
      <c r="AF67" s="8">
        <f>+MINVU_Mes_Corriente!AF67*SALUD_Mes_Constante!$AC$1</f>
        <v>13716304.520957256</v>
      </c>
      <c r="AG67" s="8">
        <f>+MINVU_Mes_Corriente!AG67*SALUD_Mes_Constante!$AC$1</f>
        <v>16595868.522063909</v>
      </c>
      <c r="AH67" s="8">
        <f>+MINVU_Mes_Corriente!AH67*SALUD_Mes_Constante!$AC$1</f>
        <v>16595868.522063909</v>
      </c>
      <c r="AI67" s="8">
        <f>+MINVU_Mes_Corriente!AI67*SALUD_Mes_Constante!$AC$1</f>
        <v>18610257.764836077</v>
      </c>
      <c r="AJ67" s="8">
        <f>+MINVU_Mes_Corriente!AJ67*SALUD_Mes_Constante!$AC$1</f>
        <v>24016570.732604787</v>
      </c>
      <c r="AK67" s="8">
        <f>+MINVU_Mes_Corriente!AK67*SALUD_Mes_Constante!$AC$1</f>
        <v>24016570.732604787</v>
      </c>
      <c r="AL67" s="8">
        <f>+MINVU_Mes_Corriente!AL67*SALUD_Mes_Constante!$AC$1</f>
        <v>24016570.732604787</v>
      </c>
      <c r="AM67" s="8">
        <f>+MINVU_Mes_Corriente!AM67*SALUD_Mes_Constante!$AC$1</f>
        <v>19994501.406556923</v>
      </c>
      <c r="AN67" s="8">
        <f>+MINVU_Mes_Corriente!AN67*SALUD_Mes_Constante!$AC$1</f>
        <v>13563411.557338497</v>
      </c>
      <c r="AO67" s="9">
        <f t="shared" si="21"/>
        <v>13563411.557338497</v>
      </c>
      <c r="AP67" s="8">
        <f>+MINVU_Mes_Corriente!AP67*SALUD_Mes_Constante!$AP$1</f>
        <v>0</v>
      </c>
      <c r="AQ67" s="8">
        <f>+MINVU_Mes_Corriente!AQ67*SALUD_Mes_Constante!$AP$1</f>
        <v>9059734.8613553364</v>
      </c>
      <c r="AR67" s="8">
        <f>+MINVU_Mes_Corriente!AR67*SALUD_Mes_Constante!$AP$1</f>
        <v>10162520.441228189</v>
      </c>
      <c r="AS67" s="8">
        <f>+MINVU_Mes_Corriente!AS67*SALUD_Mes_Constante!$AP$1</f>
        <v>10244238.585959692</v>
      </c>
      <c r="AT67" s="8">
        <f>+MINVU_Mes_Corriente!AT67*SALUD_Mes_Constante!$AP$1</f>
        <v>10244238.585959692</v>
      </c>
      <c r="AU67" s="8">
        <f>+MINVU_Mes_Corriente!AU67*SALUD_Mes_Constante!$AP$1</f>
        <v>10252188.126606248</v>
      </c>
      <c r="AV67" s="8">
        <f>+MINVU_Mes_Corriente!AV67*SALUD_Mes_Constante!$AP$1</f>
        <v>10252188.126606248</v>
      </c>
      <c r="AW67" s="8">
        <f>+MINVU_Mes_Corriente!AW67*SALUD_Mes_Constante!$AP$1</f>
        <v>10252188.126606248</v>
      </c>
      <c r="AX67" s="8">
        <f>+MINVU_Mes_Corriente!AX67*SALUD_Mes_Constante!$AP$1</f>
        <v>9639723.2381982952</v>
      </c>
      <c r="AY67" s="8">
        <f>+MINVU_Mes_Corriente!AY67*SALUD_Mes_Constante!$AP$1</f>
        <v>9639723.2381982952</v>
      </c>
      <c r="AZ67" s="8">
        <f>+MINVU_Mes_Corriente!AZ67*SALUD_Mes_Constante!$AP$1</f>
        <v>9639723.2381982952</v>
      </c>
      <c r="BA67" s="8">
        <f>+MINVU_Mes_Corriente!BA67*SALUD_Mes_Constante!$AP$1</f>
        <v>7609835.5966454754</v>
      </c>
      <c r="BB67" s="9">
        <f t="shared" si="22"/>
        <v>7609835.5966454754</v>
      </c>
      <c r="BC67" s="8">
        <f>+MINVU_Mes_Corriente!BC67*SALUD_Mes_Constante!$BC$1</f>
        <v>0</v>
      </c>
      <c r="BD67" s="8">
        <f>+MINVU_Mes_Corriente!BD67*SALUD_Mes_Constante!$BC$1</f>
        <v>0</v>
      </c>
      <c r="BE67" s="8">
        <f>+MINVU_Mes_Corriente!BE67*SALUD_Mes_Constante!$BC$1</f>
        <v>2382385.266780958</v>
      </c>
      <c r="BF67" s="8">
        <f>+MINVU_Mes_Corriente!BF67*SALUD_Mes_Constante!$BC$1</f>
        <v>2929608.8545430577</v>
      </c>
      <c r="BG67" s="8">
        <f>+MINVU_Mes_Corriente!BG67*SALUD_Mes_Constante!$BC$1</f>
        <v>2929608.8545430577</v>
      </c>
      <c r="BH67" s="8">
        <f>+MINVU_Mes_Corriente!BH67*SALUD_Mes_Constante!$BC$1</f>
        <v>3726532.5346169071</v>
      </c>
      <c r="BI67" s="8">
        <f>+MINVU_Mes_Corriente!BI67*SALUD_Mes_Constante!$BC$1</f>
        <v>3726532.5346169071</v>
      </c>
      <c r="BJ67" s="8">
        <f>+MINVU_Mes_Corriente!BJ67*SALUD_Mes_Constante!$BC$1</f>
        <v>7590077.3685876317</v>
      </c>
      <c r="BK67" s="8">
        <f>+MINVU_Mes_Corriente!BK67*SALUD_Mes_Constante!$BC$1</f>
        <v>7590077.3685876317</v>
      </c>
      <c r="BL67" s="8">
        <f>+MINVU_Mes_Corriente!BL67*SALUD_Mes_Constante!$BC$1</f>
        <v>7590077.3685876317</v>
      </c>
      <c r="BM67" s="8">
        <f>+MINVU_Mes_Corriente!BM67*SALUD_Mes_Constante!$BC$1</f>
        <v>7590077.3685876317</v>
      </c>
      <c r="BN67" s="8">
        <f>+MINVU_Mes_Corriente!BN67*SALUD_Mes_Constante!$BC$1</f>
        <v>3661097.5663985237</v>
      </c>
      <c r="BO67" s="9">
        <f t="shared" si="23"/>
        <v>3661097.5663985237</v>
      </c>
      <c r="BP67" s="8">
        <f>+MINVU_Mes_Corriente!BP67*SALUD_Mes_Constante!$BP$1</f>
        <v>0</v>
      </c>
      <c r="BQ67" s="8">
        <f>+MINVU_Mes_Corriente!BQ67*SALUD_Mes_Constante!$BP$1</f>
        <v>0</v>
      </c>
      <c r="BR67" s="8">
        <f>+MINVU_Mes_Corriente!BR67*SALUD_Mes_Constante!$BP$1</f>
        <v>3900117.5400768248</v>
      </c>
      <c r="BS67" s="8">
        <f>+MINVU_Mes_Corriente!BS67*SALUD_Mes_Constante!$BP$1</f>
        <v>3900117.5400768248</v>
      </c>
      <c r="BT67" s="8">
        <f>+MINVU_Mes_Corriente!BT67*SALUD_Mes_Constante!$BP$1</f>
        <v>6580672.4419974396</v>
      </c>
      <c r="BU67" s="8">
        <f>+MINVU_Mes_Corriente!BU67*SALUD_Mes_Constante!$BP$1</f>
        <v>6580672.4419974396</v>
      </c>
      <c r="BV67" s="8">
        <f>+MINVU_Mes_Corriente!BV67*SALUD_Mes_Constante!$BP$1</f>
        <v>5825919.4709346993</v>
      </c>
      <c r="BW67" s="8">
        <f>+MINVU_Mes_Corriente!BW67*SALUD_Mes_Constante!$BP$1</f>
        <v>5848273.7032010248</v>
      </c>
      <c r="BX67" s="8">
        <f>+MINVU_Mes_Corriente!BX67*SALUD_Mes_Constante!$BP$1</f>
        <v>3322238.4622279131</v>
      </c>
      <c r="BY67" s="8">
        <f>+MINVU_Mes_Corriente!BY67*SALUD_Mes_Constante!$BP$1</f>
        <v>3322238.4622279131</v>
      </c>
      <c r="BZ67" s="8">
        <f>+MINVU_Mes_Corriente!BZ67*SALUD_Mes_Constante!$BP$1</f>
        <v>3620399.3492957749</v>
      </c>
      <c r="CA67" s="8">
        <f>+MINVU_Mes_Corriente!CA67*SALUD_Mes_Constante!$BP$1</f>
        <v>2647168.3475032011</v>
      </c>
      <c r="CB67" s="9">
        <f t="shared" si="24"/>
        <v>2647168.3475032011</v>
      </c>
      <c r="CC67" s="8">
        <f>+MINVU_Mes_Corriente!CC67*SALUD_Mes_Constante!$CC$1</f>
        <v>0</v>
      </c>
      <c r="CD67" s="8">
        <f>+MINVU_Mes_Corriente!CD67*SALUD_Mes_Constante!$CC$1</f>
        <v>0</v>
      </c>
      <c r="CE67" s="8">
        <f>+MINVU_Mes_Corriente!CE67*SALUD_Mes_Constante!$CC$1</f>
        <v>2951886.5080193961</v>
      </c>
      <c r="CF67" s="8">
        <f>+MINVU_Mes_Corriente!CF67*SALUD_Mes_Constante!$CC$1</f>
        <v>3091503.7530772104</v>
      </c>
      <c r="CG67" s="8">
        <f>+MINVU_Mes_Corriente!CG67*SALUD_Mes_Constante!$CC$1</f>
        <v>3091503.7530772104</v>
      </c>
      <c r="CH67" s="8">
        <f>+MINVU_Mes_Corriente!CH67*SALUD_Mes_Constante!$CC$1</f>
        <v>3091503.7530772104</v>
      </c>
      <c r="CI67" s="8">
        <f>+MINVU_Mes_Corriente!CI67*SALUD_Mes_Constante!$CC$1</f>
        <v>3091503.7530772104</v>
      </c>
      <c r="CJ67" s="8">
        <f>+MINVU_Mes_Corriente!CJ67*SALUD_Mes_Constante!$CC$1</f>
        <v>3091503.7530772104</v>
      </c>
      <c r="CK67" s="8">
        <f>+MINVU_Mes_Corriente!CK67*SALUD_Mes_Constante!$CC$1</f>
        <v>3091503.7530772104</v>
      </c>
      <c r="CL67" s="8">
        <f>+MINVU_Mes_Corriente!CL67*SALUD_Mes_Constante!$CC$1</f>
        <v>3091503.7530772104</v>
      </c>
      <c r="CM67" s="8">
        <f>+MINVU_Mes_Corriente!CM67*SALUD_Mes_Constante!$CC$1</f>
        <v>1140152.4841477061</v>
      </c>
      <c r="CN67" s="8">
        <f>+MINVU_Mes_Corriente!CN67*SALUD_Mes_Constante!$CC$1</f>
        <v>1420246.8720626633</v>
      </c>
      <c r="CO67" s="9">
        <f t="shared" si="25"/>
        <v>1420246.8720626633</v>
      </c>
      <c r="CP67" s="8">
        <f>+MINVU_Mes_Corriente!CP67*SALUD_Mes_Constante!$CP$1</f>
        <v>0</v>
      </c>
      <c r="CQ67" s="8">
        <f>+MINVU_Mes_Corriente!CQ67*SALUD_Mes_Constante!$CP$1</f>
        <v>6903661.5459396737</v>
      </c>
      <c r="CR67" s="8">
        <f>+MINVU_Mes_Corriente!CR67*SALUD_Mes_Constante!$CP$1</f>
        <v>6903661.5459396737</v>
      </c>
      <c r="CS67" s="8">
        <f>+MINVU_Mes_Corriente!CS67*SALUD_Mes_Constante!$CP$1</f>
        <v>6903661.5459396737</v>
      </c>
      <c r="CT67" s="8">
        <f>+MINVU_Mes_Corriente!CT67*SALUD_Mes_Constante!$CP$1</f>
        <v>6903661.5459396737</v>
      </c>
      <c r="CU67" s="8">
        <f>+MINVU_Mes_Corriente!CU67*SALUD_Mes_Constante!$CP$1</f>
        <v>7511517.2610208802</v>
      </c>
      <c r="CV67" s="8">
        <f>+MINVU_Mes_Corriente!CV67*SALUD_Mes_Constante!$CP$1</f>
        <v>7511517.2610208802</v>
      </c>
      <c r="CW67" s="8">
        <f>+MINVU_Mes_Corriente!CW67*SALUD_Mes_Constante!$CP$1</f>
        <v>7511517.2610208802</v>
      </c>
      <c r="CX67" s="8">
        <f>+MINVU_Mes_Corriente!CX67*SALUD_Mes_Constante!$CP$1</f>
        <v>7511517.2610208802</v>
      </c>
      <c r="CY67" s="8">
        <f>+MINVU_Mes_Corriente!CY67*SALUD_Mes_Constante!$CP$1</f>
        <v>1013543.6721577725</v>
      </c>
      <c r="CZ67" s="8">
        <f>+MINVU_Mes_Corriente!CZ67*SALUD_Mes_Constante!$CP$1</f>
        <v>1013543.6721577725</v>
      </c>
      <c r="DA67" s="8">
        <f>+MINVU_Mes_Corriente!DA67*SALUD_Mes_Constante!$CP$1</f>
        <v>804536.39025522023</v>
      </c>
      <c r="DB67" s="9">
        <f t="shared" si="26"/>
        <v>804536.39025522023</v>
      </c>
      <c r="DC67" s="8">
        <f>+MINVU_Mes_Corriente!DC67*SALUD_Mes_Constante!$DC$1</f>
        <v>0</v>
      </c>
      <c r="DD67" s="8">
        <f>+MINVU_Mes_Corriente!DD67*SALUD_Mes_Constante!$DC$1</f>
        <v>18231427.518362317</v>
      </c>
      <c r="DE67" s="8">
        <f>+MINVU_Mes_Corriente!DE67*SALUD_Mes_Constante!$DC$1</f>
        <v>18231427.518362317</v>
      </c>
      <c r="DF67" s="8">
        <f>+MINVU_Mes_Corriente!DF67*SALUD_Mes_Constante!$DC$1</f>
        <v>18231427.518362317</v>
      </c>
      <c r="DG67" s="8">
        <f>+MINVU_Mes_Corriente!DG67*SALUD_Mes_Constante!$DC$1</f>
        <v>18231427.518362317</v>
      </c>
      <c r="DH67" s="8">
        <f>+MINVU_Mes_Corriente!DH67*SALUD_Mes_Constante!$DC$1</f>
        <v>18231427.518362317</v>
      </c>
      <c r="DI67" s="8">
        <f>+MINVU_Mes_Corriente!DI67*SALUD_Mes_Constante!$DC$1</f>
        <v>11798708.770702608</v>
      </c>
      <c r="DJ67" s="8">
        <f>+MINVU_Mes_Corriente!DJ67*SALUD_Mes_Constante!$DC$1</f>
        <v>11798708.770702608</v>
      </c>
      <c r="DK67" s="8">
        <f>+MINVU_Mes_Corriente!DK67*SALUD_Mes_Constante!$DC$1</f>
        <v>11798708.770702608</v>
      </c>
      <c r="DL67" s="8">
        <f>+MINVU_Mes_Corriente!DL67*SALUD_Mes_Constante!$DC$1</f>
        <v>11798708.770702608</v>
      </c>
      <c r="DM67" s="8">
        <f>+MINVU_Mes_Corriente!DM67*SALUD_Mes_Constante!$DC$1</f>
        <v>7722414.9758255361</v>
      </c>
      <c r="DN67" s="8">
        <f>+MINVU_Mes_Corriente!DN67*SALUD_Mes_Constante!$DC$1</f>
        <v>7522868.5182594415</v>
      </c>
      <c r="DO67" s="9">
        <f t="shared" si="27"/>
        <v>7522868.5182594415</v>
      </c>
      <c r="DP67" s="8">
        <f>+MINVU_Mes_Corriente!DP67*SALUD_Mes_Constante!$DP$1</f>
        <v>0</v>
      </c>
      <c r="DQ67" s="8">
        <f>+MINVU_Mes_Corriente!DQ67*SALUD_Mes_Constante!$DP$1</f>
        <v>18220652.417458434</v>
      </c>
      <c r="DR67" s="8">
        <f>+MINVU_Mes_Corriente!DR67*SALUD_Mes_Constante!$DP$1</f>
        <v>18220652.417458434</v>
      </c>
      <c r="DS67" s="8">
        <f>+MINVU_Mes_Corriente!DS67*SALUD_Mes_Constante!$DP$1</f>
        <v>18220652.417458434</v>
      </c>
      <c r="DT67" s="8">
        <f>+MINVU_Mes_Corriente!DT67*SALUD_Mes_Constante!$DP$1</f>
        <v>18220652.417458434</v>
      </c>
      <c r="DU67" s="8">
        <f>+MINVU_Mes_Corriente!DU67*SALUD_Mes_Constante!$DP$1</f>
        <v>18559913.152019005</v>
      </c>
      <c r="DV67" s="8">
        <f>+MINVU_Mes_Corriente!DV67*SALUD_Mes_Constante!$DP$1</f>
        <v>19097387.141330168</v>
      </c>
      <c r="DW67" s="8">
        <f>+MINVU_Mes_Corriente!DW67*SALUD_Mes_Constante!$DP$1</f>
        <v>19097387.141330168</v>
      </c>
      <c r="DX67" s="8">
        <f>+MINVU_Mes_Corriente!DX67*SALUD_Mes_Constante!$DP$1</f>
        <v>19097387.141330168</v>
      </c>
      <c r="DY67" s="8">
        <f>+MINVU_Mes_Corriente!DY67*SALUD_Mes_Constante!$DP$1</f>
        <v>19520810.732779101</v>
      </c>
      <c r="DZ67" s="8">
        <f>+MINVU_Mes_Corriente!DZ67*SALUD_Mes_Constante!$DP$1</f>
        <v>19520810.732779101</v>
      </c>
      <c r="EA67" s="8">
        <f>+MINVU_Mes_Corriente!EA67*SALUD_Mes_Constante!$DP$1</f>
        <v>21551437.678147271</v>
      </c>
      <c r="EB67" s="9">
        <f t="shared" si="28"/>
        <v>21551437.678147271</v>
      </c>
      <c r="EC67" s="8">
        <f>+MINVU_Mes_Corriente!EC67*SALUD_Mes_Constante!$EC$1</f>
        <v>0</v>
      </c>
      <c r="ED67" s="8">
        <f>+MINVU_Mes_Corriente!ED67*SALUD_Mes_Constante!$EC$1</f>
        <v>15750376.231016848</v>
      </c>
      <c r="EE67" s="8">
        <f>+MINVU_Mes_Corriente!EE67*SALUD_Mes_Constante!$EC$1</f>
        <v>15750376.231016848</v>
      </c>
      <c r="EF67" s="8">
        <f>+MINVU_Mes_Corriente!EF67*SALUD_Mes_Constante!$EC$1</f>
        <v>16420677.331187271</v>
      </c>
      <c r="EG67" s="8">
        <f>+MINVU_Mes_Corriente!EG67*SALUD_Mes_Constante!$EC$1</f>
        <v>16420677.331187271</v>
      </c>
      <c r="EH67" s="8">
        <f>+MINVU_Mes_Corriente!EH67*SALUD_Mes_Constante!$EC$1</f>
        <v>16420677.331187271</v>
      </c>
      <c r="EI67" s="8">
        <f>+MINVU_Mes_Corriente!EI67*SALUD_Mes_Constante!$EC$1</f>
        <v>10952642.598939592</v>
      </c>
      <c r="EJ67" s="8">
        <f>+MINVU_Mes_Corriente!EJ67*SALUD_Mes_Constante!$EC$1</f>
        <v>10952642.598939592</v>
      </c>
      <c r="EK67" s="8">
        <f>+MINVU_Mes_Corriente!EK67*SALUD_Mes_Constante!$EC$1</f>
        <v>10952642.598939592</v>
      </c>
      <c r="EL67" s="8">
        <f>+MINVU_Mes_Corriente!EL67*SALUD_Mes_Constante!$EC$1</f>
        <v>8960696.8704790734</v>
      </c>
      <c r="EM67" s="8">
        <f>+MINVU_Mes_Corriente!EM67*SALUD_Mes_Constante!$EC$1</f>
        <v>6081306.9123272086</v>
      </c>
      <c r="EN67" s="8">
        <f>+MINVU_Mes_Corriente!EN67*SALUD_Mes_Constante!$EC$1</f>
        <v>6081306.9123272086</v>
      </c>
      <c r="EO67" s="9">
        <f t="shared" si="29"/>
        <v>6081306.9123272086</v>
      </c>
      <c r="EP67" s="8">
        <f>+MINVU_Mes_Corriente!EP67*SALUD_Mes_Constante!$EP$1</f>
        <v>0</v>
      </c>
      <c r="EQ67" s="8">
        <f>+MINVU_Mes_Corriente!EQ67*SALUD_Mes_Constante!$EP$1</f>
        <v>14801721</v>
      </c>
      <c r="ER67" s="8">
        <f>+MINVU_Mes_Corriente!ER67*SALUD_Mes_Constante!$EP$1</f>
        <v>14801721</v>
      </c>
      <c r="ES67" s="8">
        <f>+MINVU_Mes_Corriente!ES67*SALUD_Mes_Constante!$EP$1</f>
        <v>14801721</v>
      </c>
      <c r="ET67" s="8">
        <f>+MINVU_Mes_Corriente!ET67*SALUD_Mes_Constante!$EP$1</f>
        <v>14801721</v>
      </c>
      <c r="EU67" s="8">
        <f>+MINVU_Mes_Corriente!EU67*SALUD_Mes_Constante!$EP$1</f>
        <v>14801721</v>
      </c>
      <c r="EV67" s="8">
        <f>+MINVU_Mes_Corriente!EV67*SALUD_Mes_Constante!$EP$1</f>
        <v>10738495</v>
      </c>
      <c r="EW67" s="8">
        <f>+MINVU_Mes_Corriente!EW67*SALUD_Mes_Constante!$EP$1</f>
        <v>10738495</v>
      </c>
      <c r="EX67" s="8">
        <f>+MINVU_Mes_Corriente!EX67*SALUD_Mes_Constante!$EP$1</f>
        <v>10738495</v>
      </c>
      <c r="EY67" s="8">
        <f>+MINVU_Mes_Corriente!EY67*SALUD_Mes_Constante!$EP$1</f>
        <v>10738495</v>
      </c>
      <c r="EZ67" s="8">
        <f>+MINVU_Mes_Corriente!EZ67*SALUD_Mes_Constante!$EP$1</f>
        <v>9928966</v>
      </c>
      <c r="FA67" s="8">
        <f>+MINVU_Mes_Corriente!FA67*SALUD_Mes_Constante!$EP$1</f>
        <v>4813142</v>
      </c>
      <c r="FB67" s="9">
        <f t="shared" si="30"/>
        <v>4813142</v>
      </c>
      <c r="FC67" s="8">
        <f>+MINVU_Mes_Corriente!FC67*SALUD_Mes_Constante!$FC$1</f>
        <v>18659595</v>
      </c>
      <c r="FD67" s="8">
        <f>+MINVU_Mes_Corriente!FD67*SALUD_Mes_Constante!$FC$1</f>
        <v>18659595</v>
      </c>
      <c r="FE67" s="8">
        <f>+MINVU_Mes_Corriente!FE67*SALUD_Mes_Constante!$FC$1</f>
        <v>18659595</v>
      </c>
      <c r="FF67" s="8">
        <f>+MINVU_Mes_Corriente!FF67*SALUD_Mes_Constante!$FC$1</f>
        <v>18659595</v>
      </c>
      <c r="FG67" s="8">
        <f>+MINVU_Mes_Corriente!FG67*SALUD_Mes_Constante!$FC$1</f>
        <v>18659595</v>
      </c>
      <c r="FH67" s="8">
        <f>+MINVU_Mes_Corriente!FH67*SALUD_Mes_Constante!$FC$1</f>
        <v>18659595</v>
      </c>
      <c r="FI67" s="8">
        <f>+MINVU_Mes_Corriente!FI67*SALUD_Mes_Constante!$FC$1</f>
        <v>18659595</v>
      </c>
      <c r="FJ67" s="8"/>
      <c r="FK67" s="8"/>
      <c r="FL67" s="8"/>
      <c r="FM67" s="8"/>
      <c r="FN67" s="8"/>
      <c r="FO67" s="9">
        <f t="shared" si="31"/>
        <v>18659595</v>
      </c>
    </row>
    <row r="68" spans="2:171" ht="14.25" customHeight="1" x14ac:dyDescent="0.3">
      <c r="B68" s="7" t="s">
        <v>67</v>
      </c>
      <c r="C68" s="8">
        <f>+MINVU_Mes_Corriente!C68*SALUD_Mes_Constante!$C$1</f>
        <v>0</v>
      </c>
      <c r="D68" s="8">
        <f>+MINVU_Mes_Corriente!D68*SALUD_Mes_Constante!$C$1</f>
        <v>19893011.787335016</v>
      </c>
      <c r="E68" s="8">
        <f>+MINVU_Mes_Corriente!E68*SALUD_Mes_Constante!$C$1</f>
        <v>19893011.787335016</v>
      </c>
      <c r="F68" s="8">
        <f>+MINVU_Mes_Corriente!F68*SALUD_Mes_Constante!$C$1</f>
        <v>19893011.787335016</v>
      </c>
      <c r="G68" s="8">
        <f>+MINVU_Mes_Corriente!G68*SALUD_Mes_Constante!$C$1</f>
        <v>19893011.787335016</v>
      </c>
      <c r="H68" s="8">
        <f>+MINVU_Mes_Corriente!H68*SALUD_Mes_Constante!$C$1</f>
        <v>19893011.787335016</v>
      </c>
      <c r="I68" s="8">
        <f>+MINVU_Mes_Corriente!I68*SALUD_Mes_Constante!$C$1</f>
        <v>19893011.787335016</v>
      </c>
      <c r="J68" s="8">
        <f>+MINVU_Mes_Corriente!J68*SALUD_Mes_Constante!$C$1</f>
        <v>19893011.787335016</v>
      </c>
      <c r="K68" s="8">
        <f>+MINVU_Mes_Corriente!K68*SALUD_Mes_Constante!$C$1</f>
        <v>14458144.252409909</v>
      </c>
      <c r="L68" s="8">
        <f>+MINVU_Mes_Corriente!L68*SALUD_Mes_Constante!$C$1</f>
        <v>14458144.252409909</v>
      </c>
      <c r="M68" s="8">
        <f>+MINVU_Mes_Corriente!M68*SALUD_Mes_Constante!$C$1</f>
        <v>9019047.6117455158</v>
      </c>
      <c r="N68" s="8">
        <f>+MINVU_Mes_Corriente!N68*SALUD_Mes_Constante!$C$1</f>
        <v>9019047.6117455158</v>
      </c>
      <c r="O68" s="9">
        <f t="shared" si="19"/>
        <v>9019047.6117455158</v>
      </c>
      <c r="P68" s="8">
        <f>+MINVU_Mes_Corriente!P68*SALUD_Mes_Constante!$P$1</f>
        <v>0</v>
      </c>
      <c r="Q68" s="8">
        <f>+MINVU_Mes_Corriente!Q68*SALUD_Mes_Constante!$P$1</f>
        <v>25876168.890183255</v>
      </c>
      <c r="R68" s="8">
        <f>+MINVU_Mes_Corriente!R68*SALUD_Mes_Constante!$P$1</f>
        <v>32593127.23710753</v>
      </c>
      <c r="S68" s="8">
        <f>+MINVU_Mes_Corriente!S68*SALUD_Mes_Constante!$P$1</f>
        <v>32593127.23710753</v>
      </c>
      <c r="T68" s="8">
        <f>+MINVU_Mes_Corriente!T68*SALUD_Mes_Constante!$P$1</f>
        <v>32594761.713311538</v>
      </c>
      <c r="U68" s="8">
        <f>+MINVU_Mes_Corriente!U68*SALUD_Mes_Constante!$P$1</f>
        <v>32594761.713311538</v>
      </c>
      <c r="V68" s="8">
        <f>+MINVU_Mes_Corriente!V68*SALUD_Mes_Constante!$P$1</f>
        <v>32594761.713311538</v>
      </c>
      <c r="W68" s="8">
        <f>+MINVU_Mes_Corriente!W68*SALUD_Mes_Constante!$P$1</f>
        <v>40381837.863332845</v>
      </c>
      <c r="X68" s="8">
        <f>+MINVU_Mes_Corriente!X68*SALUD_Mes_Constante!$P$1</f>
        <v>40381837.863332845</v>
      </c>
      <c r="Y68" s="8">
        <f>+MINVU_Mes_Corriente!Y68*SALUD_Mes_Constante!$P$1</f>
        <v>40381837.863332845</v>
      </c>
      <c r="Z68" s="8">
        <f>+MINVU_Mes_Corriente!Z68*SALUD_Mes_Constante!$P$1</f>
        <v>40819386.987924404</v>
      </c>
      <c r="AA68" s="8">
        <f>+MINVU_Mes_Corriente!AA68*SALUD_Mes_Constante!$P$1</f>
        <v>39988855.767012343</v>
      </c>
      <c r="AB68" s="9">
        <f t="shared" si="20"/>
        <v>39988855.767012343</v>
      </c>
      <c r="AC68" s="8">
        <f>+MINVU_Mes_Corriente!AC68*SALUD_Mes_Constante!$AC$1</f>
        <v>0</v>
      </c>
      <c r="AD68" s="8">
        <f>+MINVU_Mes_Corriente!AD68*SALUD_Mes_Constante!$AC$1</f>
        <v>37505587.550421908</v>
      </c>
      <c r="AE68" s="8">
        <f>+MINVU_Mes_Corriente!AE68*SALUD_Mes_Constante!$AC$1</f>
        <v>37505587.550421908</v>
      </c>
      <c r="AF68" s="8">
        <f>+MINVU_Mes_Corriente!AF68*SALUD_Mes_Constante!$AC$1</f>
        <v>37505587.550421908</v>
      </c>
      <c r="AG68" s="8">
        <f>+MINVU_Mes_Corriente!AG68*SALUD_Mes_Constante!$AC$1</f>
        <v>37505587.550421908</v>
      </c>
      <c r="AH68" s="8">
        <f>+MINVU_Mes_Corriente!AH68*SALUD_Mes_Constante!$AC$1</f>
        <v>37505587.550421908</v>
      </c>
      <c r="AI68" s="8">
        <f>+MINVU_Mes_Corriente!AI68*SALUD_Mes_Constante!$AC$1</f>
        <v>37505587.550421908</v>
      </c>
      <c r="AJ68" s="8">
        <f>+MINVU_Mes_Corriente!AJ68*SALUD_Mes_Constante!$AC$1</f>
        <v>37505587.550421908</v>
      </c>
      <c r="AK68" s="8">
        <f>+MINVU_Mes_Corriente!AK68*SALUD_Mes_Constante!$AC$1</f>
        <v>37505587.550421908</v>
      </c>
      <c r="AL68" s="8">
        <f>+MINVU_Mes_Corriente!AL68*SALUD_Mes_Constante!$AC$1</f>
        <v>36652869.852815047</v>
      </c>
      <c r="AM68" s="8">
        <f>+MINVU_Mes_Corriente!AM68*SALUD_Mes_Constante!$AC$1</f>
        <v>38030411.892101258</v>
      </c>
      <c r="AN68" s="8">
        <f>+MINVU_Mes_Corriente!AN68*SALUD_Mes_Constante!$AC$1</f>
        <v>35883148.342509337</v>
      </c>
      <c r="AO68" s="9">
        <f t="shared" si="21"/>
        <v>35883148.342509337</v>
      </c>
      <c r="AP68" s="8">
        <f>+MINVU_Mes_Corriente!AP68*SALUD_Mes_Constante!$AP$1</f>
        <v>0</v>
      </c>
      <c r="AQ68" s="8">
        <f>+MINVU_Mes_Corriente!AQ68*SALUD_Mes_Constante!$AP$1</f>
        <v>4129906.813472203</v>
      </c>
      <c r="AR68" s="8">
        <f>+MINVU_Mes_Corriente!AR68*SALUD_Mes_Constante!$AP$1</f>
        <v>4129906.813472203</v>
      </c>
      <c r="AS68" s="8">
        <f>+MINVU_Mes_Corriente!AS68*SALUD_Mes_Constante!$AP$1</f>
        <v>4655098.1893683206</v>
      </c>
      <c r="AT68" s="8">
        <f>+MINVU_Mes_Corriente!AT68*SALUD_Mes_Constante!$AP$1</f>
        <v>4655098.1893683206</v>
      </c>
      <c r="AU68" s="8">
        <f>+MINVU_Mes_Corriente!AU68*SALUD_Mes_Constante!$AP$1</f>
        <v>4674312.1655620178</v>
      </c>
      <c r="AV68" s="8">
        <f>+MINVU_Mes_Corriente!AV68*SALUD_Mes_Constante!$AP$1</f>
        <v>5145472.0846746918</v>
      </c>
      <c r="AW68" s="8">
        <f>+MINVU_Mes_Corriente!AW68*SALUD_Mes_Constante!$AP$1</f>
        <v>5145472.0846746918</v>
      </c>
      <c r="AX68" s="8">
        <f>+MINVU_Mes_Corriente!AX68*SALUD_Mes_Constante!$AP$1</f>
        <v>5145472.0846746918</v>
      </c>
      <c r="AY68" s="8">
        <f>+MINVU_Mes_Corriente!AY68*SALUD_Mes_Constante!$AP$1</f>
        <v>5145472.0846746918</v>
      </c>
      <c r="AZ68" s="8">
        <f>+MINVU_Mes_Corriente!AZ68*SALUD_Mes_Constante!$AP$1</f>
        <v>5145472.0846746918</v>
      </c>
      <c r="BA68" s="8">
        <f>+MINVU_Mes_Corriente!BA68*SALUD_Mes_Constante!$AP$1</f>
        <v>4607341.8301095627</v>
      </c>
      <c r="BB68" s="9">
        <f t="shared" si="22"/>
        <v>4607341.8301095627</v>
      </c>
      <c r="BC68" s="8">
        <f>+MINVU_Mes_Corriente!BC68*SALUD_Mes_Constante!$BC$1</f>
        <v>0</v>
      </c>
      <c r="BD68" s="8">
        <f>+MINVU_Mes_Corriente!BD68*SALUD_Mes_Constante!$BC$1</f>
        <v>0</v>
      </c>
      <c r="BE68" s="8">
        <f>+MINVU_Mes_Corriente!BE68*SALUD_Mes_Constante!$BC$1</f>
        <v>2498068.5963339056</v>
      </c>
      <c r="BF68" s="8">
        <f>+MINVU_Mes_Corriente!BF68*SALUD_Mes_Constante!$BC$1</f>
        <v>2498068.5963339056</v>
      </c>
      <c r="BG68" s="8">
        <f>+MINVU_Mes_Corriente!BG68*SALUD_Mes_Constante!$BC$1</f>
        <v>2498068.5963339056</v>
      </c>
      <c r="BH68" s="8">
        <f>+MINVU_Mes_Corriente!BH68*SALUD_Mes_Constante!$BC$1</f>
        <v>2498068.5963339056</v>
      </c>
      <c r="BI68" s="8">
        <f>+MINVU_Mes_Corriente!BI68*SALUD_Mes_Constante!$BC$1</f>
        <v>2498068.5963339056</v>
      </c>
      <c r="BJ68" s="8">
        <f>+MINVU_Mes_Corriente!BJ68*SALUD_Mes_Constante!$BC$1</f>
        <v>4224269.9730977193</v>
      </c>
      <c r="BK68" s="8">
        <f>+MINVU_Mes_Corriente!BK68*SALUD_Mes_Constante!$BC$1</f>
        <v>2599341.9396017413</v>
      </c>
      <c r="BL68" s="8">
        <f>+MINVU_Mes_Corriente!BL68*SALUD_Mes_Constante!$BC$1</f>
        <v>2599341.9396017413</v>
      </c>
      <c r="BM68" s="8">
        <f>+MINVU_Mes_Corriente!BM68*SALUD_Mes_Constante!$BC$1</f>
        <v>2599341.9396017413</v>
      </c>
      <c r="BN68" s="8">
        <f>+MINVU_Mes_Corriente!BN68*SALUD_Mes_Constante!$BC$1</f>
        <v>2037868.3004088097</v>
      </c>
      <c r="BO68" s="9">
        <f t="shared" si="23"/>
        <v>2037868.3004088097</v>
      </c>
      <c r="BP68" s="8">
        <f>+MINVU_Mes_Corriente!BP68*SALUD_Mes_Constante!$BP$1</f>
        <v>0</v>
      </c>
      <c r="BQ68" s="8">
        <f>+MINVU_Mes_Corriente!BQ68*SALUD_Mes_Constante!$BP$1</f>
        <v>0</v>
      </c>
      <c r="BR68" s="8">
        <f>+MINVU_Mes_Corriente!BR68*SALUD_Mes_Constante!$BP$1</f>
        <v>0</v>
      </c>
      <c r="BS68" s="8">
        <f>+MINVU_Mes_Corriente!BS68*SALUD_Mes_Constante!$BP$1</f>
        <v>2254668.9349551857</v>
      </c>
      <c r="BT68" s="8">
        <f>+MINVU_Mes_Corriente!BT68*SALUD_Mes_Constante!$BP$1</f>
        <v>2254668.9349551857</v>
      </c>
      <c r="BU68" s="8">
        <f>+MINVU_Mes_Corriente!BU68*SALUD_Mes_Constante!$BP$1</f>
        <v>2254668.9349551857</v>
      </c>
      <c r="BV68" s="8">
        <f>+MINVU_Mes_Corriente!BV68*SALUD_Mes_Constante!$BP$1</f>
        <v>1252791.1083226635</v>
      </c>
      <c r="BW68" s="8">
        <f>+MINVU_Mes_Corriente!BW68*SALUD_Mes_Constante!$BP$1</f>
        <v>1252791.1083226635</v>
      </c>
      <c r="BX68" s="8">
        <f>+MINVU_Mes_Corriente!BX68*SALUD_Mes_Constante!$BP$1</f>
        <v>1191485.196414853</v>
      </c>
      <c r="BY68" s="8">
        <f>+MINVU_Mes_Corriente!BY68*SALUD_Mes_Constante!$BP$1</f>
        <v>1191485.196414853</v>
      </c>
      <c r="BZ68" s="8">
        <f>+MINVU_Mes_Corriente!BZ68*SALUD_Mes_Constante!$BP$1</f>
        <v>1191485.196414853</v>
      </c>
      <c r="CA68" s="8">
        <f>+MINVU_Mes_Corriente!CA68*SALUD_Mes_Constante!$BP$1</f>
        <v>1654325.105761844</v>
      </c>
      <c r="CB68" s="9">
        <f t="shared" si="24"/>
        <v>1654325.105761844</v>
      </c>
      <c r="CC68" s="8">
        <f>+MINVU_Mes_Corriente!CC68*SALUD_Mes_Constante!$CC$1</f>
        <v>0</v>
      </c>
      <c r="CD68" s="8">
        <f>+MINVU_Mes_Corriente!CD68*SALUD_Mes_Constante!$CC$1</f>
        <v>1715640.1051846328</v>
      </c>
      <c r="CE68" s="8">
        <f>+MINVU_Mes_Corriente!CE68*SALUD_Mes_Constante!$CC$1</f>
        <v>2749917.8425960466</v>
      </c>
      <c r="CF68" s="8">
        <f>+MINVU_Mes_Corriente!CF68*SALUD_Mes_Constante!$CC$1</f>
        <v>2749917.8425960466</v>
      </c>
      <c r="CG68" s="8">
        <f>+MINVU_Mes_Corriente!CG68*SALUD_Mes_Constante!$CC$1</f>
        <v>2749917.8425960466</v>
      </c>
      <c r="CH68" s="8">
        <f>+MINVU_Mes_Corriente!CH68*SALUD_Mes_Constante!$CC$1</f>
        <v>2749917.8425960466</v>
      </c>
      <c r="CI68" s="8">
        <f>+MINVU_Mes_Corriente!CI68*SALUD_Mes_Constante!$CC$1</f>
        <v>3382822.9996270053</v>
      </c>
      <c r="CJ68" s="8">
        <f>+MINVU_Mes_Corriente!CJ68*SALUD_Mes_Constante!$CC$1</f>
        <v>3382822.9996270053</v>
      </c>
      <c r="CK68" s="8">
        <f>+MINVU_Mes_Corriente!CK68*SALUD_Mes_Constante!$CC$1</f>
        <v>3209518.952629616</v>
      </c>
      <c r="CL68" s="8">
        <f>+MINVU_Mes_Corriente!CL68*SALUD_Mes_Constante!$CC$1</f>
        <v>2157331.4323013802</v>
      </c>
      <c r="CM68" s="8">
        <f>+MINVU_Mes_Corriente!CM68*SALUD_Mes_Constante!$CC$1</f>
        <v>2157331.4323013802</v>
      </c>
      <c r="CN68" s="8">
        <f>+MINVU_Mes_Corriente!CN68*SALUD_Mes_Constante!$CC$1</f>
        <v>1800097.5553897801</v>
      </c>
      <c r="CO68" s="9">
        <f t="shared" si="25"/>
        <v>1800097.5553897801</v>
      </c>
      <c r="CP68" s="8">
        <f>+MINVU_Mes_Corriente!CP68*SALUD_Mes_Constante!$CP$1</f>
        <v>0</v>
      </c>
      <c r="CQ68" s="8">
        <f>+MINVU_Mes_Corriente!CQ68*SALUD_Mes_Constante!$CP$1</f>
        <v>3299887.7582366583</v>
      </c>
      <c r="CR68" s="8">
        <f>+MINVU_Mes_Corriente!CR68*SALUD_Mes_Constante!$CP$1</f>
        <v>3316489.7011600919</v>
      </c>
      <c r="CS68" s="8">
        <f>+MINVU_Mes_Corriente!CS68*SALUD_Mes_Constante!$CP$1</f>
        <v>3316489.7011600919</v>
      </c>
      <c r="CT68" s="8">
        <f>+MINVU_Mes_Corriente!CT68*SALUD_Mes_Constante!$CP$1</f>
        <v>3316489.7011600919</v>
      </c>
      <c r="CU68" s="8">
        <f>+MINVU_Mes_Corriente!CU68*SALUD_Mes_Constante!$CP$1</f>
        <v>3316489.7011600919</v>
      </c>
      <c r="CV68" s="8">
        <f>+MINVU_Mes_Corriente!CV68*SALUD_Mes_Constante!$CP$1</f>
        <v>3316489.7011600919</v>
      </c>
      <c r="CW68" s="8">
        <f>+MINVU_Mes_Corriente!CW68*SALUD_Mes_Constante!$CP$1</f>
        <v>3316489.7011600919</v>
      </c>
      <c r="CX68" s="8">
        <f>+MINVU_Mes_Corriente!CX68*SALUD_Mes_Constante!$CP$1</f>
        <v>3316489.7011600919</v>
      </c>
      <c r="CY68" s="8">
        <f>+MINVU_Mes_Corriente!CY68*SALUD_Mes_Constante!$CP$1</f>
        <v>3243338.7368909507</v>
      </c>
      <c r="CZ68" s="8">
        <f>+MINVU_Mes_Corriente!CZ68*SALUD_Mes_Constante!$CP$1</f>
        <v>3243338.7368909507</v>
      </c>
      <c r="DA68" s="8">
        <f>+MINVU_Mes_Corriente!DA68*SALUD_Mes_Constante!$CP$1</f>
        <v>2187560.1174013917</v>
      </c>
      <c r="DB68" s="9">
        <f t="shared" si="26"/>
        <v>2187560.1174013917</v>
      </c>
      <c r="DC68" s="8">
        <f>+MINVU_Mes_Corriente!DC68*SALUD_Mes_Constante!$DC$1</f>
        <v>0</v>
      </c>
      <c r="DD68" s="8">
        <f>+MINVU_Mes_Corriente!DD68*SALUD_Mes_Constante!$DC$1</f>
        <v>1059786.0333299048</v>
      </c>
      <c r="DE68" s="8">
        <f>+MINVU_Mes_Corriente!DE68*SALUD_Mes_Constante!$DC$1</f>
        <v>1059786.0333299048</v>
      </c>
      <c r="DF68" s="8">
        <f>+MINVU_Mes_Corriente!DF68*SALUD_Mes_Constante!$DC$1</f>
        <v>1059786.0333299048</v>
      </c>
      <c r="DG68" s="8">
        <f>+MINVU_Mes_Corriente!DG68*SALUD_Mes_Constante!$DC$1</f>
        <v>1059786.0333299048</v>
      </c>
      <c r="DH68" s="8">
        <f>+MINVU_Mes_Corriente!DH68*SALUD_Mes_Constante!$DC$1</f>
        <v>1059786.0333299048</v>
      </c>
      <c r="DI68" s="8">
        <f>+MINVU_Mes_Corriente!DI68*SALUD_Mes_Constante!$DC$1</f>
        <v>1096363.0128587598</v>
      </c>
      <c r="DJ68" s="8">
        <f>+MINVU_Mes_Corriente!DJ68*SALUD_Mes_Constante!$DC$1</f>
        <v>1096363.0128587598</v>
      </c>
      <c r="DK68" s="8">
        <f>+MINVU_Mes_Corriente!DK68*SALUD_Mes_Constante!$DC$1</f>
        <v>1096363.0128587598</v>
      </c>
      <c r="DL68" s="8">
        <f>+MINVU_Mes_Corriente!DL68*SALUD_Mes_Constante!$DC$1</f>
        <v>1096363.0128587598</v>
      </c>
      <c r="DM68" s="8">
        <f>+MINVU_Mes_Corriente!DM68*SALUD_Mes_Constante!$DC$1</f>
        <v>1089515.8580392969</v>
      </c>
      <c r="DN68" s="8">
        <f>+MINVU_Mes_Corriente!DN68*SALUD_Mes_Constante!$DC$1</f>
        <v>1049673.7792408194</v>
      </c>
      <c r="DO68" s="9">
        <f t="shared" si="27"/>
        <v>1049673.7792408194</v>
      </c>
      <c r="DP68" s="8">
        <f>+MINVU_Mes_Corriente!DP68*SALUD_Mes_Constante!$DP$1</f>
        <v>0</v>
      </c>
      <c r="DQ68" s="8">
        <f>+MINVU_Mes_Corriente!DQ68*SALUD_Mes_Constante!$DP$1</f>
        <v>224404.7280285036</v>
      </c>
      <c r="DR68" s="8">
        <f>+MINVU_Mes_Corriente!DR68*SALUD_Mes_Constante!$DP$1</f>
        <v>224404.7280285036</v>
      </c>
      <c r="DS68" s="8">
        <f>+MINVU_Mes_Corriente!DS68*SALUD_Mes_Constante!$DP$1</f>
        <v>224404.7280285036</v>
      </c>
      <c r="DT68" s="8">
        <f>+MINVU_Mes_Corriente!DT68*SALUD_Mes_Constante!$DP$1</f>
        <v>224404.7280285036</v>
      </c>
      <c r="DU68" s="8">
        <f>+MINVU_Mes_Corriente!DU68*SALUD_Mes_Constante!$DP$1</f>
        <v>224404.7280285036</v>
      </c>
      <c r="DV68" s="8">
        <f>+MINVU_Mes_Corriente!DV68*SALUD_Mes_Constante!$DP$1</f>
        <v>270169.78859857487</v>
      </c>
      <c r="DW68" s="8">
        <f>+MINVU_Mes_Corriente!DW68*SALUD_Mes_Constante!$DP$1</f>
        <v>270169.78859857487</v>
      </c>
      <c r="DX68" s="8">
        <f>+MINVU_Mes_Corriente!DX68*SALUD_Mes_Constante!$DP$1</f>
        <v>270169.78859857487</v>
      </c>
      <c r="DY68" s="8">
        <f>+MINVU_Mes_Corriente!DY68*SALUD_Mes_Constante!$DP$1</f>
        <v>270169.78859857487</v>
      </c>
      <c r="DZ68" s="8">
        <f>+MINVU_Mes_Corriente!DZ68*SALUD_Mes_Constante!$DP$1</f>
        <v>270169.78859857487</v>
      </c>
      <c r="EA68" s="8">
        <f>+MINVU_Mes_Corriente!EA68*SALUD_Mes_Constante!$DP$1</f>
        <v>270169.78859857487</v>
      </c>
      <c r="EB68" s="9">
        <f t="shared" si="28"/>
        <v>270169.78859857487</v>
      </c>
      <c r="EC68" s="8">
        <f>+MINVU_Mes_Corriente!EC68*SALUD_Mes_Constante!$EC$1</f>
        <v>0</v>
      </c>
      <c r="ED68" s="8">
        <f>+MINVU_Mes_Corriente!ED68*SALUD_Mes_Constante!$EC$1</f>
        <v>2754701.9744366589</v>
      </c>
      <c r="EE68" s="8">
        <f>+MINVU_Mes_Corriente!EE68*SALUD_Mes_Constante!$EC$1</f>
        <v>2754701.9744366589</v>
      </c>
      <c r="EF68" s="8">
        <f>+MINVU_Mes_Corriente!EF68*SALUD_Mes_Constante!$EC$1</f>
        <v>2754701.9744366589</v>
      </c>
      <c r="EG68" s="8">
        <f>+MINVU_Mes_Corriente!EG68*SALUD_Mes_Constante!$EC$1</f>
        <v>2754701.9744366589</v>
      </c>
      <c r="EH68" s="8">
        <f>+MINVU_Mes_Corriente!EH68*SALUD_Mes_Constante!$EC$1</f>
        <v>2754701.9744366589</v>
      </c>
      <c r="EI68" s="8">
        <f>+MINVU_Mes_Corriente!EI68*SALUD_Mes_Constante!$EC$1</f>
        <v>2754701.9744366589</v>
      </c>
      <c r="EJ68" s="8">
        <f>+MINVU_Mes_Corriente!EJ68*SALUD_Mes_Constante!$EC$1</f>
        <v>646613.96250710078</v>
      </c>
      <c r="EK68" s="8">
        <f>+MINVU_Mes_Corriente!EK68*SALUD_Mes_Constante!$EC$1</f>
        <v>646613.96250710078</v>
      </c>
      <c r="EL68" s="8">
        <f>+MINVU_Mes_Corriente!EL68*SALUD_Mes_Constante!$EC$1</f>
        <v>646613.96250710078</v>
      </c>
      <c r="EM68" s="8">
        <f>+MINVU_Mes_Corriente!EM68*SALUD_Mes_Constante!$EC$1</f>
        <v>518620.86896421114</v>
      </c>
      <c r="EN68" s="8">
        <f>+MINVU_Mes_Corriente!EN68*SALUD_Mes_Constante!$EC$1</f>
        <v>518620.86896421114</v>
      </c>
      <c r="EO68" s="9">
        <f t="shared" si="29"/>
        <v>518620.86896421114</v>
      </c>
      <c r="EP68" s="8">
        <f>+MINVU_Mes_Corriente!EP68*SALUD_Mes_Constante!$EP$1</f>
        <v>0</v>
      </c>
      <c r="EQ68" s="8">
        <f>+MINVU_Mes_Corriente!EQ68*SALUD_Mes_Constante!$EP$1</f>
        <v>2083081</v>
      </c>
      <c r="ER68" s="8">
        <f>+MINVU_Mes_Corriente!ER68*SALUD_Mes_Constante!$EP$1</f>
        <v>2083081</v>
      </c>
      <c r="ES68" s="8">
        <f>+MINVU_Mes_Corriente!ES68*SALUD_Mes_Constante!$EP$1</f>
        <v>2083081</v>
      </c>
      <c r="ET68" s="8">
        <f>+MINVU_Mes_Corriente!ET68*SALUD_Mes_Constante!$EP$1</f>
        <v>2083081</v>
      </c>
      <c r="EU68" s="8">
        <f>+MINVU_Mes_Corriente!EU68*SALUD_Mes_Constante!$EP$1</f>
        <v>2083081</v>
      </c>
      <c r="EV68" s="8">
        <f>+MINVU_Mes_Corriente!EV68*SALUD_Mes_Constante!$EP$1</f>
        <v>2083081</v>
      </c>
      <c r="EW68" s="8">
        <f>+MINVU_Mes_Corriente!EW68*SALUD_Mes_Constante!$EP$1</f>
        <v>2083081</v>
      </c>
      <c r="EX68" s="8">
        <f>+MINVU_Mes_Corriente!EX68*SALUD_Mes_Constante!$EP$1</f>
        <v>2083081</v>
      </c>
      <c r="EY68" s="8">
        <f>+MINVU_Mes_Corriente!EY68*SALUD_Mes_Constante!$EP$1</f>
        <v>2083081</v>
      </c>
      <c r="EZ68" s="8">
        <f>+MINVU_Mes_Corriente!EZ68*SALUD_Mes_Constante!$EP$1</f>
        <v>2083081</v>
      </c>
      <c r="FA68" s="8">
        <f>+MINVU_Mes_Corriente!FA68*SALUD_Mes_Constante!$EP$1</f>
        <v>1914966</v>
      </c>
      <c r="FB68" s="9">
        <f t="shared" si="30"/>
        <v>1914966</v>
      </c>
      <c r="FC68" s="8">
        <f>+MINVU_Mes_Corriente!FC68*SALUD_Mes_Constante!$FC$1</f>
        <v>143523</v>
      </c>
      <c r="FD68" s="8">
        <f>+MINVU_Mes_Corriente!FD68*SALUD_Mes_Constante!$FC$1</f>
        <v>143523</v>
      </c>
      <c r="FE68" s="8">
        <f>+MINVU_Mes_Corriente!FE68*SALUD_Mes_Constante!$FC$1</f>
        <v>143523</v>
      </c>
      <c r="FF68" s="8">
        <f>+MINVU_Mes_Corriente!FF68*SALUD_Mes_Constante!$FC$1</f>
        <v>143523</v>
      </c>
      <c r="FG68" s="8">
        <f>+MINVU_Mes_Corriente!FG68*SALUD_Mes_Constante!$FC$1</f>
        <v>143523</v>
      </c>
      <c r="FH68" s="8">
        <f>+MINVU_Mes_Corriente!FH68*SALUD_Mes_Constante!$FC$1</f>
        <v>143523</v>
      </c>
      <c r="FI68" s="8">
        <f>+MINVU_Mes_Corriente!FI68*SALUD_Mes_Constante!$FC$1</f>
        <v>143523</v>
      </c>
      <c r="FJ68" s="8"/>
      <c r="FK68" s="8"/>
      <c r="FL68" s="8"/>
      <c r="FM68" s="8"/>
      <c r="FN68" s="8"/>
      <c r="FO68" s="9">
        <f t="shared" si="31"/>
        <v>143523</v>
      </c>
    </row>
    <row r="69" spans="2:171" ht="14.25" customHeight="1" x14ac:dyDescent="0.3">
      <c r="B69" s="32" t="s">
        <v>68</v>
      </c>
      <c r="C69" s="8">
        <f>+MINVU_Mes_Corriente!C69*SALUD_Mes_Constante!$C$1</f>
        <v>0</v>
      </c>
      <c r="D69" s="8">
        <f>+MINVU_Mes_Corriente!D69*SALUD_Mes_Constante!$C$1</f>
        <v>0</v>
      </c>
      <c r="E69" s="8">
        <f>+MINVU_Mes_Corriente!E69*SALUD_Mes_Constante!$C$1</f>
        <v>9531914.991546791</v>
      </c>
      <c r="F69" s="8">
        <f>+MINVU_Mes_Corriente!F69*SALUD_Mes_Constante!$C$1</f>
        <v>9531914.991546791</v>
      </c>
      <c r="G69" s="8">
        <f>+MINVU_Mes_Corriente!G69*SALUD_Mes_Constante!$C$1</f>
        <v>9531914.991546791</v>
      </c>
      <c r="H69" s="8">
        <f>+MINVU_Mes_Corriente!H69*SALUD_Mes_Constante!$C$1</f>
        <v>9531914.991546791</v>
      </c>
      <c r="I69" s="8">
        <f>+MINVU_Mes_Corriente!I69*SALUD_Mes_Constante!$C$1</f>
        <v>9531914.991546791</v>
      </c>
      <c r="J69" s="8">
        <f>+MINVU_Mes_Corriente!J69*SALUD_Mes_Constante!$C$1</f>
        <v>9531914.991546791</v>
      </c>
      <c r="K69" s="8">
        <f>+MINVU_Mes_Corriente!K69*SALUD_Mes_Constante!$C$1</f>
        <v>10180060.283553315</v>
      </c>
      <c r="L69" s="8">
        <f>+MINVU_Mes_Corriente!L69*SALUD_Mes_Constante!$C$1</f>
        <v>10180060.283553315</v>
      </c>
      <c r="M69" s="8">
        <f>+MINVU_Mes_Corriente!M69*SALUD_Mes_Constante!$C$1</f>
        <v>12894590.3891443</v>
      </c>
      <c r="N69" s="8">
        <f>+MINVU_Mes_Corriente!N69*SALUD_Mes_Constante!$C$1</f>
        <v>13150067.264125763</v>
      </c>
      <c r="O69" s="9">
        <f t="shared" si="19"/>
        <v>13150067.264125763</v>
      </c>
      <c r="P69" s="8">
        <f>+MINVU_Mes_Corriente!P69*SALUD_Mes_Constante!$P$1</f>
        <v>0</v>
      </c>
      <c r="Q69" s="8">
        <f>+MINVU_Mes_Corriente!Q69*SALUD_Mes_Constante!$P$1</f>
        <v>15406575.803381156</v>
      </c>
      <c r="R69" s="8">
        <f>+MINVU_Mes_Corriente!R69*SALUD_Mes_Constante!$P$1</f>
        <v>28950749.015485145</v>
      </c>
      <c r="S69" s="8">
        <f>+MINVU_Mes_Corriente!S69*SALUD_Mes_Constante!$P$1</f>
        <v>29082073.668134667</v>
      </c>
      <c r="T69" s="8">
        <f>+MINVU_Mes_Corriente!T69*SALUD_Mes_Constante!$P$1</f>
        <v>29269704.706634454</v>
      </c>
      <c r="U69" s="8">
        <f>+MINVU_Mes_Corriente!U69*SALUD_Mes_Constante!$P$1</f>
        <v>30702331.636596095</v>
      </c>
      <c r="V69" s="8">
        <f>+MINVU_Mes_Corriente!V69*SALUD_Mes_Constante!$P$1</f>
        <v>31230394.731638007</v>
      </c>
      <c r="W69" s="8">
        <f>+MINVU_Mes_Corriente!W69*SALUD_Mes_Constante!$P$1</f>
        <v>19650970.571387973</v>
      </c>
      <c r="X69" s="8">
        <f>+MINVU_Mes_Corriente!X69*SALUD_Mes_Constante!$P$1</f>
        <v>19650970.571387973</v>
      </c>
      <c r="Y69" s="8">
        <f>+MINVU_Mes_Corriente!Y69*SALUD_Mes_Constante!$P$1</f>
        <v>19650970.571387973</v>
      </c>
      <c r="Z69" s="8">
        <f>+MINVU_Mes_Corriente!Z69*SALUD_Mes_Constante!$P$1</f>
        <v>19696979.601932086</v>
      </c>
      <c r="AA69" s="8">
        <f>+MINVU_Mes_Corriente!AA69*SALUD_Mes_Constante!$P$1</f>
        <v>24606427.680920575</v>
      </c>
      <c r="AB69" s="9">
        <f t="shared" si="20"/>
        <v>24606427.680920575</v>
      </c>
      <c r="AC69" s="8">
        <f>+MINVU_Mes_Corriente!AC69*SALUD_Mes_Constante!$AC$1</f>
        <v>0</v>
      </c>
      <c r="AD69" s="8">
        <f>+MINVU_Mes_Corriente!AD69*SALUD_Mes_Constante!$AC$1</f>
        <v>10467807.783925854</v>
      </c>
      <c r="AE69" s="8">
        <f>+MINVU_Mes_Corriente!AE69*SALUD_Mes_Constante!$AC$1</f>
        <v>11911268.562180107</v>
      </c>
      <c r="AF69" s="8">
        <f>+MINVU_Mes_Corriente!AF69*SALUD_Mes_Constante!$AC$1</f>
        <v>12263287.082307372</v>
      </c>
      <c r="AG69" s="8">
        <f>+MINVU_Mes_Corriente!AG69*SALUD_Mes_Constante!$AC$1</f>
        <v>12263287.082307372</v>
      </c>
      <c r="AH69" s="8">
        <f>+MINVU_Mes_Corriente!AH69*SALUD_Mes_Constante!$AC$1</f>
        <v>12263287.082307372</v>
      </c>
      <c r="AI69" s="8">
        <f>+MINVU_Mes_Corriente!AI69*SALUD_Mes_Constante!$AC$1</f>
        <v>12263287.082307372</v>
      </c>
      <c r="AJ69" s="8">
        <f>+MINVU_Mes_Corriente!AJ69*SALUD_Mes_Constante!$AC$1</f>
        <v>12263287.082307372</v>
      </c>
      <c r="AK69" s="8">
        <f>+MINVU_Mes_Corriente!AK69*SALUD_Mes_Constante!$AC$1</f>
        <v>12263287.082307372</v>
      </c>
      <c r="AL69" s="8">
        <f>+MINVU_Mes_Corriente!AL69*SALUD_Mes_Constante!$AC$1</f>
        <v>8733845.9917000961</v>
      </c>
      <c r="AM69" s="8">
        <f>+MINVU_Mes_Corriente!AM69*SALUD_Mes_Constante!$AC$1</f>
        <v>8733845.9917000961</v>
      </c>
      <c r="AN69" s="8">
        <f>+MINVU_Mes_Corriente!AN69*SALUD_Mes_Constante!$AC$1</f>
        <v>7995241.4392032092</v>
      </c>
      <c r="AO69" s="9">
        <f t="shared" si="21"/>
        <v>7995241.4392032092</v>
      </c>
      <c r="AP69" s="8">
        <f>+MINVU_Mes_Corriente!AP69*SALUD_Mes_Constante!$AP$1</f>
        <v>0</v>
      </c>
      <c r="AQ69" s="8">
        <f>+MINVU_Mes_Corriente!AQ69*SALUD_Mes_Constante!$AP$1</f>
        <v>0</v>
      </c>
      <c r="AR69" s="8">
        <f>+MINVU_Mes_Corriente!AR69*SALUD_Mes_Constante!$AP$1</f>
        <v>9784529.3158393074</v>
      </c>
      <c r="AS69" s="8">
        <f>+MINVU_Mes_Corriente!AS69*SALUD_Mes_Constante!$AP$1</f>
        <v>9784529.3158393074</v>
      </c>
      <c r="AT69" s="8">
        <f>+MINVU_Mes_Corriente!AT69*SALUD_Mes_Constante!$AP$1</f>
        <v>9784529.3158393074</v>
      </c>
      <c r="AU69" s="8">
        <f>+MINVU_Mes_Corriente!AU69*SALUD_Mes_Constante!$AP$1</f>
        <v>9784529.3158393074</v>
      </c>
      <c r="AV69" s="8">
        <f>+MINVU_Mes_Corriente!AV69*SALUD_Mes_Constante!$AP$1</f>
        <v>9784529.3158393074</v>
      </c>
      <c r="AW69" s="8">
        <f>+MINVU_Mes_Corriente!AW69*SALUD_Mes_Constante!$AP$1</f>
        <v>9784529.3158393074</v>
      </c>
      <c r="AX69" s="8">
        <f>+MINVU_Mes_Corriente!AX69*SALUD_Mes_Constante!$AP$1</f>
        <v>9784529.3158393074</v>
      </c>
      <c r="AY69" s="8">
        <f>+MINVU_Mes_Corriente!AY69*SALUD_Mes_Constante!$AP$1</f>
        <v>9784529.3158393074</v>
      </c>
      <c r="AZ69" s="8">
        <f>+MINVU_Mes_Corriente!AZ69*SALUD_Mes_Constante!$AP$1</f>
        <v>9784529.3158393074</v>
      </c>
      <c r="BA69" s="8">
        <f>+MINVU_Mes_Corriente!BA69*SALUD_Mes_Constante!$AP$1</f>
        <v>2407952.6611659676</v>
      </c>
      <c r="BB69" s="9">
        <f t="shared" si="22"/>
        <v>2407952.6611659676</v>
      </c>
      <c r="BC69" s="8">
        <f>+MINVU_Mes_Corriente!BC69*SALUD_Mes_Constante!$BC$1</f>
        <v>0</v>
      </c>
      <c r="BD69" s="8">
        <f>+MINVU_Mes_Corriente!BD69*SALUD_Mes_Constante!$BC$1</f>
        <v>0</v>
      </c>
      <c r="BE69" s="8">
        <f>+MINVU_Mes_Corriente!BE69*SALUD_Mes_Constante!$BC$1</f>
        <v>10162035.867598578</v>
      </c>
      <c r="BF69" s="8">
        <f>+MINVU_Mes_Corriente!BF69*SALUD_Mes_Constante!$BC$1</f>
        <v>10162035.867598578</v>
      </c>
      <c r="BG69" s="8">
        <f>+MINVU_Mes_Corriente!BG69*SALUD_Mes_Constante!$BC$1</f>
        <v>10162035.867598578</v>
      </c>
      <c r="BH69" s="8">
        <f>+MINVU_Mes_Corriente!BH69*SALUD_Mes_Constante!$BC$1</f>
        <v>10162035.867598578</v>
      </c>
      <c r="BI69" s="8">
        <f>+MINVU_Mes_Corriente!BI69*SALUD_Mes_Constante!$BC$1</f>
        <v>10162035.867598578</v>
      </c>
      <c r="BJ69" s="8">
        <f>+MINVU_Mes_Corriente!BJ69*SALUD_Mes_Constante!$BC$1</f>
        <v>10421686.501384679</v>
      </c>
      <c r="BK69" s="8">
        <f>+MINVU_Mes_Corriente!BK69*SALUD_Mes_Constante!$BC$1</f>
        <v>7758765.4142160118</v>
      </c>
      <c r="BL69" s="8">
        <f>+MINVU_Mes_Corriente!BL69*SALUD_Mes_Constante!$BC$1</f>
        <v>7607988.631412372</v>
      </c>
      <c r="BM69" s="8">
        <f>+MINVU_Mes_Corriente!BM69*SALUD_Mes_Constante!$BC$1</f>
        <v>7607988.631412372</v>
      </c>
      <c r="BN69" s="8">
        <f>+MINVU_Mes_Corriente!BN69*SALUD_Mes_Constante!$BC$1</f>
        <v>3213916.8321244898</v>
      </c>
      <c r="BO69" s="9">
        <f t="shared" si="23"/>
        <v>3213916.8321244898</v>
      </c>
      <c r="BP69" s="8">
        <f>+MINVU_Mes_Corriente!BP69*SALUD_Mes_Constante!$BP$1</f>
        <v>0</v>
      </c>
      <c r="BQ69" s="8">
        <f>+MINVU_Mes_Corriente!BQ69*SALUD_Mes_Constante!$BP$1</f>
        <v>0</v>
      </c>
      <c r="BR69" s="8">
        <f>+MINVU_Mes_Corriente!BR69*SALUD_Mes_Constante!$BP$1</f>
        <v>7357262.0243277857</v>
      </c>
      <c r="BS69" s="8">
        <f>+MINVU_Mes_Corriente!BS69*SALUD_Mes_Constante!$BP$1</f>
        <v>7357262.0243277857</v>
      </c>
      <c r="BT69" s="8">
        <f>+MINVU_Mes_Corriente!BT69*SALUD_Mes_Constante!$BP$1</f>
        <v>7357262.0243277857</v>
      </c>
      <c r="BU69" s="8">
        <f>+MINVU_Mes_Corriente!BU69*SALUD_Mes_Constante!$BP$1</f>
        <v>7843143.0629961593</v>
      </c>
      <c r="BV69" s="8">
        <f>+MINVU_Mes_Corriente!BV69*SALUD_Mes_Constante!$BP$1</f>
        <v>7909731.5070422543</v>
      </c>
      <c r="BW69" s="8">
        <f>+MINVU_Mes_Corriente!BW69*SALUD_Mes_Constante!$BP$1</f>
        <v>7100225.4261203595</v>
      </c>
      <c r="BX69" s="8">
        <f>+MINVU_Mes_Corriente!BX69*SALUD_Mes_Constante!$BP$1</f>
        <v>6214644.4471190786</v>
      </c>
      <c r="BY69" s="8">
        <f>+MINVU_Mes_Corriente!BY69*SALUD_Mes_Constante!$BP$1</f>
        <v>6214644.4471190786</v>
      </c>
      <c r="BZ69" s="8">
        <f>+MINVU_Mes_Corriente!BZ69*SALUD_Mes_Constante!$BP$1</f>
        <v>6233312.3784891171</v>
      </c>
      <c r="CA69" s="8">
        <f>+MINVU_Mes_Corriente!CA69*SALUD_Mes_Constante!$BP$1</f>
        <v>6296907.0145966718</v>
      </c>
      <c r="CB69" s="9">
        <f t="shared" si="24"/>
        <v>6296907.0145966718</v>
      </c>
      <c r="CC69" s="8">
        <f>+MINVU_Mes_Corriente!CC69*SALUD_Mes_Constante!$CC$1</f>
        <v>0</v>
      </c>
      <c r="CD69" s="8">
        <f>+MINVU_Mes_Corriente!CD69*SALUD_Mes_Constante!$CC$1</f>
        <v>0</v>
      </c>
      <c r="CE69" s="8">
        <f>+MINVU_Mes_Corriente!CE69*SALUD_Mes_Constante!$CC$1</f>
        <v>9408533.0555762779</v>
      </c>
      <c r="CF69" s="8">
        <f>+MINVU_Mes_Corriente!CF69*SALUD_Mes_Constante!$CC$1</f>
        <v>9544630.5609847084</v>
      </c>
      <c r="CG69" s="8">
        <f>+MINVU_Mes_Corriente!CG69*SALUD_Mes_Constante!$CC$1</f>
        <v>9544630.5609847084</v>
      </c>
      <c r="CH69" s="8">
        <f>+MINVU_Mes_Corriente!CH69*SALUD_Mes_Constante!$CC$1</f>
        <v>9544630.5609847084</v>
      </c>
      <c r="CI69" s="8">
        <f>+MINVU_Mes_Corriente!CI69*SALUD_Mes_Constante!$CC$1</f>
        <v>9642157.6426706463</v>
      </c>
      <c r="CJ69" s="8">
        <f>+MINVU_Mes_Corriente!CJ69*SALUD_Mes_Constante!$CC$1</f>
        <v>9642157.6426706463</v>
      </c>
      <c r="CK69" s="8">
        <f>+MINVU_Mes_Corriente!CK69*SALUD_Mes_Constante!$CC$1</f>
        <v>9642157.6426706463</v>
      </c>
      <c r="CL69" s="8">
        <f>+MINVU_Mes_Corriente!CL69*SALUD_Mes_Constante!$CC$1</f>
        <v>9778255.1480790768</v>
      </c>
      <c r="CM69" s="8">
        <f>+MINVU_Mes_Corriente!CM69*SALUD_Mes_Constante!$CC$1</f>
        <v>9778255.1480790768</v>
      </c>
      <c r="CN69" s="8">
        <f>+MINVU_Mes_Corriente!CN69*SALUD_Mes_Constante!$CC$1</f>
        <v>5632318.3595673265</v>
      </c>
      <c r="CO69" s="9">
        <f t="shared" si="25"/>
        <v>5632318.3595673265</v>
      </c>
      <c r="CP69" s="8">
        <f>+MINVU_Mes_Corriente!CP69*SALUD_Mes_Constante!$CP$1</f>
        <v>0</v>
      </c>
      <c r="CQ69" s="8">
        <f>+MINVU_Mes_Corriente!CQ69*SALUD_Mes_Constante!$CP$1</f>
        <v>10402645.867517399</v>
      </c>
      <c r="CR69" s="8">
        <f>+MINVU_Mes_Corriente!CR69*SALUD_Mes_Constante!$CP$1</f>
        <v>10558198.138051042</v>
      </c>
      <c r="CS69" s="8">
        <f>+MINVU_Mes_Corriente!CS69*SALUD_Mes_Constante!$CP$1</f>
        <v>10558198.138051042</v>
      </c>
      <c r="CT69" s="8">
        <f>+MINVU_Mes_Corriente!CT69*SALUD_Mes_Constante!$CP$1</f>
        <v>10558198.138051042</v>
      </c>
      <c r="CU69" s="8">
        <f>+MINVU_Mes_Corriente!CU69*SALUD_Mes_Constante!$CP$1</f>
        <v>10770944.596287701</v>
      </c>
      <c r="CV69" s="8">
        <f>+MINVU_Mes_Corriente!CV69*SALUD_Mes_Constante!$CP$1</f>
        <v>10828924.64477958</v>
      </c>
      <c r="CW69" s="8">
        <f>+MINVU_Mes_Corriente!CW69*SALUD_Mes_Constante!$CP$1</f>
        <v>11012799.591647329</v>
      </c>
      <c r="CX69" s="8">
        <f>+MINVU_Mes_Corriente!CX69*SALUD_Mes_Constante!$CP$1</f>
        <v>11012799.591647329</v>
      </c>
      <c r="CY69" s="8">
        <f>+MINVU_Mes_Corriente!CY69*SALUD_Mes_Constante!$CP$1</f>
        <v>8944893.1169373523</v>
      </c>
      <c r="CZ69" s="8">
        <f>+MINVU_Mes_Corriente!CZ69*SALUD_Mes_Constante!$CP$1</f>
        <v>8944893.1169373523</v>
      </c>
      <c r="DA69" s="8">
        <f>+MINVU_Mes_Corriente!DA69*SALUD_Mes_Constante!$CP$1</f>
        <v>4677610.7276102081</v>
      </c>
      <c r="DB69" s="9">
        <f t="shared" si="26"/>
        <v>4677610.7276102081</v>
      </c>
      <c r="DC69" s="8">
        <f>+MINVU_Mes_Corriente!DC69*SALUD_Mes_Constante!$DC$1</f>
        <v>0</v>
      </c>
      <c r="DD69" s="8">
        <f>+MINVU_Mes_Corriente!DD69*SALUD_Mes_Constante!$DC$1</f>
        <v>9519762.7690566853</v>
      </c>
      <c r="DE69" s="8">
        <f>+MINVU_Mes_Corriente!DE69*SALUD_Mes_Constante!$DC$1</f>
        <v>9519762.7690566853</v>
      </c>
      <c r="DF69" s="8">
        <f>+MINVU_Mes_Corriente!DF69*SALUD_Mes_Constante!$DC$1</f>
        <v>9519762.7690566853</v>
      </c>
      <c r="DG69" s="8">
        <f>+MINVU_Mes_Corriente!DG69*SALUD_Mes_Constante!$DC$1</f>
        <v>9519762.7690566853</v>
      </c>
      <c r="DH69" s="8">
        <f>+MINVU_Mes_Corriente!DH69*SALUD_Mes_Constante!$DC$1</f>
        <v>9519762.7690566853</v>
      </c>
      <c r="DI69" s="8">
        <f>+MINVU_Mes_Corriente!DI69*SALUD_Mes_Constante!$DC$1</f>
        <v>8643377.5302952416</v>
      </c>
      <c r="DJ69" s="8">
        <f>+MINVU_Mes_Corriente!DJ69*SALUD_Mes_Constante!$DC$1</f>
        <v>8643377.5302952416</v>
      </c>
      <c r="DK69" s="8">
        <f>+MINVU_Mes_Corriente!DK69*SALUD_Mes_Constante!$DC$1</f>
        <v>6085090.7655591015</v>
      </c>
      <c r="DL69" s="8">
        <f>+MINVU_Mes_Corriente!DL69*SALUD_Mes_Constante!$DC$1</f>
        <v>6310740.0339471279</v>
      </c>
      <c r="DM69" s="8">
        <f>+MINVU_Mes_Corriente!DM69*SALUD_Mes_Constante!$DC$1</f>
        <v>6310740.0339471279</v>
      </c>
      <c r="DN69" s="8">
        <f>+MINVU_Mes_Corriente!DN69*SALUD_Mes_Constante!$DC$1</f>
        <v>1100898.1851661357</v>
      </c>
      <c r="DO69" s="9">
        <f t="shared" si="27"/>
        <v>1100898.1851661357</v>
      </c>
      <c r="DP69" s="8">
        <f>+MINVU_Mes_Corriente!DP69*SALUD_Mes_Constante!$DP$1</f>
        <v>0</v>
      </c>
      <c r="DQ69" s="8">
        <f>+MINVU_Mes_Corriente!DQ69*SALUD_Mes_Constante!$DP$1</f>
        <v>2920240.5944180526</v>
      </c>
      <c r="DR69" s="8">
        <f>+MINVU_Mes_Corriente!DR69*SALUD_Mes_Constante!$DP$1</f>
        <v>2920240.5944180526</v>
      </c>
      <c r="DS69" s="8">
        <f>+MINVU_Mes_Corriente!DS69*SALUD_Mes_Constante!$DP$1</f>
        <v>2920240.5944180526</v>
      </c>
      <c r="DT69" s="8">
        <f>+MINVU_Mes_Corriente!DT69*SALUD_Mes_Constante!$DP$1</f>
        <v>2920240.5944180526</v>
      </c>
      <c r="DU69" s="8">
        <f>+MINVU_Mes_Corriente!DU69*SALUD_Mes_Constante!$DP$1</f>
        <v>2920240.5944180526</v>
      </c>
      <c r="DV69" s="8">
        <f>+MINVU_Mes_Corriente!DV69*SALUD_Mes_Constante!$DP$1</f>
        <v>4004431.9863420432</v>
      </c>
      <c r="DW69" s="8">
        <f>+MINVU_Mes_Corriente!DW69*SALUD_Mes_Constante!$DP$1</f>
        <v>4004431.9863420432</v>
      </c>
      <c r="DX69" s="8">
        <f>+MINVU_Mes_Corriente!DX69*SALUD_Mes_Constante!$DP$1</f>
        <v>4004431.9863420432</v>
      </c>
      <c r="DY69" s="8">
        <f>+MINVU_Mes_Corriente!DY69*SALUD_Mes_Constante!$DP$1</f>
        <v>4004431.9863420432</v>
      </c>
      <c r="DZ69" s="8">
        <f>+MINVU_Mes_Corriente!DZ69*SALUD_Mes_Constante!$DP$1</f>
        <v>1397047.6264845608</v>
      </c>
      <c r="EA69" s="8">
        <f>+MINVU_Mes_Corriente!EA69*SALUD_Mes_Constante!$DP$1</f>
        <v>577079.65795724466</v>
      </c>
      <c r="EB69" s="9">
        <f t="shared" si="28"/>
        <v>577079.65795724466</v>
      </c>
      <c r="EC69" s="8">
        <f>+MINVU_Mes_Corriente!EC69*SALUD_Mes_Constante!$EC$1</f>
        <v>0</v>
      </c>
      <c r="ED69" s="8">
        <f>+MINVU_Mes_Corriente!ED69*SALUD_Mes_Constante!$EC$1</f>
        <v>13283954.314902477</v>
      </c>
      <c r="EE69" s="8">
        <f>+MINVU_Mes_Corriente!EE69*SALUD_Mes_Constante!$EC$1</f>
        <v>13283954.314902477</v>
      </c>
      <c r="EF69" s="8">
        <f>+MINVU_Mes_Corriente!EF69*SALUD_Mes_Constante!$EC$1</f>
        <v>13845634.713311868</v>
      </c>
      <c r="EG69" s="8">
        <f>+MINVU_Mes_Corriente!EG69*SALUD_Mes_Constante!$EC$1</f>
        <v>13845634.713311868</v>
      </c>
      <c r="EH69" s="8">
        <f>+MINVU_Mes_Corriente!EH69*SALUD_Mes_Constante!$EC$1</f>
        <v>13845634.713311868</v>
      </c>
      <c r="EI69" s="8">
        <f>+MINVU_Mes_Corriente!EI69*SALUD_Mes_Constante!$EC$1</f>
        <v>13845634.713311868</v>
      </c>
      <c r="EJ69" s="8">
        <f>+MINVU_Mes_Corriente!EJ69*SALUD_Mes_Constante!$EC$1</f>
        <v>13861075.110585112</v>
      </c>
      <c r="EK69" s="8">
        <f>+MINVU_Mes_Corriente!EK69*SALUD_Mes_Constante!$EC$1</f>
        <v>13861075.110585112</v>
      </c>
      <c r="EL69" s="8">
        <f>+MINVU_Mes_Corriente!EL69*SALUD_Mes_Constante!$EC$1</f>
        <v>10448959.378148075</v>
      </c>
      <c r="EM69" s="8">
        <f>+MINVU_Mes_Corriente!EM69*SALUD_Mes_Constante!$EC$1</f>
        <v>10585377.139746256</v>
      </c>
      <c r="EN69" s="8">
        <f>+MINVU_Mes_Corriente!EN69*SALUD_Mes_Constante!$EC$1</f>
        <v>9780075.4925203528</v>
      </c>
      <c r="EO69" s="9">
        <f t="shared" si="29"/>
        <v>9780075.4925203528</v>
      </c>
      <c r="EP69" s="8">
        <f>+MINVU_Mes_Corriente!EP69*SALUD_Mes_Constante!$EP$1</f>
        <v>0</v>
      </c>
      <c r="EQ69" s="8">
        <f>+MINVU_Mes_Corriente!EQ69*SALUD_Mes_Constante!$EP$1</f>
        <v>18615592</v>
      </c>
      <c r="ER69" s="8">
        <f>+MINVU_Mes_Corriente!ER69*SALUD_Mes_Constante!$EP$1</f>
        <v>18615592</v>
      </c>
      <c r="ES69" s="8">
        <f>+MINVU_Mes_Corriente!ES69*SALUD_Mes_Constante!$EP$1</f>
        <v>18615592</v>
      </c>
      <c r="ET69" s="8">
        <f>+MINVU_Mes_Corriente!ET69*SALUD_Mes_Constante!$EP$1</f>
        <v>18615592</v>
      </c>
      <c r="EU69" s="8">
        <f>+MINVU_Mes_Corriente!EU69*SALUD_Mes_Constante!$EP$1</f>
        <v>18265612</v>
      </c>
      <c r="EV69" s="8">
        <f>+MINVU_Mes_Corriente!EV69*SALUD_Mes_Constante!$EP$1</f>
        <v>18265612</v>
      </c>
      <c r="EW69" s="8">
        <f>+MINVU_Mes_Corriente!EW69*SALUD_Mes_Constante!$EP$1</f>
        <v>18265612</v>
      </c>
      <c r="EX69" s="8">
        <f>+MINVU_Mes_Corriente!EX69*SALUD_Mes_Constante!$EP$1</f>
        <v>18265612</v>
      </c>
      <c r="EY69" s="8">
        <f>+MINVU_Mes_Corriente!EY69*SALUD_Mes_Constante!$EP$1</f>
        <v>18265612</v>
      </c>
      <c r="EZ69" s="8">
        <f>+MINVU_Mes_Corriente!EZ69*SALUD_Mes_Constante!$EP$1</f>
        <v>18265612</v>
      </c>
      <c r="FA69" s="8">
        <f>+MINVU_Mes_Corriente!FA69*SALUD_Mes_Constante!$EP$1</f>
        <v>19349602</v>
      </c>
      <c r="FB69" s="9">
        <f t="shared" si="30"/>
        <v>19349602</v>
      </c>
      <c r="FC69" s="8">
        <f>+MINVU_Mes_Corriente!FC69*SALUD_Mes_Constante!$FC$1</f>
        <v>9039952</v>
      </c>
      <c r="FD69" s="8">
        <f>+MINVU_Mes_Corriente!FD69*SALUD_Mes_Constante!$FC$1</f>
        <v>9039952</v>
      </c>
      <c r="FE69" s="8">
        <f>+MINVU_Mes_Corriente!FE69*SALUD_Mes_Constante!$FC$1</f>
        <v>9039952</v>
      </c>
      <c r="FF69" s="8">
        <f>+MINVU_Mes_Corriente!FF69*SALUD_Mes_Constante!$FC$1</f>
        <v>9039952</v>
      </c>
      <c r="FG69" s="8">
        <f>+MINVU_Mes_Corriente!FG69*SALUD_Mes_Constante!$FC$1</f>
        <v>9039952</v>
      </c>
      <c r="FH69" s="8">
        <f>+MINVU_Mes_Corriente!FH69*SALUD_Mes_Constante!$FC$1</f>
        <v>9039952</v>
      </c>
      <c r="FI69" s="8">
        <f>+MINVU_Mes_Corriente!FI69*SALUD_Mes_Constante!$FC$1</f>
        <v>9039952</v>
      </c>
      <c r="FJ69" s="8"/>
      <c r="FK69" s="8"/>
      <c r="FL69" s="8"/>
      <c r="FM69" s="8"/>
      <c r="FN69" s="8"/>
      <c r="FO69" s="9">
        <f t="shared" si="31"/>
        <v>9039952</v>
      </c>
    </row>
    <row r="70" spans="2:171" ht="14.25" customHeight="1" x14ac:dyDescent="0.3">
      <c r="B70" s="32" t="s">
        <v>69</v>
      </c>
      <c r="C70" s="8">
        <f>+MINVU_Mes_Corriente!C70*SALUD_Mes_Constante!$C$1</f>
        <v>0</v>
      </c>
      <c r="D70" s="8">
        <f>+MINVU_Mes_Corriente!D70*SALUD_Mes_Constante!$C$1</f>
        <v>8126084.087498147</v>
      </c>
      <c r="E70" s="8">
        <f>+MINVU_Mes_Corriente!E70*SALUD_Mes_Constante!$C$1</f>
        <v>12359849.944831679</v>
      </c>
      <c r="F70" s="8">
        <f>+MINVU_Mes_Corriente!F70*SALUD_Mes_Constante!$C$1</f>
        <v>12359849.944831679</v>
      </c>
      <c r="G70" s="8">
        <f>+MINVU_Mes_Corriente!G70*SALUD_Mes_Constante!$C$1</f>
        <v>12359849.944831679</v>
      </c>
      <c r="H70" s="8">
        <f>+MINVU_Mes_Corriente!H70*SALUD_Mes_Constante!$C$1</f>
        <v>12359849.944831679</v>
      </c>
      <c r="I70" s="8">
        <f>+MINVU_Mes_Corriente!I70*SALUD_Mes_Constante!$C$1</f>
        <v>12359849.944831679</v>
      </c>
      <c r="J70" s="8">
        <f>+MINVU_Mes_Corriente!J70*SALUD_Mes_Constante!$C$1</f>
        <v>13189888.912650159</v>
      </c>
      <c r="K70" s="8">
        <f>+MINVU_Mes_Corriente!K70*SALUD_Mes_Constante!$C$1</f>
        <v>13319808.337238619</v>
      </c>
      <c r="L70" s="8">
        <f>+MINVU_Mes_Corriente!L70*SALUD_Mes_Constante!$C$1</f>
        <v>13319808.337238619</v>
      </c>
      <c r="M70" s="8">
        <f>+MINVU_Mes_Corriente!M70*SALUD_Mes_Constante!$C$1</f>
        <v>6413782.3671956109</v>
      </c>
      <c r="N70" s="8">
        <f>+MINVU_Mes_Corriente!N70*SALUD_Mes_Constante!$C$1</f>
        <v>5902979.3095061556</v>
      </c>
      <c r="O70" s="9">
        <f t="shared" si="19"/>
        <v>5902979.3095061556</v>
      </c>
      <c r="P70" s="8">
        <f>+MINVU_Mes_Corriente!P70*SALUD_Mes_Constante!$P$1</f>
        <v>0</v>
      </c>
      <c r="Q70" s="8">
        <f>+MINVU_Mes_Corriente!Q70*SALUD_Mes_Constante!$P$1</f>
        <v>1069686.2889614997</v>
      </c>
      <c r="R70" s="8">
        <f>+MINVU_Mes_Corriente!R70*SALUD_Mes_Constante!$P$1</f>
        <v>21081737.954823121</v>
      </c>
      <c r="S70" s="8">
        <f>+MINVU_Mes_Corriente!S70*SALUD_Mes_Constante!$P$1</f>
        <v>24285094.005398486</v>
      </c>
      <c r="T70" s="8">
        <f>+MINVU_Mes_Corriente!T70*SALUD_Mes_Constante!$P$1</f>
        <v>26118673.625514977</v>
      </c>
      <c r="U70" s="8">
        <f>+MINVU_Mes_Corriente!U70*SALUD_Mes_Constante!$P$1</f>
        <v>28055680.043756206</v>
      </c>
      <c r="V70" s="8">
        <f>+MINVU_Mes_Corriente!V70*SALUD_Mes_Constante!$P$1</f>
        <v>28724232.034095742</v>
      </c>
      <c r="W70" s="8">
        <f>+MINVU_Mes_Corriente!W70*SALUD_Mes_Constante!$P$1</f>
        <v>31076192.068759754</v>
      </c>
      <c r="X70" s="8">
        <f>+MINVU_Mes_Corriente!X70*SALUD_Mes_Constante!$P$1</f>
        <v>31076192.068759754</v>
      </c>
      <c r="Y70" s="8">
        <f>+MINVU_Mes_Corriente!Y70*SALUD_Mes_Constante!$P$1</f>
        <v>31076192.068759754</v>
      </c>
      <c r="Z70" s="8">
        <f>+MINVU_Mes_Corriente!Z70*SALUD_Mes_Constante!$P$1</f>
        <v>23523227.859355014</v>
      </c>
      <c r="AA70" s="8">
        <f>+MINVU_Mes_Corriente!AA70*SALUD_Mes_Constante!$P$1</f>
        <v>22580920.507458437</v>
      </c>
      <c r="AB70" s="9">
        <f t="shared" si="20"/>
        <v>22580920.507458437</v>
      </c>
      <c r="AC70" s="8">
        <f>+MINVU_Mes_Corriente!AC70*SALUD_Mes_Constante!$AC$1</f>
        <v>0</v>
      </c>
      <c r="AD70" s="8">
        <f>+MINVU_Mes_Corriente!AD70*SALUD_Mes_Constante!$AC$1</f>
        <v>19122068.846036796</v>
      </c>
      <c r="AE70" s="8">
        <f>+MINVU_Mes_Corriente!AE70*SALUD_Mes_Constante!$AC$1</f>
        <v>19122068.846036796</v>
      </c>
      <c r="AF70" s="8">
        <f>+MINVU_Mes_Corriente!AF70*SALUD_Mes_Constante!$AC$1</f>
        <v>22412339.509475723</v>
      </c>
      <c r="AG70" s="8">
        <f>+MINVU_Mes_Corriente!AG70*SALUD_Mes_Constante!$AC$1</f>
        <v>25363503.648637433</v>
      </c>
      <c r="AH70" s="8">
        <f>+MINVU_Mes_Corriente!AH70*SALUD_Mes_Constante!$AC$1</f>
        <v>25363503.648637433</v>
      </c>
      <c r="AI70" s="8">
        <f>+MINVU_Mes_Corriente!AI70*SALUD_Mes_Constante!$AC$1</f>
        <v>25363503.648637433</v>
      </c>
      <c r="AJ70" s="8">
        <f>+MINVU_Mes_Corriente!AJ70*SALUD_Mes_Constante!$AC$1</f>
        <v>25623808.154931527</v>
      </c>
      <c r="AK70" s="8">
        <f>+MINVU_Mes_Corriente!AK70*SALUD_Mes_Constante!$AC$1</f>
        <v>25623808.154931527</v>
      </c>
      <c r="AL70" s="8">
        <f>+MINVU_Mes_Corriente!AL70*SALUD_Mes_Constante!$AC$1</f>
        <v>26751784.272790149</v>
      </c>
      <c r="AM70" s="8">
        <f>+MINVU_Mes_Corriente!AM70*SALUD_Mes_Constante!$AC$1</f>
        <v>46215867.600497991</v>
      </c>
      <c r="AN70" s="8">
        <f>+MINVU_Mes_Corriente!AN70*SALUD_Mes_Constante!$AC$1</f>
        <v>17140035.919214275</v>
      </c>
      <c r="AO70" s="9">
        <f t="shared" si="21"/>
        <v>17140035.919214275</v>
      </c>
      <c r="AP70" s="8">
        <f>+MINVU_Mes_Corriente!AP70*SALUD_Mes_Constante!$AP$1</f>
        <v>0</v>
      </c>
      <c r="AQ70" s="8">
        <f>+MINVU_Mes_Corriente!AQ70*SALUD_Mes_Constante!$AP$1</f>
        <v>19842269.224942513</v>
      </c>
      <c r="AR70" s="8">
        <f>+MINVU_Mes_Corriente!AR70*SALUD_Mes_Constante!$AP$1</f>
        <v>47004284.534559719</v>
      </c>
      <c r="AS70" s="8">
        <f>+MINVU_Mes_Corriente!AS70*SALUD_Mes_Constante!$AP$1</f>
        <v>47004284.534559719</v>
      </c>
      <c r="AT70" s="8">
        <f>+MINVU_Mes_Corriente!AT70*SALUD_Mes_Constante!$AP$1</f>
        <v>47087625.396456107</v>
      </c>
      <c r="AU70" s="8">
        <f>+MINVU_Mes_Corriente!AU70*SALUD_Mes_Constante!$AP$1</f>
        <v>47155840.110645205</v>
      </c>
      <c r="AV70" s="8">
        <f>+MINVU_Mes_Corriente!AV70*SALUD_Mes_Constante!$AP$1</f>
        <v>46003759.693764366</v>
      </c>
      <c r="AW70" s="8">
        <f>+MINVU_Mes_Corriente!AW70*SALUD_Mes_Constante!$AP$1</f>
        <v>46003759.693764366</v>
      </c>
      <c r="AX70" s="8">
        <f>+MINVU_Mes_Corriente!AX70*SALUD_Mes_Constante!$AP$1</f>
        <v>46003759.693764366</v>
      </c>
      <c r="AY70" s="8">
        <f>+MINVU_Mes_Corriente!AY70*SALUD_Mes_Constante!$AP$1</f>
        <v>46003759.693764366</v>
      </c>
      <c r="AZ70" s="8">
        <f>+MINVU_Mes_Corriente!AZ70*SALUD_Mes_Constante!$AP$1</f>
        <v>46003759.693764366</v>
      </c>
      <c r="BA70" s="8">
        <f>+MINVU_Mes_Corriente!BA70*SALUD_Mes_Constante!$AP$1</f>
        <v>41103444.999053158</v>
      </c>
      <c r="BB70" s="9">
        <f t="shared" si="22"/>
        <v>41103444.999053158</v>
      </c>
      <c r="BC70" s="8">
        <f>+MINVU_Mes_Corriente!BC70*SALUD_Mes_Constante!$BC$1</f>
        <v>0</v>
      </c>
      <c r="BD70" s="8">
        <f>+MINVU_Mes_Corriente!BD70*SALUD_Mes_Constante!$BC$1</f>
        <v>0</v>
      </c>
      <c r="BE70" s="8">
        <f>+MINVU_Mes_Corriente!BE70*SALUD_Mes_Constante!$BC$1</f>
        <v>0</v>
      </c>
      <c r="BF70" s="8">
        <f>+MINVU_Mes_Corriente!BF70*SALUD_Mes_Constante!$BC$1</f>
        <v>24207959.994461302</v>
      </c>
      <c r="BG70" s="8">
        <f>+MINVU_Mes_Corriente!BG70*SALUD_Mes_Constante!$BC$1</f>
        <v>24207959.994461302</v>
      </c>
      <c r="BH70" s="8">
        <f>+MINVU_Mes_Corriente!BH70*SALUD_Mes_Constante!$BC$1</f>
        <v>24207959.994461302</v>
      </c>
      <c r="BI70" s="8">
        <f>+MINVU_Mes_Corriente!BI70*SALUD_Mes_Constante!$BC$1</f>
        <v>24207959.994461302</v>
      </c>
      <c r="BJ70" s="8">
        <f>+MINVU_Mes_Corriente!BJ70*SALUD_Mes_Constante!$BC$1</f>
        <v>25789773.337465391</v>
      </c>
      <c r="BK70" s="8">
        <f>+MINVU_Mes_Corriente!BK70*SALUD_Mes_Constante!$BC$1</f>
        <v>25789773.337465391</v>
      </c>
      <c r="BL70" s="8">
        <f>+MINVU_Mes_Corriente!BL70*SALUD_Mes_Constante!$BC$1</f>
        <v>25051960.715020448</v>
      </c>
      <c r="BM70" s="8">
        <f>+MINVU_Mes_Corriente!BM70*SALUD_Mes_Constante!$BC$1</f>
        <v>25051960.715020448</v>
      </c>
      <c r="BN70" s="8">
        <f>+MINVU_Mes_Corriente!BN70*SALUD_Mes_Constante!$BC$1</f>
        <v>15933099.214031391</v>
      </c>
      <c r="BO70" s="9">
        <f t="shared" si="23"/>
        <v>15933099.214031391</v>
      </c>
      <c r="BP70" s="8">
        <f>+MINVU_Mes_Corriente!BP70*SALUD_Mes_Constante!$BP$1</f>
        <v>0</v>
      </c>
      <c r="BQ70" s="8">
        <f>+MINVU_Mes_Corriente!BQ70*SALUD_Mes_Constante!$BP$1</f>
        <v>0</v>
      </c>
      <c r="BR70" s="8">
        <f>+MINVU_Mes_Corriente!BR70*SALUD_Mes_Constante!$BP$1</f>
        <v>15706374.017669655</v>
      </c>
      <c r="BS70" s="8">
        <f>+MINVU_Mes_Corriente!BS70*SALUD_Mes_Constante!$BP$1</f>
        <v>15706374.017669655</v>
      </c>
      <c r="BT70" s="8">
        <f>+MINVU_Mes_Corriente!BT70*SALUD_Mes_Constante!$BP$1</f>
        <v>15706374.017669655</v>
      </c>
      <c r="BU70" s="8">
        <f>+MINVU_Mes_Corriente!BU70*SALUD_Mes_Constante!$BP$1</f>
        <v>15706374.017669655</v>
      </c>
      <c r="BV70" s="8">
        <f>+MINVU_Mes_Corriente!BV70*SALUD_Mes_Constante!$BP$1</f>
        <v>15640622.161075545</v>
      </c>
      <c r="BW70" s="8">
        <f>+MINVU_Mes_Corriente!BW70*SALUD_Mes_Constante!$BP$1</f>
        <v>14047118.921638926</v>
      </c>
      <c r="BX70" s="8">
        <f>+MINVU_Mes_Corriente!BX70*SALUD_Mes_Constante!$BP$1</f>
        <v>12712934.009731116</v>
      </c>
      <c r="BY70" s="8">
        <f>+MINVU_Mes_Corriente!BY70*SALUD_Mes_Constante!$BP$1</f>
        <v>12712934.009731116</v>
      </c>
      <c r="BZ70" s="8">
        <f>+MINVU_Mes_Corriente!BZ70*SALUD_Mes_Constante!$BP$1</f>
        <v>12712934.009731116</v>
      </c>
      <c r="CA70" s="8">
        <f>+MINVU_Mes_Corriente!CA70*SALUD_Mes_Constante!$BP$1</f>
        <v>9141465.2335467357</v>
      </c>
      <c r="CB70" s="9">
        <f t="shared" si="24"/>
        <v>9141465.2335467357</v>
      </c>
      <c r="CC70" s="8">
        <f>+MINVU_Mes_Corriente!CC70*SALUD_Mes_Constante!$CC$1</f>
        <v>0</v>
      </c>
      <c r="CD70" s="8">
        <f>+MINVU_Mes_Corriente!CD70*SALUD_Mes_Constante!$CC$1</f>
        <v>0</v>
      </c>
      <c r="CE70" s="8">
        <f>+MINVU_Mes_Corriente!CE70*SALUD_Mes_Constante!$CC$1</f>
        <v>18475136.513241328</v>
      </c>
      <c r="CF70" s="8">
        <f>+MINVU_Mes_Corriente!CF70*SALUD_Mes_Constante!$CC$1</f>
        <v>19807870.784781799</v>
      </c>
      <c r="CG70" s="8">
        <f>+MINVU_Mes_Corriente!CG70*SALUD_Mes_Constante!$CC$1</f>
        <v>19852213.25550168</v>
      </c>
      <c r="CH70" s="8">
        <f>+MINVU_Mes_Corriente!CH70*SALUD_Mes_Constante!$CC$1</f>
        <v>19872896.989929132</v>
      </c>
      <c r="CI70" s="8">
        <f>+MINVU_Mes_Corriente!CI70*SALUD_Mes_Constante!$CC$1</f>
        <v>20951184.378217086</v>
      </c>
      <c r="CJ70" s="8">
        <f>+MINVU_Mes_Corriente!CJ70*SALUD_Mes_Constante!$CC$1</f>
        <v>20951184.378217086</v>
      </c>
      <c r="CK70" s="8">
        <f>+MINVU_Mes_Corriente!CK70*SALUD_Mes_Constante!$CC$1</f>
        <v>14196426.342409549</v>
      </c>
      <c r="CL70" s="8">
        <f>+MINVU_Mes_Corriente!CL70*SALUD_Mes_Constante!$CC$1</f>
        <v>11810234.401342783</v>
      </c>
      <c r="CM70" s="8">
        <f>+MINVU_Mes_Corriente!CM70*SALUD_Mes_Constante!$CC$1</f>
        <v>11727719.532264082</v>
      </c>
      <c r="CN70" s="8">
        <f>+MINVU_Mes_Corriente!CN70*SALUD_Mes_Constante!$CC$1</f>
        <v>9584051.3733681478</v>
      </c>
      <c r="CO70" s="9">
        <f t="shared" si="25"/>
        <v>9584051.3733681478</v>
      </c>
      <c r="CP70" s="8">
        <f>+MINVU_Mes_Corriente!CP70*SALUD_Mes_Constante!$CP$1</f>
        <v>0</v>
      </c>
      <c r="CQ70" s="8">
        <f>+MINVU_Mes_Corriente!CQ70*SALUD_Mes_Constante!$CP$1</f>
        <v>16726340.883758698</v>
      </c>
      <c r="CR70" s="8">
        <f>+MINVU_Mes_Corriente!CR70*SALUD_Mes_Constante!$CP$1</f>
        <v>16789721.823897909</v>
      </c>
      <c r="CS70" s="8">
        <f>+MINVU_Mes_Corriente!CS70*SALUD_Mes_Constante!$CP$1</f>
        <v>16789721.823897909</v>
      </c>
      <c r="CT70" s="8">
        <f>+MINVU_Mes_Corriente!CT70*SALUD_Mes_Constante!$CP$1</f>
        <v>16789721.823897909</v>
      </c>
      <c r="CU70" s="8">
        <f>+MINVU_Mes_Corriente!CU70*SALUD_Mes_Constante!$CP$1</f>
        <v>18418481.684686773</v>
      </c>
      <c r="CV70" s="8">
        <f>+MINVU_Mes_Corriente!CV70*SALUD_Mes_Constante!$CP$1</f>
        <v>18418481.684686773</v>
      </c>
      <c r="CW70" s="8">
        <f>+MINVU_Mes_Corriente!CW70*SALUD_Mes_Constante!$CP$1</f>
        <v>17178807.83805104</v>
      </c>
      <c r="CX70" s="8">
        <f>+MINVU_Mes_Corriente!CX70*SALUD_Mes_Constante!$CP$1</f>
        <v>17178807.83805104</v>
      </c>
      <c r="CY70" s="8">
        <f>+MINVU_Mes_Corriente!CY70*SALUD_Mes_Constante!$CP$1</f>
        <v>17178807.83805104</v>
      </c>
      <c r="CZ70" s="8">
        <f>+MINVU_Mes_Corriente!CZ70*SALUD_Mes_Constante!$CP$1</f>
        <v>17581266.16078886</v>
      </c>
      <c r="DA70" s="8">
        <f>+MINVU_Mes_Corriente!DA70*SALUD_Mes_Constante!$CP$1</f>
        <v>9864227.2907192558</v>
      </c>
      <c r="DB70" s="9">
        <f t="shared" si="26"/>
        <v>9864227.2907192558</v>
      </c>
      <c r="DC70" s="8">
        <f>+MINVU_Mes_Corriente!DC70*SALUD_Mes_Constante!$DC$1</f>
        <v>0</v>
      </c>
      <c r="DD70" s="8">
        <f>+MINVU_Mes_Corriente!DD70*SALUD_Mes_Constante!$DC$1</f>
        <v>11025393.892809387</v>
      </c>
      <c r="DE70" s="8">
        <f>+MINVU_Mes_Corriente!DE70*SALUD_Mes_Constante!$DC$1</f>
        <v>18306534.917189598</v>
      </c>
      <c r="DF70" s="8">
        <f>+MINVU_Mes_Corriente!DF70*SALUD_Mes_Constante!$DC$1</f>
        <v>18306534.917189598</v>
      </c>
      <c r="DG70" s="8">
        <f>+MINVU_Mes_Corriente!DG70*SALUD_Mes_Constante!$DC$1</f>
        <v>18363255.479888909</v>
      </c>
      <c r="DH70" s="8">
        <f>+MINVU_Mes_Corriente!DH70*SALUD_Mes_Constante!$DC$1</f>
        <v>18363255.479888909</v>
      </c>
      <c r="DI70" s="8">
        <f>+MINVU_Mes_Corriente!DI70*SALUD_Mes_Constante!$DC$1</f>
        <v>20126520.357370652</v>
      </c>
      <c r="DJ70" s="8">
        <f>+MINVU_Mes_Corriente!DJ70*SALUD_Mes_Constante!$DC$1</f>
        <v>20126520.357370652</v>
      </c>
      <c r="DK70" s="8">
        <f>+MINVU_Mes_Corriente!DK70*SALUD_Mes_Constante!$DC$1</f>
        <v>12167989.81215925</v>
      </c>
      <c r="DL70" s="8">
        <f>+MINVU_Mes_Corriente!DL70*SALUD_Mes_Constante!$DC$1</f>
        <v>12167989.81215925</v>
      </c>
      <c r="DM70" s="8">
        <f>+MINVU_Mes_Corriente!DM70*SALUD_Mes_Constante!$DC$1</f>
        <v>12167989.81215925</v>
      </c>
      <c r="DN70" s="8">
        <f>+MINVU_Mes_Corriente!DN70*SALUD_Mes_Constante!$DC$1</f>
        <v>6840695.4303055275</v>
      </c>
      <c r="DO70" s="9">
        <f t="shared" si="27"/>
        <v>6840695.4303055275</v>
      </c>
      <c r="DP70" s="8">
        <f>+MINVU_Mes_Corriente!DP70*SALUD_Mes_Constante!$DP$1</f>
        <v>0</v>
      </c>
      <c r="DQ70" s="8">
        <f>+MINVU_Mes_Corriente!DQ70*SALUD_Mes_Constante!$DP$1</f>
        <v>20795572.369952496</v>
      </c>
      <c r="DR70" s="8">
        <f>+MINVU_Mes_Corriente!DR70*SALUD_Mes_Constante!$DP$1</f>
        <v>20795572.369952496</v>
      </c>
      <c r="DS70" s="8">
        <f>+MINVU_Mes_Corriente!DS70*SALUD_Mes_Constante!$DP$1</f>
        <v>20795572.369952496</v>
      </c>
      <c r="DT70" s="8">
        <f>+MINVU_Mes_Corriente!DT70*SALUD_Mes_Constante!$DP$1</f>
        <v>20795572.369952496</v>
      </c>
      <c r="DU70" s="8">
        <f>+MINVU_Mes_Corriente!DU70*SALUD_Mes_Constante!$DP$1</f>
        <v>20795693.481591452</v>
      </c>
      <c r="DV70" s="8">
        <f>+MINVU_Mes_Corriente!DV70*SALUD_Mes_Constante!$DP$1</f>
        <v>20795693.481591452</v>
      </c>
      <c r="DW70" s="8">
        <f>+MINVU_Mes_Corriente!DW70*SALUD_Mes_Constante!$DP$1</f>
        <v>20795693.481591452</v>
      </c>
      <c r="DX70" s="8">
        <f>+MINVU_Mes_Corriente!DX70*SALUD_Mes_Constante!$DP$1</f>
        <v>20795693.481591452</v>
      </c>
      <c r="DY70" s="8">
        <f>+MINVU_Mes_Corriente!DY70*SALUD_Mes_Constante!$DP$1</f>
        <v>21110367.472090263</v>
      </c>
      <c r="DZ70" s="8">
        <f>+MINVU_Mes_Corriente!DZ70*SALUD_Mes_Constante!$DP$1</f>
        <v>20659530.47743468</v>
      </c>
      <c r="EA70" s="8">
        <f>+MINVU_Mes_Corriente!EA70*SALUD_Mes_Constante!$DP$1</f>
        <v>17211975.213776723</v>
      </c>
      <c r="EB70" s="9">
        <f t="shared" si="28"/>
        <v>17211975.213776723</v>
      </c>
      <c r="EC70" s="8">
        <f>+MINVU_Mes_Corriente!EC70*SALUD_Mes_Constante!$EC$1</f>
        <v>0</v>
      </c>
      <c r="ED70" s="8">
        <f>+MINVU_Mes_Corriente!ED70*SALUD_Mes_Constante!$EC$1</f>
        <v>410107.7513728459</v>
      </c>
      <c r="EE70" s="8">
        <f>+MINVU_Mes_Corriente!EE70*SALUD_Mes_Constante!$EC$1</f>
        <v>11091410.660859682</v>
      </c>
      <c r="EF70" s="8">
        <f>+MINVU_Mes_Corriente!EF70*SALUD_Mes_Constante!$EC$1</f>
        <v>11091410.660859682</v>
      </c>
      <c r="EG70" s="8">
        <f>+MINVU_Mes_Corriente!EG70*SALUD_Mes_Constante!$EC$1</f>
        <v>11091410.660859682</v>
      </c>
      <c r="EH70" s="8">
        <f>+MINVU_Mes_Corriente!EH70*SALUD_Mes_Constante!$EC$1</f>
        <v>11417861.37568642</v>
      </c>
      <c r="EI70" s="8">
        <f>+MINVU_Mes_Corriente!EI70*SALUD_Mes_Constante!$EC$1</f>
        <v>11935095.029539855</v>
      </c>
      <c r="EJ70" s="8">
        <f>+MINVU_Mes_Corriente!EJ70*SALUD_Mes_Constante!$EC$1</f>
        <v>11935095.029539855</v>
      </c>
      <c r="EK70" s="8">
        <f>+MINVU_Mes_Corriente!EK70*SALUD_Mes_Constante!$EC$1</f>
        <v>12234905.214353338</v>
      </c>
      <c r="EL70" s="8">
        <f>+MINVU_Mes_Corriente!EL70*SALUD_Mes_Constante!$EC$1</f>
        <v>11872844.139367539</v>
      </c>
      <c r="EM70" s="8">
        <f>+MINVU_Mes_Corriente!EM70*SALUD_Mes_Constante!$EC$1</f>
        <v>11743825.892823325</v>
      </c>
      <c r="EN70" s="8">
        <f>+MINVU_Mes_Corriente!EN70*SALUD_Mes_Constante!$EC$1</f>
        <v>9661728.7680363543</v>
      </c>
      <c r="EO70" s="9">
        <f t="shared" si="29"/>
        <v>9661728.7680363543</v>
      </c>
      <c r="EP70" s="8">
        <f>+MINVU_Mes_Corriente!EP70*SALUD_Mes_Constante!$EP$1</f>
        <v>0</v>
      </c>
      <c r="EQ70" s="8">
        <f>+MINVU_Mes_Corriente!EQ70*SALUD_Mes_Constante!$EP$1</f>
        <v>2815869</v>
      </c>
      <c r="ER70" s="8">
        <f>+MINVU_Mes_Corriente!ER70*SALUD_Mes_Constante!$EP$1</f>
        <v>2815869</v>
      </c>
      <c r="ES70" s="8">
        <f>+MINVU_Mes_Corriente!ES70*SALUD_Mes_Constante!$EP$1</f>
        <v>2815869</v>
      </c>
      <c r="ET70" s="8">
        <f>+MINVU_Mes_Corriente!ET70*SALUD_Mes_Constante!$EP$1</f>
        <v>2815869</v>
      </c>
      <c r="EU70" s="8">
        <f>+MINVU_Mes_Corriente!EU70*SALUD_Mes_Constante!$EP$1</f>
        <v>2977315</v>
      </c>
      <c r="EV70" s="8">
        <f>+MINVU_Mes_Corriente!EV70*SALUD_Mes_Constante!$EP$1</f>
        <v>2977315</v>
      </c>
      <c r="EW70" s="8">
        <f>+MINVU_Mes_Corriente!EW70*SALUD_Mes_Constante!$EP$1</f>
        <v>2977315</v>
      </c>
      <c r="EX70" s="8">
        <f>+MINVU_Mes_Corriente!EX70*SALUD_Mes_Constante!$EP$1</f>
        <v>2977315</v>
      </c>
      <c r="EY70" s="8">
        <f>+MINVU_Mes_Corriente!EY70*SALUD_Mes_Constante!$EP$1</f>
        <v>4477319</v>
      </c>
      <c r="EZ70" s="8">
        <f>+MINVU_Mes_Corriente!EZ70*SALUD_Mes_Constante!$EP$1</f>
        <v>2937319</v>
      </c>
      <c r="FA70" s="8">
        <f>+MINVU_Mes_Corriente!FA70*SALUD_Mes_Constante!$EP$1</f>
        <v>1981033</v>
      </c>
      <c r="FB70" s="9">
        <f t="shared" si="30"/>
        <v>1981033</v>
      </c>
      <c r="FC70" s="8">
        <f>+MINVU_Mes_Corriente!FC70*SALUD_Mes_Constante!$FC$1</f>
        <v>14023719</v>
      </c>
      <c r="FD70" s="8">
        <f>+MINVU_Mes_Corriente!FD70*SALUD_Mes_Constante!$FC$1</f>
        <v>14023719</v>
      </c>
      <c r="FE70" s="8">
        <f>+MINVU_Mes_Corriente!FE70*SALUD_Mes_Constante!$FC$1</f>
        <v>14023719</v>
      </c>
      <c r="FF70" s="8">
        <f>+MINVU_Mes_Corriente!FF70*SALUD_Mes_Constante!$FC$1</f>
        <v>14023719</v>
      </c>
      <c r="FG70" s="8">
        <f>+MINVU_Mes_Corriente!FG70*SALUD_Mes_Constante!$FC$1</f>
        <v>14023719</v>
      </c>
      <c r="FH70" s="8">
        <f>+MINVU_Mes_Corriente!FH70*SALUD_Mes_Constante!$FC$1</f>
        <v>14023719</v>
      </c>
      <c r="FI70" s="8">
        <f>+MINVU_Mes_Corriente!FI70*SALUD_Mes_Constante!$FC$1</f>
        <v>14023719</v>
      </c>
      <c r="FJ70" s="8"/>
      <c r="FK70" s="8"/>
      <c r="FL70" s="8"/>
      <c r="FM70" s="8"/>
      <c r="FN70" s="8"/>
      <c r="FO70" s="9">
        <f t="shared" si="31"/>
        <v>14023719</v>
      </c>
    </row>
    <row r="71" spans="2:171" ht="14.25" customHeight="1" x14ac:dyDescent="0.3">
      <c r="B71" s="35" t="s">
        <v>70</v>
      </c>
      <c r="C71" s="8">
        <f>+MINVU_Mes_Corriente!C71*SALUD_Mes_Constante!$C$1</f>
        <v>0</v>
      </c>
      <c r="D71" s="8">
        <f>+MINVU_Mes_Corriente!D71*SALUD_Mes_Constante!$C$1</f>
        <v>6991972.4170250641</v>
      </c>
      <c r="E71" s="8">
        <f>+MINVU_Mes_Corriente!E71*SALUD_Mes_Constante!$C$1</f>
        <v>46186582.289782003</v>
      </c>
      <c r="F71" s="8">
        <f>+MINVU_Mes_Corriente!F71*SALUD_Mes_Constante!$C$1</f>
        <v>46186582.289782003</v>
      </c>
      <c r="G71" s="8">
        <f>+MINVU_Mes_Corriente!G71*SALUD_Mes_Constante!$C$1</f>
        <v>46186582.289782003</v>
      </c>
      <c r="H71" s="8">
        <f>+MINVU_Mes_Corriente!H71*SALUD_Mes_Constante!$C$1</f>
        <v>46186582.289782003</v>
      </c>
      <c r="I71" s="8">
        <f>+MINVU_Mes_Corriente!I71*SALUD_Mes_Constante!$C$1</f>
        <v>46186582.289782003</v>
      </c>
      <c r="J71" s="8">
        <f>+MINVU_Mes_Corriente!J71*SALUD_Mes_Constante!$C$1</f>
        <v>46211616.651342139</v>
      </c>
      <c r="K71" s="8">
        <f>+MINVU_Mes_Corriente!K71*SALUD_Mes_Constante!$C$1</f>
        <v>43874050.559394933</v>
      </c>
      <c r="L71" s="8">
        <f>+MINVU_Mes_Corriente!L71*SALUD_Mes_Constante!$C$1</f>
        <v>43874050.559394933</v>
      </c>
      <c r="M71" s="8">
        <f>+MINVU_Mes_Corriente!M71*SALUD_Mes_Constante!$C$1</f>
        <v>33729782.121310994</v>
      </c>
      <c r="N71" s="8">
        <f>+MINVU_Mes_Corriente!N71*SALUD_Mes_Constante!$C$1</f>
        <v>34285297.034850962</v>
      </c>
      <c r="O71" s="9">
        <f t="shared" si="19"/>
        <v>34285297.034850962</v>
      </c>
      <c r="P71" s="8">
        <f>+MINVU_Mes_Corriente!P71*SALUD_Mes_Constante!$P$1</f>
        <v>0</v>
      </c>
      <c r="Q71" s="8">
        <f>+MINVU_Mes_Corriente!Q71*SALUD_Mes_Constante!$P$1</f>
        <v>70977102.771416366</v>
      </c>
      <c r="R71" s="8">
        <f>+MINVU_Mes_Corriente!R71*SALUD_Mes_Constante!$P$1</f>
        <v>73898526.422787294</v>
      </c>
      <c r="S71" s="8">
        <f>+MINVU_Mes_Corriente!S71*SALUD_Mes_Constante!$P$1</f>
        <v>74453815.265804768</v>
      </c>
      <c r="T71" s="8">
        <f>+MINVU_Mes_Corriente!T71*SALUD_Mes_Constante!$P$1</f>
        <v>74453815.265804768</v>
      </c>
      <c r="U71" s="8">
        <f>+MINVU_Mes_Corriente!U71*SALUD_Mes_Constante!$P$1</f>
        <v>78711135.279158935</v>
      </c>
      <c r="V71" s="8">
        <f>+MINVU_Mes_Corriente!V71*SALUD_Mes_Constante!$P$1</f>
        <v>80903020.643841431</v>
      </c>
      <c r="W71" s="8">
        <f>+MINVU_Mes_Corriente!W71*SALUD_Mes_Constante!$P$1</f>
        <v>80903020.643841431</v>
      </c>
      <c r="X71" s="8">
        <f>+MINVU_Mes_Corriente!X71*SALUD_Mes_Constante!$P$1</f>
        <v>80903020.643841431</v>
      </c>
      <c r="Y71" s="8">
        <f>+MINVU_Mes_Corriente!Y71*SALUD_Mes_Constante!$P$1</f>
        <v>80903020.643841431</v>
      </c>
      <c r="Z71" s="8">
        <f>+MINVU_Mes_Corriente!Z71*SALUD_Mes_Constante!$P$1</f>
        <v>55981947.756499484</v>
      </c>
      <c r="AA71" s="8">
        <f>+MINVU_Mes_Corriente!AA71*SALUD_Mes_Constante!$P$1</f>
        <v>56760833.875550486</v>
      </c>
      <c r="AB71" s="9">
        <f t="shared" si="20"/>
        <v>56760833.875550486</v>
      </c>
      <c r="AC71" s="8">
        <f>+MINVU_Mes_Corriente!AC71*SALUD_Mes_Constante!$AC$1</f>
        <v>0</v>
      </c>
      <c r="AD71" s="8">
        <f>+MINVU_Mes_Corriente!AD71*SALUD_Mes_Constante!$AC$1</f>
        <v>20456620.271960162</v>
      </c>
      <c r="AE71" s="8">
        <f>+MINVU_Mes_Corriente!AE71*SALUD_Mes_Constante!$AC$1</f>
        <v>20456620.271960162</v>
      </c>
      <c r="AF71" s="8">
        <f>+MINVU_Mes_Corriente!AF71*SALUD_Mes_Constante!$AC$1</f>
        <v>36599319.001244985</v>
      </c>
      <c r="AG71" s="8">
        <f>+MINVU_Mes_Corriente!AG71*SALUD_Mes_Constante!$AC$1</f>
        <v>64953848.77880758</v>
      </c>
      <c r="AH71" s="8">
        <f>+MINVU_Mes_Corriente!AH71*SALUD_Mes_Constante!$AC$1</f>
        <v>64975365.245262139</v>
      </c>
      <c r="AI71" s="8">
        <f>+MINVU_Mes_Corriente!AI71*SALUD_Mes_Constante!$AC$1</f>
        <v>65581526.243463829</v>
      </c>
      <c r="AJ71" s="8">
        <f>+MINVU_Mes_Corriente!AJ71*SALUD_Mes_Constante!$AC$1</f>
        <v>65581526.243463829</v>
      </c>
      <c r="AK71" s="8">
        <f>+MINVU_Mes_Corriente!AK71*SALUD_Mes_Constante!$AC$1</f>
        <v>65581526.243463829</v>
      </c>
      <c r="AL71" s="8">
        <f>+MINVU_Mes_Corriente!AL71*SALUD_Mes_Constante!$AC$1</f>
        <v>65581526.243463829</v>
      </c>
      <c r="AM71" s="8">
        <f>+MINVU_Mes_Corriente!AM71*SALUD_Mes_Constante!$AC$1</f>
        <v>62189158.163231425</v>
      </c>
      <c r="AN71" s="8">
        <f>+MINVU_Mes_Corriente!AN71*SALUD_Mes_Constante!$AC$1</f>
        <v>37075711.64504081</v>
      </c>
      <c r="AO71" s="9">
        <f t="shared" si="21"/>
        <v>37075711.64504081</v>
      </c>
      <c r="AP71" s="8">
        <f>+MINVU_Mes_Corriente!AP71*SALUD_Mes_Constante!$AP$1</f>
        <v>0</v>
      </c>
      <c r="AQ71" s="8">
        <f>+MINVU_Mes_Corriente!AQ71*SALUD_Mes_Constante!$AP$1</f>
        <v>0</v>
      </c>
      <c r="AR71" s="8">
        <f>+MINVU_Mes_Corriente!AR71*SALUD_Mes_Constante!$AP$1</f>
        <v>29793798.009738941</v>
      </c>
      <c r="AS71" s="8">
        <f>+MINVU_Mes_Corriente!AS71*SALUD_Mes_Constante!$AP$1</f>
        <v>29793798.009738941</v>
      </c>
      <c r="AT71" s="8">
        <f>+MINVU_Mes_Corriente!AT71*SALUD_Mes_Constante!$AP$1</f>
        <v>29793798.009738941</v>
      </c>
      <c r="AU71" s="8">
        <f>+MINVU_Mes_Corriente!AU71*SALUD_Mes_Constante!$AP$1</f>
        <v>29793798.009738941</v>
      </c>
      <c r="AV71" s="8">
        <f>+MINVU_Mes_Corriente!AV71*SALUD_Mes_Constante!$AP$1</f>
        <v>40503323.40186663</v>
      </c>
      <c r="AW71" s="8">
        <f>+MINVU_Mes_Corriente!AW71*SALUD_Mes_Constante!$AP$1</f>
        <v>39942316.97335317</v>
      </c>
      <c r="AX71" s="8">
        <f>+MINVU_Mes_Corriente!AX71*SALUD_Mes_Constante!$AP$1</f>
        <v>40899105.300689839</v>
      </c>
      <c r="AY71" s="8">
        <f>+MINVU_Mes_Corriente!AY71*SALUD_Mes_Constante!$AP$1</f>
        <v>40902529.559042335</v>
      </c>
      <c r="AZ71" s="8">
        <f>+MINVU_Mes_Corriente!AZ71*SALUD_Mes_Constante!$AP$1</f>
        <v>40902529.559042335</v>
      </c>
      <c r="BA71" s="8">
        <f>+MINVU_Mes_Corriente!BA71*SALUD_Mes_Constante!$AP$1</f>
        <v>35735969.540646553</v>
      </c>
      <c r="BB71" s="9">
        <f t="shared" si="22"/>
        <v>35735969.540646553</v>
      </c>
      <c r="BC71" s="8">
        <f>+MINVU_Mes_Corriente!BC71*SALUD_Mes_Constante!$BC$1</f>
        <v>0</v>
      </c>
      <c r="BD71" s="8">
        <f>+MINVU_Mes_Corriente!BD71*SALUD_Mes_Constante!$BC$1</f>
        <v>0</v>
      </c>
      <c r="BE71" s="8">
        <f>+MINVU_Mes_Corriente!BE71*SALUD_Mes_Constante!$BC$1</f>
        <v>2656450.209415799</v>
      </c>
      <c r="BF71" s="8">
        <f>+MINVU_Mes_Corriente!BF71*SALUD_Mes_Constante!$BC$1</f>
        <v>11145022.858235529</v>
      </c>
      <c r="BG71" s="8">
        <f>+MINVU_Mes_Corriente!BG71*SALUD_Mes_Constante!$BC$1</f>
        <v>11145022.858235529</v>
      </c>
      <c r="BH71" s="8">
        <f>+MINVU_Mes_Corriente!BH71*SALUD_Mes_Constante!$BC$1</f>
        <v>22355025.374653835</v>
      </c>
      <c r="BI71" s="8">
        <f>+MINVU_Mes_Corriente!BI71*SALUD_Mes_Constante!$BC$1</f>
        <v>22355025.374653835</v>
      </c>
      <c r="BJ71" s="8">
        <f>+MINVU_Mes_Corriente!BJ71*SALUD_Mes_Constante!$BC$1</f>
        <v>25088081.497560337</v>
      </c>
      <c r="BK71" s="8">
        <f>+MINVU_Mes_Corriente!BK71*SALUD_Mes_Constante!$BC$1</f>
        <v>25701301.986812614</v>
      </c>
      <c r="BL71" s="8">
        <f>+MINVU_Mes_Corriente!BL71*SALUD_Mes_Constante!$BC$1</f>
        <v>27178445.892390881</v>
      </c>
      <c r="BM71" s="8">
        <f>+MINVU_Mes_Corriente!BM71*SALUD_Mes_Constante!$BC$1</f>
        <v>27178445.892390881</v>
      </c>
      <c r="BN71" s="8">
        <f>+MINVU_Mes_Corriente!BN71*SALUD_Mes_Constante!$BC$1</f>
        <v>19010255.896347098</v>
      </c>
      <c r="BO71" s="9">
        <f t="shared" si="23"/>
        <v>19010255.896347098</v>
      </c>
      <c r="BP71" s="8">
        <f>+MINVU_Mes_Corriente!BP71*SALUD_Mes_Constante!$BP$1</f>
        <v>0</v>
      </c>
      <c r="BQ71" s="8">
        <f>+MINVU_Mes_Corriente!BQ71*SALUD_Mes_Constante!$BP$1</f>
        <v>0</v>
      </c>
      <c r="BR71" s="8">
        <f>+MINVU_Mes_Corriente!BR71*SALUD_Mes_Constante!$BP$1</f>
        <v>25156810.02330346</v>
      </c>
      <c r="BS71" s="8">
        <f>+MINVU_Mes_Corriente!BS71*SALUD_Mes_Constante!$BP$1</f>
        <v>25979452.485787455</v>
      </c>
      <c r="BT71" s="8">
        <f>+MINVU_Mes_Corriente!BT71*SALUD_Mes_Constante!$BP$1</f>
        <v>25979452.485787455</v>
      </c>
      <c r="BU71" s="8">
        <f>+MINVU_Mes_Corriente!BU71*SALUD_Mes_Constante!$BP$1</f>
        <v>26329196.403841231</v>
      </c>
      <c r="BV71" s="8">
        <f>+MINVU_Mes_Corriente!BV71*SALUD_Mes_Constante!$BP$1</f>
        <v>35244462.659923181</v>
      </c>
      <c r="BW71" s="8">
        <f>+MINVU_Mes_Corriente!BW71*SALUD_Mes_Constante!$BP$1</f>
        <v>35244462.659923181</v>
      </c>
      <c r="BX71" s="8">
        <f>+MINVU_Mes_Corriente!BX71*SALUD_Mes_Constante!$BP$1</f>
        <v>22639668.070678618</v>
      </c>
      <c r="BY71" s="8">
        <f>+MINVU_Mes_Corriente!BY71*SALUD_Mes_Constante!$BP$1</f>
        <v>22639668.070678618</v>
      </c>
      <c r="BZ71" s="8">
        <f>+MINVU_Mes_Corriente!BZ71*SALUD_Mes_Constante!$BP$1</f>
        <v>22639668.070678618</v>
      </c>
      <c r="CA71" s="8">
        <f>+MINVU_Mes_Corriente!CA71*SALUD_Mes_Constante!$BP$1</f>
        <v>19648104.089116521</v>
      </c>
      <c r="CB71" s="9">
        <f t="shared" si="24"/>
        <v>19648104.089116521</v>
      </c>
      <c r="CC71" s="8">
        <f>+MINVU_Mes_Corriente!CC71*SALUD_Mes_Constante!$CC$1</f>
        <v>0</v>
      </c>
      <c r="CD71" s="8">
        <f>+MINVU_Mes_Corriente!CD71*SALUD_Mes_Constante!$CC$1</f>
        <v>1439762.3409175682</v>
      </c>
      <c r="CE71" s="8">
        <f>+MINVU_Mes_Corriente!CE71*SALUD_Mes_Constante!$CC$1</f>
        <v>52908003.715031706</v>
      </c>
      <c r="CF71" s="8">
        <f>+MINVU_Mes_Corriente!CF71*SALUD_Mes_Constante!$CC$1</f>
        <v>53279463.262961589</v>
      </c>
      <c r="CG71" s="8">
        <f>+MINVU_Mes_Corriente!CG71*SALUD_Mes_Constante!$CC$1</f>
        <v>53279463.262961589</v>
      </c>
      <c r="CH71" s="8">
        <f>+MINVU_Mes_Corriente!CH71*SALUD_Mes_Constante!$CC$1</f>
        <v>53279463.262961589</v>
      </c>
      <c r="CI71" s="8">
        <f>+MINVU_Mes_Corriente!CI71*SALUD_Mes_Constante!$CC$1</f>
        <v>24243208.690787021</v>
      </c>
      <c r="CJ71" s="8">
        <f>+MINVU_Mes_Corriente!CJ71*SALUD_Mes_Constante!$CC$1</f>
        <v>23477292.422976505</v>
      </c>
      <c r="CK71" s="8">
        <f>+MINVU_Mes_Corriente!CK71*SALUD_Mes_Constante!$CC$1</f>
        <v>23477292.422976505</v>
      </c>
      <c r="CL71" s="8">
        <f>+MINVU_Mes_Corriente!CL71*SALUD_Mes_Constante!$CC$1</f>
        <v>23567725.687430065</v>
      </c>
      <c r="CM71" s="8">
        <f>+MINVU_Mes_Corriente!CM71*SALUD_Mes_Constante!$CC$1</f>
        <v>23066175.692651998</v>
      </c>
      <c r="CN71" s="8">
        <f>+MINVU_Mes_Corriente!CN71*SALUD_Mes_Constante!$CC$1</f>
        <v>6676990.9436777327</v>
      </c>
      <c r="CO71" s="9">
        <f t="shared" si="25"/>
        <v>6676990.9436777327</v>
      </c>
      <c r="CP71" s="8">
        <f>+MINVU_Mes_Corriente!CP71*SALUD_Mes_Constante!$CP$1</f>
        <v>0</v>
      </c>
      <c r="CQ71" s="8">
        <f>+MINVU_Mes_Corriente!CQ71*SALUD_Mes_Constante!$CP$1</f>
        <v>26293678.841067281</v>
      </c>
      <c r="CR71" s="8">
        <f>+MINVU_Mes_Corriente!CR71*SALUD_Mes_Constante!$CP$1</f>
        <v>29164750.252204169</v>
      </c>
      <c r="CS71" s="8">
        <f>+MINVU_Mes_Corriente!CS71*SALUD_Mes_Constante!$CP$1</f>
        <v>29164750.252204169</v>
      </c>
      <c r="CT71" s="8">
        <f>+MINVU_Mes_Corriente!CT71*SALUD_Mes_Constante!$CP$1</f>
        <v>29164750.252204169</v>
      </c>
      <c r="CU71" s="8">
        <f>+MINVU_Mes_Corriente!CU71*SALUD_Mes_Constante!$CP$1</f>
        <v>21790539.348723892</v>
      </c>
      <c r="CV71" s="8">
        <f>+MINVU_Mes_Corriente!CV71*SALUD_Mes_Constante!$CP$1</f>
        <v>19764706.846635725</v>
      </c>
      <c r="CW71" s="8">
        <f>+MINVU_Mes_Corriente!CW71*SALUD_Mes_Constante!$CP$1</f>
        <v>19764706.846635725</v>
      </c>
      <c r="CX71" s="8">
        <f>+MINVU_Mes_Corriente!CX71*SALUD_Mes_Constante!$CP$1</f>
        <v>19764706.846635725</v>
      </c>
      <c r="CY71" s="8">
        <f>+MINVU_Mes_Corriente!CY71*SALUD_Mes_Constante!$CP$1</f>
        <v>12759223.092807421</v>
      </c>
      <c r="CZ71" s="8">
        <f>+MINVU_Mes_Corriente!CZ71*SALUD_Mes_Constante!$CP$1</f>
        <v>12759223.092807421</v>
      </c>
      <c r="DA71" s="8">
        <f>+MINVU_Mes_Corriente!DA71*SALUD_Mes_Constante!$CP$1</f>
        <v>4459701.6709976792</v>
      </c>
      <c r="DB71" s="9">
        <f t="shared" si="26"/>
        <v>4459701.6709976792</v>
      </c>
      <c r="DC71" s="8">
        <f>+MINVU_Mes_Corriente!DC71*SALUD_Mes_Constante!$DC$1</f>
        <v>0</v>
      </c>
      <c r="DD71" s="8">
        <f>+MINVU_Mes_Corriente!DD71*SALUD_Mes_Constante!$DC$1</f>
        <v>15526234.889620418</v>
      </c>
      <c r="DE71" s="8">
        <f>+MINVU_Mes_Corriente!DE71*SALUD_Mes_Constante!$DC$1</f>
        <v>15526234.889620418</v>
      </c>
      <c r="DF71" s="8">
        <f>+MINVU_Mes_Corriente!DF71*SALUD_Mes_Constante!$DC$1</f>
        <v>15526234.889620418</v>
      </c>
      <c r="DG71" s="8">
        <f>+MINVU_Mes_Corriente!DG71*SALUD_Mes_Constante!$DC$1</f>
        <v>15526234.889620418</v>
      </c>
      <c r="DH71" s="8">
        <f>+MINVU_Mes_Corriente!DH71*SALUD_Mes_Constante!$DC$1</f>
        <v>15526234.889620418</v>
      </c>
      <c r="DI71" s="8">
        <f>+MINVU_Mes_Corriente!DI71*SALUD_Mes_Constante!$DC$1</f>
        <v>13169876.250385769</v>
      </c>
      <c r="DJ71" s="8">
        <f>+MINVU_Mes_Corriente!DJ71*SALUD_Mes_Constante!$DC$1</f>
        <v>9648648.2073860765</v>
      </c>
      <c r="DK71" s="8">
        <f>+MINVU_Mes_Corriente!DK71*SALUD_Mes_Constante!$DC$1</f>
        <v>10012502.777492031</v>
      </c>
      <c r="DL71" s="8">
        <f>+MINVU_Mes_Corriente!DL71*SALUD_Mes_Constante!$DC$1</f>
        <v>10998466.096492136</v>
      </c>
      <c r="DM71" s="8">
        <f>+MINVU_Mes_Corriente!DM71*SALUD_Mes_Constante!$DC$1</f>
        <v>10998467.220450576</v>
      </c>
      <c r="DN71" s="8">
        <f>+MINVU_Mes_Corriente!DN71*SALUD_Mes_Constante!$DC$1</f>
        <v>3870668.97006481</v>
      </c>
      <c r="DO71" s="9">
        <f t="shared" si="27"/>
        <v>3870668.97006481</v>
      </c>
      <c r="DP71" s="8">
        <f>+MINVU_Mes_Corriente!DP71*SALUD_Mes_Constante!$DP$1</f>
        <v>0</v>
      </c>
      <c r="DQ71" s="8">
        <f>+MINVU_Mes_Corriente!DQ71*SALUD_Mes_Constante!$DP$1</f>
        <v>18763800.270783849</v>
      </c>
      <c r="DR71" s="8">
        <f>+MINVU_Mes_Corriente!DR71*SALUD_Mes_Constante!$DP$1</f>
        <v>18763800.270783849</v>
      </c>
      <c r="DS71" s="8">
        <f>+MINVU_Mes_Corriente!DS71*SALUD_Mes_Constante!$DP$1</f>
        <v>18763800.270783849</v>
      </c>
      <c r="DT71" s="8">
        <f>+MINVU_Mes_Corriente!DT71*SALUD_Mes_Constante!$DP$1</f>
        <v>18763800.270783849</v>
      </c>
      <c r="DU71" s="8">
        <f>+MINVU_Mes_Corriente!DU71*SALUD_Mes_Constante!$DP$1</f>
        <v>18763800.270783849</v>
      </c>
      <c r="DV71" s="8">
        <f>+MINVU_Mes_Corriente!DV71*SALUD_Mes_Constante!$DP$1</f>
        <v>18763800.270783849</v>
      </c>
      <c r="DW71" s="8">
        <f>+MINVU_Mes_Corriente!DW71*SALUD_Mes_Constante!$DP$1</f>
        <v>18791330.460213777</v>
      </c>
      <c r="DX71" s="8">
        <f>+MINVU_Mes_Corriente!DX71*SALUD_Mes_Constante!$DP$1</f>
        <v>18791330.460213777</v>
      </c>
      <c r="DY71" s="8">
        <f>+MINVU_Mes_Corriente!DY71*SALUD_Mes_Constante!$DP$1</f>
        <v>18791330.460213777</v>
      </c>
      <c r="DZ71" s="8">
        <f>+MINVU_Mes_Corriente!DZ71*SALUD_Mes_Constante!$DP$1</f>
        <v>13047506.091448933</v>
      </c>
      <c r="EA71" s="8">
        <f>+MINVU_Mes_Corriente!EA71*SALUD_Mes_Constante!$DP$1</f>
        <v>8153018.1823040387</v>
      </c>
      <c r="EB71" s="9">
        <f t="shared" si="28"/>
        <v>8153018.1823040387</v>
      </c>
      <c r="EC71" s="8">
        <f>+MINVU_Mes_Corriente!EC71*SALUD_Mes_Constante!$EC$1</f>
        <v>0</v>
      </c>
      <c r="ED71" s="8">
        <f>+MINVU_Mes_Corriente!ED71*SALUD_Mes_Constante!$EC$1</f>
        <v>31751077.032190863</v>
      </c>
      <c r="EE71" s="8">
        <f>+MINVU_Mes_Corriente!EE71*SALUD_Mes_Constante!$EC$1</f>
        <v>31751077.032190863</v>
      </c>
      <c r="EF71" s="8">
        <f>+MINVU_Mes_Corriente!EF71*SALUD_Mes_Constante!$EC$1</f>
        <v>31751077.032190863</v>
      </c>
      <c r="EG71" s="8">
        <f>+MINVU_Mes_Corriente!EG71*SALUD_Mes_Constante!$EC$1</f>
        <v>31751077.032190863</v>
      </c>
      <c r="EH71" s="8">
        <f>+MINVU_Mes_Corriente!EH71*SALUD_Mes_Constante!$EC$1</f>
        <v>31751077.032190863</v>
      </c>
      <c r="EI71" s="8">
        <f>+MINVU_Mes_Corriente!EI71*SALUD_Mes_Constante!$EC$1</f>
        <v>17983399.463359207</v>
      </c>
      <c r="EJ71" s="8">
        <f>+MINVU_Mes_Corriente!EJ71*SALUD_Mes_Constante!$EC$1</f>
        <v>17983399.463359207</v>
      </c>
      <c r="EK71" s="8">
        <f>+MINVU_Mes_Corriente!EK71*SALUD_Mes_Constante!$EC$1</f>
        <v>17989607.276841503</v>
      </c>
      <c r="EL71" s="8">
        <f>+MINVU_Mes_Corriente!EL71*SALUD_Mes_Constante!$EC$1</f>
        <v>16347580.094679033</v>
      </c>
      <c r="EM71" s="8">
        <f>+MINVU_Mes_Corriente!EM71*SALUD_Mes_Constante!$EC$1</f>
        <v>11381198.966483617</v>
      </c>
      <c r="EN71" s="8">
        <f>+MINVU_Mes_Corriente!EN71*SALUD_Mes_Constante!$EC$1</f>
        <v>10141444.511645518</v>
      </c>
      <c r="EO71" s="9">
        <f t="shared" si="29"/>
        <v>10141444.511645518</v>
      </c>
      <c r="EP71" s="8">
        <f>+MINVU_Mes_Corriente!EP71*SALUD_Mes_Constante!$EP$1</f>
        <v>0</v>
      </c>
      <c r="EQ71" s="8">
        <f>+MINVU_Mes_Corriente!EQ71*SALUD_Mes_Constante!$EP$1</f>
        <v>18942984</v>
      </c>
      <c r="ER71" s="8">
        <f>+MINVU_Mes_Corriente!ER71*SALUD_Mes_Constante!$EP$1</f>
        <v>19721457</v>
      </c>
      <c r="ES71" s="8">
        <f>+MINVU_Mes_Corriente!ES71*SALUD_Mes_Constante!$EP$1</f>
        <v>19721457</v>
      </c>
      <c r="ET71" s="8">
        <f>+MINVU_Mes_Corriente!ET71*SALUD_Mes_Constante!$EP$1</f>
        <v>19721457</v>
      </c>
      <c r="EU71" s="8">
        <f>+MINVU_Mes_Corriente!EU71*SALUD_Mes_Constante!$EP$1</f>
        <v>19721457</v>
      </c>
      <c r="EV71" s="8">
        <f>+MINVU_Mes_Corriente!EV71*SALUD_Mes_Constante!$EP$1</f>
        <v>19721457</v>
      </c>
      <c r="EW71" s="8">
        <f>+MINVU_Mes_Corriente!EW71*SALUD_Mes_Constante!$EP$1</f>
        <v>19721457</v>
      </c>
      <c r="EX71" s="8">
        <f>+MINVU_Mes_Corriente!EX71*SALUD_Mes_Constante!$EP$1</f>
        <v>14381115</v>
      </c>
      <c r="EY71" s="8">
        <f>+MINVU_Mes_Corriente!EY71*SALUD_Mes_Constante!$EP$1</f>
        <v>14381115</v>
      </c>
      <c r="EZ71" s="8">
        <f>+MINVU_Mes_Corriente!EZ71*SALUD_Mes_Constante!$EP$1</f>
        <v>14381115</v>
      </c>
      <c r="FA71" s="8">
        <f>+MINVU_Mes_Corriente!FA71*SALUD_Mes_Constante!$EP$1</f>
        <v>14321035</v>
      </c>
      <c r="FB71" s="9">
        <f t="shared" si="30"/>
        <v>14321035</v>
      </c>
      <c r="FC71" s="8">
        <f>+MINVU_Mes_Corriente!FC71*SALUD_Mes_Constante!$FC$1</f>
        <v>11724655</v>
      </c>
      <c r="FD71" s="8">
        <f>+MINVU_Mes_Corriente!FD71*SALUD_Mes_Constante!$FC$1</f>
        <v>11724655</v>
      </c>
      <c r="FE71" s="8">
        <f>+MINVU_Mes_Corriente!FE71*SALUD_Mes_Constante!$FC$1</f>
        <v>11724655</v>
      </c>
      <c r="FF71" s="8">
        <f>+MINVU_Mes_Corriente!FF71*SALUD_Mes_Constante!$FC$1</f>
        <v>11724655</v>
      </c>
      <c r="FG71" s="8">
        <f>+MINVU_Mes_Corriente!FG71*SALUD_Mes_Constante!$FC$1</f>
        <v>11724655</v>
      </c>
      <c r="FH71" s="8">
        <f>+MINVU_Mes_Corriente!FH71*SALUD_Mes_Constante!$FC$1</f>
        <v>11724655</v>
      </c>
      <c r="FI71" s="8">
        <f>+MINVU_Mes_Corriente!FI71*SALUD_Mes_Constante!$FC$1</f>
        <v>11724655</v>
      </c>
      <c r="FJ71" s="8"/>
      <c r="FK71" s="8"/>
      <c r="FL71" s="8"/>
      <c r="FM71" s="8"/>
      <c r="FN71" s="8"/>
      <c r="FO71" s="9">
        <f t="shared" si="31"/>
        <v>11724655</v>
      </c>
    </row>
    <row r="72" spans="2:171" ht="14.25" customHeight="1" x14ac:dyDescent="0.3">
      <c r="B72" s="35" t="s">
        <v>71</v>
      </c>
      <c r="C72" s="8">
        <f>+MINVU_Mes_Corriente!C72*SALUD_Mes_Constante!$C$1</f>
        <v>0</v>
      </c>
      <c r="D72" s="8">
        <f>+MINVU_Mes_Corriente!D72*SALUD_Mes_Constante!$C$1</f>
        <v>2384437.8703841022</v>
      </c>
      <c r="E72" s="8">
        <f>+MINVU_Mes_Corriente!E72*SALUD_Mes_Constante!$C$1</f>
        <v>2476766.864303723</v>
      </c>
      <c r="F72" s="8">
        <f>+MINVU_Mes_Corriente!F72*SALUD_Mes_Constante!$C$1</f>
        <v>2476766.864303723</v>
      </c>
      <c r="G72" s="8">
        <f>+MINVU_Mes_Corriente!G72*SALUD_Mes_Constante!$C$1</f>
        <v>2476766.864303723</v>
      </c>
      <c r="H72" s="8">
        <f>+MINVU_Mes_Corriente!H72*SALUD_Mes_Constante!$C$1</f>
        <v>2476766.864303723</v>
      </c>
      <c r="I72" s="8">
        <f>+MINVU_Mes_Corriente!I72*SALUD_Mes_Constante!$C$1</f>
        <v>2476766.864303723</v>
      </c>
      <c r="J72" s="8">
        <f>+MINVU_Mes_Corriente!J72*SALUD_Mes_Constante!$C$1</f>
        <v>2793897.9436452622</v>
      </c>
      <c r="K72" s="8">
        <f>+MINVU_Mes_Corriente!K72*SALUD_Mes_Constante!$C$1</f>
        <v>2793897.9436452622</v>
      </c>
      <c r="L72" s="8">
        <f>+MINVU_Mes_Corriente!L72*SALUD_Mes_Constante!$C$1</f>
        <v>2793897.9436452622</v>
      </c>
      <c r="M72" s="8">
        <f>+MINVU_Mes_Corriente!M72*SALUD_Mes_Constante!$C$1</f>
        <v>3356581.2724306695</v>
      </c>
      <c r="N72" s="8">
        <f>+MINVU_Mes_Corriente!N72*SALUD_Mes_Constante!$C$1</f>
        <v>3356581.2724306695</v>
      </c>
      <c r="O72" s="9">
        <f t="shared" si="19"/>
        <v>3356581.2724306695</v>
      </c>
      <c r="P72" s="8">
        <f>+MINVU_Mes_Corriente!P72*SALUD_Mes_Constante!$P$1</f>
        <v>0</v>
      </c>
      <c r="Q72" s="8">
        <f>+MINVU_Mes_Corriente!Q72*SALUD_Mes_Constante!$P$1</f>
        <v>1015514.1906520809</v>
      </c>
      <c r="R72" s="8">
        <f>+MINVU_Mes_Corriente!R72*SALUD_Mes_Constante!$P$1</f>
        <v>2331678.870294075</v>
      </c>
      <c r="S72" s="8">
        <f>+MINVU_Mes_Corriente!S72*SALUD_Mes_Constante!$P$1</f>
        <v>2432232.5293365526</v>
      </c>
      <c r="T72" s="8">
        <f>+MINVU_Mes_Corriente!T72*SALUD_Mes_Constante!$P$1</f>
        <v>2432232.5293365526</v>
      </c>
      <c r="U72" s="8">
        <f>+MINVU_Mes_Corriente!U72*SALUD_Mes_Constante!$P$1</f>
        <v>5497161.018326465</v>
      </c>
      <c r="V72" s="8">
        <f>+MINVU_Mes_Corriente!V72*SALUD_Mes_Constante!$P$1</f>
        <v>6716637.0396363093</v>
      </c>
      <c r="W72" s="8">
        <f>+MINVU_Mes_Corriente!W72*SALUD_Mes_Constante!$P$1</f>
        <v>6716637.0396363093</v>
      </c>
      <c r="X72" s="8">
        <f>+MINVU_Mes_Corriente!X72*SALUD_Mes_Constante!$P$1</f>
        <v>6716637.0396363093</v>
      </c>
      <c r="Y72" s="8">
        <f>+MINVU_Mes_Corriente!Y72*SALUD_Mes_Constante!$P$1</f>
        <v>6434929.7107543657</v>
      </c>
      <c r="Z72" s="8">
        <f>+MINVU_Mes_Corriente!Z72*SALUD_Mes_Constante!$P$1</f>
        <v>7042080.9649097854</v>
      </c>
      <c r="AA72" s="8">
        <f>+MINVU_Mes_Corriente!AA72*SALUD_Mes_Constante!$P$1</f>
        <v>6076439.253303024</v>
      </c>
      <c r="AB72" s="9">
        <f t="shared" si="20"/>
        <v>6076439.253303024</v>
      </c>
      <c r="AC72" s="8">
        <f>+MINVU_Mes_Corriente!AC72*SALUD_Mes_Constante!$AC$1</f>
        <v>0</v>
      </c>
      <c r="AD72" s="8">
        <f>+MINVU_Mes_Corriente!AD72*SALUD_Mes_Constante!$AC$1</f>
        <v>4491660.6141928341</v>
      </c>
      <c r="AE72" s="8">
        <f>+MINVU_Mes_Corriente!AE72*SALUD_Mes_Constante!$AC$1</f>
        <v>5039272.5201272648</v>
      </c>
      <c r="AF72" s="8">
        <f>+MINVU_Mes_Corriente!AF72*SALUD_Mes_Constante!$AC$1</f>
        <v>5619825.6585973166</v>
      </c>
      <c r="AG72" s="8">
        <f>+MINVU_Mes_Corriente!AG72*SALUD_Mes_Constante!$AC$1</f>
        <v>16317647.733573109</v>
      </c>
      <c r="AH72" s="8">
        <f>+MINVU_Mes_Corriente!AH72*SALUD_Mes_Constante!$AC$1</f>
        <v>16317647.733573109</v>
      </c>
      <c r="AI72" s="8">
        <f>+MINVU_Mes_Corriente!AI72*SALUD_Mes_Constante!$AC$1</f>
        <v>16986101.592474755</v>
      </c>
      <c r="AJ72" s="8">
        <f>+MINVU_Mes_Corriente!AJ72*SALUD_Mes_Constante!$AC$1</f>
        <v>16986101.592474755</v>
      </c>
      <c r="AK72" s="8">
        <f>+MINVU_Mes_Corriente!AK72*SALUD_Mes_Constante!$AC$1</f>
        <v>16986101.592474755</v>
      </c>
      <c r="AL72" s="8">
        <f>+MINVU_Mes_Corriente!AL72*SALUD_Mes_Constante!$AC$1</f>
        <v>16986101.592474755</v>
      </c>
      <c r="AM72" s="8">
        <f>+MINVU_Mes_Corriente!AM72*SALUD_Mes_Constante!$AC$1</f>
        <v>17223213.475999445</v>
      </c>
      <c r="AN72" s="8">
        <f>+MINVU_Mes_Corriente!AN72*SALUD_Mes_Constante!$AC$1</f>
        <v>8006669.2281090049</v>
      </c>
      <c r="AO72" s="9">
        <f t="shared" si="21"/>
        <v>8006669.2281090049</v>
      </c>
      <c r="AP72" s="8">
        <f>+MINVU_Mes_Corriente!AP72*SALUD_Mes_Constante!$AP$1</f>
        <v>0</v>
      </c>
      <c r="AQ72" s="8">
        <f>+MINVU_Mes_Corriente!AQ72*SALUD_Mes_Constante!$AP$1</f>
        <v>8214133.6953875283</v>
      </c>
      <c r="AR72" s="8">
        <f>+MINVU_Mes_Corriente!AR72*SALUD_Mes_Constante!$AP$1</f>
        <v>8214133.6953875283</v>
      </c>
      <c r="AS72" s="8">
        <f>+MINVU_Mes_Corriente!AS72*SALUD_Mes_Constante!$AP$1</f>
        <v>8214133.6953875283</v>
      </c>
      <c r="AT72" s="8">
        <f>+MINVU_Mes_Corriente!AT72*SALUD_Mes_Constante!$AP$1</f>
        <v>8214133.6953875283</v>
      </c>
      <c r="AU72" s="8">
        <f>+MINVU_Mes_Corriente!AU72*SALUD_Mes_Constante!$AP$1</f>
        <v>7019883.3226024611</v>
      </c>
      <c r="AV72" s="8">
        <f>+MINVU_Mes_Corriente!AV72*SALUD_Mes_Constante!$AP$1</f>
        <v>7019883.3226024611</v>
      </c>
      <c r="AW72" s="8">
        <f>+MINVU_Mes_Corriente!AW72*SALUD_Mes_Constante!$AP$1</f>
        <v>7049783.8815095359</v>
      </c>
      <c r="AX72" s="8">
        <f>+MINVU_Mes_Corriente!AX72*SALUD_Mes_Constante!$AP$1</f>
        <v>5898482.309752468</v>
      </c>
      <c r="AY72" s="8">
        <f>+MINVU_Mes_Corriente!AY72*SALUD_Mes_Constante!$AP$1</f>
        <v>5898482.309752468</v>
      </c>
      <c r="AZ72" s="8">
        <f>+MINVU_Mes_Corriente!AZ72*SALUD_Mes_Constante!$AP$1</f>
        <v>5898482.309752468</v>
      </c>
      <c r="BA72" s="8">
        <f>+MINVU_Mes_Corriente!BA72*SALUD_Mes_Constante!$AP$1</f>
        <v>5178530.8827269031</v>
      </c>
      <c r="BB72" s="9">
        <f t="shared" si="22"/>
        <v>5178530.8827269031</v>
      </c>
      <c r="BC72" s="8">
        <f>+MINVU_Mes_Corriente!BC72*SALUD_Mes_Constante!$BC$1</f>
        <v>0</v>
      </c>
      <c r="BD72" s="8">
        <f>+MINVU_Mes_Corriente!BD72*SALUD_Mes_Constante!$BC$1</f>
        <v>0</v>
      </c>
      <c r="BE72" s="8">
        <f>+MINVU_Mes_Corriente!BE72*SALUD_Mes_Constante!$BC$1</f>
        <v>12145912.466569962</v>
      </c>
      <c r="BF72" s="8">
        <f>+MINVU_Mes_Corriente!BF72*SALUD_Mes_Constante!$BC$1</f>
        <v>12191822.414875383</v>
      </c>
      <c r="BG72" s="8">
        <f>+MINVU_Mes_Corriente!BG72*SALUD_Mes_Constante!$BC$1</f>
        <v>12191822.414875383</v>
      </c>
      <c r="BH72" s="8">
        <f>+MINVU_Mes_Corriente!BH72*SALUD_Mes_Constante!$BC$1</f>
        <v>12191822.414875383</v>
      </c>
      <c r="BI72" s="8">
        <f>+MINVU_Mes_Corriente!BI72*SALUD_Mes_Constante!$BC$1</f>
        <v>12191822.414875383</v>
      </c>
      <c r="BJ72" s="8">
        <f>+MINVU_Mes_Corriente!BJ72*SALUD_Mes_Constante!$BC$1</f>
        <v>12787919.788737969</v>
      </c>
      <c r="BK72" s="8">
        <f>+MINVU_Mes_Corriente!BK72*SALUD_Mes_Constante!$BC$1</f>
        <v>7271994.3196624042</v>
      </c>
      <c r="BL72" s="8">
        <f>+MINVU_Mes_Corriente!BL72*SALUD_Mes_Constante!$BC$1</f>
        <v>7271994.3196624042</v>
      </c>
      <c r="BM72" s="8">
        <f>+MINVU_Mes_Corriente!BM72*SALUD_Mes_Constante!$BC$1</f>
        <v>7271994.3196624042</v>
      </c>
      <c r="BN72" s="8">
        <f>+MINVU_Mes_Corriente!BN72*SALUD_Mes_Constante!$BC$1</f>
        <v>4945019.9960437836</v>
      </c>
      <c r="BO72" s="9">
        <f t="shared" si="23"/>
        <v>4945019.9960437836</v>
      </c>
      <c r="BP72" s="8">
        <f>+MINVU_Mes_Corriente!BP72*SALUD_Mes_Constante!$BP$1</f>
        <v>0</v>
      </c>
      <c r="BQ72" s="8">
        <f>+MINVU_Mes_Corriente!BQ72*SALUD_Mes_Constante!$BP$1</f>
        <v>0</v>
      </c>
      <c r="BR72" s="8">
        <f>+MINVU_Mes_Corriente!BR72*SALUD_Mes_Constante!$BP$1</f>
        <v>5630440.6002560826</v>
      </c>
      <c r="BS72" s="8">
        <f>+MINVU_Mes_Corriente!BS72*SALUD_Mes_Constante!$BP$1</f>
        <v>5630440.6002560826</v>
      </c>
      <c r="BT72" s="8">
        <f>+MINVU_Mes_Corriente!BT72*SALUD_Mes_Constante!$BP$1</f>
        <v>5630440.6002560826</v>
      </c>
      <c r="BU72" s="8">
        <f>+MINVU_Mes_Corriente!BU72*SALUD_Mes_Constante!$BP$1</f>
        <v>5630440.6002560826</v>
      </c>
      <c r="BV72" s="8">
        <f>+MINVU_Mes_Corriente!BV72*SALUD_Mes_Constante!$BP$1</f>
        <v>8719567.7462227922</v>
      </c>
      <c r="BW72" s="8">
        <f>+MINVU_Mes_Corriente!BW72*SALUD_Mes_Constante!$BP$1</f>
        <v>8719571.9431498088</v>
      </c>
      <c r="BX72" s="8">
        <f>+MINVU_Mes_Corriente!BX72*SALUD_Mes_Constante!$BP$1</f>
        <v>8719577.5390524976</v>
      </c>
      <c r="BY72" s="8">
        <f>+MINVU_Mes_Corriente!BY72*SALUD_Mes_Constante!$BP$1</f>
        <v>8719577.5390524976</v>
      </c>
      <c r="BZ72" s="8">
        <f>+MINVU_Mes_Corriente!BZ72*SALUD_Mes_Constante!$BP$1</f>
        <v>8719577.5390524976</v>
      </c>
      <c r="CA72" s="8">
        <f>+MINVU_Mes_Corriente!CA72*SALUD_Mes_Constante!$BP$1</f>
        <v>12073508.396158772</v>
      </c>
      <c r="CB72" s="9">
        <f t="shared" si="24"/>
        <v>12073508.396158772</v>
      </c>
      <c r="CC72" s="8">
        <f>+MINVU_Mes_Corriente!CC72*SALUD_Mes_Constante!$CC$1</f>
        <v>0</v>
      </c>
      <c r="CD72" s="8">
        <f>+MINVU_Mes_Corriente!CD72*SALUD_Mes_Constante!$CC$1</f>
        <v>0</v>
      </c>
      <c r="CE72" s="8">
        <f>+MINVU_Mes_Corriente!CE72*SALUD_Mes_Constante!$CC$1</f>
        <v>7436182.892204402</v>
      </c>
      <c r="CF72" s="8">
        <f>+MINVU_Mes_Corriente!CF72*SALUD_Mes_Constante!$CC$1</f>
        <v>7459618.8429690422</v>
      </c>
      <c r="CG72" s="8">
        <f>+MINVU_Mes_Corriente!CG72*SALUD_Mes_Constante!$CC$1</f>
        <v>7459618.8429690422</v>
      </c>
      <c r="CH72" s="8">
        <f>+MINVU_Mes_Corriente!CH72*SALUD_Mes_Constante!$CC$1</f>
        <v>7459618.8429690422</v>
      </c>
      <c r="CI72" s="8">
        <f>+MINVU_Mes_Corriente!CI72*SALUD_Mes_Constante!$CC$1</f>
        <v>7459618.8429690422</v>
      </c>
      <c r="CJ72" s="8">
        <f>+MINVU_Mes_Corriente!CJ72*SALUD_Mes_Constante!$CC$1</f>
        <v>7459618.8429690422</v>
      </c>
      <c r="CK72" s="8">
        <f>+MINVU_Mes_Corriente!CK72*SALUD_Mes_Constante!$CC$1</f>
        <v>7459618.8429690422</v>
      </c>
      <c r="CL72" s="8">
        <f>+MINVU_Mes_Corriente!CL72*SALUD_Mes_Constante!$CC$1</f>
        <v>7445645.8433420369</v>
      </c>
      <c r="CM72" s="8">
        <f>+MINVU_Mes_Corriente!CM72*SALUD_Mes_Constante!$CC$1</f>
        <v>5556474.8302872069</v>
      </c>
      <c r="CN72" s="8">
        <f>+MINVU_Mes_Corriente!CN72*SALUD_Mes_Constante!$CC$1</f>
        <v>4032359.6396866846</v>
      </c>
      <c r="CO72" s="9">
        <f t="shared" si="25"/>
        <v>4032359.6396866846</v>
      </c>
      <c r="CP72" s="8">
        <f>+MINVU_Mes_Corriente!CP72*SALUD_Mes_Constante!$CP$1</f>
        <v>0</v>
      </c>
      <c r="CQ72" s="8">
        <f>+MINVU_Mes_Corriente!CQ72*SALUD_Mes_Constante!$CP$1</f>
        <v>3804386.3018561476</v>
      </c>
      <c r="CR72" s="8">
        <f>+MINVU_Mes_Corriente!CR72*SALUD_Mes_Constante!$CP$1</f>
        <v>3950275.0197215769</v>
      </c>
      <c r="CS72" s="8">
        <f>+MINVU_Mes_Corriente!CS72*SALUD_Mes_Constante!$CP$1</f>
        <v>3950275.0197215769</v>
      </c>
      <c r="CT72" s="8">
        <f>+MINVU_Mes_Corriente!CT72*SALUD_Mes_Constante!$CP$1</f>
        <v>4054655.0777262175</v>
      </c>
      <c r="CU72" s="8">
        <f>+MINVU_Mes_Corriente!CU72*SALUD_Mes_Constante!$CP$1</f>
        <v>4054655.0777262175</v>
      </c>
      <c r="CV72" s="8">
        <f>+MINVU_Mes_Corriente!CV72*SALUD_Mes_Constante!$CP$1</f>
        <v>4054655.0777262175</v>
      </c>
      <c r="CW72" s="8">
        <f>+MINVU_Mes_Corriente!CW72*SALUD_Mes_Constante!$CP$1</f>
        <v>4054655.0777262175</v>
      </c>
      <c r="CX72" s="8">
        <f>+MINVU_Mes_Corriente!CX72*SALUD_Mes_Constante!$CP$1</f>
        <v>4054655.0777262175</v>
      </c>
      <c r="CY72" s="8">
        <f>+MINVU_Mes_Corriente!CY72*SALUD_Mes_Constante!$CP$1</f>
        <v>673040.33248259849</v>
      </c>
      <c r="CZ72" s="8">
        <f>+MINVU_Mes_Corriente!CZ72*SALUD_Mes_Constante!$CP$1</f>
        <v>673040.33248259849</v>
      </c>
      <c r="DA72" s="8">
        <f>+MINVU_Mes_Corriente!DA72*SALUD_Mes_Constante!$CP$1</f>
        <v>673040.33248259849</v>
      </c>
      <c r="DB72" s="9">
        <f t="shared" si="26"/>
        <v>673040.33248259849</v>
      </c>
      <c r="DC72" s="8">
        <f>+MINVU_Mes_Corriente!DC72*SALUD_Mes_Constante!$DC$1</f>
        <v>0</v>
      </c>
      <c r="DD72" s="8">
        <f>+MINVU_Mes_Corriente!DD72*SALUD_Mes_Constante!$DC$1</f>
        <v>873788.89476391359</v>
      </c>
      <c r="DE72" s="8">
        <f>+MINVU_Mes_Corriente!DE72*SALUD_Mes_Constante!$DC$1</f>
        <v>873788.89476391359</v>
      </c>
      <c r="DF72" s="8">
        <f>+MINVU_Mes_Corriente!DF72*SALUD_Mes_Constante!$DC$1</f>
        <v>873788.89476391359</v>
      </c>
      <c r="DG72" s="8">
        <f>+MINVU_Mes_Corriente!DG72*SALUD_Mes_Constante!$DC$1</f>
        <v>873788.89476391359</v>
      </c>
      <c r="DH72" s="8">
        <f>+MINVU_Mes_Corriente!DH72*SALUD_Mes_Constante!$DC$1</f>
        <v>873788.89476391359</v>
      </c>
      <c r="DI72" s="8">
        <f>+MINVU_Mes_Corriente!DI72*SALUD_Mes_Constante!$DC$1</f>
        <v>1082885.6271988484</v>
      </c>
      <c r="DJ72" s="8">
        <f>+MINVU_Mes_Corriente!DJ72*SALUD_Mes_Constante!$DC$1</f>
        <v>1082885.6271988484</v>
      </c>
      <c r="DK72" s="8">
        <f>+MINVU_Mes_Corriente!DK72*SALUD_Mes_Constante!$DC$1</f>
        <v>1082885.6271988484</v>
      </c>
      <c r="DL72" s="8">
        <f>+MINVU_Mes_Corriente!DL72*SALUD_Mes_Constante!$DC$1</f>
        <v>1082885.6271988484</v>
      </c>
      <c r="DM72" s="8">
        <f>+MINVU_Mes_Corriente!DM72*SALUD_Mes_Constante!$DC$1</f>
        <v>1082885.6271988484</v>
      </c>
      <c r="DN72" s="8">
        <f>+MINVU_Mes_Corriente!DN72*SALUD_Mes_Constante!$DC$1</f>
        <v>354592.02859788103</v>
      </c>
      <c r="DO72" s="9">
        <f t="shared" si="27"/>
        <v>354592.02859788103</v>
      </c>
      <c r="DP72" s="8">
        <f>+MINVU_Mes_Corriente!DP72*SALUD_Mes_Constante!$DP$1</f>
        <v>0</v>
      </c>
      <c r="DQ72" s="8">
        <f>+MINVU_Mes_Corriente!DQ72*SALUD_Mes_Constante!$DP$1</f>
        <v>2683743.0855106893</v>
      </c>
      <c r="DR72" s="8">
        <f>+MINVU_Mes_Corriente!DR72*SALUD_Mes_Constante!$DP$1</f>
        <v>2683743.0855106893</v>
      </c>
      <c r="DS72" s="8">
        <f>+MINVU_Mes_Corriente!DS72*SALUD_Mes_Constante!$DP$1</f>
        <v>2683743.0855106893</v>
      </c>
      <c r="DT72" s="8">
        <f>+MINVU_Mes_Corriente!DT72*SALUD_Mes_Constante!$DP$1</f>
        <v>2683743.0855106893</v>
      </c>
      <c r="DU72" s="8">
        <f>+MINVU_Mes_Corriente!DU72*SALUD_Mes_Constante!$DP$1</f>
        <v>2683743.0855106893</v>
      </c>
      <c r="DV72" s="8">
        <f>+MINVU_Mes_Corriente!DV72*SALUD_Mes_Constante!$DP$1</f>
        <v>2683743.0855106893</v>
      </c>
      <c r="DW72" s="8">
        <f>+MINVU_Mes_Corriente!DW72*SALUD_Mes_Constante!$DP$1</f>
        <v>2683743.0855106893</v>
      </c>
      <c r="DX72" s="8">
        <f>+MINVU_Mes_Corriente!DX72*SALUD_Mes_Constante!$DP$1</f>
        <v>2683743.0855106893</v>
      </c>
      <c r="DY72" s="8">
        <f>+MINVU_Mes_Corriente!DY72*SALUD_Mes_Constante!$DP$1</f>
        <v>5335776.5486935871</v>
      </c>
      <c r="DZ72" s="8">
        <f>+MINVU_Mes_Corriente!DZ72*SALUD_Mes_Constante!$DP$1</f>
        <v>5335776.5486935871</v>
      </c>
      <c r="EA72" s="8">
        <f>+MINVU_Mes_Corriente!EA72*SALUD_Mes_Constante!$DP$1</f>
        <v>683169.12826603337</v>
      </c>
      <c r="EB72" s="9">
        <f t="shared" si="28"/>
        <v>683169.12826603337</v>
      </c>
      <c r="EC72" s="8">
        <f>+MINVU_Mes_Corriente!EC72*SALUD_Mes_Constante!$EC$1</f>
        <v>0</v>
      </c>
      <c r="ED72" s="8">
        <f>+MINVU_Mes_Corriente!ED72*SALUD_Mes_Constante!$EC$1</f>
        <v>31449753.427759886</v>
      </c>
      <c r="EE72" s="8">
        <f>+MINVU_Mes_Corriente!EE72*SALUD_Mes_Constante!$EC$1</f>
        <v>33988997.413179308</v>
      </c>
      <c r="EF72" s="8">
        <f>+MINVU_Mes_Corriente!EF72*SALUD_Mes_Constante!$EC$1</f>
        <v>33988997.413179308</v>
      </c>
      <c r="EG72" s="8">
        <f>+MINVU_Mes_Corriente!EG72*SALUD_Mes_Constante!$EC$1</f>
        <v>33988997.413179308</v>
      </c>
      <c r="EH72" s="8">
        <f>+MINVU_Mes_Corriente!EH72*SALUD_Mes_Constante!$EC$1</f>
        <v>33989018.102442712</v>
      </c>
      <c r="EI72" s="8">
        <f>+MINVU_Mes_Corriente!EI72*SALUD_Mes_Constante!$EC$1</f>
        <v>33989018.102442712</v>
      </c>
      <c r="EJ72" s="8">
        <f>+MINVU_Mes_Corriente!EJ72*SALUD_Mes_Constante!$EC$1</f>
        <v>33989018.102442712</v>
      </c>
      <c r="EK72" s="8">
        <f>+MINVU_Mes_Corriente!EK72*SALUD_Mes_Constante!$EC$1</f>
        <v>28104655.391781852</v>
      </c>
      <c r="EL72" s="8">
        <f>+MINVU_Mes_Corriente!EL72*SALUD_Mes_Constante!$EC$1</f>
        <v>2636157.6674872176</v>
      </c>
      <c r="EM72" s="8">
        <f>+MINVU_Mes_Corriente!EM72*SALUD_Mes_Constante!$EC$1</f>
        <v>3125928.3931073649</v>
      </c>
      <c r="EN72" s="8">
        <f>+MINVU_Mes_Corriente!EN72*SALUD_Mes_Constante!$EC$1</f>
        <v>2901321.6118159429</v>
      </c>
      <c r="EO72" s="9">
        <f t="shared" si="29"/>
        <v>2901321.6118159429</v>
      </c>
      <c r="EP72" s="8">
        <f>+MINVU_Mes_Corriente!EP72*SALUD_Mes_Constante!$EP$1</f>
        <v>0</v>
      </c>
      <c r="EQ72" s="8">
        <f>+MINVU_Mes_Corriente!EQ72*SALUD_Mes_Constante!$EP$1</f>
        <v>8758583</v>
      </c>
      <c r="ER72" s="8">
        <f>+MINVU_Mes_Corriente!ER72*SALUD_Mes_Constante!$EP$1</f>
        <v>8758583</v>
      </c>
      <c r="ES72" s="8">
        <f>+MINVU_Mes_Corriente!ES72*SALUD_Mes_Constante!$EP$1</f>
        <v>8758583</v>
      </c>
      <c r="ET72" s="8">
        <f>+MINVU_Mes_Corriente!ET72*SALUD_Mes_Constante!$EP$1</f>
        <v>12758583</v>
      </c>
      <c r="EU72" s="8">
        <f>+MINVU_Mes_Corriente!EU72*SALUD_Mes_Constante!$EP$1</f>
        <v>12758583</v>
      </c>
      <c r="EV72" s="8">
        <f>+MINVU_Mes_Corriente!EV72*SALUD_Mes_Constante!$EP$1</f>
        <v>12758583</v>
      </c>
      <c r="EW72" s="8">
        <f>+MINVU_Mes_Corriente!EW72*SALUD_Mes_Constante!$EP$1</f>
        <v>12758583</v>
      </c>
      <c r="EX72" s="8">
        <f>+MINVU_Mes_Corriente!EX72*SALUD_Mes_Constante!$EP$1</f>
        <v>12312224</v>
      </c>
      <c r="EY72" s="8">
        <f>+MINVU_Mes_Corriente!EY72*SALUD_Mes_Constante!$EP$1</f>
        <v>12312224</v>
      </c>
      <c r="EZ72" s="8">
        <f>+MINVU_Mes_Corriente!EZ72*SALUD_Mes_Constante!$EP$1</f>
        <v>10100964</v>
      </c>
      <c r="FA72" s="8">
        <f>+MINVU_Mes_Corriente!FA72*SALUD_Mes_Constante!$EP$1</f>
        <v>8741969</v>
      </c>
      <c r="FB72" s="9">
        <f t="shared" si="30"/>
        <v>8741969</v>
      </c>
      <c r="FC72" s="8">
        <f>+MINVU_Mes_Corriente!FC72*SALUD_Mes_Constante!$FC$1</f>
        <v>24126484</v>
      </c>
      <c r="FD72" s="8">
        <f>+MINVU_Mes_Corriente!FD72*SALUD_Mes_Constante!$FC$1</f>
        <v>24126484</v>
      </c>
      <c r="FE72" s="8">
        <f>+MINVU_Mes_Corriente!FE72*SALUD_Mes_Constante!$FC$1</f>
        <v>24126484</v>
      </c>
      <c r="FF72" s="8">
        <f>+MINVU_Mes_Corriente!FF72*SALUD_Mes_Constante!$FC$1</f>
        <v>24126484</v>
      </c>
      <c r="FG72" s="8">
        <f>+MINVU_Mes_Corriente!FG72*SALUD_Mes_Constante!$FC$1</f>
        <v>24126484</v>
      </c>
      <c r="FH72" s="8">
        <f>+MINVU_Mes_Corriente!FH72*SALUD_Mes_Constante!$FC$1</f>
        <v>24126484</v>
      </c>
      <c r="FI72" s="8">
        <f>+MINVU_Mes_Corriente!FI72*SALUD_Mes_Constante!$FC$1</f>
        <v>24126484</v>
      </c>
      <c r="FJ72" s="8"/>
      <c r="FK72" s="8"/>
      <c r="FL72" s="8"/>
      <c r="FM72" s="8"/>
      <c r="FN72" s="8"/>
      <c r="FO72" s="9">
        <f t="shared" si="31"/>
        <v>24126484</v>
      </c>
    </row>
    <row r="73" spans="2:171" ht="14.25" customHeight="1" x14ac:dyDescent="0.3">
      <c r="B73" s="35" t="s">
        <v>72</v>
      </c>
      <c r="C73" s="8">
        <f>+MINVU_Mes_Corriente!C73*SALUD_Mes_Constante!$C$1</f>
        <v>0</v>
      </c>
      <c r="D73" s="8">
        <f>+MINVU_Mes_Corriente!D73*SALUD_Mes_Constante!$C$1</f>
        <v>0</v>
      </c>
      <c r="E73" s="8">
        <f>+MINVU_Mes_Corriente!E73*SALUD_Mes_Constante!$C$1</f>
        <v>966112.47041376261</v>
      </c>
      <c r="F73" s="8">
        <f>+MINVU_Mes_Corriente!F73*SALUD_Mes_Constante!$C$1</f>
        <v>966112.47041376261</v>
      </c>
      <c r="G73" s="8">
        <f>+MINVU_Mes_Corriente!G73*SALUD_Mes_Constante!$C$1</f>
        <v>966112.47041376261</v>
      </c>
      <c r="H73" s="8">
        <f>+MINVU_Mes_Corriente!H73*SALUD_Mes_Constante!$C$1</f>
        <v>966112.47041376261</v>
      </c>
      <c r="I73" s="8">
        <f>+MINVU_Mes_Corriente!I73*SALUD_Mes_Constante!$C$1</f>
        <v>966112.47041376261</v>
      </c>
      <c r="J73" s="8">
        <f>+MINVU_Mes_Corriente!J73*SALUD_Mes_Constante!$C$1</f>
        <v>1015881.4293341244</v>
      </c>
      <c r="K73" s="8">
        <f>+MINVU_Mes_Corriente!K73*SALUD_Mes_Constante!$C$1</f>
        <v>1015881.4293341244</v>
      </c>
      <c r="L73" s="8">
        <f>+MINVU_Mes_Corriente!L73*SALUD_Mes_Constante!$C$1</f>
        <v>1015881.4293341244</v>
      </c>
      <c r="M73" s="8">
        <f>+MINVU_Mes_Corriente!M73*SALUD_Mes_Constante!$C$1</f>
        <v>1278815.1413317516</v>
      </c>
      <c r="N73" s="8">
        <f>+MINVU_Mes_Corriente!N73*SALUD_Mes_Constante!$C$1</f>
        <v>1278815.1413317516</v>
      </c>
      <c r="O73" s="9">
        <f t="shared" si="19"/>
        <v>1278815.1413317516</v>
      </c>
      <c r="P73" s="8">
        <f>+MINVU_Mes_Corriente!P73*SALUD_Mes_Constante!$P$1</f>
        <v>0</v>
      </c>
      <c r="Q73" s="8">
        <f>+MINVU_Mes_Corriente!Q73*SALUD_Mes_Constante!$P$1</f>
        <v>0</v>
      </c>
      <c r="R73" s="8">
        <f>+MINVU_Mes_Corriente!R73*SALUD_Mes_Constante!$P$1</f>
        <v>1196214.6154283273</v>
      </c>
      <c r="S73" s="8">
        <f>+MINVU_Mes_Corriente!S73*SALUD_Mes_Constante!$P$1</f>
        <v>1425873.2680778515</v>
      </c>
      <c r="T73" s="8">
        <f>+MINVU_Mes_Corriente!T73*SALUD_Mes_Constante!$P$1</f>
        <v>2119945.1285693981</v>
      </c>
      <c r="U73" s="8">
        <f>+MINVU_Mes_Corriente!U73*SALUD_Mes_Constante!$P$1</f>
        <v>5845079.379457307</v>
      </c>
      <c r="V73" s="8">
        <f>+MINVU_Mes_Corriente!V73*SALUD_Mes_Constante!$P$1</f>
        <v>6422192.28271061</v>
      </c>
      <c r="W73" s="8">
        <f>+MINVU_Mes_Corriente!W73*SALUD_Mes_Constante!$P$1</f>
        <v>9367311.9585168306</v>
      </c>
      <c r="X73" s="8">
        <f>+MINVU_Mes_Corriente!X73*SALUD_Mes_Constante!$P$1</f>
        <v>9367311.9585168306</v>
      </c>
      <c r="Y73" s="8">
        <f>+MINVU_Mes_Corriente!Y73*SALUD_Mes_Constante!$P$1</f>
        <v>9367311.9585168306</v>
      </c>
      <c r="Z73" s="8">
        <f>+MINVU_Mes_Corriente!Z73*SALUD_Mes_Constante!$P$1</f>
        <v>9491611.3126864582</v>
      </c>
      <c r="AA73" s="8">
        <f>+MINVU_Mes_Corriente!AA73*SALUD_Mes_Constante!$P$1</f>
        <v>14675227.640858071</v>
      </c>
      <c r="AB73" s="9">
        <f t="shared" si="20"/>
        <v>14675227.640858071</v>
      </c>
      <c r="AC73" s="8">
        <f>+MINVU_Mes_Corriente!AC73*SALUD_Mes_Constante!$AC$1</f>
        <v>0</v>
      </c>
      <c r="AD73" s="8">
        <f>+MINVU_Mes_Corriente!AD73*SALUD_Mes_Constante!$AC$1</f>
        <v>18239861.981740214</v>
      </c>
      <c r="AE73" s="8">
        <f>+MINVU_Mes_Corriente!AE73*SALUD_Mes_Constante!$AC$1</f>
        <v>22399138.833863605</v>
      </c>
      <c r="AF73" s="8">
        <f>+MINVU_Mes_Corriente!AF73*SALUD_Mes_Constante!$AC$1</f>
        <v>22399138.833863605</v>
      </c>
      <c r="AG73" s="8">
        <f>+MINVU_Mes_Corriente!AG73*SALUD_Mes_Constante!$AC$1</f>
        <v>31180091.014801495</v>
      </c>
      <c r="AH73" s="8">
        <f>+MINVU_Mes_Corriente!AH73*SALUD_Mes_Constante!$AC$1</f>
        <v>31180091.014801495</v>
      </c>
      <c r="AI73" s="8">
        <f>+MINVU_Mes_Corriente!AI73*SALUD_Mes_Constante!$AC$1</f>
        <v>31180091.014801495</v>
      </c>
      <c r="AJ73" s="8">
        <f>+MINVU_Mes_Corriente!AJ73*SALUD_Mes_Constante!$AC$1</f>
        <v>31180091.014801495</v>
      </c>
      <c r="AK73" s="8">
        <f>+MINVU_Mes_Corriente!AK73*SALUD_Mes_Constante!$AC$1</f>
        <v>31180091.014801495</v>
      </c>
      <c r="AL73" s="8">
        <f>+MINVU_Mes_Corriente!AL73*SALUD_Mes_Constante!$AC$1</f>
        <v>31180091.014801495</v>
      </c>
      <c r="AM73" s="8">
        <f>+MINVU_Mes_Corriente!AM73*SALUD_Mes_Constante!$AC$1</f>
        <v>29216087.726103194</v>
      </c>
      <c r="AN73" s="8">
        <f>+MINVU_Mes_Corriente!AN73*SALUD_Mes_Constante!$AC$1</f>
        <v>14023422.002489971</v>
      </c>
      <c r="AO73" s="9">
        <f t="shared" si="21"/>
        <v>14023422.002489971</v>
      </c>
      <c r="AP73" s="8">
        <f>+MINVU_Mes_Corriente!AP73*SALUD_Mes_Constante!$AP$1</f>
        <v>0</v>
      </c>
      <c r="AQ73" s="8">
        <f>+MINVU_Mes_Corriente!AQ73*SALUD_Mes_Constante!$AP$1</f>
        <v>18990398.87298796</v>
      </c>
      <c r="AR73" s="8">
        <f>+MINVU_Mes_Corriente!AR73*SALUD_Mes_Constante!$AP$1</f>
        <v>20268619.686460163</v>
      </c>
      <c r="AS73" s="8">
        <f>+MINVU_Mes_Corriente!AS73*SALUD_Mes_Constante!$AP$1</f>
        <v>20410344.374949276</v>
      </c>
      <c r="AT73" s="8">
        <f>+MINVU_Mes_Corriente!AT73*SALUD_Mes_Constante!$AP$1</f>
        <v>24538446.691464897</v>
      </c>
      <c r="AU73" s="8">
        <f>+MINVU_Mes_Corriente!AU73*SALUD_Mes_Constante!$AP$1</f>
        <v>24616079.963478964</v>
      </c>
      <c r="AV73" s="8">
        <f>+MINVU_Mes_Corriente!AV73*SALUD_Mes_Constante!$AP$1</f>
        <v>25094153.426213983</v>
      </c>
      <c r="AW73" s="8">
        <f>+MINVU_Mes_Corriente!AW73*SALUD_Mes_Constante!$AP$1</f>
        <v>25664361.163533069</v>
      </c>
      <c r="AX73" s="8">
        <f>+MINVU_Mes_Corriente!AX73*SALUD_Mes_Constante!$AP$1</f>
        <v>25664361.163533069</v>
      </c>
      <c r="AY73" s="8">
        <f>+MINVU_Mes_Corriente!AY73*SALUD_Mes_Constante!$AP$1</f>
        <v>25773932.997159474</v>
      </c>
      <c r="AZ73" s="8">
        <f>+MINVU_Mes_Corriente!AZ73*SALUD_Mes_Constante!$AP$1</f>
        <v>25773932.997159474</v>
      </c>
      <c r="BA73" s="8">
        <f>+MINVU_Mes_Corriente!BA73*SALUD_Mes_Constante!$AP$1</f>
        <v>25694196.695522789</v>
      </c>
      <c r="BB73" s="9">
        <f t="shared" si="22"/>
        <v>25694196.695522789</v>
      </c>
      <c r="BC73" s="8">
        <f>+MINVU_Mes_Corriente!BC73*SALUD_Mes_Constante!$BC$1</f>
        <v>0</v>
      </c>
      <c r="BD73" s="8">
        <f>+MINVU_Mes_Corriente!BD73*SALUD_Mes_Constante!$BC$1</f>
        <v>0</v>
      </c>
      <c r="BE73" s="8">
        <f>+MINVU_Mes_Corriente!BE73*SALUD_Mes_Constante!$BC$1</f>
        <v>14063091.908743246</v>
      </c>
      <c r="BF73" s="8">
        <f>+MINVU_Mes_Corriente!BF73*SALUD_Mes_Constante!$BC$1</f>
        <v>20947239.884214696</v>
      </c>
      <c r="BG73" s="8">
        <f>+MINVU_Mes_Corriente!BG73*SALUD_Mes_Constante!$BC$1</f>
        <v>20947239.884214696</v>
      </c>
      <c r="BH73" s="8">
        <f>+MINVU_Mes_Corriente!BH73*SALUD_Mes_Constante!$BC$1</f>
        <v>29872901.522088889</v>
      </c>
      <c r="BI73" s="8">
        <f>+MINVU_Mes_Corriente!BI73*SALUD_Mes_Constante!$BC$1</f>
        <v>29872901.522088889</v>
      </c>
      <c r="BJ73" s="8">
        <f>+MINVU_Mes_Corriente!BJ73*SALUD_Mes_Constante!$BC$1</f>
        <v>30121559.876566011</v>
      </c>
      <c r="BK73" s="8">
        <f>+MINVU_Mes_Corriente!BK73*SALUD_Mes_Constante!$BC$1</f>
        <v>16119750.393248059</v>
      </c>
      <c r="BL73" s="8">
        <f>+MINVU_Mes_Corriente!BL73*SALUD_Mes_Constante!$BC$1</f>
        <v>16119750.393248059</v>
      </c>
      <c r="BM73" s="8">
        <f>+MINVU_Mes_Corriente!BM73*SALUD_Mes_Constante!$BC$1</f>
        <v>16119750.393248059</v>
      </c>
      <c r="BN73" s="8">
        <f>+MINVU_Mes_Corriente!BN73*SALUD_Mes_Constante!$BC$1</f>
        <v>4128136.1579849673</v>
      </c>
      <c r="BO73" s="9">
        <f t="shared" si="23"/>
        <v>4128136.1579849673</v>
      </c>
      <c r="BP73" s="8">
        <f>+MINVU_Mes_Corriente!BP73*SALUD_Mes_Constante!$BP$1</f>
        <v>0</v>
      </c>
      <c r="BQ73" s="8">
        <f>+MINVU_Mes_Corriente!BQ73*SALUD_Mes_Constante!$BP$1</f>
        <v>0</v>
      </c>
      <c r="BR73" s="8">
        <f>+MINVU_Mes_Corriente!BR73*SALUD_Mes_Constante!$BP$1</f>
        <v>0</v>
      </c>
      <c r="BS73" s="8">
        <f>+MINVU_Mes_Corriente!BS73*SALUD_Mes_Constante!$BP$1</f>
        <v>26427453.460179262</v>
      </c>
      <c r="BT73" s="8">
        <f>+MINVU_Mes_Corriente!BT73*SALUD_Mes_Constante!$BP$1</f>
        <v>26427453.460179262</v>
      </c>
      <c r="BU73" s="8">
        <f>+MINVU_Mes_Corriente!BU73*SALUD_Mes_Constante!$BP$1</f>
        <v>18202878.281177979</v>
      </c>
      <c r="BV73" s="8">
        <f>+MINVU_Mes_Corriente!BV73*SALUD_Mes_Constante!$BP$1</f>
        <v>18202878.281177979</v>
      </c>
      <c r="BW73" s="8">
        <f>+MINVU_Mes_Corriente!BW73*SALUD_Mes_Constante!$BP$1</f>
        <v>19534475.088092193</v>
      </c>
      <c r="BX73" s="8">
        <f>+MINVU_Mes_Corriente!BX73*SALUD_Mes_Constante!$BP$1</f>
        <v>19534475.088092193</v>
      </c>
      <c r="BY73" s="8">
        <f>+MINVU_Mes_Corriente!BY73*SALUD_Mes_Constante!$BP$1</f>
        <v>19534475.088092193</v>
      </c>
      <c r="BZ73" s="8">
        <f>+MINVU_Mes_Corriente!BZ73*SALUD_Mes_Constante!$BP$1</f>
        <v>19534475.088092193</v>
      </c>
      <c r="CA73" s="8">
        <f>+MINVU_Mes_Corriente!CA73*SALUD_Mes_Constante!$BP$1</f>
        <v>18394831.733162615</v>
      </c>
      <c r="CB73" s="9">
        <f t="shared" si="24"/>
        <v>18394831.733162615</v>
      </c>
      <c r="CC73" s="8">
        <f>+MINVU_Mes_Corriente!CC73*SALUD_Mes_Constante!$CC$1</f>
        <v>0</v>
      </c>
      <c r="CD73" s="8">
        <f>+MINVU_Mes_Corriente!CD73*SALUD_Mes_Constante!$CC$1</f>
        <v>0</v>
      </c>
      <c r="CE73" s="8">
        <f>+MINVU_Mes_Corriente!CE73*SALUD_Mes_Constante!$CC$1</f>
        <v>70000306.381947041</v>
      </c>
      <c r="CF73" s="8">
        <f>+MINVU_Mes_Corriente!CF73*SALUD_Mes_Constante!$CC$1</f>
        <v>70000306.381947041</v>
      </c>
      <c r="CG73" s="8">
        <f>+MINVU_Mes_Corriente!CG73*SALUD_Mes_Constante!$CC$1</f>
        <v>68429417.098097727</v>
      </c>
      <c r="CH73" s="8">
        <f>+MINVU_Mes_Corriente!CH73*SALUD_Mes_Constante!$CC$1</f>
        <v>66924045.777694896</v>
      </c>
      <c r="CI73" s="8">
        <f>+MINVU_Mes_Corriente!CI73*SALUD_Mes_Constante!$CC$1</f>
        <v>66924045.777694896</v>
      </c>
      <c r="CJ73" s="8">
        <f>+MINVU_Mes_Corriente!CJ73*SALUD_Mes_Constante!$CC$1</f>
        <v>51356157.160014927</v>
      </c>
      <c r="CK73" s="8">
        <f>+MINVU_Mes_Corriente!CK73*SALUD_Mes_Constante!$CC$1</f>
        <v>49607179.374114141</v>
      </c>
      <c r="CL73" s="8">
        <f>+MINVU_Mes_Corriente!CL73*SALUD_Mes_Constante!$CC$1</f>
        <v>39325283.579261474</v>
      </c>
      <c r="CM73" s="8">
        <f>+MINVU_Mes_Corriente!CM73*SALUD_Mes_Constante!$CC$1</f>
        <v>39325283.579261474</v>
      </c>
      <c r="CN73" s="8">
        <f>+MINVU_Mes_Corriente!CN73*SALUD_Mes_Constante!$CC$1</f>
        <v>33488863.790376727</v>
      </c>
      <c r="CO73" s="9">
        <f t="shared" si="25"/>
        <v>33488863.790376727</v>
      </c>
      <c r="CP73" s="8">
        <f>+MINVU_Mes_Corriente!CP73*SALUD_Mes_Constante!$CP$1</f>
        <v>0</v>
      </c>
      <c r="CQ73" s="8">
        <f>+MINVU_Mes_Corriente!CQ73*SALUD_Mes_Constante!$CP$1</f>
        <v>57202572.330626436</v>
      </c>
      <c r="CR73" s="8">
        <f>+MINVU_Mes_Corriente!CR73*SALUD_Mes_Constante!$CP$1</f>
        <v>57202572.330626436</v>
      </c>
      <c r="CS73" s="8">
        <f>+MINVU_Mes_Corriente!CS73*SALUD_Mes_Constante!$CP$1</f>
        <v>57202572.330626436</v>
      </c>
      <c r="CT73" s="8">
        <f>+MINVU_Mes_Corriente!CT73*SALUD_Mes_Constante!$CP$1</f>
        <v>57202572.330626436</v>
      </c>
      <c r="CU73" s="8">
        <f>+MINVU_Mes_Corriente!CU73*SALUD_Mes_Constante!$CP$1</f>
        <v>57311501.508584678</v>
      </c>
      <c r="CV73" s="8">
        <f>+MINVU_Mes_Corriente!CV73*SALUD_Mes_Constante!$CP$1</f>
        <v>55368991.797911823</v>
      </c>
      <c r="CW73" s="8">
        <f>+MINVU_Mes_Corriente!CW73*SALUD_Mes_Constante!$CP$1</f>
        <v>53463676.117865421</v>
      </c>
      <c r="CX73" s="8">
        <f>+MINVU_Mes_Corriente!CX73*SALUD_Mes_Constante!$CP$1</f>
        <v>53463676.117865421</v>
      </c>
      <c r="CY73" s="8">
        <f>+MINVU_Mes_Corriente!CY73*SALUD_Mes_Constante!$CP$1</f>
        <v>53518519.060788855</v>
      </c>
      <c r="CZ73" s="8">
        <f>+MINVU_Mes_Corriente!CZ73*SALUD_Mes_Constante!$CP$1</f>
        <v>53518519.060788855</v>
      </c>
      <c r="DA73" s="8">
        <f>+MINVU_Mes_Corriente!DA73*SALUD_Mes_Constante!$CP$1</f>
        <v>36479429.665893264</v>
      </c>
      <c r="DB73" s="9">
        <f t="shared" si="26"/>
        <v>36479429.665893264</v>
      </c>
      <c r="DC73" s="8">
        <f>+MINVU_Mes_Corriente!DC73*SALUD_Mes_Constante!$DC$1</f>
        <v>0</v>
      </c>
      <c r="DD73" s="8">
        <f>+MINVU_Mes_Corriente!DD73*SALUD_Mes_Constante!$DC$1</f>
        <v>54641825.16675242</v>
      </c>
      <c r="DE73" s="8">
        <f>+MINVU_Mes_Corriente!DE73*SALUD_Mes_Constante!$DC$1</f>
        <v>54641825.16675242</v>
      </c>
      <c r="DF73" s="8">
        <f>+MINVU_Mes_Corriente!DF73*SALUD_Mes_Constante!$DC$1</f>
        <v>54641825.16675242</v>
      </c>
      <c r="DG73" s="8">
        <f>+MINVU_Mes_Corriente!DG73*SALUD_Mes_Constante!$DC$1</f>
        <v>54641825.16675242</v>
      </c>
      <c r="DH73" s="8">
        <f>+MINVU_Mes_Corriente!DH73*SALUD_Mes_Constante!$DC$1</f>
        <v>54881755.451085307</v>
      </c>
      <c r="DI73" s="8">
        <f>+MINVU_Mes_Corriente!DI73*SALUD_Mes_Constante!$DC$1</f>
        <v>54881755.451085307</v>
      </c>
      <c r="DJ73" s="8">
        <f>+MINVU_Mes_Corriente!DJ73*SALUD_Mes_Constante!$DC$1</f>
        <v>54881755.451085307</v>
      </c>
      <c r="DK73" s="8">
        <f>+MINVU_Mes_Corriente!DK73*SALUD_Mes_Constante!$DC$1</f>
        <v>37580115.808867417</v>
      </c>
      <c r="DL73" s="8">
        <f>+MINVU_Mes_Corriente!DL73*SALUD_Mes_Constante!$DC$1</f>
        <v>37610835.840962879</v>
      </c>
      <c r="DM73" s="8">
        <f>+MINVU_Mes_Corriente!DM73*SALUD_Mes_Constante!$DC$1</f>
        <v>37610835.840962879</v>
      </c>
      <c r="DN73" s="8">
        <f>+MINVU_Mes_Corriente!DN73*SALUD_Mes_Constante!$DC$1</f>
        <v>29032619.801255029</v>
      </c>
      <c r="DO73" s="9">
        <f t="shared" si="27"/>
        <v>29032619.801255029</v>
      </c>
      <c r="DP73" s="8">
        <f>+MINVU_Mes_Corriente!DP73*SALUD_Mes_Constante!$DP$1</f>
        <v>0</v>
      </c>
      <c r="DQ73" s="8">
        <f>+MINVU_Mes_Corriente!DQ73*SALUD_Mes_Constante!$DP$1</f>
        <v>34018143.172802851</v>
      </c>
      <c r="DR73" s="8">
        <f>+MINVU_Mes_Corriente!DR73*SALUD_Mes_Constante!$DP$1</f>
        <v>34018143.172802851</v>
      </c>
      <c r="DS73" s="8">
        <f>+MINVU_Mes_Corriente!DS73*SALUD_Mes_Constante!$DP$1</f>
        <v>34018143.172802851</v>
      </c>
      <c r="DT73" s="8">
        <f>+MINVU_Mes_Corriente!DT73*SALUD_Mes_Constante!$DP$1</f>
        <v>34018143.172802851</v>
      </c>
      <c r="DU73" s="8">
        <f>+MINVU_Mes_Corriente!DU73*SALUD_Mes_Constante!$DP$1</f>
        <v>34018143.172802851</v>
      </c>
      <c r="DV73" s="8">
        <f>+MINVU_Mes_Corriente!DV73*SALUD_Mes_Constante!$DP$1</f>
        <v>34018143.172802851</v>
      </c>
      <c r="DW73" s="8">
        <f>+MINVU_Mes_Corriente!DW73*SALUD_Mes_Constante!$DP$1</f>
        <v>34018143.172802851</v>
      </c>
      <c r="DX73" s="8">
        <f>+MINVU_Mes_Corriente!DX73*SALUD_Mes_Constante!$DP$1</f>
        <v>34018143.172802851</v>
      </c>
      <c r="DY73" s="8">
        <f>+MINVU_Mes_Corriente!DY73*SALUD_Mes_Constante!$DP$1</f>
        <v>35249119.708432309</v>
      </c>
      <c r="DZ73" s="8">
        <f>+MINVU_Mes_Corriente!DZ73*SALUD_Mes_Constante!$DP$1</f>
        <v>30658715.009501189</v>
      </c>
      <c r="EA73" s="8">
        <f>+MINVU_Mes_Corriente!EA73*SALUD_Mes_Constante!$DP$1</f>
        <v>24131379.438242283</v>
      </c>
      <c r="EB73" s="9">
        <f t="shared" si="28"/>
        <v>24131379.438242283</v>
      </c>
      <c r="EC73" s="8">
        <f>+MINVU_Mes_Corriente!EC73*SALUD_Mes_Constante!$EC$1</f>
        <v>0</v>
      </c>
      <c r="ED73" s="8">
        <f>+MINVU_Mes_Corriente!ED73*SALUD_Mes_Constante!$EC$1</f>
        <v>48854509.36565043</v>
      </c>
      <c r="EE73" s="8">
        <f>+MINVU_Mes_Corriente!EE73*SALUD_Mes_Constante!$EC$1</f>
        <v>49964369.383639447</v>
      </c>
      <c r="EF73" s="8">
        <f>+MINVU_Mes_Corriente!EF73*SALUD_Mes_Constante!$EC$1</f>
        <v>50728568.705737531</v>
      </c>
      <c r="EG73" s="8">
        <f>+MINVU_Mes_Corriente!EG73*SALUD_Mes_Constante!$EC$1</f>
        <v>50728568.705737531</v>
      </c>
      <c r="EH73" s="8">
        <f>+MINVU_Mes_Corriente!EH73*SALUD_Mes_Constante!$EC$1</f>
        <v>50728568.705737531</v>
      </c>
      <c r="EI73" s="8">
        <f>+MINVU_Mes_Corriente!EI73*SALUD_Mes_Constante!$EC$1</f>
        <v>32421509.509183858</v>
      </c>
      <c r="EJ73" s="8">
        <f>+MINVU_Mes_Corriente!EJ73*SALUD_Mes_Constante!$EC$1</f>
        <v>48350664.768604413</v>
      </c>
      <c r="EK73" s="8">
        <f>+MINVU_Mes_Corriente!EK73*SALUD_Mes_Constante!$EC$1</f>
        <v>48350664.768604413</v>
      </c>
      <c r="EL73" s="8">
        <f>+MINVU_Mes_Corriente!EL73*SALUD_Mes_Constante!$EC$1</f>
        <v>46891713.77485323</v>
      </c>
      <c r="EM73" s="8">
        <f>+MINVU_Mes_Corriente!EM73*SALUD_Mes_Constante!$EC$1</f>
        <v>42550378.052073456</v>
      </c>
      <c r="EN73" s="8">
        <f>+MINVU_Mes_Corriente!EN73*SALUD_Mes_Constante!$EC$1</f>
        <v>41933386.976898305</v>
      </c>
      <c r="EO73" s="9">
        <f t="shared" si="29"/>
        <v>41933386.976898305</v>
      </c>
      <c r="EP73" s="8">
        <f>+MINVU_Mes_Corriente!EP73*SALUD_Mes_Constante!$EP$1</f>
        <v>0</v>
      </c>
      <c r="EQ73" s="8">
        <f>+MINVU_Mes_Corriente!EQ73*SALUD_Mes_Constante!$EP$1</f>
        <v>51949151</v>
      </c>
      <c r="ER73" s="8">
        <f>+MINVU_Mes_Corriente!ER73*SALUD_Mes_Constante!$EP$1</f>
        <v>51949151</v>
      </c>
      <c r="ES73" s="8">
        <f>+MINVU_Mes_Corriente!ES73*SALUD_Mes_Constante!$EP$1</f>
        <v>51949151</v>
      </c>
      <c r="ET73" s="8">
        <f>+MINVU_Mes_Corriente!ET73*SALUD_Mes_Constante!$EP$1</f>
        <v>51949151</v>
      </c>
      <c r="EU73" s="8">
        <f>+MINVU_Mes_Corriente!EU73*SALUD_Mes_Constante!$EP$1</f>
        <v>51949151</v>
      </c>
      <c r="EV73" s="8">
        <f>+MINVU_Mes_Corriente!EV73*SALUD_Mes_Constante!$EP$1</f>
        <v>51949151</v>
      </c>
      <c r="EW73" s="8">
        <f>+MINVU_Mes_Corriente!EW73*SALUD_Mes_Constante!$EP$1</f>
        <v>51949151</v>
      </c>
      <c r="EX73" s="8">
        <f>+MINVU_Mes_Corriente!EX73*SALUD_Mes_Constante!$EP$1</f>
        <v>50262469</v>
      </c>
      <c r="EY73" s="8">
        <f>+MINVU_Mes_Corriente!EY73*SALUD_Mes_Constante!$EP$1</f>
        <v>50262469</v>
      </c>
      <c r="EZ73" s="8">
        <f>+MINVU_Mes_Corriente!EZ73*SALUD_Mes_Constante!$EP$1</f>
        <v>50262469</v>
      </c>
      <c r="FA73" s="8">
        <f>+MINVU_Mes_Corriente!FA73*SALUD_Mes_Constante!$EP$1</f>
        <v>32972393</v>
      </c>
      <c r="FB73" s="9">
        <f t="shared" si="30"/>
        <v>32972393</v>
      </c>
      <c r="FC73" s="8">
        <f>+MINVU_Mes_Corriente!FC73*SALUD_Mes_Constante!$FC$1</f>
        <v>15241290</v>
      </c>
      <c r="FD73" s="8">
        <f>+MINVU_Mes_Corriente!FD73*SALUD_Mes_Constante!$FC$1</f>
        <v>15241290</v>
      </c>
      <c r="FE73" s="8">
        <f>+MINVU_Mes_Corriente!FE73*SALUD_Mes_Constante!$FC$1</f>
        <v>15241290</v>
      </c>
      <c r="FF73" s="8">
        <f>+MINVU_Mes_Corriente!FF73*SALUD_Mes_Constante!$FC$1</f>
        <v>15241290</v>
      </c>
      <c r="FG73" s="8">
        <f>+MINVU_Mes_Corriente!FG73*SALUD_Mes_Constante!$FC$1</f>
        <v>15241290</v>
      </c>
      <c r="FH73" s="8">
        <f>+MINVU_Mes_Corriente!FH73*SALUD_Mes_Constante!$FC$1</f>
        <v>20715744</v>
      </c>
      <c r="FI73" s="8">
        <f>+MINVU_Mes_Corriente!FI73*SALUD_Mes_Constante!$FC$1</f>
        <v>20715744</v>
      </c>
      <c r="FJ73" s="8"/>
      <c r="FK73" s="8"/>
      <c r="FL73" s="8"/>
      <c r="FM73" s="8"/>
      <c r="FN73" s="8"/>
      <c r="FO73" s="9">
        <f t="shared" si="31"/>
        <v>20715744</v>
      </c>
    </row>
    <row r="74" spans="2:171" ht="14.25" customHeight="1" x14ac:dyDescent="0.3">
      <c r="B74" s="35" t="s">
        <v>73</v>
      </c>
      <c r="C74" s="8">
        <f>+MINVU_Mes_Corriente!C74*SALUD_Mes_Constante!$C$1</f>
        <v>0</v>
      </c>
      <c r="D74" s="8">
        <f>+MINVU_Mes_Corriente!D74*SALUD_Mes_Constante!$C$1</f>
        <v>7438356.9583271556</v>
      </c>
      <c r="E74" s="8">
        <f>+MINVU_Mes_Corriente!E74*SALUD_Mes_Constante!$C$1</f>
        <v>19003601.684116866</v>
      </c>
      <c r="F74" s="8">
        <f>+MINVU_Mes_Corriente!F74*SALUD_Mes_Constante!$C$1</f>
        <v>19003601.684116866</v>
      </c>
      <c r="G74" s="8">
        <f>+MINVU_Mes_Corriente!G74*SALUD_Mes_Constante!$C$1</f>
        <v>19003601.684116866</v>
      </c>
      <c r="H74" s="8">
        <f>+MINVU_Mes_Corriente!H74*SALUD_Mes_Constante!$C$1</f>
        <v>19003601.684116866</v>
      </c>
      <c r="I74" s="8">
        <f>+MINVU_Mes_Corriente!I74*SALUD_Mes_Constante!$C$1</f>
        <v>19003601.684116866</v>
      </c>
      <c r="J74" s="8">
        <f>+MINVU_Mes_Corriente!J74*SALUD_Mes_Constante!$C$1</f>
        <v>19306110.751890853</v>
      </c>
      <c r="K74" s="8">
        <f>+MINVU_Mes_Corriente!K74*SALUD_Mes_Constante!$C$1</f>
        <v>19306110.751890853</v>
      </c>
      <c r="L74" s="8">
        <f>+MINVU_Mes_Corriente!L74*SALUD_Mes_Constante!$C$1</f>
        <v>19306110.751890853</v>
      </c>
      <c r="M74" s="8">
        <f>+MINVU_Mes_Corriente!M74*SALUD_Mes_Constante!$C$1</f>
        <v>11487683.57467003</v>
      </c>
      <c r="N74" s="8">
        <f>+MINVU_Mes_Corriente!N74*SALUD_Mes_Constante!$C$1</f>
        <v>11487683.57467003</v>
      </c>
      <c r="O74" s="9">
        <f t="shared" si="19"/>
        <v>11487683.57467003</v>
      </c>
      <c r="P74" s="8">
        <f>+MINVU_Mes_Corriente!P74*SALUD_Mes_Constante!$P$1</f>
        <v>0</v>
      </c>
      <c r="Q74" s="8">
        <f>+MINVU_Mes_Corriente!Q74*SALUD_Mes_Constante!$P$1</f>
        <v>0</v>
      </c>
      <c r="R74" s="8">
        <f>+MINVU_Mes_Corriente!R74*SALUD_Mes_Constante!$P$1</f>
        <v>38132812.576502331</v>
      </c>
      <c r="S74" s="8">
        <f>+MINVU_Mes_Corriente!S74*SALUD_Mes_Constante!$P$1</f>
        <v>38132812.576502331</v>
      </c>
      <c r="T74" s="8">
        <f>+MINVU_Mes_Corriente!T74*SALUD_Mes_Constante!$P$1</f>
        <v>38132812.576502331</v>
      </c>
      <c r="U74" s="8">
        <f>+MINVU_Mes_Corriente!U74*SALUD_Mes_Constante!$P$1</f>
        <v>38370701.041909344</v>
      </c>
      <c r="V74" s="8">
        <f>+MINVU_Mes_Corriente!V74*SALUD_Mes_Constante!$P$1</f>
        <v>38893843.63403891</v>
      </c>
      <c r="W74" s="8">
        <f>+MINVU_Mes_Corriente!W74*SALUD_Mes_Constante!$P$1</f>
        <v>27050896.274754927</v>
      </c>
      <c r="X74" s="8">
        <f>+MINVU_Mes_Corriente!X74*SALUD_Mes_Constante!$P$1</f>
        <v>27415469.839749955</v>
      </c>
      <c r="Y74" s="8">
        <f>+MINVU_Mes_Corriente!Y74*SALUD_Mes_Constante!$P$1</f>
        <v>27415469.839749955</v>
      </c>
      <c r="Z74" s="8">
        <f>+MINVU_Mes_Corriente!Z74*SALUD_Mes_Constante!$P$1</f>
        <v>28425905.202159386</v>
      </c>
      <c r="AA74" s="8">
        <f>+MINVU_Mes_Corriente!AA74*SALUD_Mes_Constante!$P$1</f>
        <v>33319620.089501336</v>
      </c>
      <c r="AB74" s="9">
        <f t="shared" si="20"/>
        <v>33319620.089501336</v>
      </c>
      <c r="AC74" s="8">
        <f>+MINVU_Mes_Corriente!AC74*SALUD_Mes_Constante!$AC$1</f>
        <v>0</v>
      </c>
      <c r="AD74" s="8">
        <f>+MINVU_Mes_Corriente!AD74*SALUD_Mes_Constante!$AC$1</f>
        <v>0</v>
      </c>
      <c r="AE74" s="8">
        <f>+MINVU_Mes_Corriente!AE74*SALUD_Mes_Constante!$AC$1</f>
        <v>0</v>
      </c>
      <c r="AF74" s="8">
        <f>+MINVU_Mes_Corriente!AF74*SALUD_Mes_Constante!$AC$1</f>
        <v>32733135.235302255</v>
      </c>
      <c r="AG74" s="8">
        <f>+MINVU_Mes_Corriente!AG74*SALUD_Mes_Constante!$AC$1</f>
        <v>35789862.459814638</v>
      </c>
      <c r="AH74" s="8">
        <f>+MINVU_Mes_Corriente!AH74*SALUD_Mes_Constante!$AC$1</f>
        <v>35789862.459814638</v>
      </c>
      <c r="AI74" s="8">
        <f>+MINVU_Mes_Corriente!AI74*SALUD_Mes_Constante!$AC$1</f>
        <v>35789862.459814638</v>
      </c>
      <c r="AJ74" s="8">
        <f>+MINVU_Mes_Corriente!AJ74*SALUD_Mes_Constante!$AC$1</f>
        <v>35789862.459814638</v>
      </c>
      <c r="AK74" s="8">
        <f>+MINVU_Mes_Corriente!AK74*SALUD_Mes_Constante!$AC$1</f>
        <v>37736174.666758887</v>
      </c>
      <c r="AL74" s="8">
        <f>+MINVU_Mes_Corriente!AL74*SALUD_Mes_Constante!$AC$1</f>
        <v>34739852.548900262</v>
      </c>
      <c r="AM74" s="8">
        <f>+MINVU_Mes_Corriente!AM74*SALUD_Mes_Constante!$AC$1</f>
        <v>34897712.01355651</v>
      </c>
      <c r="AN74" s="8">
        <f>+MINVU_Mes_Corriente!AN74*SALUD_Mes_Constante!$AC$1</f>
        <v>27411204.419975098</v>
      </c>
      <c r="AO74" s="9">
        <f t="shared" si="21"/>
        <v>27411204.419975098</v>
      </c>
      <c r="AP74" s="8">
        <f>+MINVU_Mes_Corriente!AP74*SALUD_Mes_Constante!$AP$1</f>
        <v>0</v>
      </c>
      <c r="AQ74" s="8">
        <f>+MINVU_Mes_Corriente!AQ74*SALUD_Mes_Constante!$AP$1</f>
        <v>0</v>
      </c>
      <c r="AR74" s="8">
        <f>+MINVU_Mes_Corriente!AR74*SALUD_Mes_Constante!$AP$1</f>
        <v>1193705.0334099825</v>
      </c>
      <c r="AS74" s="8">
        <f>+MINVU_Mes_Corriente!AS74*SALUD_Mes_Constante!$AP$1</f>
        <v>1193705.0334099825</v>
      </c>
      <c r="AT74" s="8">
        <f>+MINVU_Mes_Corriente!AT74*SALUD_Mes_Constante!$AP$1</f>
        <v>6875777.7622074932</v>
      </c>
      <c r="AU74" s="8">
        <f>+MINVU_Mes_Corriente!AU74*SALUD_Mes_Constante!$AP$1</f>
        <v>11777147.666441228</v>
      </c>
      <c r="AV74" s="8">
        <f>+MINVU_Mes_Corriente!AV74*SALUD_Mes_Constante!$AP$1</f>
        <v>12717173.827945353</v>
      </c>
      <c r="AW74" s="8">
        <f>+MINVU_Mes_Corriente!AW74*SALUD_Mes_Constante!$AP$1</f>
        <v>12717173.827945353</v>
      </c>
      <c r="AX74" s="8">
        <f>+MINVU_Mes_Corriente!AX74*SALUD_Mes_Constante!$AP$1</f>
        <v>11274455.603949681</v>
      </c>
      <c r="AY74" s="8">
        <f>+MINVU_Mes_Corriente!AY74*SALUD_Mes_Constante!$AP$1</f>
        <v>11423149.99567158</v>
      </c>
      <c r="AZ74" s="8">
        <f>+MINVU_Mes_Corriente!AZ74*SALUD_Mes_Constante!$AP$1</f>
        <v>11423149.99567158</v>
      </c>
      <c r="BA74" s="8">
        <f>+MINVU_Mes_Corriente!BA74*SALUD_Mes_Constante!$AP$1</f>
        <v>9771308.1612335984</v>
      </c>
      <c r="BB74" s="9">
        <f t="shared" si="22"/>
        <v>9771308.1612335984</v>
      </c>
      <c r="BC74" s="8">
        <f>+MINVU_Mes_Corriente!BC74*SALUD_Mes_Constante!$BC$1</f>
        <v>0</v>
      </c>
      <c r="BD74" s="8">
        <f>+MINVU_Mes_Corriente!BD74*SALUD_Mes_Constante!$BC$1</f>
        <v>0</v>
      </c>
      <c r="BE74" s="8">
        <f>+MINVU_Mes_Corriente!BE74*SALUD_Mes_Constante!$BC$1</f>
        <v>1489130.3745219575</v>
      </c>
      <c r="BF74" s="8">
        <f>+MINVU_Mes_Corriente!BF74*SALUD_Mes_Constante!$BC$1</f>
        <v>4288501.8277726509</v>
      </c>
      <c r="BG74" s="8">
        <f>+MINVU_Mes_Corriente!BG74*SALUD_Mes_Constante!$BC$1</f>
        <v>4288501.8277726509</v>
      </c>
      <c r="BH74" s="8">
        <f>+MINVU_Mes_Corriente!BH74*SALUD_Mes_Constante!$BC$1</f>
        <v>10390101.528946331</v>
      </c>
      <c r="BI74" s="8">
        <f>+MINVU_Mes_Corriente!BI74*SALUD_Mes_Constante!$BC$1</f>
        <v>10390101.528946331</v>
      </c>
      <c r="BJ74" s="8">
        <f>+MINVU_Mes_Corriente!BJ74*SALUD_Mes_Constante!$BC$1</f>
        <v>12250842.698668076</v>
      </c>
      <c r="BK74" s="8">
        <f>+MINVU_Mes_Corriente!BK74*SALUD_Mes_Constante!$BC$1</f>
        <v>12250842.698668076</v>
      </c>
      <c r="BL74" s="8">
        <f>+MINVU_Mes_Corriente!BL74*SALUD_Mes_Constante!$BC$1</f>
        <v>8941596.0482658595</v>
      </c>
      <c r="BM74" s="8">
        <f>+MINVU_Mes_Corriente!BM74*SALUD_Mes_Constante!$BC$1</f>
        <v>8941596.0482658595</v>
      </c>
      <c r="BN74" s="8">
        <f>+MINVU_Mes_Corriente!BN74*SALUD_Mes_Constante!$BC$1</f>
        <v>6447198.7493076632</v>
      </c>
      <c r="BO74" s="9">
        <f t="shared" si="23"/>
        <v>6447198.7493076632</v>
      </c>
      <c r="BP74" s="8">
        <f>+MINVU_Mes_Corriente!BP74*SALUD_Mes_Constante!$BP$1</f>
        <v>0</v>
      </c>
      <c r="BQ74" s="8">
        <f>+MINVU_Mes_Corriente!BQ74*SALUD_Mes_Constante!$BP$1</f>
        <v>0</v>
      </c>
      <c r="BR74" s="8">
        <f>+MINVU_Mes_Corriente!BR74*SALUD_Mes_Constante!$BP$1</f>
        <v>4639506.9603072992</v>
      </c>
      <c r="BS74" s="8">
        <f>+MINVU_Mes_Corriente!BS74*SALUD_Mes_Constante!$BP$1</f>
        <v>7563368.9131882209</v>
      </c>
      <c r="BT74" s="8">
        <f>+MINVU_Mes_Corriente!BT74*SALUD_Mes_Constante!$BP$1</f>
        <v>7563368.9131882209</v>
      </c>
      <c r="BU74" s="8">
        <f>+MINVU_Mes_Corriente!BU74*SALUD_Mes_Constante!$BP$1</f>
        <v>13159271.602048658</v>
      </c>
      <c r="BV74" s="8">
        <f>+MINVU_Mes_Corriente!BV74*SALUD_Mes_Constante!$BP$1</f>
        <v>13159271.602048658</v>
      </c>
      <c r="BW74" s="8">
        <f>+MINVU_Mes_Corriente!BW74*SALUD_Mes_Constante!$BP$1</f>
        <v>11227132.311395647</v>
      </c>
      <c r="BX74" s="8">
        <f>+MINVU_Mes_Corriente!BX74*SALUD_Mes_Constante!$BP$1</f>
        <v>10806458.927784892</v>
      </c>
      <c r="BY74" s="8">
        <f>+MINVU_Mes_Corriente!BY74*SALUD_Mes_Constante!$BP$1</f>
        <v>10806458.927784892</v>
      </c>
      <c r="BZ74" s="8">
        <f>+MINVU_Mes_Corriente!BZ74*SALUD_Mes_Constante!$BP$1</f>
        <v>11153718.265044816</v>
      </c>
      <c r="CA74" s="8">
        <f>+MINVU_Mes_Corriente!CA74*SALUD_Mes_Constante!$BP$1</f>
        <v>10687983.875032011</v>
      </c>
      <c r="CB74" s="9">
        <f t="shared" si="24"/>
        <v>10687983.875032011</v>
      </c>
      <c r="CC74" s="8">
        <f>+MINVU_Mes_Corriente!CC74*SALUD_Mes_Constante!$CC$1</f>
        <v>0</v>
      </c>
      <c r="CD74" s="8">
        <f>+MINVU_Mes_Corriente!CD74*SALUD_Mes_Constante!$CC$1</f>
        <v>0</v>
      </c>
      <c r="CE74" s="8">
        <f>+MINVU_Mes_Corriente!CE74*SALUD_Mes_Constante!$CC$1</f>
        <v>9822622.0708690789</v>
      </c>
      <c r="CF74" s="8">
        <f>+MINVU_Mes_Corriente!CF74*SALUD_Mes_Constante!$CC$1</f>
        <v>9822622.0708690789</v>
      </c>
      <c r="CG74" s="8">
        <f>+MINVU_Mes_Corriente!CG74*SALUD_Mes_Constante!$CC$1</f>
        <v>9822622.0708690789</v>
      </c>
      <c r="CH74" s="8">
        <f>+MINVU_Mes_Corriente!CH74*SALUD_Mes_Constante!$CC$1</f>
        <v>9822622.0708690789</v>
      </c>
      <c r="CI74" s="8">
        <f>+MINVU_Mes_Corriente!CI74*SALUD_Mes_Constante!$CC$1</f>
        <v>16701756.919806045</v>
      </c>
      <c r="CJ74" s="8">
        <f>+MINVU_Mes_Corriente!CJ74*SALUD_Mes_Constante!$CC$1</f>
        <v>16701756.919806045</v>
      </c>
      <c r="CK74" s="8">
        <f>+MINVU_Mes_Corriente!CK74*SALUD_Mes_Constante!$CC$1</f>
        <v>16711658.649757555</v>
      </c>
      <c r="CL74" s="8">
        <f>+MINVU_Mes_Corriente!CL74*SALUD_Mes_Constante!$CC$1</f>
        <v>16711658.649757555</v>
      </c>
      <c r="CM74" s="8">
        <f>+MINVU_Mes_Corriente!CM74*SALUD_Mes_Constante!$CC$1</f>
        <v>16789361.89481537</v>
      </c>
      <c r="CN74" s="8">
        <f>+MINVU_Mes_Corriente!CN74*SALUD_Mes_Constante!$CC$1</f>
        <v>14786620.525177173</v>
      </c>
      <c r="CO74" s="9">
        <f t="shared" si="25"/>
        <v>14786620.525177173</v>
      </c>
      <c r="CP74" s="8">
        <f>+MINVU_Mes_Corriente!CP74*SALUD_Mes_Constante!$CP$1</f>
        <v>0</v>
      </c>
      <c r="CQ74" s="8">
        <f>+MINVU_Mes_Corriente!CQ74*SALUD_Mes_Constante!$CP$1</f>
        <v>2623074.0264501153</v>
      </c>
      <c r="CR74" s="8">
        <f>+MINVU_Mes_Corriente!CR74*SALUD_Mes_Constante!$CP$1</f>
        <v>2623074.0264501153</v>
      </c>
      <c r="CS74" s="8">
        <f>+MINVU_Mes_Corriente!CS74*SALUD_Mes_Constante!$CP$1</f>
        <v>29077916.437587</v>
      </c>
      <c r="CT74" s="8">
        <f>+MINVU_Mes_Corriente!CT74*SALUD_Mes_Constante!$CP$1</f>
        <v>29077916.437587</v>
      </c>
      <c r="CU74" s="8">
        <f>+MINVU_Mes_Corriente!CU74*SALUD_Mes_Constante!$CP$1</f>
        <v>29444585.138979111</v>
      </c>
      <c r="CV74" s="8">
        <f>+MINVU_Mes_Corriente!CV74*SALUD_Mes_Constante!$CP$1</f>
        <v>30731613.435730852</v>
      </c>
      <c r="CW74" s="8">
        <f>+MINVU_Mes_Corriente!CW74*SALUD_Mes_Constante!$CP$1</f>
        <v>30731613.435730852</v>
      </c>
      <c r="CX74" s="8">
        <f>+MINVU_Mes_Corriente!CX74*SALUD_Mes_Constante!$CP$1</f>
        <v>30731613.435730852</v>
      </c>
      <c r="CY74" s="8">
        <f>+MINVU_Mes_Corriente!CY74*SALUD_Mes_Constante!$CP$1</f>
        <v>27878863.988631085</v>
      </c>
      <c r="CZ74" s="8">
        <f>+MINVU_Mes_Corriente!CZ74*SALUD_Mes_Constante!$CP$1</f>
        <v>27878863.988631085</v>
      </c>
      <c r="DA74" s="8">
        <f>+MINVU_Mes_Corriente!DA74*SALUD_Mes_Constante!$CP$1</f>
        <v>4891855.391415312</v>
      </c>
      <c r="DB74" s="9">
        <f t="shared" si="26"/>
        <v>4891855.391415312</v>
      </c>
      <c r="DC74" s="8">
        <f>+MINVU_Mes_Corriente!DC74*SALUD_Mes_Constante!$DC$1</f>
        <v>0</v>
      </c>
      <c r="DD74" s="8">
        <f>+MINVU_Mes_Corriente!DD74*SALUD_Mes_Constante!$DC$1</f>
        <v>26013003.170661468</v>
      </c>
      <c r="DE74" s="8">
        <f>+MINVU_Mes_Corriente!DE74*SALUD_Mes_Constante!$DC$1</f>
        <v>26013003.170661468</v>
      </c>
      <c r="DF74" s="8">
        <f>+MINVU_Mes_Corriente!DF74*SALUD_Mes_Constante!$DC$1</f>
        <v>26013003.170661468</v>
      </c>
      <c r="DG74" s="8">
        <f>+MINVU_Mes_Corriente!DG74*SALUD_Mes_Constante!$DC$1</f>
        <v>26013003.170661468</v>
      </c>
      <c r="DH74" s="8">
        <f>+MINVU_Mes_Corriente!DH74*SALUD_Mes_Constante!$DC$1</f>
        <v>26013003.170661468</v>
      </c>
      <c r="DI74" s="8">
        <f>+MINVU_Mes_Corriente!DI74*SALUD_Mes_Constante!$DC$1</f>
        <v>26013003.170661468</v>
      </c>
      <c r="DJ74" s="8">
        <f>+MINVU_Mes_Corriente!DJ74*SALUD_Mes_Constante!$DC$1</f>
        <v>26013003.170661468</v>
      </c>
      <c r="DK74" s="8">
        <f>+MINVU_Mes_Corriente!DK74*SALUD_Mes_Constante!$DC$1</f>
        <v>26037406.556321379</v>
      </c>
      <c r="DL74" s="8">
        <f>+MINVU_Mes_Corriente!DL74*SALUD_Mes_Constante!$DC$1</f>
        <v>26234824.236601185</v>
      </c>
      <c r="DM74" s="8">
        <f>+MINVU_Mes_Corriente!DM74*SALUD_Mes_Constante!$DC$1</f>
        <v>26325803.052566621</v>
      </c>
      <c r="DN74" s="8">
        <f>+MINVU_Mes_Corriente!DN74*SALUD_Mes_Constante!$DC$1</f>
        <v>4934753.0204711473</v>
      </c>
      <c r="DO74" s="9">
        <f t="shared" si="27"/>
        <v>4934753.0204711473</v>
      </c>
      <c r="DP74" s="8">
        <f>+MINVU_Mes_Corriente!DP74*SALUD_Mes_Constante!$DP$1</f>
        <v>0</v>
      </c>
      <c r="DQ74" s="8">
        <f>+MINVU_Mes_Corriente!DQ74*SALUD_Mes_Constante!$DP$1</f>
        <v>39744621.543349169</v>
      </c>
      <c r="DR74" s="8">
        <f>+MINVU_Mes_Corriente!DR74*SALUD_Mes_Constante!$DP$1</f>
        <v>39744621.543349169</v>
      </c>
      <c r="DS74" s="8">
        <f>+MINVU_Mes_Corriente!DS74*SALUD_Mes_Constante!$DP$1</f>
        <v>39744621.543349169</v>
      </c>
      <c r="DT74" s="8">
        <f>+MINVU_Mes_Corriente!DT74*SALUD_Mes_Constante!$DP$1</f>
        <v>39744621.543349169</v>
      </c>
      <c r="DU74" s="8">
        <f>+MINVU_Mes_Corriente!DU74*SALUD_Mes_Constante!$DP$1</f>
        <v>39744621.543349169</v>
      </c>
      <c r="DV74" s="8">
        <f>+MINVU_Mes_Corriente!DV74*SALUD_Mes_Constante!$DP$1</f>
        <v>41416668.285035633</v>
      </c>
      <c r="DW74" s="8">
        <f>+MINVU_Mes_Corriente!DW74*SALUD_Mes_Constante!$DP$1</f>
        <v>83231347.263064146</v>
      </c>
      <c r="DX74" s="8">
        <f>+MINVU_Mes_Corriente!DX74*SALUD_Mes_Constante!$DP$1</f>
        <v>83231347.263064146</v>
      </c>
      <c r="DY74" s="8">
        <f>+MINVU_Mes_Corriente!DY74*SALUD_Mes_Constante!$DP$1</f>
        <v>84089635.170427561</v>
      </c>
      <c r="DZ74" s="8">
        <f>+MINVU_Mes_Corriente!DZ74*SALUD_Mes_Constante!$DP$1</f>
        <v>84089635.170427561</v>
      </c>
      <c r="EA74" s="8">
        <f>+MINVU_Mes_Corriente!EA74*SALUD_Mes_Constante!$DP$1</f>
        <v>84543614.579572454</v>
      </c>
      <c r="EB74" s="9">
        <f t="shared" si="28"/>
        <v>84543614.579572454</v>
      </c>
      <c r="EC74" s="8">
        <f>+MINVU_Mes_Corriente!EC74*SALUD_Mes_Constante!$EC$1</f>
        <v>0</v>
      </c>
      <c r="ED74" s="8">
        <f>+MINVU_Mes_Corriente!ED74*SALUD_Mes_Constante!$EC$1</f>
        <v>82326377.605756462</v>
      </c>
      <c r="EE74" s="8">
        <f>+MINVU_Mes_Corriente!EE74*SALUD_Mes_Constante!$EC$1</f>
        <v>83411402.23196362</v>
      </c>
      <c r="EF74" s="8">
        <f>+MINVU_Mes_Corriente!EF74*SALUD_Mes_Constante!$EC$1</f>
        <v>90246259.702518433</v>
      </c>
      <c r="EG74" s="8">
        <f>+MINVU_Mes_Corriente!EG74*SALUD_Mes_Constante!$EC$1</f>
        <v>90462167.683014557</v>
      </c>
      <c r="EH74" s="8">
        <f>+MINVU_Mes_Corriente!EH74*SALUD_Mes_Constante!$EC$1</f>
        <v>90978797.210376799</v>
      </c>
      <c r="EI74" s="8">
        <f>+MINVU_Mes_Corriente!EI74*SALUD_Mes_Constante!$EC$1</f>
        <v>71674510.345767826</v>
      </c>
      <c r="EJ74" s="8">
        <f>+MINVU_Mes_Corriente!EJ74*SALUD_Mes_Constante!$EC$1</f>
        <v>71159702.5080477</v>
      </c>
      <c r="EK74" s="8">
        <f>+MINVU_Mes_Corriente!EK74*SALUD_Mes_Constante!$EC$1</f>
        <v>70276245.099412963</v>
      </c>
      <c r="EL74" s="8">
        <f>+MINVU_Mes_Corriente!EL74*SALUD_Mes_Constante!$EC$1</f>
        <v>70112393.374550253</v>
      </c>
      <c r="EM74" s="8">
        <f>+MINVU_Mes_Corriente!EM74*SALUD_Mes_Constante!$EC$1</f>
        <v>90556633.825222462</v>
      </c>
      <c r="EN74" s="8">
        <f>+MINVU_Mes_Corriente!EN74*SALUD_Mes_Constante!$EC$1</f>
        <v>86435439.106229857</v>
      </c>
      <c r="EO74" s="9">
        <f t="shared" si="29"/>
        <v>86435439.106229857</v>
      </c>
      <c r="EP74" s="8">
        <f>+MINVU_Mes_Corriente!EP74*SALUD_Mes_Constante!$EP$1</f>
        <v>0</v>
      </c>
      <c r="EQ74" s="8">
        <f>+MINVU_Mes_Corriente!EQ74*SALUD_Mes_Constante!$EP$1</f>
        <v>74542371</v>
      </c>
      <c r="ER74" s="8">
        <f>+MINVU_Mes_Corriente!ER74*SALUD_Mes_Constante!$EP$1</f>
        <v>74600624</v>
      </c>
      <c r="ES74" s="8">
        <f>+MINVU_Mes_Corriente!ES74*SALUD_Mes_Constante!$EP$1</f>
        <v>74600624</v>
      </c>
      <c r="ET74" s="8">
        <f>+MINVU_Mes_Corriente!ET74*SALUD_Mes_Constante!$EP$1</f>
        <v>75534324</v>
      </c>
      <c r="EU74" s="8">
        <f>+MINVU_Mes_Corriente!EU74*SALUD_Mes_Constante!$EP$1</f>
        <v>75830660</v>
      </c>
      <c r="EV74" s="8">
        <f>+MINVU_Mes_Corriente!EV74*SALUD_Mes_Constante!$EP$1</f>
        <v>75830660</v>
      </c>
      <c r="EW74" s="8">
        <f>+MINVU_Mes_Corriente!EW74*SALUD_Mes_Constante!$EP$1</f>
        <v>90830660</v>
      </c>
      <c r="EX74" s="8">
        <f>+MINVU_Mes_Corriente!EX74*SALUD_Mes_Constante!$EP$1</f>
        <v>90979497</v>
      </c>
      <c r="EY74" s="8">
        <f>+MINVU_Mes_Corriente!EY74*SALUD_Mes_Constante!$EP$1</f>
        <v>90979497</v>
      </c>
      <c r="EZ74" s="8">
        <f>+MINVU_Mes_Corriente!EZ74*SALUD_Mes_Constante!$EP$1</f>
        <v>90979497</v>
      </c>
      <c r="FA74" s="8">
        <f>+MINVU_Mes_Corriente!FA74*SALUD_Mes_Constante!$EP$1</f>
        <v>97832718</v>
      </c>
      <c r="FB74" s="9">
        <f t="shared" si="30"/>
        <v>97832718</v>
      </c>
      <c r="FC74" s="8">
        <f>+MINVU_Mes_Corriente!FC74*SALUD_Mes_Constante!$FC$1</f>
        <v>92970744</v>
      </c>
      <c r="FD74" s="8">
        <f>+MINVU_Mes_Corriente!FD74*SALUD_Mes_Constante!$FC$1</f>
        <v>92970744</v>
      </c>
      <c r="FE74" s="8">
        <f>+MINVU_Mes_Corriente!FE74*SALUD_Mes_Constante!$FC$1</f>
        <v>92970744</v>
      </c>
      <c r="FF74" s="8">
        <f>+MINVU_Mes_Corriente!FF74*SALUD_Mes_Constante!$FC$1</f>
        <v>92970744</v>
      </c>
      <c r="FG74" s="8">
        <f>+MINVU_Mes_Corriente!FG74*SALUD_Mes_Constante!$FC$1</f>
        <v>92970744</v>
      </c>
      <c r="FH74" s="8">
        <f>+MINVU_Mes_Corriente!FH74*SALUD_Mes_Constante!$FC$1</f>
        <v>92970744</v>
      </c>
      <c r="FI74" s="8">
        <f>+MINVU_Mes_Corriente!FI74*SALUD_Mes_Constante!$FC$1</f>
        <v>92970744</v>
      </c>
      <c r="FJ74" s="8"/>
      <c r="FK74" s="8"/>
      <c r="FL74" s="8"/>
      <c r="FM74" s="8"/>
      <c r="FN74" s="8"/>
      <c r="FO74" s="9">
        <f t="shared" si="31"/>
        <v>92970744</v>
      </c>
    </row>
    <row r="75" spans="2:171" ht="14.25" customHeight="1" x14ac:dyDescent="0.3">
      <c r="B75" s="35" t="s">
        <v>74</v>
      </c>
      <c r="C75" s="8">
        <f>+MINVU_Mes_Corriente!C75*SALUD_Mes_Constante!$C$1</f>
        <v>0</v>
      </c>
      <c r="D75" s="8">
        <f>+MINVU_Mes_Corriente!D75*SALUD_Mes_Constante!$C$1</f>
        <v>2060553.1846359191</v>
      </c>
      <c r="E75" s="8">
        <f>+MINVU_Mes_Corriente!E75*SALUD_Mes_Constante!$C$1</f>
        <v>2060553.1846359191</v>
      </c>
      <c r="F75" s="8">
        <f>+MINVU_Mes_Corriente!F75*SALUD_Mes_Constante!$C$1</f>
        <v>2060553.1846359191</v>
      </c>
      <c r="G75" s="8">
        <f>+MINVU_Mes_Corriente!G75*SALUD_Mes_Constante!$C$1</f>
        <v>2060553.1846359191</v>
      </c>
      <c r="H75" s="8">
        <f>+MINVU_Mes_Corriente!H75*SALUD_Mes_Constante!$C$1</f>
        <v>2060553.1846359191</v>
      </c>
      <c r="I75" s="8">
        <f>+MINVU_Mes_Corriente!I75*SALUD_Mes_Constante!$C$1</f>
        <v>2060553.1846359191</v>
      </c>
      <c r="J75" s="8">
        <f>+MINVU_Mes_Corriente!J75*SALUD_Mes_Constante!$C$1</f>
        <v>2060553.1846359191</v>
      </c>
      <c r="K75" s="8">
        <f>+MINVU_Mes_Corriente!K75*SALUD_Mes_Constante!$C$1</f>
        <v>2060553.1846359191</v>
      </c>
      <c r="L75" s="8">
        <f>+MINVU_Mes_Corriente!L75*SALUD_Mes_Constante!$C$1</f>
        <v>2060553.1846359191</v>
      </c>
      <c r="M75" s="8">
        <f>+MINVU_Mes_Corriente!M75*SALUD_Mes_Constante!$C$1</f>
        <v>1103723.6823372387</v>
      </c>
      <c r="N75" s="8">
        <f>+MINVU_Mes_Corriente!N75*SALUD_Mes_Constante!$C$1</f>
        <v>1106084.5279549165</v>
      </c>
      <c r="O75" s="9">
        <f t="shared" si="19"/>
        <v>1106084.5279549165</v>
      </c>
      <c r="P75" s="8">
        <f>+MINVU_Mes_Corriente!P75*SALUD_Mes_Constante!$P$1</f>
        <v>0</v>
      </c>
      <c r="Q75" s="8">
        <f>+MINVU_Mes_Corriente!Q75*SALUD_Mes_Constante!$P$1</f>
        <v>4595984.1037079114</v>
      </c>
      <c r="R75" s="8">
        <f>+MINVU_Mes_Corriente!R75*SALUD_Mes_Constante!$P$1</f>
        <v>10516384.430743</v>
      </c>
      <c r="S75" s="8">
        <f>+MINVU_Mes_Corriente!S75*SALUD_Mes_Constante!$P$1</f>
        <v>10516384.430743</v>
      </c>
      <c r="T75" s="8">
        <f>+MINVU_Mes_Corriente!T75*SALUD_Mes_Constante!$P$1</f>
        <v>10516384.430743</v>
      </c>
      <c r="U75" s="8">
        <f>+MINVU_Mes_Corriente!U75*SALUD_Mes_Constante!$P$1</f>
        <v>10516384.430743</v>
      </c>
      <c r="V75" s="8">
        <f>+MINVU_Mes_Corriente!V75*SALUD_Mes_Constante!$P$1</f>
        <v>12885976.008808065</v>
      </c>
      <c r="W75" s="8">
        <f>+MINVU_Mes_Corriente!W75*SALUD_Mes_Constante!$P$1</f>
        <v>13880703.014916886</v>
      </c>
      <c r="X75" s="8">
        <f>+MINVU_Mes_Corriente!X75*SALUD_Mes_Constante!$P$1</f>
        <v>11060281.611024288</v>
      </c>
      <c r="Y75" s="8">
        <f>+MINVU_Mes_Corriente!Y75*SALUD_Mes_Constante!$P$1</f>
        <v>11060281.611024288</v>
      </c>
      <c r="Z75" s="8">
        <f>+MINVU_Mes_Corriente!Z75*SALUD_Mes_Constante!$P$1</f>
        <v>10953308.015058953</v>
      </c>
      <c r="AA75" s="8">
        <f>+MINVU_Mes_Corriente!AA75*SALUD_Mes_Constante!$P$1</f>
        <v>8955147.6618837863</v>
      </c>
      <c r="AB75" s="9">
        <f t="shared" si="20"/>
        <v>8955147.6618837863</v>
      </c>
      <c r="AC75" s="8">
        <f>+MINVU_Mes_Corriente!AC75*SALUD_Mes_Constante!$AC$1</f>
        <v>0</v>
      </c>
      <c r="AD75" s="8">
        <f>+MINVU_Mes_Corriente!AD75*SALUD_Mes_Constante!$AC$1</f>
        <v>15138276.038179554</v>
      </c>
      <c r="AE75" s="8">
        <f>+MINVU_Mes_Corriente!AE75*SALUD_Mes_Constante!$AC$1</f>
        <v>21271675.084797345</v>
      </c>
      <c r="AF75" s="8">
        <f>+MINVU_Mes_Corriente!AF75*SALUD_Mes_Constante!$AC$1</f>
        <v>21271675.084797345</v>
      </c>
      <c r="AG75" s="8">
        <f>+MINVU_Mes_Corriente!AG75*SALUD_Mes_Constante!$AC$1</f>
        <v>21271675.084797345</v>
      </c>
      <c r="AH75" s="8">
        <f>+MINVU_Mes_Corriente!AH75*SALUD_Mes_Constante!$AC$1</f>
        <v>21271675.084797345</v>
      </c>
      <c r="AI75" s="8">
        <f>+MINVU_Mes_Corriente!AI75*SALUD_Mes_Constante!$AC$1</f>
        <v>24236547.734126434</v>
      </c>
      <c r="AJ75" s="8">
        <f>+MINVU_Mes_Corriente!AJ75*SALUD_Mes_Constante!$AC$1</f>
        <v>24236547.734126434</v>
      </c>
      <c r="AK75" s="8">
        <f>+MINVU_Mes_Corriente!AK75*SALUD_Mes_Constante!$AC$1</f>
        <v>24236547.734126434</v>
      </c>
      <c r="AL75" s="8">
        <f>+MINVU_Mes_Corriente!AL75*SALUD_Mes_Constante!$AC$1</f>
        <v>24291324.341126021</v>
      </c>
      <c r="AM75" s="8">
        <f>+MINVU_Mes_Corriente!AM75*SALUD_Mes_Constante!$AC$1</f>
        <v>15606460.201410983</v>
      </c>
      <c r="AN75" s="8">
        <f>+MINVU_Mes_Corriente!AN75*SALUD_Mes_Constante!$AC$1</f>
        <v>5391088.5109973717</v>
      </c>
      <c r="AO75" s="9">
        <f t="shared" si="21"/>
        <v>5391088.5109973717</v>
      </c>
      <c r="AP75" s="8">
        <f>+MINVU_Mes_Corriente!AP75*SALUD_Mes_Constante!$AP$1</f>
        <v>0</v>
      </c>
      <c r="AQ75" s="8">
        <f>+MINVU_Mes_Corriente!AQ75*SALUD_Mes_Constante!$AP$1</f>
        <v>9684101.1535236035</v>
      </c>
      <c r="AR75" s="8">
        <f>+MINVU_Mes_Corriente!AR75*SALUD_Mes_Constante!$AP$1</f>
        <v>9684101.1535236035</v>
      </c>
      <c r="AS75" s="8">
        <f>+MINVU_Mes_Corriente!AS75*SALUD_Mes_Constante!$AP$1</f>
        <v>9684101.1535236035</v>
      </c>
      <c r="AT75" s="8">
        <f>+MINVU_Mes_Corriente!AT75*SALUD_Mes_Constante!$AP$1</f>
        <v>11892690.15338834</v>
      </c>
      <c r="AU75" s="8">
        <f>+MINVU_Mes_Corriente!AU75*SALUD_Mes_Constante!$AP$1</f>
        <v>12496574.444474502</v>
      </c>
      <c r="AV75" s="8">
        <f>+MINVU_Mes_Corriente!AV75*SALUD_Mes_Constante!$AP$1</f>
        <v>9151245.4686865956</v>
      </c>
      <c r="AW75" s="8">
        <f>+MINVU_Mes_Corriente!AW75*SALUD_Mes_Constante!$AP$1</f>
        <v>9041623.3869876899</v>
      </c>
      <c r="AX75" s="8">
        <f>+MINVU_Mes_Corriente!AX75*SALUD_Mes_Constante!$AP$1</f>
        <v>9043438.2291356679</v>
      </c>
      <c r="AY75" s="8">
        <f>+MINVU_Mes_Corriente!AY75*SALUD_Mes_Constante!$AP$1</f>
        <v>9045393.4703097511</v>
      </c>
      <c r="AZ75" s="8">
        <f>+MINVU_Mes_Corriente!AZ75*SALUD_Mes_Constante!$AP$1</f>
        <v>9045393.4703097511</v>
      </c>
      <c r="BA75" s="8">
        <f>+MINVU_Mes_Corriente!BA75*SALUD_Mes_Constante!$AP$1</f>
        <v>5902738.6170702009</v>
      </c>
      <c r="BB75" s="9">
        <f t="shared" si="22"/>
        <v>5902738.6170702009</v>
      </c>
      <c r="BC75" s="8">
        <f>+MINVU_Mes_Corriente!BC75*SALUD_Mes_Constante!$BC$1</f>
        <v>0</v>
      </c>
      <c r="BD75" s="8">
        <f>+MINVU_Mes_Corriente!BD75*SALUD_Mes_Constante!$BC$1</f>
        <v>0</v>
      </c>
      <c r="BE75" s="8">
        <f>+MINVU_Mes_Corriente!BE75*SALUD_Mes_Constante!$BC$1</f>
        <v>18937717.515231442</v>
      </c>
      <c r="BF75" s="8">
        <f>+MINVU_Mes_Corriente!BF75*SALUD_Mes_Constante!$BC$1</f>
        <v>22225445.003033105</v>
      </c>
      <c r="BG75" s="8">
        <f>+MINVU_Mes_Corriente!BG75*SALUD_Mes_Constante!$BC$1</f>
        <v>31531588.777528692</v>
      </c>
      <c r="BH75" s="8">
        <f>+MINVU_Mes_Corriente!BH75*SALUD_Mes_Constante!$BC$1</f>
        <v>31531588.777528692</v>
      </c>
      <c r="BI75" s="8">
        <f>+MINVU_Mes_Corriente!BI75*SALUD_Mes_Constante!$BC$1</f>
        <v>31531588.777528692</v>
      </c>
      <c r="BJ75" s="8">
        <f>+MINVU_Mes_Corriente!BJ75*SALUD_Mes_Constante!$BC$1</f>
        <v>39035433.883423455</v>
      </c>
      <c r="BK75" s="8">
        <f>+MINVU_Mes_Corriente!BK75*SALUD_Mes_Constante!$BC$1</f>
        <v>36246338.604773842</v>
      </c>
      <c r="BL75" s="8">
        <f>+MINVU_Mes_Corriente!BL75*SALUD_Mes_Constante!$BC$1</f>
        <v>36246338.604773842</v>
      </c>
      <c r="BM75" s="8">
        <f>+MINVU_Mes_Corriente!BM75*SALUD_Mes_Constante!$BC$1</f>
        <v>36246338.604773842</v>
      </c>
      <c r="BN75" s="8">
        <f>+MINVU_Mes_Corriente!BN75*SALUD_Mes_Constante!$BC$1</f>
        <v>32171346.925754987</v>
      </c>
      <c r="BO75" s="9">
        <f t="shared" si="23"/>
        <v>32171346.925754987</v>
      </c>
      <c r="BP75" s="8">
        <f>+MINVU_Mes_Corriente!BP75*SALUD_Mes_Constante!$BP$1</f>
        <v>0</v>
      </c>
      <c r="BQ75" s="8">
        <f>+MINVU_Mes_Corriente!BQ75*SALUD_Mes_Constante!$BP$1</f>
        <v>0</v>
      </c>
      <c r="BR75" s="8">
        <f>+MINVU_Mes_Corriente!BR75*SALUD_Mes_Constante!$BP$1</f>
        <v>50473392.861203589</v>
      </c>
      <c r="BS75" s="8">
        <f>+MINVU_Mes_Corriente!BS75*SALUD_Mes_Constante!$BP$1</f>
        <v>50473392.861203589</v>
      </c>
      <c r="BT75" s="8">
        <f>+MINVU_Mes_Corriente!BT75*SALUD_Mes_Constante!$BP$1</f>
        <v>50473392.861203589</v>
      </c>
      <c r="BU75" s="8">
        <f>+MINVU_Mes_Corriente!BU75*SALUD_Mes_Constante!$BP$1</f>
        <v>50473392.861203589</v>
      </c>
      <c r="BV75" s="8">
        <f>+MINVU_Mes_Corriente!BV75*SALUD_Mes_Constante!$BP$1</f>
        <v>52342695.760563388</v>
      </c>
      <c r="BW75" s="8">
        <f>+MINVU_Mes_Corriente!BW75*SALUD_Mes_Constante!$BP$1</f>
        <v>49725620.778745204</v>
      </c>
      <c r="BX75" s="8">
        <f>+MINVU_Mes_Corriente!BX75*SALUD_Mes_Constante!$BP$1</f>
        <v>49595517.440204874</v>
      </c>
      <c r="BY75" s="8">
        <f>+MINVU_Mes_Corriente!BY75*SALUD_Mes_Constante!$BP$1</f>
        <v>49595517.440204874</v>
      </c>
      <c r="BZ75" s="8">
        <f>+MINVU_Mes_Corriente!BZ75*SALUD_Mes_Constante!$BP$1</f>
        <v>49595517.440204874</v>
      </c>
      <c r="CA75" s="8">
        <f>+MINVU_Mes_Corriente!CA75*SALUD_Mes_Constante!$BP$1</f>
        <v>49568247.207426384</v>
      </c>
      <c r="CB75" s="9">
        <f t="shared" si="24"/>
        <v>49568247.207426384</v>
      </c>
      <c r="CC75" s="8">
        <f>+MINVU_Mes_Corriente!CC75*SALUD_Mes_Constante!$CC$1</f>
        <v>0</v>
      </c>
      <c r="CD75" s="8">
        <f>+MINVU_Mes_Corriente!CD75*SALUD_Mes_Constante!$CC$1</f>
        <v>37244235.813502431</v>
      </c>
      <c r="CE75" s="8">
        <f>+MINVU_Mes_Corriente!CE75*SALUD_Mes_Constante!$CC$1</f>
        <v>38953292.878030591</v>
      </c>
      <c r="CF75" s="8">
        <f>+MINVU_Mes_Corriente!CF75*SALUD_Mes_Constante!$CC$1</f>
        <v>38953292.878030591</v>
      </c>
      <c r="CG75" s="8">
        <f>+MINVU_Mes_Corriente!CG75*SALUD_Mes_Constante!$CC$1</f>
        <v>38953292.878030591</v>
      </c>
      <c r="CH75" s="8">
        <f>+MINVU_Mes_Corriente!CH75*SALUD_Mes_Constante!$CC$1</f>
        <v>38953292.878030591</v>
      </c>
      <c r="CI75" s="8">
        <f>+MINVU_Mes_Corriente!CI75*SALUD_Mes_Constante!$CC$1</f>
        <v>39051306.284222312</v>
      </c>
      <c r="CJ75" s="8">
        <f>+MINVU_Mes_Corriente!CJ75*SALUD_Mes_Constante!$CC$1</f>
        <v>56945207.581499442</v>
      </c>
      <c r="CK75" s="8">
        <f>+MINVU_Mes_Corriente!CK75*SALUD_Mes_Constante!$CC$1</f>
        <v>56945207.581499442</v>
      </c>
      <c r="CL75" s="8">
        <f>+MINVU_Mes_Corriente!CL75*SALUD_Mes_Constante!$CC$1</f>
        <v>56945207.581499442</v>
      </c>
      <c r="CM75" s="8">
        <f>+MINVU_Mes_Corriente!CM75*SALUD_Mes_Constante!$CC$1</f>
        <v>56945207.581499442</v>
      </c>
      <c r="CN75" s="8">
        <f>+MINVU_Mes_Corriente!CN75*SALUD_Mes_Constante!$CC$1</f>
        <v>53210903.73368147</v>
      </c>
      <c r="CO75" s="9">
        <f t="shared" si="25"/>
        <v>53210903.73368147</v>
      </c>
      <c r="CP75" s="8">
        <f>+MINVU_Mes_Corriente!CP75*SALUD_Mes_Constante!$CP$1</f>
        <v>0</v>
      </c>
      <c r="CQ75" s="8">
        <f>+MINVU_Mes_Corriente!CQ75*SALUD_Mes_Constante!$CP$1</f>
        <v>38850175.200696051</v>
      </c>
      <c r="CR75" s="8">
        <f>+MINVU_Mes_Corriente!CR75*SALUD_Mes_Constante!$CP$1</f>
        <v>48462299.617865421</v>
      </c>
      <c r="CS75" s="8">
        <f>+MINVU_Mes_Corriente!CS75*SALUD_Mes_Constante!$CP$1</f>
        <v>48462299.617865421</v>
      </c>
      <c r="CT75" s="8">
        <f>+MINVU_Mes_Corriente!CT75*SALUD_Mes_Constante!$CP$1</f>
        <v>48462299.617865421</v>
      </c>
      <c r="CU75" s="8">
        <f>+MINVU_Mes_Corriente!CU75*SALUD_Mes_Constante!$CP$1</f>
        <v>48462299.617865421</v>
      </c>
      <c r="CV75" s="8">
        <f>+MINVU_Mes_Corriente!CV75*SALUD_Mes_Constante!$CP$1</f>
        <v>48462299.617865421</v>
      </c>
      <c r="CW75" s="8">
        <f>+MINVU_Mes_Corriente!CW75*SALUD_Mes_Constante!$CP$1</f>
        <v>48462299.617865421</v>
      </c>
      <c r="CX75" s="8">
        <f>+MINVU_Mes_Corriente!CX75*SALUD_Mes_Constante!$CP$1</f>
        <v>48462299.617865421</v>
      </c>
      <c r="CY75" s="8">
        <f>+MINVU_Mes_Corriente!CY75*SALUD_Mes_Constante!$CP$1</f>
        <v>44744840.926914141</v>
      </c>
      <c r="CZ75" s="8">
        <f>+MINVU_Mes_Corriente!CZ75*SALUD_Mes_Constante!$CP$1</f>
        <v>44744840.926914141</v>
      </c>
      <c r="DA75" s="8">
        <f>+MINVU_Mes_Corriente!DA75*SALUD_Mes_Constante!$CP$1</f>
        <v>44514792.856148481</v>
      </c>
      <c r="DB75" s="9">
        <f t="shared" si="26"/>
        <v>44514792.856148481</v>
      </c>
      <c r="DC75" s="8">
        <f>+MINVU_Mes_Corriente!DC75*SALUD_Mes_Constante!$DC$1</f>
        <v>0</v>
      </c>
      <c r="DD75" s="8">
        <f>+MINVU_Mes_Corriente!DD75*SALUD_Mes_Constante!$DC$1</f>
        <v>33650410.921715885</v>
      </c>
      <c r="DE75" s="8">
        <f>+MINVU_Mes_Corriente!DE75*SALUD_Mes_Constante!$DC$1</f>
        <v>33650410.921715885</v>
      </c>
      <c r="DF75" s="8">
        <f>+MINVU_Mes_Corriente!DF75*SALUD_Mes_Constante!$DC$1</f>
        <v>33650410.921715885</v>
      </c>
      <c r="DG75" s="8">
        <f>+MINVU_Mes_Corriente!DG75*SALUD_Mes_Constante!$DC$1</f>
        <v>33650410.921715885</v>
      </c>
      <c r="DH75" s="8">
        <f>+MINVU_Mes_Corriente!DH75*SALUD_Mes_Constante!$DC$1</f>
        <v>33650410.921715885</v>
      </c>
      <c r="DI75" s="8">
        <f>+MINVU_Mes_Corriente!DI75*SALUD_Mes_Constante!$DC$1</f>
        <v>33652494.740664557</v>
      </c>
      <c r="DJ75" s="8">
        <f>+MINVU_Mes_Corriente!DJ75*SALUD_Mes_Constante!$DC$1</f>
        <v>33652494.740664557</v>
      </c>
      <c r="DK75" s="8">
        <f>+MINVU_Mes_Corriente!DK75*SALUD_Mes_Constante!$DC$1</f>
        <v>33652494.740664557</v>
      </c>
      <c r="DL75" s="8">
        <f>+MINVU_Mes_Corriente!DL75*SALUD_Mes_Constante!$DC$1</f>
        <v>38501838.159242898</v>
      </c>
      <c r="DM75" s="8">
        <f>+MINVU_Mes_Corriente!DM75*SALUD_Mes_Constante!$DC$1</f>
        <v>36921072.661660343</v>
      </c>
      <c r="DN75" s="8">
        <f>+MINVU_Mes_Corriente!DN75*SALUD_Mes_Constante!$DC$1</f>
        <v>34256160.455508709</v>
      </c>
      <c r="DO75" s="9">
        <f t="shared" si="27"/>
        <v>34256160.455508709</v>
      </c>
      <c r="DP75" s="8">
        <f>+MINVU_Mes_Corriente!DP75*SALUD_Mes_Constante!$DP$1</f>
        <v>0</v>
      </c>
      <c r="DQ75" s="8">
        <f>+MINVU_Mes_Corriente!DQ75*SALUD_Mes_Constante!$DP$1</f>
        <v>23452943.396080762</v>
      </c>
      <c r="DR75" s="8">
        <f>+MINVU_Mes_Corriente!DR75*SALUD_Mes_Constante!$DP$1</f>
        <v>23452943.396080762</v>
      </c>
      <c r="DS75" s="8">
        <f>+MINVU_Mes_Corriente!DS75*SALUD_Mes_Constante!$DP$1</f>
        <v>23452943.396080762</v>
      </c>
      <c r="DT75" s="8">
        <f>+MINVU_Mes_Corriente!DT75*SALUD_Mes_Constante!$DP$1</f>
        <v>40193724.046318293</v>
      </c>
      <c r="DU75" s="8">
        <f>+MINVU_Mes_Corriente!DU75*SALUD_Mes_Constante!$DP$1</f>
        <v>41067127.118764848</v>
      </c>
      <c r="DV75" s="8">
        <f>+MINVU_Mes_Corriente!DV75*SALUD_Mes_Constante!$DP$1</f>
        <v>43649001.258313544</v>
      </c>
      <c r="DW75" s="8">
        <f>+MINVU_Mes_Corriente!DW75*SALUD_Mes_Constante!$DP$1</f>
        <v>43649001.258313544</v>
      </c>
      <c r="DX75" s="8">
        <f>+MINVU_Mes_Corriente!DX75*SALUD_Mes_Constante!$DP$1</f>
        <v>43649001.258313544</v>
      </c>
      <c r="DY75" s="8">
        <f>+MINVU_Mes_Corriente!DY75*SALUD_Mes_Constante!$DP$1</f>
        <v>43842885.853325419</v>
      </c>
      <c r="DZ75" s="8">
        <f>+MINVU_Mes_Corriente!DZ75*SALUD_Mes_Constante!$DP$1</f>
        <v>43842885.853325419</v>
      </c>
      <c r="EA75" s="8">
        <f>+MINVU_Mes_Corriente!EA75*SALUD_Mes_Constante!$DP$1</f>
        <v>29681340.839073636</v>
      </c>
      <c r="EB75" s="9">
        <f t="shared" si="28"/>
        <v>29681340.839073636</v>
      </c>
      <c r="EC75" s="8">
        <f>+MINVU_Mes_Corriente!EC75*SALUD_Mes_Constante!$EC$1</f>
        <v>0</v>
      </c>
      <c r="ED75" s="8">
        <f>+MINVU_Mes_Corriente!ED75*SALUD_Mes_Constante!$EC$1</f>
        <v>38946967.321340643</v>
      </c>
      <c r="EE75" s="8">
        <f>+MINVU_Mes_Corriente!EE75*SALUD_Mes_Constante!$EC$1</f>
        <v>41299616.90910811</v>
      </c>
      <c r="EF75" s="8">
        <f>+MINVU_Mes_Corriente!EF75*SALUD_Mes_Constante!$EC$1</f>
        <v>41372888.969892055</v>
      </c>
      <c r="EG75" s="8">
        <f>+MINVU_Mes_Corriente!EG75*SALUD_Mes_Constante!$EC$1</f>
        <v>41372888.969892055</v>
      </c>
      <c r="EH75" s="8">
        <f>+MINVU_Mes_Corriente!EH75*SALUD_Mes_Constante!$EC$1</f>
        <v>41372888.969892055</v>
      </c>
      <c r="EI75" s="8">
        <f>+MINVU_Mes_Corriente!EI75*SALUD_Mes_Constante!$EC$1</f>
        <v>52943008.841696635</v>
      </c>
      <c r="EJ75" s="8">
        <f>+MINVU_Mes_Corriente!EJ75*SALUD_Mes_Constante!$EC$1</f>
        <v>54430539.983904548</v>
      </c>
      <c r="EK75" s="8">
        <f>+MINVU_Mes_Corriente!EK75*SALUD_Mes_Constante!$EC$1</f>
        <v>54430539.983904548</v>
      </c>
      <c r="EL75" s="8">
        <f>+MINVU_Mes_Corriente!EL75*SALUD_Mes_Constante!$EC$1</f>
        <v>51651143.304677129</v>
      </c>
      <c r="EM75" s="8">
        <f>+MINVU_Mes_Corriente!EM75*SALUD_Mes_Constante!$EC$1</f>
        <v>49165528.993372455</v>
      </c>
      <c r="EN75" s="8">
        <f>+MINVU_Mes_Corriente!EN75*SALUD_Mes_Constante!$EC$1</f>
        <v>49165528.993372455</v>
      </c>
      <c r="EO75" s="9">
        <f t="shared" si="29"/>
        <v>49165528.993372455</v>
      </c>
      <c r="EP75" s="8">
        <f>+MINVU_Mes_Corriente!EP75*SALUD_Mes_Constante!$EP$1</f>
        <v>0</v>
      </c>
      <c r="EQ75" s="8">
        <f>+MINVU_Mes_Corriente!EQ75*SALUD_Mes_Constante!$EP$1</f>
        <v>22007344</v>
      </c>
      <c r="ER75" s="8">
        <f>+MINVU_Mes_Corriente!ER75*SALUD_Mes_Constante!$EP$1</f>
        <v>22007344</v>
      </c>
      <c r="ES75" s="8">
        <f>+MINVU_Mes_Corriente!ES75*SALUD_Mes_Constante!$EP$1</f>
        <v>22007344</v>
      </c>
      <c r="ET75" s="8">
        <f>+MINVU_Mes_Corriente!ET75*SALUD_Mes_Constante!$EP$1</f>
        <v>39627780</v>
      </c>
      <c r="EU75" s="8">
        <f>+MINVU_Mes_Corriente!EU75*SALUD_Mes_Constante!$EP$1</f>
        <v>39627780</v>
      </c>
      <c r="EV75" s="8">
        <f>+MINVU_Mes_Corriente!EV75*SALUD_Mes_Constante!$EP$1</f>
        <v>39627780</v>
      </c>
      <c r="EW75" s="8">
        <f>+MINVU_Mes_Corriente!EW75*SALUD_Mes_Constante!$EP$1</f>
        <v>39627780</v>
      </c>
      <c r="EX75" s="8">
        <f>+MINVU_Mes_Corriente!EX75*SALUD_Mes_Constante!$EP$1</f>
        <v>44659454</v>
      </c>
      <c r="EY75" s="8">
        <f>+MINVU_Mes_Corriente!EY75*SALUD_Mes_Constante!$EP$1</f>
        <v>44659454</v>
      </c>
      <c r="EZ75" s="8">
        <f>+MINVU_Mes_Corriente!EZ75*SALUD_Mes_Constante!$EP$1</f>
        <v>44659454</v>
      </c>
      <c r="FA75" s="8">
        <f>+MINVU_Mes_Corriente!FA75*SALUD_Mes_Constante!$EP$1</f>
        <v>37774937</v>
      </c>
      <c r="FB75" s="9">
        <f t="shared" si="30"/>
        <v>37774937</v>
      </c>
      <c r="FC75" s="8">
        <f>+MINVU_Mes_Corriente!FC75*SALUD_Mes_Constante!$FC$1</f>
        <v>9165660</v>
      </c>
      <c r="FD75" s="8">
        <f>+MINVU_Mes_Corriente!FD75*SALUD_Mes_Constante!$FC$1</f>
        <v>9165660</v>
      </c>
      <c r="FE75" s="8">
        <f>+MINVU_Mes_Corriente!FE75*SALUD_Mes_Constante!$FC$1</f>
        <v>9165660</v>
      </c>
      <c r="FF75" s="8">
        <f>+MINVU_Mes_Corriente!FF75*SALUD_Mes_Constante!$FC$1</f>
        <v>9165660</v>
      </c>
      <c r="FG75" s="8">
        <f>+MINVU_Mes_Corriente!FG75*SALUD_Mes_Constante!$FC$1</f>
        <v>9165660</v>
      </c>
      <c r="FH75" s="8">
        <f>+MINVU_Mes_Corriente!FH75*SALUD_Mes_Constante!$FC$1</f>
        <v>16509780</v>
      </c>
      <c r="FI75" s="8">
        <f>+MINVU_Mes_Corriente!FI75*SALUD_Mes_Constante!$FC$1</f>
        <v>16509780</v>
      </c>
      <c r="FJ75" s="8"/>
      <c r="FK75" s="8"/>
      <c r="FL75" s="8"/>
      <c r="FM75" s="8"/>
      <c r="FN75" s="8"/>
      <c r="FO75" s="9">
        <f t="shared" si="31"/>
        <v>16509780</v>
      </c>
    </row>
    <row r="76" spans="2:171" ht="14.25" customHeight="1" thickBot="1" x14ac:dyDescent="0.35">
      <c r="B76" s="14" t="s">
        <v>77</v>
      </c>
      <c r="C76" s="16">
        <f t="shared" ref="C76:AH76" si="32">SUM(C44:C75)</f>
        <v>446075448.76434827</v>
      </c>
      <c r="D76" s="16">
        <f t="shared" si="32"/>
        <v>437268049.2608633</v>
      </c>
      <c r="E76" s="16">
        <f t="shared" si="32"/>
        <v>437268049.26086318</v>
      </c>
      <c r="F76" s="16">
        <f t="shared" si="32"/>
        <v>437268049.26086318</v>
      </c>
      <c r="G76" s="16">
        <f t="shared" si="32"/>
        <v>437268049.26086318</v>
      </c>
      <c r="H76" s="16">
        <f t="shared" si="32"/>
        <v>447800938.48909986</v>
      </c>
      <c r="I76" s="16">
        <f t="shared" si="32"/>
        <v>447350830.39033079</v>
      </c>
      <c r="J76" s="16">
        <f t="shared" si="32"/>
        <v>451766728.11448926</v>
      </c>
      <c r="K76" s="16">
        <f t="shared" si="32"/>
        <v>448157356.50244707</v>
      </c>
      <c r="L76" s="16">
        <f t="shared" si="32"/>
        <v>448157356.50244707</v>
      </c>
      <c r="M76" s="16">
        <f t="shared" si="32"/>
        <v>391377711.77725047</v>
      </c>
      <c r="N76" s="16">
        <f t="shared" si="32"/>
        <v>371767784.33753526</v>
      </c>
      <c r="O76" s="16">
        <f t="shared" si="32"/>
        <v>371767784.33753526</v>
      </c>
      <c r="P76" s="16">
        <f t="shared" si="32"/>
        <v>821148562.26196873</v>
      </c>
      <c r="Q76" s="16">
        <f t="shared" si="32"/>
        <v>820873377.31581175</v>
      </c>
      <c r="R76" s="16">
        <f t="shared" si="32"/>
        <v>808878557.15953958</v>
      </c>
      <c r="S76" s="16">
        <f t="shared" si="32"/>
        <v>783275451.34564531</v>
      </c>
      <c r="T76" s="16">
        <f t="shared" si="32"/>
        <v>771843746.27077663</v>
      </c>
      <c r="U76" s="16">
        <f t="shared" si="32"/>
        <v>758811713.59255552</v>
      </c>
      <c r="V76" s="16">
        <f t="shared" si="32"/>
        <v>758017460.60321021</v>
      </c>
      <c r="W76" s="16">
        <f t="shared" si="32"/>
        <v>755668614.30004227</v>
      </c>
      <c r="X76" s="16">
        <f t="shared" si="32"/>
        <v>755101151.4808917</v>
      </c>
      <c r="Y76" s="16">
        <f t="shared" si="32"/>
        <v>736401130.96178412</v>
      </c>
      <c r="Z76" s="16">
        <f t="shared" si="32"/>
        <v>626812843.38940191</v>
      </c>
      <c r="AA76" s="16">
        <f t="shared" si="32"/>
        <v>583556458.5901407</v>
      </c>
      <c r="AB76" s="16">
        <f t="shared" si="32"/>
        <v>583556458.5901407</v>
      </c>
      <c r="AC76" s="16">
        <f t="shared" si="32"/>
        <v>752418559.24747539</v>
      </c>
      <c r="AD76" s="16">
        <f t="shared" si="32"/>
        <v>741551504.32978284</v>
      </c>
      <c r="AE76" s="16">
        <f t="shared" si="32"/>
        <v>740413899.00373507</v>
      </c>
      <c r="AF76" s="16">
        <f t="shared" si="32"/>
        <v>738535449.2120626</v>
      </c>
      <c r="AG76" s="16">
        <f t="shared" si="32"/>
        <v>738535449.2120626</v>
      </c>
      <c r="AH76" s="16">
        <f t="shared" si="32"/>
        <v>738535449.2120626</v>
      </c>
      <c r="AI76" s="16">
        <f t="shared" ref="AI76:BN76" si="33">SUM(AI44:AI75)</f>
        <v>738517791.38138044</v>
      </c>
      <c r="AJ76" s="16">
        <f t="shared" si="33"/>
        <v>738522423.86028504</v>
      </c>
      <c r="AK76" s="16">
        <f t="shared" si="33"/>
        <v>738642972.59925306</v>
      </c>
      <c r="AL76" s="16">
        <f t="shared" si="33"/>
        <v>738642972.59925294</v>
      </c>
      <c r="AM76" s="16">
        <f t="shared" si="33"/>
        <v>738560597.60243464</v>
      </c>
      <c r="AN76" s="16">
        <f t="shared" si="33"/>
        <v>560064010.74090469</v>
      </c>
      <c r="AO76" s="16">
        <f t="shared" si="33"/>
        <v>560064010.74090469</v>
      </c>
      <c r="AP76" s="16">
        <f t="shared" si="33"/>
        <v>516600335.84255373</v>
      </c>
      <c r="AQ76" s="16">
        <f t="shared" si="33"/>
        <v>516600335.84255385</v>
      </c>
      <c r="AR76" s="16">
        <f t="shared" si="33"/>
        <v>517696673.41241705</v>
      </c>
      <c r="AS76" s="16">
        <f t="shared" si="33"/>
        <v>517696673.41241699</v>
      </c>
      <c r="AT76" s="16">
        <f t="shared" si="33"/>
        <v>528438546.74015951</v>
      </c>
      <c r="AU76" s="16">
        <f t="shared" si="33"/>
        <v>531394315.7108075</v>
      </c>
      <c r="AV76" s="16">
        <f t="shared" si="33"/>
        <v>542319018.12822938</v>
      </c>
      <c r="AW76" s="16">
        <f t="shared" si="33"/>
        <v>549372650.42093873</v>
      </c>
      <c r="AX76" s="16">
        <f t="shared" si="33"/>
        <v>544667435.69078851</v>
      </c>
      <c r="AY76" s="16">
        <f t="shared" si="33"/>
        <v>547129103.54145801</v>
      </c>
      <c r="AZ76" s="16">
        <f t="shared" si="33"/>
        <v>550690805.15108883</v>
      </c>
      <c r="BA76" s="16">
        <f t="shared" si="33"/>
        <v>580315689.83146203</v>
      </c>
      <c r="BB76" s="16">
        <f t="shared" si="33"/>
        <v>580315689.83146203</v>
      </c>
      <c r="BC76" s="16">
        <f t="shared" si="33"/>
        <v>639313334.81603599</v>
      </c>
      <c r="BD76" s="16">
        <f t="shared" si="33"/>
        <v>639313334.81603599</v>
      </c>
      <c r="BE76" s="16">
        <f t="shared" si="33"/>
        <v>656759312.56916809</v>
      </c>
      <c r="BF76" s="16">
        <f t="shared" si="33"/>
        <v>654838941.63418174</v>
      </c>
      <c r="BG76" s="16">
        <f t="shared" si="33"/>
        <v>654838941.63418174</v>
      </c>
      <c r="BH76" s="16">
        <f t="shared" si="33"/>
        <v>656152864.09626806</v>
      </c>
      <c r="BI76" s="16">
        <f t="shared" si="33"/>
        <v>654918165.58037734</v>
      </c>
      <c r="BJ76" s="16">
        <f t="shared" si="33"/>
        <v>636782305.2311753</v>
      </c>
      <c r="BK76" s="16">
        <f t="shared" si="33"/>
        <v>555833967.37228012</v>
      </c>
      <c r="BL76" s="16">
        <f t="shared" si="33"/>
        <v>551953891.61413693</v>
      </c>
      <c r="BM76" s="16">
        <f t="shared" si="33"/>
        <v>551653842.30067265</v>
      </c>
      <c r="BN76" s="16">
        <f t="shared" si="33"/>
        <v>489327692.10233426</v>
      </c>
      <c r="BO76" s="16">
        <f t="shared" ref="BO76:CT76" si="34">SUM(BO44:BO75)</f>
        <v>489327692.10233426</v>
      </c>
      <c r="BP76" s="16">
        <f t="shared" si="34"/>
        <v>585994597.27836108</v>
      </c>
      <c r="BQ76" s="16">
        <f t="shared" si="34"/>
        <v>585994597.2783612</v>
      </c>
      <c r="BR76" s="16">
        <f t="shared" si="34"/>
        <v>582865071.91190791</v>
      </c>
      <c r="BS76" s="16">
        <f t="shared" si="34"/>
        <v>650447465.78950071</v>
      </c>
      <c r="BT76" s="16">
        <f t="shared" si="34"/>
        <v>650447465.78950083</v>
      </c>
      <c r="BU76" s="16">
        <f t="shared" si="34"/>
        <v>692185681.13393104</v>
      </c>
      <c r="BV76" s="16">
        <f t="shared" si="34"/>
        <v>795564616.83994889</v>
      </c>
      <c r="BW76" s="16">
        <f t="shared" si="34"/>
        <v>867074661.49782348</v>
      </c>
      <c r="BX76" s="16">
        <f t="shared" si="34"/>
        <v>795754275.97183132</v>
      </c>
      <c r="BY76" s="16">
        <f t="shared" si="34"/>
        <v>795754275.97183132</v>
      </c>
      <c r="BZ76" s="16">
        <f t="shared" si="34"/>
        <v>795754275.9718312</v>
      </c>
      <c r="CA76" s="16">
        <f t="shared" si="34"/>
        <v>785572915.74775958</v>
      </c>
      <c r="CB76" s="16">
        <f t="shared" si="34"/>
        <v>785572915.74775958</v>
      </c>
      <c r="CC76" s="16">
        <f t="shared" si="34"/>
        <v>998430982.23424113</v>
      </c>
      <c r="CD76" s="16">
        <f t="shared" si="34"/>
        <v>998430982.23424125</v>
      </c>
      <c r="CE76" s="16">
        <f t="shared" si="34"/>
        <v>998430982.23424125</v>
      </c>
      <c r="CF76" s="16">
        <f t="shared" si="34"/>
        <v>944093048.62737799</v>
      </c>
      <c r="CG76" s="16">
        <f t="shared" si="34"/>
        <v>944093048.62737787</v>
      </c>
      <c r="CH76" s="16">
        <f t="shared" si="34"/>
        <v>862609830.04699767</v>
      </c>
      <c r="CI76" s="16">
        <f t="shared" si="34"/>
        <v>862609830.04699755</v>
      </c>
      <c r="CJ76" s="16">
        <f t="shared" si="34"/>
        <v>862609830.04699743</v>
      </c>
      <c r="CK76" s="16">
        <f t="shared" si="34"/>
        <v>850881978.74524438</v>
      </c>
      <c r="CL76" s="16">
        <f t="shared" si="34"/>
        <v>847314693.40395367</v>
      </c>
      <c r="CM76" s="16">
        <f t="shared" si="34"/>
        <v>847314693.40395355</v>
      </c>
      <c r="CN76" s="16">
        <f t="shared" si="34"/>
        <v>691572226.41104078</v>
      </c>
      <c r="CO76" s="16">
        <f t="shared" si="34"/>
        <v>691572226.41104078</v>
      </c>
      <c r="CP76" s="16">
        <f t="shared" si="34"/>
        <v>829944937.61206484</v>
      </c>
      <c r="CQ76" s="16">
        <f t="shared" si="34"/>
        <v>829944937.61206484</v>
      </c>
      <c r="CR76" s="16">
        <f t="shared" si="34"/>
        <v>829944937.61206508</v>
      </c>
      <c r="CS76" s="16">
        <f t="shared" si="34"/>
        <v>829944937.61206508</v>
      </c>
      <c r="CT76" s="16">
        <f t="shared" si="34"/>
        <v>829944937.61206484</v>
      </c>
      <c r="CU76" s="16">
        <f t="shared" ref="CU76:DZ76" si="35">SUM(CU44:CU75)</f>
        <v>829944937.6120646</v>
      </c>
      <c r="CV76" s="16">
        <f t="shared" si="35"/>
        <v>829944937.61206484</v>
      </c>
      <c r="CW76" s="16">
        <f t="shared" si="35"/>
        <v>829944937.61206496</v>
      </c>
      <c r="CX76" s="16">
        <f t="shared" si="35"/>
        <v>829944937.61206496</v>
      </c>
      <c r="CY76" s="16">
        <f t="shared" si="35"/>
        <v>829944937.61206484</v>
      </c>
      <c r="CZ76" s="16">
        <f t="shared" si="35"/>
        <v>829777038.45452416</v>
      </c>
      <c r="DA76" s="16">
        <f t="shared" si="35"/>
        <v>505336219.25220418</v>
      </c>
      <c r="DB76" s="16">
        <f t="shared" si="35"/>
        <v>505336219.25220418</v>
      </c>
      <c r="DC76" s="16">
        <f t="shared" si="35"/>
        <v>724366234.91924727</v>
      </c>
      <c r="DD76" s="16">
        <f t="shared" si="35"/>
        <v>724366234.91924751</v>
      </c>
      <c r="DE76" s="16">
        <f t="shared" si="35"/>
        <v>724366234.91924739</v>
      </c>
      <c r="DF76" s="16">
        <f t="shared" si="35"/>
        <v>724366234.91924739</v>
      </c>
      <c r="DG76" s="16">
        <f t="shared" si="35"/>
        <v>623209975.27517772</v>
      </c>
      <c r="DH76" s="16">
        <f t="shared" si="35"/>
        <v>597358931.14391553</v>
      </c>
      <c r="DI76" s="16">
        <f t="shared" si="35"/>
        <v>593867431.80166698</v>
      </c>
      <c r="DJ76" s="16">
        <f t="shared" si="35"/>
        <v>588882489.54099417</v>
      </c>
      <c r="DK76" s="16">
        <f t="shared" si="35"/>
        <v>565840091.66917014</v>
      </c>
      <c r="DL76" s="16">
        <f t="shared" si="35"/>
        <v>565840091.66917014</v>
      </c>
      <c r="DM76" s="16">
        <f t="shared" si="35"/>
        <v>512060789.96173275</v>
      </c>
      <c r="DN76" s="16">
        <f t="shared" si="35"/>
        <v>367845856.67606246</v>
      </c>
      <c r="DO76" s="16">
        <f t="shared" si="35"/>
        <v>367845856.67606246</v>
      </c>
      <c r="DP76" s="16">
        <f t="shared" si="35"/>
        <v>768394189.37707841</v>
      </c>
      <c r="DQ76" s="16">
        <f t="shared" si="35"/>
        <v>764352564.22268414</v>
      </c>
      <c r="DR76" s="16">
        <f t="shared" si="35"/>
        <v>725205406.94002378</v>
      </c>
      <c r="DS76" s="16">
        <f t="shared" si="35"/>
        <v>719528454.57897866</v>
      </c>
      <c r="DT76" s="16">
        <f t="shared" si="35"/>
        <v>681661352.16092622</v>
      </c>
      <c r="DU76" s="16">
        <f t="shared" si="35"/>
        <v>678861142.93289793</v>
      </c>
      <c r="DV76" s="16">
        <f t="shared" si="35"/>
        <v>678861142.93289793</v>
      </c>
      <c r="DW76" s="16">
        <f t="shared" si="35"/>
        <v>656566187.92695963</v>
      </c>
      <c r="DX76" s="16">
        <f t="shared" si="35"/>
        <v>656566187.92695963</v>
      </c>
      <c r="DY76" s="16">
        <f t="shared" si="35"/>
        <v>656566187.92695975</v>
      </c>
      <c r="DZ76" s="16">
        <f t="shared" si="35"/>
        <v>580871413.58016634</v>
      </c>
      <c r="EA76" s="16">
        <f t="shared" ref="EA76:FF76" si="36">SUM(EA44:EA75)</f>
        <v>480234581.73812354</v>
      </c>
      <c r="EB76" s="16">
        <f t="shared" si="36"/>
        <v>480234581.73812354</v>
      </c>
      <c r="EC76" s="16">
        <f t="shared" si="36"/>
        <v>603413613.65953398</v>
      </c>
      <c r="ED76" s="16">
        <f t="shared" si="36"/>
        <v>603413613.6595341</v>
      </c>
      <c r="EE76" s="16">
        <f t="shared" si="36"/>
        <v>603413613.65953422</v>
      </c>
      <c r="EF76" s="16">
        <f t="shared" si="36"/>
        <v>660309088.00151455</v>
      </c>
      <c r="EG76" s="16">
        <f t="shared" si="36"/>
        <v>653895416.34841859</v>
      </c>
      <c r="EH76" s="16">
        <f t="shared" si="36"/>
        <v>651229543.72637737</v>
      </c>
      <c r="EI76" s="16">
        <f t="shared" si="36"/>
        <v>666746491.27419043</v>
      </c>
      <c r="EJ76" s="16">
        <f t="shared" si="36"/>
        <v>666746491.27419043</v>
      </c>
      <c r="EK76" s="16">
        <f t="shared" si="36"/>
        <v>666746491.27419043</v>
      </c>
      <c r="EL76" s="16">
        <f t="shared" si="36"/>
        <v>624962454.91743958</v>
      </c>
      <c r="EM76" s="16">
        <f t="shared" si="36"/>
        <v>614608381.67354643</v>
      </c>
      <c r="EN76" s="16">
        <f t="shared" si="36"/>
        <v>568486751.24730146</v>
      </c>
      <c r="EO76" s="16">
        <f t="shared" si="36"/>
        <v>568486751.24730146</v>
      </c>
      <c r="EP76" s="16">
        <f t="shared" si="36"/>
        <v>574148004</v>
      </c>
      <c r="EQ76" s="16">
        <f t="shared" si="36"/>
        <v>574182004</v>
      </c>
      <c r="ER76" s="16">
        <f t="shared" si="36"/>
        <v>567982004</v>
      </c>
      <c r="ES76" s="16">
        <f t="shared" si="36"/>
        <v>567982004</v>
      </c>
      <c r="ET76" s="16">
        <f t="shared" si="36"/>
        <v>567982004</v>
      </c>
      <c r="EU76" s="16">
        <f t="shared" si="36"/>
        <v>567982004</v>
      </c>
      <c r="EV76" s="16">
        <f t="shared" si="36"/>
        <v>567982004</v>
      </c>
      <c r="EW76" s="16">
        <f t="shared" si="36"/>
        <v>590853467</v>
      </c>
      <c r="EX76" s="16">
        <f t="shared" si="36"/>
        <v>607982004</v>
      </c>
      <c r="EY76" s="16">
        <f t="shared" si="36"/>
        <v>607982004</v>
      </c>
      <c r="EZ76" s="16">
        <f t="shared" si="36"/>
        <v>593423584</v>
      </c>
      <c r="FA76" s="16">
        <f t="shared" si="36"/>
        <v>534024550</v>
      </c>
      <c r="FB76" s="16">
        <f t="shared" si="36"/>
        <v>534024550</v>
      </c>
      <c r="FC76" s="16">
        <f t="shared" si="36"/>
        <v>648268110</v>
      </c>
      <c r="FD76" s="16">
        <f t="shared" si="36"/>
        <v>623490276</v>
      </c>
      <c r="FE76" s="16">
        <f t="shared" si="36"/>
        <v>623490276</v>
      </c>
      <c r="FF76" s="16">
        <f t="shared" si="36"/>
        <v>623490276</v>
      </c>
      <c r="FG76" s="16">
        <f t="shared" ref="FG76:GL76" si="37">SUM(FG44:FG75)</f>
        <v>558585548</v>
      </c>
      <c r="FH76" s="16">
        <f t="shared" si="37"/>
        <v>558585548</v>
      </c>
      <c r="FI76" s="16">
        <f t="shared" si="37"/>
        <v>558585548</v>
      </c>
      <c r="FJ76" s="16">
        <f t="shared" si="37"/>
        <v>0</v>
      </c>
      <c r="FK76" s="16">
        <f t="shared" si="37"/>
        <v>0</v>
      </c>
      <c r="FL76" s="16">
        <f t="shared" si="37"/>
        <v>0</v>
      </c>
      <c r="FM76" s="16">
        <f t="shared" si="37"/>
        <v>0</v>
      </c>
      <c r="FN76" s="16">
        <f t="shared" si="37"/>
        <v>0</v>
      </c>
      <c r="FO76" s="16">
        <f t="shared" si="37"/>
        <v>558585548</v>
      </c>
    </row>
    <row r="77" spans="2:171" ht="14.25" customHeight="1" thickTop="1" x14ac:dyDescent="0.3">
      <c r="B77" s="4" t="s">
        <v>78</v>
      </c>
    </row>
    <row r="78" spans="2:171" ht="14.25" customHeight="1" x14ac:dyDescent="0.3">
      <c r="C78" s="38" t="s">
        <v>4</v>
      </c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8" t="s">
        <v>5</v>
      </c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8" t="s">
        <v>6</v>
      </c>
      <c r="AD78" s="39"/>
      <c r="AE78" s="39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8" t="s">
        <v>7</v>
      </c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8" t="s">
        <v>8</v>
      </c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8" t="s">
        <v>9</v>
      </c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  <c r="CC78" s="38" t="s">
        <v>10</v>
      </c>
      <c r="CD78" s="39"/>
      <c r="CE78" s="39"/>
      <c r="CF78" s="39"/>
      <c r="CG78" s="39"/>
      <c r="CH78" s="39"/>
      <c r="CI78" s="39"/>
      <c r="CJ78" s="39"/>
      <c r="CK78" s="39"/>
      <c r="CL78" s="39"/>
      <c r="CM78" s="39"/>
      <c r="CN78" s="39"/>
      <c r="CO78" s="39"/>
      <c r="CP78" s="38" t="s">
        <v>11</v>
      </c>
      <c r="CQ78" s="39"/>
      <c r="CR78" s="39"/>
      <c r="CS78" s="39"/>
      <c r="CT78" s="39"/>
      <c r="CU78" s="39"/>
      <c r="CV78" s="39"/>
      <c r="CW78" s="39"/>
      <c r="CX78" s="39"/>
      <c r="CY78" s="39"/>
      <c r="CZ78" s="39"/>
      <c r="DA78" s="39"/>
      <c r="DB78" s="39"/>
      <c r="DC78" s="38" t="s">
        <v>12</v>
      </c>
      <c r="DD78" s="39"/>
      <c r="DE78" s="39"/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8" t="s">
        <v>13</v>
      </c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8" t="s">
        <v>14</v>
      </c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8" t="s">
        <v>15</v>
      </c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8" t="s">
        <v>16</v>
      </c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</row>
    <row r="79" spans="2:171" ht="14.25" customHeight="1" x14ac:dyDescent="0.3">
      <c r="B79" s="5" t="s">
        <v>17</v>
      </c>
      <c r="C79" s="6" t="s">
        <v>18</v>
      </c>
      <c r="D79" s="6" t="s">
        <v>19</v>
      </c>
      <c r="E79" s="6" t="s">
        <v>20</v>
      </c>
      <c r="F79" s="6" t="s">
        <v>21</v>
      </c>
      <c r="G79" s="6" t="s">
        <v>22</v>
      </c>
      <c r="H79" s="6" t="s">
        <v>23</v>
      </c>
      <c r="I79" s="6" t="s">
        <v>24</v>
      </c>
      <c r="J79" s="6" t="s">
        <v>25</v>
      </c>
      <c r="K79" s="6" t="s">
        <v>26</v>
      </c>
      <c r="L79" s="6" t="s">
        <v>27</v>
      </c>
      <c r="M79" s="6" t="s">
        <v>28</v>
      </c>
      <c r="N79" s="6" t="s">
        <v>29</v>
      </c>
      <c r="O79" s="6" t="s">
        <v>30</v>
      </c>
      <c r="P79" s="6" t="s">
        <v>18</v>
      </c>
      <c r="Q79" s="6" t="s">
        <v>19</v>
      </c>
      <c r="R79" s="6" t="s">
        <v>20</v>
      </c>
      <c r="S79" s="6" t="s">
        <v>21</v>
      </c>
      <c r="T79" s="6" t="s">
        <v>22</v>
      </c>
      <c r="U79" s="6" t="s">
        <v>23</v>
      </c>
      <c r="V79" s="6" t="s">
        <v>24</v>
      </c>
      <c r="W79" s="6" t="s">
        <v>25</v>
      </c>
      <c r="X79" s="6" t="s">
        <v>26</v>
      </c>
      <c r="Y79" s="6" t="s">
        <v>27</v>
      </c>
      <c r="Z79" s="6" t="s">
        <v>28</v>
      </c>
      <c r="AA79" s="6" t="s">
        <v>29</v>
      </c>
      <c r="AB79" s="6" t="s">
        <v>31</v>
      </c>
      <c r="AC79" s="6" t="s">
        <v>18</v>
      </c>
      <c r="AD79" s="6" t="s">
        <v>19</v>
      </c>
      <c r="AE79" s="6" t="s">
        <v>20</v>
      </c>
      <c r="AF79" s="6" t="s">
        <v>21</v>
      </c>
      <c r="AG79" s="6" t="s">
        <v>22</v>
      </c>
      <c r="AH79" s="6" t="s">
        <v>23</v>
      </c>
      <c r="AI79" s="6" t="s">
        <v>24</v>
      </c>
      <c r="AJ79" s="6" t="s">
        <v>25</v>
      </c>
      <c r="AK79" s="6" t="s">
        <v>26</v>
      </c>
      <c r="AL79" s="6" t="s">
        <v>27</v>
      </c>
      <c r="AM79" s="6" t="s">
        <v>28</v>
      </c>
      <c r="AN79" s="6" t="s">
        <v>29</v>
      </c>
      <c r="AO79" s="6" t="s">
        <v>32</v>
      </c>
      <c r="AP79" s="6" t="s">
        <v>18</v>
      </c>
      <c r="AQ79" s="6" t="s">
        <v>19</v>
      </c>
      <c r="AR79" s="6" t="s">
        <v>20</v>
      </c>
      <c r="AS79" s="6" t="s">
        <v>21</v>
      </c>
      <c r="AT79" s="6" t="s">
        <v>22</v>
      </c>
      <c r="AU79" s="6" t="s">
        <v>23</v>
      </c>
      <c r="AV79" s="6" t="s">
        <v>24</v>
      </c>
      <c r="AW79" s="6" t="s">
        <v>25</v>
      </c>
      <c r="AX79" s="6" t="s">
        <v>26</v>
      </c>
      <c r="AY79" s="6" t="s">
        <v>27</v>
      </c>
      <c r="AZ79" s="6" t="s">
        <v>28</v>
      </c>
      <c r="BA79" s="6" t="s">
        <v>29</v>
      </c>
      <c r="BB79" s="6" t="s">
        <v>33</v>
      </c>
      <c r="BC79" s="6" t="s">
        <v>18</v>
      </c>
      <c r="BD79" s="6" t="s">
        <v>19</v>
      </c>
      <c r="BE79" s="6" t="s">
        <v>20</v>
      </c>
      <c r="BF79" s="6" t="s">
        <v>21</v>
      </c>
      <c r="BG79" s="6" t="s">
        <v>22</v>
      </c>
      <c r="BH79" s="6" t="s">
        <v>23</v>
      </c>
      <c r="BI79" s="6" t="s">
        <v>24</v>
      </c>
      <c r="BJ79" s="6" t="s">
        <v>25</v>
      </c>
      <c r="BK79" s="6" t="s">
        <v>26</v>
      </c>
      <c r="BL79" s="6" t="s">
        <v>27</v>
      </c>
      <c r="BM79" s="6" t="s">
        <v>28</v>
      </c>
      <c r="BN79" s="6" t="s">
        <v>29</v>
      </c>
      <c r="BO79" s="6" t="s">
        <v>34</v>
      </c>
      <c r="BP79" s="6" t="s">
        <v>18</v>
      </c>
      <c r="BQ79" s="6" t="s">
        <v>19</v>
      </c>
      <c r="BR79" s="6" t="s">
        <v>20</v>
      </c>
      <c r="BS79" s="6" t="s">
        <v>21</v>
      </c>
      <c r="BT79" s="6" t="s">
        <v>22</v>
      </c>
      <c r="BU79" s="6" t="s">
        <v>23</v>
      </c>
      <c r="BV79" s="6" t="s">
        <v>24</v>
      </c>
      <c r="BW79" s="6" t="s">
        <v>25</v>
      </c>
      <c r="BX79" s="6" t="s">
        <v>26</v>
      </c>
      <c r="BY79" s="6" t="s">
        <v>27</v>
      </c>
      <c r="BZ79" s="6" t="s">
        <v>28</v>
      </c>
      <c r="CA79" s="6" t="s">
        <v>29</v>
      </c>
      <c r="CB79" s="6" t="s">
        <v>35</v>
      </c>
      <c r="CC79" s="6" t="s">
        <v>18</v>
      </c>
      <c r="CD79" s="6" t="s">
        <v>19</v>
      </c>
      <c r="CE79" s="6" t="s">
        <v>20</v>
      </c>
      <c r="CF79" s="6" t="s">
        <v>21</v>
      </c>
      <c r="CG79" s="6" t="s">
        <v>22</v>
      </c>
      <c r="CH79" s="6" t="s">
        <v>23</v>
      </c>
      <c r="CI79" s="6" t="s">
        <v>24</v>
      </c>
      <c r="CJ79" s="6" t="s">
        <v>25</v>
      </c>
      <c r="CK79" s="6" t="s">
        <v>26</v>
      </c>
      <c r="CL79" s="6" t="s">
        <v>27</v>
      </c>
      <c r="CM79" s="6" t="s">
        <v>28</v>
      </c>
      <c r="CN79" s="6" t="s">
        <v>29</v>
      </c>
      <c r="CO79" s="6" t="s">
        <v>36</v>
      </c>
      <c r="CP79" s="6" t="s">
        <v>18</v>
      </c>
      <c r="CQ79" s="6" t="s">
        <v>19</v>
      </c>
      <c r="CR79" s="6" t="s">
        <v>20</v>
      </c>
      <c r="CS79" s="6" t="s">
        <v>21</v>
      </c>
      <c r="CT79" s="6" t="s">
        <v>22</v>
      </c>
      <c r="CU79" s="6" t="s">
        <v>23</v>
      </c>
      <c r="CV79" s="6" t="s">
        <v>24</v>
      </c>
      <c r="CW79" s="6" t="s">
        <v>25</v>
      </c>
      <c r="CX79" s="6" t="s">
        <v>26</v>
      </c>
      <c r="CY79" s="6" t="s">
        <v>27</v>
      </c>
      <c r="CZ79" s="6" t="s">
        <v>28</v>
      </c>
      <c r="DA79" s="6" t="s">
        <v>29</v>
      </c>
      <c r="DB79" s="6" t="s">
        <v>37</v>
      </c>
      <c r="DC79" s="6" t="s">
        <v>18</v>
      </c>
      <c r="DD79" s="6" t="s">
        <v>19</v>
      </c>
      <c r="DE79" s="6" t="s">
        <v>20</v>
      </c>
      <c r="DF79" s="6" t="s">
        <v>21</v>
      </c>
      <c r="DG79" s="6" t="s">
        <v>22</v>
      </c>
      <c r="DH79" s="6" t="s">
        <v>23</v>
      </c>
      <c r="DI79" s="6" t="s">
        <v>24</v>
      </c>
      <c r="DJ79" s="6" t="s">
        <v>25</v>
      </c>
      <c r="DK79" s="6" t="s">
        <v>26</v>
      </c>
      <c r="DL79" s="6" t="s">
        <v>27</v>
      </c>
      <c r="DM79" s="6" t="s">
        <v>28</v>
      </c>
      <c r="DN79" s="6" t="s">
        <v>29</v>
      </c>
      <c r="DO79" s="6" t="s">
        <v>38</v>
      </c>
      <c r="DP79" s="6" t="s">
        <v>18</v>
      </c>
      <c r="DQ79" s="6" t="s">
        <v>19</v>
      </c>
      <c r="DR79" s="6" t="s">
        <v>20</v>
      </c>
      <c r="DS79" s="6" t="s">
        <v>21</v>
      </c>
      <c r="DT79" s="6" t="s">
        <v>22</v>
      </c>
      <c r="DU79" s="6" t="s">
        <v>23</v>
      </c>
      <c r="DV79" s="6" t="s">
        <v>24</v>
      </c>
      <c r="DW79" s="6" t="s">
        <v>25</v>
      </c>
      <c r="DX79" s="6" t="s">
        <v>26</v>
      </c>
      <c r="DY79" s="6" t="s">
        <v>27</v>
      </c>
      <c r="DZ79" s="6" t="s">
        <v>28</v>
      </c>
      <c r="EA79" s="6" t="s">
        <v>29</v>
      </c>
      <c r="EB79" s="6" t="s">
        <v>39</v>
      </c>
      <c r="EC79" s="6" t="s">
        <v>18</v>
      </c>
      <c r="ED79" s="6" t="s">
        <v>19</v>
      </c>
      <c r="EE79" s="6" t="s">
        <v>20</v>
      </c>
      <c r="EF79" s="6" t="s">
        <v>21</v>
      </c>
      <c r="EG79" s="6" t="s">
        <v>22</v>
      </c>
      <c r="EH79" s="6" t="s">
        <v>23</v>
      </c>
      <c r="EI79" s="6" t="s">
        <v>24</v>
      </c>
      <c r="EJ79" s="6" t="s">
        <v>25</v>
      </c>
      <c r="EK79" s="6" t="s">
        <v>26</v>
      </c>
      <c r="EL79" s="6" t="s">
        <v>27</v>
      </c>
      <c r="EM79" s="6" t="s">
        <v>28</v>
      </c>
      <c r="EN79" s="6" t="s">
        <v>29</v>
      </c>
      <c r="EO79" s="6" t="s">
        <v>40</v>
      </c>
      <c r="EP79" s="6" t="s">
        <v>18</v>
      </c>
      <c r="EQ79" s="6" t="s">
        <v>19</v>
      </c>
      <c r="ER79" s="6" t="s">
        <v>20</v>
      </c>
      <c r="ES79" s="6" t="s">
        <v>21</v>
      </c>
      <c r="ET79" s="6" t="s">
        <v>22</v>
      </c>
      <c r="EU79" s="6" t="s">
        <v>23</v>
      </c>
      <c r="EV79" s="6" t="s">
        <v>24</v>
      </c>
      <c r="EW79" s="6" t="s">
        <v>25</v>
      </c>
      <c r="EX79" s="6" t="s">
        <v>26</v>
      </c>
      <c r="EY79" s="6" t="s">
        <v>27</v>
      </c>
      <c r="EZ79" s="6" t="s">
        <v>28</v>
      </c>
      <c r="FA79" s="6" t="s">
        <v>29</v>
      </c>
      <c r="FB79" s="6" t="s">
        <v>41</v>
      </c>
      <c r="FC79" s="6" t="s">
        <v>18</v>
      </c>
      <c r="FD79" s="6" t="s">
        <v>19</v>
      </c>
      <c r="FE79" s="6" t="s">
        <v>20</v>
      </c>
      <c r="FF79" s="6" t="s">
        <v>21</v>
      </c>
      <c r="FG79" s="6" t="s">
        <v>22</v>
      </c>
      <c r="FH79" s="6" t="s">
        <v>23</v>
      </c>
      <c r="FI79" s="6" t="s">
        <v>24</v>
      </c>
      <c r="FJ79" s="6" t="s">
        <v>25</v>
      </c>
      <c r="FK79" s="6" t="s">
        <v>26</v>
      </c>
      <c r="FL79" s="6" t="s">
        <v>27</v>
      </c>
      <c r="FM79" s="6" t="s">
        <v>28</v>
      </c>
      <c r="FN79" s="6" t="s">
        <v>29</v>
      </c>
      <c r="FO79" s="6" t="s">
        <v>42</v>
      </c>
    </row>
    <row r="80" spans="2:171" ht="14.25" customHeight="1" x14ac:dyDescent="0.3">
      <c r="B80" s="7" t="s">
        <v>43</v>
      </c>
      <c r="C80" s="8">
        <f>+MINVU_Mes_Corriente!C80*SALUD_Mes_Constante!$C$1</f>
        <v>0</v>
      </c>
      <c r="D80" s="8">
        <f>+MINVU_Mes_Corriente!D80*SALUD_Mes_Constante!$C$1</f>
        <v>0</v>
      </c>
      <c r="E80" s="8">
        <f>+MINVU_Mes_Corriente!E80*SALUD_Mes_Constante!$C$1</f>
        <v>0</v>
      </c>
      <c r="F80" s="8">
        <f>+MINVU_Mes_Corriente!F80*SALUD_Mes_Constante!$C$1</f>
        <v>0</v>
      </c>
      <c r="G80" s="8">
        <f>+MINVU_Mes_Corriente!G80*SALUD_Mes_Constante!$C$1</f>
        <v>0</v>
      </c>
      <c r="H80" s="8">
        <f>+MINVU_Mes_Corriente!H80*SALUD_Mes_Constante!$C$1</f>
        <v>0</v>
      </c>
      <c r="I80" s="8">
        <f>+MINVU_Mes_Corriente!I80*SALUD_Mes_Constante!$C$1</f>
        <v>0</v>
      </c>
      <c r="J80" s="8">
        <f>+MINVU_Mes_Corriente!J80*SALUD_Mes_Constante!$C$1</f>
        <v>0</v>
      </c>
      <c r="K80" s="8">
        <f>+MINVU_Mes_Corriente!K80*SALUD_Mes_Constante!$C$1</f>
        <v>0</v>
      </c>
      <c r="L80" s="8">
        <f>+MINVU_Mes_Corriente!L80*SALUD_Mes_Constante!$C$1</f>
        <v>0</v>
      </c>
      <c r="M80" s="8">
        <f>+MINVU_Mes_Corriente!M80*SALUD_Mes_Constante!$C$1</f>
        <v>0</v>
      </c>
      <c r="N80" s="8">
        <f>+MINVU_Mes_Corriente!N80*SALUD_Mes_Constante!$C$1</f>
        <v>29610.221563102481</v>
      </c>
      <c r="O80" s="9">
        <f t="shared" ref="O80:O111" si="38">N80</f>
        <v>29610.221563102481</v>
      </c>
      <c r="P80" s="8">
        <f>+MINVU_Mes_Corriente!P80*SALUD_Mes_Constante!$P$1</f>
        <v>0</v>
      </c>
      <c r="Q80" s="8">
        <f>+MINVU_Mes_Corriente!Q80*SALUD_Mes_Constante!$P$1</f>
        <v>0</v>
      </c>
      <c r="R80" s="8">
        <f>+MINVU_Mes_Corriente!R80*SALUD_Mes_Constante!$P$1</f>
        <v>14182.534735047586</v>
      </c>
      <c r="S80" s="8">
        <f>+MINVU_Mes_Corriente!S80*SALUD_Mes_Constante!$P$1</f>
        <v>14182.534735047586</v>
      </c>
      <c r="T80" s="8">
        <f>+MINVU_Mes_Corriente!T80*SALUD_Mes_Constante!$P$1</f>
        <v>21274.578207131686</v>
      </c>
      <c r="U80" s="8">
        <f>+MINVU_Mes_Corriente!U80*SALUD_Mes_Constante!$P$1</f>
        <v>21274.578207131686</v>
      </c>
      <c r="V80" s="8">
        <f>+MINVU_Mes_Corriente!V80*SALUD_Mes_Constante!$P$1</f>
        <v>95734.049722971977</v>
      </c>
      <c r="W80" s="8">
        <f>+MINVU_Mes_Corriente!W80*SALUD_Mes_Constante!$P$1</f>
        <v>95734.049722971977</v>
      </c>
      <c r="X80" s="8">
        <f>+MINVU_Mes_Corriente!X80*SALUD_Mes_Constante!$P$1</f>
        <v>95734.049722971977</v>
      </c>
      <c r="Y80" s="8">
        <f>+MINVU_Mes_Corriente!Y80*SALUD_Mes_Constante!$P$1</f>
        <v>95734.049722971977</v>
      </c>
      <c r="Z80" s="8">
        <f>+MINVU_Mes_Corriente!Z80*SALUD_Mes_Constante!$P$1</f>
        <v>95734.049722971977</v>
      </c>
      <c r="AA80" s="8">
        <f>+MINVU_Mes_Corriente!AA80*SALUD_Mes_Constante!$P$1</f>
        <v>196261.32121039912</v>
      </c>
      <c r="AB80" s="9">
        <f t="shared" ref="AB80:AB111" si="39">AA80</f>
        <v>196261.32121039912</v>
      </c>
      <c r="AC80" s="8">
        <f>+MINVU_Mes_Corriente!AC80*SALUD_Mes_Constante!$AC$1</f>
        <v>0</v>
      </c>
      <c r="AD80" s="8">
        <f>+MINVU_Mes_Corriente!AD80*SALUD_Mes_Constante!$AC$1</f>
        <v>0</v>
      </c>
      <c r="AE80" s="8">
        <f>+MINVU_Mes_Corriente!AE80*SALUD_Mes_Constante!$AC$1</f>
        <v>0</v>
      </c>
      <c r="AF80" s="8">
        <f>+MINVU_Mes_Corriente!AF80*SALUD_Mes_Constante!$AC$1</f>
        <v>0</v>
      </c>
      <c r="AG80" s="8">
        <f>+MINVU_Mes_Corriente!AG80*SALUD_Mes_Constante!$AC$1</f>
        <v>0</v>
      </c>
      <c r="AH80" s="8">
        <f>+MINVU_Mes_Corriente!AH80*SALUD_Mes_Constante!$AC$1</f>
        <v>0</v>
      </c>
      <c r="AI80" s="8">
        <f>+MINVU_Mes_Corriente!AI80*SALUD_Mes_Constante!$AC$1</f>
        <v>0</v>
      </c>
      <c r="AJ80" s="8">
        <f>+MINVU_Mes_Corriente!AJ80*SALUD_Mes_Constante!$AC$1</f>
        <v>0</v>
      </c>
      <c r="AK80" s="8">
        <f>+MINVU_Mes_Corriente!AK80*SALUD_Mes_Constante!$AC$1</f>
        <v>0</v>
      </c>
      <c r="AL80" s="8">
        <f>+MINVU_Mes_Corriente!AL80*SALUD_Mes_Constante!$AC$1</f>
        <v>0</v>
      </c>
      <c r="AM80" s="8">
        <f>+MINVU_Mes_Corriente!AM80*SALUD_Mes_Constante!$AC$1</f>
        <v>16020.971088670633</v>
      </c>
      <c r="AN80" s="8">
        <f>+MINVU_Mes_Corriente!AN80*SALUD_Mes_Constante!$AC$1</f>
        <v>109793.52856550006</v>
      </c>
      <c r="AO80" s="9">
        <f t="shared" ref="AO80:AO111" si="40">AN80</f>
        <v>109793.52856550006</v>
      </c>
      <c r="AP80" s="8">
        <f>+MINVU_Mes_Corriente!AP80*SALUD_Mes_Constante!$AP$1</f>
        <v>19005.59448126606</v>
      </c>
      <c r="AQ80" s="8">
        <f>+MINVU_Mes_Corriente!AQ80*SALUD_Mes_Constante!$AP$1</f>
        <v>22438.720140673609</v>
      </c>
      <c r="AR80" s="8">
        <f>+MINVU_Mes_Corriente!AR80*SALUD_Mes_Constante!$AP$1</f>
        <v>23251.556607601786</v>
      </c>
      <c r="AS80" s="8">
        <f>+MINVU_Mes_Corriente!AS80*SALUD_Mes_Constante!$AP$1</f>
        <v>43087.722169619905</v>
      </c>
      <c r="AT80" s="8">
        <f>+MINVU_Mes_Corriente!AT80*SALUD_Mes_Constante!$AP$1</f>
        <v>70888.207223048827</v>
      </c>
      <c r="AU80" s="8">
        <f>+MINVU_Mes_Corriente!AU80*SALUD_Mes_Constante!$AP$1</f>
        <v>105033.25037197348</v>
      </c>
      <c r="AV80" s="8">
        <f>+MINVU_Mes_Corriente!AV80*SALUD_Mes_Constante!$AP$1</f>
        <v>160929.7973758961</v>
      </c>
      <c r="AW80" s="8">
        <f>+MINVU_Mes_Corriente!AW80*SALUD_Mes_Constante!$AP$1</f>
        <v>203788.44745029081</v>
      </c>
      <c r="AX80" s="8">
        <f>+MINVU_Mes_Corriente!AX80*SALUD_Mes_Constante!$AP$1</f>
        <v>231588.93250371973</v>
      </c>
      <c r="AY80" s="8">
        <f>+MINVU_Mes_Corriente!AY80*SALUD_Mes_Constante!$AP$1</f>
        <v>275145.14405518729</v>
      </c>
      <c r="AZ80" s="8">
        <f>+MINVU_Mes_Corriente!AZ80*SALUD_Mes_Constante!$AP$1</f>
        <v>316722.46828080615</v>
      </c>
      <c r="BA80" s="8">
        <f>+MINVU_Mes_Corriente!BA80*SALUD_Mes_Constante!$AP$1</f>
        <v>347166.88867847965</v>
      </c>
      <c r="BB80" s="9">
        <f t="shared" ref="BB80:BB111" si="41">BA80</f>
        <v>347166.88867847965</v>
      </c>
      <c r="BC80" s="8">
        <f>+MINVU_Mes_Corriente!BC80*SALUD_Mes_Constante!$BC$1</f>
        <v>0</v>
      </c>
      <c r="BD80" s="8">
        <f>+MINVU_Mes_Corriente!BD80*SALUD_Mes_Constante!$BC$1</f>
        <v>0</v>
      </c>
      <c r="BE80" s="8">
        <f>+MINVU_Mes_Corriente!BE80*SALUD_Mes_Constante!$BC$1</f>
        <v>0</v>
      </c>
      <c r="BF80" s="8">
        <f>+MINVU_Mes_Corriente!BF80*SALUD_Mes_Constante!$BC$1</f>
        <v>0</v>
      </c>
      <c r="BG80" s="8">
        <f>+MINVU_Mes_Corriente!BG80*SALUD_Mes_Constante!$BC$1</f>
        <v>0</v>
      </c>
      <c r="BH80" s="8">
        <f>+MINVU_Mes_Corriente!BH80*SALUD_Mes_Constante!$BC$1</f>
        <v>0</v>
      </c>
      <c r="BI80" s="8">
        <f>+MINVU_Mes_Corriente!BI80*SALUD_Mes_Constante!$BC$1</f>
        <v>0</v>
      </c>
      <c r="BJ80" s="8">
        <f>+MINVU_Mes_Corriente!BJ80*SALUD_Mes_Constante!$BC$1</f>
        <v>0</v>
      </c>
      <c r="BK80" s="8">
        <f>+MINVU_Mes_Corriente!BK80*SALUD_Mes_Constante!$BC$1</f>
        <v>0</v>
      </c>
      <c r="BL80" s="8">
        <f>+MINVU_Mes_Corriente!BL80*SALUD_Mes_Constante!$BC$1</f>
        <v>0</v>
      </c>
      <c r="BM80" s="8">
        <f>+MINVU_Mes_Corriente!BM80*SALUD_Mes_Constante!$BC$1</f>
        <v>0</v>
      </c>
      <c r="BN80" s="8">
        <f>+MINVU_Mes_Corriente!BN80*SALUD_Mes_Constante!$BC$1</f>
        <v>0</v>
      </c>
      <c r="BO80" s="9">
        <f t="shared" ref="BO80:BO111" si="42">BN80</f>
        <v>0</v>
      </c>
      <c r="BP80" s="8">
        <f>+MINVU_Mes_Corriente!BP80*SALUD_Mes_Constante!$BP$1</f>
        <v>0</v>
      </c>
      <c r="BQ80" s="8">
        <f>+MINVU_Mes_Corriente!BQ80*SALUD_Mes_Constante!$BP$1</f>
        <v>0</v>
      </c>
      <c r="BR80" s="8">
        <f>+MINVU_Mes_Corriente!BR80*SALUD_Mes_Constante!$BP$1</f>
        <v>0</v>
      </c>
      <c r="BS80" s="8">
        <f>+MINVU_Mes_Corriente!BS80*SALUD_Mes_Constante!$BP$1</f>
        <v>0</v>
      </c>
      <c r="BT80" s="8">
        <f>+MINVU_Mes_Corriente!BT80*SALUD_Mes_Constante!$BP$1</f>
        <v>0</v>
      </c>
      <c r="BU80" s="8">
        <f>+MINVU_Mes_Corriente!BU80*SALUD_Mes_Constante!$BP$1</f>
        <v>0</v>
      </c>
      <c r="BV80" s="8">
        <f>+MINVU_Mes_Corriente!BV80*SALUD_Mes_Constante!$BP$1</f>
        <v>0</v>
      </c>
      <c r="BW80" s="8">
        <f>+MINVU_Mes_Corriente!BW80*SALUD_Mes_Constante!$BP$1</f>
        <v>0</v>
      </c>
      <c r="BX80" s="8">
        <f>+MINVU_Mes_Corriente!BX80*SALUD_Mes_Constante!$BP$1</f>
        <v>0</v>
      </c>
      <c r="BY80" s="8">
        <f>+MINVU_Mes_Corriente!BY80*SALUD_Mes_Constante!$BP$1</f>
        <v>0</v>
      </c>
      <c r="BZ80" s="8">
        <f>+MINVU_Mes_Corriente!BZ80*SALUD_Mes_Constante!$BP$1</f>
        <v>0</v>
      </c>
      <c r="CA80" s="8">
        <f>+MINVU_Mes_Corriente!CA80*SALUD_Mes_Constante!$BP$1</f>
        <v>0</v>
      </c>
      <c r="CB80" s="9">
        <f t="shared" ref="CB80:CB111" si="43">CA80</f>
        <v>0</v>
      </c>
      <c r="CC80" s="8">
        <f>+MINVU_Mes_Corriente!CC80*SALUD_Mes_Constante!$CC$1</f>
        <v>0</v>
      </c>
      <c r="CD80" s="8">
        <f>+MINVU_Mes_Corriente!CD80*SALUD_Mes_Constante!$CC$1</f>
        <v>0</v>
      </c>
      <c r="CE80" s="8">
        <f>+MINVU_Mes_Corriente!CE80*SALUD_Mes_Constante!$CC$1</f>
        <v>0</v>
      </c>
      <c r="CF80" s="8">
        <f>+MINVU_Mes_Corriente!CF80*SALUD_Mes_Constante!$CC$1</f>
        <v>0</v>
      </c>
      <c r="CG80" s="8">
        <f>+MINVU_Mes_Corriente!CG80*SALUD_Mes_Constante!$CC$1</f>
        <v>0</v>
      </c>
      <c r="CH80" s="8">
        <f>+MINVU_Mes_Corriente!CH80*SALUD_Mes_Constante!$CC$1</f>
        <v>0</v>
      </c>
      <c r="CI80" s="8">
        <f>+MINVU_Mes_Corriente!CI80*SALUD_Mes_Constante!$CC$1</f>
        <v>0</v>
      </c>
      <c r="CJ80" s="8">
        <f>+MINVU_Mes_Corriente!CJ80*SALUD_Mes_Constante!$CC$1</f>
        <v>0</v>
      </c>
      <c r="CK80" s="8">
        <f>+MINVU_Mes_Corriente!CK80*SALUD_Mes_Constante!$CC$1</f>
        <v>0</v>
      </c>
      <c r="CL80" s="8">
        <f>+MINVU_Mes_Corriente!CL80*SALUD_Mes_Constante!$CC$1</f>
        <v>0</v>
      </c>
      <c r="CM80" s="8">
        <f>+MINVU_Mes_Corriente!CM80*SALUD_Mes_Constante!$CC$1</f>
        <v>0</v>
      </c>
      <c r="CN80" s="8">
        <f>+MINVU_Mes_Corriente!CN80*SALUD_Mes_Constante!$CC$1</f>
        <v>0</v>
      </c>
      <c r="CO80" s="9">
        <f t="shared" ref="CO80:CO111" si="44">CN80</f>
        <v>0</v>
      </c>
      <c r="CP80" s="8">
        <f>+MINVU_Mes_Corriente!CP80*SALUD_Mes_Constante!$CP$1</f>
        <v>0</v>
      </c>
      <c r="CQ80" s="8">
        <f>+MINVU_Mes_Corriente!CQ80*SALUD_Mes_Constante!$CP$1</f>
        <v>0</v>
      </c>
      <c r="CR80" s="8">
        <f>+MINVU_Mes_Corriente!CR80*SALUD_Mes_Constante!$CP$1</f>
        <v>0</v>
      </c>
      <c r="CS80" s="8">
        <f>+MINVU_Mes_Corriente!CS80*SALUD_Mes_Constante!$CP$1</f>
        <v>0</v>
      </c>
      <c r="CT80" s="8">
        <f>+MINVU_Mes_Corriente!CT80*SALUD_Mes_Constante!$CP$1</f>
        <v>0</v>
      </c>
      <c r="CU80" s="8">
        <f>+MINVU_Mes_Corriente!CU80*SALUD_Mes_Constante!$CP$1</f>
        <v>0</v>
      </c>
      <c r="CV80" s="8">
        <f>+MINVU_Mes_Corriente!CV80*SALUD_Mes_Constante!$CP$1</f>
        <v>0</v>
      </c>
      <c r="CW80" s="8">
        <f>+MINVU_Mes_Corriente!CW80*SALUD_Mes_Constante!$CP$1</f>
        <v>0</v>
      </c>
      <c r="CX80" s="8">
        <f>+MINVU_Mes_Corriente!CX80*SALUD_Mes_Constante!$CP$1</f>
        <v>0</v>
      </c>
      <c r="CY80" s="8">
        <f>+MINVU_Mes_Corriente!CY80*SALUD_Mes_Constante!$CP$1</f>
        <v>0</v>
      </c>
      <c r="CZ80" s="8">
        <f>+MINVU_Mes_Corriente!CZ80*SALUD_Mes_Constante!$CP$1</f>
        <v>0</v>
      </c>
      <c r="DA80" s="8">
        <f>+MINVU_Mes_Corriente!DA80*SALUD_Mes_Constante!$CP$1</f>
        <v>3764.5266821345699</v>
      </c>
      <c r="DB80" s="9">
        <f t="shared" ref="DB80:DB111" si="45">DA80</f>
        <v>3764.5266821345699</v>
      </c>
      <c r="DC80" s="8">
        <f>+MINVU_Mes_Corriente!DC80*SALUD_Mes_Constante!$DC$1</f>
        <v>3338.1565682542964</v>
      </c>
      <c r="DD80" s="8">
        <f>+MINVU_Mes_Corriente!DD80*SALUD_Mes_Constante!$DC$1</f>
        <v>7789.0319925933582</v>
      </c>
      <c r="DE80" s="8">
        <f>+MINVU_Mes_Corriente!DE80*SALUD_Mes_Constante!$DC$1</f>
        <v>7789.0319925933582</v>
      </c>
      <c r="DF80" s="8">
        <f>+MINVU_Mes_Corriente!DF80*SALUD_Mes_Constante!$DC$1</f>
        <v>7789.0319925933582</v>
      </c>
      <c r="DG80" s="8">
        <f>+MINVU_Mes_Corriente!DG80*SALUD_Mes_Constante!$DC$1</f>
        <v>7789.0319925933582</v>
      </c>
      <c r="DH80" s="8">
        <f>+MINVU_Mes_Corriente!DH80*SALUD_Mes_Constante!$DC$1</f>
        <v>7789.0319925933582</v>
      </c>
      <c r="DI80" s="8">
        <f>+MINVU_Mes_Corriente!DI80*SALUD_Mes_Constante!$DC$1</f>
        <v>7789.0319925933582</v>
      </c>
      <c r="DJ80" s="8">
        <f>+MINVU_Mes_Corriente!DJ80*SALUD_Mes_Constante!$DC$1</f>
        <v>7789.0319925933582</v>
      </c>
      <c r="DK80" s="8">
        <f>+MINVU_Mes_Corriente!DK80*SALUD_Mes_Constante!$DC$1</f>
        <v>7789.0319925933582</v>
      </c>
      <c r="DL80" s="8">
        <f>+MINVU_Mes_Corriente!DL80*SALUD_Mes_Constante!$DC$1</f>
        <v>7789.0319925933582</v>
      </c>
      <c r="DM80" s="8">
        <f>+MINVU_Mes_Corriente!DM80*SALUD_Mes_Constante!$DC$1</f>
        <v>7789.0319925933582</v>
      </c>
      <c r="DN80" s="8">
        <f>+MINVU_Mes_Corriente!DN80*SALUD_Mes_Constante!$DC$1</f>
        <v>223227.1379487708</v>
      </c>
      <c r="DO80" s="9">
        <f t="shared" ref="DO80:DO111" si="46">DN80</f>
        <v>223227.1379487708</v>
      </c>
      <c r="DP80" s="8">
        <f>+MINVU_Mes_Corriente!DP80*SALUD_Mes_Constante!$DP$1</f>
        <v>0</v>
      </c>
      <c r="DQ80" s="8">
        <f>+MINVU_Mes_Corriente!DQ80*SALUD_Mes_Constante!$DP$1</f>
        <v>0</v>
      </c>
      <c r="DR80" s="8">
        <f>+MINVU_Mes_Corriente!DR80*SALUD_Mes_Constante!$DP$1</f>
        <v>0</v>
      </c>
      <c r="DS80" s="8">
        <f>+MINVU_Mes_Corriente!DS80*SALUD_Mes_Constante!$DP$1</f>
        <v>0</v>
      </c>
      <c r="DT80" s="8">
        <f>+MINVU_Mes_Corriente!DT80*SALUD_Mes_Constante!$DP$1</f>
        <v>0</v>
      </c>
      <c r="DU80" s="8">
        <f>+MINVU_Mes_Corriente!DU80*SALUD_Mes_Constante!$DP$1</f>
        <v>44889.163895486941</v>
      </c>
      <c r="DV80" s="8">
        <f>+MINVU_Mes_Corriente!DV80*SALUD_Mes_Constante!$DP$1</f>
        <v>44889.163895486941</v>
      </c>
      <c r="DW80" s="8">
        <f>+MINVU_Mes_Corriente!DW80*SALUD_Mes_Constante!$DP$1</f>
        <v>44889.163895486941</v>
      </c>
      <c r="DX80" s="8">
        <f>+MINVU_Mes_Corriente!DX80*SALUD_Mes_Constante!$DP$1</f>
        <v>44889.163895486941</v>
      </c>
      <c r="DY80" s="8">
        <f>+MINVU_Mes_Corriente!DY80*SALUD_Mes_Constante!$DP$1</f>
        <v>44889.163895486941</v>
      </c>
      <c r="DZ80" s="8">
        <f>+MINVU_Mes_Corriente!DZ80*SALUD_Mes_Constante!$DP$1</f>
        <v>217615.98812351545</v>
      </c>
      <c r="EA80" s="8">
        <f>+MINVU_Mes_Corriente!EA80*SALUD_Mes_Constante!$DP$1</f>
        <v>345453.64845605707</v>
      </c>
      <c r="EB80" s="9">
        <f t="shared" ref="EB80:EB111" si="47">EA80</f>
        <v>345453.64845605707</v>
      </c>
      <c r="EC80" s="8">
        <f>+MINVU_Mes_Corriente!EC80*SALUD_Mes_Constante!$EC$1</f>
        <v>24389.538155652332</v>
      </c>
      <c r="ED80" s="8">
        <f>+MINVU_Mes_Corriente!ED80*SALUD_Mes_Constante!$EC$1</f>
        <v>24389.538155652332</v>
      </c>
      <c r="EE80" s="8">
        <f>+MINVU_Mes_Corriente!EE80*SALUD_Mes_Constante!$EC$1</f>
        <v>24389.538155652332</v>
      </c>
      <c r="EF80" s="8">
        <f>+MINVU_Mes_Corriente!EF80*SALUD_Mes_Constante!$EC$1</f>
        <v>24389.538155652332</v>
      </c>
      <c r="EG80" s="8">
        <f>+MINVU_Mes_Corriente!EG80*SALUD_Mes_Constante!$EC$1</f>
        <v>24389.538155652332</v>
      </c>
      <c r="EH80" s="8">
        <f>+MINVU_Mes_Corriente!EH80*SALUD_Mes_Constante!$EC$1</f>
        <v>24389.538155652332</v>
      </c>
      <c r="EI80" s="8">
        <f>+MINVU_Mes_Corriente!EI80*SALUD_Mes_Constante!$EC$1</f>
        <v>24389.538155652332</v>
      </c>
      <c r="EJ80" s="8">
        <f>+MINVU_Mes_Corriente!EJ80*SALUD_Mes_Constante!$EC$1</f>
        <v>189626.40920280243</v>
      </c>
      <c r="EK80" s="8">
        <f>+MINVU_Mes_Corriente!EK80*SALUD_Mes_Constante!$EC$1</f>
        <v>189626.40920280243</v>
      </c>
      <c r="EL80" s="8">
        <f>+MINVU_Mes_Corriente!EL80*SALUD_Mes_Constante!$EC$1</f>
        <v>189626.40920280243</v>
      </c>
      <c r="EM80" s="8">
        <f>+MINVU_Mes_Corriente!EM80*SALUD_Mes_Constante!$EC$1</f>
        <v>239795.80401439115</v>
      </c>
      <c r="EN80" s="8">
        <f>+MINVU_Mes_Corriente!EN80*SALUD_Mes_Constante!$EC$1</f>
        <v>678063.71179700794</v>
      </c>
      <c r="EO80" s="9">
        <f t="shared" ref="EO80:EO111" si="48">EN80</f>
        <v>678063.71179700794</v>
      </c>
      <c r="EP80" s="8">
        <f>+MINVU_Mes_Corriente!EP80*SALUD_Mes_Constante!$EP$1</f>
        <v>0</v>
      </c>
      <c r="EQ80" s="8">
        <f>+MINVU_Mes_Corriente!EQ80*SALUD_Mes_Constante!$EP$1</f>
        <v>138356</v>
      </c>
      <c r="ER80" s="8">
        <f>+MINVU_Mes_Corriente!ER80*SALUD_Mes_Constante!$EP$1</f>
        <v>460131</v>
      </c>
      <c r="ES80" s="8">
        <f>+MINVU_Mes_Corriente!ES80*SALUD_Mes_Constante!$EP$1</f>
        <v>460131</v>
      </c>
      <c r="ET80" s="8">
        <f>+MINVU_Mes_Corriente!ET80*SALUD_Mes_Constante!$EP$1</f>
        <v>496450</v>
      </c>
      <c r="EU80" s="8">
        <f>+MINVU_Mes_Corriente!EU80*SALUD_Mes_Constante!$EP$1</f>
        <v>496450</v>
      </c>
      <c r="EV80" s="8">
        <f>+MINVU_Mes_Corriente!EV80*SALUD_Mes_Constante!$EP$1</f>
        <v>496450</v>
      </c>
      <c r="EW80" s="8">
        <f>+MINVU_Mes_Corriente!EW80*SALUD_Mes_Constante!$EP$1</f>
        <v>707580</v>
      </c>
      <c r="EX80" s="8">
        <f>+MINVU_Mes_Corriente!EX80*SALUD_Mes_Constante!$EP$1</f>
        <v>707580</v>
      </c>
      <c r="EY80" s="8">
        <f>+MINVU_Mes_Corriente!EY80*SALUD_Mes_Constante!$EP$1</f>
        <v>707580</v>
      </c>
      <c r="EZ80" s="8">
        <f>+MINVU_Mes_Corriente!EZ80*SALUD_Mes_Constante!$EP$1</f>
        <v>707580</v>
      </c>
      <c r="FA80" s="8">
        <f>+MINVU_Mes_Corriente!FA80*SALUD_Mes_Constante!$EP$1</f>
        <v>707580</v>
      </c>
      <c r="FB80" s="9">
        <f t="shared" ref="FB80:FB111" si="49">FA80</f>
        <v>707580</v>
      </c>
      <c r="FC80" s="8">
        <f>+MINVU_Mes_Corriente!FC80*SALUD_Mes_Constante!$FC$1</f>
        <v>0</v>
      </c>
      <c r="FD80" s="8">
        <f>+MINVU_Mes_Corriente!FD80*SALUD_Mes_Constante!$FC$1</f>
        <v>0</v>
      </c>
      <c r="FE80" s="8">
        <f>+MINVU_Mes_Corriente!FE80*SALUD_Mes_Constante!$FC$1</f>
        <v>0</v>
      </c>
      <c r="FF80" s="8">
        <f>+MINVU_Mes_Corriente!FF80*SALUD_Mes_Constante!$FC$1</f>
        <v>0</v>
      </c>
      <c r="FG80" s="8">
        <f>+MINVU_Mes_Corriente!FG80*SALUD_Mes_Constante!$FC$1</f>
        <v>0</v>
      </c>
      <c r="FH80" s="8">
        <f>+MINVU_Mes_Corriente!FH80*SALUD_Mes_Constante!$FC$1</f>
        <v>0</v>
      </c>
      <c r="FI80" s="8">
        <f>+MINVU_Mes_Corriente!FI80*SALUD_Mes_Constante!$FC$1</f>
        <v>0</v>
      </c>
      <c r="FJ80" s="8"/>
      <c r="FK80" s="8"/>
      <c r="FL80" s="8"/>
      <c r="FM80" s="8"/>
      <c r="FN80" s="8"/>
      <c r="FO80" s="9">
        <f t="shared" ref="FO80:FO111" si="50">FI80</f>
        <v>0</v>
      </c>
    </row>
    <row r="81" spans="2:171" ht="14.25" customHeight="1" x14ac:dyDescent="0.3">
      <c r="B81" s="7" t="s">
        <v>44</v>
      </c>
      <c r="C81" s="8">
        <f>+MINVU_Mes_Corriente!C81*SALUD_Mes_Constante!$C$1</f>
        <v>0</v>
      </c>
      <c r="D81" s="8">
        <f>+MINVU_Mes_Corriente!D81*SALUD_Mes_Constante!$C$1</f>
        <v>0</v>
      </c>
      <c r="E81" s="8">
        <f>+MINVU_Mes_Corriente!E81*SALUD_Mes_Constante!$C$1</f>
        <v>405488.60269909544</v>
      </c>
      <c r="F81" s="8">
        <f>+MINVU_Mes_Corriente!F81*SALUD_Mes_Constante!$C$1</f>
        <v>548936.30461219046</v>
      </c>
      <c r="G81" s="8">
        <f>+MINVU_Mes_Corriente!G81*SALUD_Mes_Constante!$C$1</f>
        <v>712136.03677888191</v>
      </c>
      <c r="H81" s="8">
        <f>+MINVU_Mes_Corriente!H81*SALUD_Mes_Constante!$C$1</f>
        <v>712136.03677888191</v>
      </c>
      <c r="I81" s="8">
        <f>+MINVU_Mes_Corriente!I81*SALUD_Mes_Constante!$C$1</f>
        <v>833715.5352217115</v>
      </c>
      <c r="J81" s="8">
        <f>+MINVU_Mes_Corriente!J81*SALUD_Mes_Constante!$C$1</f>
        <v>1007752.1483019429</v>
      </c>
      <c r="K81" s="8">
        <f>+MINVU_Mes_Corriente!K81*SALUD_Mes_Constante!$C$1</f>
        <v>1026966.223342726</v>
      </c>
      <c r="L81" s="8">
        <f>+MINVU_Mes_Corriente!L81*SALUD_Mes_Constante!$C$1</f>
        <v>1031355.7434376392</v>
      </c>
      <c r="M81" s="8">
        <f>+MINVU_Mes_Corriente!M81*SALUD_Mes_Constante!$C$1</f>
        <v>1296071.837164467</v>
      </c>
      <c r="N81" s="8">
        <f>+MINVU_Mes_Corriente!N81*SALUD_Mes_Constante!$C$1</f>
        <v>1315647.2495921699</v>
      </c>
      <c r="O81" s="9">
        <f t="shared" si="38"/>
        <v>1315647.2495921699</v>
      </c>
      <c r="P81" s="8">
        <f>+MINVU_Mes_Corriente!P81*SALUD_Mes_Constante!$P$1</f>
        <v>0</v>
      </c>
      <c r="Q81" s="8">
        <f>+MINVU_Mes_Corriente!Q81*SALUD_Mes_Constante!$P$1</f>
        <v>0</v>
      </c>
      <c r="R81" s="8">
        <f>+MINVU_Mes_Corriente!R81*SALUD_Mes_Constante!$P$1</f>
        <v>0</v>
      </c>
      <c r="S81" s="8">
        <f>+MINVU_Mes_Corriente!S81*SALUD_Mes_Constante!$P$1</f>
        <v>9190.6302031538544</v>
      </c>
      <c r="T81" s="8">
        <f>+MINVU_Mes_Corriente!T81*SALUD_Mes_Constante!$P$1</f>
        <v>9190.6302031538544</v>
      </c>
      <c r="U81" s="8">
        <f>+MINVU_Mes_Corriente!U81*SALUD_Mes_Constante!$P$1</f>
        <v>170075.55334564563</v>
      </c>
      <c r="V81" s="8">
        <f>+MINVU_Mes_Corriente!V81*SALUD_Mes_Constante!$P$1</f>
        <v>376645.09532604046</v>
      </c>
      <c r="W81" s="8">
        <f>+MINVU_Mes_Corriente!W81*SALUD_Mes_Constante!$P$1</f>
        <v>486254.34237817855</v>
      </c>
      <c r="X81" s="8">
        <f>+MINVU_Mes_Corriente!X81*SALUD_Mes_Constante!$P$1</f>
        <v>674202.03153857053</v>
      </c>
      <c r="Y81" s="8">
        <f>+MINVU_Mes_Corriente!Y81*SALUD_Mes_Constante!$P$1</f>
        <v>655528.95581758744</v>
      </c>
      <c r="Z81" s="8">
        <f>+MINVU_Mes_Corriente!Z81*SALUD_Mes_Constante!$P$1</f>
        <v>751543.9553913906</v>
      </c>
      <c r="AA81" s="8">
        <f>+MINVU_Mes_Corriente!AA81*SALUD_Mes_Constante!$P$1</f>
        <v>1663426.4563148168</v>
      </c>
      <c r="AB81" s="9">
        <f t="shared" si="39"/>
        <v>1663426.4563148168</v>
      </c>
      <c r="AC81" s="8">
        <f>+MINVU_Mes_Corriente!AC81*SALUD_Mes_Constante!$AC$1</f>
        <v>0</v>
      </c>
      <c r="AD81" s="8">
        <f>+MINVU_Mes_Corriente!AD81*SALUD_Mes_Constante!$AC$1</f>
        <v>12587.042191174436</v>
      </c>
      <c r="AE81" s="8">
        <f>+MINVU_Mes_Corriente!AE81*SALUD_Mes_Constante!$AC$1</f>
        <v>32726.611979526904</v>
      </c>
      <c r="AF81" s="8">
        <f>+MINVU_Mes_Corriente!AF81*SALUD_Mes_Constante!$AC$1</f>
        <v>44310.076359109145</v>
      </c>
      <c r="AG81" s="8">
        <f>+MINVU_Mes_Corriente!AG81*SALUD_Mes_Constante!$AC$1</f>
        <v>385523.50947572279</v>
      </c>
      <c r="AH81" s="8">
        <f>+MINVU_Mes_Corriente!AH81*SALUD_Mes_Constante!$AC$1</f>
        <v>438277.84672845481</v>
      </c>
      <c r="AI81" s="8">
        <f>+MINVU_Mes_Corriente!AI81*SALUD_Mes_Constante!$AC$1</f>
        <v>579100.67118550278</v>
      </c>
      <c r="AJ81" s="8">
        <f>+MINVU_Mes_Corriente!AJ81*SALUD_Mes_Constante!$AC$1</f>
        <v>1048023.9150643243</v>
      </c>
      <c r="AK81" s="8">
        <f>+MINVU_Mes_Corriente!AK81*SALUD_Mes_Constante!$AC$1</f>
        <v>1067557.4084935675</v>
      </c>
      <c r="AL81" s="8">
        <f>+MINVU_Mes_Corriente!AL81*SALUD_Mes_Constante!$AC$1</f>
        <v>1508678.2218840781</v>
      </c>
      <c r="AM81" s="8">
        <f>+MINVU_Mes_Corriente!AM81*SALUD_Mes_Constante!$AC$1</f>
        <v>1523792.3455526351</v>
      </c>
      <c r="AN81" s="8">
        <f>+MINVU_Mes_Corriente!AN81*SALUD_Mes_Constante!$AC$1</f>
        <v>1728328.758334486</v>
      </c>
      <c r="AO81" s="9">
        <f t="shared" si="40"/>
        <v>1728328.758334486</v>
      </c>
      <c r="AP81" s="8">
        <f>+MINVU_Mes_Corriente!AP81*SALUD_Mes_Constante!$AP$1</f>
        <v>0</v>
      </c>
      <c r="AQ81" s="8">
        <f>+MINVU_Mes_Corriente!AQ81*SALUD_Mes_Constante!$AP$1</f>
        <v>0</v>
      </c>
      <c r="AR81" s="8">
        <f>+MINVU_Mes_Corriente!AR81*SALUD_Mes_Constante!$AP$1</f>
        <v>0</v>
      </c>
      <c r="AS81" s="8">
        <f>+MINVU_Mes_Corriente!AS81*SALUD_Mes_Constante!$AP$1</f>
        <v>115.27498985526849</v>
      </c>
      <c r="AT81" s="8">
        <f>+MINVU_Mes_Corriente!AT81*SALUD_Mes_Constante!$AP$1</f>
        <v>1721704.3898282158</v>
      </c>
      <c r="AU81" s="8">
        <f>+MINVU_Mes_Corriente!AU81*SALUD_Mes_Constante!$AP$1</f>
        <v>1743925.8609495468</v>
      </c>
      <c r="AV81" s="8">
        <f>+MINVU_Mes_Corriente!AV81*SALUD_Mes_Constante!$AP$1</f>
        <v>1879929.658595969</v>
      </c>
      <c r="AW81" s="8">
        <f>+MINVU_Mes_Corriente!AW81*SALUD_Mes_Constante!$AP$1</f>
        <v>2289940.6292438791</v>
      </c>
      <c r="AX81" s="8">
        <f>+MINVU_Mes_Corriente!AX81*SALUD_Mes_Constante!$AP$1</f>
        <v>2685885.0953604761</v>
      </c>
      <c r="AY81" s="8">
        <f>+MINVU_Mes_Corriente!AY81*SALUD_Mes_Constante!$AP$1</f>
        <v>3070206</v>
      </c>
      <c r="AZ81" s="8">
        <f>+MINVU_Mes_Corriente!AZ81*SALUD_Mes_Constante!$AP$1</f>
        <v>3898239.5530907614</v>
      </c>
      <c r="BA81" s="8">
        <f>+MINVU_Mes_Corriente!BA81*SALUD_Mes_Constante!$AP$1</f>
        <v>4429889.2841877453</v>
      </c>
      <c r="BB81" s="9">
        <f t="shared" si="41"/>
        <v>4429889.2841877453</v>
      </c>
      <c r="BC81" s="8">
        <f>+MINVU_Mes_Corriente!BC81*SALUD_Mes_Constante!$BC$1</f>
        <v>0</v>
      </c>
      <c r="BD81" s="8">
        <f>+MINVU_Mes_Corriente!BD81*SALUD_Mes_Constante!$BC$1</f>
        <v>0</v>
      </c>
      <c r="BE81" s="8">
        <f>+MINVU_Mes_Corriente!BE81*SALUD_Mes_Constante!$BC$1</f>
        <v>931457.70961360959</v>
      </c>
      <c r="BF81" s="8">
        <f>+MINVU_Mes_Corriente!BF81*SALUD_Mes_Constante!$BC$1</f>
        <v>938101.48991164472</v>
      </c>
      <c r="BG81" s="8">
        <f>+MINVU_Mes_Corriente!BG81*SALUD_Mes_Constante!$BC$1</f>
        <v>974533.49703283689</v>
      </c>
      <c r="BH81" s="8">
        <f>+MINVU_Mes_Corriente!BH81*SALUD_Mes_Constante!$BC$1</f>
        <v>984159.8462349996</v>
      </c>
      <c r="BI81" s="8">
        <f>+MINVU_Mes_Corriente!BI81*SALUD_Mes_Constante!$BC$1</f>
        <v>995660.74719767924</v>
      </c>
      <c r="BJ81" s="8">
        <f>+MINVU_Mes_Corriente!BJ81*SALUD_Mes_Constante!$BC$1</f>
        <v>1018937.7523407625</v>
      </c>
      <c r="BK81" s="8">
        <f>+MINVU_Mes_Corriente!BK81*SALUD_Mes_Constante!$BC$1</f>
        <v>1403036.4338652252</v>
      </c>
      <c r="BL81" s="8">
        <f>+MINVU_Mes_Corriente!BL81*SALUD_Mes_Constante!$BC$1</f>
        <v>1673209.6283792697</v>
      </c>
      <c r="BM81" s="8">
        <f>+MINVU_Mes_Corriente!BM81*SALUD_Mes_Constante!$BC$1</f>
        <v>1682416.688909403</v>
      </c>
      <c r="BN81" s="8">
        <f>+MINVU_Mes_Corriente!BN81*SALUD_Mes_Constante!$BC$1</f>
        <v>2440226.9315574318</v>
      </c>
      <c r="BO81" s="9">
        <f t="shared" si="42"/>
        <v>2440226.9315574318</v>
      </c>
      <c r="BP81" s="8">
        <f>+MINVU_Mes_Corriente!BP81*SALUD_Mes_Constante!$BP$1</f>
        <v>0</v>
      </c>
      <c r="BQ81" s="8">
        <f>+MINVU_Mes_Corriente!BQ81*SALUD_Mes_Constante!$BP$1</f>
        <v>0</v>
      </c>
      <c r="BR81" s="8">
        <f>+MINVU_Mes_Corriente!BR81*SALUD_Mes_Constante!$BP$1</f>
        <v>0</v>
      </c>
      <c r="BS81" s="8">
        <f>+MINVU_Mes_Corriente!BS81*SALUD_Mes_Constante!$BP$1</f>
        <v>0</v>
      </c>
      <c r="BT81" s="8">
        <f>+MINVU_Mes_Corriente!BT81*SALUD_Mes_Constante!$BP$1</f>
        <v>490487.86555697827</v>
      </c>
      <c r="BU81" s="8">
        <f>+MINVU_Mes_Corriente!BU81*SALUD_Mes_Constante!$BP$1</f>
        <v>502114.75236875808</v>
      </c>
      <c r="BV81" s="8">
        <f>+MINVU_Mes_Corriente!BV81*SALUD_Mes_Constante!$BP$1</f>
        <v>514764.2903969271</v>
      </c>
      <c r="BW81" s="8">
        <f>+MINVU_Mes_Corriente!BW81*SALUD_Mes_Constante!$BP$1</f>
        <v>721134.18668373884</v>
      </c>
      <c r="BX81" s="8">
        <f>+MINVU_Mes_Corriente!BX81*SALUD_Mes_Constante!$BP$1</f>
        <v>731489.40460947517</v>
      </c>
      <c r="BY81" s="8">
        <f>+MINVU_Mes_Corriente!BY81*SALUD_Mes_Constante!$BP$1</f>
        <v>731489.40460947517</v>
      </c>
      <c r="BZ81" s="8">
        <f>+MINVU_Mes_Corriente!BZ81*SALUD_Mes_Constante!$BP$1</f>
        <v>731541.16670934705</v>
      </c>
      <c r="CA81" s="8">
        <f>+MINVU_Mes_Corriente!CA81*SALUD_Mes_Constante!$BP$1</f>
        <v>1041987.8581306019</v>
      </c>
      <c r="CB81" s="9">
        <f t="shared" si="43"/>
        <v>1041987.8581306019</v>
      </c>
      <c r="CC81" s="8">
        <f>+MINVU_Mes_Corriente!CC81*SALUD_Mes_Constante!$CC$1</f>
        <v>0</v>
      </c>
      <c r="CD81" s="8">
        <f>+MINVU_Mes_Corriente!CD81*SALUD_Mes_Constante!$CC$1</f>
        <v>0</v>
      </c>
      <c r="CE81" s="8">
        <f>+MINVU_Mes_Corriente!CE81*SALUD_Mes_Constante!$CC$1</f>
        <v>24487.389779932862</v>
      </c>
      <c r="CF81" s="8">
        <f>+MINVU_Mes_Corriente!CF81*SALUD_Mes_Constante!$CC$1</f>
        <v>35179.736665423356</v>
      </c>
      <c r="CG81" s="8">
        <f>+MINVU_Mes_Corriente!CG81*SALUD_Mes_Constante!$CC$1</f>
        <v>42834.593062290194</v>
      </c>
      <c r="CH81" s="8">
        <f>+MINVU_Mes_Corriente!CH81*SALUD_Mes_Constante!$CC$1</f>
        <v>53593.503916449088</v>
      </c>
      <c r="CI81" s="8">
        <f>+MINVU_Mes_Corriente!CI81*SALUD_Mes_Constante!$CC$1</f>
        <v>805623.71279373381</v>
      </c>
      <c r="CJ81" s="8">
        <f>+MINVU_Mes_Corriente!CJ81*SALUD_Mes_Constante!$CC$1</f>
        <v>932243.32413278637</v>
      </c>
      <c r="CK81" s="8">
        <f>+MINVU_Mes_Corriente!CK81*SALUD_Mes_Constante!$CC$1</f>
        <v>941325.90973517357</v>
      </c>
      <c r="CL81" s="8">
        <f>+MINVU_Mes_Corriente!CL81*SALUD_Mes_Constante!$CC$1</f>
        <v>951159.71726967557</v>
      </c>
      <c r="CM81" s="8">
        <f>+MINVU_Mes_Corriente!CM81*SALUD_Mes_Constante!$CC$1</f>
        <v>1174837.745617307</v>
      </c>
      <c r="CN81" s="8">
        <f>+MINVU_Mes_Corriente!CN81*SALUD_Mes_Constante!$CC$1</f>
        <v>1538146.6035061546</v>
      </c>
      <c r="CO81" s="9">
        <f t="shared" si="44"/>
        <v>1538146.6035061546</v>
      </c>
      <c r="CP81" s="8">
        <f>+MINVU_Mes_Corriente!CP81*SALUD_Mes_Constante!$CP$1</f>
        <v>0</v>
      </c>
      <c r="CQ81" s="8">
        <f>+MINVU_Mes_Corriente!CQ81*SALUD_Mes_Constante!$CP$1</f>
        <v>117863.90812064963</v>
      </c>
      <c r="CR81" s="8">
        <f>+MINVU_Mes_Corriente!CR81*SALUD_Mes_Constante!$CP$1</f>
        <v>123762.93410672851</v>
      </c>
      <c r="CS81" s="8">
        <f>+MINVU_Mes_Corriente!CS81*SALUD_Mes_Constante!$CP$1</f>
        <v>131223.54153132247</v>
      </c>
      <c r="CT81" s="8">
        <f>+MINVU_Mes_Corriente!CT81*SALUD_Mes_Constante!$CP$1</f>
        <v>188019.72877030159</v>
      </c>
      <c r="CU81" s="8">
        <f>+MINVU_Mes_Corriente!CU81*SALUD_Mes_Constante!$CP$1</f>
        <v>384351.83665893262</v>
      </c>
      <c r="CV81" s="8">
        <f>+MINVU_Mes_Corriente!CV81*SALUD_Mes_Constante!$CP$1</f>
        <v>798587.93109048705</v>
      </c>
      <c r="CW81" s="8">
        <f>+MINVU_Mes_Corriente!CW81*SALUD_Mes_Constante!$CP$1</f>
        <v>1223850.1593967516</v>
      </c>
      <c r="CX81" s="8">
        <f>+MINVU_Mes_Corriente!CX81*SALUD_Mes_Constante!$CP$1</f>
        <v>1237014.59512761</v>
      </c>
      <c r="CY81" s="8">
        <f>+MINVU_Mes_Corriente!CY81*SALUD_Mes_Constante!$CP$1</f>
        <v>1248001.4359628768</v>
      </c>
      <c r="CZ81" s="8">
        <f>+MINVU_Mes_Corriente!CZ81*SALUD_Mes_Constante!$CP$1</f>
        <v>1996763.25800464</v>
      </c>
      <c r="DA81" s="8">
        <f>+MINVU_Mes_Corriente!DA81*SALUD_Mes_Constante!$CP$1</f>
        <v>2465284.5877030157</v>
      </c>
      <c r="DB81" s="9">
        <f t="shared" si="45"/>
        <v>2465284.5877030157</v>
      </c>
      <c r="DC81" s="8">
        <f>+MINVU_Mes_Corriente!DC81*SALUD_Mes_Constante!$DC$1</f>
        <v>0</v>
      </c>
      <c r="DD81" s="8">
        <f>+MINVU_Mes_Corriente!DD81*SALUD_Mes_Constante!$DC$1</f>
        <v>0</v>
      </c>
      <c r="DE81" s="8">
        <f>+MINVU_Mes_Corriente!DE81*SALUD_Mes_Constante!$DC$1</f>
        <v>18688.056990021611</v>
      </c>
      <c r="DF81" s="8">
        <f>+MINVU_Mes_Corriente!DF81*SALUD_Mes_Constante!$DC$1</f>
        <v>362684.52936940663</v>
      </c>
      <c r="DG81" s="8">
        <f>+MINVU_Mes_Corriente!DG81*SALUD_Mes_Constante!$DC$1</f>
        <v>383422.68655488139</v>
      </c>
      <c r="DH81" s="8">
        <f>+MINVU_Mes_Corriente!DH81*SALUD_Mes_Constante!$DC$1</f>
        <v>773954.41024585988</v>
      </c>
      <c r="DI81" s="8">
        <f>+MINVU_Mes_Corriente!DI81*SALUD_Mes_Constante!$DC$1</f>
        <v>916619.57905565319</v>
      </c>
      <c r="DJ81" s="8">
        <f>+MINVU_Mes_Corriente!DJ81*SALUD_Mes_Constante!$DC$1</f>
        <v>1050338.0386791488</v>
      </c>
      <c r="DK81" s="8">
        <f>+MINVU_Mes_Corriente!DK81*SALUD_Mes_Constante!$DC$1</f>
        <v>1140790.8420944354</v>
      </c>
      <c r="DL81" s="8">
        <f>+MINVU_Mes_Corriente!DL81*SALUD_Mes_Constante!$DC$1</f>
        <v>1217396.4775228892</v>
      </c>
      <c r="DM81" s="8">
        <f>+MINVU_Mes_Corriente!DM81*SALUD_Mes_Constante!$DC$1</f>
        <v>1306620.7943627206</v>
      </c>
      <c r="DN81" s="8">
        <f>+MINVU_Mes_Corriente!DN81*SALUD_Mes_Constante!$DC$1</f>
        <v>1685316.1117169023</v>
      </c>
      <c r="DO81" s="9">
        <f t="shared" si="46"/>
        <v>1685316.1117169023</v>
      </c>
      <c r="DP81" s="8">
        <f>+MINVU_Mes_Corriente!DP81*SALUD_Mes_Constante!$DP$1</f>
        <v>0</v>
      </c>
      <c r="DQ81" s="8">
        <f>+MINVU_Mes_Corriente!DQ81*SALUD_Mes_Constante!$DP$1</f>
        <v>128424.83551068885</v>
      </c>
      <c r="DR81" s="8">
        <f>+MINVU_Mes_Corriente!DR81*SALUD_Mes_Constante!$DP$1</f>
        <v>378594.98337292165</v>
      </c>
      <c r="DS81" s="8">
        <f>+MINVU_Mes_Corriente!DS81*SALUD_Mes_Constante!$DP$1</f>
        <v>493533.17280285043</v>
      </c>
      <c r="DT81" s="8">
        <f>+MINVU_Mes_Corriente!DT81*SALUD_Mes_Constante!$DP$1</f>
        <v>650691.74465558201</v>
      </c>
      <c r="DU81" s="8">
        <f>+MINVU_Mes_Corriente!DU81*SALUD_Mes_Constante!$DP$1</f>
        <v>951666.06235154404</v>
      </c>
      <c r="DV81" s="8">
        <f>+MINVU_Mes_Corriente!DV81*SALUD_Mes_Constante!$DP$1</f>
        <v>1286897.6722090263</v>
      </c>
      <c r="DW81" s="8">
        <f>+MINVU_Mes_Corriente!DW81*SALUD_Mes_Constante!$DP$1</f>
        <v>1985307.4026128268</v>
      </c>
      <c r="DX81" s="8">
        <f>+MINVU_Mes_Corriente!DX81*SALUD_Mes_Constante!$DP$1</f>
        <v>2305329.7695962</v>
      </c>
      <c r="DY81" s="8">
        <f>+MINVU_Mes_Corriente!DY81*SALUD_Mes_Constante!$DP$1</f>
        <v>2493899.5100950119</v>
      </c>
      <c r="DZ81" s="8">
        <f>+MINVU_Mes_Corriente!DZ81*SALUD_Mes_Constante!$DP$1</f>
        <v>2719999.8010688839</v>
      </c>
      <c r="EA81" s="8">
        <f>+MINVU_Mes_Corriente!EA81*SALUD_Mes_Constante!$DP$1</f>
        <v>2984351.9055819479</v>
      </c>
      <c r="EB81" s="9">
        <f t="shared" si="47"/>
        <v>2984351.9055819479</v>
      </c>
      <c r="EC81" s="8">
        <f>+MINVU_Mes_Corriente!EC81*SALUD_Mes_Constante!$EC$1</f>
        <v>0</v>
      </c>
      <c r="ED81" s="8">
        <f>+MINVU_Mes_Corriente!ED81*SALUD_Mes_Constante!$EC$1</f>
        <v>0</v>
      </c>
      <c r="EE81" s="8">
        <f>+MINVU_Mes_Corriente!EE81*SALUD_Mes_Constante!$EC$1</f>
        <v>605431.98371520522</v>
      </c>
      <c r="EF81" s="8">
        <f>+MINVU_Mes_Corriente!EF81*SALUD_Mes_Constante!$EC$1</f>
        <v>898938.14997159597</v>
      </c>
      <c r="EG81" s="8">
        <f>+MINVU_Mes_Corriente!EG81*SALUD_Mes_Constante!$EC$1</f>
        <v>1310901.7282711603</v>
      </c>
      <c r="EH81" s="8">
        <f>+MINVU_Mes_Corriente!EH81*SALUD_Mes_Constante!$EC$1</f>
        <v>1664387.1035788672</v>
      </c>
      <c r="EI81" s="8">
        <f>+MINVU_Mes_Corriente!EI81*SALUD_Mes_Constante!$EC$1</f>
        <v>2005324.4406362425</v>
      </c>
      <c r="EJ81" s="8">
        <f>+MINVU_Mes_Corriente!EJ81*SALUD_Mes_Constante!$EC$1</f>
        <v>2022005.1592501414</v>
      </c>
      <c r="EK81" s="8">
        <f>+MINVU_Mes_Corriente!EK81*SALUD_Mes_Constante!$EC$1</f>
        <v>2734573.3900776361</v>
      </c>
      <c r="EL81" s="8">
        <f>+MINVU_Mes_Corriente!EL81*SALUD_Mes_Constante!$EC$1</f>
        <v>3235760.4512402941</v>
      </c>
      <c r="EM81" s="8">
        <f>+MINVU_Mes_Corriente!EM81*SALUD_Mes_Constante!$EC$1</f>
        <v>3253789.0753645133</v>
      </c>
      <c r="EN81" s="8">
        <f>+MINVU_Mes_Corriente!EN81*SALUD_Mes_Constante!$EC$1</f>
        <v>3747540.4152622595</v>
      </c>
      <c r="EO81" s="9">
        <f t="shared" si="48"/>
        <v>3747540.4152622595</v>
      </c>
      <c r="EP81" s="8">
        <f>+MINVU_Mes_Corriente!EP81*SALUD_Mes_Constante!$EP$1</f>
        <v>0</v>
      </c>
      <c r="EQ81" s="8">
        <f>+MINVU_Mes_Corriente!EQ81*SALUD_Mes_Constante!$EP$1</f>
        <v>0</v>
      </c>
      <c r="ER81" s="8">
        <f>+MINVU_Mes_Corriente!ER81*SALUD_Mes_Constante!$EP$1</f>
        <v>385605</v>
      </c>
      <c r="ES81" s="8">
        <f>+MINVU_Mes_Corriente!ES81*SALUD_Mes_Constante!$EP$1</f>
        <v>685990</v>
      </c>
      <c r="ET81" s="8">
        <f>+MINVU_Mes_Corriente!ET81*SALUD_Mes_Constante!$EP$1</f>
        <v>839926</v>
      </c>
      <c r="EU81" s="8">
        <f>+MINVU_Mes_Corriente!EU81*SALUD_Mes_Constante!$EP$1</f>
        <v>990638</v>
      </c>
      <c r="EV81" s="8">
        <f>+MINVU_Mes_Corriente!EV81*SALUD_Mes_Constante!$EP$1</f>
        <v>1017931</v>
      </c>
      <c r="EW81" s="8">
        <f>+MINVU_Mes_Corriente!EW81*SALUD_Mes_Constante!$EP$1</f>
        <v>1178621</v>
      </c>
      <c r="EX81" s="8">
        <f>+MINVU_Mes_Corriente!EX81*SALUD_Mes_Constante!$EP$1</f>
        <v>1268857</v>
      </c>
      <c r="EY81" s="8">
        <f>+MINVU_Mes_Corriente!EY81*SALUD_Mes_Constante!$EP$1</f>
        <v>1419361</v>
      </c>
      <c r="EZ81" s="8">
        <f>+MINVU_Mes_Corriente!EZ81*SALUD_Mes_Constante!$EP$1</f>
        <v>1444308</v>
      </c>
      <c r="FA81" s="8">
        <f>+MINVU_Mes_Corriente!FA81*SALUD_Mes_Constante!$EP$1</f>
        <v>1463647</v>
      </c>
      <c r="FB81" s="9">
        <f t="shared" si="49"/>
        <v>1463647</v>
      </c>
      <c r="FC81" s="8">
        <f>+MINVU_Mes_Corriente!FC81*SALUD_Mes_Constante!$FC$1</f>
        <v>0</v>
      </c>
      <c r="FD81" s="8">
        <f>+MINVU_Mes_Corriente!FD81*SALUD_Mes_Constante!$FC$1</f>
        <v>19530</v>
      </c>
      <c r="FE81" s="8">
        <f>+MINVU_Mes_Corriente!FE81*SALUD_Mes_Constante!$FC$1</f>
        <v>38500</v>
      </c>
      <c r="FF81" s="8">
        <f>+MINVU_Mes_Corriente!FF81*SALUD_Mes_Constante!$FC$1</f>
        <v>49260</v>
      </c>
      <c r="FG81" s="8">
        <f>+MINVU_Mes_Corriente!FG81*SALUD_Mes_Constante!$FC$1</f>
        <v>58615</v>
      </c>
      <c r="FH81" s="8">
        <f>+MINVU_Mes_Corriente!FH81*SALUD_Mes_Constante!$FC$1</f>
        <v>83045</v>
      </c>
      <c r="FI81" s="8">
        <f>+MINVU_Mes_Corriente!FI81*SALUD_Mes_Constante!$FC$1</f>
        <v>776488</v>
      </c>
      <c r="FJ81" s="8"/>
      <c r="FK81" s="8"/>
      <c r="FL81" s="8"/>
      <c r="FM81" s="8"/>
      <c r="FN81" s="8"/>
      <c r="FO81" s="9">
        <f t="shared" si="50"/>
        <v>776488</v>
      </c>
    </row>
    <row r="82" spans="2:171" ht="14.25" customHeight="1" x14ac:dyDescent="0.3">
      <c r="B82" s="7" t="s">
        <v>45</v>
      </c>
      <c r="C82" s="8">
        <f>+MINVU_Mes_Corriente!C82*SALUD_Mes_Constante!$C$1</f>
        <v>0</v>
      </c>
      <c r="D82" s="8">
        <f>+MINVU_Mes_Corriente!D82*SALUD_Mes_Constante!$C$1</f>
        <v>0</v>
      </c>
      <c r="E82" s="8">
        <f>+MINVU_Mes_Corriente!E82*SALUD_Mes_Constante!$C$1</f>
        <v>0</v>
      </c>
      <c r="F82" s="8">
        <f>+MINVU_Mes_Corriente!F82*SALUD_Mes_Constante!$C$1</f>
        <v>0</v>
      </c>
      <c r="G82" s="8">
        <f>+MINVU_Mes_Corriente!G82*SALUD_Mes_Constante!$C$1</f>
        <v>0</v>
      </c>
      <c r="H82" s="8">
        <f>+MINVU_Mes_Corriente!H82*SALUD_Mes_Constante!$C$1</f>
        <v>0</v>
      </c>
      <c r="I82" s="8">
        <f>+MINVU_Mes_Corriente!I82*SALUD_Mes_Constante!$C$1</f>
        <v>0</v>
      </c>
      <c r="J82" s="8">
        <f>+MINVU_Mes_Corriente!J82*SALUD_Mes_Constante!$C$1</f>
        <v>0</v>
      </c>
      <c r="K82" s="8">
        <f>+MINVU_Mes_Corriente!K82*SALUD_Mes_Constante!$C$1</f>
        <v>0</v>
      </c>
      <c r="L82" s="8">
        <f>+MINVU_Mes_Corriente!L82*SALUD_Mes_Constante!$C$1</f>
        <v>0</v>
      </c>
      <c r="M82" s="8">
        <f>+MINVU_Mes_Corriente!M82*SALUD_Mes_Constante!$C$1</f>
        <v>0</v>
      </c>
      <c r="N82" s="8">
        <f>+MINVU_Mes_Corriente!N82*SALUD_Mes_Constante!$C$1</f>
        <v>0</v>
      </c>
      <c r="O82" s="9">
        <f t="shared" si="38"/>
        <v>0</v>
      </c>
      <c r="P82" s="8">
        <f>+MINVU_Mes_Corriente!P82*SALUD_Mes_Constante!$P$1</f>
        <v>0</v>
      </c>
      <c r="Q82" s="8">
        <f>+MINVU_Mes_Corriente!Q82*SALUD_Mes_Constante!$P$1</f>
        <v>0</v>
      </c>
      <c r="R82" s="8">
        <f>+MINVU_Mes_Corriente!R82*SALUD_Mes_Constante!$P$1</f>
        <v>0</v>
      </c>
      <c r="S82" s="8">
        <f>+MINVU_Mes_Corriente!S82*SALUD_Mes_Constante!$P$1</f>
        <v>0</v>
      </c>
      <c r="T82" s="8">
        <f>+MINVU_Mes_Corriente!T82*SALUD_Mes_Constante!$P$1</f>
        <v>0</v>
      </c>
      <c r="U82" s="8">
        <f>+MINVU_Mes_Corriente!U82*SALUD_Mes_Constante!$P$1</f>
        <v>0</v>
      </c>
      <c r="V82" s="8">
        <f>+MINVU_Mes_Corriente!V82*SALUD_Mes_Constante!$P$1</f>
        <v>0</v>
      </c>
      <c r="W82" s="8">
        <f>+MINVU_Mes_Corriente!W82*SALUD_Mes_Constante!$P$1</f>
        <v>0</v>
      </c>
      <c r="X82" s="8">
        <f>+MINVU_Mes_Corriente!X82*SALUD_Mes_Constante!$P$1</f>
        <v>0</v>
      </c>
      <c r="Y82" s="8">
        <f>+MINVU_Mes_Corriente!Y82*SALUD_Mes_Constante!$P$1</f>
        <v>0</v>
      </c>
      <c r="Z82" s="8">
        <f>+MINVU_Mes_Corriente!Z82*SALUD_Mes_Constante!$P$1</f>
        <v>0</v>
      </c>
      <c r="AA82" s="8">
        <f>+MINVU_Mes_Corriente!AA82*SALUD_Mes_Constante!$P$1</f>
        <v>0</v>
      </c>
      <c r="AB82" s="9">
        <f t="shared" si="39"/>
        <v>0</v>
      </c>
      <c r="AC82" s="8">
        <f>+MINVU_Mes_Corriente!AC82*SALUD_Mes_Constante!$AC$1</f>
        <v>0</v>
      </c>
      <c r="AD82" s="8">
        <f>+MINVU_Mes_Corriente!AD82*SALUD_Mes_Constante!$AC$1</f>
        <v>0</v>
      </c>
      <c r="AE82" s="8">
        <f>+MINVU_Mes_Corriente!AE82*SALUD_Mes_Constante!$AC$1</f>
        <v>0</v>
      </c>
      <c r="AF82" s="8">
        <f>+MINVU_Mes_Corriente!AF82*SALUD_Mes_Constante!$AC$1</f>
        <v>0</v>
      </c>
      <c r="AG82" s="8">
        <f>+MINVU_Mes_Corriente!AG82*SALUD_Mes_Constante!$AC$1</f>
        <v>0</v>
      </c>
      <c r="AH82" s="8">
        <f>+MINVU_Mes_Corriente!AH82*SALUD_Mes_Constante!$AC$1</f>
        <v>0</v>
      </c>
      <c r="AI82" s="8">
        <f>+MINVU_Mes_Corriente!AI82*SALUD_Mes_Constante!$AC$1</f>
        <v>0</v>
      </c>
      <c r="AJ82" s="8">
        <f>+MINVU_Mes_Corriente!AJ82*SALUD_Mes_Constante!$AC$1</f>
        <v>0</v>
      </c>
      <c r="AK82" s="8">
        <f>+MINVU_Mes_Corriente!AK82*SALUD_Mes_Constante!$AC$1</f>
        <v>0</v>
      </c>
      <c r="AL82" s="8">
        <f>+MINVU_Mes_Corriente!AL82*SALUD_Mes_Constante!$AC$1</f>
        <v>0</v>
      </c>
      <c r="AM82" s="8">
        <f>+MINVU_Mes_Corriente!AM82*SALUD_Mes_Constante!$AC$1</f>
        <v>0</v>
      </c>
      <c r="AN82" s="8">
        <f>+MINVU_Mes_Corriente!AN82*SALUD_Mes_Constante!$AC$1</f>
        <v>0</v>
      </c>
      <c r="AO82" s="9">
        <f t="shared" si="40"/>
        <v>0</v>
      </c>
      <c r="AP82" s="8">
        <f>+MINVU_Mes_Corriente!AP82*SALUD_Mes_Constante!$AP$1</f>
        <v>0</v>
      </c>
      <c r="AQ82" s="8">
        <f>+MINVU_Mes_Corriente!AQ82*SALUD_Mes_Constante!$AP$1</f>
        <v>0</v>
      </c>
      <c r="AR82" s="8">
        <f>+MINVU_Mes_Corriente!AR82*SALUD_Mes_Constante!$AP$1</f>
        <v>0</v>
      </c>
      <c r="AS82" s="8">
        <f>+MINVU_Mes_Corriente!AS82*SALUD_Mes_Constante!$AP$1</f>
        <v>0</v>
      </c>
      <c r="AT82" s="8">
        <f>+MINVU_Mes_Corriente!AT82*SALUD_Mes_Constante!$AP$1</f>
        <v>0</v>
      </c>
      <c r="AU82" s="8">
        <f>+MINVU_Mes_Corriente!AU82*SALUD_Mes_Constante!$AP$1</f>
        <v>0</v>
      </c>
      <c r="AV82" s="8">
        <f>+MINVU_Mes_Corriente!AV82*SALUD_Mes_Constante!$AP$1</f>
        <v>0</v>
      </c>
      <c r="AW82" s="8">
        <f>+MINVU_Mes_Corriente!AW82*SALUD_Mes_Constante!$AP$1</f>
        <v>0</v>
      </c>
      <c r="AX82" s="8">
        <f>+MINVU_Mes_Corriente!AX82*SALUD_Mes_Constante!$AP$1</f>
        <v>0</v>
      </c>
      <c r="AY82" s="8">
        <f>+MINVU_Mes_Corriente!AY82*SALUD_Mes_Constante!$AP$1</f>
        <v>0</v>
      </c>
      <c r="AZ82" s="8">
        <f>+MINVU_Mes_Corriente!AZ82*SALUD_Mes_Constante!$AP$1</f>
        <v>0</v>
      </c>
      <c r="BA82" s="8">
        <f>+MINVU_Mes_Corriente!BA82*SALUD_Mes_Constante!$AP$1</f>
        <v>4752239.5365886651</v>
      </c>
      <c r="BB82" s="9">
        <f t="shared" si="41"/>
        <v>4752239.5365886651</v>
      </c>
      <c r="BC82" s="8">
        <f>+MINVU_Mes_Corriente!BC82*SALUD_Mes_Constante!$BC$1</f>
        <v>0</v>
      </c>
      <c r="BD82" s="8">
        <f>+MINVU_Mes_Corriente!BD82*SALUD_Mes_Constante!$BC$1</f>
        <v>0</v>
      </c>
      <c r="BE82" s="8">
        <f>+MINVU_Mes_Corriente!BE82*SALUD_Mes_Constante!$BC$1</f>
        <v>0</v>
      </c>
      <c r="BF82" s="8">
        <f>+MINVU_Mes_Corriente!BF82*SALUD_Mes_Constante!$BC$1</f>
        <v>0</v>
      </c>
      <c r="BG82" s="8">
        <f>+MINVU_Mes_Corriente!BG82*SALUD_Mes_Constante!$BC$1</f>
        <v>0</v>
      </c>
      <c r="BH82" s="8">
        <f>+MINVU_Mes_Corriente!BH82*SALUD_Mes_Constante!$BC$1</f>
        <v>0</v>
      </c>
      <c r="BI82" s="8">
        <f>+MINVU_Mes_Corriente!BI82*SALUD_Mes_Constante!$BC$1</f>
        <v>0</v>
      </c>
      <c r="BJ82" s="8">
        <f>+MINVU_Mes_Corriente!BJ82*SALUD_Mes_Constante!$BC$1</f>
        <v>0</v>
      </c>
      <c r="BK82" s="8">
        <f>+MINVU_Mes_Corriente!BK82*SALUD_Mes_Constante!$BC$1</f>
        <v>0</v>
      </c>
      <c r="BL82" s="8">
        <f>+MINVU_Mes_Corriente!BL82*SALUD_Mes_Constante!$BC$1</f>
        <v>0</v>
      </c>
      <c r="BM82" s="8">
        <f>+MINVU_Mes_Corriente!BM82*SALUD_Mes_Constante!$BC$1</f>
        <v>0</v>
      </c>
      <c r="BN82" s="8">
        <f>+MINVU_Mes_Corriente!BN82*SALUD_Mes_Constante!$BC$1</f>
        <v>0</v>
      </c>
      <c r="BO82" s="9">
        <f t="shared" si="42"/>
        <v>0</v>
      </c>
      <c r="BP82" s="8">
        <f>+MINVU_Mes_Corriente!BP82*SALUD_Mes_Constante!$BP$1</f>
        <v>0</v>
      </c>
      <c r="BQ82" s="8">
        <f>+MINVU_Mes_Corriente!BQ82*SALUD_Mes_Constante!$BP$1</f>
        <v>0</v>
      </c>
      <c r="BR82" s="8">
        <f>+MINVU_Mes_Corriente!BR82*SALUD_Mes_Constante!$BP$1</f>
        <v>0</v>
      </c>
      <c r="BS82" s="8">
        <f>+MINVU_Mes_Corriente!BS82*SALUD_Mes_Constante!$BP$1</f>
        <v>0</v>
      </c>
      <c r="BT82" s="8">
        <f>+MINVU_Mes_Corriente!BT82*SALUD_Mes_Constante!$BP$1</f>
        <v>0</v>
      </c>
      <c r="BU82" s="8">
        <f>+MINVU_Mes_Corriente!BU82*SALUD_Mes_Constante!$BP$1</f>
        <v>0</v>
      </c>
      <c r="BV82" s="8">
        <f>+MINVU_Mes_Corriente!BV82*SALUD_Mes_Constante!$BP$1</f>
        <v>0</v>
      </c>
      <c r="BW82" s="8">
        <f>+MINVU_Mes_Corriente!BW82*SALUD_Mes_Constante!$BP$1</f>
        <v>0</v>
      </c>
      <c r="BX82" s="8">
        <f>+MINVU_Mes_Corriente!BX82*SALUD_Mes_Constante!$BP$1</f>
        <v>0</v>
      </c>
      <c r="BY82" s="8">
        <f>+MINVU_Mes_Corriente!BY82*SALUD_Mes_Constante!$BP$1</f>
        <v>0</v>
      </c>
      <c r="BZ82" s="8">
        <f>+MINVU_Mes_Corriente!BZ82*SALUD_Mes_Constante!$BP$1</f>
        <v>0</v>
      </c>
      <c r="CA82" s="8">
        <f>+MINVU_Mes_Corriente!CA82*SALUD_Mes_Constante!$BP$1</f>
        <v>0</v>
      </c>
      <c r="CB82" s="9">
        <f t="shared" si="43"/>
        <v>0</v>
      </c>
      <c r="CC82" s="8">
        <f>+MINVU_Mes_Corriente!CC82*SALUD_Mes_Constante!$CC$1</f>
        <v>0</v>
      </c>
      <c r="CD82" s="8">
        <f>+MINVU_Mes_Corriente!CD82*SALUD_Mes_Constante!$CC$1</f>
        <v>0</v>
      </c>
      <c r="CE82" s="8">
        <f>+MINVU_Mes_Corriente!CE82*SALUD_Mes_Constante!$CC$1</f>
        <v>0</v>
      </c>
      <c r="CF82" s="8">
        <f>+MINVU_Mes_Corriente!CF82*SALUD_Mes_Constante!$CC$1</f>
        <v>0</v>
      </c>
      <c r="CG82" s="8">
        <f>+MINVU_Mes_Corriente!CG82*SALUD_Mes_Constante!$CC$1</f>
        <v>0</v>
      </c>
      <c r="CH82" s="8">
        <f>+MINVU_Mes_Corriente!CH82*SALUD_Mes_Constante!$CC$1</f>
        <v>0</v>
      </c>
      <c r="CI82" s="8">
        <f>+MINVU_Mes_Corriente!CI82*SALUD_Mes_Constante!$CC$1</f>
        <v>0</v>
      </c>
      <c r="CJ82" s="8">
        <f>+MINVU_Mes_Corriente!CJ82*SALUD_Mes_Constante!$CC$1</f>
        <v>0</v>
      </c>
      <c r="CK82" s="8">
        <f>+MINVU_Mes_Corriente!CK82*SALUD_Mes_Constante!$CC$1</f>
        <v>0</v>
      </c>
      <c r="CL82" s="8">
        <f>+MINVU_Mes_Corriente!CL82*SALUD_Mes_Constante!$CC$1</f>
        <v>0</v>
      </c>
      <c r="CM82" s="8">
        <f>+MINVU_Mes_Corriente!CM82*SALUD_Mes_Constante!$CC$1</f>
        <v>0</v>
      </c>
      <c r="CN82" s="8">
        <f>+MINVU_Mes_Corriente!CN82*SALUD_Mes_Constante!$CC$1</f>
        <v>0</v>
      </c>
      <c r="CO82" s="9">
        <f t="shared" si="44"/>
        <v>0</v>
      </c>
      <c r="CP82" s="8">
        <f>+MINVU_Mes_Corriente!CP82*SALUD_Mes_Constante!$CP$1</f>
        <v>0</v>
      </c>
      <c r="CQ82" s="8">
        <f>+MINVU_Mes_Corriente!CQ82*SALUD_Mes_Constante!$CP$1</f>
        <v>0</v>
      </c>
      <c r="CR82" s="8">
        <f>+MINVU_Mes_Corriente!CR82*SALUD_Mes_Constante!$CP$1</f>
        <v>0</v>
      </c>
      <c r="CS82" s="8">
        <f>+MINVU_Mes_Corriente!CS82*SALUD_Mes_Constante!$CP$1</f>
        <v>0</v>
      </c>
      <c r="CT82" s="8">
        <f>+MINVU_Mes_Corriente!CT82*SALUD_Mes_Constante!$CP$1</f>
        <v>0</v>
      </c>
      <c r="CU82" s="8">
        <f>+MINVU_Mes_Corriente!CU82*SALUD_Mes_Constante!$CP$1</f>
        <v>0</v>
      </c>
      <c r="CV82" s="8">
        <f>+MINVU_Mes_Corriente!CV82*SALUD_Mes_Constante!$CP$1</f>
        <v>0</v>
      </c>
      <c r="CW82" s="8">
        <f>+MINVU_Mes_Corriente!CW82*SALUD_Mes_Constante!$CP$1</f>
        <v>0</v>
      </c>
      <c r="CX82" s="8">
        <f>+MINVU_Mes_Corriente!CX82*SALUD_Mes_Constante!$CP$1</f>
        <v>0</v>
      </c>
      <c r="CY82" s="8">
        <f>+MINVU_Mes_Corriente!CY82*SALUD_Mes_Constante!$CP$1</f>
        <v>0</v>
      </c>
      <c r="CZ82" s="8">
        <f>+MINVU_Mes_Corriente!CZ82*SALUD_Mes_Constante!$CP$1</f>
        <v>0</v>
      </c>
      <c r="DA82" s="8">
        <f>+MINVU_Mes_Corriente!DA82*SALUD_Mes_Constante!$CP$1</f>
        <v>0</v>
      </c>
      <c r="DB82" s="9">
        <f t="shared" si="45"/>
        <v>0</v>
      </c>
      <c r="DC82" s="8">
        <f>+MINVU_Mes_Corriente!DC82*SALUD_Mes_Constante!$DC$1</f>
        <v>0</v>
      </c>
      <c r="DD82" s="8">
        <f>+MINVU_Mes_Corriente!DD82*SALUD_Mes_Constante!$DC$1</f>
        <v>0</v>
      </c>
      <c r="DE82" s="8">
        <f>+MINVU_Mes_Corriente!DE82*SALUD_Mes_Constante!$DC$1</f>
        <v>0</v>
      </c>
      <c r="DF82" s="8">
        <f>+MINVU_Mes_Corriente!DF82*SALUD_Mes_Constante!$DC$1</f>
        <v>0</v>
      </c>
      <c r="DG82" s="8">
        <f>+MINVU_Mes_Corriente!DG82*SALUD_Mes_Constante!$DC$1</f>
        <v>0</v>
      </c>
      <c r="DH82" s="8">
        <f>+MINVU_Mes_Corriente!DH82*SALUD_Mes_Constante!$DC$1</f>
        <v>0</v>
      </c>
      <c r="DI82" s="8">
        <f>+MINVU_Mes_Corriente!DI82*SALUD_Mes_Constante!$DC$1</f>
        <v>0</v>
      </c>
      <c r="DJ82" s="8">
        <f>+MINVU_Mes_Corriente!DJ82*SALUD_Mes_Constante!$DC$1</f>
        <v>0</v>
      </c>
      <c r="DK82" s="8">
        <f>+MINVU_Mes_Corriente!DK82*SALUD_Mes_Constante!$DC$1</f>
        <v>0</v>
      </c>
      <c r="DL82" s="8">
        <f>+MINVU_Mes_Corriente!DL82*SALUD_Mes_Constante!$DC$1</f>
        <v>0</v>
      </c>
      <c r="DM82" s="8">
        <f>+MINVU_Mes_Corriente!DM82*SALUD_Mes_Constante!$DC$1</f>
        <v>0</v>
      </c>
      <c r="DN82" s="8">
        <f>+MINVU_Mes_Corriente!DN82*SALUD_Mes_Constante!$DC$1</f>
        <v>0</v>
      </c>
      <c r="DO82" s="9">
        <f t="shared" si="46"/>
        <v>0</v>
      </c>
      <c r="DP82" s="8">
        <f>+MINVU_Mes_Corriente!DP82*SALUD_Mes_Constante!$DP$1</f>
        <v>0</v>
      </c>
      <c r="DQ82" s="8">
        <f>+MINVU_Mes_Corriente!DQ82*SALUD_Mes_Constante!$DP$1</f>
        <v>0</v>
      </c>
      <c r="DR82" s="8">
        <f>+MINVU_Mes_Corriente!DR82*SALUD_Mes_Constante!$DP$1</f>
        <v>0</v>
      </c>
      <c r="DS82" s="8">
        <f>+MINVU_Mes_Corriente!DS82*SALUD_Mes_Constante!$DP$1</f>
        <v>0</v>
      </c>
      <c r="DT82" s="8">
        <f>+MINVU_Mes_Corriente!DT82*SALUD_Mes_Constante!$DP$1</f>
        <v>0</v>
      </c>
      <c r="DU82" s="8">
        <f>+MINVU_Mes_Corriente!DU82*SALUD_Mes_Constante!$DP$1</f>
        <v>0</v>
      </c>
      <c r="DV82" s="8">
        <f>+MINVU_Mes_Corriente!DV82*SALUD_Mes_Constante!$DP$1</f>
        <v>0</v>
      </c>
      <c r="DW82" s="8">
        <f>+MINVU_Mes_Corriente!DW82*SALUD_Mes_Constante!$DP$1</f>
        <v>0</v>
      </c>
      <c r="DX82" s="8">
        <f>+MINVU_Mes_Corriente!DX82*SALUD_Mes_Constante!$DP$1</f>
        <v>0</v>
      </c>
      <c r="DY82" s="8">
        <f>+MINVU_Mes_Corriente!DY82*SALUD_Mes_Constante!$DP$1</f>
        <v>0</v>
      </c>
      <c r="DZ82" s="8">
        <f>+MINVU_Mes_Corriente!DZ82*SALUD_Mes_Constante!$DP$1</f>
        <v>0</v>
      </c>
      <c r="EA82" s="8">
        <f>+MINVU_Mes_Corriente!EA82*SALUD_Mes_Constante!$DP$1</f>
        <v>0</v>
      </c>
      <c r="EB82" s="9">
        <f t="shared" si="47"/>
        <v>0</v>
      </c>
      <c r="EC82" s="8">
        <f>+MINVU_Mes_Corriente!EC82*SALUD_Mes_Constante!$EC$1</f>
        <v>0</v>
      </c>
      <c r="ED82" s="8">
        <f>+MINVU_Mes_Corriente!ED82*SALUD_Mes_Constante!$EC$1</f>
        <v>0</v>
      </c>
      <c r="EE82" s="8">
        <f>+MINVU_Mes_Corriente!EE82*SALUD_Mes_Constante!$EC$1</f>
        <v>0</v>
      </c>
      <c r="EF82" s="8">
        <f>+MINVU_Mes_Corriente!EF82*SALUD_Mes_Constante!$EC$1</f>
        <v>0</v>
      </c>
      <c r="EG82" s="8">
        <f>+MINVU_Mes_Corriente!EG82*SALUD_Mes_Constante!$EC$1</f>
        <v>0</v>
      </c>
      <c r="EH82" s="8">
        <f>+MINVU_Mes_Corriente!EH82*SALUD_Mes_Constante!$EC$1</f>
        <v>0</v>
      </c>
      <c r="EI82" s="8">
        <f>+MINVU_Mes_Corriente!EI82*SALUD_Mes_Constante!$EC$1</f>
        <v>0</v>
      </c>
      <c r="EJ82" s="8">
        <f>+MINVU_Mes_Corriente!EJ82*SALUD_Mes_Constante!$EC$1</f>
        <v>0</v>
      </c>
      <c r="EK82" s="8">
        <f>+MINVU_Mes_Corriente!EK82*SALUD_Mes_Constante!$EC$1</f>
        <v>0</v>
      </c>
      <c r="EL82" s="8">
        <f>+MINVU_Mes_Corriente!EL82*SALUD_Mes_Constante!$EC$1</f>
        <v>0</v>
      </c>
      <c r="EM82" s="8">
        <f>+MINVU_Mes_Corriente!EM82*SALUD_Mes_Constante!$EC$1</f>
        <v>0</v>
      </c>
      <c r="EN82" s="8">
        <f>+MINVU_Mes_Corriente!EN82*SALUD_Mes_Constante!$EC$1</f>
        <v>0</v>
      </c>
      <c r="EO82" s="9">
        <f t="shared" si="48"/>
        <v>0</v>
      </c>
      <c r="EP82" s="8">
        <f>+MINVU_Mes_Corriente!EP82*SALUD_Mes_Constante!$EP$1</f>
        <v>0</v>
      </c>
      <c r="EQ82" s="8">
        <f>+MINVU_Mes_Corriente!EQ82*SALUD_Mes_Constante!$EP$1</f>
        <v>0</v>
      </c>
      <c r="ER82" s="8">
        <f>+MINVU_Mes_Corriente!ER82*SALUD_Mes_Constante!$EP$1</f>
        <v>0</v>
      </c>
      <c r="ES82" s="8">
        <f>+MINVU_Mes_Corriente!ES82*SALUD_Mes_Constante!$EP$1</f>
        <v>0</v>
      </c>
      <c r="ET82" s="8">
        <f>+MINVU_Mes_Corriente!ET82*SALUD_Mes_Constante!$EP$1</f>
        <v>0</v>
      </c>
      <c r="EU82" s="8">
        <f>+MINVU_Mes_Corriente!EU82*SALUD_Mes_Constante!$EP$1</f>
        <v>0</v>
      </c>
      <c r="EV82" s="8">
        <f>+MINVU_Mes_Corriente!EV82*SALUD_Mes_Constante!$EP$1</f>
        <v>0</v>
      </c>
      <c r="EW82" s="8">
        <f>+MINVU_Mes_Corriente!EW82*SALUD_Mes_Constante!$EP$1</f>
        <v>0</v>
      </c>
      <c r="EX82" s="8">
        <f>+MINVU_Mes_Corriente!EX82*SALUD_Mes_Constante!$EP$1</f>
        <v>0</v>
      </c>
      <c r="EY82" s="8">
        <f>+MINVU_Mes_Corriente!EY82*SALUD_Mes_Constante!$EP$1</f>
        <v>0</v>
      </c>
      <c r="EZ82" s="8">
        <f>+MINVU_Mes_Corriente!EZ82*SALUD_Mes_Constante!$EP$1</f>
        <v>0</v>
      </c>
      <c r="FA82" s="8">
        <f>+MINVU_Mes_Corriente!FA82*SALUD_Mes_Constante!$EP$1</f>
        <v>0</v>
      </c>
      <c r="FB82" s="9">
        <f t="shared" si="49"/>
        <v>0</v>
      </c>
      <c r="FC82" s="8">
        <f>+MINVU_Mes_Corriente!FC82*SALUD_Mes_Constante!$FC$1</f>
        <v>0</v>
      </c>
      <c r="FD82" s="8">
        <f>+MINVU_Mes_Corriente!FD82*SALUD_Mes_Constante!$FC$1</f>
        <v>0</v>
      </c>
      <c r="FE82" s="8">
        <f>+MINVU_Mes_Corriente!FE82*SALUD_Mes_Constante!$FC$1</f>
        <v>0</v>
      </c>
      <c r="FF82" s="8">
        <f>+MINVU_Mes_Corriente!FF82*SALUD_Mes_Constante!$FC$1</f>
        <v>0</v>
      </c>
      <c r="FG82" s="8">
        <f>+MINVU_Mes_Corriente!FG82*SALUD_Mes_Constante!$FC$1</f>
        <v>0</v>
      </c>
      <c r="FH82" s="8">
        <f>+MINVU_Mes_Corriente!FH82*SALUD_Mes_Constante!$FC$1</f>
        <v>0</v>
      </c>
      <c r="FI82" s="8">
        <f>+MINVU_Mes_Corriente!FI82*SALUD_Mes_Constante!$FC$1</f>
        <v>0</v>
      </c>
      <c r="FJ82" s="8"/>
      <c r="FK82" s="8"/>
      <c r="FL82" s="8"/>
      <c r="FM82" s="8"/>
      <c r="FN82" s="8"/>
      <c r="FO82" s="9">
        <f t="shared" si="50"/>
        <v>0</v>
      </c>
    </row>
    <row r="83" spans="2:171" ht="14.25" customHeight="1" x14ac:dyDescent="0.3">
      <c r="B83" s="7" t="s">
        <v>46</v>
      </c>
      <c r="C83" s="8">
        <f>+MINVU_Mes_Corriente!C83*SALUD_Mes_Constante!$C$1</f>
        <v>0</v>
      </c>
      <c r="D83" s="8">
        <f>+MINVU_Mes_Corriente!D83*SALUD_Mes_Constante!$C$1</f>
        <v>47354.64185080825</v>
      </c>
      <c r="E83" s="8">
        <f>+MINVU_Mes_Corriente!E83*SALUD_Mes_Constante!$C$1</f>
        <v>111897.92495921698</v>
      </c>
      <c r="F83" s="8">
        <f>+MINVU_Mes_Corriente!F83*SALUD_Mes_Constante!$C$1</f>
        <v>119999.66009194723</v>
      </c>
      <c r="G83" s="8">
        <f>+MINVU_Mes_Corriente!G83*SALUD_Mes_Constante!$C$1</f>
        <v>209235.41153789117</v>
      </c>
      <c r="H83" s="8">
        <f>+MINVU_Mes_Corriente!H83*SALUD_Mes_Constante!$C$1</f>
        <v>209235.41153789117</v>
      </c>
      <c r="I83" s="8">
        <f>+MINVU_Mes_Corriente!I83*SALUD_Mes_Constante!$C$1</f>
        <v>209235.41153789117</v>
      </c>
      <c r="J83" s="8">
        <f>+MINVU_Mes_Corriente!J83*SALUD_Mes_Constante!$C$1</f>
        <v>209235.41153789117</v>
      </c>
      <c r="K83" s="8">
        <f>+MINVU_Mes_Corriente!K83*SALUD_Mes_Constante!$C$1</f>
        <v>209235.41153789117</v>
      </c>
      <c r="L83" s="8">
        <f>+MINVU_Mes_Corriente!L83*SALUD_Mes_Constante!$C$1</f>
        <v>209235.41153789117</v>
      </c>
      <c r="M83" s="8">
        <f>+MINVU_Mes_Corriente!M83*SALUD_Mes_Constante!$C$1</f>
        <v>237771.34302239364</v>
      </c>
      <c r="N83" s="8">
        <f>+MINVU_Mes_Corriente!N83*SALUD_Mes_Constante!$C$1</f>
        <v>256325.93682337244</v>
      </c>
      <c r="O83" s="9">
        <f t="shared" si="38"/>
        <v>256325.93682337244</v>
      </c>
      <c r="P83" s="8">
        <f>+MINVU_Mes_Corriente!P83*SALUD_Mes_Constante!$P$1</f>
        <v>0</v>
      </c>
      <c r="Q83" s="8">
        <f>+MINVU_Mes_Corriente!Q83*SALUD_Mes_Constante!$P$1</f>
        <v>0</v>
      </c>
      <c r="R83" s="8">
        <f>+MINVU_Mes_Corriente!R83*SALUD_Mes_Constante!$P$1</f>
        <v>0</v>
      </c>
      <c r="S83" s="8">
        <f>+MINVU_Mes_Corriente!S83*SALUD_Mes_Constante!$P$1</f>
        <v>0</v>
      </c>
      <c r="T83" s="8">
        <f>+MINVU_Mes_Corriente!T83*SALUD_Mes_Constante!$P$1</f>
        <v>0</v>
      </c>
      <c r="U83" s="8">
        <f>+MINVU_Mes_Corriente!U83*SALUD_Mes_Constante!$P$1</f>
        <v>0</v>
      </c>
      <c r="V83" s="8">
        <f>+MINVU_Mes_Corriente!V83*SALUD_Mes_Constante!$P$1</f>
        <v>0</v>
      </c>
      <c r="W83" s="8">
        <f>+MINVU_Mes_Corriente!W83*SALUD_Mes_Constante!$P$1</f>
        <v>0</v>
      </c>
      <c r="X83" s="8">
        <f>+MINVU_Mes_Corriente!X83*SALUD_Mes_Constante!$P$1</f>
        <v>18626.509447364675</v>
      </c>
      <c r="Y83" s="8">
        <f>+MINVU_Mes_Corriente!Y83*SALUD_Mes_Constante!$P$1</f>
        <v>18645.135956812039</v>
      </c>
      <c r="Z83" s="8">
        <f>+MINVU_Mes_Corriente!Z83*SALUD_Mes_Constante!$P$1</f>
        <v>42168.865179713015</v>
      </c>
      <c r="AA83" s="8">
        <f>+MINVU_Mes_Corriente!AA83*SALUD_Mes_Constante!$P$1</f>
        <v>98247.076289245597</v>
      </c>
      <c r="AB83" s="9">
        <f t="shared" si="39"/>
        <v>98247.076289245597</v>
      </c>
      <c r="AC83" s="8">
        <f>+MINVU_Mes_Corriente!AC83*SALUD_Mes_Constante!$AC$1</f>
        <v>0</v>
      </c>
      <c r="AD83" s="8">
        <f>+MINVU_Mes_Corriente!AD83*SALUD_Mes_Constante!$AC$1</f>
        <v>0</v>
      </c>
      <c r="AE83" s="8">
        <f>+MINVU_Mes_Corriente!AE83*SALUD_Mes_Constante!$AC$1</f>
        <v>47487.06515423987</v>
      </c>
      <c r="AF83" s="8">
        <f>+MINVU_Mes_Corriente!AF83*SALUD_Mes_Constante!$AC$1</f>
        <v>83372.528980495234</v>
      </c>
      <c r="AG83" s="8">
        <f>+MINVU_Mes_Corriente!AG83*SALUD_Mes_Constante!$AC$1</f>
        <v>110172.89306958085</v>
      </c>
      <c r="AH83" s="8">
        <f>+MINVU_Mes_Corriente!AH83*SALUD_Mes_Constante!$AC$1</f>
        <v>228596.58624982709</v>
      </c>
      <c r="AI83" s="8">
        <f>+MINVU_Mes_Corriente!AI83*SALUD_Mes_Constante!$AC$1</f>
        <v>305344.5948263937</v>
      </c>
      <c r="AJ83" s="8">
        <f>+MINVU_Mes_Corriente!AJ83*SALUD_Mes_Constante!$AC$1</f>
        <v>451186.81975376955</v>
      </c>
      <c r="AK83" s="8">
        <f>+MINVU_Mes_Corriente!AK83*SALUD_Mes_Constante!$AC$1</f>
        <v>509924.83856688341</v>
      </c>
      <c r="AL83" s="8">
        <f>+MINVU_Mes_Corriente!AL83*SALUD_Mes_Constante!$AC$1</f>
        <v>536691.95158389816</v>
      </c>
      <c r="AM83" s="8">
        <f>+MINVU_Mes_Corriente!AM83*SALUD_Mes_Constante!$AC$1</f>
        <v>548852.77548761934</v>
      </c>
      <c r="AN83" s="8">
        <f>+MINVU_Mes_Corriente!AN83*SALUD_Mes_Constante!$AC$1</f>
        <v>710676.67478212749</v>
      </c>
      <c r="AO83" s="9">
        <f t="shared" si="40"/>
        <v>710676.67478212749</v>
      </c>
      <c r="AP83" s="8">
        <f>+MINVU_Mes_Corriente!AP83*SALUD_Mes_Constante!$AP$1</f>
        <v>3546.9227647774919</v>
      </c>
      <c r="AQ83" s="8">
        <f>+MINVU_Mes_Corriente!AQ83*SALUD_Mes_Constante!$AP$1</f>
        <v>7093.8455295549838</v>
      </c>
      <c r="AR83" s="8">
        <f>+MINVU_Mes_Corriente!AR83*SALUD_Mes_Constante!$AP$1</f>
        <v>10640.768294332476</v>
      </c>
      <c r="AS83" s="8">
        <f>+MINVU_Mes_Corriente!AS83*SALUD_Mes_Constante!$AP$1</f>
        <v>16552.306235628297</v>
      </c>
      <c r="AT83" s="8">
        <f>+MINVU_Mes_Corriente!AT83*SALUD_Mes_Constante!$AP$1</f>
        <v>20099.229000405787</v>
      </c>
      <c r="AU83" s="8">
        <f>+MINVU_Mes_Corriente!AU83*SALUD_Mes_Constante!$AP$1</f>
        <v>23646.15176518328</v>
      </c>
      <c r="AV83" s="8">
        <f>+MINVU_Mes_Corriente!AV83*SALUD_Mes_Constante!$AP$1</f>
        <v>27193.074529960773</v>
      </c>
      <c r="AW83" s="8">
        <f>+MINVU_Mes_Corriente!AW83*SALUD_Mes_Constante!$AP$1</f>
        <v>101041.48437711348</v>
      </c>
      <c r="AX83" s="8">
        <f>+MINVU_Mes_Corriente!AX83*SALUD_Mes_Constante!$AP$1</f>
        <v>200622.81888272689</v>
      </c>
      <c r="AY83" s="8">
        <f>+MINVU_Mes_Corriente!AY83*SALUD_Mes_Constante!$AP$1</f>
        <v>353468.58812390099</v>
      </c>
      <c r="AZ83" s="8">
        <f>+MINVU_Mes_Corriente!AZ83*SALUD_Mes_Constante!$AP$1</f>
        <v>438472.07006627886</v>
      </c>
      <c r="BA83" s="8">
        <f>+MINVU_Mes_Corriente!BA83*SALUD_Mes_Constante!$AP$1</f>
        <v>783528.53969971591</v>
      </c>
      <c r="BB83" s="9">
        <f t="shared" si="41"/>
        <v>783528.53969971591</v>
      </c>
      <c r="BC83" s="8">
        <f>+MINVU_Mes_Corriente!BC83*SALUD_Mes_Constante!$BC$1</f>
        <v>0</v>
      </c>
      <c r="BD83" s="8">
        <f>+MINVU_Mes_Corriente!BD83*SALUD_Mes_Constante!$BC$1</f>
        <v>0</v>
      </c>
      <c r="BE83" s="8">
        <f>+MINVU_Mes_Corriente!BE83*SALUD_Mes_Constante!$BC$1</f>
        <v>0</v>
      </c>
      <c r="BF83" s="8">
        <f>+MINVU_Mes_Corriente!BF83*SALUD_Mes_Constante!$BC$1</f>
        <v>399795.35091652389</v>
      </c>
      <c r="BG83" s="8">
        <f>+MINVU_Mes_Corriente!BG83*SALUD_Mes_Constante!$BC$1</f>
        <v>413003.66451272595</v>
      </c>
      <c r="BH83" s="8">
        <f>+MINVU_Mes_Corriente!BH83*SALUD_Mes_Constante!$BC$1</f>
        <v>433982.50665963348</v>
      </c>
      <c r="BI83" s="8">
        <f>+MINVU_Mes_Corriente!BI83*SALUD_Mes_Constante!$BC$1</f>
        <v>435679.83331135445</v>
      </c>
      <c r="BJ83" s="8">
        <f>+MINVU_Mes_Corriente!BJ83*SALUD_Mes_Constante!$BC$1</f>
        <v>441616.15402874863</v>
      </c>
      <c r="BK83" s="8">
        <f>+MINVU_Mes_Corriente!BK83*SALUD_Mes_Constante!$BC$1</f>
        <v>633019.27152841899</v>
      </c>
      <c r="BL83" s="8">
        <f>+MINVU_Mes_Corriente!BL83*SALUD_Mes_Constante!$BC$1</f>
        <v>667017.6753263881</v>
      </c>
      <c r="BM83" s="8">
        <f>+MINVU_Mes_Corriente!BM83*SALUD_Mes_Constante!$BC$1</f>
        <v>769128.15508374013</v>
      </c>
      <c r="BN83" s="8">
        <f>+MINVU_Mes_Corriente!BN83*SALUD_Mes_Constante!$BC$1</f>
        <v>1044726.1669523937</v>
      </c>
      <c r="BO83" s="9">
        <f t="shared" si="42"/>
        <v>1044726.1669523937</v>
      </c>
      <c r="BP83" s="8">
        <f>+MINVU_Mes_Corriente!BP83*SALUD_Mes_Constante!$BP$1</f>
        <v>0</v>
      </c>
      <c r="BQ83" s="8">
        <f>+MINVU_Mes_Corriente!BQ83*SALUD_Mes_Constante!$BP$1</f>
        <v>0</v>
      </c>
      <c r="BR83" s="8">
        <f>+MINVU_Mes_Corriente!BR83*SALUD_Mes_Constante!$BP$1</f>
        <v>0</v>
      </c>
      <c r="BS83" s="8">
        <f>+MINVU_Mes_Corriente!BS83*SALUD_Mes_Constante!$BP$1</f>
        <v>0</v>
      </c>
      <c r="BT83" s="8">
        <f>+MINVU_Mes_Corriente!BT83*SALUD_Mes_Constante!$BP$1</f>
        <v>136274.22023047376</v>
      </c>
      <c r="BU83" s="8">
        <f>+MINVU_Mes_Corriente!BU83*SALUD_Mes_Constante!$BP$1</f>
        <v>176517.15441741358</v>
      </c>
      <c r="BV83" s="8">
        <f>+MINVU_Mes_Corriente!BV83*SALUD_Mes_Constante!$BP$1</f>
        <v>276478.16312419978</v>
      </c>
      <c r="BW83" s="8">
        <f>+MINVU_Mes_Corriente!BW83*SALUD_Mes_Constante!$BP$1</f>
        <v>457038.35723431502</v>
      </c>
      <c r="BX83" s="8">
        <f>+MINVU_Mes_Corriente!BX83*SALUD_Mes_Constante!$BP$1</f>
        <v>457038.35723431502</v>
      </c>
      <c r="BY83" s="8">
        <f>+MINVU_Mes_Corriente!BY83*SALUD_Mes_Constante!$BP$1</f>
        <v>531970.29218950064</v>
      </c>
      <c r="BZ83" s="8">
        <f>+MINVU_Mes_Corriente!BZ83*SALUD_Mes_Constante!$BP$1</f>
        <v>531970.29218950064</v>
      </c>
      <c r="CA83" s="8">
        <f>+MINVU_Mes_Corriente!CA83*SALUD_Mes_Constante!$BP$1</f>
        <v>566294.16030729841</v>
      </c>
      <c r="CB83" s="9">
        <f t="shared" si="43"/>
        <v>566294.16030729841</v>
      </c>
      <c r="CC83" s="8">
        <f>+MINVU_Mes_Corriente!CC83*SALUD_Mes_Constante!$CC$1</f>
        <v>0</v>
      </c>
      <c r="CD83" s="8">
        <f>+MINVU_Mes_Corriente!CD83*SALUD_Mes_Constante!$CC$1</f>
        <v>0</v>
      </c>
      <c r="CE83" s="8">
        <f>+MINVU_Mes_Corriente!CE83*SALUD_Mes_Constante!$CC$1</f>
        <v>120509.31070496085</v>
      </c>
      <c r="CF83" s="8">
        <f>+MINVU_Mes_Corriente!CF83*SALUD_Mes_Constante!$CC$1</f>
        <v>145302.35136143232</v>
      </c>
      <c r="CG83" s="8">
        <f>+MINVU_Mes_Corriente!CG83*SALUD_Mes_Constante!$CC$1</f>
        <v>145302.35136143232</v>
      </c>
      <c r="CH83" s="8">
        <f>+MINVU_Mes_Corriente!CH83*SALUD_Mes_Constante!$CC$1</f>
        <v>208031.42036553528</v>
      </c>
      <c r="CI83" s="8">
        <f>+MINVU_Mes_Corriente!CI83*SALUD_Mes_Constante!$CC$1</f>
        <v>321048.88847444986</v>
      </c>
      <c r="CJ83" s="8">
        <f>+MINVU_Mes_Corriente!CJ83*SALUD_Mes_Constante!$CC$1</f>
        <v>413104.14024617686</v>
      </c>
      <c r="CK83" s="8">
        <f>+MINVU_Mes_Corriente!CK83*SALUD_Mes_Constante!$CC$1</f>
        <v>544697.03095859755</v>
      </c>
      <c r="CL83" s="8">
        <f>+MINVU_Mes_Corriente!CL83*SALUD_Mes_Constante!$CC$1</f>
        <v>608859.26296158158</v>
      </c>
      <c r="CM83" s="8">
        <f>+MINVU_Mes_Corriente!CM83*SALUD_Mes_Constante!$CC$1</f>
        <v>732188.71242073865</v>
      </c>
      <c r="CN83" s="8">
        <f>+MINVU_Mes_Corriente!CN83*SALUD_Mes_Constante!$CC$1</f>
        <v>1129230.5594927268</v>
      </c>
      <c r="CO83" s="9">
        <f t="shared" si="44"/>
        <v>1129230.5594927268</v>
      </c>
      <c r="CP83" s="8">
        <f>+MINVU_Mes_Corriente!CP83*SALUD_Mes_Constante!$CP$1</f>
        <v>0</v>
      </c>
      <c r="CQ83" s="8">
        <f>+MINVU_Mes_Corriente!CQ83*SALUD_Mes_Constante!$CP$1</f>
        <v>0</v>
      </c>
      <c r="CR83" s="8">
        <f>+MINVU_Mes_Corriente!CR83*SALUD_Mes_Constante!$CP$1</f>
        <v>0</v>
      </c>
      <c r="CS83" s="8">
        <f>+MINVU_Mes_Corriente!CS83*SALUD_Mes_Constante!$CP$1</f>
        <v>0</v>
      </c>
      <c r="CT83" s="8">
        <f>+MINVU_Mes_Corriente!CT83*SALUD_Mes_Constante!$CP$1</f>
        <v>0</v>
      </c>
      <c r="CU83" s="8">
        <f>+MINVU_Mes_Corriente!CU83*SALUD_Mes_Constante!$CP$1</f>
        <v>0</v>
      </c>
      <c r="CV83" s="8">
        <f>+MINVU_Mes_Corriente!CV83*SALUD_Mes_Constante!$CP$1</f>
        <v>0</v>
      </c>
      <c r="CW83" s="8">
        <f>+MINVU_Mes_Corriente!CW83*SALUD_Mes_Constante!$CP$1</f>
        <v>0</v>
      </c>
      <c r="CX83" s="8">
        <f>+MINVU_Mes_Corriente!CX83*SALUD_Mes_Constante!$CP$1</f>
        <v>0</v>
      </c>
      <c r="CY83" s="8">
        <f>+MINVU_Mes_Corriente!CY83*SALUD_Mes_Constante!$CP$1</f>
        <v>0</v>
      </c>
      <c r="CZ83" s="8">
        <f>+MINVU_Mes_Corriente!CZ83*SALUD_Mes_Constante!$CP$1</f>
        <v>112912.98515081205</v>
      </c>
      <c r="DA83" s="8">
        <f>+MINVU_Mes_Corriente!DA83*SALUD_Mes_Constante!$CP$1</f>
        <v>191292.45870069601</v>
      </c>
      <c r="DB83" s="9">
        <f t="shared" si="45"/>
        <v>191292.45870069601</v>
      </c>
      <c r="DC83" s="8">
        <f>+MINVU_Mes_Corriente!DC83*SALUD_Mes_Constante!$DC$1</f>
        <v>0</v>
      </c>
      <c r="DD83" s="8">
        <f>+MINVU_Mes_Corriente!DD83*SALUD_Mes_Constante!$DC$1</f>
        <v>0</v>
      </c>
      <c r="DE83" s="8">
        <f>+MINVU_Mes_Corriente!DE83*SALUD_Mes_Constante!$DC$1</f>
        <v>173595.38113362831</v>
      </c>
      <c r="DF83" s="8">
        <f>+MINVU_Mes_Corriente!DF83*SALUD_Mes_Constante!$DC$1</f>
        <v>173595.38113362831</v>
      </c>
      <c r="DG83" s="8">
        <f>+MINVU_Mes_Corriente!DG83*SALUD_Mes_Constante!$DC$1</f>
        <v>173595.38113362831</v>
      </c>
      <c r="DH83" s="8">
        <f>+MINVU_Mes_Corriente!DH83*SALUD_Mes_Constante!$DC$1</f>
        <v>292973.2550149163</v>
      </c>
      <c r="DI83" s="8">
        <f>+MINVU_Mes_Corriente!DI83*SALUD_Mes_Constante!$DC$1</f>
        <v>292973.2550149163</v>
      </c>
      <c r="DJ83" s="8">
        <f>+MINVU_Mes_Corriente!DJ83*SALUD_Mes_Constante!$DC$1</f>
        <v>292973.2550149163</v>
      </c>
      <c r="DK83" s="8">
        <f>+MINVU_Mes_Corriente!DK83*SALUD_Mes_Constante!$DC$1</f>
        <v>292973.2550149163</v>
      </c>
      <c r="DL83" s="8">
        <f>+MINVU_Mes_Corriente!DL83*SALUD_Mes_Constante!$DC$1</f>
        <v>292973.2550149163</v>
      </c>
      <c r="DM83" s="8">
        <f>+MINVU_Mes_Corriente!DM83*SALUD_Mes_Constante!$DC$1</f>
        <v>292973.2550149163</v>
      </c>
      <c r="DN83" s="8">
        <f>+MINVU_Mes_Corriente!DN83*SALUD_Mes_Constante!$DC$1</f>
        <v>311411.7932311492</v>
      </c>
      <c r="DO83" s="9">
        <f t="shared" si="46"/>
        <v>311411.7932311492</v>
      </c>
      <c r="DP83" s="8">
        <f>+MINVU_Mes_Corriente!DP83*SALUD_Mes_Constante!$DP$1</f>
        <v>0</v>
      </c>
      <c r="DQ83" s="8">
        <f>+MINVU_Mes_Corriente!DQ83*SALUD_Mes_Constante!$DP$1</f>
        <v>0</v>
      </c>
      <c r="DR83" s="8">
        <f>+MINVU_Mes_Corriente!DR83*SALUD_Mes_Constante!$DP$1</f>
        <v>0</v>
      </c>
      <c r="DS83" s="8">
        <f>+MINVU_Mes_Corriente!DS83*SALUD_Mes_Constante!$DP$1</f>
        <v>0</v>
      </c>
      <c r="DT83" s="8">
        <f>+MINVU_Mes_Corriente!DT83*SALUD_Mes_Constante!$DP$1</f>
        <v>0</v>
      </c>
      <c r="DU83" s="8">
        <f>+MINVU_Mes_Corriente!DU83*SALUD_Mes_Constante!$DP$1</f>
        <v>0</v>
      </c>
      <c r="DV83" s="8">
        <f>+MINVU_Mes_Corriente!DV83*SALUD_Mes_Constante!$DP$1</f>
        <v>0</v>
      </c>
      <c r="DW83" s="8">
        <f>+MINVU_Mes_Corriente!DW83*SALUD_Mes_Constante!$DP$1</f>
        <v>0</v>
      </c>
      <c r="DX83" s="8">
        <f>+MINVU_Mes_Corriente!DX83*SALUD_Mes_Constante!$DP$1</f>
        <v>0</v>
      </c>
      <c r="DY83" s="8">
        <f>+MINVU_Mes_Corriente!DY83*SALUD_Mes_Constante!$DP$1</f>
        <v>0</v>
      </c>
      <c r="DZ83" s="8">
        <f>+MINVU_Mes_Corriente!DZ83*SALUD_Mes_Constante!$DP$1</f>
        <v>0</v>
      </c>
      <c r="EA83" s="8">
        <f>+MINVU_Mes_Corriente!EA83*SALUD_Mes_Constante!$DP$1</f>
        <v>0</v>
      </c>
      <c r="EB83" s="9">
        <f t="shared" si="47"/>
        <v>0</v>
      </c>
      <c r="EC83" s="8">
        <f>+MINVU_Mes_Corriente!EC83*SALUD_Mes_Constante!$EC$1</f>
        <v>0</v>
      </c>
      <c r="ED83" s="8">
        <f>+MINVU_Mes_Corriente!ED83*SALUD_Mes_Constante!$EC$1</f>
        <v>0</v>
      </c>
      <c r="EE83" s="8">
        <f>+MINVU_Mes_Corriente!EE83*SALUD_Mes_Constante!$EC$1</f>
        <v>0</v>
      </c>
      <c r="EF83" s="8">
        <f>+MINVU_Mes_Corriente!EF83*SALUD_Mes_Constante!$EC$1</f>
        <v>0</v>
      </c>
      <c r="EG83" s="8">
        <f>+MINVU_Mes_Corriente!EG83*SALUD_Mes_Constante!$EC$1</f>
        <v>0</v>
      </c>
      <c r="EH83" s="8">
        <f>+MINVU_Mes_Corriente!EH83*SALUD_Mes_Constante!$EC$1</f>
        <v>0</v>
      </c>
      <c r="EI83" s="8">
        <f>+MINVU_Mes_Corriente!EI83*SALUD_Mes_Constante!$EC$1</f>
        <v>0</v>
      </c>
      <c r="EJ83" s="8">
        <f>+MINVU_Mes_Corriente!EJ83*SALUD_Mes_Constante!$EC$1</f>
        <v>0</v>
      </c>
      <c r="EK83" s="8">
        <f>+MINVU_Mes_Corriente!EK83*SALUD_Mes_Constante!$EC$1</f>
        <v>0</v>
      </c>
      <c r="EL83" s="8">
        <f>+MINVU_Mes_Corriente!EL83*SALUD_Mes_Constante!$EC$1</f>
        <v>0</v>
      </c>
      <c r="EM83" s="8">
        <f>+MINVU_Mes_Corriente!EM83*SALUD_Mes_Constante!$EC$1</f>
        <v>6340.2247680363544</v>
      </c>
      <c r="EN83" s="8">
        <f>+MINVU_Mes_Corriente!EN83*SALUD_Mes_Constante!$EC$1</f>
        <v>32818.344063624303</v>
      </c>
      <c r="EO83" s="9">
        <f t="shared" si="48"/>
        <v>32818.344063624303</v>
      </c>
      <c r="EP83" s="8">
        <f>+MINVU_Mes_Corriente!EP83*SALUD_Mes_Constante!$EP$1</f>
        <v>0</v>
      </c>
      <c r="EQ83" s="8">
        <f>+MINVU_Mes_Corriente!EQ83*SALUD_Mes_Constante!$EP$1</f>
        <v>0</v>
      </c>
      <c r="ER83" s="8">
        <f>+MINVU_Mes_Corriente!ER83*SALUD_Mes_Constante!$EP$1</f>
        <v>6500</v>
      </c>
      <c r="ES83" s="8">
        <f>+MINVU_Mes_Corriente!ES83*SALUD_Mes_Constante!$EP$1</f>
        <v>6500</v>
      </c>
      <c r="ET83" s="8">
        <f>+MINVU_Mes_Corriente!ET83*SALUD_Mes_Constante!$EP$1</f>
        <v>6500</v>
      </c>
      <c r="EU83" s="8">
        <f>+MINVU_Mes_Corriente!EU83*SALUD_Mes_Constante!$EP$1</f>
        <v>6500</v>
      </c>
      <c r="EV83" s="8">
        <f>+MINVU_Mes_Corriente!EV83*SALUD_Mes_Constante!$EP$1</f>
        <v>6500</v>
      </c>
      <c r="EW83" s="8">
        <f>+MINVU_Mes_Corriente!EW83*SALUD_Mes_Constante!$EP$1</f>
        <v>6500</v>
      </c>
      <c r="EX83" s="8">
        <f>+MINVU_Mes_Corriente!EX83*SALUD_Mes_Constante!$EP$1</f>
        <v>6500</v>
      </c>
      <c r="EY83" s="8">
        <f>+MINVU_Mes_Corriente!EY83*SALUD_Mes_Constante!$EP$1</f>
        <v>6500</v>
      </c>
      <c r="EZ83" s="8">
        <f>+MINVU_Mes_Corriente!EZ83*SALUD_Mes_Constante!$EP$1</f>
        <v>6500</v>
      </c>
      <c r="FA83" s="8">
        <f>+MINVU_Mes_Corriente!FA83*SALUD_Mes_Constante!$EP$1</f>
        <v>6500</v>
      </c>
      <c r="FB83" s="9">
        <f t="shared" si="49"/>
        <v>6500</v>
      </c>
      <c r="FC83" s="8">
        <f>+MINVU_Mes_Corriente!FC83*SALUD_Mes_Constante!$FC$1</f>
        <v>0</v>
      </c>
      <c r="FD83" s="8">
        <f>+MINVU_Mes_Corriente!FD83*SALUD_Mes_Constante!$FC$1</f>
        <v>0</v>
      </c>
      <c r="FE83" s="8">
        <f>+MINVU_Mes_Corriente!FE83*SALUD_Mes_Constante!$FC$1</f>
        <v>0</v>
      </c>
      <c r="FF83" s="8">
        <f>+MINVU_Mes_Corriente!FF83*SALUD_Mes_Constante!$FC$1</f>
        <v>0</v>
      </c>
      <c r="FG83" s="8">
        <f>+MINVU_Mes_Corriente!FG83*SALUD_Mes_Constante!$FC$1</f>
        <v>0</v>
      </c>
      <c r="FH83" s="8">
        <f>+MINVU_Mes_Corriente!FH83*SALUD_Mes_Constante!$FC$1</f>
        <v>0</v>
      </c>
      <c r="FI83" s="8">
        <f>+MINVU_Mes_Corriente!FI83*SALUD_Mes_Constante!$FC$1</f>
        <v>0</v>
      </c>
      <c r="FJ83" s="8"/>
      <c r="FK83" s="8"/>
      <c r="FL83" s="8"/>
      <c r="FM83" s="8"/>
      <c r="FN83" s="8"/>
      <c r="FO83" s="9">
        <f t="shared" si="50"/>
        <v>0</v>
      </c>
    </row>
    <row r="84" spans="2:171" ht="14.25" customHeight="1" x14ac:dyDescent="0.3">
      <c r="B84" s="7" t="s">
        <v>47</v>
      </c>
      <c r="C84" s="8">
        <f>+MINVU_Mes_Corriente!C84*SALUD_Mes_Constante!$C$1</f>
        <v>0</v>
      </c>
      <c r="D84" s="8">
        <f>+MINVU_Mes_Corriente!D84*SALUD_Mes_Constante!$C$1</f>
        <v>0</v>
      </c>
      <c r="E84" s="8">
        <f>+MINVU_Mes_Corriente!E84*SALUD_Mes_Constante!$C$1</f>
        <v>161953.68530327751</v>
      </c>
      <c r="F84" s="8">
        <f>+MINVU_Mes_Corriente!F84*SALUD_Mes_Constante!$C$1</f>
        <v>304080.80438973755</v>
      </c>
      <c r="G84" s="8">
        <f>+MINVU_Mes_Corriente!G84*SALUD_Mes_Constante!$C$1</f>
        <v>890046.89959958487</v>
      </c>
      <c r="H84" s="8">
        <f>+MINVU_Mes_Corriente!H84*SALUD_Mes_Constante!$C$1</f>
        <v>1536490.8272282369</v>
      </c>
      <c r="I84" s="8">
        <f>+MINVU_Mes_Corriente!I84*SALUD_Mes_Constante!$C$1</f>
        <v>1961707.1549755305</v>
      </c>
      <c r="J84" s="8">
        <f>+MINVU_Mes_Corriente!J84*SALUD_Mes_Constante!$C$1</f>
        <v>2594212.8574818335</v>
      </c>
      <c r="K84" s="8">
        <f>+MINVU_Mes_Corriente!K84*SALUD_Mes_Constante!$C$1</f>
        <v>3142486.4401601665</v>
      </c>
      <c r="L84" s="8">
        <f>+MINVU_Mes_Corriente!L84*SALUD_Mes_Constante!$C$1</f>
        <v>3305781.7728014244</v>
      </c>
      <c r="M84" s="8">
        <f>+MINVU_Mes_Corriente!M84*SALUD_Mes_Constante!$C$1</f>
        <v>3997002.3701616498</v>
      </c>
      <c r="N84" s="8">
        <f>+MINVU_Mes_Corriente!N84*SALUD_Mes_Constante!$C$1</f>
        <v>6834891.1152306106</v>
      </c>
      <c r="O84" s="9">
        <f t="shared" si="38"/>
        <v>6834891.1152306106</v>
      </c>
      <c r="P84" s="8">
        <f>+MINVU_Mes_Corriente!P84*SALUD_Mes_Constante!$P$1</f>
        <v>0</v>
      </c>
      <c r="Q84" s="8">
        <f>+MINVU_Mes_Corriente!Q84*SALUD_Mes_Constante!$P$1</f>
        <v>12038.933939480035</v>
      </c>
      <c r="R84" s="8">
        <f>+MINVU_Mes_Corriente!R84*SALUD_Mes_Constante!$P$1</f>
        <v>476959.71416394354</v>
      </c>
      <c r="S84" s="8">
        <f>+MINVU_Mes_Corriente!S84*SALUD_Mes_Constante!$P$1</f>
        <v>720380.25287682877</v>
      </c>
      <c r="T84" s="8">
        <f>+MINVU_Mes_Corriente!T84*SALUD_Mes_Constante!$P$1</f>
        <v>1068207.0336695549</v>
      </c>
      <c r="U84" s="8">
        <f>+MINVU_Mes_Corriente!U84*SALUD_Mes_Constante!$P$1</f>
        <v>1443975.1308424487</v>
      </c>
      <c r="V84" s="8">
        <f>+MINVU_Mes_Corriente!V84*SALUD_Mes_Constante!$P$1</f>
        <v>1847956.1809916175</v>
      </c>
      <c r="W84" s="8">
        <f>+MINVU_Mes_Corriente!W84*SALUD_Mes_Constante!$P$1</f>
        <v>2268191.9650518531</v>
      </c>
      <c r="X84" s="8">
        <f>+MINVU_Mes_Corriente!X84*SALUD_Mes_Constante!$P$1</f>
        <v>2655545.7511010077</v>
      </c>
      <c r="Y84" s="8">
        <f>+MINVU_Mes_Corriente!Y84*SALUD_Mes_Constante!$P$1</f>
        <v>3166031.6300610872</v>
      </c>
      <c r="Z84" s="8">
        <f>+MINVU_Mes_Corriente!Z84*SALUD_Mes_Constante!$P$1</f>
        <v>4314377.6684188079</v>
      </c>
      <c r="AA84" s="8">
        <f>+MINVU_Mes_Corriente!AA84*SALUD_Mes_Constante!$P$1</f>
        <v>6879842.5154141188</v>
      </c>
      <c r="AB84" s="9">
        <f t="shared" si="39"/>
        <v>6879842.5154141188</v>
      </c>
      <c r="AC84" s="8">
        <f>+MINVU_Mes_Corriente!AC84*SALUD_Mes_Constante!$AC$1</f>
        <v>0</v>
      </c>
      <c r="AD84" s="8">
        <f>+MINVU_Mes_Corriente!AD84*SALUD_Mes_Constante!$AC$1</f>
        <v>14848.115091990594</v>
      </c>
      <c r="AE84" s="8">
        <f>+MINVU_Mes_Corriente!AE84*SALUD_Mes_Constante!$AC$1</f>
        <v>281322.20666758885</v>
      </c>
      <c r="AF84" s="8">
        <f>+MINVU_Mes_Corriente!AF84*SALUD_Mes_Constante!$AC$1</f>
        <v>786735.47931940795</v>
      </c>
      <c r="AG84" s="8">
        <f>+MINVU_Mes_Corriente!AG84*SALUD_Mes_Constante!$AC$1</f>
        <v>1104112.42799834</v>
      </c>
      <c r="AH84" s="8">
        <f>+MINVU_Mes_Corriente!AH84*SALUD_Mes_Constante!$AC$1</f>
        <v>2523546.2838566885</v>
      </c>
      <c r="AI84" s="8">
        <f>+MINVU_Mes_Corriente!AI84*SALUD_Mes_Constante!$AC$1</f>
        <v>3185298.5403236961</v>
      </c>
      <c r="AJ84" s="8">
        <f>+MINVU_Mes_Corriente!AJ84*SALUD_Mes_Constante!$AC$1</f>
        <v>3974021.5269055194</v>
      </c>
      <c r="AK84" s="8">
        <f>+MINVU_Mes_Corriente!AK84*SALUD_Mes_Constante!$AC$1</f>
        <v>5347333.1229768982</v>
      </c>
      <c r="AL84" s="8">
        <f>+MINVU_Mes_Corriente!AL84*SALUD_Mes_Constante!$AC$1</f>
        <v>5897626.2744501317</v>
      </c>
      <c r="AM84" s="8">
        <f>+MINVU_Mes_Corriente!AM84*SALUD_Mes_Constante!$AC$1</f>
        <v>6959358.6996818371</v>
      </c>
      <c r="AN84" s="8">
        <f>+MINVU_Mes_Corriente!AN84*SALUD_Mes_Constante!$AC$1</f>
        <v>7506317.675473786</v>
      </c>
      <c r="AO84" s="9">
        <f t="shared" si="40"/>
        <v>7506317.675473786</v>
      </c>
      <c r="AP84" s="8">
        <f>+MINVU_Mes_Corriente!AP84*SALUD_Mes_Constante!$AP$1</f>
        <v>0</v>
      </c>
      <c r="AQ84" s="8">
        <f>+MINVU_Mes_Corriente!AQ84*SALUD_Mes_Constante!$AP$1</f>
        <v>590771.02204788313</v>
      </c>
      <c r="AR84" s="8">
        <f>+MINVU_Mes_Corriente!AR84*SALUD_Mes_Constante!$AP$1</f>
        <v>1787131.8138779926</v>
      </c>
      <c r="AS84" s="8">
        <f>+MINVU_Mes_Corriente!AS84*SALUD_Mes_Constante!$AP$1</f>
        <v>2712707.2208846202</v>
      </c>
      <c r="AT84" s="8">
        <f>+MINVU_Mes_Corriente!AT84*SALUD_Mes_Constante!$AP$1</f>
        <v>3597807.8054916812</v>
      </c>
      <c r="AU84" s="8">
        <f>+MINVU_Mes_Corriente!AU84*SALUD_Mes_Constante!$AP$1</f>
        <v>4970929.4933044771</v>
      </c>
      <c r="AV84" s="8">
        <f>+MINVU_Mes_Corriente!AV84*SALUD_Mes_Constante!$AP$1</f>
        <v>5932825.389422426</v>
      </c>
      <c r="AW84" s="8">
        <f>+MINVU_Mes_Corriente!AW84*SALUD_Mes_Constante!$AP$1</f>
        <v>6948239.9164074119</v>
      </c>
      <c r="AX84" s="8">
        <f>+MINVU_Mes_Corriente!AX84*SALUD_Mes_Constante!$AP$1</f>
        <v>8394457.7708643302</v>
      </c>
      <c r="AY84" s="8">
        <f>+MINVU_Mes_Corriente!AY84*SALUD_Mes_Constante!$AP$1</f>
        <v>10031257.697010685</v>
      </c>
      <c r="AZ84" s="8">
        <f>+MINVU_Mes_Corriente!AZ84*SALUD_Mes_Constante!$AP$1</f>
        <v>11396215.550926551</v>
      </c>
      <c r="BA84" s="8">
        <f>+MINVU_Mes_Corriente!BA84*SALUD_Mes_Constante!$AP$1</f>
        <v>14756313.026376301</v>
      </c>
      <c r="BB84" s="9">
        <f t="shared" si="41"/>
        <v>14756313.026376301</v>
      </c>
      <c r="BC84" s="8">
        <f>+MINVU_Mes_Corriente!BC84*SALUD_Mes_Constante!$BC$1</f>
        <v>0</v>
      </c>
      <c r="BD84" s="8">
        <f>+MINVU_Mes_Corriente!BD84*SALUD_Mes_Constante!$BC$1</f>
        <v>0</v>
      </c>
      <c r="BE84" s="8">
        <f>+MINVU_Mes_Corriente!BE84*SALUD_Mes_Constante!$BC$1</f>
        <v>118909.40287485167</v>
      </c>
      <c r="BF84" s="8">
        <f>+MINVU_Mes_Corriente!BF84*SALUD_Mes_Constante!$BC$1</f>
        <v>549272.48292232642</v>
      </c>
      <c r="BG84" s="8">
        <f>+MINVU_Mes_Corriente!BG84*SALUD_Mes_Constante!$BC$1</f>
        <v>599757.14440195193</v>
      </c>
      <c r="BH84" s="8">
        <f>+MINVU_Mes_Corriente!BH84*SALUD_Mes_Constante!$BC$1</f>
        <v>757470.20097586722</v>
      </c>
      <c r="BI84" s="8">
        <f>+MINVU_Mes_Corriente!BI84*SALUD_Mes_Constante!$BC$1</f>
        <v>1248571.0634313598</v>
      </c>
      <c r="BJ84" s="8">
        <f>+MINVU_Mes_Corriente!BJ84*SALUD_Mes_Constante!$BC$1</f>
        <v>1803856.2323618624</v>
      </c>
      <c r="BK84" s="8">
        <f>+MINVU_Mes_Corriente!BK84*SALUD_Mes_Constante!$BC$1</f>
        <v>2342607.595410788</v>
      </c>
      <c r="BL84" s="8">
        <f>+MINVU_Mes_Corriente!BL84*SALUD_Mes_Constante!$BC$1</f>
        <v>2550462.3900830811</v>
      </c>
      <c r="BM84" s="8">
        <f>+MINVU_Mes_Corriente!BM84*SALUD_Mes_Constante!$BC$1</f>
        <v>2589364.0218910729</v>
      </c>
      <c r="BN84" s="8">
        <f>+MINVU_Mes_Corriente!BN84*SALUD_Mes_Constante!$BC$1</f>
        <v>3121421.1747329561</v>
      </c>
      <c r="BO84" s="9">
        <f t="shared" si="42"/>
        <v>3121421.1747329561</v>
      </c>
      <c r="BP84" s="8">
        <f>+MINVU_Mes_Corriente!BP84*SALUD_Mes_Constante!$BP$1</f>
        <v>0</v>
      </c>
      <c r="BQ84" s="8">
        <f>+MINVU_Mes_Corriente!BQ84*SALUD_Mes_Constante!$BP$1</f>
        <v>169327.81843790013</v>
      </c>
      <c r="BR84" s="8">
        <f>+MINVU_Mes_Corriente!BR84*SALUD_Mes_Constante!$BP$1</f>
        <v>466905.3326504482</v>
      </c>
      <c r="BS84" s="8">
        <f>+MINVU_Mes_Corriente!BS84*SALUD_Mes_Constante!$BP$1</f>
        <v>654663.25659411016</v>
      </c>
      <c r="BT84" s="8">
        <f>+MINVU_Mes_Corriente!BT84*SALUD_Mes_Constante!$BP$1</f>
        <v>748029.49398207432</v>
      </c>
      <c r="BU84" s="8">
        <f>+MINVU_Mes_Corriente!BU84*SALUD_Mes_Constante!$BP$1</f>
        <v>908030.34161331633</v>
      </c>
      <c r="BV84" s="8">
        <f>+MINVU_Mes_Corriente!BV84*SALUD_Mes_Constante!$BP$1</f>
        <v>1047442.4642765686</v>
      </c>
      <c r="BW84" s="8">
        <f>+MINVU_Mes_Corriente!BW84*SALUD_Mes_Constante!$BP$1</f>
        <v>15286779.244302178</v>
      </c>
      <c r="BX84" s="8">
        <f>+MINVU_Mes_Corriente!BX84*SALUD_Mes_Constante!$BP$1</f>
        <v>15403561.536491679</v>
      </c>
      <c r="BY84" s="8">
        <f>+MINVU_Mes_Corriente!BY84*SALUD_Mes_Constante!$BP$1</f>
        <v>15775926.891165175</v>
      </c>
      <c r="BZ84" s="8">
        <f>+MINVU_Mes_Corriente!BZ84*SALUD_Mes_Constante!$BP$1</f>
        <v>16351058.380793856</v>
      </c>
      <c r="CA84" s="8">
        <f>+MINVU_Mes_Corriente!CA84*SALUD_Mes_Constante!$BP$1</f>
        <v>32006042.426120363</v>
      </c>
      <c r="CB84" s="9">
        <f t="shared" si="43"/>
        <v>32006042.426120363</v>
      </c>
      <c r="CC84" s="8">
        <f>+MINVU_Mes_Corriente!CC84*SALUD_Mes_Constante!$CC$1</f>
        <v>0</v>
      </c>
      <c r="CD84" s="8">
        <f>+MINVU_Mes_Corriente!CD84*SALUD_Mes_Constante!$CC$1</f>
        <v>0</v>
      </c>
      <c r="CE84" s="8">
        <f>+MINVU_Mes_Corriente!CE84*SALUD_Mes_Constante!$CC$1</f>
        <v>810796.68407310708</v>
      </c>
      <c r="CF84" s="8">
        <f>+MINVU_Mes_Corriente!CF84*SALUD_Mes_Constante!$CC$1</f>
        <v>12154313.064528162</v>
      </c>
      <c r="CG84" s="8">
        <f>+MINVU_Mes_Corriente!CG84*SALUD_Mes_Constante!$CC$1</f>
        <v>18509423.749347258</v>
      </c>
      <c r="CH84" s="8">
        <f>+MINVU_Mes_Corriente!CH84*SALUD_Mes_Constante!$CC$1</f>
        <v>18667545.777694892</v>
      </c>
      <c r="CI84" s="8">
        <f>+MINVU_Mes_Corriente!CI84*SALUD_Mes_Constante!$CC$1</f>
        <v>18682559.348750468</v>
      </c>
      <c r="CJ84" s="8">
        <f>+MINVU_Mes_Corriente!CJ84*SALUD_Mes_Constante!$CC$1</f>
        <v>18787364.996643044</v>
      </c>
      <c r="CK84" s="8">
        <f>+MINVU_Mes_Corriente!CK84*SALUD_Mes_Constante!$CC$1</f>
        <v>36468685.430063412</v>
      </c>
      <c r="CL84" s="8">
        <f>+MINVU_Mes_Corriente!CL84*SALUD_Mes_Constante!$CC$1</f>
        <v>36598047.748601273</v>
      </c>
      <c r="CM84" s="8">
        <f>+MINVU_Mes_Corriente!CM84*SALUD_Mes_Constante!$CC$1</f>
        <v>37009426.659455433</v>
      </c>
      <c r="CN84" s="8">
        <f>+MINVU_Mes_Corriente!CN84*SALUD_Mes_Constante!$CC$1</f>
        <v>52566083.626258865</v>
      </c>
      <c r="CO84" s="9">
        <f t="shared" si="44"/>
        <v>52566083.626258865</v>
      </c>
      <c r="CP84" s="8">
        <f>+MINVU_Mes_Corriente!CP84*SALUD_Mes_Constante!$CP$1</f>
        <v>0</v>
      </c>
      <c r="CQ84" s="8">
        <f>+MINVU_Mes_Corriente!CQ84*SALUD_Mes_Constante!$CP$1</f>
        <v>0</v>
      </c>
      <c r="CR84" s="8">
        <f>+MINVU_Mes_Corriente!CR84*SALUD_Mes_Constante!$CP$1</f>
        <v>439336.74153132242</v>
      </c>
      <c r="CS84" s="8">
        <f>+MINVU_Mes_Corriente!CS84*SALUD_Mes_Constante!$CP$1</f>
        <v>880574.759164733</v>
      </c>
      <c r="CT84" s="8">
        <f>+MINVU_Mes_Corriente!CT84*SALUD_Mes_Constante!$CP$1</f>
        <v>965073.80672853813</v>
      </c>
      <c r="CU84" s="8">
        <f>+MINVU_Mes_Corriente!CU84*SALUD_Mes_Constante!$CP$1</f>
        <v>16051906.282134568</v>
      </c>
      <c r="CV84" s="8">
        <f>+MINVU_Mes_Corriente!CV84*SALUD_Mes_Constante!$CP$1</f>
        <v>24482912.354060318</v>
      </c>
      <c r="CW84" s="8">
        <f>+MINVU_Mes_Corriente!CW84*SALUD_Mes_Constante!$CP$1</f>
        <v>25597995.577726211</v>
      </c>
      <c r="CX84" s="8">
        <f>+MINVU_Mes_Corriente!CX84*SALUD_Mes_Constante!$CP$1</f>
        <v>32261386.525057998</v>
      </c>
      <c r="CY84" s="8">
        <f>+MINVU_Mes_Corriente!CY84*SALUD_Mes_Constante!$CP$1</f>
        <v>32403110.180742454</v>
      </c>
      <c r="CZ84" s="8">
        <f>+MINVU_Mes_Corriente!CZ84*SALUD_Mes_Constante!$CP$1</f>
        <v>33864907.579350337</v>
      </c>
      <c r="DA84" s="8">
        <f>+MINVU_Mes_Corriente!DA84*SALUD_Mes_Constante!$CP$1</f>
        <v>36361986.573549874</v>
      </c>
      <c r="DB84" s="9">
        <f t="shared" si="45"/>
        <v>36361986.573549874</v>
      </c>
      <c r="DC84" s="8">
        <f>+MINVU_Mes_Corriente!DC84*SALUD_Mes_Constante!$DC$1</f>
        <v>0</v>
      </c>
      <c r="DD84" s="8">
        <f>+MINVU_Mes_Corriente!DD84*SALUD_Mes_Constante!$DC$1</f>
        <v>0</v>
      </c>
      <c r="DE84" s="8">
        <f>+MINVU_Mes_Corriente!DE84*SALUD_Mes_Constante!$DC$1</f>
        <v>76138.068717210204</v>
      </c>
      <c r="DF84" s="8">
        <f>+MINVU_Mes_Corriente!DF84*SALUD_Mes_Constante!$DC$1</f>
        <v>314338.58101018431</v>
      </c>
      <c r="DG84" s="8">
        <f>+MINVU_Mes_Corriente!DG84*SALUD_Mes_Constante!$DC$1</f>
        <v>747866.2108836543</v>
      </c>
      <c r="DH84" s="8">
        <f>+MINVU_Mes_Corriente!DH84*SALUD_Mes_Constante!$DC$1</f>
        <v>1820473.2381442247</v>
      </c>
      <c r="DI84" s="8">
        <f>+MINVU_Mes_Corriente!DI84*SALUD_Mes_Constante!$DC$1</f>
        <v>2774148.6030243817</v>
      </c>
      <c r="DJ84" s="8">
        <f>+MINVU_Mes_Corriente!DJ84*SALUD_Mes_Constante!$DC$1</f>
        <v>3414088.9525768971</v>
      </c>
      <c r="DK84" s="8">
        <f>+MINVU_Mes_Corriente!DK84*SALUD_Mes_Constante!$DC$1</f>
        <v>5258331.6638205973</v>
      </c>
      <c r="DL84" s="8">
        <f>+MINVU_Mes_Corriente!DL84*SALUD_Mes_Constante!$DC$1</f>
        <v>5516811.7582553262</v>
      </c>
      <c r="DM84" s="8">
        <f>+MINVU_Mes_Corriente!DM84*SALUD_Mes_Constante!$DC$1</f>
        <v>5928326.6620718064</v>
      </c>
      <c r="DN84" s="8">
        <f>+MINVU_Mes_Corriente!DN84*SALUD_Mes_Constante!$DC$1</f>
        <v>8370529.8751157327</v>
      </c>
      <c r="DO84" s="9">
        <f t="shared" si="46"/>
        <v>8370529.8751157327</v>
      </c>
      <c r="DP84" s="8">
        <f>+MINVU_Mes_Corriente!DP84*SALUD_Mes_Constante!$DP$1</f>
        <v>0</v>
      </c>
      <c r="DQ84" s="8">
        <f>+MINVU_Mes_Corriente!DQ84*SALUD_Mes_Constante!$DP$1</f>
        <v>447445.86876484565</v>
      </c>
      <c r="DR84" s="8">
        <f>+MINVU_Mes_Corriente!DR84*SALUD_Mes_Constante!$DP$1</f>
        <v>8985723.4186460823</v>
      </c>
      <c r="DS84" s="8">
        <f>+MINVU_Mes_Corriente!DS84*SALUD_Mes_Constante!$DP$1</f>
        <v>10440400.720902614</v>
      </c>
      <c r="DT84" s="8">
        <f>+MINVU_Mes_Corriente!DT84*SALUD_Mes_Constante!$DP$1</f>
        <v>11932400.953681711</v>
      </c>
      <c r="DU84" s="8">
        <f>+MINVU_Mes_Corriente!DU84*SALUD_Mes_Constante!$DP$1</f>
        <v>12349633.793942994</v>
      </c>
      <c r="DV84" s="8">
        <f>+MINVU_Mes_Corriente!DV84*SALUD_Mes_Constante!$DP$1</f>
        <v>13322791.765439432</v>
      </c>
      <c r="DW84" s="8">
        <f>+MINVU_Mes_Corriente!DW84*SALUD_Mes_Constante!$DP$1</f>
        <v>13806644.657957247</v>
      </c>
      <c r="DX84" s="8">
        <f>+MINVU_Mes_Corriente!DX84*SALUD_Mes_Constante!$DP$1</f>
        <v>14362196.722090263</v>
      </c>
      <c r="DY84" s="8">
        <f>+MINVU_Mes_Corriente!DY84*SALUD_Mes_Constante!$DP$1</f>
        <v>15348445.564133018</v>
      </c>
      <c r="DZ84" s="8">
        <f>+MINVU_Mes_Corriente!DZ84*SALUD_Mes_Constante!$DP$1</f>
        <v>16471348.345011879</v>
      </c>
      <c r="EA84" s="8">
        <f>+MINVU_Mes_Corriente!EA84*SALUD_Mes_Constante!$DP$1</f>
        <v>18977311.439429931</v>
      </c>
      <c r="EB84" s="9">
        <f t="shared" si="47"/>
        <v>18977311.439429931</v>
      </c>
      <c r="EC84" s="8">
        <f>+MINVU_Mes_Corriente!EC84*SALUD_Mes_Constante!$EC$1</f>
        <v>0</v>
      </c>
      <c r="ED84" s="8">
        <f>+MINVU_Mes_Corriente!ED84*SALUD_Mes_Constante!$EC$1</f>
        <v>0</v>
      </c>
      <c r="EE84" s="8">
        <f>+MINVU_Mes_Corriente!EE84*SALUD_Mes_Constante!$EC$1</f>
        <v>1291515.8884680928</v>
      </c>
      <c r="EF84" s="8">
        <f>+MINVU_Mes_Corriente!EF84*SALUD_Mes_Constante!$EC$1</f>
        <v>1433768.0223442526</v>
      </c>
      <c r="EG84" s="8">
        <f>+MINVU_Mes_Corriente!EG84*SALUD_Mes_Constante!$EC$1</f>
        <v>2446933.6644574883</v>
      </c>
      <c r="EH84" s="8">
        <f>+MINVU_Mes_Corriente!EH84*SALUD_Mes_Constante!$EC$1</f>
        <v>3601011.8106419225</v>
      </c>
      <c r="EI84" s="8">
        <f>+MINVU_Mes_Corriente!EI84*SALUD_Mes_Constante!$EC$1</f>
        <v>4202194.2196553666</v>
      </c>
      <c r="EJ84" s="8">
        <f>+MINVU_Mes_Corriente!EJ84*SALUD_Mes_Constante!$EC$1</f>
        <v>4921968.5209240662</v>
      </c>
      <c r="EK84" s="8">
        <f>+MINVU_Mes_Corriente!EK84*SALUD_Mes_Constante!$EC$1</f>
        <v>5405108.3376254477</v>
      </c>
      <c r="EL84" s="8">
        <f>+MINVU_Mes_Corriente!EL84*SALUD_Mes_Constante!$EC$1</f>
        <v>6124407.8202991839</v>
      </c>
      <c r="EM84" s="8">
        <f>+MINVU_Mes_Corriente!EM84*SALUD_Mes_Constante!$EC$1</f>
        <v>6833840.5932588503</v>
      </c>
      <c r="EN84" s="8">
        <f>+MINVU_Mes_Corriente!EN84*SALUD_Mes_Constante!$EC$1</f>
        <v>10443309.140314331</v>
      </c>
      <c r="EO84" s="9">
        <f t="shared" si="48"/>
        <v>10443309.140314331</v>
      </c>
      <c r="EP84" s="8">
        <f>+MINVU_Mes_Corriente!EP84*SALUD_Mes_Constante!$EP$1</f>
        <v>0</v>
      </c>
      <c r="EQ84" s="8">
        <f>+MINVU_Mes_Corriente!EQ84*SALUD_Mes_Constante!$EP$1</f>
        <v>0</v>
      </c>
      <c r="ER84" s="8">
        <f>+MINVU_Mes_Corriente!ER84*SALUD_Mes_Constante!$EP$1</f>
        <v>0</v>
      </c>
      <c r="ES84" s="8">
        <f>+MINVU_Mes_Corriente!ES84*SALUD_Mes_Constante!$EP$1</f>
        <v>3779031</v>
      </c>
      <c r="ET84" s="8">
        <f>+MINVU_Mes_Corriente!ET84*SALUD_Mes_Constante!$EP$1</f>
        <v>5550793</v>
      </c>
      <c r="EU84" s="8">
        <f>+MINVU_Mes_Corriente!EU84*SALUD_Mes_Constante!$EP$1</f>
        <v>7430022</v>
      </c>
      <c r="EV84" s="8">
        <f>+MINVU_Mes_Corriente!EV84*SALUD_Mes_Constante!$EP$1</f>
        <v>9527495</v>
      </c>
      <c r="EW84" s="8">
        <f>+MINVU_Mes_Corriente!EW84*SALUD_Mes_Constante!$EP$1</f>
        <v>11199392</v>
      </c>
      <c r="EX84" s="8">
        <f>+MINVU_Mes_Corriente!EX84*SALUD_Mes_Constante!$EP$1</f>
        <v>14053482</v>
      </c>
      <c r="EY84" s="8">
        <f>+MINVU_Mes_Corriente!EY84*SALUD_Mes_Constante!$EP$1</f>
        <v>15593114</v>
      </c>
      <c r="EZ84" s="8">
        <f>+MINVU_Mes_Corriente!EZ84*SALUD_Mes_Constante!$EP$1</f>
        <v>15833450</v>
      </c>
      <c r="FA84" s="8">
        <f>+MINVU_Mes_Corriente!FA84*SALUD_Mes_Constante!$EP$1</f>
        <v>23391269</v>
      </c>
      <c r="FB84" s="9">
        <f t="shared" si="49"/>
        <v>23391269</v>
      </c>
      <c r="FC84" s="8">
        <f>+MINVU_Mes_Corriente!FC84*SALUD_Mes_Constante!$FC$1</f>
        <v>0</v>
      </c>
      <c r="FD84" s="8">
        <f>+MINVU_Mes_Corriente!FD84*SALUD_Mes_Constante!$FC$1</f>
        <v>0</v>
      </c>
      <c r="FE84" s="8">
        <f>+MINVU_Mes_Corriente!FE84*SALUD_Mes_Constante!$FC$1</f>
        <v>0</v>
      </c>
      <c r="FF84" s="8">
        <f>+MINVU_Mes_Corriente!FF84*SALUD_Mes_Constante!$FC$1</f>
        <v>5400368</v>
      </c>
      <c r="FG84" s="8">
        <f>+MINVU_Mes_Corriente!FG84*SALUD_Mes_Constante!$FC$1</f>
        <v>6193550</v>
      </c>
      <c r="FH84" s="8">
        <f>+MINVU_Mes_Corriente!FH84*SALUD_Mes_Constante!$FC$1</f>
        <v>7262433</v>
      </c>
      <c r="FI84" s="8">
        <f>+MINVU_Mes_Corriente!FI84*SALUD_Mes_Constante!$FC$1</f>
        <v>8340232</v>
      </c>
      <c r="FJ84" s="8"/>
      <c r="FK84" s="8"/>
      <c r="FL84" s="8"/>
      <c r="FM84" s="8"/>
      <c r="FN84" s="8"/>
      <c r="FO84" s="9">
        <f t="shared" si="50"/>
        <v>8340232</v>
      </c>
    </row>
    <row r="85" spans="2:171" ht="14.25" customHeight="1" x14ac:dyDescent="0.3">
      <c r="B85" s="7" t="s">
        <v>48</v>
      </c>
      <c r="C85" s="8">
        <f>+MINVU_Mes_Corriente!C85*SALUD_Mes_Constante!$C$1</f>
        <v>0</v>
      </c>
      <c r="D85" s="8">
        <f>+MINVU_Mes_Corriente!D85*SALUD_Mes_Constante!$C$1</f>
        <v>32029.39967373573</v>
      </c>
      <c r="E85" s="8">
        <f>+MINVU_Mes_Corriente!E85*SALUD_Mes_Constante!$C$1</f>
        <v>43431.781699540268</v>
      </c>
      <c r="F85" s="8">
        <f>+MINVU_Mes_Corriente!F85*SALUD_Mes_Constante!$C$1</f>
        <v>53450.387364674483</v>
      </c>
      <c r="G85" s="8">
        <f>+MINVU_Mes_Corriente!G85*SALUD_Mes_Constante!$C$1</f>
        <v>113644.65905383362</v>
      </c>
      <c r="H85" s="8">
        <f>+MINVU_Mes_Corriente!H85*SALUD_Mes_Constante!$C$1</f>
        <v>557285.95283998235</v>
      </c>
      <c r="I85" s="8">
        <f>+MINVU_Mes_Corriente!I85*SALUD_Mes_Constante!$C$1</f>
        <v>579426.37461070751</v>
      </c>
      <c r="J85" s="8">
        <f>+MINVU_Mes_Corriente!J85*SALUD_Mes_Constante!$C$1</f>
        <v>1147793.8807652383</v>
      </c>
      <c r="K85" s="8">
        <f>+MINVU_Mes_Corriente!K85*SALUD_Mes_Constante!$C$1</f>
        <v>1459054.4428296012</v>
      </c>
      <c r="L85" s="8">
        <f>+MINVU_Mes_Corriente!L85*SALUD_Mes_Constante!$C$1</f>
        <v>2214836.1471155277</v>
      </c>
      <c r="M85" s="8">
        <f>+MINVU_Mes_Corriente!M85*SALUD_Mes_Constante!$C$1</f>
        <v>2800222.1580898715</v>
      </c>
      <c r="N85" s="8">
        <f>+MINVU_Mes_Corriente!N85*SALUD_Mes_Constante!$C$1</f>
        <v>3813499.6897523361</v>
      </c>
      <c r="O85" s="9">
        <f t="shared" si="38"/>
        <v>3813499.6897523361</v>
      </c>
      <c r="P85" s="8">
        <f>+MINVU_Mes_Corriente!P85*SALUD_Mes_Constante!$P$1</f>
        <v>0</v>
      </c>
      <c r="Q85" s="8">
        <f>+MINVU_Mes_Corriente!Q85*SALUD_Mes_Constante!$P$1</f>
        <v>182358.18411706202</v>
      </c>
      <c r="R85" s="8">
        <f>+MINVU_Mes_Corriente!R85*SALUD_Mes_Constante!$P$1</f>
        <v>442440.13553061499</v>
      </c>
      <c r="S85" s="8">
        <f>+MINVU_Mes_Corriente!S85*SALUD_Mes_Constante!$P$1</f>
        <v>870485.08367665834</v>
      </c>
      <c r="T85" s="8">
        <f>+MINVU_Mes_Corriente!T85*SALUD_Mes_Constante!$P$1</f>
        <v>1096306.6753800251</v>
      </c>
      <c r="U85" s="8">
        <f>+MINVU_Mes_Corriente!U85*SALUD_Mes_Constante!$P$1</f>
        <v>1207179.4206563428</v>
      </c>
      <c r="V85" s="8">
        <f>+MINVU_Mes_Corriente!V85*SALUD_Mes_Constante!$P$1</f>
        <v>1320763.8752663725</v>
      </c>
      <c r="W85" s="8">
        <f>+MINVU_Mes_Corriente!W85*SALUD_Mes_Constante!$P$1</f>
        <v>1452974.839323767</v>
      </c>
      <c r="X85" s="8">
        <f>+MINVU_Mes_Corriente!X85*SALUD_Mes_Constante!$P$1</f>
        <v>1624610.3628356294</v>
      </c>
      <c r="Y85" s="8">
        <f>+MINVU_Mes_Corriente!Y85*SALUD_Mes_Constante!$P$1</f>
        <v>1882230.510583889</v>
      </c>
      <c r="Z85" s="8">
        <f>+MINVU_Mes_Corriente!Z85*SALUD_Mes_Constante!$P$1</f>
        <v>2204815.2666571946</v>
      </c>
      <c r="AA85" s="8">
        <f>+MINVU_Mes_Corriente!AA85*SALUD_Mes_Constante!$P$1</f>
        <v>28226104.844153989</v>
      </c>
      <c r="AB85" s="9">
        <f t="shared" si="39"/>
        <v>28226104.844153989</v>
      </c>
      <c r="AC85" s="8">
        <f>+MINVU_Mes_Corriente!AC85*SALUD_Mes_Constante!$AC$1</f>
        <v>0</v>
      </c>
      <c r="AD85" s="8">
        <f>+MINVU_Mes_Corriente!AD85*SALUD_Mes_Constante!$AC$1</f>
        <v>176028.15271821828</v>
      </c>
      <c r="AE85" s="8">
        <f>+MINVU_Mes_Corriente!AE85*SALUD_Mes_Constante!$AC$1</f>
        <v>176028.15271821828</v>
      </c>
      <c r="AF85" s="8">
        <f>+MINVU_Mes_Corriente!AF85*SALUD_Mes_Constante!$AC$1</f>
        <v>1299813.1240835523</v>
      </c>
      <c r="AG85" s="8">
        <f>+MINVU_Mes_Corriente!AG85*SALUD_Mes_Constante!$AC$1</f>
        <v>1808803.9098077188</v>
      </c>
      <c r="AH85" s="8">
        <f>+MINVU_Mes_Corriente!AH85*SALUD_Mes_Constante!$AC$1</f>
        <v>2849467.2466454557</v>
      </c>
      <c r="AI85" s="8">
        <f>+MINVU_Mes_Corriente!AI85*SALUD_Mes_Constante!$AC$1</f>
        <v>4084761.199612671</v>
      </c>
      <c r="AJ85" s="8">
        <f>+MINVU_Mes_Corriente!AJ85*SALUD_Mes_Constante!$AC$1</f>
        <v>6095909.9742703</v>
      </c>
      <c r="AK85" s="8">
        <f>+MINVU_Mes_Corriente!AK85*SALUD_Mes_Constante!$AC$1</f>
        <v>8333519.709503389</v>
      </c>
      <c r="AL85" s="8">
        <f>+MINVU_Mes_Corriente!AL85*SALUD_Mes_Constante!$AC$1</f>
        <v>11541350.38539217</v>
      </c>
      <c r="AM85" s="8">
        <f>+MINVU_Mes_Corriente!AM85*SALUD_Mes_Constante!$AC$1</f>
        <v>15492656.895836215</v>
      </c>
      <c r="AN85" s="8">
        <f>+MINVU_Mes_Corriente!AN85*SALUD_Mes_Constante!$AC$1</f>
        <v>26339938.005533267</v>
      </c>
      <c r="AO85" s="9">
        <f t="shared" si="40"/>
        <v>26339938.005533267</v>
      </c>
      <c r="AP85" s="8">
        <f>+MINVU_Mes_Corriente!AP85*SALUD_Mes_Constante!$AP$1</f>
        <v>0</v>
      </c>
      <c r="AQ85" s="8">
        <f>+MINVU_Mes_Corriente!AQ85*SALUD_Mes_Constante!$AP$1</f>
        <v>0</v>
      </c>
      <c r="AR85" s="8">
        <f>+MINVU_Mes_Corriente!AR85*SALUD_Mes_Constante!$AP$1</f>
        <v>140088.6703638577</v>
      </c>
      <c r="AS85" s="8">
        <f>+MINVU_Mes_Corriente!AS85*SALUD_Mes_Constante!$AP$1</f>
        <v>853830.02678209112</v>
      </c>
      <c r="AT85" s="8">
        <f>+MINVU_Mes_Corriente!AT85*SALUD_Mes_Constante!$AP$1</f>
        <v>1032930.4139050453</v>
      </c>
      <c r="AU85" s="8">
        <f>+MINVU_Mes_Corriente!AU85*SALUD_Mes_Constante!$AP$1</f>
        <v>12253994.485053428</v>
      </c>
      <c r="AV85" s="8">
        <f>+MINVU_Mes_Corriente!AV85*SALUD_Mes_Constante!$AP$1</f>
        <v>14811856.358988231</v>
      </c>
      <c r="AW85" s="8">
        <f>+MINVU_Mes_Corriente!AW85*SALUD_Mes_Constante!$AP$1</f>
        <v>18165662.480183955</v>
      </c>
      <c r="AX85" s="8">
        <f>+MINVU_Mes_Corriente!AX85*SALUD_Mes_Constante!$AP$1</f>
        <v>23715705.442716081</v>
      </c>
      <c r="AY85" s="8">
        <f>+MINVU_Mes_Corriente!AY85*SALUD_Mes_Constante!$AP$1</f>
        <v>28431591.976734746</v>
      </c>
      <c r="AZ85" s="8">
        <f>+MINVU_Mes_Corriente!AZ85*SALUD_Mes_Constante!$AP$1</f>
        <v>33715603.908832677</v>
      </c>
      <c r="BA85" s="8">
        <f>+MINVU_Mes_Corriente!BA85*SALUD_Mes_Constante!$AP$1</f>
        <v>52979817.829839036</v>
      </c>
      <c r="BB85" s="9">
        <f t="shared" si="41"/>
        <v>52979817.829839036</v>
      </c>
      <c r="BC85" s="8">
        <f>+MINVU_Mes_Corriente!BC85*SALUD_Mes_Constante!$BC$1</f>
        <v>0</v>
      </c>
      <c r="BD85" s="8">
        <f>+MINVU_Mes_Corriente!BD85*SALUD_Mes_Constante!$BC$1</f>
        <v>0</v>
      </c>
      <c r="BE85" s="8">
        <f>+MINVU_Mes_Corriente!BE85*SALUD_Mes_Constante!$BC$1</f>
        <v>0</v>
      </c>
      <c r="BF85" s="8">
        <f>+MINVU_Mes_Corriente!BF85*SALUD_Mes_Constante!$BC$1</f>
        <v>3082973.4121060274</v>
      </c>
      <c r="BG85" s="8">
        <f>+MINVU_Mes_Corriente!BG85*SALUD_Mes_Constante!$BC$1</f>
        <v>4974005.6668864582</v>
      </c>
      <c r="BH85" s="8">
        <f>+MINVU_Mes_Corriente!BH85*SALUD_Mes_Constante!$BC$1</f>
        <v>8136597.8193327198</v>
      </c>
      <c r="BI85" s="8">
        <f>+MINVU_Mes_Corriente!BI85*SALUD_Mes_Constante!$BC$1</f>
        <v>9470424.2460767534</v>
      </c>
      <c r="BJ85" s="8">
        <f>+MINVU_Mes_Corriente!BJ85*SALUD_Mes_Constante!$BC$1</f>
        <v>9971737.8855334334</v>
      </c>
      <c r="BK85" s="8">
        <f>+MINVU_Mes_Corriente!BK85*SALUD_Mes_Constante!$BC$1</f>
        <v>10002671.59171832</v>
      </c>
      <c r="BL85" s="8">
        <f>+MINVU_Mes_Corriente!BL85*SALUD_Mes_Constante!$BC$1</f>
        <v>11770068.440722672</v>
      </c>
      <c r="BM85" s="8">
        <f>+MINVU_Mes_Corriente!BM85*SALUD_Mes_Constante!$BC$1</f>
        <v>12492128.200448375</v>
      </c>
      <c r="BN85" s="8">
        <f>+MINVU_Mes_Corriente!BN85*SALUD_Mes_Constante!$BC$1</f>
        <v>17899718.69814058</v>
      </c>
      <c r="BO85" s="9">
        <f t="shared" si="42"/>
        <v>17899718.69814058</v>
      </c>
      <c r="BP85" s="8">
        <f>+MINVU_Mes_Corriente!BP85*SALUD_Mes_Constante!$BP$1</f>
        <v>0</v>
      </c>
      <c r="BQ85" s="8">
        <f>+MINVU_Mes_Corriente!BQ85*SALUD_Mes_Constante!$BP$1</f>
        <v>1088.4030729833548</v>
      </c>
      <c r="BR85" s="8">
        <f>+MINVU_Mes_Corriente!BR85*SALUD_Mes_Constante!$BP$1</f>
        <v>827359.80845070432</v>
      </c>
      <c r="BS85" s="8">
        <f>+MINVU_Mes_Corriente!BS85*SALUD_Mes_Constante!$BP$1</f>
        <v>852921.89193341881</v>
      </c>
      <c r="BT85" s="8">
        <f>+MINVU_Mes_Corriente!BT85*SALUD_Mes_Constante!$BP$1</f>
        <v>870266.39231754176</v>
      </c>
      <c r="BU85" s="8">
        <f>+MINVU_Mes_Corriente!BU85*SALUD_Mes_Constante!$BP$1</f>
        <v>929335.3421254803</v>
      </c>
      <c r="BV85" s="8">
        <f>+MINVU_Mes_Corriente!BV85*SALUD_Mes_Constante!$BP$1</f>
        <v>933985.53725992329</v>
      </c>
      <c r="BW85" s="8">
        <f>+MINVU_Mes_Corriente!BW85*SALUD_Mes_Constante!$BP$1</f>
        <v>1261769.7341869399</v>
      </c>
      <c r="BX85" s="8">
        <f>+MINVU_Mes_Corriente!BX85*SALUD_Mes_Constante!$BP$1</f>
        <v>1833655.6002560821</v>
      </c>
      <c r="BY85" s="8">
        <f>+MINVU_Mes_Corriente!BY85*SALUD_Mes_Constante!$BP$1</f>
        <v>4148564.4276568508</v>
      </c>
      <c r="BZ85" s="8">
        <f>+MINVU_Mes_Corriente!BZ85*SALUD_Mes_Constante!$BP$1</f>
        <v>5149752.5592829715</v>
      </c>
      <c r="CA85" s="8">
        <f>+MINVU_Mes_Corriente!CA85*SALUD_Mes_Constante!$BP$1</f>
        <v>9376460.970038414</v>
      </c>
      <c r="CB85" s="9">
        <f t="shared" si="43"/>
        <v>9376460.970038414</v>
      </c>
      <c r="CC85" s="8">
        <f>+MINVU_Mes_Corriente!CC85*SALUD_Mes_Constante!$CC$1</f>
        <v>0</v>
      </c>
      <c r="CD85" s="8">
        <f>+MINVU_Mes_Corriente!CD85*SALUD_Mes_Constante!$CC$1</f>
        <v>0</v>
      </c>
      <c r="CE85" s="8">
        <f>+MINVU_Mes_Corriente!CE85*SALUD_Mes_Constante!$CC$1</f>
        <v>0</v>
      </c>
      <c r="CF85" s="8">
        <f>+MINVU_Mes_Corriente!CF85*SALUD_Mes_Constante!$CC$1</f>
        <v>0</v>
      </c>
      <c r="CG85" s="8">
        <f>+MINVU_Mes_Corriente!CG85*SALUD_Mes_Constante!$CC$1</f>
        <v>0</v>
      </c>
      <c r="CH85" s="8">
        <f>+MINVU_Mes_Corriente!CH85*SALUD_Mes_Constante!$CC$1</f>
        <v>0</v>
      </c>
      <c r="CI85" s="8">
        <f>+MINVU_Mes_Corriente!CI85*SALUD_Mes_Constante!$CC$1</f>
        <v>0</v>
      </c>
      <c r="CJ85" s="8">
        <f>+MINVU_Mes_Corriente!CJ85*SALUD_Mes_Constante!$CC$1</f>
        <v>2392.2275270421487</v>
      </c>
      <c r="CK85" s="8">
        <f>+MINVU_Mes_Corriente!CK85*SALUD_Mes_Constante!$CC$1</f>
        <v>2392.2275270421487</v>
      </c>
      <c r="CL85" s="8">
        <f>+MINVU_Mes_Corriente!CL85*SALUD_Mes_Constante!$CC$1</f>
        <v>2392.2275270421487</v>
      </c>
      <c r="CM85" s="8">
        <f>+MINVU_Mes_Corriente!CM85*SALUD_Mes_Constante!$CC$1</f>
        <v>2392.2275270421487</v>
      </c>
      <c r="CN85" s="8">
        <f>+MINVU_Mes_Corriente!CN85*SALUD_Mes_Constante!$CC$1</f>
        <v>1283758.1335322643</v>
      </c>
      <c r="CO85" s="9">
        <f t="shared" si="44"/>
        <v>1283758.1335322643</v>
      </c>
      <c r="CP85" s="8">
        <f>+MINVU_Mes_Corriente!CP85*SALUD_Mes_Constante!$CP$1</f>
        <v>0</v>
      </c>
      <c r="CQ85" s="8">
        <f>+MINVU_Mes_Corriente!CQ85*SALUD_Mes_Constante!$CP$1</f>
        <v>0</v>
      </c>
      <c r="CR85" s="8">
        <f>+MINVU_Mes_Corriente!CR85*SALUD_Mes_Constante!$CP$1</f>
        <v>0</v>
      </c>
      <c r="CS85" s="8">
        <f>+MINVU_Mes_Corriente!CS85*SALUD_Mes_Constante!$CP$1</f>
        <v>274399.77215777256</v>
      </c>
      <c r="CT85" s="8">
        <f>+MINVU_Mes_Corriente!CT85*SALUD_Mes_Constante!$CP$1</f>
        <v>274399.77215777256</v>
      </c>
      <c r="CU85" s="8">
        <f>+MINVU_Mes_Corriente!CU85*SALUD_Mes_Constante!$CP$1</f>
        <v>276818.19535962871</v>
      </c>
      <c r="CV85" s="8">
        <f>+MINVU_Mes_Corriente!CV85*SALUD_Mes_Constante!$CP$1</f>
        <v>347611.57726218092</v>
      </c>
      <c r="CW85" s="8">
        <f>+MINVU_Mes_Corriente!CW85*SALUD_Mes_Constante!$CP$1</f>
        <v>347611.57726218092</v>
      </c>
      <c r="CX85" s="8">
        <f>+MINVU_Mes_Corriente!CX85*SALUD_Mes_Constante!$CP$1</f>
        <v>351810.86241299298</v>
      </c>
      <c r="CY85" s="8">
        <f>+MINVU_Mes_Corriente!CY85*SALUD_Mes_Constante!$CP$1</f>
        <v>351810.86241299298</v>
      </c>
      <c r="CZ85" s="8">
        <f>+MINVU_Mes_Corriente!CZ85*SALUD_Mes_Constante!$CP$1</f>
        <v>351810.86241299298</v>
      </c>
      <c r="DA85" s="8">
        <f>+MINVU_Mes_Corriente!DA85*SALUD_Mes_Constante!$CP$1</f>
        <v>873353.71252900211</v>
      </c>
      <c r="DB85" s="9">
        <f t="shared" si="45"/>
        <v>873353.71252900211</v>
      </c>
      <c r="DC85" s="8">
        <f>+MINVU_Mes_Corriente!DC85*SALUD_Mes_Constante!$DC$1</f>
        <v>0</v>
      </c>
      <c r="DD85" s="8">
        <f>+MINVU_Mes_Corriente!DD85*SALUD_Mes_Constante!$DC$1</f>
        <v>0</v>
      </c>
      <c r="DE85" s="8">
        <f>+MINVU_Mes_Corriente!DE85*SALUD_Mes_Constante!$DC$1</f>
        <v>0</v>
      </c>
      <c r="DF85" s="8">
        <f>+MINVU_Mes_Corriente!DF85*SALUD_Mes_Constante!$DC$1</f>
        <v>0</v>
      </c>
      <c r="DG85" s="8">
        <f>+MINVU_Mes_Corriente!DG85*SALUD_Mes_Constante!$DC$1</f>
        <v>0</v>
      </c>
      <c r="DH85" s="8">
        <f>+MINVU_Mes_Corriente!DH85*SALUD_Mes_Constante!$DC$1</f>
        <v>0</v>
      </c>
      <c r="DI85" s="8">
        <f>+MINVU_Mes_Corriente!DI85*SALUD_Mes_Constante!$DC$1</f>
        <v>0</v>
      </c>
      <c r="DJ85" s="8">
        <f>+MINVU_Mes_Corriente!DJ85*SALUD_Mes_Constante!$DC$1</f>
        <v>0</v>
      </c>
      <c r="DK85" s="8">
        <f>+MINVU_Mes_Corriente!DK85*SALUD_Mes_Constante!$DC$1</f>
        <v>0</v>
      </c>
      <c r="DL85" s="8">
        <f>+MINVU_Mes_Corriente!DL85*SALUD_Mes_Constante!$DC$1</f>
        <v>0</v>
      </c>
      <c r="DM85" s="8">
        <f>+MINVU_Mes_Corriente!DM85*SALUD_Mes_Constante!$DC$1</f>
        <v>0</v>
      </c>
      <c r="DN85" s="8">
        <f>+MINVU_Mes_Corriente!DN85*SALUD_Mes_Constante!$DC$1</f>
        <v>7293.3663203374172</v>
      </c>
      <c r="DO85" s="9">
        <f t="shared" si="46"/>
        <v>7293.3663203374172</v>
      </c>
      <c r="DP85" s="8">
        <f>+MINVU_Mes_Corriente!DP85*SALUD_Mes_Constante!$DP$1</f>
        <v>0</v>
      </c>
      <c r="DQ85" s="8">
        <f>+MINVU_Mes_Corriente!DQ85*SALUD_Mes_Constante!$DP$1</f>
        <v>0</v>
      </c>
      <c r="DR85" s="8">
        <f>+MINVU_Mes_Corriente!DR85*SALUD_Mes_Constante!$DP$1</f>
        <v>18569.009501187651</v>
      </c>
      <c r="DS85" s="8">
        <f>+MINVU_Mes_Corriente!DS85*SALUD_Mes_Constante!$DP$1</f>
        <v>18569.009501187651</v>
      </c>
      <c r="DT85" s="8">
        <f>+MINVU_Mes_Corriente!DT85*SALUD_Mes_Constante!$DP$1</f>
        <v>18569.009501187651</v>
      </c>
      <c r="DU85" s="8">
        <f>+MINVU_Mes_Corriente!DU85*SALUD_Mes_Constante!$DP$1</f>
        <v>33128.358669833731</v>
      </c>
      <c r="DV85" s="8">
        <f>+MINVU_Mes_Corriente!DV85*SALUD_Mes_Constante!$DP$1</f>
        <v>33128.358669833731</v>
      </c>
      <c r="DW85" s="8">
        <f>+MINVU_Mes_Corriente!DW85*SALUD_Mes_Constante!$DP$1</f>
        <v>33128.358669833731</v>
      </c>
      <c r="DX85" s="8">
        <f>+MINVU_Mes_Corriente!DX85*SALUD_Mes_Constante!$DP$1</f>
        <v>33128.358669833731</v>
      </c>
      <c r="DY85" s="8">
        <f>+MINVU_Mes_Corriente!DY85*SALUD_Mes_Constante!$DP$1</f>
        <v>33128.358669833731</v>
      </c>
      <c r="DZ85" s="8">
        <f>+MINVU_Mes_Corriente!DZ85*SALUD_Mes_Constante!$DP$1</f>
        <v>33128.358669833731</v>
      </c>
      <c r="EA85" s="8">
        <f>+MINVU_Mes_Corriente!EA85*SALUD_Mes_Constante!$DP$1</f>
        <v>109130.23752969122</v>
      </c>
      <c r="EB85" s="9">
        <f t="shared" si="47"/>
        <v>109130.23752969122</v>
      </c>
      <c r="EC85" s="8">
        <f>+MINVU_Mes_Corriente!EC85*SALUD_Mes_Constante!$EC$1</f>
        <v>0</v>
      </c>
      <c r="ED85" s="8">
        <f>+MINVU_Mes_Corriente!ED85*SALUD_Mes_Constante!$EC$1</f>
        <v>0</v>
      </c>
      <c r="EE85" s="8">
        <f>+MINVU_Mes_Corriente!EE85*SALUD_Mes_Constante!$EC$1</f>
        <v>0</v>
      </c>
      <c r="EF85" s="8">
        <f>+MINVU_Mes_Corriente!EF85*SALUD_Mes_Constante!$EC$1</f>
        <v>0</v>
      </c>
      <c r="EG85" s="8">
        <f>+MINVU_Mes_Corriente!EG85*SALUD_Mes_Constante!$EC$1</f>
        <v>24868.494603294821</v>
      </c>
      <c r="EH85" s="8">
        <f>+MINVU_Mes_Corriente!EH85*SALUD_Mes_Constante!$EC$1</f>
        <v>66094.955311494021</v>
      </c>
      <c r="EI85" s="8">
        <f>+MINVU_Mes_Corriente!EI85*SALUD_Mes_Constante!$EC$1</f>
        <v>66094.955311494021</v>
      </c>
      <c r="EJ85" s="8">
        <f>+MINVU_Mes_Corriente!EJ85*SALUD_Mes_Constante!$EC$1</f>
        <v>66094.955311494021</v>
      </c>
      <c r="EK85" s="8">
        <f>+MINVU_Mes_Corriente!EK85*SALUD_Mes_Constante!$EC$1</f>
        <v>156765.65214921412</v>
      </c>
      <c r="EL85" s="8">
        <f>+MINVU_Mes_Corriente!EL85*SALUD_Mes_Constante!$EC$1</f>
        <v>156765.65214921412</v>
      </c>
      <c r="EM85" s="8">
        <f>+MINVU_Mes_Corriente!EM85*SALUD_Mes_Constante!$EC$1</f>
        <v>206161.26850975188</v>
      </c>
      <c r="EN85" s="8">
        <f>+MINVU_Mes_Corriente!EN85*SALUD_Mes_Constante!$EC$1</f>
        <v>356912.5517894337</v>
      </c>
      <c r="EO85" s="9">
        <f t="shared" si="48"/>
        <v>356912.5517894337</v>
      </c>
      <c r="EP85" s="8">
        <f>+MINVU_Mes_Corriente!EP85*SALUD_Mes_Constante!$EP$1</f>
        <v>0</v>
      </c>
      <c r="EQ85" s="8">
        <f>+MINVU_Mes_Corriente!EQ85*SALUD_Mes_Constante!$EP$1</f>
        <v>0</v>
      </c>
      <c r="ER85" s="8">
        <f>+MINVU_Mes_Corriente!ER85*SALUD_Mes_Constante!$EP$1</f>
        <v>184525</v>
      </c>
      <c r="ES85" s="8">
        <f>+MINVU_Mes_Corriente!ES85*SALUD_Mes_Constante!$EP$1</f>
        <v>184525</v>
      </c>
      <c r="ET85" s="8">
        <f>+MINVU_Mes_Corriente!ET85*SALUD_Mes_Constante!$EP$1</f>
        <v>184525</v>
      </c>
      <c r="EU85" s="8">
        <f>+MINVU_Mes_Corriente!EU85*SALUD_Mes_Constante!$EP$1</f>
        <v>184525</v>
      </c>
      <c r="EV85" s="8">
        <f>+MINVU_Mes_Corriente!EV85*SALUD_Mes_Constante!$EP$1</f>
        <v>191260</v>
      </c>
      <c r="EW85" s="8">
        <f>+MINVU_Mes_Corriente!EW85*SALUD_Mes_Constante!$EP$1</f>
        <v>191260</v>
      </c>
      <c r="EX85" s="8">
        <f>+MINVU_Mes_Corriente!EX85*SALUD_Mes_Constante!$EP$1</f>
        <v>218077</v>
      </c>
      <c r="EY85" s="8">
        <f>+MINVU_Mes_Corriente!EY85*SALUD_Mes_Constante!$EP$1</f>
        <v>218457</v>
      </c>
      <c r="EZ85" s="8">
        <f>+MINVU_Mes_Corriente!EZ85*SALUD_Mes_Constante!$EP$1</f>
        <v>218457</v>
      </c>
      <c r="FA85" s="8">
        <f>+MINVU_Mes_Corriente!FA85*SALUD_Mes_Constante!$EP$1</f>
        <v>322185</v>
      </c>
      <c r="FB85" s="9">
        <f t="shared" si="49"/>
        <v>322185</v>
      </c>
      <c r="FC85" s="8">
        <f>+MINVU_Mes_Corriente!FC85*SALUD_Mes_Constante!$FC$1</f>
        <v>0</v>
      </c>
      <c r="FD85" s="8">
        <f>+MINVU_Mes_Corriente!FD85*SALUD_Mes_Constante!$FC$1</f>
        <v>0</v>
      </c>
      <c r="FE85" s="8">
        <f>+MINVU_Mes_Corriente!FE85*SALUD_Mes_Constante!$FC$1</f>
        <v>0</v>
      </c>
      <c r="FF85" s="8">
        <f>+MINVU_Mes_Corriente!FF85*SALUD_Mes_Constante!$FC$1</f>
        <v>0</v>
      </c>
      <c r="FG85" s="8">
        <f>+MINVU_Mes_Corriente!FG85*SALUD_Mes_Constante!$FC$1</f>
        <v>0</v>
      </c>
      <c r="FH85" s="8">
        <f>+MINVU_Mes_Corriente!FH85*SALUD_Mes_Constante!$FC$1</f>
        <v>0</v>
      </c>
      <c r="FI85" s="8">
        <f>+MINVU_Mes_Corriente!FI85*SALUD_Mes_Constante!$FC$1</f>
        <v>0</v>
      </c>
      <c r="FJ85" s="8"/>
      <c r="FK85" s="8"/>
      <c r="FL85" s="8"/>
      <c r="FM85" s="8"/>
      <c r="FN85" s="8"/>
      <c r="FO85" s="9">
        <f t="shared" si="50"/>
        <v>0</v>
      </c>
    </row>
    <row r="86" spans="2:171" ht="14.25" customHeight="1" x14ac:dyDescent="0.3">
      <c r="B86" s="7" t="s">
        <v>49</v>
      </c>
      <c r="C86" s="8">
        <f>+MINVU_Mes_Corriente!C86*SALUD_Mes_Constante!$C$1</f>
        <v>0</v>
      </c>
      <c r="D86" s="8">
        <f>+MINVU_Mes_Corriente!D86*SALUD_Mes_Constante!$C$1</f>
        <v>283818.3648227792</v>
      </c>
      <c r="E86" s="8">
        <f>+MINVU_Mes_Corriente!E86*SALUD_Mes_Constante!$C$1</f>
        <v>552201.30387068074</v>
      </c>
      <c r="F86" s="8">
        <f>+MINVU_Mes_Corriente!F86*SALUD_Mes_Constante!$C$1</f>
        <v>746516.55998813594</v>
      </c>
      <c r="G86" s="8">
        <f>+MINVU_Mes_Corriente!G86*SALUD_Mes_Constante!$C$1</f>
        <v>859657.29111671378</v>
      </c>
      <c r="H86" s="8">
        <f>+MINVU_Mes_Corriente!H86*SALUD_Mes_Constante!$C$1</f>
        <v>1005731.57555984</v>
      </c>
      <c r="I86" s="8">
        <f>+MINVU_Mes_Corriente!I86*SALUD_Mes_Constante!$C$1</f>
        <v>1495567.3427257899</v>
      </c>
      <c r="J86" s="8">
        <f>+MINVU_Mes_Corriente!J86*SALUD_Mes_Constante!$C$1</f>
        <v>2122685.3913688273</v>
      </c>
      <c r="K86" s="8">
        <f>+MINVU_Mes_Corriente!K86*SALUD_Mes_Constante!$C$1</f>
        <v>2958591.6357704289</v>
      </c>
      <c r="L86" s="8">
        <f>+MINVU_Mes_Corriente!L86*SALUD_Mes_Constante!$C$1</f>
        <v>3780177.2531514168</v>
      </c>
      <c r="M86" s="8">
        <f>+MINVU_Mes_Corriente!M86*SALUD_Mes_Constante!$C$1</f>
        <v>5203052.587572298</v>
      </c>
      <c r="N86" s="8">
        <f>+MINVU_Mes_Corriente!N86*SALUD_Mes_Constante!$C$1</f>
        <v>6785018.4541005502</v>
      </c>
      <c r="O86" s="9">
        <f t="shared" si="38"/>
        <v>6785018.4541005502</v>
      </c>
      <c r="P86" s="8">
        <f>+MINVU_Mes_Corriente!P86*SALUD_Mes_Constante!$P$1</f>
        <v>0</v>
      </c>
      <c r="Q86" s="8">
        <f>+MINVU_Mes_Corriente!Q86*SALUD_Mes_Constante!$P$1</f>
        <v>864748.11876687</v>
      </c>
      <c r="R86" s="8">
        <f>+MINVU_Mes_Corriente!R86*SALUD_Mes_Constante!$P$1</f>
        <v>2352042.3017474064</v>
      </c>
      <c r="S86" s="8">
        <f>+MINVU_Mes_Corriente!S86*SALUD_Mes_Constante!$P$1</f>
        <v>3660833.9880664852</v>
      </c>
      <c r="T86" s="8">
        <f>+MINVU_Mes_Corriente!T86*SALUD_Mes_Constante!$P$1</f>
        <v>3913750.9421792855</v>
      </c>
      <c r="U86" s="8">
        <f>+MINVU_Mes_Corriente!U86*SALUD_Mes_Constante!$P$1</f>
        <v>4802803.5513567254</v>
      </c>
      <c r="V86" s="8">
        <f>+MINVU_Mes_Corriente!V86*SALUD_Mes_Constante!$P$1</f>
        <v>5049367.3135388531</v>
      </c>
      <c r="W86" s="8">
        <f>+MINVU_Mes_Corriente!W86*SALUD_Mes_Constante!$P$1</f>
        <v>6245021.5814746385</v>
      </c>
      <c r="X86" s="8">
        <f>+MINVU_Mes_Corriente!X86*SALUD_Mes_Constante!$P$1</f>
        <v>7321456.8756925669</v>
      </c>
      <c r="Y86" s="8">
        <f>+MINVU_Mes_Corriente!Y86*SALUD_Mes_Constante!$P$1</f>
        <v>8253934.0872282963</v>
      </c>
      <c r="Z86" s="8">
        <f>+MINVU_Mes_Corriente!Z86*SALUD_Mes_Constante!$P$1</f>
        <v>8719679.0904958062</v>
      </c>
      <c r="AA86" s="8">
        <f>+MINVU_Mes_Corriente!AA86*SALUD_Mes_Constante!$P$1</f>
        <v>11073951.916749533</v>
      </c>
      <c r="AB86" s="9">
        <f t="shared" si="39"/>
        <v>11073951.916749533</v>
      </c>
      <c r="AC86" s="8">
        <f>+MINVU_Mes_Corriente!AC86*SALUD_Mes_Constante!$AC$1</f>
        <v>0</v>
      </c>
      <c r="AD86" s="8">
        <f>+MINVU_Mes_Corriente!AD86*SALUD_Mes_Constante!$AC$1</f>
        <v>0</v>
      </c>
      <c r="AE86" s="8">
        <f>+MINVU_Mes_Corriente!AE86*SALUD_Mes_Constante!$AC$1</f>
        <v>0</v>
      </c>
      <c r="AF86" s="8">
        <f>+MINVU_Mes_Corriente!AF86*SALUD_Mes_Constante!$AC$1</f>
        <v>1529848.574906626</v>
      </c>
      <c r="AG86" s="8">
        <f>+MINVU_Mes_Corriente!AG86*SALUD_Mes_Constante!$AC$1</f>
        <v>2260885.4856826672</v>
      </c>
      <c r="AH86" s="8">
        <f>+MINVU_Mes_Corriente!AH86*SALUD_Mes_Constante!$AC$1</f>
        <v>2932833.7299764836</v>
      </c>
      <c r="AI86" s="8">
        <f>+MINVU_Mes_Corriente!AI86*SALUD_Mes_Constante!$AC$1</f>
        <v>3708067.3611841197</v>
      </c>
      <c r="AJ86" s="8">
        <f>+MINVU_Mes_Corriente!AJ86*SALUD_Mes_Constante!$AC$1</f>
        <v>4752492.6034029601</v>
      </c>
      <c r="AK86" s="8">
        <f>+MINVU_Mes_Corriente!AK86*SALUD_Mes_Constante!$AC$1</f>
        <v>5008738.9674920458</v>
      </c>
      <c r="AL86" s="8">
        <f>+MINVU_Mes_Corriente!AL86*SALUD_Mes_Constante!$AC$1</f>
        <v>5510205.9424540047</v>
      </c>
      <c r="AM86" s="8">
        <f>+MINVU_Mes_Corriente!AM86*SALUD_Mes_Constante!$AC$1</f>
        <v>7412330.4974408634</v>
      </c>
      <c r="AN86" s="8">
        <f>+MINVU_Mes_Corriente!AN86*SALUD_Mes_Constante!$AC$1</f>
        <v>9716102.3090330604</v>
      </c>
      <c r="AO86" s="9">
        <f t="shared" si="40"/>
        <v>9716102.3090330604</v>
      </c>
      <c r="AP86" s="8">
        <f>+MINVU_Mes_Corriente!AP86*SALUD_Mes_Constante!$AP$1</f>
        <v>0</v>
      </c>
      <c r="AQ86" s="8">
        <f>+MINVU_Mes_Corriente!AQ86*SALUD_Mes_Constante!$AP$1</f>
        <v>0</v>
      </c>
      <c r="AR86" s="8">
        <f>+MINVU_Mes_Corriente!AR86*SALUD_Mes_Constante!$AP$1</f>
        <v>0</v>
      </c>
      <c r="AS86" s="8">
        <f>+MINVU_Mes_Corriente!AS86*SALUD_Mes_Constante!$AP$1</f>
        <v>0</v>
      </c>
      <c r="AT86" s="8">
        <f>+MINVU_Mes_Corriente!AT86*SALUD_Mes_Constante!$AP$1</f>
        <v>0</v>
      </c>
      <c r="AU86" s="8">
        <f>+MINVU_Mes_Corriente!AU86*SALUD_Mes_Constante!$AP$1</f>
        <v>0</v>
      </c>
      <c r="AV86" s="8">
        <f>+MINVU_Mes_Corriente!AV86*SALUD_Mes_Constante!$AP$1</f>
        <v>0</v>
      </c>
      <c r="AW86" s="8">
        <f>+MINVU_Mes_Corriente!AW86*SALUD_Mes_Constante!$AP$1</f>
        <v>20857.383741376976</v>
      </c>
      <c r="AX86" s="8">
        <f>+MINVU_Mes_Corriente!AX86*SALUD_Mes_Constante!$AP$1</f>
        <v>32933.177870959014</v>
      </c>
      <c r="AY86" s="8">
        <f>+MINVU_Mes_Corriente!AY86*SALUD_Mes_Constante!$AP$1</f>
        <v>32933.177870959014</v>
      </c>
      <c r="AZ86" s="8">
        <f>+MINVU_Mes_Corriente!AZ86*SALUD_Mes_Constante!$AP$1</f>
        <v>32933.177870959014</v>
      </c>
      <c r="BA86" s="8">
        <f>+MINVU_Mes_Corriente!BA86*SALUD_Mes_Constante!$AP$1</f>
        <v>32933.177870959014</v>
      </c>
      <c r="BB86" s="9">
        <f t="shared" si="41"/>
        <v>32933.177870959014</v>
      </c>
      <c r="BC86" s="8">
        <f>+MINVU_Mes_Corriente!BC86*SALUD_Mes_Constante!$BC$1</f>
        <v>0</v>
      </c>
      <c r="BD86" s="8">
        <f>+MINVU_Mes_Corriente!BD86*SALUD_Mes_Constante!$BC$1</f>
        <v>0</v>
      </c>
      <c r="BE86" s="8">
        <f>+MINVU_Mes_Corriente!BE86*SALUD_Mes_Constante!$BC$1</f>
        <v>0</v>
      </c>
      <c r="BF86" s="8">
        <f>+MINVU_Mes_Corriente!BF86*SALUD_Mes_Constante!$BC$1</f>
        <v>0</v>
      </c>
      <c r="BG86" s="8">
        <f>+MINVU_Mes_Corriente!BG86*SALUD_Mes_Constante!$BC$1</f>
        <v>0</v>
      </c>
      <c r="BH86" s="8">
        <f>+MINVU_Mes_Corriente!BH86*SALUD_Mes_Constante!$BC$1</f>
        <v>200650.52195700916</v>
      </c>
      <c r="BI86" s="8">
        <f>+MINVU_Mes_Corriente!BI86*SALUD_Mes_Constante!$BC$1</f>
        <v>200650.52195700916</v>
      </c>
      <c r="BJ86" s="8">
        <f>+MINVU_Mes_Corriente!BJ86*SALUD_Mes_Constante!$BC$1</f>
        <v>200650.52195700916</v>
      </c>
      <c r="BK86" s="8">
        <f>+MINVU_Mes_Corriente!BK86*SALUD_Mes_Constante!$BC$1</f>
        <v>201238.39061057635</v>
      </c>
      <c r="BL86" s="8">
        <f>+MINVU_Mes_Corriente!BL86*SALUD_Mes_Constante!$BC$1</f>
        <v>202803.15864433607</v>
      </c>
      <c r="BM86" s="8">
        <f>+MINVU_Mes_Corriente!BM86*SALUD_Mes_Constante!$BC$1</f>
        <v>215799.66662270876</v>
      </c>
      <c r="BN86" s="8">
        <f>+MINVU_Mes_Corriente!BN86*SALUD_Mes_Constante!$BC$1</f>
        <v>250361.44454701312</v>
      </c>
      <c r="BO86" s="9">
        <f t="shared" si="42"/>
        <v>250361.44454701312</v>
      </c>
      <c r="BP86" s="8">
        <f>+MINVU_Mes_Corriente!BP86*SALUD_Mes_Constante!$BP$1</f>
        <v>0</v>
      </c>
      <c r="BQ86" s="8">
        <f>+MINVU_Mes_Corriente!BQ86*SALUD_Mes_Constante!$BP$1</f>
        <v>0</v>
      </c>
      <c r="BR86" s="8">
        <f>+MINVU_Mes_Corriente!BR86*SALUD_Mes_Constante!$BP$1</f>
        <v>46476.769782330353</v>
      </c>
      <c r="BS86" s="8">
        <f>+MINVU_Mes_Corriente!BS86*SALUD_Mes_Constante!$BP$1</f>
        <v>46476.769782330353</v>
      </c>
      <c r="BT86" s="8">
        <f>+MINVU_Mes_Corriente!BT86*SALUD_Mes_Constante!$BP$1</f>
        <v>63702.357234314986</v>
      </c>
      <c r="BU86" s="8">
        <f>+MINVU_Mes_Corriente!BU86*SALUD_Mes_Constante!$BP$1</f>
        <v>63857.643533930866</v>
      </c>
      <c r="BV86" s="8">
        <f>+MINVU_Mes_Corriente!BV86*SALUD_Mes_Constante!$BP$1</f>
        <v>88499.201024327791</v>
      </c>
      <c r="BW86" s="8">
        <f>+MINVU_Mes_Corriente!BW86*SALUD_Mes_Constante!$BP$1</f>
        <v>89765.27400768247</v>
      </c>
      <c r="BX86" s="8">
        <f>+MINVU_Mes_Corriente!BX86*SALUD_Mes_Constante!$BP$1</f>
        <v>89798.849423815627</v>
      </c>
      <c r="BY86" s="8">
        <f>+MINVU_Mes_Corriente!BY86*SALUD_Mes_Constante!$BP$1</f>
        <v>120521.75416133164</v>
      </c>
      <c r="BZ86" s="8">
        <f>+MINVU_Mes_Corriente!BZ86*SALUD_Mes_Constante!$BP$1</f>
        <v>169653.77976952627</v>
      </c>
      <c r="CA86" s="8">
        <f>+MINVU_Mes_Corriente!CA86*SALUD_Mes_Constante!$BP$1</f>
        <v>275897.58822023048</v>
      </c>
      <c r="CB86" s="9">
        <f t="shared" si="43"/>
        <v>275897.58822023048</v>
      </c>
      <c r="CC86" s="8">
        <f>+MINVU_Mes_Corriente!CC86*SALUD_Mes_Constante!$CC$1</f>
        <v>0</v>
      </c>
      <c r="CD86" s="8">
        <f>+MINVU_Mes_Corriente!CD86*SALUD_Mes_Constante!$CC$1</f>
        <v>173320.34837747112</v>
      </c>
      <c r="CE86" s="8">
        <f>+MINVU_Mes_Corriente!CE86*SALUD_Mes_Constante!$CC$1</f>
        <v>531026.965311451</v>
      </c>
      <c r="CF86" s="8">
        <f>+MINVU_Mes_Corriente!CF86*SALUD_Mes_Constante!$CC$1</f>
        <v>959821.18388660951</v>
      </c>
      <c r="CG86" s="8">
        <f>+MINVU_Mes_Corriente!CG86*SALUD_Mes_Constante!$CC$1</f>
        <v>1272743.8343901529</v>
      </c>
      <c r="CH86" s="8">
        <f>+MINVU_Mes_Corriente!CH86*SALUD_Mes_Constante!$CC$1</f>
        <v>1611449.8343901532</v>
      </c>
      <c r="CI86" s="8">
        <f>+MINVU_Mes_Corriente!CI86*SALUD_Mes_Constante!$CC$1</f>
        <v>2225401.9201790378</v>
      </c>
      <c r="CJ86" s="8">
        <f>+MINVU_Mes_Corriente!CJ86*SALUD_Mes_Constante!$CC$1</f>
        <v>2893952.7616560985</v>
      </c>
      <c r="CK86" s="8">
        <f>+MINVU_Mes_Corriente!CK86*SALUD_Mes_Constante!$CC$1</f>
        <v>3418988.9697873932</v>
      </c>
      <c r="CL86" s="8">
        <f>+MINVU_Mes_Corriente!CL86*SALUD_Mes_Constante!$CC$1</f>
        <v>3856178.3991048122</v>
      </c>
      <c r="CM86" s="8">
        <f>+MINVU_Mes_Corriente!CM86*SALUD_Mes_Constante!$CC$1</f>
        <v>4847101.2577396501</v>
      </c>
      <c r="CN86" s="8">
        <f>+MINVU_Mes_Corriente!CN86*SALUD_Mes_Constante!$CC$1</f>
        <v>6799073.3375606127</v>
      </c>
      <c r="CO86" s="9">
        <f t="shared" si="44"/>
        <v>6799073.3375606127</v>
      </c>
      <c r="CP86" s="8">
        <f>+MINVU_Mes_Corriente!CP86*SALUD_Mes_Constante!$CP$1</f>
        <v>337520.8712296983</v>
      </c>
      <c r="CQ86" s="8">
        <f>+MINVU_Mes_Corriente!CQ86*SALUD_Mes_Constante!$CP$1</f>
        <v>844638.10580046382</v>
      </c>
      <c r="CR86" s="8">
        <f>+MINVU_Mes_Corriente!CR86*SALUD_Mes_Constante!$CP$1</f>
        <v>1315922.6234338745</v>
      </c>
      <c r="CS86" s="8">
        <f>+MINVU_Mes_Corriente!CS86*SALUD_Mes_Constante!$CP$1</f>
        <v>1558666.148491879</v>
      </c>
      <c r="CT86" s="8">
        <f>+MINVU_Mes_Corriente!CT86*SALUD_Mes_Constante!$CP$1</f>
        <v>1728674.4549883988</v>
      </c>
      <c r="CU86" s="8">
        <f>+MINVU_Mes_Corriente!CU86*SALUD_Mes_Constante!$CP$1</f>
        <v>2046538.6663573082</v>
      </c>
      <c r="CV86" s="8">
        <f>+MINVU_Mes_Corriente!CV86*SALUD_Mes_Constante!$CP$1</f>
        <v>2108010.7252900228</v>
      </c>
      <c r="CW86" s="8">
        <f>+MINVU_Mes_Corriente!CW86*SALUD_Mes_Constante!$CP$1</f>
        <v>2467848.7754060319</v>
      </c>
      <c r="CX86" s="8">
        <f>+MINVU_Mes_Corriente!CX86*SALUD_Mes_Constante!$CP$1</f>
        <v>2845854.1524361945</v>
      </c>
      <c r="CY86" s="8">
        <f>+MINVU_Mes_Corriente!CY86*SALUD_Mes_Constante!$CP$1</f>
        <v>3114988.6573085841</v>
      </c>
      <c r="CZ86" s="8">
        <f>+MINVU_Mes_Corriente!CZ86*SALUD_Mes_Constante!$CP$1</f>
        <v>3397139.2983758692</v>
      </c>
      <c r="DA86" s="8">
        <f>+MINVU_Mes_Corriente!DA86*SALUD_Mes_Constante!$CP$1</f>
        <v>4340193.7928074235</v>
      </c>
      <c r="DB86" s="9">
        <f t="shared" si="45"/>
        <v>4340193.7928074235</v>
      </c>
      <c r="DC86" s="8">
        <f>+MINVU_Mes_Corriente!DC86*SALUD_Mes_Constante!$DC$1</f>
        <v>0</v>
      </c>
      <c r="DD86" s="8">
        <f>+MINVU_Mes_Corriente!DD86*SALUD_Mes_Constante!$DC$1</f>
        <v>0</v>
      </c>
      <c r="DE86" s="8">
        <f>+MINVU_Mes_Corriente!DE86*SALUD_Mes_Constante!$DC$1</f>
        <v>0</v>
      </c>
      <c r="DF86" s="8">
        <f>+MINVU_Mes_Corriente!DF86*SALUD_Mes_Constante!$DC$1</f>
        <v>0</v>
      </c>
      <c r="DG86" s="8">
        <f>+MINVU_Mes_Corriente!DG86*SALUD_Mes_Constante!$DC$1</f>
        <v>0</v>
      </c>
      <c r="DH86" s="8">
        <f>+MINVU_Mes_Corriente!DH86*SALUD_Mes_Constante!$DC$1</f>
        <v>0</v>
      </c>
      <c r="DI86" s="8">
        <f>+MINVU_Mes_Corriente!DI86*SALUD_Mes_Constante!$DC$1</f>
        <v>0</v>
      </c>
      <c r="DJ86" s="8">
        <f>+MINVU_Mes_Corriente!DJ86*SALUD_Mes_Constante!$DC$1</f>
        <v>0</v>
      </c>
      <c r="DK86" s="8">
        <f>+MINVU_Mes_Corriente!DK86*SALUD_Mes_Constante!$DC$1</f>
        <v>0</v>
      </c>
      <c r="DL86" s="8">
        <f>+MINVU_Mes_Corriente!DL86*SALUD_Mes_Constante!$DC$1</f>
        <v>0</v>
      </c>
      <c r="DM86" s="8">
        <f>+MINVU_Mes_Corriente!DM86*SALUD_Mes_Constante!$DC$1</f>
        <v>0</v>
      </c>
      <c r="DN86" s="8">
        <f>+MINVU_Mes_Corriente!DN86*SALUD_Mes_Constante!$DC$1</f>
        <v>508257.37866474665</v>
      </c>
      <c r="DO86" s="9">
        <f t="shared" si="46"/>
        <v>508257.37866474665</v>
      </c>
      <c r="DP86" s="8">
        <f>+MINVU_Mes_Corriente!DP86*SALUD_Mes_Constante!$DP$1</f>
        <v>0</v>
      </c>
      <c r="DQ86" s="8">
        <f>+MINVU_Mes_Corriente!DQ86*SALUD_Mes_Constante!$DP$1</f>
        <v>0</v>
      </c>
      <c r="DR86" s="8">
        <f>+MINVU_Mes_Corriente!DR86*SALUD_Mes_Constante!$DP$1</f>
        <v>0</v>
      </c>
      <c r="DS86" s="8">
        <f>+MINVU_Mes_Corriente!DS86*SALUD_Mes_Constante!$DP$1</f>
        <v>0</v>
      </c>
      <c r="DT86" s="8">
        <f>+MINVU_Mes_Corriente!DT86*SALUD_Mes_Constante!$DP$1</f>
        <v>0</v>
      </c>
      <c r="DU86" s="8">
        <f>+MINVU_Mes_Corriente!DU86*SALUD_Mes_Constante!$DP$1</f>
        <v>3730.6710213776728</v>
      </c>
      <c r="DV86" s="8">
        <f>+MINVU_Mes_Corriente!DV86*SALUD_Mes_Constante!$DP$1</f>
        <v>68855.210807600961</v>
      </c>
      <c r="DW86" s="8">
        <f>+MINVU_Mes_Corriente!DW86*SALUD_Mes_Constante!$DP$1</f>
        <v>347220.58076009504</v>
      </c>
      <c r="DX86" s="8">
        <f>+MINVU_Mes_Corriente!DX86*SALUD_Mes_Constante!$DP$1</f>
        <v>650164.04394299292</v>
      </c>
      <c r="DY86" s="8">
        <f>+MINVU_Mes_Corriente!DY86*SALUD_Mes_Constante!$DP$1</f>
        <v>975304.4590261284</v>
      </c>
      <c r="DZ86" s="8">
        <f>+MINVU_Mes_Corriente!DZ86*SALUD_Mes_Constante!$DP$1</f>
        <v>1454747.5902612829</v>
      </c>
      <c r="EA86" s="8">
        <f>+MINVU_Mes_Corriente!EA86*SALUD_Mes_Constante!$DP$1</f>
        <v>2038307.8022565322</v>
      </c>
      <c r="EB86" s="9">
        <f t="shared" si="47"/>
        <v>2038307.8022565322</v>
      </c>
      <c r="EC86" s="8">
        <f>+MINVU_Mes_Corriente!EC86*SALUD_Mes_Constante!$EC$1</f>
        <v>0</v>
      </c>
      <c r="ED86" s="8">
        <f>+MINVU_Mes_Corriente!ED86*SALUD_Mes_Constante!$EC$1</f>
        <v>65865.304487786387</v>
      </c>
      <c r="EE86" s="8">
        <f>+MINVU_Mes_Corriente!EE86*SALUD_Mes_Constante!$EC$1</f>
        <v>761864.53872372629</v>
      </c>
      <c r="EF86" s="8">
        <f>+MINVU_Mes_Corriente!EF86*SALUD_Mes_Constante!$EC$1</f>
        <v>1150690.2793031619</v>
      </c>
      <c r="EG86" s="8">
        <f>+MINVU_Mes_Corriente!EG86*SALUD_Mes_Constante!$EC$1</f>
        <v>1850501.5103200146</v>
      </c>
      <c r="EH86" s="8">
        <f>+MINVU_Mes_Corriente!EH86*SALUD_Mes_Constante!$EC$1</f>
        <v>2820561.0721454262</v>
      </c>
      <c r="EI86" s="8">
        <f>+MINVU_Mes_Corriente!EI86*SALUD_Mes_Constante!$EC$1</f>
        <v>3483932.3035409949</v>
      </c>
      <c r="EJ86" s="8">
        <f>+MINVU_Mes_Corriente!EJ86*SALUD_Mes_Constante!$EC$1</f>
        <v>4305579.5033137649</v>
      </c>
      <c r="EK86" s="8">
        <f>+MINVU_Mes_Corriente!EK86*SALUD_Mes_Constante!$EC$1</f>
        <v>5380376.392160574</v>
      </c>
      <c r="EL86" s="8">
        <f>+MINVU_Mes_Corriente!EL86*SALUD_Mes_Constante!$EC$1</f>
        <v>6512049.1005491363</v>
      </c>
      <c r="EM86" s="8">
        <f>+MINVU_Mes_Corriente!EM86*SALUD_Mes_Constante!$EC$1</f>
        <v>7975728.6254497226</v>
      </c>
      <c r="EN86" s="8">
        <f>+MINVU_Mes_Corriente!EN86*SALUD_Mes_Constante!$EC$1</f>
        <v>9139822.444044685</v>
      </c>
      <c r="EO86" s="9">
        <f t="shared" si="48"/>
        <v>9139822.444044685</v>
      </c>
      <c r="EP86" s="8">
        <f>+MINVU_Mes_Corriente!EP86*SALUD_Mes_Constante!$EP$1</f>
        <v>0</v>
      </c>
      <c r="EQ86" s="8">
        <f>+MINVU_Mes_Corriente!EQ86*SALUD_Mes_Constante!$EP$1</f>
        <v>2473211</v>
      </c>
      <c r="ER86" s="8">
        <f>+MINVU_Mes_Corriente!ER86*SALUD_Mes_Constante!$EP$1</f>
        <v>5063264</v>
      </c>
      <c r="ES86" s="8">
        <f>+MINVU_Mes_Corriente!ES86*SALUD_Mes_Constante!$EP$1</f>
        <v>7443310</v>
      </c>
      <c r="ET86" s="8">
        <f>+MINVU_Mes_Corriente!ET86*SALUD_Mes_Constante!$EP$1</f>
        <v>9019759</v>
      </c>
      <c r="EU86" s="8">
        <f>+MINVU_Mes_Corriente!EU86*SALUD_Mes_Constante!$EP$1</f>
        <v>11034973</v>
      </c>
      <c r="EV86" s="8">
        <f>+MINVU_Mes_Corriente!EV86*SALUD_Mes_Constante!$EP$1</f>
        <v>12839745</v>
      </c>
      <c r="EW86" s="8">
        <f>+MINVU_Mes_Corriente!EW86*SALUD_Mes_Constante!$EP$1</f>
        <v>13807011</v>
      </c>
      <c r="EX86" s="8">
        <f>+MINVU_Mes_Corriente!EX86*SALUD_Mes_Constante!$EP$1</f>
        <v>16429292</v>
      </c>
      <c r="EY86" s="8">
        <f>+MINVU_Mes_Corriente!EY86*SALUD_Mes_Constante!$EP$1</f>
        <v>18472114</v>
      </c>
      <c r="EZ86" s="8">
        <f>+MINVU_Mes_Corriente!EZ86*SALUD_Mes_Constante!$EP$1</f>
        <v>20464638</v>
      </c>
      <c r="FA86" s="8">
        <f>+MINVU_Mes_Corriente!FA86*SALUD_Mes_Constante!$EP$1</f>
        <v>23883565</v>
      </c>
      <c r="FB86" s="9">
        <f t="shared" si="49"/>
        <v>23883565</v>
      </c>
      <c r="FC86" s="8">
        <f>+MINVU_Mes_Corriente!FC86*SALUD_Mes_Constante!$FC$1</f>
        <v>1405629</v>
      </c>
      <c r="FD86" s="8">
        <f>+MINVU_Mes_Corriente!FD86*SALUD_Mes_Constante!$FC$1</f>
        <v>2781911</v>
      </c>
      <c r="FE86" s="8">
        <f>+MINVU_Mes_Corriente!FE86*SALUD_Mes_Constante!$FC$1</f>
        <v>4021748</v>
      </c>
      <c r="FF86" s="8">
        <f>+MINVU_Mes_Corriente!FF86*SALUD_Mes_Constante!$FC$1</f>
        <v>4968047</v>
      </c>
      <c r="FG86" s="8">
        <f>+MINVU_Mes_Corriente!FG86*SALUD_Mes_Constante!$FC$1</f>
        <v>6444038</v>
      </c>
      <c r="FH86" s="8">
        <f>+MINVU_Mes_Corriente!FH86*SALUD_Mes_Constante!$FC$1</f>
        <v>8044713</v>
      </c>
      <c r="FI86" s="8">
        <f>+MINVU_Mes_Corriente!FI86*SALUD_Mes_Constante!$FC$1</f>
        <v>10105068</v>
      </c>
      <c r="FJ86" s="8"/>
      <c r="FK86" s="8"/>
      <c r="FL86" s="8"/>
      <c r="FM86" s="8"/>
      <c r="FN86" s="8"/>
      <c r="FO86" s="9">
        <f t="shared" si="50"/>
        <v>10105068</v>
      </c>
    </row>
    <row r="87" spans="2:171" ht="14.25" customHeight="1" x14ac:dyDescent="0.3">
      <c r="B87" s="7" t="s">
        <v>50</v>
      </c>
      <c r="C87" s="8">
        <f>+MINVU_Mes_Corriente!C87*SALUD_Mes_Constante!$C$1</f>
        <v>0</v>
      </c>
      <c r="D87" s="8">
        <f>+MINVU_Mes_Corriente!D87*SALUD_Mes_Constante!$C$1</f>
        <v>0</v>
      </c>
      <c r="E87" s="8">
        <f>+MINVU_Mes_Corriente!E87*SALUD_Mes_Constante!$C$1</f>
        <v>1150146.6246477831</v>
      </c>
      <c r="F87" s="8">
        <f>+MINVU_Mes_Corriente!F87*SALUD_Mes_Constante!$C$1</f>
        <v>1947044.6347323153</v>
      </c>
      <c r="G87" s="8">
        <f>+MINVU_Mes_Corriente!G87*SALUD_Mes_Constante!$C$1</f>
        <v>1982063.5746700284</v>
      </c>
      <c r="H87" s="8">
        <f>+MINVU_Mes_Corriente!H87*SALUD_Mes_Constante!$C$1</f>
        <v>1986652.3974492068</v>
      </c>
      <c r="I87" s="8">
        <f>+MINVU_Mes_Corriente!I87*SALUD_Mes_Constante!$C$1</f>
        <v>2030024.2263087649</v>
      </c>
      <c r="J87" s="8">
        <f>+MINVU_Mes_Corriente!J87*SALUD_Mes_Constante!$C$1</f>
        <v>2044258.9749369719</v>
      </c>
      <c r="K87" s="8">
        <f>+MINVU_Mes_Corriente!K87*SALUD_Mes_Constante!$C$1</f>
        <v>2106438.1717336499</v>
      </c>
      <c r="L87" s="8">
        <f>+MINVU_Mes_Corriente!L87*SALUD_Mes_Constante!$C$1</f>
        <v>2109486.0444905832</v>
      </c>
      <c r="M87" s="8">
        <f>+MINVU_Mes_Corriente!M87*SALUD_Mes_Constante!$C$1</f>
        <v>2109486.0444905832</v>
      </c>
      <c r="N87" s="8">
        <f>+MINVU_Mes_Corriente!N87*SALUD_Mes_Constante!$C$1</f>
        <v>2157657.3412427707</v>
      </c>
      <c r="O87" s="9">
        <f t="shared" si="38"/>
        <v>2157657.3412427707</v>
      </c>
      <c r="P87" s="8">
        <f>+MINVU_Mes_Corriente!P87*SALUD_Mes_Constante!$P$1</f>
        <v>0</v>
      </c>
      <c r="Q87" s="8">
        <f>+MINVU_Mes_Corriente!Q87*SALUD_Mes_Constante!$P$1</f>
        <v>0</v>
      </c>
      <c r="R87" s="8">
        <f>+MINVU_Mes_Corriente!R87*SALUD_Mes_Constante!$P$1</f>
        <v>26268.034948146033</v>
      </c>
      <c r="S87" s="8">
        <f>+MINVU_Mes_Corriente!S87*SALUD_Mes_Constante!$P$1</f>
        <v>106526.55973859919</v>
      </c>
      <c r="T87" s="8">
        <f>+MINVU_Mes_Corriente!T87*SALUD_Mes_Constante!$P$1</f>
        <v>176223.8536723966</v>
      </c>
      <c r="U87" s="8">
        <f>+MINVU_Mes_Corriente!U87*SALUD_Mes_Constante!$P$1</f>
        <v>200270.67736894437</v>
      </c>
      <c r="V87" s="8">
        <f>+MINVU_Mes_Corriente!V87*SALUD_Mes_Constante!$P$1</f>
        <v>542914.63190794131</v>
      </c>
      <c r="W87" s="8">
        <f>+MINVU_Mes_Corriente!W87*SALUD_Mes_Constante!$P$1</f>
        <v>938918.87938627612</v>
      </c>
      <c r="X87" s="8">
        <f>+MINVU_Mes_Corriente!X87*SALUD_Mes_Constante!$P$1</f>
        <v>1265155.983520386</v>
      </c>
      <c r="Y87" s="8">
        <f>+MINVU_Mes_Corriente!Y87*SALUD_Mes_Constante!$P$1</f>
        <v>1539096.0579627783</v>
      </c>
      <c r="Z87" s="8">
        <f>+MINVU_Mes_Corriente!Z87*SALUD_Mes_Constante!$P$1</f>
        <v>19909233.333712168</v>
      </c>
      <c r="AA87" s="8">
        <f>+MINVU_Mes_Corriente!AA87*SALUD_Mes_Constante!$P$1</f>
        <v>32589069.762466248</v>
      </c>
      <c r="AB87" s="9">
        <f t="shared" si="39"/>
        <v>32589069.762466248</v>
      </c>
      <c r="AC87" s="8">
        <f>+MINVU_Mes_Corriente!AC87*SALUD_Mes_Constante!$AC$1</f>
        <v>0</v>
      </c>
      <c r="AD87" s="8">
        <f>+MINVU_Mes_Corriente!AD87*SALUD_Mes_Constante!$AC$1</f>
        <v>899400.69138193387</v>
      </c>
      <c r="AE87" s="8">
        <f>+MINVU_Mes_Corriente!AE87*SALUD_Mes_Constante!$AC$1</f>
        <v>1565407.5736616405</v>
      </c>
      <c r="AF87" s="8">
        <f>+MINVU_Mes_Corriente!AF87*SALUD_Mes_Constante!$AC$1</f>
        <v>4040277.3108313736</v>
      </c>
      <c r="AG87" s="8">
        <f>+MINVU_Mes_Corriente!AG87*SALUD_Mes_Constante!$AC$1</f>
        <v>6594579.3249412086</v>
      </c>
      <c r="AH87" s="8">
        <f>+MINVU_Mes_Corriente!AH87*SALUD_Mes_Constante!$AC$1</f>
        <v>9127573.4475031123</v>
      </c>
      <c r="AI87" s="8">
        <f>+MINVU_Mes_Corriente!AI87*SALUD_Mes_Constante!$AC$1</f>
        <v>11229963.163923087</v>
      </c>
      <c r="AJ87" s="8">
        <f>+MINVU_Mes_Corriente!AJ87*SALUD_Mes_Constante!$AC$1</f>
        <v>15899990.085765665</v>
      </c>
      <c r="AK87" s="8">
        <f>+MINVU_Mes_Corriente!AK87*SALUD_Mes_Constante!$AC$1</f>
        <v>18650360.069165859</v>
      </c>
      <c r="AL87" s="8">
        <f>+MINVU_Mes_Corriente!AL87*SALUD_Mes_Constante!$AC$1</f>
        <v>24484523.649744086</v>
      </c>
      <c r="AM87" s="8">
        <f>+MINVU_Mes_Corriente!AM87*SALUD_Mes_Constante!$AC$1</f>
        <v>33442280.849356756</v>
      </c>
      <c r="AN87" s="8">
        <f>+MINVU_Mes_Corriente!AN87*SALUD_Mes_Constante!$AC$1</f>
        <v>47421262.794024073</v>
      </c>
      <c r="AO87" s="9">
        <f t="shared" si="40"/>
        <v>47421262.794024073</v>
      </c>
      <c r="AP87" s="8">
        <f>+MINVU_Mes_Corriente!AP87*SALUD_Mes_Constante!$AP$1</f>
        <v>0</v>
      </c>
      <c r="AQ87" s="8">
        <f>+MINVU_Mes_Corriente!AQ87*SALUD_Mes_Constante!$AP$1</f>
        <v>100001.05369944542</v>
      </c>
      <c r="AR87" s="8">
        <f>+MINVU_Mes_Corriente!AR87*SALUD_Mes_Constante!$AP$1</f>
        <v>5586684.1525767613</v>
      </c>
      <c r="AS87" s="8">
        <f>+MINVU_Mes_Corriente!AS87*SALUD_Mes_Constante!$AP$1</f>
        <v>9120271.9656431749</v>
      </c>
      <c r="AT87" s="8">
        <f>+MINVU_Mes_Corriente!AT87*SALUD_Mes_Constante!$AP$1</f>
        <v>12431828.32517246</v>
      </c>
      <c r="AU87" s="8">
        <f>+MINVU_Mes_Corriente!AU87*SALUD_Mes_Constante!$AP$1</f>
        <v>17675096.459894493</v>
      </c>
      <c r="AV87" s="8">
        <f>+MINVU_Mes_Corriente!AV87*SALUD_Mes_Constante!$AP$1</f>
        <v>23563632.60706073</v>
      </c>
      <c r="AW87" s="8">
        <f>+MINVU_Mes_Corriente!AW87*SALUD_Mes_Constante!$AP$1</f>
        <v>28225156.638171241</v>
      </c>
      <c r="AX87" s="8">
        <f>+MINVU_Mes_Corriente!AX87*SALUD_Mes_Constante!$AP$1</f>
        <v>31781574.810766939</v>
      </c>
      <c r="AY87" s="8">
        <f>+MINVU_Mes_Corriente!AY87*SALUD_Mes_Constante!$AP$1</f>
        <v>36260399.806032732</v>
      </c>
      <c r="AZ87" s="8">
        <f>+MINVU_Mes_Corriente!AZ87*SALUD_Mes_Constante!$AP$1</f>
        <v>36995190.671175435</v>
      </c>
      <c r="BA87" s="8">
        <f>+MINVU_Mes_Corriente!BA87*SALUD_Mes_Constante!$AP$1</f>
        <v>56707728.240227237</v>
      </c>
      <c r="BB87" s="9">
        <f t="shared" si="41"/>
        <v>56707728.240227237</v>
      </c>
      <c r="BC87" s="8">
        <f>+MINVU_Mes_Corriente!BC87*SALUD_Mes_Constante!$BC$1</f>
        <v>0</v>
      </c>
      <c r="BD87" s="8">
        <f>+MINVU_Mes_Corriente!BD87*SALUD_Mes_Constante!$BC$1</f>
        <v>0</v>
      </c>
      <c r="BE87" s="8">
        <f>+MINVU_Mes_Corriente!BE87*SALUD_Mes_Constante!$BC$1</f>
        <v>0</v>
      </c>
      <c r="BF87" s="8">
        <f>+MINVU_Mes_Corriente!BF87*SALUD_Mes_Constante!$BC$1</f>
        <v>8475322.5504417792</v>
      </c>
      <c r="BG87" s="8">
        <f>+MINVU_Mes_Corriente!BG87*SALUD_Mes_Constante!$BC$1</f>
        <v>12784395.458525652</v>
      </c>
      <c r="BH87" s="8">
        <f>+MINVU_Mes_Corriente!BH87*SALUD_Mes_Constante!$BC$1</f>
        <v>15843068.858763026</v>
      </c>
      <c r="BI87" s="8">
        <f>+MINVU_Mes_Corriente!BI87*SALUD_Mes_Constante!$BC$1</f>
        <v>19150531.731240939</v>
      </c>
      <c r="BJ87" s="8">
        <f>+MINVU_Mes_Corriente!BJ87*SALUD_Mes_Constante!$BC$1</f>
        <v>25712497.426612165</v>
      </c>
      <c r="BK87" s="8">
        <f>+MINVU_Mes_Corriente!BK87*SALUD_Mes_Constante!$BC$1</f>
        <v>28559670.670183312</v>
      </c>
      <c r="BL87" s="8">
        <f>+MINVU_Mes_Corriente!BL87*SALUD_Mes_Constante!$BC$1</f>
        <v>31608696.108400378</v>
      </c>
      <c r="BM87" s="8">
        <f>+MINVU_Mes_Corriente!BM87*SALUD_Mes_Constante!$BC$1</f>
        <v>40066878.253197953</v>
      </c>
      <c r="BN87" s="8">
        <f>+MINVU_Mes_Corriente!BN87*SALUD_Mes_Constante!$BC$1</f>
        <v>48974777.036265343</v>
      </c>
      <c r="BO87" s="9">
        <f t="shared" si="42"/>
        <v>48974777.036265343</v>
      </c>
      <c r="BP87" s="8">
        <f>+MINVU_Mes_Corriente!BP87*SALUD_Mes_Constante!$BP$1</f>
        <v>0</v>
      </c>
      <c r="BQ87" s="8">
        <f>+MINVU_Mes_Corriente!BQ87*SALUD_Mes_Constante!$BP$1</f>
        <v>0</v>
      </c>
      <c r="BR87" s="8">
        <f>+MINVU_Mes_Corriente!BR87*SALUD_Mes_Constante!$BP$1</f>
        <v>2208386.6227912935</v>
      </c>
      <c r="BS87" s="8">
        <f>+MINVU_Mes_Corriente!BS87*SALUD_Mes_Constante!$BP$1</f>
        <v>3506142.2081946228</v>
      </c>
      <c r="BT87" s="8">
        <f>+MINVU_Mes_Corriente!BT87*SALUD_Mes_Constante!$BP$1</f>
        <v>11393920.988988478</v>
      </c>
      <c r="BU87" s="8">
        <f>+MINVU_Mes_Corriente!BU87*SALUD_Mes_Constante!$BP$1</f>
        <v>17152612.683994882</v>
      </c>
      <c r="BV87" s="8">
        <f>+MINVU_Mes_Corriente!BV87*SALUD_Mes_Constante!$BP$1</f>
        <v>25622653.533418696</v>
      </c>
      <c r="BW87" s="8">
        <f>+MINVU_Mes_Corriente!BW87*SALUD_Mes_Constante!$BP$1</f>
        <v>29006565.838156212</v>
      </c>
      <c r="BX87" s="8">
        <f>+MINVU_Mes_Corriente!BX87*SALUD_Mes_Constante!$BP$1</f>
        <v>31925875.524199747</v>
      </c>
      <c r="BY87" s="8">
        <f>+MINVU_Mes_Corriente!BY87*SALUD_Mes_Constante!$BP$1</f>
        <v>36168751.896798983</v>
      </c>
      <c r="BZ87" s="8">
        <f>+MINVU_Mes_Corriente!BZ87*SALUD_Mes_Constante!$BP$1</f>
        <v>41823898.40742638</v>
      </c>
      <c r="CA87" s="8">
        <f>+MINVU_Mes_Corriente!CA87*SALUD_Mes_Constante!$BP$1</f>
        <v>57883645.28604354</v>
      </c>
      <c r="CB87" s="9">
        <f t="shared" si="43"/>
        <v>57883645.28604354</v>
      </c>
      <c r="CC87" s="8">
        <f>+MINVU_Mes_Corriente!CC87*SALUD_Mes_Constante!$CC$1</f>
        <v>0</v>
      </c>
      <c r="CD87" s="8">
        <f>+MINVU_Mes_Corriente!CD87*SALUD_Mes_Constante!$CC$1</f>
        <v>742080.93323386798</v>
      </c>
      <c r="CE87" s="8">
        <f>+MINVU_Mes_Corriente!CE87*SALUD_Mes_Constante!$CC$1</f>
        <v>6709199.7538232012</v>
      </c>
      <c r="CF87" s="8">
        <f>+MINVU_Mes_Corriente!CF87*SALUD_Mes_Constante!$CC$1</f>
        <v>11599892.260350617</v>
      </c>
      <c r="CG87" s="8">
        <f>+MINVU_Mes_Corriente!CG87*SALUD_Mes_Constante!$CC$1</f>
        <v>16023269.028720628</v>
      </c>
      <c r="CH87" s="8">
        <f>+MINVU_Mes_Corriente!CH87*SALUD_Mes_Constante!$CC$1</f>
        <v>18851779.9000373</v>
      </c>
      <c r="CI87" s="8">
        <f>+MINVU_Mes_Corriente!CI87*SALUD_Mes_Constante!$CC$1</f>
        <v>21721712.578142487</v>
      </c>
      <c r="CJ87" s="8">
        <f>+MINVU_Mes_Corriente!CJ87*SALUD_Mes_Constante!$CC$1</f>
        <v>21851483.789630737</v>
      </c>
      <c r="CK87" s="8">
        <f>+MINVU_Mes_Corriente!CK87*SALUD_Mes_Constante!$CC$1</f>
        <v>26966422.155911975</v>
      </c>
      <c r="CL87" s="8">
        <f>+MINVU_Mes_Corriente!CL87*SALUD_Mes_Constante!$CC$1</f>
        <v>27795845.883625515</v>
      </c>
      <c r="CM87" s="8">
        <f>+MINVU_Mes_Corriente!CM87*SALUD_Mes_Constante!$CC$1</f>
        <v>32031843.721745621</v>
      </c>
      <c r="CN87" s="8">
        <f>+MINVU_Mes_Corriente!CN87*SALUD_Mes_Constante!$CC$1</f>
        <v>44406316.433420368</v>
      </c>
      <c r="CO87" s="9">
        <f t="shared" si="44"/>
        <v>44406316.433420368</v>
      </c>
      <c r="CP87" s="8">
        <f>+MINVU_Mes_Corriente!CP87*SALUD_Mes_Constante!$CP$1</f>
        <v>0</v>
      </c>
      <c r="CQ87" s="8">
        <f>+MINVU_Mes_Corriente!CQ87*SALUD_Mes_Constante!$CP$1</f>
        <v>2093505.2561484915</v>
      </c>
      <c r="CR87" s="8">
        <f>+MINVU_Mes_Corriente!CR87*SALUD_Mes_Constante!$CP$1</f>
        <v>5866209.9605568433</v>
      </c>
      <c r="CS87" s="8">
        <f>+MINVU_Mes_Corriente!CS87*SALUD_Mes_Constante!$CP$1</f>
        <v>7499336.4187935023</v>
      </c>
      <c r="CT87" s="8">
        <f>+MINVU_Mes_Corriente!CT87*SALUD_Mes_Constante!$CP$1</f>
        <v>9056869.4067285359</v>
      </c>
      <c r="CU87" s="8">
        <f>+MINVU_Mes_Corriente!CU87*SALUD_Mes_Constante!$CP$1</f>
        <v>10582414.058004638</v>
      </c>
      <c r="CV87" s="8">
        <f>+MINVU_Mes_Corriente!CV87*SALUD_Mes_Constante!$CP$1</f>
        <v>12075326.4737819</v>
      </c>
      <c r="CW87" s="8">
        <f>+MINVU_Mes_Corriente!CW87*SALUD_Mes_Constante!$CP$1</f>
        <v>12774097.409512758</v>
      </c>
      <c r="CX87" s="8">
        <f>+MINVU_Mes_Corriente!CX87*SALUD_Mes_Constante!$CP$1</f>
        <v>12855158.949883988</v>
      </c>
      <c r="CY87" s="8">
        <f>+MINVU_Mes_Corriente!CY87*SALUD_Mes_Constante!$CP$1</f>
        <v>14785032.779582364</v>
      </c>
      <c r="CZ87" s="8">
        <f>+MINVU_Mes_Corriente!CZ87*SALUD_Mes_Constante!$CP$1</f>
        <v>16500518.716009278</v>
      </c>
      <c r="DA87" s="8">
        <f>+MINVU_Mes_Corriente!DA87*SALUD_Mes_Constante!$CP$1</f>
        <v>23560485.437819019</v>
      </c>
      <c r="DB87" s="9">
        <f t="shared" si="45"/>
        <v>23560485.437819019</v>
      </c>
      <c r="DC87" s="8">
        <f>+MINVU_Mes_Corriente!DC87*SALUD_Mes_Constante!$DC$1</f>
        <v>0</v>
      </c>
      <c r="DD87" s="8">
        <f>+MINVU_Mes_Corriente!DD87*SALUD_Mes_Constante!$DC$1</f>
        <v>0</v>
      </c>
      <c r="DE87" s="8">
        <f>+MINVU_Mes_Corriente!DE87*SALUD_Mes_Constante!$DC$1</f>
        <v>14185.479477420025</v>
      </c>
      <c r="DF87" s="8">
        <f>+MINVU_Mes_Corriente!DF87*SALUD_Mes_Constante!$DC$1</f>
        <v>285192.09073140635</v>
      </c>
      <c r="DG87" s="8">
        <f>+MINVU_Mes_Corriente!DG87*SALUD_Mes_Constante!$DC$1</f>
        <v>285192.09073140635</v>
      </c>
      <c r="DH87" s="8">
        <f>+MINVU_Mes_Corriente!DH87*SALUD_Mes_Constante!$DC$1</f>
        <v>431783.24637383007</v>
      </c>
      <c r="DI87" s="8">
        <f>+MINVU_Mes_Corriente!DI87*SALUD_Mes_Constante!$DC$1</f>
        <v>791645.51609916717</v>
      </c>
      <c r="DJ87" s="8">
        <f>+MINVU_Mes_Corriente!DJ87*SALUD_Mes_Constante!$DC$1</f>
        <v>822345.31694270181</v>
      </c>
      <c r="DK87" s="8">
        <f>+MINVU_Mes_Corriente!DK87*SALUD_Mes_Constante!$DC$1</f>
        <v>2060006.7651476196</v>
      </c>
      <c r="DL87" s="8">
        <f>+MINVU_Mes_Corriente!DL87*SALUD_Mes_Constante!$DC$1</f>
        <v>2355564.0006172215</v>
      </c>
      <c r="DM87" s="8">
        <f>+MINVU_Mes_Corriente!DM87*SALUD_Mes_Constante!$DC$1</f>
        <v>3636949.6800740683</v>
      </c>
      <c r="DN87" s="8">
        <f>+MINVU_Mes_Corriente!DN87*SALUD_Mes_Constante!$DC$1</f>
        <v>6162133.620820906</v>
      </c>
      <c r="DO87" s="9">
        <f t="shared" si="46"/>
        <v>6162133.620820906</v>
      </c>
      <c r="DP87" s="8">
        <f>+MINVU_Mes_Corriente!DP87*SALUD_Mes_Constante!$DP$1</f>
        <v>0</v>
      </c>
      <c r="DQ87" s="8">
        <f>+MINVU_Mes_Corriente!DQ87*SALUD_Mes_Constante!$DP$1</f>
        <v>0</v>
      </c>
      <c r="DR87" s="8">
        <f>+MINVU_Mes_Corriente!DR87*SALUD_Mes_Constante!$DP$1</f>
        <v>0</v>
      </c>
      <c r="DS87" s="8">
        <f>+MINVU_Mes_Corriente!DS87*SALUD_Mes_Constante!$DP$1</f>
        <v>0</v>
      </c>
      <c r="DT87" s="8">
        <f>+MINVU_Mes_Corriente!DT87*SALUD_Mes_Constante!$DP$1</f>
        <v>0</v>
      </c>
      <c r="DU87" s="8">
        <f>+MINVU_Mes_Corriente!DU87*SALUD_Mes_Constante!$DP$1</f>
        <v>122437.37885985749</v>
      </c>
      <c r="DV87" s="8">
        <f>+MINVU_Mes_Corriente!DV87*SALUD_Mes_Constante!$DP$1</f>
        <v>219899.80760095015</v>
      </c>
      <c r="DW87" s="8">
        <f>+MINVU_Mes_Corriente!DW87*SALUD_Mes_Constante!$DP$1</f>
        <v>627026.31413301674</v>
      </c>
      <c r="DX87" s="8">
        <f>+MINVU_Mes_Corriente!DX87*SALUD_Mes_Constante!$DP$1</f>
        <v>627145.26306413312</v>
      </c>
      <c r="DY87" s="8">
        <f>+MINVU_Mes_Corriente!DY87*SALUD_Mes_Constante!$DP$1</f>
        <v>790271.82719714975</v>
      </c>
      <c r="DZ87" s="8">
        <f>+MINVU_Mes_Corriente!DZ87*SALUD_Mes_Constante!$DP$1</f>
        <v>1744533.1389548695</v>
      </c>
      <c r="EA87" s="8">
        <f>+MINVU_Mes_Corriente!EA87*SALUD_Mes_Constante!$DP$1</f>
        <v>2395748.2589073638</v>
      </c>
      <c r="EB87" s="9">
        <f t="shared" si="47"/>
        <v>2395748.2589073638</v>
      </c>
      <c r="EC87" s="8">
        <f>+MINVU_Mes_Corriente!EC87*SALUD_Mes_Constante!$EC$1</f>
        <v>0</v>
      </c>
      <c r="ED87" s="8">
        <f>+MINVU_Mes_Corriente!ED87*SALUD_Mes_Constante!$EC$1</f>
        <v>0</v>
      </c>
      <c r="EE87" s="8">
        <f>+MINVU_Mes_Corriente!EE87*SALUD_Mes_Constante!$EC$1</f>
        <v>187965.06135201661</v>
      </c>
      <c r="EF87" s="8">
        <f>+MINVU_Mes_Corriente!EF87*SALUD_Mes_Constante!$EC$1</f>
        <v>473265.86574512388</v>
      </c>
      <c r="EG87" s="8">
        <f>+MINVU_Mes_Corriente!EG87*SALUD_Mes_Constante!$EC$1</f>
        <v>599989.67297860235</v>
      </c>
      <c r="EH87" s="8">
        <f>+MINVU_Mes_Corriente!EH87*SALUD_Mes_Constante!$EC$1</f>
        <v>709211.3978413177</v>
      </c>
      <c r="EI87" s="8">
        <f>+MINVU_Mes_Corriente!EI87*SALUD_Mes_Constante!$EC$1</f>
        <v>1119932.5858738872</v>
      </c>
      <c r="EJ87" s="8">
        <f>+MINVU_Mes_Corriente!EJ87*SALUD_Mes_Constante!$EC$1</f>
        <v>1243422.6612384014</v>
      </c>
      <c r="EK87" s="8">
        <f>+MINVU_Mes_Corriente!EK87*SALUD_Mes_Constante!$EC$1</f>
        <v>1359270.1227040328</v>
      </c>
      <c r="EL87" s="8">
        <f>+MINVU_Mes_Corriente!EL87*SALUD_Mes_Constante!$EC$1</f>
        <v>1495714.7803446313</v>
      </c>
      <c r="EM87" s="8">
        <f>+MINVU_Mes_Corriente!EM87*SALUD_Mes_Constante!$EC$1</f>
        <v>1562566.9626964584</v>
      </c>
      <c r="EN87" s="8">
        <f>+MINVU_Mes_Corriente!EN87*SALUD_Mes_Constante!$EC$1</f>
        <v>4412323.6888846792</v>
      </c>
      <c r="EO87" s="9">
        <f t="shared" si="48"/>
        <v>4412323.6888846792</v>
      </c>
      <c r="EP87" s="8">
        <f>+MINVU_Mes_Corriente!EP87*SALUD_Mes_Constante!$EP$1</f>
        <v>0</v>
      </c>
      <c r="EQ87" s="8">
        <f>+MINVU_Mes_Corriente!EQ87*SALUD_Mes_Constante!$EP$1</f>
        <v>0</v>
      </c>
      <c r="ER87" s="8">
        <f>+MINVU_Mes_Corriente!ER87*SALUD_Mes_Constante!$EP$1</f>
        <v>732208</v>
      </c>
      <c r="ES87" s="8">
        <f>+MINVU_Mes_Corriente!ES87*SALUD_Mes_Constante!$EP$1</f>
        <v>767674</v>
      </c>
      <c r="ET87" s="8">
        <f>+MINVU_Mes_Corriente!ET87*SALUD_Mes_Constante!$EP$1</f>
        <v>1224165</v>
      </c>
      <c r="EU87" s="8">
        <f>+MINVU_Mes_Corriente!EU87*SALUD_Mes_Constante!$EP$1</f>
        <v>2555008</v>
      </c>
      <c r="EV87" s="8">
        <f>+MINVU_Mes_Corriente!EV87*SALUD_Mes_Constante!$EP$1</f>
        <v>3699754</v>
      </c>
      <c r="EW87" s="8">
        <f>+MINVU_Mes_Corriente!EW87*SALUD_Mes_Constante!$EP$1</f>
        <v>5572712</v>
      </c>
      <c r="EX87" s="8">
        <f>+MINVU_Mes_Corriente!EX87*SALUD_Mes_Constante!$EP$1</f>
        <v>8721988</v>
      </c>
      <c r="EY87" s="8">
        <f>+MINVU_Mes_Corriente!EY87*SALUD_Mes_Constante!$EP$1</f>
        <v>8834841</v>
      </c>
      <c r="EZ87" s="8">
        <f>+MINVU_Mes_Corriente!EZ87*SALUD_Mes_Constante!$EP$1</f>
        <v>12002178</v>
      </c>
      <c r="FA87" s="8">
        <f>+MINVU_Mes_Corriente!FA87*SALUD_Mes_Constante!$EP$1</f>
        <v>22939144</v>
      </c>
      <c r="FB87" s="9">
        <f t="shared" si="49"/>
        <v>22939144</v>
      </c>
      <c r="FC87" s="8">
        <f>+MINVU_Mes_Corriente!FC87*SALUD_Mes_Constante!$FC$1</f>
        <v>0</v>
      </c>
      <c r="FD87" s="8">
        <f>+MINVU_Mes_Corriente!FD87*SALUD_Mes_Constante!$FC$1</f>
        <v>0</v>
      </c>
      <c r="FE87" s="8">
        <f>+MINVU_Mes_Corriente!FE87*SALUD_Mes_Constante!$FC$1</f>
        <v>2638785</v>
      </c>
      <c r="FF87" s="8">
        <f>+MINVU_Mes_Corriente!FF87*SALUD_Mes_Constante!$FC$1</f>
        <v>4892743</v>
      </c>
      <c r="FG87" s="8">
        <f>+MINVU_Mes_Corriente!FG87*SALUD_Mes_Constante!$FC$1</f>
        <v>5759141</v>
      </c>
      <c r="FH87" s="8">
        <f>+MINVU_Mes_Corriente!FH87*SALUD_Mes_Constante!$FC$1</f>
        <v>8450936</v>
      </c>
      <c r="FI87" s="8">
        <f>+MINVU_Mes_Corriente!FI87*SALUD_Mes_Constante!$FC$1</f>
        <v>11836020</v>
      </c>
      <c r="FJ87" s="8"/>
      <c r="FK87" s="8"/>
      <c r="FL87" s="8"/>
      <c r="FM87" s="8"/>
      <c r="FN87" s="8"/>
      <c r="FO87" s="9">
        <f t="shared" si="50"/>
        <v>11836020</v>
      </c>
    </row>
    <row r="88" spans="2:171" ht="14.25" customHeight="1" x14ac:dyDescent="0.3">
      <c r="B88" s="7" t="s">
        <v>51</v>
      </c>
      <c r="C88" s="8">
        <f>+MINVU_Mes_Corriente!C88*SALUD_Mes_Constante!$C$1</f>
        <v>0</v>
      </c>
      <c r="D88" s="8">
        <f>+MINVU_Mes_Corriente!D88*SALUD_Mes_Constante!$C$1</f>
        <v>0</v>
      </c>
      <c r="E88" s="8">
        <f>+MINVU_Mes_Corriente!E88*SALUD_Mes_Constante!$C$1</f>
        <v>326177.47679074603</v>
      </c>
      <c r="F88" s="8">
        <f>+MINVU_Mes_Corriente!F88*SALUD_Mes_Constante!$C$1</f>
        <v>464689.60166098183</v>
      </c>
      <c r="G88" s="8">
        <f>+MINVU_Mes_Corriente!G88*SALUD_Mes_Constante!$C$1</f>
        <v>972153.12412872619</v>
      </c>
      <c r="H88" s="8">
        <f>+MINVU_Mes_Corriente!H88*SALUD_Mes_Constante!$C$1</f>
        <v>1207937.9216965744</v>
      </c>
      <c r="I88" s="8">
        <f>+MINVU_Mes_Corriente!I88*SALUD_Mes_Constante!$C$1</f>
        <v>1417899.2487023582</v>
      </c>
      <c r="J88" s="8">
        <f>+MINVU_Mes_Corriente!J88*SALUD_Mes_Constante!$C$1</f>
        <v>1436317.7333531072</v>
      </c>
      <c r="K88" s="8">
        <f>+MINVU_Mes_Corriente!K88*SALUD_Mes_Constante!$C$1</f>
        <v>1451181.1766276141</v>
      </c>
      <c r="L88" s="8">
        <f>+MINVU_Mes_Corriente!L88*SALUD_Mes_Constante!$C$1</f>
        <v>1892944.4882099959</v>
      </c>
      <c r="M88" s="8">
        <f>+MINVU_Mes_Corriente!M88*SALUD_Mes_Constante!$C$1</f>
        <v>2056484.493252262</v>
      </c>
      <c r="N88" s="8">
        <f>+MINVU_Mes_Corriente!N88*SALUD_Mes_Constante!$C$1</f>
        <v>3004419.910722231</v>
      </c>
      <c r="O88" s="9">
        <f t="shared" si="38"/>
        <v>3004419.910722231</v>
      </c>
      <c r="P88" s="8">
        <f>+MINVU_Mes_Corriente!P88*SALUD_Mes_Constante!$P$1</f>
        <v>0</v>
      </c>
      <c r="Q88" s="8">
        <f>+MINVU_Mes_Corriente!Q88*SALUD_Mes_Constante!$P$1</f>
        <v>0</v>
      </c>
      <c r="R88" s="8">
        <f>+MINVU_Mes_Corriente!R88*SALUD_Mes_Constante!$P$1</f>
        <v>77875.883790311098</v>
      </c>
      <c r="S88" s="8">
        <f>+MINVU_Mes_Corriente!S88*SALUD_Mes_Constante!$P$1</f>
        <v>647297.59085097292</v>
      </c>
      <c r="T88" s="8">
        <f>+MINVU_Mes_Corriente!T88*SALUD_Mes_Constante!$P$1</f>
        <v>1063773.9244210823</v>
      </c>
      <c r="U88" s="8">
        <f>+MINVU_Mes_Corriente!U88*SALUD_Mes_Constante!$P$1</f>
        <v>1472619.5979542544</v>
      </c>
      <c r="V88" s="8">
        <f>+MINVU_Mes_Corriente!V88*SALUD_Mes_Constante!$P$1</f>
        <v>1691313.4453757629</v>
      </c>
      <c r="W88" s="8">
        <f>+MINVU_Mes_Corriente!W88*SALUD_Mes_Constante!$P$1</f>
        <v>2343191.6053416668</v>
      </c>
      <c r="X88" s="8">
        <f>+MINVU_Mes_Corriente!X88*SALUD_Mes_Constante!$P$1</f>
        <v>3477074.1591135091</v>
      </c>
      <c r="Y88" s="8">
        <f>+MINVU_Mes_Corriente!Y88*SALUD_Mes_Constante!$P$1</f>
        <v>3628628.753231992</v>
      </c>
      <c r="Z88" s="8">
        <f>+MINVU_Mes_Corriente!Z88*SALUD_Mes_Constante!$P$1</f>
        <v>5764746.3486290649</v>
      </c>
      <c r="AA88" s="8">
        <f>+MINVU_Mes_Corriente!AA88*SALUD_Mes_Constante!$P$1</f>
        <v>10921099.675806219</v>
      </c>
      <c r="AB88" s="9">
        <f t="shared" si="39"/>
        <v>10921099.675806219</v>
      </c>
      <c r="AC88" s="8">
        <f>+MINVU_Mes_Corriente!AC88*SALUD_Mes_Constante!$AC$1</f>
        <v>0</v>
      </c>
      <c r="AD88" s="8">
        <f>+MINVU_Mes_Corriente!AD88*SALUD_Mes_Constante!$AC$1</f>
        <v>0</v>
      </c>
      <c r="AE88" s="8">
        <f>+MINVU_Mes_Corriente!AE88*SALUD_Mes_Constante!$AC$1</f>
        <v>0</v>
      </c>
      <c r="AF88" s="8">
        <f>+MINVU_Mes_Corriente!AF88*SALUD_Mes_Constante!$AC$1</f>
        <v>1048654.1740213032</v>
      </c>
      <c r="AG88" s="8">
        <f>+MINVU_Mes_Corriente!AG88*SALUD_Mes_Constante!$AC$1</f>
        <v>1113484.6960852123</v>
      </c>
      <c r="AH88" s="8">
        <f>+MINVU_Mes_Corriente!AH88*SALUD_Mes_Constante!$AC$1</f>
        <v>2355787.0681975377</v>
      </c>
      <c r="AI88" s="8">
        <f>+MINVU_Mes_Corriente!AI88*SALUD_Mes_Constante!$AC$1</f>
        <v>3624268.6139161708</v>
      </c>
      <c r="AJ88" s="8">
        <f>+MINVU_Mes_Corriente!AJ88*SALUD_Mes_Constante!$AC$1</f>
        <v>5184810.9511689031</v>
      </c>
      <c r="AK88" s="8">
        <f>+MINVU_Mes_Corriente!AK88*SALUD_Mes_Constante!$AC$1</f>
        <v>6138918.7245815462</v>
      </c>
      <c r="AL88" s="8">
        <f>+MINVU_Mes_Corriente!AL88*SALUD_Mes_Constante!$AC$1</f>
        <v>6456900.238207221</v>
      </c>
      <c r="AM88" s="8">
        <f>+MINVU_Mes_Corriente!AM88*SALUD_Mes_Constante!$AC$1</f>
        <v>7543422.8490800941</v>
      </c>
      <c r="AN88" s="8">
        <f>+MINVU_Mes_Corriente!AN88*SALUD_Mes_Constante!$AC$1</f>
        <v>9315937.7479596063</v>
      </c>
      <c r="AO88" s="9">
        <f t="shared" si="40"/>
        <v>9315937.7479596063</v>
      </c>
      <c r="AP88" s="8">
        <f>+MINVU_Mes_Corriente!AP88*SALUD_Mes_Constante!$AP$1</f>
        <v>0</v>
      </c>
      <c r="AQ88" s="8">
        <f>+MINVU_Mes_Corriente!AQ88*SALUD_Mes_Constante!$AP$1</f>
        <v>0</v>
      </c>
      <c r="AR88" s="8">
        <f>+MINVU_Mes_Corriente!AR88*SALUD_Mes_Constante!$AP$1</f>
        <v>0</v>
      </c>
      <c r="AS88" s="8">
        <f>+MINVU_Mes_Corriente!AS88*SALUD_Mes_Constante!$AP$1</f>
        <v>220073.25659407547</v>
      </c>
      <c r="AT88" s="8">
        <f>+MINVU_Mes_Corriente!AT88*SALUD_Mes_Constante!$AP$1</f>
        <v>576979.40403083991</v>
      </c>
      <c r="AU88" s="8">
        <f>+MINVU_Mes_Corriente!AU88*SALUD_Mes_Constante!$AP$1</f>
        <v>838959.55309076153</v>
      </c>
      <c r="AV88" s="8">
        <f>+MINVU_Mes_Corriente!AV88*SALUD_Mes_Constante!$AP$1</f>
        <v>917554.92790477478</v>
      </c>
      <c r="AW88" s="8">
        <f>+MINVU_Mes_Corriente!AW88*SALUD_Mes_Constante!$AP$1</f>
        <v>1268391.4037603138</v>
      </c>
      <c r="AX88" s="8">
        <f>+MINVU_Mes_Corriente!AX88*SALUD_Mes_Constante!$AP$1</f>
        <v>1435902.2207493575</v>
      </c>
      <c r="AY88" s="8">
        <f>+MINVU_Mes_Corriente!AY88*SALUD_Mes_Constante!$AP$1</f>
        <v>1828960.3784661165</v>
      </c>
      <c r="AZ88" s="8">
        <f>+MINVU_Mes_Corriente!AZ88*SALUD_Mes_Constante!$AP$1</f>
        <v>2286498.6362775597</v>
      </c>
      <c r="BA88" s="8">
        <f>+MINVU_Mes_Corriente!BA88*SALUD_Mes_Constante!$AP$1</f>
        <v>3415472.3292303528</v>
      </c>
      <c r="BB88" s="9">
        <f t="shared" si="41"/>
        <v>3415472.3292303528</v>
      </c>
      <c r="BC88" s="8">
        <f>+MINVU_Mes_Corriente!BC88*SALUD_Mes_Constante!$BC$1</f>
        <v>0</v>
      </c>
      <c r="BD88" s="8">
        <f>+MINVU_Mes_Corriente!BD88*SALUD_Mes_Constante!$BC$1</f>
        <v>0</v>
      </c>
      <c r="BE88" s="8">
        <f>+MINVU_Mes_Corriente!BE88*SALUD_Mes_Constante!$BC$1</f>
        <v>0</v>
      </c>
      <c r="BF88" s="8">
        <f>+MINVU_Mes_Corriente!BF88*SALUD_Mes_Constante!$BC$1</f>
        <v>0</v>
      </c>
      <c r="BG88" s="8">
        <f>+MINVU_Mes_Corriente!BG88*SALUD_Mes_Constante!$BC$1</f>
        <v>3538682.5644204151</v>
      </c>
      <c r="BH88" s="8">
        <f>+MINVU_Mes_Corriente!BH88*SALUD_Mes_Constante!$BC$1</f>
        <v>4618456.0772781232</v>
      </c>
      <c r="BI88" s="8">
        <f>+MINVU_Mes_Corriente!BI88*SALUD_Mes_Constante!$BC$1</f>
        <v>5842366.9152050652</v>
      </c>
      <c r="BJ88" s="8">
        <f>+MINVU_Mes_Corriente!BJ88*SALUD_Mes_Constante!$BC$1</f>
        <v>7802283.5439799568</v>
      </c>
      <c r="BK88" s="8">
        <f>+MINVU_Mes_Corriente!BK88*SALUD_Mes_Constante!$BC$1</f>
        <v>7889837.0702888062</v>
      </c>
      <c r="BL88" s="8">
        <f>+MINVU_Mes_Corriente!BL88*SALUD_Mes_Constante!$BC$1</f>
        <v>8034752.4568112902</v>
      </c>
      <c r="BM88" s="8">
        <f>+MINVU_Mes_Corriente!BM88*SALUD_Mes_Constante!$BC$1</f>
        <v>8278232.3800606644</v>
      </c>
      <c r="BN88" s="8">
        <f>+MINVU_Mes_Corriente!BN88*SALUD_Mes_Constante!$BC$1</f>
        <v>22702702.135038909</v>
      </c>
      <c r="BO88" s="9">
        <f t="shared" si="42"/>
        <v>22702702.135038909</v>
      </c>
      <c r="BP88" s="8">
        <f>+MINVU_Mes_Corriente!BP88*SALUD_Mes_Constante!$BP$1</f>
        <v>0</v>
      </c>
      <c r="BQ88" s="8">
        <f>+MINVU_Mes_Corriente!BQ88*SALUD_Mes_Constante!$BP$1</f>
        <v>0</v>
      </c>
      <c r="BR88" s="8">
        <f>+MINVU_Mes_Corriente!BR88*SALUD_Mes_Constante!$BP$1</f>
        <v>1680967.1984635084</v>
      </c>
      <c r="BS88" s="8">
        <f>+MINVU_Mes_Corriente!BS88*SALUD_Mes_Constante!$BP$1</f>
        <v>5527737.5992317544</v>
      </c>
      <c r="BT88" s="8">
        <f>+MINVU_Mes_Corriente!BT88*SALUD_Mes_Constante!$BP$1</f>
        <v>10376527.123175418</v>
      </c>
      <c r="BU88" s="8">
        <f>+MINVU_Mes_Corriente!BU88*SALUD_Mes_Constante!$BP$1</f>
        <v>12264205.567989757</v>
      </c>
      <c r="BV88" s="8">
        <f>+MINVU_Mes_Corriente!BV88*SALUD_Mes_Constante!$BP$1</f>
        <v>13930170.151344432</v>
      </c>
      <c r="BW88" s="8">
        <f>+MINVU_Mes_Corriente!BW88*SALUD_Mes_Constante!$BP$1</f>
        <v>14209332.948783612</v>
      </c>
      <c r="BX88" s="8">
        <f>+MINVU_Mes_Corriente!BX88*SALUD_Mes_Constante!$BP$1</f>
        <v>14803259.676568504</v>
      </c>
      <c r="BY88" s="8">
        <f>+MINVU_Mes_Corriente!BY88*SALUD_Mes_Constante!$BP$1</f>
        <v>17857794.351088349</v>
      </c>
      <c r="BZ88" s="8">
        <f>+MINVU_Mes_Corriente!BZ88*SALUD_Mes_Constante!$BP$1</f>
        <v>20142850.436619721</v>
      </c>
      <c r="CA88" s="8">
        <f>+MINVU_Mes_Corriente!CA88*SALUD_Mes_Constante!$BP$1</f>
        <v>32015439.345710631</v>
      </c>
      <c r="CB88" s="9">
        <f t="shared" si="43"/>
        <v>32015439.345710631</v>
      </c>
      <c r="CC88" s="8">
        <f>+MINVU_Mes_Corriente!CC88*SALUD_Mes_Constante!$CC$1</f>
        <v>0</v>
      </c>
      <c r="CD88" s="8">
        <f>+MINVU_Mes_Corriente!CD88*SALUD_Mes_Constante!$CC$1</f>
        <v>0</v>
      </c>
      <c r="CE88" s="8">
        <f>+MINVU_Mes_Corriente!CE88*SALUD_Mes_Constante!$CC$1</f>
        <v>1999182.2349869453</v>
      </c>
      <c r="CF88" s="8">
        <f>+MINVU_Mes_Corriente!CF88*SALUD_Mes_Constante!$CC$1</f>
        <v>6446373.9612085046</v>
      </c>
      <c r="CG88" s="8">
        <f>+MINVU_Mes_Corriente!CG88*SALUD_Mes_Constante!$CC$1</f>
        <v>9107468.3006340917</v>
      </c>
      <c r="CH88" s="8">
        <f>+MINVU_Mes_Corriente!CH88*SALUD_Mes_Constante!$CC$1</f>
        <v>15031421.066766134</v>
      </c>
      <c r="CI88" s="8">
        <f>+MINVU_Mes_Corriente!CI88*SALUD_Mes_Constante!$CC$1</f>
        <v>15512620.146960091</v>
      </c>
      <c r="CJ88" s="8">
        <f>+MINVU_Mes_Corriente!CJ88*SALUD_Mes_Constante!$CC$1</f>
        <v>17206709.82767624</v>
      </c>
      <c r="CK88" s="8">
        <f>+MINVU_Mes_Corriente!CK88*SALUD_Mes_Constante!$CC$1</f>
        <v>24642474.317791872</v>
      </c>
      <c r="CL88" s="8">
        <f>+MINVU_Mes_Corriente!CL88*SALUD_Mes_Constante!$CC$1</f>
        <v>25715592.810145471</v>
      </c>
      <c r="CM88" s="8">
        <f>+MINVU_Mes_Corriente!CM88*SALUD_Mes_Constante!$CC$1</f>
        <v>33240001.488250654</v>
      </c>
      <c r="CN88" s="8">
        <f>+MINVU_Mes_Corriente!CN88*SALUD_Mes_Constante!$CC$1</f>
        <v>48428264.925027981</v>
      </c>
      <c r="CO88" s="9">
        <f t="shared" si="44"/>
        <v>48428264.925027981</v>
      </c>
      <c r="CP88" s="8">
        <f>+MINVU_Mes_Corriente!CP88*SALUD_Mes_Constante!$CP$1</f>
        <v>0</v>
      </c>
      <c r="CQ88" s="8">
        <f>+MINVU_Mes_Corriente!CQ88*SALUD_Mes_Constante!$CP$1</f>
        <v>0</v>
      </c>
      <c r="CR88" s="8">
        <f>+MINVU_Mes_Corriente!CR88*SALUD_Mes_Constante!$CP$1</f>
        <v>7795524.8150812052</v>
      </c>
      <c r="CS88" s="8">
        <f>+MINVU_Mes_Corriente!CS88*SALUD_Mes_Constante!$CP$1</f>
        <v>11287431.319489557</v>
      </c>
      <c r="CT88" s="8">
        <f>+MINVU_Mes_Corriente!CT88*SALUD_Mes_Constante!$CP$1</f>
        <v>12083643.922969835</v>
      </c>
      <c r="CU88" s="8">
        <f>+MINVU_Mes_Corriente!CU88*SALUD_Mes_Constante!$CP$1</f>
        <v>20006502.268677492</v>
      </c>
      <c r="CV88" s="8">
        <f>+MINVU_Mes_Corriente!CV88*SALUD_Mes_Constante!$CP$1</f>
        <v>23065452.714153126</v>
      </c>
      <c r="CW88" s="8">
        <f>+MINVU_Mes_Corriente!CW88*SALUD_Mes_Constante!$CP$1</f>
        <v>25860310.838979114</v>
      </c>
      <c r="CX88" s="8">
        <f>+MINVU_Mes_Corriente!CX88*SALUD_Mes_Constante!$CP$1</f>
        <v>29260997.918561477</v>
      </c>
      <c r="CY88" s="8">
        <f>+MINVU_Mes_Corriente!CY88*SALUD_Mes_Constante!$CP$1</f>
        <v>31932401.116009273</v>
      </c>
      <c r="CZ88" s="8">
        <f>+MINVU_Mes_Corriente!CZ88*SALUD_Mes_Constante!$CP$1</f>
        <v>32062888.22993039</v>
      </c>
      <c r="DA88" s="8">
        <f>+MINVU_Mes_Corriente!DA88*SALUD_Mes_Constante!$CP$1</f>
        <v>48268331.429930381</v>
      </c>
      <c r="DB88" s="9">
        <f t="shared" si="45"/>
        <v>48268331.429930381</v>
      </c>
      <c r="DC88" s="8">
        <f>+MINVU_Mes_Corriente!DC88*SALUD_Mes_Constante!$DC$1</f>
        <v>0</v>
      </c>
      <c r="DD88" s="8">
        <f>+MINVU_Mes_Corriente!DD88*SALUD_Mes_Constante!$DC$1</f>
        <v>58473.937866474669</v>
      </c>
      <c r="DE88" s="8">
        <f>+MINVU_Mes_Corriente!DE88*SALUD_Mes_Constante!$DC$1</f>
        <v>3024370.974796833</v>
      </c>
      <c r="DF88" s="8">
        <f>+MINVU_Mes_Corriente!DF88*SALUD_Mes_Constante!$DC$1</f>
        <v>4916136.8968213173</v>
      </c>
      <c r="DG88" s="8">
        <f>+MINVU_Mes_Corriente!DG88*SALUD_Mes_Constante!$DC$1</f>
        <v>6179529.125604365</v>
      </c>
      <c r="DH88" s="8">
        <f>+MINVU_Mes_Corriente!DH88*SALUD_Mes_Constante!$DC$1</f>
        <v>7646805.1675753556</v>
      </c>
      <c r="DI88" s="8">
        <f>+MINVU_Mes_Corriente!DI88*SALUD_Mes_Constante!$DC$1</f>
        <v>9329576.6373829897</v>
      </c>
      <c r="DJ88" s="8">
        <f>+MINVU_Mes_Corriente!DJ88*SALUD_Mes_Constante!$DC$1</f>
        <v>9815778.5795700084</v>
      </c>
      <c r="DK88" s="8">
        <f>+MINVU_Mes_Corriente!DK88*SALUD_Mes_Constante!$DC$1</f>
        <v>11784732.34749512</v>
      </c>
      <c r="DL88" s="8">
        <f>+MINVU_Mes_Corriente!DL88*SALUD_Mes_Constante!$DC$1</f>
        <v>14440928.255940754</v>
      </c>
      <c r="DM88" s="8">
        <f>+MINVU_Mes_Corriente!DM88*SALUD_Mes_Constante!$DC$1</f>
        <v>17259438.374652822</v>
      </c>
      <c r="DN88" s="8">
        <f>+MINVU_Mes_Corriente!DN88*SALUD_Mes_Constante!$DC$1</f>
        <v>22343051.822857741</v>
      </c>
      <c r="DO88" s="9">
        <f t="shared" si="46"/>
        <v>22343051.822857741</v>
      </c>
      <c r="DP88" s="8">
        <f>+MINVU_Mes_Corriente!DP88*SALUD_Mes_Constante!$DP$1</f>
        <v>0</v>
      </c>
      <c r="DQ88" s="8">
        <f>+MINVU_Mes_Corriente!DQ88*SALUD_Mes_Constante!$DP$1</f>
        <v>0</v>
      </c>
      <c r="DR88" s="8">
        <f>+MINVU_Mes_Corriente!DR88*SALUD_Mes_Constante!$DP$1</f>
        <v>382809.01959619956</v>
      </c>
      <c r="DS88" s="8">
        <f>+MINVU_Mes_Corriente!DS88*SALUD_Mes_Constante!$DP$1</f>
        <v>1025666.3551068885</v>
      </c>
      <c r="DT88" s="8">
        <f>+MINVU_Mes_Corriente!DT88*SALUD_Mes_Constante!$DP$1</f>
        <v>1413437.7078384799</v>
      </c>
      <c r="DU88" s="8">
        <f>+MINVU_Mes_Corriente!DU88*SALUD_Mes_Constante!$DP$1</f>
        <v>1847793.7874109265</v>
      </c>
      <c r="DV88" s="8">
        <f>+MINVU_Mes_Corriente!DV88*SALUD_Mes_Constante!$DP$1</f>
        <v>3354940.5445368174</v>
      </c>
      <c r="DW88" s="8">
        <f>+MINVU_Mes_Corriente!DW88*SALUD_Mes_Constante!$DP$1</f>
        <v>5664534.0926365806</v>
      </c>
      <c r="DX88" s="8">
        <f>+MINVU_Mes_Corriente!DX88*SALUD_Mes_Constante!$DP$1</f>
        <v>7468315.694180523</v>
      </c>
      <c r="DY88" s="8">
        <f>+MINVU_Mes_Corriente!DY88*SALUD_Mes_Constante!$DP$1</f>
        <v>9476965.2024940625</v>
      </c>
      <c r="DZ88" s="8">
        <f>+MINVU_Mes_Corriente!DZ88*SALUD_Mes_Constante!$DP$1</f>
        <v>12374171.877078386</v>
      </c>
      <c r="EA88" s="8">
        <f>+MINVU_Mes_Corriente!EA88*SALUD_Mes_Constante!$DP$1</f>
        <v>16579265.303444183</v>
      </c>
      <c r="EB88" s="9">
        <f t="shared" si="47"/>
        <v>16579265.303444183</v>
      </c>
      <c r="EC88" s="8">
        <f>+MINVU_Mes_Corriente!EC88*SALUD_Mes_Constante!$EC$1</f>
        <v>0</v>
      </c>
      <c r="ED88" s="8">
        <f>+MINVU_Mes_Corriente!ED88*SALUD_Mes_Constante!$EC$1</f>
        <v>3923.7188032569575</v>
      </c>
      <c r="EE88" s="8">
        <f>+MINVU_Mes_Corriente!EE88*SALUD_Mes_Constante!$EC$1</f>
        <v>1954848.8447263769</v>
      </c>
      <c r="EF88" s="8">
        <f>+MINVU_Mes_Corriente!EF88*SALUD_Mes_Constante!$EC$1</f>
        <v>3743372.5631509172</v>
      </c>
      <c r="EG88" s="8">
        <f>+MINVU_Mes_Corriente!EG88*SALUD_Mes_Constante!$EC$1</f>
        <v>5300893.414504827</v>
      </c>
      <c r="EH88" s="8">
        <f>+MINVU_Mes_Corriente!EH88*SALUD_Mes_Constante!$EC$1</f>
        <v>9045341.8193523921</v>
      </c>
      <c r="EI88" s="8">
        <f>+MINVU_Mes_Corriente!EI88*SALUD_Mes_Constante!$EC$1</f>
        <v>10412289.727703083</v>
      </c>
      <c r="EJ88" s="8">
        <f>+MINVU_Mes_Corriente!EJ88*SALUD_Mes_Constante!$EC$1</f>
        <v>11957505.639651578</v>
      </c>
      <c r="EK88" s="8">
        <f>+MINVU_Mes_Corriente!EK88*SALUD_Mes_Constante!$EC$1</f>
        <v>12537435.002840368</v>
      </c>
      <c r="EL88" s="8">
        <f>+MINVU_Mes_Corriente!EL88*SALUD_Mes_Constante!$EC$1</f>
        <v>13070991.451050933</v>
      </c>
      <c r="EM88" s="8">
        <f>+MINVU_Mes_Corriente!EM88*SALUD_Mes_Constante!$EC$1</f>
        <v>14873847.656693803</v>
      </c>
      <c r="EN88" s="8">
        <f>+MINVU_Mes_Corriente!EN88*SALUD_Mes_Constante!$EC$1</f>
        <v>16288266.045445934</v>
      </c>
      <c r="EO88" s="9">
        <f t="shared" si="48"/>
        <v>16288266.045445934</v>
      </c>
      <c r="EP88" s="8">
        <f>+MINVU_Mes_Corriente!EP88*SALUD_Mes_Constante!$EP$1</f>
        <v>0</v>
      </c>
      <c r="EQ88" s="8">
        <f>+MINVU_Mes_Corriente!EQ88*SALUD_Mes_Constante!$EP$1</f>
        <v>0</v>
      </c>
      <c r="ER88" s="8">
        <f>+MINVU_Mes_Corriente!ER88*SALUD_Mes_Constante!$EP$1</f>
        <v>363126</v>
      </c>
      <c r="ES88" s="8">
        <f>+MINVU_Mes_Corriente!ES88*SALUD_Mes_Constante!$EP$1</f>
        <v>1223295</v>
      </c>
      <c r="ET88" s="8">
        <f>+MINVU_Mes_Corriente!ET88*SALUD_Mes_Constante!$EP$1</f>
        <v>1557034</v>
      </c>
      <c r="EU88" s="8">
        <f>+MINVU_Mes_Corriente!EU88*SALUD_Mes_Constante!$EP$1</f>
        <v>1676025</v>
      </c>
      <c r="EV88" s="8">
        <f>+MINVU_Mes_Corriente!EV88*SALUD_Mes_Constante!$EP$1</f>
        <v>2190991</v>
      </c>
      <c r="EW88" s="8">
        <f>+MINVU_Mes_Corriente!EW88*SALUD_Mes_Constante!$EP$1</f>
        <v>2566584</v>
      </c>
      <c r="EX88" s="8">
        <f>+MINVU_Mes_Corriente!EX88*SALUD_Mes_Constante!$EP$1</f>
        <v>10544554</v>
      </c>
      <c r="EY88" s="8">
        <f>+MINVU_Mes_Corriente!EY88*SALUD_Mes_Constante!$EP$1</f>
        <v>10881112</v>
      </c>
      <c r="EZ88" s="8">
        <f>+MINVU_Mes_Corriente!EZ88*SALUD_Mes_Constante!$EP$1</f>
        <v>11518430</v>
      </c>
      <c r="FA88" s="8">
        <f>+MINVU_Mes_Corriente!FA88*SALUD_Mes_Constante!$EP$1</f>
        <v>12702103</v>
      </c>
      <c r="FB88" s="9">
        <f t="shared" si="49"/>
        <v>12702103</v>
      </c>
      <c r="FC88" s="8">
        <f>+MINVU_Mes_Corriente!FC88*SALUD_Mes_Constante!$FC$1</f>
        <v>0</v>
      </c>
      <c r="FD88" s="8">
        <f>+MINVU_Mes_Corriente!FD88*SALUD_Mes_Constante!$FC$1</f>
        <v>0</v>
      </c>
      <c r="FE88" s="8">
        <f>+MINVU_Mes_Corriente!FE88*SALUD_Mes_Constante!$FC$1</f>
        <v>207423</v>
      </c>
      <c r="FF88" s="8">
        <f>+MINVU_Mes_Corriente!FF88*SALUD_Mes_Constante!$FC$1</f>
        <v>903843</v>
      </c>
      <c r="FG88" s="8">
        <f>+MINVU_Mes_Corriente!FG88*SALUD_Mes_Constante!$FC$1</f>
        <v>1043342</v>
      </c>
      <c r="FH88" s="8">
        <f>+MINVU_Mes_Corriente!FH88*SALUD_Mes_Constante!$FC$1</f>
        <v>1537759</v>
      </c>
      <c r="FI88" s="8">
        <f>+MINVU_Mes_Corriente!FI88*SALUD_Mes_Constante!$FC$1</f>
        <v>1940057</v>
      </c>
      <c r="FJ88" s="8"/>
      <c r="FK88" s="8"/>
      <c r="FL88" s="8"/>
      <c r="FM88" s="8"/>
      <c r="FN88" s="8"/>
      <c r="FO88" s="9">
        <f t="shared" si="50"/>
        <v>1940057</v>
      </c>
    </row>
    <row r="89" spans="2:171" ht="14.25" customHeight="1" x14ac:dyDescent="0.3">
      <c r="B89" s="7" t="s">
        <v>52</v>
      </c>
      <c r="C89" s="8">
        <f>+MINVU_Mes_Corriente!C89*SALUD_Mes_Constante!$C$1</f>
        <v>0</v>
      </c>
      <c r="D89" s="8">
        <f>+MINVU_Mes_Corriente!D89*SALUD_Mes_Constante!$C$1</f>
        <v>1745099.1644668549</v>
      </c>
      <c r="E89" s="8">
        <f>+MINVU_Mes_Corriente!E89*SALUD_Mes_Constante!$C$1</f>
        <v>2824083.3884027884</v>
      </c>
      <c r="F89" s="8">
        <f>+MINVU_Mes_Corriente!F89*SALUD_Mes_Constante!$C$1</f>
        <v>3954550.8984131697</v>
      </c>
      <c r="G89" s="8">
        <f>+MINVU_Mes_Corriente!G89*SALUD_Mes_Constante!$C$1</f>
        <v>5539775.2828118056</v>
      </c>
      <c r="H89" s="8">
        <f>+MINVU_Mes_Corriente!H89*SALUD_Mes_Constante!$C$1</f>
        <v>6979853.8416135265</v>
      </c>
      <c r="I89" s="8">
        <f>+MINVU_Mes_Corriente!I89*SALUD_Mes_Constante!$C$1</f>
        <v>8576901.8982648682</v>
      </c>
      <c r="J89" s="8">
        <f>+MINVU_Mes_Corriente!J89*SALUD_Mes_Constante!$C$1</f>
        <v>10284144.895150527</v>
      </c>
      <c r="K89" s="8">
        <f>+MINVU_Mes_Corriente!K89*SALUD_Mes_Constante!$C$1</f>
        <v>12313670.054575117</v>
      </c>
      <c r="L89" s="8">
        <f>+MINVU_Mes_Corriente!L89*SALUD_Mes_Constante!$C$1</f>
        <v>14081121.906273175</v>
      </c>
      <c r="M89" s="8">
        <f>+MINVU_Mes_Corriente!M89*SALUD_Mes_Constante!$C$1</f>
        <v>16016561.615601366</v>
      </c>
      <c r="N89" s="8">
        <f>+MINVU_Mes_Corriente!N89*SALUD_Mes_Constante!$C$1</f>
        <v>22359643.380987693</v>
      </c>
      <c r="O89" s="9">
        <f t="shared" si="38"/>
        <v>22359643.380987693</v>
      </c>
      <c r="P89" s="8">
        <f>+MINVU_Mes_Corriente!P89*SALUD_Mes_Constante!$P$1</f>
        <v>0</v>
      </c>
      <c r="Q89" s="8">
        <f>+MINVU_Mes_Corriente!Q89*SALUD_Mes_Constante!$P$1</f>
        <v>0</v>
      </c>
      <c r="R89" s="8">
        <f>+MINVU_Mes_Corriente!R89*SALUD_Mes_Constante!$P$1</f>
        <v>1722262.9430316801</v>
      </c>
      <c r="S89" s="8">
        <f>+MINVU_Mes_Corriente!S89*SALUD_Mes_Constante!$P$1</f>
        <v>2381374.3974996437</v>
      </c>
      <c r="T89" s="8">
        <f>+MINVU_Mes_Corriente!T89*SALUD_Mes_Constante!$P$1</f>
        <v>3606854.3636880224</v>
      </c>
      <c r="U89" s="8">
        <f>+MINVU_Mes_Corriente!U89*SALUD_Mes_Constante!$P$1</f>
        <v>5251634.131836907</v>
      </c>
      <c r="V89" s="8">
        <f>+MINVU_Mes_Corriente!V89*SALUD_Mes_Constante!$P$1</f>
        <v>7003530.2991902232</v>
      </c>
      <c r="W89" s="8">
        <f>+MINVU_Mes_Corriente!W89*SALUD_Mes_Constante!$P$1</f>
        <v>8521354.8833641112</v>
      </c>
      <c r="X89" s="8">
        <f>+MINVU_Mes_Corriente!X89*SALUD_Mes_Constante!$P$1</f>
        <v>11004718.7333428</v>
      </c>
      <c r="Y89" s="8">
        <f>+MINVU_Mes_Corriente!Y89*SALUD_Mes_Constante!$P$1</f>
        <v>12792388.664298901</v>
      </c>
      <c r="Z89" s="8">
        <f>+MINVU_Mes_Corriente!Z89*SALUD_Mes_Constante!$P$1</f>
        <v>14793504.423639717</v>
      </c>
      <c r="AA89" s="8">
        <f>+MINVU_Mes_Corriente!AA89*SALUD_Mes_Constante!$P$1</f>
        <v>20400572.713169478</v>
      </c>
      <c r="AB89" s="9">
        <f t="shared" si="39"/>
        <v>20400572.713169478</v>
      </c>
      <c r="AC89" s="8">
        <f>+MINVU_Mes_Corriente!AC89*SALUD_Mes_Constante!$AC$1</f>
        <v>0</v>
      </c>
      <c r="AD89" s="8">
        <f>+MINVU_Mes_Corriente!AD89*SALUD_Mes_Constante!$AC$1</f>
        <v>0</v>
      </c>
      <c r="AE89" s="8">
        <f>+MINVU_Mes_Corriente!AE89*SALUD_Mes_Constante!$AC$1</f>
        <v>1287496.624706045</v>
      </c>
      <c r="AF89" s="8">
        <f>+MINVU_Mes_Corriente!AF89*SALUD_Mes_Constante!$AC$1</f>
        <v>5289610.7732743118</v>
      </c>
      <c r="AG89" s="8">
        <f>+MINVU_Mes_Corriente!AG89*SALUD_Mes_Constante!$AC$1</f>
        <v>7665180.7179416241</v>
      </c>
      <c r="AH89" s="8">
        <f>+MINVU_Mes_Corriente!AH89*SALUD_Mes_Constante!$AC$1</f>
        <v>10619479.526352193</v>
      </c>
      <c r="AI89" s="8">
        <f>+MINVU_Mes_Corriente!AI89*SALUD_Mes_Constante!$AC$1</f>
        <v>16684261.962927099</v>
      </c>
      <c r="AJ89" s="8">
        <f>+MINVU_Mes_Corriente!AJ89*SALUD_Mes_Constante!$AC$1</f>
        <v>18588650.613639507</v>
      </c>
      <c r="AK89" s="8">
        <f>+MINVU_Mes_Corriente!AK89*SALUD_Mes_Constante!$AC$1</f>
        <v>20217863.97178033</v>
      </c>
      <c r="AL89" s="8">
        <f>+MINVU_Mes_Corriente!AL89*SALUD_Mes_Constante!$AC$1</f>
        <v>23506014.123668555</v>
      </c>
      <c r="AM89" s="8">
        <f>+MINVU_Mes_Corriente!AM89*SALUD_Mes_Constante!$AC$1</f>
        <v>27441166.658735648</v>
      </c>
      <c r="AN89" s="8">
        <f>+MINVU_Mes_Corriente!AN89*SALUD_Mes_Constante!$AC$1</f>
        <v>45138345.450269744</v>
      </c>
      <c r="AO89" s="9">
        <f t="shared" si="40"/>
        <v>45138345.450269744</v>
      </c>
      <c r="AP89" s="8">
        <f>+MINVU_Mes_Corriente!AP89*SALUD_Mes_Constante!$AP$1</f>
        <v>0</v>
      </c>
      <c r="AQ89" s="8">
        <f>+MINVU_Mes_Corriente!AQ89*SALUD_Mes_Constante!$AP$1</f>
        <v>1453251.1067225754</v>
      </c>
      <c r="AR89" s="8">
        <f>+MINVU_Mes_Corriente!AR89*SALUD_Mes_Constante!$AP$1</f>
        <v>3062878.6487217639</v>
      </c>
      <c r="AS89" s="8">
        <f>+MINVU_Mes_Corriente!AS89*SALUD_Mes_Constante!$AP$1</f>
        <v>4698845.0480183959</v>
      </c>
      <c r="AT89" s="8">
        <f>+MINVU_Mes_Corriente!AT89*SALUD_Mes_Constante!$AP$1</f>
        <v>7468045.8812390091</v>
      </c>
      <c r="AU89" s="8">
        <f>+MINVU_Mes_Corriente!AU89*SALUD_Mes_Constante!$AP$1</f>
        <v>8877516.1379683483</v>
      </c>
      <c r="AV89" s="8">
        <f>+MINVU_Mes_Corriente!AV89*SALUD_Mes_Constante!$AP$1</f>
        <v>16628074.417421885</v>
      </c>
      <c r="AW89" s="8">
        <f>+MINVU_Mes_Corriente!AW89*SALUD_Mes_Constante!$AP$1</f>
        <v>20846929.186527796</v>
      </c>
      <c r="AX89" s="8">
        <f>+MINVU_Mes_Corriente!AX89*SALUD_Mes_Constante!$AP$1</f>
        <v>23544563.463546596</v>
      </c>
      <c r="AY89" s="8">
        <f>+MINVU_Mes_Corriente!AY89*SALUD_Mes_Constante!$AP$1</f>
        <v>27777214.284323007</v>
      </c>
      <c r="AZ89" s="8">
        <f>+MINVU_Mes_Corriente!AZ89*SALUD_Mes_Constante!$AP$1</f>
        <v>28340347.388610847</v>
      </c>
      <c r="BA89" s="8">
        <f>+MINVU_Mes_Corriente!BA89*SALUD_Mes_Constante!$AP$1</f>
        <v>45993342.086027317</v>
      </c>
      <c r="BB89" s="9">
        <f t="shared" si="41"/>
        <v>45993342.086027317</v>
      </c>
      <c r="BC89" s="8">
        <f>+MINVU_Mes_Corriente!BC89*SALUD_Mes_Constante!$BC$1</f>
        <v>0</v>
      </c>
      <c r="BD89" s="8">
        <f>+MINVU_Mes_Corriente!BD89*SALUD_Mes_Constante!$BC$1</f>
        <v>0</v>
      </c>
      <c r="BE89" s="8">
        <f>+MINVU_Mes_Corriente!BE89*SALUD_Mes_Constante!$BC$1</f>
        <v>0</v>
      </c>
      <c r="BF89" s="8">
        <f>+MINVU_Mes_Corriente!BF89*SALUD_Mes_Constante!$BC$1</f>
        <v>21015944.151391275</v>
      </c>
      <c r="BG89" s="8">
        <f>+MINVU_Mes_Corriente!BG89*SALUD_Mes_Constante!$BC$1</f>
        <v>24867364.194382176</v>
      </c>
      <c r="BH89" s="8">
        <f>+MINVU_Mes_Corriente!BH89*SALUD_Mes_Constante!$BC$1</f>
        <v>29459982.867994204</v>
      </c>
      <c r="BI89" s="8">
        <f>+MINVU_Mes_Corriente!BI89*SALUD_Mes_Constante!$BC$1</f>
        <v>45387109.739944622</v>
      </c>
      <c r="BJ89" s="8">
        <f>+MINVU_Mes_Corriente!BJ89*SALUD_Mes_Constante!$BC$1</f>
        <v>49822731.461690634</v>
      </c>
      <c r="BK89" s="8">
        <f>+MINVU_Mes_Corriente!BK89*SALUD_Mes_Constante!$BC$1</f>
        <v>52052234.857180551</v>
      </c>
      <c r="BL89" s="8">
        <f>+MINVU_Mes_Corriente!BL89*SALUD_Mes_Constante!$BC$1</f>
        <v>66007486.007648706</v>
      </c>
      <c r="BM89" s="8">
        <f>+MINVU_Mes_Corriente!BM89*SALUD_Mes_Constante!$BC$1</f>
        <v>68860988.925227493</v>
      </c>
      <c r="BN89" s="8">
        <f>+MINVU_Mes_Corriente!BN89*SALUD_Mes_Constante!$BC$1</f>
        <v>80823679.446393266</v>
      </c>
      <c r="BO89" s="9">
        <f t="shared" si="42"/>
        <v>80823679.446393266</v>
      </c>
      <c r="BP89" s="8">
        <f>+MINVU_Mes_Corriente!BP89*SALUD_Mes_Constante!$BP$1</f>
        <v>0</v>
      </c>
      <c r="BQ89" s="8">
        <f>+MINVU_Mes_Corriente!BQ89*SALUD_Mes_Constante!$BP$1</f>
        <v>0</v>
      </c>
      <c r="BR89" s="8">
        <f>+MINVU_Mes_Corriente!BR89*SALUD_Mes_Constante!$BP$1</f>
        <v>12588102.011523688</v>
      </c>
      <c r="BS89" s="8">
        <f>+MINVU_Mes_Corriente!BS89*SALUD_Mes_Constante!$BP$1</f>
        <v>15580478.797951346</v>
      </c>
      <c r="BT89" s="8">
        <f>+MINVU_Mes_Corriente!BT89*SALUD_Mes_Constante!$BP$1</f>
        <v>23751508.183098596</v>
      </c>
      <c r="BU89" s="8">
        <f>+MINVU_Mes_Corriente!BU89*SALUD_Mes_Constante!$BP$1</f>
        <v>31799368.952112678</v>
      </c>
      <c r="BV89" s="8">
        <f>+MINVU_Mes_Corriente!BV89*SALUD_Mes_Constante!$BP$1</f>
        <v>40641000.123687588</v>
      </c>
      <c r="BW89" s="8">
        <f>+MINVU_Mes_Corriente!BW89*SALUD_Mes_Constante!$BP$1</f>
        <v>42429596.11651729</v>
      </c>
      <c r="BX89" s="8">
        <f>+MINVU_Mes_Corriente!BX89*SALUD_Mes_Constante!$BP$1</f>
        <v>61651607.190268897</v>
      </c>
      <c r="BY89" s="8">
        <f>+MINVU_Mes_Corriente!BY89*SALUD_Mes_Constante!$BP$1</f>
        <v>64448776.507298343</v>
      </c>
      <c r="BZ89" s="8">
        <f>+MINVU_Mes_Corriente!BZ89*SALUD_Mes_Constante!$BP$1</f>
        <v>83132053.241485283</v>
      </c>
      <c r="CA89" s="8">
        <f>+MINVU_Mes_Corriente!CA89*SALUD_Mes_Constante!$BP$1</f>
        <v>107947229.2087068</v>
      </c>
      <c r="CB89" s="9">
        <f t="shared" si="43"/>
        <v>107947229.2087068</v>
      </c>
      <c r="CC89" s="8">
        <f>+MINVU_Mes_Corriente!CC89*SALUD_Mes_Constante!$CC$1</f>
        <v>0</v>
      </c>
      <c r="CD89" s="8">
        <f>+MINVU_Mes_Corriente!CD89*SALUD_Mes_Constante!$CC$1</f>
        <v>0</v>
      </c>
      <c r="CE89" s="8">
        <f>+MINVU_Mes_Corriente!CE89*SALUD_Mes_Constante!$CC$1</f>
        <v>14621961.643416638</v>
      </c>
      <c r="CF89" s="8">
        <f>+MINVU_Mes_Corriente!CF89*SALUD_Mes_Constante!$CC$1</f>
        <v>25590910.346139502</v>
      </c>
      <c r="CG89" s="8">
        <f>+MINVU_Mes_Corriente!CG89*SALUD_Mes_Constante!$CC$1</f>
        <v>27084025.745617308</v>
      </c>
      <c r="CH89" s="8">
        <f>+MINVU_Mes_Corriente!CH89*SALUD_Mes_Constante!$CC$1</f>
        <v>40385765.785154797</v>
      </c>
      <c r="CI89" s="8">
        <f>+MINVU_Mes_Corriente!CI89*SALUD_Mes_Constante!$CC$1</f>
        <v>42622521.616560988</v>
      </c>
      <c r="CJ89" s="8">
        <f>+MINVU_Mes_Corriente!CJ89*SALUD_Mes_Constante!$CC$1</f>
        <v>56953661.205520332</v>
      </c>
      <c r="CK89" s="8">
        <f>+MINVU_Mes_Corriente!CK89*SALUD_Mes_Constante!$CC$1</f>
        <v>71731118.996643052</v>
      </c>
      <c r="CL89" s="8">
        <f>+MINVU_Mes_Corriente!CL89*SALUD_Mes_Constante!$CC$1</f>
        <v>74926192.209623277</v>
      </c>
      <c r="CM89" s="8">
        <f>+MINVU_Mes_Corriente!CM89*SALUD_Mes_Constante!$CC$1</f>
        <v>81521294.528907135</v>
      </c>
      <c r="CN89" s="8">
        <f>+MINVU_Mes_Corriente!CN89*SALUD_Mes_Constante!$CC$1</f>
        <v>101572013.76501307</v>
      </c>
      <c r="CO89" s="9">
        <f t="shared" si="44"/>
        <v>101572013.76501307</v>
      </c>
      <c r="CP89" s="8">
        <f>+MINVU_Mes_Corriente!CP89*SALUD_Mes_Constante!$CP$1</f>
        <v>0</v>
      </c>
      <c r="CQ89" s="8">
        <f>+MINVU_Mes_Corriente!CQ89*SALUD_Mes_Constante!$CP$1</f>
        <v>5315080.7192575391</v>
      </c>
      <c r="CR89" s="8">
        <f>+MINVU_Mes_Corriente!CR89*SALUD_Mes_Constante!$CP$1</f>
        <v>7971950.5621809727</v>
      </c>
      <c r="CS89" s="8">
        <f>+MINVU_Mes_Corriente!CS89*SALUD_Mes_Constante!$CP$1</f>
        <v>13783815.71415313</v>
      </c>
      <c r="CT89" s="8">
        <f>+MINVU_Mes_Corriente!CT89*SALUD_Mes_Constante!$CP$1</f>
        <v>18186150.815081201</v>
      </c>
      <c r="CU89" s="8">
        <f>+MINVU_Mes_Corriente!CU89*SALUD_Mes_Constante!$CP$1</f>
        <v>22731809.178654287</v>
      </c>
      <c r="CV89" s="8">
        <f>+MINVU_Mes_Corriente!CV89*SALUD_Mes_Constante!$CP$1</f>
        <v>29777575.903016236</v>
      </c>
      <c r="CW89" s="8">
        <f>+MINVU_Mes_Corriente!CW89*SALUD_Mes_Constante!$CP$1</f>
        <v>33379412.924129922</v>
      </c>
      <c r="CX89" s="8">
        <f>+MINVU_Mes_Corriente!CX89*SALUD_Mes_Constante!$CP$1</f>
        <v>39558150.847795814</v>
      </c>
      <c r="CY89" s="8">
        <f>+MINVU_Mes_Corriente!CY89*SALUD_Mes_Constante!$CP$1</f>
        <v>46414414.848027833</v>
      </c>
      <c r="CZ89" s="8">
        <f>+MINVU_Mes_Corriente!CZ89*SALUD_Mes_Constante!$CP$1</f>
        <v>52621007.734106719</v>
      </c>
      <c r="DA89" s="8">
        <f>+MINVU_Mes_Corriente!DA89*SALUD_Mes_Constante!$CP$1</f>
        <v>64804888.200696044</v>
      </c>
      <c r="DB89" s="9">
        <f t="shared" si="45"/>
        <v>64804888.200696044</v>
      </c>
      <c r="DC89" s="8">
        <f>+MINVU_Mes_Corriente!DC89*SALUD_Mes_Constante!$DC$1</f>
        <v>0</v>
      </c>
      <c r="DD89" s="8">
        <f>+MINVU_Mes_Corriente!DD89*SALUD_Mes_Constante!$DC$1</f>
        <v>0</v>
      </c>
      <c r="DE89" s="8">
        <f>+MINVU_Mes_Corriente!DE89*SALUD_Mes_Constante!$DC$1</f>
        <v>1582972.9519596756</v>
      </c>
      <c r="DF89" s="8">
        <f>+MINVU_Mes_Corriente!DF89*SALUD_Mes_Constante!$DC$1</f>
        <v>4809938.5596132111</v>
      </c>
      <c r="DG89" s="8">
        <f>+MINVU_Mes_Corriente!DG89*SALUD_Mes_Constante!$DC$1</f>
        <v>7125636.8783047041</v>
      </c>
      <c r="DH89" s="8">
        <f>+MINVU_Mes_Corriente!DH89*SALUD_Mes_Constante!$DC$1</f>
        <v>9983144.983026443</v>
      </c>
      <c r="DI89" s="8">
        <f>+MINVU_Mes_Corriente!DI89*SALUD_Mes_Constante!$DC$1</f>
        <v>12437584.73161198</v>
      </c>
      <c r="DJ89" s="8">
        <f>+MINVU_Mes_Corriente!DJ89*SALUD_Mes_Constante!$DC$1</f>
        <v>19316997.158317056</v>
      </c>
      <c r="DK89" s="8">
        <f>+MINVU_Mes_Corriente!DK89*SALUD_Mes_Constante!$DC$1</f>
        <v>21804204.791276626</v>
      </c>
      <c r="DL89" s="8">
        <f>+MINVU_Mes_Corriente!DL89*SALUD_Mes_Constante!$DC$1</f>
        <v>24689515.131982319</v>
      </c>
      <c r="DM89" s="8">
        <f>+MINVU_Mes_Corriente!DM89*SALUD_Mes_Constante!$DC$1</f>
        <v>28890660.478345864</v>
      </c>
      <c r="DN89" s="8">
        <f>+MINVU_Mes_Corriente!DN89*SALUD_Mes_Constante!$DC$1</f>
        <v>39823706.573809296</v>
      </c>
      <c r="DO89" s="9">
        <f t="shared" si="46"/>
        <v>39823706.573809296</v>
      </c>
      <c r="DP89" s="8">
        <f>+MINVU_Mes_Corriente!DP89*SALUD_Mes_Constante!$DP$1</f>
        <v>0</v>
      </c>
      <c r="DQ89" s="8">
        <f>+MINVU_Mes_Corriente!DQ89*SALUD_Mes_Constante!$DP$1</f>
        <v>699502.9792161521</v>
      </c>
      <c r="DR89" s="8">
        <f>+MINVU_Mes_Corriente!DR89*SALUD_Mes_Constante!$DP$1</f>
        <v>2065774.1918052258</v>
      </c>
      <c r="DS89" s="8">
        <f>+MINVU_Mes_Corriente!DS89*SALUD_Mes_Constante!$DP$1</f>
        <v>9595851.4150831364</v>
      </c>
      <c r="DT89" s="8">
        <f>+MINVU_Mes_Corriente!DT89*SALUD_Mes_Constante!$DP$1</f>
        <v>11552960.351543944</v>
      </c>
      <c r="DU89" s="8">
        <f>+MINVU_Mes_Corriente!DU89*SALUD_Mes_Constante!$DP$1</f>
        <v>17421939.541567698</v>
      </c>
      <c r="DV89" s="8">
        <f>+MINVU_Mes_Corriente!DV89*SALUD_Mes_Constante!$DP$1</f>
        <v>22352491.685273163</v>
      </c>
      <c r="DW89" s="8">
        <f>+MINVU_Mes_Corriente!DW89*SALUD_Mes_Constante!$DP$1</f>
        <v>24218634.967339668</v>
      </c>
      <c r="DX89" s="8">
        <f>+MINVU_Mes_Corriente!DX89*SALUD_Mes_Constante!$DP$1</f>
        <v>28796551.109857485</v>
      </c>
      <c r="DY89" s="8">
        <f>+MINVU_Mes_Corriente!DY89*SALUD_Mes_Constante!$DP$1</f>
        <v>29598927.612826604</v>
      </c>
      <c r="DZ89" s="8">
        <f>+MINVU_Mes_Corriente!DZ89*SALUD_Mes_Constante!$DP$1</f>
        <v>35829573.190617584</v>
      </c>
      <c r="EA89" s="8">
        <f>+MINVU_Mes_Corriente!EA89*SALUD_Mes_Constante!$DP$1</f>
        <v>45304174.553444184</v>
      </c>
      <c r="EB89" s="9">
        <f t="shared" si="47"/>
        <v>45304174.553444184</v>
      </c>
      <c r="EC89" s="8">
        <f>+MINVU_Mes_Corriente!EC89*SALUD_Mes_Constante!$EC$1</f>
        <v>0</v>
      </c>
      <c r="ED89" s="8">
        <f>+MINVU_Mes_Corriente!ED89*SALUD_Mes_Constante!$EC$1</f>
        <v>0</v>
      </c>
      <c r="EE89" s="8">
        <f>+MINVU_Mes_Corriente!EE89*SALUD_Mes_Constante!$EC$1</f>
        <v>1188763.6962696456</v>
      </c>
      <c r="EF89" s="8">
        <f>+MINVU_Mes_Corriente!EF89*SALUD_Mes_Constante!$EC$1</f>
        <v>7902955.1759136505</v>
      </c>
      <c r="EG89" s="8">
        <f>+MINVU_Mes_Corriente!EG89*SALUD_Mes_Constante!$EC$1</f>
        <v>11653808.976708952</v>
      </c>
      <c r="EH89" s="8">
        <f>+MINVU_Mes_Corriente!EH89*SALUD_Mes_Constante!$EC$1</f>
        <v>14983315.583790943</v>
      </c>
      <c r="EI89" s="8">
        <f>+MINVU_Mes_Corriente!EI89*SALUD_Mes_Constante!$EC$1</f>
        <v>18637635.350501794</v>
      </c>
      <c r="EJ89" s="8">
        <f>+MINVU_Mes_Corriente!EJ89*SALUD_Mes_Constante!$EC$1</f>
        <v>53395830.611815929</v>
      </c>
      <c r="EK89" s="8">
        <f>+MINVU_Mes_Corriente!EK89*SALUD_Mes_Constante!$EC$1</f>
        <v>60884420.185949609</v>
      </c>
      <c r="EL89" s="8">
        <f>+MINVU_Mes_Corriente!EL89*SALUD_Mes_Constante!$EC$1</f>
        <v>65735874.524900563</v>
      </c>
      <c r="EM89" s="8">
        <f>+MINVU_Mes_Corriente!EM89*SALUD_Mes_Constante!$EC$1</f>
        <v>74199517.014580548</v>
      </c>
      <c r="EN89" s="8">
        <f>+MINVU_Mes_Corriente!EN89*SALUD_Mes_Constante!$EC$1</f>
        <v>87757981.64855139</v>
      </c>
      <c r="EO89" s="9">
        <f t="shared" si="48"/>
        <v>87757981.64855139</v>
      </c>
      <c r="EP89" s="8">
        <f>+MINVU_Mes_Corriente!EP89*SALUD_Mes_Constante!$EP$1</f>
        <v>0</v>
      </c>
      <c r="EQ89" s="8">
        <f>+MINVU_Mes_Corriente!EQ89*SALUD_Mes_Constante!$EP$1</f>
        <v>155103</v>
      </c>
      <c r="ER89" s="8">
        <f>+MINVU_Mes_Corriente!ER89*SALUD_Mes_Constante!$EP$1</f>
        <v>16727385</v>
      </c>
      <c r="ES89" s="8">
        <f>+MINVU_Mes_Corriente!ES89*SALUD_Mes_Constante!$EP$1</f>
        <v>23173932</v>
      </c>
      <c r="ET89" s="8">
        <f>+MINVU_Mes_Corriente!ET89*SALUD_Mes_Constante!$EP$1</f>
        <v>28829845</v>
      </c>
      <c r="EU89" s="8">
        <f>+MINVU_Mes_Corriente!EU89*SALUD_Mes_Constante!$EP$1</f>
        <v>31035704</v>
      </c>
      <c r="EV89" s="8">
        <f>+MINVU_Mes_Corriente!EV89*SALUD_Mes_Constante!$EP$1</f>
        <v>35219090</v>
      </c>
      <c r="EW89" s="8">
        <f>+MINVU_Mes_Corriente!EW89*SALUD_Mes_Constante!$EP$1</f>
        <v>37989279</v>
      </c>
      <c r="EX89" s="8">
        <f>+MINVU_Mes_Corriente!EX89*SALUD_Mes_Constante!$EP$1</f>
        <v>40229586</v>
      </c>
      <c r="EY89" s="8">
        <f>+MINVU_Mes_Corriente!EY89*SALUD_Mes_Constante!$EP$1</f>
        <v>42897538</v>
      </c>
      <c r="EZ89" s="8">
        <f>+MINVU_Mes_Corriente!EZ89*SALUD_Mes_Constante!$EP$1</f>
        <v>45488629</v>
      </c>
      <c r="FA89" s="8">
        <f>+MINVU_Mes_Corriente!FA89*SALUD_Mes_Constante!$EP$1</f>
        <v>51816598</v>
      </c>
      <c r="FB89" s="9">
        <f t="shared" si="49"/>
        <v>51816598</v>
      </c>
      <c r="FC89" s="8">
        <f>+MINVU_Mes_Corriente!FC89*SALUD_Mes_Constante!$FC$1</f>
        <v>0</v>
      </c>
      <c r="FD89" s="8">
        <f>+MINVU_Mes_Corriente!FD89*SALUD_Mes_Constante!$FC$1</f>
        <v>0</v>
      </c>
      <c r="FE89" s="8">
        <f>+MINVU_Mes_Corriente!FE89*SALUD_Mes_Constante!$FC$1</f>
        <v>4072814</v>
      </c>
      <c r="FF89" s="8">
        <f>+MINVU_Mes_Corriente!FF89*SALUD_Mes_Constante!$FC$1</f>
        <v>6426971</v>
      </c>
      <c r="FG89" s="8">
        <f>+MINVU_Mes_Corriente!FG89*SALUD_Mes_Constante!$FC$1</f>
        <v>7944500</v>
      </c>
      <c r="FH89" s="8">
        <f>+MINVU_Mes_Corriente!FH89*SALUD_Mes_Constante!$FC$1</f>
        <v>9687821</v>
      </c>
      <c r="FI89" s="8">
        <f>+MINVU_Mes_Corriente!FI89*SALUD_Mes_Constante!$FC$1</f>
        <v>10600915</v>
      </c>
      <c r="FJ89" s="8"/>
      <c r="FK89" s="8"/>
      <c r="FL89" s="8"/>
      <c r="FM89" s="8"/>
      <c r="FN89" s="8"/>
      <c r="FO89" s="9">
        <f t="shared" si="50"/>
        <v>10600915</v>
      </c>
    </row>
    <row r="90" spans="2:171" ht="14.25" customHeight="1" x14ac:dyDescent="0.3">
      <c r="B90" s="7" t="s">
        <v>53</v>
      </c>
      <c r="C90" s="8">
        <f>+MINVU_Mes_Corriente!C90*SALUD_Mes_Constante!$C$1</f>
        <v>0</v>
      </c>
      <c r="D90" s="8">
        <f>+MINVU_Mes_Corriente!D90*SALUD_Mes_Constante!$C$1</f>
        <v>0</v>
      </c>
      <c r="E90" s="8">
        <f>+MINVU_Mes_Corriente!E90*SALUD_Mes_Constante!$C$1</f>
        <v>2216620.1491917549</v>
      </c>
      <c r="F90" s="8">
        <f>+MINVU_Mes_Corriente!F90*SALUD_Mes_Constante!$C$1</f>
        <v>3013150.3405012609</v>
      </c>
      <c r="G90" s="8">
        <f>+MINVU_Mes_Corriente!G90*SALUD_Mes_Constante!$C$1</f>
        <v>3565359.7461070744</v>
      </c>
      <c r="H90" s="8">
        <f>+MINVU_Mes_Corriente!H90*SALUD_Mes_Constante!$C$1</f>
        <v>4259947.4245884623</v>
      </c>
      <c r="I90" s="8">
        <f>+MINVU_Mes_Corriente!I90*SALUD_Mes_Constante!$C$1</f>
        <v>5205071.5399673739</v>
      </c>
      <c r="J90" s="8">
        <f>+MINVU_Mes_Corriente!J90*SALUD_Mes_Constante!$C$1</f>
        <v>6125644.1572000599</v>
      </c>
      <c r="K90" s="8">
        <f>+MINVU_Mes_Corriente!K90*SALUD_Mes_Constante!$C$1</f>
        <v>6935454.7127391379</v>
      </c>
      <c r="L90" s="8">
        <f>+MINVU_Mes_Corriente!L90*SALUD_Mes_Constante!$C$1</f>
        <v>7642995.4453507354</v>
      </c>
      <c r="M90" s="8">
        <f>+MINVU_Mes_Corriente!M90*SALUD_Mes_Constante!$C$1</f>
        <v>8488761.5014088694</v>
      </c>
      <c r="N90" s="8">
        <f>+MINVU_Mes_Corriente!N90*SALUD_Mes_Constante!$C$1</f>
        <v>11111748.481388109</v>
      </c>
      <c r="O90" s="9">
        <f t="shared" si="38"/>
        <v>11111748.481388109</v>
      </c>
      <c r="P90" s="8">
        <f>+MINVU_Mes_Corriente!P90*SALUD_Mes_Constante!$P$1</f>
        <v>0</v>
      </c>
      <c r="Q90" s="8">
        <f>+MINVU_Mes_Corriente!Q90*SALUD_Mes_Constante!$P$1</f>
        <v>0</v>
      </c>
      <c r="R90" s="8">
        <f>+MINVU_Mes_Corriente!R90*SALUD_Mes_Constante!$P$1</f>
        <v>46133.207273760461</v>
      </c>
      <c r="S90" s="8">
        <f>+MINVU_Mes_Corriente!S90*SALUD_Mes_Constante!$P$1</f>
        <v>119478.1926410001</v>
      </c>
      <c r="T90" s="8">
        <f>+MINVU_Mes_Corriente!T90*SALUD_Mes_Constante!$P$1</f>
        <v>150809.53374058809</v>
      </c>
      <c r="U90" s="8">
        <f>+MINVU_Mes_Corriente!U90*SALUD_Mes_Constante!$P$1</f>
        <v>794327.49538286659</v>
      </c>
      <c r="V90" s="8">
        <f>+MINVU_Mes_Corriente!V90*SALUD_Mes_Constante!$P$1</f>
        <v>904394.64412558568</v>
      </c>
      <c r="W90" s="8">
        <f>+MINVU_Mes_Corriente!W90*SALUD_Mes_Constante!$P$1</f>
        <v>957036.26424207946</v>
      </c>
      <c r="X90" s="8">
        <f>+MINVU_Mes_Corriente!X90*SALUD_Mes_Constante!$P$1</f>
        <v>1033241.9710186102</v>
      </c>
      <c r="Y90" s="8">
        <f>+MINVU_Mes_Corriente!Y90*SALUD_Mes_Constante!$P$1</f>
        <v>1236376.474215087</v>
      </c>
      <c r="Z90" s="8">
        <f>+MINVU_Mes_Corriente!Z90*SALUD_Mes_Constante!$P$1</f>
        <v>1425401.3965051849</v>
      </c>
      <c r="AA90" s="8">
        <f>+MINVU_Mes_Corriente!AA90*SALUD_Mes_Constante!$P$1</f>
        <v>6479586.7671544226</v>
      </c>
      <c r="AB90" s="9">
        <f t="shared" si="39"/>
        <v>6479586.7671544226</v>
      </c>
      <c r="AC90" s="8">
        <f>+MINVU_Mes_Corriente!AC90*SALUD_Mes_Constante!$AC$1</f>
        <v>0</v>
      </c>
      <c r="AD90" s="8">
        <f>+MINVU_Mes_Corriente!AD90*SALUD_Mes_Constante!$AC$1</f>
        <v>2004.1327984506847</v>
      </c>
      <c r="AE90" s="8">
        <f>+MINVU_Mes_Corriente!AE90*SALUD_Mes_Constante!$AC$1</f>
        <v>2004.1327984506847</v>
      </c>
      <c r="AF90" s="8">
        <f>+MINVU_Mes_Corriente!AF90*SALUD_Mes_Constante!$AC$1</f>
        <v>55381.171946327289</v>
      </c>
      <c r="AG90" s="8">
        <f>+MINVU_Mes_Corriente!AG90*SALUD_Mes_Constante!$AC$1</f>
        <v>87253.835938580713</v>
      </c>
      <c r="AH90" s="8">
        <f>+MINVU_Mes_Corriente!AH90*SALUD_Mes_Constante!$AC$1</f>
        <v>157721.9261308618</v>
      </c>
      <c r="AI90" s="8">
        <f>+MINVU_Mes_Corriente!AI90*SALUD_Mes_Constante!$AC$1</f>
        <v>408410.82694701897</v>
      </c>
      <c r="AJ90" s="8">
        <f>+MINVU_Mes_Corriente!AJ90*SALUD_Mes_Constante!$AC$1</f>
        <v>543186.49052427721</v>
      </c>
      <c r="AK90" s="8">
        <f>+MINVU_Mes_Corriente!AK90*SALUD_Mes_Constante!$AC$1</f>
        <v>646134.83248028776</v>
      </c>
      <c r="AL90" s="8">
        <f>+MINVU_Mes_Corriente!AL90*SALUD_Mes_Constante!$AC$1</f>
        <v>6069300.048139438</v>
      </c>
      <c r="AM90" s="8">
        <f>+MINVU_Mes_Corriente!AM90*SALUD_Mes_Constante!$AC$1</f>
        <v>6093125.952690552</v>
      </c>
      <c r="AN90" s="8">
        <f>+MINVU_Mes_Corriente!AN90*SALUD_Mes_Constante!$AC$1</f>
        <v>1603220.0882556371</v>
      </c>
      <c r="AO90" s="9">
        <f t="shared" si="40"/>
        <v>1603220.0882556371</v>
      </c>
      <c r="AP90" s="8">
        <f>+MINVU_Mes_Corriente!AP90*SALUD_Mes_Constante!$AP$1</f>
        <v>0</v>
      </c>
      <c r="AQ90" s="8">
        <f>+MINVU_Mes_Corriente!AQ90*SALUD_Mes_Constante!$AP$1</f>
        <v>606801.63506019209</v>
      </c>
      <c r="AR90" s="8">
        <f>+MINVU_Mes_Corriente!AR90*SALUD_Mes_Constante!$AP$1</f>
        <v>1249524.7304206681</v>
      </c>
      <c r="AS90" s="8">
        <f>+MINVU_Mes_Corriente!AS90*SALUD_Mes_Constante!$AP$1</f>
        <v>1915564.4093061003</v>
      </c>
      <c r="AT90" s="8">
        <f>+MINVU_Mes_Corriente!AT90*SALUD_Mes_Constante!$AP$1</f>
        <v>2660444.7918301094</v>
      </c>
      <c r="AU90" s="8">
        <f>+MINVU_Mes_Corriente!AU90*SALUD_Mes_Constante!$AP$1</f>
        <v>3559297.0915731094</v>
      </c>
      <c r="AV90" s="8">
        <f>+MINVU_Mes_Corriente!AV90*SALUD_Mes_Constante!$AP$1</f>
        <v>4624732.0968483696</v>
      </c>
      <c r="AW90" s="8">
        <f>+MINVU_Mes_Corriente!AW90*SALUD_Mes_Constante!$AP$1</f>
        <v>5742664.5148113072</v>
      </c>
      <c r="AX90" s="8">
        <f>+MINVU_Mes_Corriente!AX90*SALUD_Mes_Constante!$AP$1</f>
        <v>6322960.2916272143</v>
      </c>
      <c r="AY90" s="8">
        <f>+MINVU_Mes_Corriente!AY90*SALUD_Mes_Constante!$AP$1</f>
        <v>6874279.1873393748</v>
      </c>
      <c r="AZ90" s="8">
        <f>+MINVU_Mes_Corriente!AZ90*SALUD_Mes_Constante!$AP$1</f>
        <v>7249274.6408765046</v>
      </c>
      <c r="BA90" s="8">
        <f>+MINVU_Mes_Corriente!BA90*SALUD_Mes_Constante!$AP$1</f>
        <v>9599799.6667117532</v>
      </c>
      <c r="BB90" s="9">
        <f t="shared" si="41"/>
        <v>9599799.6667117532</v>
      </c>
      <c r="BC90" s="8">
        <f>+MINVU_Mes_Corriente!BC90*SALUD_Mes_Constante!$BC$1</f>
        <v>0</v>
      </c>
      <c r="BD90" s="8">
        <f>+MINVU_Mes_Corriente!BD90*SALUD_Mes_Constante!$BC$1</f>
        <v>0</v>
      </c>
      <c r="BE90" s="8">
        <f>+MINVU_Mes_Corriente!BE90*SALUD_Mes_Constante!$BC$1</f>
        <v>0</v>
      </c>
      <c r="BF90" s="8">
        <f>+MINVU_Mes_Corriente!BF90*SALUD_Mes_Constante!$BC$1</f>
        <v>1327.0270341553478</v>
      </c>
      <c r="BG90" s="8">
        <f>+MINVU_Mes_Corriente!BG90*SALUD_Mes_Constante!$BC$1</f>
        <v>235625.82513517083</v>
      </c>
      <c r="BH90" s="8">
        <f>+MINVU_Mes_Corriente!BH90*SALUD_Mes_Constante!$BC$1</f>
        <v>1319501.4508769619</v>
      </c>
      <c r="BI90" s="8">
        <f>+MINVU_Mes_Corriente!BI90*SALUD_Mes_Constante!$BC$1</f>
        <v>2977840.0195173421</v>
      </c>
      <c r="BJ90" s="8">
        <f>+MINVU_Mes_Corriente!BJ90*SALUD_Mes_Constante!$BC$1</f>
        <v>3751133.6850850596</v>
      </c>
      <c r="BK90" s="8">
        <f>+MINVU_Mes_Corriente!BK90*SALUD_Mes_Constante!$BC$1</f>
        <v>5007257.7080311235</v>
      </c>
      <c r="BL90" s="8">
        <f>+MINVU_Mes_Corriente!BL90*SALUD_Mes_Constante!$BC$1</f>
        <v>6631609.3997098794</v>
      </c>
      <c r="BM90" s="8">
        <f>+MINVU_Mes_Corriente!BM90*SALUD_Mes_Constante!$BC$1</f>
        <v>7778953.2272187807</v>
      </c>
      <c r="BN90" s="8">
        <f>+MINVU_Mes_Corriente!BN90*SALUD_Mes_Constante!$BC$1</f>
        <v>8196401.9279968366</v>
      </c>
      <c r="BO90" s="9">
        <f t="shared" si="42"/>
        <v>8196401.9279968366</v>
      </c>
      <c r="BP90" s="8">
        <f>+MINVU_Mes_Corriente!BP90*SALUD_Mes_Constante!$BP$1</f>
        <v>0</v>
      </c>
      <c r="BQ90" s="8">
        <f>+MINVU_Mes_Corriente!BQ90*SALUD_Mes_Constante!$BP$1</f>
        <v>1125440.9539052497</v>
      </c>
      <c r="BR90" s="8">
        <f>+MINVU_Mes_Corriente!BR90*SALUD_Mes_Constante!$BP$1</f>
        <v>1642249.1477592832</v>
      </c>
      <c r="BS90" s="8">
        <f>+MINVU_Mes_Corriente!BS90*SALUD_Mes_Constante!$BP$1</f>
        <v>2514965.1464788737</v>
      </c>
      <c r="BT90" s="8">
        <f>+MINVU_Mes_Corriente!BT90*SALUD_Mes_Constante!$BP$1</f>
        <v>2528903.1411011526</v>
      </c>
      <c r="BU90" s="8">
        <f>+MINVU_Mes_Corriente!BU90*SALUD_Mes_Constante!$BP$1</f>
        <v>2605799.2379001281</v>
      </c>
      <c r="BV90" s="8">
        <f>+MINVU_Mes_Corriente!BV90*SALUD_Mes_Constante!$BP$1</f>
        <v>5287053.627656851</v>
      </c>
      <c r="BW90" s="8">
        <f>+MINVU_Mes_Corriente!BW90*SALUD_Mes_Constante!$BP$1</f>
        <v>6161323.8883482721</v>
      </c>
      <c r="BX90" s="8">
        <f>+MINVU_Mes_Corriente!BX90*SALUD_Mes_Constante!$BP$1</f>
        <v>7610559.1605633814</v>
      </c>
      <c r="BY90" s="8">
        <f>+MINVU_Mes_Corriente!BY90*SALUD_Mes_Constante!$BP$1</f>
        <v>8234777.908578746</v>
      </c>
      <c r="BZ90" s="8">
        <f>+MINVU_Mes_Corriente!BZ90*SALUD_Mes_Constante!$BP$1</f>
        <v>8780290.2852752898</v>
      </c>
      <c r="CA90" s="8">
        <f>+MINVU_Mes_Corriente!CA90*SALUD_Mes_Constante!$BP$1</f>
        <v>9961555.9644046109</v>
      </c>
      <c r="CB90" s="9">
        <f t="shared" si="43"/>
        <v>9961555.9644046109</v>
      </c>
      <c r="CC90" s="8">
        <f>+MINVU_Mes_Corriente!CC90*SALUD_Mes_Constante!$CC$1</f>
        <v>0</v>
      </c>
      <c r="CD90" s="8">
        <f>+MINVU_Mes_Corriente!CD90*SALUD_Mes_Constante!$CC$1</f>
        <v>0</v>
      </c>
      <c r="CE90" s="8">
        <f>+MINVU_Mes_Corriente!CE90*SALUD_Mes_Constante!$CC$1</f>
        <v>0</v>
      </c>
      <c r="CF90" s="8">
        <f>+MINVU_Mes_Corriente!CF90*SALUD_Mes_Constante!$CC$1</f>
        <v>323475.07720999629</v>
      </c>
      <c r="CG90" s="8">
        <f>+MINVU_Mes_Corriente!CG90*SALUD_Mes_Constante!$CC$1</f>
        <v>1108090.3864229766</v>
      </c>
      <c r="CH90" s="8">
        <f>+MINVU_Mes_Corriente!CH90*SALUD_Mes_Constante!$CC$1</f>
        <v>1691107.8866094742</v>
      </c>
      <c r="CI90" s="8">
        <f>+MINVU_Mes_Corriente!CI90*SALUD_Mes_Constante!$CC$1</f>
        <v>1823119.1794106679</v>
      </c>
      <c r="CJ90" s="8">
        <f>+MINVU_Mes_Corriente!CJ90*SALUD_Mes_Constante!$CC$1</f>
        <v>1956908.6810891461</v>
      </c>
      <c r="CK90" s="8">
        <f>+MINVU_Mes_Corriente!CK90*SALUD_Mes_Constante!$CC$1</f>
        <v>2095266.6445356212</v>
      </c>
      <c r="CL90" s="8">
        <f>+MINVU_Mes_Corriente!CL90*SALUD_Mes_Constante!$CC$1</f>
        <v>4778729.1943304744</v>
      </c>
      <c r="CM90" s="8">
        <f>+MINVU_Mes_Corriente!CM90*SALUD_Mes_Constante!$CC$1</f>
        <v>5387470.2722864607</v>
      </c>
      <c r="CN90" s="8">
        <f>+MINVU_Mes_Corriente!CN90*SALUD_Mes_Constante!$CC$1</f>
        <v>7467272.3409175687</v>
      </c>
      <c r="CO90" s="9">
        <f t="shared" si="44"/>
        <v>7467272.3409175687</v>
      </c>
      <c r="CP90" s="8">
        <f>+MINVU_Mes_Corriente!CP90*SALUD_Mes_Constante!$CP$1</f>
        <v>0</v>
      </c>
      <c r="CQ90" s="8">
        <f>+MINVU_Mes_Corriente!CQ90*SALUD_Mes_Constante!$CP$1</f>
        <v>34878.276334106718</v>
      </c>
      <c r="CR90" s="8">
        <f>+MINVU_Mes_Corriente!CR90*SALUD_Mes_Constante!$CP$1</f>
        <v>413995.26612528996</v>
      </c>
      <c r="CS90" s="8">
        <f>+MINVU_Mes_Corriente!CS90*SALUD_Mes_Constante!$CP$1</f>
        <v>609366.59582366573</v>
      </c>
      <c r="CT90" s="8">
        <f>+MINVU_Mes_Corriente!CT90*SALUD_Mes_Constante!$CP$1</f>
        <v>957563.76612528984</v>
      </c>
      <c r="CU90" s="8">
        <f>+MINVU_Mes_Corriente!CU90*SALUD_Mes_Constante!$CP$1</f>
        <v>1721820.9883990716</v>
      </c>
      <c r="CV90" s="8">
        <f>+MINVU_Mes_Corriente!CV90*SALUD_Mes_Constante!$CP$1</f>
        <v>1792302.5610208814</v>
      </c>
      <c r="CW90" s="8">
        <f>+MINVU_Mes_Corriente!CW90*SALUD_Mes_Constante!$CP$1</f>
        <v>1806762.3995359626</v>
      </c>
      <c r="CX90" s="8">
        <f>+MINVU_Mes_Corriente!CX90*SALUD_Mes_Constante!$CP$1</f>
        <v>1988515.5222737815</v>
      </c>
      <c r="CY90" s="8">
        <f>+MINVU_Mes_Corriente!CY90*SALUD_Mes_Constante!$CP$1</f>
        <v>2007990.9271461712</v>
      </c>
      <c r="CZ90" s="8">
        <f>+MINVU_Mes_Corriente!CZ90*SALUD_Mes_Constante!$CP$1</f>
        <v>2343483.7705336423</v>
      </c>
      <c r="DA90" s="8">
        <f>+MINVU_Mes_Corriente!DA90*SALUD_Mes_Constante!$CP$1</f>
        <v>6456587.8781902539</v>
      </c>
      <c r="DB90" s="9">
        <f t="shared" si="45"/>
        <v>6456587.8781902539</v>
      </c>
      <c r="DC90" s="8">
        <f>+MINVU_Mes_Corriente!DC90*SALUD_Mes_Constante!$DC$1</f>
        <v>0</v>
      </c>
      <c r="DD90" s="8">
        <f>+MINVU_Mes_Corriente!DD90*SALUD_Mes_Constante!$DC$1</f>
        <v>0</v>
      </c>
      <c r="DE90" s="8">
        <f>+MINVU_Mes_Corriente!DE90*SALUD_Mes_Constante!$DC$1</f>
        <v>0</v>
      </c>
      <c r="DF90" s="8">
        <f>+MINVU_Mes_Corriente!DF90*SALUD_Mes_Constante!$DC$1</f>
        <v>1329956.4195041668</v>
      </c>
      <c r="DG90" s="8">
        <f>+MINVU_Mes_Corriente!DG90*SALUD_Mes_Constante!$DC$1</f>
        <v>1881229.9356033339</v>
      </c>
      <c r="DH90" s="8">
        <f>+MINVU_Mes_Corriente!DH90*SALUD_Mes_Constante!$DC$1</f>
        <v>2327681.9635839947</v>
      </c>
      <c r="DI90" s="8">
        <f>+MINVU_Mes_Corriente!DI90*SALUD_Mes_Constante!$DC$1</f>
        <v>2721469.7948770714</v>
      </c>
      <c r="DJ90" s="8">
        <f>+MINVU_Mes_Corriente!DJ90*SALUD_Mes_Constante!$DC$1</f>
        <v>3337753.0671741609</v>
      </c>
      <c r="DK90" s="8">
        <f>+MINVU_Mes_Corriente!DK90*SALUD_Mes_Constante!$DC$1</f>
        <v>3825202.603230122</v>
      </c>
      <c r="DL90" s="8">
        <f>+MINVU_Mes_Corriente!DL90*SALUD_Mes_Constante!$DC$1</f>
        <v>5773780.128587597</v>
      </c>
      <c r="DM90" s="8">
        <f>+MINVU_Mes_Corriente!DM90*SALUD_Mes_Constante!$DC$1</f>
        <v>6502657.0616191784</v>
      </c>
      <c r="DN90" s="8">
        <f>+MINVU_Mes_Corriente!DN90*SALUD_Mes_Constante!$DC$1</f>
        <v>10544702.718856091</v>
      </c>
      <c r="DO90" s="9">
        <f t="shared" si="46"/>
        <v>10544702.718856091</v>
      </c>
      <c r="DP90" s="8">
        <f>+MINVU_Mes_Corriente!DP90*SALUD_Mes_Constante!$DP$1</f>
        <v>0</v>
      </c>
      <c r="DQ90" s="8">
        <f>+MINVU_Mes_Corriente!DQ90*SALUD_Mes_Constante!$DP$1</f>
        <v>8488.6282660332545</v>
      </c>
      <c r="DR90" s="8">
        <f>+MINVU_Mes_Corriente!DR90*SALUD_Mes_Constante!$DP$1</f>
        <v>581493.74465558201</v>
      </c>
      <c r="DS90" s="8">
        <f>+MINVU_Mes_Corriente!DS90*SALUD_Mes_Constante!$DP$1</f>
        <v>1057161.86935867</v>
      </c>
      <c r="DT90" s="8">
        <f>+MINVU_Mes_Corriente!DT90*SALUD_Mes_Constante!$DP$1</f>
        <v>1735992.6057007127</v>
      </c>
      <c r="DU90" s="8">
        <f>+MINVU_Mes_Corriente!DU90*SALUD_Mes_Constante!$DP$1</f>
        <v>2156458.6941805226</v>
      </c>
      <c r="DV90" s="8">
        <f>+MINVU_Mes_Corriente!DV90*SALUD_Mes_Constante!$DP$1</f>
        <v>2414302.1294536819</v>
      </c>
      <c r="DW90" s="8">
        <f>+MINVU_Mes_Corriente!DW90*SALUD_Mes_Constante!$DP$1</f>
        <v>2559142.9988123518</v>
      </c>
      <c r="DX90" s="8">
        <f>+MINVU_Mes_Corriente!DX90*SALUD_Mes_Constante!$DP$1</f>
        <v>2561274.3473871737</v>
      </c>
      <c r="DY90" s="8">
        <f>+MINVU_Mes_Corriente!DY90*SALUD_Mes_Constante!$DP$1</f>
        <v>2613641.0736342045</v>
      </c>
      <c r="DZ90" s="8">
        <f>+MINVU_Mes_Corriente!DZ90*SALUD_Mes_Constante!$DP$1</f>
        <v>3189490.1508313543</v>
      </c>
      <c r="EA90" s="8">
        <f>+MINVU_Mes_Corriente!EA90*SALUD_Mes_Constante!$DP$1</f>
        <v>4849372.7422802858</v>
      </c>
      <c r="EB90" s="9">
        <f t="shared" si="47"/>
        <v>4849372.7422802858</v>
      </c>
      <c r="EC90" s="8">
        <f>+MINVU_Mes_Corriente!EC90*SALUD_Mes_Constante!$EC$1</f>
        <v>0</v>
      </c>
      <c r="ED90" s="8">
        <f>+MINVU_Mes_Corriente!ED90*SALUD_Mes_Constante!$EC$1</f>
        <v>0</v>
      </c>
      <c r="EE90" s="8">
        <f>+MINVU_Mes_Corriente!EE90*SALUD_Mes_Constante!$EC$1</f>
        <v>79010.227987123624</v>
      </c>
      <c r="EF90" s="8">
        <f>+MINVU_Mes_Corriente!EF90*SALUD_Mes_Constante!$EC$1</f>
        <v>79988.830145805696</v>
      </c>
      <c r="EG90" s="8">
        <f>+MINVU_Mes_Corriente!EG90*SALUD_Mes_Constante!$EC$1</f>
        <v>88393.843400871017</v>
      </c>
      <c r="EH90" s="8">
        <f>+MINVU_Mes_Corriente!EH90*SALUD_Mes_Constante!$EC$1</f>
        <v>166075.82067790185</v>
      </c>
      <c r="EI90" s="8">
        <f>+MINVU_Mes_Corriente!EI90*SALUD_Mes_Constante!$EC$1</f>
        <v>230413.22306381361</v>
      </c>
      <c r="EJ90" s="8">
        <f>+MINVU_Mes_Corriente!EJ90*SALUD_Mes_Constante!$EC$1</f>
        <v>342473.51486460888</v>
      </c>
      <c r="EK90" s="8">
        <f>+MINVU_Mes_Corriente!EK90*SALUD_Mes_Constante!$EC$1</f>
        <v>414360.42946411652</v>
      </c>
      <c r="EL90" s="8">
        <f>+MINVU_Mes_Corriente!EL90*SALUD_Mes_Constante!$EC$1</f>
        <v>560584.90191251645</v>
      </c>
      <c r="EM90" s="8">
        <f>+MINVU_Mes_Corriente!EM90*SALUD_Mes_Constante!$EC$1</f>
        <v>758932.87010035955</v>
      </c>
      <c r="EN90" s="8">
        <f>+MINVU_Mes_Corriente!EN90*SALUD_Mes_Constante!$EC$1</f>
        <v>1370376.1192955875</v>
      </c>
      <c r="EO90" s="9">
        <f t="shared" si="48"/>
        <v>1370376.1192955875</v>
      </c>
      <c r="EP90" s="8">
        <f>+MINVU_Mes_Corriente!EP90*SALUD_Mes_Constante!$EP$1</f>
        <v>0</v>
      </c>
      <c r="EQ90" s="8">
        <f>+MINVU_Mes_Corriente!EQ90*SALUD_Mes_Constante!$EP$1</f>
        <v>0</v>
      </c>
      <c r="ER90" s="8">
        <f>+MINVU_Mes_Corriente!ER90*SALUD_Mes_Constante!$EP$1</f>
        <v>689770</v>
      </c>
      <c r="ES90" s="8">
        <f>+MINVU_Mes_Corriente!ES90*SALUD_Mes_Constante!$EP$1</f>
        <v>1051244</v>
      </c>
      <c r="ET90" s="8">
        <f>+MINVU_Mes_Corriente!ET90*SALUD_Mes_Constante!$EP$1</f>
        <v>1276682</v>
      </c>
      <c r="EU90" s="8">
        <f>+MINVU_Mes_Corriente!EU90*SALUD_Mes_Constante!$EP$1</f>
        <v>1496824</v>
      </c>
      <c r="EV90" s="8">
        <f>+MINVU_Mes_Corriente!EV90*SALUD_Mes_Constante!$EP$1</f>
        <v>1718944</v>
      </c>
      <c r="EW90" s="8">
        <f>+MINVU_Mes_Corriente!EW90*SALUD_Mes_Constante!$EP$1</f>
        <v>1951104</v>
      </c>
      <c r="EX90" s="8">
        <f>+MINVU_Mes_Corriente!EX90*SALUD_Mes_Constante!$EP$1</f>
        <v>2230181</v>
      </c>
      <c r="EY90" s="8">
        <f>+MINVU_Mes_Corriente!EY90*SALUD_Mes_Constante!$EP$1</f>
        <v>2408430</v>
      </c>
      <c r="EZ90" s="8">
        <f>+MINVU_Mes_Corriente!EZ90*SALUD_Mes_Constante!$EP$1</f>
        <v>2588641</v>
      </c>
      <c r="FA90" s="8">
        <f>+MINVU_Mes_Corriente!FA90*SALUD_Mes_Constante!$EP$1</f>
        <v>2964460</v>
      </c>
      <c r="FB90" s="9">
        <f t="shared" si="49"/>
        <v>2964460</v>
      </c>
      <c r="FC90" s="8">
        <f>+MINVU_Mes_Corriente!FC90*SALUD_Mes_Constante!$FC$1</f>
        <v>0</v>
      </c>
      <c r="FD90" s="8">
        <f>+MINVU_Mes_Corriente!FD90*SALUD_Mes_Constante!$FC$1</f>
        <v>13541</v>
      </c>
      <c r="FE90" s="8">
        <f>+MINVU_Mes_Corriente!FE90*SALUD_Mes_Constante!$FC$1</f>
        <v>227257</v>
      </c>
      <c r="FF90" s="8">
        <f>+MINVU_Mes_Corriente!FF90*SALUD_Mes_Constante!$FC$1</f>
        <v>840801</v>
      </c>
      <c r="FG90" s="8">
        <f>+MINVU_Mes_Corriente!FG90*SALUD_Mes_Constante!$FC$1</f>
        <v>845195</v>
      </c>
      <c r="FH90" s="8">
        <f>+MINVU_Mes_Corriente!FH90*SALUD_Mes_Constante!$FC$1</f>
        <v>876974</v>
      </c>
      <c r="FI90" s="8">
        <f>+MINVU_Mes_Corriente!FI90*SALUD_Mes_Constante!$FC$1</f>
        <v>903120</v>
      </c>
      <c r="FJ90" s="8"/>
      <c r="FK90" s="8"/>
      <c r="FL90" s="8"/>
      <c r="FM90" s="8"/>
      <c r="FN90" s="8"/>
      <c r="FO90" s="9">
        <f t="shared" si="50"/>
        <v>903120</v>
      </c>
    </row>
    <row r="91" spans="2:171" ht="14.25" customHeight="1" x14ac:dyDescent="0.3">
      <c r="B91" s="7" t="s">
        <v>54</v>
      </c>
      <c r="C91" s="8">
        <f>+MINVU_Mes_Corriente!C91*SALUD_Mes_Constante!$C$1</f>
        <v>0</v>
      </c>
      <c r="D91" s="8">
        <f>+MINVU_Mes_Corriente!D91*SALUD_Mes_Constante!$C$1</f>
        <v>180343.0037075486</v>
      </c>
      <c r="E91" s="8">
        <f>+MINVU_Mes_Corriente!E91*SALUD_Mes_Constante!$C$1</f>
        <v>5386788.5979534341</v>
      </c>
      <c r="F91" s="8">
        <f>+MINVU_Mes_Corriente!F91*SALUD_Mes_Constante!$C$1</f>
        <v>8045019.7461070754</v>
      </c>
      <c r="G91" s="8">
        <f>+MINVU_Mes_Corriente!G91*SALUD_Mes_Constante!$C$1</f>
        <v>8104531.8516980587</v>
      </c>
      <c r="H91" s="8">
        <f>+MINVU_Mes_Corriente!H91*SALUD_Mes_Constante!$C$1</f>
        <v>8773443.5111967977</v>
      </c>
      <c r="I91" s="8">
        <f>+MINVU_Mes_Corriente!I91*SALUD_Mes_Constante!$C$1</f>
        <v>8929121.5924662631</v>
      </c>
      <c r="J91" s="8">
        <f>+MINVU_Mes_Corriente!J91*SALUD_Mes_Constante!$C$1</f>
        <v>9116342.9693014994</v>
      </c>
      <c r="K91" s="8">
        <f>+MINVU_Mes_Corriente!K91*SALUD_Mes_Constante!$C$1</f>
        <v>9853694.8465074915</v>
      </c>
      <c r="L91" s="8">
        <f>+MINVU_Mes_Corriente!L91*SALUD_Mes_Constante!$C$1</f>
        <v>12170186.705027439</v>
      </c>
      <c r="M91" s="8">
        <f>+MINVU_Mes_Corriente!M91*SALUD_Mes_Constante!$C$1</f>
        <v>12477543.851104852</v>
      </c>
      <c r="N91" s="8">
        <f>+MINVU_Mes_Corriente!N91*SALUD_Mes_Constante!$C$1</f>
        <v>38499495.581491925</v>
      </c>
      <c r="O91" s="9">
        <f t="shared" si="38"/>
        <v>38499495.581491925</v>
      </c>
      <c r="P91" s="8">
        <f>+MINVU_Mes_Corriente!P91*SALUD_Mes_Constante!$P$1</f>
        <v>0</v>
      </c>
      <c r="Q91" s="8">
        <f>+MINVU_Mes_Corriente!Q91*SALUD_Mes_Constante!$P$1</f>
        <v>0</v>
      </c>
      <c r="R91" s="8">
        <f>+MINVU_Mes_Corriente!R91*SALUD_Mes_Constante!$P$1</f>
        <v>115583.69995738026</v>
      </c>
      <c r="S91" s="8">
        <f>+MINVU_Mes_Corriente!S91*SALUD_Mes_Constante!$P$1</f>
        <v>156099.46242363966</v>
      </c>
      <c r="T91" s="8">
        <f>+MINVU_Mes_Corriente!T91*SALUD_Mes_Constante!$P$1</f>
        <v>216519.20244352883</v>
      </c>
      <c r="U91" s="8">
        <f>+MINVU_Mes_Corriente!U91*SALUD_Mes_Constante!$P$1</f>
        <v>390739.1541412131</v>
      </c>
      <c r="V91" s="8">
        <f>+MINVU_Mes_Corriente!V91*SALUD_Mes_Constante!$P$1</f>
        <v>1227513.3601363825</v>
      </c>
      <c r="W91" s="8">
        <f>+MINVU_Mes_Corriente!W91*SALUD_Mes_Constante!$P$1</f>
        <v>3519083.1467537992</v>
      </c>
      <c r="X91" s="8">
        <f>+MINVU_Mes_Corriente!X91*SALUD_Mes_Constante!$P$1</f>
        <v>4971741.3354169605</v>
      </c>
      <c r="Y91" s="8">
        <f>+MINVU_Mes_Corriente!Y91*SALUD_Mes_Constante!$P$1</f>
        <v>6377442.0937633161</v>
      </c>
      <c r="Z91" s="8">
        <f>+MINVU_Mes_Corriente!Z91*SALUD_Mes_Constante!$P$1</f>
        <v>6986142.4526211079</v>
      </c>
      <c r="AA91" s="8">
        <f>+MINVU_Mes_Corriente!AA91*SALUD_Mes_Constante!$P$1</f>
        <v>22124754.186674234</v>
      </c>
      <c r="AB91" s="9">
        <f t="shared" si="39"/>
        <v>22124754.186674234</v>
      </c>
      <c r="AC91" s="8">
        <f>+MINVU_Mes_Corriente!AC91*SALUD_Mes_Constante!$AC$1</f>
        <v>0</v>
      </c>
      <c r="AD91" s="8">
        <f>+MINVU_Mes_Corriente!AD91*SALUD_Mes_Constante!$AC$1</f>
        <v>0</v>
      </c>
      <c r="AE91" s="8">
        <f>+MINVU_Mes_Corriente!AE91*SALUD_Mes_Constante!$AC$1</f>
        <v>647652.29049661092</v>
      </c>
      <c r="AF91" s="8">
        <f>+MINVU_Mes_Corriente!AF91*SALUD_Mes_Constante!$AC$1</f>
        <v>1385333.3700373496</v>
      </c>
      <c r="AG91" s="8">
        <f>+MINVU_Mes_Corriente!AG91*SALUD_Mes_Constante!$AC$1</f>
        <v>2240665.8110388713</v>
      </c>
      <c r="AH91" s="8">
        <f>+MINVU_Mes_Corriente!AH91*SALUD_Mes_Constante!$AC$1</f>
        <v>3309282.7196016046</v>
      </c>
      <c r="AI91" s="8">
        <f>+MINVU_Mes_Corriente!AI91*SALUD_Mes_Constante!$AC$1</f>
        <v>4471341.1863328265</v>
      </c>
      <c r="AJ91" s="8">
        <f>+MINVU_Mes_Corriente!AJ91*SALUD_Mes_Constante!$AC$1</f>
        <v>8667723.2120625265</v>
      </c>
      <c r="AK91" s="8">
        <f>+MINVU_Mes_Corriente!AK91*SALUD_Mes_Constante!$AC$1</f>
        <v>10216193.898741182</v>
      </c>
      <c r="AL91" s="8">
        <f>+MINVU_Mes_Corriente!AL91*SALUD_Mes_Constante!$AC$1</f>
        <v>11470244.479181075</v>
      </c>
      <c r="AM91" s="8">
        <f>+MINVU_Mes_Corriente!AM91*SALUD_Mes_Constante!$AC$1</f>
        <v>12513542.207774242</v>
      </c>
      <c r="AN91" s="8">
        <f>+MINVU_Mes_Corriente!AN91*SALUD_Mes_Constante!$AC$1</f>
        <v>16238079.429519989</v>
      </c>
      <c r="AO91" s="9">
        <f t="shared" si="40"/>
        <v>16238079.429519989</v>
      </c>
      <c r="AP91" s="8">
        <f>+MINVU_Mes_Corriente!AP91*SALUD_Mes_Constante!$AP$1</f>
        <v>0</v>
      </c>
      <c r="AQ91" s="8">
        <f>+MINVU_Mes_Corriente!AQ91*SALUD_Mes_Constante!$AP$1</f>
        <v>344456.44853239547</v>
      </c>
      <c r="AR91" s="8">
        <f>+MINVU_Mes_Corriente!AR91*SALUD_Mes_Constante!$AP$1</f>
        <v>2792996.2513188147</v>
      </c>
      <c r="AS91" s="8">
        <f>+MINVU_Mes_Corriente!AS91*SALUD_Mes_Constante!$AP$1</f>
        <v>4990133.1243067766</v>
      </c>
      <c r="AT91" s="8">
        <f>+MINVU_Mes_Corriente!AT91*SALUD_Mes_Constante!$AP$1</f>
        <v>6368792.4452860812</v>
      </c>
      <c r="AU91" s="8">
        <f>+MINVU_Mes_Corriente!AU91*SALUD_Mes_Constante!$AP$1</f>
        <v>8701040.4736913294</v>
      </c>
      <c r="AV91" s="8">
        <f>+MINVU_Mes_Corriente!AV91*SALUD_Mes_Constante!$AP$1</f>
        <v>10716910.380900852</v>
      </c>
      <c r="AW91" s="8">
        <f>+MINVU_Mes_Corriente!AW91*SALUD_Mes_Constante!$AP$1</f>
        <v>12316782.407412417</v>
      </c>
      <c r="AX91" s="8">
        <f>+MINVU_Mes_Corriente!AX91*SALUD_Mes_Constante!$AP$1</f>
        <v>13474625.095901528</v>
      </c>
      <c r="AY91" s="8">
        <f>+MINVU_Mes_Corriente!AY91*SALUD_Mes_Constante!$AP$1</f>
        <v>14163339.956445286</v>
      </c>
      <c r="AZ91" s="8">
        <f>+MINVU_Mes_Corriente!AZ91*SALUD_Mes_Constante!$AP$1</f>
        <v>14585654.315433517</v>
      </c>
      <c r="BA91" s="8">
        <f>+MINVU_Mes_Corriente!BA91*SALUD_Mes_Constante!$AP$1</f>
        <v>18280514.795076422</v>
      </c>
      <c r="BB91" s="9">
        <f t="shared" si="41"/>
        <v>18280514.795076422</v>
      </c>
      <c r="BC91" s="8">
        <f>+MINVU_Mes_Corriente!BC91*SALUD_Mes_Constante!$BC$1</f>
        <v>0</v>
      </c>
      <c r="BD91" s="8">
        <f>+MINVU_Mes_Corriente!BD91*SALUD_Mes_Constante!$BC$1</f>
        <v>0</v>
      </c>
      <c r="BE91" s="8">
        <f>+MINVU_Mes_Corriente!BE91*SALUD_Mes_Constante!$BC$1</f>
        <v>0</v>
      </c>
      <c r="BF91" s="8">
        <f>+MINVU_Mes_Corriente!BF91*SALUD_Mes_Constante!$BC$1</f>
        <v>1430553.8739285248</v>
      </c>
      <c r="BG91" s="8">
        <f>+MINVU_Mes_Corriente!BG91*SALUD_Mes_Constante!$BC$1</f>
        <v>1693602.0427271533</v>
      </c>
      <c r="BH91" s="8">
        <f>+MINVU_Mes_Corriente!BH91*SALUD_Mes_Constante!$BC$1</f>
        <v>1734833.5363312678</v>
      </c>
      <c r="BI91" s="8">
        <f>+MINVU_Mes_Corriente!BI91*SALUD_Mes_Constante!$BC$1</f>
        <v>1773189.0842674407</v>
      </c>
      <c r="BJ91" s="8">
        <f>+MINVU_Mes_Corriente!BJ91*SALUD_Mes_Constante!$BC$1</f>
        <v>2312506.7031517876</v>
      </c>
      <c r="BK91" s="8">
        <f>+MINVU_Mes_Corriente!BK91*SALUD_Mes_Constante!$BC$1</f>
        <v>2388838.8542793095</v>
      </c>
      <c r="BL91" s="8">
        <f>+MINVU_Mes_Corriente!BL91*SALUD_Mes_Constante!$BC$1</f>
        <v>2743889.9082157463</v>
      </c>
      <c r="BM91" s="8">
        <f>+MINVU_Mes_Corriente!BM91*SALUD_Mes_Constante!$BC$1</f>
        <v>3115741.3261242262</v>
      </c>
      <c r="BN91" s="8">
        <f>+MINVU_Mes_Corriente!BN91*SALUD_Mes_Constante!$BC$1</f>
        <v>5611586.6838981947</v>
      </c>
      <c r="BO91" s="9">
        <f t="shared" si="42"/>
        <v>5611586.6838981947</v>
      </c>
      <c r="BP91" s="8">
        <f>+MINVU_Mes_Corriente!BP91*SALUD_Mes_Constante!$BP$1</f>
        <v>0</v>
      </c>
      <c r="BQ91" s="8">
        <f>+MINVU_Mes_Corriente!BQ91*SALUD_Mes_Constante!$BP$1</f>
        <v>0</v>
      </c>
      <c r="BR91" s="8">
        <f>+MINVU_Mes_Corriente!BR91*SALUD_Mes_Constante!$BP$1</f>
        <v>1156647.9042253522</v>
      </c>
      <c r="BS91" s="8">
        <f>+MINVU_Mes_Corriente!BS91*SALUD_Mes_Constante!$BP$1</f>
        <v>2218407.4855313702</v>
      </c>
      <c r="BT91" s="8">
        <f>+MINVU_Mes_Corriente!BT91*SALUD_Mes_Constante!$BP$1</f>
        <v>3229740.9887323948</v>
      </c>
      <c r="BU91" s="8">
        <f>+MINVU_Mes_Corriente!BU91*SALUD_Mes_Constante!$BP$1</f>
        <v>4944748.0632522414</v>
      </c>
      <c r="BV91" s="8">
        <f>+MINVU_Mes_Corriente!BV91*SALUD_Mes_Constante!$BP$1</f>
        <v>5656104.8089628685</v>
      </c>
      <c r="BW91" s="8">
        <f>+MINVU_Mes_Corriente!BW91*SALUD_Mes_Constante!$BP$1</f>
        <v>6415929.066837389</v>
      </c>
      <c r="BX91" s="8">
        <f>+MINVU_Mes_Corriente!BX91*SALUD_Mes_Constante!$BP$1</f>
        <v>8867355.536235597</v>
      </c>
      <c r="BY91" s="8">
        <f>+MINVU_Mes_Corriente!BY91*SALUD_Mes_Constante!$BP$1</f>
        <v>10082796.792061461</v>
      </c>
      <c r="BZ91" s="8">
        <f>+MINVU_Mes_Corriente!BZ91*SALUD_Mes_Constante!$BP$1</f>
        <v>10547004.899615878</v>
      </c>
      <c r="CA91" s="8">
        <f>+MINVU_Mes_Corriente!CA91*SALUD_Mes_Constante!$BP$1</f>
        <v>13710568.74314981</v>
      </c>
      <c r="CB91" s="9">
        <f t="shared" si="43"/>
        <v>13710568.74314981</v>
      </c>
      <c r="CC91" s="8">
        <f>+MINVU_Mes_Corriente!CC91*SALUD_Mes_Constante!$CC$1</f>
        <v>0</v>
      </c>
      <c r="CD91" s="8">
        <f>+MINVU_Mes_Corriente!CD91*SALUD_Mes_Constante!$CC$1</f>
        <v>0</v>
      </c>
      <c r="CE91" s="8">
        <f>+MINVU_Mes_Corriente!CE91*SALUD_Mes_Constante!$CC$1</f>
        <v>391703.14509511378</v>
      </c>
      <c r="CF91" s="8">
        <f>+MINVU_Mes_Corriente!CF91*SALUD_Mes_Constante!$CC$1</f>
        <v>615086.39015292807</v>
      </c>
      <c r="CG91" s="8">
        <f>+MINVU_Mes_Corriente!CG91*SALUD_Mes_Constante!$CC$1</f>
        <v>845170.86087280873</v>
      </c>
      <c r="CH91" s="8">
        <f>+MINVU_Mes_Corriente!CH91*SALUD_Mes_Constante!$CC$1</f>
        <v>849508.38642297662</v>
      </c>
      <c r="CI91" s="8">
        <f>+MINVU_Mes_Corriente!CI91*SALUD_Mes_Constante!$CC$1</f>
        <v>954030.11861245811</v>
      </c>
      <c r="CJ91" s="8">
        <f>+MINVU_Mes_Corriente!CJ91*SALUD_Mes_Constante!$CC$1</f>
        <v>1159102.8384930997</v>
      </c>
      <c r="CK91" s="8">
        <f>+MINVU_Mes_Corriente!CK91*SALUD_Mes_Constante!$CC$1</f>
        <v>1244838.5885863486</v>
      </c>
      <c r="CL91" s="8">
        <f>+MINVU_Mes_Corriente!CL91*SALUD_Mes_Constante!$CC$1</f>
        <v>1572706.8877284597</v>
      </c>
      <c r="CM91" s="8">
        <f>+MINVU_Mes_Corriente!CM91*SALUD_Mes_Constante!$CC$1</f>
        <v>1682711.3174188738</v>
      </c>
      <c r="CN91" s="8">
        <f>+MINVU_Mes_Corriente!CN91*SALUD_Mes_Constante!$CC$1</f>
        <v>2034133.7523312198</v>
      </c>
      <c r="CO91" s="9">
        <f t="shared" si="44"/>
        <v>2034133.7523312198</v>
      </c>
      <c r="CP91" s="8">
        <f>+MINVU_Mes_Corriente!CP91*SALUD_Mes_Constante!$CP$1</f>
        <v>0</v>
      </c>
      <c r="CQ91" s="8">
        <f>+MINVU_Mes_Corriente!CQ91*SALUD_Mes_Constante!$CP$1</f>
        <v>38398.172157772613</v>
      </c>
      <c r="CR91" s="8">
        <f>+MINVU_Mes_Corriente!CR91*SALUD_Mes_Constante!$CP$1</f>
        <v>38398.172157772613</v>
      </c>
      <c r="CS91" s="8">
        <f>+MINVU_Mes_Corriente!CS91*SALUD_Mes_Constante!$CP$1</f>
        <v>45242.766125290014</v>
      </c>
      <c r="CT91" s="8">
        <f>+MINVU_Mes_Corriente!CT91*SALUD_Mes_Constante!$CP$1</f>
        <v>71027.872621809729</v>
      </c>
      <c r="CU91" s="8">
        <f>+MINVU_Mes_Corriente!CU91*SALUD_Mes_Constante!$CP$1</f>
        <v>93753.192111368888</v>
      </c>
      <c r="CV91" s="8">
        <f>+MINVU_Mes_Corriente!CV91*SALUD_Mes_Constante!$CP$1</f>
        <v>130172.76960556842</v>
      </c>
      <c r="CW91" s="8">
        <f>+MINVU_Mes_Corriente!CW91*SALUD_Mes_Constante!$CP$1</f>
        <v>170037.45939675171</v>
      </c>
      <c r="CX91" s="8">
        <f>+MINVU_Mes_Corriente!CX91*SALUD_Mes_Constante!$CP$1</f>
        <v>271502.2273781902</v>
      </c>
      <c r="CY91" s="8">
        <f>+MINVU_Mes_Corriente!CY91*SALUD_Mes_Constante!$CP$1</f>
        <v>312430.36426914146</v>
      </c>
      <c r="CZ91" s="8">
        <f>+MINVU_Mes_Corriente!CZ91*SALUD_Mes_Constante!$CP$1</f>
        <v>354259.7060324825</v>
      </c>
      <c r="DA91" s="8">
        <f>+MINVU_Mes_Corriente!DA91*SALUD_Mes_Constante!$CP$1</f>
        <v>390934.05452436185</v>
      </c>
      <c r="DB91" s="9">
        <f t="shared" si="45"/>
        <v>390934.05452436185</v>
      </c>
      <c r="DC91" s="8">
        <f>+MINVU_Mes_Corriente!DC91*SALUD_Mes_Constante!$DC$1</f>
        <v>0</v>
      </c>
      <c r="DD91" s="8">
        <f>+MINVU_Mes_Corriente!DD91*SALUD_Mes_Constante!$DC$1</f>
        <v>0</v>
      </c>
      <c r="DE91" s="8">
        <f>+MINVU_Mes_Corriente!DE91*SALUD_Mes_Constante!$DC$1</f>
        <v>0</v>
      </c>
      <c r="DF91" s="8">
        <f>+MINVU_Mes_Corriente!DF91*SALUD_Mes_Constante!$DC$1</f>
        <v>2191.7189589548411</v>
      </c>
      <c r="DG91" s="8">
        <f>+MINVU_Mes_Corriente!DG91*SALUD_Mes_Constante!$DC$1</f>
        <v>2191.7189589548411</v>
      </c>
      <c r="DH91" s="8">
        <f>+MINVU_Mes_Corriente!DH91*SALUD_Mes_Constante!$DC$1</f>
        <v>70890.306758563966</v>
      </c>
      <c r="DI91" s="8">
        <f>+MINVU_Mes_Corriente!DI91*SALUD_Mes_Constante!$DC$1</f>
        <v>155362.52731200503</v>
      </c>
      <c r="DJ91" s="8">
        <f>+MINVU_Mes_Corriente!DJ91*SALUD_Mes_Constante!$DC$1</f>
        <v>161884.85814216651</v>
      </c>
      <c r="DK91" s="8">
        <f>+MINVU_Mes_Corriente!DK91*SALUD_Mes_Constante!$DC$1</f>
        <v>164076.57710112137</v>
      </c>
      <c r="DL91" s="8">
        <f>+MINVU_Mes_Corriente!DL91*SALUD_Mes_Constante!$DC$1</f>
        <v>166268.29606007622</v>
      </c>
      <c r="DM91" s="8">
        <f>+MINVU_Mes_Corriente!DM91*SALUD_Mes_Constante!$DC$1</f>
        <v>168460.01501903104</v>
      </c>
      <c r="DN91" s="8">
        <f>+MINVU_Mes_Corriente!DN91*SALUD_Mes_Constante!$DC$1</f>
        <v>467072.16952988401</v>
      </c>
      <c r="DO91" s="9">
        <f t="shared" si="46"/>
        <v>467072.16952988401</v>
      </c>
      <c r="DP91" s="8">
        <f>+MINVU_Mes_Corriente!DP91*SALUD_Mes_Constante!$DP$1</f>
        <v>0</v>
      </c>
      <c r="DQ91" s="8">
        <f>+MINVU_Mes_Corriente!DQ91*SALUD_Mes_Constante!$DP$1</f>
        <v>0</v>
      </c>
      <c r="DR91" s="8">
        <f>+MINVU_Mes_Corriente!DR91*SALUD_Mes_Constante!$DP$1</f>
        <v>0</v>
      </c>
      <c r="DS91" s="8">
        <f>+MINVU_Mes_Corriente!DS91*SALUD_Mes_Constante!$DP$1</f>
        <v>0</v>
      </c>
      <c r="DT91" s="8">
        <f>+MINVU_Mes_Corriente!DT91*SALUD_Mes_Constante!$DP$1</f>
        <v>89674.517814726845</v>
      </c>
      <c r="DU91" s="8">
        <f>+MINVU_Mes_Corriente!DU91*SALUD_Mes_Constante!$DP$1</f>
        <v>555095.73277909739</v>
      </c>
      <c r="DV91" s="8">
        <f>+MINVU_Mes_Corriente!DV91*SALUD_Mes_Constante!$DP$1</f>
        <v>555095.73277909739</v>
      </c>
      <c r="DW91" s="8">
        <f>+MINVU_Mes_Corriente!DW91*SALUD_Mes_Constante!$DP$1</f>
        <v>1001081.7737529692</v>
      </c>
      <c r="DX91" s="8">
        <f>+MINVU_Mes_Corriente!DX91*SALUD_Mes_Constante!$DP$1</f>
        <v>1483376.4352731593</v>
      </c>
      <c r="DY91" s="8">
        <f>+MINVU_Mes_Corriente!DY91*SALUD_Mes_Constante!$DP$1</f>
        <v>1827172.3681710216</v>
      </c>
      <c r="DZ91" s="8">
        <f>+MINVU_Mes_Corriente!DZ91*SALUD_Mes_Constante!$DP$1</f>
        <v>2394437.6579572447</v>
      </c>
      <c r="EA91" s="8">
        <f>+MINVU_Mes_Corriente!EA91*SALUD_Mes_Constante!$DP$1</f>
        <v>3853877.2428741097</v>
      </c>
      <c r="EB91" s="9">
        <f t="shared" si="47"/>
        <v>3853877.2428741097</v>
      </c>
      <c r="EC91" s="8">
        <f>+MINVU_Mes_Corriente!EC91*SALUD_Mes_Constante!$EC$1</f>
        <v>0</v>
      </c>
      <c r="ED91" s="8">
        <f>+MINVU_Mes_Corriente!ED91*SALUD_Mes_Constante!$EC$1</f>
        <v>928384.14410149562</v>
      </c>
      <c r="EE91" s="8">
        <f>+MINVU_Mes_Corriente!EE91*SALUD_Mes_Constante!$EC$1</f>
        <v>928384.14410149562</v>
      </c>
      <c r="EF91" s="8">
        <f>+MINVU_Mes_Corriente!EF91*SALUD_Mes_Constante!$EC$1</f>
        <v>1780010.0865366403</v>
      </c>
      <c r="EG91" s="8">
        <f>+MINVU_Mes_Corriente!EG91*SALUD_Mes_Constante!$EC$1</f>
        <v>2084232.2567695505</v>
      </c>
      <c r="EH91" s="8">
        <f>+MINVU_Mes_Corriente!EH91*SALUD_Mes_Constante!$EC$1</f>
        <v>2084232.2567695505</v>
      </c>
      <c r="EI91" s="8">
        <f>+MINVU_Mes_Corriente!EI91*SALUD_Mes_Constante!$EC$1</f>
        <v>2818069.0503692473</v>
      </c>
      <c r="EJ91" s="8">
        <f>+MINVU_Mes_Corriente!EJ91*SALUD_Mes_Constante!$EC$1</f>
        <v>2818069.0503692473</v>
      </c>
      <c r="EK91" s="8">
        <f>+MINVU_Mes_Corriente!EK91*SALUD_Mes_Constante!$EC$1</f>
        <v>4558549.1957962494</v>
      </c>
      <c r="EL91" s="8">
        <f>+MINVU_Mes_Corriente!EL91*SALUD_Mes_Constante!$EC$1</f>
        <v>5090845.6678659329</v>
      </c>
      <c r="EM91" s="8">
        <f>+MINVU_Mes_Corriente!EM91*SALUD_Mes_Constante!$EC$1</f>
        <v>5094834.5578488903</v>
      </c>
      <c r="EN91" s="8">
        <f>+MINVU_Mes_Corriente!EN91*SALUD_Mes_Constante!$EC$1</f>
        <v>5309237.3944328707</v>
      </c>
      <c r="EO91" s="9">
        <f t="shared" si="48"/>
        <v>5309237.3944328707</v>
      </c>
      <c r="EP91" s="8">
        <f>+MINVU_Mes_Corriente!EP91*SALUD_Mes_Constante!$EP$1</f>
        <v>0</v>
      </c>
      <c r="EQ91" s="8">
        <f>+MINVU_Mes_Corriente!EQ91*SALUD_Mes_Constante!$EP$1</f>
        <v>0</v>
      </c>
      <c r="ER91" s="8">
        <f>+MINVU_Mes_Corriente!ER91*SALUD_Mes_Constante!$EP$1</f>
        <v>347212</v>
      </c>
      <c r="ES91" s="8">
        <f>+MINVU_Mes_Corriente!ES91*SALUD_Mes_Constante!$EP$1</f>
        <v>546793</v>
      </c>
      <c r="ET91" s="8">
        <f>+MINVU_Mes_Corriente!ET91*SALUD_Mes_Constante!$EP$1</f>
        <v>546793</v>
      </c>
      <c r="EU91" s="8">
        <f>+MINVU_Mes_Corriente!EU91*SALUD_Mes_Constante!$EP$1</f>
        <v>904938</v>
      </c>
      <c r="EV91" s="8">
        <f>+MINVU_Mes_Corriente!EV91*SALUD_Mes_Constante!$EP$1</f>
        <v>904938</v>
      </c>
      <c r="EW91" s="8">
        <f>+MINVU_Mes_Corriente!EW91*SALUD_Mes_Constante!$EP$1</f>
        <v>904938</v>
      </c>
      <c r="EX91" s="8">
        <f>+MINVU_Mes_Corriente!EX91*SALUD_Mes_Constante!$EP$1</f>
        <v>982169</v>
      </c>
      <c r="EY91" s="8">
        <f>+MINVU_Mes_Corriente!EY91*SALUD_Mes_Constante!$EP$1</f>
        <v>1153086</v>
      </c>
      <c r="EZ91" s="8">
        <f>+MINVU_Mes_Corriente!EZ91*SALUD_Mes_Constante!$EP$1</f>
        <v>1181536</v>
      </c>
      <c r="FA91" s="8">
        <f>+MINVU_Mes_Corriente!FA91*SALUD_Mes_Constante!$EP$1</f>
        <v>2055961</v>
      </c>
      <c r="FB91" s="9">
        <f t="shared" si="49"/>
        <v>2055961</v>
      </c>
      <c r="FC91" s="8">
        <f>+MINVU_Mes_Corriente!FC91*SALUD_Mes_Constante!$FC$1</f>
        <v>0</v>
      </c>
      <c r="FD91" s="8">
        <f>+MINVU_Mes_Corriente!FD91*SALUD_Mes_Constante!$FC$1</f>
        <v>21783</v>
      </c>
      <c r="FE91" s="8">
        <f>+MINVU_Mes_Corriente!FE91*SALUD_Mes_Constante!$FC$1</f>
        <v>21783</v>
      </c>
      <c r="FF91" s="8">
        <f>+MINVU_Mes_Corriente!FF91*SALUD_Mes_Constante!$FC$1</f>
        <v>21783</v>
      </c>
      <c r="FG91" s="8">
        <f>+MINVU_Mes_Corriente!FG91*SALUD_Mes_Constante!$FC$1</f>
        <v>21783</v>
      </c>
      <c r="FH91" s="8">
        <f>+MINVU_Mes_Corriente!FH91*SALUD_Mes_Constante!$FC$1</f>
        <v>21783</v>
      </c>
      <c r="FI91" s="8">
        <f>+MINVU_Mes_Corriente!FI91*SALUD_Mes_Constante!$FC$1</f>
        <v>25219</v>
      </c>
      <c r="FJ91" s="8"/>
      <c r="FK91" s="8"/>
      <c r="FL91" s="8"/>
      <c r="FM91" s="8"/>
      <c r="FN91" s="8"/>
      <c r="FO91" s="9">
        <f t="shared" si="50"/>
        <v>25219</v>
      </c>
    </row>
    <row r="92" spans="2:171" ht="14.25" customHeight="1" x14ac:dyDescent="0.3">
      <c r="B92" s="7" t="s">
        <v>55</v>
      </c>
      <c r="C92" s="8">
        <f>+MINVU_Mes_Corriente!C92*SALUD_Mes_Constante!$C$1</f>
        <v>0</v>
      </c>
      <c r="D92" s="8">
        <f>+MINVU_Mes_Corriente!D92*SALUD_Mes_Constante!$C$1</f>
        <v>0</v>
      </c>
      <c r="E92" s="8">
        <f>+MINVU_Mes_Corriente!E92*SALUD_Mes_Constante!$C$1</f>
        <v>6320511.9516535681</v>
      </c>
      <c r="F92" s="8">
        <f>+MINVU_Mes_Corriente!F92*SALUD_Mes_Constante!$C$1</f>
        <v>9105660.0213554818</v>
      </c>
      <c r="G92" s="8">
        <f>+MINVU_Mes_Corriente!G92*SALUD_Mes_Constante!$C$1</f>
        <v>13901780.277028032</v>
      </c>
      <c r="H92" s="8">
        <f>+MINVU_Mes_Corriente!H92*SALUD_Mes_Constante!$C$1</f>
        <v>16207046.371348068</v>
      </c>
      <c r="I92" s="8">
        <f>+MINVU_Mes_Corriente!I92*SALUD_Mes_Constante!$C$1</f>
        <v>19525740.689604037</v>
      </c>
      <c r="J92" s="8">
        <f>+MINVU_Mes_Corriente!J92*SALUD_Mes_Constante!$C$1</f>
        <v>22389086.706807062</v>
      </c>
      <c r="K92" s="8">
        <f>+MINVU_Mes_Corriente!K92*SALUD_Mes_Constante!$C$1</f>
        <v>26662270.746255379</v>
      </c>
      <c r="L92" s="8">
        <f>+MINVU_Mes_Corriente!L92*SALUD_Mes_Constante!$C$1</f>
        <v>29043924.860447876</v>
      </c>
      <c r="M92" s="8">
        <f>+MINVU_Mes_Corriente!M92*SALUD_Mes_Constante!$C$1</f>
        <v>31718740.260418218</v>
      </c>
      <c r="N92" s="8">
        <f>+MINVU_Mes_Corriente!N92*SALUD_Mes_Constante!$C$1</f>
        <v>46130090.511048503</v>
      </c>
      <c r="O92" s="9">
        <f t="shared" si="38"/>
        <v>46130090.511048503</v>
      </c>
      <c r="P92" s="8">
        <f>+MINVU_Mes_Corriente!P92*SALUD_Mes_Constante!$P$1</f>
        <v>0</v>
      </c>
      <c r="Q92" s="8">
        <f>+MINVU_Mes_Corriente!Q92*SALUD_Mes_Constante!$P$1</f>
        <v>0</v>
      </c>
      <c r="R92" s="8">
        <f>+MINVU_Mes_Corriente!R92*SALUD_Mes_Constante!$P$1</f>
        <v>1661141.6044892734</v>
      </c>
      <c r="S92" s="8">
        <f>+MINVU_Mes_Corriente!S92*SALUD_Mes_Constante!$P$1</f>
        <v>2740749.6141497362</v>
      </c>
      <c r="T92" s="8">
        <f>+MINVU_Mes_Corriente!T92*SALUD_Mes_Constante!$P$1</f>
        <v>2797700.1667850534</v>
      </c>
      <c r="U92" s="8">
        <f>+MINVU_Mes_Corriente!U92*SALUD_Mes_Constante!$P$1</f>
        <v>5652971.7698536702</v>
      </c>
      <c r="V92" s="8">
        <f>+MINVU_Mes_Corriente!V92*SALUD_Mes_Constante!$P$1</f>
        <v>6548084.2034379859</v>
      </c>
      <c r="W92" s="8">
        <f>+MINVU_Mes_Corriente!W92*SALUD_Mes_Constante!$P$1</f>
        <v>7025489.4016195452</v>
      </c>
      <c r="X92" s="8">
        <f>+MINVU_Mes_Corriente!X92*SALUD_Mes_Constante!$P$1</f>
        <v>13366782.097172888</v>
      </c>
      <c r="Y92" s="8">
        <f>+MINVU_Mes_Corriente!Y92*SALUD_Mes_Constante!$P$1</f>
        <v>15500529.469242785</v>
      </c>
      <c r="Z92" s="8">
        <f>+MINVU_Mes_Corriente!Z92*SALUD_Mes_Constante!$P$1</f>
        <v>25645656.522517394</v>
      </c>
      <c r="AA92" s="8">
        <f>+MINVU_Mes_Corriente!AA92*SALUD_Mes_Constante!$P$1</f>
        <v>37575141.092484713</v>
      </c>
      <c r="AB92" s="9">
        <f t="shared" si="39"/>
        <v>37575141.092484713</v>
      </c>
      <c r="AC92" s="8">
        <f>+MINVU_Mes_Corriente!AC92*SALUD_Mes_Constante!$AC$1</f>
        <v>0</v>
      </c>
      <c r="AD92" s="8">
        <f>+MINVU_Mes_Corriente!AD92*SALUD_Mes_Constante!$AC$1</f>
        <v>198805.13708673397</v>
      </c>
      <c r="AE92" s="8">
        <f>+MINVU_Mes_Corriente!AE92*SALUD_Mes_Constante!$AC$1</f>
        <v>541440.80924055888</v>
      </c>
      <c r="AF92" s="8">
        <f>+MINVU_Mes_Corriente!AF92*SALUD_Mes_Constante!$AC$1</f>
        <v>1051151.0272513488</v>
      </c>
      <c r="AG92" s="8">
        <f>+MINVU_Mes_Corriente!AG92*SALUD_Mes_Constante!$AC$1</f>
        <v>1651255.7960990455</v>
      </c>
      <c r="AH92" s="8">
        <f>+MINVU_Mes_Corriente!AH92*SALUD_Mes_Constante!$AC$1</f>
        <v>2696965.7388297138</v>
      </c>
      <c r="AI92" s="8">
        <f>+MINVU_Mes_Corriente!AI92*SALUD_Mes_Constante!$AC$1</f>
        <v>3821133.097523862</v>
      </c>
      <c r="AJ92" s="8">
        <f>+MINVU_Mes_Corriente!AJ92*SALUD_Mes_Constante!$AC$1</f>
        <v>5386681.2325356202</v>
      </c>
      <c r="AK92" s="8">
        <f>+MINVU_Mes_Corriente!AK92*SALUD_Mes_Constante!$AC$1</f>
        <v>7653527.728593166</v>
      </c>
      <c r="AL92" s="8">
        <f>+MINVU_Mes_Corriente!AL92*SALUD_Mes_Constante!$AC$1</f>
        <v>8518678.3043297827</v>
      </c>
      <c r="AM92" s="8">
        <f>+MINVU_Mes_Corriente!AM92*SALUD_Mes_Constante!$AC$1</f>
        <v>12760629.412920183</v>
      </c>
      <c r="AN92" s="8">
        <f>+MINVU_Mes_Corriente!AN92*SALUD_Mes_Constante!$AC$1</f>
        <v>25894027.526352193</v>
      </c>
      <c r="AO92" s="9">
        <f t="shared" si="40"/>
        <v>25894027.526352193</v>
      </c>
      <c r="AP92" s="8">
        <f>+MINVU_Mes_Corriente!AP92*SALUD_Mes_Constante!$AP$1</f>
        <v>0</v>
      </c>
      <c r="AQ92" s="8">
        <f>+MINVU_Mes_Corriente!AQ92*SALUD_Mes_Constante!$AP$1</f>
        <v>912377.89855268493</v>
      </c>
      <c r="AR92" s="8">
        <f>+MINVU_Mes_Corriente!AR92*SALUD_Mes_Constante!$AP$1</f>
        <v>1793359.6190991476</v>
      </c>
      <c r="AS92" s="8">
        <f>+MINVU_Mes_Corriente!AS92*SALUD_Mes_Constante!$AP$1</f>
        <v>3408653.3702150681</v>
      </c>
      <c r="AT92" s="8">
        <f>+MINVU_Mes_Corriente!AT92*SALUD_Mes_Constante!$AP$1</f>
        <v>4119750.7912890571</v>
      </c>
      <c r="AU92" s="8">
        <f>+MINVU_Mes_Corriente!AU92*SALUD_Mes_Constante!$AP$1</f>
        <v>4857439.7879074793</v>
      </c>
      <c r="AV92" s="8">
        <f>+MINVU_Mes_Corriente!AV92*SALUD_Mes_Constante!$AP$1</f>
        <v>17157703.880427431</v>
      </c>
      <c r="AW92" s="8">
        <f>+MINVU_Mes_Corriente!AW92*SALUD_Mes_Constante!$AP$1</f>
        <v>17897410.189368319</v>
      </c>
      <c r="AX92" s="8">
        <f>+MINVU_Mes_Corriente!AX92*SALUD_Mes_Constante!$AP$1</f>
        <v>18474172.344379816</v>
      </c>
      <c r="AY92" s="8">
        <f>+MINVU_Mes_Corriente!AY92*SALUD_Mes_Constante!$AP$1</f>
        <v>19280132.21479778</v>
      </c>
      <c r="AZ92" s="8">
        <f>+MINVU_Mes_Corriente!AZ92*SALUD_Mes_Constante!$AP$1</f>
        <v>19821564.063303124</v>
      </c>
      <c r="BA92" s="8">
        <f>+MINVU_Mes_Corriente!BA92*SALUD_Mes_Constante!$AP$1</f>
        <v>23457485.031786826</v>
      </c>
      <c r="BB92" s="9">
        <f t="shared" si="41"/>
        <v>23457485.031786826</v>
      </c>
      <c r="BC92" s="8">
        <f>+MINVU_Mes_Corriente!BC92*SALUD_Mes_Constante!$BC$1</f>
        <v>0</v>
      </c>
      <c r="BD92" s="8">
        <f>+MINVU_Mes_Corriente!BD92*SALUD_Mes_Constante!$BC$1</f>
        <v>0</v>
      </c>
      <c r="BE92" s="8">
        <f>+MINVU_Mes_Corriente!BE92*SALUD_Mes_Constante!$BC$1</f>
        <v>884429.65818277746</v>
      </c>
      <c r="BF92" s="8">
        <f>+MINVU_Mes_Corriente!BF92*SALUD_Mes_Constante!$BC$1</f>
        <v>2761190.24871423</v>
      </c>
      <c r="BG92" s="8">
        <f>+MINVU_Mes_Corriente!BG92*SALUD_Mes_Constante!$BC$1</f>
        <v>5109130.4467888707</v>
      </c>
      <c r="BH92" s="8">
        <f>+MINVU_Mes_Corriente!BH92*SALUD_Mes_Constante!$BC$1</f>
        <v>6149080.1809310317</v>
      </c>
      <c r="BI92" s="8">
        <f>+MINVU_Mes_Corriente!BI92*SALUD_Mes_Constante!$BC$1</f>
        <v>7198154.8468943704</v>
      </c>
      <c r="BJ92" s="8">
        <f>+MINVU_Mes_Corriente!BJ92*SALUD_Mes_Constante!$BC$1</f>
        <v>8002324.5844652532</v>
      </c>
      <c r="BK92" s="8">
        <f>+MINVU_Mes_Corriente!BK92*SALUD_Mes_Constante!$BC$1</f>
        <v>10971986.313596204</v>
      </c>
      <c r="BL92" s="8">
        <f>+MINVU_Mes_Corriente!BL92*SALUD_Mes_Constante!$BC$1</f>
        <v>11317915.31742055</v>
      </c>
      <c r="BM92" s="8">
        <f>+MINVU_Mes_Corriente!BM92*SALUD_Mes_Constante!$BC$1</f>
        <v>13403349.108004751</v>
      </c>
      <c r="BN92" s="8">
        <f>+MINVU_Mes_Corriente!BN92*SALUD_Mes_Constante!$BC$1</f>
        <v>16261027.622049324</v>
      </c>
      <c r="BO92" s="9">
        <f t="shared" si="42"/>
        <v>16261027.622049324</v>
      </c>
      <c r="BP92" s="8">
        <f>+MINVU_Mes_Corriente!BP92*SALUD_Mes_Constante!$BP$1</f>
        <v>41725848.399487838</v>
      </c>
      <c r="BQ92" s="8">
        <f>+MINVU_Mes_Corriente!BQ92*SALUD_Mes_Constante!$BP$1</f>
        <v>42466341.611523695</v>
      </c>
      <c r="BR92" s="8">
        <f>+MINVU_Mes_Corriente!BR92*SALUD_Mes_Constante!$BP$1</f>
        <v>42782484.93188221</v>
      </c>
      <c r="BS92" s="8">
        <f>+MINVU_Mes_Corriente!BS92*SALUD_Mes_Constante!$BP$1</f>
        <v>43063471.993597955</v>
      </c>
      <c r="BT92" s="8">
        <f>+MINVU_Mes_Corriente!BT92*SALUD_Mes_Constante!$BP$1</f>
        <v>73332032.801024333</v>
      </c>
      <c r="BU92" s="8">
        <f>+MINVU_Mes_Corriente!BU92*SALUD_Mes_Constante!$BP$1</f>
        <v>73667964.632266328</v>
      </c>
      <c r="BV92" s="8">
        <f>+MINVU_Mes_Corriente!BV92*SALUD_Mes_Constante!$BP$1</f>
        <v>73877419.26991038</v>
      </c>
      <c r="BW92" s="8">
        <f>+MINVU_Mes_Corriente!BW92*SALUD_Mes_Constante!$BP$1</f>
        <v>74208689.714212552</v>
      </c>
      <c r="BX92" s="8">
        <f>+MINVU_Mes_Corriente!BX92*SALUD_Mes_Constante!$BP$1</f>
        <v>137778435.24660692</v>
      </c>
      <c r="BY92" s="8">
        <f>+MINVU_Mes_Corriente!BY92*SALUD_Mes_Constante!$BP$1</f>
        <v>138151726.72317544</v>
      </c>
      <c r="BZ92" s="8">
        <f>+MINVU_Mes_Corriente!BZ92*SALUD_Mes_Constante!$BP$1</f>
        <v>138560983.06632525</v>
      </c>
      <c r="CA92" s="8">
        <f>+MINVU_Mes_Corriente!CA92*SALUD_Mes_Constante!$BP$1</f>
        <v>176932285.05941102</v>
      </c>
      <c r="CB92" s="9">
        <f t="shared" si="43"/>
        <v>176932285.05941102</v>
      </c>
      <c r="CC92" s="8">
        <f>+MINVU_Mes_Corriente!CC92*SALUD_Mes_Constante!$CC$1</f>
        <v>0</v>
      </c>
      <c r="CD92" s="8">
        <f>+MINVU_Mes_Corriente!CD92*SALUD_Mes_Constante!$CC$1</f>
        <v>0</v>
      </c>
      <c r="CE92" s="8">
        <f>+MINVU_Mes_Corriente!CE92*SALUD_Mes_Constante!$CC$1</f>
        <v>769863.9186870571</v>
      </c>
      <c r="CF92" s="8">
        <f>+MINVU_Mes_Corriente!CF92*SALUD_Mes_Constante!$CC$1</f>
        <v>31914278.168593813</v>
      </c>
      <c r="CG92" s="8">
        <f>+MINVU_Mes_Corriente!CG92*SALUD_Mes_Constante!$CC$1</f>
        <v>32110477.503916454</v>
      </c>
      <c r="CH92" s="8">
        <f>+MINVU_Mes_Corriente!CH92*SALUD_Mes_Constante!$CC$1</f>
        <v>32318734.426706456</v>
      </c>
      <c r="CI92" s="8">
        <f>+MINVU_Mes_Corriente!CI92*SALUD_Mes_Constante!$CC$1</f>
        <v>32563871.863483779</v>
      </c>
      <c r="CJ92" s="8">
        <f>+MINVU_Mes_Corriente!CJ92*SALUD_Mes_Constante!$CC$1</f>
        <v>33070589.395747859</v>
      </c>
      <c r="CK92" s="8">
        <f>+MINVU_Mes_Corriente!CK92*SALUD_Mes_Constante!$CC$1</f>
        <v>34380118.652741514</v>
      </c>
      <c r="CL92" s="8">
        <f>+MINVU_Mes_Corriente!CL92*SALUD_Mes_Constante!$CC$1</f>
        <v>35534528.052219324</v>
      </c>
      <c r="CM92" s="8">
        <f>+MINVU_Mes_Corriente!CM92*SALUD_Mes_Constante!$CC$1</f>
        <v>38985429.690414026</v>
      </c>
      <c r="CN92" s="8">
        <f>+MINVU_Mes_Corriente!CN92*SALUD_Mes_Constante!$CC$1</f>
        <v>109263855.27638942</v>
      </c>
      <c r="CO92" s="9">
        <f t="shared" si="44"/>
        <v>109263855.27638942</v>
      </c>
      <c r="CP92" s="8">
        <f>+MINVU_Mes_Corriente!CP92*SALUD_Mes_Constante!$CP$1</f>
        <v>0</v>
      </c>
      <c r="CQ92" s="8">
        <f>+MINVU_Mes_Corriente!CQ92*SALUD_Mes_Constante!$CP$1</f>
        <v>0</v>
      </c>
      <c r="CR92" s="8">
        <f>+MINVU_Mes_Corriente!CR92*SALUD_Mes_Constante!$CP$1</f>
        <v>1985492.4932714612</v>
      </c>
      <c r="CS92" s="8">
        <f>+MINVU_Mes_Corriente!CS92*SALUD_Mes_Constante!$CP$1</f>
        <v>2928079.2737819022</v>
      </c>
      <c r="CT92" s="8">
        <f>+MINVU_Mes_Corriente!CT92*SALUD_Mes_Constante!$CP$1</f>
        <v>4447496.7459396739</v>
      </c>
      <c r="CU92" s="8">
        <f>+MINVU_Mes_Corriente!CU92*SALUD_Mes_Constante!$CP$1</f>
        <v>6861645.879118328</v>
      </c>
      <c r="CV92" s="8">
        <f>+MINVU_Mes_Corriente!CV92*SALUD_Mes_Constante!$CP$1</f>
        <v>9694277.2900232002</v>
      </c>
      <c r="CW92" s="8">
        <f>+MINVU_Mes_Corriente!CW92*SALUD_Mes_Constante!$CP$1</f>
        <v>30997144.388631083</v>
      </c>
      <c r="CX92" s="8">
        <f>+MINVU_Mes_Corriente!CX92*SALUD_Mes_Constante!$CP$1</f>
        <v>33637205.683294654</v>
      </c>
      <c r="CY92" s="8">
        <f>+MINVU_Mes_Corriente!CY92*SALUD_Mes_Constante!$CP$1</f>
        <v>36586288.987935029</v>
      </c>
      <c r="CZ92" s="8">
        <f>+MINVU_Mes_Corriente!CZ92*SALUD_Mes_Constante!$CP$1</f>
        <v>39175853.656844541</v>
      </c>
      <c r="DA92" s="8">
        <f>+MINVU_Mes_Corriente!DA92*SALUD_Mes_Constante!$CP$1</f>
        <v>48012747.953596279</v>
      </c>
      <c r="DB92" s="9">
        <f t="shared" si="45"/>
        <v>48012747.953596279</v>
      </c>
      <c r="DC92" s="8">
        <f>+MINVU_Mes_Corriente!DC92*SALUD_Mes_Constante!$DC$1</f>
        <v>0</v>
      </c>
      <c r="DD92" s="8">
        <f>+MINVU_Mes_Corriente!DD92*SALUD_Mes_Constante!$DC$1</f>
        <v>1807946.7213249675</v>
      </c>
      <c r="DE92" s="8">
        <f>+MINVU_Mes_Corriente!DE92*SALUD_Mes_Constante!$DC$1</f>
        <v>3987800.0510235592</v>
      </c>
      <c r="DF92" s="8">
        <f>+MINVU_Mes_Corriente!DF92*SALUD_Mes_Constante!$DC$1</f>
        <v>7479052.1224153927</v>
      </c>
      <c r="DG92" s="8">
        <f>+MINVU_Mes_Corriente!DG92*SALUD_Mes_Constante!$DC$1</f>
        <v>10938888.431437099</v>
      </c>
      <c r="DH92" s="8">
        <f>+MINVU_Mes_Corriente!DH92*SALUD_Mes_Constante!$DC$1</f>
        <v>13765609.066556945</v>
      </c>
      <c r="DI92" s="8">
        <f>+MINVU_Mes_Corriente!DI92*SALUD_Mes_Constante!$DC$1</f>
        <v>14645315.602510037</v>
      </c>
      <c r="DJ92" s="8">
        <f>+MINVU_Mes_Corriente!DJ92*SALUD_Mes_Constante!$DC$1</f>
        <v>18231940.04341118</v>
      </c>
      <c r="DK92" s="8">
        <f>+MINVU_Mes_Corriente!DK92*SALUD_Mes_Constante!$DC$1</f>
        <v>20244203.301923681</v>
      </c>
      <c r="DL92" s="8">
        <f>+MINVU_Mes_Corriente!DL92*SALUD_Mes_Constante!$DC$1</f>
        <v>32196720.165415097</v>
      </c>
      <c r="DM92" s="8">
        <f>+MINVU_Mes_Corriente!DM92*SALUD_Mes_Constante!$DC$1</f>
        <v>35041258.913692027</v>
      </c>
      <c r="DN92" s="8">
        <f>+MINVU_Mes_Corriente!DN92*SALUD_Mes_Constante!$DC$1</f>
        <v>42024443.051332191</v>
      </c>
      <c r="DO92" s="9">
        <f t="shared" si="46"/>
        <v>42024443.051332191</v>
      </c>
      <c r="DP92" s="8">
        <f>+MINVU_Mes_Corriente!DP92*SALUD_Mes_Constante!$DP$1</f>
        <v>0</v>
      </c>
      <c r="DQ92" s="8">
        <f>+MINVU_Mes_Corriente!DQ92*SALUD_Mes_Constante!$DP$1</f>
        <v>1420899.0498812352</v>
      </c>
      <c r="DR92" s="8">
        <f>+MINVU_Mes_Corriente!DR92*SALUD_Mes_Constante!$DP$1</f>
        <v>3080855.1733966749</v>
      </c>
      <c r="DS92" s="8">
        <f>+MINVU_Mes_Corriente!DS92*SALUD_Mes_Constante!$DP$1</f>
        <v>4375040.089667459</v>
      </c>
      <c r="DT92" s="8">
        <f>+MINVU_Mes_Corriente!DT92*SALUD_Mes_Constante!$DP$1</f>
        <v>5661180.8141330173</v>
      </c>
      <c r="DU92" s="8">
        <f>+MINVU_Mes_Corriente!DU92*SALUD_Mes_Constante!$DP$1</f>
        <v>6913542.2048693597</v>
      </c>
      <c r="DV92" s="8">
        <f>+MINVU_Mes_Corriente!DV92*SALUD_Mes_Constante!$DP$1</f>
        <v>8296171.0581947751</v>
      </c>
      <c r="DW92" s="8">
        <f>+MINVU_Mes_Corriente!DW92*SALUD_Mes_Constante!$DP$1</f>
        <v>9072206.8610451315</v>
      </c>
      <c r="DX92" s="8">
        <f>+MINVU_Mes_Corriente!DX92*SALUD_Mes_Constante!$DP$1</f>
        <v>10409932.49287411</v>
      </c>
      <c r="DY92" s="8">
        <f>+MINVU_Mes_Corriente!DY92*SALUD_Mes_Constante!$DP$1</f>
        <v>11702359.12767221</v>
      </c>
      <c r="DZ92" s="8">
        <f>+MINVU_Mes_Corriente!DZ92*SALUD_Mes_Constante!$DP$1</f>
        <v>13195717.540973874</v>
      </c>
      <c r="EA92" s="8">
        <f>+MINVU_Mes_Corriente!EA92*SALUD_Mes_Constante!$DP$1</f>
        <v>19149932.290973872</v>
      </c>
      <c r="EB92" s="9">
        <f t="shared" si="47"/>
        <v>19149932.290973872</v>
      </c>
      <c r="EC92" s="8">
        <f>+MINVU_Mes_Corriente!EC92*SALUD_Mes_Constante!$EC$1</f>
        <v>0</v>
      </c>
      <c r="ED92" s="8">
        <f>+MINVU_Mes_Corriente!ED92*SALUD_Mes_Constante!$EC$1</f>
        <v>0</v>
      </c>
      <c r="EE92" s="8">
        <f>+MINVU_Mes_Corriente!EE92*SALUD_Mes_Constante!$EC$1</f>
        <v>1344834.1891687177</v>
      </c>
      <c r="EF92" s="8">
        <f>+MINVU_Mes_Corriente!EF92*SALUD_Mes_Constante!$EC$1</f>
        <v>2076716.8818405599</v>
      </c>
      <c r="EG92" s="8">
        <f>+MINVU_Mes_Corriente!EG92*SALUD_Mes_Constante!$EC$1</f>
        <v>2594091.2226850968</v>
      </c>
      <c r="EH92" s="8">
        <f>+MINVU_Mes_Corriente!EH92*SALUD_Mes_Constante!$EC$1</f>
        <v>3043995.8066654033</v>
      </c>
      <c r="EI92" s="8">
        <f>+MINVU_Mes_Corriente!EI92*SALUD_Mes_Constante!$EC$1</f>
        <v>3728631.4629804948</v>
      </c>
      <c r="EJ92" s="8">
        <f>+MINVU_Mes_Corriente!EJ92*SALUD_Mes_Constante!$EC$1</f>
        <v>4295631.0710092774</v>
      </c>
      <c r="EK92" s="8">
        <f>+MINVU_Mes_Corriente!EK92*SALUD_Mes_Constante!$EC$1</f>
        <v>4784160.4408255992</v>
      </c>
      <c r="EL92" s="8">
        <f>+MINVU_Mes_Corriente!EL92*SALUD_Mes_Constante!$EC$1</f>
        <v>16469996.397273239</v>
      </c>
      <c r="EM92" s="8">
        <f>+MINVU_Mes_Corriente!EM92*SALUD_Mes_Constante!$EC$1</f>
        <v>17345382.924256764</v>
      </c>
      <c r="EN92" s="8">
        <f>+MINVU_Mes_Corriente!EN92*SALUD_Mes_Constante!$EC$1</f>
        <v>20057066.747775037</v>
      </c>
      <c r="EO92" s="9">
        <f t="shared" si="48"/>
        <v>20057066.747775037</v>
      </c>
      <c r="EP92" s="8">
        <f>+MINVU_Mes_Corriente!EP92*SALUD_Mes_Constante!$EP$1</f>
        <v>0</v>
      </c>
      <c r="EQ92" s="8">
        <f>+MINVU_Mes_Corriente!EQ92*SALUD_Mes_Constante!$EP$1</f>
        <v>1444391</v>
      </c>
      <c r="ER92" s="8">
        <f>+MINVU_Mes_Corriente!ER92*SALUD_Mes_Constante!$EP$1</f>
        <v>3307459</v>
      </c>
      <c r="ES92" s="8">
        <f>+MINVU_Mes_Corriente!ES92*SALUD_Mes_Constante!$EP$1</f>
        <v>5697964</v>
      </c>
      <c r="ET92" s="8">
        <f>+MINVU_Mes_Corriente!ET92*SALUD_Mes_Constante!$EP$1</f>
        <v>7210914</v>
      </c>
      <c r="EU92" s="8">
        <f>+MINVU_Mes_Corriente!EU92*SALUD_Mes_Constante!$EP$1</f>
        <v>8140142</v>
      </c>
      <c r="EV92" s="8">
        <f>+MINVU_Mes_Corriente!EV92*SALUD_Mes_Constante!$EP$1</f>
        <v>8728998</v>
      </c>
      <c r="EW92" s="8">
        <f>+MINVU_Mes_Corriente!EW92*SALUD_Mes_Constante!$EP$1</f>
        <v>9505420</v>
      </c>
      <c r="EX92" s="8">
        <f>+MINVU_Mes_Corriente!EX92*SALUD_Mes_Constante!$EP$1</f>
        <v>9596544</v>
      </c>
      <c r="EY92" s="8">
        <f>+MINVU_Mes_Corriente!EY92*SALUD_Mes_Constante!$EP$1</f>
        <v>10241243</v>
      </c>
      <c r="EZ92" s="8">
        <f>+MINVU_Mes_Corriente!EZ92*SALUD_Mes_Constante!$EP$1</f>
        <v>10312665</v>
      </c>
      <c r="FA92" s="8">
        <f>+MINVU_Mes_Corriente!FA92*SALUD_Mes_Constante!$EP$1</f>
        <v>10877039</v>
      </c>
      <c r="FB92" s="9">
        <f t="shared" si="49"/>
        <v>10877039</v>
      </c>
      <c r="FC92" s="8">
        <f>+MINVU_Mes_Corriente!FC92*SALUD_Mes_Constante!$FC$1</f>
        <v>37134</v>
      </c>
      <c r="FD92" s="8">
        <f>+MINVU_Mes_Corriente!FD92*SALUD_Mes_Constante!$FC$1</f>
        <v>71427</v>
      </c>
      <c r="FE92" s="8">
        <f>+MINVU_Mes_Corriente!FE92*SALUD_Mes_Constante!$FC$1</f>
        <v>82441</v>
      </c>
      <c r="FF92" s="8">
        <f>+MINVU_Mes_Corriente!FF92*SALUD_Mes_Constante!$FC$1</f>
        <v>91437</v>
      </c>
      <c r="FG92" s="8">
        <f>+MINVU_Mes_Corriente!FG92*SALUD_Mes_Constante!$FC$1</f>
        <v>127594</v>
      </c>
      <c r="FH92" s="8">
        <f>+MINVU_Mes_Corriente!FH92*SALUD_Mes_Constante!$FC$1</f>
        <v>1265885</v>
      </c>
      <c r="FI92" s="8">
        <f>+MINVU_Mes_Corriente!FI92*SALUD_Mes_Constante!$FC$1</f>
        <v>1314068</v>
      </c>
      <c r="FJ92" s="8"/>
      <c r="FK92" s="8"/>
      <c r="FL92" s="8"/>
      <c r="FM92" s="8"/>
      <c r="FN92" s="8"/>
      <c r="FO92" s="9">
        <f t="shared" si="50"/>
        <v>1314068</v>
      </c>
    </row>
    <row r="93" spans="2:171" ht="14.25" customHeight="1" x14ac:dyDescent="0.3">
      <c r="B93" s="7" t="s">
        <v>56</v>
      </c>
      <c r="C93" s="8">
        <f>+MINVU_Mes_Corriente!C93*SALUD_Mes_Constante!$C$1</f>
        <v>0</v>
      </c>
      <c r="D93" s="8">
        <f>+MINVU_Mes_Corriente!D93*SALUD_Mes_Constante!$C$1</f>
        <v>2159865.8742399528</v>
      </c>
      <c r="E93" s="8">
        <f>+MINVU_Mes_Corriente!E93*SALUD_Mes_Constante!$C$1</f>
        <v>3165710.8740916513</v>
      </c>
      <c r="F93" s="8">
        <f>+MINVU_Mes_Corriente!F93*SALUD_Mes_Constante!$C$1</f>
        <v>3544990.3636363642</v>
      </c>
      <c r="G93" s="8">
        <f>+MINVU_Mes_Corriente!G93*SALUD_Mes_Constante!$C$1</f>
        <v>3896095.2590834945</v>
      </c>
      <c r="H93" s="8">
        <f>+MINVU_Mes_Corriente!H93*SALUD_Mes_Constante!$C$1</f>
        <v>4381262.8064659657</v>
      </c>
      <c r="I93" s="8">
        <f>+MINVU_Mes_Corriente!I93*SALUD_Mes_Constante!$C$1</f>
        <v>4952430.2722823676</v>
      </c>
      <c r="J93" s="8">
        <f>+MINVU_Mes_Corriente!J93*SALUD_Mes_Constante!$C$1</f>
        <v>6912816.8444312634</v>
      </c>
      <c r="K93" s="8">
        <f>+MINVU_Mes_Corriente!K93*SALUD_Mes_Constante!$C$1</f>
        <v>8056169.3539967388</v>
      </c>
      <c r="L93" s="8">
        <f>+MINVU_Mes_Corriente!L93*SALUD_Mes_Constante!$C$1</f>
        <v>8060101.9362301659</v>
      </c>
      <c r="M93" s="8">
        <f>+MINVU_Mes_Corriente!M93*SALUD_Mes_Constante!$C$1</f>
        <v>8915306.5137179308</v>
      </c>
      <c r="N93" s="8">
        <f>+MINVU_Mes_Corriente!N93*SALUD_Mes_Constante!$C$1</f>
        <v>9593296.9776064083</v>
      </c>
      <c r="O93" s="9">
        <f t="shared" si="38"/>
        <v>9593296.9776064083</v>
      </c>
      <c r="P93" s="8">
        <f>+MINVU_Mes_Corriente!P93*SALUD_Mes_Constante!$P$1</f>
        <v>0</v>
      </c>
      <c r="Q93" s="8">
        <f>+MINVU_Mes_Corriente!Q93*SALUD_Mes_Constante!$P$1</f>
        <v>325006.20230146317</v>
      </c>
      <c r="R93" s="8">
        <f>+MINVU_Mes_Corriente!R93*SALUD_Mes_Constante!$P$1</f>
        <v>818690.96974001953</v>
      </c>
      <c r="S93" s="8">
        <f>+MINVU_Mes_Corriente!S93*SALUD_Mes_Constante!$P$1</f>
        <v>1272935.6556329019</v>
      </c>
      <c r="T93" s="8">
        <f>+MINVU_Mes_Corriente!T93*SALUD_Mes_Constante!$P$1</f>
        <v>1719504.6674243493</v>
      </c>
      <c r="U93" s="8">
        <f>+MINVU_Mes_Corriente!U93*SALUD_Mes_Constante!$P$1</f>
        <v>1996004.3347066338</v>
      </c>
      <c r="V93" s="8">
        <f>+MINVU_Mes_Corriente!V93*SALUD_Mes_Constante!$P$1</f>
        <v>2177980.6753800246</v>
      </c>
      <c r="W93" s="8">
        <f>+MINVU_Mes_Corriente!W93*SALUD_Mes_Constante!$P$1</f>
        <v>3316015.3885495085</v>
      </c>
      <c r="X93" s="8">
        <f>+MINVU_Mes_Corriente!X93*SALUD_Mes_Constante!$P$1</f>
        <v>3725159.0862338385</v>
      </c>
      <c r="Y93" s="8">
        <f>+MINVU_Mes_Corriente!Y93*SALUD_Mes_Constante!$P$1</f>
        <v>4085072.9194487836</v>
      </c>
      <c r="Z93" s="8">
        <f>+MINVU_Mes_Corriente!Z93*SALUD_Mes_Constante!$P$1</f>
        <v>4952978.2315669823</v>
      </c>
      <c r="AA93" s="8">
        <f>+MINVU_Mes_Corriente!AA93*SALUD_Mes_Constante!$P$1</f>
        <v>8191120.8407444209</v>
      </c>
      <c r="AB93" s="9">
        <f t="shared" si="39"/>
        <v>8191120.8407444209</v>
      </c>
      <c r="AC93" s="8">
        <f>+MINVU_Mes_Corriente!AC93*SALUD_Mes_Constante!$AC$1</f>
        <v>0</v>
      </c>
      <c r="AD93" s="8">
        <f>+MINVU_Mes_Corriente!AD93*SALUD_Mes_Constante!$AC$1</f>
        <v>55227.007884908009</v>
      </c>
      <c r="AE93" s="8">
        <f>+MINVU_Mes_Corriente!AE93*SALUD_Mes_Constante!$AC$1</f>
        <v>352813.52303223131</v>
      </c>
      <c r="AF93" s="8">
        <f>+MINVU_Mes_Corriente!AF93*SALUD_Mes_Constante!$AC$1</f>
        <v>555108.51127403509</v>
      </c>
      <c r="AG93" s="8">
        <f>+MINVU_Mes_Corriente!AG93*SALUD_Mes_Constante!$AC$1</f>
        <v>768719.44390648778</v>
      </c>
      <c r="AH93" s="8">
        <f>+MINVU_Mes_Corriente!AH93*SALUD_Mes_Constante!$AC$1</f>
        <v>1063127.4588463134</v>
      </c>
      <c r="AI93" s="8">
        <f>+MINVU_Mes_Corriente!AI93*SALUD_Mes_Constante!$AC$1</f>
        <v>1319277.0925439203</v>
      </c>
      <c r="AJ93" s="8">
        <f>+MINVU_Mes_Corriente!AJ93*SALUD_Mes_Constante!$AC$1</f>
        <v>1719471.8818647116</v>
      </c>
      <c r="AK93" s="8">
        <f>+MINVU_Mes_Corriente!AK93*SALUD_Mes_Constante!$AC$1</f>
        <v>2335112.4584313184</v>
      </c>
      <c r="AL93" s="8">
        <f>+MINVU_Mes_Corriente!AL93*SALUD_Mes_Constante!$AC$1</f>
        <v>2747913.9383040532</v>
      </c>
      <c r="AM93" s="8">
        <f>+MINVU_Mes_Corriente!AM93*SALUD_Mes_Constante!$AC$1</f>
        <v>3430949.903721123</v>
      </c>
      <c r="AN93" s="8">
        <f>+MINVU_Mes_Corriente!AN93*SALUD_Mes_Constante!$AC$1</f>
        <v>4565893.6325909533</v>
      </c>
      <c r="AO93" s="9">
        <f t="shared" si="40"/>
        <v>4565893.6325909533</v>
      </c>
      <c r="AP93" s="8">
        <f>+MINVU_Mes_Corriente!AP93*SALUD_Mes_Constante!$AP$1</f>
        <v>0</v>
      </c>
      <c r="AQ93" s="8">
        <f>+MINVU_Mes_Corriente!AQ93*SALUD_Mes_Constante!$AP$1</f>
        <v>140774.40876504802</v>
      </c>
      <c r="AR93" s="8">
        <f>+MINVU_Mes_Corriente!AR93*SALUD_Mes_Constante!$AP$1</f>
        <v>490345.81550114969</v>
      </c>
      <c r="AS93" s="8">
        <f>+MINVU_Mes_Corriente!AS93*SALUD_Mes_Constante!$AP$1</f>
        <v>955603.0639794399</v>
      </c>
      <c r="AT93" s="8">
        <f>+MINVU_Mes_Corriente!AT93*SALUD_Mes_Constante!$AP$1</f>
        <v>1307361.7397538212</v>
      </c>
      <c r="AU93" s="8">
        <f>+MINVU_Mes_Corriente!AU93*SALUD_Mes_Constante!$AP$1</f>
        <v>1619954.9987826322</v>
      </c>
      <c r="AV93" s="8">
        <f>+MINVU_Mes_Corriente!AV93*SALUD_Mes_Constante!$AP$1</f>
        <v>1672507.0931962666</v>
      </c>
      <c r="AW93" s="8">
        <f>+MINVU_Mes_Corriente!AW93*SALUD_Mes_Constante!$AP$1</f>
        <v>1829025.4053834707</v>
      </c>
      <c r="AX93" s="8">
        <f>+MINVU_Mes_Corriente!AX93*SALUD_Mes_Constante!$AP$1</f>
        <v>2021679.4711213307</v>
      </c>
      <c r="AY93" s="8">
        <f>+MINVU_Mes_Corriente!AY93*SALUD_Mes_Constante!$AP$1</f>
        <v>3982202.6043554712</v>
      </c>
      <c r="AZ93" s="8">
        <f>+MINVU_Mes_Corriente!AZ93*SALUD_Mes_Constante!$AP$1</f>
        <v>4042563.8403895576</v>
      </c>
      <c r="BA93" s="8">
        <f>+MINVU_Mes_Corriente!BA93*SALUD_Mes_Constante!$AP$1</f>
        <v>3447511.3869876908</v>
      </c>
      <c r="BB93" s="9">
        <f t="shared" si="41"/>
        <v>3447511.3869876908</v>
      </c>
      <c r="BC93" s="8">
        <f>+MINVU_Mes_Corriente!BC93*SALUD_Mes_Constante!$BC$1</f>
        <v>0</v>
      </c>
      <c r="BD93" s="8">
        <f>+MINVU_Mes_Corriente!BD93*SALUD_Mes_Constante!$BC$1</f>
        <v>0</v>
      </c>
      <c r="BE93" s="8">
        <f>+MINVU_Mes_Corriente!BE93*SALUD_Mes_Constante!$BC$1</f>
        <v>0</v>
      </c>
      <c r="BF93" s="8">
        <f>+MINVU_Mes_Corriente!BF93*SALUD_Mes_Constante!$BC$1</f>
        <v>279381.69589872088</v>
      </c>
      <c r="BG93" s="8">
        <f>+MINVU_Mes_Corriente!BG93*SALUD_Mes_Constante!$BC$1</f>
        <v>1587663.2124488992</v>
      </c>
      <c r="BH93" s="8">
        <f>+MINVU_Mes_Corriente!BH93*SALUD_Mes_Constante!$BC$1</f>
        <v>1944212.7551101153</v>
      </c>
      <c r="BI93" s="8">
        <f>+MINVU_Mes_Corriente!BI93*SALUD_Mes_Constante!$BC$1</f>
        <v>2227880.9932744303</v>
      </c>
      <c r="BJ93" s="8">
        <f>+MINVU_Mes_Corriente!BJ93*SALUD_Mes_Constante!$BC$1</f>
        <v>2495038.4792298567</v>
      </c>
      <c r="BK93" s="8">
        <f>+MINVU_Mes_Corriente!BK93*SALUD_Mes_Constante!$BC$1</f>
        <v>4717569.5795859173</v>
      </c>
      <c r="BL93" s="8">
        <f>+MINVU_Mes_Corriente!BL93*SALUD_Mes_Constante!$BC$1</f>
        <v>4873194.8379269429</v>
      </c>
      <c r="BM93" s="8">
        <f>+MINVU_Mes_Corriente!BM93*SALUD_Mes_Constante!$BC$1</f>
        <v>5070930.5111433482</v>
      </c>
      <c r="BN93" s="8">
        <f>+MINVU_Mes_Corriente!BN93*SALUD_Mes_Constante!$BC$1</f>
        <v>5419954.4705261784</v>
      </c>
      <c r="BO93" s="9">
        <f t="shared" si="42"/>
        <v>5419954.4705261784</v>
      </c>
      <c r="BP93" s="8">
        <f>+MINVU_Mes_Corriente!BP93*SALUD_Mes_Constante!$BP$1</f>
        <v>0</v>
      </c>
      <c r="BQ93" s="8">
        <f>+MINVU_Mes_Corriente!BQ93*SALUD_Mes_Constante!$BP$1</f>
        <v>238486.18079385406</v>
      </c>
      <c r="BR93" s="8">
        <f>+MINVU_Mes_Corriente!BR93*SALUD_Mes_Constante!$BP$1</f>
        <v>2077627.1646606917</v>
      </c>
      <c r="BS93" s="8">
        <f>+MINVU_Mes_Corriente!BS93*SALUD_Mes_Constante!$BP$1</f>
        <v>2732521.2522407174</v>
      </c>
      <c r="BT93" s="8">
        <f>+MINVU_Mes_Corriente!BT93*SALUD_Mes_Constante!$BP$1</f>
        <v>3029018.7572343154</v>
      </c>
      <c r="BU93" s="8">
        <f>+MINVU_Mes_Corriente!BU93*SALUD_Mes_Constante!$BP$1</f>
        <v>3193108.8107554419</v>
      </c>
      <c r="BV93" s="8">
        <f>+MINVU_Mes_Corriente!BV93*SALUD_Mes_Constante!$BP$1</f>
        <v>3957956.7902688864</v>
      </c>
      <c r="BW93" s="8">
        <f>+MINVU_Mes_Corriente!BW93*SALUD_Mes_Constante!$BP$1</f>
        <v>4454691.0822023051</v>
      </c>
      <c r="BX93" s="8">
        <f>+MINVU_Mes_Corriente!BX93*SALUD_Mes_Constante!$BP$1</f>
        <v>6244224.3887323951</v>
      </c>
      <c r="BY93" s="8">
        <f>+MINVU_Mes_Corriente!BY93*SALUD_Mes_Constante!$BP$1</f>
        <v>8036463.3142125485</v>
      </c>
      <c r="BZ93" s="8">
        <f>+MINVU_Mes_Corriente!BZ93*SALUD_Mes_Constante!$BP$1</f>
        <v>10430642.300128043</v>
      </c>
      <c r="CA93" s="8">
        <f>+MINVU_Mes_Corriente!CA93*SALUD_Mes_Constante!$BP$1</f>
        <v>11638412.972343151</v>
      </c>
      <c r="CB93" s="9">
        <f t="shared" si="43"/>
        <v>11638412.972343151</v>
      </c>
      <c r="CC93" s="8">
        <f>+MINVU_Mes_Corriente!CC93*SALUD_Mes_Constante!$CC$1</f>
        <v>0</v>
      </c>
      <c r="CD93" s="8">
        <f>+MINVU_Mes_Corriente!CD93*SALUD_Mes_Constante!$CC$1</f>
        <v>1313418.4945915705</v>
      </c>
      <c r="CE93" s="8">
        <f>+MINVU_Mes_Corriente!CE93*SALUD_Mes_Constante!$CC$1</f>
        <v>2566429.5083923913</v>
      </c>
      <c r="CF93" s="8">
        <f>+MINVU_Mes_Corriente!CF93*SALUD_Mes_Constante!$CC$1</f>
        <v>3724987.6091010822</v>
      </c>
      <c r="CG93" s="8">
        <f>+MINVU_Mes_Corriente!CG93*SALUD_Mes_Constante!$CC$1</f>
        <v>5150282.4751958232</v>
      </c>
      <c r="CH93" s="8">
        <f>+MINVU_Mes_Corriente!CH93*SALUD_Mes_Constante!$CC$1</f>
        <v>6106821.6478925776</v>
      </c>
      <c r="CI93" s="8">
        <f>+MINVU_Mes_Corriente!CI93*SALUD_Mes_Constante!$CC$1</f>
        <v>6986061.03468855</v>
      </c>
      <c r="CJ93" s="8">
        <f>+MINVU_Mes_Corriente!CJ93*SALUD_Mes_Constante!$CC$1</f>
        <v>8736724.654979486</v>
      </c>
      <c r="CK93" s="8">
        <f>+MINVU_Mes_Corriente!CK93*SALUD_Mes_Constante!$CC$1</f>
        <v>10429013.033196568</v>
      </c>
      <c r="CL93" s="8">
        <f>+MINVU_Mes_Corriente!CL93*SALUD_Mes_Constante!$CC$1</f>
        <v>12988124.580380457</v>
      </c>
      <c r="CM93" s="8">
        <f>+MINVU_Mes_Corriente!CM93*SALUD_Mes_Constante!$CC$1</f>
        <v>16231921.259977622</v>
      </c>
      <c r="CN93" s="8">
        <f>+MINVU_Mes_Corriente!CN93*SALUD_Mes_Constante!$CC$1</f>
        <v>24047904.572920553</v>
      </c>
      <c r="CO93" s="9">
        <f t="shared" si="44"/>
        <v>24047904.572920553</v>
      </c>
      <c r="CP93" s="8">
        <f>+MINVU_Mes_Corriente!CP93*SALUD_Mes_Constante!$CP$1</f>
        <v>0</v>
      </c>
      <c r="CQ93" s="8">
        <f>+MINVU_Mes_Corriente!CQ93*SALUD_Mes_Constante!$CP$1</f>
        <v>1754526.7399071923</v>
      </c>
      <c r="CR93" s="8">
        <f>+MINVU_Mes_Corriente!CR93*SALUD_Mes_Constante!$CP$1</f>
        <v>3451598.1835266813</v>
      </c>
      <c r="CS93" s="8">
        <f>+MINVU_Mes_Corriente!CS93*SALUD_Mes_Constante!$CP$1</f>
        <v>5876642.896287702</v>
      </c>
      <c r="CT93" s="8">
        <f>+MINVU_Mes_Corriente!CT93*SALUD_Mes_Constante!$CP$1</f>
        <v>8385230.9484918779</v>
      </c>
      <c r="CU93" s="8">
        <f>+MINVU_Mes_Corriente!CU93*SALUD_Mes_Constante!$CP$1</f>
        <v>13084826.765429232</v>
      </c>
      <c r="CV93" s="8">
        <f>+MINVU_Mes_Corriente!CV93*SALUD_Mes_Constante!$CP$1</f>
        <v>16347249.244315542</v>
      </c>
      <c r="CW93" s="8">
        <f>+MINVU_Mes_Corriente!CW93*SALUD_Mes_Constante!$CP$1</f>
        <v>18687419.724361945</v>
      </c>
      <c r="CX93" s="8">
        <f>+MINVU_Mes_Corriente!CX93*SALUD_Mes_Constante!$CP$1</f>
        <v>20925192.543619484</v>
      </c>
      <c r="CY93" s="8">
        <f>+MINVU_Mes_Corriente!CY93*SALUD_Mes_Constante!$CP$1</f>
        <v>24274518.55058004</v>
      </c>
      <c r="CZ93" s="8">
        <f>+MINVU_Mes_Corriente!CZ93*SALUD_Mes_Constante!$CP$1</f>
        <v>26230244.665197212</v>
      </c>
      <c r="DA93" s="8">
        <f>+MINVU_Mes_Corriente!DA93*SALUD_Mes_Constante!$CP$1</f>
        <v>34756531.287703007</v>
      </c>
      <c r="DB93" s="9">
        <f t="shared" si="45"/>
        <v>34756531.287703007</v>
      </c>
      <c r="DC93" s="8">
        <f>+MINVU_Mes_Corriente!DC93*SALUD_Mes_Constante!$DC$1</f>
        <v>0</v>
      </c>
      <c r="DD93" s="8">
        <f>+MINVU_Mes_Corriente!DD93*SALUD_Mes_Constante!$DC$1</f>
        <v>1269718.9908445638</v>
      </c>
      <c r="DE93" s="8">
        <f>+MINVU_Mes_Corriente!DE93*SALUD_Mes_Constante!$DC$1</f>
        <v>4899959.7629873492</v>
      </c>
      <c r="DF93" s="8">
        <f>+MINVU_Mes_Corriente!DF93*SALUD_Mes_Constante!$DC$1</f>
        <v>7343403.8261495763</v>
      </c>
      <c r="DG93" s="8">
        <f>+MINVU_Mes_Corriente!DG93*SALUD_Mes_Constante!$DC$1</f>
        <v>9026065.1480300426</v>
      </c>
      <c r="DH93" s="8">
        <f>+MINVU_Mes_Corriente!DH93*SALUD_Mes_Constante!$DC$1</f>
        <v>14924628.266639242</v>
      </c>
      <c r="DI93" s="8">
        <f>+MINVU_Mes_Corriente!DI93*SALUD_Mes_Constante!$DC$1</f>
        <v>17845162.340911437</v>
      </c>
      <c r="DJ93" s="8">
        <f>+MINVU_Mes_Corriente!DJ93*SALUD_Mes_Constante!$DC$1</f>
        <v>21070833.148441527</v>
      </c>
      <c r="DK93" s="8">
        <f>+MINVU_Mes_Corriente!DK93*SALUD_Mes_Constante!$DC$1</f>
        <v>24663458.403456446</v>
      </c>
      <c r="DL93" s="8">
        <f>+MINVU_Mes_Corriente!DL93*SALUD_Mes_Constante!$DC$1</f>
        <v>28660163.577204004</v>
      </c>
      <c r="DM93" s="8">
        <f>+MINVU_Mes_Corriente!DM93*SALUD_Mes_Constante!$DC$1</f>
        <v>32536071.317559939</v>
      </c>
      <c r="DN93" s="8">
        <f>+MINVU_Mes_Corriente!DN93*SALUD_Mes_Constante!$DC$1</f>
        <v>44909752.268079437</v>
      </c>
      <c r="DO93" s="9">
        <f t="shared" si="46"/>
        <v>44909752.268079437</v>
      </c>
      <c r="DP93" s="8">
        <f>+MINVU_Mes_Corriente!DP93*SALUD_Mes_Constante!$DP$1</f>
        <v>0</v>
      </c>
      <c r="DQ93" s="8">
        <f>+MINVU_Mes_Corriente!DQ93*SALUD_Mes_Constante!$DP$1</f>
        <v>4415567.0718527324</v>
      </c>
      <c r="DR93" s="8">
        <f>+MINVU_Mes_Corriente!DR93*SALUD_Mes_Constante!$DP$1</f>
        <v>10039915.890142519</v>
      </c>
      <c r="DS93" s="8">
        <f>+MINVU_Mes_Corriente!DS93*SALUD_Mes_Constante!$DP$1</f>
        <v>14422480.040380049</v>
      </c>
      <c r="DT93" s="8">
        <f>+MINVU_Mes_Corriente!DT93*SALUD_Mes_Constante!$DP$1</f>
        <v>20268532.364608079</v>
      </c>
      <c r="DU93" s="8">
        <f>+MINVU_Mes_Corriente!DU93*SALUD_Mes_Constante!$DP$1</f>
        <v>25731870.828384802</v>
      </c>
      <c r="DV93" s="8">
        <f>+MINVU_Mes_Corriente!DV93*SALUD_Mes_Constante!$DP$1</f>
        <v>34034252.102137774</v>
      </c>
      <c r="DW93" s="8">
        <f>+MINVU_Mes_Corriente!DW93*SALUD_Mes_Constante!$DP$1</f>
        <v>37071268.106294543</v>
      </c>
      <c r="DX93" s="8">
        <f>+MINVU_Mes_Corriente!DX93*SALUD_Mes_Constante!$DP$1</f>
        <v>40901659.423396677</v>
      </c>
      <c r="DY93" s="8">
        <f>+MINVU_Mes_Corriente!DY93*SALUD_Mes_Constante!$DP$1</f>
        <v>48503112.493467942</v>
      </c>
      <c r="DZ93" s="8">
        <f>+MINVU_Mes_Corriente!DZ93*SALUD_Mes_Constante!$DP$1</f>
        <v>52937576.22505939</v>
      </c>
      <c r="EA93" s="8">
        <f>+MINVU_Mes_Corriente!EA93*SALUD_Mes_Constante!$DP$1</f>
        <v>76316976.741092637</v>
      </c>
      <c r="EB93" s="9">
        <f t="shared" si="47"/>
        <v>76316976.741092637</v>
      </c>
      <c r="EC93" s="8">
        <f>+MINVU_Mes_Corriente!EC93*SALUD_Mes_Constante!$EC$1</f>
        <v>0</v>
      </c>
      <c r="ED93" s="8">
        <f>+MINVU_Mes_Corriente!ED93*SALUD_Mes_Constante!$EC$1</f>
        <v>3870342.5726188212</v>
      </c>
      <c r="EE93" s="8">
        <f>+MINVU_Mes_Corriente!EE93*SALUD_Mes_Constante!$EC$1</f>
        <v>6225420.0454459367</v>
      </c>
      <c r="EF93" s="8">
        <f>+MINVU_Mes_Corriente!EF93*SALUD_Mes_Constante!$EC$1</f>
        <v>10972175.332512777</v>
      </c>
      <c r="EG93" s="8">
        <f>+MINVU_Mes_Corriente!EG93*SALUD_Mes_Constante!$EC$1</f>
        <v>14196190.488922548</v>
      </c>
      <c r="EH93" s="8">
        <f>+MINVU_Mes_Corriente!EH93*SALUD_Mes_Constante!$EC$1</f>
        <v>23540550.094300315</v>
      </c>
      <c r="EI93" s="8">
        <f>+MINVU_Mes_Corriente!EI93*SALUD_Mes_Constante!$EC$1</f>
        <v>58594419.756674856</v>
      </c>
      <c r="EJ93" s="8">
        <f>+MINVU_Mes_Corriente!EJ93*SALUD_Mes_Constante!$EC$1</f>
        <v>67343802.697595134</v>
      </c>
      <c r="EK93" s="8">
        <f>+MINVU_Mes_Corriente!EK93*SALUD_Mes_Constante!$EC$1</f>
        <v>72204693.409581497</v>
      </c>
      <c r="EL93" s="8">
        <f>+MINVU_Mes_Corriente!EL93*SALUD_Mes_Constante!$EC$1</f>
        <v>76524511.26396513</v>
      </c>
      <c r="EM93" s="8">
        <f>+MINVU_Mes_Corriente!EM93*SALUD_Mes_Constante!$EC$1</f>
        <v>80274263.361484542</v>
      </c>
      <c r="EN93" s="8">
        <f>+MINVU_Mes_Corriente!EN93*SALUD_Mes_Constante!$EC$1</f>
        <v>87443668.290096551</v>
      </c>
      <c r="EO93" s="9">
        <f t="shared" si="48"/>
        <v>87443668.290096551</v>
      </c>
      <c r="EP93" s="8">
        <f>+MINVU_Mes_Corriente!EP93*SALUD_Mes_Constante!$EP$1</f>
        <v>0</v>
      </c>
      <c r="EQ93" s="8">
        <f>+MINVU_Mes_Corriente!EQ93*SALUD_Mes_Constante!$EP$1</f>
        <v>5166201</v>
      </c>
      <c r="ER93" s="8">
        <f>+MINVU_Mes_Corriente!ER93*SALUD_Mes_Constante!$EP$1</f>
        <v>10592462</v>
      </c>
      <c r="ES93" s="8">
        <f>+MINVU_Mes_Corriente!ES93*SALUD_Mes_Constante!$EP$1</f>
        <v>13533682</v>
      </c>
      <c r="ET93" s="8">
        <f>+MINVU_Mes_Corriente!ET93*SALUD_Mes_Constante!$EP$1</f>
        <v>17408497</v>
      </c>
      <c r="EU93" s="8">
        <f>+MINVU_Mes_Corriente!EU93*SALUD_Mes_Constante!$EP$1</f>
        <v>21545674</v>
      </c>
      <c r="EV93" s="8">
        <f>+MINVU_Mes_Corriente!EV93*SALUD_Mes_Constante!$EP$1</f>
        <v>26150340</v>
      </c>
      <c r="EW93" s="8">
        <f>+MINVU_Mes_Corriente!EW93*SALUD_Mes_Constante!$EP$1</f>
        <v>28768276</v>
      </c>
      <c r="EX93" s="8">
        <f>+MINVU_Mes_Corriente!EX93*SALUD_Mes_Constante!$EP$1</f>
        <v>32498358</v>
      </c>
      <c r="EY93" s="8">
        <f>+MINVU_Mes_Corriente!EY93*SALUD_Mes_Constante!$EP$1</f>
        <v>35758015</v>
      </c>
      <c r="EZ93" s="8">
        <f>+MINVU_Mes_Corriente!EZ93*SALUD_Mes_Constante!$EP$1</f>
        <v>38289420</v>
      </c>
      <c r="FA93" s="8">
        <f>+MINVU_Mes_Corriente!FA93*SALUD_Mes_Constante!$EP$1</f>
        <v>42357508</v>
      </c>
      <c r="FB93" s="9">
        <f t="shared" si="49"/>
        <v>42357508</v>
      </c>
      <c r="FC93" s="8">
        <f>+MINVU_Mes_Corriente!FC93*SALUD_Mes_Constante!$FC$1</f>
        <v>234857</v>
      </c>
      <c r="FD93" s="8">
        <f>+MINVU_Mes_Corriente!FD93*SALUD_Mes_Constante!$FC$1</f>
        <v>1764543</v>
      </c>
      <c r="FE93" s="8">
        <f>+MINVU_Mes_Corriente!FE93*SALUD_Mes_Constante!$FC$1</f>
        <v>5139311</v>
      </c>
      <c r="FF93" s="8">
        <f>+MINVU_Mes_Corriente!FF93*SALUD_Mes_Constante!$FC$1</f>
        <v>7690261</v>
      </c>
      <c r="FG93" s="8">
        <f>+MINVU_Mes_Corriente!FG93*SALUD_Mes_Constante!$FC$1</f>
        <v>10757142</v>
      </c>
      <c r="FH93" s="8">
        <f>+MINVU_Mes_Corriente!FH93*SALUD_Mes_Constante!$FC$1</f>
        <v>14859460</v>
      </c>
      <c r="FI93" s="8">
        <f>+MINVU_Mes_Corriente!FI93*SALUD_Mes_Constante!$FC$1</f>
        <v>16408459</v>
      </c>
      <c r="FJ93" s="8"/>
      <c r="FK93" s="8"/>
      <c r="FL93" s="8"/>
      <c r="FM93" s="8"/>
      <c r="FN93" s="8"/>
      <c r="FO93" s="9">
        <f t="shared" si="50"/>
        <v>16408459</v>
      </c>
    </row>
    <row r="94" spans="2:171" ht="14.25" customHeight="1" x14ac:dyDescent="0.3">
      <c r="B94" s="7" t="s">
        <v>57</v>
      </c>
      <c r="C94" s="8">
        <f>+MINVU_Mes_Corriente!C94*SALUD_Mes_Constante!$C$1</f>
        <v>0</v>
      </c>
      <c r="D94" s="8">
        <f>+MINVU_Mes_Corriente!D94*SALUD_Mes_Constante!$C$1</f>
        <v>2059815.9267388405</v>
      </c>
      <c r="E94" s="8">
        <f>+MINVU_Mes_Corriente!E94*SALUD_Mes_Constante!$C$1</f>
        <v>5067039.0378169958</v>
      </c>
      <c r="F94" s="8">
        <f>+MINVU_Mes_Corriente!F94*SALUD_Mes_Constante!$C$1</f>
        <v>5393982.9387512989</v>
      </c>
      <c r="G94" s="8">
        <f>+MINVU_Mes_Corriente!G94*SALUD_Mes_Constante!$C$1</f>
        <v>6333874.9535814933</v>
      </c>
      <c r="H94" s="8">
        <f>+MINVU_Mes_Corriente!H94*SALUD_Mes_Constante!$C$1</f>
        <v>6375145.1923476206</v>
      </c>
      <c r="I94" s="8">
        <f>+MINVU_Mes_Corriente!I94*SALUD_Mes_Constante!$C$1</f>
        <v>6856958.6213851413</v>
      </c>
      <c r="J94" s="8">
        <f>+MINVU_Mes_Corriente!J94*SALUD_Mes_Constante!$C$1</f>
        <v>7167671.5061545316</v>
      </c>
      <c r="K94" s="8">
        <f>+MINVU_Mes_Corriente!K94*SALUD_Mes_Constante!$C$1</f>
        <v>7446416.5644371957</v>
      </c>
      <c r="L94" s="8">
        <f>+MINVU_Mes_Corriente!L94*SALUD_Mes_Constante!$C$1</f>
        <v>8530647.4720450845</v>
      </c>
      <c r="M94" s="8">
        <f>+MINVU_Mes_Corriente!M94*SALUD_Mes_Constante!$C$1</f>
        <v>8775702.2749518026</v>
      </c>
      <c r="N94" s="8">
        <f>+MINVU_Mes_Corriente!N94*SALUD_Mes_Constante!$C$1</f>
        <v>14149819.759157646</v>
      </c>
      <c r="O94" s="9">
        <f t="shared" si="38"/>
        <v>14149819.759157646</v>
      </c>
      <c r="P94" s="8">
        <f>+MINVU_Mes_Corriente!P94*SALUD_Mes_Constante!$P$1</f>
        <v>0</v>
      </c>
      <c r="Q94" s="8">
        <f>+MINVU_Mes_Corriente!Q94*SALUD_Mes_Constante!$P$1</f>
        <v>0</v>
      </c>
      <c r="R94" s="8">
        <f>+MINVU_Mes_Corriente!R94*SALUD_Mes_Constante!$P$1</f>
        <v>0</v>
      </c>
      <c r="S94" s="8">
        <f>+MINVU_Mes_Corriente!S94*SALUD_Mes_Constante!$P$1</f>
        <v>460419.37377468374</v>
      </c>
      <c r="T94" s="8">
        <f>+MINVU_Mes_Corriente!T94*SALUD_Mes_Constante!$P$1</f>
        <v>953647.7917317797</v>
      </c>
      <c r="U94" s="8">
        <f>+MINVU_Mes_Corriente!U94*SALUD_Mes_Constante!$P$1</f>
        <v>1248171.7113226305</v>
      </c>
      <c r="V94" s="8">
        <f>+MINVU_Mes_Corriente!V94*SALUD_Mes_Constante!$P$1</f>
        <v>1471944.3869867874</v>
      </c>
      <c r="W94" s="8">
        <f>+MINVU_Mes_Corriente!W94*SALUD_Mes_Constante!$P$1</f>
        <v>2058763.2538712877</v>
      </c>
      <c r="X94" s="8">
        <f>+MINVU_Mes_Corriente!X94*SALUD_Mes_Constante!$P$1</f>
        <v>2666844.2812899551</v>
      </c>
      <c r="Y94" s="8">
        <f>+MINVU_Mes_Corriente!Y94*SALUD_Mes_Constante!$P$1</f>
        <v>3048386.5963915316</v>
      </c>
      <c r="Z94" s="8">
        <f>+MINVU_Mes_Corriente!Z94*SALUD_Mes_Constante!$P$1</f>
        <v>3534130.2619690285</v>
      </c>
      <c r="AA94" s="8">
        <f>+MINVU_Mes_Corriente!AA94*SALUD_Mes_Constante!$P$1</f>
        <v>12626795.890893588</v>
      </c>
      <c r="AB94" s="9">
        <f t="shared" si="39"/>
        <v>12626795.890893588</v>
      </c>
      <c r="AC94" s="8">
        <f>+MINVU_Mes_Corriente!AC94*SALUD_Mes_Constante!$AC$1</f>
        <v>0</v>
      </c>
      <c r="AD94" s="8">
        <f>+MINVU_Mes_Corriente!AD94*SALUD_Mes_Constante!$AC$1</f>
        <v>10806.598423018399</v>
      </c>
      <c r="AE94" s="8">
        <f>+MINVU_Mes_Corriente!AE94*SALUD_Mes_Constante!$AC$1</f>
        <v>815406.97191866091</v>
      </c>
      <c r="AF94" s="8">
        <f>+MINVU_Mes_Corriente!AF94*SALUD_Mes_Constante!$AC$1</f>
        <v>1484991.3672707151</v>
      </c>
      <c r="AG94" s="8">
        <f>+MINVU_Mes_Corriente!AG94*SALUD_Mes_Constante!$AC$1</f>
        <v>2743317.7332964446</v>
      </c>
      <c r="AH94" s="8">
        <f>+MINVU_Mes_Corriente!AH94*SALUD_Mes_Constante!$AC$1</f>
        <v>4134432.2556370175</v>
      </c>
      <c r="AI94" s="8">
        <f>+MINVU_Mes_Corriente!AI94*SALUD_Mes_Constante!$AC$1</f>
        <v>5459274.368515701</v>
      </c>
      <c r="AJ94" s="8">
        <f>+MINVU_Mes_Corriente!AJ94*SALUD_Mes_Constante!$AC$1</f>
        <v>6538344.205007608</v>
      </c>
      <c r="AK94" s="8">
        <f>+MINVU_Mes_Corriente!AK94*SALUD_Mes_Constante!$AC$1</f>
        <v>6942941.73855305</v>
      </c>
      <c r="AL94" s="8">
        <f>+MINVU_Mes_Corriente!AL94*SALUD_Mes_Constante!$AC$1</f>
        <v>9836542.2263106927</v>
      </c>
      <c r="AM94" s="8">
        <f>+MINVU_Mes_Corriente!AM94*SALUD_Mes_Constante!$AC$1</f>
        <v>12349268.30903306</v>
      </c>
      <c r="AN94" s="8">
        <f>+MINVU_Mes_Corriente!AN94*SALUD_Mes_Constante!$AC$1</f>
        <v>16157055.635357587</v>
      </c>
      <c r="AO94" s="9">
        <f t="shared" si="40"/>
        <v>16157055.635357587</v>
      </c>
      <c r="AP94" s="8">
        <f>+MINVU_Mes_Corriente!AP94*SALUD_Mes_Constante!$AP$1</f>
        <v>0</v>
      </c>
      <c r="AQ94" s="8">
        <f>+MINVU_Mes_Corriente!AQ94*SALUD_Mes_Constante!$AP$1</f>
        <v>769246.26403354516</v>
      </c>
      <c r="AR94" s="8">
        <f>+MINVU_Mes_Corriente!AR94*SALUD_Mes_Constante!$AP$1</f>
        <v>1216913.7313675098</v>
      </c>
      <c r="AS94" s="8">
        <f>+MINVU_Mes_Corriente!AS94*SALUD_Mes_Constante!$AP$1</f>
        <v>2031386.2164209385</v>
      </c>
      <c r="AT94" s="8">
        <f>+MINVU_Mes_Corriente!AT94*SALUD_Mes_Constante!$AP$1</f>
        <v>2475409.2206140943</v>
      </c>
      <c r="AU94" s="8">
        <f>+MINVU_Mes_Corriente!AU94*SALUD_Mes_Constante!$AP$1</f>
        <v>4220303.0959015284</v>
      </c>
      <c r="AV94" s="8">
        <f>+MINVU_Mes_Corriente!AV94*SALUD_Mes_Constante!$AP$1</f>
        <v>5058563.6096307319</v>
      </c>
      <c r="AW94" s="8">
        <f>+MINVU_Mes_Corriente!AW94*SALUD_Mes_Constante!$AP$1</f>
        <v>5591247.8598674415</v>
      </c>
      <c r="AX94" s="8">
        <f>+MINVU_Mes_Corriente!AX94*SALUD_Mes_Constante!$AP$1</f>
        <v>6104790.5502502359</v>
      </c>
      <c r="AY94" s="8">
        <f>+MINVU_Mes_Corriente!AY94*SALUD_Mes_Constante!$AP$1</f>
        <v>6419315.4043013658</v>
      </c>
      <c r="AZ94" s="8">
        <f>+MINVU_Mes_Corriente!AZ94*SALUD_Mes_Constante!$AP$1</f>
        <v>7530814.5910996888</v>
      </c>
      <c r="BA94" s="8">
        <f>+MINVU_Mes_Corriente!BA94*SALUD_Mes_Constante!$AP$1</f>
        <v>13428825.455701338</v>
      </c>
      <c r="BB94" s="9">
        <f t="shared" si="41"/>
        <v>13428825.455701338</v>
      </c>
      <c r="BC94" s="8">
        <f>+MINVU_Mes_Corriente!BC94*SALUD_Mes_Constante!$BC$1</f>
        <v>0</v>
      </c>
      <c r="BD94" s="8">
        <f>+MINVU_Mes_Corriente!BD94*SALUD_Mes_Constante!$BC$1</f>
        <v>0</v>
      </c>
      <c r="BE94" s="8">
        <f>+MINVU_Mes_Corriente!BE94*SALUD_Mes_Constante!$BC$1</f>
        <v>0</v>
      </c>
      <c r="BF94" s="8">
        <f>+MINVU_Mes_Corriente!BF94*SALUD_Mes_Constante!$BC$1</f>
        <v>379875.53685876314</v>
      </c>
      <c r="BG94" s="8">
        <f>+MINVU_Mes_Corriente!BG94*SALUD_Mes_Constante!$BC$1</f>
        <v>558916.12237900577</v>
      </c>
      <c r="BH94" s="8">
        <f>+MINVU_Mes_Corriente!BH94*SALUD_Mes_Constante!$BC$1</f>
        <v>674886.18198602158</v>
      </c>
      <c r="BI94" s="8">
        <f>+MINVU_Mes_Corriente!BI94*SALUD_Mes_Constante!$BC$1</f>
        <v>1003908.1986021366</v>
      </c>
      <c r="BJ94" s="8">
        <f>+MINVU_Mes_Corriente!BJ94*SALUD_Mes_Constante!$BC$1</f>
        <v>1138775.0655413428</v>
      </c>
      <c r="BK94" s="8">
        <f>+MINVU_Mes_Corriente!BK94*SALUD_Mes_Constante!$BC$1</f>
        <v>1167316.9531847558</v>
      </c>
      <c r="BL94" s="8">
        <f>+MINVU_Mes_Corriente!BL94*SALUD_Mes_Constante!$BC$1</f>
        <v>1229612.2993538179</v>
      </c>
      <c r="BM94" s="8">
        <f>+MINVU_Mes_Corriente!BM94*SALUD_Mes_Constante!$BC$1</f>
        <v>1371347.7198997762</v>
      </c>
      <c r="BN94" s="8">
        <f>+MINVU_Mes_Corriente!BN94*SALUD_Mes_Constante!$BC$1</f>
        <v>2397885.9799551633</v>
      </c>
      <c r="BO94" s="9">
        <f t="shared" si="42"/>
        <v>2397885.9799551633</v>
      </c>
      <c r="BP94" s="8">
        <f>+MINVU_Mes_Corriente!BP94*SALUD_Mes_Constante!$BP$1</f>
        <v>0</v>
      </c>
      <c r="BQ94" s="8">
        <f>+MINVU_Mes_Corriente!BQ94*SALUD_Mes_Constante!$BP$1</f>
        <v>0</v>
      </c>
      <c r="BR94" s="8">
        <f>+MINVU_Mes_Corriente!BR94*SALUD_Mes_Constante!$BP$1</f>
        <v>693128.09270166466</v>
      </c>
      <c r="BS94" s="8">
        <f>+MINVU_Mes_Corriente!BS94*SALUD_Mes_Constante!$BP$1</f>
        <v>693128.09270166466</v>
      </c>
      <c r="BT94" s="8">
        <f>+MINVU_Mes_Corriente!BT94*SALUD_Mes_Constante!$BP$1</f>
        <v>857559.49628681189</v>
      </c>
      <c r="BU94" s="8">
        <f>+MINVU_Mes_Corriente!BU94*SALUD_Mes_Constante!$BP$1</f>
        <v>1203713.6427656852</v>
      </c>
      <c r="BV94" s="8">
        <f>+MINVU_Mes_Corriente!BV94*SALUD_Mes_Constante!$BP$1</f>
        <v>1558465.8937259924</v>
      </c>
      <c r="BW94" s="8">
        <f>+MINVU_Mes_Corriente!BW94*SALUD_Mes_Constante!$BP$1</f>
        <v>1877561.0527528811</v>
      </c>
      <c r="BX94" s="8">
        <f>+MINVU_Mes_Corriente!BX94*SALUD_Mes_Constante!$BP$1</f>
        <v>2072498.5198463511</v>
      </c>
      <c r="BY94" s="8">
        <f>+MINVU_Mes_Corriente!BY94*SALUD_Mes_Constante!$BP$1</f>
        <v>2417673.3833546736</v>
      </c>
      <c r="BZ94" s="8">
        <f>+MINVU_Mes_Corriente!BZ94*SALUD_Mes_Constante!$BP$1</f>
        <v>3053825.3938540337</v>
      </c>
      <c r="CA94" s="8">
        <f>+MINVU_Mes_Corriente!CA94*SALUD_Mes_Constante!$BP$1</f>
        <v>3771600.6399487839</v>
      </c>
      <c r="CB94" s="9">
        <f t="shared" si="43"/>
        <v>3771600.6399487839</v>
      </c>
      <c r="CC94" s="8">
        <f>+MINVU_Mes_Corriente!CC94*SALUD_Mes_Constante!$CC$1</f>
        <v>0</v>
      </c>
      <c r="CD94" s="8">
        <f>+MINVU_Mes_Corriente!CD94*SALUD_Mes_Constante!$CC$1</f>
        <v>746373.62998881016</v>
      </c>
      <c r="CE94" s="8">
        <f>+MINVU_Mes_Corriente!CE94*SALUD_Mes_Constante!$CC$1</f>
        <v>1382035.0787019769</v>
      </c>
      <c r="CF94" s="8">
        <f>+MINVU_Mes_Corriente!CF94*SALUD_Mes_Constante!$CC$1</f>
        <v>1681606.8989183141</v>
      </c>
      <c r="CG94" s="8">
        <f>+MINVU_Mes_Corriente!CG94*SALUD_Mes_Constante!$CC$1</f>
        <v>2191107.8918314064</v>
      </c>
      <c r="CH94" s="8">
        <f>+MINVU_Mes_Corriente!CH94*SALUD_Mes_Constante!$CC$1</f>
        <v>2862815.7672510259</v>
      </c>
      <c r="CI94" s="8">
        <f>+MINVU_Mes_Corriente!CI94*SALUD_Mes_Constante!$CC$1</f>
        <v>3803173.103319657</v>
      </c>
      <c r="CJ94" s="8">
        <f>+MINVU_Mes_Corriente!CJ94*SALUD_Mes_Constante!$CC$1</f>
        <v>4707531.5583737418</v>
      </c>
      <c r="CK94" s="8">
        <f>+MINVU_Mes_Corriente!CK94*SALUD_Mes_Constante!$CC$1</f>
        <v>5726151.8202163382</v>
      </c>
      <c r="CL94" s="8">
        <f>+MINVU_Mes_Corriente!CL94*SALUD_Mes_Constante!$CC$1</f>
        <v>5917452.59082432</v>
      </c>
      <c r="CM94" s="8">
        <f>+MINVU_Mes_Corriente!CM94*SALUD_Mes_Constante!$CC$1</f>
        <v>6798070.8026855653</v>
      </c>
      <c r="CN94" s="8">
        <f>+MINVU_Mes_Corriente!CN94*SALUD_Mes_Constante!$CC$1</f>
        <v>8567080.2678105198</v>
      </c>
      <c r="CO94" s="9">
        <f t="shared" si="44"/>
        <v>8567080.2678105198</v>
      </c>
      <c r="CP94" s="8">
        <f>+MINVU_Mes_Corriente!CP94*SALUD_Mes_Constante!$CP$1</f>
        <v>0</v>
      </c>
      <c r="CQ94" s="8">
        <f>+MINVU_Mes_Corriente!CQ94*SALUD_Mes_Constante!$CP$1</f>
        <v>531599.3331786542</v>
      </c>
      <c r="CR94" s="8">
        <f>+MINVU_Mes_Corriente!CR94*SALUD_Mes_Constante!$CP$1</f>
        <v>1130311.1777262178</v>
      </c>
      <c r="CS94" s="8">
        <f>+MINVU_Mes_Corriente!CS94*SALUD_Mes_Constante!$CP$1</f>
        <v>1970396.3610208812</v>
      </c>
      <c r="CT94" s="8">
        <f>+MINVU_Mes_Corriente!CT94*SALUD_Mes_Constante!$CP$1</f>
        <v>2146913.3693735492</v>
      </c>
      <c r="CU94" s="8">
        <f>+MINVU_Mes_Corriente!CU94*SALUD_Mes_Constante!$CP$1</f>
        <v>2526319.3531322503</v>
      </c>
      <c r="CV94" s="8">
        <f>+MINVU_Mes_Corriente!CV94*SALUD_Mes_Constante!$CP$1</f>
        <v>3526827.8763341061</v>
      </c>
      <c r="CW94" s="8">
        <f>+MINVU_Mes_Corriente!CW94*SALUD_Mes_Constante!$CP$1</f>
        <v>3817676.2218097439</v>
      </c>
      <c r="CX94" s="8">
        <f>+MINVU_Mes_Corriente!CX94*SALUD_Mes_Constante!$CP$1</f>
        <v>4173492.4392111362</v>
      </c>
      <c r="CY94" s="8">
        <f>+MINVU_Mes_Corriente!CY94*SALUD_Mes_Constante!$CP$1</f>
        <v>4623519.4225057997</v>
      </c>
      <c r="CZ94" s="8">
        <f>+MINVU_Mes_Corriente!CZ94*SALUD_Mes_Constante!$CP$1</f>
        <v>4899502.3238979112</v>
      </c>
      <c r="DA94" s="8">
        <f>+MINVU_Mes_Corriente!DA94*SALUD_Mes_Constante!$CP$1</f>
        <v>8195280.7907192558</v>
      </c>
      <c r="DB94" s="9">
        <f t="shared" si="45"/>
        <v>8195280.7907192558</v>
      </c>
      <c r="DC94" s="8">
        <f>+MINVU_Mes_Corriente!DC94*SALUD_Mes_Constante!$DC$1</f>
        <v>0</v>
      </c>
      <c r="DD94" s="8">
        <f>+MINVU_Mes_Corriente!DD94*SALUD_Mes_Constante!$DC$1</f>
        <v>81969.165106470566</v>
      </c>
      <c r="DE94" s="8">
        <f>+MINVU_Mes_Corriente!DE94*SALUD_Mes_Constante!$DC$1</f>
        <v>128352.68202859795</v>
      </c>
      <c r="DF94" s="8">
        <f>+MINVU_Mes_Corriente!DF94*SALUD_Mes_Constante!$DC$1</f>
        <v>178110.32218907529</v>
      </c>
      <c r="DG94" s="8">
        <f>+MINVU_Mes_Corriente!DG94*SALUD_Mes_Constante!$DC$1</f>
        <v>190816.6723588109</v>
      </c>
      <c r="DH94" s="8">
        <f>+MINVU_Mes_Corriente!DH94*SALUD_Mes_Constante!$DC$1</f>
        <v>302925.90700545226</v>
      </c>
      <c r="DI94" s="8">
        <f>+MINVU_Mes_Corriente!DI94*SALUD_Mes_Constante!$DC$1</f>
        <v>318571.40849706833</v>
      </c>
      <c r="DJ94" s="8">
        <f>+MINVU_Mes_Corriente!DJ94*SALUD_Mes_Constante!$DC$1</f>
        <v>324865.57576381048</v>
      </c>
      <c r="DK94" s="8">
        <f>+MINVU_Mes_Corriente!DK94*SALUD_Mes_Constante!$DC$1</f>
        <v>335610.61845489161</v>
      </c>
      <c r="DL94" s="8">
        <f>+MINVU_Mes_Corriente!DL94*SALUD_Mes_Constante!$DC$1</f>
        <v>522523.78314988193</v>
      </c>
      <c r="DM94" s="8">
        <f>+MINVU_Mes_Corriente!DM94*SALUD_Mes_Constante!$DC$1</f>
        <v>568312.72605699033</v>
      </c>
      <c r="DN94" s="8">
        <f>+MINVU_Mes_Corriente!DN94*SALUD_Mes_Constante!$DC$1</f>
        <v>608644.85073552129</v>
      </c>
      <c r="DO94" s="9">
        <f t="shared" si="46"/>
        <v>608644.85073552129</v>
      </c>
      <c r="DP94" s="8">
        <f>+MINVU_Mes_Corriente!DP94*SALUD_Mes_Constante!$DP$1</f>
        <v>0</v>
      </c>
      <c r="DQ94" s="8">
        <f>+MINVU_Mes_Corriente!DQ94*SALUD_Mes_Constante!$DP$1</f>
        <v>0</v>
      </c>
      <c r="DR94" s="8">
        <f>+MINVU_Mes_Corriente!DR94*SALUD_Mes_Constante!$DP$1</f>
        <v>25057.133016627082</v>
      </c>
      <c r="DS94" s="8">
        <f>+MINVU_Mes_Corriente!DS94*SALUD_Mes_Constante!$DP$1</f>
        <v>32271.926365795727</v>
      </c>
      <c r="DT94" s="8">
        <f>+MINVU_Mes_Corriente!DT94*SALUD_Mes_Constante!$DP$1</f>
        <v>166680.97446555822</v>
      </c>
      <c r="DU94" s="8">
        <f>+MINVU_Mes_Corriente!DU94*SALUD_Mes_Constante!$DP$1</f>
        <v>2628018.7553444183</v>
      </c>
      <c r="DV94" s="8">
        <f>+MINVU_Mes_Corriente!DV94*SALUD_Mes_Constante!$DP$1</f>
        <v>2967613.6282660337</v>
      </c>
      <c r="DW94" s="8">
        <f>+MINVU_Mes_Corriente!DW94*SALUD_Mes_Constante!$DP$1</f>
        <v>3324366.3438242283</v>
      </c>
      <c r="DX94" s="8">
        <f>+MINVU_Mes_Corriente!DX94*SALUD_Mes_Constante!$DP$1</f>
        <v>3689243.2713776724</v>
      </c>
      <c r="DY94" s="8">
        <f>+MINVU_Mes_Corriente!DY94*SALUD_Mes_Constante!$DP$1</f>
        <v>3987806.1698337295</v>
      </c>
      <c r="DZ94" s="8">
        <f>+MINVU_Mes_Corriente!DZ94*SALUD_Mes_Constante!$DP$1</f>
        <v>4023753.6181710218</v>
      </c>
      <c r="EA94" s="8">
        <f>+MINVU_Mes_Corriente!EA94*SALUD_Mes_Constante!$DP$1</f>
        <v>4969353.2850356298</v>
      </c>
      <c r="EB94" s="9">
        <f t="shared" si="47"/>
        <v>4969353.2850356298</v>
      </c>
      <c r="EC94" s="8">
        <f>+MINVU_Mes_Corriente!EC94*SALUD_Mes_Constante!$EC$1</f>
        <v>0</v>
      </c>
      <c r="ED94" s="8">
        <f>+MINVU_Mes_Corriente!ED94*SALUD_Mes_Constante!$EC$1</f>
        <v>0</v>
      </c>
      <c r="EE94" s="8">
        <f>+MINVU_Mes_Corriente!EE94*SALUD_Mes_Constante!$EC$1</f>
        <v>736249.16171179677</v>
      </c>
      <c r="EF94" s="8">
        <f>+MINVU_Mes_Corriente!EF94*SALUD_Mes_Constante!$EC$1</f>
        <v>1174877.0626775229</v>
      </c>
      <c r="EG94" s="8">
        <f>+MINVU_Mes_Corriente!EG94*SALUD_Mes_Constante!$EC$1</f>
        <v>1703778.4266237449</v>
      </c>
      <c r="EH94" s="8">
        <f>+MINVU_Mes_Corriente!EH94*SALUD_Mes_Constante!$EC$1</f>
        <v>2103694.6468471875</v>
      </c>
      <c r="EI94" s="8">
        <f>+MINVU_Mes_Corriente!EI94*SALUD_Mes_Constante!$EC$1</f>
        <v>2544956.2910433621</v>
      </c>
      <c r="EJ94" s="8">
        <f>+MINVU_Mes_Corriente!EJ94*SALUD_Mes_Constante!$EC$1</f>
        <v>3001399.716720317</v>
      </c>
      <c r="EK94" s="8">
        <f>+MINVU_Mes_Corriente!EK94*SALUD_Mes_Constante!$EC$1</f>
        <v>3142813.9354288951</v>
      </c>
      <c r="EL94" s="8">
        <f>+MINVU_Mes_Corriente!EL94*SALUD_Mes_Constante!$EC$1</f>
        <v>3554906.8216246911</v>
      </c>
      <c r="EM94" s="8">
        <f>+MINVU_Mes_Corriente!EM94*SALUD_Mes_Constante!$EC$1</f>
        <v>3786676.2259041835</v>
      </c>
      <c r="EN94" s="8">
        <f>+MINVU_Mes_Corriente!EN94*SALUD_Mes_Constante!$EC$1</f>
        <v>4262836.5195985595</v>
      </c>
      <c r="EO94" s="9">
        <f t="shared" si="48"/>
        <v>4262836.5195985595</v>
      </c>
      <c r="EP94" s="8">
        <f>+MINVU_Mes_Corriente!EP94*SALUD_Mes_Constante!$EP$1</f>
        <v>0</v>
      </c>
      <c r="EQ94" s="8">
        <f>+MINVU_Mes_Corriente!EQ94*SALUD_Mes_Constante!$EP$1</f>
        <v>18014</v>
      </c>
      <c r="ER94" s="8">
        <f>+MINVU_Mes_Corriente!ER94*SALUD_Mes_Constante!$EP$1</f>
        <v>530156</v>
      </c>
      <c r="ES94" s="8">
        <f>+MINVU_Mes_Corriente!ES94*SALUD_Mes_Constante!$EP$1</f>
        <v>1029986</v>
      </c>
      <c r="ET94" s="8">
        <f>+MINVU_Mes_Corriente!ET94*SALUD_Mes_Constante!$EP$1</f>
        <v>1696869</v>
      </c>
      <c r="EU94" s="8">
        <f>+MINVU_Mes_Corriente!EU94*SALUD_Mes_Constante!$EP$1</f>
        <v>5294111</v>
      </c>
      <c r="EV94" s="8">
        <f>+MINVU_Mes_Corriente!EV94*SALUD_Mes_Constante!$EP$1</f>
        <v>5754010</v>
      </c>
      <c r="EW94" s="8">
        <f>+MINVU_Mes_Corriente!EW94*SALUD_Mes_Constante!$EP$1</f>
        <v>6177497</v>
      </c>
      <c r="EX94" s="8">
        <f>+MINVU_Mes_Corriente!EX94*SALUD_Mes_Constante!$EP$1</f>
        <v>6582241</v>
      </c>
      <c r="EY94" s="8">
        <f>+MINVU_Mes_Corriente!EY94*SALUD_Mes_Constante!$EP$1</f>
        <v>7819135</v>
      </c>
      <c r="EZ94" s="8">
        <f>+MINVU_Mes_Corriente!EZ94*SALUD_Mes_Constante!$EP$1</f>
        <v>8788467</v>
      </c>
      <c r="FA94" s="8">
        <f>+MINVU_Mes_Corriente!FA94*SALUD_Mes_Constante!$EP$1</f>
        <v>11174693</v>
      </c>
      <c r="FB94" s="9">
        <f t="shared" si="49"/>
        <v>11174693</v>
      </c>
      <c r="FC94" s="8">
        <f>+MINVU_Mes_Corriente!FC94*SALUD_Mes_Constante!$FC$1</f>
        <v>136321</v>
      </c>
      <c r="FD94" s="8">
        <f>+MINVU_Mes_Corriente!FD94*SALUD_Mes_Constante!$FC$1</f>
        <v>0</v>
      </c>
      <c r="FE94" s="8">
        <f>+MINVU_Mes_Corriente!FE94*SALUD_Mes_Constante!$FC$1</f>
        <v>1983386</v>
      </c>
      <c r="FF94" s="8">
        <f>+MINVU_Mes_Corriente!FF94*SALUD_Mes_Constante!$FC$1</f>
        <v>3302958</v>
      </c>
      <c r="FG94" s="8">
        <f>+MINVU_Mes_Corriente!FG94*SALUD_Mes_Constante!$FC$1</f>
        <v>4205093</v>
      </c>
      <c r="FH94" s="8">
        <f>+MINVU_Mes_Corriente!FH94*SALUD_Mes_Constante!$FC$1</f>
        <v>6291923</v>
      </c>
      <c r="FI94" s="8">
        <f>+MINVU_Mes_Corriente!FI94*SALUD_Mes_Constante!$FC$1</f>
        <v>7537146</v>
      </c>
      <c r="FJ94" s="8"/>
      <c r="FK94" s="8"/>
      <c r="FL94" s="8"/>
      <c r="FM94" s="8"/>
      <c r="FN94" s="8"/>
      <c r="FO94" s="9">
        <f t="shared" si="50"/>
        <v>7537146</v>
      </c>
    </row>
    <row r="95" spans="2:171" ht="14.25" customHeight="1" x14ac:dyDescent="0.3">
      <c r="B95" s="7" t="s">
        <v>58</v>
      </c>
      <c r="C95" s="8">
        <f>+MINVU_Mes_Corriente!C95*SALUD_Mes_Constante!$C$1</f>
        <v>0</v>
      </c>
      <c r="D95" s="8">
        <f>+MINVU_Mes_Corriente!D95*SALUD_Mes_Constante!$C$1</f>
        <v>213287.89945128284</v>
      </c>
      <c r="E95" s="8">
        <f>+MINVU_Mes_Corriente!E95*SALUD_Mes_Constante!$C$1</f>
        <v>8038562.6632062895</v>
      </c>
      <c r="F95" s="8">
        <f>+MINVU_Mes_Corriente!F95*SALUD_Mes_Constante!$C$1</f>
        <v>8859295.9780513141</v>
      </c>
      <c r="G95" s="8">
        <f>+MINVU_Mes_Corriente!G95*SALUD_Mes_Constante!$C$1</f>
        <v>9422677.6764051616</v>
      </c>
      <c r="H95" s="8">
        <f>+MINVU_Mes_Corriente!H95*SALUD_Mes_Constante!$C$1</f>
        <v>9663200.3686786313</v>
      </c>
      <c r="I95" s="8">
        <f>+MINVU_Mes_Corriente!I95*SALUD_Mes_Constante!$C$1</f>
        <v>9904649.8994512837</v>
      </c>
      <c r="J95" s="8">
        <f>+MINVU_Mes_Corriente!J95*SALUD_Mes_Constante!$C$1</f>
        <v>10232784.755450098</v>
      </c>
      <c r="K95" s="8">
        <f>+MINVU_Mes_Corriente!K95*SALUD_Mes_Constante!$C$1</f>
        <v>12352879.211923478</v>
      </c>
      <c r="L95" s="8">
        <f>+MINVU_Mes_Corriente!L95*SALUD_Mes_Constante!$C$1</f>
        <v>13125706.966928668</v>
      </c>
      <c r="M95" s="8">
        <f>+MINVU_Mes_Corriente!M95*SALUD_Mes_Constante!$C$1</f>
        <v>14336263.369420141</v>
      </c>
      <c r="N95" s="8">
        <f>+MINVU_Mes_Corriente!N95*SALUD_Mes_Constante!$C$1</f>
        <v>20838638.210292157</v>
      </c>
      <c r="O95" s="9">
        <f t="shared" si="38"/>
        <v>20838638.210292157</v>
      </c>
      <c r="P95" s="8">
        <f>+MINVU_Mes_Corriente!P95*SALUD_Mes_Constante!$P$1</f>
        <v>0</v>
      </c>
      <c r="Q95" s="8">
        <f>+MINVU_Mes_Corriente!Q95*SALUD_Mes_Constante!$P$1</f>
        <v>1467478.6813467816</v>
      </c>
      <c r="R95" s="8">
        <f>+MINVU_Mes_Corriente!R95*SALUD_Mes_Constante!$P$1</f>
        <v>3875527.7925841725</v>
      </c>
      <c r="S95" s="8">
        <f>+MINVU_Mes_Corriente!S95*SALUD_Mes_Constante!$P$1</f>
        <v>5519342.086660035</v>
      </c>
      <c r="T95" s="8">
        <f>+MINVU_Mes_Corriente!T95*SALUD_Mes_Constante!$P$1</f>
        <v>7696857.0993038751</v>
      </c>
      <c r="U95" s="8">
        <f>+MINVU_Mes_Corriente!U95*SALUD_Mes_Constante!$P$1</f>
        <v>11372132.841028551</v>
      </c>
      <c r="V95" s="8">
        <f>+MINVU_Mes_Corriente!V95*SALUD_Mes_Constante!$P$1</f>
        <v>12952273.964767719</v>
      </c>
      <c r="W95" s="8">
        <f>+MINVU_Mes_Corriente!W95*SALUD_Mes_Constante!$P$1</f>
        <v>15466908.619690292</v>
      </c>
      <c r="X95" s="8">
        <f>+MINVU_Mes_Corriente!X95*SALUD_Mes_Constante!$P$1</f>
        <v>17795070.184117056</v>
      </c>
      <c r="Y95" s="8">
        <f>+MINVU_Mes_Corriente!Y95*SALUD_Mes_Constante!$P$1</f>
        <v>19997079.056684181</v>
      </c>
      <c r="Z95" s="8">
        <f>+MINVU_Mes_Corriente!Z95*SALUD_Mes_Constante!$P$1</f>
        <v>22601234.268219911</v>
      </c>
      <c r="AA95" s="8">
        <f>+MINVU_Mes_Corriente!AA95*SALUD_Mes_Constante!$P$1</f>
        <v>34690891.297343358</v>
      </c>
      <c r="AB95" s="9">
        <f t="shared" si="39"/>
        <v>34690891.297343358</v>
      </c>
      <c r="AC95" s="8">
        <f>+MINVU_Mes_Corriente!AC95*SALUD_Mes_Constante!$AC$1</f>
        <v>0</v>
      </c>
      <c r="AD95" s="8">
        <f>+MINVU_Mes_Corriente!AD95*SALUD_Mes_Constante!$AC$1</f>
        <v>0</v>
      </c>
      <c r="AE95" s="8">
        <f>+MINVU_Mes_Corriente!AE95*SALUD_Mes_Constante!$AC$1</f>
        <v>5586278.3497025864</v>
      </c>
      <c r="AF95" s="8">
        <f>+MINVU_Mes_Corriente!AF95*SALUD_Mes_Constante!$AC$1</f>
        <v>6755732.1571448334</v>
      </c>
      <c r="AG95" s="8">
        <f>+MINVU_Mes_Corriente!AG95*SALUD_Mes_Constante!$AC$1</f>
        <v>7119290.3106930414</v>
      </c>
      <c r="AH95" s="8">
        <f>+MINVU_Mes_Corriente!AH95*SALUD_Mes_Constante!$AC$1</f>
        <v>7970079.4461197956</v>
      </c>
      <c r="AI95" s="8">
        <f>+MINVU_Mes_Corriente!AI95*SALUD_Mes_Constante!$AC$1</f>
        <v>9018986.0260063633</v>
      </c>
      <c r="AJ95" s="8">
        <f>+MINVU_Mes_Corriente!AJ95*SALUD_Mes_Constante!$AC$1</f>
        <v>10998198.65735233</v>
      </c>
      <c r="AK95" s="8">
        <f>+MINVU_Mes_Corriente!AK95*SALUD_Mes_Constante!$AC$1</f>
        <v>11633212.517637294</v>
      </c>
      <c r="AL95" s="8">
        <f>+MINVU_Mes_Corriente!AL95*SALUD_Mes_Constante!$AC$1</f>
        <v>16454362.539217042</v>
      </c>
      <c r="AM95" s="8">
        <f>+MINVU_Mes_Corriente!AM95*SALUD_Mes_Constante!$AC$1</f>
        <v>20373219.026144695</v>
      </c>
      <c r="AN95" s="8">
        <f>+MINVU_Mes_Corriente!AN95*SALUD_Mes_Constante!$AC$1</f>
        <v>19157960.355512518</v>
      </c>
      <c r="AO95" s="9">
        <f t="shared" si="40"/>
        <v>19157960.355512518</v>
      </c>
      <c r="AP95" s="8">
        <f>+MINVU_Mes_Corriente!AP95*SALUD_Mes_Constante!$AP$1</f>
        <v>0</v>
      </c>
      <c r="AQ95" s="8">
        <f>+MINVU_Mes_Corriente!AQ95*SALUD_Mes_Constante!$AP$1</f>
        <v>92381.081293115101</v>
      </c>
      <c r="AR95" s="8">
        <f>+MINVU_Mes_Corriente!AR95*SALUD_Mes_Constante!$AP$1</f>
        <v>1398525.0442310292</v>
      </c>
      <c r="AS95" s="8">
        <f>+MINVU_Mes_Corriente!AS95*SALUD_Mes_Constante!$AP$1</f>
        <v>2764614.9576626536</v>
      </c>
      <c r="AT95" s="8">
        <f>+MINVU_Mes_Corriente!AT95*SALUD_Mes_Constante!$AP$1</f>
        <v>3973509.6878127959</v>
      </c>
      <c r="AU95" s="8">
        <f>+MINVU_Mes_Corriente!AU95*SALUD_Mes_Constante!$AP$1</f>
        <v>5171861.1900446368</v>
      </c>
      <c r="AV95" s="8">
        <f>+MINVU_Mes_Corriente!AV95*SALUD_Mes_Constante!$AP$1</f>
        <v>6438655.0006763153</v>
      </c>
      <c r="AW95" s="8">
        <f>+MINVU_Mes_Corriente!AW95*SALUD_Mes_Constante!$AP$1</f>
        <v>7888243.9096442573</v>
      </c>
      <c r="AX95" s="8">
        <f>+MINVU_Mes_Corriente!AX95*SALUD_Mes_Constante!$AP$1</f>
        <v>9603080.570269173</v>
      </c>
      <c r="AY95" s="8">
        <f>+MINVU_Mes_Corriente!AY95*SALUD_Mes_Constante!$AP$1</f>
        <v>11055567.610712836</v>
      </c>
      <c r="AZ95" s="8">
        <f>+MINVU_Mes_Corriente!AZ95*SALUD_Mes_Constante!$AP$1</f>
        <v>12588525.461382387</v>
      </c>
      <c r="BA95" s="8">
        <f>+MINVU_Mes_Corriente!BA95*SALUD_Mes_Constante!$AP$1</f>
        <v>20147425.769241173</v>
      </c>
      <c r="BB95" s="9">
        <f t="shared" si="41"/>
        <v>20147425.769241173</v>
      </c>
      <c r="BC95" s="8">
        <f>+MINVU_Mes_Corriente!BC95*SALUD_Mes_Constante!$BC$1</f>
        <v>0</v>
      </c>
      <c r="BD95" s="8">
        <f>+MINVU_Mes_Corriente!BD95*SALUD_Mes_Constante!$BC$1</f>
        <v>0</v>
      </c>
      <c r="BE95" s="8">
        <f>+MINVU_Mes_Corriente!BE95*SALUD_Mes_Constante!$BC$1</f>
        <v>0</v>
      </c>
      <c r="BF95" s="8">
        <f>+MINVU_Mes_Corriente!BF95*SALUD_Mes_Constante!$BC$1</f>
        <v>2240268.0197810899</v>
      </c>
      <c r="BG95" s="8">
        <f>+MINVU_Mes_Corriente!BG95*SALUD_Mes_Constante!$BC$1</f>
        <v>3377665.6283792704</v>
      </c>
      <c r="BH95" s="8">
        <f>+MINVU_Mes_Corriente!BH95*SALUD_Mes_Constante!$BC$1</f>
        <v>4106544.9526572605</v>
      </c>
      <c r="BI95" s="8">
        <f>+MINVU_Mes_Corriente!BI95*SALUD_Mes_Constante!$BC$1</f>
        <v>5324166.4605037598</v>
      </c>
      <c r="BJ95" s="8">
        <f>+MINVU_Mes_Corriente!BJ95*SALUD_Mes_Constante!$BC$1</f>
        <v>5961146.6411710419</v>
      </c>
      <c r="BK95" s="8">
        <f>+MINVU_Mes_Corriente!BK95*SALUD_Mes_Constante!$BC$1</f>
        <v>11975018.472636163</v>
      </c>
      <c r="BL95" s="8">
        <f>+MINVU_Mes_Corriente!BL95*SALUD_Mes_Constante!$BC$1</f>
        <v>12652953.502835292</v>
      </c>
      <c r="BM95" s="8">
        <f>+MINVU_Mes_Corriente!BM95*SALUD_Mes_Constante!$BC$1</f>
        <v>13870801.224845052</v>
      </c>
      <c r="BN95" s="8">
        <f>+MINVU_Mes_Corriente!BN95*SALUD_Mes_Constante!$BC$1</f>
        <v>16174887.574047215</v>
      </c>
      <c r="BO95" s="9">
        <f t="shared" si="42"/>
        <v>16174887.574047215</v>
      </c>
      <c r="BP95" s="8">
        <f>+MINVU_Mes_Corriente!BP95*SALUD_Mes_Constante!$BP$1</f>
        <v>0</v>
      </c>
      <c r="BQ95" s="8">
        <f>+MINVU_Mes_Corriente!BQ95*SALUD_Mes_Constante!$BP$1</f>
        <v>2793022.7531370041</v>
      </c>
      <c r="BR95" s="8">
        <f>+MINVU_Mes_Corriente!BR95*SALUD_Mes_Constante!$BP$1</f>
        <v>4171544.0020486559</v>
      </c>
      <c r="BS95" s="8">
        <f>+MINVU_Mes_Corriente!BS95*SALUD_Mes_Constante!$BP$1</f>
        <v>5054022.0530089634</v>
      </c>
      <c r="BT95" s="8">
        <f>+MINVU_Mes_Corriente!BT95*SALUD_Mes_Constante!$BP$1</f>
        <v>5887317.7152368762</v>
      </c>
      <c r="BU95" s="8">
        <f>+MINVU_Mes_Corriente!BU95*SALUD_Mes_Constante!$BP$1</f>
        <v>6062170.0886043543</v>
      </c>
      <c r="BV95" s="8">
        <f>+MINVU_Mes_Corriente!BV95*SALUD_Mes_Constante!$BP$1</f>
        <v>6472007.0066581313</v>
      </c>
      <c r="BW95" s="8">
        <f>+MINVU_Mes_Corriente!BW95*SALUD_Mes_Constante!$BP$1</f>
        <v>6570999.9241997451</v>
      </c>
      <c r="BX95" s="8">
        <f>+MINVU_Mes_Corriente!BX95*SALUD_Mes_Constante!$BP$1</f>
        <v>6867656.9124199748</v>
      </c>
      <c r="BY95" s="8">
        <f>+MINVU_Mes_Corriente!BY95*SALUD_Mes_Constante!$BP$1</f>
        <v>11219226.699871961</v>
      </c>
      <c r="BZ95" s="8">
        <f>+MINVU_Mes_Corriente!BZ95*SALUD_Mes_Constante!$BP$1</f>
        <v>13054489.723175418</v>
      </c>
      <c r="CA95" s="8">
        <f>+MINVU_Mes_Corriente!CA95*SALUD_Mes_Constante!$BP$1</f>
        <v>24302612.26555698</v>
      </c>
      <c r="CB95" s="9">
        <f t="shared" si="43"/>
        <v>24302612.26555698</v>
      </c>
      <c r="CC95" s="8">
        <f>+MINVU_Mes_Corriente!CC95*SALUD_Mes_Constante!$CC$1</f>
        <v>0</v>
      </c>
      <c r="CD95" s="8">
        <f>+MINVU_Mes_Corriente!CD95*SALUD_Mes_Constante!$CC$1</f>
        <v>1266389.0130548305</v>
      </c>
      <c r="CE95" s="8">
        <f>+MINVU_Mes_Corriente!CE95*SALUD_Mes_Constante!$CC$1</f>
        <v>2805218.9160760911</v>
      </c>
      <c r="CF95" s="8">
        <f>+MINVU_Mes_Corriente!CF95*SALUD_Mes_Constante!$CC$1</f>
        <v>4982927.0734800454</v>
      </c>
      <c r="CG95" s="8">
        <f>+MINVU_Mes_Corriente!CG95*SALUD_Mes_Constante!$CC$1</f>
        <v>9023396.6497575548</v>
      </c>
      <c r="CH95" s="8">
        <f>+MINVU_Mes_Corriente!CH95*SALUD_Mes_Constante!$CC$1</f>
        <v>11064211.251025738</v>
      </c>
      <c r="CI95" s="8">
        <f>+MINVU_Mes_Corriente!CI95*SALUD_Mes_Constante!$CC$1</f>
        <v>13797676.925773967</v>
      </c>
      <c r="CJ95" s="8">
        <f>+MINVU_Mes_Corriente!CJ95*SALUD_Mes_Constante!$CC$1</f>
        <v>16121090.893696383</v>
      </c>
      <c r="CK95" s="8">
        <f>+MINVU_Mes_Corriente!CK95*SALUD_Mes_Constante!$CC$1</f>
        <v>16970898.138754196</v>
      </c>
      <c r="CL95" s="8">
        <f>+MINVU_Mes_Corriente!CL95*SALUD_Mes_Constante!$CC$1</f>
        <v>19739350.650503546</v>
      </c>
      <c r="CM95" s="8">
        <f>+MINVU_Mes_Corriente!CM95*SALUD_Mes_Constante!$CC$1</f>
        <v>20779180.366281241</v>
      </c>
      <c r="CN95" s="8">
        <f>+MINVU_Mes_Corriente!CN95*SALUD_Mes_Constante!$CC$1</f>
        <v>31934323.432301383</v>
      </c>
      <c r="CO95" s="9">
        <f t="shared" si="44"/>
        <v>31934323.432301383</v>
      </c>
      <c r="CP95" s="8">
        <f>+MINVU_Mes_Corriente!CP95*SALUD_Mes_Constante!$CP$1</f>
        <v>0</v>
      </c>
      <c r="CQ95" s="8">
        <f>+MINVU_Mes_Corriente!CQ95*SALUD_Mes_Constante!$CP$1</f>
        <v>256265.40069605564</v>
      </c>
      <c r="CR95" s="8">
        <f>+MINVU_Mes_Corriente!CR95*SALUD_Mes_Constante!$CP$1</f>
        <v>2859577.5633410667</v>
      </c>
      <c r="CS95" s="8">
        <f>+MINVU_Mes_Corriente!CS95*SALUD_Mes_Constante!$CP$1</f>
        <v>4896570.5561484909</v>
      </c>
      <c r="CT95" s="8">
        <f>+MINVU_Mes_Corriente!CT95*SALUD_Mes_Constante!$CP$1</f>
        <v>6021818.0018561473</v>
      </c>
      <c r="CU95" s="8">
        <f>+MINVU_Mes_Corriente!CU95*SALUD_Mes_Constante!$CP$1</f>
        <v>6979270.2264501145</v>
      </c>
      <c r="CV95" s="8">
        <f>+MINVU_Mes_Corriente!CV95*SALUD_Mes_Constante!$CP$1</f>
        <v>7579100.0213457057</v>
      </c>
      <c r="CW95" s="8">
        <f>+MINVU_Mes_Corriente!CW95*SALUD_Mes_Constante!$CP$1</f>
        <v>9008987.6693735477</v>
      </c>
      <c r="CX95" s="8">
        <f>+MINVU_Mes_Corriente!CX95*SALUD_Mes_Constante!$CP$1</f>
        <v>9662063.3352668192</v>
      </c>
      <c r="CY95" s="8">
        <f>+MINVU_Mes_Corriente!CY95*SALUD_Mes_Constante!$CP$1</f>
        <v>13157659.582830625</v>
      </c>
      <c r="CZ95" s="8">
        <f>+MINVU_Mes_Corriente!CZ95*SALUD_Mes_Constante!$CP$1</f>
        <v>13989670.680278419</v>
      </c>
      <c r="DA95" s="8">
        <f>+MINVU_Mes_Corriente!DA95*SALUD_Mes_Constante!$CP$1</f>
        <v>16715379.393271457</v>
      </c>
      <c r="DB95" s="9">
        <f t="shared" si="45"/>
        <v>16715379.393271457</v>
      </c>
      <c r="DC95" s="8">
        <f>+MINVU_Mes_Corriente!DC95*SALUD_Mes_Constante!$DC$1</f>
        <v>0</v>
      </c>
      <c r="DD95" s="8">
        <f>+MINVU_Mes_Corriente!DD95*SALUD_Mes_Constante!$DC$1</f>
        <v>223794.73696121809</v>
      </c>
      <c r="DE95" s="8">
        <f>+MINVU_Mes_Corriente!DE95*SALUD_Mes_Constante!$DC$1</f>
        <v>772497.76010698522</v>
      </c>
      <c r="DF95" s="8">
        <f>+MINVU_Mes_Corriente!DF95*SALUD_Mes_Constante!$DC$1</f>
        <v>1225949.8012550154</v>
      </c>
      <c r="DG95" s="8">
        <f>+MINVU_Mes_Corriente!DG95*SALUD_Mes_Constante!$DC$1</f>
        <v>1421950.1699413648</v>
      </c>
      <c r="DH95" s="8">
        <f>+MINVU_Mes_Corriente!DH95*SALUD_Mes_Constante!$DC$1</f>
        <v>1969754.0263347402</v>
      </c>
      <c r="DI95" s="8">
        <f>+MINVU_Mes_Corriente!DI95*SALUD_Mes_Constante!$DC$1</f>
        <v>2793507.6632033754</v>
      </c>
      <c r="DJ95" s="8">
        <f>+MINVU_Mes_Corriente!DJ95*SALUD_Mes_Constante!$DC$1</f>
        <v>3357313.3159140022</v>
      </c>
      <c r="DK95" s="8">
        <f>+MINVU_Mes_Corriente!DK95*SALUD_Mes_Constante!$DC$1</f>
        <v>7647476.170764328</v>
      </c>
      <c r="DL95" s="8">
        <f>+MINVU_Mes_Corriente!DL95*SALUD_Mes_Constante!$DC$1</f>
        <v>14230201.78376711</v>
      </c>
      <c r="DM95" s="8">
        <f>+MINVU_Mes_Corriente!DM95*SALUD_Mes_Constante!$DC$1</f>
        <v>15936081.839111211</v>
      </c>
      <c r="DN95" s="8">
        <f>+MINVU_Mes_Corriente!DN95*SALUD_Mes_Constante!$DC$1</f>
        <v>24052662.296265829</v>
      </c>
      <c r="DO95" s="9">
        <f t="shared" si="46"/>
        <v>24052662.296265829</v>
      </c>
      <c r="DP95" s="8">
        <f>+MINVU_Mes_Corriente!DP95*SALUD_Mes_Constante!$DP$1</f>
        <v>0</v>
      </c>
      <c r="DQ95" s="8">
        <f>+MINVU_Mes_Corriente!DQ95*SALUD_Mes_Constante!$DP$1</f>
        <v>1195077.7482185275</v>
      </c>
      <c r="DR95" s="8">
        <f>+MINVU_Mes_Corriente!DR95*SALUD_Mes_Constante!$DP$1</f>
        <v>1746714.2298099764</v>
      </c>
      <c r="DS95" s="8">
        <f>+MINVU_Mes_Corriente!DS95*SALUD_Mes_Constante!$DP$1</f>
        <v>2327707.3076009504</v>
      </c>
      <c r="DT95" s="8">
        <f>+MINVU_Mes_Corriente!DT95*SALUD_Mes_Constante!$DP$1</f>
        <v>3721215.6627078387</v>
      </c>
      <c r="DU95" s="8">
        <f>+MINVU_Mes_Corriente!DU95*SALUD_Mes_Constante!$DP$1</f>
        <v>4602926.7773159146</v>
      </c>
      <c r="DV95" s="8">
        <f>+MINVU_Mes_Corriente!DV95*SALUD_Mes_Constante!$DP$1</f>
        <v>5587427.0700712595</v>
      </c>
      <c r="DW95" s="8">
        <f>+MINVU_Mes_Corriente!DW95*SALUD_Mes_Constante!$DP$1</f>
        <v>6337858.5748218531</v>
      </c>
      <c r="DX95" s="8">
        <f>+MINVU_Mes_Corriente!DX95*SALUD_Mes_Constante!$DP$1</f>
        <v>7404609.8907363424</v>
      </c>
      <c r="DY95" s="8">
        <f>+MINVU_Mes_Corriente!DY95*SALUD_Mes_Constante!$DP$1</f>
        <v>10666017.646674585</v>
      </c>
      <c r="DZ95" s="8">
        <f>+MINVU_Mes_Corriente!DZ95*SALUD_Mes_Constante!$DP$1</f>
        <v>11935249.239904989</v>
      </c>
      <c r="EA95" s="8">
        <f>+MINVU_Mes_Corriente!EA95*SALUD_Mes_Constante!$DP$1</f>
        <v>15666524.738123517</v>
      </c>
      <c r="EB95" s="9">
        <f t="shared" si="47"/>
        <v>15666524.738123517</v>
      </c>
      <c r="EC95" s="8">
        <f>+MINVU_Mes_Corriente!EC95*SALUD_Mes_Constante!$EC$1</f>
        <v>0</v>
      </c>
      <c r="ED95" s="8">
        <f>+MINVU_Mes_Corriente!ED95*SALUD_Mes_Constante!$EC$1</f>
        <v>0</v>
      </c>
      <c r="EE95" s="8">
        <f>+MINVU_Mes_Corriente!EE95*SALUD_Mes_Constante!$EC$1</f>
        <v>2721623.9801174011</v>
      </c>
      <c r="EF95" s="8">
        <f>+MINVU_Mes_Corriente!EF95*SALUD_Mes_Constante!$EC$1</f>
        <v>3575892.9759515231</v>
      </c>
      <c r="EG95" s="8">
        <f>+MINVU_Mes_Corriente!EG95*SALUD_Mes_Constante!$EC$1</f>
        <v>3643110.3238023091</v>
      </c>
      <c r="EH95" s="8">
        <f>+MINVU_Mes_Corriente!EH95*SALUD_Mes_Constante!$EC$1</f>
        <v>8612016.5765953399</v>
      </c>
      <c r="EI95" s="8">
        <f>+MINVU_Mes_Corriente!EI95*SALUD_Mes_Constante!$EC$1</f>
        <v>10044860.823328912</v>
      </c>
      <c r="EJ95" s="8">
        <f>+MINVU_Mes_Corriente!EJ95*SALUD_Mes_Constante!$EC$1</f>
        <v>22245076.349744361</v>
      </c>
      <c r="EK95" s="8">
        <f>+MINVU_Mes_Corriente!EK95*SALUD_Mes_Constante!$EC$1</f>
        <v>24022929.580571853</v>
      </c>
      <c r="EL95" s="8">
        <f>+MINVU_Mes_Corriente!EL95*SALUD_Mes_Constante!$EC$1</f>
        <v>24767339.62223063</v>
      </c>
      <c r="EM95" s="8">
        <f>+MINVU_Mes_Corriente!EM95*SALUD_Mes_Constante!$EC$1</f>
        <v>27427490.628479447</v>
      </c>
      <c r="EN95" s="8">
        <f>+MINVU_Mes_Corriente!EN95*SALUD_Mes_Constante!$EC$1</f>
        <v>30634381.281575449</v>
      </c>
      <c r="EO95" s="9">
        <f t="shared" si="48"/>
        <v>30634381.281575449</v>
      </c>
      <c r="EP95" s="8">
        <f>+MINVU_Mes_Corriente!EP95*SALUD_Mes_Constante!$EP$1</f>
        <v>0</v>
      </c>
      <c r="EQ95" s="8">
        <f>+MINVU_Mes_Corriente!EQ95*SALUD_Mes_Constante!$EP$1</f>
        <v>0</v>
      </c>
      <c r="ER95" s="8">
        <f>+MINVU_Mes_Corriente!ER95*SALUD_Mes_Constante!$EP$1</f>
        <v>1752211</v>
      </c>
      <c r="ES95" s="8">
        <f>+MINVU_Mes_Corriente!ES95*SALUD_Mes_Constante!$EP$1</f>
        <v>4241408</v>
      </c>
      <c r="ET95" s="8">
        <f>+MINVU_Mes_Corriente!ET95*SALUD_Mes_Constante!$EP$1</f>
        <v>5881346</v>
      </c>
      <c r="EU95" s="8">
        <f>+MINVU_Mes_Corriente!EU95*SALUD_Mes_Constante!$EP$1</f>
        <v>8642248</v>
      </c>
      <c r="EV95" s="8">
        <f>+MINVU_Mes_Corriente!EV95*SALUD_Mes_Constante!$EP$1</f>
        <v>10581958</v>
      </c>
      <c r="EW95" s="8">
        <f>+MINVU_Mes_Corriente!EW95*SALUD_Mes_Constante!$EP$1</f>
        <v>11171158</v>
      </c>
      <c r="EX95" s="8">
        <f>+MINVU_Mes_Corriente!EX95*SALUD_Mes_Constante!$EP$1</f>
        <v>15082871</v>
      </c>
      <c r="EY95" s="8">
        <f>+MINVU_Mes_Corriente!EY95*SALUD_Mes_Constante!$EP$1</f>
        <v>16356007</v>
      </c>
      <c r="EZ95" s="8">
        <f>+MINVU_Mes_Corriente!EZ95*SALUD_Mes_Constante!$EP$1</f>
        <v>17113937</v>
      </c>
      <c r="FA95" s="8">
        <f>+MINVU_Mes_Corriente!FA95*SALUD_Mes_Constante!$EP$1</f>
        <v>23022761</v>
      </c>
      <c r="FB95" s="9">
        <f t="shared" si="49"/>
        <v>23022761</v>
      </c>
      <c r="FC95" s="8">
        <f>+MINVU_Mes_Corriente!FC95*SALUD_Mes_Constante!$FC$1</f>
        <v>0</v>
      </c>
      <c r="FD95" s="8">
        <f>+MINVU_Mes_Corriente!FD95*SALUD_Mes_Constante!$FC$1</f>
        <v>0</v>
      </c>
      <c r="FE95" s="8">
        <f>+MINVU_Mes_Corriente!FE95*SALUD_Mes_Constante!$FC$1</f>
        <v>2901318</v>
      </c>
      <c r="FF95" s="8">
        <f>+MINVU_Mes_Corriente!FF95*SALUD_Mes_Constante!$FC$1</f>
        <v>5349868</v>
      </c>
      <c r="FG95" s="8">
        <f>+MINVU_Mes_Corriente!FG95*SALUD_Mes_Constante!$FC$1</f>
        <v>5974287</v>
      </c>
      <c r="FH95" s="8">
        <f>+MINVU_Mes_Corriente!FH95*SALUD_Mes_Constante!$FC$1</f>
        <v>10705980</v>
      </c>
      <c r="FI95" s="8">
        <f>+MINVU_Mes_Corriente!FI95*SALUD_Mes_Constante!$FC$1</f>
        <v>18137759</v>
      </c>
      <c r="FJ95" s="8"/>
      <c r="FK95" s="8"/>
      <c r="FL95" s="8"/>
      <c r="FM95" s="8"/>
      <c r="FN95" s="8"/>
      <c r="FO95" s="9">
        <f t="shared" si="50"/>
        <v>18137759</v>
      </c>
    </row>
    <row r="96" spans="2:171" ht="14.25" customHeight="1" x14ac:dyDescent="0.3">
      <c r="B96" s="7" t="s">
        <v>59</v>
      </c>
      <c r="C96" s="8">
        <f>+MINVU_Mes_Corriente!C96*SALUD_Mes_Constante!$C$1</f>
        <v>0</v>
      </c>
      <c r="D96" s="8">
        <f>+MINVU_Mes_Corriente!D96*SALUD_Mes_Constante!$C$1</f>
        <v>0</v>
      </c>
      <c r="E96" s="8">
        <f>+MINVU_Mes_Corriente!E96*SALUD_Mes_Constante!$C$1</f>
        <v>526983.84309654462</v>
      </c>
      <c r="F96" s="8">
        <f>+MINVU_Mes_Corriente!F96*SALUD_Mes_Constante!$C$1</f>
        <v>928019.73216669157</v>
      </c>
      <c r="G96" s="8">
        <f>+MINVU_Mes_Corriente!G96*SALUD_Mes_Constante!$C$1</f>
        <v>1351134.4698205548</v>
      </c>
      <c r="H96" s="8">
        <f>+MINVU_Mes_Corriente!H96*SALUD_Mes_Constante!$C$1</f>
        <v>3216871.7111078161</v>
      </c>
      <c r="I96" s="8">
        <f>+MINVU_Mes_Corriente!I96*SALUD_Mes_Constante!$C$1</f>
        <v>3831937.6185674039</v>
      </c>
      <c r="J96" s="8">
        <f>+MINVU_Mes_Corriente!J96*SALUD_Mes_Constante!$C$1</f>
        <v>4662561.5316624651</v>
      </c>
      <c r="K96" s="8">
        <f>+MINVU_Mes_Corriente!K96*SALUD_Mes_Constante!$C$1</f>
        <v>5579964.7501112269</v>
      </c>
      <c r="L96" s="8">
        <f>+MINVU_Mes_Corriente!L96*SALUD_Mes_Constante!$C$1</f>
        <v>6565748.2334272591</v>
      </c>
      <c r="M96" s="8">
        <f>+MINVU_Mes_Corriente!M96*SALUD_Mes_Constante!$C$1</f>
        <v>8313979.5286964271</v>
      </c>
      <c r="N96" s="8">
        <f>+MINVU_Mes_Corriente!N96*SALUD_Mes_Constante!$C$1</f>
        <v>15028665.199762719</v>
      </c>
      <c r="O96" s="9">
        <f t="shared" si="38"/>
        <v>15028665.199762719</v>
      </c>
      <c r="P96" s="8">
        <f>+MINVU_Mes_Corriente!P96*SALUD_Mes_Constante!$P$1</f>
        <v>0</v>
      </c>
      <c r="Q96" s="8">
        <f>+MINVU_Mes_Corriente!Q96*SALUD_Mes_Constante!$P$1</f>
        <v>0</v>
      </c>
      <c r="R96" s="8">
        <f>+MINVU_Mes_Corriente!R96*SALUD_Mes_Constante!$P$1</f>
        <v>451730.10711748811</v>
      </c>
      <c r="S96" s="8">
        <f>+MINVU_Mes_Corriente!S96*SALUD_Mes_Constante!$P$1</f>
        <v>1245560.8955817583</v>
      </c>
      <c r="T96" s="8">
        <f>+MINVU_Mes_Corriente!T96*SALUD_Mes_Constante!$P$1</f>
        <v>1912757.807358999</v>
      </c>
      <c r="U96" s="8">
        <f>+MINVU_Mes_Corriente!U96*SALUD_Mes_Constante!$P$1</f>
        <v>3923582.6347492528</v>
      </c>
      <c r="V96" s="8">
        <f>+MINVU_Mes_Corriente!V96*SALUD_Mes_Constante!$P$1</f>
        <v>5281905.3141071154</v>
      </c>
      <c r="W96" s="8">
        <f>+MINVU_Mes_Corriente!W96*SALUD_Mes_Constante!$P$1</f>
        <v>7091011.2530188924</v>
      </c>
      <c r="X96" s="8">
        <f>+MINVU_Mes_Corriente!X96*SALUD_Mes_Constante!$P$1</f>
        <v>8395948.8040914871</v>
      </c>
      <c r="Y96" s="8">
        <f>+MINVU_Mes_Corriente!Y96*SALUD_Mes_Constante!$P$1</f>
        <v>9826798.4546100255</v>
      </c>
      <c r="Z96" s="8">
        <f>+MINVU_Mes_Corriente!Z96*SALUD_Mes_Constante!$P$1</f>
        <v>13272648.37505327</v>
      </c>
      <c r="AA96" s="8">
        <f>+MINVU_Mes_Corriente!AA96*SALUD_Mes_Constante!$P$1</f>
        <v>18502224.063077133</v>
      </c>
      <c r="AB96" s="9">
        <f t="shared" si="39"/>
        <v>18502224.063077133</v>
      </c>
      <c r="AC96" s="8">
        <f>+MINVU_Mes_Corriente!AC96*SALUD_Mes_Constante!$AC$1</f>
        <v>0</v>
      </c>
      <c r="AD96" s="8">
        <f>+MINVU_Mes_Corriente!AD96*SALUD_Mes_Constante!$AC$1</f>
        <v>34892.465901231153</v>
      </c>
      <c r="AE96" s="8">
        <f>+MINVU_Mes_Corriente!AE96*SALUD_Mes_Constante!$AC$1</f>
        <v>1073287.1727763177</v>
      </c>
      <c r="AF96" s="8">
        <f>+MINVU_Mes_Corriente!AF96*SALUD_Mes_Constante!$AC$1</f>
        <v>1827389.7476829437</v>
      </c>
      <c r="AG96" s="8">
        <f>+MINVU_Mes_Corriente!AG96*SALUD_Mes_Constante!$AC$1</f>
        <v>3625137.6760271131</v>
      </c>
      <c r="AH96" s="8">
        <f>+MINVU_Mes_Corriente!AH96*SALUD_Mes_Constante!$AC$1</f>
        <v>4425525.7432563286</v>
      </c>
      <c r="AI96" s="8">
        <f>+MINVU_Mes_Corriente!AI96*SALUD_Mes_Constante!$AC$1</f>
        <v>5110319.4812560519</v>
      </c>
      <c r="AJ96" s="8">
        <f>+MINVU_Mes_Corriente!AJ96*SALUD_Mes_Constante!$AC$1</f>
        <v>7465331.1949093929</v>
      </c>
      <c r="AK96" s="8">
        <f>+MINVU_Mes_Corriente!AK96*SALUD_Mes_Constante!$AC$1</f>
        <v>8253786.6615022821</v>
      </c>
      <c r="AL96" s="8">
        <f>+MINVU_Mes_Corriente!AL96*SALUD_Mes_Constante!$AC$1</f>
        <v>9193602.5195739381</v>
      </c>
      <c r="AM96" s="8">
        <f>+MINVU_Mes_Corriente!AM96*SALUD_Mes_Constante!$AC$1</f>
        <v>10286334.012449855</v>
      </c>
      <c r="AN96" s="8">
        <f>+MINVU_Mes_Corriente!AN96*SALUD_Mes_Constante!$AC$1</f>
        <v>12232315.220085766</v>
      </c>
      <c r="AO96" s="9">
        <f t="shared" si="40"/>
        <v>12232315.220085766</v>
      </c>
      <c r="AP96" s="8">
        <f>+MINVU_Mes_Corriente!AP96*SALUD_Mes_Constante!$AP$1</f>
        <v>0</v>
      </c>
      <c r="AQ96" s="8">
        <f>+MINVU_Mes_Corriente!AQ96*SALUD_Mes_Constante!$AP$1</f>
        <v>601139.85959691601</v>
      </c>
      <c r="AR96" s="8">
        <f>+MINVU_Mes_Corriente!AR96*SALUD_Mes_Constante!$AP$1</f>
        <v>1239503.1957256864</v>
      </c>
      <c r="AS96" s="8">
        <f>+MINVU_Mes_Corriente!AS96*SALUD_Mes_Constante!$AP$1</f>
        <v>1742025.3015014201</v>
      </c>
      <c r="AT96" s="8">
        <f>+MINVU_Mes_Corriente!AT96*SALUD_Mes_Constante!$AP$1</f>
        <v>2438165.0536994454</v>
      </c>
      <c r="AU96" s="8">
        <f>+MINVU_Mes_Corriente!AU96*SALUD_Mes_Constante!$AP$1</f>
        <v>3089349.037738401</v>
      </c>
      <c r="AV96" s="8">
        <f>+MINVU_Mes_Corriente!AV96*SALUD_Mes_Constante!$AP$1</f>
        <v>3789991.9039632082</v>
      </c>
      <c r="AW96" s="8">
        <f>+MINVU_Mes_Corriente!AW96*SALUD_Mes_Constante!$AP$1</f>
        <v>4669454.3592587579</v>
      </c>
      <c r="AX96" s="8">
        <f>+MINVU_Mes_Corriente!AX96*SALUD_Mes_Constante!$AP$1</f>
        <v>5498101.2344109286</v>
      </c>
      <c r="AY96" s="8">
        <f>+MINVU_Mes_Corriente!AY96*SALUD_Mes_Constante!$AP$1</f>
        <v>6337802.6855133232</v>
      </c>
      <c r="AZ96" s="8">
        <f>+MINVU_Mes_Corriente!AZ96*SALUD_Mes_Constante!$AP$1</f>
        <v>7344745.9786284314</v>
      </c>
      <c r="BA96" s="8">
        <f>+MINVU_Mes_Corriente!BA96*SALUD_Mes_Constante!$AP$1</f>
        <v>10278450.133910455</v>
      </c>
      <c r="BB96" s="9">
        <f t="shared" si="41"/>
        <v>10278450.133910455</v>
      </c>
      <c r="BC96" s="8">
        <f>+MINVU_Mes_Corriente!BC96*SALUD_Mes_Constante!$BC$1</f>
        <v>0</v>
      </c>
      <c r="BD96" s="8">
        <f>+MINVU_Mes_Corriente!BD96*SALUD_Mes_Constante!$BC$1</f>
        <v>0</v>
      </c>
      <c r="BE96" s="8">
        <f>+MINVU_Mes_Corriente!BE96*SALUD_Mes_Constante!$BC$1</f>
        <v>0</v>
      </c>
      <c r="BF96" s="8">
        <f>+MINVU_Mes_Corriente!BF96*SALUD_Mes_Constante!$BC$1</f>
        <v>744184.08123434021</v>
      </c>
      <c r="BG96" s="8">
        <f>+MINVU_Mes_Corriente!BG96*SALUD_Mes_Constante!$BC$1</f>
        <v>837428.98298826348</v>
      </c>
      <c r="BH96" s="8">
        <f>+MINVU_Mes_Corriente!BH96*SALUD_Mes_Constante!$BC$1</f>
        <v>1044386.1252802324</v>
      </c>
      <c r="BI96" s="8">
        <f>+MINVU_Mes_Corriente!BI96*SALUD_Mes_Constante!$BC$1</f>
        <v>1148768.8326519849</v>
      </c>
      <c r="BJ96" s="8">
        <f>+MINVU_Mes_Corriente!BJ96*SALUD_Mes_Constante!$BC$1</f>
        <v>1177881.2986944483</v>
      </c>
      <c r="BK96" s="8">
        <f>+MINVU_Mes_Corriente!BK96*SALUD_Mes_Constante!$BC$1</f>
        <v>1179686.6894368986</v>
      </c>
      <c r="BL96" s="8">
        <f>+MINVU_Mes_Corriente!BL96*SALUD_Mes_Constante!$BC$1</f>
        <v>1196206.0867730454</v>
      </c>
      <c r="BM96" s="8">
        <f>+MINVU_Mes_Corriente!BM96*SALUD_Mes_Constante!$BC$1</f>
        <v>1270536.8909402615</v>
      </c>
      <c r="BN96" s="8">
        <f>+MINVU_Mes_Corriente!BN96*SALUD_Mes_Constante!$BC$1</f>
        <v>1355916.1677436375</v>
      </c>
      <c r="BO96" s="9">
        <f t="shared" si="42"/>
        <v>1355916.1677436375</v>
      </c>
      <c r="BP96" s="8">
        <f>+MINVU_Mes_Corriente!BP96*SALUD_Mes_Constante!$BP$1</f>
        <v>0</v>
      </c>
      <c r="BQ96" s="8">
        <f>+MINVU_Mes_Corriente!BQ96*SALUD_Mes_Constante!$BP$1</f>
        <v>0</v>
      </c>
      <c r="BR96" s="8">
        <f>+MINVU_Mes_Corriente!BR96*SALUD_Mes_Constante!$BP$1</f>
        <v>0</v>
      </c>
      <c r="BS96" s="8">
        <f>+MINVU_Mes_Corriente!BS96*SALUD_Mes_Constante!$BP$1</f>
        <v>0</v>
      </c>
      <c r="BT96" s="8">
        <f>+MINVU_Mes_Corriente!BT96*SALUD_Mes_Constante!$BP$1</f>
        <v>62506.233034571072</v>
      </c>
      <c r="BU96" s="8">
        <f>+MINVU_Mes_Corriente!BU96*SALUD_Mes_Constante!$BP$1</f>
        <v>62506.233034571072</v>
      </c>
      <c r="BV96" s="8">
        <f>+MINVU_Mes_Corriente!BV96*SALUD_Mes_Constante!$BP$1</f>
        <v>106359.92343149809</v>
      </c>
      <c r="BW96" s="8">
        <f>+MINVU_Mes_Corriente!BW96*SALUD_Mes_Constante!$BP$1</f>
        <v>140206.74084507042</v>
      </c>
      <c r="BX96" s="8">
        <f>+MINVU_Mes_Corriente!BX96*SALUD_Mes_Constante!$BP$1</f>
        <v>158123.42227912933</v>
      </c>
      <c r="BY96" s="8">
        <f>+MINVU_Mes_Corriente!BY96*SALUD_Mes_Constante!$BP$1</f>
        <v>199590.46017925738</v>
      </c>
      <c r="BZ96" s="8">
        <f>+MINVU_Mes_Corriente!BZ96*SALUD_Mes_Constante!$BP$1</f>
        <v>242747.46069142129</v>
      </c>
      <c r="CA96" s="8">
        <f>+MINVU_Mes_Corriente!CA96*SALUD_Mes_Constante!$BP$1</f>
        <v>332399.4176696543</v>
      </c>
      <c r="CB96" s="9">
        <f t="shared" si="43"/>
        <v>332399.4176696543</v>
      </c>
      <c r="CC96" s="8">
        <f>+MINVU_Mes_Corriente!CC96*SALUD_Mes_Constante!$CC$1</f>
        <v>0</v>
      </c>
      <c r="CD96" s="8">
        <f>+MINVU_Mes_Corriente!CD96*SALUD_Mes_Constante!$CC$1</f>
        <v>31937.120477433797</v>
      </c>
      <c r="CE96" s="8">
        <f>+MINVU_Mes_Corriente!CE96*SALUD_Mes_Constante!$CC$1</f>
        <v>64188.042521447227</v>
      </c>
      <c r="CF96" s="8">
        <f>+MINVU_Mes_Corriente!CF96*SALUD_Mes_Constante!$CC$1</f>
        <v>95132.137262215605</v>
      </c>
      <c r="CG96" s="8">
        <f>+MINVU_Mes_Corriente!CG96*SALUD_Mes_Constante!$CC$1</f>
        <v>152200.55203282359</v>
      </c>
      <c r="CH96" s="8">
        <f>+MINVU_Mes_Corriente!CH96*SALUD_Mes_Constante!$CC$1</f>
        <v>152200.55203282359</v>
      </c>
      <c r="CI96" s="8">
        <f>+MINVU_Mes_Corriente!CI96*SALUD_Mes_Constante!$CC$1</f>
        <v>165890.99440507274</v>
      </c>
      <c r="CJ96" s="8">
        <f>+MINVU_Mes_Corriente!CJ96*SALUD_Mes_Constante!$CC$1</f>
        <v>297655.0496083551</v>
      </c>
      <c r="CK96" s="8">
        <f>+MINVU_Mes_Corriente!CK96*SALUD_Mes_Constante!$CC$1</f>
        <v>403194.25960462517</v>
      </c>
      <c r="CL96" s="8">
        <f>+MINVU_Mes_Corriente!CL96*SALUD_Mes_Constante!$CC$1</f>
        <v>675819.89854531898</v>
      </c>
      <c r="CM96" s="8">
        <f>+MINVU_Mes_Corriente!CM96*SALUD_Mes_Constante!$CC$1</f>
        <v>2008196.8981723241</v>
      </c>
      <c r="CN96" s="8">
        <f>+MINVU_Mes_Corriente!CN96*SALUD_Mes_Constante!$CC$1</f>
        <v>4825113.4129056325</v>
      </c>
      <c r="CO96" s="9">
        <f t="shared" si="44"/>
        <v>4825113.4129056325</v>
      </c>
      <c r="CP96" s="8">
        <f>+MINVU_Mes_Corriente!CP96*SALUD_Mes_Constante!$CP$1</f>
        <v>0</v>
      </c>
      <c r="CQ96" s="8">
        <f>+MINVU_Mes_Corriente!CQ96*SALUD_Mes_Constante!$CP$1</f>
        <v>0</v>
      </c>
      <c r="CR96" s="8">
        <f>+MINVU_Mes_Corriente!CR96*SALUD_Mes_Constante!$CP$1</f>
        <v>301414.37053364265</v>
      </c>
      <c r="CS96" s="8">
        <f>+MINVU_Mes_Corriente!CS96*SALUD_Mes_Constante!$CP$1</f>
        <v>535804.95591647318</v>
      </c>
      <c r="CT96" s="8">
        <f>+MINVU_Mes_Corriente!CT96*SALUD_Mes_Constante!$CP$1</f>
        <v>799260.98283062631</v>
      </c>
      <c r="CU96" s="8">
        <f>+MINVU_Mes_Corriente!CU96*SALUD_Mes_Constante!$CP$1</f>
        <v>1064965.5856148489</v>
      </c>
      <c r="CV96" s="8">
        <f>+MINVU_Mes_Corriente!CV96*SALUD_Mes_Constante!$CP$1</f>
        <v>1345192.1352668211</v>
      </c>
      <c r="CW96" s="8">
        <f>+MINVU_Mes_Corriente!CW96*SALUD_Mes_Constante!$CP$1</f>
        <v>1622745.4907192572</v>
      </c>
      <c r="CX96" s="8">
        <f>+MINVU_Mes_Corriente!CX96*SALUD_Mes_Constante!$CP$1</f>
        <v>2156158.6412993036</v>
      </c>
      <c r="CY96" s="8">
        <f>+MINVU_Mes_Corriente!CY96*SALUD_Mes_Constante!$CP$1</f>
        <v>3468875.7132250573</v>
      </c>
      <c r="CZ96" s="8">
        <f>+MINVU_Mes_Corriente!CZ96*SALUD_Mes_Constante!$CP$1</f>
        <v>4048219.8918793495</v>
      </c>
      <c r="DA96" s="8">
        <f>+MINVU_Mes_Corriente!DA96*SALUD_Mes_Constante!$CP$1</f>
        <v>4774346.3881670525</v>
      </c>
      <c r="DB96" s="9">
        <f t="shared" si="45"/>
        <v>4774346.3881670525</v>
      </c>
      <c r="DC96" s="8">
        <f>+MINVU_Mes_Corriente!DC96*SALUD_Mes_Constante!$DC$1</f>
        <v>0</v>
      </c>
      <c r="DD96" s="8">
        <f>+MINVU_Mes_Corriente!DD96*SALUD_Mes_Constante!$DC$1</f>
        <v>0</v>
      </c>
      <c r="DE96" s="8">
        <f>+MINVU_Mes_Corriente!DE96*SALUD_Mes_Constante!$DC$1</f>
        <v>0</v>
      </c>
      <c r="DF96" s="8">
        <f>+MINVU_Mes_Corriente!DF96*SALUD_Mes_Constante!$DC$1</f>
        <v>0</v>
      </c>
      <c r="DG96" s="8">
        <f>+MINVU_Mes_Corriente!DG96*SALUD_Mes_Constante!$DC$1</f>
        <v>0</v>
      </c>
      <c r="DH96" s="8">
        <f>+MINVU_Mes_Corriente!DH96*SALUD_Mes_Constante!$DC$1</f>
        <v>0</v>
      </c>
      <c r="DI96" s="8">
        <f>+MINVU_Mes_Corriente!DI96*SALUD_Mes_Constante!$DC$1</f>
        <v>0</v>
      </c>
      <c r="DJ96" s="8">
        <f>+MINVU_Mes_Corriente!DJ96*SALUD_Mes_Constante!$DC$1</f>
        <v>0</v>
      </c>
      <c r="DK96" s="8">
        <f>+MINVU_Mes_Corriente!DK96*SALUD_Mes_Constante!$DC$1</f>
        <v>0</v>
      </c>
      <c r="DL96" s="8">
        <f>+MINVU_Mes_Corriente!DL96*SALUD_Mes_Constante!$DC$1</f>
        <v>0</v>
      </c>
      <c r="DM96" s="8">
        <f>+MINVU_Mes_Corriente!DM96*SALUD_Mes_Constante!$DC$1</f>
        <v>280.98961012241551</v>
      </c>
      <c r="DN96" s="8">
        <f>+MINVU_Mes_Corriente!DN96*SALUD_Mes_Constante!$DC$1</f>
        <v>361139.08651373332</v>
      </c>
      <c r="DO96" s="9">
        <f t="shared" si="46"/>
        <v>361139.08651373332</v>
      </c>
      <c r="DP96" s="8">
        <f>+MINVU_Mes_Corriente!DP96*SALUD_Mes_Constante!$DP$1</f>
        <v>0</v>
      </c>
      <c r="DQ96" s="8">
        <f>+MINVU_Mes_Corriente!DQ96*SALUD_Mes_Constante!$DP$1</f>
        <v>0</v>
      </c>
      <c r="DR96" s="8">
        <f>+MINVU_Mes_Corriente!DR96*SALUD_Mes_Constante!$DP$1</f>
        <v>0</v>
      </c>
      <c r="DS96" s="8">
        <f>+MINVU_Mes_Corriente!DS96*SALUD_Mes_Constante!$DP$1</f>
        <v>0</v>
      </c>
      <c r="DT96" s="8">
        <f>+MINVU_Mes_Corriente!DT96*SALUD_Mes_Constante!$DP$1</f>
        <v>0</v>
      </c>
      <c r="DU96" s="8">
        <f>+MINVU_Mes_Corriente!DU96*SALUD_Mes_Constante!$DP$1</f>
        <v>0</v>
      </c>
      <c r="DV96" s="8">
        <f>+MINVU_Mes_Corriente!DV96*SALUD_Mes_Constante!$DP$1</f>
        <v>73605.598574821866</v>
      </c>
      <c r="DW96" s="8">
        <f>+MINVU_Mes_Corriente!DW96*SALUD_Mes_Constante!$DP$1</f>
        <v>217341.32422802853</v>
      </c>
      <c r="DX96" s="8">
        <f>+MINVU_Mes_Corriente!DX96*SALUD_Mes_Constante!$DP$1</f>
        <v>372173.90380047512</v>
      </c>
      <c r="DY96" s="8">
        <f>+MINVU_Mes_Corriente!DY96*SALUD_Mes_Constante!$DP$1</f>
        <v>730821.15142517816</v>
      </c>
      <c r="DZ96" s="8">
        <f>+MINVU_Mes_Corriente!DZ96*SALUD_Mes_Constante!$DP$1</f>
        <v>1453757.070071259</v>
      </c>
      <c r="EA96" s="8">
        <f>+MINVU_Mes_Corriente!EA96*SALUD_Mes_Constante!$DP$1</f>
        <v>3281570.68111639</v>
      </c>
      <c r="EB96" s="9">
        <f t="shared" si="47"/>
        <v>3281570.68111639</v>
      </c>
      <c r="EC96" s="8">
        <f>+MINVU_Mes_Corriente!EC96*SALUD_Mes_Constante!$EC$1</f>
        <v>0</v>
      </c>
      <c r="ED96" s="8">
        <f>+MINVU_Mes_Corriente!ED96*SALUD_Mes_Constante!$EC$1</f>
        <v>249582.86006438168</v>
      </c>
      <c r="EE96" s="8">
        <f>+MINVU_Mes_Corriente!EE96*SALUD_Mes_Constante!$EC$1</f>
        <v>528834.12384018162</v>
      </c>
      <c r="EF96" s="8">
        <f>+MINVU_Mes_Corriente!EF96*SALUD_Mes_Constante!$EC$1</f>
        <v>945765.19428138575</v>
      </c>
      <c r="EG96" s="8">
        <f>+MINVU_Mes_Corriente!EG96*SALUD_Mes_Constante!$EC$1</f>
        <v>1292673.4527551597</v>
      </c>
      <c r="EH96" s="8">
        <f>+MINVU_Mes_Corriente!EH96*SALUD_Mes_Constante!$EC$1</f>
        <v>1494875.8307138795</v>
      </c>
      <c r="EI96" s="8">
        <f>+MINVU_Mes_Corriente!EI96*SALUD_Mes_Constante!$EC$1</f>
        <v>1616175.9475478125</v>
      </c>
      <c r="EJ96" s="8">
        <f>+MINVU_Mes_Corriente!EJ96*SALUD_Mes_Constante!$EC$1</f>
        <v>1837683.4771823513</v>
      </c>
      <c r="EK96" s="8">
        <f>+MINVU_Mes_Corriente!EK96*SALUD_Mes_Constante!$EC$1</f>
        <v>1867901.1808369621</v>
      </c>
      <c r="EL96" s="8">
        <f>+MINVU_Mes_Corriente!EL96*SALUD_Mes_Constante!$EC$1</f>
        <v>2148136.2190872934</v>
      </c>
      <c r="EM96" s="8">
        <f>+MINVU_Mes_Corriente!EM96*SALUD_Mes_Constante!$EC$1</f>
        <v>2196801.5044499142</v>
      </c>
      <c r="EN96" s="8">
        <f>+MINVU_Mes_Corriente!EN96*SALUD_Mes_Constante!$EC$1</f>
        <v>2846507.477371709</v>
      </c>
      <c r="EO96" s="9">
        <f t="shared" si="48"/>
        <v>2846507.477371709</v>
      </c>
      <c r="EP96" s="8">
        <f>+MINVU_Mes_Corriente!EP96*SALUD_Mes_Constante!$EP$1</f>
        <v>0</v>
      </c>
      <c r="EQ96" s="8">
        <f>+MINVU_Mes_Corriente!EQ96*SALUD_Mes_Constante!$EP$1</f>
        <v>0</v>
      </c>
      <c r="ER96" s="8">
        <f>+MINVU_Mes_Corriente!ER96*SALUD_Mes_Constante!$EP$1</f>
        <v>5380</v>
      </c>
      <c r="ES96" s="8">
        <f>+MINVU_Mes_Corriente!ES96*SALUD_Mes_Constante!$EP$1</f>
        <v>5380</v>
      </c>
      <c r="ET96" s="8">
        <f>+MINVU_Mes_Corriente!ET96*SALUD_Mes_Constante!$EP$1</f>
        <v>521210</v>
      </c>
      <c r="EU96" s="8">
        <f>+MINVU_Mes_Corriente!EU96*SALUD_Mes_Constante!$EP$1</f>
        <v>901084</v>
      </c>
      <c r="EV96" s="8">
        <f>+MINVU_Mes_Corriente!EV96*SALUD_Mes_Constante!$EP$1</f>
        <v>1175890</v>
      </c>
      <c r="EW96" s="8">
        <f>+MINVU_Mes_Corriente!EW96*SALUD_Mes_Constante!$EP$1</f>
        <v>1703679</v>
      </c>
      <c r="EX96" s="8">
        <f>+MINVU_Mes_Corriente!EX96*SALUD_Mes_Constante!$EP$1</f>
        <v>2238670</v>
      </c>
      <c r="EY96" s="8">
        <f>+MINVU_Mes_Corriente!EY96*SALUD_Mes_Constante!$EP$1</f>
        <v>2973161</v>
      </c>
      <c r="EZ96" s="8">
        <f>+MINVU_Mes_Corriente!EZ96*SALUD_Mes_Constante!$EP$1</f>
        <v>3663386</v>
      </c>
      <c r="FA96" s="8">
        <f>+MINVU_Mes_Corriente!FA96*SALUD_Mes_Constante!$EP$1</f>
        <v>4823435</v>
      </c>
      <c r="FB96" s="9">
        <f t="shared" si="49"/>
        <v>4823435</v>
      </c>
      <c r="FC96" s="8">
        <f>+MINVU_Mes_Corriente!FC96*SALUD_Mes_Constante!$FC$1</f>
        <v>5365</v>
      </c>
      <c r="FD96" s="8">
        <f>+MINVU_Mes_Corriente!FD96*SALUD_Mes_Constante!$FC$1</f>
        <v>10581</v>
      </c>
      <c r="FE96" s="8">
        <f>+MINVU_Mes_Corriente!FE96*SALUD_Mes_Constante!$FC$1</f>
        <v>297032</v>
      </c>
      <c r="FF96" s="8">
        <f>+MINVU_Mes_Corriente!FF96*SALUD_Mes_Constante!$FC$1</f>
        <v>628761</v>
      </c>
      <c r="FG96" s="8">
        <f>+MINVU_Mes_Corriente!FG96*SALUD_Mes_Constante!$FC$1</f>
        <v>1167066</v>
      </c>
      <c r="FH96" s="8">
        <f>+MINVU_Mes_Corriente!FH96*SALUD_Mes_Constante!$FC$1</f>
        <v>1428928</v>
      </c>
      <c r="FI96" s="8">
        <f>+MINVU_Mes_Corriente!FI96*SALUD_Mes_Constante!$FC$1</f>
        <v>1439503</v>
      </c>
      <c r="FJ96" s="8"/>
      <c r="FK96" s="8"/>
      <c r="FL96" s="8"/>
      <c r="FM96" s="8"/>
      <c r="FN96" s="8"/>
      <c r="FO96" s="9">
        <f t="shared" si="50"/>
        <v>1439503</v>
      </c>
    </row>
    <row r="97" spans="2:171" ht="14.25" customHeight="1" x14ac:dyDescent="0.3">
      <c r="B97" s="7" t="s">
        <v>60</v>
      </c>
      <c r="C97" s="8">
        <f>+MINVU_Mes_Corriente!C97*SALUD_Mes_Constante!$C$1</f>
        <v>0</v>
      </c>
      <c r="D97" s="8">
        <f>+MINVU_Mes_Corriente!D97*SALUD_Mes_Constante!$C$1</f>
        <v>0</v>
      </c>
      <c r="E97" s="8">
        <f>+MINVU_Mes_Corriente!E97*SALUD_Mes_Constante!$C$1</f>
        <v>240060.89337090318</v>
      </c>
      <c r="F97" s="8">
        <f>+MINVU_Mes_Corriente!F97*SALUD_Mes_Constante!$C$1</f>
        <v>365485.47530772659</v>
      </c>
      <c r="G97" s="8">
        <f>+MINVU_Mes_Corriente!G97*SALUD_Mes_Constante!$C$1</f>
        <v>470709.19086460042</v>
      </c>
      <c r="H97" s="8">
        <f>+MINVU_Mes_Corriente!H97*SALUD_Mes_Constante!$C$1</f>
        <v>650828.58668248565</v>
      </c>
      <c r="I97" s="8">
        <f>+MINVU_Mes_Corriente!I97*SALUD_Mes_Constante!$C$1</f>
        <v>689515.99228829914</v>
      </c>
      <c r="J97" s="8">
        <f>+MINVU_Mes_Corriente!J97*SALUD_Mes_Constante!$C$1</f>
        <v>995633.57289040508</v>
      </c>
      <c r="K97" s="8">
        <f>+MINVU_Mes_Corriente!K97*SALUD_Mes_Constante!$C$1</f>
        <v>995633.57289040508</v>
      </c>
      <c r="L97" s="8">
        <f>+MINVU_Mes_Corriente!L97*SALUD_Mes_Constante!$C$1</f>
        <v>995633.57289040508</v>
      </c>
      <c r="M97" s="8">
        <f>+MINVU_Mes_Corriente!M97*SALUD_Mes_Constante!$C$1</f>
        <v>1372406.3855850515</v>
      </c>
      <c r="N97" s="8">
        <f>+MINVU_Mes_Corriente!N97*SALUD_Mes_Constante!$C$1</f>
        <v>2273931.8235206883</v>
      </c>
      <c r="O97" s="9">
        <f t="shared" si="38"/>
        <v>2273931.8235206883</v>
      </c>
      <c r="P97" s="8">
        <f>+MINVU_Mes_Corriente!P97*SALUD_Mes_Constante!$P$1</f>
        <v>0</v>
      </c>
      <c r="Q97" s="8">
        <f>+MINVU_Mes_Corriente!Q97*SALUD_Mes_Constante!$P$1</f>
        <v>0</v>
      </c>
      <c r="R97" s="8">
        <f>+MINVU_Mes_Corriente!R97*SALUD_Mes_Constante!$P$1</f>
        <v>0</v>
      </c>
      <c r="S97" s="8">
        <f>+MINVU_Mes_Corriente!S97*SALUD_Mes_Constante!$P$1</f>
        <v>0</v>
      </c>
      <c r="T97" s="8">
        <f>+MINVU_Mes_Corriente!T97*SALUD_Mes_Constante!$P$1</f>
        <v>0</v>
      </c>
      <c r="U97" s="8">
        <f>+MINVU_Mes_Corriente!U97*SALUD_Mes_Constante!$P$1</f>
        <v>0</v>
      </c>
      <c r="V97" s="8">
        <f>+MINVU_Mes_Corriente!V97*SALUD_Mes_Constante!$P$1</f>
        <v>0</v>
      </c>
      <c r="W97" s="8">
        <f>+MINVU_Mes_Corriente!W97*SALUD_Mes_Constante!$P$1</f>
        <v>0</v>
      </c>
      <c r="X97" s="8">
        <f>+MINVU_Mes_Corriente!X97*SALUD_Mes_Constante!$P$1</f>
        <v>0</v>
      </c>
      <c r="Y97" s="8">
        <f>+MINVU_Mes_Corriente!Y97*SALUD_Mes_Constante!$P$1</f>
        <v>21974.624520528476</v>
      </c>
      <c r="Z97" s="8">
        <f>+MINVU_Mes_Corriente!Z97*SALUD_Mes_Constante!$P$1</f>
        <v>94264.107685750787</v>
      </c>
      <c r="AA97" s="8">
        <f>+MINVU_Mes_Corriente!AA97*SALUD_Mes_Constante!$P$1</f>
        <v>1123696.9575223748</v>
      </c>
      <c r="AB97" s="9">
        <f t="shared" si="39"/>
        <v>1123696.9575223748</v>
      </c>
      <c r="AC97" s="8">
        <f>+MINVU_Mes_Corriente!AC97*SALUD_Mes_Constante!$AC$1</f>
        <v>0</v>
      </c>
      <c r="AD97" s="8">
        <f>+MINVU_Mes_Corriente!AD97*SALUD_Mes_Constante!$AC$1</f>
        <v>0</v>
      </c>
      <c r="AE97" s="8">
        <f>+MINVU_Mes_Corriente!AE97*SALUD_Mes_Constante!$AC$1</f>
        <v>0</v>
      </c>
      <c r="AF97" s="8">
        <f>+MINVU_Mes_Corriente!AF97*SALUD_Mes_Constante!$AC$1</f>
        <v>431877.01535482088</v>
      </c>
      <c r="AG97" s="8">
        <f>+MINVU_Mes_Corriente!AG97*SALUD_Mes_Constante!$AC$1</f>
        <v>674871.31581131555</v>
      </c>
      <c r="AH97" s="8">
        <f>+MINVU_Mes_Corriente!AH97*SALUD_Mes_Constante!$AC$1</f>
        <v>636303.09503389127</v>
      </c>
      <c r="AI97" s="8">
        <f>+MINVU_Mes_Corriente!AI97*SALUD_Mes_Constante!$AC$1</f>
        <v>648015.02946465625</v>
      </c>
      <c r="AJ97" s="8">
        <f>+MINVU_Mes_Corriente!AJ97*SALUD_Mes_Constante!$AC$1</f>
        <v>681881.24636879237</v>
      </c>
      <c r="AK97" s="8">
        <f>+MINVU_Mes_Corriente!AK97*SALUD_Mes_Constante!$AC$1</f>
        <v>841490.92654585699</v>
      </c>
      <c r="AL97" s="8">
        <f>+MINVU_Mes_Corriente!AL97*SALUD_Mes_Constante!$AC$1</f>
        <v>871729.7537695393</v>
      </c>
      <c r="AM97" s="8">
        <f>+MINVU_Mes_Corriente!AM97*SALUD_Mes_Constante!$AC$1</f>
        <v>927454.01632314292</v>
      </c>
      <c r="AN97" s="8">
        <f>+MINVU_Mes_Corriente!AN97*SALUD_Mes_Constante!$AC$1</f>
        <v>1438551.7108867064</v>
      </c>
      <c r="AO97" s="9">
        <f t="shared" si="40"/>
        <v>1438551.7108867064</v>
      </c>
      <c r="AP97" s="8">
        <f>+MINVU_Mes_Corriente!AP97*SALUD_Mes_Constante!$AP$1</f>
        <v>0</v>
      </c>
      <c r="AQ97" s="8">
        <f>+MINVU_Mes_Corriente!AQ97*SALUD_Mes_Constante!$AP$1</f>
        <v>6281.0090626268084</v>
      </c>
      <c r="AR97" s="8">
        <f>+MINVU_Mes_Corriente!AR97*SALUD_Mes_Constante!$AP$1</f>
        <v>90653.434329771393</v>
      </c>
      <c r="AS97" s="8">
        <f>+MINVU_Mes_Corriente!AS97*SALUD_Mes_Constante!$AP$1</f>
        <v>137339.80522115514</v>
      </c>
      <c r="AT97" s="8">
        <f>+MINVU_Mes_Corriente!AT97*SALUD_Mes_Constante!$AP$1</f>
        <v>161557.8982821588</v>
      </c>
      <c r="AU97" s="8">
        <f>+MINVU_Mes_Corriente!AU97*SALUD_Mes_Constante!$AP$1</f>
        <v>415923.9864736913</v>
      </c>
      <c r="AV97" s="8">
        <f>+MINVU_Mes_Corriente!AV97*SALUD_Mes_Constante!$AP$1</f>
        <v>674865.60503178684</v>
      </c>
      <c r="AW97" s="8">
        <f>+MINVU_Mes_Corriente!AW97*SALUD_Mes_Constante!$AP$1</f>
        <v>705707.57635601237</v>
      </c>
      <c r="AX97" s="8">
        <f>+MINVU_Mes_Corriente!AX97*SALUD_Mes_Constante!$AP$1</f>
        <v>961390.45962396858</v>
      </c>
      <c r="AY97" s="8">
        <f>+MINVU_Mes_Corriente!AY97*SALUD_Mes_Constante!$AP$1</f>
        <v>917612.56539970241</v>
      </c>
      <c r="AZ97" s="8">
        <f>+MINVU_Mes_Corriente!AZ97*SALUD_Mes_Constante!$AP$1</f>
        <v>1000387.3975382118</v>
      </c>
      <c r="BA97" s="8">
        <f>+MINVU_Mes_Corriente!BA97*SALUD_Mes_Constante!$AP$1</f>
        <v>2140499.9058568915</v>
      </c>
      <c r="BB97" s="9">
        <f t="shared" si="41"/>
        <v>2140499.9058568915</v>
      </c>
      <c r="BC97" s="8">
        <f>+MINVU_Mes_Corriente!BC97*SALUD_Mes_Constante!$BC$1</f>
        <v>0</v>
      </c>
      <c r="BD97" s="8">
        <f>+MINVU_Mes_Corriente!BD97*SALUD_Mes_Constante!$BC$1</f>
        <v>0</v>
      </c>
      <c r="BE97" s="8">
        <f>+MINVU_Mes_Corriente!BE97*SALUD_Mes_Constante!$BC$1</f>
        <v>293695.1449294475</v>
      </c>
      <c r="BF97" s="8">
        <f>+MINVU_Mes_Corriente!BF97*SALUD_Mes_Constante!$BC$1</f>
        <v>1625396.3112224718</v>
      </c>
      <c r="BG97" s="8">
        <f>+MINVU_Mes_Corriente!BG97*SALUD_Mes_Constante!$BC$1</f>
        <v>1805213.5173414221</v>
      </c>
      <c r="BH97" s="8">
        <f>+MINVU_Mes_Corriente!BH97*SALUD_Mes_Constante!$BC$1</f>
        <v>2047722.3046287755</v>
      </c>
      <c r="BI97" s="8">
        <f>+MINVU_Mes_Corriente!BI97*SALUD_Mes_Constante!$BC$1</f>
        <v>2342630.649083477</v>
      </c>
      <c r="BJ97" s="8">
        <f>+MINVU_Mes_Corriente!BJ97*SALUD_Mes_Constante!$BC$1</f>
        <v>2860957.8989845715</v>
      </c>
      <c r="BK97" s="8">
        <f>+MINVU_Mes_Corriente!BK97*SALUD_Mes_Constante!$BC$1</f>
        <v>3114165.031254122</v>
      </c>
      <c r="BL97" s="8">
        <f>+MINVU_Mes_Corriente!BL97*SALUD_Mes_Constante!$BC$1</f>
        <v>3400236.6147962557</v>
      </c>
      <c r="BM97" s="8">
        <f>+MINVU_Mes_Corriente!BM97*SALUD_Mes_Constante!$BC$1</f>
        <v>3490857.7204272724</v>
      </c>
      <c r="BN97" s="8">
        <f>+MINVU_Mes_Corriente!BN97*SALUD_Mes_Constante!$BC$1</f>
        <v>4383586.7007780569</v>
      </c>
      <c r="BO97" s="9">
        <f t="shared" si="42"/>
        <v>4383586.7007780569</v>
      </c>
      <c r="BP97" s="8">
        <f>+MINVU_Mes_Corriente!BP97*SALUD_Mes_Constante!$BP$1</f>
        <v>0</v>
      </c>
      <c r="BQ97" s="8">
        <f>+MINVU_Mes_Corriente!BQ97*SALUD_Mes_Constante!$BP$1</f>
        <v>0</v>
      </c>
      <c r="BR97" s="8">
        <f>+MINVU_Mes_Corriente!BR97*SALUD_Mes_Constante!$BP$1</f>
        <v>0</v>
      </c>
      <c r="BS97" s="8">
        <f>+MINVU_Mes_Corriente!BS97*SALUD_Mes_Constante!$BP$1</f>
        <v>311427.37336747762</v>
      </c>
      <c r="BT97" s="8">
        <f>+MINVU_Mes_Corriente!BT97*SALUD_Mes_Constante!$BP$1</f>
        <v>594697.56338028179</v>
      </c>
      <c r="BU97" s="8">
        <f>+MINVU_Mes_Corriente!BU97*SALUD_Mes_Constante!$BP$1</f>
        <v>673103.15492957749</v>
      </c>
      <c r="BV97" s="8">
        <f>+MINVU_Mes_Corriente!BV97*SALUD_Mes_Constante!$BP$1</f>
        <v>1142186.6927016648</v>
      </c>
      <c r="BW97" s="8">
        <f>+MINVU_Mes_Corriente!BW97*SALUD_Mes_Constante!$BP$1</f>
        <v>1181264.2801536494</v>
      </c>
      <c r="BX97" s="8">
        <f>+MINVU_Mes_Corriente!BX97*SALUD_Mes_Constante!$BP$1</f>
        <v>1234563.8542893727</v>
      </c>
      <c r="BY97" s="8">
        <f>+MINVU_Mes_Corriente!BY97*SALUD_Mes_Constante!$BP$1</f>
        <v>1276457.5797695264</v>
      </c>
      <c r="BZ97" s="8">
        <f>+MINVU_Mes_Corriente!BZ97*SALUD_Mes_Constante!$BP$1</f>
        <v>2564989.7185659413</v>
      </c>
      <c r="CA97" s="8">
        <f>+MINVU_Mes_Corriente!CA97*SALUD_Mes_Constante!$BP$1</f>
        <v>1990626.2665813062</v>
      </c>
      <c r="CB97" s="9">
        <f t="shared" si="43"/>
        <v>1990626.2665813062</v>
      </c>
      <c r="CC97" s="8">
        <f>+MINVU_Mes_Corriente!CC97*SALUD_Mes_Constante!$CC$1</f>
        <v>0</v>
      </c>
      <c r="CD97" s="8">
        <f>+MINVU_Mes_Corriente!CD97*SALUD_Mes_Constante!$CC$1</f>
        <v>0</v>
      </c>
      <c r="CE97" s="8">
        <f>+MINVU_Mes_Corriente!CE97*SALUD_Mes_Constante!$CC$1</f>
        <v>345251.00410294667</v>
      </c>
      <c r="CF97" s="8">
        <f>+MINVU_Mes_Corriente!CF97*SALUD_Mes_Constante!$CC$1</f>
        <v>395980.89891831408</v>
      </c>
      <c r="CG97" s="8">
        <f>+MINVU_Mes_Corriente!CG97*SALUD_Mes_Constante!$CC$1</f>
        <v>404851.5665796345</v>
      </c>
      <c r="CH97" s="8">
        <f>+MINVU_Mes_Corriente!CH97*SALUD_Mes_Constante!$CC$1</f>
        <v>516923.55464378966</v>
      </c>
      <c r="CI97" s="8">
        <f>+MINVU_Mes_Corriente!CI97*SALUD_Mes_Constante!$CC$1</f>
        <v>516923.55464378966</v>
      </c>
      <c r="CJ97" s="8">
        <f>+MINVU_Mes_Corriente!CJ97*SALUD_Mes_Constante!$CC$1</f>
        <v>552334.22752704215</v>
      </c>
      <c r="CK97" s="8">
        <f>+MINVU_Mes_Corriente!CK97*SALUD_Mes_Constante!$CC$1</f>
        <v>745578.93770980986</v>
      </c>
      <c r="CL97" s="8">
        <f>+MINVU_Mes_Corriente!CL97*SALUD_Mes_Constante!$CC$1</f>
        <v>871126.73330846708</v>
      </c>
      <c r="CM97" s="8">
        <f>+MINVU_Mes_Corriente!CM97*SALUD_Mes_Constante!$CC$1</f>
        <v>1040859.419619545</v>
      </c>
      <c r="CN97" s="8">
        <f>+MINVU_Mes_Corriente!CN97*SALUD_Mes_Constante!$CC$1</f>
        <v>1518689.5479298769</v>
      </c>
      <c r="CO97" s="9">
        <f t="shared" si="44"/>
        <v>1518689.5479298769</v>
      </c>
      <c r="CP97" s="8">
        <f>+MINVU_Mes_Corriente!CP97*SALUD_Mes_Constante!$CP$1</f>
        <v>0</v>
      </c>
      <c r="CQ97" s="8">
        <f>+MINVU_Mes_Corriente!CQ97*SALUD_Mes_Constante!$CP$1</f>
        <v>40536.474013921106</v>
      </c>
      <c r="CR97" s="8">
        <f>+MINVU_Mes_Corriente!CR97*SALUD_Mes_Constante!$CP$1</f>
        <v>256847.19118329461</v>
      </c>
      <c r="CS97" s="8">
        <f>+MINVU_Mes_Corriente!CS97*SALUD_Mes_Constante!$CP$1</f>
        <v>459079.59257540596</v>
      </c>
      <c r="CT97" s="8">
        <f>+MINVU_Mes_Corriente!CT97*SALUD_Mes_Constante!$CP$1</f>
        <v>545223.87772621796</v>
      </c>
      <c r="CU97" s="8">
        <f>+MINVU_Mes_Corriente!CU97*SALUD_Mes_Constante!$CP$1</f>
        <v>570557.74802784214</v>
      </c>
      <c r="CV97" s="8">
        <f>+MINVU_Mes_Corriente!CV97*SALUD_Mes_Constante!$CP$1</f>
        <v>583539.66125290014</v>
      </c>
      <c r="CW97" s="8">
        <f>+MINVU_Mes_Corriente!CW97*SALUD_Mes_Constante!$CP$1</f>
        <v>931445.302552204</v>
      </c>
      <c r="CX97" s="8">
        <f>+MINVU_Mes_Corriente!CX97*SALUD_Mes_Constante!$CP$1</f>
        <v>973801.93155452411</v>
      </c>
      <c r="CY97" s="8">
        <f>+MINVU_Mes_Corriente!CY97*SALUD_Mes_Constante!$CP$1</f>
        <v>1000127.0004640369</v>
      </c>
      <c r="CZ97" s="8">
        <f>+MINVU_Mes_Corriente!CZ97*SALUD_Mes_Constante!$CP$1</f>
        <v>1000127.0004640369</v>
      </c>
      <c r="DA97" s="8">
        <f>+MINVU_Mes_Corriente!DA97*SALUD_Mes_Constante!$CP$1</f>
        <v>1321759.541067285</v>
      </c>
      <c r="DB97" s="9">
        <f t="shared" si="45"/>
        <v>1321759.541067285</v>
      </c>
      <c r="DC97" s="8">
        <f>+MINVU_Mes_Corriente!DC97*SALUD_Mes_Constante!$DC$1</f>
        <v>0</v>
      </c>
      <c r="DD97" s="8">
        <f>+MINVU_Mes_Corriente!DD97*SALUD_Mes_Constante!$DC$1</f>
        <v>0</v>
      </c>
      <c r="DE97" s="8">
        <f>+MINVU_Mes_Corriente!DE97*SALUD_Mes_Constante!$DC$1</f>
        <v>0</v>
      </c>
      <c r="DF97" s="8">
        <f>+MINVU_Mes_Corriente!DF97*SALUD_Mes_Constante!$DC$1</f>
        <v>16326.620306552832</v>
      </c>
      <c r="DG97" s="8">
        <f>+MINVU_Mes_Corriente!DG97*SALUD_Mes_Constante!$DC$1</f>
        <v>16326.620306552832</v>
      </c>
      <c r="DH97" s="8">
        <f>+MINVU_Mes_Corriente!DH97*SALUD_Mes_Constante!$DC$1</f>
        <v>127507.46528134972</v>
      </c>
      <c r="DI97" s="8">
        <f>+MINVU_Mes_Corriente!DI97*SALUD_Mes_Constante!$DC$1</f>
        <v>127507.46528134972</v>
      </c>
      <c r="DJ97" s="8">
        <f>+MINVU_Mes_Corriente!DJ97*SALUD_Mes_Constante!$DC$1</f>
        <v>127507.46528134972</v>
      </c>
      <c r="DK97" s="8">
        <f>+MINVU_Mes_Corriente!DK97*SALUD_Mes_Constante!$DC$1</f>
        <v>127507.46528134972</v>
      </c>
      <c r="DL97" s="8">
        <f>+MINVU_Mes_Corriente!DL97*SALUD_Mes_Constante!$DC$1</f>
        <v>127507.46528134972</v>
      </c>
      <c r="DM97" s="8">
        <f>+MINVU_Mes_Corriente!DM97*SALUD_Mes_Constante!$DC$1</f>
        <v>220234.03662174684</v>
      </c>
      <c r="DN97" s="8">
        <f>+MINVU_Mes_Corriente!DN97*SALUD_Mes_Constante!$DC$1</f>
        <v>282662.06028186413</v>
      </c>
      <c r="DO97" s="9">
        <f t="shared" si="46"/>
        <v>282662.06028186413</v>
      </c>
      <c r="DP97" s="8">
        <f>+MINVU_Mes_Corriente!DP97*SALUD_Mes_Constante!$DP$1</f>
        <v>0</v>
      </c>
      <c r="DQ97" s="8">
        <f>+MINVU_Mes_Corriente!DQ97*SALUD_Mes_Constante!$DP$1</f>
        <v>0</v>
      </c>
      <c r="DR97" s="8">
        <f>+MINVU_Mes_Corriente!DR97*SALUD_Mes_Constante!$DP$1</f>
        <v>15606.09976247031</v>
      </c>
      <c r="DS97" s="8">
        <f>+MINVU_Mes_Corriente!DS97*SALUD_Mes_Constante!$DP$1</f>
        <v>15606.09976247031</v>
      </c>
      <c r="DT97" s="8">
        <f>+MINVU_Mes_Corriente!DT97*SALUD_Mes_Constante!$DP$1</f>
        <v>15606.09976247031</v>
      </c>
      <c r="DU97" s="8">
        <f>+MINVU_Mes_Corriente!DU97*SALUD_Mes_Constante!$DP$1</f>
        <v>33463.5783847981</v>
      </c>
      <c r="DV97" s="8">
        <f>+MINVU_Mes_Corriente!DV97*SALUD_Mes_Constante!$DP$1</f>
        <v>33463.5783847981</v>
      </c>
      <c r="DW97" s="8">
        <f>+MINVU_Mes_Corriente!DW97*SALUD_Mes_Constante!$DP$1</f>
        <v>33463.5783847981</v>
      </c>
      <c r="DX97" s="8">
        <f>+MINVU_Mes_Corriente!DX97*SALUD_Mes_Constante!$DP$1</f>
        <v>33463.5783847981</v>
      </c>
      <c r="DY97" s="8">
        <f>+MINVU_Mes_Corriente!DY97*SALUD_Mes_Constante!$DP$1</f>
        <v>95378.659738717353</v>
      </c>
      <c r="DZ97" s="8">
        <f>+MINVU_Mes_Corriente!DZ97*SALUD_Mes_Constante!$DP$1</f>
        <v>423040.79216152022</v>
      </c>
      <c r="EA97" s="8">
        <f>+MINVU_Mes_Corriente!EA97*SALUD_Mes_Constante!$DP$1</f>
        <v>594994.44833729218</v>
      </c>
      <c r="EB97" s="9">
        <f t="shared" si="47"/>
        <v>594994.44833729218</v>
      </c>
      <c r="EC97" s="8">
        <f>+MINVU_Mes_Corriente!EC97*SALUD_Mes_Constante!$EC$1</f>
        <v>0</v>
      </c>
      <c r="ED97" s="8">
        <f>+MINVU_Mes_Corriente!ED97*SALUD_Mes_Constante!$EC$1</f>
        <v>0</v>
      </c>
      <c r="EE97" s="8">
        <f>+MINVU_Mes_Corriente!EE97*SALUD_Mes_Constante!$EC$1</f>
        <v>235263.82086725993</v>
      </c>
      <c r="EF97" s="8">
        <f>+MINVU_Mes_Corriente!EF97*SALUD_Mes_Constante!$EC$1</f>
        <v>780497.28933914006</v>
      </c>
      <c r="EG97" s="8">
        <f>+MINVU_Mes_Corriente!EG97*SALUD_Mes_Constante!$EC$1</f>
        <v>1143088.0094679035</v>
      </c>
      <c r="EH97" s="8">
        <f>+MINVU_Mes_Corriente!EH97*SALUD_Mes_Constante!$EC$1</f>
        <v>1320650.5091838662</v>
      </c>
      <c r="EI97" s="8">
        <f>+MINVU_Mes_Corriente!EI97*SALUD_Mes_Constante!$EC$1</f>
        <v>1415929.7394432868</v>
      </c>
      <c r="EJ97" s="8">
        <f>+MINVU_Mes_Corriente!EJ97*SALUD_Mes_Constante!$EC$1</f>
        <v>1591997.4398788104</v>
      </c>
      <c r="EK97" s="8">
        <f>+MINVU_Mes_Corriente!EK97*SALUD_Mes_Constante!$EC$1</f>
        <v>1621657.5678848699</v>
      </c>
      <c r="EL97" s="8">
        <f>+MINVU_Mes_Corriente!EL97*SALUD_Mes_Constante!$EC$1</f>
        <v>1702581.5527362237</v>
      </c>
      <c r="EM97" s="8">
        <f>+MINVU_Mes_Corriente!EM97*SALUD_Mes_Constante!$EC$1</f>
        <v>1858342.7411475093</v>
      </c>
      <c r="EN97" s="8">
        <f>+MINVU_Mes_Corriente!EN97*SALUD_Mes_Constante!$EC$1</f>
        <v>2871873.5487597035</v>
      </c>
      <c r="EO97" s="9">
        <f t="shared" si="48"/>
        <v>2871873.5487597035</v>
      </c>
      <c r="EP97" s="8">
        <f>+MINVU_Mes_Corriente!EP97*SALUD_Mes_Constante!$EP$1</f>
        <v>0</v>
      </c>
      <c r="EQ97" s="8">
        <f>+MINVU_Mes_Corriente!EQ97*SALUD_Mes_Constante!$EP$1</f>
        <v>0</v>
      </c>
      <c r="ER97" s="8">
        <f>+MINVU_Mes_Corriente!ER97*SALUD_Mes_Constante!$EP$1</f>
        <v>824668</v>
      </c>
      <c r="ES97" s="8">
        <f>+MINVU_Mes_Corriente!ES97*SALUD_Mes_Constante!$EP$1</f>
        <v>1300447</v>
      </c>
      <c r="ET97" s="8">
        <f>+MINVU_Mes_Corriente!ET97*SALUD_Mes_Constante!$EP$1</f>
        <v>1967689</v>
      </c>
      <c r="EU97" s="8">
        <f>+MINVU_Mes_Corriente!EU97*SALUD_Mes_Constante!$EP$1</f>
        <v>2602718</v>
      </c>
      <c r="EV97" s="8">
        <f>+MINVU_Mes_Corriente!EV97*SALUD_Mes_Constante!$EP$1</f>
        <v>3538643</v>
      </c>
      <c r="EW97" s="8">
        <f>+MINVU_Mes_Corriente!EW97*SALUD_Mes_Constante!$EP$1</f>
        <v>3693036</v>
      </c>
      <c r="EX97" s="8">
        <f>+MINVU_Mes_Corriente!EX97*SALUD_Mes_Constante!$EP$1</f>
        <v>4203735</v>
      </c>
      <c r="EY97" s="8">
        <f>+MINVU_Mes_Corriente!EY97*SALUD_Mes_Constante!$EP$1</f>
        <v>4708194</v>
      </c>
      <c r="EZ97" s="8">
        <f>+MINVU_Mes_Corriente!EZ97*SALUD_Mes_Constante!$EP$1</f>
        <v>5215434</v>
      </c>
      <c r="FA97" s="8">
        <f>+MINVU_Mes_Corriente!FA97*SALUD_Mes_Constante!$EP$1</f>
        <v>6405739</v>
      </c>
      <c r="FB97" s="9">
        <f t="shared" si="49"/>
        <v>6405739</v>
      </c>
      <c r="FC97" s="8">
        <f>+MINVU_Mes_Corriente!FC97*SALUD_Mes_Constante!$FC$1</f>
        <v>0</v>
      </c>
      <c r="FD97" s="8">
        <f>+MINVU_Mes_Corriente!FD97*SALUD_Mes_Constante!$FC$1</f>
        <v>0</v>
      </c>
      <c r="FE97" s="8">
        <f>+MINVU_Mes_Corriente!FE97*SALUD_Mes_Constante!$FC$1</f>
        <v>1021749</v>
      </c>
      <c r="FF97" s="8">
        <f>+MINVU_Mes_Corriente!FF97*SALUD_Mes_Constante!$FC$1</f>
        <v>1424461</v>
      </c>
      <c r="FG97" s="8">
        <f>+MINVU_Mes_Corriente!FG97*SALUD_Mes_Constante!$FC$1</f>
        <v>2177261</v>
      </c>
      <c r="FH97" s="8">
        <f>+MINVU_Mes_Corriente!FH97*SALUD_Mes_Constante!$FC$1</f>
        <v>2524738</v>
      </c>
      <c r="FI97" s="8">
        <f>+MINVU_Mes_Corriente!FI97*SALUD_Mes_Constante!$FC$1</f>
        <v>2563015</v>
      </c>
      <c r="FJ97" s="8"/>
      <c r="FK97" s="8"/>
      <c r="FL97" s="8"/>
      <c r="FM97" s="8"/>
      <c r="FN97" s="8"/>
      <c r="FO97" s="9">
        <f t="shared" si="50"/>
        <v>2563015</v>
      </c>
    </row>
    <row r="98" spans="2:171" ht="14.25" customHeight="1" x14ac:dyDescent="0.3">
      <c r="B98" s="7" t="s">
        <v>61</v>
      </c>
      <c r="C98" s="8">
        <f>+MINVU_Mes_Corriente!C98*SALUD_Mes_Constante!$C$1</f>
        <v>0</v>
      </c>
      <c r="D98" s="8">
        <f>+MINVU_Mes_Corriente!D98*SALUD_Mes_Constante!$C$1</f>
        <v>0</v>
      </c>
      <c r="E98" s="8">
        <f>+MINVU_Mes_Corriente!E98*SALUD_Mes_Constante!$C$1</f>
        <v>0</v>
      </c>
      <c r="F98" s="8">
        <f>+MINVU_Mes_Corriente!F98*SALUD_Mes_Constante!$C$1</f>
        <v>14210.443422808841</v>
      </c>
      <c r="G98" s="8">
        <f>+MINVU_Mes_Corriente!G98*SALUD_Mes_Constante!$C$1</f>
        <v>21886.02728755747</v>
      </c>
      <c r="H98" s="8">
        <f>+MINVU_Mes_Corriente!H98*SALUD_Mes_Constante!$C$1</f>
        <v>30357.201542340208</v>
      </c>
      <c r="I98" s="8">
        <f>+MINVU_Mes_Corriente!I98*SALUD_Mes_Constante!$C$1</f>
        <v>38901.291413317522</v>
      </c>
      <c r="J98" s="8">
        <f>+MINVU_Mes_Corriente!J98*SALUD_Mes_Constante!$C$1</f>
        <v>63569.454545454559</v>
      </c>
      <c r="K98" s="8">
        <f>+MINVU_Mes_Corriente!K98*SALUD_Mes_Constante!$C$1</f>
        <v>230748.75900934305</v>
      </c>
      <c r="L98" s="8">
        <f>+MINVU_Mes_Corriente!L98*SALUD_Mes_Constante!$C$1</f>
        <v>284401.68975233578</v>
      </c>
      <c r="M98" s="8">
        <f>+MINVU_Mes_Corriente!M98*SALUD_Mes_Constante!$C$1</f>
        <v>401385.88402788085</v>
      </c>
      <c r="N98" s="8">
        <f>+MINVU_Mes_Corriente!N98*SALUD_Mes_Constante!$C$1</f>
        <v>1297781.3032774732</v>
      </c>
      <c r="O98" s="9">
        <f t="shared" si="38"/>
        <v>1297781.3032774732</v>
      </c>
      <c r="P98" s="8">
        <f>+MINVU_Mes_Corriente!P98*SALUD_Mes_Constante!$P$1</f>
        <v>0</v>
      </c>
      <c r="Q98" s="8">
        <f>+MINVU_Mes_Corriente!Q98*SALUD_Mes_Constante!$P$1</f>
        <v>0</v>
      </c>
      <c r="R98" s="8">
        <f>+MINVU_Mes_Corriente!R98*SALUD_Mes_Constante!$P$1</f>
        <v>0</v>
      </c>
      <c r="S98" s="8">
        <f>+MINVU_Mes_Corriente!S98*SALUD_Mes_Constante!$P$1</f>
        <v>0</v>
      </c>
      <c r="T98" s="8">
        <f>+MINVU_Mes_Corriente!T98*SALUD_Mes_Constante!$P$1</f>
        <v>0</v>
      </c>
      <c r="U98" s="8">
        <f>+MINVU_Mes_Corriente!U98*SALUD_Mes_Constante!$P$1</f>
        <v>676684.01392243186</v>
      </c>
      <c r="V98" s="8">
        <f>+MINVU_Mes_Corriente!V98*SALUD_Mes_Constante!$P$1</f>
        <v>691079.20130700362</v>
      </c>
      <c r="W98" s="8">
        <f>+MINVU_Mes_Corriente!W98*SALUD_Mes_Constante!$P$1</f>
        <v>796171.51981815568</v>
      </c>
      <c r="X98" s="8">
        <f>+MINVU_Mes_Corriente!X98*SALUD_Mes_Constante!$P$1</f>
        <v>1168094.7949992893</v>
      </c>
      <c r="Y98" s="8">
        <f>+MINVU_Mes_Corriente!Y98*SALUD_Mes_Constante!$P$1</f>
        <v>1216320.380167637</v>
      </c>
      <c r="Z98" s="8">
        <f>+MINVU_Mes_Corriente!Z98*SALUD_Mes_Constante!$P$1</f>
        <v>1486578.6145759334</v>
      </c>
      <c r="AA98" s="8">
        <f>+MINVU_Mes_Corriente!AA98*SALUD_Mes_Constante!$P$1</f>
        <v>4675513.0902116764</v>
      </c>
      <c r="AB98" s="9">
        <f t="shared" si="39"/>
        <v>4675513.0902116764</v>
      </c>
      <c r="AC98" s="8">
        <f>+MINVU_Mes_Corriente!AC98*SALUD_Mes_Constante!$AC$1</f>
        <v>0</v>
      </c>
      <c r="AD98" s="8">
        <f>+MINVU_Mes_Corriente!AD98*SALUD_Mes_Constante!$AC$1</f>
        <v>0</v>
      </c>
      <c r="AE98" s="8">
        <f>+MINVU_Mes_Corriente!AE98*SALUD_Mes_Constante!$AC$1</f>
        <v>159984.5104440448</v>
      </c>
      <c r="AF98" s="8">
        <f>+MINVU_Mes_Corriente!AF98*SALUD_Mes_Constante!$AC$1</f>
        <v>411199.38276386773</v>
      </c>
      <c r="AG98" s="8">
        <f>+MINVU_Mes_Corriente!AG98*SALUD_Mes_Constante!$AC$1</f>
        <v>556521.68183704524</v>
      </c>
      <c r="AH98" s="8">
        <f>+MINVU_Mes_Corriente!AH98*SALUD_Mes_Constante!$AC$1</f>
        <v>687583.80522893905</v>
      </c>
      <c r="AI98" s="8">
        <f>+MINVU_Mes_Corriente!AI98*SALUD_Mes_Constante!$AC$1</f>
        <v>1043613.6137778392</v>
      </c>
      <c r="AJ98" s="8">
        <f>+MINVU_Mes_Corriente!AJ98*SALUD_Mes_Constante!$AC$1</f>
        <v>1402058.6592889749</v>
      </c>
      <c r="AK98" s="8">
        <f>+MINVU_Mes_Corriente!AK98*SALUD_Mes_Constante!$AC$1</f>
        <v>2058084.1742979665</v>
      </c>
      <c r="AL98" s="8">
        <f>+MINVU_Mes_Corriente!AL98*SALUD_Mes_Constante!$AC$1</f>
        <v>2213043.238622216</v>
      </c>
      <c r="AM98" s="8">
        <f>+MINVU_Mes_Corriente!AM98*SALUD_Mes_Constante!$AC$1</f>
        <v>2298858.20998755</v>
      </c>
      <c r="AN98" s="8">
        <f>+MINVU_Mes_Corriente!AN98*SALUD_Mes_Constante!$AC$1</f>
        <v>3937672.0594826392</v>
      </c>
      <c r="AO98" s="9">
        <f t="shared" si="40"/>
        <v>3937672.0594826392</v>
      </c>
      <c r="AP98" s="8">
        <f>+MINVU_Mes_Corriente!AP98*SALUD_Mes_Constante!$AP$1</f>
        <v>0</v>
      </c>
      <c r="AQ98" s="8">
        <f>+MINVU_Mes_Corriente!AQ98*SALUD_Mes_Constante!$AP$1</f>
        <v>1106127.07669417</v>
      </c>
      <c r="AR98" s="8">
        <f>+MINVU_Mes_Corriente!AR98*SALUD_Mes_Constante!$AP$1</f>
        <v>3220022.1060462599</v>
      </c>
      <c r="AS98" s="8">
        <f>+MINVU_Mes_Corriente!AS98*SALUD_Mes_Constante!$AP$1</f>
        <v>4902555.1675909637</v>
      </c>
      <c r="AT98" s="8">
        <f>+MINVU_Mes_Corriente!AT98*SALUD_Mes_Constante!$AP$1</f>
        <v>5778611.0991478423</v>
      </c>
      <c r="AU98" s="8">
        <f>+MINVU_Mes_Corriente!AU98*SALUD_Mes_Constante!$AP$1</f>
        <v>6807413.7816853775</v>
      </c>
      <c r="AV98" s="8">
        <f>+MINVU_Mes_Corriente!AV98*SALUD_Mes_Constante!$AP$1</f>
        <v>7920006.6030028397</v>
      </c>
      <c r="AW98" s="8">
        <f>+MINVU_Mes_Corriente!AW98*SALUD_Mes_Constante!$AP$1</f>
        <v>9234912.9430542402</v>
      </c>
      <c r="AX98" s="8">
        <f>+MINVU_Mes_Corriente!AX98*SALUD_Mes_Constante!$AP$1</f>
        <v>11700968.632760718</v>
      </c>
      <c r="AY98" s="8">
        <f>+MINVU_Mes_Corriente!AY98*SALUD_Mes_Constante!$AP$1</f>
        <v>13556044.707966994</v>
      </c>
      <c r="AZ98" s="8">
        <f>+MINVU_Mes_Corriente!AZ98*SALUD_Mes_Constante!$AP$1</f>
        <v>15413624.319491411</v>
      </c>
      <c r="BA98" s="8">
        <f>+MINVU_Mes_Corriente!BA98*SALUD_Mes_Constante!$AP$1</f>
        <v>31531572.915460568</v>
      </c>
      <c r="BB98" s="9">
        <f t="shared" si="41"/>
        <v>31531572.915460568</v>
      </c>
      <c r="BC98" s="8">
        <f>+MINVU_Mes_Corriente!BC98*SALUD_Mes_Constante!$BC$1</f>
        <v>0</v>
      </c>
      <c r="BD98" s="8">
        <f>+MINVU_Mes_Corriente!BD98*SALUD_Mes_Constante!$BC$1</f>
        <v>0</v>
      </c>
      <c r="BE98" s="8">
        <f>+MINVU_Mes_Corriente!BE98*SALUD_Mes_Constante!$BC$1</f>
        <v>3358137.7267572209</v>
      </c>
      <c r="BF98" s="8">
        <f>+MINVU_Mes_Corriente!BF98*SALUD_Mes_Constante!$BC$1</f>
        <v>5355283.1552156154</v>
      </c>
      <c r="BG98" s="8">
        <f>+MINVU_Mes_Corriente!BG98*SALUD_Mes_Constante!$BC$1</f>
        <v>7773822.3441909552</v>
      </c>
      <c r="BH98" s="8">
        <f>+MINVU_Mes_Corriente!BH98*SALUD_Mes_Constante!$BC$1</f>
        <v>10332353.519715155</v>
      </c>
      <c r="BI98" s="8">
        <f>+MINVU_Mes_Corriente!BI98*SALUD_Mes_Constante!$BC$1</f>
        <v>15344420.800211001</v>
      </c>
      <c r="BJ98" s="8">
        <f>+MINVU_Mes_Corriente!BJ98*SALUD_Mes_Constante!$BC$1</f>
        <v>18803759.827508908</v>
      </c>
      <c r="BK98" s="8">
        <f>+MINVU_Mes_Corriente!BK98*SALUD_Mes_Constante!$BC$1</f>
        <v>19213587.848608736</v>
      </c>
      <c r="BL98" s="8">
        <f>+MINVU_Mes_Corriente!BL98*SALUD_Mes_Constante!$BC$1</f>
        <v>25355417.649479106</v>
      </c>
      <c r="BM98" s="8">
        <f>+MINVU_Mes_Corriente!BM98*SALUD_Mes_Constante!$BC$1</f>
        <v>33298109.586970866</v>
      </c>
      <c r="BN98" s="8">
        <f>+MINVU_Mes_Corriente!BN98*SALUD_Mes_Constante!$BC$1</f>
        <v>42619857.816167757</v>
      </c>
      <c r="BO98" s="9">
        <f t="shared" si="42"/>
        <v>42619857.816167757</v>
      </c>
      <c r="BP98" s="8">
        <f>+MINVU_Mes_Corriente!BP98*SALUD_Mes_Constante!$BP$1</f>
        <v>0</v>
      </c>
      <c r="BQ98" s="8">
        <f>+MINVU_Mes_Corriente!BQ98*SALUD_Mes_Constante!$BP$1</f>
        <v>0</v>
      </c>
      <c r="BR98" s="8">
        <f>+MINVU_Mes_Corriente!BR98*SALUD_Mes_Constante!$BP$1</f>
        <v>0</v>
      </c>
      <c r="BS98" s="8">
        <f>+MINVU_Mes_Corriente!BS98*SALUD_Mes_Constante!$BP$1</f>
        <v>0</v>
      </c>
      <c r="BT98" s="8">
        <f>+MINVU_Mes_Corriente!BT98*SALUD_Mes_Constante!$BP$1</f>
        <v>15393796.686299618</v>
      </c>
      <c r="BU98" s="8">
        <f>+MINVU_Mes_Corriente!BU98*SALUD_Mes_Constante!$BP$1</f>
        <v>17121942.940332908</v>
      </c>
      <c r="BV98" s="8">
        <f>+MINVU_Mes_Corriente!BV98*SALUD_Mes_Constante!$BP$1</f>
        <v>23859801.490909092</v>
      </c>
      <c r="BW98" s="8">
        <f>+MINVU_Mes_Corriente!BW98*SALUD_Mes_Constante!$BP$1</f>
        <v>51651296.801792577</v>
      </c>
      <c r="BX98" s="8">
        <f>+MINVU_Mes_Corriente!BX98*SALUD_Mes_Constante!$BP$1</f>
        <v>53341876.362099878</v>
      </c>
      <c r="BY98" s="8">
        <f>+MINVU_Mes_Corriente!BY98*SALUD_Mes_Constante!$BP$1</f>
        <v>55144909.783866845</v>
      </c>
      <c r="BZ98" s="8">
        <f>+MINVU_Mes_Corriente!BZ98*SALUD_Mes_Constante!$BP$1</f>
        <v>57143812.390524976</v>
      </c>
      <c r="CA98" s="8">
        <f>+MINVU_Mes_Corriente!CA98*SALUD_Mes_Constante!$BP$1</f>
        <v>72733683.911139578</v>
      </c>
      <c r="CB98" s="9">
        <f t="shared" si="43"/>
        <v>72733683.911139578</v>
      </c>
      <c r="CC98" s="8">
        <f>+MINVU_Mes_Corriente!CC98*SALUD_Mes_Constante!$CC$1</f>
        <v>0</v>
      </c>
      <c r="CD98" s="8">
        <f>+MINVU_Mes_Corriente!CD98*SALUD_Mes_Constante!$CC$1</f>
        <v>0</v>
      </c>
      <c r="CE98" s="8">
        <f>+MINVU_Mes_Corriente!CE98*SALUD_Mes_Constante!$CC$1</f>
        <v>1939311.3412905633</v>
      </c>
      <c r="CF98" s="8">
        <f>+MINVU_Mes_Corriente!CF98*SALUD_Mes_Constante!$CC$1</f>
        <v>3013307.3912719139</v>
      </c>
      <c r="CG98" s="8">
        <f>+MINVU_Mes_Corriente!CG98*SALUD_Mes_Constante!$CC$1</f>
        <v>4694902.064155166</v>
      </c>
      <c r="CH98" s="8">
        <f>+MINVU_Mes_Corriente!CH98*SALUD_Mes_Constante!$CC$1</f>
        <v>6947830.223051101</v>
      </c>
      <c r="CI98" s="8">
        <f>+MINVU_Mes_Corriente!CI98*SALUD_Mes_Constante!$CC$1</f>
        <v>9421416.5796344653</v>
      </c>
      <c r="CJ98" s="8">
        <f>+MINVU_Mes_Corriente!CJ98*SALUD_Mes_Constante!$CC$1</f>
        <v>10757957.223424096</v>
      </c>
      <c r="CK98" s="8">
        <f>+MINVU_Mes_Corriente!CK98*SALUD_Mes_Constante!$CC$1</f>
        <v>14139577.996270049</v>
      </c>
      <c r="CL98" s="8">
        <f>+MINVU_Mes_Corriente!CL98*SALUD_Mes_Constante!$CC$1</f>
        <v>19934862.61096606</v>
      </c>
      <c r="CM98" s="8">
        <f>+MINVU_Mes_Corriente!CM98*SALUD_Mes_Constante!$CC$1</f>
        <v>24284872.301380083</v>
      </c>
      <c r="CN98" s="8">
        <f>+MINVU_Mes_Corriente!CN98*SALUD_Mes_Constante!$CC$1</f>
        <v>38172659.180902652</v>
      </c>
      <c r="CO98" s="9">
        <f t="shared" si="44"/>
        <v>38172659.180902652</v>
      </c>
      <c r="CP98" s="8">
        <f>+MINVU_Mes_Corriente!CP98*SALUD_Mes_Constante!$CP$1</f>
        <v>0</v>
      </c>
      <c r="CQ98" s="8">
        <f>+MINVU_Mes_Corriente!CQ98*SALUD_Mes_Constante!$CP$1</f>
        <v>0</v>
      </c>
      <c r="CR98" s="8">
        <f>+MINVU_Mes_Corriente!CR98*SALUD_Mes_Constante!$CP$1</f>
        <v>1783808.9269141527</v>
      </c>
      <c r="CS98" s="8">
        <f>+MINVU_Mes_Corriente!CS98*SALUD_Mes_Constante!$CP$1</f>
        <v>4268799.6076566121</v>
      </c>
      <c r="CT98" s="8">
        <f>+MINVU_Mes_Corriente!CT98*SALUD_Mes_Constante!$CP$1</f>
        <v>6495787.1213457063</v>
      </c>
      <c r="CU98" s="8">
        <f>+MINVU_Mes_Corriente!CU98*SALUD_Mes_Constante!$CP$1</f>
        <v>9283373.4988399055</v>
      </c>
      <c r="CV98" s="8">
        <f>+MINVU_Mes_Corriente!CV98*SALUD_Mes_Constante!$CP$1</f>
        <v>11088450.100232016</v>
      </c>
      <c r="CW98" s="8">
        <f>+MINVU_Mes_Corriente!CW98*SALUD_Mes_Constante!$CP$1</f>
        <v>14256949.539675171</v>
      </c>
      <c r="CX98" s="8">
        <f>+MINVU_Mes_Corriente!CX98*SALUD_Mes_Constante!$CP$1</f>
        <v>16952758.78468677</v>
      </c>
      <c r="CY98" s="8">
        <f>+MINVU_Mes_Corriente!CY98*SALUD_Mes_Constante!$CP$1</f>
        <v>20609229.608352665</v>
      </c>
      <c r="CZ98" s="8">
        <f>+MINVU_Mes_Corriente!CZ98*SALUD_Mes_Constante!$CP$1</f>
        <v>23276313.106496517</v>
      </c>
      <c r="DA98" s="8">
        <f>+MINVU_Mes_Corriente!DA98*SALUD_Mes_Constante!$CP$1</f>
        <v>33530713.941299297</v>
      </c>
      <c r="DB98" s="9">
        <f t="shared" si="45"/>
        <v>33530713.941299297</v>
      </c>
      <c r="DC98" s="8">
        <f>+MINVU_Mes_Corriente!DC98*SALUD_Mes_Constante!$DC$1</f>
        <v>0</v>
      </c>
      <c r="DD98" s="8">
        <f>+MINVU_Mes_Corriente!DD98*SALUD_Mes_Constante!$DC$1</f>
        <v>0</v>
      </c>
      <c r="DE98" s="8">
        <f>+MINVU_Mes_Corriente!DE98*SALUD_Mes_Constante!$DC$1</f>
        <v>58807.753523300104</v>
      </c>
      <c r="DF98" s="8">
        <f>+MINVU_Mes_Corriente!DF98*SALUD_Mes_Constante!$DC$1</f>
        <v>2541766.8235778227</v>
      </c>
      <c r="DG98" s="8">
        <f>+MINVU_Mes_Corriente!DG98*SALUD_Mes_Constante!$DC$1</f>
        <v>3992947.780681002</v>
      </c>
      <c r="DH98" s="8">
        <f>+MINVU_Mes_Corriente!DH98*SALUD_Mes_Constante!$DC$1</f>
        <v>4775483.61362</v>
      </c>
      <c r="DI98" s="8">
        <f>+MINVU_Mes_Corriente!DI98*SALUD_Mes_Constante!$DC$1</f>
        <v>7851687.0558584547</v>
      </c>
      <c r="DJ98" s="8">
        <f>+MINVU_Mes_Corriente!DJ98*SALUD_Mes_Constante!$DC$1</f>
        <v>9878928.18454892</v>
      </c>
      <c r="DK98" s="8">
        <f>+MINVU_Mes_Corriente!DK98*SALUD_Mes_Constante!$DC$1</f>
        <v>12120133.90968008</v>
      </c>
      <c r="DL98" s="8">
        <f>+MINVU_Mes_Corriente!DL98*SALUD_Mes_Constante!$DC$1</f>
        <v>13768635.886637183</v>
      </c>
      <c r="DM98" s="8">
        <f>+MINVU_Mes_Corriente!DM98*SALUD_Mes_Constante!$DC$1</f>
        <v>16111712.708980566</v>
      </c>
      <c r="DN98" s="8">
        <f>+MINVU_Mes_Corriente!DN98*SALUD_Mes_Constante!$DC$1</f>
        <v>19125970.305729873</v>
      </c>
      <c r="DO98" s="9">
        <f t="shared" si="46"/>
        <v>19125970.305729873</v>
      </c>
      <c r="DP98" s="8">
        <f>+MINVU_Mes_Corriente!DP98*SALUD_Mes_Constante!$DP$1</f>
        <v>0</v>
      </c>
      <c r="DQ98" s="8">
        <f>+MINVU_Mes_Corriente!DQ98*SALUD_Mes_Constante!$DP$1</f>
        <v>849252.11401425186</v>
      </c>
      <c r="DR98" s="8">
        <f>+MINVU_Mes_Corriente!DR98*SALUD_Mes_Constante!$DP$1</f>
        <v>2034201.9014251784</v>
      </c>
      <c r="DS98" s="8">
        <f>+MINVU_Mes_Corriente!DS98*SALUD_Mes_Constante!$DP$1</f>
        <v>2527110.0516627082</v>
      </c>
      <c r="DT98" s="8">
        <f>+MINVU_Mes_Corriente!DT98*SALUD_Mes_Constante!$DP$1</f>
        <v>3155760.5593824233</v>
      </c>
      <c r="DU98" s="8">
        <f>+MINVU_Mes_Corriente!DU98*SALUD_Mes_Constante!$DP$1</f>
        <v>3823233.8355106893</v>
      </c>
      <c r="DV98" s="8">
        <f>+MINVU_Mes_Corriente!DV98*SALUD_Mes_Constante!$DP$1</f>
        <v>4331561.011282661</v>
      </c>
      <c r="DW98" s="8">
        <f>+MINVU_Mes_Corriente!DW98*SALUD_Mes_Constante!$DP$1</f>
        <v>4650855.6270783851</v>
      </c>
      <c r="DX98" s="8">
        <f>+MINVU_Mes_Corriente!DX98*SALUD_Mes_Constante!$DP$1</f>
        <v>9587010.2654394303</v>
      </c>
      <c r="DY98" s="8">
        <f>+MINVU_Mes_Corriente!DY98*SALUD_Mes_Constante!$DP$1</f>
        <v>10225919.577790976</v>
      </c>
      <c r="DZ98" s="8">
        <f>+MINVU_Mes_Corriente!DZ98*SALUD_Mes_Constante!$DP$1</f>
        <v>10367771.584916865</v>
      </c>
      <c r="EA98" s="8">
        <f>+MINVU_Mes_Corriente!EA98*SALUD_Mes_Constante!$DP$1</f>
        <v>10892010.883610452</v>
      </c>
      <c r="EB98" s="9">
        <f t="shared" si="47"/>
        <v>10892010.883610452</v>
      </c>
      <c r="EC98" s="8">
        <f>+MINVU_Mes_Corriente!EC98*SALUD_Mes_Constante!$EC$1</f>
        <v>0</v>
      </c>
      <c r="ED98" s="8">
        <f>+MINVU_Mes_Corriente!ED98*SALUD_Mes_Constante!$EC$1</f>
        <v>0</v>
      </c>
      <c r="EE98" s="8">
        <f>+MINVU_Mes_Corriente!EE98*SALUD_Mes_Constante!$EC$1</f>
        <v>528385.16682446492</v>
      </c>
      <c r="EF98" s="8">
        <f>+MINVU_Mes_Corriente!EF98*SALUD_Mes_Constante!$EC$1</f>
        <v>1036500.0278356369</v>
      </c>
      <c r="EG98" s="8">
        <f>+MINVU_Mes_Corriente!EG98*SALUD_Mes_Constante!$EC$1</f>
        <v>1603788.2510888085</v>
      </c>
      <c r="EH98" s="8">
        <f>+MINVU_Mes_Corriente!EH98*SALUD_Mes_Constante!$EC$1</f>
        <v>1832197.7189926144</v>
      </c>
      <c r="EI98" s="8">
        <f>+MINVU_Mes_Corriente!EI98*SALUD_Mes_Constante!$EC$1</f>
        <v>2165943.4680931633</v>
      </c>
      <c r="EJ98" s="8">
        <f>+MINVU_Mes_Corriente!EJ98*SALUD_Mes_Constante!$EC$1</f>
        <v>2451000.1391781853</v>
      </c>
      <c r="EK98" s="8">
        <f>+MINVU_Mes_Corriente!EK98*SALUD_Mes_Constante!$EC$1</f>
        <v>3111375.5652338564</v>
      </c>
      <c r="EL98" s="8">
        <f>+MINVU_Mes_Corriente!EL98*SALUD_Mes_Constante!$EC$1</f>
        <v>3965852.4881651192</v>
      </c>
      <c r="EM98" s="8">
        <f>+MINVU_Mes_Corriente!EM98*SALUD_Mes_Constante!$EC$1</f>
        <v>4501253.3842075346</v>
      </c>
      <c r="EN98" s="8">
        <f>+MINVU_Mes_Corriente!EN98*SALUD_Mes_Constante!$EC$1</f>
        <v>7459429.0918386644</v>
      </c>
      <c r="EO98" s="9">
        <f t="shared" si="48"/>
        <v>7459429.0918386644</v>
      </c>
      <c r="EP98" s="8">
        <f>+MINVU_Mes_Corriente!EP98*SALUD_Mes_Constante!$EP$1</f>
        <v>0</v>
      </c>
      <c r="EQ98" s="8">
        <f>+MINVU_Mes_Corriente!EQ98*SALUD_Mes_Constante!$EP$1</f>
        <v>0</v>
      </c>
      <c r="ER98" s="8">
        <f>+MINVU_Mes_Corriente!ER98*SALUD_Mes_Constante!$EP$1</f>
        <v>32798</v>
      </c>
      <c r="ES98" s="8">
        <f>+MINVU_Mes_Corriente!ES98*SALUD_Mes_Constante!$EP$1</f>
        <v>43676</v>
      </c>
      <c r="ET98" s="8">
        <f>+MINVU_Mes_Corriente!ET98*SALUD_Mes_Constante!$EP$1</f>
        <v>43676</v>
      </c>
      <c r="EU98" s="8">
        <f>+MINVU_Mes_Corriente!EU98*SALUD_Mes_Constante!$EP$1</f>
        <v>6341029</v>
      </c>
      <c r="EV98" s="8">
        <f>+MINVU_Mes_Corriente!EV98*SALUD_Mes_Constante!$EP$1</f>
        <v>6418537</v>
      </c>
      <c r="EW98" s="8">
        <f>+MINVU_Mes_Corriente!EW98*SALUD_Mes_Constante!$EP$1</f>
        <v>7667880</v>
      </c>
      <c r="EX98" s="8">
        <f>+MINVU_Mes_Corriente!EX98*SALUD_Mes_Constante!$EP$1</f>
        <v>8734605</v>
      </c>
      <c r="EY98" s="8">
        <f>+MINVU_Mes_Corriente!EY98*SALUD_Mes_Constante!$EP$1</f>
        <v>11718698</v>
      </c>
      <c r="EZ98" s="8">
        <f>+MINVU_Mes_Corriente!EZ98*SALUD_Mes_Constante!$EP$1</f>
        <v>11805038</v>
      </c>
      <c r="FA98" s="8">
        <f>+MINVU_Mes_Corriente!FA98*SALUD_Mes_Constante!$EP$1</f>
        <v>14107260</v>
      </c>
      <c r="FB98" s="9">
        <f t="shared" si="49"/>
        <v>14107260</v>
      </c>
      <c r="FC98" s="8">
        <f>+MINVU_Mes_Corriente!FC98*SALUD_Mes_Constante!$FC$1</f>
        <v>0</v>
      </c>
      <c r="FD98" s="8">
        <f>+MINVU_Mes_Corriente!FD98*SALUD_Mes_Constante!$FC$1</f>
        <v>2461</v>
      </c>
      <c r="FE98" s="8">
        <f>+MINVU_Mes_Corriente!FE98*SALUD_Mes_Constante!$FC$1</f>
        <v>2461</v>
      </c>
      <c r="FF98" s="8">
        <f>+MINVU_Mes_Corriente!FF98*SALUD_Mes_Constante!$FC$1</f>
        <v>561511</v>
      </c>
      <c r="FG98" s="8">
        <f>+MINVU_Mes_Corriente!FG98*SALUD_Mes_Constante!$FC$1</f>
        <v>1112451</v>
      </c>
      <c r="FH98" s="8">
        <f>+MINVU_Mes_Corriente!FH98*SALUD_Mes_Constante!$FC$1</f>
        <v>1184638</v>
      </c>
      <c r="FI98" s="8">
        <f>+MINVU_Mes_Corriente!FI98*SALUD_Mes_Constante!$FC$1</f>
        <v>2298606</v>
      </c>
      <c r="FJ98" s="8"/>
      <c r="FK98" s="8"/>
      <c r="FL98" s="8"/>
      <c r="FM98" s="8"/>
      <c r="FN98" s="8"/>
      <c r="FO98" s="9">
        <f t="shared" si="50"/>
        <v>2298606</v>
      </c>
    </row>
    <row r="99" spans="2:171" ht="14.25" customHeight="1" x14ac:dyDescent="0.3">
      <c r="B99" s="7" t="s">
        <v>62</v>
      </c>
      <c r="C99" s="8">
        <f>+MINVU_Mes_Corriente!C99*SALUD_Mes_Constante!$C$1</f>
        <v>0</v>
      </c>
      <c r="D99" s="8">
        <f>+MINVU_Mes_Corriente!D99*SALUD_Mes_Constante!$C$1</f>
        <v>1164995.484799051</v>
      </c>
      <c r="E99" s="8">
        <f>+MINVU_Mes_Corriente!E99*SALUD_Mes_Constante!$C$1</f>
        <v>3064589.8772059917</v>
      </c>
      <c r="F99" s="8">
        <f>+MINVU_Mes_Corriente!F99*SALUD_Mes_Constante!$C$1</f>
        <v>3906407.1475604335</v>
      </c>
      <c r="G99" s="8">
        <f>+MINVU_Mes_Corriente!G99*SALUD_Mes_Constante!$C$1</f>
        <v>4786936.1287260875</v>
      </c>
      <c r="H99" s="8">
        <f>+MINVU_Mes_Corriente!H99*SALUD_Mes_Constante!$C$1</f>
        <v>6173505.9676701771</v>
      </c>
      <c r="I99" s="8">
        <f>+MINVU_Mes_Corriente!I99*SALUD_Mes_Constante!$C$1</f>
        <v>8052512.2307578241</v>
      </c>
      <c r="J99" s="8">
        <f>+MINVU_Mes_Corriente!J99*SALUD_Mes_Constante!$C$1</f>
        <v>9440606.8162538949</v>
      </c>
      <c r="K99" s="8">
        <f>+MINVU_Mes_Corriente!K99*SALUD_Mes_Constante!$C$1</f>
        <v>10239246.699391963</v>
      </c>
      <c r="L99" s="8">
        <f>+MINVU_Mes_Corriente!L99*SALUD_Mes_Constante!$C$1</f>
        <v>11013403.138958922</v>
      </c>
      <c r="M99" s="8">
        <f>+MINVU_Mes_Corriente!M99*SALUD_Mes_Constante!$C$1</f>
        <v>12291662.501260569</v>
      </c>
      <c r="N99" s="8">
        <f>+MINVU_Mes_Corriente!N99*SALUD_Mes_Constante!$C$1</f>
        <v>21213928.405457515</v>
      </c>
      <c r="O99" s="9">
        <f t="shared" si="38"/>
        <v>21213928.405457515</v>
      </c>
      <c r="P99" s="8">
        <f>+MINVU_Mes_Corriente!P99*SALUD_Mes_Constante!$P$1</f>
        <v>0</v>
      </c>
      <c r="Q99" s="8">
        <f>+MINVU_Mes_Corriente!Q99*SALUD_Mes_Constante!$P$1</f>
        <v>721955.74513425177</v>
      </c>
      <c r="R99" s="8">
        <f>+MINVU_Mes_Corriente!R99*SALUD_Mes_Constante!$P$1</f>
        <v>688249.5240801248</v>
      </c>
      <c r="S99" s="8">
        <f>+MINVU_Mes_Corriente!S99*SALUD_Mes_Constante!$P$1</f>
        <v>2275252.964341525</v>
      </c>
      <c r="T99" s="8">
        <f>+MINVU_Mes_Corriente!T99*SALUD_Mes_Constante!$P$1</f>
        <v>2277384.1474641277</v>
      </c>
      <c r="U99" s="8">
        <f>+MINVU_Mes_Corriente!U99*SALUD_Mes_Constante!$P$1</f>
        <v>2942393.9965904239</v>
      </c>
      <c r="V99" s="8">
        <f>+MINVU_Mes_Corriente!V99*SALUD_Mes_Constante!$P$1</f>
        <v>2994722.0704645533</v>
      </c>
      <c r="W99" s="8">
        <f>+MINVU_Mes_Corriente!W99*SALUD_Mes_Constante!$P$1</f>
        <v>3043562.3304446642</v>
      </c>
      <c r="X99" s="8">
        <f>+MINVU_Mes_Corriente!X99*SALUD_Mes_Constante!$P$1</f>
        <v>3356189.6650092332</v>
      </c>
      <c r="Y99" s="8">
        <f>+MINVU_Mes_Corriente!Y99*SALUD_Mes_Constante!$P$1</f>
        <v>3532706.8862054255</v>
      </c>
      <c r="Z99" s="8">
        <f>+MINVU_Mes_Corriente!Z99*SALUD_Mes_Constante!$P$1</f>
        <v>7987075.1907941438</v>
      </c>
      <c r="AA99" s="8">
        <f>+MINVU_Mes_Corriente!AA99*SALUD_Mes_Constante!$P$1</f>
        <v>27157174.481034227</v>
      </c>
      <c r="AB99" s="9">
        <f t="shared" si="39"/>
        <v>27157174.481034227</v>
      </c>
      <c r="AC99" s="8">
        <f>+MINVU_Mes_Corriente!AC99*SALUD_Mes_Constante!$AC$1</f>
        <v>0</v>
      </c>
      <c r="AD99" s="8">
        <f>+MINVU_Mes_Corriente!AD99*SALUD_Mes_Constante!$AC$1</f>
        <v>645614.90662608936</v>
      </c>
      <c r="AE99" s="8">
        <f>+MINVU_Mes_Corriente!AE99*SALUD_Mes_Constante!$AC$1</f>
        <v>1831667.0446811453</v>
      </c>
      <c r="AF99" s="8">
        <f>+MINVU_Mes_Corriente!AF99*SALUD_Mes_Constante!$AC$1</f>
        <v>3006202.2205007607</v>
      </c>
      <c r="AG99" s="8">
        <f>+MINVU_Mes_Corriente!AG99*SALUD_Mes_Constante!$AC$1</f>
        <v>4515179.702033476</v>
      </c>
      <c r="AH99" s="8">
        <f>+MINVU_Mes_Corriente!AH99*SALUD_Mes_Constante!$AC$1</f>
        <v>6611581.2026559692</v>
      </c>
      <c r="AI99" s="8">
        <f>+MINVU_Mes_Corriente!AI99*SALUD_Mes_Constante!$AC$1</f>
        <v>8992555.9579471573</v>
      </c>
      <c r="AJ99" s="8">
        <f>+MINVU_Mes_Corriente!AJ99*SALUD_Mes_Constante!$AC$1</f>
        <v>12963285.628717665</v>
      </c>
      <c r="AK99" s="8">
        <f>+MINVU_Mes_Corriente!AK99*SALUD_Mes_Constante!$AC$1</f>
        <v>15384123.885184674</v>
      </c>
      <c r="AL99" s="8">
        <f>+MINVU_Mes_Corriente!AL99*SALUD_Mes_Constante!$AC$1</f>
        <v>18430757.897911191</v>
      </c>
      <c r="AM99" s="8">
        <f>+MINVU_Mes_Corriente!AM99*SALUD_Mes_Constante!$AC$1</f>
        <v>21381441.407940239</v>
      </c>
      <c r="AN99" s="8">
        <f>+MINVU_Mes_Corriente!AN99*SALUD_Mes_Constante!$AC$1</f>
        <v>28389970.886152994</v>
      </c>
      <c r="AO99" s="9">
        <f t="shared" si="40"/>
        <v>28389970.886152994</v>
      </c>
      <c r="AP99" s="8">
        <f>+MINVU_Mes_Corriente!AP99*SALUD_Mes_Constante!$AP$1</f>
        <v>0</v>
      </c>
      <c r="AQ99" s="8">
        <f>+MINVU_Mes_Corriente!AQ99*SALUD_Mes_Constante!$AP$1</f>
        <v>2160343.4608413363</v>
      </c>
      <c r="AR99" s="8">
        <f>+MINVU_Mes_Corriente!AR99*SALUD_Mes_Constante!$AP$1</f>
        <v>3826981.8747463813</v>
      </c>
      <c r="AS99" s="8">
        <f>+MINVU_Mes_Corriente!AS99*SALUD_Mes_Constante!$AP$1</f>
        <v>6407557.3553361287</v>
      </c>
      <c r="AT99" s="8">
        <f>+MINVU_Mes_Corriente!AT99*SALUD_Mes_Constante!$AP$1</f>
        <v>9370649.2436088193</v>
      </c>
      <c r="AU99" s="8">
        <f>+MINVU_Mes_Corriente!AU99*SALUD_Mes_Constante!$AP$1</f>
        <v>12045825.587988637</v>
      </c>
      <c r="AV99" s="8">
        <f>+MINVU_Mes_Corriente!AV99*SALUD_Mes_Constante!$AP$1</f>
        <v>14129997.404571891</v>
      </c>
      <c r="AW99" s="8">
        <f>+MINVU_Mes_Corriente!AW99*SALUD_Mes_Constante!$AP$1</f>
        <v>17437560.520221829</v>
      </c>
      <c r="AX99" s="8">
        <f>+MINVU_Mes_Corriente!AX99*SALUD_Mes_Constante!$AP$1</f>
        <v>19824358.74286487</v>
      </c>
      <c r="AY99" s="8">
        <f>+MINVU_Mes_Corriente!AY99*SALUD_Mes_Constante!$AP$1</f>
        <v>24976957.186527796</v>
      </c>
      <c r="AZ99" s="8">
        <f>+MINVU_Mes_Corriente!AZ99*SALUD_Mes_Constante!$AP$1</f>
        <v>26467026.829433247</v>
      </c>
      <c r="BA99" s="8">
        <f>+MINVU_Mes_Corriente!BA99*SALUD_Mes_Constante!$AP$1</f>
        <v>39007908.250777759</v>
      </c>
      <c r="BB99" s="9">
        <f t="shared" si="41"/>
        <v>39007908.250777759</v>
      </c>
      <c r="BC99" s="8">
        <f>+MINVU_Mes_Corriente!BC99*SALUD_Mes_Constante!$BC$1</f>
        <v>0</v>
      </c>
      <c r="BD99" s="8">
        <f>+MINVU_Mes_Corriente!BD99*SALUD_Mes_Constante!$BC$1</f>
        <v>0</v>
      </c>
      <c r="BE99" s="8">
        <f>+MINVU_Mes_Corriente!BE99*SALUD_Mes_Constante!$BC$1</f>
        <v>6492873.838322565</v>
      </c>
      <c r="BF99" s="8">
        <f>+MINVU_Mes_Corriente!BF99*SALUD_Mes_Constante!$BC$1</f>
        <v>4900808.8152446272</v>
      </c>
      <c r="BG99" s="8">
        <f>+MINVU_Mes_Corriente!BG99*SALUD_Mes_Constante!$BC$1</f>
        <v>7295229.5400237394</v>
      </c>
      <c r="BH99" s="8">
        <f>+MINVU_Mes_Corriente!BH99*SALUD_Mes_Constante!$BC$1</f>
        <v>11062471.978900174</v>
      </c>
      <c r="BI99" s="8">
        <f>+MINVU_Mes_Corriente!BI99*SALUD_Mes_Constante!$BC$1</f>
        <v>13454124.822102074</v>
      </c>
      <c r="BJ99" s="8">
        <f>+MINVU_Mes_Corriente!BJ99*SALUD_Mes_Constante!$BC$1</f>
        <v>15741907.902149549</v>
      </c>
      <c r="BK99" s="8">
        <f>+MINVU_Mes_Corriente!BK99*SALUD_Mes_Constante!$BC$1</f>
        <v>18219775.717789799</v>
      </c>
      <c r="BL99" s="8">
        <f>+MINVU_Mes_Corriente!BL99*SALUD_Mes_Constante!$BC$1</f>
        <v>21142216.320981149</v>
      </c>
      <c r="BM99" s="8">
        <f>+MINVU_Mes_Corriente!BM99*SALUD_Mes_Constante!$BC$1</f>
        <v>24639494.48925228</v>
      </c>
      <c r="BN99" s="8">
        <f>+MINVU_Mes_Corriente!BN99*SALUD_Mes_Constante!$BC$1</f>
        <v>31050431.252274834</v>
      </c>
      <c r="BO99" s="9">
        <f t="shared" si="42"/>
        <v>31050431.252274834</v>
      </c>
      <c r="BP99" s="8">
        <f>+MINVU_Mes_Corriente!BP99*SALUD_Mes_Constante!$BP$1</f>
        <v>0</v>
      </c>
      <c r="BQ99" s="8">
        <f>+MINVU_Mes_Corriente!BQ99*SALUD_Mes_Constante!$BP$1</f>
        <v>0</v>
      </c>
      <c r="BR99" s="8">
        <f>+MINVU_Mes_Corriente!BR99*SALUD_Mes_Constante!$BP$1</f>
        <v>7851541.1139564672</v>
      </c>
      <c r="BS99" s="8">
        <f>+MINVU_Mes_Corriente!BS99*SALUD_Mes_Constante!$BP$1</f>
        <v>11166732.935723433</v>
      </c>
      <c r="BT99" s="8">
        <f>+MINVU_Mes_Corriente!BT99*SALUD_Mes_Constante!$BP$1</f>
        <v>14536882.117797697</v>
      </c>
      <c r="BU99" s="8">
        <f>+MINVU_Mes_Corriente!BU99*SALUD_Mes_Constante!$BP$1</f>
        <v>18221719.68553137</v>
      </c>
      <c r="BV99" s="8">
        <f>+MINVU_Mes_Corriente!BV99*SALUD_Mes_Constante!$BP$1</f>
        <v>22366993.722407173</v>
      </c>
      <c r="BW99" s="8">
        <f>+MINVU_Mes_Corriente!BW99*SALUD_Mes_Constante!$BP$1</f>
        <v>27706773.344174139</v>
      </c>
      <c r="BX99" s="8">
        <f>+MINVU_Mes_Corriente!BX99*SALUD_Mes_Constante!$BP$1</f>
        <v>34021746.730601795</v>
      </c>
      <c r="BY99" s="8">
        <f>+MINVU_Mes_Corriente!BY99*SALUD_Mes_Constante!$BP$1</f>
        <v>47871032.305505767</v>
      </c>
      <c r="BZ99" s="8">
        <f>+MINVU_Mes_Corriente!BZ99*SALUD_Mes_Constante!$BP$1</f>
        <v>51294570.59615878</v>
      </c>
      <c r="CA99" s="8">
        <f>+MINVU_Mes_Corriente!CA99*SALUD_Mes_Constante!$BP$1</f>
        <v>60073617.192061469</v>
      </c>
      <c r="CB99" s="9">
        <f t="shared" si="43"/>
        <v>60073617.192061469</v>
      </c>
      <c r="CC99" s="8">
        <f>+MINVU_Mes_Corriente!CC99*SALUD_Mes_Constante!$CC$1</f>
        <v>0</v>
      </c>
      <c r="CD99" s="8">
        <f>+MINVU_Mes_Corriente!CD99*SALUD_Mes_Constante!$CC$1</f>
        <v>2707954.0149198063</v>
      </c>
      <c r="CE99" s="8">
        <f>+MINVU_Mes_Corriente!CE99*SALUD_Mes_Constante!$CC$1</f>
        <v>6267776.0410294672</v>
      </c>
      <c r="CF99" s="8">
        <f>+MINVU_Mes_Corriente!CF99*SALUD_Mes_Constante!$CC$1</f>
        <v>6922385.1271913471</v>
      </c>
      <c r="CG99" s="8">
        <f>+MINVU_Mes_Corriente!CG99*SALUD_Mes_Constante!$CC$1</f>
        <v>8475265.4613950029</v>
      </c>
      <c r="CH99" s="8">
        <f>+MINVU_Mes_Corriente!CH99*SALUD_Mes_Constante!$CC$1</f>
        <v>11903115.589705335</v>
      </c>
      <c r="CI99" s="8">
        <f>+MINVU_Mes_Corriente!CI99*SALUD_Mes_Constante!$CC$1</f>
        <v>13922707.152555019</v>
      </c>
      <c r="CJ99" s="8">
        <f>+MINVU_Mes_Corriente!CJ99*SALUD_Mes_Constante!$CC$1</f>
        <v>16794934.249906752</v>
      </c>
      <c r="CK99" s="8">
        <f>+MINVU_Mes_Corriente!CK99*SALUD_Mes_Constante!$CC$1</f>
        <v>20112414.525923166</v>
      </c>
      <c r="CL99" s="8">
        <f>+MINVU_Mes_Corriente!CL99*SALUD_Mes_Constante!$CC$1</f>
        <v>22236633.779932864</v>
      </c>
      <c r="CM99" s="8">
        <f>+MINVU_Mes_Corriente!CM99*SALUD_Mes_Constante!$CC$1</f>
        <v>26285851.763521075</v>
      </c>
      <c r="CN99" s="8">
        <f>+MINVU_Mes_Corriente!CN99*SALUD_Mes_Constante!$CC$1</f>
        <v>38234726.685565092</v>
      </c>
      <c r="CO99" s="9">
        <f t="shared" si="44"/>
        <v>38234726.685565092</v>
      </c>
      <c r="CP99" s="8">
        <f>+MINVU_Mes_Corriente!CP99*SALUD_Mes_Constante!$CP$1</f>
        <v>0</v>
      </c>
      <c r="CQ99" s="8">
        <f>+MINVU_Mes_Corriente!CQ99*SALUD_Mes_Constante!$CP$1</f>
        <v>4562949.8359628757</v>
      </c>
      <c r="CR99" s="8">
        <f>+MINVU_Mes_Corriente!CR99*SALUD_Mes_Constante!$CP$1</f>
        <v>5694209.1167053357</v>
      </c>
      <c r="CS99" s="8">
        <f>+MINVU_Mes_Corriente!CS99*SALUD_Mes_Constante!$CP$1</f>
        <v>9895499.4800464008</v>
      </c>
      <c r="CT99" s="8">
        <f>+MINVU_Mes_Corriente!CT99*SALUD_Mes_Constante!$CP$1</f>
        <v>13227996.658468675</v>
      </c>
      <c r="CU99" s="8">
        <f>+MINVU_Mes_Corriente!CU99*SALUD_Mes_Constante!$CP$1</f>
        <v>18293174.914385147</v>
      </c>
      <c r="CV99" s="8">
        <f>+MINVU_Mes_Corriente!CV99*SALUD_Mes_Constante!$CP$1</f>
        <v>20577351.545707654</v>
      </c>
      <c r="CW99" s="8">
        <f>+MINVU_Mes_Corriente!CW99*SALUD_Mes_Constante!$CP$1</f>
        <v>24312814.053828303</v>
      </c>
      <c r="CX99" s="8">
        <f>+MINVU_Mes_Corriente!CX99*SALUD_Mes_Constante!$CP$1</f>
        <v>26669313.960556839</v>
      </c>
      <c r="CY99" s="8">
        <f>+MINVU_Mes_Corriente!CY99*SALUD_Mes_Constante!$CP$1</f>
        <v>29240053.461020876</v>
      </c>
      <c r="CZ99" s="8">
        <f>+MINVU_Mes_Corriente!CZ99*SALUD_Mes_Constante!$CP$1</f>
        <v>31274228.762645006</v>
      </c>
      <c r="DA99" s="8">
        <f>+MINVU_Mes_Corriente!DA99*SALUD_Mes_Constante!$CP$1</f>
        <v>34372702.935730852</v>
      </c>
      <c r="DB99" s="9">
        <f t="shared" si="45"/>
        <v>34372702.935730852</v>
      </c>
      <c r="DC99" s="8">
        <f>+MINVU_Mes_Corriente!DC99*SALUD_Mes_Constante!$DC$1</f>
        <v>0</v>
      </c>
      <c r="DD99" s="8">
        <f>+MINVU_Mes_Corriente!DD99*SALUD_Mes_Constante!$DC$1</f>
        <v>0</v>
      </c>
      <c r="DE99" s="8">
        <f>+MINVU_Mes_Corriente!DE99*SALUD_Mes_Constante!$DC$1</f>
        <v>4101803.1556424256</v>
      </c>
      <c r="DF99" s="8">
        <f>+MINVU_Mes_Corriente!DF99*SALUD_Mes_Constante!$DC$1</f>
        <v>6761042.7435449064</v>
      </c>
      <c r="DG99" s="8">
        <f>+MINVU_Mes_Corriente!DG99*SALUD_Mes_Constante!$DC$1</f>
        <v>7984026.4184754696</v>
      </c>
      <c r="DH99" s="8">
        <f>+MINVU_Mes_Corriente!DH99*SALUD_Mes_Constante!$DC$1</f>
        <v>9187524.0259232633</v>
      </c>
      <c r="DI99" s="8">
        <f>+MINVU_Mes_Corriente!DI99*SALUD_Mes_Constante!$DC$1</f>
        <v>10457960.10225286</v>
      </c>
      <c r="DJ99" s="8">
        <f>+MINVU_Mes_Corriente!DJ99*SALUD_Mes_Constante!$DC$1</f>
        <v>12692800.850735527</v>
      </c>
      <c r="DK99" s="8">
        <f>+MINVU_Mes_Corriente!DK99*SALUD_Mes_Constante!$DC$1</f>
        <v>14318732.618249157</v>
      </c>
      <c r="DL99" s="8">
        <f>+MINVU_Mes_Corriente!DL99*SALUD_Mes_Constante!$DC$1</f>
        <v>32727072.319102988</v>
      </c>
      <c r="DM99" s="8">
        <f>+MINVU_Mes_Corriente!DM99*SALUD_Mes_Constante!$DC$1</f>
        <v>34652782.909988701</v>
      </c>
      <c r="DN99" s="8">
        <f>+MINVU_Mes_Corriente!DN99*SALUD_Mes_Constante!$DC$1</f>
        <v>39439827.560127579</v>
      </c>
      <c r="DO99" s="9">
        <f t="shared" si="46"/>
        <v>39439827.560127579</v>
      </c>
      <c r="DP99" s="8">
        <f>+MINVU_Mes_Corriente!DP99*SALUD_Mes_Constante!$DP$1</f>
        <v>0</v>
      </c>
      <c r="DQ99" s="8">
        <f>+MINVU_Mes_Corriente!DQ99*SALUD_Mes_Constante!$DP$1</f>
        <v>1183329.9192399052</v>
      </c>
      <c r="DR99" s="8">
        <f>+MINVU_Mes_Corriente!DR99*SALUD_Mes_Constante!$DP$1</f>
        <v>1524712.2701900238</v>
      </c>
      <c r="DS99" s="8">
        <f>+MINVU_Mes_Corriente!DS99*SALUD_Mes_Constante!$DP$1</f>
        <v>1996379.3853919243</v>
      </c>
      <c r="DT99" s="8">
        <f>+MINVU_Mes_Corriente!DT99*SALUD_Mes_Constante!$DP$1</f>
        <v>2592109.1543942997</v>
      </c>
      <c r="DU99" s="8">
        <f>+MINVU_Mes_Corriente!DU99*SALUD_Mes_Constante!$DP$1</f>
        <v>2807319.1300475062</v>
      </c>
      <c r="DV99" s="8">
        <f>+MINVU_Mes_Corriente!DV99*SALUD_Mes_Constante!$DP$1</f>
        <v>3370712.0914489315</v>
      </c>
      <c r="DW99" s="8">
        <f>+MINVU_Mes_Corriente!DW99*SALUD_Mes_Constante!$DP$1</f>
        <v>4418333.1751781479</v>
      </c>
      <c r="DX99" s="8">
        <f>+MINVU_Mes_Corriente!DX99*SALUD_Mes_Constante!$DP$1</f>
        <v>6455080.5837292168</v>
      </c>
      <c r="DY99" s="8">
        <f>+MINVU_Mes_Corriente!DY99*SALUD_Mes_Constante!$DP$1</f>
        <v>6871708.9471496446</v>
      </c>
      <c r="DZ99" s="8">
        <f>+MINVU_Mes_Corriente!DZ99*SALUD_Mes_Constante!$DP$1</f>
        <v>7547250.2048693597</v>
      </c>
      <c r="EA99" s="8">
        <f>+MINVU_Mes_Corriente!EA99*SALUD_Mes_Constante!$DP$1</f>
        <v>14746132.512470311</v>
      </c>
      <c r="EB99" s="9">
        <f t="shared" si="47"/>
        <v>14746132.512470311</v>
      </c>
      <c r="EC99" s="8">
        <f>+MINVU_Mes_Corriente!EC99*SALUD_Mes_Constante!$EC$1</f>
        <v>0</v>
      </c>
      <c r="ED99" s="8">
        <f>+MINVU_Mes_Corriente!ED99*SALUD_Mes_Constante!$EC$1</f>
        <v>911032.05889036134</v>
      </c>
      <c r="EE99" s="8">
        <f>+MINVU_Mes_Corriente!EE99*SALUD_Mes_Constante!$EC$1</f>
        <v>2127045.5839803061</v>
      </c>
      <c r="EF99" s="8">
        <f>+MINVU_Mes_Corriente!EF99*SALUD_Mes_Constante!$EC$1</f>
        <v>3727945.6138988817</v>
      </c>
      <c r="EG99" s="8">
        <f>+MINVU_Mes_Corriente!EG99*SALUD_Mes_Constante!$EC$1</f>
        <v>7476752.212081043</v>
      </c>
      <c r="EH99" s="8">
        <f>+MINVU_Mes_Corriente!EH99*SALUD_Mes_Constante!$EC$1</f>
        <v>7724507.1757242922</v>
      </c>
      <c r="EI99" s="8">
        <f>+MINVU_Mes_Corriente!EI99*SALUD_Mes_Constante!$EC$1</f>
        <v>9143195.8284415808</v>
      </c>
      <c r="EJ99" s="8">
        <f>+MINVU_Mes_Corriente!EJ99*SALUD_Mes_Constante!$EC$1</f>
        <v>10197189.662942622</v>
      </c>
      <c r="EK99" s="8">
        <f>+MINVU_Mes_Corriente!EK99*SALUD_Mes_Constante!$EC$1</f>
        <v>11227746.699867446</v>
      </c>
      <c r="EL99" s="8">
        <f>+MINVU_Mes_Corriente!EL99*SALUD_Mes_Constante!$EC$1</f>
        <v>12451432.838288199</v>
      </c>
      <c r="EM99" s="8">
        <f>+MINVU_Mes_Corriente!EM99*SALUD_Mes_Constante!$EC$1</f>
        <v>13246471.57640598</v>
      </c>
      <c r="EN99" s="8">
        <f>+MINVU_Mes_Corriente!EN99*SALUD_Mes_Constante!$EC$1</f>
        <v>20335809.055671267</v>
      </c>
      <c r="EO99" s="9">
        <f t="shared" si="48"/>
        <v>20335809.055671267</v>
      </c>
      <c r="EP99" s="8">
        <f>+MINVU_Mes_Corriente!EP99*SALUD_Mes_Constante!$EP$1</f>
        <v>0</v>
      </c>
      <c r="EQ99" s="8">
        <f>+MINVU_Mes_Corriente!EQ99*SALUD_Mes_Constante!$EP$1</f>
        <v>92693</v>
      </c>
      <c r="ER99" s="8">
        <f>+MINVU_Mes_Corriente!ER99*SALUD_Mes_Constante!$EP$1</f>
        <v>129900</v>
      </c>
      <c r="ES99" s="8">
        <f>+MINVU_Mes_Corriente!ES99*SALUD_Mes_Constante!$EP$1</f>
        <v>319531</v>
      </c>
      <c r="ET99" s="8">
        <f>+MINVU_Mes_Corriente!ET99*SALUD_Mes_Constante!$EP$1</f>
        <v>468730</v>
      </c>
      <c r="EU99" s="8">
        <f>+MINVU_Mes_Corriente!EU99*SALUD_Mes_Constante!$EP$1</f>
        <v>526716</v>
      </c>
      <c r="EV99" s="8">
        <f>+MINVU_Mes_Corriente!EV99*SALUD_Mes_Constante!$EP$1</f>
        <v>845102</v>
      </c>
      <c r="EW99" s="8">
        <f>+MINVU_Mes_Corriente!EW99*SALUD_Mes_Constante!$EP$1</f>
        <v>1152979</v>
      </c>
      <c r="EX99" s="8">
        <f>+MINVU_Mes_Corriente!EX99*SALUD_Mes_Constante!$EP$1</f>
        <v>1503750</v>
      </c>
      <c r="EY99" s="8">
        <f>+MINVU_Mes_Corriente!EY99*SALUD_Mes_Constante!$EP$1</f>
        <v>2189702</v>
      </c>
      <c r="EZ99" s="8">
        <f>+MINVU_Mes_Corriente!EZ99*SALUD_Mes_Constante!$EP$1</f>
        <v>4279056</v>
      </c>
      <c r="FA99" s="8">
        <f>+MINVU_Mes_Corriente!FA99*SALUD_Mes_Constante!$EP$1</f>
        <v>7889441</v>
      </c>
      <c r="FB99" s="9">
        <f t="shared" si="49"/>
        <v>7889441</v>
      </c>
      <c r="FC99" s="8">
        <f>+MINVU_Mes_Corriente!FC99*SALUD_Mes_Constante!$FC$1</f>
        <v>0</v>
      </c>
      <c r="FD99" s="8">
        <f>+MINVU_Mes_Corriente!FD99*SALUD_Mes_Constante!$FC$1</f>
        <v>2191740</v>
      </c>
      <c r="FE99" s="8">
        <f>+MINVU_Mes_Corriente!FE99*SALUD_Mes_Constante!$FC$1</f>
        <v>3759966</v>
      </c>
      <c r="FF99" s="8">
        <f>+MINVU_Mes_Corriente!FF99*SALUD_Mes_Constante!$FC$1</f>
        <v>5411313</v>
      </c>
      <c r="FG99" s="8">
        <f>+MINVU_Mes_Corriente!FG99*SALUD_Mes_Constante!$FC$1</f>
        <v>6946935</v>
      </c>
      <c r="FH99" s="8">
        <f>+MINVU_Mes_Corriente!FH99*SALUD_Mes_Constante!$FC$1</f>
        <v>8173898</v>
      </c>
      <c r="FI99" s="8">
        <f>+MINVU_Mes_Corriente!FI99*SALUD_Mes_Constante!$FC$1</f>
        <v>8532146</v>
      </c>
      <c r="FJ99" s="8"/>
      <c r="FK99" s="8"/>
      <c r="FL99" s="8"/>
      <c r="FM99" s="8"/>
      <c r="FN99" s="8"/>
      <c r="FO99" s="9">
        <f t="shared" si="50"/>
        <v>8532146</v>
      </c>
    </row>
    <row r="100" spans="2:171" ht="14.25" customHeight="1" x14ac:dyDescent="0.3">
      <c r="B100" s="7" t="s">
        <v>63</v>
      </c>
      <c r="C100" s="8">
        <f>+MINVU_Mes_Corriente!C100*SALUD_Mes_Constante!$C$1</f>
        <v>0</v>
      </c>
      <c r="D100" s="8">
        <f>+MINVU_Mes_Corriente!D100*SALUD_Mes_Constante!$C$1</f>
        <v>0</v>
      </c>
      <c r="E100" s="8">
        <f>+MINVU_Mes_Corriente!E100*SALUD_Mes_Constante!$C$1</f>
        <v>0</v>
      </c>
      <c r="F100" s="8">
        <f>+MINVU_Mes_Corriente!F100*SALUD_Mes_Constante!$C$1</f>
        <v>0</v>
      </c>
      <c r="G100" s="8">
        <f>+MINVU_Mes_Corriente!G100*SALUD_Mes_Constante!$C$1</f>
        <v>0</v>
      </c>
      <c r="H100" s="8">
        <f>+MINVU_Mes_Corriente!H100*SALUD_Mes_Constante!$C$1</f>
        <v>0</v>
      </c>
      <c r="I100" s="8">
        <f>+MINVU_Mes_Corriente!I100*SALUD_Mes_Constante!$C$1</f>
        <v>0</v>
      </c>
      <c r="J100" s="8">
        <f>+MINVU_Mes_Corriente!J100*SALUD_Mes_Constante!$C$1</f>
        <v>0</v>
      </c>
      <c r="K100" s="8">
        <f>+MINVU_Mes_Corriente!K100*SALUD_Mes_Constante!$C$1</f>
        <v>0</v>
      </c>
      <c r="L100" s="8">
        <f>+MINVU_Mes_Corriente!L100*SALUD_Mes_Constante!$C$1</f>
        <v>0</v>
      </c>
      <c r="M100" s="8">
        <f>+MINVU_Mes_Corriente!M100*SALUD_Mes_Constante!$C$1</f>
        <v>0</v>
      </c>
      <c r="N100" s="8">
        <f>+MINVU_Mes_Corriente!N100*SALUD_Mes_Constante!$C$1</f>
        <v>3651704.7984576602</v>
      </c>
      <c r="O100" s="9">
        <f t="shared" si="38"/>
        <v>3651704.7984576602</v>
      </c>
      <c r="P100" s="8">
        <f>+MINVU_Mes_Corriente!P100*SALUD_Mes_Constante!$P$1</f>
        <v>0</v>
      </c>
      <c r="Q100" s="8">
        <f>+MINVU_Mes_Corriente!Q100*SALUD_Mes_Constante!$P$1</f>
        <v>0</v>
      </c>
      <c r="R100" s="8">
        <f>+MINVU_Mes_Corriente!R100*SALUD_Mes_Constante!$P$1</f>
        <v>264563.17914476478</v>
      </c>
      <c r="S100" s="8">
        <f>+MINVU_Mes_Corriente!S100*SALUD_Mes_Constante!$P$1</f>
        <v>613628.62281574064</v>
      </c>
      <c r="T100" s="8">
        <f>+MINVU_Mes_Corriente!T100*SALUD_Mes_Constante!$P$1</f>
        <v>1068787.5598806646</v>
      </c>
      <c r="U100" s="8">
        <f>+MINVU_Mes_Corriente!U100*SALUD_Mes_Constante!$P$1</f>
        <v>1572282.2889614997</v>
      </c>
      <c r="V100" s="8">
        <f>+MINVU_Mes_Corriente!V100*SALUD_Mes_Constante!$P$1</f>
        <v>1956460.2551498786</v>
      </c>
      <c r="W100" s="8">
        <f>+MINVU_Mes_Corriente!W100*SALUD_Mes_Constante!$P$1</f>
        <v>2395300.8177297902</v>
      </c>
      <c r="X100" s="8">
        <f>+MINVU_Mes_Corriente!X100*SALUD_Mes_Constante!$P$1</f>
        <v>2813871.0814036075</v>
      </c>
      <c r="Y100" s="8">
        <f>+MINVU_Mes_Corriente!Y100*SALUD_Mes_Constante!$P$1</f>
        <v>3807866.9970166204</v>
      </c>
      <c r="Z100" s="8">
        <f>+MINVU_Mes_Corriente!Z100*SALUD_Mes_Constante!$P$1</f>
        <v>4314065.6743855644</v>
      </c>
      <c r="AA100" s="8">
        <f>+MINVU_Mes_Corriente!AA100*SALUD_Mes_Constante!$P$1</f>
        <v>7819562.3347066315</v>
      </c>
      <c r="AB100" s="9">
        <f t="shared" si="39"/>
        <v>7819562.3347066315</v>
      </c>
      <c r="AC100" s="8">
        <f>+MINVU_Mes_Corriente!AC100*SALUD_Mes_Constante!$AC$1</f>
        <v>0</v>
      </c>
      <c r="AD100" s="8">
        <f>+MINVU_Mes_Corriente!AD100*SALUD_Mes_Constante!$AC$1</f>
        <v>897836.37958223815</v>
      </c>
      <c r="AE100" s="8">
        <f>+MINVU_Mes_Corriente!AE100*SALUD_Mes_Constante!$AC$1</f>
        <v>1373855.7045234472</v>
      </c>
      <c r="AF100" s="8">
        <f>+MINVU_Mes_Corriente!AF100*SALUD_Mes_Constante!$AC$1</f>
        <v>2034862.8346935953</v>
      </c>
      <c r="AG100" s="8">
        <f>+MINVU_Mes_Corriente!AG100*SALUD_Mes_Constante!$AC$1</f>
        <v>2712188.6841886844</v>
      </c>
      <c r="AH100" s="8">
        <f>+MINVU_Mes_Corriente!AH100*SALUD_Mes_Constante!$AC$1</f>
        <v>2773406.9306958085</v>
      </c>
      <c r="AI100" s="8">
        <f>+MINVU_Mes_Corriente!AI100*SALUD_Mes_Constante!$AC$1</f>
        <v>3316226.1480149399</v>
      </c>
      <c r="AJ100" s="8">
        <f>+MINVU_Mes_Corriente!AJ100*SALUD_Mes_Constante!$AC$1</f>
        <v>4337535.8494950896</v>
      </c>
      <c r="AK100" s="8">
        <f>+MINVU_Mes_Corriente!AK100*SALUD_Mes_Constante!$AC$1</f>
        <v>5236578.3361460781</v>
      </c>
      <c r="AL100" s="8">
        <f>+MINVU_Mes_Corriente!AL100*SALUD_Mes_Constante!$AC$1</f>
        <v>6603756.6208327571</v>
      </c>
      <c r="AM100" s="8">
        <f>+MINVU_Mes_Corriente!AM100*SALUD_Mes_Constante!$AC$1</f>
        <v>7860592.7342647668</v>
      </c>
      <c r="AN100" s="8">
        <f>+MINVU_Mes_Corriente!AN100*SALUD_Mes_Constante!$AC$1</f>
        <v>12450035.682943698</v>
      </c>
      <c r="AO100" s="9">
        <f t="shared" si="40"/>
        <v>12450035.682943698</v>
      </c>
      <c r="AP100" s="8">
        <f>+MINVU_Mes_Corriente!AP100*SALUD_Mes_Constante!$AP$1</f>
        <v>0</v>
      </c>
      <c r="AQ100" s="8">
        <f>+MINVU_Mes_Corriente!AQ100*SALUD_Mes_Constante!$AP$1</f>
        <v>248686.57811443254</v>
      </c>
      <c r="AR100" s="8">
        <f>+MINVU_Mes_Corriente!AR100*SALUD_Mes_Constante!$AP$1</f>
        <v>1691367.8549979709</v>
      </c>
      <c r="AS100" s="8">
        <f>+MINVU_Mes_Corriente!AS100*SALUD_Mes_Constante!$AP$1</f>
        <v>2441707.542810767</v>
      </c>
      <c r="AT100" s="8">
        <f>+MINVU_Mes_Corriente!AT100*SALUD_Mes_Constante!$AP$1</f>
        <v>3205290.5534965508</v>
      </c>
      <c r="AU100" s="8">
        <f>+MINVU_Mes_Corriente!AU100*SALUD_Mes_Constante!$AP$1</f>
        <v>4009967.6201812522</v>
      </c>
      <c r="AV100" s="8">
        <f>+MINVU_Mes_Corriente!AV100*SALUD_Mes_Constante!$AP$1</f>
        <v>4321173.1456783442</v>
      </c>
      <c r="AW100" s="8">
        <f>+MINVU_Mes_Corriente!AW100*SALUD_Mes_Constante!$AP$1</f>
        <v>4816870.3809008515</v>
      </c>
      <c r="AX100" s="8">
        <f>+MINVU_Mes_Corriente!AX100*SALUD_Mes_Constante!$AP$1</f>
        <v>5128712.8746111179</v>
      </c>
      <c r="AY100" s="8">
        <f>+MINVU_Mes_Corriente!AY100*SALUD_Mes_Constante!$AP$1</f>
        <v>5586140.2910861624</v>
      </c>
      <c r="AZ100" s="8">
        <f>+MINVU_Mes_Corriente!AZ100*SALUD_Mes_Constante!$AP$1</f>
        <v>6428238.8708237521</v>
      </c>
      <c r="BA100" s="8">
        <f>+MINVU_Mes_Corriente!BA100*SALUD_Mes_Constante!$AP$1</f>
        <v>7761170.9679426476</v>
      </c>
      <c r="BB100" s="9">
        <f t="shared" si="41"/>
        <v>7761170.9679426476</v>
      </c>
      <c r="BC100" s="8">
        <f>+MINVU_Mes_Corriente!BC100*SALUD_Mes_Constante!$BC$1</f>
        <v>0</v>
      </c>
      <c r="BD100" s="8">
        <f>+MINVU_Mes_Corriente!BD100*SALUD_Mes_Constante!$BC$1</f>
        <v>0</v>
      </c>
      <c r="BE100" s="8">
        <f>+MINVU_Mes_Corriente!BE100*SALUD_Mes_Constante!$BC$1</f>
        <v>126603.56613477519</v>
      </c>
      <c r="BF100" s="8">
        <f>+MINVU_Mes_Corriente!BF100*SALUD_Mes_Constante!$BC$1</f>
        <v>126603.56613477519</v>
      </c>
      <c r="BG100" s="8">
        <f>+MINVU_Mes_Corriente!BG100*SALUD_Mes_Constante!$BC$1</f>
        <v>1157540.755110115</v>
      </c>
      <c r="BH100" s="8">
        <f>+MINVU_Mes_Corriente!BH100*SALUD_Mes_Constante!$BC$1</f>
        <v>1586059.5413424771</v>
      </c>
      <c r="BI100" s="8">
        <f>+MINVU_Mes_Corriente!BI100*SALUD_Mes_Constante!$BC$1</f>
        <v>3012109.3039694061</v>
      </c>
      <c r="BJ100" s="8">
        <f>+MINVU_Mes_Corriente!BJ100*SALUD_Mes_Constante!$BC$1</f>
        <v>3487974.5704866159</v>
      </c>
      <c r="BK100" s="8">
        <f>+MINVU_Mes_Corriente!BK100*SALUD_Mes_Constante!$BC$1</f>
        <v>3742517.3749175798</v>
      </c>
      <c r="BL100" s="8">
        <f>+MINVU_Mes_Corriente!BL100*SALUD_Mes_Constante!$BC$1</f>
        <v>4381063.7644731645</v>
      </c>
      <c r="BM100" s="8">
        <f>+MINVU_Mes_Corriente!BM100*SALUD_Mes_Constante!$BC$1</f>
        <v>5116241.0639588563</v>
      </c>
      <c r="BN100" s="8">
        <f>+MINVU_Mes_Corriente!BN100*SALUD_Mes_Constante!$BC$1</f>
        <v>5938582.859026772</v>
      </c>
      <c r="BO100" s="9">
        <f t="shared" si="42"/>
        <v>5938582.859026772</v>
      </c>
      <c r="BP100" s="8">
        <f>+MINVU_Mes_Corriente!BP100*SALUD_Mes_Constante!$BP$1</f>
        <v>0</v>
      </c>
      <c r="BQ100" s="8">
        <f>+MINVU_Mes_Corriente!BQ100*SALUD_Mes_Constante!$BP$1</f>
        <v>386703.45633802819</v>
      </c>
      <c r="BR100" s="8">
        <f>+MINVU_Mes_Corriente!BR100*SALUD_Mes_Constante!$BP$1</f>
        <v>675652.08860435348</v>
      </c>
      <c r="BS100" s="8">
        <f>+MINVU_Mes_Corriente!BS100*SALUD_Mes_Constante!$BP$1</f>
        <v>2128292.4676056341</v>
      </c>
      <c r="BT100" s="8">
        <f>+MINVU_Mes_Corriente!BT100*SALUD_Mes_Constante!$BP$1</f>
        <v>2679448.3121638927</v>
      </c>
      <c r="BU100" s="8">
        <f>+MINVU_Mes_Corriente!BU100*SALUD_Mes_Constante!$BP$1</f>
        <v>3264259.3144686301</v>
      </c>
      <c r="BV100" s="8">
        <f>+MINVU_Mes_Corriente!BV100*SALUD_Mes_Constante!$BP$1</f>
        <v>3498091.1032010247</v>
      </c>
      <c r="BW100" s="8">
        <f>+MINVU_Mes_Corriente!BW100*SALUD_Mes_Constante!$BP$1</f>
        <v>3894594.3841229198</v>
      </c>
      <c r="BX100" s="8">
        <f>+MINVU_Mes_Corriente!BX100*SALUD_Mes_Constante!$BP$1</f>
        <v>4087111.6233034576</v>
      </c>
      <c r="BY100" s="8">
        <f>+MINVU_Mes_Corriente!BY100*SALUD_Mes_Constante!$BP$1</f>
        <v>5679250.8614596678</v>
      </c>
      <c r="BZ100" s="8">
        <f>+MINVU_Mes_Corriente!BZ100*SALUD_Mes_Constante!$BP$1</f>
        <v>6234378.397951345</v>
      </c>
      <c r="CA100" s="8">
        <f>+MINVU_Mes_Corriente!CA100*SALUD_Mes_Constante!$BP$1</f>
        <v>8233446.0837387973</v>
      </c>
      <c r="CB100" s="9">
        <f t="shared" si="43"/>
        <v>8233446.0837387973</v>
      </c>
      <c r="CC100" s="8">
        <f>+MINVU_Mes_Corriente!CC100*SALUD_Mes_Constante!$CC$1</f>
        <v>0</v>
      </c>
      <c r="CD100" s="8">
        <f>+MINVU_Mes_Corriente!CD100*SALUD_Mes_Constante!$CC$1</f>
        <v>1303258.6594554272</v>
      </c>
      <c r="CE100" s="8">
        <f>+MINVU_Mes_Corriente!CE100*SALUD_Mes_Constante!$CC$1</f>
        <v>1966769.6575904514</v>
      </c>
      <c r="CF100" s="8">
        <f>+MINVU_Mes_Corriente!CF100*SALUD_Mes_Constante!$CC$1</f>
        <v>2650101.7754569193</v>
      </c>
      <c r="CG100" s="8">
        <f>+MINVU_Mes_Corriente!CG100*SALUD_Mes_Constante!$CC$1</f>
        <v>2872263.7754569193</v>
      </c>
      <c r="CH100" s="8">
        <f>+MINVU_Mes_Corriente!CH100*SALUD_Mes_Constante!$CC$1</f>
        <v>3059561.1988064158</v>
      </c>
      <c r="CI100" s="8">
        <f>+MINVU_Mes_Corriente!CI100*SALUD_Mes_Constante!$CC$1</f>
        <v>3140876.5580007462</v>
      </c>
      <c r="CJ100" s="8">
        <f>+MINVU_Mes_Corriente!CJ100*SALUD_Mes_Constante!$CC$1</f>
        <v>3211837.8239462888</v>
      </c>
      <c r="CK100" s="8">
        <f>+MINVU_Mes_Corriente!CK100*SALUD_Mes_Constante!$CC$1</f>
        <v>3292984.735546438</v>
      </c>
      <c r="CL100" s="8">
        <f>+MINVU_Mes_Corriente!CL100*SALUD_Mes_Constante!$CC$1</f>
        <v>3588174.2014173819</v>
      </c>
      <c r="CM100" s="8">
        <f>+MINVU_Mes_Corriente!CM100*SALUD_Mes_Constante!$CC$1</f>
        <v>4164269.0488623651</v>
      </c>
      <c r="CN100" s="8">
        <f>+MINVU_Mes_Corriente!CN100*SALUD_Mes_Constante!$CC$1</f>
        <v>7502344.7601641184</v>
      </c>
      <c r="CO100" s="9">
        <f t="shared" si="44"/>
        <v>7502344.7601641184</v>
      </c>
      <c r="CP100" s="8">
        <f>+MINVU_Mes_Corriente!CP100*SALUD_Mes_Constante!$CP$1</f>
        <v>0</v>
      </c>
      <c r="CQ100" s="8">
        <f>+MINVU_Mes_Corriente!CQ100*SALUD_Mes_Constante!$CP$1</f>
        <v>45786.531090487231</v>
      </c>
      <c r="CR100" s="8">
        <f>+MINVU_Mes_Corriente!CR100*SALUD_Mes_Constante!$CP$1</f>
        <v>280753.83689095121</v>
      </c>
      <c r="CS100" s="8">
        <f>+MINVU_Mes_Corriente!CS100*SALUD_Mes_Constante!$CP$1</f>
        <v>343764.66194895585</v>
      </c>
      <c r="CT100" s="8">
        <f>+MINVU_Mes_Corriente!CT100*SALUD_Mes_Constante!$CP$1</f>
        <v>423505.44918793492</v>
      </c>
      <c r="CU100" s="8">
        <f>+MINVU_Mes_Corriente!CU100*SALUD_Mes_Constante!$CP$1</f>
        <v>450669.61461716925</v>
      </c>
      <c r="CV100" s="8">
        <f>+MINVU_Mes_Corriente!CV100*SALUD_Mes_Constante!$CP$1</f>
        <v>598441.86334106722</v>
      </c>
      <c r="CW100" s="8">
        <f>+MINVU_Mes_Corriente!CW100*SALUD_Mes_Constante!$CP$1</f>
        <v>670436.85174013907</v>
      </c>
      <c r="CX100" s="8">
        <f>+MINVU_Mes_Corriente!CX100*SALUD_Mes_Constante!$CP$1</f>
        <v>895777.36287702993</v>
      </c>
      <c r="CY100" s="8">
        <f>+MINVU_Mes_Corriente!CY100*SALUD_Mes_Constante!$CP$1</f>
        <v>1173779.419489559</v>
      </c>
      <c r="CZ100" s="8">
        <f>+MINVU_Mes_Corriente!CZ100*SALUD_Mes_Constante!$CP$1</f>
        <v>1432207.2048723896</v>
      </c>
      <c r="DA100" s="8">
        <f>+MINVU_Mes_Corriente!DA100*SALUD_Mes_Constante!$CP$1</f>
        <v>1712658.105104408</v>
      </c>
      <c r="DB100" s="9">
        <f t="shared" si="45"/>
        <v>1712658.105104408</v>
      </c>
      <c r="DC100" s="8">
        <f>+MINVU_Mes_Corriente!DC100*SALUD_Mes_Constante!$DC$1</f>
        <v>0</v>
      </c>
      <c r="DD100" s="8">
        <f>+MINVU_Mes_Corriente!DD100*SALUD_Mes_Constante!$DC$1</f>
        <v>0</v>
      </c>
      <c r="DE100" s="8">
        <f>+MINVU_Mes_Corriente!DE100*SALUD_Mes_Constante!$DC$1</f>
        <v>23790.828309844677</v>
      </c>
      <c r="DF100" s="8">
        <f>+MINVU_Mes_Corriente!DF100*SALUD_Mes_Constante!$DC$1</f>
        <v>32282.334327744076</v>
      </c>
      <c r="DG100" s="8">
        <f>+MINVU_Mes_Corriente!DG100*SALUD_Mes_Constante!$DC$1</f>
        <v>32844.313547988902</v>
      </c>
      <c r="DH100" s="8">
        <f>+MINVU_Mes_Corriente!DH100*SALUD_Mes_Constante!$DC$1</f>
        <v>36216.188869457888</v>
      </c>
      <c r="DI100" s="8">
        <f>+MINVU_Mes_Corriente!DI100*SALUD_Mes_Constante!$DC$1</f>
        <v>36216.188869457888</v>
      </c>
      <c r="DJ100" s="8">
        <f>+MINVU_Mes_Corriente!DJ100*SALUD_Mes_Constante!$DC$1</f>
        <v>36216.188869457888</v>
      </c>
      <c r="DK100" s="8">
        <f>+MINVU_Mes_Corriente!DK100*SALUD_Mes_Constante!$DC$1</f>
        <v>36216.188869457888</v>
      </c>
      <c r="DL100" s="8">
        <f>+MINVU_Mes_Corriente!DL100*SALUD_Mes_Constante!$DC$1</f>
        <v>36216.188869457888</v>
      </c>
      <c r="DM100" s="8">
        <f>+MINVU_Mes_Corriente!DM100*SALUD_Mes_Constante!$DC$1</f>
        <v>136450.80259232596</v>
      </c>
      <c r="DN100" s="8">
        <f>+MINVU_Mes_Corriente!DN100*SALUD_Mes_Constante!$DC$1</f>
        <v>899290.38782018353</v>
      </c>
      <c r="DO100" s="9">
        <f t="shared" si="46"/>
        <v>899290.38782018353</v>
      </c>
      <c r="DP100" s="8">
        <f>+MINVU_Mes_Corriente!DP100*SALUD_Mes_Constante!$DP$1</f>
        <v>0</v>
      </c>
      <c r="DQ100" s="8">
        <f>+MINVU_Mes_Corriente!DQ100*SALUD_Mes_Constante!$DP$1</f>
        <v>593427.56650831364</v>
      </c>
      <c r="DR100" s="8">
        <f>+MINVU_Mes_Corriente!DR100*SALUD_Mes_Constante!$DP$1</f>
        <v>1258809.5041567697</v>
      </c>
      <c r="DS100" s="8">
        <f>+MINVU_Mes_Corriente!DS100*SALUD_Mes_Constante!$DP$1</f>
        <v>1780908.8034441806</v>
      </c>
      <c r="DT100" s="8">
        <f>+MINVU_Mes_Corriente!DT100*SALUD_Mes_Constante!$DP$1</f>
        <v>2465726.9964370551</v>
      </c>
      <c r="DU100" s="8">
        <f>+MINVU_Mes_Corriente!DU100*SALUD_Mes_Constante!$DP$1</f>
        <v>3281331.7019002377</v>
      </c>
      <c r="DV100" s="8">
        <f>+MINVU_Mes_Corriente!DV100*SALUD_Mes_Constante!$DP$1</f>
        <v>3476317.1152019007</v>
      </c>
      <c r="DW100" s="8">
        <f>+MINVU_Mes_Corriente!DW100*SALUD_Mes_Constante!$DP$1</f>
        <v>4234004.5047505945</v>
      </c>
      <c r="DX100" s="8">
        <f>+MINVU_Mes_Corriente!DX100*SALUD_Mes_Constante!$DP$1</f>
        <v>4461505.1490498818</v>
      </c>
      <c r="DY100" s="8">
        <f>+MINVU_Mes_Corriente!DY100*SALUD_Mes_Constante!$DP$1</f>
        <v>4518149.7114014253</v>
      </c>
      <c r="DZ100" s="8">
        <f>+MINVU_Mes_Corriente!DZ100*SALUD_Mes_Constante!$DP$1</f>
        <v>4665768.5789786223</v>
      </c>
      <c r="EA100" s="8">
        <f>+MINVU_Mes_Corriente!EA100*SALUD_Mes_Constante!$DP$1</f>
        <v>5739461.1057007136</v>
      </c>
      <c r="EB100" s="9">
        <f t="shared" si="47"/>
        <v>5739461.1057007136</v>
      </c>
      <c r="EC100" s="8">
        <f>+MINVU_Mes_Corriente!EC100*SALUD_Mes_Constante!$EC$1</f>
        <v>0</v>
      </c>
      <c r="ED100" s="8">
        <f>+MINVU_Mes_Corriente!ED100*SALUD_Mes_Constante!$EC$1</f>
        <v>521135.64893012668</v>
      </c>
      <c r="EE100" s="8">
        <f>+MINVU_Mes_Corriente!EE100*SALUD_Mes_Constante!$EC$1</f>
        <v>712017.89642113214</v>
      </c>
      <c r="EF100" s="8">
        <f>+MINVU_Mes_Corriente!EF100*SALUD_Mes_Constante!$EC$1</f>
        <v>1658570.3171747769</v>
      </c>
      <c r="EG100" s="8">
        <f>+MINVU_Mes_Corriente!EG100*SALUD_Mes_Constante!$EC$1</f>
        <v>1771668.1755349359</v>
      </c>
      <c r="EH100" s="8">
        <f>+MINVU_Mes_Corriente!EH100*SALUD_Mes_Constante!$EC$1</f>
        <v>1946675.5512213591</v>
      </c>
      <c r="EI100" s="8">
        <f>+MINVU_Mes_Corriente!EI100*SALUD_Mes_Constante!$EC$1</f>
        <v>2053592.4921416391</v>
      </c>
      <c r="EJ100" s="8">
        <f>+MINVU_Mes_Corriente!EJ100*SALUD_Mes_Constante!$EC$1</f>
        <v>2275077.2635864411</v>
      </c>
      <c r="EK100" s="8">
        <f>+MINVU_Mes_Corriente!EK100*SALUD_Mes_Constante!$EC$1</f>
        <v>2535881.9801174011</v>
      </c>
      <c r="EL100" s="8">
        <f>+MINVU_Mes_Corriente!EL100*SALUD_Mes_Constante!$EC$1</f>
        <v>3054822.4982010974</v>
      </c>
      <c r="EM100" s="8">
        <f>+MINVU_Mes_Corriente!EM100*SALUD_Mes_Constante!$EC$1</f>
        <v>3132306.8930126862</v>
      </c>
      <c r="EN100" s="8">
        <f>+MINVU_Mes_Corriente!EN100*SALUD_Mes_Constante!$EC$1</f>
        <v>3329710.3963264525</v>
      </c>
      <c r="EO100" s="9">
        <f t="shared" si="48"/>
        <v>3329710.3963264525</v>
      </c>
      <c r="EP100" s="8">
        <f>+MINVU_Mes_Corriente!EP100*SALUD_Mes_Constante!$EP$1</f>
        <v>0</v>
      </c>
      <c r="EQ100" s="8">
        <f>+MINVU_Mes_Corriente!EQ100*SALUD_Mes_Constante!$EP$1</f>
        <v>55836</v>
      </c>
      <c r="ER100" s="8">
        <f>+MINVU_Mes_Corriente!ER100*SALUD_Mes_Constante!$EP$1</f>
        <v>98483</v>
      </c>
      <c r="ES100" s="8">
        <f>+MINVU_Mes_Corriente!ES100*SALUD_Mes_Constante!$EP$1</f>
        <v>142398</v>
      </c>
      <c r="ET100" s="8">
        <f>+MINVU_Mes_Corriente!ET100*SALUD_Mes_Constante!$EP$1</f>
        <v>397239</v>
      </c>
      <c r="EU100" s="8">
        <f>+MINVU_Mes_Corriente!EU100*SALUD_Mes_Constante!$EP$1</f>
        <v>624493</v>
      </c>
      <c r="EV100" s="8">
        <f>+MINVU_Mes_Corriente!EV100*SALUD_Mes_Constante!$EP$1</f>
        <v>700463</v>
      </c>
      <c r="EW100" s="8">
        <f>+MINVU_Mes_Corriente!EW100*SALUD_Mes_Constante!$EP$1</f>
        <v>720979</v>
      </c>
      <c r="EX100" s="8">
        <f>+MINVU_Mes_Corriente!EX100*SALUD_Mes_Constante!$EP$1</f>
        <v>731904</v>
      </c>
      <c r="EY100" s="8">
        <f>+MINVU_Mes_Corriente!EY100*SALUD_Mes_Constante!$EP$1</f>
        <v>849996</v>
      </c>
      <c r="EZ100" s="8">
        <f>+MINVU_Mes_Corriente!EZ100*SALUD_Mes_Constante!$EP$1</f>
        <v>1186248</v>
      </c>
      <c r="FA100" s="8">
        <f>+MINVU_Mes_Corriente!FA100*SALUD_Mes_Constante!$EP$1</f>
        <v>1284095</v>
      </c>
      <c r="FB100" s="9">
        <f t="shared" si="49"/>
        <v>1284095</v>
      </c>
      <c r="FC100" s="8">
        <f>+MINVU_Mes_Corriente!FC100*SALUD_Mes_Constante!$FC$1</f>
        <v>0</v>
      </c>
      <c r="FD100" s="8">
        <f>+MINVU_Mes_Corriente!FD100*SALUD_Mes_Constante!$FC$1</f>
        <v>0</v>
      </c>
      <c r="FE100" s="8">
        <f>+MINVU_Mes_Corriente!FE100*SALUD_Mes_Constante!$FC$1</f>
        <v>0</v>
      </c>
      <c r="FF100" s="8">
        <f>+MINVU_Mes_Corriente!FF100*SALUD_Mes_Constante!$FC$1</f>
        <v>0</v>
      </c>
      <c r="FG100" s="8">
        <f>+MINVU_Mes_Corriente!FG100*SALUD_Mes_Constante!$FC$1</f>
        <v>0</v>
      </c>
      <c r="FH100" s="8">
        <f>+MINVU_Mes_Corriente!FH100*SALUD_Mes_Constante!$FC$1</f>
        <v>0</v>
      </c>
      <c r="FI100" s="8">
        <f>+MINVU_Mes_Corriente!FI100*SALUD_Mes_Constante!$FC$1</f>
        <v>0</v>
      </c>
      <c r="FJ100" s="8"/>
      <c r="FK100" s="8"/>
      <c r="FL100" s="8"/>
      <c r="FM100" s="8"/>
      <c r="FN100" s="8"/>
      <c r="FO100" s="9">
        <f t="shared" si="50"/>
        <v>0</v>
      </c>
    </row>
    <row r="101" spans="2:171" ht="14.25" customHeight="1" x14ac:dyDescent="0.3">
      <c r="B101" s="31" t="s">
        <v>64</v>
      </c>
      <c r="C101" s="8">
        <f>+MINVU_Mes_Corriente!C101*SALUD_Mes_Constante!$C$1</f>
        <v>0</v>
      </c>
      <c r="D101" s="8">
        <f>+MINVU_Mes_Corriente!D101*SALUD_Mes_Constante!$C$1</f>
        <v>49125.681150823082</v>
      </c>
      <c r="E101" s="8">
        <f>+MINVU_Mes_Corriente!E101*SALUD_Mes_Constante!$C$1</f>
        <v>313530.66824855411</v>
      </c>
      <c r="F101" s="8">
        <f>+MINVU_Mes_Corriente!F101*SALUD_Mes_Constante!$C$1</f>
        <v>577904.86875278072</v>
      </c>
      <c r="G101" s="8">
        <f>+MINVU_Mes_Corriente!G101*SALUD_Mes_Constante!$C$1</f>
        <v>736394.25211330282</v>
      </c>
      <c r="H101" s="8">
        <f>+MINVU_Mes_Corriente!H101*SALUD_Mes_Constante!$C$1</f>
        <v>994445.85851994681</v>
      </c>
      <c r="I101" s="8">
        <f>+MINVU_Mes_Corriente!I101*SALUD_Mes_Constante!$C$1</f>
        <v>1284884.961293193</v>
      </c>
      <c r="J101" s="8">
        <f>+MINVU_Mes_Corriente!J101*SALUD_Mes_Constante!$C$1</f>
        <v>1653006.74121311</v>
      </c>
      <c r="K101" s="8">
        <f>+MINVU_Mes_Corriente!K101*SALUD_Mes_Constante!$C$1</f>
        <v>1831909.2564140593</v>
      </c>
      <c r="L101" s="8">
        <f>+MINVU_Mes_Corriente!L101*SALUD_Mes_Constante!$C$1</f>
        <v>2021353.749369717</v>
      </c>
      <c r="M101" s="8">
        <f>+MINVU_Mes_Corriente!M101*SALUD_Mes_Constante!$C$1</f>
        <v>2079318.4235503487</v>
      </c>
      <c r="N101" s="8">
        <f>+MINVU_Mes_Corriente!N101*SALUD_Mes_Constante!$C$1</f>
        <v>2832736.0415245444</v>
      </c>
      <c r="O101" s="9">
        <f t="shared" si="38"/>
        <v>2832736.0415245444</v>
      </c>
      <c r="P101" s="8">
        <f>+MINVU_Mes_Corriente!P101*SALUD_Mes_Constante!$P$1</f>
        <v>0</v>
      </c>
      <c r="Q101" s="8">
        <f>+MINVU_Mes_Corriente!Q101*SALUD_Mes_Constante!$P$1</f>
        <v>0</v>
      </c>
      <c r="R101" s="8">
        <f>+MINVU_Mes_Corriente!R101*SALUD_Mes_Constante!$P$1</f>
        <v>0</v>
      </c>
      <c r="S101" s="8">
        <f>+MINVU_Mes_Corriente!S101*SALUD_Mes_Constante!$P$1</f>
        <v>69199.034806080381</v>
      </c>
      <c r="T101" s="8">
        <f>+MINVU_Mes_Corriente!T101*SALUD_Mes_Constante!$P$1</f>
        <v>70198.657479755624</v>
      </c>
      <c r="U101" s="8">
        <f>+MINVU_Mes_Corriente!U101*SALUD_Mes_Constante!$P$1</f>
        <v>250686.42960647811</v>
      </c>
      <c r="V101" s="8">
        <f>+MINVU_Mes_Corriente!V101*SALUD_Mes_Constante!$P$1</f>
        <v>306125.13055831782</v>
      </c>
      <c r="W101" s="8">
        <f>+MINVU_Mes_Corriente!W101*SALUD_Mes_Constante!$P$1</f>
        <v>313046.43102713441</v>
      </c>
      <c r="X101" s="8">
        <f>+MINVU_Mes_Corriente!X101*SALUD_Mes_Constante!$P$1</f>
        <v>313518.30259980098</v>
      </c>
      <c r="Y101" s="8">
        <f>+MINVU_Mes_Corriente!Y101*SALUD_Mes_Constante!$P$1</f>
        <v>361636.78533882642</v>
      </c>
      <c r="Z101" s="8">
        <f>+MINVU_Mes_Corriente!Z101*SALUD_Mes_Constante!$P$1</f>
        <v>386777.91646540689</v>
      </c>
      <c r="AA101" s="8">
        <f>+MINVU_Mes_Corriente!AA101*SALUD_Mes_Constante!$P$1</f>
        <v>6880269.3729222873</v>
      </c>
      <c r="AB101" s="9">
        <f t="shared" si="39"/>
        <v>6880269.3729222873</v>
      </c>
      <c r="AC101" s="8">
        <f>+MINVU_Mes_Corriente!AC101*SALUD_Mes_Constante!$AC$1</f>
        <v>0</v>
      </c>
      <c r="AD101" s="8">
        <f>+MINVU_Mes_Corriente!AD101*SALUD_Mes_Constante!$AC$1</f>
        <v>0</v>
      </c>
      <c r="AE101" s="8">
        <f>+MINVU_Mes_Corriente!AE101*SALUD_Mes_Constante!$AC$1</f>
        <v>215742.02406971919</v>
      </c>
      <c r="AF101" s="8">
        <f>+MINVU_Mes_Corriente!AF101*SALUD_Mes_Constante!$AC$1</f>
        <v>494591.56010513211</v>
      </c>
      <c r="AG101" s="8">
        <f>+MINVU_Mes_Corriente!AG101*SALUD_Mes_Constante!$AC$1</f>
        <v>852388.2097108867</v>
      </c>
      <c r="AH101" s="8">
        <f>+MINVU_Mes_Corriente!AH101*SALUD_Mes_Constante!$AC$1</f>
        <v>1315099.548761931</v>
      </c>
      <c r="AI101" s="8">
        <f>+MINVU_Mes_Corriente!AI101*SALUD_Mes_Constante!$AC$1</f>
        <v>1727834.5264905242</v>
      </c>
      <c r="AJ101" s="8">
        <f>+MINVU_Mes_Corriente!AJ101*SALUD_Mes_Constante!$AC$1</f>
        <v>2538241.7462996263</v>
      </c>
      <c r="AK101" s="8">
        <f>+MINVU_Mes_Corriente!AK101*SALUD_Mes_Constante!$AC$1</f>
        <v>3292035.9930834142</v>
      </c>
      <c r="AL101" s="8">
        <f>+MINVU_Mes_Corriente!AL101*SALUD_Mes_Constante!$AC$1</f>
        <v>3797361.6038179556</v>
      </c>
      <c r="AM101" s="8">
        <f>+MINVU_Mes_Corriente!AM101*SALUD_Mes_Constante!$AC$1</f>
        <v>4906559.934430765</v>
      </c>
      <c r="AN101" s="8">
        <f>+MINVU_Mes_Corriente!AN101*SALUD_Mes_Constante!$AC$1</f>
        <v>7945614.214137502</v>
      </c>
      <c r="AO101" s="9">
        <f t="shared" si="40"/>
        <v>7945614.214137502</v>
      </c>
      <c r="AP101" s="8">
        <f>+MINVU_Mes_Corriente!AP101*SALUD_Mes_Constante!$AP$1</f>
        <v>0</v>
      </c>
      <c r="AQ101" s="8">
        <f>+MINVU_Mes_Corriente!AQ101*SALUD_Mes_Constante!$AP$1</f>
        <v>0</v>
      </c>
      <c r="AR101" s="8">
        <f>+MINVU_Mes_Corriente!AR101*SALUD_Mes_Constante!$AP$1</f>
        <v>1715679.0547815501</v>
      </c>
      <c r="AS101" s="8">
        <f>+MINVU_Mes_Corriente!AS101*SALUD_Mes_Constante!$AP$1</f>
        <v>2810296.3671040172</v>
      </c>
      <c r="AT101" s="8">
        <f>+MINVU_Mes_Corriente!AT101*SALUD_Mes_Constante!$AP$1</f>
        <v>3660625.2855403759</v>
      </c>
      <c r="AU101" s="8">
        <f>+MINVU_Mes_Corriente!AU101*SALUD_Mes_Constante!$AP$1</f>
        <v>4404222.8643311234</v>
      </c>
      <c r="AV101" s="8">
        <f>+MINVU_Mes_Corriente!AV101*SALUD_Mes_Constante!$AP$1</f>
        <v>5906749.5955633707</v>
      </c>
      <c r="AW101" s="8">
        <f>+MINVU_Mes_Corriente!AW101*SALUD_Mes_Constante!$AP$1</f>
        <v>6961155.1489246581</v>
      </c>
      <c r="AX101" s="8">
        <f>+MINVU_Mes_Corriente!AX101*SALUD_Mes_Constante!$AP$1</f>
        <v>7765935.6675233319</v>
      </c>
      <c r="AY101" s="8">
        <f>+MINVU_Mes_Corriente!AY101*SALUD_Mes_Constante!$AP$1</f>
        <v>9438294.9722710662</v>
      </c>
      <c r="AZ101" s="8">
        <f>+MINVU_Mes_Corriente!AZ101*SALUD_Mes_Constante!$AP$1</f>
        <v>9855441.1692141201</v>
      </c>
      <c r="BA101" s="8">
        <f>+MINVU_Mes_Corriente!BA101*SALUD_Mes_Constante!$AP$1</f>
        <v>13189241.168132016</v>
      </c>
      <c r="BB101" s="9">
        <f t="shared" si="41"/>
        <v>13189241.168132016</v>
      </c>
      <c r="BC101" s="8">
        <f>+MINVU_Mes_Corriente!BC101*SALUD_Mes_Constante!$BC$1</f>
        <v>0</v>
      </c>
      <c r="BD101" s="8">
        <f>+MINVU_Mes_Corriente!BD101*SALUD_Mes_Constante!$BC$1</f>
        <v>0</v>
      </c>
      <c r="BE101" s="8">
        <f>+MINVU_Mes_Corriente!BE101*SALUD_Mes_Constante!$BC$1</f>
        <v>0</v>
      </c>
      <c r="BF101" s="8">
        <f>+MINVU_Mes_Corriente!BF101*SALUD_Mes_Constante!$BC$1</f>
        <v>0</v>
      </c>
      <c r="BG101" s="8">
        <f>+MINVU_Mes_Corriente!BG101*SALUD_Mes_Constante!$BC$1</f>
        <v>252292.18963470927</v>
      </c>
      <c r="BH101" s="8">
        <f>+MINVU_Mes_Corriente!BH101*SALUD_Mes_Constante!$BC$1</f>
        <v>785676.36951074796</v>
      </c>
      <c r="BI101" s="8">
        <f>+MINVU_Mes_Corriente!BI101*SALUD_Mes_Constante!$BC$1</f>
        <v>836024.14980878297</v>
      </c>
      <c r="BJ101" s="8">
        <f>+MINVU_Mes_Corriente!BJ101*SALUD_Mes_Constante!$BC$1</f>
        <v>1009384.8867202956</v>
      </c>
      <c r="BK101" s="8">
        <f>+MINVU_Mes_Corriente!BK101*SALUD_Mes_Constante!$BC$1</f>
        <v>1152111.6151918769</v>
      </c>
      <c r="BL101" s="8">
        <f>+MINVU_Mes_Corriente!BL101*SALUD_Mes_Constante!$BC$1</f>
        <v>1305333.528155084</v>
      </c>
      <c r="BM101" s="8">
        <f>+MINVU_Mes_Corriente!BM101*SALUD_Mes_Constante!$BC$1</f>
        <v>1391745.8976658317</v>
      </c>
      <c r="BN101" s="8">
        <f>+MINVU_Mes_Corriente!BN101*SALUD_Mes_Constante!$BC$1</f>
        <v>1546995.09297112</v>
      </c>
      <c r="BO101" s="9">
        <f t="shared" si="42"/>
        <v>1546995.09297112</v>
      </c>
      <c r="BP101" s="8">
        <f>+MINVU_Mes_Corriente!BP101*SALUD_Mes_Constante!$BP$1</f>
        <v>0</v>
      </c>
      <c r="BQ101" s="8">
        <f>+MINVU_Mes_Corriente!BQ101*SALUD_Mes_Constante!$BP$1</f>
        <v>0</v>
      </c>
      <c r="BR101" s="8">
        <f>+MINVU_Mes_Corriente!BR101*SALUD_Mes_Constante!$BP$1</f>
        <v>0</v>
      </c>
      <c r="BS101" s="8">
        <f>+MINVU_Mes_Corriente!BS101*SALUD_Mes_Constante!$BP$1</f>
        <v>0</v>
      </c>
      <c r="BT101" s="8">
        <f>+MINVU_Mes_Corriente!BT101*SALUD_Mes_Constante!$BP$1</f>
        <v>159523.79692701666</v>
      </c>
      <c r="BU101" s="8">
        <f>+MINVU_Mes_Corriente!BU101*SALUD_Mes_Constante!$BP$1</f>
        <v>259409.26094750324</v>
      </c>
      <c r="BV101" s="8">
        <f>+MINVU_Mes_Corriente!BV101*SALUD_Mes_Constante!$BP$1</f>
        <v>341152.80845070427</v>
      </c>
      <c r="BW101" s="8">
        <f>+MINVU_Mes_Corriente!BW101*SALUD_Mes_Constante!$BP$1</f>
        <v>427003.74852752883</v>
      </c>
      <c r="BX101" s="8">
        <f>+MINVU_Mes_Corriente!BX101*SALUD_Mes_Constante!$BP$1</f>
        <v>507442.0517285532</v>
      </c>
      <c r="BY101" s="8">
        <f>+MINVU_Mes_Corriente!BY101*SALUD_Mes_Constante!$BP$1</f>
        <v>574290.70524967997</v>
      </c>
      <c r="BZ101" s="8">
        <f>+MINVU_Mes_Corriente!BZ101*SALUD_Mes_Constante!$BP$1</f>
        <v>635728.12087067869</v>
      </c>
      <c r="CA101" s="8">
        <f>+MINVU_Mes_Corriente!CA101*SALUD_Mes_Constante!$BP$1</f>
        <v>930048.81971830991</v>
      </c>
      <c r="CB101" s="9">
        <f t="shared" si="43"/>
        <v>930048.81971830991</v>
      </c>
      <c r="CC101" s="8">
        <f>+MINVU_Mes_Corriente!CC101*SALUD_Mes_Constante!$CC$1</f>
        <v>0</v>
      </c>
      <c r="CD101" s="8">
        <f>+MINVU_Mes_Corriente!CD101*SALUD_Mes_Constante!$CC$1</f>
        <v>0</v>
      </c>
      <c r="CE101" s="8">
        <f>+MINVU_Mes_Corriente!CE101*SALUD_Mes_Constante!$CC$1</f>
        <v>0</v>
      </c>
      <c r="CF101" s="8">
        <f>+MINVU_Mes_Corriente!CF101*SALUD_Mes_Constante!$CC$1</f>
        <v>0</v>
      </c>
      <c r="CG101" s="8">
        <f>+MINVU_Mes_Corriente!CG101*SALUD_Mes_Constante!$CC$1</f>
        <v>104448.37597911229</v>
      </c>
      <c r="CH101" s="8">
        <f>+MINVU_Mes_Corriente!CH101*SALUD_Mes_Constante!$CC$1</f>
        <v>120816.32002983963</v>
      </c>
      <c r="CI101" s="8">
        <f>+MINVU_Mes_Corriente!CI101*SALUD_Mes_Constante!$CC$1</f>
        <v>822177.76426706463</v>
      </c>
      <c r="CJ101" s="8">
        <f>+MINVU_Mes_Corriente!CJ101*SALUD_Mes_Constante!$CC$1</f>
        <v>927505.05632226786</v>
      </c>
      <c r="CK101" s="8">
        <f>+MINVU_Mes_Corriente!CK101*SALUD_Mes_Constante!$CC$1</f>
        <v>1109179.8619917943</v>
      </c>
      <c r="CL101" s="8">
        <f>+MINVU_Mes_Corriente!CL101*SALUD_Mes_Constante!$CC$1</f>
        <v>1233151.8575158524</v>
      </c>
      <c r="CM101" s="8">
        <f>+MINVU_Mes_Corriente!CM101*SALUD_Mes_Constante!$CC$1</f>
        <v>1372114.330473704</v>
      </c>
      <c r="CN101" s="8">
        <f>+MINVU_Mes_Corriente!CN101*SALUD_Mes_Constante!$CC$1</f>
        <v>1393630.7937336816</v>
      </c>
      <c r="CO101" s="9">
        <f t="shared" si="44"/>
        <v>1393630.7937336816</v>
      </c>
      <c r="CP101" s="8">
        <f>+MINVU_Mes_Corriente!CP101*SALUD_Mes_Constante!$CP$1</f>
        <v>0</v>
      </c>
      <c r="CQ101" s="8">
        <f>+MINVU_Mes_Corriente!CQ101*SALUD_Mes_Constante!$CP$1</f>
        <v>0</v>
      </c>
      <c r="CR101" s="8">
        <f>+MINVU_Mes_Corriente!CR101*SALUD_Mes_Constante!$CP$1</f>
        <v>21019.24106728538</v>
      </c>
      <c r="CS101" s="8">
        <f>+MINVU_Mes_Corriente!CS101*SALUD_Mes_Constante!$CP$1</f>
        <v>57863.436890951263</v>
      </c>
      <c r="CT101" s="8">
        <f>+MINVU_Mes_Corriente!CT101*SALUD_Mes_Constante!$CP$1</f>
        <v>276530.46890951268</v>
      </c>
      <c r="CU101" s="8">
        <f>+MINVU_Mes_Corriente!CU101*SALUD_Mes_Constante!$CP$1</f>
        <v>352605.59582366585</v>
      </c>
      <c r="CV101" s="8">
        <f>+MINVU_Mes_Corriente!CV101*SALUD_Mes_Constante!$CP$1</f>
        <v>562905.74547563796</v>
      </c>
      <c r="CW101" s="8">
        <f>+MINVU_Mes_Corriente!CW101*SALUD_Mes_Constante!$CP$1</f>
        <v>654074.46960556833</v>
      </c>
      <c r="CX101" s="8">
        <f>+MINVU_Mes_Corriente!CX101*SALUD_Mes_Constante!$CP$1</f>
        <v>809814.33271461702</v>
      </c>
      <c r="CY101" s="8">
        <f>+MINVU_Mes_Corriente!CY101*SALUD_Mes_Constante!$CP$1</f>
        <v>881192.04013921099</v>
      </c>
      <c r="CZ101" s="8">
        <f>+MINVU_Mes_Corriente!CZ101*SALUD_Mes_Constante!$CP$1</f>
        <v>1093051.2361948953</v>
      </c>
      <c r="DA101" s="8">
        <f>+MINVU_Mes_Corriente!DA101*SALUD_Mes_Constante!$CP$1</f>
        <v>1522138.8320185612</v>
      </c>
      <c r="DB101" s="9">
        <f t="shared" si="45"/>
        <v>1522138.8320185612</v>
      </c>
      <c r="DC101" s="8">
        <f>+MINVU_Mes_Corriente!DC101*SALUD_Mes_Constante!$DC$1</f>
        <v>0</v>
      </c>
      <c r="DD101" s="8">
        <f>+MINVU_Mes_Corriente!DD101*SALUD_Mes_Constante!$DC$1</f>
        <v>0</v>
      </c>
      <c r="DE101" s="8">
        <f>+MINVU_Mes_Corriente!DE101*SALUD_Mes_Constante!$DC$1</f>
        <v>7923.907005452118</v>
      </c>
      <c r="DF101" s="8">
        <f>+MINVU_Mes_Corriente!DF101*SALUD_Mes_Constante!$DC$1</f>
        <v>601626.85423310392</v>
      </c>
      <c r="DG101" s="8">
        <f>+MINVU_Mes_Corriente!DG101*SALUD_Mes_Constante!$DC$1</f>
        <v>650113.29739738745</v>
      </c>
      <c r="DH101" s="8">
        <f>+MINVU_Mes_Corriente!DH101*SALUD_Mes_Constante!$DC$1</f>
        <v>845203.25974693999</v>
      </c>
      <c r="DI101" s="8">
        <f>+MINVU_Mes_Corriente!DI101*SALUD_Mes_Constante!$DC$1</f>
        <v>932222.37012653064</v>
      </c>
      <c r="DJ101" s="8">
        <f>+MINVU_Mes_Corriente!DJ101*SALUD_Mes_Constante!$DC$1</f>
        <v>1132258.8735726783</v>
      </c>
      <c r="DK101" s="8">
        <f>+MINVU_Mes_Corriente!DK101*SALUD_Mes_Constante!$DC$1</f>
        <v>1336250.5867709089</v>
      </c>
      <c r="DL101" s="8">
        <f>+MINVU_Mes_Corriente!DL101*SALUD_Mes_Constante!$DC$1</f>
        <v>1531241.6407776985</v>
      </c>
      <c r="DM101" s="8">
        <f>+MINVU_Mes_Corriente!DM101*SALUD_Mes_Constante!$DC$1</f>
        <v>2008693.5665055045</v>
      </c>
      <c r="DN101" s="8">
        <f>+MINVU_Mes_Corriente!DN101*SALUD_Mes_Constante!$DC$1</f>
        <v>3050652.495010803</v>
      </c>
      <c r="DO101" s="9">
        <f t="shared" si="46"/>
        <v>3050652.495010803</v>
      </c>
      <c r="DP101" s="8">
        <f>+MINVU_Mes_Corriente!DP101*SALUD_Mes_Constante!$DP$1</f>
        <v>0</v>
      </c>
      <c r="DQ101" s="8">
        <f>+MINVU_Mes_Corriente!DQ101*SALUD_Mes_Constante!$DP$1</f>
        <v>219973.33966745847</v>
      </c>
      <c r="DR101" s="8">
        <f>+MINVU_Mes_Corriente!DR101*SALUD_Mes_Constante!$DP$1</f>
        <v>327047.92339667463</v>
      </c>
      <c r="DS101" s="8">
        <f>+MINVU_Mes_Corriente!DS101*SALUD_Mes_Constante!$DP$1</f>
        <v>444433.2167458433</v>
      </c>
      <c r="DT101" s="8">
        <f>+MINVU_Mes_Corriente!DT101*SALUD_Mes_Constante!$DP$1</f>
        <v>594703.56413301674</v>
      </c>
      <c r="DU101" s="8">
        <f>+MINVU_Mes_Corriente!DU101*SALUD_Mes_Constante!$DP$1</f>
        <v>619537.93824228039</v>
      </c>
      <c r="DV101" s="8">
        <f>+MINVU_Mes_Corriente!DV101*SALUD_Mes_Constante!$DP$1</f>
        <v>752593.13123515446</v>
      </c>
      <c r="DW101" s="8">
        <f>+MINVU_Mes_Corriente!DW101*SALUD_Mes_Constante!$DP$1</f>
        <v>768384.14251781476</v>
      </c>
      <c r="DX101" s="8">
        <f>+MINVU_Mes_Corriente!DX101*SALUD_Mes_Constante!$DP$1</f>
        <v>862368.93705463188</v>
      </c>
      <c r="DY101" s="8">
        <f>+MINVU_Mes_Corriente!DY101*SALUD_Mes_Constante!$DP$1</f>
        <v>961758.33847981005</v>
      </c>
      <c r="DZ101" s="8">
        <f>+MINVU_Mes_Corriente!DZ101*SALUD_Mes_Constante!$DP$1</f>
        <v>1683323.1003562948</v>
      </c>
      <c r="EA101" s="8">
        <f>+MINVU_Mes_Corriente!EA101*SALUD_Mes_Constante!$DP$1</f>
        <v>3124588.3699524943</v>
      </c>
      <c r="EB101" s="9">
        <f t="shared" si="47"/>
        <v>3124588.3699524943</v>
      </c>
      <c r="EC101" s="8">
        <f>+MINVU_Mes_Corriente!EC101*SALUD_Mes_Constante!$EC$1</f>
        <v>0</v>
      </c>
      <c r="ED101" s="8">
        <f>+MINVU_Mes_Corriente!ED101*SALUD_Mes_Constante!$EC$1</f>
        <v>0</v>
      </c>
      <c r="EE101" s="8">
        <f>+MINVU_Mes_Corriente!EE101*SALUD_Mes_Constante!$EC$1</f>
        <v>818987.59496307489</v>
      </c>
      <c r="EF101" s="8">
        <f>+MINVU_Mes_Corriente!EF101*SALUD_Mes_Constante!$EC$1</f>
        <v>2121038.4563529626</v>
      </c>
      <c r="EG101" s="8">
        <f>+MINVU_Mes_Corriente!EG101*SALUD_Mes_Constante!$EC$1</f>
        <v>3461829.9634538903</v>
      </c>
      <c r="EH101" s="8">
        <f>+MINVU_Mes_Corriente!EH101*SALUD_Mes_Constante!$EC$1</f>
        <v>4461668.6165498942</v>
      </c>
      <c r="EI101" s="8">
        <f>+MINVU_Mes_Corriente!EI101*SALUD_Mes_Constante!$EC$1</f>
        <v>5293809.4107176652</v>
      </c>
      <c r="EJ101" s="8">
        <f>+MINVU_Mes_Corriente!EJ101*SALUD_Mes_Constante!$EC$1</f>
        <v>6016897.097519407</v>
      </c>
      <c r="EK101" s="8">
        <f>+MINVU_Mes_Corriente!EK101*SALUD_Mes_Constante!$EC$1</f>
        <v>6735677.2796818763</v>
      </c>
      <c r="EL101" s="8">
        <f>+MINVU_Mes_Corriente!EL101*SALUD_Mes_Constante!$EC$1</f>
        <v>7442339.7602726733</v>
      </c>
      <c r="EM101" s="8">
        <f>+MINVU_Mes_Corriente!EM101*SALUD_Mes_Constante!$EC$1</f>
        <v>8880161.8437795844</v>
      </c>
      <c r="EN101" s="8">
        <f>+MINVU_Mes_Corriente!EN101*SALUD_Mes_Constante!$EC$1</f>
        <v>11715700.908161329</v>
      </c>
      <c r="EO101" s="9">
        <f t="shared" si="48"/>
        <v>11715700.908161329</v>
      </c>
      <c r="EP101" s="8">
        <f>+MINVU_Mes_Corriente!EP101*SALUD_Mes_Constante!$EP$1</f>
        <v>0</v>
      </c>
      <c r="EQ101" s="8">
        <f>+MINVU_Mes_Corriente!EQ101*SALUD_Mes_Constante!$EP$1</f>
        <v>0</v>
      </c>
      <c r="ER101" s="8">
        <f>+MINVU_Mes_Corriente!ER101*SALUD_Mes_Constante!$EP$1</f>
        <v>2368036</v>
      </c>
      <c r="ES101" s="8">
        <f>+MINVU_Mes_Corriente!ES101*SALUD_Mes_Constante!$EP$1</f>
        <v>3438734</v>
      </c>
      <c r="ET101" s="8">
        <f>+MINVU_Mes_Corriente!ET101*SALUD_Mes_Constante!$EP$1</f>
        <v>3589070</v>
      </c>
      <c r="EU101" s="8">
        <f>+MINVU_Mes_Corriente!EU101*SALUD_Mes_Constante!$EP$1</f>
        <v>5842030</v>
      </c>
      <c r="EV101" s="8">
        <f>+MINVU_Mes_Corriente!EV101*SALUD_Mes_Constante!$EP$1</f>
        <v>7325496</v>
      </c>
      <c r="EW101" s="8">
        <f>+MINVU_Mes_Corriente!EW101*SALUD_Mes_Constante!$EP$1</f>
        <v>8890437</v>
      </c>
      <c r="EX101" s="8">
        <f>+MINVU_Mes_Corriente!EX101*SALUD_Mes_Constante!$EP$1</f>
        <v>10980914</v>
      </c>
      <c r="EY101" s="8">
        <f>+MINVU_Mes_Corriente!EY101*SALUD_Mes_Constante!$EP$1</f>
        <v>12947010</v>
      </c>
      <c r="EZ101" s="8">
        <f>+MINVU_Mes_Corriente!EZ101*SALUD_Mes_Constante!$EP$1</f>
        <v>13084182</v>
      </c>
      <c r="FA101" s="8">
        <f>+MINVU_Mes_Corriente!FA101*SALUD_Mes_Constante!$EP$1</f>
        <v>20235880</v>
      </c>
      <c r="FB101" s="9">
        <f t="shared" si="49"/>
        <v>20235880</v>
      </c>
      <c r="FC101" s="8">
        <f>+MINVU_Mes_Corriente!FC101*SALUD_Mes_Constante!$FC$1</f>
        <v>0</v>
      </c>
      <c r="FD101" s="8">
        <f>+MINVU_Mes_Corriente!FD101*SALUD_Mes_Constante!$FC$1</f>
        <v>4011</v>
      </c>
      <c r="FE101" s="8">
        <f>+MINVU_Mes_Corriente!FE101*SALUD_Mes_Constante!$FC$1</f>
        <v>6785</v>
      </c>
      <c r="FF101" s="8">
        <f>+MINVU_Mes_Corriente!FF101*SALUD_Mes_Constante!$FC$1</f>
        <v>2122494</v>
      </c>
      <c r="FG101" s="8">
        <f>+MINVU_Mes_Corriente!FG101*SALUD_Mes_Constante!$FC$1</f>
        <v>2566291</v>
      </c>
      <c r="FH101" s="8">
        <f>+MINVU_Mes_Corriente!FH101*SALUD_Mes_Constante!$FC$1</f>
        <v>2672649</v>
      </c>
      <c r="FI101" s="8">
        <f>+MINVU_Mes_Corriente!FI101*SALUD_Mes_Constante!$FC$1</f>
        <v>2680620</v>
      </c>
      <c r="FJ101" s="8"/>
      <c r="FK101" s="8"/>
      <c r="FL101" s="8"/>
      <c r="FM101" s="8"/>
      <c r="FN101" s="8"/>
      <c r="FO101" s="9">
        <f t="shared" si="50"/>
        <v>2680620</v>
      </c>
    </row>
    <row r="102" spans="2:171" ht="14.25" customHeight="1" x14ac:dyDescent="0.3">
      <c r="B102" s="31" t="s">
        <v>65</v>
      </c>
      <c r="C102" s="8">
        <f>+MINVU_Mes_Corriente!C102*SALUD_Mes_Constante!$C$1</f>
        <v>0</v>
      </c>
      <c r="D102" s="8">
        <f>+MINVU_Mes_Corriente!D102*SALUD_Mes_Constante!$C$1</f>
        <v>5355473.7713184049</v>
      </c>
      <c r="E102" s="8">
        <f>+MINVU_Mes_Corriente!E102*SALUD_Mes_Constante!$C$1</f>
        <v>7440575.2134064967</v>
      </c>
      <c r="F102" s="8">
        <f>+MINVU_Mes_Corriente!F102*SALUD_Mes_Constante!$C$1</f>
        <v>7919658.3577042874</v>
      </c>
      <c r="G102" s="8">
        <f>+MINVU_Mes_Corriente!G102*SALUD_Mes_Constante!$C$1</f>
        <v>10252402.29690049</v>
      </c>
      <c r="H102" s="8">
        <f>+MINVU_Mes_Corriente!H102*SALUD_Mes_Constante!$C$1</f>
        <v>15166569.694498001</v>
      </c>
      <c r="I102" s="8">
        <f>+MINVU_Mes_Corriente!I102*SALUD_Mes_Constante!$C$1</f>
        <v>16350011.209847251</v>
      </c>
      <c r="J102" s="8">
        <f>+MINVU_Mes_Corriente!J102*SALUD_Mes_Constante!$C$1</f>
        <v>16929563.97152603</v>
      </c>
      <c r="K102" s="8">
        <f>+MINVU_Mes_Corriente!K102*SALUD_Mes_Constante!$C$1</f>
        <v>18386746.913539968</v>
      </c>
      <c r="L102" s="8">
        <f>+MINVU_Mes_Corriente!L102*SALUD_Mes_Constante!$C$1</f>
        <v>19493576.801127099</v>
      </c>
      <c r="M102" s="8">
        <f>+MINVU_Mes_Corriente!M102*SALUD_Mes_Constante!$C$1</f>
        <v>23413346.950615458</v>
      </c>
      <c r="N102" s="8">
        <f>+MINVU_Mes_Corriente!N102*SALUD_Mes_Constante!$C$1</f>
        <v>36983508.625537597</v>
      </c>
      <c r="O102" s="9">
        <f t="shared" si="38"/>
        <v>36983508.625537597</v>
      </c>
      <c r="P102" s="8">
        <f>+MINVU_Mes_Corriente!P102*SALUD_Mes_Constante!$P$1</f>
        <v>0</v>
      </c>
      <c r="Q102" s="8">
        <f>+MINVU_Mes_Corriente!Q102*SALUD_Mes_Constante!$P$1</f>
        <v>0</v>
      </c>
      <c r="R102" s="8">
        <f>+MINVU_Mes_Corriente!R102*SALUD_Mes_Constante!$P$1</f>
        <v>40385.376900127842</v>
      </c>
      <c r="S102" s="8">
        <f>+MINVU_Mes_Corriente!S102*SALUD_Mes_Constante!$P$1</f>
        <v>772891.48742719111</v>
      </c>
      <c r="T102" s="8">
        <f>+MINVU_Mes_Corriente!T102*SALUD_Mes_Constante!$P$1</f>
        <v>1197810.2864043184</v>
      </c>
      <c r="U102" s="8">
        <f>+MINVU_Mes_Corriente!U102*SALUD_Mes_Constante!$P$1</f>
        <v>1610044.4324477902</v>
      </c>
      <c r="V102" s="8">
        <f>+MINVU_Mes_Corriente!V102*SALUD_Mes_Constante!$P$1</f>
        <v>1875967.3467822126</v>
      </c>
      <c r="W102" s="8">
        <f>+MINVU_Mes_Corriente!W102*SALUD_Mes_Constante!$P$1</f>
        <v>2494008.9001278579</v>
      </c>
      <c r="X102" s="8">
        <f>+MINVU_Mes_Corriente!X102*SALUD_Mes_Constante!$P$1</f>
        <v>2868321.0251456164</v>
      </c>
      <c r="Y102" s="8">
        <f>+MINVU_Mes_Corriente!Y102*SALUD_Mes_Constante!$P$1</f>
        <v>3514196.7924421071</v>
      </c>
      <c r="Z102" s="8">
        <f>+MINVU_Mes_Corriente!Z102*SALUD_Mes_Constante!$P$1</f>
        <v>4056555.7334848684</v>
      </c>
      <c r="AA102" s="8">
        <f>+MINVU_Mes_Corriente!AA102*SALUD_Mes_Constante!$P$1</f>
        <v>15981891.248472789</v>
      </c>
      <c r="AB102" s="9">
        <f t="shared" si="39"/>
        <v>15981891.248472789</v>
      </c>
      <c r="AC102" s="8">
        <f>+MINVU_Mes_Corriente!AC102*SALUD_Mes_Constante!$AC$1</f>
        <v>0</v>
      </c>
      <c r="AD102" s="8">
        <f>+MINVU_Mes_Corriente!AD102*SALUD_Mes_Constante!$AC$1</f>
        <v>0</v>
      </c>
      <c r="AE102" s="8">
        <f>+MINVU_Mes_Corriente!AE102*SALUD_Mes_Constante!$AC$1</f>
        <v>0</v>
      </c>
      <c r="AF102" s="8">
        <f>+MINVU_Mes_Corriente!AF102*SALUD_Mes_Constante!$AC$1</f>
        <v>994051.37944390648</v>
      </c>
      <c r="AG102" s="8">
        <f>+MINVU_Mes_Corriente!AG102*SALUD_Mes_Constante!$AC$1</f>
        <v>1661462.3638124221</v>
      </c>
      <c r="AH102" s="8">
        <f>+MINVU_Mes_Corriente!AH102*SALUD_Mes_Constante!$AC$1</f>
        <v>2955346.2171807997</v>
      </c>
      <c r="AI102" s="8">
        <f>+MINVU_Mes_Corriente!AI102*SALUD_Mes_Constante!$AC$1</f>
        <v>3872412.2963065431</v>
      </c>
      <c r="AJ102" s="8">
        <f>+MINVU_Mes_Corriente!AJ102*SALUD_Mes_Constante!$AC$1</f>
        <v>4931966.7763176095</v>
      </c>
      <c r="AK102" s="8">
        <f>+MINVU_Mes_Corriente!AK102*SALUD_Mes_Constante!$AC$1</f>
        <v>5709778.8770231018</v>
      </c>
      <c r="AL102" s="8">
        <f>+MINVU_Mes_Corriente!AL102*SALUD_Mes_Constante!$AC$1</f>
        <v>6734536.1101120487</v>
      </c>
      <c r="AM102" s="8">
        <f>+MINVU_Mes_Corriente!AM102*SALUD_Mes_Constante!$AC$1</f>
        <v>7979985.2427721675</v>
      </c>
      <c r="AN102" s="8">
        <f>+MINVU_Mes_Corriente!AN102*SALUD_Mes_Constante!$AC$1</f>
        <v>10912924.771614332</v>
      </c>
      <c r="AO102" s="9">
        <f t="shared" si="40"/>
        <v>10912924.771614332</v>
      </c>
      <c r="AP102" s="8">
        <f>+MINVU_Mes_Corriente!AP102*SALUD_Mes_Constante!$AP$1</f>
        <v>0</v>
      </c>
      <c r="AQ102" s="8">
        <f>+MINVU_Mes_Corriente!AQ102*SALUD_Mes_Constante!$AP$1</f>
        <v>0</v>
      </c>
      <c r="AR102" s="8">
        <f>+MINVU_Mes_Corriente!AR102*SALUD_Mes_Constante!$AP$1</f>
        <v>1894061.1900446366</v>
      </c>
      <c r="AS102" s="8">
        <f>+MINVU_Mes_Corriente!AS102*SALUD_Mes_Constante!$AP$1</f>
        <v>2641015.0445015552</v>
      </c>
      <c r="AT102" s="8">
        <f>+MINVU_Mes_Corriente!AT102*SALUD_Mes_Constante!$AP$1</f>
        <v>3248072.3535777084</v>
      </c>
      <c r="AU102" s="8">
        <f>+MINVU_Mes_Corriente!AU102*SALUD_Mes_Constante!$AP$1</f>
        <v>4177386.8083322058</v>
      </c>
      <c r="AV102" s="8">
        <f>+MINVU_Mes_Corriente!AV102*SALUD_Mes_Constante!$AP$1</f>
        <v>5160403.1516299201</v>
      </c>
      <c r="AW102" s="8">
        <f>+MINVU_Mes_Corriente!AW102*SALUD_Mes_Constante!$AP$1</f>
        <v>5964530.4452860812</v>
      </c>
      <c r="AX102" s="8">
        <f>+MINVU_Mes_Corriente!AX102*SALUD_Mes_Constante!$AP$1</f>
        <v>6532154.8405248206</v>
      </c>
      <c r="AY102" s="8">
        <f>+MINVU_Mes_Corriente!AY102*SALUD_Mes_Constante!$AP$1</f>
        <v>6634190.9411605569</v>
      </c>
      <c r="AZ102" s="8">
        <f>+MINVU_Mes_Corriente!AZ102*SALUD_Mes_Constante!$AP$1</f>
        <v>6649472.2667388069</v>
      </c>
      <c r="BA102" s="8">
        <f>+MINVU_Mes_Corriente!BA102*SALUD_Mes_Constante!$AP$1</f>
        <v>8327521.4267550381</v>
      </c>
      <c r="BB102" s="9">
        <f t="shared" si="41"/>
        <v>8327521.4267550381</v>
      </c>
      <c r="BC102" s="8">
        <f>+MINVU_Mes_Corriente!BC102*SALUD_Mes_Constante!$BC$1</f>
        <v>0</v>
      </c>
      <c r="BD102" s="8">
        <f>+MINVU_Mes_Corriente!BD102*SALUD_Mes_Constante!$BC$1</f>
        <v>0</v>
      </c>
      <c r="BE102" s="8">
        <f>+MINVU_Mes_Corriente!BE102*SALUD_Mes_Constante!$BC$1</f>
        <v>0</v>
      </c>
      <c r="BF102" s="8">
        <f>+MINVU_Mes_Corriente!BF102*SALUD_Mes_Constante!$BC$1</f>
        <v>0</v>
      </c>
      <c r="BG102" s="8">
        <f>+MINVU_Mes_Corriente!BG102*SALUD_Mes_Constante!$BC$1</f>
        <v>238781.29658446531</v>
      </c>
      <c r="BH102" s="8">
        <f>+MINVU_Mes_Corriente!BH102*SALUD_Mes_Constante!$BC$1</f>
        <v>550324.30673875788</v>
      </c>
      <c r="BI102" s="8">
        <f>+MINVU_Mes_Corriente!BI102*SALUD_Mes_Constante!$BC$1</f>
        <v>879837.65475405531</v>
      </c>
      <c r="BJ102" s="8">
        <f>+MINVU_Mes_Corriente!BJ102*SALUD_Mes_Constante!$BC$1</f>
        <v>985326.93841487565</v>
      </c>
      <c r="BK102" s="8">
        <f>+MINVU_Mes_Corriente!BK102*SALUD_Mes_Constante!$BC$1</f>
        <v>1150738.4808123438</v>
      </c>
      <c r="BL102" s="8">
        <f>+MINVU_Mes_Corriente!BL102*SALUD_Mes_Constante!$BC$1</f>
        <v>1346752.3328497959</v>
      </c>
      <c r="BM102" s="8">
        <f>+MINVU_Mes_Corriente!BM102*SALUD_Mes_Constante!$BC$1</f>
        <v>1884365.4208097064</v>
      </c>
      <c r="BN102" s="8">
        <f>+MINVU_Mes_Corriente!BN102*SALUD_Mes_Constante!$BC$1</f>
        <v>4379035.0412765406</v>
      </c>
      <c r="BO102" s="9">
        <f t="shared" si="42"/>
        <v>4379035.0412765406</v>
      </c>
      <c r="BP102" s="8">
        <f>+MINVU_Mes_Corriente!BP102*SALUD_Mes_Constante!$BP$1</f>
        <v>0</v>
      </c>
      <c r="BQ102" s="8">
        <f>+MINVU_Mes_Corriente!BQ102*SALUD_Mes_Constante!$BP$1</f>
        <v>0</v>
      </c>
      <c r="BR102" s="8">
        <f>+MINVU_Mes_Corriente!BR102*SALUD_Mes_Constante!$BP$1</f>
        <v>0</v>
      </c>
      <c r="BS102" s="8">
        <f>+MINVU_Mes_Corriente!BS102*SALUD_Mes_Constante!$BP$1</f>
        <v>475062.75979513448</v>
      </c>
      <c r="BT102" s="8">
        <f>+MINVU_Mes_Corriente!BT102*SALUD_Mes_Constante!$BP$1</f>
        <v>681774.00614596682</v>
      </c>
      <c r="BU102" s="8">
        <f>+MINVU_Mes_Corriente!BU102*SALUD_Mes_Constante!$BP$1</f>
        <v>1110148.7508322664</v>
      </c>
      <c r="BV102" s="8">
        <f>+MINVU_Mes_Corriente!BV102*SALUD_Mes_Constante!$BP$1</f>
        <v>1357480.6548015366</v>
      </c>
      <c r="BW102" s="8">
        <f>+MINVU_Mes_Corriente!BW102*SALUD_Mes_Constante!$BP$1</f>
        <v>1610523.177464789</v>
      </c>
      <c r="BX102" s="8">
        <f>+MINVU_Mes_Corriente!BX102*SALUD_Mes_Constante!$BP$1</f>
        <v>2521534.7362355958</v>
      </c>
      <c r="BY102" s="8">
        <f>+MINVU_Mes_Corriente!BY102*SALUD_Mes_Constante!$BP$1</f>
        <v>2810094.4532650453</v>
      </c>
      <c r="BZ102" s="8">
        <f>+MINVU_Mes_Corriente!BZ102*SALUD_Mes_Constante!$BP$1</f>
        <v>3270088.8460947508</v>
      </c>
      <c r="CA102" s="8">
        <f>+MINVU_Mes_Corriente!CA102*SALUD_Mes_Constante!$BP$1</f>
        <v>5937142.2338028178</v>
      </c>
      <c r="CB102" s="9">
        <f t="shared" si="43"/>
        <v>5937142.2338028178</v>
      </c>
      <c r="CC102" s="8">
        <f>+MINVU_Mes_Corriente!CC102*SALUD_Mes_Constante!$CC$1</f>
        <v>0</v>
      </c>
      <c r="CD102" s="8">
        <f>+MINVU_Mes_Corriente!CD102*SALUD_Mes_Constante!$CC$1</f>
        <v>0</v>
      </c>
      <c r="CE102" s="8">
        <f>+MINVU_Mes_Corriente!CE102*SALUD_Mes_Constante!$CC$1</f>
        <v>218139.63446475199</v>
      </c>
      <c r="CF102" s="8">
        <f>+MINVU_Mes_Corriente!CF102*SALUD_Mes_Constante!$CC$1</f>
        <v>277357.11450951139</v>
      </c>
      <c r="CG102" s="8">
        <f>+MINVU_Mes_Corriente!CG102*SALUD_Mes_Constante!$CC$1</f>
        <v>286427.47407683701</v>
      </c>
      <c r="CH102" s="8">
        <f>+MINVU_Mes_Corriente!CH102*SALUD_Mes_Constante!$CC$1</f>
        <v>343600.48936963821</v>
      </c>
      <c r="CI102" s="8">
        <f>+MINVU_Mes_Corriente!CI102*SALUD_Mes_Constante!$CC$1</f>
        <v>391320.06266318541</v>
      </c>
      <c r="CJ102" s="8">
        <f>+MINVU_Mes_Corriente!CJ102*SALUD_Mes_Constante!$CC$1</f>
        <v>460280.33420365542</v>
      </c>
      <c r="CK102" s="8">
        <f>+MINVU_Mes_Corriente!CK102*SALUD_Mes_Constante!$CC$1</f>
        <v>859791.84035807545</v>
      </c>
      <c r="CL102" s="8">
        <f>+MINVU_Mes_Corriente!CL102*SALUD_Mes_Constante!$CC$1</f>
        <v>1322414.1395001865</v>
      </c>
      <c r="CM102" s="8">
        <f>+MINVU_Mes_Corriente!CM102*SALUD_Mes_Constante!$CC$1</f>
        <v>1903770.2573666545</v>
      </c>
      <c r="CN102" s="8">
        <f>+MINVU_Mes_Corriente!CN102*SALUD_Mes_Constante!$CC$1</f>
        <v>4186436.208877285</v>
      </c>
      <c r="CO102" s="9">
        <f t="shared" si="44"/>
        <v>4186436.208877285</v>
      </c>
      <c r="CP102" s="8">
        <f>+MINVU_Mes_Corriente!CP102*SALUD_Mes_Constante!$CP$1</f>
        <v>0</v>
      </c>
      <c r="CQ102" s="8">
        <f>+MINVU_Mes_Corriente!CQ102*SALUD_Mes_Constante!$CP$1</f>
        <v>20644.055916473313</v>
      </c>
      <c r="CR102" s="8">
        <f>+MINVU_Mes_Corriente!CR102*SALUD_Mes_Constante!$CP$1</f>
        <v>744148.05870069587</v>
      </c>
      <c r="CS102" s="8">
        <f>+MINVU_Mes_Corriente!CS102*SALUD_Mes_Constante!$CP$1</f>
        <v>1158611.0387470995</v>
      </c>
      <c r="CT102" s="8">
        <f>+MINVU_Mes_Corriente!CT102*SALUD_Mes_Constante!$CP$1</f>
        <v>1730537.7055684451</v>
      </c>
      <c r="CU102" s="8">
        <f>+MINVU_Mes_Corriente!CU102*SALUD_Mes_Constante!$CP$1</f>
        <v>2082178.7206496515</v>
      </c>
      <c r="CV102" s="8">
        <f>+MINVU_Mes_Corriente!CV102*SALUD_Mes_Constante!$CP$1</f>
        <v>2397421.706032482</v>
      </c>
      <c r="CW102" s="8">
        <f>+MINVU_Mes_Corriente!CW102*SALUD_Mes_Constante!$CP$1</f>
        <v>2774860.5027842224</v>
      </c>
      <c r="CX102" s="8">
        <f>+MINVU_Mes_Corriente!CX102*SALUD_Mes_Constante!$CP$1</f>
        <v>3205509.6800464028</v>
      </c>
      <c r="CY102" s="8">
        <f>+MINVU_Mes_Corriente!CY102*SALUD_Mes_Constante!$CP$1</f>
        <v>3441365.5155452429</v>
      </c>
      <c r="CZ102" s="8">
        <f>+MINVU_Mes_Corriente!CZ102*SALUD_Mes_Constante!$CP$1</f>
        <v>3754944.2505800459</v>
      </c>
      <c r="DA102" s="8">
        <f>+MINVU_Mes_Corriente!DA102*SALUD_Mes_Constante!$CP$1</f>
        <v>4907674.0085846856</v>
      </c>
      <c r="DB102" s="9">
        <f t="shared" si="45"/>
        <v>4907674.0085846856</v>
      </c>
      <c r="DC102" s="8">
        <f>+MINVU_Mes_Corriente!DC102*SALUD_Mes_Constante!$DC$1</f>
        <v>0</v>
      </c>
      <c r="DD102" s="8">
        <f>+MINVU_Mes_Corriente!DD102*SALUD_Mes_Constante!$DC$1</f>
        <v>162474.93632342358</v>
      </c>
      <c r="DE102" s="8">
        <f>+MINVU_Mes_Corriente!DE102*SALUD_Mes_Constante!$DC$1</f>
        <v>389425.74858553667</v>
      </c>
      <c r="DF102" s="8">
        <f>+MINVU_Mes_Corriente!DF102*SALUD_Mes_Constante!$DC$1</f>
        <v>529502.4411068823</v>
      </c>
      <c r="DG102" s="8">
        <f>+MINVU_Mes_Corriente!DG102*SALUD_Mes_Constante!$DC$1</f>
        <v>580026.6209237735</v>
      </c>
      <c r="DH102" s="8">
        <f>+MINVU_Mes_Corriente!DH102*SALUD_Mes_Constante!$DC$1</f>
        <v>605631.51815656852</v>
      </c>
      <c r="DI102" s="8">
        <f>+MINVU_Mes_Corriente!DI102*SALUD_Mes_Constante!$DC$1</f>
        <v>746505.09721222136</v>
      </c>
      <c r="DJ102" s="8">
        <f>+MINVU_Mes_Corriente!DJ102*SALUD_Mes_Constante!$DC$1</f>
        <v>886616.63244522212</v>
      </c>
      <c r="DK102" s="8">
        <f>+MINVU_Mes_Corriente!DK102*SALUD_Mes_Constante!$DC$1</f>
        <v>1051211.3543874093</v>
      </c>
      <c r="DL102" s="8">
        <f>+MINVU_Mes_Corriente!DL102*SALUD_Mes_Constante!$DC$1</f>
        <v>1098668.2516202042</v>
      </c>
      <c r="DM102" s="8">
        <f>+MINVU_Mes_Corriente!DM102*SALUD_Mes_Constante!$DC$1</f>
        <v>1248890.9169838501</v>
      </c>
      <c r="DN102" s="8">
        <f>+MINVU_Mes_Corriente!DN102*SALUD_Mes_Constante!$DC$1</f>
        <v>2472763.6430408405</v>
      </c>
      <c r="DO102" s="9">
        <f t="shared" si="46"/>
        <v>2472763.6430408405</v>
      </c>
      <c r="DP102" s="8">
        <f>+MINVU_Mes_Corriente!DP102*SALUD_Mes_Constante!$DP$1</f>
        <v>0</v>
      </c>
      <c r="DQ102" s="8">
        <f>+MINVU_Mes_Corriente!DQ102*SALUD_Mes_Constante!$DP$1</f>
        <v>35131.026128266036</v>
      </c>
      <c r="DR102" s="8">
        <f>+MINVU_Mes_Corriente!DR102*SALUD_Mes_Constante!$DP$1</f>
        <v>403665.09263657959</v>
      </c>
      <c r="DS102" s="8">
        <f>+MINVU_Mes_Corriente!DS102*SALUD_Mes_Constante!$DP$1</f>
        <v>1617829.8188836107</v>
      </c>
      <c r="DT102" s="8">
        <f>+MINVU_Mes_Corriente!DT102*SALUD_Mes_Constante!$DP$1</f>
        <v>1114489.8473871734</v>
      </c>
      <c r="DU102" s="8">
        <f>+MINVU_Mes_Corriente!DU102*SALUD_Mes_Constante!$DP$1</f>
        <v>1146494.6793349169</v>
      </c>
      <c r="DV102" s="8">
        <f>+MINVU_Mes_Corriente!DV102*SALUD_Mes_Constante!$DP$1</f>
        <v>1491278.9697149645</v>
      </c>
      <c r="DW102" s="8">
        <f>+MINVU_Mes_Corriente!DW102*SALUD_Mes_Constante!$DP$1</f>
        <v>2420185.7761282665</v>
      </c>
      <c r="DX102" s="8">
        <f>+MINVU_Mes_Corriente!DX102*SALUD_Mes_Constante!$DP$1</f>
        <v>3519093.3135391925</v>
      </c>
      <c r="DY102" s="8">
        <f>+MINVU_Mes_Corriente!DY102*SALUD_Mes_Constante!$DP$1</f>
        <v>4575878.8717339672</v>
      </c>
      <c r="DZ102" s="8">
        <f>+MINVU_Mes_Corriente!DZ102*SALUD_Mes_Constante!$DP$1</f>
        <v>5931407.9144893121</v>
      </c>
      <c r="EA102" s="8">
        <f>+MINVU_Mes_Corriente!EA102*SALUD_Mes_Constante!$DP$1</f>
        <v>9268831.6068883613</v>
      </c>
      <c r="EB102" s="9">
        <f t="shared" si="47"/>
        <v>9268831.6068883613</v>
      </c>
      <c r="EC102" s="8">
        <f>+MINVU_Mes_Corriente!EC102*SALUD_Mes_Constante!$EC$1</f>
        <v>0</v>
      </c>
      <c r="ED102" s="8">
        <f>+MINVU_Mes_Corriente!ED102*SALUD_Mes_Constante!$EC$1</f>
        <v>950636.48134822922</v>
      </c>
      <c r="EE102" s="8">
        <f>+MINVU_Mes_Corriente!EE102*SALUD_Mes_Constante!$EC$1</f>
        <v>1977492.2090513154</v>
      </c>
      <c r="EF102" s="8">
        <f>+MINVU_Mes_Corriente!EF102*SALUD_Mes_Constante!$EC$1</f>
        <v>3480108.9276652136</v>
      </c>
      <c r="EG102" s="8">
        <f>+MINVU_Mes_Corriente!EG102*SALUD_Mes_Constante!$EC$1</f>
        <v>4992507.5300132539</v>
      </c>
      <c r="EH102" s="8">
        <f>+MINVU_Mes_Corriente!EH102*SALUD_Mes_Constante!$EC$1</f>
        <v>7696927.3531528097</v>
      </c>
      <c r="EI102" s="8">
        <f>+MINVU_Mes_Corriente!EI102*SALUD_Mes_Constante!$EC$1</f>
        <v>9023801.1927665193</v>
      </c>
      <c r="EJ102" s="8">
        <f>+MINVU_Mes_Corriente!EJ102*SALUD_Mes_Constante!$EC$1</f>
        <v>10593243.197689828</v>
      </c>
      <c r="EK102" s="8">
        <f>+MINVU_Mes_Corriente!EK102*SALUD_Mes_Constante!$EC$1</f>
        <v>12298809.17667108</v>
      </c>
      <c r="EL102" s="8">
        <f>+MINVU_Mes_Corriente!EL102*SALUD_Mes_Constante!$EC$1</f>
        <v>12798177.651581137</v>
      </c>
      <c r="EM102" s="8">
        <f>+MINVU_Mes_Corriente!EM102*SALUD_Mes_Constante!$EC$1</f>
        <v>14488277.371709898</v>
      </c>
      <c r="EN102" s="8">
        <f>+MINVU_Mes_Corriente!EN102*SALUD_Mes_Constante!$EC$1</f>
        <v>16220628.705548186</v>
      </c>
      <c r="EO102" s="9">
        <f t="shared" si="48"/>
        <v>16220628.705548186</v>
      </c>
      <c r="EP102" s="8">
        <f>+MINVU_Mes_Corriente!EP102*SALUD_Mes_Constante!$EP$1</f>
        <v>0</v>
      </c>
      <c r="EQ102" s="8">
        <f>+MINVU_Mes_Corriente!EQ102*SALUD_Mes_Constante!$EP$1</f>
        <v>0</v>
      </c>
      <c r="ER102" s="8">
        <f>+MINVU_Mes_Corriente!ER102*SALUD_Mes_Constante!$EP$1</f>
        <v>3093333</v>
      </c>
      <c r="ES102" s="8">
        <f>+MINVU_Mes_Corriente!ES102*SALUD_Mes_Constante!$EP$1</f>
        <v>3642572</v>
      </c>
      <c r="ET102" s="8">
        <f>+MINVU_Mes_Corriente!ET102*SALUD_Mes_Constante!$EP$1</f>
        <v>4921075</v>
      </c>
      <c r="EU102" s="8">
        <f>+MINVU_Mes_Corriente!EU102*SALUD_Mes_Constante!$EP$1</f>
        <v>6266934</v>
      </c>
      <c r="EV102" s="8">
        <f>+MINVU_Mes_Corriente!EV102*SALUD_Mes_Constante!$EP$1</f>
        <v>7683308</v>
      </c>
      <c r="EW102" s="8">
        <f>+MINVU_Mes_Corriente!EW102*SALUD_Mes_Constante!$EP$1</f>
        <v>9551406</v>
      </c>
      <c r="EX102" s="8">
        <f>+MINVU_Mes_Corriente!EX102*SALUD_Mes_Constante!$EP$1</f>
        <v>10425263</v>
      </c>
      <c r="EY102" s="8">
        <f>+MINVU_Mes_Corriente!EY102*SALUD_Mes_Constante!$EP$1</f>
        <v>11283957</v>
      </c>
      <c r="EZ102" s="8">
        <f>+MINVU_Mes_Corriente!EZ102*SALUD_Mes_Constante!$EP$1</f>
        <v>13723174</v>
      </c>
      <c r="FA102" s="8">
        <f>+MINVU_Mes_Corriente!FA102*SALUD_Mes_Constante!$EP$1</f>
        <v>17814645</v>
      </c>
      <c r="FB102" s="9">
        <f t="shared" si="49"/>
        <v>17814645</v>
      </c>
      <c r="FC102" s="8">
        <f>+MINVU_Mes_Corriente!FC102*SALUD_Mes_Constante!$FC$1</f>
        <v>669260</v>
      </c>
      <c r="FD102" s="8">
        <f>+MINVU_Mes_Corriente!FD102*SALUD_Mes_Constante!$FC$1</f>
        <v>2056153</v>
      </c>
      <c r="FE102" s="8">
        <f>+MINVU_Mes_Corriente!FE102*SALUD_Mes_Constante!$FC$1</f>
        <v>3452559</v>
      </c>
      <c r="FF102" s="8">
        <f>+MINVU_Mes_Corriente!FF102*SALUD_Mes_Constante!$FC$1</f>
        <v>3956023</v>
      </c>
      <c r="FG102" s="8">
        <f>+MINVU_Mes_Corriente!FG102*SALUD_Mes_Constante!$FC$1</f>
        <v>4883835</v>
      </c>
      <c r="FH102" s="8">
        <f>+MINVU_Mes_Corriente!FH102*SALUD_Mes_Constante!$FC$1</f>
        <v>5220485</v>
      </c>
      <c r="FI102" s="8">
        <f>+MINVU_Mes_Corriente!FI102*SALUD_Mes_Constante!$FC$1</f>
        <v>6783658</v>
      </c>
      <c r="FJ102" s="8"/>
      <c r="FK102" s="8"/>
      <c r="FL102" s="8"/>
      <c r="FM102" s="8"/>
      <c r="FN102" s="8"/>
      <c r="FO102" s="9">
        <f t="shared" si="50"/>
        <v>6783658</v>
      </c>
    </row>
    <row r="103" spans="2:171" ht="14.25" customHeight="1" x14ac:dyDescent="0.3">
      <c r="B103" s="7" t="s">
        <v>66</v>
      </c>
      <c r="C103" s="8">
        <f>+MINVU_Mes_Corriente!C103*SALUD_Mes_Constante!$C$1</f>
        <v>0</v>
      </c>
      <c r="D103" s="8">
        <f>+MINVU_Mes_Corriente!D103*SALUD_Mes_Constante!$C$1</f>
        <v>0</v>
      </c>
      <c r="E103" s="8">
        <f>+MINVU_Mes_Corriente!E103*SALUD_Mes_Constante!$C$1</f>
        <v>521766.32567106636</v>
      </c>
      <c r="F103" s="8">
        <f>+MINVU_Mes_Corriente!F103*SALUD_Mes_Constante!$C$1</f>
        <v>574887.78258935199</v>
      </c>
      <c r="G103" s="8">
        <f>+MINVU_Mes_Corriente!G103*SALUD_Mes_Constante!$C$1</f>
        <v>1570260.4796084831</v>
      </c>
      <c r="H103" s="8">
        <f>+MINVU_Mes_Corriente!H103*SALUD_Mes_Constante!$C$1</f>
        <v>3653966.8029067186</v>
      </c>
      <c r="I103" s="8">
        <f>+MINVU_Mes_Corriente!I103*SALUD_Mes_Constante!$C$1</f>
        <v>4379219.5488654906</v>
      </c>
      <c r="J103" s="8">
        <f>+MINVU_Mes_Corriente!J103*SALUD_Mes_Constante!$C$1</f>
        <v>4584558.0258045392</v>
      </c>
      <c r="K103" s="8">
        <f>+MINVU_Mes_Corriente!K103*SALUD_Mes_Constante!$C$1</f>
        <v>4976437.3338276744</v>
      </c>
      <c r="L103" s="8">
        <f>+MINVU_Mes_Corriente!L103*SALUD_Mes_Constante!$C$1</f>
        <v>5101589.6974640377</v>
      </c>
      <c r="M103" s="8">
        <f>+MINVU_Mes_Corriente!M103*SALUD_Mes_Constante!$C$1</f>
        <v>6516236.9096841179</v>
      </c>
      <c r="N103" s="8">
        <f>+MINVU_Mes_Corriente!N103*SALUD_Mes_Constante!$C$1</f>
        <v>11530792.907311287</v>
      </c>
      <c r="O103" s="9">
        <f t="shared" si="38"/>
        <v>11530792.907311287</v>
      </c>
      <c r="P103" s="8">
        <f>+MINVU_Mes_Corriente!P103*SALUD_Mes_Constante!$P$1</f>
        <v>0</v>
      </c>
      <c r="Q103" s="8">
        <f>+MINVU_Mes_Corriente!Q103*SALUD_Mes_Constante!$P$1</f>
        <v>469482.72282994725</v>
      </c>
      <c r="R103" s="8">
        <f>+MINVU_Mes_Corriente!R103*SALUD_Mes_Constante!$P$1</f>
        <v>1908251.7442818575</v>
      </c>
      <c r="S103" s="8">
        <f>+MINVU_Mes_Corriente!S103*SALUD_Mes_Constante!$P$1</f>
        <v>3103507.0944736456</v>
      </c>
      <c r="T103" s="8">
        <f>+MINVU_Mes_Corriente!T103*SALUD_Mes_Constante!$P$1</f>
        <v>4325050.6583321476</v>
      </c>
      <c r="U103" s="8">
        <f>+MINVU_Mes_Corriente!U103*SALUD_Mes_Constante!$P$1</f>
        <v>6556506.4901264356</v>
      </c>
      <c r="V103" s="8">
        <f>+MINVU_Mes_Corriente!V103*SALUD_Mes_Constante!$P$1</f>
        <v>7200016.6907231109</v>
      </c>
      <c r="W103" s="8">
        <f>+MINVU_Mes_Corriente!W103*SALUD_Mes_Constante!$P$1</f>
        <v>7927100.9347918704</v>
      </c>
      <c r="X103" s="8">
        <f>+MINVU_Mes_Corriente!X103*SALUD_Mes_Constante!$P$1</f>
        <v>9299589.0745844543</v>
      </c>
      <c r="Y103" s="8">
        <f>+MINVU_Mes_Corriente!Y103*SALUD_Mes_Constante!$P$1</f>
        <v>11447970.674243497</v>
      </c>
      <c r="Z103" s="8">
        <f>+MINVU_Mes_Corriente!Z103*SALUD_Mes_Constante!$P$1</f>
        <v>14308997.868731348</v>
      </c>
      <c r="AA103" s="8">
        <f>+MINVU_Mes_Corriente!AA103*SALUD_Mes_Constante!$P$1</f>
        <v>24547557.045603059</v>
      </c>
      <c r="AB103" s="9">
        <f t="shared" si="39"/>
        <v>24547557.045603059</v>
      </c>
      <c r="AC103" s="8">
        <f>+MINVU_Mes_Corriente!AC103*SALUD_Mes_Constante!$AC$1</f>
        <v>0</v>
      </c>
      <c r="AD103" s="8">
        <f>+MINVU_Mes_Corriente!AD103*SALUD_Mes_Constante!$AC$1</f>
        <v>60352.207220915756</v>
      </c>
      <c r="AE103" s="8">
        <f>+MINVU_Mes_Corriente!AE103*SALUD_Mes_Constante!$AC$1</f>
        <v>1493598.8606999584</v>
      </c>
      <c r="AF103" s="8">
        <f>+MINVU_Mes_Corriente!AF103*SALUD_Mes_Constante!$AC$1</f>
        <v>3448438.4562180107</v>
      </c>
      <c r="AG103" s="8">
        <f>+MINVU_Mes_Corriente!AG103*SALUD_Mes_Constante!$AC$1</f>
        <v>4803016.0960022137</v>
      </c>
      <c r="AH103" s="8">
        <f>+MINVU_Mes_Corriente!AH103*SALUD_Mes_Constante!$AC$1</f>
        <v>7152669.8528150506</v>
      </c>
      <c r="AI103" s="8">
        <f>+MINVU_Mes_Corriente!AI103*SALUD_Mes_Constante!$AC$1</f>
        <v>7552589.5650850739</v>
      </c>
      <c r="AJ103" s="8">
        <f>+MINVU_Mes_Corriente!AJ103*SALUD_Mes_Constante!$AC$1</f>
        <v>8713993.5902614463</v>
      </c>
      <c r="AK103" s="8">
        <f>+MINVU_Mes_Corriente!AK103*SALUD_Mes_Constante!$AC$1</f>
        <v>9869758.5358970817</v>
      </c>
      <c r="AL103" s="8">
        <f>+MINVU_Mes_Corriente!AL103*SALUD_Mes_Constante!$AC$1</f>
        <v>10051017.686816987</v>
      </c>
      <c r="AM103" s="8">
        <f>+MINVU_Mes_Corriente!AM103*SALUD_Mes_Constante!$AC$1</f>
        <v>10515733.158666482</v>
      </c>
      <c r="AN103" s="8">
        <f>+MINVU_Mes_Corriente!AN103*SALUD_Mes_Constante!$AC$1</f>
        <v>12096055.349564254</v>
      </c>
      <c r="AO103" s="9">
        <f t="shared" si="40"/>
        <v>12096055.349564254</v>
      </c>
      <c r="AP103" s="8">
        <f>+MINVU_Mes_Corriente!AP103*SALUD_Mes_Constante!$AP$1</f>
        <v>0</v>
      </c>
      <c r="AQ103" s="8">
        <f>+MINVU_Mes_Corriente!AQ103*SALUD_Mes_Constante!$AP$1</f>
        <v>112796.57757338021</v>
      </c>
      <c r="AR103" s="8">
        <f>+MINVU_Mes_Corriente!AR103*SALUD_Mes_Constante!$AP$1</f>
        <v>475176.80914378463</v>
      </c>
      <c r="AS103" s="8">
        <f>+MINVU_Mes_Corriente!AS103*SALUD_Mes_Constante!$AP$1</f>
        <v>793480.61382388743</v>
      </c>
      <c r="AT103" s="8">
        <f>+MINVU_Mes_Corriente!AT103*SALUD_Mes_Constante!$AP$1</f>
        <v>1177495.5963749492</v>
      </c>
      <c r="AU103" s="8">
        <f>+MINVU_Mes_Corriente!AU103*SALUD_Mes_Constante!$AP$1</f>
        <v>1518542.5653997024</v>
      </c>
      <c r="AV103" s="8">
        <f>+MINVU_Mes_Corriente!AV103*SALUD_Mes_Constante!$AP$1</f>
        <v>1815903.2690382793</v>
      </c>
      <c r="AW103" s="8">
        <f>+MINVU_Mes_Corriente!AW103*SALUD_Mes_Constante!$AP$1</f>
        <v>2249433.2933856351</v>
      </c>
      <c r="AX103" s="8">
        <f>+MINVU_Mes_Corriente!AX103*SALUD_Mes_Constante!$AP$1</f>
        <v>2834764.2226430406</v>
      </c>
      <c r="AY103" s="8">
        <f>+MINVU_Mes_Corriente!AY103*SALUD_Mes_Constante!$AP$1</f>
        <v>3305742.3619640199</v>
      </c>
      <c r="AZ103" s="8">
        <f>+MINVU_Mes_Corriente!AZ103*SALUD_Mes_Constante!$AP$1</f>
        <v>4261224.2394156633</v>
      </c>
      <c r="BA103" s="8">
        <f>+MINVU_Mes_Corriente!BA103*SALUD_Mes_Constante!$AP$1</f>
        <v>7240605.3704855936</v>
      </c>
      <c r="BB103" s="9">
        <f t="shared" si="41"/>
        <v>7240605.3704855936</v>
      </c>
      <c r="BC103" s="8">
        <f>+MINVU_Mes_Corriente!BC103*SALUD_Mes_Constante!$BC$1</f>
        <v>0</v>
      </c>
      <c r="BD103" s="8">
        <f>+MINVU_Mes_Corriente!BD103*SALUD_Mes_Constante!$BC$1</f>
        <v>0</v>
      </c>
      <c r="BE103" s="8">
        <f>+MINVU_Mes_Corriente!BE103*SALUD_Mes_Constante!$BC$1</f>
        <v>873584.34603718866</v>
      </c>
      <c r="BF103" s="8">
        <f>+MINVU_Mes_Corriente!BF103*SALUD_Mes_Constante!$BC$1</f>
        <v>1222337.424765924</v>
      </c>
      <c r="BG103" s="8">
        <f>+MINVU_Mes_Corriente!BG103*SALUD_Mes_Constante!$BC$1</f>
        <v>1323907.5840696297</v>
      </c>
      <c r="BH103" s="8">
        <f>+MINVU_Mes_Corriente!BH103*SALUD_Mes_Constante!$BC$1</f>
        <v>1432282.8993801929</v>
      </c>
      <c r="BI103" s="8">
        <f>+MINVU_Mes_Corriente!BI103*SALUD_Mes_Constante!$BC$1</f>
        <v>1575905.8393775555</v>
      </c>
      <c r="BJ103" s="8">
        <f>+MINVU_Mes_Corriente!BJ103*SALUD_Mes_Constante!$BC$1</f>
        <v>1806784.0487933541</v>
      </c>
      <c r="BK103" s="8">
        <f>+MINVU_Mes_Corriente!BK103*SALUD_Mes_Constante!$BC$1</f>
        <v>2000142.4059079525</v>
      </c>
      <c r="BL103" s="8">
        <f>+MINVU_Mes_Corriente!BL103*SALUD_Mes_Constante!$BC$1</f>
        <v>2097283.3783463016</v>
      </c>
      <c r="BM103" s="8">
        <f>+MINVU_Mes_Corriente!BM103*SALUD_Mes_Constante!$BC$1</f>
        <v>2208185.9525253861</v>
      </c>
      <c r="BN103" s="8">
        <f>+MINVU_Mes_Corriente!BN103*SALUD_Mes_Constante!$BC$1</f>
        <v>3442943.5434524603</v>
      </c>
      <c r="BO103" s="9">
        <f t="shared" si="42"/>
        <v>3442943.5434524603</v>
      </c>
      <c r="BP103" s="8">
        <f>+MINVU_Mes_Corriente!BP103*SALUD_Mes_Constante!$BP$1</f>
        <v>0</v>
      </c>
      <c r="BQ103" s="8">
        <f>+MINVU_Mes_Corriente!BQ103*SALUD_Mes_Constante!$BP$1</f>
        <v>0</v>
      </c>
      <c r="BR103" s="8">
        <f>+MINVU_Mes_Corriente!BR103*SALUD_Mes_Constante!$BP$1</f>
        <v>104384.56978233036</v>
      </c>
      <c r="BS103" s="8">
        <f>+MINVU_Mes_Corriente!BS103*SALUD_Mes_Constante!$BP$1</f>
        <v>136272.82125480156</v>
      </c>
      <c r="BT103" s="8">
        <f>+MINVU_Mes_Corriente!BT103*SALUD_Mes_Constante!$BP$1</f>
        <v>199892.63892445585</v>
      </c>
      <c r="BU103" s="8">
        <f>+MINVU_Mes_Corriente!BU103*SALUD_Mes_Constante!$BP$1</f>
        <v>309282.74366197188</v>
      </c>
      <c r="BV103" s="8">
        <f>+MINVU_Mes_Corriente!BV103*SALUD_Mes_Constante!$BP$1</f>
        <v>368367.08220230479</v>
      </c>
      <c r="BW103" s="8">
        <f>+MINVU_Mes_Corriente!BW103*SALUD_Mes_Constante!$BP$1</f>
        <v>464033.23559539055</v>
      </c>
      <c r="BX103" s="8">
        <f>+MINVU_Mes_Corriente!BX103*SALUD_Mes_Constante!$BP$1</f>
        <v>464552.2555697824</v>
      </c>
      <c r="BY103" s="8">
        <f>+MINVU_Mes_Corriente!BY103*SALUD_Mes_Constante!$BP$1</f>
        <v>479273.67656850198</v>
      </c>
      <c r="BZ103" s="8">
        <f>+MINVU_Mes_Corriente!BZ103*SALUD_Mes_Constante!$BP$1</f>
        <v>504593.73725992325</v>
      </c>
      <c r="CA103" s="8">
        <f>+MINVU_Mes_Corriente!CA103*SALUD_Mes_Constante!$BP$1</f>
        <v>2406229.7623559544</v>
      </c>
      <c r="CB103" s="9">
        <f t="shared" si="43"/>
        <v>2406229.7623559544</v>
      </c>
      <c r="CC103" s="8">
        <f>+MINVU_Mes_Corriente!CC103*SALUD_Mes_Constante!$CC$1</f>
        <v>0</v>
      </c>
      <c r="CD103" s="8">
        <f>+MINVU_Mes_Corriente!CD103*SALUD_Mes_Constante!$CC$1</f>
        <v>0</v>
      </c>
      <c r="CE103" s="8">
        <f>+MINVU_Mes_Corriente!CE103*SALUD_Mes_Constante!$CC$1</f>
        <v>0</v>
      </c>
      <c r="CF103" s="8">
        <f>+MINVU_Mes_Corriente!CF103*SALUD_Mes_Constante!$CC$1</f>
        <v>93.732935471838871</v>
      </c>
      <c r="CG103" s="8">
        <f>+MINVU_Mes_Corriente!CG103*SALUD_Mes_Constante!$CC$1</f>
        <v>296.14173815740401</v>
      </c>
      <c r="CH103" s="8">
        <f>+MINVU_Mes_Corriente!CH103*SALUD_Mes_Constante!$CC$1</f>
        <v>2908.4378963073482</v>
      </c>
      <c r="CI103" s="8">
        <f>+MINVU_Mes_Corriente!CI103*SALUD_Mes_Constante!$CC$1</f>
        <v>2908.4378963073482</v>
      </c>
      <c r="CJ103" s="8">
        <f>+MINVU_Mes_Corriente!CJ103*SALUD_Mes_Constante!$CC$1</f>
        <v>34519.530772099963</v>
      </c>
      <c r="CK103" s="8">
        <f>+MINVU_Mes_Corriente!CK103*SALUD_Mes_Constante!$CC$1</f>
        <v>148731.07497202538</v>
      </c>
      <c r="CL103" s="8">
        <f>+MINVU_Mes_Corriente!CL103*SALUD_Mes_Constante!$CC$1</f>
        <v>271416.61991794111</v>
      </c>
      <c r="CM103" s="8">
        <f>+MINVU_Mes_Corriente!CM103*SALUD_Mes_Constante!$CC$1</f>
        <v>521440.39537486015</v>
      </c>
      <c r="CN103" s="8">
        <f>+MINVU_Mes_Corriente!CN103*SALUD_Mes_Constante!$CC$1</f>
        <v>1218755.022006714</v>
      </c>
      <c r="CO103" s="9">
        <f t="shared" si="44"/>
        <v>1218755.022006714</v>
      </c>
      <c r="CP103" s="8">
        <f>+MINVU_Mes_Corriente!CP103*SALUD_Mes_Constante!$CP$1</f>
        <v>0</v>
      </c>
      <c r="CQ103" s="8">
        <f>+MINVU_Mes_Corriente!CQ103*SALUD_Mes_Constante!$CP$1</f>
        <v>31283.596983758693</v>
      </c>
      <c r="CR103" s="8">
        <f>+MINVU_Mes_Corriente!CR103*SALUD_Mes_Constante!$CP$1</f>
        <v>42029.60951276101</v>
      </c>
      <c r="CS103" s="8">
        <f>+MINVU_Mes_Corriente!CS103*SALUD_Mes_Constante!$CP$1</f>
        <v>94828.046867749406</v>
      </c>
      <c r="CT103" s="8">
        <f>+MINVU_Mes_Corriente!CT103*SALUD_Mes_Constante!$CP$1</f>
        <v>127768.28909512759</v>
      </c>
      <c r="CU103" s="8">
        <f>+MINVU_Mes_Corriente!CU103*SALUD_Mes_Constante!$CP$1</f>
        <v>127768.28909512759</v>
      </c>
      <c r="CV103" s="8">
        <f>+MINVU_Mes_Corriente!CV103*SALUD_Mes_Constante!$CP$1</f>
        <v>127768.28909512759</v>
      </c>
      <c r="CW103" s="8">
        <f>+MINVU_Mes_Corriente!CW103*SALUD_Mes_Constante!$CP$1</f>
        <v>128011.65243619487</v>
      </c>
      <c r="CX103" s="8">
        <f>+MINVU_Mes_Corriente!CX103*SALUD_Mes_Constante!$CP$1</f>
        <v>128011.65243619487</v>
      </c>
      <c r="CY103" s="8">
        <f>+MINVU_Mes_Corriente!CY103*SALUD_Mes_Constante!$CP$1</f>
        <v>210411.69118329461</v>
      </c>
      <c r="CZ103" s="8">
        <f>+MINVU_Mes_Corriente!CZ103*SALUD_Mes_Constante!$CP$1</f>
        <v>392567.88445475628</v>
      </c>
      <c r="DA103" s="8">
        <f>+MINVU_Mes_Corriente!DA103*SALUD_Mes_Constante!$CP$1</f>
        <v>755501.21206496505</v>
      </c>
      <c r="DB103" s="9">
        <f t="shared" si="45"/>
        <v>755501.21206496505</v>
      </c>
      <c r="DC103" s="8">
        <f>+MINVU_Mes_Corriente!DC103*SALUD_Mes_Constante!$DC$1</f>
        <v>0</v>
      </c>
      <c r="DD103" s="8">
        <f>+MINVU_Mes_Corriente!DD103*SALUD_Mes_Constante!$DC$1</f>
        <v>0</v>
      </c>
      <c r="DE103" s="8">
        <f>+MINVU_Mes_Corriente!DE103*SALUD_Mes_Constante!$DC$1</f>
        <v>0</v>
      </c>
      <c r="DF103" s="8">
        <f>+MINVU_Mes_Corriente!DF103*SALUD_Mes_Constante!$DC$1</f>
        <v>0</v>
      </c>
      <c r="DG103" s="8">
        <f>+MINVU_Mes_Corriente!DG103*SALUD_Mes_Constante!$DC$1</f>
        <v>0</v>
      </c>
      <c r="DH103" s="8">
        <f>+MINVU_Mes_Corriente!DH103*SALUD_Mes_Constante!$DC$1</f>
        <v>2247.9168809793241</v>
      </c>
      <c r="DI103" s="8">
        <f>+MINVU_Mes_Corriente!DI103*SALUD_Mes_Constante!$DC$1</f>
        <v>37831.317148441536</v>
      </c>
      <c r="DJ103" s="8">
        <f>+MINVU_Mes_Corriente!DJ103*SALUD_Mes_Constante!$DC$1</f>
        <v>38179.744264993329</v>
      </c>
      <c r="DK103" s="8">
        <f>+MINVU_Mes_Corriente!DK103*SALUD_Mes_Constante!$DC$1</f>
        <v>2979973.4924390507</v>
      </c>
      <c r="DL103" s="8">
        <f>+MINVU_Mes_Corriente!DL103*SALUD_Mes_Constante!$DC$1</f>
        <v>3132178.8204917205</v>
      </c>
      <c r="DM103" s="8">
        <f>+MINVU_Mes_Corriente!DM103*SALUD_Mes_Constante!$DC$1</f>
        <v>3226231.6627918952</v>
      </c>
      <c r="DN103" s="8">
        <f>+MINVU_Mes_Corriente!DN103*SALUD_Mes_Constante!$DC$1</f>
        <v>7212626.7657648427</v>
      </c>
      <c r="DO103" s="9">
        <f t="shared" si="46"/>
        <v>7212626.7657648427</v>
      </c>
      <c r="DP103" s="8">
        <f>+MINVU_Mes_Corriente!DP103*SALUD_Mes_Constante!$DP$1</f>
        <v>0</v>
      </c>
      <c r="DQ103" s="8">
        <f>+MINVU_Mes_Corriente!DQ103*SALUD_Mes_Constante!$DP$1</f>
        <v>0</v>
      </c>
      <c r="DR103" s="8">
        <f>+MINVU_Mes_Corriente!DR103*SALUD_Mes_Constante!$DP$1</f>
        <v>42332.843230403807</v>
      </c>
      <c r="DS103" s="8">
        <f>+MINVU_Mes_Corriente!DS103*SALUD_Mes_Constante!$DP$1</f>
        <v>2476645.4269596203</v>
      </c>
      <c r="DT103" s="8">
        <f>+MINVU_Mes_Corriente!DT103*SALUD_Mes_Constante!$DP$1</f>
        <v>5800274.287410927</v>
      </c>
      <c r="DU103" s="8">
        <f>+MINVU_Mes_Corriente!DU103*SALUD_Mes_Constante!$DP$1</f>
        <v>5856598.7690023761</v>
      </c>
      <c r="DV103" s="8">
        <f>+MINVU_Mes_Corriente!DV103*SALUD_Mes_Constante!$DP$1</f>
        <v>10356002.128859859</v>
      </c>
      <c r="DW103" s="8">
        <f>+MINVU_Mes_Corriente!DW103*SALUD_Mes_Constante!$DP$1</f>
        <v>10427354.185866984</v>
      </c>
      <c r="DX103" s="8">
        <f>+MINVU_Mes_Corriente!DX103*SALUD_Mes_Constante!$DP$1</f>
        <v>10498815.459619954</v>
      </c>
      <c r="DY103" s="8">
        <f>+MINVU_Mes_Corriente!DY103*SALUD_Mes_Constante!$DP$1</f>
        <v>13890236.559976248</v>
      </c>
      <c r="DZ103" s="8">
        <f>+MINVU_Mes_Corriente!DZ103*SALUD_Mes_Constante!$DP$1</f>
        <v>14052847.318289788</v>
      </c>
      <c r="EA103" s="8">
        <f>+MINVU_Mes_Corriente!EA103*SALUD_Mes_Constante!$DP$1</f>
        <v>20850514.881235156</v>
      </c>
      <c r="EB103" s="9">
        <f t="shared" si="47"/>
        <v>20850514.881235156</v>
      </c>
      <c r="EC103" s="8">
        <f>+MINVU_Mes_Corriente!EC103*SALUD_Mes_Constante!$EC$1</f>
        <v>0</v>
      </c>
      <c r="ED103" s="8">
        <f>+MINVU_Mes_Corriente!ED103*SALUD_Mes_Constante!$EC$1</f>
        <v>0</v>
      </c>
      <c r="EE103" s="8">
        <f>+MINVU_Mes_Corriente!EE103*SALUD_Mes_Constante!$EC$1</f>
        <v>136517.07006248811</v>
      </c>
      <c r="EF103" s="8">
        <f>+MINVU_Mes_Corriente!EF103*SALUD_Mes_Constante!$EC$1</f>
        <v>1408232.2989964017</v>
      </c>
      <c r="EG103" s="8">
        <f>+MINVU_Mes_Corriente!EG103*SALUD_Mes_Constante!$EC$1</f>
        <v>1782214.5275515995</v>
      </c>
      <c r="EH103" s="8">
        <f>+MINVU_Mes_Corriente!EH103*SALUD_Mes_Constante!$EC$1</f>
        <v>3623983.0997917051</v>
      </c>
      <c r="EI103" s="8">
        <f>+MINVU_Mes_Corriente!EI103*SALUD_Mes_Constante!$EC$1</f>
        <v>3718835.0967619759</v>
      </c>
      <c r="EJ103" s="8">
        <f>+MINVU_Mes_Corriente!EJ103*SALUD_Mes_Constante!$EC$1</f>
        <v>4136856.4913842063</v>
      </c>
      <c r="EK103" s="8">
        <f>+MINVU_Mes_Corriente!EK103*SALUD_Mes_Constante!$EC$1</f>
        <v>4252874.639272864</v>
      </c>
      <c r="EL103" s="8">
        <f>+MINVU_Mes_Corriente!EL103*SALUD_Mes_Constante!$EC$1</f>
        <v>4338667.8422647212</v>
      </c>
      <c r="EM103" s="8">
        <f>+MINVU_Mes_Corriente!EM103*SALUD_Mes_Constante!$EC$1</f>
        <v>4842417.2686991086</v>
      </c>
      <c r="EN103" s="8">
        <f>+MINVU_Mes_Corriente!EN103*SALUD_Mes_Constante!$EC$1</f>
        <v>5848904.4165877653</v>
      </c>
      <c r="EO103" s="9">
        <f t="shared" si="48"/>
        <v>5848904.4165877653</v>
      </c>
      <c r="EP103" s="8">
        <f>+MINVU_Mes_Corriente!EP103*SALUD_Mes_Constante!$EP$1</f>
        <v>0</v>
      </c>
      <c r="EQ103" s="8">
        <f>+MINVU_Mes_Corriente!EQ103*SALUD_Mes_Constante!$EP$1</f>
        <v>0</v>
      </c>
      <c r="ER103" s="8">
        <f>+MINVU_Mes_Corriente!ER103*SALUD_Mes_Constante!$EP$1</f>
        <v>135165</v>
      </c>
      <c r="ES103" s="8">
        <f>+MINVU_Mes_Corriente!ES103*SALUD_Mes_Constante!$EP$1</f>
        <v>180049</v>
      </c>
      <c r="ET103" s="8">
        <f>+MINVU_Mes_Corriente!ET103*SALUD_Mes_Constante!$EP$1</f>
        <v>397425</v>
      </c>
      <c r="EU103" s="8">
        <f>+MINVU_Mes_Corriente!EU103*SALUD_Mes_Constante!$EP$1</f>
        <v>2344596</v>
      </c>
      <c r="EV103" s="8">
        <f>+MINVU_Mes_Corriente!EV103*SALUD_Mes_Constante!$EP$1</f>
        <v>2511453</v>
      </c>
      <c r="EW103" s="8">
        <f>+MINVU_Mes_Corriente!EW103*SALUD_Mes_Constante!$EP$1</f>
        <v>2721371</v>
      </c>
      <c r="EX103" s="8">
        <f>+MINVU_Mes_Corriente!EX103*SALUD_Mes_Constante!$EP$1</f>
        <v>2810328</v>
      </c>
      <c r="EY103" s="8">
        <f>+MINVU_Mes_Corriente!EY103*SALUD_Mes_Constante!$EP$1</f>
        <v>2871997</v>
      </c>
      <c r="EZ103" s="8">
        <f>+MINVU_Mes_Corriente!EZ103*SALUD_Mes_Constante!$EP$1</f>
        <v>2880550</v>
      </c>
      <c r="FA103" s="8">
        <f>+MINVU_Mes_Corriente!FA103*SALUD_Mes_Constante!$EP$1</f>
        <v>4741555</v>
      </c>
      <c r="FB103" s="9">
        <f t="shared" si="49"/>
        <v>4741555</v>
      </c>
      <c r="FC103" s="8">
        <f>+MINVU_Mes_Corriente!FC103*SALUD_Mes_Constante!$FC$1</f>
        <v>0</v>
      </c>
      <c r="FD103" s="8">
        <f>+MINVU_Mes_Corriente!FD103*SALUD_Mes_Constante!$FC$1</f>
        <v>4484</v>
      </c>
      <c r="FE103" s="8">
        <f>+MINVU_Mes_Corriente!FE103*SALUD_Mes_Constante!$FC$1</f>
        <v>4484</v>
      </c>
      <c r="FF103" s="8">
        <f>+MINVU_Mes_Corriente!FF103*SALUD_Mes_Constante!$FC$1</f>
        <v>49503</v>
      </c>
      <c r="FG103" s="8">
        <f>+MINVU_Mes_Corriente!FG103*SALUD_Mes_Constante!$FC$1</f>
        <v>91289</v>
      </c>
      <c r="FH103" s="8">
        <f>+MINVU_Mes_Corriente!FH103*SALUD_Mes_Constante!$FC$1</f>
        <v>1517423</v>
      </c>
      <c r="FI103" s="8">
        <f>+MINVU_Mes_Corriente!FI103*SALUD_Mes_Constante!$FC$1</f>
        <v>2629283</v>
      </c>
      <c r="FJ103" s="8"/>
      <c r="FK103" s="8"/>
      <c r="FL103" s="8"/>
      <c r="FM103" s="8"/>
      <c r="FN103" s="8"/>
      <c r="FO103" s="9">
        <f t="shared" si="50"/>
        <v>2629283</v>
      </c>
    </row>
    <row r="104" spans="2:171" ht="14.25" customHeight="1" x14ac:dyDescent="0.3">
      <c r="B104" s="7" t="s">
        <v>67</v>
      </c>
      <c r="C104" s="8">
        <f>+MINVU_Mes_Corriente!C104*SALUD_Mes_Constante!$C$1</f>
        <v>0</v>
      </c>
      <c r="D104" s="8">
        <f>+MINVU_Mes_Corriente!D104*SALUD_Mes_Constante!$C$1</f>
        <v>0</v>
      </c>
      <c r="E104" s="8">
        <f>+MINVU_Mes_Corriente!E104*SALUD_Mes_Constante!$C$1</f>
        <v>29772.256265757085</v>
      </c>
      <c r="F104" s="8">
        <f>+MINVU_Mes_Corriente!F104*SALUD_Mes_Constante!$C$1</f>
        <v>41975.089722675373</v>
      </c>
      <c r="G104" s="8">
        <f>+MINVU_Mes_Corriente!G104*SALUD_Mes_Constante!$C$1</f>
        <v>51821.93860299571</v>
      </c>
      <c r="H104" s="8">
        <f>+MINVU_Mes_Corriente!H104*SALUD_Mes_Constante!$C$1</f>
        <v>64964.573335310706</v>
      </c>
      <c r="I104" s="8">
        <f>+MINVU_Mes_Corriente!I104*SALUD_Mes_Constante!$C$1</f>
        <v>79495.845469375665</v>
      </c>
      <c r="J104" s="8">
        <f>+MINVU_Mes_Corriente!J104*SALUD_Mes_Constante!$C$1</f>
        <v>99025.888180335183</v>
      </c>
      <c r="K104" s="8">
        <f>+MINVU_Mes_Corriente!K104*SALUD_Mes_Constante!$C$1</f>
        <v>118118.43719412725</v>
      </c>
      <c r="L104" s="8">
        <f>+MINVU_Mes_Corriente!L104*SALUD_Mes_Constante!$C$1</f>
        <v>140433.85644371944</v>
      </c>
      <c r="M104" s="8">
        <f>+MINVU_Mes_Corriente!M104*SALUD_Mes_Constante!$C$1</f>
        <v>160266.90404864307</v>
      </c>
      <c r="N104" s="8">
        <f>+MINVU_Mes_Corriente!N104*SALUD_Mes_Constante!$C$1</f>
        <v>8932803.020910576</v>
      </c>
      <c r="O104" s="9">
        <f t="shared" si="38"/>
        <v>8932803.020910576</v>
      </c>
      <c r="P104" s="8">
        <f>+MINVU_Mes_Corriente!P104*SALUD_Mes_Constante!$P$1</f>
        <v>0</v>
      </c>
      <c r="Q104" s="8">
        <f>+MINVU_Mes_Corriente!Q104*SALUD_Mes_Constante!$P$1</f>
        <v>0</v>
      </c>
      <c r="R104" s="8">
        <f>+MINVU_Mes_Corriente!R104*SALUD_Mes_Constante!$P$1</f>
        <v>5504656.6361699086</v>
      </c>
      <c r="S104" s="8">
        <f>+MINVU_Mes_Corriente!S104*SALUD_Mes_Constante!$P$1</f>
        <v>11546262.764597239</v>
      </c>
      <c r="T104" s="8">
        <f>+MINVU_Mes_Corriente!T104*SALUD_Mes_Constante!$P$1</f>
        <v>11577468.376758058</v>
      </c>
      <c r="U104" s="8">
        <f>+MINVU_Mes_Corriente!U104*SALUD_Mes_Constante!$P$1</f>
        <v>12398855.533740584</v>
      </c>
      <c r="V104" s="8">
        <f>+MINVU_Mes_Corriente!V104*SALUD_Mes_Constante!$P$1</f>
        <v>12427645.908509728</v>
      </c>
      <c r="W104" s="8">
        <f>+MINVU_Mes_Corriente!W104*SALUD_Mes_Constante!$P$1</f>
        <v>20878609.660463125</v>
      </c>
      <c r="X104" s="8">
        <f>+MINVU_Mes_Corriente!X104*SALUD_Mes_Constante!$P$1</f>
        <v>21006148.475067474</v>
      </c>
      <c r="Y104" s="8">
        <f>+MINVU_Mes_Corriente!Y104*SALUD_Mes_Constante!$P$1</f>
        <v>22359676.380451761</v>
      </c>
      <c r="Z104" s="8">
        <f>+MINVU_Mes_Corriente!Z104*SALUD_Mes_Constante!$P$1</f>
        <v>22834989.200738732</v>
      </c>
      <c r="AA104" s="8">
        <f>+MINVU_Mes_Corriente!AA104*SALUD_Mes_Constante!$P$1</f>
        <v>39515964.39295353</v>
      </c>
      <c r="AB104" s="9">
        <f t="shared" si="39"/>
        <v>39515964.39295353</v>
      </c>
      <c r="AC104" s="8">
        <f>+MINVU_Mes_Corriente!AC104*SALUD_Mes_Constante!$AC$1</f>
        <v>0</v>
      </c>
      <c r="AD104" s="8">
        <f>+MINVU_Mes_Corriente!AD104*SALUD_Mes_Constante!$AC$1</f>
        <v>0</v>
      </c>
      <c r="AE104" s="8">
        <f>+MINVU_Mes_Corriente!AE104*SALUD_Mes_Constante!$AC$1</f>
        <v>3423510.7320514591</v>
      </c>
      <c r="AF104" s="8">
        <f>+MINVU_Mes_Corriente!AF104*SALUD_Mes_Constante!$AC$1</f>
        <v>3855498.0805090605</v>
      </c>
      <c r="AG104" s="8">
        <f>+MINVU_Mes_Corriente!AG104*SALUD_Mes_Constante!$AC$1</f>
        <v>13244415.886014663</v>
      </c>
      <c r="AH104" s="8">
        <f>+MINVU_Mes_Corriente!AH104*SALUD_Mes_Constante!$AC$1</f>
        <v>13728834.12947849</v>
      </c>
      <c r="AI104" s="8">
        <f>+MINVU_Mes_Corriente!AI104*SALUD_Mes_Constante!$AC$1</f>
        <v>14271305.721953243</v>
      </c>
      <c r="AJ104" s="8">
        <f>+MINVU_Mes_Corriente!AJ104*SALUD_Mes_Constante!$AC$1</f>
        <v>14835234.835800249</v>
      </c>
      <c r="AK104" s="8">
        <f>+MINVU_Mes_Corriente!AK104*SALUD_Mes_Constante!$AC$1</f>
        <v>15360199.738829713</v>
      </c>
      <c r="AL104" s="8">
        <f>+MINVU_Mes_Corriente!AL104*SALUD_Mes_Constante!$AC$1</f>
        <v>24741747.897634529</v>
      </c>
      <c r="AM104" s="8">
        <f>+MINVU_Mes_Corriente!AM104*SALUD_Mes_Constante!$AC$1</f>
        <v>27470998.916032646</v>
      </c>
      <c r="AN104" s="8">
        <f>+MINVU_Mes_Corriente!AN104*SALUD_Mes_Constante!$AC$1</f>
        <v>35769195.407110251</v>
      </c>
      <c r="AO104" s="9">
        <f t="shared" si="40"/>
        <v>35769195.407110251</v>
      </c>
      <c r="AP104" s="8">
        <f>+MINVU_Mes_Corriente!AP104*SALUD_Mes_Constante!$AP$1</f>
        <v>0</v>
      </c>
      <c r="AQ104" s="8">
        <f>+MINVU_Mes_Corriente!AQ104*SALUD_Mes_Constante!$AP$1</f>
        <v>280416.75801433786</v>
      </c>
      <c r="AR104" s="8">
        <f>+MINVU_Mes_Corriente!AR104*SALUD_Mes_Constante!$AP$1</f>
        <v>429250.07087785739</v>
      </c>
      <c r="AS104" s="8">
        <f>+MINVU_Mes_Corriente!AS104*SALUD_Mes_Constante!$AP$1</f>
        <v>580286.90950899501</v>
      </c>
      <c r="AT104" s="8">
        <f>+MINVU_Mes_Corriente!AT104*SALUD_Mes_Constante!$AP$1</f>
        <v>628984.68118490465</v>
      </c>
      <c r="AU104" s="8">
        <f>+MINVU_Mes_Corriente!AU104*SALUD_Mes_Constante!$AP$1</f>
        <v>3096550.7688353844</v>
      </c>
      <c r="AV104" s="8">
        <f>+MINVU_Mes_Corriente!AV104*SALUD_Mes_Constante!$AP$1</f>
        <v>3237385.7708643307</v>
      </c>
      <c r="AW104" s="8">
        <f>+MINVU_Mes_Corriente!AW104*SALUD_Mes_Constante!$AP$1</f>
        <v>3370686.5177870956</v>
      </c>
      <c r="AX104" s="8">
        <f>+MINVU_Mes_Corriente!AX104*SALUD_Mes_Constante!$AP$1</f>
        <v>3496970.2691735425</v>
      </c>
      <c r="AY104" s="8">
        <f>+MINVU_Mes_Corriente!AY104*SALUD_Mes_Constante!$AP$1</f>
        <v>3652892.9939131606</v>
      </c>
      <c r="AZ104" s="8">
        <f>+MINVU_Mes_Corriente!AZ104*SALUD_Mes_Constante!$AP$1</f>
        <v>3989139.7941295817</v>
      </c>
      <c r="BA104" s="8">
        <f>+MINVU_Mes_Corriente!BA104*SALUD_Mes_Constante!$AP$1</f>
        <v>4403786.8884079531</v>
      </c>
      <c r="BB104" s="9">
        <f t="shared" si="41"/>
        <v>4403786.8884079531</v>
      </c>
      <c r="BC104" s="8">
        <f>+MINVU_Mes_Corriente!BC104*SALUD_Mes_Constante!$BC$1</f>
        <v>0</v>
      </c>
      <c r="BD104" s="8">
        <f>+MINVU_Mes_Corriente!BD104*SALUD_Mes_Constante!$BC$1</f>
        <v>0</v>
      </c>
      <c r="BE104" s="8">
        <f>+MINVU_Mes_Corriente!BE104*SALUD_Mes_Constante!$BC$1</f>
        <v>2247.7330871686672</v>
      </c>
      <c r="BF104" s="8">
        <f>+MINVU_Mes_Corriente!BF104*SALUD_Mes_Constante!$BC$1</f>
        <v>7555.8412237900584</v>
      </c>
      <c r="BG104" s="8">
        <f>+MINVU_Mes_Corriente!BG104*SALUD_Mes_Constante!$BC$1</f>
        <v>8534.1814585256525</v>
      </c>
      <c r="BH104" s="8">
        <f>+MINVU_Mes_Corriente!BH104*SALUD_Mes_Constante!$BC$1</f>
        <v>15226.950811024664</v>
      </c>
      <c r="BI104" s="8">
        <f>+MINVU_Mes_Corriente!BI104*SALUD_Mes_Constante!$BC$1</f>
        <v>24562.247395489918</v>
      </c>
      <c r="BJ104" s="8">
        <f>+MINVU_Mes_Corriente!BJ104*SALUD_Mes_Constante!$BC$1</f>
        <v>321261.57404721092</v>
      </c>
      <c r="BK104" s="8">
        <f>+MINVU_Mes_Corriente!BK104*SALUD_Mes_Constante!$BC$1</f>
        <v>359177.66134775162</v>
      </c>
      <c r="BL104" s="8">
        <f>+MINVU_Mes_Corriente!BL104*SALUD_Mes_Constante!$BC$1</f>
        <v>404916.1479625479</v>
      </c>
      <c r="BM104" s="8">
        <f>+MINVU_Mes_Corriente!BM104*SALUD_Mes_Constante!$BC$1</f>
        <v>1589050.755373863</v>
      </c>
      <c r="BN104" s="8">
        <f>+MINVU_Mes_Corriente!BN104*SALUD_Mes_Constante!$BC$1</f>
        <v>1890235.46221812</v>
      </c>
      <c r="BO104" s="9">
        <f t="shared" si="42"/>
        <v>1890235.46221812</v>
      </c>
      <c r="BP104" s="8">
        <f>+MINVU_Mes_Corriente!BP104*SALUD_Mes_Constante!$BP$1</f>
        <v>0</v>
      </c>
      <c r="BQ104" s="8">
        <f>+MINVU_Mes_Corriente!BQ104*SALUD_Mes_Constante!$BP$1</f>
        <v>0</v>
      </c>
      <c r="BR104" s="8">
        <f>+MINVU_Mes_Corriente!BR104*SALUD_Mes_Constante!$BP$1</f>
        <v>0</v>
      </c>
      <c r="BS104" s="8">
        <f>+MINVU_Mes_Corriente!BS104*SALUD_Mes_Constante!$BP$1</f>
        <v>48850.831498079388</v>
      </c>
      <c r="BT104" s="8">
        <f>+MINVU_Mes_Corriente!BT104*SALUD_Mes_Constante!$BP$1</f>
        <v>59168.277080665823</v>
      </c>
      <c r="BU104" s="8">
        <f>+MINVU_Mes_Corriente!BU104*SALUD_Mes_Constante!$BP$1</f>
        <v>98569.027912932142</v>
      </c>
      <c r="BV104" s="8">
        <f>+MINVU_Mes_Corriente!BV104*SALUD_Mes_Constante!$BP$1</f>
        <v>107360.1910371319</v>
      </c>
      <c r="BW104" s="8">
        <f>+MINVU_Mes_Corriente!BW104*SALUD_Mes_Constante!$BP$1</f>
        <v>165960.48399487839</v>
      </c>
      <c r="BX104" s="8">
        <f>+MINVU_Mes_Corriente!BX104*SALUD_Mes_Constante!$BP$1</f>
        <v>281606.80793854035</v>
      </c>
      <c r="BY104" s="8">
        <f>+MINVU_Mes_Corriente!BY104*SALUD_Mes_Constante!$BP$1</f>
        <v>311039.85710627405</v>
      </c>
      <c r="BZ104" s="8">
        <f>+MINVU_Mes_Corriente!BZ104*SALUD_Mes_Constante!$BP$1</f>
        <v>412373.26094750327</v>
      </c>
      <c r="CA104" s="8">
        <f>+MINVU_Mes_Corriente!CA104*SALUD_Mes_Constante!$BP$1</f>
        <v>1530086.2732394368</v>
      </c>
      <c r="CB104" s="9">
        <f t="shared" si="43"/>
        <v>1530086.2732394368</v>
      </c>
      <c r="CC104" s="8">
        <f>+MINVU_Mes_Corriente!CC104*SALUD_Mes_Constante!$CC$1</f>
        <v>0</v>
      </c>
      <c r="CD104" s="8">
        <f>+MINVU_Mes_Corriente!CD104*SALUD_Mes_Constante!$CC$1</f>
        <v>0</v>
      </c>
      <c r="CE104" s="8">
        <f>+MINVU_Mes_Corriente!CE104*SALUD_Mes_Constante!$CC$1</f>
        <v>34624.131294293176</v>
      </c>
      <c r="CF104" s="8">
        <f>+MINVU_Mes_Corriente!CF104*SALUD_Mes_Constante!$CC$1</f>
        <v>34624.131294293176</v>
      </c>
      <c r="CG104" s="8">
        <f>+MINVU_Mes_Corriente!CG104*SALUD_Mes_Constante!$CC$1</f>
        <v>34624.131294293176</v>
      </c>
      <c r="CH104" s="8">
        <f>+MINVU_Mes_Corriente!CH104*SALUD_Mes_Constante!$CC$1</f>
        <v>34624.131294293176</v>
      </c>
      <c r="CI104" s="8">
        <f>+MINVU_Mes_Corriente!CI104*SALUD_Mes_Constante!$CC$1</f>
        <v>34624.131294293176</v>
      </c>
      <c r="CJ104" s="8">
        <f>+MINVU_Mes_Corriente!CJ104*SALUD_Mes_Constante!$CC$1</f>
        <v>100704.49235359942</v>
      </c>
      <c r="CK104" s="8">
        <f>+MINVU_Mes_Corriente!CK104*SALUD_Mes_Constante!$CC$1</f>
        <v>100704.49235359942</v>
      </c>
      <c r="CL104" s="8">
        <f>+MINVU_Mes_Corriente!CL104*SALUD_Mes_Constante!$CC$1</f>
        <v>161333.4002237971</v>
      </c>
      <c r="CM104" s="8">
        <f>+MINVU_Mes_Corriente!CM104*SALUD_Mes_Constante!$CC$1</f>
        <v>241271.2928011936</v>
      </c>
      <c r="CN104" s="8">
        <f>+MINVU_Mes_Corriente!CN104*SALUD_Mes_Constante!$CC$1</f>
        <v>1650696.7653860501</v>
      </c>
      <c r="CO104" s="9">
        <f t="shared" si="44"/>
        <v>1650696.7653860501</v>
      </c>
      <c r="CP104" s="8">
        <f>+MINVU_Mes_Corriente!CP104*SALUD_Mes_Constante!$CP$1</f>
        <v>0</v>
      </c>
      <c r="CQ104" s="8">
        <f>+MINVU_Mes_Corriente!CQ104*SALUD_Mes_Constante!$CP$1</f>
        <v>130971.30556844544</v>
      </c>
      <c r="CR104" s="8">
        <f>+MINVU_Mes_Corriente!CR104*SALUD_Mes_Constante!$CP$1</f>
        <v>113201.97911832944</v>
      </c>
      <c r="CS104" s="8">
        <f>+MINVU_Mes_Corriente!CS104*SALUD_Mes_Constante!$CP$1</f>
        <v>268791.00765661249</v>
      </c>
      <c r="CT104" s="8">
        <f>+MINVU_Mes_Corriente!CT104*SALUD_Mes_Constante!$CP$1</f>
        <v>470316.13433874701</v>
      </c>
      <c r="CU104" s="8">
        <f>+MINVU_Mes_Corriente!CU104*SALUD_Mes_Constante!$CP$1</f>
        <v>689483.83573085838</v>
      </c>
      <c r="CV104" s="8">
        <f>+MINVU_Mes_Corriente!CV104*SALUD_Mes_Constante!$CP$1</f>
        <v>917631.89791183278</v>
      </c>
      <c r="CW104" s="8">
        <f>+MINVU_Mes_Corriente!CW104*SALUD_Mes_Constante!$CP$1</f>
        <v>947683.46798143827</v>
      </c>
      <c r="CX104" s="8">
        <f>+MINVU_Mes_Corriente!CX104*SALUD_Mes_Constante!$CP$1</f>
        <v>1131692.7716937354</v>
      </c>
      <c r="CY104" s="8">
        <f>+MINVU_Mes_Corriente!CY104*SALUD_Mes_Constante!$CP$1</f>
        <v>1150713.1378190252</v>
      </c>
      <c r="CZ104" s="8">
        <f>+MINVU_Mes_Corriente!CZ104*SALUD_Mes_Constante!$CP$1</f>
        <v>1302693.5443155449</v>
      </c>
      <c r="DA104" s="8">
        <f>+MINVU_Mes_Corriente!DA104*SALUD_Mes_Constante!$CP$1</f>
        <v>2182493.8503480274</v>
      </c>
      <c r="DB104" s="9">
        <f t="shared" si="45"/>
        <v>2182493.8503480274</v>
      </c>
      <c r="DC104" s="8">
        <f>+MINVU_Mes_Corriente!DC104*SALUD_Mes_Constante!$DC$1</f>
        <v>0</v>
      </c>
      <c r="DD104" s="8">
        <f>+MINVU_Mes_Corriente!DD104*SALUD_Mes_Constante!$DC$1</f>
        <v>11077.73438946611</v>
      </c>
      <c r="DE104" s="8">
        <f>+MINVU_Mes_Corriente!DE104*SALUD_Mes_Constante!$DC$1</f>
        <v>33981.759489764445</v>
      </c>
      <c r="DF104" s="8">
        <f>+MINVU_Mes_Corriente!DF104*SALUD_Mes_Constante!$DC$1</f>
        <v>43282.515584816399</v>
      </c>
      <c r="DG104" s="8">
        <f>+MINVU_Mes_Corriente!DG104*SALUD_Mes_Constante!$DC$1</f>
        <v>43282.515584816399</v>
      </c>
      <c r="DH104" s="8">
        <f>+MINVU_Mes_Corriente!DH104*SALUD_Mes_Constante!$DC$1</f>
        <v>52224.728937352149</v>
      </c>
      <c r="DI104" s="8">
        <f>+MINVU_Mes_Corriente!DI104*SALUD_Mes_Constante!$DC$1</f>
        <v>63839.715461372318</v>
      </c>
      <c r="DJ104" s="8">
        <f>+MINVU_Mes_Corriente!DJ104*SALUD_Mes_Constante!$DC$1</f>
        <v>97313.445736035428</v>
      </c>
      <c r="DK104" s="8">
        <f>+MINVU_Mes_Corriente!DK104*SALUD_Mes_Constante!$DC$1</f>
        <v>131458.17919967088</v>
      </c>
      <c r="DL104" s="8">
        <f>+MINVU_Mes_Corriente!DL104*SALUD_Mes_Constante!$DC$1</f>
        <v>182619.64345231981</v>
      </c>
      <c r="DM104" s="8">
        <f>+MINVU_Mes_Corriente!DM104*SALUD_Mes_Constante!$DC$1</f>
        <v>290438.72873161209</v>
      </c>
      <c r="DN104" s="8">
        <f>+MINVU_Mes_Corriente!DN104*SALUD_Mes_Constante!$DC$1</f>
        <v>656071.40109042311</v>
      </c>
      <c r="DO104" s="9">
        <f t="shared" si="46"/>
        <v>656071.40109042311</v>
      </c>
      <c r="DP104" s="8">
        <f>+MINVU_Mes_Corriente!DP104*SALUD_Mes_Constante!$DP$1</f>
        <v>0</v>
      </c>
      <c r="DQ104" s="8">
        <f>+MINVU_Mes_Corriente!DQ104*SALUD_Mes_Constante!$DP$1</f>
        <v>10356.126484560571</v>
      </c>
      <c r="DR104" s="8">
        <f>+MINVU_Mes_Corriente!DR104*SALUD_Mes_Constante!$DP$1</f>
        <v>18678.226247030881</v>
      </c>
      <c r="DS104" s="8">
        <f>+MINVU_Mes_Corriente!DS104*SALUD_Mes_Constante!$DP$1</f>
        <v>31677.181710213779</v>
      </c>
      <c r="DT104" s="8">
        <f>+MINVU_Mes_Corriente!DT104*SALUD_Mes_Constante!$DP$1</f>
        <v>45913.206057007133</v>
      </c>
      <c r="DU104" s="8">
        <f>+MINVU_Mes_Corriente!DU104*SALUD_Mes_Constante!$DP$1</f>
        <v>63714.454275534445</v>
      </c>
      <c r="DV104" s="8">
        <f>+MINVU_Mes_Corriente!DV104*SALUD_Mes_Constante!$DP$1</f>
        <v>166092.71793349172</v>
      </c>
      <c r="DW104" s="8">
        <f>+MINVU_Mes_Corriente!DW104*SALUD_Mes_Constante!$DP$1</f>
        <v>184727.69002375298</v>
      </c>
      <c r="DX104" s="8">
        <f>+MINVU_Mes_Corriente!DX104*SALUD_Mes_Constante!$DP$1</f>
        <v>188589.20486935868</v>
      </c>
      <c r="DY104" s="8">
        <f>+MINVU_Mes_Corriente!DY104*SALUD_Mes_Constante!$DP$1</f>
        <v>207541.01365795726</v>
      </c>
      <c r="DZ104" s="8">
        <f>+MINVU_Mes_Corriente!DZ104*SALUD_Mes_Constante!$DP$1</f>
        <v>243426.82482185276</v>
      </c>
      <c r="EA104" s="8">
        <f>+MINVU_Mes_Corriente!EA104*SALUD_Mes_Constante!$DP$1</f>
        <v>264596.4904988124</v>
      </c>
      <c r="EB104" s="9">
        <f t="shared" si="47"/>
        <v>264596.4904988124</v>
      </c>
      <c r="EC104" s="8">
        <f>+MINVU_Mes_Corriente!EC104*SALUD_Mes_Constante!$EC$1</f>
        <v>0</v>
      </c>
      <c r="ED104" s="8">
        <f>+MINVU_Mes_Corriente!ED104*SALUD_Mes_Constante!$EC$1</f>
        <v>34452.795871993927</v>
      </c>
      <c r="EE104" s="8">
        <f>+MINVU_Mes_Corriente!EE104*SALUD_Mes_Constante!$EC$1</f>
        <v>36728.614845673153</v>
      </c>
      <c r="EF104" s="8">
        <f>+MINVU_Mes_Corriente!EF104*SALUD_Mes_Constante!$EC$1</f>
        <v>115641.60329483049</v>
      </c>
      <c r="EG104" s="8">
        <f>+MINVU_Mes_Corriente!EG104*SALUD_Mes_Constante!$EC$1</f>
        <v>199908.97311115311</v>
      </c>
      <c r="EH104" s="8">
        <f>+MINVU_Mes_Corriente!EH104*SALUD_Mes_Constante!$EC$1</f>
        <v>205288.18159439493</v>
      </c>
      <c r="EI104" s="8">
        <f>+MINVU_Mes_Corriente!EI104*SALUD_Mes_Constante!$EC$1</f>
        <v>210796.69797386852</v>
      </c>
      <c r="EJ104" s="8">
        <f>+MINVU_Mes_Corriente!EJ104*SALUD_Mes_Constante!$EC$1</f>
        <v>262663.64684718795</v>
      </c>
      <c r="EK104" s="8">
        <f>+MINVU_Mes_Corriente!EK104*SALUD_Mes_Constante!$EC$1</f>
        <v>265767.03635675053</v>
      </c>
      <c r="EL104" s="8">
        <f>+MINVU_Mes_Corriente!EL104*SALUD_Mes_Constante!$EC$1</f>
        <v>268870.4258663131</v>
      </c>
      <c r="EM104" s="8">
        <f>+MINVU_Mes_Corriente!EM104*SALUD_Mes_Constante!$EC$1</f>
        <v>484643.92615035013</v>
      </c>
      <c r="EN104" s="8">
        <f>+MINVU_Mes_Corriente!EN104*SALUD_Mes_Constante!$EC$1</f>
        <v>511650.65612573363</v>
      </c>
      <c r="EO104" s="9">
        <f t="shared" si="48"/>
        <v>511650.65612573363</v>
      </c>
      <c r="EP104" s="8">
        <f>+MINVU_Mes_Corriente!EP104*SALUD_Mes_Constante!$EP$1</f>
        <v>0</v>
      </c>
      <c r="EQ104" s="8">
        <f>+MINVU_Mes_Corriente!EQ104*SALUD_Mes_Constante!$EP$1</f>
        <v>0</v>
      </c>
      <c r="ER104" s="8">
        <f>+MINVU_Mes_Corriente!ER104*SALUD_Mes_Constante!$EP$1</f>
        <v>30244</v>
      </c>
      <c r="ES104" s="8">
        <f>+MINVU_Mes_Corriente!ES104*SALUD_Mes_Constante!$EP$1</f>
        <v>31308</v>
      </c>
      <c r="ET104" s="8">
        <f>+MINVU_Mes_Corriente!ET104*SALUD_Mes_Constante!$EP$1</f>
        <v>31308</v>
      </c>
      <c r="EU104" s="8">
        <f>+MINVU_Mes_Corriente!EU104*SALUD_Mes_Constante!$EP$1</f>
        <v>619466</v>
      </c>
      <c r="EV104" s="8">
        <f>+MINVU_Mes_Corriente!EV104*SALUD_Mes_Constante!$EP$1</f>
        <v>648443</v>
      </c>
      <c r="EW104" s="8">
        <f>+MINVU_Mes_Corriente!EW104*SALUD_Mes_Constante!$EP$1</f>
        <v>783081</v>
      </c>
      <c r="EX104" s="8">
        <f>+MINVU_Mes_Corriente!EX104*SALUD_Mes_Constante!$EP$1</f>
        <v>816062</v>
      </c>
      <c r="EY104" s="8">
        <f>+MINVU_Mes_Corriente!EY104*SALUD_Mes_Constante!$EP$1</f>
        <v>832138</v>
      </c>
      <c r="EZ104" s="8">
        <f>+MINVU_Mes_Corriente!EZ104*SALUD_Mes_Constante!$EP$1</f>
        <v>911118</v>
      </c>
      <c r="FA104" s="8">
        <f>+MINVU_Mes_Corriente!FA104*SALUD_Mes_Constante!$EP$1</f>
        <v>1597990</v>
      </c>
      <c r="FB104" s="9">
        <f t="shared" si="49"/>
        <v>1597990</v>
      </c>
      <c r="FC104" s="8">
        <f>+MINVU_Mes_Corriente!FC104*SALUD_Mes_Constante!$FC$1</f>
        <v>0</v>
      </c>
      <c r="FD104" s="8">
        <f>+MINVU_Mes_Corriente!FD104*SALUD_Mes_Constante!$FC$1</f>
        <v>0</v>
      </c>
      <c r="FE104" s="8">
        <f>+MINVU_Mes_Corriente!FE104*SALUD_Mes_Constante!$FC$1</f>
        <v>0</v>
      </c>
      <c r="FF104" s="8">
        <f>+MINVU_Mes_Corriente!FF104*SALUD_Mes_Constante!$FC$1</f>
        <v>108460</v>
      </c>
      <c r="FG104" s="8">
        <f>+MINVU_Mes_Corriente!FG104*SALUD_Mes_Constante!$FC$1</f>
        <v>108617</v>
      </c>
      <c r="FH104" s="8">
        <f>+MINVU_Mes_Corriente!FH104*SALUD_Mes_Constante!$FC$1</f>
        <v>117540</v>
      </c>
      <c r="FI104" s="8">
        <f>+MINVU_Mes_Corriente!FI104*SALUD_Mes_Constante!$FC$1</f>
        <v>120951</v>
      </c>
      <c r="FJ104" s="8"/>
      <c r="FK104" s="8"/>
      <c r="FL104" s="8"/>
      <c r="FM104" s="8"/>
      <c r="FN104" s="8"/>
      <c r="FO104" s="9">
        <f t="shared" si="50"/>
        <v>120951</v>
      </c>
    </row>
    <row r="105" spans="2:171" ht="14.25" customHeight="1" x14ac:dyDescent="0.3">
      <c r="B105" s="32" t="s">
        <v>68</v>
      </c>
      <c r="C105" s="8">
        <f>+MINVU_Mes_Corriente!C105*SALUD_Mes_Constante!$C$1</f>
        <v>0</v>
      </c>
      <c r="D105" s="8">
        <f>+MINVU_Mes_Corriente!D105*SALUD_Mes_Constante!$C$1</f>
        <v>0</v>
      </c>
      <c r="E105" s="8">
        <f>+MINVU_Mes_Corriente!E105*SALUD_Mes_Constante!$C$1</f>
        <v>322471.7431410352</v>
      </c>
      <c r="F105" s="8">
        <f>+MINVU_Mes_Corriente!F105*SALUD_Mes_Constante!$C$1</f>
        <v>516226.35918730544</v>
      </c>
      <c r="G105" s="8">
        <f>+MINVU_Mes_Corriente!G105*SALUD_Mes_Constante!$C$1</f>
        <v>895721.35488654918</v>
      </c>
      <c r="H105" s="8">
        <f>+MINVU_Mes_Corriente!H105*SALUD_Mes_Constante!$C$1</f>
        <v>1184851.2172623463</v>
      </c>
      <c r="I105" s="8">
        <f>+MINVU_Mes_Corriente!I105*SALUD_Mes_Constante!$C$1</f>
        <v>1592350.6706213853</v>
      </c>
      <c r="J105" s="8">
        <f>+MINVU_Mes_Corriente!J105*SALUD_Mes_Constante!$C$1</f>
        <v>1833513.3999703398</v>
      </c>
      <c r="K105" s="8">
        <f>+MINVU_Mes_Corriente!K105*SALUD_Mes_Constante!$C$1</f>
        <v>3421357.8855109005</v>
      </c>
      <c r="L105" s="8">
        <f>+MINVU_Mes_Corriente!L105*SALUD_Mes_Constante!$C$1</f>
        <v>3838760.8998961891</v>
      </c>
      <c r="M105" s="8">
        <f>+MINVU_Mes_Corriente!M105*SALUD_Mes_Constante!$C$1</f>
        <v>4991581.0971377734</v>
      </c>
      <c r="N105" s="8">
        <f>+MINVU_Mes_Corriente!N105*SALUD_Mes_Constante!$C$1</f>
        <v>12780501.755005192</v>
      </c>
      <c r="O105" s="9">
        <f t="shared" si="38"/>
        <v>12780501.755005192</v>
      </c>
      <c r="P105" s="8">
        <f>+MINVU_Mes_Corriente!P105*SALUD_Mes_Constante!$P$1</f>
        <v>0</v>
      </c>
      <c r="Q105" s="8">
        <f>+MINVU_Mes_Corriente!Q105*SALUD_Mes_Constante!$P$1</f>
        <v>707326.17417246744</v>
      </c>
      <c r="R105" s="8">
        <f>+MINVU_Mes_Corriente!R105*SALUD_Mes_Constante!$P$1</f>
        <v>1371611.1416394368</v>
      </c>
      <c r="S105" s="8">
        <f>+MINVU_Mes_Corriente!S105*SALUD_Mes_Constante!$P$1</f>
        <v>1818706.3523227724</v>
      </c>
      <c r="T105" s="8">
        <f>+MINVU_Mes_Corriente!T105*SALUD_Mes_Constante!$P$1</f>
        <v>2582914.7819292503</v>
      </c>
      <c r="U105" s="8">
        <f>+MINVU_Mes_Corriente!U105*SALUD_Mes_Constante!$P$1</f>
        <v>3143563.4030402033</v>
      </c>
      <c r="V105" s="8">
        <f>+MINVU_Mes_Corriente!V105*SALUD_Mes_Constante!$P$1</f>
        <v>3768822.7287967028</v>
      </c>
      <c r="W105" s="8">
        <f>+MINVU_Mes_Corriente!W105*SALUD_Mes_Constante!$P$1</f>
        <v>4113247.0671970434</v>
      </c>
      <c r="X105" s="8">
        <f>+MINVU_Mes_Corriente!X105*SALUD_Mes_Constante!$P$1</f>
        <v>7822067.6002273019</v>
      </c>
      <c r="Y105" s="8">
        <f>+MINVU_Mes_Corriente!Y105*SALUD_Mes_Constante!$P$1</f>
        <v>8488749.1785764992</v>
      </c>
      <c r="Z105" s="8">
        <f>+MINVU_Mes_Corriente!Z105*SALUD_Mes_Constante!$P$1</f>
        <v>9422131.3280295469</v>
      </c>
      <c r="AA105" s="8">
        <f>+MINVU_Mes_Corriente!AA105*SALUD_Mes_Constante!$P$1</f>
        <v>21539411.470663439</v>
      </c>
      <c r="AB105" s="9">
        <f t="shared" si="39"/>
        <v>21539411.470663439</v>
      </c>
      <c r="AC105" s="8">
        <f>+MINVU_Mes_Corriente!AC105*SALUD_Mes_Constante!$AC$1</f>
        <v>0</v>
      </c>
      <c r="AD105" s="8">
        <f>+MINVU_Mes_Corriente!AD105*SALUD_Mes_Constante!$AC$1</f>
        <v>0</v>
      </c>
      <c r="AE105" s="8">
        <f>+MINVU_Mes_Corriente!AE105*SALUD_Mes_Constante!$AC$1</f>
        <v>754853.74685295334</v>
      </c>
      <c r="AF105" s="8">
        <f>+MINVU_Mes_Corriente!AF105*SALUD_Mes_Constante!$AC$1</f>
        <v>1102492.1939410707</v>
      </c>
      <c r="AG105" s="8">
        <f>+MINVU_Mes_Corriente!AG105*SALUD_Mes_Constante!$AC$1</f>
        <v>1946875.9637570896</v>
      </c>
      <c r="AH105" s="8">
        <f>+MINVU_Mes_Corriente!AH105*SALUD_Mes_Constante!$AC$1</f>
        <v>3287690.6825287039</v>
      </c>
      <c r="AI105" s="8">
        <f>+MINVU_Mes_Corriente!AI105*SALUD_Mes_Constante!$AC$1</f>
        <v>4074203.984230184</v>
      </c>
      <c r="AJ105" s="8">
        <f>+MINVU_Mes_Corriente!AJ105*SALUD_Mes_Constante!$AC$1</f>
        <v>4363296.3618757781</v>
      </c>
      <c r="AK105" s="8">
        <f>+MINVU_Mes_Corriente!AK105*SALUD_Mes_Constante!$AC$1</f>
        <v>4510021.2516253972</v>
      </c>
      <c r="AL105" s="8">
        <f>+MINVU_Mes_Corriente!AL105*SALUD_Mes_Constante!$AC$1</f>
        <v>4811008.4445981467</v>
      </c>
      <c r="AM105" s="8">
        <f>+MINVU_Mes_Corriente!AM105*SALUD_Mes_Constante!$AC$1</f>
        <v>5222138.3023931384</v>
      </c>
      <c r="AN105" s="8">
        <f>+MINVU_Mes_Corriente!AN105*SALUD_Mes_Constante!$AC$1</f>
        <v>7899712.6205560938</v>
      </c>
      <c r="AO105" s="9">
        <f t="shared" si="40"/>
        <v>7899712.6205560938</v>
      </c>
      <c r="AP105" s="8">
        <f>+MINVU_Mes_Corriente!AP105*SALUD_Mes_Constante!$AP$1</f>
        <v>0</v>
      </c>
      <c r="AQ105" s="8">
        <f>+MINVU_Mes_Corriente!AQ105*SALUD_Mes_Constante!$AP$1</f>
        <v>17118.335993507371</v>
      </c>
      <c r="AR105" s="8">
        <f>+MINVU_Mes_Corriente!AR105*SALUD_Mes_Constante!$AP$1</f>
        <v>32410.006763154332</v>
      </c>
      <c r="AS105" s="8">
        <f>+MINVU_Mes_Corriente!AS105*SALUD_Mes_Constante!$AP$1</f>
        <v>68519.158393074526</v>
      </c>
      <c r="AT105" s="8">
        <f>+MINVU_Mes_Corriente!AT105*SALUD_Mes_Constante!$AP$1</f>
        <v>84923.676180170427</v>
      </c>
      <c r="AU105" s="8">
        <f>+MINVU_Mes_Corriente!AU105*SALUD_Mes_Constante!$AP$1</f>
        <v>103944.04950628972</v>
      </c>
      <c r="AV105" s="8">
        <f>+MINVU_Mes_Corriente!AV105*SALUD_Mes_Constante!$AP$1</f>
        <v>209642.34789665899</v>
      </c>
      <c r="AW105" s="8">
        <f>+MINVU_Mes_Corriente!AW105*SALUD_Mes_Constante!$AP$1</f>
        <v>392081.27607195993</v>
      </c>
      <c r="AX105" s="8">
        <f>+MINVU_Mes_Corriente!AX105*SALUD_Mes_Constante!$AP$1</f>
        <v>632509.43568240223</v>
      </c>
      <c r="AY105" s="8">
        <f>+MINVU_Mes_Corriente!AY105*SALUD_Mes_Constante!$AP$1</f>
        <v>793012.12444203976</v>
      </c>
      <c r="AZ105" s="8">
        <f>+MINVU_Mes_Corriente!AZ105*SALUD_Mes_Constante!$AP$1</f>
        <v>969193.68970647908</v>
      </c>
      <c r="BA105" s="8">
        <f>+MINVU_Mes_Corriente!BA105*SALUD_Mes_Constante!$AP$1</f>
        <v>1209731.2127688352</v>
      </c>
      <c r="BB105" s="9">
        <f t="shared" si="41"/>
        <v>1209731.2127688352</v>
      </c>
      <c r="BC105" s="8">
        <f>+MINVU_Mes_Corriente!BC105*SALUD_Mes_Constante!$BC$1</f>
        <v>0</v>
      </c>
      <c r="BD105" s="8">
        <f>+MINVU_Mes_Corriente!BD105*SALUD_Mes_Constante!$BC$1</f>
        <v>0</v>
      </c>
      <c r="BE105" s="8">
        <f>+MINVU_Mes_Corriente!BE105*SALUD_Mes_Constante!$BC$1</f>
        <v>0</v>
      </c>
      <c r="BF105" s="8">
        <f>+MINVU_Mes_Corriente!BF105*SALUD_Mes_Constante!$BC$1</f>
        <v>284328.14954503503</v>
      </c>
      <c r="BG105" s="8">
        <f>+MINVU_Mes_Corriente!BG105*SALUD_Mes_Constante!$BC$1</f>
        <v>348771.80983779515</v>
      </c>
      <c r="BH105" s="8">
        <f>+MINVU_Mes_Corriente!BH105*SALUD_Mes_Constante!$BC$1</f>
        <v>400871.66926018737</v>
      </c>
      <c r="BI105" s="8">
        <f>+MINVU_Mes_Corriente!BI105*SALUD_Mes_Constante!$BC$1</f>
        <v>815183.62969800888</v>
      </c>
      <c r="BJ105" s="8">
        <f>+MINVU_Mes_Corriente!BJ105*SALUD_Mes_Constante!$BC$1</f>
        <v>1287707.5545298697</v>
      </c>
      <c r="BK105" s="8">
        <f>+MINVU_Mes_Corriente!BK105*SALUD_Mes_Constante!$BC$1</f>
        <v>1557552.2342080974</v>
      </c>
      <c r="BL105" s="8">
        <f>+MINVU_Mes_Corriente!BL105*SALUD_Mes_Constante!$BC$1</f>
        <v>1994443.8261901627</v>
      </c>
      <c r="BM105" s="8">
        <f>+MINVU_Mes_Corriente!BM105*SALUD_Mes_Constante!$BC$1</f>
        <v>2458158.3663457739</v>
      </c>
      <c r="BN105" s="8">
        <f>+MINVU_Mes_Corriente!BN105*SALUD_Mes_Constante!$BC$1</f>
        <v>3145077.1246208632</v>
      </c>
      <c r="BO105" s="9">
        <f t="shared" si="42"/>
        <v>3145077.1246208632</v>
      </c>
      <c r="BP105" s="8">
        <f>+MINVU_Mes_Corriente!BP105*SALUD_Mes_Constante!$BP$1</f>
        <v>0</v>
      </c>
      <c r="BQ105" s="8">
        <f>+MINVU_Mes_Corriente!BQ105*SALUD_Mes_Constante!$BP$1</f>
        <v>435008.68732394371</v>
      </c>
      <c r="BR105" s="8">
        <f>+MINVU_Mes_Corriente!BR105*SALUD_Mes_Constante!$BP$1</f>
        <v>723131.92394366208</v>
      </c>
      <c r="BS105" s="8">
        <f>+MINVU_Mes_Corriente!BS105*SALUD_Mes_Constante!$BP$1</f>
        <v>1047720.8604353394</v>
      </c>
      <c r="BT105" s="8">
        <f>+MINVU_Mes_Corriente!BT105*SALUD_Mes_Constante!$BP$1</f>
        <v>1209476.0235595391</v>
      </c>
      <c r="BU105" s="8">
        <f>+MINVU_Mes_Corriente!BU105*SALUD_Mes_Constante!$BP$1</f>
        <v>1264634.8363636364</v>
      </c>
      <c r="BV105" s="8">
        <f>+MINVU_Mes_Corriente!BV105*SALUD_Mes_Constante!$BP$1</f>
        <v>1373373.0184379003</v>
      </c>
      <c r="BW105" s="8">
        <f>+MINVU_Mes_Corriente!BW105*SALUD_Mes_Constante!$BP$1</f>
        <v>1685337.5984635085</v>
      </c>
      <c r="BX105" s="8">
        <f>+MINVU_Mes_Corriente!BX105*SALUD_Mes_Constante!$BP$1</f>
        <v>2040969.805121639</v>
      </c>
      <c r="BY105" s="8">
        <f>+MINVU_Mes_Corriente!BY105*SALUD_Mes_Constante!$BP$1</f>
        <v>2565125.4192061462</v>
      </c>
      <c r="BZ105" s="8">
        <f>+MINVU_Mes_Corriente!BZ105*SALUD_Mes_Constante!$BP$1</f>
        <v>3077578.6017925739</v>
      </c>
      <c r="CA105" s="8">
        <f>+MINVU_Mes_Corriente!CA105*SALUD_Mes_Constante!$BP$1</f>
        <v>3770682.9119078107</v>
      </c>
      <c r="CB105" s="9">
        <f t="shared" si="43"/>
        <v>3770682.9119078107</v>
      </c>
      <c r="CC105" s="8">
        <f>+MINVU_Mes_Corriente!CC105*SALUD_Mes_Constante!$CC$1</f>
        <v>0</v>
      </c>
      <c r="CD105" s="8">
        <f>+MINVU_Mes_Corriente!CD105*SALUD_Mes_Constante!$CC$1</f>
        <v>0</v>
      </c>
      <c r="CE105" s="8">
        <f>+MINVU_Mes_Corriente!CE105*SALUD_Mes_Constante!$CC$1</f>
        <v>839677.29578515491</v>
      </c>
      <c r="CF105" s="8">
        <f>+MINVU_Mes_Corriente!CF105*SALUD_Mes_Constante!$CC$1</f>
        <v>1560153.4666169342</v>
      </c>
      <c r="CG105" s="8">
        <f>+MINVU_Mes_Corriente!CG105*SALUD_Mes_Constante!$CC$1</f>
        <v>1999610.1462140994</v>
      </c>
      <c r="CH105" s="8">
        <f>+MINVU_Mes_Corriente!CH105*SALUD_Mes_Constante!$CC$1</f>
        <v>2342904.984707199</v>
      </c>
      <c r="CI105" s="8">
        <f>+MINVU_Mes_Corriente!CI105*SALUD_Mes_Constante!$CC$1</f>
        <v>2425715.9955240586</v>
      </c>
      <c r="CJ105" s="8">
        <f>+MINVU_Mes_Corriente!CJ105*SALUD_Mes_Constante!$CC$1</f>
        <v>2479411.3830660204</v>
      </c>
      <c r="CK105" s="8">
        <f>+MINVU_Mes_Corriente!CK105*SALUD_Mes_Constante!$CC$1</f>
        <v>2554583.8388660951</v>
      </c>
      <c r="CL105" s="8">
        <f>+MINVU_Mes_Corriente!CL105*SALUD_Mes_Constante!$CC$1</f>
        <v>2926161.571801567</v>
      </c>
      <c r="CM105" s="8">
        <f>+MINVU_Mes_Corriente!CM105*SALUD_Mes_Constante!$CC$1</f>
        <v>3052984.9503916451</v>
      </c>
      <c r="CN105" s="8">
        <f>+MINVU_Mes_Corriente!CN105*SALUD_Mes_Constante!$CC$1</f>
        <v>4726153.1682208134</v>
      </c>
      <c r="CO105" s="9">
        <f t="shared" si="44"/>
        <v>4726153.1682208134</v>
      </c>
      <c r="CP105" s="8">
        <f>+MINVU_Mes_Corriente!CP105*SALUD_Mes_Constante!$CP$1</f>
        <v>0</v>
      </c>
      <c r="CQ105" s="8">
        <f>+MINVU_Mes_Corriente!CQ105*SALUD_Mes_Constante!$CP$1</f>
        <v>509098.3642691414</v>
      </c>
      <c r="CR105" s="8">
        <f>+MINVU_Mes_Corriente!CR105*SALUD_Mes_Constante!$CP$1</f>
        <v>1543191.0285382827</v>
      </c>
      <c r="CS105" s="8">
        <f>+MINVU_Mes_Corriente!CS105*SALUD_Mes_Constante!$CP$1</f>
        <v>2113272.1900232015</v>
      </c>
      <c r="CT105" s="8">
        <f>+MINVU_Mes_Corriente!CT105*SALUD_Mes_Constante!$CP$1</f>
        <v>2539164.3744779578</v>
      </c>
      <c r="CU105" s="8">
        <f>+MINVU_Mes_Corriente!CU105*SALUD_Mes_Constante!$CP$1</f>
        <v>3252074.466821345</v>
      </c>
      <c r="CV105" s="8">
        <f>+MINVU_Mes_Corriente!CV105*SALUD_Mes_Constante!$CP$1</f>
        <v>3393283.5104408348</v>
      </c>
      <c r="CW105" s="8">
        <f>+MINVU_Mes_Corriente!CW105*SALUD_Mes_Constante!$CP$1</f>
        <v>3597920.3923433865</v>
      </c>
      <c r="CX105" s="8">
        <f>+MINVU_Mes_Corriente!CX105*SALUD_Mes_Constante!$CP$1</f>
        <v>3739433.6401392105</v>
      </c>
      <c r="CY105" s="8">
        <f>+MINVU_Mes_Corriente!CY105*SALUD_Mes_Constante!$CP$1</f>
        <v>3977565.9368909504</v>
      </c>
      <c r="CZ105" s="8">
        <f>+MINVU_Mes_Corriente!CZ105*SALUD_Mes_Constante!$CP$1</f>
        <v>4101299.718097447</v>
      </c>
      <c r="DA105" s="8">
        <f>+MINVU_Mes_Corriente!DA105*SALUD_Mes_Constante!$CP$1</f>
        <v>4366346.4793503471</v>
      </c>
      <c r="DB105" s="9">
        <f t="shared" si="45"/>
        <v>4366346.4793503471</v>
      </c>
      <c r="DC105" s="8">
        <f>+MINVU_Mes_Corriente!DC105*SALUD_Mes_Constante!$DC$1</f>
        <v>0</v>
      </c>
      <c r="DD105" s="8">
        <f>+MINVU_Mes_Corriente!DD105*SALUD_Mes_Constante!$DC$1</f>
        <v>61368.13085073555</v>
      </c>
      <c r="DE105" s="8">
        <f>+MINVU_Mes_Corriente!DE105*SALUD_Mes_Constante!$DC$1</f>
        <v>160956.46847032206</v>
      </c>
      <c r="DF105" s="8">
        <f>+MINVU_Mes_Corriente!DF105*SALUD_Mes_Constante!$DC$1</f>
        <v>196592.69478448728</v>
      </c>
      <c r="DG105" s="8">
        <f>+MINVU_Mes_Corriente!DG105*SALUD_Mes_Constante!$DC$1</f>
        <v>260350.36127970385</v>
      </c>
      <c r="DH105" s="8">
        <f>+MINVU_Mes_Corriente!DH105*SALUD_Mes_Constante!$DC$1</f>
        <v>293594.80403250706</v>
      </c>
      <c r="DI105" s="8">
        <f>+MINVU_Mes_Corriente!DI105*SALUD_Mes_Constante!$DC$1</f>
        <v>325276.94455302967</v>
      </c>
      <c r="DJ105" s="8">
        <f>+MINVU_Mes_Corriente!DJ105*SALUD_Mes_Constante!$DC$1</f>
        <v>354445.9140006174</v>
      </c>
      <c r="DK105" s="8">
        <f>+MINVU_Mes_Corriente!DK105*SALUD_Mes_Constante!$DC$1</f>
        <v>370672.50200596661</v>
      </c>
      <c r="DL105" s="8">
        <f>+MINVU_Mes_Corriente!DL105*SALUD_Mes_Constante!$DC$1</f>
        <v>379536.0382676681</v>
      </c>
      <c r="DM105" s="8">
        <f>+MINVU_Mes_Corriente!DM105*SALUD_Mes_Constante!$DC$1</f>
        <v>498962.24236189714</v>
      </c>
      <c r="DN105" s="8">
        <f>+MINVU_Mes_Corriente!DN105*SALUD_Mes_Constante!$DC$1</f>
        <v>739644.45489147247</v>
      </c>
      <c r="DO105" s="9">
        <f t="shared" si="46"/>
        <v>739644.45489147247</v>
      </c>
      <c r="DP105" s="8">
        <f>+MINVU_Mes_Corriente!DP105*SALUD_Mes_Constante!$DP$1</f>
        <v>0</v>
      </c>
      <c r="DQ105" s="8">
        <f>+MINVU_Mes_Corriente!DQ105*SALUD_Mes_Constante!$DP$1</f>
        <v>40526.982185273162</v>
      </c>
      <c r="DR105" s="8">
        <f>+MINVU_Mes_Corriente!DR105*SALUD_Mes_Constante!$DP$1</f>
        <v>56839.206057007133</v>
      </c>
      <c r="DS105" s="8">
        <f>+MINVU_Mes_Corriente!DS105*SALUD_Mes_Constante!$DP$1</f>
        <v>92613.637767220906</v>
      </c>
      <c r="DT105" s="8">
        <f>+MINVU_Mes_Corriente!DT105*SALUD_Mes_Constante!$DP$1</f>
        <v>113103.13182897863</v>
      </c>
      <c r="DU105" s="8">
        <f>+MINVU_Mes_Corriente!DU105*SALUD_Mes_Constante!$DP$1</f>
        <v>129794.9109263658</v>
      </c>
      <c r="DV105" s="8">
        <f>+MINVU_Mes_Corriente!DV105*SALUD_Mes_Constante!$DP$1</f>
        <v>193020.59323040381</v>
      </c>
      <c r="DW105" s="8">
        <f>+MINVU_Mes_Corriente!DW105*SALUD_Mes_Constante!$DP$1</f>
        <v>339789.51662707841</v>
      </c>
      <c r="DX105" s="8">
        <f>+MINVU_Mes_Corriente!DX105*SALUD_Mes_Constante!$DP$1</f>
        <v>384619.20605700719</v>
      </c>
      <c r="DY105" s="8">
        <f>+MINVU_Mes_Corriente!DY105*SALUD_Mes_Constante!$DP$1</f>
        <v>406587.99228028505</v>
      </c>
      <c r="DZ105" s="8">
        <f>+MINVU_Mes_Corriente!DZ105*SALUD_Mes_Constante!$DP$1</f>
        <v>425473.83847981005</v>
      </c>
      <c r="EA105" s="8">
        <f>+MINVU_Mes_Corriente!EA105*SALUD_Mes_Constante!$DP$1</f>
        <v>542135.70605700719</v>
      </c>
      <c r="EB105" s="9">
        <f t="shared" si="47"/>
        <v>542135.70605700719</v>
      </c>
      <c r="EC105" s="8">
        <f>+MINVU_Mes_Corriente!EC105*SALUD_Mes_Constante!$EC$1</f>
        <v>0</v>
      </c>
      <c r="ED105" s="8">
        <f>+MINVU_Mes_Corriente!ED105*SALUD_Mes_Constante!$EC$1</f>
        <v>36655.167960613508</v>
      </c>
      <c r="EE105" s="8">
        <f>+MINVU_Mes_Corriente!EE105*SALUD_Mes_Constante!$EC$1</f>
        <v>476757.17894338176</v>
      </c>
      <c r="EF105" s="8">
        <f>+MINVU_Mes_Corriente!EF105*SALUD_Mes_Constante!$EC$1</f>
        <v>689029.02139746235</v>
      </c>
      <c r="EG105" s="8">
        <f>+MINVU_Mes_Corriente!EG105*SALUD_Mes_Constante!$EC$1</f>
        <v>1152025.7712554436</v>
      </c>
      <c r="EH105" s="8">
        <f>+MINVU_Mes_Corriente!EH105*SALUD_Mes_Constante!$EC$1</f>
        <v>1638356.9068358261</v>
      </c>
      <c r="EI105" s="8">
        <f>+MINVU_Mes_Corriente!EI105*SALUD_Mes_Constante!$EC$1</f>
        <v>2254464.5504639265</v>
      </c>
      <c r="EJ105" s="8">
        <f>+MINVU_Mes_Corriente!EJ105*SALUD_Mes_Constante!$EC$1</f>
        <v>2829195.7362241992</v>
      </c>
      <c r="EK105" s="8">
        <f>+MINVU_Mes_Corriente!EK105*SALUD_Mes_Constante!$EC$1</f>
        <v>3618952.5053967042</v>
      </c>
      <c r="EL105" s="8">
        <f>+MINVU_Mes_Corriente!EL105*SALUD_Mes_Constante!$EC$1</f>
        <v>4607570.3364893002</v>
      </c>
      <c r="EM105" s="8">
        <f>+MINVU_Mes_Corriente!EM105*SALUD_Mes_Constante!$EC$1</f>
        <v>6085101.323234234</v>
      </c>
      <c r="EN105" s="8">
        <f>+MINVU_Mes_Corriente!EN105*SALUD_Mes_Constante!$EC$1</f>
        <v>9434859.6157924607</v>
      </c>
      <c r="EO105" s="9">
        <f t="shared" si="48"/>
        <v>9434859.6157924607</v>
      </c>
      <c r="EP105" s="8">
        <f>+MINVU_Mes_Corriente!EP105*SALUD_Mes_Constante!$EP$1</f>
        <v>0</v>
      </c>
      <c r="EQ105" s="8">
        <f>+MINVU_Mes_Corriente!EQ105*SALUD_Mes_Constante!$EP$1</f>
        <v>340473</v>
      </c>
      <c r="ER105" s="8">
        <f>+MINVU_Mes_Corriente!ER105*SALUD_Mes_Constante!$EP$1</f>
        <v>2647460</v>
      </c>
      <c r="ES105" s="8">
        <f>+MINVU_Mes_Corriente!ES105*SALUD_Mes_Constante!$EP$1</f>
        <v>3870585</v>
      </c>
      <c r="ET105" s="8">
        <f>+MINVU_Mes_Corriente!ET105*SALUD_Mes_Constante!$EP$1</f>
        <v>5038177</v>
      </c>
      <c r="EU105" s="8">
        <f>+MINVU_Mes_Corriente!EU105*SALUD_Mes_Constante!$EP$1</f>
        <v>6486626</v>
      </c>
      <c r="EV105" s="8">
        <f>+MINVU_Mes_Corriente!EV105*SALUD_Mes_Constante!$EP$1</f>
        <v>8227971</v>
      </c>
      <c r="EW105" s="8">
        <f>+MINVU_Mes_Corriente!EW105*SALUD_Mes_Constante!$EP$1</f>
        <v>9278974</v>
      </c>
      <c r="EX105" s="8">
        <f>+MINVU_Mes_Corriente!EX105*SALUD_Mes_Constante!$EP$1</f>
        <v>10370802</v>
      </c>
      <c r="EY105" s="8">
        <f>+MINVU_Mes_Corriente!EY105*SALUD_Mes_Constante!$EP$1</f>
        <v>11472729</v>
      </c>
      <c r="EZ105" s="8">
        <f>+MINVU_Mes_Corriente!EZ105*SALUD_Mes_Constante!$EP$1</f>
        <v>12819445</v>
      </c>
      <c r="FA105" s="8">
        <f>+MINVU_Mes_Corriente!FA105*SALUD_Mes_Constante!$EP$1</f>
        <v>18578415</v>
      </c>
      <c r="FB105" s="9">
        <f t="shared" si="49"/>
        <v>18578415</v>
      </c>
      <c r="FC105" s="8">
        <f>+MINVU_Mes_Corriente!FC105*SALUD_Mes_Constante!$FC$1</f>
        <v>0</v>
      </c>
      <c r="FD105" s="8">
        <f>+MINVU_Mes_Corriente!FD105*SALUD_Mes_Constante!$FC$1</f>
        <v>48484</v>
      </c>
      <c r="FE105" s="8">
        <f>+MINVU_Mes_Corriente!FE105*SALUD_Mes_Constante!$FC$1</f>
        <v>1037164</v>
      </c>
      <c r="FF105" s="8">
        <f>+MINVU_Mes_Corriente!FF105*SALUD_Mes_Constante!$FC$1</f>
        <v>1711955</v>
      </c>
      <c r="FG105" s="8">
        <f>+MINVU_Mes_Corriente!FG105*SALUD_Mes_Constante!$FC$1</f>
        <v>2368596</v>
      </c>
      <c r="FH105" s="8">
        <f>+MINVU_Mes_Corriente!FH105*SALUD_Mes_Constante!$FC$1</f>
        <v>2720230</v>
      </c>
      <c r="FI105" s="8">
        <f>+MINVU_Mes_Corriente!FI105*SALUD_Mes_Constante!$FC$1</f>
        <v>3210746</v>
      </c>
      <c r="FJ105" s="8"/>
      <c r="FK105" s="8"/>
      <c r="FL105" s="8"/>
      <c r="FM105" s="8"/>
      <c r="FN105" s="8"/>
      <c r="FO105" s="9">
        <f t="shared" si="50"/>
        <v>3210746</v>
      </c>
    </row>
    <row r="106" spans="2:171" ht="14.25" customHeight="1" x14ac:dyDescent="0.3">
      <c r="B106" s="32" t="s">
        <v>69</v>
      </c>
      <c r="C106" s="8">
        <f>+MINVU_Mes_Corriente!C106*SALUD_Mes_Constante!$C$1</f>
        <v>0</v>
      </c>
      <c r="D106" s="8">
        <f>+MINVU_Mes_Corriente!D106*SALUD_Mes_Constante!$C$1</f>
        <v>0</v>
      </c>
      <c r="E106" s="8">
        <f>+MINVU_Mes_Corriente!E106*SALUD_Mes_Constante!$C$1</f>
        <v>231103.61500815663</v>
      </c>
      <c r="F106" s="8">
        <f>+MINVU_Mes_Corriente!F106*SALUD_Mes_Constante!$C$1</f>
        <v>355920.56681002525</v>
      </c>
      <c r="G106" s="8">
        <f>+MINVU_Mes_Corriente!G106*SALUD_Mes_Constante!$C$1</f>
        <v>570981.12590834952</v>
      </c>
      <c r="H106" s="8">
        <f>+MINVU_Mes_Corriente!H106*SALUD_Mes_Constante!$C$1</f>
        <v>660127.75826783339</v>
      </c>
      <c r="I106" s="8">
        <f>+MINVU_Mes_Corriente!I106*SALUD_Mes_Constante!$C$1</f>
        <v>701226.24024914741</v>
      </c>
      <c r="J106" s="8">
        <f>+MINVU_Mes_Corriente!J106*SALUD_Mes_Constante!$C$1</f>
        <v>969976.99807207484</v>
      </c>
      <c r="K106" s="8">
        <f>+MINVU_Mes_Corriente!K106*SALUD_Mes_Constante!$C$1</f>
        <v>995281.95758564456</v>
      </c>
      <c r="L106" s="8">
        <f>+MINVU_Mes_Corriente!L106*SALUD_Mes_Constante!$C$1</f>
        <v>1092740.9701913097</v>
      </c>
      <c r="M106" s="8">
        <f>+MINVU_Mes_Corriente!M106*SALUD_Mes_Constante!$C$1</f>
        <v>1435450.847693905</v>
      </c>
      <c r="N106" s="8">
        <f>+MINVU_Mes_Corriente!N106*SALUD_Mes_Constante!$C$1</f>
        <v>3876139.0651045535</v>
      </c>
      <c r="O106" s="9">
        <f t="shared" si="38"/>
        <v>3876139.0651045535</v>
      </c>
      <c r="P106" s="8">
        <f>+MINVU_Mes_Corriente!P106*SALUD_Mes_Constante!$P$1</f>
        <v>0</v>
      </c>
      <c r="Q106" s="8">
        <f>+MINVU_Mes_Corriente!Q106*SALUD_Mes_Constante!$P$1</f>
        <v>0</v>
      </c>
      <c r="R106" s="8">
        <f>+MINVU_Mes_Corriente!R106*SALUD_Mes_Constante!$P$1</f>
        <v>37521.551072595525</v>
      </c>
      <c r="S106" s="8">
        <f>+MINVU_Mes_Corriente!S106*SALUD_Mes_Constante!$P$1</f>
        <v>189600.79187384565</v>
      </c>
      <c r="T106" s="8">
        <f>+MINVU_Mes_Corriente!T106*SALUD_Mes_Constante!$P$1</f>
        <v>829952.24691007216</v>
      </c>
      <c r="U106" s="8">
        <f>+MINVU_Mes_Corriente!U106*SALUD_Mes_Constante!$P$1</f>
        <v>1518661.2248898987</v>
      </c>
      <c r="V106" s="8">
        <f>+MINVU_Mes_Corriente!V106*SALUD_Mes_Constante!$P$1</f>
        <v>1996400.1480323903</v>
      </c>
      <c r="W106" s="8">
        <f>+MINVU_Mes_Corriente!W106*SALUD_Mes_Constante!$P$1</f>
        <v>2309153.2115357285</v>
      </c>
      <c r="X106" s="8">
        <f>+MINVU_Mes_Corriente!X106*SALUD_Mes_Constante!$P$1</f>
        <v>2457957.2910924838</v>
      </c>
      <c r="Y106" s="8">
        <f>+MINVU_Mes_Corriente!Y106*SALUD_Mes_Constante!$P$1</f>
        <v>2709421.3774683895</v>
      </c>
      <c r="Z106" s="8">
        <f>+MINVU_Mes_Corriente!Z106*SALUD_Mes_Constante!$P$1</f>
        <v>4979988.2224747818</v>
      </c>
      <c r="AA106" s="8">
        <f>+MINVU_Mes_Corriente!AA106*SALUD_Mes_Constante!$P$1</f>
        <v>22645731.447080541</v>
      </c>
      <c r="AB106" s="9">
        <f t="shared" si="39"/>
        <v>22645731.447080541</v>
      </c>
      <c r="AC106" s="8">
        <f>+MINVU_Mes_Corriente!AC106*SALUD_Mes_Constante!$AC$1</f>
        <v>0</v>
      </c>
      <c r="AD106" s="8">
        <f>+MINVU_Mes_Corriente!AD106*SALUD_Mes_Constante!$AC$1</f>
        <v>0</v>
      </c>
      <c r="AE106" s="8">
        <f>+MINVU_Mes_Corriente!AE106*SALUD_Mes_Constante!$AC$1</f>
        <v>486053.59164476412</v>
      </c>
      <c r="AF106" s="8">
        <f>+MINVU_Mes_Corriente!AF106*SALUD_Mes_Constante!$AC$1</f>
        <v>1353540.8109005394</v>
      </c>
      <c r="AG106" s="8">
        <f>+MINVU_Mes_Corriente!AG106*SALUD_Mes_Constante!$AC$1</f>
        <v>1952989.6267810208</v>
      </c>
      <c r="AH106" s="8">
        <f>+MINVU_Mes_Corriente!AH106*SALUD_Mes_Constante!$AC$1</f>
        <v>3225029.0372112324</v>
      </c>
      <c r="AI106" s="8">
        <f>+MINVU_Mes_Corriente!AI106*SALUD_Mes_Constante!$AC$1</f>
        <v>4465759.5404620282</v>
      </c>
      <c r="AJ106" s="8">
        <f>+MINVU_Mes_Corriente!AJ106*SALUD_Mes_Constante!$AC$1</f>
        <v>6164292.3153963201</v>
      </c>
      <c r="AK106" s="8">
        <f>+MINVU_Mes_Corriente!AK106*SALUD_Mes_Constante!$AC$1</f>
        <v>7177186.4728178168</v>
      </c>
      <c r="AL106" s="8">
        <f>+MINVU_Mes_Corriente!AL106*SALUD_Mes_Constante!$AC$1</f>
        <v>7507517.7368930699</v>
      </c>
      <c r="AM106" s="8">
        <f>+MINVU_Mes_Corriente!AM106*SALUD_Mes_Constante!$AC$1</f>
        <v>9401512.4047586117</v>
      </c>
      <c r="AN106" s="8">
        <f>+MINVU_Mes_Corriente!AN106*SALUD_Mes_Constante!$AC$1</f>
        <v>15869068.100152165</v>
      </c>
      <c r="AO106" s="9">
        <f t="shared" si="40"/>
        <v>15869068.100152165</v>
      </c>
      <c r="AP106" s="8">
        <f>+MINVU_Mes_Corriente!AP106*SALUD_Mes_Constante!$AP$1</f>
        <v>0</v>
      </c>
      <c r="AQ106" s="8">
        <f>+MINVU_Mes_Corriente!AQ106*SALUD_Mes_Constante!$AP$1</f>
        <v>299069.13810361153</v>
      </c>
      <c r="AR106" s="8">
        <f>+MINVU_Mes_Corriente!AR106*SALUD_Mes_Constante!$AP$1</f>
        <v>853847.76139591495</v>
      </c>
      <c r="AS106" s="8">
        <f>+MINVU_Mes_Corriente!AS106*SALUD_Mes_Constante!$AP$1</f>
        <v>2320451.5544433924</v>
      </c>
      <c r="AT106" s="8">
        <f>+MINVU_Mes_Corriente!AT106*SALUD_Mes_Constante!$AP$1</f>
        <v>3032709.1148383603</v>
      </c>
      <c r="AU106" s="8">
        <f>+MINVU_Mes_Corriente!AU106*SALUD_Mes_Constante!$AP$1</f>
        <v>5106523.9169484647</v>
      </c>
      <c r="AV106" s="8">
        <f>+MINVU_Mes_Corriente!AV106*SALUD_Mes_Constante!$AP$1</f>
        <v>6577710.6297849314</v>
      </c>
      <c r="AW106" s="8">
        <f>+MINVU_Mes_Corriente!AW106*SALUD_Mes_Constante!$AP$1</f>
        <v>9691594.0278641954</v>
      </c>
      <c r="AX106" s="8">
        <f>+MINVU_Mes_Corriente!AX106*SALUD_Mes_Constante!$AP$1</f>
        <v>12665569.057486812</v>
      </c>
      <c r="AY106" s="8">
        <f>+MINVU_Mes_Corriente!AY106*SALUD_Mes_Constante!$AP$1</f>
        <v>15514284.50967131</v>
      </c>
      <c r="AZ106" s="8">
        <f>+MINVU_Mes_Corriente!AZ106*SALUD_Mes_Constante!$AP$1</f>
        <v>19015898.29189774</v>
      </c>
      <c r="BA106" s="8">
        <f>+MINVU_Mes_Corriente!BA106*SALUD_Mes_Constante!$AP$1</f>
        <v>33226922.191262003</v>
      </c>
      <c r="BB106" s="9">
        <f t="shared" si="41"/>
        <v>33226922.191262003</v>
      </c>
      <c r="BC106" s="8">
        <f>+MINVU_Mes_Corriente!BC106*SALUD_Mes_Constante!$BC$1</f>
        <v>0</v>
      </c>
      <c r="BD106" s="8">
        <f>+MINVU_Mes_Corriente!BD106*SALUD_Mes_Constante!$BC$1</f>
        <v>0</v>
      </c>
      <c r="BE106" s="8">
        <f>+MINVU_Mes_Corriente!BE106*SALUD_Mes_Constante!$BC$1</f>
        <v>0</v>
      </c>
      <c r="BF106" s="8">
        <f>+MINVU_Mes_Corriente!BF106*SALUD_Mes_Constante!$BC$1</f>
        <v>3817917.2931557442</v>
      </c>
      <c r="BG106" s="8">
        <f>+MINVU_Mes_Corriente!BG106*SALUD_Mes_Constante!$BC$1</f>
        <v>6990039.2575497841</v>
      </c>
      <c r="BH106" s="8">
        <f>+MINVU_Mes_Corriente!BH106*SALUD_Mes_Constante!$BC$1</f>
        <v>7937025.0565739172</v>
      </c>
      <c r="BI106" s="8">
        <f>+MINVU_Mes_Corriente!BI106*SALUD_Mes_Constante!$BC$1</f>
        <v>8544163.6987999491</v>
      </c>
      <c r="BJ106" s="8">
        <f>+MINVU_Mes_Corriente!BJ106*SALUD_Mes_Constante!$BC$1</f>
        <v>10268307.535276279</v>
      </c>
      <c r="BK106" s="8">
        <f>+MINVU_Mes_Corriente!BK106*SALUD_Mes_Constante!$BC$1</f>
        <v>10410603.448239485</v>
      </c>
      <c r="BL106" s="8">
        <f>+MINVU_Mes_Corriente!BL106*SALUD_Mes_Constante!$BC$1</f>
        <v>10690231.530265069</v>
      </c>
      <c r="BM106" s="8">
        <f>+MINVU_Mes_Corriente!BM106*SALUD_Mes_Constante!$BC$1</f>
        <v>11084946.428062774</v>
      </c>
      <c r="BN106" s="8">
        <f>+MINVU_Mes_Corriente!BN106*SALUD_Mes_Constante!$BC$1</f>
        <v>13612489.14492945</v>
      </c>
      <c r="BO106" s="9">
        <f t="shared" si="42"/>
        <v>13612489.14492945</v>
      </c>
      <c r="BP106" s="8">
        <f>+MINVU_Mes_Corriente!BP106*SALUD_Mes_Constante!$BP$1</f>
        <v>0</v>
      </c>
      <c r="BQ106" s="8">
        <f>+MINVU_Mes_Corriente!BQ106*SALUD_Mes_Constante!$BP$1</f>
        <v>0</v>
      </c>
      <c r="BR106" s="8">
        <f>+MINVU_Mes_Corriente!BR106*SALUD_Mes_Constante!$BP$1</f>
        <v>910977.9833546736</v>
      </c>
      <c r="BS106" s="8">
        <f>+MINVU_Mes_Corriente!BS106*SALUD_Mes_Constante!$BP$1</f>
        <v>1086310.205377721</v>
      </c>
      <c r="BT106" s="8">
        <f>+MINVU_Mes_Corriente!BT106*SALUD_Mes_Constante!$BP$1</f>
        <v>1292078.5421254802</v>
      </c>
      <c r="BU106" s="8">
        <f>+MINVU_Mes_Corriente!BU106*SALUD_Mes_Constante!$BP$1</f>
        <v>2659311.4563380284</v>
      </c>
      <c r="BV106" s="8">
        <f>+MINVU_Mes_Corriente!BV106*SALUD_Mes_Constante!$BP$1</f>
        <v>2849649.0914212549</v>
      </c>
      <c r="BW106" s="8">
        <f>+MINVU_Mes_Corriente!BW106*SALUD_Mes_Constante!$BP$1</f>
        <v>3045577.0332906535</v>
      </c>
      <c r="BX106" s="8">
        <f>+MINVU_Mes_Corriente!BX106*SALUD_Mes_Constante!$BP$1</f>
        <v>3346684.1631242</v>
      </c>
      <c r="BY106" s="8">
        <f>+MINVU_Mes_Corriente!BY106*SALUD_Mes_Constante!$BP$1</f>
        <v>3940774.5710627404</v>
      </c>
      <c r="BZ106" s="8">
        <f>+MINVU_Mes_Corriente!BZ106*SALUD_Mes_Constante!$BP$1</f>
        <v>4863275.9170294497</v>
      </c>
      <c r="CA106" s="8">
        <f>+MINVU_Mes_Corriente!CA106*SALUD_Mes_Constante!$BP$1</f>
        <v>7173440.8179257372</v>
      </c>
      <c r="CB106" s="9">
        <f t="shared" si="43"/>
        <v>7173440.8179257372</v>
      </c>
      <c r="CC106" s="8">
        <f>+MINVU_Mes_Corriente!CC106*SALUD_Mes_Constante!$CC$1</f>
        <v>0</v>
      </c>
      <c r="CD106" s="8">
        <f>+MINVU_Mes_Corriente!CD106*SALUD_Mes_Constante!$CC$1</f>
        <v>0</v>
      </c>
      <c r="CE106" s="8">
        <f>+MINVU_Mes_Corriente!CE106*SALUD_Mes_Constante!$CC$1</f>
        <v>831090.54382693034</v>
      </c>
      <c r="CF106" s="8">
        <f>+MINVU_Mes_Corriente!CF106*SALUD_Mes_Constante!$CC$1</f>
        <v>866142.58634837752</v>
      </c>
      <c r="CG106" s="8">
        <f>+MINVU_Mes_Corriente!CG106*SALUD_Mes_Constante!$CC$1</f>
        <v>1459632.364789258</v>
      </c>
      <c r="CH106" s="8">
        <f>+MINVU_Mes_Corriente!CH106*SALUD_Mes_Constante!$CC$1</f>
        <v>2147360.4214845211</v>
      </c>
      <c r="CI106" s="8">
        <f>+MINVU_Mes_Corriente!CI106*SALUD_Mes_Constante!$CC$1</f>
        <v>2501787.7441253266</v>
      </c>
      <c r="CJ106" s="8">
        <f>+MINVU_Mes_Corriente!CJ106*SALUD_Mes_Constante!$CC$1</f>
        <v>2903668.3841850059</v>
      </c>
      <c r="CK106" s="8">
        <f>+MINVU_Mes_Corriente!CK106*SALUD_Mes_Constante!$CC$1</f>
        <v>3296432.4774337937</v>
      </c>
      <c r="CL106" s="8">
        <f>+MINVU_Mes_Corriente!CL106*SALUD_Mes_Constante!$CC$1</f>
        <v>3588477.1353972401</v>
      </c>
      <c r="CM106" s="8">
        <f>+MINVU_Mes_Corriente!CM106*SALUD_Mes_Constante!$CC$1</f>
        <v>3789572.3185378592</v>
      </c>
      <c r="CN106" s="8">
        <f>+MINVU_Mes_Corriente!CN106*SALUD_Mes_Constante!$CC$1</f>
        <v>8092681.5800074609</v>
      </c>
      <c r="CO106" s="9">
        <f t="shared" si="44"/>
        <v>8092681.5800074609</v>
      </c>
      <c r="CP106" s="8">
        <f>+MINVU_Mes_Corriente!CP106*SALUD_Mes_Constante!$CP$1</f>
        <v>0</v>
      </c>
      <c r="CQ106" s="8">
        <f>+MINVU_Mes_Corriente!CQ106*SALUD_Mes_Constante!$CP$1</f>
        <v>0</v>
      </c>
      <c r="CR106" s="8">
        <f>+MINVU_Mes_Corriente!CR106*SALUD_Mes_Constante!$CP$1</f>
        <v>418023.43642691406</v>
      </c>
      <c r="CS106" s="8">
        <f>+MINVU_Mes_Corriente!CS106*SALUD_Mes_Constante!$CP$1</f>
        <v>1122790.9969837584</v>
      </c>
      <c r="CT106" s="8">
        <f>+MINVU_Mes_Corriente!CT106*SALUD_Mes_Constante!$CP$1</f>
        <v>1600179.8784222736</v>
      </c>
      <c r="CU106" s="8">
        <f>+MINVU_Mes_Corriente!CU106*SALUD_Mes_Constante!$CP$1</f>
        <v>3074933.8399071922</v>
      </c>
      <c r="CV106" s="8">
        <f>+MINVU_Mes_Corriente!CV106*SALUD_Mes_Constante!$CP$1</f>
        <v>6468773.7904872373</v>
      </c>
      <c r="CW106" s="8">
        <f>+MINVU_Mes_Corriente!CW106*SALUD_Mes_Constante!$CP$1</f>
        <v>6487616.7041763328</v>
      </c>
      <c r="CX106" s="8">
        <f>+MINVU_Mes_Corriente!CX106*SALUD_Mes_Constante!$CP$1</f>
        <v>6660916.7533642678</v>
      </c>
      <c r="CY106" s="8">
        <f>+MINVU_Mes_Corriente!CY106*SALUD_Mes_Constante!$CP$1</f>
        <v>7035023.246867748</v>
      </c>
      <c r="CZ106" s="8">
        <f>+MINVU_Mes_Corriente!CZ106*SALUD_Mes_Constante!$CP$1</f>
        <v>7382751.4357308568</v>
      </c>
      <c r="DA106" s="8">
        <f>+MINVU_Mes_Corriente!DA106*SALUD_Mes_Constante!$CP$1</f>
        <v>9525470.5900231991</v>
      </c>
      <c r="DB106" s="9">
        <f t="shared" si="45"/>
        <v>9525470.5900231991</v>
      </c>
      <c r="DC106" s="8">
        <f>+MINVU_Mes_Corriente!DC106*SALUD_Mes_Constante!$DC$1</f>
        <v>0</v>
      </c>
      <c r="DD106" s="8">
        <f>+MINVU_Mes_Corriente!DD106*SALUD_Mes_Constante!$DC$1</f>
        <v>0</v>
      </c>
      <c r="DE106" s="8">
        <f>+MINVU_Mes_Corriente!DE106*SALUD_Mes_Constante!$DC$1</f>
        <v>0</v>
      </c>
      <c r="DF106" s="8">
        <f>+MINVU_Mes_Corriente!DF106*SALUD_Mes_Constante!$DC$1</f>
        <v>0</v>
      </c>
      <c r="DG106" s="8">
        <f>+MINVU_Mes_Corriente!DG106*SALUD_Mes_Constante!$DC$1</f>
        <v>102311.68892089296</v>
      </c>
      <c r="DH106" s="8">
        <f>+MINVU_Mes_Corriente!DH106*SALUD_Mes_Constante!$DC$1</f>
        <v>143953.22518259444</v>
      </c>
      <c r="DI106" s="8">
        <f>+MINVU_Mes_Corriente!DI106*SALUD_Mes_Constante!$DC$1</f>
        <v>174722.71144943943</v>
      </c>
      <c r="DJ106" s="8">
        <f>+MINVU_Mes_Corriente!DJ106*SALUD_Mes_Constante!$DC$1</f>
        <v>284568.29379693459</v>
      </c>
      <c r="DK106" s="8">
        <f>+MINVU_Mes_Corriente!DK106*SALUD_Mes_Constante!$DC$1</f>
        <v>939689.950005144</v>
      </c>
      <c r="DL106" s="8">
        <f>+MINVU_Mes_Corriente!DL106*SALUD_Mes_Constante!$DC$1</f>
        <v>1174212.8702808358</v>
      </c>
      <c r="DM106" s="8">
        <f>+MINVU_Mes_Corriente!DM106*SALUD_Mes_Constante!$DC$1</f>
        <v>2394805.8856084775</v>
      </c>
      <c r="DN106" s="8">
        <f>+MINVU_Mes_Corriente!DN106*SALUD_Mes_Constante!$DC$1</f>
        <v>5844277.0498919887</v>
      </c>
      <c r="DO106" s="9">
        <f t="shared" si="46"/>
        <v>5844277.0498919887</v>
      </c>
      <c r="DP106" s="8">
        <f>+MINVU_Mes_Corriente!DP106*SALUD_Mes_Constante!$DP$1</f>
        <v>0</v>
      </c>
      <c r="DQ106" s="8">
        <f>+MINVU_Mes_Corriente!DQ106*SALUD_Mes_Constante!$DP$1</f>
        <v>172661.94299287413</v>
      </c>
      <c r="DR106" s="8">
        <f>+MINVU_Mes_Corriente!DR106*SALUD_Mes_Constante!$DP$1</f>
        <v>1520442.0035629454</v>
      </c>
      <c r="DS106" s="8">
        <f>+MINVU_Mes_Corriente!DS106*SALUD_Mes_Constante!$DP$1</f>
        <v>2315977.8616389553</v>
      </c>
      <c r="DT106" s="8">
        <f>+MINVU_Mes_Corriente!DT106*SALUD_Mes_Constante!$DP$1</f>
        <v>3367078.7422802853</v>
      </c>
      <c r="DU106" s="8">
        <f>+MINVU_Mes_Corriente!DU106*SALUD_Mes_Constante!$DP$1</f>
        <v>4664265.4970308794</v>
      </c>
      <c r="DV106" s="8">
        <f>+MINVU_Mes_Corriente!DV106*SALUD_Mes_Constante!$DP$1</f>
        <v>5997782.4994061766</v>
      </c>
      <c r="DW106" s="8">
        <f>+MINVU_Mes_Corriente!DW106*SALUD_Mes_Constante!$DP$1</f>
        <v>7260510.8301662719</v>
      </c>
      <c r="DX106" s="8">
        <f>+MINVU_Mes_Corriente!DX106*SALUD_Mes_Constante!$DP$1</f>
        <v>8302281.7891923999</v>
      </c>
      <c r="DY106" s="8">
        <f>+MINVU_Mes_Corriente!DY106*SALUD_Mes_Constante!$DP$1</f>
        <v>9421153.2826603334</v>
      </c>
      <c r="DZ106" s="8">
        <f>+MINVU_Mes_Corriente!DZ106*SALUD_Mes_Constante!$DP$1</f>
        <v>11294633.551068885</v>
      </c>
      <c r="EA106" s="8">
        <f>+MINVU_Mes_Corriente!EA106*SALUD_Mes_Constante!$DP$1</f>
        <v>16490558.597387174</v>
      </c>
      <c r="EB106" s="9">
        <f t="shared" si="47"/>
        <v>16490558.597387174</v>
      </c>
      <c r="EC106" s="8">
        <f>+MINVU_Mes_Corriente!EC106*SALUD_Mes_Constante!$EC$1</f>
        <v>0</v>
      </c>
      <c r="ED106" s="8">
        <f>+MINVU_Mes_Corriente!ED106*SALUD_Mes_Constante!$EC$1</f>
        <v>0</v>
      </c>
      <c r="EE106" s="8">
        <f>+MINVU_Mes_Corriente!EE106*SALUD_Mes_Constante!$EC$1</f>
        <v>0</v>
      </c>
      <c r="EF106" s="8">
        <f>+MINVU_Mes_Corriente!EF106*SALUD_Mes_Constante!$EC$1</f>
        <v>1410067.4366597231</v>
      </c>
      <c r="EG106" s="8">
        <f>+MINVU_Mes_Corriente!EG106*SALUD_Mes_Constante!$EC$1</f>
        <v>1549858.5826547998</v>
      </c>
      <c r="EH106" s="8">
        <f>+MINVU_Mes_Corriente!EH106*SALUD_Mes_Constante!$EC$1</f>
        <v>2430157.775231963</v>
      </c>
      <c r="EI106" s="8">
        <f>+MINVU_Mes_Corriente!EI106*SALUD_Mes_Constante!$EC$1</f>
        <v>3306884.9664836195</v>
      </c>
      <c r="EJ106" s="8">
        <f>+MINVU_Mes_Corriente!EJ106*SALUD_Mes_Constante!$EC$1</f>
        <v>3878571.727135011</v>
      </c>
      <c r="EK106" s="8">
        <f>+MINVU_Mes_Corriente!EK106*SALUD_Mes_Constante!$EC$1</f>
        <v>4586007.9861768587</v>
      </c>
      <c r="EL106" s="8">
        <f>+MINVU_Mes_Corriente!EL106*SALUD_Mes_Constante!$EC$1</f>
        <v>6439895.2944518067</v>
      </c>
      <c r="EM106" s="8">
        <f>+MINVU_Mes_Corriente!EM106*SALUD_Mes_Constante!$EC$1</f>
        <v>7550309.7846998647</v>
      </c>
      <c r="EN106" s="8">
        <f>+MINVU_Mes_Corriente!EN106*SALUD_Mes_Constante!$EC$1</f>
        <v>9136944.5675061513</v>
      </c>
      <c r="EO106" s="9">
        <f t="shared" si="48"/>
        <v>9136944.5675061513</v>
      </c>
      <c r="EP106" s="8">
        <f>+MINVU_Mes_Corriente!EP106*SALUD_Mes_Constante!$EP$1</f>
        <v>0</v>
      </c>
      <c r="EQ106" s="8">
        <f>+MINVU_Mes_Corriente!EQ106*SALUD_Mes_Constante!$EP$1</f>
        <v>0</v>
      </c>
      <c r="ER106" s="8">
        <f>+MINVU_Mes_Corriente!ER106*SALUD_Mes_Constante!$EP$1</f>
        <v>0</v>
      </c>
      <c r="ES106" s="8">
        <f>+MINVU_Mes_Corriente!ES106*SALUD_Mes_Constante!$EP$1</f>
        <v>95319</v>
      </c>
      <c r="ET106" s="8">
        <f>+MINVU_Mes_Corriente!ET106*SALUD_Mes_Constante!$EP$1</f>
        <v>111874</v>
      </c>
      <c r="EU106" s="8">
        <f>+MINVU_Mes_Corriente!EU106*SALUD_Mes_Constante!$EP$1</f>
        <v>178000</v>
      </c>
      <c r="EV106" s="8">
        <f>+MINVU_Mes_Corriente!EV106*SALUD_Mes_Constante!$EP$1</f>
        <v>183332</v>
      </c>
      <c r="EW106" s="8">
        <f>+MINVU_Mes_Corriente!EW106*SALUD_Mes_Constante!$EP$1</f>
        <v>344092</v>
      </c>
      <c r="EX106" s="8">
        <f>+MINVU_Mes_Corriente!EX106*SALUD_Mes_Constante!$EP$1</f>
        <v>367816</v>
      </c>
      <c r="EY106" s="8">
        <f>+MINVU_Mes_Corriente!EY106*SALUD_Mes_Constante!$EP$1</f>
        <v>1108734</v>
      </c>
      <c r="EZ106" s="8">
        <f>+MINVU_Mes_Corriente!EZ106*SALUD_Mes_Constante!$EP$1</f>
        <v>1304195</v>
      </c>
      <c r="FA106" s="8">
        <f>+MINVU_Mes_Corriente!FA106*SALUD_Mes_Constante!$EP$1</f>
        <v>1624700</v>
      </c>
      <c r="FB106" s="9">
        <f t="shared" si="49"/>
        <v>1624700</v>
      </c>
      <c r="FC106" s="8">
        <f>+MINVU_Mes_Corriente!FC106*SALUD_Mes_Constante!$FC$1</f>
        <v>0</v>
      </c>
      <c r="FD106" s="8">
        <f>+MINVU_Mes_Corriente!FD106*SALUD_Mes_Constante!$FC$1</f>
        <v>0</v>
      </c>
      <c r="FE106" s="8">
        <f>+MINVU_Mes_Corriente!FE106*SALUD_Mes_Constante!$FC$1</f>
        <v>0</v>
      </c>
      <c r="FF106" s="8">
        <f>+MINVU_Mes_Corriente!FF106*SALUD_Mes_Constante!$FC$1</f>
        <v>0</v>
      </c>
      <c r="FG106" s="8">
        <f>+MINVU_Mes_Corriente!FG106*SALUD_Mes_Constante!$FC$1</f>
        <v>0</v>
      </c>
      <c r="FH106" s="8">
        <f>+MINVU_Mes_Corriente!FH106*SALUD_Mes_Constante!$FC$1</f>
        <v>82800</v>
      </c>
      <c r="FI106" s="8">
        <f>+MINVU_Mes_Corriente!FI106*SALUD_Mes_Constante!$FC$1</f>
        <v>632564</v>
      </c>
      <c r="FJ106" s="8"/>
      <c r="FK106" s="8"/>
      <c r="FL106" s="8"/>
      <c r="FM106" s="8"/>
      <c r="FN106" s="8"/>
      <c r="FO106" s="9">
        <f t="shared" si="50"/>
        <v>632564</v>
      </c>
    </row>
    <row r="107" spans="2:171" ht="14.25" customHeight="1" x14ac:dyDescent="0.3">
      <c r="B107" s="35" t="s">
        <v>70</v>
      </c>
      <c r="C107" s="8">
        <f>+MINVU_Mes_Corriente!C107*SALUD_Mes_Constante!$C$1</f>
        <v>0</v>
      </c>
      <c r="D107" s="8">
        <f>+MINVU_Mes_Corriente!D107*SALUD_Mes_Constante!$C$1</f>
        <v>0</v>
      </c>
      <c r="E107" s="8">
        <f>+MINVU_Mes_Corriente!E107*SALUD_Mes_Constante!$C$1</f>
        <v>3890738.3918137331</v>
      </c>
      <c r="F107" s="8">
        <f>+MINVU_Mes_Corriente!F107*SALUD_Mes_Constante!$C$1</f>
        <v>4561597.7084383816</v>
      </c>
      <c r="G107" s="8">
        <f>+MINVU_Mes_Corriente!G107*SALUD_Mes_Constante!$C$1</f>
        <v>7249309.4503930015</v>
      </c>
      <c r="H107" s="8">
        <f>+MINVU_Mes_Corriente!H107*SALUD_Mes_Constante!$C$1</f>
        <v>9414259.9736022558</v>
      </c>
      <c r="I107" s="8">
        <f>+MINVU_Mes_Corriente!I107*SALUD_Mes_Constante!$C$1</f>
        <v>10837704.049829455</v>
      </c>
      <c r="J107" s="8">
        <f>+MINVU_Mes_Corriente!J107*SALUD_Mes_Constante!$C$1</f>
        <v>13354665.242473679</v>
      </c>
      <c r="K107" s="8">
        <f>+MINVU_Mes_Corriente!K107*SALUD_Mes_Constante!$C$1</f>
        <v>15712983.118789859</v>
      </c>
      <c r="L107" s="8">
        <f>+MINVU_Mes_Corriente!L107*SALUD_Mes_Constante!$C$1</f>
        <v>17675364.338128433</v>
      </c>
      <c r="M107" s="8">
        <f>+MINVU_Mes_Corriente!M107*SALUD_Mes_Constante!$C$1</f>
        <v>19256421.189974792</v>
      </c>
      <c r="N107" s="8">
        <f>+MINVU_Mes_Corriente!N107*SALUD_Mes_Constante!$C$1</f>
        <v>32440946.75396708</v>
      </c>
      <c r="O107" s="9">
        <f t="shared" si="38"/>
        <v>32440946.75396708</v>
      </c>
      <c r="P107" s="8">
        <f>+MINVU_Mes_Corriente!P107*SALUD_Mes_Constante!$P$1</f>
        <v>0</v>
      </c>
      <c r="Q107" s="8">
        <f>+MINVU_Mes_Corriente!Q107*SALUD_Mes_Constante!$P$1</f>
        <v>2193810.1039920435</v>
      </c>
      <c r="R107" s="8">
        <f>+MINVU_Mes_Corriente!R107*SALUD_Mes_Constante!$P$1</f>
        <v>3993585.7138798111</v>
      </c>
      <c r="S107" s="8">
        <f>+MINVU_Mes_Corriente!S107*SALUD_Mes_Constante!$P$1</f>
        <v>5118459.2459156113</v>
      </c>
      <c r="T107" s="8">
        <f>+MINVU_Mes_Corriente!T107*SALUD_Mes_Constante!$P$1</f>
        <v>5356797.8519676067</v>
      </c>
      <c r="U107" s="8">
        <f>+MINVU_Mes_Corriente!U107*SALUD_Mes_Constante!$P$1</f>
        <v>10052162.144622812</v>
      </c>
      <c r="V107" s="8">
        <f>+MINVU_Mes_Corriente!V107*SALUD_Mes_Constante!$P$1</f>
        <v>15441961.514703788</v>
      </c>
      <c r="W107" s="8">
        <f>+MINVU_Mes_Corriente!W107*SALUD_Mes_Constante!$P$1</f>
        <v>18986656.111947712</v>
      </c>
      <c r="X107" s="8">
        <f>+MINVU_Mes_Corriente!X107*SALUD_Mes_Constante!$P$1</f>
        <v>23355798.822560012</v>
      </c>
      <c r="Y107" s="8">
        <f>+MINVU_Mes_Corriente!Y107*SALUD_Mes_Constante!$P$1</f>
        <v>27557427.124875683</v>
      </c>
      <c r="Z107" s="8">
        <f>+MINVU_Mes_Corriente!Z107*SALUD_Mes_Constante!$P$1</f>
        <v>36411814.683903947</v>
      </c>
      <c r="AA107" s="8">
        <f>+MINVU_Mes_Corriente!AA107*SALUD_Mes_Constante!$P$1</f>
        <v>51768979.014348611</v>
      </c>
      <c r="AB107" s="9">
        <f t="shared" si="39"/>
        <v>51768979.014348611</v>
      </c>
      <c r="AC107" s="8">
        <f>+MINVU_Mes_Corriente!AC107*SALUD_Mes_Constante!$AC$1</f>
        <v>0</v>
      </c>
      <c r="AD107" s="8">
        <f>+MINVU_Mes_Corriente!AD107*SALUD_Mes_Constante!$AC$1</f>
        <v>229604.69829851986</v>
      </c>
      <c r="AE107" s="8">
        <f>+MINVU_Mes_Corriente!AE107*SALUD_Mes_Constante!$AC$1</f>
        <v>3480537.8320652926</v>
      </c>
      <c r="AF107" s="8">
        <f>+MINVU_Mes_Corriente!AF107*SALUD_Mes_Constante!$AC$1</f>
        <v>6998477.0745607968</v>
      </c>
      <c r="AG107" s="8">
        <f>+MINVU_Mes_Corriente!AG107*SALUD_Mes_Constante!$AC$1</f>
        <v>9344542.7384147178</v>
      </c>
      <c r="AH107" s="8">
        <f>+MINVU_Mes_Corriente!AH107*SALUD_Mes_Constante!$AC$1</f>
        <v>12287099.384147184</v>
      </c>
      <c r="AI107" s="8">
        <f>+MINVU_Mes_Corriente!AI107*SALUD_Mes_Constante!$AC$1</f>
        <v>14357998.823903721</v>
      </c>
      <c r="AJ107" s="8">
        <f>+MINVU_Mes_Corriente!AJ107*SALUD_Mes_Constante!$AC$1</f>
        <v>16943942.255913682</v>
      </c>
      <c r="AK107" s="8">
        <f>+MINVU_Mes_Corriente!AK107*SALUD_Mes_Constante!$AC$1</f>
        <v>18768239.653894037</v>
      </c>
      <c r="AL107" s="8">
        <f>+MINVU_Mes_Corriente!AL107*SALUD_Mes_Constante!$AC$1</f>
        <v>21065134.539217044</v>
      </c>
      <c r="AM107" s="8">
        <f>+MINVU_Mes_Corriente!AM107*SALUD_Mes_Constante!$AC$1</f>
        <v>24085506.250657074</v>
      </c>
      <c r="AN107" s="8">
        <f>+MINVU_Mes_Corriente!AN107*SALUD_Mes_Constante!$AC$1</f>
        <v>33072593.91866095</v>
      </c>
      <c r="AO107" s="9">
        <f t="shared" si="40"/>
        <v>33072593.91866095</v>
      </c>
      <c r="AP107" s="8">
        <f>+MINVU_Mes_Corriente!AP107*SALUD_Mes_Constante!$AP$1</f>
        <v>0</v>
      </c>
      <c r="AQ107" s="8">
        <f>+MINVU_Mes_Corriente!AQ107*SALUD_Mes_Constante!$AP$1</f>
        <v>0</v>
      </c>
      <c r="AR107" s="8">
        <f>+MINVU_Mes_Corriente!AR107*SALUD_Mes_Constante!$AP$1</f>
        <v>3703749.9548221286</v>
      </c>
      <c r="AS107" s="8">
        <f>+MINVU_Mes_Corriente!AS107*SALUD_Mes_Constante!$AP$1</f>
        <v>5309186.2164209383</v>
      </c>
      <c r="AT107" s="8">
        <f>+MINVU_Mes_Corriente!AT107*SALUD_Mes_Constante!$AP$1</f>
        <v>6105898.9636142291</v>
      </c>
      <c r="AU107" s="8">
        <f>+MINVU_Mes_Corriente!AU107*SALUD_Mes_Constante!$AP$1</f>
        <v>7506330.4788313266</v>
      </c>
      <c r="AV107" s="8">
        <f>+MINVU_Mes_Corriente!AV107*SALUD_Mes_Constante!$AP$1</f>
        <v>8650573.6742864866</v>
      </c>
      <c r="AW107" s="8">
        <f>+MINVU_Mes_Corriente!AW107*SALUD_Mes_Constante!$AP$1</f>
        <v>15361588.006763153</v>
      </c>
      <c r="AX107" s="8">
        <f>+MINVU_Mes_Corriente!AX107*SALUD_Mes_Constante!$AP$1</f>
        <v>16437320.911132151</v>
      </c>
      <c r="AY107" s="8">
        <f>+MINVU_Mes_Corriente!AY107*SALUD_Mes_Constante!$AP$1</f>
        <v>17499438.065737858</v>
      </c>
      <c r="AZ107" s="8">
        <f>+MINVU_Mes_Corriente!AZ107*SALUD_Mes_Constante!$AP$1</f>
        <v>20065196.276477747</v>
      </c>
      <c r="BA107" s="8">
        <f>+MINVU_Mes_Corriente!BA107*SALUD_Mes_Constante!$AP$1</f>
        <v>27325615.644258082</v>
      </c>
      <c r="BB107" s="9">
        <f t="shared" si="41"/>
        <v>27325615.644258082</v>
      </c>
      <c r="BC107" s="8">
        <f>+MINVU_Mes_Corriente!BC107*SALUD_Mes_Constante!$BC$1</f>
        <v>0</v>
      </c>
      <c r="BD107" s="8">
        <f>+MINVU_Mes_Corriente!BD107*SALUD_Mes_Constante!$BC$1</f>
        <v>0</v>
      </c>
      <c r="BE107" s="8">
        <f>+MINVU_Mes_Corriente!BE107*SALUD_Mes_Constante!$BC$1</f>
        <v>0</v>
      </c>
      <c r="BF107" s="8">
        <f>+MINVU_Mes_Corriente!BF107*SALUD_Mes_Constante!$BC$1</f>
        <v>880222.36291705153</v>
      </c>
      <c r="BG107" s="8">
        <f>+MINVU_Mes_Corriente!BG107*SALUD_Mes_Constante!$BC$1</f>
        <v>2384163.2812870899</v>
      </c>
      <c r="BH107" s="8">
        <f>+MINVU_Mes_Corriente!BH107*SALUD_Mes_Constante!$BC$1</f>
        <v>5910855.0542001864</v>
      </c>
      <c r="BI107" s="8">
        <f>+MINVU_Mes_Corriente!BI107*SALUD_Mes_Constante!$BC$1</f>
        <v>6626579.3765000673</v>
      </c>
      <c r="BJ107" s="8">
        <f>+MINVU_Mes_Corriente!BJ107*SALUD_Mes_Constante!$BC$1</f>
        <v>10376808.204932088</v>
      </c>
      <c r="BK107" s="8">
        <f>+MINVU_Mes_Corriente!BK107*SALUD_Mes_Constante!$BC$1</f>
        <v>11835879.471976792</v>
      </c>
      <c r="BL107" s="8">
        <f>+MINVU_Mes_Corriente!BL107*SALUD_Mes_Constante!$BC$1</f>
        <v>13827376.750626404</v>
      </c>
      <c r="BM107" s="8">
        <f>+MINVU_Mes_Corriente!BM107*SALUD_Mes_Constante!$BC$1</f>
        <v>14977945.210602667</v>
      </c>
      <c r="BN107" s="8">
        <f>+MINVU_Mes_Corriente!BN107*SALUD_Mes_Constante!$BC$1</f>
        <v>17574182.108664121</v>
      </c>
      <c r="BO107" s="9">
        <f t="shared" si="42"/>
        <v>17574182.108664121</v>
      </c>
      <c r="BP107" s="8">
        <f>+MINVU_Mes_Corriente!BP107*SALUD_Mes_Constante!$BP$1</f>
        <v>0</v>
      </c>
      <c r="BQ107" s="8">
        <f>+MINVU_Mes_Corriente!BQ107*SALUD_Mes_Constante!$BP$1</f>
        <v>0</v>
      </c>
      <c r="BR107" s="8">
        <f>+MINVU_Mes_Corriente!BR107*SALUD_Mes_Constante!$BP$1</f>
        <v>3002610.2934699105</v>
      </c>
      <c r="BS107" s="8">
        <f>+MINVU_Mes_Corriente!BS107*SALUD_Mes_Constante!$BP$1</f>
        <v>8550202.1554417424</v>
      </c>
      <c r="BT107" s="8">
        <f>+MINVU_Mes_Corriente!BT107*SALUD_Mes_Constante!$BP$1</f>
        <v>10014307.140076825</v>
      </c>
      <c r="BU107" s="8">
        <f>+MINVU_Mes_Corriente!BU107*SALUD_Mes_Constante!$BP$1</f>
        <v>11313980.721126761</v>
      </c>
      <c r="BV107" s="8">
        <f>+MINVU_Mes_Corriente!BV107*SALUD_Mes_Constante!$BP$1</f>
        <v>12107861.642765686</v>
      </c>
      <c r="BW107" s="8">
        <f>+MINVU_Mes_Corriente!BW107*SALUD_Mes_Constante!$BP$1</f>
        <v>14283214.253008964</v>
      </c>
      <c r="BX107" s="8">
        <f>+MINVU_Mes_Corriente!BX107*SALUD_Mes_Constante!$BP$1</f>
        <v>15217550.933162613</v>
      </c>
      <c r="BY107" s="8">
        <f>+MINVU_Mes_Corriente!BY107*SALUD_Mes_Constante!$BP$1</f>
        <v>15297758.405377723</v>
      </c>
      <c r="BZ107" s="8">
        <f>+MINVU_Mes_Corriente!BZ107*SALUD_Mes_Constante!$BP$1</f>
        <v>16373921.840204867</v>
      </c>
      <c r="CA107" s="8">
        <f>+MINVU_Mes_Corriente!CA107*SALUD_Mes_Constante!$BP$1</f>
        <v>17997813.629193343</v>
      </c>
      <c r="CB107" s="9">
        <f t="shared" si="43"/>
        <v>17997813.629193343</v>
      </c>
      <c r="CC107" s="8">
        <f>+MINVU_Mes_Corriente!CC107*SALUD_Mes_Constante!$CC$1</f>
        <v>0</v>
      </c>
      <c r="CD107" s="8">
        <f>+MINVU_Mes_Corriente!CD107*SALUD_Mes_Constante!$CC$1</f>
        <v>0</v>
      </c>
      <c r="CE107" s="8">
        <f>+MINVU_Mes_Corriente!CE107*SALUD_Mes_Constante!$CC$1</f>
        <v>771868.98843715037</v>
      </c>
      <c r="CF107" s="8">
        <f>+MINVU_Mes_Corriente!CF107*SALUD_Mes_Constante!$CC$1</f>
        <v>1146510.0223797092</v>
      </c>
      <c r="CG107" s="8">
        <f>+MINVU_Mes_Corriente!CG107*SALUD_Mes_Constante!$CC$1</f>
        <v>1371899.6956359569</v>
      </c>
      <c r="CH107" s="8">
        <f>+MINVU_Mes_Corriente!CH107*SALUD_Mes_Constante!$CC$1</f>
        <v>1682078.2804923537</v>
      </c>
      <c r="CI107" s="8">
        <f>+MINVU_Mes_Corriente!CI107*SALUD_Mes_Constante!$CC$1</f>
        <v>2028042.4699738906</v>
      </c>
      <c r="CJ107" s="8">
        <f>+MINVU_Mes_Corriente!CJ107*SALUD_Mes_Constante!$CC$1</f>
        <v>2437880.900410295</v>
      </c>
      <c r="CK107" s="8">
        <f>+MINVU_Mes_Corriente!CK107*SALUD_Mes_Constante!$CC$1</f>
        <v>3026616.1096605747</v>
      </c>
      <c r="CL107" s="8">
        <f>+MINVU_Mes_Corriente!CL107*SALUD_Mes_Constante!$CC$1</f>
        <v>3461861.5994032081</v>
      </c>
      <c r="CM107" s="8">
        <f>+MINVU_Mes_Corriente!CM107*SALUD_Mes_Constante!$CC$1</f>
        <v>3997374.1611339054</v>
      </c>
      <c r="CN107" s="8">
        <f>+MINVU_Mes_Corriente!CN107*SALUD_Mes_Constante!$CC$1</f>
        <v>5479369.302499068</v>
      </c>
      <c r="CO107" s="9">
        <f t="shared" si="44"/>
        <v>5479369.302499068</v>
      </c>
      <c r="CP107" s="8">
        <f>+MINVU_Mes_Corriente!CP107*SALUD_Mes_Constante!$CP$1</f>
        <v>0</v>
      </c>
      <c r="CQ107" s="8">
        <f>+MINVU_Mes_Corriente!CQ107*SALUD_Mes_Constante!$CP$1</f>
        <v>432918.03341067274</v>
      </c>
      <c r="CR107" s="8">
        <f>+MINVU_Mes_Corriente!CR107*SALUD_Mes_Constante!$CP$1</f>
        <v>790788.89651972137</v>
      </c>
      <c r="CS107" s="8">
        <f>+MINVU_Mes_Corriente!CS107*SALUD_Mes_Constante!$CP$1</f>
        <v>1139557.7171693733</v>
      </c>
      <c r="CT107" s="8">
        <f>+MINVU_Mes_Corriente!CT107*SALUD_Mes_Constante!$CP$1</f>
        <v>1432986.7280742456</v>
      </c>
      <c r="CU107" s="8">
        <f>+MINVU_Mes_Corriente!CU107*SALUD_Mes_Constante!$CP$1</f>
        <v>1735238.9276102085</v>
      </c>
      <c r="CV107" s="8">
        <f>+MINVU_Mes_Corriente!CV107*SALUD_Mes_Constante!$CP$1</f>
        <v>1978130.752204176</v>
      </c>
      <c r="CW107" s="8">
        <f>+MINVU_Mes_Corriente!CW107*SALUD_Mes_Constante!$CP$1</f>
        <v>2278153.3886310901</v>
      </c>
      <c r="CX107" s="8">
        <f>+MINVU_Mes_Corriente!CX107*SALUD_Mes_Constante!$CP$1</f>
        <v>2571322.5584686771</v>
      </c>
      <c r="CY107" s="8">
        <f>+MINVU_Mes_Corriente!CY107*SALUD_Mes_Constante!$CP$1</f>
        <v>2909407.474941995</v>
      </c>
      <c r="CZ107" s="8">
        <f>+MINVU_Mes_Corriente!CZ107*SALUD_Mes_Constante!$CP$1</f>
        <v>3431245.6566125285</v>
      </c>
      <c r="DA107" s="8">
        <f>+MINVU_Mes_Corriente!DA107*SALUD_Mes_Constante!$CP$1</f>
        <v>4028452.9580046395</v>
      </c>
      <c r="DB107" s="9">
        <f t="shared" si="45"/>
        <v>4028452.9580046395</v>
      </c>
      <c r="DC107" s="8">
        <f>+MINVU_Mes_Corriente!DC107*SALUD_Mes_Constante!$DC$1</f>
        <v>0</v>
      </c>
      <c r="DD107" s="8">
        <f>+MINVU_Mes_Corriente!DD107*SALUD_Mes_Constante!$DC$1</f>
        <v>192266.57874704257</v>
      </c>
      <c r="DE107" s="8">
        <f>+MINVU_Mes_Corriente!DE107*SALUD_Mes_Constante!$DC$1</f>
        <v>577891.09988684324</v>
      </c>
      <c r="DF107" s="8">
        <f>+MINVU_Mes_Corriente!DF107*SALUD_Mes_Constante!$DC$1</f>
        <v>836711.75372904062</v>
      </c>
      <c r="DG107" s="8">
        <f>+MINVU_Mes_Corriente!DG107*SALUD_Mes_Constante!$DC$1</f>
        <v>1094650.1001954537</v>
      </c>
      <c r="DH107" s="8">
        <f>+MINVU_Mes_Corriente!DH107*SALUD_Mes_Constante!$DC$1</f>
        <v>1430762.0041148036</v>
      </c>
      <c r="DI107" s="8">
        <f>+MINVU_Mes_Corriente!DI107*SALUD_Mes_Constante!$DC$1</f>
        <v>1708719.1743647782</v>
      </c>
      <c r="DJ107" s="8">
        <f>+MINVU_Mes_Corriente!DJ107*SALUD_Mes_Constante!$DC$1</f>
        <v>1924174.1396975629</v>
      </c>
      <c r="DK107" s="8">
        <f>+MINVU_Mes_Corriente!DK107*SALUD_Mes_Constante!$DC$1</f>
        <v>2205323.3519185279</v>
      </c>
      <c r="DL107" s="8">
        <f>+MINVU_Mes_Corriente!DL107*SALUD_Mes_Constante!$DC$1</f>
        <v>2802120.5567328478</v>
      </c>
      <c r="DM107" s="8">
        <f>+MINVU_Mes_Corriente!DM107*SALUD_Mes_Constante!$DC$1</f>
        <v>2918249.0667626802</v>
      </c>
      <c r="DN107" s="8">
        <f>+MINVU_Mes_Corriente!DN107*SALUD_Mes_Constante!$DC$1</f>
        <v>3684853.9127661781</v>
      </c>
      <c r="DO107" s="9">
        <f t="shared" si="46"/>
        <v>3684853.9127661781</v>
      </c>
      <c r="DP107" s="8">
        <f>+MINVU_Mes_Corriente!DP107*SALUD_Mes_Constante!$DP$1</f>
        <v>0</v>
      </c>
      <c r="DQ107" s="8">
        <f>+MINVU_Mes_Corriente!DQ107*SALUD_Mes_Constante!$DP$1</f>
        <v>0</v>
      </c>
      <c r="DR107" s="8">
        <f>+MINVU_Mes_Corriente!DR107*SALUD_Mes_Constante!$DP$1</f>
        <v>369528.91211401427</v>
      </c>
      <c r="DS107" s="8">
        <f>+MINVU_Mes_Corriente!DS107*SALUD_Mes_Constante!$DP$1</f>
        <v>761894.93764845608</v>
      </c>
      <c r="DT107" s="8">
        <f>+MINVU_Mes_Corriente!DT107*SALUD_Mes_Constante!$DP$1</f>
        <v>918504.18171021389</v>
      </c>
      <c r="DU107" s="8">
        <f>+MINVU_Mes_Corriente!DU107*SALUD_Mes_Constante!$DP$1</f>
        <v>1102371.1140142519</v>
      </c>
      <c r="DV107" s="8">
        <f>+MINVU_Mes_Corriente!DV107*SALUD_Mes_Constante!$DP$1</f>
        <v>1270153.9881235156</v>
      </c>
      <c r="DW107" s="8">
        <f>+MINVU_Mes_Corriente!DW107*SALUD_Mes_Constante!$DP$1</f>
        <v>1559273.4228028506</v>
      </c>
      <c r="DX107" s="8">
        <f>+MINVU_Mes_Corriente!DX107*SALUD_Mes_Constante!$DP$1</f>
        <v>1943094.5896674586</v>
      </c>
      <c r="DY107" s="8">
        <f>+MINVU_Mes_Corriente!DY107*SALUD_Mes_Constante!$DP$1</f>
        <v>2339848.7494061762</v>
      </c>
      <c r="DZ107" s="8">
        <f>+MINVU_Mes_Corriente!DZ107*SALUD_Mes_Constante!$DP$1</f>
        <v>2909314.5944180526</v>
      </c>
      <c r="EA107" s="8">
        <f>+MINVU_Mes_Corriente!EA107*SALUD_Mes_Constante!$DP$1</f>
        <v>4107879.7090261285</v>
      </c>
      <c r="EB107" s="9">
        <f t="shared" si="47"/>
        <v>4107879.7090261285</v>
      </c>
      <c r="EC107" s="8">
        <f>+MINVU_Mes_Corriente!EC107*SALUD_Mes_Constante!$EC$1</f>
        <v>0</v>
      </c>
      <c r="ED107" s="8">
        <f>+MINVU_Mes_Corriente!ED107*SALUD_Mes_Constante!$EC$1</f>
        <v>93105.823139556873</v>
      </c>
      <c r="EE107" s="8">
        <f>+MINVU_Mes_Corriente!EE107*SALUD_Mes_Constante!$EC$1</f>
        <v>1093846.528119674</v>
      </c>
      <c r="EF107" s="8">
        <f>+MINVU_Mes_Corriente!EF107*SALUD_Mes_Constante!$EC$1</f>
        <v>1658785.4855141067</v>
      </c>
      <c r="EG107" s="8">
        <f>+MINVU_Mes_Corriente!EG107*SALUD_Mes_Constante!$EC$1</f>
        <v>2120699.1524332506</v>
      </c>
      <c r="EH107" s="8">
        <f>+MINVU_Mes_Corriente!EH107*SALUD_Mes_Constante!$EC$1</f>
        <v>2598725.6176860435</v>
      </c>
      <c r="EI107" s="8">
        <f>+MINVU_Mes_Corriente!EI107*SALUD_Mes_Constante!$EC$1</f>
        <v>3189270.6419238769</v>
      </c>
      <c r="EJ107" s="8">
        <f>+MINVU_Mes_Corriente!EJ107*SALUD_Mes_Constante!$EC$1</f>
        <v>3688805.6654042783</v>
      </c>
      <c r="EK107" s="8">
        <f>+MINVU_Mes_Corriente!EK107*SALUD_Mes_Constante!$EC$1</f>
        <v>4025483.0831281943</v>
      </c>
      <c r="EL107" s="8">
        <f>+MINVU_Mes_Corriente!EL107*SALUD_Mes_Constante!$EC$1</f>
        <v>4280834.1098276824</v>
      </c>
      <c r="EM107" s="8">
        <f>+MINVU_Mes_Corriente!EM107*SALUD_Mes_Constante!$EC$1</f>
        <v>6810953.0956258262</v>
      </c>
      <c r="EN107" s="8">
        <f>+MINVU_Mes_Corriente!EN107*SALUD_Mes_Constante!$EC$1</f>
        <v>9733937.4006816857</v>
      </c>
      <c r="EO107" s="9">
        <f t="shared" si="48"/>
        <v>9733937.4006816857</v>
      </c>
      <c r="EP107" s="8">
        <f>+MINVU_Mes_Corriente!EP107*SALUD_Mes_Constante!$EP$1</f>
        <v>0</v>
      </c>
      <c r="EQ107" s="8">
        <f>+MINVU_Mes_Corriente!EQ107*SALUD_Mes_Constante!$EP$1</f>
        <v>103249</v>
      </c>
      <c r="ER107" s="8">
        <f>+MINVU_Mes_Corriente!ER107*SALUD_Mes_Constante!$EP$1</f>
        <v>2014967</v>
      </c>
      <c r="ES107" s="8">
        <f>+MINVU_Mes_Corriente!ES107*SALUD_Mes_Constante!$EP$1</f>
        <v>2550436</v>
      </c>
      <c r="ET107" s="8">
        <f>+MINVU_Mes_Corriente!ET107*SALUD_Mes_Constante!$EP$1</f>
        <v>2860713</v>
      </c>
      <c r="EU107" s="8">
        <f>+MINVU_Mes_Corriente!EU107*SALUD_Mes_Constante!$EP$1</f>
        <v>3218384</v>
      </c>
      <c r="EV107" s="8">
        <f>+MINVU_Mes_Corriente!EV107*SALUD_Mes_Constante!$EP$1</f>
        <v>3634212</v>
      </c>
      <c r="EW107" s="8">
        <f>+MINVU_Mes_Corriente!EW107*SALUD_Mes_Constante!$EP$1</f>
        <v>4068199</v>
      </c>
      <c r="EX107" s="8">
        <f>+MINVU_Mes_Corriente!EX107*SALUD_Mes_Constante!$EP$1</f>
        <v>7204801</v>
      </c>
      <c r="EY107" s="8">
        <f>+MINVU_Mes_Corriente!EY107*SALUD_Mes_Constante!$EP$1</f>
        <v>10539504</v>
      </c>
      <c r="EZ107" s="8">
        <f>+MINVU_Mes_Corriente!EZ107*SALUD_Mes_Constante!$EP$1</f>
        <v>11390322</v>
      </c>
      <c r="FA107" s="8">
        <f>+MINVU_Mes_Corriente!FA107*SALUD_Mes_Constante!$EP$1</f>
        <v>12752538</v>
      </c>
      <c r="FB107" s="9">
        <f t="shared" si="49"/>
        <v>12752538</v>
      </c>
      <c r="FC107" s="8">
        <f>+MINVU_Mes_Corriente!FC107*SALUD_Mes_Constante!$FC$1</f>
        <v>51485</v>
      </c>
      <c r="FD107" s="8">
        <f>+MINVU_Mes_Corriente!FD107*SALUD_Mes_Constante!$FC$1</f>
        <v>102819</v>
      </c>
      <c r="FE107" s="8">
        <f>+MINVU_Mes_Corriente!FE107*SALUD_Mes_Constante!$FC$1</f>
        <v>982758</v>
      </c>
      <c r="FF107" s="8">
        <f>+MINVU_Mes_Corriente!FF107*SALUD_Mes_Constante!$FC$1</f>
        <v>1785050</v>
      </c>
      <c r="FG107" s="8">
        <f>+MINVU_Mes_Corriente!FG107*SALUD_Mes_Constante!$FC$1</f>
        <v>2488465</v>
      </c>
      <c r="FH107" s="8">
        <f>+MINVU_Mes_Corriente!FH107*SALUD_Mes_Constante!$FC$1</f>
        <v>3621109</v>
      </c>
      <c r="FI107" s="8">
        <f>+MINVU_Mes_Corriente!FI107*SALUD_Mes_Constante!$FC$1</f>
        <v>4439800</v>
      </c>
      <c r="FJ107" s="8"/>
      <c r="FK107" s="8"/>
      <c r="FL107" s="8"/>
      <c r="FM107" s="8"/>
      <c r="FN107" s="8"/>
      <c r="FO107" s="9">
        <f t="shared" si="50"/>
        <v>4439800</v>
      </c>
    </row>
    <row r="108" spans="2:171" ht="14.25" customHeight="1" x14ac:dyDescent="0.3">
      <c r="B108" s="35" t="s">
        <v>71</v>
      </c>
      <c r="C108" s="8">
        <f>+MINVU_Mes_Corriente!C108*SALUD_Mes_Constante!$C$1</f>
        <v>0</v>
      </c>
      <c r="D108" s="8">
        <f>+MINVU_Mes_Corriente!D108*SALUD_Mes_Constante!$C$1</f>
        <v>84018.234020465679</v>
      </c>
      <c r="E108" s="8">
        <f>+MINVU_Mes_Corriente!E108*SALUD_Mes_Constante!$C$1</f>
        <v>251092.21592762868</v>
      </c>
      <c r="F108" s="8">
        <f>+MINVU_Mes_Corriente!F108*SALUD_Mes_Constante!$C$1</f>
        <v>433057.18700874987</v>
      </c>
      <c r="G108" s="8">
        <f>+MINVU_Mes_Corriente!G108*SALUD_Mes_Constante!$C$1</f>
        <v>714550.35384843557</v>
      </c>
      <c r="H108" s="8">
        <f>+MINVU_Mes_Corriente!H108*SALUD_Mes_Constante!$C$1</f>
        <v>714550.35384843557</v>
      </c>
      <c r="I108" s="8">
        <f>+MINVU_Mes_Corriente!I108*SALUD_Mes_Constante!$C$1</f>
        <v>1719410.1827079938</v>
      </c>
      <c r="J108" s="8">
        <f>+MINVU_Mes_Corriente!J108*SALUD_Mes_Constante!$C$1</f>
        <v>1719410.1827079938</v>
      </c>
      <c r="K108" s="8">
        <f>+MINVU_Mes_Corriente!K108*SALUD_Mes_Constante!$C$1</f>
        <v>2218041.1935340357</v>
      </c>
      <c r="L108" s="8">
        <f>+MINVU_Mes_Corriente!L108*SALUD_Mes_Constante!$C$1</f>
        <v>2223924.6735874242</v>
      </c>
      <c r="M108" s="8">
        <f>+MINVU_Mes_Corriente!M108*SALUD_Mes_Constante!$C$1</f>
        <v>2453163.2691680263</v>
      </c>
      <c r="N108" s="8">
        <f>+MINVU_Mes_Corriente!N108*SALUD_Mes_Constante!$C$1</f>
        <v>3009562.892184488</v>
      </c>
      <c r="O108" s="9">
        <f t="shared" si="38"/>
        <v>3009562.892184488</v>
      </c>
      <c r="P108" s="8">
        <f>+MINVU_Mes_Corriente!P108*SALUD_Mes_Constante!$P$1</f>
        <v>0</v>
      </c>
      <c r="Q108" s="8">
        <f>+MINVU_Mes_Corriente!Q108*SALUD_Mes_Constante!$P$1</f>
        <v>0</v>
      </c>
      <c r="R108" s="8">
        <f>+MINVU_Mes_Corriente!R108*SALUD_Mes_Constante!$P$1</f>
        <v>0</v>
      </c>
      <c r="S108" s="8">
        <f>+MINVU_Mes_Corriente!S108*SALUD_Mes_Constante!$P$1</f>
        <v>0</v>
      </c>
      <c r="T108" s="8">
        <f>+MINVU_Mes_Corriente!T108*SALUD_Mes_Constante!$P$1</f>
        <v>141050.79499928962</v>
      </c>
      <c r="U108" s="8">
        <f>+MINVU_Mes_Corriente!U108*SALUD_Mes_Constante!$P$1</f>
        <v>221653.91021451901</v>
      </c>
      <c r="V108" s="8">
        <f>+MINVU_Mes_Corriente!V108*SALUD_Mes_Constante!$P$1</f>
        <v>310938.53104134096</v>
      </c>
      <c r="W108" s="8">
        <f>+MINVU_Mes_Corriente!W108*SALUD_Mes_Constante!$P$1</f>
        <v>375993.16749538272</v>
      </c>
      <c r="X108" s="8">
        <f>+MINVU_Mes_Corriente!X108*SALUD_Mes_Constante!$P$1</f>
        <v>463503.6132973432</v>
      </c>
      <c r="Y108" s="8">
        <f>+MINVU_Mes_Corriente!Y108*SALUD_Mes_Constante!$P$1</f>
        <v>470235.54425344494</v>
      </c>
      <c r="Z108" s="8">
        <f>+MINVU_Mes_Corriente!Z108*SALUD_Mes_Constante!$P$1</f>
        <v>611781.49396221037</v>
      </c>
      <c r="AA108" s="8">
        <f>+MINVU_Mes_Corriente!AA108*SALUD_Mes_Constante!$P$1</f>
        <v>3680879.2166500911</v>
      </c>
      <c r="AB108" s="9">
        <f t="shared" si="39"/>
        <v>3680879.2166500911</v>
      </c>
      <c r="AC108" s="8">
        <f>+MINVU_Mes_Corriente!AC108*SALUD_Mes_Constante!$AC$1</f>
        <v>0</v>
      </c>
      <c r="AD108" s="8">
        <f>+MINVU_Mes_Corriente!AD108*SALUD_Mes_Constante!$AC$1</f>
        <v>257880.20085765666</v>
      </c>
      <c r="AE108" s="8">
        <f>+MINVU_Mes_Corriente!AE108*SALUD_Mes_Constante!$AC$1</f>
        <v>514953.30751141236</v>
      </c>
      <c r="AF108" s="8">
        <f>+MINVU_Mes_Corriente!AF108*SALUD_Mes_Constante!$AC$1</f>
        <v>1299015.0983538525</v>
      </c>
      <c r="AG108" s="8">
        <f>+MINVU_Mes_Corriente!AG108*SALUD_Mes_Constante!$AC$1</f>
        <v>1744366.3549591922</v>
      </c>
      <c r="AH108" s="8">
        <f>+MINVU_Mes_Corriente!AH108*SALUD_Mes_Constante!$AC$1</f>
        <v>2259286.4113985337</v>
      </c>
      <c r="AI108" s="8">
        <f>+MINVU_Mes_Corriente!AI108*SALUD_Mes_Constante!$AC$1</f>
        <v>2727257.4654862359</v>
      </c>
      <c r="AJ108" s="8">
        <f>+MINVU_Mes_Corriente!AJ108*SALUD_Mes_Constante!$AC$1</f>
        <v>2930374.6620556093</v>
      </c>
      <c r="AK108" s="8">
        <f>+MINVU_Mes_Corriente!AK108*SALUD_Mes_Constante!$AC$1</f>
        <v>3215578.1756812837</v>
      </c>
      <c r="AL108" s="8">
        <f>+MINVU_Mes_Corriente!AL108*SALUD_Mes_Constante!$AC$1</f>
        <v>3562678.5599668003</v>
      </c>
      <c r="AM108" s="8">
        <f>+MINVU_Mes_Corriente!AM108*SALUD_Mes_Constante!$AC$1</f>
        <v>3933281.4065569234</v>
      </c>
      <c r="AN108" s="8">
        <f>+MINVU_Mes_Corriente!AN108*SALUD_Mes_Constante!$AC$1</f>
        <v>5214142.9309724718</v>
      </c>
      <c r="AO108" s="9">
        <f t="shared" si="40"/>
        <v>5214142.9309724718</v>
      </c>
      <c r="AP108" s="8">
        <f>+MINVU_Mes_Corriente!AP108*SALUD_Mes_Constante!$AP$1</f>
        <v>0</v>
      </c>
      <c r="AQ108" s="8">
        <f>+MINVU_Mes_Corriente!AQ108*SALUD_Mes_Constante!$AP$1</f>
        <v>271258.30785878532</v>
      </c>
      <c r="AR108" s="8">
        <f>+MINVU_Mes_Corriente!AR108*SALUD_Mes_Constante!$AP$1</f>
        <v>611366.82023535774</v>
      </c>
      <c r="AS108" s="8">
        <f>+MINVU_Mes_Corriente!AS108*SALUD_Mes_Constante!$AP$1</f>
        <v>1214608.2315704043</v>
      </c>
      <c r="AT108" s="8">
        <f>+MINVU_Mes_Corriente!AT108*SALUD_Mes_Constante!$AP$1</f>
        <v>1530610.9701068578</v>
      </c>
      <c r="AU108" s="8">
        <f>+MINVU_Mes_Corriente!AU108*SALUD_Mes_Constante!$AP$1</f>
        <v>1702163.8011632625</v>
      </c>
      <c r="AV108" s="8">
        <f>+MINVU_Mes_Corriente!AV108*SALUD_Mes_Constante!$AP$1</f>
        <v>1854579.5060192072</v>
      </c>
      <c r="AW108" s="8">
        <f>+MINVU_Mes_Corriente!AW108*SALUD_Mes_Constante!$AP$1</f>
        <v>2026634.817800622</v>
      </c>
      <c r="AX108" s="8">
        <f>+MINVU_Mes_Corriente!AX108*SALUD_Mes_Constante!$AP$1</f>
        <v>2275903.6824022722</v>
      </c>
      <c r="AY108" s="8">
        <f>+MINVU_Mes_Corriente!AY108*SALUD_Mes_Constante!$AP$1</f>
        <v>2336974.3029893138</v>
      </c>
      <c r="AZ108" s="8">
        <f>+MINVU_Mes_Corriente!AZ108*SALUD_Mes_Constante!$AP$1</f>
        <v>2415952.4498850261</v>
      </c>
      <c r="BA108" s="8">
        <f>+MINVU_Mes_Corriente!BA108*SALUD_Mes_Constante!$AP$1</f>
        <v>4849438.5213039359</v>
      </c>
      <c r="BB108" s="9">
        <f t="shared" si="41"/>
        <v>4849438.5213039359</v>
      </c>
      <c r="BC108" s="8">
        <f>+MINVU_Mes_Corriente!BC108*SALUD_Mes_Constante!$BC$1</f>
        <v>0</v>
      </c>
      <c r="BD108" s="8">
        <f>+MINVU_Mes_Corriente!BD108*SALUD_Mes_Constante!$BC$1</f>
        <v>0</v>
      </c>
      <c r="BE108" s="8">
        <f>+MINVU_Mes_Corriente!BE108*SALUD_Mes_Constante!$BC$1</f>
        <v>6658.1888434656485</v>
      </c>
      <c r="BF108" s="8">
        <f>+MINVU_Mes_Corriente!BF108*SALUD_Mes_Constante!$BC$1</f>
        <v>219287.97547144935</v>
      </c>
      <c r="BG108" s="8">
        <f>+MINVU_Mes_Corriente!BG108*SALUD_Mes_Constante!$BC$1</f>
        <v>247969.62600553877</v>
      </c>
      <c r="BH108" s="8">
        <f>+MINVU_Mes_Corriente!BH108*SALUD_Mes_Constante!$BC$1</f>
        <v>252878.61743373342</v>
      </c>
      <c r="BI108" s="8">
        <f>+MINVU_Mes_Corriente!BI108*SALUD_Mes_Constante!$BC$1</f>
        <v>280868.65778715553</v>
      </c>
      <c r="BJ108" s="8">
        <f>+MINVU_Mes_Corriente!BJ108*SALUD_Mes_Constante!$BC$1</f>
        <v>321515.16444678896</v>
      </c>
      <c r="BK108" s="8">
        <f>+MINVU_Mes_Corriente!BK108*SALUD_Mes_Constante!$BC$1</f>
        <v>321515.16444678896</v>
      </c>
      <c r="BL108" s="8">
        <f>+MINVU_Mes_Corriente!BL108*SALUD_Mes_Constante!$BC$1</f>
        <v>322091.50626401167</v>
      </c>
      <c r="BM108" s="8">
        <f>+MINVU_Mes_Corriente!BM108*SALUD_Mes_Constante!$BC$1</f>
        <v>439822.29012264288</v>
      </c>
      <c r="BN108" s="8">
        <f>+MINVU_Mes_Corriente!BN108*SALUD_Mes_Constante!$BC$1</f>
        <v>887377.64657787175</v>
      </c>
      <c r="BO108" s="9">
        <f t="shared" si="42"/>
        <v>887377.64657787175</v>
      </c>
      <c r="BP108" s="8">
        <f>+MINVU_Mes_Corriente!BP108*SALUD_Mes_Constante!$BP$1</f>
        <v>0</v>
      </c>
      <c r="BQ108" s="8">
        <f>+MINVU_Mes_Corriente!BQ108*SALUD_Mes_Constante!$BP$1</f>
        <v>0</v>
      </c>
      <c r="BR108" s="8">
        <f>+MINVU_Mes_Corriente!BR108*SALUD_Mes_Constante!$BP$1</f>
        <v>988013.97772087075</v>
      </c>
      <c r="BS108" s="8">
        <f>+MINVU_Mes_Corriente!BS108*SALUD_Mes_Constante!$BP$1</f>
        <v>1364912.0135723434</v>
      </c>
      <c r="BT108" s="8">
        <f>+MINVU_Mes_Corriente!BT108*SALUD_Mes_Constante!$BP$1</f>
        <v>1779387.9349551857</v>
      </c>
      <c r="BU108" s="8">
        <f>+MINVU_Mes_Corriente!BU108*SALUD_Mes_Constante!$BP$1</f>
        <v>2279072.6665813061</v>
      </c>
      <c r="BV108" s="8">
        <f>+MINVU_Mes_Corriente!BV108*SALUD_Mes_Constante!$BP$1</f>
        <v>3063765.1160051222</v>
      </c>
      <c r="BW108" s="8">
        <f>+MINVU_Mes_Corriente!BW108*SALUD_Mes_Constante!$BP$1</f>
        <v>3696496.6309859161</v>
      </c>
      <c r="BX108" s="8">
        <f>+MINVU_Mes_Corriente!BX108*SALUD_Mes_Constante!$BP$1</f>
        <v>4555817.4376440467</v>
      </c>
      <c r="BY108" s="8">
        <f>+MINVU_Mes_Corriente!BY108*SALUD_Mes_Constante!$BP$1</f>
        <v>5531223.8466069149</v>
      </c>
      <c r="BZ108" s="8">
        <f>+MINVU_Mes_Corriente!BZ108*SALUD_Mes_Constante!$BP$1</f>
        <v>6168332.7564660702</v>
      </c>
      <c r="CA108" s="8">
        <f>+MINVU_Mes_Corriente!CA108*SALUD_Mes_Constante!$BP$1</f>
        <v>11314364.040460948</v>
      </c>
      <c r="CB108" s="9">
        <f t="shared" si="43"/>
        <v>11314364.040460948</v>
      </c>
      <c r="CC108" s="8">
        <f>+MINVU_Mes_Corriente!CC108*SALUD_Mes_Constante!$CC$1</f>
        <v>0</v>
      </c>
      <c r="CD108" s="8">
        <f>+MINVU_Mes_Corriente!CD108*SALUD_Mes_Constante!$CC$1</f>
        <v>0</v>
      </c>
      <c r="CE108" s="8">
        <f>+MINVU_Mes_Corriente!CE108*SALUD_Mes_Constante!$CC$1</f>
        <v>0</v>
      </c>
      <c r="CF108" s="8">
        <f>+MINVU_Mes_Corriente!CF108*SALUD_Mes_Constante!$CC$1</f>
        <v>967394.53338306607</v>
      </c>
      <c r="CG108" s="8">
        <f>+MINVU_Mes_Corriente!CG108*SALUD_Mes_Constante!$CC$1</f>
        <v>990621.2831033197</v>
      </c>
      <c r="CH108" s="8">
        <f>+MINVU_Mes_Corriente!CH108*SALUD_Mes_Constante!$CC$1</f>
        <v>1322733.374860127</v>
      </c>
      <c r="CI108" s="8">
        <f>+MINVU_Mes_Corriente!CI108*SALUD_Mes_Constante!$CC$1</f>
        <v>1466716.6728832526</v>
      </c>
      <c r="CJ108" s="8">
        <f>+MINVU_Mes_Corriente!CJ108*SALUD_Mes_Constante!$CC$1</f>
        <v>2022828.7452443121</v>
      </c>
      <c r="CK108" s="8">
        <f>+MINVU_Mes_Corriente!CK108*SALUD_Mes_Constante!$CC$1</f>
        <v>2136646.3394255876</v>
      </c>
      <c r="CL108" s="8">
        <f>+MINVU_Mes_Corriente!CL108*SALUD_Mes_Constante!$CC$1</f>
        <v>2319126.7049608356</v>
      </c>
      <c r="CM108" s="8">
        <f>+MINVU_Mes_Corriente!CM108*SALUD_Mes_Constante!$CC$1</f>
        <v>2445861.7844088031</v>
      </c>
      <c r="CN108" s="8">
        <f>+MINVU_Mes_Corriente!CN108*SALUD_Mes_Constante!$CC$1</f>
        <v>3173438.564714659</v>
      </c>
      <c r="CO108" s="9">
        <f t="shared" si="44"/>
        <v>3173438.564714659</v>
      </c>
      <c r="CP108" s="8">
        <f>+MINVU_Mes_Corriente!CP108*SALUD_Mes_Constante!$CP$1</f>
        <v>0</v>
      </c>
      <c r="CQ108" s="8">
        <f>+MINVU_Mes_Corriente!CQ108*SALUD_Mes_Constante!$CP$1</f>
        <v>32150.578886310897</v>
      </c>
      <c r="CR108" s="8">
        <f>+MINVU_Mes_Corriente!CR108*SALUD_Mes_Constante!$CP$1</f>
        <v>48225.23457076565</v>
      </c>
      <c r="CS108" s="8">
        <f>+MINVU_Mes_Corriente!CS108*SALUD_Mes_Constante!$CP$1</f>
        <v>67164.479582366577</v>
      </c>
      <c r="CT108" s="8">
        <f>+MINVU_Mes_Corriente!CT108*SALUD_Mes_Constante!$CP$1</f>
        <v>89789.665197215756</v>
      </c>
      <c r="CU108" s="8">
        <f>+MINVU_Mes_Corriente!CU108*SALUD_Mes_Constante!$CP$1</f>
        <v>105577.86194895589</v>
      </c>
      <c r="CV108" s="8">
        <f>+MINVU_Mes_Corriente!CV108*SALUD_Mes_Constante!$CP$1</f>
        <v>293933.48283062637</v>
      </c>
      <c r="CW108" s="8">
        <f>+MINVU_Mes_Corriente!CW108*SALUD_Mes_Constante!$CP$1</f>
        <v>308106.86241299298</v>
      </c>
      <c r="CX108" s="8">
        <f>+MINVU_Mes_Corriente!CX108*SALUD_Mes_Constante!$CP$1</f>
        <v>322280.24199535954</v>
      </c>
      <c r="CY108" s="8">
        <f>+MINVU_Mes_Corriente!CY108*SALUD_Mes_Constante!$CP$1</f>
        <v>348379.69280742452</v>
      </c>
      <c r="CZ108" s="8">
        <f>+MINVU_Mes_Corriente!CZ108*SALUD_Mes_Constante!$CP$1</f>
        <v>385436.83155452431</v>
      </c>
      <c r="DA108" s="8">
        <f>+MINVU_Mes_Corriente!DA108*SALUD_Mes_Constante!$CP$1</f>
        <v>479847.86519721569</v>
      </c>
      <c r="DB108" s="9">
        <f t="shared" si="45"/>
        <v>479847.86519721569</v>
      </c>
      <c r="DC108" s="8">
        <f>+MINVU_Mes_Corriente!DC108*SALUD_Mes_Constante!$DC$1</f>
        <v>0</v>
      </c>
      <c r="DD108" s="8">
        <f>+MINVU_Mes_Corriente!DD108*SALUD_Mes_Constante!$DC$1</f>
        <v>0</v>
      </c>
      <c r="DE108" s="8">
        <f>+MINVU_Mes_Corriente!DE108*SALUD_Mes_Constante!$DC$1</f>
        <v>22969.214689846736</v>
      </c>
      <c r="DF108" s="8">
        <f>+MINVU_Mes_Corriente!DF108*SALUD_Mes_Constante!$DC$1</f>
        <v>75109.646744162164</v>
      </c>
      <c r="DG108" s="8">
        <f>+MINVU_Mes_Corriente!DG108*SALUD_Mes_Constante!$DC$1</f>
        <v>75109.646744162164</v>
      </c>
      <c r="DH108" s="8">
        <f>+MINVU_Mes_Corriente!DH108*SALUD_Mes_Constante!$DC$1</f>
        <v>87044.961423721878</v>
      </c>
      <c r="DI108" s="8">
        <f>+MINVU_Mes_Corriente!DI108*SALUD_Mes_Constante!$DC$1</f>
        <v>87044.961423721878</v>
      </c>
      <c r="DJ108" s="8">
        <f>+MINVU_Mes_Corriente!DJ108*SALUD_Mes_Constante!$DC$1</f>
        <v>87400.132290916619</v>
      </c>
      <c r="DK108" s="8">
        <f>+MINVU_Mes_Corriente!DK108*SALUD_Mes_Constante!$DC$1</f>
        <v>93104.221376401649</v>
      </c>
      <c r="DL108" s="8">
        <f>+MINVU_Mes_Corriente!DL108*SALUD_Mes_Constante!$DC$1</f>
        <v>93636.977677193747</v>
      </c>
      <c r="DM108" s="8">
        <f>+MINVU_Mes_Corriente!DM108*SALUD_Mes_Constante!$DC$1</f>
        <v>126166.58286184556</v>
      </c>
      <c r="DN108" s="8">
        <f>+MINVU_Mes_Corriente!DN108*SALUD_Mes_Constante!$DC$1</f>
        <v>326659.41343483195</v>
      </c>
      <c r="DO108" s="9">
        <f t="shared" si="46"/>
        <v>326659.41343483195</v>
      </c>
      <c r="DP108" s="8">
        <f>+MINVU_Mes_Corriente!DP108*SALUD_Mes_Constante!$DP$1</f>
        <v>0</v>
      </c>
      <c r="DQ108" s="8">
        <f>+MINVU_Mes_Corriente!DQ108*SALUD_Mes_Constante!$DP$1</f>
        <v>0</v>
      </c>
      <c r="DR108" s="8">
        <f>+MINVU_Mes_Corriente!DR108*SALUD_Mes_Constante!$DP$1</f>
        <v>0</v>
      </c>
      <c r="DS108" s="8">
        <f>+MINVU_Mes_Corriente!DS108*SALUD_Mes_Constante!$DP$1</f>
        <v>0</v>
      </c>
      <c r="DT108" s="8">
        <f>+MINVU_Mes_Corriente!DT108*SALUD_Mes_Constante!$DP$1</f>
        <v>0</v>
      </c>
      <c r="DU108" s="8">
        <f>+MINVU_Mes_Corriente!DU108*SALUD_Mes_Constante!$DP$1</f>
        <v>0</v>
      </c>
      <c r="DV108" s="8">
        <f>+MINVU_Mes_Corriente!DV108*SALUD_Mes_Constante!$DP$1</f>
        <v>9024.9798099762484</v>
      </c>
      <c r="DW108" s="8">
        <f>+MINVU_Mes_Corriente!DW108*SALUD_Mes_Constante!$DP$1</f>
        <v>9024.9798099762484</v>
      </c>
      <c r="DX108" s="8">
        <f>+MINVU_Mes_Corriente!DX108*SALUD_Mes_Constante!$DP$1</f>
        <v>9024.9798099762484</v>
      </c>
      <c r="DY108" s="8">
        <f>+MINVU_Mes_Corriente!DY108*SALUD_Mes_Constante!$DP$1</f>
        <v>9024.9798099762484</v>
      </c>
      <c r="DZ108" s="8">
        <f>+MINVU_Mes_Corriente!DZ108*SALUD_Mes_Constante!$DP$1</f>
        <v>9024.9798099762484</v>
      </c>
      <c r="EA108" s="8">
        <f>+MINVU_Mes_Corriente!EA108*SALUD_Mes_Constante!$DP$1</f>
        <v>274943.96615201904</v>
      </c>
      <c r="EB108" s="9">
        <f t="shared" si="47"/>
        <v>274943.96615201904</v>
      </c>
      <c r="EC108" s="8">
        <f>+MINVU_Mes_Corriente!EC108*SALUD_Mes_Constante!$EC$1</f>
        <v>0</v>
      </c>
      <c r="ED108" s="8">
        <f>+MINVU_Mes_Corriente!ED108*SALUD_Mes_Constante!$EC$1</f>
        <v>0</v>
      </c>
      <c r="EE108" s="8">
        <f>+MINVU_Mes_Corriente!EE108*SALUD_Mes_Constante!$EC$1</f>
        <v>231714.57773149016</v>
      </c>
      <c r="EF108" s="8">
        <f>+MINVU_Mes_Corriente!EF108*SALUD_Mes_Constante!$EC$1</f>
        <v>352570.90986555564</v>
      </c>
      <c r="EG108" s="8">
        <f>+MINVU_Mes_Corriente!EG108*SALUD_Mes_Constante!$EC$1</f>
        <v>405129.91459950752</v>
      </c>
      <c r="EH108" s="8">
        <f>+MINVU_Mes_Corriente!EH108*SALUD_Mes_Constante!$EC$1</f>
        <v>589831.24465063412</v>
      </c>
      <c r="EI108" s="8">
        <f>+MINVU_Mes_Corriente!EI108*SALUD_Mes_Constante!$EC$1</f>
        <v>782973.794167771</v>
      </c>
      <c r="EJ108" s="8">
        <f>+MINVU_Mes_Corriente!EJ108*SALUD_Mes_Constante!$EC$1</f>
        <v>813955.96610490407</v>
      </c>
      <c r="EK108" s="8">
        <f>+MINVU_Mes_Corriente!EK108*SALUD_Mes_Constante!$EC$1</f>
        <v>817059.35561446671</v>
      </c>
      <c r="EL108" s="8">
        <f>+MINVU_Mes_Corriente!EL108*SALUD_Mes_Constante!$EC$1</f>
        <v>1654641.4260556707</v>
      </c>
      <c r="EM108" s="8">
        <f>+MINVU_Mes_Corriente!EM108*SALUD_Mes_Constante!$EC$1</f>
        <v>2204799.9736792268</v>
      </c>
      <c r="EN108" s="8">
        <f>+MINVU_Mes_Corriente!EN108*SALUD_Mes_Constante!$EC$1</f>
        <v>2898636.1454270016</v>
      </c>
      <c r="EO108" s="9">
        <f t="shared" si="48"/>
        <v>2898636.1454270016</v>
      </c>
      <c r="EP108" s="8">
        <f>+MINVU_Mes_Corriente!EP108*SALUD_Mes_Constante!$EP$1</f>
        <v>0</v>
      </c>
      <c r="EQ108" s="8">
        <f>+MINVU_Mes_Corriente!EQ108*SALUD_Mes_Constante!$EP$1</f>
        <v>646433</v>
      </c>
      <c r="ER108" s="8">
        <f>+MINVU_Mes_Corriente!ER108*SALUD_Mes_Constante!$EP$1</f>
        <v>1084311</v>
      </c>
      <c r="ES108" s="8">
        <f>+MINVU_Mes_Corriente!ES108*SALUD_Mes_Constante!$EP$1</f>
        <v>2105876</v>
      </c>
      <c r="ET108" s="8">
        <f>+MINVU_Mes_Corriente!ET108*SALUD_Mes_Constante!$EP$1</f>
        <v>2578346</v>
      </c>
      <c r="EU108" s="8">
        <f>+MINVU_Mes_Corriente!EU108*SALUD_Mes_Constante!$EP$1</f>
        <v>3084753</v>
      </c>
      <c r="EV108" s="8">
        <f>+MINVU_Mes_Corriente!EV108*SALUD_Mes_Constante!$EP$1</f>
        <v>3346573</v>
      </c>
      <c r="EW108" s="8">
        <f>+MINVU_Mes_Corriente!EW108*SALUD_Mes_Constante!$EP$1</f>
        <v>4119135</v>
      </c>
      <c r="EX108" s="8">
        <f>+MINVU_Mes_Corriente!EX108*SALUD_Mes_Constante!$EP$1</f>
        <v>4752552</v>
      </c>
      <c r="EY108" s="8">
        <f>+MINVU_Mes_Corriente!EY108*SALUD_Mes_Constante!$EP$1</f>
        <v>5271475</v>
      </c>
      <c r="EZ108" s="8">
        <f>+MINVU_Mes_Corriente!EZ108*SALUD_Mes_Constante!$EP$1</f>
        <v>5692404</v>
      </c>
      <c r="FA108" s="8">
        <f>+MINVU_Mes_Corriente!FA108*SALUD_Mes_Constante!$EP$1</f>
        <v>6419050</v>
      </c>
      <c r="FB108" s="9">
        <f t="shared" si="49"/>
        <v>6419050</v>
      </c>
      <c r="FC108" s="8">
        <f>+MINVU_Mes_Corriente!FC108*SALUD_Mes_Constante!$FC$1</f>
        <v>680808</v>
      </c>
      <c r="FD108" s="8">
        <f>+MINVU_Mes_Corriente!FD108*SALUD_Mes_Constante!$FC$1</f>
        <v>1115462</v>
      </c>
      <c r="FE108" s="8">
        <f>+MINVU_Mes_Corriente!FE108*SALUD_Mes_Constante!$FC$1</f>
        <v>1331840</v>
      </c>
      <c r="FF108" s="8">
        <f>+MINVU_Mes_Corriente!FF108*SALUD_Mes_Constante!$FC$1</f>
        <v>2038911</v>
      </c>
      <c r="FG108" s="8">
        <f>+MINVU_Mes_Corriente!FG108*SALUD_Mes_Constante!$FC$1</f>
        <v>2492191</v>
      </c>
      <c r="FH108" s="8">
        <f>+MINVU_Mes_Corriente!FH108*SALUD_Mes_Constante!$FC$1</f>
        <v>2861919</v>
      </c>
      <c r="FI108" s="8">
        <f>+MINVU_Mes_Corriente!FI108*SALUD_Mes_Constante!$FC$1</f>
        <v>3423955</v>
      </c>
      <c r="FJ108" s="8"/>
      <c r="FK108" s="8"/>
      <c r="FL108" s="8"/>
      <c r="FM108" s="8"/>
      <c r="FN108" s="8"/>
      <c r="FO108" s="9">
        <f t="shared" si="50"/>
        <v>3423955</v>
      </c>
    </row>
    <row r="109" spans="2:171" ht="14.25" customHeight="1" x14ac:dyDescent="0.3">
      <c r="B109" s="35" t="s">
        <v>72</v>
      </c>
      <c r="C109" s="8">
        <f>+MINVU_Mes_Corriente!C109*SALUD_Mes_Constante!$C$1</f>
        <v>0</v>
      </c>
      <c r="D109" s="8">
        <f>+MINVU_Mes_Corriente!D109*SALUD_Mes_Constante!$C$1</f>
        <v>0</v>
      </c>
      <c r="E109" s="8">
        <f>+MINVU_Mes_Corriente!E109*SALUD_Mes_Constante!$C$1</f>
        <v>0</v>
      </c>
      <c r="F109" s="8">
        <f>+MINVU_Mes_Corriente!F109*SALUD_Mes_Constante!$C$1</f>
        <v>0</v>
      </c>
      <c r="G109" s="8">
        <f>+MINVU_Mes_Corriente!G109*SALUD_Mes_Constante!$C$1</f>
        <v>8555.4323001631328</v>
      </c>
      <c r="H109" s="8">
        <f>+MINVU_Mes_Corriente!H109*SALUD_Mes_Constante!$C$1</f>
        <v>10694.290375203916</v>
      </c>
      <c r="I109" s="8">
        <f>+MINVU_Mes_Corriente!I109*SALUD_Mes_Constante!$C$1</f>
        <v>12833.1484502447</v>
      </c>
      <c r="J109" s="8">
        <f>+MINVU_Mes_Corriente!J109*SALUD_Mes_Constante!$C$1</f>
        <v>12833.1484502447</v>
      </c>
      <c r="K109" s="8">
        <f>+MINVU_Mes_Corriente!K109*SALUD_Mes_Constante!$C$1</f>
        <v>76640.79400860153</v>
      </c>
      <c r="L109" s="8">
        <f>+MINVU_Mes_Corriente!L109*SALUD_Mes_Constante!$C$1</f>
        <v>96336.112116268734</v>
      </c>
      <c r="M109" s="8">
        <f>+MINVU_Mes_Corriente!M109*SALUD_Mes_Constante!$C$1</f>
        <v>103428.3710514608</v>
      </c>
      <c r="N109" s="8">
        <f>+MINVU_Mes_Corriente!N109*SALUD_Mes_Constante!$C$1</f>
        <v>707974.98561471165</v>
      </c>
      <c r="O109" s="9">
        <f t="shared" si="38"/>
        <v>707974.98561471165</v>
      </c>
      <c r="P109" s="8">
        <f>+MINVU_Mes_Corriente!P109*SALUD_Mes_Constante!$P$1</f>
        <v>0</v>
      </c>
      <c r="Q109" s="8">
        <f>+MINVU_Mes_Corriente!Q109*SALUD_Mes_Constante!$P$1</f>
        <v>0</v>
      </c>
      <c r="R109" s="8">
        <f>+MINVU_Mes_Corriente!R109*SALUD_Mes_Constante!$P$1</f>
        <v>0</v>
      </c>
      <c r="S109" s="8">
        <f>+MINVU_Mes_Corriente!S109*SALUD_Mes_Constante!$P$1</f>
        <v>0</v>
      </c>
      <c r="T109" s="8">
        <f>+MINVU_Mes_Corriente!T109*SALUD_Mes_Constante!$P$1</f>
        <v>0</v>
      </c>
      <c r="U109" s="8">
        <f>+MINVU_Mes_Corriente!U109*SALUD_Mes_Constante!$P$1</f>
        <v>0</v>
      </c>
      <c r="V109" s="8">
        <f>+MINVU_Mes_Corriente!V109*SALUD_Mes_Constante!$P$1</f>
        <v>29425.228299474347</v>
      </c>
      <c r="W109" s="8">
        <f>+MINVU_Mes_Corriente!W109*SALUD_Mes_Constante!$P$1</f>
        <v>39946.101718994163</v>
      </c>
      <c r="X109" s="8">
        <f>+MINVU_Mes_Corriente!X109*SALUD_Mes_Constante!$P$1</f>
        <v>239155.06804943876</v>
      </c>
      <c r="Y109" s="8">
        <f>+MINVU_Mes_Corriente!Y109*SALUD_Mes_Constante!$P$1</f>
        <v>442443.23994885618</v>
      </c>
      <c r="Z109" s="8">
        <f>+MINVU_Mes_Corriente!Z109*SALUD_Mes_Constante!$P$1</f>
        <v>524269.49595112924</v>
      </c>
      <c r="AA109" s="8">
        <f>+MINVU_Mes_Corriente!AA109*SALUD_Mes_Constante!$P$1</f>
        <v>9746549.243074296</v>
      </c>
      <c r="AB109" s="9">
        <f t="shared" si="39"/>
        <v>9746549.243074296</v>
      </c>
      <c r="AC109" s="8">
        <f>+MINVU_Mes_Corriente!AC109*SALUD_Mes_Constante!$AC$1</f>
        <v>0</v>
      </c>
      <c r="AD109" s="8">
        <f>+MINVU_Mes_Corriente!AD109*SALUD_Mes_Constante!$AC$1</f>
        <v>0</v>
      </c>
      <c r="AE109" s="8">
        <f>+MINVU_Mes_Corriente!AE109*SALUD_Mes_Constante!$AC$1</f>
        <v>182942.8642965832</v>
      </c>
      <c r="AF109" s="8">
        <f>+MINVU_Mes_Corriente!AF109*SALUD_Mes_Constante!$AC$1</f>
        <v>1066981.5603817955</v>
      </c>
      <c r="AG109" s="8">
        <f>+MINVU_Mes_Corriente!AG109*SALUD_Mes_Constante!$AC$1</f>
        <v>1788135.3456909668</v>
      </c>
      <c r="AH109" s="8">
        <f>+MINVU_Mes_Corriente!AH109*SALUD_Mes_Constante!$AC$1</f>
        <v>2481396.015769816</v>
      </c>
      <c r="AI109" s="8">
        <f>+MINVU_Mes_Corriente!AI109*SALUD_Mes_Constante!$AC$1</f>
        <v>2936601.6810070551</v>
      </c>
      <c r="AJ109" s="8">
        <f>+MINVU_Mes_Corriente!AJ109*SALUD_Mes_Constante!$AC$1</f>
        <v>5758660.9757919488</v>
      </c>
      <c r="AK109" s="8">
        <f>+MINVU_Mes_Corriente!AK109*SALUD_Mes_Constante!$AC$1</f>
        <v>8538634.9932217449</v>
      </c>
      <c r="AL109" s="8">
        <f>+MINVU_Mes_Corriente!AL109*SALUD_Mes_Constante!$AC$1</f>
        <v>9219621.4834693596</v>
      </c>
      <c r="AM109" s="8">
        <f>+MINVU_Mes_Corriente!AM109*SALUD_Mes_Constante!$AC$1</f>
        <v>10181233.419283442</v>
      </c>
      <c r="AN109" s="8">
        <f>+MINVU_Mes_Corriente!AN109*SALUD_Mes_Constante!$AC$1</f>
        <v>11631822.018259786</v>
      </c>
      <c r="AO109" s="9">
        <f t="shared" si="40"/>
        <v>11631822.018259786</v>
      </c>
      <c r="AP109" s="8">
        <f>+MINVU_Mes_Corriente!AP109*SALUD_Mes_Constante!$AP$1</f>
        <v>0</v>
      </c>
      <c r="AQ109" s="8">
        <f>+MINVU_Mes_Corriente!AQ109*SALUD_Mes_Constante!$AP$1</f>
        <v>1139921.861220073</v>
      </c>
      <c r="AR109" s="8">
        <f>+MINVU_Mes_Corriente!AR109*SALUD_Mes_Constante!$AP$1</f>
        <v>2322929.9667252805</v>
      </c>
      <c r="AS109" s="8">
        <f>+MINVU_Mes_Corriente!AS109*SALUD_Mes_Constante!$AP$1</f>
        <v>3052892.5832544295</v>
      </c>
      <c r="AT109" s="8">
        <f>+MINVU_Mes_Corriente!AT109*SALUD_Mes_Constante!$AP$1</f>
        <v>4661127.9580684425</v>
      </c>
      <c r="AU109" s="8">
        <f>+MINVU_Mes_Corriente!AU109*SALUD_Mes_Constante!$AP$1</f>
        <v>5745726.6914648991</v>
      </c>
      <c r="AV109" s="8">
        <f>+MINVU_Mes_Corriente!AV109*SALUD_Mes_Constante!$AP$1</f>
        <v>8273655.4930339502</v>
      </c>
      <c r="AW109" s="8">
        <f>+MINVU_Mes_Corriente!AW109*SALUD_Mes_Constante!$AP$1</f>
        <v>9839590.8581090216</v>
      </c>
      <c r="AX109" s="8">
        <f>+MINVU_Mes_Corriente!AX109*SALUD_Mes_Constante!$AP$1</f>
        <v>10963937.294738265</v>
      </c>
      <c r="AY109" s="8">
        <f>+MINVU_Mes_Corriente!AY109*SALUD_Mes_Constante!$AP$1</f>
        <v>11530977.925605301</v>
      </c>
      <c r="AZ109" s="8">
        <f>+MINVU_Mes_Corriente!AZ109*SALUD_Mes_Constante!$AP$1</f>
        <v>12029416.636548085</v>
      </c>
      <c r="BA109" s="8">
        <f>+MINVU_Mes_Corriente!BA109*SALUD_Mes_Constante!$AP$1</f>
        <v>17825797.818747461</v>
      </c>
      <c r="BB109" s="9">
        <f t="shared" si="41"/>
        <v>17825797.818747461</v>
      </c>
      <c r="BC109" s="8">
        <f>+MINVU_Mes_Corriente!BC109*SALUD_Mes_Constante!$BC$1</f>
        <v>0</v>
      </c>
      <c r="BD109" s="8">
        <f>+MINVU_Mes_Corriente!BD109*SALUD_Mes_Constante!$BC$1</f>
        <v>0</v>
      </c>
      <c r="BE109" s="8">
        <f>+MINVU_Mes_Corriente!BE109*SALUD_Mes_Constante!$BC$1</f>
        <v>0</v>
      </c>
      <c r="BF109" s="8">
        <f>+MINVU_Mes_Corriente!BF109*SALUD_Mes_Constante!$BC$1</f>
        <v>2593.5381775023084</v>
      </c>
      <c r="BG109" s="8">
        <f>+MINVU_Mes_Corriente!BG109*SALUD_Mes_Constante!$BC$1</f>
        <v>850778.50032968505</v>
      </c>
      <c r="BH109" s="8">
        <f>+MINVU_Mes_Corriente!BH109*SALUD_Mes_Constante!$BC$1</f>
        <v>972758.3642357908</v>
      </c>
      <c r="BI109" s="8">
        <f>+MINVU_Mes_Corriente!BI109*SALUD_Mes_Constante!$BC$1</f>
        <v>1010644.1935909273</v>
      </c>
      <c r="BJ109" s="8">
        <f>+MINVU_Mes_Corriente!BJ109*SALUD_Mes_Constante!$BC$1</f>
        <v>1161554.9758670714</v>
      </c>
      <c r="BK109" s="8">
        <f>+MINVU_Mes_Corriente!BK109*SALUD_Mes_Constante!$BC$1</f>
        <v>1657789.6030594755</v>
      </c>
      <c r="BL109" s="8">
        <f>+MINVU_Mes_Corriente!BL109*SALUD_Mes_Constante!$BC$1</f>
        <v>1772792.8492681002</v>
      </c>
      <c r="BM109" s="8">
        <f>+MINVU_Mes_Corriente!BM109*SALUD_Mes_Constante!$BC$1</f>
        <v>2446066.715020441</v>
      </c>
      <c r="BN109" s="8">
        <f>+MINVU_Mes_Corriente!BN109*SALUD_Mes_Constante!$BC$1</f>
        <v>3797860.5979163931</v>
      </c>
      <c r="BO109" s="9">
        <f t="shared" si="42"/>
        <v>3797860.5979163931</v>
      </c>
      <c r="BP109" s="8">
        <f>+MINVU_Mes_Corriente!BP109*SALUD_Mes_Constante!$BP$1</f>
        <v>0</v>
      </c>
      <c r="BQ109" s="8">
        <f>+MINVU_Mes_Corriente!BQ109*SALUD_Mes_Constante!$BP$1</f>
        <v>0</v>
      </c>
      <c r="BR109" s="8">
        <f>+MINVU_Mes_Corriente!BR109*SALUD_Mes_Constante!$BP$1</f>
        <v>0</v>
      </c>
      <c r="BS109" s="8">
        <f>+MINVU_Mes_Corriente!BS109*SALUD_Mes_Constante!$BP$1</f>
        <v>0</v>
      </c>
      <c r="BT109" s="8">
        <f>+MINVU_Mes_Corriente!BT109*SALUD_Mes_Constante!$BP$1</f>
        <v>5371704.2466069153</v>
      </c>
      <c r="BU109" s="8">
        <f>+MINVU_Mes_Corriente!BU109*SALUD_Mes_Constante!$BP$1</f>
        <v>6811287.9856594121</v>
      </c>
      <c r="BV109" s="8">
        <f>+MINVU_Mes_Corriente!BV109*SALUD_Mes_Constante!$BP$1</f>
        <v>6716241.5784891173</v>
      </c>
      <c r="BW109" s="8">
        <f>+MINVU_Mes_Corriente!BW109*SALUD_Mes_Constante!$BP$1</f>
        <v>8305989.9672215115</v>
      </c>
      <c r="BX109" s="8">
        <f>+MINVU_Mes_Corriente!BX109*SALUD_Mes_Constante!$BP$1</f>
        <v>8593086.3556978237</v>
      </c>
      <c r="BY109" s="8">
        <f>+MINVU_Mes_Corriente!BY109*SALUD_Mes_Constante!$BP$1</f>
        <v>8842695.7920614611</v>
      </c>
      <c r="BZ109" s="8">
        <f>+MINVU_Mes_Corriente!BZ109*SALUD_Mes_Constante!$BP$1</f>
        <v>13097441.074263766</v>
      </c>
      <c r="CA109" s="8">
        <f>+MINVU_Mes_Corriente!CA109*SALUD_Mes_Constante!$BP$1</f>
        <v>15228586.053265046</v>
      </c>
      <c r="CB109" s="9">
        <f t="shared" si="43"/>
        <v>15228586.053265046</v>
      </c>
      <c r="CC109" s="8">
        <f>+MINVU_Mes_Corriente!CC109*SALUD_Mes_Constante!$CC$1</f>
        <v>0</v>
      </c>
      <c r="CD109" s="8">
        <f>+MINVU_Mes_Corriente!CD109*SALUD_Mes_Constante!$CC$1</f>
        <v>0</v>
      </c>
      <c r="CE109" s="8">
        <f>+MINVU_Mes_Corriente!CE109*SALUD_Mes_Constante!$CC$1</f>
        <v>6288606.4878776586</v>
      </c>
      <c r="CF109" s="8">
        <f>+MINVU_Mes_Corriente!CF109*SALUD_Mes_Constante!$CC$1</f>
        <v>7757358.116374488</v>
      </c>
      <c r="CG109" s="8">
        <f>+MINVU_Mes_Corriente!CG109*SALUD_Mes_Constante!$CC$1</f>
        <v>8882559.5180902649</v>
      </c>
      <c r="CH109" s="8">
        <f>+MINVU_Mes_Corriente!CH109*SALUD_Mes_Constante!$CC$1</f>
        <v>10303480.180529654</v>
      </c>
      <c r="CI109" s="8">
        <f>+MINVU_Mes_Corriente!CI109*SALUD_Mes_Constante!$CC$1</f>
        <v>12117652.619171951</v>
      </c>
      <c r="CJ109" s="8">
        <f>+MINVU_Mes_Corriente!CJ109*SALUD_Mes_Constante!$CC$1</f>
        <v>15347000.842223052</v>
      </c>
      <c r="CK109" s="8">
        <f>+MINVU_Mes_Corriente!CK109*SALUD_Mes_Constante!$CC$1</f>
        <v>18459896.081312943</v>
      </c>
      <c r="CL109" s="8">
        <f>+MINVU_Mes_Corriente!CL109*SALUD_Mes_Constante!$CC$1</f>
        <v>21563146.337187618</v>
      </c>
      <c r="CM109" s="8">
        <f>+MINVU_Mes_Corriente!CM109*SALUD_Mes_Constante!$CC$1</f>
        <v>25958286.398358826</v>
      </c>
      <c r="CN109" s="8">
        <f>+MINVU_Mes_Corriente!CN109*SALUD_Mes_Constante!$CC$1</f>
        <v>32594824.108914588</v>
      </c>
      <c r="CO109" s="9">
        <f t="shared" si="44"/>
        <v>32594824.108914588</v>
      </c>
      <c r="CP109" s="8">
        <f>+MINVU_Mes_Corriente!CP109*SALUD_Mes_Constante!$CP$1</f>
        <v>0</v>
      </c>
      <c r="CQ109" s="8">
        <f>+MINVU_Mes_Corriente!CQ109*SALUD_Mes_Constante!$CP$1</f>
        <v>6578255.6060324814</v>
      </c>
      <c r="CR109" s="8">
        <f>+MINVU_Mes_Corriente!CR109*SALUD_Mes_Constante!$CP$1</f>
        <v>8928711.9897911809</v>
      </c>
      <c r="CS109" s="8">
        <f>+MINVU_Mes_Corriente!CS109*SALUD_Mes_Constante!$CP$1</f>
        <v>13496271.78654292</v>
      </c>
      <c r="CT109" s="8">
        <f>+MINVU_Mes_Corriente!CT109*SALUD_Mes_Constante!$CP$1</f>
        <v>16247449.994199533</v>
      </c>
      <c r="CU109" s="8">
        <f>+MINVU_Mes_Corriente!CU109*SALUD_Mes_Constante!$CP$1</f>
        <v>19924410.236658927</v>
      </c>
      <c r="CV109" s="8">
        <f>+MINVU_Mes_Corriente!CV109*SALUD_Mes_Constante!$CP$1</f>
        <v>24051804.335498836</v>
      </c>
      <c r="CW109" s="8">
        <f>+MINVU_Mes_Corriente!CW109*SALUD_Mes_Constante!$CP$1</f>
        <v>26933714.28793503</v>
      </c>
      <c r="CX109" s="8">
        <f>+MINVU_Mes_Corriente!CX109*SALUD_Mes_Constante!$CP$1</f>
        <v>26949464.459164727</v>
      </c>
      <c r="CY109" s="8">
        <f>+MINVU_Mes_Corriente!CY109*SALUD_Mes_Constante!$CP$1</f>
        <v>31302553.974013913</v>
      </c>
      <c r="CZ109" s="8">
        <f>+MINVU_Mes_Corriente!CZ109*SALUD_Mes_Constante!$CP$1</f>
        <v>35009662.117865421</v>
      </c>
      <c r="DA109" s="8">
        <f>+MINVU_Mes_Corriente!DA109*SALUD_Mes_Constante!$CP$1</f>
        <v>35754668.285846859</v>
      </c>
      <c r="DB109" s="9">
        <f t="shared" si="45"/>
        <v>35754668.285846859</v>
      </c>
      <c r="DC109" s="8">
        <f>+MINVU_Mes_Corriente!DC109*SALUD_Mes_Constante!$DC$1</f>
        <v>0</v>
      </c>
      <c r="DD109" s="8">
        <f>+MINVU_Mes_Corriente!DD109*SALUD_Mes_Constante!$DC$1</f>
        <v>0</v>
      </c>
      <c r="DE109" s="8">
        <f>+MINVU_Mes_Corriente!DE109*SALUD_Mes_Constante!$DC$1</f>
        <v>5685957.3879230563</v>
      </c>
      <c r="DF109" s="8">
        <f>+MINVU_Mes_Corriente!DF109*SALUD_Mes_Constante!$DC$1</f>
        <v>6113715.739121492</v>
      </c>
      <c r="DG109" s="8">
        <f>+MINVU_Mes_Corriente!DG109*SALUD_Mes_Constante!$DC$1</f>
        <v>12438452.427528039</v>
      </c>
      <c r="DH109" s="8">
        <f>+MINVU_Mes_Corriente!DH109*SALUD_Mes_Constante!$DC$1</f>
        <v>14559834.067277037</v>
      </c>
      <c r="DI109" s="8">
        <f>+MINVU_Mes_Corriente!DI109*SALUD_Mes_Constante!$DC$1</f>
        <v>16343392.014401818</v>
      </c>
      <c r="DJ109" s="8">
        <f>+MINVU_Mes_Corriente!DJ109*SALUD_Mes_Constante!$DC$1</f>
        <v>18939286.42855674</v>
      </c>
      <c r="DK109" s="8">
        <f>+MINVU_Mes_Corriente!DK109*SALUD_Mes_Constante!$DC$1</f>
        <v>20343990.580187235</v>
      </c>
      <c r="DL109" s="8">
        <f>+MINVU_Mes_Corriente!DL109*SALUD_Mes_Constante!$DC$1</f>
        <v>20662513.658471361</v>
      </c>
      <c r="DM109" s="8">
        <f>+MINVU_Mes_Corriente!DM109*SALUD_Mes_Constante!$DC$1</f>
        <v>23612702.252237435</v>
      </c>
      <c r="DN109" s="8">
        <f>+MINVU_Mes_Corriente!DN109*SALUD_Mes_Constante!$DC$1</f>
        <v>26391852.470321994</v>
      </c>
      <c r="DO109" s="9">
        <f t="shared" si="46"/>
        <v>26391852.470321994</v>
      </c>
      <c r="DP109" s="8">
        <f>+MINVU_Mes_Corriente!DP109*SALUD_Mes_Constante!$DP$1</f>
        <v>0</v>
      </c>
      <c r="DQ109" s="8">
        <f>+MINVU_Mes_Corriente!DQ109*SALUD_Mes_Constante!$DP$1</f>
        <v>1790923.2220902615</v>
      </c>
      <c r="DR109" s="8">
        <f>+MINVU_Mes_Corriente!DR109*SALUD_Mes_Constante!$DP$1</f>
        <v>3572867.9625890739</v>
      </c>
      <c r="DS109" s="8">
        <f>+MINVU_Mes_Corriente!DS109*SALUD_Mes_Constante!$DP$1</f>
        <v>6540196.1134204278</v>
      </c>
      <c r="DT109" s="8">
        <f>+MINVU_Mes_Corriente!DT109*SALUD_Mes_Constante!$DP$1</f>
        <v>8476298.6686460823</v>
      </c>
      <c r="DU109" s="8">
        <f>+MINVU_Mes_Corriente!DU109*SALUD_Mes_Constante!$DP$1</f>
        <v>9889714.7494061776</v>
      </c>
      <c r="DV109" s="8">
        <f>+MINVU_Mes_Corriente!DV109*SALUD_Mes_Constante!$DP$1</f>
        <v>10829347.505344419</v>
      </c>
      <c r="DW109" s="8">
        <f>+MINVU_Mes_Corriente!DW109*SALUD_Mes_Constante!$DP$1</f>
        <v>11929233.668052258</v>
      </c>
      <c r="DX109" s="8">
        <f>+MINVU_Mes_Corriente!DX109*SALUD_Mes_Constante!$DP$1</f>
        <v>13217496.008907365</v>
      </c>
      <c r="DY109" s="8">
        <f>+MINVU_Mes_Corriente!DY109*SALUD_Mes_Constante!$DP$1</f>
        <v>14570163.789192401</v>
      </c>
      <c r="DZ109" s="8">
        <f>+MINVU_Mes_Corriente!DZ109*SALUD_Mes_Constante!$DP$1</f>
        <v>16175383.940023754</v>
      </c>
      <c r="EA109" s="8">
        <f>+MINVU_Mes_Corriente!EA109*SALUD_Mes_Constante!$DP$1</f>
        <v>17978547.007125892</v>
      </c>
      <c r="EB109" s="9">
        <f t="shared" si="47"/>
        <v>17978547.007125892</v>
      </c>
      <c r="EC109" s="8">
        <f>+MINVU_Mes_Corriente!EC109*SALUD_Mes_Constante!$EC$1</f>
        <v>0</v>
      </c>
      <c r="ED109" s="8">
        <f>+MINVU_Mes_Corriente!ED109*SALUD_Mes_Constante!$EC$1</f>
        <v>0</v>
      </c>
      <c r="EE109" s="8">
        <f>+MINVU_Mes_Corriente!EE109*SALUD_Mes_Constante!$EC$1</f>
        <v>3143528.7494792645</v>
      </c>
      <c r="EF109" s="8">
        <f>+MINVU_Mes_Corriente!EF109*SALUD_Mes_Constante!$EC$1</f>
        <v>5029136.8363946211</v>
      </c>
      <c r="EG109" s="8">
        <f>+MINVU_Mes_Corriente!EG109*SALUD_Mes_Constante!$EC$1</f>
        <v>8181806.1024427162</v>
      </c>
      <c r="EH109" s="8">
        <f>+MINVU_Mes_Corriente!EH109*SALUD_Mes_Constante!$EC$1</f>
        <v>11516074.343495546</v>
      </c>
      <c r="EI109" s="8">
        <f>+MINVU_Mes_Corriente!EI109*SALUD_Mes_Constante!$EC$1</f>
        <v>13460663.38250331</v>
      </c>
      <c r="EJ109" s="8">
        <f>+MINVU_Mes_Corriente!EJ109*SALUD_Mes_Constante!$EC$1</f>
        <v>14845495.09013444</v>
      </c>
      <c r="EK109" s="8">
        <f>+MINVU_Mes_Corriente!EK109*SALUD_Mes_Constante!$EC$1</f>
        <v>32180381.316606693</v>
      </c>
      <c r="EL109" s="8">
        <f>+MINVU_Mes_Corriente!EL109*SALUD_Mes_Constante!$EC$1</f>
        <v>33842556.737928413</v>
      </c>
      <c r="EM109" s="8">
        <f>+MINVU_Mes_Corriente!EM109*SALUD_Mes_Constante!$EC$1</f>
        <v>36775419.131793208</v>
      </c>
      <c r="EN109" s="8">
        <f>+MINVU_Mes_Corriente!EN109*SALUD_Mes_Constante!$EC$1</f>
        <v>41027681.368869521</v>
      </c>
      <c r="EO109" s="9">
        <f t="shared" si="48"/>
        <v>41027681.368869521</v>
      </c>
      <c r="EP109" s="8">
        <f>+MINVU_Mes_Corriente!EP109*SALUD_Mes_Constante!$EP$1</f>
        <v>0</v>
      </c>
      <c r="EQ109" s="8">
        <f>+MINVU_Mes_Corriente!EQ109*SALUD_Mes_Constante!$EP$1</f>
        <v>0</v>
      </c>
      <c r="ER109" s="8">
        <f>+MINVU_Mes_Corriente!ER109*SALUD_Mes_Constante!$EP$1</f>
        <v>6900974</v>
      </c>
      <c r="ES109" s="8">
        <f>+MINVU_Mes_Corriente!ES109*SALUD_Mes_Constante!$EP$1</f>
        <v>8732286</v>
      </c>
      <c r="ET109" s="8">
        <f>+MINVU_Mes_Corriente!ET109*SALUD_Mes_Constante!$EP$1</f>
        <v>11347945</v>
      </c>
      <c r="EU109" s="8">
        <f>+MINVU_Mes_Corriente!EU109*SALUD_Mes_Constante!$EP$1</f>
        <v>13264740</v>
      </c>
      <c r="EV109" s="8">
        <f>+MINVU_Mes_Corriente!EV109*SALUD_Mes_Constante!$EP$1</f>
        <v>14320043</v>
      </c>
      <c r="EW109" s="8">
        <f>+MINVU_Mes_Corriente!EW109*SALUD_Mes_Constante!$EP$1</f>
        <v>16566725</v>
      </c>
      <c r="EX109" s="8">
        <f>+MINVU_Mes_Corriente!EX109*SALUD_Mes_Constante!$EP$1</f>
        <v>17858338</v>
      </c>
      <c r="EY109" s="8">
        <f>+MINVU_Mes_Corriente!EY109*SALUD_Mes_Constante!$EP$1</f>
        <v>19361038</v>
      </c>
      <c r="EZ109" s="8">
        <f>+MINVU_Mes_Corriente!EZ109*SALUD_Mes_Constante!$EP$1</f>
        <v>22633614</v>
      </c>
      <c r="FA109" s="8">
        <f>+MINVU_Mes_Corriente!FA109*SALUD_Mes_Constante!$EP$1</f>
        <v>28273003</v>
      </c>
      <c r="FB109" s="9">
        <f t="shared" si="49"/>
        <v>28273003</v>
      </c>
      <c r="FC109" s="8">
        <f>+MINVU_Mes_Corriente!FC109*SALUD_Mes_Constante!$FC$1</f>
        <v>0</v>
      </c>
      <c r="FD109" s="8">
        <f>+MINVU_Mes_Corriente!FD109*SALUD_Mes_Constante!$FC$1</f>
        <v>717483</v>
      </c>
      <c r="FE109" s="8">
        <f>+MINVU_Mes_Corriente!FE109*SALUD_Mes_Constante!$FC$1</f>
        <v>4332029</v>
      </c>
      <c r="FF109" s="8">
        <f>+MINVU_Mes_Corriente!FF109*SALUD_Mes_Constante!$FC$1</f>
        <v>6509045</v>
      </c>
      <c r="FG109" s="8">
        <f>+MINVU_Mes_Corriente!FG109*SALUD_Mes_Constante!$FC$1</f>
        <v>8789861</v>
      </c>
      <c r="FH109" s="8">
        <f>+MINVU_Mes_Corriente!FH109*SALUD_Mes_Constante!$FC$1</f>
        <v>10369326</v>
      </c>
      <c r="FI109" s="8">
        <f>+MINVU_Mes_Corriente!FI109*SALUD_Mes_Constante!$FC$1</f>
        <v>12091632</v>
      </c>
      <c r="FJ109" s="8"/>
      <c r="FK109" s="8"/>
      <c r="FL109" s="8"/>
      <c r="FM109" s="8"/>
      <c r="FN109" s="8"/>
      <c r="FO109" s="9">
        <f t="shared" si="50"/>
        <v>12091632</v>
      </c>
    </row>
    <row r="110" spans="2:171" ht="14.25" customHeight="1" x14ac:dyDescent="0.3">
      <c r="B110" s="35" t="s">
        <v>73</v>
      </c>
      <c r="C110" s="8">
        <f>+MINVU_Mes_Corriente!C110*SALUD_Mes_Constante!$C$1</f>
        <v>0</v>
      </c>
      <c r="D110" s="8">
        <f>+MINVU_Mes_Corriente!D110*SALUD_Mes_Constante!$C$1</f>
        <v>1801043.2659053837</v>
      </c>
      <c r="E110" s="8">
        <f>+MINVU_Mes_Corriente!E110*SALUD_Mes_Constante!$C$1</f>
        <v>1909603.2759899157</v>
      </c>
      <c r="F110" s="8">
        <f>+MINVU_Mes_Corriente!F110*SALUD_Mes_Constante!$C$1</f>
        <v>2469988.9526916808</v>
      </c>
      <c r="G110" s="8">
        <f>+MINVU_Mes_Corriente!G110*SALUD_Mes_Constante!$C$1</f>
        <v>2436535.2679816107</v>
      </c>
      <c r="H110" s="8">
        <f>+MINVU_Mes_Corriente!H110*SALUD_Mes_Constante!$C$1</f>
        <v>3637311.2558208518</v>
      </c>
      <c r="I110" s="8">
        <f>+MINVU_Mes_Corriente!I110*SALUD_Mes_Constante!$C$1</f>
        <v>3891734.9052350591</v>
      </c>
      <c r="J110" s="8">
        <f>+MINVU_Mes_Corriente!J110*SALUD_Mes_Constante!$C$1</f>
        <v>4048122.6985021508</v>
      </c>
      <c r="K110" s="8">
        <f>+MINVU_Mes_Corriente!K110*SALUD_Mes_Constante!$C$1</f>
        <v>4498535.4225122361</v>
      </c>
      <c r="L110" s="8">
        <f>+MINVU_Mes_Corriente!L110*SALUD_Mes_Constante!$C$1</f>
        <v>5100155.6903455444</v>
      </c>
      <c r="M110" s="8">
        <f>+MINVU_Mes_Corriente!M110*SALUD_Mes_Constante!$C$1</f>
        <v>5279064.6869345997</v>
      </c>
      <c r="N110" s="8">
        <f>+MINVU_Mes_Corriente!N110*SALUD_Mes_Constante!$C$1</f>
        <v>10336742.979979239</v>
      </c>
      <c r="O110" s="9">
        <f t="shared" si="38"/>
        <v>10336742.979979239</v>
      </c>
      <c r="P110" s="8">
        <f>+MINVU_Mes_Corriente!P110*SALUD_Mes_Constante!$P$1</f>
        <v>0</v>
      </c>
      <c r="Q110" s="8">
        <f>+MINVU_Mes_Corriente!Q110*SALUD_Mes_Constante!$P$1</f>
        <v>0</v>
      </c>
      <c r="R110" s="8">
        <f>+MINVU_Mes_Corriente!R110*SALUD_Mes_Constante!$P$1</f>
        <v>732690.82341241627</v>
      </c>
      <c r="S110" s="8">
        <f>+MINVU_Mes_Corriente!S110*SALUD_Mes_Constante!$P$1</f>
        <v>2290222.4691007235</v>
      </c>
      <c r="T110" s="8">
        <f>+MINVU_Mes_Corriente!T110*SALUD_Mes_Constante!$P$1</f>
        <v>3068711.2226168476</v>
      </c>
      <c r="U110" s="8">
        <f>+MINVU_Mes_Corriente!U110*SALUD_Mes_Constante!$P$1</f>
        <v>4110619.1771558444</v>
      </c>
      <c r="V110" s="8">
        <f>+MINVU_Mes_Corriente!V110*SALUD_Mes_Constante!$P$1</f>
        <v>4911212.9407586288</v>
      </c>
      <c r="W110" s="8">
        <f>+MINVU_Mes_Corriente!W110*SALUD_Mes_Constante!$P$1</f>
        <v>7903397.1493109791</v>
      </c>
      <c r="X110" s="8">
        <f>+MINVU_Mes_Corriente!X110*SALUD_Mes_Constante!$P$1</f>
        <v>10659266.832504613</v>
      </c>
      <c r="Y110" s="8">
        <f>+MINVU_Mes_Corriente!Y110*SALUD_Mes_Constante!$P$1</f>
        <v>13682049.739451621</v>
      </c>
      <c r="Z110" s="8">
        <f>+MINVU_Mes_Corriente!Z110*SALUD_Mes_Constante!$P$1</f>
        <v>17365131.540843863</v>
      </c>
      <c r="AA110" s="8">
        <f>+MINVU_Mes_Corriente!AA110*SALUD_Mes_Constante!$P$1</f>
        <v>29455032.266799249</v>
      </c>
      <c r="AB110" s="9">
        <f t="shared" si="39"/>
        <v>29455032.266799249</v>
      </c>
      <c r="AC110" s="8">
        <f>+MINVU_Mes_Corriente!AC110*SALUD_Mes_Constante!$AC$1</f>
        <v>0</v>
      </c>
      <c r="AD110" s="8">
        <f>+MINVU_Mes_Corriente!AD110*SALUD_Mes_Constante!$AC$1</f>
        <v>0</v>
      </c>
      <c r="AE110" s="8">
        <f>+MINVU_Mes_Corriente!AE110*SALUD_Mes_Constante!$AC$1</f>
        <v>0</v>
      </c>
      <c r="AF110" s="8">
        <f>+MINVU_Mes_Corriente!AF110*SALUD_Mes_Constante!$AC$1</f>
        <v>7384407.1539632035</v>
      </c>
      <c r="AG110" s="8">
        <f>+MINVU_Mes_Corriente!AG110*SALUD_Mes_Constante!$AC$1</f>
        <v>7420269.9466039566</v>
      </c>
      <c r="AH110" s="8">
        <f>+MINVU_Mes_Corriente!AH110*SALUD_Mes_Constante!$AC$1</f>
        <v>9690987.1697330195</v>
      </c>
      <c r="AI110" s="8">
        <f>+MINVU_Mes_Corriente!AI110*SALUD_Mes_Constante!$AC$1</f>
        <v>9795454.4811177198</v>
      </c>
      <c r="AJ110" s="8">
        <f>+MINVU_Mes_Corriente!AJ110*SALUD_Mes_Constante!$AC$1</f>
        <v>10167137.987550145</v>
      </c>
      <c r="AK110" s="8">
        <f>+MINVU_Mes_Corriente!AK110*SALUD_Mes_Constante!$AC$1</f>
        <v>11994279.863604924</v>
      </c>
      <c r="AL110" s="8">
        <f>+MINVU_Mes_Corriente!AL110*SALUD_Mes_Constante!$AC$1</f>
        <v>12445779.545718633</v>
      </c>
      <c r="AM110" s="8">
        <f>+MINVU_Mes_Corriente!AM110*SALUD_Mes_Constante!$AC$1</f>
        <v>14245983.519158943</v>
      </c>
      <c r="AN110" s="8">
        <f>+MINVU_Mes_Corriente!AN110*SALUD_Mes_Constante!$AC$1</f>
        <v>24635761.616821136</v>
      </c>
      <c r="AO110" s="9">
        <f t="shared" si="40"/>
        <v>24635761.616821136</v>
      </c>
      <c r="AP110" s="8">
        <f>+MINVU_Mes_Corriente!AP110*SALUD_Mes_Constante!$AP$1</f>
        <v>0</v>
      </c>
      <c r="AQ110" s="8">
        <f>+MINVU_Mes_Corriente!AQ110*SALUD_Mes_Constante!$AP$1</f>
        <v>0</v>
      </c>
      <c r="AR110" s="8">
        <f>+MINVU_Mes_Corriente!AR110*SALUD_Mes_Constante!$AP$1</f>
        <v>0</v>
      </c>
      <c r="AS110" s="8">
        <f>+MINVU_Mes_Corriente!AS110*SALUD_Mes_Constante!$AP$1</f>
        <v>0</v>
      </c>
      <c r="AT110" s="8">
        <f>+MINVU_Mes_Corriente!AT110*SALUD_Mes_Constante!$AP$1</f>
        <v>701804.48343027185</v>
      </c>
      <c r="AU110" s="8">
        <f>+MINVU_Mes_Corriente!AU110*SALUD_Mes_Constante!$AP$1</f>
        <v>1535918.0532936561</v>
      </c>
      <c r="AV110" s="8">
        <f>+MINVU_Mes_Corriente!AV110*SALUD_Mes_Constante!$AP$1</f>
        <v>1833797.4943865817</v>
      </c>
      <c r="AW110" s="8">
        <f>+MINVU_Mes_Corriente!AW110*SALUD_Mes_Constante!$AP$1</f>
        <v>2191548.9917489514</v>
      </c>
      <c r="AX110" s="8">
        <f>+MINVU_Mes_Corriente!AX110*SALUD_Mes_Constante!$AP$1</f>
        <v>2693450.3860408491</v>
      </c>
      <c r="AY110" s="8">
        <f>+MINVU_Mes_Corriente!AY110*SALUD_Mes_Constante!$AP$1</f>
        <v>3784269.5352360341</v>
      </c>
      <c r="AZ110" s="8">
        <f>+MINVU_Mes_Corriente!AZ110*SALUD_Mes_Constante!$AP$1</f>
        <v>4596133.554172866</v>
      </c>
      <c r="BA110" s="8">
        <f>+MINVU_Mes_Corriente!BA110*SALUD_Mes_Constante!$AP$1</f>
        <v>8513810.2440146077</v>
      </c>
      <c r="BB110" s="9">
        <f t="shared" si="41"/>
        <v>8513810.2440146077</v>
      </c>
      <c r="BC110" s="8">
        <f>+MINVU_Mes_Corriente!BC110*SALUD_Mes_Constante!$BC$1</f>
        <v>0</v>
      </c>
      <c r="BD110" s="8">
        <f>+MINVU_Mes_Corriente!BD110*SALUD_Mes_Constante!$BC$1</f>
        <v>0</v>
      </c>
      <c r="BE110" s="8">
        <f>+MINVU_Mes_Corriente!BE110*SALUD_Mes_Constante!$BC$1</f>
        <v>0</v>
      </c>
      <c r="BF110" s="8">
        <f>+MINVU_Mes_Corriente!BF110*SALUD_Mes_Constante!$BC$1</f>
        <v>426854.59923513135</v>
      </c>
      <c r="BG110" s="8">
        <f>+MINVU_Mes_Corriente!BG110*SALUD_Mes_Constante!$BC$1</f>
        <v>755447.24119741551</v>
      </c>
      <c r="BH110" s="8">
        <f>+MINVU_Mes_Corriente!BH110*SALUD_Mes_Constante!$BC$1</f>
        <v>1493308.8526968223</v>
      </c>
      <c r="BI110" s="8">
        <f>+MINVU_Mes_Corriente!BI110*SALUD_Mes_Constante!$BC$1</f>
        <v>1782726.100487934</v>
      </c>
      <c r="BJ110" s="8">
        <f>+MINVU_Mes_Corriente!BJ110*SALUD_Mes_Constante!$BC$1</f>
        <v>2575347.3888962157</v>
      </c>
      <c r="BK110" s="8">
        <f>+MINVU_Mes_Corriente!BK110*SALUD_Mes_Constante!$BC$1</f>
        <v>3566894.4963734681</v>
      </c>
      <c r="BL110" s="8">
        <f>+MINVU_Mes_Corriente!BL110*SALUD_Mes_Constante!$BC$1</f>
        <v>3943288.9286562055</v>
      </c>
      <c r="BM110" s="8">
        <f>+MINVU_Mes_Corriente!BM110*SALUD_Mes_Constante!$BC$1</f>
        <v>4506347.5078464998</v>
      </c>
      <c r="BN110" s="8">
        <f>+MINVU_Mes_Corriente!BN110*SALUD_Mes_Constante!$BC$1</f>
        <v>5434080.6084663076</v>
      </c>
      <c r="BO110" s="9">
        <f t="shared" si="42"/>
        <v>5434080.6084663076</v>
      </c>
      <c r="BP110" s="8">
        <f>+MINVU_Mes_Corriente!BP110*SALUD_Mes_Constante!$BP$1</f>
        <v>0</v>
      </c>
      <c r="BQ110" s="8">
        <f>+MINVU_Mes_Corriente!BQ110*SALUD_Mes_Constante!$BP$1</f>
        <v>0</v>
      </c>
      <c r="BR110" s="8">
        <f>+MINVU_Mes_Corriente!BR110*SALUD_Mes_Constante!$BP$1</f>
        <v>520432.9398207427</v>
      </c>
      <c r="BS110" s="8">
        <f>+MINVU_Mes_Corriente!BS110*SALUD_Mes_Constante!$BP$1</f>
        <v>584494.83380281692</v>
      </c>
      <c r="BT110" s="8">
        <f>+MINVU_Mes_Corriente!BT110*SALUD_Mes_Constante!$BP$1</f>
        <v>584494.83380281692</v>
      </c>
      <c r="BU110" s="8">
        <f>+MINVU_Mes_Corriente!BU110*SALUD_Mes_Constante!$BP$1</f>
        <v>768065.62355953909</v>
      </c>
      <c r="BV110" s="8">
        <f>+MINVU_Mes_Corriente!BV110*SALUD_Mes_Constante!$BP$1</f>
        <v>1433173.6325224072</v>
      </c>
      <c r="BW110" s="8">
        <f>+MINVU_Mes_Corriente!BW110*SALUD_Mes_Constante!$BP$1</f>
        <v>2169348.206658131</v>
      </c>
      <c r="BX110" s="8">
        <f>+MINVU_Mes_Corriente!BX110*SALUD_Mes_Constante!$BP$1</f>
        <v>2721267.8919334188</v>
      </c>
      <c r="BY110" s="8">
        <f>+MINVU_Mes_Corriente!BY110*SALUD_Mes_Constante!$BP$1</f>
        <v>5038953.6860435344</v>
      </c>
      <c r="BZ110" s="8">
        <f>+MINVU_Mes_Corriente!BZ110*SALUD_Mes_Constante!$BP$1</f>
        <v>5676268.245326505</v>
      </c>
      <c r="CA110" s="8">
        <f>+MINVU_Mes_Corriente!CA110*SALUD_Mes_Constante!$BP$1</f>
        <v>9958338.3203585166</v>
      </c>
      <c r="CB110" s="9">
        <f t="shared" si="43"/>
        <v>9958338.3203585166</v>
      </c>
      <c r="CC110" s="8">
        <f>+MINVU_Mes_Corriente!CC110*SALUD_Mes_Constante!$CC$1</f>
        <v>0</v>
      </c>
      <c r="CD110" s="8">
        <f>+MINVU_Mes_Corriente!CD110*SALUD_Mes_Constante!$CC$1</f>
        <v>0</v>
      </c>
      <c r="CE110" s="8">
        <f>+MINVU_Mes_Corriente!CE110*SALUD_Mes_Constante!$CC$1</f>
        <v>891700.43342036556</v>
      </c>
      <c r="CF110" s="8">
        <f>+MINVU_Mes_Corriente!CF110*SALUD_Mes_Constante!$CC$1</f>
        <v>1440792.0447594183</v>
      </c>
      <c r="CG110" s="8">
        <f>+MINVU_Mes_Corriente!CG110*SALUD_Mes_Constante!$CC$1</f>
        <v>1822823.0376725104</v>
      </c>
      <c r="CH110" s="8">
        <f>+MINVU_Mes_Corriente!CH110*SALUD_Mes_Constante!$CC$1</f>
        <v>2137574.1596419248</v>
      </c>
      <c r="CI110" s="8">
        <f>+MINVU_Mes_Corriente!CI110*SALUD_Mes_Constante!$CC$1</f>
        <v>2480120.4930995898</v>
      </c>
      <c r="CJ110" s="8">
        <f>+MINVU_Mes_Corriente!CJ110*SALUD_Mes_Constante!$CC$1</f>
        <v>3645900.1051846328</v>
      </c>
      <c r="CK110" s="8">
        <f>+MINVU_Mes_Corriente!CK110*SALUD_Mes_Constante!$CC$1</f>
        <v>4506339.9254009705</v>
      </c>
      <c r="CL110" s="8">
        <f>+MINVU_Mes_Corriente!CL110*SALUD_Mes_Constante!$CC$1</f>
        <v>4998744.8459530035</v>
      </c>
      <c r="CM110" s="8">
        <f>+MINVU_Mes_Corriente!CM110*SALUD_Mes_Constante!$CC$1</f>
        <v>5678544.9981350247</v>
      </c>
      <c r="CN110" s="8">
        <f>+MINVU_Mes_Corriente!CN110*SALUD_Mes_Constante!$CC$1</f>
        <v>12769808.347631482</v>
      </c>
      <c r="CO110" s="9">
        <f t="shared" si="44"/>
        <v>12769808.347631482</v>
      </c>
      <c r="CP110" s="8">
        <f>+MINVU_Mes_Corriente!CP110*SALUD_Mes_Constante!$CP$1</f>
        <v>0</v>
      </c>
      <c r="CQ110" s="8">
        <f>+MINVU_Mes_Corriente!CQ110*SALUD_Mes_Constante!$CP$1</f>
        <v>0</v>
      </c>
      <c r="CR110" s="8">
        <f>+MINVU_Mes_Corriente!CR110*SALUD_Mes_Constante!$CP$1</f>
        <v>0</v>
      </c>
      <c r="CS110" s="8">
        <f>+MINVU_Mes_Corriente!CS110*SALUD_Mes_Constante!$CP$1</f>
        <v>963483.07238979102</v>
      </c>
      <c r="CT110" s="8">
        <f>+MINVU_Mes_Corriente!CT110*SALUD_Mes_Constante!$CP$1</f>
        <v>1386048.0236658929</v>
      </c>
      <c r="CU110" s="8">
        <f>+MINVU_Mes_Corriente!CU110*SALUD_Mes_Constante!$CP$1</f>
        <v>1589373.0250580043</v>
      </c>
      <c r="CV110" s="8">
        <f>+MINVU_Mes_Corriente!CV110*SALUD_Mes_Constante!$CP$1</f>
        <v>1783310.7925754057</v>
      </c>
      <c r="CW110" s="8">
        <f>+MINVU_Mes_Corriente!CW110*SALUD_Mes_Constante!$CP$1</f>
        <v>2522590.3169373544</v>
      </c>
      <c r="CX110" s="8">
        <f>+MINVU_Mes_Corriente!CX110*SALUD_Mes_Constante!$CP$1</f>
        <v>2727489.5749419946</v>
      </c>
      <c r="CY110" s="8">
        <f>+MINVU_Mes_Corriente!CY110*SALUD_Mes_Constante!$CP$1</f>
        <v>3149717.3665893264</v>
      </c>
      <c r="CZ110" s="8">
        <f>+MINVU_Mes_Corriente!CZ110*SALUD_Mes_Constante!$CP$1</f>
        <v>3890820.8484918787</v>
      </c>
      <c r="DA110" s="8">
        <f>+MINVU_Mes_Corriente!DA110*SALUD_Mes_Constante!$CP$1</f>
        <v>4699438.6447795816</v>
      </c>
      <c r="DB110" s="9">
        <f t="shared" si="45"/>
        <v>4699438.6447795816</v>
      </c>
      <c r="DC110" s="8">
        <f>+MINVU_Mes_Corriente!DC110*SALUD_Mes_Constante!$DC$1</f>
        <v>0</v>
      </c>
      <c r="DD110" s="8">
        <f>+MINVU_Mes_Corriente!DD110*SALUD_Mes_Constante!$DC$1</f>
        <v>0</v>
      </c>
      <c r="DE110" s="8">
        <f>+MINVU_Mes_Corriente!DE110*SALUD_Mes_Constante!$DC$1</f>
        <v>747015.37434420362</v>
      </c>
      <c r="DF110" s="8">
        <f>+MINVU_Mes_Corriente!DF110*SALUD_Mes_Constante!$DC$1</f>
        <v>901465.24740253098</v>
      </c>
      <c r="DG110" s="8">
        <f>+MINVU_Mes_Corriente!DG110*SALUD_Mes_Constante!$DC$1</f>
        <v>1173572.2139697568</v>
      </c>
      <c r="DH110" s="8">
        <f>+MINVU_Mes_Corriente!DH110*SALUD_Mes_Constante!$DC$1</f>
        <v>1473266.7404588012</v>
      </c>
      <c r="DI110" s="8">
        <f>+MINVU_Mes_Corriente!DI110*SALUD_Mes_Constante!$DC$1</f>
        <v>1766766.0080238667</v>
      </c>
      <c r="DJ110" s="8">
        <f>+MINVU_Mes_Corriente!DJ110*SALUD_Mes_Constante!$DC$1</f>
        <v>2062639.0758152464</v>
      </c>
      <c r="DK110" s="8">
        <f>+MINVU_Mes_Corriente!DK110*SALUD_Mes_Constante!$DC$1</f>
        <v>2425799.03960498</v>
      </c>
      <c r="DL110" s="8">
        <f>+MINVU_Mes_Corriente!DL110*SALUD_Mes_Constante!$DC$1</f>
        <v>2707155.0601789951</v>
      </c>
      <c r="DM110" s="8">
        <f>+MINVU_Mes_Corriente!DM110*SALUD_Mes_Constante!$DC$1</f>
        <v>3245779.5479888916</v>
      </c>
      <c r="DN110" s="8">
        <f>+MINVU_Mes_Corriente!DN110*SALUD_Mes_Constante!$DC$1</f>
        <v>4074800.0541096614</v>
      </c>
      <c r="DO110" s="9">
        <f t="shared" si="46"/>
        <v>4074800.0541096614</v>
      </c>
      <c r="DP110" s="8">
        <f>+MINVU_Mes_Corriente!DP110*SALUD_Mes_Constante!$DP$1</f>
        <v>0</v>
      </c>
      <c r="DQ110" s="8">
        <f>+MINVU_Mes_Corriente!DQ110*SALUD_Mes_Constante!$DP$1</f>
        <v>0</v>
      </c>
      <c r="DR110" s="8">
        <f>+MINVU_Mes_Corriente!DR110*SALUD_Mes_Constante!$DP$1</f>
        <v>369107.18408551073</v>
      </c>
      <c r="DS110" s="8">
        <f>+MINVU_Mes_Corriente!DS110*SALUD_Mes_Constante!$DP$1</f>
        <v>8069261.9144893121</v>
      </c>
      <c r="DT110" s="8">
        <f>+MINVU_Mes_Corriente!DT110*SALUD_Mes_Constante!$DP$1</f>
        <v>11926240.480403801</v>
      </c>
      <c r="DU110" s="8">
        <f>+MINVU_Mes_Corriente!DU110*SALUD_Mes_Constante!$DP$1</f>
        <v>20127189.675178148</v>
      </c>
      <c r="DV110" s="8">
        <f>+MINVU_Mes_Corriente!DV110*SALUD_Mes_Constante!$DP$1</f>
        <v>34811856.949524947</v>
      </c>
      <c r="DW110" s="8">
        <f>+MINVU_Mes_Corriente!DW110*SALUD_Mes_Constante!$DP$1</f>
        <v>43341234.956650838</v>
      </c>
      <c r="DX110" s="8">
        <f>+MINVU_Mes_Corriente!DX110*SALUD_Mes_Constante!$DP$1</f>
        <v>50668253.378266037</v>
      </c>
      <c r="DY110" s="8">
        <f>+MINVU_Mes_Corriente!DY110*SALUD_Mes_Constante!$DP$1</f>
        <v>54153360.819477439</v>
      </c>
      <c r="DZ110" s="8">
        <f>+MINVU_Mes_Corriente!DZ110*SALUD_Mes_Constante!$DP$1</f>
        <v>60802205.967933498</v>
      </c>
      <c r="EA110" s="8">
        <f>+MINVU_Mes_Corriente!EA110*SALUD_Mes_Constante!$DP$1</f>
        <v>81969363.985154405</v>
      </c>
      <c r="EB110" s="9">
        <f t="shared" si="47"/>
        <v>81969363.985154405</v>
      </c>
      <c r="EC110" s="8">
        <f>+MINVU_Mes_Corriente!EC110*SALUD_Mes_Constante!$EC$1</f>
        <v>0</v>
      </c>
      <c r="ED110" s="8">
        <f>+MINVU_Mes_Corriente!ED110*SALUD_Mes_Constante!$EC$1</f>
        <v>0</v>
      </c>
      <c r="EE110" s="8">
        <f>+MINVU_Mes_Corriente!EE110*SALUD_Mes_Constante!$EC$1</f>
        <v>16202934.213027831</v>
      </c>
      <c r="EF110" s="8">
        <f>+MINVU_Mes_Corriente!EF110*SALUD_Mes_Constante!$EC$1</f>
        <v>19569832.525847372</v>
      </c>
      <c r="EG110" s="8">
        <f>+MINVU_Mes_Corriente!EG110*SALUD_Mes_Constante!$EC$1</f>
        <v>20979239.975004729</v>
      </c>
      <c r="EH110" s="8">
        <f>+MINVU_Mes_Corriente!EH110*SALUD_Mes_Constante!$EC$1</f>
        <v>26251524.276084065</v>
      </c>
      <c r="EI110" s="8">
        <f>+MINVU_Mes_Corriente!EI110*SALUD_Mes_Constante!$EC$1</f>
        <v>28878579.702139739</v>
      </c>
      <c r="EJ110" s="8">
        <f>+MINVU_Mes_Corriente!EJ110*SALUD_Mes_Constante!$EC$1</f>
        <v>31827213.521492131</v>
      </c>
      <c r="EK110" s="8">
        <f>+MINVU_Mes_Corriente!EK110*SALUD_Mes_Constante!$EC$1</f>
        <v>34534768.802499518</v>
      </c>
      <c r="EL110" s="8">
        <f>+MINVU_Mes_Corriente!EL110*SALUD_Mes_Constante!$EC$1</f>
        <v>38000156.284794532</v>
      </c>
      <c r="EM110" s="8">
        <f>+MINVU_Mes_Corriente!EM110*SALUD_Mes_Constante!$EC$1</f>
        <v>42184841.180836946</v>
      </c>
      <c r="EN110" s="8">
        <f>+MINVU_Mes_Corriente!EN110*SALUD_Mes_Constante!$EC$1</f>
        <v>86048372.987502337</v>
      </c>
      <c r="EO110" s="9">
        <f t="shared" si="48"/>
        <v>86048372.987502337</v>
      </c>
      <c r="EP110" s="8">
        <f>+MINVU_Mes_Corriente!EP110*SALUD_Mes_Constante!$EP$1</f>
        <v>0</v>
      </c>
      <c r="EQ110" s="8">
        <f>+MINVU_Mes_Corriente!EQ110*SALUD_Mes_Constante!$EP$1</f>
        <v>0</v>
      </c>
      <c r="ER110" s="8">
        <f>+MINVU_Mes_Corriente!ER110*SALUD_Mes_Constante!$EP$1</f>
        <v>10926118</v>
      </c>
      <c r="ES110" s="8">
        <f>+MINVU_Mes_Corriente!ES110*SALUD_Mes_Constante!$EP$1</f>
        <v>21119649</v>
      </c>
      <c r="ET110" s="8">
        <f>+MINVU_Mes_Corriente!ET110*SALUD_Mes_Constante!$EP$1</f>
        <v>33340198</v>
      </c>
      <c r="EU110" s="8">
        <f>+MINVU_Mes_Corriente!EU110*SALUD_Mes_Constante!$EP$1</f>
        <v>43752887</v>
      </c>
      <c r="EV110" s="8">
        <f>+MINVU_Mes_Corriente!EV110*SALUD_Mes_Constante!$EP$1</f>
        <v>47470463</v>
      </c>
      <c r="EW110" s="8">
        <f>+MINVU_Mes_Corriente!EW110*SALUD_Mes_Constante!$EP$1</f>
        <v>61332869</v>
      </c>
      <c r="EX110" s="8">
        <f>+MINVU_Mes_Corriente!EX110*SALUD_Mes_Constante!$EP$1</f>
        <v>68507371</v>
      </c>
      <c r="EY110" s="8">
        <f>+MINVU_Mes_Corriente!EY110*SALUD_Mes_Constante!$EP$1</f>
        <v>74867103</v>
      </c>
      <c r="EZ110" s="8">
        <f>+MINVU_Mes_Corriente!EZ110*SALUD_Mes_Constante!$EP$1</f>
        <v>79001834</v>
      </c>
      <c r="FA110" s="8">
        <f>+MINVU_Mes_Corriente!FA110*SALUD_Mes_Constante!$EP$1</f>
        <v>96411554</v>
      </c>
      <c r="FB110" s="9">
        <f t="shared" si="49"/>
        <v>96411554</v>
      </c>
      <c r="FC110" s="8">
        <f>+MINVU_Mes_Corriente!FC110*SALUD_Mes_Constante!$FC$1</f>
        <v>4570</v>
      </c>
      <c r="FD110" s="8">
        <f>+MINVU_Mes_Corriente!FD110*SALUD_Mes_Constante!$FC$1</f>
        <v>4570</v>
      </c>
      <c r="FE110" s="8">
        <f>+MINVU_Mes_Corriente!FE110*SALUD_Mes_Constante!$FC$1</f>
        <v>18868122</v>
      </c>
      <c r="FF110" s="8">
        <f>+MINVU_Mes_Corriente!FF110*SALUD_Mes_Constante!$FC$1</f>
        <v>26692850</v>
      </c>
      <c r="FG110" s="8">
        <f>+MINVU_Mes_Corriente!FG110*SALUD_Mes_Constante!$FC$1</f>
        <v>33386282</v>
      </c>
      <c r="FH110" s="8">
        <f>+MINVU_Mes_Corriente!FH110*SALUD_Mes_Constante!$FC$1</f>
        <v>39443417</v>
      </c>
      <c r="FI110" s="8">
        <f>+MINVU_Mes_Corriente!FI110*SALUD_Mes_Constante!$FC$1</f>
        <v>43943409</v>
      </c>
      <c r="FJ110" s="8"/>
      <c r="FK110" s="8"/>
      <c r="FL110" s="8"/>
      <c r="FM110" s="8"/>
      <c r="FN110" s="8"/>
      <c r="FO110" s="9">
        <f t="shared" si="50"/>
        <v>43943409</v>
      </c>
    </row>
    <row r="111" spans="2:171" ht="14.25" customHeight="1" x14ac:dyDescent="0.3">
      <c r="B111" s="35" t="s">
        <v>74</v>
      </c>
      <c r="C111" s="8">
        <f>+MINVU_Mes_Corriente!C111*SALUD_Mes_Constante!$C$1</f>
        <v>0</v>
      </c>
      <c r="D111" s="8">
        <f>+MINVU_Mes_Corriente!D111*SALUD_Mes_Constante!$C$1</f>
        <v>262889.96262791049</v>
      </c>
      <c r="E111" s="8">
        <f>+MINVU_Mes_Corriente!E111*SALUD_Mes_Constante!$C$1</f>
        <v>287541.92228978203</v>
      </c>
      <c r="F111" s="8">
        <f>+MINVU_Mes_Corriente!F111*SALUD_Mes_Constante!$C$1</f>
        <v>290860.39300014835</v>
      </c>
      <c r="G111" s="8">
        <f>+MINVU_Mes_Corriente!G111*SALUD_Mes_Constante!$C$1</f>
        <v>593126.40872015432</v>
      </c>
      <c r="H111" s="8">
        <f>+MINVU_Mes_Corriente!H111*SALUD_Mes_Constante!$C$1</f>
        <v>618622.56918285636</v>
      </c>
      <c r="I111" s="8">
        <f>+MINVU_Mes_Corriente!I111*SALUD_Mes_Constante!$C$1</f>
        <v>454551.09031588322</v>
      </c>
      <c r="J111" s="8">
        <f>+MINVU_Mes_Corriente!J111*SALUD_Mes_Constante!$C$1</f>
        <v>457887.38484354154</v>
      </c>
      <c r="K111" s="8">
        <f>+MINVU_Mes_Corriente!K111*SALUD_Mes_Constante!$C$1</f>
        <v>457887.38484354154</v>
      </c>
      <c r="L111" s="8">
        <f>+MINVU_Mes_Corriente!L111*SALUD_Mes_Constante!$C$1</f>
        <v>608522.94616639486</v>
      </c>
      <c r="M111" s="8">
        <f>+MINVU_Mes_Corriente!M111*SALUD_Mes_Constante!$C$1</f>
        <v>646733.96974640375</v>
      </c>
      <c r="N111" s="8">
        <f>+MINVU_Mes_Corriente!N111*SALUD_Mes_Constante!$C$1</f>
        <v>1006611.4239952544</v>
      </c>
      <c r="O111" s="9">
        <f t="shared" si="38"/>
        <v>1006611.4239952544</v>
      </c>
      <c r="P111" s="8">
        <f>+MINVU_Mes_Corriente!P111*SALUD_Mes_Constante!$P$1</f>
        <v>0</v>
      </c>
      <c r="Q111" s="8">
        <f>+MINVU_Mes_Corriente!Q111*SALUD_Mes_Constante!$P$1</f>
        <v>0</v>
      </c>
      <c r="R111" s="8">
        <f>+MINVU_Mes_Corriente!R111*SALUD_Mes_Constante!$P$1</f>
        <v>103099.28200028409</v>
      </c>
      <c r="S111" s="8">
        <f>+MINVU_Mes_Corriente!S111*SALUD_Mes_Constante!$P$1</f>
        <v>119572.87739735753</v>
      </c>
      <c r="T111" s="8">
        <f>+MINVU_Mes_Corriente!T111*SALUD_Mes_Constante!$P$1</f>
        <v>178992.99474357147</v>
      </c>
      <c r="U111" s="8">
        <f>+MINVU_Mes_Corriente!U111*SALUD_Mes_Constante!$P$1</f>
        <v>218058.99389117764</v>
      </c>
      <c r="V111" s="8">
        <f>+MINVU_Mes_Corriente!V111*SALUD_Mes_Constante!$P$1</f>
        <v>324655.40304020443</v>
      </c>
      <c r="W111" s="8">
        <f>+MINVU_Mes_Corriente!W111*SALUD_Mes_Constante!$P$1</f>
        <v>984255.80338116176</v>
      </c>
      <c r="X111" s="8">
        <f>+MINVU_Mes_Corriente!X111*SALUD_Mes_Constante!$P$1</f>
        <v>1011178.8705782067</v>
      </c>
      <c r="Y111" s="8">
        <f>+MINVU_Mes_Corriente!Y111*SALUD_Mes_Constante!$P$1</f>
        <v>1203648.1449069465</v>
      </c>
      <c r="Z111" s="8">
        <f>+MINVU_Mes_Corriente!Z111*SALUD_Mes_Constante!$P$1</f>
        <v>2092550.1897996867</v>
      </c>
      <c r="AA111" s="8">
        <f>+MINVU_Mes_Corriente!AA111*SALUD_Mes_Constante!$P$1</f>
        <v>5236683.2535871556</v>
      </c>
      <c r="AB111" s="9">
        <f t="shared" si="39"/>
        <v>5236683.2535871556</v>
      </c>
      <c r="AC111" s="8">
        <f>+MINVU_Mes_Corriente!AC111*SALUD_Mes_Constante!$AC$1</f>
        <v>0</v>
      </c>
      <c r="AD111" s="8">
        <f>+MINVU_Mes_Corriente!AD111*SALUD_Mes_Constante!$AC$1</f>
        <v>60119.449716419971</v>
      </c>
      <c r="AE111" s="8">
        <f>+MINVU_Mes_Corriente!AE111*SALUD_Mes_Constante!$AC$1</f>
        <v>310892.98962512106</v>
      </c>
      <c r="AF111" s="8">
        <f>+MINVU_Mes_Corriente!AF111*SALUD_Mes_Constante!$AC$1</f>
        <v>850799.71531332133</v>
      </c>
      <c r="AG111" s="8">
        <f>+MINVU_Mes_Corriente!AG111*SALUD_Mes_Constante!$AC$1</f>
        <v>1358266.9973716973</v>
      </c>
      <c r="AH111" s="8">
        <f>+MINVU_Mes_Corriente!AH111*SALUD_Mes_Constante!$AC$1</f>
        <v>2043955.4914925992</v>
      </c>
      <c r="AI111" s="8">
        <f>+MINVU_Mes_Corriente!AI111*SALUD_Mes_Constante!$AC$1</f>
        <v>2567531.4065569234</v>
      </c>
      <c r="AJ111" s="8">
        <f>+MINVU_Mes_Corriente!AJ111*SALUD_Mes_Constante!$AC$1</f>
        <v>2930291.5343754324</v>
      </c>
      <c r="AK111" s="8">
        <f>+MINVU_Mes_Corriente!AK111*SALUD_Mes_Constante!$AC$1</f>
        <v>3170383.9230875638</v>
      </c>
      <c r="AL111" s="8">
        <f>+MINVU_Mes_Corriente!AL111*SALUD_Mes_Constante!$AC$1</f>
        <v>3702212.1496749204</v>
      </c>
      <c r="AM111" s="8">
        <f>+MINVU_Mes_Corriente!AM111*SALUD_Mes_Constante!$AC$1</f>
        <v>3895156.0296029882</v>
      </c>
      <c r="AN111" s="8">
        <f>+MINVU_Mes_Corriente!AN111*SALUD_Mes_Constante!$AC$1</f>
        <v>4784322.9478489421</v>
      </c>
      <c r="AO111" s="9">
        <f t="shared" si="40"/>
        <v>4784322.9478489421</v>
      </c>
      <c r="AP111" s="8">
        <f>+MINVU_Mes_Corriente!AP111*SALUD_Mes_Constante!$AP$1</f>
        <v>0</v>
      </c>
      <c r="AQ111" s="8">
        <f>+MINVU_Mes_Corriente!AQ111*SALUD_Mes_Constante!$AP$1</f>
        <v>12130.475855539024</v>
      </c>
      <c r="AR111" s="8">
        <f>+MINVU_Mes_Corriente!AR111*SALUD_Mes_Constante!$AP$1</f>
        <v>250956.60868389014</v>
      </c>
      <c r="AS111" s="8">
        <f>+MINVU_Mes_Corriente!AS111*SALUD_Mes_Constante!$AP$1</f>
        <v>468436.17800622206</v>
      </c>
      <c r="AT111" s="8">
        <f>+MINVU_Mes_Corriente!AT111*SALUD_Mes_Constante!$AP$1</f>
        <v>978714.22156093596</v>
      </c>
      <c r="AU111" s="8">
        <f>+MINVU_Mes_Corriente!AU111*SALUD_Mes_Constante!$AP$1</f>
        <v>1638048.7385364533</v>
      </c>
      <c r="AV111" s="8">
        <f>+MINVU_Mes_Corriente!AV111*SALUD_Mes_Constante!$AP$1</f>
        <v>2097792</v>
      </c>
      <c r="AW111" s="8">
        <f>+MINVU_Mes_Corriente!AW111*SALUD_Mes_Constante!$AP$1</f>
        <v>2525677.9834979032</v>
      </c>
      <c r="AX111" s="8">
        <f>+MINVU_Mes_Corriente!AX111*SALUD_Mes_Constante!$AP$1</f>
        <v>3144562.8021101039</v>
      </c>
      <c r="AY111" s="8">
        <f>+MINVU_Mes_Corriente!AY111*SALUD_Mes_Constante!$AP$1</f>
        <v>3573042.8951711077</v>
      </c>
      <c r="AZ111" s="8">
        <f>+MINVU_Mes_Corriente!AZ111*SALUD_Mes_Constante!$AP$1</f>
        <v>3868535.552820235</v>
      </c>
      <c r="BA111" s="8">
        <f>+MINVU_Mes_Corriente!BA111*SALUD_Mes_Constante!$AP$1</f>
        <v>4940947.6507507097</v>
      </c>
      <c r="BB111" s="9">
        <f t="shared" si="41"/>
        <v>4940947.6507507097</v>
      </c>
      <c r="BC111" s="8">
        <f>+MINVU_Mes_Corriente!BC111*SALUD_Mes_Constante!$BC$1</f>
        <v>0</v>
      </c>
      <c r="BD111" s="8">
        <f>+MINVU_Mes_Corriente!BD111*SALUD_Mes_Constante!$BC$1</f>
        <v>0</v>
      </c>
      <c r="BE111" s="8">
        <f>+MINVU_Mes_Corriente!BE111*SALUD_Mes_Constante!$BC$1</f>
        <v>26331.616774363716</v>
      </c>
      <c r="BF111" s="8">
        <f>+MINVU_Mes_Corriente!BF111*SALUD_Mes_Constante!$BC$1</f>
        <v>333129.89291837014</v>
      </c>
      <c r="BG111" s="8">
        <f>+MINVU_Mes_Corriente!BG111*SALUD_Mes_Constante!$BC$1</f>
        <v>1299931.764473164</v>
      </c>
      <c r="BH111" s="8">
        <f>+MINVU_Mes_Corriente!BH111*SALUD_Mes_Constante!$BC$1</f>
        <v>2922344.0659369649</v>
      </c>
      <c r="BI111" s="8">
        <f>+MINVU_Mes_Corriente!BI111*SALUD_Mes_Constante!$BC$1</f>
        <v>3572781.8280363982</v>
      </c>
      <c r="BJ111" s="8">
        <f>+MINVU_Mes_Corriente!BJ111*SALUD_Mes_Constante!$BC$1</f>
        <v>5036832.6883819085</v>
      </c>
      <c r="BK111" s="8">
        <f>+MINVU_Mes_Corriente!BK111*SALUD_Mes_Constante!$BC$1</f>
        <v>7417524.9510747744</v>
      </c>
      <c r="BL111" s="8">
        <f>+MINVU_Mes_Corriente!BL111*SALUD_Mes_Constante!$BC$1</f>
        <v>9577792.4040617198</v>
      </c>
      <c r="BM111" s="8">
        <f>+MINVU_Mes_Corriente!BM111*SALUD_Mes_Constante!$BC$1</f>
        <v>11945793.61993934</v>
      </c>
      <c r="BN111" s="8">
        <f>+MINVU_Mes_Corriente!BN111*SALUD_Mes_Constante!$BC$1</f>
        <v>18353912.071475673</v>
      </c>
      <c r="BO111" s="9">
        <f t="shared" si="42"/>
        <v>18353912.071475673</v>
      </c>
      <c r="BP111" s="8">
        <f>+MINVU_Mes_Corriente!BP111*SALUD_Mes_Constante!$BP$1</f>
        <v>0</v>
      </c>
      <c r="BQ111" s="8">
        <f>+MINVU_Mes_Corriente!BQ111*SALUD_Mes_Constante!$BP$1</f>
        <v>4199182.1654289374</v>
      </c>
      <c r="BR111" s="8">
        <f>+MINVU_Mes_Corriente!BR111*SALUD_Mes_Constante!$BP$1</f>
        <v>6030702.92880922</v>
      </c>
      <c r="BS111" s="8">
        <f>+MINVU_Mes_Corriente!BS111*SALUD_Mes_Constante!$BP$1</f>
        <v>8993010.1321382858</v>
      </c>
      <c r="BT111" s="8">
        <f>+MINVU_Mes_Corriente!BT111*SALUD_Mes_Constante!$BP$1</f>
        <v>12264156.60384123</v>
      </c>
      <c r="BU111" s="8">
        <f>+MINVU_Mes_Corriente!BU111*SALUD_Mes_Constante!$BP$1</f>
        <v>17883113.012804098</v>
      </c>
      <c r="BV111" s="8">
        <f>+MINVU_Mes_Corriente!BV111*SALUD_Mes_Constante!$BP$1</f>
        <v>21165889.169270169</v>
      </c>
      <c r="BW111" s="8">
        <f>+MINVU_Mes_Corriente!BW111*SALUD_Mes_Constante!$BP$1</f>
        <v>25026225.437131885</v>
      </c>
      <c r="BX111" s="8">
        <f>+MINVU_Mes_Corriente!BX111*SALUD_Mes_Constante!$BP$1</f>
        <v>30237976.401280414</v>
      </c>
      <c r="BY111" s="8">
        <f>+MINVU_Mes_Corriente!BY111*SALUD_Mes_Constante!$BP$1</f>
        <v>35168603.204097316</v>
      </c>
      <c r="BZ111" s="8">
        <f>+MINVU_Mes_Corriente!BZ111*SALUD_Mes_Constante!$BP$1</f>
        <v>39459113.299359798</v>
      </c>
      <c r="CA111" s="8">
        <f>+MINVU_Mes_Corriente!CA111*SALUD_Mes_Constante!$BP$1</f>
        <v>48886744.602560826</v>
      </c>
      <c r="CB111" s="9">
        <f t="shared" si="43"/>
        <v>48886744.602560826</v>
      </c>
      <c r="CC111" s="8">
        <f>+MINVU_Mes_Corriente!CC111*SALUD_Mes_Constante!$CC$1</f>
        <v>0</v>
      </c>
      <c r="CD111" s="8">
        <f>+MINVU_Mes_Corriente!CD111*SALUD_Mes_Constante!$CC$1</f>
        <v>7912770.0402834769</v>
      </c>
      <c r="CE111" s="8">
        <f>+MINVU_Mes_Corriente!CE111*SALUD_Mes_Constante!$CC$1</f>
        <v>12045135.929876912</v>
      </c>
      <c r="CF111" s="8">
        <f>+MINVU_Mes_Corriente!CF111*SALUD_Mes_Constante!$CC$1</f>
        <v>16468702.881014548</v>
      </c>
      <c r="CG111" s="8">
        <f>+MINVU_Mes_Corriente!CG111*SALUD_Mes_Constante!$CC$1</f>
        <v>16766075.373368148</v>
      </c>
      <c r="CH111" s="8">
        <f>+MINVU_Mes_Corriente!CH111*SALUD_Mes_Constante!$CC$1</f>
        <v>25230007.300261099</v>
      </c>
      <c r="CI111" s="8">
        <f>+MINVU_Mes_Corriente!CI111*SALUD_Mes_Constante!$CC$1</f>
        <v>25381851.938828796</v>
      </c>
      <c r="CJ111" s="8">
        <f>+MINVU_Mes_Corriente!CJ111*SALUD_Mes_Constante!$CC$1</f>
        <v>28328845.315926895</v>
      </c>
      <c r="CK111" s="8">
        <f>+MINVU_Mes_Corriente!CK111*SALUD_Mes_Constante!$CC$1</f>
        <v>33404320.757926151</v>
      </c>
      <c r="CL111" s="8">
        <f>+MINVU_Mes_Corriente!CL111*SALUD_Mes_Constante!$CC$1</f>
        <v>35463520.599030219</v>
      </c>
      <c r="CM111" s="8">
        <f>+MINVU_Mes_Corriente!CM111*SALUD_Mes_Constante!$CC$1</f>
        <v>35720401.821708322</v>
      </c>
      <c r="CN111" s="8">
        <f>+MINVU_Mes_Corriente!CN111*SALUD_Mes_Constante!$CC$1</f>
        <v>52694948.752704218</v>
      </c>
      <c r="CO111" s="9">
        <f t="shared" si="44"/>
        <v>52694948.752704218</v>
      </c>
      <c r="CP111" s="8">
        <f>+MINVU_Mes_Corriente!CP111*SALUD_Mes_Constante!$CP$1</f>
        <v>0</v>
      </c>
      <c r="CQ111" s="8">
        <f>+MINVU_Mes_Corriente!CQ111*SALUD_Mes_Constante!$CP$1</f>
        <v>0</v>
      </c>
      <c r="CR111" s="8">
        <f>+MINVU_Mes_Corriente!CR111*SALUD_Mes_Constante!$CP$1</f>
        <v>6534166.2807424581</v>
      </c>
      <c r="CS111" s="8">
        <f>+MINVU_Mes_Corriente!CS111*SALUD_Mes_Constante!$CP$1</f>
        <v>10391108.924129928</v>
      </c>
      <c r="CT111" s="8">
        <f>+MINVU_Mes_Corriente!CT111*SALUD_Mes_Constante!$CP$1</f>
        <v>12457775.766821343</v>
      </c>
      <c r="CU111" s="8">
        <f>+MINVU_Mes_Corriente!CU111*SALUD_Mes_Constante!$CP$1</f>
        <v>15597373.274477955</v>
      </c>
      <c r="CV111" s="8">
        <f>+MINVU_Mes_Corriente!CV111*SALUD_Mes_Constante!$CP$1</f>
        <v>20075275.227842223</v>
      </c>
      <c r="CW111" s="8">
        <f>+MINVU_Mes_Corriente!CW111*SALUD_Mes_Constante!$CP$1</f>
        <v>22766477.047099762</v>
      </c>
      <c r="CX111" s="8">
        <f>+MINVU_Mes_Corriente!CX111*SALUD_Mes_Constante!$CP$1</f>
        <v>25903237.850812059</v>
      </c>
      <c r="CY111" s="8">
        <f>+MINVU_Mes_Corriente!CY111*SALUD_Mes_Constante!$CP$1</f>
        <v>27896013.499071918</v>
      </c>
      <c r="CZ111" s="8">
        <f>+MINVU_Mes_Corriente!CZ111*SALUD_Mes_Constante!$CP$1</f>
        <v>33398798.335266814</v>
      </c>
      <c r="DA111" s="8">
        <f>+MINVU_Mes_Corriente!DA111*SALUD_Mes_Constante!$CP$1</f>
        <v>44256756.733642682</v>
      </c>
      <c r="DB111" s="9">
        <f t="shared" si="45"/>
        <v>44256756.733642682</v>
      </c>
      <c r="DC111" s="8">
        <f>+MINVU_Mes_Corriente!DC111*SALUD_Mes_Constante!$DC$1</f>
        <v>0</v>
      </c>
      <c r="DD111" s="8">
        <f>+MINVU_Mes_Corriente!DD111*SALUD_Mes_Constante!$DC$1</f>
        <v>0</v>
      </c>
      <c r="DE111" s="8">
        <f>+MINVU_Mes_Corriente!DE111*SALUD_Mes_Constante!$DC$1</f>
        <v>46107.023145766922</v>
      </c>
      <c r="DF111" s="8">
        <f>+MINVU_Mes_Corriente!DF111*SALUD_Mes_Constante!$DC$1</f>
        <v>6273998.9564859616</v>
      </c>
      <c r="DG111" s="8">
        <f>+MINVU_Mes_Corriente!DG111*SALUD_Mes_Constante!$DC$1</f>
        <v>9213440.2596440744</v>
      </c>
      <c r="DH111" s="8">
        <f>+MINVU_Mes_Corriente!DH111*SALUD_Mes_Constante!$DC$1</f>
        <v>13574880.062956491</v>
      </c>
      <c r="DI111" s="8">
        <f>+MINVU_Mes_Corriente!DI111*SALUD_Mes_Constante!$DC$1</f>
        <v>19368698.122621138</v>
      </c>
      <c r="DJ111" s="8">
        <f>+MINVU_Mes_Corriente!DJ111*SALUD_Mes_Constante!$DC$1</f>
        <v>19440549.413846321</v>
      </c>
      <c r="DK111" s="8">
        <f>+MINVU_Mes_Corriente!DK111*SALUD_Mes_Constante!$DC$1</f>
        <v>22873026.326509628</v>
      </c>
      <c r="DL111" s="8">
        <f>+MINVU_Mes_Corriente!DL111*SALUD_Mes_Constante!$DC$1</f>
        <v>23160265.145561166</v>
      </c>
      <c r="DM111" s="8">
        <f>+MINVU_Mes_Corriente!DM111*SALUD_Mes_Constante!$DC$1</f>
        <v>26117103.077461179</v>
      </c>
      <c r="DN111" s="8">
        <f>+MINVU_Mes_Corriente!DN111*SALUD_Mes_Constante!$DC$1</f>
        <v>32753635.95288552</v>
      </c>
      <c r="DO111" s="9">
        <f t="shared" si="46"/>
        <v>32753635.95288552</v>
      </c>
      <c r="DP111" s="8">
        <f>+MINVU_Mes_Corriente!DP111*SALUD_Mes_Constante!$DP$1</f>
        <v>0</v>
      </c>
      <c r="DQ111" s="8">
        <f>+MINVU_Mes_Corriente!DQ111*SALUD_Mes_Constante!$DP$1</f>
        <v>0</v>
      </c>
      <c r="DR111" s="8">
        <f>+MINVU_Mes_Corriente!DR111*SALUD_Mes_Constante!$DP$1</f>
        <v>3393328.6086698342</v>
      </c>
      <c r="DS111" s="8">
        <f>+MINVU_Mes_Corriente!DS111*SALUD_Mes_Constante!$DP$1</f>
        <v>4402043.6597387176</v>
      </c>
      <c r="DT111" s="8">
        <f>+MINVU_Mes_Corriente!DT111*SALUD_Mes_Constante!$DP$1</f>
        <v>7585851.2957244664</v>
      </c>
      <c r="DU111" s="8">
        <f>+MINVU_Mes_Corriente!DU111*SALUD_Mes_Constante!$DP$1</f>
        <v>11326728.135391925</v>
      </c>
      <c r="DV111" s="8">
        <f>+MINVU_Mes_Corriente!DV111*SALUD_Mes_Constante!$DP$1</f>
        <v>13726708.813539194</v>
      </c>
      <c r="DW111" s="8">
        <f>+MINVU_Mes_Corriente!DW111*SALUD_Mes_Constante!$DP$1</f>
        <v>16595283.399049884</v>
      </c>
      <c r="DX111" s="8">
        <f>+MINVU_Mes_Corriente!DX111*SALUD_Mes_Constante!$DP$1</f>
        <v>19236505.48574822</v>
      </c>
      <c r="DY111" s="8">
        <f>+MINVU_Mes_Corriente!DY111*SALUD_Mes_Constante!$DP$1</f>
        <v>20174471.875296913</v>
      </c>
      <c r="DZ111" s="8">
        <f>+MINVU_Mes_Corriente!DZ111*SALUD_Mes_Constante!$DP$1</f>
        <v>22258584.748218529</v>
      </c>
      <c r="EA111" s="8">
        <f>+MINVU_Mes_Corriente!EA111*SALUD_Mes_Constante!$DP$1</f>
        <v>29199722.023752972</v>
      </c>
      <c r="EB111" s="9">
        <f t="shared" si="47"/>
        <v>29199722.023752972</v>
      </c>
      <c r="EC111" s="8">
        <f>+MINVU_Mes_Corriente!EC111*SALUD_Mes_Constante!$EC$1</f>
        <v>0</v>
      </c>
      <c r="ED111" s="8">
        <f>+MINVU_Mes_Corriente!ED111*SALUD_Mes_Constante!$EC$1</f>
        <v>0</v>
      </c>
      <c r="EE111" s="8">
        <f>+MINVU_Mes_Corriente!EE111*SALUD_Mes_Constante!$EC$1</f>
        <v>8970831.5061541349</v>
      </c>
      <c r="EF111" s="8">
        <f>+MINVU_Mes_Corriente!EF111*SALUD_Mes_Constante!$EC$1</f>
        <v>10478174.686991097</v>
      </c>
      <c r="EG111" s="8">
        <f>+MINVU_Mes_Corriente!EG111*SALUD_Mes_Constante!$EC$1</f>
        <v>14087806.679227415</v>
      </c>
      <c r="EH111" s="8">
        <f>+MINVU_Mes_Corriente!EH111*SALUD_Mes_Constante!$EC$1</f>
        <v>16357822.314523758</v>
      </c>
      <c r="EI111" s="8">
        <f>+MINVU_Mes_Corriente!EI111*SALUD_Mes_Constante!$EC$1</f>
        <v>19616927.496118154</v>
      </c>
      <c r="EJ111" s="8">
        <f>+MINVU_Mes_Corriente!EJ111*SALUD_Mes_Constante!$EC$1</f>
        <v>34817695.513917811</v>
      </c>
      <c r="EK111" s="8">
        <f>+MINVU_Mes_Corriente!EK111*SALUD_Mes_Constante!$EC$1</f>
        <v>36485861.511456154</v>
      </c>
      <c r="EL111" s="8">
        <f>+MINVU_Mes_Corriente!EL111*SALUD_Mes_Constante!$EC$1</f>
        <v>37762962.155652329</v>
      </c>
      <c r="EM111" s="8">
        <f>+MINVU_Mes_Corriente!EM111*SALUD_Mes_Constante!$EC$1</f>
        <v>44415683.764817253</v>
      </c>
      <c r="EN111" s="8">
        <f>+MINVU_Mes_Corriente!EN111*SALUD_Mes_Constante!$EC$1</f>
        <v>47726289.695322841</v>
      </c>
      <c r="EO111" s="9">
        <f t="shared" si="48"/>
        <v>47726289.695322841</v>
      </c>
      <c r="EP111" s="8">
        <f>+MINVU_Mes_Corriente!EP111*SALUD_Mes_Constante!$EP$1</f>
        <v>0</v>
      </c>
      <c r="EQ111" s="8">
        <f>+MINVU_Mes_Corriente!EQ111*SALUD_Mes_Constante!$EP$1</f>
        <v>32751</v>
      </c>
      <c r="ER111" s="8">
        <f>+MINVU_Mes_Corriente!ER111*SALUD_Mes_Constante!$EP$1</f>
        <v>152668</v>
      </c>
      <c r="ES111" s="8">
        <f>+MINVU_Mes_Corriente!ES111*SALUD_Mes_Constante!$EP$1</f>
        <v>9696654</v>
      </c>
      <c r="ET111" s="8">
        <f>+MINVU_Mes_Corriente!ET111*SALUD_Mes_Constante!$EP$1</f>
        <v>12442925</v>
      </c>
      <c r="EU111" s="8">
        <f>+MINVU_Mes_Corriente!EU111*SALUD_Mes_Constante!$EP$1</f>
        <v>15201758</v>
      </c>
      <c r="EV111" s="8">
        <f>+MINVU_Mes_Corriente!EV111*SALUD_Mes_Constante!$EP$1</f>
        <v>17467837</v>
      </c>
      <c r="EW111" s="8">
        <f>+MINVU_Mes_Corriente!EW111*SALUD_Mes_Constante!$EP$1</f>
        <v>20509799</v>
      </c>
      <c r="EX111" s="8">
        <f>+MINVU_Mes_Corriente!EX111*SALUD_Mes_Constante!$EP$1</f>
        <v>24199624</v>
      </c>
      <c r="EY111" s="8">
        <f>+MINVU_Mes_Corriente!EY111*SALUD_Mes_Constante!$EP$1</f>
        <v>26723133</v>
      </c>
      <c r="EZ111" s="8">
        <f>+MINVU_Mes_Corriente!EZ111*SALUD_Mes_Constante!$EP$1</f>
        <v>27334623</v>
      </c>
      <c r="FA111" s="8">
        <f>+MINVU_Mes_Corriente!FA111*SALUD_Mes_Constante!$EP$1</f>
        <v>36682249</v>
      </c>
      <c r="FB111" s="9">
        <f t="shared" si="49"/>
        <v>36682249</v>
      </c>
      <c r="FC111" s="8">
        <f>+MINVU_Mes_Corriente!FC111*SALUD_Mes_Constante!$FC$1</f>
        <v>0</v>
      </c>
      <c r="FD111" s="8">
        <f>+MINVU_Mes_Corriente!FD111*SALUD_Mes_Constante!$FC$1</f>
        <v>0</v>
      </c>
      <c r="FE111" s="8">
        <f>+MINVU_Mes_Corriente!FE111*SALUD_Mes_Constante!$FC$1</f>
        <v>1001786</v>
      </c>
      <c r="FF111" s="8">
        <f>+MINVU_Mes_Corriente!FF111*SALUD_Mes_Constante!$FC$1</f>
        <v>1619224</v>
      </c>
      <c r="FG111" s="8">
        <f>+MINVU_Mes_Corriente!FG111*SALUD_Mes_Constante!$FC$1</f>
        <v>2338453</v>
      </c>
      <c r="FH111" s="8">
        <f>+MINVU_Mes_Corriente!FH111*SALUD_Mes_Constante!$FC$1</f>
        <v>2746674</v>
      </c>
      <c r="FI111" s="8">
        <f>+MINVU_Mes_Corriente!FI111*SALUD_Mes_Constante!$FC$1</f>
        <v>3558099</v>
      </c>
      <c r="FJ111" s="8"/>
      <c r="FK111" s="8"/>
      <c r="FL111" s="8"/>
      <c r="FM111" s="8"/>
      <c r="FN111" s="8"/>
      <c r="FO111" s="9">
        <f t="shared" si="50"/>
        <v>3558099</v>
      </c>
    </row>
    <row r="112" spans="2:171" ht="14.25" customHeight="1" thickBot="1" x14ac:dyDescent="0.35">
      <c r="B112" s="14" t="s">
        <v>79</v>
      </c>
      <c r="C112" s="16">
        <f t="shared" ref="C112:AH112" si="51">SUM(C80:C111)</f>
        <v>0</v>
      </c>
      <c r="D112" s="16">
        <f t="shared" si="51"/>
        <v>15439160.67477384</v>
      </c>
      <c r="E112" s="16">
        <f t="shared" si="51"/>
        <v>54800444.303722389</v>
      </c>
      <c r="F112" s="16">
        <f t="shared" si="51"/>
        <v>69057568.304019004</v>
      </c>
      <c r="G112" s="16">
        <f t="shared" si="51"/>
        <v>88213356.221563116</v>
      </c>
      <c r="H112" s="16">
        <f t="shared" si="51"/>
        <v>110047297.45395225</v>
      </c>
      <c r="I112" s="16">
        <f t="shared" si="51"/>
        <v>126394738.7934154</v>
      </c>
      <c r="J112" s="16">
        <f t="shared" si="51"/>
        <v>143615683.2893371</v>
      </c>
      <c r="K112" s="16">
        <f t="shared" si="51"/>
        <v>165714042.47160017</v>
      </c>
      <c r="L112" s="16">
        <f t="shared" si="51"/>
        <v>183450448.52291268</v>
      </c>
      <c r="M112" s="16">
        <f t="shared" si="51"/>
        <v>207143417.13955218</v>
      </c>
      <c r="N112" s="16">
        <f t="shared" si="51"/>
        <v>354784134.8026101</v>
      </c>
      <c r="O112" s="16">
        <f t="shared" si="51"/>
        <v>354784134.8026101</v>
      </c>
      <c r="P112" s="16">
        <f t="shared" si="51"/>
        <v>0</v>
      </c>
      <c r="Q112" s="16">
        <f t="shared" si="51"/>
        <v>6944204.8666003663</v>
      </c>
      <c r="R112" s="16">
        <f t="shared" si="51"/>
        <v>26725453.901690573</v>
      </c>
      <c r="S112" s="16">
        <f t="shared" si="51"/>
        <v>47842160.023582868</v>
      </c>
      <c r="T112" s="16">
        <f t="shared" si="51"/>
        <v>59078497.84969452</v>
      </c>
      <c r="U112" s="16">
        <f t="shared" si="51"/>
        <v>85219934.621963322</v>
      </c>
      <c r="V112" s="16">
        <f t="shared" si="51"/>
        <v>102727754.53842872</v>
      </c>
      <c r="W112" s="16">
        <f t="shared" si="51"/>
        <v>134346398.68077847</v>
      </c>
      <c r="X112" s="16">
        <f t="shared" si="51"/>
        <v>166926572.73277444</v>
      </c>
      <c r="Y112" s="16">
        <f t="shared" si="51"/>
        <v>192920226.77908784</v>
      </c>
      <c r="Z112" s="16">
        <f t="shared" si="51"/>
        <v>261890965.77212659</v>
      </c>
      <c r="AA112" s="16">
        <f t="shared" si="51"/>
        <v>524013985.25557584</v>
      </c>
      <c r="AB112" s="16">
        <f t="shared" si="51"/>
        <v>524013985.25557584</v>
      </c>
      <c r="AC112" s="16">
        <f t="shared" si="51"/>
        <v>0</v>
      </c>
      <c r="AD112" s="16">
        <f t="shared" si="51"/>
        <v>3556007.1857794989</v>
      </c>
      <c r="AE112" s="16">
        <f t="shared" si="51"/>
        <v>26637944.693318572</v>
      </c>
      <c r="AF112" s="16">
        <f t="shared" si="51"/>
        <v>61970143.931387462</v>
      </c>
      <c r="AG112" s="16">
        <f t="shared" si="51"/>
        <v>93853874.484990984</v>
      </c>
      <c r="AH112" s="16">
        <f t="shared" si="51"/>
        <v>125968965.99806336</v>
      </c>
      <c r="AI112" s="16">
        <f t="shared" ref="AI112:BN112" si="52">SUM(AI80:AI111)</f>
        <v>155359168.42882833</v>
      </c>
      <c r="AJ112" s="16">
        <f t="shared" si="52"/>
        <v>196976217.78973576</v>
      </c>
      <c r="AK112" s="16">
        <f t="shared" si="52"/>
        <v>228081501.44943976</v>
      </c>
      <c r="AL112" s="16">
        <f t="shared" si="52"/>
        <v>279490538.11149538</v>
      </c>
      <c r="AM112" s="16">
        <f t="shared" si="52"/>
        <v>332493386.31982297</v>
      </c>
      <c r="AN112" s="16">
        <f t="shared" si="52"/>
        <v>459882699.06681418</v>
      </c>
      <c r="AO112" s="16">
        <f t="shared" si="52"/>
        <v>459882699.06681418</v>
      </c>
      <c r="AP112" s="16">
        <f t="shared" si="52"/>
        <v>22552.517246043553</v>
      </c>
      <c r="AQ112" s="16">
        <f t="shared" si="52"/>
        <v>11294882.92330583</v>
      </c>
      <c r="AR112" s="16">
        <f t="shared" si="52"/>
        <v>41910297.511700258</v>
      </c>
      <c r="AS112" s="16">
        <f t="shared" si="52"/>
        <v>68621795.992695794</v>
      </c>
      <c r="AT112" s="16">
        <f t="shared" si="52"/>
        <v>94590793.485188648</v>
      </c>
      <c r="AU112" s="16">
        <f t="shared" si="52"/>
        <v>137522836.78100902</v>
      </c>
      <c r="AV112" s="16">
        <f t="shared" si="52"/>
        <v>186045295.8877317</v>
      </c>
      <c r="AW112" s="16">
        <f t="shared" si="52"/>
        <v>226774409.00338158</v>
      </c>
      <c r="AX112" s="16">
        <f t="shared" si="52"/>
        <v>260581152.57053971</v>
      </c>
      <c r="AY112" s="16">
        <f t="shared" si="52"/>
        <v>299273692.09522521</v>
      </c>
      <c r="AZ112" s="16">
        <f t="shared" si="52"/>
        <v>327608247.65453798</v>
      </c>
      <c r="BA112" s="16">
        <f t="shared" si="52"/>
        <v>494333013.35506564</v>
      </c>
      <c r="BB112" s="16">
        <f t="shared" si="52"/>
        <v>494333013.35506564</v>
      </c>
      <c r="BC112" s="16">
        <f t="shared" si="52"/>
        <v>0</v>
      </c>
      <c r="BD112" s="16">
        <f t="shared" si="52"/>
        <v>0</v>
      </c>
      <c r="BE112" s="16">
        <f t="shared" si="52"/>
        <v>13114928.931557436</v>
      </c>
      <c r="BF112" s="16">
        <f t="shared" si="52"/>
        <v>61500508.84636689</v>
      </c>
      <c r="BG112" s="16">
        <f t="shared" si="52"/>
        <v>94284197.340102896</v>
      </c>
      <c r="BH112" s="16">
        <f t="shared" si="52"/>
        <v>125109973.4337334</v>
      </c>
      <c r="BI112" s="16">
        <f t="shared" si="52"/>
        <v>164487466.18567854</v>
      </c>
      <c r="BJ112" s="16">
        <f t="shared" si="52"/>
        <v>197658548.59527898</v>
      </c>
      <c r="BK112" s="16">
        <f t="shared" si="52"/>
        <v>226211965.95674542</v>
      </c>
      <c r="BL112" s="16">
        <f t="shared" si="52"/>
        <v>264721114.7506265</v>
      </c>
      <c r="BM112" s="16">
        <f t="shared" si="52"/>
        <v>302313727.32454169</v>
      </c>
      <c r="BN112" s="16">
        <f t="shared" si="52"/>
        <v>390731920.53066075</v>
      </c>
      <c r="BO112" s="16">
        <f t="shared" ref="BO112:CT112" si="53">SUM(BO80:BO111)</f>
        <v>390731920.53066075</v>
      </c>
      <c r="BP112" s="16">
        <f t="shared" si="53"/>
        <v>41725848.399487838</v>
      </c>
      <c r="BQ112" s="16">
        <f t="shared" si="53"/>
        <v>51814602.029961593</v>
      </c>
      <c r="BR112" s="16">
        <f t="shared" si="53"/>
        <v>91149326.806402072</v>
      </c>
      <c r="BS112" s="16">
        <f t="shared" si="53"/>
        <v>118338225.93725994</v>
      </c>
      <c r="BT112" s="16">
        <f t="shared" si="53"/>
        <v>203578584.48092186</v>
      </c>
      <c r="BU112" s="16">
        <f t="shared" si="53"/>
        <v>239573954.32778493</v>
      </c>
      <c r="BV112" s="16">
        <f t="shared" si="53"/>
        <v>281721747.77976954</v>
      </c>
      <c r="BW112" s="16">
        <f t="shared" si="53"/>
        <v>348605021.75185668</v>
      </c>
      <c r="BX112" s="16">
        <f t="shared" si="53"/>
        <v>459668926.73546737</v>
      </c>
      <c r="BY112" s="16">
        <f t="shared" si="53"/>
        <v>508657534.95364928</v>
      </c>
      <c r="BZ112" s="16">
        <f t="shared" si="53"/>
        <v>563479228.19615889</v>
      </c>
      <c r="CA112" s="16">
        <f t="shared" si="53"/>
        <v>749927282.82407176</v>
      </c>
      <c r="CB112" s="16">
        <f t="shared" si="53"/>
        <v>749927282.82407176</v>
      </c>
      <c r="CC112" s="16">
        <f t="shared" si="53"/>
        <v>0</v>
      </c>
      <c r="CD112" s="16">
        <f t="shared" si="53"/>
        <v>16197502.254382696</v>
      </c>
      <c r="CE112" s="16">
        <f t="shared" si="53"/>
        <v>65236554.080566958</v>
      </c>
      <c r="CF112" s="16">
        <f t="shared" si="53"/>
        <v>143770190.08131298</v>
      </c>
      <c r="CG112" s="16">
        <f t="shared" si="53"/>
        <v>172932094.33271167</v>
      </c>
      <c r="CH112" s="16">
        <f t="shared" si="53"/>
        <v>217950505.85303992</v>
      </c>
      <c r="CI112" s="16">
        <f t="shared" si="53"/>
        <v>238640153.6061171</v>
      </c>
      <c r="CJ112" s="16">
        <f t="shared" si="53"/>
        <v>275096123.95971662</v>
      </c>
      <c r="CK112" s="16">
        <f t="shared" si="53"/>
        <v>343859385.17120492</v>
      </c>
      <c r="CL112" s="16">
        <f t="shared" si="53"/>
        <v>375601132.24990672</v>
      </c>
      <c r="CM112" s="16">
        <f t="shared" si="53"/>
        <v>422889542.19097352</v>
      </c>
      <c r="CN112" s="16">
        <f t="shared" si="53"/>
        <v>659271733.22864628</v>
      </c>
      <c r="CO112" s="16">
        <f t="shared" si="53"/>
        <v>659271733.22864628</v>
      </c>
      <c r="CP112" s="16">
        <f t="shared" si="53"/>
        <v>337520.8712296983</v>
      </c>
      <c r="CQ112" s="16">
        <f t="shared" si="53"/>
        <v>23371350.293735489</v>
      </c>
      <c r="CR112" s="16">
        <f t="shared" si="53"/>
        <v>60892619.690255202</v>
      </c>
      <c r="CS112" s="16">
        <f t="shared" si="53"/>
        <v>98118437.118097439</v>
      </c>
      <c r="CT112" s="16">
        <f t="shared" si="53"/>
        <v>124363203.7301624</v>
      </c>
      <c r="CU112" s="16">
        <f t="shared" ref="CU112:DZ112" si="54">SUM(CU80:CU111)</f>
        <v>181541736.32575402</v>
      </c>
      <c r="CV112" s="16">
        <f t="shared" si="54"/>
        <v>227968622.27749413</v>
      </c>
      <c r="CW112" s="16">
        <f t="shared" si="54"/>
        <v>277332755.45638043</v>
      </c>
      <c r="CX112" s="16">
        <f t="shared" si="54"/>
        <v>310825329.79907191</v>
      </c>
      <c r="CY112" s="16">
        <f t="shared" si="54"/>
        <v>349006576.49373537</v>
      </c>
      <c r="CZ112" s="16">
        <f t="shared" si="54"/>
        <v>383075331.29164732</v>
      </c>
      <c r="DA112" s="16">
        <f t="shared" si="54"/>
        <v>483588012.44965196</v>
      </c>
      <c r="DB112" s="16">
        <f t="shared" si="54"/>
        <v>483588012.44965196</v>
      </c>
      <c r="DC112" s="16">
        <f t="shared" si="54"/>
        <v>3338.1565682542964</v>
      </c>
      <c r="DD112" s="16">
        <f t="shared" si="54"/>
        <v>3876879.9644069555</v>
      </c>
      <c r="DE112" s="16">
        <f t="shared" si="54"/>
        <v>26542979.922230233</v>
      </c>
      <c r="DF112" s="16">
        <f t="shared" si="54"/>
        <v>53351763.652093425</v>
      </c>
      <c r="DG112" s="16">
        <f t="shared" si="54"/>
        <v>76021627.746733919</v>
      </c>
      <c r="DH112" s="16">
        <f t="shared" si="54"/>
        <v>101513787.45211405</v>
      </c>
      <c r="DI112" s="16">
        <f t="shared" si="54"/>
        <v>125058115.94054118</v>
      </c>
      <c r="DJ112" s="16">
        <f t="shared" si="54"/>
        <v>149187785.1253987</v>
      </c>
      <c r="DK112" s="16">
        <f t="shared" si="54"/>
        <v>180581946.13825744</v>
      </c>
      <c r="DL112" s="16">
        <f t="shared" si="54"/>
        <v>233654216.16891277</v>
      </c>
      <c r="DM112" s="16">
        <f t="shared" si="54"/>
        <v>264885085.12766191</v>
      </c>
      <c r="DN112" s="16">
        <f t="shared" si="54"/>
        <v>349358932.04896629</v>
      </c>
      <c r="DO112" s="16">
        <f t="shared" si="54"/>
        <v>349358932.04896629</v>
      </c>
      <c r="DP112" s="16">
        <f t="shared" si="54"/>
        <v>0</v>
      </c>
      <c r="DQ112" s="16">
        <f t="shared" si="54"/>
        <v>13210988.421021376</v>
      </c>
      <c r="DR112" s="16">
        <f t="shared" si="54"/>
        <v>42212674.532066502</v>
      </c>
      <c r="DS112" s="16">
        <f t="shared" si="54"/>
        <v>76861260.016033247</v>
      </c>
      <c r="DT112" s="16">
        <f t="shared" si="54"/>
        <v>105382996.92220904</v>
      </c>
      <c r="DU112" s="16">
        <f t="shared" si="54"/>
        <v>140234889.91923994</v>
      </c>
      <c r="DV112" s="16">
        <f t="shared" si="54"/>
        <v>185428277.60095015</v>
      </c>
      <c r="DW112" s="16">
        <f t="shared" si="54"/>
        <v>214482310.97387177</v>
      </c>
      <c r="DX112" s="16">
        <f t="shared" si="54"/>
        <v>250477191.8194775</v>
      </c>
      <c r="DY112" s="16">
        <f t="shared" si="54"/>
        <v>281213944.89726841</v>
      </c>
      <c r="DZ112" s="16">
        <f t="shared" si="54"/>
        <v>318764557.73159146</v>
      </c>
      <c r="EA112" s="16">
        <f t="shared" ref="EA112:FF112" si="55">SUM(EA80:EA111)</f>
        <v>432865632.16389561</v>
      </c>
      <c r="EB112" s="16">
        <f t="shared" si="55"/>
        <v>432865632.16389561</v>
      </c>
      <c r="EC112" s="16">
        <f t="shared" si="55"/>
        <v>24389.538155652332</v>
      </c>
      <c r="ED112" s="16">
        <f t="shared" si="55"/>
        <v>7689506.1143722758</v>
      </c>
      <c r="EE112" s="16">
        <f t="shared" si="55"/>
        <v>55271186.134254858</v>
      </c>
      <c r="EF112" s="16">
        <f t="shared" si="55"/>
        <v>89748937.395758346</v>
      </c>
      <c r="EG112" s="16">
        <f t="shared" si="55"/>
        <v>119723080.83487973</v>
      </c>
      <c r="EH112" s="16">
        <f t="shared" si="55"/>
        <v>164154144.99810639</v>
      </c>
      <c r="EI112" s="16">
        <f t="shared" si="55"/>
        <v>224044988.13652706</v>
      </c>
      <c r="EJ112" s="16">
        <f t="shared" si="55"/>
        <v>310212027.49763292</v>
      </c>
      <c r="EK112" s="16">
        <f t="shared" si="55"/>
        <v>357941288.17117953</v>
      </c>
      <c r="EL112" s="16">
        <f t="shared" si="55"/>
        <v>398248872.48627144</v>
      </c>
      <c r="EM112" s="16">
        <f t="shared" si="55"/>
        <v>443496952.55765939</v>
      </c>
      <c r="EN112" s="16">
        <f t="shared" si="55"/>
        <v>559081540.38042021</v>
      </c>
      <c r="EO112" s="16">
        <f t="shared" si="55"/>
        <v>559081540.38042021</v>
      </c>
      <c r="EP112" s="16">
        <f t="shared" si="55"/>
        <v>0</v>
      </c>
      <c r="EQ112" s="16">
        <f t="shared" si="55"/>
        <v>10666711</v>
      </c>
      <c r="ER112" s="16">
        <f t="shared" si="55"/>
        <v>71586519</v>
      </c>
      <c r="ES112" s="16">
        <f t="shared" si="55"/>
        <v>121100365</v>
      </c>
      <c r="ET112" s="16">
        <f t="shared" si="55"/>
        <v>161787698</v>
      </c>
      <c r="EU112" s="16">
        <f t="shared" si="55"/>
        <v>212689996</v>
      </c>
      <c r="EV112" s="16">
        <f t="shared" si="55"/>
        <v>244526170</v>
      </c>
      <c r="EW112" s="16">
        <f t="shared" si="55"/>
        <v>284801973</v>
      </c>
      <c r="EX112" s="16">
        <f t="shared" si="55"/>
        <v>334858815</v>
      </c>
      <c r="EY112" s="16">
        <f t="shared" si="55"/>
        <v>372485102</v>
      </c>
      <c r="EZ112" s="16">
        <f t="shared" si="55"/>
        <v>402883459</v>
      </c>
      <c r="FA112" s="16">
        <f t="shared" si="55"/>
        <v>509326562</v>
      </c>
      <c r="FB112" s="16">
        <f t="shared" si="55"/>
        <v>509326562</v>
      </c>
      <c r="FC112" s="16">
        <f t="shared" si="55"/>
        <v>3225429</v>
      </c>
      <c r="FD112" s="16">
        <f t="shared" si="55"/>
        <v>10930983</v>
      </c>
      <c r="FE112" s="16">
        <f t="shared" si="55"/>
        <v>57433501</v>
      </c>
      <c r="FF112" s="16">
        <f t="shared" si="55"/>
        <v>94557901</v>
      </c>
      <c r="FG112" s="16">
        <f t="shared" ref="FG112:GL112" si="56">SUM(FG80:FG111)</f>
        <v>120291873</v>
      </c>
      <c r="FH112" s="16">
        <f t="shared" si="56"/>
        <v>153774486</v>
      </c>
      <c r="FI112" s="16">
        <f t="shared" si="56"/>
        <v>186272538</v>
      </c>
      <c r="FJ112" s="16">
        <f t="shared" si="56"/>
        <v>0</v>
      </c>
      <c r="FK112" s="16">
        <f t="shared" si="56"/>
        <v>0</v>
      </c>
      <c r="FL112" s="16">
        <f t="shared" si="56"/>
        <v>0</v>
      </c>
      <c r="FM112" s="16">
        <f t="shared" si="56"/>
        <v>0</v>
      </c>
      <c r="FN112" s="16">
        <f t="shared" si="56"/>
        <v>0</v>
      </c>
      <c r="FO112" s="16">
        <f t="shared" si="56"/>
        <v>186272538</v>
      </c>
    </row>
    <row r="113" spans="2:171" ht="14.25" customHeight="1" thickTop="1" x14ac:dyDescent="0.3"/>
    <row r="114" spans="2:171" ht="14.25" customHeight="1" x14ac:dyDescent="0.3"/>
    <row r="115" spans="2:171" ht="14.25" customHeight="1" x14ac:dyDescent="0.35">
      <c r="B115" s="3" t="s">
        <v>80</v>
      </c>
    </row>
    <row r="116" spans="2:171" ht="14.25" customHeight="1" x14ac:dyDescent="0.3">
      <c r="B116" s="4" t="s">
        <v>81</v>
      </c>
    </row>
    <row r="117" spans="2:171" ht="14.25" customHeight="1" x14ac:dyDescent="0.3">
      <c r="C117" s="38" t="s">
        <v>4</v>
      </c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8" t="s">
        <v>5</v>
      </c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8" t="s">
        <v>6</v>
      </c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8" t="s">
        <v>7</v>
      </c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8" t="s">
        <v>8</v>
      </c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8" t="s">
        <v>9</v>
      </c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  <c r="CC117" s="38" t="s">
        <v>10</v>
      </c>
      <c r="CD117" s="39"/>
      <c r="CE117" s="39"/>
      <c r="CF117" s="39"/>
      <c r="CG117" s="39"/>
      <c r="CH117" s="39"/>
      <c r="CI117" s="39"/>
      <c r="CJ117" s="39"/>
      <c r="CK117" s="39"/>
      <c r="CL117" s="39"/>
      <c r="CM117" s="39"/>
      <c r="CN117" s="39"/>
      <c r="CO117" s="39"/>
      <c r="CP117" s="38" t="s">
        <v>11</v>
      </c>
      <c r="CQ117" s="39"/>
      <c r="CR117" s="39"/>
      <c r="CS117" s="39"/>
      <c r="CT117" s="39"/>
      <c r="CU117" s="39"/>
      <c r="CV117" s="39"/>
      <c r="CW117" s="39"/>
      <c r="CX117" s="39"/>
      <c r="CY117" s="39"/>
      <c r="CZ117" s="39"/>
      <c r="DA117" s="39"/>
      <c r="DB117" s="39"/>
      <c r="DC117" s="38" t="s">
        <v>12</v>
      </c>
      <c r="DD117" s="39"/>
      <c r="DE117" s="39"/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8" t="s">
        <v>13</v>
      </c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8" t="s">
        <v>14</v>
      </c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8" t="s">
        <v>15</v>
      </c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8" t="s">
        <v>16</v>
      </c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</row>
    <row r="118" spans="2:171" ht="14.25" customHeight="1" x14ac:dyDescent="0.3">
      <c r="B118" s="5" t="s">
        <v>17</v>
      </c>
      <c r="C118" s="6" t="s">
        <v>18</v>
      </c>
      <c r="D118" s="6" t="s">
        <v>19</v>
      </c>
      <c r="E118" s="6" t="s">
        <v>20</v>
      </c>
      <c r="F118" s="6" t="s">
        <v>21</v>
      </c>
      <c r="G118" s="6" t="s">
        <v>22</v>
      </c>
      <c r="H118" s="6" t="s">
        <v>23</v>
      </c>
      <c r="I118" s="6" t="s">
        <v>24</v>
      </c>
      <c r="J118" s="6" t="s">
        <v>25</v>
      </c>
      <c r="K118" s="6" t="s">
        <v>26</v>
      </c>
      <c r="L118" s="6" t="s">
        <v>27</v>
      </c>
      <c r="M118" s="6" t="s">
        <v>28</v>
      </c>
      <c r="N118" s="6" t="s">
        <v>29</v>
      </c>
      <c r="O118" s="6" t="s">
        <v>30</v>
      </c>
      <c r="P118" s="6" t="s">
        <v>18</v>
      </c>
      <c r="Q118" s="6" t="s">
        <v>19</v>
      </c>
      <c r="R118" s="6" t="s">
        <v>20</v>
      </c>
      <c r="S118" s="6" t="s">
        <v>21</v>
      </c>
      <c r="T118" s="6" t="s">
        <v>22</v>
      </c>
      <c r="U118" s="6" t="s">
        <v>23</v>
      </c>
      <c r="V118" s="6" t="s">
        <v>24</v>
      </c>
      <c r="W118" s="6" t="s">
        <v>25</v>
      </c>
      <c r="X118" s="6" t="s">
        <v>26</v>
      </c>
      <c r="Y118" s="6" t="s">
        <v>27</v>
      </c>
      <c r="Z118" s="6" t="s">
        <v>28</v>
      </c>
      <c r="AA118" s="6" t="s">
        <v>29</v>
      </c>
      <c r="AB118" s="6" t="s">
        <v>31</v>
      </c>
      <c r="AC118" s="6" t="s">
        <v>18</v>
      </c>
      <c r="AD118" s="6" t="s">
        <v>19</v>
      </c>
      <c r="AE118" s="6" t="s">
        <v>20</v>
      </c>
      <c r="AF118" s="6" t="s">
        <v>21</v>
      </c>
      <c r="AG118" s="6" t="s">
        <v>22</v>
      </c>
      <c r="AH118" s="6" t="s">
        <v>23</v>
      </c>
      <c r="AI118" s="6" t="s">
        <v>24</v>
      </c>
      <c r="AJ118" s="6" t="s">
        <v>25</v>
      </c>
      <c r="AK118" s="6" t="s">
        <v>26</v>
      </c>
      <c r="AL118" s="6" t="s">
        <v>27</v>
      </c>
      <c r="AM118" s="6" t="s">
        <v>28</v>
      </c>
      <c r="AN118" s="6" t="s">
        <v>29</v>
      </c>
      <c r="AO118" s="6" t="s">
        <v>32</v>
      </c>
      <c r="AP118" s="6" t="s">
        <v>18</v>
      </c>
      <c r="AQ118" s="6" t="s">
        <v>19</v>
      </c>
      <c r="AR118" s="6" t="s">
        <v>20</v>
      </c>
      <c r="AS118" s="6" t="s">
        <v>21</v>
      </c>
      <c r="AT118" s="6" t="s">
        <v>22</v>
      </c>
      <c r="AU118" s="6" t="s">
        <v>23</v>
      </c>
      <c r="AV118" s="6" t="s">
        <v>24</v>
      </c>
      <c r="AW118" s="6" t="s">
        <v>25</v>
      </c>
      <c r="AX118" s="6" t="s">
        <v>26</v>
      </c>
      <c r="AY118" s="6" t="s">
        <v>27</v>
      </c>
      <c r="AZ118" s="6" t="s">
        <v>28</v>
      </c>
      <c r="BA118" s="6" t="s">
        <v>29</v>
      </c>
      <c r="BB118" s="6" t="s">
        <v>33</v>
      </c>
      <c r="BC118" s="6" t="s">
        <v>18</v>
      </c>
      <c r="BD118" s="6" t="s">
        <v>19</v>
      </c>
      <c r="BE118" s="6" t="s">
        <v>20</v>
      </c>
      <c r="BF118" s="6" t="s">
        <v>21</v>
      </c>
      <c r="BG118" s="6" t="s">
        <v>22</v>
      </c>
      <c r="BH118" s="6" t="s">
        <v>23</v>
      </c>
      <c r="BI118" s="6" t="s">
        <v>24</v>
      </c>
      <c r="BJ118" s="6" t="s">
        <v>25</v>
      </c>
      <c r="BK118" s="6" t="s">
        <v>26</v>
      </c>
      <c r="BL118" s="6" t="s">
        <v>27</v>
      </c>
      <c r="BM118" s="6" t="s">
        <v>28</v>
      </c>
      <c r="BN118" s="6" t="s">
        <v>29</v>
      </c>
      <c r="BO118" s="6" t="s">
        <v>34</v>
      </c>
      <c r="BP118" s="6" t="s">
        <v>18</v>
      </c>
      <c r="BQ118" s="6" t="s">
        <v>19</v>
      </c>
      <c r="BR118" s="6" t="s">
        <v>20</v>
      </c>
      <c r="BS118" s="6" t="s">
        <v>21</v>
      </c>
      <c r="BT118" s="6" t="s">
        <v>22</v>
      </c>
      <c r="BU118" s="6" t="s">
        <v>23</v>
      </c>
      <c r="BV118" s="6" t="s">
        <v>24</v>
      </c>
      <c r="BW118" s="6" t="s">
        <v>25</v>
      </c>
      <c r="BX118" s="6" t="s">
        <v>26</v>
      </c>
      <c r="BY118" s="6" t="s">
        <v>27</v>
      </c>
      <c r="BZ118" s="6" t="s">
        <v>28</v>
      </c>
      <c r="CA118" s="6" t="s">
        <v>29</v>
      </c>
      <c r="CB118" s="6" t="s">
        <v>35</v>
      </c>
      <c r="CC118" s="6" t="s">
        <v>18</v>
      </c>
      <c r="CD118" s="6" t="s">
        <v>19</v>
      </c>
      <c r="CE118" s="6" t="s">
        <v>20</v>
      </c>
      <c r="CF118" s="6" t="s">
        <v>21</v>
      </c>
      <c r="CG118" s="6" t="s">
        <v>22</v>
      </c>
      <c r="CH118" s="6" t="s">
        <v>23</v>
      </c>
      <c r="CI118" s="6" t="s">
        <v>24</v>
      </c>
      <c r="CJ118" s="6" t="s">
        <v>25</v>
      </c>
      <c r="CK118" s="6" t="s">
        <v>26</v>
      </c>
      <c r="CL118" s="6" t="s">
        <v>27</v>
      </c>
      <c r="CM118" s="6" t="s">
        <v>28</v>
      </c>
      <c r="CN118" s="6" t="s">
        <v>29</v>
      </c>
      <c r="CO118" s="6" t="s">
        <v>36</v>
      </c>
      <c r="CP118" s="6" t="s">
        <v>18</v>
      </c>
      <c r="CQ118" s="6" t="s">
        <v>19</v>
      </c>
      <c r="CR118" s="6" t="s">
        <v>20</v>
      </c>
      <c r="CS118" s="6" t="s">
        <v>21</v>
      </c>
      <c r="CT118" s="6" t="s">
        <v>22</v>
      </c>
      <c r="CU118" s="6" t="s">
        <v>23</v>
      </c>
      <c r="CV118" s="6" t="s">
        <v>24</v>
      </c>
      <c r="CW118" s="6" t="s">
        <v>25</v>
      </c>
      <c r="CX118" s="6" t="s">
        <v>26</v>
      </c>
      <c r="CY118" s="6" t="s">
        <v>27</v>
      </c>
      <c r="CZ118" s="6" t="s">
        <v>28</v>
      </c>
      <c r="DA118" s="6" t="s">
        <v>29</v>
      </c>
      <c r="DB118" s="6" t="s">
        <v>37</v>
      </c>
      <c r="DC118" s="6" t="s">
        <v>18</v>
      </c>
      <c r="DD118" s="6" t="s">
        <v>19</v>
      </c>
      <c r="DE118" s="6" t="s">
        <v>20</v>
      </c>
      <c r="DF118" s="6" t="s">
        <v>21</v>
      </c>
      <c r="DG118" s="6" t="s">
        <v>22</v>
      </c>
      <c r="DH118" s="6" t="s">
        <v>23</v>
      </c>
      <c r="DI118" s="6" t="s">
        <v>24</v>
      </c>
      <c r="DJ118" s="6" t="s">
        <v>25</v>
      </c>
      <c r="DK118" s="6" t="s">
        <v>26</v>
      </c>
      <c r="DL118" s="6" t="s">
        <v>27</v>
      </c>
      <c r="DM118" s="6" t="s">
        <v>28</v>
      </c>
      <c r="DN118" s="6" t="s">
        <v>29</v>
      </c>
      <c r="DO118" s="6" t="s">
        <v>38</v>
      </c>
      <c r="DP118" s="6" t="s">
        <v>18</v>
      </c>
      <c r="DQ118" s="6" t="s">
        <v>19</v>
      </c>
      <c r="DR118" s="6" t="s">
        <v>20</v>
      </c>
      <c r="DS118" s="6" t="s">
        <v>21</v>
      </c>
      <c r="DT118" s="6" t="s">
        <v>22</v>
      </c>
      <c r="DU118" s="6" t="s">
        <v>23</v>
      </c>
      <c r="DV118" s="6" t="s">
        <v>24</v>
      </c>
      <c r="DW118" s="6" t="s">
        <v>25</v>
      </c>
      <c r="DX118" s="6" t="s">
        <v>26</v>
      </c>
      <c r="DY118" s="6" t="s">
        <v>27</v>
      </c>
      <c r="DZ118" s="6" t="s">
        <v>28</v>
      </c>
      <c r="EA118" s="6" t="s">
        <v>29</v>
      </c>
      <c r="EB118" s="6" t="s">
        <v>39</v>
      </c>
      <c r="EC118" s="6" t="s">
        <v>18</v>
      </c>
      <c r="ED118" s="6" t="s">
        <v>19</v>
      </c>
      <c r="EE118" s="6" t="s">
        <v>20</v>
      </c>
      <c r="EF118" s="6" t="s">
        <v>21</v>
      </c>
      <c r="EG118" s="6" t="s">
        <v>22</v>
      </c>
      <c r="EH118" s="6" t="s">
        <v>23</v>
      </c>
      <c r="EI118" s="6" t="s">
        <v>24</v>
      </c>
      <c r="EJ118" s="6" t="s">
        <v>25</v>
      </c>
      <c r="EK118" s="6" t="s">
        <v>26</v>
      </c>
      <c r="EL118" s="6" t="s">
        <v>27</v>
      </c>
      <c r="EM118" s="6" t="s">
        <v>28</v>
      </c>
      <c r="EN118" s="6" t="s">
        <v>29</v>
      </c>
      <c r="EO118" s="6" t="s">
        <v>40</v>
      </c>
      <c r="EP118" s="6" t="s">
        <v>18</v>
      </c>
      <c r="EQ118" s="6" t="s">
        <v>19</v>
      </c>
      <c r="ER118" s="6" t="s">
        <v>20</v>
      </c>
      <c r="ES118" s="6" t="s">
        <v>21</v>
      </c>
      <c r="ET118" s="6" t="s">
        <v>22</v>
      </c>
      <c r="EU118" s="6" t="s">
        <v>23</v>
      </c>
      <c r="EV118" s="6" t="s">
        <v>24</v>
      </c>
      <c r="EW118" s="6" t="s">
        <v>25</v>
      </c>
      <c r="EX118" s="6" t="s">
        <v>26</v>
      </c>
      <c r="EY118" s="6" t="s">
        <v>27</v>
      </c>
      <c r="EZ118" s="6" t="s">
        <v>28</v>
      </c>
      <c r="FA118" s="6" t="s">
        <v>29</v>
      </c>
      <c r="FB118" s="6" t="s">
        <v>41</v>
      </c>
      <c r="FC118" s="6" t="s">
        <v>18</v>
      </c>
      <c r="FD118" s="6" t="s">
        <v>19</v>
      </c>
      <c r="FE118" s="6" t="s">
        <v>20</v>
      </c>
      <c r="FF118" s="6" t="s">
        <v>21</v>
      </c>
      <c r="FG118" s="6" t="s">
        <v>22</v>
      </c>
      <c r="FH118" s="6" t="s">
        <v>23</v>
      </c>
      <c r="FI118" s="6" t="s">
        <v>24</v>
      </c>
      <c r="FJ118" s="6" t="s">
        <v>25</v>
      </c>
      <c r="FK118" s="6" t="s">
        <v>26</v>
      </c>
      <c r="FL118" s="6" t="s">
        <v>27</v>
      </c>
      <c r="FM118" s="6" t="s">
        <v>28</v>
      </c>
      <c r="FN118" s="6" t="s">
        <v>29</v>
      </c>
      <c r="FO118" s="6" t="s">
        <v>42</v>
      </c>
    </row>
    <row r="119" spans="2:171" ht="14.25" customHeight="1" x14ac:dyDescent="0.3">
      <c r="B119" s="7" t="s">
        <v>43</v>
      </c>
      <c r="C119" s="8">
        <f>+MINVU_Mes_Corriente!C119*SALUD_Mes_Constante!$C$1</f>
        <v>4510590.8043897385</v>
      </c>
      <c r="D119" s="8">
        <f>+MINVU_Mes_Corriente!D119*SALUD_Mes_Constante!$C$1</f>
        <v>4510590.8043897385</v>
      </c>
      <c r="E119" s="8">
        <f>+MINVU_Mes_Corriente!E119*SALUD_Mes_Constante!$C$1</f>
        <v>4510590.8043897385</v>
      </c>
      <c r="F119" s="8">
        <f>+MINVU_Mes_Corriente!F119*SALUD_Mes_Constante!$C$1</f>
        <v>4510590.8043897385</v>
      </c>
      <c r="G119" s="8">
        <f>+MINVU_Mes_Corriente!G119*SALUD_Mes_Constante!$C$1</f>
        <v>4510590.8043897385</v>
      </c>
      <c r="H119" s="8">
        <f>+MINVU_Mes_Corriente!H119*SALUD_Mes_Constante!$C$1</f>
        <v>4510590.8043897385</v>
      </c>
      <c r="I119" s="8">
        <f>+MINVU_Mes_Corriente!I119*SALUD_Mes_Constante!$C$1</f>
        <v>4510590.8043897385</v>
      </c>
      <c r="J119" s="8">
        <f>+MINVU_Mes_Corriente!J119*SALUD_Mes_Constante!$C$1</f>
        <v>4510590.8043897385</v>
      </c>
      <c r="K119" s="8">
        <f>+MINVU_Mes_Corriente!K119*SALUD_Mes_Constante!$C$1</f>
        <v>4510590.8043897385</v>
      </c>
      <c r="L119" s="8">
        <f>+MINVU_Mes_Corriente!L119*SALUD_Mes_Constante!$C$1</f>
        <v>4510590.8043897385</v>
      </c>
      <c r="M119" s="8">
        <f>+MINVU_Mes_Corriente!M119*SALUD_Mes_Constante!$C$1</f>
        <v>4510590.8043897385</v>
      </c>
      <c r="N119" s="8">
        <f>+MINVU_Mes_Corriente!N119*SALUD_Mes_Constante!$C$1</f>
        <v>4510590.8043897385</v>
      </c>
      <c r="O119" s="9">
        <f t="shared" ref="O119:O150" si="57">N119</f>
        <v>4510590.8043897385</v>
      </c>
      <c r="P119" s="8">
        <f>+MINVU_Mes_Corriente!P119*SALUD_Mes_Constante!$P$1</f>
        <v>2752422.2267367514</v>
      </c>
      <c r="Q119" s="8">
        <f>+MINVU_Mes_Corriente!Q119*SALUD_Mes_Constante!$P$1</f>
        <v>2752422.2267367514</v>
      </c>
      <c r="R119" s="8">
        <f>+MINVU_Mes_Corriente!R119*SALUD_Mes_Constante!$P$1</f>
        <v>2752422.2267367514</v>
      </c>
      <c r="S119" s="8">
        <f>+MINVU_Mes_Corriente!S119*SALUD_Mes_Constante!$P$1</f>
        <v>2752422.2267367514</v>
      </c>
      <c r="T119" s="8">
        <f>+MINVU_Mes_Corriente!T119*SALUD_Mes_Constante!$P$1</f>
        <v>2752422.2267367514</v>
      </c>
      <c r="U119" s="8">
        <f>+MINVU_Mes_Corriente!U119*SALUD_Mes_Constante!$P$1</f>
        <v>2752422.2267367514</v>
      </c>
      <c r="V119" s="8">
        <f>+MINVU_Mes_Corriente!V119*SALUD_Mes_Constante!$P$1</f>
        <v>2752422.2267367514</v>
      </c>
      <c r="W119" s="8">
        <f>+MINVU_Mes_Corriente!W119*SALUD_Mes_Constante!$P$1</f>
        <v>2752422.2267367514</v>
      </c>
      <c r="X119" s="8">
        <f>+MINVU_Mes_Corriente!X119*SALUD_Mes_Constante!$P$1</f>
        <v>2752422.2267367514</v>
      </c>
      <c r="Y119" s="8">
        <f>+MINVU_Mes_Corriente!Y119*SALUD_Mes_Constante!$P$1</f>
        <v>2752422.2267367514</v>
      </c>
      <c r="Z119" s="8">
        <f>+MINVU_Mes_Corriente!Z119*SALUD_Mes_Constante!$P$1</f>
        <v>2752422.2267367514</v>
      </c>
      <c r="AA119" s="8">
        <f>+MINVU_Mes_Corriente!AA119*SALUD_Mes_Constante!$P$1</f>
        <v>2752422.2267367514</v>
      </c>
      <c r="AB119" s="9">
        <f t="shared" ref="AB119:AB150" si="58">AA119</f>
        <v>2752422.2267367514</v>
      </c>
      <c r="AC119" s="8">
        <f>+MINVU_Mes_Corriente!AC119*SALUD_Mes_Constante!$AC$1</f>
        <v>4357512.186747821</v>
      </c>
      <c r="AD119" s="8">
        <f>+MINVU_Mes_Corriente!AD119*SALUD_Mes_Constante!$AC$1</f>
        <v>4357512.186747821</v>
      </c>
      <c r="AE119" s="8">
        <f>+MINVU_Mes_Corriente!AE119*SALUD_Mes_Constante!$AC$1</f>
        <v>4357512.186747821</v>
      </c>
      <c r="AF119" s="8">
        <f>+MINVU_Mes_Corriente!AF119*SALUD_Mes_Constante!$AC$1</f>
        <v>4357512.186747821</v>
      </c>
      <c r="AG119" s="8">
        <f>+MINVU_Mes_Corriente!AG119*SALUD_Mes_Constante!$AC$1</f>
        <v>4357512.186747821</v>
      </c>
      <c r="AH119" s="8">
        <f>+MINVU_Mes_Corriente!AH119*SALUD_Mes_Constante!$AC$1</f>
        <v>4357512.186747821</v>
      </c>
      <c r="AI119" s="8">
        <f>+MINVU_Mes_Corriente!AI119*SALUD_Mes_Constante!$AC$1</f>
        <v>4357512.186747821</v>
      </c>
      <c r="AJ119" s="8">
        <f>+MINVU_Mes_Corriente!AJ119*SALUD_Mes_Constante!$AC$1</f>
        <v>4357512.186747821</v>
      </c>
      <c r="AK119" s="8">
        <f>+MINVU_Mes_Corriente!AK119*SALUD_Mes_Constante!$AC$1</f>
        <v>4357512.186747821</v>
      </c>
      <c r="AL119" s="8">
        <f>+MINVU_Mes_Corriente!AL119*SALUD_Mes_Constante!$AC$1</f>
        <v>4357512.186747821</v>
      </c>
      <c r="AM119" s="8">
        <f>+MINVU_Mes_Corriente!AM119*SALUD_Mes_Constante!$AC$1</f>
        <v>4357512.186747821</v>
      </c>
      <c r="AN119" s="8">
        <f>+MINVU_Mes_Corriente!AN119*SALUD_Mes_Constante!$AC$1</f>
        <v>4357512.186747821</v>
      </c>
      <c r="AO119" s="9">
        <f t="shared" ref="AO119:AO150" si="59">AN119</f>
        <v>4357512.186747821</v>
      </c>
      <c r="AP119" s="8">
        <f>+MINVU_Mes_Corriente!AP119*SALUD_Mes_Constante!$AP$1</f>
        <v>3202549.0777762746</v>
      </c>
      <c r="AQ119" s="8">
        <f>+MINVU_Mes_Corriente!AQ119*SALUD_Mes_Constante!$AP$1</f>
        <v>3202549.0777762746</v>
      </c>
      <c r="AR119" s="8">
        <f>+MINVU_Mes_Corriente!AR119*SALUD_Mes_Constante!$AP$1</f>
        <v>3202549.0777762746</v>
      </c>
      <c r="AS119" s="8">
        <f>+MINVU_Mes_Corriente!AS119*SALUD_Mes_Constante!$AP$1</f>
        <v>3202549.0777762746</v>
      </c>
      <c r="AT119" s="8">
        <f>+MINVU_Mes_Corriente!AT119*SALUD_Mes_Constante!$AP$1</f>
        <v>3202549.0777762746</v>
      </c>
      <c r="AU119" s="8">
        <f>+MINVU_Mes_Corriente!AU119*SALUD_Mes_Constante!$AP$1</f>
        <v>3202549.0777762746</v>
      </c>
      <c r="AV119" s="8">
        <f>+MINVU_Mes_Corriente!AV119*SALUD_Mes_Constante!$AP$1</f>
        <v>3202549.0777762746</v>
      </c>
      <c r="AW119" s="8">
        <f>+MINVU_Mes_Corriente!AW119*SALUD_Mes_Constante!$AP$1</f>
        <v>3202549.0777762746</v>
      </c>
      <c r="AX119" s="8">
        <f>+MINVU_Mes_Corriente!AX119*SALUD_Mes_Constante!$AP$1</f>
        <v>3202549.0777762746</v>
      </c>
      <c r="AY119" s="8">
        <f>+MINVU_Mes_Corriente!AY119*SALUD_Mes_Constante!$AP$1</f>
        <v>3202549.0777762746</v>
      </c>
      <c r="AZ119" s="8">
        <f>+MINVU_Mes_Corriente!AZ119*SALUD_Mes_Constante!$AP$1</f>
        <v>3202549.0777762746</v>
      </c>
      <c r="BA119" s="8">
        <f>+MINVU_Mes_Corriente!BA119*SALUD_Mes_Constante!$AP$1</f>
        <v>3202549.0777762746</v>
      </c>
      <c r="BB119" s="9">
        <f t="shared" ref="BB119:BB150" si="60">BA119</f>
        <v>3202549.0777762746</v>
      </c>
      <c r="BC119" s="8">
        <f>+MINVU_Mes_Corriente!BC119*SALUD_Mes_Constante!$BC$1</f>
        <v>3028023.5423974688</v>
      </c>
      <c r="BD119" s="8">
        <f>+MINVU_Mes_Corriente!BD119*SALUD_Mes_Constante!$BC$1</f>
        <v>3028023.5423974688</v>
      </c>
      <c r="BE119" s="8">
        <f>+MINVU_Mes_Corriente!BE119*SALUD_Mes_Constante!$BC$1</f>
        <v>3028023.5423974688</v>
      </c>
      <c r="BF119" s="8">
        <f>+MINVU_Mes_Corriente!BF119*SALUD_Mes_Constante!$BC$1</f>
        <v>3028023.5423974688</v>
      </c>
      <c r="BG119" s="8">
        <f>+MINVU_Mes_Corriente!BG119*SALUD_Mes_Constante!$BC$1</f>
        <v>3028023.5423974688</v>
      </c>
      <c r="BH119" s="8">
        <f>+MINVU_Mes_Corriente!BH119*SALUD_Mes_Constante!$BC$1</f>
        <v>3028023.5423974688</v>
      </c>
      <c r="BI119" s="8">
        <f>+MINVU_Mes_Corriente!BI119*SALUD_Mes_Constante!$BC$1</f>
        <v>3028023.5423974688</v>
      </c>
      <c r="BJ119" s="8">
        <f>+MINVU_Mes_Corriente!BJ119*SALUD_Mes_Constante!$BC$1</f>
        <v>3028023.5423974688</v>
      </c>
      <c r="BK119" s="8">
        <f>+MINVU_Mes_Corriente!BK119*SALUD_Mes_Constante!$BC$1</f>
        <v>3028023.5423974688</v>
      </c>
      <c r="BL119" s="8">
        <f>+MINVU_Mes_Corriente!BL119*SALUD_Mes_Constante!$BC$1</f>
        <v>3028023.5423974688</v>
      </c>
      <c r="BM119" s="8">
        <f>+MINVU_Mes_Corriente!BM119*SALUD_Mes_Constante!$BC$1</f>
        <v>3028023.5423974688</v>
      </c>
      <c r="BN119" s="8">
        <f>+MINVU_Mes_Corriente!BN119*SALUD_Mes_Constante!$BC$1</f>
        <v>3028023.5423974688</v>
      </c>
      <c r="BO119" s="9">
        <f t="shared" ref="BO119:BO150" si="61">BN119</f>
        <v>3028023.5423974688</v>
      </c>
      <c r="BP119" s="8">
        <f>+MINVU_Mes_Corriente!BP119*SALUD_Mes_Constante!$BP$1</f>
        <v>592804.74929577473</v>
      </c>
      <c r="BQ119" s="8">
        <f>+MINVU_Mes_Corriente!BQ119*SALUD_Mes_Constante!$BP$1</f>
        <v>592804.74929577473</v>
      </c>
      <c r="BR119" s="8">
        <f>+MINVU_Mes_Corriente!BR119*SALUD_Mes_Constante!$BP$1</f>
        <v>592804.74929577473</v>
      </c>
      <c r="BS119" s="8">
        <f>+MINVU_Mes_Corriente!BS119*SALUD_Mes_Constante!$BP$1</f>
        <v>592804.74929577473</v>
      </c>
      <c r="BT119" s="8">
        <f>+MINVU_Mes_Corriente!BT119*SALUD_Mes_Constante!$BP$1</f>
        <v>592804.74929577473</v>
      </c>
      <c r="BU119" s="8">
        <f>+MINVU_Mes_Corriente!BU119*SALUD_Mes_Constante!$BP$1</f>
        <v>592804.74929577473</v>
      </c>
      <c r="BV119" s="8">
        <f>+MINVU_Mes_Corriente!BV119*SALUD_Mes_Constante!$BP$1</f>
        <v>592804.74929577473</v>
      </c>
      <c r="BW119" s="8">
        <f>+MINVU_Mes_Corriente!BW119*SALUD_Mes_Constante!$BP$1</f>
        <v>592804.74929577473</v>
      </c>
      <c r="BX119" s="8">
        <f>+MINVU_Mes_Corriente!BX119*SALUD_Mes_Constante!$BP$1</f>
        <v>592804.74929577473</v>
      </c>
      <c r="BY119" s="8">
        <f>+MINVU_Mes_Corriente!BY119*SALUD_Mes_Constante!$BP$1</f>
        <v>592804.74929577473</v>
      </c>
      <c r="BZ119" s="8">
        <f>+MINVU_Mes_Corriente!BZ119*SALUD_Mes_Constante!$BP$1</f>
        <v>592804.74929577473</v>
      </c>
      <c r="CA119" s="8">
        <f>+MINVU_Mes_Corriente!CA119*SALUD_Mes_Constante!$BP$1</f>
        <v>592804.74929577473</v>
      </c>
      <c r="CB119" s="9">
        <f t="shared" ref="CB119:CB150" si="62">CA119</f>
        <v>592804.74929577473</v>
      </c>
      <c r="CC119" s="8">
        <f>+MINVU_Mes_Corriente!CC119*SALUD_Mes_Constante!$CC$1</f>
        <v>1522241.8903394258</v>
      </c>
      <c r="CD119" s="8">
        <f>+MINVU_Mes_Corriente!CD119*SALUD_Mes_Constante!$CC$1</f>
        <v>1522241.8903394258</v>
      </c>
      <c r="CE119" s="8">
        <f>+MINVU_Mes_Corriente!CE119*SALUD_Mes_Constante!$CC$1</f>
        <v>1522241.8903394258</v>
      </c>
      <c r="CF119" s="8">
        <f>+MINVU_Mes_Corriente!CF119*SALUD_Mes_Constante!$CC$1</f>
        <v>1522241.8903394258</v>
      </c>
      <c r="CG119" s="8">
        <f>+MINVU_Mes_Corriente!CG119*SALUD_Mes_Constante!$CC$1</f>
        <v>1522241.8903394258</v>
      </c>
      <c r="CH119" s="8">
        <f>+MINVU_Mes_Corriente!CH119*SALUD_Mes_Constante!$CC$1</f>
        <v>1522241.8903394258</v>
      </c>
      <c r="CI119" s="8">
        <f>+MINVU_Mes_Corriente!CI119*SALUD_Mes_Constante!$CC$1</f>
        <v>1522241.8903394258</v>
      </c>
      <c r="CJ119" s="8">
        <f>+MINVU_Mes_Corriente!CJ119*SALUD_Mes_Constante!$CC$1</f>
        <v>1522241.8903394258</v>
      </c>
      <c r="CK119" s="8">
        <f>+MINVU_Mes_Corriente!CK119*SALUD_Mes_Constante!$CC$1</f>
        <v>1522241.8903394258</v>
      </c>
      <c r="CL119" s="8">
        <f>+MINVU_Mes_Corriente!CL119*SALUD_Mes_Constante!$CC$1</f>
        <v>1522241.8903394258</v>
      </c>
      <c r="CM119" s="8">
        <f>+MINVU_Mes_Corriente!CM119*SALUD_Mes_Constante!$CC$1</f>
        <v>1522241.8903394258</v>
      </c>
      <c r="CN119" s="8">
        <f>+MINVU_Mes_Corriente!CN119*SALUD_Mes_Constante!$CC$1</f>
        <v>1522241.8903394258</v>
      </c>
      <c r="CO119" s="9">
        <f t="shared" ref="CO119:CO150" si="63">CN119</f>
        <v>1522241.8903394258</v>
      </c>
      <c r="CP119" s="8">
        <f>+MINVU_Mes_Corriente!CP119*SALUD_Mes_Constante!$CP$1</f>
        <v>750059.7598607887</v>
      </c>
      <c r="CQ119" s="8">
        <f>+MINVU_Mes_Corriente!CQ119*SALUD_Mes_Constante!$CP$1</f>
        <v>750059.7598607887</v>
      </c>
      <c r="CR119" s="8">
        <f>+MINVU_Mes_Corriente!CR119*SALUD_Mes_Constante!$CP$1</f>
        <v>750059.7598607887</v>
      </c>
      <c r="CS119" s="8">
        <f>+MINVU_Mes_Corriente!CS119*SALUD_Mes_Constante!$CP$1</f>
        <v>750059.7598607887</v>
      </c>
      <c r="CT119" s="8">
        <f>+MINVU_Mes_Corriente!CT119*SALUD_Mes_Constante!$CP$1</f>
        <v>750059.7598607887</v>
      </c>
      <c r="CU119" s="8">
        <f>+MINVU_Mes_Corriente!CU119*SALUD_Mes_Constante!$CP$1</f>
        <v>750059.7598607887</v>
      </c>
      <c r="CV119" s="8">
        <f>+MINVU_Mes_Corriente!CV119*SALUD_Mes_Constante!$CP$1</f>
        <v>750059.7598607887</v>
      </c>
      <c r="CW119" s="8">
        <f>+MINVU_Mes_Corriente!CW119*SALUD_Mes_Constante!$CP$1</f>
        <v>750059.7598607887</v>
      </c>
      <c r="CX119" s="8">
        <f>+MINVU_Mes_Corriente!CX119*SALUD_Mes_Constante!$CP$1</f>
        <v>750059.7598607887</v>
      </c>
      <c r="CY119" s="8">
        <f>+MINVU_Mes_Corriente!CY119*SALUD_Mes_Constante!$CP$1</f>
        <v>750059.7598607887</v>
      </c>
      <c r="CZ119" s="8">
        <f>+MINVU_Mes_Corriente!CZ119*SALUD_Mes_Constante!$CP$1</f>
        <v>750059.7598607887</v>
      </c>
      <c r="DA119" s="8">
        <f>+MINVU_Mes_Corriente!DA119*SALUD_Mes_Constante!$CP$1</f>
        <v>750059.7598607887</v>
      </c>
      <c r="DB119" s="9">
        <f t="shared" ref="DB119:DB150" si="64">DA119</f>
        <v>750059.7598607887</v>
      </c>
      <c r="DC119" s="8">
        <f>+MINVU_Mes_Corriente!DC119*SALUD_Mes_Constante!$DC$1</f>
        <v>401386.91430922766</v>
      </c>
      <c r="DD119" s="8">
        <f>+MINVU_Mes_Corriente!DD119*SALUD_Mes_Constante!$DC$1</f>
        <v>401386.91430922766</v>
      </c>
      <c r="DE119" s="8">
        <f>+MINVU_Mes_Corriente!DE119*SALUD_Mes_Constante!$DC$1</f>
        <v>401386.91430922766</v>
      </c>
      <c r="DF119" s="8">
        <f>+MINVU_Mes_Corriente!DF119*SALUD_Mes_Constante!$DC$1</f>
        <v>401386.91430922766</v>
      </c>
      <c r="DG119" s="8">
        <f>+MINVU_Mes_Corriente!DG119*SALUD_Mes_Constante!$DC$1</f>
        <v>401386.91430922766</v>
      </c>
      <c r="DH119" s="8">
        <f>+MINVU_Mes_Corriente!DH119*SALUD_Mes_Constante!$DC$1</f>
        <v>401386.91430922766</v>
      </c>
      <c r="DI119" s="8">
        <f>+MINVU_Mes_Corriente!DI119*SALUD_Mes_Constante!$DC$1</f>
        <v>401386.91430922766</v>
      </c>
      <c r="DJ119" s="8">
        <f>+MINVU_Mes_Corriente!DJ119*SALUD_Mes_Constante!$DC$1</f>
        <v>401386.91430922766</v>
      </c>
      <c r="DK119" s="8">
        <f>+MINVU_Mes_Corriente!DK119*SALUD_Mes_Constante!$DC$1</f>
        <v>401386.91430922766</v>
      </c>
      <c r="DL119" s="8">
        <f>+MINVU_Mes_Corriente!DL119*SALUD_Mes_Constante!$DC$1</f>
        <v>401386.91430922766</v>
      </c>
      <c r="DM119" s="8">
        <f>+MINVU_Mes_Corriente!DM119*SALUD_Mes_Constante!$DC$1</f>
        <v>401386.91430922766</v>
      </c>
      <c r="DN119" s="8">
        <f>+MINVU_Mes_Corriente!DN119*SALUD_Mes_Constante!$DC$1</f>
        <v>401386.91430922766</v>
      </c>
      <c r="DO119" s="9">
        <f t="shared" ref="DO119:DO150" si="65">DN119</f>
        <v>401386.91430922766</v>
      </c>
      <c r="DP119" s="8">
        <f>+MINVU_Mes_Corriente!DP119*SALUD_Mes_Constante!$DP$1</f>
        <v>1986306.5736342045</v>
      </c>
      <c r="DQ119" s="8">
        <f>+MINVU_Mes_Corriente!DQ119*SALUD_Mes_Constante!$DP$1</f>
        <v>1986306.5736342045</v>
      </c>
      <c r="DR119" s="8">
        <f>+MINVU_Mes_Corriente!DR119*SALUD_Mes_Constante!$DP$1</f>
        <v>1986306.5736342045</v>
      </c>
      <c r="DS119" s="8">
        <f>+MINVU_Mes_Corriente!DS119*SALUD_Mes_Constante!$DP$1</f>
        <v>1986306.5736342045</v>
      </c>
      <c r="DT119" s="8">
        <f>+MINVU_Mes_Corriente!DT119*SALUD_Mes_Constante!$DP$1</f>
        <v>1986306.5736342045</v>
      </c>
      <c r="DU119" s="8">
        <f>+MINVU_Mes_Corriente!DU119*SALUD_Mes_Constante!$DP$1</f>
        <v>1986306.5736342045</v>
      </c>
      <c r="DV119" s="8">
        <f>+MINVU_Mes_Corriente!DV119*SALUD_Mes_Constante!$DP$1</f>
        <v>1986306.5736342045</v>
      </c>
      <c r="DW119" s="8">
        <f>+MINVU_Mes_Corriente!DW119*SALUD_Mes_Constante!$DP$1</f>
        <v>1986306.5736342045</v>
      </c>
      <c r="DX119" s="8">
        <f>+MINVU_Mes_Corriente!DX119*SALUD_Mes_Constante!$DP$1</f>
        <v>1986306.5736342045</v>
      </c>
      <c r="DY119" s="8">
        <f>+MINVU_Mes_Corriente!DY119*SALUD_Mes_Constante!$DP$1</f>
        <v>1986306.5736342045</v>
      </c>
      <c r="DZ119" s="8">
        <f>+MINVU_Mes_Corriente!DZ119*SALUD_Mes_Constante!$DP$1</f>
        <v>1986306.5736342045</v>
      </c>
      <c r="EA119" s="8">
        <f>+MINVU_Mes_Corriente!EA119*SALUD_Mes_Constante!$DP$1</f>
        <v>1986306.5736342045</v>
      </c>
      <c r="EB119" s="9">
        <f t="shared" ref="EB119:EB150" si="66">EA119</f>
        <v>1986306.5736342045</v>
      </c>
      <c r="EC119" s="8">
        <f>+MINVU_Mes_Corriente!EC119*SALUD_Mes_Constante!$EC$1</f>
        <v>1351641.9912895281</v>
      </c>
      <c r="ED119" s="8">
        <f>+MINVU_Mes_Corriente!ED119*SALUD_Mes_Constante!$EC$1</f>
        <v>1351641.9912895281</v>
      </c>
      <c r="EE119" s="8">
        <f>+MINVU_Mes_Corriente!EE119*SALUD_Mes_Constante!$EC$1</f>
        <v>1351641.9912895281</v>
      </c>
      <c r="EF119" s="8">
        <f>+MINVU_Mes_Corriente!EF119*SALUD_Mes_Constante!$EC$1</f>
        <v>1351641.9912895281</v>
      </c>
      <c r="EG119" s="8">
        <f>+MINVU_Mes_Corriente!EG119*SALUD_Mes_Constante!$EC$1</f>
        <v>1351641.9912895281</v>
      </c>
      <c r="EH119" s="8">
        <f>+MINVU_Mes_Corriente!EH119*SALUD_Mes_Constante!$EC$1</f>
        <v>1351641.9912895281</v>
      </c>
      <c r="EI119" s="8">
        <f>+MINVU_Mes_Corriente!EI119*SALUD_Mes_Constante!$EC$1</f>
        <v>1351641.9912895281</v>
      </c>
      <c r="EJ119" s="8">
        <f>+MINVU_Mes_Corriente!EJ119*SALUD_Mes_Constante!$EC$1</f>
        <v>1351641.9912895281</v>
      </c>
      <c r="EK119" s="8">
        <f>+MINVU_Mes_Corriente!EK119*SALUD_Mes_Constante!$EC$1</f>
        <v>1351641.9912895281</v>
      </c>
      <c r="EL119" s="8">
        <f>+MINVU_Mes_Corriente!EL119*SALUD_Mes_Constante!$EC$1</f>
        <v>1351641.9912895281</v>
      </c>
      <c r="EM119" s="8">
        <f>+MINVU_Mes_Corriente!EM119*SALUD_Mes_Constante!$EC$1</f>
        <v>1351641.9912895281</v>
      </c>
      <c r="EN119" s="8">
        <f>+MINVU_Mes_Corriente!EN119*SALUD_Mes_Constante!$EC$1</f>
        <v>1351641.9912895281</v>
      </c>
      <c r="EO119" s="9">
        <f t="shared" ref="EO119:EO150" si="67">EN119</f>
        <v>1351641.9912895281</v>
      </c>
      <c r="EP119" s="8">
        <f>+MINVU_Mes_Corriente!EP119*SALUD_Mes_Constante!$EP$1</f>
        <v>2331468</v>
      </c>
      <c r="EQ119" s="8">
        <f>+MINVU_Mes_Corriente!EQ119*SALUD_Mes_Constante!$EP$1</f>
        <v>2331468</v>
      </c>
      <c r="ER119" s="8">
        <f>+MINVU_Mes_Corriente!ER119*SALUD_Mes_Constante!$EP$1</f>
        <v>2331468</v>
      </c>
      <c r="ES119" s="8">
        <f>+MINVU_Mes_Corriente!ES119*SALUD_Mes_Constante!$EP$1</f>
        <v>2331468</v>
      </c>
      <c r="ET119" s="8">
        <f>+MINVU_Mes_Corriente!ET119*SALUD_Mes_Constante!$EP$1</f>
        <v>2331468</v>
      </c>
      <c r="EU119" s="8">
        <f>+MINVU_Mes_Corriente!EU119*SALUD_Mes_Constante!$EP$1</f>
        <v>2331468</v>
      </c>
      <c r="EV119" s="8">
        <f>+MINVU_Mes_Corriente!EV119*SALUD_Mes_Constante!$EP$1</f>
        <v>2331468</v>
      </c>
      <c r="EW119" s="8">
        <f>+MINVU_Mes_Corriente!EW119*SALUD_Mes_Constante!$EP$1</f>
        <v>2331468</v>
      </c>
      <c r="EX119" s="8">
        <f>+MINVU_Mes_Corriente!EX119*SALUD_Mes_Constante!$EP$1</f>
        <v>2331468</v>
      </c>
      <c r="EY119" s="8">
        <f>+MINVU_Mes_Corriente!EY119*SALUD_Mes_Constante!$EP$1</f>
        <v>2331468</v>
      </c>
      <c r="EZ119" s="8">
        <f>+MINVU_Mes_Corriente!EZ119*SALUD_Mes_Constante!$EP$1</f>
        <v>2331468</v>
      </c>
      <c r="FA119" s="8">
        <f>+MINVU_Mes_Corriente!FA119*SALUD_Mes_Constante!$EP$1</f>
        <v>2331468</v>
      </c>
      <c r="FB119" s="9">
        <f t="shared" ref="FB119:FB150" si="68">FA119</f>
        <v>2331468</v>
      </c>
      <c r="FC119" s="8">
        <f>+MINVU_Mes_Corriente!FC119*SALUD_Mes_Constante!$FC$1</f>
        <v>1538024</v>
      </c>
      <c r="FD119" s="8">
        <f>+MINVU_Mes_Corriente!FD119*SALUD_Mes_Constante!$FC$1</f>
        <v>1538024</v>
      </c>
      <c r="FE119" s="8">
        <f>+MINVU_Mes_Corriente!FE119*SALUD_Mes_Constante!$FC$1</f>
        <v>1538024</v>
      </c>
      <c r="FF119" s="8">
        <f>+MINVU_Mes_Corriente!FF119*SALUD_Mes_Constante!$FC$1</f>
        <v>1538024</v>
      </c>
      <c r="FG119" s="8">
        <f>+MINVU_Mes_Corriente!FG119*SALUD_Mes_Constante!$FC$1</f>
        <v>1538024</v>
      </c>
      <c r="FH119" s="8">
        <f>+MINVU_Mes_Corriente!FH119*SALUD_Mes_Constante!$FC$1</f>
        <v>1538024</v>
      </c>
      <c r="FI119" s="8">
        <f>+MINVU_Mes_Corriente!FI119*SALUD_Mes_Constante!$FC$1</f>
        <v>1538024</v>
      </c>
      <c r="FJ119" s="8"/>
      <c r="FK119" s="8"/>
      <c r="FL119" s="8"/>
      <c r="FM119" s="8"/>
      <c r="FN119" s="8"/>
      <c r="FO119" s="9">
        <f t="shared" ref="FO119:FO150" si="69">FI119</f>
        <v>1538024</v>
      </c>
    </row>
    <row r="120" spans="2:171" ht="14.25" customHeight="1" x14ac:dyDescent="0.3">
      <c r="B120" s="7" t="s">
        <v>44</v>
      </c>
      <c r="C120" s="8">
        <f>+MINVU_Mes_Corriente!C120*SALUD_Mes_Constante!$C$1</f>
        <v>8734349.398487322</v>
      </c>
      <c r="D120" s="8">
        <f>+MINVU_Mes_Corriente!D120*SALUD_Mes_Constante!$C$1</f>
        <v>8734349.398487322</v>
      </c>
      <c r="E120" s="8">
        <f>+MINVU_Mes_Corriente!E120*SALUD_Mes_Constante!$C$1</f>
        <v>8734349.398487322</v>
      </c>
      <c r="F120" s="8">
        <f>+MINVU_Mes_Corriente!F120*SALUD_Mes_Constante!$C$1</f>
        <v>8734349.398487322</v>
      </c>
      <c r="G120" s="8">
        <f>+MINVU_Mes_Corriente!G120*SALUD_Mes_Constante!$C$1</f>
        <v>8734349.398487322</v>
      </c>
      <c r="H120" s="8">
        <f>+MINVU_Mes_Corriente!H120*SALUD_Mes_Constante!$C$1</f>
        <v>8734349.398487322</v>
      </c>
      <c r="I120" s="8">
        <f>+MINVU_Mes_Corriente!I120*SALUD_Mes_Constante!$C$1</f>
        <v>8734349.398487322</v>
      </c>
      <c r="J120" s="8">
        <f>+MINVU_Mes_Corriente!J120*SALUD_Mes_Constante!$C$1</f>
        <v>8734349.398487322</v>
      </c>
      <c r="K120" s="8">
        <f>+MINVU_Mes_Corriente!K120*SALUD_Mes_Constante!$C$1</f>
        <v>8734349.398487322</v>
      </c>
      <c r="L120" s="8">
        <f>+MINVU_Mes_Corriente!L120*SALUD_Mes_Constante!$C$1</f>
        <v>8734349.398487322</v>
      </c>
      <c r="M120" s="8">
        <f>+MINVU_Mes_Corriente!M120*SALUD_Mes_Constante!$C$1</f>
        <v>8734349.398487322</v>
      </c>
      <c r="N120" s="8">
        <f>+MINVU_Mes_Corriente!N120*SALUD_Mes_Constante!$C$1</f>
        <v>8734349.398487322</v>
      </c>
      <c r="O120" s="9">
        <f t="shared" si="57"/>
        <v>8734349.398487322</v>
      </c>
      <c r="P120" s="8">
        <f>+MINVU_Mes_Corriente!P120*SALUD_Mes_Constante!$P$1</f>
        <v>13612836.734763457</v>
      </c>
      <c r="Q120" s="8">
        <f>+MINVU_Mes_Corriente!Q120*SALUD_Mes_Constante!$P$1</f>
        <v>13612836.734763457</v>
      </c>
      <c r="R120" s="8">
        <f>+MINVU_Mes_Corriente!R120*SALUD_Mes_Constante!$P$1</f>
        <v>13612836.734763457</v>
      </c>
      <c r="S120" s="8">
        <f>+MINVU_Mes_Corriente!S120*SALUD_Mes_Constante!$P$1</f>
        <v>13612836.734763457</v>
      </c>
      <c r="T120" s="8">
        <f>+MINVU_Mes_Corriente!T120*SALUD_Mes_Constante!$P$1</f>
        <v>13612836.734763457</v>
      </c>
      <c r="U120" s="8">
        <f>+MINVU_Mes_Corriente!U120*SALUD_Mes_Constante!$P$1</f>
        <v>13612836.734763457</v>
      </c>
      <c r="V120" s="8">
        <f>+MINVU_Mes_Corriente!V120*SALUD_Mes_Constante!$P$1</f>
        <v>13612836.734763457</v>
      </c>
      <c r="W120" s="8">
        <f>+MINVU_Mes_Corriente!W120*SALUD_Mes_Constante!$P$1</f>
        <v>13612836.734763457</v>
      </c>
      <c r="X120" s="8">
        <f>+MINVU_Mes_Corriente!X120*SALUD_Mes_Constante!$P$1</f>
        <v>13612836.734763457</v>
      </c>
      <c r="Y120" s="8">
        <f>+MINVU_Mes_Corriente!Y120*SALUD_Mes_Constante!$P$1</f>
        <v>13612836.734763457</v>
      </c>
      <c r="Z120" s="8">
        <f>+MINVU_Mes_Corriente!Z120*SALUD_Mes_Constante!$P$1</f>
        <v>13612836.734763457</v>
      </c>
      <c r="AA120" s="8">
        <f>+MINVU_Mes_Corriente!AA120*SALUD_Mes_Constante!$P$1</f>
        <v>13612836.734763457</v>
      </c>
      <c r="AB120" s="9">
        <f t="shared" si="58"/>
        <v>13612836.734763457</v>
      </c>
      <c r="AC120" s="8">
        <f>+MINVU_Mes_Corriente!AC120*SALUD_Mes_Constante!$AC$1</f>
        <v>9370948.6238760538</v>
      </c>
      <c r="AD120" s="8">
        <f>+MINVU_Mes_Corriente!AD120*SALUD_Mes_Constante!$AC$1</f>
        <v>9370948.6238760538</v>
      </c>
      <c r="AE120" s="8">
        <f>+MINVU_Mes_Corriente!AE120*SALUD_Mes_Constante!$AC$1</f>
        <v>9370948.6238760538</v>
      </c>
      <c r="AF120" s="8">
        <f>+MINVU_Mes_Corriente!AF120*SALUD_Mes_Constante!$AC$1</f>
        <v>9370948.6238760538</v>
      </c>
      <c r="AG120" s="8">
        <f>+MINVU_Mes_Corriente!AG120*SALUD_Mes_Constante!$AC$1</f>
        <v>9370948.6238760538</v>
      </c>
      <c r="AH120" s="8">
        <f>+MINVU_Mes_Corriente!AH120*SALUD_Mes_Constante!$AC$1</f>
        <v>9370948.6238760538</v>
      </c>
      <c r="AI120" s="8">
        <f>+MINVU_Mes_Corriente!AI120*SALUD_Mes_Constante!$AC$1</f>
        <v>9370948.6238760538</v>
      </c>
      <c r="AJ120" s="8">
        <f>+MINVU_Mes_Corriente!AJ120*SALUD_Mes_Constante!$AC$1</f>
        <v>9370948.6238760538</v>
      </c>
      <c r="AK120" s="8">
        <f>+MINVU_Mes_Corriente!AK120*SALUD_Mes_Constante!$AC$1</f>
        <v>9370948.6238760538</v>
      </c>
      <c r="AL120" s="8">
        <f>+MINVU_Mes_Corriente!AL120*SALUD_Mes_Constante!$AC$1</f>
        <v>9370948.6238760538</v>
      </c>
      <c r="AM120" s="8">
        <f>+MINVU_Mes_Corriente!AM120*SALUD_Mes_Constante!$AC$1</f>
        <v>9370948.6238760538</v>
      </c>
      <c r="AN120" s="8">
        <f>+MINVU_Mes_Corriente!AN120*SALUD_Mes_Constante!$AC$1</f>
        <v>9370948.6238760538</v>
      </c>
      <c r="AO120" s="9">
        <f t="shared" si="59"/>
        <v>9370948.6238760538</v>
      </c>
      <c r="AP120" s="8">
        <f>+MINVU_Mes_Corriente!AP120*SALUD_Mes_Constante!$AP$1</f>
        <v>14226328.871094277</v>
      </c>
      <c r="AQ120" s="8">
        <f>+MINVU_Mes_Corriente!AQ120*SALUD_Mes_Constante!$AP$1</f>
        <v>14226328.871094277</v>
      </c>
      <c r="AR120" s="8">
        <f>+MINVU_Mes_Corriente!AR120*SALUD_Mes_Constante!$AP$1</f>
        <v>14226328.871094277</v>
      </c>
      <c r="AS120" s="8">
        <f>+MINVU_Mes_Corriente!AS120*SALUD_Mes_Constante!$AP$1</f>
        <v>14226328.871094277</v>
      </c>
      <c r="AT120" s="8">
        <f>+MINVU_Mes_Corriente!AT120*SALUD_Mes_Constante!$AP$1</f>
        <v>14226328.871094277</v>
      </c>
      <c r="AU120" s="8">
        <f>+MINVU_Mes_Corriente!AU120*SALUD_Mes_Constante!$AP$1</f>
        <v>14226328.871094277</v>
      </c>
      <c r="AV120" s="8">
        <f>+MINVU_Mes_Corriente!AV120*SALUD_Mes_Constante!$AP$1</f>
        <v>14226328.871094277</v>
      </c>
      <c r="AW120" s="8">
        <f>+MINVU_Mes_Corriente!AW120*SALUD_Mes_Constante!$AP$1</f>
        <v>14226328.871094277</v>
      </c>
      <c r="AX120" s="8">
        <f>+MINVU_Mes_Corriente!AX120*SALUD_Mes_Constante!$AP$1</f>
        <v>14226328.871094277</v>
      </c>
      <c r="AY120" s="8">
        <f>+MINVU_Mes_Corriente!AY120*SALUD_Mes_Constante!$AP$1</f>
        <v>14226328.871094277</v>
      </c>
      <c r="AZ120" s="8">
        <f>+MINVU_Mes_Corriente!AZ120*SALUD_Mes_Constante!$AP$1</f>
        <v>14226328.871094277</v>
      </c>
      <c r="BA120" s="8">
        <f>+MINVU_Mes_Corriente!BA120*SALUD_Mes_Constante!$AP$1</f>
        <v>14226328.871094277</v>
      </c>
      <c r="BB120" s="9">
        <f t="shared" si="60"/>
        <v>14226328.871094277</v>
      </c>
      <c r="BC120" s="8">
        <f>+MINVU_Mes_Corriente!BC120*SALUD_Mes_Constante!$BC$1</f>
        <v>23378893.731240939</v>
      </c>
      <c r="BD120" s="8">
        <f>+MINVU_Mes_Corriente!BD120*SALUD_Mes_Constante!$BC$1</f>
        <v>23378893.731240939</v>
      </c>
      <c r="BE120" s="8">
        <f>+MINVU_Mes_Corriente!BE120*SALUD_Mes_Constante!$BC$1</f>
        <v>23378893.731240939</v>
      </c>
      <c r="BF120" s="8">
        <f>+MINVU_Mes_Corriente!BF120*SALUD_Mes_Constante!$BC$1</f>
        <v>23378893.731240939</v>
      </c>
      <c r="BG120" s="8">
        <f>+MINVU_Mes_Corriente!BG120*SALUD_Mes_Constante!$BC$1</f>
        <v>23378893.731240939</v>
      </c>
      <c r="BH120" s="8">
        <f>+MINVU_Mes_Corriente!BH120*SALUD_Mes_Constante!$BC$1</f>
        <v>23378893.731240939</v>
      </c>
      <c r="BI120" s="8">
        <f>+MINVU_Mes_Corriente!BI120*SALUD_Mes_Constante!$BC$1</f>
        <v>23378893.731240939</v>
      </c>
      <c r="BJ120" s="8">
        <f>+MINVU_Mes_Corriente!BJ120*SALUD_Mes_Constante!$BC$1</f>
        <v>23378893.731240939</v>
      </c>
      <c r="BK120" s="8">
        <f>+MINVU_Mes_Corriente!BK120*SALUD_Mes_Constante!$BC$1</f>
        <v>23378893.731240939</v>
      </c>
      <c r="BL120" s="8">
        <f>+MINVU_Mes_Corriente!BL120*SALUD_Mes_Constante!$BC$1</f>
        <v>23378893.731240939</v>
      </c>
      <c r="BM120" s="8">
        <f>+MINVU_Mes_Corriente!BM120*SALUD_Mes_Constante!$BC$1</f>
        <v>23378893.731240939</v>
      </c>
      <c r="BN120" s="8">
        <f>+MINVU_Mes_Corriente!BN120*SALUD_Mes_Constante!$BC$1</f>
        <v>23378893.731240939</v>
      </c>
      <c r="BO120" s="9">
        <f t="shared" si="61"/>
        <v>23378893.731240939</v>
      </c>
      <c r="BP120" s="8">
        <f>+MINVU_Mes_Corriente!BP120*SALUD_Mes_Constante!$BP$1</f>
        <v>626822.24174135725</v>
      </c>
      <c r="BQ120" s="8">
        <f>+MINVU_Mes_Corriente!BQ120*SALUD_Mes_Constante!$BP$1</f>
        <v>626822.24174135725</v>
      </c>
      <c r="BR120" s="8">
        <f>+MINVU_Mes_Corriente!BR120*SALUD_Mes_Constante!$BP$1</f>
        <v>626822.24174135725</v>
      </c>
      <c r="BS120" s="8">
        <f>+MINVU_Mes_Corriente!BS120*SALUD_Mes_Constante!$BP$1</f>
        <v>626822.24174135725</v>
      </c>
      <c r="BT120" s="8">
        <f>+MINVU_Mes_Corriente!BT120*SALUD_Mes_Constante!$BP$1</f>
        <v>626822.24174135725</v>
      </c>
      <c r="BU120" s="8">
        <f>+MINVU_Mes_Corriente!BU120*SALUD_Mes_Constante!$BP$1</f>
        <v>626822.24174135725</v>
      </c>
      <c r="BV120" s="8">
        <f>+MINVU_Mes_Corriente!BV120*SALUD_Mes_Constante!$BP$1</f>
        <v>626822.24174135725</v>
      </c>
      <c r="BW120" s="8">
        <f>+MINVU_Mes_Corriente!BW120*SALUD_Mes_Constante!$BP$1</f>
        <v>626822.24174135725</v>
      </c>
      <c r="BX120" s="8">
        <f>+MINVU_Mes_Corriente!BX120*SALUD_Mes_Constante!$BP$1</f>
        <v>626822.24174135725</v>
      </c>
      <c r="BY120" s="8">
        <f>+MINVU_Mes_Corriente!BY120*SALUD_Mes_Constante!$BP$1</f>
        <v>626822.24174135725</v>
      </c>
      <c r="BZ120" s="8">
        <f>+MINVU_Mes_Corriente!BZ120*SALUD_Mes_Constante!$BP$1</f>
        <v>626822.24174135725</v>
      </c>
      <c r="CA120" s="8">
        <f>+MINVU_Mes_Corriente!CA120*SALUD_Mes_Constante!$BP$1</f>
        <v>626822.24174135725</v>
      </c>
      <c r="CB120" s="9">
        <f t="shared" si="62"/>
        <v>626822.24174135725</v>
      </c>
      <c r="CC120" s="8">
        <f>+MINVU_Mes_Corriente!CC120*SALUD_Mes_Constante!$CC$1</f>
        <v>11935280.929503918</v>
      </c>
      <c r="CD120" s="8">
        <f>+MINVU_Mes_Corriente!CD120*SALUD_Mes_Constante!$CC$1</f>
        <v>11935280.929503918</v>
      </c>
      <c r="CE120" s="8">
        <f>+MINVU_Mes_Corriente!CE120*SALUD_Mes_Constante!$CC$1</f>
        <v>11935280.929503918</v>
      </c>
      <c r="CF120" s="8">
        <f>+MINVU_Mes_Corriente!CF120*SALUD_Mes_Constante!$CC$1</f>
        <v>11935280.929503918</v>
      </c>
      <c r="CG120" s="8">
        <f>+MINVU_Mes_Corriente!CG120*SALUD_Mes_Constante!$CC$1</f>
        <v>11935280.929503918</v>
      </c>
      <c r="CH120" s="8">
        <f>+MINVU_Mes_Corriente!CH120*SALUD_Mes_Constante!$CC$1</f>
        <v>11935280.929503918</v>
      </c>
      <c r="CI120" s="8">
        <f>+MINVU_Mes_Corriente!CI120*SALUD_Mes_Constante!$CC$1</f>
        <v>11935280.929503918</v>
      </c>
      <c r="CJ120" s="8">
        <f>+MINVU_Mes_Corriente!CJ120*SALUD_Mes_Constante!$CC$1</f>
        <v>11935280.929503918</v>
      </c>
      <c r="CK120" s="8">
        <f>+MINVU_Mes_Corriente!CK120*SALUD_Mes_Constante!$CC$1</f>
        <v>11935280.929503918</v>
      </c>
      <c r="CL120" s="8">
        <f>+MINVU_Mes_Corriente!CL120*SALUD_Mes_Constante!$CC$1</f>
        <v>11935280.929503918</v>
      </c>
      <c r="CM120" s="8">
        <f>+MINVU_Mes_Corriente!CM120*SALUD_Mes_Constante!$CC$1</f>
        <v>11935280.929503918</v>
      </c>
      <c r="CN120" s="8">
        <f>+MINVU_Mes_Corriente!CN120*SALUD_Mes_Constante!$CC$1</f>
        <v>11935280.929503918</v>
      </c>
      <c r="CO120" s="9">
        <f t="shared" si="63"/>
        <v>11935280.929503918</v>
      </c>
      <c r="CP120" s="8">
        <f>+MINVU_Mes_Corriente!CP120*SALUD_Mes_Constante!$CP$1</f>
        <v>1115763.8805104406</v>
      </c>
      <c r="CQ120" s="8">
        <f>+MINVU_Mes_Corriente!CQ120*SALUD_Mes_Constante!$CP$1</f>
        <v>1115763.8805104406</v>
      </c>
      <c r="CR120" s="8">
        <f>+MINVU_Mes_Corriente!CR120*SALUD_Mes_Constante!$CP$1</f>
        <v>1115763.8805104406</v>
      </c>
      <c r="CS120" s="8">
        <f>+MINVU_Mes_Corriente!CS120*SALUD_Mes_Constante!$CP$1</f>
        <v>1115763.8805104406</v>
      </c>
      <c r="CT120" s="8">
        <f>+MINVU_Mes_Corriente!CT120*SALUD_Mes_Constante!$CP$1</f>
        <v>1115763.8805104406</v>
      </c>
      <c r="CU120" s="8">
        <f>+MINVU_Mes_Corriente!CU120*SALUD_Mes_Constante!$CP$1</f>
        <v>1115763.8805104406</v>
      </c>
      <c r="CV120" s="8">
        <f>+MINVU_Mes_Corriente!CV120*SALUD_Mes_Constante!$CP$1</f>
        <v>1115763.8805104406</v>
      </c>
      <c r="CW120" s="8">
        <f>+MINVU_Mes_Corriente!CW120*SALUD_Mes_Constante!$CP$1</f>
        <v>1115763.8805104406</v>
      </c>
      <c r="CX120" s="8">
        <f>+MINVU_Mes_Corriente!CX120*SALUD_Mes_Constante!$CP$1</f>
        <v>1115763.8805104406</v>
      </c>
      <c r="CY120" s="8">
        <f>+MINVU_Mes_Corriente!CY120*SALUD_Mes_Constante!$CP$1</f>
        <v>1115763.8805104406</v>
      </c>
      <c r="CZ120" s="8">
        <f>+MINVU_Mes_Corriente!CZ120*SALUD_Mes_Constante!$CP$1</f>
        <v>1115763.8805104406</v>
      </c>
      <c r="DA120" s="8">
        <f>+MINVU_Mes_Corriente!DA120*SALUD_Mes_Constante!$CP$1</f>
        <v>1115763.8805104406</v>
      </c>
      <c r="DB120" s="9">
        <f t="shared" si="64"/>
        <v>1115763.8805104406</v>
      </c>
      <c r="DC120" s="8">
        <f>+MINVU_Mes_Corriente!DC120*SALUD_Mes_Constante!$DC$1</f>
        <v>92242.145252546077</v>
      </c>
      <c r="DD120" s="8">
        <f>+MINVU_Mes_Corriente!DD120*SALUD_Mes_Constante!$DC$1</f>
        <v>92242.145252546077</v>
      </c>
      <c r="DE120" s="8">
        <f>+MINVU_Mes_Corriente!DE120*SALUD_Mes_Constante!$DC$1</f>
        <v>92242.145252546077</v>
      </c>
      <c r="DF120" s="8">
        <f>+MINVU_Mes_Corriente!DF120*SALUD_Mes_Constante!$DC$1</f>
        <v>92242.145252546077</v>
      </c>
      <c r="DG120" s="8">
        <f>+MINVU_Mes_Corriente!DG120*SALUD_Mes_Constante!$DC$1</f>
        <v>92242.145252546077</v>
      </c>
      <c r="DH120" s="8">
        <f>+MINVU_Mes_Corriente!DH120*SALUD_Mes_Constante!$DC$1</f>
        <v>92242.145252546077</v>
      </c>
      <c r="DI120" s="8">
        <f>+MINVU_Mes_Corriente!DI120*SALUD_Mes_Constante!$DC$1</f>
        <v>92242.145252546077</v>
      </c>
      <c r="DJ120" s="8">
        <f>+MINVU_Mes_Corriente!DJ120*SALUD_Mes_Constante!$DC$1</f>
        <v>92242.145252546077</v>
      </c>
      <c r="DK120" s="8">
        <f>+MINVU_Mes_Corriente!DK120*SALUD_Mes_Constante!$DC$1</f>
        <v>92242.145252546077</v>
      </c>
      <c r="DL120" s="8">
        <f>+MINVU_Mes_Corriente!DL120*SALUD_Mes_Constante!$DC$1</f>
        <v>92242.145252546077</v>
      </c>
      <c r="DM120" s="8">
        <f>+MINVU_Mes_Corriente!DM120*SALUD_Mes_Constante!$DC$1</f>
        <v>92242.145252546077</v>
      </c>
      <c r="DN120" s="8">
        <f>+MINVU_Mes_Corriente!DN120*SALUD_Mes_Constante!$DC$1</f>
        <v>92242.145252546077</v>
      </c>
      <c r="DO120" s="9">
        <f t="shared" si="65"/>
        <v>92242.145252546077</v>
      </c>
      <c r="DP120" s="8">
        <f>+MINVU_Mes_Corriente!DP120*SALUD_Mes_Constante!$DP$1</f>
        <v>5740568.4121140148</v>
      </c>
      <c r="DQ120" s="8">
        <f>+MINVU_Mes_Corriente!DQ120*SALUD_Mes_Constante!$DP$1</f>
        <v>5740568.4121140148</v>
      </c>
      <c r="DR120" s="8">
        <f>+MINVU_Mes_Corriente!DR120*SALUD_Mes_Constante!$DP$1</f>
        <v>5740568.4121140148</v>
      </c>
      <c r="DS120" s="8">
        <f>+MINVU_Mes_Corriente!DS120*SALUD_Mes_Constante!$DP$1</f>
        <v>5740568.4121140148</v>
      </c>
      <c r="DT120" s="8">
        <f>+MINVU_Mes_Corriente!DT120*SALUD_Mes_Constante!$DP$1</f>
        <v>5740568.4121140148</v>
      </c>
      <c r="DU120" s="8">
        <f>+MINVU_Mes_Corriente!DU120*SALUD_Mes_Constante!$DP$1</f>
        <v>5740568.4121140148</v>
      </c>
      <c r="DV120" s="8">
        <f>+MINVU_Mes_Corriente!DV120*SALUD_Mes_Constante!$DP$1</f>
        <v>5740568.4121140148</v>
      </c>
      <c r="DW120" s="8">
        <f>+MINVU_Mes_Corriente!DW120*SALUD_Mes_Constante!$DP$1</f>
        <v>5740568.4121140148</v>
      </c>
      <c r="DX120" s="8">
        <f>+MINVU_Mes_Corriente!DX120*SALUD_Mes_Constante!$DP$1</f>
        <v>5740568.4121140148</v>
      </c>
      <c r="DY120" s="8">
        <f>+MINVU_Mes_Corriente!DY120*SALUD_Mes_Constante!$DP$1</f>
        <v>5740568.4121140148</v>
      </c>
      <c r="DZ120" s="8">
        <f>+MINVU_Mes_Corriente!DZ120*SALUD_Mes_Constante!$DP$1</f>
        <v>5740568.4121140148</v>
      </c>
      <c r="EA120" s="8">
        <f>+MINVU_Mes_Corriente!EA120*SALUD_Mes_Constante!$DP$1</f>
        <v>5740568.4121140148</v>
      </c>
      <c r="EB120" s="9">
        <f t="shared" si="66"/>
        <v>5740568.4121140148</v>
      </c>
      <c r="EC120" s="8">
        <f>+MINVU_Mes_Corriente!EC120*SALUD_Mes_Constante!$EC$1</f>
        <v>1062832.2878242754</v>
      </c>
      <c r="ED120" s="8">
        <f>+MINVU_Mes_Corriente!ED120*SALUD_Mes_Constante!$EC$1</f>
        <v>1062832.2878242754</v>
      </c>
      <c r="EE120" s="8">
        <f>+MINVU_Mes_Corriente!EE120*SALUD_Mes_Constante!$EC$1</f>
        <v>1062832.2878242754</v>
      </c>
      <c r="EF120" s="8">
        <f>+MINVU_Mes_Corriente!EF120*SALUD_Mes_Constante!$EC$1</f>
        <v>1062832.2878242754</v>
      </c>
      <c r="EG120" s="8">
        <f>+MINVU_Mes_Corriente!EG120*SALUD_Mes_Constante!$EC$1</f>
        <v>1062832.2878242754</v>
      </c>
      <c r="EH120" s="8">
        <f>+MINVU_Mes_Corriente!EH120*SALUD_Mes_Constante!$EC$1</f>
        <v>1062832.2878242754</v>
      </c>
      <c r="EI120" s="8">
        <f>+MINVU_Mes_Corriente!EI120*SALUD_Mes_Constante!$EC$1</f>
        <v>1062832.2878242754</v>
      </c>
      <c r="EJ120" s="8">
        <f>+MINVU_Mes_Corriente!EJ120*SALUD_Mes_Constante!$EC$1</f>
        <v>1062832.2878242754</v>
      </c>
      <c r="EK120" s="8">
        <f>+MINVU_Mes_Corriente!EK120*SALUD_Mes_Constante!$EC$1</f>
        <v>1062832.2878242754</v>
      </c>
      <c r="EL120" s="8">
        <f>+MINVU_Mes_Corriente!EL120*SALUD_Mes_Constante!$EC$1</f>
        <v>1062832.2878242754</v>
      </c>
      <c r="EM120" s="8">
        <f>+MINVU_Mes_Corriente!EM120*SALUD_Mes_Constante!$EC$1</f>
        <v>1062832.2878242754</v>
      </c>
      <c r="EN120" s="8">
        <f>+MINVU_Mes_Corriente!EN120*SALUD_Mes_Constante!$EC$1</f>
        <v>1062832.2878242754</v>
      </c>
      <c r="EO120" s="9">
        <f t="shared" si="67"/>
        <v>1062832.2878242754</v>
      </c>
      <c r="EP120" s="8">
        <f>+MINVU_Mes_Corriente!EP120*SALUD_Mes_Constante!$EP$1</f>
        <v>1340005</v>
      </c>
      <c r="EQ120" s="8">
        <f>+MINVU_Mes_Corriente!EQ120*SALUD_Mes_Constante!$EP$1</f>
        <v>1340005</v>
      </c>
      <c r="ER120" s="8">
        <f>+MINVU_Mes_Corriente!ER120*SALUD_Mes_Constante!$EP$1</f>
        <v>1340005</v>
      </c>
      <c r="ES120" s="8">
        <f>+MINVU_Mes_Corriente!ES120*SALUD_Mes_Constante!$EP$1</f>
        <v>1340005</v>
      </c>
      <c r="ET120" s="8">
        <f>+MINVU_Mes_Corriente!ET120*SALUD_Mes_Constante!$EP$1</f>
        <v>1340005</v>
      </c>
      <c r="EU120" s="8">
        <f>+MINVU_Mes_Corriente!EU120*SALUD_Mes_Constante!$EP$1</f>
        <v>1340005</v>
      </c>
      <c r="EV120" s="8">
        <f>+MINVU_Mes_Corriente!EV120*SALUD_Mes_Constante!$EP$1</f>
        <v>1340005</v>
      </c>
      <c r="EW120" s="8">
        <f>+MINVU_Mes_Corriente!EW120*SALUD_Mes_Constante!$EP$1</f>
        <v>1340005</v>
      </c>
      <c r="EX120" s="8">
        <f>+MINVU_Mes_Corriente!EX120*SALUD_Mes_Constante!$EP$1</f>
        <v>1340005</v>
      </c>
      <c r="EY120" s="8">
        <f>+MINVU_Mes_Corriente!EY120*SALUD_Mes_Constante!$EP$1</f>
        <v>1340005</v>
      </c>
      <c r="EZ120" s="8">
        <f>+MINVU_Mes_Corriente!EZ120*SALUD_Mes_Constante!$EP$1</f>
        <v>1340005</v>
      </c>
      <c r="FA120" s="8">
        <f>+MINVU_Mes_Corriente!FA120*SALUD_Mes_Constante!$EP$1</f>
        <v>1340005</v>
      </c>
      <c r="FB120" s="9">
        <f t="shared" si="68"/>
        <v>1340005</v>
      </c>
      <c r="FC120" s="8">
        <f>+MINVU_Mes_Corriente!FC120*SALUD_Mes_Constante!$FC$1</f>
        <v>770529</v>
      </c>
      <c r="FD120" s="8">
        <f>+MINVU_Mes_Corriente!FD120*SALUD_Mes_Constante!$FC$1</f>
        <v>770529</v>
      </c>
      <c r="FE120" s="8">
        <f>+MINVU_Mes_Corriente!FE120*SALUD_Mes_Constante!$FC$1</f>
        <v>770529</v>
      </c>
      <c r="FF120" s="8">
        <f>+MINVU_Mes_Corriente!FF120*SALUD_Mes_Constante!$FC$1</f>
        <v>770529</v>
      </c>
      <c r="FG120" s="8">
        <f>+MINVU_Mes_Corriente!FG120*SALUD_Mes_Constante!$FC$1</f>
        <v>770529</v>
      </c>
      <c r="FH120" s="8">
        <f>+MINVU_Mes_Corriente!FH120*SALUD_Mes_Constante!$FC$1</f>
        <v>770529</v>
      </c>
      <c r="FI120" s="8">
        <f>+MINVU_Mes_Corriente!FI120*SALUD_Mes_Constante!$FC$1</f>
        <v>770529</v>
      </c>
      <c r="FJ120" s="8"/>
      <c r="FK120" s="8"/>
      <c r="FL120" s="8"/>
      <c r="FM120" s="8"/>
      <c r="FN120" s="8"/>
      <c r="FO120" s="9">
        <f t="shared" si="69"/>
        <v>770529</v>
      </c>
    </row>
    <row r="121" spans="2:171" ht="14.25" customHeight="1" x14ac:dyDescent="0.3">
      <c r="B121" s="7" t="s">
        <v>45</v>
      </c>
      <c r="C121" s="8">
        <f>+MINVU_Mes_Corriente!C121*SALUD_Mes_Constante!$C$1</f>
        <v>1768124.295714074</v>
      </c>
      <c r="D121" s="8">
        <f>+MINVU_Mes_Corriente!D121*SALUD_Mes_Constante!$C$1</f>
        <v>1768124.295714074</v>
      </c>
      <c r="E121" s="8">
        <f>+MINVU_Mes_Corriente!E121*SALUD_Mes_Constante!$C$1</f>
        <v>1768124.295714074</v>
      </c>
      <c r="F121" s="8">
        <f>+MINVU_Mes_Corriente!F121*SALUD_Mes_Constante!$C$1</f>
        <v>1768124.295714074</v>
      </c>
      <c r="G121" s="8">
        <f>+MINVU_Mes_Corriente!G121*SALUD_Mes_Constante!$C$1</f>
        <v>1768124.295714074</v>
      </c>
      <c r="H121" s="8">
        <f>+MINVU_Mes_Corriente!H121*SALUD_Mes_Constante!$C$1</f>
        <v>1768124.295714074</v>
      </c>
      <c r="I121" s="8">
        <f>+MINVU_Mes_Corriente!I121*SALUD_Mes_Constante!$C$1</f>
        <v>1768124.295714074</v>
      </c>
      <c r="J121" s="8">
        <f>+MINVU_Mes_Corriente!J121*SALUD_Mes_Constante!$C$1</f>
        <v>1768124.295714074</v>
      </c>
      <c r="K121" s="8">
        <f>+MINVU_Mes_Corriente!K121*SALUD_Mes_Constante!$C$1</f>
        <v>1768124.295714074</v>
      </c>
      <c r="L121" s="8">
        <f>+MINVU_Mes_Corriente!L121*SALUD_Mes_Constante!$C$1</f>
        <v>1768124.295714074</v>
      </c>
      <c r="M121" s="8">
        <f>+MINVU_Mes_Corriente!M121*SALUD_Mes_Constante!$C$1</f>
        <v>1768124.295714074</v>
      </c>
      <c r="N121" s="8">
        <f>+MINVU_Mes_Corriente!N121*SALUD_Mes_Constante!$C$1</f>
        <v>1768124.295714074</v>
      </c>
      <c r="O121" s="9">
        <f t="shared" si="57"/>
        <v>1768124.295714074</v>
      </c>
      <c r="P121" s="8">
        <f>+MINVU_Mes_Corriente!P121*SALUD_Mes_Constante!$P$1</f>
        <v>1912816.7913055825</v>
      </c>
      <c r="Q121" s="8">
        <f>+MINVU_Mes_Corriente!Q121*SALUD_Mes_Constante!$P$1</f>
        <v>1912816.7913055825</v>
      </c>
      <c r="R121" s="8">
        <f>+MINVU_Mes_Corriente!R121*SALUD_Mes_Constante!$P$1</f>
        <v>1912816.7913055825</v>
      </c>
      <c r="S121" s="8">
        <f>+MINVU_Mes_Corriente!S121*SALUD_Mes_Constante!$P$1</f>
        <v>1912816.7913055825</v>
      </c>
      <c r="T121" s="8">
        <f>+MINVU_Mes_Corriente!T121*SALUD_Mes_Constante!$P$1</f>
        <v>1912816.7913055825</v>
      </c>
      <c r="U121" s="8">
        <f>+MINVU_Mes_Corriente!U121*SALUD_Mes_Constante!$P$1</f>
        <v>1912816.7913055825</v>
      </c>
      <c r="V121" s="8">
        <f>+MINVU_Mes_Corriente!V121*SALUD_Mes_Constante!$P$1</f>
        <v>1912816.7913055825</v>
      </c>
      <c r="W121" s="8">
        <f>+MINVU_Mes_Corriente!W121*SALUD_Mes_Constante!$P$1</f>
        <v>1912816.7913055825</v>
      </c>
      <c r="X121" s="8">
        <f>+MINVU_Mes_Corriente!X121*SALUD_Mes_Constante!$P$1</f>
        <v>1912816.7913055825</v>
      </c>
      <c r="Y121" s="8">
        <f>+MINVU_Mes_Corriente!Y121*SALUD_Mes_Constante!$P$1</f>
        <v>1912816.7913055825</v>
      </c>
      <c r="Z121" s="8">
        <f>+MINVU_Mes_Corriente!Z121*SALUD_Mes_Constante!$P$1</f>
        <v>1912816.7913055825</v>
      </c>
      <c r="AA121" s="8">
        <f>+MINVU_Mes_Corriente!AA121*SALUD_Mes_Constante!$P$1</f>
        <v>1912816.7913055825</v>
      </c>
      <c r="AB121" s="9">
        <f t="shared" si="58"/>
        <v>1912816.7913055825</v>
      </c>
      <c r="AC121" s="8">
        <f>+MINVU_Mes_Corriente!AC121*SALUD_Mes_Constante!$AC$1</f>
        <v>1912140.6847420114</v>
      </c>
      <c r="AD121" s="8">
        <f>+MINVU_Mes_Corriente!AD121*SALUD_Mes_Constante!$AC$1</f>
        <v>1912140.6847420114</v>
      </c>
      <c r="AE121" s="8">
        <f>+MINVU_Mes_Corriente!AE121*SALUD_Mes_Constante!$AC$1</f>
        <v>1912140.6847420114</v>
      </c>
      <c r="AF121" s="8">
        <f>+MINVU_Mes_Corriente!AF121*SALUD_Mes_Constante!$AC$1</f>
        <v>1912140.6847420114</v>
      </c>
      <c r="AG121" s="8">
        <f>+MINVU_Mes_Corriente!AG121*SALUD_Mes_Constante!$AC$1</f>
        <v>1912140.6847420114</v>
      </c>
      <c r="AH121" s="8">
        <f>+MINVU_Mes_Corriente!AH121*SALUD_Mes_Constante!$AC$1</f>
        <v>1912140.6847420114</v>
      </c>
      <c r="AI121" s="8">
        <f>+MINVU_Mes_Corriente!AI121*SALUD_Mes_Constante!$AC$1</f>
        <v>1912140.6847420114</v>
      </c>
      <c r="AJ121" s="8">
        <f>+MINVU_Mes_Corriente!AJ121*SALUD_Mes_Constante!$AC$1</f>
        <v>1912140.6847420114</v>
      </c>
      <c r="AK121" s="8">
        <f>+MINVU_Mes_Corriente!AK121*SALUD_Mes_Constante!$AC$1</f>
        <v>1912140.6847420114</v>
      </c>
      <c r="AL121" s="8">
        <f>+MINVU_Mes_Corriente!AL121*SALUD_Mes_Constante!$AC$1</f>
        <v>1912140.6847420114</v>
      </c>
      <c r="AM121" s="8">
        <f>+MINVU_Mes_Corriente!AM121*SALUD_Mes_Constante!$AC$1</f>
        <v>1912140.6847420114</v>
      </c>
      <c r="AN121" s="8">
        <f>+MINVU_Mes_Corriente!AN121*SALUD_Mes_Constante!$AC$1</f>
        <v>1912140.6847420114</v>
      </c>
      <c r="AO121" s="9">
        <f t="shared" si="59"/>
        <v>1912140.6847420114</v>
      </c>
      <c r="AP121" s="8">
        <f>+MINVU_Mes_Corriente!AP121*SALUD_Mes_Constante!$AP$1</f>
        <v>2108481.538482348</v>
      </c>
      <c r="AQ121" s="8">
        <f>+MINVU_Mes_Corriente!AQ121*SALUD_Mes_Constante!$AP$1</f>
        <v>2108481.538482348</v>
      </c>
      <c r="AR121" s="8">
        <f>+MINVU_Mes_Corriente!AR121*SALUD_Mes_Constante!$AP$1</f>
        <v>2108481.538482348</v>
      </c>
      <c r="AS121" s="8">
        <f>+MINVU_Mes_Corriente!AS121*SALUD_Mes_Constante!$AP$1</f>
        <v>2108481.538482348</v>
      </c>
      <c r="AT121" s="8">
        <f>+MINVU_Mes_Corriente!AT121*SALUD_Mes_Constante!$AP$1</f>
        <v>2108481.538482348</v>
      </c>
      <c r="AU121" s="8">
        <f>+MINVU_Mes_Corriente!AU121*SALUD_Mes_Constante!$AP$1</f>
        <v>2108481.538482348</v>
      </c>
      <c r="AV121" s="8">
        <f>+MINVU_Mes_Corriente!AV121*SALUD_Mes_Constante!$AP$1</f>
        <v>2108481.538482348</v>
      </c>
      <c r="AW121" s="8">
        <f>+MINVU_Mes_Corriente!AW121*SALUD_Mes_Constante!$AP$1</f>
        <v>2108481.538482348</v>
      </c>
      <c r="AX121" s="8">
        <f>+MINVU_Mes_Corriente!AX121*SALUD_Mes_Constante!$AP$1</f>
        <v>2108481.538482348</v>
      </c>
      <c r="AY121" s="8">
        <f>+MINVU_Mes_Corriente!AY121*SALUD_Mes_Constante!$AP$1</f>
        <v>2108481.538482348</v>
      </c>
      <c r="AZ121" s="8">
        <f>+MINVU_Mes_Corriente!AZ121*SALUD_Mes_Constante!$AP$1</f>
        <v>2108481.538482348</v>
      </c>
      <c r="BA121" s="8">
        <f>+MINVU_Mes_Corriente!BA121*SALUD_Mes_Constante!$AP$1</f>
        <v>2108481.538482348</v>
      </c>
      <c r="BB121" s="9">
        <f t="shared" si="60"/>
        <v>2108481.538482348</v>
      </c>
      <c r="BC121" s="8">
        <f>+MINVU_Mes_Corriente!BC121*SALUD_Mes_Constante!$BC$1</f>
        <v>1733742.8094421737</v>
      </c>
      <c r="BD121" s="8">
        <f>+MINVU_Mes_Corriente!BD121*SALUD_Mes_Constante!$BC$1</f>
        <v>1733742.8094421737</v>
      </c>
      <c r="BE121" s="8">
        <f>+MINVU_Mes_Corriente!BE121*SALUD_Mes_Constante!$BC$1</f>
        <v>1733742.8094421737</v>
      </c>
      <c r="BF121" s="8">
        <f>+MINVU_Mes_Corriente!BF121*SALUD_Mes_Constante!$BC$1</f>
        <v>1733742.8094421737</v>
      </c>
      <c r="BG121" s="8">
        <f>+MINVU_Mes_Corriente!BG121*SALUD_Mes_Constante!$BC$1</f>
        <v>1733742.8094421737</v>
      </c>
      <c r="BH121" s="8">
        <f>+MINVU_Mes_Corriente!BH121*SALUD_Mes_Constante!$BC$1</f>
        <v>1733742.8094421737</v>
      </c>
      <c r="BI121" s="8">
        <f>+MINVU_Mes_Corriente!BI121*SALUD_Mes_Constante!$BC$1</f>
        <v>1733742.8094421737</v>
      </c>
      <c r="BJ121" s="8">
        <f>+MINVU_Mes_Corriente!BJ121*SALUD_Mes_Constante!$BC$1</f>
        <v>1733742.8094421737</v>
      </c>
      <c r="BK121" s="8">
        <f>+MINVU_Mes_Corriente!BK121*SALUD_Mes_Constante!$BC$1</f>
        <v>1733742.8094421737</v>
      </c>
      <c r="BL121" s="8">
        <f>+MINVU_Mes_Corriente!BL121*SALUD_Mes_Constante!$BC$1</f>
        <v>1733742.8094421737</v>
      </c>
      <c r="BM121" s="8">
        <f>+MINVU_Mes_Corriente!BM121*SALUD_Mes_Constante!$BC$1</f>
        <v>1733742.8094421737</v>
      </c>
      <c r="BN121" s="8">
        <f>+MINVU_Mes_Corriente!BN121*SALUD_Mes_Constante!$BC$1</f>
        <v>1733742.8094421737</v>
      </c>
      <c r="BO121" s="9">
        <f t="shared" si="61"/>
        <v>1733742.8094421737</v>
      </c>
      <c r="BP121" s="8">
        <f>+MINVU_Mes_Corriente!BP121*SALUD_Mes_Constante!$BP$1</f>
        <v>60365012.632778496</v>
      </c>
      <c r="BQ121" s="8">
        <f>+MINVU_Mes_Corriente!BQ121*SALUD_Mes_Constante!$BP$1</f>
        <v>60365012.632778496</v>
      </c>
      <c r="BR121" s="8">
        <f>+MINVU_Mes_Corriente!BR121*SALUD_Mes_Constante!$BP$1</f>
        <v>60365012.632778496</v>
      </c>
      <c r="BS121" s="8">
        <f>+MINVU_Mes_Corriente!BS121*SALUD_Mes_Constante!$BP$1</f>
        <v>60365012.632778496</v>
      </c>
      <c r="BT121" s="8">
        <f>+MINVU_Mes_Corriente!BT121*SALUD_Mes_Constante!$BP$1</f>
        <v>60365012.632778496</v>
      </c>
      <c r="BU121" s="8">
        <f>+MINVU_Mes_Corriente!BU121*SALUD_Mes_Constante!$BP$1</f>
        <v>60365012.632778496</v>
      </c>
      <c r="BV121" s="8">
        <f>+MINVU_Mes_Corriente!BV121*SALUD_Mes_Constante!$BP$1</f>
        <v>60365012.632778496</v>
      </c>
      <c r="BW121" s="8">
        <f>+MINVU_Mes_Corriente!BW121*SALUD_Mes_Constante!$BP$1</f>
        <v>60365012.632778496</v>
      </c>
      <c r="BX121" s="8">
        <f>+MINVU_Mes_Corriente!BX121*SALUD_Mes_Constante!$BP$1</f>
        <v>60365012.632778496</v>
      </c>
      <c r="BY121" s="8">
        <f>+MINVU_Mes_Corriente!BY121*SALUD_Mes_Constante!$BP$1</f>
        <v>60365012.632778496</v>
      </c>
      <c r="BZ121" s="8">
        <f>+MINVU_Mes_Corriente!BZ121*SALUD_Mes_Constante!$BP$1</f>
        <v>60365012.632778496</v>
      </c>
      <c r="CA121" s="8">
        <f>+MINVU_Mes_Corriente!CA121*SALUD_Mes_Constante!$BP$1</f>
        <v>60365012.632778496</v>
      </c>
      <c r="CB121" s="9">
        <f t="shared" si="62"/>
        <v>60365012.632778496</v>
      </c>
      <c r="CC121" s="8">
        <f>+MINVU_Mes_Corriente!CC121*SALUD_Mes_Constante!$CC$1</f>
        <v>79206474.105184644</v>
      </c>
      <c r="CD121" s="8">
        <f>+MINVU_Mes_Corriente!CD121*SALUD_Mes_Constante!$CC$1</f>
        <v>79206474.105184644</v>
      </c>
      <c r="CE121" s="8">
        <f>+MINVU_Mes_Corriente!CE121*SALUD_Mes_Constante!$CC$1</f>
        <v>79206474.105184644</v>
      </c>
      <c r="CF121" s="8">
        <f>+MINVU_Mes_Corriente!CF121*SALUD_Mes_Constante!$CC$1</f>
        <v>79206474.105184644</v>
      </c>
      <c r="CG121" s="8">
        <f>+MINVU_Mes_Corriente!CG121*SALUD_Mes_Constante!$CC$1</f>
        <v>79206474.105184644</v>
      </c>
      <c r="CH121" s="8">
        <f>+MINVU_Mes_Corriente!CH121*SALUD_Mes_Constante!$CC$1</f>
        <v>79206474.105184644</v>
      </c>
      <c r="CI121" s="8">
        <f>+MINVU_Mes_Corriente!CI121*SALUD_Mes_Constante!$CC$1</f>
        <v>79206474.105184644</v>
      </c>
      <c r="CJ121" s="8">
        <f>+MINVU_Mes_Corriente!CJ121*SALUD_Mes_Constante!$CC$1</f>
        <v>79206474.105184644</v>
      </c>
      <c r="CK121" s="8">
        <f>+MINVU_Mes_Corriente!CK121*SALUD_Mes_Constante!$CC$1</f>
        <v>79206474.105184644</v>
      </c>
      <c r="CL121" s="8">
        <f>+MINVU_Mes_Corriente!CL121*SALUD_Mes_Constante!$CC$1</f>
        <v>79206474.105184644</v>
      </c>
      <c r="CM121" s="8">
        <f>+MINVU_Mes_Corriente!CM121*SALUD_Mes_Constante!$CC$1</f>
        <v>79206474.105184644</v>
      </c>
      <c r="CN121" s="8">
        <f>+MINVU_Mes_Corriente!CN121*SALUD_Mes_Constante!$CC$1</f>
        <v>79206474.105184644</v>
      </c>
      <c r="CO121" s="9">
        <f t="shared" si="63"/>
        <v>79206474.105184644</v>
      </c>
      <c r="CP121" s="8">
        <f>+MINVU_Mes_Corriente!CP121*SALUD_Mes_Constante!$CP$1</f>
        <v>53671263.780278414</v>
      </c>
      <c r="CQ121" s="8">
        <f>+MINVU_Mes_Corriente!CQ121*SALUD_Mes_Constante!$CP$1</f>
        <v>53671263.780278414</v>
      </c>
      <c r="CR121" s="8">
        <f>+MINVU_Mes_Corriente!CR121*SALUD_Mes_Constante!$CP$1</f>
        <v>53671263.780278414</v>
      </c>
      <c r="CS121" s="8">
        <f>+MINVU_Mes_Corriente!CS121*SALUD_Mes_Constante!$CP$1</f>
        <v>53671263.780278414</v>
      </c>
      <c r="CT121" s="8">
        <f>+MINVU_Mes_Corriente!CT121*SALUD_Mes_Constante!$CP$1</f>
        <v>53671263.780278414</v>
      </c>
      <c r="CU121" s="8">
        <f>+MINVU_Mes_Corriente!CU121*SALUD_Mes_Constante!$CP$1</f>
        <v>53671263.780278414</v>
      </c>
      <c r="CV121" s="8">
        <f>+MINVU_Mes_Corriente!CV121*SALUD_Mes_Constante!$CP$1</f>
        <v>53671263.780278414</v>
      </c>
      <c r="CW121" s="8">
        <f>+MINVU_Mes_Corriente!CW121*SALUD_Mes_Constante!$CP$1</f>
        <v>53671263.780278414</v>
      </c>
      <c r="CX121" s="8">
        <f>+MINVU_Mes_Corriente!CX121*SALUD_Mes_Constante!$CP$1</f>
        <v>53671263.780278414</v>
      </c>
      <c r="CY121" s="8">
        <f>+MINVU_Mes_Corriente!CY121*SALUD_Mes_Constante!$CP$1</f>
        <v>53671263.780278414</v>
      </c>
      <c r="CZ121" s="8">
        <f>+MINVU_Mes_Corriente!CZ121*SALUD_Mes_Constante!$CP$1</f>
        <v>53671263.780278414</v>
      </c>
      <c r="DA121" s="8">
        <f>+MINVU_Mes_Corriente!DA121*SALUD_Mes_Constante!$CP$1</f>
        <v>53671263.780278414</v>
      </c>
      <c r="DB121" s="9">
        <f t="shared" si="64"/>
        <v>53671263.780278414</v>
      </c>
      <c r="DC121" s="8">
        <f>+MINVU_Mes_Corriente!DC121*SALUD_Mes_Constante!$DC$1</f>
        <v>73529348.813290849</v>
      </c>
      <c r="DD121" s="8">
        <f>+MINVU_Mes_Corriente!DD121*SALUD_Mes_Constante!$DC$1</f>
        <v>73529348.813290849</v>
      </c>
      <c r="DE121" s="8">
        <f>+MINVU_Mes_Corriente!DE121*SALUD_Mes_Constante!$DC$1</f>
        <v>73529348.813290849</v>
      </c>
      <c r="DF121" s="8">
        <f>+MINVU_Mes_Corriente!DF121*SALUD_Mes_Constante!$DC$1</f>
        <v>73529348.813290849</v>
      </c>
      <c r="DG121" s="8">
        <f>+MINVU_Mes_Corriente!DG121*SALUD_Mes_Constante!$DC$1</f>
        <v>73529348.813290849</v>
      </c>
      <c r="DH121" s="8">
        <f>+MINVU_Mes_Corriente!DH121*SALUD_Mes_Constante!$DC$1</f>
        <v>73529348.813290849</v>
      </c>
      <c r="DI121" s="8">
        <f>+MINVU_Mes_Corriente!DI121*SALUD_Mes_Constante!$DC$1</f>
        <v>73529348.813290849</v>
      </c>
      <c r="DJ121" s="8">
        <f>+MINVU_Mes_Corriente!DJ121*SALUD_Mes_Constante!$DC$1</f>
        <v>73529348.813290849</v>
      </c>
      <c r="DK121" s="8">
        <f>+MINVU_Mes_Corriente!DK121*SALUD_Mes_Constante!$DC$1</f>
        <v>73529348.813290849</v>
      </c>
      <c r="DL121" s="8">
        <f>+MINVU_Mes_Corriente!DL121*SALUD_Mes_Constante!$DC$1</f>
        <v>73529348.813290849</v>
      </c>
      <c r="DM121" s="8">
        <f>+MINVU_Mes_Corriente!DM121*SALUD_Mes_Constante!$DC$1</f>
        <v>73529348.813290849</v>
      </c>
      <c r="DN121" s="8">
        <f>+MINVU_Mes_Corriente!DN121*SALUD_Mes_Constante!$DC$1</f>
        <v>73529348.813290849</v>
      </c>
      <c r="DO121" s="9">
        <f t="shared" si="65"/>
        <v>73529348.813290849</v>
      </c>
      <c r="DP121" s="8">
        <f>+MINVU_Mes_Corriente!DP121*SALUD_Mes_Constante!$DP$1</f>
        <v>62763845.777315922</v>
      </c>
      <c r="DQ121" s="8">
        <f>+MINVU_Mes_Corriente!DQ121*SALUD_Mes_Constante!$DP$1</f>
        <v>62763845.777315922</v>
      </c>
      <c r="DR121" s="8">
        <f>+MINVU_Mes_Corriente!DR121*SALUD_Mes_Constante!$DP$1</f>
        <v>62763845.777315922</v>
      </c>
      <c r="DS121" s="8">
        <f>+MINVU_Mes_Corriente!DS121*SALUD_Mes_Constante!$DP$1</f>
        <v>62763845.777315922</v>
      </c>
      <c r="DT121" s="8">
        <f>+MINVU_Mes_Corriente!DT121*SALUD_Mes_Constante!$DP$1</f>
        <v>62763845.777315922</v>
      </c>
      <c r="DU121" s="8">
        <f>+MINVU_Mes_Corriente!DU121*SALUD_Mes_Constante!$DP$1</f>
        <v>62763845.777315922</v>
      </c>
      <c r="DV121" s="8">
        <f>+MINVU_Mes_Corriente!DV121*SALUD_Mes_Constante!$DP$1</f>
        <v>62763845.777315922</v>
      </c>
      <c r="DW121" s="8">
        <f>+MINVU_Mes_Corriente!DW121*SALUD_Mes_Constante!$DP$1</f>
        <v>62763845.777315922</v>
      </c>
      <c r="DX121" s="8">
        <f>+MINVU_Mes_Corriente!DX121*SALUD_Mes_Constante!$DP$1</f>
        <v>62763845.777315922</v>
      </c>
      <c r="DY121" s="8">
        <f>+MINVU_Mes_Corriente!DY121*SALUD_Mes_Constante!$DP$1</f>
        <v>62763845.777315922</v>
      </c>
      <c r="DZ121" s="8">
        <f>+MINVU_Mes_Corriente!DZ121*SALUD_Mes_Constante!$DP$1</f>
        <v>62763845.777315922</v>
      </c>
      <c r="EA121" s="8">
        <f>+MINVU_Mes_Corriente!EA121*SALUD_Mes_Constante!$DP$1</f>
        <v>62763845.777315922</v>
      </c>
      <c r="EB121" s="9">
        <f t="shared" si="66"/>
        <v>62763845.777315922</v>
      </c>
      <c r="EC121" s="8">
        <f>+MINVU_Mes_Corriente!EC121*SALUD_Mes_Constante!$EC$1</f>
        <v>42141182.697216421</v>
      </c>
      <c r="ED121" s="8">
        <f>+MINVU_Mes_Corriente!ED121*SALUD_Mes_Constante!$EC$1</f>
        <v>42141182.697216421</v>
      </c>
      <c r="EE121" s="8">
        <f>+MINVU_Mes_Corriente!EE121*SALUD_Mes_Constante!$EC$1</f>
        <v>42141182.697216421</v>
      </c>
      <c r="EF121" s="8">
        <f>+MINVU_Mes_Corriente!EF121*SALUD_Mes_Constante!$EC$1</f>
        <v>42141182.697216421</v>
      </c>
      <c r="EG121" s="8">
        <f>+MINVU_Mes_Corriente!EG121*SALUD_Mes_Constante!$EC$1</f>
        <v>42141182.697216421</v>
      </c>
      <c r="EH121" s="8">
        <f>+MINVU_Mes_Corriente!EH121*SALUD_Mes_Constante!$EC$1</f>
        <v>42141182.697216421</v>
      </c>
      <c r="EI121" s="8">
        <f>+MINVU_Mes_Corriente!EI121*SALUD_Mes_Constante!$EC$1</f>
        <v>42141182.697216421</v>
      </c>
      <c r="EJ121" s="8">
        <f>+MINVU_Mes_Corriente!EJ121*SALUD_Mes_Constante!$EC$1</f>
        <v>42141182.697216421</v>
      </c>
      <c r="EK121" s="8">
        <f>+MINVU_Mes_Corriente!EK121*SALUD_Mes_Constante!$EC$1</f>
        <v>42141182.697216421</v>
      </c>
      <c r="EL121" s="8">
        <f>+MINVU_Mes_Corriente!EL121*SALUD_Mes_Constante!$EC$1</f>
        <v>42141182.697216421</v>
      </c>
      <c r="EM121" s="8">
        <f>+MINVU_Mes_Corriente!EM121*SALUD_Mes_Constante!$EC$1</f>
        <v>42141182.697216421</v>
      </c>
      <c r="EN121" s="8">
        <f>+MINVU_Mes_Corriente!EN121*SALUD_Mes_Constante!$EC$1</f>
        <v>42141182.697216421</v>
      </c>
      <c r="EO121" s="9">
        <f t="shared" si="67"/>
        <v>42141182.697216421</v>
      </c>
      <c r="EP121" s="8">
        <f>+MINVU_Mes_Corriente!EP121*SALUD_Mes_Constante!$EP$1</f>
        <v>51826213</v>
      </c>
      <c r="EQ121" s="8">
        <f>+MINVU_Mes_Corriente!EQ121*SALUD_Mes_Constante!$EP$1</f>
        <v>51826213</v>
      </c>
      <c r="ER121" s="8">
        <f>+MINVU_Mes_Corriente!ER121*SALUD_Mes_Constante!$EP$1</f>
        <v>51826213</v>
      </c>
      <c r="ES121" s="8">
        <f>+MINVU_Mes_Corriente!ES121*SALUD_Mes_Constante!$EP$1</f>
        <v>51826213</v>
      </c>
      <c r="ET121" s="8">
        <f>+MINVU_Mes_Corriente!ET121*SALUD_Mes_Constante!$EP$1</f>
        <v>51826213</v>
      </c>
      <c r="EU121" s="8">
        <f>+MINVU_Mes_Corriente!EU121*SALUD_Mes_Constante!$EP$1</f>
        <v>51826213</v>
      </c>
      <c r="EV121" s="8">
        <f>+MINVU_Mes_Corriente!EV121*SALUD_Mes_Constante!$EP$1</f>
        <v>51826213</v>
      </c>
      <c r="EW121" s="8">
        <f>+MINVU_Mes_Corriente!EW121*SALUD_Mes_Constante!$EP$1</f>
        <v>51826213</v>
      </c>
      <c r="EX121" s="8">
        <f>+MINVU_Mes_Corriente!EX121*SALUD_Mes_Constante!$EP$1</f>
        <v>51826213</v>
      </c>
      <c r="EY121" s="8">
        <f>+MINVU_Mes_Corriente!EY121*SALUD_Mes_Constante!$EP$1</f>
        <v>51826213</v>
      </c>
      <c r="EZ121" s="8">
        <f>+MINVU_Mes_Corriente!EZ121*SALUD_Mes_Constante!$EP$1</f>
        <v>51826213</v>
      </c>
      <c r="FA121" s="8">
        <f>+MINVU_Mes_Corriente!FA121*SALUD_Mes_Constante!$EP$1</f>
        <v>51826213</v>
      </c>
      <c r="FB121" s="9">
        <f t="shared" si="68"/>
        <v>51826213</v>
      </c>
      <c r="FC121" s="8">
        <f>+MINVU_Mes_Corriente!FC121*SALUD_Mes_Constante!$FC$1</f>
        <v>51314706</v>
      </c>
      <c r="FD121" s="8">
        <f>+MINVU_Mes_Corriente!FD121*SALUD_Mes_Constante!$FC$1</f>
        <v>51314706</v>
      </c>
      <c r="FE121" s="8">
        <f>+MINVU_Mes_Corriente!FE121*SALUD_Mes_Constante!$FC$1</f>
        <v>51314706</v>
      </c>
      <c r="FF121" s="8">
        <f>+MINVU_Mes_Corriente!FF121*SALUD_Mes_Constante!$FC$1</f>
        <v>51314706</v>
      </c>
      <c r="FG121" s="8">
        <f>+MINVU_Mes_Corriente!FG121*SALUD_Mes_Constante!$FC$1</f>
        <v>51314706</v>
      </c>
      <c r="FH121" s="8">
        <f>+MINVU_Mes_Corriente!FH121*SALUD_Mes_Constante!$FC$1</f>
        <v>51314706</v>
      </c>
      <c r="FI121" s="8">
        <f>+MINVU_Mes_Corriente!FI121*SALUD_Mes_Constante!$FC$1</f>
        <v>51314706</v>
      </c>
      <c r="FJ121" s="8"/>
      <c r="FK121" s="8"/>
      <c r="FL121" s="8"/>
      <c r="FM121" s="8"/>
      <c r="FN121" s="8"/>
      <c r="FO121" s="9">
        <f t="shared" si="69"/>
        <v>51314706</v>
      </c>
    </row>
    <row r="122" spans="2:171" ht="14.25" customHeight="1" x14ac:dyDescent="0.3">
      <c r="B122" s="7" t="s">
        <v>46</v>
      </c>
      <c r="C122" s="8">
        <f>+MINVU_Mes_Corriente!C122*SALUD_Mes_Constante!$C$1</f>
        <v>246994.35829749375</v>
      </c>
      <c r="D122" s="8">
        <f>+MINVU_Mes_Corriente!D122*SALUD_Mes_Constante!$C$1</f>
        <v>246994.35829749375</v>
      </c>
      <c r="E122" s="8">
        <f>+MINVU_Mes_Corriente!E122*SALUD_Mes_Constante!$C$1</f>
        <v>246994.35829749375</v>
      </c>
      <c r="F122" s="8">
        <f>+MINVU_Mes_Corriente!F122*SALUD_Mes_Constante!$C$1</f>
        <v>246994.35829749375</v>
      </c>
      <c r="G122" s="8">
        <f>+MINVU_Mes_Corriente!G122*SALUD_Mes_Constante!$C$1</f>
        <v>246994.35829749375</v>
      </c>
      <c r="H122" s="8">
        <f>+MINVU_Mes_Corriente!H122*SALUD_Mes_Constante!$C$1</f>
        <v>246994.35829749375</v>
      </c>
      <c r="I122" s="8">
        <f>+MINVU_Mes_Corriente!I122*SALUD_Mes_Constante!$C$1</f>
        <v>246994.35829749375</v>
      </c>
      <c r="J122" s="8">
        <f>+MINVU_Mes_Corriente!J122*SALUD_Mes_Constante!$C$1</f>
        <v>246994.35829749375</v>
      </c>
      <c r="K122" s="8">
        <f>+MINVU_Mes_Corriente!K122*SALUD_Mes_Constante!$C$1</f>
        <v>246994.35829749375</v>
      </c>
      <c r="L122" s="8">
        <f>+MINVU_Mes_Corriente!L122*SALUD_Mes_Constante!$C$1</f>
        <v>246994.35829749375</v>
      </c>
      <c r="M122" s="8">
        <f>+MINVU_Mes_Corriente!M122*SALUD_Mes_Constante!$C$1</f>
        <v>246994.35829749375</v>
      </c>
      <c r="N122" s="8">
        <f>+MINVU_Mes_Corriente!N122*SALUD_Mes_Constante!$C$1</f>
        <v>246994.35829749375</v>
      </c>
      <c r="O122" s="9">
        <f t="shared" si="57"/>
        <v>246994.35829749375</v>
      </c>
      <c r="P122" s="8">
        <f>+MINVU_Mes_Corriente!P122*SALUD_Mes_Constante!$P$1</f>
        <v>243706.14519107819</v>
      </c>
      <c r="Q122" s="8">
        <f>+MINVU_Mes_Corriente!Q122*SALUD_Mes_Constante!$P$1</f>
        <v>243706.14519107819</v>
      </c>
      <c r="R122" s="8">
        <f>+MINVU_Mes_Corriente!R122*SALUD_Mes_Constante!$P$1</f>
        <v>243706.14519107819</v>
      </c>
      <c r="S122" s="8">
        <f>+MINVU_Mes_Corriente!S122*SALUD_Mes_Constante!$P$1</f>
        <v>243706.14519107819</v>
      </c>
      <c r="T122" s="8">
        <f>+MINVU_Mes_Corriente!T122*SALUD_Mes_Constante!$P$1</f>
        <v>243706.14519107819</v>
      </c>
      <c r="U122" s="8">
        <f>+MINVU_Mes_Corriente!U122*SALUD_Mes_Constante!$P$1</f>
        <v>243706.14519107819</v>
      </c>
      <c r="V122" s="8">
        <f>+MINVU_Mes_Corriente!V122*SALUD_Mes_Constante!$P$1</f>
        <v>243706.14519107819</v>
      </c>
      <c r="W122" s="8">
        <f>+MINVU_Mes_Corriente!W122*SALUD_Mes_Constante!$P$1</f>
        <v>243706.14519107819</v>
      </c>
      <c r="X122" s="8">
        <f>+MINVU_Mes_Corriente!X122*SALUD_Mes_Constante!$P$1</f>
        <v>243706.14519107819</v>
      </c>
      <c r="Y122" s="8">
        <f>+MINVU_Mes_Corriente!Y122*SALUD_Mes_Constante!$P$1</f>
        <v>243706.14519107819</v>
      </c>
      <c r="Z122" s="8">
        <f>+MINVU_Mes_Corriente!Z122*SALUD_Mes_Constante!$P$1</f>
        <v>243706.14519107819</v>
      </c>
      <c r="AA122" s="8">
        <f>+MINVU_Mes_Corriente!AA122*SALUD_Mes_Constante!$P$1</f>
        <v>243706.14519107819</v>
      </c>
      <c r="AB122" s="9">
        <f t="shared" si="58"/>
        <v>243706.14519107819</v>
      </c>
      <c r="AC122" s="8">
        <f>+MINVU_Mes_Corriente!AC122*SALUD_Mes_Constante!$AC$1</f>
        <v>246317.89625121039</v>
      </c>
      <c r="AD122" s="8">
        <f>+MINVU_Mes_Corriente!AD122*SALUD_Mes_Constante!$AC$1</f>
        <v>246317.89625121039</v>
      </c>
      <c r="AE122" s="8">
        <f>+MINVU_Mes_Corriente!AE122*SALUD_Mes_Constante!$AC$1</f>
        <v>246317.89625121039</v>
      </c>
      <c r="AF122" s="8">
        <f>+MINVU_Mes_Corriente!AF122*SALUD_Mes_Constante!$AC$1</f>
        <v>246317.89625121039</v>
      </c>
      <c r="AG122" s="8">
        <f>+MINVU_Mes_Corriente!AG122*SALUD_Mes_Constante!$AC$1</f>
        <v>246317.89625121039</v>
      </c>
      <c r="AH122" s="8">
        <f>+MINVU_Mes_Corriente!AH122*SALUD_Mes_Constante!$AC$1</f>
        <v>246317.89625121039</v>
      </c>
      <c r="AI122" s="8">
        <f>+MINVU_Mes_Corriente!AI122*SALUD_Mes_Constante!$AC$1</f>
        <v>246317.89625121039</v>
      </c>
      <c r="AJ122" s="8">
        <f>+MINVU_Mes_Corriente!AJ122*SALUD_Mes_Constante!$AC$1</f>
        <v>246317.89625121039</v>
      </c>
      <c r="AK122" s="8">
        <f>+MINVU_Mes_Corriente!AK122*SALUD_Mes_Constante!$AC$1</f>
        <v>246317.89625121039</v>
      </c>
      <c r="AL122" s="8">
        <f>+MINVU_Mes_Corriente!AL122*SALUD_Mes_Constante!$AC$1</f>
        <v>246317.89625121039</v>
      </c>
      <c r="AM122" s="8">
        <f>+MINVU_Mes_Corriente!AM122*SALUD_Mes_Constante!$AC$1</f>
        <v>246317.89625121039</v>
      </c>
      <c r="AN122" s="8">
        <f>+MINVU_Mes_Corriente!AN122*SALUD_Mes_Constante!$AC$1</f>
        <v>246317.89625121039</v>
      </c>
      <c r="AO122" s="9">
        <f t="shared" si="59"/>
        <v>246317.89625121039</v>
      </c>
      <c r="AP122" s="8">
        <f>+MINVU_Mes_Corriente!AP122*SALUD_Mes_Constante!$AP$1</f>
        <v>248079.16759096441</v>
      </c>
      <c r="AQ122" s="8">
        <f>+MINVU_Mes_Corriente!AQ122*SALUD_Mes_Constante!$AP$1</f>
        <v>248079.16759096441</v>
      </c>
      <c r="AR122" s="8">
        <f>+MINVU_Mes_Corriente!AR122*SALUD_Mes_Constante!$AP$1</f>
        <v>248079.16759096441</v>
      </c>
      <c r="AS122" s="8">
        <f>+MINVU_Mes_Corriente!AS122*SALUD_Mes_Constante!$AP$1</f>
        <v>248079.16759096441</v>
      </c>
      <c r="AT122" s="8">
        <f>+MINVU_Mes_Corriente!AT122*SALUD_Mes_Constante!$AP$1</f>
        <v>248079.16759096441</v>
      </c>
      <c r="AU122" s="8">
        <f>+MINVU_Mes_Corriente!AU122*SALUD_Mes_Constante!$AP$1</f>
        <v>248079.16759096441</v>
      </c>
      <c r="AV122" s="8">
        <f>+MINVU_Mes_Corriente!AV122*SALUD_Mes_Constante!$AP$1</f>
        <v>248079.16759096441</v>
      </c>
      <c r="AW122" s="8">
        <f>+MINVU_Mes_Corriente!AW122*SALUD_Mes_Constante!$AP$1</f>
        <v>248079.16759096441</v>
      </c>
      <c r="AX122" s="8">
        <f>+MINVU_Mes_Corriente!AX122*SALUD_Mes_Constante!$AP$1</f>
        <v>248079.16759096441</v>
      </c>
      <c r="AY122" s="8">
        <f>+MINVU_Mes_Corriente!AY122*SALUD_Mes_Constante!$AP$1</f>
        <v>248079.16759096441</v>
      </c>
      <c r="AZ122" s="8">
        <f>+MINVU_Mes_Corriente!AZ122*SALUD_Mes_Constante!$AP$1</f>
        <v>248079.16759096441</v>
      </c>
      <c r="BA122" s="8">
        <f>+MINVU_Mes_Corriente!BA122*SALUD_Mes_Constante!$AP$1</f>
        <v>248079.16759096441</v>
      </c>
      <c r="BB122" s="9">
        <f t="shared" si="60"/>
        <v>248079.16759096441</v>
      </c>
      <c r="BC122" s="8">
        <f>+MINVU_Mes_Corriente!BC122*SALUD_Mes_Constante!$BC$1</f>
        <v>248151.17367796393</v>
      </c>
      <c r="BD122" s="8">
        <f>+MINVU_Mes_Corriente!BD122*SALUD_Mes_Constante!$BC$1</f>
        <v>248151.17367796393</v>
      </c>
      <c r="BE122" s="8">
        <f>+MINVU_Mes_Corriente!BE122*SALUD_Mes_Constante!$BC$1</f>
        <v>248151.17367796393</v>
      </c>
      <c r="BF122" s="8">
        <f>+MINVU_Mes_Corriente!BF122*SALUD_Mes_Constante!$BC$1</f>
        <v>248151.17367796393</v>
      </c>
      <c r="BG122" s="8">
        <f>+MINVU_Mes_Corriente!BG122*SALUD_Mes_Constante!$BC$1</f>
        <v>248151.17367796393</v>
      </c>
      <c r="BH122" s="8">
        <f>+MINVU_Mes_Corriente!BH122*SALUD_Mes_Constante!$BC$1</f>
        <v>248151.17367796393</v>
      </c>
      <c r="BI122" s="8">
        <f>+MINVU_Mes_Corriente!BI122*SALUD_Mes_Constante!$BC$1</f>
        <v>248151.17367796393</v>
      </c>
      <c r="BJ122" s="8">
        <f>+MINVU_Mes_Corriente!BJ122*SALUD_Mes_Constante!$BC$1</f>
        <v>248151.17367796393</v>
      </c>
      <c r="BK122" s="8">
        <f>+MINVU_Mes_Corriente!BK122*SALUD_Mes_Constante!$BC$1</f>
        <v>248151.17367796393</v>
      </c>
      <c r="BL122" s="8">
        <f>+MINVU_Mes_Corriente!BL122*SALUD_Mes_Constante!$BC$1</f>
        <v>248151.17367796393</v>
      </c>
      <c r="BM122" s="8">
        <f>+MINVU_Mes_Corriente!BM122*SALUD_Mes_Constante!$BC$1</f>
        <v>248151.17367796393</v>
      </c>
      <c r="BN122" s="8">
        <f>+MINVU_Mes_Corriente!BN122*SALUD_Mes_Constante!$BC$1</f>
        <v>248151.17367796393</v>
      </c>
      <c r="BO122" s="9">
        <f t="shared" si="61"/>
        <v>248151.17367796393</v>
      </c>
      <c r="BP122" s="8">
        <f>+MINVU_Mes_Corriente!BP122*SALUD_Mes_Constante!$BP$1</f>
        <v>0</v>
      </c>
      <c r="BQ122" s="8">
        <f>+MINVU_Mes_Corriente!BQ122*SALUD_Mes_Constante!$BP$1</f>
        <v>0</v>
      </c>
      <c r="BR122" s="8">
        <f>+MINVU_Mes_Corriente!BR122*SALUD_Mes_Constante!$BP$1</f>
        <v>0</v>
      </c>
      <c r="BS122" s="8">
        <f>+MINVU_Mes_Corriente!BS122*SALUD_Mes_Constante!$BP$1</f>
        <v>0</v>
      </c>
      <c r="BT122" s="8">
        <f>+MINVU_Mes_Corriente!BT122*SALUD_Mes_Constante!$BP$1</f>
        <v>0</v>
      </c>
      <c r="BU122" s="8">
        <f>+MINVU_Mes_Corriente!BU122*SALUD_Mes_Constante!$BP$1</f>
        <v>0</v>
      </c>
      <c r="BV122" s="8">
        <f>+MINVU_Mes_Corriente!BV122*SALUD_Mes_Constante!$BP$1</f>
        <v>0</v>
      </c>
      <c r="BW122" s="8">
        <f>+MINVU_Mes_Corriente!BW122*SALUD_Mes_Constante!$BP$1</f>
        <v>0</v>
      </c>
      <c r="BX122" s="8">
        <f>+MINVU_Mes_Corriente!BX122*SALUD_Mes_Constante!$BP$1</f>
        <v>0</v>
      </c>
      <c r="BY122" s="8">
        <f>+MINVU_Mes_Corriente!BY122*SALUD_Mes_Constante!$BP$1</f>
        <v>0</v>
      </c>
      <c r="BZ122" s="8">
        <f>+MINVU_Mes_Corriente!BZ122*SALUD_Mes_Constante!$BP$1</f>
        <v>0</v>
      </c>
      <c r="CA122" s="8">
        <f>+MINVU_Mes_Corriente!CA122*SALUD_Mes_Constante!$BP$1</f>
        <v>0</v>
      </c>
      <c r="CB122" s="9">
        <f t="shared" si="62"/>
        <v>0</v>
      </c>
      <c r="CC122" s="8">
        <f>+MINVU_Mes_Corriente!CC122*SALUD_Mes_Constante!$CC$1</f>
        <v>45077.391271913468</v>
      </c>
      <c r="CD122" s="8">
        <f>+MINVU_Mes_Corriente!CD122*SALUD_Mes_Constante!$CC$1</f>
        <v>45077.391271913468</v>
      </c>
      <c r="CE122" s="8">
        <f>+MINVU_Mes_Corriente!CE122*SALUD_Mes_Constante!$CC$1</f>
        <v>45077.391271913468</v>
      </c>
      <c r="CF122" s="8">
        <f>+MINVU_Mes_Corriente!CF122*SALUD_Mes_Constante!$CC$1</f>
        <v>45077.391271913468</v>
      </c>
      <c r="CG122" s="8">
        <f>+MINVU_Mes_Corriente!CG122*SALUD_Mes_Constante!$CC$1</f>
        <v>45077.391271913468</v>
      </c>
      <c r="CH122" s="8">
        <f>+MINVU_Mes_Corriente!CH122*SALUD_Mes_Constante!$CC$1</f>
        <v>45077.391271913468</v>
      </c>
      <c r="CI122" s="8">
        <f>+MINVU_Mes_Corriente!CI122*SALUD_Mes_Constante!$CC$1</f>
        <v>45077.391271913468</v>
      </c>
      <c r="CJ122" s="8">
        <f>+MINVU_Mes_Corriente!CJ122*SALUD_Mes_Constante!$CC$1</f>
        <v>45077.391271913468</v>
      </c>
      <c r="CK122" s="8">
        <f>+MINVU_Mes_Corriente!CK122*SALUD_Mes_Constante!$CC$1</f>
        <v>45077.391271913468</v>
      </c>
      <c r="CL122" s="8">
        <f>+MINVU_Mes_Corriente!CL122*SALUD_Mes_Constante!$CC$1</f>
        <v>45077.391271913468</v>
      </c>
      <c r="CM122" s="8">
        <f>+MINVU_Mes_Corriente!CM122*SALUD_Mes_Constante!$CC$1</f>
        <v>45077.391271913468</v>
      </c>
      <c r="CN122" s="8">
        <f>+MINVU_Mes_Corriente!CN122*SALUD_Mes_Constante!$CC$1</f>
        <v>45077.391271913468</v>
      </c>
      <c r="CO122" s="9">
        <f t="shared" si="63"/>
        <v>45077.391271913468</v>
      </c>
      <c r="CP122" s="8">
        <f>+MINVU_Mes_Corriente!CP122*SALUD_Mes_Constante!$CP$1</f>
        <v>180827.83503480276</v>
      </c>
      <c r="CQ122" s="8">
        <f>+MINVU_Mes_Corriente!CQ122*SALUD_Mes_Constante!$CP$1</f>
        <v>180827.83503480276</v>
      </c>
      <c r="CR122" s="8">
        <f>+MINVU_Mes_Corriente!CR122*SALUD_Mes_Constante!$CP$1</f>
        <v>180827.83503480276</v>
      </c>
      <c r="CS122" s="8">
        <f>+MINVU_Mes_Corriente!CS122*SALUD_Mes_Constante!$CP$1</f>
        <v>180827.83503480276</v>
      </c>
      <c r="CT122" s="8">
        <f>+MINVU_Mes_Corriente!CT122*SALUD_Mes_Constante!$CP$1</f>
        <v>180827.83503480276</v>
      </c>
      <c r="CU122" s="8">
        <f>+MINVU_Mes_Corriente!CU122*SALUD_Mes_Constante!$CP$1</f>
        <v>180827.83503480276</v>
      </c>
      <c r="CV122" s="8">
        <f>+MINVU_Mes_Corriente!CV122*SALUD_Mes_Constante!$CP$1</f>
        <v>180827.83503480276</v>
      </c>
      <c r="CW122" s="8">
        <f>+MINVU_Mes_Corriente!CW122*SALUD_Mes_Constante!$CP$1</f>
        <v>180827.83503480276</v>
      </c>
      <c r="CX122" s="8">
        <f>+MINVU_Mes_Corriente!CX122*SALUD_Mes_Constante!$CP$1</f>
        <v>180827.83503480276</v>
      </c>
      <c r="CY122" s="8">
        <f>+MINVU_Mes_Corriente!CY122*SALUD_Mes_Constante!$CP$1</f>
        <v>180827.83503480276</v>
      </c>
      <c r="CZ122" s="8">
        <f>+MINVU_Mes_Corriente!CZ122*SALUD_Mes_Constante!$CP$1</f>
        <v>180827.83503480276</v>
      </c>
      <c r="DA122" s="8">
        <f>+MINVU_Mes_Corriente!DA122*SALUD_Mes_Constante!$CP$1</f>
        <v>180827.83503480276</v>
      </c>
      <c r="DB122" s="9">
        <f t="shared" si="64"/>
        <v>180827.83503480276</v>
      </c>
      <c r="DC122" s="8">
        <f>+MINVU_Mes_Corriente!DC122*SALUD_Mes_Constante!$DC$1</f>
        <v>217337.59572060499</v>
      </c>
      <c r="DD122" s="8">
        <f>+MINVU_Mes_Corriente!DD122*SALUD_Mes_Constante!$DC$1</f>
        <v>217337.59572060499</v>
      </c>
      <c r="DE122" s="8">
        <f>+MINVU_Mes_Corriente!DE122*SALUD_Mes_Constante!$DC$1</f>
        <v>217337.59572060499</v>
      </c>
      <c r="DF122" s="8">
        <f>+MINVU_Mes_Corriente!DF122*SALUD_Mes_Constante!$DC$1</f>
        <v>217337.59572060499</v>
      </c>
      <c r="DG122" s="8">
        <f>+MINVU_Mes_Corriente!DG122*SALUD_Mes_Constante!$DC$1</f>
        <v>217337.59572060499</v>
      </c>
      <c r="DH122" s="8">
        <f>+MINVU_Mes_Corriente!DH122*SALUD_Mes_Constante!$DC$1</f>
        <v>217337.59572060499</v>
      </c>
      <c r="DI122" s="8">
        <f>+MINVU_Mes_Corriente!DI122*SALUD_Mes_Constante!$DC$1</f>
        <v>217337.59572060499</v>
      </c>
      <c r="DJ122" s="8">
        <f>+MINVU_Mes_Corriente!DJ122*SALUD_Mes_Constante!$DC$1</f>
        <v>217337.59572060499</v>
      </c>
      <c r="DK122" s="8">
        <f>+MINVU_Mes_Corriente!DK122*SALUD_Mes_Constante!$DC$1</f>
        <v>217337.59572060499</v>
      </c>
      <c r="DL122" s="8">
        <f>+MINVU_Mes_Corriente!DL122*SALUD_Mes_Constante!$DC$1</f>
        <v>217337.59572060499</v>
      </c>
      <c r="DM122" s="8">
        <f>+MINVU_Mes_Corriente!DM122*SALUD_Mes_Constante!$DC$1</f>
        <v>217337.59572060499</v>
      </c>
      <c r="DN122" s="8">
        <f>+MINVU_Mes_Corriente!DN122*SALUD_Mes_Constante!$DC$1</f>
        <v>217337.59572060499</v>
      </c>
      <c r="DO122" s="9">
        <f t="shared" si="65"/>
        <v>217337.59572060499</v>
      </c>
      <c r="DP122" s="8">
        <f>+MINVU_Mes_Corriente!DP122*SALUD_Mes_Constante!$DP$1</f>
        <v>222272.2980997625</v>
      </c>
      <c r="DQ122" s="8">
        <f>+MINVU_Mes_Corriente!DQ122*SALUD_Mes_Constante!$DP$1</f>
        <v>222272.2980997625</v>
      </c>
      <c r="DR122" s="8">
        <f>+MINVU_Mes_Corriente!DR122*SALUD_Mes_Constante!$DP$1</f>
        <v>222272.2980997625</v>
      </c>
      <c r="DS122" s="8">
        <f>+MINVU_Mes_Corriente!DS122*SALUD_Mes_Constante!$DP$1</f>
        <v>222272.2980997625</v>
      </c>
      <c r="DT122" s="8">
        <f>+MINVU_Mes_Corriente!DT122*SALUD_Mes_Constante!$DP$1</f>
        <v>222272.2980997625</v>
      </c>
      <c r="DU122" s="8">
        <f>+MINVU_Mes_Corriente!DU122*SALUD_Mes_Constante!$DP$1</f>
        <v>222272.2980997625</v>
      </c>
      <c r="DV122" s="8">
        <f>+MINVU_Mes_Corriente!DV122*SALUD_Mes_Constante!$DP$1</f>
        <v>222272.2980997625</v>
      </c>
      <c r="DW122" s="8">
        <f>+MINVU_Mes_Corriente!DW122*SALUD_Mes_Constante!$DP$1</f>
        <v>222272.2980997625</v>
      </c>
      <c r="DX122" s="8">
        <f>+MINVU_Mes_Corriente!DX122*SALUD_Mes_Constante!$DP$1</f>
        <v>222272.2980997625</v>
      </c>
      <c r="DY122" s="8">
        <f>+MINVU_Mes_Corriente!DY122*SALUD_Mes_Constante!$DP$1</f>
        <v>222272.2980997625</v>
      </c>
      <c r="DZ122" s="8">
        <f>+MINVU_Mes_Corriente!DZ122*SALUD_Mes_Constante!$DP$1</f>
        <v>222272.2980997625</v>
      </c>
      <c r="EA122" s="8">
        <f>+MINVU_Mes_Corriente!EA122*SALUD_Mes_Constante!$DP$1</f>
        <v>222272.2980997625</v>
      </c>
      <c r="EB122" s="9">
        <f t="shared" si="66"/>
        <v>222272.2980997625</v>
      </c>
      <c r="EC122" s="8">
        <f>+MINVU_Mes_Corriente!EC122*SALUD_Mes_Constante!$EC$1</f>
        <v>194763.55330429837</v>
      </c>
      <c r="ED122" s="8">
        <f>+MINVU_Mes_Corriente!ED122*SALUD_Mes_Constante!$EC$1</f>
        <v>194763.55330429837</v>
      </c>
      <c r="EE122" s="8">
        <f>+MINVU_Mes_Corriente!EE122*SALUD_Mes_Constante!$EC$1</f>
        <v>194763.55330429837</v>
      </c>
      <c r="EF122" s="8">
        <f>+MINVU_Mes_Corriente!EF122*SALUD_Mes_Constante!$EC$1</f>
        <v>194763.55330429837</v>
      </c>
      <c r="EG122" s="8">
        <f>+MINVU_Mes_Corriente!EG122*SALUD_Mes_Constante!$EC$1</f>
        <v>194763.55330429837</v>
      </c>
      <c r="EH122" s="8">
        <f>+MINVU_Mes_Corriente!EH122*SALUD_Mes_Constante!$EC$1</f>
        <v>194763.55330429837</v>
      </c>
      <c r="EI122" s="8">
        <f>+MINVU_Mes_Corriente!EI122*SALUD_Mes_Constante!$EC$1</f>
        <v>194763.55330429837</v>
      </c>
      <c r="EJ122" s="8">
        <f>+MINVU_Mes_Corriente!EJ122*SALUD_Mes_Constante!$EC$1</f>
        <v>194763.55330429837</v>
      </c>
      <c r="EK122" s="8">
        <f>+MINVU_Mes_Corriente!EK122*SALUD_Mes_Constante!$EC$1</f>
        <v>194763.55330429837</v>
      </c>
      <c r="EL122" s="8">
        <f>+MINVU_Mes_Corriente!EL122*SALUD_Mes_Constante!$EC$1</f>
        <v>194763.55330429837</v>
      </c>
      <c r="EM122" s="8">
        <f>+MINVU_Mes_Corriente!EM122*SALUD_Mes_Constante!$EC$1</f>
        <v>194763.55330429837</v>
      </c>
      <c r="EN122" s="8">
        <f>+MINVU_Mes_Corriente!EN122*SALUD_Mes_Constante!$EC$1</f>
        <v>194763.55330429837</v>
      </c>
      <c r="EO122" s="9">
        <f t="shared" si="67"/>
        <v>194763.55330429837</v>
      </c>
      <c r="EP122" s="8">
        <f>+MINVU_Mes_Corriente!EP122*SALUD_Mes_Constante!$EP$1</f>
        <v>196182</v>
      </c>
      <c r="EQ122" s="8">
        <f>+MINVU_Mes_Corriente!EQ122*SALUD_Mes_Constante!$EP$1</f>
        <v>196182</v>
      </c>
      <c r="ER122" s="8">
        <f>+MINVU_Mes_Corriente!ER122*SALUD_Mes_Constante!$EP$1</f>
        <v>196182</v>
      </c>
      <c r="ES122" s="8">
        <f>+MINVU_Mes_Corriente!ES122*SALUD_Mes_Constante!$EP$1</f>
        <v>196182</v>
      </c>
      <c r="ET122" s="8">
        <f>+MINVU_Mes_Corriente!ET122*SALUD_Mes_Constante!$EP$1</f>
        <v>196182</v>
      </c>
      <c r="EU122" s="8">
        <f>+MINVU_Mes_Corriente!EU122*SALUD_Mes_Constante!$EP$1</f>
        <v>196182</v>
      </c>
      <c r="EV122" s="8">
        <f>+MINVU_Mes_Corriente!EV122*SALUD_Mes_Constante!$EP$1</f>
        <v>196182</v>
      </c>
      <c r="EW122" s="8">
        <f>+MINVU_Mes_Corriente!EW122*SALUD_Mes_Constante!$EP$1</f>
        <v>196182</v>
      </c>
      <c r="EX122" s="8">
        <f>+MINVU_Mes_Corriente!EX122*SALUD_Mes_Constante!$EP$1</f>
        <v>196182</v>
      </c>
      <c r="EY122" s="8">
        <f>+MINVU_Mes_Corriente!EY122*SALUD_Mes_Constante!$EP$1</f>
        <v>196182</v>
      </c>
      <c r="EZ122" s="8">
        <f>+MINVU_Mes_Corriente!EZ122*SALUD_Mes_Constante!$EP$1</f>
        <v>196182</v>
      </c>
      <c r="FA122" s="8">
        <f>+MINVU_Mes_Corriente!FA122*SALUD_Mes_Constante!$EP$1</f>
        <v>196182</v>
      </c>
      <c r="FB122" s="9">
        <f t="shared" si="68"/>
        <v>196182</v>
      </c>
      <c r="FC122" s="8">
        <f>+MINVU_Mes_Corriente!FC122*SALUD_Mes_Constante!$FC$1</f>
        <v>202264</v>
      </c>
      <c r="FD122" s="8">
        <f>+MINVU_Mes_Corriente!FD122*SALUD_Mes_Constante!$FC$1</f>
        <v>202264</v>
      </c>
      <c r="FE122" s="8">
        <f>+MINVU_Mes_Corriente!FE122*SALUD_Mes_Constante!$FC$1</f>
        <v>202264</v>
      </c>
      <c r="FF122" s="8">
        <f>+MINVU_Mes_Corriente!FF122*SALUD_Mes_Constante!$FC$1</f>
        <v>202264</v>
      </c>
      <c r="FG122" s="8">
        <f>+MINVU_Mes_Corriente!FG122*SALUD_Mes_Constante!$FC$1</f>
        <v>202264</v>
      </c>
      <c r="FH122" s="8">
        <f>+MINVU_Mes_Corriente!FH122*SALUD_Mes_Constante!$FC$1</f>
        <v>202264</v>
      </c>
      <c r="FI122" s="8">
        <f>+MINVU_Mes_Corriente!FI122*SALUD_Mes_Constante!$FC$1</f>
        <v>202264</v>
      </c>
      <c r="FJ122" s="8"/>
      <c r="FK122" s="8"/>
      <c r="FL122" s="8"/>
      <c r="FM122" s="8"/>
      <c r="FN122" s="8"/>
      <c r="FO122" s="9">
        <f t="shared" si="69"/>
        <v>202264</v>
      </c>
    </row>
    <row r="123" spans="2:171" ht="14.25" customHeight="1" x14ac:dyDescent="0.3">
      <c r="B123" s="7" t="s">
        <v>47</v>
      </c>
      <c r="C123" s="8">
        <f>+MINVU_Mes_Corriente!C123*SALUD_Mes_Constante!$C$1</f>
        <v>349338.71718819521</v>
      </c>
      <c r="D123" s="8">
        <f>+MINVU_Mes_Corriente!D123*SALUD_Mes_Constante!$C$1</f>
        <v>349338.71718819521</v>
      </c>
      <c r="E123" s="8">
        <f>+MINVU_Mes_Corriente!E123*SALUD_Mes_Constante!$C$1</f>
        <v>349338.71718819521</v>
      </c>
      <c r="F123" s="8">
        <f>+MINVU_Mes_Corriente!F123*SALUD_Mes_Constante!$C$1</f>
        <v>349338.71718819521</v>
      </c>
      <c r="G123" s="8">
        <f>+MINVU_Mes_Corriente!G123*SALUD_Mes_Constante!$C$1</f>
        <v>349338.71718819521</v>
      </c>
      <c r="H123" s="8">
        <f>+MINVU_Mes_Corriente!H123*SALUD_Mes_Constante!$C$1</f>
        <v>349338.71718819521</v>
      </c>
      <c r="I123" s="8">
        <f>+MINVU_Mes_Corriente!I123*SALUD_Mes_Constante!$C$1</f>
        <v>349338.71718819521</v>
      </c>
      <c r="J123" s="8">
        <f>+MINVU_Mes_Corriente!J123*SALUD_Mes_Constante!$C$1</f>
        <v>349338.71718819521</v>
      </c>
      <c r="K123" s="8">
        <f>+MINVU_Mes_Corriente!K123*SALUD_Mes_Constante!$C$1</f>
        <v>349338.71718819521</v>
      </c>
      <c r="L123" s="8">
        <f>+MINVU_Mes_Corriente!L123*SALUD_Mes_Constante!$C$1</f>
        <v>349338.71718819521</v>
      </c>
      <c r="M123" s="8">
        <f>+MINVU_Mes_Corriente!M123*SALUD_Mes_Constante!$C$1</f>
        <v>349338.71718819521</v>
      </c>
      <c r="N123" s="8">
        <f>+MINVU_Mes_Corriente!N123*SALUD_Mes_Constante!$C$1</f>
        <v>349338.71718819521</v>
      </c>
      <c r="O123" s="9">
        <f t="shared" si="57"/>
        <v>349338.71718819521</v>
      </c>
      <c r="P123" s="8">
        <f>+MINVU_Mes_Corriente!P123*SALUD_Mes_Constante!$P$1</f>
        <v>344688.21395084518</v>
      </c>
      <c r="Q123" s="8">
        <f>+MINVU_Mes_Corriente!Q123*SALUD_Mes_Constante!$P$1</f>
        <v>344688.21395084518</v>
      </c>
      <c r="R123" s="8">
        <f>+MINVU_Mes_Corriente!R123*SALUD_Mes_Constante!$P$1</f>
        <v>344688.21395084518</v>
      </c>
      <c r="S123" s="8">
        <f>+MINVU_Mes_Corriente!S123*SALUD_Mes_Constante!$P$1</f>
        <v>344688.21395084518</v>
      </c>
      <c r="T123" s="8">
        <f>+MINVU_Mes_Corriente!T123*SALUD_Mes_Constante!$P$1</f>
        <v>344688.21395084518</v>
      </c>
      <c r="U123" s="8">
        <f>+MINVU_Mes_Corriente!U123*SALUD_Mes_Constante!$P$1</f>
        <v>344688.21395084518</v>
      </c>
      <c r="V123" s="8">
        <f>+MINVU_Mes_Corriente!V123*SALUD_Mes_Constante!$P$1</f>
        <v>344688.21395084518</v>
      </c>
      <c r="W123" s="8">
        <f>+MINVU_Mes_Corriente!W123*SALUD_Mes_Constante!$P$1</f>
        <v>344688.21395084518</v>
      </c>
      <c r="X123" s="8">
        <f>+MINVU_Mes_Corriente!X123*SALUD_Mes_Constante!$P$1</f>
        <v>344688.21395084518</v>
      </c>
      <c r="Y123" s="8">
        <f>+MINVU_Mes_Corriente!Y123*SALUD_Mes_Constante!$P$1</f>
        <v>344688.21395084518</v>
      </c>
      <c r="Z123" s="8">
        <f>+MINVU_Mes_Corriente!Z123*SALUD_Mes_Constante!$P$1</f>
        <v>344688.21395084518</v>
      </c>
      <c r="AA123" s="8">
        <f>+MINVU_Mes_Corriente!AA123*SALUD_Mes_Constante!$P$1</f>
        <v>344688.21395084518</v>
      </c>
      <c r="AB123" s="9">
        <f t="shared" si="58"/>
        <v>344688.21395084518</v>
      </c>
      <c r="AC123" s="8">
        <f>+MINVU_Mes_Corriente!AC123*SALUD_Mes_Constante!$AC$1</f>
        <v>348382.0619726103</v>
      </c>
      <c r="AD123" s="8">
        <f>+MINVU_Mes_Corriente!AD123*SALUD_Mes_Constante!$AC$1</f>
        <v>348382.0619726103</v>
      </c>
      <c r="AE123" s="8">
        <f>+MINVU_Mes_Corriente!AE123*SALUD_Mes_Constante!$AC$1</f>
        <v>348382.0619726103</v>
      </c>
      <c r="AF123" s="8">
        <f>+MINVU_Mes_Corriente!AF123*SALUD_Mes_Constante!$AC$1</f>
        <v>348382.0619726103</v>
      </c>
      <c r="AG123" s="8">
        <f>+MINVU_Mes_Corriente!AG123*SALUD_Mes_Constante!$AC$1</f>
        <v>348382.0619726103</v>
      </c>
      <c r="AH123" s="8">
        <f>+MINVU_Mes_Corriente!AH123*SALUD_Mes_Constante!$AC$1</f>
        <v>348382.0619726103</v>
      </c>
      <c r="AI123" s="8">
        <f>+MINVU_Mes_Corriente!AI123*SALUD_Mes_Constante!$AC$1</f>
        <v>348382.0619726103</v>
      </c>
      <c r="AJ123" s="8">
        <f>+MINVU_Mes_Corriente!AJ123*SALUD_Mes_Constante!$AC$1</f>
        <v>348382.0619726103</v>
      </c>
      <c r="AK123" s="8">
        <f>+MINVU_Mes_Corriente!AK123*SALUD_Mes_Constante!$AC$1</f>
        <v>348382.0619726103</v>
      </c>
      <c r="AL123" s="8">
        <f>+MINVU_Mes_Corriente!AL123*SALUD_Mes_Constante!$AC$1</f>
        <v>348382.0619726103</v>
      </c>
      <c r="AM123" s="8">
        <f>+MINVU_Mes_Corriente!AM123*SALUD_Mes_Constante!$AC$1</f>
        <v>348382.0619726103</v>
      </c>
      <c r="AN123" s="8">
        <f>+MINVU_Mes_Corriente!AN123*SALUD_Mes_Constante!$AC$1</f>
        <v>348382.0619726103</v>
      </c>
      <c r="AO123" s="9">
        <f t="shared" si="59"/>
        <v>348382.0619726103</v>
      </c>
      <c r="AP123" s="8">
        <f>+MINVU_Mes_Corriente!AP123*SALUD_Mes_Constante!$AP$1</f>
        <v>350873.42296767212</v>
      </c>
      <c r="AQ123" s="8">
        <f>+MINVU_Mes_Corriente!AQ123*SALUD_Mes_Constante!$AP$1</f>
        <v>350873.42296767212</v>
      </c>
      <c r="AR123" s="8">
        <f>+MINVU_Mes_Corriente!AR123*SALUD_Mes_Constante!$AP$1</f>
        <v>350873.42296767212</v>
      </c>
      <c r="AS123" s="8">
        <f>+MINVU_Mes_Corriente!AS123*SALUD_Mes_Constante!$AP$1</f>
        <v>350873.42296767212</v>
      </c>
      <c r="AT123" s="8">
        <f>+MINVU_Mes_Corriente!AT123*SALUD_Mes_Constante!$AP$1</f>
        <v>350873.42296767212</v>
      </c>
      <c r="AU123" s="8">
        <f>+MINVU_Mes_Corriente!AU123*SALUD_Mes_Constante!$AP$1</f>
        <v>350873.42296767212</v>
      </c>
      <c r="AV123" s="8">
        <f>+MINVU_Mes_Corriente!AV123*SALUD_Mes_Constante!$AP$1</f>
        <v>350873.42296767212</v>
      </c>
      <c r="AW123" s="8">
        <f>+MINVU_Mes_Corriente!AW123*SALUD_Mes_Constante!$AP$1</f>
        <v>350873.42296767212</v>
      </c>
      <c r="AX123" s="8">
        <f>+MINVU_Mes_Corriente!AX123*SALUD_Mes_Constante!$AP$1</f>
        <v>350873.42296767212</v>
      </c>
      <c r="AY123" s="8">
        <f>+MINVU_Mes_Corriente!AY123*SALUD_Mes_Constante!$AP$1</f>
        <v>350873.42296767212</v>
      </c>
      <c r="AZ123" s="8">
        <f>+MINVU_Mes_Corriente!AZ123*SALUD_Mes_Constante!$AP$1</f>
        <v>350873.42296767212</v>
      </c>
      <c r="BA123" s="8">
        <f>+MINVU_Mes_Corriente!BA123*SALUD_Mes_Constante!$AP$1</f>
        <v>350873.42296767212</v>
      </c>
      <c r="BB123" s="9">
        <f t="shared" si="60"/>
        <v>350873.42296767212</v>
      </c>
      <c r="BC123" s="8">
        <f>+MINVU_Mes_Corriente!BC123*SALUD_Mes_Constante!$BC$1</f>
        <v>350976.31728867214</v>
      </c>
      <c r="BD123" s="8">
        <f>+MINVU_Mes_Corriente!BD123*SALUD_Mes_Constante!$BC$1</f>
        <v>350976.31728867214</v>
      </c>
      <c r="BE123" s="8">
        <f>+MINVU_Mes_Corriente!BE123*SALUD_Mes_Constante!$BC$1</f>
        <v>350976.31728867214</v>
      </c>
      <c r="BF123" s="8">
        <f>+MINVU_Mes_Corriente!BF123*SALUD_Mes_Constante!$BC$1</f>
        <v>350976.31728867214</v>
      </c>
      <c r="BG123" s="8">
        <f>+MINVU_Mes_Corriente!BG123*SALUD_Mes_Constante!$BC$1</f>
        <v>350976.31728867214</v>
      </c>
      <c r="BH123" s="8">
        <f>+MINVU_Mes_Corriente!BH123*SALUD_Mes_Constante!$BC$1</f>
        <v>350976.31728867214</v>
      </c>
      <c r="BI123" s="8">
        <f>+MINVU_Mes_Corriente!BI123*SALUD_Mes_Constante!$BC$1</f>
        <v>350976.31728867214</v>
      </c>
      <c r="BJ123" s="8">
        <f>+MINVU_Mes_Corriente!BJ123*SALUD_Mes_Constante!$BC$1</f>
        <v>350976.31728867214</v>
      </c>
      <c r="BK123" s="8">
        <f>+MINVU_Mes_Corriente!BK123*SALUD_Mes_Constante!$BC$1</f>
        <v>350976.31728867214</v>
      </c>
      <c r="BL123" s="8">
        <f>+MINVU_Mes_Corriente!BL123*SALUD_Mes_Constante!$BC$1</f>
        <v>350976.31728867214</v>
      </c>
      <c r="BM123" s="8">
        <f>+MINVU_Mes_Corriente!BM123*SALUD_Mes_Constante!$BC$1</f>
        <v>350976.31728867214</v>
      </c>
      <c r="BN123" s="8">
        <f>+MINVU_Mes_Corriente!BN123*SALUD_Mes_Constante!$BC$1</f>
        <v>350976.31728867214</v>
      </c>
      <c r="BO123" s="9">
        <f t="shared" si="61"/>
        <v>350976.31728867214</v>
      </c>
      <c r="BP123" s="8">
        <f>+MINVU_Mes_Corriente!BP123*SALUD_Mes_Constante!$BP$1</f>
        <v>0</v>
      </c>
      <c r="BQ123" s="8">
        <f>+MINVU_Mes_Corriente!BQ123*SALUD_Mes_Constante!$BP$1</f>
        <v>0</v>
      </c>
      <c r="BR123" s="8">
        <f>+MINVU_Mes_Corriente!BR123*SALUD_Mes_Constante!$BP$1</f>
        <v>0</v>
      </c>
      <c r="BS123" s="8">
        <f>+MINVU_Mes_Corriente!BS123*SALUD_Mes_Constante!$BP$1</f>
        <v>0</v>
      </c>
      <c r="BT123" s="8">
        <f>+MINVU_Mes_Corriente!BT123*SALUD_Mes_Constante!$BP$1</f>
        <v>0</v>
      </c>
      <c r="BU123" s="8">
        <f>+MINVU_Mes_Corriente!BU123*SALUD_Mes_Constante!$BP$1</f>
        <v>0</v>
      </c>
      <c r="BV123" s="8">
        <f>+MINVU_Mes_Corriente!BV123*SALUD_Mes_Constante!$BP$1</f>
        <v>0</v>
      </c>
      <c r="BW123" s="8">
        <f>+MINVU_Mes_Corriente!BW123*SALUD_Mes_Constante!$BP$1</f>
        <v>0</v>
      </c>
      <c r="BX123" s="8">
        <f>+MINVU_Mes_Corriente!BX123*SALUD_Mes_Constante!$BP$1</f>
        <v>0</v>
      </c>
      <c r="BY123" s="8">
        <f>+MINVU_Mes_Corriente!BY123*SALUD_Mes_Constante!$BP$1</f>
        <v>0</v>
      </c>
      <c r="BZ123" s="8">
        <f>+MINVU_Mes_Corriente!BZ123*SALUD_Mes_Constante!$BP$1</f>
        <v>0</v>
      </c>
      <c r="CA123" s="8">
        <f>+MINVU_Mes_Corriente!CA123*SALUD_Mes_Constante!$BP$1</f>
        <v>0</v>
      </c>
      <c r="CB123" s="9">
        <f t="shared" si="62"/>
        <v>0</v>
      </c>
      <c r="CC123" s="8">
        <f>+MINVU_Mes_Corriente!CC123*SALUD_Mes_Constante!$CC$1</f>
        <v>57841.371876165613</v>
      </c>
      <c r="CD123" s="8">
        <f>+MINVU_Mes_Corriente!CD123*SALUD_Mes_Constante!$CC$1</f>
        <v>57841.371876165613</v>
      </c>
      <c r="CE123" s="8">
        <f>+MINVU_Mes_Corriente!CE123*SALUD_Mes_Constante!$CC$1</f>
        <v>57841.371876165613</v>
      </c>
      <c r="CF123" s="8">
        <f>+MINVU_Mes_Corriente!CF123*SALUD_Mes_Constante!$CC$1</f>
        <v>57841.371876165613</v>
      </c>
      <c r="CG123" s="8">
        <f>+MINVU_Mes_Corriente!CG123*SALUD_Mes_Constante!$CC$1</f>
        <v>57841.371876165613</v>
      </c>
      <c r="CH123" s="8">
        <f>+MINVU_Mes_Corriente!CH123*SALUD_Mes_Constante!$CC$1</f>
        <v>57841.371876165613</v>
      </c>
      <c r="CI123" s="8">
        <f>+MINVU_Mes_Corriente!CI123*SALUD_Mes_Constante!$CC$1</f>
        <v>57841.371876165613</v>
      </c>
      <c r="CJ123" s="8">
        <f>+MINVU_Mes_Corriente!CJ123*SALUD_Mes_Constante!$CC$1</f>
        <v>57841.371876165613</v>
      </c>
      <c r="CK123" s="8">
        <f>+MINVU_Mes_Corriente!CK123*SALUD_Mes_Constante!$CC$1</f>
        <v>57841.371876165613</v>
      </c>
      <c r="CL123" s="8">
        <f>+MINVU_Mes_Corriente!CL123*SALUD_Mes_Constante!$CC$1</f>
        <v>57841.371876165613</v>
      </c>
      <c r="CM123" s="8">
        <f>+MINVU_Mes_Corriente!CM123*SALUD_Mes_Constante!$CC$1</f>
        <v>57841.371876165613</v>
      </c>
      <c r="CN123" s="8">
        <f>+MINVU_Mes_Corriente!CN123*SALUD_Mes_Constante!$CC$1</f>
        <v>57841.371876165613</v>
      </c>
      <c r="CO123" s="9">
        <f t="shared" si="63"/>
        <v>57841.371876165613</v>
      </c>
      <c r="CP123" s="8">
        <f>+MINVU_Mes_Corriente!CP123*SALUD_Mes_Constante!$CP$1</f>
        <v>234617.47099767977</v>
      </c>
      <c r="CQ123" s="8">
        <f>+MINVU_Mes_Corriente!CQ123*SALUD_Mes_Constante!$CP$1</f>
        <v>234617.47099767977</v>
      </c>
      <c r="CR123" s="8">
        <f>+MINVU_Mes_Corriente!CR123*SALUD_Mes_Constante!$CP$1</f>
        <v>234617.47099767977</v>
      </c>
      <c r="CS123" s="8">
        <f>+MINVU_Mes_Corriente!CS123*SALUD_Mes_Constante!$CP$1</f>
        <v>234617.47099767977</v>
      </c>
      <c r="CT123" s="8">
        <f>+MINVU_Mes_Corriente!CT123*SALUD_Mes_Constante!$CP$1</f>
        <v>234617.47099767977</v>
      </c>
      <c r="CU123" s="8">
        <f>+MINVU_Mes_Corriente!CU123*SALUD_Mes_Constante!$CP$1</f>
        <v>234617.47099767977</v>
      </c>
      <c r="CV123" s="8">
        <f>+MINVU_Mes_Corriente!CV123*SALUD_Mes_Constante!$CP$1</f>
        <v>234617.47099767977</v>
      </c>
      <c r="CW123" s="8">
        <f>+MINVU_Mes_Corriente!CW123*SALUD_Mes_Constante!$CP$1</f>
        <v>234617.47099767977</v>
      </c>
      <c r="CX123" s="8">
        <f>+MINVU_Mes_Corriente!CX123*SALUD_Mes_Constante!$CP$1</f>
        <v>234617.47099767977</v>
      </c>
      <c r="CY123" s="8">
        <f>+MINVU_Mes_Corriente!CY123*SALUD_Mes_Constante!$CP$1</f>
        <v>234617.47099767977</v>
      </c>
      <c r="CZ123" s="8">
        <f>+MINVU_Mes_Corriente!CZ123*SALUD_Mes_Constante!$CP$1</f>
        <v>234617.47099767977</v>
      </c>
      <c r="DA123" s="8">
        <f>+MINVU_Mes_Corriente!DA123*SALUD_Mes_Constante!$CP$1</f>
        <v>234617.47099767977</v>
      </c>
      <c r="DB123" s="9">
        <f t="shared" si="64"/>
        <v>234617.47099767977</v>
      </c>
      <c r="DC123" s="8">
        <f>+MINVU_Mes_Corriente!DC123*SALUD_Mes_Constante!$DC$1</f>
        <v>282312.50920687185</v>
      </c>
      <c r="DD123" s="8">
        <f>+MINVU_Mes_Corriente!DD123*SALUD_Mes_Constante!$DC$1</f>
        <v>282312.50920687185</v>
      </c>
      <c r="DE123" s="8">
        <f>+MINVU_Mes_Corriente!DE123*SALUD_Mes_Constante!$DC$1</f>
        <v>282312.50920687185</v>
      </c>
      <c r="DF123" s="8">
        <f>+MINVU_Mes_Corriente!DF123*SALUD_Mes_Constante!$DC$1</f>
        <v>282312.50920687185</v>
      </c>
      <c r="DG123" s="8">
        <f>+MINVU_Mes_Corriente!DG123*SALUD_Mes_Constante!$DC$1</f>
        <v>282312.50920687185</v>
      </c>
      <c r="DH123" s="8">
        <f>+MINVU_Mes_Corriente!DH123*SALUD_Mes_Constante!$DC$1</f>
        <v>282312.50920687185</v>
      </c>
      <c r="DI123" s="8">
        <f>+MINVU_Mes_Corriente!DI123*SALUD_Mes_Constante!$DC$1</f>
        <v>282312.50920687185</v>
      </c>
      <c r="DJ123" s="8">
        <f>+MINVU_Mes_Corriente!DJ123*SALUD_Mes_Constante!$DC$1</f>
        <v>282312.50920687185</v>
      </c>
      <c r="DK123" s="8">
        <f>+MINVU_Mes_Corriente!DK123*SALUD_Mes_Constante!$DC$1</f>
        <v>282312.50920687185</v>
      </c>
      <c r="DL123" s="8">
        <f>+MINVU_Mes_Corriente!DL123*SALUD_Mes_Constante!$DC$1</f>
        <v>282312.50920687185</v>
      </c>
      <c r="DM123" s="8">
        <f>+MINVU_Mes_Corriente!DM123*SALUD_Mes_Constante!$DC$1</f>
        <v>282312.50920687185</v>
      </c>
      <c r="DN123" s="8">
        <f>+MINVU_Mes_Corriente!DN123*SALUD_Mes_Constante!$DC$1</f>
        <v>282312.50920687185</v>
      </c>
      <c r="DO123" s="9">
        <f t="shared" si="65"/>
        <v>282312.50920687185</v>
      </c>
      <c r="DP123" s="8">
        <f>+MINVU_Mes_Corriente!DP123*SALUD_Mes_Constante!$DP$1</f>
        <v>288722.57779097388</v>
      </c>
      <c r="DQ123" s="8">
        <f>+MINVU_Mes_Corriente!DQ123*SALUD_Mes_Constante!$DP$1</f>
        <v>288722.57779097388</v>
      </c>
      <c r="DR123" s="8">
        <f>+MINVU_Mes_Corriente!DR123*SALUD_Mes_Constante!$DP$1</f>
        <v>288722.57779097388</v>
      </c>
      <c r="DS123" s="8">
        <f>+MINVU_Mes_Corriente!DS123*SALUD_Mes_Constante!$DP$1</f>
        <v>288722.57779097388</v>
      </c>
      <c r="DT123" s="8">
        <f>+MINVU_Mes_Corriente!DT123*SALUD_Mes_Constante!$DP$1</f>
        <v>288722.57779097388</v>
      </c>
      <c r="DU123" s="8">
        <f>+MINVU_Mes_Corriente!DU123*SALUD_Mes_Constante!$DP$1</f>
        <v>288722.57779097388</v>
      </c>
      <c r="DV123" s="8">
        <f>+MINVU_Mes_Corriente!DV123*SALUD_Mes_Constante!$DP$1</f>
        <v>288722.57779097388</v>
      </c>
      <c r="DW123" s="8">
        <f>+MINVU_Mes_Corriente!DW123*SALUD_Mes_Constante!$DP$1</f>
        <v>288722.57779097388</v>
      </c>
      <c r="DX123" s="8">
        <f>+MINVU_Mes_Corriente!DX123*SALUD_Mes_Constante!$DP$1</f>
        <v>288722.57779097388</v>
      </c>
      <c r="DY123" s="8">
        <f>+MINVU_Mes_Corriente!DY123*SALUD_Mes_Constante!$DP$1</f>
        <v>288722.57779097388</v>
      </c>
      <c r="DZ123" s="8">
        <f>+MINVU_Mes_Corriente!DZ123*SALUD_Mes_Constante!$DP$1</f>
        <v>288722.57779097388</v>
      </c>
      <c r="EA123" s="8">
        <f>+MINVU_Mes_Corriente!EA123*SALUD_Mes_Constante!$DP$1</f>
        <v>288722.57779097388</v>
      </c>
      <c r="EB123" s="9">
        <f t="shared" si="66"/>
        <v>288722.57779097388</v>
      </c>
      <c r="EC123" s="8">
        <f>+MINVU_Mes_Corriente!EC123*SALUD_Mes_Constante!$EC$1</f>
        <v>252989.34728271153</v>
      </c>
      <c r="ED123" s="8">
        <f>+MINVU_Mes_Corriente!ED123*SALUD_Mes_Constante!$EC$1</f>
        <v>252989.34728271153</v>
      </c>
      <c r="EE123" s="8">
        <f>+MINVU_Mes_Corriente!EE123*SALUD_Mes_Constante!$EC$1</f>
        <v>252989.34728271153</v>
      </c>
      <c r="EF123" s="8">
        <f>+MINVU_Mes_Corriente!EF123*SALUD_Mes_Constante!$EC$1</f>
        <v>252989.34728271153</v>
      </c>
      <c r="EG123" s="8">
        <f>+MINVU_Mes_Corriente!EG123*SALUD_Mes_Constante!$EC$1</f>
        <v>252989.34728271153</v>
      </c>
      <c r="EH123" s="8">
        <f>+MINVU_Mes_Corriente!EH123*SALUD_Mes_Constante!$EC$1</f>
        <v>252989.34728271153</v>
      </c>
      <c r="EI123" s="8">
        <f>+MINVU_Mes_Corriente!EI123*SALUD_Mes_Constante!$EC$1</f>
        <v>252989.34728271153</v>
      </c>
      <c r="EJ123" s="8">
        <f>+MINVU_Mes_Corriente!EJ123*SALUD_Mes_Constante!$EC$1</f>
        <v>252989.34728271153</v>
      </c>
      <c r="EK123" s="8">
        <f>+MINVU_Mes_Corriente!EK123*SALUD_Mes_Constante!$EC$1</f>
        <v>252989.34728271153</v>
      </c>
      <c r="EL123" s="8">
        <f>+MINVU_Mes_Corriente!EL123*SALUD_Mes_Constante!$EC$1</f>
        <v>252989.34728271153</v>
      </c>
      <c r="EM123" s="8">
        <f>+MINVU_Mes_Corriente!EM123*SALUD_Mes_Constante!$EC$1</f>
        <v>252989.34728271153</v>
      </c>
      <c r="EN123" s="8">
        <f>+MINVU_Mes_Corriente!EN123*SALUD_Mes_Constante!$EC$1</f>
        <v>252989.34728271153</v>
      </c>
      <c r="EO123" s="9">
        <f t="shared" si="67"/>
        <v>252989.34728271153</v>
      </c>
      <c r="EP123" s="8">
        <f>+MINVU_Mes_Corriente!EP123*SALUD_Mes_Constante!$EP$1</f>
        <v>254832</v>
      </c>
      <c r="EQ123" s="8">
        <f>+MINVU_Mes_Corriente!EQ123*SALUD_Mes_Constante!$EP$1</f>
        <v>254832</v>
      </c>
      <c r="ER123" s="8">
        <f>+MINVU_Mes_Corriente!ER123*SALUD_Mes_Constante!$EP$1</f>
        <v>254832</v>
      </c>
      <c r="ES123" s="8">
        <f>+MINVU_Mes_Corriente!ES123*SALUD_Mes_Constante!$EP$1</f>
        <v>254832</v>
      </c>
      <c r="ET123" s="8">
        <f>+MINVU_Mes_Corriente!ET123*SALUD_Mes_Constante!$EP$1</f>
        <v>254832</v>
      </c>
      <c r="EU123" s="8">
        <f>+MINVU_Mes_Corriente!EU123*SALUD_Mes_Constante!$EP$1</f>
        <v>254832</v>
      </c>
      <c r="EV123" s="8">
        <f>+MINVU_Mes_Corriente!EV123*SALUD_Mes_Constante!$EP$1</f>
        <v>254832</v>
      </c>
      <c r="EW123" s="8">
        <f>+MINVU_Mes_Corriente!EW123*SALUD_Mes_Constante!$EP$1</f>
        <v>254832</v>
      </c>
      <c r="EX123" s="8">
        <f>+MINVU_Mes_Corriente!EX123*SALUD_Mes_Constante!$EP$1</f>
        <v>254832</v>
      </c>
      <c r="EY123" s="8">
        <f>+MINVU_Mes_Corriente!EY123*SALUD_Mes_Constante!$EP$1</f>
        <v>254832</v>
      </c>
      <c r="EZ123" s="8">
        <f>+MINVU_Mes_Corriente!EZ123*SALUD_Mes_Constante!$EP$1</f>
        <v>254832</v>
      </c>
      <c r="FA123" s="8">
        <f>+MINVU_Mes_Corriente!FA123*SALUD_Mes_Constante!$EP$1</f>
        <v>254832</v>
      </c>
      <c r="FB123" s="9">
        <f t="shared" si="68"/>
        <v>254832</v>
      </c>
      <c r="FC123" s="8">
        <f>+MINVU_Mes_Corriente!FC123*SALUD_Mes_Constante!$FC$1</f>
        <v>262732</v>
      </c>
      <c r="FD123" s="8">
        <f>+MINVU_Mes_Corriente!FD123*SALUD_Mes_Constante!$FC$1</f>
        <v>262732</v>
      </c>
      <c r="FE123" s="8">
        <f>+MINVU_Mes_Corriente!FE123*SALUD_Mes_Constante!$FC$1</f>
        <v>262732</v>
      </c>
      <c r="FF123" s="8">
        <f>+MINVU_Mes_Corriente!FF123*SALUD_Mes_Constante!$FC$1</f>
        <v>262732</v>
      </c>
      <c r="FG123" s="8">
        <f>+MINVU_Mes_Corriente!FG123*SALUD_Mes_Constante!$FC$1</f>
        <v>262732</v>
      </c>
      <c r="FH123" s="8">
        <f>+MINVU_Mes_Corriente!FH123*SALUD_Mes_Constante!$FC$1</f>
        <v>262732</v>
      </c>
      <c r="FI123" s="8">
        <f>+MINVU_Mes_Corriente!FI123*SALUD_Mes_Constante!$FC$1</f>
        <v>262732</v>
      </c>
      <c r="FJ123" s="8"/>
      <c r="FK123" s="8"/>
      <c r="FL123" s="8"/>
      <c r="FM123" s="8"/>
      <c r="FN123" s="8"/>
      <c r="FO123" s="9">
        <f t="shared" si="69"/>
        <v>262732</v>
      </c>
    </row>
    <row r="124" spans="2:171" ht="14.25" customHeight="1" x14ac:dyDescent="0.3">
      <c r="B124" s="7" t="s">
        <v>48</v>
      </c>
      <c r="C124" s="8">
        <f>+MINVU_Mes_Corriente!C124*SALUD_Mes_Constante!$C$1</f>
        <v>327728.14889515057</v>
      </c>
      <c r="D124" s="8">
        <f>+MINVU_Mes_Corriente!D124*SALUD_Mes_Constante!$C$1</f>
        <v>327728.14889515057</v>
      </c>
      <c r="E124" s="8">
        <f>+MINVU_Mes_Corriente!E124*SALUD_Mes_Constante!$C$1</f>
        <v>327728.14889515057</v>
      </c>
      <c r="F124" s="8">
        <f>+MINVU_Mes_Corriente!F124*SALUD_Mes_Constante!$C$1</f>
        <v>327728.14889515057</v>
      </c>
      <c r="G124" s="8">
        <f>+MINVU_Mes_Corriente!G124*SALUD_Mes_Constante!$C$1</f>
        <v>327728.14889515057</v>
      </c>
      <c r="H124" s="8">
        <f>+MINVU_Mes_Corriente!H124*SALUD_Mes_Constante!$C$1</f>
        <v>327728.14889515057</v>
      </c>
      <c r="I124" s="8">
        <f>+MINVU_Mes_Corriente!I124*SALUD_Mes_Constante!$C$1</f>
        <v>327728.14889515057</v>
      </c>
      <c r="J124" s="8">
        <f>+MINVU_Mes_Corriente!J124*SALUD_Mes_Constante!$C$1</f>
        <v>327728.14889515057</v>
      </c>
      <c r="K124" s="8">
        <f>+MINVU_Mes_Corriente!K124*SALUD_Mes_Constante!$C$1</f>
        <v>327728.14889515057</v>
      </c>
      <c r="L124" s="8">
        <f>+MINVU_Mes_Corriente!L124*SALUD_Mes_Constante!$C$1</f>
        <v>327728.14889515057</v>
      </c>
      <c r="M124" s="8">
        <f>+MINVU_Mes_Corriente!M124*SALUD_Mes_Constante!$C$1</f>
        <v>327728.14889515057</v>
      </c>
      <c r="N124" s="8">
        <f>+MINVU_Mes_Corriente!N124*SALUD_Mes_Constante!$C$1</f>
        <v>327728.14889515057</v>
      </c>
      <c r="O124" s="9">
        <f t="shared" si="57"/>
        <v>327728.14889515057</v>
      </c>
      <c r="P124" s="8">
        <f>+MINVU_Mes_Corriente!P124*SALUD_Mes_Constante!$P$1</f>
        <v>323365.51726097445</v>
      </c>
      <c r="Q124" s="8">
        <f>+MINVU_Mes_Corriente!Q124*SALUD_Mes_Constante!$P$1</f>
        <v>323365.51726097445</v>
      </c>
      <c r="R124" s="8">
        <f>+MINVU_Mes_Corriente!R124*SALUD_Mes_Constante!$P$1</f>
        <v>323365.51726097445</v>
      </c>
      <c r="S124" s="8">
        <f>+MINVU_Mes_Corriente!S124*SALUD_Mes_Constante!$P$1</f>
        <v>323365.51726097445</v>
      </c>
      <c r="T124" s="8">
        <f>+MINVU_Mes_Corriente!T124*SALUD_Mes_Constante!$P$1</f>
        <v>323365.51726097445</v>
      </c>
      <c r="U124" s="8">
        <f>+MINVU_Mes_Corriente!U124*SALUD_Mes_Constante!$P$1</f>
        <v>323365.51726097445</v>
      </c>
      <c r="V124" s="8">
        <f>+MINVU_Mes_Corriente!V124*SALUD_Mes_Constante!$P$1</f>
        <v>323365.51726097445</v>
      </c>
      <c r="W124" s="8">
        <f>+MINVU_Mes_Corriente!W124*SALUD_Mes_Constante!$P$1</f>
        <v>323365.51726097445</v>
      </c>
      <c r="X124" s="8">
        <f>+MINVU_Mes_Corriente!X124*SALUD_Mes_Constante!$P$1</f>
        <v>323365.51726097445</v>
      </c>
      <c r="Y124" s="8">
        <f>+MINVU_Mes_Corriente!Y124*SALUD_Mes_Constante!$P$1</f>
        <v>323365.51726097445</v>
      </c>
      <c r="Z124" s="8">
        <f>+MINVU_Mes_Corriente!Z124*SALUD_Mes_Constante!$P$1</f>
        <v>323365.51726097445</v>
      </c>
      <c r="AA124" s="8">
        <f>+MINVU_Mes_Corriente!AA124*SALUD_Mes_Constante!$P$1</f>
        <v>323365.51726097445</v>
      </c>
      <c r="AB124" s="9">
        <f t="shared" si="58"/>
        <v>323365.51726097445</v>
      </c>
      <c r="AC124" s="8">
        <f>+MINVU_Mes_Corriente!AC124*SALUD_Mes_Constante!$AC$1</f>
        <v>326830.83303361462</v>
      </c>
      <c r="AD124" s="8">
        <f>+MINVU_Mes_Corriente!AD124*SALUD_Mes_Constante!$AC$1</f>
        <v>326830.83303361462</v>
      </c>
      <c r="AE124" s="8">
        <f>+MINVU_Mes_Corriente!AE124*SALUD_Mes_Constante!$AC$1</f>
        <v>326830.83303361462</v>
      </c>
      <c r="AF124" s="8">
        <f>+MINVU_Mes_Corriente!AF124*SALUD_Mes_Constante!$AC$1</f>
        <v>326830.83303361462</v>
      </c>
      <c r="AG124" s="8">
        <f>+MINVU_Mes_Corriente!AG124*SALUD_Mes_Constante!$AC$1</f>
        <v>326830.83303361462</v>
      </c>
      <c r="AH124" s="8">
        <f>+MINVU_Mes_Corriente!AH124*SALUD_Mes_Constante!$AC$1</f>
        <v>326830.83303361462</v>
      </c>
      <c r="AI124" s="8">
        <f>+MINVU_Mes_Corriente!AI124*SALUD_Mes_Constante!$AC$1</f>
        <v>326830.83303361462</v>
      </c>
      <c r="AJ124" s="8">
        <f>+MINVU_Mes_Corriente!AJ124*SALUD_Mes_Constante!$AC$1</f>
        <v>326830.83303361462</v>
      </c>
      <c r="AK124" s="8">
        <f>+MINVU_Mes_Corriente!AK124*SALUD_Mes_Constante!$AC$1</f>
        <v>326830.83303361462</v>
      </c>
      <c r="AL124" s="8">
        <f>+MINVU_Mes_Corriente!AL124*SALUD_Mes_Constante!$AC$1</f>
        <v>326830.83303361462</v>
      </c>
      <c r="AM124" s="8">
        <f>+MINVU_Mes_Corriente!AM124*SALUD_Mes_Constante!$AC$1</f>
        <v>326830.83303361462</v>
      </c>
      <c r="AN124" s="8">
        <f>+MINVU_Mes_Corriente!AN124*SALUD_Mes_Constante!$AC$1</f>
        <v>326830.83303361462</v>
      </c>
      <c r="AO124" s="9">
        <f t="shared" si="59"/>
        <v>326830.83303361462</v>
      </c>
      <c r="AP124" s="8">
        <f>+MINVU_Mes_Corriente!AP124*SALUD_Mes_Constante!$AP$1</f>
        <v>329167.73353171919</v>
      </c>
      <c r="AQ124" s="8">
        <f>+MINVU_Mes_Corriente!AQ124*SALUD_Mes_Constante!$AP$1</f>
        <v>329167.73353171919</v>
      </c>
      <c r="AR124" s="8">
        <f>+MINVU_Mes_Corriente!AR124*SALUD_Mes_Constante!$AP$1</f>
        <v>329167.73353171919</v>
      </c>
      <c r="AS124" s="8">
        <f>+MINVU_Mes_Corriente!AS124*SALUD_Mes_Constante!$AP$1</f>
        <v>329167.73353171919</v>
      </c>
      <c r="AT124" s="8">
        <f>+MINVU_Mes_Corriente!AT124*SALUD_Mes_Constante!$AP$1</f>
        <v>329167.73353171919</v>
      </c>
      <c r="AU124" s="8">
        <f>+MINVU_Mes_Corriente!AU124*SALUD_Mes_Constante!$AP$1</f>
        <v>329167.73353171919</v>
      </c>
      <c r="AV124" s="8">
        <f>+MINVU_Mes_Corriente!AV124*SALUD_Mes_Constante!$AP$1</f>
        <v>329167.73353171919</v>
      </c>
      <c r="AW124" s="8">
        <f>+MINVU_Mes_Corriente!AW124*SALUD_Mes_Constante!$AP$1</f>
        <v>329167.73353171919</v>
      </c>
      <c r="AX124" s="8">
        <f>+MINVU_Mes_Corriente!AX124*SALUD_Mes_Constante!$AP$1</f>
        <v>329167.73353171919</v>
      </c>
      <c r="AY124" s="8">
        <f>+MINVU_Mes_Corriente!AY124*SALUD_Mes_Constante!$AP$1</f>
        <v>329167.73353171919</v>
      </c>
      <c r="AZ124" s="8">
        <f>+MINVU_Mes_Corriente!AZ124*SALUD_Mes_Constante!$AP$1</f>
        <v>329167.73353171919</v>
      </c>
      <c r="BA124" s="8">
        <f>+MINVU_Mes_Corriente!BA124*SALUD_Mes_Constante!$AP$1</f>
        <v>329167.73353171919</v>
      </c>
      <c r="BB124" s="9">
        <f t="shared" si="60"/>
        <v>329167.73353171919</v>
      </c>
      <c r="BC124" s="8">
        <f>+MINVU_Mes_Corriente!BC124*SALUD_Mes_Constante!$BC$1</f>
        <v>329264.08017934865</v>
      </c>
      <c r="BD124" s="8">
        <f>+MINVU_Mes_Corriente!BD124*SALUD_Mes_Constante!$BC$1</f>
        <v>329264.08017934865</v>
      </c>
      <c r="BE124" s="8">
        <f>+MINVU_Mes_Corriente!BE124*SALUD_Mes_Constante!$BC$1</f>
        <v>329264.08017934865</v>
      </c>
      <c r="BF124" s="8">
        <f>+MINVU_Mes_Corriente!BF124*SALUD_Mes_Constante!$BC$1</f>
        <v>329264.08017934865</v>
      </c>
      <c r="BG124" s="8">
        <f>+MINVU_Mes_Corriente!BG124*SALUD_Mes_Constante!$BC$1</f>
        <v>329264.08017934865</v>
      </c>
      <c r="BH124" s="8">
        <f>+MINVU_Mes_Corriente!BH124*SALUD_Mes_Constante!$BC$1</f>
        <v>329264.08017934865</v>
      </c>
      <c r="BI124" s="8">
        <f>+MINVU_Mes_Corriente!BI124*SALUD_Mes_Constante!$BC$1</f>
        <v>329264.08017934865</v>
      </c>
      <c r="BJ124" s="8">
        <f>+MINVU_Mes_Corriente!BJ124*SALUD_Mes_Constante!$BC$1</f>
        <v>329264.08017934865</v>
      </c>
      <c r="BK124" s="8">
        <f>+MINVU_Mes_Corriente!BK124*SALUD_Mes_Constante!$BC$1</f>
        <v>329264.08017934865</v>
      </c>
      <c r="BL124" s="8">
        <f>+MINVU_Mes_Corriente!BL124*SALUD_Mes_Constante!$BC$1</f>
        <v>329264.08017934865</v>
      </c>
      <c r="BM124" s="8">
        <f>+MINVU_Mes_Corriente!BM124*SALUD_Mes_Constante!$BC$1</f>
        <v>329264.08017934865</v>
      </c>
      <c r="BN124" s="8">
        <f>+MINVU_Mes_Corriente!BN124*SALUD_Mes_Constante!$BC$1</f>
        <v>329264.08017934865</v>
      </c>
      <c r="BO124" s="9">
        <f t="shared" si="61"/>
        <v>329264.08017934865</v>
      </c>
      <c r="BP124" s="8">
        <f>+MINVU_Mes_Corriente!BP124*SALUD_Mes_Constante!$BP$1</f>
        <v>0</v>
      </c>
      <c r="BQ124" s="8">
        <f>+MINVU_Mes_Corriente!BQ124*SALUD_Mes_Constante!$BP$1</f>
        <v>0</v>
      </c>
      <c r="BR124" s="8">
        <f>+MINVU_Mes_Corriente!BR124*SALUD_Mes_Constante!$BP$1</f>
        <v>0</v>
      </c>
      <c r="BS124" s="8">
        <f>+MINVU_Mes_Corriente!BS124*SALUD_Mes_Constante!$BP$1</f>
        <v>0</v>
      </c>
      <c r="BT124" s="8">
        <f>+MINVU_Mes_Corriente!BT124*SALUD_Mes_Constante!$BP$1</f>
        <v>0</v>
      </c>
      <c r="BU124" s="8">
        <f>+MINVU_Mes_Corriente!BU124*SALUD_Mes_Constante!$BP$1</f>
        <v>0</v>
      </c>
      <c r="BV124" s="8">
        <f>+MINVU_Mes_Corriente!BV124*SALUD_Mes_Constante!$BP$1</f>
        <v>0</v>
      </c>
      <c r="BW124" s="8">
        <f>+MINVU_Mes_Corriente!BW124*SALUD_Mes_Constante!$BP$1</f>
        <v>0</v>
      </c>
      <c r="BX124" s="8">
        <f>+MINVU_Mes_Corriente!BX124*SALUD_Mes_Constante!$BP$1</f>
        <v>0</v>
      </c>
      <c r="BY124" s="8">
        <f>+MINVU_Mes_Corriente!BY124*SALUD_Mes_Constante!$BP$1</f>
        <v>0</v>
      </c>
      <c r="BZ124" s="8">
        <f>+MINVU_Mes_Corriente!BZ124*SALUD_Mes_Constante!$BP$1</f>
        <v>0</v>
      </c>
      <c r="CA124" s="8">
        <f>+MINVU_Mes_Corriente!CA124*SALUD_Mes_Constante!$BP$1</f>
        <v>0</v>
      </c>
      <c r="CB124" s="9">
        <f t="shared" si="62"/>
        <v>0</v>
      </c>
      <c r="CC124" s="8">
        <f>+MINVU_Mes_Corriente!CC124*SALUD_Mes_Constante!$CC$1</f>
        <v>109185.28534129057</v>
      </c>
      <c r="CD124" s="8">
        <f>+MINVU_Mes_Corriente!CD124*SALUD_Mes_Constante!$CC$1</f>
        <v>109185.28534129057</v>
      </c>
      <c r="CE124" s="8">
        <f>+MINVU_Mes_Corriente!CE124*SALUD_Mes_Constante!$CC$1</f>
        <v>109185.28534129057</v>
      </c>
      <c r="CF124" s="8">
        <f>+MINVU_Mes_Corriente!CF124*SALUD_Mes_Constante!$CC$1</f>
        <v>109185.28534129057</v>
      </c>
      <c r="CG124" s="8">
        <f>+MINVU_Mes_Corriente!CG124*SALUD_Mes_Constante!$CC$1</f>
        <v>109185.28534129057</v>
      </c>
      <c r="CH124" s="8">
        <f>+MINVU_Mes_Corriente!CH124*SALUD_Mes_Constante!$CC$1</f>
        <v>109185.28534129057</v>
      </c>
      <c r="CI124" s="8">
        <f>+MINVU_Mes_Corriente!CI124*SALUD_Mes_Constante!$CC$1</f>
        <v>109185.28534129057</v>
      </c>
      <c r="CJ124" s="8">
        <f>+MINVU_Mes_Corriente!CJ124*SALUD_Mes_Constante!$CC$1</f>
        <v>109185.28534129057</v>
      </c>
      <c r="CK124" s="8">
        <f>+MINVU_Mes_Corriente!CK124*SALUD_Mes_Constante!$CC$1</f>
        <v>109185.28534129057</v>
      </c>
      <c r="CL124" s="8">
        <f>+MINVU_Mes_Corriente!CL124*SALUD_Mes_Constante!$CC$1</f>
        <v>109185.28534129057</v>
      </c>
      <c r="CM124" s="8">
        <f>+MINVU_Mes_Corriente!CM124*SALUD_Mes_Constante!$CC$1</f>
        <v>109185.28534129057</v>
      </c>
      <c r="CN124" s="8">
        <f>+MINVU_Mes_Corriente!CN124*SALUD_Mes_Constante!$CC$1</f>
        <v>109185.28534129057</v>
      </c>
      <c r="CO124" s="9">
        <f t="shared" si="63"/>
        <v>109185.28534129057</v>
      </c>
      <c r="CP124" s="8">
        <f>+MINVU_Mes_Corriente!CP124*SALUD_Mes_Constante!$CP$1</f>
        <v>476609.35823665885</v>
      </c>
      <c r="CQ124" s="8">
        <f>+MINVU_Mes_Corriente!CQ124*SALUD_Mes_Constante!$CP$1</f>
        <v>476609.35823665885</v>
      </c>
      <c r="CR124" s="8">
        <f>+MINVU_Mes_Corriente!CR124*SALUD_Mes_Constante!$CP$1</f>
        <v>476609.35823665885</v>
      </c>
      <c r="CS124" s="8">
        <f>+MINVU_Mes_Corriente!CS124*SALUD_Mes_Constante!$CP$1</f>
        <v>476609.35823665885</v>
      </c>
      <c r="CT124" s="8">
        <f>+MINVU_Mes_Corriente!CT124*SALUD_Mes_Constante!$CP$1</f>
        <v>476609.35823665885</v>
      </c>
      <c r="CU124" s="8">
        <f>+MINVU_Mes_Corriente!CU124*SALUD_Mes_Constante!$CP$1</f>
        <v>476609.35823665885</v>
      </c>
      <c r="CV124" s="8">
        <f>+MINVU_Mes_Corriente!CV124*SALUD_Mes_Constante!$CP$1</f>
        <v>476609.35823665885</v>
      </c>
      <c r="CW124" s="8">
        <f>+MINVU_Mes_Corriente!CW124*SALUD_Mes_Constante!$CP$1</f>
        <v>476609.35823665885</v>
      </c>
      <c r="CX124" s="8">
        <f>+MINVU_Mes_Corriente!CX124*SALUD_Mes_Constante!$CP$1</f>
        <v>476609.35823665885</v>
      </c>
      <c r="CY124" s="8">
        <f>+MINVU_Mes_Corriente!CY124*SALUD_Mes_Constante!$CP$1</f>
        <v>476609.35823665885</v>
      </c>
      <c r="CZ124" s="8">
        <f>+MINVU_Mes_Corriente!CZ124*SALUD_Mes_Constante!$CP$1</f>
        <v>476609.35823665885</v>
      </c>
      <c r="DA124" s="8">
        <f>+MINVU_Mes_Corriente!DA124*SALUD_Mes_Constante!$CP$1</f>
        <v>476609.35823665885</v>
      </c>
      <c r="DB124" s="9">
        <f t="shared" si="64"/>
        <v>476609.35823665885</v>
      </c>
      <c r="DC124" s="8">
        <f>+MINVU_Mes_Corriente!DC124*SALUD_Mes_Constante!$DC$1</f>
        <v>574345.01100709836</v>
      </c>
      <c r="DD124" s="8">
        <f>+MINVU_Mes_Corriente!DD124*SALUD_Mes_Constante!$DC$1</f>
        <v>574345.01100709836</v>
      </c>
      <c r="DE124" s="8">
        <f>+MINVU_Mes_Corriente!DE124*SALUD_Mes_Constante!$DC$1</f>
        <v>574345.01100709836</v>
      </c>
      <c r="DF124" s="8">
        <f>+MINVU_Mes_Corriente!DF124*SALUD_Mes_Constante!$DC$1</f>
        <v>574345.01100709836</v>
      </c>
      <c r="DG124" s="8">
        <f>+MINVU_Mes_Corriente!DG124*SALUD_Mes_Constante!$DC$1</f>
        <v>574345.01100709836</v>
      </c>
      <c r="DH124" s="8">
        <f>+MINVU_Mes_Corriente!DH124*SALUD_Mes_Constante!$DC$1</f>
        <v>574345.01100709836</v>
      </c>
      <c r="DI124" s="8">
        <f>+MINVU_Mes_Corriente!DI124*SALUD_Mes_Constante!$DC$1</f>
        <v>574345.01100709836</v>
      </c>
      <c r="DJ124" s="8">
        <f>+MINVU_Mes_Corriente!DJ124*SALUD_Mes_Constante!$DC$1</f>
        <v>574345.01100709836</v>
      </c>
      <c r="DK124" s="8">
        <f>+MINVU_Mes_Corriente!DK124*SALUD_Mes_Constante!$DC$1</f>
        <v>574345.01100709836</v>
      </c>
      <c r="DL124" s="8">
        <f>+MINVU_Mes_Corriente!DL124*SALUD_Mes_Constante!$DC$1</f>
        <v>574345.01100709836</v>
      </c>
      <c r="DM124" s="8">
        <f>+MINVU_Mes_Corriente!DM124*SALUD_Mes_Constante!$DC$1</f>
        <v>574345.01100709836</v>
      </c>
      <c r="DN124" s="8">
        <f>+MINVU_Mes_Corriente!DN124*SALUD_Mes_Constante!$DC$1</f>
        <v>574345.01100709836</v>
      </c>
      <c r="DO124" s="9">
        <f t="shared" si="65"/>
        <v>574345.01100709836</v>
      </c>
      <c r="DP124" s="8">
        <f>+MINVU_Mes_Corriente!DP124*SALUD_Mes_Constante!$DP$1</f>
        <v>587386.04216152022</v>
      </c>
      <c r="DQ124" s="8">
        <f>+MINVU_Mes_Corriente!DQ124*SALUD_Mes_Constante!$DP$1</f>
        <v>587386.04216152022</v>
      </c>
      <c r="DR124" s="8">
        <f>+MINVU_Mes_Corriente!DR124*SALUD_Mes_Constante!$DP$1</f>
        <v>587386.04216152022</v>
      </c>
      <c r="DS124" s="8">
        <f>+MINVU_Mes_Corriente!DS124*SALUD_Mes_Constante!$DP$1</f>
        <v>587386.04216152022</v>
      </c>
      <c r="DT124" s="8">
        <f>+MINVU_Mes_Corriente!DT124*SALUD_Mes_Constante!$DP$1</f>
        <v>587386.04216152022</v>
      </c>
      <c r="DU124" s="8">
        <f>+MINVU_Mes_Corriente!DU124*SALUD_Mes_Constante!$DP$1</f>
        <v>587386.04216152022</v>
      </c>
      <c r="DV124" s="8">
        <f>+MINVU_Mes_Corriente!DV124*SALUD_Mes_Constante!$DP$1</f>
        <v>587386.04216152022</v>
      </c>
      <c r="DW124" s="8">
        <f>+MINVU_Mes_Corriente!DW124*SALUD_Mes_Constante!$DP$1</f>
        <v>587386.04216152022</v>
      </c>
      <c r="DX124" s="8">
        <f>+MINVU_Mes_Corriente!DX124*SALUD_Mes_Constante!$DP$1</f>
        <v>587386.04216152022</v>
      </c>
      <c r="DY124" s="8">
        <f>+MINVU_Mes_Corriente!DY124*SALUD_Mes_Constante!$DP$1</f>
        <v>587386.04216152022</v>
      </c>
      <c r="DZ124" s="8">
        <f>+MINVU_Mes_Corriente!DZ124*SALUD_Mes_Constante!$DP$1</f>
        <v>587386.04216152022</v>
      </c>
      <c r="EA124" s="8">
        <f>+MINVU_Mes_Corriente!EA124*SALUD_Mes_Constante!$DP$1</f>
        <v>587386.04216152022</v>
      </c>
      <c r="EB124" s="9">
        <f t="shared" si="66"/>
        <v>587386.04216152022</v>
      </c>
      <c r="EC124" s="8">
        <f>+MINVU_Mes_Corriente!EC124*SALUD_Mes_Constante!$EC$1</f>
        <v>514690.94338193507</v>
      </c>
      <c r="ED124" s="8">
        <f>+MINVU_Mes_Corriente!ED124*SALUD_Mes_Constante!$EC$1</f>
        <v>514690.94338193507</v>
      </c>
      <c r="EE124" s="8">
        <f>+MINVU_Mes_Corriente!EE124*SALUD_Mes_Constante!$EC$1</f>
        <v>514690.94338193507</v>
      </c>
      <c r="EF124" s="8">
        <f>+MINVU_Mes_Corriente!EF124*SALUD_Mes_Constante!$EC$1</f>
        <v>514690.94338193507</v>
      </c>
      <c r="EG124" s="8">
        <f>+MINVU_Mes_Corriente!EG124*SALUD_Mes_Constante!$EC$1</f>
        <v>514690.94338193507</v>
      </c>
      <c r="EH124" s="8">
        <f>+MINVU_Mes_Corriente!EH124*SALUD_Mes_Constante!$EC$1</f>
        <v>514690.94338193507</v>
      </c>
      <c r="EI124" s="8">
        <f>+MINVU_Mes_Corriente!EI124*SALUD_Mes_Constante!$EC$1</f>
        <v>514690.94338193507</v>
      </c>
      <c r="EJ124" s="8">
        <f>+MINVU_Mes_Corriente!EJ124*SALUD_Mes_Constante!$EC$1</f>
        <v>514690.94338193507</v>
      </c>
      <c r="EK124" s="8">
        <f>+MINVU_Mes_Corriente!EK124*SALUD_Mes_Constante!$EC$1</f>
        <v>514690.94338193507</v>
      </c>
      <c r="EL124" s="8">
        <f>+MINVU_Mes_Corriente!EL124*SALUD_Mes_Constante!$EC$1</f>
        <v>514690.94338193507</v>
      </c>
      <c r="EM124" s="8">
        <f>+MINVU_Mes_Corriente!EM124*SALUD_Mes_Constante!$EC$1</f>
        <v>514690.94338193507</v>
      </c>
      <c r="EN124" s="8">
        <f>+MINVU_Mes_Corriente!EN124*SALUD_Mes_Constante!$EC$1</f>
        <v>514690.94338193507</v>
      </c>
      <c r="EO124" s="9">
        <f t="shared" si="67"/>
        <v>514690.94338193507</v>
      </c>
      <c r="EP124" s="8">
        <f>+MINVU_Mes_Corriente!EP124*SALUD_Mes_Constante!$EP$1</f>
        <v>518441</v>
      </c>
      <c r="EQ124" s="8">
        <f>+MINVU_Mes_Corriente!EQ124*SALUD_Mes_Constante!$EP$1</f>
        <v>518441</v>
      </c>
      <c r="ER124" s="8">
        <f>+MINVU_Mes_Corriente!ER124*SALUD_Mes_Constante!$EP$1</f>
        <v>518441</v>
      </c>
      <c r="ES124" s="8">
        <f>+MINVU_Mes_Corriente!ES124*SALUD_Mes_Constante!$EP$1</f>
        <v>518441</v>
      </c>
      <c r="ET124" s="8">
        <f>+MINVU_Mes_Corriente!ET124*SALUD_Mes_Constante!$EP$1</f>
        <v>518441</v>
      </c>
      <c r="EU124" s="8">
        <f>+MINVU_Mes_Corriente!EU124*SALUD_Mes_Constante!$EP$1</f>
        <v>518441</v>
      </c>
      <c r="EV124" s="8">
        <f>+MINVU_Mes_Corriente!EV124*SALUD_Mes_Constante!$EP$1</f>
        <v>518441</v>
      </c>
      <c r="EW124" s="8">
        <f>+MINVU_Mes_Corriente!EW124*SALUD_Mes_Constante!$EP$1</f>
        <v>518441</v>
      </c>
      <c r="EX124" s="8">
        <f>+MINVU_Mes_Corriente!EX124*SALUD_Mes_Constante!$EP$1</f>
        <v>518441</v>
      </c>
      <c r="EY124" s="8">
        <f>+MINVU_Mes_Corriente!EY124*SALUD_Mes_Constante!$EP$1</f>
        <v>518441</v>
      </c>
      <c r="EZ124" s="8">
        <f>+MINVU_Mes_Corriente!EZ124*SALUD_Mes_Constante!$EP$1</f>
        <v>518441</v>
      </c>
      <c r="FA124" s="8">
        <f>+MINVU_Mes_Corriente!FA124*SALUD_Mes_Constante!$EP$1</f>
        <v>518441</v>
      </c>
      <c r="FB124" s="9">
        <f t="shared" si="68"/>
        <v>518441</v>
      </c>
      <c r="FC124" s="8">
        <f>+MINVU_Mes_Corriente!FC124*SALUD_Mes_Constante!$FC$1</f>
        <v>534512</v>
      </c>
      <c r="FD124" s="8">
        <f>+MINVU_Mes_Corriente!FD124*SALUD_Mes_Constante!$FC$1</f>
        <v>534512</v>
      </c>
      <c r="FE124" s="8">
        <f>+MINVU_Mes_Corriente!FE124*SALUD_Mes_Constante!$FC$1</f>
        <v>534512</v>
      </c>
      <c r="FF124" s="8">
        <f>+MINVU_Mes_Corriente!FF124*SALUD_Mes_Constante!$FC$1</f>
        <v>534512</v>
      </c>
      <c r="FG124" s="8">
        <f>+MINVU_Mes_Corriente!FG124*SALUD_Mes_Constante!$FC$1</f>
        <v>534512</v>
      </c>
      <c r="FH124" s="8">
        <f>+MINVU_Mes_Corriente!FH124*SALUD_Mes_Constante!$FC$1</f>
        <v>534512</v>
      </c>
      <c r="FI124" s="8">
        <f>+MINVU_Mes_Corriente!FI124*SALUD_Mes_Constante!$FC$1</f>
        <v>534512</v>
      </c>
      <c r="FJ124" s="8"/>
      <c r="FK124" s="8"/>
      <c r="FL124" s="8"/>
      <c r="FM124" s="8"/>
      <c r="FN124" s="8"/>
      <c r="FO124" s="9">
        <f t="shared" si="69"/>
        <v>534512</v>
      </c>
    </row>
    <row r="125" spans="2:171" ht="14.25" customHeight="1" x14ac:dyDescent="0.3">
      <c r="B125" s="7" t="s">
        <v>49</v>
      </c>
      <c r="C125" s="8">
        <f>+MINVU_Mes_Corriente!C125*SALUD_Mes_Constante!$C$1</f>
        <v>191207.43052053984</v>
      </c>
      <c r="D125" s="8">
        <f>+MINVU_Mes_Corriente!D125*SALUD_Mes_Constante!$C$1</f>
        <v>191207.43052053984</v>
      </c>
      <c r="E125" s="8">
        <f>+MINVU_Mes_Corriente!E125*SALUD_Mes_Constante!$C$1</f>
        <v>191207.43052053984</v>
      </c>
      <c r="F125" s="8">
        <f>+MINVU_Mes_Corriente!F125*SALUD_Mes_Constante!$C$1</f>
        <v>191207.43052053984</v>
      </c>
      <c r="G125" s="8">
        <f>+MINVU_Mes_Corriente!G125*SALUD_Mes_Constante!$C$1</f>
        <v>191207.43052053984</v>
      </c>
      <c r="H125" s="8">
        <f>+MINVU_Mes_Corriente!H125*SALUD_Mes_Constante!$C$1</f>
        <v>191207.43052053984</v>
      </c>
      <c r="I125" s="8">
        <f>+MINVU_Mes_Corriente!I125*SALUD_Mes_Constante!$C$1</f>
        <v>191207.43052053984</v>
      </c>
      <c r="J125" s="8">
        <f>+MINVU_Mes_Corriente!J125*SALUD_Mes_Constante!$C$1</f>
        <v>191207.43052053984</v>
      </c>
      <c r="K125" s="8">
        <f>+MINVU_Mes_Corriente!K125*SALUD_Mes_Constante!$C$1</f>
        <v>191207.43052053984</v>
      </c>
      <c r="L125" s="8">
        <f>+MINVU_Mes_Corriente!L125*SALUD_Mes_Constante!$C$1</f>
        <v>191207.43052053984</v>
      </c>
      <c r="M125" s="8">
        <f>+MINVU_Mes_Corriente!M125*SALUD_Mes_Constante!$C$1</f>
        <v>191207.43052053984</v>
      </c>
      <c r="N125" s="8">
        <f>+MINVU_Mes_Corriente!N125*SALUD_Mes_Constante!$C$1</f>
        <v>191207.43052053984</v>
      </c>
      <c r="O125" s="9">
        <f t="shared" si="57"/>
        <v>191207.43052053984</v>
      </c>
      <c r="P125" s="8">
        <f>+MINVU_Mes_Corriente!P125*SALUD_Mes_Constante!$P$1</f>
        <v>188661.70535587435</v>
      </c>
      <c r="Q125" s="8">
        <f>+MINVU_Mes_Corriente!Q125*SALUD_Mes_Constante!$P$1</f>
        <v>188661.70535587435</v>
      </c>
      <c r="R125" s="8">
        <f>+MINVU_Mes_Corriente!R125*SALUD_Mes_Constante!$P$1</f>
        <v>188661.70535587435</v>
      </c>
      <c r="S125" s="8">
        <f>+MINVU_Mes_Corriente!S125*SALUD_Mes_Constante!$P$1</f>
        <v>188661.70535587435</v>
      </c>
      <c r="T125" s="8">
        <f>+MINVU_Mes_Corriente!T125*SALUD_Mes_Constante!$P$1</f>
        <v>188661.70535587435</v>
      </c>
      <c r="U125" s="8">
        <f>+MINVU_Mes_Corriente!U125*SALUD_Mes_Constante!$P$1</f>
        <v>188661.70535587435</v>
      </c>
      <c r="V125" s="8">
        <f>+MINVU_Mes_Corriente!V125*SALUD_Mes_Constante!$P$1</f>
        <v>188661.70535587435</v>
      </c>
      <c r="W125" s="8">
        <f>+MINVU_Mes_Corriente!W125*SALUD_Mes_Constante!$P$1</f>
        <v>188661.70535587435</v>
      </c>
      <c r="X125" s="8">
        <f>+MINVU_Mes_Corriente!X125*SALUD_Mes_Constante!$P$1</f>
        <v>188661.70535587435</v>
      </c>
      <c r="Y125" s="8">
        <f>+MINVU_Mes_Corriente!Y125*SALUD_Mes_Constante!$P$1</f>
        <v>188661.70535587435</v>
      </c>
      <c r="Z125" s="8">
        <f>+MINVU_Mes_Corriente!Z125*SALUD_Mes_Constante!$P$1</f>
        <v>188661.70535587435</v>
      </c>
      <c r="AA125" s="8">
        <f>+MINVU_Mes_Corriente!AA125*SALUD_Mes_Constante!$P$1</f>
        <v>188661.70535587435</v>
      </c>
      <c r="AB125" s="9">
        <f t="shared" si="58"/>
        <v>188661.70535587435</v>
      </c>
      <c r="AC125" s="8">
        <f>+MINVU_Mes_Corriente!AC125*SALUD_Mes_Constante!$AC$1</f>
        <v>190684.31843961819</v>
      </c>
      <c r="AD125" s="8">
        <f>+MINVU_Mes_Corriente!AD125*SALUD_Mes_Constante!$AC$1</f>
        <v>190684.31843961819</v>
      </c>
      <c r="AE125" s="8">
        <f>+MINVU_Mes_Corriente!AE125*SALUD_Mes_Constante!$AC$1</f>
        <v>190684.31843961819</v>
      </c>
      <c r="AF125" s="8">
        <f>+MINVU_Mes_Corriente!AF125*SALUD_Mes_Constante!$AC$1</f>
        <v>190684.31843961819</v>
      </c>
      <c r="AG125" s="8">
        <f>+MINVU_Mes_Corriente!AG125*SALUD_Mes_Constante!$AC$1</f>
        <v>190684.31843961819</v>
      </c>
      <c r="AH125" s="8">
        <f>+MINVU_Mes_Corriente!AH125*SALUD_Mes_Constante!$AC$1</f>
        <v>190684.31843961819</v>
      </c>
      <c r="AI125" s="8">
        <f>+MINVU_Mes_Corriente!AI125*SALUD_Mes_Constante!$AC$1</f>
        <v>190684.31843961819</v>
      </c>
      <c r="AJ125" s="8">
        <f>+MINVU_Mes_Corriente!AJ125*SALUD_Mes_Constante!$AC$1</f>
        <v>190684.31843961819</v>
      </c>
      <c r="AK125" s="8">
        <f>+MINVU_Mes_Corriente!AK125*SALUD_Mes_Constante!$AC$1</f>
        <v>190684.31843961819</v>
      </c>
      <c r="AL125" s="8">
        <f>+MINVU_Mes_Corriente!AL125*SALUD_Mes_Constante!$AC$1</f>
        <v>190684.31843961819</v>
      </c>
      <c r="AM125" s="8">
        <f>+MINVU_Mes_Corriente!AM125*SALUD_Mes_Constante!$AC$1</f>
        <v>190684.31843961819</v>
      </c>
      <c r="AN125" s="8">
        <f>+MINVU_Mes_Corriente!AN125*SALUD_Mes_Constante!$AC$1</f>
        <v>190684.31843961819</v>
      </c>
      <c r="AO125" s="9">
        <f t="shared" si="59"/>
        <v>190684.31843961819</v>
      </c>
      <c r="AP125" s="8">
        <f>+MINVU_Mes_Corriente!AP125*SALUD_Mes_Constante!$AP$1</f>
        <v>192048.1330988773</v>
      </c>
      <c r="AQ125" s="8">
        <f>+MINVU_Mes_Corriente!AQ125*SALUD_Mes_Constante!$AP$1</f>
        <v>192048.1330988773</v>
      </c>
      <c r="AR125" s="8">
        <f>+MINVU_Mes_Corriente!AR125*SALUD_Mes_Constante!$AP$1</f>
        <v>192048.1330988773</v>
      </c>
      <c r="AS125" s="8">
        <f>+MINVU_Mes_Corriente!AS125*SALUD_Mes_Constante!$AP$1</f>
        <v>192048.1330988773</v>
      </c>
      <c r="AT125" s="8">
        <f>+MINVU_Mes_Corriente!AT125*SALUD_Mes_Constante!$AP$1</f>
        <v>192048.1330988773</v>
      </c>
      <c r="AU125" s="8">
        <f>+MINVU_Mes_Corriente!AU125*SALUD_Mes_Constante!$AP$1</f>
        <v>192048.1330988773</v>
      </c>
      <c r="AV125" s="8">
        <f>+MINVU_Mes_Corriente!AV125*SALUD_Mes_Constante!$AP$1</f>
        <v>192048.1330988773</v>
      </c>
      <c r="AW125" s="8">
        <f>+MINVU_Mes_Corriente!AW125*SALUD_Mes_Constante!$AP$1</f>
        <v>192048.1330988773</v>
      </c>
      <c r="AX125" s="8">
        <f>+MINVU_Mes_Corriente!AX125*SALUD_Mes_Constante!$AP$1</f>
        <v>192048.1330988773</v>
      </c>
      <c r="AY125" s="8">
        <f>+MINVU_Mes_Corriente!AY125*SALUD_Mes_Constante!$AP$1</f>
        <v>192048.1330988773</v>
      </c>
      <c r="AZ125" s="8">
        <f>+MINVU_Mes_Corriente!AZ125*SALUD_Mes_Constante!$AP$1</f>
        <v>192048.1330988773</v>
      </c>
      <c r="BA125" s="8">
        <f>+MINVU_Mes_Corriente!BA125*SALUD_Mes_Constante!$AP$1</f>
        <v>192048.1330988773</v>
      </c>
      <c r="BB125" s="9">
        <f t="shared" si="60"/>
        <v>192048.1330988773</v>
      </c>
      <c r="BC125" s="8">
        <f>+MINVU_Mes_Corriente!BC125*SALUD_Mes_Constante!$BC$1</f>
        <v>192104.81366213903</v>
      </c>
      <c r="BD125" s="8">
        <f>+MINVU_Mes_Corriente!BD125*SALUD_Mes_Constante!$BC$1</f>
        <v>192104.81366213903</v>
      </c>
      <c r="BE125" s="8">
        <f>+MINVU_Mes_Corriente!BE125*SALUD_Mes_Constante!$BC$1</f>
        <v>192104.81366213903</v>
      </c>
      <c r="BF125" s="8">
        <f>+MINVU_Mes_Corriente!BF125*SALUD_Mes_Constante!$BC$1</f>
        <v>192104.81366213903</v>
      </c>
      <c r="BG125" s="8">
        <f>+MINVU_Mes_Corriente!BG125*SALUD_Mes_Constante!$BC$1</f>
        <v>192104.81366213903</v>
      </c>
      <c r="BH125" s="8">
        <f>+MINVU_Mes_Corriente!BH125*SALUD_Mes_Constante!$BC$1</f>
        <v>192104.81366213903</v>
      </c>
      <c r="BI125" s="8">
        <f>+MINVU_Mes_Corriente!BI125*SALUD_Mes_Constante!$BC$1</f>
        <v>192104.81366213903</v>
      </c>
      <c r="BJ125" s="8">
        <f>+MINVU_Mes_Corriente!BJ125*SALUD_Mes_Constante!$BC$1</f>
        <v>192104.81366213903</v>
      </c>
      <c r="BK125" s="8">
        <f>+MINVU_Mes_Corriente!BK125*SALUD_Mes_Constante!$BC$1</f>
        <v>192104.81366213903</v>
      </c>
      <c r="BL125" s="8">
        <f>+MINVU_Mes_Corriente!BL125*SALUD_Mes_Constante!$BC$1</f>
        <v>192104.81366213903</v>
      </c>
      <c r="BM125" s="8">
        <f>+MINVU_Mes_Corriente!BM125*SALUD_Mes_Constante!$BC$1</f>
        <v>192104.81366213903</v>
      </c>
      <c r="BN125" s="8">
        <f>+MINVU_Mes_Corriente!BN125*SALUD_Mes_Constante!$BC$1</f>
        <v>192104.81366213903</v>
      </c>
      <c r="BO125" s="9">
        <f t="shared" si="61"/>
        <v>192104.81366213903</v>
      </c>
      <c r="BP125" s="8">
        <f>+MINVU_Mes_Corriente!BP125*SALUD_Mes_Constante!$BP$1</f>
        <v>0</v>
      </c>
      <c r="BQ125" s="8">
        <f>+MINVU_Mes_Corriente!BQ125*SALUD_Mes_Constante!$BP$1</f>
        <v>0</v>
      </c>
      <c r="BR125" s="8">
        <f>+MINVU_Mes_Corriente!BR125*SALUD_Mes_Constante!$BP$1</f>
        <v>0</v>
      </c>
      <c r="BS125" s="8">
        <f>+MINVU_Mes_Corriente!BS125*SALUD_Mes_Constante!$BP$1</f>
        <v>0</v>
      </c>
      <c r="BT125" s="8">
        <f>+MINVU_Mes_Corriente!BT125*SALUD_Mes_Constante!$BP$1</f>
        <v>0</v>
      </c>
      <c r="BU125" s="8">
        <f>+MINVU_Mes_Corriente!BU125*SALUD_Mes_Constante!$BP$1</f>
        <v>0</v>
      </c>
      <c r="BV125" s="8">
        <f>+MINVU_Mes_Corriente!BV125*SALUD_Mes_Constante!$BP$1</f>
        <v>0</v>
      </c>
      <c r="BW125" s="8">
        <f>+MINVU_Mes_Corriente!BW125*SALUD_Mes_Constante!$BP$1</f>
        <v>0</v>
      </c>
      <c r="BX125" s="8">
        <f>+MINVU_Mes_Corriente!BX125*SALUD_Mes_Constante!$BP$1</f>
        <v>0</v>
      </c>
      <c r="BY125" s="8">
        <f>+MINVU_Mes_Corriente!BY125*SALUD_Mes_Constante!$BP$1</f>
        <v>0</v>
      </c>
      <c r="BZ125" s="8">
        <f>+MINVU_Mes_Corriente!BZ125*SALUD_Mes_Constante!$BP$1</f>
        <v>0</v>
      </c>
      <c r="CA125" s="8">
        <f>+MINVU_Mes_Corriente!CA125*SALUD_Mes_Constante!$BP$1</f>
        <v>0</v>
      </c>
      <c r="CB125" s="9">
        <f t="shared" si="62"/>
        <v>0</v>
      </c>
      <c r="CC125" s="8">
        <f>+MINVU_Mes_Corriente!CC125*SALUD_Mes_Constante!$CC$1</f>
        <v>57792.467735919439</v>
      </c>
      <c r="CD125" s="8">
        <f>+MINVU_Mes_Corriente!CD125*SALUD_Mes_Constante!$CC$1</f>
        <v>57792.467735919439</v>
      </c>
      <c r="CE125" s="8">
        <f>+MINVU_Mes_Corriente!CE125*SALUD_Mes_Constante!$CC$1</f>
        <v>57792.467735919439</v>
      </c>
      <c r="CF125" s="8">
        <f>+MINVU_Mes_Corriente!CF125*SALUD_Mes_Constante!$CC$1</f>
        <v>57792.467735919439</v>
      </c>
      <c r="CG125" s="8">
        <f>+MINVU_Mes_Corriente!CG125*SALUD_Mes_Constante!$CC$1</f>
        <v>57792.467735919439</v>
      </c>
      <c r="CH125" s="8">
        <f>+MINVU_Mes_Corriente!CH125*SALUD_Mes_Constante!$CC$1</f>
        <v>57792.467735919439</v>
      </c>
      <c r="CI125" s="8">
        <f>+MINVU_Mes_Corriente!CI125*SALUD_Mes_Constante!$CC$1</f>
        <v>57792.467735919439</v>
      </c>
      <c r="CJ125" s="8">
        <f>+MINVU_Mes_Corriente!CJ125*SALUD_Mes_Constante!$CC$1</f>
        <v>57792.467735919439</v>
      </c>
      <c r="CK125" s="8">
        <f>+MINVU_Mes_Corriente!CK125*SALUD_Mes_Constante!$CC$1</f>
        <v>57792.467735919439</v>
      </c>
      <c r="CL125" s="8">
        <f>+MINVU_Mes_Corriente!CL125*SALUD_Mes_Constante!$CC$1</f>
        <v>57792.467735919439</v>
      </c>
      <c r="CM125" s="8">
        <f>+MINVU_Mes_Corriente!CM125*SALUD_Mes_Constante!$CC$1</f>
        <v>57792.467735919439</v>
      </c>
      <c r="CN125" s="8">
        <f>+MINVU_Mes_Corriente!CN125*SALUD_Mes_Constante!$CC$1</f>
        <v>57792.467735919439</v>
      </c>
      <c r="CO125" s="9">
        <f t="shared" si="63"/>
        <v>57792.467735919439</v>
      </c>
      <c r="CP125" s="8">
        <f>+MINVU_Mes_Corriente!CP125*SALUD_Mes_Constante!$CP$1</f>
        <v>232277.63387470992</v>
      </c>
      <c r="CQ125" s="8">
        <f>+MINVU_Mes_Corriente!CQ125*SALUD_Mes_Constante!$CP$1</f>
        <v>232277.63387470992</v>
      </c>
      <c r="CR125" s="8">
        <f>+MINVU_Mes_Corriente!CR125*SALUD_Mes_Constante!$CP$1</f>
        <v>232277.63387470992</v>
      </c>
      <c r="CS125" s="8">
        <f>+MINVU_Mes_Corriente!CS125*SALUD_Mes_Constante!$CP$1</f>
        <v>232277.63387470992</v>
      </c>
      <c r="CT125" s="8">
        <f>+MINVU_Mes_Corriente!CT125*SALUD_Mes_Constante!$CP$1</f>
        <v>232277.63387470992</v>
      </c>
      <c r="CU125" s="8">
        <f>+MINVU_Mes_Corriente!CU125*SALUD_Mes_Constante!$CP$1</f>
        <v>232277.63387470992</v>
      </c>
      <c r="CV125" s="8">
        <f>+MINVU_Mes_Corriente!CV125*SALUD_Mes_Constante!$CP$1</f>
        <v>232277.63387470992</v>
      </c>
      <c r="CW125" s="8">
        <f>+MINVU_Mes_Corriente!CW125*SALUD_Mes_Constante!$CP$1</f>
        <v>232277.63387470992</v>
      </c>
      <c r="CX125" s="8">
        <f>+MINVU_Mes_Corriente!CX125*SALUD_Mes_Constante!$CP$1</f>
        <v>232277.63387470992</v>
      </c>
      <c r="CY125" s="8">
        <f>+MINVU_Mes_Corriente!CY125*SALUD_Mes_Constante!$CP$1</f>
        <v>232277.63387470992</v>
      </c>
      <c r="CZ125" s="8">
        <f>+MINVU_Mes_Corriente!CZ125*SALUD_Mes_Constante!$CP$1</f>
        <v>232277.63387470992</v>
      </c>
      <c r="DA125" s="8">
        <f>+MINVU_Mes_Corriente!DA125*SALUD_Mes_Constante!$CP$1</f>
        <v>232277.63387470992</v>
      </c>
      <c r="DB125" s="9">
        <f t="shared" si="64"/>
        <v>232277.63387470992</v>
      </c>
      <c r="DC125" s="8">
        <f>+MINVU_Mes_Corriente!DC125*SALUD_Mes_Constante!$DC$1</f>
        <v>279329.52350581228</v>
      </c>
      <c r="DD125" s="8">
        <f>+MINVU_Mes_Corriente!DD125*SALUD_Mes_Constante!$DC$1</f>
        <v>279329.52350581228</v>
      </c>
      <c r="DE125" s="8">
        <f>+MINVU_Mes_Corriente!DE125*SALUD_Mes_Constante!$DC$1</f>
        <v>279329.52350581228</v>
      </c>
      <c r="DF125" s="8">
        <f>+MINVU_Mes_Corriente!DF125*SALUD_Mes_Constante!$DC$1</f>
        <v>279329.52350581228</v>
      </c>
      <c r="DG125" s="8">
        <f>+MINVU_Mes_Corriente!DG125*SALUD_Mes_Constante!$DC$1</f>
        <v>279329.52350581228</v>
      </c>
      <c r="DH125" s="8">
        <f>+MINVU_Mes_Corriente!DH125*SALUD_Mes_Constante!$DC$1</f>
        <v>279329.52350581228</v>
      </c>
      <c r="DI125" s="8">
        <f>+MINVU_Mes_Corriente!DI125*SALUD_Mes_Constante!$DC$1</f>
        <v>279329.52350581228</v>
      </c>
      <c r="DJ125" s="8">
        <f>+MINVU_Mes_Corriente!DJ125*SALUD_Mes_Constante!$DC$1</f>
        <v>279329.52350581228</v>
      </c>
      <c r="DK125" s="8">
        <f>+MINVU_Mes_Corriente!DK125*SALUD_Mes_Constante!$DC$1</f>
        <v>279329.52350581228</v>
      </c>
      <c r="DL125" s="8">
        <f>+MINVU_Mes_Corriente!DL125*SALUD_Mes_Constante!$DC$1</f>
        <v>279329.52350581228</v>
      </c>
      <c r="DM125" s="8">
        <f>+MINVU_Mes_Corriente!DM125*SALUD_Mes_Constante!$DC$1</f>
        <v>279329.52350581228</v>
      </c>
      <c r="DN125" s="8">
        <f>+MINVU_Mes_Corriente!DN125*SALUD_Mes_Constante!$DC$1</f>
        <v>279329.52350581228</v>
      </c>
      <c r="DO125" s="9">
        <f t="shared" si="65"/>
        <v>279329.52350581228</v>
      </c>
      <c r="DP125" s="8">
        <f>+MINVU_Mes_Corriente!DP125*SALUD_Mes_Constante!$DP$1</f>
        <v>285672.07838479814</v>
      </c>
      <c r="DQ125" s="8">
        <f>+MINVU_Mes_Corriente!DQ125*SALUD_Mes_Constante!$DP$1</f>
        <v>285672.07838479814</v>
      </c>
      <c r="DR125" s="8">
        <f>+MINVU_Mes_Corriente!DR125*SALUD_Mes_Constante!$DP$1</f>
        <v>285672.07838479814</v>
      </c>
      <c r="DS125" s="8">
        <f>+MINVU_Mes_Corriente!DS125*SALUD_Mes_Constante!$DP$1</f>
        <v>285672.07838479814</v>
      </c>
      <c r="DT125" s="8">
        <f>+MINVU_Mes_Corriente!DT125*SALUD_Mes_Constante!$DP$1</f>
        <v>285672.07838479814</v>
      </c>
      <c r="DU125" s="8">
        <f>+MINVU_Mes_Corriente!DU125*SALUD_Mes_Constante!$DP$1</f>
        <v>285672.07838479814</v>
      </c>
      <c r="DV125" s="8">
        <f>+MINVU_Mes_Corriente!DV125*SALUD_Mes_Constante!$DP$1</f>
        <v>285672.07838479814</v>
      </c>
      <c r="DW125" s="8">
        <f>+MINVU_Mes_Corriente!DW125*SALUD_Mes_Constante!$DP$1</f>
        <v>285672.07838479814</v>
      </c>
      <c r="DX125" s="8">
        <f>+MINVU_Mes_Corriente!DX125*SALUD_Mes_Constante!$DP$1</f>
        <v>285672.07838479814</v>
      </c>
      <c r="DY125" s="8">
        <f>+MINVU_Mes_Corriente!DY125*SALUD_Mes_Constante!$DP$1</f>
        <v>285672.07838479814</v>
      </c>
      <c r="DZ125" s="8">
        <f>+MINVU_Mes_Corriente!DZ125*SALUD_Mes_Constante!$DP$1</f>
        <v>285672.07838479814</v>
      </c>
      <c r="EA125" s="8">
        <f>+MINVU_Mes_Corriente!EA125*SALUD_Mes_Constante!$DP$1</f>
        <v>285672.07838479814</v>
      </c>
      <c r="EB125" s="9">
        <f t="shared" si="66"/>
        <v>285672.07838479814</v>
      </c>
      <c r="EC125" s="8">
        <f>+MINVU_Mes_Corriente!EC125*SALUD_Mes_Constante!$EC$1</f>
        <v>250316.29445180829</v>
      </c>
      <c r="ED125" s="8">
        <f>+MINVU_Mes_Corriente!ED125*SALUD_Mes_Constante!$EC$1</f>
        <v>250316.29445180829</v>
      </c>
      <c r="EE125" s="8">
        <f>+MINVU_Mes_Corriente!EE125*SALUD_Mes_Constante!$EC$1</f>
        <v>250316.29445180829</v>
      </c>
      <c r="EF125" s="8">
        <f>+MINVU_Mes_Corriente!EF125*SALUD_Mes_Constante!$EC$1</f>
        <v>250316.29445180829</v>
      </c>
      <c r="EG125" s="8">
        <f>+MINVU_Mes_Corriente!EG125*SALUD_Mes_Constante!$EC$1</f>
        <v>250316.29445180829</v>
      </c>
      <c r="EH125" s="8">
        <f>+MINVU_Mes_Corriente!EH125*SALUD_Mes_Constante!$EC$1</f>
        <v>250316.29445180829</v>
      </c>
      <c r="EI125" s="8">
        <f>+MINVU_Mes_Corriente!EI125*SALUD_Mes_Constante!$EC$1</f>
        <v>250316.29445180829</v>
      </c>
      <c r="EJ125" s="8">
        <f>+MINVU_Mes_Corriente!EJ125*SALUD_Mes_Constante!$EC$1</f>
        <v>250316.29445180829</v>
      </c>
      <c r="EK125" s="8">
        <f>+MINVU_Mes_Corriente!EK125*SALUD_Mes_Constante!$EC$1</f>
        <v>250316.29445180829</v>
      </c>
      <c r="EL125" s="8">
        <f>+MINVU_Mes_Corriente!EL125*SALUD_Mes_Constante!$EC$1</f>
        <v>250316.29445180829</v>
      </c>
      <c r="EM125" s="8">
        <f>+MINVU_Mes_Corriente!EM125*SALUD_Mes_Constante!$EC$1</f>
        <v>250316.29445180829</v>
      </c>
      <c r="EN125" s="8">
        <f>+MINVU_Mes_Corriente!EN125*SALUD_Mes_Constante!$EC$1</f>
        <v>250316.29445180829</v>
      </c>
      <c r="EO125" s="9">
        <f t="shared" si="67"/>
        <v>250316.29445180829</v>
      </c>
      <c r="EP125" s="8">
        <f>+MINVU_Mes_Corriente!EP125*SALUD_Mes_Constante!$EP$1</f>
        <v>252140</v>
      </c>
      <c r="EQ125" s="8">
        <f>+MINVU_Mes_Corriente!EQ125*SALUD_Mes_Constante!$EP$1</f>
        <v>252140</v>
      </c>
      <c r="ER125" s="8">
        <f>+MINVU_Mes_Corriente!ER125*SALUD_Mes_Constante!$EP$1</f>
        <v>252140</v>
      </c>
      <c r="ES125" s="8">
        <f>+MINVU_Mes_Corriente!ES125*SALUD_Mes_Constante!$EP$1</f>
        <v>252140</v>
      </c>
      <c r="ET125" s="8">
        <f>+MINVU_Mes_Corriente!ET125*SALUD_Mes_Constante!$EP$1</f>
        <v>252140</v>
      </c>
      <c r="EU125" s="8">
        <f>+MINVU_Mes_Corriente!EU125*SALUD_Mes_Constante!$EP$1</f>
        <v>252140</v>
      </c>
      <c r="EV125" s="8">
        <f>+MINVU_Mes_Corriente!EV125*SALUD_Mes_Constante!$EP$1</f>
        <v>252140</v>
      </c>
      <c r="EW125" s="8">
        <f>+MINVU_Mes_Corriente!EW125*SALUD_Mes_Constante!$EP$1</f>
        <v>252140</v>
      </c>
      <c r="EX125" s="8">
        <f>+MINVU_Mes_Corriente!EX125*SALUD_Mes_Constante!$EP$1</f>
        <v>252140</v>
      </c>
      <c r="EY125" s="8">
        <f>+MINVU_Mes_Corriente!EY125*SALUD_Mes_Constante!$EP$1</f>
        <v>252140</v>
      </c>
      <c r="EZ125" s="8">
        <f>+MINVU_Mes_Corriente!EZ125*SALUD_Mes_Constante!$EP$1</f>
        <v>252140</v>
      </c>
      <c r="FA125" s="8">
        <f>+MINVU_Mes_Corriente!FA125*SALUD_Mes_Constante!$EP$1</f>
        <v>252140</v>
      </c>
      <c r="FB125" s="9">
        <f t="shared" si="68"/>
        <v>252140</v>
      </c>
      <c r="FC125" s="8">
        <f>+MINVU_Mes_Corriente!FC125*SALUD_Mes_Constante!$FC$1</f>
        <v>259957</v>
      </c>
      <c r="FD125" s="8">
        <f>+MINVU_Mes_Corriente!FD125*SALUD_Mes_Constante!$FC$1</f>
        <v>259957</v>
      </c>
      <c r="FE125" s="8">
        <f>+MINVU_Mes_Corriente!FE125*SALUD_Mes_Constante!$FC$1</f>
        <v>259957</v>
      </c>
      <c r="FF125" s="8">
        <f>+MINVU_Mes_Corriente!FF125*SALUD_Mes_Constante!$FC$1</f>
        <v>259957</v>
      </c>
      <c r="FG125" s="8">
        <f>+MINVU_Mes_Corriente!FG125*SALUD_Mes_Constante!$FC$1</f>
        <v>259957</v>
      </c>
      <c r="FH125" s="8">
        <f>+MINVU_Mes_Corriente!FH125*SALUD_Mes_Constante!$FC$1</f>
        <v>259957</v>
      </c>
      <c r="FI125" s="8">
        <f>+MINVU_Mes_Corriente!FI125*SALUD_Mes_Constante!$FC$1</f>
        <v>259957</v>
      </c>
      <c r="FJ125" s="8"/>
      <c r="FK125" s="8"/>
      <c r="FL125" s="8"/>
      <c r="FM125" s="8"/>
      <c r="FN125" s="8"/>
      <c r="FO125" s="9">
        <f t="shared" si="69"/>
        <v>259957</v>
      </c>
    </row>
    <row r="126" spans="2:171" ht="14.25" customHeight="1" x14ac:dyDescent="0.3">
      <c r="B126" s="7" t="s">
        <v>50</v>
      </c>
      <c r="C126" s="8">
        <f>+MINVU_Mes_Corriente!C126*SALUD_Mes_Constante!$C$1</f>
        <v>467003.45721488958</v>
      </c>
      <c r="D126" s="8">
        <f>+MINVU_Mes_Corriente!D126*SALUD_Mes_Constante!$C$1</f>
        <v>467003.45721488958</v>
      </c>
      <c r="E126" s="8">
        <f>+MINVU_Mes_Corriente!E126*SALUD_Mes_Constante!$C$1</f>
        <v>467003.45721488958</v>
      </c>
      <c r="F126" s="8">
        <f>+MINVU_Mes_Corriente!F126*SALUD_Mes_Constante!$C$1</f>
        <v>467003.45721488958</v>
      </c>
      <c r="G126" s="8">
        <f>+MINVU_Mes_Corriente!G126*SALUD_Mes_Constante!$C$1</f>
        <v>467003.45721488958</v>
      </c>
      <c r="H126" s="8">
        <f>+MINVU_Mes_Corriente!H126*SALUD_Mes_Constante!$C$1</f>
        <v>467003.45721488958</v>
      </c>
      <c r="I126" s="8">
        <f>+MINVU_Mes_Corriente!I126*SALUD_Mes_Constante!$C$1</f>
        <v>467003.45721488958</v>
      </c>
      <c r="J126" s="8">
        <f>+MINVU_Mes_Corriente!J126*SALUD_Mes_Constante!$C$1</f>
        <v>467003.45721488958</v>
      </c>
      <c r="K126" s="8">
        <f>+MINVU_Mes_Corriente!K126*SALUD_Mes_Constante!$C$1</f>
        <v>467003.45721488958</v>
      </c>
      <c r="L126" s="8">
        <f>+MINVU_Mes_Corriente!L126*SALUD_Mes_Constante!$C$1</f>
        <v>467003.45721488958</v>
      </c>
      <c r="M126" s="8">
        <f>+MINVU_Mes_Corriente!M126*SALUD_Mes_Constante!$C$1</f>
        <v>467003.45721488958</v>
      </c>
      <c r="N126" s="8">
        <f>+MINVU_Mes_Corriente!N126*SALUD_Mes_Constante!$C$1</f>
        <v>467003.45721488958</v>
      </c>
      <c r="O126" s="9">
        <f t="shared" si="57"/>
        <v>467003.45721488958</v>
      </c>
      <c r="P126" s="8">
        <f>+MINVU_Mes_Corriente!P126*SALUD_Mes_Constante!$P$1</f>
        <v>460785.69512714859</v>
      </c>
      <c r="Q126" s="8">
        <f>+MINVU_Mes_Corriente!Q126*SALUD_Mes_Constante!$P$1</f>
        <v>460785.69512714859</v>
      </c>
      <c r="R126" s="8">
        <f>+MINVU_Mes_Corriente!R126*SALUD_Mes_Constante!$P$1</f>
        <v>460785.69512714859</v>
      </c>
      <c r="S126" s="8">
        <f>+MINVU_Mes_Corriente!S126*SALUD_Mes_Constante!$P$1</f>
        <v>460785.69512714859</v>
      </c>
      <c r="T126" s="8">
        <f>+MINVU_Mes_Corriente!T126*SALUD_Mes_Constante!$P$1</f>
        <v>460785.69512714859</v>
      </c>
      <c r="U126" s="8">
        <f>+MINVU_Mes_Corriente!U126*SALUD_Mes_Constante!$P$1</f>
        <v>460785.69512714859</v>
      </c>
      <c r="V126" s="8">
        <f>+MINVU_Mes_Corriente!V126*SALUD_Mes_Constante!$P$1</f>
        <v>460785.69512714859</v>
      </c>
      <c r="W126" s="8">
        <f>+MINVU_Mes_Corriente!W126*SALUD_Mes_Constante!$P$1</f>
        <v>460785.69512714859</v>
      </c>
      <c r="X126" s="8">
        <f>+MINVU_Mes_Corriente!X126*SALUD_Mes_Constante!$P$1</f>
        <v>460785.69512714859</v>
      </c>
      <c r="Y126" s="8">
        <f>+MINVU_Mes_Corriente!Y126*SALUD_Mes_Constante!$P$1</f>
        <v>460785.69512714859</v>
      </c>
      <c r="Z126" s="8">
        <f>+MINVU_Mes_Corriente!Z126*SALUD_Mes_Constante!$P$1</f>
        <v>460785.69512714859</v>
      </c>
      <c r="AA126" s="8">
        <f>+MINVU_Mes_Corriente!AA126*SALUD_Mes_Constante!$P$1</f>
        <v>460785.69512714859</v>
      </c>
      <c r="AB126" s="9">
        <f t="shared" si="58"/>
        <v>460785.69512714859</v>
      </c>
      <c r="AC126" s="8">
        <f>+MINVU_Mes_Corriente!AC126*SALUD_Mes_Constante!$AC$1</f>
        <v>465725.09531055472</v>
      </c>
      <c r="AD126" s="8">
        <f>+MINVU_Mes_Corriente!AD126*SALUD_Mes_Constante!$AC$1</f>
        <v>465725.09531055472</v>
      </c>
      <c r="AE126" s="8">
        <f>+MINVU_Mes_Corriente!AE126*SALUD_Mes_Constante!$AC$1</f>
        <v>465725.09531055472</v>
      </c>
      <c r="AF126" s="8">
        <f>+MINVU_Mes_Corriente!AF126*SALUD_Mes_Constante!$AC$1</f>
        <v>465725.09531055472</v>
      </c>
      <c r="AG126" s="8">
        <f>+MINVU_Mes_Corriente!AG126*SALUD_Mes_Constante!$AC$1</f>
        <v>465725.09531055472</v>
      </c>
      <c r="AH126" s="8">
        <f>+MINVU_Mes_Corriente!AH126*SALUD_Mes_Constante!$AC$1</f>
        <v>465725.09531055472</v>
      </c>
      <c r="AI126" s="8">
        <f>+MINVU_Mes_Corriente!AI126*SALUD_Mes_Constante!$AC$1</f>
        <v>465725.09531055472</v>
      </c>
      <c r="AJ126" s="8">
        <f>+MINVU_Mes_Corriente!AJ126*SALUD_Mes_Constante!$AC$1</f>
        <v>465725.09531055472</v>
      </c>
      <c r="AK126" s="8">
        <f>+MINVU_Mes_Corriente!AK126*SALUD_Mes_Constante!$AC$1</f>
        <v>465725.09531055472</v>
      </c>
      <c r="AL126" s="8">
        <f>+MINVU_Mes_Corriente!AL126*SALUD_Mes_Constante!$AC$1</f>
        <v>465725.09531055472</v>
      </c>
      <c r="AM126" s="8">
        <f>+MINVU_Mes_Corriente!AM126*SALUD_Mes_Constante!$AC$1</f>
        <v>465725.09531055472</v>
      </c>
      <c r="AN126" s="8">
        <f>+MINVU_Mes_Corriente!AN126*SALUD_Mes_Constante!$AC$1</f>
        <v>465725.09531055472</v>
      </c>
      <c r="AO126" s="9">
        <f t="shared" si="59"/>
        <v>465725.09531055472</v>
      </c>
      <c r="AP126" s="8">
        <f>+MINVU_Mes_Corriente!AP126*SALUD_Mes_Constante!$AP$1</f>
        <v>469055.41160557279</v>
      </c>
      <c r="AQ126" s="8">
        <f>+MINVU_Mes_Corriente!AQ126*SALUD_Mes_Constante!$AP$1</f>
        <v>469055.41160557279</v>
      </c>
      <c r="AR126" s="8">
        <f>+MINVU_Mes_Corriente!AR126*SALUD_Mes_Constante!$AP$1</f>
        <v>469055.41160557279</v>
      </c>
      <c r="AS126" s="8">
        <f>+MINVU_Mes_Corriente!AS126*SALUD_Mes_Constante!$AP$1</f>
        <v>469055.41160557279</v>
      </c>
      <c r="AT126" s="8">
        <f>+MINVU_Mes_Corriente!AT126*SALUD_Mes_Constante!$AP$1</f>
        <v>469055.41160557279</v>
      </c>
      <c r="AU126" s="8">
        <f>+MINVU_Mes_Corriente!AU126*SALUD_Mes_Constante!$AP$1</f>
        <v>469055.41160557279</v>
      </c>
      <c r="AV126" s="8">
        <f>+MINVU_Mes_Corriente!AV126*SALUD_Mes_Constante!$AP$1</f>
        <v>469055.41160557279</v>
      </c>
      <c r="AW126" s="8">
        <f>+MINVU_Mes_Corriente!AW126*SALUD_Mes_Constante!$AP$1</f>
        <v>469055.41160557279</v>
      </c>
      <c r="AX126" s="8">
        <f>+MINVU_Mes_Corriente!AX126*SALUD_Mes_Constante!$AP$1</f>
        <v>469055.41160557279</v>
      </c>
      <c r="AY126" s="8">
        <f>+MINVU_Mes_Corriente!AY126*SALUD_Mes_Constante!$AP$1</f>
        <v>469055.41160557279</v>
      </c>
      <c r="AZ126" s="8">
        <f>+MINVU_Mes_Corriente!AZ126*SALUD_Mes_Constante!$AP$1</f>
        <v>469055.41160557279</v>
      </c>
      <c r="BA126" s="8">
        <f>+MINVU_Mes_Corriente!BA126*SALUD_Mes_Constante!$AP$1</f>
        <v>469055.41160557279</v>
      </c>
      <c r="BB126" s="9">
        <f t="shared" si="60"/>
        <v>469055.41160557279</v>
      </c>
      <c r="BC126" s="8">
        <f>+MINVU_Mes_Corriente!BC126*SALUD_Mes_Constante!$BC$1</f>
        <v>469192.66912831343</v>
      </c>
      <c r="BD126" s="8">
        <f>+MINVU_Mes_Corriente!BD126*SALUD_Mes_Constante!$BC$1</f>
        <v>469192.66912831343</v>
      </c>
      <c r="BE126" s="8">
        <f>+MINVU_Mes_Corriente!BE126*SALUD_Mes_Constante!$BC$1</f>
        <v>469192.66912831343</v>
      </c>
      <c r="BF126" s="8">
        <f>+MINVU_Mes_Corriente!BF126*SALUD_Mes_Constante!$BC$1</f>
        <v>469192.66912831343</v>
      </c>
      <c r="BG126" s="8">
        <f>+MINVU_Mes_Corriente!BG126*SALUD_Mes_Constante!$BC$1</f>
        <v>469192.66912831343</v>
      </c>
      <c r="BH126" s="8">
        <f>+MINVU_Mes_Corriente!BH126*SALUD_Mes_Constante!$BC$1</f>
        <v>469192.66912831343</v>
      </c>
      <c r="BI126" s="8">
        <f>+MINVU_Mes_Corriente!BI126*SALUD_Mes_Constante!$BC$1</f>
        <v>469192.66912831343</v>
      </c>
      <c r="BJ126" s="8">
        <f>+MINVU_Mes_Corriente!BJ126*SALUD_Mes_Constante!$BC$1</f>
        <v>469192.66912831343</v>
      </c>
      <c r="BK126" s="8">
        <f>+MINVU_Mes_Corriente!BK126*SALUD_Mes_Constante!$BC$1</f>
        <v>469192.66912831343</v>
      </c>
      <c r="BL126" s="8">
        <f>+MINVU_Mes_Corriente!BL126*SALUD_Mes_Constante!$BC$1</f>
        <v>469192.66912831343</v>
      </c>
      <c r="BM126" s="8">
        <f>+MINVU_Mes_Corriente!BM126*SALUD_Mes_Constante!$BC$1</f>
        <v>469192.66912831343</v>
      </c>
      <c r="BN126" s="8">
        <f>+MINVU_Mes_Corriente!BN126*SALUD_Mes_Constante!$BC$1</f>
        <v>469192.66912831343</v>
      </c>
      <c r="BO126" s="9">
        <f t="shared" si="61"/>
        <v>469192.66912831343</v>
      </c>
      <c r="BP126" s="8">
        <f>+MINVU_Mes_Corriente!BP126*SALUD_Mes_Constante!$BP$1</f>
        <v>0</v>
      </c>
      <c r="BQ126" s="8">
        <f>+MINVU_Mes_Corriente!BQ126*SALUD_Mes_Constante!$BP$1</f>
        <v>0</v>
      </c>
      <c r="BR126" s="8">
        <f>+MINVU_Mes_Corriente!BR126*SALUD_Mes_Constante!$BP$1</f>
        <v>0</v>
      </c>
      <c r="BS126" s="8">
        <f>+MINVU_Mes_Corriente!BS126*SALUD_Mes_Constante!$BP$1</f>
        <v>0</v>
      </c>
      <c r="BT126" s="8">
        <f>+MINVU_Mes_Corriente!BT126*SALUD_Mes_Constante!$BP$1</f>
        <v>0</v>
      </c>
      <c r="BU126" s="8">
        <f>+MINVU_Mes_Corriente!BU126*SALUD_Mes_Constante!$BP$1</f>
        <v>0</v>
      </c>
      <c r="BV126" s="8">
        <f>+MINVU_Mes_Corriente!BV126*SALUD_Mes_Constante!$BP$1</f>
        <v>0</v>
      </c>
      <c r="BW126" s="8">
        <f>+MINVU_Mes_Corriente!BW126*SALUD_Mes_Constante!$BP$1</f>
        <v>0</v>
      </c>
      <c r="BX126" s="8">
        <f>+MINVU_Mes_Corriente!BX126*SALUD_Mes_Constante!$BP$1</f>
        <v>0</v>
      </c>
      <c r="BY126" s="8">
        <f>+MINVU_Mes_Corriente!BY126*SALUD_Mes_Constante!$BP$1</f>
        <v>0</v>
      </c>
      <c r="BZ126" s="8">
        <f>+MINVU_Mes_Corriente!BZ126*SALUD_Mes_Constante!$BP$1</f>
        <v>0</v>
      </c>
      <c r="CA126" s="8">
        <f>+MINVU_Mes_Corriente!CA126*SALUD_Mes_Constante!$BP$1</f>
        <v>0</v>
      </c>
      <c r="CB126" s="9">
        <f t="shared" si="62"/>
        <v>0</v>
      </c>
      <c r="CC126" s="8">
        <f>+MINVU_Mes_Corriente!CC126*SALUD_Mes_Constante!$CC$1</f>
        <v>126517.72771353973</v>
      </c>
      <c r="CD126" s="8">
        <f>+MINVU_Mes_Corriente!CD126*SALUD_Mes_Constante!$CC$1</f>
        <v>126517.72771353973</v>
      </c>
      <c r="CE126" s="8">
        <f>+MINVU_Mes_Corriente!CE126*SALUD_Mes_Constante!$CC$1</f>
        <v>126517.72771353973</v>
      </c>
      <c r="CF126" s="8">
        <f>+MINVU_Mes_Corriente!CF126*SALUD_Mes_Constante!$CC$1</f>
        <v>126517.72771353973</v>
      </c>
      <c r="CG126" s="8">
        <f>+MINVU_Mes_Corriente!CG126*SALUD_Mes_Constante!$CC$1</f>
        <v>126517.72771353973</v>
      </c>
      <c r="CH126" s="8">
        <f>+MINVU_Mes_Corriente!CH126*SALUD_Mes_Constante!$CC$1</f>
        <v>126517.72771353973</v>
      </c>
      <c r="CI126" s="8">
        <f>+MINVU_Mes_Corriente!CI126*SALUD_Mes_Constante!$CC$1</f>
        <v>126517.72771353973</v>
      </c>
      <c r="CJ126" s="8">
        <f>+MINVU_Mes_Corriente!CJ126*SALUD_Mes_Constante!$CC$1</f>
        <v>126517.72771353973</v>
      </c>
      <c r="CK126" s="8">
        <f>+MINVU_Mes_Corriente!CK126*SALUD_Mes_Constante!$CC$1</f>
        <v>126517.72771353973</v>
      </c>
      <c r="CL126" s="8">
        <f>+MINVU_Mes_Corriente!CL126*SALUD_Mes_Constante!$CC$1</f>
        <v>126517.72771353973</v>
      </c>
      <c r="CM126" s="8">
        <f>+MINVU_Mes_Corriente!CM126*SALUD_Mes_Constante!$CC$1</f>
        <v>126517.72771353973</v>
      </c>
      <c r="CN126" s="8">
        <f>+MINVU_Mes_Corriente!CN126*SALUD_Mes_Constante!$CC$1</f>
        <v>126517.72771353973</v>
      </c>
      <c r="CO126" s="9">
        <f t="shared" si="63"/>
        <v>126517.72771353973</v>
      </c>
      <c r="CP126" s="8">
        <f>+MINVU_Mes_Corriente!CP126*SALUD_Mes_Constante!$CP$1</f>
        <v>523778.75081206486</v>
      </c>
      <c r="CQ126" s="8">
        <f>+MINVU_Mes_Corriente!CQ126*SALUD_Mes_Constante!$CP$1</f>
        <v>523778.75081206486</v>
      </c>
      <c r="CR126" s="8">
        <f>+MINVU_Mes_Corriente!CR126*SALUD_Mes_Constante!$CP$1</f>
        <v>523778.75081206486</v>
      </c>
      <c r="CS126" s="8">
        <f>+MINVU_Mes_Corriente!CS126*SALUD_Mes_Constante!$CP$1</f>
        <v>523778.75081206486</v>
      </c>
      <c r="CT126" s="8">
        <f>+MINVU_Mes_Corriente!CT126*SALUD_Mes_Constante!$CP$1</f>
        <v>523778.75081206486</v>
      </c>
      <c r="CU126" s="8">
        <f>+MINVU_Mes_Corriente!CU126*SALUD_Mes_Constante!$CP$1</f>
        <v>523778.75081206486</v>
      </c>
      <c r="CV126" s="8">
        <f>+MINVU_Mes_Corriente!CV126*SALUD_Mes_Constante!$CP$1</f>
        <v>523778.75081206486</v>
      </c>
      <c r="CW126" s="8">
        <f>+MINVU_Mes_Corriente!CW126*SALUD_Mes_Constante!$CP$1</f>
        <v>523778.75081206486</v>
      </c>
      <c r="CX126" s="8">
        <f>+MINVU_Mes_Corriente!CX126*SALUD_Mes_Constante!$CP$1</f>
        <v>523778.75081206486</v>
      </c>
      <c r="CY126" s="8">
        <f>+MINVU_Mes_Corriente!CY126*SALUD_Mes_Constante!$CP$1</f>
        <v>523778.75081206486</v>
      </c>
      <c r="CZ126" s="8">
        <f>+MINVU_Mes_Corriente!CZ126*SALUD_Mes_Constante!$CP$1</f>
        <v>523778.75081206486</v>
      </c>
      <c r="DA126" s="8">
        <f>+MINVU_Mes_Corriente!DA126*SALUD_Mes_Constante!$CP$1</f>
        <v>523778.75081206486</v>
      </c>
      <c r="DB126" s="9">
        <f t="shared" si="64"/>
        <v>523778.75081206486</v>
      </c>
      <c r="DC126" s="8">
        <f>+MINVU_Mes_Corriente!DC126*SALUD_Mes_Constante!$DC$1</f>
        <v>630871.12889620441</v>
      </c>
      <c r="DD126" s="8">
        <f>+MINVU_Mes_Corriente!DD126*SALUD_Mes_Constante!$DC$1</f>
        <v>630871.12889620441</v>
      </c>
      <c r="DE126" s="8">
        <f>+MINVU_Mes_Corriente!DE126*SALUD_Mes_Constante!$DC$1</f>
        <v>630871.12889620441</v>
      </c>
      <c r="DF126" s="8">
        <f>+MINVU_Mes_Corriente!DF126*SALUD_Mes_Constante!$DC$1</f>
        <v>630871.12889620441</v>
      </c>
      <c r="DG126" s="8">
        <f>+MINVU_Mes_Corriente!DG126*SALUD_Mes_Constante!$DC$1</f>
        <v>630871.12889620441</v>
      </c>
      <c r="DH126" s="8">
        <f>+MINVU_Mes_Corriente!DH126*SALUD_Mes_Constante!$DC$1</f>
        <v>630871.12889620441</v>
      </c>
      <c r="DI126" s="8">
        <f>+MINVU_Mes_Corriente!DI126*SALUD_Mes_Constante!$DC$1</f>
        <v>630871.12889620441</v>
      </c>
      <c r="DJ126" s="8">
        <f>+MINVU_Mes_Corriente!DJ126*SALUD_Mes_Constante!$DC$1</f>
        <v>630871.12889620441</v>
      </c>
      <c r="DK126" s="8">
        <f>+MINVU_Mes_Corriente!DK126*SALUD_Mes_Constante!$DC$1</f>
        <v>630871.12889620441</v>
      </c>
      <c r="DL126" s="8">
        <f>+MINVU_Mes_Corriente!DL126*SALUD_Mes_Constante!$DC$1</f>
        <v>630871.12889620441</v>
      </c>
      <c r="DM126" s="8">
        <f>+MINVU_Mes_Corriente!DM126*SALUD_Mes_Constante!$DC$1</f>
        <v>630871.12889620441</v>
      </c>
      <c r="DN126" s="8">
        <f>+MINVU_Mes_Corriente!DN126*SALUD_Mes_Constante!$DC$1</f>
        <v>630871.12889620441</v>
      </c>
      <c r="DO126" s="9">
        <f t="shared" si="65"/>
        <v>630871.12889620441</v>
      </c>
      <c r="DP126" s="8">
        <f>+MINVU_Mes_Corriente!DP126*SALUD_Mes_Constante!$DP$1</f>
        <v>645196.30403800483</v>
      </c>
      <c r="DQ126" s="8">
        <f>+MINVU_Mes_Corriente!DQ126*SALUD_Mes_Constante!$DP$1</f>
        <v>645196.30403800483</v>
      </c>
      <c r="DR126" s="8">
        <f>+MINVU_Mes_Corriente!DR126*SALUD_Mes_Constante!$DP$1</f>
        <v>645196.30403800483</v>
      </c>
      <c r="DS126" s="8">
        <f>+MINVU_Mes_Corriente!DS126*SALUD_Mes_Constante!$DP$1</f>
        <v>645196.30403800483</v>
      </c>
      <c r="DT126" s="8">
        <f>+MINVU_Mes_Corriente!DT126*SALUD_Mes_Constante!$DP$1</f>
        <v>645196.30403800483</v>
      </c>
      <c r="DU126" s="8">
        <f>+MINVU_Mes_Corriente!DU126*SALUD_Mes_Constante!$DP$1</f>
        <v>645196.30403800483</v>
      </c>
      <c r="DV126" s="8">
        <f>+MINVU_Mes_Corriente!DV126*SALUD_Mes_Constante!$DP$1</f>
        <v>645196.30403800483</v>
      </c>
      <c r="DW126" s="8">
        <f>+MINVU_Mes_Corriente!DW126*SALUD_Mes_Constante!$DP$1</f>
        <v>645196.30403800483</v>
      </c>
      <c r="DX126" s="8">
        <f>+MINVU_Mes_Corriente!DX126*SALUD_Mes_Constante!$DP$1</f>
        <v>645196.30403800483</v>
      </c>
      <c r="DY126" s="8">
        <f>+MINVU_Mes_Corriente!DY126*SALUD_Mes_Constante!$DP$1</f>
        <v>645196.30403800483</v>
      </c>
      <c r="DZ126" s="8">
        <f>+MINVU_Mes_Corriente!DZ126*SALUD_Mes_Constante!$DP$1</f>
        <v>645196.30403800483</v>
      </c>
      <c r="EA126" s="8">
        <f>+MINVU_Mes_Corriente!EA126*SALUD_Mes_Constante!$DP$1</f>
        <v>645196.30403800483</v>
      </c>
      <c r="EB126" s="9">
        <f t="shared" si="66"/>
        <v>645196.30403800483</v>
      </c>
      <c r="EC126" s="8">
        <f>+MINVU_Mes_Corriente!EC126*SALUD_Mes_Constante!$EC$1</f>
        <v>565344.46695701557</v>
      </c>
      <c r="ED126" s="8">
        <f>+MINVU_Mes_Corriente!ED126*SALUD_Mes_Constante!$EC$1</f>
        <v>565344.46695701557</v>
      </c>
      <c r="EE126" s="8">
        <f>+MINVU_Mes_Corriente!EE126*SALUD_Mes_Constante!$EC$1</f>
        <v>565344.46695701557</v>
      </c>
      <c r="EF126" s="8">
        <f>+MINVU_Mes_Corriente!EF126*SALUD_Mes_Constante!$EC$1</f>
        <v>565344.46695701557</v>
      </c>
      <c r="EG126" s="8">
        <f>+MINVU_Mes_Corriente!EG126*SALUD_Mes_Constante!$EC$1</f>
        <v>565344.46695701557</v>
      </c>
      <c r="EH126" s="8">
        <f>+MINVU_Mes_Corriente!EH126*SALUD_Mes_Constante!$EC$1</f>
        <v>565344.46695701557</v>
      </c>
      <c r="EI126" s="8">
        <f>+MINVU_Mes_Corriente!EI126*SALUD_Mes_Constante!$EC$1</f>
        <v>565344.46695701557</v>
      </c>
      <c r="EJ126" s="8">
        <f>+MINVU_Mes_Corriente!EJ126*SALUD_Mes_Constante!$EC$1</f>
        <v>565344.46695701557</v>
      </c>
      <c r="EK126" s="8">
        <f>+MINVU_Mes_Corriente!EK126*SALUD_Mes_Constante!$EC$1</f>
        <v>565344.46695701557</v>
      </c>
      <c r="EL126" s="8">
        <f>+MINVU_Mes_Corriente!EL126*SALUD_Mes_Constante!$EC$1</f>
        <v>565344.46695701557</v>
      </c>
      <c r="EM126" s="8">
        <f>+MINVU_Mes_Corriente!EM126*SALUD_Mes_Constante!$EC$1</f>
        <v>565344.46695701557</v>
      </c>
      <c r="EN126" s="8">
        <f>+MINVU_Mes_Corriente!EN126*SALUD_Mes_Constante!$EC$1</f>
        <v>565344.46695701557</v>
      </c>
      <c r="EO126" s="9">
        <f t="shared" si="67"/>
        <v>565344.46695701557</v>
      </c>
      <c r="EP126" s="8">
        <f>+MINVU_Mes_Corriente!EP126*SALUD_Mes_Constante!$EP$1</f>
        <v>569463</v>
      </c>
      <c r="EQ126" s="8">
        <f>+MINVU_Mes_Corriente!EQ126*SALUD_Mes_Constante!$EP$1</f>
        <v>569463</v>
      </c>
      <c r="ER126" s="8">
        <f>+MINVU_Mes_Corriente!ER126*SALUD_Mes_Constante!$EP$1</f>
        <v>569463</v>
      </c>
      <c r="ES126" s="8">
        <f>+MINVU_Mes_Corriente!ES126*SALUD_Mes_Constante!$EP$1</f>
        <v>569463</v>
      </c>
      <c r="ET126" s="8">
        <f>+MINVU_Mes_Corriente!ET126*SALUD_Mes_Constante!$EP$1</f>
        <v>569463</v>
      </c>
      <c r="EU126" s="8">
        <f>+MINVU_Mes_Corriente!EU126*SALUD_Mes_Constante!$EP$1</f>
        <v>569463</v>
      </c>
      <c r="EV126" s="8">
        <f>+MINVU_Mes_Corriente!EV126*SALUD_Mes_Constante!$EP$1</f>
        <v>569463</v>
      </c>
      <c r="EW126" s="8">
        <f>+MINVU_Mes_Corriente!EW126*SALUD_Mes_Constante!$EP$1</f>
        <v>569463</v>
      </c>
      <c r="EX126" s="8">
        <f>+MINVU_Mes_Corriente!EX126*SALUD_Mes_Constante!$EP$1</f>
        <v>569463</v>
      </c>
      <c r="EY126" s="8">
        <f>+MINVU_Mes_Corriente!EY126*SALUD_Mes_Constante!$EP$1</f>
        <v>569463</v>
      </c>
      <c r="EZ126" s="8">
        <f>+MINVU_Mes_Corriente!EZ126*SALUD_Mes_Constante!$EP$1</f>
        <v>569463</v>
      </c>
      <c r="FA126" s="8">
        <f>+MINVU_Mes_Corriente!FA126*SALUD_Mes_Constante!$EP$1</f>
        <v>569463</v>
      </c>
      <c r="FB126" s="9">
        <f t="shared" si="68"/>
        <v>569463</v>
      </c>
      <c r="FC126" s="8">
        <f>+MINVU_Mes_Corriente!FC126*SALUD_Mes_Constante!$FC$1</f>
        <v>587116</v>
      </c>
      <c r="FD126" s="8">
        <f>+MINVU_Mes_Corriente!FD126*SALUD_Mes_Constante!$FC$1</f>
        <v>587116</v>
      </c>
      <c r="FE126" s="8">
        <f>+MINVU_Mes_Corriente!FE126*SALUD_Mes_Constante!$FC$1</f>
        <v>587116</v>
      </c>
      <c r="FF126" s="8">
        <f>+MINVU_Mes_Corriente!FF126*SALUD_Mes_Constante!$FC$1</f>
        <v>587116</v>
      </c>
      <c r="FG126" s="8">
        <f>+MINVU_Mes_Corriente!FG126*SALUD_Mes_Constante!$FC$1</f>
        <v>587116</v>
      </c>
      <c r="FH126" s="8">
        <f>+MINVU_Mes_Corriente!FH126*SALUD_Mes_Constante!$FC$1</f>
        <v>587116</v>
      </c>
      <c r="FI126" s="8">
        <f>+MINVU_Mes_Corriente!FI126*SALUD_Mes_Constante!$FC$1</f>
        <v>587116</v>
      </c>
      <c r="FJ126" s="8"/>
      <c r="FK126" s="8"/>
      <c r="FL126" s="8"/>
      <c r="FM126" s="8"/>
      <c r="FN126" s="8"/>
      <c r="FO126" s="9">
        <f t="shared" si="69"/>
        <v>587116</v>
      </c>
    </row>
    <row r="127" spans="2:171" ht="14.25" customHeight="1" x14ac:dyDescent="0.3">
      <c r="B127" s="7" t="s">
        <v>51</v>
      </c>
      <c r="C127" s="8">
        <f>+MINVU_Mes_Corriente!C127*SALUD_Mes_Constante!$C$1</f>
        <v>561630.1032181523</v>
      </c>
      <c r="D127" s="8">
        <f>+MINVU_Mes_Corriente!D127*SALUD_Mes_Constante!$C$1</f>
        <v>561630.1032181523</v>
      </c>
      <c r="E127" s="8">
        <f>+MINVU_Mes_Corriente!E127*SALUD_Mes_Constante!$C$1</f>
        <v>561630.1032181523</v>
      </c>
      <c r="F127" s="8">
        <f>+MINVU_Mes_Corriente!F127*SALUD_Mes_Constante!$C$1</f>
        <v>561630.1032181523</v>
      </c>
      <c r="G127" s="8">
        <f>+MINVU_Mes_Corriente!G127*SALUD_Mes_Constante!$C$1</f>
        <v>561630.1032181523</v>
      </c>
      <c r="H127" s="8">
        <f>+MINVU_Mes_Corriente!H127*SALUD_Mes_Constante!$C$1</f>
        <v>561630.1032181523</v>
      </c>
      <c r="I127" s="8">
        <f>+MINVU_Mes_Corriente!I127*SALUD_Mes_Constante!$C$1</f>
        <v>561630.1032181523</v>
      </c>
      <c r="J127" s="8">
        <f>+MINVU_Mes_Corriente!J127*SALUD_Mes_Constante!$C$1</f>
        <v>561630.1032181523</v>
      </c>
      <c r="K127" s="8">
        <f>+MINVU_Mes_Corriente!K127*SALUD_Mes_Constante!$C$1</f>
        <v>561630.1032181523</v>
      </c>
      <c r="L127" s="8">
        <f>+MINVU_Mes_Corriente!L127*SALUD_Mes_Constante!$C$1</f>
        <v>561630.1032181523</v>
      </c>
      <c r="M127" s="8">
        <f>+MINVU_Mes_Corriente!M127*SALUD_Mes_Constante!$C$1</f>
        <v>561630.1032181523</v>
      </c>
      <c r="N127" s="8">
        <f>+MINVU_Mes_Corriente!N127*SALUD_Mes_Constante!$C$1</f>
        <v>561630.1032181523</v>
      </c>
      <c r="O127" s="9">
        <f t="shared" si="57"/>
        <v>561630.1032181523</v>
      </c>
      <c r="P127" s="8">
        <f>+MINVU_Mes_Corriente!P127*SALUD_Mes_Constante!$P$1</f>
        <v>554152.62594118458</v>
      </c>
      <c r="Q127" s="8">
        <f>+MINVU_Mes_Corriente!Q127*SALUD_Mes_Constante!$P$1</f>
        <v>554152.62594118458</v>
      </c>
      <c r="R127" s="8">
        <f>+MINVU_Mes_Corriente!R127*SALUD_Mes_Constante!$P$1</f>
        <v>554152.62594118458</v>
      </c>
      <c r="S127" s="8">
        <f>+MINVU_Mes_Corriente!S127*SALUD_Mes_Constante!$P$1</f>
        <v>554152.62594118458</v>
      </c>
      <c r="T127" s="8">
        <f>+MINVU_Mes_Corriente!T127*SALUD_Mes_Constante!$P$1</f>
        <v>554152.62594118458</v>
      </c>
      <c r="U127" s="8">
        <f>+MINVU_Mes_Corriente!U127*SALUD_Mes_Constante!$P$1</f>
        <v>554152.62594118458</v>
      </c>
      <c r="V127" s="8">
        <f>+MINVU_Mes_Corriente!V127*SALUD_Mes_Constante!$P$1</f>
        <v>554152.62594118458</v>
      </c>
      <c r="W127" s="8">
        <f>+MINVU_Mes_Corriente!W127*SALUD_Mes_Constante!$P$1</f>
        <v>554152.62594118458</v>
      </c>
      <c r="X127" s="8">
        <f>+MINVU_Mes_Corriente!X127*SALUD_Mes_Constante!$P$1</f>
        <v>554152.62594118458</v>
      </c>
      <c r="Y127" s="8">
        <f>+MINVU_Mes_Corriente!Y127*SALUD_Mes_Constante!$P$1</f>
        <v>554152.62594118458</v>
      </c>
      <c r="Z127" s="8">
        <f>+MINVU_Mes_Corriente!Z127*SALUD_Mes_Constante!$P$1</f>
        <v>554152.62594118458</v>
      </c>
      <c r="AA127" s="8">
        <f>+MINVU_Mes_Corriente!AA127*SALUD_Mes_Constante!$P$1</f>
        <v>554152.62594118458</v>
      </c>
      <c r="AB127" s="9">
        <f t="shared" si="58"/>
        <v>554152.62594118458</v>
      </c>
      <c r="AC127" s="8">
        <f>+MINVU_Mes_Corriente!AC127*SALUD_Mes_Constante!$AC$1</f>
        <v>560091.63784755848</v>
      </c>
      <c r="AD127" s="8">
        <f>+MINVU_Mes_Corriente!AD127*SALUD_Mes_Constante!$AC$1</f>
        <v>560091.63784755848</v>
      </c>
      <c r="AE127" s="8">
        <f>+MINVU_Mes_Corriente!AE127*SALUD_Mes_Constante!$AC$1</f>
        <v>560091.63784755848</v>
      </c>
      <c r="AF127" s="8">
        <f>+MINVU_Mes_Corriente!AF127*SALUD_Mes_Constante!$AC$1</f>
        <v>560091.63784755848</v>
      </c>
      <c r="AG127" s="8">
        <f>+MINVU_Mes_Corriente!AG127*SALUD_Mes_Constante!$AC$1</f>
        <v>560091.63784755848</v>
      </c>
      <c r="AH127" s="8">
        <f>+MINVU_Mes_Corriente!AH127*SALUD_Mes_Constante!$AC$1</f>
        <v>560091.63784755848</v>
      </c>
      <c r="AI127" s="8">
        <f>+MINVU_Mes_Corriente!AI127*SALUD_Mes_Constante!$AC$1</f>
        <v>560091.63784755848</v>
      </c>
      <c r="AJ127" s="8">
        <f>+MINVU_Mes_Corriente!AJ127*SALUD_Mes_Constante!$AC$1</f>
        <v>560091.63784755848</v>
      </c>
      <c r="AK127" s="8">
        <f>+MINVU_Mes_Corriente!AK127*SALUD_Mes_Constante!$AC$1</f>
        <v>560091.63784755848</v>
      </c>
      <c r="AL127" s="8">
        <f>+MINVU_Mes_Corriente!AL127*SALUD_Mes_Constante!$AC$1</f>
        <v>560091.63784755848</v>
      </c>
      <c r="AM127" s="8">
        <f>+MINVU_Mes_Corriente!AM127*SALUD_Mes_Constante!$AC$1</f>
        <v>560091.63784755848</v>
      </c>
      <c r="AN127" s="8">
        <f>+MINVU_Mes_Corriente!AN127*SALUD_Mes_Constante!$AC$1</f>
        <v>560091.63784755848</v>
      </c>
      <c r="AO127" s="9">
        <f t="shared" si="59"/>
        <v>560091.63784755848</v>
      </c>
      <c r="AP127" s="8">
        <f>+MINVU_Mes_Corriente!AP127*SALUD_Mes_Constante!$AP$1</f>
        <v>564096.68497227097</v>
      </c>
      <c r="AQ127" s="8">
        <f>+MINVU_Mes_Corriente!AQ127*SALUD_Mes_Constante!$AP$1</f>
        <v>564096.68497227097</v>
      </c>
      <c r="AR127" s="8">
        <f>+MINVU_Mes_Corriente!AR127*SALUD_Mes_Constante!$AP$1</f>
        <v>564096.68497227097</v>
      </c>
      <c r="AS127" s="8">
        <f>+MINVU_Mes_Corriente!AS127*SALUD_Mes_Constante!$AP$1</f>
        <v>564096.68497227097</v>
      </c>
      <c r="AT127" s="8">
        <f>+MINVU_Mes_Corriente!AT127*SALUD_Mes_Constante!$AP$1</f>
        <v>564096.68497227097</v>
      </c>
      <c r="AU127" s="8">
        <f>+MINVU_Mes_Corriente!AU127*SALUD_Mes_Constante!$AP$1</f>
        <v>564096.68497227097</v>
      </c>
      <c r="AV127" s="8">
        <f>+MINVU_Mes_Corriente!AV127*SALUD_Mes_Constante!$AP$1</f>
        <v>564096.68497227097</v>
      </c>
      <c r="AW127" s="8">
        <f>+MINVU_Mes_Corriente!AW127*SALUD_Mes_Constante!$AP$1</f>
        <v>564096.68497227097</v>
      </c>
      <c r="AX127" s="8">
        <f>+MINVU_Mes_Corriente!AX127*SALUD_Mes_Constante!$AP$1</f>
        <v>564096.68497227097</v>
      </c>
      <c r="AY127" s="8">
        <f>+MINVU_Mes_Corriente!AY127*SALUD_Mes_Constante!$AP$1</f>
        <v>564096.68497227097</v>
      </c>
      <c r="AZ127" s="8">
        <f>+MINVU_Mes_Corriente!AZ127*SALUD_Mes_Constante!$AP$1</f>
        <v>564096.68497227097</v>
      </c>
      <c r="BA127" s="8">
        <f>+MINVU_Mes_Corriente!BA127*SALUD_Mes_Constante!$AP$1</f>
        <v>564096.68497227097</v>
      </c>
      <c r="BB127" s="9">
        <f t="shared" si="60"/>
        <v>564096.68497227097</v>
      </c>
      <c r="BC127" s="8">
        <f>+MINVU_Mes_Corriente!BC127*SALUD_Mes_Constante!$BC$1</f>
        <v>564261.69273374672</v>
      </c>
      <c r="BD127" s="8">
        <f>+MINVU_Mes_Corriente!BD127*SALUD_Mes_Constante!$BC$1</f>
        <v>564261.69273374672</v>
      </c>
      <c r="BE127" s="8">
        <f>+MINVU_Mes_Corriente!BE127*SALUD_Mes_Constante!$BC$1</f>
        <v>564261.69273374672</v>
      </c>
      <c r="BF127" s="8">
        <f>+MINVU_Mes_Corriente!BF127*SALUD_Mes_Constante!$BC$1</f>
        <v>564261.69273374672</v>
      </c>
      <c r="BG127" s="8">
        <f>+MINVU_Mes_Corriente!BG127*SALUD_Mes_Constante!$BC$1</f>
        <v>564261.69273374672</v>
      </c>
      <c r="BH127" s="8">
        <f>+MINVU_Mes_Corriente!BH127*SALUD_Mes_Constante!$BC$1</f>
        <v>564261.69273374672</v>
      </c>
      <c r="BI127" s="8">
        <f>+MINVU_Mes_Corriente!BI127*SALUD_Mes_Constante!$BC$1</f>
        <v>564261.69273374672</v>
      </c>
      <c r="BJ127" s="8">
        <f>+MINVU_Mes_Corriente!BJ127*SALUD_Mes_Constante!$BC$1</f>
        <v>564261.69273374672</v>
      </c>
      <c r="BK127" s="8">
        <f>+MINVU_Mes_Corriente!BK127*SALUD_Mes_Constante!$BC$1</f>
        <v>564261.69273374672</v>
      </c>
      <c r="BL127" s="8">
        <f>+MINVU_Mes_Corriente!BL127*SALUD_Mes_Constante!$BC$1</f>
        <v>564261.69273374672</v>
      </c>
      <c r="BM127" s="8">
        <f>+MINVU_Mes_Corriente!BM127*SALUD_Mes_Constante!$BC$1</f>
        <v>564261.69273374672</v>
      </c>
      <c r="BN127" s="8">
        <f>+MINVU_Mes_Corriente!BN127*SALUD_Mes_Constante!$BC$1</f>
        <v>564261.69273374672</v>
      </c>
      <c r="BO127" s="9">
        <f t="shared" si="61"/>
        <v>564261.69273374672</v>
      </c>
      <c r="BP127" s="8">
        <f>+MINVU_Mes_Corriente!BP127*SALUD_Mes_Constante!$BP$1</f>
        <v>0</v>
      </c>
      <c r="BQ127" s="8">
        <f>+MINVU_Mes_Corriente!BQ127*SALUD_Mes_Constante!$BP$1</f>
        <v>0</v>
      </c>
      <c r="BR127" s="8">
        <f>+MINVU_Mes_Corriente!BR127*SALUD_Mes_Constante!$BP$1</f>
        <v>0</v>
      </c>
      <c r="BS127" s="8">
        <f>+MINVU_Mes_Corriente!BS127*SALUD_Mes_Constante!$BP$1</f>
        <v>0</v>
      </c>
      <c r="BT127" s="8">
        <f>+MINVU_Mes_Corriente!BT127*SALUD_Mes_Constante!$BP$1</f>
        <v>0</v>
      </c>
      <c r="BU127" s="8">
        <f>+MINVU_Mes_Corriente!BU127*SALUD_Mes_Constante!$BP$1</f>
        <v>0</v>
      </c>
      <c r="BV127" s="8">
        <f>+MINVU_Mes_Corriente!BV127*SALUD_Mes_Constante!$BP$1</f>
        <v>0</v>
      </c>
      <c r="BW127" s="8">
        <f>+MINVU_Mes_Corriente!BW127*SALUD_Mes_Constante!$BP$1</f>
        <v>0</v>
      </c>
      <c r="BX127" s="8">
        <f>+MINVU_Mes_Corriente!BX127*SALUD_Mes_Constante!$BP$1</f>
        <v>0</v>
      </c>
      <c r="BY127" s="8">
        <f>+MINVU_Mes_Corriente!BY127*SALUD_Mes_Constante!$BP$1</f>
        <v>0</v>
      </c>
      <c r="BZ127" s="8">
        <f>+MINVU_Mes_Corriente!BZ127*SALUD_Mes_Constante!$BP$1</f>
        <v>0</v>
      </c>
      <c r="CA127" s="8">
        <f>+MINVU_Mes_Corriente!CA127*SALUD_Mes_Constante!$BP$1</f>
        <v>0</v>
      </c>
      <c r="CB127" s="9">
        <f t="shared" si="62"/>
        <v>0</v>
      </c>
      <c r="CC127" s="8">
        <f>+MINVU_Mes_Corriente!CC127*SALUD_Mes_Constante!$CC$1</f>
        <v>107510.31853785901</v>
      </c>
      <c r="CD127" s="8">
        <f>+MINVU_Mes_Corriente!CD127*SALUD_Mes_Constante!$CC$1</f>
        <v>107510.31853785901</v>
      </c>
      <c r="CE127" s="8">
        <f>+MINVU_Mes_Corriente!CE127*SALUD_Mes_Constante!$CC$1</f>
        <v>107510.31853785901</v>
      </c>
      <c r="CF127" s="8">
        <f>+MINVU_Mes_Corriente!CF127*SALUD_Mes_Constante!$CC$1</f>
        <v>107510.31853785901</v>
      </c>
      <c r="CG127" s="8">
        <f>+MINVU_Mes_Corriente!CG127*SALUD_Mes_Constante!$CC$1</f>
        <v>107510.31853785901</v>
      </c>
      <c r="CH127" s="8">
        <f>+MINVU_Mes_Corriente!CH127*SALUD_Mes_Constante!$CC$1</f>
        <v>107510.31853785901</v>
      </c>
      <c r="CI127" s="8">
        <f>+MINVU_Mes_Corriente!CI127*SALUD_Mes_Constante!$CC$1</f>
        <v>107510.31853785901</v>
      </c>
      <c r="CJ127" s="8">
        <f>+MINVU_Mes_Corriente!CJ127*SALUD_Mes_Constante!$CC$1</f>
        <v>107510.31853785901</v>
      </c>
      <c r="CK127" s="8">
        <f>+MINVU_Mes_Corriente!CK127*SALUD_Mes_Constante!$CC$1</f>
        <v>107510.31853785901</v>
      </c>
      <c r="CL127" s="8">
        <f>+MINVU_Mes_Corriente!CL127*SALUD_Mes_Constante!$CC$1</f>
        <v>107510.31853785901</v>
      </c>
      <c r="CM127" s="8">
        <f>+MINVU_Mes_Corriente!CM127*SALUD_Mes_Constante!$CC$1</f>
        <v>107510.31853785901</v>
      </c>
      <c r="CN127" s="8">
        <f>+MINVU_Mes_Corriente!CN127*SALUD_Mes_Constante!$CC$1</f>
        <v>107510.31853785901</v>
      </c>
      <c r="CO127" s="9">
        <f t="shared" si="63"/>
        <v>107510.31853785901</v>
      </c>
      <c r="CP127" s="8">
        <f>+MINVU_Mes_Corriente!CP127*SALUD_Mes_Constante!$CP$1</f>
        <v>422202.44129930384</v>
      </c>
      <c r="CQ127" s="8">
        <f>+MINVU_Mes_Corriente!CQ127*SALUD_Mes_Constante!$CP$1</f>
        <v>422202.44129930384</v>
      </c>
      <c r="CR127" s="8">
        <f>+MINVU_Mes_Corriente!CR127*SALUD_Mes_Constante!$CP$1</f>
        <v>422202.44129930384</v>
      </c>
      <c r="CS127" s="8">
        <f>+MINVU_Mes_Corriente!CS127*SALUD_Mes_Constante!$CP$1</f>
        <v>422202.44129930384</v>
      </c>
      <c r="CT127" s="8">
        <f>+MINVU_Mes_Corriente!CT127*SALUD_Mes_Constante!$CP$1</f>
        <v>422202.44129930384</v>
      </c>
      <c r="CU127" s="8">
        <f>+MINVU_Mes_Corriente!CU127*SALUD_Mes_Constante!$CP$1</f>
        <v>422202.44129930384</v>
      </c>
      <c r="CV127" s="8">
        <f>+MINVU_Mes_Corriente!CV127*SALUD_Mes_Constante!$CP$1</f>
        <v>422202.44129930384</v>
      </c>
      <c r="CW127" s="8">
        <f>+MINVU_Mes_Corriente!CW127*SALUD_Mes_Constante!$CP$1</f>
        <v>422202.44129930384</v>
      </c>
      <c r="CX127" s="8">
        <f>+MINVU_Mes_Corriente!CX127*SALUD_Mes_Constante!$CP$1</f>
        <v>422202.44129930384</v>
      </c>
      <c r="CY127" s="8">
        <f>+MINVU_Mes_Corriente!CY127*SALUD_Mes_Constante!$CP$1</f>
        <v>422202.44129930384</v>
      </c>
      <c r="CZ127" s="8">
        <f>+MINVU_Mes_Corriente!CZ127*SALUD_Mes_Constante!$CP$1</f>
        <v>422202.44129930384</v>
      </c>
      <c r="DA127" s="8">
        <f>+MINVU_Mes_Corriente!DA127*SALUD_Mes_Constante!$CP$1</f>
        <v>422202.44129930384</v>
      </c>
      <c r="DB127" s="9">
        <f t="shared" si="64"/>
        <v>422202.44129930384</v>
      </c>
      <c r="DC127" s="8">
        <f>+MINVU_Mes_Corriente!DC127*SALUD_Mes_Constante!$DC$1</f>
        <v>507611.10256146512</v>
      </c>
      <c r="DD127" s="8">
        <f>+MINVU_Mes_Corriente!DD127*SALUD_Mes_Constante!$DC$1</f>
        <v>507611.10256146512</v>
      </c>
      <c r="DE127" s="8">
        <f>+MINVU_Mes_Corriente!DE127*SALUD_Mes_Constante!$DC$1</f>
        <v>507611.10256146512</v>
      </c>
      <c r="DF127" s="8">
        <f>+MINVU_Mes_Corriente!DF127*SALUD_Mes_Constante!$DC$1</f>
        <v>507611.10256146512</v>
      </c>
      <c r="DG127" s="8">
        <f>+MINVU_Mes_Corriente!DG127*SALUD_Mes_Constante!$DC$1</f>
        <v>507611.10256146512</v>
      </c>
      <c r="DH127" s="8">
        <f>+MINVU_Mes_Corriente!DH127*SALUD_Mes_Constante!$DC$1</f>
        <v>507611.10256146512</v>
      </c>
      <c r="DI127" s="8">
        <f>+MINVU_Mes_Corriente!DI127*SALUD_Mes_Constante!$DC$1</f>
        <v>507611.10256146512</v>
      </c>
      <c r="DJ127" s="8">
        <f>+MINVU_Mes_Corriente!DJ127*SALUD_Mes_Constante!$DC$1</f>
        <v>507611.10256146512</v>
      </c>
      <c r="DK127" s="8">
        <f>+MINVU_Mes_Corriente!DK127*SALUD_Mes_Constante!$DC$1</f>
        <v>507611.10256146512</v>
      </c>
      <c r="DL127" s="8">
        <f>+MINVU_Mes_Corriente!DL127*SALUD_Mes_Constante!$DC$1</f>
        <v>507611.10256146512</v>
      </c>
      <c r="DM127" s="8">
        <f>+MINVU_Mes_Corriente!DM127*SALUD_Mes_Constante!$DC$1</f>
        <v>507611.10256146512</v>
      </c>
      <c r="DN127" s="8">
        <f>+MINVU_Mes_Corriente!DN127*SALUD_Mes_Constante!$DC$1</f>
        <v>507611.10256146512</v>
      </c>
      <c r="DO127" s="9">
        <f t="shared" si="65"/>
        <v>507611.10256146512</v>
      </c>
      <c r="DP127" s="8">
        <f>+MINVU_Mes_Corriente!DP127*SALUD_Mes_Constante!$DP$1</f>
        <v>519137.4709026129</v>
      </c>
      <c r="DQ127" s="8">
        <f>+MINVU_Mes_Corriente!DQ127*SALUD_Mes_Constante!$DP$1</f>
        <v>519137.4709026129</v>
      </c>
      <c r="DR127" s="8">
        <f>+MINVU_Mes_Corriente!DR127*SALUD_Mes_Constante!$DP$1</f>
        <v>519137.4709026129</v>
      </c>
      <c r="DS127" s="8">
        <f>+MINVU_Mes_Corriente!DS127*SALUD_Mes_Constante!$DP$1</f>
        <v>519137.4709026129</v>
      </c>
      <c r="DT127" s="8">
        <f>+MINVU_Mes_Corriente!DT127*SALUD_Mes_Constante!$DP$1</f>
        <v>519137.4709026129</v>
      </c>
      <c r="DU127" s="8">
        <f>+MINVU_Mes_Corriente!DU127*SALUD_Mes_Constante!$DP$1</f>
        <v>519137.4709026129</v>
      </c>
      <c r="DV127" s="8">
        <f>+MINVU_Mes_Corriente!DV127*SALUD_Mes_Constante!$DP$1</f>
        <v>519137.4709026129</v>
      </c>
      <c r="DW127" s="8">
        <f>+MINVU_Mes_Corriente!DW127*SALUD_Mes_Constante!$DP$1</f>
        <v>519137.4709026129</v>
      </c>
      <c r="DX127" s="8">
        <f>+MINVU_Mes_Corriente!DX127*SALUD_Mes_Constante!$DP$1</f>
        <v>519137.4709026129</v>
      </c>
      <c r="DY127" s="8">
        <f>+MINVU_Mes_Corriente!DY127*SALUD_Mes_Constante!$DP$1</f>
        <v>519137.4709026129</v>
      </c>
      <c r="DZ127" s="8">
        <f>+MINVU_Mes_Corriente!DZ127*SALUD_Mes_Constante!$DP$1</f>
        <v>519137.4709026129</v>
      </c>
      <c r="EA127" s="8">
        <f>+MINVU_Mes_Corriente!EA127*SALUD_Mes_Constante!$DP$1</f>
        <v>519137.4709026129</v>
      </c>
      <c r="EB127" s="9">
        <f t="shared" si="66"/>
        <v>519137.4709026129</v>
      </c>
      <c r="EC127" s="8">
        <f>+MINVU_Mes_Corriente!EC127*SALUD_Mes_Constante!$EC$1</f>
        <v>454887.59306949429</v>
      </c>
      <c r="ED127" s="8">
        <f>+MINVU_Mes_Corriente!ED127*SALUD_Mes_Constante!$EC$1</f>
        <v>454887.59306949429</v>
      </c>
      <c r="EE127" s="8">
        <f>+MINVU_Mes_Corriente!EE127*SALUD_Mes_Constante!$EC$1</f>
        <v>454887.59306949429</v>
      </c>
      <c r="EF127" s="8">
        <f>+MINVU_Mes_Corriente!EF127*SALUD_Mes_Constante!$EC$1</f>
        <v>454887.59306949429</v>
      </c>
      <c r="EG127" s="8">
        <f>+MINVU_Mes_Corriente!EG127*SALUD_Mes_Constante!$EC$1</f>
        <v>454887.59306949429</v>
      </c>
      <c r="EH127" s="8">
        <f>+MINVU_Mes_Corriente!EH127*SALUD_Mes_Constante!$EC$1</f>
        <v>454887.59306949429</v>
      </c>
      <c r="EI127" s="8">
        <f>+MINVU_Mes_Corriente!EI127*SALUD_Mes_Constante!$EC$1</f>
        <v>454887.59306949429</v>
      </c>
      <c r="EJ127" s="8">
        <f>+MINVU_Mes_Corriente!EJ127*SALUD_Mes_Constante!$EC$1</f>
        <v>454887.59306949429</v>
      </c>
      <c r="EK127" s="8">
        <f>+MINVU_Mes_Corriente!EK127*SALUD_Mes_Constante!$EC$1</f>
        <v>454887.59306949429</v>
      </c>
      <c r="EL127" s="8">
        <f>+MINVU_Mes_Corriente!EL127*SALUD_Mes_Constante!$EC$1</f>
        <v>454887.59306949429</v>
      </c>
      <c r="EM127" s="8">
        <f>+MINVU_Mes_Corriente!EM127*SALUD_Mes_Constante!$EC$1</f>
        <v>454887.59306949429</v>
      </c>
      <c r="EN127" s="8">
        <f>+MINVU_Mes_Corriente!EN127*SALUD_Mes_Constante!$EC$1</f>
        <v>454887.59306949429</v>
      </c>
      <c r="EO127" s="9">
        <f t="shared" si="67"/>
        <v>454887.59306949429</v>
      </c>
      <c r="EP127" s="8">
        <f>+MINVU_Mes_Corriente!EP127*SALUD_Mes_Constante!$EP$1</f>
        <v>458202</v>
      </c>
      <c r="EQ127" s="8">
        <f>+MINVU_Mes_Corriente!EQ127*SALUD_Mes_Constante!$EP$1</f>
        <v>458202</v>
      </c>
      <c r="ER127" s="8">
        <f>+MINVU_Mes_Corriente!ER127*SALUD_Mes_Constante!$EP$1</f>
        <v>458202</v>
      </c>
      <c r="ES127" s="8">
        <f>+MINVU_Mes_Corriente!ES127*SALUD_Mes_Constante!$EP$1</f>
        <v>458202</v>
      </c>
      <c r="ET127" s="8">
        <f>+MINVU_Mes_Corriente!ET127*SALUD_Mes_Constante!$EP$1</f>
        <v>458202</v>
      </c>
      <c r="EU127" s="8">
        <f>+MINVU_Mes_Corriente!EU127*SALUD_Mes_Constante!$EP$1</f>
        <v>458202</v>
      </c>
      <c r="EV127" s="8">
        <f>+MINVU_Mes_Corriente!EV127*SALUD_Mes_Constante!$EP$1</f>
        <v>458202</v>
      </c>
      <c r="EW127" s="8">
        <f>+MINVU_Mes_Corriente!EW127*SALUD_Mes_Constante!$EP$1</f>
        <v>458202</v>
      </c>
      <c r="EX127" s="8">
        <f>+MINVU_Mes_Corriente!EX127*SALUD_Mes_Constante!$EP$1</f>
        <v>458202</v>
      </c>
      <c r="EY127" s="8">
        <f>+MINVU_Mes_Corriente!EY127*SALUD_Mes_Constante!$EP$1</f>
        <v>458202</v>
      </c>
      <c r="EZ127" s="8">
        <f>+MINVU_Mes_Corriente!EZ127*SALUD_Mes_Constante!$EP$1</f>
        <v>458202</v>
      </c>
      <c r="FA127" s="8">
        <f>+MINVU_Mes_Corriente!FA127*SALUD_Mes_Constante!$EP$1</f>
        <v>458202</v>
      </c>
      <c r="FB127" s="9">
        <f t="shared" si="68"/>
        <v>458202</v>
      </c>
      <c r="FC127" s="8">
        <f>+MINVU_Mes_Corriente!FC127*SALUD_Mes_Constante!$FC$1</f>
        <v>472406</v>
      </c>
      <c r="FD127" s="8">
        <f>+MINVU_Mes_Corriente!FD127*SALUD_Mes_Constante!$FC$1</f>
        <v>472406</v>
      </c>
      <c r="FE127" s="8">
        <f>+MINVU_Mes_Corriente!FE127*SALUD_Mes_Constante!$FC$1</f>
        <v>472406</v>
      </c>
      <c r="FF127" s="8">
        <f>+MINVU_Mes_Corriente!FF127*SALUD_Mes_Constante!$FC$1</f>
        <v>472406</v>
      </c>
      <c r="FG127" s="8">
        <f>+MINVU_Mes_Corriente!FG127*SALUD_Mes_Constante!$FC$1</f>
        <v>472406</v>
      </c>
      <c r="FH127" s="8">
        <f>+MINVU_Mes_Corriente!FH127*SALUD_Mes_Constante!$FC$1</f>
        <v>472406</v>
      </c>
      <c r="FI127" s="8">
        <f>+MINVU_Mes_Corriente!FI127*SALUD_Mes_Constante!$FC$1</f>
        <v>472406</v>
      </c>
      <c r="FJ127" s="8"/>
      <c r="FK127" s="8"/>
      <c r="FL127" s="8"/>
      <c r="FM127" s="8"/>
      <c r="FN127" s="8"/>
      <c r="FO127" s="9">
        <f t="shared" si="69"/>
        <v>472406</v>
      </c>
    </row>
    <row r="128" spans="2:171" ht="14.25" customHeight="1" x14ac:dyDescent="0.3">
      <c r="B128" s="7" t="s">
        <v>52</v>
      </c>
      <c r="C128" s="8">
        <f>+MINVU_Mes_Corriente!C128*SALUD_Mes_Constante!$C$1</f>
        <v>578946.7518908499</v>
      </c>
      <c r="D128" s="8">
        <f>+MINVU_Mes_Corriente!D128*SALUD_Mes_Constante!$C$1</f>
        <v>578946.7518908499</v>
      </c>
      <c r="E128" s="8">
        <f>+MINVU_Mes_Corriente!E128*SALUD_Mes_Constante!$C$1</f>
        <v>578946.7518908499</v>
      </c>
      <c r="F128" s="8">
        <f>+MINVU_Mes_Corriente!F128*SALUD_Mes_Constante!$C$1</f>
        <v>578946.7518908499</v>
      </c>
      <c r="G128" s="8">
        <f>+MINVU_Mes_Corriente!G128*SALUD_Mes_Constante!$C$1</f>
        <v>578946.7518908499</v>
      </c>
      <c r="H128" s="8">
        <f>+MINVU_Mes_Corriente!H128*SALUD_Mes_Constante!$C$1</f>
        <v>578946.7518908499</v>
      </c>
      <c r="I128" s="8">
        <f>+MINVU_Mes_Corriente!I128*SALUD_Mes_Constante!$C$1</f>
        <v>578946.7518908499</v>
      </c>
      <c r="J128" s="8">
        <f>+MINVU_Mes_Corriente!J128*SALUD_Mes_Constante!$C$1</f>
        <v>578946.7518908499</v>
      </c>
      <c r="K128" s="8">
        <f>+MINVU_Mes_Corriente!K128*SALUD_Mes_Constante!$C$1</f>
        <v>578946.7518908499</v>
      </c>
      <c r="L128" s="8">
        <f>+MINVU_Mes_Corriente!L128*SALUD_Mes_Constante!$C$1</f>
        <v>578946.7518908499</v>
      </c>
      <c r="M128" s="8">
        <f>+MINVU_Mes_Corriente!M128*SALUD_Mes_Constante!$C$1</f>
        <v>578946.7518908499</v>
      </c>
      <c r="N128" s="8">
        <f>+MINVU_Mes_Corriente!N128*SALUD_Mes_Constante!$C$1</f>
        <v>578946.7518908499</v>
      </c>
      <c r="O128" s="9">
        <f t="shared" si="57"/>
        <v>578946.7518908499</v>
      </c>
      <c r="P128" s="8">
        <f>+MINVU_Mes_Corriente!P128*SALUD_Mes_Constante!$P$1</f>
        <v>571239.34394090052</v>
      </c>
      <c r="Q128" s="8">
        <f>+MINVU_Mes_Corriente!Q128*SALUD_Mes_Constante!$P$1</f>
        <v>571239.34394090052</v>
      </c>
      <c r="R128" s="8">
        <f>+MINVU_Mes_Corriente!R128*SALUD_Mes_Constante!$P$1</f>
        <v>571239.34394090052</v>
      </c>
      <c r="S128" s="8">
        <f>+MINVU_Mes_Corriente!S128*SALUD_Mes_Constante!$P$1</f>
        <v>571239.34394090052</v>
      </c>
      <c r="T128" s="8">
        <f>+MINVU_Mes_Corriente!T128*SALUD_Mes_Constante!$P$1</f>
        <v>571239.34394090052</v>
      </c>
      <c r="U128" s="8">
        <f>+MINVU_Mes_Corriente!U128*SALUD_Mes_Constante!$P$1</f>
        <v>571239.34394090052</v>
      </c>
      <c r="V128" s="8">
        <f>+MINVU_Mes_Corriente!V128*SALUD_Mes_Constante!$P$1</f>
        <v>571239.34394090052</v>
      </c>
      <c r="W128" s="8">
        <f>+MINVU_Mes_Corriente!W128*SALUD_Mes_Constante!$P$1</f>
        <v>571239.34394090052</v>
      </c>
      <c r="X128" s="8">
        <f>+MINVU_Mes_Corriente!X128*SALUD_Mes_Constante!$P$1</f>
        <v>571239.34394090052</v>
      </c>
      <c r="Y128" s="8">
        <f>+MINVU_Mes_Corriente!Y128*SALUD_Mes_Constante!$P$1</f>
        <v>571239.34394090052</v>
      </c>
      <c r="Z128" s="8">
        <f>+MINVU_Mes_Corriente!Z128*SALUD_Mes_Constante!$P$1</f>
        <v>571239.34394090052</v>
      </c>
      <c r="AA128" s="8">
        <f>+MINVU_Mes_Corriente!AA128*SALUD_Mes_Constante!$P$1</f>
        <v>571239.34394090052</v>
      </c>
      <c r="AB128" s="9">
        <f t="shared" si="58"/>
        <v>571239.34394090052</v>
      </c>
      <c r="AC128" s="8">
        <f>+MINVU_Mes_Corriente!AC128*SALUD_Mes_Constante!$AC$1</f>
        <v>577362.54696361872</v>
      </c>
      <c r="AD128" s="8">
        <f>+MINVU_Mes_Corriente!AD128*SALUD_Mes_Constante!$AC$1</f>
        <v>577362.54696361872</v>
      </c>
      <c r="AE128" s="8">
        <f>+MINVU_Mes_Corriente!AE128*SALUD_Mes_Constante!$AC$1</f>
        <v>577362.54696361872</v>
      </c>
      <c r="AF128" s="8">
        <f>+MINVU_Mes_Corriente!AF128*SALUD_Mes_Constante!$AC$1</f>
        <v>577362.54696361872</v>
      </c>
      <c r="AG128" s="8">
        <f>+MINVU_Mes_Corriente!AG128*SALUD_Mes_Constante!$AC$1</f>
        <v>577362.54696361872</v>
      </c>
      <c r="AH128" s="8">
        <f>+MINVU_Mes_Corriente!AH128*SALUD_Mes_Constante!$AC$1</f>
        <v>577362.54696361872</v>
      </c>
      <c r="AI128" s="8">
        <f>+MINVU_Mes_Corriente!AI128*SALUD_Mes_Constante!$AC$1</f>
        <v>577362.54696361872</v>
      </c>
      <c r="AJ128" s="8">
        <f>+MINVU_Mes_Corriente!AJ128*SALUD_Mes_Constante!$AC$1</f>
        <v>577362.54696361872</v>
      </c>
      <c r="AK128" s="8">
        <f>+MINVU_Mes_Corriente!AK128*SALUD_Mes_Constante!$AC$1</f>
        <v>577362.54696361872</v>
      </c>
      <c r="AL128" s="8">
        <f>+MINVU_Mes_Corriente!AL128*SALUD_Mes_Constante!$AC$1</f>
        <v>577362.54696361872</v>
      </c>
      <c r="AM128" s="8">
        <f>+MINVU_Mes_Corriente!AM128*SALUD_Mes_Constante!$AC$1</f>
        <v>577362.54696361872</v>
      </c>
      <c r="AN128" s="8">
        <f>+MINVU_Mes_Corriente!AN128*SALUD_Mes_Constante!$AC$1</f>
        <v>577362.54696361872</v>
      </c>
      <c r="AO128" s="9">
        <f t="shared" si="59"/>
        <v>577362.54696361872</v>
      </c>
      <c r="AP128" s="8">
        <f>+MINVU_Mes_Corriente!AP128*SALUD_Mes_Constante!$AP$1</f>
        <v>581491.38536453398</v>
      </c>
      <c r="AQ128" s="8">
        <f>+MINVU_Mes_Corriente!AQ128*SALUD_Mes_Constante!$AP$1</f>
        <v>581491.38536453398</v>
      </c>
      <c r="AR128" s="8">
        <f>+MINVU_Mes_Corriente!AR128*SALUD_Mes_Constante!$AP$1</f>
        <v>581491.38536453398</v>
      </c>
      <c r="AS128" s="8">
        <f>+MINVU_Mes_Corriente!AS128*SALUD_Mes_Constante!$AP$1</f>
        <v>581491.38536453398</v>
      </c>
      <c r="AT128" s="8">
        <f>+MINVU_Mes_Corriente!AT128*SALUD_Mes_Constante!$AP$1</f>
        <v>581491.38536453398</v>
      </c>
      <c r="AU128" s="8">
        <f>+MINVU_Mes_Corriente!AU128*SALUD_Mes_Constante!$AP$1</f>
        <v>581491.38536453398</v>
      </c>
      <c r="AV128" s="8">
        <f>+MINVU_Mes_Corriente!AV128*SALUD_Mes_Constante!$AP$1</f>
        <v>581491.38536453398</v>
      </c>
      <c r="AW128" s="8">
        <f>+MINVU_Mes_Corriente!AW128*SALUD_Mes_Constante!$AP$1</f>
        <v>581491.38536453398</v>
      </c>
      <c r="AX128" s="8">
        <f>+MINVU_Mes_Corriente!AX128*SALUD_Mes_Constante!$AP$1</f>
        <v>581491.38536453398</v>
      </c>
      <c r="AY128" s="8">
        <f>+MINVU_Mes_Corriente!AY128*SALUD_Mes_Constante!$AP$1</f>
        <v>581491.38536453398</v>
      </c>
      <c r="AZ128" s="8">
        <f>+MINVU_Mes_Corriente!AZ128*SALUD_Mes_Constante!$AP$1</f>
        <v>581491.38536453398</v>
      </c>
      <c r="BA128" s="8">
        <f>+MINVU_Mes_Corriente!BA128*SALUD_Mes_Constante!$AP$1</f>
        <v>581491.38536453398</v>
      </c>
      <c r="BB128" s="9">
        <f t="shared" si="60"/>
        <v>581491.38536453398</v>
      </c>
      <c r="BC128" s="8">
        <f>+MINVU_Mes_Corriente!BC128*SALUD_Mes_Constante!$BC$1</f>
        <v>581661.45219570107</v>
      </c>
      <c r="BD128" s="8">
        <f>+MINVU_Mes_Corriente!BD128*SALUD_Mes_Constante!$BC$1</f>
        <v>581661.45219570107</v>
      </c>
      <c r="BE128" s="8">
        <f>+MINVU_Mes_Corriente!BE128*SALUD_Mes_Constante!$BC$1</f>
        <v>581661.45219570107</v>
      </c>
      <c r="BF128" s="8">
        <f>+MINVU_Mes_Corriente!BF128*SALUD_Mes_Constante!$BC$1</f>
        <v>581661.45219570107</v>
      </c>
      <c r="BG128" s="8">
        <f>+MINVU_Mes_Corriente!BG128*SALUD_Mes_Constante!$BC$1</f>
        <v>581661.45219570107</v>
      </c>
      <c r="BH128" s="8">
        <f>+MINVU_Mes_Corriente!BH128*SALUD_Mes_Constante!$BC$1</f>
        <v>581661.45219570107</v>
      </c>
      <c r="BI128" s="8">
        <f>+MINVU_Mes_Corriente!BI128*SALUD_Mes_Constante!$BC$1</f>
        <v>581661.45219570107</v>
      </c>
      <c r="BJ128" s="8">
        <f>+MINVU_Mes_Corriente!BJ128*SALUD_Mes_Constante!$BC$1</f>
        <v>581661.45219570107</v>
      </c>
      <c r="BK128" s="8">
        <f>+MINVU_Mes_Corriente!BK128*SALUD_Mes_Constante!$BC$1</f>
        <v>581661.45219570107</v>
      </c>
      <c r="BL128" s="8">
        <f>+MINVU_Mes_Corriente!BL128*SALUD_Mes_Constante!$BC$1</f>
        <v>581661.45219570107</v>
      </c>
      <c r="BM128" s="8">
        <f>+MINVU_Mes_Corriente!BM128*SALUD_Mes_Constante!$BC$1</f>
        <v>581661.45219570107</v>
      </c>
      <c r="BN128" s="8">
        <f>+MINVU_Mes_Corriente!BN128*SALUD_Mes_Constante!$BC$1</f>
        <v>581661.45219570107</v>
      </c>
      <c r="BO128" s="9">
        <f t="shared" si="61"/>
        <v>581661.45219570107</v>
      </c>
      <c r="BP128" s="8">
        <f>+MINVU_Mes_Corriente!BP128*SALUD_Mes_Constante!$BP$1</f>
        <v>0</v>
      </c>
      <c r="BQ128" s="8">
        <f>+MINVU_Mes_Corriente!BQ128*SALUD_Mes_Constante!$BP$1</f>
        <v>0</v>
      </c>
      <c r="BR128" s="8">
        <f>+MINVU_Mes_Corriente!BR128*SALUD_Mes_Constante!$BP$1</f>
        <v>0</v>
      </c>
      <c r="BS128" s="8">
        <f>+MINVU_Mes_Corriente!BS128*SALUD_Mes_Constante!$BP$1</f>
        <v>0</v>
      </c>
      <c r="BT128" s="8">
        <f>+MINVU_Mes_Corriente!BT128*SALUD_Mes_Constante!$BP$1</f>
        <v>0</v>
      </c>
      <c r="BU128" s="8">
        <f>+MINVU_Mes_Corriente!BU128*SALUD_Mes_Constante!$BP$1</f>
        <v>0</v>
      </c>
      <c r="BV128" s="8">
        <f>+MINVU_Mes_Corriente!BV128*SALUD_Mes_Constante!$BP$1</f>
        <v>0</v>
      </c>
      <c r="BW128" s="8">
        <f>+MINVU_Mes_Corriente!BW128*SALUD_Mes_Constante!$BP$1</f>
        <v>0</v>
      </c>
      <c r="BX128" s="8">
        <f>+MINVU_Mes_Corriente!BX128*SALUD_Mes_Constante!$BP$1</f>
        <v>0</v>
      </c>
      <c r="BY128" s="8">
        <f>+MINVU_Mes_Corriente!BY128*SALUD_Mes_Constante!$BP$1</f>
        <v>0</v>
      </c>
      <c r="BZ128" s="8">
        <f>+MINVU_Mes_Corriente!BZ128*SALUD_Mes_Constante!$BP$1</f>
        <v>0</v>
      </c>
      <c r="CA128" s="8">
        <f>+MINVU_Mes_Corriente!CA128*SALUD_Mes_Constante!$BP$1</f>
        <v>0</v>
      </c>
      <c r="CB128" s="9">
        <f t="shared" si="62"/>
        <v>0</v>
      </c>
      <c r="CC128" s="8">
        <f>+MINVU_Mes_Corriente!CC128*SALUD_Mes_Constante!$CC$1</f>
        <v>147921.43976128311</v>
      </c>
      <c r="CD128" s="8">
        <f>+MINVU_Mes_Corriente!CD128*SALUD_Mes_Constante!$CC$1</f>
        <v>147921.43976128311</v>
      </c>
      <c r="CE128" s="8">
        <f>+MINVU_Mes_Corriente!CE128*SALUD_Mes_Constante!$CC$1</f>
        <v>147921.43976128311</v>
      </c>
      <c r="CF128" s="8">
        <f>+MINVU_Mes_Corriente!CF128*SALUD_Mes_Constante!$CC$1</f>
        <v>147921.43976128311</v>
      </c>
      <c r="CG128" s="8">
        <f>+MINVU_Mes_Corriente!CG128*SALUD_Mes_Constante!$CC$1</f>
        <v>147921.43976128311</v>
      </c>
      <c r="CH128" s="8">
        <f>+MINVU_Mes_Corriente!CH128*SALUD_Mes_Constante!$CC$1</f>
        <v>147921.43976128311</v>
      </c>
      <c r="CI128" s="8">
        <f>+MINVU_Mes_Corriente!CI128*SALUD_Mes_Constante!$CC$1</f>
        <v>147921.43976128311</v>
      </c>
      <c r="CJ128" s="8">
        <f>+MINVU_Mes_Corriente!CJ128*SALUD_Mes_Constante!$CC$1</f>
        <v>147921.43976128311</v>
      </c>
      <c r="CK128" s="8">
        <f>+MINVU_Mes_Corriente!CK128*SALUD_Mes_Constante!$CC$1</f>
        <v>147921.43976128311</v>
      </c>
      <c r="CL128" s="8">
        <f>+MINVU_Mes_Corriente!CL128*SALUD_Mes_Constante!$CC$1</f>
        <v>147921.43976128311</v>
      </c>
      <c r="CM128" s="8">
        <f>+MINVU_Mes_Corriente!CM128*SALUD_Mes_Constante!$CC$1</f>
        <v>147921.43976128311</v>
      </c>
      <c r="CN128" s="8">
        <f>+MINVU_Mes_Corriente!CN128*SALUD_Mes_Constante!$CC$1</f>
        <v>147921.43976128311</v>
      </c>
      <c r="CO128" s="9">
        <f t="shared" si="63"/>
        <v>147921.43976128311</v>
      </c>
      <c r="CP128" s="8">
        <f>+MINVU_Mes_Corriente!CP128*SALUD_Mes_Constante!$CP$1</f>
        <v>604466.37354988384</v>
      </c>
      <c r="CQ128" s="8">
        <f>+MINVU_Mes_Corriente!CQ128*SALUD_Mes_Constante!$CP$1</f>
        <v>604466.37354988384</v>
      </c>
      <c r="CR128" s="8">
        <f>+MINVU_Mes_Corriente!CR128*SALUD_Mes_Constante!$CP$1</f>
        <v>604466.37354988384</v>
      </c>
      <c r="CS128" s="8">
        <f>+MINVU_Mes_Corriente!CS128*SALUD_Mes_Constante!$CP$1</f>
        <v>604466.37354988384</v>
      </c>
      <c r="CT128" s="8">
        <f>+MINVU_Mes_Corriente!CT128*SALUD_Mes_Constante!$CP$1</f>
        <v>604466.37354988384</v>
      </c>
      <c r="CU128" s="8">
        <f>+MINVU_Mes_Corriente!CU128*SALUD_Mes_Constante!$CP$1</f>
        <v>604466.37354988384</v>
      </c>
      <c r="CV128" s="8">
        <f>+MINVU_Mes_Corriente!CV128*SALUD_Mes_Constante!$CP$1</f>
        <v>604466.37354988384</v>
      </c>
      <c r="CW128" s="8">
        <f>+MINVU_Mes_Corriente!CW128*SALUD_Mes_Constante!$CP$1</f>
        <v>604466.37354988384</v>
      </c>
      <c r="CX128" s="8">
        <f>+MINVU_Mes_Corriente!CX128*SALUD_Mes_Constante!$CP$1</f>
        <v>604466.37354988384</v>
      </c>
      <c r="CY128" s="8">
        <f>+MINVU_Mes_Corriente!CY128*SALUD_Mes_Constante!$CP$1</f>
        <v>604466.37354988384</v>
      </c>
      <c r="CZ128" s="8">
        <f>+MINVU_Mes_Corriente!CZ128*SALUD_Mes_Constante!$CP$1</f>
        <v>604466.37354988384</v>
      </c>
      <c r="DA128" s="8">
        <f>+MINVU_Mes_Corriente!DA128*SALUD_Mes_Constante!$CP$1</f>
        <v>604466.37354988384</v>
      </c>
      <c r="DB128" s="9">
        <f t="shared" si="64"/>
        <v>604466.37354988384</v>
      </c>
      <c r="DC128" s="8">
        <f>+MINVU_Mes_Corriente!DC128*SALUD_Mes_Constante!$DC$1</f>
        <v>732151.02396872779</v>
      </c>
      <c r="DD128" s="8">
        <f>+MINVU_Mes_Corriente!DD128*SALUD_Mes_Constante!$DC$1</f>
        <v>732151.02396872779</v>
      </c>
      <c r="DE128" s="8">
        <f>+MINVU_Mes_Corriente!DE128*SALUD_Mes_Constante!$DC$1</f>
        <v>732151.02396872779</v>
      </c>
      <c r="DF128" s="8">
        <f>+MINVU_Mes_Corriente!DF128*SALUD_Mes_Constante!$DC$1</f>
        <v>732151.02396872779</v>
      </c>
      <c r="DG128" s="8">
        <f>+MINVU_Mes_Corriente!DG128*SALUD_Mes_Constante!$DC$1</f>
        <v>732151.02396872779</v>
      </c>
      <c r="DH128" s="8">
        <f>+MINVU_Mes_Corriente!DH128*SALUD_Mes_Constante!$DC$1</f>
        <v>732151.02396872779</v>
      </c>
      <c r="DI128" s="8">
        <f>+MINVU_Mes_Corriente!DI128*SALUD_Mes_Constante!$DC$1</f>
        <v>732151.02396872779</v>
      </c>
      <c r="DJ128" s="8">
        <f>+MINVU_Mes_Corriente!DJ128*SALUD_Mes_Constante!$DC$1</f>
        <v>732151.02396872779</v>
      </c>
      <c r="DK128" s="8">
        <f>+MINVU_Mes_Corriente!DK128*SALUD_Mes_Constante!$DC$1</f>
        <v>732151.02396872779</v>
      </c>
      <c r="DL128" s="8">
        <f>+MINVU_Mes_Corriente!DL128*SALUD_Mes_Constante!$DC$1</f>
        <v>732151.02396872779</v>
      </c>
      <c r="DM128" s="8">
        <f>+MINVU_Mes_Corriente!DM128*SALUD_Mes_Constante!$DC$1</f>
        <v>732151.02396872779</v>
      </c>
      <c r="DN128" s="8">
        <f>+MINVU_Mes_Corriente!DN128*SALUD_Mes_Constante!$DC$1</f>
        <v>732151.02396872779</v>
      </c>
      <c r="DO128" s="9">
        <f t="shared" si="65"/>
        <v>732151.02396872779</v>
      </c>
      <c r="DP128" s="8">
        <f>+MINVU_Mes_Corriente!DP128*SALUD_Mes_Constante!$DP$1</f>
        <v>748775.95190023759</v>
      </c>
      <c r="DQ128" s="8">
        <f>+MINVU_Mes_Corriente!DQ128*SALUD_Mes_Constante!$DP$1</f>
        <v>748775.95190023759</v>
      </c>
      <c r="DR128" s="8">
        <f>+MINVU_Mes_Corriente!DR128*SALUD_Mes_Constante!$DP$1</f>
        <v>748775.95190023759</v>
      </c>
      <c r="DS128" s="8">
        <f>+MINVU_Mes_Corriente!DS128*SALUD_Mes_Constante!$DP$1</f>
        <v>748775.95190023759</v>
      </c>
      <c r="DT128" s="8">
        <f>+MINVU_Mes_Corriente!DT128*SALUD_Mes_Constante!$DP$1</f>
        <v>748775.95190023759</v>
      </c>
      <c r="DU128" s="8">
        <f>+MINVU_Mes_Corriente!DU128*SALUD_Mes_Constante!$DP$1</f>
        <v>748775.95190023759</v>
      </c>
      <c r="DV128" s="8">
        <f>+MINVU_Mes_Corriente!DV128*SALUD_Mes_Constante!$DP$1</f>
        <v>748775.95190023759</v>
      </c>
      <c r="DW128" s="8">
        <f>+MINVU_Mes_Corriente!DW128*SALUD_Mes_Constante!$DP$1</f>
        <v>748775.95190023759</v>
      </c>
      <c r="DX128" s="8">
        <f>+MINVU_Mes_Corriente!DX128*SALUD_Mes_Constante!$DP$1</f>
        <v>748775.95190023759</v>
      </c>
      <c r="DY128" s="8">
        <f>+MINVU_Mes_Corriente!DY128*SALUD_Mes_Constante!$DP$1</f>
        <v>748775.95190023759</v>
      </c>
      <c r="DZ128" s="8">
        <f>+MINVU_Mes_Corriente!DZ128*SALUD_Mes_Constante!$DP$1</f>
        <v>748775.95190023759</v>
      </c>
      <c r="EA128" s="8">
        <f>+MINVU_Mes_Corriente!EA128*SALUD_Mes_Constante!$DP$1</f>
        <v>748775.95190023759</v>
      </c>
      <c r="EB128" s="9">
        <f t="shared" si="66"/>
        <v>748775.95190023759</v>
      </c>
      <c r="EC128" s="8">
        <f>+MINVU_Mes_Corriente!EC128*SALUD_Mes_Constante!$EC$1</f>
        <v>656105.16209051292</v>
      </c>
      <c r="ED128" s="8">
        <f>+MINVU_Mes_Corriente!ED128*SALUD_Mes_Constante!$EC$1</f>
        <v>656105.16209051292</v>
      </c>
      <c r="EE128" s="8">
        <f>+MINVU_Mes_Corriente!EE128*SALUD_Mes_Constante!$EC$1</f>
        <v>656105.16209051292</v>
      </c>
      <c r="EF128" s="8">
        <f>+MINVU_Mes_Corriente!EF128*SALUD_Mes_Constante!$EC$1</f>
        <v>656105.16209051292</v>
      </c>
      <c r="EG128" s="8">
        <f>+MINVU_Mes_Corriente!EG128*SALUD_Mes_Constante!$EC$1</f>
        <v>656105.16209051292</v>
      </c>
      <c r="EH128" s="8">
        <f>+MINVU_Mes_Corriente!EH128*SALUD_Mes_Constante!$EC$1</f>
        <v>656105.16209051292</v>
      </c>
      <c r="EI128" s="8">
        <f>+MINVU_Mes_Corriente!EI128*SALUD_Mes_Constante!$EC$1</f>
        <v>656105.16209051292</v>
      </c>
      <c r="EJ128" s="8">
        <f>+MINVU_Mes_Corriente!EJ128*SALUD_Mes_Constante!$EC$1</f>
        <v>656105.16209051292</v>
      </c>
      <c r="EK128" s="8">
        <f>+MINVU_Mes_Corriente!EK128*SALUD_Mes_Constante!$EC$1</f>
        <v>656105.16209051292</v>
      </c>
      <c r="EL128" s="8">
        <f>+MINVU_Mes_Corriente!EL128*SALUD_Mes_Constante!$EC$1</f>
        <v>656105.16209051292</v>
      </c>
      <c r="EM128" s="8">
        <f>+MINVU_Mes_Corriente!EM128*SALUD_Mes_Constante!$EC$1</f>
        <v>656105.16209051292</v>
      </c>
      <c r="EN128" s="8">
        <f>+MINVU_Mes_Corriente!EN128*SALUD_Mes_Constante!$EC$1</f>
        <v>656105.16209051292</v>
      </c>
      <c r="EO128" s="9">
        <f t="shared" si="67"/>
        <v>656105.16209051292</v>
      </c>
      <c r="EP128" s="8">
        <f>+MINVU_Mes_Corriente!EP128*SALUD_Mes_Constante!$EP$1</f>
        <v>660885</v>
      </c>
      <c r="EQ128" s="8">
        <f>+MINVU_Mes_Corriente!EQ128*SALUD_Mes_Constante!$EP$1</f>
        <v>660885</v>
      </c>
      <c r="ER128" s="8">
        <f>+MINVU_Mes_Corriente!ER128*SALUD_Mes_Constante!$EP$1</f>
        <v>660885</v>
      </c>
      <c r="ES128" s="8">
        <f>+MINVU_Mes_Corriente!ES128*SALUD_Mes_Constante!$EP$1</f>
        <v>660885</v>
      </c>
      <c r="ET128" s="8">
        <f>+MINVU_Mes_Corriente!ET128*SALUD_Mes_Constante!$EP$1</f>
        <v>660885</v>
      </c>
      <c r="EU128" s="8">
        <f>+MINVU_Mes_Corriente!EU128*SALUD_Mes_Constante!$EP$1</f>
        <v>660885</v>
      </c>
      <c r="EV128" s="8">
        <f>+MINVU_Mes_Corriente!EV128*SALUD_Mes_Constante!$EP$1</f>
        <v>660885</v>
      </c>
      <c r="EW128" s="8">
        <f>+MINVU_Mes_Corriente!EW128*SALUD_Mes_Constante!$EP$1</f>
        <v>660885</v>
      </c>
      <c r="EX128" s="8">
        <f>+MINVU_Mes_Corriente!EX128*SALUD_Mes_Constante!$EP$1</f>
        <v>660885</v>
      </c>
      <c r="EY128" s="8">
        <f>+MINVU_Mes_Corriente!EY128*SALUD_Mes_Constante!$EP$1</f>
        <v>660885</v>
      </c>
      <c r="EZ128" s="8">
        <f>+MINVU_Mes_Corriente!EZ128*SALUD_Mes_Constante!$EP$1</f>
        <v>660885</v>
      </c>
      <c r="FA128" s="8">
        <f>+MINVU_Mes_Corriente!FA128*SALUD_Mes_Constante!$EP$1</f>
        <v>660885</v>
      </c>
      <c r="FB128" s="9">
        <f t="shared" si="68"/>
        <v>660885</v>
      </c>
      <c r="FC128" s="8">
        <f>+MINVU_Mes_Corriente!FC128*SALUD_Mes_Constante!$FC$1</f>
        <v>681372</v>
      </c>
      <c r="FD128" s="8">
        <f>+MINVU_Mes_Corriente!FD128*SALUD_Mes_Constante!$FC$1</f>
        <v>681372</v>
      </c>
      <c r="FE128" s="8">
        <f>+MINVU_Mes_Corriente!FE128*SALUD_Mes_Constante!$FC$1</f>
        <v>681372</v>
      </c>
      <c r="FF128" s="8">
        <f>+MINVU_Mes_Corriente!FF128*SALUD_Mes_Constante!$FC$1</f>
        <v>681372</v>
      </c>
      <c r="FG128" s="8">
        <f>+MINVU_Mes_Corriente!FG128*SALUD_Mes_Constante!$FC$1</f>
        <v>681372</v>
      </c>
      <c r="FH128" s="8">
        <f>+MINVU_Mes_Corriente!FH128*SALUD_Mes_Constante!$FC$1</f>
        <v>681372</v>
      </c>
      <c r="FI128" s="8">
        <f>+MINVU_Mes_Corriente!FI128*SALUD_Mes_Constante!$FC$1</f>
        <v>681372</v>
      </c>
      <c r="FJ128" s="8"/>
      <c r="FK128" s="8"/>
      <c r="FL128" s="8"/>
      <c r="FM128" s="8"/>
      <c r="FN128" s="8"/>
      <c r="FO128" s="9">
        <f t="shared" si="69"/>
        <v>681372</v>
      </c>
    </row>
    <row r="129" spans="2:171" ht="14.25" customHeight="1" x14ac:dyDescent="0.3">
      <c r="B129" s="7" t="s">
        <v>53</v>
      </c>
      <c r="C129" s="8">
        <f>+MINVU_Mes_Corriente!C129*SALUD_Mes_Constante!$C$1</f>
        <v>464070.62909684126</v>
      </c>
      <c r="D129" s="8">
        <f>+MINVU_Mes_Corriente!D129*SALUD_Mes_Constante!$C$1</f>
        <v>464070.62909684126</v>
      </c>
      <c r="E129" s="8">
        <f>+MINVU_Mes_Corriente!E129*SALUD_Mes_Constante!$C$1</f>
        <v>464070.62909684126</v>
      </c>
      <c r="F129" s="8">
        <f>+MINVU_Mes_Corriente!F129*SALUD_Mes_Constante!$C$1</f>
        <v>464070.62909684126</v>
      </c>
      <c r="G129" s="8">
        <f>+MINVU_Mes_Corriente!G129*SALUD_Mes_Constante!$C$1</f>
        <v>464070.62909684126</v>
      </c>
      <c r="H129" s="8">
        <f>+MINVU_Mes_Corriente!H129*SALUD_Mes_Constante!$C$1</f>
        <v>464070.62909684126</v>
      </c>
      <c r="I129" s="8">
        <f>+MINVU_Mes_Corriente!I129*SALUD_Mes_Constante!$C$1</f>
        <v>464070.62909684126</v>
      </c>
      <c r="J129" s="8">
        <f>+MINVU_Mes_Corriente!J129*SALUD_Mes_Constante!$C$1</f>
        <v>464070.62909684126</v>
      </c>
      <c r="K129" s="8">
        <f>+MINVU_Mes_Corriente!K129*SALUD_Mes_Constante!$C$1</f>
        <v>464070.62909684126</v>
      </c>
      <c r="L129" s="8">
        <f>+MINVU_Mes_Corriente!L129*SALUD_Mes_Constante!$C$1</f>
        <v>464070.62909684126</v>
      </c>
      <c r="M129" s="8">
        <f>+MINVU_Mes_Corriente!M129*SALUD_Mes_Constante!$C$1</f>
        <v>464070.62909684126</v>
      </c>
      <c r="N129" s="8">
        <f>+MINVU_Mes_Corriente!N129*SALUD_Mes_Constante!$C$1</f>
        <v>464070.62909684126</v>
      </c>
      <c r="O129" s="9">
        <f t="shared" si="57"/>
        <v>464070.62909684126</v>
      </c>
      <c r="P129" s="8">
        <f>+MINVU_Mes_Corriente!P129*SALUD_Mes_Constante!$P$1</f>
        <v>457892.37732632458</v>
      </c>
      <c r="Q129" s="8">
        <f>+MINVU_Mes_Corriente!Q129*SALUD_Mes_Constante!$P$1</f>
        <v>457892.37732632458</v>
      </c>
      <c r="R129" s="8">
        <f>+MINVU_Mes_Corriente!R129*SALUD_Mes_Constante!$P$1</f>
        <v>457892.37732632458</v>
      </c>
      <c r="S129" s="8">
        <f>+MINVU_Mes_Corriente!S129*SALUD_Mes_Constante!$P$1</f>
        <v>457892.37732632458</v>
      </c>
      <c r="T129" s="8">
        <f>+MINVU_Mes_Corriente!T129*SALUD_Mes_Constante!$P$1</f>
        <v>457892.37732632458</v>
      </c>
      <c r="U129" s="8">
        <f>+MINVU_Mes_Corriente!U129*SALUD_Mes_Constante!$P$1</f>
        <v>457892.37732632458</v>
      </c>
      <c r="V129" s="8">
        <f>+MINVU_Mes_Corriente!V129*SALUD_Mes_Constante!$P$1</f>
        <v>457892.37732632458</v>
      </c>
      <c r="W129" s="8">
        <f>+MINVU_Mes_Corriente!W129*SALUD_Mes_Constante!$P$1</f>
        <v>457892.37732632458</v>
      </c>
      <c r="X129" s="8">
        <f>+MINVU_Mes_Corriente!X129*SALUD_Mes_Constante!$P$1</f>
        <v>457892.37732632458</v>
      </c>
      <c r="Y129" s="8">
        <f>+MINVU_Mes_Corriente!Y129*SALUD_Mes_Constante!$P$1</f>
        <v>457892.37732632458</v>
      </c>
      <c r="Z129" s="8">
        <f>+MINVU_Mes_Corriente!Z129*SALUD_Mes_Constante!$P$1</f>
        <v>457892.37732632458</v>
      </c>
      <c r="AA129" s="8">
        <f>+MINVU_Mes_Corriente!AA129*SALUD_Mes_Constante!$P$1</f>
        <v>457892.37732632458</v>
      </c>
      <c r="AB129" s="9">
        <f t="shared" si="58"/>
        <v>457892.37732632458</v>
      </c>
      <c r="AC129" s="8">
        <f>+MINVU_Mes_Corriente!AC129*SALUD_Mes_Constante!$AC$1</f>
        <v>462800.51238068886</v>
      </c>
      <c r="AD129" s="8">
        <f>+MINVU_Mes_Corriente!AD129*SALUD_Mes_Constante!$AC$1</f>
        <v>462800.51238068886</v>
      </c>
      <c r="AE129" s="8">
        <f>+MINVU_Mes_Corriente!AE129*SALUD_Mes_Constante!$AC$1</f>
        <v>462800.51238068886</v>
      </c>
      <c r="AF129" s="8">
        <f>+MINVU_Mes_Corriente!AF129*SALUD_Mes_Constante!$AC$1</f>
        <v>462800.51238068886</v>
      </c>
      <c r="AG129" s="8">
        <f>+MINVU_Mes_Corriente!AG129*SALUD_Mes_Constante!$AC$1</f>
        <v>462800.51238068886</v>
      </c>
      <c r="AH129" s="8">
        <f>+MINVU_Mes_Corriente!AH129*SALUD_Mes_Constante!$AC$1</f>
        <v>462800.51238068886</v>
      </c>
      <c r="AI129" s="8">
        <f>+MINVU_Mes_Corriente!AI129*SALUD_Mes_Constante!$AC$1</f>
        <v>462800.51238068886</v>
      </c>
      <c r="AJ129" s="8">
        <f>+MINVU_Mes_Corriente!AJ129*SALUD_Mes_Constante!$AC$1</f>
        <v>462800.51238068886</v>
      </c>
      <c r="AK129" s="8">
        <f>+MINVU_Mes_Corriente!AK129*SALUD_Mes_Constante!$AC$1</f>
        <v>462800.51238068886</v>
      </c>
      <c r="AL129" s="8">
        <f>+MINVU_Mes_Corriente!AL129*SALUD_Mes_Constante!$AC$1</f>
        <v>462800.51238068886</v>
      </c>
      <c r="AM129" s="8">
        <f>+MINVU_Mes_Corriente!AM129*SALUD_Mes_Constante!$AC$1</f>
        <v>462800.51238068886</v>
      </c>
      <c r="AN129" s="8">
        <f>+MINVU_Mes_Corriente!AN129*SALUD_Mes_Constante!$AC$1</f>
        <v>462800.51238068886</v>
      </c>
      <c r="AO129" s="9">
        <f t="shared" si="59"/>
        <v>462800.51238068886</v>
      </c>
      <c r="AP129" s="8">
        <f>+MINVU_Mes_Corriente!AP129*SALUD_Mes_Constante!$AP$1</f>
        <v>466109.98782632215</v>
      </c>
      <c r="AQ129" s="8">
        <f>+MINVU_Mes_Corriente!AQ129*SALUD_Mes_Constante!$AP$1</f>
        <v>466109.98782632215</v>
      </c>
      <c r="AR129" s="8">
        <f>+MINVU_Mes_Corriente!AR129*SALUD_Mes_Constante!$AP$1</f>
        <v>466109.98782632215</v>
      </c>
      <c r="AS129" s="8">
        <f>+MINVU_Mes_Corriente!AS129*SALUD_Mes_Constante!$AP$1</f>
        <v>466109.98782632215</v>
      </c>
      <c r="AT129" s="8">
        <f>+MINVU_Mes_Corriente!AT129*SALUD_Mes_Constante!$AP$1</f>
        <v>466109.98782632215</v>
      </c>
      <c r="AU129" s="8">
        <f>+MINVU_Mes_Corriente!AU129*SALUD_Mes_Constante!$AP$1</f>
        <v>466109.98782632215</v>
      </c>
      <c r="AV129" s="8">
        <f>+MINVU_Mes_Corriente!AV129*SALUD_Mes_Constante!$AP$1</f>
        <v>466109.98782632215</v>
      </c>
      <c r="AW129" s="8">
        <f>+MINVU_Mes_Corriente!AW129*SALUD_Mes_Constante!$AP$1</f>
        <v>466109.98782632215</v>
      </c>
      <c r="AX129" s="8">
        <f>+MINVU_Mes_Corriente!AX129*SALUD_Mes_Constante!$AP$1</f>
        <v>466109.98782632215</v>
      </c>
      <c r="AY129" s="8">
        <f>+MINVU_Mes_Corriente!AY129*SALUD_Mes_Constante!$AP$1</f>
        <v>466109.98782632215</v>
      </c>
      <c r="AZ129" s="8">
        <f>+MINVU_Mes_Corriente!AZ129*SALUD_Mes_Constante!$AP$1</f>
        <v>466109.98782632215</v>
      </c>
      <c r="BA129" s="8">
        <f>+MINVU_Mes_Corriente!BA129*SALUD_Mes_Constante!$AP$1</f>
        <v>466109.98782632215</v>
      </c>
      <c r="BB129" s="9">
        <f t="shared" si="60"/>
        <v>466109.98782632215</v>
      </c>
      <c r="BC129" s="8">
        <f>+MINVU_Mes_Corriente!BC129*SALUD_Mes_Constante!$BC$1</f>
        <v>466246.1215877622</v>
      </c>
      <c r="BD129" s="8">
        <f>+MINVU_Mes_Corriente!BD129*SALUD_Mes_Constante!$BC$1</f>
        <v>466246.1215877622</v>
      </c>
      <c r="BE129" s="8">
        <f>+MINVU_Mes_Corriente!BE129*SALUD_Mes_Constante!$BC$1</f>
        <v>466246.1215877622</v>
      </c>
      <c r="BF129" s="8">
        <f>+MINVU_Mes_Corriente!BF129*SALUD_Mes_Constante!$BC$1</f>
        <v>466246.1215877622</v>
      </c>
      <c r="BG129" s="8">
        <f>+MINVU_Mes_Corriente!BG129*SALUD_Mes_Constante!$BC$1</f>
        <v>466246.1215877622</v>
      </c>
      <c r="BH129" s="8">
        <f>+MINVU_Mes_Corriente!BH129*SALUD_Mes_Constante!$BC$1</f>
        <v>466246.1215877622</v>
      </c>
      <c r="BI129" s="8">
        <f>+MINVU_Mes_Corriente!BI129*SALUD_Mes_Constante!$BC$1</f>
        <v>466246.1215877622</v>
      </c>
      <c r="BJ129" s="8">
        <f>+MINVU_Mes_Corriente!BJ129*SALUD_Mes_Constante!$BC$1</f>
        <v>466246.1215877622</v>
      </c>
      <c r="BK129" s="8">
        <f>+MINVU_Mes_Corriente!BK129*SALUD_Mes_Constante!$BC$1</f>
        <v>466246.1215877622</v>
      </c>
      <c r="BL129" s="8">
        <f>+MINVU_Mes_Corriente!BL129*SALUD_Mes_Constante!$BC$1</f>
        <v>466246.1215877622</v>
      </c>
      <c r="BM129" s="8">
        <f>+MINVU_Mes_Corriente!BM129*SALUD_Mes_Constante!$BC$1</f>
        <v>466246.1215877622</v>
      </c>
      <c r="BN129" s="8">
        <f>+MINVU_Mes_Corriente!BN129*SALUD_Mes_Constante!$BC$1</f>
        <v>466246.1215877622</v>
      </c>
      <c r="BO129" s="9">
        <f t="shared" si="61"/>
        <v>466246.1215877622</v>
      </c>
      <c r="BP129" s="8">
        <f>+MINVU_Mes_Corriente!BP129*SALUD_Mes_Constante!$BP$1</f>
        <v>0</v>
      </c>
      <c r="BQ129" s="8">
        <f>+MINVU_Mes_Corriente!BQ129*SALUD_Mes_Constante!$BP$1</f>
        <v>0</v>
      </c>
      <c r="BR129" s="8">
        <f>+MINVU_Mes_Corriente!BR129*SALUD_Mes_Constante!$BP$1</f>
        <v>0</v>
      </c>
      <c r="BS129" s="8">
        <f>+MINVU_Mes_Corriente!BS129*SALUD_Mes_Constante!$BP$1</f>
        <v>0</v>
      </c>
      <c r="BT129" s="8">
        <f>+MINVU_Mes_Corriente!BT129*SALUD_Mes_Constante!$BP$1</f>
        <v>0</v>
      </c>
      <c r="BU129" s="8">
        <f>+MINVU_Mes_Corriente!BU129*SALUD_Mes_Constante!$BP$1</f>
        <v>0</v>
      </c>
      <c r="BV129" s="8">
        <f>+MINVU_Mes_Corriente!BV129*SALUD_Mes_Constante!$BP$1</f>
        <v>0</v>
      </c>
      <c r="BW129" s="8">
        <f>+MINVU_Mes_Corriente!BW129*SALUD_Mes_Constante!$BP$1</f>
        <v>0</v>
      </c>
      <c r="BX129" s="8">
        <f>+MINVU_Mes_Corriente!BX129*SALUD_Mes_Constante!$BP$1</f>
        <v>0</v>
      </c>
      <c r="BY129" s="8">
        <f>+MINVU_Mes_Corriente!BY129*SALUD_Mes_Constante!$BP$1</f>
        <v>0</v>
      </c>
      <c r="BZ129" s="8">
        <f>+MINVU_Mes_Corriente!BZ129*SALUD_Mes_Constante!$BP$1</f>
        <v>0</v>
      </c>
      <c r="CA129" s="8">
        <f>+MINVU_Mes_Corriente!CA129*SALUD_Mes_Constante!$BP$1</f>
        <v>0</v>
      </c>
      <c r="CB129" s="9">
        <f t="shared" si="62"/>
        <v>0</v>
      </c>
      <c r="CC129" s="8">
        <f>+MINVU_Mes_Corriente!CC129*SALUD_Mes_Constante!$CC$1</f>
        <v>55469.521074226039</v>
      </c>
      <c r="CD129" s="8">
        <f>+MINVU_Mes_Corriente!CD129*SALUD_Mes_Constante!$CC$1</f>
        <v>55469.521074226039</v>
      </c>
      <c r="CE129" s="8">
        <f>+MINVU_Mes_Corriente!CE129*SALUD_Mes_Constante!$CC$1</f>
        <v>55469.521074226039</v>
      </c>
      <c r="CF129" s="8">
        <f>+MINVU_Mes_Corriente!CF129*SALUD_Mes_Constante!$CC$1</f>
        <v>55469.521074226039</v>
      </c>
      <c r="CG129" s="8">
        <f>+MINVU_Mes_Corriente!CG129*SALUD_Mes_Constante!$CC$1</f>
        <v>55469.521074226039</v>
      </c>
      <c r="CH129" s="8">
        <f>+MINVU_Mes_Corriente!CH129*SALUD_Mes_Constante!$CC$1</f>
        <v>55469.521074226039</v>
      </c>
      <c r="CI129" s="8">
        <f>+MINVU_Mes_Corriente!CI129*SALUD_Mes_Constante!$CC$1</f>
        <v>55469.521074226039</v>
      </c>
      <c r="CJ129" s="8">
        <f>+MINVU_Mes_Corriente!CJ129*SALUD_Mes_Constante!$CC$1</f>
        <v>55469.521074226039</v>
      </c>
      <c r="CK129" s="8">
        <f>+MINVU_Mes_Corriente!CK129*SALUD_Mes_Constante!$CC$1</f>
        <v>55469.521074226039</v>
      </c>
      <c r="CL129" s="8">
        <f>+MINVU_Mes_Corriente!CL129*SALUD_Mes_Constante!$CC$1</f>
        <v>55469.521074226039</v>
      </c>
      <c r="CM129" s="8">
        <f>+MINVU_Mes_Corriente!CM129*SALUD_Mes_Constante!$CC$1</f>
        <v>55469.521074226039</v>
      </c>
      <c r="CN129" s="8">
        <f>+MINVU_Mes_Corriente!CN129*SALUD_Mes_Constante!$CC$1</f>
        <v>55469.521074226039</v>
      </c>
      <c r="CO129" s="9">
        <f t="shared" si="63"/>
        <v>55469.521074226039</v>
      </c>
      <c r="CP129" s="8">
        <f>+MINVU_Mes_Corriente!CP129*SALUD_Mes_Constante!$CP$1</f>
        <v>228595.49582366584</v>
      </c>
      <c r="CQ129" s="8">
        <f>+MINVU_Mes_Corriente!CQ129*SALUD_Mes_Constante!$CP$1</f>
        <v>228595.49582366584</v>
      </c>
      <c r="CR129" s="8">
        <f>+MINVU_Mes_Corriente!CR129*SALUD_Mes_Constante!$CP$1</f>
        <v>228595.49582366584</v>
      </c>
      <c r="CS129" s="8">
        <f>+MINVU_Mes_Corriente!CS129*SALUD_Mes_Constante!$CP$1</f>
        <v>228595.49582366584</v>
      </c>
      <c r="CT129" s="8">
        <f>+MINVU_Mes_Corriente!CT129*SALUD_Mes_Constante!$CP$1</f>
        <v>228595.49582366584</v>
      </c>
      <c r="CU129" s="8">
        <f>+MINVU_Mes_Corriente!CU129*SALUD_Mes_Constante!$CP$1</f>
        <v>228595.49582366584</v>
      </c>
      <c r="CV129" s="8">
        <f>+MINVU_Mes_Corriente!CV129*SALUD_Mes_Constante!$CP$1</f>
        <v>228595.49582366584</v>
      </c>
      <c r="CW129" s="8">
        <f>+MINVU_Mes_Corriente!CW129*SALUD_Mes_Constante!$CP$1</f>
        <v>228595.49582366584</v>
      </c>
      <c r="CX129" s="8">
        <f>+MINVU_Mes_Corriente!CX129*SALUD_Mes_Constante!$CP$1</f>
        <v>228595.49582366584</v>
      </c>
      <c r="CY129" s="8">
        <f>+MINVU_Mes_Corriente!CY129*SALUD_Mes_Constante!$CP$1</f>
        <v>228595.49582366584</v>
      </c>
      <c r="CZ129" s="8">
        <f>+MINVU_Mes_Corriente!CZ129*SALUD_Mes_Constante!$CP$1</f>
        <v>228595.49582366584</v>
      </c>
      <c r="DA129" s="8">
        <f>+MINVU_Mes_Corriente!DA129*SALUD_Mes_Constante!$CP$1</f>
        <v>228595.49582366584</v>
      </c>
      <c r="DB129" s="9">
        <f t="shared" si="64"/>
        <v>228595.49582366584</v>
      </c>
      <c r="DC129" s="8">
        <f>+MINVU_Mes_Corriente!DC129*SALUD_Mes_Constante!$DC$1</f>
        <v>280998.60178993945</v>
      </c>
      <c r="DD129" s="8">
        <f>+MINVU_Mes_Corriente!DD129*SALUD_Mes_Constante!$DC$1</f>
        <v>280998.60178993945</v>
      </c>
      <c r="DE129" s="8">
        <f>+MINVU_Mes_Corriente!DE129*SALUD_Mes_Constante!$DC$1</f>
        <v>280998.60178993945</v>
      </c>
      <c r="DF129" s="8">
        <f>+MINVU_Mes_Corriente!DF129*SALUD_Mes_Constante!$DC$1</f>
        <v>280998.60178993945</v>
      </c>
      <c r="DG129" s="8">
        <f>+MINVU_Mes_Corriente!DG129*SALUD_Mes_Constante!$DC$1</f>
        <v>280998.60178993945</v>
      </c>
      <c r="DH129" s="8">
        <f>+MINVU_Mes_Corriente!DH129*SALUD_Mes_Constante!$DC$1</f>
        <v>280998.60178993945</v>
      </c>
      <c r="DI129" s="8">
        <f>+MINVU_Mes_Corriente!DI129*SALUD_Mes_Constante!$DC$1</f>
        <v>280998.60178993945</v>
      </c>
      <c r="DJ129" s="8">
        <f>+MINVU_Mes_Corriente!DJ129*SALUD_Mes_Constante!$DC$1</f>
        <v>280998.60178993945</v>
      </c>
      <c r="DK129" s="8">
        <f>+MINVU_Mes_Corriente!DK129*SALUD_Mes_Constante!$DC$1</f>
        <v>280998.60178993945</v>
      </c>
      <c r="DL129" s="8">
        <f>+MINVU_Mes_Corriente!DL129*SALUD_Mes_Constante!$DC$1</f>
        <v>280998.60178993945</v>
      </c>
      <c r="DM129" s="8">
        <f>+MINVU_Mes_Corriente!DM129*SALUD_Mes_Constante!$DC$1</f>
        <v>280998.60178993945</v>
      </c>
      <c r="DN129" s="8">
        <f>+MINVU_Mes_Corriente!DN129*SALUD_Mes_Constante!$DC$1</f>
        <v>280998.60178993945</v>
      </c>
      <c r="DO129" s="9">
        <f t="shared" si="65"/>
        <v>280998.60178993945</v>
      </c>
      <c r="DP129" s="8">
        <f>+MINVU_Mes_Corriente!DP129*SALUD_Mes_Constante!$DP$1</f>
        <v>287379.53622327792</v>
      </c>
      <c r="DQ129" s="8">
        <f>+MINVU_Mes_Corriente!DQ129*SALUD_Mes_Constante!$DP$1</f>
        <v>287379.53622327792</v>
      </c>
      <c r="DR129" s="8">
        <f>+MINVU_Mes_Corriente!DR129*SALUD_Mes_Constante!$DP$1</f>
        <v>287379.53622327792</v>
      </c>
      <c r="DS129" s="8">
        <f>+MINVU_Mes_Corriente!DS129*SALUD_Mes_Constante!$DP$1</f>
        <v>287379.53622327792</v>
      </c>
      <c r="DT129" s="8">
        <f>+MINVU_Mes_Corriente!DT129*SALUD_Mes_Constante!$DP$1</f>
        <v>287379.53622327792</v>
      </c>
      <c r="DU129" s="8">
        <f>+MINVU_Mes_Corriente!DU129*SALUD_Mes_Constante!$DP$1</f>
        <v>287379.53622327792</v>
      </c>
      <c r="DV129" s="8">
        <f>+MINVU_Mes_Corriente!DV129*SALUD_Mes_Constante!$DP$1</f>
        <v>287379.53622327792</v>
      </c>
      <c r="DW129" s="8">
        <f>+MINVU_Mes_Corriente!DW129*SALUD_Mes_Constante!$DP$1</f>
        <v>287379.53622327792</v>
      </c>
      <c r="DX129" s="8">
        <f>+MINVU_Mes_Corriente!DX129*SALUD_Mes_Constante!$DP$1</f>
        <v>287379.53622327792</v>
      </c>
      <c r="DY129" s="8">
        <f>+MINVU_Mes_Corriente!DY129*SALUD_Mes_Constante!$DP$1</f>
        <v>287379.53622327792</v>
      </c>
      <c r="DZ129" s="8">
        <f>+MINVU_Mes_Corriente!DZ129*SALUD_Mes_Constante!$DP$1</f>
        <v>287379.53622327792</v>
      </c>
      <c r="EA129" s="8">
        <f>+MINVU_Mes_Corriente!EA129*SALUD_Mes_Constante!$DP$1</f>
        <v>287379.53622327792</v>
      </c>
      <c r="EB129" s="9">
        <f t="shared" si="66"/>
        <v>287379.53622327792</v>
      </c>
      <c r="EC129" s="8">
        <f>+MINVU_Mes_Corriente!EC129*SALUD_Mes_Constante!$EC$1</f>
        <v>251811.09373224759</v>
      </c>
      <c r="ED129" s="8">
        <f>+MINVU_Mes_Corriente!ED129*SALUD_Mes_Constante!$EC$1</f>
        <v>251811.09373224759</v>
      </c>
      <c r="EE129" s="8">
        <f>+MINVU_Mes_Corriente!EE129*SALUD_Mes_Constante!$EC$1</f>
        <v>251811.09373224759</v>
      </c>
      <c r="EF129" s="8">
        <f>+MINVU_Mes_Corriente!EF129*SALUD_Mes_Constante!$EC$1</f>
        <v>251811.09373224759</v>
      </c>
      <c r="EG129" s="8">
        <f>+MINVU_Mes_Corriente!EG129*SALUD_Mes_Constante!$EC$1</f>
        <v>251811.09373224759</v>
      </c>
      <c r="EH129" s="8">
        <f>+MINVU_Mes_Corriente!EH129*SALUD_Mes_Constante!$EC$1</f>
        <v>251811.09373224759</v>
      </c>
      <c r="EI129" s="8">
        <f>+MINVU_Mes_Corriente!EI129*SALUD_Mes_Constante!$EC$1</f>
        <v>251811.09373224759</v>
      </c>
      <c r="EJ129" s="8">
        <f>+MINVU_Mes_Corriente!EJ129*SALUD_Mes_Constante!$EC$1</f>
        <v>251811.09373224759</v>
      </c>
      <c r="EK129" s="8">
        <f>+MINVU_Mes_Corriente!EK129*SALUD_Mes_Constante!$EC$1</f>
        <v>251811.09373224759</v>
      </c>
      <c r="EL129" s="8">
        <f>+MINVU_Mes_Corriente!EL129*SALUD_Mes_Constante!$EC$1</f>
        <v>251811.09373224759</v>
      </c>
      <c r="EM129" s="8">
        <f>+MINVU_Mes_Corriente!EM129*SALUD_Mes_Constante!$EC$1</f>
        <v>251811.09373224759</v>
      </c>
      <c r="EN129" s="8">
        <f>+MINVU_Mes_Corriente!EN129*SALUD_Mes_Constante!$EC$1</f>
        <v>251811.09373224759</v>
      </c>
      <c r="EO129" s="9">
        <f t="shared" si="67"/>
        <v>251811.09373224759</v>
      </c>
      <c r="EP129" s="8">
        <f>+MINVU_Mes_Corriente!EP129*SALUD_Mes_Constante!$EP$1</f>
        <v>253646</v>
      </c>
      <c r="EQ129" s="8">
        <f>+MINVU_Mes_Corriente!EQ129*SALUD_Mes_Constante!$EP$1</f>
        <v>253646</v>
      </c>
      <c r="ER129" s="8">
        <f>+MINVU_Mes_Corriente!ER129*SALUD_Mes_Constante!$EP$1</f>
        <v>253646</v>
      </c>
      <c r="ES129" s="8">
        <f>+MINVU_Mes_Corriente!ES129*SALUD_Mes_Constante!$EP$1</f>
        <v>253646</v>
      </c>
      <c r="ET129" s="8">
        <f>+MINVU_Mes_Corriente!ET129*SALUD_Mes_Constante!$EP$1</f>
        <v>253646</v>
      </c>
      <c r="EU129" s="8">
        <f>+MINVU_Mes_Corriente!EU129*SALUD_Mes_Constante!$EP$1</f>
        <v>253646</v>
      </c>
      <c r="EV129" s="8">
        <f>+MINVU_Mes_Corriente!EV129*SALUD_Mes_Constante!$EP$1</f>
        <v>253646</v>
      </c>
      <c r="EW129" s="8">
        <f>+MINVU_Mes_Corriente!EW129*SALUD_Mes_Constante!$EP$1</f>
        <v>253646</v>
      </c>
      <c r="EX129" s="8">
        <f>+MINVU_Mes_Corriente!EX129*SALUD_Mes_Constante!$EP$1</f>
        <v>253646</v>
      </c>
      <c r="EY129" s="8">
        <f>+MINVU_Mes_Corriente!EY129*SALUD_Mes_Constante!$EP$1</f>
        <v>253646</v>
      </c>
      <c r="EZ129" s="8">
        <f>+MINVU_Mes_Corriente!EZ129*SALUD_Mes_Constante!$EP$1</f>
        <v>253646</v>
      </c>
      <c r="FA129" s="8">
        <f>+MINVU_Mes_Corriente!FA129*SALUD_Mes_Constante!$EP$1</f>
        <v>253646</v>
      </c>
      <c r="FB129" s="9">
        <f t="shared" si="68"/>
        <v>253646</v>
      </c>
      <c r="FC129" s="8">
        <f>+MINVU_Mes_Corriente!FC129*SALUD_Mes_Constante!$FC$1</f>
        <v>261509</v>
      </c>
      <c r="FD129" s="8">
        <f>+MINVU_Mes_Corriente!FD129*SALUD_Mes_Constante!$FC$1</f>
        <v>261509</v>
      </c>
      <c r="FE129" s="8">
        <f>+MINVU_Mes_Corriente!FE129*SALUD_Mes_Constante!$FC$1</f>
        <v>261509</v>
      </c>
      <c r="FF129" s="8">
        <f>+MINVU_Mes_Corriente!FF129*SALUD_Mes_Constante!$FC$1</f>
        <v>261509</v>
      </c>
      <c r="FG129" s="8">
        <f>+MINVU_Mes_Corriente!FG129*SALUD_Mes_Constante!$FC$1</f>
        <v>261509</v>
      </c>
      <c r="FH129" s="8">
        <f>+MINVU_Mes_Corriente!FH129*SALUD_Mes_Constante!$FC$1</f>
        <v>261509</v>
      </c>
      <c r="FI129" s="8">
        <f>+MINVU_Mes_Corriente!FI129*SALUD_Mes_Constante!$FC$1</f>
        <v>261509</v>
      </c>
      <c r="FJ129" s="8"/>
      <c r="FK129" s="8"/>
      <c r="FL129" s="8"/>
      <c r="FM129" s="8"/>
      <c r="FN129" s="8"/>
      <c r="FO129" s="9">
        <f t="shared" si="69"/>
        <v>261509</v>
      </c>
    </row>
    <row r="130" spans="2:171" ht="14.25" customHeight="1" x14ac:dyDescent="0.3">
      <c r="B130" s="7" t="s">
        <v>54</v>
      </c>
      <c r="C130" s="8">
        <f>+MINVU_Mes_Corriente!C130*SALUD_Mes_Constante!$C$1</f>
        <v>457020.49918433937</v>
      </c>
      <c r="D130" s="8">
        <f>+MINVU_Mes_Corriente!D130*SALUD_Mes_Constante!$C$1</f>
        <v>457020.49918433937</v>
      </c>
      <c r="E130" s="8">
        <f>+MINVU_Mes_Corriente!E130*SALUD_Mes_Constante!$C$1</f>
        <v>457020.49918433937</v>
      </c>
      <c r="F130" s="8">
        <f>+MINVU_Mes_Corriente!F130*SALUD_Mes_Constante!$C$1</f>
        <v>457020.49918433937</v>
      </c>
      <c r="G130" s="8">
        <f>+MINVU_Mes_Corriente!G130*SALUD_Mes_Constante!$C$1</f>
        <v>457020.49918433937</v>
      </c>
      <c r="H130" s="8">
        <f>+MINVU_Mes_Corriente!H130*SALUD_Mes_Constante!$C$1</f>
        <v>457020.49918433937</v>
      </c>
      <c r="I130" s="8">
        <f>+MINVU_Mes_Corriente!I130*SALUD_Mes_Constante!$C$1</f>
        <v>457020.49918433937</v>
      </c>
      <c r="J130" s="8">
        <f>+MINVU_Mes_Corriente!J130*SALUD_Mes_Constante!$C$1</f>
        <v>457020.49918433937</v>
      </c>
      <c r="K130" s="8">
        <f>+MINVU_Mes_Corriente!K130*SALUD_Mes_Constante!$C$1</f>
        <v>457020.49918433937</v>
      </c>
      <c r="L130" s="8">
        <f>+MINVU_Mes_Corriente!L130*SALUD_Mes_Constante!$C$1</f>
        <v>457020.49918433937</v>
      </c>
      <c r="M130" s="8">
        <f>+MINVU_Mes_Corriente!M130*SALUD_Mes_Constante!$C$1</f>
        <v>457020.49918433937</v>
      </c>
      <c r="N130" s="8">
        <f>+MINVU_Mes_Corriente!N130*SALUD_Mes_Constante!$C$1</f>
        <v>457020.49918433937</v>
      </c>
      <c r="O130" s="9">
        <f t="shared" si="57"/>
        <v>457020.49918433937</v>
      </c>
      <c r="P130" s="8">
        <f>+MINVU_Mes_Corriente!P130*SALUD_Mes_Constante!$P$1</f>
        <v>450936.92825685447</v>
      </c>
      <c r="Q130" s="8">
        <f>+MINVU_Mes_Corriente!Q130*SALUD_Mes_Constante!$P$1</f>
        <v>450936.92825685447</v>
      </c>
      <c r="R130" s="8">
        <f>+MINVU_Mes_Corriente!R130*SALUD_Mes_Constante!$P$1</f>
        <v>450936.92825685447</v>
      </c>
      <c r="S130" s="8">
        <f>+MINVU_Mes_Corriente!S130*SALUD_Mes_Constante!$P$1</f>
        <v>450936.92825685447</v>
      </c>
      <c r="T130" s="8">
        <f>+MINVU_Mes_Corriente!T130*SALUD_Mes_Constante!$P$1</f>
        <v>450936.92825685447</v>
      </c>
      <c r="U130" s="8">
        <f>+MINVU_Mes_Corriente!U130*SALUD_Mes_Constante!$P$1</f>
        <v>450936.92825685447</v>
      </c>
      <c r="V130" s="8">
        <f>+MINVU_Mes_Corriente!V130*SALUD_Mes_Constante!$P$1</f>
        <v>450936.92825685447</v>
      </c>
      <c r="W130" s="8">
        <f>+MINVU_Mes_Corriente!W130*SALUD_Mes_Constante!$P$1</f>
        <v>450936.92825685447</v>
      </c>
      <c r="X130" s="8">
        <f>+MINVU_Mes_Corriente!X130*SALUD_Mes_Constante!$P$1</f>
        <v>450936.92825685447</v>
      </c>
      <c r="Y130" s="8">
        <f>+MINVU_Mes_Corriente!Y130*SALUD_Mes_Constante!$P$1</f>
        <v>450936.92825685447</v>
      </c>
      <c r="Z130" s="8">
        <f>+MINVU_Mes_Corriente!Z130*SALUD_Mes_Constante!$P$1</f>
        <v>450936.92825685447</v>
      </c>
      <c r="AA130" s="8">
        <f>+MINVU_Mes_Corriente!AA130*SALUD_Mes_Constante!$P$1</f>
        <v>450936.92825685447</v>
      </c>
      <c r="AB130" s="9">
        <f t="shared" si="58"/>
        <v>450936.92825685447</v>
      </c>
      <c r="AC130" s="8">
        <f>+MINVU_Mes_Corriente!AC130*SALUD_Mes_Constante!$AC$1</f>
        <v>455769.42205007607</v>
      </c>
      <c r="AD130" s="8">
        <f>+MINVU_Mes_Corriente!AD130*SALUD_Mes_Constante!$AC$1</f>
        <v>455769.42205007607</v>
      </c>
      <c r="AE130" s="8">
        <f>+MINVU_Mes_Corriente!AE130*SALUD_Mes_Constante!$AC$1</f>
        <v>455769.42205007607</v>
      </c>
      <c r="AF130" s="8">
        <f>+MINVU_Mes_Corriente!AF130*SALUD_Mes_Constante!$AC$1</f>
        <v>455769.42205007607</v>
      </c>
      <c r="AG130" s="8">
        <f>+MINVU_Mes_Corriente!AG130*SALUD_Mes_Constante!$AC$1</f>
        <v>455769.42205007607</v>
      </c>
      <c r="AH130" s="8">
        <f>+MINVU_Mes_Corriente!AH130*SALUD_Mes_Constante!$AC$1</f>
        <v>455769.42205007607</v>
      </c>
      <c r="AI130" s="8">
        <f>+MINVU_Mes_Corriente!AI130*SALUD_Mes_Constante!$AC$1</f>
        <v>455769.42205007607</v>
      </c>
      <c r="AJ130" s="8">
        <f>+MINVU_Mes_Corriente!AJ130*SALUD_Mes_Constante!$AC$1</f>
        <v>455769.42205007607</v>
      </c>
      <c r="AK130" s="8">
        <f>+MINVU_Mes_Corriente!AK130*SALUD_Mes_Constante!$AC$1</f>
        <v>455769.42205007607</v>
      </c>
      <c r="AL130" s="8">
        <f>+MINVU_Mes_Corriente!AL130*SALUD_Mes_Constante!$AC$1</f>
        <v>455769.42205007607</v>
      </c>
      <c r="AM130" s="8">
        <f>+MINVU_Mes_Corriente!AM130*SALUD_Mes_Constante!$AC$1</f>
        <v>455769.42205007607</v>
      </c>
      <c r="AN130" s="8">
        <f>+MINVU_Mes_Corriente!AN130*SALUD_Mes_Constante!$AC$1</f>
        <v>455769.42205007607</v>
      </c>
      <c r="AO130" s="9">
        <f t="shared" si="59"/>
        <v>455769.42205007607</v>
      </c>
      <c r="AP130" s="8">
        <f>+MINVU_Mes_Corriente!AP130*SALUD_Mes_Constante!$AP$1</f>
        <v>459029.44325713511</v>
      </c>
      <c r="AQ130" s="8">
        <f>+MINVU_Mes_Corriente!AQ130*SALUD_Mes_Constante!$AP$1</f>
        <v>459029.44325713511</v>
      </c>
      <c r="AR130" s="8">
        <f>+MINVU_Mes_Corriente!AR130*SALUD_Mes_Constante!$AP$1</f>
        <v>459029.44325713511</v>
      </c>
      <c r="AS130" s="8">
        <f>+MINVU_Mes_Corriente!AS130*SALUD_Mes_Constante!$AP$1</f>
        <v>459029.44325713511</v>
      </c>
      <c r="AT130" s="8">
        <f>+MINVU_Mes_Corriente!AT130*SALUD_Mes_Constante!$AP$1</f>
        <v>459029.44325713511</v>
      </c>
      <c r="AU130" s="8">
        <f>+MINVU_Mes_Corriente!AU130*SALUD_Mes_Constante!$AP$1</f>
        <v>459029.44325713511</v>
      </c>
      <c r="AV130" s="8">
        <f>+MINVU_Mes_Corriente!AV130*SALUD_Mes_Constante!$AP$1</f>
        <v>459029.44325713511</v>
      </c>
      <c r="AW130" s="8">
        <f>+MINVU_Mes_Corriente!AW130*SALUD_Mes_Constante!$AP$1</f>
        <v>459029.44325713511</v>
      </c>
      <c r="AX130" s="8">
        <f>+MINVU_Mes_Corriente!AX130*SALUD_Mes_Constante!$AP$1</f>
        <v>459029.44325713511</v>
      </c>
      <c r="AY130" s="8">
        <f>+MINVU_Mes_Corriente!AY130*SALUD_Mes_Constante!$AP$1</f>
        <v>459029.44325713511</v>
      </c>
      <c r="AZ130" s="8">
        <f>+MINVU_Mes_Corriente!AZ130*SALUD_Mes_Constante!$AP$1</f>
        <v>459029.44325713511</v>
      </c>
      <c r="BA130" s="8">
        <f>+MINVU_Mes_Corriente!BA130*SALUD_Mes_Constante!$AP$1</f>
        <v>459029.44325713511</v>
      </c>
      <c r="BB130" s="9">
        <f t="shared" si="60"/>
        <v>459029.44325713511</v>
      </c>
      <c r="BC130" s="8">
        <f>+MINVU_Mes_Corriente!BC130*SALUD_Mes_Constante!$BC$1</f>
        <v>459164.32150863786</v>
      </c>
      <c r="BD130" s="8">
        <f>+MINVU_Mes_Corriente!BD130*SALUD_Mes_Constante!$BC$1</f>
        <v>459164.32150863786</v>
      </c>
      <c r="BE130" s="8">
        <f>+MINVU_Mes_Corriente!BE130*SALUD_Mes_Constante!$BC$1</f>
        <v>459164.32150863786</v>
      </c>
      <c r="BF130" s="8">
        <f>+MINVU_Mes_Corriente!BF130*SALUD_Mes_Constante!$BC$1</f>
        <v>459164.32150863786</v>
      </c>
      <c r="BG130" s="8">
        <f>+MINVU_Mes_Corriente!BG130*SALUD_Mes_Constante!$BC$1</f>
        <v>459164.32150863786</v>
      </c>
      <c r="BH130" s="8">
        <f>+MINVU_Mes_Corriente!BH130*SALUD_Mes_Constante!$BC$1</f>
        <v>459164.32150863786</v>
      </c>
      <c r="BI130" s="8">
        <f>+MINVU_Mes_Corriente!BI130*SALUD_Mes_Constante!$BC$1</f>
        <v>459164.32150863786</v>
      </c>
      <c r="BJ130" s="8">
        <f>+MINVU_Mes_Corriente!BJ130*SALUD_Mes_Constante!$BC$1</f>
        <v>459164.32150863786</v>
      </c>
      <c r="BK130" s="8">
        <f>+MINVU_Mes_Corriente!BK130*SALUD_Mes_Constante!$BC$1</f>
        <v>459164.32150863786</v>
      </c>
      <c r="BL130" s="8">
        <f>+MINVU_Mes_Corriente!BL130*SALUD_Mes_Constante!$BC$1</f>
        <v>459164.32150863786</v>
      </c>
      <c r="BM130" s="8">
        <f>+MINVU_Mes_Corriente!BM130*SALUD_Mes_Constante!$BC$1</f>
        <v>459164.32150863786</v>
      </c>
      <c r="BN130" s="8">
        <f>+MINVU_Mes_Corriente!BN130*SALUD_Mes_Constante!$BC$1</f>
        <v>459164.32150863786</v>
      </c>
      <c r="BO130" s="9">
        <f t="shared" si="61"/>
        <v>459164.32150863786</v>
      </c>
      <c r="BP130" s="8">
        <f>+MINVU_Mes_Corriente!BP130*SALUD_Mes_Constante!$BP$1</f>
        <v>0</v>
      </c>
      <c r="BQ130" s="8">
        <f>+MINVU_Mes_Corriente!BQ130*SALUD_Mes_Constante!$BP$1</f>
        <v>0</v>
      </c>
      <c r="BR130" s="8">
        <f>+MINVU_Mes_Corriente!BR130*SALUD_Mes_Constante!$BP$1</f>
        <v>0</v>
      </c>
      <c r="BS130" s="8">
        <f>+MINVU_Mes_Corriente!BS130*SALUD_Mes_Constante!$BP$1</f>
        <v>0</v>
      </c>
      <c r="BT130" s="8">
        <f>+MINVU_Mes_Corriente!BT130*SALUD_Mes_Constante!$BP$1</f>
        <v>0</v>
      </c>
      <c r="BU130" s="8">
        <f>+MINVU_Mes_Corriente!BU130*SALUD_Mes_Constante!$BP$1</f>
        <v>0</v>
      </c>
      <c r="BV130" s="8">
        <f>+MINVU_Mes_Corriente!BV130*SALUD_Mes_Constante!$BP$1</f>
        <v>0</v>
      </c>
      <c r="BW130" s="8">
        <f>+MINVU_Mes_Corriente!BW130*SALUD_Mes_Constante!$BP$1</f>
        <v>0</v>
      </c>
      <c r="BX130" s="8">
        <f>+MINVU_Mes_Corriente!BX130*SALUD_Mes_Constante!$BP$1</f>
        <v>0</v>
      </c>
      <c r="BY130" s="8">
        <f>+MINVU_Mes_Corriente!BY130*SALUD_Mes_Constante!$BP$1</f>
        <v>0</v>
      </c>
      <c r="BZ130" s="8">
        <f>+MINVU_Mes_Corriente!BZ130*SALUD_Mes_Constante!$BP$1</f>
        <v>0</v>
      </c>
      <c r="CA130" s="8">
        <f>+MINVU_Mes_Corriente!CA130*SALUD_Mes_Constante!$BP$1</f>
        <v>0</v>
      </c>
      <c r="CB130" s="9">
        <f t="shared" si="62"/>
        <v>0</v>
      </c>
      <c r="CC130" s="8">
        <f>+MINVU_Mes_Corriente!CC130*SALUD_Mes_Constante!$CC$1</f>
        <v>140084.55128683327</v>
      </c>
      <c r="CD130" s="8">
        <f>+MINVU_Mes_Corriente!CD130*SALUD_Mes_Constante!$CC$1</f>
        <v>140084.55128683327</v>
      </c>
      <c r="CE130" s="8">
        <f>+MINVU_Mes_Corriente!CE130*SALUD_Mes_Constante!$CC$1</f>
        <v>140084.55128683327</v>
      </c>
      <c r="CF130" s="8">
        <f>+MINVU_Mes_Corriente!CF130*SALUD_Mes_Constante!$CC$1</f>
        <v>140084.55128683327</v>
      </c>
      <c r="CG130" s="8">
        <f>+MINVU_Mes_Corriente!CG130*SALUD_Mes_Constante!$CC$1</f>
        <v>140084.55128683327</v>
      </c>
      <c r="CH130" s="8">
        <f>+MINVU_Mes_Corriente!CH130*SALUD_Mes_Constante!$CC$1</f>
        <v>140084.55128683327</v>
      </c>
      <c r="CI130" s="8">
        <f>+MINVU_Mes_Corriente!CI130*SALUD_Mes_Constante!$CC$1</f>
        <v>140084.55128683327</v>
      </c>
      <c r="CJ130" s="8">
        <f>+MINVU_Mes_Corriente!CJ130*SALUD_Mes_Constante!$CC$1</f>
        <v>140084.55128683327</v>
      </c>
      <c r="CK130" s="8">
        <f>+MINVU_Mes_Corriente!CK130*SALUD_Mes_Constante!$CC$1</f>
        <v>140084.55128683327</v>
      </c>
      <c r="CL130" s="8">
        <f>+MINVU_Mes_Corriente!CL130*SALUD_Mes_Constante!$CC$1</f>
        <v>140084.55128683327</v>
      </c>
      <c r="CM130" s="8">
        <f>+MINVU_Mes_Corriente!CM130*SALUD_Mes_Constante!$CC$1</f>
        <v>140084.55128683327</v>
      </c>
      <c r="CN130" s="8">
        <f>+MINVU_Mes_Corriente!CN130*SALUD_Mes_Constante!$CC$1</f>
        <v>140084.55128683327</v>
      </c>
      <c r="CO130" s="9">
        <f t="shared" si="63"/>
        <v>140084.55128683327</v>
      </c>
      <c r="CP130" s="8">
        <f>+MINVU_Mes_Corriente!CP130*SALUD_Mes_Constante!$CP$1</f>
        <v>562777.72621809738</v>
      </c>
      <c r="CQ130" s="8">
        <f>+MINVU_Mes_Corriente!CQ130*SALUD_Mes_Constante!$CP$1</f>
        <v>562777.72621809738</v>
      </c>
      <c r="CR130" s="8">
        <f>+MINVU_Mes_Corriente!CR130*SALUD_Mes_Constante!$CP$1</f>
        <v>562777.72621809738</v>
      </c>
      <c r="CS130" s="8">
        <f>+MINVU_Mes_Corriente!CS130*SALUD_Mes_Constante!$CP$1</f>
        <v>562777.72621809738</v>
      </c>
      <c r="CT130" s="8">
        <f>+MINVU_Mes_Corriente!CT130*SALUD_Mes_Constante!$CP$1</f>
        <v>562777.72621809738</v>
      </c>
      <c r="CU130" s="8">
        <f>+MINVU_Mes_Corriente!CU130*SALUD_Mes_Constante!$CP$1</f>
        <v>562777.72621809738</v>
      </c>
      <c r="CV130" s="8">
        <f>+MINVU_Mes_Corriente!CV130*SALUD_Mes_Constante!$CP$1</f>
        <v>562777.72621809738</v>
      </c>
      <c r="CW130" s="8">
        <f>+MINVU_Mes_Corriente!CW130*SALUD_Mes_Constante!$CP$1</f>
        <v>562777.72621809738</v>
      </c>
      <c r="CX130" s="8">
        <f>+MINVU_Mes_Corriente!CX130*SALUD_Mes_Constante!$CP$1</f>
        <v>562777.72621809738</v>
      </c>
      <c r="CY130" s="8">
        <f>+MINVU_Mes_Corriente!CY130*SALUD_Mes_Constante!$CP$1</f>
        <v>562777.72621809738</v>
      </c>
      <c r="CZ130" s="8">
        <f>+MINVU_Mes_Corriente!CZ130*SALUD_Mes_Constante!$CP$1</f>
        <v>562777.72621809738</v>
      </c>
      <c r="DA130" s="8">
        <f>+MINVU_Mes_Corriente!DA130*SALUD_Mes_Constante!$CP$1</f>
        <v>562777.72621809738</v>
      </c>
      <c r="DB130" s="9">
        <f t="shared" si="64"/>
        <v>562777.72621809738</v>
      </c>
      <c r="DC130" s="8">
        <f>+MINVU_Mes_Corriente!DC130*SALUD_Mes_Constante!$DC$1</f>
        <v>685461.79035078723</v>
      </c>
      <c r="DD130" s="8">
        <f>+MINVU_Mes_Corriente!DD130*SALUD_Mes_Constante!$DC$1</f>
        <v>685461.79035078723</v>
      </c>
      <c r="DE130" s="8">
        <f>+MINVU_Mes_Corriente!DE130*SALUD_Mes_Constante!$DC$1</f>
        <v>685461.79035078723</v>
      </c>
      <c r="DF130" s="8">
        <f>+MINVU_Mes_Corriente!DF130*SALUD_Mes_Constante!$DC$1</f>
        <v>685461.79035078723</v>
      </c>
      <c r="DG130" s="8">
        <f>+MINVU_Mes_Corriente!DG130*SALUD_Mes_Constante!$DC$1</f>
        <v>685461.79035078723</v>
      </c>
      <c r="DH130" s="8">
        <f>+MINVU_Mes_Corriente!DH130*SALUD_Mes_Constante!$DC$1</f>
        <v>685461.79035078723</v>
      </c>
      <c r="DI130" s="8">
        <f>+MINVU_Mes_Corriente!DI130*SALUD_Mes_Constante!$DC$1</f>
        <v>685461.79035078723</v>
      </c>
      <c r="DJ130" s="8">
        <f>+MINVU_Mes_Corriente!DJ130*SALUD_Mes_Constante!$DC$1</f>
        <v>685461.79035078723</v>
      </c>
      <c r="DK130" s="8">
        <f>+MINVU_Mes_Corriente!DK130*SALUD_Mes_Constante!$DC$1</f>
        <v>685461.79035078723</v>
      </c>
      <c r="DL130" s="8">
        <f>+MINVU_Mes_Corriente!DL130*SALUD_Mes_Constante!$DC$1</f>
        <v>685461.79035078723</v>
      </c>
      <c r="DM130" s="8">
        <f>+MINVU_Mes_Corriente!DM130*SALUD_Mes_Constante!$DC$1</f>
        <v>685461.79035078723</v>
      </c>
      <c r="DN130" s="8">
        <f>+MINVU_Mes_Corriente!DN130*SALUD_Mes_Constante!$DC$1</f>
        <v>685461.79035078723</v>
      </c>
      <c r="DO130" s="9">
        <f t="shared" si="65"/>
        <v>685461.79035078723</v>
      </c>
      <c r="DP130" s="8">
        <f>+MINVU_Mes_Corriente!DP130*SALUD_Mes_Constante!$DP$1</f>
        <v>701025.52553444193</v>
      </c>
      <c r="DQ130" s="8">
        <f>+MINVU_Mes_Corriente!DQ130*SALUD_Mes_Constante!$DP$1</f>
        <v>701025.52553444193</v>
      </c>
      <c r="DR130" s="8">
        <f>+MINVU_Mes_Corriente!DR130*SALUD_Mes_Constante!$DP$1</f>
        <v>701025.52553444193</v>
      </c>
      <c r="DS130" s="8">
        <f>+MINVU_Mes_Corriente!DS130*SALUD_Mes_Constante!$DP$1</f>
        <v>701025.52553444193</v>
      </c>
      <c r="DT130" s="8">
        <f>+MINVU_Mes_Corriente!DT130*SALUD_Mes_Constante!$DP$1</f>
        <v>701025.52553444193</v>
      </c>
      <c r="DU130" s="8">
        <f>+MINVU_Mes_Corriente!DU130*SALUD_Mes_Constante!$DP$1</f>
        <v>701025.52553444193</v>
      </c>
      <c r="DV130" s="8">
        <f>+MINVU_Mes_Corriente!DV130*SALUD_Mes_Constante!$DP$1</f>
        <v>701025.52553444193</v>
      </c>
      <c r="DW130" s="8">
        <f>+MINVU_Mes_Corriente!DW130*SALUD_Mes_Constante!$DP$1</f>
        <v>701025.52553444193</v>
      </c>
      <c r="DX130" s="8">
        <f>+MINVU_Mes_Corriente!DX130*SALUD_Mes_Constante!$DP$1</f>
        <v>701025.52553444193</v>
      </c>
      <c r="DY130" s="8">
        <f>+MINVU_Mes_Corriente!DY130*SALUD_Mes_Constante!$DP$1</f>
        <v>701025.52553444193</v>
      </c>
      <c r="DZ130" s="8">
        <f>+MINVU_Mes_Corriente!DZ130*SALUD_Mes_Constante!$DP$1</f>
        <v>701025.52553444193</v>
      </c>
      <c r="EA130" s="8">
        <f>+MINVU_Mes_Corriente!EA130*SALUD_Mes_Constante!$DP$1</f>
        <v>701025.52553444193</v>
      </c>
      <c r="EB130" s="9">
        <f t="shared" si="66"/>
        <v>701025.52553444193</v>
      </c>
      <c r="EC130" s="8">
        <f>+MINVU_Mes_Corriente!EC130*SALUD_Mes_Constante!$EC$1</f>
        <v>614265.26472259022</v>
      </c>
      <c r="ED130" s="8">
        <f>+MINVU_Mes_Corriente!ED130*SALUD_Mes_Constante!$EC$1</f>
        <v>614265.26472259022</v>
      </c>
      <c r="EE130" s="8">
        <f>+MINVU_Mes_Corriente!EE130*SALUD_Mes_Constante!$EC$1</f>
        <v>614265.26472259022</v>
      </c>
      <c r="EF130" s="8">
        <f>+MINVU_Mes_Corriente!EF130*SALUD_Mes_Constante!$EC$1</f>
        <v>614265.26472259022</v>
      </c>
      <c r="EG130" s="8">
        <f>+MINVU_Mes_Corriente!EG130*SALUD_Mes_Constante!$EC$1</f>
        <v>614265.26472259022</v>
      </c>
      <c r="EH130" s="8">
        <f>+MINVU_Mes_Corriente!EH130*SALUD_Mes_Constante!$EC$1</f>
        <v>614265.26472259022</v>
      </c>
      <c r="EI130" s="8">
        <f>+MINVU_Mes_Corriente!EI130*SALUD_Mes_Constante!$EC$1</f>
        <v>614265.26472259022</v>
      </c>
      <c r="EJ130" s="8">
        <f>+MINVU_Mes_Corriente!EJ130*SALUD_Mes_Constante!$EC$1</f>
        <v>614265.26472259022</v>
      </c>
      <c r="EK130" s="8">
        <f>+MINVU_Mes_Corriente!EK130*SALUD_Mes_Constante!$EC$1</f>
        <v>614265.26472259022</v>
      </c>
      <c r="EL130" s="8">
        <f>+MINVU_Mes_Corriente!EL130*SALUD_Mes_Constante!$EC$1</f>
        <v>614265.26472259022</v>
      </c>
      <c r="EM130" s="8">
        <f>+MINVU_Mes_Corriente!EM130*SALUD_Mes_Constante!$EC$1</f>
        <v>614265.26472259022</v>
      </c>
      <c r="EN130" s="8">
        <f>+MINVU_Mes_Corriente!EN130*SALUD_Mes_Constante!$EC$1</f>
        <v>614265.26472259022</v>
      </c>
      <c r="EO130" s="9">
        <f t="shared" si="67"/>
        <v>614265.26472259022</v>
      </c>
      <c r="EP130" s="8">
        <f>+MINVU_Mes_Corriente!EP130*SALUD_Mes_Constante!$EP$1</f>
        <v>618741</v>
      </c>
      <c r="EQ130" s="8">
        <f>+MINVU_Mes_Corriente!EQ130*SALUD_Mes_Constante!$EP$1</f>
        <v>618741</v>
      </c>
      <c r="ER130" s="8">
        <f>+MINVU_Mes_Corriente!ER130*SALUD_Mes_Constante!$EP$1</f>
        <v>618741</v>
      </c>
      <c r="ES130" s="8">
        <f>+MINVU_Mes_Corriente!ES130*SALUD_Mes_Constante!$EP$1</f>
        <v>618741</v>
      </c>
      <c r="ET130" s="8">
        <f>+MINVU_Mes_Corriente!ET130*SALUD_Mes_Constante!$EP$1</f>
        <v>618741</v>
      </c>
      <c r="EU130" s="8">
        <f>+MINVU_Mes_Corriente!EU130*SALUD_Mes_Constante!$EP$1</f>
        <v>618741</v>
      </c>
      <c r="EV130" s="8">
        <f>+MINVU_Mes_Corriente!EV130*SALUD_Mes_Constante!$EP$1</f>
        <v>618741</v>
      </c>
      <c r="EW130" s="8">
        <f>+MINVU_Mes_Corriente!EW130*SALUD_Mes_Constante!$EP$1</f>
        <v>618741</v>
      </c>
      <c r="EX130" s="8">
        <f>+MINVU_Mes_Corriente!EX130*SALUD_Mes_Constante!$EP$1</f>
        <v>618741</v>
      </c>
      <c r="EY130" s="8">
        <f>+MINVU_Mes_Corriente!EY130*SALUD_Mes_Constante!$EP$1</f>
        <v>618741</v>
      </c>
      <c r="EZ130" s="8">
        <f>+MINVU_Mes_Corriente!EZ130*SALUD_Mes_Constante!$EP$1</f>
        <v>618741</v>
      </c>
      <c r="FA130" s="8">
        <f>+MINVU_Mes_Corriente!FA130*SALUD_Mes_Constante!$EP$1</f>
        <v>618741</v>
      </c>
      <c r="FB130" s="9">
        <f t="shared" si="68"/>
        <v>618741</v>
      </c>
      <c r="FC130" s="8">
        <f>+MINVU_Mes_Corriente!FC130*SALUD_Mes_Constante!$FC$1</f>
        <v>637922</v>
      </c>
      <c r="FD130" s="8">
        <f>+MINVU_Mes_Corriente!FD130*SALUD_Mes_Constante!$FC$1</f>
        <v>637922</v>
      </c>
      <c r="FE130" s="8">
        <f>+MINVU_Mes_Corriente!FE130*SALUD_Mes_Constante!$FC$1</f>
        <v>637922</v>
      </c>
      <c r="FF130" s="8">
        <f>+MINVU_Mes_Corriente!FF130*SALUD_Mes_Constante!$FC$1</f>
        <v>637922</v>
      </c>
      <c r="FG130" s="8">
        <f>+MINVU_Mes_Corriente!FG130*SALUD_Mes_Constante!$FC$1</f>
        <v>637922</v>
      </c>
      <c r="FH130" s="8">
        <f>+MINVU_Mes_Corriente!FH130*SALUD_Mes_Constante!$FC$1</f>
        <v>637922</v>
      </c>
      <c r="FI130" s="8">
        <f>+MINVU_Mes_Corriente!FI130*SALUD_Mes_Constante!$FC$1</f>
        <v>637922</v>
      </c>
      <c r="FJ130" s="8"/>
      <c r="FK130" s="8"/>
      <c r="FL130" s="8"/>
      <c r="FM130" s="8"/>
      <c r="FN130" s="8"/>
      <c r="FO130" s="9">
        <f t="shared" si="69"/>
        <v>637922</v>
      </c>
    </row>
    <row r="131" spans="2:171" ht="14.25" customHeight="1" x14ac:dyDescent="0.3">
      <c r="B131" s="7" t="s">
        <v>55</v>
      </c>
      <c r="C131" s="8">
        <f>+MINVU_Mes_Corriente!C131*SALUD_Mes_Constante!$C$1</f>
        <v>574229.92169657431</v>
      </c>
      <c r="D131" s="8">
        <f>+MINVU_Mes_Corriente!D131*SALUD_Mes_Constante!$C$1</f>
        <v>574229.92169657431</v>
      </c>
      <c r="E131" s="8">
        <f>+MINVU_Mes_Corriente!E131*SALUD_Mes_Constante!$C$1</f>
        <v>574229.92169657431</v>
      </c>
      <c r="F131" s="8">
        <f>+MINVU_Mes_Corriente!F131*SALUD_Mes_Constante!$C$1</f>
        <v>574229.92169657431</v>
      </c>
      <c r="G131" s="8">
        <f>+MINVU_Mes_Corriente!G131*SALUD_Mes_Constante!$C$1</f>
        <v>574229.92169657431</v>
      </c>
      <c r="H131" s="8">
        <f>+MINVU_Mes_Corriente!H131*SALUD_Mes_Constante!$C$1</f>
        <v>574229.92169657431</v>
      </c>
      <c r="I131" s="8">
        <f>+MINVU_Mes_Corriente!I131*SALUD_Mes_Constante!$C$1</f>
        <v>574229.92169657431</v>
      </c>
      <c r="J131" s="8">
        <f>+MINVU_Mes_Corriente!J131*SALUD_Mes_Constante!$C$1</f>
        <v>574229.92169657431</v>
      </c>
      <c r="K131" s="8">
        <f>+MINVU_Mes_Corriente!K131*SALUD_Mes_Constante!$C$1</f>
        <v>574229.92169657431</v>
      </c>
      <c r="L131" s="8">
        <f>+MINVU_Mes_Corriente!L131*SALUD_Mes_Constante!$C$1</f>
        <v>574229.92169657431</v>
      </c>
      <c r="M131" s="8">
        <f>+MINVU_Mes_Corriente!M131*SALUD_Mes_Constante!$C$1</f>
        <v>574229.92169657431</v>
      </c>
      <c r="N131" s="8">
        <f>+MINVU_Mes_Corriente!N131*SALUD_Mes_Constante!$C$1</f>
        <v>574229.92169657431</v>
      </c>
      <c r="O131" s="9">
        <f t="shared" si="57"/>
        <v>574229.92169657431</v>
      </c>
      <c r="P131" s="8">
        <f>+MINVU_Mes_Corriente!P131*SALUD_Mes_Constante!$P$1</f>
        <v>566585.82099730056</v>
      </c>
      <c r="Q131" s="8">
        <f>+MINVU_Mes_Corriente!Q131*SALUD_Mes_Constante!$P$1</f>
        <v>566585.82099730056</v>
      </c>
      <c r="R131" s="8">
        <f>+MINVU_Mes_Corriente!R131*SALUD_Mes_Constante!$P$1</f>
        <v>566585.82099730056</v>
      </c>
      <c r="S131" s="8">
        <f>+MINVU_Mes_Corriente!S131*SALUD_Mes_Constante!$P$1</f>
        <v>566585.82099730056</v>
      </c>
      <c r="T131" s="8">
        <f>+MINVU_Mes_Corriente!T131*SALUD_Mes_Constante!$P$1</f>
        <v>566585.82099730056</v>
      </c>
      <c r="U131" s="8">
        <f>+MINVU_Mes_Corriente!U131*SALUD_Mes_Constante!$P$1</f>
        <v>566585.82099730056</v>
      </c>
      <c r="V131" s="8">
        <f>+MINVU_Mes_Corriente!V131*SALUD_Mes_Constante!$P$1</f>
        <v>566585.82099730056</v>
      </c>
      <c r="W131" s="8">
        <f>+MINVU_Mes_Corriente!W131*SALUD_Mes_Constante!$P$1</f>
        <v>566585.82099730056</v>
      </c>
      <c r="X131" s="8">
        <f>+MINVU_Mes_Corriente!X131*SALUD_Mes_Constante!$P$1</f>
        <v>566585.82099730056</v>
      </c>
      <c r="Y131" s="8">
        <f>+MINVU_Mes_Corriente!Y131*SALUD_Mes_Constante!$P$1</f>
        <v>566585.82099730056</v>
      </c>
      <c r="Z131" s="8">
        <f>+MINVU_Mes_Corriente!Z131*SALUD_Mes_Constante!$P$1</f>
        <v>566585.82099730056</v>
      </c>
      <c r="AA131" s="8">
        <f>+MINVU_Mes_Corriente!AA131*SALUD_Mes_Constante!$P$1</f>
        <v>566585.82099730056</v>
      </c>
      <c r="AB131" s="9">
        <f t="shared" si="58"/>
        <v>566585.82099730056</v>
      </c>
      <c r="AC131" s="8">
        <f>+MINVU_Mes_Corriente!AC131*SALUD_Mes_Constante!$AC$1</f>
        <v>572659.03167796379</v>
      </c>
      <c r="AD131" s="8">
        <f>+MINVU_Mes_Corriente!AD131*SALUD_Mes_Constante!$AC$1</f>
        <v>572659.03167796379</v>
      </c>
      <c r="AE131" s="8">
        <f>+MINVU_Mes_Corriente!AE131*SALUD_Mes_Constante!$AC$1</f>
        <v>572659.03167796379</v>
      </c>
      <c r="AF131" s="8">
        <f>+MINVU_Mes_Corriente!AF131*SALUD_Mes_Constante!$AC$1</f>
        <v>572659.03167796379</v>
      </c>
      <c r="AG131" s="8">
        <f>+MINVU_Mes_Corriente!AG131*SALUD_Mes_Constante!$AC$1</f>
        <v>572659.03167796379</v>
      </c>
      <c r="AH131" s="8">
        <f>+MINVU_Mes_Corriente!AH131*SALUD_Mes_Constante!$AC$1</f>
        <v>572659.03167796379</v>
      </c>
      <c r="AI131" s="8">
        <f>+MINVU_Mes_Corriente!AI131*SALUD_Mes_Constante!$AC$1</f>
        <v>572659.03167796379</v>
      </c>
      <c r="AJ131" s="8">
        <f>+MINVU_Mes_Corriente!AJ131*SALUD_Mes_Constante!$AC$1</f>
        <v>572659.03167796379</v>
      </c>
      <c r="AK131" s="8">
        <f>+MINVU_Mes_Corriente!AK131*SALUD_Mes_Constante!$AC$1</f>
        <v>572659.03167796379</v>
      </c>
      <c r="AL131" s="8">
        <f>+MINVU_Mes_Corriente!AL131*SALUD_Mes_Constante!$AC$1</f>
        <v>572659.03167796379</v>
      </c>
      <c r="AM131" s="8">
        <f>+MINVU_Mes_Corriente!AM131*SALUD_Mes_Constante!$AC$1</f>
        <v>572659.03167796379</v>
      </c>
      <c r="AN131" s="8">
        <f>+MINVU_Mes_Corriente!AN131*SALUD_Mes_Constante!$AC$1</f>
        <v>572659.03167796379</v>
      </c>
      <c r="AO131" s="9">
        <f t="shared" si="59"/>
        <v>572659.03167796379</v>
      </c>
      <c r="AP131" s="8">
        <f>+MINVU_Mes_Corriente!AP131*SALUD_Mes_Constante!$AP$1</f>
        <v>576754.76558907074</v>
      </c>
      <c r="AQ131" s="8">
        <f>+MINVU_Mes_Corriente!AQ131*SALUD_Mes_Constante!$AP$1</f>
        <v>576754.76558907074</v>
      </c>
      <c r="AR131" s="8">
        <f>+MINVU_Mes_Corriente!AR131*SALUD_Mes_Constante!$AP$1</f>
        <v>576754.76558907074</v>
      </c>
      <c r="AS131" s="8">
        <f>+MINVU_Mes_Corriente!AS131*SALUD_Mes_Constante!$AP$1</f>
        <v>576754.76558907074</v>
      </c>
      <c r="AT131" s="8">
        <f>+MINVU_Mes_Corriente!AT131*SALUD_Mes_Constante!$AP$1</f>
        <v>576754.76558907074</v>
      </c>
      <c r="AU131" s="8">
        <f>+MINVU_Mes_Corriente!AU131*SALUD_Mes_Constante!$AP$1</f>
        <v>576754.76558907074</v>
      </c>
      <c r="AV131" s="8">
        <f>+MINVU_Mes_Corriente!AV131*SALUD_Mes_Constante!$AP$1</f>
        <v>576754.76558907074</v>
      </c>
      <c r="AW131" s="8">
        <f>+MINVU_Mes_Corriente!AW131*SALUD_Mes_Constante!$AP$1</f>
        <v>576754.76558907074</v>
      </c>
      <c r="AX131" s="8">
        <f>+MINVU_Mes_Corriente!AX131*SALUD_Mes_Constante!$AP$1</f>
        <v>576754.76558907074</v>
      </c>
      <c r="AY131" s="8">
        <f>+MINVU_Mes_Corriente!AY131*SALUD_Mes_Constante!$AP$1</f>
        <v>576754.76558907074</v>
      </c>
      <c r="AZ131" s="8">
        <f>+MINVU_Mes_Corriente!AZ131*SALUD_Mes_Constante!$AP$1</f>
        <v>576754.76558907074</v>
      </c>
      <c r="BA131" s="8">
        <f>+MINVU_Mes_Corriente!BA131*SALUD_Mes_Constante!$AP$1</f>
        <v>576754.76558907074</v>
      </c>
      <c r="BB131" s="9">
        <f t="shared" si="60"/>
        <v>576754.76558907074</v>
      </c>
      <c r="BC131" s="8">
        <f>+MINVU_Mes_Corriente!BC131*SALUD_Mes_Constante!$BC$1</f>
        <v>576923.92245813017</v>
      </c>
      <c r="BD131" s="8">
        <f>+MINVU_Mes_Corriente!BD131*SALUD_Mes_Constante!$BC$1</f>
        <v>576923.92245813017</v>
      </c>
      <c r="BE131" s="8">
        <f>+MINVU_Mes_Corriente!BE131*SALUD_Mes_Constante!$BC$1</f>
        <v>576923.92245813017</v>
      </c>
      <c r="BF131" s="8">
        <f>+MINVU_Mes_Corriente!BF131*SALUD_Mes_Constante!$BC$1</f>
        <v>576923.92245813017</v>
      </c>
      <c r="BG131" s="8">
        <f>+MINVU_Mes_Corriente!BG131*SALUD_Mes_Constante!$BC$1</f>
        <v>576923.92245813017</v>
      </c>
      <c r="BH131" s="8">
        <f>+MINVU_Mes_Corriente!BH131*SALUD_Mes_Constante!$BC$1</f>
        <v>576923.92245813017</v>
      </c>
      <c r="BI131" s="8">
        <f>+MINVU_Mes_Corriente!BI131*SALUD_Mes_Constante!$BC$1</f>
        <v>576923.92245813017</v>
      </c>
      <c r="BJ131" s="8">
        <f>+MINVU_Mes_Corriente!BJ131*SALUD_Mes_Constante!$BC$1</f>
        <v>576923.92245813017</v>
      </c>
      <c r="BK131" s="8">
        <f>+MINVU_Mes_Corriente!BK131*SALUD_Mes_Constante!$BC$1</f>
        <v>576923.92245813017</v>
      </c>
      <c r="BL131" s="8">
        <f>+MINVU_Mes_Corriente!BL131*SALUD_Mes_Constante!$BC$1</f>
        <v>576923.92245813017</v>
      </c>
      <c r="BM131" s="8">
        <f>+MINVU_Mes_Corriente!BM131*SALUD_Mes_Constante!$BC$1</f>
        <v>576923.92245813017</v>
      </c>
      <c r="BN131" s="8">
        <f>+MINVU_Mes_Corriente!BN131*SALUD_Mes_Constante!$BC$1</f>
        <v>576923.92245813017</v>
      </c>
      <c r="BO131" s="9">
        <f t="shared" si="61"/>
        <v>576923.92245813017</v>
      </c>
      <c r="BP131" s="8">
        <f>+MINVU_Mes_Corriente!BP131*SALUD_Mes_Constante!$BP$1</f>
        <v>0</v>
      </c>
      <c r="BQ131" s="8">
        <f>+MINVU_Mes_Corriente!BQ131*SALUD_Mes_Constante!$BP$1</f>
        <v>0</v>
      </c>
      <c r="BR131" s="8">
        <f>+MINVU_Mes_Corriente!BR131*SALUD_Mes_Constante!$BP$1</f>
        <v>0</v>
      </c>
      <c r="BS131" s="8">
        <f>+MINVU_Mes_Corriente!BS131*SALUD_Mes_Constante!$BP$1</f>
        <v>0</v>
      </c>
      <c r="BT131" s="8">
        <f>+MINVU_Mes_Corriente!BT131*SALUD_Mes_Constante!$BP$1</f>
        <v>0</v>
      </c>
      <c r="BU131" s="8">
        <f>+MINVU_Mes_Corriente!BU131*SALUD_Mes_Constante!$BP$1</f>
        <v>0</v>
      </c>
      <c r="BV131" s="8">
        <f>+MINVU_Mes_Corriente!BV131*SALUD_Mes_Constante!$BP$1</f>
        <v>0</v>
      </c>
      <c r="BW131" s="8">
        <f>+MINVU_Mes_Corriente!BW131*SALUD_Mes_Constante!$BP$1</f>
        <v>0</v>
      </c>
      <c r="BX131" s="8">
        <f>+MINVU_Mes_Corriente!BX131*SALUD_Mes_Constante!$BP$1</f>
        <v>0</v>
      </c>
      <c r="BY131" s="8">
        <f>+MINVU_Mes_Corriente!BY131*SALUD_Mes_Constante!$BP$1</f>
        <v>0</v>
      </c>
      <c r="BZ131" s="8">
        <f>+MINVU_Mes_Corriente!BZ131*SALUD_Mes_Constante!$BP$1</f>
        <v>0</v>
      </c>
      <c r="CA131" s="8">
        <f>+MINVU_Mes_Corriente!CA131*SALUD_Mes_Constante!$BP$1</f>
        <v>0</v>
      </c>
      <c r="CB131" s="9">
        <f t="shared" si="62"/>
        <v>0</v>
      </c>
      <c r="CC131" s="8">
        <f>+MINVU_Mes_Corriente!CC131*SALUD_Mes_Constante!$CC$1</f>
        <v>170501.5680716151</v>
      </c>
      <c r="CD131" s="8">
        <f>+MINVU_Mes_Corriente!CD131*SALUD_Mes_Constante!$CC$1</f>
        <v>170501.5680716151</v>
      </c>
      <c r="CE131" s="8">
        <f>+MINVU_Mes_Corriente!CE131*SALUD_Mes_Constante!$CC$1</f>
        <v>170501.5680716151</v>
      </c>
      <c r="CF131" s="8">
        <f>+MINVU_Mes_Corriente!CF131*SALUD_Mes_Constante!$CC$1</f>
        <v>170501.5680716151</v>
      </c>
      <c r="CG131" s="8">
        <f>+MINVU_Mes_Corriente!CG131*SALUD_Mes_Constante!$CC$1</f>
        <v>170501.5680716151</v>
      </c>
      <c r="CH131" s="8">
        <f>+MINVU_Mes_Corriente!CH131*SALUD_Mes_Constante!$CC$1</f>
        <v>170501.5680716151</v>
      </c>
      <c r="CI131" s="8">
        <f>+MINVU_Mes_Corriente!CI131*SALUD_Mes_Constante!$CC$1</f>
        <v>170501.5680716151</v>
      </c>
      <c r="CJ131" s="8">
        <f>+MINVU_Mes_Corriente!CJ131*SALUD_Mes_Constante!$CC$1</f>
        <v>170501.5680716151</v>
      </c>
      <c r="CK131" s="8">
        <f>+MINVU_Mes_Corriente!CK131*SALUD_Mes_Constante!$CC$1</f>
        <v>170501.5680716151</v>
      </c>
      <c r="CL131" s="8">
        <f>+MINVU_Mes_Corriente!CL131*SALUD_Mes_Constante!$CC$1</f>
        <v>170501.5680716151</v>
      </c>
      <c r="CM131" s="8">
        <f>+MINVU_Mes_Corriente!CM131*SALUD_Mes_Constante!$CC$1</f>
        <v>170501.5680716151</v>
      </c>
      <c r="CN131" s="8">
        <f>+MINVU_Mes_Corriente!CN131*SALUD_Mes_Constante!$CC$1</f>
        <v>170501.5680716151</v>
      </c>
      <c r="CO131" s="9">
        <f t="shared" si="63"/>
        <v>170501.5680716151</v>
      </c>
      <c r="CP131" s="8">
        <f>+MINVU_Mes_Corriente!CP131*SALUD_Mes_Constante!$CP$1</f>
        <v>693582.98700696044</v>
      </c>
      <c r="CQ131" s="8">
        <f>+MINVU_Mes_Corriente!CQ131*SALUD_Mes_Constante!$CP$1</f>
        <v>693582.98700696044</v>
      </c>
      <c r="CR131" s="8">
        <f>+MINVU_Mes_Corriente!CR131*SALUD_Mes_Constante!$CP$1</f>
        <v>693582.98700696044</v>
      </c>
      <c r="CS131" s="8">
        <f>+MINVU_Mes_Corriente!CS131*SALUD_Mes_Constante!$CP$1</f>
        <v>693582.98700696044</v>
      </c>
      <c r="CT131" s="8">
        <f>+MINVU_Mes_Corriente!CT131*SALUD_Mes_Constante!$CP$1</f>
        <v>693582.98700696044</v>
      </c>
      <c r="CU131" s="8">
        <f>+MINVU_Mes_Corriente!CU131*SALUD_Mes_Constante!$CP$1</f>
        <v>693582.98700696044</v>
      </c>
      <c r="CV131" s="8">
        <f>+MINVU_Mes_Corriente!CV131*SALUD_Mes_Constante!$CP$1</f>
        <v>693582.98700696044</v>
      </c>
      <c r="CW131" s="8">
        <f>+MINVU_Mes_Corriente!CW131*SALUD_Mes_Constante!$CP$1</f>
        <v>693582.98700696044</v>
      </c>
      <c r="CX131" s="8">
        <f>+MINVU_Mes_Corriente!CX131*SALUD_Mes_Constante!$CP$1</f>
        <v>693582.98700696044</v>
      </c>
      <c r="CY131" s="8">
        <f>+MINVU_Mes_Corriente!CY131*SALUD_Mes_Constante!$CP$1</f>
        <v>693582.98700696044</v>
      </c>
      <c r="CZ131" s="8">
        <f>+MINVU_Mes_Corriente!CZ131*SALUD_Mes_Constante!$CP$1</f>
        <v>693582.98700696044</v>
      </c>
      <c r="DA131" s="8">
        <f>+MINVU_Mes_Corriente!DA131*SALUD_Mes_Constante!$CP$1</f>
        <v>693582.98700696044</v>
      </c>
      <c r="DB131" s="9">
        <f t="shared" si="64"/>
        <v>693582.98700696044</v>
      </c>
      <c r="DC131" s="8">
        <f>+MINVU_Mes_Corriente!DC131*SALUD_Mes_Constante!$DC$1</f>
        <v>837889.66217467375</v>
      </c>
      <c r="DD131" s="8">
        <f>+MINVU_Mes_Corriente!DD131*SALUD_Mes_Constante!$DC$1</f>
        <v>837889.66217467375</v>
      </c>
      <c r="DE131" s="8">
        <f>+MINVU_Mes_Corriente!DE131*SALUD_Mes_Constante!$DC$1</f>
        <v>837889.66217467375</v>
      </c>
      <c r="DF131" s="8">
        <f>+MINVU_Mes_Corriente!DF131*SALUD_Mes_Constante!$DC$1</f>
        <v>837889.66217467375</v>
      </c>
      <c r="DG131" s="8">
        <f>+MINVU_Mes_Corriente!DG131*SALUD_Mes_Constante!$DC$1</f>
        <v>837889.66217467375</v>
      </c>
      <c r="DH131" s="8">
        <f>+MINVU_Mes_Corriente!DH131*SALUD_Mes_Constante!$DC$1</f>
        <v>837889.66217467375</v>
      </c>
      <c r="DI131" s="8">
        <f>+MINVU_Mes_Corriente!DI131*SALUD_Mes_Constante!$DC$1</f>
        <v>837889.66217467375</v>
      </c>
      <c r="DJ131" s="8">
        <f>+MINVU_Mes_Corriente!DJ131*SALUD_Mes_Constante!$DC$1</f>
        <v>837889.66217467375</v>
      </c>
      <c r="DK131" s="8">
        <f>+MINVU_Mes_Corriente!DK131*SALUD_Mes_Constante!$DC$1</f>
        <v>837889.66217467375</v>
      </c>
      <c r="DL131" s="8">
        <f>+MINVU_Mes_Corriente!DL131*SALUD_Mes_Constante!$DC$1</f>
        <v>837889.66217467375</v>
      </c>
      <c r="DM131" s="8">
        <f>+MINVU_Mes_Corriente!DM131*SALUD_Mes_Constante!$DC$1</f>
        <v>837889.66217467375</v>
      </c>
      <c r="DN131" s="8">
        <f>+MINVU_Mes_Corriente!DN131*SALUD_Mes_Constante!$DC$1</f>
        <v>837889.66217467375</v>
      </c>
      <c r="DO131" s="9">
        <f t="shared" si="65"/>
        <v>837889.66217467375</v>
      </c>
      <c r="DP131" s="8">
        <f>+MINVU_Mes_Corriente!DP131*SALUD_Mes_Constante!$DP$1</f>
        <v>856914.58788598585</v>
      </c>
      <c r="DQ131" s="8">
        <f>+MINVU_Mes_Corriente!DQ131*SALUD_Mes_Constante!$DP$1</f>
        <v>856914.58788598585</v>
      </c>
      <c r="DR131" s="8">
        <f>+MINVU_Mes_Corriente!DR131*SALUD_Mes_Constante!$DP$1</f>
        <v>856914.58788598585</v>
      </c>
      <c r="DS131" s="8">
        <f>+MINVU_Mes_Corriente!DS131*SALUD_Mes_Constante!$DP$1</f>
        <v>856914.58788598585</v>
      </c>
      <c r="DT131" s="8">
        <f>+MINVU_Mes_Corriente!DT131*SALUD_Mes_Constante!$DP$1</f>
        <v>856914.58788598585</v>
      </c>
      <c r="DU131" s="8">
        <f>+MINVU_Mes_Corriente!DU131*SALUD_Mes_Constante!$DP$1</f>
        <v>856914.58788598585</v>
      </c>
      <c r="DV131" s="8">
        <f>+MINVU_Mes_Corriente!DV131*SALUD_Mes_Constante!$DP$1</f>
        <v>856914.58788598585</v>
      </c>
      <c r="DW131" s="8">
        <f>+MINVU_Mes_Corriente!DW131*SALUD_Mes_Constante!$DP$1</f>
        <v>856914.58788598585</v>
      </c>
      <c r="DX131" s="8">
        <f>+MINVU_Mes_Corriente!DX131*SALUD_Mes_Constante!$DP$1</f>
        <v>856914.58788598585</v>
      </c>
      <c r="DY131" s="8">
        <f>+MINVU_Mes_Corriente!DY131*SALUD_Mes_Constante!$DP$1</f>
        <v>856914.58788598585</v>
      </c>
      <c r="DZ131" s="8">
        <f>+MINVU_Mes_Corriente!DZ131*SALUD_Mes_Constante!$DP$1</f>
        <v>856914.58788598585</v>
      </c>
      <c r="EA131" s="8">
        <f>+MINVU_Mes_Corriente!EA131*SALUD_Mes_Constante!$DP$1</f>
        <v>856914.58788598585</v>
      </c>
      <c r="EB131" s="9">
        <f t="shared" si="66"/>
        <v>856914.58788598585</v>
      </c>
      <c r="EC131" s="8">
        <f>+MINVU_Mes_Corriente!EC131*SALUD_Mes_Constante!$EC$1</f>
        <v>750861.9884491571</v>
      </c>
      <c r="ED131" s="8">
        <f>+MINVU_Mes_Corriente!ED131*SALUD_Mes_Constante!$EC$1</f>
        <v>750861.9884491571</v>
      </c>
      <c r="EE131" s="8">
        <f>+MINVU_Mes_Corriente!EE131*SALUD_Mes_Constante!$EC$1</f>
        <v>750861.9884491571</v>
      </c>
      <c r="EF131" s="8">
        <f>+MINVU_Mes_Corriente!EF131*SALUD_Mes_Constante!$EC$1</f>
        <v>750861.9884491571</v>
      </c>
      <c r="EG131" s="8">
        <f>+MINVU_Mes_Corriente!EG131*SALUD_Mes_Constante!$EC$1</f>
        <v>750861.9884491571</v>
      </c>
      <c r="EH131" s="8">
        <f>+MINVU_Mes_Corriente!EH131*SALUD_Mes_Constante!$EC$1</f>
        <v>750861.9884491571</v>
      </c>
      <c r="EI131" s="8">
        <f>+MINVU_Mes_Corriente!EI131*SALUD_Mes_Constante!$EC$1</f>
        <v>750861.9884491571</v>
      </c>
      <c r="EJ131" s="8">
        <f>+MINVU_Mes_Corriente!EJ131*SALUD_Mes_Constante!$EC$1</f>
        <v>750861.9884491571</v>
      </c>
      <c r="EK131" s="8">
        <f>+MINVU_Mes_Corriente!EK131*SALUD_Mes_Constante!$EC$1</f>
        <v>750861.9884491571</v>
      </c>
      <c r="EL131" s="8">
        <f>+MINVU_Mes_Corriente!EL131*SALUD_Mes_Constante!$EC$1</f>
        <v>750861.9884491571</v>
      </c>
      <c r="EM131" s="8">
        <f>+MINVU_Mes_Corriente!EM131*SALUD_Mes_Constante!$EC$1</f>
        <v>750861.9884491571</v>
      </c>
      <c r="EN131" s="8">
        <f>+MINVU_Mes_Corriente!EN131*SALUD_Mes_Constante!$EC$1</f>
        <v>750861.9884491571</v>
      </c>
      <c r="EO131" s="9">
        <f t="shared" si="67"/>
        <v>750861.9884491571</v>
      </c>
      <c r="EP131" s="8">
        <f>+MINVU_Mes_Corriente!EP131*SALUD_Mes_Constante!$EP$1</f>
        <v>756332</v>
      </c>
      <c r="EQ131" s="8">
        <f>+MINVU_Mes_Corriente!EQ131*SALUD_Mes_Constante!$EP$1</f>
        <v>756332</v>
      </c>
      <c r="ER131" s="8">
        <f>+MINVU_Mes_Corriente!ER131*SALUD_Mes_Constante!$EP$1</f>
        <v>756332</v>
      </c>
      <c r="ES131" s="8">
        <f>+MINVU_Mes_Corriente!ES131*SALUD_Mes_Constante!$EP$1</f>
        <v>756332</v>
      </c>
      <c r="ET131" s="8">
        <f>+MINVU_Mes_Corriente!ET131*SALUD_Mes_Constante!$EP$1</f>
        <v>756332</v>
      </c>
      <c r="EU131" s="8">
        <f>+MINVU_Mes_Corriente!EU131*SALUD_Mes_Constante!$EP$1</f>
        <v>756332</v>
      </c>
      <c r="EV131" s="8">
        <f>+MINVU_Mes_Corriente!EV131*SALUD_Mes_Constante!$EP$1</f>
        <v>756332</v>
      </c>
      <c r="EW131" s="8">
        <f>+MINVU_Mes_Corriente!EW131*SALUD_Mes_Constante!$EP$1</f>
        <v>756332</v>
      </c>
      <c r="EX131" s="8">
        <f>+MINVU_Mes_Corriente!EX131*SALUD_Mes_Constante!$EP$1</f>
        <v>756332</v>
      </c>
      <c r="EY131" s="8">
        <f>+MINVU_Mes_Corriente!EY131*SALUD_Mes_Constante!$EP$1</f>
        <v>756332</v>
      </c>
      <c r="EZ131" s="8">
        <f>+MINVU_Mes_Corriente!EZ131*SALUD_Mes_Constante!$EP$1</f>
        <v>756332</v>
      </c>
      <c r="FA131" s="8">
        <f>+MINVU_Mes_Corriente!FA131*SALUD_Mes_Constante!$EP$1</f>
        <v>756332</v>
      </c>
      <c r="FB131" s="9">
        <f t="shared" si="68"/>
        <v>756332</v>
      </c>
      <c r="FC131" s="8">
        <f>+MINVU_Mes_Corriente!FC131*SALUD_Mes_Constante!$FC$1</f>
        <v>779779</v>
      </c>
      <c r="FD131" s="8">
        <f>+MINVU_Mes_Corriente!FD131*SALUD_Mes_Constante!$FC$1</f>
        <v>779779</v>
      </c>
      <c r="FE131" s="8">
        <f>+MINVU_Mes_Corriente!FE131*SALUD_Mes_Constante!$FC$1</f>
        <v>779779</v>
      </c>
      <c r="FF131" s="8">
        <f>+MINVU_Mes_Corriente!FF131*SALUD_Mes_Constante!$FC$1</f>
        <v>779779</v>
      </c>
      <c r="FG131" s="8">
        <f>+MINVU_Mes_Corriente!FG131*SALUD_Mes_Constante!$FC$1</f>
        <v>779779</v>
      </c>
      <c r="FH131" s="8">
        <f>+MINVU_Mes_Corriente!FH131*SALUD_Mes_Constante!$FC$1</f>
        <v>779779</v>
      </c>
      <c r="FI131" s="8">
        <f>+MINVU_Mes_Corriente!FI131*SALUD_Mes_Constante!$FC$1</f>
        <v>779779</v>
      </c>
      <c r="FJ131" s="8"/>
      <c r="FK131" s="8"/>
      <c r="FL131" s="8"/>
      <c r="FM131" s="8"/>
      <c r="FN131" s="8"/>
      <c r="FO131" s="9">
        <f t="shared" si="69"/>
        <v>779779</v>
      </c>
    </row>
    <row r="132" spans="2:171" ht="14.25" customHeight="1" x14ac:dyDescent="0.3">
      <c r="B132" s="7" t="s">
        <v>56</v>
      </c>
      <c r="C132" s="8">
        <f>+MINVU_Mes_Corriente!C132*SALUD_Mes_Constante!$C$1</f>
        <v>293124.01779623318</v>
      </c>
      <c r="D132" s="8">
        <f>+MINVU_Mes_Corriente!D132*SALUD_Mes_Constante!$C$1</f>
        <v>293124.01779623318</v>
      </c>
      <c r="E132" s="8">
        <f>+MINVU_Mes_Corriente!E132*SALUD_Mes_Constante!$C$1</f>
        <v>293124.01779623318</v>
      </c>
      <c r="F132" s="8">
        <f>+MINVU_Mes_Corriente!F132*SALUD_Mes_Constante!$C$1</f>
        <v>293124.01779623318</v>
      </c>
      <c r="G132" s="8">
        <f>+MINVU_Mes_Corriente!G132*SALUD_Mes_Constante!$C$1</f>
        <v>293124.01779623318</v>
      </c>
      <c r="H132" s="8">
        <f>+MINVU_Mes_Corriente!H132*SALUD_Mes_Constante!$C$1</f>
        <v>293124.01779623318</v>
      </c>
      <c r="I132" s="8">
        <f>+MINVU_Mes_Corriente!I132*SALUD_Mes_Constante!$C$1</f>
        <v>293124.01779623318</v>
      </c>
      <c r="J132" s="8">
        <f>+MINVU_Mes_Corriente!J132*SALUD_Mes_Constante!$C$1</f>
        <v>293124.01779623318</v>
      </c>
      <c r="K132" s="8">
        <f>+MINVU_Mes_Corriente!K132*SALUD_Mes_Constante!$C$1</f>
        <v>293124.01779623318</v>
      </c>
      <c r="L132" s="8">
        <f>+MINVU_Mes_Corriente!L132*SALUD_Mes_Constante!$C$1</f>
        <v>293124.01779623318</v>
      </c>
      <c r="M132" s="8">
        <f>+MINVU_Mes_Corriente!M132*SALUD_Mes_Constante!$C$1</f>
        <v>293124.01779623318</v>
      </c>
      <c r="N132" s="8">
        <f>+MINVU_Mes_Corriente!N132*SALUD_Mes_Constante!$C$1</f>
        <v>293124.01779623318</v>
      </c>
      <c r="O132" s="9">
        <f t="shared" si="57"/>
        <v>293124.01779623318</v>
      </c>
      <c r="P132" s="8">
        <f>+MINVU_Mes_Corriente!P132*SALUD_Mes_Constante!$P$1</f>
        <v>289221.57323483436</v>
      </c>
      <c r="Q132" s="8">
        <f>+MINVU_Mes_Corriente!Q132*SALUD_Mes_Constante!$P$1</f>
        <v>289221.57323483436</v>
      </c>
      <c r="R132" s="8">
        <f>+MINVU_Mes_Corriente!R132*SALUD_Mes_Constante!$P$1</f>
        <v>289221.57323483436</v>
      </c>
      <c r="S132" s="8">
        <f>+MINVU_Mes_Corriente!S132*SALUD_Mes_Constante!$P$1</f>
        <v>289221.57323483436</v>
      </c>
      <c r="T132" s="8">
        <f>+MINVU_Mes_Corriente!T132*SALUD_Mes_Constante!$P$1</f>
        <v>289221.57323483436</v>
      </c>
      <c r="U132" s="8">
        <f>+MINVU_Mes_Corriente!U132*SALUD_Mes_Constante!$P$1</f>
        <v>289221.57323483436</v>
      </c>
      <c r="V132" s="8">
        <f>+MINVU_Mes_Corriente!V132*SALUD_Mes_Constante!$P$1</f>
        <v>289221.57323483436</v>
      </c>
      <c r="W132" s="8">
        <f>+MINVU_Mes_Corriente!W132*SALUD_Mes_Constante!$P$1</f>
        <v>289221.57323483436</v>
      </c>
      <c r="X132" s="8">
        <f>+MINVU_Mes_Corriente!X132*SALUD_Mes_Constante!$P$1</f>
        <v>289221.57323483436</v>
      </c>
      <c r="Y132" s="8">
        <f>+MINVU_Mes_Corriente!Y132*SALUD_Mes_Constante!$P$1</f>
        <v>289221.57323483436</v>
      </c>
      <c r="Z132" s="8">
        <f>+MINVU_Mes_Corriente!Z132*SALUD_Mes_Constante!$P$1</f>
        <v>289221.57323483436</v>
      </c>
      <c r="AA132" s="8">
        <f>+MINVU_Mes_Corriente!AA132*SALUD_Mes_Constante!$P$1</f>
        <v>289221.57323483436</v>
      </c>
      <c r="AB132" s="9">
        <f t="shared" si="58"/>
        <v>289221.57323483436</v>
      </c>
      <c r="AC132" s="8">
        <f>+MINVU_Mes_Corriente!AC132*SALUD_Mes_Constante!$AC$1</f>
        <v>292322.26587356481</v>
      </c>
      <c r="AD132" s="8">
        <f>+MINVU_Mes_Corriente!AD132*SALUD_Mes_Constante!$AC$1</f>
        <v>292322.26587356481</v>
      </c>
      <c r="AE132" s="8">
        <f>+MINVU_Mes_Corriente!AE132*SALUD_Mes_Constante!$AC$1</f>
        <v>292322.26587356481</v>
      </c>
      <c r="AF132" s="8">
        <f>+MINVU_Mes_Corriente!AF132*SALUD_Mes_Constante!$AC$1</f>
        <v>292322.26587356481</v>
      </c>
      <c r="AG132" s="8">
        <f>+MINVU_Mes_Corriente!AG132*SALUD_Mes_Constante!$AC$1</f>
        <v>292322.26587356481</v>
      </c>
      <c r="AH132" s="8">
        <f>+MINVU_Mes_Corriente!AH132*SALUD_Mes_Constante!$AC$1</f>
        <v>292322.26587356481</v>
      </c>
      <c r="AI132" s="8">
        <f>+MINVU_Mes_Corriente!AI132*SALUD_Mes_Constante!$AC$1</f>
        <v>292322.26587356481</v>
      </c>
      <c r="AJ132" s="8">
        <f>+MINVU_Mes_Corriente!AJ132*SALUD_Mes_Constante!$AC$1</f>
        <v>292322.26587356481</v>
      </c>
      <c r="AK132" s="8">
        <f>+MINVU_Mes_Corriente!AK132*SALUD_Mes_Constante!$AC$1</f>
        <v>292322.26587356481</v>
      </c>
      <c r="AL132" s="8">
        <f>+MINVU_Mes_Corriente!AL132*SALUD_Mes_Constante!$AC$1</f>
        <v>292322.26587356481</v>
      </c>
      <c r="AM132" s="8">
        <f>+MINVU_Mes_Corriente!AM132*SALUD_Mes_Constante!$AC$1</f>
        <v>292322.26587356481</v>
      </c>
      <c r="AN132" s="8">
        <f>+MINVU_Mes_Corriente!AN132*SALUD_Mes_Constante!$AC$1</f>
        <v>292322.26587356481</v>
      </c>
      <c r="AO132" s="9">
        <f t="shared" si="59"/>
        <v>292322.26587356481</v>
      </c>
      <c r="AP132" s="8">
        <f>+MINVU_Mes_Corriente!AP132*SALUD_Mes_Constante!$AP$1</f>
        <v>294412.32409035572</v>
      </c>
      <c r="AQ132" s="8">
        <f>+MINVU_Mes_Corriente!AQ132*SALUD_Mes_Constante!$AP$1</f>
        <v>294412.32409035572</v>
      </c>
      <c r="AR132" s="8">
        <f>+MINVU_Mes_Corriente!AR132*SALUD_Mes_Constante!$AP$1</f>
        <v>294412.32409035572</v>
      </c>
      <c r="AS132" s="8">
        <f>+MINVU_Mes_Corriente!AS132*SALUD_Mes_Constante!$AP$1</f>
        <v>294412.32409035572</v>
      </c>
      <c r="AT132" s="8">
        <f>+MINVU_Mes_Corriente!AT132*SALUD_Mes_Constante!$AP$1</f>
        <v>294412.32409035572</v>
      </c>
      <c r="AU132" s="8">
        <f>+MINVU_Mes_Corriente!AU132*SALUD_Mes_Constante!$AP$1</f>
        <v>294412.32409035572</v>
      </c>
      <c r="AV132" s="8">
        <f>+MINVU_Mes_Corriente!AV132*SALUD_Mes_Constante!$AP$1</f>
        <v>294412.32409035572</v>
      </c>
      <c r="AW132" s="8">
        <f>+MINVU_Mes_Corriente!AW132*SALUD_Mes_Constante!$AP$1</f>
        <v>294412.32409035572</v>
      </c>
      <c r="AX132" s="8">
        <f>+MINVU_Mes_Corriente!AX132*SALUD_Mes_Constante!$AP$1</f>
        <v>294412.32409035572</v>
      </c>
      <c r="AY132" s="8">
        <f>+MINVU_Mes_Corriente!AY132*SALUD_Mes_Constante!$AP$1</f>
        <v>294412.32409035572</v>
      </c>
      <c r="AZ132" s="8">
        <f>+MINVU_Mes_Corriente!AZ132*SALUD_Mes_Constante!$AP$1</f>
        <v>294412.32409035572</v>
      </c>
      <c r="BA132" s="8">
        <f>+MINVU_Mes_Corriente!BA132*SALUD_Mes_Constante!$AP$1</f>
        <v>294412.32409035572</v>
      </c>
      <c r="BB132" s="9">
        <f t="shared" si="60"/>
        <v>294412.32409035572</v>
      </c>
      <c r="BC132" s="8">
        <f>+MINVU_Mes_Corriente!BC132*SALUD_Mes_Constante!$BC$1</f>
        <v>294499.14176447323</v>
      </c>
      <c r="BD132" s="8">
        <f>+MINVU_Mes_Corriente!BD132*SALUD_Mes_Constante!$BC$1</f>
        <v>294499.14176447323</v>
      </c>
      <c r="BE132" s="8">
        <f>+MINVU_Mes_Corriente!BE132*SALUD_Mes_Constante!$BC$1</f>
        <v>294499.14176447323</v>
      </c>
      <c r="BF132" s="8">
        <f>+MINVU_Mes_Corriente!BF132*SALUD_Mes_Constante!$BC$1</f>
        <v>294499.14176447323</v>
      </c>
      <c r="BG132" s="8">
        <f>+MINVU_Mes_Corriente!BG132*SALUD_Mes_Constante!$BC$1</f>
        <v>294499.14176447323</v>
      </c>
      <c r="BH132" s="8">
        <f>+MINVU_Mes_Corriente!BH132*SALUD_Mes_Constante!$BC$1</f>
        <v>294499.14176447323</v>
      </c>
      <c r="BI132" s="8">
        <f>+MINVU_Mes_Corriente!BI132*SALUD_Mes_Constante!$BC$1</f>
        <v>294499.14176447323</v>
      </c>
      <c r="BJ132" s="8">
        <f>+MINVU_Mes_Corriente!BJ132*SALUD_Mes_Constante!$BC$1</f>
        <v>294499.14176447323</v>
      </c>
      <c r="BK132" s="8">
        <f>+MINVU_Mes_Corriente!BK132*SALUD_Mes_Constante!$BC$1</f>
        <v>294499.14176447323</v>
      </c>
      <c r="BL132" s="8">
        <f>+MINVU_Mes_Corriente!BL132*SALUD_Mes_Constante!$BC$1</f>
        <v>294499.14176447323</v>
      </c>
      <c r="BM132" s="8">
        <f>+MINVU_Mes_Corriente!BM132*SALUD_Mes_Constante!$BC$1</f>
        <v>294499.14176447323</v>
      </c>
      <c r="BN132" s="8">
        <f>+MINVU_Mes_Corriente!BN132*SALUD_Mes_Constante!$BC$1</f>
        <v>294499.14176447323</v>
      </c>
      <c r="BO132" s="9">
        <f t="shared" si="61"/>
        <v>294499.14176447323</v>
      </c>
      <c r="BP132" s="8">
        <f>+MINVU_Mes_Corriente!BP132*SALUD_Mes_Constante!$BP$1</f>
        <v>0</v>
      </c>
      <c r="BQ132" s="8">
        <f>+MINVU_Mes_Corriente!BQ132*SALUD_Mes_Constante!$BP$1</f>
        <v>0</v>
      </c>
      <c r="BR132" s="8">
        <f>+MINVU_Mes_Corriente!BR132*SALUD_Mes_Constante!$BP$1</f>
        <v>0</v>
      </c>
      <c r="BS132" s="8">
        <f>+MINVU_Mes_Corriente!BS132*SALUD_Mes_Constante!$BP$1</f>
        <v>0</v>
      </c>
      <c r="BT132" s="8">
        <f>+MINVU_Mes_Corriente!BT132*SALUD_Mes_Constante!$BP$1</f>
        <v>0</v>
      </c>
      <c r="BU132" s="8">
        <f>+MINVU_Mes_Corriente!BU132*SALUD_Mes_Constante!$BP$1</f>
        <v>0</v>
      </c>
      <c r="BV132" s="8">
        <f>+MINVU_Mes_Corriente!BV132*SALUD_Mes_Constante!$BP$1</f>
        <v>0</v>
      </c>
      <c r="BW132" s="8">
        <f>+MINVU_Mes_Corriente!BW132*SALUD_Mes_Constante!$BP$1</f>
        <v>0</v>
      </c>
      <c r="BX132" s="8">
        <f>+MINVU_Mes_Corriente!BX132*SALUD_Mes_Constante!$BP$1</f>
        <v>0</v>
      </c>
      <c r="BY132" s="8">
        <f>+MINVU_Mes_Corriente!BY132*SALUD_Mes_Constante!$BP$1</f>
        <v>0</v>
      </c>
      <c r="BZ132" s="8">
        <f>+MINVU_Mes_Corriente!BZ132*SALUD_Mes_Constante!$BP$1</f>
        <v>0</v>
      </c>
      <c r="CA132" s="8">
        <f>+MINVU_Mes_Corriente!CA132*SALUD_Mes_Constante!$BP$1</f>
        <v>0</v>
      </c>
      <c r="CB132" s="9">
        <f t="shared" si="62"/>
        <v>0</v>
      </c>
      <c r="CC132" s="8">
        <f>+MINVU_Mes_Corriente!CC132*SALUD_Mes_Constante!$CC$1</f>
        <v>97562.401342782556</v>
      </c>
      <c r="CD132" s="8">
        <f>+MINVU_Mes_Corriente!CD132*SALUD_Mes_Constante!$CC$1</f>
        <v>97562.401342782556</v>
      </c>
      <c r="CE132" s="8">
        <f>+MINVU_Mes_Corriente!CE132*SALUD_Mes_Constante!$CC$1</f>
        <v>97562.401342782556</v>
      </c>
      <c r="CF132" s="8">
        <f>+MINVU_Mes_Corriente!CF132*SALUD_Mes_Constante!$CC$1</f>
        <v>97562.401342782556</v>
      </c>
      <c r="CG132" s="8">
        <f>+MINVU_Mes_Corriente!CG132*SALUD_Mes_Constante!$CC$1</f>
        <v>97562.401342782556</v>
      </c>
      <c r="CH132" s="8">
        <f>+MINVU_Mes_Corriente!CH132*SALUD_Mes_Constante!$CC$1</f>
        <v>97562.401342782556</v>
      </c>
      <c r="CI132" s="8">
        <f>+MINVU_Mes_Corriente!CI132*SALUD_Mes_Constante!$CC$1</f>
        <v>97562.401342782556</v>
      </c>
      <c r="CJ132" s="8">
        <f>+MINVU_Mes_Corriente!CJ132*SALUD_Mes_Constante!$CC$1</f>
        <v>97562.401342782556</v>
      </c>
      <c r="CK132" s="8">
        <f>+MINVU_Mes_Corriente!CK132*SALUD_Mes_Constante!$CC$1</f>
        <v>97562.401342782556</v>
      </c>
      <c r="CL132" s="8">
        <f>+MINVU_Mes_Corriente!CL132*SALUD_Mes_Constante!$CC$1</f>
        <v>97562.401342782556</v>
      </c>
      <c r="CM132" s="8">
        <f>+MINVU_Mes_Corriente!CM132*SALUD_Mes_Constante!$CC$1</f>
        <v>97562.401342782556</v>
      </c>
      <c r="CN132" s="8">
        <f>+MINVU_Mes_Corriente!CN132*SALUD_Mes_Constante!$CC$1</f>
        <v>97562.401342782556</v>
      </c>
      <c r="CO132" s="9">
        <f t="shared" si="63"/>
        <v>97562.401342782556</v>
      </c>
      <c r="CP132" s="8">
        <f>+MINVU_Mes_Corriente!CP132*SALUD_Mes_Constante!$CP$1</f>
        <v>389205.16078886302</v>
      </c>
      <c r="CQ132" s="8">
        <f>+MINVU_Mes_Corriente!CQ132*SALUD_Mes_Constante!$CP$1</f>
        <v>389205.16078886302</v>
      </c>
      <c r="CR132" s="8">
        <f>+MINVU_Mes_Corriente!CR132*SALUD_Mes_Constante!$CP$1</f>
        <v>389205.16078886302</v>
      </c>
      <c r="CS132" s="8">
        <f>+MINVU_Mes_Corriente!CS132*SALUD_Mes_Constante!$CP$1</f>
        <v>389205.16078886302</v>
      </c>
      <c r="CT132" s="8">
        <f>+MINVU_Mes_Corriente!CT132*SALUD_Mes_Constante!$CP$1</f>
        <v>389205.16078886302</v>
      </c>
      <c r="CU132" s="8">
        <f>+MINVU_Mes_Corriente!CU132*SALUD_Mes_Constante!$CP$1</f>
        <v>389205.16078886302</v>
      </c>
      <c r="CV132" s="8">
        <f>+MINVU_Mes_Corriente!CV132*SALUD_Mes_Constante!$CP$1</f>
        <v>389205.16078886302</v>
      </c>
      <c r="CW132" s="8">
        <f>+MINVU_Mes_Corriente!CW132*SALUD_Mes_Constante!$CP$1</f>
        <v>389205.16078886302</v>
      </c>
      <c r="CX132" s="8">
        <f>+MINVU_Mes_Corriente!CX132*SALUD_Mes_Constante!$CP$1</f>
        <v>389205.16078886302</v>
      </c>
      <c r="CY132" s="8">
        <f>+MINVU_Mes_Corriente!CY132*SALUD_Mes_Constante!$CP$1</f>
        <v>389205.16078886302</v>
      </c>
      <c r="CZ132" s="8">
        <f>+MINVU_Mes_Corriente!CZ132*SALUD_Mes_Constante!$CP$1</f>
        <v>389205.16078886302</v>
      </c>
      <c r="DA132" s="8">
        <f>+MINVU_Mes_Corriente!DA132*SALUD_Mes_Constante!$CP$1</f>
        <v>389205.16078886302</v>
      </c>
      <c r="DB132" s="9">
        <f t="shared" si="64"/>
        <v>389205.16078886302</v>
      </c>
      <c r="DC132" s="8">
        <f>+MINVU_Mes_Corriente!DC132*SALUD_Mes_Constante!$DC$1</f>
        <v>474171.09104001668</v>
      </c>
      <c r="DD132" s="8">
        <f>+MINVU_Mes_Corriente!DD132*SALUD_Mes_Constante!$DC$1</f>
        <v>474171.09104001668</v>
      </c>
      <c r="DE132" s="8">
        <f>+MINVU_Mes_Corriente!DE132*SALUD_Mes_Constante!$DC$1</f>
        <v>474171.09104001668</v>
      </c>
      <c r="DF132" s="8">
        <f>+MINVU_Mes_Corriente!DF132*SALUD_Mes_Constante!$DC$1</f>
        <v>474171.09104001668</v>
      </c>
      <c r="DG132" s="8">
        <f>+MINVU_Mes_Corriente!DG132*SALUD_Mes_Constante!$DC$1</f>
        <v>474171.09104001668</v>
      </c>
      <c r="DH132" s="8">
        <f>+MINVU_Mes_Corriente!DH132*SALUD_Mes_Constante!$DC$1</f>
        <v>474171.09104001668</v>
      </c>
      <c r="DI132" s="8">
        <f>+MINVU_Mes_Corriente!DI132*SALUD_Mes_Constante!$DC$1</f>
        <v>474171.09104001668</v>
      </c>
      <c r="DJ132" s="8">
        <f>+MINVU_Mes_Corriente!DJ132*SALUD_Mes_Constante!$DC$1</f>
        <v>474171.09104001668</v>
      </c>
      <c r="DK132" s="8">
        <f>+MINVU_Mes_Corriente!DK132*SALUD_Mes_Constante!$DC$1</f>
        <v>474171.09104001668</v>
      </c>
      <c r="DL132" s="8">
        <f>+MINVU_Mes_Corriente!DL132*SALUD_Mes_Constante!$DC$1</f>
        <v>474171.09104001668</v>
      </c>
      <c r="DM132" s="8">
        <f>+MINVU_Mes_Corriente!DM132*SALUD_Mes_Constante!$DC$1</f>
        <v>474171.09104001668</v>
      </c>
      <c r="DN132" s="8">
        <f>+MINVU_Mes_Corriente!DN132*SALUD_Mes_Constante!$DC$1</f>
        <v>474171.09104001668</v>
      </c>
      <c r="DO132" s="9">
        <f t="shared" si="65"/>
        <v>474171.09104001668</v>
      </c>
      <c r="DP132" s="8">
        <f>+MINVU_Mes_Corriente!DP132*SALUD_Mes_Constante!$DP$1</f>
        <v>484937.4904988124</v>
      </c>
      <c r="DQ132" s="8">
        <f>+MINVU_Mes_Corriente!DQ132*SALUD_Mes_Constante!$DP$1</f>
        <v>484937.4904988124</v>
      </c>
      <c r="DR132" s="8">
        <f>+MINVU_Mes_Corriente!DR132*SALUD_Mes_Constante!$DP$1</f>
        <v>484937.4904988124</v>
      </c>
      <c r="DS132" s="8">
        <f>+MINVU_Mes_Corriente!DS132*SALUD_Mes_Constante!$DP$1</f>
        <v>484937.4904988124</v>
      </c>
      <c r="DT132" s="8">
        <f>+MINVU_Mes_Corriente!DT132*SALUD_Mes_Constante!$DP$1</f>
        <v>484937.4904988124</v>
      </c>
      <c r="DU132" s="8">
        <f>+MINVU_Mes_Corriente!DU132*SALUD_Mes_Constante!$DP$1</f>
        <v>484937.4904988124</v>
      </c>
      <c r="DV132" s="8">
        <f>+MINVU_Mes_Corriente!DV132*SALUD_Mes_Constante!$DP$1</f>
        <v>484937.4904988124</v>
      </c>
      <c r="DW132" s="8">
        <f>+MINVU_Mes_Corriente!DW132*SALUD_Mes_Constante!$DP$1</f>
        <v>484937.4904988124</v>
      </c>
      <c r="DX132" s="8">
        <f>+MINVU_Mes_Corriente!DX132*SALUD_Mes_Constante!$DP$1</f>
        <v>484937.4904988124</v>
      </c>
      <c r="DY132" s="8">
        <f>+MINVU_Mes_Corriente!DY132*SALUD_Mes_Constante!$DP$1</f>
        <v>484937.4904988124</v>
      </c>
      <c r="DZ132" s="8">
        <f>+MINVU_Mes_Corriente!DZ132*SALUD_Mes_Constante!$DP$1</f>
        <v>484937.4904988124</v>
      </c>
      <c r="EA132" s="8">
        <f>+MINVU_Mes_Corriente!EA132*SALUD_Mes_Constante!$DP$1</f>
        <v>484937.4904988124</v>
      </c>
      <c r="EB132" s="9">
        <f t="shared" si="66"/>
        <v>484937.4904988124</v>
      </c>
      <c r="EC132" s="8">
        <f>+MINVU_Mes_Corriente!EC132*SALUD_Mes_Constante!$EC$1</f>
        <v>424921.26396515797</v>
      </c>
      <c r="ED132" s="8">
        <f>+MINVU_Mes_Corriente!ED132*SALUD_Mes_Constante!$EC$1</f>
        <v>424921.26396515797</v>
      </c>
      <c r="EE132" s="8">
        <f>+MINVU_Mes_Corriente!EE132*SALUD_Mes_Constante!$EC$1</f>
        <v>424921.26396515797</v>
      </c>
      <c r="EF132" s="8">
        <f>+MINVU_Mes_Corriente!EF132*SALUD_Mes_Constante!$EC$1</f>
        <v>424921.26396515797</v>
      </c>
      <c r="EG132" s="8">
        <f>+MINVU_Mes_Corriente!EG132*SALUD_Mes_Constante!$EC$1</f>
        <v>424921.26396515797</v>
      </c>
      <c r="EH132" s="8">
        <f>+MINVU_Mes_Corriente!EH132*SALUD_Mes_Constante!$EC$1</f>
        <v>424921.26396515797</v>
      </c>
      <c r="EI132" s="8">
        <f>+MINVU_Mes_Corriente!EI132*SALUD_Mes_Constante!$EC$1</f>
        <v>424921.26396515797</v>
      </c>
      <c r="EJ132" s="8">
        <f>+MINVU_Mes_Corriente!EJ132*SALUD_Mes_Constante!$EC$1</f>
        <v>424921.26396515797</v>
      </c>
      <c r="EK132" s="8">
        <f>+MINVU_Mes_Corriente!EK132*SALUD_Mes_Constante!$EC$1</f>
        <v>424921.26396515797</v>
      </c>
      <c r="EL132" s="8">
        <f>+MINVU_Mes_Corriente!EL132*SALUD_Mes_Constante!$EC$1</f>
        <v>424921.26396515797</v>
      </c>
      <c r="EM132" s="8">
        <f>+MINVU_Mes_Corriente!EM132*SALUD_Mes_Constante!$EC$1</f>
        <v>424921.26396515797</v>
      </c>
      <c r="EN132" s="8">
        <f>+MINVU_Mes_Corriente!EN132*SALUD_Mes_Constante!$EC$1</f>
        <v>424921.26396515797</v>
      </c>
      <c r="EO132" s="9">
        <f t="shared" si="67"/>
        <v>424921.26396515797</v>
      </c>
      <c r="EP132" s="8">
        <f>+MINVU_Mes_Corriente!EP132*SALUD_Mes_Constante!$EP$1</f>
        <v>428017</v>
      </c>
      <c r="EQ132" s="8">
        <f>+MINVU_Mes_Corriente!EQ132*SALUD_Mes_Constante!$EP$1</f>
        <v>428017</v>
      </c>
      <c r="ER132" s="8">
        <f>+MINVU_Mes_Corriente!ER132*SALUD_Mes_Constante!$EP$1</f>
        <v>428017</v>
      </c>
      <c r="ES132" s="8">
        <f>+MINVU_Mes_Corriente!ES132*SALUD_Mes_Constante!$EP$1</f>
        <v>428017</v>
      </c>
      <c r="ET132" s="8">
        <f>+MINVU_Mes_Corriente!ET132*SALUD_Mes_Constante!$EP$1</f>
        <v>428017</v>
      </c>
      <c r="EU132" s="8">
        <f>+MINVU_Mes_Corriente!EU132*SALUD_Mes_Constante!$EP$1</f>
        <v>428017</v>
      </c>
      <c r="EV132" s="8">
        <f>+MINVU_Mes_Corriente!EV132*SALUD_Mes_Constante!$EP$1</f>
        <v>428017</v>
      </c>
      <c r="EW132" s="8">
        <f>+MINVU_Mes_Corriente!EW132*SALUD_Mes_Constante!$EP$1</f>
        <v>428017</v>
      </c>
      <c r="EX132" s="8">
        <f>+MINVU_Mes_Corriente!EX132*SALUD_Mes_Constante!$EP$1</f>
        <v>428017</v>
      </c>
      <c r="EY132" s="8">
        <f>+MINVU_Mes_Corriente!EY132*SALUD_Mes_Constante!$EP$1</f>
        <v>428017</v>
      </c>
      <c r="EZ132" s="8">
        <f>+MINVU_Mes_Corriente!EZ132*SALUD_Mes_Constante!$EP$1</f>
        <v>428017</v>
      </c>
      <c r="FA132" s="8">
        <f>+MINVU_Mes_Corriente!FA132*SALUD_Mes_Constante!$EP$1</f>
        <v>428017</v>
      </c>
      <c r="FB132" s="9">
        <f t="shared" si="68"/>
        <v>428017</v>
      </c>
      <c r="FC132" s="8">
        <f>+MINVU_Mes_Corriente!FC132*SALUD_Mes_Constante!$FC$1</f>
        <v>441285</v>
      </c>
      <c r="FD132" s="8">
        <f>+MINVU_Mes_Corriente!FD132*SALUD_Mes_Constante!$FC$1</f>
        <v>441285</v>
      </c>
      <c r="FE132" s="8">
        <f>+MINVU_Mes_Corriente!FE132*SALUD_Mes_Constante!$FC$1</f>
        <v>441285</v>
      </c>
      <c r="FF132" s="8">
        <f>+MINVU_Mes_Corriente!FF132*SALUD_Mes_Constante!$FC$1</f>
        <v>441285</v>
      </c>
      <c r="FG132" s="8">
        <f>+MINVU_Mes_Corriente!FG132*SALUD_Mes_Constante!$FC$1</f>
        <v>441285</v>
      </c>
      <c r="FH132" s="8">
        <f>+MINVU_Mes_Corriente!FH132*SALUD_Mes_Constante!$FC$1</f>
        <v>441285</v>
      </c>
      <c r="FI132" s="8">
        <f>+MINVU_Mes_Corriente!FI132*SALUD_Mes_Constante!$FC$1</f>
        <v>441285</v>
      </c>
      <c r="FJ132" s="8"/>
      <c r="FK132" s="8"/>
      <c r="FL132" s="8"/>
      <c r="FM132" s="8"/>
      <c r="FN132" s="8"/>
      <c r="FO132" s="9">
        <f t="shared" si="69"/>
        <v>441285</v>
      </c>
    </row>
    <row r="133" spans="2:171" ht="14.25" customHeight="1" x14ac:dyDescent="0.3">
      <c r="B133" s="7" t="s">
        <v>57</v>
      </c>
      <c r="C133" s="8">
        <f>+MINVU_Mes_Corriente!C133*SALUD_Mes_Constante!$C$1</f>
        <v>475158.66379949584</v>
      </c>
      <c r="D133" s="8">
        <f>+MINVU_Mes_Corriente!D133*SALUD_Mes_Constante!$C$1</f>
        <v>475158.66379949584</v>
      </c>
      <c r="E133" s="8">
        <f>+MINVU_Mes_Corriente!E133*SALUD_Mes_Constante!$C$1</f>
        <v>475158.66379949584</v>
      </c>
      <c r="F133" s="8">
        <f>+MINVU_Mes_Corriente!F133*SALUD_Mes_Constante!$C$1</f>
        <v>475158.66379949584</v>
      </c>
      <c r="G133" s="8">
        <f>+MINVU_Mes_Corriente!G133*SALUD_Mes_Constante!$C$1</f>
        <v>475158.66379949584</v>
      </c>
      <c r="H133" s="8">
        <f>+MINVU_Mes_Corriente!H133*SALUD_Mes_Constante!$C$1</f>
        <v>475158.66379949584</v>
      </c>
      <c r="I133" s="8">
        <f>+MINVU_Mes_Corriente!I133*SALUD_Mes_Constante!$C$1</f>
        <v>475158.66379949584</v>
      </c>
      <c r="J133" s="8">
        <f>+MINVU_Mes_Corriente!J133*SALUD_Mes_Constante!$C$1</f>
        <v>475158.66379949584</v>
      </c>
      <c r="K133" s="8">
        <f>+MINVU_Mes_Corriente!K133*SALUD_Mes_Constante!$C$1</f>
        <v>475158.66379949584</v>
      </c>
      <c r="L133" s="8">
        <f>+MINVU_Mes_Corriente!L133*SALUD_Mes_Constante!$C$1</f>
        <v>475158.66379949584</v>
      </c>
      <c r="M133" s="8">
        <f>+MINVU_Mes_Corriente!M133*SALUD_Mes_Constante!$C$1</f>
        <v>475158.66379949584</v>
      </c>
      <c r="N133" s="8">
        <f>+MINVU_Mes_Corriente!N133*SALUD_Mes_Constante!$C$1</f>
        <v>475158.66379949584</v>
      </c>
      <c r="O133" s="9">
        <f t="shared" si="57"/>
        <v>475158.66379949584</v>
      </c>
      <c r="P133" s="8">
        <f>+MINVU_Mes_Corriente!P133*SALUD_Mes_Constante!$P$1</f>
        <v>468832.34720841009</v>
      </c>
      <c r="Q133" s="8">
        <f>+MINVU_Mes_Corriente!Q133*SALUD_Mes_Constante!$P$1</f>
        <v>468832.34720841009</v>
      </c>
      <c r="R133" s="8">
        <f>+MINVU_Mes_Corriente!R133*SALUD_Mes_Constante!$P$1</f>
        <v>468832.34720841009</v>
      </c>
      <c r="S133" s="8">
        <f>+MINVU_Mes_Corriente!S133*SALUD_Mes_Constante!$P$1</f>
        <v>468832.34720841009</v>
      </c>
      <c r="T133" s="8">
        <f>+MINVU_Mes_Corriente!T133*SALUD_Mes_Constante!$P$1</f>
        <v>468832.34720841009</v>
      </c>
      <c r="U133" s="8">
        <f>+MINVU_Mes_Corriente!U133*SALUD_Mes_Constante!$P$1</f>
        <v>468832.34720841009</v>
      </c>
      <c r="V133" s="8">
        <f>+MINVU_Mes_Corriente!V133*SALUD_Mes_Constante!$P$1</f>
        <v>468832.34720841009</v>
      </c>
      <c r="W133" s="8">
        <f>+MINVU_Mes_Corriente!W133*SALUD_Mes_Constante!$P$1</f>
        <v>468832.34720841009</v>
      </c>
      <c r="X133" s="8">
        <f>+MINVU_Mes_Corriente!X133*SALUD_Mes_Constante!$P$1</f>
        <v>468832.34720841009</v>
      </c>
      <c r="Y133" s="8">
        <f>+MINVU_Mes_Corriente!Y133*SALUD_Mes_Constante!$P$1</f>
        <v>468832.34720841009</v>
      </c>
      <c r="Z133" s="8">
        <f>+MINVU_Mes_Corriente!Z133*SALUD_Mes_Constante!$P$1</f>
        <v>468832.34720841009</v>
      </c>
      <c r="AA133" s="8">
        <f>+MINVU_Mes_Corriente!AA133*SALUD_Mes_Constante!$P$1</f>
        <v>468832.34720841009</v>
      </c>
      <c r="AB133" s="9">
        <f t="shared" si="58"/>
        <v>468832.34720841009</v>
      </c>
      <c r="AC133" s="8">
        <f>+MINVU_Mes_Corriente!AC133*SALUD_Mes_Constante!$AC$1</f>
        <v>473858.00525660533</v>
      </c>
      <c r="AD133" s="8">
        <f>+MINVU_Mes_Corriente!AD133*SALUD_Mes_Constante!$AC$1</f>
        <v>473858.00525660533</v>
      </c>
      <c r="AE133" s="8">
        <f>+MINVU_Mes_Corriente!AE133*SALUD_Mes_Constante!$AC$1</f>
        <v>473858.00525660533</v>
      </c>
      <c r="AF133" s="8">
        <f>+MINVU_Mes_Corriente!AF133*SALUD_Mes_Constante!$AC$1</f>
        <v>473858.00525660533</v>
      </c>
      <c r="AG133" s="8">
        <f>+MINVU_Mes_Corriente!AG133*SALUD_Mes_Constante!$AC$1</f>
        <v>473858.00525660533</v>
      </c>
      <c r="AH133" s="8">
        <f>+MINVU_Mes_Corriente!AH133*SALUD_Mes_Constante!$AC$1</f>
        <v>473858.00525660533</v>
      </c>
      <c r="AI133" s="8">
        <f>+MINVU_Mes_Corriente!AI133*SALUD_Mes_Constante!$AC$1</f>
        <v>473858.00525660533</v>
      </c>
      <c r="AJ133" s="8">
        <f>+MINVU_Mes_Corriente!AJ133*SALUD_Mes_Constante!$AC$1</f>
        <v>473858.00525660533</v>
      </c>
      <c r="AK133" s="8">
        <f>+MINVU_Mes_Corriente!AK133*SALUD_Mes_Constante!$AC$1</f>
        <v>473858.00525660533</v>
      </c>
      <c r="AL133" s="8">
        <f>+MINVU_Mes_Corriente!AL133*SALUD_Mes_Constante!$AC$1</f>
        <v>473858.00525660533</v>
      </c>
      <c r="AM133" s="8">
        <f>+MINVU_Mes_Corriente!AM133*SALUD_Mes_Constante!$AC$1</f>
        <v>473858.00525660533</v>
      </c>
      <c r="AN133" s="8">
        <f>+MINVU_Mes_Corriente!AN133*SALUD_Mes_Constante!$AC$1</f>
        <v>473858.00525660533</v>
      </c>
      <c r="AO133" s="9">
        <f t="shared" si="59"/>
        <v>473858.00525660533</v>
      </c>
      <c r="AP133" s="8">
        <f>+MINVU_Mes_Corriente!AP133*SALUD_Mes_Constante!$AP$1</f>
        <v>477247.32530772348</v>
      </c>
      <c r="AQ133" s="8">
        <f>+MINVU_Mes_Corriente!AQ133*SALUD_Mes_Constante!$AP$1</f>
        <v>477247.32530772348</v>
      </c>
      <c r="AR133" s="8">
        <f>+MINVU_Mes_Corriente!AR133*SALUD_Mes_Constante!$AP$1</f>
        <v>477247.32530772348</v>
      </c>
      <c r="AS133" s="8">
        <f>+MINVU_Mes_Corriente!AS133*SALUD_Mes_Constante!$AP$1</f>
        <v>477247.32530772348</v>
      </c>
      <c r="AT133" s="8">
        <f>+MINVU_Mes_Corriente!AT133*SALUD_Mes_Constante!$AP$1</f>
        <v>477247.32530772348</v>
      </c>
      <c r="AU133" s="8">
        <f>+MINVU_Mes_Corriente!AU133*SALUD_Mes_Constante!$AP$1</f>
        <v>477247.32530772348</v>
      </c>
      <c r="AV133" s="8">
        <f>+MINVU_Mes_Corriente!AV133*SALUD_Mes_Constante!$AP$1</f>
        <v>477247.32530772348</v>
      </c>
      <c r="AW133" s="8">
        <f>+MINVU_Mes_Corriente!AW133*SALUD_Mes_Constante!$AP$1</f>
        <v>477247.32530772348</v>
      </c>
      <c r="AX133" s="8">
        <f>+MINVU_Mes_Corriente!AX133*SALUD_Mes_Constante!$AP$1</f>
        <v>477247.32530772348</v>
      </c>
      <c r="AY133" s="8">
        <f>+MINVU_Mes_Corriente!AY133*SALUD_Mes_Constante!$AP$1</f>
        <v>477247.32530772348</v>
      </c>
      <c r="AZ133" s="8">
        <f>+MINVU_Mes_Corriente!AZ133*SALUD_Mes_Constante!$AP$1</f>
        <v>477247.32530772348</v>
      </c>
      <c r="BA133" s="8">
        <f>+MINVU_Mes_Corriente!BA133*SALUD_Mes_Constante!$AP$1</f>
        <v>477247.32530772348</v>
      </c>
      <c r="BB133" s="9">
        <f t="shared" si="60"/>
        <v>477247.32530772348</v>
      </c>
      <c r="BC133" s="8">
        <f>+MINVU_Mes_Corriente!BC133*SALUD_Mes_Constante!$BC$1</f>
        <v>477386.80891467771</v>
      </c>
      <c r="BD133" s="8">
        <f>+MINVU_Mes_Corriente!BD133*SALUD_Mes_Constante!$BC$1</f>
        <v>477386.80891467771</v>
      </c>
      <c r="BE133" s="8">
        <f>+MINVU_Mes_Corriente!BE133*SALUD_Mes_Constante!$BC$1</f>
        <v>477386.80891467771</v>
      </c>
      <c r="BF133" s="8">
        <f>+MINVU_Mes_Corriente!BF133*SALUD_Mes_Constante!$BC$1</f>
        <v>477386.80891467771</v>
      </c>
      <c r="BG133" s="8">
        <f>+MINVU_Mes_Corriente!BG133*SALUD_Mes_Constante!$BC$1</f>
        <v>477386.80891467771</v>
      </c>
      <c r="BH133" s="8">
        <f>+MINVU_Mes_Corriente!BH133*SALUD_Mes_Constante!$BC$1</f>
        <v>477386.80891467771</v>
      </c>
      <c r="BI133" s="8">
        <f>+MINVU_Mes_Corriente!BI133*SALUD_Mes_Constante!$BC$1</f>
        <v>477386.80891467771</v>
      </c>
      <c r="BJ133" s="8">
        <f>+MINVU_Mes_Corriente!BJ133*SALUD_Mes_Constante!$BC$1</f>
        <v>477386.80891467771</v>
      </c>
      <c r="BK133" s="8">
        <f>+MINVU_Mes_Corriente!BK133*SALUD_Mes_Constante!$BC$1</f>
        <v>477386.80891467771</v>
      </c>
      <c r="BL133" s="8">
        <f>+MINVU_Mes_Corriente!BL133*SALUD_Mes_Constante!$BC$1</f>
        <v>477386.80891467771</v>
      </c>
      <c r="BM133" s="8">
        <f>+MINVU_Mes_Corriente!BM133*SALUD_Mes_Constante!$BC$1</f>
        <v>477386.80891467771</v>
      </c>
      <c r="BN133" s="8">
        <f>+MINVU_Mes_Corriente!BN133*SALUD_Mes_Constante!$BC$1</f>
        <v>477386.80891467771</v>
      </c>
      <c r="BO133" s="9">
        <f t="shared" si="61"/>
        <v>477386.80891467771</v>
      </c>
      <c r="BP133" s="8">
        <f>+MINVU_Mes_Corriente!BP133*SALUD_Mes_Constante!$BP$1</f>
        <v>0</v>
      </c>
      <c r="BQ133" s="8">
        <f>+MINVU_Mes_Corriente!BQ133*SALUD_Mes_Constante!$BP$1</f>
        <v>0</v>
      </c>
      <c r="BR133" s="8">
        <f>+MINVU_Mes_Corriente!BR133*SALUD_Mes_Constante!$BP$1</f>
        <v>0</v>
      </c>
      <c r="BS133" s="8">
        <f>+MINVU_Mes_Corriente!BS133*SALUD_Mes_Constante!$BP$1</f>
        <v>0</v>
      </c>
      <c r="BT133" s="8">
        <f>+MINVU_Mes_Corriente!BT133*SALUD_Mes_Constante!$BP$1</f>
        <v>0</v>
      </c>
      <c r="BU133" s="8">
        <f>+MINVU_Mes_Corriente!BU133*SALUD_Mes_Constante!$BP$1</f>
        <v>0</v>
      </c>
      <c r="BV133" s="8">
        <f>+MINVU_Mes_Corriente!BV133*SALUD_Mes_Constante!$BP$1</f>
        <v>0</v>
      </c>
      <c r="BW133" s="8">
        <f>+MINVU_Mes_Corriente!BW133*SALUD_Mes_Constante!$BP$1</f>
        <v>0</v>
      </c>
      <c r="BX133" s="8">
        <f>+MINVU_Mes_Corriente!BX133*SALUD_Mes_Constante!$BP$1</f>
        <v>0</v>
      </c>
      <c r="BY133" s="8">
        <f>+MINVU_Mes_Corriente!BY133*SALUD_Mes_Constante!$BP$1</f>
        <v>0</v>
      </c>
      <c r="BZ133" s="8">
        <f>+MINVU_Mes_Corriente!BZ133*SALUD_Mes_Constante!$BP$1</f>
        <v>0</v>
      </c>
      <c r="CA133" s="8">
        <f>+MINVU_Mes_Corriente!CA133*SALUD_Mes_Constante!$BP$1</f>
        <v>0</v>
      </c>
      <c r="CB133" s="9">
        <f t="shared" si="62"/>
        <v>0</v>
      </c>
      <c r="CC133" s="8">
        <f>+MINVU_Mes_Corriente!CC133*SALUD_Mes_Constante!$CC$1</f>
        <v>164264.93174188738</v>
      </c>
      <c r="CD133" s="8">
        <f>+MINVU_Mes_Corriente!CD133*SALUD_Mes_Constante!$CC$1</f>
        <v>164264.93174188738</v>
      </c>
      <c r="CE133" s="8">
        <f>+MINVU_Mes_Corriente!CE133*SALUD_Mes_Constante!$CC$1</f>
        <v>164264.93174188738</v>
      </c>
      <c r="CF133" s="8">
        <f>+MINVU_Mes_Corriente!CF133*SALUD_Mes_Constante!$CC$1</f>
        <v>164264.93174188738</v>
      </c>
      <c r="CG133" s="8">
        <f>+MINVU_Mes_Corriente!CG133*SALUD_Mes_Constante!$CC$1</f>
        <v>164264.93174188738</v>
      </c>
      <c r="CH133" s="8">
        <f>+MINVU_Mes_Corriente!CH133*SALUD_Mes_Constante!$CC$1</f>
        <v>164264.93174188738</v>
      </c>
      <c r="CI133" s="8">
        <f>+MINVU_Mes_Corriente!CI133*SALUD_Mes_Constante!$CC$1</f>
        <v>164264.93174188738</v>
      </c>
      <c r="CJ133" s="8">
        <f>+MINVU_Mes_Corriente!CJ133*SALUD_Mes_Constante!$CC$1</f>
        <v>164264.93174188738</v>
      </c>
      <c r="CK133" s="8">
        <f>+MINVU_Mes_Corriente!CK133*SALUD_Mes_Constante!$CC$1</f>
        <v>164264.93174188738</v>
      </c>
      <c r="CL133" s="8">
        <f>+MINVU_Mes_Corriente!CL133*SALUD_Mes_Constante!$CC$1</f>
        <v>164264.93174188738</v>
      </c>
      <c r="CM133" s="8">
        <f>+MINVU_Mes_Corriente!CM133*SALUD_Mes_Constante!$CC$1</f>
        <v>164264.93174188738</v>
      </c>
      <c r="CN133" s="8">
        <f>+MINVU_Mes_Corriente!CN133*SALUD_Mes_Constante!$CC$1</f>
        <v>164264.93174188738</v>
      </c>
      <c r="CO133" s="9">
        <f t="shared" si="63"/>
        <v>164264.93174188738</v>
      </c>
      <c r="CP133" s="8">
        <f>+MINVU_Mes_Corriente!CP133*SALUD_Mes_Constante!$CP$1</f>
        <v>656020.10881670518</v>
      </c>
      <c r="CQ133" s="8">
        <f>+MINVU_Mes_Corriente!CQ133*SALUD_Mes_Constante!$CP$1</f>
        <v>656020.10881670518</v>
      </c>
      <c r="CR133" s="8">
        <f>+MINVU_Mes_Corriente!CR133*SALUD_Mes_Constante!$CP$1</f>
        <v>656020.10881670518</v>
      </c>
      <c r="CS133" s="8">
        <f>+MINVU_Mes_Corriente!CS133*SALUD_Mes_Constante!$CP$1</f>
        <v>656020.10881670518</v>
      </c>
      <c r="CT133" s="8">
        <f>+MINVU_Mes_Corriente!CT133*SALUD_Mes_Constante!$CP$1</f>
        <v>656020.10881670518</v>
      </c>
      <c r="CU133" s="8">
        <f>+MINVU_Mes_Corriente!CU133*SALUD_Mes_Constante!$CP$1</f>
        <v>656020.10881670518</v>
      </c>
      <c r="CV133" s="8">
        <f>+MINVU_Mes_Corriente!CV133*SALUD_Mes_Constante!$CP$1</f>
        <v>656020.10881670518</v>
      </c>
      <c r="CW133" s="8">
        <f>+MINVU_Mes_Corriente!CW133*SALUD_Mes_Constante!$CP$1</f>
        <v>656020.10881670518</v>
      </c>
      <c r="CX133" s="8">
        <f>+MINVU_Mes_Corriente!CX133*SALUD_Mes_Constante!$CP$1</f>
        <v>656020.10881670518</v>
      </c>
      <c r="CY133" s="8">
        <f>+MINVU_Mes_Corriente!CY133*SALUD_Mes_Constante!$CP$1</f>
        <v>656020.10881670518</v>
      </c>
      <c r="CZ133" s="8">
        <f>+MINVU_Mes_Corriente!CZ133*SALUD_Mes_Constante!$CP$1</f>
        <v>656020.10881670518</v>
      </c>
      <c r="DA133" s="8">
        <f>+MINVU_Mes_Corriente!DA133*SALUD_Mes_Constante!$CP$1</f>
        <v>656020.10881670518</v>
      </c>
      <c r="DB133" s="9">
        <f t="shared" si="64"/>
        <v>656020.10881670518</v>
      </c>
      <c r="DC133" s="8">
        <f>+MINVU_Mes_Corriente!DC133*SALUD_Mes_Constante!$DC$1</f>
        <v>794916.23516099202</v>
      </c>
      <c r="DD133" s="8">
        <f>+MINVU_Mes_Corriente!DD133*SALUD_Mes_Constante!$DC$1</f>
        <v>794916.23516099202</v>
      </c>
      <c r="DE133" s="8">
        <f>+MINVU_Mes_Corriente!DE133*SALUD_Mes_Constante!$DC$1</f>
        <v>794916.23516099202</v>
      </c>
      <c r="DF133" s="8">
        <f>+MINVU_Mes_Corriente!DF133*SALUD_Mes_Constante!$DC$1</f>
        <v>794916.23516099202</v>
      </c>
      <c r="DG133" s="8">
        <f>+MINVU_Mes_Corriente!DG133*SALUD_Mes_Constante!$DC$1</f>
        <v>794916.23516099202</v>
      </c>
      <c r="DH133" s="8">
        <f>+MINVU_Mes_Corriente!DH133*SALUD_Mes_Constante!$DC$1</f>
        <v>794916.23516099202</v>
      </c>
      <c r="DI133" s="8">
        <f>+MINVU_Mes_Corriente!DI133*SALUD_Mes_Constante!$DC$1</f>
        <v>794916.23516099202</v>
      </c>
      <c r="DJ133" s="8">
        <f>+MINVU_Mes_Corriente!DJ133*SALUD_Mes_Constante!$DC$1</f>
        <v>794916.23516099202</v>
      </c>
      <c r="DK133" s="8">
        <f>+MINVU_Mes_Corriente!DK133*SALUD_Mes_Constante!$DC$1</f>
        <v>794916.23516099202</v>
      </c>
      <c r="DL133" s="8">
        <f>+MINVU_Mes_Corriente!DL133*SALUD_Mes_Constante!$DC$1</f>
        <v>794916.23516099202</v>
      </c>
      <c r="DM133" s="8">
        <f>+MINVU_Mes_Corriente!DM133*SALUD_Mes_Constante!$DC$1</f>
        <v>794916.23516099202</v>
      </c>
      <c r="DN133" s="8">
        <f>+MINVU_Mes_Corriente!DN133*SALUD_Mes_Constante!$DC$1</f>
        <v>794916.23516099202</v>
      </c>
      <c r="DO133" s="9">
        <f t="shared" si="65"/>
        <v>794916.23516099202</v>
      </c>
      <c r="DP133" s="8">
        <f>+MINVU_Mes_Corriente!DP133*SALUD_Mes_Constante!$DP$1</f>
        <v>812966.20190023759</v>
      </c>
      <c r="DQ133" s="8">
        <f>+MINVU_Mes_Corriente!DQ133*SALUD_Mes_Constante!$DP$1</f>
        <v>812966.20190023759</v>
      </c>
      <c r="DR133" s="8">
        <f>+MINVU_Mes_Corriente!DR133*SALUD_Mes_Constante!$DP$1</f>
        <v>812966.20190023759</v>
      </c>
      <c r="DS133" s="8">
        <f>+MINVU_Mes_Corriente!DS133*SALUD_Mes_Constante!$DP$1</f>
        <v>812966.20190023759</v>
      </c>
      <c r="DT133" s="8">
        <f>+MINVU_Mes_Corriente!DT133*SALUD_Mes_Constante!$DP$1</f>
        <v>812966.20190023759</v>
      </c>
      <c r="DU133" s="8">
        <f>+MINVU_Mes_Corriente!DU133*SALUD_Mes_Constante!$DP$1</f>
        <v>812966.20190023759</v>
      </c>
      <c r="DV133" s="8">
        <f>+MINVU_Mes_Corriente!DV133*SALUD_Mes_Constante!$DP$1</f>
        <v>812966.20190023759</v>
      </c>
      <c r="DW133" s="8">
        <f>+MINVU_Mes_Corriente!DW133*SALUD_Mes_Constante!$DP$1</f>
        <v>812966.20190023759</v>
      </c>
      <c r="DX133" s="8">
        <f>+MINVU_Mes_Corriente!DX133*SALUD_Mes_Constante!$DP$1</f>
        <v>812966.20190023759</v>
      </c>
      <c r="DY133" s="8">
        <f>+MINVU_Mes_Corriente!DY133*SALUD_Mes_Constante!$DP$1</f>
        <v>812966.20190023759</v>
      </c>
      <c r="DZ133" s="8">
        <f>+MINVU_Mes_Corriente!DZ133*SALUD_Mes_Constante!$DP$1</f>
        <v>812966.20190023759</v>
      </c>
      <c r="EA133" s="8">
        <f>+MINVU_Mes_Corriente!EA133*SALUD_Mes_Constante!$DP$1</f>
        <v>812966.20190023759</v>
      </c>
      <c r="EB133" s="9">
        <f t="shared" si="66"/>
        <v>812966.20190023759</v>
      </c>
      <c r="EC133" s="8">
        <f>+MINVU_Mes_Corriente!EC133*SALUD_Mes_Constante!$EC$1</f>
        <v>712352.028024995</v>
      </c>
      <c r="ED133" s="8">
        <f>+MINVU_Mes_Corriente!ED133*SALUD_Mes_Constante!$EC$1</f>
        <v>712352.028024995</v>
      </c>
      <c r="EE133" s="8">
        <f>+MINVU_Mes_Corriente!EE133*SALUD_Mes_Constante!$EC$1</f>
        <v>712352.028024995</v>
      </c>
      <c r="EF133" s="8">
        <f>+MINVU_Mes_Corriente!EF133*SALUD_Mes_Constante!$EC$1</f>
        <v>712352.028024995</v>
      </c>
      <c r="EG133" s="8">
        <f>+MINVU_Mes_Corriente!EG133*SALUD_Mes_Constante!$EC$1</f>
        <v>712352.028024995</v>
      </c>
      <c r="EH133" s="8">
        <f>+MINVU_Mes_Corriente!EH133*SALUD_Mes_Constante!$EC$1</f>
        <v>712352.028024995</v>
      </c>
      <c r="EI133" s="8">
        <f>+MINVU_Mes_Corriente!EI133*SALUD_Mes_Constante!$EC$1</f>
        <v>712352.028024995</v>
      </c>
      <c r="EJ133" s="8">
        <f>+MINVU_Mes_Corriente!EJ133*SALUD_Mes_Constante!$EC$1</f>
        <v>712352.028024995</v>
      </c>
      <c r="EK133" s="8">
        <f>+MINVU_Mes_Corriente!EK133*SALUD_Mes_Constante!$EC$1</f>
        <v>712352.028024995</v>
      </c>
      <c r="EL133" s="8">
        <f>+MINVU_Mes_Corriente!EL133*SALUD_Mes_Constante!$EC$1</f>
        <v>712352.028024995</v>
      </c>
      <c r="EM133" s="8">
        <f>+MINVU_Mes_Corriente!EM133*SALUD_Mes_Constante!$EC$1</f>
        <v>712352.028024995</v>
      </c>
      <c r="EN133" s="8">
        <f>+MINVU_Mes_Corriente!EN133*SALUD_Mes_Constante!$EC$1</f>
        <v>712352.028024995</v>
      </c>
      <c r="EO133" s="9">
        <f t="shared" si="67"/>
        <v>712352.028024995</v>
      </c>
      <c r="EP133" s="8">
        <f>+MINVU_Mes_Corriente!EP133*SALUD_Mes_Constante!$EP$1</f>
        <v>717542</v>
      </c>
      <c r="EQ133" s="8">
        <f>+MINVU_Mes_Corriente!EQ133*SALUD_Mes_Constante!$EP$1</f>
        <v>717542</v>
      </c>
      <c r="ER133" s="8">
        <f>+MINVU_Mes_Corriente!ER133*SALUD_Mes_Constante!$EP$1</f>
        <v>717542</v>
      </c>
      <c r="ES133" s="8">
        <f>+MINVU_Mes_Corriente!ES133*SALUD_Mes_Constante!$EP$1</f>
        <v>717542</v>
      </c>
      <c r="ET133" s="8">
        <f>+MINVU_Mes_Corriente!ET133*SALUD_Mes_Constante!$EP$1</f>
        <v>717542</v>
      </c>
      <c r="EU133" s="8">
        <f>+MINVU_Mes_Corriente!EU133*SALUD_Mes_Constante!$EP$1</f>
        <v>717542</v>
      </c>
      <c r="EV133" s="8">
        <f>+MINVU_Mes_Corriente!EV133*SALUD_Mes_Constante!$EP$1</f>
        <v>717542</v>
      </c>
      <c r="EW133" s="8">
        <f>+MINVU_Mes_Corriente!EW133*SALUD_Mes_Constante!$EP$1</f>
        <v>717542</v>
      </c>
      <c r="EX133" s="8">
        <f>+MINVU_Mes_Corriente!EX133*SALUD_Mes_Constante!$EP$1</f>
        <v>717542</v>
      </c>
      <c r="EY133" s="8">
        <f>+MINVU_Mes_Corriente!EY133*SALUD_Mes_Constante!$EP$1</f>
        <v>717542</v>
      </c>
      <c r="EZ133" s="8">
        <f>+MINVU_Mes_Corriente!EZ133*SALUD_Mes_Constante!$EP$1</f>
        <v>717542</v>
      </c>
      <c r="FA133" s="8">
        <f>+MINVU_Mes_Corriente!FA133*SALUD_Mes_Constante!$EP$1</f>
        <v>717542</v>
      </c>
      <c r="FB133" s="9">
        <f t="shared" si="68"/>
        <v>717542</v>
      </c>
      <c r="FC133" s="8">
        <f>+MINVU_Mes_Corriente!FC133*SALUD_Mes_Constante!$FC$1</f>
        <v>739786</v>
      </c>
      <c r="FD133" s="8">
        <f>+MINVU_Mes_Corriente!FD133*SALUD_Mes_Constante!$FC$1</f>
        <v>739786</v>
      </c>
      <c r="FE133" s="8">
        <f>+MINVU_Mes_Corriente!FE133*SALUD_Mes_Constante!$FC$1</f>
        <v>739786</v>
      </c>
      <c r="FF133" s="8">
        <f>+MINVU_Mes_Corriente!FF133*SALUD_Mes_Constante!$FC$1</f>
        <v>739786</v>
      </c>
      <c r="FG133" s="8">
        <f>+MINVU_Mes_Corriente!FG133*SALUD_Mes_Constante!$FC$1</f>
        <v>739786</v>
      </c>
      <c r="FH133" s="8">
        <f>+MINVU_Mes_Corriente!FH133*SALUD_Mes_Constante!$FC$1</f>
        <v>739786</v>
      </c>
      <c r="FI133" s="8">
        <f>+MINVU_Mes_Corriente!FI133*SALUD_Mes_Constante!$FC$1</f>
        <v>739786</v>
      </c>
      <c r="FJ133" s="8"/>
      <c r="FK133" s="8"/>
      <c r="FL133" s="8"/>
      <c r="FM133" s="8"/>
      <c r="FN133" s="8"/>
      <c r="FO133" s="9">
        <f t="shared" si="69"/>
        <v>739786</v>
      </c>
    </row>
    <row r="134" spans="2:171" ht="14.25" customHeight="1" x14ac:dyDescent="0.3">
      <c r="B134" s="7" t="s">
        <v>58</v>
      </c>
      <c r="C134" s="8">
        <f>+MINVU_Mes_Corriente!C134*SALUD_Mes_Constante!$C$1</f>
        <v>275621.02921548276</v>
      </c>
      <c r="D134" s="8">
        <f>+MINVU_Mes_Corriente!D134*SALUD_Mes_Constante!$C$1</f>
        <v>275621.02921548276</v>
      </c>
      <c r="E134" s="8">
        <f>+MINVU_Mes_Corriente!E134*SALUD_Mes_Constante!$C$1</f>
        <v>275621.02921548276</v>
      </c>
      <c r="F134" s="8">
        <f>+MINVU_Mes_Corriente!F134*SALUD_Mes_Constante!$C$1</f>
        <v>275621.02921548276</v>
      </c>
      <c r="G134" s="8">
        <f>+MINVU_Mes_Corriente!G134*SALUD_Mes_Constante!$C$1</f>
        <v>275621.02921548276</v>
      </c>
      <c r="H134" s="8">
        <f>+MINVU_Mes_Corriente!H134*SALUD_Mes_Constante!$C$1</f>
        <v>275621.02921548276</v>
      </c>
      <c r="I134" s="8">
        <f>+MINVU_Mes_Corriente!I134*SALUD_Mes_Constante!$C$1</f>
        <v>275621.02921548276</v>
      </c>
      <c r="J134" s="8">
        <f>+MINVU_Mes_Corriente!J134*SALUD_Mes_Constante!$C$1</f>
        <v>275621.02921548276</v>
      </c>
      <c r="K134" s="8">
        <f>+MINVU_Mes_Corriente!K134*SALUD_Mes_Constante!$C$1</f>
        <v>275621.02921548276</v>
      </c>
      <c r="L134" s="8">
        <f>+MINVU_Mes_Corriente!L134*SALUD_Mes_Constante!$C$1</f>
        <v>275621.02921548276</v>
      </c>
      <c r="M134" s="8">
        <f>+MINVU_Mes_Corriente!M134*SALUD_Mes_Constante!$C$1</f>
        <v>275621.02921548276</v>
      </c>
      <c r="N134" s="8">
        <f>+MINVU_Mes_Corriente!N134*SALUD_Mes_Constante!$C$1</f>
        <v>275621.02921548276</v>
      </c>
      <c r="O134" s="9">
        <f t="shared" si="57"/>
        <v>275621.02921548276</v>
      </c>
      <c r="P134" s="8">
        <f>+MINVU_Mes_Corriente!P134*SALUD_Mes_Constante!$P$1</f>
        <v>271951.69455888611</v>
      </c>
      <c r="Q134" s="8">
        <f>+MINVU_Mes_Corriente!Q134*SALUD_Mes_Constante!$P$1</f>
        <v>271951.69455888611</v>
      </c>
      <c r="R134" s="8">
        <f>+MINVU_Mes_Corriente!R134*SALUD_Mes_Constante!$P$1</f>
        <v>271951.69455888611</v>
      </c>
      <c r="S134" s="8">
        <f>+MINVU_Mes_Corriente!S134*SALUD_Mes_Constante!$P$1</f>
        <v>271951.69455888611</v>
      </c>
      <c r="T134" s="8">
        <f>+MINVU_Mes_Corriente!T134*SALUD_Mes_Constante!$P$1</f>
        <v>271951.69455888611</v>
      </c>
      <c r="U134" s="8">
        <f>+MINVU_Mes_Corriente!U134*SALUD_Mes_Constante!$P$1</f>
        <v>271951.69455888611</v>
      </c>
      <c r="V134" s="8">
        <f>+MINVU_Mes_Corriente!V134*SALUD_Mes_Constante!$P$1</f>
        <v>271951.69455888611</v>
      </c>
      <c r="W134" s="8">
        <f>+MINVU_Mes_Corriente!W134*SALUD_Mes_Constante!$P$1</f>
        <v>271951.69455888611</v>
      </c>
      <c r="X134" s="8">
        <f>+MINVU_Mes_Corriente!X134*SALUD_Mes_Constante!$P$1</f>
        <v>271951.69455888611</v>
      </c>
      <c r="Y134" s="8">
        <f>+MINVU_Mes_Corriente!Y134*SALUD_Mes_Constante!$P$1</f>
        <v>271951.69455888611</v>
      </c>
      <c r="Z134" s="8">
        <f>+MINVU_Mes_Corriente!Z134*SALUD_Mes_Constante!$P$1</f>
        <v>271951.69455888611</v>
      </c>
      <c r="AA134" s="8">
        <f>+MINVU_Mes_Corriente!AA134*SALUD_Mes_Constante!$P$1</f>
        <v>271951.69455888611</v>
      </c>
      <c r="AB134" s="9">
        <f t="shared" si="58"/>
        <v>271951.69455888611</v>
      </c>
      <c r="AC134" s="8">
        <f>+MINVU_Mes_Corriente!AC134*SALUD_Mes_Constante!$AC$1</f>
        <v>274866.9644487481</v>
      </c>
      <c r="AD134" s="8">
        <f>+MINVU_Mes_Corriente!AD134*SALUD_Mes_Constante!$AC$1</f>
        <v>274866.9644487481</v>
      </c>
      <c r="AE134" s="8">
        <f>+MINVU_Mes_Corriente!AE134*SALUD_Mes_Constante!$AC$1</f>
        <v>274866.9644487481</v>
      </c>
      <c r="AF134" s="8">
        <f>+MINVU_Mes_Corriente!AF134*SALUD_Mes_Constante!$AC$1</f>
        <v>274866.9644487481</v>
      </c>
      <c r="AG134" s="8">
        <f>+MINVU_Mes_Corriente!AG134*SALUD_Mes_Constante!$AC$1</f>
        <v>274866.9644487481</v>
      </c>
      <c r="AH134" s="8">
        <f>+MINVU_Mes_Corriente!AH134*SALUD_Mes_Constante!$AC$1</f>
        <v>274866.9644487481</v>
      </c>
      <c r="AI134" s="8">
        <f>+MINVU_Mes_Corriente!AI134*SALUD_Mes_Constante!$AC$1</f>
        <v>274866.9644487481</v>
      </c>
      <c r="AJ134" s="8">
        <f>+MINVU_Mes_Corriente!AJ134*SALUD_Mes_Constante!$AC$1</f>
        <v>274866.9644487481</v>
      </c>
      <c r="AK134" s="8">
        <f>+MINVU_Mes_Corriente!AK134*SALUD_Mes_Constante!$AC$1</f>
        <v>274866.9644487481</v>
      </c>
      <c r="AL134" s="8">
        <f>+MINVU_Mes_Corriente!AL134*SALUD_Mes_Constante!$AC$1</f>
        <v>274866.9644487481</v>
      </c>
      <c r="AM134" s="8">
        <f>+MINVU_Mes_Corriente!AM134*SALUD_Mes_Constante!$AC$1</f>
        <v>274866.9644487481</v>
      </c>
      <c r="AN134" s="8">
        <f>+MINVU_Mes_Corriente!AN134*SALUD_Mes_Constante!$AC$1</f>
        <v>274866.9644487481</v>
      </c>
      <c r="AO134" s="9">
        <f t="shared" si="59"/>
        <v>274866.9644487481</v>
      </c>
      <c r="AP134" s="8">
        <f>+MINVU_Mes_Corriente!AP134*SALUD_Mes_Constante!$AP$1</f>
        <v>276832.88813742728</v>
      </c>
      <c r="AQ134" s="8">
        <f>+MINVU_Mes_Corriente!AQ134*SALUD_Mes_Constante!$AP$1</f>
        <v>276832.88813742728</v>
      </c>
      <c r="AR134" s="8">
        <f>+MINVU_Mes_Corriente!AR134*SALUD_Mes_Constante!$AP$1</f>
        <v>276832.88813742728</v>
      </c>
      <c r="AS134" s="8">
        <f>+MINVU_Mes_Corriente!AS134*SALUD_Mes_Constante!$AP$1</f>
        <v>276832.88813742728</v>
      </c>
      <c r="AT134" s="8">
        <f>+MINVU_Mes_Corriente!AT134*SALUD_Mes_Constante!$AP$1</f>
        <v>276832.88813742728</v>
      </c>
      <c r="AU134" s="8">
        <f>+MINVU_Mes_Corriente!AU134*SALUD_Mes_Constante!$AP$1</f>
        <v>276832.88813742728</v>
      </c>
      <c r="AV134" s="8">
        <f>+MINVU_Mes_Corriente!AV134*SALUD_Mes_Constante!$AP$1</f>
        <v>276832.88813742728</v>
      </c>
      <c r="AW134" s="8">
        <f>+MINVU_Mes_Corriente!AW134*SALUD_Mes_Constante!$AP$1</f>
        <v>276832.88813742728</v>
      </c>
      <c r="AX134" s="8">
        <f>+MINVU_Mes_Corriente!AX134*SALUD_Mes_Constante!$AP$1</f>
        <v>276832.88813742728</v>
      </c>
      <c r="AY134" s="8">
        <f>+MINVU_Mes_Corriente!AY134*SALUD_Mes_Constante!$AP$1</f>
        <v>276832.88813742728</v>
      </c>
      <c r="AZ134" s="8">
        <f>+MINVU_Mes_Corriente!AZ134*SALUD_Mes_Constante!$AP$1</f>
        <v>276832.88813742728</v>
      </c>
      <c r="BA134" s="8">
        <f>+MINVU_Mes_Corriente!BA134*SALUD_Mes_Constante!$AP$1</f>
        <v>276832.88813742728</v>
      </c>
      <c r="BB134" s="9">
        <f t="shared" si="60"/>
        <v>276832.88813742728</v>
      </c>
      <c r="BC134" s="8">
        <f>+MINVU_Mes_Corriente!BC134*SALUD_Mes_Constante!$BC$1</f>
        <v>276913.51206646452</v>
      </c>
      <c r="BD134" s="8">
        <f>+MINVU_Mes_Corriente!BD134*SALUD_Mes_Constante!$BC$1</f>
        <v>276913.51206646452</v>
      </c>
      <c r="BE134" s="8">
        <f>+MINVU_Mes_Corriente!BE134*SALUD_Mes_Constante!$BC$1</f>
        <v>276913.51206646452</v>
      </c>
      <c r="BF134" s="8">
        <f>+MINVU_Mes_Corriente!BF134*SALUD_Mes_Constante!$BC$1</f>
        <v>276913.51206646452</v>
      </c>
      <c r="BG134" s="8">
        <f>+MINVU_Mes_Corriente!BG134*SALUD_Mes_Constante!$BC$1</f>
        <v>276913.51206646452</v>
      </c>
      <c r="BH134" s="8">
        <f>+MINVU_Mes_Corriente!BH134*SALUD_Mes_Constante!$BC$1</f>
        <v>276913.51206646452</v>
      </c>
      <c r="BI134" s="8">
        <f>+MINVU_Mes_Corriente!BI134*SALUD_Mes_Constante!$BC$1</f>
        <v>276913.51206646452</v>
      </c>
      <c r="BJ134" s="8">
        <f>+MINVU_Mes_Corriente!BJ134*SALUD_Mes_Constante!$BC$1</f>
        <v>276913.51206646452</v>
      </c>
      <c r="BK134" s="8">
        <f>+MINVU_Mes_Corriente!BK134*SALUD_Mes_Constante!$BC$1</f>
        <v>276913.51206646452</v>
      </c>
      <c r="BL134" s="8">
        <f>+MINVU_Mes_Corriente!BL134*SALUD_Mes_Constante!$BC$1</f>
        <v>276913.51206646452</v>
      </c>
      <c r="BM134" s="8">
        <f>+MINVU_Mes_Corriente!BM134*SALUD_Mes_Constante!$BC$1</f>
        <v>276913.51206646452</v>
      </c>
      <c r="BN134" s="8">
        <f>+MINVU_Mes_Corriente!BN134*SALUD_Mes_Constante!$BC$1</f>
        <v>276913.51206646452</v>
      </c>
      <c r="BO134" s="9">
        <f t="shared" si="61"/>
        <v>276913.51206646452</v>
      </c>
      <c r="BP134" s="8">
        <f>+MINVU_Mes_Corriente!BP134*SALUD_Mes_Constante!$BP$1</f>
        <v>0</v>
      </c>
      <c r="BQ134" s="8">
        <f>+MINVU_Mes_Corriente!BQ134*SALUD_Mes_Constante!$BP$1</f>
        <v>0</v>
      </c>
      <c r="BR134" s="8">
        <f>+MINVU_Mes_Corriente!BR134*SALUD_Mes_Constante!$BP$1</f>
        <v>0</v>
      </c>
      <c r="BS134" s="8">
        <f>+MINVU_Mes_Corriente!BS134*SALUD_Mes_Constante!$BP$1</f>
        <v>0</v>
      </c>
      <c r="BT134" s="8">
        <f>+MINVU_Mes_Corriente!BT134*SALUD_Mes_Constante!$BP$1</f>
        <v>0</v>
      </c>
      <c r="BU134" s="8">
        <f>+MINVU_Mes_Corriente!BU134*SALUD_Mes_Constante!$BP$1</f>
        <v>0</v>
      </c>
      <c r="BV134" s="8">
        <f>+MINVU_Mes_Corriente!BV134*SALUD_Mes_Constante!$BP$1</f>
        <v>0</v>
      </c>
      <c r="BW134" s="8">
        <f>+MINVU_Mes_Corriente!BW134*SALUD_Mes_Constante!$BP$1</f>
        <v>0</v>
      </c>
      <c r="BX134" s="8">
        <f>+MINVU_Mes_Corriente!BX134*SALUD_Mes_Constante!$BP$1</f>
        <v>0</v>
      </c>
      <c r="BY134" s="8">
        <f>+MINVU_Mes_Corriente!BY134*SALUD_Mes_Constante!$BP$1</f>
        <v>0</v>
      </c>
      <c r="BZ134" s="8">
        <f>+MINVU_Mes_Corriente!BZ134*SALUD_Mes_Constante!$BP$1</f>
        <v>0</v>
      </c>
      <c r="CA134" s="8">
        <f>+MINVU_Mes_Corriente!CA134*SALUD_Mes_Constante!$BP$1</f>
        <v>0</v>
      </c>
      <c r="CB134" s="9">
        <f t="shared" si="62"/>
        <v>0</v>
      </c>
      <c r="CC134" s="8">
        <f>+MINVU_Mes_Corriente!CC134*SALUD_Mes_Constante!$CC$1</f>
        <v>86779.038418500568</v>
      </c>
      <c r="CD134" s="8">
        <f>+MINVU_Mes_Corriente!CD134*SALUD_Mes_Constante!$CC$1</f>
        <v>86779.038418500568</v>
      </c>
      <c r="CE134" s="8">
        <f>+MINVU_Mes_Corriente!CE134*SALUD_Mes_Constante!$CC$1</f>
        <v>86779.038418500568</v>
      </c>
      <c r="CF134" s="8">
        <f>+MINVU_Mes_Corriente!CF134*SALUD_Mes_Constante!$CC$1</f>
        <v>86779.038418500568</v>
      </c>
      <c r="CG134" s="8">
        <f>+MINVU_Mes_Corriente!CG134*SALUD_Mes_Constante!$CC$1</f>
        <v>86779.038418500568</v>
      </c>
      <c r="CH134" s="8">
        <f>+MINVU_Mes_Corriente!CH134*SALUD_Mes_Constante!$CC$1</f>
        <v>86779.038418500568</v>
      </c>
      <c r="CI134" s="8">
        <f>+MINVU_Mes_Corriente!CI134*SALUD_Mes_Constante!$CC$1</f>
        <v>86779.038418500568</v>
      </c>
      <c r="CJ134" s="8">
        <f>+MINVU_Mes_Corriente!CJ134*SALUD_Mes_Constante!$CC$1</f>
        <v>86779.038418500568</v>
      </c>
      <c r="CK134" s="8">
        <f>+MINVU_Mes_Corriente!CK134*SALUD_Mes_Constante!$CC$1</f>
        <v>86779.038418500568</v>
      </c>
      <c r="CL134" s="8">
        <f>+MINVU_Mes_Corriente!CL134*SALUD_Mes_Constante!$CC$1</f>
        <v>86779.038418500568</v>
      </c>
      <c r="CM134" s="8">
        <f>+MINVU_Mes_Corriente!CM134*SALUD_Mes_Constante!$CC$1</f>
        <v>86779.038418500568</v>
      </c>
      <c r="CN134" s="8">
        <f>+MINVU_Mes_Corriente!CN134*SALUD_Mes_Constante!$CC$1</f>
        <v>86779.038418500568</v>
      </c>
      <c r="CO134" s="9">
        <f t="shared" si="63"/>
        <v>86779.038418500568</v>
      </c>
      <c r="CP134" s="8">
        <f>+MINVU_Mes_Corriente!CP134*SALUD_Mes_Constante!$CP$1</f>
        <v>357609.75452436187</v>
      </c>
      <c r="CQ134" s="8">
        <f>+MINVU_Mes_Corriente!CQ134*SALUD_Mes_Constante!$CP$1</f>
        <v>357609.75452436187</v>
      </c>
      <c r="CR134" s="8">
        <f>+MINVU_Mes_Corriente!CR134*SALUD_Mes_Constante!$CP$1</f>
        <v>357609.75452436187</v>
      </c>
      <c r="CS134" s="8">
        <f>+MINVU_Mes_Corriente!CS134*SALUD_Mes_Constante!$CP$1</f>
        <v>357609.75452436187</v>
      </c>
      <c r="CT134" s="8">
        <f>+MINVU_Mes_Corriente!CT134*SALUD_Mes_Constante!$CP$1</f>
        <v>357609.75452436187</v>
      </c>
      <c r="CU134" s="8">
        <f>+MINVU_Mes_Corriente!CU134*SALUD_Mes_Constante!$CP$1</f>
        <v>357609.75452436187</v>
      </c>
      <c r="CV134" s="8">
        <f>+MINVU_Mes_Corriente!CV134*SALUD_Mes_Constante!$CP$1</f>
        <v>357609.75452436187</v>
      </c>
      <c r="CW134" s="8">
        <f>+MINVU_Mes_Corriente!CW134*SALUD_Mes_Constante!$CP$1</f>
        <v>357609.75452436187</v>
      </c>
      <c r="CX134" s="8">
        <f>+MINVU_Mes_Corriente!CX134*SALUD_Mes_Constante!$CP$1</f>
        <v>357609.75452436187</v>
      </c>
      <c r="CY134" s="8">
        <f>+MINVU_Mes_Corriente!CY134*SALUD_Mes_Constante!$CP$1</f>
        <v>357609.75452436187</v>
      </c>
      <c r="CZ134" s="8">
        <f>+MINVU_Mes_Corriente!CZ134*SALUD_Mes_Constante!$CP$1</f>
        <v>357609.75452436187</v>
      </c>
      <c r="DA134" s="8">
        <f>+MINVU_Mes_Corriente!DA134*SALUD_Mes_Constante!$CP$1</f>
        <v>357609.75452436187</v>
      </c>
      <c r="DB134" s="9">
        <f t="shared" si="64"/>
        <v>357609.75452436187</v>
      </c>
      <c r="DC134" s="8">
        <f>+MINVU_Mes_Corriente!DC134*SALUD_Mes_Constante!$DC$1</f>
        <v>437285.02294002695</v>
      </c>
      <c r="DD134" s="8">
        <f>+MINVU_Mes_Corriente!DD134*SALUD_Mes_Constante!$DC$1</f>
        <v>437285.02294002695</v>
      </c>
      <c r="DE134" s="8">
        <f>+MINVU_Mes_Corriente!DE134*SALUD_Mes_Constante!$DC$1</f>
        <v>437285.02294002695</v>
      </c>
      <c r="DF134" s="8">
        <f>+MINVU_Mes_Corriente!DF134*SALUD_Mes_Constante!$DC$1</f>
        <v>437285.02294002695</v>
      </c>
      <c r="DG134" s="8">
        <f>+MINVU_Mes_Corriente!DG134*SALUD_Mes_Constante!$DC$1</f>
        <v>437285.02294002695</v>
      </c>
      <c r="DH134" s="8">
        <f>+MINVU_Mes_Corriente!DH134*SALUD_Mes_Constante!$DC$1</f>
        <v>437285.02294002695</v>
      </c>
      <c r="DI134" s="8">
        <f>+MINVU_Mes_Corriente!DI134*SALUD_Mes_Constante!$DC$1</f>
        <v>437285.02294002695</v>
      </c>
      <c r="DJ134" s="8">
        <f>+MINVU_Mes_Corriente!DJ134*SALUD_Mes_Constante!$DC$1</f>
        <v>437285.02294002695</v>
      </c>
      <c r="DK134" s="8">
        <f>+MINVU_Mes_Corriente!DK134*SALUD_Mes_Constante!$DC$1</f>
        <v>437285.02294002695</v>
      </c>
      <c r="DL134" s="8">
        <f>+MINVU_Mes_Corriente!DL134*SALUD_Mes_Constante!$DC$1</f>
        <v>437285.02294002695</v>
      </c>
      <c r="DM134" s="8">
        <f>+MINVU_Mes_Corriente!DM134*SALUD_Mes_Constante!$DC$1</f>
        <v>437285.02294002695</v>
      </c>
      <c r="DN134" s="8">
        <f>+MINVU_Mes_Corriente!DN134*SALUD_Mes_Constante!$DC$1</f>
        <v>437285.02294002695</v>
      </c>
      <c r="DO134" s="9">
        <f t="shared" si="65"/>
        <v>437285.02294002695</v>
      </c>
      <c r="DP134" s="8">
        <f>+MINVU_Mes_Corriente!DP134*SALUD_Mes_Constante!$DP$1</f>
        <v>447214.45902612829</v>
      </c>
      <c r="DQ134" s="8">
        <f>+MINVU_Mes_Corriente!DQ134*SALUD_Mes_Constante!$DP$1</f>
        <v>447214.45902612829</v>
      </c>
      <c r="DR134" s="8">
        <f>+MINVU_Mes_Corriente!DR134*SALUD_Mes_Constante!$DP$1</f>
        <v>447214.45902612829</v>
      </c>
      <c r="DS134" s="8">
        <f>+MINVU_Mes_Corriente!DS134*SALUD_Mes_Constante!$DP$1</f>
        <v>447214.45902612829</v>
      </c>
      <c r="DT134" s="8">
        <f>+MINVU_Mes_Corriente!DT134*SALUD_Mes_Constante!$DP$1</f>
        <v>447214.45902612829</v>
      </c>
      <c r="DU134" s="8">
        <f>+MINVU_Mes_Corriente!DU134*SALUD_Mes_Constante!$DP$1</f>
        <v>447214.45902612829</v>
      </c>
      <c r="DV134" s="8">
        <f>+MINVU_Mes_Corriente!DV134*SALUD_Mes_Constante!$DP$1</f>
        <v>447214.45902612829</v>
      </c>
      <c r="DW134" s="8">
        <f>+MINVU_Mes_Corriente!DW134*SALUD_Mes_Constante!$DP$1</f>
        <v>447214.45902612829</v>
      </c>
      <c r="DX134" s="8">
        <f>+MINVU_Mes_Corriente!DX134*SALUD_Mes_Constante!$DP$1</f>
        <v>447214.45902612829</v>
      </c>
      <c r="DY134" s="8">
        <f>+MINVU_Mes_Corriente!DY134*SALUD_Mes_Constante!$DP$1</f>
        <v>447214.45902612829</v>
      </c>
      <c r="DZ134" s="8">
        <f>+MINVU_Mes_Corriente!DZ134*SALUD_Mes_Constante!$DP$1</f>
        <v>447214.45902612829</v>
      </c>
      <c r="EA134" s="8">
        <f>+MINVU_Mes_Corriente!EA134*SALUD_Mes_Constante!$DP$1</f>
        <v>447214.45902612829</v>
      </c>
      <c r="EB134" s="9">
        <f t="shared" si="66"/>
        <v>447214.45902612829</v>
      </c>
      <c r="EC134" s="8">
        <f>+MINVU_Mes_Corriente!EC134*SALUD_Mes_Constante!$EC$1</f>
        <v>391866.02783563704</v>
      </c>
      <c r="ED134" s="8">
        <f>+MINVU_Mes_Corriente!ED134*SALUD_Mes_Constante!$EC$1</f>
        <v>391866.02783563704</v>
      </c>
      <c r="EE134" s="8">
        <f>+MINVU_Mes_Corriente!EE134*SALUD_Mes_Constante!$EC$1</f>
        <v>391866.02783563704</v>
      </c>
      <c r="EF134" s="8">
        <f>+MINVU_Mes_Corriente!EF134*SALUD_Mes_Constante!$EC$1</f>
        <v>391866.02783563704</v>
      </c>
      <c r="EG134" s="8">
        <f>+MINVU_Mes_Corriente!EG134*SALUD_Mes_Constante!$EC$1</f>
        <v>391866.02783563704</v>
      </c>
      <c r="EH134" s="8">
        <f>+MINVU_Mes_Corriente!EH134*SALUD_Mes_Constante!$EC$1</f>
        <v>391866.02783563704</v>
      </c>
      <c r="EI134" s="8">
        <f>+MINVU_Mes_Corriente!EI134*SALUD_Mes_Constante!$EC$1</f>
        <v>391866.02783563704</v>
      </c>
      <c r="EJ134" s="8">
        <f>+MINVU_Mes_Corriente!EJ134*SALUD_Mes_Constante!$EC$1</f>
        <v>391866.02783563704</v>
      </c>
      <c r="EK134" s="8">
        <f>+MINVU_Mes_Corriente!EK134*SALUD_Mes_Constante!$EC$1</f>
        <v>391866.02783563704</v>
      </c>
      <c r="EL134" s="8">
        <f>+MINVU_Mes_Corriente!EL134*SALUD_Mes_Constante!$EC$1</f>
        <v>391866.02783563704</v>
      </c>
      <c r="EM134" s="8">
        <f>+MINVU_Mes_Corriente!EM134*SALUD_Mes_Constante!$EC$1</f>
        <v>391866.02783563704</v>
      </c>
      <c r="EN134" s="8">
        <f>+MINVU_Mes_Corriente!EN134*SALUD_Mes_Constante!$EC$1</f>
        <v>391866.02783563704</v>
      </c>
      <c r="EO134" s="9">
        <f t="shared" si="67"/>
        <v>391866.02783563704</v>
      </c>
      <c r="EP134" s="8">
        <f>+MINVU_Mes_Corriente!EP134*SALUD_Mes_Constante!$EP$1</f>
        <v>394721</v>
      </c>
      <c r="EQ134" s="8">
        <f>+MINVU_Mes_Corriente!EQ134*SALUD_Mes_Constante!$EP$1</f>
        <v>394721</v>
      </c>
      <c r="ER134" s="8">
        <f>+MINVU_Mes_Corriente!ER134*SALUD_Mes_Constante!$EP$1</f>
        <v>394721</v>
      </c>
      <c r="ES134" s="8">
        <f>+MINVU_Mes_Corriente!ES134*SALUD_Mes_Constante!$EP$1</f>
        <v>394721</v>
      </c>
      <c r="ET134" s="8">
        <f>+MINVU_Mes_Corriente!ET134*SALUD_Mes_Constante!$EP$1</f>
        <v>394721</v>
      </c>
      <c r="EU134" s="8">
        <f>+MINVU_Mes_Corriente!EU134*SALUD_Mes_Constante!$EP$1</f>
        <v>394721</v>
      </c>
      <c r="EV134" s="8">
        <f>+MINVU_Mes_Corriente!EV134*SALUD_Mes_Constante!$EP$1</f>
        <v>394721</v>
      </c>
      <c r="EW134" s="8">
        <f>+MINVU_Mes_Corriente!EW134*SALUD_Mes_Constante!$EP$1</f>
        <v>394721</v>
      </c>
      <c r="EX134" s="8">
        <f>+MINVU_Mes_Corriente!EX134*SALUD_Mes_Constante!$EP$1</f>
        <v>394721</v>
      </c>
      <c r="EY134" s="8">
        <f>+MINVU_Mes_Corriente!EY134*SALUD_Mes_Constante!$EP$1</f>
        <v>394721</v>
      </c>
      <c r="EZ134" s="8">
        <f>+MINVU_Mes_Corriente!EZ134*SALUD_Mes_Constante!$EP$1</f>
        <v>394721</v>
      </c>
      <c r="FA134" s="8">
        <f>+MINVU_Mes_Corriente!FA134*SALUD_Mes_Constante!$EP$1</f>
        <v>394721</v>
      </c>
      <c r="FB134" s="9">
        <f t="shared" si="68"/>
        <v>394721</v>
      </c>
      <c r="FC134" s="8">
        <f>+MINVU_Mes_Corriente!FC134*SALUD_Mes_Constante!$FC$1</f>
        <v>406957</v>
      </c>
      <c r="FD134" s="8">
        <f>+MINVU_Mes_Corriente!FD134*SALUD_Mes_Constante!$FC$1</f>
        <v>406957</v>
      </c>
      <c r="FE134" s="8">
        <f>+MINVU_Mes_Corriente!FE134*SALUD_Mes_Constante!$FC$1</f>
        <v>406957</v>
      </c>
      <c r="FF134" s="8">
        <f>+MINVU_Mes_Corriente!FF134*SALUD_Mes_Constante!$FC$1</f>
        <v>406957</v>
      </c>
      <c r="FG134" s="8">
        <f>+MINVU_Mes_Corriente!FG134*SALUD_Mes_Constante!$FC$1</f>
        <v>406957</v>
      </c>
      <c r="FH134" s="8">
        <f>+MINVU_Mes_Corriente!FH134*SALUD_Mes_Constante!$FC$1</f>
        <v>406957</v>
      </c>
      <c r="FI134" s="8">
        <f>+MINVU_Mes_Corriente!FI134*SALUD_Mes_Constante!$FC$1</f>
        <v>406957</v>
      </c>
      <c r="FJ134" s="8"/>
      <c r="FK134" s="8"/>
      <c r="FL134" s="8"/>
      <c r="FM134" s="8"/>
      <c r="FN134" s="8"/>
      <c r="FO134" s="9">
        <f t="shared" si="69"/>
        <v>406957</v>
      </c>
    </row>
    <row r="135" spans="2:171" ht="14.25" customHeight="1" x14ac:dyDescent="0.3">
      <c r="B135" s="7" t="s">
        <v>59</v>
      </c>
      <c r="C135" s="8">
        <f>+MINVU_Mes_Corriente!C135*SALUD_Mes_Constante!$C$1</f>
        <v>316363.03485095658</v>
      </c>
      <c r="D135" s="8">
        <f>+MINVU_Mes_Corriente!D135*SALUD_Mes_Constante!$C$1</f>
        <v>316363.03485095658</v>
      </c>
      <c r="E135" s="8">
        <f>+MINVU_Mes_Corriente!E135*SALUD_Mes_Constante!$C$1</f>
        <v>316363.03485095658</v>
      </c>
      <c r="F135" s="8">
        <f>+MINVU_Mes_Corriente!F135*SALUD_Mes_Constante!$C$1</f>
        <v>316363.03485095658</v>
      </c>
      <c r="G135" s="8">
        <f>+MINVU_Mes_Corriente!G135*SALUD_Mes_Constante!$C$1</f>
        <v>316363.03485095658</v>
      </c>
      <c r="H135" s="8">
        <f>+MINVU_Mes_Corriente!H135*SALUD_Mes_Constante!$C$1</f>
        <v>316363.03485095658</v>
      </c>
      <c r="I135" s="8">
        <f>+MINVU_Mes_Corriente!I135*SALUD_Mes_Constante!$C$1</f>
        <v>316363.03485095658</v>
      </c>
      <c r="J135" s="8">
        <f>+MINVU_Mes_Corriente!J135*SALUD_Mes_Constante!$C$1</f>
        <v>316363.03485095658</v>
      </c>
      <c r="K135" s="8">
        <f>+MINVU_Mes_Corriente!K135*SALUD_Mes_Constante!$C$1</f>
        <v>316363.03485095658</v>
      </c>
      <c r="L135" s="8">
        <f>+MINVU_Mes_Corriente!L135*SALUD_Mes_Constante!$C$1</f>
        <v>316363.03485095658</v>
      </c>
      <c r="M135" s="8">
        <f>+MINVU_Mes_Corriente!M135*SALUD_Mes_Constante!$C$1</f>
        <v>316363.03485095658</v>
      </c>
      <c r="N135" s="8">
        <f>+MINVU_Mes_Corriente!N135*SALUD_Mes_Constante!$C$1</f>
        <v>316363.03485095658</v>
      </c>
      <c r="O135" s="9">
        <f t="shared" si="57"/>
        <v>316363.03485095658</v>
      </c>
      <c r="P135" s="8">
        <f>+MINVU_Mes_Corriente!P135*SALUD_Mes_Constante!$P$1</f>
        <v>312150.8063645403</v>
      </c>
      <c r="Q135" s="8">
        <f>+MINVU_Mes_Corriente!Q135*SALUD_Mes_Constante!$P$1</f>
        <v>312150.8063645403</v>
      </c>
      <c r="R135" s="8">
        <f>+MINVU_Mes_Corriente!R135*SALUD_Mes_Constante!$P$1</f>
        <v>312150.8063645403</v>
      </c>
      <c r="S135" s="8">
        <f>+MINVU_Mes_Corriente!S135*SALUD_Mes_Constante!$P$1</f>
        <v>312150.8063645403</v>
      </c>
      <c r="T135" s="8">
        <f>+MINVU_Mes_Corriente!T135*SALUD_Mes_Constante!$P$1</f>
        <v>312150.8063645403</v>
      </c>
      <c r="U135" s="8">
        <f>+MINVU_Mes_Corriente!U135*SALUD_Mes_Constante!$P$1</f>
        <v>312150.8063645403</v>
      </c>
      <c r="V135" s="8">
        <f>+MINVU_Mes_Corriente!V135*SALUD_Mes_Constante!$P$1</f>
        <v>312150.8063645403</v>
      </c>
      <c r="W135" s="8">
        <f>+MINVU_Mes_Corriente!W135*SALUD_Mes_Constante!$P$1</f>
        <v>312150.8063645403</v>
      </c>
      <c r="X135" s="8">
        <f>+MINVU_Mes_Corriente!X135*SALUD_Mes_Constante!$P$1</f>
        <v>312150.8063645403</v>
      </c>
      <c r="Y135" s="8">
        <f>+MINVU_Mes_Corriente!Y135*SALUD_Mes_Constante!$P$1</f>
        <v>312150.8063645403</v>
      </c>
      <c r="Z135" s="8">
        <f>+MINVU_Mes_Corriente!Z135*SALUD_Mes_Constante!$P$1</f>
        <v>312150.8063645403</v>
      </c>
      <c r="AA135" s="8">
        <f>+MINVU_Mes_Corriente!AA135*SALUD_Mes_Constante!$P$1</f>
        <v>312150.8063645403</v>
      </c>
      <c r="AB135" s="9">
        <f t="shared" si="58"/>
        <v>312150.8063645403</v>
      </c>
      <c r="AC135" s="8">
        <f>+MINVU_Mes_Corriente!AC135*SALUD_Mes_Constante!$AC$1</f>
        <v>315496.75169456354</v>
      </c>
      <c r="AD135" s="8">
        <f>+MINVU_Mes_Corriente!AD135*SALUD_Mes_Constante!$AC$1</f>
        <v>315496.75169456354</v>
      </c>
      <c r="AE135" s="8">
        <f>+MINVU_Mes_Corriente!AE135*SALUD_Mes_Constante!$AC$1</f>
        <v>315496.75169456354</v>
      </c>
      <c r="AF135" s="8">
        <f>+MINVU_Mes_Corriente!AF135*SALUD_Mes_Constante!$AC$1</f>
        <v>315496.75169456354</v>
      </c>
      <c r="AG135" s="8">
        <f>+MINVU_Mes_Corriente!AG135*SALUD_Mes_Constante!$AC$1</f>
        <v>315496.75169456354</v>
      </c>
      <c r="AH135" s="8">
        <f>+MINVU_Mes_Corriente!AH135*SALUD_Mes_Constante!$AC$1</f>
        <v>315496.75169456354</v>
      </c>
      <c r="AI135" s="8">
        <f>+MINVU_Mes_Corriente!AI135*SALUD_Mes_Constante!$AC$1</f>
        <v>315496.75169456354</v>
      </c>
      <c r="AJ135" s="8">
        <f>+MINVU_Mes_Corriente!AJ135*SALUD_Mes_Constante!$AC$1</f>
        <v>315496.75169456354</v>
      </c>
      <c r="AK135" s="8">
        <f>+MINVU_Mes_Corriente!AK135*SALUD_Mes_Constante!$AC$1</f>
        <v>315496.75169456354</v>
      </c>
      <c r="AL135" s="8">
        <f>+MINVU_Mes_Corriente!AL135*SALUD_Mes_Constante!$AC$1</f>
        <v>315496.75169456354</v>
      </c>
      <c r="AM135" s="8">
        <f>+MINVU_Mes_Corriente!AM135*SALUD_Mes_Constante!$AC$1</f>
        <v>315496.75169456354</v>
      </c>
      <c r="AN135" s="8">
        <f>+MINVU_Mes_Corriente!AN135*SALUD_Mes_Constante!$AC$1</f>
        <v>315496.75169456354</v>
      </c>
      <c r="AO135" s="9">
        <f t="shared" si="59"/>
        <v>315496.75169456354</v>
      </c>
      <c r="AP135" s="8">
        <f>+MINVU_Mes_Corriente!AP135*SALUD_Mes_Constante!$AP$1</f>
        <v>317752.55376707693</v>
      </c>
      <c r="AQ135" s="8">
        <f>+MINVU_Mes_Corriente!AQ135*SALUD_Mes_Constante!$AP$1</f>
        <v>317752.55376707693</v>
      </c>
      <c r="AR135" s="8">
        <f>+MINVU_Mes_Corriente!AR135*SALUD_Mes_Constante!$AP$1</f>
        <v>317752.55376707693</v>
      </c>
      <c r="AS135" s="8">
        <f>+MINVU_Mes_Corriente!AS135*SALUD_Mes_Constante!$AP$1</f>
        <v>317752.55376707693</v>
      </c>
      <c r="AT135" s="8">
        <f>+MINVU_Mes_Corriente!AT135*SALUD_Mes_Constante!$AP$1</f>
        <v>317752.55376707693</v>
      </c>
      <c r="AU135" s="8">
        <f>+MINVU_Mes_Corriente!AU135*SALUD_Mes_Constante!$AP$1</f>
        <v>317752.55376707693</v>
      </c>
      <c r="AV135" s="8">
        <f>+MINVU_Mes_Corriente!AV135*SALUD_Mes_Constante!$AP$1</f>
        <v>317752.55376707693</v>
      </c>
      <c r="AW135" s="8">
        <f>+MINVU_Mes_Corriente!AW135*SALUD_Mes_Constante!$AP$1</f>
        <v>317752.55376707693</v>
      </c>
      <c r="AX135" s="8">
        <f>+MINVU_Mes_Corriente!AX135*SALUD_Mes_Constante!$AP$1</f>
        <v>317752.55376707693</v>
      </c>
      <c r="AY135" s="8">
        <f>+MINVU_Mes_Corriente!AY135*SALUD_Mes_Constante!$AP$1</f>
        <v>317752.55376707693</v>
      </c>
      <c r="AZ135" s="8">
        <f>+MINVU_Mes_Corriente!AZ135*SALUD_Mes_Constante!$AP$1</f>
        <v>317752.55376707693</v>
      </c>
      <c r="BA135" s="8">
        <f>+MINVU_Mes_Corriente!BA135*SALUD_Mes_Constante!$AP$1</f>
        <v>317752.55376707693</v>
      </c>
      <c r="BB135" s="9">
        <f t="shared" si="60"/>
        <v>317752.55376707693</v>
      </c>
      <c r="BC135" s="8">
        <f>+MINVU_Mes_Corriente!BC135*SALUD_Mes_Constante!$BC$1</f>
        <v>317845.3079256232</v>
      </c>
      <c r="BD135" s="8">
        <f>+MINVU_Mes_Corriente!BD135*SALUD_Mes_Constante!$BC$1</f>
        <v>317845.3079256232</v>
      </c>
      <c r="BE135" s="8">
        <f>+MINVU_Mes_Corriente!BE135*SALUD_Mes_Constante!$BC$1</f>
        <v>317845.3079256232</v>
      </c>
      <c r="BF135" s="8">
        <f>+MINVU_Mes_Corriente!BF135*SALUD_Mes_Constante!$BC$1</f>
        <v>317845.3079256232</v>
      </c>
      <c r="BG135" s="8">
        <f>+MINVU_Mes_Corriente!BG135*SALUD_Mes_Constante!$BC$1</f>
        <v>317845.3079256232</v>
      </c>
      <c r="BH135" s="8">
        <f>+MINVU_Mes_Corriente!BH135*SALUD_Mes_Constante!$BC$1</f>
        <v>317845.3079256232</v>
      </c>
      <c r="BI135" s="8">
        <f>+MINVU_Mes_Corriente!BI135*SALUD_Mes_Constante!$BC$1</f>
        <v>317845.3079256232</v>
      </c>
      <c r="BJ135" s="8">
        <f>+MINVU_Mes_Corriente!BJ135*SALUD_Mes_Constante!$BC$1</f>
        <v>317845.3079256232</v>
      </c>
      <c r="BK135" s="8">
        <f>+MINVU_Mes_Corriente!BK135*SALUD_Mes_Constante!$BC$1</f>
        <v>317845.3079256232</v>
      </c>
      <c r="BL135" s="8">
        <f>+MINVU_Mes_Corriente!BL135*SALUD_Mes_Constante!$BC$1</f>
        <v>317845.3079256232</v>
      </c>
      <c r="BM135" s="8">
        <f>+MINVU_Mes_Corriente!BM135*SALUD_Mes_Constante!$BC$1</f>
        <v>317845.3079256232</v>
      </c>
      <c r="BN135" s="8">
        <f>+MINVU_Mes_Corriente!BN135*SALUD_Mes_Constante!$BC$1</f>
        <v>317845.3079256232</v>
      </c>
      <c r="BO135" s="9">
        <f t="shared" si="61"/>
        <v>317845.3079256232</v>
      </c>
      <c r="BP135" s="8">
        <f>+MINVU_Mes_Corriente!BP135*SALUD_Mes_Constante!$BP$1</f>
        <v>0</v>
      </c>
      <c r="BQ135" s="8">
        <f>+MINVU_Mes_Corriente!BQ135*SALUD_Mes_Constante!$BP$1</f>
        <v>0</v>
      </c>
      <c r="BR135" s="8">
        <f>+MINVU_Mes_Corriente!BR135*SALUD_Mes_Constante!$BP$1</f>
        <v>0</v>
      </c>
      <c r="BS135" s="8">
        <f>+MINVU_Mes_Corriente!BS135*SALUD_Mes_Constante!$BP$1</f>
        <v>0</v>
      </c>
      <c r="BT135" s="8">
        <f>+MINVU_Mes_Corriente!BT135*SALUD_Mes_Constante!$BP$1</f>
        <v>0</v>
      </c>
      <c r="BU135" s="8">
        <f>+MINVU_Mes_Corriente!BU135*SALUD_Mes_Constante!$BP$1</f>
        <v>0</v>
      </c>
      <c r="BV135" s="8">
        <f>+MINVU_Mes_Corriente!BV135*SALUD_Mes_Constante!$BP$1</f>
        <v>0</v>
      </c>
      <c r="BW135" s="8">
        <f>+MINVU_Mes_Corriente!BW135*SALUD_Mes_Constante!$BP$1</f>
        <v>0</v>
      </c>
      <c r="BX135" s="8">
        <f>+MINVU_Mes_Corriente!BX135*SALUD_Mes_Constante!$BP$1</f>
        <v>0</v>
      </c>
      <c r="BY135" s="8">
        <f>+MINVU_Mes_Corriente!BY135*SALUD_Mes_Constante!$BP$1</f>
        <v>0</v>
      </c>
      <c r="BZ135" s="8">
        <f>+MINVU_Mes_Corriente!BZ135*SALUD_Mes_Constante!$BP$1</f>
        <v>0</v>
      </c>
      <c r="CA135" s="8">
        <f>+MINVU_Mes_Corriente!CA135*SALUD_Mes_Constante!$BP$1</f>
        <v>0</v>
      </c>
      <c r="CB135" s="9">
        <f t="shared" si="62"/>
        <v>0</v>
      </c>
      <c r="CC135" s="8">
        <f>+MINVU_Mes_Corriente!CC135*SALUD_Mes_Constante!$CC$1</f>
        <v>93503.35770234988</v>
      </c>
      <c r="CD135" s="8">
        <f>+MINVU_Mes_Corriente!CD135*SALUD_Mes_Constante!$CC$1</f>
        <v>93503.35770234988</v>
      </c>
      <c r="CE135" s="8">
        <f>+MINVU_Mes_Corriente!CE135*SALUD_Mes_Constante!$CC$1</f>
        <v>93503.35770234988</v>
      </c>
      <c r="CF135" s="8">
        <f>+MINVU_Mes_Corriente!CF135*SALUD_Mes_Constante!$CC$1</f>
        <v>93503.35770234988</v>
      </c>
      <c r="CG135" s="8">
        <f>+MINVU_Mes_Corriente!CG135*SALUD_Mes_Constante!$CC$1</f>
        <v>93503.35770234988</v>
      </c>
      <c r="CH135" s="8">
        <f>+MINVU_Mes_Corriente!CH135*SALUD_Mes_Constante!$CC$1</f>
        <v>93503.35770234988</v>
      </c>
      <c r="CI135" s="8">
        <f>+MINVU_Mes_Corriente!CI135*SALUD_Mes_Constante!$CC$1</f>
        <v>93503.35770234988</v>
      </c>
      <c r="CJ135" s="8">
        <f>+MINVU_Mes_Corriente!CJ135*SALUD_Mes_Constante!$CC$1</f>
        <v>93503.35770234988</v>
      </c>
      <c r="CK135" s="8">
        <f>+MINVU_Mes_Corriente!CK135*SALUD_Mes_Constante!$CC$1</f>
        <v>93503.35770234988</v>
      </c>
      <c r="CL135" s="8">
        <f>+MINVU_Mes_Corriente!CL135*SALUD_Mes_Constante!$CC$1</f>
        <v>93503.35770234988</v>
      </c>
      <c r="CM135" s="8">
        <f>+MINVU_Mes_Corriente!CM135*SALUD_Mes_Constante!$CC$1</f>
        <v>93503.35770234988</v>
      </c>
      <c r="CN135" s="8">
        <f>+MINVU_Mes_Corriente!CN135*SALUD_Mes_Constante!$CC$1</f>
        <v>93503.35770234988</v>
      </c>
      <c r="CO135" s="9">
        <f t="shared" si="63"/>
        <v>93503.35770234988</v>
      </c>
      <c r="CP135" s="8">
        <f>+MINVU_Mes_Corriente!CP135*SALUD_Mes_Constante!$CP$1</f>
        <v>387980.73897911824</v>
      </c>
      <c r="CQ135" s="8">
        <f>+MINVU_Mes_Corriente!CQ135*SALUD_Mes_Constante!$CP$1</f>
        <v>387980.73897911824</v>
      </c>
      <c r="CR135" s="8">
        <f>+MINVU_Mes_Corriente!CR135*SALUD_Mes_Constante!$CP$1</f>
        <v>387980.73897911824</v>
      </c>
      <c r="CS135" s="8">
        <f>+MINVU_Mes_Corriente!CS135*SALUD_Mes_Constante!$CP$1</f>
        <v>387980.73897911824</v>
      </c>
      <c r="CT135" s="8">
        <f>+MINVU_Mes_Corriente!CT135*SALUD_Mes_Constante!$CP$1</f>
        <v>387980.73897911824</v>
      </c>
      <c r="CU135" s="8">
        <f>+MINVU_Mes_Corriente!CU135*SALUD_Mes_Constante!$CP$1</f>
        <v>387980.73897911824</v>
      </c>
      <c r="CV135" s="8">
        <f>+MINVU_Mes_Corriente!CV135*SALUD_Mes_Constante!$CP$1</f>
        <v>387980.73897911824</v>
      </c>
      <c r="CW135" s="8">
        <f>+MINVU_Mes_Corriente!CW135*SALUD_Mes_Constante!$CP$1</f>
        <v>387980.73897911824</v>
      </c>
      <c r="CX135" s="8">
        <f>+MINVU_Mes_Corriente!CX135*SALUD_Mes_Constante!$CP$1</f>
        <v>387980.73897911824</v>
      </c>
      <c r="CY135" s="8">
        <f>+MINVU_Mes_Corriente!CY135*SALUD_Mes_Constante!$CP$1</f>
        <v>387980.73897911824</v>
      </c>
      <c r="CZ135" s="8">
        <f>+MINVU_Mes_Corriente!CZ135*SALUD_Mes_Constante!$CP$1</f>
        <v>387980.73897911824</v>
      </c>
      <c r="DA135" s="8">
        <f>+MINVU_Mes_Corriente!DA135*SALUD_Mes_Constante!$CP$1</f>
        <v>387980.73897911824</v>
      </c>
      <c r="DB135" s="9">
        <f t="shared" si="64"/>
        <v>387980.73897911824</v>
      </c>
      <c r="DC135" s="8">
        <f>+MINVU_Mes_Corriente!DC135*SALUD_Mes_Constante!$DC$1</f>
        <v>470593.53132393811</v>
      </c>
      <c r="DD135" s="8">
        <f>+MINVU_Mes_Corriente!DD135*SALUD_Mes_Constante!$DC$1</f>
        <v>470593.53132393811</v>
      </c>
      <c r="DE135" s="8">
        <f>+MINVU_Mes_Corriente!DE135*SALUD_Mes_Constante!$DC$1</f>
        <v>470593.53132393811</v>
      </c>
      <c r="DF135" s="8">
        <f>+MINVU_Mes_Corriente!DF135*SALUD_Mes_Constante!$DC$1</f>
        <v>470593.53132393811</v>
      </c>
      <c r="DG135" s="8">
        <f>+MINVU_Mes_Corriente!DG135*SALUD_Mes_Constante!$DC$1</f>
        <v>470593.53132393811</v>
      </c>
      <c r="DH135" s="8">
        <f>+MINVU_Mes_Corriente!DH135*SALUD_Mes_Constante!$DC$1</f>
        <v>470593.53132393811</v>
      </c>
      <c r="DI135" s="8">
        <f>+MINVU_Mes_Corriente!DI135*SALUD_Mes_Constante!$DC$1</f>
        <v>470593.53132393811</v>
      </c>
      <c r="DJ135" s="8">
        <f>+MINVU_Mes_Corriente!DJ135*SALUD_Mes_Constante!$DC$1</f>
        <v>470593.53132393811</v>
      </c>
      <c r="DK135" s="8">
        <f>+MINVU_Mes_Corriente!DK135*SALUD_Mes_Constante!$DC$1</f>
        <v>470593.53132393811</v>
      </c>
      <c r="DL135" s="8">
        <f>+MINVU_Mes_Corriente!DL135*SALUD_Mes_Constante!$DC$1</f>
        <v>470593.53132393811</v>
      </c>
      <c r="DM135" s="8">
        <f>+MINVU_Mes_Corriente!DM135*SALUD_Mes_Constante!$DC$1</f>
        <v>470593.53132393811</v>
      </c>
      <c r="DN135" s="8">
        <f>+MINVU_Mes_Corriente!DN135*SALUD_Mes_Constante!$DC$1</f>
        <v>470593.53132393811</v>
      </c>
      <c r="DO135" s="9">
        <f t="shared" si="65"/>
        <v>470593.53132393811</v>
      </c>
      <c r="DP135" s="8">
        <f>+MINVU_Mes_Corriente!DP135*SALUD_Mes_Constante!$DP$1</f>
        <v>481279.27019002382</v>
      </c>
      <c r="DQ135" s="8">
        <f>+MINVU_Mes_Corriente!DQ135*SALUD_Mes_Constante!$DP$1</f>
        <v>481279.27019002382</v>
      </c>
      <c r="DR135" s="8">
        <f>+MINVU_Mes_Corriente!DR135*SALUD_Mes_Constante!$DP$1</f>
        <v>481279.27019002382</v>
      </c>
      <c r="DS135" s="8">
        <f>+MINVU_Mes_Corriente!DS135*SALUD_Mes_Constante!$DP$1</f>
        <v>481279.27019002382</v>
      </c>
      <c r="DT135" s="8">
        <f>+MINVU_Mes_Corriente!DT135*SALUD_Mes_Constante!$DP$1</f>
        <v>481279.27019002382</v>
      </c>
      <c r="DU135" s="8">
        <f>+MINVU_Mes_Corriente!DU135*SALUD_Mes_Constante!$DP$1</f>
        <v>481279.27019002382</v>
      </c>
      <c r="DV135" s="8">
        <f>+MINVU_Mes_Corriente!DV135*SALUD_Mes_Constante!$DP$1</f>
        <v>481279.27019002382</v>
      </c>
      <c r="DW135" s="8">
        <f>+MINVU_Mes_Corriente!DW135*SALUD_Mes_Constante!$DP$1</f>
        <v>481279.27019002382</v>
      </c>
      <c r="DX135" s="8">
        <f>+MINVU_Mes_Corriente!DX135*SALUD_Mes_Constante!$DP$1</f>
        <v>481279.27019002382</v>
      </c>
      <c r="DY135" s="8">
        <f>+MINVU_Mes_Corriente!DY135*SALUD_Mes_Constante!$DP$1</f>
        <v>481279.27019002382</v>
      </c>
      <c r="DZ135" s="8">
        <f>+MINVU_Mes_Corriente!DZ135*SALUD_Mes_Constante!$DP$1</f>
        <v>481279.27019002382</v>
      </c>
      <c r="EA135" s="8">
        <f>+MINVU_Mes_Corriente!EA135*SALUD_Mes_Constante!$DP$1</f>
        <v>481279.27019002382</v>
      </c>
      <c r="EB135" s="9">
        <f t="shared" si="66"/>
        <v>481279.27019002382</v>
      </c>
      <c r="EC135" s="8">
        <f>+MINVU_Mes_Corriente!EC135*SALUD_Mes_Constante!$EC$1</f>
        <v>421715.46260177984</v>
      </c>
      <c r="ED135" s="8">
        <f>+MINVU_Mes_Corriente!ED135*SALUD_Mes_Constante!$EC$1</f>
        <v>421715.46260177984</v>
      </c>
      <c r="EE135" s="8">
        <f>+MINVU_Mes_Corriente!EE135*SALUD_Mes_Constante!$EC$1</f>
        <v>421715.46260177984</v>
      </c>
      <c r="EF135" s="8">
        <f>+MINVU_Mes_Corriente!EF135*SALUD_Mes_Constante!$EC$1</f>
        <v>421715.46260177984</v>
      </c>
      <c r="EG135" s="8">
        <f>+MINVU_Mes_Corriente!EG135*SALUD_Mes_Constante!$EC$1</f>
        <v>421715.46260177984</v>
      </c>
      <c r="EH135" s="8">
        <f>+MINVU_Mes_Corriente!EH135*SALUD_Mes_Constante!$EC$1</f>
        <v>421715.46260177984</v>
      </c>
      <c r="EI135" s="8">
        <f>+MINVU_Mes_Corriente!EI135*SALUD_Mes_Constante!$EC$1</f>
        <v>421715.46260177984</v>
      </c>
      <c r="EJ135" s="8">
        <f>+MINVU_Mes_Corriente!EJ135*SALUD_Mes_Constante!$EC$1</f>
        <v>421715.46260177984</v>
      </c>
      <c r="EK135" s="8">
        <f>+MINVU_Mes_Corriente!EK135*SALUD_Mes_Constante!$EC$1</f>
        <v>421715.46260177984</v>
      </c>
      <c r="EL135" s="8">
        <f>+MINVU_Mes_Corriente!EL135*SALUD_Mes_Constante!$EC$1</f>
        <v>421715.46260177984</v>
      </c>
      <c r="EM135" s="8">
        <f>+MINVU_Mes_Corriente!EM135*SALUD_Mes_Constante!$EC$1</f>
        <v>421715.46260177984</v>
      </c>
      <c r="EN135" s="8">
        <f>+MINVU_Mes_Corriente!EN135*SALUD_Mes_Constante!$EC$1</f>
        <v>421715.46260177984</v>
      </c>
      <c r="EO135" s="9">
        <f t="shared" si="67"/>
        <v>421715.46260177984</v>
      </c>
      <c r="EP135" s="8">
        <f>+MINVU_Mes_Corriente!EP135*SALUD_Mes_Constante!$EP$1</f>
        <v>424788</v>
      </c>
      <c r="EQ135" s="8">
        <f>+MINVU_Mes_Corriente!EQ135*SALUD_Mes_Constante!$EP$1</f>
        <v>424788</v>
      </c>
      <c r="ER135" s="8">
        <f>+MINVU_Mes_Corriente!ER135*SALUD_Mes_Constante!$EP$1</f>
        <v>424788</v>
      </c>
      <c r="ES135" s="8">
        <f>+MINVU_Mes_Corriente!ES135*SALUD_Mes_Constante!$EP$1</f>
        <v>424788</v>
      </c>
      <c r="ET135" s="8">
        <f>+MINVU_Mes_Corriente!ET135*SALUD_Mes_Constante!$EP$1</f>
        <v>424788</v>
      </c>
      <c r="EU135" s="8">
        <f>+MINVU_Mes_Corriente!EU135*SALUD_Mes_Constante!$EP$1</f>
        <v>424788</v>
      </c>
      <c r="EV135" s="8">
        <f>+MINVU_Mes_Corriente!EV135*SALUD_Mes_Constante!$EP$1</f>
        <v>424788</v>
      </c>
      <c r="EW135" s="8">
        <f>+MINVU_Mes_Corriente!EW135*SALUD_Mes_Constante!$EP$1</f>
        <v>424788</v>
      </c>
      <c r="EX135" s="8">
        <f>+MINVU_Mes_Corriente!EX135*SALUD_Mes_Constante!$EP$1</f>
        <v>424788</v>
      </c>
      <c r="EY135" s="8">
        <f>+MINVU_Mes_Corriente!EY135*SALUD_Mes_Constante!$EP$1</f>
        <v>424788</v>
      </c>
      <c r="EZ135" s="8">
        <f>+MINVU_Mes_Corriente!EZ135*SALUD_Mes_Constante!$EP$1</f>
        <v>424788</v>
      </c>
      <c r="FA135" s="8">
        <f>+MINVU_Mes_Corriente!FA135*SALUD_Mes_Constante!$EP$1</f>
        <v>424788</v>
      </c>
      <c r="FB135" s="9">
        <f t="shared" si="68"/>
        <v>424788</v>
      </c>
      <c r="FC135" s="8">
        <f>+MINVU_Mes_Corriente!FC135*SALUD_Mes_Constante!$FC$1</f>
        <v>437957</v>
      </c>
      <c r="FD135" s="8">
        <f>+MINVU_Mes_Corriente!FD135*SALUD_Mes_Constante!$FC$1</f>
        <v>437957</v>
      </c>
      <c r="FE135" s="8">
        <f>+MINVU_Mes_Corriente!FE135*SALUD_Mes_Constante!$FC$1</f>
        <v>437957</v>
      </c>
      <c r="FF135" s="8">
        <f>+MINVU_Mes_Corriente!FF135*SALUD_Mes_Constante!$FC$1</f>
        <v>437957</v>
      </c>
      <c r="FG135" s="8">
        <f>+MINVU_Mes_Corriente!FG135*SALUD_Mes_Constante!$FC$1</f>
        <v>437957</v>
      </c>
      <c r="FH135" s="8">
        <f>+MINVU_Mes_Corriente!FH135*SALUD_Mes_Constante!$FC$1</f>
        <v>437957</v>
      </c>
      <c r="FI135" s="8">
        <f>+MINVU_Mes_Corriente!FI135*SALUD_Mes_Constante!$FC$1</f>
        <v>437957</v>
      </c>
      <c r="FJ135" s="8"/>
      <c r="FK135" s="8"/>
      <c r="FL135" s="8"/>
      <c r="FM135" s="8"/>
      <c r="FN135" s="8"/>
      <c r="FO135" s="9">
        <f t="shared" si="69"/>
        <v>437957</v>
      </c>
    </row>
    <row r="136" spans="2:171" ht="14.25" customHeight="1" x14ac:dyDescent="0.3">
      <c r="B136" s="7" t="s">
        <v>60</v>
      </c>
      <c r="C136" s="8">
        <f>+MINVU_Mes_Corriente!C136*SALUD_Mes_Constante!$C$1</f>
        <v>98761.771615008169</v>
      </c>
      <c r="D136" s="8">
        <f>+MINVU_Mes_Corriente!D136*SALUD_Mes_Constante!$C$1</f>
        <v>98761.771615008169</v>
      </c>
      <c r="E136" s="8">
        <f>+MINVU_Mes_Corriente!E136*SALUD_Mes_Constante!$C$1</f>
        <v>98761.771615008169</v>
      </c>
      <c r="F136" s="8">
        <f>+MINVU_Mes_Corriente!F136*SALUD_Mes_Constante!$C$1</f>
        <v>98761.771615008169</v>
      </c>
      <c r="G136" s="8">
        <f>+MINVU_Mes_Corriente!G136*SALUD_Mes_Constante!$C$1</f>
        <v>98761.771615008169</v>
      </c>
      <c r="H136" s="8">
        <f>+MINVU_Mes_Corriente!H136*SALUD_Mes_Constante!$C$1</f>
        <v>98761.771615008169</v>
      </c>
      <c r="I136" s="8">
        <f>+MINVU_Mes_Corriente!I136*SALUD_Mes_Constante!$C$1</f>
        <v>98761.771615008169</v>
      </c>
      <c r="J136" s="8">
        <f>+MINVU_Mes_Corriente!J136*SALUD_Mes_Constante!$C$1</f>
        <v>98761.771615008169</v>
      </c>
      <c r="K136" s="8">
        <f>+MINVU_Mes_Corriente!K136*SALUD_Mes_Constante!$C$1</f>
        <v>98761.771615008169</v>
      </c>
      <c r="L136" s="8">
        <f>+MINVU_Mes_Corriente!L136*SALUD_Mes_Constante!$C$1</f>
        <v>98761.771615008169</v>
      </c>
      <c r="M136" s="8">
        <f>+MINVU_Mes_Corriente!M136*SALUD_Mes_Constante!$C$1</f>
        <v>98761.771615008169</v>
      </c>
      <c r="N136" s="8">
        <f>+MINVU_Mes_Corriente!N136*SALUD_Mes_Constante!$C$1</f>
        <v>98761.771615008169</v>
      </c>
      <c r="O136" s="9">
        <f t="shared" si="57"/>
        <v>98761.771615008169</v>
      </c>
      <c r="P136" s="8">
        <f>+MINVU_Mes_Corriente!P136*SALUD_Mes_Constante!$P$1</f>
        <v>97447.688592129532</v>
      </c>
      <c r="Q136" s="8">
        <f>+MINVU_Mes_Corriente!Q136*SALUD_Mes_Constante!$P$1</f>
        <v>97447.688592129532</v>
      </c>
      <c r="R136" s="8">
        <f>+MINVU_Mes_Corriente!R136*SALUD_Mes_Constante!$P$1</f>
        <v>97447.688592129532</v>
      </c>
      <c r="S136" s="8">
        <f>+MINVU_Mes_Corriente!S136*SALUD_Mes_Constante!$P$1</f>
        <v>97447.688592129532</v>
      </c>
      <c r="T136" s="8">
        <f>+MINVU_Mes_Corriente!T136*SALUD_Mes_Constante!$P$1</f>
        <v>97447.688592129532</v>
      </c>
      <c r="U136" s="8">
        <f>+MINVU_Mes_Corriente!U136*SALUD_Mes_Constante!$P$1</f>
        <v>97447.688592129532</v>
      </c>
      <c r="V136" s="8">
        <f>+MINVU_Mes_Corriente!V136*SALUD_Mes_Constante!$P$1</f>
        <v>97447.688592129532</v>
      </c>
      <c r="W136" s="8">
        <f>+MINVU_Mes_Corriente!W136*SALUD_Mes_Constante!$P$1</f>
        <v>97447.688592129532</v>
      </c>
      <c r="X136" s="8">
        <f>+MINVU_Mes_Corriente!X136*SALUD_Mes_Constante!$P$1</f>
        <v>97447.688592129532</v>
      </c>
      <c r="Y136" s="8">
        <f>+MINVU_Mes_Corriente!Y136*SALUD_Mes_Constante!$P$1</f>
        <v>97447.688592129532</v>
      </c>
      <c r="Z136" s="8">
        <f>+MINVU_Mes_Corriente!Z136*SALUD_Mes_Constante!$P$1</f>
        <v>97447.688592129532</v>
      </c>
      <c r="AA136" s="8">
        <f>+MINVU_Mes_Corriente!AA136*SALUD_Mes_Constante!$P$1</f>
        <v>97447.688592129532</v>
      </c>
      <c r="AB136" s="9">
        <f t="shared" si="58"/>
        <v>97447.688592129532</v>
      </c>
      <c r="AC136" s="8">
        <f>+MINVU_Mes_Corriente!AC136*SALUD_Mes_Constante!$AC$1</f>
        <v>98492.698298519856</v>
      </c>
      <c r="AD136" s="8">
        <f>+MINVU_Mes_Corriente!AD136*SALUD_Mes_Constante!$AC$1</f>
        <v>98492.698298519856</v>
      </c>
      <c r="AE136" s="8">
        <f>+MINVU_Mes_Corriente!AE136*SALUD_Mes_Constante!$AC$1</f>
        <v>98492.698298519856</v>
      </c>
      <c r="AF136" s="8">
        <f>+MINVU_Mes_Corriente!AF136*SALUD_Mes_Constante!$AC$1</f>
        <v>98492.698298519856</v>
      </c>
      <c r="AG136" s="8">
        <f>+MINVU_Mes_Corriente!AG136*SALUD_Mes_Constante!$AC$1</f>
        <v>98492.698298519856</v>
      </c>
      <c r="AH136" s="8">
        <f>+MINVU_Mes_Corriente!AH136*SALUD_Mes_Constante!$AC$1</f>
        <v>98492.698298519856</v>
      </c>
      <c r="AI136" s="8">
        <f>+MINVU_Mes_Corriente!AI136*SALUD_Mes_Constante!$AC$1</f>
        <v>98492.698298519856</v>
      </c>
      <c r="AJ136" s="8">
        <f>+MINVU_Mes_Corriente!AJ136*SALUD_Mes_Constante!$AC$1</f>
        <v>98492.698298519856</v>
      </c>
      <c r="AK136" s="8">
        <f>+MINVU_Mes_Corriente!AK136*SALUD_Mes_Constante!$AC$1</f>
        <v>98492.698298519856</v>
      </c>
      <c r="AL136" s="8">
        <f>+MINVU_Mes_Corriente!AL136*SALUD_Mes_Constante!$AC$1</f>
        <v>98492.698298519856</v>
      </c>
      <c r="AM136" s="8">
        <f>+MINVU_Mes_Corriente!AM136*SALUD_Mes_Constante!$AC$1</f>
        <v>98492.698298519856</v>
      </c>
      <c r="AN136" s="8">
        <f>+MINVU_Mes_Corriente!AN136*SALUD_Mes_Constante!$AC$1</f>
        <v>98492.698298519856</v>
      </c>
      <c r="AO136" s="9">
        <f t="shared" si="59"/>
        <v>98492.698298519856</v>
      </c>
      <c r="AP136" s="8">
        <f>+MINVU_Mes_Corriente!AP136*SALUD_Mes_Constante!$AP$1</f>
        <v>99197.084539429183</v>
      </c>
      <c r="AQ136" s="8">
        <f>+MINVU_Mes_Corriente!AQ136*SALUD_Mes_Constante!$AP$1</f>
        <v>99197.084539429183</v>
      </c>
      <c r="AR136" s="8">
        <f>+MINVU_Mes_Corriente!AR136*SALUD_Mes_Constante!$AP$1</f>
        <v>99197.084539429183</v>
      </c>
      <c r="AS136" s="8">
        <f>+MINVU_Mes_Corriente!AS136*SALUD_Mes_Constante!$AP$1</f>
        <v>99197.084539429183</v>
      </c>
      <c r="AT136" s="8">
        <f>+MINVU_Mes_Corriente!AT136*SALUD_Mes_Constante!$AP$1</f>
        <v>99197.084539429183</v>
      </c>
      <c r="AU136" s="8">
        <f>+MINVU_Mes_Corriente!AU136*SALUD_Mes_Constante!$AP$1</f>
        <v>99197.084539429183</v>
      </c>
      <c r="AV136" s="8">
        <f>+MINVU_Mes_Corriente!AV136*SALUD_Mes_Constante!$AP$1</f>
        <v>99197.084539429183</v>
      </c>
      <c r="AW136" s="8">
        <f>+MINVU_Mes_Corriente!AW136*SALUD_Mes_Constante!$AP$1</f>
        <v>99197.084539429183</v>
      </c>
      <c r="AX136" s="8">
        <f>+MINVU_Mes_Corriente!AX136*SALUD_Mes_Constante!$AP$1</f>
        <v>99197.084539429183</v>
      </c>
      <c r="AY136" s="8">
        <f>+MINVU_Mes_Corriente!AY136*SALUD_Mes_Constante!$AP$1</f>
        <v>99197.084539429183</v>
      </c>
      <c r="AZ136" s="8">
        <f>+MINVU_Mes_Corriente!AZ136*SALUD_Mes_Constante!$AP$1</f>
        <v>99197.084539429183</v>
      </c>
      <c r="BA136" s="8">
        <f>+MINVU_Mes_Corriente!BA136*SALUD_Mes_Constante!$AP$1</f>
        <v>99197.084539429183</v>
      </c>
      <c r="BB136" s="9">
        <f t="shared" si="60"/>
        <v>99197.084539429183</v>
      </c>
      <c r="BC136" s="8">
        <f>+MINVU_Mes_Corriente!BC136*SALUD_Mes_Constante!$BC$1</f>
        <v>99225.88896215221</v>
      </c>
      <c r="BD136" s="8">
        <f>+MINVU_Mes_Corriente!BD136*SALUD_Mes_Constante!$BC$1</f>
        <v>99225.88896215221</v>
      </c>
      <c r="BE136" s="8">
        <f>+MINVU_Mes_Corriente!BE136*SALUD_Mes_Constante!$BC$1</f>
        <v>99225.88896215221</v>
      </c>
      <c r="BF136" s="8">
        <f>+MINVU_Mes_Corriente!BF136*SALUD_Mes_Constante!$BC$1</f>
        <v>99225.88896215221</v>
      </c>
      <c r="BG136" s="8">
        <f>+MINVU_Mes_Corriente!BG136*SALUD_Mes_Constante!$BC$1</f>
        <v>99225.88896215221</v>
      </c>
      <c r="BH136" s="8">
        <f>+MINVU_Mes_Corriente!BH136*SALUD_Mes_Constante!$BC$1</f>
        <v>99225.88896215221</v>
      </c>
      <c r="BI136" s="8">
        <f>+MINVU_Mes_Corriente!BI136*SALUD_Mes_Constante!$BC$1</f>
        <v>99225.88896215221</v>
      </c>
      <c r="BJ136" s="8">
        <f>+MINVU_Mes_Corriente!BJ136*SALUD_Mes_Constante!$BC$1</f>
        <v>99225.88896215221</v>
      </c>
      <c r="BK136" s="8">
        <f>+MINVU_Mes_Corriente!BK136*SALUD_Mes_Constante!$BC$1</f>
        <v>99225.88896215221</v>
      </c>
      <c r="BL136" s="8">
        <f>+MINVU_Mes_Corriente!BL136*SALUD_Mes_Constante!$BC$1</f>
        <v>99225.88896215221</v>
      </c>
      <c r="BM136" s="8">
        <f>+MINVU_Mes_Corriente!BM136*SALUD_Mes_Constante!$BC$1</f>
        <v>99225.88896215221</v>
      </c>
      <c r="BN136" s="8">
        <f>+MINVU_Mes_Corriente!BN136*SALUD_Mes_Constante!$BC$1</f>
        <v>99225.88896215221</v>
      </c>
      <c r="BO136" s="9">
        <f t="shared" si="61"/>
        <v>99225.88896215221</v>
      </c>
      <c r="BP136" s="8">
        <f>+MINVU_Mes_Corriente!BP136*SALUD_Mes_Constante!$BP$1</f>
        <v>0</v>
      </c>
      <c r="BQ136" s="8">
        <f>+MINVU_Mes_Corriente!BQ136*SALUD_Mes_Constante!$BP$1</f>
        <v>0</v>
      </c>
      <c r="BR136" s="8">
        <f>+MINVU_Mes_Corriente!BR136*SALUD_Mes_Constante!$BP$1</f>
        <v>0</v>
      </c>
      <c r="BS136" s="8">
        <f>+MINVU_Mes_Corriente!BS136*SALUD_Mes_Constante!$BP$1</f>
        <v>0</v>
      </c>
      <c r="BT136" s="8">
        <f>+MINVU_Mes_Corriente!BT136*SALUD_Mes_Constante!$BP$1</f>
        <v>0</v>
      </c>
      <c r="BU136" s="8">
        <f>+MINVU_Mes_Corriente!BU136*SALUD_Mes_Constante!$BP$1</f>
        <v>0</v>
      </c>
      <c r="BV136" s="8">
        <f>+MINVU_Mes_Corriente!BV136*SALUD_Mes_Constante!$BP$1</f>
        <v>0</v>
      </c>
      <c r="BW136" s="8">
        <f>+MINVU_Mes_Corriente!BW136*SALUD_Mes_Constante!$BP$1</f>
        <v>0</v>
      </c>
      <c r="BX136" s="8">
        <f>+MINVU_Mes_Corriente!BX136*SALUD_Mes_Constante!$BP$1</f>
        <v>0</v>
      </c>
      <c r="BY136" s="8">
        <f>+MINVU_Mes_Corriente!BY136*SALUD_Mes_Constante!$BP$1</f>
        <v>0</v>
      </c>
      <c r="BZ136" s="8">
        <f>+MINVU_Mes_Corriente!BZ136*SALUD_Mes_Constante!$BP$1</f>
        <v>0</v>
      </c>
      <c r="CA136" s="8">
        <f>+MINVU_Mes_Corriente!CA136*SALUD_Mes_Constante!$BP$1</f>
        <v>0</v>
      </c>
      <c r="CB136" s="9">
        <f t="shared" si="62"/>
        <v>0</v>
      </c>
      <c r="CC136" s="8">
        <f>+MINVU_Mes_Corriente!CC136*SALUD_Mes_Constante!$CC$1</f>
        <v>41875.528534129058</v>
      </c>
      <c r="CD136" s="8">
        <f>+MINVU_Mes_Corriente!CD136*SALUD_Mes_Constante!$CC$1</f>
        <v>41875.528534129058</v>
      </c>
      <c r="CE136" s="8">
        <f>+MINVU_Mes_Corriente!CE136*SALUD_Mes_Constante!$CC$1</f>
        <v>41875.528534129058</v>
      </c>
      <c r="CF136" s="8">
        <f>+MINVU_Mes_Corriente!CF136*SALUD_Mes_Constante!$CC$1</f>
        <v>41875.528534129058</v>
      </c>
      <c r="CG136" s="8">
        <f>+MINVU_Mes_Corriente!CG136*SALUD_Mes_Constante!$CC$1</f>
        <v>41875.528534129058</v>
      </c>
      <c r="CH136" s="8">
        <f>+MINVU_Mes_Corriente!CH136*SALUD_Mes_Constante!$CC$1</f>
        <v>41875.528534129058</v>
      </c>
      <c r="CI136" s="8">
        <f>+MINVU_Mes_Corriente!CI136*SALUD_Mes_Constante!$CC$1</f>
        <v>41875.528534129058</v>
      </c>
      <c r="CJ136" s="8">
        <f>+MINVU_Mes_Corriente!CJ136*SALUD_Mes_Constante!$CC$1</f>
        <v>41875.528534129058</v>
      </c>
      <c r="CK136" s="8">
        <f>+MINVU_Mes_Corriente!CK136*SALUD_Mes_Constante!$CC$1</f>
        <v>41875.528534129058</v>
      </c>
      <c r="CL136" s="8">
        <f>+MINVU_Mes_Corriente!CL136*SALUD_Mes_Constante!$CC$1</f>
        <v>41875.528534129058</v>
      </c>
      <c r="CM136" s="8">
        <f>+MINVU_Mes_Corriente!CM136*SALUD_Mes_Constante!$CC$1</f>
        <v>41875.528534129058</v>
      </c>
      <c r="CN136" s="8">
        <f>+MINVU_Mes_Corriente!CN136*SALUD_Mes_Constante!$CC$1</f>
        <v>41875.528534129058</v>
      </c>
      <c r="CO136" s="9">
        <f t="shared" si="63"/>
        <v>41875.528534129058</v>
      </c>
      <c r="CP136" s="8">
        <f>+MINVU_Mes_Corriente!CP136*SALUD_Mes_Constante!$CP$1</f>
        <v>170413.91206496517</v>
      </c>
      <c r="CQ136" s="8">
        <f>+MINVU_Mes_Corriente!CQ136*SALUD_Mes_Constante!$CP$1</f>
        <v>170413.91206496517</v>
      </c>
      <c r="CR136" s="8">
        <f>+MINVU_Mes_Corriente!CR136*SALUD_Mes_Constante!$CP$1</f>
        <v>170413.91206496517</v>
      </c>
      <c r="CS136" s="8">
        <f>+MINVU_Mes_Corriente!CS136*SALUD_Mes_Constante!$CP$1</f>
        <v>170413.91206496517</v>
      </c>
      <c r="CT136" s="8">
        <f>+MINVU_Mes_Corriente!CT136*SALUD_Mes_Constante!$CP$1</f>
        <v>170413.91206496517</v>
      </c>
      <c r="CU136" s="8">
        <f>+MINVU_Mes_Corriente!CU136*SALUD_Mes_Constante!$CP$1</f>
        <v>170413.91206496517</v>
      </c>
      <c r="CV136" s="8">
        <f>+MINVU_Mes_Corriente!CV136*SALUD_Mes_Constante!$CP$1</f>
        <v>170413.91206496517</v>
      </c>
      <c r="CW136" s="8">
        <f>+MINVU_Mes_Corriente!CW136*SALUD_Mes_Constante!$CP$1</f>
        <v>170413.91206496517</v>
      </c>
      <c r="CX136" s="8">
        <f>+MINVU_Mes_Corriente!CX136*SALUD_Mes_Constante!$CP$1</f>
        <v>170413.91206496517</v>
      </c>
      <c r="CY136" s="8">
        <f>+MINVU_Mes_Corriente!CY136*SALUD_Mes_Constante!$CP$1</f>
        <v>170413.91206496517</v>
      </c>
      <c r="CZ136" s="8">
        <f>+MINVU_Mes_Corriente!CZ136*SALUD_Mes_Constante!$CP$1</f>
        <v>170413.91206496517</v>
      </c>
      <c r="DA136" s="8">
        <f>+MINVU_Mes_Corriente!DA136*SALUD_Mes_Constante!$CP$1</f>
        <v>170413.91206496517</v>
      </c>
      <c r="DB136" s="9">
        <f t="shared" si="64"/>
        <v>170413.91206496517</v>
      </c>
      <c r="DC136" s="8">
        <f>+MINVU_Mes_Corriente!DC136*SALUD_Mes_Constante!$DC$1</f>
        <v>216112.48102047126</v>
      </c>
      <c r="DD136" s="8">
        <f>+MINVU_Mes_Corriente!DD136*SALUD_Mes_Constante!$DC$1</f>
        <v>216112.48102047126</v>
      </c>
      <c r="DE136" s="8">
        <f>+MINVU_Mes_Corriente!DE136*SALUD_Mes_Constante!$DC$1</f>
        <v>216112.48102047126</v>
      </c>
      <c r="DF136" s="8">
        <f>+MINVU_Mes_Corriente!DF136*SALUD_Mes_Constante!$DC$1</f>
        <v>216112.48102047126</v>
      </c>
      <c r="DG136" s="8">
        <f>+MINVU_Mes_Corriente!DG136*SALUD_Mes_Constante!$DC$1</f>
        <v>216112.48102047126</v>
      </c>
      <c r="DH136" s="8">
        <f>+MINVU_Mes_Corriente!DH136*SALUD_Mes_Constante!$DC$1</f>
        <v>216112.48102047126</v>
      </c>
      <c r="DI136" s="8">
        <f>+MINVU_Mes_Corriente!DI136*SALUD_Mes_Constante!$DC$1</f>
        <v>216112.48102047126</v>
      </c>
      <c r="DJ136" s="8">
        <f>+MINVU_Mes_Corriente!DJ136*SALUD_Mes_Constante!$DC$1</f>
        <v>216112.48102047126</v>
      </c>
      <c r="DK136" s="8">
        <f>+MINVU_Mes_Corriente!DK136*SALUD_Mes_Constante!$DC$1</f>
        <v>216112.48102047126</v>
      </c>
      <c r="DL136" s="8">
        <f>+MINVU_Mes_Corriente!DL136*SALUD_Mes_Constante!$DC$1</f>
        <v>216112.48102047126</v>
      </c>
      <c r="DM136" s="8">
        <f>+MINVU_Mes_Corriente!DM136*SALUD_Mes_Constante!$DC$1</f>
        <v>216112.48102047126</v>
      </c>
      <c r="DN136" s="8">
        <f>+MINVU_Mes_Corriente!DN136*SALUD_Mes_Constante!$DC$1</f>
        <v>216112.48102047126</v>
      </c>
      <c r="DO136" s="9">
        <f t="shared" si="65"/>
        <v>216112.48102047126</v>
      </c>
      <c r="DP136" s="8">
        <f>+MINVU_Mes_Corriente!DP136*SALUD_Mes_Constante!$DP$1</f>
        <v>221020.09026128269</v>
      </c>
      <c r="DQ136" s="8">
        <f>+MINVU_Mes_Corriente!DQ136*SALUD_Mes_Constante!$DP$1</f>
        <v>221020.09026128269</v>
      </c>
      <c r="DR136" s="8">
        <f>+MINVU_Mes_Corriente!DR136*SALUD_Mes_Constante!$DP$1</f>
        <v>221020.09026128269</v>
      </c>
      <c r="DS136" s="8">
        <f>+MINVU_Mes_Corriente!DS136*SALUD_Mes_Constante!$DP$1</f>
        <v>221020.09026128269</v>
      </c>
      <c r="DT136" s="8">
        <f>+MINVU_Mes_Corriente!DT136*SALUD_Mes_Constante!$DP$1</f>
        <v>221020.09026128269</v>
      </c>
      <c r="DU136" s="8">
        <f>+MINVU_Mes_Corriente!DU136*SALUD_Mes_Constante!$DP$1</f>
        <v>221020.09026128269</v>
      </c>
      <c r="DV136" s="8">
        <f>+MINVU_Mes_Corriente!DV136*SALUD_Mes_Constante!$DP$1</f>
        <v>221020.09026128269</v>
      </c>
      <c r="DW136" s="8">
        <f>+MINVU_Mes_Corriente!DW136*SALUD_Mes_Constante!$DP$1</f>
        <v>221020.09026128269</v>
      </c>
      <c r="DX136" s="8">
        <f>+MINVU_Mes_Corriente!DX136*SALUD_Mes_Constante!$DP$1</f>
        <v>221020.09026128269</v>
      </c>
      <c r="DY136" s="8">
        <f>+MINVU_Mes_Corriente!DY136*SALUD_Mes_Constante!$DP$1</f>
        <v>221020.09026128269</v>
      </c>
      <c r="DZ136" s="8">
        <f>+MINVU_Mes_Corriente!DZ136*SALUD_Mes_Constante!$DP$1</f>
        <v>221020.09026128269</v>
      </c>
      <c r="EA136" s="8">
        <f>+MINVU_Mes_Corriente!EA136*SALUD_Mes_Constante!$DP$1</f>
        <v>221020.09026128269</v>
      </c>
      <c r="EB136" s="9">
        <f t="shared" si="66"/>
        <v>221020.09026128269</v>
      </c>
      <c r="EC136" s="8">
        <f>+MINVU_Mes_Corriente!EC136*SALUD_Mes_Constante!$EC$1</f>
        <v>193665.98788108307</v>
      </c>
      <c r="ED136" s="8">
        <f>+MINVU_Mes_Corriente!ED136*SALUD_Mes_Constante!$EC$1</f>
        <v>193665.98788108307</v>
      </c>
      <c r="EE136" s="8">
        <f>+MINVU_Mes_Corriente!EE136*SALUD_Mes_Constante!$EC$1</f>
        <v>193665.98788108307</v>
      </c>
      <c r="EF136" s="8">
        <f>+MINVU_Mes_Corriente!EF136*SALUD_Mes_Constante!$EC$1</f>
        <v>193665.98788108307</v>
      </c>
      <c r="EG136" s="8">
        <f>+MINVU_Mes_Corriente!EG136*SALUD_Mes_Constante!$EC$1</f>
        <v>193665.98788108307</v>
      </c>
      <c r="EH136" s="8">
        <f>+MINVU_Mes_Corriente!EH136*SALUD_Mes_Constante!$EC$1</f>
        <v>193665.98788108307</v>
      </c>
      <c r="EI136" s="8">
        <f>+MINVU_Mes_Corriente!EI136*SALUD_Mes_Constante!$EC$1</f>
        <v>193665.98788108307</v>
      </c>
      <c r="EJ136" s="8">
        <f>+MINVU_Mes_Corriente!EJ136*SALUD_Mes_Constante!$EC$1</f>
        <v>193665.98788108307</v>
      </c>
      <c r="EK136" s="8">
        <f>+MINVU_Mes_Corriente!EK136*SALUD_Mes_Constante!$EC$1</f>
        <v>193665.98788108307</v>
      </c>
      <c r="EL136" s="8">
        <f>+MINVU_Mes_Corriente!EL136*SALUD_Mes_Constante!$EC$1</f>
        <v>193665.98788108307</v>
      </c>
      <c r="EM136" s="8">
        <f>+MINVU_Mes_Corriente!EM136*SALUD_Mes_Constante!$EC$1</f>
        <v>193665.98788108307</v>
      </c>
      <c r="EN136" s="8">
        <f>+MINVU_Mes_Corriente!EN136*SALUD_Mes_Constante!$EC$1</f>
        <v>193665.98788108307</v>
      </c>
      <c r="EO136" s="9">
        <f t="shared" si="67"/>
        <v>193665.98788108307</v>
      </c>
      <c r="EP136" s="8">
        <f>+MINVU_Mes_Corriente!EP136*SALUD_Mes_Constante!$EP$1</f>
        <v>195077</v>
      </c>
      <c r="EQ136" s="8">
        <f>+MINVU_Mes_Corriente!EQ136*SALUD_Mes_Constante!$EP$1</f>
        <v>195077</v>
      </c>
      <c r="ER136" s="8">
        <f>+MINVU_Mes_Corriente!ER136*SALUD_Mes_Constante!$EP$1</f>
        <v>195077</v>
      </c>
      <c r="ES136" s="8">
        <f>+MINVU_Mes_Corriente!ES136*SALUD_Mes_Constante!$EP$1</f>
        <v>195077</v>
      </c>
      <c r="ET136" s="8">
        <f>+MINVU_Mes_Corriente!ET136*SALUD_Mes_Constante!$EP$1</f>
        <v>195077</v>
      </c>
      <c r="EU136" s="8">
        <f>+MINVU_Mes_Corriente!EU136*SALUD_Mes_Constante!$EP$1</f>
        <v>195077</v>
      </c>
      <c r="EV136" s="8">
        <f>+MINVU_Mes_Corriente!EV136*SALUD_Mes_Constante!$EP$1</f>
        <v>195077</v>
      </c>
      <c r="EW136" s="8">
        <f>+MINVU_Mes_Corriente!EW136*SALUD_Mes_Constante!$EP$1</f>
        <v>195077</v>
      </c>
      <c r="EX136" s="8">
        <f>+MINVU_Mes_Corriente!EX136*SALUD_Mes_Constante!$EP$1</f>
        <v>195077</v>
      </c>
      <c r="EY136" s="8">
        <f>+MINVU_Mes_Corriente!EY136*SALUD_Mes_Constante!$EP$1</f>
        <v>195077</v>
      </c>
      <c r="EZ136" s="8">
        <f>+MINVU_Mes_Corriente!EZ136*SALUD_Mes_Constante!$EP$1</f>
        <v>195077</v>
      </c>
      <c r="FA136" s="8">
        <f>+MINVU_Mes_Corriente!FA136*SALUD_Mes_Constante!$EP$1</f>
        <v>195077</v>
      </c>
      <c r="FB136" s="9">
        <f t="shared" si="68"/>
        <v>195077</v>
      </c>
      <c r="FC136" s="8">
        <f>+MINVU_Mes_Corriente!FC136*SALUD_Mes_Constante!$FC$1</f>
        <v>201125</v>
      </c>
      <c r="FD136" s="8">
        <f>+MINVU_Mes_Corriente!FD136*SALUD_Mes_Constante!$FC$1</f>
        <v>201125</v>
      </c>
      <c r="FE136" s="8">
        <f>+MINVU_Mes_Corriente!FE136*SALUD_Mes_Constante!$FC$1</f>
        <v>201125</v>
      </c>
      <c r="FF136" s="8">
        <f>+MINVU_Mes_Corriente!FF136*SALUD_Mes_Constante!$FC$1</f>
        <v>201125</v>
      </c>
      <c r="FG136" s="8">
        <f>+MINVU_Mes_Corriente!FG136*SALUD_Mes_Constante!$FC$1</f>
        <v>201125</v>
      </c>
      <c r="FH136" s="8">
        <f>+MINVU_Mes_Corriente!FH136*SALUD_Mes_Constante!$FC$1</f>
        <v>201125</v>
      </c>
      <c r="FI136" s="8">
        <f>+MINVU_Mes_Corriente!FI136*SALUD_Mes_Constante!$FC$1</f>
        <v>201125</v>
      </c>
      <c r="FJ136" s="8"/>
      <c r="FK136" s="8"/>
      <c r="FL136" s="8"/>
      <c r="FM136" s="8"/>
      <c r="FN136" s="8"/>
      <c r="FO136" s="9">
        <f t="shared" si="69"/>
        <v>201125</v>
      </c>
    </row>
    <row r="137" spans="2:171" ht="14.25" customHeight="1" x14ac:dyDescent="0.3">
      <c r="B137" s="7" t="s">
        <v>61</v>
      </c>
      <c r="C137" s="8">
        <f>+MINVU_Mes_Corriente!C137*SALUD_Mes_Constante!$C$1</f>
        <v>159860.19694498001</v>
      </c>
      <c r="D137" s="8">
        <f>+MINVU_Mes_Corriente!D137*SALUD_Mes_Constante!$C$1</f>
        <v>159860.19694498001</v>
      </c>
      <c r="E137" s="8">
        <f>+MINVU_Mes_Corriente!E137*SALUD_Mes_Constante!$C$1</f>
        <v>159860.19694498001</v>
      </c>
      <c r="F137" s="8">
        <f>+MINVU_Mes_Corriente!F137*SALUD_Mes_Constante!$C$1</f>
        <v>159860.19694498001</v>
      </c>
      <c r="G137" s="8">
        <f>+MINVU_Mes_Corriente!G137*SALUD_Mes_Constante!$C$1</f>
        <v>159860.19694498001</v>
      </c>
      <c r="H137" s="8">
        <f>+MINVU_Mes_Corriente!H137*SALUD_Mes_Constante!$C$1</f>
        <v>159860.19694498001</v>
      </c>
      <c r="I137" s="8">
        <f>+MINVU_Mes_Corriente!I137*SALUD_Mes_Constante!$C$1</f>
        <v>159860.19694498001</v>
      </c>
      <c r="J137" s="8">
        <f>+MINVU_Mes_Corriente!J137*SALUD_Mes_Constante!$C$1</f>
        <v>159860.19694498001</v>
      </c>
      <c r="K137" s="8">
        <f>+MINVU_Mes_Corriente!K137*SALUD_Mes_Constante!$C$1</f>
        <v>159860.19694498001</v>
      </c>
      <c r="L137" s="8">
        <f>+MINVU_Mes_Corriente!L137*SALUD_Mes_Constante!$C$1</f>
        <v>159860.19694498001</v>
      </c>
      <c r="M137" s="8">
        <f>+MINVU_Mes_Corriente!M137*SALUD_Mes_Constante!$C$1</f>
        <v>159860.19694498001</v>
      </c>
      <c r="N137" s="8">
        <f>+MINVU_Mes_Corriente!N137*SALUD_Mes_Constante!$C$1</f>
        <v>159860.19694498001</v>
      </c>
      <c r="O137" s="9">
        <f t="shared" si="57"/>
        <v>159860.19694498001</v>
      </c>
      <c r="P137" s="8">
        <f>+MINVU_Mes_Corriente!P137*SALUD_Mes_Constante!$P$1</f>
        <v>157732.3864185253</v>
      </c>
      <c r="Q137" s="8">
        <f>+MINVU_Mes_Corriente!Q137*SALUD_Mes_Constante!$P$1</f>
        <v>157732.3864185253</v>
      </c>
      <c r="R137" s="8">
        <f>+MINVU_Mes_Corriente!R137*SALUD_Mes_Constante!$P$1</f>
        <v>157732.3864185253</v>
      </c>
      <c r="S137" s="8">
        <f>+MINVU_Mes_Corriente!S137*SALUD_Mes_Constante!$P$1</f>
        <v>157732.3864185253</v>
      </c>
      <c r="T137" s="8">
        <f>+MINVU_Mes_Corriente!T137*SALUD_Mes_Constante!$P$1</f>
        <v>157732.3864185253</v>
      </c>
      <c r="U137" s="8">
        <f>+MINVU_Mes_Corriente!U137*SALUD_Mes_Constante!$P$1</f>
        <v>157732.3864185253</v>
      </c>
      <c r="V137" s="8">
        <f>+MINVU_Mes_Corriente!V137*SALUD_Mes_Constante!$P$1</f>
        <v>157732.3864185253</v>
      </c>
      <c r="W137" s="8">
        <f>+MINVU_Mes_Corriente!W137*SALUD_Mes_Constante!$P$1</f>
        <v>157732.3864185253</v>
      </c>
      <c r="X137" s="8">
        <f>+MINVU_Mes_Corriente!X137*SALUD_Mes_Constante!$P$1</f>
        <v>157732.3864185253</v>
      </c>
      <c r="Y137" s="8">
        <f>+MINVU_Mes_Corriente!Y137*SALUD_Mes_Constante!$P$1</f>
        <v>157732.3864185253</v>
      </c>
      <c r="Z137" s="8">
        <f>+MINVU_Mes_Corriente!Z137*SALUD_Mes_Constante!$P$1</f>
        <v>157732.3864185253</v>
      </c>
      <c r="AA137" s="8">
        <f>+MINVU_Mes_Corriente!AA137*SALUD_Mes_Constante!$P$1</f>
        <v>157732.3864185253</v>
      </c>
      <c r="AB137" s="9">
        <f t="shared" si="58"/>
        <v>157732.3864185253</v>
      </c>
      <c r="AC137" s="8">
        <f>+MINVU_Mes_Corriente!AC137*SALUD_Mes_Constante!$AC$1</f>
        <v>159422.2650435745</v>
      </c>
      <c r="AD137" s="8">
        <f>+MINVU_Mes_Corriente!AD137*SALUD_Mes_Constante!$AC$1</f>
        <v>159422.2650435745</v>
      </c>
      <c r="AE137" s="8">
        <f>+MINVU_Mes_Corriente!AE137*SALUD_Mes_Constante!$AC$1</f>
        <v>159422.2650435745</v>
      </c>
      <c r="AF137" s="8">
        <f>+MINVU_Mes_Corriente!AF137*SALUD_Mes_Constante!$AC$1</f>
        <v>159422.2650435745</v>
      </c>
      <c r="AG137" s="8">
        <f>+MINVU_Mes_Corriente!AG137*SALUD_Mes_Constante!$AC$1</f>
        <v>159422.2650435745</v>
      </c>
      <c r="AH137" s="8">
        <f>+MINVU_Mes_Corriente!AH137*SALUD_Mes_Constante!$AC$1</f>
        <v>159422.2650435745</v>
      </c>
      <c r="AI137" s="8">
        <f>+MINVU_Mes_Corriente!AI137*SALUD_Mes_Constante!$AC$1</f>
        <v>159422.2650435745</v>
      </c>
      <c r="AJ137" s="8">
        <f>+MINVU_Mes_Corriente!AJ137*SALUD_Mes_Constante!$AC$1</f>
        <v>159422.2650435745</v>
      </c>
      <c r="AK137" s="8">
        <f>+MINVU_Mes_Corriente!AK137*SALUD_Mes_Constante!$AC$1</f>
        <v>159422.2650435745</v>
      </c>
      <c r="AL137" s="8">
        <f>+MINVU_Mes_Corriente!AL137*SALUD_Mes_Constante!$AC$1</f>
        <v>159422.2650435745</v>
      </c>
      <c r="AM137" s="8">
        <f>+MINVU_Mes_Corriente!AM137*SALUD_Mes_Constante!$AC$1</f>
        <v>159422.2650435745</v>
      </c>
      <c r="AN137" s="8">
        <f>+MINVU_Mes_Corriente!AN137*SALUD_Mes_Constante!$AC$1</f>
        <v>159422.2650435745</v>
      </c>
      <c r="AO137" s="9">
        <f t="shared" si="59"/>
        <v>159422.2650435745</v>
      </c>
      <c r="AP137" s="8">
        <f>+MINVU_Mes_Corriente!AP137*SALUD_Mes_Constante!$AP$1</f>
        <v>160561.80413905045</v>
      </c>
      <c r="AQ137" s="8">
        <f>+MINVU_Mes_Corriente!AQ137*SALUD_Mes_Constante!$AP$1</f>
        <v>160561.80413905045</v>
      </c>
      <c r="AR137" s="8">
        <f>+MINVU_Mes_Corriente!AR137*SALUD_Mes_Constante!$AP$1</f>
        <v>160561.80413905045</v>
      </c>
      <c r="AS137" s="8">
        <f>+MINVU_Mes_Corriente!AS137*SALUD_Mes_Constante!$AP$1</f>
        <v>160561.80413905045</v>
      </c>
      <c r="AT137" s="8">
        <f>+MINVU_Mes_Corriente!AT137*SALUD_Mes_Constante!$AP$1</f>
        <v>160561.80413905045</v>
      </c>
      <c r="AU137" s="8">
        <f>+MINVU_Mes_Corriente!AU137*SALUD_Mes_Constante!$AP$1</f>
        <v>160561.80413905045</v>
      </c>
      <c r="AV137" s="8">
        <f>+MINVU_Mes_Corriente!AV137*SALUD_Mes_Constante!$AP$1</f>
        <v>160561.80413905045</v>
      </c>
      <c r="AW137" s="8">
        <f>+MINVU_Mes_Corriente!AW137*SALUD_Mes_Constante!$AP$1</f>
        <v>160561.80413905045</v>
      </c>
      <c r="AX137" s="8">
        <f>+MINVU_Mes_Corriente!AX137*SALUD_Mes_Constante!$AP$1</f>
        <v>160561.80413905045</v>
      </c>
      <c r="AY137" s="8">
        <f>+MINVU_Mes_Corriente!AY137*SALUD_Mes_Constante!$AP$1</f>
        <v>160561.80413905045</v>
      </c>
      <c r="AZ137" s="8">
        <f>+MINVU_Mes_Corriente!AZ137*SALUD_Mes_Constante!$AP$1</f>
        <v>160561.80413905045</v>
      </c>
      <c r="BA137" s="8">
        <f>+MINVU_Mes_Corriente!BA137*SALUD_Mes_Constante!$AP$1</f>
        <v>160561.80413905045</v>
      </c>
      <c r="BB137" s="9">
        <f t="shared" si="60"/>
        <v>160561.80413905045</v>
      </c>
      <c r="BC137" s="8">
        <f>+MINVU_Mes_Corriente!BC137*SALUD_Mes_Constante!$BC$1</f>
        <v>160609.17420545963</v>
      </c>
      <c r="BD137" s="8">
        <f>+MINVU_Mes_Corriente!BD137*SALUD_Mes_Constante!$BC$1</f>
        <v>160609.17420545963</v>
      </c>
      <c r="BE137" s="8">
        <f>+MINVU_Mes_Corriente!BE137*SALUD_Mes_Constante!$BC$1</f>
        <v>160609.17420545963</v>
      </c>
      <c r="BF137" s="8">
        <f>+MINVU_Mes_Corriente!BF137*SALUD_Mes_Constante!$BC$1</f>
        <v>160609.17420545963</v>
      </c>
      <c r="BG137" s="8">
        <f>+MINVU_Mes_Corriente!BG137*SALUD_Mes_Constante!$BC$1</f>
        <v>160609.17420545963</v>
      </c>
      <c r="BH137" s="8">
        <f>+MINVU_Mes_Corriente!BH137*SALUD_Mes_Constante!$BC$1</f>
        <v>160609.17420545963</v>
      </c>
      <c r="BI137" s="8">
        <f>+MINVU_Mes_Corriente!BI137*SALUD_Mes_Constante!$BC$1</f>
        <v>160609.17420545963</v>
      </c>
      <c r="BJ137" s="8">
        <f>+MINVU_Mes_Corriente!BJ137*SALUD_Mes_Constante!$BC$1</f>
        <v>160609.17420545963</v>
      </c>
      <c r="BK137" s="8">
        <f>+MINVU_Mes_Corriente!BK137*SALUD_Mes_Constante!$BC$1</f>
        <v>160609.17420545963</v>
      </c>
      <c r="BL137" s="8">
        <f>+MINVU_Mes_Corriente!BL137*SALUD_Mes_Constante!$BC$1</f>
        <v>160609.17420545963</v>
      </c>
      <c r="BM137" s="8">
        <f>+MINVU_Mes_Corriente!BM137*SALUD_Mes_Constante!$BC$1</f>
        <v>160609.17420545963</v>
      </c>
      <c r="BN137" s="8">
        <f>+MINVU_Mes_Corriente!BN137*SALUD_Mes_Constante!$BC$1</f>
        <v>160609.17420545963</v>
      </c>
      <c r="BO137" s="9">
        <f t="shared" si="61"/>
        <v>160609.17420545963</v>
      </c>
      <c r="BP137" s="8">
        <f>+MINVU_Mes_Corriente!BP137*SALUD_Mes_Constante!$BP$1</f>
        <v>0</v>
      </c>
      <c r="BQ137" s="8">
        <f>+MINVU_Mes_Corriente!BQ137*SALUD_Mes_Constante!$BP$1</f>
        <v>0</v>
      </c>
      <c r="BR137" s="8">
        <f>+MINVU_Mes_Corriente!BR137*SALUD_Mes_Constante!$BP$1</f>
        <v>0</v>
      </c>
      <c r="BS137" s="8">
        <f>+MINVU_Mes_Corriente!BS137*SALUD_Mes_Constante!$BP$1</f>
        <v>0</v>
      </c>
      <c r="BT137" s="8">
        <f>+MINVU_Mes_Corriente!BT137*SALUD_Mes_Constante!$BP$1</f>
        <v>0</v>
      </c>
      <c r="BU137" s="8">
        <f>+MINVU_Mes_Corriente!BU137*SALUD_Mes_Constante!$BP$1</f>
        <v>0</v>
      </c>
      <c r="BV137" s="8">
        <f>+MINVU_Mes_Corriente!BV137*SALUD_Mes_Constante!$BP$1</f>
        <v>0</v>
      </c>
      <c r="BW137" s="8">
        <f>+MINVU_Mes_Corriente!BW137*SALUD_Mes_Constante!$BP$1</f>
        <v>0</v>
      </c>
      <c r="BX137" s="8">
        <f>+MINVU_Mes_Corriente!BX137*SALUD_Mes_Constante!$BP$1</f>
        <v>0</v>
      </c>
      <c r="BY137" s="8">
        <f>+MINVU_Mes_Corriente!BY137*SALUD_Mes_Constante!$BP$1</f>
        <v>0</v>
      </c>
      <c r="BZ137" s="8">
        <f>+MINVU_Mes_Corriente!BZ137*SALUD_Mes_Constante!$BP$1</f>
        <v>0</v>
      </c>
      <c r="CA137" s="8">
        <f>+MINVU_Mes_Corriente!CA137*SALUD_Mes_Constante!$BP$1</f>
        <v>0</v>
      </c>
      <c r="CB137" s="9">
        <f t="shared" si="62"/>
        <v>0</v>
      </c>
      <c r="CC137" s="8">
        <f>+MINVU_Mes_Corriente!CC137*SALUD_Mes_Constante!$CC$1</f>
        <v>51479.758299142115</v>
      </c>
      <c r="CD137" s="8">
        <f>+MINVU_Mes_Corriente!CD137*SALUD_Mes_Constante!$CC$1</f>
        <v>51479.758299142115</v>
      </c>
      <c r="CE137" s="8">
        <f>+MINVU_Mes_Corriente!CE137*SALUD_Mes_Constante!$CC$1</f>
        <v>51479.758299142115</v>
      </c>
      <c r="CF137" s="8">
        <f>+MINVU_Mes_Corriente!CF137*SALUD_Mes_Constante!$CC$1</f>
        <v>51479.758299142115</v>
      </c>
      <c r="CG137" s="8">
        <f>+MINVU_Mes_Corriente!CG137*SALUD_Mes_Constante!$CC$1</f>
        <v>51479.758299142115</v>
      </c>
      <c r="CH137" s="8">
        <f>+MINVU_Mes_Corriente!CH137*SALUD_Mes_Constante!$CC$1</f>
        <v>51479.758299142115</v>
      </c>
      <c r="CI137" s="8">
        <f>+MINVU_Mes_Corriente!CI137*SALUD_Mes_Constante!$CC$1</f>
        <v>51479.758299142115</v>
      </c>
      <c r="CJ137" s="8">
        <f>+MINVU_Mes_Corriente!CJ137*SALUD_Mes_Constante!$CC$1</f>
        <v>51479.758299142115</v>
      </c>
      <c r="CK137" s="8">
        <f>+MINVU_Mes_Corriente!CK137*SALUD_Mes_Constante!$CC$1</f>
        <v>51479.758299142115</v>
      </c>
      <c r="CL137" s="8">
        <f>+MINVU_Mes_Corriente!CL137*SALUD_Mes_Constante!$CC$1</f>
        <v>51479.758299142115</v>
      </c>
      <c r="CM137" s="8">
        <f>+MINVU_Mes_Corriente!CM137*SALUD_Mes_Constante!$CC$1</f>
        <v>51479.758299142115</v>
      </c>
      <c r="CN137" s="8">
        <f>+MINVU_Mes_Corriente!CN137*SALUD_Mes_Constante!$CC$1</f>
        <v>51479.758299142115</v>
      </c>
      <c r="CO137" s="9">
        <f t="shared" si="63"/>
        <v>51479.758299142115</v>
      </c>
      <c r="CP137" s="8">
        <f>+MINVU_Mes_Corriente!CP137*SALUD_Mes_Constante!$CP$1</f>
        <v>209364.72180974475</v>
      </c>
      <c r="CQ137" s="8">
        <f>+MINVU_Mes_Corriente!CQ137*SALUD_Mes_Constante!$CP$1</f>
        <v>209364.72180974475</v>
      </c>
      <c r="CR137" s="8">
        <f>+MINVU_Mes_Corriente!CR137*SALUD_Mes_Constante!$CP$1</f>
        <v>209364.72180974475</v>
      </c>
      <c r="CS137" s="8">
        <f>+MINVU_Mes_Corriente!CS137*SALUD_Mes_Constante!$CP$1</f>
        <v>209364.72180974475</v>
      </c>
      <c r="CT137" s="8">
        <f>+MINVU_Mes_Corriente!CT137*SALUD_Mes_Constante!$CP$1</f>
        <v>209364.72180974475</v>
      </c>
      <c r="CU137" s="8">
        <f>+MINVU_Mes_Corriente!CU137*SALUD_Mes_Constante!$CP$1</f>
        <v>209364.72180974475</v>
      </c>
      <c r="CV137" s="8">
        <f>+MINVU_Mes_Corriente!CV137*SALUD_Mes_Constante!$CP$1</f>
        <v>209364.72180974475</v>
      </c>
      <c r="CW137" s="8">
        <f>+MINVU_Mes_Corriente!CW137*SALUD_Mes_Constante!$CP$1</f>
        <v>209364.72180974475</v>
      </c>
      <c r="CX137" s="8">
        <f>+MINVU_Mes_Corriente!CX137*SALUD_Mes_Constante!$CP$1</f>
        <v>209364.72180974475</v>
      </c>
      <c r="CY137" s="8">
        <f>+MINVU_Mes_Corriente!CY137*SALUD_Mes_Constante!$CP$1</f>
        <v>209364.72180974475</v>
      </c>
      <c r="CZ137" s="8">
        <f>+MINVU_Mes_Corriente!CZ137*SALUD_Mes_Constante!$CP$1</f>
        <v>209364.72180974475</v>
      </c>
      <c r="DA137" s="8">
        <f>+MINVU_Mes_Corriente!DA137*SALUD_Mes_Constante!$CP$1</f>
        <v>209364.72180974475</v>
      </c>
      <c r="DB137" s="9">
        <f t="shared" si="64"/>
        <v>209364.72180974475</v>
      </c>
      <c r="DC137" s="8">
        <f>+MINVU_Mes_Corriente!DC137*SALUD_Mes_Constante!$DC$1</f>
        <v>258001.28813908045</v>
      </c>
      <c r="DD137" s="8">
        <f>+MINVU_Mes_Corriente!DD137*SALUD_Mes_Constante!$DC$1</f>
        <v>258001.28813908045</v>
      </c>
      <c r="DE137" s="8">
        <f>+MINVU_Mes_Corriente!DE137*SALUD_Mes_Constante!$DC$1</f>
        <v>258001.28813908045</v>
      </c>
      <c r="DF137" s="8">
        <f>+MINVU_Mes_Corriente!DF137*SALUD_Mes_Constante!$DC$1</f>
        <v>258001.28813908045</v>
      </c>
      <c r="DG137" s="8">
        <f>+MINVU_Mes_Corriente!DG137*SALUD_Mes_Constante!$DC$1</f>
        <v>258001.28813908045</v>
      </c>
      <c r="DH137" s="8">
        <f>+MINVU_Mes_Corriente!DH137*SALUD_Mes_Constante!$DC$1</f>
        <v>258001.28813908045</v>
      </c>
      <c r="DI137" s="8">
        <f>+MINVU_Mes_Corriente!DI137*SALUD_Mes_Constante!$DC$1</f>
        <v>258001.28813908045</v>
      </c>
      <c r="DJ137" s="8">
        <f>+MINVU_Mes_Corriente!DJ137*SALUD_Mes_Constante!$DC$1</f>
        <v>258001.28813908045</v>
      </c>
      <c r="DK137" s="8">
        <f>+MINVU_Mes_Corriente!DK137*SALUD_Mes_Constante!$DC$1</f>
        <v>258001.28813908045</v>
      </c>
      <c r="DL137" s="8">
        <f>+MINVU_Mes_Corriente!DL137*SALUD_Mes_Constante!$DC$1</f>
        <v>258001.28813908045</v>
      </c>
      <c r="DM137" s="8">
        <f>+MINVU_Mes_Corriente!DM137*SALUD_Mes_Constante!$DC$1</f>
        <v>258001.28813908045</v>
      </c>
      <c r="DN137" s="8">
        <f>+MINVU_Mes_Corriente!DN137*SALUD_Mes_Constante!$DC$1</f>
        <v>258001.28813908045</v>
      </c>
      <c r="DO137" s="9">
        <f t="shared" si="65"/>
        <v>258001.28813908045</v>
      </c>
      <c r="DP137" s="8">
        <f>+MINVU_Mes_Corriente!DP137*SALUD_Mes_Constante!$DP$1</f>
        <v>263860.08847980999</v>
      </c>
      <c r="DQ137" s="8">
        <f>+MINVU_Mes_Corriente!DQ137*SALUD_Mes_Constante!$DP$1</f>
        <v>263860.08847980999</v>
      </c>
      <c r="DR137" s="8">
        <f>+MINVU_Mes_Corriente!DR137*SALUD_Mes_Constante!$DP$1</f>
        <v>263860.08847980999</v>
      </c>
      <c r="DS137" s="8">
        <f>+MINVU_Mes_Corriente!DS137*SALUD_Mes_Constante!$DP$1</f>
        <v>263860.08847980999</v>
      </c>
      <c r="DT137" s="8">
        <f>+MINVU_Mes_Corriente!DT137*SALUD_Mes_Constante!$DP$1</f>
        <v>263860.08847980999</v>
      </c>
      <c r="DU137" s="8">
        <f>+MINVU_Mes_Corriente!DU137*SALUD_Mes_Constante!$DP$1</f>
        <v>263860.08847980999</v>
      </c>
      <c r="DV137" s="8">
        <f>+MINVU_Mes_Corriente!DV137*SALUD_Mes_Constante!$DP$1</f>
        <v>263860.08847980999</v>
      </c>
      <c r="DW137" s="8">
        <f>+MINVU_Mes_Corriente!DW137*SALUD_Mes_Constante!$DP$1</f>
        <v>263860.08847980999</v>
      </c>
      <c r="DX137" s="8">
        <f>+MINVU_Mes_Corriente!DX137*SALUD_Mes_Constante!$DP$1</f>
        <v>263860.08847980999</v>
      </c>
      <c r="DY137" s="8">
        <f>+MINVU_Mes_Corriente!DY137*SALUD_Mes_Constante!$DP$1</f>
        <v>263860.08847980999</v>
      </c>
      <c r="DZ137" s="8">
        <f>+MINVU_Mes_Corriente!DZ137*SALUD_Mes_Constante!$DP$1</f>
        <v>263860.08847980999</v>
      </c>
      <c r="EA137" s="8">
        <f>+MINVU_Mes_Corriente!EA137*SALUD_Mes_Constante!$DP$1</f>
        <v>263860.08847980999</v>
      </c>
      <c r="EB137" s="9">
        <f t="shared" si="66"/>
        <v>263860.08847980999</v>
      </c>
      <c r="EC137" s="8">
        <f>+MINVU_Mes_Corriente!EC137*SALUD_Mes_Constante!$EC$1</f>
        <v>231204.58738875206</v>
      </c>
      <c r="ED137" s="8">
        <f>+MINVU_Mes_Corriente!ED137*SALUD_Mes_Constante!$EC$1</f>
        <v>231204.58738875206</v>
      </c>
      <c r="EE137" s="8">
        <f>+MINVU_Mes_Corriente!EE137*SALUD_Mes_Constante!$EC$1</f>
        <v>231204.58738875206</v>
      </c>
      <c r="EF137" s="8">
        <f>+MINVU_Mes_Corriente!EF137*SALUD_Mes_Constante!$EC$1</f>
        <v>231204.58738875206</v>
      </c>
      <c r="EG137" s="8">
        <f>+MINVU_Mes_Corriente!EG137*SALUD_Mes_Constante!$EC$1</f>
        <v>231204.58738875206</v>
      </c>
      <c r="EH137" s="8">
        <f>+MINVU_Mes_Corriente!EH137*SALUD_Mes_Constante!$EC$1</f>
        <v>231204.58738875206</v>
      </c>
      <c r="EI137" s="8">
        <f>+MINVU_Mes_Corriente!EI137*SALUD_Mes_Constante!$EC$1</f>
        <v>231204.58738875206</v>
      </c>
      <c r="EJ137" s="8">
        <f>+MINVU_Mes_Corriente!EJ137*SALUD_Mes_Constante!$EC$1</f>
        <v>231204.58738875206</v>
      </c>
      <c r="EK137" s="8">
        <f>+MINVU_Mes_Corriente!EK137*SALUD_Mes_Constante!$EC$1</f>
        <v>231204.58738875206</v>
      </c>
      <c r="EL137" s="8">
        <f>+MINVU_Mes_Corriente!EL137*SALUD_Mes_Constante!$EC$1</f>
        <v>231204.58738875206</v>
      </c>
      <c r="EM137" s="8">
        <f>+MINVU_Mes_Corriente!EM137*SALUD_Mes_Constante!$EC$1</f>
        <v>231204.58738875206</v>
      </c>
      <c r="EN137" s="8">
        <f>+MINVU_Mes_Corriente!EN137*SALUD_Mes_Constante!$EC$1</f>
        <v>231204.58738875206</v>
      </c>
      <c r="EO137" s="9">
        <f t="shared" si="67"/>
        <v>231204.58738875206</v>
      </c>
      <c r="EP137" s="8">
        <f>+MINVU_Mes_Corriente!EP137*SALUD_Mes_Constante!$EP$1</f>
        <v>232890</v>
      </c>
      <c r="EQ137" s="8">
        <f>+MINVU_Mes_Corriente!EQ137*SALUD_Mes_Constante!$EP$1</f>
        <v>232890</v>
      </c>
      <c r="ER137" s="8">
        <f>+MINVU_Mes_Corriente!ER137*SALUD_Mes_Constante!$EP$1</f>
        <v>232890</v>
      </c>
      <c r="ES137" s="8">
        <f>+MINVU_Mes_Corriente!ES137*SALUD_Mes_Constante!$EP$1</f>
        <v>232890</v>
      </c>
      <c r="ET137" s="8">
        <f>+MINVU_Mes_Corriente!ET137*SALUD_Mes_Constante!$EP$1</f>
        <v>232890</v>
      </c>
      <c r="EU137" s="8">
        <f>+MINVU_Mes_Corriente!EU137*SALUD_Mes_Constante!$EP$1</f>
        <v>232890</v>
      </c>
      <c r="EV137" s="8">
        <f>+MINVU_Mes_Corriente!EV137*SALUD_Mes_Constante!$EP$1</f>
        <v>232890</v>
      </c>
      <c r="EW137" s="8">
        <f>+MINVU_Mes_Corriente!EW137*SALUD_Mes_Constante!$EP$1</f>
        <v>232890</v>
      </c>
      <c r="EX137" s="8">
        <f>+MINVU_Mes_Corriente!EX137*SALUD_Mes_Constante!$EP$1</f>
        <v>232890</v>
      </c>
      <c r="EY137" s="8">
        <f>+MINVU_Mes_Corriente!EY137*SALUD_Mes_Constante!$EP$1</f>
        <v>232890</v>
      </c>
      <c r="EZ137" s="8">
        <f>+MINVU_Mes_Corriente!EZ137*SALUD_Mes_Constante!$EP$1</f>
        <v>232890</v>
      </c>
      <c r="FA137" s="8">
        <f>+MINVU_Mes_Corriente!FA137*SALUD_Mes_Constante!$EP$1</f>
        <v>232890</v>
      </c>
      <c r="FB137" s="9">
        <f t="shared" si="68"/>
        <v>232890</v>
      </c>
      <c r="FC137" s="8">
        <f>+MINVU_Mes_Corriente!FC137*SALUD_Mes_Constante!$FC$1</f>
        <v>240109</v>
      </c>
      <c r="FD137" s="8">
        <f>+MINVU_Mes_Corriente!FD137*SALUD_Mes_Constante!$FC$1</f>
        <v>240109</v>
      </c>
      <c r="FE137" s="8">
        <f>+MINVU_Mes_Corriente!FE137*SALUD_Mes_Constante!$FC$1</f>
        <v>240109</v>
      </c>
      <c r="FF137" s="8">
        <f>+MINVU_Mes_Corriente!FF137*SALUD_Mes_Constante!$FC$1</f>
        <v>240109</v>
      </c>
      <c r="FG137" s="8">
        <f>+MINVU_Mes_Corriente!FG137*SALUD_Mes_Constante!$FC$1</f>
        <v>240109</v>
      </c>
      <c r="FH137" s="8">
        <f>+MINVU_Mes_Corriente!FH137*SALUD_Mes_Constante!$FC$1</f>
        <v>240109</v>
      </c>
      <c r="FI137" s="8">
        <f>+MINVU_Mes_Corriente!FI137*SALUD_Mes_Constante!$FC$1</f>
        <v>240109</v>
      </c>
      <c r="FJ137" s="8"/>
      <c r="FK137" s="8"/>
      <c r="FL137" s="8"/>
      <c r="FM137" s="8"/>
      <c r="FN137" s="8"/>
      <c r="FO137" s="9">
        <f t="shared" si="69"/>
        <v>240109</v>
      </c>
    </row>
    <row r="138" spans="2:171" ht="14.25" customHeight="1" x14ac:dyDescent="0.3">
      <c r="B138" s="7" t="s">
        <v>62</v>
      </c>
      <c r="C138" s="8">
        <f>+MINVU_Mes_Corriente!C138*SALUD_Mes_Constante!$C$1</f>
        <v>323255.99110188347</v>
      </c>
      <c r="D138" s="8">
        <f>+MINVU_Mes_Corriente!D138*SALUD_Mes_Constante!$C$1</f>
        <v>323255.99110188347</v>
      </c>
      <c r="E138" s="8">
        <f>+MINVU_Mes_Corriente!E138*SALUD_Mes_Constante!$C$1</f>
        <v>323255.99110188347</v>
      </c>
      <c r="F138" s="8">
        <f>+MINVU_Mes_Corriente!F138*SALUD_Mes_Constante!$C$1</f>
        <v>323255.99110188347</v>
      </c>
      <c r="G138" s="8">
        <f>+MINVU_Mes_Corriente!G138*SALUD_Mes_Constante!$C$1</f>
        <v>323255.99110188347</v>
      </c>
      <c r="H138" s="8">
        <f>+MINVU_Mes_Corriente!H138*SALUD_Mes_Constante!$C$1</f>
        <v>323255.99110188347</v>
      </c>
      <c r="I138" s="8">
        <f>+MINVU_Mes_Corriente!I138*SALUD_Mes_Constante!$C$1</f>
        <v>323255.99110188347</v>
      </c>
      <c r="J138" s="8">
        <f>+MINVU_Mes_Corriente!J138*SALUD_Mes_Constante!$C$1</f>
        <v>323255.99110188347</v>
      </c>
      <c r="K138" s="8">
        <f>+MINVU_Mes_Corriente!K138*SALUD_Mes_Constante!$C$1</f>
        <v>323255.99110188347</v>
      </c>
      <c r="L138" s="8">
        <f>+MINVU_Mes_Corriente!L138*SALUD_Mes_Constante!$C$1</f>
        <v>323255.99110188347</v>
      </c>
      <c r="M138" s="8">
        <f>+MINVU_Mes_Corriente!M138*SALUD_Mes_Constante!$C$1</f>
        <v>323255.99110188347</v>
      </c>
      <c r="N138" s="8">
        <f>+MINVU_Mes_Corriente!N138*SALUD_Mes_Constante!$C$1</f>
        <v>323255.99110188347</v>
      </c>
      <c r="O138" s="9">
        <f t="shared" si="57"/>
        <v>323255.99110188347</v>
      </c>
      <c r="P138" s="8">
        <f>+MINVU_Mes_Corriente!P138*SALUD_Mes_Constante!$P$1</f>
        <v>318952.58673106966</v>
      </c>
      <c r="Q138" s="8">
        <f>+MINVU_Mes_Corriente!Q138*SALUD_Mes_Constante!$P$1</f>
        <v>318952.58673106966</v>
      </c>
      <c r="R138" s="8">
        <f>+MINVU_Mes_Corriente!R138*SALUD_Mes_Constante!$P$1</f>
        <v>318952.58673106966</v>
      </c>
      <c r="S138" s="8">
        <f>+MINVU_Mes_Corriente!S138*SALUD_Mes_Constante!$P$1</f>
        <v>318952.58673106966</v>
      </c>
      <c r="T138" s="8">
        <f>+MINVU_Mes_Corriente!T138*SALUD_Mes_Constante!$P$1</f>
        <v>318952.58673106966</v>
      </c>
      <c r="U138" s="8">
        <f>+MINVU_Mes_Corriente!U138*SALUD_Mes_Constante!$P$1</f>
        <v>318952.58673106966</v>
      </c>
      <c r="V138" s="8">
        <f>+MINVU_Mes_Corriente!V138*SALUD_Mes_Constante!$P$1</f>
        <v>318952.58673106966</v>
      </c>
      <c r="W138" s="8">
        <f>+MINVU_Mes_Corriente!W138*SALUD_Mes_Constante!$P$1</f>
        <v>318952.58673106966</v>
      </c>
      <c r="X138" s="8">
        <f>+MINVU_Mes_Corriente!X138*SALUD_Mes_Constante!$P$1</f>
        <v>318952.58673106966</v>
      </c>
      <c r="Y138" s="8">
        <f>+MINVU_Mes_Corriente!Y138*SALUD_Mes_Constante!$P$1</f>
        <v>318952.58673106966</v>
      </c>
      <c r="Z138" s="8">
        <f>+MINVU_Mes_Corriente!Z138*SALUD_Mes_Constante!$P$1</f>
        <v>318952.58673106966</v>
      </c>
      <c r="AA138" s="8">
        <f>+MINVU_Mes_Corriente!AA138*SALUD_Mes_Constante!$P$1</f>
        <v>318952.58673106966</v>
      </c>
      <c r="AB138" s="9">
        <f t="shared" si="58"/>
        <v>318952.58673106966</v>
      </c>
      <c r="AC138" s="8">
        <f>+MINVU_Mes_Corriente!AC138*SALUD_Mes_Constante!$AC$1</f>
        <v>322370.65513902338</v>
      </c>
      <c r="AD138" s="8">
        <f>+MINVU_Mes_Corriente!AD138*SALUD_Mes_Constante!$AC$1</f>
        <v>322370.65513902338</v>
      </c>
      <c r="AE138" s="8">
        <f>+MINVU_Mes_Corriente!AE138*SALUD_Mes_Constante!$AC$1</f>
        <v>322370.65513902338</v>
      </c>
      <c r="AF138" s="8">
        <f>+MINVU_Mes_Corriente!AF138*SALUD_Mes_Constante!$AC$1</f>
        <v>322370.65513902338</v>
      </c>
      <c r="AG138" s="8">
        <f>+MINVU_Mes_Corriente!AG138*SALUD_Mes_Constante!$AC$1</f>
        <v>322370.65513902338</v>
      </c>
      <c r="AH138" s="8">
        <f>+MINVU_Mes_Corriente!AH138*SALUD_Mes_Constante!$AC$1</f>
        <v>322370.65513902338</v>
      </c>
      <c r="AI138" s="8">
        <f>+MINVU_Mes_Corriente!AI138*SALUD_Mes_Constante!$AC$1</f>
        <v>322370.65513902338</v>
      </c>
      <c r="AJ138" s="8">
        <f>+MINVU_Mes_Corriente!AJ138*SALUD_Mes_Constante!$AC$1</f>
        <v>322370.65513902338</v>
      </c>
      <c r="AK138" s="8">
        <f>+MINVU_Mes_Corriente!AK138*SALUD_Mes_Constante!$AC$1</f>
        <v>322370.65513902338</v>
      </c>
      <c r="AL138" s="8">
        <f>+MINVU_Mes_Corriente!AL138*SALUD_Mes_Constante!$AC$1</f>
        <v>322370.65513902338</v>
      </c>
      <c r="AM138" s="8">
        <f>+MINVU_Mes_Corriente!AM138*SALUD_Mes_Constante!$AC$1</f>
        <v>322370.65513902338</v>
      </c>
      <c r="AN138" s="8">
        <f>+MINVU_Mes_Corriente!AN138*SALUD_Mes_Constante!$AC$1</f>
        <v>322370.65513902338</v>
      </c>
      <c r="AO138" s="9">
        <f t="shared" si="59"/>
        <v>322370.65513902338</v>
      </c>
      <c r="AP138" s="8">
        <f>+MINVU_Mes_Corriente!AP138*SALUD_Mes_Constante!$AP$1</f>
        <v>324676.44258081965</v>
      </c>
      <c r="AQ138" s="8">
        <f>+MINVU_Mes_Corriente!AQ138*SALUD_Mes_Constante!$AP$1</f>
        <v>324676.44258081965</v>
      </c>
      <c r="AR138" s="8">
        <f>+MINVU_Mes_Corriente!AR138*SALUD_Mes_Constante!$AP$1</f>
        <v>324676.44258081965</v>
      </c>
      <c r="AS138" s="8">
        <f>+MINVU_Mes_Corriente!AS138*SALUD_Mes_Constante!$AP$1</f>
        <v>324676.44258081965</v>
      </c>
      <c r="AT138" s="8">
        <f>+MINVU_Mes_Corriente!AT138*SALUD_Mes_Constante!$AP$1</f>
        <v>324676.44258081965</v>
      </c>
      <c r="AU138" s="8">
        <f>+MINVU_Mes_Corriente!AU138*SALUD_Mes_Constante!$AP$1</f>
        <v>324676.44258081965</v>
      </c>
      <c r="AV138" s="8">
        <f>+MINVU_Mes_Corriente!AV138*SALUD_Mes_Constante!$AP$1</f>
        <v>324676.44258081965</v>
      </c>
      <c r="AW138" s="8">
        <f>+MINVU_Mes_Corriente!AW138*SALUD_Mes_Constante!$AP$1</f>
        <v>324676.44258081965</v>
      </c>
      <c r="AX138" s="8">
        <f>+MINVU_Mes_Corriente!AX138*SALUD_Mes_Constante!$AP$1</f>
        <v>324676.44258081965</v>
      </c>
      <c r="AY138" s="8">
        <f>+MINVU_Mes_Corriente!AY138*SALUD_Mes_Constante!$AP$1</f>
        <v>324676.44258081965</v>
      </c>
      <c r="AZ138" s="8">
        <f>+MINVU_Mes_Corriente!AZ138*SALUD_Mes_Constante!$AP$1</f>
        <v>324676.44258081965</v>
      </c>
      <c r="BA138" s="8">
        <f>+MINVU_Mes_Corriente!BA138*SALUD_Mes_Constante!$AP$1</f>
        <v>324676.44258081965</v>
      </c>
      <c r="BB138" s="9">
        <f t="shared" si="60"/>
        <v>324676.44258081965</v>
      </c>
      <c r="BC138" s="8">
        <f>+MINVU_Mes_Corriente!BC138*SALUD_Mes_Constante!$BC$1</f>
        <v>324771.4957140974</v>
      </c>
      <c r="BD138" s="8">
        <f>+MINVU_Mes_Corriente!BD138*SALUD_Mes_Constante!$BC$1</f>
        <v>324771.4957140974</v>
      </c>
      <c r="BE138" s="8">
        <f>+MINVU_Mes_Corriente!BE138*SALUD_Mes_Constante!$BC$1</f>
        <v>324771.4957140974</v>
      </c>
      <c r="BF138" s="8">
        <f>+MINVU_Mes_Corriente!BF138*SALUD_Mes_Constante!$BC$1</f>
        <v>324771.4957140974</v>
      </c>
      <c r="BG138" s="8">
        <f>+MINVU_Mes_Corriente!BG138*SALUD_Mes_Constante!$BC$1</f>
        <v>324771.4957140974</v>
      </c>
      <c r="BH138" s="8">
        <f>+MINVU_Mes_Corriente!BH138*SALUD_Mes_Constante!$BC$1</f>
        <v>324771.4957140974</v>
      </c>
      <c r="BI138" s="8">
        <f>+MINVU_Mes_Corriente!BI138*SALUD_Mes_Constante!$BC$1</f>
        <v>324771.4957140974</v>
      </c>
      <c r="BJ138" s="8">
        <f>+MINVU_Mes_Corriente!BJ138*SALUD_Mes_Constante!$BC$1</f>
        <v>324771.4957140974</v>
      </c>
      <c r="BK138" s="8">
        <f>+MINVU_Mes_Corriente!BK138*SALUD_Mes_Constante!$BC$1</f>
        <v>324771.4957140974</v>
      </c>
      <c r="BL138" s="8">
        <f>+MINVU_Mes_Corriente!BL138*SALUD_Mes_Constante!$BC$1</f>
        <v>324771.4957140974</v>
      </c>
      <c r="BM138" s="8">
        <f>+MINVU_Mes_Corriente!BM138*SALUD_Mes_Constante!$BC$1</f>
        <v>324771.4957140974</v>
      </c>
      <c r="BN138" s="8">
        <f>+MINVU_Mes_Corriente!BN138*SALUD_Mes_Constante!$BC$1</f>
        <v>324771.4957140974</v>
      </c>
      <c r="BO138" s="9">
        <f t="shared" si="61"/>
        <v>324771.4957140974</v>
      </c>
      <c r="BP138" s="8">
        <f>+MINVU_Mes_Corriente!BP138*SALUD_Mes_Constante!$BP$1</f>
        <v>0</v>
      </c>
      <c r="BQ138" s="8">
        <f>+MINVU_Mes_Corriente!BQ138*SALUD_Mes_Constante!$BP$1</f>
        <v>0</v>
      </c>
      <c r="BR138" s="8">
        <f>+MINVU_Mes_Corriente!BR138*SALUD_Mes_Constante!$BP$1</f>
        <v>0</v>
      </c>
      <c r="BS138" s="8">
        <f>+MINVU_Mes_Corriente!BS138*SALUD_Mes_Constante!$BP$1</f>
        <v>0</v>
      </c>
      <c r="BT138" s="8">
        <f>+MINVU_Mes_Corriente!BT138*SALUD_Mes_Constante!$BP$1</f>
        <v>0</v>
      </c>
      <c r="BU138" s="8">
        <f>+MINVU_Mes_Corriente!BU138*SALUD_Mes_Constante!$BP$1</f>
        <v>0</v>
      </c>
      <c r="BV138" s="8">
        <f>+MINVU_Mes_Corriente!BV138*SALUD_Mes_Constante!$BP$1</f>
        <v>0</v>
      </c>
      <c r="BW138" s="8">
        <f>+MINVU_Mes_Corriente!BW138*SALUD_Mes_Constante!$BP$1</f>
        <v>0</v>
      </c>
      <c r="BX138" s="8">
        <f>+MINVU_Mes_Corriente!BX138*SALUD_Mes_Constante!$BP$1</f>
        <v>0</v>
      </c>
      <c r="BY138" s="8">
        <f>+MINVU_Mes_Corriente!BY138*SALUD_Mes_Constante!$BP$1</f>
        <v>0</v>
      </c>
      <c r="BZ138" s="8">
        <f>+MINVU_Mes_Corriente!BZ138*SALUD_Mes_Constante!$BP$1</f>
        <v>0</v>
      </c>
      <c r="CA138" s="8">
        <f>+MINVU_Mes_Corriente!CA138*SALUD_Mes_Constante!$BP$1</f>
        <v>0</v>
      </c>
      <c r="CB138" s="9">
        <f t="shared" si="62"/>
        <v>0</v>
      </c>
      <c r="CC138" s="8">
        <f>+MINVU_Mes_Corriente!CC138*SALUD_Mes_Constante!$CC$1</f>
        <v>2673448.0686311079</v>
      </c>
      <c r="CD138" s="8">
        <f>+MINVU_Mes_Corriente!CD138*SALUD_Mes_Constante!$CC$1</f>
        <v>2673448.0686311079</v>
      </c>
      <c r="CE138" s="8">
        <f>+MINVU_Mes_Corriente!CE138*SALUD_Mes_Constante!$CC$1</f>
        <v>2673448.0686311079</v>
      </c>
      <c r="CF138" s="8">
        <f>+MINVU_Mes_Corriente!CF138*SALUD_Mes_Constante!$CC$1</f>
        <v>2673448.0686311079</v>
      </c>
      <c r="CG138" s="8">
        <f>+MINVU_Mes_Corriente!CG138*SALUD_Mes_Constante!$CC$1</f>
        <v>2673448.0686311079</v>
      </c>
      <c r="CH138" s="8">
        <f>+MINVU_Mes_Corriente!CH138*SALUD_Mes_Constante!$CC$1</f>
        <v>2673448.0686311079</v>
      </c>
      <c r="CI138" s="8">
        <f>+MINVU_Mes_Corriente!CI138*SALUD_Mes_Constante!$CC$1</f>
        <v>2673448.0686311079</v>
      </c>
      <c r="CJ138" s="8">
        <f>+MINVU_Mes_Corriente!CJ138*SALUD_Mes_Constante!$CC$1</f>
        <v>2673448.0686311079</v>
      </c>
      <c r="CK138" s="8">
        <f>+MINVU_Mes_Corriente!CK138*SALUD_Mes_Constante!$CC$1</f>
        <v>2673448.0686311079</v>
      </c>
      <c r="CL138" s="8">
        <f>+MINVU_Mes_Corriente!CL138*SALUD_Mes_Constante!$CC$1</f>
        <v>2673448.0686311079</v>
      </c>
      <c r="CM138" s="8">
        <f>+MINVU_Mes_Corriente!CM138*SALUD_Mes_Constante!$CC$1</f>
        <v>2673448.0686311079</v>
      </c>
      <c r="CN138" s="8">
        <f>+MINVU_Mes_Corriente!CN138*SALUD_Mes_Constante!$CC$1</f>
        <v>2673448.0686311079</v>
      </c>
      <c r="CO138" s="9">
        <f t="shared" si="63"/>
        <v>2673448.0686311079</v>
      </c>
      <c r="CP138" s="8">
        <f>+MINVU_Mes_Corriente!CP138*SALUD_Mes_Constante!$CP$1</f>
        <v>685299.76078886294</v>
      </c>
      <c r="CQ138" s="8">
        <f>+MINVU_Mes_Corriente!CQ138*SALUD_Mes_Constante!$CP$1</f>
        <v>685299.76078886294</v>
      </c>
      <c r="CR138" s="8">
        <f>+MINVU_Mes_Corriente!CR138*SALUD_Mes_Constante!$CP$1</f>
        <v>685299.76078886294</v>
      </c>
      <c r="CS138" s="8">
        <f>+MINVU_Mes_Corriente!CS138*SALUD_Mes_Constante!$CP$1</f>
        <v>685299.76078886294</v>
      </c>
      <c r="CT138" s="8">
        <f>+MINVU_Mes_Corriente!CT138*SALUD_Mes_Constante!$CP$1</f>
        <v>685299.76078886294</v>
      </c>
      <c r="CU138" s="8">
        <f>+MINVU_Mes_Corriente!CU138*SALUD_Mes_Constante!$CP$1</f>
        <v>685299.76078886294</v>
      </c>
      <c r="CV138" s="8">
        <f>+MINVU_Mes_Corriente!CV138*SALUD_Mes_Constante!$CP$1</f>
        <v>685299.76078886294</v>
      </c>
      <c r="CW138" s="8">
        <f>+MINVU_Mes_Corriente!CW138*SALUD_Mes_Constante!$CP$1</f>
        <v>685299.76078886294</v>
      </c>
      <c r="CX138" s="8">
        <f>+MINVU_Mes_Corriente!CX138*SALUD_Mes_Constante!$CP$1</f>
        <v>685299.76078886294</v>
      </c>
      <c r="CY138" s="8">
        <f>+MINVU_Mes_Corriente!CY138*SALUD_Mes_Constante!$CP$1</f>
        <v>685299.76078886294</v>
      </c>
      <c r="CZ138" s="8">
        <f>+MINVU_Mes_Corriente!CZ138*SALUD_Mes_Constante!$CP$1</f>
        <v>685299.76078886294</v>
      </c>
      <c r="DA138" s="8">
        <f>+MINVU_Mes_Corriente!DA138*SALUD_Mes_Constante!$CP$1</f>
        <v>685299.76078886294</v>
      </c>
      <c r="DB138" s="9">
        <f t="shared" si="64"/>
        <v>685299.76078886294</v>
      </c>
      <c r="DC138" s="8">
        <f>+MINVU_Mes_Corriente!DC138*SALUD_Mes_Constante!$DC$1</f>
        <v>824186.36086822383</v>
      </c>
      <c r="DD138" s="8">
        <f>+MINVU_Mes_Corriente!DD138*SALUD_Mes_Constante!$DC$1</f>
        <v>824186.36086822383</v>
      </c>
      <c r="DE138" s="8">
        <f>+MINVU_Mes_Corriente!DE138*SALUD_Mes_Constante!$DC$1</f>
        <v>824186.36086822383</v>
      </c>
      <c r="DF138" s="8">
        <f>+MINVU_Mes_Corriente!DF138*SALUD_Mes_Constante!$DC$1</f>
        <v>824186.36086822383</v>
      </c>
      <c r="DG138" s="8">
        <f>+MINVU_Mes_Corriente!DG138*SALUD_Mes_Constante!$DC$1</f>
        <v>824186.36086822383</v>
      </c>
      <c r="DH138" s="8">
        <f>+MINVU_Mes_Corriente!DH138*SALUD_Mes_Constante!$DC$1</f>
        <v>824186.36086822383</v>
      </c>
      <c r="DI138" s="8">
        <f>+MINVU_Mes_Corriente!DI138*SALUD_Mes_Constante!$DC$1</f>
        <v>824186.36086822383</v>
      </c>
      <c r="DJ138" s="8">
        <f>+MINVU_Mes_Corriente!DJ138*SALUD_Mes_Constante!$DC$1</f>
        <v>824186.36086822383</v>
      </c>
      <c r="DK138" s="8">
        <f>+MINVU_Mes_Corriente!DK138*SALUD_Mes_Constante!$DC$1</f>
        <v>824186.36086822383</v>
      </c>
      <c r="DL138" s="8">
        <f>+MINVU_Mes_Corriente!DL138*SALUD_Mes_Constante!$DC$1</f>
        <v>824186.36086822383</v>
      </c>
      <c r="DM138" s="8">
        <f>+MINVU_Mes_Corriente!DM138*SALUD_Mes_Constante!$DC$1</f>
        <v>824186.36086822383</v>
      </c>
      <c r="DN138" s="8">
        <f>+MINVU_Mes_Corriente!DN138*SALUD_Mes_Constante!$DC$1</f>
        <v>824186.36086822383</v>
      </c>
      <c r="DO138" s="9">
        <f t="shared" si="65"/>
        <v>824186.36086822383</v>
      </c>
      <c r="DP138" s="8">
        <f>+MINVU_Mes_Corriente!DP138*SALUD_Mes_Constante!$DP$1</f>
        <v>842900.24109263672</v>
      </c>
      <c r="DQ138" s="8">
        <f>+MINVU_Mes_Corriente!DQ138*SALUD_Mes_Constante!$DP$1</f>
        <v>842900.24109263672</v>
      </c>
      <c r="DR138" s="8">
        <f>+MINVU_Mes_Corriente!DR138*SALUD_Mes_Constante!$DP$1</f>
        <v>842900.24109263672</v>
      </c>
      <c r="DS138" s="8">
        <f>+MINVU_Mes_Corriente!DS138*SALUD_Mes_Constante!$DP$1</f>
        <v>842900.24109263672</v>
      </c>
      <c r="DT138" s="8">
        <f>+MINVU_Mes_Corriente!DT138*SALUD_Mes_Constante!$DP$1</f>
        <v>842900.24109263672</v>
      </c>
      <c r="DU138" s="8">
        <f>+MINVU_Mes_Corriente!DU138*SALUD_Mes_Constante!$DP$1</f>
        <v>842900.24109263672</v>
      </c>
      <c r="DV138" s="8">
        <f>+MINVU_Mes_Corriente!DV138*SALUD_Mes_Constante!$DP$1</f>
        <v>842900.24109263672</v>
      </c>
      <c r="DW138" s="8">
        <f>+MINVU_Mes_Corriente!DW138*SALUD_Mes_Constante!$DP$1</f>
        <v>842900.24109263672</v>
      </c>
      <c r="DX138" s="8">
        <f>+MINVU_Mes_Corriente!DX138*SALUD_Mes_Constante!$DP$1</f>
        <v>842900.24109263672</v>
      </c>
      <c r="DY138" s="8">
        <f>+MINVU_Mes_Corriente!DY138*SALUD_Mes_Constante!$DP$1</f>
        <v>842900.24109263672</v>
      </c>
      <c r="DZ138" s="8">
        <f>+MINVU_Mes_Corriente!DZ138*SALUD_Mes_Constante!$DP$1</f>
        <v>842900.24109263672</v>
      </c>
      <c r="EA138" s="8">
        <f>+MINVU_Mes_Corriente!EA138*SALUD_Mes_Constante!$DP$1</f>
        <v>842900.24109263672</v>
      </c>
      <c r="EB138" s="9">
        <f t="shared" si="66"/>
        <v>842900.24109263672</v>
      </c>
      <c r="EC138" s="8">
        <f>+MINVU_Mes_Corriente!EC138*SALUD_Mes_Constante!$EC$1</f>
        <v>738581.87615981803</v>
      </c>
      <c r="ED138" s="8">
        <f>+MINVU_Mes_Corriente!ED138*SALUD_Mes_Constante!$EC$1</f>
        <v>738581.87615981803</v>
      </c>
      <c r="EE138" s="8">
        <f>+MINVU_Mes_Corriente!EE138*SALUD_Mes_Constante!$EC$1</f>
        <v>738581.87615981803</v>
      </c>
      <c r="EF138" s="8">
        <f>+MINVU_Mes_Corriente!EF138*SALUD_Mes_Constante!$EC$1</f>
        <v>738581.87615981803</v>
      </c>
      <c r="EG138" s="8">
        <f>+MINVU_Mes_Corriente!EG138*SALUD_Mes_Constante!$EC$1</f>
        <v>738581.87615981803</v>
      </c>
      <c r="EH138" s="8">
        <f>+MINVU_Mes_Corriente!EH138*SALUD_Mes_Constante!$EC$1</f>
        <v>738581.87615981803</v>
      </c>
      <c r="EI138" s="8">
        <f>+MINVU_Mes_Corriente!EI138*SALUD_Mes_Constante!$EC$1</f>
        <v>738581.87615981803</v>
      </c>
      <c r="EJ138" s="8">
        <f>+MINVU_Mes_Corriente!EJ138*SALUD_Mes_Constante!$EC$1</f>
        <v>738581.87615981803</v>
      </c>
      <c r="EK138" s="8">
        <f>+MINVU_Mes_Corriente!EK138*SALUD_Mes_Constante!$EC$1</f>
        <v>738581.87615981803</v>
      </c>
      <c r="EL138" s="8">
        <f>+MINVU_Mes_Corriente!EL138*SALUD_Mes_Constante!$EC$1</f>
        <v>738581.87615981803</v>
      </c>
      <c r="EM138" s="8">
        <f>+MINVU_Mes_Corriente!EM138*SALUD_Mes_Constante!$EC$1</f>
        <v>738581.87615981803</v>
      </c>
      <c r="EN138" s="8">
        <f>+MINVU_Mes_Corriente!EN138*SALUD_Mes_Constante!$EC$1</f>
        <v>738581.87615981803</v>
      </c>
      <c r="EO138" s="9">
        <f t="shared" si="67"/>
        <v>738581.87615981803</v>
      </c>
      <c r="EP138" s="8">
        <f>+MINVU_Mes_Corriente!EP138*SALUD_Mes_Constante!$EP$1</f>
        <v>743963</v>
      </c>
      <c r="EQ138" s="8">
        <f>+MINVU_Mes_Corriente!EQ138*SALUD_Mes_Constante!$EP$1</f>
        <v>743963</v>
      </c>
      <c r="ER138" s="8">
        <f>+MINVU_Mes_Corriente!ER138*SALUD_Mes_Constante!$EP$1</f>
        <v>743963</v>
      </c>
      <c r="ES138" s="8">
        <f>+MINVU_Mes_Corriente!ES138*SALUD_Mes_Constante!$EP$1</f>
        <v>743963</v>
      </c>
      <c r="ET138" s="8">
        <f>+MINVU_Mes_Corriente!ET138*SALUD_Mes_Constante!$EP$1</f>
        <v>743963</v>
      </c>
      <c r="EU138" s="8">
        <f>+MINVU_Mes_Corriente!EU138*SALUD_Mes_Constante!$EP$1</f>
        <v>743963</v>
      </c>
      <c r="EV138" s="8">
        <f>+MINVU_Mes_Corriente!EV138*SALUD_Mes_Constante!$EP$1</f>
        <v>743963</v>
      </c>
      <c r="EW138" s="8">
        <f>+MINVU_Mes_Corriente!EW138*SALUD_Mes_Constante!$EP$1</f>
        <v>743963</v>
      </c>
      <c r="EX138" s="8">
        <f>+MINVU_Mes_Corriente!EX138*SALUD_Mes_Constante!$EP$1</f>
        <v>743963</v>
      </c>
      <c r="EY138" s="8">
        <f>+MINVU_Mes_Corriente!EY138*SALUD_Mes_Constante!$EP$1</f>
        <v>743963</v>
      </c>
      <c r="EZ138" s="8">
        <f>+MINVU_Mes_Corriente!EZ138*SALUD_Mes_Constante!$EP$1</f>
        <v>743963</v>
      </c>
      <c r="FA138" s="8">
        <f>+MINVU_Mes_Corriente!FA138*SALUD_Mes_Constante!$EP$1</f>
        <v>743963</v>
      </c>
      <c r="FB138" s="9">
        <f t="shared" si="68"/>
        <v>743963</v>
      </c>
      <c r="FC138" s="8">
        <f>+MINVU_Mes_Corriente!FC138*SALUD_Mes_Constante!$FC$1</f>
        <v>767026</v>
      </c>
      <c r="FD138" s="8">
        <f>+MINVU_Mes_Corriente!FD138*SALUD_Mes_Constante!$FC$1</f>
        <v>767026</v>
      </c>
      <c r="FE138" s="8">
        <f>+MINVU_Mes_Corriente!FE138*SALUD_Mes_Constante!$FC$1</f>
        <v>767026</v>
      </c>
      <c r="FF138" s="8">
        <f>+MINVU_Mes_Corriente!FF138*SALUD_Mes_Constante!$FC$1</f>
        <v>767026</v>
      </c>
      <c r="FG138" s="8">
        <f>+MINVU_Mes_Corriente!FG138*SALUD_Mes_Constante!$FC$1</f>
        <v>767026</v>
      </c>
      <c r="FH138" s="8">
        <f>+MINVU_Mes_Corriente!FH138*SALUD_Mes_Constante!$FC$1</f>
        <v>767026</v>
      </c>
      <c r="FI138" s="8">
        <f>+MINVU_Mes_Corriente!FI138*SALUD_Mes_Constante!$FC$1</f>
        <v>767026</v>
      </c>
      <c r="FJ138" s="8"/>
      <c r="FK138" s="8"/>
      <c r="FL138" s="8"/>
      <c r="FM138" s="8"/>
      <c r="FN138" s="8"/>
      <c r="FO138" s="9">
        <f t="shared" si="69"/>
        <v>767026</v>
      </c>
    </row>
    <row r="139" spans="2:171" ht="14.25" customHeight="1" x14ac:dyDescent="0.3">
      <c r="B139" s="7" t="s">
        <v>63</v>
      </c>
      <c r="C139" s="8">
        <f>+MINVU_Mes_Corriente!C139*SALUD_Mes_Constante!$C$1</f>
        <v>281306.82693163282</v>
      </c>
      <c r="D139" s="8">
        <f>+MINVU_Mes_Corriente!D139*SALUD_Mes_Constante!$C$1</f>
        <v>281306.82693163282</v>
      </c>
      <c r="E139" s="8">
        <f>+MINVU_Mes_Corriente!E139*SALUD_Mes_Constante!$C$1</f>
        <v>281306.82693163282</v>
      </c>
      <c r="F139" s="8">
        <f>+MINVU_Mes_Corriente!F139*SALUD_Mes_Constante!$C$1</f>
        <v>281306.82693163282</v>
      </c>
      <c r="G139" s="8">
        <f>+MINVU_Mes_Corriente!G139*SALUD_Mes_Constante!$C$1</f>
        <v>281306.82693163282</v>
      </c>
      <c r="H139" s="8">
        <f>+MINVU_Mes_Corriente!H139*SALUD_Mes_Constante!$C$1</f>
        <v>281306.82693163282</v>
      </c>
      <c r="I139" s="8">
        <f>+MINVU_Mes_Corriente!I139*SALUD_Mes_Constante!$C$1</f>
        <v>281306.82693163282</v>
      </c>
      <c r="J139" s="8">
        <f>+MINVU_Mes_Corriente!J139*SALUD_Mes_Constante!$C$1</f>
        <v>281306.82693163282</v>
      </c>
      <c r="K139" s="8">
        <f>+MINVU_Mes_Corriente!K139*SALUD_Mes_Constante!$C$1</f>
        <v>281306.82693163282</v>
      </c>
      <c r="L139" s="8">
        <f>+MINVU_Mes_Corriente!L139*SALUD_Mes_Constante!$C$1</f>
        <v>281306.82693163282</v>
      </c>
      <c r="M139" s="8">
        <f>+MINVU_Mes_Corriente!M139*SALUD_Mes_Constante!$C$1</f>
        <v>281306.82693163282</v>
      </c>
      <c r="N139" s="8">
        <f>+MINVU_Mes_Corriente!N139*SALUD_Mes_Constante!$C$1</f>
        <v>281306.82693163282</v>
      </c>
      <c r="O139" s="9">
        <f t="shared" si="57"/>
        <v>281306.82693163282</v>
      </c>
      <c r="P139" s="8">
        <f>+MINVU_Mes_Corriente!P139*SALUD_Mes_Constante!$P$1</f>
        <v>277561.37832078408</v>
      </c>
      <c r="Q139" s="8">
        <f>+MINVU_Mes_Corriente!Q139*SALUD_Mes_Constante!$P$1</f>
        <v>277561.37832078408</v>
      </c>
      <c r="R139" s="8">
        <f>+MINVU_Mes_Corriente!R139*SALUD_Mes_Constante!$P$1</f>
        <v>277561.37832078408</v>
      </c>
      <c r="S139" s="8">
        <f>+MINVU_Mes_Corriente!S139*SALUD_Mes_Constante!$P$1</f>
        <v>277561.37832078408</v>
      </c>
      <c r="T139" s="8">
        <f>+MINVU_Mes_Corriente!T139*SALUD_Mes_Constante!$P$1</f>
        <v>277561.37832078408</v>
      </c>
      <c r="U139" s="8">
        <f>+MINVU_Mes_Corriente!U139*SALUD_Mes_Constante!$P$1</f>
        <v>277561.37832078408</v>
      </c>
      <c r="V139" s="8">
        <f>+MINVU_Mes_Corriente!V139*SALUD_Mes_Constante!$P$1</f>
        <v>277561.37832078408</v>
      </c>
      <c r="W139" s="8">
        <f>+MINVU_Mes_Corriente!W139*SALUD_Mes_Constante!$P$1</f>
        <v>277561.37832078408</v>
      </c>
      <c r="X139" s="8">
        <f>+MINVU_Mes_Corriente!X139*SALUD_Mes_Constante!$P$1</f>
        <v>277561.37832078408</v>
      </c>
      <c r="Y139" s="8">
        <f>+MINVU_Mes_Corriente!Y139*SALUD_Mes_Constante!$P$1</f>
        <v>277561.37832078408</v>
      </c>
      <c r="Z139" s="8">
        <f>+MINVU_Mes_Corriente!Z139*SALUD_Mes_Constante!$P$1</f>
        <v>277561.37832078408</v>
      </c>
      <c r="AA139" s="8">
        <f>+MINVU_Mes_Corriente!AA139*SALUD_Mes_Constante!$P$1</f>
        <v>277561.37832078408</v>
      </c>
      <c r="AB139" s="9">
        <f t="shared" si="58"/>
        <v>277561.37832078408</v>
      </c>
      <c r="AC139" s="8">
        <f>+MINVU_Mes_Corriente!AC139*SALUD_Mes_Constante!$AC$1</f>
        <v>280536.27223682392</v>
      </c>
      <c r="AD139" s="8">
        <f>+MINVU_Mes_Corriente!AD139*SALUD_Mes_Constante!$AC$1</f>
        <v>280536.27223682392</v>
      </c>
      <c r="AE139" s="8">
        <f>+MINVU_Mes_Corriente!AE139*SALUD_Mes_Constante!$AC$1</f>
        <v>280536.27223682392</v>
      </c>
      <c r="AF139" s="8">
        <f>+MINVU_Mes_Corriente!AF139*SALUD_Mes_Constante!$AC$1</f>
        <v>280536.27223682392</v>
      </c>
      <c r="AG139" s="8">
        <f>+MINVU_Mes_Corriente!AG139*SALUD_Mes_Constante!$AC$1</f>
        <v>280536.27223682392</v>
      </c>
      <c r="AH139" s="8">
        <f>+MINVU_Mes_Corriente!AH139*SALUD_Mes_Constante!$AC$1</f>
        <v>280536.27223682392</v>
      </c>
      <c r="AI139" s="8">
        <f>+MINVU_Mes_Corriente!AI139*SALUD_Mes_Constante!$AC$1</f>
        <v>280536.27223682392</v>
      </c>
      <c r="AJ139" s="8">
        <f>+MINVU_Mes_Corriente!AJ139*SALUD_Mes_Constante!$AC$1</f>
        <v>280536.27223682392</v>
      </c>
      <c r="AK139" s="8">
        <f>+MINVU_Mes_Corriente!AK139*SALUD_Mes_Constante!$AC$1</f>
        <v>280536.27223682392</v>
      </c>
      <c r="AL139" s="8">
        <f>+MINVU_Mes_Corriente!AL139*SALUD_Mes_Constante!$AC$1</f>
        <v>280536.27223682392</v>
      </c>
      <c r="AM139" s="8">
        <f>+MINVU_Mes_Corriente!AM139*SALUD_Mes_Constante!$AC$1</f>
        <v>280536.27223682392</v>
      </c>
      <c r="AN139" s="8">
        <f>+MINVU_Mes_Corriente!AN139*SALUD_Mes_Constante!$AC$1</f>
        <v>280536.27223682392</v>
      </c>
      <c r="AO139" s="9">
        <f t="shared" si="59"/>
        <v>280536.27223682392</v>
      </c>
      <c r="AP139" s="8">
        <f>+MINVU_Mes_Corriente!AP139*SALUD_Mes_Constante!$AP$1</f>
        <v>282541.95590423374</v>
      </c>
      <c r="AQ139" s="8">
        <f>+MINVU_Mes_Corriente!AQ139*SALUD_Mes_Constante!$AP$1</f>
        <v>282541.95590423374</v>
      </c>
      <c r="AR139" s="8">
        <f>+MINVU_Mes_Corriente!AR139*SALUD_Mes_Constante!$AP$1</f>
        <v>282541.95590423374</v>
      </c>
      <c r="AS139" s="8">
        <f>+MINVU_Mes_Corriente!AS139*SALUD_Mes_Constante!$AP$1</f>
        <v>282541.95590423374</v>
      </c>
      <c r="AT139" s="8">
        <f>+MINVU_Mes_Corriente!AT139*SALUD_Mes_Constante!$AP$1</f>
        <v>282541.95590423374</v>
      </c>
      <c r="AU139" s="8">
        <f>+MINVU_Mes_Corriente!AU139*SALUD_Mes_Constante!$AP$1</f>
        <v>282541.95590423374</v>
      </c>
      <c r="AV139" s="8">
        <f>+MINVU_Mes_Corriente!AV139*SALUD_Mes_Constante!$AP$1</f>
        <v>282541.95590423374</v>
      </c>
      <c r="AW139" s="8">
        <f>+MINVU_Mes_Corriente!AW139*SALUD_Mes_Constante!$AP$1</f>
        <v>282541.95590423374</v>
      </c>
      <c r="AX139" s="8">
        <f>+MINVU_Mes_Corriente!AX139*SALUD_Mes_Constante!$AP$1</f>
        <v>282541.95590423374</v>
      </c>
      <c r="AY139" s="8">
        <f>+MINVU_Mes_Corriente!AY139*SALUD_Mes_Constante!$AP$1</f>
        <v>282541.95590423374</v>
      </c>
      <c r="AZ139" s="8">
        <f>+MINVU_Mes_Corriente!AZ139*SALUD_Mes_Constante!$AP$1</f>
        <v>282541.95590423374</v>
      </c>
      <c r="BA139" s="8">
        <f>+MINVU_Mes_Corriente!BA139*SALUD_Mes_Constante!$AP$1</f>
        <v>282541.95590423374</v>
      </c>
      <c r="BB139" s="9">
        <f t="shared" si="60"/>
        <v>282541.95590423374</v>
      </c>
      <c r="BC139" s="8">
        <f>+MINVU_Mes_Corriente!BC139*SALUD_Mes_Constante!$BC$1</f>
        <v>282625.05947514181</v>
      </c>
      <c r="BD139" s="8">
        <f>+MINVU_Mes_Corriente!BD139*SALUD_Mes_Constante!$BC$1</f>
        <v>282625.05947514181</v>
      </c>
      <c r="BE139" s="8">
        <f>+MINVU_Mes_Corriente!BE139*SALUD_Mes_Constante!$BC$1</f>
        <v>282625.05947514181</v>
      </c>
      <c r="BF139" s="8">
        <f>+MINVU_Mes_Corriente!BF139*SALUD_Mes_Constante!$BC$1</f>
        <v>282625.05947514181</v>
      </c>
      <c r="BG139" s="8">
        <f>+MINVU_Mes_Corriente!BG139*SALUD_Mes_Constante!$BC$1</f>
        <v>282625.05947514181</v>
      </c>
      <c r="BH139" s="8">
        <f>+MINVU_Mes_Corriente!BH139*SALUD_Mes_Constante!$BC$1</f>
        <v>282625.05947514181</v>
      </c>
      <c r="BI139" s="8">
        <f>+MINVU_Mes_Corriente!BI139*SALUD_Mes_Constante!$BC$1</f>
        <v>282625.05947514181</v>
      </c>
      <c r="BJ139" s="8">
        <f>+MINVU_Mes_Corriente!BJ139*SALUD_Mes_Constante!$BC$1</f>
        <v>282625.05947514181</v>
      </c>
      <c r="BK139" s="8">
        <f>+MINVU_Mes_Corriente!BK139*SALUD_Mes_Constante!$BC$1</f>
        <v>282625.05947514181</v>
      </c>
      <c r="BL139" s="8">
        <f>+MINVU_Mes_Corriente!BL139*SALUD_Mes_Constante!$BC$1</f>
        <v>282625.05947514181</v>
      </c>
      <c r="BM139" s="8">
        <f>+MINVU_Mes_Corriente!BM139*SALUD_Mes_Constante!$BC$1</f>
        <v>282625.05947514181</v>
      </c>
      <c r="BN139" s="8">
        <f>+MINVU_Mes_Corriente!BN139*SALUD_Mes_Constante!$BC$1</f>
        <v>282625.05947514181</v>
      </c>
      <c r="BO139" s="9">
        <f t="shared" si="61"/>
        <v>282625.05947514181</v>
      </c>
      <c r="BP139" s="8">
        <f>+MINVU_Mes_Corriente!BP139*SALUD_Mes_Constante!$BP$1</f>
        <v>0</v>
      </c>
      <c r="BQ139" s="8">
        <f>+MINVU_Mes_Corriente!BQ139*SALUD_Mes_Constante!$BP$1</f>
        <v>0</v>
      </c>
      <c r="BR139" s="8">
        <f>+MINVU_Mes_Corriente!BR139*SALUD_Mes_Constante!$BP$1</f>
        <v>0</v>
      </c>
      <c r="BS139" s="8">
        <f>+MINVU_Mes_Corriente!BS139*SALUD_Mes_Constante!$BP$1</f>
        <v>0</v>
      </c>
      <c r="BT139" s="8">
        <f>+MINVU_Mes_Corriente!BT139*SALUD_Mes_Constante!$BP$1</f>
        <v>0</v>
      </c>
      <c r="BU139" s="8">
        <f>+MINVU_Mes_Corriente!BU139*SALUD_Mes_Constante!$BP$1</f>
        <v>0</v>
      </c>
      <c r="BV139" s="8">
        <f>+MINVU_Mes_Corriente!BV139*SALUD_Mes_Constante!$BP$1</f>
        <v>0</v>
      </c>
      <c r="BW139" s="8">
        <f>+MINVU_Mes_Corriente!BW139*SALUD_Mes_Constante!$BP$1</f>
        <v>0</v>
      </c>
      <c r="BX139" s="8">
        <f>+MINVU_Mes_Corriente!BX139*SALUD_Mes_Constante!$BP$1</f>
        <v>0</v>
      </c>
      <c r="BY139" s="8">
        <f>+MINVU_Mes_Corriente!BY139*SALUD_Mes_Constante!$BP$1</f>
        <v>0</v>
      </c>
      <c r="BZ139" s="8">
        <f>+MINVU_Mes_Corriente!BZ139*SALUD_Mes_Constante!$BP$1</f>
        <v>0</v>
      </c>
      <c r="CA139" s="8">
        <f>+MINVU_Mes_Corriente!CA139*SALUD_Mes_Constante!$BP$1</f>
        <v>0</v>
      </c>
      <c r="CB139" s="9">
        <f t="shared" si="62"/>
        <v>0</v>
      </c>
      <c r="CC139" s="8">
        <f>+MINVU_Mes_Corriente!CC139*SALUD_Mes_Constante!$CC$1</f>
        <v>89808.378217083184</v>
      </c>
      <c r="CD139" s="8">
        <f>+MINVU_Mes_Corriente!CD139*SALUD_Mes_Constante!$CC$1</f>
        <v>89808.378217083184</v>
      </c>
      <c r="CE139" s="8">
        <f>+MINVU_Mes_Corriente!CE139*SALUD_Mes_Constante!$CC$1</f>
        <v>89808.378217083184</v>
      </c>
      <c r="CF139" s="8">
        <f>+MINVU_Mes_Corriente!CF139*SALUD_Mes_Constante!$CC$1</f>
        <v>89808.378217083184</v>
      </c>
      <c r="CG139" s="8">
        <f>+MINVU_Mes_Corriente!CG139*SALUD_Mes_Constante!$CC$1</f>
        <v>89808.378217083184</v>
      </c>
      <c r="CH139" s="8">
        <f>+MINVU_Mes_Corriente!CH139*SALUD_Mes_Constante!$CC$1</f>
        <v>89808.378217083184</v>
      </c>
      <c r="CI139" s="8">
        <f>+MINVU_Mes_Corriente!CI139*SALUD_Mes_Constante!$CC$1</f>
        <v>89808.378217083184</v>
      </c>
      <c r="CJ139" s="8">
        <f>+MINVU_Mes_Corriente!CJ139*SALUD_Mes_Constante!$CC$1</f>
        <v>89808.378217083184</v>
      </c>
      <c r="CK139" s="8">
        <f>+MINVU_Mes_Corriente!CK139*SALUD_Mes_Constante!$CC$1</f>
        <v>89808.378217083184</v>
      </c>
      <c r="CL139" s="8">
        <f>+MINVU_Mes_Corriente!CL139*SALUD_Mes_Constante!$CC$1</f>
        <v>89808.378217083184</v>
      </c>
      <c r="CM139" s="8">
        <f>+MINVU_Mes_Corriente!CM139*SALUD_Mes_Constante!$CC$1</f>
        <v>89808.378217083184</v>
      </c>
      <c r="CN139" s="8">
        <f>+MINVU_Mes_Corriente!CN139*SALUD_Mes_Constante!$CC$1</f>
        <v>89808.378217083184</v>
      </c>
      <c r="CO139" s="9">
        <f t="shared" si="63"/>
        <v>89808.378217083184</v>
      </c>
      <c r="CP139" s="8">
        <f>+MINVU_Mes_Corriente!CP139*SALUD_Mes_Constante!$CP$1</f>
        <v>362336.32691415306</v>
      </c>
      <c r="CQ139" s="8">
        <f>+MINVU_Mes_Corriente!CQ139*SALUD_Mes_Constante!$CP$1</f>
        <v>362336.32691415306</v>
      </c>
      <c r="CR139" s="8">
        <f>+MINVU_Mes_Corriente!CR139*SALUD_Mes_Constante!$CP$1</f>
        <v>362336.32691415306</v>
      </c>
      <c r="CS139" s="8">
        <f>+MINVU_Mes_Corriente!CS139*SALUD_Mes_Constante!$CP$1</f>
        <v>362336.32691415306</v>
      </c>
      <c r="CT139" s="8">
        <f>+MINVU_Mes_Corriente!CT139*SALUD_Mes_Constante!$CP$1</f>
        <v>362336.32691415306</v>
      </c>
      <c r="CU139" s="8">
        <f>+MINVU_Mes_Corriente!CU139*SALUD_Mes_Constante!$CP$1</f>
        <v>362336.32691415306</v>
      </c>
      <c r="CV139" s="8">
        <f>+MINVU_Mes_Corriente!CV139*SALUD_Mes_Constante!$CP$1</f>
        <v>362336.32691415306</v>
      </c>
      <c r="CW139" s="8">
        <f>+MINVU_Mes_Corriente!CW139*SALUD_Mes_Constante!$CP$1</f>
        <v>362336.32691415306</v>
      </c>
      <c r="CX139" s="8">
        <f>+MINVU_Mes_Corriente!CX139*SALUD_Mes_Constante!$CP$1</f>
        <v>362336.32691415306</v>
      </c>
      <c r="CY139" s="8">
        <f>+MINVU_Mes_Corriente!CY139*SALUD_Mes_Constante!$CP$1</f>
        <v>362336.32691415306</v>
      </c>
      <c r="CZ139" s="8">
        <f>+MINVU_Mes_Corriente!CZ139*SALUD_Mes_Constante!$CP$1</f>
        <v>362336.32691415306</v>
      </c>
      <c r="DA139" s="8">
        <f>+MINVU_Mes_Corriente!DA139*SALUD_Mes_Constante!$CP$1</f>
        <v>362336.32691415306</v>
      </c>
      <c r="DB139" s="9">
        <f t="shared" si="64"/>
        <v>362336.32691415306</v>
      </c>
      <c r="DC139" s="8">
        <f>+MINVU_Mes_Corriente!DC139*SALUD_Mes_Constante!$DC$1</f>
        <v>443630.89229503158</v>
      </c>
      <c r="DD139" s="8">
        <f>+MINVU_Mes_Corriente!DD139*SALUD_Mes_Constante!$DC$1</f>
        <v>443630.89229503158</v>
      </c>
      <c r="DE139" s="8">
        <f>+MINVU_Mes_Corriente!DE139*SALUD_Mes_Constante!$DC$1</f>
        <v>443630.89229503158</v>
      </c>
      <c r="DF139" s="8">
        <f>+MINVU_Mes_Corriente!DF139*SALUD_Mes_Constante!$DC$1</f>
        <v>443630.89229503158</v>
      </c>
      <c r="DG139" s="8">
        <f>+MINVU_Mes_Corriente!DG139*SALUD_Mes_Constante!$DC$1</f>
        <v>443630.89229503158</v>
      </c>
      <c r="DH139" s="8">
        <f>+MINVU_Mes_Corriente!DH139*SALUD_Mes_Constante!$DC$1</f>
        <v>443630.89229503158</v>
      </c>
      <c r="DI139" s="8">
        <f>+MINVU_Mes_Corriente!DI139*SALUD_Mes_Constante!$DC$1</f>
        <v>443630.89229503158</v>
      </c>
      <c r="DJ139" s="8">
        <f>+MINVU_Mes_Corriente!DJ139*SALUD_Mes_Constante!$DC$1</f>
        <v>443630.89229503158</v>
      </c>
      <c r="DK139" s="8">
        <f>+MINVU_Mes_Corriente!DK139*SALUD_Mes_Constante!$DC$1</f>
        <v>443630.89229503158</v>
      </c>
      <c r="DL139" s="8">
        <f>+MINVU_Mes_Corriente!DL139*SALUD_Mes_Constante!$DC$1</f>
        <v>443630.89229503158</v>
      </c>
      <c r="DM139" s="8">
        <f>+MINVU_Mes_Corriente!DM139*SALUD_Mes_Constante!$DC$1</f>
        <v>443630.89229503158</v>
      </c>
      <c r="DN139" s="8">
        <f>+MINVU_Mes_Corriente!DN139*SALUD_Mes_Constante!$DC$1</f>
        <v>443630.89229503158</v>
      </c>
      <c r="DO139" s="9">
        <f t="shared" si="65"/>
        <v>443630.89229503158</v>
      </c>
      <c r="DP139" s="8">
        <f>+MINVU_Mes_Corriente!DP139*SALUD_Mes_Constante!$DP$1</f>
        <v>453703.66389548697</v>
      </c>
      <c r="DQ139" s="8">
        <f>+MINVU_Mes_Corriente!DQ139*SALUD_Mes_Constante!$DP$1</f>
        <v>453703.66389548697</v>
      </c>
      <c r="DR139" s="8">
        <f>+MINVU_Mes_Corriente!DR139*SALUD_Mes_Constante!$DP$1</f>
        <v>453703.66389548697</v>
      </c>
      <c r="DS139" s="8">
        <f>+MINVU_Mes_Corriente!DS139*SALUD_Mes_Constante!$DP$1</f>
        <v>453703.66389548697</v>
      </c>
      <c r="DT139" s="8">
        <f>+MINVU_Mes_Corriente!DT139*SALUD_Mes_Constante!$DP$1</f>
        <v>453703.66389548697</v>
      </c>
      <c r="DU139" s="8">
        <f>+MINVU_Mes_Corriente!DU139*SALUD_Mes_Constante!$DP$1</f>
        <v>453703.66389548697</v>
      </c>
      <c r="DV139" s="8">
        <f>+MINVU_Mes_Corriente!DV139*SALUD_Mes_Constante!$DP$1</f>
        <v>453703.66389548697</v>
      </c>
      <c r="DW139" s="8">
        <f>+MINVU_Mes_Corriente!DW139*SALUD_Mes_Constante!$DP$1</f>
        <v>453703.66389548697</v>
      </c>
      <c r="DX139" s="8">
        <f>+MINVU_Mes_Corriente!DX139*SALUD_Mes_Constante!$DP$1</f>
        <v>453703.66389548697</v>
      </c>
      <c r="DY139" s="8">
        <f>+MINVU_Mes_Corriente!DY139*SALUD_Mes_Constante!$DP$1</f>
        <v>453703.66389548697</v>
      </c>
      <c r="DZ139" s="8">
        <f>+MINVU_Mes_Corriente!DZ139*SALUD_Mes_Constante!$DP$1</f>
        <v>453703.66389548697</v>
      </c>
      <c r="EA139" s="8">
        <f>+MINVU_Mes_Corriente!EA139*SALUD_Mes_Constante!$DP$1</f>
        <v>453703.66389548697</v>
      </c>
      <c r="EB139" s="9">
        <f t="shared" si="66"/>
        <v>453703.66389548697</v>
      </c>
      <c r="EC139" s="8">
        <f>+MINVU_Mes_Corriente!EC139*SALUD_Mes_Constante!$EC$1</f>
        <v>397551.43741715571</v>
      </c>
      <c r="ED139" s="8">
        <f>+MINVU_Mes_Corriente!ED139*SALUD_Mes_Constante!$EC$1</f>
        <v>397551.43741715571</v>
      </c>
      <c r="EE139" s="8">
        <f>+MINVU_Mes_Corriente!EE139*SALUD_Mes_Constante!$EC$1</f>
        <v>397551.43741715571</v>
      </c>
      <c r="EF139" s="8">
        <f>+MINVU_Mes_Corriente!EF139*SALUD_Mes_Constante!$EC$1</f>
        <v>397551.43741715571</v>
      </c>
      <c r="EG139" s="8">
        <f>+MINVU_Mes_Corriente!EG139*SALUD_Mes_Constante!$EC$1</f>
        <v>397551.43741715571</v>
      </c>
      <c r="EH139" s="8">
        <f>+MINVU_Mes_Corriente!EH139*SALUD_Mes_Constante!$EC$1</f>
        <v>397551.43741715571</v>
      </c>
      <c r="EI139" s="8">
        <f>+MINVU_Mes_Corriente!EI139*SALUD_Mes_Constante!$EC$1</f>
        <v>397551.43741715571</v>
      </c>
      <c r="EJ139" s="8">
        <f>+MINVU_Mes_Corriente!EJ139*SALUD_Mes_Constante!$EC$1</f>
        <v>397551.43741715571</v>
      </c>
      <c r="EK139" s="8">
        <f>+MINVU_Mes_Corriente!EK139*SALUD_Mes_Constante!$EC$1</f>
        <v>397551.43741715571</v>
      </c>
      <c r="EL139" s="8">
        <f>+MINVU_Mes_Corriente!EL139*SALUD_Mes_Constante!$EC$1</f>
        <v>397551.43741715571</v>
      </c>
      <c r="EM139" s="8">
        <f>+MINVU_Mes_Corriente!EM139*SALUD_Mes_Constante!$EC$1</f>
        <v>397551.43741715571</v>
      </c>
      <c r="EN139" s="8">
        <f>+MINVU_Mes_Corriente!EN139*SALUD_Mes_Constante!$EC$1</f>
        <v>397551.43741715571</v>
      </c>
      <c r="EO139" s="9">
        <f t="shared" si="67"/>
        <v>397551.43741715571</v>
      </c>
      <c r="EP139" s="8">
        <f>+MINVU_Mes_Corriente!EP139*SALUD_Mes_Constante!$EP$1</f>
        <v>400448</v>
      </c>
      <c r="EQ139" s="8">
        <f>+MINVU_Mes_Corriente!EQ139*SALUD_Mes_Constante!$EP$1</f>
        <v>400448</v>
      </c>
      <c r="ER139" s="8">
        <f>+MINVU_Mes_Corriente!ER139*SALUD_Mes_Constante!$EP$1</f>
        <v>400448</v>
      </c>
      <c r="ES139" s="8">
        <f>+MINVU_Mes_Corriente!ES139*SALUD_Mes_Constante!$EP$1</f>
        <v>400448</v>
      </c>
      <c r="ET139" s="8">
        <f>+MINVU_Mes_Corriente!ET139*SALUD_Mes_Constante!$EP$1</f>
        <v>400448</v>
      </c>
      <c r="EU139" s="8">
        <f>+MINVU_Mes_Corriente!EU139*SALUD_Mes_Constante!$EP$1</f>
        <v>400448</v>
      </c>
      <c r="EV139" s="8">
        <f>+MINVU_Mes_Corriente!EV139*SALUD_Mes_Constante!$EP$1</f>
        <v>400448</v>
      </c>
      <c r="EW139" s="8">
        <f>+MINVU_Mes_Corriente!EW139*SALUD_Mes_Constante!$EP$1</f>
        <v>400448</v>
      </c>
      <c r="EX139" s="8">
        <f>+MINVU_Mes_Corriente!EX139*SALUD_Mes_Constante!$EP$1</f>
        <v>400448</v>
      </c>
      <c r="EY139" s="8">
        <f>+MINVU_Mes_Corriente!EY139*SALUD_Mes_Constante!$EP$1</f>
        <v>400448</v>
      </c>
      <c r="EZ139" s="8">
        <f>+MINVU_Mes_Corriente!EZ139*SALUD_Mes_Constante!$EP$1</f>
        <v>400448</v>
      </c>
      <c r="FA139" s="8">
        <f>+MINVU_Mes_Corriente!FA139*SALUD_Mes_Constante!$EP$1</f>
        <v>400448</v>
      </c>
      <c r="FB139" s="9">
        <f t="shared" si="68"/>
        <v>400448</v>
      </c>
      <c r="FC139" s="8">
        <f>+MINVU_Mes_Corriente!FC139*SALUD_Mes_Constante!$FC$1</f>
        <v>412862</v>
      </c>
      <c r="FD139" s="8">
        <f>+MINVU_Mes_Corriente!FD139*SALUD_Mes_Constante!$FC$1</f>
        <v>412862</v>
      </c>
      <c r="FE139" s="8">
        <f>+MINVU_Mes_Corriente!FE139*SALUD_Mes_Constante!$FC$1</f>
        <v>412862</v>
      </c>
      <c r="FF139" s="8">
        <f>+MINVU_Mes_Corriente!FF139*SALUD_Mes_Constante!$FC$1</f>
        <v>412862</v>
      </c>
      <c r="FG139" s="8">
        <f>+MINVU_Mes_Corriente!FG139*SALUD_Mes_Constante!$FC$1</f>
        <v>412862</v>
      </c>
      <c r="FH139" s="8">
        <f>+MINVU_Mes_Corriente!FH139*SALUD_Mes_Constante!$FC$1</f>
        <v>412862</v>
      </c>
      <c r="FI139" s="8">
        <f>+MINVU_Mes_Corriente!FI139*SALUD_Mes_Constante!$FC$1</f>
        <v>412862</v>
      </c>
      <c r="FJ139" s="8"/>
      <c r="FK139" s="8"/>
      <c r="FL139" s="8"/>
      <c r="FM139" s="8"/>
      <c r="FN139" s="8"/>
      <c r="FO139" s="9">
        <f t="shared" si="69"/>
        <v>412862</v>
      </c>
    </row>
    <row r="140" spans="2:171" ht="14.25" customHeight="1" x14ac:dyDescent="0.3">
      <c r="B140" s="31" t="s">
        <v>64</v>
      </c>
      <c r="C140" s="8">
        <f>+MINVU_Mes_Corriente!C140*SALUD_Mes_Constante!$C$1</f>
        <v>218732.26546047756</v>
      </c>
      <c r="D140" s="8">
        <f>+MINVU_Mes_Corriente!D140*SALUD_Mes_Constante!$C$1</f>
        <v>218732.26546047756</v>
      </c>
      <c r="E140" s="8">
        <f>+MINVU_Mes_Corriente!E140*SALUD_Mes_Constante!$C$1</f>
        <v>218732.26546047756</v>
      </c>
      <c r="F140" s="8">
        <f>+MINVU_Mes_Corriente!F140*SALUD_Mes_Constante!$C$1</f>
        <v>218732.26546047756</v>
      </c>
      <c r="G140" s="8">
        <f>+MINVU_Mes_Corriente!G140*SALUD_Mes_Constante!$C$1</f>
        <v>218732.26546047756</v>
      </c>
      <c r="H140" s="8">
        <f>+MINVU_Mes_Corriente!H140*SALUD_Mes_Constante!$C$1</f>
        <v>218732.26546047756</v>
      </c>
      <c r="I140" s="8">
        <f>+MINVU_Mes_Corriente!I140*SALUD_Mes_Constante!$C$1</f>
        <v>218732.26546047756</v>
      </c>
      <c r="J140" s="8">
        <f>+MINVU_Mes_Corriente!J140*SALUD_Mes_Constante!$C$1</f>
        <v>218732.26546047756</v>
      </c>
      <c r="K140" s="8">
        <f>+MINVU_Mes_Corriente!K140*SALUD_Mes_Constante!$C$1</f>
        <v>218732.26546047756</v>
      </c>
      <c r="L140" s="8">
        <f>+MINVU_Mes_Corriente!L140*SALUD_Mes_Constante!$C$1</f>
        <v>218732.26546047756</v>
      </c>
      <c r="M140" s="8">
        <f>+MINVU_Mes_Corriente!M140*SALUD_Mes_Constante!$C$1</f>
        <v>218732.26546047756</v>
      </c>
      <c r="N140" s="8">
        <f>+MINVU_Mes_Corriente!N140*SALUD_Mes_Constante!$C$1</f>
        <v>218732.26546047756</v>
      </c>
      <c r="O140" s="9">
        <f t="shared" si="57"/>
        <v>218732.26546047756</v>
      </c>
      <c r="P140" s="8">
        <f>+MINVU_Mes_Corriente!P140*SALUD_Mes_Constante!$P$1</f>
        <v>215820.70833925265</v>
      </c>
      <c r="Q140" s="8">
        <f>+MINVU_Mes_Corriente!Q140*SALUD_Mes_Constante!$P$1</f>
        <v>215820.70833925265</v>
      </c>
      <c r="R140" s="8">
        <f>+MINVU_Mes_Corriente!R140*SALUD_Mes_Constante!$P$1</f>
        <v>215820.70833925265</v>
      </c>
      <c r="S140" s="8">
        <f>+MINVU_Mes_Corriente!S140*SALUD_Mes_Constante!$P$1</f>
        <v>215820.70833925265</v>
      </c>
      <c r="T140" s="8">
        <f>+MINVU_Mes_Corriente!T140*SALUD_Mes_Constante!$P$1</f>
        <v>215820.70833925265</v>
      </c>
      <c r="U140" s="8">
        <f>+MINVU_Mes_Corriente!U140*SALUD_Mes_Constante!$P$1</f>
        <v>215820.70833925265</v>
      </c>
      <c r="V140" s="8">
        <f>+MINVU_Mes_Corriente!V140*SALUD_Mes_Constante!$P$1</f>
        <v>215820.70833925265</v>
      </c>
      <c r="W140" s="8">
        <f>+MINVU_Mes_Corriente!W140*SALUD_Mes_Constante!$P$1</f>
        <v>215820.70833925265</v>
      </c>
      <c r="X140" s="8">
        <f>+MINVU_Mes_Corriente!X140*SALUD_Mes_Constante!$P$1</f>
        <v>215820.70833925265</v>
      </c>
      <c r="Y140" s="8">
        <f>+MINVU_Mes_Corriente!Y140*SALUD_Mes_Constante!$P$1</f>
        <v>215820.70833925265</v>
      </c>
      <c r="Z140" s="8">
        <f>+MINVU_Mes_Corriente!Z140*SALUD_Mes_Constante!$P$1</f>
        <v>215820.70833925265</v>
      </c>
      <c r="AA140" s="8">
        <f>+MINVU_Mes_Corriente!AA140*SALUD_Mes_Constante!$P$1</f>
        <v>215820.70833925265</v>
      </c>
      <c r="AB140" s="9">
        <f t="shared" si="58"/>
        <v>215820.70833925265</v>
      </c>
      <c r="AC140" s="8">
        <f>+MINVU_Mes_Corriente!AC140*SALUD_Mes_Constante!$AC$1</f>
        <v>218134.5898464518</v>
      </c>
      <c r="AD140" s="8">
        <f>+MINVU_Mes_Corriente!AD140*SALUD_Mes_Constante!$AC$1</f>
        <v>218134.5898464518</v>
      </c>
      <c r="AE140" s="8">
        <f>+MINVU_Mes_Corriente!AE140*SALUD_Mes_Constante!$AC$1</f>
        <v>218134.5898464518</v>
      </c>
      <c r="AF140" s="8">
        <f>+MINVU_Mes_Corriente!AF140*SALUD_Mes_Constante!$AC$1</f>
        <v>218134.5898464518</v>
      </c>
      <c r="AG140" s="8">
        <f>+MINVU_Mes_Corriente!AG140*SALUD_Mes_Constante!$AC$1</f>
        <v>218134.5898464518</v>
      </c>
      <c r="AH140" s="8">
        <f>+MINVU_Mes_Corriente!AH140*SALUD_Mes_Constante!$AC$1</f>
        <v>218134.5898464518</v>
      </c>
      <c r="AI140" s="8">
        <f>+MINVU_Mes_Corriente!AI140*SALUD_Mes_Constante!$AC$1</f>
        <v>218134.5898464518</v>
      </c>
      <c r="AJ140" s="8">
        <f>+MINVU_Mes_Corriente!AJ140*SALUD_Mes_Constante!$AC$1</f>
        <v>218134.5898464518</v>
      </c>
      <c r="AK140" s="8">
        <f>+MINVU_Mes_Corriente!AK140*SALUD_Mes_Constante!$AC$1</f>
        <v>218134.5898464518</v>
      </c>
      <c r="AL140" s="8">
        <f>+MINVU_Mes_Corriente!AL140*SALUD_Mes_Constante!$AC$1</f>
        <v>218134.5898464518</v>
      </c>
      <c r="AM140" s="8">
        <f>+MINVU_Mes_Corriente!AM140*SALUD_Mes_Constante!$AC$1</f>
        <v>218134.5898464518</v>
      </c>
      <c r="AN140" s="8">
        <f>+MINVU_Mes_Corriente!AN140*SALUD_Mes_Constante!$AC$1</f>
        <v>218134.5898464518</v>
      </c>
      <c r="AO140" s="9">
        <f t="shared" si="59"/>
        <v>218134.5898464518</v>
      </c>
      <c r="AP140" s="8">
        <f>+MINVU_Mes_Corriente!AP140*SALUD_Mes_Constante!$AP$1</f>
        <v>219694.91816583253</v>
      </c>
      <c r="AQ140" s="8">
        <f>+MINVU_Mes_Corriente!AQ140*SALUD_Mes_Constante!$AP$1</f>
        <v>219694.91816583253</v>
      </c>
      <c r="AR140" s="8">
        <f>+MINVU_Mes_Corriente!AR140*SALUD_Mes_Constante!$AP$1</f>
        <v>219694.91816583253</v>
      </c>
      <c r="AS140" s="8">
        <f>+MINVU_Mes_Corriente!AS140*SALUD_Mes_Constante!$AP$1</f>
        <v>219694.91816583253</v>
      </c>
      <c r="AT140" s="8">
        <f>+MINVU_Mes_Corriente!AT140*SALUD_Mes_Constante!$AP$1</f>
        <v>219694.91816583253</v>
      </c>
      <c r="AU140" s="8">
        <f>+MINVU_Mes_Corriente!AU140*SALUD_Mes_Constante!$AP$1</f>
        <v>219694.91816583253</v>
      </c>
      <c r="AV140" s="8">
        <f>+MINVU_Mes_Corriente!AV140*SALUD_Mes_Constante!$AP$1</f>
        <v>219694.91816583253</v>
      </c>
      <c r="AW140" s="8">
        <f>+MINVU_Mes_Corriente!AW140*SALUD_Mes_Constante!$AP$1</f>
        <v>219694.91816583253</v>
      </c>
      <c r="AX140" s="8">
        <f>+MINVU_Mes_Corriente!AX140*SALUD_Mes_Constante!$AP$1</f>
        <v>219694.91816583253</v>
      </c>
      <c r="AY140" s="8">
        <f>+MINVU_Mes_Corriente!AY140*SALUD_Mes_Constante!$AP$1</f>
        <v>219694.91816583253</v>
      </c>
      <c r="AZ140" s="8">
        <f>+MINVU_Mes_Corriente!AZ140*SALUD_Mes_Constante!$AP$1</f>
        <v>219694.91816583253</v>
      </c>
      <c r="BA140" s="8">
        <f>+MINVU_Mes_Corriente!BA140*SALUD_Mes_Constante!$AP$1</f>
        <v>219694.91816583253</v>
      </c>
      <c r="BB140" s="9">
        <f t="shared" si="60"/>
        <v>219694.91816583253</v>
      </c>
      <c r="BC140" s="8">
        <f>+MINVU_Mes_Corriente!BC140*SALUD_Mes_Constante!$BC$1</f>
        <v>219759.13490702893</v>
      </c>
      <c r="BD140" s="8">
        <f>+MINVU_Mes_Corriente!BD140*SALUD_Mes_Constante!$BC$1</f>
        <v>219759.13490702893</v>
      </c>
      <c r="BE140" s="8">
        <f>+MINVU_Mes_Corriente!BE140*SALUD_Mes_Constante!$BC$1</f>
        <v>219759.13490702893</v>
      </c>
      <c r="BF140" s="8">
        <f>+MINVU_Mes_Corriente!BF140*SALUD_Mes_Constante!$BC$1</f>
        <v>219759.13490702893</v>
      </c>
      <c r="BG140" s="8">
        <f>+MINVU_Mes_Corriente!BG140*SALUD_Mes_Constante!$BC$1</f>
        <v>219759.13490702893</v>
      </c>
      <c r="BH140" s="8">
        <f>+MINVU_Mes_Corriente!BH140*SALUD_Mes_Constante!$BC$1</f>
        <v>219759.13490702893</v>
      </c>
      <c r="BI140" s="8">
        <f>+MINVU_Mes_Corriente!BI140*SALUD_Mes_Constante!$BC$1</f>
        <v>219759.13490702893</v>
      </c>
      <c r="BJ140" s="8">
        <f>+MINVU_Mes_Corriente!BJ140*SALUD_Mes_Constante!$BC$1</f>
        <v>219759.13490702893</v>
      </c>
      <c r="BK140" s="8">
        <f>+MINVU_Mes_Corriente!BK140*SALUD_Mes_Constante!$BC$1</f>
        <v>219759.13490702893</v>
      </c>
      <c r="BL140" s="8">
        <f>+MINVU_Mes_Corriente!BL140*SALUD_Mes_Constante!$BC$1</f>
        <v>219759.13490702893</v>
      </c>
      <c r="BM140" s="8">
        <f>+MINVU_Mes_Corriente!BM140*SALUD_Mes_Constante!$BC$1</f>
        <v>219759.13490702893</v>
      </c>
      <c r="BN140" s="8">
        <f>+MINVU_Mes_Corriente!BN140*SALUD_Mes_Constante!$BC$1</f>
        <v>219759.13490702893</v>
      </c>
      <c r="BO140" s="9">
        <f t="shared" si="61"/>
        <v>219759.13490702893</v>
      </c>
      <c r="BP140" s="8">
        <f>+MINVU_Mes_Corriente!BP140*SALUD_Mes_Constante!$BP$1</f>
        <v>0</v>
      </c>
      <c r="BQ140" s="8">
        <f>+MINVU_Mes_Corriente!BQ140*SALUD_Mes_Constante!$BP$1</f>
        <v>0</v>
      </c>
      <c r="BR140" s="8">
        <f>+MINVU_Mes_Corriente!BR140*SALUD_Mes_Constante!$BP$1</f>
        <v>0</v>
      </c>
      <c r="BS140" s="8">
        <f>+MINVU_Mes_Corriente!BS140*SALUD_Mes_Constante!$BP$1</f>
        <v>0</v>
      </c>
      <c r="BT140" s="8">
        <f>+MINVU_Mes_Corriente!BT140*SALUD_Mes_Constante!$BP$1</f>
        <v>0</v>
      </c>
      <c r="BU140" s="8">
        <f>+MINVU_Mes_Corriente!BU140*SALUD_Mes_Constante!$BP$1</f>
        <v>0</v>
      </c>
      <c r="BV140" s="8">
        <f>+MINVU_Mes_Corriente!BV140*SALUD_Mes_Constante!$BP$1</f>
        <v>0</v>
      </c>
      <c r="BW140" s="8">
        <f>+MINVU_Mes_Corriente!BW140*SALUD_Mes_Constante!$BP$1</f>
        <v>0</v>
      </c>
      <c r="BX140" s="8">
        <f>+MINVU_Mes_Corriente!BX140*SALUD_Mes_Constante!$BP$1</f>
        <v>0</v>
      </c>
      <c r="BY140" s="8">
        <f>+MINVU_Mes_Corriente!BY140*SALUD_Mes_Constante!$BP$1</f>
        <v>0</v>
      </c>
      <c r="BZ140" s="8">
        <f>+MINVU_Mes_Corriente!BZ140*SALUD_Mes_Constante!$BP$1</f>
        <v>0</v>
      </c>
      <c r="CA140" s="8">
        <f>+MINVU_Mes_Corriente!CA140*SALUD_Mes_Constante!$BP$1</f>
        <v>0</v>
      </c>
      <c r="CB140" s="9">
        <f t="shared" si="62"/>
        <v>0</v>
      </c>
      <c r="CC140" s="8">
        <f>+MINVU_Mes_Corriente!CC140*SALUD_Mes_Constante!$CC$1</f>
        <v>64367.357702349873</v>
      </c>
      <c r="CD140" s="8">
        <f>+MINVU_Mes_Corriente!CD140*SALUD_Mes_Constante!$CC$1</f>
        <v>64367.357702349873</v>
      </c>
      <c r="CE140" s="8">
        <f>+MINVU_Mes_Corriente!CE140*SALUD_Mes_Constante!$CC$1</f>
        <v>64367.357702349873</v>
      </c>
      <c r="CF140" s="8">
        <f>+MINVU_Mes_Corriente!CF140*SALUD_Mes_Constante!$CC$1</f>
        <v>64367.357702349873</v>
      </c>
      <c r="CG140" s="8">
        <f>+MINVU_Mes_Corriente!CG140*SALUD_Mes_Constante!$CC$1</f>
        <v>64367.357702349873</v>
      </c>
      <c r="CH140" s="8">
        <f>+MINVU_Mes_Corriente!CH140*SALUD_Mes_Constante!$CC$1</f>
        <v>64367.357702349873</v>
      </c>
      <c r="CI140" s="8">
        <f>+MINVU_Mes_Corriente!CI140*SALUD_Mes_Constante!$CC$1</f>
        <v>64367.357702349873</v>
      </c>
      <c r="CJ140" s="8">
        <f>+MINVU_Mes_Corriente!CJ140*SALUD_Mes_Constante!$CC$1</f>
        <v>64367.357702349873</v>
      </c>
      <c r="CK140" s="8">
        <f>+MINVU_Mes_Corriente!CK140*SALUD_Mes_Constante!$CC$1</f>
        <v>64367.357702349873</v>
      </c>
      <c r="CL140" s="8">
        <f>+MINVU_Mes_Corriente!CL140*SALUD_Mes_Constante!$CC$1</f>
        <v>64367.357702349873</v>
      </c>
      <c r="CM140" s="8">
        <f>+MINVU_Mes_Corriente!CM140*SALUD_Mes_Constante!$CC$1</f>
        <v>64367.357702349873</v>
      </c>
      <c r="CN140" s="8">
        <f>+MINVU_Mes_Corriente!CN140*SALUD_Mes_Constante!$CC$1</f>
        <v>64367.357702349873</v>
      </c>
      <c r="CO140" s="9">
        <f t="shared" si="63"/>
        <v>64367.357702349873</v>
      </c>
      <c r="CP140" s="8">
        <f>+MINVU_Mes_Corriente!CP140*SALUD_Mes_Constante!$CP$1</f>
        <v>255152.52041763335</v>
      </c>
      <c r="CQ140" s="8">
        <f>+MINVU_Mes_Corriente!CQ140*SALUD_Mes_Constante!$CP$1</f>
        <v>255152.52041763335</v>
      </c>
      <c r="CR140" s="8">
        <f>+MINVU_Mes_Corriente!CR140*SALUD_Mes_Constante!$CP$1</f>
        <v>255152.52041763335</v>
      </c>
      <c r="CS140" s="8">
        <f>+MINVU_Mes_Corriente!CS140*SALUD_Mes_Constante!$CP$1</f>
        <v>255152.52041763335</v>
      </c>
      <c r="CT140" s="8">
        <f>+MINVU_Mes_Corriente!CT140*SALUD_Mes_Constante!$CP$1</f>
        <v>255152.52041763335</v>
      </c>
      <c r="CU140" s="8">
        <f>+MINVU_Mes_Corriente!CU140*SALUD_Mes_Constante!$CP$1</f>
        <v>255152.52041763335</v>
      </c>
      <c r="CV140" s="8">
        <f>+MINVU_Mes_Corriente!CV140*SALUD_Mes_Constante!$CP$1</f>
        <v>255152.52041763335</v>
      </c>
      <c r="CW140" s="8">
        <f>+MINVU_Mes_Corriente!CW140*SALUD_Mes_Constante!$CP$1</f>
        <v>255152.52041763335</v>
      </c>
      <c r="CX140" s="8">
        <f>+MINVU_Mes_Corriente!CX140*SALUD_Mes_Constante!$CP$1</f>
        <v>255152.52041763335</v>
      </c>
      <c r="CY140" s="8">
        <f>+MINVU_Mes_Corriente!CY140*SALUD_Mes_Constante!$CP$1</f>
        <v>255152.52041763335</v>
      </c>
      <c r="CZ140" s="8">
        <f>+MINVU_Mes_Corriente!CZ140*SALUD_Mes_Constante!$CP$1</f>
        <v>255152.52041763335</v>
      </c>
      <c r="DA140" s="8">
        <f>+MINVU_Mes_Corriente!DA140*SALUD_Mes_Constante!$CP$1</f>
        <v>255152.52041763335</v>
      </c>
      <c r="DB140" s="9">
        <f t="shared" si="64"/>
        <v>255152.52041763335</v>
      </c>
      <c r="DC140" s="8">
        <f>+MINVU_Mes_Corriente!DC140*SALUD_Mes_Constante!$DC$1</f>
        <v>310169.81915440812</v>
      </c>
      <c r="DD140" s="8">
        <f>+MINVU_Mes_Corriente!DD140*SALUD_Mes_Constante!$DC$1</f>
        <v>310169.81915440812</v>
      </c>
      <c r="DE140" s="8">
        <f>+MINVU_Mes_Corriente!DE140*SALUD_Mes_Constante!$DC$1</f>
        <v>310169.81915440812</v>
      </c>
      <c r="DF140" s="8">
        <f>+MINVU_Mes_Corriente!DF140*SALUD_Mes_Constante!$DC$1</f>
        <v>310169.81915440812</v>
      </c>
      <c r="DG140" s="8">
        <f>+MINVU_Mes_Corriente!DG140*SALUD_Mes_Constante!$DC$1</f>
        <v>310169.81915440812</v>
      </c>
      <c r="DH140" s="8">
        <f>+MINVU_Mes_Corriente!DH140*SALUD_Mes_Constante!$DC$1</f>
        <v>310169.81915440812</v>
      </c>
      <c r="DI140" s="8">
        <f>+MINVU_Mes_Corriente!DI140*SALUD_Mes_Constante!$DC$1</f>
        <v>310169.81915440812</v>
      </c>
      <c r="DJ140" s="8">
        <f>+MINVU_Mes_Corriente!DJ140*SALUD_Mes_Constante!$DC$1</f>
        <v>310169.81915440812</v>
      </c>
      <c r="DK140" s="8">
        <f>+MINVU_Mes_Corriente!DK140*SALUD_Mes_Constante!$DC$1</f>
        <v>310169.81915440812</v>
      </c>
      <c r="DL140" s="8">
        <f>+MINVU_Mes_Corriente!DL140*SALUD_Mes_Constante!$DC$1</f>
        <v>310169.81915440812</v>
      </c>
      <c r="DM140" s="8">
        <f>+MINVU_Mes_Corriente!DM140*SALUD_Mes_Constante!$DC$1</f>
        <v>310169.81915440812</v>
      </c>
      <c r="DN140" s="8">
        <f>+MINVU_Mes_Corriente!DN140*SALUD_Mes_Constante!$DC$1</f>
        <v>310169.81915440812</v>
      </c>
      <c r="DO140" s="9">
        <f t="shared" si="65"/>
        <v>310169.81915440812</v>
      </c>
      <c r="DP140" s="8">
        <f>+MINVU_Mes_Corriente!DP140*SALUD_Mes_Constante!$DP$1</f>
        <v>317213.00950118765</v>
      </c>
      <c r="DQ140" s="8">
        <f>+MINVU_Mes_Corriente!DQ140*SALUD_Mes_Constante!$DP$1</f>
        <v>317213.00950118765</v>
      </c>
      <c r="DR140" s="8">
        <f>+MINVU_Mes_Corriente!DR140*SALUD_Mes_Constante!$DP$1</f>
        <v>317213.00950118765</v>
      </c>
      <c r="DS140" s="8">
        <f>+MINVU_Mes_Corriente!DS140*SALUD_Mes_Constante!$DP$1</f>
        <v>317213.00950118765</v>
      </c>
      <c r="DT140" s="8">
        <f>+MINVU_Mes_Corriente!DT140*SALUD_Mes_Constante!$DP$1</f>
        <v>317213.00950118765</v>
      </c>
      <c r="DU140" s="8">
        <f>+MINVU_Mes_Corriente!DU140*SALUD_Mes_Constante!$DP$1</f>
        <v>317213.00950118765</v>
      </c>
      <c r="DV140" s="8">
        <f>+MINVU_Mes_Corriente!DV140*SALUD_Mes_Constante!$DP$1</f>
        <v>317213.00950118765</v>
      </c>
      <c r="DW140" s="8">
        <f>+MINVU_Mes_Corriente!DW140*SALUD_Mes_Constante!$DP$1</f>
        <v>317213.00950118765</v>
      </c>
      <c r="DX140" s="8">
        <f>+MINVU_Mes_Corriente!DX140*SALUD_Mes_Constante!$DP$1</f>
        <v>317213.00950118765</v>
      </c>
      <c r="DY140" s="8">
        <f>+MINVU_Mes_Corriente!DY140*SALUD_Mes_Constante!$DP$1</f>
        <v>317213.00950118765</v>
      </c>
      <c r="DZ140" s="8">
        <f>+MINVU_Mes_Corriente!DZ140*SALUD_Mes_Constante!$DP$1</f>
        <v>317213.00950118765</v>
      </c>
      <c r="EA140" s="8">
        <f>+MINVU_Mes_Corriente!EA140*SALUD_Mes_Constante!$DP$1</f>
        <v>317213.00950118765</v>
      </c>
      <c r="EB140" s="9">
        <f t="shared" si="66"/>
        <v>317213.00950118765</v>
      </c>
      <c r="EC140" s="8">
        <f>+MINVU_Mes_Corriente!EC140*SALUD_Mes_Constante!$EC$1</f>
        <v>277954.04696080281</v>
      </c>
      <c r="ED140" s="8">
        <f>+MINVU_Mes_Corriente!ED140*SALUD_Mes_Constante!$EC$1</f>
        <v>277954.04696080281</v>
      </c>
      <c r="EE140" s="8">
        <f>+MINVU_Mes_Corriente!EE140*SALUD_Mes_Constante!$EC$1</f>
        <v>277954.04696080281</v>
      </c>
      <c r="EF140" s="8">
        <f>+MINVU_Mes_Corriente!EF140*SALUD_Mes_Constante!$EC$1</f>
        <v>277954.04696080281</v>
      </c>
      <c r="EG140" s="8">
        <f>+MINVU_Mes_Corriente!EG140*SALUD_Mes_Constante!$EC$1</f>
        <v>277954.04696080281</v>
      </c>
      <c r="EH140" s="8">
        <f>+MINVU_Mes_Corriente!EH140*SALUD_Mes_Constante!$EC$1</f>
        <v>277954.04696080281</v>
      </c>
      <c r="EI140" s="8">
        <f>+MINVU_Mes_Corriente!EI140*SALUD_Mes_Constante!$EC$1</f>
        <v>277954.04696080281</v>
      </c>
      <c r="EJ140" s="8">
        <f>+MINVU_Mes_Corriente!EJ140*SALUD_Mes_Constante!$EC$1</f>
        <v>277954.04696080281</v>
      </c>
      <c r="EK140" s="8">
        <f>+MINVU_Mes_Corriente!EK140*SALUD_Mes_Constante!$EC$1</f>
        <v>277954.04696080281</v>
      </c>
      <c r="EL140" s="8">
        <f>+MINVU_Mes_Corriente!EL140*SALUD_Mes_Constante!$EC$1</f>
        <v>277954.04696080281</v>
      </c>
      <c r="EM140" s="8">
        <f>+MINVU_Mes_Corriente!EM140*SALUD_Mes_Constante!$EC$1</f>
        <v>277954.04696080281</v>
      </c>
      <c r="EN140" s="8">
        <f>+MINVU_Mes_Corriente!EN140*SALUD_Mes_Constante!$EC$1</f>
        <v>277954.04696080281</v>
      </c>
      <c r="EO140" s="9">
        <f t="shared" si="67"/>
        <v>277954.04696080281</v>
      </c>
      <c r="EP140" s="8">
        <f>+MINVU_Mes_Corriente!EP140*SALUD_Mes_Constante!$EP$1</f>
        <v>279980</v>
      </c>
      <c r="EQ140" s="8">
        <f>+MINVU_Mes_Corriente!EQ140*SALUD_Mes_Constante!$EP$1</f>
        <v>279980</v>
      </c>
      <c r="ER140" s="8">
        <f>+MINVU_Mes_Corriente!ER140*SALUD_Mes_Constante!$EP$1</f>
        <v>279980</v>
      </c>
      <c r="ES140" s="8">
        <f>+MINVU_Mes_Corriente!ES140*SALUD_Mes_Constante!$EP$1</f>
        <v>279980</v>
      </c>
      <c r="ET140" s="8">
        <f>+MINVU_Mes_Corriente!ET140*SALUD_Mes_Constante!$EP$1</f>
        <v>279980</v>
      </c>
      <c r="EU140" s="8">
        <f>+MINVU_Mes_Corriente!EU140*SALUD_Mes_Constante!$EP$1</f>
        <v>279980</v>
      </c>
      <c r="EV140" s="8">
        <f>+MINVU_Mes_Corriente!EV140*SALUD_Mes_Constante!$EP$1</f>
        <v>279980</v>
      </c>
      <c r="EW140" s="8">
        <f>+MINVU_Mes_Corriente!EW140*SALUD_Mes_Constante!$EP$1</f>
        <v>279980</v>
      </c>
      <c r="EX140" s="8">
        <f>+MINVU_Mes_Corriente!EX140*SALUD_Mes_Constante!$EP$1</f>
        <v>279980</v>
      </c>
      <c r="EY140" s="8">
        <f>+MINVU_Mes_Corriente!EY140*SALUD_Mes_Constante!$EP$1</f>
        <v>279980</v>
      </c>
      <c r="EZ140" s="8">
        <f>+MINVU_Mes_Corriente!EZ140*SALUD_Mes_Constante!$EP$1</f>
        <v>279980</v>
      </c>
      <c r="FA140" s="8">
        <f>+MINVU_Mes_Corriente!FA140*SALUD_Mes_Constante!$EP$1</f>
        <v>279980</v>
      </c>
      <c r="FB140" s="9">
        <f t="shared" si="68"/>
        <v>279980</v>
      </c>
      <c r="FC140" s="8">
        <f>+MINVU_Mes_Corriente!FC140*SALUD_Mes_Constante!$FC$1</f>
        <v>288660</v>
      </c>
      <c r="FD140" s="8">
        <f>+MINVU_Mes_Corriente!FD140*SALUD_Mes_Constante!$FC$1</f>
        <v>288660</v>
      </c>
      <c r="FE140" s="8">
        <f>+MINVU_Mes_Corriente!FE140*SALUD_Mes_Constante!$FC$1</f>
        <v>288660</v>
      </c>
      <c r="FF140" s="8">
        <f>+MINVU_Mes_Corriente!FF140*SALUD_Mes_Constante!$FC$1</f>
        <v>288660</v>
      </c>
      <c r="FG140" s="8">
        <f>+MINVU_Mes_Corriente!FG140*SALUD_Mes_Constante!$FC$1</f>
        <v>288660</v>
      </c>
      <c r="FH140" s="8">
        <f>+MINVU_Mes_Corriente!FH140*SALUD_Mes_Constante!$FC$1</f>
        <v>288660</v>
      </c>
      <c r="FI140" s="8">
        <f>+MINVU_Mes_Corriente!FI140*SALUD_Mes_Constante!$FC$1</f>
        <v>288660</v>
      </c>
      <c r="FJ140" s="8"/>
      <c r="FK140" s="8"/>
      <c r="FL140" s="8"/>
      <c r="FM140" s="8"/>
      <c r="FN140" s="8"/>
      <c r="FO140" s="9">
        <f t="shared" si="69"/>
        <v>288660</v>
      </c>
    </row>
    <row r="141" spans="2:171" ht="14.25" customHeight="1" x14ac:dyDescent="0.3">
      <c r="B141" s="31" t="s">
        <v>65</v>
      </c>
      <c r="C141" s="8">
        <f>+MINVU_Mes_Corriente!C141*SALUD_Mes_Constante!$C$1</f>
        <v>319547.01675811957</v>
      </c>
      <c r="D141" s="8">
        <f>+MINVU_Mes_Corriente!D141*SALUD_Mes_Constante!$C$1</f>
        <v>319547.01675811957</v>
      </c>
      <c r="E141" s="8">
        <f>+MINVU_Mes_Corriente!E141*SALUD_Mes_Constante!$C$1</f>
        <v>319547.01675811957</v>
      </c>
      <c r="F141" s="8">
        <f>+MINVU_Mes_Corriente!F141*SALUD_Mes_Constante!$C$1</f>
        <v>319547.01675811957</v>
      </c>
      <c r="G141" s="8">
        <f>+MINVU_Mes_Corriente!G141*SALUD_Mes_Constante!$C$1</f>
        <v>319547.01675811957</v>
      </c>
      <c r="H141" s="8">
        <f>+MINVU_Mes_Corriente!H141*SALUD_Mes_Constante!$C$1</f>
        <v>319547.01675811957</v>
      </c>
      <c r="I141" s="8">
        <f>+MINVU_Mes_Corriente!I141*SALUD_Mes_Constante!$C$1</f>
        <v>319547.01675811957</v>
      </c>
      <c r="J141" s="8">
        <f>+MINVU_Mes_Corriente!J141*SALUD_Mes_Constante!$C$1</f>
        <v>319547.01675811957</v>
      </c>
      <c r="K141" s="8">
        <f>+MINVU_Mes_Corriente!K141*SALUD_Mes_Constante!$C$1</f>
        <v>319547.01675811957</v>
      </c>
      <c r="L141" s="8">
        <f>+MINVU_Mes_Corriente!L141*SALUD_Mes_Constante!$C$1</f>
        <v>319547.01675811957</v>
      </c>
      <c r="M141" s="8">
        <f>+MINVU_Mes_Corriente!M141*SALUD_Mes_Constante!$C$1</f>
        <v>319547.01675811957</v>
      </c>
      <c r="N141" s="8">
        <f>+MINVU_Mes_Corriente!N141*SALUD_Mes_Constante!$C$1</f>
        <v>319547.01675811957</v>
      </c>
      <c r="O141" s="9">
        <f t="shared" si="57"/>
        <v>319547.01675811957</v>
      </c>
      <c r="P141" s="8">
        <f>+MINVU_Mes_Corriente!P141*SALUD_Mes_Constante!$P$1</f>
        <v>315292.47762466245</v>
      </c>
      <c r="Q141" s="8">
        <f>+MINVU_Mes_Corriente!Q141*SALUD_Mes_Constante!$P$1</f>
        <v>315292.47762466245</v>
      </c>
      <c r="R141" s="8">
        <f>+MINVU_Mes_Corriente!R141*SALUD_Mes_Constante!$P$1</f>
        <v>315292.47762466245</v>
      </c>
      <c r="S141" s="8">
        <f>+MINVU_Mes_Corriente!S141*SALUD_Mes_Constante!$P$1</f>
        <v>315292.47762466245</v>
      </c>
      <c r="T141" s="8">
        <f>+MINVU_Mes_Corriente!T141*SALUD_Mes_Constante!$P$1</f>
        <v>315292.47762466245</v>
      </c>
      <c r="U141" s="8">
        <f>+MINVU_Mes_Corriente!U141*SALUD_Mes_Constante!$P$1</f>
        <v>315292.47762466245</v>
      </c>
      <c r="V141" s="8">
        <f>+MINVU_Mes_Corriente!V141*SALUD_Mes_Constante!$P$1</f>
        <v>315292.47762466245</v>
      </c>
      <c r="W141" s="8">
        <f>+MINVU_Mes_Corriente!W141*SALUD_Mes_Constante!$P$1</f>
        <v>315292.47762466245</v>
      </c>
      <c r="X141" s="8">
        <f>+MINVU_Mes_Corriente!X141*SALUD_Mes_Constante!$P$1</f>
        <v>315292.47762466245</v>
      </c>
      <c r="Y141" s="8">
        <f>+MINVU_Mes_Corriente!Y141*SALUD_Mes_Constante!$P$1</f>
        <v>315292.47762466245</v>
      </c>
      <c r="Z141" s="8">
        <f>+MINVU_Mes_Corriente!Z141*SALUD_Mes_Constante!$P$1</f>
        <v>315292.47762466245</v>
      </c>
      <c r="AA141" s="8">
        <f>+MINVU_Mes_Corriente!AA141*SALUD_Mes_Constante!$P$1</f>
        <v>315292.47762466245</v>
      </c>
      <c r="AB141" s="9">
        <f t="shared" si="58"/>
        <v>315292.47762466245</v>
      </c>
      <c r="AC141" s="8">
        <f>+MINVU_Mes_Corriente!AC141*SALUD_Mes_Constante!$AC$1</f>
        <v>318672.22907732741</v>
      </c>
      <c r="AD141" s="8">
        <f>+MINVU_Mes_Corriente!AD141*SALUD_Mes_Constante!$AC$1</f>
        <v>318672.22907732741</v>
      </c>
      <c r="AE141" s="8">
        <f>+MINVU_Mes_Corriente!AE141*SALUD_Mes_Constante!$AC$1</f>
        <v>318672.22907732741</v>
      </c>
      <c r="AF141" s="8">
        <f>+MINVU_Mes_Corriente!AF141*SALUD_Mes_Constante!$AC$1</f>
        <v>318672.22907732741</v>
      </c>
      <c r="AG141" s="8">
        <f>+MINVU_Mes_Corriente!AG141*SALUD_Mes_Constante!$AC$1</f>
        <v>318672.22907732741</v>
      </c>
      <c r="AH141" s="8">
        <f>+MINVU_Mes_Corriente!AH141*SALUD_Mes_Constante!$AC$1</f>
        <v>318672.22907732741</v>
      </c>
      <c r="AI141" s="8">
        <f>+MINVU_Mes_Corriente!AI141*SALUD_Mes_Constante!$AC$1</f>
        <v>318672.22907732741</v>
      </c>
      <c r="AJ141" s="8">
        <f>+MINVU_Mes_Corriente!AJ141*SALUD_Mes_Constante!$AC$1</f>
        <v>318672.22907732741</v>
      </c>
      <c r="AK141" s="8">
        <f>+MINVU_Mes_Corriente!AK141*SALUD_Mes_Constante!$AC$1</f>
        <v>318672.22907732741</v>
      </c>
      <c r="AL141" s="8">
        <f>+MINVU_Mes_Corriente!AL141*SALUD_Mes_Constante!$AC$1</f>
        <v>318672.22907732741</v>
      </c>
      <c r="AM141" s="8">
        <f>+MINVU_Mes_Corriente!AM141*SALUD_Mes_Constante!$AC$1</f>
        <v>318672.22907732741</v>
      </c>
      <c r="AN141" s="8">
        <f>+MINVU_Mes_Corriente!AN141*SALUD_Mes_Constante!$AC$1</f>
        <v>318672.22907732741</v>
      </c>
      <c r="AO141" s="9">
        <f t="shared" si="59"/>
        <v>318672.22907732741</v>
      </c>
      <c r="AP141" s="8">
        <f>+MINVU_Mes_Corriente!AP141*SALUD_Mes_Constante!$AP$1</f>
        <v>320950.69579331798</v>
      </c>
      <c r="AQ141" s="8">
        <f>+MINVU_Mes_Corriente!AQ141*SALUD_Mes_Constante!$AP$1</f>
        <v>320950.69579331798</v>
      </c>
      <c r="AR141" s="8">
        <f>+MINVU_Mes_Corriente!AR141*SALUD_Mes_Constante!$AP$1</f>
        <v>320950.69579331798</v>
      </c>
      <c r="AS141" s="8">
        <f>+MINVU_Mes_Corriente!AS141*SALUD_Mes_Constante!$AP$1</f>
        <v>320950.69579331798</v>
      </c>
      <c r="AT141" s="8">
        <f>+MINVU_Mes_Corriente!AT141*SALUD_Mes_Constante!$AP$1</f>
        <v>320950.69579331798</v>
      </c>
      <c r="AU141" s="8">
        <f>+MINVU_Mes_Corriente!AU141*SALUD_Mes_Constante!$AP$1</f>
        <v>320950.69579331798</v>
      </c>
      <c r="AV141" s="8">
        <f>+MINVU_Mes_Corriente!AV141*SALUD_Mes_Constante!$AP$1</f>
        <v>320950.69579331798</v>
      </c>
      <c r="AW141" s="8">
        <f>+MINVU_Mes_Corriente!AW141*SALUD_Mes_Constante!$AP$1</f>
        <v>320950.69579331798</v>
      </c>
      <c r="AX141" s="8">
        <f>+MINVU_Mes_Corriente!AX141*SALUD_Mes_Constante!$AP$1</f>
        <v>320950.69579331798</v>
      </c>
      <c r="AY141" s="8">
        <f>+MINVU_Mes_Corriente!AY141*SALUD_Mes_Constante!$AP$1</f>
        <v>320950.69579331798</v>
      </c>
      <c r="AZ141" s="8">
        <f>+MINVU_Mes_Corriente!AZ141*SALUD_Mes_Constante!$AP$1</f>
        <v>320950.69579331798</v>
      </c>
      <c r="BA141" s="8">
        <f>+MINVU_Mes_Corriente!BA141*SALUD_Mes_Constante!$AP$1</f>
        <v>320950.69579331798</v>
      </c>
      <c r="BB141" s="9">
        <f t="shared" si="60"/>
        <v>320950.69579331798</v>
      </c>
      <c r="BC141" s="8">
        <f>+MINVU_Mes_Corriente!BC141*SALUD_Mes_Constante!$BC$1</f>
        <v>321044.00501120934</v>
      </c>
      <c r="BD141" s="8">
        <f>+MINVU_Mes_Corriente!BD141*SALUD_Mes_Constante!$BC$1</f>
        <v>321044.00501120934</v>
      </c>
      <c r="BE141" s="8">
        <f>+MINVU_Mes_Corriente!BE141*SALUD_Mes_Constante!$BC$1</f>
        <v>321044.00501120934</v>
      </c>
      <c r="BF141" s="8">
        <f>+MINVU_Mes_Corriente!BF141*SALUD_Mes_Constante!$BC$1</f>
        <v>321044.00501120934</v>
      </c>
      <c r="BG141" s="8">
        <f>+MINVU_Mes_Corriente!BG141*SALUD_Mes_Constante!$BC$1</f>
        <v>321044.00501120934</v>
      </c>
      <c r="BH141" s="8">
        <f>+MINVU_Mes_Corriente!BH141*SALUD_Mes_Constante!$BC$1</f>
        <v>321044.00501120934</v>
      </c>
      <c r="BI141" s="8">
        <f>+MINVU_Mes_Corriente!BI141*SALUD_Mes_Constante!$BC$1</f>
        <v>321044.00501120934</v>
      </c>
      <c r="BJ141" s="8">
        <f>+MINVU_Mes_Corriente!BJ141*SALUD_Mes_Constante!$BC$1</f>
        <v>321044.00501120934</v>
      </c>
      <c r="BK141" s="8">
        <f>+MINVU_Mes_Corriente!BK141*SALUD_Mes_Constante!$BC$1</f>
        <v>321044.00501120934</v>
      </c>
      <c r="BL141" s="8">
        <f>+MINVU_Mes_Corriente!BL141*SALUD_Mes_Constante!$BC$1</f>
        <v>321044.00501120934</v>
      </c>
      <c r="BM141" s="8">
        <f>+MINVU_Mes_Corriente!BM141*SALUD_Mes_Constante!$BC$1</f>
        <v>321044.00501120934</v>
      </c>
      <c r="BN141" s="8">
        <f>+MINVU_Mes_Corriente!BN141*SALUD_Mes_Constante!$BC$1</f>
        <v>321044.00501120934</v>
      </c>
      <c r="BO141" s="9">
        <f t="shared" si="61"/>
        <v>321044.00501120934</v>
      </c>
      <c r="BP141" s="8">
        <f>+MINVU_Mes_Corriente!BP141*SALUD_Mes_Constante!$BP$1</f>
        <v>0</v>
      </c>
      <c r="BQ141" s="8">
        <f>+MINVU_Mes_Corriente!BQ141*SALUD_Mes_Constante!$BP$1</f>
        <v>0</v>
      </c>
      <c r="BR141" s="8">
        <f>+MINVU_Mes_Corriente!BR141*SALUD_Mes_Constante!$BP$1</f>
        <v>0</v>
      </c>
      <c r="BS141" s="8">
        <f>+MINVU_Mes_Corriente!BS141*SALUD_Mes_Constante!$BP$1</f>
        <v>0</v>
      </c>
      <c r="BT141" s="8">
        <f>+MINVU_Mes_Corriente!BT141*SALUD_Mes_Constante!$BP$1</f>
        <v>0</v>
      </c>
      <c r="BU141" s="8">
        <f>+MINVU_Mes_Corriente!BU141*SALUD_Mes_Constante!$BP$1</f>
        <v>0</v>
      </c>
      <c r="BV141" s="8">
        <f>+MINVU_Mes_Corriente!BV141*SALUD_Mes_Constante!$BP$1</f>
        <v>0</v>
      </c>
      <c r="BW141" s="8">
        <f>+MINVU_Mes_Corriente!BW141*SALUD_Mes_Constante!$BP$1</f>
        <v>0</v>
      </c>
      <c r="BX141" s="8">
        <f>+MINVU_Mes_Corriente!BX141*SALUD_Mes_Constante!$BP$1</f>
        <v>0</v>
      </c>
      <c r="BY141" s="8">
        <f>+MINVU_Mes_Corriente!BY141*SALUD_Mes_Constante!$BP$1</f>
        <v>0</v>
      </c>
      <c r="BZ141" s="8">
        <f>+MINVU_Mes_Corriente!BZ141*SALUD_Mes_Constante!$BP$1</f>
        <v>0</v>
      </c>
      <c r="CA141" s="8">
        <f>+MINVU_Mes_Corriente!CA141*SALUD_Mes_Constante!$BP$1</f>
        <v>0</v>
      </c>
      <c r="CB141" s="9">
        <f t="shared" si="62"/>
        <v>0</v>
      </c>
      <c r="CC141" s="8">
        <f>+MINVU_Mes_Corriente!CC141*SALUD_Mes_Constante!$CC$1</f>
        <v>108519.6456546065</v>
      </c>
      <c r="CD141" s="8">
        <f>+MINVU_Mes_Corriente!CD141*SALUD_Mes_Constante!$CC$1</f>
        <v>108519.6456546065</v>
      </c>
      <c r="CE141" s="8">
        <f>+MINVU_Mes_Corriente!CE141*SALUD_Mes_Constante!$CC$1</f>
        <v>108519.6456546065</v>
      </c>
      <c r="CF141" s="8">
        <f>+MINVU_Mes_Corriente!CF141*SALUD_Mes_Constante!$CC$1</f>
        <v>108519.6456546065</v>
      </c>
      <c r="CG141" s="8">
        <f>+MINVU_Mes_Corriente!CG141*SALUD_Mes_Constante!$CC$1</f>
        <v>108519.6456546065</v>
      </c>
      <c r="CH141" s="8">
        <f>+MINVU_Mes_Corriente!CH141*SALUD_Mes_Constante!$CC$1</f>
        <v>108519.6456546065</v>
      </c>
      <c r="CI141" s="8">
        <f>+MINVU_Mes_Corriente!CI141*SALUD_Mes_Constante!$CC$1</f>
        <v>108519.6456546065</v>
      </c>
      <c r="CJ141" s="8">
        <f>+MINVU_Mes_Corriente!CJ141*SALUD_Mes_Constante!$CC$1</f>
        <v>108519.6456546065</v>
      </c>
      <c r="CK141" s="8">
        <f>+MINVU_Mes_Corriente!CK141*SALUD_Mes_Constante!$CC$1</f>
        <v>108519.6456546065</v>
      </c>
      <c r="CL141" s="8">
        <f>+MINVU_Mes_Corriente!CL141*SALUD_Mes_Constante!$CC$1</f>
        <v>108519.6456546065</v>
      </c>
      <c r="CM141" s="8">
        <f>+MINVU_Mes_Corriente!CM141*SALUD_Mes_Constante!$CC$1</f>
        <v>108519.6456546065</v>
      </c>
      <c r="CN141" s="8">
        <f>+MINVU_Mes_Corriente!CN141*SALUD_Mes_Constante!$CC$1</f>
        <v>108519.6456546065</v>
      </c>
      <c r="CO141" s="9">
        <f t="shared" si="63"/>
        <v>108519.6456546065</v>
      </c>
      <c r="CP141" s="8">
        <f>+MINVU_Mes_Corriente!CP141*SALUD_Mes_Constante!$CP$1</f>
        <v>447765.73225057998</v>
      </c>
      <c r="CQ141" s="8">
        <f>+MINVU_Mes_Corriente!CQ141*SALUD_Mes_Constante!$CP$1</f>
        <v>447765.73225057998</v>
      </c>
      <c r="CR141" s="8">
        <f>+MINVU_Mes_Corriente!CR141*SALUD_Mes_Constante!$CP$1</f>
        <v>447765.73225057998</v>
      </c>
      <c r="CS141" s="8">
        <f>+MINVU_Mes_Corriente!CS141*SALUD_Mes_Constante!$CP$1</f>
        <v>447765.73225057998</v>
      </c>
      <c r="CT141" s="8">
        <f>+MINVU_Mes_Corriente!CT141*SALUD_Mes_Constante!$CP$1</f>
        <v>447765.73225057998</v>
      </c>
      <c r="CU141" s="8">
        <f>+MINVU_Mes_Corriente!CU141*SALUD_Mes_Constante!$CP$1</f>
        <v>447765.73225057998</v>
      </c>
      <c r="CV141" s="8">
        <f>+MINVU_Mes_Corriente!CV141*SALUD_Mes_Constante!$CP$1</f>
        <v>447765.73225057998</v>
      </c>
      <c r="CW141" s="8">
        <f>+MINVU_Mes_Corriente!CW141*SALUD_Mes_Constante!$CP$1</f>
        <v>447765.73225057998</v>
      </c>
      <c r="CX141" s="8">
        <f>+MINVU_Mes_Corriente!CX141*SALUD_Mes_Constante!$CP$1</f>
        <v>447765.73225057998</v>
      </c>
      <c r="CY141" s="8">
        <f>+MINVU_Mes_Corriente!CY141*SALUD_Mes_Constante!$CP$1</f>
        <v>447765.73225057998</v>
      </c>
      <c r="CZ141" s="8">
        <f>+MINVU_Mes_Corriente!CZ141*SALUD_Mes_Constante!$CP$1</f>
        <v>447765.73225057998</v>
      </c>
      <c r="DA141" s="8">
        <f>+MINVU_Mes_Corriente!DA141*SALUD_Mes_Constante!$CP$1</f>
        <v>447765.73225057998</v>
      </c>
      <c r="DB141" s="9">
        <f t="shared" si="64"/>
        <v>447765.73225057998</v>
      </c>
      <c r="DC141" s="8">
        <f>+MINVU_Mes_Corriente!DC141*SALUD_Mes_Constante!$DC$1</f>
        <v>545353.62699310796</v>
      </c>
      <c r="DD141" s="8">
        <f>+MINVU_Mes_Corriente!DD141*SALUD_Mes_Constante!$DC$1</f>
        <v>545353.62699310796</v>
      </c>
      <c r="DE141" s="8">
        <f>+MINVU_Mes_Corriente!DE141*SALUD_Mes_Constante!$DC$1</f>
        <v>545353.62699310796</v>
      </c>
      <c r="DF141" s="8">
        <f>+MINVU_Mes_Corriente!DF141*SALUD_Mes_Constante!$DC$1</f>
        <v>545353.62699310796</v>
      </c>
      <c r="DG141" s="8">
        <f>+MINVU_Mes_Corriente!DG141*SALUD_Mes_Constante!$DC$1</f>
        <v>545353.62699310796</v>
      </c>
      <c r="DH141" s="8">
        <f>+MINVU_Mes_Corriente!DH141*SALUD_Mes_Constante!$DC$1</f>
        <v>545353.62699310796</v>
      </c>
      <c r="DI141" s="8">
        <f>+MINVU_Mes_Corriente!DI141*SALUD_Mes_Constante!$DC$1</f>
        <v>545353.62699310796</v>
      </c>
      <c r="DJ141" s="8">
        <f>+MINVU_Mes_Corriente!DJ141*SALUD_Mes_Constante!$DC$1</f>
        <v>545353.62699310796</v>
      </c>
      <c r="DK141" s="8">
        <f>+MINVU_Mes_Corriente!DK141*SALUD_Mes_Constante!$DC$1</f>
        <v>545353.62699310796</v>
      </c>
      <c r="DL141" s="8">
        <f>+MINVU_Mes_Corriente!DL141*SALUD_Mes_Constante!$DC$1</f>
        <v>545353.62699310796</v>
      </c>
      <c r="DM141" s="8">
        <f>+MINVU_Mes_Corriente!DM141*SALUD_Mes_Constante!$DC$1</f>
        <v>545353.62699310796</v>
      </c>
      <c r="DN141" s="8">
        <f>+MINVU_Mes_Corriente!DN141*SALUD_Mes_Constante!$DC$1</f>
        <v>545353.62699310796</v>
      </c>
      <c r="DO141" s="9">
        <f t="shared" si="65"/>
        <v>545353.62699310796</v>
      </c>
      <c r="DP141" s="8">
        <f>+MINVU_Mes_Corriente!DP141*SALUD_Mes_Constante!$DP$1</f>
        <v>557736.39904988126</v>
      </c>
      <c r="DQ141" s="8">
        <f>+MINVU_Mes_Corriente!DQ141*SALUD_Mes_Constante!$DP$1</f>
        <v>557736.39904988126</v>
      </c>
      <c r="DR141" s="8">
        <f>+MINVU_Mes_Corriente!DR141*SALUD_Mes_Constante!$DP$1</f>
        <v>557736.39904988126</v>
      </c>
      <c r="DS141" s="8">
        <f>+MINVU_Mes_Corriente!DS141*SALUD_Mes_Constante!$DP$1</f>
        <v>557736.39904988126</v>
      </c>
      <c r="DT141" s="8">
        <f>+MINVU_Mes_Corriente!DT141*SALUD_Mes_Constante!$DP$1</f>
        <v>557736.39904988126</v>
      </c>
      <c r="DU141" s="8">
        <f>+MINVU_Mes_Corriente!DU141*SALUD_Mes_Constante!$DP$1</f>
        <v>557736.39904988126</v>
      </c>
      <c r="DV141" s="8">
        <f>+MINVU_Mes_Corriente!DV141*SALUD_Mes_Constante!$DP$1</f>
        <v>557736.39904988126</v>
      </c>
      <c r="DW141" s="8">
        <f>+MINVU_Mes_Corriente!DW141*SALUD_Mes_Constante!$DP$1</f>
        <v>557736.39904988126</v>
      </c>
      <c r="DX141" s="8">
        <f>+MINVU_Mes_Corriente!DX141*SALUD_Mes_Constante!$DP$1</f>
        <v>557736.39904988126</v>
      </c>
      <c r="DY141" s="8">
        <f>+MINVU_Mes_Corriente!DY141*SALUD_Mes_Constante!$DP$1</f>
        <v>557736.39904988126</v>
      </c>
      <c r="DZ141" s="8">
        <f>+MINVU_Mes_Corriente!DZ141*SALUD_Mes_Constante!$DP$1</f>
        <v>557736.39904988126</v>
      </c>
      <c r="EA141" s="8">
        <f>+MINVU_Mes_Corriente!EA141*SALUD_Mes_Constante!$DP$1</f>
        <v>557736.39904988126</v>
      </c>
      <c r="EB141" s="9">
        <f t="shared" si="66"/>
        <v>557736.39904988126</v>
      </c>
      <c r="EC141" s="8">
        <f>+MINVU_Mes_Corriente!EC141*SALUD_Mes_Constante!$EC$1</f>
        <v>488709.36640787713</v>
      </c>
      <c r="ED141" s="8">
        <f>+MINVU_Mes_Corriente!ED141*SALUD_Mes_Constante!$EC$1</f>
        <v>488709.36640787713</v>
      </c>
      <c r="EE141" s="8">
        <f>+MINVU_Mes_Corriente!EE141*SALUD_Mes_Constante!$EC$1</f>
        <v>488709.36640787713</v>
      </c>
      <c r="EF141" s="8">
        <f>+MINVU_Mes_Corriente!EF141*SALUD_Mes_Constante!$EC$1</f>
        <v>488709.36640787713</v>
      </c>
      <c r="EG141" s="8">
        <f>+MINVU_Mes_Corriente!EG141*SALUD_Mes_Constante!$EC$1</f>
        <v>488709.36640787713</v>
      </c>
      <c r="EH141" s="8">
        <f>+MINVU_Mes_Corriente!EH141*SALUD_Mes_Constante!$EC$1</f>
        <v>488709.36640787713</v>
      </c>
      <c r="EI141" s="8">
        <f>+MINVU_Mes_Corriente!EI141*SALUD_Mes_Constante!$EC$1</f>
        <v>488709.36640787713</v>
      </c>
      <c r="EJ141" s="8">
        <f>+MINVU_Mes_Corriente!EJ141*SALUD_Mes_Constante!$EC$1</f>
        <v>488709.36640787713</v>
      </c>
      <c r="EK141" s="8">
        <f>+MINVU_Mes_Corriente!EK141*SALUD_Mes_Constante!$EC$1</f>
        <v>488709.36640787713</v>
      </c>
      <c r="EL141" s="8">
        <f>+MINVU_Mes_Corriente!EL141*SALUD_Mes_Constante!$EC$1</f>
        <v>488709.36640787713</v>
      </c>
      <c r="EM141" s="8">
        <f>+MINVU_Mes_Corriente!EM141*SALUD_Mes_Constante!$EC$1</f>
        <v>488709.36640787713</v>
      </c>
      <c r="EN141" s="8">
        <f>+MINVU_Mes_Corriente!EN141*SALUD_Mes_Constante!$EC$1</f>
        <v>488709.36640787713</v>
      </c>
      <c r="EO141" s="9">
        <f t="shared" si="67"/>
        <v>488709.36640787713</v>
      </c>
      <c r="EP141" s="8">
        <f>+MINVU_Mes_Corriente!EP141*SALUD_Mes_Constante!$EP$1</f>
        <v>492270</v>
      </c>
      <c r="EQ141" s="8">
        <f>+MINVU_Mes_Corriente!EQ141*SALUD_Mes_Constante!$EP$1</f>
        <v>492270</v>
      </c>
      <c r="ER141" s="8">
        <f>+MINVU_Mes_Corriente!ER141*SALUD_Mes_Constante!$EP$1</f>
        <v>492270</v>
      </c>
      <c r="ES141" s="8">
        <f>+MINVU_Mes_Corriente!ES141*SALUD_Mes_Constante!$EP$1</f>
        <v>492270</v>
      </c>
      <c r="ET141" s="8">
        <f>+MINVU_Mes_Corriente!ET141*SALUD_Mes_Constante!$EP$1</f>
        <v>492270</v>
      </c>
      <c r="EU141" s="8">
        <f>+MINVU_Mes_Corriente!EU141*SALUD_Mes_Constante!$EP$1</f>
        <v>492270</v>
      </c>
      <c r="EV141" s="8">
        <f>+MINVU_Mes_Corriente!EV141*SALUD_Mes_Constante!$EP$1</f>
        <v>492270</v>
      </c>
      <c r="EW141" s="8">
        <f>+MINVU_Mes_Corriente!EW141*SALUD_Mes_Constante!$EP$1</f>
        <v>492270</v>
      </c>
      <c r="EX141" s="8">
        <f>+MINVU_Mes_Corriente!EX141*SALUD_Mes_Constante!$EP$1</f>
        <v>492270</v>
      </c>
      <c r="EY141" s="8">
        <f>+MINVU_Mes_Corriente!EY141*SALUD_Mes_Constante!$EP$1</f>
        <v>492270</v>
      </c>
      <c r="EZ141" s="8">
        <f>+MINVU_Mes_Corriente!EZ141*SALUD_Mes_Constante!$EP$1</f>
        <v>492270</v>
      </c>
      <c r="FA141" s="8">
        <f>+MINVU_Mes_Corriente!FA141*SALUD_Mes_Constante!$EP$1</f>
        <v>492270</v>
      </c>
      <c r="FB141" s="9">
        <f t="shared" si="68"/>
        <v>492270</v>
      </c>
      <c r="FC141" s="8">
        <f>+MINVU_Mes_Corriente!FC141*SALUD_Mes_Constante!$FC$1</f>
        <v>507530</v>
      </c>
      <c r="FD141" s="8">
        <f>+MINVU_Mes_Corriente!FD141*SALUD_Mes_Constante!$FC$1</f>
        <v>507530</v>
      </c>
      <c r="FE141" s="8">
        <f>+MINVU_Mes_Corriente!FE141*SALUD_Mes_Constante!$FC$1</f>
        <v>507530</v>
      </c>
      <c r="FF141" s="8">
        <f>+MINVU_Mes_Corriente!FF141*SALUD_Mes_Constante!$FC$1</f>
        <v>507530</v>
      </c>
      <c r="FG141" s="8">
        <f>+MINVU_Mes_Corriente!FG141*SALUD_Mes_Constante!$FC$1</f>
        <v>507530</v>
      </c>
      <c r="FH141" s="8">
        <f>+MINVU_Mes_Corriente!FH141*SALUD_Mes_Constante!$FC$1</f>
        <v>507530</v>
      </c>
      <c r="FI141" s="8">
        <f>+MINVU_Mes_Corriente!FI141*SALUD_Mes_Constante!$FC$1</f>
        <v>507530</v>
      </c>
      <c r="FJ141" s="8"/>
      <c r="FK141" s="8"/>
      <c r="FL141" s="8"/>
      <c r="FM141" s="8"/>
      <c r="FN141" s="8"/>
      <c r="FO141" s="9">
        <f t="shared" si="69"/>
        <v>507530</v>
      </c>
    </row>
    <row r="142" spans="2:171" ht="14.25" customHeight="1" x14ac:dyDescent="0.3">
      <c r="B142" s="7" t="s">
        <v>66</v>
      </c>
      <c r="C142" s="8">
        <f>+MINVU_Mes_Corriente!C142*SALUD_Mes_Constante!$C$1</f>
        <v>185965.60788966337</v>
      </c>
      <c r="D142" s="8">
        <f>+MINVU_Mes_Corriente!D142*SALUD_Mes_Constante!$C$1</f>
        <v>185965.60788966337</v>
      </c>
      <c r="E142" s="8">
        <f>+MINVU_Mes_Corriente!E142*SALUD_Mes_Constante!$C$1</f>
        <v>185965.60788966337</v>
      </c>
      <c r="F142" s="8">
        <f>+MINVU_Mes_Corriente!F142*SALUD_Mes_Constante!$C$1</f>
        <v>185965.60788966337</v>
      </c>
      <c r="G142" s="8">
        <f>+MINVU_Mes_Corriente!G142*SALUD_Mes_Constante!$C$1</f>
        <v>185965.60788966337</v>
      </c>
      <c r="H142" s="8">
        <f>+MINVU_Mes_Corriente!H142*SALUD_Mes_Constante!$C$1</f>
        <v>185965.60788966337</v>
      </c>
      <c r="I142" s="8">
        <f>+MINVU_Mes_Corriente!I142*SALUD_Mes_Constante!$C$1</f>
        <v>185965.60788966337</v>
      </c>
      <c r="J142" s="8">
        <f>+MINVU_Mes_Corriente!J142*SALUD_Mes_Constante!$C$1</f>
        <v>185965.60788966337</v>
      </c>
      <c r="K142" s="8">
        <f>+MINVU_Mes_Corriente!K142*SALUD_Mes_Constante!$C$1</f>
        <v>185965.60788966337</v>
      </c>
      <c r="L142" s="8">
        <f>+MINVU_Mes_Corriente!L142*SALUD_Mes_Constante!$C$1</f>
        <v>185965.60788966337</v>
      </c>
      <c r="M142" s="8">
        <f>+MINVU_Mes_Corriente!M142*SALUD_Mes_Constante!$C$1</f>
        <v>185965.60788966337</v>
      </c>
      <c r="N142" s="8">
        <f>+MINVU_Mes_Corriente!N142*SALUD_Mes_Constante!$C$1</f>
        <v>185965.60788966337</v>
      </c>
      <c r="O142" s="9">
        <f t="shared" si="57"/>
        <v>185965.60788966337</v>
      </c>
      <c r="P142" s="8">
        <f>+MINVU_Mes_Corriente!P142*SALUD_Mes_Constante!$P$1</f>
        <v>183489.74456598941</v>
      </c>
      <c r="Q142" s="8">
        <f>+MINVU_Mes_Corriente!Q142*SALUD_Mes_Constante!$P$1</f>
        <v>183489.74456598941</v>
      </c>
      <c r="R142" s="8">
        <f>+MINVU_Mes_Corriente!R142*SALUD_Mes_Constante!$P$1</f>
        <v>183489.74456598941</v>
      </c>
      <c r="S142" s="8">
        <f>+MINVU_Mes_Corriente!S142*SALUD_Mes_Constante!$P$1</f>
        <v>183489.74456598941</v>
      </c>
      <c r="T142" s="8">
        <f>+MINVU_Mes_Corriente!T142*SALUD_Mes_Constante!$P$1</f>
        <v>183489.74456598941</v>
      </c>
      <c r="U142" s="8">
        <f>+MINVU_Mes_Corriente!U142*SALUD_Mes_Constante!$P$1</f>
        <v>183489.74456598941</v>
      </c>
      <c r="V142" s="8">
        <f>+MINVU_Mes_Corriente!V142*SALUD_Mes_Constante!$P$1</f>
        <v>183489.74456598941</v>
      </c>
      <c r="W142" s="8">
        <f>+MINVU_Mes_Corriente!W142*SALUD_Mes_Constante!$P$1</f>
        <v>183489.74456598941</v>
      </c>
      <c r="X142" s="8">
        <f>+MINVU_Mes_Corriente!X142*SALUD_Mes_Constante!$P$1</f>
        <v>183489.74456598941</v>
      </c>
      <c r="Y142" s="8">
        <f>+MINVU_Mes_Corriente!Y142*SALUD_Mes_Constante!$P$1</f>
        <v>183489.74456598941</v>
      </c>
      <c r="Z142" s="8">
        <f>+MINVU_Mes_Corriente!Z142*SALUD_Mes_Constante!$P$1</f>
        <v>183489.74456598941</v>
      </c>
      <c r="AA142" s="8">
        <f>+MINVU_Mes_Corriente!AA142*SALUD_Mes_Constante!$P$1</f>
        <v>183489.74456598941</v>
      </c>
      <c r="AB142" s="9">
        <f t="shared" si="58"/>
        <v>183489.74456598941</v>
      </c>
      <c r="AC142" s="8">
        <f>+MINVU_Mes_Corriente!AC142*SALUD_Mes_Constante!$AC$1</f>
        <v>185456.34306266427</v>
      </c>
      <c r="AD142" s="8">
        <f>+MINVU_Mes_Corriente!AD142*SALUD_Mes_Constante!$AC$1</f>
        <v>185456.34306266427</v>
      </c>
      <c r="AE142" s="8">
        <f>+MINVU_Mes_Corriente!AE142*SALUD_Mes_Constante!$AC$1</f>
        <v>185456.34306266427</v>
      </c>
      <c r="AF142" s="8">
        <f>+MINVU_Mes_Corriente!AF142*SALUD_Mes_Constante!$AC$1</f>
        <v>185456.34306266427</v>
      </c>
      <c r="AG142" s="8">
        <f>+MINVU_Mes_Corriente!AG142*SALUD_Mes_Constante!$AC$1</f>
        <v>185456.34306266427</v>
      </c>
      <c r="AH142" s="8">
        <f>+MINVU_Mes_Corriente!AH142*SALUD_Mes_Constante!$AC$1</f>
        <v>185456.34306266427</v>
      </c>
      <c r="AI142" s="8">
        <f>+MINVU_Mes_Corriente!AI142*SALUD_Mes_Constante!$AC$1</f>
        <v>185456.34306266427</v>
      </c>
      <c r="AJ142" s="8">
        <f>+MINVU_Mes_Corriente!AJ142*SALUD_Mes_Constante!$AC$1</f>
        <v>185456.34306266427</v>
      </c>
      <c r="AK142" s="8">
        <f>+MINVU_Mes_Corriente!AK142*SALUD_Mes_Constante!$AC$1</f>
        <v>185456.34306266427</v>
      </c>
      <c r="AL142" s="8">
        <f>+MINVU_Mes_Corriente!AL142*SALUD_Mes_Constante!$AC$1</f>
        <v>185456.34306266427</v>
      </c>
      <c r="AM142" s="8">
        <f>+MINVU_Mes_Corriente!AM142*SALUD_Mes_Constante!$AC$1</f>
        <v>185456.34306266427</v>
      </c>
      <c r="AN142" s="8">
        <f>+MINVU_Mes_Corriente!AN142*SALUD_Mes_Constante!$AC$1</f>
        <v>185456.34306266427</v>
      </c>
      <c r="AO142" s="9">
        <f t="shared" si="59"/>
        <v>185456.34306266427</v>
      </c>
      <c r="AP142" s="8">
        <f>+MINVU_Mes_Corriente!AP142*SALUD_Mes_Constante!$AP$1</f>
        <v>186782.43067766805</v>
      </c>
      <c r="AQ142" s="8">
        <f>+MINVU_Mes_Corriente!AQ142*SALUD_Mes_Constante!$AP$1</f>
        <v>186782.43067766805</v>
      </c>
      <c r="AR142" s="8">
        <f>+MINVU_Mes_Corriente!AR142*SALUD_Mes_Constante!$AP$1</f>
        <v>186782.43067766805</v>
      </c>
      <c r="AS142" s="8">
        <f>+MINVU_Mes_Corriente!AS142*SALUD_Mes_Constante!$AP$1</f>
        <v>186782.43067766805</v>
      </c>
      <c r="AT142" s="8">
        <f>+MINVU_Mes_Corriente!AT142*SALUD_Mes_Constante!$AP$1</f>
        <v>186782.43067766805</v>
      </c>
      <c r="AU142" s="8">
        <f>+MINVU_Mes_Corriente!AU142*SALUD_Mes_Constante!$AP$1</f>
        <v>186782.43067766805</v>
      </c>
      <c r="AV142" s="8">
        <f>+MINVU_Mes_Corriente!AV142*SALUD_Mes_Constante!$AP$1</f>
        <v>186782.43067766805</v>
      </c>
      <c r="AW142" s="8">
        <f>+MINVU_Mes_Corriente!AW142*SALUD_Mes_Constante!$AP$1</f>
        <v>186782.43067766805</v>
      </c>
      <c r="AX142" s="8">
        <f>+MINVU_Mes_Corriente!AX142*SALUD_Mes_Constante!$AP$1</f>
        <v>186782.43067766805</v>
      </c>
      <c r="AY142" s="8">
        <f>+MINVU_Mes_Corriente!AY142*SALUD_Mes_Constante!$AP$1</f>
        <v>186782.43067766805</v>
      </c>
      <c r="AZ142" s="8">
        <f>+MINVU_Mes_Corriente!AZ142*SALUD_Mes_Constante!$AP$1</f>
        <v>186782.43067766805</v>
      </c>
      <c r="BA142" s="8">
        <f>+MINVU_Mes_Corriente!BA142*SALUD_Mes_Constante!$AP$1</f>
        <v>186782.43067766805</v>
      </c>
      <c r="BB142" s="9">
        <f t="shared" si="60"/>
        <v>186782.43067766805</v>
      </c>
      <c r="BC142" s="8">
        <f>+MINVU_Mes_Corriente!BC142*SALUD_Mes_Constante!$BC$1</f>
        <v>186837.04945272324</v>
      </c>
      <c r="BD142" s="8">
        <f>+MINVU_Mes_Corriente!BD142*SALUD_Mes_Constante!$BC$1</f>
        <v>186837.04945272324</v>
      </c>
      <c r="BE142" s="8">
        <f>+MINVU_Mes_Corriente!BE142*SALUD_Mes_Constante!$BC$1</f>
        <v>186837.04945272324</v>
      </c>
      <c r="BF142" s="8">
        <f>+MINVU_Mes_Corriente!BF142*SALUD_Mes_Constante!$BC$1</f>
        <v>186837.04945272324</v>
      </c>
      <c r="BG142" s="8">
        <f>+MINVU_Mes_Corriente!BG142*SALUD_Mes_Constante!$BC$1</f>
        <v>186837.04945272324</v>
      </c>
      <c r="BH142" s="8">
        <f>+MINVU_Mes_Corriente!BH142*SALUD_Mes_Constante!$BC$1</f>
        <v>186837.04945272324</v>
      </c>
      <c r="BI142" s="8">
        <f>+MINVU_Mes_Corriente!BI142*SALUD_Mes_Constante!$BC$1</f>
        <v>186837.04945272324</v>
      </c>
      <c r="BJ142" s="8">
        <f>+MINVU_Mes_Corriente!BJ142*SALUD_Mes_Constante!$BC$1</f>
        <v>186837.04945272324</v>
      </c>
      <c r="BK142" s="8">
        <f>+MINVU_Mes_Corriente!BK142*SALUD_Mes_Constante!$BC$1</f>
        <v>186837.04945272324</v>
      </c>
      <c r="BL142" s="8">
        <f>+MINVU_Mes_Corriente!BL142*SALUD_Mes_Constante!$BC$1</f>
        <v>186837.04945272324</v>
      </c>
      <c r="BM142" s="8">
        <f>+MINVU_Mes_Corriente!BM142*SALUD_Mes_Constante!$BC$1</f>
        <v>186837.04945272324</v>
      </c>
      <c r="BN142" s="8">
        <f>+MINVU_Mes_Corriente!BN142*SALUD_Mes_Constante!$BC$1</f>
        <v>186837.04945272324</v>
      </c>
      <c r="BO142" s="9">
        <f t="shared" si="61"/>
        <v>186837.04945272324</v>
      </c>
      <c r="BP142" s="8">
        <f>+MINVU_Mes_Corriente!BP142*SALUD_Mes_Constante!$BP$1</f>
        <v>0</v>
      </c>
      <c r="BQ142" s="8">
        <f>+MINVU_Mes_Corriente!BQ142*SALUD_Mes_Constante!$BP$1</f>
        <v>0</v>
      </c>
      <c r="BR142" s="8">
        <f>+MINVU_Mes_Corriente!BR142*SALUD_Mes_Constante!$BP$1</f>
        <v>0</v>
      </c>
      <c r="BS142" s="8">
        <f>+MINVU_Mes_Corriente!BS142*SALUD_Mes_Constante!$BP$1</f>
        <v>0</v>
      </c>
      <c r="BT142" s="8">
        <f>+MINVU_Mes_Corriente!BT142*SALUD_Mes_Constante!$BP$1</f>
        <v>0</v>
      </c>
      <c r="BU142" s="8">
        <f>+MINVU_Mes_Corriente!BU142*SALUD_Mes_Constante!$BP$1</f>
        <v>0</v>
      </c>
      <c r="BV142" s="8">
        <f>+MINVU_Mes_Corriente!BV142*SALUD_Mes_Constante!$BP$1</f>
        <v>0</v>
      </c>
      <c r="BW142" s="8">
        <f>+MINVU_Mes_Corriente!BW142*SALUD_Mes_Constante!$BP$1</f>
        <v>0</v>
      </c>
      <c r="BX142" s="8">
        <f>+MINVU_Mes_Corriente!BX142*SALUD_Mes_Constante!$BP$1</f>
        <v>0</v>
      </c>
      <c r="BY142" s="8">
        <f>+MINVU_Mes_Corriente!BY142*SALUD_Mes_Constante!$BP$1</f>
        <v>0</v>
      </c>
      <c r="BZ142" s="8">
        <f>+MINVU_Mes_Corriente!BZ142*SALUD_Mes_Constante!$BP$1</f>
        <v>0</v>
      </c>
      <c r="CA142" s="8">
        <f>+MINVU_Mes_Corriente!CA142*SALUD_Mes_Constante!$BP$1</f>
        <v>0</v>
      </c>
      <c r="CB142" s="9">
        <f t="shared" si="62"/>
        <v>0</v>
      </c>
      <c r="CC142" s="8">
        <f>+MINVU_Mes_Corriente!CC142*SALUD_Mes_Constante!$CC$1</f>
        <v>61954.753450205149</v>
      </c>
      <c r="CD142" s="8">
        <f>+MINVU_Mes_Corriente!CD142*SALUD_Mes_Constante!$CC$1</f>
        <v>61954.753450205149</v>
      </c>
      <c r="CE142" s="8">
        <f>+MINVU_Mes_Corriente!CE142*SALUD_Mes_Constante!$CC$1</f>
        <v>61954.753450205149</v>
      </c>
      <c r="CF142" s="8">
        <f>+MINVU_Mes_Corriente!CF142*SALUD_Mes_Constante!$CC$1</f>
        <v>61954.753450205149</v>
      </c>
      <c r="CG142" s="8">
        <f>+MINVU_Mes_Corriente!CG142*SALUD_Mes_Constante!$CC$1</f>
        <v>61954.753450205149</v>
      </c>
      <c r="CH142" s="8">
        <f>+MINVU_Mes_Corriente!CH142*SALUD_Mes_Constante!$CC$1</f>
        <v>61954.753450205149</v>
      </c>
      <c r="CI142" s="8">
        <f>+MINVU_Mes_Corriente!CI142*SALUD_Mes_Constante!$CC$1</f>
        <v>61954.753450205149</v>
      </c>
      <c r="CJ142" s="8">
        <f>+MINVU_Mes_Corriente!CJ142*SALUD_Mes_Constante!$CC$1</f>
        <v>61954.753450205149</v>
      </c>
      <c r="CK142" s="8">
        <f>+MINVU_Mes_Corriente!CK142*SALUD_Mes_Constante!$CC$1</f>
        <v>61954.753450205149</v>
      </c>
      <c r="CL142" s="8">
        <f>+MINVU_Mes_Corriente!CL142*SALUD_Mes_Constante!$CC$1</f>
        <v>61954.753450205149</v>
      </c>
      <c r="CM142" s="8">
        <f>+MINVU_Mes_Corriente!CM142*SALUD_Mes_Constante!$CC$1</f>
        <v>61954.753450205149</v>
      </c>
      <c r="CN142" s="8">
        <f>+MINVU_Mes_Corriente!CN142*SALUD_Mes_Constante!$CC$1</f>
        <v>61954.753450205149</v>
      </c>
      <c r="CO142" s="9">
        <f t="shared" si="63"/>
        <v>61954.753450205149</v>
      </c>
      <c r="CP142" s="8">
        <f>+MINVU_Mes_Corriente!CP142*SALUD_Mes_Constante!$CP$1</f>
        <v>255220.96635730853</v>
      </c>
      <c r="CQ142" s="8">
        <f>+MINVU_Mes_Corriente!CQ142*SALUD_Mes_Constante!$CP$1</f>
        <v>255220.96635730853</v>
      </c>
      <c r="CR142" s="8">
        <f>+MINVU_Mes_Corriente!CR142*SALUD_Mes_Constante!$CP$1</f>
        <v>255220.96635730853</v>
      </c>
      <c r="CS142" s="8">
        <f>+MINVU_Mes_Corriente!CS142*SALUD_Mes_Constante!$CP$1</f>
        <v>255220.96635730853</v>
      </c>
      <c r="CT142" s="8">
        <f>+MINVU_Mes_Corriente!CT142*SALUD_Mes_Constante!$CP$1</f>
        <v>255220.96635730853</v>
      </c>
      <c r="CU142" s="8">
        <f>+MINVU_Mes_Corriente!CU142*SALUD_Mes_Constante!$CP$1</f>
        <v>255220.96635730853</v>
      </c>
      <c r="CV142" s="8">
        <f>+MINVU_Mes_Corriente!CV142*SALUD_Mes_Constante!$CP$1</f>
        <v>255220.96635730853</v>
      </c>
      <c r="CW142" s="8">
        <f>+MINVU_Mes_Corriente!CW142*SALUD_Mes_Constante!$CP$1</f>
        <v>255220.96635730853</v>
      </c>
      <c r="CX142" s="8">
        <f>+MINVU_Mes_Corriente!CX142*SALUD_Mes_Constante!$CP$1</f>
        <v>255220.96635730853</v>
      </c>
      <c r="CY142" s="8">
        <f>+MINVU_Mes_Corriente!CY142*SALUD_Mes_Constante!$CP$1</f>
        <v>255220.96635730853</v>
      </c>
      <c r="CZ142" s="8">
        <f>+MINVU_Mes_Corriente!CZ142*SALUD_Mes_Constante!$CP$1</f>
        <v>255220.96635730853</v>
      </c>
      <c r="DA142" s="8">
        <f>+MINVU_Mes_Corriente!DA142*SALUD_Mes_Constante!$CP$1</f>
        <v>255220.96635730853</v>
      </c>
      <c r="DB142" s="9">
        <f t="shared" si="64"/>
        <v>255220.96635730853</v>
      </c>
      <c r="DC142" s="8">
        <f>+MINVU_Mes_Corriente!DC142*SALUD_Mes_Constante!$DC$1</f>
        <v>317619.41569797363</v>
      </c>
      <c r="DD142" s="8">
        <f>+MINVU_Mes_Corriente!DD142*SALUD_Mes_Constante!$DC$1</f>
        <v>317619.41569797363</v>
      </c>
      <c r="DE142" s="8">
        <f>+MINVU_Mes_Corriente!DE142*SALUD_Mes_Constante!$DC$1</f>
        <v>317619.41569797363</v>
      </c>
      <c r="DF142" s="8">
        <f>+MINVU_Mes_Corriente!DF142*SALUD_Mes_Constante!$DC$1</f>
        <v>317619.41569797363</v>
      </c>
      <c r="DG142" s="8">
        <f>+MINVU_Mes_Corriente!DG142*SALUD_Mes_Constante!$DC$1</f>
        <v>317619.41569797363</v>
      </c>
      <c r="DH142" s="8">
        <f>+MINVU_Mes_Corriente!DH142*SALUD_Mes_Constante!$DC$1</f>
        <v>317619.41569797363</v>
      </c>
      <c r="DI142" s="8">
        <f>+MINVU_Mes_Corriente!DI142*SALUD_Mes_Constante!$DC$1</f>
        <v>317619.41569797363</v>
      </c>
      <c r="DJ142" s="8">
        <f>+MINVU_Mes_Corriente!DJ142*SALUD_Mes_Constante!$DC$1</f>
        <v>317619.41569797363</v>
      </c>
      <c r="DK142" s="8">
        <f>+MINVU_Mes_Corriente!DK142*SALUD_Mes_Constante!$DC$1</f>
        <v>317619.41569797363</v>
      </c>
      <c r="DL142" s="8">
        <f>+MINVU_Mes_Corriente!DL142*SALUD_Mes_Constante!$DC$1</f>
        <v>317619.41569797363</v>
      </c>
      <c r="DM142" s="8">
        <f>+MINVU_Mes_Corriente!DM142*SALUD_Mes_Constante!$DC$1</f>
        <v>317619.41569797363</v>
      </c>
      <c r="DN142" s="8">
        <f>+MINVU_Mes_Corriente!DN142*SALUD_Mes_Constante!$DC$1</f>
        <v>317619.41569797363</v>
      </c>
      <c r="DO142" s="9">
        <f t="shared" si="65"/>
        <v>317619.41569797363</v>
      </c>
      <c r="DP142" s="8">
        <f>+MINVU_Mes_Corriente!DP142*SALUD_Mes_Constante!$DP$1</f>
        <v>324831.14786223281</v>
      </c>
      <c r="DQ142" s="8">
        <f>+MINVU_Mes_Corriente!DQ142*SALUD_Mes_Constante!$DP$1</f>
        <v>324831.14786223281</v>
      </c>
      <c r="DR142" s="8">
        <f>+MINVU_Mes_Corriente!DR142*SALUD_Mes_Constante!$DP$1</f>
        <v>324831.14786223281</v>
      </c>
      <c r="DS142" s="8">
        <f>+MINVU_Mes_Corriente!DS142*SALUD_Mes_Constante!$DP$1</f>
        <v>324831.14786223281</v>
      </c>
      <c r="DT142" s="8">
        <f>+MINVU_Mes_Corriente!DT142*SALUD_Mes_Constante!$DP$1</f>
        <v>324831.14786223281</v>
      </c>
      <c r="DU142" s="8">
        <f>+MINVU_Mes_Corriente!DU142*SALUD_Mes_Constante!$DP$1</f>
        <v>324831.14786223281</v>
      </c>
      <c r="DV142" s="8">
        <f>+MINVU_Mes_Corriente!DV142*SALUD_Mes_Constante!$DP$1</f>
        <v>324831.14786223281</v>
      </c>
      <c r="DW142" s="8">
        <f>+MINVU_Mes_Corriente!DW142*SALUD_Mes_Constante!$DP$1</f>
        <v>324831.14786223281</v>
      </c>
      <c r="DX142" s="8">
        <f>+MINVU_Mes_Corriente!DX142*SALUD_Mes_Constante!$DP$1</f>
        <v>324831.14786223281</v>
      </c>
      <c r="DY142" s="8">
        <f>+MINVU_Mes_Corriente!DY142*SALUD_Mes_Constante!$DP$1</f>
        <v>324831.14786223281</v>
      </c>
      <c r="DZ142" s="8">
        <f>+MINVU_Mes_Corriente!DZ142*SALUD_Mes_Constante!$DP$1</f>
        <v>324831.14786223281</v>
      </c>
      <c r="EA142" s="8">
        <f>+MINVU_Mes_Corriente!EA142*SALUD_Mes_Constante!$DP$1</f>
        <v>324831.14786223281</v>
      </c>
      <c r="EB142" s="9">
        <f t="shared" si="66"/>
        <v>324831.14786223281</v>
      </c>
      <c r="EC142" s="8">
        <f>+MINVU_Mes_Corriente!EC142*SALUD_Mes_Constante!$EC$1</f>
        <v>284629.43779587193</v>
      </c>
      <c r="ED142" s="8">
        <f>+MINVU_Mes_Corriente!ED142*SALUD_Mes_Constante!$EC$1</f>
        <v>284629.43779587193</v>
      </c>
      <c r="EE142" s="8">
        <f>+MINVU_Mes_Corriente!EE142*SALUD_Mes_Constante!$EC$1</f>
        <v>284629.43779587193</v>
      </c>
      <c r="EF142" s="8">
        <f>+MINVU_Mes_Corriente!EF142*SALUD_Mes_Constante!$EC$1</f>
        <v>284629.43779587193</v>
      </c>
      <c r="EG142" s="8">
        <f>+MINVU_Mes_Corriente!EG142*SALUD_Mes_Constante!$EC$1</f>
        <v>284629.43779587193</v>
      </c>
      <c r="EH142" s="8">
        <f>+MINVU_Mes_Corriente!EH142*SALUD_Mes_Constante!$EC$1</f>
        <v>284629.43779587193</v>
      </c>
      <c r="EI142" s="8">
        <f>+MINVU_Mes_Corriente!EI142*SALUD_Mes_Constante!$EC$1</f>
        <v>284629.43779587193</v>
      </c>
      <c r="EJ142" s="8">
        <f>+MINVU_Mes_Corriente!EJ142*SALUD_Mes_Constante!$EC$1</f>
        <v>284629.43779587193</v>
      </c>
      <c r="EK142" s="8">
        <f>+MINVU_Mes_Corriente!EK142*SALUD_Mes_Constante!$EC$1</f>
        <v>284629.43779587193</v>
      </c>
      <c r="EL142" s="8">
        <f>+MINVU_Mes_Corriente!EL142*SALUD_Mes_Constante!$EC$1</f>
        <v>284629.43779587193</v>
      </c>
      <c r="EM142" s="8">
        <f>+MINVU_Mes_Corriente!EM142*SALUD_Mes_Constante!$EC$1</f>
        <v>284629.43779587193</v>
      </c>
      <c r="EN142" s="8">
        <f>+MINVU_Mes_Corriente!EN142*SALUD_Mes_Constante!$EC$1</f>
        <v>284629.43779587193</v>
      </c>
      <c r="EO142" s="9">
        <f t="shared" si="67"/>
        <v>284629.43779587193</v>
      </c>
      <c r="EP142" s="8">
        <f>+MINVU_Mes_Corriente!EP142*SALUD_Mes_Constante!$EP$1</f>
        <v>286704</v>
      </c>
      <c r="EQ142" s="8">
        <f>+MINVU_Mes_Corriente!EQ142*SALUD_Mes_Constante!$EP$1</f>
        <v>286704</v>
      </c>
      <c r="ER142" s="8">
        <f>+MINVU_Mes_Corriente!ER142*SALUD_Mes_Constante!$EP$1</f>
        <v>286704</v>
      </c>
      <c r="ES142" s="8">
        <f>+MINVU_Mes_Corriente!ES142*SALUD_Mes_Constante!$EP$1</f>
        <v>286704</v>
      </c>
      <c r="ET142" s="8">
        <f>+MINVU_Mes_Corriente!ET142*SALUD_Mes_Constante!$EP$1</f>
        <v>286704</v>
      </c>
      <c r="EU142" s="8">
        <f>+MINVU_Mes_Corriente!EU142*SALUD_Mes_Constante!$EP$1</f>
        <v>286704</v>
      </c>
      <c r="EV142" s="8">
        <f>+MINVU_Mes_Corriente!EV142*SALUD_Mes_Constante!$EP$1</f>
        <v>286704</v>
      </c>
      <c r="EW142" s="8">
        <f>+MINVU_Mes_Corriente!EW142*SALUD_Mes_Constante!$EP$1</f>
        <v>286704</v>
      </c>
      <c r="EX142" s="8">
        <f>+MINVU_Mes_Corriente!EX142*SALUD_Mes_Constante!$EP$1</f>
        <v>286704</v>
      </c>
      <c r="EY142" s="8">
        <f>+MINVU_Mes_Corriente!EY142*SALUD_Mes_Constante!$EP$1</f>
        <v>286704</v>
      </c>
      <c r="EZ142" s="8">
        <f>+MINVU_Mes_Corriente!EZ142*SALUD_Mes_Constante!$EP$1</f>
        <v>286704</v>
      </c>
      <c r="FA142" s="8">
        <f>+MINVU_Mes_Corriente!FA142*SALUD_Mes_Constante!$EP$1</f>
        <v>286704</v>
      </c>
      <c r="FB142" s="9">
        <f t="shared" si="68"/>
        <v>286704</v>
      </c>
      <c r="FC142" s="8">
        <f>+MINVU_Mes_Corriente!FC142*SALUD_Mes_Constante!$FC$1</f>
        <v>295592</v>
      </c>
      <c r="FD142" s="8">
        <f>+MINVU_Mes_Corriente!FD142*SALUD_Mes_Constante!$FC$1</f>
        <v>295592</v>
      </c>
      <c r="FE142" s="8">
        <f>+MINVU_Mes_Corriente!FE142*SALUD_Mes_Constante!$FC$1</f>
        <v>295592</v>
      </c>
      <c r="FF142" s="8">
        <f>+MINVU_Mes_Corriente!FF142*SALUD_Mes_Constante!$FC$1</f>
        <v>295592</v>
      </c>
      <c r="FG142" s="8">
        <f>+MINVU_Mes_Corriente!FG142*SALUD_Mes_Constante!$FC$1</f>
        <v>295592</v>
      </c>
      <c r="FH142" s="8">
        <f>+MINVU_Mes_Corriente!FH142*SALUD_Mes_Constante!$FC$1</f>
        <v>295592</v>
      </c>
      <c r="FI142" s="8">
        <f>+MINVU_Mes_Corriente!FI142*SALUD_Mes_Constante!$FC$1</f>
        <v>295592</v>
      </c>
      <c r="FJ142" s="8"/>
      <c r="FK142" s="8"/>
      <c r="FL142" s="8"/>
      <c r="FM142" s="8"/>
      <c r="FN142" s="8"/>
      <c r="FO142" s="9">
        <f t="shared" si="69"/>
        <v>295592</v>
      </c>
    </row>
    <row r="143" spans="2:171" ht="14.25" customHeight="1" x14ac:dyDescent="0.3">
      <c r="B143" s="7" t="s">
        <v>67</v>
      </c>
      <c r="C143" s="8">
        <f>+MINVU_Mes_Corriente!C143*SALUD_Mes_Constante!$C$1</f>
        <v>286187.31217558956</v>
      </c>
      <c r="D143" s="8">
        <f>+MINVU_Mes_Corriente!D143*SALUD_Mes_Constante!$C$1</f>
        <v>286187.31217558956</v>
      </c>
      <c r="E143" s="8">
        <f>+MINVU_Mes_Corriente!E143*SALUD_Mes_Constante!$C$1</f>
        <v>286187.31217558956</v>
      </c>
      <c r="F143" s="8">
        <f>+MINVU_Mes_Corriente!F143*SALUD_Mes_Constante!$C$1</f>
        <v>286187.31217558956</v>
      </c>
      <c r="G143" s="8">
        <f>+MINVU_Mes_Corriente!G143*SALUD_Mes_Constante!$C$1</f>
        <v>286187.31217558956</v>
      </c>
      <c r="H143" s="8">
        <f>+MINVU_Mes_Corriente!H143*SALUD_Mes_Constante!$C$1</f>
        <v>286187.31217558956</v>
      </c>
      <c r="I143" s="8">
        <f>+MINVU_Mes_Corriente!I143*SALUD_Mes_Constante!$C$1</f>
        <v>286187.31217558956</v>
      </c>
      <c r="J143" s="8">
        <f>+MINVU_Mes_Corriente!J143*SALUD_Mes_Constante!$C$1</f>
        <v>286187.31217558956</v>
      </c>
      <c r="K143" s="8">
        <f>+MINVU_Mes_Corriente!K143*SALUD_Mes_Constante!$C$1</f>
        <v>286187.31217558956</v>
      </c>
      <c r="L143" s="8">
        <f>+MINVU_Mes_Corriente!L143*SALUD_Mes_Constante!$C$1</f>
        <v>286187.31217558956</v>
      </c>
      <c r="M143" s="8">
        <f>+MINVU_Mes_Corriente!M143*SALUD_Mes_Constante!$C$1</f>
        <v>286187.31217558956</v>
      </c>
      <c r="N143" s="8">
        <f>+MINVU_Mes_Corriente!N143*SALUD_Mes_Constante!$C$1</f>
        <v>286187.31217558956</v>
      </c>
      <c r="O143" s="9">
        <f t="shared" si="57"/>
        <v>286187.31217558956</v>
      </c>
      <c r="P143" s="8">
        <f>+MINVU_Mes_Corriente!P143*SALUD_Mes_Constante!$P$1</f>
        <v>282377.88322204846</v>
      </c>
      <c r="Q143" s="8">
        <f>+MINVU_Mes_Corriente!Q143*SALUD_Mes_Constante!$P$1</f>
        <v>282377.88322204846</v>
      </c>
      <c r="R143" s="8">
        <f>+MINVU_Mes_Corriente!R143*SALUD_Mes_Constante!$P$1</f>
        <v>282377.88322204846</v>
      </c>
      <c r="S143" s="8">
        <f>+MINVU_Mes_Corriente!S143*SALUD_Mes_Constante!$P$1</f>
        <v>282377.88322204846</v>
      </c>
      <c r="T143" s="8">
        <f>+MINVU_Mes_Corriente!T143*SALUD_Mes_Constante!$P$1</f>
        <v>282377.88322204846</v>
      </c>
      <c r="U143" s="8">
        <f>+MINVU_Mes_Corriente!U143*SALUD_Mes_Constante!$P$1</f>
        <v>282377.88322204846</v>
      </c>
      <c r="V143" s="8">
        <f>+MINVU_Mes_Corriente!V143*SALUD_Mes_Constante!$P$1</f>
        <v>282377.88322204846</v>
      </c>
      <c r="W143" s="8">
        <f>+MINVU_Mes_Corriente!W143*SALUD_Mes_Constante!$P$1</f>
        <v>282377.88322204846</v>
      </c>
      <c r="X143" s="8">
        <f>+MINVU_Mes_Corriente!X143*SALUD_Mes_Constante!$P$1</f>
        <v>282377.88322204846</v>
      </c>
      <c r="Y143" s="8">
        <f>+MINVU_Mes_Corriente!Y143*SALUD_Mes_Constante!$P$1</f>
        <v>282377.88322204846</v>
      </c>
      <c r="Z143" s="8">
        <f>+MINVU_Mes_Corriente!Z143*SALUD_Mes_Constante!$P$1</f>
        <v>282377.88322204846</v>
      </c>
      <c r="AA143" s="8">
        <f>+MINVU_Mes_Corriente!AA143*SALUD_Mes_Constante!$P$1</f>
        <v>282377.88322204846</v>
      </c>
      <c r="AB143" s="9">
        <f t="shared" si="58"/>
        <v>282377.88322204846</v>
      </c>
      <c r="AC143" s="8">
        <f>+MINVU_Mes_Corriente!AC143*SALUD_Mes_Constante!$AC$1</f>
        <v>285404.53147046617</v>
      </c>
      <c r="AD143" s="8">
        <f>+MINVU_Mes_Corriente!AD143*SALUD_Mes_Constante!$AC$1</f>
        <v>285404.53147046617</v>
      </c>
      <c r="AE143" s="8">
        <f>+MINVU_Mes_Corriente!AE143*SALUD_Mes_Constante!$AC$1</f>
        <v>285404.53147046617</v>
      </c>
      <c r="AF143" s="8">
        <f>+MINVU_Mes_Corriente!AF143*SALUD_Mes_Constante!$AC$1</f>
        <v>285404.53147046617</v>
      </c>
      <c r="AG143" s="8">
        <f>+MINVU_Mes_Corriente!AG143*SALUD_Mes_Constante!$AC$1</f>
        <v>285404.53147046617</v>
      </c>
      <c r="AH143" s="8">
        <f>+MINVU_Mes_Corriente!AH143*SALUD_Mes_Constante!$AC$1</f>
        <v>285404.53147046617</v>
      </c>
      <c r="AI143" s="8">
        <f>+MINVU_Mes_Corriente!AI143*SALUD_Mes_Constante!$AC$1</f>
        <v>285404.53147046617</v>
      </c>
      <c r="AJ143" s="8">
        <f>+MINVU_Mes_Corriente!AJ143*SALUD_Mes_Constante!$AC$1</f>
        <v>285404.53147046617</v>
      </c>
      <c r="AK143" s="8">
        <f>+MINVU_Mes_Corriente!AK143*SALUD_Mes_Constante!$AC$1</f>
        <v>285404.53147046617</v>
      </c>
      <c r="AL143" s="8">
        <f>+MINVU_Mes_Corriente!AL143*SALUD_Mes_Constante!$AC$1</f>
        <v>285404.53147046617</v>
      </c>
      <c r="AM143" s="8">
        <f>+MINVU_Mes_Corriente!AM143*SALUD_Mes_Constante!$AC$1</f>
        <v>285404.53147046617</v>
      </c>
      <c r="AN143" s="8">
        <f>+MINVU_Mes_Corriente!AN143*SALUD_Mes_Constante!$AC$1</f>
        <v>285404.53147046617</v>
      </c>
      <c r="AO143" s="9">
        <f t="shared" si="59"/>
        <v>285404.53147046617</v>
      </c>
      <c r="AP143" s="8">
        <f>+MINVU_Mes_Corriente!AP143*SALUD_Mes_Constante!$AP$1</f>
        <v>287445.57662653859</v>
      </c>
      <c r="AQ143" s="8">
        <f>+MINVU_Mes_Corriente!AQ143*SALUD_Mes_Constante!$AP$1</f>
        <v>287445.57662653859</v>
      </c>
      <c r="AR143" s="8">
        <f>+MINVU_Mes_Corriente!AR143*SALUD_Mes_Constante!$AP$1</f>
        <v>287445.57662653859</v>
      </c>
      <c r="AS143" s="8">
        <f>+MINVU_Mes_Corriente!AS143*SALUD_Mes_Constante!$AP$1</f>
        <v>287445.57662653859</v>
      </c>
      <c r="AT143" s="8">
        <f>+MINVU_Mes_Corriente!AT143*SALUD_Mes_Constante!$AP$1</f>
        <v>287445.57662653859</v>
      </c>
      <c r="AU143" s="8">
        <f>+MINVU_Mes_Corriente!AU143*SALUD_Mes_Constante!$AP$1</f>
        <v>287445.57662653859</v>
      </c>
      <c r="AV143" s="8">
        <f>+MINVU_Mes_Corriente!AV143*SALUD_Mes_Constante!$AP$1</f>
        <v>287445.57662653859</v>
      </c>
      <c r="AW143" s="8">
        <f>+MINVU_Mes_Corriente!AW143*SALUD_Mes_Constante!$AP$1</f>
        <v>287445.57662653859</v>
      </c>
      <c r="AX143" s="8">
        <f>+MINVU_Mes_Corriente!AX143*SALUD_Mes_Constante!$AP$1</f>
        <v>287445.57662653859</v>
      </c>
      <c r="AY143" s="8">
        <f>+MINVU_Mes_Corriente!AY143*SALUD_Mes_Constante!$AP$1</f>
        <v>287445.57662653859</v>
      </c>
      <c r="AZ143" s="8">
        <f>+MINVU_Mes_Corriente!AZ143*SALUD_Mes_Constante!$AP$1</f>
        <v>287445.57662653859</v>
      </c>
      <c r="BA143" s="8">
        <f>+MINVU_Mes_Corriente!BA143*SALUD_Mes_Constante!$AP$1</f>
        <v>287445.57662653859</v>
      </c>
      <c r="BB143" s="9">
        <f t="shared" si="60"/>
        <v>287445.57662653859</v>
      </c>
      <c r="BC143" s="8">
        <f>+MINVU_Mes_Corriente!BC143*SALUD_Mes_Constante!$BC$1</f>
        <v>287529.7283397073</v>
      </c>
      <c r="BD143" s="8">
        <f>+MINVU_Mes_Corriente!BD143*SALUD_Mes_Constante!$BC$1</f>
        <v>287529.7283397073</v>
      </c>
      <c r="BE143" s="8">
        <f>+MINVU_Mes_Corriente!BE143*SALUD_Mes_Constante!$BC$1</f>
        <v>287529.7283397073</v>
      </c>
      <c r="BF143" s="8">
        <f>+MINVU_Mes_Corriente!BF143*SALUD_Mes_Constante!$BC$1</f>
        <v>287529.7283397073</v>
      </c>
      <c r="BG143" s="8">
        <f>+MINVU_Mes_Corriente!BG143*SALUD_Mes_Constante!$BC$1</f>
        <v>287529.7283397073</v>
      </c>
      <c r="BH143" s="8">
        <f>+MINVU_Mes_Corriente!BH143*SALUD_Mes_Constante!$BC$1</f>
        <v>287529.7283397073</v>
      </c>
      <c r="BI143" s="8">
        <f>+MINVU_Mes_Corriente!BI143*SALUD_Mes_Constante!$BC$1</f>
        <v>287529.7283397073</v>
      </c>
      <c r="BJ143" s="8">
        <f>+MINVU_Mes_Corriente!BJ143*SALUD_Mes_Constante!$BC$1</f>
        <v>287529.7283397073</v>
      </c>
      <c r="BK143" s="8">
        <f>+MINVU_Mes_Corriente!BK143*SALUD_Mes_Constante!$BC$1</f>
        <v>287529.7283397073</v>
      </c>
      <c r="BL143" s="8">
        <f>+MINVU_Mes_Corriente!BL143*SALUD_Mes_Constante!$BC$1</f>
        <v>287529.7283397073</v>
      </c>
      <c r="BM143" s="8">
        <f>+MINVU_Mes_Corriente!BM143*SALUD_Mes_Constante!$BC$1</f>
        <v>287529.7283397073</v>
      </c>
      <c r="BN143" s="8">
        <f>+MINVU_Mes_Corriente!BN143*SALUD_Mes_Constante!$BC$1</f>
        <v>287529.7283397073</v>
      </c>
      <c r="BO143" s="9">
        <f t="shared" si="61"/>
        <v>287529.7283397073</v>
      </c>
      <c r="BP143" s="8">
        <f>+MINVU_Mes_Corriente!BP143*SALUD_Mes_Constante!$BP$1</f>
        <v>0</v>
      </c>
      <c r="BQ143" s="8">
        <f>+MINVU_Mes_Corriente!BQ143*SALUD_Mes_Constante!$BP$1</f>
        <v>0</v>
      </c>
      <c r="BR143" s="8">
        <f>+MINVU_Mes_Corriente!BR143*SALUD_Mes_Constante!$BP$1</f>
        <v>0</v>
      </c>
      <c r="BS143" s="8">
        <f>+MINVU_Mes_Corriente!BS143*SALUD_Mes_Constante!$BP$1</f>
        <v>0</v>
      </c>
      <c r="BT143" s="8">
        <f>+MINVU_Mes_Corriente!BT143*SALUD_Mes_Constante!$BP$1</f>
        <v>0</v>
      </c>
      <c r="BU143" s="8">
        <f>+MINVU_Mes_Corriente!BU143*SALUD_Mes_Constante!$BP$1</f>
        <v>0</v>
      </c>
      <c r="BV143" s="8">
        <f>+MINVU_Mes_Corriente!BV143*SALUD_Mes_Constante!$BP$1</f>
        <v>0</v>
      </c>
      <c r="BW143" s="8">
        <f>+MINVU_Mes_Corriente!BW143*SALUD_Mes_Constante!$BP$1</f>
        <v>0</v>
      </c>
      <c r="BX143" s="8">
        <f>+MINVU_Mes_Corriente!BX143*SALUD_Mes_Constante!$BP$1</f>
        <v>0</v>
      </c>
      <c r="BY143" s="8">
        <f>+MINVU_Mes_Corriente!BY143*SALUD_Mes_Constante!$BP$1</f>
        <v>0</v>
      </c>
      <c r="BZ143" s="8">
        <f>+MINVU_Mes_Corriente!BZ143*SALUD_Mes_Constante!$BP$1</f>
        <v>0</v>
      </c>
      <c r="CA143" s="8">
        <f>+MINVU_Mes_Corriente!CA143*SALUD_Mes_Constante!$BP$1</f>
        <v>0</v>
      </c>
      <c r="CB143" s="9">
        <f t="shared" si="62"/>
        <v>0</v>
      </c>
      <c r="CC143" s="8">
        <f>+MINVU_Mes_Corriente!CC143*SALUD_Mes_Constante!$CC$1</f>
        <v>61312.207385303998</v>
      </c>
      <c r="CD143" s="8">
        <f>+MINVU_Mes_Corriente!CD143*SALUD_Mes_Constante!$CC$1</f>
        <v>61312.207385303998</v>
      </c>
      <c r="CE143" s="8">
        <f>+MINVU_Mes_Corriente!CE143*SALUD_Mes_Constante!$CC$1</f>
        <v>61312.207385303998</v>
      </c>
      <c r="CF143" s="8">
        <f>+MINVU_Mes_Corriente!CF143*SALUD_Mes_Constante!$CC$1</f>
        <v>61312.207385303998</v>
      </c>
      <c r="CG143" s="8">
        <f>+MINVU_Mes_Corriente!CG143*SALUD_Mes_Constante!$CC$1</f>
        <v>61312.207385303998</v>
      </c>
      <c r="CH143" s="8">
        <f>+MINVU_Mes_Corriente!CH143*SALUD_Mes_Constante!$CC$1</f>
        <v>61312.207385303998</v>
      </c>
      <c r="CI143" s="8">
        <f>+MINVU_Mes_Corriente!CI143*SALUD_Mes_Constante!$CC$1</f>
        <v>61312.207385303998</v>
      </c>
      <c r="CJ143" s="8">
        <f>+MINVU_Mes_Corriente!CJ143*SALUD_Mes_Constante!$CC$1</f>
        <v>61312.207385303998</v>
      </c>
      <c r="CK143" s="8">
        <f>+MINVU_Mes_Corriente!CK143*SALUD_Mes_Constante!$CC$1</f>
        <v>61312.207385303998</v>
      </c>
      <c r="CL143" s="8">
        <f>+MINVU_Mes_Corriente!CL143*SALUD_Mes_Constante!$CC$1</f>
        <v>61312.207385303998</v>
      </c>
      <c r="CM143" s="8">
        <f>+MINVU_Mes_Corriente!CM143*SALUD_Mes_Constante!$CC$1</f>
        <v>61312.207385303998</v>
      </c>
      <c r="CN143" s="8">
        <f>+MINVU_Mes_Corriente!CN143*SALUD_Mes_Constante!$CC$1</f>
        <v>61312.207385303998</v>
      </c>
      <c r="CO143" s="9">
        <f t="shared" si="63"/>
        <v>61312.207385303998</v>
      </c>
      <c r="CP143" s="8">
        <f>+MINVU_Mes_Corriente!CP143*SALUD_Mes_Constante!$CP$1</f>
        <v>254866.06148491876</v>
      </c>
      <c r="CQ143" s="8">
        <f>+MINVU_Mes_Corriente!CQ143*SALUD_Mes_Constante!$CP$1</f>
        <v>254866.06148491876</v>
      </c>
      <c r="CR143" s="8">
        <f>+MINVU_Mes_Corriente!CR143*SALUD_Mes_Constante!$CP$1</f>
        <v>254866.06148491876</v>
      </c>
      <c r="CS143" s="8">
        <f>+MINVU_Mes_Corriente!CS143*SALUD_Mes_Constante!$CP$1</f>
        <v>254866.06148491876</v>
      </c>
      <c r="CT143" s="8">
        <f>+MINVU_Mes_Corriente!CT143*SALUD_Mes_Constante!$CP$1</f>
        <v>254866.06148491876</v>
      </c>
      <c r="CU143" s="8">
        <f>+MINVU_Mes_Corriente!CU143*SALUD_Mes_Constante!$CP$1</f>
        <v>254866.06148491876</v>
      </c>
      <c r="CV143" s="8">
        <f>+MINVU_Mes_Corriente!CV143*SALUD_Mes_Constante!$CP$1</f>
        <v>254866.06148491876</v>
      </c>
      <c r="CW143" s="8">
        <f>+MINVU_Mes_Corriente!CW143*SALUD_Mes_Constante!$CP$1</f>
        <v>254866.06148491876</v>
      </c>
      <c r="CX143" s="8">
        <f>+MINVU_Mes_Corriente!CX143*SALUD_Mes_Constante!$CP$1</f>
        <v>254866.06148491876</v>
      </c>
      <c r="CY143" s="8">
        <f>+MINVU_Mes_Corriente!CY143*SALUD_Mes_Constante!$CP$1</f>
        <v>254866.06148491876</v>
      </c>
      <c r="CZ143" s="8">
        <f>+MINVU_Mes_Corriente!CZ143*SALUD_Mes_Constante!$CP$1</f>
        <v>254866.06148491876</v>
      </c>
      <c r="DA143" s="8">
        <f>+MINVU_Mes_Corriente!DA143*SALUD_Mes_Constante!$CP$1</f>
        <v>254866.06148491876</v>
      </c>
      <c r="DB143" s="9">
        <f t="shared" si="64"/>
        <v>254866.06148491876</v>
      </c>
      <c r="DC143" s="8">
        <f>+MINVU_Mes_Corriente!DC143*SALUD_Mes_Constante!$DC$1</f>
        <v>311134.17549634824</v>
      </c>
      <c r="DD143" s="8">
        <f>+MINVU_Mes_Corriente!DD143*SALUD_Mes_Constante!$DC$1</f>
        <v>311134.17549634824</v>
      </c>
      <c r="DE143" s="8">
        <f>+MINVU_Mes_Corriente!DE143*SALUD_Mes_Constante!$DC$1</f>
        <v>311134.17549634824</v>
      </c>
      <c r="DF143" s="8">
        <f>+MINVU_Mes_Corriente!DF143*SALUD_Mes_Constante!$DC$1</f>
        <v>311134.17549634824</v>
      </c>
      <c r="DG143" s="8">
        <f>+MINVU_Mes_Corriente!DG143*SALUD_Mes_Constante!$DC$1</f>
        <v>311134.17549634824</v>
      </c>
      <c r="DH143" s="8">
        <f>+MINVU_Mes_Corriente!DH143*SALUD_Mes_Constante!$DC$1</f>
        <v>311134.17549634824</v>
      </c>
      <c r="DI143" s="8">
        <f>+MINVU_Mes_Corriente!DI143*SALUD_Mes_Constante!$DC$1</f>
        <v>311134.17549634824</v>
      </c>
      <c r="DJ143" s="8">
        <f>+MINVU_Mes_Corriente!DJ143*SALUD_Mes_Constante!$DC$1</f>
        <v>311134.17549634824</v>
      </c>
      <c r="DK143" s="8">
        <f>+MINVU_Mes_Corriente!DK143*SALUD_Mes_Constante!$DC$1</f>
        <v>311134.17549634824</v>
      </c>
      <c r="DL143" s="8">
        <f>+MINVU_Mes_Corriente!DL143*SALUD_Mes_Constante!$DC$1</f>
        <v>311134.17549634824</v>
      </c>
      <c r="DM143" s="8">
        <f>+MINVU_Mes_Corriente!DM143*SALUD_Mes_Constante!$DC$1</f>
        <v>311134.17549634824</v>
      </c>
      <c r="DN143" s="8">
        <f>+MINVU_Mes_Corriente!DN143*SALUD_Mes_Constante!$DC$1</f>
        <v>311134.17549634824</v>
      </c>
      <c r="DO143" s="9">
        <f t="shared" si="65"/>
        <v>311134.17549634824</v>
      </c>
      <c r="DP143" s="8">
        <f>+MINVU_Mes_Corriente!DP143*SALUD_Mes_Constante!$DP$1</f>
        <v>318199.20427553449</v>
      </c>
      <c r="DQ143" s="8">
        <f>+MINVU_Mes_Corriente!DQ143*SALUD_Mes_Constante!$DP$1</f>
        <v>318199.20427553449</v>
      </c>
      <c r="DR143" s="8">
        <f>+MINVU_Mes_Corriente!DR143*SALUD_Mes_Constante!$DP$1</f>
        <v>318199.20427553449</v>
      </c>
      <c r="DS143" s="8">
        <f>+MINVU_Mes_Corriente!DS143*SALUD_Mes_Constante!$DP$1</f>
        <v>318199.20427553449</v>
      </c>
      <c r="DT143" s="8">
        <f>+MINVU_Mes_Corriente!DT143*SALUD_Mes_Constante!$DP$1</f>
        <v>318199.20427553449</v>
      </c>
      <c r="DU143" s="8">
        <f>+MINVU_Mes_Corriente!DU143*SALUD_Mes_Constante!$DP$1</f>
        <v>318199.20427553449</v>
      </c>
      <c r="DV143" s="8">
        <f>+MINVU_Mes_Corriente!DV143*SALUD_Mes_Constante!$DP$1</f>
        <v>318199.20427553449</v>
      </c>
      <c r="DW143" s="8">
        <f>+MINVU_Mes_Corriente!DW143*SALUD_Mes_Constante!$DP$1</f>
        <v>318199.20427553449</v>
      </c>
      <c r="DX143" s="8">
        <f>+MINVU_Mes_Corriente!DX143*SALUD_Mes_Constante!$DP$1</f>
        <v>318199.20427553449</v>
      </c>
      <c r="DY143" s="8">
        <f>+MINVU_Mes_Corriente!DY143*SALUD_Mes_Constante!$DP$1</f>
        <v>318199.20427553449</v>
      </c>
      <c r="DZ143" s="8">
        <f>+MINVU_Mes_Corriente!DZ143*SALUD_Mes_Constante!$DP$1</f>
        <v>318199.20427553449</v>
      </c>
      <c r="EA143" s="8">
        <f>+MINVU_Mes_Corriente!EA143*SALUD_Mes_Constante!$DP$1</f>
        <v>318199.20427553449</v>
      </c>
      <c r="EB143" s="9">
        <f t="shared" si="66"/>
        <v>318199.20427553449</v>
      </c>
      <c r="EC143" s="8">
        <f>+MINVU_Mes_Corriente!EC143*SALUD_Mes_Constante!$EC$1</f>
        <v>278817.82370763103</v>
      </c>
      <c r="ED143" s="8">
        <f>+MINVU_Mes_Corriente!ED143*SALUD_Mes_Constante!$EC$1</f>
        <v>278817.82370763103</v>
      </c>
      <c r="EE143" s="8">
        <f>+MINVU_Mes_Corriente!EE143*SALUD_Mes_Constante!$EC$1</f>
        <v>278817.82370763103</v>
      </c>
      <c r="EF143" s="8">
        <f>+MINVU_Mes_Corriente!EF143*SALUD_Mes_Constante!$EC$1</f>
        <v>278817.82370763103</v>
      </c>
      <c r="EG143" s="8">
        <f>+MINVU_Mes_Corriente!EG143*SALUD_Mes_Constante!$EC$1</f>
        <v>278817.82370763103</v>
      </c>
      <c r="EH143" s="8">
        <f>+MINVU_Mes_Corriente!EH143*SALUD_Mes_Constante!$EC$1</f>
        <v>278817.82370763103</v>
      </c>
      <c r="EI143" s="8">
        <f>+MINVU_Mes_Corriente!EI143*SALUD_Mes_Constante!$EC$1</f>
        <v>278817.82370763103</v>
      </c>
      <c r="EJ143" s="8">
        <f>+MINVU_Mes_Corriente!EJ143*SALUD_Mes_Constante!$EC$1</f>
        <v>278817.82370763103</v>
      </c>
      <c r="EK143" s="8">
        <f>+MINVU_Mes_Corriente!EK143*SALUD_Mes_Constante!$EC$1</f>
        <v>278817.82370763103</v>
      </c>
      <c r="EL143" s="8">
        <f>+MINVU_Mes_Corriente!EL143*SALUD_Mes_Constante!$EC$1</f>
        <v>278817.82370763103</v>
      </c>
      <c r="EM143" s="8">
        <f>+MINVU_Mes_Corriente!EM143*SALUD_Mes_Constante!$EC$1</f>
        <v>278817.82370763103</v>
      </c>
      <c r="EN143" s="8">
        <f>+MINVU_Mes_Corriente!EN143*SALUD_Mes_Constante!$EC$1</f>
        <v>278817.82370763103</v>
      </c>
      <c r="EO143" s="9">
        <f t="shared" si="67"/>
        <v>278817.82370763103</v>
      </c>
      <c r="EP143" s="8">
        <f>+MINVU_Mes_Corriente!EP143*SALUD_Mes_Constante!$EP$1</f>
        <v>280849</v>
      </c>
      <c r="EQ143" s="8">
        <f>+MINVU_Mes_Corriente!EQ143*SALUD_Mes_Constante!$EP$1</f>
        <v>280849</v>
      </c>
      <c r="ER143" s="8">
        <f>+MINVU_Mes_Corriente!ER143*SALUD_Mes_Constante!$EP$1</f>
        <v>280849</v>
      </c>
      <c r="ES143" s="8">
        <f>+MINVU_Mes_Corriente!ES143*SALUD_Mes_Constante!$EP$1</f>
        <v>280849</v>
      </c>
      <c r="ET143" s="8">
        <f>+MINVU_Mes_Corriente!ET143*SALUD_Mes_Constante!$EP$1</f>
        <v>280849</v>
      </c>
      <c r="EU143" s="8">
        <f>+MINVU_Mes_Corriente!EU143*SALUD_Mes_Constante!$EP$1</f>
        <v>280849</v>
      </c>
      <c r="EV143" s="8">
        <f>+MINVU_Mes_Corriente!EV143*SALUD_Mes_Constante!$EP$1</f>
        <v>280849</v>
      </c>
      <c r="EW143" s="8">
        <f>+MINVU_Mes_Corriente!EW143*SALUD_Mes_Constante!$EP$1</f>
        <v>280849</v>
      </c>
      <c r="EX143" s="8">
        <f>+MINVU_Mes_Corriente!EX143*SALUD_Mes_Constante!$EP$1</f>
        <v>280849</v>
      </c>
      <c r="EY143" s="8">
        <f>+MINVU_Mes_Corriente!EY143*SALUD_Mes_Constante!$EP$1</f>
        <v>280849</v>
      </c>
      <c r="EZ143" s="8">
        <f>+MINVU_Mes_Corriente!EZ143*SALUD_Mes_Constante!$EP$1</f>
        <v>280849</v>
      </c>
      <c r="FA143" s="8">
        <f>+MINVU_Mes_Corriente!FA143*SALUD_Mes_Constante!$EP$1</f>
        <v>280849</v>
      </c>
      <c r="FB143" s="9">
        <f t="shared" si="68"/>
        <v>280849</v>
      </c>
      <c r="FC143" s="8">
        <f>+MINVU_Mes_Corriente!FC143*SALUD_Mes_Constante!$FC$1</f>
        <v>289555</v>
      </c>
      <c r="FD143" s="8">
        <f>+MINVU_Mes_Corriente!FD143*SALUD_Mes_Constante!$FC$1</f>
        <v>289555</v>
      </c>
      <c r="FE143" s="8">
        <f>+MINVU_Mes_Corriente!FE143*SALUD_Mes_Constante!$FC$1</f>
        <v>289555</v>
      </c>
      <c r="FF143" s="8">
        <f>+MINVU_Mes_Corriente!FF143*SALUD_Mes_Constante!$FC$1</f>
        <v>289555</v>
      </c>
      <c r="FG143" s="8">
        <f>+MINVU_Mes_Corriente!FG143*SALUD_Mes_Constante!$FC$1</f>
        <v>289555</v>
      </c>
      <c r="FH143" s="8">
        <f>+MINVU_Mes_Corriente!FH143*SALUD_Mes_Constante!$FC$1</f>
        <v>289555</v>
      </c>
      <c r="FI143" s="8">
        <f>+MINVU_Mes_Corriente!FI143*SALUD_Mes_Constante!$FC$1</f>
        <v>289555</v>
      </c>
      <c r="FJ143" s="8"/>
      <c r="FK143" s="8"/>
      <c r="FL143" s="8"/>
      <c r="FM143" s="8"/>
      <c r="FN143" s="8"/>
      <c r="FO143" s="9">
        <f t="shared" si="69"/>
        <v>289555</v>
      </c>
    </row>
    <row r="144" spans="2:171" ht="14.25" customHeight="1" x14ac:dyDescent="0.3">
      <c r="B144" s="32" t="s">
        <v>68</v>
      </c>
      <c r="C144" s="8">
        <f>+MINVU_Mes_Corriente!C144*SALUD_Mes_Constante!$C$1</f>
        <v>702300.53032774746</v>
      </c>
      <c r="D144" s="8">
        <f>+MINVU_Mes_Corriente!D144*SALUD_Mes_Constante!$C$1</f>
        <v>702300.53032774746</v>
      </c>
      <c r="E144" s="8">
        <f>+MINVU_Mes_Corriente!E144*SALUD_Mes_Constante!$C$1</f>
        <v>702300.53032774746</v>
      </c>
      <c r="F144" s="8">
        <f>+MINVU_Mes_Corriente!F144*SALUD_Mes_Constante!$C$1</f>
        <v>702300.53032774746</v>
      </c>
      <c r="G144" s="8">
        <f>+MINVU_Mes_Corriente!G144*SALUD_Mes_Constante!$C$1</f>
        <v>702300.53032774746</v>
      </c>
      <c r="H144" s="8">
        <f>+MINVU_Mes_Corriente!H144*SALUD_Mes_Constante!$C$1</f>
        <v>702300.53032774746</v>
      </c>
      <c r="I144" s="8">
        <f>+MINVU_Mes_Corriente!I144*SALUD_Mes_Constante!$C$1</f>
        <v>702300.53032774746</v>
      </c>
      <c r="J144" s="8">
        <f>+MINVU_Mes_Corriente!J144*SALUD_Mes_Constante!$C$1</f>
        <v>702300.53032774746</v>
      </c>
      <c r="K144" s="8">
        <f>+MINVU_Mes_Corriente!K144*SALUD_Mes_Constante!$C$1</f>
        <v>702300.53032774746</v>
      </c>
      <c r="L144" s="8">
        <f>+MINVU_Mes_Corriente!L144*SALUD_Mes_Constante!$C$1</f>
        <v>702300.53032774746</v>
      </c>
      <c r="M144" s="8">
        <f>+MINVU_Mes_Corriente!M144*SALUD_Mes_Constante!$C$1</f>
        <v>702300.53032774746</v>
      </c>
      <c r="N144" s="8">
        <f>+MINVU_Mes_Corriente!N144*SALUD_Mes_Constante!$C$1</f>
        <v>702300.53032774746</v>
      </c>
      <c r="O144" s="9">
        <f t="shared" si="57"/>
        <v>702300.53032774746</v>
      </c>
      <c r="P144" s="8">
        <f>+MINVU_Mes_Corriente!P144*SALUD_Mes_Constante!$P$1</f>
        <v>692951.16550646373</v>
      </c>
      <c r="Q144" s="8">
        <f>+MINVU_Mes_Corriente!Q144*SALUD_Mes_Constante!$P$1</f>
        <v>692951.16550646373</v>
      </c>
      <c r="R144" s="8">
        <f>+MINVU_Mes_Corriente!R144*SALUD_Mes_Constante!$P$1</f>
        <v>692951.16550646373</v>
      </c>
      <c r="S144" s="8">
        <f>+MINVU_Mes_Corriente!S144*SALUD_Mes_Constante!$P$1</f>
        <v>692951.16550646373</v>
      </c>
      <c r="T144" s="8">
        <f>+MINVU_Mes_Corriente!T144*SALUD_Mes_Constante!$P$1</f>
        <v>692951.16550646373</v>
      </c>
      <c r="U144" s="8">
        <f>+MINVU_Mes_Corriente!U144*SALUD_Mes_Constante!$P$1</f>
        <v>692951.16550646373</v>
      </c>
      <c r="V144" s="8">
        <f>+MINVU_Mes_Corriente!V144*SALUD_Mes_Constante!$P$1</f>
        <v>692951.16550646373</v>
      </c>
      <c r="W144" s="8">
        <f>+MINVU_Mes_Corriente!W144*SALUD_Mes_Constante!$P$1</f>
        <v>692951.16550646373</v>
      </c>
      <c r="X144" s="8">
        <f>+MINVU_Mes_Corriente!X144*SALUD_Mes_Constante!$P$1</f>
        <v>692951.16550646373</v>
      </c>
      <c r="Y144" s="8">
        <f>+MINVU_Mes_Corriente!Y144*SALUD_Mes_Constante!$P$1</f>
        <v>692951.16550646373</v>
      </c>
      <c r="Z144" s="8">
        <f>+MINVU_Mes_Corriente!Z144*SALUD_Mes_Constante!$P$1</f>
        <v>692951.16550646373</v>
      </c>
      <c r="AA144" s="8">
        <f>+MINVU_Mes_Corriente!AA144*SALUD_Mes_Constante!$P$1</f>
        <v>692951.16550646373</v>
      </c>
      <c r="AB144" s="9">
        <f t="shared" si="58"/>
        <v>692951.16550646373</v>
      </c>
      <c r="AC144" s="8">
        <f>+MINVU_Mes_Corriente!AC144*SALUD_Mes_Constante!$AC$1</f>
        <v>700377.91091437265</v>
      </c>
      <c r="AD144" s="8">
        <f>+MINVU_Mes_Corriente!AD144*SALUD_Mes_Constante!$AC$1</f>
        <v>700377.91091437265</v>
      </c>
      <c r="AE144" s="8">
        <f>+MINVU_Mes_Corriente!AE144*SALUD_Mes_Constante!$AC$1</f>
        <v>700377.91091437265</v>
      </c>
      <c r="AF144" s="8">
        <f>+MINVU_Mes_Corriente!AF144*SALUD_Mes_Constante!$AC$1</f>
        <v>700377.91091437265</v>
      </c>
      <c r="AG144" s="8">
        <f>+MINVU_Mes_Corriente!AG144*SALUD_Mes_Constante!$AC$1</f>
        <v>700377.91091437265</v>
      </c>
      <c r="AH144" s="8">
        <f>+MINVU_Mes_Corriente!AH144*SALUD_Mes_Constante!$AC$1</f>
        <v>700377.91091437265</v>
      </c>
      <c r="AI144" s="8">
        <f>+MINVU_Mes_Corriente!AI144*SALUD_Mes_Constante!$AC$1</f>
        <v>700377.91091437265</v>
      </c>
      <c r="AJ144" s="8">
        <f>+MINVU_Mes_Corriente!AJ144*SALUD_Mes_Constante!$AC$1</f>
        <v>700377.91091437265</v>
      </c>
      <c r="AK144" s="8">
        <f>+MINVU_Mes_Corriente!AK144*SALUD_Mes_Constante!$AC$1</f>
        <v>700377.91091437265</v>
      </c>
      <c r="AL144" s="8">
        <f>+MINVU_Mes_Corriente!AL144*SALUD_Mes_Constante!$AC$1</f>
        <v>700377.91091437265</v>
      </c>
      <c r="AM144" s="8">
        <f>+MINVU_Mes_Corriente!AM144*SALUD_Mes_Constante!$AC$1</f>
        <v>700377.91091437265</v>
      </c>
      <c r="AN144" s="8">
        <f>+MINVU_Mes_Corriente!AN144*SALUD_Mes_Constante!$AC$1</f>
        <v>700377.91091437265</v>
      </c>
      <c r="AO144" s="9">
        <f t="shared" si="59"/>
        <v>700377.91091437265</v>
      </c>
      <c r="AP144" s="8">
        <f>+MINVU_Mes_Corriente!AP144*SALUD_Mes_Constante!$AP$1</f>
        <v>705386.87542269705</v>
      </c>
      <c r="AQ144" s="8">
        <f>+MINVU_Mes_Corriente!AQ144*SALUD_Mes_Constante!$AP$1</f>
        <v>705386.87542269705</v>
      </c>
      <c r="AR144" s="8">
        <f>+MINVU_Mes_Corriente!AR144*SALUD_Mes_Constante!$AP$1</f>
        <v>705386.87542269705</v>
      </c>
      <c r="AS144" s="8">
        <f>+MINVU_Mes_Corriente!AS144*SALUD_Mes_Constante!$AP$1</f>
        <v>705386.87542269705</v>
      </c>
      <c r="AT144" s="8">
        <f>+MINVU_Mes_Corriente!AT144*SALUD_Mes_Constante!$AP$1</f>
        <v>705386.87542269705</v>
      </c>
      <c r="AU144" s="8">
        <f>+MINVU_Mes_Corriente!AU144*SALUD_Mes_Constante!$AP$1</f>
        <v>705386.87542269705</v>
      </c>
      <c r="AV144" s="8">
        <f>+MINVU_Mes_Corriente!AV144*SALUD_Mes_Constante!$AP$1</f>
        <v>705386.87542269705</v>
      </c>
      <c r="AW144" s="8">
        <f>+MINVU_Mes_Corriente!AW144*SALUD_Mes_Constante!$AP$1</f>
        <v>705386.87542269705</v>
      </c>
      <c r="AX144" s="8">
        <f>+MINVU_Mes_Corriente!AX144*SALUD_Mes_Constante!$AP$1</f>
        <v>705386.87542269705</v>
      </c>
      <c r="AY144" s="8">
        <f>+MINVU_Mes_Corriente!AY144*SALUD_Mes_Constante!$AP$1</f>
        <v>705386.87542269705</v>
      </c>
      <c r="AZ144" s="8">
        <f>+MINVU_Mes_Corriente!AZ144*SALUD_Mes_Constante!$AP$1</f>
        <v>705386.87542269705</v>
      </c>
      <c r="BA144" s="8">
        <f>+MINVU_Mes_Corriente!BA144*SALUD_Mes_Constante!$AP$1</f>
        <v>705386.87542269705</v>
      </c>
      <c r="BB144" s="9">
        <f t="shared" si="60"/>
        <v>705386.87542269705</v>
      </c>
      <c r="BC144" s="8">
        <f>+MINVU_Mes_Corriente!BC144*SALUD_Mes_Constante!$BC$1</f>
        <v>705593.67400764883</v>
      </c>
      <c r="BD144" s="8">
        <f>+MINVU_Mes_Corriente!BD144*SALUD_Mes_Constante!$BC$1</f>
        <v>705593.67400764883</v>
      </c>
      <c r="BE144" s="8">
        <f>+MINVU_Mes_Corriente!BE144*SALUD_Mes_Constante!$BC$1</f>
        <v>705593.67400764883</v>
      </c>
      <c r="BF144" s="8">
        <f>+MINVU_Mes_Corriente!BF144*SALUD_Mes_Constante!$BC$1</f>
        <v>705593.67400764883</v>
      </c>
      <c r="BG144" s="8">
        <f>+MINVU_Mes_Corriente!BG144*SALUD_Mes_Constante!$BC$1</f>
        <v>705593.67400764883</v>
      </c>
      <c r="BH144" s="8">
        <f>+MINVU_Mes_Corriente!BH144*SALUD_Mes_Constante!$BC$1</f>
        <v>705593.67400764883</v>
      </c>
      <c r="BI144" s="8">
        <f>+MINVU_Mes_Corriente!BI144*SALUD_Mes_Constante!$BC$1</f>
        <v>705593.67400764883</v>
      </c>
      <c r="BJ144" s="8">
        <f>+MINVU_Mes_Corriente!BJ144*SALUD_Mes_Constante!$BC$1</f>
        <v>705593.67400764883</v>
      </c>
      <c r="BK144" s="8">
        <f>+MINVU_Mes_Corriente!BK144*SALUD_Mes_Constante!$BC$1</f>
        <v>705593.67400764883</v>
      </c>
      <c r="BL144" s="8">
        <f>+MINVU_Mes_Corriente!BL144*SALUD_Mes_Constante!$BC$1</f>
        <v>705593.67400764883</v>
      </c>
      <c r="BM144" s="8">
        <f>+MINVU_Mes_Corriente!BM144*SALUD_Mes_Constante!$BC$1</f>
        <v>705593.67400764883</v>
      </c>
      <c r="BN144" s="8">
        <f>+MINVU_Mes_Corriente!BN144*SALUD_Mes_Constante!$BC$1</f>
        <v>705593.67400764883</v>
      </c>
      <c r="BO144" s="9">
        <f t="shared" si="61"/>
        <v>705593.67400764883</v>
      </c>
      <c r="BP144" s="8">
        <f>+MINVU_Mes_Corriente!BP144*SALUD_Mes_Constante!$BP$1</f>
        <v>0</v>
      </c>
      <c r="BQ144" s="8">
        <f>+MINVU_Mes_Corriente!BQ144*SALUD_Mes_Constante!$BP$1</f>
        <v>0</v>
      </c>
      <c r="BR144" s="8">
        <f>+MINVU_Mes_Corriente!BR144*SALUD_Mes_Constante!$BP$1</f>
        <v>0</v>
      </c>
      <c r="BS144" s="8">
        <f>+MINVU_Mes_Corriente!BS144*SALUD_Mes_Constante!$BP$1</f>
        <v>0</v>
      </c>
      <c r="BT144" s="8">
        <f>+MINVU_Mes_Corriente!BT144*SALUD_Mes_Constante!$BP$1</f>
        <v>0</v>
      </c>
      <c r="BU144" s="8">
        <f>+MINVU_Mes_Corriente!BU144*SALUD_Mes_Constante!$BP$1</f>
        <v>0</v>
      </c>
      <c r="BV144" s="8">
        <f>+MINVU_Mes_Corriente!BV144*SALUD_Mes_Constante!$BP$1</f>
        <v>0</v>
      </c>
      <c r="BW144" s="8">
        <f>+MINVU_Mes_Corriente!BW144*SALUD_Mes_Constante!$BP$1</f>
        <v>0</v>
      </c>
      <c r="BX144" s="8">
        <f>+MINVU_Mes_Corriente!BX144*SALUD_Mes_Constante!$BP$1</f>
        <v>0</v>
      </c>
      <c r="BY144" s="8">
        <f>+MINVU_Mes_Corriente!BY144*SALUD_Mes_Constante!$BP$1</f>
        <v>0</v>
      </c>
      <c r="BZ144" s="8">
        <f>+MINVU_Mes_Corriente!BZ144*SALUD_Mes_Constante!$BP$1</f>
        <v>0</v>
      </c>
      <c r="CA144" s="8">
        <f>+MINVU_Mes_Corriente!CA144*SALUD_Mes_Constante!$BP$1</f>
        <v>0</v>
      </c>
      <c r="CB144" s="9">
        <f t="shared" si="62"/>
        <v>0</v>
      </c>
      <c r="CC144" s="8">
        <f>+MINVU_Mes_Corriente!CC144*SALUD_Mes_Constante!$CC$1</f>
        <v>191969.12719134652</v>
      </c>
      <c r="CD144" s="8">
        <f>+MINVU_Mes_Corriente!CD144*SALUD_Mes_Constante!$CC$1</f>
        <v>191969.12719134652</v>
      </c>
      <c r="CE144" s="8">
        <f>+MINVU_Mes_Corriente!CE144*SALUD_Mes_Constante!$CC$1</f>
        <v>191969.12719134652</v>
      </c>
      <c r="CF144" s="8">
        <f>+MINVU_Mes_Corriente!CF144*SALUD_Mes_Constante!$CC$1</f>
        <v>191969.12719134652</v>
      </c>
      <c r="CG144" s="8">
        <f>+MINVU_Mes_Corriente!CG144*SALUD_Mes_Constante!$CC$1</f>
        <v>191969.12719134652</v>
      </c>
      <c r="CH144" s="8">
        <f>+MINVU_Mes_Corriente!CH144*SALUD_Mes_Constante!$CC$1</f>
        <v>191969.12719134652</v>
      </c>
      <c r="CI144" s="8">
        <f>+MINVU_Mes_Corriente!CI144*SALUD_Mes_Constante!$CC$1</f>
        <v>191969.12719134652</v>
      </c>
      <c r="CJ144" s="8">
        <f>+MINVU_Mes_Corriente!CJ144*SALUD_Mes_Constante!$CC$1</f>
        <v>191969.12719134652</v>
      </c>
      <c r="CK144" s="8">
        <f>+MINVU_Mes_Corriente!CK144*SALUD_Mes_Constante!$CC$1</f>
        <v>191969.12719134652</v>
      </c>
      <c r="CL144" s="8">
        <f>+MINVU_Mes_Corriente!CL144*SALUD_Mes_Constante!$CC$1</f>
        <v>191969.12719134652</v>
      </c>
      <c r="CM144" s="8">
        <f>+MINVU_Mes_Corriente!CM144*SALUD_Mes_Constante!$CC$1</f>
        <v>191969.12719134652</v>
      </c>
      <c r="CN144" s="8">
        <f>+MINVU_Mes_Corriente!CN144*SALUD_Mes_Constante!$CC$1</f>
        <v>191969.12719134652</v>
      </c>
      <c r="CO144" s="9">
        <f t="shared" si="63"/>
        <v>191969.12719134652</v>
      </c>
      <c r="CP144" s="8">
        <f>+MINVU_Mes_Corriente!CP144*SALUD_Mes_Constante!$CP$1</f>
        <v>808548.08283062628</v>
      </c>
      <c r="CQ144" s="8">
        <f>+MINVU_Mes_Corriente!CQ144*SALUD_Mes_Constante!$CP$1</f>
        <v>808548.08283062628</v>
      </c>
      <c r="CR144" s="8">
        <f>+MINVU_Mes_Corriente!CR144*SALUD_Mes_Constante!$CP$1</f>
        <v>808548.08283062628</v>
      </c>
      <c r="CS144" s="8">
        <f>+MINVU_Mes_Corriente!CS144*SALUD_Mes_Constante!$CP$1</f>
        <v>808548.08283062628</v>
      </c>
      <c r="CT144" s="8">
        <f>+MINVU_Mes_Corriente!CT144*SALUD_Mes_Constante!$CP$1</f>
        <v>808548.08283062628</v>
      </c>
      <c r="CU144" s="8">
        <f>+MINVU_Mes_Corriente!CU144*SALUD_Mes_Constante!$CP$1</f>
        <v>808548.08283062628</v>
      </c>
      <c r="CV144" s="8">
        <f>+MINVU_Mes_Corriente!CV144*SALUD_Mes_Constante!$CP$1</f>
        <v>808548.08283062628</v>
      </c>
      <c r="CW144" s="8">
        <f>+MINVU_Mes_Corriente!CW144*SALUD_Mes_Constante!$CP$1</f>
        <v>808548.08283062628</v>
      </c>
      <c r="CX144" s="8">
        <f>+MINVU_Mes_Corriente!CX144*SALUD_Mes_Constante!$CP$1</f>
        <v>808548.08283062628</v>
      </c>
      <c r="CY144" s="8">
        <f>+MINVU_Mes_Corriente!CY144*SALUD_Mes_Constante!$CP$1</f>
        <v>808548.08283062628</v>
      </c>
      <c r="CZ144" s="8">
        <f>+MINVU_Mes_Corriente!CZ144*SALUD_Mes_Constante!$CP$1</f>
        <v>808548.08283062628</v>
      </c>
      <c r="DA144" s="8">
        <f>+MINVU_Mes_Corriente!DA144*SALUD_Mes_Constante!$CP$1</f>
        <v>808548.08283062628</v>
      </c>
      <c r="DB144" s="9">
        <f t="shared" si="64"/>
        <v>808548.08283062628</v>
      </c>
      <c r="DC144" s="8">
        <f>+MINVU_Mes_Corriente!DC144*SALUD_Mes_Constante!$DC$1</f>
        <v>965846.71083221934</v>
      </c>
      <c r="DD144" s="8">
        <f>+MINVU_Mes_Corriente!DD144*SALUD_Mes_Constante!$DC$1</f>
        <v>965846.71083221934</v>
      </c>
      <c r="DE144" s="8">
        <f>+MINVU_Mes_Corriente!DE144*SALUD_Mes_Constante!$DC$1</f>
        <v>965846.71083221934</v>
      </c>
      <c r="DF144" s="8">
        <f>+MINVU_Mes_Corriente!DF144*SALUD_Mes_Constante!$DC$1</f>
        <v>965846.71083221934</v>
      </c>
      <c r="DG144" s="8">
        <f>+MINVU_Mes_Corriente!DG144*SALUD_Mes_Constante!$DC$1</f>
        <v>965846.71083221934</v>
      </c>
      <c r="DH144" s="8">
        <f>+MINVU_Mes_Corriente!DH144*SALUD_Mes_Constante!$DC$1</f>
        <v>965846.71083221934</v>
      </c>
      <c r="DI144" s="8">
        <f>+MINVU_Mes_Corriente!DI144*SALUD_Mes_Constante!$DC$1</f>
        <v>965846.71083221934</v>
      </c>
      <c r="DJ144" s="8">
        <f>+MINVU_Mes_Corriente!DJ144*SALUD_Mes_Constante!$DC$1</f>
        <v>965846.71083221934</v>
      </c>
      <c r="DK144" s="8">
        <f>+MINVU_Mes_Corriente!DK144*SALUD_Mes_Constante!$DC$1</f>
        <v>965846.71083221934</v>
      </c>
      <c r="DL144" s="8">
        <f>+MINVU_Mes_Corriente!DL144*SALUD_Mes_Constante!$DC$1</f>
        <v>965846.71083221934</v>
      </c>
      <c r="DM144" s="8">
        <f>+MINVU_Mes_Corriente!DM144*SALUD_Mes_Constante!$DC$1</f>
        <v>965846.71083221934</v>
      </c>
      <c r="DN144" s="8">
        <f>+MINVU_Mes_Corriente!DN144*SALUD_Mes_Constante!$DC$1</f>
        <v>965846.71083221934</v>
      </c>
      <c r="DO144" s="9">
        <f t="shared" si="65"/>
        <v>965846.71083221934</v>
      </c>
      <c r="DP144" s="8">
        <f>+MINVU_Mes_Corriente!DP144*SALUD_Mes_Constante!$DP$1</f>
        <v>987776.79513064143</v>
      </c>
      <c r="DQ144" s="8">
        <f>+MINVU_Mes_Corriente!DQ144*SALUD_Mes_Constante!$DP$1</f>
        <v>987776.79513064143</v>
      </c>
      <c r="DR144" s="8">
        <f>+MINVU_Mes_Corriente!DR144*SALUD_Mes_Constante!$DP$1</f>
        <v>987776.79513064143</v>
      </c>
      <c r="DS144" s="8">
        <f>+MINVU_Mes_Corriente!DS144*SALUD_Mes_Constante!$DP$1</f>
        <v>987776.79513064143</v>
      </c>
      <c r="DT144" s="8">
        <f>+MINVU_Mes_Corriente!DT144*SALUD_Mes_Constante!$DP$1</f>
        <v>987776.79513064143</v>
      </c>
      <c r="DU144" s="8">
        <f>+MINVU_Mes_Corriente!DU144*SALUD_Mes_Constante!$DP$1</f>
        <v>987776.79513064143</v>
      </c>
      <c r="DV144" s="8">
        <f>+MINVU_Mes_Corriente!DV144*SALUD_Mes_Constante!$DP$1</f>
        <v>987776.79513064143</v>
      </c>
      <c r="DW144" s="8">
        <f>+MINVU_Mes_Corriente!DW144*SALUD_Mes_Constante!$DP$1</f>
        <v>987776.79513064143</v>
      </c>
      <c r="DX144" s="8">
        <f>+MINVU_Mes_Corriente!DX144*SALUD_Mes_Constante!$DP$1</f>
        <v>987776.79513064143</v>
      </c>
      <c r="DY144" s="8">
        <f>+MINVU_Mes_Corriente!DY144*SALUD_Mes_Constante!$DP$1</f>
        <v>987776.79513064143</v>
      </c>
      <c r="DZ144" s="8">
        <f>+MINVU_Mes_Corriente!DZ144*SALUD_Mes_Constante!$DP$1</f>
        <v>987776.79513064143</v>
      </c>
      <c r="EA144" s="8">
        <f>+MINVU_Mes_Corriente!EA144*SALUD_Mes_Constante!$DP$1</f>
        <v>987776.79513064143</v>
      </c>
      <c r="EB144" s="9">
        <f t="shared" si="66"/>
        <v>987776.79513064143</v>
      </c>
      <c r="EC144" s="8">
        <f>+MINVU_Mes_Corriente!EC144*SALUD_Mes_Constante!$EC$1</f>
        <v>865526.02404847543</v>
      </c>
      <c r="ED144" s="8">
        <f>+MINVU_Mes_Corriente!ED144*SALUD_Mes_Constante!$EC$1</f>
        <v>865526.02404847543</v>
      </c>
      <c r="EE144" s="8">
        <f>+MINVU_Mes_Corriente!EE144*SALUD_Mes_Constante!$EC$1</f>
        <v>865526.02404847543</v>
      </c>
      <c r="EF144" s="8">
        <f>+MINVU_Mes_Corriente!EF144*SALUD_Mes_Constante!$EC$1</f>
        <v>865526.02404847543</v>
      </c>
      <c r="EG144" s="8">
        <f>+MINVU_Mes_Corriente!EG144*SALUD_Mes_Constante!$EC$1</f>
        <v>865526.02404847543</v>
      </c>
      <c r="EH144" s="8">
        <f>+MINVU_Mes_Corriente!EH144*SALUD_Mes_Constante!$EC$1</f>
        <v>865526.02404847543</v>
      </c>
      <c r="EI144" s="8">
        <f>+MINVU_Mes_Corriente!EI144*SALUD_Mes_Constante!$EC$1</f>
        <v>865526.02404847543</v>
      </c>
      <c r="EJ144" s="8">
        <f>+MINVU_Mes_Corriente!EJ144*SALUD_Mes_Constante!$EC$1</f>
        <v>865526.02404847543</v>
      </c>
      <c r="EK144" s="8">
        <f>+MINVU_Mes_Corriente!EK144*SALUD_Mes_Constante!$EC$1</f>
        <v>865526.02404847543</v>
      </c>
      <c r="EL144" s="8">
        <f>+MINVU_Mes_Corriente!EL144*SALUD_Mes_Constante!$EC$1</f>
        <v>865526.02404847543</v>
      </c>
      <c r="EM144" s="8">
        <f>+MINVU_Mes_Corriente!EM144*SALUD_Mes_Constante!$EC$1</f>
        <v>865526.02404847543</v>
      </c>
      <c r="EN144" s="8">
        <f>+MINVU_Mes_Corriente!EN144*SALUD_Mes_Constante!$EC$1</f>
        <v>865526.02404847543</v>
      </c>
      <c r="EO144" s="9">
        <f t="shared" si="67"/>
        <v>865526.02404847543</v>
      </c>
      <c r="EP144" s="8">
        <f>+MINVU_Mes_Corriente!EP144*SALUD_Mes_Constante!$EP$1</f>
        <v>871833</v>
      </c>
      <c r="EQ144" s="8">
        <f>+MINVU_Mes_Corriente!EQ144*SALUD_Mes_Constante!$EP$1</f>
        <v>871833</v>
      </c>
      <c r="ER144" s="8">
        <f>+MINVU_Mes_Corriente!ER144*SALUD_Mes_Constante!$EP$1</f>
        <v>871833</v>
      </c>
      <c r="ES144" s="8">
        <f>+MINVU_Mes_Corriente!ES144*SALUD_Mes_Constante!$EP$1</f>
        <v>871833</v>
      </c>
      <c r="ET144" s="8">
        <f>+MINVU_Mes_Corriente!ET144*SALUD_Mes_Constante!$EP$1</f>
        <v>871833</v>
      </c>
      <c r="EU144" s="8">
        <f>+MINVU_Mes_Corriente!EU144*SALUD_Mes_Constante!$EP$1</f>
        <v>871833</v>
      </c>
      <c r="EV144" s="8">
        <f>+MINVU_Mes_Corriente!EV144*SALUD_Mes_Constante!$EP$1</f>
        <v>871833</v>
      </c>
      <c r="EW144" s="8">
        <f>+MINVU_Mes_Corriente!EW144*SALUD_Mes_Constante!$EP$1</f>
        <v>871833</v>
      </c>
      <c r="EX144" s="8">
        <f>+MINVU_Mes_Corriente!EX144*SALUD_Mes_Constante!$EP$1</f>
        <v>871833</v>
      </c>
      <c r="EY144" s="8">
        <f>+MINVU_Mes_Corriente!EY144*SALUD_Mes_Constante!$EP$1</f>
        <v>871833</v>
      </c>
      <c r="EZ144" s="8">
        <f>+MINVU_Mes_Corriente!EZ144*SALUD_Mes_Constante!$EP$1</f>
        <v>871833</v>
      </c>
      <c r="FA144" s="8">
        <f>+MINVU_Mes_Corriente!FA144*SALUD_Mes_Constante!$EP$1</f>
        <v>871833</v>
      </c>
      <c r="FB144" s="9">
        <f t="shared" si="68"/>
        <v>871833</v>
      </c>
      <c r="FC144" s="8">
        <f>+MINVU_Mes_Corriente!FC144*SALUD_Mes_Constante!$FC$1</f>
        <v>898860</v>
      </c>
      <c r="FD144" s="8">
        <f>+MINVU_Mes_Corriente!FD144*SALUD_Mes_Constante!$FC$1</f>
        <v>898860</v>
      </c>
      <c r="FE144" s="8">
        <f>+MINVU_Mes_Corriente!FE144*SALUD_Mes_Constante!$FC$1</f>
        <v>898860</v>
      </c>
      <c r="FF144" s="8">
        <f>+MINVU_Mes_Corriente!FF144*SALUD_Mes_Constante!$FC$1</f>
        <v>898860</v>
      </c>
      <c r="FG144" s="8">
        <f>+MINVU_Mes_Corriente!FG144*SALUD_Mes_Constante!$FC$1</f>
        <v>898860</v>
      </c>
      <c r="FH144" s="8">
        <f>+MINVU_Mes_Corriente!FH144*SALUD_Mes_Constante!$FC$1</f>
        <v>898860</v>
      </c>
      <c r="FI144" s="8">
        <f>+MINVU_Mes_Corriente!FI144*SALUD_Mes_Constante!$FC$1</f>
        <v>898860</v>
      </c>
      <c r="FJ144" s="8"/>
      <c r="FK144" s="8"/>
      <c r="FL144" s="8"/>
      <c r="FM144" s="8"/>
      <c r="FN144" s="8"/>
      <c r="FO144" s="9">
        <f t="shared" si="69"/>
        <v>898860</v>
      </c>
    </row>
    <row r="145" spans="2:171" ht="14.25" customHeight="1" x14ac:dyDescent="0.3">
      <c r="B145" s="32" t="s">
        <v>69</v>
      </c>
      <c r="C145" s="8">
        <f>+MINVU_Mes_Corriente!C145*SALUD_Mes_Constante!$C$1</f>
        <v>735063.94720450847</v>
      </c>
      <c r="D145" s="8">
        <f>+MINVU_Mes_Corriente!D145*SALUD_Mes_Constante!$C$1</f>
        <v>735063.94720450847</v>
      </c>
      <c r="E145" s="8">
        <f>+MINVU_Mes_Corriente!E145*SALUD_Mes_Constante!$C$1</f>
        <v>735063.94720450847</v>
      </c>
      <c r="F145" s="8">
        <f>+MINVU_Mes_Corriente!F145*SALUD_Mes_Constante!$C$1</f>
        <v>735063.94720450847</v>
      </c>
      <c r="G145" s="8">
        <f>+MINVU_Mes_Corriente!G145*SALUD_Mes_Constante!$C$1</f>
        <v>735063.94720450847</v>
      </c>
      <c r="H145" s="8">
        <f>+MINVU_Mes_Corriente!H145*SALUD_Mes_Constante!$C$1</f>
        <v>735063.94720450847</v>
      </c>
      <c r="I145" s="8">
        <f>+MINVU_Mes_Corriente!I145*SALUD_Mes_Constante!$C$1</f>
        <v>735063.94720450847</v>
      </c>
      <c r="J145" s="8">
        <f>+MINVU_Mes_Corriente!J145*SALUD_Mes_Constante!$C$1</f>
        <v>735063.94720450847</v>
      </c>
      <c r="K145" s="8">
        <f>+MINVU_Mes_Corriente!K145*SALUD_Mes_Constante!$C$1</f>
        <v>735063.94720450847</v>
      </c>
      <c r="L145" s="8">
        <f>+MINVU_Mes_Corriente!L145*SALUD_Mes_Constante!$C$1</f>
        <v>735063.94720450847</v>
      </c>
      <c r="M145" s="8">
        <f>+MINVU_Mes_Corriente!M145*SALUD_Mes_Constante!$C$1</f>
        <v>735063.94720450847</v>
      </c>
      <c r="N145" s="8">
        <f>+MINVU_Mes_Corriente!N145*SALUD_Mes_Constante!$C$1</f>
        <v>735063.94720450847</v>
      </c>
      <c r="O145" s="9">
        <f t="shared" si="57"/>
        <v>735063.94720450847</v>
      </c>
      <c r="P145" s="8">
        <f>+MINVU_Mes_Corriente!P145*SALUD_Mes_Constante!$P$1</f>
        <v>659407.92641000112</v>
      </c>
      <c r="Q145" s="8">
        <f>+MINVU_Mes_Corriente!Q145*SALUD_Mes_Constante!$P$1</f>
        <v>659407.92641000112</v>
      </c>
      <c r="R145" s="8">
        <f>+MINVU_Mes_Corriente!R145*SALUD_Mes_Constante!$P$1</f>
        <v>659407.92641000112</v>
      </c>
      <c r="S145" s="8">
        <f>+MINVU_Mes_Corriente!S145*SALUD_Mes_Constante!$P$1</f>
        <v>659407.92641000112</v>
      </c>
      <c r="T145" s="8">
        <f>+MINVU_Mes_Corriente!T145*SALUD_Mes_Constante!$P$1</f>
        <v>659407.92641000112</v>
      </c>
      <c r="U145" s="8">
        <f>+MINVU_Mes_Corriente!U145*SALUD_Mes_Constante!$P$1</f>
        <v>659407.92641000112</v>
      </c>
      <c r="V145" s="8">
        <f>+MINVU_Mes_Corriente!V145*SALUD_Mes_Constante!$P$1</f>
        <v>659407.92641000112</v>
      </c>
      <c r="W145" s="8">
        <f>+MINVU_Mes_Corriente!W145*SALUD_Mes_Constante!$P$1</f>
        <v>659407.92641000112</v>
      </c>
      <c r="X145" s="8">
        <f>+MINVU_Mes_Corriente!X145*SALUD_Mes_Constante!$P$1</f>
        <v>659407.92641000112</v>
      </c>
      <c r="Y145" s="8">
        <f>+MINVU_Mes_Corriente!Y145*SALUD_Mes_Constante!$P$1</f>
        <v>659407.92641000112</v>
      </c>
      <c r="Z145" s="8">
        <f>+MINVU_Mes_Corriente!Z145*SALUD_Mes_Constante!$P$1</f>
        <v>659407.92641000112</v>
      </c>
      <c r="AA145" s="8">
        <f>+MINVU_Mes_Corriente!AA145*SALUD_Mes_Constante!$P$1</f>
        <v>659407.92641000112</v>
      </c>
      <c r="AB145" s="9">
        <f t="shared" si="58"/>
        <v>659407.92641000112</v>
      </c>
      <c r="AC145" s="8">
        <f>+MINVU_Mes_Corriente!AC145*SALUD_Mes_Constante!$AC$1</f>
        <v>666475.42011343199</v>
      </c>
      <c r="AD145" s="8">
        <f>+MINVU_Mes_Corriente!AD145*SALUD_Mes_Constante!$AC$1</f>
        <v>666475.42011343199</v>
      </c>
      <c r="AE145" s="8">
        <f>+MINVU_Mes_Corriente!AE145*SALUD_Mes_Constante!$AC$1</f>
        <v>666475.42011343199</v>
      </c>
      <c r="AF145" s="8">
        <f>+MINVU_Mes_Corriente!AF145*SALUD_Mes_Constante!$AC$1</f>
        <v>666475.42011343199</v>
      </c>
      <c r="AG145" s="8">
        <f>+MINVU_Mes_Corriente!AG145*SALUD_Mes_Constante!$AC$1</f>
        <v>666475.42011343199</v>
      </c>
      <c r="AH145" s="8">
        <f>+MINVU_Mes_Corriente!AH145*SALUD_Mes_Constante!$AC$1</f>
        <v>666475.42011343199</v>
      </c>
      <c r="AI145" s="8">
        <f>+MINVU_Mes_Corriente!AI145*SALUD_Mes_Constante!$AC$1</f>
        <v>666475.42011343199</v>
      </c>
      <c r="AJ145" s="8">
        <f>+MINVU_Mes_Corriente!AJ145*SALUD_Mes_Constante!$AC$1</f>
        <v>666475.42011343199</v>
      </c>
      <c r="AK145" s="8">
        <f>+MINVU_Mes_Corriente!AK145*SALUD_Mes_Constante!$AC$1</f>
        <v>666475.42011343199</v>
      </c>
      <c r="AL145" s="8">
        <f>+MINVU_Mes_Corriente!AL145*SALUD_Mes_Constante!$AC$1</f>
        <v>666475.42011343199</v>
      </c>
      <c r="AM145" s="8">
        <f>+MINVU_Mes_Corriente!AM145*SALUD_Mes_Constante!$AC$1</f>
        <v>666475.42011343199</v>
      </c>
      <c r="AN145" s="8">
        <f>+MINVU_Mes_Corriente!AN145*SALUD_Mes_Constante!$AC$1</f>
        <v>666475.42011343199</v>
      </c>
      <c r="AO145" s="9">
        <f t="shared" si="59"/>
        <v>666475.42011343199</v>
      </c>
      <c r="AP145" s="8">
        <f>+MINVU_Mes_Corriente!AP145*SALUD_Mes_Constante!$AP$1</f>
        <v>671240.35438928707</v>
      </c>
      <c r="AQ145" s="8">
        <f>+MINVU_Mes_Corriente!AQ145*SALUD_Mes_Constante!$AP$1</f>
        <v>671240.35438928707</v>
      </c>
      <c r="AR145" s="8">
        <f>+MINVU_Mes_Corriente!AR145*SALUD_Mes_Constante!$AP$1</f>
        <v>671240.35438928707</v>
      </c>
      <c r="AS145" s="8">
        <f>+MINVU_Mes_Corriente!AS145*SALUD_Mes_Constante!$AP$1</f>
        <v>671240.35438928707</v>
      </c>
      <c r="AT145" s="8">
        <f>+MINVU_Mes_Corriente!AT145*SALUD_Mes_Constante!$AP$1</f>
        <v>671240.35438928707</v>
      </c>
      <c r="AU145" s="8">
        <f>+MINVU_Mes_Corriente!AU145*SALUD_Mes_Constante!$AP$1</f>
        <v>671240.35438928707</v>
      </c>
      <c r="AV145" s="8">
        <f>+MINVU_Mes_Corriente!AV145*SALUD_Mes_Constante!$AP$1</f>
        <v>671240.35438928707</v>
      </c>
      <c r="AW145" s="8">
        <f>+MINVU_Mes_Corriente!AW145*SALUD_Mes_Constante!$AP$1</f>
        <v>671240.35438928707</v>
      </c>
      <c r="AX145" s="8">
        <f>+MINVU_Mes_Corriente!AX145*SALUD_Mes_Constante!$AP$1</f>
        <v>671240.35438928707</v>
      </c>
      <c r="AY145" s="8">
        <f>+MINVU_Mes_Corriente!AY145*SALUD_Mes_Constante!$AP$1</f>
        <v>671240.35438928707</v>
      </c>
      <c r="AZ145" s="8">
        <f>+MINVU_Mes_Corriente!AZ145*SALUD_Mes_Constante!$AP$1</f>
        <v>671240.35438928707</v>
      </c>
      <c r="BA145" s="8">
        <f>+MINVU_Mes_Corriente!BA145*SALUD_Mes_Constante!$AP$1</f>
        <v>671240.35438928707</v>
      </c>
      <c r="BB145" s="9">
        <f t="shared" si="60"/>
        <v>671240.35438928707</v>
      </c>
      <c r="BC145" s="8">
        <f>+MINVU_Mes_Corriente!BC145*SALUD_Mes_Constante!$BC$1</f>
        <v>671436.77620994346</v>
      </c>
      <c r="BD145" s="8">
        <f>+MINVU_Mes_Corriente!BD145*SALUD_Mes_Constante!$BC$1</f>
        <v>671436.77620994346</v>
      </c>
      <c r="BE145" s="8">
        <f>+MINVU_Mes_Corriente!BE145*SALUD_Mes_Constante!$BC$1</f>
        <v>671436.77620994346</v>
      </c>
      <c r="BF145" s="8">
        <f>+MINVU_Mes_Corriente!BF145*SALUD_Mes_Constante!$BC$1</f>
        <v>671436.77620994346</v>
      </c>
      <c r="BG145" s="8">
        <f>+MINVU_Mes_Corriente!BG145*SALUD_Mes_Constante!$BC$1</f>
        <v>671436.77620994346</v>
      </c>
      <c r="BH145" s="8">
        <f>+MINVU_Mes_Corriente!BH145*SALUD_Mes_Constante!$BC$1</f>
        <v>671436.77620994346</v>
      </c>
      <c r="BI145" s="8">
        <f>+MINVU_Mes_Corriente!BI145*SALUD_Mes_Constante!$BC$1</f>
        <v>671436.77620994346</v>
      </c>
      <c r="BJ145" s="8">
        <f>+MINVU_Mes_Corriente!BJ145*SALUD_Mes_Constante!$BC$1</f>
        <v>671436.77620994346</v>
      </c>
      <c r="BK145" s="8">
        <f>+MINVU_Mes_Corriente!BK145*SALUD_Mes_Constante!$BC$1</f>
        <v>671436.77620994346</v>
      </c>
      <c r="BL145" s="8">
        <f>+MINVU_Mes_Corriente!BL145*SALUD_Mes_Constante!$BC$1</f>
        <v>671436.77620994346</v>
      </c>
      <c r="BM145" s="8">
        <f>+MINVU_Mes_Corriente!BM145*SALUD_Mes_Constante!$BC$1</f>
        <v>671436.77620994346</v>
      </c>
      <c r="BN145" s="8">
        <f>+MINVU_Mes_Corriente!BN145*SALUD_Mes_Constante!$BC$1</f>
        <v>671436.77620994346</v>
      </c>
      <c r="BO145" s="9">
        <f t="shared" si="61"/>
        <v>671436.77620994346</v>
      </c>
      <c r="BP145" s="8">
        <f>+MINVU_Mes_Corriente!BP145*SALUD_Mes_Constante!$BP$1</f>
        <v>0</v>
      </c>
      <c r="BQ145" s="8">
        <f>+MINVU_Mes_Corriente!BQ145*SALUD_Mes_Constante!$BP$1</f>
        <v>0</v>
      </c>
      <c r="BR145" s="8">
        <f>+MINVU_Mes_Corriente!BR145*SALUD_Mes_Constante!$BP$1</f>
        <v>0</v>
      </c>
      <c r="BS145" s="8">
        <f>+MINVU_Mes_Corriente!BS145*SALUD_Mes_Constante!$BP$1</f>
        <v>0</v>
      </c>
      <c r="BT145" s="8">
        <f>+MINVU_Mes_Corriente!BT145*SALUD_Mes_Constante!$BP$1</f>
        <v>0</v>
      </c>
      <c r="BU145" s="8">
        <f>+MINVU_Mes_Corriente!BU145*SALUD_Mes_Constante!$BP$1</f>
        <v>0</v>
      </c>
      <c r="BV145" s="8">
        <f>+MINVU_Mes_Corriente!BV145*SALUD_Mes_Constante!$BP$1</f>
        <v>0</v>
      </c>
      <c r="BW145" s="8">
        <f>+MINVU_Mes_Corriente!BW145*SALUD_Mes_Constante!$BP$1</f>
        <v>0</v>
      </c>
      <c r="BX145" s="8">
        <f>+MINVU_Mes_Corriente!BX145*SALUD_Mes_Constante!$BP$1</f>
        <v>0</v>
      </c>
      <c r="BY145" s="8">
        <f>+MINVU_Mes_Corriente!BY145*SALUD_Mes_Constante!$BP$1</f>
        <v>0</v>
      </c>
      <c r="BZ145" s="8">
        <f>+MINVU_Mes_Corriente!BZ145*SALUD_Mes_Constante!$BP$1</f>
        <v>0</v>
      </c>
      <c r="CA145" s="8">
        <f>+MINVU_Mes_Corriente!CA145*SALUD_Mes_Constante!$BP$1</f>
        <v>0</v>
      </c>
      <c r="CB145" s="9">
        <f t="shared" si="62"/>
        <v>0</v>
      </c>
      <c r="CC145" s="8">
        <f>+MINVU_Mes_Corriente!CC145*SALUD_Mes_Constante!$CC$1</f>
        <v>223654.93472584858</v>
      </c>
      <c r="CD145" s="8">
        <f>+MINVU_Mes_Corriente!CD145*SALUD_Mes_Constante!$CC$1</f>
        <v>223654.93472584858</v>
      </c>
      <c r="CE145" s="8">
        <f>+MINVU_Mes_Corriente!CE145*SALUD_Mes_Constante!$CC$1</f>
        <v>223654.93472584858</v>
      </c>
      <c r="CF145" s="8">
        <f>+MINVU_Mes_Corriente!CF145*SALUD_Mes_Constante!$CC$1</f>
        <v>223654.93472584858</v>
      </c>
      <c r="CG145" s="8">
        <f>+MINVU_Mes_Corriente!CG145*SALUD_Mes_Constante!$CC$1</f>
        <v>223654.93472584858</v>
      </c>
      <c r="CH145" s="8">
        <f>+MINVU_Mes_Corriente!CH145*SALUD_Mes_Constante!$CC$1</f>
        <v>223654.93472584858</v>
      </c>
      <c r="CI145" s="8">
        <f>+MINVU_Mes_Corriente!CI145*SALUD_Mes_Constante!$CC$1</f>
        <v>223654.93472584858</v>
      </c>
      <c r="CJ145" s="8">
        <f>+MINVU_Mes_Corriente!CJ145*SALUD_Mes_Constante!$CC$1</f>
        <v>223654.93472584858</v>
      </c>
      <c r="CK145" s="8">
        <f>+MINVU_Mes_Corriente!CK145*SALUD_Mes_Constante!$CC$1</f>
        <v>223654.93472584858</v>
      </c>
      <c r="CL145" s="8">
        <f>+MINVU_Mes_Corriente!CL145*SALUD_Mes_Constante!$CC$1</f>
        <v>223654.93472584858</v>
      </c>
      <c r="CM145" s="8">
        <f>+MINVU_Mes_Corriente!CM145*SALUD_Mes_Constante!$CC$1</f>
        <v>223654.93472584858</v>
      </c>
      <c r="CN145" s="8">
        <f>+MINVU_Mes_Corriente!CN145*SALUD_Mes_Constante!$CC$1</f>
        <v>223654.93472584858</v>
      </c>
      <c r="CO145" s="9">
        <f t="shared" si="63"/>
        <v>223654.93472584858</v>
      </c>
      <c r="CP145" s="8">
        <f>+MINVU_Mes_Corriente!CP145*SALUD_Mes_Constante!$CP$1</f>
        <v>888883.33573085826</v>
      </c>
      <c r="CQ145" s="8">
        <f>+MINVU_Mes_Corriente!CQ145*SALUD_Mes_Constante!$CP$1</f>
        <v>888883.33573085826</v>
      </c>
      <c r="CR145" s="8">
        <f>+MINVU_Mes_Corriente!CR145*SALUD_Mes_Constante!$CP$1</f>
        <v>888883.33573085826</v>
      </c>
      <c r="CS145" s="8">
        <f>+MINVU_Mes_Corriente!CS145*SALUD_Mes_Constante!$CP$1</f>
        <v>888883.33573085826</v>
      </c>
      <c r="CT145" s="8">
        <f>+MINVU_Mes_Corriente!CT145*SALUD_Mes_Constante!$CP$1</f>
        <v>888883.33573085826</v>
      </c>
      <c r="CU145" s="8">
        <f>+MINVU_Mes_Corriente!CU145*SALUD_Mes_Constante!$CP$1</f>
        <v>888883.33573085826</v>
      </c>
      <c r="CV145" s="8">
        <f>+MINVU_Mes_Corriente!CV145*SALUD_Mes_Constante!$CP$1</f>
        <v>888883.33573085826</v>
      </c>
      <c r="CW145" s="8">
        <f>+MINVU_Mes_Corriente!CW145*SALUD_Mes_Constante!$CP$1</f>
        <v>888883.33573085826</v>
      </c>
      <c r="CX145" s="8">
        <f>+MINVU_Mes_Corriente!CX145*SALUD_Mes_Constante!$CP$1</f>
        <v>888883.33573085826</v>
      </c>
      <c r="CY145" s="8">
        <f>+MINVU_Mes_Corriente!CY145*SALUD_Mes_Constante!$CP$1</f>
        <v>888883.33573085826</v>
      </c>
      <c r="CZ145" s="8">
        <f>+MINVU_Mes_Corriente!CZ145*SALUD_Mes_Constante!$CP$1</f>
        <v>888883.33573085826</v>
      </c>
      <c r="DA145" s="8">
        <f>+MINVU_Mes_Corriente!DA145*SALUD_Mes_Constante!$CP$1</f>
        <v>888883.33573085826</v>
      </c>
      <c r="DB145" s="9">
        <f t="shared" si="64"/>
        <v>888883.33573085826</v>
      </c>
      <c r="DC145" s="8">
        <f>+MINVU_Mes_Corriente!DC145*SALUD_Mes_Constante!$DC$1</f>
        <v>1065925.0943318594</v>
      </c>
      <c r="DD145" s="8">
        <f>+MINVU_Mes_Corriente!DD145*SALUD_Mes_Constante!$DC$1</f>
        <v>1065925.0943318594</v>
      </c>
      <c r="DE145" s="8">
        <f>+MINVU_Mes_Corriente!DE145*SALUD_Mes_Constante!$DC$1</f>
        <v>1065925.0943318594</v>
      </c>
      <c r="DF145" s="8">
        <f>+MINVU_Mes_Corriente!DF145*SALUD_Mes_Constante!$DC$1</f>
        <v>1065925.0943318594</v>
      </c>
      <c r="DG145" s="8">
        <f>+MINVU_Mes_Corriente!DG145*SALUD_Mes_Constante!$DC$1</f>
        <v>1065925.0943318594</v>
      </c>
      <c r="DH145" s="8">
        <f>+MINVU_Mes_Corriente!DH145*SALUD_Mes_Constante!$DC$1</f>
        <v>1065925.0943318594</v>
      </c>
      <c r="DI145" s="8">
        <f>+MINVU_Mes_Corriente!DI145*SALUD_Mes_Constante!$DC$1</f>
        <v>1065925.0943318594</v>
      </c>
      <c r="DJ145" s="8">
        <f>+MINVU_Mes_Corriente!DJ145*SALUD_Mes_Constante!$DC$1</f>
        <v>1065925.0943318594</v>
      </c>
      <c r="DK145" s="8">
        <f>+MINVU_Mes_Corriente!DK145*SALUD_Mes_Constante!$DC$1</f>
        <v>1065925.0943318594</v>
      </c>
      <c r="DL145" s="8">
        <f>+MINVU_Mes_Corriente!DL145*SALUD_Mes_Constante!$DC$1</f>
        <v>1065925.0943318594</v>
      </c>
      <c r="DM145" s="8">
        <f>+MINVU_Mes_Corriente!DM145*SALUD_Mes_Constante!$DC$1</f>
        <v>1065925.0943318594</v>
      </c>
      <c r="DN145" s="8">
        <f>+MINVU_Mes_Corriente!DN145*SALUD_Mes_Constante!$DC$1</f>
        <v>1065925.0943318594</v>
      </c>
      <c r="DO145" s="9">
        <f t="shared" si="65"/>
        <v>1065925.0943318594</v>
      </c>
      <c r="DP145" s="8">
        <f>+MINVU_Mes_Corriente!DP145*SALUD_Mes_Constante!$DP$1</f>
        <v>1090128.0249406176</v>
      </c>
      <c r="DQ145" s="8">
        <f>+MINVU_Mes_Corriente!DQ145*SALUD_Mes_Constante!$DP$1</f>
        <v>1090128.0249406176</v>
      </c>
      <c r="DR145" s="8">
        <f>+MINVU_Mes_Corriente!DR145*SALUD_Mes_Constante!$DP$1</f>
        <v>1090128.0249406176</v>
      </c>
      <c r="DS145" s="8">
        <f>+MINVU_Mes_Corriente!DS145*SALUD_Mes_Constante!$DP$1</f>
        <v>1090128.0249406176</v>
      </c>
      <c r="DT145" s="8">
        <f>+MINVU_Mes_Corriente!DT145*SALUD_Mes_Constante!$DP$1</f>
        <v>1090128.0249406176</v>
      </c>
      <c r="DU145" s="8">
        <f>+MINVU_Mes_Corriente!DU145*SALUD_Mes_Constante!$DP$1</f>
        <v>1090128.0249406176</v>
      </c>
      <c r="DV145" s="8">
        <f>+MINVU_Mes_Corriente!DV145*SALUD_Mes_Constante!$DP$1</f>
        <v>1090128.0249406176</v>
      </c>
      <c r="DW145" s="8">
        <f>+MINVU_Mes_Corriente!DW145*SALUD_Mes_Constante!$DP$1</f>
        <v>1090128.0249406176</v>
      </c>
      <c r="DX145" s="8">
        <f>+MINVU_Mes_Corriente!DX145*SALUD_Mes_Constante!$DP$1</f>
        <v>1090128.0249406176</v>
      </c>
      <c r="DY145" s="8">
        <f>+MINVU_Mes_Corriente!DY145*SALUD_Mes_Constante!$DP$1</f>
        <v>1090128.0249406176</v>
      </c>
      <c r="DZ145" s="8">
        <f>+MINVU_Mes_Corriente!DZ145*SALUD_Mes_Constante!$DP$1</f>
        <v>1090128.0249406176</v>
      </c>
      <c r="EA145" s="8">
        <f>+MINVU_Mes_Corriente!EA145*SALUD_Mes_Constante!$DP$1</f>
        <v>1090128.0249406176</v>
      </c>
      <c r="EB145" s="9">
        <f t="shared" si="66"/>
        <v>1090128.0249406176</v>
      </c>
      <c r="EC145" s="8">
        <f>+MINVU_Mes_Corriente!EC145*SALUD_Mes_Constante!$EC$1</f>
        <v>955210.8774853244</v>
      </c>
      <c r="ED145" s="8">
        <f>+MINVU_Mes_Corriente!ED145*SALUD_Mes_Constante!$EC$1</f>
        <v>955210.8774853244</v>
      </c>
      <c r="EE145" s="8">
        <f>+MINVU_Mes_Corriente!EE145*SALUD_Mes_Constante!$EC$1</f>
        <v>955210.8774853244</v>
      </c>
      <c r="EF145" s="8">
        <f>+MINVU_Mes_Corriente!EF145*SALUD_Mes_Constante!$EC$1</f>
        <v>955210.8774853244</v>
      </c>
      <c r="EG145" s="8">
        <f>+MINVU_Mes_Corriente!EG145*SALUD_Mes_Constante!$EC$1</f>
        <v>955210.8774853244</v>
      </c>
      <c r="EH145" s="8">
        <f>+MINVU_Mes_Corriente!EH145*SALUD_Mes_Constante!$EC$1</f>
        <v>955210.8774853244</v>
      </c>
      <c r="EI145" s="8">
        <f>+MINVU_Mes_Corriente!EI145*SALUD_Mes_Constante!$EC$1</f>
        <v>955210.8774853244</v>
      </c>
      <c r="EJ145" s="8">
        <f>+MINVU_Mes_Corriente!EJ145*SALUD_Mes_Constante!$EC$1</f>
        <v>955210.8774853244</v>
      </c>
      <c r="EK145" s="8">
        <f>+MINVU_Mes_Corriente!EK145*SALUD_Mes_Constante!$EC$1</f>
        <v>955210.8774853244</v>
      </c>
      <c r="EL145" s="8">
        <f>+MINVU_Mes_Corriente!EL145*SALUD_Mes_Constante!$EC$1</f>
        <v>955210.8774853244</v>
      </c>
      <c r="EM145" s="8">
        <f>+MINVU_Mes_Corriente!EM145*SALUD_Mes_Constante!$EC$1</f>
        <v>955210.8774853244</v>
      </c>
      <c r="EN145" s="8">
        <f>+MINVU_Mes_Corriente!EN145*SALUD_Mes_Constante!$EC$1</f>
        <v>955210.8774853244</v>
      </c>
      <c r="EO145" s="9">
        <f t="shared" si="67"/>
        <v>955210.8774853244</v>
      </c>
      <c r="EP145" s="8">
        <f>+MINVU_Mes_Corriente!EP145*SALUD_Mes_Constante!$EP$1</f>
        <v>962170</v>
      </c>
      <c r="EQ145" s="8">
        <f>+MINVU_Mes_Corriente!EQ145*SALUD_Mes_Constante!$EP$1</f>
        <v>962170</v>
      </c>
      <c r="ER145" s="8">
        <f>+MINVU_Mes_Corriente!ER145*SALUD_Mes_Constante!$EP$1</f>
        <v>962170</v>
      </c>
      <c r="ES145" s="8">
        <f>+MINVU_Mes_Corriente!ES145*SALUD_Mes_Constante!$EP$1</f>
        <v>962170</v>
      </c>
      <c r="ET145" s="8">
        <f>+MINVU_Mes_Corriente!ET145*SALUD_Mes_Constante!$EP$1</f>
        <v>962170</v>
      </c>
      <c r="EU145" s="8">
        <f>+MINVU_Mes_Corriente!EU145*SALUD_Mes_Constante!$EP$1</f>
        <v>962170</v>
      </c>
      <c r="EV145" s="8">
        <f>+MINVU_Mes_Corriente!EV145*SALUD_Mes_Constante!$EP$1</f>
        <v>962170</v>
      </c>
      <c r="EW145" s="8">
        <f>+MINVU_Mes_Corriente!EW145*SALUD_Mes_Constante!$EP$1</f>
        <v>962170</v>
      </c>
      <c r="EX145" s="8">
        <f>+MINVU_Mes_Corriente!EX145*SALUD_Mes_Constante!$EP$1</f>
        <v>962170</v>
      </c>
      <c r="EY145" s="8">
        <f>+MINVU_Mes_Corriente!EY145*SALUD_Mes_Constante!$EP$1</f>
        <v>962170</v>
      </c>
      <c r="EZ145" s="8">
        <f>+MINVU_Mes_Corriente!EZ145*SALUD_Mes_Constante!$EP$1</f>
        <v>962170</v>
      </c>
      <c r="FA145" s="8">
        <f>+MINVU_Mes_Corriente!FA145*SALUD_Mes_Constante!$EP$1</f>
        <v>962170</v>
      </c>
      <c r="FB145" s="9">
        <f t="shared" si="68"/>
        <v>962170</v>
      </c>
      <c r="FC145" s="8">
        <f>+MINVU_Mes_Corriente!FC145*SALUD_Mes_Constante!$FC$1</f>
        <v>991998</v>
      </c>
      <c r="FD145" s="8">
        <f>+MINVU_Mes_Corriente!FD145*SALUD_Mes_Constante!$FC$1</f>
        <v>991998</v>
      </c>
      <c r="FE145" s="8">
        <f>+MINVU_Mes_Corriente!FE145*SALUD_Mes_Constante!$FC$1</f>
        <v>991998</v>
      </c>
      <c r="FF145" s="8">
        <f>+MINVU_Mes_Corriente!FF145*SALUD_Mes_Constante!$FC$1</f>
        <v>991998</v>
      </c>
      <c r="FG145" s="8">
        <f>+MINVU_Mes_Corriente!FG145*SALUD_Mes_Constante!$FC$1</f>
        <v>991998</v>
      </c>
      <c r="FH145" s="8">
        <f>+MINVU_Mes_Corriente!FH145*SALUD_Mes_Constante!$FC$1</f>
        <v>991998</v>
      </c>
      <c r="FI145" s="8">
        <f>+MINVU_Mes_Corriente!FI145*SALUD_Mes_Constante!$FC$1</f>
        <v>991998</v>
      </c>
      <c r="FJ145" s="8"/>
      <c r="FK145" s="8"/>
      <c r="FL145" s="8"/>
      <c r="FM145" s="8"/>
      <c r="FN145" s="8"/>
      <c r="FO145" s="9">
        <f t="shared" si="69"/>
        <v>991998</v>
      </c>
    </row>
    <row r="146" spans="2:171" ht="14.25" customHeight="1" x14ac:dyDescent="0.3">
      <c r="B146" s="35" t="s">
        <v>70</v>
      </c>
      <c r="C146" s="8">
        <f>+MINVU_Mes_Corriente!C146*SALUD_Mes_Constante!$C$1</f>
        <v>608014.15720005939</v>
      </c>
      <c r="D146" s="8">
        <f>+MINVU_Mes_Corriente!D146*SALUD_Mes_Constante!$C$1</f>
        <v>608014.15720005939</v>
      </c>
      <c r="E146" s="8">
        <f>+MINVU_Mes_Corriente!E146*SALUD_Mes_Constante!$C$1</f>
        <v>608014.15720005939</v>
      </c>
      <c r="F146" s="8">
        <f>+MINVU_Mes_Corriente!F146*SALUD_Mes_Constante!$C$1</f>
        <v>608014.15720005939</v>
      </c>
      <c r="G146" s="8">
        <f>+MINVU_Mes_Corriente!G146*SALUD_Mes_Constante!$C$1</f>
        <v>608014.15720005939</v>
      </c>
      <c r="H146" s="8">
        <f>+MINVU_Mes_Corriente!H146*SALUD_Mes_Constante!$C$1</f>
        <v>608014.15720005939</v>
      </c>
      <c r="I146" s="8">
        <f>+MINVU_Mes_Corriente!I146*SALUD_Mes_Constante!$C$1</f>
        <v>608014.15720005939</v>
      </c>
      <c r="J146" s="8">
        <f>+MINVU_Mes_Corriente!J146*SALUD_Mes_Constante!$C$1</f>
        <v>608014.15720005939</v>
      </c>
      <c r="K146" s="8">
        <f>+MINVU_Mes_Corriente!K146*SALUD_Mes_Constante!$C$1</f>
        <v>608014.15720005939</v>
      </c>
      <c r="L146" s="8">
        <f>+MINVU_Mes_Corriente!L146*SALUD_Mes_Constante!$C$1</f>
        <v>608014.15720005939</v>
      </c>
      <c r="M146" s="8">
        <f>+MINVU_Mes_Corriente!M146*SALUD_Mes_Constante!$C$1</f>
        <v>608014.15720005939</v>
      </c>
      <c r="N146" s="8">
        <f>+MINVU_Mes_Corriente!N146*SALUD_Mes_Constante!$C$1</f>
        <v>608014.15720005939</v>
      </c>
      <c r="O146" s="9">
        <f t="shared" si="57"/>
        <v>608014.15720005939</v>
      </c>
      <c r="P146" s="8">
        <f>+MINVU_Mes_Corriente!P146*SALUD_Mes_Constante!$P$1</f>
        <v>599919.5118624802</v>
      </c>
      <c r="Q146" s="8">
        <f>+MINVU_Mes_Corriente!Q146*SALUD_Mes_Constante!$P$1</f>
        <v>599919.5118624802</v>
      </c>
      <c r="R146" s="8">
        <f>+MINVU_Mes_Corriente!R146*SALUD_Mes_Constante!$P$1</f>
        <v>599919.5118624802</v>
      </c>
      <c r="S146" s="8">
        <f>+MINVU_Mes_Corriente!S146*SALUD_Mes_Constante!$P$1</f>
        <v>599919.5118624802</v>
      </c>
      <c r="T146" s="8">
        <f>+MINVU_Mes_Corriente!T146*SALUD_Mes_Constante!$P$1</f>
        <v>599919.5118624802</v>
      </c>
      <c r="U146" s="8">
        <f>+MINVU_Mes_Corriente!U146*SALUD_Mes_Constante!$P$1</f>
        <v>599919.5118624802</v>
      </c>
      <c r="V146" s="8">
        <f>+MINVU_Mes_Corriente!V146*SALUD_Mes_Constante!$P$1</f>
        <v>599919.5118624802</v>
      </c>
      <c r="W146" s="8">
        <f>+MINVU_Mes_Corriente!W146*SALUD_Mes_Constante!$P$1</f>
        <v>599919.5118624802</v>
      </c>
      <c r="X146" s="8">
        <f>+MINVU_Mes_Corriente!X146*SALUD_Mes_Constante!$P$1</f>
        <v>599919.5118624802</v>
      </c>
      <c r="Y146" s="8">
        <f>+MINVU_Mes_Corriente!Y146*SALUD_Mes_Constante!$P$1</f>
        <v>599919.5118624802</v>
      </c>
      <c r="Z146" s="8">
        <f>+MINVU_Mes_Corriente!Z146*SALUD_Mes_Constante!$P$1</f>
        <v>599919.5118624802</v>
      </c>
      <c r="AA146" s="8">
        <f>+MINVU_Mes_Corriente!AA146*SALUD_Mes_Constante!$P$1</f>
        <v>599919.5118624802</v>
      </c>
      <c r="AB146" s="9">
        <f t="shared" si="58"/>
        <v>599919.5118624802</v>
      </c>
      <c r="AC146" s="8">
        <f>+MINVU_Mes_Corriente!AC146*SALUD_Mes_Constante!$AC$1</f>
        <v>606349.92474754457</v>
      </c>
      <c r="AD146" s="8">
        <f>+MINVU_Mes_Corriente!AD146*SALUD_Mes_Constante!$AC$1</f>
        <v>606349.92474754457</v>
      </c>
      <c r="AE146" s="8">
        <f>+MINVU_Mes_Corriente!AE146*SALUD_Mes_Constante!$AC$1</f>
        <v>606349.92474754457</v>
      </c>
      <c r="AF146" s="8">
        <f>+MINVU_Mes_Corriente!AF146*SALUD_Mes_Constante!$AC$1</f>
        <v>606349.92474754457</v>
      </c>
      <c r="AG146" s="8">
        <f>+MINVU_Mes_Corriente!AG146*SALUD_Mes_Constante!$AC$1</f>
        <v>606349.92474754457</v>
      </c>
      <c r="AH146" s="8">
        <f>+MINVU_Mes_Corriente!AH146*SALUD_Mes_Constante!$AC$1</f>
        <v>606349.92474754457</v>
      </c>
      <c r="AI146" s="8">
        <f>+MINVU_Mes_Corriente!AI146*SALUD_Mes_Constante!$AC$1</f>
        <v>606349.92474754457</v>
      </c>
      <c r="AJ146" s="8">
        <f>+MINVU_Mes_Corriente!AJ146*SALUD_Mes_Constante!$AC$1</f>
        <v>606349.92474754457</v>
      </c>
      <c r="AK146" s="8">
        <f>+MINVU_Mes_Corriente!AK146*SALUD_Mes_Constante!$AC$1</f>
        <v>606349.92474754457</v>
      </c>
      <c r="AL146" s="8">
        <f>+MINVU_Mes_Corriente!AL146*SALUD_Mes_Constante!$AC$1</f>
        <v>606349.92474754457</v>
      </c>
      <c r="AM146" s="8">
        <f>+MINVU_Mes_Corriente!AM146*SALUD_Mes_Constante!$AC$1</f>
        <v>606349.92474754457</v>
      </c>
      <c r="AN146" s="8">
        <f>+MINVU_Mes_Corriente!AN146*SALUD_Mes_Constante!$AC$1</f>
        <v>606349.92474754457</v>
      </c>
      <c r="AO146" s="9">
        <f t="shared" si="59"/>
        <v>606349.92474754457</v>
      </c>
      <c r="AP146" s="8">
        <f>+MINVU_Mes_Corriente!AP146*SALUD_Mes_Constante!$AP$1</f>
        <v>610685.5154876234</v>
      </c>
      <c r="AQ146" s="8">
        <f>+MINVU_Mes_Corriente!AQ146*SALUD_Mes_Constante!$AP$1</f>
        <v>610685.5154876234</v>
      </c>
      <c r="AR146" s="8">
        <f>+MINVU_Mes_Corriente!AR146*SALUD_Mes_Constante!$AP$1</f>
        <v>610685.5154876234</v>
      </c>
      <c r="AS146" s="8">
        <f>+MINVU_Mes_Corriente!AS146*SALUD_Mes_Constante!$AP$1</f>
        <v>610685.5154876234</v>
      </c>
      <c r="AT146" s="8">
        <f>+MINVU_Mes_Corriente!AT146*SALUD_Mes_Constante!$AP$1</f>
        <v>610685.5154876234</v>
      </c>
      <c r="AU146" s="8">
        <f>+MINVU_Mes_Corriente!AU146*SALUD_Mes_Constante!$AP$1</f>
        <v>610685.5154876234</v>
      </c>
      <c r="AV146" s="8">
        <f>+MINVU_Mes_Corriente!AV146*SALUD_Mes_Constante!$AP$1</f>
        <v>610685.5154876234</v>
      </c>
      <c r="AW146" s="8">
        <f>+MINVU_Mes_Corriente!AW146*SALUD_Mes_Constante!$AP$1</f>
        <v>610685.5154876234</v>
      </c>
      <c r="AX146" s="8">
        <f>+MINVU_Mes_Corriente!AX146*SALUD_Mes_Constante!$AP$1</f>
        <v>610685.5154876234</v>
      </c>
      <c r="AY146" s="8">
        <f>+MINVU_Mes_Corriente!AY146*SALUD_Mes_Constante!$AP$1</f>
        <v>610685.5154876234</v>
      </c>
      <c r="AZ146" s="8">
        <f>+MINVU_Mes_Corriente!AZ146*SALUD_Mes_Constante!$AP$1</f>
        <v>610685.5154876234</v>
      </c>
      <c r="BA146" s="8">
        <f>+MINVU_Mes_Corriente!BA146*SALUD_Mes_Constante!$AP$1</f>
        <v>610685.5154876234</v>
      </c>
      <c r="BB146" s="9">
        <f t="shared" si="60"/>
        <v>610685.5154876234</v>
      </c>
      <c r="BC146" s="8">
        <f>+MINVU_Mes_Corriente!BC146*SALUD_Mes_Constante!$BC$1</f>
        <v>610864.69207437709</v>
      </c>
      <c r="BD146" s="8">
        <f>+MINVU_Mes_Corriente!BD146*SALUD_Mes_Constante!$BC$1</f>
        <v>610864.69207437709</v>
      </c>
      <c r="BE146" s="8">
        <f>+MINVU_Mes_Corriente!BE146*SALUD_Mes_Constante!$BC$1</f>
        <v>610864.69207437709</v>
      </c>
      <c r="BF146" s="8">
        <f>+MINVU_Mes_Corriente!BF146*SALUD_Mes_Constante!$BC$1</f>
        <v>610864.69207437709</v>
      </c>
      <c r="BG146" s="8">
        <f>+MINVU_Mes_Corriente!BG146*SALUD_Mes_Constante!$BC$1</f>
        <v>610864.69207437709</v>
      </c>
      <c r="BH146" s="8">
        <f>+MINVU_Mes_Corriente!BH146*SALUD_Mes_Constante!$BC$1</f>
        <v>610864.69207437709</v>
      </c>
      <c r="BI146" s="8">
        <f>+MINVU_Mes_Corriente!BI146*SALUD_Mes_Constante!$BC$1</f>
        <v>610864.69207437709</v>
      </c>
      <c r="BJ146" s="8">
        <f>+MINVU_Mes_Corriente!BJ146*SALUD_Mes_Constante!$BC$1</f>
        <v>610864.69207437709</v>
      </c>
      <c r="BK146" s="8">
        <f>+MINVU_Mes_Corriente!BK146*SALUD_Mes_Constante!$BC$1</f>
        <v>610864.69207437709</v>
      </c>
      <c r="BL146" s="8">
        <f>+MINVU_Mes_Corriente!BL146*SALUD_Mes_Constante!$BC$1</f>
        <v>610864.69207437709</v>
      </c>
      <c r="BM146" s="8">
        <f>+MINVU_Mes_Corriente!BM146*SALUD_Mes_Constante!$BC$1</f>
        <v>610864.69207437709</v>
      </c>
      <c r="BN146" s="8">
        <f>+MINVU_Mes_Corriente!BN146*SALUD_Mes_Constante!$BC$1</f>
        <v>610864.69207437709</v>
      </c>
      <c r="BO146" s="9">
        <f t="shared" si="61"/>
        <v>610864.69207437709</v>
      </c>
      <c r="BP146" s="8">
        <f>+MINVU_Mes_Corriente!BP146*SALUD_Mes_Constante!$BP$1</f>
        <v>0</v>
      </c>
      <c r="BQ146" s="8">
        <f>+MINVU_Mes_Corriente!BQ146*SALUD_Mes_Constante!$BP$1</f>
        <v>0</v>
      </c>
      <c r="BR146" s="8">
        <f>+MINVU_Mes_Corriente!BR146*SALUD_Mes_Constante!$BP$1</f>
        <v>0</v>
      </c>
      <c r="BS146" s="8">
        <f>+MINVU_Mes_Corriente!BS146*SALUD_Mes_Constante!$BP$1</f>
        <v>0</v>
      </c>
      <c r="BT146" s="8">
        <f>+MINVU_Mes_Corriente!BT146*SALUD_Mes_Constante!$BP$1</f>
        <v>0</v>
      </c>
      <c r="BU146" s="8">
        <f>+MINVU_Mes_Corriente!BU146*SALUD_Mes_Constante!$BP$1</f>
        <v>0</v>
      </c>
      <c r="BV146" s="8">
        <f>+MINVU_Mes_Corriente!BV146*SALUD_Mes_Constante!$BP$1</f>
        <v>0</v>
      </c>
      <c r="BW146" s="8">
        <f>+MINVU_Mes_Corriente!BW146*SALUD_Mes_Constante!$BP$1</f>
        <v>0</v>
      </c>
      <c r="BX146" s="8">
        <f>+MINVU_Mes_Corriente!BX146*SALUD_Mes_Constante!$BP$1</f>
        <v>0</v>
      </c>
      <c r="BY146" s="8">
        <f>+MINVU_Mes_Corriente!BY146*SALUD_Mes_Constante!$BP$1</f>
        <v>0</v>
      </c>
      <c r="BZ146" s="8">
        <f>+MINVU_Mes_Corriente!BZ146*SALUD_Mes_Constante!$BP$1</f>
        <v>0</v>
      </c>
      <c r="CA146" s="8">
        <f>+MINVU_Mes_Corriente!CA146*SALUD_Mes_Constante!$BP$1</f>
        <v>0</v>
      </c>
      <c r="CB146" s="9">
        <f t="shared" si="62"/>
        <v>0</v>
      </c>
      <c r="CC146" s="8">
        <f>+MINVU_Mes_Corriente!CC146*SALUD_Mes_Constante!$CC$1</f>
        <v>181290.36478925776</v>
      </c>
      <c r="CD146" s="8">
        <f>+MINVU_Mes_Corriente!CD146*SALUD_Mes_Constante!$CC$1</f>
        <v>181290.36478925776</v>
      </c>
      <c r="CE146" s="8">
        <f>+MINVU_Mes_Corriente!CE146*SALUD_Mes_Constante!$CC$1</f>
        <v>181290.36478925776</v>
      </c>
      <c r="CF146" s="8">
        <f>+MINVU_Mes_Corriente!CF146*SALUD_Mes_Constante!$CC$1</f>
        <v>181290.36478925776</v>
      </c>
      <c r="CG146" s="8">
        <f>+MINVU_Mes_Corriente!CG146*SALUD_Mes_Constante!$CC$1</f>
        <v>181290.36478925776</v>
      </c>
      <c r="CH146" s="8">
        <f>+MINVU_Mes_Corriente!CH146*SALUD_Mes_Constante!$CC$1</f>
        <v>181290.36478925776</v>
      </c>
      <c r="CI146" s="8">
        <f>+MINVU_Mes_Corriente!CI146*SALUD_Mes_Constante!$CC$1</f>
        <v>181290.36478925776</v>
      </c>
      <c r="CJ146" s="8">
        <f>+MINVU_Mes_Corriente!CJ146*SALUD_Mes_Constante!$CC$1</f>
        <v>181290.36478925776</v>
      </c>
      <c r="CK146" s="8">
        <f>+MINVU_Mes_Corriente!CK146*SALUD_Mes_Constante!$CC$1</f>
        <v>181290.36478925776</v>
      </c>
      <c r="CL146" s="8">
        <f>+MINVU_Mes_Corriente!CL146*SALUD_Mes_Constante!$CC$1</f>
        <v>181290.36478925776</v>
      </c>
      <c r="CM146" s="8">
        <f>+MINVU_Mes_Corriente!CM146*SALUD_Mes_Constante!$CC$1</f>
        <v>181290.36478925776</v>
      </c>
      <c r="CN146" s="8">
        <f>+MINVU_Mes_Corriente!CN146*SALUD_Mes_Constante!$CC$1</f>
        <v>181290.36478925776</v>
      </c>
      <c r="CO146" s="9">
        <f t="shared" si="63"/>
        <v>181290.36478925776</v>
      </c>
      <c r="CP146" s="8">
        <f>+MINVU_Mes_Corriente!CP146*SALUD_Mes_Constante!$CP$1</f>
        <v>735697.5201856147</v>
      </c>
      <c r="CQ146" s="8">
        <f>+MINVU_Mes_Corriente!CQ146*SALUD_Mes_Constante!$CP$1</f>
        <v>735697.5201856147</v>
      </c>
      <c r="CR146" s="8">
        <f>+MINVU_Mes_Corriente!CR146*SALUD_Mes_Constante!$CP$1</f>
        <v>735697.5201856147</v>
      </c>
      <c r="CS146" s="8">
        <f>+MINVU_Mes_Corriente!CS146*SALUD_Mes_Constante!$CP$1</f>
        <v>735697.5201856147</v>
      </c>
      <c r="CT146" s="8">
        <f>+MINVU_Mes_Corriente!CT146*SALUD_Mes_Constante!$CP$1</f>
        <v>735697.5201856147</v>
      </c>
      <c r="CU146" s="8">
        <f>+MINVU_Mes_Corriente!CU146*SALUD_Mes_Constante!$CP$1</f>
        <v>735697.5201856147</v>
      </c>
      <c r="CV146" s="8">
        <f>+MINVU_Mes_Corriente!CV146*SALUD_Mes_Constante!$CP$1</f>
        <v>735697.5201856147</v>
      </c>
      <c r="CW146" s="8">
        <f>+MINVU_Mes_Corriente!CW146*SALUD_Mes_Constante!$CP$1</f>
        <v>735697.5201856147</v>
      </c>
      <c r="CX146" s="8">
        <f>+MINVU_Mes_Corriente!CX146*SALUD_Mes_Constante!$CP$1</f>
        <v>735697.5201856147</v>
      </c>
      <c r="CY146" s="8">
        <f>+MINVU_Mes_Corriente!CY146*SALUD_Mes_Constante!$CP$1</f>
        <v>735697.5201856147</v>
      </c>
      <c r="CZ146" s="8">
        <f>+MINVU_Mes_Corriente!CZ146*SALUD_Mes_Constante!$CP$1</f>
        <v>735697.5201856147</v>
      </c>
      <c r="DA146" s="8">
        <f>+MINVU_Mes_Corriente!DA146*SALUD_Mes_Constante!$CP$1</f>
        <v>735697.5201856147</v>
      </c>
      <c r="DB146" s="9">
        <f t="shared" si="64"/>
        <v>735697.5201856147</v>
      </c>
      <c r="DC146" s="8">
        <f>+MINVU_Mes_Corriente!DC146*SALUD_Mes_Constante!$DC$1</f>
        <v>883924.75198024942</v>
      </c>
      <c r="DD146" s="8">
        <f>+MINVU_Mes_Corriente!DD146*SALUD_Mes_Constante!$DC$1</f>
        <v>883924.75198024942</v>
      </c>
      <c r="DE146" s="8">
        <f>+MINVU_Mes_Corriente!DE146*SALUD_Mes_Constante!$DC$1</f>
        <v>883924.75198024942</v>
      </c>
      <c r="DF146" s="8">
        <f>+MINVU_Mes_Corriente!DF146*SALUD_Mes_Constante!$DC$1</f>
        <v>883924.75198024942</v>
      </c>
      <c r="DG146" s="8">
        <f>+MINVU_Mes_Corriente!DG146*SALUD_Mes_Constante!$DC$1</f>
        <v>883924.75198024942</v>
      </c>
      <c r="DH146" s="8">
        <f>+MINVU_Mes_Corriente!DH146*SALUD_Mes_Constante!$DC$1</f>
        <v>883924.75198024942</v>
      </c>
      <c r="DI146" s="8">
        <f>+MINVU_Mes_Corriente!DI146*SALUD_Mes_Constante!$DC$1</f>
        <v>883924.75198024942</v>
      </c>
      <c r="DJ146" s="8">
        <f>+MINVU_Mes_Corriente!DJ146*SALUD_Mes_Constante!$DC$1</f>
        <v>883924.75198024942</v>
      </c>
      <c r="DK146" s="8">
        <f>+MINVU_Mes_Corriente!DK146*SALUD_Mes_Constante!$DC$1</f>
        <v>883924.75198024942</v>
      </c>
      <c r="DL146" s="8">
        <f>+MINVU_Mes_Corriente!DL146*SALUD_Mes_Constante!$DC$1</f>
        <v>883924.75198024942</v>
      </c>
      <c r="DM146" s="8">
        <f>+MINVU_Mes_Corriente!DM146*SALUD_Mes_Constante!$DC$1</f>
        <v>883924.75198024942</v>
      </c>
      <c r="DN146" s="8">
        <f>+MINVU_Mes_Corriente!DN146*SALUD_Mes_Constante!$DC$1</f>
        <v>883924.75198024942</v>
      </c>
      <c r="DO146" s="9">
        <f t="shared" si="65"/>
        <v>883924.75198024942</v>
      </c>
      <c r="DP146" s="8">
        <f>+MINVU_Mes_Corriente!DP146*SALUD_Mes_Constante!$DP$1</f>
        <v>903995.65617577208</v>
      </c>
      <c r="DQ146" s="8">
        <f>+MINVU_Mes_Corriente!DQ146*SALUD_Mes_Constante!$DP$1</f>
        <v>903995.65617577208</v>
      </c>
      <c r="DR146" s="8">
        <f>+MINVU_Mes_Corriente!DR146*SALUD_Mes_Constante!$DP$1</f>
        <v>903995.65617577208</v>
      </c>
      <c r="DS146" s="8">
        <f>+MINVU_Mes_Corriente!DS146*SALUD_Mes_Constante!$DP$1</f>
        <v>903995.65617577208</v>
      </c>
      <c r="DT146" s="8">
        <f>+MINVU_Mes_Corriente!DT146*SALUD_Mes_Constante!$DP$1</f>
        <v>903995.65617577208</v>
      </c>
      <c r="DU146" s="8">
        <f>+MINVU_Mes_Corriente!DU146*SALUD_Mes_Constante!$DP$1</f>
        <v>903995.65617577208</v>
      </c>
      <c r="DV146" s="8">
        <f>+MINVU_Mes_Corriente!DV146*SALUD_Mes_Constante!$DP$1</f>
        <v>903995.65617577208</v>
      </c>
      <c r="DW146" s="8">
        <f>+MINVU_Mes_Corriente!DW146*SALUD_Mes_Constante!$DP$1</f>
        <v>903995.65617577208</v>
      </c>
      <c r="DX146" s="8">
        <f>+MINVU_Mes_Corriente!DX146*SALUD_Mes_Constante!$DP$1</f>
        <v>903995.65617577208</v>
      </c>
      <c r="DY146" s="8">
        <f>+MINVU_Mes_Corriente!DY146*SALUD_Mes_Constante!$DP$1</f>
        <v>903995.65617577208</v>
      </c>
      <c r="DZ146" s="8">
        <f>+MINVU_Mes_Corriente!DZ146*SALUD_Mes_Constante!$DP$1</f>
        <v>903995.65617577208</v>
      </c>
      <c r="EA146" s="8">
        <f>+MINVU_Mes_Corriente!EA146*SALUD_Mes_Constante!$DP$1</f>
        <v>903995.65617577208</v>
      </c>
      <c r="EB146" s="9">
        <f t="shared" si="66"/>
        <v>903995.65617577208</v>
      </c>
      <c r="EC146" s="8">
        <f>+MINVU_Mes_Corriente!EC146*SALUD_Mes_Constante!$EC$1</f>
        <v>792116.37966294237</v>
      </c>
      <c r="ED146" s="8">
        <f>+MINVU_Mes_Corriente!ED146*SALUD_Mes_Constante!$EC$1</f>
        <v>792116.37966294237</v>
      </c>
      <c r="EE146" s="8">
        <f>+MINVU_Mes_Corriente!EE146*SALUD_Mes_Constante!$EC$1</f>
        <v>792116.37966294237</v>
      </c>
      <c r="EF146" s="8">
        <f>+MINVU_Mes_Corriente!EF146*SALUD_Mes_Constante!$EC$1</f>
        <v>792116.37966294237</v>
      </c>
      <c r="EG146" s="8">
        <f>+MINVU_Mes_Corriente!EG146*SALUD_Mes_Constante!$EC$1</f>
        <v>792116.37966294237</v>
      </c>
      <c r="EH146" s="8">
        <f>+MINVU_Mes_Corriente!EH146*SALUD_Mes_Constante!$EC$1</f>
        <v>792116.37966294237</v>
      </c>
      <c r="EI146" s="8">
        <f>+MINVU_Mes_Corriente!EI146*SALUD_Mes_Constante!$EC$1</f>
        <v>792116.37966294237</v>
      </c>
      <c r="EJ146" s="8">
        <f>+MINVU_Mes_Corriente!EJ146*SALUD_Mes_Constante!$EC$1</f>
        <v>792116.37966294237</v>
      </c>
      <c r="EK146" s="8">
        <f>+MINVU_Mes_Corriente!EK146*SALUD_Mes_Constante!$EC$1</f>
        <v>792116.37966294237</v>
      </c>
      <c r="EL146" s="8">
        <f>+MINVU_Mes_Corriente!EL146*SALUD_Mes_Constante!$EC$1</f>
        <v>792116.37966294237</v>
      </c>
      <c r="EM146" s="8">
        <f>+MINVU_Mes_Corriente!EM146*SALUD_Mes_Constante!$EC$1</f>
        <v>792116.37966294237</v>
      </c>
      <c r="EN146" s="8">
        <f>+MINVU_Mes_Corriente!EN146*SALUD_Mes_Constante!$EC$1</f>
        <v>792116.37966294237</v>
      </c>
      <c r="EO146" s="9">
        <f t="shared" si="67"/>
        <v>792116.37966294237</v>
      </c>
      <c r="EP146" s="8">
        <f>+MINVU_Mes_Corriente!EP146*SALUD_Mes_Constante!$EP$1</f>
        <v>797887</v>
      </c>
      <c r="EQ146" s="8">
        <f>+MINVU_Mes_Corriente!EQ146*SALUD_Mes_Constante!$EP$1</f>
        <v>797887</v>
      </c>
      <c r="ER146" s="8">
        <f>+MINVU_Mes_Corriente!ER146*SALUD_Mes_Constante!$EP$1</f>
        <v>797887</v>
      </c>
      <c r="ES146" s="8">
        <f>+MINVU_Mes_Corriente!ES146*SALUD_Mes_Constante!$EP$1</f>
        <v>797887</v>
      </c>
      <c r="ET146" s="8">
        <f>+MINVU_Mes_Corriente!ET146*SALUD_Mes_Constante!$EP$1</f>
        <v>797887</v>
      </c>
      <c r="EU146" s="8">
        <f>+MINVU_Mes_Corriente!EU146*SALUD_Mes_Constante!$EP$1</f>
        <v>797887</v>
      </c>
      <c r="EV146" s="8">
        <f>+MINVU_Mes_Corriente!EV146*SALUD_Mes_Constante!$EP$1</f>
        <v>797887</v>
      </c>
      <c r="EW146" s="8">
        <f>+MINVU_Mes_Corriente!EW146*SALUD_Mes_Constante!$EP$1</f>
        <v>797887</v>
      </c>
      <c r="EX146" s="8">
        <f>+MINVU_Mes_Corriente!EX146*SALUD_Mes_Constante!$EP$1</f>
        <v>797887</v>
      </c>
      <c r="EY146" s="8">
        <f>+MINVU_Mes_Corriente!EY146*SALUD_Mes_Constante!$EP$1</f>
        <v>797887</v>
      </c>
      <c r="EZ146" s="8">
        <f>+MINVU_Mes_Corriente!EZ146*SALUD_Mes_Constante!$EP$1</f>
        <v>797887</v>
      </c>
      <c r="FA146" s="8">
        <f>+MINVU_Mes_Corriente!FA146*SALUD_Mes_Constante!$EP$1</f>
        <v>797887</v>
      </c>
      <c r="FB146" s="9">
        <f t="shared" si="68"/>
        <v>797887</v>
      </c>
      <c r="FC146" s="8">
        <f>+MINVU_Mes_Corriente!FC146*SALUD_Mes_Constante!$FC$1</f>
        <v>822621</v>
      </c>
      <c r="FD146" s="8">
        <f>+MINVU_Mes_Corriente!FD146*SALUD_Mes_Constante!$FC$1</f>
        <v>822621</v>
      </c>
      <c r="FE146" s="8">
        <f>+MINVU_Mes_Corriente!FE146*SALUD_Mes_Constante!$FC$1</f>
        <v>822621</v>
      </c>
      <c r="FF146" s="8">
        <f>+MINVU_Mes_Corriente!FF146*SALUD_Mes_Constante!$FC$1</f>
        <v>822621</v>
      </c>
      <c r="FG146" s="8">
        <f>+MINVU_Mes_Corriente!FG146*SALUD_Mes_Constante!$FC$1</f>
        <v>822621</v>
      </c>
      <c r="FH146" s="8">
        <f>+MINVU_Mes_Corriente!FH146*SALUD_Mes_Constante!$FC$1</f>
        <v>822621</v>
      </c>
      <c r="FI146" s="8">
        <f>+MINVU_Mes_Corriente!FI146*SALUD_Mes_Constante!$FC$1</f>
        <v>822621</v>
      </c>
      <c r="FJ146" s="8"/>
      <c r="FK146" s="8"/>
      <c r="FL146" s="8"/>
      <c r="FM146" s="8"/>
      <c r="FN146" s="8"/>
      <c r="FO146" s="9">
        <f t="shared" si="69"/>
        <v>822621</v>
      </c>
    </row>
    <row r="147" spans="2:171" ht="14.25" customHeight="1" x14ac:dyDescent="0.3">
      <c r="B147" s="35" t="s">
        <v>71</v>
      </c>
      <c r="C147" s="8">
        <f>+MINVU_Mes_Corriente!C147*SALUD_Mes_Constante!$C$1</f>
        <v>389907.34569182864</v>
      </c>
      <c r="D147" s="8">
        <f>+MINVU_Mes_Corriente!D147*SALUD_Mes_Constante!$C$1</f>
        <v>389907.34569182864</v>
      </c>
      <c r="E147" s="8">
        <f>+MINVU_Mes_Corriente!E147*SALUD_Mes_Constante!$C$1</f>
        <v>389907.34569182864</v>
      </c>
      <c r="F147" s="8">
        <f>+MINVU_Mes_Corriente!F147*SALUD_Mes_Constante!$C$1</f>
        <v>389907.34569182864</v>
      </c>
      <c r="G147" s="8">
        <f>+MINVU_Mes_Corriente!G147*SALUD_Mes_Constante!$C$1</f>
        <v>389907.34569182864</v>
      </c>
      <c r="H147" s="8">
        <f>+MINVU_Mes_Corriente!H147*SALUD_Mes_Constante!$C$1</f>
        <v>389907.34569182864</v>
      </c>
      <c r="I147" s="8">
        <f>+MINVU_Mes_Corriente!I147*SALUD_Mes_Constante!$C$1</f>
        <v>389907.34569182864</v>
      </c>
      <c r="J147" s="8">
        <f>+MINVU_Mes_Corriente!J147*SALUD_Mes_Constante!$C$1</f>
        <v>389907.34569182864</v>
      </c>
      <c r="K147" s="8">
        <f>+MINVU_Mes_Corriente!K147*SALUD_Mes_Constante!$C$1</f>
        <v>389907.34569182864</v>
      </c>
      <c r="L147" s="8">
        <f>+MINVU_Mes_Corriente!L147*SALUD_Mes_Constante!$C$1</f>
        <v>389907.34569182864</v>
      </c>
      <c r="M147" s="8">
        <f>+MINVU_Mes_Corriente!M147*SALUD_Mes_Constante!$C$1</f>
        <v>389907.34569182864</v>
      </c>
      <c r="N147" s="8">
        <f>+MINVU_Mes_Corriente!N147*SALUD_Mes_Constante!$C$1</f>
        <v>389907.34569182864</v>
      </c>
      <c r="O147" s="9">
        <f t="shared" si="57"/>
        <v>389907.34569182864</v>
      </c>
      <c r="P147" s="8">
        <f>+MINVU_Mes_Corriente!P147*SALUD_Mes_Constante!$P$1</f>
        <v>384716.58275323187</v>
      </c>
      <c r="Q147" s="8">
        <f>+MINVU_Mes_Corriente!Q147*SALUD_Mes_Constante!$P$1</f>
        <v>384716.58275323187</v>
      </c>
      <c r="R147" s="8">
        <f>+MINVU_Mes_Corriente!R147*SALUD_Mes_Constante!$P$1</f>
        <v>384716.58275323187</v>
      </c>
      <c r="S147" s="8">
        <f>+MINVU_Mes_Corriente!S147*SALUD_Mes_Constante!$P$1</f>
        <v>384716.58275323187</v>
      </c>
      <c r="T147" s="8">
        <f>+MINVU_Mes_Corriente!T147*SALUD_Mes_Constante!$P$1</f>
        <v>384716.58275323187</v>
      </c>
      <c r="U147" s="8">
        <f>+MINVU_Mes_Corriente!U147*SALUD_Mes_Constante!$P$1</f>
        <v>384716.58275323187</v>
      </c>
      <c r="V147" s="8">
        <f>+MINVU_Mes_Corriente!V147*SALUD_Mes_Constante!$P$1</f>
        <v>384716.58275323187</v>
      </c>
      <c r="W147" s="8">
        <f>+MINVU_Mes_Corriente!W147*SALUD_Mes_Constante!$P$1</f>
        <v>384716.58275323187</v>
      </c>
      <c r="X147" s="8">
        <f>+MINVU_Mes_Corriente!X147*SALUD_Mes_Constante!$P$1</f>
        <v>384716.58275323187</v>
      </c>
      <c r="Y147" s="8">
        <f>+MINVU_Mes_Corriente!Y147*SALUD_Mes_Constante!$P$1</f>
        <v>384716.58275323187</v>
      </c>
      <c r="Z147" s="8">
        <f>+MINVU_Mes_Corriente!Z147*SALUD_Mes_Constante!$P$1</f>
        <v>384716.58275323187</v>
      </c>
      <c r="AA147" s="8">
        <f>+MINVU_Mes_Corriente!AA147*SALUD_Mes_Constante!$P$1</f>
        <v>384716.58275323187</v>
      </c>
      <c r="AB147" s="9">
        <f t="shared" si="58"/>
        <v>384716.58275323187</v>
      </c>
      <c r="AC147" s="8">
        <f>+MINVU_Mes_Corriente!AC147*SALUD_Mes_Constante!$AC$1</f>
        <v>388839.54820860422</v>
      </c>
      <c r="AD147" s="8">
        <f>+MINVU_Mes_Corriente!AD147*SALUD_Mes_Constante!$AC$1</f>
        <v>388839.54820860422</v>
      </c>
      <c r="AE147" s="8">
        <f>+MINVU_Mes_Corriente!AE147*SALUD_Mes_Constante!$AC$1</f>
        <v>388839.54820860422</v>
      </c>
      <c r="AF147" s="8">
        <f>+MINVU_Mes_Corriente!AF147*SALUD_Mes_Constante!$AC$1</f>
        <v>388839.54820860422</v>
      </c>
      <c r="AG147" s="8">
        <f>+MINVU_Mes_Corriente!AG147*SALUD_Mes_Constante!$AC$1</f>
        <v>388839.54820860422</v>
      </c>
      <c r="AH147" s="8">
        <f>+MINVU_Mes_Corriente!AH147*SALUD_Mes_Constante!$AC$1</f>
        <v>388839.54820860422</v>
      </c>
      <c r="AI147" s="8">
        <f>+MINVU_Mes_Corriente!AI147*SALUD_Mes_Constante!$AC$1</f>
        <v>388839.54820860422</v>
      </c>
      <c r="AJ147" s="8">
        <f>+MINVU_Mes_Corriente!AJ147*SALUD_Mes_Constante!$AC$1</f>
        <v>388839.54820860422</v>
      </c>
      <c r="AK147" s="8">
        <f>+MINVU_Mes_Corriente!AK147*SALUD_Mes_Constante!$AC$1</f>
        <v>388839.54820860422</v>
      </c>
      <c r="AL147" s="8">
        <f>+MINVU_Mes_Corriente!AL147*SALUD_Mes_Constante!$AC$1</f>
        <v>388839.54820860422</v>
      </c>
      <c r="AM147" s="8">
        <f>+MINVU_Mes_Corriente!AM147*SALUD_Mes_Constante!$AC$1</f>
        <v>388839.54820860422</v>
      </c>
      <c r="AN147" s="8">
        <f>+MINVU_Mes_Corriente!AN147*SALUD_Mes_Constante!$AC$1</f>
        <v>388839.54820860422</v>
      </c>
      <c r="AO147" s="9">
        <f t="shared" si="59"/>
        <v>388839.54820860422</v>
      </c>
      <c r="AP147" s="8">
        <f>+MINVU_Mes_Corriente!AP147*SALUD_Mes_Constante!$AP$1</f>
        <v>391620.17611253884</v>
      </c>
      <c r="AQ147" s="8">
        <f>+MINVU_Mes_Corriente!AQ147*SALUD_Mes_Constante!$AP$1</f>
        <v>391620.17611253884</v>
      </c>
      <c r="AR147" s="8">
        <f>+MINVU_Mes_Corriente!AR147*SALUD_Mes_Constante!$AP$1</f>
        <v>391620.17611253884</v>
      </c>
      <c r="AS147" s="8">
        <f>+MINVU_Mes_Corriente!AS147*SALUD_Mes_Constante!$AP$1</f>
        <v>391620.17611253884</v>
      </c>
      <c r="AT147" s="8">
        <f>+MINVU_Mes_Corriente!AT147*SALUD_Mes_Constante!$AP$1</f>
        <v>391620.17611253884</v>
      </c>
      <c r="AU147" s="8">
        <f>+MINVU_Mes_Corriente!AU147*SALUD_Mes_Constante!$AP$1</f>
        <v>391620.17611253884</v>
      </c>
      <c r="AV147" s="8">
        <f>+MINVU_Mes_Corriente!AV147*SALUD_Mes_Constante!$AP$1</f>
        <v>391620.17611253884</v>
      </c>
      <c r="AW147" s="8">
        <f>+MINVU_Mes_Corriente!AW147*SALUD_Mes_Constante!$AP$1</f>
        <v>391620.17611253884</v>
      </c>
      <c r="AX147" s="8">
        <f>+MINVU_Mes_Corriente!AX147*SALUD_Mes_Constante!$AP$1</f>
        <v>391620.17611253884</v>
      </c>
      <c r="AY147" s="8">
        <f>+MINVU_Mes_Corriente!AY147*SALUD_Mes_Constante!$AP$1</f>
        <v>391620.17611253884</v>
      </c>
      <c r="AZ147" s="8">
        <f>+MINVU_Mes_Corriente!AZ147*SALUD_Mes_Constante!$AP$1</f>
        <v>391620.17611253884</v>
      </c>
      <c r="BA147" s="8">
        <f>+MINVU_Mes_Corriente!BA147*SALUD_Mes_Constante!$AP$1</f>
        <v>391620.17611253884</v>
      </c>
      <c r="BB147" s="9">
        <f t="shared" si="60"/>
        <v>391620.17611253884</v>
      </c>
      <c r="BC147" s="8">
        <f>+MINVU_Mes_Corriente!BC147*SALUD_Mes_Constante!$BC$1</f>
        <v>391735.21060266392</v>
      </c>
      <c r="BD147" s="8">
        <f>+MINVU_Mes_Corriente!BD147*SALUD_Mes_Constante!$BC$1</f>
        <v>391735.21060266392</v>
      </c>
      <c r="BE147" s="8">
        <f>+MINVU_Mes_Corriente!BE147*SALUD_Mes_Constante!$BC$1</f>
        <v>391735.21060266392</v>
      </c>
      <c r="BF147" s="8">
        <f>+MINVU_Mes_Corriente!BF147*SALUD_Mes_Constante!$BC$1</f>
        <v>391735.21060266392</v>
      </c>
      <c r="BG147" s="8">
        <f>+MINVU_Mes_Corriente!BG147*SALUD_Mes_Constante!$BC$1</f>
        <v>391735.21060266392</v>
      </c>
      <c r="BH147" s="8">
        <f>+MINVU_Mes_Corriente!BH147*SALUD_Mes_Constante!$BC$1</f>
        <v>391735.21060266392</v>
      </c>
      <c r="BI147" s="8">
        <f>+MINVU_Mes_Corriente!BI147*SALUD_Mes_Constante!$BC$1</f>
        <v>391735.21060266392</v>
      </c>
      <c r="BJ147" s="8">
        <f>+MINVU_Mes_Corriente!BJ147*SALUD_Mes_Constante!$BC$1</f>
        <v>391735.21060266392</v>
      </c>
      <c r="BK147" s="8">
        <f>+MINVU_Mes_Corriente!BK147*SALUD_Mes_Constante!$BC$1</f>
        <v>391735.21060266392</v>
      </c>
      <c r="BL147" s="8">
        <f>+MINVU_Mes_Corriente!BL147*SALUD_Mes_Constante!$BC$1</f>
        <v>391735.21060266392</v>
      </c>
      <c r="BM147" s="8">
        <f>+MINVU_Mes_Corriente!BM147*SALUD_Mes_Constante!$BC$1</f>
        <v>391735.21060266392</v>
      </c>
      <c r="BN147" s="8">
        <f>+MINVU_Mes_Corriente!BN147*SALUD_Mes_Constante!$BC$1</f>
        <v>391735.21060266392</v>
      </c>
      <c r="BO147" s="9">
        <f t="shared" si="61"/>
        <v>391735.21060266392</v>
      </c>
      <c r="BP147" s="8">
        <f>+MINVU_Mes_Corriente!BP147*SALUD_Mes_Constante!$BP$1</f>
        <v>0</v>
      </c>
      <c r="BQ147" s="8">
        <f>+MINVU_Mes_Corriente!BQ147*SALUD_Mes_Constante!$BP$1</f>
        <v>0</v>
      </c>
      <c r="BR147" s="8">
        <f>+MINVU_Mes_Corriente!BR147*SALUD_Mes_Constante!$BP$1</f>
        <v>0</v>
      </c>
      <c r="BS147" s="8">
        <f>+MINVU_Mes_Corriente!BS147*SALUD_Mes_Constante!$BP$1</f>
        <v>0</v>
      </c>
      <c r="BT147" s="8">
        <f>+MINVU_Mes_Corriente!BT147*SALUD_Mes_Constante!$BP$1</f>
        <v>0</v>
      </c>
      <c r="BU147" s="8">
        <f>+MINVU_Mes_Corriente!BU147*SALUD_Mes_Constante!$BP$1</f>
        <v>0</v>
      </c>
      <c r="BV147" s="8">
        <f>+MINVU_Mes_Corriente!BV147*SALUD_Mes_Constante!$BP$1</f>
        <v>0</v>
      </c>
      <c r="BW147" s="8">
        <f>+MINVU_Mes_Corriente!BW147*SALUD_Mes_Constante!$BP$1</f>
        <v>0</v>
      </c>
      <c r="BX147" s="8">
        <f>+MINVU_Mes_Corriente!BX147*SALUD_Mes_Constante!$BP$1</f>
        <v>0</v>
      </c>
      <c r="BY147" s="8">
        <f>+MINVU_Mes_Corriente!BY147*SALUD_Mes_Constante!$BP$1</f>
        <v>0</v>
      </c>
      <c r="BZ147" s="8">
        <f>+MINVU_Mes_Corriente!BZ147*SALUD_Mes_Constante!$BP$1</f>
        <v>0</v>
      </c>
      <c r="CA147" s="8">
        <f>+MINVU_Mes_Corriente!CA147*SALUD_Mes_Constante!$BP$1</f>
        <v>0</v>
      </c>
      <c r="CB147" s="9">
        <f t="shared" si="62"/>
        <v>0</v>
      </c>
      <c r="CC147" s="8">
        <f>+MINVU_Mes_Corriente!CC147*SALUD_Mes_Constante!$CC$1</f>
        <v>147785.59492726595</v>
      </c>
      <c r="CD147" s="8">
        <f>+MINVU_Mes_Corriente!CD147*SALUD_Mes_Constante!$CC$1</f>
        <v>147785.59492726595</v>
      </c>
      <c r="CE147" s="8">
        <f>+MINVU_Mes_Corriente!CE147*SALUD_Mes_Constante!$CC$1</f>
        <v>147785.59492726595</v>
      </c>
      <c r="CF147" s="8">
        <f>+MINVU_Mes_Corriente!CF147*SALUD_Mes_Constante!$CC$1</f>
        <v>147785.59492726595</v>
      </c>
      <c r="CG147" s="8">
        <f>+MINVU_Mes_Corriente!CG147*SALUD_Mes_Constante!$CC$1</f>
        <v>147785.59492726595</v>
      </c>
      <c r="CH147" s="8">
        <f>+MINVU_Mes_Corriente!CH147*SALUD_Mes_Constante!$CC$1</f>
        <v>147785.59492726595</v>
      </c>
      <c r="CI147" s="8">
        <f>+MINVU_Mes_Corriente!CI147*SALUD_Mes_Constante!$CC$1</f>
        <v>147785.59492726595</v>
      </c>
      <c r="CJ147" s="8">
        <f>+MINVU_Mes_Corriente!CJ147*SALUD_Mes_Constante!$CC$1</f>
        <v>147785.59492726595</v>
      </c>
      <c r="CK147" s="8">
        <f>+MINVU_Mes_Corriente!CK147*SALUD_Mes_Constante!$CC$1</f>
        <v>147785.59492726595</v>
      </c>
      <c r="CL147" s="8">
        <f>+MINVU_Mes_Corriente!CL147*SALUD_Mes_Constante!$CC$1</f>
        <v>147785.59492726595</v>
      </c>
      <c r="CM147" s="8">
        <f>+MINVU_Mes_Corriente!CM147*SALUD_Mes_Constante!$CC$1</f>
        <v>147785.59492726595</v>
      </c>
      <c r="CN147" s="8">
        <f>+MINVU_Mes_Corriente!CN147*SALUD_Mes_Constante!$CC$1</f>
        <v>147785.59492726595</v>
      </c>
      <c r="CO147" s="9">
        <f t="shared" si="63"/>
        <v>147785.59492726595</v>
      </c>
      <c r="CP147" s="8">
        <f>+MINVU_Mes_Corriente!CP147*SALUD_Mes_Constante!$CP$1</f>
        <v>589143.35568445467</v>
      </c>
      <c r="CQ147" s="8">
        <f>+MINVU_Mes_Corriente!CQ147*SALUD_Mes_Constante!$CP$1</f>
        <v>589143.35568445467</v>
      </c>
      <c r="CR147" s="8">
        <f>+MINVU_Mes_Corriente!CR147*SALUD_Mes_Constante!$CP$1</f>
        <v>589143.35568445467</v>
      </c>
      <c r="CS147" s="8">
        <f>+MINVU_Mes_Corriente!CS147*SALUD_Mes_Constante!$CP$1</f>
        <v>589143.35568445467</v>
      </c>
      <c r="CT147" s="8">
        <f>+MINVU_Mes_Corriente!CT147*SALUD_Mes_Constante!$CP$1</f>
        <v>589143.35568445467</v>
      </c>
      <c r="CU147" s="8">
        <f>+MINVU_Mes_Corriente!CU147*SALUD_Mes_Constante!$CP$1</f>
        <v>589143.35568445467</v>
      </c>
      <c r="CV147" s="8">
        <f>+MINVU_Mes_Corriente!CV147*SALUD_Mes_Constante!$CP$1</f>
        <v>589143.35568445467</v>
      </c>
      <c r="CW147" s="8">
        <f>+MINVU_Mes_Corriente!CW147*SALUD_Mes_Constante!$CP$1</f>
        <v>589143.35568445467</v>
      </c>
      <c r="CX147" s="8">
        <f>+MINVU_Mes_Corriente!CX147*SALUD_Mes_Constante!$CP$1</f>
        <v>589143.35568445467</v>
      </c>
      <c r="CY147" s="8">
        <f>+MINVU_Mes_Corriente!CY147*SALUD_Mes_Constante!$CP$1</f>
        <v>589143.35568445467</v>
      </c>
      <c r="CZ147" s="8">
        <f>+MINVU_Mes_Corriente!CZ147*SALUD_Mes_Constante!$CP$1</f>
        <v>589143.35568445467</v>
      </c>
      <c r="DA147" s="8">
        <f>+MINVU_Mes_Corriente!DA147*SALUD_Mes_Constante!$CP$1</f>
        <v>589143.35568445467</v>
      </c>
      <c r="DB147" s="9">
        <f t="shared" si="64"/>
        <v>589143.35568445467</v>
      </c>
      <c r="DC147" s="8">
        <f>+MINVU_Mes_Corriente!DC147*SALUD_Mes_Constante!$DC$1</f>
        <v>721440.8239893018</v>
      </c>
      <c r="DD147" s="8">
        <f>+MINVU_Mes_Corriente!DD147*SALUD_Mes_Constante!$DC$1</f>
        <v>721440.8239893018</v>
      </c>
      <c r="DE147" s="8">
        <f>+MINVU_Mes_Corriente!DE147*SALUD_Mes_Constante!$DC$1</f>
        <v>721440.8239893018</v>
      </c>
      <c r="DF147" s="8">
        <f>+MINVU_Mes_Corriente!DF147*SALUD_Mes_Constante!$DC$1</f>
        <v>721440.8239893018</v>
      </c>
      <c r="DG147" s="8">
        <f>+MINVU_Mes_Corriente!DG147*SALUD_Mes_Constante!$DC$1</f>
        <v>721440.8239893018</v>
      </c>
      <c r="DH147" s="8">
        <f>+MINVU_Mes_Corriente!DH147*SALUD_Mes_Constante!$DC$1</f>
        <v>721440.8239893018</v>
      </c>
      <c r="DI147" s="8">
        <f>+MINVU_Mes_Corriente!DI147*SALUD_Mes_Constante!$DC$1</f>
        <v>721440.8239893018</v>
      </c>
      <c r="DJ147" s="8">
        <f>+MINVU_Mes_Corriente!DJ147*SALUD_Mes_Constante!$DC$1</f>
        <v>721440.8239893018</v>
      </c>
      <c r="DK147" s="8">
        <f>+MINVU_Mes_Corriente!DK147*SALUD_Mes_Constante!$DC$1</f>
        <v>721440.8239893018</v>
      </c>
      <c r="DL147" s="8">
        <f>+MINVU_Mes_Corriente!DL147*SALUD_Mes_Constante!$DC$1</f>
        <v>721440.8239893018</v>
      </c>
      <c r="DM147" s="8">
        <f>+MINVU_Mes_Corriente!DM147*SALUD_Mes_Constante!$DC$1</f>
        <v>721440.8239893018</v>
      </c>
      <c r="DN147" s="8">
        <f>+MINVU_Mes_Corriente!DN147*SALUD_Mes_Constante!$DC$1</f>
        <v>721440.8239893018</v>
      </c>
      <c r="DO147" s="9">
        <f t="shared" si="65"/>
        <v>721440.8239893018</v>
      </c>
      <c r="DP147" s="8">
        <f>+MINVU_Mes_Corriente!DP147*SALUD_Mes_Constante!$DP$1</f>
        <v>737821.83669833734</v>
      </c>
      <c r="DQ147" s="8">
        <f>+MINVU_Mes_Corriente!DQ147*SALUD_Mes_Constante!$DP$1</f>
        <v>737821.83669833734</v>
      </c>
      <c r="DR147" s="8">
        <f>+MINVU_Mes_Corriente!DR147*SALUD_Mes_Constante!$DP$1</f>
        <v>737821.83669833734</v>
      </c>
      <c r="DS147" s="8">
        <f>+MINVU_Mes_Corriente!DS147*SALUD_Mes_Constante!$DP$1</f>
        <v>737821.83669833734</v>
      </c>
      <c r="DT147" s="8">
        <f>+MINVU_Mes_Corriente!DT147*SALUD_Mes_Constante!$DP$1</f>
        <v>737821.83669833734</v>
      </c>
      <c r="DU147" s="8">
        <f>+MINVU_Mes_Corriente!DU147*SALUD_Mes_Constante!$DP$1</f>
        <v>737821.83669833734</v>
      </c>
      <c r="DV147" s="8">
        <f>+MINVU_Mes_Corriente!DV147*SALUD_Mes_Constante!$DP$1</f>
        <v>737821.83669833734</v>
      </c>
      <c r="DW147" s="8">
        <f>+MINVU_Mes_Corriente!DW147*SALUD_Mes_Constante!$DP$1</f>
        <v>737821.83669833734</v>
      </c>
      <c r="DX147" s="8">
        <f>+MINVU_Mes_Corriente!DX147*SALUD_Mes_Constante!$DP$1</f>
        <v>737821.83669833734</v>
      </c>
      <c r="DY147" s="8">
        <f>+MINVU_Mes_Corriente!DY147*SALUD_Mes_Constante!$DP$1</f>
        <v>737821.83669833734</v>
      </c>
      <c r="DZ147" s="8">
        <f>+MINVU_Mes_Corriente!DZ147*SALUD_Mes_Constante!$DP$1</f>
        <v>737821.83669833734</v>
      </c>
      <c r="EA147" s="8">
        <f>+MINVU_Mes_Corriente!EA147*SALUD_Mes_Constante!$DP$1</f>
        <v>737821.83669833734</v>
      </c>
      <c r="EB147" s="9">
        <f t="shared" si="66"/>
        <v>737821.83669833734</v>
      </c>
      <c r="EC147" s="8">
        <f>+MINVU_Mes_Corriente!EC147*SALUD_Mes_Constante!$EC$1</f>
        <v>646506.37833743589</v>
      </c>
      <c r="ED147" s="8">
        <f>+MINVU_Mes_Corriente!ED147*SALUD_Mes_Constante!$EC$1</f>
        <v>646506.37833743589</v>
      </c>
      <c r="EE147" s="8">
        <f>+MINVU_Mes_Corriente!EE147*SALUD_Mes_Constante!$EC$1</f>
        <v>646506.37833743589</v>
      </c>
      <c r="EF147" s="8">
        <f>+MINVU_Mes_Corriente!EF147*SALUD_Mes_Constante!$EC$1</f>
        <v>646506.37833743589</v>
      </c>
      <c r="EG147" s="8">
        <f>+MINVU_Mes_Corriente!EG147*SALUD_Mes_Constante!$EC$1</f>
        <v>646506.37833743589</v>
      </c>
      <c r="EH147" s="8">
        <f>+MINVU_Mes_Corriente!EH147*SALUD_Mes_Constante!$EC$1</f>
        <v>646506.37833743589</v>
      </c>
      <c r="EI147" s="8">
        <f>+MINVU_Mes_Corriente!EI147*SALUD_Mes_Constante!$EC$1</f>
        <v>646506.37833743589</v>
      </c>
      <c r="EJ147" s="8">
        <f>+MINVU_Mes_Corriente!EJ147*SALUD_Mes_Constante!$EC$1</f>
        <v>646506.37833743589</v>
      </c>
      <c r="EK147" s="8">
        <f>+MINVU_Mes_Corriente!EK147*SALUD_Mes_Constante!$EC$1</f>
        <v>646506.37833743589</v>
      </c>
      <c r="EL147" s="8">
        <f>+MINVU_Mes_Corriente!EL147*SALUD_Mes_Constante!$EC$1</f>
        <v>646506.37833743589</v>
      </c>
      <c r="EM147" s="8">
        <f>+MINVU_Mes_Corriente!EM147*SALUD_Mes_Constante!$EC$1</f>
        <v>646506.37833743589</v>
      </c>
      <c r="EN147" s="8">
        <f>+MINVU_Mes_Corriente!EN147*SALUD_Mes_Constante!$EC$1</f>
        <v>646506.37833743589</v>
      </c>
      <c r="EO147" s="9">
        <f t="shared" si="67"/>
        <v>646506.37833743589</v>
      </c>
      <c r="EP147" s="8">
        <f>+MINVU_Mes_Corriente!EP147*SALUD_Mes_Constante!$EP$1</f>
        <v>651217</v>
      </c>
      <c r="EQ147" s="8">
        <f>+MINVU_Mes_Corriente!EQ147*SALUD_Mes_Constante!$EP$1</f>
        <v>651217</v>
      </c>
      <c r="ER147" s="8">
        <f>+MINVU_Mes_Corriente!ER147*SALUD_Mes_Constante!$EP$1</f>
        <v>651217</v>
      </c>
      <c r="ES147" s="8">
        <f>+MINVU_Mes_Corriente!ES147*SALUD_Mes_Constante!$EP$1</f>
        <v>651217</v>
      </c>
      <c r="ET147" s="8">
        <f>+MINVU_Mes_Corriente!ET147*SALUD_Mes_Constante!$EP$1</f>
        <v>651217</v>
      </c>
      <c r="EU147" s="8">
        <f>+MINVU_Mes_Corriente!EU147*SALUD_Mes_Constante!$EP$1</f>
        <v>651217</v>
      </c>
      <c r="EV147" s="8">
        <f>+MINVU_Mes_Corriente!EV147*SALUD_Mes_Constante!$EP$1</f>
        <v>651217</v>
      </c>
      <c r="EW147" s="8">
        <f>+MINVU_Mes_Corriente!EW147*SALUD_Mes_Constante!$EP$1</f>
        <v>651217</v>
      </c>
      <c r="EX147" s="8">
        <f>+MINVU_Mes_Corriente!EX147*SALUD_Mes_Constante!$EP$1</f>
        <v>651217</v>
      </c>
      <c r="EY147" s="8">
        <f>+MINVU_Mes_Corriente!EY147*SALUD_Mes_Constante!$EP$1</f>
        <v>651217</v>
      </c>
      <c r="EZ147" s="8">
        <f>+MINVU_Mes_Corriente!EZ147*SALUD_Mes_Constante!$EP$1</f>
        <v>651217</v>
      </c>
      <c r="FA147" s="8">
        <f>+MINVU_Mes_Corriente!FA147*SALUD_Mes_Constante!$EP$1</f>
        <v>651217</v>
      </c>
      <c r="FB147" s="9">
        <f t="shared" si="68"/>
        <v>651217</v>
      </c>
      <c r="FC147" s="8">
        <f>+MINVU_Mes_Corriente!FC147*SALUD_Mes_Constante!$FC$1</f>
        <v>671405</v>
      </c>
      <c r="FD147" s="8">
        <f>+MINVU_Mes_Corriente!FD147*SALUD_Mes_Constante!$FC$1</f>
        <v>671405</v>
      </c>
      <c r="FE147" s="8">
        <f>+MINVU_Mes_Corriente!FE147*SALUD_Mes_Constante!$FC$1</f>
        <v>671405</v>
      </c>
      <c r="FF147" s="8">
        <f>+MINVU_Mes_Corriente!FF147*SALUD_Mes_Constante!$FC$1</f>
        <v>671405</v>
      </c>
      <c r="FG147" s="8">
        <f>+MINVU_Mes_Corriente!FG147*SALUD_Mes_Constante!$FC$1</f>
        <v>671405</v>
      </c>
      <c r="FH147" s="8">
        <f>+MINVU_Mes_Corriente!FH147*SALUD_Mes_Constante!$FC$1</f>
        <v>671405</v>
      </c>
      <c r="FI147" s="8">
        <f>+MINVU_Mes_Corriente!FI147*SALUD_Mes_Constante!$FC$1</f>
        <v>671405</v>
      </c>
      <c r="FJ147" s="8"/>
      <c r="FK147" s="8"/>
      <c r="FL147" s="8"/>
      <c r="FM147" s="8"/>
      <c r="FN147" s="8"/>
      <c r="FO147" s="9">
        <f t="shared" si="69"/>
        <v>671405</v>
      </c>
    </row>
    <row r="148" spans="2:171" ht="14.25" customHeight="1" x14ac:dyDescent="0.3">
      <c r="B148" s="35" t="s">
        <v>72</v>
      </c>
      <c r="C148" s="8">
        <f>+MINVU_Mes_Corriente!C148*SALUD_Mes_Constante!$C$1</f>
        <v>618470.25656236103</v>
      </c>
      <c r="D148" s="8">
        <f>+MINVU_Mes_Corriente!D148*SALUD_Mes_Constante!$C$1</f>
        <v>618470.25656236103</v>
      </c>
      <c r="E148" s="8">
        <f>+MINVU_Mes_Corriente!E148*SALUD_Mes_Constante!$C$1</f>
        <v>618470.25656236103</v>
      </c>
      <c r="F148" s="8">
        <f>+MINVU_Mes_Corriente!F148*SALUD_Mes_Constante!$C$1</f>
        <v>618470.25656236103</v>
      </c>
      <c r="G148" s="8">
        <f>+MINVU_Mes_Corriente!G148*SALUD_Mes_Constante!$C$1</f>
        <v>618470.25656236103</v>
      </c>
      <c r="H148" s="8">
        <f>+MINVU_Mes_Corriente!H148*SALUD_Mes_Constante!$C$1</f>
        <v>618470.25656236103</v>
      </c>
      <c r="I148" s="8">
        <f>+MINVU_Mes_Corriente!I148*SALUD_Mes_Constante!$C$1</f>
        <v>618470.25656236103</v>
      </c>
      <c r="J148" s="8">
        <f>+MINVU_Mes_Corriente!J148*SALUD_Mes_Constante!$C$1</f>
        <v>618470.25656236103</v>
      </c>
      <c r="K148" s="8">
        <f>+MINVU_Mes_Corriente!K148*SALUD_Mes_Constante!$C$1</f>
        <v>618470.25656236103</v>
      </c>
      <c r="L148" s="8">
        <f>+MINVU_Mes_Corriente!L148*SALUD_Mes_Constante!$C$1</f>
        <v>618470.25656236103</v>
      </c>
      <c r="M148" s="8">
        <f>+MINVU_Mes_Corriente!M148*SALUD_Mes_Constante!$C$1</f>
        <v>618470.25656236103</v>
      </c>
      <c r="N148" s="8">
        <f>+MINVU_Mes_Corriente!N148*SALUD_Mes_Constante!$C$1</f>
        <v>618470.25656236103</v>
      </c>
      <c r="O148" s="9">
        <f t="shared" si="57"/>
        <v>618470.25656236103</v>
      </c>
      <c r="P148" s="8">
        <f>+MINVU_Mes_Corriente!P148*SALUD_Mes_Constante!$P$1</f>
        <v>610237.0458871997</v>
      </c>
      <c r="Q148" s="8">
        <f>+MINVU_Mes_Corriente!Q148*SALUD_Mes_Constante!$P$1</f>
        <v>610237.0458871997</v>
      </c>
      <c r="R148" s="8">
        <f>+MINVU_Mes_Corriente!R148*SALUD_Mes_Constante!$P$1</f>
        <v>610237.0458871997</v>
      </c>
      <c r="S148" s="8">
        <f>+MINVU_Mes_Corriente!S148*SALUD_Mes_Constante!$P$1</f>
        <v>610237.0458871997</v>
      </c>
      <c r="T148" s="8">
        <f>+MINVU_Mes_Corriente!T148*SALUD_Mes_Constante!$P$1</f>
        <v>610237.0458871997</v>
      </c>
      <c r="U148" s="8">
        <f>+MINVU_Mes_Corriente!U148*SALUD_Mes_Constante!$P$1</f>
        <v>610237.0458871997</v>
      </c>
      <c r="V148" s="8">
        <f>+MINVU_Mes_Corriente!V148*SALUD_Mes_Constante!$P$1</f>
        <v>610237.0458871997</v>
      </c>
      <c r="W148" s="8">
        <f>+MINVU_Mes_Corriente!W148*SALUD_Mes_Constante!$P$1</f>
        <v>610237.0458871997</v>
      </c>
      <c r="X148" s="8">
        <f>+MINVU_Mes_Corriente!X148*SALUD_Mes_Constante!$P$1</f>
        <v>610237.0458871997</v>
      </c>
      <c r="Y148" s="8">
        <f>+MINVU_Mes_Corriente!Y148*SALUD_Mes_Constante!$P$1</f>
        <v>610237.0458871997</v>
      </c>
      <c r="Z148" s="8">
        <f>+MINVU_Mes_Corriente!Z148*SALUD_Mes_Constante!$P$1</f>
        <v>610237.0458871997</v>
      </c>
      <c r="AA148" s="8">
        <f>+MINVU_Mes_Corriente!AA148*SALUD_Mes_Constante!$P$1</f>
        <v>610237.0458871997</v>
      </c>
      <c r="AB148" s="9">
        <f t="shared" si="58"/>
        <v>610237.0458871997</v>
      </c>
      <c r="AC148" s="8">
        <f>+MINVU_Mes_Corriente!AC148*SALUD_Mes_Constante!$AC$1</f>
        <v>616777.1586664822</v>
      </c>
      <c r="AD148" s="8">
        <f>+MINVU_Mes_Corriente!AD148*SALUD_Mes_Constante!$AC$1</f>
        <v>616777.1586664822</v>
      </c>
      <c r="AE148" s="8">
        <f>+MINVU_Mes_Corriente!AE148*SALUD_Mes_Constante!$AC$1</f>
        <v>616777.1586664822</v>
      </c>
      <c r="AF148" s="8">
        <f>+MINVU_Mes_Corriente!AF148*SALUD_Mes_Constante!$AC$1</f>
        <v>616777.1586664822</v>
      </c>
      <c r="AG148" s="8">
        <f>+MINVU_Mes_Corriente!AG148*SALUD_Mes_Constante!$AC$1</f>
        <v>616777.1586664822</v>
      </c>
      <c r="AH148" s="8">
        <f>+MINVU_Mes_Corriente!AH148*SALUD_Mes_Constante!$AC$1</f>
        <v>616777.1586664822</v>
      </c>
      <c r="AI148" s="8">
        <f>+MINVU_Mes_Corriente!AI148*SALUD_Mes_Constante!$AC$1</f>
        <v>616777.1586664822</v>
      </c>
      <c r="AJ148" s="8">
        <f>+MINVU_Mes_Corriente!AJ148*SALUD_Mes_Constante!$AC$1</f>
        <v>616777.1586664822</v>
      </c>
      <c r="AK148" s="8">
        <f>+MINVU_Mes_Corriente!AK148*SALUD_Mes_Constante!$AC$1</f>
        <v>616777.1586664822</v>
      </c>
      <c r="AL148" s="8">
        <f>+MINVU_Mes_Corriente!AL148*SALUD_Mes_Constante!$AC$1</f>
        <v>616777.1586664822</v>
      </c>
      <c r="AM148" s="8">
        <f>+MINVU_Mes_Corriente!AM148*SALUD_Mes_Constante!$AC$1</f>
        <v>616777.1586664822</v>
      </c>
      <c r="AN148" s="8">
        <f>+MINVU_Mes_Corriente!AN148*SALUD_Mes_Constante!$AC$1</f>
        <v>616777.1586664822</v>
      </c>
      <c r="AO148" s="9">
        <f t="shared" si="59"/>
        <v>616777.1586664822</v>
      </c>
      <c r="AP148" s="8">
        <f>+MINVU_Mes_Corriente!AP148*SALUD_Mes_Constante!$AP$1</f>
        <v>621187.36264033546</v>
      </c>
      <c r="AQ148" s="8">
        <f>+MINVU_Mes_Corriente!AQ148*SALUD_Mes_Constante!$AP$1</f>
        <v>621187.36264033546</v>
      </c>
      <c r="AR148" s="8">
        <f>+MINVU_Mes_Corriente!AR148*SALUD_Mes_Constante!$AP$1</f>
        <v>621187.36264033546</v>
      </c>
      <c r="AS148" s="8">
        <f>+MINVU_Mes_Corriente!AS148*SALUD_Mes_Constante!$AP$1</f>
        <v>621187.36264033546</v>
      </c>
      <c r="AT148" s="8">
        <f>+MINVU_Mes_Corriente!AT148*SALUD_Mes_Constante!$AP$1</f>
        <v>621187.36264033546</v>
      </c>
      <c r="AU148" s="8">
        <f>+MINVU_Mes_Corriente!AU148*SALUD_Mes_Constante!$AP$1</f>
        <v>621187.36264033546</v>
      </c>
      <c r="AV148" s="8">
        <f>+MINVU_Mes_Corriente!AV148*SALUD_Mes_Constante!$AP$1</f>
        <v>621187.36264033546</v>
      </c>
      <c r="AW148" s="8">
        <f>+MINVU_Mes_Corriente!AW148*SALUD_Mes_Constante!$AP$1</f>
        <v>621187.36264033546</v>
      </c>
      <c r="AX148" s="8">
        <f>+MINVU_Mes_Corriente!AX148*SALUD_Mes_Constante!$AP$1</f>
        <v>621187.36264033546</v>
      </c>
      <c r="AY148" s="8">
        <f>+MINVU_Mes_Corriente!AY148*SALUD_Mes_Constante!$AP$1</f>
        <v>621187.36264033546</v>
      </c>
      <c r="AZ148" s="8">
        <f>+MINVU_Mes_Corriente!AZ148*SALUD_Mes_Constante!$AP$1</f>
        <v>621187.36264033546</v>
      </c>
      <c r="BA148" s="8">
        <f>+MINVU_Mes_Corriente!BA148*SALUD_Mes_Constante!$AP$1</f>
        <v>621187.36264033546</v>
      </c>
      <c r="BB148" s="9">
        <f t="shared" si="60"/>
        <v>621187.36264033546</v>
      </c>
      <c r="BC148" s="8">
        <f>+MINVU_Mes_Corriente!BC148*SALUD_Mes_Constante!$BC$1</f>
        <v>621368.52169326134</v>
      </c>
      <c r="BD148" s="8">
        <f>+MINVU_Mes_Corriente!BD148*SALUD_Mes_Constante!$BC$1</f>
        <v>621368.52169326134</v>
      </c>
      <c r="BE148" s="8">
        <f>+MINVU_Mes_Corriente!BE148*SALUD_Mes_Constante!$BC$1</f>
        <v>621368.52169326134</v>
      </c>
      <c r="BF148" s="8">
        <f>+MINVU_Mes_Corriente!BF148*SALUD_Mes_Constante!$BC$1</f>
        <v>621368.52169326134</v>
      </c>
      <c r="BG148" s="8">
        <f>+MINVU_Mes_Corriente!BG148*SALUD_Mes_Constante!$BC$1</f>
        <v>621368.52169326134</v>
      </c>
      <c r="BH148" s="8">
        <f>+MINVU_Mes_Corriente!BH148*SALUD_Mes_Constante!$BC$1</f>
        <v>621368.52169326134</v>
      </c>
      <c r="BI148" s="8">
        <f>+MINVU_Mes_Corriente!BI148*SALUD_Mes_Constante!$BC$1</f>
        <v>621368.52169326134</v>
      </c>
      <c r="BJ148" s="8">
        <f>+MINVU_Mes_Corriente!BJ148*SALUD_Mes_Constante!$BC$1</f>
        <v>621368.52169326134</v>
      </c>
      <c r="BK148" s="8">
        <f>+MINVU_Mes_Corriente!BK148*SALUD_Mes_Constante!$BC$1</f>
        <v>621368.52169326134</v>
      </c>
      <c r="BL148" s="8">
        <f>+MINVU_Mes_Corriente!BL148*SALUD_Mes_Constante!$BC$1</f>
        <v>621368.52169326134</v>
      </c>
      <c r="BM148" s="8">
        <f>+MINVU_Mes_Corriente!BM148*SALUD_Mes_Constante!$BC$1</f>
        <v>621368.52169326134</v>
      </c>
      <c r="BN148" s="8">
        <f>+MINVU_Mes_Corriente!BN148*SALUD_Mes_Constante!$BC$1</f>
        <v>621368.52169326134</v>
      </c>
      <c r="BO148" s="9">
        <f t="shared" si="61"/>
        <v>621368.52169326134</v>
      </c>
      <c r="BP148" s="8">
        <f>+MINVU_Mes_Corriente!BP148*SALUD_Mes_Constante!$BP$1</f>
        <v>0</v>
      </c>
      <c r="BQ148" s="8">
        <f>+MINVU_Mes_Corriente!BQ148*SALUD_Mes_Constante!$BP$1</f>
        <v>0</v>
      </c>
      <c r="BR148" s="8">
        <f>+MINVU_Mes_Corriente!BR148*SALUD_Mes_Constante!$BP$1</f>
        <v>0</v>
      </c>
      <c r="BS148" s="8">
        <f>+MINVU_Mes_Corriente!BS148*SALUD_Mes_Constante!$BP$1</f>
        <v>0</v>
      </c>
      <c r="BT148" s="8">
        <f>+MINVU_Mes_Corriente!BT148*SALUD_Mes_Constante!$BP$1</f>
        <v>0</v>
      </c>
      <c r="BU148" s="8">
        <f>+MINVU_Mes_Corriente!BU148*SALUD_Mes_Constante!$BP$1</f>
        <v>0</v>
      </c>
      <c r="BV148" s="8">
        <f>+MINVU_Mes_Corriente!BV148*SALUD_Mes_Constante!$BP$1</f>
        <v>0</v>
      </c>
      <c r="BW148" s="8">
        <f>+MINVU_Mes_Corriente!BW148*SALUD_Mes_Constante!$BP$1</f>
        <v>0</v>
      </c>
      <c r="BX148" s="8">
        <f>+MINVU_Mes_Corriente!BX148*SALUD_Mes_Constante!$BP$1</f>
        <v>0</v>
      </c>
      <c r="BY148" s="8">
        <f>+MINVU_Mes_Corriente!BY148*SALUD_Mes_Constante!$BP$1</f>
        <v>0</v>
      </c>
      <c r="BZ148" s="8">
        <f>+MINVU_Mes_Corriente!BZ148*SALUD_Mes_Constante!$BP$1</f>
        <v>0</v>
      </c>
      <c r="CA148" s="8">
        <f>+MINVU_Mes_Corriente!CA148*SALUD_Mes_Constante!$BP$1</f>
        <v>0</v>
      </c>
      <c r="CB148" s="9">
        <f t="shared" si="62"/>
        <v>0</v>
      </c>
      <c r="CC148" s="8">
        <f>+MINVU_Mes_Corriente!CC148*SALUD_Mes_Constante!$CC$1</f>
        <v>191739.54942185755</v>
      </c>
      <c r="CD148" s="8">
        <f>+MINVU_Mes_Corriente!CD148*SALUD_Mes_Constante!$CC$1</f>
        <v>191739.54942185755</v>
      </c>
      <c r="CE148" s="8">
        <f>+MINVU_Mes_Corriente!CE148*SALUD_Mes_Constante!$CC$1</f>
        <v>191739.54942185755</v>
      </c>
      <c r="CF148" s="8">
        <f>+MINVU_Mes_Corriente!CF148*SALUD_Mes_Constante!$CC$1</f>
        <v>191739.54942185755</v>
      </c>
      <c r="CG148" s="8">
        <f>+MINVU_Mes_Corriente!CG148*SALUD_Mes_Constante!$CC$1</f>
        <v>191739.54942185755</v>
      </c>
      <c r="CH148" s="8">
        <f>+MINVU_Mes_Corriente!CH148*SALUD_Mes_Constante!$CC$1</f>
        <v>191739.54942185755</v>
      </c>
      <c r="CI148" s="8">
        <f>+MINVU_Mes_Corriente!CI148*SALUD_Mes_Constante!$CC$1</f>
        <v>191739.54942185755</v>
      </c>
      <c r="CJ148" s="8">
        <f>+MINVU_Mes_Corriente!CJ148*SALUD_Mes_Constante!$CC$1</f>
        <v>191739.54942185755</v>
      </c>
      <c r="CK148" s="8">
        <f>+MINVU_Mes_Corriente!CK148*SALUD_Mes_Constante!$CC$1</f>
        <v>191739.54942185755</v>
      </c>
      <c r="CL148" s="8">
        <f>+MINVU_Mes_Corriente!CL148*SALUD_Mes_Constante!$CC$1</f>
        <v>191739.54942185755</v>
      </c>
      <c r="CM148" s="8">
        <f>+MINVU_Mes_Corriente!CM148*SALUD_Mes_Constante!$CC$1</f>
        <v>191739.54942185755</v>
      </c>
      <c r="CN148" s="8">
        <f>+MINVU_Mes_Corriente!CN148*SALUD_Mes_Constante!$CC$1</f>
        <v>191739.54942185755</v>
      </c>
      <c r="CO148" s="9">
        <f t="shared" si="63"/>
        <v>191739.54942185755</v>
      </c>
      <c r="CP148" s="8">
        <f>+MINVU_Mes_Corriente!CP148*SALUD_Mes_Constante!$CP$1</f>
        <v>784598.34153132234</v>
      </c>
      <c r="CQ148" s="8">
        <f>+MINVU_Mes_Corriente!CQ148*SALUD_Mes_Constante!$CP$1</f>
        <v>784598.34153132234</v>
      </c>
      <c r="CR148" s="8">
        <f>+MINVU_Mes_Corriente!CR148*SALUD_Mes_Constante!$CP$1</f>
        <v>784598.34153132234</v>
      </c>
      <c r="CS148" s="8">
        <f>+MINVU_Mes_Corriente!CS148*SALUD_Mes_Constante!$CP$1</f>
        <v>784598.34153132234</v>
      </c>
      <c r="CT148" s="8">
        <f>+MINVU_Mes_Corriente!CT148*SALUD_Mes_Constante!$CP$1</f>
        <v>784598.34153132234</v>
      </c>
      <c r="CU148" s="8">
        <f>+MINVU_Mes_Corriente!CU148*SALUD_Mes_Constante!$CP$1</f>
        <v>784598.34153132234</v>
      </c>
      <c r="CV148" s="8">
        <f>+MINVU_Mes_Corriente!CV148*SALUD_Mes_Constante!$CP$1</f>
        <v>784598.34153132234</v>
      </c>
      <c r="CW148" s="8">
        <f>+MINVU_Mes_Corriente!CW148*SALUD_Mes_Constante!$CP$1</f>
        <v>784598.34153132234</v>
      </c>
      <c r="CX148" s="8">
        <f>+MINVU_Mes_Corriente!CX148*SALUD_Mes_Constante!$CP$1</f>
        <v>784598.34153132234</v>
      </c>
      <c r="CY148" s="8">
        <f>+MINVU_Mes_Corriente!CY148*SALUD_Mes_Constante!$CP$1</f>
        <v>784598.34153132234</v>
      </c>
      <c r="CZ148" s="8">
        <f>+MINVU_Mes_Corriente!CZ148*SALUD_Mes_Constante!$CP$1</f>
        <v>784598.34153132234</v>
      </c>
      <c r="DA148" s="8">
        <f>+MINVU_Mes_Corriente!DA148*SALUD_Mes_Constante!$CP$1</f>
        <v>784598.34153132234</v>
      </c>
      <c r="DB148" s="9">
        <f t="shared" si="64"/>
        <v>784598.34153132234</v>
      </c>
      <c r="DC148" s="8">
        <f>+MINVU_Mes_Corriente!DC148*SALUD_Mes_Constante!$DC$1</f>
        <v>944984.91821829078</v>
      </c>
      <c r="DD148" s="8">
        <f>+MINVU_Mes_Corriente!DD148*SALUD_Mes_Constante!$DC$1</f>
        <v>944984.91821829078</v>
      </c>
      <c r="DE148" s="8">
        <f>+MINVU_Mes_Corriente!DE148*SALUD_Mes_Constante!$DC$1</f>
        <v>944984.91821829078</v>
      </c>
      <c r="DF148" s="8">
        <f>+MINVU_Mes_Corriente!DF148*SALUD_Mes_Constante!$DC$1</f>
        <v>944984.91821829078</v>
      </c>
      <c r="DG148" s="8">
        <f>+MINVU_Mes_Corriente!DG148*SALUD_Mes_Constante!$DC$1</f>
        <v>944984.91821829078</v>
      </c>
      <c r="DH148" s="8">
        <f>+MINVU_Mes_Corriente!DH148*SALUD_Mes_Constante!$DC$1</f>
        <v>944984.91821829078</v>
      </c>
      <c r="DI148" s="8">
        <f>+MINVU_Mes_Corriente!DI148*SALUD_Mes_Constante!$DC$1</f>
        <v>944984.91821829078</v>
      </c>
      <c r="DJ148" s="8">
        <f>+MINVU_Mes_Corriente!DJ148*SALUD_Mes_Constante!$DC$1</f>
        <v>944984.91821829078</v>
      </c>
      <c r="DK148" s="8">
        <f>+MINVU_Mes_Corriente!DK148*SALUD_Mes_Constante!$DC$1</f>
        <v>944984.91821829078</v>
      </c>
      <c r="DL148" s="8">
        <f>+MINVU_Mes_Corriente!DL148*SALUD_Mes_Constante!$DC$1</f>
        <v>944984.91821829078</v>
      </c>
      <c r="DM148" s="8">
        <f>+MINVU_Mes_Corriente!DM148*SALUD_Mes_Constante!$DC$1</f>
        <v>944984.91821829078</v>
      </c>
      <c r="DN148" s="8">
        <f>+MINVU_Mes_Corriente!DN148*SALUD_Mes_Constante!$DC$1</f>
        <v>944984.91821829078</v>
      </c>
      <c r="DO148" s="9">
        <f t="shared" si="65"/>
        <v>944984.91821829078</v>
      </c>
      <c r="DP148" s="8">
        <f>+MINVU_Mes_Corriente!DP148*SALUD_Mes_Constante!$DP$1</f>
        <v>966441.68230403808</v>
      </c>
      <c r="DQ148" s="8">
        <f>+MINVU_Mes_Corriente!DQ148*SALUD_Mes_Constante!$DP$1</f>
        <v>966441.68230403808</v>
      </c>
      <c r="DR148" s="8">
        <f>+MINVU_Mes_Corriente!DR148*SALUD_Mes_Constante!$DP$1</f>
        <v>966441.68230403808</v>
      </c>
      <c r="DS148" s="8">
        <f>+MINVU_Mes_Corriente!DS148*SALUD_Mes_Constante!$DP$1</f>
        <v>966441.68230403808</v>
      </c>
      <c r="DT148" s="8">
        <f>+MINVU_Mes_Corriente!DT148*SALUD_Mes_Constante!$DP$1</f>
        <v>966441.68230403808</v>
      </c>
      <c r="DU148" s="8">
        <f>+MINVU_Mes_Corriente!DU148*SALUD_Mes_Constante!$DP$1</f>
        <v>966441.68230403808</v>
      </c>
      <c r="DV148" s="8">
        <f>+MINVU_Mes_Corriente!DV148*SALUD_Mes_Constante!$DP$1</f>
        <v>966441.68230403808</v>
      </c>
      <c r="DW148" s="8">
        <f>+MINVU_Mes_Corriente!DW148*SALUD_Mes_Constante!$DP$1</f>
        <v>966441.68230403808</v>
      </c>
      <c r="DX148" s="8">
        <f>+MINVU_Mes_Corriente!DX148*SALUD_Mes_Constante!$DP$1</f>
        <v>966441.68230403808</v>
      </c>
      <c r="DY148" s="8">
        <f>+MINVU_Mes_Corriente!DY148*SALUD_Mes_Constante!$DP$1</f>
        <v>966441.68230403808</v>
      </c>
      <c r="DZ148" s="8">
        <f>+MINVU_Mes_Corriente!DZ148*SALUD_Mes_Constante!$DP$1</f>
        <v>966441.68230403808</v>
      </c>
      <c r="EA148" s="8">
        <f>+MINVU_Mes_Corriente!EA148*SALUD_Mes_Constante!$DP$1</f>
        <v>966441.68230403808</v>
      </c>
      <c r="EB148" s="9">
        <f t="shared" si="66"/>
        <v>966441.68230403808</v>
      </c>
      <c r="EC148" s="8">
        <f>+MINVU_Mes_Corriente!EC148*SALUD_Mes_Constante!$EC$1</f>
        <v>846833.27456921013</v>
      </c>
      <c r="ED148" s="8">
        <f>+MINVU_Mes_Corriente!ED148*SALUD_Mes_Constante!$EC$1</f>
        <v>846833.27456921013</v>
      </c>
      <c r="EE148" s="8">
        <f>+MINVU_Mes_Corriente!EE148*SALUD_Mes_Constante!$EC$1</f>
        <v>846833.27456921013</v>
      </c>
      <c r="EF148" s="8">
        <f>+MINVU_Mes_Corriente!EF148*SALUD_Mes_Constante!$EC$1</f>
        <v>846833.27456921013</v>
      </c>
      <c r="EG148" s="8">
        <f>+MINVU_Mes_Corriente!EG148*SALUD_Mes_Constante!$EC$1</f>
        <v>846833.27456921013</v>
      </c>
      <c r="EH148" s="8">
        <f>+MINVU_Mes_Corriente!EH148*SALUD_Mes_Constante!$EC$1</f>
        <v>846833.27456921013</v>
      </c>
      <c r="EI148" s="8">
        <f>+MINVU_Mes_Corriente!EI148*SALUD_Mes_Constante!$EC$1</f>
        <v>846833.27456921013</v>
      </c>
      <c r="EJ148" s="8">
        <f>+MINVU_Mes_Corriente!EJ148*SALUD_Mes_Constante!$EC$1</f>
        <v>846833.27456921013</v>
      </c>
      <c r="EK148" s="8">
        <f>+MINVU_Mes_Corriente!EK148*SALUD_Mes_Constante!$EC$1</f>
        <v>846833.27456921013</v>
      </c>
      <c r="EL148" s="8">
        <f>+MINVU_Mes_Corriente!EL148*SALUD_Mes_Constante!$EC$1</f>
        <v>846833.27456921013</v>
      </c>
      <c r="EM148" s="8">
        <f>+MINVU_Mes_Corriente!EM148*SALUD_Mes_Constante!$EC$1</f>
        <v>846833.27456921013</v>
      </c>
      <c r="EN148" s="8">
        <f>+MINVU_Mes_Corriente!EN148*SALUD_Mes_Constante!$EC$1</f>
        <v>846833.27456921013</v>
      </c>
      <c r="EO148" s="9">
        <f t="shared" si="67"/>
        <v>846833.27456921013</v>
      </c>
      <c r="EP148" s="8">
        <f>+MINVU_Mes_Corriente!EP148*SALUD_Mes_Constante!$EP$1</f>
        <v>853004</v>
      </c>
      <c r="EQ148" s="8">
        <f>+MINVU_Mes_Corriente!EQ148*SALUD_Mes_Constante!$EP$1</f>
        <v>853004</v>
      </c>
      <c r="ER148" s="8">
        <f>+MINVU_Mes_Corriente!ER148*SALUD_Mes_Constante!$EP$1</f>
        <v>853004</v>
      </c>
      <c r="ES148" s="8">
        <f>+MINVU_Mes_Corriente!ES148*SALUD_Mes_Constante!$EP$1</f>
        <v>853004</v>
      </c>
      <c r="ET148" s="8">
        <f>+MINVU_Mes_Corriente!ET148*SALUD_Mes_Constante!$EP$1</f>
        <v>853004</v>
      </c>
      <c r="EU148" s="8">
        <f>+MINVU_Mes_Corriente!EU148*SALUD_Mes_Constante!$EP$1</f>
        <v>853004</v>
      </c>
      <c r="EV148" s="8">
        <f>+MINVU_Mes_Corriente!EV148*SALUD_Mes_Constante!$EP$1</f>
        <v>853004</v>
      </c>
      <c r="EW148" s="8">
        <f>+MINVU_Mes_Corriente!EW148*SALUD_Mes_Constante!$EP$1</f>
        <v>853004</v>
      </c>
      <c r="EX148" s="8">
        <f>+MINVU_Mes_Corriente!EX148*SALUD_Mes_Constante!$EP$1</f>
        <v>853004</v>
      </c>
      <c r="EY148" s="8">
        <f>+MINVU_Mes_Corriente!EY148*SALUD_Mes_Constante!$EP$1</f>
        <v>853004</v>
      </c>
      <c r="EZ148" s="8">
        <f>+MINVU_Mes_Corriente!EZ148*SALUD_Mes_Constante!$EP$1</f>
        <v>853004</v>
      </c>
      <c r="FA148" s="8">
        <f>+MINVU_Mes_Corriente!FA148*SALUD_Mes_Constante!$EP$1</f>
        <v>853004</v>
      </c>
      <c r="FB148" s="9">
        <f t="shared" si="68"/>
        <v>853004</v>
      </c>
      <c r="FC148" s="8">
        <f>+MINVU_Mes_Corriente!FC148*SALUD_Mes_Constante!$FC$1</f>
        <v>879447</v>
      </c>
      <c r="FD148" s="8">
        <f>+MINVU_Mes_Corriente!FD148*SALUD_Mes_Constante!$FC$1</f>
        <v>879447</v>
      </c>
      <c r="FE148" s="8">
        <f>+MINVU_Mes_Corriente!FE148*SALUD_Mes_Constante!$FC$1</f>
        <v>879447</v>
      </c>
      <c r="FF148" s="8">
        <f>+MINVU_Mes_Corriente!FF148*SALUD_Mes_Constante!$FC$1</f>
        <v>879447</v>
      </c>
      <c r="FG148" s="8">
        <f>+MINVU_Mes_Corriente!FG148*SALUD_Mes_Constante!$FC$1</f>
        <v>879447</v>
      </c>
      <c r="FH148" s="8">
        <f>+MINVU_Mes_Corriente!FH148*SALUD_Mes_Constante!$FC$1</f>
        <v>879447</v>
      </c>
      <c r="FI148" s="8">
        <f>+MINVU_Mes_Corriente!FI148*SALUD_Mes_Constante!$FC$1</f>
        <v>879447</v>
      </c>
      <c r="FJ148" s="8"/>
      <c r="FK148" s="8"/>
      <c r="FL148" s="8"/>
      <c r="FM148" s="8"/>
      <c r="FN148" s="8"/>
      <c r="FO148" s="9">
        <f t="shared" si="69"/>
        <v>879447</v>
      </c>
    </row>
    <row r="149" spans="2:171" ht="14.25" customHeight="1" x14ac:dyDescent="0.3">
      <c r="B149" s="35" t="s">
        <v>73</v>
      </c>
      <c r="C149" s="8">
        <f>+MINVU_Mes_Corriente!C149*SALUD_Mes_Constante!$C$1</f>
        <v>866845.15052647202</v>
      </c>
      <c r="D149" s="8">
        <f>+MINVU_Mes_Corriente!D149*SALUD_Mes_Constante!$C$1</f>
        <v>866845.15052647202</v>
      </c>
      <c r="E149" s="8">
        <f>+MINVU_Mes_Corriente!E149*SALUD_Mes_Constante!$C$1</f>
        <v>866845.15052647202</v>
      </c>
      <c r="F149" s="8">
        <f>+MINVU_Mes_Corriente!F149*SALUD_Mes_Constante!$C$1</f>
        <v>866845.15052647202</v>
      </c>
      <c r="G149" s="8">
        <f>+MINVU_Mes_Corriente!G149*SALUD_Mes_Constante!$C$1</f>
        <v>866845.15052647202</v>
      </c>
      <c r="H149" s="8">
        <f>+MINVU_Mes_Corriente!H149*SALUD_Mes_Constante!$C$1</f>
        <v>866845.15052647202</v>
      </c>
      <c r="I149" s="8">
        <f>+MINVU_Mes_Corriente!I149*SALUD_Mes_Constante!$C$1</f>
        <v>866845.15052647202</v>
      </c>
      <c r="J149" s="8">
        <f>+MINVU_Mes_Corriente!J149*SALUD_Mes_Constante!$C$1</f>
        <v>866845.15052647202</v>
      </c>
      <c r="K149" s="8">
        <f>+MINVU_Mes_Corriente!K149*SALUD_Mes_Constante!$C$1</f>
        <v>866845.15052647202</v>
      </c>
      <c r="L149" s="8">
        <f>+MINVU_Mes_Corriente!L149*SALUD_Mes_Constante!$C$1</f>
        <v>866845.15052647202</v>
      </c>
      <c r="M149" s="8">
        <f>+MINVU_Mes_Corriente!M149*SALUD_Mes_Constante!$C$1</f>
        <v>866845.15052647202</v>
      </c>
      <c r="N149" s="8">
        <f>+MINVU_Mes_Corriente!N149*SALUD_Mes_Constante!$C$1</f>
        <v>866845.15052647202</v>
      </c>
      <c r="O149" s="9">
        <f t="shared" si="57"/>
        <v>866845.15052647202</v>
      </c>
      <c r="P149" s="8">
        <f>+MINVU_Mes_Corriente!P149*SALUD_Mes_Constante!$P$1</f>
        <v>553950.83875550481</v>
      </c>
      <c r="Q149" s="8">
        <f>+MINVU_Mes_Corriente!Q149*SALUD_Mes_Constante!$P$1</f>
        <v>553950.83875550481</v>
      </c>
      <c r="R149" s="8">
        <f>+MINVU_Mes_Corriente!R149*SALUD_Mes_Constante!$P$1</f>
        <v>553950.83875550481</v>
      </c>
      <c r="S149" s="8">
        <f>+MINVU_Mes_Corriente!S149*SALUD_Mes_Constante!$P$1</f>
        <v>553950.83875550481</v>
      </c>
      <c r="T149" s="8">
        <f>+MINVU_Mes_Corriente!T149*SALUD_Mes_Constante!$P$1</f>
        <v>553950.83875550481</v>
      </c>
      <c r="U149" s="8">
        <f>+MINVU_Mes_Corriente!U149*SALUD_Mes_Constante!$P$1</f>
        <v>553950.83875550481</v>
      </c>
      <c r="V149" s="8">
        <f>+MINVU_Mes_Corriente!V149*SALUD_Mes_Constante!$P$1</f>
        <v>553950.83875550481</v>
      </c>
      <c r="W149" s="8">
        <f>+MINVU_Mes_Corriente!W149*SALUD_Mes_Constante!$P$1</f>
        <v>553950.83875550481</v>
      </c>
      <c r="X149" s="8">
        <f>+MINVU_Mes_Corriente!X149*SALUD_Mes_Constante!$P$1</f>
        <v>553950.83875550481</v>
      </c>
      <c r="Y149" s="8">
        <f>+MINVU_Mes_Corriente!Y149*SALUD_Mes_Constante!$P$1</f>
        <v>553950.83875550481</v>
      </c>
      <c r="Z149" s="8">
        <f>+MINVU_Mes_Corriente!Z149*SALUD_Mes_Constante!$P$1</f>
        <v>553950.83875550481</v>
      </c>
      <c r="AA149" s="8">
        <f>+MINVU_Mes_Corriente!AA149*SALUD_Mes_Constante!$P$1</f>
        <v>553950.83875550481</v>
      </c>
      <c r="AB149" s="9">
        <f t="shared" si="58"/>
        <v>553950.83875550481</v>
      </c>
      <c r="AC149" s="8">
        <f>+MINVU_Mes_Corriente!AC149*SALUD_Mes_Constante!$AC$1</f>
        <v>559887.59717803297</v>
      </c>
      <c r="AD149" s="8">
        <f>+MINVU_Mes_Corriente!AD149*SALUD_Mes_Constante!$AC$1</f>
        <v>559887.59717803297</v>
      </c>
      <c r="AE149" s="8">
        <f>+MINVU_Mes_Corriente!AE149*SALUD_Mes_Constante!$AC$1</f>
        <v>559887.59717803297</v>
      </c>
      <c r="AF149" s="8">
        <f>+MINVU_Mes_Corriente!AF149*SALUD_Mes_Constante!$AC$1</f>
        <v>559887.59717803297</v>
      </c>
      <c r="AG149" s="8">
        <f>+MINVU_Mes_Corriente!AG149*SALUD_Mes_Constante!$AC$1</f>
        <v>559887.59717803297</v>
      </c>
      <c r="AH149" s="8">
        <f>+MINVU_Mes_Corriente!AH149*SALUD_Mes_Constante!$AC$1</f>
        <v>559887.59717803297</v>
      </c>
      <c r="AI149" s="8">
        <f>+MINVU_Mes_Corriente!AI149*SALUD_Mes_Constante!$AC$1</f>
        <v>559887.59717803297</v>
      </c>
      <c r="AJ149" s="8">
        <f>+MINVU_Mes_Corriente!AJ149*SALUD_Mes_Constante!$AC$1</f>
        <v>559887.59717803297</v>
      </c>
      <c r="AK149" s="8">
        <f>+MINVU_Mes_Corriente!AK149*SALUD_Mes_Constante!$AC$1</f>
        <v>559887.59717803297</v>
      </c>
      <c r="AL149" s="8">
        <f>+MINVU_Mes_Corriente!AL149*SALUD_Mes_Constante!$AC$1</f>
        <v>559887.59717803297</v>
      </c>
      <c r="AM149" s="8">
        <f>+MINVU_Mes_Corriente!AM149*SALUD_Mes_Constante!$AC$1</f>
        <v>559887.59717803297</v>
      </c>
      <c r="AN149" s="8">
        <f>+MINVU_Mes_Corriente!AN149*SALUD_Mes_Constante!$AC$1</f>
        <v>559887.59717803297</v>
      </c>
      <c r="AO149" s="9">
        <f t="shared" si="59"/>
        <v>559887.59717803297</v>
      </c>
      <c r="AP149" s="8">
        <f>+MINVU_Mes_Corriente!AP149*SALUD_Mes_Constante!$AP$1</f>
        <v>563891.25902881101</v>
      </c>
      <c r="AQ149" s="8">
        <f>+MINVU_Mes_Corriente!AQ149*SALUD_Mes_Constante!$AP$1</f>
        <v>563891.25902881101</v>
      </c>
      <c r="AR149" s="8">
        <f>+MINVU_Mes_Corriente!AR149*SALUD_Mes_Constante!$AP$1</f>
        <v>563891.25902881101</v>
      </c>
      <c r="AS149" s="8">
        <f>+MINVU_Mes_Corriente!AS149*SALUD_Mes_Constante!$AP$1</f>
        <v>563891.25902881101</v>
      </c>
      <c r="AT149" s="8">
        <f>+MINVU_Mes_Corriente!AT149*SALUD_Mes_Constante!$AP$1</f>
        <v>563891.25902881101</v>
      </c>
      <c r="AU149" s="8">
        <f>+MINVU_Mes_Corriente!AU149*SALUD_Mes_Constante!$AP$1</f>
        <v>563891.25902881101</v>
      </c>
      <c r="AV149" s="8">
        <f>+MINVU_Mes_Corriente!AV149*SALUD_Mes_Constante!$AP$1</f>
        <v>563891.25902881101</v>
      </c>
      <c r="AW149" s="8">
        <f>+MINVU_Mes_Corriente!AW149*SALUD_Mes_Constante!$AP$1</f>
        <v>563891.25902881101</v>
      </c>
      <c r="AX149" s="8">
        <f>+MINVU_Mes_Corriente!AX149*SALUD_Mes_Constante!$AP$1</f>
        <v>563891.25902881101</v>
      </c>
      <c r="AY149" s="8">
        <f>+MINVU_Mes_Corriente!AY149*SALUD_Mes_Constante!$AP$1</f>
        <v>563891.25902881101</v>
      </c>
      <c r="AZ149" s="8">
        <f>+MINVU_Mes_Corriente!AZ149*SALUD_Mes_Constante!$AP$1</f>
        <v>563891.25902881101</v>
      </c>
      <c r="BA149" s="8">
        <f>+MINVU_Mes_Corriente!BA149*SALUD_Mes_Constante!$AP$1</f>
        <v>563891.25902881101</v>
      </c>
      <c r="BB149" s="9">
        <f t="shared" si="60"/>
        <v>563891.25902881101</v>
      </c>
      <c r="BC149" s="8">
        <f>+MINVU_Mes_Corriente!BC149*SALUD_Mes_Constante!$BC$1</f>
        <v>564039.8011341159</v>
      </c>
      <c r="BD149" s="8">
        <f>+MINVU_Mes_Corriente!BD149*SALUD_Mes_Constante!$BC$1</f>
        <v>564039.8011341159</v>
      </c>
      <c r="BE149" s="8">
        <f>+MINVU_Mes_Corriente!BE149*SALUD_Mes_Constante!$BC$1</f>
        <v>564039.8011341159</v>
      </c>
      <c r="BF149" s="8">
        <f>+MINVU_Mes_Corriente!BF149*SALUD_Mes_Constante!$BC$1</f>
        <v>564039.8011341159</v>
      </c>
      <c r="BG149" s="8">
        <f>+MINVU_Mes_Corriente!BG149*SALUD_Mes_Constante!$BC$1</f>
        <v>564039.8011341159</v>
      </c>
      <c r="BH149" s="8">
        <f>+MINVU_Mes_Corriente!BH149*SALUD_Mes_Constante!$BC$1</f>
        <v>564039.8011341159</v>
      </c>
      <c r="BI149" s="8">
        <f>+MINVU_Mes_Corriente!BI149*SALUD_Mes_Constante!$BC$1</f>
        <v>564039.8011341159</v>
      </c>
      <c r="BJ149" s="8">
        <f>+MINVU_Mes_Corriente!BJ149*SALUD_Mes_Constante!$BC$1</f>
        <v>564039.8011341159</v>
      </c>
      <c r="BK149" s="8">
        <f>+MINVU_Mes_Corriente!BK149*SALUD_Mes_Constante!$BC$1</f>
        <v>564039.8011341159</v>
      </c>
      <c r="BL149" s="8">
        <f>+MINVU_Mes_Corriente!BL149*SALUD_Mes_Constante!$BC$1</f>
        <v>564039.8011341159</v>
      </c>
      <c r="BM149" s="8">
        <f>+MINVU_Mes_Corriente!BM149*SALUD_Mes_Constante!$BC$1</f>
        <v>564039.8011341159</v>
      </c>
      <c r="BN149" s="8">
        <f>+MINVU_Mes_Corriente!BN149*SALUD_Mes_Constante!$BC$1</f>
        <v>564039.8011341159</v>
      </c>
      <c r="BO149" s="9">
        <f t="shared" si="61"/>
        <v>564039.8011341159</v>
      </c>
      <c r="BP149" s="8">
        <f>+MINVU_Mes_Corriente!BP149*SALUD_Mes_Constante!$BP$1</f>
        <v>0</v>
      </c>
      <c r="BQ149" s="8">
        <f>+MINVU_Mes_Corriente!BQ149*SALUD_Mes_Constante!$BP$1</f>
        <v>0</v>
      </c>
      <c r="BR149" s="8">
        <f>+MINVU_Mes_Corriente!BR149*SALUD_Mes_Constante!$BP$1</f>
        <v>0</v>
      </c>
      <c r="BS149" s="8">
        <f>+MINVU_Mes_Corriente!BS149*SALUD_Mes_Constante!$BP$1</f>
        <v>0</v>
      </c>
      <c r="BT149" s="8">
        <f>+MINVU_Mes_Corriente!BT149*SALUD_Mes_Constante!$BP$1</f>
        <v>0</v>
      </c>
      <c r="BU149" s="8">
        <f>+MINVU_Mes_Corriente!BU149*SALUD_Mes_Constante!$BP$1</f>
        <v>0</v>
      </c>
      <c r="BV149" s="8">
        <f>+MINVU_Mes_Corriente!BV149*SALUD_Mes_Constante!$BP$1</f>
        <v>0</v>
      </c>
      <c r="BW149" s="8">
        <f>+MINVU_Mes_Corriente!BW149*SALUD_Mes_Constante!$BP$1</f>
        <v>0</v>
      </c>
      <c r="BX149" s="8">
        <f>+MINVU_Mes_Corriente!BX149*SALUD_Mes_Constante!$BP$1</f>
        <v>0</v>
      </c>
      <c r="BY149" s="8">
        <f>+MINVU_Mes_Corriente!BY149*SALUD_Mes_Constante!$BP$1</f>
        <v>0</v>
      </c>
      <c r="BZ149" s="8">
        <f>+MINVU_Mes_Corriente!BZ149*SALUD_Mes_Constante!$BP$1</f>
        <v>0</v>
      </c>
      <c r="CA149" s="8">
        <f>+MINVU_Mes_Corriente!CA149*SALUD_Mes_Constante!$BP$1</f>
        <v>0</v>
      </c>
      <c r="CB149" s="9">
        <f t="shared" si="62"/>
        <v>0</v>
      </c>
      <c r="CC149" s="8">
        <f>+MINVU_Mes_Corriente!CC149*SALUD_Mes_Constante!$CC$1</f>
        <v>261889.82170831782</v>
      </c>
      <c r="CD149" s="8">
        <f>+MINVU_Mes_Corriente!CD149*SALUD_Mes_Constante!$CC$1</f>
        <v>261889.82170831782</v>
      </c>
      <c r="CE149" s="8">
        <f>+MINVU_Mes_Corriente!CE149*SALUD_Mes_Constante!$CC$1</f>
        <v>261889.82170831782</v>
      </c>
      <c r="CF149" s="8">
        <f>+MINVU_Mes_Corriente!CF149*SALUD_Mes_Constante!$CC$1</f>
        <v>261889.82170831782</v>
      </c>
      <c r="CG149" s="8">
        <f>+MINVU_Mes_Corriente!CG149*SALUD_Mes_Constante!$CC$1</f>
        <v>261889.82170831782</v>
      </c>
      <c r="CH149" s="8">
        <f>+MINVU_Mes_Corriente!CH149*SALUD_Mes_Constante!$CC$1</f>
        <v>261889.82170831782</v>
      </c>
      <c r="CI149" s="8">
        <f>+MINVU_Mes_Corriente!CI149*SALUD_Mes_Constante!$CC$1</f>
        <v>261889.82170831782</v>
      </c>
      <c r="CJ149" s="8">
        <f>+MINVU_Mes_Corriente!CJ149*SALUD_Mes_Constante!$CC$1</f>
        <v>261889.82170831782</v>
      </c>
      <c r="CK149" s="8">
        <f>+MINVU_Mes_Corriente!CK149*SALUD_Mes_Constante!$CC$1</f>
        <v>261889.82170831782</v>
      </c>
      <c r="CL149" s="8">
        <f>+MINVU_Mes_Corriente!CL149*SALUD_Mes_Constante!$CC$1</f>
        <v>261889.82170831782</v>
      </c>
      <c r="CM149" s="8">
        <f>+MINVU_Mes_Corriente!CM149*SALUD_Mes_Constante!$CC$1</f>
        <v>261889.82170831782</v>
      </c>
      <c r="CN149" s="8">
        <f>+MINVU_Mes_Corriente!CN149*SALUD_Mes_Constante!$CC$1</f>
        <v>261889.82170831782</v>
      </c>
      <c r="CO149" s="9">
        <f t="shared" si="63"/>
        <v>261889.82170831782</v>
      </c>
      <c r="CP149" s="8">
        <f>+MINVU_Mes_Corriente!CP149*SALUD_Mes_Constante!$CP$1</f>
        <v>1054429.9809744777</v>
      </c>
      <c r="CQ149" s="8">
        <f>+MINVU_Mes_Corriente!CQ149*SALUD_Mes_Constante!$CP$1</f>
        <v>1054429.9809744777</v>
      </c>
      <c r="CR149" s="8">
        <f>+MINVU_Mes_Corriente!CR149*SALUD_Mes_Constante!$CP$1</f>
        <v>1054429.9809744777</v>
      </c>
      <c r="CS149" s="8">
        <f>+MINVU_Mes_Corriente!CS149*SALUD_Mes_Constante!$CP$1</f>
        <v>1054429.9809744777</v>
      </c>
      <c r="CT149" s="8">
        <f>+MINVU_Mes_Corriente!CT149*SALUD_Mes_Constante!$CP$1</f>
        <v>1054429.9809744777</v>
      </c>
      <c r="CU149" s="8">
        <f>+MINVU_Mes_Corriente!CU149*SALUD_Mes_Constante!$CP$1</f>
        <v>1054429.9809744777</v>
      </c>
      <c r="CV149" s="8">
        <f>+MINVU_Mes_Corriente!CV149*SALUD_Mes_Constante!$CP$1</f>
        <v>1054429.9809744777</v>
      </c>
      <c r="CW149" s="8">
        <f>+MINVU_Mes_Corriente!CW149*SALUD_Mes_Constante!$CP$1</f>
        <v>1054429.9809744777</v>
      </c>
      <c r="CX149" s="8">
        <f>+MINVU_Mes_Corriente!CX149*SALUD_Mes_Constante!$CP$1</f>
        <v>1054429.9809744777</v>
      </c>
      <c r="CY149" s="8">
        <f>+MINVU_Mes_Corriente!CY149*SALUD_Mes_Constante!$CP$1</f>
        <v>1054429.9809744777</v>
      </c>
      <c r="CZ149" s="8">
        <f>+MINVU_Mes_Corriente!CZ149*SALUD_Mes_Constante!$CP$1</f>
        <v>1054429.9809744777</v>
      </c>
      <c r="DA149" s="8">
        <f>+MINVU_Mes_Corriente!DA149*SALUD_Mes_Constante!$CP$1</f>
        <v>1054429.9809744777</v>
      </c>
      <c r="DB149" s="9">
        <f t="shared" si="64"/>
        <v>1054429.9809744777</v>
      </c>
      <c r="DC149" s="8">
        <f>+MINVU_Mes_Corriente!DC149*SALUD_Mes_Constante!$DC$1</f>
        <v>1263600.1610945382</v>
      </c>
      <c r="DD149" s="8">
        <f>+MINVU_Mes_Corriente!DD149*SALUD_Mes_Constante!$DC$1</f>
        <v>1263600.1610945382</v>
      </c>
      <c r="DE149" s="8">
        <f>+MINVU_Mes_Corriente!DE149*SALUD_Mes_Constante!$DC$1</f>
        <v>1263600.1610945382</v>
      </c>
      <c r="DF149" s="8">
        <f>+MINVU_Mes_Corriente!DF149*SALUD_Mes_Constante!$DC$1</f>
        <v>1263600.1610945382</v>
      </c>
      <c r="DG149" s="8">
        <f>+MINVU_Mes_Corriente!DG149*SALUD_Mes_Constante!$DC$1</f>
        <v>1263600.1610945382</v>
      </c>
      <c r="DH149" s="8">
        <f>+MINVU_Mes_Corriente!DH149*SALUD_Mes_Constante!$DC$1</f>
        <v>1263600.1610945382</v>
      </c>
      <c r="DI149" s="8">
        <f>+MINVU_Mes_Corriente!DI149*SALUD_Mes_Constante!$DC$1</f>
        <v>1263600.1610945382</v>
      </c>
      <c r="DJ149" s="8">
        <f>+MINVU_Mes_Corriente!DJ149*SALUD_Mes_Constante!$DC$1</f>
        <v>1263600.1610945382</v>
      </c>
      <c r="DK149" s="8">
        <f>+MINVU_Mes_Corriente!DK149*SALUD_Mes_Constante!$DC$1</f>
        <v>1263600.1610945382</v>
      </c>
      <c r="DL149" s="8">
        <f>+MINVU_Mes_Corriente!DL149*SALUD_Mes_Constante!$DC$1</f>
        <v>1263600.1610945382</v>
      </c>
      <c r="DM149" s="8">
        <f>+MINVU_Mes_Corriente!DM149*SALUD_Mes_Constante!$DC$1</f>
        <v>1263600.1610945382</v>
      </c>
      <c r="DN149" s="8">
        <f>+MINVU_Mes_Corriente!DN149*SALUD_Mes_Constante!$DC$1</f>
        <v>1263600.1610945382</v>
      </c>
      <c r="DO149" s="9">
        <f t="shared" si="65"/>
        <v>1263600.1610945382</v>
      </c>
      <c r="DP149" s="8">
        <f>+MINVU_Mes_Corriente!DP149*SALUD_Mes_Constante!$DP$1</f>
        <v>1292291.4655581948</v>
      </c>
      <c r="DQ149" s="8">
        <f>+MINVU_Mes_Corriente!DQ149*SALUD_Mes_Constante!$DP$1</f>
        <v>1292291.4655581948</v>
      </c>
      <c r="DR149" s="8">
        <f>+MINVU_Mes_Corriente!DR149*SALUD_Mes_Constante!$DP$1</f>
        <v>1292291.4655581948</v>
      </c>
      <c r="DS149" s="8">
        <f>+MINVU_Mes_Corriente!DS149*SALUD_Mes_Constante!$DP$1</f>
        <v>1292291.4655581948</v>
      </c>
      <c r="DT149" s="8">
        <f>+MINVU_Mes_Corriente!DT149*SALUD_Mes_Constante!$DP$1</f>
        <v>1292291.4655581948</v>
      </c>
      <c r="DU149" s="8">
        <f>+MINVU_Mes_Corriente!DU149*SALUD_Mes_Constante!$DP$1</f>
        <v>1292291.4655581948</v>
      </c>
      <c r="DV149" s="8">
        <f>+MINVU_Mes_Corriente!DV149*SALUD_Mes_Constante!$DP$1</f>
        <v>1292291.4655581948</v>
      </c>
      <c r="DW149" s="8">
        <f>+MINVU_Mes_Corriente!DW149*SALUD_Mes_Constante!$DP$1</f>
        <v>1292291.4655581948</v>
      </c>
      <c r="DX149" s="8">
        <f>+MINVU_Mes_Corriente!DX149*SALUD_Mes_Constante!$DP$1</f>
        <v>1292291.4655581948</v>
      </c>
      <c r="DY149" s="8">
        <f>+MINVU_Mes_Corriente!DY149*SALUD_Mes_Constante!$DP$1</f>
        <v>1292291.4655581948</v>
      </c>
      <c r="DZ149" s="8">
        <f>+MINVU_Mes_Corriente!DZ149*SALUD_Mes_Constante!$DP$1</f>
        <v>1292291.4655581948</v>
      </c>
      <c r="EA149" s="8">
        <f>+MINVU_Mes_Corriente!EA149*SALUD_Mes_Constante!$DP$1</f>
        <v>1292291.4655581948</v>
      </c>
      <c r="EB149" s="9">
        <f t="shared" si="66"/>
        <v>1292291.4655581948</v>
      </c>
      <c r="EC149" s="8">
        <f>+MINVU_Mes_Corriente!EC149*SALUD_Mes_Constante!$EC$1</f>
        <v>1132354.4196174964</v>
      </c>
      <c r="ED149" s="8">
        <f>+MINVU_Mes_Corriente!ED149*SALUD_Mes_Constante!$EC$1</f>
        <v>1132354.4196174964</v>
      </c>
      <c r="EE149" s="8">
        <f>+MINVU_Mes_Corriente!EE149*SALUD_Mes_Constante!$EC$1</f>
        <v>1132354.4196174964</v>
      </c>
      <c r="EF149" s="8">
        <f>+MINVU_Mes_Corriente!EF149*SALUD_Mes_Constante!$EC$1</f>
        <v>1132354.4196174964</v>
      </c>
      <c r="EG149" s="8">
        <f>+MINVU_Mes_Corriente!EG149*SALUD_Mes_Constante!$EC$1</f>
        <v>1132354.4196174964</v>
      </c>
      <c r="EH149" s="8">
        <f>+MINVU_Mes_Corriente!EH149*SALUD_Mes_Constante!$EC$1</f>
        <v>1132354.4196174964</v>
      </c>
      <c r="EI149" s="8">
        <f>+MINVU_Mes_Corriente!EI149*SALUD_Mes_Constante!$EC$1</f>
        <v>1132354.4196174964</v>
      </c>
      <c r="EJ149" s="8">
        <f>+MINVU_Mes_Corriente!EJ149*SALUD_Mes_Constante!$EC$1</f>
        <v>1132354.4196174964</v>
      </c>
      <c r="EK149" s="8">
        <f>+MINVU_Mes_Corriente!EK149*SALUD_Mes_Constante!$EC$1</f>
        <v>1132354.4196174964</v>
      </c>
      <c r="EL149" s="8">
        <f>+MINVU_Mes_Corriente!EL149*SALUD_Mes_Constante!$EC$1</f>
        <v>1132354.4196174964</v>
      </c>
      <c r="EM149" s="8">
        <f>+MINVU_Mes_Corriente!EM149*SALUD_Mes_Constante!$EC$1</f>
        <v>1132354.4196174964</v>
      </c>
      <c r="EN149" s="8">
        <f>+MINVU_Mes_Corriente!EN149*SALUD_Mes_Constante!$EC$1</f>
        <v>1132354.4196174964</v>
      </c>
      <c r="EO149" s="9">
        <f t="shared" si="67"/>
        <v>1132354.4196174964</v>
      </c>
      <c r="EP149" s="8">
        <f>+MINVU_Mes_Corriente!EP149*SALUD_Mes_Constante!$EP$1</f>
        <v>1140605</v>
      </c>
      <c r="EQ149" s="8">
        <f>+MINVU_Mes_Corriente!EQ149*SALUD_Mes_Constante!$EP$1</f>
        <v>1140605</v>
      </c>
      <c r="ER149" s="8">
        <f>+MINVU_Mes_Corriente!ER149*SALUD_Mes_Constante!$EP$1</f>
        <v>1140605</v>
      </c>
      <c r="ES149" s="8">
        <f>+MINVU_Mes_Corriente!ES149*SALUD_Mes_Constante!$EP$1</f>
        <v>1140605</v>
      </c>
      <c r="ET149" s="8">
        <f>+MINVU_Mes_Corriente!ET149*SALUD_Mes_Constante!$EP$1</f>
        <v>1140605</v>
      </c>
      <c r="EU149" s="8">
        <f>+MINVU_Mes_Corriente!EU149*SALUD_Mes_Constante!$EP$1</f>
        <v>1140605</v>
      </c>
      <c r="EV149" s="8">
        <f>+MINVU_Mes_Corriente!EV149*SALUD_Mes_Constante!$EP$1</f>
        <v>1140605</v>
      </c>
      <c r="EW149" s="8">
        <f>+MINVU_Mes_Corriente!EW149*SALUD_Mes_Constante!$EP$1</f>
        <v>1140605</v>
      </c>
      <c r="EX149" s="8">
        <f>+MINVU_Mes_Corriente!EX149*SALUD_Mes_Constante!$EP$1</f>
        <v>1140605</v>
      </c>
      <c r="EY149" s="8">
        <f>+MINVU_Mes_Corriente!EY149*SALUD_Mes_Constante!$EP$1</f>
        <v>1140605</v>
      </c>
      <c r="EZ149" s="8">
        <f>+MINVU_Mes_Corriente!EZ149*SALUD_Mes_Constante!$EP$1</f>
        <v>1140605</v>
      </c>
      <c r="FA149" s="8">
        <f>+MINVU_Mes_Corriente!FA149*SALUD_Mes_Constante!$EP$1</f>
        <v>1140605</v>
      </c>
      <c r="FB149" s="9">
        <f t="shared" si="68"/>
        <v>1140605</v>
      </c>
      <c r="FC149" s="8">
        <f>+MINVU_Mes_Corriente!FC149*SALUD_Mes_Constante!$FC$1</f>
        <v>1175963</v>
      </c>
      <c r="FD149" s="8">
        <f>+MINVU_Mes_Corriente!FD149*SALUD_Mes_Constante!$FC$1</f>
        <v>1175963</v>
      </c>
      <c r="FE149" s="8">
        <f>+MINVU_Mes_Corriente!FE149*SALUD_Mes_Constante!$FC$1</f>
        <v>1175963</v>
      </c>
      <c r="FF149" s="8">
        <f>+MINVU_Mes_Corriente!FF149*SALUD_Mes_Constante!$FC$1</f>
        <v>1175963</v>
      </c>
      <c r="FG149" s="8">
        <f>+MINVU_Mes_Corriente!FG149*SALUD_Mes_Constante!$FC$1</f>
        <v>1175963</v>
      </c>
      <c r="FH149" s="8">
        <f>+MINVU_Mes_Corriente!FH149*SALUD_Mes_Constante!$FC$1</f>
        <v>1175963</v>
      </c>
      <c r="FI149" s="8">
        <f>+MINVU_Mes_Corriente!FI149*SALUD_Mes_Constante!$FC$1</f>
        <v>1175963</v>
      </c>
      <c r="FJ149" s="8"/>
      <c r="FK149" s="8"/>
      <c r="FL149" s="8"/>
      <c r="FM149" s="8"/>
      <c r="FN149" s="8"/>
      <c r="FO149" s="9">
        <f t="shared" si="69"/>
        <v>1175963</v>
      </c>
    </row>
    <row r="150" spans="2:171" ht="14.25" customHeight="1" x14ac:dyDescent="0.3">
      <c r="B150" s="35" t="s">
        <v>74</v>
      </c>
      <c r="C150" s="8">
        <f>+MINVU_Mes_Corriente!C150*SALUD_Mes_Constante!$C$1</f>
        <v>63422.002966038868</v>
      </c>
      <c r="D150" s="8">
        <f>+MINVU_Mes_Corriente!D150*SALUD_Mes_Constante!$C$1</f>
        <v>63422.002966038868</v>
      </c>
      <c r="E150" s="8">
        <f>+MINVU_Mes_Corriente!E150*SALUD_Mes_Constante!$C$1</f>
        <v>63422.002966038868</v>
      </c>
      <c r="F150" s="8">
        <f>+MINVU_Mes_Corriente!F150*SALUD_Mes_Constante!$C$1</f>
        <v>63422.002966038868</v>
      </c>
      <c r="G150" s="8">
        <f>+MINVU_Mes_Corriente!G150*SALUD_Mes_Constante!$C$1</f>
        <v>63422.002966038868</v>
      </c>
      <c r="H150" s="8">
        <f>+MINVU_Mes_Corriente!H150*SALUD_Mes_Constante!$C$1</f>
        <v>63422.002966038868</v>
      </c>
      <c r="I150" s="8">
        <f>+MINVU_Mes_Corriente!I150*SALUD_Mes_Constante!$C$1</f>
        <v>63422.002966038868</v>
      </c>
      <c r="J150" s="8">
        <f>+MINVU_Mes_Corriente!J150*SALUD_Mes_Constante!$C$1</f>
        <v>63422.002966038868</v>
      </c>
      <c r="K150" s="8">
        <f>+MINVU_Mes_Corriente!K150*SALUD_Mes_Constante!$C$1</f>
        <v>63422.002966038868</v>
      </c>
      <c r="L150" s="8">
        <f>+MINVU_Mes_Corriente!L150*SALUD_Mes_Constante!$C$1</f>
        <v>63422.002966038868</v>
      </c>
      <c r="M150" s="8">
        <f>+MINVU_Mes_Corriente!M150*SALUD_Mes_Constante!$C$1</f>
        <v>63422.002966038868</v>
      </c>
      <c r="N150" s="8">
        <f>+MINVU_Mes_Corriente!N150*SALUD_Mes_Constante!$C$1</f>
        <v>63422.002966038868</v>
      </c>
      <c r="O150" s="9">
        <f t="shared" si="57"/>
        <v>63422.002966038868</v>
      </c>
      <c r="P150" s="8">
        <f>+MINVU_Mes_Corriente!P150*SALUD_Mes_Constante!$P$1</f>
        <v>62577.310697542242</v>
      </c>
      <c r="Q150" s="8">
        <f>+MINVU_Mes_Corriente!Q150*SALUD_Mes_Constante!$P$1</f>
        <v>62577.310697542242</v>
      </c>
      <c r="R150" s="8">
        <f>+MINVU_Mes_Corriente!R150*SALUD_Mes_Constante!$P$1</f>
        <v>62577.310697542242</v>
      </c>
      <c r="S150" s="8">
        <f>+MINVU_Mes_Corriente!S150*SALUD_Mes_Constante!$P$1</f>
        <v>62577.310697542242</v>
      </c>
      <c r="T150" s="8">
        <f>+MINVU_Mes_Corriente!T150*SALUD_Mes_Constante!$P$1</f>
        <v>62577.310697542242</v>
      </c>
      <c r="U150" s="8">
        <f>+MINVU_Mes_Corriente!U150*SALUD_Mes_Constante!$P$1</f>
        <v>62577.310697542242</v>
      </c>
      <c r="V150" s="8">
        <f>+MINVU_Mes_Corriente!V150*SALUD_Mes_Constante!$P$1</f>
        <v>62577.310697542242</v>
      </c>
      <c r="W150" s="8">
        <f>+MINVU_Mes_Corriente!W150*SALUD_Mes_Constante!$P$1</f>
        <v>62577.310697542242</v>
      </c>
      <c r="X150" s="8">
        <f>+MINVU_Mes_Corriente!X150*SALUD_Mes_Constante!$P$1</f>
        <v>62577.310697542242</v>
      </c>
      <c r="Y150" s="8">
        <f>+MINVU_Mes_Corriente!Y150*SALUD_Mes_Constante!$P$1</f>
        <v>62577.310697542242</v>
      </c>
      <c r="Z150" s="8">
        <f>+MINVU_Mes_Corriente!Z150*SALUD_Mes_Constante!$P$1</f>
        <v>62577.310697542242</v>
      </c>
      <c r="AA150" s="8">
        <f>+MINVU_Mes_Corriente!AA150*SALUD_Mes_Constante!$P$1</f>
        <v>62577.310697542242</v>
      </c>
      <c r="AB150" s="9">
        <f t="shared" si="58"/>
        <v>62577.310697542242</v>
      </c>
      <c r="AC150" s="8">
        <f>+MINVU_Mes_Corriente!AC150*SALUD_Mes_Constante!$AC$1</f>
        <v>63248.073315811314</v>
      </c>
      <c r="AD150" s="8">
        <f>+MINVU_Mes_Corriente!AD150*SALUD_Mes_Constante!$AC$1</f>
        <v>63248.073315811314</v>
      </c>
      <c r="AE150" s="8">
        <f>+MINVU_Mes_Corriente!AE150*SALUD_Mes_Constante!$AC$1</f>
        <v>63248.073315811314</v>
      </c>
      <c r="AF150" s="8">
        <f>+MINVU_Mes_Corriente!AF150*SALUD_Mes_Constante!$AC$1</f>
        <v>63248.073315811314</v>
      </c>
      <c r="AG150" s="8">
        <f>+MINVU_Mes_Corriente!AG150*SALUD_Mes_Constante!$AC$1</f>
        <v>63248.073315811314</v>
      </c>
      <c r="AH150" s="8">
        <f>+MINVU_Mes_Corriente!AH150*SALUD_Mes_Constante!$AC$1</f>
        <v>63248.073315811314</v>
      </c>
      <c r="AI150" s="8">
        <f>+MINVU_Mes_Corriente!AI150*SALUD_Mes_Constante!$AC$1</f>
        <v>63248.073315811314</v>
      </c>
      <c r="AJ150" s="8">
        <f>+MINVU_Mes_Corriente!AJ150*SALUD_Mes_Constante!$AC$1</f>
        <v>63248.073315811314</v>
      </c>
      <c r="AK150" s="8">
        <f>+MINVU_Mes_Corriente!AK150*SALUD_Mes_Constante!$AC$1</f>
        <v>63248.073315811314</v>
      </c>
      <c r="AL150" s="8">
        <f>+MINVU_Mes_Corriente!AL150*SALUD_Mes_Constante!$AC$1</f>
        <v>63248.073315811314</v>
      </c>
      <c r="AM150" s="8">
        <f>+MINVU_Mes_Corriente!AM150*SALUD_Mes_Constante!$AC$1</f>
        <v>63248.073315811314</v>
      </c>
      <c r="AN150" s="8">
        <f>+MINVU_Mes_Corriente!AN150*SALUD_Mes_Constante!$AC$1</f>
        <v>63248.073315811314</v>
      </c>
      <c r="AO150" s="9">
        <f t="shared" si="59"/>
        <v>63248.073315811314</v>
      </c>
      <c r="AP150" s="8">
        <f>+MINVU_Mes_Corriente!AP150*SALUD_Mes_Constante!$AP$1</f>
        <v>63699.777086433111</v>
      </c>
      <c r="AQ150" s="8">
        <f>+MINVU_Mes_Corriente!AQ150*SALUD_Mes_Constante!$AP$1</f>
        <v>63699.777086433111</v>
      </c>
      <c r="AR150" s="8">
        <f>+MINVU_Mes_Corriente!AR150*SALUD_Mes_Constante!$AP$1</f>
        <v>63699.777086433111</v>
      </c>
      <c r="AS150" s="8">
        <f>+MINVU_Mes_Corriente!AS150*SALUD_Mes_Constante!$AP$1</f>
        <v>63699.777086433111</v>
      </c>
      <c r="AT150" s="8">
        <f>+MINVU_Mes_Corriente!AT150*SALUD_Mes_Constante!$AP$1</f>
        <v>63699.777086433111</v>
      </c>
      <c r="AU150" s="8">
        <f>+MINVU_Mes_Corriente!AU150*SALUD_Mes_Constante!$AP$1</f>
        <v>63699.777086433111</v>
      </c>
      <c r="AV150" s="8">
        <f>+MINVU_Mes_Corriente!AV150*SALUD_Mes_Constante!$AP$1</f>
        <v>63699.777086433111</v>
      </c>
      <c r="AW150" s="8">
        <f>+MINVU_Mes_Corriente!AW150*SALUD_Mes_Constante!$AP$1</f>
        <v>63699.777086433111</v>
      </c>
      <c r="AX150" s="8">
        <f>+MINVU_Mes_Corriente!AX150*SALUD_Mes_Constante!$AP$1</f>
        <v>63699.777086433111</v>
      </c>
      <c r="AY150" s="8">
        <f>+MINVU_Mes_Corriente!AY150*SALUD_Mes_Constante!$AP$1</f>
        <v>63699.777086433111</v>
      </c>
      <c r="AZ150" s="8">
        <f>+MINVU_Mes_Corriente!AZ150*SALUD_Mes_Constante!$AP$1</f>
        <v>63699.777086433111</v>
      </c>
      <c r="BA150" s="8">
        <f>+MINVU_Mes_Corriente!BA150*SALUD_Mes_Constante!$AP$1</f>
        <v>63699.777086433111</v>
      </c>
      <c r="BB150" s="9">
        <f t="shared" si="60"/>
        <v>63699.777086433111</v>
      </c>
      <c r="BC150" s="8">
        <f>+MINVU_Mes_Corriente!BC150*SALUD_Mes_Constante!$BC$1</f>
        <v>63718.910457602549</v>
      </c>
      <c r="BD150" s="8">
        <f>+MINVU_Mes_Corriente!BD150*SALUD_Mes_Constante!$BC$1</f>
        <v>63718.910457602549</v>
      </c>
      <c r="BE150" s="8">
        <f>+MINVU_Mes_Corriente!BE150*SALUD_Mes_Constante!$BC$1</f>
        <v>63718.910457602549</v>
      </c>
      <c r="BF150" s="8">
        <f>+MINVU_Mes_Corriente!BF150*SALUD_Mes_Constante!$BC$1</f>
        <v>63718.910457602549</v>
      </c>
      <c r="BG150" s="8">
        <f>+MINVU_Mes_Corriente!BG150*SALUD_Mes_Constante!$BC$1</f>
        <v>63718.910457602549</v>
      </c>
      <c r="BH150" s="8">
        <f>+MINVU_Mes_Corriente!BH150*SALUD_Mes_Constante!$BC$1</f>
        <v>63718.910457602549</v>
      </c>
      <c r="BI150" s="8">
        <f>+MINVU_Mes_Corriente!BI150*SALUD_Mes_Constante!$BC$1</f>
        <v>63718.910457602549</v>
      </c>
      <c r="BJ150" s="8">
        <f>+MINVU_Mes_Corriente!BJ150*SALUD_Mes_Constante!$BC$1</f>
        <v>63718.910457602549</v>
      </c>
      <c r="BK150" s="8">
        <f>+MINVU_Mes_Corriente!BK150*SALUD_Mes_Constante!$BC$1</f>
        <v>63718.910457602549</v>
      </c>
      <c r="BL150" s="8">
        <f>+MINVU_Mes_Corriente!BL150*SALUD_Mes_Constante!$BC$1</f>
        <v>63718.910457602549</v>
      </c>
      <c r="BM150" s="8">
        <f>+MINVU_Mes_Corriente!BM150*SALUD_Mes_Constante!$BC$1</f>
        <v>63718.910457602549</v>
      </c>
      <c r="BN150" s="8">
        <f>+MINVU_Mes_Corriente!BN150*SALUD_Mes_Constante!$BC$1</f>
        <v>63718.910457602549</v>
      </c>
      <c r="BO150" s="9">
        <f t="shared" si="61"/>
        <v>63718.910457602549</v>
      </c>
      <c r="BP150" s="8">
        <f>+MINVU_Mes_Corriente!BP150*SALUD_Mes_Constante!$BP$1</f>
        <v>0</v>
      </c>
      <c r="BQ150" s="8">
        <f>+MINVU_Mes_Corriente!BQ150*SALUD_Mes_Constante!$BP$1</f>
        <v>0</v>
      </c>
      <c r="BR150" s="8">
        <f>+MINVU_Mes_Corriente!BR150*SALUD_Mes_Constante!$BP$1</f>
        <v>0</v>
      </c>
      <c r="BS150" s="8">
        <f>+MINVU_Mes_Corriente!BS150*SALUD_Mes_Constante!$BP$1</f>
        <v>0</v>
      </c>
      <c r="BT150" s="8">
        <f>+MINVU_Mes_Corriente!BT150*SALUD_Mes_Constante!$BP$1</f>
        <v>0</v>
      </c>
      <c r="BU150" s="8">
        <f>+MINVU_Mes_Corriente!BU150*SALUD_Mes_Constante!$BP$1</f>
        <v>0</v>
      </c>
      <c r="BV150" s="8">
        <f>+MINVU_Mes_Corriente!BV150*SALUD_Mes_Constante!$BP$1</f>
        <v>0</v>
      </c>
      <c r="BW150" s="8">
        <f>+MINVU_Mes_Corriente!BW150*SALUD_Mes_Constante!$BP$1</f>
        <v>0</v>
      </c>
      <c r="BX150" s="8">
        <f>+MINVU_Mes_Corriente!BX150*SALUD_Mes_Constante!$BP$1</f>
        <v>0</v>
      </c>
      <c r="BY150" s="8">
        <f>+MINVU_Mes_Corriente!BY150*SALUD_Mes_Constante!$BP$1</f>
        <v>0</v>
      </c>
      <c r="BZ150" s="8">
        <f>+MINVU_Mes_Corriente!BZ150*SALUD_Mes_Constante!$BP$1</f>
        <v>0</v>
      </c>
      <c r="CA150" s="8">
        <f>+MINVU_Mes_Corriente!CA150*SALUD_Mes_Constante!$BP$1</f>
        <v>0</v>
      </c>
      <c r="CB150" s="9">
        <f t="shared" si="62"/>
        <v>0</v>
      </c>
      <c r="CC150" s="8">
        <f>+MINVU_Mes_Corriente!CC150*SALUD_Mes_Constante!$CC$1</f>
        <v>45891.101827676248</v>
      </c>
      <c r="CD150" s="8">
        <f>+MINVU_Mes_Corriente!CD150*SALUD_Mes_Constante!$CC$1</f>
        <v>45891.101827676248</v>
      </c>
      <c r="CE150" s="8">
        <f>+MINVU_Mes_Corriente!CE150*SALUD_Mes_Constante!$CC$1</f>
        <v>45891.101827676248</v>
      </c>
      <c r="CF150" s="8">
        <f>+MINVU_Mes_Corriente!CF150*SALUD_Mes_Constante!$CC$1</f>
        <v>45891.101827676248</v>
      </c>
      <c r="CG150" s="8">
        <f>+MINVU_Mes_Corriente!CG150*SALUD_Mes_Constante!$CC$1</f>
        <v>45891.101827676248</v>
      </c>
      <c r="CH150" s="8">
        <f>+MINVU_Mes_Corriente!CH150*SALUD_Mes_Constante!$CC$1</f>
        <v>45891.101827676248</v>
      </c>
      <c r="CI150" s="8">
        <f>+MINVU_Mes_Corriente!CI150*SALUD_Mes_Constante!$CC$1</f>
        <v>45891.101827676248</v>
      </c>
      <c r="CJ150" s="8">
        <f>+MINVU_Mes_Corriente!CJ150*SALUD_Mes_Constante!$CC$1</f>
        <v>45891.101827676248</v>
      </c>
      <c r="CK150" s="8">
        <f>+MINVU_Mes_Corriente!CK150*SALUD_Mes_Constante!$CC$1</f>
        <v>45891.101827676248</v>
      </c>
      <c r="CL150" s="8">
        <f>+MINVU_Mes_Corriente!CL150*SALUD_Mes_Constante!$CC$1</f>
        <v>45891.101827676248</v>
      </c>
      <c r="CM150" s="8">
        <f>+MINVU_Mes_Corriente!CM150*SALUD_Mes_Constante!$CC$1</f>
        <v>45891.101827676248</v>
      </c>
      <c r="CN150" s="8">
        <f>+MINVU_Mes_Corriente!CN150*SALUD_Mes_Constante!$CC$1</f>
        <v>45891.101827676248</v>
      </c>
      <c r="CO150" s="9">
        <f t="shared" si="63"/>
        <v>45891.101827676248</v>
      </c>
      <c r="CP150" s="8">
        <f>+MINVU_Mes_Corriente!CP150*SALUD_Mes_Constante!$CP$1</f>
        <v>185342.73201856145</v>
      </c>
      <c r="CQ150" s="8">
        <f>+MINVU_Mes_Corriente!CQ150*SALUD_Mes_Constante!$CP$1</f>
        <v>185342.73201856145</v>
      </c>
      <c r="CR150" s="8">
        <f>+MINVU_Mes_Corriente!CR150*SALUD_Mes_Constante!$CP$1</f>
        <v>185342.73201856145</v>
      </c>
      <c r="CS150" s="8">
        <f>+MINVU_Mes_Corriente!CS150*SALUD_Mes_Constante!$CP$1</f>
        <v>185342.73201856145</v>
      </c>
      <c r="CT150" s="8">
        <f>+MINVU_Mes_Corriente!CT150*SALUD_Mes_Constante!$CP$1</f>
        <v>185342.73201856145</v>
      </c>
      <c r="CU150" s="8">
        <f>+MINVU_Mes_Corriente!CU150*SALUD_Mes_Constante!$CP$1</f>
        <v>185342.73201856145</v>
      </c>
      <c r="CV150" s="8">
        <f>+MINVU_Mes_Corriente!CV150*SALUD_Mes_Constante!$CP$1</f>
        <v>185342.73201856145</v>
      </c>
      <c r="CW150" s="8">
        <f>+MINVU_Mes_Corriente!CW150*SALUD_Mes_Constante!$CP$1</f>
        <v>185342.73201856145</v>
      </c>
      <c r="CX150" s="8">
        <f>+MINVU_Mes_Corriente!CX150*SALUD_Mes_Constante!$CP$1</f>
        <v>185342.73201856145</v>
      </c>
      <c r="CY150" s="8">
        <f>+MINVU_Mes_Corriente!CY150*SALUD_Mes_Constante!$CP$1</f>
        <v>185342.73201856145</v>
      </c>
      <c r="CZ150" s="8">
        <f>+MINVU_Mes_Corriente!CZ150*SALUD_Mes_Constante!$CP$1</f>
        <v>185342.73201856145</v>
      </c>
      <c r="DA150" s="8">
        <f>+MINVU_Mes_Corriente!DA150*SALUD_Mes_Constante!$CP$1</f>
        <v>185342.73201856145</v>
      </c>
      <c r="DB150" s="9">
        <f t="shared" si="64"/>
        <v>185342.73201856145</v>
      </c>
      <c r="DC150" s="8">
        <f>+MINVU_Mes_Corriente!DC150*SALUD_Mes_Constante!$DC$1</f>
        <v>232234.54089085496</v>
      </c>
      <c r="DD150" s="8">
        <f>+MINVU_Mes_Corriente!DD150*SALUD_Mes_Constante!$DC$1</f>
        <v>232234.54089085496</v>
      </c>
      <c r="DE150" s="8">
        <f>+MINVU_Mes_Corriente!DE150*SALUD_Mes_Constante!$DC$1</f>
        <v>232234.54089085496</v>
      </c>
      <c r="DF150" s="8">
        <f>+MINVU_Mes_Corriente!DF150*SALUD_Mes_Constante!$DC$1</f>
        <v>232234.54089085496</v>
      </c>
      <c r="DG150" s="8">
        <f>+MINVU_Mes_Corriente!DG150*SALUD_Mes_Constante!$DC$1</f>
        <v>232234.54089085496</v>
      </c>
      <c r="DH150" s="8">
        <f>+MINVU_Mes_Corriente!DH150*SALUD_Mes_Constante!$DC$1</f>
        <v>232234.54089085496</v>
      </c>
      <c r="DI150" s="8">
        <f>+MINVU_Mes_Corriente!DI150*SALUD_Mes_Constante!$DC$1</f>
        <v>232234.54089085496</v>
      </c>
      <c r="DJ150" s="8">
        <f>+MINVU_Mes_Corriente!DJ150*SALUD_Mes_Constante!$DC$1</f>
        <v>232234.54089085496</v>
      </c>
      <c r="DK150" s="8">
        <f>+MINVU_Mes_Corriente!DK150*SALUD_Mes_Constante!$DC$1</f>
        <v>232234.54089085496</v>
      </c>
      <c r="DL150" s="8">
        <f>+MINVU_Mes_Corriente!DL150*SALUD_Mes_Constante!$DC$1</f>
        <v>232234.54089085496</v>
      </c>
      <c r="DM150" s="8">
        <f>+MINVU_Mes_Corriente!DM150*SALUD_Mes_Constante!$DC$1</f>
        <v>232234.54089085496</v>
      </c>
      <c r="DN150" s="8">
        <f>+MINVU_Mes_Corriente!DN150*SALUD_Mes_Constante!$DC$1</f>
        <v>232234.54089085496</v>
      </c>
      <c r="DO150" s="9">
        <f t="shared" si="65"/>
        <v>232234.54089085496</v>
      </c>
      <c r="DP150" s="8">
        <f>+MINVU_Mes_Corriente!DP150*SALUD_Mes_Constante!$DP$1</f>
        <v>237507.49346793353</v>
      </c>
      <c r="DQ150" s="8">
        <f>+MINVU_Mes_Corriente!DQ150*SALUD_Mes_Constante!$DP$1</f>
        <v>237507.49346793353</v>
      </c>
      <c r="DR150" s="8">
        <f>+MINVU_Mes_Corriente!DR150*SALUD_Mes_Constante!$DP$1</f>
        <v>237507.49346793353</v>
      </c>
      <c r="DS150" s="8">
        <f>+MINVU_Mes_Corriente!DS150*SALUD_Mes_Constante!$DP$1</f>
        <v>237507.49346793353</v>
      </c>
      <c r="DT150" s="8">
        <f>+MINVU_Mes_Corriente!DT150*SALUD_Mes_Constante!$DP$1</f>
        <v>237507.49346793353</v>
      </c>
      <c r="DU150" s="8">
        <f>+MINVU_Mes_Corriente!DU150*SALUD_Mes_Constante!$DP$1</f>
        <v>237507.49346793353</v>
      </c>
      <c r="DV150" s="8">
        <f>+MINVU_Mes_Corriente!DV150*SALUD_Mes_Constante!$DP$1</f>
        <v>237507.49346793353</v>
      </c>
      <c r="DW150" s="8">
        <f>+MINVU_Mes_Corriente!DW150*SALUD_Mes_Constante!$DP$1</f>
        <v>237507.49346793353</v>
      </c>
      <c r="DX150" s="8">
        <f>+MINVU_Mes_Corriente!DX150*SALUD_Mes_Constante!$DP$1</f>
        <v>237507.49346793353</v>
      </c>
      <c r="DY150" s="8">
        <f>+MINVU_Mes_Corriente!DY150*SALUD_Mes_Constante!$DP$1</f>
        <v>237507.49346793353</v>
      </c>
      <c r="DZ150" s="8">
        <f>+MINVU_Mes_Corriente!DZ150*SALUD_Mes_Constante!$DP$1</f>
        <v>237507.49346793353</v>
      </c>
      <c r="EA150" s="8">
        <f>+MINVU_Mes_Corriente!EA150*SALUD_Mes_Constante!$DP$1</f>
        <v>237507.49346793353</v>
      </c>
      <c r="EB150" s="9">
        <f t="shared" si="66"/>
        <v>237507.49346793353</v>
      </c>
      <c r="EC150" s="8">
        <f>+MINVU_Mes_Corriente!EC150*SALUD_Mes_Constante!$EC$1</f>
        <v>208113.30051126675</v>
      </c>
      <c r="ED150" s="8">
        <f>+MINVU_Mes_Corriente!ED150*SALUD_Mes_Constante!$EC$1</f>
        <v>208113.30051126675</v>
      </c>
      <c r="EE150" s="8">
        <f>+MINVU_Mes_Corriente!EE150*SALUD_Mes_Constante!$EC$1</f>
        <v>208113.30051126675</v>
      </c>
      <c r="EF150" s="8">
        <f>+MINVU_Mes_Corriente!EF150*SALUD_Mes_Constante!$EC$1</f>
        <v>208113.30051126675</v>
      </c>
      <c r="EG150" s="8">
        <f>+MINVU_Mes_Corriente!EG150*SALUD_Mes_Constante!$EC$1</f>
        <v>208113.30051126675</v>
      </c>
      <c r="EH150" s="8">
        <f>+MINVU_Mes_Corriente!EH150*SALUD_Mes_Constante!$EC$1</f>
        <v>208113.30051126675</v>
      </c>
      <c r="EI150" s="8">
        <f>+MINVU_Mes_Corriente!EI150*SALUD_Mes_Constante!$EC$1</f>
        <v>208113.30051126675</v>
      </c>
      <c r="EJ150" s="8">
        <f>+MINVU_Mes_Corriente!EJ150*SALUD_Mes_Constante!$EC$1</f>
        <v>208113.30051126675</v>
      </c>
      <c r="EK150" s="8">
        <f>+MINVU_Mes_Corriente!EK150*SALUD_Mes_Constante!$EC$1</f>
        <v>208113.30051126675</v>
      </c>
      <c r="EL150" s="8">
        <f>+MINVU_Mes_Corriente!EL150*SALUD_Mes_Constante!$EC$1</f>
        <v>208113.30051126675</v>
      </c>
      <c r="EM150" s="8">
        <f>+MINVU_Mes_Corriente!EM150*SALUD_Mes_Constante!$EC$1</f>
        <v>208113.30051126675</v>
      </c>
      <c r="EN150" s="8">
        <f>+MINVU_Mes_Corriente!EN150*SALUD_Mes_Constante!$EC$1</f>
        <v>208113.30051126675</v>
      </c>
      <c r="EO150" s="9">
        <f t="shared" si="67"/>
        <v>208113.30051126675</v>
      </c>
      <c r="EP150" s="8">
        <f>+MINVU_Mes_Corriente!EP150*SALUD_Mes_Constante!$EP$1</f>
        <v>209629</v>
      </c>
      <c r="EQ150" s="8">
        <f>+MINVU_Mes_Corriente!EQ150*SALUD_Mes_Constante!$EP$1</f>
        <v>209629</v>
      </c>
      <c r="ER150" s="8">
        <f>+MINVU_Mes_Corriente!ER150*SALUD_Mes_Constante!$EP$1</f>
        <v>209629</v>
      </c>
      <c r="ES150" s="8">
        <f>+MINVU_Mes_Corriente!ES150*SALUD_Mes_Constante!$EP$1</f>
        <v>209629</v>
      </c>
      <c r="ET150" s="8">
        <f>+MINVU_Mes_Corriente!ET150*SALUD_Mes_Constante!$EP$1</f>
        <v>209629</v>
      </c>
      <c r="EU150" s="8">
        <f>+MINVU_Mes_Corriente!EU150*SALUD_Mes_Constante!$EP$1</f>
        <v>209629</v>
      </c>
      <c r="EV150" s="8">
        <f>+MINVU_Mes_Corriente!EV150*SALUD_Mes_Constante!$EP$1</f>
        <v>209629</v>
      </c>
      <c r="EW150" s="8">
        <f>+MINVU_Mes_Corriente!EW150*SALUD_Mes_Constante!$EP$1</f>
        <v>209629</v>
      </c>
      <c r="EX150" s="8">
        <f>+MINVU_Mes_Corriente!EX150*SALUD_Mes_Constante!$EP$1</f>
        <v>209629</v>
      </c>
      <c r="EY150" s="8">
        <f>+MINVU_Mes_Corriente!EY150*SALUD_Mes_Constante!$EP$1</f>
        <v>209629</v>
      </c>
      <c r="EZ150" s="8">
        <f>+MINVU_Mes_Corriente!EZ150*SALUD_Mes_Constante!$EP$1</f>
        <v>209629</v>
      </c>
      <c r="FA150" s="8">
        <f>+MINVU_Mes_Corriente!FA150*SALUD_Mes_Constante!$EP$1</f>
        <v>209629</v>
      </c>
      <c r="FB150" s="9">
        <f t="shared" si="68"/>
        <v>209629</v>
      </c>
      <c r="FC150" s="8">
        <f>+MINVU_Mes_Corriente!FC150*SALUD_Mes_Constante!$FC$1</f>
        <v>216128</v>
      </c>
      <c r="FD150" s="8">
        <f>+MINVU_Mes_Corriente!FD150*SALUD_Mes_Constante!$FC$1</f>
        <v>216128</v>
      </c>
      <c r="FE150" s="8">
        <f>+MINVU_Mes_Corriente!FE150*SALUD_Mes_Constante!$FC$1</f>
        <v>216128</v>
      </c>
      <c r="FF150" s="8">
        <f>+MINVU_Mes_Corriente!FF150*SALUD_Mes_Constante!$FC$1</f>
        <v>216128</v>
      </c>
      <c r="FG150" s="8">
        <f>+MINVU_Mes_Corriente!FG150*SALUD_Mes_Constante!$FC$1</f>
        <v>216128</v>
      </c>
      <c r="FH150" s="8">
        <f>+MINVU_Mes_Corriente!FH150*SALUD_Mes_Constante!$FC$1</f>
        <v>216128</v>
      </c>
      <c r="FI150" s="8">
        <f>+MINVU_Mes_Corriente!FI150*SALUD_Mes_Constante!$FC$1</f>
        <v>216128</v>
      </c>
      <c r="FJ150" s="8"/>
      <c r="FK150" s="8"/>
      <c r="FL150" s="8"/>
      <c r="FM150" s="8"/>
      <c r="FN150" s="8"/>
      <c r="FO150" s="9">
        <f t="shared" si="69"/>
        <v>216128</v>
      </c>
    </row>
    <row r="151" spans="2:171" ht="14.25" customHeight="1" thickBot="1" x14ac:dyDescent="0.35">
      <c r="B151" s="14" t="s">
        <v>82</v>
      </c>
      <c r="C151" s="16">
        <f t="shared" ref="C151:AH151" si="70">SUM(C119:C150)</f>
        <v>26449141.640812695</v>
      </c>
      <c r="D151" s="16">
        <f t="shared" si="70"/>
        <v>26449141.640812695</v>
      </c>
      <c r="E151" s="16">
        <f t="shared" si="70"/>
        <v>26449141.640812695</v>
      </c>
      <c r="F151" s="16">
        <f t="shared" si="70"/>
        <v>26449141.640812695</v>
      </c>
      <c r="G151" s="16">
        <f t="shared" si="70"/>
        <v>26449141.640812695</v>
      </c>
      <c r="H151" s="16">
        <f t="shared" si="70"/>
        <v>26449141.640812695</v>
      </c>
      <c r="I151" s="16">
        <f t="shared" si="70"/>
        <v>26449141.640812695</v>
      </c>
      <c r="J151" s="16">
        <f t="shared" si="70"/>
        <v>26449141.640812695</v>
      </c>
      <c r="K151" s="16">
        <f t="shared" si="70"/>
        <v>26449141.640812695</v>
      </c>
      <c r="L151" s="16">
        <f t="shared" si="70"/>
        <v>26449141.640812695</v>
      </c>
      <c r="M151" s="16">
        <f t="shared" si="70"/>
        <v>26449141.640812695</v>
      </c>
      <c r="N151" s="16">
        <f t="shared" si="70"/>
        <v>26449141.640812695</v>
      </c>
      <c r="O151" s="16">
        <f t="shared" si="70"/>
        <v>26449141.640812695</v>
      </c>
      <c r="P151" s="16">
        <f t="shared" si="70"/>
        <v>29194681.783207823</v>
      </c>
      <c r="Q151" s="16">
        <f t="shared" si="70"/>
        <v>29194681.783207823</v>
      </c>
      <c r="R151" s="16">
        <f t="shared" si="70"/>
        <v>29194681.783207823</v>
      </c>
      <c r="S151" s="16">
        <f t="shared" si="70"/>
        <v>29194681.783207823</v>
      </c>
      <c r="T151" s="16">
        <f t="shared" si="70"/>
        <v>29194681.783207823</v>
      </c>
      <c r="U151" s="16">
        <f t="shared" si="70"/>
        <v>29194681.783207823</v>
      </c>
      <c r="V151" s="16">
        <f t="shared" si="70"/>
        <v>29194681.783207823</v>
      </c>
      <c r="W151" s="16">
        <f t="shared" si="70"/>
        <v>29194681.783207823</v>
      </c>
      <c r="X151" s="16">
        <f t="shared" si="70"/>
        <v>29194681.783207823</v>
      </c>
      <c r="Y151" s="16">
        <f t="shared" si="70"/>
        <v>29194681.783207823</v>
      </c>
      <c r="Z151" s="16">
        <f t="shared" si="70"/>
        <v>29194681.783207823</v>
      </c>
      <c r="AA151" s="16">
        <f t="shared" si="70"/>
        <v>29194681.783207823</v>
      </c>
      <c r="AB151" s="16">
        <f t="shared" si="70"/>
        <v>29194681.783207823</v>
      </c>
      <c r="AC151" s="16">
        <f t="shared" si="70"/>
        <v>26674214.055886019</v>
      </c>
      <c r="AD151" s="16">
        <f t="shared" si="70"/>
        <v>26674214.055886019</v>
      </c>
      <c r="AE151" s="16">
        <f t="shared" si="70"/>
        <v>26674214.055886019</v>
      </c>
      <c r="AF151" s="16">
        <f t="shared" si="70"/>
        <v>26674214.055886019</v>
      </c>
      <c r="AG151" s="16">
        <f t="shared" si="70"/>
        <v>26674214.055886019</v>
      </c>
      <c r="AH151" s="16">
        <f t="shared" si="70"/>
        <v>26674214.055886019</v>
      </c>
      <c r="AI151" s="16">
        <f t="shared" ref="AI151:BN151" si="71">SUM(AI119:AI150)</f>
        <v>26674214.055886019</v>
      </c>
      <c r="AJ151" s="16">
        <f t="shared" si="71"/>
        <v>26674214.055886019</v>
      </c>
      <c r="AK151" s="16">
        <f t="shared" si="71"/>
        <v>26674214.055886019</v>
      </c>
      <c r="AL151" s="16">
        <f t="shared" si="71"/>
        <v>26674214.055886019</v>
      </c>
      <c r="AM151" s="16">
        <f t="shared" si="71"/>
        <v>26674214.055886019</v>
      </c>
      <c r="AN151" s="16">
        <f t="shared" si="71"/>
        <v>26674214.055886019</v>
      </c>
      <c r="AO151" s="16">
        <f t="shared" si="71"/>
        <v>26674214.055886019</v>
      </c>
      <c r="AP151" s="16">
        <f t="shared" si="71"/>
        <v>30649872.94305424</v>
      </c>
      <c r="AQ151" s="16">
        <f t="shared" si="71"/>
        <v>30649872.94305424</v>
      </c>
      <c r="AR151" s="16">
        <f t="shared" si="71"/>
        <v>30649872.94305424</v>
      </c>
      <c r="AS151" s="16">
        <f t="shared" si="71"/>
        <v>30649872.94305424</v>
      </c>
      <c r="AT151" s="16">
        <f t="shared" si="71"/>
        <v>30649872.94305424</v>
      </c>
      <c r="AU151" s="16">
        <f t="shared" si="71"/>
        <v>30649872.94305424</v>
      </c>
      <c r="AV151" s="16">
        <f t="shared" si="71"/>
        <v>30649872.94305424</v>
      </c>
      <c r="AW151" s="16">
        <f t="shared" si="71"/>
        <v>30649872.94305424</v>
      </c>
      <c r="AX151" s="16">
        <f t="shared" si="71"/>
        <v>30649872.94305424</v>
      </c>
      <c r="AY151" s="16">
        <f t="shared" si="71"/>
        <v>30649872.94305424</v>
      </c>
      <c r="AZ151" s="16">
        <f t="shared" si="71"/>
        <v>30649872.94305424</v>
      </c>
      <c r="BA151" s="16">
        <f t="shared" si="71"/>
        <v>30649872.94305424</v>
      </c>
      <c r="BB151" s="16">
        <f t="shared" si="71"/>
        <v>30649872.94305424</v>
      </c>
      <c r="BC151" s="16">
        <f t="shared" si="71"/>
        <v>39256410.540419362</v>
      </c>
      <c r="BD151" s="16">
        <f t="shared" si="71"/>
        <v>39256410.540419362</v>
      </c>
      <c r="BE151" s="16">
        <f t="shared" si="71"/>
        <v>39256410.540419362</v>
      </c>
      <c r="BF151" s="16">
        <f t="shared" si="71"/>
        <v>39256410.540419362</v>
      </c>
      <c r="BG151" s="16">
        <f t="shared" si="71"/>
        <v>39256410.540419362</v>
      </c>
      <c r="BH151" s="16">
        <f t="shared" si="71"/>
        <v>39256410.540419362</v>
      </c>
      <c r="BI151" s="16">
        <f t="shared" si="71"/>
        <v>39256410.540419362</v>
      </c>
      <c r="BJ151" s="16">
        <f t="shared" si="71"/>
        <v>39256410.540419362</v>
      </c>
      <c r="BK151" s="16">
        <f t="shared" si="71"/>
        <v>39256410.540419362</v>
      </c>
      <c r="BL151" s="16">
        <f t="shared" si="71"/>
        <v>39256410.540419362</v>
      </c>
      <c r="BM151" s="16">
        <f t="shared" si="71"/>
        <v>39256410.540419362</v>
      </c>
      <c r="BN151" s="16">
        <f t="shared" si="71"/>
        <v>39256410.540419362</v>
      </c>
      <c r="BO151" s="16">
        <f t="shared" ref="BO151:CT151" si="72">SUM(BO119:BO150)</f>
        <v>39256410.540419362</v>
      </c>
      <c r="BP151" s="16">
        <f t="shared" si="72"/>
        <v>61584639.623815626</v>
      </c>
      <c r="BQ151" s="16">
        <f t="shared" si="72"/>
        <v>61584639.623815626</v>
      </c>
      <c r="BR151" s="16">
        <f t="shared" si="72"/>
        <v>61584639.623815626</v>
      </c>
      <c r="BS151" s="16">
        <f t="shared" si="72"/>
        <v>61584639.623815626</v>
      </c>
      <c r="BT151" s="16">
        <f t="shared" si="72"/>
        <v>61584639.623815626</v>
      </c>
      <c r="BU151" s="16">
        <f t="shared" si="72"/>
        <v>61584639.623815626</v>
      </c>
      <c r="BV151" s="16">
        <f t="shared" si="72"/>
        <v>61584639.623815626</v>
      </c>
      <c r="BW151" s="16">
        <f t="shared" si="72"/>
        <v>61584639.623815626</v>
      </c>
      <c r="BX151" s="16">
        <f t="shared" si="72"/>
        <v>61584639.623815626</v>
      </c>
      <c r="BY151" s="16">
        <f t="shared" si="72"/>
        <v>61584639.623815626</v>
      </c>
      <c r="BZ151" s="16">
        <f t="shared" si="72"/>
        <v>61584639.623815626</v>
      </c>
      <c r="CA151" s="16">
        <f t="shared" si="72"/>
        <v>61584639.623815626</v>
      </c>
      <c r="CB151" s="16">
        <f t="shared" si="72"/>
        <v>61584639.623815626</v>
      </c>
      <c r="CC151" s="16">
        <f t="shared" si="72"/>
        <v>98520994.489369676</v>
      </c>
      <c r="CD151" s="16">
        <f t="shared" si="72"/>
        <v>98520994.489369676</v>
      </c>
      <c r="CE151" s="16">
        <f t="shared" si="72"/>
        <v>98520994.489369676</v>
      </c>
      <c r="CF151" s="16">
        <f t="shared" si="72"/>
        <v>98520994.489369676</v>
      </c>
      <c r="CG151" s="16">
        <f t="shared" si="72"/>
        <v>98520994.489369676</v>
      </c>
      <c r="CH151" s="16">
        <f t="shared" si="72"/>
        <v>98520994.489369676</v>
      </c>
      <c r="CI151" s="16">
        <f t="shared" si="72"/>
        <v>98520994.489369676</v>
      </c>
      <c r="CJ151" s="16">
        <f t="shared" si="72"/>
        <v>98520994.489369676</v>
      </c>
      <c r="CK151" s="16">
        <f t="shared" si="72"/>
        <v>98520994.489369676</v>
      </c>
      <c r="CL151" s="16">
        <f t="shared" si="72"/>
        <v>98520994.489369676</v>
      </c>
      <c r="CM151" s="16">
        <f t="shared" si="72"/>
        <v>98520994.489369676</v>
      </c>
      <c r="CN151" s="16">
        <f t="shared" si="72"/>
        <v>98520994.489369676</v>
      </c>
      <c r="CO151" s="16">
        <f t="shared" si="72"/>
        <v>98520994.489369676</v>
      </c>
      <c r="CP151" s="16">
        <f t="shared" si="72"/>
        <v>69174702.607656583</v>
      </c>
      <c r="CQ151" s="16">
        <f t="shared" si="72"/>
        <v>69174702.607656583</v>
      </c>
      <c r="CR151" s="16">
        <f t="shared" si="72"/>
        <v>69174702.607656583</v>
      </c>
      <c r="CS151" s="16">
        <f t="shared" si="72"/>
        <v>69174702.607656583</v>
      </c>
      <c r="CT151" s="16">
        <f t="shared" si="72"/>
        <v>69174702.607656583</v>
      </c>
      <c r="CU151" s="16">
        <f t="shared" ref="CU151:DZ151" si="73">SUM(CU119:CU150)</f>
        <v>69174702.607656583</v>
      </c>
      <c r="CV151" s="16">
        <f t="shared" si="73"/>
        <v>69174702.607656583</v>
      </c>
      <c r="CW151" s="16">
        <f t="shared" si="73"/>
        <v>69174702.607656583</v>
      </c>
      <c r="CX151" s="16">
        <f t="shared" si="73"/>
        <v>69174702.607656583</v>
      </c>
      <c r="CY151" s="16">
        <f t="shared" si="73"/>
        <v>69174702.607656583</v>
      </c>
      <c r="CZ151" s="16">
        <f t="shared" si="73"/>
        <v>69174702.607656583</v>
      </c>
      <c r="DA151" s="16">
        <f t="shared" si="73"/>
        <v>69174702.607656583</v>
      </c>
      <c r="DB151" s="16">
        <f t="shared" si="73"/>
        <v>69174702.607656583</v>
      </c>
      <c r="DC151" s="16">
        <f t="shared" si="73"/>
        <v>90532416.763501719</v>
      </c>
      <c r="DD151" s="16">
        <f t="shared" si="73"/>
        <v>90532416.763501719</v>
      </c>
      <c r="DE151" s="16">
        <f t="shared" si="73"/>
        <v>90532416.763501719</v>
      </c>
      <c r="DF151" s="16">
        <f t="shared" si="73"/>
        <v>90532416.763501719</v>
      </c>
      <c r="DG151" s="16">
        <f t="shared" si="73"/>
        <v>90532416.763501719</v>
      </c>
      <c r="DH151" s="16">
        <f t="shared" si="73"/>
        <v>90532416.763501719</v>
      </c>
      <c r="DI151" s="16">
        <f t="shared" si="73"/>
        <v>90532416.763501719</v>
      </c>
      <c r="DJ151" s="16">
        <f t="shared" si="73"/>
        <v>90532416.763501719</v>
      </c>
      <c r="DK151" s="16">
        <f t="shared" si="73"/>
        <v>90532416.763501719</v>
      </c>
      <c r="DL151" s="16">
        <f t="shared" si="73"/>
        <v>90532416.763501719</v>
      </c>
      <c r="DM151" s="16">
        <f t="shared" si="73"/>
        <v>90532416.763501719</v>
      </c>
      <c r="DN151" s="16">
        <f t="shared" si="73"/>
        <v>90532416.763501719</v>
      </c>
      <c r="DO151" s="16">
        <f t="shared" si="73"/>
        <v>90532416.763501719</v>
      </c>
      <c r="DP151" s="16">
        <f t="shared" si="73"/>
        <v>87375027.356294572</v>
      </c>
      <c r="DQ151" s="16">
        <f t="shared" si="73"/>
        <v>87375027.356294572</v>
      </c>
      <c r="DR151" s="16">
        <f t="shared" si="73"/>
        <v>87375027.356294572</v>
      </c>
      <c r="DS151" s="16">
        <f t="shared" si="73"/>
        <v>87375027.356294572</v>
      </c>
      <c r="DT151" s="16">
        <f t="shared" si="73"/>
        <v>87375027.356294572</v>
      </c>
      <c r="DU151" s="16">
        <f t="shared" si="73"/>
        <v>87375027.356294572</v>
      </c>
      <c r="DV151" s="16">
        <f t="shared" si="73"/>
        <v>87375027.356294572</v>
      </c>
      <c r="DW151" s="16">
        <f t="shared" si="73"/>
        <v>87375027.356294572</v>
      </c>
      <c r="DX151" s="16">
        <f t="shared" si="73"/>
        <v>87375027.356294572</v>
      </c>
      <c r="DY151" s="16">
        <f t="shared" si="73"/>
        <v>87375027.356294572</v>
      </c>
      <c r="DZ151" s="16">
        <f t="shared" si="73"/>
        <v>87375027.356294572</v>
      </c>
      <c r="EA151" s="16">
        <f t="shared" ref="EA151:FF151" si="74">SUM(EA119:EA150)</f>
        <v>87375027.356294572</v>
      </c>
      <c r="EB151" s="16">
        <f t="shared" si="74"/>
        <v>87375027.356294572</v>
      </c>
      <c r="EC151" s="16">
        <f t="shared" si="74"/>
        <v>59350322.684150733</v>
      </c>
      <c r="ED151" s="16">
        <f t="shared" si="74"/>
        <v>59350322.684150733</v>
      </c>
      <c r="EE151" s="16">
        <f t="shared" si="74"/>
        <v>59350322.684150733</v>
      </c>
      <c r="EF151" s="16">
        <f t="shared" si="74"/>
        <v>59350322.684150733</v>
      </c>
      <c r="EG151" s="16">
        <f t="shared" si="74"/>
        <v>59350322.684150733</v>
      </c>
      <c r="EH151" s="16">
        <f t="shared" si="74"/>
        <v>59350322.684150733</v>
      </c>
      <c r="EI151" s="16">
        <f t="shared" si="74"/>
        <v>59350322.684150733</v>
      </c>
      <c r="EJ151" s="16">
        <f t="shared" si="74"/>
        <v>59350322.684150733</v>
      </c>
      <c r="EK151" s="16">
        <f t="shared" si="74"/>
        <v>59350322.684150733</v>
      </c>
      <c r="EL151" s="16">
        <f t="shared" si="74"/>
        <v>59350322.684150733</v>
      </c>
      <c r="EM151" s="16">
        <f t="shared" si="74"/>
        <v>59350322.684150733</v>
      </c>
      <c r="EN151" s="16">
        <f t="shared" si="74"/>
        <v>59350322.684150733</v>
      </c>
      <c r="EO151" s="16">
        <f t="shared" si="74"/>
        <v>59350322.684150733</v>
      </c>
      <c r="EP151" s="16">
        <f t="shared" si="74"/>
        <v>70400144</v>
      </c>
      <c r="EQ151" s="16">
        <f t="shared" si="74"/>
        <v>70400144</v>
      </c>
      <c r="ER151" s="16">
        <f t="shared" si="74"/>
        <v>70400144</v>
      </c>
      <c r="ES151" s="16">
        <f t="shared" si="74"/>
        <v>70400144</v>
      </c>
      <c r="ET151" s="16">
        <f t="shared" si="74"/>
        <v>70400144</v>
      </c>
      <c r="EU151" s="16">
        <f t="shared" si="74"/>
        <v>70400144</v>
      </c>
      <c r="EV151" s="16">
        <f t="shared" si="74"/>
        <v>70400144</v>
      </c>
      <c r="EW151" s="16">
        <f t="shared" si="74"/>
        <v>70400144</v>
      </c>
      <c r="EX151" s="16">
        <f t="shared" si="74"/>
        <v>70400144</v>
      </c>
      <c r="EY151" s="16">
        <f t="shared" si="74"/>
        <v>70400144</v>
      </c>
      <c r="EZ151" s="16">
        <f t="shared" si="74"/>
        <v>70400144</v>
      </c>
      <c r="FA151" s="16">
        <f t="shared" si="74"/>
        <v>70400144</v>
      </c>
      <c r="FB151" s="16">
        <f t="shared" si="74"/>
        <v>70400144</v>
      </c>
      <c r="FC151" s="16">
        <f t="shared" si="74"/>
        <v>68987694</v>
      </c>
      <c r="FD151" s="16">
        <f t="shared" si="74"/>
        <v>68987694</v>
      </c>
      <c r="FE151" s="16">
        <f t="shared" si="74"/>
        <v>68987694</v>
      </c>
      <c r="FF151" s="16">
        <f t="shared" si="74"/>
        <v>68987694</v>
      </c>
      <c r="FG151" s="16">
        <f t="shared" ref="FG151:GL151" si="75">SUM(FG119:FG150)</f>
        <v>68987694</v>
      </c>
      <c r="FH151" s="16">
        <f t="shared" si="75"/>
        <v>68987694</v>
      </c>
      <c r="FI151" s="16">
        <f t="shared" si="75"/>
        <v>68987694</v>
      </c>
      <c r="FJ151" s="16">
        <f t="shared" si="75"/>
        <v>0</v>
      </c>
      <c r="FK151" s="16">
        <f t="shared" si="75"/>
        <v>0</v>
      </c>
      <c r="FL151" s="16">
        <f t="shared" si="75"/>
        <v>0</v>
      </c>
      <c r="FM151" s="16">
        <f t="shared" si="75"/>
        <v>0</v>
      </c>
      <c r="FN151" s="16">
        <f t="shared" si="75"/>
        <v>0</v>
      </c>
      <c r="FO151" s="16">
        <f t="shared" si="75"/>
        <v>68987694</v>
      </c>
    </row>
    <row r="152" spans="2:171" ht="14.25" customHeight="1" thickTop="1" x14ac:dyDescent="0.3">
      <c r="B152" s="4" t="s">
        <v>83</v>
      </c>
    </row>
    <row r="153" spans="2:171" ht="14.25" customHeight="1" x14ac:dyDescent="0.3">
      <c r="C153" s="38" t="s">
        <v>4</v>
      </c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8" t="s">
        <v>5</v>
      </c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8" t="s">
        <v>6</v>
      </c>
      <c r="AD153" s="39"/>
      <c r="AE153" s="39"/>
      <c r="AF153" s="39"/>
      <c r="AG153" s="39"/>
      <c r="AH153" s="39"/>
      <c r="AI153" s="39"/>
      <c r="AJ153" s="39"/>
      <c r="AK153" s="39"/>
      <c r="AL153" s="39"/>
      <c r="AM153" s="39"/>
      <c r="AN153" s="39"/>
      <c r="AO153" s="39"/>
      <c r="AP153" s="38" t="s">
        <v>7</v>
      </c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8" t="s">
        <v>8</v>
      </c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8" t="s">
        <v>9</v>
      </c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  <c r="CC153" s="38" t="s">
        <v>10</v>
      </c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8" t="s">
        <v>11</v>
      </c>
      <c r="CQ153" s="39"/>
      <c r="CR153" s="39"/>
      <c r="CS153" s="39"/>
      <c r="CT153" s="39"/>
      <c r="CU153" s="39"/>
      <c r="CV153" s="39"/>
      <c r="CW153" s="39"/>
      <c r="CX153" s="39"/>
      <c r="CY153" s="39"/>
      <c r="CZ153" s="39"/>
      <c r="DA153" s="39"/>
      <c r="DB153" s="39"/>
      <c r="DC153" s="38" t="s">
        <v>12</v>
      </c>
      <c r="DD153" s="39"/>
      <c r="DE153" s="39"/>
      <c r="DF153" s="39"/>
      <c r="DG153" s="39"/>
      <c r="DH153" s="39"/>
      <c r="DI153" s="39"/>
      <c r="DJ153" s="39"/>
      <c r="DK153" s="39"/>
      <c r="DL153" s="39"/>
      <c r="DM153" s="39"/>
      <c r="DN153" s="39"/>
      <c r="DO153" s="39"/>
      <c r="DP153" s="38" t="s">
        <v>13</v>
      </c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8" t="s">
        <v>14</v>
      </c>
      <c r="ED153" s="39"/>
      <c r="EE153" s="39"/>
      <c r="EF153" s="39"/>
      <c r="EG153" s="39"/>
      <c r="EH153" s="39"/>
      <c r="EI153" s="39"/>
      <c r="EJ153" s="39"/>
      <c r="EK153" s="39"/>
      <c r="EL153" s="39"/>
      <c r="EM153" s="39"/>
      <c r="EN153" s="39"/>
      <c r="EO153" s="39"/>
      <c r="EP153" s="38" t="s">
        <v>15</v>
      </c>
      <c r="EQ153" s="39"/>
      <c r="ER153" s="39"/>
      <c r="ES153" s="39"/>
      <c r="ET153" s="39"/>
      <c r="EU153" s="39"/>
      <c r="EV153" s="39"/>
      <c r="EW153" s="39"/>
      <c r="EX153" s="39"/>
      <c r="EY153" s="39"/>
      <c r="EZ153" s="39"/>
      <c r="FA153" s="39"/>
      <c r="FB153" s="39"/>
      <c r="FC153" s="38" t="s">
        <v>16</v>
      </c>
      <c r="FD153" s="39"/>
      <c r="FE153" s="39"/>
      <c r="FF153" s="39"/>
      <c r="FG153" s="39"/>
      <c r="FH153" s="39"/>
      <c r="FI153" s="39"/>
      <c r="FJ153" s="39"/>
      <c r="FK153" s="39"/>
      <c r="FL153" s="39"/>
      <c r="FM153" s="39"/>
      <c r="FN153" s="39"/>
      <c r="FO153" s="39"/>
    </row>
    <row r="154" spans="2:171" ht="14.25" customHeight="1" x14ac:dyDescent="0.3">
      <c r="B154" s="5" t="s">
        <v>17</v>
      </c>
      <c r="C154" s="6" t="s">
        <v>18</v>
      </c>
      <c r="D154" s="6" t="s">
        <v>19</v>
      </c>
      <c r="E154" s="6" t="s">
        <v>20</v>
      </c>
      <c r="F154" s="6" t="s">
        <v>21</v>
      </c>
      <c r="G154" s="6" t="s">
        <v>22</v>
      </c>
      <c r="H154" s="6" t="s">
        <v>23</v>
      </c>
      <c r="I154" s="6" t="s">
        <v>24</v>
      </c>
      <c r="J154" s="6" t="s">
        <v>25</v>
      </c>
      <c r="K154" s="6" t="s">
        <v>26</v>
      </c>
      <c r="L154" s="6" t="s">
        <v>27</v>
      </c>
      <c r="M154" s="6" t="s">
        <v>28</v>
      </c>
      <c r="N154" s="6" t="s">
        <v>29</v>
      </c>
      <c r="O154" s="6" t="s">
        <v>30</v>
      </c>
      <c r="P154" s="6" t="s">
        <v>18</v>
      </c>
      <c r="Q154" s="6" t="s">
        <v>19</v>
      </c>
      <c r="R154" s="6" t="s">
        <v>20</v>
      </c>
      <c r="S154" s="6" t="s">
        <v>21</v>
      </c>
      <c r="T154" s="6" t="s">
        <v>22</v>
      </c>
      <c r="U154" s="6" t="s">
        <v>23</v>
      </c>
      <c r="V154" s="6" t="s">
        <v>24</v>
      </c>
      <c r="W154" s="6" t="s">
        <v>25</v>
      </c>
      <c r="X154" s="6" t="s">
        <v>26</v>
      </c>
      <c r="Y154" s="6" t="s">
        <v>27</v>
      </c>
      <c r="Z154" s="6" t="s">
        <v>28</v>
      </c>
      <c r="AA154" s="6" t="s">
        <v>29</v>
      </c>
      <c r="AB154" s="6" t="s">
        <v>31</v>
      </c>
      <c r="AC154" s="6" t="s">
        <v>18</v>
      </c>
      <c r="AD154" s="6" t="s">
        <v>19</v>
      </c>
      <c r="AE154" s="6" t="s">
        <v>20</v>
      </c>
      <c r="AF154" s="6" t="s">
        <v>21</v>
      </c>
      <c r="AG154" s="6" t="s">
        <v>22</v>
      </c>
      <c r="AH154" s="6" t="s">
        <v>23</v>
      </c>
      <c r="AI154" s="6" t="s">
        <v>24</v>
      </c>
      <c r="AJ154" s="6" t="s">
        <v>25</v>
      </c>
      <c r="AK154" s="6" t="s">
        <v>26</v>
      </c>
      <c r="AL154" s="6" t="s">
        <v>27</v>
      </c>
      <c r="AM154" s="6" t="s">
        <v>28</v>
      </c>
      <c r="AN154" s="6" t="s">
        <v>29</v>
      </c>
      <c r="AO154" s="6" t="s">
        <v>32</v>
      </c>
      <c r="AP154" s="6" t="s">
        <v>18</v>
      </c>
      <c r="AQ154" s="6" t="s">
        <v>19</v>
      </c>
      <c r="AR154" s="6" t="s">
        <v>20</v>
      </c>
      <c r="AS154" s="6" t="s">
        <v>21</v>
      </c>
      <c r="AT154" s="6" t="s">
        <v>22</v>
      </c>
      <c r="AU154" s="6" t="s">
        <v>23</v>
      </c>
      <c r="AV154" s="6" t="s">
        <v>24</v>
      </c>
      <c r="AW154" s="6" t="s">
        <v>25</v>
      </c>
      <c r="AX154" s="6" t="s">
        <v>26</v>
      </c>
      <c r="AY154" s="6" t="s">
        <v>27</v>
      </c>
      <c r="AZ154" s="6" t="s">
        <v>28</v>
      </c>
      <c r="BA154" s="6" t="s">
        <v>29</v>
      </c>
      <c r="BB154" s="6" t="s">
        <v>33</v>
      </c>
      <c r="BC154" s="6" t="s">
        <v>18</v>
      </c>
      <c r="BD154" s="6" t="s">
        <v>19</v>
      </c>
      <c r="BE154" s="6" t="s">
        <v>20</v>
      </c>
      <c r="BF154" s="6" t="s">
        <v>21</v>
      </c>
      <c r="BG154" s="6" t="s">
        <v>22</v>
      </c>
      <c r="BH154" s="6" t="s">
        <v>23</v>
      </c>
      <c r="BI154" s="6" t="s">
        <v>24</v>
      </c>
      <c r="BJ154" s="6" t="s">
        <v>25</v>
      </c>
      <c r="BK154" s="6" t="s">
        <v>26</v>
      </c>
      <c r="BL154" s="6" t="s">
        <v>27</v>
      </c>
      <c r="BM154" s="6" t="s">
        <v>28</v>
      </c>
      <c r="BN154" s="6" t="s">
        <v>29</v>
      </c>
      <c r="BO154" s="6" t="s">
        <v>34</v>
      </c>
      <c r="BP154" s="6" t="s">
        <v>18</v>
      </c>
      <c r="BQ154" s="6" t="s">
        <v>19</v>
      </c>
      <c r="BR154" s="6" t="s">
        <v>20</v>
      </c>
      <c r="BS154" s="6" t="s">
        <v>21</v>
      </c>
      <c r="BT154" s="6" t="s">
        <v>22</v>
      </c>
      <c r="BU154" s="6" t="s">
        <v>23</v>
      </c>
      <c r="BV154" s="6" t="s">
        <v>24</v>
      </c>
      <c r="BW154" s="6" t="s">
        <v>25</v>
      </c>
      <c r="BX154" s="6" t="s">
        <v>26</v>
      </c>
      <c r="BY154" s="6" t="s">
        <v>27</v>
      </c>
      <c r="BZ154" s="6" t="s">
        <v>28</v>
      </c>
      <c r="CA154" s="6" t="s">
        <v>29</v>
      </c>
      <c r="CB154" s="6" t="s">
        <v>35</v>
      </c>
      <c r="CC154" s="6" t="s">
        <v>18</v>
      </c>
      <c r="CD154" s="6" t="s">
        <v>19</v>
      </c>
      <c r="CE154" s="6" t="s">
        <v>20</v>
      </c>
      <c r="CF154" s="6" t="s">
        <v>21</v>
      </c>
      <c r="CG154" s="6" t="s">
        <v>22</v>
      </c>
      <c r="CH154" s="6" t="s">
        <v>23</v>
      </c>
      <c r="CI154" s="6" t="s">
        <v>24</v>
      </c>
      <c r="CJ154" s="6" t="s">
        <v>25</v>
      </c>
      <c r="CK154" s="6" t="s">
        <v>26</v>
      </c>
      <c r="CL154" s="6" t="s">
        <v>27</v>
      </c>
      <c r="CM154" s="6" t="s">
        <v>28</v>
      </c>
      <c r="CN154" s="6" t="s">
        <v>29</v>
      </c>
      <c r="CO154" s="6" t="s">
        <v>36</v>
      </c>
      <c r="CP154" s="6" t="s">
        <v>18</v>
      </c>
      <c r="CQ154" s="6" t="s">
        <v>19</v>
      </c>
      <c r="CR154" s="6" t="s">
        <v>20</v>
      </c>
      <c r="CS154" s="6" t="s">
        <v>21</v>
      </c>
      <c r="CT154" s="6" t="s">
        <v>22</v>
      </c>
      <c r="CU154" s="6" t="s">
        <v>23</v>
      </c>
      <c r="CV154" s="6" t="s">
        <v>24</v>
      </c>
      <c r="CW154" s="6" t="s">
        <v>25</v>
      </c>
      <c r="CX154" s="6" t="s">
        <v>26</v>
      </c>
      <c r="CY154" s="6" t="s">
        <v>27</v>
      </c>
      <c r="CZ154" s="6" t="s">
        <v>28</v>
      </c>
      <c r="DA154" s="6" t="s">
        <v>29</v>
      </c>
      <c r="DB154" s="6" t="s">
        <v>37</v>
      </c>
      <c r="DC154" s="6" t="s">
        <v>18</v>
      </c>
      <c r="DD154" s="6" t="s">
        <v>19</v>
      </c>
      <c r="DE154" s="6" t="s">
        <v>20</v>
      </c>
      <c r="DF154" s="6" t="s">
        <v>21</v>
      </c>
      <c r="DG154" s="6" t="s">
        <v>22</v>
      </c>
      <c r="DH154" s="6" t="s">
        <v>23</v>
      </c>
      <c r="DI154" s="6" t="s">
        <v>24</v>
      </c>
      <c r="DJ154" s="6" t="s">
        <v>25</v>
      </c>
      <c r="DK154" s="6" t="s">
        <v>26</v>
      </c>
      <c r="DL154" s="6" t="s">
        <v>27</v>
      </c>
      <c r="DM154" s="6" t="s">
        <v>28</v>
      </c>
      <c r="DN154" s="6" t="s">
        <v>29</v>
      </c>
      <c r="DO154" s="6" t="s">
        <v>38</v>
      </c>
      <c r="DP154" s="6" t="s">
        <v>18</v>
      </c>
      <c r="DQ154" s="6" t="s">
        <v>19</v>
      </c>
      <c r="DR154" s="6" t="s">
        <v>20</v>
      </c>
      <c r="DS154" s="6" t="s">
        <v>21</v>
      </c>
      <c r="DT154" s="6" t="s">
        <v>22</v>
      </c>
      <c r="DU154" s="6" t="s">
        <v>23</v>
      </c>
      <c r="DV154" s="6" t="s">
        <v>24</v>
      </c>
      <c r="DW154" s="6" t="s">
        <v>25</v>
      </c>
      <c r="DX154" s="6" t="s">
        <v>26</v>
      </c>
      <c r="DY154" s="6" t="s">
        <v>27</v>
      </c>
      <c r="DZ154" s="6" t="s">
        <v>28</v>
      </c>
      <c r="EA154" s="6" t="s">
        <v>29</v>
      </c>
      <c r="EB154" s="6" t="s">
        <v>39</v>
      </c>
      <c r="EC154" s="6" t="s">
        <v>18</v>
      </c>
      <c r="ED154" s="6" t="s">
        <v>19</v>
      </c>
      <c r="EE154" s="6" t="s">
        <v>20</v>
      </c>
      <c r="EF154" s="6" t="s">
        <v>21</v>
      </c>
      <c r="EG154" s="6" t="s">
        <v>22</v>
      </c>
      <c r="EH154" s="6" t="s">
        <v>23</v>
      </c>
      <c r="EI154" s="6" t="s">
        <v>24</v>
      </c>
      <c r="EJ154" s="6" t="s">
        <v>25</v>
      </c>
      <c r="EK154" s="6" t="s">
        <v>26</v>
      </c>
      <c r="EL154" s="6" t="s">
        <v>27</v>
      </c>
      <c r="EM154" s="6" t="s">
        <v>28</v>
      </c>
      <c r="EN154" s="6" t="s">
        <v>29</v>
      </c>
      <c r="EO154" s="6" t="s">
        <v>40</v>
      </c>
      <c r="EP154" s="6" t="s">
        <v>18</v>
      </c>
      <c r="EQ154" s="6" t="s">
        <v>19</v>
      </c>
      <c r="ER154" s="6" t="s">
        <v>20</v>
      </c>
      <c r="ES154" s="6" t="s">
        <v>21</v>
      </c>
      <c r="ET154" s="6" t="s">
        <v>22</v>
      </c>
      <c r="EU154" s="6" t="s">
        <v>23</v>
      </c>
      <c r="EV154" s="6" t="s">
        <v>24</v>
      </c>
      <c r="EW154" s="6" t="s">
        <v>25</v>
      </c>
      <c r="EX154" s="6" t="s">
        <v>26</v>
      </c>
      <c r="EY154" s="6" t="s">
        <v>27</v>
      </c>
      <c r="EZ154" s="6" t="s">
        <v>28</v>
      </c>
      <c r="FA154" s="6" t="s">
        <v>29</v>
      </c>
      <c r="FB154" s="6" t="s">
        <v>41</v>
      </c>
      <c r="FC154" s="6" t="s">
        <v>18</v>
      </c>
      <c r="FD154" s="6" t="s">
        <v>19</v>
      </c>
      <c r="FE154" s="6" t="s">
        <v>20</v>
      </c>
      <c r="FF154" s="6" t="s">
        <v>21</v>
      </c>
      <c r="FG154" s="6" t="s">
        <v>22</v>
      </c>
      <c r="FH154" s="6" t="s">
        <v>23</v>
      </c>
      <c r="FI154" s="6" t="s">
        <v>24</v>
      </c>
      <c r="FJ154" s="6" t="s">
        <v>25</v>
      </c>
      <c r="FK154" s="6" t="s">
        <v>26</v>
      </c>
      <c r="FL154" s="6" t="s">
        <v>27</v>
      </c>
      <c r="FM154" s="6" t="s">
        <v>28</v>
      </c>
      <c r="FN154" s="6" t="s">
        <v>29</v>
      </c>
      <c r="FO154" s="6" t="s">
        <v>42</v>
      </c>
    </row>
    <row r="155" spans="2:171" ht="14.25" customHeight="1" x14ac:dyDescent="0.3">
      <c r="B155" s="7" t="s">
        <v>43</v>
      </c>
      <c r="C155" s="8">
        <f>+MINVU_Mes_Corriente!C155*SALUD_Mes_Constante!$C$1</f>
        <v>4510590.8043897385</v>
      </c>
      <c r="D155" s="8">
        <f>+MINVU_Mes_Corriente!D155*SALUD_Mes_Constante!$C$1</f>
        <v>4510590.8043897385</v>
      </c>
      <c r="E155" s="8">
        <f>+MINVU_Mes_Corriente!E155*SALUD_Mes_Constante!$C$1</f>
        <v>4510590.8043897385</v>
      </c>
      <c r="F155" s="8">
        <f>+MINVU_Mes_Corriente!F155*SALUD_Mes_Constante!$C$1</f>
        <v>4510590.8043897385</v>
      </c>
      <c r="G155" s="8">
        <f>+MINVU_Mes_Corriente!G155*SALUD_Mes_Constante!$C$1</f>
        <v>4510590.8043897385</v>
      </c>
      <c r="H155" s="8">
        <f>+MINVU_Mes_Corriente!H155*SALUD_Mes_Constante!$C$1</f>
        <v>4609431.9730090471</v>
      </c>
      <c r="I155" s="8">
        <f>+MINVU_Mes_Corriente!I155*SALUD_Mes_Constante!$C$1</f>
        <v>4609431.9730090471</v>
      </c>
      <c r="J155" s="8">
        <f>+MINVU_Mes_Corriente!J155*SALUD_Mes_Constante!$C$1</f>
        <v>4609431.9730090471</v>
      </c>
      <c r="K155" s="8">
        <f>+MINVU_Mes_Corriente!K155*SALUD_Mes_Constante!$C$1</f>
        <v>4609431.9730090471</v>
      </c>
      <c r="L155" s="8">
        <f>+MINVU_Mes_Corriente!L155*SALUD_Mes_Constante!$C$1</f>
        <v>4609431.9730090471</v>
      </c>
      <c r="M155" s="8">
        <f>+MINVU_Mes_Corriente!M155*SALUD_Mes_Constante!$C$1</f>
        <v>4609431.9730090471</v>
      </c>
      <c r="N155" s="8">
        <f>+MINVU_Mes_Corriente!N155*SALUD_Mes_Constante!$C$1</f>
        <v>5690700.8862524107</v>
      </c>
      <c r="O155" s="9">
        <f t="shared" ref="O155:O186" si="76">N155</f>
        <v>5690700.8862524107</v>
      </c>
      <c r="P155" s="8">
        <f>+MINVU_Mes_Corriente!P155*SALUD_Mes_Constante!$P$1</f>
        <v>2752422.2267367514</v>
      </c>
      <c r="Q155" s="8">
        <f>+MINVU_Mes_Corriente!Q155*SALUD_Mes_Constante!$P$1</f>
        <v>2752422.2267367514</v>
      </c>
      <c r="R155" s="8">
        <f>+MINVU_Mes_Corriente!R155*SALUD_Mes_Constante!$P$1</f>
        <v>2752422.2267367514</v>
      </c>
      <c r="S155" s="8">
        <f>+MINVU_Mes_Corriente!S155*SALUD_Mes_Constante!$P$1</f>
        <v>2752422.2267367514</v>
      </c>
      <c r="T155" s="8">
        <f>+MINVU_Mes_Corriente!T155*SALUD_Mes_Constante!$P$1</f>
        <v>2752422.2267367514</v>
      </c>
      <c r="U155" s="8">
        <f>+MINVU_Mes_Corriente!U155*SALUD_Mes_Constante!$P$1</f>
        <v>2752422.2267367514</v>
      </c>
      <c r="V155" s="8">
        <f>+MINVU_Mes_Corriente!V155*SALUD_Mes_Constante!$P$1</f>
        <v>2752422.2267367514</v>
      </c>
      <c r="W155" s="8">
        <f>+MINVU_Mes_Corriente!W155*SALUD_Mes_Constante!$P$1</f>
        <v>2754792.4500639285</v>
      </c>
      <c r="X155" s="8">
        <f>+MINVU_Mes_Corriente!X155*SALUD_Mes_Constante!$P$1</f>
        <v>4311658.1980394926</v>
      </c>
      <c r="Y155" s="8">
        <f>+MINVU_Mes_Corriente!Y155*SALUD_Mes_Constante!$P$1</f>
        <v>4311658.1980394926</v>
      </c>
      <c r="Z155" s="8">
        <f>+MINVU_Mes_Corriente!Z155*SALUD_Mes_Constante!$P$1</f>
        <v>4311658.1980394926</v>
      </c>
      <c r="AA155" s="8">
        <f>+MINVU_Mes_Corriente!AA155*SALUD_Mes_Constante!$P$1</f>
        <v>4086587.8755505029</v>
      </c>
      <c r="AB155" s="9">
        <f t="shared" ref="AB155:AB186" si="77">AA155</f>
        <v>4086587.8755505029</v>
      </c>
      <c r="AC155" s="8">
        <f>+MINVU_Mes_Corriente!AC155*SALUD_Mes_Constante!$AC$1</f>
        <v>4357512.186747821</v>
      </c>
      <c r="AD155" s="8">
        <f>+MINVU_Mes_Corriente!AD155*SALUD_Mes_Constante!$AC$1</f>
        <v>4357512.186747821</v>
      </c>
      <c r="AE155" s="8">
        <f>+MINVU_Mes_Corriente!AE155*SALUD_Mes_Constante!$AC$1</f>
        <v>4357512.186747821</v>
      </c>
      <c r="AF155" s="8">
        <f>+MINVU_Mes_Corriente!AF155*SALUD_Mes_Constante!$AC$1</f>
        <v>4357512.186747821</v>
      </c>
      <c r="AG155" s="8">
        <f>+MINVU_Mes_Corriente!AG155*SALUD_Mes_Constante!$AC$1</f>
        <v>4357512.186747821</v>
      </c>
      <c r="AH155" s="8">
        <f>+MINVU_Mes_Corriente!AH155*SALUD_Mes_Constante!$AC$1</f>
        <v>4357512.186747821</v>
      </c>
      <c r="AI155" s="8">
        <f>+MINVU_Mes_Corriente!AI155*SALUD_Mes_Constante!$AC$1</f>
        <v>4357512.186747821</v>
      </c>
      <c r="AJ155" s="8">
        <f>+MINVU_Mes_Corriente!AJ155*SALUD_Mes_Constante!$AC$1</f>
        <v>4357512.186747821</v>
      </c>
      <c r="AK155" s="8">
        <f>+MINVU_Mes_Corriente!AK155*SALUD_Mes_Constante!$AC$1</f>
        <v>4236963.4477797756</v>
      </c>
      <c r="AL155" s="8">
        <f>+MINVU_Mes_Corriente!AL155*SALUD_Mes_Constante!$AC$1</f>
        <v>4236963.4477797756</v>
      </c>
      <c r="AM155" s="8">
        <f>+MINVU_Mes_Corriente!AM155*SALUD_Mes_Constante!$AC$1</f>
        <v>4236963.4477797756</v>
      </c>
      <c r="AN155" s="8">
        <f>+MINVU_Mes_Corriente!AN155*SALUD_Mes_Constante!$AC$1</f>
        <v>4240200.8930695811</v>
      </c>
      <c r="AO155" s="9">
        <f t="shared" ref="AO155:AO186" si="78">AN155</f>
        <v>4240200.8930695811</v>
      </c>
      <c r="AP155" s="8">
        <f>+MINVU_Mes_Corriente!AP155*SALUD_Mes_Constante!$AP$1</f>
        <v>3202549.0777762746</v>
      </c>
      <c r="AQ155" s="8">
        <f>+MINVU_Mes_Corriente!AQ155*SALUD_Mes_Constante!$AP$1</f>
        <v>3202549.0777762746</v>
      </c>
      <c r="AR155" s="8">
        <f>+MINVU_Mes_Corriente!AR155*SALUD_Mes_Constante!$AP$1</f>
        <v>3202549.0777762746</v>
      </c>
      <c r="AS155" s="8">
        <f>+MINVU_Mes_Corriente!AS155*SALUD_Mes_Constante!$AP$1</f>
        <v>3202549.0777762746</v>
      </c>
      <c r="AT155" s="8">
        <f>+MINVU_Mes_Corriente!AT155*SALUD_Mes_Constante!$AP$1</f>
        <v>3202549.0777762746</v>
      </c>
      <c r="AU155" s="8">
        <f>+MINVU_Mes_Corriente!AU155*SALUD_Mes_Constante!$AP$1</f>
        <v>3202549.0777762746</v>
      </c>
      <c r="AV155" s="8">
        <f>+MINVU_Mes_Corriente!AV155*SALUD_Mes_Constante!$AP$1</f>
        <v>3202549.0777762746</v>
      </c>
      <c r="AW155" s="8">
        <f>+MINVU_Mes_Corriente!AW155*SALUD_Mes_Constante!$AP$1</f>
        <v>3202549.0777762746</v>
      </c>
      <c r="AX155" s="8">
        <f>+MINVU_Mes_Corriente!AX155*SALUD_Mes_Constante!$AP$1</f>
        <v>3202549.0777762746</v>
      </c>
      <c r="AY155" s="8">
        <f>+MINVU_Mes_Corriente!AY155*SALUD_Mes_Constante!$AP$1</f>
        <v>3202549.0777762746</v>
      </c>
      <c r="AZ155" s="8">
        <f>+MINVU_Mes_Corriente!AZ155*SALUD_Mes_Constante!$AP$1</f>
        <v>3202549.0777762746</v>
      </c>
      <c r="BA155" s="8">
        <f>+MINVU_Mes_Corriente!BA155*SALUD_Mes_Constante!$AP$1</f>
        <v>3202549.0777762746</v>
      </c>
      <c r="BB155" s="9">
        <f t="shared" ref="BB155:BB186" si="79">BA155</f>
        <v>3202549.0777762746</v>
      </c>
      <c r="BC155" s="8">
        <f>+MINVU_Mes_Corriente!BC155*SALUD_Mes_Constante!$BC$1</f>
        <v>3028023.5423974688</v>
      </c>
      <c r="BD155" s="8">
        <f>+MINVU_Mes_Corriente!BD155*SALUD_Mes_Constante!$BC$1</f>
        <v>3028023.5423974688</v>
      </c>
      <c r="BE155" s="8">
        <f>+MINVU_Mes_Corriente!BE155*SALUD_Mes_Constante!$BC$1</f>
        <v>3028023.5423974688</v>
      </c>
      <c r="BF155" s="8">
        <f>+MINVU_Mes_Corriente!BF155*SALUD_Mes_Constante!$BC$1</f>
        <v>3028023.5423974688</v>
      </c>
      <c r="BG155" s="8">
        <f>+MINVU_Mes_Corriente!BG155*SALUD_Mes_Constante!$BC$1</f>
        <v>3028023.5423974688</v>
      </c>
      <c r="BH155" s="8">
        <f>+MINVU_Mes_Corriente!BH155*SALUD_Mes_Constante!$BC$1</f>
        <v>3028023.5423974688</v>
      </c>
      <c r="BI155" s="8">
        <f>+MINVU_Mes_Corriente!BI155*SALUD_Mes_Constante!$BC$1</f>
        <v>2675842.6707108011</v>
      </c>
      <c r="BJ155" s="8">
        <f>+MINVU_Mes_Corriente!BJ155*SALUD_Mes_Constante!$BC$1</f>
        <v>2675842.6707108011</v>
      </c>
      <c r="BK155" s="8">
        <f>+MINVU_Mes_Corriente!BK155*SALUD_Mes_Constante!$BC$1</f>
        <v>2675842.6707108011</v>
      </c>
      <c r="BL155" s="8">
        <f>+MINVU_Mes_Corriente!BL155*SALUD_Mes_Constante!$BC$1</f>
        <v>2675842.6707108011</v>
      </c>
      <c r="BM155" s="8">
        <f>+MINVU_Mes_Corriente!BM155*SALUD_Mes_Constante!$BC$1</f>
        <v>2675842.6707108011</v>
      </c>
      <c r="BN155" s="8">
        <f>+MINVU_Mes_Corriente!BN155*SALUD_Mes_Constante!$BC$1</f>
        <v>2675842.6707108011</v>
      </c>
      <c r="BO155" s="9">
        <f t="shared" ref="BO155:BO186" si="80">BN155</f>
        <v>2675842.6707108011</v>
      </c>
      <c r="BP155" s="8">
        <f>+MINVU_Mes_Corriente!BP155*SALUD_Mes_Constante!$BP$1</f>
        <v>592804.74929577473</v>
      </c>
      <c r="BQ155" s="8">
        <f>+MINVU_Mes_Corriente!BQ155*SALUD_Mes_Constante!$BP$1</f>
        <v>592804.74929577473</v>
      </c>
      <c r="BR155" s="8">
        <f>+MINVU_Mes_Corriente!BR155*SALUD_Mes_Constante!$BP$1</f>
        <v>592804.74929577473</v>
      </c>
      <c r="BS155" s="8">
        <f>+MINVU_Mes_Corriente!BS155*SALUD_Mes_Constante!$BP$1</f>
        <v>592804.74929577473</v>
      </c>
      <c r="BT155" s="8">
        <f>+MINVU_Mes_Corriente!BT155*SALUD_Mes_Constante!$BP$1</f>
        <v>592804.74929577473</v>
      </c>
      <c r="BU155" s="8">
        <f>+MINVU_Mes_Corriente!BU155*SALUD_Mes_Constante!$BP$1</f>
        <v>592804.74929577473</v>
      </c>
      <c r="BV155" s="8">
        <f>+MINVU_Mes_Corriente!BV155*SALUD_Mes_Constante!$BP$1</f>
        <v>592804.74929577473</v>
      </c>
      <c r="BW155" s="8">
        <f>+MINVU_Mes_Corriente!BW155*SALUD_Mes_Constante!$BP$1</f>
        <v>592804.74929577473</v>
      </c>
      <c r="BX155" s="8">
        <f>+MINVU_Mes_Corriente!BX155*SALUD_Mes_Constante!$BP$1</f>
        <v>592804.74929577473</v>
      </c>
      <c r="BY155" s="8">
        <f>+MINVU_Mes_Corriente!BY155*SALUD_Mes_Constante!$BP$1</f>
        <v>592804.74929577473</v>
      </c>
      <c r="BZ155" s="8">
        <f>+MINVU_Mes_Corriente!BZ155*SALUD_Mes_Constante!$BP$1</f>
        <v>592804.74929577473</v>
      </c>
      <c r="CA155" s="8">
        <f>+MINVU_Mes_Corriente!CA155*SALUD_Mes_Constante!$BP$1</f>
        <v>592804.74929577473</v>
      </c>
      <c r="CB155" s="9">
        <f t="shared" ref="CB155:CB186" si="81">CA155</f>
        <v>592804.74929577473</v>
      </c>
      <c r="CC155" s="8">
        <f>+MINVU_Mes_Corriente!CC155*SALUD_Mes_Constante!$CC$1</f>
        <v>1522241.8903394258</v>
      </c>
      <c r="CD155" s="8">
        <f>+MINVU_Mes_Corriente!CD155*SALUD_Mes_Constante!$CC$1</f>
        <v>1522241.8903394258</v>
      </c>
      <c r="CE155" s="8">
        <f>+MINVU_Mes_Corriente!CE155*SALUD_Mes_Constante!$CC$1</f>
        <v>1522241.8903394258</v>
      </c>
      <c r="CF155" s="8">
        <f>+MINVU_Mes_Corriente!CF155*SALUD_Mes_Constante!$CC$1</f>
        <v>1522241.8903394258</v>
      </c>
      <c r="CG155" s="8">
        <f>+MINVU_Mes_Corriente!CG155*SALUD_Mes_Constante!$CC$1</f>
        <v>1522241.8903394258</v>
      </c>
      <c r="CH155" s="8">
        <f>+MINVU_Mes_Corriente!CH155*SALUD_Mes_Constante!$CC$1</f>
        <v>1522241.8903394258</v>
      </c>
      <c r="CI155" s="8">
        <f>+MINVU_Mes_Corriente!CI155*SALUD_Mes_Constante!$CC$1</f>
        <v>2801491.3338306607</v>
      </c>
      <c r="CJ155" s="8">
        <f>+MINVU_Mes_Corriente!CJ155*SALUD_Mes_Constante!$CC$1</f>
        <v>2801491.3338306607</v>
      </c>
      <c r="CK155" s="8">
        <f>+MINVU_Mes_Corriente!CK155*SALUD_Mes_Constante!$CC$1</f>
        <v>2801491.3338306607</v>
      </c>
      <c r="CL155" s="8">
        <f>+MINVU_Mes_Corriente!CL155*SALUD_Mes_Constante!$CC$1</f>
        <v>2801491.3338306607</v>
      </c>
      <c r="CM155" s="8">
        <f>+MINVU_Mes_Corriente!CM155*SALUD_Mes_Constante!$CC$1</f>
        <v>2801491.3338306607</v>
      </c>
      <c r="CN155" s="8">
        <f>+MINVU_Mes_Corriente!CN155*SALUD_Mes_Constante!$CC$1</f>
        <v>2685887.3800820592</v>
      </c>
      <c r="CO155" s="9">
        <f t="shared" ref="CO155:CO186" si="82">CN155</f>
        <v>2685887.3800820592</v>
      </c>
      <c r="CP155" s="8">
        <f>+MINVU_Mes_Corriente!CP155*SALUD_Mes_Constante!$CP$1</f>
        <v>750059.7598607887</v>
      </c>
      <c r="CQ155" s="8">
        <f>+MINVU_Mes_Corriente!CQ155*SALUD_Mes_Constante!$CP$1</f>
        <v>750059.7598607887</v>
      </c>
      <c r="CR155" s="8">
        <f>+MINVU_Mes_Corriente!CR155*SALUD_Mes_Constante!$CP$1</f>
        <v>1569611.1612529</v>
      </c>
      <c r="CS155" s="8">
        <f>+MINVU_Mes_Corriente!CS155*SALUD_Mes_Constante!$CP$1</f>
        <v>1569611.1612529</v>
      </c>
      <c r="CT155" s="8">
        <f>+MINVU_Mes_Corriente!CT155*SALUD_Mes_Constante!$CP$1</f>
        <v>1569611.1612529</v>
      </c>
      <c r="CU155" s="8">
        <f>+MINVU_Mes_Corriente!CU155*SALUD_Mes_Constante!$CP$1</f>
        <v>1569611.1612529</v>
      </c>
      <c r="CV155" s="8">
        <f>+MINVU_Mes_Corriente!CV155*SALUD_Mes_Constante!$CP$1</f>
        <v>1673773.2062645007</v>
      </c>
      <c r="CW155" s="8">
        <f>+MINVU_Mes_Corriente!CW155*SALUD_Mes_Constante!$CP$1</f>
        <v>1673773.2062645007</v>
      </c>
      <c r="CX155" s="8">
        <f>+MINVU_Mes_Corriente!CX155*SALUD_Mes_Constante!$CP$1</f>
        <v>1673773.2062645007</v>
      </c>
      <c r="CY155" s="8">
        <f>+MINVU_Mes_Corriente!CY155*SALUD_Mes_Constante!$CP$1</f>
        <v>2382647.5232018558</v>
      </c>
      <c r="CZ155" s="8">
        <f>+MINVU_Mes_Corriente!CZ155*SALUD_Mes_Constante!$CP$1</f>
        <v>2382647.5232018558</v>
      </c>
      <c r="DA155" s="8">
        <f>+MINVU_Mes_Corriente!DA155*SALUD_Mes_Constante!$CP$1</f>
        <v>2193073.8180974475</v>
      </c>
      <c r="DB155" s="9">
        <f t="shared" ref="DB155:DB186" si="83">DA155</f>
        <v>2193073.8180974475</v>
      </c>
      <c r="DC155" s="8">
        <f>+MINVU_Mes_Corriente!DC155*SALUD_Mes_Constante!$DC$1</f>
        <v>401386.91430922766</v>
      </c>
      <c r="DD155" s="8">
        <f>+MINVU_Mes_Corriente!DD155*SALUD_Mes_Constante!$DC$1</f>
        <v>401386.91430922766</v>
      </c>
      <c r="DE155" s="8">
        <f>+MINVU_Mes_Corriente!DE155*SALUD_Mes_Constante!$DC$1</f>
        <v>401386.91430922766</v>
      </c>
      <c r="DF155" s="8">
        <f>+MINVU_Mes_Corriente!DF155*SALUD_Mes_Constante!$DC$1</f>
        <v>401386.91430922766</v>
      </c>
      <c r="DG155" s="8">
        <f>+MINVU_Mes_Corriente!DG155*SALUD_Mes_Constante!$DC$1</f>
        <v>401386.91430922766</v>
      </c>
      <c r="DH155" s="8">
        <f>+MINVU_Mes_Corriente!DH155*SALUD_Mes_Constante!$DC$1</f>
        <v>401386.91430922766</v>
      </c>
      <c r="DI155" s="8">
        <f>+MINVU_Mes_Corriente!DI155*SALUD_Mes_Constante!$DC$1</f>
        <v>401386.91430922766</v>
      </c>
      <c r="DJ155" s="8">
        <f>+MINVU_Mes_Corriente!DJ155*SALUD_Mes_Constante!$DC$1</f>
        <v>1523718.9869355012</v>
      </c>
      <c r="DK155" s="8">
        <f>+MINVU_Mes_Corriente!DK155*SALUD_Mes_Constante!$DC$1</f>
        <v>1523718.9869355012</v>
      </c>
      <c r="DL155" s="8">
        <f>+MINVU_Mes_Corriente!DL155*SALUD_Mes_Constante!$DC$1</f>
        <v>1523718.9869355012</v>
      </c>
      <c r="DM155" s="8">
        <f>+MINVU_Mes_Corriente!DM155*SALUD_Mes_Constante!$DC$1</f>
        <v>1523718.9869355012</v>
      </c>
      <c r="DN155" s="8">
        <f>+MINVU_Mes_Corriente!DN155*SALUD_Mes_Constante!$DC$1</f>
        <v>1484734.4884271172</v>
      </c>
      <c r="DO155" s="9">
        <f t="shared" ref="DO155:DO186" si="84">DN155</f>
        <v>1484734.4884271172</v>
      </c>
      <c r="DP155" s="8">
        <f>+MINVU_Mes_Corriente!DP155*SALUD_Mes_Constante!$DP$1</f>
        <v>1986306.5736342045</v>
      </c>
      <c r="DQ155" s="8">
        <f>+MINVU_Mes_Corriente!DQ155*SALUD_Mes_Constante!$DP$1</f>
        <v>1986306.5736342045</v>
      </c>
      <c r="DR155" s="8">
        <f>+MINVU_Mes_Corriente!DR155*SALUD_Mes_Constante!$DP$1</f>
        <v>1986306.5736342045</v>
      </c>
      <c r="DS155" s="8">
        <f>+MINVU_Mes_Corriente!DS155*SALUD_Mes_Constante!$DP$1</f>
        <v>2384429.7274346794</v>
      </c>
      <c r="DT155" s="8">
        <f>+MINVU_Mes_Corriente!DT155*SALUD_Mes_Constante!$DP$1</f>
        <v>2384429.7274346794</v>
      </c>
      <c r="DU155" s="8">
        <f>+MINVU_Mes_Corriente!DU155*SALUD_Mes_Constante!$DP$1</f>
        <v>2384429.7274346794</v>
      </c>
      <c r="DV155" s="8">
        <f>+MINVU_Mes_Corriente!DV155*SALUD_Mes_Constante!$DP$1</f>
        <v>2384429.7274346794</v>
      </c>
      <c r="DW155" s="8">
        <f>+MINVU_Mes_Corriente!DW155*SALUD_Mes_Constante!$DP$1</f>
        <v>2384429.7274346794</v>
      </c>
      <c r="DX155" s="8">
        <f>+MINVU_Mes_Corriente!DX155*SALUD_Mes_Constante!$DP$1</f>
        <v>2384429.7274346794</v>
      </c>
      <c r="DY155" s="8">
        <f>+MINVU_Mes_Corriente!DY155*SALUD_Mes_Constante!$DP$1</f>
        <v>2384429.7274346794</v>
      </c>
      <c r="DZ155" s="8">
        <f>+MINVU_Mes_Corriente!DZ155*SALUD_Mes_Constante!$DP$1</f>
        <v>2384429.7274346794</v>
      </c>
      <c r="EA155" s="8">
        <f>+MINVU_Mes_Corriente!EA155*SALUD_Mes_Constante!$DP$1</f>
        <v>2442502.7583135394</v>
      </c>
      <c r="EB155" s="9">
        <f t="shared" ref="EB155:EB186" si="85">EA155</f>
        <v>2442502.7583135394</v>
      </c>
      <c r="EC155" s="8">
        <f>+MINVU_Mes_Corriente!EC155*SALUD_Mes_Constante!$EC$1</f>
        <v>1351641.9912895281</v>
      </c>
      <c r="ED155" s="8">
        <f>+MINVU_Mes_Corriente!ED155*SALUD_Mes_Constante!$EC$1</f>
        <v>1351641.9912895281</v>
      </c>
      <c r="EE155" s="8">
        <f>+MINVU_Mes_Corriente!EE155*SALUD_Mes_Constante!$EC$1</f>
        <v>1351641.9912895281</v>
      </c>
      <c r="EF155" s="8">
        <f>+MINVU_Mes_Corriente!EF155*SALUD_Mes_Constante!$EC$1</f>
        <v>1351641.9912895281</v>
      </c>
      <c r="EG155" s="8">
        <f>+MINVU_Mes_Corriente!EG155*SALUD_Mes_Constante!$EC$1</f>
        <v>1351641.9912895281</v>
      </c>
      <c r="EH155" s="8">
        <f>+MINVU_Mes_Corriente!EH155*SALUD_Mes_Constante!$EC$1</f>
        <v>2368113.7776936181</v>
      </c>
      <c r="EI155" s="8">
        <f>+MINVU_Mes_Corriente!EI155*SALUD_Mes_Constante!$EC$1</f>
        <v>2368113.7776936181</v>
      </c>
      <c r="EJ155" s="8">
        <f>+MINVU_Mes_Corriente!EJ155*SALUD_Mes_Constante!$EC$1</f>
        <v>2368113.7776936181</v>
      </c>
      <c r="EK155" s="8">
        <f>+MINVU_Mes_Corriente!EK155*SALUD_Mes_Constante!$EC$1</f>
        <v>2368113.7776936181</v>
      </c>
      <c r="EL155" s="8">
        <f>+MINVU_Mes_Corriente!EL155*SALUD_Mes_Constante!$EC$1</f>
        <v>2368113.7776936181</v>
      </c>
      <c r="EM155" s="8">
        <f>+MINVU_Mes_Corriente!EM155*SALUD_Mes_Constante!$EC$1</f>
        <v>2145730.0577542125</v>
      </c>
      <c r="EN155" s="8">
        <f>+MINVU_Mes_Corriente!EN155*SALUD_Mes_Constante!$EC$1</f>
        <v>1960792.8701003592</v>
      </c>
      <c r="EO155" s="9">
        <f t="shared" ref="EO155:EO186" si="86">EN155</f>
        <v>1960792.8701003592</v>
      </c>
      <c r="EP155" s="8">
        <f>+MINVU_Mes_Corriente!EP155*SALUD_Mes_Constante!$EP$1</f>
        <v>2214895</v>
      </c>
      <c r="EQ155" s="8">
        <f>+MINVU_Mes_Corriente!EQ155*SALUD_Mes_Constante!$EP$1</f>
        <v>2214895</v>
      </c>
      <c r="ER155" s="8">
        <f>+MINVU_Mes_Corriente!ER155*SALUD_Mes_Constante!$EP$1</f>
        <v>2214895</v>
      </c>
      <c r="ES155" s="8">
        <f>+MINVU_Mes_Corriente!ES155*SALUD_Mes_Constante!$EP$1</f>
        <v>2214895</v>
      </c>
      <c r="ET155" s="8">
        <f>+MINVU_Mes_Corriente!ET155*SALUD_Mes_Constante!$EP$1</f>
        <v>2214895</v>
      </c>
      <c r="EU155" s="8">
        <f>+MINVU_Mes_Corriente!EU155*SALUD_Mes_Constante!$EP$1</f>
        <v>2214895</v>
      </c>
      <c r="EV155" s="8">
        <f>+MINVU_Mes_Corriente!EV155*SALUD_Mes_Constante!$EP$1</f>
        <v>2214895</v>
      </c>
      <c r="EW155" s="8">
        <f>+MINVU_Mes_Corriente!EW155*SALUD_Mes_Constante!$EP$1</f>
        <v>2214895</v>
      </c>
      <c r="EX155" s="8">
        <f>+MINVU_Mes_Corriente!EX155*SALUD_Mes_Constante!$EP$1</f>
        <v>2214895</v>
      </c>
      <c r="EY155" s="8">
        <f>+MINVU_Mes_Corriente!EY155*SALUD_Mes_Constante!$EP$1</f>
        <v>2214895</v>
      </c>
      <c r="EZ155" s="8">
        <f>+MINVU_Mes_Corriente!EZ155*SALUD_Mes_Constante!$EP$1</f>
        <v>1884304</v>
      </c>
      <c r="FA155" s="8">
        <f>+MINVU_Mes_Corriente!FA155*SALUD_Mes_Constante!$EP$1</f>
        <v>1832451</v>
      </c>
      <c r="FB155" s="9">
        <f t="shared" ref="FB155:FB186" si="87">FA155</f>
        <v>1832451</v>
      </c>
      <c r="FC155" s="8">
        <f>+MINVU_Mes_Corriente!FC155*SALUD_Mes_Constante!$FC$1</f>
        <v>1538024</v>
      </c>
      <c r="FD155" s="8">
        <f>+MINVU_Mes_Corriente!FD155*SALUD_Mes_Constante!$FC$1</f>
        <v>1538024</v>
      </c>
      <c r="FE155" s="8">
        <f>+MINVU_Mes_Corriente!FE155*SALUD_Mes_Constante!$FC$1</f>
        <v>1538024</v>
      </c>
      <c r="FF155" s="8">
        <f>+MINVU_Mes_Corriente!FF155*SALUD_Mes_Constante!$FC$1</f>
        <v>1538024</v>
      </c>
      <c r="FG155" s="8">
        <f>+MINVU_Mes_Corriente!FG155*SALUD_Mes_Constante!$FC$1</f>
        <v>1491883</v>
      </c>
      <c r="FH155" s="8">
        <f>+MINVU_Mes_Corriente!FH155*SALUD_Mes_Constante!$FC$1</f>
        <v>1491883</v>
      </c>
      <c r="FI155" s="8">
        <f>+MINVU_Mes_Corriente!FI155*SALUD_Mes_Constante!$FC$1</f>
        <v>1491883</v>
      </c>
      <c r="FJ155" s="8"/>
      <c r="FK155" s="8"/>
      <c r="FL155" s="8"/>
      <c r="FM155" s="8"/>
      <c r="FN155" s="8"/>
      <c r="FO155" s="9">
        <f t="shared" ref="FO155:FO186" si="88">FI155</f>
        <v>1491883</v>
      </c>
    </row>
    <row r="156" spans="2:171" ht="14.25" customHeight="1" x14ac:dyDescent="0.3">
      <c r="B156" s="7" t="s">
        <v>44</v>
      </c>
      <c r="C156" s="8">
        <f>+MINVU_Mes_Corriente!C156*SALUD_Mes_Constante!$C$1</f>
        <v>8734349.398487322</v>
      </c>
      <c r="D156" s="8">
        <f>+MINVU_Mes_Corriente!D156*SALUD_Mes_Constante!$C$1</f>
        <v>8734349.398487322</v>
      </c>
      <c r="E156" s="8">
        <f>+MINVU_Mes_Corriente!E156*SALUD_Mes_Constante!$C$1</f>
        <v>8734349.398487322</v>
      </c>
      <c r="F156" s="8">
        <f>+MINVU_Mes_Corriente!F156*SALUD_Mes_Constante!$C$1</f>
        <v>8734349.398487322</v>
      </c>
      <c r="G156" s="8">
        <f>+MINVU_Mes_Corriente!G156*SALUD_Mes_Constante!$C$1</f>
        <v>8734349.398487322</v>
      </c>
      <c r="H156" s="8">
        <f>+MINVU_Mes_Corriente!H156*SALUD_Mes_Constante!$C$1</f>
        <v>7517685.9080527965</v>
      </c>
      <c r="I156" s="8">
        <f>+MINVU_Mes_Corriente!I156*SALUD_Mes_Constante!$C$1</f>
        <v>7086174.5321073718</v>
      </c>
      <c r="J156" s="8">
        <f>+MINVU_Mes_Corriente!J156*SALUD_Mes_Constante!$C$1</f>
        <v>7086174.5321073718</v>
      </c>
      <c r="K156" s="8">
        <f>+MINVU_Mes_Corriente!K156*SALUD_Mes_Constante!$C$1</f>
        <v>4835052.3336793715</v>
      </c>
      <c r="L156" s="8">
        <f>+MINVU_Mes_Corriente!L156*SALUD_Mes_Constante!$C$1</f>
        <v>4835052.3336793715</v>
      </c>
      <c r="M156" s="8">
        <f>+MINVU_Mes_Corriente!M156*SALUD_Mes_Constante!$C$1</f>
        <v>3171557.0861634291</v>
      </c>
      <c r="N156" s="8">
        <f>+MINVU_Mes_Corriente!N156*SALUD_Mes_Constante!$C$1</f>
        <v>7275414.861337685</v>
      </c>
      <c r="O156" s="9">
        <f t="shared" si="76"/>
        <v>7275414.861337685</v>
      </c>
      <c r="P156" s="8">
        <f>+MINVU_Mes_Corriente!P156*SALUD_Mes_Constante!$P$1</f>
        <v>13612836.734763457</v>
      </c>
      <c r="Q156" s="8">
        <f>+MINVU_Mes_Corriente!Q156*SALUD_Mes_Constante!$P$1</f>
        <v>13612836.734763457</v>
      </c>
      <c r="R156" s="8">
        <f>+MINVU_Mes_Corriente!R156*SALUD_Mes_Constante!$P$1</f>
        <v>13612836.734763457</v>
      </c>
      <c r="S156" s="8">
        <f>+MINVU_Mes_Corriente!S156*SALUD_Mes_Constante!$P$1</f>
        <v>13612836.734763457</v>
      </c>
      <c r="T156" s="8">
        <f>+MINVU_Mes_Corriente!T156*SALUD_Mes_Constante!$P$1</f>
        <v>14550814.975422639</v>
      </c>
      <c r="U156" s="8">
        <f>+MINVU_Mes_Corriente!U156*SALUD_Mes_Constante!$P$1</f>
        <v>14550814.975422639</v>
      </c>
      <c r="V156" s="8">
        <f>+MINVU_Mes_Corriente!V156*SALUD_Mes_Constante!$P$1</f>
        <v>14100674.33044466</v>
      </c>
      <c r="W156" s="8">
        <f>+MINVU_Mes_Corriente!W156*SALUD_Mes_Constante!$P$1</f>
        <v>13220761.128569394</v>
      </c>
      <c r="X156" s="8">
        <f>+MINVU_Mes_Corriente!X156*SALUD_Mes_Constante!$P$1</f>
        <v>13246911.195624374</v>
      </c>
      <c r="Y156" s="8">
        <f>+MINVU_Mes_Corriente!Y156*SALUD_Mes_Constante!$P$1</f>
        <v>14090195.366671396</v>
      </c>
      <c r="Z156" s="8">
        <f>+MINVU_Mes_Corriente!Z156*SALUD_Mes_Constante!$P$1</f>
        <v>9769050.0664867125</v>
      </c>
      <c r="AA156" s="8">
        <f>+MINVU_Mes_Corriente!AA156*SALUD_Mes_Constante!$P$1</f>
        <v>15887819.614717994</v>
      </c>
      <c r="AB156" s="9">
        <f t="shared" si="77"/>
        <v>15887819.614717994</v>
      </c>
      <c r="AC156" s="8">
        <f>+MINVU_Mes_Corriente!AC156*SALUD_Mes_Constante!$AC$1</f>
        <v>9370948.6238760538</v>
      </c>
      <c r="AD156" s="8">
        <f>+MINVU_Mes_Corriente!AD156*SALUD_Mes_Constante!$AC$1</f>
        <v>9370948.6238760538</v>
      </c>
      <c r="AE156" s="8">
        <f>+MINVU_Mes_Corriente!AE156*SALUD_Mes_Constante!$AC$1</f>
        <v>9370948.6238760538</v>
      </c>
      <c r="AF156" s="8">
        <f>+MINVU_Mes_Corriente!AF156*SALUD_Mes_Constante!$AC$1</f>
        <v>9493168.9849218428</v>
      </c>
      <c r="AG156" s="8">
        <f>+MINVU_Mes_Corriente!AG156*SALUD_Mes_Constante!$AC$1</f>
        <v>18984252.220777426</v>
      </c>
      <c r="AH156" s="8">
        <f>+MINVU_Mes_Corriente!AH156*SALUD_Mes_Constante!$AC$1</f>
        <v>17951658.314566329</v>
      </c>
      <c r="AI156" s="8">
        <f>+MINVU_Mes_Corriente!AI156*SALUD_Mes_Constante!$AC$1</f>
        <v>16555098.173467977</v>
      </c>
      <c r="AJ156" s="8">
        <f>+MINVU_Mes_Corriente!AJ156*SALUD_Mes_Constante!$AC$1</f>
        <v>16555098.173467977</v>
      </c>
      <c r="AK156" s="8">
        <f>+MINVU_Mes_Corriente!AK156*SALUD_Mes_Constante!$AC$1</f>
        <v>16555098.173467977</v>
      </c>
      <c r="AL156" s="8">
        <f>+MINVU_Mes_Corriente!AL156*SALUD_Mes_Constante!$AC$1</f>
        <v>17188002.102088809</v>
      </c>
      <c r="AM156" s="8">
        <f>+MINVU_Mes_Corriente!AM156*SALUD_Mes_Constante!$AC$1</f>
        <v>15175954.037072901</v>
      </c>
      <c r="AN156" s="8">
        <f>+MINVU_Mes_Corriente!AN156*SALUD_Mes_Constante!$AC$1</f>
        <v>15704473.781989209</v>
      </c>
      <c r="AO156" s="9">
        <f t="shared" si="78"/>
        <v>15704473.781989209</v>
      </c>
      <c r="AP156" s="8">
        <f>+MINVU_Mes_Corriente!AP156*SALUD_Mes_Constante!$AP$1</f>
        <v>14226328.871094277</v>
      </c>
      <c r="AQ156" s="8">
        <f>+MINVU_Mes_Corriente!AQ156*SALUD_Mes_Constante!$AP$1</f>
        <v>14226328.871094277</v>
      </c>
      <c r="AR156" s="8">
        <f>+MINVU_Mes_Corriente!AR156*SALUD_Mes_Constante!$AP$1</f>
        <v>14226328.871094277</v>
      </c>
      <c r="AS156" s="8">
        <f>+MINVU_Mes_Corriente!AS156*SALUD_Mes_Constante!$AP$1</f>
        <v>14226328.871094277</v>
      </c>
      <c r="AT156" s="8">
        <f>+MINVU_Mes_Corriente!AT156*SALUD_Mes_Constante!$AP$1</f>
        <v>14360151.311240362</v>
      </c>
      <c r="AU156" s="8">
        <f>+MINVU_Mes_Corriente!AU156*SALUD_Mes_Constante!$AP$1</f>
        <v>12838101.725956986</v>
      </c>
      <c r="AV156" s="8">
        <f>+MINVU_Mes_Corriente!AV156*SALUD_Mes_Constante!$AP$1</f>
        <v>11915204.245637765</v>
      </c>
      <c r="AW156" s="8">
        <f>+MINVU_Mes_Corriente!AW156*SALUD_Mes_Constante!$AP$1</f>
        <v>11944361.428648721</v>
      </c>
      <c r="AX156" s="8">
        <f>+MINVU_Mes_Corriente!AX156*SALUD_Mes_Constante!$AP$1</f>
        <v>9973794.5924523193</v>
      </c>
      <c r="AY156" s="8">
        <f>+MINVU_Mes_Corriente!AY156*SALUD_Mes_Constante!$AP$1</f>
        <v>9915731.4667929113</v>
      </c>
      <c r="AZ156" s="8">
        <f>+MINVU_Mes_Corriente!AZ156*SALUD_Mes_Constante!$AP$1</f>
        <v>14603320.94657108</v>
      </c>
      <c r="BA156" s="8">
        <f>+MINVU_Mes_Corriente!BA156*SALUD_Mes_Constante!$AP$1</f>
        <v>14603320.94657108</v>
      </c>
      <c r="BB156" s="9">
        <f t="shared" si="79"/>
        <v>14603320.94657108</v>
      </c>
      <c r="BC156" s="8">
        <f>+MINVU_Mes_Corriente!BC156*SALUD_Mes_Constante!$BC$1</f>
        <v>23378893.731240939</v>
      </c>
      <c r="BD156" s="8">
        <f>+MINVU_Mes_Corriente!BD156*SALUD_Mes_Constante!$BC$1</f>
        <v>23385394.866939213</v>
      </c>
      <c r="BE156" s="8">
        <f>+MINVU_Mes_Corriente!BE156*SALUD_Mes_Constante!$BC$1</f>
        <v>23385394.866939213</v>
      </c>
      <c r="BF156" s="8">
        <f>+MINVU_Mes_Corriente!BF156*SALUD_Mes_Constante!$BC$1</f>
        <v>23385394.866939213</v>
      </c>
      <c r="BG156" s="8">
        <f>+MINVU_Mes_Corriente!BG156*SALUD_Mes_Constante!$BC$1</f>
        <v>23385394.866939213</v>
      </c>
      <c r="BH156" s="8">
        <f>+MINVU_Mes_Corriente!BH156*SALUD_Mes_Constante!$BC$1</f>
        <v>23578871.374126341</v>
      </c>
      <c r="BI156" s="8">
        <f>+MINVU_Mes_Corriente!BI156*SALUD_Mes_Constante!$BC$1</f>
        <v>20468456.887247797</v>
      </c>
      <c r="BJ156" s="8">
        <f>+MINVU_Mes_Corriente!BJ156*SALUD_Mes_Constante!$BC$1</f>
        <v>10089294.325992353</v>
      </c>
      <c r="BK156" s="8">
        <f>+MINVU_Mes_Corriente!BK156*SALUD_Mes_Constante!$BC$1</f>
        <v>10089294.325992353</v>
      </c>
      <c r="BL156" s="8">
        <f>+MINVU_Mes_Corriente!BL156*SALUD_Mes_Constante!$BC$1</f>
        <v>10122145.809574049</v>
      </c>
      <c r="BM156" s="8">
        <f>+MINVU_Mes_Corriente!BM156*SALUD_Mes_Constante!$BC$1</f>
        <v>10122145.809574049</v>
      </c>
      <c r="BN156" s="8">
        <f>+MINVU_Mes_Corriente!BN156*SALUD_Mes_Constante!$BC$1</f>
        <v>8062468.7348015318</v>
      </c>
      <c r="BO156" s="9">
        <f t="shared" si="80"/>
        <v>8062468.7348015318</v>
      </c>
      <c r="BP156" s="8">
        <f>+MINVU_Mes_Corriente!BP156*SALUD_Mes_Constante!$BP$1</f>
        <v>626822.24174135725</v>
      </c>
      <c r="BQ156" s="8">
        <f>+MINVU_Mes_Corriente!BQ156*SALUD_Mes_Constante!$BP$1</f>
        <v>626822.24174135725</v>
      </c>
      <c r="BR156" s="8">
        <f>+MINVU_Mes_Corriente!BR156*SALUD_Mes_Constante!$BP$1</f>
        <v>666852.53162612044</v>
      </c>
      <c r="BS156" s="8">
        <f>+MINVU_Mes_Corriente!BS156*SALUD_Mes_Constante!$BP$1</f>
        <v>666852.53162612044</v>
      </c>
      <c r="BT156" s="8">
        <f>+MINVU_Mes_Corriente!BT156*SALUD_Mes_Constante!$BP$1</f>
        <v>1122932.5905249682</v>
      </c>
      <c r="BU156" s="8">
        <f>+MINVU_Mes_Corriente!BU156*SALUD_Mes_Constante!$BP$1</f>
        <v>3842717.5682458389</v>
      </c>
      <c r="BV156" s="8">
        <f>+MINVU_Mes_Corriente!BV156*SALUD_Mes_Constante!$BP$1</f>
        <v>3890282.7411011527</v>
      </c>
      <c r="BW156" s="8">
        <f>+MINVU_Mes_Corriente!BW156*SALUD_Mes_Constante!$BP$1</f>
        <v>4050340.9467349555</v>
      </c>
      <c r="BX156" s="8">
        <f>+MINVU_Mes_Corriente!BX156*SALUD_Mes_Constante!$BP$1</f>
        <v>4508288.6381562101</v>
      </c>
      <c r="BY156" s="8">
        <f>+MINVU_Mes_Corriente!BY156*SALUD_Mes_Constante!$BP$1</f>
        <v>4508288.6381562101</v>
      </c>
      <c r="BZ156" s="8">
        <f>+MINVU_Mes_Corriente!BZ156*SALUD_Mes_Constante!$BP$1</f>
        <v>4460372.3224071711</v>
      </c>
      <c r="CA156" s="8">
        <f>+MINVU_Mes_Corriente!CA156*SALUD_Mes_Constante!$BP$1</f>
        <v>4626938.5628681183</v>
      </c>
      <c r="CB156" s="9">
        <f t="shared" si="81"/>
        <v>4626938.5628681183</v>
      </c>
      <c r="CC156" s="8">
        <f>+MINVU_Mes_Corriente!CC156*SALUD_Mes_Constante!$CC$1</f>
        <v>11935280.929503918</v>
      </c>
      <c r="CD156" s="8">
        <f>+MINVU_Mes_Corriente!CD156*SALUD_Mes_Constante!$CC$1</f>
        <v>11935280.929503918</v>
      </c>
      <c r="CE156" s="8">
        <f>+MINVU_Mes_Corriente!CE156*SALUD_Mes_Constante!$CC$1</f>
        <v>12494847.535994032</v>
      </c>
      <c r="CF156" s="8">
        <f>+MINVU_Mes_Corriente!CF156*SALUD_Mes_Constante!$CC$1</f>
        <v>12494847.535994032</v>
      </c>
      <c r="CG156" s="8">
        <f>+MINVU_Mes_Corriente!CG156*SALUD_Mes_Constante!$CC$1</f>
        <v>12494847.535994032</v>
      </c>
      <c r="CH156" s="8">
        <f>+MINVU_Mes_Corriente!CH156*SALUD_Mes_Constante!$CC$1</f>
        <v>14271972.371503172</v>
      </c>
      <c r="CI156" s="8">
        <f>+MINVU_Mes_Corriente!CI156*SALUD_Mes_Constante!$CC$1</f>
        <v>14203014.816859381</v>
      </c>
      <c r="CJ156" s="8">
        <f>+MINVU_Mes_Corriente!CJ156*SALUD_Mes_Constante!$CC$1</f>
        <v>6373773.0481163748</v>
      </c>
      <c r="CK156" s="8">
        <f>+MINVU_Mes_Corriente!CK156*SALUD_Mes_Constante!$CC$1</f>
        <v>6373773.0481163748</v>
      </c>
      <c r="CL156" s="8">
        <f>+MINVU_Mes_Corriente!CL156*SALUD_Mes_Constante!$CC$1</f>
        <v>6844930.4781797845</v>
      </c>
      <c r="CM156" s="8">
        <f>+MINVU_Mes_Corriente!CM156*SALUD_Mes_Constante!$CC$1</f>
        <v>7544819.3644162631</v>
      </c>
      <c r="CN156" s="8">
        <f>+MINVU_Mes_Corriente!CN156*SALUD_Mes_Constante!$CC$1</f>
        <v>7974552.2707944801</v>
      </c>
      <c r="CO156" s="9">
        <f t="shared" si="82"/>
        <v>7974552.2707944801</v>
      </c>
      <c r="CP156" s="8">
        <f>+MINVU_Mes_Corriente!CP156*SALUD_Mes_Constante!$CP$1</f>
        <v>1115763.8805104406</v>
      </c>
      <c r="CQ156" s="8">
        <f>+MINVU_Mes_Corriente!CQ156*SALUD_Mes_Constante!$CP$1</f>
        <v>1115763.8805104406</v>
      </c>
      <c r="CR156" s="8">
        <f>+MINVU_Mes_Corriente!CR156*SALUD_Mes_Constante!$CP$1</f>
        <v>1115763.8805104406</v>
      </c>
      <c r="CS156" s="8">
        <f>+MINVU_Mes_Corriente!CS156*SALUD_Mes_Constante!$CP$1</f>
        <v>1115763.8805104406</v>
      </c>
      <c r="CT156" s="8">
        <f>+MINVU_Mes_Corriente!CT156*SALUD_Mes_Constante!$CP$1</f>
        <v>1303634.0422273779</v>
      </c>
      <c r="CU156" s="8">
        <f>+MINVU_Mes_Corriente!CU156*SALUD_Mes_Constante!$CP$1</f>
        <v>1372400.6638051041</v>
      </c>
      <c r="CV156" s="8">
        <f>+MINVU_Mes_Corriente!CV156*SALUD_Mes_Constante!$CP$1</f>
        <v>1557327.6501160089</v>
      </c>
      <c r="CW156" s="8">
        <f>+MINVU_Mes_Corriente!CW156*SALUD_Mes_Constante!$CP$1</f>
        <v>1858653.2944315542</v>
      </c>
      <c r="CX156" s="8">
        <f>+MINVU_Mes_Corriente!CX156*SALUD_Mes_Constante!$CP$1</f>
        <v>1858653.2944315542</v>
      </c>
      <c r="CY156" s="8">
        <f>+MINVU_Mes_Corriente!CY156*SALUD_Mes_Constante!$CP$1</f>
        <v>1858653.2944315542</v>
      </c>
      <c r="CZ156" s="8">
        <f>+MINVU_Mes_Corriente!CZ156*SALUD_Mes_Constante!$CP$1</f>
        <v>1858653.2944315542</v>
      </c>
      <c r="DA156" s="8">
        <f>+MINVU_Mes_Corriente!DA156*SALUD_Mes_Constante!$CP$1</f>
        <v>2059870.4143851504</v>
      </c>
      <c r="DB156" s="9">
        <f t="shared" si="83"/>
        <v>2059870.4143851504</v>
      </c>
      <c r="DC156" s="8">
        <f>+MINVU_Mes_Corriente!DC156*SALUD_Mes_Constante!$DC$1</f>
        <v>92242.145252546077</v>
      </c>
      <c r="DD156" s="8">
        <f>+MINVU_Mes_Corriente!DD156*SALUD_Mes_Constante!$DC$1</f>
        <v>111238.16685526185</v>
      </c>
      <c r="DE156" s="8">
        <f>+MINVU_Mes_Corriente!DE156*SALUD_Mes_Constante!$DC$1</f>
        <v>113061.22744573609</v>
      </c>
      <c r="DF156" s="8">
        <f>+MINVU_Mes_Corriente!DF156*SALUD_Mes_Constante!$DC$1</f>
        <v>113061.22744573609</v>
      </c>
      <c r="DG156" s="8">
        <f>+MINVU_Mes_Corriente!DG156*SALUD_Mes_Constante!$DC$1</f>
        <v>113061.22744573609</v>
      </c>
      <c r="DH156" s="8">
        <f>+MINVU_Mes_Corriente!DH156*SALUD_Mes_Constante!$DC$1</f>
        <v>147235.18382882426</v>
      </c>
      <c r="DI156" s="8">
        <f>+MINVU_Mes_Corriente!DI156*SALUD_Mes_Constante!$DC$1</f>
        <v>803218.9161608892</v>
      </c>
      <c r="DJ156" s="8">
        <f>+MINVU_Mes_Corriente!DJ156*SALUD_Mes_Constante!$DC$1</f>
        <v>873260.63429688348</v>
      </c>
      <c r="DK156" s="8">
        <f>+MINVU_Mes_Corriente!DK156*SALUD_Mes_Constante!$DC$1</f>
        <v>1263762.0111099686</v>
      </c>
      <c r="DL156" s="8">
        <f>+MINVU_Mes_Corriente!DL156*SALUD_Mes_Constante!$DC$1</f>
        <v>1286839.1258101026</v>
      </c>
      <c r="DM156" s="8">
        <f>+MINVU_Mes_Corriente!DM156*SALUD_Mes_Constante!$DC$1</f>
        <v>1832990.7632959581</v>
      </c>
      <c r="DN156" s="8">
        <f>+MINVU_Mes_Corriente!DN156*SALUD_Mes_Constante!$DC$1</f>
        <v>2001320.3991358923</v>
      </c>
      <c r="DO156" s="9">
        <f t="shared" si="84"/>
        <v>2001320.3991358923</v>
      </c>
      <c r="DP156" s="8">
        <f>+MINVU_Mes_Corriente!DP156*SALUD_Mes_Constante!$DP$1</f>
        <v>5740568.4121140148</v>
      </c>
      <c r="DQ156" s="8">
        <f>+MINVU_Mes_Corriente!DQ156*SALUD_Mes_Constante!$DP$1</f>
        <v>5740568.4121140148</v>
      </c>
      <c r="DR156" s="8">
        <f>+MINVU_Mes_Corriente!DR156*SALUD_Mes_Constante!$DP$1</f>
        <v>5740568.4121140148</v>
      </c>
      <c r="DS156" s="8">
        <f>+MINVU_Mes_Corriente!DS156*SALUD_Mes_Constante!$DP$1</f>
        <v>6498077.3782660337</v>
      </c>
      <c r="DT156" s="8">
        <f>+MINVU_Mes_Corriente!DT156*SALUD_Mes_Constante!$DP$1</f>
        <v>6498077.3782660337</v>
      </c>
      <c r="DU156" s="8">
        <f>+MINVU_Mes_Corriente!DU156*SALUD_Mes_Constante!$DP$1</f>
        <v>3976305.9709026134</v>
      </c>
      <c r="DV156" s="8">
        <f>+MINVU_Mes_Corriente!DV156*SALUD_Mes_Constante!$DP$1</f>
        <v>3988200.8640142521</v>
      </c>
      <c r="DW156" s="8">
        <f>+MINVU_Mes_Corriente!DW156*SALUD_Mes_Constante!$DP$1</f>
        <v>3988200.8640142521</v>
      </c>
      <c r="DX156" s="8">
        <f>+MINVU_Mes_Corriente!DX156*SALUD_Mes_Constante!$DP$1</f>
        <v>2315730.2315914491</v>
      </c>
      <c r="DY156" s="8">
        <f>+MINVU_Mes_Corriente!DY156*SALUD_Mes_Constante!$DP$1</f>
        <v>2315730.2315914491</v>
      </c>
      <c r="DZ156" s="8">
        <f>+MINVU_Mes_Corriente!DZ156*SALUD_Mes_Constante!$DP$1</f>
        <v>2315730.2315914491</v>
      </c>
      <c r="EA156" s="8">
        <f>+MINVU_Mes_Corriente!EA156*SALUD_Mes_Constante!$DP$1</f>
        <v>2315730.2315914491</v>
      </c>
      <c r="EB156" s="9">
        <f t="shared" si="85"/>
        <v>2315730.2315914491</v>
      </c>
      <c r="EC156" s="8">
        <f>+MINVU_Mes_Corriente!EC156*SALUD_Mes_Constante!$EC$1</f>
        <v>1062832.2878242754</v>
      </c>
      <c r="ED156" s="8">
        <f>+MINVU_Mes_Corriente!ED156*SALUD_Mes_Constante!$EC$1</f>
        <v>1288329.7419049419</v>
      </c>
      <c r="EE156" s="8">
        <f>+MINVU_Mes_Corriente!EE156*SALUD_Mes_Constante!$EC$1</f>
        <v>1315474.0554819158</v>
      </c>
      <c r="EF156" s="8">
        <f>+MINVU_Mes_Corriente!EF156*SALUD_Mes_Constante!$EC$1</f>
        <v>1315474.0554819158</v>
      </c>
      <c r="EG156" s="8">
        <f>+MINVU_Mes_Corriente!EG156*SALUD_Mes_Constante!$EC$1</f>
        <v>1595922.1931452372</v>
      </c>
      <c r="EH156" s="8">
        <f>+MINVU_Mes_Corriente!EH156*SALUD_Mes_Constante!$EC$1</f>
        <v>1595922.1931452372</v>
      </c>
      <c r="EI156" s="8">
        <f>+MINVU_Mes_Corriente!EI156*SALUD_Mes_Constante!$EC$1</f>
        <v>1643486.809695133</v>
      </c>
      <c r="EJ156" s="8">
        <f>+MINVU_Mes_Corriente!EJ156*SALUD_Mes_Constante!$EC$1</f>
        <v>1318069.5235750801</v>
      </c>
      <c r="EK156" s="8">
        <f>+MINVU_Mes_Corriente!EK156*SALUD_Mes_Constante!$EC$1</f>
        <v>1318069.5235750801</v>
      </c>
      <c r="EL156" s="8">
        <f>+MINVU_Mes_Corriente!EL156*SALUD_Mes_Constante!$EC$1</f>
        <v>822644.42226850952</v>
      </c>
      <c r="EM156" s="8">
        <f>+MINVU_Mes_Corriente!EM156*SALUD_Mes_Constante!$EC$1</f>
        <v>822644.42226850952</v>
      </c>
      <c r="EN156" s="8">
        <f>+MINVU_Mes_Corriente!EN156*SALUD_Mes_Constante!$EC$1</f>
        <v>822634.07763681095</v>
      </c>
      <c r="EO156" s="9">
        <f t="shared" si="86"/>
        <v>822634.07763681095</v>
      </c>
      <c r="EP156" s="8">
        <f>+MINVU_Mes_Corriente!EP156*SALUD_Mes_Constante!$EP$1</f>
        <v>1291061</v>
      </c>
      <c r="EQ156" s="8">
        <f>+MINVU_Mes_Corriente!EQ156*SALUD_Mes_Constante!$EP$1</f>
        <v>1291061</v>
      </c>
      <c r="ER156" s="8">
        <f>+MINVU_Mes_Corriente!ER156*SALUD_Mes_Constante!$EP$1</f>
        <v>1291061</v>
      </c>
      <c r="ES156" s="8">
        <f>+MINVU_Mes_Corriente!ES156*SALUD_Mes_Constante!$EP$1</f>
        <v>1242530</v>
      </c>
      <c r="ET156" s="8">
        <f>+MINVU_Mes_Corriente!ET156*SALUD_Mes_Constante!$EP$1</f>
        <v>1242530</v>
      </c>
      <c r="EU156" s="8">
        <f>+MINVU_Mes_Corriente!EU156*SALUD_Mes_Constante!$EP$1</f>
        <v>1262530</v>
      </c>
      <c r="EV156" s="8">
        <f>+MINVU_Mes_Corriente!EV156*SALUD_Mes_Constante!$EP$1</f>
        <v>949932</v>
      </c>
      <c r="EW156" s="8">
        <f>+MINVU_Mes_Corriente!EW156*SALUD_Mes_Constante!$EP$1</f>
        <v>949932</v>
      </c>
      <c r="EX156" s="8">
        <f>+MINVU_Mes_Corriente!EX156*SALUD_Mes_Constante!$EP$1</f>
        <v>949932</v>
      </c>
      <c r="EY156" s="8">
        <f>+MINVU_Mes_Corriente!EY156*SALUD_Mes_Constante!$EP$1</f>
        <v>949932</v>
      </c>
      <c r="EZ156" s="8">
        <f>+MINVU_Mes_Corriente!EZ156*SALUD_Mes_Constante!$EP$1</f>
        <v>949932</v>
      </c>
      <c r="FA156" s="8">
        <f>+MINVU_Mes_Corriente!FA156*SALUD_Mes_Constante!$EP$1</f>
        <v>949932</v>
      </c>
      <c r="FB156" s="9">
        <f t="shared" si="87"/>
        <v>949932</v>
      </c>
      <c r="FC156" s="8">
        <f>+MINVU_Mes_Corriente!FC156*SALUD_Mes_Constante!$FC$1</f>
        <v>770529</v>
      </c>
      <c r="FD156" s="8">
        <f>+MINVU_Mes_Corriente!FD156*SALUD_Mes_Constante!$FC$1</f>
        <v>770529</v>
      </c>
      <c r="FE156" s="8">
        <f>+MINVU_Mes_Corriente!FE156*SALUD_Mes_Constante!$FC$1</f>
        <v>770529</v>
      </c>
      <c r="FF156" s="8">
        <f>+MINVU_Mes_Corriente!FF156*SALUD_Mes_Constante!$FC$1</f>
        <v>770529</v>
      </c>
      <c r="FG156" s="8">
        <f>+MINVU_Mes_Corriente!FG156*SALUD_Mes_Constante!$FC$1</f>
        <v>770529</v>
      </c>
      <c r="FH156" s="8">
        <f>+MINVU_Mes_Corriente!FH156*SALUD_Mes_Constante!$FC$1</f>
        <v>770529</v>
      </c>
      <c r="FI156" s="8">
        <f>+MINVU_Mes_Corriente!FI156*SALUD_Mes_Constante!$FC$1</f>
        <v>770529</v>
      </c>
      <c r="FJ156" s="8"/>
      <c r="FK156" s="8"/>
      <c r="FL156" s="8"/>
      <c r="FM156" s="8"/>
      <c r="FN156" s="8"/>
      <c r="FO156" s="9">
        <f t="shared" si="88"/>
        <v>770529</v>
      </c>
    </row>
    <row r="157" spans="2:171" ht="14.25" customHeight="1" x14ac:dyDescent="0.3">
      <c r="B157" s="7" t="s">
        <v>45</v>
      </c>
      <c r="C157" s="8">
        <f>+MINVU_Mes_Corriente!C157*SALUD_Mes_Constante!$C$1</f>
        <v>1768124.295714074</v>
      </c>
      <c r="D157" s="8">
        <f>+MINVU_Mes_Corriente!D157*SALUD_Mes_Constante!$C$1</f>
        <v>1768124.295714074</v>
      </c>
      <c r="E157" s="8">
        <f>+MINVU_Mes_Corriente!E157*SALUD_Mes_Constante!$C$1</f>
        <v>1768124.295714074</v>
      </c>
      <c r="F157" s="8">
        <f>+MINVU_Mes_Corriente!F157*SALUD_Mes_Constante!$C$1</f>
        <v>1768124.295714074</v>
      </c>
      <c r="G157" s="8">
        <f>+MINVU_Mes_Corriente!G157*SALUD_Mes_Constante!$C$1</f>
        <v>1768124.295714074</v>
      </c>
      <c r="H157" s="8">
        <f>+MINVU_Mes_Corriente!H157*SALUD_Mes_Constante!$C$1</f>
        <v>1768124.295714074</v>
      </c>
      <c r="I157" s="8">
        <f>+MINVU_Mes_Corriente!I157*SALUD_Mes_Constante!$C$1</f>
        <v>1768124.295714074</v>
      </c>
      <c r="J157" s="8">
        <f>+MINVU_Mes_Corriente!J157*SALUD_Mes_Constante!$C$1</f>
        <v>1768124.295714074</v>
      </c>
      <c r="K157" s="8">
        <f>+MINVU_Mes_Corriente!K157*SALUD_Mes_Constante!$C$1</f>
        <v>2024735.4136141187</v>
      </c>
      <c r="L157" s="8">
        <f>+MINVU_Mes_Corriente!L157*SALUD_Mes_Constante!$C$1</f>
        <v>2024735.4136141187</v>
      </c>
      <c r="M157" s="8">
        <f>+MINVU_Mes_Corriente!M157*SALUD_Mes_Constante!$C$1</f>
        <v>2024735.4136141187</v>
      </c>
      <c r="N157" s="8">
        <f>+MINVU_Mes_Corriente!N157*SALUD_Mes_Constante!$C$1</f>
        <v>2096030.6827821448</v>
      </c>
      <c r="O157" s="9">
        <f t="shared" si="76"/>
        <v>2096030.6827821448</v>
      </c>
      <c r="P157" s="8">
        <f>+MINVU_Mes_Corriente!P157*SALUD_Mes_Constante!$P$1</f>
        <v>1912816.7913055825</v>
      </c>
      <c r="Q157" s="8">
        <f>+MINVU_Mes_Corriente!Q157*SALUD_Mes_Constante!$P$1</f>
        <v>1912816.7913055825</v>
      </c>
      <c r="R157" s="8">
        <f>+MINVU_Mes_Corriente!R157*SALUD_Mes_Constante!$P$1</f>
        <v>1912816.7913055825</v>
      </c>
      <c r="S157" s="8">
        <f>+MINVU_Mes_Corriente!S157*SALUD_Mes_Constante!$P$1</f>
        <v>1912816.7913055825</v>
      </c>
      <c r="T157" s="8">
        <f>+MINVU_Mes_Corriente!T157*SALUD_Mes_Constante!$P$1</f>
        <v>1994594.9288251165</v>
      </c>
      <c r="U157" s="8">
        <f>+MINVU_Mes_Corriente!U157*SALUD_Mes_Constante!$P$1</f>
        <v>1994594.9288251165</v>
      </c>
      <c r="V157" s="8">
        <f>+MINVU_Mes_Corriente!V157*SALUD_Mes_Constante!$P$1</f>
        <v>1994594.9288251165</v>
      </c>
      <c r="W157" s="8">
        <f>+MINVU_Mes_Corriente!W157*SALUD_Mes_Constante!$P$1</f>
        <v>1996175.0777099011</v>
      </c>
      <c r="X157" s="8">
        <f>+MINVU_Mes_Corriente!X157*SALUD_Mes_Constante!$P$1</f>
        <v>1996175.0777099011</v>
      </c>
      <c r="Y157" s="8">
        <f>+MINVU_Mes_Corriente!Y157*SALUD_Mes_Constante!$P$1</f>
        <v>1996175.0777099011</v>
      </c>
      <c r="Z157" s="8">
        <f>+MINVU_Mes_Corriente!Z157*SALUD_Mes_Constante!$P$1</f>
        <v>2007998.254581616</v>
      </c>
      <c r="AA157" s="8">
        <f>+MINVU_Mes_Corriente!AA157*SALUD_Mes_Constante!$P$1</f>
        <v>2007998.254581616</v>
      </c>
      <c r="AB157" s="9">
        <f t="shared" si="77"/>
        <v>2007998.254581616</v>
      </c>
      <c r="AC157" s="8">
        <f>+MINVU_Mes_Corriente!AC157*SALUD_Mes_Constante!$AC$1</f>
        <v>1912140.6847420114</v>
      </c>
      <c r="AD157" s="8">
        <f>+MINVU_Mes_Corriente!AD157*SALUD_Mes_Constante!$AC$1</f>
        <v>1912140.6847420114</v>
      </c>
      <c r="AE157" s="8">
        <f>+MINVU_Mes_Corriente!AE157*SALUD_Mes_Constante!$AC$1</f>
        <v>1912140.6847420114</v>
      </c>
      <c r="AF157" s="8">
        <f>+MINVU_Mes_Corriente!AF157*SALUD_Mes_Constante!$AC$1</f>
        <v>1912140.6847420114</v>
      </c>
      <c r="AG157" s="8">
        <f>+MINVU_Mes_Corriente!AG157*SALUD_Mes_Constante!$AC$1</f>
        <v>1912140.6847420114</v>
      </c>
      <c r="AH157" s="8">
        <f>+MINVU_Mes_Corriente!AH157*SALUD_Mes_Constante!$AC$1</f>
        <v>1912140.6847420114</v>
      </c>
      <c r="AI157" s="8">
        <f>+MINVU_Mes_Corriente!AI157*SALUD_Mes_Constante!$AC$1</f>
        <v>1912140.6847420114</v>
      </c>
      <c r="AJ157" s="8">
        <f>+MINVU_Mes_Corriente!AJ157*SALUD_Mes_Constante!$AC$1</f>
        <v>1912140.6847420114</v>
      </c>
      <c r="AK157" s="8">
        <f>+MINVU_Mes_Corriente!AK157*SALUD_Mes_Constante!$AC$1</f>
        <v>1912140.6847420114</v>
      </c>
      <c r="AL157" s="8">
        <f>+MINVU_Mes_Corriente!AL157*SALUD_Mes_Constante!$AC$1</f>
        <v>1912140.6847420114</v>
      </c>
      <c r="AM157" s="8">
        <f>+MINVU_Mes_Corriente!AM157*SALUD_Mes_Constante!$AC$1</f>
        <v>1912140.6847420114</v>
      </c>
      <c r="AN157" s="8">
        <f>+MINVU_Mes_Corriente!AN157*SALUD_Mes_Constante!$AC$1</f>
        <v>1912140.6847420114</v>
      </c>
      <c r="AO157" s="9">
        <f t="shared" si="78"/>
        <v>1912140.6847420114</v>
      </c>
      <c r="AP157" s="8">
        <f>+MINVU_Mes_Corriente!AP157*SALUD_Mes_Constante!$AP$1</f>
        <v>2108481.538482348</v>
      </c>
      <c r="AQ157" s="8">
        <f>+MINVU_Mes_Corriente!AQ157*SALUD_Mes_Constante!$AP$1</f>
        <v>2108481.538482348</v>
      </c>
      <c r="AR157" s="8">
        <f>+MINVU_Mes_Corriente!AR157*SALUD_Mes_Constante!$AP$1</f>
        <v>2108481.538482348</v>
      </c>
      <c r="AS157" s="8">
        <f>+MINVU_Mes_Corriente!AS157*SALUD_Mes_Constante!$AP$1</f>
        <v>2108481.538482348</v>
      </c>
      <c r="AT157" s="8">
        <f>+MINVU_Mes_Corriente!AT157*SALUD_Mes_Constante!$AP$1</f>
        <v>2108481.538482348</v>
      </c>
      <c r="AU157" s="8">
        <f>+MINVU_Mes_Corriente!AU157*SALUD_Mes_Constante!$AP$1</f>
        <v>2140256.054916813</v>
      </c>
      <c r="AV157" s="8">
        <f>+MINVU_Mes_Corriente!AV157*SALUD_Mes_Constante!$AP$1</f>
        <v>2140256.054916813</v>
      </c>
      <c r="AW157" s="8">
        <f>+MINVU_Mes_Corriente!AW157*SALUD_Mes_Constante!$AP$1</f>
        <v>2140256.054916813</v>
      </c>
      <c r="AX157" s="8">
        <f>+MINVU_Mes_Corriente!AX157*SALUD_Mes_Constante!$AP$1</f>
        <v>2140256.054916813</v>
      </c>
      <c r="AY157" s="8">
        <f>+MINVU_Mes_Corriente!AY157*SALUD_Mes_Constante!$AP$1</f>
        <v>2140256.054916813</v>
      </c>
      <c r="AZ157" s="8">
        <f>+MINVU_Mes_Corriente!AZ157*SALUD_Mes_Constante!$AP$1</f>
        <v>2140256.054916813</v>
      </c>
      <c r="BA157" s="8">
        <f>+MINVU_Mes_Corriente!BA157*SALUD_Mes_Constante!$AP$1</f>
        <v>2140256.054916813</v>
      </c>
      <c r="BB157" s="9">
        <f t="shared" si="79"/>
        <v>2140256.054916813</v>
      </c>
      <c r="BC157" s="8">
        <f>+MINVU_Mes_Corriente!BC157*SALUD_Mes_Constante!$BC$1</f>
        <v>1733742.8094421737</v>
      </c>
      <c r="BD157" s="8">
        <f>+MINVU_Mes_Corriente!BD157*SALUD_Mes_Constante!$BC$1</f>
        <v>1733742.8094421737</v>
      </c>
      <c r="BE157" s="8">
        <f>+MINVU_Mes_Corriente!BE157*SALUD_Mes_Constante!$BC$1</f>
        <v>1733742.8094421737</v>
      </c>
      <c r="BF157" s="8">
        <f>+MINVU_Mes_Corriente!BF157*SALUD_Mes_Constante!$BC$1</f>
        <v>1733742.8094421737</v>
      </c>
      <c r="BG157" s="8">
        <f>+MINVU_Mes_Corriente!BG157*SALUD_Mes_Constante!$BC$1</f>
        <v>1733742.8094421737</v>
      </c>
      <c r="BH157" s="8">
        <f>+MINVU_Mes_Corriente!BH157*SALUD_Mes_Constante!$BC$1</f>
        <v>1733742.8094421737</v>
      </c>
      <c r="BI157" s="8">
        <f>+MINVU_Mes_Corriente!BI157*SALUD_Mes_Constante!$BC$1</f>
        <v>1549503.6207305819</v>
      </c>
      <c r="BJ157" s="8">
        <f>+MINVU_Mes_Corriente!BJ157*SALUD_Mes_Constante!$BC$1</f>
        <v>1549503.6207305819</v>
      </c>
      <c r="BK157" s="8">
        <f>+MINVU_Mes_Corriente!BK157*SALUD_Mes_Constante!$BC$1</f>
        <v>1549503.6207305819</v>
      </c>
      <c r="BL157" s="8">
        <f>+MINVU_Mes_Corriente!BL157*SALUD_Mes_Constante!$BC$1</f>
        <v>1549503.6207305819</v>
      </c>
      <c r="BM157" s="8">
        <f>+MINVU_Mes_Corriente!BM157*SALUD_Mes_Constante!$BC$1</f>
        <v>1549503.6207305819</v>
      </c>
      <c r="BN157" s="8">
        <f>+MINVU_Mes_Corriente!BN157*SALUD_Mes_Constante!$BC$1</f>
        <v>1880287.8024528555</v>
      </c>
      <c r="BO157" s="9">
        <f t="shared" si="80"/>
        <v>1880287.8024528555</v>
      </c>
      <c r="BP157" s="8">
        <f>+MINVU_Mes_Corriente!BP157*SALUD_Mes_Constante!$BP$1</f>
        <v>60365012.632778496</v>
      </c>
      <c r="BQ157" s="8">
        <f>+MINVU_Mes_Corriente!BQ157*SALUD_Mes_Constante!$BP$1</f>
        <v>57218996.141101159</v>
      </c>
      <c r="BR157" s="8">
        <f>+MINVU_Mes_Corriente!BR157*SALUD_Mes_Constante!$BP$1</f>
        <v>52022670.282714471</v>
      </c>
      <c r="BS157" s="8">
        <f>+MINVU_Mes_Corriente!BS157*SALUD_Mes_Constante!$BP$1</f>
        <v>23343904.030217674</v>
      </c>
      <c r="BT157" s="8">
        <f>+MINVU_Mes_Corriente!BT157*SALUD_Mes_Constante!$BP$1</f>
        <v>13307178.3049936</v>
      </c>
      <c r="BU157" s="8">
        <f>+MINVU_Mes_Corriente!BU157*SALUD_Mes_Constante!$BP$1</f>
        <v>6796309.1531370049</v>
      </c>
      <c r="BV157" s="8">
        <f>+MINVU_Mes_Corriente!BV157*SALUD_Mes_Constante!$BP$1</f>
        <v>6171690.2980793864</v>
      </c>
      <c r="BW157" s="8">
        <f>+MINVU_Mes_Corriente!BW157*SALUD_Mes_Constante!$BP$1</f>
        <v>5121351.954161332</v>
      </c>
      <c r="BX157" s="8">
        <f>+MINVU_Mes_Corriente!BX157*SALUD_Mes_Constante!$BP$1</f>
        <v>2074939.7323943665</v>
      </c>
      <c r="BY157" s="8">
        <f>+MINVU_Mes_Corriente!BY157*SALUD_Mes_Constante!$BP$1</f>
        <v>2074939.7323943665</v>
      </c>
      <c r="BZ157" s="8">
        <f>+MINVU_Mes_Corriente!BZ157*SALUD_Mes_Constante!$BP$1</f>
        <v>1867980.867349552</v>
      </c>
      <c r="CA157" s="8">
        <f>+MINVU_Mes_Corriente!CA157*SALUD_Mes_Constante!$BP$1</f>
        <v>31337.05505761844</v>
      </c>
      <c r="CB157" s="9">
        <f t="shared" si="81"/>
        <v>31337.05505761844</v>
      </c>
      <c r="CC157" s="8">
        <f>+MINVU_Mes_Corriente!CC157*SALUD_Mes_Constante!$CC$1</f>
        <v>79206474.105184644</v>
      </c>
      <c r="CD157" s="8">
        <f>+MINVU_Mes_Corriente!CD157*SALUD_Mes_Constante!$CC$1</f>
        <v>79206474.105184644</v>
      </c>
      <c r="CE157" s="8">
        <f>+MINVU_Mes_Corriente!CE157*SALUD_Mes_Constante!$CC$1</f>
        <v>79206474.105184644</v>
      </c>
      <c r="CF157" s="8">
        <f>+MINVU_Mes_Corriente!CF157*SALUD_Mes_Constante!$CC$1</f>
        <v>84209479.045132428</v>
      </c>
      <c r="CG157" s="8">
        <f>+MINVU_Mes_Corriente!CG157*SALUD_Mes_Constante!$CC$1</f>
        <v>84211901.158522949</v>
      </c>
      <c r="CH157" s="8">
        <f>+MINVU_Mes_Corriente!CH157*SALUD_Mes_Constante!$CC$1</f>
        <v>92091412.30809401</v>
      </c>
      <c r="CI157" s="8">
        <f>+MINVU_Mes_Corriente!CI157*SALUD_Mes_Constante!$CC$1</f>
        <v>123675158.26035063</v>
      </c>
      <c r="CJ157" s="8">
        <f>+MINVU_Mes_Corriente!CJ157*SALUD_Mes_Constante!$CC$1</f>
        <v>121109416.12681836</v>
      </c>
      <c r="CK157" s="8">
        <f>+MINVU_Mes_Corriente!CK157*SALUD_Mes_Constante!$CC$1</f>
        <v>120696110.93621784</v>
      </c>
      <c r="CL157" s="8">
        <f>+MINVU_Mes_Corriente!CL157*SALUD_Mes_Constante!$CC$1</f>
        <v>111636252.17456174</v>
      </c>
      <c r="CM157" s="8">
        <f>+MINVU_Mes_Corriente!CM157*SALUD_Mes_Constante!$CC$1</f>
        <v>111356438.9854532</v>
      </c>
      <c r="CN157" s="8">
        <f>+MINVU_Mes_Corriente!CN157*SALUD_Mes_Constante!$CC$1</f>
        <v>128056068.57515854</v>
      </c>
      <c r="CO157" s="9">
        <f t="shared" si="82"/>
        <v>128056068.57515854</v>
      </c>
      <c r="CP157" s="8">
        <f>+MINVU_Mes_Corriente!CP157*SALUD_Mes_Constante!$CP$1</f>
        <v>53671263.780278414</v>
      </c>
      <c r="CQ157" s="8">
        <f>+MINVU_Mes_Corriente!CQ157*SALUD_Mes_Constante!$CP$1</f>
        <v>53671263.780278414</v>
      </c>
      <c r="CR157" s="8">
        <f>+MINVU_Mes_Corriente!CR157*SALUD_Mes_Constante!$CP$1</f>
        <v>46235360.269837581</v>
      </c>
      <c r="CS157" s="8">
        <f>+MINVU_Mes_Corriente!CS157*SALUD_Mes_Constante!$CP$1</f>
        <v>41938892.024825975</v>
      </c>
      <c r="CT157" s="8">
        <f>+MINVU_Mes_Corriente!CT157*SALUD_Mes_Constante!$CP$1</f>
        <v>21078475.958004635</v>
      </c>
      <c r="CU157" s="8">
        <f>+MINVU_Mes_Corriente!CU157*SALUD_Mes_Constante!$CP$1</f>
        <v>18464874.089095123</v>
      </c>
      <c r="CV157" s="8">
        <f>+MINVU_Mes_Corriente!CV157*SALUD_Mes_Constante!$CP$1</f>
        <v>14380305.600696053</v>
      </c>
      <c r="CW157" s="8">
        <f>+MINVU_Mes_Corriente!CW157*SALUD_Mes_Constante!$CP$1</f>
        <v>32242260.954988394</v>
      </c>
      <c r="CX157" s="8">
        <f>+MINVU_Mes_Corriente!CX157*SALUD_Mes_Constante!$CP$1</f>
        <v>32242260.954988394</v>
      </c>
      <c r="CY157" s="8">
        <f>+MINVU_Mes_Corriente!CY157*SALUD_Mes_Constante!$CP$1</f>
        <v>32374482.032714609</v>
      </c>
      <c r="CZ157" s="8">
        <f>+MINVU_Mes_Corriente!CZ157*SALUD_Mes_Constante!$CP$1</f>
        <v>31491287.315081201</v>
      </c>
      <c r="DA157" s="8">
        <f>+MINVU_Mes_Corriente!DA157*SALUD_Mes_Constante!$CP$1</f>
        <v>60304167.131554514</v>
      </c>
      <c r="DB157" s="9">
        <f t="shared" si="83"/>
        <v>60304167.131554514</v>
      </c>
      <c r="DC157" s="8">
        <f>+MINVU_Mes_Corriente!DC157*SALUD_Mes_Constante!$DC$1</f>
        <v>73529348.813290849</v>
      </c>
      <c r="DD157" s="8">
        <f>+MINVU_Mes_Corriente!DD157*SALUD_Mes_Constante!$DC$1</f>
        <v>73529348.813290849</v>
      </c>
      <c r="DE157" s="8">
        <f>+MINVU_Mes_Corriente!DE157*SALUD_Mes_Constante!$DC$1</f>
        <v>73529348.813290849</v>
      </c>
      <c r="DF157" s="8">
        <f>+MINVU_Mes_Corriente!DF157*SALUD_Mes_Constante!$DC$1</f>
        <v>73529348.813290849</v>
      </c>
      <c r="DG157" s="8">
        <f>+MINVU_Mes_Corriente!DG157*SALUD_Mes_Constante!$DC$1</f>
        <v>43236750.245036542</v>
      </c>
      <c r="DH157" s="8">
        <f>+MINVU_Mes_Corriente!DH157*SALUD_Mes_Constante!$DC$1</f>
        <v>26248691.635839947</v>
      </c>
      <c r="DI157" s="8">
        <f>+MINVU_Mes_Corriente!DI157*SALUD_Mes_Constante!$DC$1</f>
        <v>14956575.66135172</v>
      </c>
      <c r="DJ157" s="8">
        <f>+MINVU_Mes_Corriente!DJ157*SALUD_Mes_Constante!$DC$1</f>
        <v>2125778.5651681935</v>
      </c>
      <c r="DK157" s="8">
        <f>+MINVU_Mes_Corriente!DK157*SALUD_Mes_Constante!$DC$1</f>
        <v>103404.17652504891</v>
      </c>
      <c r="DL157" s="8">
        <f>+MINVU_Mes_Corriente!DL157*SALUD_Mes_Constante!$DC$1</f>
        <v>108567.64160065842</v>
      </c>
      <c r="DM157" s="8">
        <f>+MINVU_Mes_Corriente!DM157*SALUD_Mes_Constante!$DC$1</f>
        <v>108567.64160065842</v>
      </c>
      <c r="DN157" s="8">
        <f>+MINVU_Mes_Corriente!DN157*SALUD_Mes_Constante!$DC$1</f>
        <v>108567.64160065842</v>
      </c>
      <c r="DO157" s="9">
        <f t="shared" si="84"/>
        <v>108567.64160065842</v>
      </c>
      <c r="DP157" s="8">
        <f>+MINVU_Mes_Corriente!DP157*SALUD_Mes_Constante!$DP$1</f>
        <v>62763845.777315922</v>
      </c>
      <c r="DQ157" s="8">
        <f>+MINVU_Mes_Corriente!DQ157*SALUD_Mes_Constante!$DP$1</f>
        <v>17062252.031472687</v>
      </c>
      <c r="DR157" s="8">
        <f>+MINVU_Mes_Corriente!DR157*SALUD_Mes_Constante!$DP$1</f>
        <v>7601772.0694774352</v>
      </c>
      <c r="DS157" s="8">
        <f>+MINVU_Mes_Corriente!DS157*SALUD_Mes_Constante!$DP$1</f>
        <v>9702.9887173396692</v>
      </c>
      <c r="DT157" s="8">
        <f>+MINVU_Mes_Corriente!DT157*SALUD_Mes_Constante!$DP$1</f>
        <v>9702.9887173396692</v>
      </c>
      <c r="DU157" s="8">
        <f>+MINVU_Mes_Corriente!DU157*SALUD_Mes_Constante!$DP$1</f>
        <v>226916.71318289789</v>
      </c>
      <c r="DV157" s="8">
        <f>+MINVU_Mes_Corriente!DV157*SALUD_Mes_Constante!$DP$1</f>
        <v>226916.71318289789</v>
      </c>
      <c r="DW157" s="8">
        <f>+MINVU_Mes_Corriente!DW157*SALUD_Mes_Constante!$DP$1</f>
        <v>5551255.7814726848</v>
      </c>
      <c r="DX157" s="8">
        <f>+MINVU_Mes_Corriente!DX157*SALUD_Mes_Constante!$DP$1</f>
        <v>5556223.5213776724</v>
      </c>
      <c r="DY157" s="8">
        <f>+MINVU_Mes_Corriente!DY157*SALUD_Mes_Constante!$DP$1</f>
        <v>5556223.5213776724</v>
      </c>
      <c r="DZ157" s="8">
        <f>+MINVU_Mes_Corriente!DZ157*SALUD_Mes_Constante!$DP$1</f>
        <v>5556223.5213776724</v>
      </c>
      <c r="EA157" s="8">
        <f>+MINVU_Mes_Corriente!EA157*SALUD_Mes_Constante!$DP$1</f>
        <v>5556223.5213776724</v>
      </c>
      <c r="EB157" s="9">
        <f t="shared" si="85"/>
        <v>5556223.5213776724</v>
      </c>
      <c r="EC157" s="8">
        <f>+MINVU_Mes_Corriente!EC157*SALUD_Mes_Constante!$EC$1</f>
        <v>42141182.697216421</v>
      </c>
      <c r="ED157" s="8">
        <f>+MINVU_Mes_Corriente!ED157*SALUD_Mes_Constante!$EC$1</f>
        <v>42141182.697216421</v>
      </c>
      <c r="EE157" s="8">
        <f>+MINVU_Mes_Corriente!EE157*SALUD_Mes_Constante!$EC$1</f>
        <v>16944060.86858549</v>
      </c>
      <c r="EF157" s="8">
        <f>+MINVU_Mes_Corriente!EF157*SALUD_Mes_Constante!$EC$1</f>
        <v>9327034.4162090477</v>
      </c>
      <c r="EG157" s="8">
        <f>+MINVU_Mes_Corriente!EG157*SALUD_Mes_Constante!$EC$1</f>
        <v>654742.77409581502</v>
      </c>
      <c r="EH157" s="8">
        <f>+MINVU_Mes_Corriente!EH157*SALUD_Mes_Constante!$EC$1</f>
        <v>583215.85267941654</v>
      </c>
      <c r="EI157" s="8">
        <f>+MINVU_Mes_Corriente!EI157*SALUD_Mes_Constante!$EC$1</f>
        <v>373917.05737549695</v>
      </c>
      <c r="EJ157" s="8">
        <f>+MINVU_Mes_Corriente!EJ157*SALUD_Mes_Constante!$EC$1</f>
        <v>373917.05737549695</v>
      </c>
      <c r="EK157" s="8">
        <f>+MINVU_Mes_Corriente!EK157*SALUD_Mes_Constante!$EC$1</f>
        <v>383218.95019882586</v>
      </c>
      <c r="EL157" s="8">
        <f>+MINVU_Mes_Corriente!EL157*SALUD_Mes_Constante!$EC$1</f>
        <v>447692.90172315837</v>
      </c>
      <c r="EM157" s="8">
        <f>+MINVU_Mes_Corriente!EM157*SALUD_Mes_Constante!$EC$1</f>
        <v>447692.90172315837</v>
      </c>
      <c r="EN157" s="8">
        <f>+MINVU_Mes_Corriente!EN157*SALUD_Mes_Constante!$EC$1</f>
        <v>604724.41090702498</v>
      </c>
      <c r="EO157" s="9">
        <f t="shared" si="86"/>
        <v>604724.41090702498</v>
      </c>
      <c r="EP157" s="8">
        <f>+MINVU_Mes_Corriente!EP157*SALUD_Mes_Constante!$EP$1</f>
        <v>49234902</v>
      </c>
      <c r="EQ157" s="8">
        <f>+MINVU_Mes_Corriente!EQ157*SALUD_Mes_Constante!$EP$1</f>
        <v>35584662</v>
      </c>
      <c r="ER157" s="8">
        <f>+MINVU_Mes_Corriente!ER157*SALUD_Mes_Constante!$EP$1</f>
        <v>35584662</v>
      </c>
      <c r="ES157" s="8">
        <f>+MINVU_Mes_Corriente!ES157*SALUD_Mes_Constante!$EP$1</f>
        <v>1214080</v>
      </c>
      <c r="ET157" s="8">
        <f>+MINVU_Mes_Corriente!ET157*SALUD_Mes_Constante!$EP$1</f>
        <v>1214080</v>
      </c>
      <c r="EU157" s="8">
        <f>+MINVU_Mes_Corriente!EU157*SALUD_Mes_Constante!$EP$1</f>
        <v>1214080</v>
      </c>
      <c r="EV157" s="8">
        <f>+MINVU_Mes_Corriente!EV157*SALUD_Mes_Constante!$EP$1</f>
        <v>1214080</v>
      </c>
      <c r="EW157" s="8">
        <f>+MINVU_Mes_Corriente!EW157*SALUD_Mes_Constante!$EP$1</f>
        <v>510216</v>
      </c>
      <c r="EX157" s="8">
        <f>+MINVU_Mes_Corriente!EX157*SALUD_Mes_Constante!$EP$1</f>
        <v>510216</v>
      </c>
      <c r="EY157" s="8">
        <f>+MINVU_Mes_Corriente!EY157*SALUD_Mes_Constante!$EP$1</f>
        <v>510213</v>
      </c>
      <c r="EZ157" s="8">
        <f>+MINVU_Mes_Corriente!EZ157*SALUD_Mes_Constante!$EP$1</f>
        <v>510213</v>
      </c>
      <c r="FA157" s="8">
        <f>+MINVU_Mes_Corriente!FA157*SALUD_Mes_Constante!$EP$1</f>
        <v>510213</v>
      </c>
      <c r="FB157" s="9">
        <f t="shared" si="87"/>
        <v>510213</v>
      </c>
      <c r="FC157" s="8">
        <f>+MINVU_Mes_Corriente!FC157*SALUD_Mes_Constante!$FC$1</f>
        <v>51314706</v>
      </c>
      <c r="FD157" s="8">
        <f>+MINVU_Mes_Corriente!FD157*SALUD_Mes_Constante!$FC$1</f>
        <v>47133923</v>
      </c>
      <c r="FE157" s="8">
        <f>+MINVU_Mes_Corriente!FE157*SALUD_Mes_Constante!$FC$1</f>
        <v>46119731</v>
      </c>
      <c r="FF157" s="8">
        <f>+MINVU_Mes_Corriente!FF157*SALUD_Mes_Constante!$FC$1</f>
        <v>46119731</v>
      </c>
      <c r="FG157" s="8">
        <f>+MINVU_Mes_Corriente!FG157*SALUD_Mes_Constante!$FC$1</f>
        <v>22842836</v>
      </c>
      <c r="FH157" s="8">
        <f>+MINVU_Mes_Corriente!FH157*SALUD_Mes_Constante!$FC$1</f>
        <v>22842836</v>
      </c>
      <c r="FI157" s="8">
        <f>+MINVU_Mes_Corriente!FI157*SALUD_Mes_Constante!$FC$1</f>
        <v>0</v>
      </c>
      <c r="FJ157" s="8"/>
      <c r="FK157" s="8"/>
      <c r="FL157" s="8"/>
      <c r="FM157" s="8"/>
      <c r="FN157" s="8"/>
      <c r="FO157" s="9">
        <f t="shared" si="88"/>
        <v>0</v>
      </c>
    </row>
    <row r="158" spans="2:171" ht="14.25" customHeight="1" x14ac:dyDescent="0.3">
      <c r="B158" s="7" t="s">
        <v>46</v>
      </c>
      <c r="C158" s="8">
        <f>+MINVU_Mes_Corriente!C158*SALUD_Mes_Constante!$C$1</f>
        <v>246994.35829749375</v>
      </c>
      <c r="D158" s="8">
        <f>+MINVU_Mes_Corriente!D158*SALUD_Mes_Constante!$C$1</f>
        <v>246994.35829749375</v>
      </c>
      <c r="E158" s="8">
        <f>+MINVU_Mes_Corriente!E158*SALUD_Mes_Constante!$C$1</f>
        <v>246994.35829749375</v>
      </c>
      <c r="F158" s="8">
        <f>+MINVU_Mes_Corriente!F158*SALUD_Mes_Constante!$C$1</f>
        <v>246994.35829749375</v>
      </c>
      <c r="G158" s="8">
        <f>+MINVU_Mes_Corriente!G158*SALUD_Mes_Constante!$C$1</f>
        <v>255160.90731128582</v>
      </c>
      <c r="H158" s="8">
        <f>+MINVU_Mes_Corriente!H158*SALUD_Mes_Constante!$C$1</f>
        <v>321228.93697167438</v>
      </c>
      <c r="I158" s="8">
        <f>+MINVU_Mes_Corriente!I158*SALUD_Mes_Constante!$C$1</f>
        <v>461197.75381877512</v>
      </c>
      <c r="J158" s="8">
        <f>+MINVU_Mes_Corriente!J158*SALUD_Mes_Constante!$C$1</f>
        <v>461197.75381877512</v>
      </c>
      <c r="K158" s="8">
        <f>+MINVU_Mes_Corriente!K158*SALUD_Mes_Constante!$C$1</f>
        <v>523282.97048791347</v>
      </c>
      <c r="L158" s="8">
        <f>+MINVU_Mes_Corriente!L158*SALUD_Mes_Constante!$C$1</f>
        <v>523282.97048791347</v>
      </c>
      <c r="M158" s="8">
        <f>+MINVU_Mes_Corriente!M158*SALUD_Mes_Constante!$C$1</f>
        <v>703732.91709921416</v>
      </c>
      <c r="N158" s="8">
        <f>+MINVU_Mes_Corriente!N158*SALUD_Mes_Constante!$C$1</f>
        <v>760445.06302832579</v>
      </c>
      <c r="O158" s="9">
        <f t="shared" si="76"/>
        <v>760445.06302832579</v>
      </c>
      <c r="P158" s="8">
        <f>+MINVU_Mes_Corriente!P158*SALUD_Mes_Constante!$P$1</f>
        <v>243706.14519107819</v>
      </c>
      <c r="Q158" s="8">
        <f>+MINVU_Mes_Corriente!Q158*SALUD_Mes_Constante!$P$1</f>
        <v>243706.14519107819</v>
      </c>
      <c r="R158" s="8">
        <f>+MINVU_Mes_Corriente!R158*SALUD_Mes_Constante!$P$1</f>
        <v>294866.95780650649</v>
      </c>
      <c r="S158" s="8">
        <f>+MINVU_Mes_Corriente!S158*SALUD_Mes_Constante!$P$1</f>
        <v>1109511.3183690861</v>
      </c>
      <c r="T158" s="8">
        <f>+MINVU_Mes_Corriente!T158*SALUD_Mes_Constante!$P$1</f>
        <v>1109511.3183690861</v>
      </c>
      <c r="U158" s="8">
        <f>+MINVU_Mes_Corriente!U158*SALUD_Mes_Constante!$P$1</f>
        <v>1109511.3183690861</v>
      </c>
      <c r="V158" s="8">
        <f>+MINVU_Mes_Corriente!V158*SALUD_Mes_Constante!$P$1</f>
        <v>1109511.3183690861</v>
      </c>
      <c r="W158" s="8">
        <f>+MINVU_Mes_Corriente!W158*SALUD_Mes_Constante!$P$1</f>
        <v>1277070.740730217</v>
      </c>
      <c r="X158" s="8">
        <f>+MINVU_Mes_Corriente!X158*SALUD_Mes_Constante!$P$1</f>
        <v>1277070.740730217</v>
      </c>
      <c r="Y158" s="8">
        <f>+MINVU_Mes_Corriente!Y158*SALUD_Mes_Constante!$P$1</f>
        <v>1291017.3396789313</v>
      </c>
      <c r="Z158" s="8">
        <f>+MINVU_Mes_Corriente!Z158*SALUD_Mes_Constante!$P$1</f>
        <v>1416320.9731495946</v>
      </c>
      <c r="AA158" s="8">
        <f>+MINVU_Mes_Corriente!AA158*SALUD_Mes_Constante!$P$1</f>
        <v>1416320.9731495946</v>
      </c>
      <c r="AB158" s="9">
        <f t="shared" si="77"/>
        <v>1416320.9731495946</v>
      </c>
      <c r="AC158" s="8">
        <f>+MINVU_Mes_Corriente!AC158*SALUD_Mes_Constante!$AC$1</f>
        <v>246317.89625121039</v>
      </c>
      <c r="AD158" s="8">
        <f>+MINVU_Mes_Corriente!AD158*SALUD_Mes_Constante!$AC$1</f>
        <v>622659.57559828472</v>
      </c>
      <c r="AE158" s="8">
        <f>+MINVU_Mes_Corriente!AE158*SALUD_Mes_Constante!$AC$1</f>
        <v>674369.52690551942</v>
      </c>
      <c r="AF158" s="8">
        <f>+MINVU_Mes_Corriente!AF158*SALUD_Mes_Constante!$AC$1</f>
        <v>674369.52690551942</v>
      </c>
      <c r="AG158" s="8">
        <f>+MINVU_Mes_Corriente!AG158*SALUD_Mes_Constante!$AC$1</f>
        <v>674369.52690551942</v>
      </c>
      <c r="AH158" s="8">
        <f>+MINVU_Mes_Corriente!AH158*SALUD_Mes_Constante!$AC$1</f>
        <v>679860.48803430621</v>
      </c>
      <c r="AI158" s="8">
        <f>+MINVU_Mes_Corriente!AI158*SALUD_Mes_Constante!$AC$1</f>
        <v>679860.48803430621</v>
      </c>
      <c r="AJ158" s="8">
        <f>+MINVU_Mes_Corriente!AJ158*SALUD_Mes_Constante!$AC$1</f>
        <v>679860.48803430621</v>
      </c>
      <c r="AK158" s="8">
        <f>+MINVU_Mes_Corriente!AK158*SALUD_Mes_Constante!$AC$1</f>
        <v>679860.48803430621</v>
      </c>
      <c r="AL158" s="8">
        <f>+MINVU_Mes_Corriente!AL158*SALUD_Mes_Constante!$AC$1</f>
        <v>679860.48803430621</v>
      </c>
      <c r="AM158" s="8">
        <f>+MINVU_Mes_Corriente!AM158*SALUD_Mes_Constante!$AC$1</f>
        <v>685993.7994190068</v>
      </c>
      <c r="AN158" s="8">
        <f>+MINVU_Mes_Corriente!AN158*SALUD_Mes_Constante!$AC$1</f>
        <v>674200.24872043158</v>
      </c>
      <c r="AO158" s="9">
        <f t="shared" si="78"/>
        <v>674200.24872043158</v>
      </c>
      <c r="AP158" s="8">
        <f>+MINVU_Mes_Corriente!AP158*SALUD_Mes_Constante!$AP$1</f>
        <v>248079.16759096441</v>
      </c>
      <c r="AQ158" s="8">
        <f>+MINVU_Mes_Corriente!AQ158*SALUD_Mes_Constante!$AP$1</f>
        <v>248079.16759096441</v>
      </c>
      <c r="AR158" s="8">
        <f>+MINVU_Mes_Corriente!AR158*SALUD_Mes_Constante!$AP$1</f>
        <v>248079.16759096441</v>
      </c>
      <c r="AS158" s="8">
        <f>+MINVU_Mes_Corriente!AS158*SALUD_Mes_Constante!$AP$1</f>
        <v>248079.16759096441</v>
      </c>
      <c r="AT158" s="8">
        <f>+MINVU_Mes_Corriente!AT158*SALUD_Mes_Constante!$AP$1</f>
        <v>248079.16759096441</v>
      </c>
      <c r="AU158" s="8">
        <f>+MINVU_Mes_Corriente!AU158*SALUD_Mes_Constante!$AP$1</f>
        <v>428422.45556607598</v>
      </c>
      <c r="AV158" s="8">
        <f>+MINVU_Mes_Corriente!AV158*SALUD_Mes_Constante!$AP$1</f>
        <v>428422.45556607598</v>
      </c>
      <c r="AW158" s="8">
        <f>+MINVU_Mes_Corriente!AW158*SALUD_Mes_Constante!$AP$1</f>
        <v>428422.45556607598</v>
      </c>
      <c r="AX158" s="8">
        <f>+MINVU_Mes_Corriente!AX158*SALUD_Mes_Constante!$AP$1</f>
        <v>487537.8349790342</v>
      </c>
      <c r="AY158" s="8">
        <f>+MINVU_Mes_Corriente!AY158*SALUD_Mes_Constante!$AP$1</f>
        <v>487537.8349790342</v>
      </c>
      <c r="AZ158" s="8">
        <f>+MINVU_Mes_Corriente!AZ158*SALUD_Mes_Constante!$AP$1</f>
        <v>605620.80535641825</v>
      </c>
      <c r="BA158" s="8">
        <f>+MINVU_Mes_Corriente!BA158*SALUD_Mes_Constante!$AP$1</f>
        <v>605620.80535641825</v>
      </c>
      <c r="BB158" s="9">
        <f t="shared" si="79"/>
        <v>605620.80535641825</v>
      </c>
      <c r="BC158" s="8">
        <f>+MINVU_Mes_Corriente!BC158*SALUD_Mes_Constante!$BC$1</f>
        <v>248151.17367796393</v>
      </c>
      <c r="BD158" s="8">
        <f>+MINVU_Mes_Corriente!BD158*SALUD_Mes_Constante!$BC$1</f>
        <v>248151.17367796393</v>
      </c>
      <c r="BE158" s="8">
        <f>+MINVU_Mes_Corriente!BE158*SALUD_Mes_Constante!$BC$1</f>
        <v>248151.17367796393</v>
      </c>
      <c r="BF158" s="8">
        <f>+MINVU_Mes_Corriente!BF158*SALUD_Mes_Constante!$BC$1</f>
        <v>248151.17367796393</v>
      </c>
      <c r="BG158" s="8">
        <f>+MINVU_Mes_Corriente!BG158*SALUD_Mes_Constante!$BC$1</f>
        <v>248151.17367796393</v>
      </c>
      <c r="BH158" s="8">
        <f>+MINVU_Mes_Corriente!BH158*SALUD_Mes_Constante!$BC$1</f>
        <v>248151.17367796393</v>
      </c>
      <c r="BI158" s="8">
        <f>+MINVU_Mes_Corriente!BI158*SALUD_Mes_Constante!$BC$1</f>
        <v>225149.37175260458</v>
      </c>
      <c r="BJ158" s="8">
        <f>+MINVU_Mes_Corriente!BJ158*SALUD_Mes_Constante!$BC$1</f>
        <v>372188.57787155488</v>
      </c>
      <c r="BK158" s="8">
        <f>+MINVU_Mes_Corriente!BK158*SALUD_Mes_Constante!$BC$1</f>
        <v>1668476.4212053281</v>
      </c>
      <c r="BL158" s="8">
        <f>+MINVU_Mes_Corriente!BL158*SALUD_Mes_Constante!$BC$1</f>
        <v>2419014.6709745489</v>
      </c>
      <c r="BM158" s="8">
        <f>+MINVU_Mes_Corriente!BM158*SALUD_Mes_Constante!$BC$1</f>
        <v>2441780.172754847</v>
      </c>
      <c r="BN158" s="8">
        <f>+MINVU_Mes_Corriente!BN158*SALUD_Mes_Constante!$BC$1</f>
        <v>2508814.4895160231</v>
      </c>
      <c r="BO158" s="9">
        <f t="shared" si="80"/>
        <v>2508814.4895160231</v>
      </c>
      <c r="BP158" s="8">
        <f>+MINVU_Mes_Corriente!BP158*SALUD_Mes_Constante!$BP$1</f>
        <v>0</v>
      </c>
      <c r="BQ158" s="8">
        <f>+MINVU_Mes_Corriente!BQ158*SALUD_Mes_Constante!$BP$1</f>
        <v>0</v>
      </c>
      <c r="BR158" s="8">
        <f>+MINVU_Mes_Corriente!BR158*SALUD_Mes_Constante!$BP$1</f>
        <v>0</v>
      </c>
      <c r="BS158" s="8">
        <f>+MINVU_Mes_Corriente!BS158*SALUD_Mes_Constante!$BP$1</f>
        <v>409899.87195902696</v>
      </c>
      <c r="BT158" s="8">
        <f>+MINVU_Mes_Corriente!BT158*SALUD_Mes_Constante!$BP$1</f>
        <v>434991.89961587713</v>
      </c>
      <c r="BU158" s="8">
        <f>+MINVU_Mes_Corriente!BU158*SALUD_Mes_Constante!$BP$1</f>
        <v>905937.47400768253</v>
      </c>
      <c r="BV158" s="8">
        <f>+MINVU_Mes_Corriente!BV158*SALUD_Mes_Constante!$BP$1</f>
        <v>941758.24609475047</v>
      </c>
      <c r="BW158" s="8">
        <f>+MINVU_Mes_Corriente!BW158*SALUD_Mes_Constante!$BP$1</f>
        <v>1171879.9513444304</v>
      </c>
      <c r="BX158" s="8">
        <f>+MINVU_Mes_Corriente!BX158*SALUD_Mes_Constante!$BP$1</f>
        <v>3613534.5756722153</v>
      </c>
      <c r="BY158" s="8">
        <f>+MINVU_Mes_Corriente!BY158*SALUD_Mes_Constante!$BP$1</f>
        <v>3613534.5756722153</v>
      </c>
      <c r="BZ158" s="8">
        <f>+MINVU_Mes_Corriente!BZ158*SALUD_Mes_Constante!$BP$1</f>
        <v>3613534.5756722153</v>
      </c>
      <c r="CA158" s="8">
        <f>+MINVU_Mes_Corriente!CA158*SALUD_Mes_Constante!$BP$1</f>
        <v>3613534.5756722153</v>
      </c>
      <c r="CB158" s="9">
        <f t="shared" si="81"/>
        <v>3613534.5756722153</v>
      </c>
      <c r="CC158" s="8">
        <f>+MINVU_Mes_Corriente!CC158*SALUD_Mes_Constante!$CC$1</f>
        <v>45077.391271913468</v>
      </c>
      <c r="CD158" s="8">
        <f>+MINVU_Mes_Corriente!CD158*SALUD_Mes_Constante!$CC$1</f>
        <v>45077.391271913468</v>
      </c>
      <c r="CE158" s="8">
        <f>+MINVU_Mes_Corriente!CE158*SALUD_Mes_Constante!$CC$1</f>
        <v>45077.391271913468</v>
      </c>
      <c r="CF158" s="8">
        <f>+MINVU_Mes_Corriente!CF158*SALUD_Mes_Constante!$CC$1</f>
        <v>117011.30622901903</v>
      </c>
      <c r="CG158" s="8">
        <f>+MINVU_Mes_Corriente!CG158*SALUD_Mes_Constante!$CC$1</f>
        <v>124557.48675867215</v>
      </c>
      <c r="CH158" s="8">
        <f>+MINVU_Mes_Corriente!CH158*SALUD_Mes_Constante!$CC$1</f>
        <v>124557.48675867215</v>
      </c>
      <c r="CI158" s="8">
        <f>+MINVU_Mes_Corriente!CI158*SALUD_Mes_Constante!$CC$1</f>
        <v>124557.48675867215</v>
      </c>
      <c r="CJ158" s="8">
        <f>+MINVU_Mes_Corriente!CJ158*SALUD_Mes_Constante!$CC$1</f>
        <v>359862.47444983217</v>
      </c>
      <c r="CK158" s="8">
        <f>+MINVU_Mes_Corriente!CK158*SALUD_Mes_Constante!$CC$1</f>
        <v>387737.83439015294</v>
      </c>
      <c r="CL158" s="8">
        <f>+MINVU_Mes_Corriente!CL158*SALUD_Mes_Constante!$CC$1</f>
        <v>387737.83439015294</v>
      </c>
      <c r="CM158" s="8">
        <f>+MINVU_Mes_Corriente!CM158*SALUD_Mes_Constante!$CC$1</f>
        <v>553438.64602760167</v>
      </c>
      <c r="CN158" s="8">
        <f>+MINVU_Mes_Corriente!CN158*SALUD_Mes_Constante!$CC$1</f>
        <v>553438.64602760167</v>
      </c>
      <c r="CO158" s="9">
        <f t="shared" si="82"/>
        <v>553438.64602760167</v>
      </c>
      <c r="CP158" s="8">
        <f>+MINVU_Mes_Corriente!CP158*SALUD_Mes_Constante!$CP$1</f>
        <v>180827.83503480276</v>
      </c>
      <c r="CQ158" s="8">
        <f>+MINVU_Mes_Corriente!CQ158*SALUD_Mes_Constante!$CP$1</f>
        <v>180827.83503480276</v>
      </c>
      <c r="CR158" s="8">
        <f>+MINVU_Mes_Corriente!CR158*SALUD_Mes_Constante!$CP$1</f>
        <v>434215.97122969828</v>
      </c>
      <c r="CS158" s="8">
        <f>+MINVU_Mes_Corriente!CS158*SALUD_Mes_Constante!$CP$1</f>
        <v>434215.97122969828</v>
      </c>
      <c r="CT158" s="8">
        <f>+MINVU_Mes_Corriente!CT158*SALUD_Mes_Constante!$CP$1</f>
        <v>434215.97122969828</v>
      </c>
      <c r="CU158" s="8">
        <f>+MINVU_Mes_Corriente!CU158*SALUD_Mes_Constante!$CP$1</f>
        <v>624660.46078886301</v>
      </c>
      <c r="CV158" s="8">
        <f>+MINVU_Mes_Corriente!CV158*SALUD_Mes_Constante!$CP$1</f>
        <v>624660.46078886301</v>
      </c>
      <c r="CW158" s="8">
        <f>+MINVU_Mes_Corriente!CW158*SALUD_Mes_Constante!$CP$1</f>
        <v>675361.15684454737</v>
      </c>
      <c r="CX158" s="8">
        <f>+MINVU_Mes_Corriente!CX158*SALUD_Mes_Constante!$CP$1</f>
        <v>675361.15684454737</v>
      </c>
      <c r="CY158" s="8">
        <f>+MINVU_Mes_Corriente!CY158*SALUD_Mes_Constante!$CP$1</f>
        <v>683077.80278422264</v>
      </c>
      <c r="CZ158" s="8">
        <f>+MINVU_Mes_Corriente!CZ158*SALUD_Mes_Constante!$CP$1</f>
        <v>683077.80278422264</v>
      </c>
      <c r="DA158" s="8">
        <f>+MINVU_Mes_Corriente!DA158*SALUD_Mes_Constante!$CP$1</f>
        <v>683077.80278422264</v>
      </c>
      <c r="DB158" s="9">
        <f t="shared" si="83"/>
        <v>683077.80278422264</v>
      </c>
      <c r="DC158" s="8">
        <f>+MINVU_Mes_Corriente!DC158*SALUD_Mes_Constante!$DC$1</f>
        <v>217337.59572060499</v>
      </c>
      <c r="DD158" s="8">
        <f>+MINVU_Mes_Corriente!DD158*SALUD_Mes_Constante!$DC$1</f>
        <v>217337.59572060499</v>
      </c>
      <c r="DE158" s="8">
        <f>+MINVU_Mes_Corriente!DE158*SALUD_Mes_Constante!$DC$1</f>
        <v>217337.59572060499</v>
      </c>
      <c r="DF158" s="8">
        <f>+MINVU_Mes_Corriente!DF158*SALUD_Mes_Constante!$DC$1</f>
        <v>217337.59572060499</v>
      </c>
      <c r="DG158" s="8">
        <f>+MINVU_Mes_Corriente!DG158*SALUD_Mes_Constante!$DC$1</f>
        <v>217337.59572060499</v>
      </c>
      <c r="DH158" s="8">
        <f>+MINVU_Mes_Corriente!DH158*SALUD_Mes_Constante!$DC$1</f>
        <v>217337.59572060499</v>
      </c>
      <c r="DI158" s="8">
        <f>+MINVU_Mes_Corriente!DI158*SALUD_Mes_Constante!$DC$1</f>
        <v>308357.99814833881</v>
      </c>
      <c r="DJ158" s="8">
        <f>+MINVU_Mes_Corriente!DJ158*SALUD_Mes_Constante!$DC$1</f>
        <v>425373.31138771749</v>
      </c>
      <c r="DK158" s="8">
        <f>+MINVU_Mes_Corriente!DK158*SALUD_Mes_Constante!$DC$1</f>
        <v>694410.74745396595</v>
      </c>
      <c r="DL158" s="8">
        <f>+MINVU_Mes_Corriente!DL158*SALUD_Mes_Constante!$DC$1</f>
        <v>694410.74745396595</v>
      </c>
      <c r="DM158" s="8">
        <f>+MINVU_Mes_Corriente!DM158*SALUD_Mes_Constante!$DC$1</f>
        <v>694410.74745396595</v>
      </c>
      <c r="DN158" s="8">
        <f>+MINVU_Mes_Corriente!DN158*SALUD_Mes_Constante!$DC$1</f>
        <v>694410.74745396595</v>
      </c>
      <c r="DO158" s="9">
        <f t="shared" si="84"/>
        <v>694410.74745396595</v>
      </c>
      <c r="DP158" s="8">
        <f>+MINVU_Mes_Corriente!DP158*SALUD_Mes_Constante!$DP$1</f>
        <v>222272.2980997625</v>
      </c>
      <c r="DQ158" s="8">
        <f>+MINVU_Mes_Corriente!DQ158*SALUD_Mes_Constante!$DP$1</f>
        <v>1514862.2173396675</v>
      </c>
      <c r="DR158" s="8">
        <f>+MINVU_Mes_Corriente!DR158*SALUD_Mes_Constante!$DP$1</f>
        <v>1625859.9530878861</v>
      </c>
      <c r="DS158" s="8">
        <f>+MINVU_Mes_Corriente!DS158*SALUD_Mes_Constante!$DP$1</f>
        <v>1628563.3378859858</v>
      </c>
      <c r="DT158" s="8">
        <f>+MINVU_Mes_Corriente!DT158*SALUD_Mes_Constante!$DP$1</f>
        <v>1628563.3378859858</v>
      </c>
      <c r="DU158" s="8">
        <f>+MINVU_Mes_Corriente!DU158*SALUD_Mes_Constante!$DP$1</f>
        <v>1658730.9495249407</v>
      </c>
      <c r="DV158" s="8">
        <f>+MINVU_Mes_Corriente!DV158*SALUD_Mes_Constante!$DP$1</f>
        <v>1755411.5593824231</v>
      </c>
      <c r="DW158" s="8">
        <f>+MINVU_Mes_Corriente!DW158*SALUD_Mes_Constante!$DP$1</f>
        <v>1766940.9548693588</v>
      </c>
      <c r="DX158" s="8">
        <f>+MINVU_Mes_Corriente!DX158*SALUD_Mes_Constante!$DP$1</f>
        <v>1769541.6110451308</v>
      </c>
      <c r="DY158" s="8">
        <f>+MINVU_Mes_Corriente!DY158*SALUD_Mes_Constante!$DP$1</f>
        <v>1769541.6110451308</v>
      </c>
      <c r="DZ158" s="8">
        <f>+MINVU_Mes_Corriente!DZ158*SALUD_Mes_Constante!$DP$1</f>
        <v>1769541.6110451308</v>
      </c>
      <c r="EA158" s="8">
        <f>+MINVU_Mes_Corriente!EA158*SALUD_Mes_Constante!$DP$1</f>
        <v>1769541.6110451308</v>
      </c>
      <c r="EB158" s="9">
        <f t="shared" si="85"/>
        <v>1769541.6110451308</v>
      </c>
      <c r="EC158" s="8">
        <f>+MINVU_Mes_Corriente!EC158*SALUD_Mes_Constante!$EC$1</f>
        <v>194763.55330429837</v>
      </c>
      <c r="ED158" s="8">
        <f>+MINVU_Mes_Corriente!ED158*SALUD_Mes_Constante!$EC$1</f>
        <v>194763.55330429837</v>
      </c>
      <c r="EE158" s="8">
        <f>+MINVU_Mes_Corriente!EE158*SALUD_Mes_Constante!$EC$1</f>
        <v>489250.39064571087</v>
      </c>
      <c r="EF158" s="8">
        <f>+MINVU_Mes_Corriente!EF158*SALUD_Mes_Constante!$EC$1</f>
        <v>496001.29729217937</v>
      </c>
      <c r="EG158" s="8">
        <f>+MINVU_Mes_Corriente!EG158*SALUD_Mes_Constante!$EC$1</f>
        <v>609746.72959666711</v>
      </c>
      <c r="EH158" s="8">
        <f>+MINVU_Mes_Corriente!EH158*SALUD_Mes_Constante!$EC$1</f>
        <v>609746.72959666711</v>
      </c>
      <c r="EI158" s="8">
        <f>+MINVU_Mes_Corriente!EI158*SALUD_Mes_Constante!$EC$1</f>
        <v>609746.72959666711</v>
      </c>
      <c r="EJ158" s="8">
        <f>+MINVU_Mes_Corriente!EJ158*SALUD_Mes_Constante!$EC$1</f>
        <v>609746.72959666711</v>
      </c>
      <c r="EK158" s="8">
        <f>+MINVU_Mes_Corriente!EK158*SALUD_Mes_Constante!$EC$1</f>
        <v>609746.72959666711</v>
      </c>
      <c r="EL158" s="8">
        <f>+MINVU_Mes_Corriente!EL158*SALUD_Mes_Constante!$EC$1</f>
        <v>617407.96383260726</v>
      </c>
      <c r="EM158" s="8">
        <f>+MINVU_Mes_Corriente!EM158*SALUD_Mes_Constante!$EC$1</f>
        <v>617407.96383260726</v>
      </c>
      <c r="EN158" s="8">
        <f>+MINVU_Mes_Corriente!EN158*SALUD_Mes_Constante!$EC$1</f>
        <v>570158.858549517</v>
      </c>
      <c r="EO158" s="9">
        <f t="shared" si="86"/>
        <v>570158.858549517</v>
      </c>
      <c r="EP158" s="8">
        <f>+MINVU_Mes_Corriente!EP158*SALUD_Mes_Constante!$EP$1</f>
        <v>196182</v>
      </c>
      <c r="EQ158" s="8">
        <f>+MINVU_Mes_Corriente!EQ158*SALUD_Mes_Constante!$EP$1</f>
        <v>196182</v>
      </c>
      <c r="ER158" s="8">
        <f>+MINVU_Mes_Corriente!ER158*SALUD_Mes_Constante!$EP$1</f>
        <v>196182</v>
      </c>
      <c r="ES158" s="8">
        <f>+MINVU_Mes_Corriente!ES158*SALUD_Mes_Constante!$EP$1</f>
        <v>1053558</v>
      </c>
      <c r="ET158" s="8">
        <f>+MINVU_Mes_Corriente!ET158*SALUD_Mes_Constante!$EP$1</f>
        <v>1056570</v>
      </c>
      <c r="EU158" s="8">
        <f>+MINVU_Mes_Corriente!EU158*SALUD_Mes_Constante!$EP$1</f>
        <v>1056570</v>
      </c>
      <c r="EV158" s="8">
        <f>+MINVU_Mes_Corriente!EV158*SALUD_Mes_Constante!$EP$1</f>
        <v>1056570</v>
      </c>
      <c r="EW158" s="8">
        <f>+MINVU_Mes_Corriente!EW158*SALUD_Mes_Constante!$EP$1</f>
        <v>1056570</v>
      </c>
      <c r="EX158" s="8">
        <f>+MINVU_Mes_Corriente!EX158*SALUD_Mes_Constante!$EP$1</f>
        <v>1056570</v>
      </c>
      <c r="EY158" s="8">
        <f>+MINVU_Mes_Corriente!EY158*SALUD_Mes_Constante!$EP$1</f>
        <v>1056570</v>
      </c>
      <c r="EZ158" s="8">
        <f>+MINVU_Mes_Corriente!EZ158*SALUD_Mes_Constante!$EP$1</f>
        <v>1056570</v>
      </c>
      <c r="FA158" s="8">
        <f>+MINVU_Mes_Corriente!FA158*SALUD_Mes_Constante!$EP$1</f>
        <v>900167</v>
      </c>
      <c r="FB158" s="9">
        <f t="shared" si="87"/>
        <v>900167</v>
      </c>
      <c r="FC158" s="8">
        <f>+MINVU_Mes_Corriente!FC158*SALUD_Mes_Constante!$FC$1</f>
        <v>202264</v>
      </c>
      <c r="FD158" s="8">
        <f>+MINVU_Mes_Corriente!FD158*SALUD_Mes_Constante!$FC$1</f>
        <v>202264</v>
      </c>
      <c r="FE158" s="8">
        <f>+MINVU_Mes_Corriente!FE158*SALUD_Mes_Constante!$FC$1</f>
        <v>209064</v>
      </c>
      <c r="FF158" s="8">
        <f>+MINVU_Mes_Corriente!FF158*SALUD_Mes_Constante!$FC$1</f>
        <v>209064</v>
      </c>
      <c r="FG158" s="8">
        <f>+MINVU_Mes_Corriente!FG158*SALUD_Mes_Constante!$FC$1</f>
        <v>209064</v>
      </c>
      <c r="FH158" s="8">
        <f>+MINVU_Mes_Corriente!FH158*SALUD_Mes_Constante!$FC$1</f>
        <v>209064</v>
      </c>
      <c r="FI158" s="8">
        <f>+MINVU_Mes_Corriente!FI158*SALUD_Mes_Constante!$FC$1</f>
        <v>291028</v>
      </c>
      <c r="FJ158" s="8"/>
      <c r="FK158" s="8"/>
      <c r="FL158" s="8"/>
      <c r="FM158" s="8"/>
      <c r="FN158" s="8"/>
      <c r="FO158" s="9">
        <f t="shared" si="88"/>
        <v>291028</v>
      </c>
    </row>
    <row r="159" spans="2:171" ht="14.25" customHeight="1" x14ac:dyDescent="0.3">
      <c r="B159" s="7" t="s">
        <v>47</v>
      </c>
      <c r="C159" s="8">
        <f>+MINVU_Mes_Corriente!C159*SALUD_Mes_Constante!$C$1</f>
        <v>349338.71718819521</v>
      </c>
      <c r="D159" s="8">
        <f>+MINVU_Mes_Corriente!D159*SALUD_Mes_Constante!$C$1</f>
        <v>455390.43007563404</v>
      </c>
      <c r="E159" s="8">
        <f>+MINVU_Mes_Corriente!E159*SALUD_Mes_Constante!$C$1</f>
        <v>455390.43007563404</v>
      </c>
      <c r="F159" s="8">
        <f>+MINVU_Mes_Corriente!F159*SALUD_Mes_Constante!$C$1</f>
        <v>455390.43007563404</v>
      </c>
      <c r="G159" s="8">
        <f>+MINVU_Mes_Corriente!G159*SALUD_Mes_Constante!$C$1</f>
        <v>460057.02951208671</v>
      </c>
      <c r="H159" s="8">
        <f>+MINVU_Mes_Corriente!H159*SALUD_Mes_Constante!$C$1</f>
        <v>463059.53255227651</v>
      </c>
      <c r="I159" s="8">
        <f>+MINVU_Mes_Corriente!I159*SALUD_Mes_Constante!$C$1</f>
        <v>463059.53255227651</v>
      </c>
      <c r="J159" s="8">
        <f>+MINVU_Mes_Corriente!J159*SALUD_Mes_Constante!$C$1</f>
        <v>463059.53255227651</v>
      </c>
      <c r="K159" s="8">
        <f>+MINVU_Mes_Corriente!K159*SALUD_Mes_Constante!$C$1</f>
        <v>491307.04226605379</v>
      </c>
      <c r="L159" s="8">
        <f>+MINVU_Mes_Corriente!L159*SALUD_Mes_Constante!$C$1</f>
        <v>492587.11641702516</v>
      </c>
      <c r="M159" s="8">
        <f>+MINVU_Mes_Corriente!M159*SALUD_Mes_Constante!$C$1</f>
        <v>1272690.2295714077</v>
      </c>
      <c r="N159" s="8">
        <f>+MINVU_Mes_Corriente!N159*SALUD_Mes_Constante!$C$1</f>
        <v>1329402.3755005193</v>
      </c>
      <c r="O159" s="9">
        <f t="shared" si="76"/>
        <v>1329402.3755005193</v>
      </c>
      <c r="P159" s="8">
        <f>+MINVU_Mes_Corriente!P159*SALUD_Mes_Constante!$P$1</f>
        <v>344688.21395084518</v>
      </c>
      <c r="Q159" s="8">
        <f>+MINVU_Mes_Corriente!Q159*SALUD_Mes_Constante!$P$1</f>
        <v>344688.21395084518</v>
      </c>
      <c r="R159" s="8">
        <f>+MINVU_Mes_Corriente!R159*SALUD_Mes_Constante!$P$1</f>
        <v>395849.02656627347</v>
      </c>
      <c r="S159" s="8">
        <f>+MINVU_Mes_Corriente!S159*SALUD_Mes_Constante!$P$1</f>
        <v>395849.02656627347</v>
      </c>
      <c r="T159" s="8">
        <f>+MINVU_Mes_Corriente!T159*SALUD_Mes_Constante!$P$1</f>
        <v>395849.02656627347</v>
      </c>
      <c r="U159" s="8">
        <f>+MINVU_Mes_Corriente!U159*SALUD_Mes_Constante!$P$1</f>
        <v>395849.02656627347</v>
      </c>
      <c r="V159" s="8">
        <f>+MINVU_Mes_Corriente!V159*SALUD_Mes_Constante!$P$1</f>
        <v>395849.02656627347</v>
      </c>
      <c r="W159" s="8">
        <f>+MINVU_Mes_Corriente!W159*SALUD_Mes_Constante!$P$1</f>
        <v>920495.70933371189</v>
      </c>
      <c r="X159" s="8">
        <f>+MINVU_Mes_Corriente!X159*SALUD_Mes_Constante!$P$1</f>
        <v>920495.70933371189</v>
      </c>
      <c r="Y159" s="8">
        <f>+MINVU_Mes_Corriente!Y159*SALUD_Mes_Constante!$P$1</f>
        <v>927977.35729506996</v>
      </c>
      <c r="Z159" s="8">
        <f>+MINVU_Mes_Corriente!Z159*SALUD_Mes_Constante!$P$1</f>
        <v>2145274.076999573</v>
      </c>
      <c r="AA159" s="8">
        <f>+MINVU_Mes_Corriente!AA159*SALUD_Mes_Constante!$P$1</f>
        <v>1012007.7502486145</v>
      </c>
      <c r="AB159" s="9">
        <f t="shared" si="77"/>
        <v>1012007.7502486145</v>
      </c>
      <c r="AC159" s="8">
        <f>+MINVU_Mes_Corriente!AC159*SALUD_Mes_Constante!$AC$1</f>
        <v>348382.0619726103</v>
      </c>
      <c r="AD159" s="8">
        <f>+MINVU_Mes_Corriente!AD159*SALUD_Mes_Constante!$AC$1</f>
        <v>724723.74131968454</v>
      </c>
      <c r="AE159" s="8">
        <f>+MINVU_Mes_Corriente!AE159*SALUD_Mes_Constante!$AC$1</f>
        <v>724723.74131968454</v>
      </c>
      <c r="AF159" s="8">
        <f>+MINVU_Mes_Corriente!AF159*SALUD_Mes_Constante!$AC$1</f>
        <v>724723.74131968454</v>
      </c>
      <c r="AG159" s="8">
        <f>+MINVU_Mes_Corriente!AG159*SALUD_Mes_Constante!$AC$1</f>
        <v>724723.74131968454</v>
      </c>
      <c r="AH159" s="8">
        <f>+MINVU_Mes_Corriente!AH159*SALUD_Mes_Constante!$AC$1</f>
        <v>724723.74131968454</v>
      </c>
      <c r="AI159" s="8">
        <f>+MINVU_Mes_Corriente!AI159*SALUD_Mes_Constante!$AC$1</f>
        <v>814557.55816848797</v>
      </c>
      <c r="AJ159" s="8">
        <f>+MINVU_Mes_Corriente!AJ159*SALUD_Mes_Constante!$AC$1</f>
        <v>814557.55816848797</v>
      </c>
      <c r="AK159" s="8">
        <f>+MINVU_Mes_Corriente!AK159*SALUD_Mes_Constante!$AC$1</f>
        <v>814557.55816848797</v>
      </c>
      <c r="AL159" s="8">
        <f>+MINVU_Mes_Corriente!AL159*SALUD_Mes_Constante!$AC$1</f>
        <v>815086.55249688751</v>
      </c>
      <c r="AM159" s="8">
        <f>+MINVU_Mes_Corriente!AM159*SALUD_Mes_Constante!$AC$1</f>
        <v>831177.04855443351</v>
      </c>
      <c r="AN159" s="8">
        <f>+MINVU_Mes_Corriente!AN159*SALUD_Mes_Constante!$AC$1</f>
        <v>831177.04855443351</v>
      </c>
      <c r="AO159" s="9">
        <f t="shared" si="78"/>
        <v>831177.04855443351</v>
      </c>
      <c r="AP159" s="8">
        <f>+MINVU_Mes_Corriente!AP159*SALUD_Mes_Constante!$AP$1</f>
        <v>350873.42296767212</v>
      </c>
      <c r="AQ159" s="8">
        <f>+MINVU_Mes_Corriente!AQ159*SALUD_Mes_Constante!$AP$1</f>
        <v>350873.42296767212</v>
      </c>
      <c r="AR159" s="8">
        <f>+MINVU_Mes_Corriente!AR159*SALUD_Mes_Constante!$AP$1</f>
        <v>350873.42296767212</v>
      </c>
      <c r="AS159" s="8">
        <f>+MINVU_Mes_Corriente!AS159*SALUD_Mes_Constante!$AP$1</f>
        <v>350873.42296767212</v>
      </c>
      <c r="AT159" s="8">
        <f>+MINVU_Mes_Corriente!AT159*SALUD_Mes_Constante!$AP$1</f>
        <v>350873.42296767212</v>
      </c>
      <c r="AU159" s="8">
        <f>+MINVU_Mes_Corriente!AU159*SALUD_Mes_Constante!$AP$1</f>
        <v>350873.42296767212</v>
      </c>
      <c r="AV159" s="8">
        <f>+MINVU_Mes_Corriente!AV159*SALUD_Mes_Constante!$AP$1</f>
        <v>350873.42296767212</v>
      </c>
      <c r="AW159" s="8">
        <f>+MINVU_Mes_Corriente!AW159*SALUD_Mes_Constante!$AP$1</f>
        <v>350873.42296767212</v>
      </c>
      <c r="AX159" s="8">
        <f>+MINVU_Mes_Corriente!AX159*SALUD_Mes_Constante!$AP$1</f>
        <v>414422.45583660214</v>
      </c>
      <c r="AY159" s="8">
        <f>+MINVU_Mes_Corriente!AY159*SALUD_Mes_Constante!$AP$1</f>
        <v>452108.51021236303</v>
      </c>
      <c r="AZ159" s="8">
        <f>+MINVU_Mes_Corriente!AZ159*SALUD_Mes_Constante!$AP$1</f>
        <v>456542.16366833489</v>
      </c>
      <c r="BA159" s="8">
        <f>+MINVU_Mes_Corriente!BA159*SALUD_Mes_Constante!$AP$1</f>
        <v>718427.72812119569</v>
      </c>
      <c r="BB159" s="9">
        <f t="shared" si="79"/>
        <v>718427.72812119569</v>
      </c>
      <c r="BC159" s="8">
        <f>+MINVU_Mes_Corriente!BC159*SALUD_Mes_Constante!$BC$1</f>
        <v>350976.31728867214</v>
      </c>
      <c r="BD159" s="8">
        <f>+MINVU_Mes_Corriente!BD159*SALUD_Mes_Constante!$BC$1</f>
        <v>350976.31728867214</v>
      </c>
      <c r="BE159" s="8">
        <f>+MINVU_Mes_Corriente!BE159*SALUD_Mes_Constante!$BC$1</f>
        <v>350976.31728867214</v>
      </c>
      <c r="BF159" s="8">
        <f>+MINVU_Mes_Corriente!BF159*SALUD_Mes_Constante!$BC$1</f>
        <v>350976.31728867214</v>
      </c>
      <c r="BG159" s="8">
        <f>+MINVU_Mes_Corriente!BG159*SALUD_Mes_Constante!$BC$1</f>
        <v>350976.31728867214</v>
      </c>
      <c r="BH159" s="8">
        <f>+MINVU_Mes_Corriente!BH159*SALUD_Mes_Constante!$BC$1</f>
        <v>350976.31728867214</v>
      </c>
      <c r="BI159" s="8">
        <f>+MINVU_Mes_Corriente!BI159*SALUD_Mes_Constante!$BC$1</f>
        <v>315195.57642094168</v>
      </c>
      <c r="BJ159" s="8">
        <f>+MINVU_Mes_Corriente!BJ159*SALUD_Mes_Constante!$BC$1</f>
        <v>315195.57642094168</v>
      </c>
      <c r="BK159" s="8">
        <f>+MINVU_Mes_Corriente!BK159*SALUD_Mes_Constante!$BC$1</f>
        <v>578514.62587366498</v>
      </c>
      <c r="BL159" s="8">
        <f>+MINVU_Mes_Corriente!BL159*SALUD_Mes_Constante!$BC$1</f>
        <v>578514.62587366498</v>
      </c>
      <c r="BM159" s="8">
        <f>+MINVU_Mes_Corriente!BM159*SALUD_Mes_Constante!$BC$1</f>
        <v>583917.83041012811</v>
      </c>
      <c r="BN159" s="8">
        <f>+MINVU_Mes_Corriente!BN159*SALUD_Mes_Constante!$BC$1</f>
        <v>1139968.0931029939</v>
      </c>
      <c r="BO159" s="9">
        <f t="shared" si="80"/>
        <v>1139968.0931029939</v>
      </c>
      <c r="BP159" s="8">
        <f>+MINVU_Mes_Corriente!BP159*SALUD_Mes_Constante!$BP$1</f>
        <v>0</v>
      </c>
      <c r="BQ159" s="8">
        <f>+MINVU_Mes_Corriente!BQ159*SALUD_Mes_Constante!$BP$1</f>
        <v>0</v>
      </c>
      <c r="BR159" s="8">
        <f>+MINVU_Mes_Corriente!BR159*SALUD_Mes_Constante!$BP$1</f>
        <v>0</v>
      </c>
      <c r="BS159" s="8">
        <f>+MINVU_Mes_Corriente!BS159*SALUD_Mes_Constante!$BP$1</f>
        <v>455286.8396927017</v>
      </c>
      <c r="BT159" s="8">
        <f>+MINVU_Mes_Corriente!BT159*SALUD_Mes_Constante!$BP$1</f>
        <v>477862.11011523695</v>
      </c>
      <c r="BU159" s="8">
        <f>+MINVU_Mes_Corriente!BU159*SALUD_Mes_Constante!$BP$1</f>
        <v>675194.62355953909</v>
      </c>
      <c r="BV159" s="8">
        <f>+MINVU_Mes_Corriente!BV159*SALUD_Mes_Constante!$BP$1</f>
        <v>723389.33546734962</v>
      </c>
      <c r="BW159" s="8">
        <f>+MINVU_Mes_Corriente!BW159*SALUD_Mes_Constante!$BP$1</f>
        <v>746472.43405889894</v>
      </c>
      <c r="BX159" s="8">
        <f>+MINVU_Mes_Corriente!BX159*SALUD_Mes_Constante!$BP$1</f>
        <v>1993566.9134443025</v>
      </c>
      <c r="BY159" s="8">
        <f>+MINVU_Mes_Corriente!BY159*SALUD_Mes_Constante!$BP$1</f>
        <v>1993566.9134443025</v>
      </c>
      <c r="BZ159" s="8">
        <f>+MINVU_Mes_Corriente!BZ159*SALUD_Mes_Constante!$BP$1</f>
        <v>2028327.2619718313</v>
      </c>
      <c r="CA159" s="8">
        <f>+MINVU_Mes_Corriente!CA159*SALUD_Mes_Constante!$BP$1</f>
        <v>2041811.9884763127</v>
      </c>
      <c r="CB159" s="9">
        <f t="shared" si="81"/>
        <v>2041811.9884763127</v>
      </c>
      <c r="CC159" s="8">
        <f>+MINVU_Mes_Corriente!CC159*SALUD_Mes_Constante!$CC$1</f>
        <v>57841.371876165613</v>
      </c>
      <c r="CD159" s="8">
        <f>+MINVU_Mes_Corriente!CD159*SALUD_Mes_Constante!$CC$1</f>
        <v>57841.371876165613</v>
      </c>
      <c r="CE159" s="8">
        <f>+MINVU_Mes_Corriente!CE159*SALUD_Mes_Constante!$CC$1</f>
        <v>57841.371876165613</v>
      </c>
      <c r="CF159" s="8">
        <f>+MINVU_Mes_Corriente!CF159*SALUD_Mes_Constante!$CC$1</f>
        <v>225127.49272659459</v>
      </c>
      <c r="CG159" s="8">
        <f>+MINVU_Mes_Corriente!CG159*SALUD_Mes_Constante!$CC$1</f>
        <v>225127.49272659459</v>
      </c>
      <c r="CH159" s="8">
        <f>+MINVU_Mes_Corriente!CH159*SALUD_Mes_Constante!$CC$1</f>
        <v>661906.67064528167</v>
      </c>
      <c r="CI159" s="8">
        <f>+MINVU_Mes_Corriente!CI159*SALUD_Mes_Constante!$CC$1</f>
        <v>661906.67064528167</v>
      </c>
      <c r="CJ159" s="8">
        <f>+MINVU_Mes_Corriente!CJ159*SALUD_Mes_Constante!$CC$1</f>
        <v>710225.31965684448</v>
      </c>
      <c r="CK159" s="8">
        <f>+MINVU_Mes_Corriente!CK159*SALUD_Mes_Constante!$CC$1</f>
        <v>713447.55911973154</v>
      </c>
      <c r="CL159" s="8">
        <f>+MINVU_Mes_Corriente!CL159*SALUD_Mes_Constante!$CC$1</f>
        <v>908432.44162625889</v>
      </c>
      <c r="CM159" s="8">
        <f>+MINVU_Mes_Corriente!CM159*SALUD_Mes_Constante!$CC$1</f>
        <v>908432.44162625889</v>
      </c>
      <c r="CN159" s="8">
        <f>+MINVU_Mes_Corriente!CN159*SALUD_Mes_Constante!$CC$1</f>
        <v>908432.44162625889</v>
      </c>
      <c r="CO159" s="9">
        <f t="shared" si="82"/>
        <v>908432.44162625889</v>
      </c>
      <c r="CP159" s="8">
        <f>+MINVU_Mes_Corriente!CP159*SALUD_Mes_Constante!$CP$1</f>
        <v>234617.47099767977</v>
      </c>
      <c r="CQ159" s="8">
        <f>+MINVU_Mes_Corriente!CQ159*SALUD_Mes_Constante!$CP$1</f>
        <v>234617.47099767977</v>
      </c>
      <c r="CR159" s="8">
        <f>+MINVU_Mes_Corriente!CR159*SALUD_Mes_Constante!$CP$1</f>
        <v>234617.47099767977</v>
      </c>
      <c r="CS159" s="8">
        <f>+MINVU_Mes_Corriente!CS159*SALUD_Mes_Constante!$CP$1</f>
        <v>234617.47099767977</v>
      </c>
      <c r="CT159" s="8">
        <f>+MINVU_Mes_Corriente!CT159*SALUD_Mes_Constante!$CP$1</f>
        <v>712692.07935034786</v>
      </c>
      <c r="CU159" s="8">
        <f>+MINVU_Mes_Corriente!CU159*SALUD_Mes_Constante!$CP$1</f>
        <v>712692.07935034786</v>
      </c>
      <c r="CV159" s="8">
        <f>+MINVU_Mes_Corriente!CV159*SALUD_Mes_Constante!$CP$1</f>
        <v>712692.07935034786</v>
      </c>
      <c r="CW159" s="8">
        <f>+MINVU_Mes_Corriente!CW159*SALUD_Mes_Constante!$CP$1</f>
        <v>1499327.3213457074</v>
      </c>
      <c r="CX159" s="8">
        <f>+MINVU_Mes_Corriente!CX159*SALUD_Mes_Constante!$CP$1</f>
        <v>1499327.3213457074</v>
      </c>
      <c r="CY159" s="8">
        <f>+MINVU_Mes_Corriente!CY159*SALUD_Mes_Constante!$CP$1</f>
        <v>1559217.5185614845</v>
      </c>
      <c r="CZ159" s="8">
        <f>+MINVU_Mes_Corriente!CZ159*SALUD_Mes_Constante!$CP$1</f>
        <v>1630235.2510440832</v>
      </c>
      <c r="DA159" s="8">
        <f>+MINVU_Mes_Corriente!DA159*SALUD_Mes_Constante!$CP$1</f>
        <v>1558018.4470997676</v>
      </c>
      <c r="DB159" s="9">
        <f t="shared" si="83"/>
        <v>1558018.4470997676</v>
      </c>
      <c r="DC159" s="8">
        <f>+MINVU_Mes_Corriente!DC159*SALUD_Mes_Constante!$DC$1</f>
        <v>282312.50920687185</v>
      </c>
      <c r="DD159" s="8">
        <f>+MINVU_Mes_Corriente!DD159*SALUD_Mes_Constante!$DC$1</f>
        <v>282312.50920687185</v>
      </c>
      <c r="DE159" s="8">
        <f>+MINVU_Mes_Corriente!DE159*SALUD_Mes_Constante!$DC$1</f>
        <v>282312.50920687185</v>
      </c>
      <c r="DF159" s="8">
        <f>+MINVU_Mes_Corriente!DF159*SALUD_Mes_Constante!$DC$1</f>
        <v>282312.50920687185</v>
      </c>
      <c r="DG159" s="8">
        <f>+MINVU_Mes_Corriente!DG159*SALUD_Mes_Constante!$DC$1</f>
        <v>282312.50920687185</v>
      </c>
      <c r="DH159" s="8">
        <f>+MINVU_Mes_Corriente!DH159*SALUD_Mes_Constante!$DC$1</f>
        <v>282312.50920687185</v>
      </c>
      <c r="DI159" s="8">
        <f>+MINVU_Mes_Corriente!DI159*SALUD_Mes_Constante!$DC$1</f>
        <v>291304.17673078913</v>
      </c>
      <c r="DJ159" s="8">
        <f>+MINVU_Mes_Corriente!DJ159*SALUD_Mes_Constante!$DC$1</f>
        <v>291304.17673078913</v>
      </c>
      <c r="DK159" s="8">
        <f>+MINVU_Mes_Corriente!DK159*SALUD_Mes_Constante!$DC$1</f>
        <v>1009319.1753934785</v>
      </c>
      <c r="DL159" s="8">
        <f>+MINVU_Mes_Corriente!DL159*SALUD_Mes_Constante!$DC$1</f>
        <v>1009319.1753934785</v>
      </c>
      <c r="DM159" s="8">
        <f>+MINVU_Mes_Corriente!DM159*SALUD_Mes_Constante!$DC$1</f>
        <v>1009319.1753934785</v>
      </c>
      <c r="DN159" s="8">
        <f>+MINVU_Mes_Corriente!DN159*SALUD_Mes_Constante!$DC$1</f>
        <v>1009319.1753934785</v>
      </c>
      <c r="DO159" s="9">
        <f t="shared" si="84"/>
        <v>1009319.1753934785</v>
      </c>
      <c r="DP159" s="8">
        <f>+MINVU_Mes_Corriente!DP159*SALUD_Mes_Constante!$DP$1</f>
        <v>288722.57779097388</v>
      </c>
      <c r="DQ159" s="8">
        <f>+MINVU_Mes_Corriente!DQ159*SALUD_Mes_Constante!$DP$1</f>
        <v>2706647.2428741097</v>
      </c>
      <c r="DR159" s="8">
        <f>+MINVU_Mes_Corriente!DR159*SALUD_Mes_Constante!$DP$1</f>
        <v>3186090.374109264</v>
      </c>
      <c r="DS159" s="8">
        <f>+MINVU_Mes_Corriente!DS159*SALUD_Mes_Constante!$DP$1</f>
        <v>4471488.2084323047</v>
      </c>
      <c r="DT159" s="8">
        <f>+MINVU_Mes_Corriente!DT159*SALUD_Mes_Constante!$DP$1</f>
        <v>4471488.2084323047</v>
      </c>
      <c r="DU159" s="8">
        <f>+MINVU_Mes_Corriente!DU159*SALUD_Mes_Constante!$DP$1</f>
        <v>4508259.6484560575</v>
      </c>
      <c r="DV159" s="8">
        <f>+MINVU_Mes_Corriente!DV159*SALUD_Mes_Constante!$DP$1</f>
        <v>4525611.0534441806</v>
      </c>
      <c r="DW159" s="8">
        <f>+MINVU_Mes_Corriente!DW159*SALUD_Mes_Constante!$DP$1</f>
        <v>4584907.0956057012</v>
      </c>
      <c r="DX159" s="8">
        <f>+MINVU_Mes_Corriente!DX159*SALUD_Mes_Constante!$DP$1</f>
        <v>4585199.0611638958</v>
      </c>
      <c r="DY159" s="8">
        <f>+MINVU_Mes_Corriente!DY159*SALUD_Mes_Constante!$DP$1</f>
        <v>4585199.0611638958</v>
      </c>
      <c r="DZ159" s="8">
        <f>+MINVU_Mes_Corriente!DZ159*SALUD_Mes_Constante!$DP$1</f>
        <v>4585199.0611638958</v>
      </c>
      <c r="EA159" s="8">
        <f>+MINVU_Mes_Corriente!EA159*SALUD_Mes_Constante!$DP$1</f>
        <v>4517206.7707838481</v>
      </c>
      <c r="EB159" s="9">
        <f t="shared" si="85"/>
        <v>4517206.7707838481</v>
      </c>
      <c r="EC159" s="8">
        <f>+MINVU_Mes_Corriente!EC159*SALUD_Mes_Constante!$EC$1</f>
        <v>252989.34728271153</v>
      </c>
      <c r="ED159" s="8">
        <f>+MINVU_Mes_Corriente!ED159*SALUD_Mes_Constante!$EC$1</f>
        <v>252989.34728271153</v>
      </c>
      <c r="EE159" s="8">
        <f>+MINVU_Mes_Corriente!EE159*SALUD_Mes_Constante!$EC$1</f>
        <v>817972.78659344791</v>
      </c>
      <c r="EF159" s="8">
        <f>+MINVU_Mes_Corriente!EF159*SALUD_Mes_Constante!$EC$1</f>
        <v>817972.78659344791</v>
      </c>
      <c r="EG159" s="8">
        <f>+MINVU_Mes_Corriente!EG159*SALUD_Mes_Constante!$EC$1</f>
        <v>817972.78659344791</v>
      </c>
      <c r="EH159" s="8">
        <f>+MINVU_Mes_Corriente!EH159*SALUD_Mes_Constante!$EC$1</f>
        <v>817972.78659344791</v>
      </c>
      <c r="EI159" s="8">
        <f>+MINVU_Mes_Corriente!EI159*SALUD_Mes_Constante!$EC$1</f>
        <v>817972.78659344791</v>
      </c>
      <c r="EJ159" s="8">
        <f>+MINVU_Mes_Corriente!EJ159*SALUD_Mes_Constante!$EC$1</f>
        <v>817972.78659344791</v>
      </c>
      <c r="EK159" s="8">
        <f>+MINVU_Mes_Corriente!EK159*SALUD_Mes_Constante!$EC$1</f>
        <v>817972.78659344791</v>
      </c>
      <c r="EL159" s="8">
        <f>+MINVU_Mes_Corriente!EL159*SALUD_Mes_Constante!$EC$1</f>
        <v>862144.363946222</v>
      </c>
      <c r="EM159" s="8">
        <f>+MINVU_Mes_Corriente!EM159*SALUD_Mes_Constante!$EC$1</f>
        <v>862144.363946222</v>
      </c>
      <c r="EN159" s="8">
        <f>+MINVU_Mes_Corriente!EN159*SALUD_Mes_Constante!$EC$1</f>
        <v>648018.76349176269</v>
      </c>
      <c r="EO159" s="9">
        <f t="shared" si="86"/>
        <v>648018.76349176269</v>
      </c>
      <c r="EP159" s="8">
        <f>+MINVU_Mes_Corriente!EP159*SALUD_Mes_Constante!$EP$1</f>
        <v>254832</v>
      </c>
      <c r="EQ159" s="8">
        <f>+MINVU_Mes_Corriente!EQ159*SALUD_Mes_Constante!$EP$1</f>
        <v>691438</v>
      </c>
      <c r="ER159" s="8">
        <f>+MINVU_Mes_Corriente!ER159*SALUD_Mes_Constante!$EP$1</f>
        <v>691438</v>
      </c>
      <c r="ES159" s="8">
        <f>+MINVU_Mes_Corriente!ES159*SALUD_Mes_Constante!$EP$1</f>
        <v>701336</v>
      </c>
      <c r="ET159" s="8">
        <f>+MINVU_Mes_Corriente!ET159*SALUD_Mes_Constante!$EP$1</f>
        <v>704336</v>
      </c>
      <c r="EU159" s="8">
        <f>+MINVU_Mes_Corriente!EU159*SALUD_Mes_Constante!$EP$1</f>
        <v>704336</v>
      </c>
      <c r="EV159" s="8">
        <f>+MINVU_Mes_Corriente!EV159*SALUD_Mes_Constante!$EP$1</f>
        <v>704336</v>
      </c>
      <c r="EW159" s="8">
        <f>+MINVU_Mes_Corriente!EW159*SALUD_Mes_Constante!$EP$1</f>
        <v>893824</v>
      </c>
      <c r="EX159" s="8">
        <f>+MINVU_Mes_Corriente!EX159*SALUD_Mes_Constante!$EP$1</f>
        <v>893824</v>
      </c>
      <c r="EY159" s="8">
        <f>+MINVU_Mes_Corriente!EY159*SALUD_Mes_Constante!$EP$1</f>
        <v>893824</v>
      </c>
      <c r="EZ159" s="8">
        <f>+MINVU_Mes_Corriente!EZ159*SALUD_Mes_Constante!$EP$1</f>
        <v>893824</v>
      </c>
      <c r="FA159" s="8">
        <f>+MINVU_Mes_Corriente!FA159*SALUD_Mes_Constante!$EP$1</f>
        <v>734910</v>
      </c>
      <c r="FB159" s="9">
        <f t="shared" si="87"/>
        <v>734910</v>
      </c>
      <c r="FC159" s="8">
        <f>+MINVU_Mes_Corriente!FC159*SALUD_Mes_Constante!$FC$1</f>
        <v>262732</v>
      </c>
      <c r="FD159" s="8">
        <f>+MINVU_Mes_Corriente!FD159*SALUD_Mes_Constante!$FC$1</f>
        <v>262732</v>
      </c>
      <c r="FE159" s="8">
        <f>+MINVU_Mes_Corriente!FE159*SALUD_Mes_Constante!$FC$1</f>
        <v>262732</v>
      </c>
      <c r="FF159" s="8">
        <f>+MINVU_Mes_Corriente!FF159*SALUD_Mes_Constante!$FC$1</f>
        <v>262732</v>
      </c>
      <c r="FG159" s="8">
        <f>+MINVU_Mes_Corriente!FG159*SALUD_Mes_Constante!$FC$1</f>
        <v>262732</v>
      </c>
      <c r="FH159" s="8">
        <f>+MINVU_Mes_Corriente!FH159*SALUD_Mes_Constante!$FC$1</f>
        <v>262732</v>
      </c>
      <c r="FI159" s="8">
        <f>+MINVU_Mes_Corriente!FI159*SALUD_Mes_Constante!$FC$1</f>
        <v>262732</v>
      </c>
      <c r="FJ159" s="8"/>
      <c r="FK159" s="8"/>
      <c r="FL159" s="8"/>
      <c r="FM159" s="8"/>
      <c r="FN159" s="8"/>
      <c r="FO159" s="9">
        <f t="shared" si="88"/>
        <v>262732</v>
      </c>
    </row>
    <row r="160" spans="2:171" ht="14.25" customHeight="1" x14ac:dyDescent="0.3">
      <c r="B160" s="7" t="s">
        <v>48</v>
      </c>
      <c r="C160" s="8">
        <f>+MINVU_Mes_Corriente!C160*SALUD_Mes_Constante!$C$1</f>
        <v>327728.14889515057</v>
      </c>
      <c r="D160" s="8">
        <f>+MINVU_Mes_Corriente!D160*SALUD_Mes_Constante!$C$1</f>
        <v>327728.14889515057</v>
      </c>
      <c r="E160" s="8">
        <f>+MINVU_Mes_Corriente!E160*SALUD_Mes_Constante!$C$1</f>
        <v>327728.14889515057</v>
      </c>
      <c r="F160" s="8">
        <f>+MINVU_Mes_Corriente!F160*SALUD_Mes_Constante!$C$1</f>
        <v>327728.14889515057</v>
      </c>
      <c r="G160" s="8">
        <f>+MINVU_Mes_Corriente!G160*SALUD_Mes_Constante!$C$1</f>
        <v>370861.78674180637</v>
      </c>
      <c r="H160" s="8">
        <f>+MINVU_Mes_Corriente!H160*SALUD_Mes_Constante!$C$1</f>
        <v>375158.94705620647</v>
      </c>
      <c r="I160" s="8">
        <f>+MINVU_Mes_Corriente!I160*SALUD_Mes_Constante!$C$1</f>
        <v>375158.94705620647</v>
      </c>
      <c r="J160" s="8">
        <f>+MINVU_Mes_Corriente!J160*SALUD_Mes_Constante!$C$1</f>
        <v>375158.94705620647</v>
      </c>
      <c r="K160" s="8">
        <f>+MINVU_Mes_Corriente!K160*SALUD_Mes_Constante!$C$1</f>
        <v>459901.47619753826</v>
      </c>
      <c r="L160" s="8">
        <f>+MINVU_Mes_Corriente!L160*SALUD_Mes_Constante!$C$1</f>
        <v>463952.34376390337</v>
      </c>
      <c r="M160" s="8">
        <f>+MINVU_Mes_Corriente!M160*SALUD_Mes_Constante!$C$1</f>
        <v>1279150.5531662467</v>
      </c>
      <c r="N160" s="8">
        <f>+MINVU_Mes_Corriente!N160*SALUD_Mes_Constante!$C$1</f>
        <v>1370724.4653714965</v>
      </c>
      <c r="O160" s="9">
        <f t="shared" si="76"/>
        <v>1370724.4653714965</v>
      </c>
      <c r="P160" s="8">
        <f>+MINVU_Mes_Corriente!P160*SALUD_Mes_Constante!$P$1</f>
        <v>323365.51726097445</v>
      </c>
      <c r="Q160" s="8">
        <f>+MINVU_Mes_Corriente!Q160*SALUD_Mes_Constante!$P$1</f>
        <v>323365.51726097445</v>
      </c>
      <c r="R160" s="8">
        <f>+MINVU_Mes_Corriente!R160*SALUD_Mes_Constante!$P$1</f>
        <v>374526.32987640274</v>
      </c>
      <c r="S160" s="8">
        <f>+MINVU_Mes_Corriente!S160*SALUD_Mes_Constante!$P$1</f>
        <v>1939153.1234550355</v>
      </c>
      <c r="T160" s="8">
        <f>+MINVU_Mes_Corriente!T160*SALUD_Mes_Constante!$P$1</f>
        <v>2148015.2783065769</v>
      </c>
      <c r="U160" s="8">
        <f>+MINVU_Mes_Corriente!U160*SALUD_Mes_Constante!$P$1</f>
        <v>2148015.2783065769</v>
      </c>
      <c r="V160" s="8">
        <f>+MINVU_Mes_Corriente!V160*SALUD_Mes_Constante!$P$1</f>
        <v>2148015.2783065769</v>
      </c>
      <c r="W160" s="8">
        <f>+MINVU_Mes_Corriente!W160*SALUD_Mes_Constante!$P$1</f>
        <v>2286362.1250177575</v>
      </c>
      <c r="X160" s="8">
        <f>+MINVU_Mes_Corriente!X160*SALUD_Mes_Constante!$P$1</f>
        <v>2286362.1250177575</v>
      </c>
      <c r="Y160" s="8">
        <f>+MINVU_Mes_Corriente!Y160*SALUD_Mes_Constante!$P$1</f>
        <v>2885204.4037505318</v>
      </c>
      <c r="Z160" s="8">
        <f>+MINVU_Mes_Corriente!Z160*SALUD_Mes_Constante!$P$1</f>
        <v>3282802.7699957369</v>
      </c>
      <c r="AA160" s="8">
        <f>+MINVU_Mes_Corriente!AA160*SALUD_Mes_Constante!$P$1</f>
        <v>3376539.1265804791</v>
      </c>
      <c r="AB160" s="9">
        <f t="shared" si="77"/>
        <v>3376539.1265804791</v>
      </c>
      <c r="AC160" s="8">
        <f>+MINVU_Mes_Corriente!AC160*SALUD_Mes_Constante!$AC$1</f>
        <v>326830.83303361462</v>
      </c>
      <c r="AD160" s="8">
        <f>+MINVU_Mes_Corriente!AD160*SALUD_Mes_Constante!$AC$1</f>
        <v>703172.51238068892</v>
      </c>
      <c r="AE160" s="8">
        <f>+MINVU_Mes_Corriente!AE160*SALUD_Mes_Constante!$AC$1</f>
        <v>910009.29478489421</v>
      </c>
      <c r="AF160" s="8">
        <f>+MINVU_Mes_Corriente!AF160*SALUD_Mes_Constante!$AC$1</f>
        <v>910009.29478489421</v>
      </c>
      <c r="AG160" s="8">
        <f>+MINVU_Mes_Corriente!AG160*SALUD_Mes_Constante!$AC$1</f>
        <v>910009.29478489421</v>
      </c>
      <c r="AH160" s="8">
        <f>+MINVU_Mes_Corriente!AH160*SALUD_Mes_Constante!$AC$1</f>
        <v>915500.255913681</v>
      </c>
      <c r="AI160" s="8">
        <f>+MINVU_Mes_Corriente!AI160*SALUD_Mes_Constante!$AC$1</f>
        <v>1061492.1106653756</v>
      </c>
      <c r="AJ160" s="8">
        <f>+MINVU_Mes_Corriente!AJ160*SALUD_Mes_Constante!$AC$1</f>
        <v>1061492.1106653756</v>
      </c>
      <c r="AK160" s="8">
        <f>+MINVU_Mes_Corriente!AK160*SALUD_Mes_Constante!$AC$1</f>
        <v>1061492.1106653756</v>
      </c>
      <c r="AL160" s="8">
        <f>+MINVU_Mes_Corriente!AL160*SALUD_Mes_Constante!$AC$1</f>
        <v>1062852.3817955458</v>
      </c>
      <c r="AM160" s="8">
        <f>+MINVU_Mes_Corriente!AM160*SALUD_Mes_Constante!$AC$1</f>
        <v>1070379.2153824873</v>
      </c>
      <c r="AN160" s="8">
        <f>+MINVU_Mes_Corriente!AN160*SALUD_Mes_Constante!$AC$1</f>
        <v>1073680.1399917002</v>
      </c>
      <c r="AO160" s="9">
        <f t="shared" si="78"/>
        <v>1073680.1399917002</v>
      </c>
      <c r="AP160" s="8">
        <f>+MINVU_Mes_Corriente!AP160*SALUD_Mes_Constante!$AP$1</f>
        <v>329167.73353171919</v>
      </c>
      <c r="AQ160" s="8">
        <f>+MINVU_Mes_Corriente!AQ160*SALUD_Mes_Constante!$AP$1</f>
        <v>329167.73353171919</v>
      </c>
      <c r="AR160" s="8">
        <f>+MINVU_Mes_Corriente!AR160*SALUD_Mes_Constante!$AP$1</f>
        <v>329167.73353171919</v>
      </c>
      <c r="AS160" s="8">
        <f>+MINVU_Mes_Corriente!AS160*SALUD_Mes_Constante!$AP$1</f>
        <v>329167.73353171919</v>
      </c>
      <c r="AT160" s="8">
        <f>+MINVU_Mes_Corriente!AT160*SALUD_Mes_Constante!$AP$1</f>
        <v>329167.73353171919</v>
      </c>
      <c r="AU160" s="8">
        <f>+MINVU_Mes_Corriente!AU160*SALUD_Mes_Constante!$AP$1</f>
        <v>423184.8329500879</v>
      </c>
      <c r="AV160" s="8">
        <f>+MINVU_Mes_Corriente!AV160*SALUD_Mes_Constante!$AP$1</f>
        <v>423184.8329500879</v>
      </c>
      <c r="AW160" s="8">
        <f>+MINVU_Mes_Corriente!AW160*SALUD_Mes_Constante!$AP$1</f>
        <v>423184.8329500879</v>
      </c>
      <c r="AX160" s="8">
        <f>+MINVU_Mes_Corriente!AX160*SALUD_Mes_Constante!$AP$1</f>
        <v>541415.59177600429</v>
      </c>
      <c r="AY160" s="8">
        <f>+MINVU_Mes_Corriente!AY160*SALUD_Mes_Constante!$AP$1</f>
        <v>541415.59177600429</v>
      </c>
      <c r="AZ160" s="8">
        <f>+MINVU_Mes_Corriente!AZ160*SALUD_Mes_Constante!$AP$1</f>
        <v>787597.15568781272</v>
      </c>
      <c r="BA160" s="8">
        <f>+MINVU_Mes_Corriente!BA160*SALUD_Mes_Constante!$AP$1</f>
        <v>787597.15568781272</v>
      </c>
      <c r="BB160" s="9">
        <f t="shared" si="79"/>
        <v>787597.15568781272</v>
      </c>
      <c r="BC160" s="8">
        <f>+MINVU_Mes_Corriente!BC160*SALUD_Mes_Constante!$BC$1</f>
        <v>329264.08017934865</v>
      </c>
      <c r="BD160" s="8">
        <f>+MINVU_Mes_Corriente!BD160*SALUD_Mes_Constante!$BC$1</f>
        <v>329264.08017934865</v>
      </c>
      <c r="BE160" s="8">
        <f>+MINVU_Mes_Corriente!BE160*SALUD_Mes_Constante!$BC$1</f>
        <v>329264.08017934865</v>
      </c>
      <c r="BF160" s="8">
        <f>+MINVU_Mes_Corriente!BF160*SALUD_Mes_Constante!$BC$1</f>
        <v>329264.08017934865</v>
      </c>
      <c r="BG160" s="8">
        <f>+MINVU_Mes_Corriente!BG160*SALUD_Mes_Constante!$BC$1</f>
        <v>329264.08017934865</v>
      </c>
      <c r="BH160" s="8">
        <f>+MINVU_Mes_Corriente!BH160*SALUD_Mes_Constante!$BC$1</f>
        <v>329264.08017934865</v>
      </c>
      <c r="BI160" s="8">
        <f>+MINVU_Mes_Corriente!BI160*SALUD_Mes_Constante!$BC$1</f>
        <v>296078.31834366353</v>
      </c>
      <c r="BJ160" s="8">
        <f>+MINVU_Mes_Corriente!BJ160*SALUD_Mes_Constante!$BC$1</f>
        <v>369561.90003956226</v>
      </c>
      <c r="BK160" s="8">
        <f>+MINVU_Mes_Corriente!BK160*SALUD_Mes_Constante!$BC$1</f>
        <v>369561.90003956226</v>
      </c>
      <c r="BL160" s="8">
        <f>+MINVU_Mes_Corriente!BL160*SALUD_Mes_Constante!$BC$1</f>
        <v>369561.90003956226</v>
      </c>
      <c r="BM160" s="8">
        <f>+MINVU_Mes_Corriente!BM160*SALUD_Mes_Constante!$BC$1</f>
        <v>370525.83172886731</v>
      </c>
      <c r="BN160" s="8">
        <f>+MINVU_Mes_Corriente!BN160*SALUD_Mes_Constante!$BC$1</f>
        <v>439296.3782144271</v>
      </c>
      <c r="BO160" s="9">
        <f t="shared" si="80"/>
        <v>439296.3782144271</v>
      </c>
      <c r="BP160" s="8">
        <f>+MINVU_Mes_Corriente!BP160*SALUD_Mes_Constante!$BP$1</f>
        <v>0</v>
      </c>
      <c r="BQ160" s="8">
        <f>+MINVU_Mes_Corriente!BQ160*SALUD_Mes_Constante!$BP$1</f>
        <v>0</v>
      </c>
      <c r="BR160" s="8">
        <f>+MINVU_Mes_Corriente!BR160*SALUD_Mes_Constante!$BP$1</f>
        <v>0</v>
      </c>
      <c r="BS160" s="8">
        <f>+MINVU_Mes_Corriente!BS160*SALUD_Mes_Constante!$BP$1</f>
        <v>238525.35211267608</v>
      </c>
      <c r="BT160" s="8">
        <f>+MINVU_Mes_Corriente!BT160*SALUD_Mes_Constante!$BP$1</f>
        <v>284504.08655569784</v>
      </c>
      <c r="BU160" s="8">
        <f>+MINVU_Mes_Corriente!BU160*SALUD_Mes_Constante!$BP$1</f>
        <v>307609.5687580026</v>
      </c>
      <c r="BV160" s="8">
        <f>+MINVU_Mes_Corriente!BV160*SALUD_Mes_Constante!$BP$1</f>
        <v>308545.48348271451</v>
      </c>
      <c r="BW160" s="8">
        <f>+MINVU_Mes_Corriente!BW160*SALUD_Mes_Constante!$BP$1</f>
        <v>347716.80230473756</v>
      </c>
      <c r="BX160" s="8">
        <f>+MINVU_Mes_Corriente!BX160*SALUD_Mes_Constante!$BP$1</f>
        <v>493878.98258642771</v>
      </c>
      <c r="BY160" s="8">
        <f>+MINVU_Mes_Corriente!BY160*SALUD_Mes_Constante!$BP$1</f>
        <v>493878.98258642771</v>
      </c>
      <c r="BZ160" s="8">
        <f>+MINVU_Mes_Corriente!BZ160*SALUD_Mes_Constante!$BP$1</f>
        <v>493878.98258642771</v>
      </c>
      <c r="CA160" s="8">
        <f>+MINVU_Mes_Corriente!CA160*SALUD_Mes_Constante!$BP$1</f>
        <v>493878.98258642771</v>
      </c>
      <c r="CB160" s="9">
        <f t="shared" si="81"/>
        <v>493878.98258642771</v>
      </c>
      <c r="CC160" s="8">
        <f>+MINVU_Mes_Corriente!CC160*SALUD_Mes_Constante!$CC$1</f>
        <v>109185.28534129057</v>
      </c>
      <c r="CD160" s="8">
        <f>+MINVU_Mes_Corriente!CD160*SALUD_Mes_Constante!$CC$1</f>
        <v>109185.28534129057</v>
      </c>
      <c r="CE160" s="8">
        <f>+MINVU_Mes_Corriente!CE160*SALUD_Mes_Constante!$CC$1</f>
        <v>109185.28534129057</v>
      </c>
      <c r="CF160" s="8">
        <f>+MINVU_Mes_Corriente!CF160*SALUD_Mes_Constante!$CC$1</f>
        <v>280063.14360313321</v>
      </c>
      <c r="CG160" s="8">
        <f>+MINVU_Mes_Corriente!CG160*SALUD_Mes_Constante!$CC$1</f>
        <v>282236.66094740771</v>
      </c>
      <c r="CH160" s="8">
        <f>+MINVU_Mes_Corriente!CH160*SALUD_Mes_Constante!$CC$1</f>
        <v>3411687.3099589706</v>
      </c>
      <c r="CI160" s="8">
        <f>+MINVU_Mes_Corriente!CI160*SALUD_Mes_Constante!$CC$1</f>
        <v>3411687.3099589706</v>
      </c>
      <c r="CJ160" s="8">
        <f>+MINVU_Mes_Corriente!CJ160*SALUD_Mes_Constante!$CC$1</f>
        <v>3450451.991794107</v>
      </c>
      <c r="CK160" s="8">
        <f>+MINVU_Mes_Corriente!CK160*SALUD_Mes_Constante!$CC$1</f>
        <v>6531889.6426706463</v>
      </c>
      <c r="CL160" s="8">
        <f>+MINVU_Mes_Corriente!CL160*SALUD_Mes_Constante!$CC$1</f>
        <v>6531889.6426706463</v>
      </c>
      <c r="CM160" s="8">
        <f>+MINVU_Mes_Corriente!CM160*SALUD_Mes_Constante!$CC$1</f>
        <v>6531889.6426706463</v>
      </c>
      <c r="CN160" s="8">
        <f>+MINVU_Mes_Corriente!CN160*SALUD_Mes_Constante!$CC$1</f>
        <v>6531889.6426706463</v>
      </c>
      <c r="CO160" s="9">
        <f t="shared" si="82"/>
        <v>6531889.6426706463</v>
      </c>
      <c r="CP160" s="8">
        <f>+MINVU_Mes_Corriente!CP160*SALUD_Mes_Constante!$CP$1</f>
        <v>476609.35823665885</v>
      </c>
      <c r="CQ160" s="8">
        <f>+MINVU_Mes_Corriente!CQ160*SALUD_Mes_Constante!$CP$1</f>
        <v>476609.35823665885</v>
      </c>
      <c r="CR160" s="8">
        <f>+MINVU_Mes_Corriente!CR160*SALUD_Mes_Constante!$CP$1</f>
        <v>476609.35823665885</v>
      </c>
      <c r="CS160" s="8">
        <f>+MINVU_Mes_Corriente!CS160*SALUD_Mes_Constante!$CP$1</f>
        <v>476609.35823665885</v>
      </c>
      <c r="CT160" s="8">
        <f>+MINVU_Mes_Corriente!CT160*SALUD_Mes_Constante!$CP$1</f>
        <v>889864.39419953583</v>
      </c>
      <c r="CU160" s="8">
        <f>+MINVU_Mes_Corriente!CU160*SALUD_Mes_Constante!$CP$1</f>
        <v>889864.39419953583</v>
      </c>
      <c r="CV160" s="8">
        <f>+MINVU_Mes_Corriente!CV160*SALUD_Mes_Constante!$CP$1</f>
        <v>889864.39419953583</v>
      </c>
      <c r="CW160" s="8">
        <f>+MINVU_Mes_Corriente!CW160*SALUD_Mes_Constante!$CP$1</f>
        <v>890371.40116009268</v>
      </c>
      <c r="CX160" s="8">
        <f>+MINVU_Mes_Corriente!CX160*SALUD_Mes_Constante!$CP$1</f>
        <v>890371.40116009268</v>
      </c>
      <c r="CY160" s="8">
        <f>+MINVU_Mes_Corriente!CY160*SALUD_Mes_Constante!$CP$1</f>
        <v>1064781.795591647</v>
      </c>
      <c r="CZ160" s="8">
        <f>+MINVU_Mes_Corriente!CZ160*SALUD_Mes_Constante!$CP$1</f>
        <v>1034276.4542923432</v>
      </c>
      <c r="DA160" s="8">
        <f>+MINVU_Mes_Corriente!DA160*SALUD_Mes_Constante!$CP$1</f>
        <v>887244.43573085824</v>
      </c>
      <c r="DB160" s="9">
        <f t="shared" si="83"/>
        <v>887244.43573085824</v>
      </c>
      <c r="DC160" s="8">
        <f>+MINVU_Mes_Corriente!DC160*SALUD_Mes_Constante!$DC$1</f>
        <v>574345.01100709836</v>
      </c>
      <c r="DD160" s="8">
        <f>+MINVU_Mes_Corriente!DD160*SALUD_Mes_Constante!$DC$1</f>
        <v>574345.01100709836</v>
      </c>
      <c r="DE160" s="8">
        <f>+MINVU_Mes_Corriente!DE160*SALUD_Mes_Constante!$DC$1</f>
        <v>574345.01100709836</v>
      </c>
      <c r="DF160" s="8">
        <f>+MINVU_Mes_Corriente!DF160*SALUD_Mes_Constante!$DC$1</f>
        <v>574345.01100709836</v>
      </c>
      <c r="DG160" s="8">
        <f>+MINVU_Mes_Corriente!DG160*SALUD_Mes_Constante!$DC$1</f>
        <v>574345.01100709836</v>
      </c>
      <c r="DH160" s="8">
        <f>+MINVU_Mes_Corriente!DH160*SALUD_Mes_Constante!$DC$1</f>
        <v>574345.01100709836</v>
      </c>
      <c r="DI160" s="8">
        <f>+MINVU_Mes_Corriente!DI160*SALUD_Mes_Constante!$DC$1</f>
        <v>575918.55282378383</v>
      </c>
      <c r="DJ160" s="8">
        <f>+MINVU_Mes_Corriente!DJ160*SALUD_Mes_Constante!$DC$1</f>
        <v>653587.45293694094</v>
      </c>
      <c r="DK160" s="8">
        <f>+MINVU_Mes_Corriente!DK160*SALUD_Mes_Constante!$DC$1</f>
        <v>744053.74385351338</v>
      </c>
      <c r="DL160" s="8">
        <f>+MINVU_Mes_Corriente!DL160*SALUD_Mes_Constante!$DC$1</f>
        <v>744053.74385351338</v>
      </c>
      <c r="DM160" s="8">
        <f>+MINVU_Mes_Corriente!DM160*SALUD_Mes_Constante!$DC$1</f>
        <v>744053.74385351338</v>
      </c>
      <c r="DN160" s="8">
        <f>+MINVU_Mes_Corriente!DN160*SALUD_Mes_Constante!$DC$1</f>
        <v>744053.74385351338</v>
      </c>
      <c r="DO160" s="9">
        <f t="shared" si="84"/>
        <v>744053.74385351338</v>
      </c>
      <c r="DP160" s="8">
        <f>+MINVU_Mes_Corriente!DP160*SALUD_Mes_Constante!$DP$1</f>
        <v>587386.04216152022</v>
      </c>
      <c r="DQ160" s="8">
        <f>+MINVU_Mes_Corriente!DQ160*SALUD_Mes_Constante!$DP$1</f>
        <v>757872.30106888374</v>
      </c>
      <c r="DR160" s="8">
        <f>+MINVU_Mes_Corriente!DR160*SALUD_Mes_Constante!$DP$1</f>
        <v>1175157.0463182898</v>
      </c>
      <c r="DS160" s="8">
        <f>+MINVU_Mes_Corriente!DS160*SALUD_Mes_Constante!$DP$1</f>
        <v>1177860.4311163896</v>
      </c>
      <c r="DT160" s="8">
        <f>+MINVU_Mes_Corriente!DT160*SALUD_Mes_Constante!$DP$1</f>
        <v>1177860.4311163896</v>
      </c>
      <c r="DU160" s="8">
        <f>+MINVU_Mes_Corriente!DU160*SALUD_Mes_Constante!$DP$1</f>
        <v>1233682.0831353921</v>
      </c>
      <c r="DV160" s="8">
        <f>+MINVU_Mes_Corriente!DV160*SALUD_Mes_Constante!$DP$1</f>
        <v>1262832.1407363422</v>
      </c>
      <c r="DW160" s="8">
        <f>+MINVU_Mes_Corriente!DW160*SALUD_Mes_Constante!$DP$1</f>
        <v>1285892.0130641332</v>
      </c>
      <c r="DX160" s="8">
        <f>+MINVU_Mes_Corriente!DX160*SALUD_Mes_Constante!$DP$1</f>
        <v>1574298.8355106891</v>
      </c>
      <c r="DY160" s="8">
        <f>+MINVU_Mes_Corriente!DY160*SALUD_Mes_Constante!$DP$1</f>
        <v>1574298.8355106891</v>
      </c>
      <c r="DZ160" s="8">
        <f>+MINVU_Mes_Corriente!DZ160*SALUD_Mes_Constante!$DP$1</f>
        <v>1574298.8355106891</v>
      </c>
      <c r="EA160" s="8">
        <f>+MINVU_Mes_Corriente!EA160*SALUD_Mes_Constante!$DP$1</f>
        <v>1574298.8355106891</v>
      </c>
      <c r="EB160" s="9">
        <f t="shared" si="85"/>
        <v>1574298.8355106891</v>
      </c>
      <c r="EC160" s="8">
        <f>+MINVU_Mes_Corriente!EC160*SALUD_Mes_Constante!$EC$1</f>
        <v>514690.94338193507</v>
      </c>
      <c r="ED160" s="8">
        <f>+MINVU_Mes_Corriente!ED160*SALUD_Mes_Constante!$EC$1</f>
        <v>514690.94338193507</v>
      </c>
      <c r="EE160" s="8">
        <f>+MINVU_Mes_Corriente!EE160*SALUD_Mes_Constante!$EC$1</f>
        <v>1584678.612952092</v>
      </c>
      <c r="EF160" s="8">
        <f>+MINVU_Mes_Corriente!EF160*SALUD_Mes_Constante!$EC$1</f>
        <v>1601567.2586631314</v>
      </c>
      <c r="EG160" s="8">
        <f>+MINVU_Mes_Corriente!EG160*SALUD_Mes_Constante!$EC$1</f>
        <v>1942803.5555765948</v>
      </c>
      <c r="EH160" s="8">
        <f>+MINVU_Mes_Corriente!EH160*SALUD_Mes_Constante!$EC$1</f>
        <v>1942803.5555765948</v>
      </c>
      <c r="EI160" s="8">
        <f>+MINVU_Mes_Corriente!EI160*SALUD_Mes_Constante!$EC$1</f>
        <v>1942803.5555765948</v>
      </c>
      <c r="EJ160" s="8">
        <f>+MINVU_Mes_Corriente!EJ160*SALUD_Mes_Constante!$EC$1</f>
        <v>1942803.5555765948</v>
      </c>
      <c r="EK160" s="8">
        <f>+MINVU_Mes_Corriente!EK160*SALUD_Mes_Constante!$EC$1</f>
        <v>1942803.5555765948</v>
      </c>
      <c r="EL160" s="8">
        <f>+MINVU_Mes_Corriente!EL160*SALUD_Mes_Constante!$EC$1</f>
        <v>2059113.422079151</v>
      </c>
      <c r="EM160" s="8">
        <f>+MINVU_Mes_Corriente!EM160*SALUD_Mes_Constante!$EC$1</f>
        <v>2059113.422079151</v>
      </c>
      <c r="EN160" s="8">
        <f>+MINVU_Mes_Corriente!EN160*SALUD_Mes_Constante!$EC$1</f>
        <v>1739741.5387237261</v>
      </c>
      <c r="EO160" s="9">
        <f t="shared" si="86"/>
        <v>1739741.5387237261</v>
      </c>
      <c r="EP160" s="8">
        <f>+MINVU_Mes_Corriente!EP160*SALUD_Mes_Constante!$EP$1</f>
        <v>518441</v>
      </c>
      <c r="EQ160" s="8">
        <f>+MINVU_Mes_Corriente!EQ160*SALUD_Mes_Constante!$EP$1</f>
        <v>751685</v>
      </c>
      <c r="ER160" s="8">
        <f>+MINVU_Mes_Corriente!ER160*SALUD_Mes_Constante!$EP$1</f>
        <v>751685</v>
      </c>
      <c r="ES160" s="8">
        <f>+MINVU_Mes_Corriente!ES160*SALUD_Mes_Constante!$EP$1</f>
        <v>1489199</v>
      </c>
      <c r="ET160" s="8">
        <f>+MINVU_Mes_Corriente!ET160*SALUD_Mes_Constante!$EP$1</f>
        <v>1548925</v>
      </c>
      <c r="EU160" s="8">
        <f>+MINVU_Mes_Corriente!EU160*SALUD_Mes_Constante!$EP$1</f>
        <v>1548925</v>
      </c>
      <c r="EV160" s="8">
        <f>+MINVU_Mes_Corriente!EV160*SALUD_Mes_Constante!$EP$1</f>
        <v>1548925</v>
      </c>
      <c r="EW160" s="8">
        <f>+MINVU_Mes_Corriente!EW160*SALUD_Mes_Constante!$EP$1</f>
        <v>1548925</v>
      </c>
      <c r="EX160" s="8">
        <f>+MINVU_Mes_Corriente!EX160*SALUD_Mes_Constante!$EP$1</f>
        <v>1548925</v>
      </c>
      <c r="EY160" s="8">
        <f>+MINVU_Mes_Corriente!EY160*SALUD_Mes_Constante!$EP$1</f>
        <v>1548925</v>
      </c>
      <c r="EZ160" s="8">
        <f>+MINVU_Mes_Corriente!EZ160*SALUD_Mes_Constante!$EP$1</f>
        <v>1548925</v>
      </c>
      <c r="FA160" s="8">
        <f>+MINVU_Mes_Corriente!FA160*SALUD_Mes_Constante!$EP$1</f>
        <v>1519802</v>
      </c>
      <c r="FB160" s="9">
        <f t="shared" si="87"/>
        <v>1519802</v>
      </c>
      <c r="FC160" s="8">
        <f>+MINVU_Mes_Corriente!FC160*SALUD_Mes_Constante!$FC$1</f>
        <v>534512</v>
      </c>
      <c r="FD160" s="8">
        <f>+MINVU_Mes_Corriente!FD160*SALUD_Mes_Constante!$FC$1</f>
        <v>534512</v>
      </c>
      <c r="FE160" s="8">
        <f>+MINVU_Mes_Corriente!FE160*SALUD_Mes_Constante!$FC$1</f>
        <v>534512</v>
      </c>
      <c r="FF160" s="8">
        <f>+MINVU_Mes_Corriente!FF160*SALUD_Mes_Constante!$FC$1</f>
        <v>534512</v>
      </c>
      <c r="FG160" s="8">
        <f>+MINVU_Mes_Corriente!FG160*SALUD_Mes_Constante!$FC$1</f>
        <v>534512</v>
      </c>
      <c r="FH160" s="8">
        <f>+MINVU_Mes_Corriente!FH160*SALUD_Mes_Constante!$FC$1</f>
        <v>534512</v>
      </c>
      <c r="FI160" s="8">
        <f>+MINVU_Mes_Corriente!FI160*SALUD_Mes_Constante!$FC$1</f>
        <v>558518</v>
      </c>
      <c r="FJ160" s="8"/>
      <c r="FK160" s="8"/>
      <c r="FL160" s="8"/>
      <c r="FM160" s="8"/>
      <c r="FN160" s="8"/>
      <c r="FO160" s="9">
        <f t="shared" si="88"/>
        <v>558518</v>
      </c>
    </row>
    <row r="161" spans="2:171" ht="14.25" customHeight="1" x14ac:dyDescent="0.3">
      <c r="B161" s="7" t="s">
        <v>49</v>
      </c>
      <c r="C161" s="8">
        <f>+MINVU_Mes_Corriente!C161*SALUD_Mes_Constante!$C$1</f>
        <v>191207.43052053984</v>
      </c>
      <c r="D161" s="8">
        <f>+MINVU_Mes_Corriente!D161*SALUD_Mes_Constante!$C$1</f>
        <v>191207.43052053984</v>
      </c>
      <c r="E161" s="8">
        <f>+MINVU_Mes_Corriente!E161*SALUD_Mes_Constante!$C$1</f>
        <v>191207.43052053984</v>
      </c>
      <c r="F161" s="8">
        <f>+MINVU_Mes_Corriente!F161*SALUD_Mes_Constante!$C$1</f>
        <v>191207.43052053984</v>
      </c>
      <c r="G161" s="8">
        <f>+MINVU_Mes_Corriente!G161*SALUD_Mes_Constante!$C$1</f>
        <v>209873.82826635032</v>
      </c>
      <c r="H161" s="8">
        <f>+MINVU_Mes_Corriente!H161*SALUD_Mes_Constante!$C$1</f>
        <v>209873.82826635032</v>
      </c>
      <c r="I161" s="8">
        <f>+MINVU_Mes_Corriente!I161*SALUD_Mes_Constante!$C$1</f>
        <v>209873.82826635032</v>
      </c>
      <c r="J161" s="8">
        <f>+MINVU_Mes_Corriente!J161*SALUD_Mes_Constante!$C$1</f>
        <v>209873.82826635032</v>
      </c>
      <c r="K161" s="8">
        <f>+MINVU_Mes_Corriente!K161*SALUD_Mes_Constante!$C$1</f>
        <v>326833.71733649715</v>
      </c>
      <c r="L161" s="8">
        <f>+MINVU_Mes_Corriente!L161*SALUD_Mes_Constante!$C$1</f>
        <v>326833.71733649715</v>
      </c>
      <c r="M161" s="8">
        <f>+MINVU_Mes_Corriente!M161*SALUD_Mes_Constante!$C$1</f>
        <v>887037.91517128889</v>
      </c>
      <c r="N161" s="8">
        <f>+MINVU_Mes_Corriente!N161*SALUD_Mes_Constante!$C$1</f>
        <v>2490309.7247515945</v>
      </c>
      <c r="O161" s="9">
        <f t="shared" si="76"/>
        <v>2490309.7247515945</v>
      </c>
      <c r="P161" s="8">
        <f>+MINVU_Mes_Corriente!P161*SALUD_Mes_Constante!$P$1</f>
        <v>188661.70535587435</v>
      </c>
      <c r="Q161" s="8">
        <f>+MINVU_Mes_Corriente!Q161*SALUD_Mes_Constante!$P$1</f>
        <v>188661.70535587435</v>
      </c>
      <c r="R161" s="8">
        <f>+MINVU_Mes_Corriente!R161*SALUD_Mes_Constante!$P$1</f>
        <v>1379144.0125017753</v>
      </c>
      <c r="S161" s="8">
        <f>+MINVU_Mes_Corriente!S161*SALUD_Mes_Constante!$P$1</f>
        <v>1379144.0125017753</v>
      </c>
      <c r="T161" s="8">
        <f>+MINVU_Mes_Corriente!T161*SALUD_Mes_Constante!$P$1</f>
        <v>1858773.5263531744</v>
      </c>
      <c r="U161" s="8">
        <f>+MINVU_Mes_Corriente!U161*SALUD_Mes_Constante!$P$1</f>
        <v>1858773.5263531744</v>
      </c>
      <c r="V161" s="8">
        <f>+MINVU_Mes_Corriente!V161*SALUD_Mes_Constante!$P$1</f>
        <v>1858773.5263531744</v>
      </c>
      <c r="W161" s="8">
        <f>+MINVU_Mes_Corriente!W161*SALUD_Mes_Constante!$P$1</f>
        <v>1943542.770848131</v>
      </c>
      <c r="X161" s="8">
        <f>+MINVU_Mes_Corriente!X161*SALUD_Mes_Constante!$P$1</f>
        <v>1943542.770848131</v>
      </c>
      <c r="Y161" s="8">
        <f>+MINVU_Mes_Corriente!Y161*SALUD_Mes_Constante!$P$1</f>
        <v>1975673.4996448352</v>
      </c>
      <c r="Z161" s="8">
        <f>+MINVU_Mes_Corriente!Z161*SALUD_Mes_Constante!$P$1</f>
        <v>1985368.5978121886</v>
      </c>
      <c r="AA161" s="8">
        <f>+MINVU_Mes_Corriente!AA161*SALUD_Mes_Constante!$P$1</f>
        <v>2227988.1966188368</v>
      </c>
      <c r="AB161" s="9">
        <f t="shared" si="77"/>
        <v>2227988.1966188368</v>
      </c>
      <c r="AC161" s="8">
        <f>+MINVU_Mes_Corriente!AC161*SALUD_Mes_Constante!$AC$1</f>
        <v>190684.31843961819</v>
      </c>
      <c r="AD161" s="8">
        <f>+MINVU_Mes_Corriente!AD161*SALUD_Mes_Constante!$AC$1</f>
        <v>521683.6267810209</v>
      </c>
      <c r="AE161" s="8">
        <f>+MINVU_Mes_Corriente!AE161*SALUD_Mes_Constante!$AC$1</f>
        <v>521683.6267810209</v>
      </c>
      <c r="AF161" s="8">
        <f>+MINVU_Mes_Corriente!AF161*SALUD_Mes_Constante!$AC$1</f>
        <v>521683.6267810209</v>
      </c>
      <c r="AG161" s="8">
        <f>+MINVU_Mes_Corriente!AG161*SALUD_Mes_Constante!$AC$1</f>
        <v>521683.6267810209</v>
      </c>
      <c r="AH161" s="8">
        <f>+MINVU_Mes_Corriente!AH161*SALUD_Mes_Constante!$AC$1</f>
        <v>565033.9562871767</v>
      </c>
      <c r="AI161" s="8">
        <f>+MINVU_Mes_Corriente!AI161*SALUD_Mes_Constante!$AC$1</f>
        <v>603701.93028081337</v>
      </c>
      <c r="AJ161" s="8">
        <f>+MINVU_Mes_Corriente!AJ161*SALUD_Mes_Constante!$AC$1</f>
        <v>603701.93028081337</v>
      </c>
      <c r="AK161" s="8">
        <f>+MINVU_Mes_Corriente!AK161*SALUD_Mes_Constante!$AC$1</f>
        <v>603701.93028081337</v>
      </c>
      <c r="AL161" s="8">
        <f>+MINVU_Mes_Corriente!AL161*SALUD_Mes_Constante!$AC$1</f>
        <v>603701.93028081337</v>
      </c>
      <c r="AM161" s="8">
        <f>+MINVU_Mes_Corriente!AM161*SALUD_Mes_Constante!$AC$1</f>
        <v>603701.93028081337</v>
      </c>
      <c r="AN161" s="8">
        <f>+MINVU_Mes_Corriente!AN161*SALUD_Mes_Constante!$AC$1</f>
        <v>843721.77119933604</v>
      </c>
      <c r="AO161" s="9">
        <f t="shared" si="78"/>
        <v>843721.77119933604</v>
      </c>
      <c r="AP161" s="8">
        <f>+MINVU_Mes_Corriente!AP161*SALUD_Mes_Constante!$AP$1</f>
        <v>192048.1330988773</v>
      </c>
      <c r="AQ161" s="8">
        <f>+MINVU_Mes_Corriente!AQ161*SALUD_Mes_Constante!$AP$1</f>
        <v>192048.1330988773</v>
      </c>
      <c r="AR161" s="8">
        <f>+MINVU_Mes_Corriente!AR161*SALUD_Mes_Constante!$AP$1</f>
        <v>192048.1330988773</v>
      </c>
      <c r="AS161" s="8">
        <f>+MINVU_Mes_Corriente!AS161*SALUD_Mes_Constante!$AP$1</f>
        <v>192048.1330988773</v>
      </c>
      <c r="AT161" s="8">
        <f>+MINVU_Mes_Corriente!AT161*SALUD_Mes_Constante!$AP$1</f>
        <v>192048.1330988773</v>
      </c>
      <c r="AU161" s="8">
        <f>+MINVU_Mes_Corriente!AU161*SALUD_Mes_Constante!$AP$1</f>
        <v>320009.2833761666</v>
      </c>
      <c r="AV161" s="8">
        <f>+MINVU_Mes_Corriente!AV161*SALUD_Mes_Constante!$AP$1</f>
        <v>320009.2833761666</v>
      </c>
      <c r="AW161" s="8">
        <f>+MINVU_Mes_Corriente!AW161*SALUD_Mes_Constante!$AP$1</f>
        <v>320009.2833761666</v>
      </c>
      <c r="AX161" s="8">
        <f>+MINVU_Mes_Corriente!AX161*SALUD_Mes_Constante!$AP$1</f>
        <v>320009.2833761666</v>
      </c>
      <c r="AY161" s="8">
        <f>+MINVU_Mes_Corriente!AY161*SALUD_Mes_Constante!$AP$1</f>
        <v>323160.13309887727</v>
      </c>
      <c r="AZ161" s="8">
        <f>+MINVU_Mes_Corriente!AZ161*SALUD_Mes_Constante!$AP$1</f>
        <v>549311.92858109018</v>
      </c>
      <c r="BA161" s="8">
        <f>+MINVU_Mes_Corriente!BA161*SALUD_Mes_Constante!$AP$1</f>
        <v>549311.92858109018</v>
      </c>
      <c r="BB161" s="9">
        <f t="shared" si="79"/>
        <v>549311.92858109018</v>
      </c>
      <c r="BC161" s="8">
        <f>+MINVU_Mes_Corriente!BC161*SALUD_Mes_Constante!$BC$1</f>
        <v>192104.81366213903</v>
      </c>
      <c r="BD161" s="8">
        <f>+MINVU_Mes_Corriente!BD161*SALUD_Mes_Constante!$BC$1</f>
        <v>192104.81366213903</v>
      </c>
      <c r="BE161" s="8">
        <f>+MINVU_Mes_Corriente!BE161*SALUD_Mes_Constante!$BC$1</f>
        <v>192104.81366213903</v>
      </c>
      <c r="BF161" s="8">
        <f>+MINVU_Mes_Corriente!BF161*SALUD_Mes_Constante!$BC$1</f>
        <v>192104.81366213903</v>
      </c>
      <c r="BG161" s="8">
        <f>+MINVU_Mes_Corriente!BG161*SALUD_Mes_Constante!$BC$1</f>
        <v>192104.81366213903</v>
      </c>
      <c r="BH161" s="8">
        <f>+MINVU_Mes_Corriente!BH161*SALUD_Mes_Constante!$BC$1</f>
        <v>192104.81366213903</v>
      </c>
      <c r="BI161" s="8">
        <f>+MINVU_Mes_Corriente!BI161*SALUD_Mes_Constante!$BC$1</f>
        <v>172520.71871291052</v>
      </c>
      <c r="BJ161" s="8">
        <f>+MINVU_Mes_Corriente!BJ161*SALUD_Mes_Constante!$BC$1</f>
        <v>842495.02756165131</v>
      </c>
      <c r="BK161" s="8">
        <f>+MINVU_Mes_Corriente!BK161*SALUD_Mes_Constante!$BC$1</f>
        <v>2930804.7638137946</v>
      </c>
      <c r="BL161" s="8">
        <f>+MINVU_Mes_Corriente!BL161*SALUD_Mes_Constante!$BC$1</f>
        <v>2930804.7638137946</v>
      </c>
      <c r="BM161" s="8">
        <f>+MINVU_Mes_Corriente!BM161*SALUD_Mes_Constante!$BC$1</f>
        <v>2932007.8773572473</v>
      </c>
      <c r="BN161" s="8">
        <f>+MINVU_Mes_Corriente!BN161*SALUD_Mes_Constante!$BC$1</f>
        <v>3208798.9167875517</v>
      </c>
      <c r="BO161" s="9">
        <f t="shared" si="80"/>
        <v>3208798.9167875517</v>
      </c>
      <c r="BP161" s="8">
        <f>+MINVU_Mes_Corriente!BP161*SALUD_Mes_Constante!$BP$1</f>
        <v>0</v>
      </c>
      <c r="BQ161" s="8">
        <f>+MINVU_Mes_Corriente!BQ161*SALUD_Mes_Constante!$BP$1</f>
        <v>0</v>
      </c>
      <c r="BR161" s="8">
        <f>+MINVU_Mes_Corriente!BR161*SALUD_Mes_Constante!$BP$1</f>
        <v>283576.56568501925</v>
      </c>
      <c r="BS161" s="8">
        <f>+MINVU_Mes_Corriente!BS161*SALUD_Mes_Constante!$BP$1</f>
        <v>522609.74596670939</v>
      </c>
      <c r="BT161" s="8">
        <f>+MINVU_Mes_Corriente!BT161*SALUD_Mes_Constante!$BP$1</f>
        <v>546050.98233034578</v>
      </c>
      <c r="BU161" s="8">
        <f>+MINVU_Mes_Corriente!BU161*SALUD_Mes_Constante!$BP$1</f>
        <v>546050.98233034578</v>
      </c>
      <c r="BV161" s="8">
        <f>+MINVU_Mes_Corriente!BV161*SALUD_Mes_Constante!$BP$1</f>
        <v>558550.82996158779</v>
      </c>
      <c r="BW161" s="8">
        <f>+MINVU_Mes_Corriente!BW161*SALUD_Mes_Constante!$BP$1</f>
        <v>832661.92624839954</v>
      </c>
      <c r="BX161" s="8">
        <f>+MINVU_Mes_Corriente!BX161*SALUD_Mes_Constante!$BP$1</f>
        <v>1192328.7787451986</v>
      </c>
      <c r="BY161" s="8">
        <f>+MINVU_Mes_Corriente!BY161*SALUD_Mes_Constante!$BP$1</f>
        <v>1192328.7787451986</v>
      </c>
      <c r="BZ161" s="8">
        <f>+MINVU_Mes_Corriente!BZ161*SALUD_Mes_Constante!$BP$1</f>
        <v>1192328.7787451986</v>
      </c>
      <c r="CA161" s="8">
        <f>+MINVU_Mes_Corriente!CA161*SALUD_Mes_Constante!$BP$1</f>
        <v>1114896.8742637646</v>
      </c>
      <c r="CB161" s="9">
        <f t="shared" si="81"/>
        <v>1114896.8742637646</v>
      </c>
      <c r="CC161" s="8">
        <f>+MINVU_Mes_Corriente!CC161*SALUD_Mes_Constante!$CC$1</f>
        <v>57792.467735919439</v>
      </c>
      <c r="CD161" s="8">
        <f>+MINVU_Mes_Corriente!CD161*SALUD_Mes_Constante!$CC$1</f>
        <v>57792.467735919439</v>
      </c>
      <c r="CE161" s="8">
        <f>+MINVU_Mes_Corriente!CE161*SALUD_Mes_Constante!$CC$1</f>
        <v>57792.467735919439</v>
      </c>
      <c r="CF161" s="8">
        <f>+MINVU_Mes_Corriente!CF161*SALUD_Mes_Constante!$CC$1</f>
        <v>217702.21409921674</v>
      </c>
      <c r="CG161" s="8">
        <f>+MINVU_Mes_Corriente!CG161*SALUD_Mes_Constante!$CC$1</f>
        <v>217702.21409921674</v>
      </c>
      <c r="CH161" s="8">
        <f>+MINVU_Mes_Corriente!CH161*SALUD_Mes_Constante!$CC$1</f>
        <v>1526458.5139873184</v>
      </c>
      <c r="CI161" s="8">
        <f>+MINVU_Mes_Corriente!CI161*SALUD_Mes_Constante!$CC$1</f>
        <v>1526458.5139873184</v>
      </c>
      <c r="CJ161" s="8">
        <f>+MINVU_Mes_Corriente!CJ161*SALUD_Mes_Constante!$CC$1</f>
        <v>1610718.9891831407</v>
      </c>
      <c r="CK161" s="8">
        <f>+MINVU_Mes_Corriente!CK161*SALUD_Mes_Constante!$CC$1</f>
        <v>1622124.5214472213</v>
      </c>
      <c r="CL161" s="8">
        <f>+MINVU_Mes_Corriente!CL161*SALUD_Mes_Constante!$CC$1</f>
        <v>1838117.8075345021</v>
      </c>
      <c r="CM161" s="8">
        <f>+MINVU_Mes_Corriente!CM161*SALUD_Mes_Constante!$CC$1</f>
        <v>1838117.8075345021</v>
      </c>
      <c r="CN161" s="8">
        <f>+MINVU_Mes_Corriente!CN161*SALUD_Mes_Constante!$CC$1</f>
        <v>1838117.8075345021</v>
      </c>
      <c r="CO161" s="9">
        <f t="shared" si="82"/>
        <v>1838117.8075345021</v>
      </c>
      <c r="CP161" s="8">
        <f>+MINVU_Mes_Corriente!CP161*SALUD_Mes_Constante!$CP$1</f>
        <v>232277.63387470992</v>
      </c>
      <c r="CQ161" s="8">
        <f>+MINVU_Mes_Corriente!CQ161*SALUD_Mes_Constante!$CP$1</f>
        <v>232277.63387470992</v>
      </c>
      <c r="CR161" s="8">
        <f>+MINVU_Mes_Corriente!CR161*SALUD_Mes_Constante!$CP$1</f>
        <v>232277.63387470992</v>
      </c>
      <c r="CS161" s="8">
        <f>+MINVU_Mes_Corriente!CS161*SALUD_Mes_Constante!$CP$1</f>
        <v>232277.63387470992</v>
      </c>
      <c r="CT161" s="8">
        <f>+MINVU_Mes_Corriente!CT161*SALUD_Mes_Constante!$CP$1</f>
        <v>627746.86566125276</v>
      </c>
      <c r="CU161" s="8">
        <f>+MINVU_Mes_Corriente!CU161*SALUD_Mes_Constante!$CP$1</f>
        <v>627746.86566125276</v>
      </c>
      <c r="CV161" s="8">
        <f>+MINVU_Mes_Corriente!CV161*SALUD_Mes_Constante!$CP$1</f>
        <v>757434.17610208807</v>
      </c>
      <c r="CW161" s="8">
        <f>+MINVU_Mes_Corriente!CW161*SALUD_Mes_Constante!$CP$1</f>
        <v>1448283.1280742455</v>
      </c>
      <c r="CX161" s="8">
        <f>+MINVU_Mes_Corriente!CX161*SALUD_Mes_Constante!$CP$1</f>
        <v>1448283.1280742455</v>
      </c>
      <c r="CY161" s="8">
        <f>+MINVU_Mes_Corriente!CY161*SALUD_Mes_Constante!$CP$1</f>
        <v>1509444.6452436191</v>
      </c>
      <c r="CZ161" s="8">
        <f>+MINVU_Mes_Corriente!CZ161*SALUD_Mes_Constante!$CP$1</f>
        <v>1509444.6452436191</v>
      </c>
      <c r="DA161" s="8">
        <f>+MINVU_Mes_Corriente!DA161*SALUD_Mes_Constante!$CP$1</f>
        <v>1509444.6452436191</v>
      </c>
      <c r="DB161" s="9">
        <f t="shared" si="83"/>
        <v>1509444.6452436191</v>
      </c>
      <c r="DC161" s="8">
        <f>+MINVU_Mes_Corriente!DC161*SALUD_Mes_Constante!$DC$1</f>
        <v>279329.52350581228</v>
      </c>
      <c r="DD161" s="8">
        <f>+MINVU_Mes_Corriente!DD161*SALUD_Mes_Constante!$DC$1</f>
        <v>279329.52350581228</v>
      </c>
      <c r="DE161" s="8">
        <f>+MINVU_Mes_Corriente!DE161*SALUD_Mes_Constante!$DC$1</f>
        <v>279329.52350581228</v>
      </c>
      <c r="DF161" s="8">
        <f>+MINVU_Mes_Corriente!DF161*SALUD_Mes_Constante!$DC$1</f>
        <v>279329.52350581228</v>
      </c>
      <c r="DG161" s="8">
        <f>+MINVU_Mes_Corriente!DG161*SALUD_Mes_Constante!$DC$1</f>
        <v>279329.52350581228</v>
      </c>
      <c r="DH161" s="8">
        <f>+MINVU_Mes_Corriente!DH161*SALUD_Mes_Constante!$DC$1</f>
        <v>345522.80794156995</v>
      </c>
      <c r="DI161" s="8">
        <f>+MINVU_Mes_Corriente!DI161*SALUD_Mes_Constante!$DC$1</f>
        <v>1094261.2105750442</v>
      </c>
      <c r="DJ161" s="8">
        <f>+MINVU_Mes_Corriente!DJ161*SALUD_Mes_Constante!$DC$1</f>
        <v>1471998.9153379288</v>
      </c>
      <c r="DK161" s="8">
        <f>+MINVU_Mes_Corriente!DK161*SALUD_Mes_Constante!$DC$1</f>
        <v>1869159.7459109153</v>
      </c>
      <c r="DL161" s="8">
        <f>+MINVU_Mes_Corriente!DL161*SALUD_Mes_Constante!$DC$1</f>
        <v>1869159.7459109153</v>
      </c>
      <c r="DM161" s="8">
        <f>+MINVU_Mes_Corriente!DM161*SALUD_Mes_Constante!$DC$1</f>
        <v>1869159.7459109153</v>
      </c>
      <c r="DN161" s="8">
        <f>+MINVU_Mes_Corriente!DN161*SALUD_Mes_Constante!$DC$1</f>
        <v>1869159.7459109153</v>
      </c>
      <c r="DO161" s="9">
        <f t="shared" si="84"/>
        <v>1869159.7459109153</v>
      </c>
      <c r="DP161" s="8">
        <f>+MINVU_Mes_Corriente!DP161*SALUD_Mes_Constante!$DP$1</f>
        <v>285672.07838479814</v>
      </c>
      <c r="DQ161" s="8">
        <f>+MINVU_Mes_Corriente!DQ161*SALUD_Mes_Constante!$DP$1</f>
        <v>579166.67102137778</v>
      </c>
      <c r="DR161" s="8">
        <f>+MINVU_Mes_Corriente!DR161*SALUD_Mes_Constante!$DP$1</f>
        <v>883949.51722090272</v>
      </c>
      <c r="DS161" s="8">
        <f>+MINVU_Mes_Corriente!DS161*SALUD_Mes_Constante!$DP$1</f>
        <v>886652.90201900247</v>
      </c>
      <c r="DT161" s="8">
        <f>+MINVU_Mes_Corriente!DT161*SALUD_Mes_Constante!$DP$1</f>
        <v>886652.90201900247</v>
      </c>
      <c r="DU161" s="8">
        <f>+MINVU_Mes_Corriente!DU161*SALUD_Mes_Constante!$DP$1</f>
        <v>937251.61460807605</v>
      </c>
      <c r="DV161" s="8">
        <f>+MINVU_Mes_Corriente!DV161*SALUD_Mes_Constante!$DP$1</f>
        <v>947648.83254156774</v>
      </c>
      <c r="DW161" s="8">
        <f>+MINVU_Mes_Corriente!DW161*SALUD_Mes_Constante!$DP$1</f>
        <v>978944.29631828982</v>
      </c>
      <c r="DX161" s="8">
        <f>+MINVU_Mes_Corriente!DX161*SALUD_Mes_Constante!$DP$1</f>
        <v>979236.26187648461</v>
      </c>
      <c r="DY161" s="8">
        <f>+MINVU_Mes_Corriente!DY161*SALUD_Mes_Constante!$DP$1</f>
        <v>979236.26187648461</v>
      </c>
      <c r="DZ161" s="8">
        <f>+MINVU_Mes_Corriente!DZ161*SALUD_Mes_Constante!$DP$1</f>
        <v>979236.26187648461</v>
      </c>
      <c r="EA161" s="8">
        <f>+MINVU_Mes_Corriente!EA161*SALUD_Mes_Constante!$DP$1</f>
        <v>979236.26187648461</v>
      </c>
      <c r="EB161" s="9">
        <f t="shared" si="85"/>
        <v>979236.26187648461</v>
      </c>
      <c r="EC161" s="8">
        <f>+MINVU_Mes_Corriente!EC161*SALUD_Mes_Constante!$EC$1</f>
        <v>250316.29445180829</v>
      </c>
      <c r="ED161" s="8">
        <f>+MINVU_Mes_Corriente!ED161*SALUD_Mes_Constante!$EC$1</f>
        <v>250316.29445180829</v>
      </c>
      <c r="EE161" s="8">
        <f>+MINVU_Mes_Corriente!EE161*SALUD_Mes_Constante!$EC$1</f>
        <v>465743.24957394419</v>
      </c>
      <c r="EF161" s="8">
        <f>+MINVU_Mes_Corriente!EF161*SALUD_Mes_Constante!$EC$1</f>
        <v>591792.58682067774</v>
      </c>
      <c r="EG161" s="8">
        <f>+MINVU_Mes_Corriente!EG161*SALUD_Mes_Constante!$EC$1</f>
        <v>705538.01912516542</v>
      </c>
      <c r="EH161" s="8">
        <f>+MINVU_Mes_Corriente!EH161*SALUD_Mes_Constante!$EC$1</f>
        <v>705538.01912516542</v>
      </c>
      <c r="EI161" s="8">
        <f>+MINVU_Mes_Corriente!EI161*SALUD_Mes_Constante!$EC$1</f>
        <v>705538.01912516542</v>
      </c>
      <c r="EJ161" s="8">
        <f>+MINVU_Mes_Corriente!EJ161*SALUD_Mes_Constante!$EC$1</f>
        <v>731887.86498769152</v>
      </c>
      <c r="EK161" s="8">
        <f>+MINVU_Mes_Corriente!EK161*SALUD_Mes_Constante!$EC$1</f>
        <v>807584.7074417721</v>
      </c>
      <c r="EL161" s="8">
        <f>+MINVU_Mes_Corriente!EL161*SALUD_Mes_Constante!$EC$1</f>
        <v>819543.10168528662</v>
      </c>
      <c r="EM161" s="8">
        <f>+MINVU_Mes_Corriente!EM161*SALUD_Mes_Constante!$EC$1</f>
        <v>819543.10168528662</v>
      </c>
      <c r="EN161" s="8">
        <f>+MINVU_Mes_Corriente!EN161*SALUD_Mes_Constante!$EC$1</f>
        <v>789550.91100170393</v>
      </c>
      <c r="EO161" s="9">
        <f t="shared" si="86"/>
        <v>789550.91100170393</v>
      </c>
      <c r="EP161" s="8">
        <f>+MINVU_Mes_Corriente!EP161*SALUD_Mes_Constante!$EP$1</f>
        <v>252140</v>
      </c>
      <c r="EQ161" s="8">
        <f>+MINVU_Mes_Corriente!EQ161*SALUD_Mes_Constante!$EP$1</f>
        <v>258131</v>
      </c>
      <c r="ER161" s="8">
        <f>+MINVU_Mes_Corriente!ER161*SALUD_Mes_Constante!$EP$1</f>
        <v>258131</v>
      </c>
      <c r="ES161" s="8">
        <f>+MINVU_Mes_Corriente!ES161*SALUD_Mes_Constante!$EP$1</f>
        <v>1148885</v>
      </c>
      <c r="ET161" s="8">
        <f>+MINVU_Mes_Corriente!ET161*SALUD_Mes_Constante!$EP$1</f>
        <v>1152842</v>
      </c>
      <c r="EU161" s="8">
        <f>+MINVU_Mes_Corriente!EU161*SALUD_Mes_Constante!$EP$1</f>
        <v>1152842</v>
      </c>
      <c r="EV161" s="8">
        <f>+MINVU_Mes_Corriente!EV161*SALUD_Mes_Constante!$EP$1</f>
        <v>1152842</v>
      </c>
      <c r="EW161" s="8">
        <f>+MINVU_Mes_Corriente!EW161*SALUD_Mes_Constante!$EP$1</f>
        <v>1152842</v>
      </c>
      <c r="EX161" s="8">
        <f>+MINVU_Mes_Corriente!EX161*SALUD_Mes_Constante!$EP$1</f>
        <v>1152842</v>
      </c>
      <c r="EY161" s="8">
        <f>+MINVU_Mes_Corriente!EY161*SALUD_Mes_Constante!$EP$1</f>
        <v>1152842</v>
      </c>
      <c r="EZ161" s="8">
        <f>+MINVU_Mes_Corriente!EZ161*SALUD_Mes_Constante!$EP$1</f>
        <v>1152842</v>
      </c>
      <c r="FA161" s="8">
        <f>+MINVU_Mes_Corriente!FA161*SALUD_Mes_Constante!$EP$1</f>
        <v>1142868</v>
      </c>
      <c r="FB161" s="9">
        <f t="shared" si="87"/>
        <v>1142868</v>
      </c>
      <c r="FC161" s="8">
        <f>+MINVU_Mes_Corriente!FC161*SALUD_Mes_Constante!$FC$1</f>
        <v>259957</v>
      </c>
      <c r="FD161" s="8">
        <f>+MINVU_Mes_Corriente!FD161*SALUD_Mes_Constante!$FC$1</f>
        <v>259957</v>
      </c>
      <c r="FE161" s="8">
        <f>+MINVU_Mes_Corriente!FE161*SALUD_Mes_Constante!$FC$1</f>
        <v>259957</v>
      </c>
      <c r="FF161" s="8">
        <f>+MINVU_Mes_Corriente!FF161*SALUD_Mes_Constante!$FC$1</f>
        <v>259957</v>
      </c>
      <c r="FG161" s="8">
        <f>+MINVU_Mes_Corriente!FG161*SALUD_Mes_Constante!$FC$1</f>
        <v>259957</v>
      </c>
      <c r="FH161" s="8">
        <f>+MINVU_Mes_Corriente!FH161*SALUD_Mes_Constante!$FC$1</f>
        <v>259957</v>
      </c>
      <c r="FI161" s="8">
        <f>+MINVU_Mes_Corriente!FI161*SALUD_Mes_Constante!$FC$1</f>
        <v>259957</v>
      </c>
      <c r="FJ161" s="8"/>
      <c r="FK161" s="8"/>
      <c r="FL161" s="8"/>
      <c r="FM161" s="8"/>
      <c r="FN161" s="8"/>
      <c r="FO161" s="9">
        <f t="shared" si="88"/>
        <v>259957</v>
      </c>
    </row>
    <row r="162" spans="2:171" ht="14.25" customHeight="1" x14ac:dyDescent="0.3">
      <c r="B162" s="7" t="s">
        <v>50</v>
      </c>
      <c r="C162" s="8">
        <f>+MINVU_Mes_Corriente!C162*SALUD_Mes_Constante!$C$1</f>
        <v>467003.45721488958</v>
      </c>
      <c r="D162" s="8">
        <f>+MINVU_Mes_Corriente!D162*SALUD_Mes_Constante!$C$1</f>
        <v>467003.45721488958</v>
      </c>
      <c r="E162" s="8">
        <f>+MINVU_Mes_Corriente!E162*SALUD_Mes_Constante!$C$1</f>
        <v>467003.45721488958</v>
      </c>
      <c r="F162" s="8">
        <f>+MINVU_Mes_Corriente!F162*SALUD_Mes_Constante!$C$1</f>
        <v>467003.45721488958</v>
      </c>
      <c r="G162" s="8">
        <f>+MINVU_Mes_Corriente!G162*SALUD_Mes_Constante!$C$1</f>
        <v>499750.67062138522</v>
      </c>
      <c r="H162" s="8">
        <f>+MINVU_Mes_Corriente!H162*SALUD_Mes_Constante!$C$1</f>
        <v>536765.87809580308</v>
      </c>
      <c r="I162" s="8">
        <f>+MINVU_Mes_Corriente!I162*SALUD_Mes_Constante!$C$1</f>
        <v>536765.87809580308</v>
      </c>
      <c r="J162" s="8">
        <f>+MINVU_Mes_Corriente!J162*SALUD_Mes_Constante!$C$1</f>
        <v>536765.87809580308</v>
      </c>
      <c r="K162" s="8">
        <f>+MINVU_Mes_Corriente!K162*SALUD_Mes_Constante!$C$1</f>
        <v>710220.78659350448</v>
      </c>
      <c r="L162" s="8">
        <f>+MINVU_Mes_Corriente!L162*SALUD_Mes_Constante!$C$1</f>
        <v>714185.77576746268</v>
      </c>
      <c r="M162" s="8">
        <f>+MINVU_Mes_Corriente!M162*SALUD_Mes_Constante!$C$1</f>
        <v>2819964.4662613086</v>
      </c>
      <c r="N162" s="8">
        <f>+MINVU_Mes_Corriente!N162*SALUD_Mes_Constante!$C$1</f>
        <v>2914100.1471155277</v>
      </c>
      <c r="O162" s="9">
        <f t="shared" si="76"/>
        <v>2914100.1471155277</v>
      </c>
      <c r="P162" s="8">
        <f>+MINVU_Mes_Corriente!P162*SALUD_Mes_Constante!$P$1</f>
        <v>460785.69512714859</v>
      </c>
      <c r="Q162" s="8">
        <f>+MINVU_Mes_Corriente!Q162*SALUD_Mes_Constante!$P$1</f>
        <v>460785.69512714859</v>
      </c>
      <c r="R162" s="8">
        <f>+MINVU_Mes_Corriente!R162*SALUD_Mes_Constante!$P$1</f>
        <v>831577.40985935472</v>
      </c>
      <c r="S162" s="8">
        <f>+MINVU_Mes_Corriente!S162*SALUD_Mes_Constante!$P$1</f>
        <v>2307728.2835630053</v>
      </c>
      <c r="T162" s="8">
        <f>+MINVU_Mes_Corriente!T162*SALUD_Mes_Constante!$P$1</f>
        <v>3848049.0345219476</v>
      </c>
      <c r="U162" s="8">
        <f>+MINVU_Mes_Corriente!U162*SALUD_Mes_Constante!$P$1</f>
        <v>4288277.2720556883</v>
      </c>
      <c r="V162" s="8">
        <f>+MINVU_Mes_Corriente!V162*SALUD_Mes_Constante!$P$1</f>
        <v>4303799.3632618254</v>
      </c>
      <c r="W162" s="8">
        <f>+MINVU_Mes_Corriente!W162*SALUD_Mes_Constante!$P$1</f>
        <v>4580744.5145617258</v>
      </c>
      <c r="X162" s="8">
        <f>+MINVU_Mes_Corriente!X162*SALUD_Mes_Constante!$P$1</f>
        <v>4580744.5145617258</v>
      </c>
      <c r="Y162" s="8">
        <f>+MINVU_Mes_Corriente!Y162*SALUD_Mes_Constante!$P$1</f>
        <v>5666117.4288961478</v>
      </c>
      <c r="Z162" s="8">
        <f>+MINVU_Mes_Corriente!Z162*SALUD_Mes_Constante!$P$1</f>
        <v>7344161.0384997837</v>
      </c>
      <c r="AA162" s="8">
        <f>+MINVU_Mes_Corriente!AA162*SALUD_Mes_Constante!$P$1</f>
        <v>8981043.1666429862</v>
      </c>
      <c r="AB162" s="9">
        <f t="shared" si="77"/>
        <v>8981043.1666429862</v>
      </c>
      <c r="AC162" s="8">
        <f>+MINVU_Mes_Corriente!AC162*SALUD_Mes_Constante!$AC$1</f>
        <v>465725.09531055472</v>
      </c>
      <c r="AD162" s="8">
        <f>+MINVU_Mes_Corriente!AD162*SALUD_Mes_Constante!$AC$1</f>
        <v>994719.4237100567</v>
      </c>
      <c r="AE162" s="8">
        <f>+MINVU_Mes_Corriente!AE162*SALUD_Mes_Constante!$AC$1</f>
        <v>994719.4237100567</v>
      </c>
      <c r="AF162" s="8">
        <f>+MINVU_Mes_Corriente!AF162*SALUD_Mes_Constante!$AC$1</f>
        <v>994719.4237100567</v>
      </c>
      <c r="AG162" s="8">
        <f>+MINVU_Mes_Corriente!AG162*SALUD_Mes_Constante!$AC$1</f>
        <v>994719.4237100567</v>
      </c>
      <c r="AH162" s="8">
        <f>+MINVU_Mes_Corriente!AH162*SALUD_Mes_Constante!$AC$1</f>
        <v>1000210.3848388435</v>
      </c>
      <c r="AI162" s="8">
        <f>+MINVU_Mes_Corriente!AI162*SALUD_Mes_Constante!$AC$1</f>
        <v>1099132.3242495505</v>
      </c>
      <c r="AJ162" s="8">
        <f>+MINVU_Mes_Corriente!AJ162*SALUD_Mes_Constante!$AC$1</f>
        <v>1099132.3242495505</v>
      </c>
      <c r="AK162" s="8">
        <f>+MINVU_Mes_Corriente!AK162*SALUD_Mes_Constante!$AC$1</f>
        <v>3571192.3458292987</v>
      </c>
      <c r="AL162" s="8">
        <f>+MINVU_Mes_Corriente!AL162*SALUD_Mes_Constante!$AC$1</f>
        <v>3571192.3458292987</v>
      </c>
      <c r="AM162" s="8">
        <f>+MINVU_Mes_Corriente!AM162*SALUD_Mes_Constante!$AC$1</f>
        <v>3580820.0426061694</v>
      </c>
      <c r="AN162" s="8">
        <f>+MINVU_Mes_Corriente!AN162*SALUD_Mes_Constante!$AC$1</f>
        <v>3686067.2427721675</v>
      </c>
      <c r="AO162" s="9">
        <f t="shared" si="78"/>
        <v>3686067.2427721675</v>
      </c>
      <c r="AP162" s="8">
        <f>+MINVU_Mes_Corriente!AP162*SALUD_Mes_Constante!$AP$1</f>
        <v>469055.41160557279</v>
      </c>
      <c r="AQ162" s="8">
        <f>+MINVU_Mes_Corriente!AQ162*SALUD_Mes_Constante!$AP$1</f>
        <v>469055.41160557279</v>
      </c>
      <c r="AR162" s="8">
        <f>+MINVU_Mes_Corriente!AR162*SALUD_Mes_Constante!$AP$1</f>
        <v>469055.41160557279</v>
      </c>
      <c r="AS162" s="8">
        <f>+MINVU_Mes_Corriente!AS162*SALUD_Mes_Constante!$AP$1</f>
        <v>469055.41160557279</v>
      </c>
      <c r="AT162" s="8">
        <f>+MINVU_Mes_Corriente!AT162*SALUD_Mes_Constante!$AP$1</f>
        <v>469055.41160557279</v>
      </c>
      <c r="AU162" s="8">
        <f>+MINVU_Mes_Corriente!AU162*SALUD_Mes_Constante!$AP$1</f>
        <v>469877.11537941295</v>
      </c>
      <c r="AV162" s="8">
        <f>+MINVU_Mes_Corriente!AV162*SALUD_Mes_Constante!$AP$1</f>
        <v>584727.95238739345</v>
      </c>
      <c r="AW162" s="8">
        <f>+MINVU_Mes_Corriente!AW162*SALUD_Mes_Constante!$AP$1</f>
        <v>584727.95238739345</v>
      </c>
      <c r="AX162" s="8">
        <f>+MINVU_Mes_Corriente!AX162*SALUD_Mes_Constante!$AP$1</f>
        <v>745861.69782226428</v>
      </c>
      <c r="AY162" s="8">
        <f>+MINVU_Mes_Corriente!AY162*SALUD_Mes_Constante!$AP$1</f>
        <v>4021957.6970106857</v>
      </c>
      <c r="AZ162" s="8">
        <f>+MINVU_Mes_Corriente!AZ162*SALUD_Mes_Constante!$AP$1</f>
        <v>4039692.3108345731</v>
      </c>
      <c r="BA162" s="8">
        <f>+MINVU_Mes_Corriente!BA162*SALUD_Mes_Constante!$AP$1</f>
        <v>4869753.5214391993</v>
      </c>
      <c r="BB162" s="9">
        <f t="shared" si="79"/>
        <v>4869753.5214391993</v>
      </c>
      <c r="BC162" s="8">
        <f>+MINVU_Mes_Corriente!BC162*SALUD_Mes_Constante!$BC$1</f>
        <v>469192.66912831343</v>
      </c>
      <c r="BD162" s="8">
        <f>+MINVU_Mes_Corriente!BD162*SALUD_Mes_Constante!$BC$1</f>
        <v>469192.66912831343</v>
      </c>
      <c r="BE162" s="8">
        <f>+MINVU_Mes_Corriente!BE162*SALUD_Mes_Constante!$BC$1</f>
        <v>469192.66912831343</v>
      </c>
      <c r="BF162" s="8">
        <f>+MINVU_Mes_Corriente!BF162*SALUD_Mes_Constante!$BC$1</f>
        <v>469192.66912831343</v>
      </c>
      <c r="BG162" s="8">
        <f>+MINVU_Mes_Corriente!BG162*SALUD_Mes_Constante!$BC$1</f>
        <v>469192.66912831343</v>
      </c>
      <c r="BH162" s="8">
        <f>+MINVU_Mes_Corriente!BH162*SALUD_Mes_Constante!$BC$1</f>
        <v>675491.34089410538</v>
      </c>
      <c r="BI162" s="8">
        <f>+MINVU_Mes_Corriente!BI162*SALUD_Mes_Constante!$BC$1</f>
        <v>627656.4109191614</v>
      </c>
      <c r="BJ162" s="8">
        <f>+MINVU_Mes_Corriente!BJ162*SALUD_Mes_Constante!$BC$1</f>
        <v>627656.4109191614</v>
      </c>
      <c r="BK162" s="8">
        <f>+MINVU_Mes_Corriente!BK162*SALUD_Mes_Constante!$BC$1</f>
        <v>6232965.2915732572</v>
      </c>
      <c r="BL162" s="8">
        <f>+MINVU_Mes_Corriente!BL162*SALUD_Mes_Constante!$BC$1</f>
        <v>6232965.2915732572</v>
      </c>
      <c r="BM162" s="8">
        <f>+MINVU_Mes_Corriente!BM162*SALUD_Mes_Constante!$BC$1</f>
        <v>6232965.2915732572</v>
      </c>
      <c r="BN162" s="8">
        <f>+MINVU_Mes_Corriente!BN162*SALUD_Mes_Constante!$BC$1</f>
        <v>6321332.9006989338</v>
      </c>
      <c r="BO162" s="9">
        <f t="shared" si="80"/>
        <v>6321332.9006989338</v>
      </c>
      <c r="BP162" s="8">
        <f>+MINVU_Mes_Corriente!BP162*SALUD_Mes_Constante!$BP$1</f>
        <v>0</v>
      </c>
      <c r="BQ162" s="8">
        <f>+MINVU_Mes_Corriente!BQ162*SALUD_Mes_Constante!$BP$1</f>
        <v>0</v>
      </c>
      <c r="BR162" s="8">
        <f>+MINVU_Mes_Corriente!BR162*SALUD_Mes_Constante!$BP$1</f>
        <v>266797.25147247122</v>
      </c>
      <c r="BS162" s="8">
        <f>+MINVU_Mes_Corriente!BS162*SALUD_Mes_Constante!$BP$1</f>
        <v>702305.37311139575</v>
      </c>
      <c r="BT162" s="8">
        <f>+MINVU_Mes_Corriente!BT162*SALUD_Mes_Constante!$BP$1</f>
        <v>756399.56542893732</v>
      </c>
      <c r="BU162" s="8">
        <f>+MINVU_Mes_Corriente!BU162*SALUD_Mes_Constante!$BP$1</f>
        <v>756399.56542893732</v>
      </c>
      <c r="BV162" s="8">
        <f>+MINVU_Mes_Corriente!BV162*SALUD_Mes_Constante!$BP$1</f>
        <v>794171.90857874532</v>
      </c>
      <c r="BW162" s="8">
        <f>+MINVU_Mes_Corriente!BW162*SALUD_Mes_Constante!$BP$1</f>
        <v>845234.52061459678</v>
      </c>
      <c r="BX162" s="8">
        <f>+MINVU_Mes_Corriente!BX162*SALUD_Mes_Constante!$BP$1</f>
        <v>1168388.1080665814</v>
      </c>
      <c r="BY162" s="8">
        <f>+MINVU_Mes_Corriente!BY162*SALUD_Mes_Constante!$BP$1</f>
        <v>1168388.1080665814</v>
      </c>
      <c r="BZ162" s="8">
        <f>+MINVU_Mes_Corriente!BZ162*SALUD_Mes_Constante!$BP$1</f>
        <v>1168388.1080665814</v>
      </c>
      <c r="CA162" s="8">
        <f>+MINVU_Mes_Corriente!CA162*SALUD_Mes_Constante!$BP$1</f>
        <v>1273132.2145966711</v>
      </c>
      <c r="CB162" s="9">
        <f t="shared" si="81"/>
        <v>1273132.2145966711</v>
      </c>
      <c r="CC162" s="8">
        <f>+MINVU_Mes_Corriente!CC162*SALUD_Mes_Constante!$CC$1</f>
        <v>126517.72771353973</v>
      </c>
      <c r="CD162" s="8">
        <f>+MINVU_Mes_Corriente!CD162*SALUD_Mes_Constante!$CC$1</f>
        <v>126517.72771353973</v>
      </c>
      <c r="CE162" s="8">
        <f>+MINVU_Mes_Corriente!CE162*SALUD_Mes_Constante!$CC$1</f>
        <v>126517.72771353973</v>
      </c>
      <c r="CF162" s="8">
        <f>+MINVU_Mes_Corriente!CF162*SALUD_Mes_Constante!$CC$1</f>
        <v>354283.3271167475</v>
      </c>
      <c r="CG162" s="8">
        <f>+MINVU_Mes_Corriente!CG162*SALUD_Mes_Constante!$CC$1</f>
        <v>354283.3271167475</v>
      </c>
      <c r="CH162" s="8">
        <f>+MINVU_Mes_Corriente!CH162*SALUD_Mes_Constante!$CC$1</f>
        <v>2449077.2316299891</v>
      </c>
      <c r="CI162" s="8">
        <f>+MINVU_Mes_Corriente!CI162*SALUD_Mes_Constante!$CC$1</f>
        <v>2449077.2316299891</v>
      </c>
      <c r="CJ162" s="8">
        <f>+MINVU_Mes_Corriente!CJ162*SALUD_Mes_Constante!$CC$1</f>
        <v>2953852.1827676245</v>
      </c>
      <c r="CK162" s="8">
        <f>+MINVU_Mes_Corriente!CK162*SALUD_Mes_Constante!$CC$1</f>
        <v>3000175.2711674753</v>
      </c>
      <c r="CL162" s="8">
        <f>+MINVU_Mes_Corriente!CL162*SALUD_Mes_Constante!$CC$1</f>
        <v>3442587.9343528538</v>
      </c>
      <c r="CM162" s="8">
        <f>+MINVU_Mes_Corriente!CM162*SALUD_Mes_Constante!$CC$1</f>
        <v>3442587.9343528538</v>
      </c>
      <c r="CN162" s="8">
        <f>+MINVU_Mes_Corriente!CN162*SALUD_Mes_Constante!$CC$1</f>
        <v>3442587.9343528538</v>
      </c>
      <c r="CO162" s="9">
        <f t="shared" si="82"/>
        <v>3442587.9343528538</v>
      </c>
      <c r="CP162" s="8">
        <f>+MINVU_Mes_Corriente!CP162*SALUD_Mes_Constante!$CP$1</f>
        <v>523778.75081206486</v>
      </c>
      <c r="CQ162" s="8">
        <f>+MINVU_Mes_Corriente!CQ162*SALUD_Mes_Constante!$CP$1</f>
        <v>523778.75081206486</v>
      </c>
      <c r="CR162" s="8">
        <f>+MINVU_Mes_Corriente!CR162*SALUD_Mes_Constante!$CP$1</f>
        <v>523778.75081206486</v>
      </c>
      <c r="CS162" s="8">
        <f>+MINVU_Mes_Corriente!CS162*SALUD_Mes_Constante!$CP$1</f>
        <v>523778.75081206486</v>
      </c>
      <c r="CT162" s="8">
        <f>+MINVU_Mes_Corriente!CT162*SALUD_Mes_Constante!$CP$1</f>
        <v>1226883.3285382828</v>
      </c>
      <c r="CU162" s="8">
        <f>+MINVU_Mes_Corriente!CU162*SALUD_Mes_Constante!$CP$1</f>
        <v>1226883.3285382828</v>
      </c>
      <c r="CV162" s="8">
        <f>+MINVU_Mes_Corriente!CV162*SALUD_Mes_Constante!$CP$1</f>
        <v>1226883.3285382828</v>
      </c>
      <c r="CW162" s="8">
        <f>+MINVU_Mes_Corriente!CW162*SALUD_Mes_Constante!$CP$1</f>
        <v>1250820.3946635728</v>
      </c>
      <c r="CX162" s="8">
        <f>+MINVU_Mes_Corriente!CX162*SALUD_Mes_Constante!$CP$1</f>
        <v>1250820.3946635728</v>
      </c>
      <c r="CY162" s="8">
        <f>+MINVU_Mes_Corriente!CY162*SALUD_Mes_Constante!$CP$1</f>
        <v>1722042.8039443153</v>
      </c>
      <c r="CZ162" s="8">
        <f>+MINVU_Mes_Corriente!CZ162*SALUD_Mes_Constante!$CP$1</f>
        <v>1790895.6167053361</v>
      </c>
      <c r="DA162" s="8">
        <f>+MINVU_Mes_Corriente!DA162*SALUD_Mes_Constante!$CP$1</f>
        <v>1742596.8661252896</v>
      </c>
      <c r="DB162" s="9">
        <f t="shared" si="83"/>
        <v>1742596.8661252896</v>
      </c>
      <c r="DC162" s="8">
        <f>+MINVU_Mes_Corriente!DC162*SALUD_Mes_Constante!$DC$1</f>
        <v>630871.12889620441</v>
      </c>
      <c r="DD162" s="8">
        <f>+MINVU_Mes_Corriente!DD162*SALUD_Mes_Constante!$DC$1</f>
        <v>630871.12889620441</v>
      </c>
      <c r="DE162" s="8">
        <f>+MINVU_Mes_Corriente!DE162*SALUD_Mes_Constante!$DC$1</f>
        <v>630871.12889620441</v>
      </c>
      <c r="DF162" s="8">
        <f>+MINVU_Mes_Corriente!DF162*SALUD_Mes_Constante!$DC$1</f>
        <v>630871.12889620441</v>
      </c>
      <c r="DG162" s="8">
        <f>+MINVU_Mes_Corriente!DG162*SALUD_Mes_Constante!$DC$1</f>
        <v>630871.12889620441</v>
      </c>
      <c r="DH162" s="8">
        <f>+MINVU_Mes_Corriente!DH162*SALUD_Mes_Constante!$DC$1</f>
        <v>630871.12889620441</v>
      </c>
      <c r="DI162" s="8">
        <f>+MINVU_Mes_Corriente!DI162*SALUD_Mes_Constante!$DC$1</f>
        <v>655598.21458697692</v>
      </c>
      <c r="DJ162" s="8">
        <f>+MINVU_Mes_Corriente!DJ162*SALUD_Mes_Constante!$DC$1</f>
        <v>1206059.1087336699</v>
      </c>
      <c r="DK162" s="8">
        <f>+MINVU_Mes_Corriente!DK162*SALUD_Mes_Constante!$DC$1</f>
        <v>2537350.7908651386</v>
      </c>
      <c r="DL162" s="8">
        <f>+MINVU_Mes_Corriente!DL162*SALUD_Mes_Constante!$DC$1</f>
        <v>2537350.7908651386</v>
      </c>
      <c r="DM162" s="8">
        <f>+MINVU_Mes_Corriente!DM162*SALUD_Mes_Constante!$DC$1</f>
        <v>2537350.7908651386</v>
      </c>
      <c r="DN162" s="8">
        <f>+MINVU_Mes_Corriente!DN162*SALUD_Mes_Constante!$DC$1</f>
        <v>2537350.7908651386</v>
      </c>
      <c r="DO162" s="9">
        <f t="shared" si="84"/>
        <v>2537350.7908651386</v>
      </c>
      <c r="DP162" s="8">
        <f>+MINVU_Mes_Corriente!DP162*SALUD_Mes_Constante!$DP$1</f>
        <v>645196.30403800483</v>
      </c>
      <c r="DQ162" s="8">
        <f>+MINVU_Mes_Corriente!DQ162*SALUD_Mes_Constante!$DP$1</f>
        <v>1471476.1353919241</v>
      </c>
      <c r="DR162" s="8">
        <f>+MINVU_Mes_Corriente!DR162*SALUD_Mes_Constante!$DP$1</f>
        <v>1485672.1496437057</v>
      </c>
      <c r="DS162" s="8">
        <f>+MINVU_Mes_Corriente!DS162*SALUD_Mes_Constante!$DP$1</f>
        <v>1488375.5344418054</v>
      </c>
      <c r="DT162" s="8">
        <f>+MINVU_Mes_Corriente!DT162*SALUD_Mes_Constante!$DP$1</f>
        <v>1488375.5344418054</v>
      </c>
      <c r="DU162" s="8">
        <f>+MINVU_Mes_Corriente!DU162*SALUD_Mes_Constante!$DP$1</f>
        <v>1671607.7119952496</v>
      </c>
      <c r="DV162" s="8">
        <f>+MINVU_Mes_Corriente!DV162*SALUD_Mes_Constante!$DP$1</f>
        <v>1720318.3806413303</v>
      </c>
      <c r="DW162" s="8">
        <f>+MINVU_Mes_Corriente!DW162*SALUD_Mes_Constante!$DP$1</f>
        <v>1771378.8313539193</v>
      </c>
      <c r="DX162" s="8">
        <f>+MINVU_Mes_Corriente!DX162*SALUD_Mes_Constante!$DP$1</f>
        <v>1903033.6710213779</v>
      </c>
      <c r="DY162" s="8">
        <f>+MINVU_Mes_Corriente!DY162*SALUD_Mes_Constante!$DP$1</f>
        <v>1903033.6710213779</v>
      </c>
      <c r="DZ162" s="8">
        <f>+MINVU_Mes_Corriente!DZ162*SALUD_Mes_Constante!$DP$1</f>
        <v>1903033.6710213779</v>
      </c>
      <c r="EA162" s="8">
        <f>+MINVU_Mes_Corriente!EA162*SALUD_Mes_Constante!$DP$1</f>
        <v>1971025.9614014253</v>
      </c>
      <c r="EB162" s="9">
        <f t="shared" si="85"/>
        <v>1971025.9614014253</v>
      </c>
      <c r="EC162" s="8">
        <f>+MINVU_Mes_Corriente!EC162*SALUD_Mes_Constante!$EC$1</f>
        <v>565344.46695701557</v>
      </c>
      <c r="ED162" s="8">
        <f>+MINVU_Mes_Corriente!ED162*SALUD_Mes_Constante!$EC$1</f>
        <v>565344.46695701557</v>
      </c>
      <c r="EE162" s="8">
        <f>+MINVU_Mes_Corriente!EE162*SALUD_Mes_Constante!$EC$1</f>
        <v>1735918.162847945</v>
      </c>
      <c r="EF162" s="8">
        <f>+MINVU_Mes_Corriente!EF162*SALUD_Mes_Constante!$EC$1</f>
        <v>1743839.0473395186</v>
      </c>
      <c r="EG162" s="8">
        <f>+MINVU_Mes_Corriente!EG162*SALUD_Mes_Constante!$EC$1</f>
        <v>1971329.9119484939</v>
      </c>
      <c r="EH162" s="8">
        <f>+MINVU_Mes_Corriente!EH162*SALUD_Mes_Constante!$EC$1</f>
        <v>1971329.9119484939</v>
      </c>
      <c r="EI162" s="8">
        <f>+MINVU_Mes_Corriente!EI162*SALUD_Mes_Constante!$EC$1</f>
        <v>1971329.9119484939</v>
      </c>
      <c r="EJ162" s="8">
        <f>+MINVU_Mes_Corriente!EJ162*SALUD_Mes_Constante!$EC$1</f>
        <v>1971329.9119484939</v>
      </c>
      <c r="EK162" s="8">
        <f>+MINVU_Mes_Corriente!EK162*SALUD_Mes_Constante!$EC$1</f>
        <v>1881941.9494413931</v>
      </c>
      <c r="EL162" s="8">
        <f>+MINVU_Mes_Corriente!EL162*SALUD_Mes_Constante!$EC$1</f>
        <v>1972886.7790191246</v>
      </c>
      <c r="EM162" s="8">
        <f>+MINVU_Mes_Corriente!EM162*SALUD_Mes_Constante!$EC$1</f>
        <v>1972886.7790191246</v>
      </c>
      <c r="EN162" s="8">
        <f>+MINVU_Mes_Corriente!EN162*SALUD_Mes_Constante!$EC$1</f>
        <v>1449145.3173641351</v>
      </c>
      <c r="EO162" s="9">
        <f t="shared" si="86"/>
        <v>1449145.3173641351</v>
      </c>
      <c r="EP162" s="8">
        <f>+MINVU_Mes_Corriente!EP162*SALUD_Mes_Constante!$EP$1</f>
        <v>569463</v>
      </c>
      <c r="EQ162" s="8">
        <f>+MINVU_Mes_Corriente!EQ162*SALUD_Mes_Constante!$EP$1</f>
        <v>1050249</v>
      </c>
      <c r="ER162" s="8">
        <f>+MINVU_Mes_Corriente!ER162*SALUD_Mes_Constante!$EP$1</f>
        <v>1050249</v>
      </c>
      <c r="ES162" s="8">
        <f>+MINVU_Mes_Corriente!ES162*SALUD_Mes_Constante!$EP$1</f>
        <v>3006178</v>
      </c>
      <c r="ET162" s="8">
        <f>+MINVU_Mes_Corriente!ET162*SALUD_Mes_Constante!$EP$1</f>
        <v>3006178</v>
      </c>
      <c r="EU162" s="8">
        <f>+MINVU_Mes_Corriente!EU162*SALUD_Mes_Constante!$EP$1</f>
        <v>3006178</v>
      </c>
      <c r="EV162" s="8">
        <f>+MINVU_Mes_Corriente!EV162*SALUD_Mes_Constante!$EP$1</f>
        <v>3006178</v>
      </c>
      <c r="EW162" s="8">
        <f>+MINVU_Mes_Corriente!EW162*SALUD_Mes_Constante!$EP$1</f>
        <v>3006178</v>
      </c>
      <c r="EX162" s="8">
        <f>+MINVU_Mes_Corriente!EX162*SALUD_Mes_Constante!$EP$1</f>
        <v>3006198</v>
      </c>
      <c r="EY162" s="8">
        <f>+MINVU_Mes_Corriente!EY162*SALUD_Mes_Constante!$EP$1</f>
        <v>3006198</v>
      </c>
      <c r="EZ162" s="8">
        <f>+MINVU_Mes_Corriente!EZ162*SALUD_Mes_Constante!$EP$1</f>
        <v>3006198</v>
      </c>
      <c r="FA162" s="8">
        <f>+MINVU_Mes_Corriente!FA162*SALUD_Mes_Constante!$EP$1</f>
        <v>2534859</v>
      </c>
      <c r="FB162" s="9">
        <f t="shared" si="87"/>
        <v>2534859</v>
      </c>
      <c r="FC162" s="8">
        <f>+MINVU_Mes_Corriente!FC162*SALUD_Mes_Constante!$FC$1</f>
        <v>587116</v>
      </c>
      <c r="FD162" s="8">
        <f>+MINVU_Mes_Corriente!FD162*SALUD_Mes_Constante!$FC$1</f>
        <v>587116</v>
      </c>
      <c r="FE162" s="8">
        <f>+MINVU_Mes_Corriente!FE162*SALUD_Mes_Constante!$FC$1</f>
        <v>587534</v>
      </c>
      <c r="FF162" s="8">
        <f>+MINVU_Mes_Corriente!FF162*SALUD_Mes_Constante!$FC$1</f>
        <v>587534</v>
      </c>
      <c r="FG162" s="8">
        <f>+MINVU_Mes_Corriente!FG162*SALUD_Mes_Constante!$FC$1</f>
        <v>587534</v>
      </c>
      <c r="FH162" s="8">
        <f>+MINVU_Mes_Corriente!FH162*SALUD_Mes_Constante!$FC$1</f>
        <v>587534</v>
      </c>
      <c r="FI162" s="8">
        <f>+MINVU_Mes_Corriente!FI162*SALUD_Mes_Constante!$FC$1</f>
        <v>1151154</v>
      </c>
      <c r="FJ162" s="8"/>
      <c r="FK162" s="8"/>
      <c r="FL162" s="8"/>
      <c r="FM162" s="8"/>
      <c r="FN162" s="8"/>
      <c r="FO162" s="9">
        <f t="shared" si="88"/>
        <v>1151154</v>
      </c>
    </row>
    <row r="163" spans="2:171" ht="14.25" customHeight="1" x14ac:dyDescent="0.3">
      <c r="B163" s="7" t="s">
        <v>51</v>
      </c>
      <c r="C163" s="8">
        <f>+MINVU_Mes_Corriente!C163*SALUD_Mes_Constante!$C$1</f>
        <v>561630.1032181523</v>
      </c>
      <c r="D163" s="8">
        <f>+MINVU_Mes_Corriente!D163*SALUD_Mes_Constante!$C$1</f>
        <v>561630.1032181523</v>
      </c>
      <c r="E163" s="8">
        <f>+MINVU_Mes_Corriente!E163*SALUD_Mes_Constante!$C$1</f>
        <v>561630.1032181523</v>
      </c>
      <c r="F163" s="8">
        <f>+MINVU_Mes_Corriente!F163*SALUD_Mes_Constante!$C$1</f>
        <v>561630.1032181523</v>
      </c>
      <c r="G163" s="8">
        <f>+MINVU_Mes_Corriente!G163*SALUD_Mes_Constante!$C$1</f>
        <v>598363.37030995113</v>
      </c>
      <c r="H163" s="8">
        <f>+MINVU_Mes_Corriente!H163*SALUD_Mes_Constante!$C$1</f>
        <v>822483.28963369434</v>
      </c>
      <c r="I163" s="8">
        <f>+MINVU_Mes_Corriente!I163*SALUD_Mes_Constante!$C$1</f>
        <v>822483.28963369434</v>
      </c>
      <c r="J163" s="8">
        <f>+MINVU_Mes_Corriente!J163*SALUD_Mes_Constante!$C$1</f>
        <v>822483.28963369434</v>
      </c>
      <c r="K163" s="8">
        <f>+MINVU_Mes_Corriente!K163*SALUD_Mes_Constante!$C$1</f>
        <v>878978.30906124879</v>
      </c>
      <c r="L163" s="8">
        <f>+MINVU_Mes_Corriente!L163*SALUD_Mes_Constante!$C$1</f>
        <v>897477.81106332503</v>
      </c>
      <c r="M163" s="8">
        <f>+MINVU_Mes_Corriente!M163*SALUD_Mes_Constante!$C$1</f>
        <v>2167518.7732463297</v>
      </c>
      <c r="N163" s="8">
        <f>+MINVU_Mes_Corriente!N163*SALUD_Mes_Constante!$C$1</f>
        <v>2224230.9191754414</v>
      </c>
      <c r="O163" s="9">
        <f t="shared" si="76"/>
        <v>2224230.9191754414</v>
      </c>
      <c r="P163" s="8">
        <f>+MINVU_Mes_Corriente!P163*SALUD_Mes_Constante!$P$1</f>
        <v>554152.62594118458</v>
      </c>
      <c r="Q163" s="8">
        <f>+MINVU_Mes_Corriente!Q163*SALUD_Mes_Constante!$P$1</f>
        <v>554152.62594118458</v>
      </c>
      <c r="R163" s="8">
        <f>+MINVU_Mes_Corriente!R163*SALUD_Mes_Constante!$P$1</f>
        <v>656474.25117204129</v>
      </c>
      <c r="S163" s="8">
        <f>+MINVU_Mes_Corriente!S163*SALUD_Mes_Constante!$P$1</f>
        <v>2571135.0669129128</v>
      </c>
      <c r="T163" s="8">
        <f>+MINVU_Mes_Corriente!T163*SALUD_Mes_Constante!$P$1</f>
        <v>2692413.8221338247</v>
      </c>
      <c r="U163" s="8">
        <f>+MINVU_Mes_Corriente!U163*SALUD_Mes_Constante!$P$1</f>
        <v>5430152.1505895704</v>
      </c>
      <c r="V163" s="8">
        <f>+MINVU_Mes_Corriente!V163*SALUD_Mes_Constante!$P$1</f>
        <v>5445674.2417957075</v>
      </c>
      <c r="W163" s="8">
        <f>+MINVU_Mes_Corriente!W163*SALUD_Mes_Constante!$P$1</f>
        <v>5585414.9722971991</v>
      </c>
      <c r="X163" s="8">
        <f>+MINVU_Mes_Corriente!X163*SALUD_Mes_Constante!$P$1</f>
        <v>5585414.9722971991</v>
      </c>
      <c r="Y163" s="8">
        <f>+MINVU_Mes_Corriente!Y163*SALUD_Mes_Constante!$P$1</f>
        <v>6761989.4857224012</v>
      </c>
      <c r="Z163" s="8">
        <f>+MINVU_Mes_Corriente!Z163*SALUD_Mes_Constante!$P$1</f>
        <v>7997928.2369654747</v>
      </c>
      <c r="AA163" s="8">
        <f>+MINVU_Mes_Corriente!AA163*SALUD_Mes_Constante!$P$1</f>
        <v>9298237.1004403997</v>
      </c>
      <c r="AB163" s="9">
        <f t="shared" si="77"/>
        <v>9298237.1004403997</v>
      </c>
      <c r="AC163" s="8">
        <f>+MINVU_Mes_Corriente!AC163*SALUD_Mes_Constante!$AC$1</f>
        <v>560091.63784755848</v>
      </c>
      <c r="AD163" s="8">
        <f>+MINVU_Mes_Corriente!AD163*SALUD_Mes_Constante!$AC$1</f>
        <v>1001424.0489694286</v>
      </c>
      <c r="AE163" s="8">
        <f>+MINVU_Mes_Corriente!AE163*SALUD_Mes_Constante!$AC$1</f>
        <v>1001424.0489694286</v>
      </c>
      <c r="AF163" s="8">
        <f>+MINVU_Mes_Corriente!AF163*SALUD_Mes_Constante!$AC$1</f>
        <v>1001424.0489694286</v>
      </c>
      <c r="AG163" s="8">
        <f>+MINVU_Mes_Corriente!AG163*SALUD_Mes_Constante!$AC$1</f>
        <v>1001424.0489694286</v>
      </c>
      <c r="AH163" s="8">
        <f>+MINVU_Mes_Corriente!AH163*SALUD_Mes_Constante!$AC$1</f>
        <v>1044771.3556508507</v>
      </c>
      <c r="AI163" s="8">
        <f>+MINVU_Mes_Corriente!AI163*SALUD_Mes_Constante!$AC$1</f>
        <v>1117725.7191866094</v>
      </c>
      <c r="AJ163" s="8">
        <f>+MINVU_Mes_Corriente!AJ163*SALUD_Mes_Constante!$AC$1</f>
        <v>1113093.2402821968</v>
      </c>
      <c r="AK163" s="8">
        <f>+MINVU_Mes_Corriente!AK163*SALUD_Mes_Constante!$AC$1</f>
        <v>1113093.2402821968</v>
      </c>
      <c r="AL163" s="8">
        <f>+MINVU_Mes_Corriente!AL163*SALUD_Mes_Constante!$AC$1</f>
        <v>1121478.5560935123</v>
      </c>
      <c r="AM163" s="8">
        <f>+MINVU_Mes_Corriente!AM163*SALUD_Mes_Constante!$AC$1</f>
        <v>1237036.6114262</v>
      </c>
      <c r="AN163" s="8">
        <f>+MINVU_Mes_Corriente!AN163*SALUD_Mes_Constante!$AC$1</f>
        <v>1289831.7568128372</v>
      </c>
      <c r="AO163" s="9">
        <f t="shared" si="78"/>
        <v>1289831.7568128372</v>
      </c>
      <c r="AP163" s="8">
        <f>+MINVU_Mes_Corriente!AP163*SALUD_Mes_Constante!$AP$1</f>
        <v>564096.68497227097</v>
      </c>
      <c r="AQ163" s="8">
        <f>+MINVU_Mes_Corriente!AQ163*SALUD_Mes_Constante!$AP$1</f>
        <v>564096.68497227097</v>
      </c>
      <c r="AR163" s="8">
        <f>+MINVU_Mes_Corriente!AR163*SALUD_Mes_Constante!$AP$1</f>
        <v>564096.68497227097</v>
      </c>
      <c r="AS163" s="8">
        <f>+MINVU_Mes_Corriente!AS163*SALUD_Mes_Constante!$AP$1</f>
        <v>564096.68497227097</v>
      </c>
      <c r="AT163" s="8">
        <f>+MINVU_Mes_Corriente!AT163*SALUD_Mes_Constante!$AP$1</f>
        <v>564096.68497227097</v>
      </c>
      <c r="AU163" s="8">
        <f>+MINVU_Mes_Corriente!AU163*SALUD_Mes_Constante!$AP$1</f>
        <v>677744.52400919783</v>
      </c>
      <c r="AV163" s="8">
        <f>+MINVU_Mes_Corriente!AV163*SALUD_Mes_Constante!$AP$1</f>
        <v>698464.46449343965</v>
      </c>
      <c r="AW163" s="8">
        <f>+MINVU_Mes_Corriente!AW163*SALUD_Mes_Constante!$AP$1</f>
        <v>698464.46449343965</v>
      </c>
      <c r="AX163" s="8">
        <f>+MINVU_Mes_Corriente!AX163*SALUD_Mes_Constante!$AP$1</f>
        <v>4397609.3312592991</v>
      </c>
      <c r="AY163" s="8">
        <f>+MINVU_Mes_Corriente!AY163*SALUD_Mes_Constante!$AP$1</f>
        <v>5427455.4002434732</v>
      </c>
      <c r="AZ163" s="8">
        <f>+MINVU_Mes_Corriente!AZ163*SALUD_Mes_Constante!$AP$1</f>
        <v>5587043.2785066953</v>
      </c>
      <c r="BA163" s="8">
        <f>+MINVU_Mes_Corriente!BA163*SALUD_Mes_Constante!$AP$1</f>
        <v>5219494.8848911133</v>
      </c>
      <c r="BB163" s="9">
        <f t="shared" si="79"/>
        <v>5219494.8848911133</v>
      </c>
      <c r="BC163" s="8">
        <f>+MINVU_Mes_Corriente!BC163*SALUD_Mes_Constante!$BC$1</f>
        <v>564261.69273374672</v>
      </c>
      <c r="BD163" s="8">
        <f>+MINVU_Mes_Corriente!BD163*SALUD_Mes_Constante!$BC$1</f>
        <v>564261.69273374672</v>
      </c>
      <c r="BE163" s="8">
        <f>+MINVU_Mes_Corriente!BE163*SALUD_Mes_Constante!$BC$1</f>
        <v>564261.69273374672</v>
      </c>
      <c r="BF163" s="8">
        <f>+MINVU_Mes_Corriente!BF163*SALUD_Mes_Constante!$BC$1</f>
        <v>564261.69273374672</v>
      </c>
      <c r="BG163" s="8">
        <f>+MINVU_Mes_Corriente!BG163*SALUD_Mes_Constante!$BC$1</f>
        <v>564261.69273374672</v>
      </c>
      <c r="BH163" s="8">
        <f>+MINVU_Mes_Corriente!BH163*SALUD_Mes_Constante!$BC$1</f>
        <v>1006617.0051430835</v>
      </c>
      <c r="BI163" s="8">
        <f>+MINVU_Mes_Corriente!BI163*SALUD_Mes_Constante!$BC$1</f>
        <v>950881.86970855889</v>
      </c>
      <c r="BJ163" s="8">
        <f>+MINVU_Mes_Corriente!BJ163*SALUD_Mes_Constante!$BC$1</f>
        <v>1001311.7787155482</v>
      </c>
      <c r="BK163" s="8">
        <f>+MINVU_Mes_Corriente!BK163*SALUD_Mes_Constante!$BC$1</f>
        <v>10022428.589212716</v>
      </c>
      <c r="BL163" s="8">
        <f>+MINVU_Mes_Corriente!BL163*SALUD_Mes_Constante!$BC$1</f>
        <v>10022428.589212716</v>
      </c>
      <c r="BM163" s="8">
        <f>+MINVU_Mes_Corriente!BM163*SALUD_Mes_Constante!$BC$1</f>
        <v>10047297.738625877</v>
      </c>
      <c r="BN163" s="8">
        <f>+MINVU_Mes_Corriente!BN163*SALUD_Mes_Constante!$BC$1</f>
        <v>11260462.6833707</v>
      </c>
      <c r="BO163" s="9">
        <f t="shared" si="80"/>
        <v>11260462.6833707</v>
      </c>
      <c r="BP163" s="8">
        <f>+MINVU_Mes_Corriente!BP163*SALUD_Mes_Constante!$BP$1</f>
        <v>0</v>
      </c>
      <c r="BQ163" s="8">
        <f>+MINVU_Mes_Corriente!BQ163*SALUD_Mes_Constante!$BP$1</f>
        <v>0</v>
      </c>
      <c r="BR163" s="8">
        <f>+MINVU_Mes_Corriente!BR163*SALUD_Mes_Constante!$BP$1</f>
        <v>0</v>
      </c>
      <c r="BS163" s="8">
        <f>+MINVU_Mes_Corriente!BS163*SALUD_Mes_Constante!$BP$1</f>
        <v>1427123.062740077</v>
      </c>
      <c r="BT163" s="8">
        <f>+MINVU_Mes_Corriente!BT163*SALUD_Mes_Constante!$BP$1</f>
        <v>2535735.7382842512</v>
      </c>
      <c r="BU163" s="8">
        <f>+MINVU_Mes_Corriente!BU163*SALUD_Mes_Constante!$BP$1</f>
        <v>2535735.7382842512</v>
      </c>
      <c r="BV163" s="8">
        <f>+MINVU_Mes_Corriente!BV163*SALUD_Mes_Constante!$BP$1</f>
        <v>2655303.3910371321</v>
      </c>
      <c r="BW163" s="8">
        <f>+MINVU_Mes_Corriente!BW163*SALUD_Mes_Constante!$BP$1</f>
        <v>2713360.8814340592</v>
      </c>
      <c r="BX163" s="8">
        <f>+MINVU_Mes_Corriente!BX163*SALUD_Mes_Constante!$BP$1</f>
        <v>4819801.3490396934</v>
      </c>
      <c r="BY163" s="8">
        <f>+MINVU_Mes_Corriente!BY163*SALUD_Mes_Constante!$BP$1</f>
        <v>4819801.3490396934</v>
      </c>
      <c r="BZ163" s="8">
        <f>+MINVU_Mes_Corriente!BZ163*SALUD_Mes_Constante!$BP$1</f>
        <v>4819801.3490396934</v>
      </c>
      <c r="CA163" s="8">
        <f>+MINVU_Mes_Corriente!CA163*SALUD_Mes_Constante!$BP$1</f>
        <v>4819801.3490396934</v>
      </c>
      <c r="CB163" s="9">
        <f t="shared" si="81"/>
        <v>4819801.3490396934</v>
      </c>
      <c r="CC163" s="8">
        <f>+MINVU_Mes_Corriente!CC163*SALUD_Mes_Constante!$CC$1</f>
        <v>107510.31853785901</v>
      </c>
      <c r="CD163" s="8">
        <f>+MINVU_Mes_Corriente!CD163*SALUD_Mes_Constante!$CC$1</f>
        <v>107510.31853785901</v>
      </c>
      <c r="CE163" s="8">
        <f>+MINVU_Mes_Corriente!CE163*SALUD_Mes_Constante!$CC$1</f>
        <v>107510.31853785901</v>
      </c>
      <c r="CF163" s="8">
        <f>+MINVU_Mes_Corriente!CF163*SALUD_Mes_Constante!$CC$1</f>
        <v>384665.02424468484</v>
      </c>
      <c r="CG163" s="8">
        <f>+MINVU_Mes_Corriente!CG163*SALUD_Mes_Constante!$CC$1</f>
        <v>416492.11040656478</v>
      </c>
      <c r="CH163" s="8">
        <f>+MINVU_Mes_Corriente!CH163*SALUD_Mes_Constante!$CC$1</f>
        <v>811550.6229019023</v>
      </c>
      <c r="CI163" s="8">
        <f>+MINVU_Mes_Corriente!CI163*SALUD_Mes_Constante!$CC$1</f>
        <v>811550.6229019023</v>
      </c>
      <c r="CJ163" s="8">
        <f>+MINVU_Mes_Corriente!CJ163*SALUD_Mes_Constante!$CC$1</f>
        <v>1216487.7717269678</v>
      </c>
      <c r="CK163" s="8">
        <f>+MINVU_Mes_Corriente!CK163*SALUD_Mes_Constante!$CC$1</f>
        <v>1368363.6546064902</v>
      </c>
      <c r="CL163" s="8">
        <f>+MINVU_Mes_Corriente!CL163*SALUD_Mes_Constante!$CC$1</f>
        <v>1821643.9045132415</v>
      </c>
      <c r="CM163" s="8">
        <f>+MINVU_Mes_Corriente!CM163*SALUD_Mes_Constante!$CC$1</f>
        <v>1821643.9045132415</v>
      </c>
      <c r="CN163" s="8">
        <f>+MINVU_Mes_Corriente!CN163*SALUD_Mes_Constante!$CC$1</f>
        <v>1821643.9045132415</v>
      </c>
      <c r="CO163" s="9">
        <f t="shared" si="82"/>
        <v>1821643.9045132415</v>
      </c>
      <c r="CP163" s="8">
        <f>+MINVU_Mes_Corriente!CP163*SALUD_Mes_Constante!$CP$1</f>
        <v>422202.44129930384</v>
      </c>
      <c r="CQ163" s="8">
        <f>+MINVU_Mes_Corriente!CQ163*SALUD_Mes_Constante!$CP$1</f>
        <v>422202.44129930384</v>
      </c>
      <c r="CR163" s="8">
        <f>+MINVU_Mes_Corriente!CR163*SALUD_Mes_Constante!$CP$1</f>
        <v>422202.44129930384</v>
      </c>
      <c r="CS163" s="8">
        <f>+MINVU_Mes_Corriente!CS163*SALUD_Mes_Constante!$CP$1</f>
        <v>422202.44129930384</v>
      </c>
      <c r="CT163" s="8">
        <f>+MINVU_Mes_Corriente!CT163*SALUD_Mes_Constante!$CP$1</f>
        <v>902850.10997679795</v>
      </c>
      <c r="CU163" s="8">
        <f>+MINVU_Mes_Corriente!CU163*SALUD_Mes_Constante!$CP$1</f>
        <v>929308.26821345685</v>
      </c>
      <c r="CV163" s="8">
        <f>+MINVU_Mes_Corriente!CV163*SALUD_Mes_Constante!$CP$1</f>
        <v>929308.26821345685</v>
      </c>
      <c r="CW163" s="8">
        <f>+MINVU_Mes_Corriente!CW163*SALUD_Mes_Constante!$CP$1</f>
        <v>2161401.0932714613</v>
      </c>
      <c r="CX163" s="8">
        <f>+MINVU_Mes_Corriente!CX163*SALUD_Mes_Constante!$CP$1</f>
        <v>2161401.0932714613</v>
      </c>
      <c r="CY163" s="8">
        <f>+MINVU_Mes_Corriente!CY163*SALUD_Mes_Constante!$CP$1</f>
        <v>2278233.2422273778</v>
      </c>
      <c r="CZ163" s="8">
        <f>+MINVU_Mes_Corriente!CZ163*SALUD_Mes_Constante!$CP$1</f>
        <v>2320286.9345707651</v>
      </c>
      <c r="DA163" s="8">
        <f>+MINVU_Mes_Corriente!DA163*SALUD_Mes_Constante!$CP$1</f>
        <v>2060448.4023201852</v>
      </c>
      <c r="DB163" s="9">
        <f t="shared" si="83"/>
        <v>2060448.4023201852</v>
      </c>
      <c r="DC163" s="8">
        <f>+MINVU_Mes_Corriente!DC163*SALUD_Mes_Constante!$DC$1</f>
        <v>507611.10256146512</v>
      </c>
      <c r="DD163" s="8">
        <f>+MINVU_Mes_Corriente!DD163*SALUD_Mes_Constante!$DC$1</f>
        <v>507611.10256146512</v>
      </c>
      <c r="DE163" s="8">
        <f>+MINVU_Mes_Corriente!DE163*SALUD_Mes_Constante!$DC$1</f>
        <v>507611.10256146512</v>
      </c>
      <c r="DF163" s="8">
        <f>+MINVU_Mes_Corriente!DF163*SALUD_Mes_Constante!$DC$1</f>
        <v>507611.10256146512</v>
      </c>
      <c r="DG163" s="8">
        <f>+MINVU_Mes_Corriente!DG163*SALUD_Mes_Constante!$DC$1</f>
        <v>507611.10256146512</v>
      </c>
      <c r="DH163" s="8">
        <f>+MINVU_Mes_Corriente!DH163*SALUD_Mes_Constante!$DC$1</f>
        <v>507611.10256146512</v>
      </c>
      <c r="DI163" s="8">
        <f>+MINVU_Mes_Corriente!DI163*SALUD_Mes_Constante!$DC$1</f>
        <v>711503.90741693275</v>
      </c>
      <c r="DJ163" s="8">
        <f>+MINVU_Mes_Corriente!DJ163*SALUD_Mes_Constante!$DC$1</f>
        <v>1732741.5381133636</v>
      </c>
      <c r="DK163" s="8">
        <f>+MINVU_Mes_Corriente!DK163*SALUD_Mes_Constante!$DC$1</f>
        <v>3427017.8465178497</v>
      </c>
      <c r="DL163" s="8">
        <f>+MINVU_Mes_Corriente!DL163*SALUD_Mes_Constante!$DC$1</f>
        <v>3427017.8465178497</v>
      </c>
      <c r="DM163" s="8">
        <f>+MINVU_Mes_Corriente!DM163*SALUD_Mes_Constante!$DC$1</f>
        <v>3427017.8465178497</v>
      </c>
      <c r="DN163" s="8">
        <f>+MINVU_Mes_Corriente!DN163*SALUD_Mes_Constante!$DC$1</f>
        <v>3224288.338648289</v>
      </c>
      <c r="DO163" s="9">
        <f t="shared" si="84"/>
        <v>3224288.338648289</v>
      </c>
      <c r="DP163" s="8">
        <f>+MINVU_Mes_Corriente!DP163*SALUD_Mes_Constante!$DP$1</f>
        <v>519137.4709026129</v>
      </c>
      <c r="DQ163" s="8">
        <f>+MINVU_Mes_Corriente!DQ163*SALUD_Mes_Constante!$DP$1</f>
        <v>1654427.160926366</v>
      </c>
      <c r="DR163" s="8">
        <f>+MINVU_Mes_Corriente!DR163*SALUD_Mes_Constante!$DP$1</f>
        <v>1654427.160926366</v>
      </c>
      <c r="DS163" s="8">
        <f>+MINVU_Mes_Corriente!DS163*SALUD_Mes_Constante!$DP$1</f>
        <v>1657130.5457244657</v>
      </c>
      <c r="DT163" s="8">
        <f>+MINVU_Mes_Corriente!DT163*SALUD_Mes_Constante!$DP$1</f>
        <v>1657130.5457244657</v>
      </c>
      <c r="DU163" s="8">
        <f>+MINVU_Mes_Corriente!DU163*SALUD_Mes_Constante!$DP$1</f>
        <v>1827541.1098574824</v>
      </c>
      <c r="DV163" s="8">
        <f>+MINVU_Mes_Corriente!DV163*SALUD_Mes_Constante!$DP$1</f>
        <v>1890005.5190023754</v>
      </c>
      <c r="DW163" s="8">
        <f>+MINVU_Mes_Corriente!DW163*SALUD_Mes_Constante!$DP$1</f>
        <v>1927888.5908551072</v>
      </c>
      <c r="DX163" s="8">
        <f>+MINVU_Mes_Corriente!DX163*SALUD_Mes_Constante!$DP$1</f>
        <v>3553119.1959619955</v>
      </c>
      <c r="DY163" s="8">
        <f>+MINVU_Mes_Corriente!DY163*SALUD_Mes_Constante!$DP$1</f>
        <v>3553119.1959619955</v>
      </c>
      <c r="DZ163" s="8">
        <f>+MINVU_Mes_Corriente!DZ163*SALUD_Mes_Constante!$DP$1</f>
        <v>3553119.1959619955</v>
      </c>
      <c r="EA163" s="8">
        <f>+MINVU_Mes_Corriente!EA163*SALUD_Mes_Constante!$DP$1</f>
        <v>3553119.1959619955</v>
      </c>
      <c r="EB163" s="9">
        <f t="shared" si="85"/>
        <v>3553119.1959619955</v>
      </c>
      <c r="EC163" s="8">
        <f>+MINVU_Mes_Corriente!EC163*SALUD_Mes_Constante!$EC$1</f>
        <v>454887.59306949429</v>
      </c>
      <c r="ED163" s="8">
        <f>+MINVU_Mes_Corriente!ED163*SALUD_Mes_Constante!$EC$1</f>
        <v>454887.59306949429</v>
      </c>
      <c r="EE163" s="8">
        <f>+MINVU_Mes_Corriente!EE163*SALUD_Mes_Constante!$EC$1</f>
        <v>2336608.1673925384</v>
      </c>
      <c r="EF163" s="8">
        <f>+MINVU_Mes_Corriente!EF163*SALUD_Mes_Constante!$EC$1</f>
        <v>2772553.7053588326</v>
      </c>
      <c r="EG163" s="8">
        <f>+MINVU_Mes_Corriente!EG163*SALUD_Mes_Constante!$EC$1</f>
        <v>2772553.7053588326</v>
      </c>
      <c r="EH163" s="8">
        <f>+MINVU_Mes_Corriente!EH163*SALUD_Mes_Constante!$EC$1</f>
        <v>2772553.7053588326</v>
      </c>
      <c r="EI163" s="8">
        <f>+MINVU_Mes_Corriente!EI163*SALUD_Mes_Constante!$EC$1</f>
        <v>2772553.7053588326</v>
      </c>
      <c r="EJ163" s="8">
        <f>+MINVU_Mes_Corriente!EJ163*SALUD_Mes_Constante!$EC$1</f>
        <v>2772553.7053588326</v>
      </c>
      <c r="EK163" s="8">
        <f>+MINVU_Mes_Corriente!EK163*SALUD_Mes_Constante!$EC$1</f>
        <v>2772553.7053588326</v>
      </c>
      <c r="EL163" s="8">
        <f>+MINVU_Mes_Corriente!EL163*SALUD_Mes_Constante!$EC$1</f>
        <v>2834319.4323044871</v>
      </c>
      <c r="EM163" s="8">
        <f>+MINVU_Mes_Corriente!EM163*SALUD_Mes_Constante!$EC$1</f>
        <v>2834319.4323044871</v>
      </c>
      <c r="EN163" s="8">
        <f>+MINVU_Mes_Corriente!EN163*SALUD_Mes_Constante!$EC$1</f>
        <v>2821494.1579246344</v>
      </c>
      <c r="EO163" s="9">
        <f t="shared" si="86"/>
        <v>2821494.1579246344</v>
      </c>
      <c r="EP163" s="8">
        <f>+MINVU_Mes_Corriente!EP163*SALUD_Mes_Constante!$EP$1</f>
        <v>458202</v>
      </c>
      <c r="EQ163" s="8">
        <f>+MINVU_Mes_Corriente!EQ163*SALUD_Mes_Constante!$EP$1</f>
        <v>790158</v>
      </c>
      <c r="ER163" s="8">
        <f>+MINVU_Mes_Corriente!ER163*SALUD_Mes_Constante!$EP$1</f>
        <v>790158</v>
      </c>
      <c r="ES163" s="8">
        <f>+MINVU_Mes_Corriente!ES163*SALUD_Mes_Constante!$EP$1</f>
        <v>1671529</v>
      </c>
      <c r="ET163" s="8">
        <f>+MINVU_Mes_Corriente!ET163*SALUD_Mes_Constante!$EP$1</f>
        <v>1721513</v>
      </c>
      <c r="EU163" s="8">
        <f>+MINVU_Mes_Corriente!EU163*SALUD_Mes_Constante!$EP$1</f>
        <v>1721513</v>
      </c>
      <c r="EV163" s="8">
        <f>+MINVU_Mes_Corriente!EV163*SALUD_Mes_Constante!$EP$1</f>
        <v>1776874</v>
      </c>
      <c r="EW163" s="8">
        <f>+MINVU_Mes_Corriente!EW163*SALUD_Mes_Constante!$EP$1</f>
        <v>1776874</v>
      </c>
      <c r="EX163" s="8">
        <f>+MINVU_Mes_Corriente!EX163*SALUD_Mes_Constante!$EP$1</f>
        <v>1776874</v>
      </c>
      <c r="EY163" s="8">
        <f>+MINVU_Mes_Corriente!EY163*SALUD_Mes_Constante!$EP$1</f>
        <v>1776874</v>
      </c>
      <c r="EZ163" s="8">
        <f>+MINVU_Mes_Corriente!EZ163*SALUD_Mes_Constante!$EP$1</f>
        <v>1776874</v>
      </c>
      <c r="FA163" s="8">
        <f>+MINVU_Mes_Corriente!FA163*SALUD_Mes_Constante!$EP$1</f>
        <v>1708295</v>
      </c>
      <c r="FB163" s="9">
        <f t="shared" si="87"/>
        <v>1708295</v>
      </c>
      <c r="FC163" s="8">
        <f>+MINVU_Mes_Corriente!FC163*SALUD_Mes_Constante!$FC$1</f>
        <v>472406</v>
      </c>
      <c r="FD163" s="8">
        <f>+MINVU_Mes_Corriente!FD163*SALUD_Mes_Constante!$FC$1</f>
        <v>472406</v>
      </c>
      <c r="FE163" s="8">
        <f>+MINVU_Mes_Corriente!FE163*SALUD_Mes_Constante!$FC$1</f>
        <v>472406</v>
      </c>
      <c r="FF163" s="8">
        <f>+MINVU_Mes_Corriente!FF163*SALUD_Mes_Constante!$FC$1</f>
        <v>472406</v>
      </c>
      <c r="FG163" s="8">
        <f>+MINVU_Mes_Corriente!FG163*SALUD_Mes_Constante!$FC$1</f>
        <v>472406</v>
      </c>
      <c r="FH163" s="8">
        <f>+MINVU_Mes_Corriente!FH163*SALUD_Mes_Constante!$FC$1</f>
        <v>472406</v>
      </c>
      <c r="FI163" s="8">
        <f>+MINVU_Mes_Corriente!FI163*SALUD_Mes_Constante!$FC$1</f>
        <v>1260420</v>
      </c>
      <c r="FJ163" s="8"/>
      <c r="FK163" s="8"/>
      <c r="FL163" s="8"/>
      <c r="FM163" s="8"/>
      <c r="FN163" s="8"/>
      <c r="FO163" s="9">
        <f t="shared" si="88"/>
        <v>1260420</v>
      </c>
    </row>
    <row r="164" spans="2:171" ht="14.25" customHeight="1" x14ac:dyDescent="0.3">
      <c r="B164" s="7" t="s">
        <v>52</v>
      </c>
      <c r="C164" s="8">
        <f>+MINVU_Mes_Corriente!C164*SALUD_Mes_Constante!$C$1</f>
        <v>578946.7518908499</v>
      </c>
      <c r="D164" s="8">
        <f>+MINVU_Mes_Corriente!D164*SALUD_Mes_Constante!$C$1</f>
        <v>578946.7518908499</v>
      </c>
      <c r="E164" s="8">
        <f>+MINVU_Mes_Corriente!E164*SALUD_Mes_Constante!$C$1</f>
        <v>578946.7518908499</v>
      </c>
      <c r="F164" s="8">
        <f>+MINVU_Mes_Corriente!F164*SALUD_Mes_Constante!$C$1</f>
        <v>578946.7518908499</v>
      </c>
      <c r="G164" s="8">
        <f>+MINVU_Mes_Corriente!G164*SALUD_Mes_Constante!$C$1</f>
        <v>612812.00474566221</v>
      </c>
      <c r="H164" s="8">
        <f>+MINVU_Mes_Corriente!H164*SALUD_Mes_Constante!$C$1</f>
        <v>673562.05546492664</v>
      </c>
      <c r="I164" s="8">
        <f>+MINVU_Mes_Corriente!I164*SALUD_Mes_Constante!$C$1</f>
        <v>673562.05546492664</v>
      </c>
      <c r="J164" s="8">
        <f>+MINVU_Mes_Corriente!J164*SALUD_Mes_Constante!$C$1</f>
        <v>673562.05546492664</v>
      </c>
      <c r="K164" s="8">
        <f>+MINVU_Mes_Corriente!K164*SALUD_Mes_Constante!$C$1</f>
        <v>814797.98368678638</v>
      </c>
      <c r="L164" s="8">
        <f>+MINVU_Mes_Corriente!L164*SALUD_Mes_Constante!$C$1</f>
        <v>814797.98368678638</v>
      </c>
      <c r="M164" s="8">
        <f>+MINVU_Mes_Corriente!M164*SALUD_Mes_Constante!$C$1</f>
        <v>7792420.6074447585</v>
      </c>
      <c r="N164" s="8">
        <f>+MINVU_Mes_Corriente!N164*SALUD_Mes_Constante!$C$1</f>
        <v>7840731.2540412294</v>
      </c>
      <c r="O164" s="9">
        <f t="shared" si="76"/>
        <v>7840731.2540412294</v>
      </c>
      <c r="P164" s="8">
        <f>+MINVU_Mes_Corriente!P164*SALUD_Mes_Constante!$P$1</f>
        <v>571239.34394090052</v>
      </c>
      <c r="Q164" s="8">
        <f>+MINVU_Mes_Corriente!Q164*SALUD_Mes_Constante!$P$1</f>
        <v>571239.34394090052</v>
      </c>
      <c r="R164" s="8">
        <f>+MINVU_Mes_Corriente!R164*SALUD_Mes_Constante!$P$1</f>
        <v>2280097.4090069602</v>
      </c>
      <c r="S164" s="8">
        <f>+MINVU_Mes_Corriente!S164*SALUD_Mes_Constante!$P$1</f>
        <v>2987411.165506463</v>
      </c>
      <c r="T164" s="8">
        <f>+MINVU_Mes_Corriente!T164*SALUD_Mes_Constante!$P$1</f>
        <v>3632811.956812046</v>
      </c>
      <c r="U164" s="8">
        <f>+MINVU_Mes_Corriente!U164*SALUD_Mes_Constante!$P$1</f>
        <v>3632811.956812046</v>
      </c>
      <c r="V164" s="8">
        <f>+MINVU_Mes_Corriente!V164*SALUD_Mes_Constante!$P$1</f>
        <v>3648334.0480181831</v>
      </c>
      <c r="W164" s="8">
        <f>+MINVU_Mes_Corriente!W164*SALUD_Mes_Constante!$P$1</f>
        <v>3770645.022304303</v>
      </c>
      <c r="X164" s="8">
        <f>+MINVU_Mes_Corriente!X164*SALUD_Mes_Constante!$P$1</f>
        <v>3770645.022304303</v>
      </c>
      <c r="Y164" s="8">
        <f>+MINVU_Mes_Corriente!Y164*SALUD_Mes_Constante!$P$1</f>
        <v>4081086.8464270476</v>
      </c>
      <c r="Z164" s="8">
        <f>+MINVU_Mes_Corriente!Z164*SALUD_Mes_Constante!$P$1</f>
        <v>7357283.414405453</v>
      </c>
      <c r="AA164" s="8">
        <f>+MINVU_Mes_Corriente!AA164*SALUD_Mes_Constante!$P$1</f>
        <v>6444391.9775536275</v>
      </c>
      <c r="AB164" s="9">
        <f t="shared" si="77"/>
        <v>6444391.9775536275</v>
      </c>
      <c r="AC164" s="8">
        <f>+MINVU_Mes_Corriente!AC164*SALUD_Mes_Constante!$AC$1</f>
        <v>577362.54696361872</v>
      </c>
      <c r="AD164" s="8">
        <f>+MINVU_Mes_Corriente!AD164*SALUD_Mes_Constante!$AC$1</f>
        <v>1106356.8753631208</v>
      </c>
      <c r="AE164" s="8">
        <f>+MINVU_Mes_Corriente!AE164*SALUD_Mes_Constante!$AC$1</f>
        <v>1209775.2665652235</v>
      </c>
      <c r="AF164" s="8">
        <f>+MINVU_Mes_Corriente!AF164*SALUD_Mes_Constante!$AC$1</f>
        <v>1209775.2665652235</v>
      </c>
      <c r="AG164" s="8">
        <f>+MINVU_Mes_Corriente!AG164*SALUD_Mes_Constante!$AC$1</f>
        <v>1209775.2665652235</v>
      </c>
      <c r="AH164" s="8">
        <f>+MINVU_Mes_Corriente!AH164*SALUD_Mes_Constante!$AC$1</f>
        <v>1215266.2276940101</v>
      </c>
      <c r="AI164" s="8">
        <f>+MINVU_Mes_Corriente!AI164*SALUD_Mes_Constante!$AC$1</f>
        <v>1215266.2276940101</v>
      </c>
      <c r="AJ164" s="8">
        <f>+MINVU_Mes_Corriente!AJ164*SALUD_Mes_Constante!$AC$1</f>
        <v>1215266.2276940101</v>
      </c>
      <c r="AK164" s="8">
        <f>+MINVU_Mes_Corriente!AK164*SALUD_Mes_Constante!$AC$1</f>
        <v>1215266.2276940101</v>
      </c>
      <c r="AL164" s="8">
        <f>+MINVU_Mes_Corriente!AL164*SALUD_Mes_Constante!$AC$1</f>
        <v>1215266.2276940101</v>
      </c>
      <c r="AM164" s="8">
        <f>+MINVU_Mes_Corriente!AM164*SALUD_Mes_Constante!$AC$1</f>
        <v>2236219.2358555817</v>
      </c>
      <c r="AN164" s="8">
        <f>+MINVU_Mes_Corriente!AN164*SALUD_Mes_Constante!$AC$1</f>
        <v>2236219.2358555817</v>
      </c>
      <c r="AO164" s="9">
        <f t="shared" si="78"/>
        <v>2236219.2358555817</v>
      </c>
      <c r="AP164" s="8">
        <f>+MINVU_Mes_Corriente!AP164*SALUD_Mes_Constante!$AP$1</f>
        <v>581491.38536453398</v>
      </c>
      <c r="AQ164" s="8">
        <f>+MINVU_Mes_Corriente!AQ164*SALUD_Mes_Constante!$AP$1</f>
        <v>581491.38536453398</v>
      </c>
      <c r="AR164" s="8">
        <f>+MINVU_Mes_Corriente!AR164*SALUD_Mes_Constante!$AP$1</f>
        <v>581491.38536453398</v>
      </c>
      <c r="AS164" s="8">
        <f>+MINVU_Mes_Corriente!AS164*SALUD_Mes_Constante!$AP$1</f>
        <v>581491.38536453398</v>
      </c>
      <c r="AT164" s="8">
        <f>+MINVU_Mes_Corriente!AT164*SALUD_Mes_Constante!$AP$1</f>
        <v>581491.38536453398</v>
      </c>
      <c r="AU164" s="8">
        <f>+MINVU_Mes_Corriente!AU164*SALUD_Mes_Constante!$AP$1</f>
        <v>581491.38536453398</v>
      </c>
      <c r="AV164" s="8">
        <f>+MINVU_Mes_Corriente!AV164*SALUD_Mes_Constante!$AP$1</f>
        <v>603331.56228865136</v>
      </c>
      <c r="AW164" s="8">
        <f>+MINVU_Mes_Corriente!AW164*SALUD_Mes_Constante!$AP$1</f>
        <v>603331.56228865136</v>
      </c>
      <c r="AX164" s="8">
        <f>+MINVU_Mes_Corriente!AX164*SALUD_Mes_Constante!$AP$1</f>
        <v>721562.32111456781</v>
      </c>
      <c r="AY164" s="8">
        <f>+MINVU_Mes_Corriente!AY164*SALUD_Mes_Constante!$AP$1</f>
        <v>721562.32111456781</v>
      </c>
      <c r="AZ164" s="8">
        <f>+MINVU_Mes_Corriente!AZ164*SALUD_Mes_Constante!$AP$1</f>
        <v>721562.32111456781</v>
      </c>
      <c r="BA164" s="8">
        <f>+MINVU_Mes_Corriente!BA164*SALUD_Mes_Constante!$AP$1</f>
        <v>721562.32111456781</v>
      </c>
      <c r="BB164" s="9">
        <f t="shared" si="79"/>
        <v>721562.32111456781</v>
      </c>
      <c r="BC164" s="8">
        <f>+MINVU_Mes_Corriente!BC164*SALUD_Mes_Constante!$BC$1</f>
        <v>581661.45219570107</v>
      </c>
      <c r="BD164" s="8">
        <f>+MINVU_Mes_Corriente!BD164*SALUD_Mes_Constante!$BC$1</f>
        <v>581661.45219570107</v>
      </c>
      <c r="BE164" s="8">
        <f>+MINVU_Mes_Corriente!BE164*SALUD_Mes_Constante!$BC$1</f>
        <v>581661.45219570107</v>
      </c>
      <c r="BF164" s="8">
        <f>+MINVU_Mes_Corriente!BF164*SALUD_Mes_Constante!$BC$1</f>
        <v>581661.45219570107</v>
      </c>
      <c r="BG164" s="8">
        <f>+MINVU_Mes_Corriente!BG164*SALUD_Mes_Constante!$BC$1</f>
        <v>581661.45219570107</v>
      </c>
      <c r="BH164" s="8">
        <f>+MINVU_Mes_Corriente!BH164*SALUD_Mes_Constante!$BC$1</f>
        <v>581661.45219570107</v>
      </c>
      <c r="BI164" s="8">
        <f>+MINVU_Mes_Corriente!BI164*SALUD_Mes_Constante!$BC$1</f>
        <v>522360.20176711079</v>
      </c>
      <c r="BJ164" s="8">
        <f>+MINVU_Mes_Corriente!BJ164*SALUD_Mes_Constante!$BC$1</f>
        <v>3084597.2551760525</v>
      </c>
      <c r="BK164" s="8">
        <f>+MINVU_Mes_Corriente!BK164*SALUD_Mes_Constante!$BC$1</f>
        <v>3990816.9566134787</v>
      </c>
      <c r="BL164" s="8">
        <f>+MINVU_Mes_Corriente!BL164*SALUD_Mes_Constante!$BC$1</f>
        <v>3990816.9566134787</v>
      </c>
      <c r="BM164" s="8">
        <f>+MINVU_Mes_Corriente!BM164*SALUD_Mes_Constante!$BC$1</f>
        <v>4141017.3975998955</v>
      </c>
      <c r="BN164" s="8">
        <f>+MINVU_Mes_Corriente!BN164*SALUD_Mes_Constante!$BC$1</f>
        <v>4657336.0962679693</v>
      </c>
      <c r="BO164" s="9">
        <f t="shared" si="80"/>
        <v>4657336.0962679693</v>
      </c>
      <c r="BP164" s="8">
        <f>+MINVU_Mes_Corriente!BP164*SALUD_Mes_Constante!$BP$1</f>
        <v>0</v>
      </c>
      <c r="BQ164" s="8">
        <f>+MINVU_Mes_Corriente!BQ164*SALUD_Mes_Constante!$BP$1</f>
        <v>0</v>
      </c>
      <c r="BR164" s="8">
        <f>+MINVU_Mes_Corriente!BR164*SALUD_Mes_Constante!$BP$1</f>
        <v>0</v>
      </c>
      <c r="BS164" s="8">
        <f>+MINVU_Mes_Corriente!BS164*SALUD_Mes_Constante!$BP$1</f>
        <v>2724617.0396927018</v>
      </c>
      <c r="BT164" s="8">
        <f>+MINVU_Mes_Corriente!BT164*SALUD_Mes_Constante!$BP$1</f>
        <v>2787703.8476312421</v>
      </c>
      <c r="BU164" s="8">
        <f>+MINVU_Mes_Corriente!BU164*SALUD_Mes_Constante!$BP$1</f>
        <v>2787703.8476312421</v>
      </c>
      <c r="BV164" s="8">
        <f>+MINVU_Mes_Corriente!BV164*SALUD_Mes_Constante!$BP$1</f>
        <v>2828973.629961588</v>
      </c>
      <c r="BW164" s="8">
        <f>+MINVU_Mes_Corriente!BW164*SALUD_Mes_Constante!$BP$1</f>
        <v>2933298.0437900131</v>
      </c>
      <c r="BX164" s="8">
        <f>+MINVU_Mes_Corriente!BX164*SALUD_Mes_Constante!$BP$1</f>
        <v>4352565.8581306022</v>
      </c>
      <c r="BY164" s="8">
        <f>+MINVU_Mes_Corriente!BY164*SALUD_Mes_Constante!$BP$1</f>
        <v>4352565.8581306022</v>
      </c>
      <c r="BZ164" s="8">
        <f>+MINVU_Mes_Corriente!BZ164*SALUD_Mes_Constante!$BP$1</f>
        <v>4352565.8581306022</v>
      </c>
      <c r="CA164" s="8">
        <f>+MINVU_Mes_Corriente!CA164*SALUD_Mes_Constante!$BP$1</f>
        <v>4352565.8581306022</v>
      </c>
      <c r="CB164" s="9">
        <f t="shared" si="81"/>
        <v>4352565.8581306022</v>
      </c>
      <c r="CC164" s="8">
        <f>+MINVU_Mes_Corriente!CC164*SALUD_Mes_Constante!$CC$1</f>
        <v>147921.43976128311</v>
      </c>
      <c r="CD164" s="8">
        <f>+MINVU_Mes_Corriente!CD164*SALUD_Mes_Constante!$CC$1</f>
        <v>147921.43976128311</v>
      </c>
      <c r="CE164" s="8">
        <f>+MINVU_Mes_Corriente!CE164*SALUD_Mes_Constante!$CC$1</f>
        <v>147921.43976128311</v>
      </c>
      <c r="CF164" s="8">
        <f>+MINVU_Mes_Corriente!CF164*SALUD_Mes_Constante!$CC$1</f>
        <v>326391.66579634469</v>
      </c>
      <c r="CG164" s="8">
        <f>+MINVU_Mes_Corriente!CG164*SALUD_Mes_Constante!$CC$1</f>
        <v>326391.66579634469</v>
      </c>
      <c r="CH164" s="8">
        <f>+MINVU_Mes_Corriente!CH164*SALUD_Mes_Constante!$CC$1</f>
        <v>2816036.2402088777</v>
      </c>
      <c r="CI164" s="8">
        <f>+MINVU_Mes_Corriente!CI164*SALUD_Mes_Constante!$CC$1</f>
        <v>2816036.2402088777</v>
      </c>
      <c r="CJ164" s="8">
        <f>+MINVU_Mes_Corriente!CJ164*SALUD_Mes_Constante!$CC$1</f>
        <v>2856110.466243939</v>
      </c>
      <c r="CK164" s="8">
        <f>+MINVU_Mes_Corriente!CK164*SALUD_Mes_Constante!$CC$1</f>
        <v>3190758.7810518467</v>
      </c>
      <c r="CL164" s="8">
        <f>+MINVU_Mes_Corriente!CL164*SALUD_Mes_Constante!$CC$1</f>
        <v>3342492.0268556513</v>
      </c>
      <c r="CM164" s="8">
        <f>+MINVU_Mes_Corriente!CM164*SALUD_Mes_Constante!$CC$1</f>
        <v>3342492.0268556513</v>
      </c>
      <c r="CN164" s="8">
        <f>+MINVU_Mes_Corriente!CN164*SALUD_Mes_Constante!$CC$1</f>
        <v>3342492.0268556513</v>
      </c>
      <c r="CO164" s="9">
        <f t="shared" si="82"/>
        <v>3342492.0268556513</v>
      </c>
      <c r="CP164" s="8">
        <f>+MINVU_Mes_Corriente!CP164*SALUD_Mes_Constante!$CP$1</f>
        <v>604466.37354988384</v>
      </c>
      <c r="CQ164" s="8">
        <f>+MINVU_Mes_Corriente!CQ164*SALUD_Mes_Constante!$CP$1</f>
        <v>604466.37354988384</v>
      </c>
      <c r="CR164" s="8">
        <f>+MINVU_Mes_Corriente!CR164*SALUD_Mes_Constante!$CP$1</f>
        <v>604466.37354988384</v>
      </c>
      <c r="CS164" s="8">
        <f>+MINVU_Mes_Corriente!CS164*SALUD_Mes_Constante!$CP$1</f>
        <v>604466.37354988384</v>
      </c>
      <c r="CT164" s="8">
        <f>+MINVU_Mes_Corriente!CT164*SALUD_Mes_Constante!$CP$1</f>
        <v>754510.01345707639</v>
      </c>
      <c r="CU164" s="8">
        <f>+MINVU_Mes_Corriente!CU164*SALUD_Mes_Constante!$CP$1</f>
        <v>757526.70487238967</v>
      </c>
      <c r="CV164" s="8">
        <f>+MINVU_Mes_Corriente!CV164*SALUD_Mes_Constante!$CP$1</f>
        <v>757526.70487238967</v>
      </c>
      <c r="CW164" s="8">
        <f>+MINVU_Mes_Corriente!CW164*SALUD_Mes_Constante!$CP$1</f>
        <v>762850.27795823652</v>
      </c>
      <c r="CX164" s="8">
        <f>+MINVU_Mes_Corriente!CX164*SALUD_Mes_Constante!$CP$1</f>
        <v>762850.27795823652</v>
      </c>
      <c r="CY164" s="8">
        <f>+MINVU_Mes_Corriente!CY164*SALUD_Mes_Constante!$CP$1</f>
        <v>762850.27795823652</v>
      </c>
      <c r="CZ164" s="8">
        <f>+MINVU_Mes_Corriente!CZ164*SALUD_Mes_Constante!$CP$1</f>
        <v>762850.27795823652</v>
      </c>
      <c r="DA164" s="8">
        <f>+MINVU_Mes_Corriente!DA164*SALUD_Mes_Constante!$CP$1</f>
        <v>759833.58654292324</v>
      </c>
      <c r="DB164" s="9">
        <f t="shared" si="83"/>
        <v>759833.58654292324</v>
      </c>
      <c r="DC164" s="8">
        <f>+MINVU_Mes_Corriente!DC164*SALUD_Mes_Constante!$DC$1</f>
        <v>732151.02396872779</v>
      </c>
      <c r="DD164" s="8">
        <f>+MINVU_Mes_Corriente!DD164*SALUD_Mes_Constante!$DC$1</f>
        <v>732151.02396872779</v>
      </c>
      <c r="DE164" s="8">
        <f>+MINVU_Mes_Corriente!DE164*SALUD_Mes_Constante!$DC$1</f>
        <v>732151.02396872779</v>
      </c>
      <c r="DF164" s="8">
        <f>+MINVU_Mes_Corriente!DF164*SALUD_Mes_Constante!$DC$1</f>
        <v>732151.02396872779</v>
      </c>
      <c r="DG164" s="8">
        <f>+MINVU_Mes_Corriente!DG164*SALUD_Mes_Constante!$DC$1</f>
        <v>732151.02396872779</v>
      </c>
      <c r="DH164" s="8">
        <f>+MINVU_Mes_Corriente!DH164*SALUD_Mes_Constante!$DC$1</f>
        <v>732151.02396872779</v>
      </c>
      <c r="DI164" s="8">
        <f>+MINVU_Mes_Corriente!DI164*SALUD_Mes_Constante!$DC$1</f>
        <v>762160.71432980185</v>
      </c>
      <c r="DJ164" s="8">
        <f>+MINVU_Mes_Corriente!DJ164*SALUD_Mes_Constante!$DC$1</f>
        <v>2659810.5587902493</v>
      </c>
      <c r="DK164" s="8">
        <f>+MINVU_Mes_Corriente!DK164*SALUD_Mes_Constante!$DC$1</f>
        <v>2925816.6789424969</v>
      </c>
      <c r="DL164" s="8">
        <f>+MINVU_Mes_Corriente!DL164*SALUD_Mes_Constante!$DC$1</f>
        <v>2925816.6789424969</v>
      </c>
      <c r="DM164" s="8">
        <f>+MINVU_Mes_Corriente!DM164*SALUD_Mes_Constante!$DC$1</f>
        <v>2925816.6789424969</v>
      </c>
      <c r="DN164" s="8">
        <f>+MINVU_Mes_Corriente!DN164*SALUD_Mes_Constante!$DC$1</f>
        <v>2992806.8499125619</v>
      </c>
      <c r="DO164" s="9">
        <f t="shared" si="84"/>
        <v>2992806.8499125619</v>
      </c>
      <c r="DP164" s="8">
        <f>+MINVU_Mes_Corriente!DP164*SALUD_Mes_Constante!$DP$1</f>
        <v>748775.95190023759</v>
      </c>
      <c r="DQ164" s="8">
        <f>+MINVU_Mes_Corriente!DQ164*SALUD_Mes_Constante!$DP$1</f>
        <v>1410564.5504750595</v>
      </c>
      <c r="DR164" s="8">
        <f>+MINVU_Mes_Corriente!DR164*SALUD_Mes_Constante!$DP$1</f>
        <v>1424760.5647268409</v>
      </c>
      <c r="DS164" s="8">
        <f>+MINVU_Mes_Corriente!DS164*SALUD_Mes_Constante!$DP$1</f>
        <v>1427463.9495249407</v>
      </c>
      <c r="DT164" s="8">
        <f>+MINVU_Mes_Corriente!DT164*SALUD_Mes_Constante!$DP$1</f>
        <v>1427463.9495249407</v>
      </c>
      <c r="DU164" s="8">
        <f>+MINVU_Mes_Corriente!DU164*SALUD_Mes_Constante!$DP$1</f>
        <v>1734712.2826603327</v>
      </c>
      <c r="DV164" s="8">
        <f>+MINVU_Mes_Corriente!DV164*SALUD_Mes_Constante!$DP$1</f>
        <v>1770205.5623515442</v>
      </c>
      <c r="DW164" s="8">
        <f>+MINVU_Mes_Corriente!DW164*SALUD_Mes_Constante!$DP$1</f>
        <v>1837737.1959619955</v>
      </c>
      <c r="DX164" s="8">
        <f>+MINVU_Mes_Corriente!DX164*SALUD_Mes_Constante!$DP$1</f>
        <v>1838613.0926365796</v>
      </c>
      <c r="DY164" s="8">
        <f>+MINVU_Mes_Corriente!DY164*SALUD_Mes_Constante!$DP$1</f>
        <v>1838613.0926365796</v>
      </c>
      <c r="DZ164" s="8">
        <f>+MINVU_Mes_Corriente!DZ164*SALUD_Mes_Constante!$DP$1</f>
        <v>1838613.0926365796</v>
      </c>
      <c r="EA164" s="8">
        <f>+MINVU_Mes_Corriente!EA164*SALUD_Mes_Constante!$DP$1</f>
        <v>1838613.0926365796</v>
      </c>
      <c r="EB164" s="9">
        <f t="shared" si="85"/>
        <v>1838613.0926365796</v>
      </c>
      <c r="EC164" s="8">
        <f>+MINVU_Mes_Corriente!EC164*SALUD_Mes_Constante!$EC$1</f>
        <v>656105.16209051292</v>
      </c>
      <c r="ED164" s="8">
        <f>+MINVU_Mes_Corriente!ED164*SALUD_Mes_Constante!$EC$1</f>
        <v>656105.16209051292</v>
      </c>
      <c r="EE164" s="8">
        <f>+MINVU_Mes_Corriente!EE164*SALUD_Mes_Constante!$EC$1</f>
        <v>744218.66597235354</v>
      </c>
      <c r="EF164" s="8">
        <f>+MINVU_Mes_Corriente!EF164*SALUD_Mes_Constante!$EC$1</f>
        <v>1738109.1558416961</v>
      </c>
      <c r="EG164" s="8">
        <f>+MINVU_Mes_Corriente!EG164*SALUD_Mes_Constante!$EC$1</f>
        <v>2193090.8850596473</v>
      </c>
      <c r="EH164" s="8">
        <f>+MINVU_Mes_Corriente!EH164*SALUD_Mes_Constante!$EC$1</f>
        <v>2193090.8850596473</v>
      </c>
      <c r="EI164" s="8">
        <f>+MINVU_Mes_Corriente!EI164*SALUD_Mes_Constante!$EC$1</f>
        <v>2193090.8850596473</v>
      </c>
      <c r="EJ164" s="8">
        <f>+MINVU_Mes_Corriente!EJ164*SALUD_Mes_Constante!$EC$1</f>
        <v>2262859.2190872934</v>
      </c>
      <c r="EK164" s="8">
        <f>+MINVU_Mes_Corriente!EK164*SALUD_Mes_Constante!$EC$1</f>
        <v>2262859.2190872934</v>
      </c>
      <c r="EL164" s="8">
        <f>+MINVU_Mes_Corriente!EL164*SALUD_Mes_Constante!$EC$1</f>
        <v>2355898.8365839794</v>
      </c>
      <c r="EM164" s="8">
        <f>+MINVU_Mes_Corriente!EM164*SALUD_Mes_Constante!$EC$1</f>
        <v>2355898.8365839794</v>
      </c>
      <c r="EN164" s="8">
        <f>+MINVU_Mes_Corriente!EN164*SALUD_Mes_Constante!$EC$1</f>
        <v>1819283.4807801547</v>
      </c>
      <c r="EO164" s="9">
        <f t="shared" si="86"/>
        <v>1819283.4807801547</v>
      </c>
      <c r="EP164" s="8">
        <f>+MINVU_Mes_Corriente!EP164*SALUD_Mes_Constante!$EP$1</f>
        <v>660885</v>
      </c>
      <c r="EQ164" s="8">
        <f>+MINVU_Mes_Corriente!EQ164*SALUD_Mes_Constante!$EP$1</f>
        <v>1107600</v>
      </c>
      <c r="ER164" s="8">
        <f>+MINVU_Mes_Corriente!ER164*SALUD_Mes_Constante!$EP$1</f>
        <v>1107600</v>
      </c>
      <c r="ES164" s="8">
        <f>+MINVU_Mes_Corriente!ES164*SALUD_Mes_Constante!$EP$1</f>
        <v>1677844</v>
      </c>
      <c r="ET164" s="8">
        <f>+MINVU_Mes_Corriente!ET164*SALUD_Mes_Constante!$EP$1</f>
        <v>1697444</v>
      </c>
      <c r="EU164" s="8">
        <f>+MINVU_Mes_Corriente!EU164*SALUD_Mes_Constante!$EP$1</f>
        <v>1697444</v>
      </c>
      <c r="EV164" s="8">
        <f>+MINVU_Mes_Corriente!EV164*SALUD_Mes_Constante!$EP$1</f>
        <v>1752781</v>
      </c>
      <c r="EW164" s="8">
        <f>+MINVU_Mes_Corriente!EW164*SALUD_Mes_Constante!$EP$1</f>
        <v>1752781</v>
      </c>
      <c r="EX164" s="8">
        <f>+MINVU_Mes_Corriente!EX164*SALUD_Mes_Constante!$EP$1</f>
        <v>1752781</v>
      </c>
      <c r="EY164" s="8">
        <f>+MINVU_Mes_Corriente!EY164*SALUD_Mes_Constante!$EP$1</f>
        <v>1752781</v>
      </c>
      <c r="EZ164" s="8">
        <f>+MINVU_Mes_Corriente!EZ164*SALUD_Mes_Constante!$EP$1</f>
        <v>1752781</v>
      </c>
      <c r="FA164" s="8">
        <f>+MINVU_Mes_Corriente!FA164*SALUD_Mes_Constante!$EP$1</f>
        <v>1748472</v>
      </c>
      <c r="FB164" s="9">
        <f t="shared" si="87"/>
        <v>1748472</v>
      </c>
      <c r="FC164" s="8">
        <f>+MINVU_Mes_Corriente!FC164*SALUD_Mes_Constante!$FC$1</f>
        <v>681372</v>
      </c>
      <c r="FD164" s="8">
        <f>+MINVU_Mes_Corriente!FD164*SALUD_Mes_Constante!$FC$1</f>
        <v>794731</v>
      </c>
      <c r="FE164" s="8">
        <f>+MINVU_Mes_Corriente!FE164*SALUD_Mes_Constante!$FC$1</f>
        <v>794731</v>
      </c>
      <c r="FF164" s="8">
        <f>+MINVU_Mes_Corriente!FF164*SALUD_Mes_Constante!$FC$1</f>
        <v>794731</v>
      </c>
      <c r="FG164" s="8">
        <f>+MINVU_Mes_Corriente!FG164*SALUD_Mes_Constante!$FC$1</f>
        <v>794731</v>
      </c>
      <c r="FH164" s="8">
        <f>+MINVU_Mes_Corriente!FH164*SALUD_Mes_Constante!$FC$1</f>
        <v>794731</v>
      </c>
      <c r="FI164" s="8">
        <f>+MINVU_Mes_Corriente!FI164*SALUD_Mes_Constante!$FC$1</f>
        <v>901891</v>
      </c>
      <c r="FJ164" s="8"/>
      <c r="FK164" s="8"/>
      <c r="FL164" s="8"/>
      <c r="FM164" s="8"/>
      <c r="FN164" s="8"/>
      <c r="FO164" s="9">
        <f t="shared" si="88"/>
        <v>901891</v>
      </c>
    </row>
    <row r="165" spans="2:171" ht="14.25" customHeight="1" x14ac:dyDescent="0.3">
      <c r="B165" s="7" t="s">
        <v>53</v>
      </c>
      <c r="C165" s="8">
        <f>+MINVU_Mes_Corriente!C165*SALUD_Mes_Constante!$C$1</f>
        <v>464070.62909684126</v>
      </c>
      <c r="D165" s="8">
        <f>+MINVU_Mes_Corriente!D165*SALUD_Mes_Constante!$C$1</f>
        <v>776635.57051757385</v>
      </c>
      <c r="E165" s="8">
        <f>+MINVU_Mes_Corriente!E165*SALUD_Mes_Constante!$C$1</f>
        <v>776635.57051757385</v>
      </c>
      <c r="F165" s="8">
        <f>+MINVU_Mes_Corriente!F165*SALUD_Mes_Constante!$C$1</f>
        <v>776635.57051757385</v>
      </c>
      <c r="G165" s="8">
        <f>+MINVU_Mes_Corriente!G165*SALUD_Mes_Constante!$C$1</f>
        <v>807000.87379504682</v>
      </c>
      <c r="H165" s="8">
        <f>+MINVU_Mes_Corriente!H165*SALUD_Mes_Constante!$C$1</f>
        <v>807000.87379504682</v>
      </c>
      <c r="I165" s="8">
        <f>+MINVU_Mes_Corriente!I165*SALUD_Mes_Constante!$C$1</f>
        <v>807000.87379504682</v>
      </c>
      <c r="J165" s="8">
        <f>+MINVU_Mes_Corriente!J165*SALUD_Mes_Constante!$C$1</f>
        <v>807000.87379504682</v>
      </c>
      <c r="K165" s="8">
        <f>+MINVU_Mes_Corriente!K165*SALUD_Mes_Constante!$C$1</f>
        <v>877618.83790597669</v>
      </c>
      <c r="L165" s="8">
        <f>+MINVU_Mes_Corriente!L165*SALUD_Mes_Constante!$C$1</f>
        <v>877618.83790597669</v>
      </c>
      <c r="M165" s="8">
        <f>+MINVU_Mes_Corriente!M165*SALUD_Mes_Constante!$C$1</f>
        <v>1619737.7760640667</v>
      </c>
      <c r="N165" s="8">
        <f>+MINVU_Mes_Corriente!N165*SALUD_Mes_Constante!$C$1</f>
        <v>1652144.7165949875</v>
      </c>
      <c r="O165" s="9">
        <f t="shared" si="76"/>
        <v>1652144.7165949875</v>
      </c>
      <c r="P165" s="8">
        <f>+MINVU_Mes_Corriente!P165*SALUD_Mes_Constante!$P$1</f>
        <v>457892.37732632458</v>
      </c>
      <c r="Q165" s="8">
        <f>+MINVU_Mes_Corriente!Q165*SALUD_Mes_Constante!$P$1</f>
        <v>457892.37732632458</v>
      </c>
      <c r="R165" s="8">
        <f>+MINVU_Mes_Corriente!R165*SALUD_Mes_Constante!$P$1</f>
        <v>1188920.7847705635</v>
      </c>
      <c r="S165" s="8">
        <f>+MINVU_Mes_Corriente!S165*SALUD_Mes_Constante!$P$1</f>
        <v>2001952.4000568255</v>
      </c>
      <c r="T165" s="8">
        <f>+MINVU_Mes_Corriente!T165*SALUD_Mes_Constante!$P$1</f>
        <v>2001952.4000568255</v>
      </c>
      <c r="U165" s="8">
        <f>+MINVU_Mes_Corriente!U165*SALUD_Mes_Constante!$P$1</f>
        <v>2001952.4000568255</v>
      </c>
      <c r="V165" s="8">
        <f>+MINVU_Mes_Corriente!V165*SALUD_Mes_Constante!$P$1</f>
        <v>2158584.2702088356</v>
      </c>
      <c r="W165" s="8">
        <f>+MINVU_Mes_Corriente!W165*SALUD_Mes_Constante!$P$1</f>
        <v>2361917.4561727508</v>
      </c>
      <c r="X165" s="8">
        <f>+MINVU_Mes_Corriente!X165*SALUD_Mes_Constante!$P$1</f>
        <v>2361917.4561727508</v>
      </c>
      <c r="Y165" s="8">
        <f>+MINVU_Mes_Corriente!Y165*SALUD_Mes_Constante!$P$1</f>
        <v>2964174.5949708754</v>
      </c>
      <c r="Z165" s="8">
        <f>+MINVU_Mes_Corriente!Z165*SALUD_Mes_Constante!$P$1</f>
        <v>3264932.1863901112</v>
      </c>
      <c r="AA165" s="8">
        <f>+MINVU_Mes_Corriente!AA165*SALUD_Mes_Constante!$P$1</f>
        <v>4805726.3611308411</v>
      </c>
      <c r="AB165" s="9">
        <f t="shared" si="77"/>
        <v>4805726.3611308411</v>
      </c>
      <c r="AC165" s="8">
        <f>+MINVU_Mes_Corriente!AC165*SALUD_Mes_Constante!$AC$1</f>
        <v>462800.51238068886</v>
      </c>
      <c r="AD165" s="8">
        <f>+MINVU_Mes_Corriente!AD165*SALUD_Mes_Constante!$AC$1</f>
        <v>904132.92350255908</v>
      </c>
      <c r="AE165" s="8">
        <f>+MINVU_Mes_Corriente!AE165*SALUD_Mes_Constante!$AC$1</f>
        <v>904132.92350255908</v>
      </c>
      <c r="AF165" s="8">
        <f>+MINVU_Mes_Corriente!AF165*SALUD_Mes_Constante!$AC$1</f>
        <v>904132.92350255908</v>
      </c>
      <c r="AG165" s="8">
        <f>+MINVU_Mes_Corriente!AG165*SALUD_Mes_Constante!$AC$1</f>
        <v>904132.92350255908</v>
      </c>
      <c r="AH165" s="8">
        <f>+MINVU_Mes_Corriente!AH165*SALUD_Mes_Constante!$AC$1</f>
        <v>909623.88463134598</v>
      </c>
      <c r="AI165" s="8">
        <f>+MINVU_Mes_Corriente!AI165*SALUD_Mes_Constante!$AC$1</f>
        <v>909623.88463134598</v>
      </c>
      <c r="AJ165" s="8">
        <f>+MINVU_Mes_Corriente!AJ165*SALUD_Mes_Constante!$AC$1</f>
        <v>909623.88463134598</v>
      </c>
      <c r="AK165" s="8">
        <f>+MINVU_Mes_Corriente!AK165*SALUD_Mes_Constante!$AC$1</f>
        <v>909623.88463134598</v>
      </c>
      <c r="AL165" s="8">
        <f>+MINVU_Mes_Corriente!AL165*SALUD_Mes_Constante!$AC$1</f>
        <v>911482.92184257845</v>
      </c>
      <c r="AM165" s="8">
        <f>+MINVU_Mes_Corriente!AM165*SALUD_Mes_Constante!$AC$1</f>
        <v>1905705.0908839398</v>
      </c>
      <c r="AN165" s="8">
        <f>+MINVU_Mes_Corriente!AN165*SALUD_Mes_Constante!$AC$1</f>
        <v>1973528.2094342234</v>
      </c>
      <c r="AO165" s="9">
        <f t="shared" si="78"/>
        <v>1973528.2094342234</v>
      </c>
      <c r="AP165" s="8">
        <f>+MINVU_Mes_Corriente!AP165*SALUD_Mes_Constante!$AP$1</f>
        <v>466109.98782632215</v>
      </c>
      <c r="AQ165" s="8">
        <f>+MINVU_Mes_Corriente!AQ165*SALUD_Mes_Constante!$AP$1</f>
        <v>466109.98782632215</v>
      </c>
      <c r="AR165" s="8">
        <f>+MINVU_Mes_Corriente!AR165*SALUD_Mes_Constante!$AP$1</f>
        <v>466109.98782632215</v>
      </c>
      <c r="AS165" s="8">
        <f>+MINVU_Mes_Corriente!AS165*SALUD_Mes_Constante!$AP$1</f>
        <v>466109.98782632215</v>
      </c>
      <c r="AT165" s="8">
        <f>+MINVU_Mes_Corriente!AT165*SALUD_Mes_Constante!$AP$1</f>
        <v>466109.98782632215</v>
      </c>
      <c r="AU165" s="8">
        <f>+MINVU_Mes_Corriente!AU165*SALUD_Mes_Constante!$AP$1</f>
        <v>596954.49073447858</v>
      </c>
      <c r="AV165" s="8">
        <f>+MINVU_Mes_Corriente!AV165*SALUD_Mes_Constante!$AP$1</f>
        <v>664919.44244555652</v>
      </c>
      <c r="AW165" s="8">
        <f>+MINVU_Mes_Corriente!AW165*SALUD_Mes_Constante!$AP$1</f>
        <v>664919.44244555652</v>
      </c>
      <c r="AX165" s="8">
        <f>+MINVU_Mes_Corriente!AX165*SALUD_Mes_Constante!$AP$1</f>
        <v>724034.8218585148</v>
      </c>
      <c r="AY165" s="8">
        <f>+MINVU_Mes_Corriente!AY165*SALUD_Mes_Constante!$AP$1</f>
        <v>724034.8218585148</v>
      </c>
      <c r="AZ165" s="8">
        <f>+MINVU_Mes_Corriente!AZ165*SALUD_Mes_Constante!$AP$1</f>
        <v>724034.8218585148</v>
      </c>
      <c r="BA165" s="8">
        <f>+MINVU_Mes_Corriente!BA165*SALUD_Mes_Constante!$AP$1</f>
        <v>724034.8218585148</v>
      </c>
      <c r="BB165" s="9">
        <f t="shared" si="79"/>
        <v>724034.8218585148</v>
      </c>
      <c r="BC165" s="8">
        <f>+MINVU_Mes_Corriente!BC165*SALUD_Mes_Constante!$BC$1</f>
        <v>466246.1215877622</v>
      </c>
      <c r="BD165" s="8">
        <f>+MINVU_Mes_Corriente!BD165*SALUD_Mes_Constante!$BC$1</f>
        <v>466246.1215877622</v>
      </c>
      <c r="BE165" s="8">
        <f>+MINVU_Mes_Corriente!BE165*SALUD_Mes_Constante!$BC$1</f>
        <v>466246.1215877622</v>
      </c>
      <c r="BF165" s="8">
        <f>+MINVU_Mes_Corriente!BF165*SALUD_Mes_Constante!$BC$1</f>
        <v>466246.1215877622</v>
      </c>
      <c r="BG165" s="8">
        <f>+MINVU_Mes_Corriente!BG165*SALUD_Mes_Constante!$BC$1</f>
        <v>466246.1215877622</v>
      </c>
      <c r="BH165" s="8">
        <f>+MINVU_Mes_Corriente!BH165*SALUD_Mes_Constante!$BC$1</f>
        <v>466246.1215877622</v>
      </c>
      <c r="BI165" s="8">
        <f>+MINVU_Mes_Corriente!BI165*SALUD_Mes_Constante!$BC$1</f>
        <v>419226.71528418839</v>
      </c>
      <c r="BJ165" s="8">
        <f>+MINVU_Mes_Corriente!BJ165*SALUD_Mes_Constante!$BC$1</f>
        <v>419226.71528418839</v>
      </c>
      <c r="BK165" s="8">
        <f>+MINVU_Mes_Corriente!BK165*SALUD_Mes_Constante!$BC$1</f>
        <v>8277993.1982065169</v>
      </c>
      <c r="BL165" s="8">
        <f>+MINVU_Mes_Corriente!BL165*SALUD_Mes_Constante!$BC$1</f>
        <v>8277993.1982065169</v>
      </c>
      <c r="BM165" s="8">
        <f>+MINVU_Mes_Corriente!BM165*SALUD_Mes_Constante!$BC$1</f>
        <v>8297444.734537784</v>
      </c>
      <c r="BN165" s="8">
        <f>+MINVU_Mes_Corriente!BN165*SALUD_Mes_Constante!$BC$1</f>
        <v>17138408.619807467</v>
      </c>
      <c r="BO165" s="9">
        <f t="shared" si="80"/>
        <v>17138408.619807467</v>
      </c>
      <c r="BP165" s="8">
        <f>+MINVU_Mes_Corriente!BP165*SALUD_Mes_Constante!$BP$1</f>
        <v>0</v>
      </c>
      <c r="BQ165" s="8">
        <f>+MINVU_Mes_Corriente!BQ165*SALUD_Mes_Constante!$BP$1</f>
        <v>0</v>
      </c>
      <c r="BR165" s="8">
        <f>+MINVU_Mes_Corriente!BR165*SALUD_Mes_Constante!$BP$1</f>
        <v>261331.45352112679</v>
      </c>
      <c r="BS165" s="8">
        <f>+MINVU_Mes_Corriente!BS165*SALUD_Mes_Constante!$BP$1</f>
        <v>279091.44967989757</v>
      </c>
      <c r="BT165" s="8">
        <f>+MINVU_Mes_Corriente!BT165*SALUD_Mes_Constante!$BP$1</f>
        <v>299934.78822023049</v>
      </c>
      <c r="BU165" s="8">
        <f>+MINVU_Mes_Corriente!BU165*SALUD_Mes_Constante!$BP$1</f>
        <v>299934.78822023049</v>
      </c>
      <c r="BV165" s="8">
        <f>+MINVU_Mes_Corriente!BV165*SALUD_Mes_Constante!$BP$1</f>
        <v>318820.95979513449</v>
      </c>
      <c r="BW165" s="8">
        <f>+MINVU_Mes_Corriente!BW165*SALUD_Mes_Constante!$BP$1</f>
        <v>350297.91241997445</v>
      </c>
      <c r="BX165" s="8">
        <f>+MINVU_Mes_Corriente!BX165*SALUD_Mes_Constante!$BP$1</f>
        <v>1632012.8427656852</v>
      </c>
      <c r="BY165" s="8">
        <f>+MINVU_Mes_Corriente!BY165*SALUD_Mes_Constante!$BP$1</f>
        <v>1632012.8427656852</v>
      </c>
      <c r="BZ165" s="8">
        <f>+MINVU_Mes_Corriente!BZ165*SALUD_Mes_Constante!$BP$1</f>
        <v>1632012.8427656852</v>
      </c>
      <c r="CA165" s="8">
        <f>+MINVU_Mes_Corriente!CA165*SALUD_Mes_Constante!$BP$1</f>
        <v>1632012.8427656852</v>
      </c>
      <c r="CB165" s="9">
        <f t="shared" si="81"/>
        <v>1632012.8427656852</v>
      </c>
      <c r="CC165" s="8">
        <f>+MINVU_Mes_Corriente!CC165*SALUD_Mes_Constante!$CC$1</f>
        <v>55469.521074226039</v>
      </c>
      <c r="CD165" s="8">
        <f>+MINVU_Mes_Corriente!CD165*SALUD_Mes_Constante!$CC$1</f>
        <v>55469.521074226039</v>
      </c>
      <c r="CE165" s="8">
        <f>+MINVU_Mes_Corriente!CE165*SALUD_Mes_Constante!$CC$1</f>
        <v>55469.521074226039</v>
      </c>
      <c r="CF165" s="8">
        <f>+MINVU_Mes_Corriente!CF165*SALUD_Mes_Constante!$CC$1</f>
        <v>104840.96754942187</v>
      </c>
      <c r="CG165" s="8">
        <f>+MINVU_Mes_Corriente!CG165*SALUD_Mes_Constante!$CC$1</f>
        <v>104840.96754942187</v>
      </c>
      <c r="CH165" s="8">
        <f>+MINVU_Mes_Corriente!CH165*SALUD_Mes_Constante!$CC$1</f>
        <v>104840.96754942187</v>
      </c>
      <c r="CI165" s="8">
        <f>+MINVU_Mes_Corriente!CI165*SALUD_Mes_Constante!$CC$1</f>
        <v>104840.96754942187</v>
      </c>
      <c r="CJ165" s="8">
        <f>+MINVU_Mes_Corriente!CJ165*SALUD_Mes_Constante!$CC$1</f>
        <v>162697.28235732936</v>
      </c>
      <c r="CK165" s="8">
        <f>+MINVU_Mes_Corriente!CK165*SALUD_Mes_Constante!$CC$1</f>
        <v>194717.26818351363</v>
      </c>
      <c r="CL165" s="8">
        <f>+MINVU_Mes_Corriente!CL165*SALUD_Mes_Constante!$CC$1</f>
        <v>607875.74636329734</v>
      </c>
      <c r="CM165" s="8">
        <f>+MINVU_Mes_Corriente!CM165*SALUD_Mes_Constante!$CC$1</f>
        <v>887688.93547183892</v>
      </c>
      <c r="CN165" s="8">
        <f>+MINVU_Mes_Corriente!CN165*SALUD_Mes_Constante!$CC$1</f>
        <v>887688.93547183892</v>
      </c>
      <c r="CO165" s="9">
        <f t="shared" si="82"/>
        <v>887688.93547183892</v>
      </c>
      <c r="CP165" s="8">
        <f>+MINVU_Mes_Corriente!CP165*SALUD_Mes_Constante!$CP$1</f>
        <v>228595.49582366584</v>
      </c>
      <c r="CQ165" s="8">
        <f>+MINVU_Mes_Corriente!CQ165*SALUD_Mes_Constante!$CP$1</f>
        <v>228595.49582366584</v>
      </c>
      <c r="CR165" s="8">
        <f>+MINVU_Mes_Corriente!CR165*SALUD_Mes_Constante!$CP$1</f>
        <v>228595.49582366584</v>
      </c>
      <c r="CS165" s="8">
        <f>+MINVU_Mes_Corriente!CS165*SALUD_Mes_Constante!$CP$1</f>
        <v>228595.49582366584</v>
      </c>
      <c r="CT165" s="8">
        <f>+MINVU_Mes_Corriente!CT165*SALUD_Mes_Constante!$CP$1</f>
        <v>1897929.8561484914</v>
      </c>
      <c r="CU165" s="8">
        <f>+MINVU_Mes_Corriente!CU165*SALUD_Mes_Constante!$CP$1</f>
        <v>1897929.8561484914</v>
      </c>
      <c r="CV165" s="8">
        <f>+MINVU_Mes_Corriente!CV165*SALUD_Mes_Constante!$CP$1</f>
        <v>1897929.8561484914</v>
      </c>
      <c r="CW165" s="8">
        <f>+MINVU_Mes_Corriente!CW165*SALUD_Mes_Constante!$CP$1</f>
        <v>1897929.8561484914</v>
      </c>
      <c r="CX165" s="8">
        <f>+MINVU_Mes_Corriente!CX165*SALUD_Mes_Constante!$CP$1</f>
        <v>1897929.8561484914</v>
      </c>
      <c r="CY165" s="8">
        <f>+MINVU_Mes_Corriente!CY165*SALUD_Mes_Constante!$CP$1</f>
        <v>1897929.8561484914</v>
      </c>
      <c r="CZ165" s="8">
        <f>+MINVU_Mes_Corriente!CZ165*SALUD_Mes_Constante!$CP$1</f>
        <v>1897929.8561484914</v>
      </c>
      <c r="DA165" s="8">
        <f>+MINVU_Mes_Corriente!DA165*SALUD_Mes_Constante!$CP$1</f>
        <v>1861582.5271461713</v>
      </c>
      <c r="DB165" s="9">
        <f t="shared" si="83"/>
        <v>1861582.5271461713</v>
      </c>
      <c r="DC165" s="8">
        <f>+MINVU_Mes_Corriente!DC165*SALUD_Mes_Constante!$DC$1</f>
        <v>280998.60178993945</v>
      </c>
      <c r="DD165" s="8">
        <f>+MINVU_Mes_Corriente!DD165*SALUD_Mes_Constante!$DC$1</f>
        <v>280998.60178993945</v>
      </c>
      <c r="DE165" s="8">
        <f>+MINVU_Mes_Corriente!DE165*SALUD_Mes_Constante!$DC$1</f>
        <v>280998.60178993945</v>
      </c>
      <c r="DF165" s="8">
        <f>+MINVU_Mes_Corriente!DF165*SALUD_Mes_Constante!$DC$1</f>
        <v>280998.60178993945</v>
      </c>
      <c r="DG165" s="8">
        <f>+MINVU_Mes_Corriente!DG165*SALUD_Mes_Constante!$DC$1</f>
        <v>636884.3065528241</v>
      </c>
      <c r="DH165" s="8">
        <f>+MINVU_Mes_Corriente!DH165*SALUD_Mes_Constante!$DC$1</f>
        <v>729841.28937352158</v>
      </c>
      <c r="DI165" s="8">
        <f>+MINVU_Mes_Corriente!DI165*SALUD_Mes_Constante!$DC$1</f>
        <v>1762156.6544594185</v>
      </c>
      <c r="DJ165" s="8">
        <f>+MINVU_Mes_Corriente!DJ165*SALUD_Mes_Constante!$DC$1</f>
        <v>2024620.0576072431</v>
      </c>
      <c r="DK165" s="8">
        <f>+MINVU_Mes_Corriente!DK165*SALUD_Mes_Constante!$DC$1</f>
        <v>2222607.5848163781</v>
      </c>
      <c r="DL165" s="8">
        <f>+MINVU_Mes_Corriente!DL165*SALUD_Mes_Constante!$DC$1</f>
        <v>2222607.5848163781</v>
      </c>
      <c r="DM165" s="8">
        <f>+MINVU_Mes_Corriente!DM165*SALUD_Mes_Constante!$DC$1</f>
        <v>2222607.5848163781</v>
      </c>
      <c r="DN165" s="8">
        <f>+MINVU_Mes_Corriente!DN165*SALUD_Mes_Constante!$DC$1</f>
        <v>2222607.5848163781</v>
      </c>
      <c r="DO165" s="9">
        <f t="shared" si="84"/>
        <v>2222607.5848163781</v>
      </c>
      <c r="DP165" s="8">
        <f>+MINVU_Mes_Corriente!DP165*SALUD_Mes_Constante!$DP$1</f>
        <v>287379.53622327792</v>
      </c>
      <c r="DQ165" s="8">
        <f>+MINVU_Mes_Corriente!DQ165*SALUD_Mes_Constante!$DP$1</f>
        <v>1256575.4269596201</v>
      </c>
      <c r="DR165" s="8">
        <f>+MINVU_Mes_Corriente!DR165*SALUD_Mes_Constante!$DP$1</f>
        <v>1256575.4269596201</v>
      </c>
      <c r="DS165" s="8">
        <f>+MINVU_Mes_Corriente!DS165*SALUD_Mes_Constante!$DP$1</f>
        <v>1259278.8117577198</v>
      </c>
      <c r="DT165" s="8">
        <f>+MINVU_Mes_Corriente!DT165*SALUD_Mes_Constante!$DP$1</f>
        <v>1259278.8117577198</v>
      </c>
      <c r="DU165" s="8">
        <f>+MINVU_Mes_Corriente!DU165*SALUD_Mes_Constante!$DP$1</f>
        <v>1308272.7951306414</v>
      </c>
      <c r="DV165" s="8">
        <f>+MINVU_Mes_Corriente!DV165*SALUD_Mes_Constante!$DP$1</f>
        <v>1319561.0486935868</v>
      </c>
      <c r="DW165" s="8">
        <f>+MINVU_Mes_Corriente!DW165*SALUD_Mes_Constante!$DP$1</f>
        <v>1336032.2315914491</v>
      </c>
      <c r="DX165" s="8">
        <f>+MINVU_Mes_Corriente!DX165*SALUD_Mes_Constante!$DP$1</f>
        <v>1372531.1704275536</v>
      </c>
      <c r="DY165" s="8">
        <f>+MINVU_Mes_Corriente!DY165*SALUD_Mes_Constante!$DP$1</f>
        <v>1372531.1704275536</v>
      </c>
      <c r="DZ165" s="8">
        <f>+MINVU_Mes_Corriente!DZ165*SALUD_Mes_Constante!$DP$1</f>
        <v>1372531.1704275536</v>
      </c>
      <c r="EA165" s="8">
        <f>+MINVU_Mes_Corriente!EA165*SALUD_Mes_Constante!$DP$1</f>
        <v>1372531.1704275536</v>
      </c>
      <c r="EB165" s="9">
        <f t="shared" si="85"/>
        <v>1372531.1704275536</v>
      </c>
      <c r="EC165" s="8">
        <f>+MINVU_Mes_Corriente!EC165*SALUD_Mes_Constante!$EC$1</f>
        <v>251811.09373224759</v>
      </c>
      <c r="ED165" s="8">
        <f>+MINVU_Mes_Corriente!ED165*SALUD_Mes_Constante!$EC$1</f>
        <v>251811.09373224759</v>
      </c>
      <c r="EE165" s="8">
        <f>+MINVU_Mes_Corriente!EE165*SALUD_Mes_Constante!$EC$1</f>
        <v>447042.22438932006</v>
      </c>
      <c r="EF165" s="8">
        <f>+MINVU_Mes_Corriente!EF165*SALUD_Mes_Constante!$EC$1</f>
        <v>447042.22438932006</v>
      </c>
      <c r="EG165" s="8">
        <f>+MINVU_Mes_Corriente!EG165*SALUD_Mes_Constante!$EC$1</f>
        <v>830120.48759704572</v>
      </c>
      <c r="EH165" s="8">
        <f>+MINVU_Mes_Corriente!EH165*SALUD_Mes_Constante!$EC$1</f>
        <v>830120.48759704572</v>
      </c>
      <c r="EI165" s="8">
        <f>+MINVU_Mes_Corriente!EI165*SALUD_Mes_Constante!$EC$1</f>
        <v>830120.48759704572</v>
      </c>
      <c r="EJ165" s="8">
        <f>+MINVU_Mes_Corriente!EJ165*SALUD_Mes_Constante!$EC$1</f>
        <v>830120.48759704572</v>
      </c>
      <c r="EK165" s="8">
        <f>+MINVU_Mes_Corriente!EK165*SALUD_Mes_Constante!$EC$1</f>
        <v>830120.48759704572</v>
      </c>
      <c r="EL165" s="8">
        <f>+MINVU_Mes_Corriente!EL165*SALUD_Mes_Constante!$EC$1</f>
        <v>837093.8038250329</v>
      </c>
      <c r="EM165" s="8">
        <f>+MINVU_Mes_Corriente!EM165*SALUD_Mes_Constante!$EC$1</f>
        <v>837093.8038250329</v>
      </c>
      <c r="EN165" s="8">
        <f>+MINVU_Mes_Corriente!EN165*SALUD_Mes_Constante!$EC$1</f>
        <v>828639.1363378145</v>
      </c>
      <c r="EO165" s="9">
        <f t="shared" si="86"/>
        <v>828639.1363378145</v>
      </c>
      <c r="EP165" s="8">
        <f>+MINVU_Mes_Corriente!EP165*SALUD_Mes_Constante!$EP$1</f>
        <v>253646</v>
      </c>
      <c r="EQ165" s="8">
        <f>+MINVU_Mes_Corriente!EQ165*SALUD_Mes_Constante!$EP$1</f>
        <v>267319</v>
      </c>
      <c r="ER165" s="8">
        <f>+MINVU_Mes_Corriente!ER165*SALUD_Mes_Constante!$EP$1</f>
        <v>267319</v>
      </c>
      <c r="ES165" s="8">
        <f>+MINVU_Mes_Corriente!ES165*SALUD_Mes_Constante!$EP$1</f>
        <v>699830</v>
      </c>
      <c r="ET165" s="8">
        <f>+MINVU_Mes_Corriente!ET165*SALUD_Mes_Constante!$EP$1</f>
        <v>699830</v>
      </c>
      <c r="EU165" s="8">
        <f>+MINVU_Mes_Corriente!EU165*SALUD_Mes_Constante!$EP$1</f>
        <v>699830</v>
      </c>
      <c r="EV165" s="8">
        <f>+MINVU_Mes_Corriente!EV165*SALUD_Mes_Constante!$EP$1</f>
        <v>699830</v>
      </c>
      <c r="EW165" s="8">
        <f>+MINVU_Mes_Corriente!EW165*SALUD_Mes_Constante!$EP$1</f>
        <v>1036337</v>
      </c>
      <c r="EX165" s="8">
        <f>+MINVU_Mes_Corriente!EX165*SALUD_Mes_Constante!$EP$1</f>
        <v>1036337</v>
      </c>
      <c r="EY165" s="8">
        <f>+MINVU_Mes_Corriente!EY165*SALUD_Mes_Constante!$EP$1</f>
        <v>1036337</v>
      </c>
      <c r="EZ165" s="8">
        <f>+MINVU_Mes_Corriente!EZ165*SALUD_Mes_Constante!$EP$1</f>
        <v>1036337</v>
      </c>
      <c r="FA165" s="8">
        <f>+MINVU_Mes_Corriente!FA165*SALUD_Mes_Constante!$EP$1</f>
        <v>1036337</v>
      </c>
      <c r="FB165" s="9">
        <f t="shared" si="87"/>
        <v>1036337</v>
      </c>
      <c r="FC165" s="8">
        <f>+MINVU_Mes_Corriente!FC165*SALUD_Mes_Constante!$FC$1</f>
        <v>261509</v>
      </c>
      <c r="FD165" s="8">
        <f>+MINVU_Mes_Corriente!FD165*SALUD_Mes_Constante!$FC$1</f>
        <v>488227</v>
      </c>
      <c r="FE165" s="8">
        <f>+MINVU_Mes_Corriente!FE165*SALUD_Mes_Constante!$FC$1</f>
        <v>488227</v>
      </c>
      <c r="FF165" s="8">
        <f>+MINVU_Mes_Corriente!FF165*SALUD_Mes_Constante!$FC$1</f>
        <v>488227</v>
      </c>
      <c r="FG165" s="8">
        <f>+MINVU_Mes_Corriente!FG165*SALUD_Mes_Constante!$FC$1</f>
        <v>488227</v>
      </c>
      <c r="FH165" s="8">
        <f>+MINVU_Mes_Corriente!FH165*SALUD_Mes_Constante!$FC$1</f>
        <v>488227</v>
      </c>
      <c r="FI165" s="8">
        <f>+MINVU_Mes_Corriente!FI165*SALUD_Mes_Constante!$FC$1</f>
        <v>488227</v>
      </c>
      <c r="FJ165" s="8"/>
      <c r="FK165" s="8"/>
      <c r="FL165" s="8"/>
      <c r="FM165" s="8"/>
      <c r="FN165" s="8"/>
      <c r="FO165" s="9">
        <f t="shared" si="88"/>
        <v>488227</v>
      </c>
    </row>
    <row r="166" spans="2:171" ht="14.25" customHeight="1" x14ac:dyDescent="0.3">
      <c r="B166" s="7" t="s">
        <v>54</v>
      </c>
      <c r="C166" s="8">
        <f>+MINVU_Mes_Corriente!C166*SALUD_Mes_Constante!$C$1</f>
        <v>457020.49918433937</v>
      </c>
      <c r="D166" s="8">
        <f>+MINVU_Mes_Corriente!D166*SALUD_Mes_Constante!$C$1</f>
        <v>457020.49918433937</v>
      </c>
      <c r="E166" s="8">
        <f>+MINVU_Mes_Corriente!E166*SALUD_Mes_Constante!$C$1</f>
        <v>457020.49918433937</v>
      </c>
      <c r="F166" s="8">
        <f>+MINVU_Mes_Corriente!F166*SALUD_Mes_Constante!$C$1</f>
        <v>457020.49918433937</v>
      </c>
      <c r="G166" s="8">
        <f>+MINVU_Mes_Corriente!G166*SALUD_Mes_Constante!$C$1</f>
        <v>503119.37208957446</v>
      </c>
      <c r="H166" s="8">
        <f>+MINVU_Mes_Corriente!H166*SALUD_Mes_Constante!$C$1</f>
        <v>596580.98858075053</v>
      </c>
      <c r="I166" s="8">
        <f>+MINVU_Mes_Corriente!I166*SALUD_Mes_Constante!$C$1</f>
        <v>596580.98858075053</v>
      </c>
      <c r="J166" s="8">
        <f>+MINVU_Mes_Corriente!J166*SALUD_Mes_Constante!$C$1</f>
        <v>596580.98858075053</v>
      </c>
      <c r="K166" s="8">
        <f>+MINVU_Mes_Corriente!K166*SALUD_Mes_Constante!$C$1</f>
        <v>681323.51772208232</v>
      </c>
      <c r="L166" s="8">
        <f>+MINVU_Mes_Corriente!L166*SALUD_Mes_Constante!$C$1</f>
        <v>681323.51772208232</v>
      </c>
      <c r="M166" s="8">
        <f>+MINVU_Mes_Corriente!M166*SALUD_Mes_Constante!$C$1</f>
        <v>1560977.5114934009</v>
      </c>
      <c r="N166" s="8">
        <f>+MINVU_Mes_Corriente!N166*SALUD_Mes_Constante!$C$1</f>
        <v>1617689.6574225125</v>
      </c>
      <c r="O166" s="9">
        <f t="shared" si="76"/>
        <v>1617689.6574225125</v>
      </c>
      <c r="P166" s="8">
        <f>+MINVU_Mes_Corriente!P166*SALUD_Mes_Constante!$P$1</f>
        <v>450936.92825685447</v>
      </c>
      <c r="Q166" s="8">
        <f>+MINVU_Mes_Corriente!Q166*SALUD_Mes_Constante!$P$1</f>
        <v>450936.92825685447</v>
      </c>
      <c r="R166" s="8">
        <f>+MINVU_Mes_Corriente!R166*SALUD_Mes_Constante!$P$1</f>
        <v>1158558.0221622386</v>
      </c>
      <c r="S166" s="8">
        <f>+MINVU_Mes_Corriente!S166*SALUD_Mes_Constante!$P$1</f>
        <v>1158558.0221622386</v>
      </c>
      <c r="T166" s="8">
        <f>+MINVU_Mes_Corriente!T166*SALUD_Mes_Constante!$P$1</f>
        <v>1158558.0221622386</v>
      </c>
      <c r="U166" s="8">
        <f>+MINVU_Mes_Corriente!U166*SALUD_Mes_Constante!$P$1</f>
        <v>2411467.0757209822</v>
      </c>
      <c r="V166" s="8">
        <f>+MINVU_Mes_Corriente!V166*SALUD_Mes_Constante!$P$1</f>
        <v>2411467.0757209822</v>
      </c>
      <c r="W166" s="8">
        <f>+MINVU_Mes_Corriente!W166*SALUD_Mes_Constante!$P$1</f>
        <v>2554720.4554624227</v>
      </c>
      <c r="X166" s="8">
        <f>+MINVU_Mes_Corriente!X166*SALUD_Mes_Constante!$P$1</f>
        <v>2554720.4554624227</v>
      </c>
      <c r="Y166" s="8">
        <f>+MINVU_Mes_Corriente!Y166*SALUD_Mes_Constante!$P$1</f>
        <v>3051186.7816451187</v>
      </c>
      <c r="Z166" s="8">
        <f>+MINVU_Mes_Corriente!Z166*SALUD_Mes_Constante!$P$1</f>
        <v>3243497.730643556</v>
      </c>
      <c r="AA166" s="8">
        <f>+MINVU_Mes_Corriente!AA166*SALUD_Mes_Constante!$P$1</f>
        <v>4253231.494530471</v>
      </c>
      <c r="AB166" s="9">
        <f t="shared" si="77"/>
        <v>4253231.494530471</v>
      </c>
      <c r="AC166" s="8">
        <f>+MINVU_Mes_Corriente!AC166*SALUD_Mes_Constante!$AC$1</f>
        <v>455769.42205007607</v>
      </c>
      <c r="AD166" s="8">
        <f>+MINVU_Mes_Corriente!AD166*SALUD_Mes_Constante!$AC$1</f>
        <v>897101.83317194635</v>
      </c>
      <c r="AE166" s="8">
        <f>+MINVU_Mes_Corriente!AE166*SALUD_Mes_Constante!$AC$1</f>
        <v>897101.83317194635</v>
      </c>
      <c r="AF166" s="8">
        <f>+MINVU_Mes_Corriente!AF166*SALUD_Mes_Constante!$AC$1</f>
        <v>897101.83317194635</v>
      </c>
      <c r="AG166" s="8">
        <f>+MINVU_Mes_Corriente!AG166*SALUD_Mes_Constante!$AC$1</f>
        <v>897101.83317194635</v>
      </c>
      <c r="AH166" s="8">
        <f>+MINVU_Mes_Corriente!AH166*SALUD_Mes_Constante!$AC$1</f>
        <v>902592.79430073313</v>
      </c>
      <c r="AI166" s="8">
        <f>+MINVU_Mes_Corriente!AI166*SALUD_Mes_Constante!$AC$1</f>
        <v>1028227.435883248</v>
      </c>
      <c r="AJ166" s="8">
        <f>+MINVU_Mes_Corriente!AJ166*SALUD_Mes_Constante!$AC$1</f>
        <v>1028227.435883248</v>
      </c>
      <c r="AK166" s="8">
        <f>+MINVU_Mes_Corriente!AK166*SALUD_Mes_Constante!$AC$1</f>
        <v>1028227.435883248</v>
      </c>
      <c r="AL166" s="8">
        <f>+MINVU_Mes_Corriente!AL166*SALUD_Mes_Constante!$AC$1</f>
        <v>1033812.1045787799</v>
      </c>
      <c r="AM166" s="8">
        <f>+MINVU_Mes_Corriente!AM166*SALUD_Mes_Constante!$AC$1</f>
        <v>1033812.1045787799</v>
      </c>
      <c r="AN166" s="8">
        <f>+MINVU_Mes_Corriente!AN166*SALUD_Mes_Constante!$AC$1</f>
        <v>1053304.7898741181</v>
      </c>
      <c r="AO166" s="9">
        <f t="shared" si="78"/>
        <v>1053304.7898741181</v>
      </c>
      <c r="AP166" s="8">
        <f>+MINVU_Mes_Corriente!AP166*SALUD_Mes_Constante!$AP$1</f>
        <v>459029.44325713511</v>
      </c>
      <c r="AQ166" s="8">
        <f>+MINVU_Mes_Corriente!AQ166*SALUD_Mes_Constante!$AP$1</f>
        <v>459029.44325713511</v>
      </c>
      <c r="AR166" s="8">
        <f>+MINVU_Mes_Corriente!AR166*SALUD_Mes_Constante!$AP$1</f>
        <v>459029.44325713511</v>
      </c>
      <c r="AS166" s="8">
        <f>+MINVU_Mes_Corriente!AS166*SALUD_Mes_Constante!$AP$1</f>
        <v>459029.44325713511</v>
      </c>
      <c r="AT166" s="8">
        <f>+MINVU_Mes_Corriente!AT166*SALUD_Mes_Constante!$AP$1</f>
        <v>459029.44325713511</v>
      </c>
      <c r="AU166" s="8">
        <f>+MINVU_Mes_Corriente!AU166*SALUD_Mes_Constante!$AP$1</f>
        <v>561903.50439605024</v>
      </c>
      <c r="AV166" s="8">
        <f>+MINVU_Mes_Corriente!AV166*SALUD_Mes_Constante!$AP$1</f>
        <v>561903.50439605024</v>
      </c>
      <c r="AW166" s="8">
        <f>+MINVU_Mes_Corriente!AW166*SALUD_Mes_Constante!$AP$1</f>
        <v>561903.50439605024</v>
      </c>
      <c r="AX166" s="8">
        <f>+MINVU_Mes_Corriente!AX166*SALUD_Mes_Constante!$AP$1</f>
        <v>684567.91667793854</v>
      </c>
      <c r="AY166" s="8">
        <f>+MINVU_Mes_Corriente!AY166*SALUD_Mes_Constante!$AP$1</f>
        <v>700824.64601650205</v>
      </c>
      <c r="AZ166" s="8">
        <f>+MINVU_Mes_Corriente!AZ166*SALUD_Mes_Constante!$AP$1</f>
        <v>700824.64601650205</v>
      </c>
      <c r="BA166" s="8">
        <f>+MINVU_Mes_Corriente!BA166*SALUD_Mes_Constante!$AP$1</f>
        <v>700824.64601650205</v>
      </c>
      <c r="BB166" s="9">
        <f t="shared" si="79"/>
        <v>700824.64601650205</v>
      </c>
      <c r="BC166" s="8">
        <f>+MINVU_Mes_Corriente!BC166*SALUD_Mes_Constante!$BC$1</f>
        <v>459164.32150863786</v>
      </c>
      <c r="BD166" s="8">
        <f>+MINVU_Mes_Corriente!BD166*SALUD_Mes_Constante!$BC$1</f>
        <v>459164.32150863786</v>
      </c>
      <c r="BE166" s="8">
        <f>+MINVU_Mes_Corriente!BE166*SALUD_Mes_Constante!$BC$1</f>
        <v>459164.32150863786</v>
      </c>
      <c r="BF166" s="8">
        <f>+MINVU_Mes_Corriente!BF166*SALUD_Mes_Constante!$BC$1</f>
        <v>459164.32150863786</v>
      </c>
      <c r="BG166" s="8">
        <f>+MINVU_Mes_Corriente!BG166*SALUD_Mes_Constante!$BC$1</f>
        <v>459164.32150863786</v>
      </c>
      <c r="BH166" s="8">
        <f>+MINVU_Mes_Corriente!BH166*SALUD_Mes_Constante!$BC$1</f>
        <v>459164.32150863786</v>
      </c>
      <c r="BI166" s="8">
        <f>+MINVU_Mes_Corriente!BI166*SALUD_Mes_Constante!$BC$1</f>
        <v>418403.98734010296</v>
      </c>
      <c r="BJ166" s="8">
        <f>+MINVU_Mes_Corriente!BJ166*SALUD_Mes_Constante!$BC$1</f>
        <v>1153967.4358433341</v>
      </c>
      <c r="BK166" s="8">
        <f>+MINVU_Mes_Corriente!BK166*SALUD_Mes_Constante!$BC$1</f>
        <v>3091372.1532375058</v>
      </c>
      <c r="BL166" s="8">
        <f>+MINVU_Mes_Corriente!BL166*SALUD_Mes_Constante!$BC$1</f>
        <v>3091372.1532375058</v>
      </c>
      <c r="BM166" s="8">
        <f>+MINVU_Mes_Corriente!BM166*SALUD_Mes_Constante!$BC$1</f>
        <v>5175960.1622049334</v>
      </c>
      <c r="BN166" s="8">
        <f>+MINVU_Mes_Corriente!BN166*SALUD_Mes_Constante!$BC$1</f>
        <v>6342826.1279177126</v>
      </c>
      <c r="BO166" s="9">
        <f t="shared" si="80"/>
        <v>6342826.1279177126</v>
      </c>
      <c r="BP166" s="8">
        <f>+MINVU_Mes_Corriente!BP166*SALUD_Mes_Constante!$BP$1</f>
        <v>0</v>
      </c>
      <c r="BQ166" s="8">
        <f>+MINVU_Mes_Corriente!BQ166*SALUD_Mes_Constante!$BP$1</f>
        <v>0</v>
      </c>
      <c r="BR166" s="8">
        <f>+MINVU_Mes_Corriente!BR166*SALUD_Mes_Constante!$BP$1</f>
        <v>526336.61715749046</v>
      </c>
      <c r="BS166" s="8">
        <f>+MINVU_Mes_Corriente!BS166*SALUD_Mes_Constante!$BP$1</f>
        <v>1040773.5472471192</v>
      </c>
      <c r="BT166" s="8">
        <f>+MINVU_Mes_Corriente!BT166*SALUD_Mes_Constante!$BP$1</f>
        <v>1103693.8770806659</v>
      </c>
      <c r="BU166" s="8">
        <f>+MINVU_Mes_Corriente!BU166*SALUD_Mes_Constante!$BP$1</f>
        <v>1103693.8770806659</v>
      </c>
      <c r="BV166" s="8">
        <f>+MINVU_Mes_Corriente!BV166*SALUD_Mes_Constante!$BP$1</f>
        <v>1112928.5154929578</v>
      </c>
      <c r="BW166" s="8">
        <f>+MINVU_Mes_Corriente!BW166*SALUD_Mes_Constante!$BP$1</f>
        <v>3435243.5201024329</v>
      </c>
      <c r="BX166" s="8">
        <f>+MINVU_Mes_Corriente!BX166*SALUD_Mes_Constante!$BP$1</f>
        <v>8137963.1961587714</v>
      </c>
      <c r="BY166" s="8">
        <f>+MINVU_Mes_Corriente!BY166*SALUD_Mes_Constante!$BP$1</f>
        <v>8137963.1961587714</v>
      </c>
      <c r="BZ166" s="8">
        <f>+MINVU_Mes_Corriente!BZ166*SALUD_Mes_Constante!$BP$1</f>
        <v>8183828.6135723442</v>
      </c>
      <c r="CA166" s="8">
        <f>+MINVU_Mes_Corriente!CA166*SALUD_Mes_Constante!$BP$1</f>
        <v>8183828.6135723442</v>
      </c>
      <c r="CB166" s="9">
        <f t="shared" si="81"/>
        <v>8183828.6135723442</v>
      </c>
      <c r="CC166" s="8">
        <f>+MINVU_Mes_Corriente!CC166*SALUD_Mes_Constante!$CC$1</f>
        <v>140084.55128683327</v>
      </c>
      <c r="CD166" s="8">
        <f>+MINVU_Mes_Corriente!CD166*SALUD_Mes_Constante!$CC$1</f>
        <v>140084.55128683327</v>
      </c>
      <c r="CE166" s="8">
        <f>+MINVU_Mes_Corriente!CE166*SALUD_Mes_Constante!$CC$1</f>
        <v>5246194.3618052974</v>
      </c>
      <c r="CF166" s="8">
        <f>+MINVU_Mes_Corriente!CF166*SALUD_Mes_Constante!$CC$1</f>
        <v>5784417.0279746372</v>
      </c>
      <c r="CG166" s="8">
        <f>+MINVU_Mes_Corriente!CG166*SALUD_Mes_Constante!$CC$1</f>
        <v>5793926.1663558381</v>
      </c>
      <c r="CH166" s="8">
        <f>+MINVU_Mes_Corriente!CH166*SALUD_Mes_Constante!$CC$1</f>
        <v>5793926.1663558381</v>
      </c>
      <c r="CI166" s="8">
        <f>+MINVU_Mes_Corriente!CI166*SALUD_Mes_Constante!$CC$1</f>
        <v>5793926.1663558381</v>
      </c>
      <c r="CJ166" s="8">
        <f>+MINVU_Mes_Corriente!CJ166*SALUD_Mes_Constante!$CC$1</f>
        <v>5878152.6803431557</v>
      </c>
      <c r="CK166" s="8">
        <f>+MINVU_Mes_Corriente!CK166*SALUD_Mes_Constante!$CC$1</f>
        <v>5890526.7862737793</v>
      </c>
      <c r="CL166" s="8">
        <f>+MINVU_Mes_Corriente!CL166*SALUD_Mes_Constante!$CC$1</f>
        <v>6220629.7329354724</v>
      </c>
      <c r="CM166" s="8">
        <f>+MINVU_Mes_Corriente!CM166*SALUD_Mes_Constante!$CC$1</f>
        <v>6220629.7329354724</v>
      </c>
      <c r="CN166" s="8">
        <f>+MINVU_Mes_Corriente!CN166*SALUD_Mes_Constante!$CC$1</f>
        <v>6220629.7329354724</v>
      </c>
      <c r="CO166" s="9">
        <f t="shared" si="82"/>
        <v>6220629.7329354724</v>
      </c>
      <c r="CP166" s="8">
        <f>+MINVU_Mes_Corriente!CP166*SALUD_Mes_Constante!$CP$1</f>
        <v>562777.72621809738</v>
      </c>
      <c r="CQ166" s="8">
        <f>+MINVU_Mes_Corriente!CQ166*SALUD_Mes_Constante!$CP$1</f>
        <v>562777.72621809738</v>
      </c>
      <c r="CR166" s="8">
        <f>+MINVU_Mes_Corriente!CR166*SALUD_Mes_Constante!$CP$1</f>
        <v>562777.72621809738</v>
      </c>
      <c r="CS166" s="8">
        <f>+MINVU_Mes_Corriente!CS166*SALUD_Mes_Constante!$CP$1</f>
        <v>562777.72621809738</v>
      </c>
      <c r="CT166" s="8">
        <f>+MINVU_Mes_Corriente!CT166*SALUD_Mes_Constante!$CP$1</f>
        <v>787843.18607888615</v>
      </c>
      <c r="CU166" s="8">
        <f>+MINVU_Mes_Corriente!CU166*SALUD_Mes_Constante!$CP$1</f>
        <v>787843.18607888615</v>
      </c>
      <c r="CV166" s="8">
        <f>+MINVU_Mes_Corriente!CV166*SALUD_Mes_Constante!$CP$1</f>
        <v>787843.18607888615</v>
      </c>
      <c r="CW166" s="8">
        <f>+MINVU_Mes_Corriente!CW166*SALUD_Mes_Constante!$CP$1</f>
        <v>861359.19535962865</v>
      </c>
      <c r="CX166" s="8">
        <f>+MINVU_Mes_Corriente!CX166*SALUD_Mes_Constante!$CP$1</f>
        <v>861359.19535962865</v>
      </c>
      <c r="CY166" s="8">
        <f>+MINVU_Mes_Corriente!CY166*SALUD_Mes_Constante!$CP$1</f>
        <v>1454580.1545243617</v>
      </c>
      <c r="CZ166" s="8">
        <f>+MINVU_Mes_Corriente!CZ166*SALUD_Mes_Constante!$CP$1</f>
        <v>2248082.8058004635</v>
      </c>
      <c r="DA166" s="8">
        <f>+MINVU_Mes_Corriente!DA166*SALUD_Mes_Constante!$CP$1</f>
        <v>2248082.8058004635</v>
      </c>
      <c r="DB166" s="9">
        <f t="shared" si="83"/>
        <v>2248082.8058004635</v>
      </c>
      <c r="DC166" s="8">
        <f>+MINVU_Mes_Corriente!DC166*SALUD_Mes_Constante!$DC$1</f>
        <v>685461.79035078723</v>
      </c>
      <c r="DD166" s="8">
        <f>+MINVU_Mes_Corriente!DD166*SALUD_Mes_Constante!$DC$1</f>
        <v>685461.79035078723</v>
      </c>
      <c r="DE166" s="8">
        <f>+MINVU_Mes_Corriente!DE166*SALUD_Mes_Constante!$DC$1</f>
        <v>685461.79035078723</v>
      </c>
      <c r="DF166" s="8">
        <f>+MINVU_Mes_Corriente!DF166*SALUD_Mes_Constante!$DC$1</f>
        <v>685461.79035078723</v>
      </c>
      <c r="DG166" s="8">
        <f>+MINVU_Mes_Corriente!DG166*SALUD_Mes_Constante!$DC$1</f>
        <v>685461.79035078723</v>
      </c>
      <c r="DH166" s="8">
        <f>+MINVU_Mes_Corriente!DH166*SALUD_Mes_Constante!$DC$1</f>
        <v>685461.79035078723</v>
      </c>
      <c r="DI166" s="8">
        <f>+MINVU_Mes_Corriente!DI166*SALUD_Mes_Constante!$DC$1</f>
        <v>1308700.1174776263</v>
      </c>
      <c r="DJ166" s="8">
        <f>+MINVU_Mes_Corriente!DJ166*SALUD_Mes_Constante!$DC$1</f>
        <v>1308700.1174776263</v>
      </c>
      <c r="DK166" s="8">
        <f>+MINVU_Mes_Corriente!DK166*SALUD_Mes_Constante!$DC$1</f>
        <v>2959682.670712891</v>
      </c>
      <c r="DL166" s="8">
        <f>+MINVU_Mes_Corriente!DL166*SALUD_Mes_Constante!$DC$1</f>
        <v>2959682.670712891</v>
      </c>
      <c r="DM166" s="8">
        <f>+MINVU_Mes_Corriente!DM166*SALUD_Mes_Constante!$DC$1</f>
        <v>2959682.670712891</v>
      </c>
      <c r="DN166" s="8">
        <f>+MINVU_Mes_Corriente!DN166*SALUD_Mes_Constante!$DC$1</f>
        <v>3026672.8416829561</v>
      </c>
      <c r="DO166" s="9">
        <f t="shared" si="84"/>
        <v>3026672.8416829561</v>
      </c>
      <c r="DP166" s="8">
        <f>+MINVU_Mes_Corriente!DP166*SALUD_Mes_Constante!$DP$1</f>
        <v>701025.52553444193</v>
      </c>
      <c r="DQ166" s="8">
        <f>+MINVU_Mes_Corriente!DQ166*SALUD_Mes_Constante!$DP$1</f>
        <v>2149639.676365796</v>
      </c>
      <c r="DR166" s="8">
        <f>+MINVU_Mes_Corriente!DR166*SALUD_Mes_Constante!$DP$1</f>
        <v>2163835.6906175776</v>
      </c>
      <c r="DS166" s="8">
        <f>+MINVU_Mes_Corriente!DS166*SALUD_Mes_Constante!$DP$1</f>
        <v>3635664.3473871737</v>
      </c>
      <c r="DT166" s="8">
        <f>+MINVU_Mes_Corriente!DT166*SALUD_Mes_Constante!$DP$1</f>
        <v>3635664.3473871737</v>
      </c>
      <c r="DU166" s="8">
        <f>+MINVU_Mes_Corriente!DU166*SALUD_Mes_Constante!$DP$1</f>
        <v>3899900.7470308794</v>
      </c>
      <c r="DV166" s="8">
        <f>+MINVU_Mes_Corriente!DV166*SALUD_Mes_Constante!$DP$1</f>
        <v>3941641.0083135394</v>
      </c>
      <c r="DW166" s="8">
        <f>+MINVU_Mes_Corriente!DW166*SALUD_Mes_Constante!$DP$1</f>
        <v>4019055.1353919245</v>
      </c>
      <c r="DX166" s="8">
        <f>+MINVU_Mes_Corriente!DX166*SALUD_Mes_Constante!$DP$1</f>
        <v>4019347.1009501191</v>
      </c>
      <c r="DY166" s="8">
        <f>+MINVU_Mes_Corriente!DY166*SALUD_Mes_Constante!$DP$1</f>
        <v>4019347.1009501191</v>
      </c>
      <c r="DZ166" s="8">
        <f>+MINVU_Mes_Corriente!DZ166*SALUD_Mes_Constante!$DP$1</f>
        <v>4019347.1009501191</v>
      </c>
      <c r="EA166" s="8">
        <f>+MINVU_Mes_Corriente!EA166*SALUD_Mes_Constante!$DP$1</f>
        <v>4019347.1009501191</v>
      </c>
      <c r="EB166" s="9">
        <f t="shared" si="85"/>
        <v>4019347.1009501191</v>
      </c>
      <c r="EC166" s="8">
        <f>+MINVU_Mes_Corriente!EC166*SALUD_Mes_Constante!$EC$1</f>
        <v>614265.26472259022</v>
      </c>
      <c r="ED166" s="8">
        <f>+MINVU_Mes_Corriente!ED166*SALUD_Mes_Constante!$EC$1</f>
        <v>614265.26472259022</v>
      </c>
      <c r="EE166" s="8">
        <f>+MINVU_Mes_Corriente!EE166*SALUD_Mes_Constante!$EC$1</f>
        <v>1151281.9922363185</v>
      </c>
      <c r="EF166" s="8">
        <f>+MINVU_Mes_Corriente!EF166*SALUD_Mes_Constante!$EC$1</f>
        <v>1974961.9121378521</v>
      </c>
      <c r="EG166" s="8">
        <f>+MINVU_Mes_Corriente!EG166*SALUD_Mes_Constante!$EC$1</f>
        <v>1974961.9121378521</v>
      </c>
      <c r="EH166" s="8">
        <f>+MINVU_Mes_Corriente!EH166*SALUD_Mes_Constante!$EC$1</f>
        <v>1974961.9121378521</v>
      </c>
      <c r="EI166" s="8">
        <f>+MINVU_Mes_Corriente!EI166*SALUD_Mes_Constante!$EC$1</f>
        <v>1974961.9121378521</v>
      </c>
      <c r="EJ166" s="8">
        <f>+MINVU_Mes_Corriente!EJ166*SALUD_Mes_Constante!$EC$1</f>
        <v>1974961.9121378521</v>
      </c>
      <c r="EK166" s="8">
        <f>+MINVU_Mes_Corriente!EK166*SALUD_Mes_Constante!$EC$1</f>
        <v>1974961.9121378521</v>
      </c>
      <c r="EL166" s="8">
        <f>+MINVU_Mes_Corriente!EL166*SALUD_Mes_Constante!$EC$1</f>
        <v>2092705.5445938262</v>
      </c>
      <c r="EM166" s="8">
        <f>+MINVU_Mes_Corriente!EM166*SALUD_Mes_Constante!$EC$1</f>
        <v>2092705.5445938262</v>
      </c>
      <c r="EN166" s="8">
        <f>+MINVU_Mes_Corriente!EN166*SALUD_Mes_Constante!$EC$1</f>
        <v>1237228.2957773146</v>
      </c>
      <c r="EO166" s="9">
        <f t="shared" si="86"/>
        <v>1237228.2957773146</v>
      </c>
      <c r="EP166" s="8">
        <f>+MINVU_Mes_Corriente!EP166*SALUD_Mes_Constante!$EP$1</f>
        <v>618741</v>
      </c>
      <c r="EQ166" s="8">
        <f>+MINVU_Mes_Corriente!EQ166*SALUD_Mes_Constante!$EP$1</f>
        <v>1194219</v>
      </c>
      <c r="ER166" s="8">
        <f>+MINVU_Mes_Corriente!ER166*SALUD_Mes_Constante!$EP$1</f>
        <v>1194219</v>
      </c>
      <c r="ES166" s="8">
        <f>+MINVU_Mes_Corriente!ES166*SALUD_Mes_Constante!$EP$1</f>
        <v>1906958</v>
      </c>
      <c r="ET166" s="8">
        <f>+MINVU_Mes_Corriente!ET166*SALUD_Mes_Constante!$EP$1</f>
        <v>1933308</v>
      </c>
      <c r="EU166" s="8">
        <f>+MINVU_Mes_Corriente!EU166*SALUD_Mes_Constante!$EP$1</f>
        <v>1933308</v>
      </c>
      <c r="EV166" s="8">
        <f>+MINVU_Mes_Corriente!EV166*SALUD_Mes_Constante!$EP$1</f>
        <v>1933308</v>
      </c>
      <c r="EW166" s="8">
        <f>+MINVU_Mes_Corriente!EW166*SALUD_Mes_Constante!$EP$1</f>
        <v>1933308</v>
      </c>
      <c r="EX166" s="8">
        <f>+MINVU_Mes_Corriente!EX166*SALUD_Mes_Constante!$EP$1</f>
        <v>1933308</v>
      </c>
      <c r="EY166" s="8">
        <f>+MINVU_Mes_Corriente!EY166*SALUD_Mes_Constante!$EP$1</f>
        <v>1933308</v>
      </c>
      <c r="EZ166" s="8">
        <f>+MINVU_Mes_Corriente!EZ166*SALUD_Mes_Constante!$EP$1</f>
        <v>1933308</v>
      </c>
      <c r="FA166" s="8">
        <f>+MINVU_Mes_Corriente!FA166*SALUD_Mes_Constante!$EP$1</f>
        <v>1757241</v>
      </c>
      <c r="FB166" s="9">
        <f t="shared" si="87"/>
        <v>1757241</v>
      </c>
      <c r="FC166" s="8">
        <f>+MINVU_Mes_Corriente!FC166*SALUD_Mes_Constante!$FC$1</f>
        <v>637922</v>
      </c>
      <c r="FD166" s="8">
        <f>+MINVU_Mes_Corriente!FD166*SALUD_Mes_Constante!$FC$1</f>
        <v>751281</v>
      </c>
      <c r="FE166" s="8">
        <f>+MINVU_Mes_Corriente!FE166*SALUD_Mes_Constante!$FC$1</f>
        <v>751281</v>
      </c>
      <c r="FF166" s="8">
        <f>+MINVU_Mes_Corriente!FF166*SALUD_Mes_Constante!$FC$1</f>
        <v>751281</v>
      </c>
      <c r="FG166" s="8">
        <f>+MINVU_Mes_Corriente!FG166*SALUD_Mes_Constante!$FC$1</f>
        <v>751281</v>
      </c>
      <c r="FH166" s="8">
        <f>+MINVU_Mes_Corriente!FH166*SALUD_Mes_Constante!$FC$1</f>
        <v>751281</v>
      </c>
      <c r="FI166" s="8">
        <f>+MINVU_Mes_Corriente!FI166*SALUD_Mes_Constante!$FC$1</f>
        <v>991805</v>
      </c>
      <c r="FJ166" s="8"/>
      <c r="FK166" s="8"/>
      <c r="FL166" s="8"/>
      <c r="FM166" s="8"/>
      <c r="FN166" s="8"/>
      <c r="FO166" s="9">
        <f t="shared" si="88"/>
        <v>991805</v>
      </c>
    </row>
    <row r="167" spans="2:171" ht="14.25" customHeight="1" x14ac:dyDescent="0.3">
      <c r="B167" s="7" t="s">
        <v>55</v>
      </c>
      <c r="C167" s="8">
        <f>+MINVU_Mes_Corriente!C167*SALUD_Mes_Constante!$C$1</f>
        <v>574229.92169657431</v>
      </c>
      <c r="D167" s="8">
        <f>+MINVU_Mes_Corriente!D167*SALUD_Mes_Constante!$C$1</f>
        <v>1444481.0416728461</v>
      </c>
      <c r="E167" s="8">
        <f>+MINVU_Mes_Corriente!E167*SALUD_Mes_Constante!$C$1</f>
        <v>1444481.0416728461</v>
      </c>
      <c r="F167" s="8">
        <f>+MINVU_Mes_Corriente!F167*SALUD_Mes_Constante!$C$1</f>
        <v>1444481.0416728461</v>
      </c>
      <c r="G167" s="8">
        <f>+MINVU_Mes_Corriente!G167*SALUD_Mes_Constante!$C$1</f>
        <v>1478881.0090464188</v>
      </c>
      <c r="H167" s="8">
        <f>+MINVU_Mes_Corriente!H167*SALUD_Mes_Constante!$C$1</f>
        <v>1515667.7475900936</v>
      </c>
      <c r="I167" s="8">
        <f>+MINVU_Mes_Corriente!I167*SALUD_Mes_Constante!$C$1</f>
        <v>1515667.7475900936</v>
      </c>
      <c r="J167" s="8">
        <f>+MINVU_Mes_Corriente!J167*SALUD_Mes_Constante!$C$1</f>
        <v>1515667.7475900936</v>
      </c>
      <c r="K167" s="8">
        <f>+MINVU_Mes_Corriente!K167*SALUD_Mes_Constante!$C$1</f>
        <v>1656903.6758119534</v>
      </c>
      <c r="L167" s="8">
        <f>+MINVU_Mes_Corriente!L167*SALUD_Mes_Constante!$C$1</f>
        <v>1658734.6679519503</v>
      </c>
      <c r="M167" s="8">
        <f>+MINVU_Mes_Corriente!M167*SALUD_Mes_Constante!$C$1</f>
        <v>2350107.5779326712</v>
      </c>
      <c r="N167" s="8">
        <f>+MINVU_Mes_Corriente!N167*SALUD_Mes_Constante!$C$1</f>
        <v>2527017.066290969</v>
      </c>
      <c r="O167" s="9">
        <f t="shared" si="76"/>
        <v>2527017.066290969</v>
      </c>
      <c r="P167" s="8">
        <f>+MINVU_Mes_Corriente!P167*SALUD_Mes_Constante!$P$1</f>
        <v>566585.82099730056</v>
      </c>
      <c r="Q167" s="8">
        <f>+MINVU_Mes_Corriente!Q167*SALUD_Mes_Constante!$P$1</f>
        <v>566585.82099730056</v>
      </c>
      <c r="R167" s="8">
        <f>+MINVU_Mes_Corriente!R167*SALUD_Mes_Constante!$P$1</f>
        <v>720068.2588435855</v>
      </c>
      <c r="S167" s="8">
        <f>+MINVU_Mes_Corriente!S167*SALUD_Mes_Constante!$P$1</f>
        <v>1907508.2361130835</v>
      </c>
      <c r="T167" s="8">
        <f>+MINVU_Mes_Corriente!T167*SALUD_Mes_Constante!$P$1</f>
        <v>2264629.6451200447</v>
      </c>
      <c r="U167" s="8">
        <f>+MINVU_Mes_Corriente!U167*SALUD_Mes_Constante!$P$1</f>
        <v>2264629.6451200447</v>
      </c>
      <c r="V167" s="8">
        <f>+MINVU_Mes_Corriente!V167*SALUD_Mes_Constante!$P$1</f>
        <v>2264629.6451200447</v>
      </c>
      <c r="W167" s="8">
        <f>+MINVU_Mes_Corriente!W167*SALUD_Mes_Constante!$P$1</f>
        <v>2298157.3621253008</v>
      </c>
      <c r="X167" s="8">
        <f>+MINVU_Mes_Corriente!X167*SALUD_Mes_Constante!$P$1</f>
        <v>2298157.3621253008</v>
      </c>
      <c r="Y167" s="8">
        <f>+MINVU_Mes_Corriente!Y167*SALUD_Mes_Constante!$P$1</f>
        <v>4460007.4803239079</v>
      </c>
      <c r="Z167" s="8">
        <f>+MINVU_Mes_Corriente!Z167*SALUD_Mes_Constante!$P$1</f>
        <v>6349677.7292228984</v>
      </c>
      <c r="AA167" s="8">
        <f>+MINVU_Mes_Corriente!AA167*SALUD_Mes_Constante!$P$1</f>
        <v>6306509.2413695101</v>
      </c>
      <c r="AB167" s="9">
        <f t="shared" si="77"/>
        <v>6306509.2413695101</v>
      </c>
      <c r="AC167" s="8">
        <f>+MINVU_Mes_Corriente!AC167*SALUD_Mes_Constante!$AC$1</f>
        <v>572659.03167796379</v>
      </c>
      <c r="AD167" s="8">
        <f>+MINVU_Mes_Corriente!AD167*SALUD_Mes_Constante!$AC$1</f>
        <v>1101653.3600774657</v>
      </c>
      <c r="AE167" s="8">
        <f>+MINVU_Mes_Corriente!AE167*SALUD_Mes_Constante!$AC$1</f>
        <v>1308490.1424816709</v>
      </c>
      <c r="AF167" s="8">
        <f>+MINVU_Mes_Corriente!AF167*SALUD_Mes_Constante!$AC$1</f>
        <v>1308490.1424816709</v>
      </c>
      <c r="AG167" s="8">
        <f>+MINVU_Mes_Corriente!AG167*SALUD_Mes_Constante!$AC$1</f>
        <v>1308490.1424816709</v>
      </c>
      <c r="AH167" s="8">
        <f>+MINVU_Mes_Corriente!AH167*SALUD_Mes_Constante!$AC$1</f>
        <v>1313981.1036104579</v>
      </c>
      <c r="AI167" s="8">
        <f>+MINVU_Mes_Corriente!AI167*SALUD_Mes_Constante!$AC$1</f>
        <v>1374901.6018813113</v>
      </c>
      <c r="AJ167" s="8">
        <f>+MINVU_Mes_Corriente!AJ167*SALUD_Mes_Constante!$AC$1</f>
        <v>1374901.6018813113</v>
      </c>
      <c r="AK167" s="8">
        <f>+MINVU_Mes_Corriente!AK167*SALUD_Mes_Constante!$AC$1</f>
        <v>1374901.6018813113</v>
      </c>
      <c r="AL167" s="8">
        <f>+MINVU_Mes_Corriente!AL167*SALUD_Mes_Constante!$AC$1</f>
        <v>1374901.6018813113</v>
      </c>
      <c r="AM167" s="8">
        <f>+MINVU_Mes_Corriente!AM167*SALUD_Mes_Constante!$AC$1</f>
        <v>1374901.6018813113</v>
      </c>
      <c r="AN167" s="8">
        <f>+MINVU_Mes_Corriente!AN167*SALUD_Mes_Constante!$AC$1</f>
        <v>1524520.8463134596</v>
      </c>
      <c r="AO167" s="9">
        <f t="shared" si="78"/>
        <v>1524520.8463134596</v>
      </c>
      <c r="AP167" s="8">
        <f>+MINVU_Mes_Corriente!AP167*SALUD_Mes_Constante!$AP$1</f>
        <v>576754.76558907074</v>
      </c>
      <c r="AQ167" s="8">
        <f>+MINVU_Mes_Corriente!AQ167*SALUD_Mes_Constante!$AP$1</f>
        <v>576754.76558907074</v>
      </c>
      <c r="AR167" s="8">
        <f>+MINVU_Mes_Corriente!AR167*SALUD_Mes_Constante!$AP$1</f>
        <v>576754.76558907074</v>
      </c>
      <c r="AS167" s="8">
        <f>+MINVU_Mes_Corriente!AS167*SALUD_Mes_Constante!$AP$1</f>
        <v>576754.76558907074</v>
      </c>
      <c r="AT167" s="8">
        <f>+MINVU_Mes_Corriente!AT167*SALUD_Mes_Constante!$AP$1</f>
        <v>576754.76558907074</v>
      </c>
      <c r="AU167" s="8">
        <f>+MINVU_Mes_Corriente!AU167*SALUD_Mes_Constante!$AP$1</f>
        <v>670099.42756661703</v>
      </c>
      <c r="AV167" s="8">
        <f>+MINVU_Mes_Corriente!AV167*SALUD_Mes_Constante!$AP$1</f>
        <v>781616.1571757067</v>
      </c>
      <c r="AW167" s="8">
        <f>+MINVU_Mes_Corriente!AW167*SALUD_Mes_Constante!$AP$1</f>
        <v>781616.1571757067</v>
      </c>
      <c r="AX167" s="8">
        <f>+MINVU_Mes_Corriente!AX167*SALUD_Mes_Constante!$AP$1</f>
        <v>1060980.661436494</v>
      </c>
      <c r="AY167" s="8">
        <f>+MINVU_Mes_Corriente!AY167*SALUD_Mes_Constante!$AP$1</f>
        <v>1062641.8035979981</v>
      </c>
      <c r="AZ167" s="8">
        <f>+MINVU_Mes_Corriente!AZ167*SALUD_Mes_Constante!$AP$1</f>
        <v>1062641.8035979981</v>
      </c>
      <c r="BA167" s="8">
        <f>+MINVU_Mes_Corriente!BA167*SALUD_Mes_Constante!$AP$1</f>
        <v>1062641.8035979981</v>
      </c>
      <c r="BB167" s="9">
        <f t="shared" si="79"/>
        <v>1062641.8035979981</v>
      </c>
      <c r="BC167" s="8">
        <f>+MINVU_Mes_Corriente!BC167*SALUD_Mes_Constante!$BC$1</f>
        <v>576923.92245813017</v>
      </c>
      <c r="BD167" s="8">
        <f>+MINVU_Mes_Corriente!BD167*SALUD_Mes_Constante!$BC$1</f>
        <v>576923.92245813017</v>
      </c>
      <c r="BE167" s="8">
        <f>+MINVU_Mes_Corriente!BE167*SALUD_Mes_Constante!$BC$1</f>
        <v>576923.92245813017</v>
      </c>
      <c r="BF167" s="8">
        <f>+MINVU_Mes_Corriente!BF167*SALUD_Mes_Constante!$BC$1</f>
        <v>576923.92245813017</v>
      </c>
      <c r="BG167" s="8">
        <f>+MINVU_Mes_Corriente!BG167*SALUD_Mes_Constante!$BC$1</f>
        <v>576923.92245813017</v>
      </c>
      <c r="BH167" s="8">
        <f>+MINVU_Mes_Corriente!BH167*SALUD_Mes_Constante!$BC$1</f>
        <v>579801.30898061465</v>
      </c>
      <c r="BI167" s="8">
        <f>+MINVU_Mes_Corriente!BI167*SALUD_Mes_Constante!$BC$1</f>
        <v>520985.62653303455</v>
      </c>
      <c r="BJ167" s="8">
        <f>+MINVU_Mes_Corriente!BJ167*SALUD_Mes_Constante!$BC$1</f>
        <v>533477.83542133728</v>
      </c>
      <c r="BK167" s="8">
        <f>+MINVU_Mes_Corriente!BK167*SALUD_Mes_Constante!$BC$1</f>
        <v>6333463.4550969293</v>
      </c>
      <c r="BL167" s="8">
        <f>+MINVU_Mes_Corriente!BL167*SALUD_Mes_Constante!$BC$1</f>
        <v>6622938.3370697629</v>
      </c>
      <c r="BM167" s="8">
        <f>+MINVU_Mes_Corriente!BM167*SALUD_Mes_Constante!$BC$1</f>
        <v>6623514.6788869854</v>
      </c>
      <c r="BN167" s="8">
        <f>+MINVU_Mes_Corriente!BN167*SALUD_Mes_Constante!$BC$1</f>
        <v>7009224.2357905861</v>
      </c>
      <c r="BO167" s="9">
        <f t="shared" si="80"/>
        <v>7009224.2357905861</v>
      </c>
      <c r="BP167" s="8">
        <f>+MINVU_Mes_Corriente!BP167*SALUD_Mes_Constante!$BP$1</f>
        <v>0</v>
      </c>
      <c r="BQ167" s="8">
        <f>+MINVU_Mes_Corriente!BQ167*SALUD_Mes_Constante!$BP$1</f>
        <v>0</v>
      </c>
      <c r="BR167" s="8">
        <f>+MINVU_Mes_Corriente!BR167*SALUD_Mes_Constante!$BP$1</f>
        <v>0</v>
      </c>
      <c r="BS167" s="8">
        <f>+MINVU_Mes_Corriente!BS167*SALUD_Mes_Constante!$BP$1</f>
        <v>932324.95313700393</v>
      </c>
      <c r="BT167" s="8">
        <f>+MINVU_Mes_Corriente!BT167*SALUD_Mes_Constante!$BP$1</f>
        <v>1010042.2486555699</v>
      </c>
      <c r="BU167" s="8">
        <f>+MINVU_Mes_Corriente!BU167*SALUD_Mes_Constante!$BP$1</f>
        <v>1010042.2486555699</v>
      </c>
      <c r="BV167" s="8">
        <f>+MINVU_Mes_Corriente!BV167*SALUD_Mes_Constante!$BP$1</f>
        <v>1063063.4266325226</v>
      </c>
      <c r="BW167" s="8">
        <f>+MINVU_Mes_Corriente!BW167*SALUD_Mes_Constante!$BP$1</f>
        <v>1150499.4061459668</v>
      </c>
      <c r="BX167" s="8">
        <f>+MINVU_Mes_Corriente!BX167*SALUD_Mes_Constante!$BP$1</f>
        <v>1461785.4829705507</v>
      </c>
      <c r="BY167" s="8">
        <f>+MINVU_Mes_Corriente!BY167*SALUD_Mes_Constante!$BP$1</f>
        <v>1461785.4829705507</v>
      </c>
      <c r="BZ167" s="8">
        <f>+MINVU_Mes_Corriente!BZ167*SALUD_Mes_Constante!$BP$1</f>
        <v>1461785.4829705507</v>
      </c>
      <c r="CA167" s="8">
        <f>+MINVU_Mes_Corriente!CA167*SALUD_Mes_Constante!$BP$1</f>
        <v>1461785.4829705507</v>
      </c>
      <c r="CB167" s="9">
        <f t="shared" si="81"/>
        <v>1461785.4829705507</v>
      </c>
      <c r="CC167" s="8">
        <f>+MINVU_Mes_Corriente!CC167*SALUD_Mes_Constante!$CC$1</f>
        <v>170501.5680716151</v>
      </c>
      <c r="CD167" s="8">
        <f>+MINVU_Mes_Corriente!CD167*SALUD_Mes_Constante!$CC$1</f>
        <v>170501.5680716151</v>
      </c>
      <c r="CE167" s="8">
        <f>+MINVU_Mes_Corriente!CE167*SALUD_Mes_Constante!$CC$1</f>
        <v>170501.5680716151</v>
      </c>
      <c r="CF167" s="8">
        <f>+MINVU_Mes_Corriente!CF167*SALUD_Mes_Constante!$CC$1</f>
        <v>454349.34875046631</v>
      </c>
      <c r="CG167" s="8">
        <f>+MINVU_Mes_Corriente!CG167*SALUD_Mes_Constante!$CC$1</f>
        <v>454349.34875046631</v>
      </c>
      <c r="CH167" s="8">
        <f>+MINVU_Mes_Corriente!CH167*SALUD_Mes_Constante!$CC$1</f>
        <v>795061.77694889973</v>
      </c>
      <c r="CI167" s="8">
        <f>+MINVU_Mes_Corriente!CI167*SALUD_Mes_Constante!$CC$1</f>
        <v>795061.77694889973</v>
      </c>
      <c r="CJ167" s="8">
        <f>+MINVU_Mes_Corriente!CJ167*SALUD_Mes_Constante!$CC$1</f>
        <v>2324201.8679597168</v>
      </c>
      <c r="CK167" s="8">
        <f>+MINVU_Mes_Corriente!CK167*SALUD_Mes_Constante!$CC$1</f>
        <v>2348827.8194703469</v>
      </c>
      <c r="CL167" s="8">
        <f>+MINVU_Mes_Corriente!CL167*SALUD_Mes_Constante!$CC$1</f>
        <v>2628668.1775456923</v>
      </c>
      <c r="CM167" s="8">
        <f>+MINVU_Mes_Corriente!CM167*SALUD_Mes_Constante!$CC$1</f>
        <v>2628668.1775456923</v>
      </c>
      <c r="CN167" s="8">
        <f>+MINVU_Mes_Corriente!CN167*SALUD_Mes_Constante!$CC$1</f>
        <v>2628668.1775456923</v>
      </c>
      <c r="CO167" s="9">
        <f t="shared" si="82"/>
        <v>2628668.1775456923</v>
      </c>
      <c r="CP167" s="8">
        <f>+MINVU_Mes_Corriente!CP167*SALUD_Mes_Constante!$CP$1</f>
        <v>693582.98700696044</v>
      </c>
      <c r="CQ167" s="8">
        <f>+MINVU_Mes_Corriente!CQ167*SALUD_Mes_Constante!$CP$1</f>
        <v>693582.98700696044</v>
      </c>
      <c r="CR167" s="8">
        <f>+MINVU_Mes_Corriente!CR167*SALUD_Mes_Constante!$CP$1</f>
        <v>1962043.4213457073</v>
      </c>
      <c r="CS167" s="8">
        <f>+MINVU_Mes_Corriente!CS167*SALUD_Mes_Constante!$CP$1</f>
        <v>1962043.4213457073</v>
      </c>
      <c r="CT167" s="8">
        <f>+MINVU_Mes_Corriente!CT167*SALUD_Mes_Constante!$CP$1</f>
        <v>2298337.3357308581</v>
      </c>
      <c r="CU167" s="8">
        <f>+MINVU_Mes_Corriente!CU167*SALUD_Mes_Constante!$CP$1</f>
        <v>2316437.4842227371</v>
      </c>
      <c r="CV167" s="8">
        <f>+MINVU_Mes_Corriente!CV167*SALUD_Mes_Constante!$CP$1</f>
        <v>2817878.7758700689</v>
      </c>
      <c r="CW167" s="8">
        <f>+MINVU_Mes_Corriente!CW167*SALUD_Mes_Constante!$CP$1</f>
        <v>3165409.2320185606</v>
      </c>
      <c r="CX167" s="8">
        <f>+MINVU_Mes_Corriente!CX167*SALUD_Mes_Constante!$CP$1</f>
        <v>3165409.2320185606</v>
      </c>
      <c r="CY167" s="8">
        <f>+MINVU_Mes_Corriente!CY167*SALUD_Mes_Constante!$CP$1</f>
        <v>3362159.6206496512</v>
      </c>
      <c r="CZ167" s="8">
        <f>+MINVU_Mes_Corriente!CZ167*SALUD_Mes_Constante!$CP$1</f>
        <v>3362159.6206496512</v>
      </c>
      <c r="DA167" s="8">
        <f>+MINVU_Mes_Corriente!DA167*SALUD_Mes_Constante!$CP$1</f>
        <v>3264455.5767981433</v>
      </c>
      <c r="DB167" s="9">
        <f t="shared" si="83"/>
        <v>3264455.5767981433</v>
      </c>
      <c r="DC167" s="8">
        <f>+MINVU_Mes_Corriente!DC167*SALUD_Mes_Constante!$DC$1</f>
        <v>837889.66217467375</v>
      </c>
      <c r="DD167" s="8">
        <f>+MINVU_Mes_Corriente!DD167*SALUD_Mes_Constante!$DC$1</f>
        <v>837889.66217467375</v>
      </c>
      <c r="DE167" s="8">
        <f>+MINVU_Mes_Corriente!DE167*SALUD_Mes_Constante!$DC$1</f>
        <v>837889.66217467375</v>
      </c>
      <c r="DF167" s="8">
        <f>+MINVU_Mes_Corriente!DF167*SALUD_Mes_Constante!$DC$1</f>
        <v>837889.66217467375</v>
      </c>
      <c r="DG167" s="8">
        <f>+MINVU_Mes_Corriente!DG167*SALUD_Mes_Constante!$DC$1</f>
        <v>837889.66217467375</v>
      </c>
      <c r="DH167" s="8">
        <f>+MINVU_Mes_Corriente!DH167*SALUD_Mes_Constante!$DC$1</f>
        <v>837889.66217467375</v>
      </c>
      <c r="DI167" s="8">
        <f>+MINVU_Mes_Corriente!DI167*SALUD_Mes_Constante!$DC$1</f>
        <v>1051376.5762781613</v>
      </c>
      <c r="DJ167" s="8">
        <f>+MINVU_Mes_Corriente!DJ167*SALUD_Mes_Constante!$DC$1</f>
        <v>1841428.319308714</v>
      </c>
      <c r="DK167" s="8">
        <f>+MINVU_Mes_Corriente!DK167*SALUD_Mes_Constante!$DC$1</f>
        <v>2840129.4593148865</v>
      </c>
      <c r="DL167" s="8">
        <f>+MINVU_Mes_Corriente!DL167*SALUD_Mes_Constante!$DC$1</f>
        <v>2840129.4593148865</v>
      </c>
      <c r="DM167" s="8">
        <f>+MINVU_Mes_Corriente!DM167*SALUD_Mes_Constante!$DC$1</f>
        <v>2840129.4593148865</v>
      </c>
      <c r="DN167" s="8">
        <f>+MINVU_Mes_Corriente!DN167*SALUD_Mes_Constante!$DC$1</f>
        <v>3070665.6990021616</v>
      </c>
      <c r="DO167" s="9">
        <f t="shared" si="84"/>
        <v>3070665.6990021616</v>
      </c>
      <c r="DP167" s="8">
        <f>+MINVU_Mes_Corriente!DP167*SALUD_Mes_Constante!$DP$1</f>
        <v>856914.58788598585</v>
      </c>
      <c r="DQ167" s="8">
        <f>+MINVU_Mes_Corriente!DQ167*SALUD_Mes_Constante!$DP$1</f>
        <v>2207605.6532066511</v>
      </c>
      <c r="DR167" s="8">
        <f>+MINVU_Mes_Corriente!DR167*SALUD_Mes_Constante!$DP$1</f>
        <v>2221801.6674584327</v>
      </c>
      <c r="DS167" s="8">
        <f>+MINVU_Mes_Corriente!DS167*SALUD_Mes_Constante!$DP$1</f>
        <v>2224505.0522565325</v>
      </c>
      <c r="DT167" s="8">
        <f>+MINVU_Mes_Corriente!DT167*SALUD_Mes_Constante!$DP$1</f>
        <v>2224505.0522565325</v>
      </c>
      <c r="DU167" s="8">
        <f>+MINVU_Mes_Corriente!DU167*SALUD_Mes_Constante!$DP$1</f>
        <v>2558412.0035629454</v>
      </c>
      <c r="DV167" s="8">
        <f>+MINVU_Mes_Corriente!DV167*SALUD_Mes_Constante!$DP$1</f>
        <v>2574758.8307600953</v>
      </c>
      <c r="DW167" s="8">
        <f>+MINVU_Mes_Corriente!DW167*SALUD_Mes_Constante!$DP$1</f>
        <v>2594523.8176959623</v>
      </c>
      <c r="DX167" s="8">
        <f>+MINVU_Mes_Corriente!DX167*SALUD_Mes_Constante!$DP$1</f>
        <v>2598665.4032066511</v>
      </c>
      <c r="DY167" s="8">
        <f>+MINVU_Mes_Corriente!DY167*SALUD_Mes_Constante!$DP$1</f>
        <v>2598665.4032066511</v>
      </c>
      <c r="DZ167" s="8">
        <f>+MINVU_Mes_Corriente!DZ167*SALUD_Mes_Constante!$DP$1</f>
        <v>2598665.4032066511</v>
      </c>
      <c r="EA167" s="8">
        <f>+MINVU_Mes_Corriente!EA167*SALUD_Mes_Constante!$DP$1</f>
        <v>3143779.1579572451</v>
      </c>
      <c r="EB167" s="9">
        <f t="shared" si="85"/>
        <v>3143779.1579572451</v>
      </c>
      <c r="EC167" s="8">
        <f>+MINVU_Mes_Corriente!EC167*SALUD_Mes_Constante!$EC$1</f>
        <v>750861.9884491571</v>
      </c>
      <c r="ED167" s="8">
        <f>+MINVU_Mes_Corriente!ED167*SALUD_Mes_Constante!$EC$1</f>
        <v>750861.9884491571</v>
      </c>
      <c r="EE167" s="8">
        <f>+MINVU_Mes_Corriente!EE167*SALUD_Mes_Constante!$EC$1</f>
        <v>1781320.7513728454</v>
      </c>
      <c r="EF167" s="8">
        <f>+MINVU_Mes_Corriente!EF167*SALUD_Mes_Constante!$EC$1</f>
        <v>1995646.0032190867</v>
      </c>
      <c r="EG167" s="8">
        <f>+MINVU_Mes_Corriente!EG167*SALUD_Mes_Constante!$EC$1</f>
        <v>2065219.8581708004</v>
      </c>
      <c r="EH167" s="8">
        <f>+MINVU_Mes_Corriente!EH167*SALUD_Mes_Constante!$EC$1</f>
        <v>2136746.7795871985</v>
      </c>
      <c r="EI167" s="8">
        <f>+MINVU_Mes_Corriente!EI167*SALUD_Mes_Constante!$EC$1</f>
        <v>2136746.7795871985</v>
      </c>
      <c r="EJ167" s="8">
        <f>+MINVU_Mes_Corriente!EJ167*SALUD_Mes_Constante!$EC$1</f>
        <v>2188979.9284226466</v>
      </c>
      <c r="EK167" s="8">
        <f>+MINVU_Mes_Corriente!EK167*SALUD_Mes_Constante!$EC$1</f>
        <v>2188979.9284226466</v>
      </c>
      <c r="EL167" s="8">
        <f>+MINVU_Mes_Corriente!EL167*SALUD_Mes_Constante!$EC$1</f>
        <v>2270614.5894716904</v>
      </c>
      <c r="EM167" s="8">
        <f>+MINVU_Mes_Corriente!EM167*SALUD_Mes_Constante!$EC$1</f>
        <v>2270614.5894716904</v>
      </c>
      <c r="EN167" s="8">
        <f>+MINVU_Mes_Corriente!EN167*SALUD_Mes_Constante!$EC$1</f>
        <v>2188979.9284226466</v>
      </c>
      <c r="EO167" s="9">
        <f t="shared" si="86"/>
        <v>2188979.9284226466</v>
      </c>
      <c r="EP167" s="8">
        <f>+MINVU_Mes_Corriente!EP167*SALUD_Mes_Constante!$EP$1</f>
        <v>756332</v>
      </c>
      <c r="EQ167" s="8">
        <f>+MINVU_Mes_Corriente!EQ167*SALUD_Mes_Constante!$EP$1</f>
        <v>774305</v>
      </c>
      <c r="ER167" s="8">
        <f>+MINVU_Mes_Corriente!ER167*SALUD_Mes_Constante!$EP$1</f>
        <v>774305</v>
      </c>
      <c r="ES167" s="8">
        <f>+MINVU_Mes_Corriente!ES167*SALUD_Mes_Constante!$EP$1</f>
        <v>2309062</v>
      </c>
      <c r="ET167" s="8">
        <f>+MINVU_Mes_Corriente!ET167*SALUD_Mes_Constante!$EP$1</f>
        <v>2317701</v>
      </c>
      <c r="EU167" s="8">
        <f>+MINVU_Mes_Corriente!EU167*SALUD_Mes_Constante!$EP$1</f>
        <v>2317701</v>
      </c>
      <c r="EV167" s="8">
        <f>+MINVU_Mes_Corriente!EV167*SALUD_Mes_Constante!$EP$1</f>
        <v>2317701</v>
      </c>
      <c r="EW167" s="8">
        <f>+MINVU_Mes_Corriente!EW167*SALUD_Mes_Constante!$EP$1</f>
        <v>2317701</v>
      </c>
      <c r="EX167" s="8">
        <f>+MINVU_Mes_Corriente!EX167*SALUD_Mes_Constante!$EP$1</f>
        <v>2317701</v>
      </c>
      <c r="EY167" s="8">
        <f>+MINVU_Mes_Corriente!EY167*SALUD_Mes_Constante!$EP$1</f>
        <v>2317701</v>
      </c>
      <c r="EZ167" s="8">
        <f>+MINVU_Mes_Corriente!EZ167*SALUD_Mes_Constante!$EP$1</f>
        <v>2317701</v>
      </c>
      <c r="FA167" s="8">
        <f>+MINVU_Mes_Corriente!FA167*SALUD_Mes_Constante!$EP$1</f>
        <v>2060222</v>
      </c>
      <c r="FB167" s="9">
        <f t="shared" si="87"/>
        <v>2060222</v>
      </c>
      <c r="FC167" s="8">
        <f>+MINVU_Mes_Corriente!FC167*SALUD_Mes_Constante!$FC$1</f>
        <v>779779</v>
      </c>
      <c r="FD167" s="8">
        <f>+MINVU_Mes_Corriente!FD167*SALUD_Mes_Constante!$FC$1</f>
        <v>1037259</v>
      </c>
      <c r="FE167" s="8">
        <f>+MINVU_Mes_Corriente!FE167*SALUD_Mes_Constante!$FC$1</f>
        <v>1037259</v>
      </c>
      <c r="FF167" s="8">
        <f>+MINVU_Mes_Corriente!FF167*SALUD_Mes_Constante!$FC$1</f>
        <v>1037259</v>
      </c>
      <c r="FG167" s="8">
        <f>+MINVU_Mes_Corriente!FG167*SALUD_Mes_Constante!$FC$1</f>
        <v>1037259</v>
      </c>
      <c r="FH167" s="8">
        <f>+MINVU_Mes_Corriente!FH167*SALUD_Mes_Constante!$FC$1</f>
        <v>1037259</v>
      </c>
      <c r="FI167" s="8">
        <f>+MINVU_Mes_Corriente!FI167*SALUD_Mes_Constante!$FC$1</f>
        <v>1974248</v>
      </c>
      <c r="FJ167" s="8"/>
      <c r="FK167" s="8"/>
      <c r="FL167" s="8"/>
      <c r="FM167" s="8"/>
      <c r="FN167" s="8"/>
      <c r="FO167" s="9">
        <f t="shared" si="88"/>
        <v>1974248</v>
      </c>
    </row>
    <row r="168" spans="2:171" ht="14.25" customHeight="1" x14ac:dyDescent="0.3">
      <c r="B168" s="7" t="s">
        <v>56</v>
      </c>
      <c r="C168" s="8">
        <f>+MINVU_Mes_Corriente!C168*SALUD_Mes_Constante!$C$1</f>
        <v>293124.01779623318</v>
      </c>
      <c r="D168" s="8">
        <f>+MINVU_Mes_Corriente!D168*SALUD_Mes_Constante!$C$1</f>
        <v>293124.01779623318</v>
      </c>
      <c r="E168" s="8">
        <f>+MINVU_Mes_Corriente!E168*SALUD_Mes_Constante!$C$1</f>
        <v>293124.01779623318</v>
      </c>
      <c r="F168" s="8">
        <f>+MINVU_Mes_Corriente!F168*SALUD_Mes_Constante!$C$1</f>
        <v>293124.01779623318</v>
      </c>
      <c r="G168" s="8">
        <f>+MINVU_Mes_Corriente!G168*SALUD_Mes_Constante!$C$1</f>
        <v>330497.32196351775</v>
      </c>
      <c r="H168" s="8">
        <f>+MINVU_Mes_Corriente!H168*SALUD_Mes_Constante!$C$1</f>
        <v>346101.26382915623</v>
      </c>
      <c r="I168" s="8">
        <f>+MINVU_Mes_Corriente!I168*SALUD_Mes_Constante!$C$1</f>
        <v>346101.26382915623</v>
      </c>
      <c r="J168" s="8">
        <f>+MINVU_Mes_Corriente!J168*SALUD_Mes_Constante!$C$1</f>
        <v>346101.26382915623</v>
      </c>
      <c r="K168" s="8">
        <f>+MINVU_Mes_Corriente!K168*SALUD_Mes_Constante!$C$1</f>
        <v>444966.73765386333</v>
      </c>
      <c r="L168" s="8">
        <f>+MINVU_Mes_Corriente!L168*SALUD_Mes_Constante!$C$1</f>
        <v>447377.81402936386</v>
      </c>
      <c r="M168" s="8">
        <f>+MINVU_Mes_Corriente!M168*SALUD_Mes_Constante!$C$1</f>
        <v>2293434.3203321965</v>
      </c>
      <c r="N168" s="8">
        <f>+MINVU_Mes_Corriente!N168*SALUD_Mes_Constante!$C$1</f>
        <v>4470048.1014385298</v>
      </c>
      <c r="O168" s="9">
        <f t="shared" si="76"/>
        <v>4470048.1014385298</v>
      </c>
      <c r="P168" s="8">
        <f>+MINVU_Mes_Corriente!P168*SALUD_Mes_Constante!$P$1</f>
        <v>289221.57323483436</v>
      </c>
      <c r="Q168" s="8">
        <f>+MINVU_Mes_Corriente!Q168*SALUD_Mes_Constante!$P$1</f>
        <v>289221.57323483436</v>
      </c>
      <c r="R168" s="8">
        <f>+MINVU_Mes_Corriente!R168*SALUD_Mes_Constante!$P$1</f>
        <v>787356.52422219038</v>
      </c>
      <c r="S168" s="8">
        <f>+MINVU_Mes_Corriente!S168*SALUD_Mes_Constante!$P$1</f>
        <v>945681.85452479008</v>
      </c>
      <c r="T168" s="8">
        <f>+MINVU_Mes_Corriente!T168*SALUD_Mes_Constante!$P$1</f>
        <v>2326707.144480749</v>
      </c>
      <c r="U168" s="8">
        <f>+MINVU_Mes_Corriente!U168*SALUD_Mes_Constante!$P$1</f>
        <v>2404286.5563290231</v>
      </c>
      <c r="V168" s="8">
        <f>+MINVU_Mes_Corriente!V168*SALUD_Mes_Constante!$P$1</f>
        <v>2404286.5563290231</v>
      </c>
      <c r="W168" s="8">
        <f>+MINVU_Mes_Corriente!W168*SALUD_Mes_Constante!$P$1</f>
        <v>2522355.3430885058</v>
      </c>
      <c r="X168" s="8">
        <f>+MINVU_Mes_Corriente!X168*SALUD_Mes_Constante!$P$1</f>
        <v>2522355.3430885058</v>
      </c>
      <c r="Y168" s="8">
        <f>+MINVU_Mes_Corriente!Y168*SALUD_Mes_Constante!$P$1</f>
        <v>2668002.2292939327</v>
      </c>
      <c r="Z168" s="8">
        <f>+MINVU_Mes_Corriente!Z168*SALUD_Mes_Constante!$P$1</f>
        <v>3574625.84571672</v>
      </c>
      <c r="AA168" s="8">
        <f>+MINVU_Mes_Corriente!AA168*SALUD_Mes_Constante!$P$1</f>
        <v>5851994.4710896416</v>
      </c>
      <c r="AB168" s="9">
        <f t="shared" si="77"/>
        <v>5851994.4710896416</v>
      </c>
      <c r="AC168" s="8">
        <f>+MINVU_Mes_Corriente!AC168*SALUD_Mes_Constante!$AC$1</f>
        <v>292322.26587356481</v>
      </c>
      <c r="AD168" s="8">
        <f>+MINVU_Mes_Corriente!AD168*SALUD_Mes_Constante!$AC$1</f>
        <v>733654.67699543503</v>
      </c>
      <c r="AE168" s="8">
        <f>+MINVU_Mes_Corriente!AE168*SALUD_Mes_Constante!$AC$1</f>
        <v>733654.67699543503</v>
      </c>
      <c r="AF168" s="8">
        <f>+MINVU_Mes_Corriente!AF168*SALUD_Mes_Constante!$AC$1</f>
        <v>733654.67699543503</v>
      </c>
      <c r="AG168" s="8">
        <f>+MINVU_Mes_Corriente!AG168*SALUD_Mes_Constante!$AC$1</f>
        <v>779659.04661778943</v>
      </c>
      <c r="AH168" s="8">
        <f>+MINVU_Mes_Corriente!AH168*SALUD_Mes_Constante!$AC$1</f>
        <v>785150.00774657633</v>
      </c>
      <c r="AI168" s="8">
        <f>+MINVU_Mes_Corriente!AI168*SALUD_Mes_Constante!$AC$1</f>
        <v>856827.22783234192</v>
      </c>
      <c r="AJ168" s="8">
        <f>+MINVU_Mes_Corriente!AJ168*SALUD_Mes_Constante!$AC$1</f>
        <v>856827.22783234192</v>
      </c>
      <c r="AK168" s="8">
        <f>+MINVU_Mes_Corriente!AK168*SALUD_Mes_Constante!$AC$1</f>
        <v>856827.22783234192</v>
      </c>
      <c r="AL168" s="8">
        <f>+MINVU_Mes_Corriente!AL168*SALUD_Mes_Constante!$AC$1</f>
        <v>1110744.5054641028</v>
      </c>
      <c r="AM168" s="8">
        <f>+MINVU_Mes_Corriente!AM168*SALUD_Mes_Constante!$AC$1</f>
        <v>1129405.9139576706</v>
      </c>
      <c r="AN168" s="8">
        <f>+MINVU_Mes_Corriente!AN168*SALUD_Mes_Constante!$AC$1</f>
        <v>1217633.0994605063</v>
      </c>
      <c r="AO168" s="9">
        <f t="shared" si="78"/>
        <v>1217633.0994605063</v>
      </c>
      <c r="AP168" s="8">
        <f>+MINVU_Mes_Corriente!AP168*SALUD_Mes_Constante!$AP$1</f>
        <v>294412.32409035572</v>
      </c>
      <c r="AQ168" s="8">
        <f>+MINVU_Mes_Corriente!AQ168*SALUD_Mes_Constante!$AP$1</f>
        <v>294412.32409035572</v>
      </c>
      <c r="AR168" s="8">
        <f>+MINVU_Mes_Corriente!AR168*SALUD_Mes_Constante!$AP$1</f>
        <v>294412.32409035572</v>
      </c>
      <c r="AS168" s="8">
        <f>+MINVU_Mes_Corriente!AS168*SALUD_Mes_Constante!$AP$1</f>
        <v>294412.32409035572</v>
      </c>
      <c r="AT168" s="8">
        <f>+MINVU_Mes_Corriente!AT168*SALUD_Mes_Constante!$AP$1</f>
        <v>294412.32409035572</v>
      </c>
      <c r="AU168" s="8">
        <f>+MINVU_Mes_Corriente!AU168*SALUD_Mes_Constante!$AP$1</f>
        <v>294412.32409035572</v>
      </c>
      <c r="AV168" s="8">
        <f>+MINVU_Mes_Corriente!AV168*SALUD_Mes_Constante!$AP$1</f>
        <v>294412.32409035572</v>
      </c>
      <c r="AW168" s="8">
        <f>+MINVU_Mes_Corriente!AW168*SALUD_Mes_Constante!$AP$1</f>
        <v>368577.00121736777</v>
      </c>
      <c r="AX168" s="8">
        <f>+MINVU_Mes_Corriente!AX168*SALUD_Mes_Constante!$AP$1</f>
        <v>432126.03408629785</v>
      </c>
      <c r="AY168" s="8">
        <f>+MINVU_Mes_Corriente!AY168*SALUD_Mes_Constante!$AP$1</f>
        <v>438037.57202759362</v>
      </c>
      <c r="AZ168" s="8">
        <f>+MINVU_Mes_Corriente!AZ168*SALUD_Mes_Constante!$AP$1</f>
        <v>639842.69849857967</v>
      </c>
      <c r="BA168" s="8">
        <f>+MINVU_Mes_Corriente!BA168*SALUD_Mes_Constante!$AP$1</f>
        <v>643261.04531313397</v>
      </c>
      <c r="BB168" s="9">
        <f t="shared" si="79"/>
        <v>643261.04531313397</v>
      </c>
      <c r="BC168" s="8">
        <f>+MINVU_Mes_Corriente!BC168*SALUD_Mes_Constante!$BC$1</f>
        <v>294499.14176447323</v>
      </c>
      <c r="BD168" s="8">
        <f>+MINVU_Mes_Corriente!BD168*SALUD_Mes_Constante!$BC$1</f>
        <v>294499.14176447323</v>
      </c>
      <c r="BE168" s="8">
        <f>+MINVU_Mes_Corriente!BE168*SALUD_Mes_Constante!$BC$1</f>
        <v>294499.14176447323</v>
      </c>
      <c r="BF168" s="8">
        <f>+MINVU_Mes_Corriente!BF168*SALUD_Mes_Constante!$BC$1</f>
        <v>294499.14176447323</v>
      </c>
      <c r="BG168" s="8">
        <f>+MINVU_Mes_Corriente!BG168*SALUD_Mes_Constante!$BC$1</f>
        <v>294499.14176447323</v>
      </c>
      <c r="BH168" s="8">
        <f>+MINVU_Mes_Corriente!BH168*SALUD_Mes_Constante!$BC$1</f>
        <v>297376.52828695776</v>
      </c>
      <c r="BI168" s="8">
        <f>+MINVU_Mes_Corriente!BI168*SALUD_Mes_Constante!$BC$1</f>
        <v>273845.9327442965</v>
      </c>
      <c r="BJ168" s="8">
        <f>+MINVU_Mes_Corriente!BJ168*SALUD_Mes_Constante!$BC$1</f>
        <v>426820.01872609794</v>
      </c>
      <c r="BK168" s="8">
        <f>+MINVU_Mes_Corriente!BK168*SALUD_Mes_Constante!$BC$1</f>
        <v>8474728.9183700401</v>
      </c>
      <c r="BL168" s="8">
        <f>+MINVU_Mes_Corriente!BL168*SALUD_Mes_Constante!$BC$1</f>
        <v>8965171.3102993555</v>
      </c>
      <c r="BM168" s="8">
        <f>+MINVU_Mes_Corriente!BM168*SALUD_Mes_Constante!$BC$1</f>
        <v>8978692.2893314008</v>
      </c>
      <c r="BN168" s="8">
        <f>+MINVU_Mes_Corriente!BN168*SALUD_Mes_Constante!$BC$1</f>
        <v>10987158.511934593</v>
      </c>
      <c r="BO168" s="9">
        <f t="shared" si="80"/>
        <v>10987158.511934593</v>
      </c>
      <c r="BP168" s="8">
        <f>+MINVU_Mes_Corriente!BP168*SALUD_Mes_Constante!$BP$1</f>
        <v>0</v>
      </c>
      <c r="BQ168" s="8">
        <f>+MINVU_Mes_Corriente!BQ168*SALUD_Mes_Constante!$BP$1</f>
        <v>0</v>
      </c>
      <c r="BR168" s="8">
        <f>+MINVU_Mes_Corriente!BR168*SALUD_Mes_Constante!$BP$1</f>
        <v>1418138.8409731116</v>
      </c>
      <c r="BS168" s="8">
        <f>+MINVU_Mes_Corriente!BS168*SALUD_Mes_Constante!$BP$1</f>
        <v>2172042.6338028172</v>
      </c>
      <c r="BT168" s="8">
        <f>+MINVU_Mes_Corriente!BT168*SALUD_Mes_Constante!$BP$1</f>
        <v>2210389.9559539054</v>
      </c>
      <c r="BU168" s="8">
        <f>+MINVU_Mes_Corriente!BU168*SALUD_Mes_Constante!$BP$1</f>
        <v>2210389.9559539054</v>
      </c>
      <c r="BV168" s="8">
        <f>+MINVU_Mes_Corriente!BV168*SALUD_Mes_Constante!$BP$1</f>
        <v>2242507.6394366198</v>
      </c>
      <c r="BW168" s="8">
        <f>+MINVU_Mes_Corriente!BW168*SALUD_Mes_Constante!$BP$1</f>
        <v>2287974.3487836109</v>
      </c>
      <c r="BX168" s="8">
        <f>+MINVU_Mes_Corriente!BX168*SALUD_Mes_Constante!$BP$1</f>
        <v>2287974.3487836109</v>
      </c>
      <c r="BY168" s="8">
        <f>+MINVU_Mes_Corriente!BY168*SALUD_Mes_Constante!$BP$1</f>
        <v>2287974.3487836109</v>
      </c>
      <c r="BZ168" s="8">
        <f>+MINVU_Mes_Corriente!BZ168*SALUD_Mes_Constante!$BP$1</f>
        <v>2287974.3487836109</v>
      </c>
      <c r="CA168" s="8">
        <f>+MINVU_Mes_Corriente!CA168*SALUD_Mes_Constante!$BP$1</f>
        <v>2287974.3487836109</v>
      </c>
      <c r="CB168" s="9">
        <f t="shared" si="81"/>
        <v>2287974.3487836109</v>
      </c>
      <c r="CC168" s="8">
        <f>+MINVU_Mes_Corriente!CC168*SALUD_Mes_Constante!$CC$1</f>
        <v>97562.401342782556</v>
      </c>
      <c r="CD168" s="8">
        <f>+MINVU_Mes_Corriente!CD168*SALUD_Mes_Constante!$CC$1</f>
        <v>97562.401342782556</v>
      </c>
      <c r="CE168" s="8">
        <f>+MINVU_Mes_Corriente!CE168*SALUD_Mes_Constante!$CC$1</f>
        <v>97562.401342782556</v>
      </c>
      <c r="CF168" s="8">
        <f>+MINVU_Mes_Corriente!CF168*SALUD_Mes_Constante!$CC$1</f>
        <v>2592567.4129056325</v>
      </c>
      <c r="CG168" s="8">
        <f>+MINVU_Mes_Corriente!CG168*SALUD_Mes_Constante!$CC$1</f>
        <v>3880108.8250652747</v>
      </c>
      <c r="CH168" s="8">
        <f>+MINVU_Mes_Corriente!CH168*SALUD_Mes_Constante!$CC$1</f>
        <v>4054602.8728086539</v>
      </c>
      <c r="CI168" s="8">
        <f>+MINVU_Mes_Corriente!CI168*SALUD_Mes_Constante!$CC$1</f>
        <v>7150813.6493845582</v>
      </c>
      <c r="CJ168" s="8">
        <f>+MINVU_Mes_Corriente!CJ168*SALUD_Mes_Constante!$CC$1</f>
        <v>8045449.6896680351</v>
      </c>
      <c r="CK168" s="8">
        <f>+MINVU_Mes_Corriente!CK168*SALUD_Mes_Constante!$CC$1</f>
        <v>8052542.1484520705</v>
      </c>
      <c r="CL168" s="8">
        <f>+MINVU_Mes_Corriente!CL168*SALUD_Mes_Constante!$CC$1</f>
        <v>8052542.1484520705</v>
      </c>
      <c r="CM168" s="8">
        <f>+MINVU_Mes_Corriente!CM168*SALUD_Mes_Constante!$CC$1</f>
        <v>8052542.1484520705</v>
      </c>
      <c r="CN168" s="8">
        <f>+MINVU_Mes_Corriente!CN168*SALUD_Mes_Constante!$CC$1</f>
        <v>8052542.1484520705</v>
      </c>
      <c r="CO168" s="9">
        <f t="shared" si="82"/>
        <v>8052542.1484520705</v>
      </c>
      <c r="CP168" s="8">
        <f>+MINVU_Mes_Corriente!CP168*SALUD_Mes_Constante!$CP$1</f>
        <v>389205.16078886302</v>
      </c>
      <c r="CQ168" s="8">
        <f>+MINVU_Mes_Corriente!CQ168*SALUD_Mes_Constante!$CP$1</f>
        <v>389205.16078886302</v>
      </c>
      <c r="CR168" s="8">
        <f>+MINVU_Mes_Corriente!CR168*SALUD_Mes_Constante!$CP$1</f>
        <v>389205.16078886302</v>
      </c>
      <c r="CS168" s="8">
        <f>+MINVU_Mes_Corriente!CS168*SALUD_Mes_Constante!$CP$1</f>
        <v>727660.19234338729</v>
      </c>
      <c r="CT168" s="8">
        <f>+MINVU_Mes_Corriente!CT168*SALUD_Mes_Constante!$CP$1</f>
        <v>936943.79303944297</v>
      </c>
      <c r="CU168" s="8">
        <f>+MINVU_Mes_Corriente!CU168*SALUD_Mes_Constante!$CP$1</f>
        <v>978524.70139211114</v>
      </c>
      <c r="CV168" s="8">
        <f>+MINVU_Mes_Corriente!CV168*SALUD_Mes_Constante!$CP$1</f>
        <v>978524.70139211114</v>
      </c>
      <c r="CW168" s="8">
        <f>+MINVU_Mes_Corriente!CW168*SALUD_Mes_Constante!$CP$1</f>
        <v>1017495.791415313</v>
      </c>
      <c r="CX168" s="8">
        <f>+MINVU_Mes_Corriente!CX168*SALUD_Mes_Constante!$CP$1</f>
        <v>1017495.791415313</v>
      </c>
      <c r="CY168" s="8">
        <f>+MINVU_Mes_Corriente!CY168*SALUD_Mes_Constante!$CP$1</f>
        <v>1249486.9663573084</v>
      </c>
      <c r="CZ168" s="8">
        <f>+MINVU_Mes_Corriente!CZ168*SALUD_Mes_Constante!$CP$1</f>
        <v>1249486.9663573084</v>
      </c>
      <c r="DA168" s="8">
        <f>+MINVU_Mes_Corriente!DA168*SALUD_Mes_Constante!$CP$1</f>
        <v>1249486.9663573084</v>
      </c>
      <c r="DB168" s="9">
        <f t="shared" si="83"/>
        <v>1249486.9663573084</v>
      </c>
      <c r="DC168" s="8">
        <f>+MINVU_Mes_Corriente!DC168*SALUD_Mes_Constante!$DC$1</f>
        <v>474171.09104001668</v>
      </c>
      <c r="DD168" s="8">
        <f>+MINVU_Mes_Corriente!DD168*SALUD_Mes_Constante!$DC$1</f>
        <v>474171.09104001668</v>
      </c>
      <c r="DE168" s="8">
        <f>+MINVU_Mes_Corriente!DE168*SALUD_Mes_Constante!$DC$1</f>
        <v>474171.09104001668</v>
      </c>
      <c r="DF168" s="8">
        <f>+MINVU_Mes_Corriente!DF168*SALUD_Mes_Constante!$DC$1</f>
        <v>474171.09104001668</v>
      </c>
      <c r="DG168" s="8">
        <f>+MINVU_Mes_Corriente!DG168*SALUD_Mes_Constante!$DC$1</f>
        <v>474171.09104001668</v>
      </c>
      <c r="DH168" s="8">
        <f>+MINVU_Mes_Corriente!DH168*SALUD_Mes_Constante!$DC$1</f>
        <v>659925.45458286221</v>
      </c>
      <c r="DI168" s="8">
        <f>+MINVU_Mes_Corriente!DI168*SALUD_Mes_Constante!$DC$1</f>
        <v>780331.75043719821</v>
      </c>
      <c r="DJ168" s="8">
        <f>+MINVU_Mes_Corriente!DJ168*SALUD_Mes_Constante!$DC$1</f>
        <v>1100518.2872132503</v>
      </c>
      <c r="DK168" s="8">
        <f>+MINVU_Mes_Corriente!DK168*SALUD_Mes_Constante!$DC$1</f>
        <v>4137193.2350581237</v>
      </c>
      <c r="DL168" s="8">
        <f>+MINVU_Mes_Corriente!DL168*SALUD_Mes_Constante!$DC$1</f>
        <v>4137193.2350581237</v>
      </c>
      <c r="DM168" s="8">
        <f>+MINVU_Mes_Corriente!DM168*SALUD_Mes_Constante!$DC$1</f>
        <v>4137193.2350581237</v>
      </c>
      <c r="DN168" s="8">
        <f>+MINVU_Mes_Corriente!DN168*SALUD_Mes_Constante!$DC$1</f>
        <v>4137193.2350581237</v>
      </c>
      <c r="DO168" s="9">
        <f t="shared" si="84"/>
        <v>4137193.2350581237</v>
      </c>
      <c r="DP168" s="8">
        <f>+MINVU_Mes_Corriente!DP168*SALUD_Mes_Constante!$DP$1</f>
        <v>484937.4904988124</v>
      </c>
      <c r="DQ168" s="8">
        <f>+MINVU_Mes_Corriente!DQ168*SALUD_Mes_Constante!$DP$1</f>
        <v>890773.9418052258</v>
      </c>
      <c r="DR168" s="8">
        <f>+MINVU_Mes_Corriente!DR168*SALUD_Mes_Constante!$DP$1</f>
        <v>1227714.0908551069</v>
      </c>
      <c r="DS168" s="8">
        <f>+MINVU_Mes_Corriente!DS168*SALUD_Mes_Constante!$DP$1</f>
        <v>1579108.697743468</v>
      </c>
      <c r="DT168" s="8">
        <f>+MINVU_Mes_Corriente!DT168*SALUD_Mes_Constante!$DP$1</f>
        <v>1579108.697743468</v>
      </c>
      <c r="DU168" s="8">
        <f>+MINVU_Mes_Corriente!DU168*SALUD_Mes_Constante!$DP$1</f>
        <v>1604200.4340855109</v>
      </c>
      <c r="DV168" s="8">
        <f>+MINVU_Mes_Corriente!DV168*SALUD_Mes_Constante!$DP$1</f>
        <v>1608709.6799287412</v>
      </c>
      <c r="DW168" s="8">
        <f>+MINVU_Mes_Corriente!DW168*SALUD_Mes_Constante!$DP$1</f>
        <v>1659770.1306413303</v>
      </c>
      <c r="DX168" s="8">
        <f>+MINVU_Mes_Corriente!DX168*SALUD_Mes_Constante!$DP$1</f>
        <v>1734652.8081947744</v>
      </c>
      <c r="DY168" s="8">
        <f>+MINVU_Mes_Corriente!DY168*SALUD_Mes_Constante!$DP$1</f>
        <v>1734652.8081947744</v>
      </c>
      <c r="DZ168" s="8">
        <f>+MINVU_Mes_Corriente!DZ168*SALUD_Mes_Constante!$DP$1</f>
        <v>1734652.8081947744</v>
      </c>
      <c r="EA168" s="8">
        <f>+MINVU_Mes_Corriente!EA168*SALUD_Mes_Constante!$DP$1</f>
        <v>1734652.8081947744</v>
      </c>
      <c r="EB168" s="9">
        <f t="shared" si="85"/>
        <v>1734652.8081947744</v>
      </c>
      <c r="EC168" s="8">
        <f>+MINVU_Mes_Corriente!EC168*SALUD_Mes_Constante!$EC$1</f>
        <v>424921.26396515797</v>
      </c>
      <c r="ED168" s="8">
        <f>+MINVU_Mes_Corriente!ED168*SALUD_Mes_Constante!$EC$1</f>
        <v>424921.26396515797</v>
      </c>
      <c r="EE168" s="8">
        <f>+MINVU_Mes_Corriente!EE168*SALUD_Mes_Constante!$EC$1</f>
        <v>890402.79435712902</v>
      </c>
      <c r="EF168" s="8">
        <f>+MINVU_Mes_Corriente!EF168*SALUD_Mes_Constante!$EC$1</f>
        <v>956435.68187843182</v>
      </c>
      <c r="EG168" s="8">
        <f>+MINVU_Mes_Corriente!EG168*SALUD_Mes_Constante!$EC$1</f>
        <v>1525162.8434008704</v>
      </c>
      <c r="EH168" s="8">
        <f>+MINVU_Mes_Corriente!EH168*SALUD_Mes_Constante!$EC$1</f>
        <v>1525162.8434008704</v>
      </c>
      <c r="EI168" s="8">
        <f>+MINVU_Mes_Corriente!EI168*SALUD_Mes_Constante!$EC$1</f>
        <v>1734461.6387047903</v>
      </c>
      <c r="EJ168" s="8">
        <f>+MINVU_Mes_Corriente!EJ168*SALUD_Mes_Constante!$EC$1</f>
        <v>1734461.6387047903</v>
      </c>
      <c r="EK168" s="8">
        <f>+MINVU_Mes_Corriente!EK168*SALUD_Mes_Constante!$EC$1</f>
        <v>1734461.6387047903</v>
      </c>
      <c r="EL168" s="8">
        <f>+MINVU_Mes_Corriente!EL168*SALUD_Mes_Constante!$EC$1</f>
        <v>1654434.5334216999</v>
      </c>
      <c r="EM168" s="8">
        <f>+MINVU_Mes_Corriente!EM168*SALUD_Mes_Constante!$EC$1</f>
        <v>1654434.5334216999</v>
      </c>
      <c r="EN168" s="8">
        <f>+MINVU_Mes_Corriente!EN168*SALUD_Mes_Constante!$EC$1</f>
        <v>867724.25828441558</v>
      </c>
      <c r="EO168" s="9">
        <f t="shared" si="86"/>
        <v>867724.25828441558</v>
      </c>
      <c r="EP168" s="8">
        <f>+MINVU_Mes_Corriente!EP168*SALUD_Mes_Constante!$EP$1</f>
        <v>428017</v>
      </c>
      <c r="EQ168" s="8">
        <f>+MINVU_Mes_Corriente!EQ168*SALUD_Mes_Constante!$EP$1</f>
        <v>1189765</v>
      </c>
      <c r="ER168" s="8">
        <f>+MINVU_Mes_Corriente!ER168*SALUD_Mes_Constante!$EP$1</f>
        <v>1189765</v>
      </c>
      <c r="ES168" s="8">
        <f>+MINVU_Mes_Corriente!ES168*SALUD_Mes_Constante!$EP$1</f>
        <v>1759327</v>
      </c>
      <c r="ET168" s="8">
        <f>+MINVU_Mes_Corriente!ET168*SALUD_Mes_Constante!$EP$1</f>
        <v>1768330</v>
      </c>
      <c r="EU168" s="8">
        <f>+MINVU_Mes_Corriente!EU168*SALUD_Mes_Constante!$EP$1</f>
        <v>1768330</v>
      </c>
      <c r="EV168" s="8">
        <f>+MINVU_Mes_Corriente!EV168*SALUD_Mes_Constante!$EP$1</f>
        <v>1768330</v>
      </c>
      <c r="EW168" s="8">
        <f>+MINVU_Mes_Corriente!EW168*SALUD_Mes_Constante!$EP$1</f>
        <v>1768330</v>
      </c>
      <c r="EX168" s="8">
        <f>+MINVU_Mes_Corriente!EX168*SALUD_Mes_Constante!$EP$1</f>
        <v>1768330</v>
      </c>
      <c r="EY168" s="8">
        <f>+MINVU_Mes_Corriente!EY168*SALUD_Mes_Constante!$EP$1</f>
        <v>1768330</v>
      </c>
      <c r="EZ168" s="8">
        <f>+MINVU_Mes_Corriente!EZ168*SALUD_Mes_Constante!$EP$1</f>
        <v>1768330</v>
      </c>
      <c r="FA168" s="8">
        <f>+MINVU_Mes_Corriente!FA168*SALUD_Mes_Constante!$EP$1</f>
        <v>1687215</v>
      </c>
      <c r="FB168" s="9">
        <f t="shared" si="87"/>
        <v>1687215</v>
      </c>
      <c r="FC168" s="8">
        <f>+MINVU_Mes_Corriente!FC168*SALUD_Mes_Constante!$FC$1</f>
        <v>441285</v>
      </c>
      <c r="FD168" s="8">
        <f>+MINVU_Mes_Corriente!FD168*SALUD_Mes_Constante!$FC$1</f>
        <v>441285</v>
      </c>
      <c r="FE168" s="8">
        <f>+MINVU_Mes_Corriente!FE168*SALUD_Mes_Constante!$FC$1</f>
        <v>441285</v>
      </c>
      <c r="FF168" s="8">
        <f>+MINVU_Mes_Corriente!FF168*SALUD_Mes_Constante!$FC$1</f>
        <v>441285</v>
      </c>
      <c r="FG168" s="8">
        <f>+MINVU_Mes_Corriente!FG168*SALUD_Mes_Constante!$FC$1</f>
        <v>441285</v>
      </c>
      <c r="FH168" s="8">
        <f>+MINVU_Mes_Corriente!FH168*SALUD_Mes_Constante!$FC$1</f>
        <v>441285</v>
      </c>
      <c r="FI168" s="8">
        <f>+MINVU_Mes_Corriente!FI168*SALUD_Mes_Constante!$FC$1</f>
        <v>520598</v>
      </c>
      <c r="FJ168" s="8"/>
      <c r="FK168" s="8"/>
      <c r="FL168" s="8"/>
      <c r="FM168" s="8"/>
      <c r="FN168" s="8"/>
      <c r="FO168" s="9">
        <f t="shared" si="88"/>
        <v>520598</v>
      </c>
    </row>
    <row r="169" spans="2:171" ht="14.25" customHeight="1" x14ac:dyDescent="0.3">
      <c r="B169" s="7" t="s">
        <v>57</v>
      </c>
      <c r="C169" s="8">
        <f>+MINVU_Mes_Corriente!C169*SALUD_Mes_Constante!$C$1</f>
        <v>475158.66379949584</v>
      </c>
      <c r="D169" s="8">
        <f>+MINVU_Mes_Corriente!D169*SALUD_Mes_Constante!$C$1</f>
        <v>564415.47975678486</v>
      </c>
      <c r="E169" s="8">
        <f>+MINVU_Mes_Corriente!E169*SALUD_Mes_Constante!$C$1</f>
        <v>564415.47975678486</v>
      </c>
      <c r="F169" s="8">
        <f>+MINVU_Mes_Corriente!F169*SALUD_Mes_Constante!$C$1</f>
        <v>564415.47975678486</v>
      </c>
      <c r="G169" s="8">
        <f>+MINVU_Mes_Corriente!G169*SALUD_Mes_Constante!$C$1</f>
        <v>613447.18078006827</v>
      </c>
      <c r="H169" s="8">
        <f>+MINVU_Mes_Corriente!H169*SALUD_Mes_Constante!$C$1</f>
        <v>766111.41658015735</v>
      </c>
      <c r="I169" s="8">
        <f>+MINVU_Mes_Corriente!I169*SALUD_Mes_Constante!$C$1</f>
        <v>766111.41658015735</v>
      </c>
      <c r="J169" s="8">
        <f>+MINVU_Mes_Corriente!J169*SALUD_Mes_Constante!$C$1</f>
        <v>766111.41658015735</v>
      </c>
      <c r="K169" s="8">
        <f>+MINVU_Mes_Corriente!K169*SALUD_Mes_Constante!$C$1</f>
        <v>854094.63977458118</v>
      </c>
      <c r="L169" s="8">
        <f>+MINVU_Mes_Corriente!L169*SALUD_Mes_Constante!$C$1</f>
        <v>1439051.2587868904</v>
      </c>
      <c r="M169" s="8">
        <f>+MINVU_Mes_Corriente!M169*SALUD_Mes_Constante!$C$1</f>
        <v>6449002.2301646164</v>
      </c>
      <c r="N169" s="8">
        <f>+MINVU_Mes_Corriente!N169*SALUD_Mes_Constante!$C$1</f>
        <v>6481409.1706955368</v>
      </c>
      <c r="O169" s="9">
        <f t="shared" si="76"/>
        <v>6481409.1706955368</v>
      </c>
      <c r="P169" s="8">
        <f>+MINVU_Mes_Corriente!P169*SALUD_Mes_Constante!$P$1</f>
        <v>468832.34720841009</v>
      </c>
      <c r="Q169" s="8">
        <f>+MINVU_Mes_Corriente!Q169*SALUD_Mes_Constante!$P$1</f>
        <v>468832.34720841009</v>
      </c>
      <c r="R169" s="8">
        <f>+MINVU_Mes_Corriente!R169*SALUD_Mes_Constante!$P$1</f>
        <v>915806.48558033782</v>
      </c>
      <c r="S169" s="8">
        <f>+MINVU_Mes_Corriente!S169*SALUD_Mes_Constante!$P$1</f>
        <v>915806.48558033782</v>
      </c>
      <c r="T169" s="8">
        <f>+MINVU_Mes_Corriente!T169*SALUD_Mes_Constante!$P$1</f>
        <v>915806.48558033782</v>
      </c>
      <c r="U169" s="8">
        <f>+MINVU_Mes_Corriente!U169*SALUD_Mes_Constante!$P$1</f>
        <v>1970524.8219917594</v>
      </c>
      <c r="V169" s="8">
        <f>+MINVU_Mes_Corriente!V169*SALUD_Mes_Constante!$P$1</f>
        <v>1986046.9131978967</v>
      </c>
      <c r="W169" s="8">
        <f>+MINVU_Mes_Corriente!W169*SALUD_Mes_Constante!$P$1</f>
        <v>2218023.0140644968</v>
      </c>
      <c r="X169" s="8">
        <f>+MINVU_Mes_Corriente!X169*SALUD_Mes_Constante!$P$1</f>
        <v>2218023.0140644968</v>
      </c>
      <c r="Y169" s="8">
        <f>+MINVU_Mes_Corriente!Y169*SALUD_Mes_Constante!$P$1</f>
        <v>3170120.1488847835</v>
      </c>
      <c r="Z169" s="8">
        <f>+MINVU_Mes_Corriente!Z169*SALUD_Mes_Constante!$P$1</f>
        <v>4933260.5191078261</v>
      </c>
      <c r="AA169" s="8">
        <f>+MINVU_Mes_Corriente!AA169*SALUD_Mes_Constante!$P$1</f>
        <v>8477438.2307145875</v>
      </c>
      <c r="AB169" s="9">
        <f t="shared" si="77"/>
        <v>8477438.2307145875</v>
      </c>
      <c r="AC169" s="8">
        <f>+MINVU_Mes_Corriente!AC169*SALUD_Mes_Constante!$AC$1</f>
        <v>473858.00525660533</v>
      </c>
      <c r="AD169" s="8">
        <f>+MINVU_Mes_Corriente!AD169*SALUD_Mes_Constante!$AC$1</f>
        <v>937861.60188131139</v>
      </c>
      <c r="AE169" s="8">
        <f>+MINVU_Mes_Corriente!AE169*SALUD_Mes_Constante!$AC$1</f>
        <v>937861.60188131139</v>
      </c>
      <c r="AF169" s="8">
        <f>+MINVU_Mes_Corriente!AF169*SALUD_Mes_Constante!$AC$1</f>
        <v>937861.60188131139</v>
      </c>
      <c r="AG169" s="8">
        <f>+MINVU_Mes_Corriente!AG169*SALUD_Mes_Constante!$AC$1</f>
        <v>959642.56550006918</v>
      </c>
      <c r="AH169" s="8">
        <f>+MINVU_Mes_Corriente!AH169*SALUD_Mes_Constante!$AC$1</f>
        <v>1002989.8721814912</v>
      </c>
      <c r="AI169" s="8">
        <f>+MINVU_Mes_Corriente!AI169*SALUD_Mes_Constante!$AC$1</f>
        <v>1132341.0767741043</v>
      </c>
      <c r="AJ169" s="8">
        <f>+MINVU_Mes_Corriente!AJ169*SALUD_Mes_Constante!$AC$1</f>
        <v>1132341.0767741043</v>
      </c>
      <c r="AK169" s="8">
        <f>+MINVU_Mes_Corriente!AK169*SALUD_Mes_Constante!$AC$1</f>
        <v>1132341.0767741043</v>
      </c>
      <c r="AL169" s="8">
        <f>+MINVU_Mes_Corriente!AL169*SALUD_Mes_Constante!$AC$1</f>
        <v>1387618.6255360355</v>
      </c>
      <c r="AM169" s="8">
        <f>+MINVU_Mes_Corriente!AM169*SALUD_Mes_Constante!$AC$1</f>
        <v>1840390.9168626366</v>
      </c>
      <c r="AN169" s="8">
        <f>+MINVU_Mes_Corriente!AN169*SALUD_Mes_Constante!$AC$1</f>
        <v>2051701.4798727348</v>
      </c>
      <c r="AO169" s="9">
        <f t="shared" si="78"/>
        <v>2051701.4798727348</v>
      </c>
      <c r="AP169" s="8">
        <f>+MINVU_Mes_Corriente!AP169*SALUD_Mes_Constante!$AP$1</f>
        <v>477247.32530772348</v>
      </c>
      <c r="AQ169" s="8">
        <f>+MINVU_Mes_Corriente!AQ169*SALUD_Mes_Constante!$AP$1</f>
        <v>477247.32530772348</v>
      </c>
      <c r="AR169" s="8">
        <f>+MINVU_Mes_Corriente!AR169*SALUD_Mes_Constante!$AP$1</f>
        <v>477247.32530772348</v>
      </c>
      <c r="AS169" s="8">
        <f>+MINVU_Mes_Corriente!AS169*SALUD_Mes_Constante!$AP$1</f>
        <v>477247.32530772348</v>
      </c>
      <c r="AT169" s="8">
        <f>+MINVU_Mes_Corriente!AT169*SALUD_Mes_Constante!$AP$1</f>
        <v>477247.32530772348</v>
      </c>
      <c r="AU169" s="8">
        <f>+MINVU_Mes_Corriente!AU169*SALUD_Mes_Constante!$AP$1</f>
        <v>520771.02340051398</v>
      </c>
      <c r="AV169" s="8">
        <f>+MINVU_Mes_Corriente!AV169*SALUD_Mes_Constante!$AP$1</f>
        <v>535418.33653455973</v>
      </c>
      <c r="AW169" s="8">
        <f>+MINVU_Mes_Corriente!AW169*SALUD_Mes_Constante!$AP$1</f>
        <v>783702.93006898416</v>
      </c>
      <c r="AX169" s="8">
        <f>+MINVU_Mes_Corriente!AX169*SALUD_Mes_Constante!$AP$1</f>
        <v>847251.96293791418</v>
      </c>
      <c r="AY169" s="8">
        <f>+MINVU_Mes_Corriente!AY169*SALUD_Mes_Constante!$AP$1</f>
        <v>920466.36034086288</v>
      </c>
      <c r="AZ169" s="8">
        <f>+MINVU_Mes_Corriente!AZ169*SALUD_Mes_Constante!$AP$1</f>
        <v>1130673.2601109156</v>
      </c>
      <c r="BA169" s="8">
        <f>+MINVU_Mes_Corriente!BA169*SALUD_Mes_Constante!$AP$1</f>
        <v>2108314.5375355063</v>
      </c>
      <c r="BB169" s="9">
        <f t="shared" si="79"/>
        <v>2108314.5375355063</v>
      </c>
      <c r="BC169" s="8">
        <f>+MINVU_Mes_Corriente!BC169*SALUD_Mes_Constante!$BC$1</f>
        <v>477386.80891467771</v>
      </c>
      <c r="BD169" s="8">
        <f>+MINVU_Mes_Corriente!BD169*SALUD_Mes_Constante!$BC$1</f>
        <v>477386.80891467771</v>
      </c>
      <c r="BE169" s="8">
        <f>+MINVU_Mes_Corriente!BE169*SALUD_Mes_Constante!$BC$1</f>
        <v>477386.80891467771</v>
      </c>
      <c r="BF169" s="8">
        <f>+MINVU_Mes_Corriente!BF169*SALUD_Mes_Constante!$BC$1</f>
        <v>477386.80891467771</v>
      </c>
      <c r="BG169" s="8">
        <f>+MINVU_Mes_Corriente!BG169*SALUD_Mes_Constante!$BC$1</f>
        <v>477386.80891467771</v>
      </c>
      <c r="BH169" s="8">
        <f>+MINVU_Mes_Corriente!BH169*SALUD_Mes_Constante!$BC$1</f>
        <v>480264.19543716218</v>
      </c>
      <c r="BI169" s="8">
        <f>+MINVU_Mes_Corriente!BI169*SALUD_Mes_Constante!$BC$1</f>
        <v>432184.32018989854</v>
      </c>
      <c r="BJ169" s="8">
        <f>+MINVU_Mes_Corriente!BJ169*SALUD_Mes_Constante!$BC$1</f>
        <v>3569659.4962415937</v>
      </c>
      <c r="BK169" s="8">
        <f>+MINVU_Mes_Corriente!BK169*SALUD_Mes_Constante!$BC$1</f>
        <v>3569659.4962415937</v>
      </c>
      <c r="BL169" s="8">
        <f>+MINVU_Mes_Corriente!BL169*SALUD_Mes_Constante!$BC$1</f>
        <v>3569659.4962415937</v>
      </c>
      <c r="BM169" s="8">
        <f>+MINVU_Mes_Corriente!BM169*SALUD_Mes_Constante!$BC$1</f>
        <v>3580425.5613873145</v>
      </c>
      <c r="BN169" s="8">
        <f>+MINVU_Mes_Corriente!BN169*SALUD_Mes_Constante!$BC$1</f>
        <v>3839914.8194645927</v>
      </c>
      <c r="BO169" s="9">
        <f t="shared" si="80"/>
        <v>3839914.8194645927</v>
      </c>
      <c r="BP169" s="8">
        <f>+MINVU_Mes_Corriente!BP169*SALUD_Mes_Constante!$BP$1</f>
        <v>0</v>
      </c>
      <c r="BQ169" s="8">
        <f>+MINVU_Mes_Corriente!BQ169*SALUD_Mes_Constante!$BP$1</f>
        <v>0</v>
      </c>
      <c r="BR169" s="8">
        <f>+MINVU_Mes_Corriente!BR169*SALUD_Mes_Constante!$BP$1</f>
        <v>1281881.4084507043</v>
      </c>
      <c r="BS169" s="8">
        <f>+MINVU_Mes_Corriente!BS169*SALUD_Mes_Constante!$BP$1</f>
        <v>1901697.5800256084</v>
      </c>
      <c r="BT169" s="8">
        <f>+MINVU_Mes_Corriente!BT169*SALUD_Mes_Constante!$BP$1</f>
        <v>2946311.3154929583</v>
      </c>
      <c r="BU169" s="8">
        <f>+MINVU_Mes_Corriente!BU169*SALUD_Mes_Constante!$BP$1</f>
        <v>3024653.9531370043</v>
      </c>
      <c r="BV169" s="8">
        <f>+MINVU_Mes_Corriente!BV169*SALUD_Mes_Constante!$BP$1</f>
        <v>3142819.8322663256</v>
      </c>
      <c r="BW169" s="8">
        <f>+MINVU_Mes_Corriente!BW169*SALUD_Mes_Constante!$BP$1</f>
        <v>3213468.1037131888</v>
      </c>
      <c r="BX169" s="8">
        <f>+MINVU_Mes_Corriente!BX169*SALUD_Mes_Constante!$BP$1</f>
        <v>7886251.0993597964</v>
      </c>
      <c r="BY169" s="8">
        <f>+MINVU_Mes_Corriente!BY169*SALUD_Mes_Constante!$BP$1</f>
        <v>7886251.0993597964</v>
      </c>
      <c r="BZ169" s="8">
        <f>+MINVU_Mes_Corriente!BZ169*SALUD_Mes_Constante!$BP$1</f>
        <v>8030106.3687580032</v>
      </c>
      <c r="CA169" s="8">
        <f>+MINVU_Mes_Corriente!CA169*SALUD_Mes_Constante!$BP$1</f>
        <v>8030106.3687580032</v>
      </c>
      <c r="CB169" s="9">
        <f t="shared" si="81"/>
        <v>8030106.3687580032</v>
      </c>
      <c r="CC169" s="8">
        <f>+MINVU_Mes_Corriente!CC169*SALUD_Mes_Constante!$CC$1</f>
        <v>164264.93174188738</v>
      </c>
      <c r="CD169" s="8">
        <f>+MINVU_Mes_Corriente!CD169*SALUD_Mes_Constante!$CC$1</f>
        <v>164264.93174188738</v>
      </c>
      <c r="CE169" s="8">
        <f>+MINVU_Mes_Corriente!CE169*SALUD_Mes_Constante!$CC$1</f>
        <v>164264.93174188738</v>
      </c>
      <c r="CF169" s="8">
        <f>+MINVU_Mes_Corriente!CF169*SALUD_Mes_Constante!$CC$1</f>
        <v>573610.24543080945</v>
      </c>
      <c r="CG169" s="8">
        <f>+MINVU_Mes_Corriente!CG169*SALUD_Mes_Constante!$CC$1</f>
        <v>573610.24543080945</v>
      </c>
      <c r="CH169" s="8">
        <f>+MINVU_Mes_Corriente!CH169*SALUD_Mes_Constante!$CC$1</f>
        <v>947225.65087653871</v>
      </c>
      <c r="CI169" s="8">
        <f>+MINVU_Mes_Corriente!CI169*SALUD_Mes_Constante!$CC$1</f>
        <v>947225.65087653871</v>
      </c>
      <c r="CJ169" s="8">
        <f>+MINVU_Mes_Corriente!CJ169*SALUD_Mes_Constante!$CC$1</f>
        <v>1059419.8992913093</v>
      </c>
      <c r="CK169" s="8">
        <f>+MINVU_Mes_Corriente!CK169*SALUD_Mes_Constante!$CC$1</f>
        <v>4117280.3207758302</v>
      </c>
      <c r="CL169" s="8">
        <f>+MINVU_Mes_Corriente!CL169*SALUD_Mes_Constante!$CC$1</f>
        <v>4451648.7952256622</v>
      </c>
      <c r="CM169" s="8">
        <f>+MINVU_Mes_Corriente!CM169*SALUD_Mes_Constante!$CC$1</f>
        <v>4451648.7952256622</v>
      </c>
      <c r="CN169" s="8">
        <f>+MINVU_Mes_Corriente!CN169*SALUD_Mes_Constante!$CC$1</f>
        <v>4451648.7952256622</v>
      </c>
      <c r="CO169" s="9">
        <f t="shared" si="82"/>
        <v>4451648.7952256622</v>
      </c>
      <c r="CP169" s="8">
        <f>+MINVU_Mes_Corriente!CP169*SALUD_Mes_Constante!$CP$1</f>
        <v>656020.10881670518</v>
      </c>
      <c r="CQ169" s="8">
        <f>+MINVU_Mes_Corriente!CQ169*SALUD_Mes_Constante!$CP$1</f>
        <v>656020.10881670518</v>
      </c>
      <c r="CR169" s="8">
        <f>+MINVU_Mes_Corriente!CR169*SALUD_Mes_Constante!$CP$1</f>
        <v>656020.10881670518</v>
      </c>
      <c r="CS169" s="8">
        <f>+MINVU_Mes_Corriente!CS169*SALUD_Mes_Constante!$CP$1</f>
        <v>947885.00324825966</v>
      </c>
      <c r="CT169" s="8">
        <f>+MINVU_Mes_Corriente!CT169*SALUD_Mes_Constante!$CP$1</f>
        <v>1616795.7640371227</v>
      </c>
      <c r="CU169" s="8">
        <f>+MINVU_Mes_Corriente!CU169*SALUD_Mes_Constante!$CP$1</f>
        <v>1616795.7640371227</v>
      </c>
      <c r="CV169" s="8">
        <f>+MINVU_Mes_Corriente!CV169*SALUD_Mes_Constante!$CP$1</f>
        <v>1775169.5283062642</v>
      </c>
      <c r="CW169" s="8">
        <f>+MINVU_Mes_Corriente!CW169*SALUD_Mes_Constante!$CP$1</f>
        <v>2139674.5774941989</v>
      </c>
      <c r="CX169" s="8">
        <f>+MINVU_Mes_Corriente!CX169*SALUD_Mes_Constante!$CP$1</f>
        <v>2139674.5774941989</v>
      </c>
      <c r="CY169" s="8">
        <f>+MINVU_Mes_Corriente!CY169*SALUD_Mes_Constante!$CP$1</f>
        <v>2760093.925058004</v>
      </c>
      <c r="CZ169" s="8">
        <f>+MINVU_Mes_Corriente!CZ169*SALUD_Mes_Constante!$CP$1</f>
        <v>2760093.925058004</v>
      </c>
      <c r="DA169" s="8">
        <f>+MINVU_Mes_Corriente!DA169*SALUD_Mes_Constante!$CP$1</f>
        <v>2599727.623433874</v>
      </c>
      <c r="DB169" s="9">
        <f t="shared" si="83"/>
        <v>2599727.623433874</v>
      </c>
      <c r="DC169" s="8">
        <f>+MINVU_Mes_Corriente!DC169*SALUD_Mes_Constante!$DC$1</f>
        <v>794916.23516099202</v>
      </c>
      <c r="DD169" s="8">
        <f>+MINVU_Mes_Corriente!DD169*SALUD_Mes_Constante!$DC$1</f>
        <v>794916.23516099202</v>
      </c>
      <c r="DE169" s="8">
        <f>+MINVU_Mes_Corriente!DE169*SALUD_Mes_Constante!$DC$1</f>
        <v>794916.23516099202</v>
      </c>
      <c r="DF169" s="8">
        <f>+MINVU_Mes_Corriente!DF169*SALUD_Mes_Constante!$DC$1</f>
        <v>794916.23516099202</v>
      </c>
      <c r="DG169" s="8">
        <f>+MINVU_Mes_Corriente!DG169*SALUD_Mes_Constante!$DC$1</f>
        <v>5096325.4181668581</v>
      </c>
      <c r="DH169" s="8">
        <f>+MINVU_Mes_Corriente!DH169*SALUD_Mes_Constante!$DC$1</f>
        <v>5096325.4181668581</v>
      </c>
      <c r="DI169" s="8">
        <f>+MINVU_Mes_Corriente!DI169*SALUD_Mes_Constante!$DC$1</f>
        <v>6085699.9510338474</v>
      </c>
      <c r="DJ169" s="8">
        <f>+MINVU_Mes_Corriente!DJ169*SALUD_Mes_Constante!$DC$1</f>
        <v>6608048.3966670129</v>
      </c>
      <c r="DK169" s="8">
        <f>+MINVU_Mes_Corriente!DK169*SALUD_Mes_Constante!$DC$1</f>
        <v>1923080.5281349665</v>
      </c>
      <c r="DL169" s="8">
        <f>+MINVU_Mes_Corriente!DL169*SALUD_Mes_Constante!$DC$1</f>
        <v>1923080.5281349665</v>
      </c>
      <c r="DM169" s="8">
        <f>+MINVU_Mes_Corriente!DM169*SALUD_Mes_Constante!$DC$1</f>
        <v>1923080.5281349665</v>
      </c>
      <c r="DN169" s="8">
        <f>+MINVU_Mes_Corriente!DN169*SALUD_Mes_Constante!$DC$1</f>
        <v>1923080.5281349665</v>
      </c>
      <c r="DO169" s="9">
        <f t="shared" si="84"/>
        <v>1923080.5281349665</v>
      </c>
      <c r="DP169" s="8">
        <f>+MINVU_Mes_Corriente!DP169*SALUD_Mes_Constante!$DP$1</f>
        <v>812966.20190023759</v>
      </c>
      <c r="DQ169" s="8">
        <f>+MINVU_Mes_Corriente!DQ169*SALUD_Mes_Constante!$DP$1</f>
        <v>8691588.6644893121</v>
      </c>
      <c r="DR169" s="8">
        <f>+MINVU_Mes_Corriente!DR169*SALUD_Mes_Constante!$DP$1</f>
        <v>8691588.6644893121</v>
      </c>
      <c r="DS169" s="8">
        <f>+MINVU_Mes_Corriente!DS169*SALUD_Mes_Constante!$DP$1</f>
        <v>9449386.3521377686</v>
      </c>
      <c r="DT169" s="8">
        <f>+MINVU_Mes_Corriente!DT169*SALUD_Mes_Constante!$DP$1</f>
        <v>9449386.3521377686</v>
      </c>
      <c r="DU169" s="8">
        <f>+MINVU_Mes_Corriente!DU169*SALUD_Mes_Constante!$DP$1</f>
        <v>9519615.9637767226</v>
      </c>
      <c r="DV169" s="8">
        <f>+MINVU_Mes_Corriente!DV169*SALUD_Mes_Constante!$DP$1</f>
        <v>9553405.0296912119</v>
      </c>
      <c r="DW169" s="8">
        <f>+MINVU_Mes_Corriente!DW169*SALUD_Mes_Constante!$DP$1</f>
        <v>9586347.395486936</v>
      </c>
      <c r="DX169" s="8">
        <f>+MINVU_Mes_Corriente!DX169*SALUD_Mes_Constante!$DP$1</f>
        <v>8631762.7589073647</v>
      </c>
      <c r="DY169" s="8">
        <f>+MINVU_Mes_Corriente!DY169*SALUD_Mes_Constante!$DP$1</f>
        <v>8631762.7589073647</v>
      </c>
      <c r="DZ169" s="8">
        <f>+MINVU_Mes_Corriente!DZ169*SALUD_Mes_Constante!$DP$1</f>
        <v>8631762.7589073647</v>
      </c>
      <c r="EA169" s="8">
        <f>+MINVU_Mes_Corriente!EA169*SALUD_Mes_Constante!$DP$1</f>
        <v>8631762.7589073647</v>
      </c>
      <c r="EB169" s="9">
        <f t="shared" si="85"/>
        <v>8631762.7589073647</v>
      </c>
      <c r="EC169" s="8">
        <f>+MINVU_Mes_Corriente!EC169*SALUD_Mes_Constante!$EC$1</f>
        <v>712352.028024995</v>
      </c>
      <c r="ED169" s="8">
        <f>+MINVU_Mes_Corriente!ED169*SALUD_Mes_Constante!$EC$1</f>
        <v>712352.028024995</v>
      </c>
      <c r="EE169" s="8">
        <f>+MINVU_Mes_Corriente!EE169*SALUD_Mes_Constante!$EC$1</f>
        <v>5695439.7364135562</v>
      </c>
      <c r="EF169" s="8">
        <f>+MINVU_Mes_Corriente!EF169*SALUD_Mes_Constante!$EC$1</f>
        <v>5761472.6239348594</v>
      </c>
      <c r="EG169" s="8">
        <f>+MINVU_Mes_Corriente!EG169*SALUD_Mes_Constante!$EC$1</f>
        <v>5875218.056239347</v>
      </c>
      <c r="EH169" s="8">
        <f>+MINVU_Mes_Corriente!EH169*SALUD_Mes_Constante!$EC$1</f>
        <v>5875218.056239347</v>
      </c>
      <c r="EI169" s="8">
        <f>+MINVU_Mes_Corriente!EI169*SALUD_Mes_Constante!$EC$1</f>
        <v>5875218.056239347</v>
      </c>
      <c r="EJ169" s="8">
        <f>+MINVU_Mes_Corriente!EJ169*SALUD_Mes_Constante!$EC$1</f>
        <v>5875218.056239347</v>
      </c>
      <c r="EK169" s="8">
        <f>+MINVU_Mes_Corriente!EK169*SALUD_Mes_Constante!$EC$1</f>
        <v>5875218.056239347</v>
      </c>
      <c r="EL169" s="8">
        <f>+MINVU_Mes_Corriente!EL169*SALUD_Mes_Constante!$EC$1</f>
        <v>5938364.7915167566</v>
      </c>
      <c r="EM169" s="8">
        <f>+MINVU_Mes_Corriente!EM169*SALUD_Mes_Constante!$EC$1</f>
        <v>5430293.3779587178</v>
      </c>
      <c r="EN169" s="8">
        <f>+MINVU_Mes_Corriente!EN169*SALUD_Mes_Constante!$EC$1</f>
        <v>2664521.6131414496</v>
      </c>
      <c r="EO169" s="9">
        <f t="shared" si="86"/>
        <v>2664521.6131414496</v>
      </c>
      <c r="EP169" s="8">
        <f>+MINVU_Mes_Corriente!EP169*SALUD_Mes_Constante!$EP$1</f>
        <v>717542</v>
      </c>
      <c r="EQ169" s="8">
        <f>+MINVU_Mes_Corriente!EQ169*SALUD_Mes_Constante!$EP$1</f>
        <v>4535034</v>
      </c>
      <c r="ER169" s="8">
        <f>+MINVU_Mes_Corriente!ER169*SALUD_Mes_Constante!$EP$1</f>
        <v>4535034</v>
      </c>
      <c r="ES169" s="8">
        <f>+MINVU_Mes_Corriente!ES169*SALUD_Mes_Constante!$EP$1</f>
        <v>7151158</v>
      </c>
      <c r="ET169" s="8">
        <f>+MINVU_Mes_Corriente!ET169*SALUD_Mes_Constante!$EP$1</f>
        <v>7157564</v>
      </c>
      <c r="EU169" s="8">
        <f>+MINVU_Mes_Corriente!EU169*SALUD_Mes_Constante!$EP$1</f>
        <v>7157564</v>
      </c>
      <c r="EV169" s="8">
        <f>+MINVU_Mes_Corriente!EV169*SALUD_Mes_Constante!$EP$1</f>
        <v>7157564</v>
      </c>
      <c r="EW169" s="8">
        <f>+MINVU_Mes_Corriente!EW169*SALUD_Mes_Constante!$EP$1</f>
        <v>7157564</v>
      </c>
      <c r="EX169" s="8">
        <f>+MINVU_Mes_Corriente!EX169*SALUD_Mes_Constante!$EP$1</f>
        <v>7157564</v>
      </c>
      <c r="EY169" s="8">
        <f>+MINVU_Mes_Corriente!EY169*SALUD_Mes_Constante!$EP$1</f>
        <v>7157564</v>
      </c>
      <c r="EZ169" s="8">
        <f>+MINVU_Mes_Corriente!EZ169*SALUD_Mes_Constante!$EP$1</f>
        <v>7157564</v>
      </c>
      <c r="FA169" s="8">
        <f>+MINVU_Mes_Corriente!FA169*SALUD_Mes_Constante!$EP$1</f>
        <v>7077376</v>
      </c>
      <c r="FB169" s="9">
        <f t="shared" si="87"/>
        <v>7077376</v>
      </c>
      <c r="FC169" s="8">
        <f>+MINVU_Mes_Corriente!FC169*SALUD_Mes_Constante!$FC$1</f>
        <v>739786</v>
      </c>
      <c r="FD169" s="8">
        <f>+MINVU_Mes_Corriente!FD169*SALUD_Mes_Constante!$FC$1</f>
        <v>1079863</v>
      </c>
      <c r="FE169" s="8">
        <f>+MINVU_Mes_Corriente!FE169*SALUD_Mes_Constante!$FC$1</f>
        <v>1216060</v>
      </c>
      <c r="FF169" s="8">
        <f>+MINVU_Mes_Corriente!FF169*SALUD_Mes_Constante!$FC$1</f>
        <v>1216060</v>
      </c>
      <c r="FG169" s="8">
        <f>+MINVU_Mes_Corriente!FG169*SALUD_Mes_Constante!$FC$1</f>
        <v>1216060</v>
      </c>
      <c r="FH169" s="8">
        <f>+MINVU_Mes_Corriente!FH169*SALUD_Mes_Constante!$FC$1</f>
        <v>1216060</v>
      </c>
      <c r="FI169" s="8">
        <f>+MINVU_Mes_Corriente!FI169*SALUD_Mes_Constante!$FC$1</f>
        <v>4196963</v>
      </c>
      <c r="FJ169" s="8"/>
      <c r="FK169" s="8"/>
      <c r="FL169" s="8"/>
      <c r="FM169" s="8"/>
      <c r="FN169" s="8"/>
      <c r="FO169" s="9">
        <f t="shared" si="88"/>
        <v>4196963</v>
      </c>
    </row>
    <row r="170" spans="2:171" ht="14.25" customHeight="1" x14ac:dyDescent="0.3">
      <c r="B170" s="7" t="s">
        <v>58</v>
      </c>
      <c r="C170" s="8">
        <f>+MINVU_Mes_Corriente!C170*SALUD_Mes_Constante!$C$1</f>
        <v>275621.02921548276</v>
      </c>
      <c r="D170" s="8">
        <f>+MINVU_Mes_Corriente!D170*SALUD_Mes_Constante!$C$1</f>
        <v>275621.02921548276</v>
      </c>
      <c r="E170" s="8">
        <f>+MINVU_Mes_Corriente!E170*SALUD_Mes_Constante!$C$1</f>
        <v>275621.02921548276</v>
      </c>
      <c r="F170" s="8">
        <f>+MINVU_Mes_Corriente!F170*SALUD_Mes_Constante!$C$1</f>
        <v>275621.02921548276</v>
      </c>
      <c r="G170" s="8">
        <f>+MINVU_Mes_Corriente!G170*SALUD_Mes_Constante!$C$1</f>
        <v>295470.28029067186</v>
      </c>
      <c r="H170" s="8">
        <f>+MINVU_Mes_Corriente!H170*SALUD_Mes_Constante!$C$1</f>
        <v>300268.12783627468</v>
      </c>
      <c r="I170" s="8">
        <f>+MINVU_Mes_Corriente!I170*SALUD_Mes_Constante!$C$1</f>
        <v>300268.12783627468</v>
      </c>
      <c r="J170" s="8">
        <f>+MINVU_Mes_Corriente!J170*SALUD_Mes_Constante!$C$1</f>
        <v>300268.12783627468</v>
      </c>
      <c r="K170" s="8">
        <f>+MINVU_Mes_Corriente!K170*SALUD_Mes_Constante!$C$1</f>
        <v>342638.58223342733</v>
      </c>
      <c r="L170" s="8">
        <f>+MINVU_Mes_Corriente!L170*SALUD_Mes_Constante!$C$1</f>
        <v>343319.12798457663</v>
      </c>
      <c r="M170" s="8">
        <f>+MINVU_Mes_Corriente!M170*SALUD_Mes_Constante!$C$1</f>
        <v>700667.22052498895</v>
      </c>
      <c r="N170" s="8">
        <f>+MINVU_Mes_Corriente!N170*SALUD_Mes_Constante!$C$1</f>
        <v>1209376.7898561473</v>
      </c>
      <c r="O170" s="9">
        <f t="shared" si="76"/>
        <v>1209376.7898561473</v>
      </c>
      <c r="P170" s="8">
        <f>+MINVU_Mes_Corriente!P170*SALUD_Mes_Constante!$P$1</f>
        <v>271951.69455888611</v>
      </c>
      <c r="Q170" s="8">
        <f>+MINVU_Mes_Corriente!Q170*SALUD_Mes_Constante!$P$1</f>
        <v>271951.69455888611</v>
      </c>
      <c r="R170" s="8">
        <f>+MINVU_Mes_Corriente!R170*SALUD_Mes_Constante!$P$1</f>
        <v>323112.50717431441</v>
      </c>
      <c r="S170" s="8">
        <f>+MINVU_Mes_Corriente!S170*SALUD_Mes_Constante!$P$1</f>
        <v>323112.50717431441</v>
      </c>
      <c r="T170" s="8">
        <f>+MINVU_Mes_Corriente!T170*SALUD_Mes_Constante!$P$1</f>
        <v>548083.48827958491</v>
      </c>
      <c r="U170" s="8">
        <f>+MINVU_Mes_Corriente!U170*SALUD_Mes_Constante!$P$1</f>
        <v>548083.48827958491</v>
      </c>
      <c r="V170" s="8">
        <f>+MINVU_Mes_Corriente!V170*SALUD_Mes_Constante!$P$1</f>
        <v>563605.57948572224</v>
      </c>
      <c r="W170" s="8">
        <f>+MINVU_Mes_Corriente!W170*SALUD_Mes_Constante!$P$1</f>
        <v>663800.67822133796</v>
      </c>
      <c r="X170" s="8">
        <f>+MINVU_Mes_Corriente!X170*SALUD_Mes_Constante!$P$1</f>
        <v>663800.67822133796</v>
      </c>
      <c r="Y170" s="8">
        <f>+MINVU_Mes_Corriente!Y170*SALUD_Mes_Constante!$P$1</f>
        <v>792050.40460292622</v>
      </c>
      <c r="Z170" s="8">
        <f>+MINVU_Mes_Corriente!Z170*SALUD_Mes_Constante!$P$1</f>
        <v>919146.8396078985</v>
      </c>
      <c r="AA170" s="8">
        <f>+MINVU_Mes_Corriente!AA170*SALUD_Mes_Constante!$P$1</f>
        <v>4464592.7060662005</v>
      </c>
      <c r="AB170" s="9">
        <f t="shared" si="77"/>
        <v>4464592.7060662005</v>
      </c>
      <c r="AC170" s="8">
        <f>+MINVU_Mes_Corriente!AC170*SALUD_Mes_Constante!$AC$1</f>
        <v>274866.9644487481</v>
      </c>
      <c r="AD170" s="8">
        <f>+MINVU_Mes_Corriente!AD170*SALUD_Mes_Constante!$AC$1</f>
        <v>716199.37557061831</v>
      </c>
      <c r="AE170" s="8">
        <f>+MINVU_Mes_Corriente!AE170*SALUD_Mes_Constante!$AC$1</f>
        <v>716199.37557061831</v>
      </c>
      <c r="AF170" s="8">
        <f>+MINVU_Mes_Corriente!AF170*SALUD_Mes_Constante!$AC$1</f>
        <v>716199.37557061831</v>
      </c>
      <c r="AG170" s="8">
        <f>+MINVU_Mes_Corriente!AG170*SALUD_Mes_Constante!$AC$1</f>
        <v>804556.54253700376</v>
      </c>
      <c r="AH170" s="8">
        <f>+MINVU_Mes_Corriente!AH170*SALUD_Mes_Constante!$AC$1</f>
        <v>810047.50366579054</v>
      </c>
      <c r="AI170" s="8">
        <f>+MINVU_Mes_Corriente!AI170*SALUD_Mes_Constante!$AC$1</f>
        <v>810047.50366579054</v>
      </c>
      <c r="AJ170" s="8">
        <f>+MINVU_Mes_Corriente!AJ170*SALUD_Mes_Constante!$AC$1</f>
        <v>810047.50366579054</v>
      </c>
      <c r="AK170" s="8">
        <f>+MINVU_Mes_Corriente!AK170*SALUD_Mes_Constante!$AC$1</f>
        <v>810047.50366579054</v>
      </c>
      <c r="AL170" s="8">
        <f>+MINVU_Mes_Corriente!AL170*SALUD_Mes_Constante!$AC$1</f>
        <v>1063964.7812975515</v>
      </c>
      <c r="AM170" s="8">
        <f>+MINVU_Mes_Corriente!AM170*SALUD_Mes_Constante!$AC$1</f>
        <v>1069103.5833448609</v>
      </c>
      <c r="AN170" s="8">
        <f>+MINVU_Mes_Corriente!AN170*SALUD_Mes_Constante!$AC$1</f>
        <v>1877743.9620971088</v>
      </c>
      <c r="AO170" s="9">
        <f t="shared" si="78"/>
        <v>1877743.9620971088</v>
      </c>
      <c r="AP170" s="8">
        <f>+MINVU_Mes_Corriente!AP170*SALUD_Mes_Constante!$AP$1</f>
        <v>276832.88813742728</v>
      </c>
      <c r="AQ170" s="8">
        <f>+MINVU_Mes_Corriente!AQ170*SALUD_Mes_Constante!$AP$1</f>
        <v>276832.88813742728</v>
      </c>
      <c r="AR170" s="8">
        <f>+MINVU_Mes_Corriente!AR170*SALUD_Mes_Constante!$AP$1</f>
        <v>276832.88813742728</v>
      </c>
      <c r="AS170" s="8">
        <f>+MINVU_Mes_Corriente!AS170*SALUD_Mes_Constante!$AP$1</f>
        <v>276832.88813742728</v>
      </c>
      <c r="AT170" s="8">
        <f>+MINVU_Mes_Corriente!AT170*SALUD_Mes_Constante!$AP$1</f>
        <v>276832.88813742728</v>
      </c>
      <c r="AU170" s="8">
        <f>+MINVU_Mes_Corriente!AU170*SALUD_Mes_Constante!$AP$1</f>
        <v>328548.49993236846</v>
      </c>
      <c r="AV170" s="8">
        <f>+MINVU_Mes_Corriente!AV170*SALUD_Mes_Constante!$AP$1</f>
        <v>375518.62464493437</v>
      </c>
      <c r="AW170" s="8">
        <f>+MINVU_Mes_Corriente!AW170*SALUD_Mes_Constante!$AP$1</f>
        <v>375518.62464493437</v>
      </c>
      <c r="AX170" s="8">
        <f>+MINVU_Mes_Corriente!AX170*SALUD_Mes_Constante!$AP$1</f>
        <v>434634.0040578926</v>
      </c>
      <c r="AY170" s="8">
        <f>+MINVU_Mes_Corriente!AY170*SALUD_Mes_Constante!$AP$1</f>
        <v>434634.0040578926</v>
      </c>
      <c r="AZ170" s="8">
        <f>+MINVU_Mes_Corriente!AZ170*SALUD_Mes_Constante!$AP$1</f>
        <v>645084.75476802373</v>
      </c>
      <c r="BA170" s="8">
        <f>+MINVU_Mes_Corriente!BA170*SALUD_Mes_Constante!$AP$1</f>
        <v>646606.97578790749</v>
      </c>
      <c r="BB170" s="9">
        <f t="shared" si="79"/>
        <v>646606.97578790749</v>
      </c>
      <c r="BC170" s="8">
        <f>+MINVU_Mes_Corriente!BC170*SALUD_Mes_Constante!$BC$1</f>
        <v>276913.51206646452</v>
      </c>
      <c r="BD170" s="8">
        <f>+MINVU_Mes_Corriente!BD170*SALUD_Mes_Constante!$BC$1</f>
        <v>276913.51206646452</v>
      </c>
      <c r="BE170" s="8">
        <f>+MINVU_Mes_Corriente!BE170*SALUD_Mes_Constante!$BC$1</f>
        <v>276913.51206646452</v>
      </c>
      <c r="BF170" s="8">
        <f>+MINVU_Mes_Corriente!BF170*SALUD_Mes_Constante!$BC$1</f>
        <v>276913.51206646452</v>
      </c>
      <c r="BG170" s="8">
        <f>+MINVU_Mes_Corriente!BG170*SALUD_Mes_Constante!$BC$1</f>
        <v>276913.51206646452</v>
      </c>
      <c r="BH170" s="8">
        <f>+MINVU_Mes_Corriente!BH170*SALUD_Mes_Constante!$BC$1</f>
        <v>276913.51206646452</v>
      </c>
      <c r="BI170" s="8">
        <f>+MINVU_Mes_Corriente!BI170*SALUD_Mes_Constante!$BC$1</f>
        <v>248681.40814980885</v>
      </c>
      <c r="BJ170" s="8">
        <f>+MINVU_Mes_Corriente!BJ170*SALUD_Mes_Constante!$BC$1</f>
        <v>257326.53540814988</v>
      </c>
      <c r="BK170" s="8">
        <f>+MINVU_Mes_Corriente!BK170*SALUD_Mes_Constante!$BC$1</f>
        <v>3282105.2733746548</v>
      </c>
      <c r="BL170" s="8">
        <f>+MINVU_Mes_Corriente!BL170*SALUD_Mes_Constante!$BC$1</f>
        <v>3282105.2733746548</v>
      </c>
      <c r="BM170" s="8">
        <f>+MINVU_Mes_Corriente!BM170*SALUD_Mes_Constante!$BC$1</f>
        <v>3296219.8844784396</v>
      </c>
      <c r="BN170" s="8">
        <f>+MINVU_Mes_Corriente!BN170*SALUD_Mes_Constante!$BC$1</f>
        <v>3977558.2131082695</v>
      </c>
      <c r="BO170" s="9">
        <f t="shared" si="80"/>
        <v>3977558.2131082695</v>
      </c>
      <c r="BP170" s="8">
        <f>+MINVU_Mes_Corriente!BP170*SALUD_Mes_Constante!$BP$1</f>
        <v>0</v>
      </c>
      <c r="BQ170" s="8">
        <f>+MINVU_Mes_Corriente!BQ170*SALUD_Mes_Constante!$BP$1</f>
        <v>0</v>
      </c>
      <c r="BR170" s="8">
        <f>+MINVU_Mes_Corriente!BR170*SALUD_Mes_Constante!$BP$1</f>
        <v>1654890.291933419</v>
      </c>
      <c r="BS170" s="8">
        <f>+MINVU_Mes_Corriente!BS170*SALUD_Mes_Constante!$BP$1</f>
        <v>2877025.6463508327</v>
      </c>
      <c r="BT170" s="8">
        <f>+MINVU_Mes_Corriente!BT170*SALUD_Mes_Constante!$BP$1</f>
        <v>3668364.6291933423</v>
      </c>
      <c r="BU170" s="8">
        <f>+MINVU_Mes_Corriente!BU170*SALUD_Mes_Constante!$BP$1</f>
        <v>3668364.6291933423</v>
      </c>
      <c r="BV170" s="8">
        <f>+MINVU_Mes_Corriente!BV170*SALUD_Mes_Constante!$BP$1</f>
        <v>3704732.400768246</v>
      </c>
      <c r="BW170" s="8">
        <f>+MINVU_Mes_Corriente!BW170*SALUD_Mes_Constante!$BP$1</f>
        <v>3830943.7889884766</v>
      </c>
      <c r="BX170" s="8">
        <f>+MINVU_Mes_Corriente!BX170*SALUD_Mes_Constante!$BP$1</f>
        <v>5669243.9884763127</v>
      </c>
      <c r="BY170" s="8">
        <f>+MINVU_Mes_Corriente!BY170*SALUD_Mes_Constante!$BP$1</f>
        <v>5669243.9884763127</v>
      </c>
      <c r="BZ170" s="8">
        <f>+MINVU_Mes_Corriente!BZ170*SALUD_Mes_Constante!$BP$1</f>
        <v>5669243.9884763127</v>
      </c>
      <c r="CA170" s="8">
        <f>+MINVU_Mes_Corriente!CA170*SALUD_Mes_Constante!$BP$1</f>
        <v>5669243.9884763127</v>
      </c>
      <c r="CB170" s="9">
        <f t="shared" si="81"/>
        <v>5669243.9884763127</v>
      </c>
      <c r="CC170" s="8">
        <f>+MINVU_Mes_Corriente!CC170*SALUD_Mes_Constante!$CC$1</f>
        <v>86779.038418500568</v>
      </c>
      <c r="CD170" s="8">
        <f>+MINVU_Mes_Corriente!CD170*SALUD_Mes_Constante!$CC$1</f>
        <v>86779.038418500568</v>
      </c>
      <c r="CE170" s="8">
        <f>+MINVU_Mes_Corriente!CE170*SALUD_Mes_Constante!$CC$1</f>
        <v>86779.038418500568</v>
      </c>
      <c r="CF170" s="8">
        <f>+MINVU_Mes_Corriente!CF170*SALUD_Mes_Constante!$CC$1</f>
        <v>373539.33233867964</v>
      </c>
      <c r="CG170" s="8">
        <f>+MINVU_Mes_Corriente!CG170*SALUD_Mes_Constante!$CC$1</f>
        <v>373539.33233867964</v>
      </c>
      <c r="CH170" s="8">
        <f>+MINVU_Mes_Corriente!CH170*SALUD_Mes_Constante!$CC$1</f>
        <v>1313150.8802685565</v>
      </c>
      <c r="CI170" s="8">
        <f>+MINVU_Mes_Corriente!CI170*SALUD_Mes_Constante!$CC$1</f>
        <v>1313150.8802685565</v>
      </c>
      <c r="CJ170" s="8">
        <f>+MINVU_Mes_Corriente!CJ170*SALUD_Mes_Constante!$CC$1</f>
        <v>1421978.8936963822</v>
      </c>
      <c r="CK170" s="8">
        <f>+MINVU_Mes_Corriente!CK170*SALUD_Mes_Constante!$CC$1</f>
        <v>1423609.0317045879</v>
      </c>
      <c r="CL170" s="8">
        <f>+MINVU_Mes_Corriente!CL170*SALUD_Mes_Constante!$CC$1</f>
        <v>2172417.0011189855</v>
      </c>
      <c r="CM170" s="8">
        <f>+MINVU_Mes_Corriente!CM170*SALUD_Mes_Constante!$CC$1</f>
        <v>2172417.0011189855</v>
      </c>
      <c r="CN170" s="8">
        <f>+MINVU_Mes_Corriente!CN170*SALUD_Mes_Constante!$CC$1</f>
        <v>2172417.0011189855</v>
      </c>
      <c r="CO170" s="9">
        <f t="shared" si="82"/>
        <v>2172417.0011189855</v>
      </c>
      <c r="CP170" s="8">
        <f>+MINVU_Mes_Corriente!CP170*SALUD_Mes_Constante!$CP$1</f>
        <v>357609.75452436187</v>
      </c>
      <c r="CQ170" s="8">
        <f>+MINVU_Mes_Corriente!CQ170*SALUD_Mes_Constante!$CP$1</f>
        <v>357609.75452436187</v>
      </c>
      <c r="CR170" s="8">
        <f>+MINVU_Mes_Corriente!CR170*SALUD_Mes_Constante!$CP$1</f>
        <v>1843506.4614849184</v>
      </c>
      <c r="CS170" s="8">
        <f>+MINVU_Mes_Corriente!CS170*SALUD_Mes_Constante!$CP$1</f>
        <v>1843506.4614849184</v>
      </c>
      <c r="CT170" s="8">
        <f>+MINVU_Mes_Corriente!CT170*SALUD_Mes_Constante!$CP$1</f>
        <v>2079723.5394431551</v>
      </c>
      <c r="CU170" s="8">
        <f>+MINVU_Mes_Corriente!CU170*SALUD_Mes_Constante!$CP$1</f>
        <v>2079723.5394431551</v>
      </c>
      <c r="CV170" s="8">
        <f>+MINVU_Mes_Corriente!CV170*SALUD_Mes_Constante!$CP$1</f>
        <v>2912426.7013921109</v>
      </c>
      <c r="CW170" s="8">
        <f>+MINVU_Mes_Corriente!CW170*SALUD_Mes_Constante!$CP$1</f>
        <v>3050901.7099767975</v>
      </c>
      <c r="CX170" s="8">
        <f>+MINVU_Mes_Corriente!CX170*SALUD_Mes_Constante!$CP$1</f>
        <v>3050901.7099767975</v>
      </c>
      <c r="CY170" s="8">
        <f>+MINVU_Mes_Corriente!CY170*SALUD_Mes_Constante!$CP$1</f>
        <v>3225789.958468677</v>
      </c>
      <c r="CZ170" s="8">
        <f>+MINVU_Mes_Corriente!CZ170*SALUD_Mes_Constante!$CP$1</f>
        <v>3225789.958468677</v>
      </c>
      <c r="DA170" s="8">
        <f>+MINVU_Mes_Corriente!DA170*SALUD_Mes_Constante!$CP$1</f>
        <v>3225038.3206496513</v>
      </c>
      <c r="DB170" s="9">
        <f t="shared" si="83"/>
        <v>3225038.3206496513</v>
      </c>
      <c r="DC170" s="8">
        <f>+MINVU_Mes_Corriente!DC170*SALUD_Mes_Constante!$DC$1</f>
        <v>437285.02294002695</v>
      </c>
      <c r="DD170" s="8">
        <f>+MINVU_Mes_Corriente!DD170*SALUD_Mes_Constante!$DC$1</f>
        <v>437285.02294002695</v>
      </c>
      <c r="DE170" s="8">
        <f>+MINVU_Mes_Corriente!DE170*SALUD_Mes_Constante!$DC$1</f>
        <v>437285.02294002695</v>
      </c>
      <c r="DF170" s="8">
        <f>+MINVU_Mes_Corriente!DF170*SALUD_Mes_Constante!$DC$1</f>
        <v>437285.02294002695</v>
      </c>
      <c r="DG170" s="8">
        <f>+MINVU_Mes_Corriente!DG170*SALUD_Mes_Constante!$DC$1</f>
        <v>481289.11984363769</v>
      </c>
      <c r="DH170" s="8">
        <f>+MINVU_Mes_Corriente!DH170*SALUD_Mes_Constante!$DC$1</f>
        <v>481289.11984363769</v>
      </c>
      <c r="DI170" s="8">
        <f>+MINVU_Mes_Corriente!DI170*SALUD_Mes_Constante!$DC$1</f>
        <v>484986.94311284868</v>
      </c>
      <c r="DJ170" s="8">
        <f>+MINVU_Mes_Corriente!DJ170*SALUD_Mes_Constante!$DC$1</f>
        <v>2932607.6358399354</v>
      </c>
      <c r="DK170" s="8">
        <f>+MINVU_Mes_Corriente!DK170*SALUD_Mes_Constante!$DC$1</f>
        <v>3178771.3936837791</v>
      </c>
      <c r="DL170" s="8">
        <f>+MINVU_Mes_Corriente!DL170*SALUD_Mes_Constante!$DC$1</f>
        <v>3178771.3936837791</v>
      </c>
      <c r="DM170" s="8">
        <f>+MINVU_Mes_Corriente!DM170*SALUD_Mes_Constante!$DC$1</f>
        <v>3178771.3936837791</v>
      </c>
      <c r="DN170" s="8">
        <f>+MINVU_Mes_Corriente!DN170*SALUD_Mes_Constante!$DC$1</f>
        <v>3178771.3936837791</v>
      </c>
      <c r="DO170" s="9">
        <f t="shared" si="84"/>
        <v>3178771.3936837791</v>
      </c>
      <c r="DP170" s="8">
        <f>+MINVU_Mes_Corriente!DP170*SALUD_Mes_Constante!$DP$1</f>
        <v>447214.45902612829</v>
      </c>
      <c r="DQ170" s="8">
        <f>+MINVU_Mes_Corriente!DQ170*SALUD_Mes_Constante!$DP$1</f>
        <v>951546.03206650843</v>
      </c>
      <c r="DR170" s="8">
        <f>+MINVU_Mes_Corriente!DR170*SALUD_Mes_Constante!$DP$1</f>
        <v>1401703.9364608077</v>
      </c>
      <c r="DS170" s="8">
        <f>+MINVU_Mes_Corriente!DS170*SALUD_Mes_Constante!$DP$1</f>
        <v>1404407.3212589074</v>
      </c>
      <c r="DT170" s="8">
        <f>+MINVU_Mes_Corriente!DT170*SALUD_Mes_Constante!$DP$1</f>
        <v>1404407.3212589074</v>
      </c>
      <c r="DU170" s="8">
        <f>+MINVU_Mes_Corriente!DU170*SALUD_Mes_Constante!$DP$1</f>
        <v>1476234.0926365796</v>
      </c>
      <c r="DV170" s="8">
        <f>+MINVU_Mes_Corriente!DV170*SALUD_Mes_Constante!$DP$1</f>
        <v>1491083.2446555821</v>
      </c>
      <c r="DW170" s="8">
        <f>+MINVU_Mes_Corriente!DW170*SALUD_Mes_Constante!$DP$1</f>
        <v>1509201.3295724466</v>
      </c>
      <c r="DX170" s="8">
        <f>+MINVU_Mes_Corriente!DX170*SALUD_Mes_Constante!$DP$1</f>
        <v>1724643.7963182901</v>
      </c>
      <c r="DY170" s="8">
        <f>+MINVU_Mes_Corriente!DY170*SALUD_Mes_Constante!$DP$1</f>
        <v>1724643.7963182901</v>
      </c>
      <c r="DZ170" s="8">
        <f>+MINVU_Mes_Corriente!DZ170*SALUD_Mes_Constante!$DP$1</f>
        <v>1724643.7963182901</v>
      </c>
      <c r="EA170" s="8">
        <f>+MINVU_Mes_Corriente!EA170*SALUD_Mes_Constante!$DP$1</f>
        <v>1724643.7963182901</v>
      </c>
      <c r="EB170" s="9">
        <f t="shared" si="85"/>
        <v>1724643.7963182901</v>
      </c>
      <c r="EC170" s="8">
        <f>+MINVU_Mes_Corriente!EC170*SALUD_Mes_Constante!$EC$1</f>
        <v>391866.02783563704</v>
      </c>
      <c r="ED170" s="8">
        <f>+MINVU_Mes_Corriente!ED170*SALUD_Mes_Constante!$EC$1</f>
        <v>391866.02783563704</v>
      </c>
      <c r="EE170" s="8">
        <f>+MINVU_Mes_Corriente!EE170*SALUD_Mes_Constante!$EC$1</f>
        <v>628756.02480590774</v>
      </c>
      <c r="EF170" s="8">
        <f>+MINVU_Mes_Corriente!EF170*SALUD_Mes_Constante!$EC$1</f>
        <v>651274.21908729384</v>
      </c>
      <c r="EG170" s="8">
        <f>+MINVU_Mes_Corriente!EG170*SALUD_Mes_Constante!$EC$1</f>
        <v>878765.08369626931</v>
      </c>
      <c r="EH170" s="8">
        <f>+MINVU_Mes_Corriente!EH170*SALUD_Mes_Constante!$EC$1</f>
        <v>878765.08369626931</v>
      </c>
      <c r="EI170" s="8">
        <f>+MINVU_Mes_Corriente!EI170*SALUD_Mes_Constante!$EC$1</f>
        <v>878765.08369626931</v>
      </c>
      <c r="EJ170" s="8">
        <f>+MINVU_Mes_Corriente!EJ170*SALUD_Mes_Constante!$EC$1</f>
        <v>894357.54705548158</v>
      </c>
      <c r="EK170" s="8">
        <f>+MINVU_Mes_Corriente!EK170*SALUD_Mes_Constante!$EC$1</f>
        <v>894357.54705548158</v>
      </c>
      <c r="EL170" s="8">
        <f>+MINVU_Mes_Corriente!EL170*SALUD_Mes_Constante!$EC$1</f>
        <v>908167.63037303509</v>
      </c>
      <c r="EM170" s="8">
        <f>+MINVU_Mes_Corriente!EM170*SALUD_Mes_Constante!$EC$1</f>
        <v>908167.63037303509</v>
      </c>
      <c r="EN170" s="8">
        <f>+MINVU_Mes_Corriente!EN170*SALUD_Mes_Constante!$EC$1</f>
        <v>680677.80022722948</v>
      </c>
      <c r="EO170" s="9">
        <f t="shared" si="86"/>
        <v>680677.80022722948</v>
      </c>
      <c r="EP170" s="8">
        <f>+MINVU_Mes_Corriente!EP170*SALUD_Mes_Constante!$EP$1</f>
        <v>394721</v>
      </c>
      <c r="EQ170" s="8">
        <f>+MINVU_Mes_Corriente!EQ170*SALUD_Mes_Constante!$EP$1</f>
        <v>625068</v>
      </c>
      <c r="ER170" s="8">
        <f>+MINVU_Mes_Corriente!ER170*SALUD_Mes_Constante!$EP$1</f>
        <v>625068</v>
      </c>
      <c r="ES170" s="8">
        <f>+MINVU_Mes_Corriente!ES170*SALUD_Mes_Constante!$EP$1</f>
        <v>1490138</v>
      </c>
      <c r="ET170" s="8">
        <f>+MINVU_Mes_Corriente!ET170*SALUD_Mes_Constante!$EP$1</f>
        <v>1495538</v>
      </c>
      <c r="EU170" s="8">
        <f>+MINVU_Mes_Corriente!EU170*SALUD_Mes_Constante!$EP$1</f>
        <v>1495538</v>
      </c>
      <c r="EV170" s="8">
        <f>+MINVU_Mes_Corriente!EV170*SALUD_Mes_Constante!$EP$1</f>
        <v>1495538</v>
      </c>
      <c r="EW170" s="8">
        <f>+MINVU_Mes_Corriente!EW170*SALUD_Mes_Constante!$EP$1</f>
        <v>1495538</v>
      </c>
      <c r="EX170" s="8">
        <f>+MINVU_Mes_Corriente!EX170*SALUD_Mes_Constante!$EP$1</f>
        <v>1495538</v>
      </c>
      <c r="EY170" s="8">
        <f>+MINVU_Mes_Corriente!EY170*SALUD_Mes_Constante!$EP$1</f>
        <v>1495538</v>
      </c>
      <c r="EZ170" s="8">
        <f>+MINVU_Mes_Corriente!EZ170*SALUD_Mes_Constante!$EP$1</f>
        <v>1495538</v>
      </c>
      <c r="FA170" s="8">
        <f>+MINVU_Mes_Corriente!FA170*SALUD_Mes_Constante!$EP$1</f>
        <v>1495538</v>
      </c>
      <c r="FB170" s="9">
        <f t="shared" si="87"/>
        <v>1495538</v>
      </c>
      <c r="FC170" s="8">
        <f>+MINVU_Mes_Corriente!FC170*SALUD_Mes_Constante!$FC$1</f>
        <v>406957</v>
      </c>
      <c r="FD170" s="8">
        <f>+MINVU_Mes_Corriente!FD170*SALUD_Mes_Constante!$FC$1</f>
        <v>406957</v>
      </c>
      <c r="FE170" s="8">
        <f>+MINVU_Mes_Corriente!FE170*SALUD_Mes_Constante!$FC$1</f>
        <v>964386</v>
      </c>
      <c r="FF170" s="8">
        <f>+MINVU_Mes_Corriente!FF170*SALUD_Mes_Constante!$FC$1</f>
        <v>964386</v>
      </c>
      <c r="FG170" s="8">
        <f>+MINVU_Mes_Corriente!FG170*SALUD_Mes_Constante!$FC$1</f>
        <v>964386</v>
      </c>
      <c r="FH170" s="8">
        <f>+MINVU_Mes_Corriente!FH170*SALUD_Mes_Constante!$FC$1</f>
        <v>964386</v>
      </c>
      <c r="FI170" s="8">
        <f>+MINVU_Mes_Corriente!FI170*SALUD_Mes_Constante!$FC$1</f>
        <v>2214712</v>
      </c>
      <c r="FJ170" s="8"/>
      <c r="FK170" s="8"/>
      <c r="FL170" s="8"/>
      <c r="FM170" s="8"/>
      <c r="FN170" s="8"/>
      <c r="FO170" s="9">
        <f t="shared" si="88"/>
        <v>2214712</v>
      </c>
    </row>
    <row r="171" spans="2:171" ht="14.25" customHeight="1" x14ac:dyDescent="0.3">
      <c r="B171" s="7" t="s">
        <v>59</v>
      </c>
      <c r="C171" s="8">
        <f>+MINVU_Mes_Corriente!C171*SALUD_Mes_Constante!$C$1</f>
        <v>316363.03485095658</v>
      </c>
      <c r="D171" s="8">
        <f>+MINVU_Mes_Corriente!D171*SALUD_Mes_Constante!$C$1</f>
        <v>600166.81655049685</v>
      </c>
      <c r="E171" s="8">
        <f>+MINVU_Mes_Corriente!E171*SALUD_Mes_Constante!$C$1</f>
        <v>600166.81655049685</v>
      </c>
      <c r="F171" s="8">
        <f>+MINVU_Mes_Corriente!F171*SALUD_Mes_Constante!$C$1</f>
        <v>600166.81655049685</v>
      </c>
      <c r="G171" s="8">
        <f>+MINVU_Mes_Corriente!G171*SALUD_Mes_Constante!$C$1</f>
        <v>614199.02180038567</v>
      </c>
      <c r="H171" s="8">
        <f>+MINVU_Mes_Corriente!H171*SALUD_Mes_Constante!$C$1</f>
        <v>647451.78347916366</v>
      </c>
      <c r="I171" s="8">
        <f>+MINVU_Mes_Corriente!I171*SALUD_Mes_Constante!$C$1</f>
        <v>647451.78347916366</v>
      </c>
      <c r="J171" s="8">
        <f>+MINVU_Mes_Corriente!J171*SALUD_Mes_Constante!$C$1</f>
        <v>647451.78347916366</v>
      </c>
      <c r="K171" s="8">
        <f>+MINVU_Mes_Corriente!K171*SALUD_Mes_Constante!$C$1</f>
        <v>746317.25730387075</v>
      </c>
      <c r="L171" s="8">
        <f>+MINVU_Mes_Corriente!L171*SALUD_Mes_Constante!$C$1</f>
        <v>746317.25730387075</v>
      </c>
      <c r="M171" s="8">
        <f>+MINVU_Mes_Corriente!M171*SALUD_Mes_Constante!$C$1</f>
        <v>1120649.8273765389</v>
      </c>
      <c r="N171" s="8">
        <f>+MINVU_Mes_Corriente!N171*SALUD_Mes_Constante!$C$1</f>
        <v>3867969.2753967084</v>
      </c>
      <c r="O171" s="9">
        <f t="shared" si="76"/>
        <v>3867969.2753967084</v>
      </c>
      <c r="P171" s="8">
        <f>+MINVU_Mes_Corriente!P171*SALUD_Mes_Constante!$P$1</f>
        <v>312150.8063645403</v>
      </c>
      <c r="Q171" s="8">
        <f>+MINVU_Mes_Corriente!Q171*SALUD_Mes_Constante!$P$1</f>
        <v>312150.8063645403</v>
      </c>
      <c r="R171" s="8">
        <f>+MINVU_Mes_Corriente!R171*SALUD_Mes_Constante!$P$1</f>
        <v>363311.6189799686</v>
      </c>
      <c r="S171" s="8">
        <f>+MINVU_Mes_Corriente!S171*SALUD_Mes_Constante!$P$1</f>
        <v>543045.01747407287</v>
      </c>
      <c r="T171" s="8">
        <f>+MINVU_Mes_Corriente!T171*SALUD_Mes_Constante!$P$1</f>
        <v>1429666.8671686314</v>
      </c>
      <c r="U171" s="8">
        <f>+MINVU_Mes_Corriente!U171*SALUD_Mes_Constante!$P$1</f>
        <v>2004657.9005540551</v>
      </c>
      <c r="V171" s="8">
        <f>+MINVU_Mes_Corriente!V171*SALUD_Mes_Constante!$P$1</f>
        <v>2020179.9917601924</v>
      </c>
      <c r="W171" s="8">
        <f>+MINVU_Mes_Corriente!W171*SALUD_Mes_Constante!$P$1</f>
        <v>2035695.8741298472</v>
      </c>
      <c r="X171" s="8">
        <f>+MINVU_Mes_Corriente!X171*SALUD_Mes_Constante!$P$1</f>
        <v>2035695.8741298472</v>
      </c>
      <c r="Y171" s="8">
        <f>+MINVU_Mes_Corriente!Y171*SALUD_Mes_Constante!$P$1</f>
        <v>3594424.273050148</v>
      </c>
      <c r="Z171" s="8">
        <f>+MINVU_Mes_Corriente!Z171*SALUD_Mes_Constante!$P$1</f>
        <v>4776133.4942463404</v>
      </c>
      <c r="AA171" s="8">
        <f>+MINVU_Mes_Corriente!AA171*SALUD_Mes_Constante!$P$1</f>
        <v>5107236.7739735739</v>
      </c>
      <c r="AB171" s="9">
        <f t="shared" si="77"/>
        <v>5107236.7739735739</v>
      </c>
      <c r="AC171" s="8">
        <f>+MINVU_Mes_Corriente!AC171*SALUD_Mes_Constante!$AC$1</f>
        <v>315496.75169456354</v>
      </c>
      <c r="AD171" s="8">
        <f>+MINVU_Mes_Corriente!AD171*SALUD_Mes_Constante!$AC$1</f>
        <v>623824.87453313044</v>
      </c>
      <c r="AE171" s="8">
        <f>+MINVU_Mes_Corriente!AE171*SALUD_Mes_Constante!$AC$1</f>
        <v>623824.87453313044</v>
      </c>
      <c r="AF171" s="8">
        <f>+MINVU_Mes_Corriente!AF171*SALUD_Mes_Constante!$AC$1</f>
        <v>623824.87453313044</v>
      </c>
      <c r="AG171" s="8">
        <f>+MINVU_Mes_Corriente!AG171*SALUD_Mes_Constante!$AC$1</f>
        <v>623824.87453313044</v>
      </c>
      <c r="AH171" s="8">
        <f>+MINVU_Mes_Corriente!AH171*SALUD_Mes_Constante!$AC$1</f>
        <v>629315.83566191723</v>
      </c>
      <c r="AI171" s="8">
        <f>+MINVU_Mes_Corriente!AI171*SALUD_Mes_Constante!$AC$1</f>
        <v>681997.62512104027</v>
      </c>
      <c r="AJ171" s="8">
        <f>+MINVU_Mes_Corriente!AJ171*SALUD_Mes_Constante!$AC$1</f>
        <v>681997.62512104027</v>
      </c>
      <c r="AK171" s="8">
        <f>+MINVU_Mes_Corriente!AK171*SALUD_Mes_Constante!$AC$1</f>
        <v>681997.62512104027</v>
      </c>
      <c r="AL171" s="8">
        <f>+MINVU_Mes_Corriente!AL171*SALUD_Mes_Constante!$AC$1</f>
        <v>935914.90275280119</v>
      </c>
      <c r="AM171" s="8">
        <f>+MINVU_Mes_Corriente!AM171*SALUD_Mes_Constante!$AC$1</f>
        <v>1081667.9543505325</v>
      </c>
      <c r="AN171" s="8">
        <f>+MINVU_Mes_Corriente!AN171*SALUD_Mes_Constante!$AC$1</f>
        <v>1548058.0711025037</v>
      </c>
      <c r="AO171" s="9">
        <f t="shared" si="78"/>
        <v>1548058.0711025037</v>
      </c>
      <c r="AP171" s="8">
        <f>+MINVU_Mes_Corriente!AP171*SALUD_Mes_Constante!$AP$1</f>
        <v>317752.55376707693</v>
      </c>
      <c r="AQ171" s="8">
        <f>+MINVU_Mes_Corriente!AQ171*SALUD_Mes_Constante!$AP$1</f>
        <v>317752.55376707693</v>
      </c>
      <c r="AR171" s="8">
        <f>+MINVU_Mes_Corriente!AR171*SALUD_Mes_Constante!$AP$1</f>
        <v>317752.55376707693</v>
      </c>
      <c r="AS171" s="8">
        <f>+MINVU_Mes_Corriente!AS171*SALUD_Mes_Constante!$AP$1</f>
        <v>317752.55376707693</v>
      </c>
      <c r="AT171" s="8">
        <f>+MINVU_Mes_Corriente!AT171*SALUD_Mes_Constante!$AP$1</f>
        <v>317752.55376707693</v>
      </c>
      <c r="AU171" s="8">
        <f>+MINVU_Mes_Corriente!AU171*SALUD_Mes_Constante!$AP$1</f>
        <v>317752.55376707693</v>
      </c>
      <c r="AV171" s="8">
        <f>+MINVU_Mes_Corriente!AV171*SALUD_Mes_Constante!$AP$1</f>
        <v>317752.55376707693</v>
      </c>
      <c r="AW171" s="8">
        <f>+MINVU_Mes_Corriente!AW171*SALUD_Mes_Constante!$AP$1</f>
        <v>317752.55376707693</v>
      </c>
      <c r="AX171" s="8">
        <f>+MINVU_Mes_Corriente!AX171*SALUD_Mes_Constante!$AP$1</f>
        <v>322186.20722304878</v>
      </c>
      <c r="AY171" s="8">
        <f>+MINVU_Mes_Corriente!AY171*SALUD_Mes_Constante!$AP$1</f>
        <v>325141.97619369673</v>
      </c>
      <c r="AZ171" s="8">
        <f>+MINVU_Mes_Corriente!AZ171*SALUD_Mes_Constante!$AP$1</f>
        <v>325141.97619369673</v>
      </c>
      <c r="BA171" s="8">
        <f>+MINVU_Mes_Corriente!BA171*SALUD_Mes_Constante!$AP$1</f>
        <v>325141.97619369673</v>
      </c>
      <c r="BB171" s="9">
        <f t="shared" si="79"/>
        <v>325141.97619369673</v>
      </c>
      <c r="BC171" s="8">
        <f>+MINVU_Mes_Corriente!BC171*SALUD_Mes_Constante!$BC$1</f>
        <v>317845.3079256232</v>
      </c>
      <c r="BD171" s="8">
        <f>+MINVU_Mes_Corriente!BD171*SALUD_Mes_Constante!$BC$1</f>
        <v>317845.3079256232</v>
      </c>
      <c r="BE171" s="8">
        <f>+MINVU_Mes_Corriente!BE171*SALUD_Mes_Constante!$BC$1</f>
        <v>317845.3079256232</v>
      </c>
      <c r="BF171" s="8">
        <f>+MINVU_Mes_Corriente!BF171*SALUD_Mes_Constante!$BC$1</f>
        <v>317845.3079256232</v>
      </c>
      <c r="BG171" s="8">
        <f>+MINVU_Mes_Corriente!BG171*SALUD_Mes_Constante!$BC$1</f>
        <v>317845.3079256232</v>
      </c>
      <c r="BH171" s="8">
        <f>+MINVU_Mes_Corriente!BH171*SALUD_Mes_Constante!$BC$1</f>
        <v>317845.3079256232</v>
      </c>
      <c r="BI171" s="8">
        <f>+MINVU_Mes_Corriente!BI171*SALUD_Mes_Constante!$BC$1</f>
        <v>285440.48925227491</v>
      </c>
      <c r="BJ171" s="8">
        <f>+MINVU_Mes_Corriente!BJ171*SALUD_Mes_Constante!$BC$1</f>
        <v>1261616.5604641966</v>
      </c>
      <c r="BK171" s="8">
        <f>+MINVU_Mes_Corriente!BK171*SALUD_Mes_Constante!$BC$1</f>
        <v>3210870.8656204678</v>
      </c>
      <c r="BL171" s="8">
        <f>+MINVU_Mes_Corriente!BL171*SALUD_Mes_Constante!$BC$1</f>
        <v>4539768.1289727036</v>
      </c>
      <c r="BM171" s="8">
        <f>+MINVU_Mes_Corriente!BM171*SALUD_Mes_Constante!$BC$1</f>
        <v>4571769.5083739953</v>
      </c>
      <c r="BN171" s="8">
        <f>+MINVU_Mes_Corriente!BN171*SALUD_Mes_Constante!$BC$1</f>
        <v>6335850.9510747744</v>
      </c>
      <c r="BO171" s="9">
        <f t="shared" si="80"/>
        <v>6335850.9510747744</v>
      </c>
      <c r="BP171" s="8">
        <f>+MINVU_Mes_Corriente!BP171*SALUD_Mes_Constante!$BP$1</f>
        <v>0</v>
      </c>
      <c r="BQ171" s="8">
        <f>+MINVU_Mes_Corriente!BQ171*SALUD_Mes_Constante!$BP$1</f>
        <v>0</v>
      </c>
      <c r="BR171" s="8">
        <f>+MINVU_Mes_Corriente!BR171*SALUD_Mes_Constante!$BP$1</f>
        <v>0</v>
      </c>
      <c r="BS171" s="8">
        <f>+MINVU_Mes_Corriente!BS171*SALUD_Mes_Constante!$BP$1</f>
        <v>180295.78770806661</v>
      </c>
      <c r="BT171" s="8">
        <f>+MINVU_Mes_Corriente!BT171*SALUD_Mes_Constante!$BP$1</f>
        <v>2020118.072727273</v>
      </c>
      <c r="BU171" s="8">
        <f>+MINVU_Mes_Corriente!BU171*SALUD_Mes_Constante!$BP$1</f>
        <v>2020118.072727273</v>
      </c>
      <c r="BV171" s="8">
        <f>+MINVU_Mes_Corriente!BV171*SALUD_Mes_Constante!$BP$1</f>
        <v>2067235.5733674779</v>
      </c>
      <c r="BW171" s="8">
        <f>+MINVU_Mes_Corriente!BW171*SALUD_Mes_Constante!$BP$1</f>
        <v>2136866.7895006402</v>
      </c>
      <c r="BX171" s="8">
        <f>+MINVU_Mes_Corriente!BX171*SALUD_Mes_Constante!$BP$1</f>
        <v>7182090.6845070431</v>
      </c>
      <c r="BY171" s="8">
        <f>+MINVU_Mes_Corriente!BY171*SALUD_Mes_Constante!$BP$1</f>
        <v>7182090.6845070431</v>
      </c>
      <c r="BZ171" s="8">
        <f>+MINVU_Mes_Corriente!BZ171*SALUD_Mes_Constante!$BP$1</f>
        <v>7216891.6033290662</v>
      </c>
      <c r="CA171" s="8">
        <f>+MINVU_Mes_Corriente!CA171*SALUD_Mes_Constante!$BP$1</f>
        <v>7216891.6033290662</v>
      </c>
      <c r="CB171" s="9">
        <f t="shared" si="81"/>
        <v>7216891.6033290662</v>
      </c>
      <c r="CC171" s="8">
        <f>+MINVU_Mes_Corriente!CC171*SALUD_Mes_Constante!$CC$1</f>
        <v>93503.35770234988</v>
      </c>
      <c r="CD171" s="8">
        <f>+MINVU_Mes_Corriente!CD171*SALUD_Mes_Constante!$CC$1</f>
        <v>93503.35770234988</v>
      </c>
      <c r="CE171" s="8">
        <f>+MINVU_Mes_Corriente!CE171*SALUD_Mes_Constante!$CC$1</f>
        <v>93503.35770234988</v>
      </c>
      <c r="CF171" s="8">
        <f>+MINVU_Mes_Corriente!CF171*SALUD_Mes_Constante!$CC$1</f>
        <v>300490.13129429321</v>
      </c>
      <c r="CG171" s="8">
        <f>+MINVU_Mes_Corriente!CG171*SALUD_Mes_Constante!$CC$1</f>
        <v>300490.13129429321</v>
      </c>
      <c r="CH171" s="8">
        <f>+MINVU_Mes_Corriente!CH171*SALUD_Mes_Constante!$CC$1</f>
        <v>436400.17083177925</v>
      </c>
      <c r="CI171" s="8">
        <f>+MINVU_Mes_Corriente!CI171*SALUD_Mes_Constante!$CC$1</f>
        <v>436400.17083177925</v>
      </c>
      <c r="CJ171" s="8">
        <f>+MINVU_Mes_Corriente!CJ171*SALUD_Mes_Constante!$CC$1</f>
        <v>466064.60723610595</v>
      </c>
      <c r="CK171" s="8">
        <f>+MINVU_Mes_Corriente!CK171*SALUD_Mes_Constante!$CC$1</f>
        <v>481405.56434166362</v>
      </c>
      <c r="CL171" s="8">
        <f>+MINVU_Mes_Corriente!CL171*SALUD_Mes_Constante!$CC$1</f>
        <v>689248.16038791498</v>
      </c>
      <c r="CM171" s="8">
        <f>+MINVU_Mes_Corriente!CM171*SALUD_Mes_Constante!$CC$1</f>
        <v>689248.16038791498</v>
      </c>
      <c r="CN171" s="8">
        <f>+MINVU_Mes_Corriente!CN171*SALUD_Mes_Constante!$CC$1</f>
        <v>689248.16038791498</v>
      </c>
      <c r="CO171" s="9">
        <f t="shared" si="82"/>
        <v>689248.16038791498</v>
      </c>
      <c r="CP171" s="8">
        <f>+MINVU_Mes_Corriente!CP171*SALUD_Mes_Constante!$CP$1</f>
        <v>387980.73897911824</v>
      </c>
      <c r="CQ171" s="8">
        <f>+MINVU_Mes_Corriente!CQ171*SALUD_Mes_Constante!$CP$1</f>
        <v>387980.73897911824</v>
      </c>
      <c r="CR171" s="8">
        <f>+MINVU_Mes_Corriente!CR171*SALUD_Mes_Constante!$CP$1</f>
        <v>387980.73897911824</v>
      </c>
      <c r="CS171" s="8">
        <f>+MINVU_Mes_Corriente!CS171*SALUD_Mes_Constante!$CP$1</f>
        <v>387980.73897911824</v>
      </c>
      <c r="CT171" s="8">
        <f>+MINVU_Mes_Corriente!CT171*SALUD_Mes_Constante!$CP$1</f>
        <v>489009.48097447783</v>
      </c>
      <c r="CU171" s="8">
        <f>+MINVU_Mes_Corriente!CU171*SALUD_Mes_Constante!$CP$1</f>
        <v>489009.48097447783</v>
      </c>
      <c r="CV171" s="8">
        <f>+MINVU_Mes_Corriente!CV171*SALUD_Mes_Constante!$CP$1</f>
        <v>489009.48097447783</v>
      </c>
      <c r="CW171" s="8">
        <f>+MINVU_Mes_Corriente!CW171*SALUD_Mes_Constante!$CP$1</f>
        <v>490749.78236658924</v>
      </c>
      <c r="CX171" s="8">
        <f>+MINVU_Mes_Corriente!CX171*SALUD_Mes_Constante!$CP$1</f>
        <v>926105.25174013898</v>
      </c>
      <c r="CY171" s="8">
        <f>+MINVU_Mes_Corriente!CY171*SALUD_Mes_Constante!$CP$1</f>
        <v>1671202.6809744777</v>
      </c>
      <c r="CZ171" s="8">
        <f>+MINVU_Mes_Corriente!CZ171*SALUD_Mes_Constante!$CP$1</f>
        <v>1671202.6809744777</v>
      </c>
      <c r="DA171" s="8">
        <f>+MINVU_Mes_Corriente!DA171*SALUD_Mes_Constante!$CP$1</f>
        <v>1671202.6809744777</v>
      </c>
      <c r="DB171" s="9">
        <f t="shared" si="83"/>
        <v>1671202.6809744777</v>
      </c>
      <c r="DC171" s="8">
        <f>+MINVU_Mes_Corriente!DC171*SALUD_Mes_Constante!$DC$1</f>
        <v>470593.53132393811</v>
      </c>
      <c r="DD171" s="8">
        <f>+MINVU_Mes_Corriente!DD171*SALUD_Mes_Constante!$DC$1</f>
        <v>470593.53132393811</v>
      </c>
      <c r="DE171" s="8">
        <f>+MINVU_Mes_Corriente!DE171*SALUD_Mes_Constante!$DC$1</f>
        <v>470593.53132393811</v>
      </c>
      <c r="DF171" s="8">
        <f>+MINVU_Mes_Corriente!DF171*SALUD_Mes_Constante!$DC$1</f>
        <v>470593.53132393811</v>
      </c>
      <c r="DG171" s="8">
        <f>+MINVU_Mes_Corriente!DG171*SALUD_Mes_Constante!$DC$1</f>
        <v>470593.53132393811</v>
      </c>
      <c r="DH171" s="8">
        <f>+MINVU_Mes_Corriente!DH171*SALUD_Mes_Constante!$DC$1</f>
        <v>532921.52268285176</v>
      </c>
      <c r="DI171" s="8">
        <f>+MINVU_Mes_Corriente!DI171*SALUD_Mes_Constante!$DC$1</f>
        <v>536405.79384836974</v>
      </c>
      <c r="DJ171" s="8">
        <f>+MINVU_Mes_Corriente!DJ171*SALUD_Mes_Constante!$DC$1</f>
        <v>1098977.3401913389</v>
      </c>
      <c r="DK171" s="8">
        <f>+MINVU_Mes_Corriente!DK171*SALUD_Mes_Constante!$DC$1</f>
        <v>2134757.8691492653</v>
      </c>
      <c r="DL171" s="8">
        <f>+MINVU_Mes_Corriente!DL171*SALUD_Mes_Constante!$DC$1</f>
        <v>2134757.8691492653</v>
      </c>
      <c r="DM171" s="8">
        <f>+MINVU_Mes_Corriente!DM171*SALUD_Mes_Constante!$DC$1</f>
        <v>2134757.8691492653</v>
      </c>
      <c r="DN171" s="8">
        <f>+MINVU_Mes_Corriente!DN171*SALUD_Mes_Constante!$DC$1</f>
        <v>2256263.3963584006</v>
      </c>
      <c r="DO171" s="9">
        <f t="shared" si="84"/>
        <v>2256263.3963584006</v>
      </c>
      <c r="DP171" s="8">
        <f>+MINVU_Mes_Corriente!DP171*SALUD_Mes_Constante!$DP$1</f>
        <v>481279.27019002382</v>
      </c>
      <c r="DQ171" s="8">
        <f>+MINVU_Mes_Corriente!DQ171*SALUD_Mes_Constante!$DP$1</f>
        <v>978247.90439429937</v>
      </c>
      <c r="DR171" s="8">
        <f>+MINVU_Mes_Corriente!DR171*SALUD_Mes_Constante!$DP$1</f>
        <v>978247.90439429937</v>
      </c>
      <c r="DS171" s="8">
        <f>+MINVU_Mes_Corriente!DS171*SALUD_Mes_Constante!$DP$1</f>
        <v>980951.28919239913</v>
      </c>
      <c r="DT171" s="8">
        <f>+MINVU_Mes_Corriente!DT171*SALUD_Mes_Constante!$DP$1</f>
        <v>980951.28919239913</v>
      </c>
      <c r="DU171" s="8">
        <f>+MINVU_Mes_Corriente!DU171*SALUD_Mes_Constante!$DP$1</f>
        <v>1004331.2422802851</v>
      </c>
      <c r="DV171" s="8">
        <f>+MINVU_Mes_Corriente!DV171*SALUD_Mes_Constante!$DP$1</f>
        <v>1020063.8604513066</v>
      </c>
      <c r="DW171" s="8">
        <f>+MINVU_Mes_Corriente!DW171*SALUD_Mes_Constante!$DP$1</f>
        <v>1049711.3408551069</v>
      </c>
      <c r="DX171" s="8">
        <f>+MINVU_Mes_Corriente!DX171*SALUD_Mes_Constante!$DP$1</f>
        <v>1118580.6092636581</v>
      </c>
      <c r="DY171" s="8">
        <f>+MINVU_Mes_Corriente!DY171*SALUD_Mes_Constante!$DP$1</f>
        <v>1118580.6092636581</v>
      </c>
      <c r="DZ171" s="8">
        <f>+MINVU_Mes_Corriente!DZ171*SALUD_Mes_Constante!$DP$1</f>
        <v>1118580.6092636581</v>
      </c>
      <c r="EA171" s="8">
        <f>+MINVU_Mes_Corriente!EA171*SALUD_Mes_Constante!$DP$1</f>
        <v>1118580.6092636581</v>
      </c>
      <c r="EB171" s="9">
        <f t="shared" si="85"/>
        <v>1118580.6092636581</v>
      </c>
      <c r="EC171" s="8">
        <f>+MINVU_Mes_Corriente!EC171*SALUD_Mes_Constante!$EC$1</f>
        <v>421715.46260177984</v>
      </c>
      <c r="ED171" s="8">
        <f>+MINVU_Mes_Corriente!ED171*SALUD_Mes_Constante!$EC$1</f>
        <v>421715.46260177984</v>
      </c>
      <c r="EE171" s="8">
        <f>+MINVU_Mes_Corriente!EE171*SALUD_Mes_Constante!$EC$1</f>
        <v>868644.93050558574</v>
      </c>
      <c r="EF171" s="8">
        <f>+MINVU_Mes_Corriente!EF171*SALUD_Mes_Constante!$EC$1</f>
        <v>1022180.9886385151</v>
      </c>
      <c r="EG171" s="8">
        <f>+MINVU_Mes_Corriente!EG171*SALUD_Mes_Constante!$EC$1</f>
        <v>1477162.7178564661</v>
      </c>
      <c r="EH171" s="8">
        <f>+MINVU_Mes_Corriente!EH171*SALUD_Mes_Constante!$EC$1</f>
        <v>1477162.7178564661</v>
      </c>
      <c r="EI171" s="8">
        <f>+MINVU_Mes_Corriente!EI171*SALUD_Mes_Constante!$EC$1</f>
        <v>1477162.7178564661</v>
      </c>
      <c r="EJ171" s="8">
        <f>+MINVU_Mes_Corriente!EJ171*SALUD_Mes_Constante!$EC$1</f>
        <v>1477162.7178564661</v>
      </c>
      <c r="EK171" s="8">
        <f>+MINVU_Mes_Corriente!EK171*SALUD_Mes_Constante!$EC$1</f>
        <v>1477162.7178564661</v>
      </c>
      <c r="EL171" s="8">
        <f>+MINVU_Mes_Corriente!EL171*SALUD_Mes_Constante!$EC$1</f>
        <v>1491880.0253739818</v>
      </c>
      <c r="EM171" s="8">
        <f>+MINVU_Mes_Corriente!EM171*SALUD_Mes_Constante!$EC$1</f>
        <v>1491880.0253739818</v>
      </c>
      <c r="EN171" s="8">
        <f>+MINVU_Mes_Corriente!EN171*SALUD_Mes_Constante!$EC$1</f>
        <v>1035137.6398409388</v>
      </c>
      <c r="EO171" s="9">
        <f t="shared" si="86"/>
        <v>1035137.6398409388</v>
      </c>
      <c r="EP171" s="8">
        <f>+MINVU_Mes_Corriente!EP171*SALUD_Mes_Constante!$EP$1</f>
        <v>424788</v>
      </c>
      <c r="EQ171" s="8">
        <f>+MINVU_Mes_Corriente!EQ171*SALUD_Mes_Constante!$EP$1</f>
        <v>857524</v>
      </c>
      <c r="ER171" s="8">
        <f>+MINVU_Mes_Corriente!ER171*SALUD_Mes_Constante!$EP$1</f>
        <v>857524</v>
      </c>
      <c r="ES171" s="8">
        <f>+MINVU_Mes_Corriente!ES171*SALUD_Mes_Constante!$EP$1</f>
        <v>2793899</v>
      </c>
      <c r="ET171" s="8">
        <f>+MINVU_Mes_Corriente!ET171*SALUD_Mes_Constante!$EP$1</f>
        <v>2808671</v>
      </c>
      <c r="EU171" s="8">
        <f>+MINVU_Mes_Corriente!EU171*SALUD_Mes_Constante!$EP$1</f>
        <v>2808671</v>
      </c>
      <c r="EV171" s="8">
        <f>+MINVU_Mes_Corriente!EV171*SALUD_Mes_Constante!$EP$1</f>
        <v>2808671</v>
      </c>
      <c r="EW171" s="8">
        <f>+MINVU_Mes_Corriente!EW171*SALUD_Mes_Constante!$EP$1</f>
        <v>2808671</v>
      </c>
      <c r="EX171" s="8">
        <f>+MINVU_Mes_Corriente!EX171*SALUD_Mes_Constante!$EP$1</f>
        <v>2808671</v>
      </c>
      <c r="EY171" s="8">
        <f>+MINVU_Mes_Corriente!EY171*SALUD_Mes_Constante!$EP$1</f>
        <v>2808671</v>
      </c>
      <c r="EZ171" s="8">
        <f>+MINVU_Mes_Corriente!EZ171*SALUD_Mes_Constante!$EP$1</f>
        <v>2808671</v>
      </c>
      <c r="FA171" s="8">
        <f>+MINVU_Mes_Corriente!FA171*SALUD_Mes_Constante!$EP$1</f>
        <v>2579505</v>
      </c>
      <c r="FB171" s="9">
        <f t="shared" si="87"/>
        <v>2579505</v>
      </c>
      <c r="FC171" s="8">
        <f>+MINVU_Mes_Corriente!FC171*SALUD_Mes_Constante!$FC$1</f>
        <v>437957</v>
      </c>
      <c r="FD171" s="8">
        <f>+MINVU_Mes_Corriente!FD171*SALUD_Mes_Constante!$FC$1</f>
        <v>437957</v>
      </c>
      <c r="FE171" s="8">
        <f>+MINVU_Mes_Corriente!FE171*SALUD_Mes_Constante!$FC$1</f>
        <v>437957</v>
      </c>
      <c r="FF171" s="8">
        <f>+MINVU_Mes_Corriente!FF171*SALUD_Mes_Constante!$FC$1</f>
        <v>437957</v>
      </c>
      <c r="FG171" s="8">
        <f>+MINVU_Mes_Corriente!FG171*SALUD_Mes_Constante!$FC$1</f>
        <v>437957</v>
      </c>
      <c r="FH171" s="8">
        <f>+MINVU_Mes_Corriente!FH171*SALUD_Mes_Constante!$FC$1</f>
        <v>437957</v>
      </c>
      <c r="FI171" s="8">
        <f>+MINVU_Mes_Corriente!FI171*SALUD_Mes_Constante!$FC$1</f>
        <v>715140</v>
      </c>
      <c r="FJ171" s="8"/>
      <c r="FK171" s="8"/>
      <c r="FL171" s="8"/>
      <c r="FM171" s="8"/>
      <c r="FN171" s="8"/>
      <c r="FO171" s="9">
        <f t="shared" si="88"/>
        <v>715140</v>
      </c>
    </row>
    <row r="172" spans="2:171" ht="14.25" customHeight="1" x14ac:dyDescent="0.3">
      <c r="B172" s="7" t="s">
        <v>60</v>
      </c>
      <c r="C172" s="8">
        <f>+MINVU_Mes_Corriente!C172*SALUD_Mes_Constante!$C$1</f>
        <v>98761.771615008169</v>
      </c>
      <c r="D172" s="8">
        <f>+MINVU_Mes_Corriente!D172*SALUD_Mes_Constante!$C$1</f>
        <v>98761.771615008169</v>
      </c>
      <c r="E172" s="8">
        <f>+MINVU_Mes_Corriente!E172*SALUD_Mes_Constante!$C$1</f>
        <v>98761.771615008169</v>
      </c>
      <c r="F172" s="8">
        <f>+MINVU_Mes_Corriente!F172*SALUD_Mes_Constante!$C$1</f>
        <v>98761.771615008169</v>
      </c>
      <c r="G172" s="8">
        <f>+MINVU_Mes_Corriente!G172*SALUD_Mes_Constante!$C$1</f>
        <v>130812.23580008901</v>
      </c>
      <c r="H172" s="8">
        <f>+MINVU_Mes_Corriente!H172*SALUD_Mes_Constante!$C$1</f>
        <v>147210.14770873502</v>
      </c>
      <c r="I172" s="8">
        <f>+MINVU_Mes_Corriente!I172*SALUD_Mes_Constante!$C$1</f>
        <v>147210.14770873502</v>
      </c>
      <c r="J172" s="8">
        <f>+MINVU_Mes_Corriente!J172*SALUD_Mes_Constante!$C$1</f>
        <v>147210.14770873502</v>
      </c>
      <c r="K172" s="8">
        <f>+MINVU_Mes_Corriente!K172*SALUD_Mes_Constante!$C$1</f>
        <v>217828.11181966486</v>
      </c>
      <c r="L172" s="8">
        <f>+MINVU_Mes_Corriente!L172*SALUD_Mes_Constante!$C$1</f>
        <v>219216.74922141482</v>
      </c>
      <c r="M172" s="8">
        <f>+MINVU_Mes_Corriente!M172*SALUD_Mes_Constante!$C$1</f>
        <v>2127471.8964852444</v>
      </c>
      <c r="N172" s="8">
        <f>+MINVU_Mes_Corriente!N172*SALUD_Mes_Constante!$C$1</f>
        <v>2168262.5125315143</v>
      </c>
      <c r="O172" s="9">
        <f t="shared" si="76"/>
        <v>2168262.5125315143</v>
      </c>
      <c r="P172" s="8">
        <f>+MINVU_Mes_Corriente!P172*SALUD_Mes_Constante!$P$1</f>
        <v>97447.688592129532</v>
      </c>
      <c r="Q172" s="8">
        <f>+MINVU_Mes_Corriente!Q172*SALUD_Mes_Constante!$P$1</f>
        <v>97447.688592129532</v>
      </c>
      <c r="R172" s="8">
        <f>+MINVU_Mes_Corriente!R172*SALUD_Mes_Constante!$P$1</f>
        <v>227771.16635885771</v>
      </c>
      <c r="S172" s="8">
        <f>+MINVU_Mes_Corriente!S172*SALUD_Mes_Constante!$P$1</f>
        <v>524994.37761045585</v>
      </c>
      <c r="T172" s="8">
        <f>+MINVU_Mes_Corriente!T172*SALUD_Mes_Constante!$P$1</f>
        <v>524994.37761045585</v>
      </c>
      <c r="U172" s="8">
        <f>+MINVU_Mes_Corriente!U172*SALUD_Mes_Constante!$P$1</f>
        <v>524994.37761045585</v>
      </c>
      <c r="V172" s="8">
        <f>+MINVU_Mes_Corriente!V172*SALUD_Mes_Constante!$P$1</f>
        <v>524994.37761045585</v>
      </c>
      <c r="W172" s="8">
        <f>+MINVU_Mes_Corriente!W172*SALUD_Mes_Constante!$P$1</f>
        <v>590711.80735899962</v>
      </c>
      <c r="X172" s="8">
        <f>+MINVU_Mes_Corriente!X172*SALUD_Mes_Constante!$P$1</f>
        <v>590711.80735899962</v>
      </c>
      <c r="Y172" s="8">
        <f>+MINVU_Mes_Corriente!Y172*SALUD_Mes_Constante!$P$1</f>
        <v>600333.95169768413</v>
      </c>
      <c r="Z172" s="8">
        <f>+MINVU_Mes_Corriente!Z172*SALUD_Mes_Constante!$P$1</f>
        <v>1554913.068901832</v>
      </c>
      <c r="AA172" s="8">
        <f>+MINVU_Mes_Corriente!AA172*SALUD_Mes_Constante!$P$1</f>
        <v>2350640.6569114923</v>
      </c>
      <c r="AB172" s="9">
        <f t="shared" si="77"/>
        <v>2350640.6569114923</v>
      </c>
      <c r="AC172" s="8">
        <f>+MINVU_Mes_Corriente!AC172*SALUD_Mes_Constante!$AC$1</f>
        <v>98492.698298519856</v>
      </c>
      <c r="AD172" s="8">
        <f>+MINVU_Mes_Corriente!AD172*SALUD_Mes_Constante!$AC$1</f>
        <v>429492.0066399225</v>
      </c>
      <c r="AE172" s="8">
        <f>+MINVU_Mes_Corriente!AE172*SALUD_Mes_Constante!$AC$1</f>
        <v>429492.0066399225</v>
      </c>
      <c r="AF172" s="8">
        <f>+MINVU_Mes_Corriente!AF172*SALUD_Mes_Constante!$AC$1</f>
        <v>429492.0066399225</v>
      </c>
      <c r="AG172" s="8">
        <f>+MINVU_Mes_Corriente!AG172*SALUD_Mes_Constante!$AC$1</f>
        <v>429492.0066399225</v>
      </c>
      <c r="AH172" s="8">
        <f>+MINVU_Mes_Corriente!AH172*SALUD_Mes_Constante!$AC$1</f>
        <v>429492.0066399225</v>
      </c>
      <c r="AI172" s="8">
        <f>+MINVU_Mes_Corriente!AI172*SALUD_Mes_Constante!$AC$1</f>
        <v>429492.0066399225</v>
      </c>
      <c r="AJ172" s="8">
        <f>+MINVU_Mes_Corriente!AJ172*SALUD_Mes_Constante!$AC$1</f>
        <v>429492.0066399225</v>
      </c>
      <c r="AK172" s="8">
        <f>+MINVU_Mes_Corriente!AK172*SALUD_Mes_Constante!$AC$1</f>
        <v>429492.0066399225</v>
      </c>
      <c r="AL172" s="8">
        <f>+MINVU_Mes_Corriente!AL172*SALUD_Mes_Constante!$AC$1</f>
        <v>686432.10900539497</v>
      </c>
      <c r="AM172" s="8">
        <f>+MINVU_Mes_Corriente!AM172*SALUD_Mes_Constante!$AC$1</f>
        <v>722706.00580993225</v>
      </c>
      <c r="AN172" s="8">
        <f>+MINVU_Mes_Corriente!AN172*SALUD_Mes_Constante!$AC$1</f>
        <v>810877.26905519434</v>
      </c>
      <c r="AO172" s="9">
        <f t="shared" si="78"/>
        <v>810877.26905519434</v>
      </c>
      <c r="AP172" s="8">
        <f>+MINVU_Mes_Corriente!AP172*SALUD_Mes_Constante!$AP$1</f>
        <v>99197.084539429183</v>
      </c>
      <c r="AQ172" s="8">
        <f>+MINVU_Mes_Corriente!AQ172*SALUD_Mes_Constante!$AP$1</f>
        <v>99197.084539429183</v>
      </c>
      <c r="AR172" s="8">
        <f>+MINVU_Mes_Corriente!AR172*SALUD_Mes_Constante!$AP$1</f>
        <v>99197.084539429183</v>
      </c>
      <c r="AS172" s="8">
        <f>+MINVU_Mes_Corriente!AS172*SALUD_Mes_Constante!$AP$1</f>
        <v>99197.084539429183</v>
      </c>
      <c r="AT172" s="8">
        <f>+MINVU_Mes_Corriente!AT172*SALUD_Mes_Constante!$AP$1</f>
        <v>99197.084539429183</v>
      </c>
      <c r="AU172" s="8">
        <f>+MINVU_Mes_Corriente!AU172*SALUD_Mes_Constante!$AP$1</f>
        <v>99197.084539429183</v>
      </c>
      <c r="AV172" s="8">
        <f>+MINVU_Mes_Corriente!AV172*SALUD_Mes_Constante!$AP$1</f>
        <v>99197.084539429183</v>
      </c>
      <c r="AW172" s="8">
        <f>+MINVU_Mes_Corriente!AW172*SALUD_Mes_Constante!$AP$1</f>
        <v>99197.084539429183</v>
      </c>
      <c r="AX172" s="8">
        <f>+MINVU_Mes_Corriente!AX172*SALUD_Mes_Constante!$AP$1</f>
        <v>533739.45975923166</v>
      </c>
      <c r="AY172" s="8">
        <f>+MINVU_Mes_Corriente!AY172*SALUD_Mes_Constante!$AP$1</f>
        <v>533739.45975923166</v>
      </c>
      <c r="AZ172" s="8">
        <f>+MINVU_Mes_Corriente!AZ172*SALUD_Mes_Constante!$AP$1</f>
        <v>543345.70891383733</v>
      </c>
      <c r="BA172" s="8">
        <f>+MINVU_Mes_Corriente!BA172*SALUD_Mes_Constante!$AP$1</f>
        <v>552864.76288380893</v>
      </c>
      <c r="BB172" s="9">
        <f t="shared" si="79"/>
        <v>552864.76288380893</v>
      </c>
      <c r="BC172" s="8">
        <f>+MINVU_Mes_Corriente!BC172*SALUD_Mes_Constante!$BC$1</f>
        <v>99225.88896215221</v>
      </c>
      <c r="BD172" s="8">
        <f>+MINVU_Mes_Corriente!BD172*SALUD_Mes_Constante!$BC$1</f>
        <v>99225.88896215221</v>
      </c>
      <c r="BE172" s="8">
        <f>+MINVU_Mes_Corriente!BE172*SALUD_Mes_Constante!$BC$1</f>
        <v>99225.88896215221</v>
      </c>
      <c r="BF172" s="8">
        <f>+MINVU_Mes_Corriente!BF172*SALUD_Mes_Constante!$BC$1</f>
        <v>99225.88896215221</v>
      </c>
      <c r="BG172" s="8">
        <f>+MINVU_Mes_Corriente!BG172*SALUD_Mes_Constante!$BC$1</f>
        <v>99225.88896215221</v>
      </c>
      <c r="BH172" s="8">
        <f>+MINVU_Mes_Corriente!BH172*SALUD_Mes_Constante!$BC$1</f>
        <v>99225.88896215221</v>
      </c>
      <c r="BI172" s="8">
        <f>+MINVU_Mes_Corriente!BI172*SALUD_Mes_Constante!$BC$1</f>
        <v>89109.649215350146</v>
      </c>
      <c r="BJ172" s="8">
        <f>+MINVU_Mes_Corriente!BJ172*SALUD_Mes_Constante!$BC$1</f>
        <v>1305931.4827904527</v>
      </c>
      <c r="BK172" s="8">
        <f>+MINVU_Mes_Corriente!BK172*SALUD_Mes_Constante!$BC$1</f>
        <v>2933411.2696821848</v>
      </c>
      <c r="BL172" s="8">
        <f>+MINVU_Mes_Corriente!BL172*SALUD_Mes_Constante!$BC$1</f>
        <v>2933411.2696821848</v>
      </c>
      <c r="BM172" s="8">
        <f>+MINVU_Mes_Corriente!BM172*SALUD_Mes_Constante!$BC$1</f>
        <v>2942157.2567585395</v>
      </c>
      <c r="BN172" s="8">
        <f>+MINVU_Mes_Corriente!BN172*SALUD_Mes_Constante!$BC$1</f>
        <v>3079038.4383489392</v>
      </c>
      <c r="BO172" s="9">
        <f t="shared" si="80"/>
        <v>3079038.4383489392</v>
      </c>
      <c r="BP172" s="8">
        <f>+MINVU_Mes_Corriente!BP172*SALUD_Mes_Constante!$BP$1</f>
        <v>0</v>
      </c>
      <c r="BQ172" s="8">
        <f>+MINVU_Mes_Corriente!BQ172*SALUD_Mes_Constante!$BP$1</f>
        <v>0</v>
      </c>
      <c r="BR172" s="8">
        <f>+MINVU_Mes_Corriente!BR172*SALUD_Mes_Constante!$BP$1</f>
        <v>0</v>
      </c>
      <c r="BS172" s="8">
        <f>+MINVU_Mes_Corriente!BS172*SALUD_Mes_Constante!$BP$1</f>
        <v>897302.99615877087</v>
      </c>
      <c r="BT172" s="8">
        <f>+MINVU_Mes_Corriente!BT172*SALUD_Mes_Constante!$BP$1</f>
        <v>911606.12343149818</v>
      </c>
      <c r="BU172" s="8">
        <f>+MINVU_Mes_Corriente!BU172*SALUD_Mes_Constante!$BP$1</f>
        <v>911606.12343149818</v>
      </c>
      <c r="BV172" s="8">
        <f>+MINVU_Mes_Corriente!BV172*SALUD_Mes_Constante!$BP$1</f>
        <v>920097.9057618439</v>
      </c>
      <c r="BW172" s="8">
        <f>+MINVU_Mes_Corriente!BW172*SALUD_Mes_Constante!$BP$1</f>
        <v>936186.12599231768</v>
      </c>
      <c r="BX172" s="8">
        <f>+MINVU_Mes_Corriente!BX172*SALUD_Mes_Constante!$BP$1</f>
        <v>5467606.826888605</v>
      </c>
      <c r="BY172" s="8">
        <f>+MINVU_Mes_Corriente!BY172*SALUD_Mes_Constante!$BP$1</f>
        <v>5467606.826888605</v>
      </c>
      <c r="BZ172" s="8">
        <f>+MINVU_Mes_Corriente!BZ172*SALUD_Mes_Constante!$BP$1</f>
        <v>5467606.826888605</v>
      </c>
      <c r="CA172" s="8">
        <f>+MINVU_Mes_Corriente!CA172*SALUD_Mes_Constante!$BP$1</f>
        <v>5467606.826888605</v>
      </c>
      <c r="CB172" s="9">
        <f t="shared" si="81"/>
        <v>5467606.826888605</v>
      </c>
      <c r="CC172" s="8">
        <f>+MINVU_Mes_Corriente!CC172*SALUD_Mes_Constante!$CC$1</f>
        <v>41875.528534129058</v>
      </c>
      <c r="CD172" s="8">
        <f>+MINVU_Mes_Corriente!CD172*SALUD_Mes_Constante!$CC$1</f>
        <v>41875.528534129058</v>
      </c>
      <c r="CE172" s="8">
        <f>+MINVU_Mes_Corriente!CE172*SALUD_Mes_Constante!$CC$1</f>
        <v>41875.528534129058</v>
      </c>
      <c r="CF172" s="8">
        <f>+MINVU_Mes_Corriente!CF172*SALUD_Mes_Constante!$CC$1</f>
        <v>151723.73666542338</v>
      </c>
      <c r="CG172" s="8">
        <f>+MINVU_Mes_Corriente!CG172*SALUD_Mes_Constante!$CC$1</f>
        <v>151723.73666542338</v>
      </c>
      <c r="CH172" s="8">
        <f>+MINVU_Mes_Corriente!CH172*SALUD_Mes_Constante!$CC$1</f>
        <v>237763.77918687058</v>
      </c>
      <c r="CI172" s="8">
        <f>+MINVU_Mes_Corriente!CI172*SALUD_Mes_Constante!$CC$1</f>
        <v>237763.77918687058</v>
      </c>
      <c r="CJ172" s="8">
        <f>+MINVU_Mes_Corriente!CJ172*SALUD_Mes_Constante!$CC$1</f>
        <v>237763.77918687058</v>
      </c>
      <c r="CK172" s="8">
        <f>+MINVU_Mes_Corriente!CK172*SALUD_Mes_Constante!$CC$1</f>
        <v>239541.98806415519</v>
      </c>
      <c r="CL172" s="8">
        <f>+MINVU_Mes_Corriente!CL172*SALUD_Mes_Constante!$CC$1</f>
        <v>612540.65796344657</v>
      </c>
      <c r="CM172" s="8">
        <f>+MINVU_Mes_Corriente!CM172*SALUD_Mes_Constante!$CC$1</f>
        <v>612540.65796344657</v>
      </c>
      <c r="CN172" s="8">
        <f>+MINVU_Mes_Corriente!CN172*SALUD_Mes_Constante!$CC$1</f>
        <v>612540.65796344657</v>
      </c>
      <c r="CO172" s="9">
        <f t="shared" si="82"/>
        <v>612540.65796344657</v>
      </c>
      <c r="CP172" s="8">
        <f>+MINVU_Mes_Corriente!CP172*SALUD_Mes_Constante!$CP$1</f>
        <v>170413.91206496517</v>
      </c>
      <c r="CQ172" s="8">
        <f>+MINVU_Mes_Corriente!CQ172*SALUD_Mes_Constante!$CP$1</f>
        <v>170413.91206496517</v>
      </c>
      <c r="CR172" s="8">
        <f>+MINVU_Mes_Corriente!CR172*SALUD_Mes_Constante!$CP$1</f>
        <v>170413.91206496517</v>
      </c>
      <c r="CS172" s="8">
        <f>+MINVU_Mes_Corriente!CS172*SALUD_Mes_Constante!$CP$1</f>
        <v>170413.91206496517</v>
      </c>
      <c r="CT172" s="8">
        <f>+MINVU_Mes_Corriente!CT172*SALUD_Mes_Constante!$CP$1</f>
        <v>1360390.9364269138</v>
      </c>
      <c r="CU172" s="8">
        <f>+MINVU_Mes_Corriente!CU172*SALUD_Mes_Constante!$CP$1</f>
        <v>1363407.627842227</v>
      </c>
      <c r="CV172" s="8">
        <f>+MINVU_Mes_Corriente!CV172*SALUD_Mes_Constante!$CP$1</f>
        <v>1363407.627842227</v>
      </c>
      <c r="CW172" s="8">
        <f>+MINVU_Mes_Corriente!CW172*SALUD_Mes_Constante!$CP$1</f>
        <v>1437909.7656612527</v>
      </c>
      <c r="CX172" s="8">
        <f>+MINVU_Mes_Corriente!CX172*SALUD_Mes_Constante!$CP$1</f>
        <v>1437909.7656612527</v>
      </c>
      <c r="CY172" s="8">
        <f>+MINVU_Mes_Corriente!CY172*SALUD_Mes_Constante!$CP$1</f>
        <v>1656605.950580046</v>
      </c>
      <c r="CZ172" s="8">
        <f>+MINVU_Mes_Corriente!CZ172*SALUD_Mes_Constante!$CP$1</f>
        <v>1626100.6092807422</v>
      </c>
      <c r="DA172" s="8">
        <f>+MINVU_Mes_Corriente!DA172*SALUD_Mes_Constante!$CP$1</f>
        <v>1626100.6092807422</v>
      </c>
      <c r="DB172" s="9">
        <f t="shared" si="83"/>
        <v>1626100.6092807422</v>
      </c>
      <c r="DC172" s="8">
        <f>+MINVU_Mes_Corriente!DC172*SALUD_Mes_Constante!$DC$1</f>
        <v>216112.48102047126</v>
      </c>
      <c r="DD172" s="8">
        <f>+MINVU_Mes_Corriente!DD172*SALUD_Mes_Constante!$DC$1</f>
        <v>216112.48102047126</v>
      </c>
      <c r="DE172" s="8">
        <f>+MINVU_Mes_Corriente!DE172*SALUD_Mes_Constante!$DC$1</f>
        <v>216112.48102047126</v>
      </c>
      <c r="DF172" s="8">
        <f>+MINVU_Mes_Corriente!DF172*SALUD_Mes_Constante!$DC$1</f>
        <v>216112.48102047126</v>
      </c>
      <c r="DG172" s="8">
        <f>+MINVU_Mes_Corriente!DG172*SALUD_Mes_Constante!$DC$1</f>
        <v>216112.48102047126</v>
      </c>
      <c r="DH172" s="8">
        <f>+MINVU_Mes_Corriente!DH172*SALUD_Mes_Constante!$DC$1</f>
        <v>423798.64561259147</v>
      </c>
      <c r="DI172" s="8">
        <f>+MINVU_Mes_Corriente!DI172*SALUD_Mes_Constante!$DC$1</f>
        <v>454973.88087645324</v>
      </c>
      <c r="DJ172" s="8">
        <f>+MINVU_Mes_Corriente!DJ172*SALUD_Mes_Constante!$DC$1</f>
        <v>464322.96718444629</v>
      </c>
      <c r="DK172" s="8">
        <f>+MINVU_Mes_Corriente!DK172*SALUD_Mes_Constante!$DC$1</f>
        <v>641398.12364983058</v>
      </c>
      <c r="DL172" s="8">
        <f>+MINVU_Mes_Corriente!DL172*SALUD_Mes_Constante!$DC$1</f>
        <v>641398.12364983058</v>
      </c>
      <c r="DM172" s="8">
        <f>+MINVU_Mes_Corriente!DM172*SALUD_Mes_Constante!$DC$1</f>
        <v>641398.12364983058</v>
      </c>
      <c r="DN172" s="8">
        <f>+MINVU_Mes_Corriente!DN172*SALUD_Mes_Constante!$DC$1</f>
        <v>641398.12364983058</v>
      </c>
      <c r="DO172" s="9">
        <f t="shared" si="84"/>
        <v>641398.12364983058</v>
      </c>
      <c r="DP172" s="8">
        <f>+MINVU_Mes_Corriente!DP172*SALUD_Mes_Constante!$DP$1</f>
        <v>221020.09026128269</v>
      </c>
      <c r="DQ172" s="8">
        <f>+MINVU_Mes_Corriente!DQ172*SALUD_Mes_Constante!$DP$1</f>
        <v>899966.53147268412</v>
      </c>
      <c r="DR172" s="8">
        <f>+MINVU_Mes_Corriente!DR172*SALUD_Mes_Constante!$DP$1</f>
        <v>1296294.6377672211</v>
      </c>
      <c r="DS172" s="8">
        <f>+MINVU_Mes_Corriente!DS172*SALUD_Mes_Constante!$DP$1</f>
        <v>1757177.4103325417</v>
      </c>
      <c r="DT172" s="8">
        <f>+MINVU_Mes_Corriente!DT172*SALUD_Mes_Constante!$DP$1</f>
        <v>1757177.4103325417</v>
      </c>
      <c r="DU172" s="8">
        <f>+MINVU_Mes_Corriente!DU172*SALUD_Mes_Constante!$DP$1</f>
        <v>1811215.9097387176</v>
      </c>
      <c r="DV172" s="8">
        <f>+MINVU_Mes_Corriente!DV172*SALUD_Mes_Constante!$DP$1</f>
        <v>1832042.7862232781</v>
      </c>
      <c r="DW172" s="8">
        <f>+MINVU_Mes_Corriente!DW172*SALUD_Mes_Constante!$DP$1</f>
        <v>1843572.1817102139</v>
      </c>
      <c r="DX172" s="8">
        <f>+MINVU_Mes_Corriente!DX172*SALUD_Mes_Constante!$DP$1</f>
        <v>1914321.9245843233</v>
      </c>
      <c r="DY172" s="8">
        <f>+MINVU_Mes_Corriente!DY172*SALUD_Mes_Constante!$DP$1</f>
        <v>1914321.9245843233</v>
      </c>
      <c r="DZ172" s="8">
        <f>+MINVU_Mes_Corriente!DZ172*SALUD_Mes_Constante!$DP$1</f>
        <v>1914321.9245843233</v>
      </c>
      <c r="EA172" s="8">
        <f>+MINVU_Mes_Corriente!EA172*SALUD_Mes_Constante!$DP$1</f>
        <v>1914321.9245843233</v>
      </c>
      <c r="EB172" s="9">
        <f t="shared" si="85"/>
        <v>1914321.9245843233</v>
      </c>
      <c r="EC172" s="8">
        <f>+MINVU_Mes_Corriente!EC172*SALUD_Mes_Constante!$EC$1</f>
        <v>193665.98788108307</v>
      </c>
      <c r="ED172" s="8">
        <f>+MINVU_Mes_Corriente!ED172*SALUD_Mes_Constante!$EC$1</f>
        <v>193665.98788108307</v>
      </c>
      <c r="EE172" s="8">
        <f>+MINVU_Mes_Corriente!EE172*SALUD_Mes_Constante!$EC$1</f>
        <v>422417.86309411086</v>
      </c>
      <c r="EF172" s="8">
        <f>+MINVU_Mes_Corriente!EF172*SALUD_Mes_Constante!$EC$1</f>
        <v>532221.99072145415</v>
      </c>
      <c r="EG172" s="8">
        <f>+MINVU_Mes_Corriente!EG172*SALUD_Mes_Constante!$EC$1</f>
        <v>645967.42302594183</v>
      </c>
      <c r="EH172" s="8">
        <f>+MINVU_Mes_Corriente!EH172*SALUD_Mes_Constante!$EC$1</f>
        <v>645967.42302594183</v>
      </c>
      <c r="EI172" s="8">
        <f>+MINVU_Mes_Corriente!EI172*SALUD_Mes_Constante!$EC$1</f>
        <v>645967.42302594183</v>
      </c>
      <c r="EJ172" s="8">
        <f>+MINVU_Mes_Corriente!EJ172*SALUD_Mes_Constante!$EC$1</f>
        <v>645967.42302594183</v>
      </c>
      <c r="EK172" s="8">
        <f>+MINVU_Mes_Corriente!EK172*SALUD_Mes_Constante!$EC$1</f>
        <v>645967.42302594183</v>
      </c>
      <c r="EL172" s="8">
        <f>+MINVU_Mes_Corriente!EL172*SALUD_Mes_Constante!$EC$1</f>
        <v>649588.04412043153</v>
      </c>
      <c r="EM172" s="8">
        <f>+MINVU_Mes_Corriente!EM172*SALUD_Mes_Constante!$EC$1</f>
        <v>649588.04412043153</v>
      </c>
      <c r="EN172" s="8">
        <f>+MINVU_Mes_Corriente!EN172*SALUD_Mes_Constante!$EC$1</f>
        <v>526165.20886195777</v>
      </c>
      <c r="EO172" s="9">
        <f t="shared" si="86"/>
        <v>526165.20886195777</v>
      </c>
      <c r="EP172" s="8">
        <f>+MINVU_Mes_Corriente!EP172*SALUD_Mes_Constante!$EP$1</f>
        <v>195077</v>
      </c>
      <c r="EQ172" s="8">
        <f>+MINVU_Mes_Corriente!EQ172*SALUD_Mes_Constante!$EP$1</f>
        <v>317240</v>
      </c>
      <c r="ER172" s="8">
        <f>+MINVU_Mes_Corriente!ER172*SALUD_Mes_Constante!$EP$1</f>
        <v>317240</v>
      </c>
      <c r="ES172" s="8">
        <f>+MINVU_Mes_Corriente!ES172*SALUD_Mes_Constante!$EP$1</f>
        <v>496010</v>
      </c>
      <c r="ET172" s="8">
        <f>+MINVU_Mes_Corriente!ET172*SALUD_Mes_Constante!$EP$1</f>
        <v>501210</v>
      </c>
      <c r="EU172" s="8">
        <f>+MINVU_Mes_Corriente!EU172*SALUD_Mes_Constante!$EP$1</f>
        <v>501210</v>
      </c>
      <c r="EV172" s="8">
        <f>+MINVU_Mes_Corriente!EV172*SALUD_Mes_Constante!$EP$1</f>
        <v>501210</v>
      </c>
      <c r="EW172" s="8">
        <f>+MINVU_Mes_Corriente!EW172*SALUD_Mes_Constante!$EP$1</f>
        <v>501210</v>
      </c>
      <c r="EX172" s="8">
        <f>+MINVU_Mes_Corriente!EX172*SALUD_Mes_Constante!$EP$1</f>
        <v>501210</v>
      </c>
      <c r="EY172" s="8">
        <f>+MINVU_Mes_Corriente!EY172*SALUD_Mes_Constante!$EP$1</f>
        <v>501210</v>
      </c>
      <c r="EZ172" s="8">
        <f>+MINVU_Mes_Corriente!EZ172*SALUD_Mes_Constante!$EP$1</f>
        <v>501210</v>
      </c>
      <c r="FA172" s="8">
        <f>+MINVU_Mes_Corriente!FA172*SALUD_Mes_Constante!$EP$1</f>
        <v>496129</v>
      </c>
      <c r="FB172" s="9">
        <f t="shared" si="87"/>
        <v>496129</v>
      </c>
      <c r="FC172" s="8">
        <f>+MINVU_Mes_Corriente!FC172*SALUD_Mes_Constante!$FC$1</f>
        <v>201125</v>
      </c>
      <c r="FD172" s="8">
        <f>+MINVU_Mes_Corriente!FD172*SALUD_Mes_Constante!$FC$1</f>
        <v>201125</v>
      </c>
      <c r="FE172" s="8">
        <f>+MINVU_Mes_Corriente!FE172*SALUD_Mes_Constante!$FC$1</f>
        <v>201125</v>
      </c>
      <c r="FF172" s="8">
        <f>+MINVU_Mes_Corriente!FF172*SALUD_Mes_Constante!$FC$1</f>
        <v>201125</v>
      </c>
      <c r="FG172" s="8">
        <f>+MINVU_Mes_Corriente!FG172*SALUD_Mes_Constante!$FC$1</f>
        <v>201125</v>
      </c>
      <c r="FH172" s="8">
        <f>+MINVU_Mes_Corriente!FH172*SALUD_Mes_Constante!$FC$1</f>
        <v>201125</v>
      </c>
      <c r="FI172" s="8">
        <f>+MINVU_Mes_Corriente!FI172*SALUD_Mes_Constante!$FC$1</f>
        <v>201125</v>
      </c>
      <c r="FJ172" s="8"/>
      <c r="FK172" s="8"/>
      <c r="FL172" s="8"/>
      <c r="FM172" s="8"/>
      <c r="FN172" s="8"/>
      <c r="FO172" s="9">
        <f t="shared" si="88"/>
        <v>201125</v>
      </c>
    </row>
    <row r="173" spans="2:171" ht="14.25" customHeight="1" x14ac:dyDescent="0.3">
      <c r="B173" s="7" t="s">
        <v>61</v>
      </c>
      <c r="C173" s="8">
        <f>+MINVU_Mes_Corriente!C173*SALUD_Mes_Constante!$C$1</f>
        <v>159860.19694498001</v>
      </c>
      <c r="D173" s="8">
        <f>+MINVU_Mes_Corriente!D173*SALUD_Mes_Constante!$C$1</f>
        <v>848998.64837609383</v>
      </c>
      <c r="E173" s="8">
        <f>+MINVU_Mes_Corriente!E173*SALUD_Mes_Constante!$C$1</f>
        <v>848998.64837609383</v>
      </c>
      <c r="F173" s="8">
        <f>+MINVU_Mes_Corriente!F173*SALUD_Mes_Constante!$C$1</f>
        <v>848998.64837609383</v>
      </c>
      <c r="G173" s="8">
        <f>+MINVU_Mes_Corriente!G173*SALUD_Mes_Constante!$C$1</f>
        <v>921849.45068960416</v>
      </c>
      <c r="H173" s="8">
        <f>+MINVU_Mes_Corriente!H173*SALUD_Mes_Constante!$C$1</f>
        <v>935201.11018834356</v>
      </c>
      <c r="I173" s="8">
        <f>+MINVU_Mes_Corriente!I173*SALUD_Mes_Constante!$C$1</f>
        <v>935201.11018834356</v>
      </c>
      <c r="J173" s="8">
        <f>+MINVU_Mes_Corriente!J173*SALUD_Mes_Constante!$C$1</f>
        <v>935201.11018834356</v>
      </c>
      <c r="K173" s="8">
        <f>+MINVU_Mes_Corriente!K173*SALUD_Mes_Constante!$C$1</f>
        <v>991696.12961589813</v>
      </c>
      <c r="L173" s="8">
        <f>+MINVU_Mes_Corriente!L173*SALUD_Mes_Constante!$C$1</f>
        <v>991696.12961589813</v>
      </c>
      <c r="M173" s="8">
        <f>+MINVU_Mes_Corriente!M173*SALUD_Mes_Constante!$C$1</f>
        <v>2887419.5129764206</v>
      </c>
      <c r="N173" s="8">
        <f>+MINVU_Mes_Corriente!N173*SALUD_Mes_Constante!$C$1</f>
        <v>2944131.6589055322</v>
      </c>
      <c r="O173" s="9">
        <f t="shared" si="76"/>
        <v>2944131.6589055322</v>
      </c>
      <c r="P173" s="8">
        <f>+MINVU_Mes_Corriente!P173*SALUD_Mes_Constante!$P$1</f>
        <v>157732.3864185253</v>
      </c>
      <c r="Q173" s="8">
        <f>+MINVU_Mes_Corriente!Q173*SALUD_Mes_Constante!$P$1</f>
        <v>157732.3864185253</v>
      </c>
      <c r="R173" s="8">
        <f>+MINVU_Mes_Corriente!R173*SALUD_Mes_Constante!$P$1</f>
        <v>1328035.9749964478</v>
      </c>
      <c r="S173" s="8">
        <f>+MINVU_Mes_Corriente!S173*SALUD_Mes_Constante!$P$1</f>
        <v>1328035.9749964478</v>
      </c>
      <c r="T173" s="8">
        <f>+MINVU_Mes_Corriente!T173*SALUD_Mes_Constante!$P$1</f>
        <v>3236851.1711890884</v>
      </c>
      <c r="U173" s="8">
        <f>+MINVU_Mes_Corriente!U173*SALUD_Mes_Constante!$P$1</f>
        <v>3236851.1711890884</v>
      </c>
      <c r="V173" s="8">
        <f>+MINVU_Mes_Corriente!V173*SALUD_Mes_Constante!$P$1</f>
        <v>3156931.0279869288</v>
      </c>
      <c r="W173" s="8">
        <f>+MINVU_Mes_Corriente!W173*SALUD_Mes_Constante!$P$1</f>
        <v>3403893.7079130546</v>
      </c>
      <c r="X173" s="8">
        <f>+MINVU_Mes_Corriente!X173*SALUD_Mes_Constante!$P$1</f>
        <v>3403893.7079130546</v>
      </c>
      <c r="Y173" s="8">
        <f>+MINVU_Mes_Corriente!Y173*SALUD_Mes_Constante!$P$1</f>
        <v>3827002.6310555465</v>
      </c>
      <c r="Z173" s="8">
        <f>+MINVU_Mes_Corriente!Z173*SALUD_Mes_Constante!$P$1</f>
        <v>4540765.8164511984</v>
      </c>
      <c r="AA173" s="8">
        <f>+MINVU_Mes_Corriente!AA173*SALUD_Mes_Constante!$P$1</f>
        <v>5888685.5902827084</v>
      </c>
      <c r="AB173" s="9">
        <f t="shared" si="77"/>
        <v>5888685.5902827084</v>
      </c>
      <c r="AC173" s="8">
        <f>+MINVU_Mes_Corriente!AC173*SALUD_Mes_Constante!$AC$1</f>
        <v>159422.2650435745</v>
      </c>
      <c r="AD173" s="8">
        <f>+MINVU_Mes_Corriente!AD173*SALUD_Mes_Constante!$AC$1</f>
        <v>600754.67616544478</v>
      </c>
      <c r="AE173" s="8">
        <f>+MINVU_Mes_Corriente!AE173*SALUD_Mes_Constante!$AC$1</f>
        <v>600754.67616544478</v>
      </c>
      <c r="AF173" s="8">
        <f>+MINVU_Mes_Corriente!AF173*SALUD_Mes_Constante!$AC$1</f>
        <v>600754.67616544478</v>
      </c>
      <c r="AG173" s="8">
        <f>+MINVU_Mes_Corriente!AG173*SALUD_Mes_Constante!$AC$1</f>
        <v>676325.29450823076</v>
      </c>
      <c r="AH173" s="8">
        <f>+MINVU_Mes_Corriente!AH173*SALUD_Mes_Constante!$AC$1</f>
        <v>681816.25563701754</v>
      </c>
      <c r="AI173" s="8">
        <f>+MINVU_Mes_Corriente!AI173*SALUD_Mes_Constante!$AC$1</f>
        <v>681816.25563701754</v>
      </c>
      <c r="AJ173" s="8">
        <f>+MINVU_Mes_Corriente!AJ173*SALUD_Mes_Constante!$AC$1</f>
        <v>681816.25563701754</v>
      </c>
      <c r="AK173" s="8">
        <f>+MINVU_Mes_Corriente!AK173*SALUD_Mes_Constante!$AC$1</f>
        <v>681816.25563701754</v>
      </c>
      <c r="AL173" s="8">
        <f>+MINVU_Mes_Corriente!AL173*SALUD_Mes_Constante!$AC$1</f>
        <v>681816.25563701754</v>
      </c>
      <c r="AM173" s="8">
        <f>+MINVU_Mes_Corriente!AM173*SALUD_Mes_Constante!$AC$1</f>
        <v>2932841.2870383179</v>
      </c>
      <c r="AN173" s="8">
        <f>+MINVU_Mes_Corriente!AN173*SALUD_Mes_Constante!$AC$1</f>
        <v>2972822.6783787524</v>
      </c>
      <c r="AO173" s="9">
        <f t="shared" si="78"/>
        <v>2972822.6783787524</v>
      </c>
      <c r="AP173" s="8">
        <f>+MINVU_Mes_Corriente!AP173*SALUD_Mes_Constante!$AP$1</f>
        <v>160561.80413905045</v>
      </c>
      <c r="AQ173" s="8">
        <f>+MINVU_Mes_Corriente!AQ173*SALUD_Mes_Constante!$AP$1</f>
        <v>160561.80413905045</v>
      </c>
      <c r="AR173" s="8">
        <f>+MINVU_Mes_Corriente!AR173*SALUD_Mes_Constante!$AP$1</f>
        <v>160561.80413905045</v>
      </c>
      <c r="AS173" s="8">
        <f>+MINVU_Mes_Corriente!AS173*SALUD_Mes_Constante!$AP$1</f>
        <v>160561.80413905045</v>
      </c>
      <c r="AT173" s="8">
        <f>+MINVU_Mes_Corriente!AT173*SALUD_Mes_Constante!$AP$1</f>
        <v>160561.80413905045</v>
      </c>
      <c r="AU173" s="8">
        <f>+MINVU_Mes_Corriente!AU173*SALUD_Mes_Constante!$AP$1</f>
        <v>160561.80413905045</v>
      </c>
      <c r="AV173" s="8">
        <f>+MINVU_Mes_Corriente!AV173*SALUD_Mes_Constante!$AP$1</f>
        <v>160561.80413905045</v>
      </c>
      <c r="AW173" s="8">
        <f>+MINVU_Mes_Corriente!AW173*SALUD_Mes_Constante!$AP$1</f>
        <v>160561.80413905045</v>
      </c>
      <c r="AX173" s="8">
        <f>+MINVU_Mes_Corriente!AX173*SALUD_Mes_Constante!$AP$1</f>
        <v>164995.45759502231</v>
      </c>
      <c r="AY173" s="8">
        <f>+MINVU_Mes_Corriente!AY173*SALUD_Mes_Constante!$AP$1</f>
        <v>171350.36088191532</v>
      </c>
      <c r="AZ173" s="8">
        <f>+MINVU_Mes_Corriente!AZ173*SALUD_Mes_Constante!$AP$1</f>
        <v>179478.72555119707</v>
      </c>
      <c r="BA173" s="8">
        <f>+MINVU_Mes_Corriente!BA173*SALUD_Mes_Constante!$AP$1</f>
        <v>179478.72555119707</v>
      </c>
      <c r="BB173" s="9">
        <f t="shared" si="79"/>
        <v>179478.72555119707</v>
      </c>
      <c r="BC173" s="8">
        <f>+MINVU_Mes_Corriente!BC173*SALUD_Mes_Constante!$BC$1</f>
        <v>160609.17420545963</v>
      </c>
      <c r="BD173" s="8">
        <f>+MINVU_Mes_Corriente!BD173*SALUD_Mes_Constante!$BC$1</f>
        <v>160609.17420545963</v>
      </c>
      <c r="BE173" s="8">
        <f>+MINVU_Mes_Corriente!BE173*SALUD_Mes_Constante!$BC$1</f>
        <v>160609.17420545963</v>
      </c>
      <c r="BF173" s="8">
        <f>+MINVU_Mes_Corriente!BF173*SALUD_Mes_Constante!$BC$1</f>
        <v>160609.17420545963</v>
      </c>
      <c r="BG173" s="8">
        <f>+MINVU_Mes_Corriente!BG173*SALUD_Mes_Constante!$BC$1</f>
        <v>160609.17420545963</v>
      </c>
      <c r="BH173" s="8">
        <f>+MINVU_Mes_Corriente!BH173*SALUD_Mes_Constante!$BC$1</f>
        <v>160609.17420545963</v>
      </c>
      <c r="BI173" s="8">
        <f>+MINVU_Mes_Corriente!BI173*SALUD_Mes_Constante!$BC$1</f>
        <v>144235.3031781617</v>
      </c>
      <c r="BJ173" s="8">
        <f>+MINVU_Mes_Corriente!BJ173*SALUD_Mes_Constante!$BC$1</f>
        <v>1820199.8454437563</v>
      </c>
      <c r="BK173" s="8">
        <f>+MINVU_Mes_Corriente!BK173*SALUD_Mes_Constante!$BC$1</f>
        <v>4362705.8367400775</v>
      </c>
      <c r="BL173" s="8">
        <f>+MINVU_Mes_Corriente!BL173*SALUD_Mes_Constante!$BC$1</f>
        <v>4421208.853751814</v>
      </c>
      <c r="BM173" s="8">
        <f>+MINVU_Mes_Corriente!BM173*SALUD_Mes_Constante!$BC$1</f>
        <v>4421208.853751814</v>
      </c>
      <c r="BN173" s="8">
        <f>+MINVU_Mes_Corriente!BN173*SALUD_Mes_Constante!$BC$1</f>
        <v>4747475.9564816048</v>
      </c>
      <c r="BO173" s="9">
        <f t="shared" si="80"/>
        <v>4747475.9564816048</v>
      </c>
      <c r="BP173" s="8">
        <f>+MINVU_Mes_Corriente!BP173*SALUD_Mes_Constante!$BP$1</f>
        <v>0</v>
      </c>
      <c r="BQ173" s="8">
        <f>+MINVU_Mes_Corriente!BQ173*SALUD_Mes_Constante!$BP$1</f>
        <v>0</v>
      </c>
      <c r="BR173" s="8">
        <f>+MINVU_Mes_Corriente!BR173*SALUD_Mes_Constante!$BP$1</f>
        <v>17445.226632522408</v>
      </c>
      <c r="BS173" s="8">
        <f>+MINVU_Mes_Corriente!BS173*SALUD_Mes_Constante!$BP$1</f>
        <v>965479.27759282978</v>
      </c>
      <c r="BT173" s="8">
        <f>+MINVU_Mes_Corriente!BT173*SALUD_Mes_Constante!$BP$1</f>
        <v>2008887.0960307301</v>
      </c>
      <c r="BU173" s="8">
        <f>+MINVU_Mes_Corriente!BU173*SALUD_Mes_Constante!$BP$1</f>
        <v>2008887.0960307301</v>
      </c>
      <c r="BV173" s="8">
        <f>+MINVU_Mes_Corriente!BV173*SALUD_Mes_Constante!$BP$1</f>
        <v>2010985.5595390527</v>
      </c>
      <c r="BW173" s="8">
        <f>+MINVU_Mes_Corriente!BW173*SALUD_Mes_Constante!$BP$1</f>
        <v>2036866.6094750322</v>
      </c>
      <c r="BX173" s="8">
        <f>+MINVU_Mes_Corriente!BX173*SALUD_Mes_Constante!$BP$1</f>
        <v>2985484.0332906535</v>
      </c>
      <c r="BY173" s="8">
        <f>+MINVU_Mes_Corriente!BY173*SALUD_Mes_Constante!$BP$1</f>
        <v>2985484.0332906535</v>
      </c>
      <c r="BZ173" s="8">
        <f>+MINVU_Mes_Corriente!BZ173*SALUD_Mes_Constante!$BP$1</f>
        <v>2985484.0332906535</v>
      </c>
      <c r="CA173" s="8">
        <f>+MINVU_Mes_Corriente!CA173*SALUD_Mes_Constante!$BP$1</f>
        <v>2985484.0332906535</v>
      </c>
      <c r="CB173" s="9">
        <f t="shared" si="81"/>
        <v>2985484.0332906535</v>
      </c>
      <c r="CC173" s="8">
        <f>+MINVU_Mes_Corriente!CC173*SALUD_Mes_Constante!$CC$1</f>
        <v>51479.758299142115</v>
      </c>
      <c r="CD173" s="8">
        <f>+MINVU_Mes_Corriente!CD173*SALUD_Mes_Constante!$CC$1</f>
        <v>51479.758299142115</v>
      </c>
      <c r="CE173" s="8">
        <f>+MINVU_Mes_Corriente!CE173*SALUD_Mes_Constante!$CC$1</f>
        <v>51479.758299142115</v>
      </c>
      <c r="CF173" s="8">
        <f>+MINVU_Mes_Corriente!CF173*SALUD_Mes_Constante!$CC$1</f>
        <v>230511.02349869453</v>
      </c>
      <c r="CG173" s="8">
        <f>+MINVU_Mes_Corriente!CG173*SALUD_Mes_Constante!$CC$1</f>
        <v>230511.02349869453</v>
      </c>
      <c r="CH173" s="8">
        <f>+MINVU_Mes_Corriente!CH173*SALUD_Mes_Constante!$CC$1</f>
        <v>636687.07720999629</v>
      </c>
      <c r="CI173" s="8">
        <f>+MINVU_Mes_Corriente!CI173*SALUD_Mes_Constante!$CC$1</f>
        <v>636687.07720999629</v>
      </c>
      <c r="CJ173" s="8">
        <f>+MINVU_Mes_Corriente!CJ173*SALUD_Mes_Constante!$CC$1</f>
        <v>676617.3077209997</v>
      </c>
      <c r="CK173" s="8">
        <f>+MINVU_Mes_Corriente!CK173*SALUD_Mes_Constante!$CC$1</f>
        <v>686884.4602760165</v>
      </c>
      <c r="CL173" s="8">
        <f>+MINVU_Mes_Corriente!CL173*SALUD_Mes_Constante!$CC$1</f>
        <v>964953.40171577781</v>
      </c>
      <c r="CM173" s="8">
        <f>+MINVU_Mes_Corriente!CM173*SALUD_Mes_Constante!$CC$1</f>
        <v>964953.40171577781</v>
      </c>
      <c r="CN173" s="8">
        <f>+MINVU_Mes_Corriente!CN173*SALUD_Mes_Constante!$CC$1</f>
        <v>964953.40171577781</v>
      </c>
      <c r="CO173" s="9">
        <f t="shared" si="82"/>
        <v>964953.40171577781</v>
      </c>
      <c r="CP173" s="8">
        <f>+MINVU_Mes_Corriente!CP173*SALUD_Mes_Constante!$CP$1</f>
        <v>209364.72180974475</v>
      </c>
      <c r="CQ173" s="8">
        <f>+MINVU_Mes_Corriente!CQ173*SALUD_Mes_Constante!$CP$1</f>
        <v>209364.72180974475</v>
      </c>
      <c r="CR173" s="8">
        <f>+MINVU_Mes_Corriente!CR173*SALUD_Mes_Constante!$CP$1</f>
        <v>209364.72180974475</v>
      </c>
      <c r="CS173" s="8">
        <f>+MINVU_Mes_Corriente!CS173*SALUD_Mes_Constante!$CP$1</f>
        <v>209364.72180974475</v>
      </c>
      <c r="CT173" s="8">
        <f>+MINVU_Mes_Corriente!CT173*SALUD_Mes_Constante!$CP$1</f>
        <v>1093338.9626450115</v>
      </c>
      <c r="CU173" s="8">
        <f>+MINVU_Mes_Corriente!CU173*SALUD_Mes_Constante!$CP$1</f>
        <v>1099372.3454756378</v>
      </c>
      <c r="CV173" s="8">
        <f>+MINVU_Mes_Corriente!CV173*SALUD_Mes_Constante!$CP$1</f>
        <v>1099372.3454756378</v>
      </c>
      <c r="CW173" s="8">
        <f>+MINVU_Mes_Corriente!CW173*SALUD_Mes_Constante!$CP$1</f>
        <v>1099372.3454756378</v>
      </c>
      <c r="CX173" s="8">
        <f>+MINVU_Mes_Corriente!CX173*SALUD_Mes_Constante!$CP$1</f>
        <v>1099372.3454756378</v>
      </c>
      <c r="CY173" s="8">
        <f>+MINVU_Mes_Corriente!CY173*SALUD_Mes_Constante!$CP$1</f>
        <v>1099372.3454756378</v>
      </c>
      <c r="CZ173" s="8">
        <f>+MINVU_Mes_Corriente!CZ173*SALUD_Mes_Constante!$CP$1</f>
        <v>1099372.3454756378</v>
      </c>
      <c r="DA173" s="8">
        <f>+MINVU_Mes_Corriente!DA173*SALUD_Mes_Constante!$CP$1</f>
        <v>1099372.3454756378</v>
      </c>
      <c r="DB173" s="9">
        <f t="shared" si="83"/>
        <v>1099372.3454756378</v>
      </c>
      <c r="DC173" s="8">
        <f>+MINVU_Mes_Corriente!DC173*SALUD_Mes_Constante!$DC$1</f>
        <v>258001.28813908045</v>
      </c>
      <c r="DD173" s="8">
        <f>+MINVU_Mes_Corriente!DD173*SALUD_Mes_Constante!$DC$1</f>
        <v>258001.28813908045</v>
      </c>
      <c r="DE173" s="8">
        <f>+MINVU_Mes_Corriente!DE173*SALUD_Mes_Constante!$DC$1</f>
        <v>258001.28813908045</v>
      </c>
      <c r="DF173" s="8">
        <f>+MINVU_Mes_Corriente!DF173*SALUD_Mes_Constante!$DC$1</f>
        <v>258001.28813908045</v>
      </c>
      <c r="DG173" s="8">
        <f>+MINVU_Mes_Corriente!DG173*SALUD_Mes_Constante!$DC$1</f>
        <v>258001.28813908045</v>
      </c>
      <c r="DH173" s="8">
        <f>+MINVU_Mes_Corriente!DH173*SALUD_Mes_Constante!$DC$1</f>
        <v>761448.12467853143</v>
      </c>
      <c r="DI173" s="8">
        <f>+MINVU_Mes_Corriente!DI173*SALUD_Mes_Constante!$DC$1</f>
        <v>762122.49974282517</v>
      </c>
      <c r="DJ173" s="8">
        <f>+MINVU_Mes_Corriente!DJ173*SALUD_Mes_Constante!$DC$1</f>
        <v>1099493.2371155235</v>
      </c>
      <c r="DK173" s="8">
        <f>+MINVU_Mes_Corriente!DK173*SALUD_Mes_Constante!$DC$1</f>
        <v>1260915.0243802085</v>
      </c>
      <c r="DL173" s="8">
        <f>+MINVU_Mes_Corriente!DL173*SALUD_Mes_Constante!$DC$1</f>
        <v>1260915.0243802085</v>
      </c>
      <c r="DM173" s="8">
        <f>+MINVU_Mes_Corriente!DM173*SALUD_Mes_Constante!$DC$1</f>
        <v>1260915.0243802085</v>
      </c>
      <c r="DN173" s="8">
        <f>+MINVU_Mes_Corriente!DN173*SALUD_Mes_Constante!$DC$1</f>
        <v>1260915.0243802085</v>
      </c>
      <c r="DO173" s="9">
        <f t="shared" si="84"/>
        <v>1260915.0243802085</v>
      </c>
      <c r="DP173" s="8">
        <f>+MINVU_Mes_Corriente!DP173*SALUD_Mes_Constante!$DP$1</f>
        <v>263860.08847980999</v>
      </c>
      <c r="DQ173" s="8">
        <f>+MINVU_Mes_Corriente!DQ173*SALUD_Mes_Constante!$DP$1</f>
        <v>775824.93883610459</v>
      </c>
      <c r="DR173" s="8">
        <f>+MINVU_Mes_Corriente!DR173*SALUD_Mes_Constante!$DP$1</f>
        <v>1011089.7042755345</v>
      </c>
      <c r="DS173" s="8">
        <f>+MINVU_Mes_Corriente!DS173*SALUD_Mes_Constante!$DP$1</f>
        <v>1293343.6229216154</v>
      </c>
      <c r="DT173" s="8">
        <f>+MINVU_Mes_Corriente!DT173*SALUD_Mes_Constante!$DP$1</f>
        <v>1313058.8675771973</v>
      </c>
      <c r="DU173" s="8">
        <f>+MINVU_Mes_Corriente!DU173*SALUD_Mes_Constante!$DP$1</f>
        <v>1362003.1086698337</v>
      </c>
      <c r="DV173" s="8">
        <f>+MINVU_Mes_Corriente!DV173*SALUD_Mes_Constante!$DP$1</f>
        <v>1363269.3741092638</v>
      </c>
      <c r="DW173" s="8">
        <f>+MINVU_Mes_Corriente!DW173*SALUD_Mes_Constante!$DP$1</f>
        <v>1376446.7529691213</v>
      </c>
      <c r="DX173" s="8">
        <f>+MINVU_Mes_Corriente!DX173*SALUD_Mes_Constante!$DP$1</f>
        <v>1456144.6995249407</v>
      </c>
      <c r="DY173" s="8">
        <f>+MINVU_Mes_Corriente!DY173*SALUD_Mes_Constante!$DP$1</f>
        <v>1456144.6995249407</v>
      </c>
      <c r="DZ173" s="8">
        <f>+MINVU_Mes_Corriente!DZ173*SALUD_Mes_Constante!$DP$1</f>
        <v>1456144.6995249407</v>
      </c>
      <c r="EA173" s="8">
        <f>+MINVU_Mes_Corriente!EA173*SALUD_Mes_Constante!$DP$1</f>
        <v>1416305.4584323042</v>
      </c>
      <c r="EB173" s="9">
        <f t="shared" si="85"/>
        <v>1416305.4584323042</v>
      </c>
      <c r="EC173" s="8">
        <f>+MINVU_Mes_Corriente!EC173*SALUD_Mes_Constante!$EC$1</f>
        <v>231204.58738875206</v>
      </c>
      <c r="ED173" s="8">
        <f>+MINVU_Mes_Corriente!ED173*SALUD_Mes_Constante!$EC$1</f>
        <v>231204.58738875206</v>
      </c>
      <c r="EE173" s="8">
        <f>+MINVU_Mes_Corriente!EE173*SALUD_Mes_Constante!$EC$1</f>
        <v>351954.36981632258</v>
      </c>
      <c r="EF173" s="8">
        <f>+MINVU_Mes_Corriente!EF173*SALUD_Mes_Constante!$EC$1</f>
        <v>351954.36981632258</v>
      </c>
      <c r="EG173" s="8">
        <f>+MINVU_Mes_Corriente!EG173*SALUD_Mes_Constante!$EC$1</f>
        <v>693190.66672978585</v>
      </c>
      <c r="EH173" s="8">
        <f>+MINVU_Mes_Corriente!EH173*SALUD_Mes_Constante!$EC$1</f>
        <v>693190.66672978585</v>
      </c>
      <c r="EI173" s="8">
        <f>+MINVU_Mes_Corriente!EI173*SALUD_Mes_Constante!$EC$1</f>
        <v>693190.66672978585</v>
      </c>
      <c r="EJ173" s="8">
        <f>+MINVU_Mes_Corriente!EJ173*SALUD_Mes_Constante!$EC$1</f>
        <v>693190.66672978585</v>
      </c>
      <c r="EK173" s="8">
        <f>+MINVU_Mes_Corriente!EK173*SALUD_Mes_Constante!$EC$1</f>
        <v>693190.66672978585</v>
      </c>
      <c r="EL173" s="8">
        <f>+MINVU_Mes_Corriente!EL173*SALUD_Mes_Constante!$EC$1</f>
        <v>697328.51940920262</v>
      </c>
      <c r="EM173" s="8">
        <f>+MINVU_Mes_Corriente!EM173*SALUD_Mes_Constante!$EC$1</f>
        <v>697328.51940920262</v>
      </c>
      <c r="EN173" s="8">
        <f>+MINVU_Mes_Corriente!EN173*SALUD_Mes_Constante!$EC$1</f>
        <v>355977.3970838855</v>
      </c>
      <c r="EO173" s="9">
        <f t="shared" si="86"/>
        <v>355977.3970838855</v>
      </c>
      <c r="EP173" s="8">
        <f>+MINVU_Mes_Corriente!EP173*SALUD_Mes_Constante!$EP$1</f>
        <v>232890</v>
      </c>
      <c r="EQ173" s="8">
        <f>+MINVU_Mes_Corriente!EQ173*SALUD_Mes_Constante!$EP$1</f>
        <v>569424</v>
      </c>
      <c r="ER173" s="8">
        <f>+MINVU_Mes_Corriente!ER173*SALUD_Mes_Constante!$EP$1</f>
        <v>569424</v>
      </c>
      <c r="ES173" s="8">
        <f>+MINVU_Mes_Corriente!ES173*SALUD_Mes_Constante!$EP$1</f>
        <v>1020006</v>
      </c>
      <c r="ET173" s="8">
        <f>+MINVU_Mes_Corriente!ET173*SALUD_Mes_Constante!$EP$1</f>
        <v>1020006</v>
      </c>
      <c r="EU173" s="8">
        <f>+MINVU_Mes_Corriente!EU173*SALUD_Mes_Constante!$EP$1</f>
        <v>1020006</v>
      </c>
      <c r="EV173" s="8">
        <f>+MINVU_Mes_Corriente!EV173*SALUD_Mes_Constante!$EP$1</f>
        <v>1020006</v>
      </c>
      <c r="EW173" s="8">
        <f>+MINVU_Mes_Corriente!EW173*SALUD_Mes_Constante!$EP$1</f>
        <v>1020006</v>
      </c>
      <c r="EX173" s="8">
        <f>+MINVU_Mes_Corriente!EX173*SALUD_Mes_Constante!$EP$1</f>
        <v>1020006</v>
      </c>
      <c r="EY173" s="8">
        <f>+MINVU_Mes_Corriente!EY173*SALUD_Mes_Constante!$EP$1</f>
        <v>1020006</v>
      </c>
      <c r="EZ173" s="8">
        <f>+MINVU_Mes_Corriente!EZ173*SALUD_Mes_Constante!$EP$1</f>
        <v>1020006</v>
      </c>
      <c r="FA173" s="8">
        <f>+MINVU_Mes_Corriente!FA173*SALUD_Mes_Constante!$EP$1</f>
        <v>1018922</v>
      </c>
      <c r="FB173" s="9">
        <f t="shared" si="87"/>
        <v>1018922</v>
      </c>
      <c r="FC173" s="8">
        <f>+MINVU_Mes_Corriente!FC173*SALUD_Mes_Constante!$FC$1</f>
        <v>240109</v>
      </c>
      <c r="FD173" s="8">
        <f>+MINVU_Mes_Corriente!FD173*SALUD_Mes_Constante!$FC$1</f>
        <v>240109</v>
      </c>
      <c r="FE173" s="8">
        <f>+MINVU_Mes_Corriente!FE173*SALUD_Mes_Constante!$FC$1</f>
        <v>240109</v>
      </c>
      <c r="FF173" s="8">
        <f>+MINVU_Mes_Corriente!FF173*SALUD_Mes_Constante!$FC$1</f>
        <v>240109</v>
      </c>
      <c r="FG173" s="8">
        <f>+MINVU_Mes_Corriente!FG173*SALUD_Mes_Constante!$FC$1</f>
        <v>240109</v>
      </c>
      <c r="FH173" s="8">
        <f>+MINVU_Mes_Corriente!FH173*SALUD_Mes_Constante!$FC$1</f>
        <v>240109</v>
      </c>
      <c r="FI173" s="8">
        <f>+MINVU_Mes_Corriente!FI173*SALUD_Mes_Constante!$FC$1</f>
        <v>240109</v>
      </c>
      <c r="FJ173" s="8"/>
      <c r="FK173" s="8"/>
      <c r="FL173" s="8"/>
      <c r="FM173" s="8"/>
      <c r="FN173" s="8"/>
      <c r="FO173" s="9">
        <f t="shared" si="88"/>
        <v>240109</v>
      </c>
    </row>
    <row r="174" spans="2:171" ht="14.25" customHeight="1" x14ac:dyDescent="0.3">
      <c r="B174" s="7" t="s">
        <v>62</v>
      </c>
      <c r="C174" s="8">
        <f>+MINVU_Mes_Corriente!C174*SALUD_Mes_Constante!$C$1</f>
        <v>323255.99110188347</v>
      </c>
      <c r="D174" s="8">
        <f>+MINVU_Mes_Corriente!D174*SALUD_Mes_Constante!$C$1</f>
        <v>323255.99110188347</v>
      </c>
      <c r="E174" s="8">
        <f>+MINVU_Mes_Corriente!E174*SALUD_Mes_Constante!$C$1</f>
        <v>323255.99110188347</v>
      </c>
      <c r="F174" s="8">
        <f>+MINVU_Mes_Corriente!F174*SALUD_Mes_Constante!$C$1</f>
        <v>323255.99110188347</v>
      </c>
      <c r="G174" s="8">
        <f>+MINVU_Mes_Corriente!G174*SALUD_Mes_Constante!$C$1</f>
        <v>398440.0931336201</v>
      </c>
      <c r="H174" s="8">
        <f>+MINVU_Mes_Corriente!H174*SALUD_Mes_Constante!$C$1</f>
        <v>456644.57867418072</v>
      </c>
      <c r="I174" s="8">
        <f>+MINVU_Mes_Corriente!I174*SALUD_Mes_Constante!$C$1</f>
        <v>456644.57867418072</v>
      </c>
      <c r="J174" s="8">
        <f>+MINVU_Mes_Corriente!J174*SALUD_Mes_Constante!$C$1</f>
        <v>456644.57867418072</v>
      </c>
      <c r="K174" s="8">
        <f>+MINVU_Mes_Corriente!K174*SALUD_Mes_Constante!$C$1</f>
        <v>541387.10781551246</v>
      </c>
      <c r="L174" s="8">
        <f>+MINVU_Mes_Corriente!L174*SALUD_Mes_Constante!$C$1</f>
        <v>541387.10781551246</v>
      </c>
      <c r="M174" s="8">
        <f>+MINVU_Mes_Corriente!M174*SALUD_Mes_Constante!$C$1</f>
        <v>3474380.501260567</v>
      </c>
      <c r="N174" s="8">
        <f>+MINVU_Mes_Corriente!N174*SALUD_Mes_Constante!$C$1</f>
        <v>6148816.7400266957</v>
      </c>
      <c r="O174" s="9">
        <f t="shared" si="76"/>
        <v>6148816.7400266957</v>
      </c>
      <c r="P174" s="8">
        <f>+MINVU_Mes_Corriente!P174*SALUD_Mes_Constante!$P$1</f>
        <v>318952.58673106966</v>
      </c>
      <c r="Q174" s="8">
        <f>+MINVU_Mes_Corriente!Q174*SALUD_Mes_Constante!$P$1</f>
        <v>318952.58673106966</v>
      </c>
      <c r="R174" s="8">
        <f>+MINVU_Mes_Corriente!R174*SALUD_Mes_Constante!$P$1</f>
        <v>370113.39934649796</v>
      </c>
      <c r="S174" s="8">
        <f>+MINVU_Mes_Corriente!S174*SALUD_Mes_Constante!$P$1</f>
        <v>3416848.4452336966</v>
      </c>
      <c r="T174" s="8">
        <f>+MINVU_Mes_Corriente!T174*SALUD_Mes_Constante!$P$1</f>
        <v>5114558.5443955092</v>
      </c>
      <c r="U174" s="8">
        <f>+MINVU_Mes_Corriente!U174*SALUD_Mes_Constante!$P$1</f>
        <v>5114558.5443955092</v>
      </c>
      <c r="V174" s="8">
        <f>+MINVU_Mes_Corriente!V174*SALUD_Mes_Constante!$P$1</f>
        <v>5114558.5443955092</v>
      </c>
      <c r="W174" s="8">
        <f>+MINVU_Mes_Corriente!W174*SALUD_Mes_Constante!$P$1</f>
        <v>5228604.0051143607</v>
      </c>
      <c r="X174" s="8">
        <f>+MINVU_Mes_Corriente!X174*SALUD_Mes_Constante!$P$1</f>
        <v>5675489.667566414</v>
      </c>
      <c r="Y174" s="8">
        <f>+MINVU_Mes_Corriente!Y174*SALUD_Mes_Constante!$P$1</f>
        <v>7518966.1730359402</v>
      </c>
      <c r="Z174" s="8">
        <f>+MINVU_Mes_Corriente!Z174*SALUD_Mes_Constante!$P$1</f>
        <v>9248285.4587299302</v>
      </c>
      <c r="AA174" s="8">
        <f>+MINVU_Mes_Corriente!AA174*SALUD_Mes_Constante!$P$1</f>
        <v>11449232.620258555</v>
      </c>
      <c r="AB174" s="9">
        <f t="shared" si="77"/>
        <v>11449232.620258555</v>
      </c>
      <c r="AC174" s="8">
        <f>+MINVU_Mes_Corriente!AC174*SALUD_Mes_Constante!$AC$1</f>
        <v>322370.65513902338</v>
      </c>
      <c r="AD174" s="8">
        <f>+MINVU_Mes_Corriente!AD174*SALUD_Mes_Constante!$AC$1</f>
        <v>851364.98353852541</v>
      </c>
      <c r="AE174" s="8">
        <f>+MINVU_Mes_Corriente!AE174*SALUD_Mes_Constante!$AC$1</f>
        <v>851364.98353852541</v>
      </c>
      <c r="AF174" s="8">
        <f>+MINVU_Mes_Corriente!AF174*SALUD_Mes_Constante!$AC$1</f>
        <v>851364.98353852541</v>
      </c>
      <c r="AG174" s="8">
        <f>+MINVU_Mes_Corriente!AG174*SALUD_Mes_Constante!$AC$1</f>
        <v>851364.98353852541</v>
      </c>
      <c r="AH174" s="8">
        <f>+MINVU_Mes_Corriente!AH174*SALUD_Mes_Constante!$AC$1</f>
        <v>856855.9446673122</v>
      </c>
      <c r="AI174" s="8">
        <f>+MINVU_Mes_Corriente!AI174*SALUD_Mes_Constante!$AC$1</f>
        <v>1025157.757366164</v>
      </c>
      <c r="AJ174" s="8">
        <f>+MINVU_Mes_Corriente!AJ174*SALUD_Mes_Constante!$AC$1</f>
        <v>1025157.757366164</v>
      </c>
      <c r="AK174" s="8">
        <f>+MINVU_Mes_Corriente!AK174*SALUD_Mes_Constante!$AC$1</f>
        <v>1025157.757366164</v>
      </c>
      <c r="AL174" s="8">
        <f>+MINVU_Mes_Corriente!AL174*SALUD_Mes_Constante!$AC$1</f>
        <v>1025157.757366164</v>
      </c>
      <c r="AM174" s="8">
        <f>+MINVU_Mes_Corriente!AM174*SALUD_Mes_Constante!$AC$1</f>
        <v>1143963.8378752249</v>
      </c>
      <c r="AN174" s="8">
        <f>+MINVU_Mes_Corriente!AN174*SALUD_Mes_Constante!$AC$1</f>
        <v>1203651.023654724</v>
      </c>
      <c r="AO174" s="9">
        <f t="shared" si="78"/>
        <v>1203651.023654724</v>
      </c>
      <c r="AP174" s="8">
        <f>+MINVU_Mes_Corriente!AP174*SALUD_Mes_Constante!$AP$1</f>
        <v>324676.44258081965</v>
      </c>
      <c r="AQ174" s="8">
        <f>+MINVU_Mes_Corriente!AQ174*SALUD_Mes_Constante!$AP$1</f>
        <v>324676.44258081965</v>
      </c>
      <c r="AR174" s="8">
        <f>+MINVU_Mes_Corriente!AR174*SALUD_Mes_Constante!$AP$1</f>
        <v>324676.44258081965</v>
      </c>
      <c r="AS174" s="8">
        <f>+MINVU_Mes_Corriente!AS174*SALUD_Mes_Constante!$AP$1</f>
        <v>324676.44258081965</v>
      </c>
      <c r="AT174" s="8">
        <f>+MINVU_Mes_Corriente!AT174*SALUD_Mes_Constante!$AP$1</f>
        <v>324676.44258081965</v>
      </c>
      <c r="AU174" s="8">
        <f>+MINVU_Mes_Corriente!AU174*SALUD_Mes_Constante!$AP$1</f>
        <v>324676.44258081965</v>
      </c>
      <c r="AV174" s="8">
        <f>+MINVU_Mes_Corriente!AV174*SALUD_Mes_Constante!$AP$1</f>
        <v>532576.36466928176</v>
      </c>
      <c r="AW174" s="8">
        <f>+MINVU_Mes_Corriente!AW174*SALUD_Mes_Constante!$AP$1</f>
        <v>532576.36466928176</v>
      </c>
      <c r="AX174" s="8">
        <f>+MINVU_Mes_Corriente!AX174*SALUD_Mes_Constante!$AP$1</f>
        <v>596125.39753821178</v>
      </c>
      <c r="AY174" s="8">
        <f>+MINVU_Mes_Corriente!AY174*SALUD_Mes_Constante!$AP$1</f>
        <v>596125.39753821178</v>
      </c>
      <c r="AZ174" s="8">
        <f>+MINVU_Mes_Corriente!AZ174*SALUD_Mes_Constante!$AP$1</f>
        <v>1088490.0032463141</v>
      </c>
      <c r="BA174" s="8">
        <f>+MINVU_Mes_Corriente!BA174*SALUD_Mes_Constante!$AP$1</f>
        <v>1149822.2093872582</v>
      </c>
      <c r="BB174" s="9">
        <f t="shared" si="79"/>
        <v>1149822.2093872582</v>
      </c>
      <c r="BC174" s="8">
        <f>+MINVU_Mes_Corriente!BC174*SALUD_Mes_Constante!$BC$1</f>
        <v>324771.4957140974</v>
      </c>
      <c r="BD174" s="8">
        <f>+MINVU_Mes_Corriente!BD174*SALUD_Mes_Constante!$BC$1</f>
        <v>324771.4957140974</v>
      </c>
      <c r="BE174" s="8">
        <f>+MINVU_Mes_Corriente!BE174*SALUD_Mes_Constante!$BC$1</f>
        <v>324771.4957140974</v>
      </c>
      <c r="BF174" s="8">
        <f>+MINVU_Mes_Corriente!BF174*SALUD_Mes_Constante!$BC$1</f>
        <v>324771.4957140974</v>
      </c>
      <c r="BG174" s="8">
        <f>+MINVU_Mes_Corriente!BG174*SALUD_Mes_Constante!$BC$1</f>
        <v>324771.4957140974</v>
      </c>
      <c r="BH174" s="8">
        <f>+MINVU_Mes_Corriente!BH174*SALUD_Mes_Constante!$BC$1</f>
        <v>327648.88223658194</v>
      </c>
      <c r="BI174" s="8">
        <f>+MINVU_Mes_Corriente!BI174*SALUD_Mes_Constante!$BC$1</f>
        <v>294539.48569167883</v>
      </c>
      <c r="BJ174" s="8">
        <f>+MINVU_Mes_Corriente!BJ174*SALUD_Mes_Constante!$BC$1</f>
        <v>551680.15086377435</v>
      </c>
      <c r="BK174" s="8">
        <f>+MINVU_Mes_Corriente!BK174*SALUD_Mes_Constante!$BC$1</f>
        <v>2672697.2852433082</v>
      </c>
      <c r="BL174" s="8">
        <f>+MINVU_Mes_Corriente!BL174*SALUD_Mes_Constante!$BC$1</f>
        <v>3423332.0722669135</v>
      </c>
      <c r="BM174" s="8">
        <f>+MINVU_Mes_Corriente!BM174*SALUD_Mes_Constante!$BC$1</f>
        <v>3453739.866543585</v>
      </c>
      <c r="BN174" s="8">
        <f>+MINVU_Mes_Corriente!BN174*SALUD_Mes_Constante!$BC$1</f>
        <v>5134182.584729</v>
      </c>
      <c r="BO174" s="9">
        <f t="shared" si="80"/>
        <v>5134182.584729</v>
      </c>
      <c r="BP174" s="8">
        <f>+MINVU_Mes_Corriente!BP174*SALUD_Mes_Constante!$BP$1</f>
        <v>0</v>
      </c>
      <c r="BQ174" s="8">
        <f>+MINVU_Mes_Corriente!BQ174*SALUD_Mes_Constante!$BP$1</f>
        <v>0</v>
      </c>
      <c r="BR174" s="8">
        <f>+MINVU_Mes_Corriente!BR174*SALUD_Mes_Constante!$BP$1</f>
        <v>244820.74263764409</v>
      </c>
      <c r="BS174" s="8">
        <f>+MINVU_Mes_Corriente!BS174*SALUD_Mes_Constante!$BP$1</f>
        <v>5875202.5859154938</v>
      </c>
      <c r="BT174" s="8">
        <f>+MINVU_Mes_Corriente!BT174*SALUD_Mes_Constante!$BP$1</f>
        <v>8148136.5472471202</v>
      </c>
      <c r="BU174" s="8">
        <f>+MINVU_Mes_Corriente!BU174*SALUD_Mes_Constante!$BP$1</f>
        <v>8148136.5472471202</v>
      </c>
      <c r="BV174" s="8">
        <f>+MINVU_Mes_Corriente!BV174*SALUD_Mes_Constante!$BP$1</f>
        <v>8177660.5298335478</v>
      </c>
      <c r="BW174" s="8">
        <f>+MINVU_Mes_Corriente!BW174*SALUD_Mes_Constante!$BP$1</f>
        <v>13413326.983098593</v>
      </c>
      <c r="BX174" s="8">
        <f>+MINVU_Mes_Corriente!BX174*SALUD_Mes_Constante!$BP$1</f>
        <v>18311719.987451985</v>
      </c>
      <c r="BY174" s="8">
        <f>+MINVU_Mes_Corriente!BY174*SALUD_Mes_Constante!$BP$1</f>
        <v>18311719.987451985</v>
      </c>
      <c r="BZ174" s="8">
        <f>+MINVU_Mes_Corriente!BZ174*SALUD_Mes_Constante!$BP$1</f>
        <v>18359278.16542894</v>
      </c>
      <c r="CA174" s="8">
        <f>+MINVU_Mes_Corriente!CA174*SALUD_Mes_Constante!$BP$1</f>
        <v>16261654.042509604</v>
      </c>
      <c r="CB174" s="9">
        <f t="shared" si="81"/>
        <v>16261654.042509604</v>
      </c>
      <c r="CC174" s="8">
        <f>+MINVU_Mes_Corriente!CC174*SALUD_Mes_Constante!$CC$1</f>
        <v>2673448.0686311079</v>
      </c>
      <c r="CD174" s="8">
        <f>+MINVU_Mes_Corriente!CD174*SALUD_Mes_Constante!$CC$1</f>
        <v>2673448.0686311079</v>
      </c>
      <c r="CE174" s="8">
        <f>+MINVU_Mes_Corriente!CE174*SALUD_Mes_Constante!$CC$1</f>
        <v>2673448.0686311079</v>
      </c>
      <c r="CF174" s="8">
        <f>+MINVU_Mes_Corriente!CF174*SALUD_Mes_Constante!$CC$1</f>
        <v>2928214.1872435659</v>
      </c>
      <c r="CG174" s="8">
        <f>+MINVU_Mes_Corriente!CG174*SALUD_Mes_Constante!$CC$1</f>
        <v>2928214.1872435659</v>
      </c>
      <c r="CH174" s="8">
        <f>+MINVU_Mes_Corriente!CH174*SALUD_Mes_Constante!$CC$1</f>
        <v>8892803.5770234987</v>
      </c>
      <c r="CI174" s="8">
        <f>+MINVU_Mes_Corriente!CI174*SALUD_Mes_Constante!$CC$1</f>
        <v>8892803.5770234987</v>
      </c>
      <c r="CJ174" s="8">
        <f>+MINVU_Mes_Corriente!CJ174*SALUD_Mes_Constante!$CC$1</f>
        <v>9054458.9295039177</v>
      </c>
      <c r="CK174" s="8">
        <f>+MINVU_Mes_Corriente!CK174*SALUD_Mes_Constante!$CC$1</f>
        <v>9073477.2062663194</v>
      </c>
      <c r="CL174" s="8">
        <f>+MINVU_Mes_Corriente!CL174*SALUD_Mes_Constante!$CC$1</f>
        <v>9369618.944423724</v>
      </c>
      <c r="CM174" s="8">
        <f>+MINVU_Mes_Corriente!CM174*SALUD_Mes_Constante!$CC$1</f>
        <v>9369618.944423724</v>
      </c>
      <c r="CN174" s="8">
        <f>+MINVU_Mes_Corriente!CN174*SALUD_Mes_Constante!$CC$1</f>
        <v>9369618.944423724</v>
      </c>
      <c r="CO174" s="9">
        <f t="shared" si="82"/>
        <v>9369618.944423724</v>
      </c>
      <c r="CP174" s="8">
        <f>+MINVU_Mes_Corriente!CP174*SALUD_Mes_Constante!$CP$1</f>
        <v>685299.76078886294</v>
      </c>
      <c r="CQ174" s="8">
        <f>+MINVU_Mes_Corriente!CQ174*SALUD_Mes_Constante!$CP$1</f>
        <v>685299.76078886294</v>
      </c>
      <c r="CR174" s="8">
        <f>+MINVU_Mes_Corriente!CR174*SALUD_Mes_Constante!$CP$1</f>
        <v>685299.76078886294</v>
      </c>
      <c r="CS174" s="8">
        <f>+MINVU_Mes_Corriente!CS174*SALUD_Mes_Constante!$CP$1</f>
        <v>685299.76078886294</v>
      </c>
      <c r="CT174" s="8">
        <f>+MINVU_Mes_Corriente!CT174*SALUD_Mes_Constante!$CP$1</f>
        <v>1513073.5475638048</v>
      </c>
      <c r="CU174" s="8">
        <f>+MINVU_Mes_Corriente!CU174*SALUD_Mes_Constante!$CP$1</f>
        <v>1550552.7696055681</v>
      </c>
      <c r="CV174" s="8">
        <f>+MINVU_Mes_Corriente!CV174*SALUD_Mes_Constante!$CP$1</f>
        <v>1754610.3960556842</v>
      </c>
      <c r="CW174" s="8">
        <f>+MINVU_Mes_Corriente!CW174*SALUD_Mes_Constante!$CP$1</f>
        <v>3415728.7085846863</v>
      </c>
      <c r="CX174" s="8">
        <f>+MINVU_Mes_Corriente!CX174*SALUD_Mes_Constante!$CP$1</f>
        <v>3415728.7085846863</v>
      </c>
      <c r="CY174" s="8">
        <f>+MINVU_Mes_Corriente!CY174*SALUD_Mes_Constante!$CP$1</f>
        <v>4250923.809744779</v>
      </c>
      <c r="CZ174" s="8">
        <f>+MINVU_Mes_Corriente!CZ174*SALUD_Mes_Constante!$CP$1</f>
        <v>4418822.9672853816</v>
      </c>
      <c r="DA174" s="8">
        <f>+MINVU_Mes_Corriente!DA174*SALUD_Mes_Constante!$CP$1</f>
        <v>4406761.2716937345</v>
      </c>
      <c r="DB174" s="9">
        <f t="shared" si="83"/>
        <v>4406761.2716937345</v>
      </c>
      <c r="DC174" s="8">
        <f>+MINVU_Mes_Corriente!DC174*SALUD_Mes_Constante!$DC$1</f>
        <v>824186.36086822383</v>
      </c>
      <c r="DD174" s="8">
        <f>+MINVU_Mes_Corriente!DD174*SALUD_Mes_Constante!$DC$1</f>
        <v>824186.36086822383</v>
      </c>
      <c r="DE174" s="8">
        <f>+MINVU_Mes_Corriente!DE174*SALUD_Mes_Constante!$DC$1</f>
        <v>824186.36086822383</v>
      </c>
      <c r="DF174" s="8">
        <f>+MINVU_Mes_Corriente!DF174*SALUD_Mes_Constante!$DC$1</f>
        <v>824186.36086822383</v>
      </c>
      <c r="DG174" s="8">
        <f>+MINVU_Mes_Corriente!DG174*SALUD_Mes_Constante!$DC$1</f>
        <v>879034.40880567883</v>
      </c>
      <c r="DH174" s="8">
        <f>+MINVU_Mes_Corriente!DH174*SALUD_Mes_Constante!$DC$1</f>
        <v>879034.40880567883</v>
      </c>
      <c r="DI174" s="8">
        <f>+MINVU_Mes_Corriente!DI174*SALUD_Mes_Constante!$DC$1</f>
        <v>879034.40880567883</v>
      </c>
      <c r="DJ174" s="8">
        <f>+MINVU_Mes_Corriente!DJ174*SALUD_Mes_Constante!$DC$1</f>
        <v>1707270.3919349869</v>
      </c>
      <c r="DK174" s="8">
        <f>+MINVU_Mes_Corriente!DK174*SALUD_Mes_Constante!$DC$1</f>
        <v>2338876.5896512717</v>
      </c>
      <c r="DL174" s="8">
        <f>+MINVU_Mes_Corriente!DL174*SALUD_Mes_Constante!$DC$1</f>
        <v>2338876.5896512717</v>
      </c>
      <c r="DM174" s="8">
        <f>+MINVU_Mes_Corriente!DM174*SALUD_Mes_Constante!$DC$1</f>
        <v>2338876.5896512717</v>
      </c>
      <c r="DN174" s="8">
        <f>+MINVU_Mes_Corriente!DN174*SALUD_Mes_Constante!$DC$1</f>
        <v>2460382.1168604065</v>
      </c>
      <c r="DO174" s="9">
        <f t="shared" si="84"/>
        <v>2460382.1168604065</v>
      </c>
      <c r="DP174" s="8">
        <f>+MINVU_Mes_Corriente!DP174*SALUD_Mes_Constante!$DP$1</f>
        <v>842900.24109263672</v>
      </c>
      <c r="DQ174" s="8">
        <f>+MINVU_Mes_Corriente!DQ174*SALUD_Mes_Constante!$DP$1</f>
        <v>1379840.041567696</v>
      </c>
      <c r="DR174" s="8">
        <f>+MINVU_Mes_Corriente!DR174*SALUD_Mes_Constante!$DP$1</f>
        <v>1394036.0558194777</v>
      </c>
      <c r="DS174" s="8">
        <f>+MINVU_Mes_Corriente!DS174*SALUD_Mes_Constante!$DP$1</f>
        <v>3098391.4899049886</v>
      </c>
      <c r="DT174" s="8">
        <f>+MINVU_Mes_Corriente!DT174*SALUD_Mes_Constante!$DP$1</f>
        <v>3098391.4899049886</v>
      </c>
      <c r="DU174" s="8">
        <f>+MINVU_Mes_Corriente!DU174*SALUD_Mes_Constante!$DP$1</f>
        <v>3376083.176365796</v>
      </c>
      <c r="DV174" s="8">
        <f>+MINVU_Mes_Corriente!DV174*SALUD_Mes_Constante!$DP$1</f>
        <v>3394341.8372921618</v>
      </c>
      <c r="DW174" s="8">
        <f>+MINVU_Mes_Corriente!DW174*SALUD_Mes_Constante!$DP$1</f>
        <v>3447049.1900237533</v>
      </c>
      <c r="DX174" s="8">
        <f>+MINVU_Mes_Corriente!DX174*SALUD_Mes_Constante!$DP$1</f>
        <v>3631103.1965558198</v>
      </c>
      <c r="DY174" s="8">
        <f>+MINVU_Mes_Corriente!DY174*SALUD_Mes_Constante!$DP$1</f>
        <v>3631103.1965558198</v>
      </c>
      <c r="DZ174" s="8">
        <f>+MINVU_Mes_Corriente!DZ174*SALUD_Mes_Constante!$DP$1</f>
        <v>3631103.1965558198</v>
      </c>
      <c r="EA174" s="8">
        <f>+MINVU_Mes_Corriente!EA174*SALUD_Mes_Constante!$DP$1</f>
        <v>3631103.1965558198</v>
      </c>
      <c r="EB174" s="9">
        <f t="shared" si="85"/>
        <v>3631103.1965558198</v>
      </c>
      <c r="EC174" s="8">
        <f>+MINVU_Mes_Corriente!EC174*SALUD_Mes_Constante!$EC$1</f>
        <v>738581.87615981803</v>
      </c>
      <c r="ED174" s="8">
        <f>+MINVU_Mes_Corriente!ED174*SALUD_Mes_Constante!$EC$1</f>
        <v>738581.87615981803</v>
      </c>
      <c r="EE174" s="8">
        <f>+MINVU_Mes_Corriente!EE174*SALUD_Mes_Constante!$EC$1</f>
        <v>1950536.1677712549</v>
      </c>
      <c r="EF174" s="8">
        <f>+MINVU_Mes_Corriente!EF174*SALUD_Mes_Constante!$EC$1</f>
        <v>1956165.7163416015</v>
      </c>
      <c r="EG174" s="8">
        <f>+MINVU_Mes_Corriente!EG174*SALUD_Mes_Constante!$EC$1</f>
        <v>2524892.87786404</v>
      </c>
      <c r="EH174" s="8">
        <f>+MINVU_Mes_Corriente!EH174*SALUD_Mes_Constante!$EC$1</f>
        <v>2524892.87786404</v>
      </c>
      <c r="EI174" s="8">
        <f>+MINVU_Mes_Corriente!EI174*SALUD_Mes_Constante!$EC$1</f>
        <v>2524892.87786404</v>
      </c>
      <c r="EJ174" s="8">
        <f>+MINVU_Mes_Corriente!EJ174*SALUD_Mes_Constante!$EC$1</f>
        <v>2540459.4796440061</v>
      </c>
      <c r="EK174" s="8">
        <f>+MINVU_Mes_Corriente!EK174*SALUD_Mes_Constante!$EC$1</f>
        <v>2540459.4796440061</v>
      </c>
      <c r="EL174" s="8">
        <f>+MINVU_Mes_Corriente!EL174*SALUD_Mes_Constante!$EC$1</f>
        <v>2622094.1406930499</v>
      </c>
      <c r="EM174" s="8">
        <f>+MINVU_Mes_Corriente!EM174*SALUD_Mes_Constante!$EC$1</f>
        <v>2622094.1406930499</v>
      </c>
      <c r="EN174" s="8">
        <f>+MINVU_Mes_Corriente!EN174*SALUD_Mes_Constante!$EC$1</f>
        <v>1685201.5370195033</v>
      </c>
      <c r="EO174" s="9">
        <f t="shared" si="86"/>
        <v>1685201.5370195033</v>
      </c>
      <c r="EP174" s="8">
        <f>+MINVU_Mes_Corriente!EP174*SALUD_Mes_Constante!$EP$1</f>
        <v>743963</v>
      </c>
      <c r="EQ174" s="8">
        <f>+MINVU_Mes_Corriente!EQ174*SALUD_Mes_Constante!$EP$1</f>
        <v>1471852</v>
      </c>
      <c r="ER174" s="8">
        <f>+MINVU_Mes_Corriente!ER174*SALUD_Mes_Constante!$EP$1</f>
        <v>1471852</v>
      </c>
      <c r="ES174" s="8">
        <f>+MINVU_Mes_Corriente!ES174*SALUD_Mes_Constante!$EP$1</f>
        <v>3265840</v>
      </c>
      <c r="ET174" s="8">
        <f>+MINVU_Mes_Corriente!ET174*SALUD_Mes_Constante!$EP$1</f>
        <v>3305770</v>
      </c>
      <c r="EU174" s="8">
        <f>+MINVU_Mes_Corriente!EU174*SALUD_Mes_Constante!$EP$1</f>
        <v>3305770</v>
      </c>
      <c r="EV174" s="8">
        <f>+MINVU_Mes_Corriente!EV174*SALUD_Mes_Constante!$EP$1</f>
        <v>3305770</v>
      </c>
      <c r="EW174" s="8">
        <f>+MINVU_Mes_Corriente!EW174*SALUD_Mes_Constante!$EP$1</f>
        <v>3305770</v>
      </c>
      <c r="EX174" s="8">
        <f>+MINVU_Mes_Corriente!EX174*SALUD_Mes_Constante!$EP$1</f>
        <v>3305770</v>
      </c>
      <c r="EY174" s="8">
        <f>+MINVU_Mes_Corriente!EY174*SALUD_Mes_Constante!$EP$1</f>
        <v>3305770</v>
      </c>
      <c r="EZ174" s="8">
        <f>+MINVU_Mes_Corriente!EZ174*SALUD_Mes_Constante!$EP$1</f>
        <v>3305770</v>
      </c>
      <c r="FA174" s="8">
        <f>+MINVU_Mes_Corriente!FA174*SALUD_Mes_Constante!$EP$1</f>
        <v>3041617</v>
      </c>
      <c r="FB174" s="9">
        <f t="shared" si="87"/>
        <v>3041617</v>
      </c>
      <c r="FC174" s="8">
        <f>+MINVU_Mes_Corriente!FC174*SALUD_Mes_Constante!$FC$1</f>
        <v>767026</v>
      </c>
      <c r="FD174" s="8">
        <f>+MINVU_Mes_Corriente!FD174*SALUD_Mes_Constante!$FC$1</f>
        <v>993744</v>
      </c>
      <c r="FE174" s="8">
        <f>+MINVU_Mes_Corriente!FE174*SALUD_Mes_Constante!$FC$1</f>
        <v>993744</v>
      </c>
      <c r="FF174" s="8">
        <f>+MINVU_Mes_Corriente!FF174*SALUD_Mes_Constante!$FC$1</f>
        <v>993744</v>
      </c>
      <c r="FG174" s="8">
        <f>+MINVU_Mes_Corriente!FG174*SALUD_Mes_Constante!$FC$1</f>
        <v>993744</v>
      </c>
      <c r="FH174" s="8">
        <f>+MINVU_Mes_Corriente!FH174*SALUD_Mes_Constante!$FC$1</f>
        <v>993744</v>
      </c>
      <c r="FI174" s="8">
        <f>+MINVU_Mes_Corriente!FI174*SALUD_Mes_Constante!$FC$1</f>
        <v>1659295</v>
      </c>
      <c r="FJ174" s="8"/>
      <c r="FK174" s="8"/>
      <c r="FL174" s="8"/>
      <c r="FM174" s="8"/>
      <c r="FN174" s="8"/>
      <c r="FO174" s="9">
        <f t="shared" si="88"/>
        <v>1659295</v>
      </c>
    </row>
    <row r="175" spans="2:171" ht="14.25" customHeight="1" x14ac:dyDescent="0.3">
      <c r="B175" s="7" t="s">
        <v>63</v>
      </c>
      <c r="C175" s="8">
        <f>+MINVU_Mes_Corriente!C175*SALUD_Mes_Constante!$C$1</f>
        <v>281306.82693163282</v>
      </c>
      <c r="D175" s="8">
        <f>+MINVU_Mes_Corriente!D175*SALUD_Mes_Constante!$C$1</f>
        <v>306587.4812398043</v>
      </c>
      <c r="E175" s="8">
        <f>+MINVU_Mes_Corriente!E175*SALUD_Mes_Constante!$C$1</f>
        <v>306587.4812398043</v>
      </c>
      <c r="F175" s="8">
        <f>+MINVU_Mes_Corriente!F175*SALUD_Mes_Constante!$C$1</f>
        <v>306587.4812398043</v>
      </c>
      <c r="G175" s="8">
        <f>+MINVU_Mes_Corriente!G175*SALUD_Mes_Constante!$C$1</f>
        <v>336936.58104701177</v>
      </c>
      <c r="H175" s="8">
        <f>+MINVU_Mes_Corriente!H175*SALUD_Mes_Constante!$C$1</f>
        <v>365391.49518018693</v>
      </c>
      <c r="I175" s="8">
        <f>+MINVU_Mes_Corriente!I175*SALUD_Mes_Constante!$C$1</f>
        <v>365391.49518018693</v>
      </c>
      <c r="J175" s="8">
        <f>+MINVU_Mes_Corriente!J175*SALUD_Mes_Constante!$C$1</f>
        <v>365391.49518018693</v>
      </c>
      <c r="K175" s="8">
        <f>+MINVU_Mes_Corriente!K175*SALUD_Mes_Constante!$C$1</f>
        <v>2071629.8769093878</v>
      </c>
      <c r="L175" s="8">
        <f>+MINVU_Mes_Corriente!L175*SALUD_Mes_Constante!$C$1</f>
        <v>2074416.8737950469</v>
      </c>
      <c r="M175" s="8">
        <f>+MINVU_Mes_Corriente!M175*SALUD_Mes_Constante!$C$1</f>
        <v>4843841.0959513579</v>
      </c>
      <c r="N175" s="8">
        <f>+MINVU_Mes_Corriente!N175*SALUD_Mes_Constante!$C$1</f>
        <v>4900553.241880469</v>
      </c>
      <c r="O175" s="9">
        <f t="shared" si="76"/>
        <v>4900553.241880469</v>
      </c>
      <c r="P175" s="8">
        <f>+MINVU_Mes_Corriente!P175*SALUD_Mes_Constante!$P$1</f>
        <v>277561.37832078408</v>
      </c>
      <c r="Q175" s="8">
        <f>+MINVU_Mes_Corriente!Q175*SALUD_Mes_Constante!$P$1</f>
        <v>277561.37832078408</v>
      </c>
      <c r="R175" s="8">
        <f>+MINVU_Mes_Corriente!R175*SALUD_Mes_Constante!$P$1</f>
        <v>328722.19093621243</v>
      </c>
      <c r="S175" s="8">
        <f>+MINVU_Mes_Corriente!S175*SALUD_Mes_Constante!$P$1</f>
        <v>1120348.842449211</v>
      </c>
      <c r="T175" s="8">
        <f>+MINVU_Mes_Corriente!T175*SALUD_Mes_Constante!$P$1</f>
        <v>1888555.76275039</v>
      </c>
      <c r="U175" s="8">
        <f>+MINVU_Mes_Corriente!U175*SALUD_Mes_Constante!$P$1</f>
        <v>2809774.8015343077</v>
      </c>
      <c r="V175" s="8">
        <f>+MINVU_Mes_Corriente!V175*SALUD_Mes_Constante!$P$1</f>
        <v>2809774.8015343077</v>
      </c>
      <c r="W175" s="8">
        <f>+MINVU_Mes_Corriente!W175*SALUD_Mes_Constante!$P$1</f>
        <v>2972381.1245915601</v>
      </c>
      <c r="X175" s="8">
        <f>+MINVU_Mes_Corriente!X175*SALUD_Mes_Constante!$P$1</f>
        <v>2972381.1245915601</v>
      </c>
      <c r="Y175" s="8">
        <f>+MINVU_Mes_Corriente!Y175*SALUD_Mes_Constante!$P$1</f>
        <v>3654682.5833214931</v>
      </c>
      <c r="Z175" s="8">
        <f>+MINVU_Mes_Corriente!Z175*SALUD_Mes_Constante!$P$1</f>
        <v>3793332.1108111935</v>
      </c>
      <c r="AA175" s="8">
        <f>+MINVU_Mes_Corriente!AA175*SALUD_Mes_Constante!$P$1</f>
        <v>6036916.9046739573</v>
      </c>
      <c r="AB175" s="9">
        <f t="shared" si="77"/>
        <v>6036916.9046739573</v>
      </c>
      <c r="AC175" s="8">
        <f>+MINVU_Mes_Corriente!AC175*SALUD_Mes_Constante!$AC$1</f>
        <v>280536.27223682392</v>
      </c>
      <c r="AD175" s="8">
        <f>+MINVU_Mes_Corriente!AD175*SALUD_Mes_Constante!$AC$1</f>
        <v>656877.95158389816</v>
      </c>
      <c r="AE175" s="8">
        <f>+MINVU_Mes_Corriente!AE175*SALUD_Mes_Constante!$AC$1</f>
        <v>656877.95158389816</v>
      </c>
      <c r="AF175" s="8">
        <f>+MINVU_Mes_Corriente!AF175*SALUD_Mes_Constante!$AC$1</f>
        <v>1270511.3725273204</v>
      </c>
      <c r="AG175" s="8">
        <f>+MINVU_Mes_Corriente!AG175*SALUD_Mes_Constante!$AC$1</f>
        <v>1420115.5028358002</v>
      </c>
      <c r="AH175" s="8">
        <f>+MINVU_Mes_Corriente!AH175*SALUD_Mes_Constante!$AC$1</f>
        <v>1425606.4639645871</v>
      </c>
      <c r="AI175" s="8">
        <f>+MINVU_Mes_Corriente!AI175*SALUD_Mes_Constante!$AC$1</f>
        <v>1425606.4639645871</v>
      </c>
      <c r="AJ175" s="8">
        <f>+MINVU_Mes_Corriente!AJ175*SALUD_Mes_Constante!$AC$1</f>
        <v>1425606.4639645871</v>
      </c>
      <c r="AK175" s="8">
        <f>+MINVU_Mes_Corriente!AK175*SALUD_Mes_Constante!$AC$1</f>
        <v>1425606.4639645871</v>
      </c>
      <c r="AL175" s="8">
        <f>+MINVU_Mes_Corriente!AL175*SALUD_Mes_Constante!$AC$1</f>
        <v>1428744.1560381795</v>
      </c>
      <c r="AM175" s="8">
        <f>+MINVU_Mes_Corriente!AM175*SALUD_Mes_Constante!$AC$1</f>
        <v>1526892.2523170563</v>
      </c>
      <c r="AN175" s="8">
        <f>+MINVU_Mes_Corriente!AN175*SALUD_Mes_Constante!$AC$1</f>
        <v>1563838.7276248443</v>
      </c>
      <c r="AO175" s="9">
        <f t="shared" si="78"/>
        <v>1563838.7276248443</v>
      </c>
      <c r="AP175" s="8">
        <f>+MINVU_Mes_Corriente!AP175*SALUD_Mes_Constante!$AP$1</f>
        <v>282541.95590423374</v>
      </c>
      <c r="AQ175" s="8">
        <f>+MINVU_Mes_Corriente!AQ175*SALUD_Mes_Constante!$AP$1</f>
        <v>282541.95590423374</v>
      </c>
      <c r="AR175" s="8">
        <f>+MINVU_Mes_Corriente!AR175*SALUD_Mes_Constante!$AP$1</f>
        <v>282541.95590423374</v>
      </c>
      <c r="AS175" s="8">
        <f>+MINVU_Mes_Corriente!AS175*SALUD_Mes_Constante!$AP$1</f>
        <v>282541.95590423374</v>
      </c>
      <c r="AT175" s="8">
        <f>+MINVU_Mes_Corriente!AT175*SALUD_Mes_Constante!$AP$1</f>
        <v>282541.95590423374</v>
      </c>
      <c r="AU175" s="8">
        <f>+MINVU_Mes_Corriente!AU175*SALUD_Mes_Constante!$AP$1</f>
        <v>428095.8430948194</v>
      </c>
      <c r="AV175" s="8">
        <f>+MINVU_Mes_Corriente!AV175*SALUD_Mes_Constante!$AP$1</f>
        <v>444524.00703368051</v>
      </c>
      <c r="AW175" s="8">
        <f>+MINVU_Mes_Corriente!AW175*SALUD_Mes_Constante!$AP$1</f>
        <v>444524.00703368051</v>
      </c>
      <c r="AX175" s="8">
        <f>+MINVU_Mes_Corriente!AX175*SALUD_Mes_Constante!$AP$1</f>
        <v>503639.38644663867</v>
      </c>
      <c r="AY175" s="8">
        <f>+MINVU_Mes_Corriente!AY175*SALUD_Mes_Constante!$AP$1</f>
        <v>517698.50155552546</v>
      </c>
      <c r="AZ175" s="8">
        <f>+MINVU_Mes_Corriente!AZ175*SALUD_Mes_Constante!$AP$1</f>
        <v>601198.9749763289</v>
      </c>
      <c r="BA175" s="8">
        <f>+MINVU_Mes_Corriente!BA175*SALUD_Mes_Constante!$AP$1</f>
        <v>601198.9749763289</v>
      </c>
      <c r="BB175" s="9">
        <f t="shared" si="79"/>
        <v>601198.9749763289</v>
      </c>
      <c r="BC175" s="8">
        <f>+MINVU_Mes_Corriente!BC175*SALUD_Mes_Constante!$BC$1</f>
        <v>282625.05947514181</v>
      </c>
      <c r="BD175" s="8">
        <f>+MINVU_Mes_Corriente!BD175*SALUD_Mes_Constante!$BC$1</f>
        <v>282625.05947514181</v>
      </c>
      <c r="BE175" s="8">
        <f>+MINVU_Mes_Corriente!BE175*SALUD_Mes_Constante!$BC$1</f>
        <v>282625.05947514181</v>
      </c>
      <c r="BF175" s="8">
        <f>+MINVU_Mes_Corriente!BF175*SALUD_Mes_Constante!$BC$1</f>
        <v>282625.05947514181</v>
      </c>
      <c r="BG175" s="8">
        <f>+MINVU_Mes_Corriente!BG175*SALUD_Mes_Constante!$BC$1</f>
        <v>282625.05947514181</v>
      </c>
      <c r="BH175" s="8">
        <f>+MINVU_Mes_Corriente!BH175*SALUD_Mes_Constante!$BC$1</f>
        <v>348182.50032968493</v>
      </c>
      <c r="BI175" s="8">
        <f>+MINVU_Mes_Corriente!BI175*SALUD_Mes_Constante!$BC$1</f>
        <v>322473.33271792176</v>
      </c>
      <c r="BJ175" s="8">
        <f>+MINVU_Mes_Corriente!BJ175*SALUD_Mes_Constante!$BC$1</f>
        <v>948060.67651325359</v>
      </c>
      <c r="BK175" s="8">
        <f>+MINVU_Mes_Corriente!BK175*SALUD_Mes_Constante!$BC$1</f>
        <v>10140531.113543455</v>
      </c>
      <c r="BL175" s="8">
        <f>+MINVU_Mes_Corriente!BL175*SALUD_Mes_Constante!$BC$1</f>
        <v>10336601.158908086</v>
      </c>
      <c r="BM175" s="8">
        <f>+MINVU_Mes_Corriente!BM175*SALUD_Mes_Constante!$BC$1</f>
        <v>10358646.233416855</v>
      </c>
      <c r="BN175" s="8">
        <f>+MINVU_Mes_Corriente!BN175*SALUD_Mes_Constante!$BC$1</f>
        <v>7238965.6109719127</v>
      </c>
      <c r="BO175" s="9">
        <f t="shared" si="80"/>
        <v>7238965.6109719127</v>
      </c>
      <c r="BP175" s="8">
        <f>+MINVU_Mes_Corriente!BP175*SALUD_Mes_Constante!$BP$1</f>
        <v>0</v>
      </c>
      <c r="BQ175" s="8">
        <f>+MINVU_Mes_Corriente!BQ175*SALUD_Mes_Constante!$BP$1</f>
        <v>3146016.4916773373</v>
      </c>
      <c r="BR175" s="8">
        <f>+MINVU_Mes_Corriente!BR175*SALUD_Mes_Constante!$BP$1</f>
        <v>3390837.2343149814</v>
      </c>
      <c r="BS175" s="8">
        <f>+MINVU_Mes_Corriente!BS175*SALUD_Mes_Constante!$BP$1</f>
        <v>3629362.5864276574</v>
      </c>
      <c r="BT175" s="8">
        <f>+MINVU_Mes_Corriente!BT175*SALUD_Mes_Constante!$BP$1</f>
        <v>3669527.1779769529</v>
      </c>
      <c r="BU175" s="8">
        <f>+MINVU_Mes_Corriente!BU175*SALUD_Mes_Constante!$BP$1</f>
        <v>5046168.2035851479</v>
      </c>
      <c r="BV175" s="8">
        <f>+MINVU_Mes_Corriente!BV175*SALUD_Mes_Constante!$BP$1</f>
        <v>5091079.5195902698</v>
      </c>
      <c r="BW175" s="8">
        <f>+MINVU_Mes_Corriente!BW175*SALUD_Mes_Constante!$BP$1</f>
        <v>5168823.3956466075</v>
      </c>
      <c r="BX175" s="8">
        <f>+MINVU_Mes_Corriente!BX175*SALUD_Mes_Constante!$BP$1</f>
        <v>7698097.265300897</v>
      </c>
      <c r="BY175" s="8">
        <f>+MINVU_Mes_Corriente!BY175*SALUD_Mes_Constante!$BP$1</f>
        <v>7698097.265300897</v>
      </c>
      <c r="BZ175" s="8">
        <f>+MINVU_Mes_Corriente!BZ175*SALUD_Mes_Constante!$BP$1</f>
        <v>7698097.265300897</v>
      </c>
      <c r="CA175" s="8">
        <f>+MINVU_Mes_Corriente!CA175*SALUD_Mes_Constante!$BP$1</f>
        <v>7698097.265300897</v>
      </c>
      <c r="CB175" s="9">
        <f t="shared" si="81"/>
        <v>7698097.265300897</v>
      </c>
      <c r="CC175" s="8">
        <f>+MINVU_Mes_Corriente!CC175*SALUD_Mes_Constante!$CC$1</f>
        <v>89808.378217083184</v>
      </c>
      <c r="CD175" s="8">
        <f>+MINVU_Mes_Corriente!CD175*SALUD_Mes_Constante!$CC$1</f>
        <v>89808.378217083184</v>
      </c>
      <c r="CE175" s="8">
        <f>+MINVU_Mes_Corriente!CE175*SALUD_Mes_Constante!$CC$1</f>
        <v>89808.378217083184</v>
      </c>
      <c r="CF175" s="8">
        <f>+MINVU_Mes_Corriente!CF175*SALUD_Mes_Constante!$CC$1</f>
        <v>304056.05818724359</v>
      </c>
      <c r="CG175" s="8">
        <f>+MINVU_Mes_Corriente!CG175*SALUD_Mes_Constante!$CC$1</f>
        <v>304056.05818724359</v>
      </c>
      <c r="CH175" s="8">
        <f>+MINVU_Mes_Corriente!CH175*SALUD_Mes_Constante!$CC$1</f>
        <v>500719.98284222308</v>
      </c>
      <c r="CI175" s="8">
        <f>+MINVU_Mes_Corriente!CI175*SALUD_Mes_Constante!$CC$1</f>
        <v>500719.98284222308</v>
      </c>
      <c r="CJ175" s="8">
        <f>+MINVU_Mes_Corriente!CJ175*SALUD_Mes_Constante!$CC$1</f>
        <v>527888.94964565465</v>
      </c>
      <c r="CK175" s="8">
        <f>+MINVU_Mes_Corriente!CK175*SALUD_Mes_Constante!$CC$1</f>
        <v>3612387.1846326003</v>
      </c>
      <c r="CL175" s="8">
        <f>+MINVU_Mes_Corriente!CL175*SALUD_Mes_Constante!$CC$1</f>
        <v>3875926.162625886</v>
      </c>
      <c r="CM175" s="8">
        <f>+MINVU_Mes_Corriente!CM175*SALUD_Mes_Constante!$CC$1</f>
        <v>3875926.162625886</v>
      </c>
      <c r="CN175" s="8">
        <f>+MINVU_Mes_Corriente!CN175*SALUD_Mes_Constante!$CC$1</f>
        <v>3875926.162625886</v>
      </c>
      <c r="CO175" s="9">
        <f t="shared" si="82"/>
        <v>3875926.162625886</v>
      </c>
      <c r="CP175" s="8">
        <f>+MINVU_Mes_Corriente!CP175*SALUD_Mes_Constante!$CP$1</f>
        <v>362336.32691415306</v>
      </c>
      <c r="CQ175" s="8">
        <f>+MINVU_Mes_Corriente!CQ175*SALUD_Mes_Constante!$CP$1</f>
        <v>362336.32691415306</v>
      </c>
      <c r="CR175" s="8">
        <f>+MINVU_Mes_Corriente!CR175*SALUD_Mes_Constante!$CP$1</f>
        <v>362336.32691415306</v>
      </c>
      <c r="CS175" s="8">
        <f>+MINVU_Mes_Corriente!CS175*SALUD_Mes_Constante!$CP$1</f>
        <v>362336.32691415306</v>
      </c>
      <c r="CT175" s="8">
        <f>+MINVU_Mes_Corriente!CT175*SALUD_Mes_Constante!$CP$1</f>
        <v>1646682.5568445472</v>
      </c>
      <c r="CU175" s="8">
        <f>+MINVU_Mes_Corriente!CU175*SALUD_Mes_Constante!$CP$1</f>
        <v>1646682.5568445472</v>
      </c>
      <c r="CV175" s="8">
        <f>+MINVU_Mes_Corriente!CV175*SALUD_Mes_Constante!$CP$1</f>
        <v>1646682.5568445472</v>
      </c>
      <c r="CW175" s="8">
        <f>+MINVU_Mes_Corriente!CW175*SALUD_Mes_Constante!$CP$1</f>
        <v>2260438.5654292339</v>
      </c>
      <c r="CX175" s="8">
        <f>+MINVU_Mes_Corriente!CX175*SALUD_Mes_Constante!$CP$1</f>
        <v>2260438.5654292339</v>
      </c>
      <c r="CY175" s="8">
        <f>+MINVU_Mes_Corriente!CY175*SALUD_Mes_Constante!$CP$1</f>
        <v>3048920.5802784218</v>
      </c>
      <c r="CZ175" s="8">
        <f>+MINVU_Mes_Corriente!CZ175*SALUD_Mes_Constante!$CP$1</f>
        <v>3048920.5802784218</v>
      </c>
      <c r="DA175" s="8">
        <f>+MINVU_Mes_Corriente!DA175*SALUD_Mes_Constante!$CP$1</f>
        <v>3036971.693735498</v>
      </c>
      <c r="DB175" s="9">
        <f t="shared" si="83"/>
        <v>3036971.693735498</v>
      </c>
      <c r="DC175" s="8">
        <f>+MINVU_Mes_Corriente!DC175*SALUD_Mes_Constante!$DC$1</f>
        <v>443630.89229503158</v>
      </c>
      <c r="DD175" s="8">
        <f>+MINVU_Mes_Corriente!DD175*SALUD_Mes_Constante!$DC$1</f>
        <v>443630.89229503158</v>
      </c>
      <c r="DE175" s="8">
        <f>+MINVU_Mes_Corriente!DE175*SALUD_Mes_Constante!$DC$1</f>
        <v>443630.89229503158</v>
      </c>
      <c r="DF175" s="8">
        <f>+MINVU_Mes_Corriente!DF175*SALUD_Mes_Constante!$DC$1</f>
        <v>443630.89229503158</v>
      </c>
      <c r="DG175" s="8">
        <f>+MINVU_Mes_Corriente!DG175*SALUD_Mes_Constante!$DC$1</f>
        <v>5086008.6036416031</v>
      </c>
      <c r="DH175" s="8">
        <f>+MINVU_Mes_Corriente!DH175*SALUD_Mes_Constante!$DC$1</f>
        <v>5558710.6809999002</v>
      </c>
      <c r="DI175" s="8">
        <f>+MINVU_Mes_Corriente!DI175*SALUD_Mes_Constante!$DC$1</f>
        <v>5679544.0810616221</v>
      </c>
      <c r="DJ175" s="8">
        <f>+MINVU_Mes_Corriente!DJ175*SALUD_Mes_Constante!$DC$1</f>
        <v>6396390.1629462019</v>
      </c>
      <c r="DK175" s="8">
        <f>+MINVU_Mes_Corriente!DK175*SALUD_Mes_Constante!$DC$1</f>
        <v>7153618.9476391347</v>
      </c>
      <c r="DL175" s="8">
        <f>+MINVU_Mes_Corriente!DL175*SALUD_Mes_Constante!$DC$1</f>
        <v>7153618.9476391347</v>
      </c>
      <c r="DM175" s="8">
        <f>+MINVU_Mes_Corriente!DM175*SALUD_Mes_Constante!$DC$1</f>
        <v>7263592.661248846</v>
      </c>
      <c r="DN175" s="8">
        <f>+MINVU_Mes_Corriente!DN175*SALUD_Mes_Constante!$DC$1</f>
        <v>7385098.1884579808</v>
      </c>
      <c r="DO175" s="9">
        <f t="shared" si="84"/>
        <v>7385098.1884579808</v>
      </c>
      <c r="DP175" s="8">
        <f>+MINVU_Mes_Corriente!DP175*SALUD_Mes_Constante!$DP$1</f>
        <v>453703.66389548697</v>
      </c>
      <c r="DQ175" s="8">
        <f>+MINVU_Mes_Corriente!DQ175*SALUD_Mes_Constante!$DP$1</f>
        <v>1733770.4233966747</v>
      </c>
      <c r="DR175" s="8">
        <f>+MINVU_Mes_Corriente!DR175*SALUD_Mes_Constante!$DP$1</f>
        <v>2537887.9061757722</v>
      </c>
      <c r="DS175" s="8">
        <f>+MINVU_Mes_Corriente!DS175*SALUD_Mes_Constante!$DP$1</f>
        <v>2540591.2909738719</v>
      </c>
      <c r="DT175" s="8">
        <f>+MINVU_Mes_Corriente!DT175*SALUD_Mes_Constante!$DP$1</f>
        <v>2540591.2909738719</v>
      </c>
      <c r="DU175" s="8">
        <f>+MINVU_Mes_Corriente!DU175*SALUD_Mes_Constante!$DP$1</f>
        <v>2594309.7096199528</v>
      </c>
      <c r="DV175" s="8">
        <f>+MINVU_Mes_Corriente!DV175*SALUD_Mes_Constante!$DP$1</f>
        <v>2595574.8937054635</v>
      </c>
      <c r="DW175" s="8">
        <f>+MINVU_Mes_Corriente!DW175*SALUD_Mes_Constante!$DP$1</f>
        <v>2621928.570071259</v>
      </c>
      <c r="DX175" s="8">
        <f>+MINVU_Mes_Corriente!DX175*SALUD_Mes_Constante!$DP$1</f>
        <v>2622220.5356294541</v>
      </c>
      <c r="DY175" s="8">
        <f>+MINVU_Mes_Corriente!DY175*SALUD_Mes_Constante!$DP$1</f>
        <v>2622220.5356294541</v>
      </c>
      <c r="DZ175" s="8">
        <f>+MINVU_Mes_Corriente!DZ175*SALUD_Mes_Constante!$DP$1</f>
        <v>2622220.5356294541</v>
      </c>
      <c r="EA175" s="8">
        <f>+MINVU_Mes_Corriente!EA175*SALUD_Mes_Constante!$DP$1</f>
        <v>2622220.5356294541</v>
      </c>
      <c r="EB175" s="9">
        <f t="shared" si="85"/>
        <v>2622220.5356294541</v>
      </c>
      <c r="EC175" s="8">
        <f>+MINVU_Mes_Corriente!EC175*SALUD_Mes_Constante!$EC$1</f>
        <v>397551.43741715571</v>
      </c>
      <c r="ED175" s="8">
        <f>+MINVU_Mes_Corriente!ED175*SALUD_Mes_Constante!$EC$1</f>
        <v>397551.43741715571</v>
      </c>
      <c r="EE175" s="8">
        <f>+MINVU_Mes_Corriente!EE175*SALUD_Mes_Constante!$EC$1</f>
        <v>1316324.384207536</v>
      </c>
      <c r="EF175" s="8">
        <f>+MINVU_Mes_Corriente!EF175*SALUD_Mes_Constante!$EC$1</f>
        <v>1316841.6157924631</v>
      </c>
      <c r="EG175" s="8">
        <f>+MINVU_Mes_Corriente!EG175*SALUD_Mes_Constante!$EC$1</f>
        <v>1720120.8757811014</v>
      </c>
      <c r="EH175" s="8">
        <f>+MINVU_Mes_Corriente!EH175*SALUD_Mes_Constante!$EC$1</f>
        <v>1720120.8757811014</v>
      </c>
      <c r="EI175" s="8">
        <f>+MINVU_Mes_Corriente!EI175*SALUD_Mes_Constante!$EC$1</f>
        <v>1720120.8757811014</v>
      </c>
      <c r="EJ175" s="8">
        <f>+MINVU_Mes_Corriente!EJ175*SALUD_Mes_Constante!$EC$1</f>
        <v>1744844.5455406168</v>
      </c>
      <c r="EK175" s="8">
        <f>+MINVU_Mes_Corriente!EK175*SALUD_Mes_Constante!$EC$1</f>
        <v>1744844.5455406168</v>
      </c>
      <c r="EL175" s="8">
        <f>+MINVU_Mes_Corriente!EL175*SALUD_Mes_Constante!$EC$1</f>
        <v>1744844.5455406168</v>
      </c>
      <c r="EM175" s="8">
        <f>+MINVU_Mes_Corriente!EM175*SALUD_Mes_Constante!$EC$1</f>
        <v>1744844.5455406168</v>
      </c>
      <c r="EN175" s="8">
        <f>+MINVU_Mes_Corriente!EN175*SALUD_Mes_Constante!$EC$1</f>
        <v>1629599.1416398403</v>
      </c>
      <c r="EO175" s="9">
        <f t="shared" si="86"/>
        <v>1629599.1416398403</v>
      </c>
      <c r="EP175" s="8">
        <f>+MINVU_Mes_Corriente!EP175*SALUD_Mes_Constante!$EP$1</f>
        <v>400448</v>
      </c>
      <c r="EQ175" s="8">
        <f>+MINVU_Mes_Corriente!EQ175*SALUD_Mes_Constante!$EP$1</f>
        <v>508632</v>
      </c>
      <c r="ER175" s="8">
        <f>+MINVU_Mes_Corriente!ER175*SALUD_Mes_Constante!$EP$1</f>
        <v>508632</v>
      </c>
      <c r="ES175" s="8">
        <f>+MINVU_Mes_Corriente!ES175*SALUD_Mes_Constante!$EP$1</f>
        <v>2209561</v>
      </c>
      <c r="ET175" s="8">
        <f>+MINVU_Mes_Corriente!ET175*SALUD_Mes_Constante!$EP$1</f>
        <v>2219001</v>
      </c>
      <c r="EU175" s="8">
        <f>+MINVU_Mes_Corriente!EU175*SALUD_Mes_Constante!$EP$1</f>
        <v>2219001</v>
      </c>
      <c r="EV175" s="8">
        <f>+MINVU_Mes_Corriente!EV175*SALUD_Mes_Constante!$EP$1</f>
        <v>2219001</v>
      </c>
      <c r="EW175" s="8">
        <f>+MINVU_Mes_Corriente!EW175*SALUD_Mes_Constante!$EP$1</f>
        <v>2219001</v>
      </c>
      <c r="EX175" s="8">
        <f>+MINVU_Mes_Corriente!EX175*SALUD_Mes_Constante!$EP$1</f>
        <v>2219001</v>
      </c>
      <c r="EY175" s="8">
        <f>+MINVU_Mes_Corriente!EY175*SALUD_Mes_Constante!$EP$1</f>
        <v>2219001</v>
      </c>
      <c r="EZ175" s="8">
        <f>+MINVU_Mes_Corriente!EZ175*SALUD_Mes_Constante!$EP$1</f>
        <v>2219001</v>
      </c>
      <c r="FA175" s="8">
        <f>+MINVU_Mes_Corriente!FA175*SALUD_Mes_Constante!$EP$1</f>
        <v>2118560</v>
      </c>
      <c r="FB175" s="9">
        <f t="shared" si="87"/>
        <v>2118560</v>
      </c>
      <c r="FC175" s="8">
        <f>+MINVU_Mes_Corriente!FC175*SALUD_Mes_Constante!$FC$1</f>
        <v>412862</v>
      </c>
      <c r="FD175" s="8">
        <f>+MINVU_Mes_Corriente!FD175*SALUD_Mes_Constante!$FC$1</f>
        <v>897060</v>
      </c>
      <c r="FE175" s="8">
        <f>+MINVU_Mes_Corriente!FE175*SALUD_Mes_Constante!$FC$1</f>
        <v>897581</v>
      </c>
      <c r="FF175" s="8">
        <f>+MINVU_Mes_Corriente!FF175*SALUD_Mes_Constante!$FC$1</f>
        <v>897581</v>
      </c>
      <c r="FG175" s="8">
        <f>+MINVU_Mes_Corriente!FG175*SALUD_Mes_Constante!$FC$1</f>
        <v>897581</v>
      </c>
      <c r="FH175" s="8">
        <f>+MINVU_Mes_Corriente!FH175*SALUD_Mes_Constante!$FC$1</f>
        <v>897581</v>
      </c>
      <c r="FI175" s="8">
        <f>+MINVU_Mes_Corriente!FI175*SALUD_Mes_Constante!$FC$1</f>
        <v>2050928</v>
      </c>
      <c r="FJ175" s="8"/>
      <c r="FK175" s="8"/>
      <c r="FL175" s="8"/>
      <c r="FM175" s="8"/>
      <c r="FN175" s="8"/>
      <c r="FO175" s="9">
        <f t="shared" si="88"/>
        <v>2050928</v>
      </c>
    </row>
    <row r="176" spans="2:171" ht="14.25" customHeight="1" x14ac:dyDescent="0.3">
      <c r="B176" s="31" t="s">
        <v>64</v>
      </c>
      <c r="C176" s="8">
        <f>+MINVU_Mes_Corriente!C176*SALUD_Mes_Constante!$C$1</f>
        <v>218732.26546047756</v>
      </c>
      <c r="D176" s="8">
        <f>+MINVU_Mes_Corriente!D176*SALUD_Mes_Constante!$C$1</f>
        <v>218732.26546047756</v>
      </c>
      <c r="E176" s="8">
        <f>+MINVU_Mes_Corriente!E176*SALUD_Mes_Constante!$C$1</f>
        <v>218732.26546047756</v>
      </c>
      <c r="F176" s="8">
        <f>+MINVU_Mes_Corriente!F176*SALUD_Mes_Constante!$C$1</f>
        <v>218732.26546047756</v>
      </c>
      <c r="G176" s="8">
        <f>+MINVU_Mes_Corriente!G176*SALUD_Mes_Constante!$C$1</f>
        <v>253083.62242325378</v>
      </c>
      <c r="H176" s="8">
        <f>+MINVU_Mes_Corriente!H176*SALUD_Mes_Constante!$C$1</f>
        <v>271233.12946759607</v>
      </c>
      <c r="I176" s="8">
        <f>+MINVU_Mes_Corriente!I176*SALUD_Mes_Constante!$C$1</f>
        <v>271233.12946759607</v>
      </c>
      <c r="J176" s="8">
        <f>+MINVU_Mes_Corriente!J176*SALUD_Mes_Constante!$C$1</f>
        <v>271233.12946759607</v>
      </c>
      <c r="K176" s="8">
        <f>+MINVU_Mes_Corriente!K176*SALUD_Mes_Constante!$C$1</f>
        <v>327728.14889515057</v>
      </c>
      <c r="L176" s="8">
        <f>+MINVU_Mes_Corriente!L176*SALUD_Mes_Constante!$C$1</f>
        <v>340734.67447723571</v>
      </c>
      <c r="M176" s="8">
        <f>+MINVU_Mes_Corriente!M176*SALUD_Mes_Constante!$C$1</f>
        <v>453826.79519501713</v>
      </c>
      <c r="N176" s="8">
        <f>+MINVU_Mes_Corriente!N176*SALUD_Mes_Constante!$C$1</f>
        <v>510538.94112412882</v>
      </c>
      <c r="O176" s="9">
        <f t="shared" si="76"/>
        <v>510538.94112412882</v>
      </c>
      <c r="P176" s="8">
        <f>+MINVU_Mes_Corriente!P176*SALUD_Mes_Constante!$P$1</f>
        <v>215820.70833925265</v>
      </c>
      <c r="Q176" s="8">
        <f>+MINVU_Mes_Corriente!Q176*SALUD_Mes_Constante!$P$1</f>
        <v>215820.70833925265</v>
      </c>
      <c r="R176" s="8">
        <f>+MINVU_Mes_Corriente!R176*SALUD_Mes_Constante!$P$1</f>
        <v>1069473.6363119758</v>
      </c>
      <c r="S176" s="8">
        <f>+MINVU_Mes_Corriente!S176*SALUD_Mes_Constante!$P$1</f>
        <v>1505703.3831510153</v>
      </c>
      <c r="T176" s="8">
        <f>+MINVU_Mes_Corriente!T176*SALUD_Mes_Constante!$P$1</f>
        <v>1505703.3831510153</v>
      </c>
      <c r="U176" s="8">
        <f>+MINVU_Mes_Corriente!U176*SALUD_Mes_Constante!$P$1</f>
        <v>1569614.0414831645</v>
      </c>
      <c r="V176" s="8">
        <f>+MINVU_Mes_Corriente!V176*SALUD_Mes_Constante!$P$1</f>
        <v>1569614.0414831645</v>
      </c>
      <c r="W176" s="8">
        <f>+MINVU_Mes_Corriente!W176*SALUD_Mes_Constante!$P$1</f>
        <v>1603141.7584884211</v>
      </c>
      <c r="X176" s="8">
        <f>+MINVU_Mes_Corriente!X176*SALUD_Mes_Constante!$P$1</f>
        <v>1603141.7584884211</v>
      </c>
      <c r="Y176" s="8">
        <f>+MINVU_Mes_Corriente!Y176*SALUD_Mes_Constante!$P$1</f>
        <v>2216660.1744565982</v>
      </c>
      <c r="Z176" s="8">
        <f>+MINVU_Mes_Corriente!Z176*SALUD_Mes_Constante!$P$1</f>
        <v>2336236.1562721967</v>
      </c>
      <c r="AA176" s="8">
        <f>+MINVU_Mes_Corriente!AA176*SALUD_Mes_Constante!$P$1</f>
        <v>2811168.6853246191</v>
      </c>
      <c r="AB176" s="9">
        <f t="shared" si="77"/>
        <v>2811168.6853246191</v>
      </c>
      <c r="AC176" s="8">
        <f>+MINVU_Mes_Corriente!AC176*SALUD_Mes_Constante!$AC$1</f>
        <v>218134.5898464518</v>
      </c>
      <c r="AD176" s="8">
        <f>+MINVU_Mes_Corriente!AD176*SALUD_Mes_Constante!$AC$1</f>
        <v>526462.71268501866</v>
      </c>
      <c r="AE176" s="8">
        <f>+MINVU_Mes_Corriente!AE176*SALUD_Mes_Constante!$AC$1</f>
        <v>578172.66399225336</v>
      </c>
      <c r="AF176" s="8">
        <f>+MINVU_Mes_Corriente!AF176*SALUD_Mes_Constante!$AC$1</f>
        <v>578172.66399225336</v>
      </c>
      <c r="AG176" s="8">
        <f>+MINVU_Mes_Corriente!AG176*SALUD_Mes_Constante!$AC$1</f>
        <v>578172.66399225336</v>
      </c>
      <c r="AH176" s="8">
        <f>+MINVU_Mes_Corriente!AH176*SALUD_Mes_Constante!$AC$1</f>
        <v>583663.62512104027</v>
      </c>
      <c r="AI176" s="8">
        <f>+MINVU_Mes_Corriente!AI176*SALUD_Mes_Constante!$AC$1</f>
        <v>587895.57974823622</v>
      </c>
      <c r="AJ176" s="8">
        <f>+MINVU_Mes_Corriente!AJ176*SALUD_Mes_Constante!$AC$1</f>
        <v>587895.57974823622</v>
      </c>
      <c r="AK176" s="8">
        <f>+MINVU_Mes_Corriente!AK176*SALUD_Mes_Constante!$AC$1</f>
        <v>587895.57974823622</v>
      </c>
      <c r="AL176" s="8">
        <f>+MINVU_Mes_Corriente!AL176*SALUD_Mes_Constante!$AC$1</f>
        <v>604927.6857103334</v>
      </c>
      <c r="AM176" s="8">
        <f>+MINVU_Mes_Corriente!AM176*SALUD_Mes_Constante!$AC$1</f>
        <v>604927.6857103334</v>
      </c>
      <c r="AN176" s="8">
        <f>+MINVU_Mes_Corriente!AN176*SALUD_Mes_Constante!$AC$1</f>
        <v>658959.16641305853</v>
      </c>
      <c r="AO176" s="9">
        <f t="shared" si="78"/>
        <v>658959.16641305853</v>
      </c>
      <c r="AP176" s="8">
        <f>+MINVU_Mes_Corriente!AP176*SALUD_Mes_Constante!$AP$1</f>
        <v>219694.91816583253</v>
      </c>
      <c r="AQ176" s="8">
        <f>+MINVU_Mes_Corriente!AQ176*SALUD_Mes_Constante!$AP$1</f>
        <v>219694.91816583253</v>
      </c>
      <c r="AR176" s="8">
        <f>+MINVU_Mes_Corriente!AR176*SALUD_Mes_Constante!$AP$1</f>
        <v>219694.91816583253</v>
      </c>
      <c r="AS176" s="8">
        <f>+MINVU_Mes_Corriente!AS176*SALUD_Mes_Constante!$AP$1</f>
        <v>219694.91816583253</v>
      </c>
      <c r="AT176" s="8">
        <f>+MINVU_Mes_Corriente!AT176*SALUD_Mes_Constante!$AP$1</f>
        <v>219694.91816583253</v>
      </c>
      <c r="AU176" s="8">
        <f>+MINVU_Mes_Corriente!AU176*SALUD_Mes_Constante!$AP$1</f>
        <v>260072.2001893683</v>
      </c>
      <c r="AV176" s="8">
        <f>+MINVU_Mes_Corriente!AV176*SALUD_Mes_Constante!$AP$1</f>
        <v>270248.91275530908</v>
      </c>
      <c r="AW176" s="8">
        <f>+MINVU_Mes_Corriente!AW176*SALUD_Mes_Constante!$AP$1</f>
        <v>270248.91275530908</v>
      </c>
      <c r="AX176" s="8">
        <f>+MINVU_Mes_Corriente!AX176*SALUD_Mes_Constante!$AP$1</f>
        <v>333797.9456242391</v>
      </c>
      <c r="AY176" s="8">
        <f>+MINVU_Mes_Corriente!AY176*SALUD_Mes_Constante!$AP$1</f>
        <v>366459.19274989853</v>
      </c>
      <c r="AZ176" s="8">
        <f>+MINVU_Mes_Corriente!AZ176*SALUD_Mes_Constante!$AP$1</f>
        <v>366459.19274989853</v>
      </c>
      <c r="BA176" s="8">
        <f>+MINVU_Mes_Corriente!BA176*SALUD_Mes_Constante!$AP$1</f>
        <v>366459.19274989853</v>
      </c>
      <c r="BB176" s="9">
        <f t="shared" si="79"/>
        <v>366459.19274989853</v>
      </c>
      <c r="BC176" s="8">
        <f>+MINVU_Mes_Corriente!BC176*SALUD_Mes_Constante!$BC$1</f>
        <v>219759.13490702893</v>
      </c>
      <c r="BD176" s="8">
        <f>+MINVU_Mes_Corriente!BD176*SALUD_Mes_Constante!$BC$1</f>
        <v>219759.13490702893</v>
      </c>
      <c r="BE176" s="8">
        <f>+MINVU_Mes_Corriente!BE176*SALUD_Mes_Constante!$BC$1</f>
        <v>219759.13490702893</v>
      </c>
      <c r="BF176" s="8">
        <f>+MINVU_Mes_Corriente!BF176*SALUD_Mes_Constante!$BC$1</f>
        <v>219759.13490702893</v>
      </c>
      <c r="BG176" s="8">
        <f>+MINVU_Mes_Corriente!BG176*SALUD_Mes_Constante!$BC$1</f>
        <v>219759.13490702893</v>
      </c>
      <c r="BH176" s="8">
        <f>+MINVU_Mes_Corriente!BH176*SALUD_Mes_Constante!$BC$1</f>
        <v>219759.13490702893</v>
      </c>
      <c r="BI176" s="8">
        <f>+MINVU_Mes_Corriente!BI176*SALUD_Mes_Constante!$BC$1</f>
        <v>207727.99947250434</v>
      </c>
      <c r="BJ176" s="8">
        <f>+MINVU_Mes_Corriente!BJ176*SALUD_Mes_Constante!$BC$1</f>
        <v>306172.94527231972</v>
      </c>
      <c r="BK176" s="8">
        <f>+MINVU_Mes_Corriente!BK176*SALUD_Mes_Constante!$BC$1</f>
        <v>1066428.3180799158</v>
      </c>
      <c r="BL176" s="8">
        <f>+MINVU_Mes_Corriente!BL176*SALUD_Mes_Constante!$BC$1</f>
        <v>1066428.3180799158</v>
      </c>
      <c r="BM176" s="8">
        <f>+MINVU_Mes_Corriente!BM176*SALUD_Mes_Constante!$BC$1</f>
        <v>1069742.2835289466</v>
      </c>
      <c r="BN176" s="8">
        <f>+MINVU_Mes_Corriente!BN176*SALUD_Mes_Constante!$BC$1</f>
        <v>1196861.6755901361</v>
      </c>
      <c r="BO176" s="9">
        <f t="shared" si="80"/>
        <v>1196861.6755901361</v>
      </c>
      <c r="BP176" s="8">
        <f>+MINVU_Mes_Corriente!BP176*SALUD_Mes_Constante!$BP$1</f>
        <v>0</v>
      </c>
      <c r="BQ176" s="8">
        <f>+MINVU_Mes_Corriente!BQ176*SALUD_Mes_Constante!$BP$1</f>
        <v>0</v>
      </c>
      <c r="BR176" s="8">
        <f>+MINVU_Mes_Corriente!BR176*SALUD_Mes_Constante!$BP$1</f>
        <v>0</v>
      </c>
      <c r="BS176" s="8">
        <f>+MINVU_Mes_Corriente!BS176*SALUD_Mes_Constante!$BP$1</f>
        <v>516501.81818181823</v>
      </c>
      <c r="BT176" s="8">
        <f>+MINVU_Mes_Corriente!BT176*SALUD_Mes_Constante!$BP$1</f>
        <v>1346059.4174135725</v>
      </c>
      <c r="BU176" s="8">
        <f>+MINVU_Mes_Corriente!BU176*SALUD_Mes_Constante!$BP$1</f>
        <v>1844112.9434058901</v>
      </c>
      <c r="BV176" s="8">
        <f>+MINVU_Mes_Corriente!BV176*SALUD_Mes_Constante!$BP$1</f>
        <v>1878074.4768245842</v>
      </c>
      <c r="BW176" s="8">
        <f>+MINVU_Mes_Corriente!BW176*SALUD_Mes_Constante!$BP$1</f>
        <v>1901157.5754161333</v>
      </c>
      <c r="BX176" s="8">
        <f>+MINVU_Mes_Corriente!BX176*SALUD_Mes_Constante!$BP$1</f>
        <v>5190258.5008962872</v>
      </c>
      <c r="BY176" s="8">
        <f>+MINVU_Mes_Corriente!BY176*SALUD_Mes_Constante!$BP$1</f>
        <v>5190258.5008962872</v>
      </c>
      <c r="BZ176" s="8">
        <f>+MINVU_Mes_Corriente!BZ176*SALUD_Mes_Constante!$BP$1</f>
        <v>5190258.5008962872</v>
      </c>
      <c r="CA176" s="8">
        <f>+MINVU_Mes_Corriente!CA176*SALUD_Mes_Constante!$BP$1</f>
        <v>5190258.5008962872</v>
      </c>
      <c r="CB176" s="9">
        <f t="shared" si="81"/>
        <v>5190258.5008962872</v>
      </c>
      <c r="CC176" s="8">
        <f>+MINVU_Mes_Corriente!CC176*SALUD_Mes_Constante!$CC$1</f>
        <v>64367.357702349873</v>
      </c>
      <c r="CD176" s="8">
        <f>+MINVU_Mes_Corriente!CD176*SALUD_Mes_Constante!$CC$1</f>
        <v>64367.357702349873</v>
      </c>
      <c r="CE176" s="8">
        <f>+MINVU_Mes_Corriente!CE176*SALUD_Mes_Constante!$CC$1</f>
        <v>64367.357702349873</v>
      </c>
      <c r="CF176" s="8">
        <f>+MINVU_Mes_Corriente!CF176*SALUD_Mes_Constante!$CC$1</f>
        <v>181650.35359940323</v>
      </c>
      <c r="CG176" s="8">
        <f>+MINVU_Mes_Corriente!CG176*SALUD_Mes_Constante!$CC$1</f>
        <v>826804.63931368897</v>
      </c>
      <c r="CH176" s="8">
        <f>+MINVU_Mes_Corriente!CH176*SALUD_Mes_Constante!$CC$1</f>
        <v>826804.63931368897</v>
      </c>
      <c r="CI176" s="8">
        <f>+MINVU_Mes_Corriente!CI176*SALUD_Mes_Constante!$CC$1</f>
        <v>826804.63931368897</v>
      </c>
      <c r="CJ176" s="8">
        <f>+MINVU_Mes_Corriente!CJ176*SALUD_Mes_Constante!$CC$1</f>
        <v>1165967.0779559866</v>
      </c>
      <c r="CK176" s="8">
        <f>+MINVU_Mes_Corriente!CK176*SALUD_Mes_Constante!$CC$1</f>
        <v>1191098.3722491609</v>
      </c>
      <c r="CL176" s="8">
        <f>+MINVU_Mes_Corriente!CL176*SALUD_Mes_Constante!$CC$1</f>
        <v>1405291.7142857143</v>
      </c>
      <c r="CM176" s="8">
        <f>+MINVU_Mes_Corriente!CM176*SALUD_Mes_Constante!$CC$1</f>
        <v>1405291.7142857143</v>
      </c>
      <c r="CN176" s="8">
        <f>+MINVU_Mes_Corriente!CN176*SALUD_Mes_Constante!$CC$1</f>
        <v>1405291.7142857143</v>
      </c>
      <c r="CO176" s="9">
        <f t="shared" si="82"/>
        <v>1405291.7142857143</v>
      </c>
      <c r="CP176" s="8">
        <f>+MINVU_Mes_Corriente!CP176*SALUD_Mes_Constante!$CP$1</f>
        <v>255152.52041763335</v>
      </c>
      <c r="CQ176" s="8">
        <f>+MINVU_Mes_Corriente!CQ176*SALUD_Mes_Constante!$CP$1</f>
        <v>255152.52041763335</v>
      </c>
      <c r="CR176" s="8">
        <f>+MINVU_Mes_Corriente!CR176*SALUD_Mes_Constante!$CP$1</f>
        <v>748673.09582366573</v>
      </c>
      <c r="CS176" s="8">
        <f>+MINVU_Mes_Corriente!CS176*SALUD_Mes_Constante!$CP$1</f>
        <v>748673.09582366573</v>
      </c>
      <c r="CT176" s="8">
        <f>+MINVU_Mes_Corriente!CT176*SALUD_Mes_Constante!$CP$1</f>
        <v>2250723.0445475634</v>
      </c>
      <c r="CU176" s="8">
        <f>+MINVU_Mes_Corriente!CU176*SALUD_Mes_Constante!$CP$1</f>
        <v>2281533.8575406028</v>
      </c>
      <c r="CV176" s="8">
        <f>+MINVU_Mes_Corriente!CV176*SALUD_Mes_Constante!$CP$1</f>
        <v>2281533.8575406028</v>
      </c>
      <c r="CW176" s="8">
        <f>+MINVU_Mes_Corriente!CW176*SALUD_Mes_Constante!$CP$1</f>
        <v>2893102.1310904864</v>
      </c>
      <c r="CX176" s="8">
        <f>+MINVU_Mes_Corriente!CX176*SALUD_Mes_Constante!$CP$1</f>
        <v>2893102.1310904864</v>
      </c>
      <c r="CY176" s="8">
        <f>+MINVU_Mes_Corriente!CY176*SALUD_Mes_Constante!$CP$1</f>
        <v>2979643.1491879346</v>
      </c>
      <c r="CZ176" s="8">
        <f>+MINVU_Mes_Corriente!CZ176*SALUD_Mes_Constante!$CP$1</f>
        <v>3005187.4273781898</v>
      </c>
      <c r="DA176" s="8">
        <f>+MINVU_Mes_Corriente!DA176*SALUD_Mes_Constante!$CP$1</f>
        <v>3002231.5767981433</v>
      </c>
      <c r="DB176" s="9">
        <f t="shared" si="83"/>
        <v>3002231.5767981433</v>
      </c>
      <c r="DC176" s="8">
        <f>+MINVU_Mes_Corriente!DC176*SALUD_Mes_Constante!$DC$1</f>
        <v>310169.81915440812</v>
      </c>
      <c r="DD176" s="8">
        <f>+MINVU_Mes_Corriente!DD176*SALUD_Mes_Constante!$DC$1</f>
        <v>310169.81915440812</v>
      </c>
      <c r="DE176" s="8">
        <f>+MINVU_Mes_Corriente!DE176*SALUD_Mes_Constante!$DC$1</f>
        <v>310169.81915440812</v>
      </c>
      <c r="DF176" s="8">
        <f>+MINVU_Mes_Corriente!DF176*SALUD_Mes_Constante!$DC$1</f>
        <v>310169.81915440812</v>
      </c>
      <c r="DG176" s="8">
        <f>+MINVU_Mes_Corriente!DG176*SALUD_Mes_Constante!$DC$1</f>
        <v>310169.81915440812</v>
      </c>
      <c r="DH176" s="8">
        <f>+MINVU_Mes_Corriente!DH176*SALUD_Mes_Constante!$DC$1</f>
        <v>482132.08867400495</v>
      </c>
      <c r="DI176" s="8">
        <f>+MINVU_Mes_Corriente!DI176*SALUD_Mes_Constante!$DC$1</f>
        <v>1360992.283921408</v>
      </c>
      <c r="DJ176" s="8">
        <f>+MINVU_Mes_Corriente!DJ176*SALUD_Mes_Constante!$DC$1</f>
        <v>2001695.8012550159</v>
      </c>
      <c r="DK176" s="8">
        <f>+MINVU_Mes_Corriente!DK176*SALUD_Mes_Constante!$DC$1</f>
        <v>3131906.8225491219</v>
      </c>
      <c r="DL176" s="8">
        <f>+MINVU_Mes_Corriente!DL176*SALUD_Mes_Constante!$DC$1</f>
        <v>3131906.8225491219</v>
      </c>
      <c r="DM176" s="8">
        <f>+MINVU_Mes_Corriente!DM176*SALUD_Mes_Constante!$DC$1</f>
        <v>3131906.8225491219</v>
      </c>
      <c r="DN176" s="8">
        <f>+MINVU_Mes_Corriente!DN176*SALUD_Mes_Constante!$DC$1</f>
        <v>3131906.8225491219</v>
      </c>
      <c r="DO176" s="9">
        <f t="shared" si="84"/>
        <v>3131906.8225491219</v>
      </c>
      <c r="DP176" s="8">
        <f>+MINVU_Mes_Corriente!DP176*SALUD_Mes_Constante!$DP$1</f>
        <v>317213.00950118765</v>
      </c>
      <c r="DQ176" s="8">
        <f>+MINVU_Mes_Corriente!DQ176*SALUD_Mes_Constante!$DP$1</f>
        <v>842029.75118764851</v>
      </c>
      <c r="DR176" s="8">
        <f>+MINVU_Mes_Corriente!DR176*SALUD_Mes_Constante!$DP$1</f>
        <v>856225.76543943002</v>
      </c>
      <c r="DS176" s="8">
        <f>+MINVU_Mes_Corriente!DS176*SALUD_Mes_Constante!$DP$1</f>
        <v>858929.15023752977</v>
      </c>
      <c r="DT176" s="8">
        <f>+MINVU_Mes_Corriente!DT176*SALUD_Mes_Constante!$DP$1</f>
        <v>858929.15023752977</v>
      </c>
      <c r="DU176" s="8">
        <f>+MINVU_Mes_Corriente!DU176*SALUD_Mes_Constante!$DP$1</f>
        <v>883850.03266033262</v>
      </c>
      <c r="DV176" s="8">
        <f>+MINVU_Mes_Corriente!DV176*SALUD_Mes_Constante!$DP$1</f>
        <v>892804.72446555831</v>
      </c>
      <c r="DW176" s="8">
        <f>+MINVU_Mes_Corriente!DW176*SALUD_Mes_Constante!$DP$1</f>
        <v>938923.38776722096</v>
      </c>
      <c r="DX176" s="8">
        <f>+MINVU_Mes_Corriente!DX176*SALUD_Mes_Constante!$DP$1</f>
        <v>975952.19002375309</v>
      </c>
      <c r="DY176" s="8">
        <f>+MINVU_Mes_Corriente!DY176*SALUD_Mes_Constante!$DP$1</f>
        <v>975952.19002375309</v>
      </c>
      <c r="DZ176" s="8">
        <f>+MINVU_Mes_Corriente!DZ176*SALUD_Mes_Constante!$DP$1</f>
        <v>975952.19002375309</v>
      </c>
      <c r="EA176" s="8">
        <f>+MINVU_Mes_Corriente!EA176*SALUD_Mes_Constante!$DP$1</f>
        <v>975952.19002375309</v>
      </c>
      <c r="EB176" s="9">
        <f t="shared" si="85"/>
        <v>975952.19002375309</v>
      </c>
      <c r="EC176" s="8">
        <f>+MINVU_Mes_Corriente!EC176*SALUD_Mes_Constante!$EC$1</f>
        <v>277954.04696080281</v>
      </c>
      <c r="ED176" s="8">
        <f>+MINVU_Mes_Corriente!ED176*SALUD_Mes_Constante!$EC$1</f>
        <v>277954.04696080281</v>
      </c>
      <c r="EE176" s="8">
        <f>+MINVU_Mes_Corriente!EE176*SALUD_Mes_Constante!$EC$1</f>
        <v>532585.08729407296</v>
      </c>
      <c r="EF176" s="8">
        <f>+MINVU_Mes_Corriente!EF176*SALUD_Mes_Constante!$EC$1</f>
        <v>675306.86744934646</v>
      </c>
      <c r="EG176" s="8">
        <f>+MINVU_Mes_Corriente!EG176*SALUD_Mes_Constante!$EC$1</f>
        <v>902797.73205832206</v>
      </c>
      <c r="EH176" s="8">
        <f>+MINVU_Mes_Corriente!EH176*SALUD_Mes_Constante!$EC$1</f>
        <v>902797.73205832206</v>
      </c>
      <c r="EI176" s="8">
        <f>+MINVU_Mes_Corriente!EI176*SALUD_Mes_Constante!$EC$1</f>
        <v>902797.73205832206</v>
      </c>
      <c r="EJ176" s="8">
        <f>+MINVU_Mes_Corriente!EJ176*SALUD_Mes_Constante!$EC$1</f>
        <v>902797.73205832206</v>
      </c>
      <c r="EK176" s="8">
        <f>+MINVU_Mes_Corriente!EK176*SALUD_Mes_Constante!$EC$1</f>
        <v>902797.73205832206</v>
      </c>
      <c r="EL176" s="8">
        <f>+MINVU_Mes_Corriente!EL176*SALUD_Mes_Constante!$EC$1</f>
        <v>876513.05737549684</v>
      </c>
      <c r="EM176" s="8">
        <f>+MINVU_Mes_Corriente!EM176*SALUD_Mes_Constante!$EC$1</f>
        <v>876513.05737549684</v>
      </c>
      <c r="EN176" s="8">
        <f>+MINVU_Mes_Corriente!EN176*SALUD_Mes_Constante!$EC$1</f>
        <v>872846.91990153352</v>
      </c>
      <c r="EO176" s="9">
        <f t="shared" si="86"/>
        <v>872846.91990153352</v>
      </c>
      <c r="EP176" s="8">
        <f>+MINVU_Mes_Corriente!EP176*SALUD_Mes_Constante!$EP$1</f>
        <v>279980</v>
      </c>
      <c r="EQ176" s="8">
        <f>+MINVU_Mes_Corriente!EQ176*SALUD_Mes_Constante!$EP$1</f>
        <v>279980</v>
      </c>
      <c r="ER176" s="8">
        <f>+MINVU_Mes_Corriente!ER176*SALUD_Mes_Constante!$EP$1</f>
        <v>279980</v>
      </c>
      <c r="ES176" s="8">
        <f>+MINVU_Mes_Corriente!ES176*SALUD_Mes_Constante!$EP$1</f>
        <v>1040023</v>
      </c>
      <c r="ET176" s="8">
        <f>+MINVU_Mes_Corriente!ET176*SALUD_Mes_Constante!$EP$1</f>
        <v>1040023</v>
      </c>
      <c r="EU176" s="8">
        <f>+MINVU_Mes_Corriente!EU176*SALUD_Mes_Constante!$EP$1</f>
        <v>1040023</v>
      </c>
      <c r="EV176" s="8">
        <f>+MINVU_Mes_Corriente!EV176*SALUD_Mes_Constante!$EP$1</f>
        <v>1040023</v>
      </c>
      <c r="EW176" s="8">
        <f>+MINVU_Mes_Corriente!EW176*SALUD_Mes_Constante!$EP$1</f>
        <v>1040023</v>
      </c>
      <c r="EX176" s="8">
        <f>+MINVU_Mes_Corriente!EX176*SALUD_Mes_Constante!$EP$1</f>
        <v>1040023</v>
      </c>
      <c r="EY176" s="8">
        <f>+MINVU_Mes_Corriente!EY176*SALUD_Mes_Constante!$EP$1</f>
        <v>1040023</v>
      </c>
      <c r="EZ176" s="8">
        <f>+MINVU_Mes_Corriente!EZ176*SALUD_Mes_Constante!$EP$1</f>
        <v>1040023</v>
      </c>
      <c r="FA176" s="8">
        <f>+MINVU_Mes_Corriente!FA176*SALUD_Mes_Constante!$EP$1</f>
        <v>1040023</v>
      </c>
      <c r="FB176" s="9">
        <f t="shared" si="87"/>
        <v>1040023</v>
      </c>
      <c r="FC176" s="8">
        <f>+MINVU_Mes_Corriente!FC176*SALUD_Mes_Constante!$FC$1</f>
        <v>288660</v>
      </c>
      <c r="FD176" s="8">
        <f>+MINVU_Mes_Corriente!FD176*SALUD_Mes_Constante!$FC$1</f>
        <v>288660</v>
      </c>
      <c r="FE176" s="8">
        <f>+MINVU_Mes_Corriente!FE176*SALUD_Mes_Constante!$FC$1</f>
        <v>288660</v>
      </c>
      <c r="FF176" s="8">
        <f>+MINVU_Mes_Corriente!FF176*SALUD_Mes_Constante!$FC$1</f>
        <v>288660</v>
      </c>
      <c r="FG176" s="8">
        <f>+MINVU_Mes_Corriente!FG176*SALUD_Mes_Constante!$FC$1</f>
        <v>288660</v>
      </c>
      <c r="FH176" s="8">
        <f>+MINVU_Mes_Corriente!FH176*SALUD_Mes_Constante!$FC$1</f>
        <v>288660</v>
      </c>
      <c r="FI176" s="8">
        <f>+MINVU_Mes_Corriente!FI176*SALUD_Mes_Constante!$FC$1</f>
        <v>574799</v>
      </c>
      <c r="FJ176" s="8"/>
      <c r="FK176" s="8"/>
      <c r="FL176" s="8"/>
      <c r="FM176" s="8"/>
      <c r="FN176" s="8"/>
      <c r="FO176" s="9">
        <f t="shared" si="88"/>
        <v>574799</v>
      </c>
    </row>
    <row r="177" spans="2:171" ht="14.25" customHeight="1" x14ac:dyDescent="0.3">
      <c r="B177" s="31" t="s">
        <v>65</v>
      </c>
      <c r="C177" s="8">
        <f>+MINVU_Mes_Corriente!C177*SALUD_Mes_Constante!$C$1</f>
        <v>319547.01675811957</v>
      </c>
      <c r="D177" s="8">
        <f>+MINVU_Mes_Corriente!D177*SALUD_Mes_Constante!$C$1</f>
        <v>1278698.4763458404</v>
      </c>
      <c r="E177" s="8">
        <f>+MINVU_Mes_Corriente!E177*SALUD_Mes_Constante!$C$1</f>
        <v>1278698.4763458404</v>
      </c>
      <c r="F177" s="8">
        <f>+MINVU_Mes_Corriente!F177*SALUD_Mes_Constante!$C$1</f>
        <v>1278698.4763458404</v>
      </c>
      <c r="G177" s="8">
        <f>+MINVU_Mes_Corriente!G177*SALUD_Mes_Constante!$C$1</f>
        <v>1298547.7274210295</v>
      </c>
      <c r="H177" s="8">
        <f>+MINVU_Mes_Corriente!H177*SALUD_Mes_Constante!$C$1</f>
        <v>1614086.0056354741</v>
      </c>
      <c r="I177" s="8">
        <f>+MINVU_Mes_Corriente!I177*SALUD_Mes_Constante!$C$1</f>
        <v>1614086.0056354741</v>
      </c>
      <c r="J177" s="8">
        <f>+MINVU_Mes_Corriente!J177*SALUD_Mes_Constante!$C$1</f>
        <v>1614086.0056354741</v>
      </c>
      <c r="K177" s="8">
        <f>+MINVU_Mes_Corriente!K177*SALUD_Mes_Constante!$C$1</f>
        <v>1745170.4597360229</v>
      </c>
      <c r="L177" s="8">
        <f>+MINVU_Mes_Corriente!L177*SALUD_Mes_Constante!$C$1</f>
        <v>1745170.4597360229</v>
      </c>
      <c r="M177" s="8">
        <f>+MINVU_Mes_Corriente!M177*SALUD_Mes_Constante!$C$1</f>
        <v>2361435.4239952546</v>
      </c>
      <c r="N177" s="8">
        <f>+MINVU_Mes_Corriente!N177*SALUD_Mes_Constante!$C$1</f>
        <v>2393842.3645261759</v>
      </c>
      <c r="O177" s="9">
        <f t="shared" si="76"/>
        <v>2393842.3645261759</v>
      </c>
      <c r="P177" s="8">
        <f>+MINVU_Mes_Corriente!P177*SALUD_Mes_Constante!$P$1</f>
        <v>315292.47762466245</v>
      </c>
      <c r="Q177" s="8">
        <f>+MINVU_Mes_Corriente!Q177*SALUD_Mes_Constante!$P$1</f>
        <v>315292.47762466245</v>
      </c>
      <c r="R177" s="8">
        <f>+MINVU_Mes_Corriente!R177*SALUD_Mes_Constante!$P$1</f>
        <v>417614.1028555191</v>
      </c>
      <c r="S177" s="8">
        <f>+MINVU_Mes_Corriente!S177*SALUD_Mes_Constante!$P$1</f>
        <v>417614.1028555191</v>
      </c>
      <c r="T177" s="8">
        <f>+MINVU_Mes_Corriente!T177*SALUD_Mes_Constante!$P$1</f>
        <v>417614.1028555191</v>
      </c>
      <c r="U177" s="8">
        <f>+MINVU_Mes_Corriente!U177*SALUD_Mes_Constante!$P$1</f>
        <v>517068.79784060217</v>
      </c>
      <c r="V177" s="8">
        <f>+MINVU_Mes_Corriente!V177*SALUD_Mes_Constante!$P$1</f>
        <v>517068.79784060217</v>
      </c>
      <c r="W177" s="8">
        <f>+MINVU_Mes_Corriente!W177*SALUD_Mes_Constante!$P$1</f>
        <v>526666.10683335678</v>
      </c>
      <c r="X177" s="8">
        <f>+MINVU_Mes_Corriente!X177*SALUD_Mes_Constante!$P$1</f>
        <v>526666.10683335678</v>
      </c>
      <c r="Y177" s="8">
        <f>+MINVU_Mes_Corriente!Y177*SALUD_Mes_Constante!$P$1</f>
        <v>625051.32973433705</v>
      </c>
      <c r="Z177" s="8">
        <f>+MINVU_Mes_Corriente!Z177*SALUD_Mes_Constante!$P$1</f>
        <v>2527868.7898849258</v>
      </c>
      <c r="AA177" s="8">
        <f>+MINVU_Mes_Corriente!AA177*SALUD_Mes_Constante!$P$1</f>
        <v>2014888.5108680204</v>
      </c>
      <c r="AB177" s="9">
        <f t="shared" si="77"/>
        <v>2014888.5108680204</v>
      </c>
      <c r="AC177" s="8">
        <f>+MINVU_Mes_Corriente!AC177*SALUD_Mes_Constante!$AC$1</f>
        <v>318672.22907732741</v>
      </c>
      <c r="AD177" s="8">
        <f>+MINVU_Mes_Corriente!AD177*SALUD_Mes_Constante!$AC$1</f>
        <v>847666.55747682939</v>
      </c>
      <c r="AE177" s="8">
        <f>+MINVU_Mes_Corriente!AE177*SALUD_Mes_Constante!$AC$1</f>
        <v>847666.55747682939</v>
      </c>
      <c r="AF177" s="8">
        <f>+MINVU_Mes_Corriente!AF177*SALUD_Mes_Constante!$AC$1</f>
        <v>847666.55747682939</v>
      </c>
      <c r="AG177" s="8">
        <f>+MINVU_Mes_Corriente!AG177*SALUD_Mes_Constante!$AC$1</f>
        <v>1144122.5361737446</v>
      </c>
      <c r="AH177" s="8">
        <f>+MINVU_Mes_Corriente!AH177*SALUD_Mes_Constante!$AC$1</f>
        <v>1149613.4973025315</v>
      </c>
      <c r="AI177" s="8">
        <f>+MINVU_Mes_Corriente!AI177*SALUD_Mes_Constante!$AC$1</f>
        <v>1183635.3896804538</v>
      </c>
      <c r="AJ177" s="8">
        <f>+MINVU_Mes_Corriente!AJ177*SALUD_Mes_Constante!$AC$1</f>
        <v>1183635.3896804538</v>
      </c>
      <c r="AK177" s="8">
        <f>+MINVU_Mes_Corriente!AK177*SALUD_Mes_Constante!$AC$1</f>
        <v>1183635.3896804538</v>
      </c>
      <c r="AL177" s="8">
        <f>+MINVU_Mes_Corriente!AL177*SALUD_Mes_Constante!$AC$1</f>
        <v>1183635.3896804538</v>
      </c>
      <c r="AM177" s="8">
        <f>+MINVU_Mes_Corriente!AM177*SALUD_Mes_Constante!$AC$1</f>
        <v>1183635.3896804538</v>
      </c>
      <c r="AN177" s="8">
        <f>+MINVU_Mes_Corriente!AN177*SALUD_Mes_Constante!$AC$1</f>
        <v>1183635.3896804538</v>
      </c>
      <c r="AO177" s="9">
        <f t="shared" si="78"/>
        <v>1183635.3896804538</v>
      </c>
      <c r="AP177" s="8">
        <f>+MINVU_Mes_Corriente!AP177*SALUD_Mes_Constante!$AP$1</f>
        <v>320950.69579331798</v>
      </c>
      <c r="AQ177" s="8">
        <f>+MINVU_Mes_Corriente!AQ177*SALUD_Mes_Constante!$AP$1</f>
        <v>320950.69579331798</v>
      </c>
      <c r="AR177" s="8">
        <f>+MINVU_Mes_Corriente!AR177*SALUD_Mes_Constante!$AP$1</f>
        <v>320950.69579331798</v>
      </c>
      <c r="AS177" s="8">
        <f>+MINVU_Mes_Corriente!AS177*SALUD_Mes_Constante!$AP$1</f>
        <v>320950.69579331798</v>
      </c>
      <c r="AT177" s="8">
        <f>+MINVU_Mes_Corriente!AT177*SALUD_Mes_Constante!$AP$1</f>
        <v>320950.69579331798</v>
      </c>
      <c r="AU177" s="8">
        <f>+MINVU_Mes_Corriente!AU177*SALUD_Mes_Constante!$AP$1</f>
        <v>320950.69579331798</v>
      </c>
      <c r="AV177" s="8">
        <f>+MINVU_Mes_Corriente!AV177*SALUD_Mes_Constante!$AP$1</f>
        <v>320950.69579331798</v>
      </c>
      <c r="AW177" s="8">
        <f>+MINVU_Mes_Corriente!AW177*SALUD_Mes_Constante!$AP$1</f>
        <v>320950.69579331798</v>
      </c>
      <c r="AX177" s="8">
        <f>+MINVU_Mes_Corriente!AX177*SALUD_Mes_Constante!$AP$1</f>
        <v>384499.72866224806</v>
      </c>
      <c r="AY177" s="8">
        <f>+MINVU_Mes_Corriente!AY177*SALUD_Mes_Constante!$AP$1</f>
        <v>400756.45800081157</v>
      </c>
      <c r="AZ177" s="8">
        <f>+MINVU_Mes_Corriente!AZ177*SALUD_Mes_Constante!$AP$1</f>
        <v>575646.35222507769</v>
      </c>
      <c r="BA177" s="8">
        <f>+MINVU_Mes_Corriente!BA177*SALUD_Mes_Constante!$AP$1</f>
        <v>575646.35222507769</v>
      </c>
      <c r="BB177" s="9">
        <f t="shared" si="79"/>
        <v>575646.35222507769</v>
      </c>
      <c r="BC177" s="8">
        <f>+MINVU_Mes_Corriente!BC177*SALUD_Mes_Constante!$BC$1</f>
        <v>321044.00501120934</v>
      </c>
      <c r="BD177" s="8">
        <f>+MINVU_Mes_Corriente!BD177*SALUD_Mes_Constante!$BC$1</f>
        <v>321044.00501120934</v>
      </c>
      <c r="BE177" s="8">
        <f>+MINVU_Mes_Corriente!BE177*SALUD_Mes_Constante!$BC$1</f>
        <v>321044.00501120934</v>
      </c>
      <c r="BF177" s="8">
        <f>+MINVU_Mes_Corriente!BF177*SALUD_Mes_Constante!$BC$1</f>
        <v>321044.00501120934</v>
      </c>
      <c r="BG177" s="8">
        <f>+MINVU_Mes_Corriente!BG177*SALUD_Mes_Constante!$BC$1</f>
        <v>321044.00501120934</v>
      </c>
      <c r="BH177" s="8">
        <f>+MINVU_Mes_Corriente!BH177*SALUD_Mes_Constante!$BC$1</f>
        <v>321044.00501120934</v>
      </c>
      <c r="BI177" s="8">
        <f>+MINVU_Mes_Corriente!BI177*SALUD_Mes_Constante!$BC$1</f>
        <v>291195.26229724393</v>
      </c>
      <c r="BJ177" s="8">
        <f>+MINVU_Mes_Corriente!BJ177*SALUD_Mes_Constante!$BC$1</f>
        <v>1609577.1691942506</v>
      </c>
      <c r="BK177" s="8">
        <f>+MINVU_Mes_Corriente!BK177*SALUD_Mes_Constante!$BC$1</f>
        <v>1609577.1691942506</v>
      </c>
      <c r="BL177" s="8">
        <f>+MINVU_Mes_Corriente!BL177*SALUD_Mes_Constante!$BC$1</f>
        <v>1609577.1691942506</v>
      </c>
      <c r="BM177" s="8">
        <f>+MINVU_Mes_Corriente!BM177*SALUD_Mes_Constante!$BC$1</f>
        <v>1609577.1691942506</v>
      </c>
      <c r="BN177" s="8">
        <f>+MINVU_Mes_Corriente!BN177*SALUD_Mes_Constante!$BC$1</f>
        <v>2836039.7605169467</v>
      </c>
      <c r="BO177" s="9">
        <f t="shared" si="80"/>
        <v>2836039.7605169467</v>
      </c>
      <c r="BP177" s="8">
        <f>+MINVU_Mes_Corriente!BP177*SALUD_Mes_Constante!$BP$1</f>
        <v>0</v>
      </c>
      <c r="BQ177" s="8">
        <f>+MINVU_Mes_Corriente!BQ177*SALUD_Mes_Constante!$BP$1</f>
        <v>0</v>
      </c>
      <c r="BR177" s="8">
        <f>+MINVU_Mes_Corriente!BR177*SALUD_Mes_Constante!$BP$1</f>
        <v>0</v>
      </c>
      <c r="BS177" s="8">
        <f>+MINVU_Mes_Corriente!BS177*SALUD_Mes_Constante!$BP$1</f>
        <v>174032.57362355955</v>
      </c>
      <c r="BT177" s="8">
        <f>+MINVU_Mes_Corriente!BT177*SALUD_Mes_Constante!$BP$1</f>
        <v>218389.89526248403</v>
      </c>
      <c r="BU177" s="8">
        <f>+MINVU_Mes_Corriente!BU177*SALUD_Mes_Constante!$BP$1</f>
        <v>218389.89526248403</v>
      </c>
      <c r="BV177" s="8">
        <f>+MINVU_Mes_Corriente!BV177*SALUD_Mes_Constante!$BP$1</f>
        <v>220810.12317541617</v>
      </c>
      <c r="BW177" s="8">
        <f>+MINVU_Mes_Corriente!BW177*SALUD_Mes_Constante!$BP$1</f>
        <v>265577.34468629962</v>
      </c>
      <c r="BX177" s="8">
        <f>+MINVU_Mes_Corriente!BX177*SALUD_Mes_Constante!$BP$1</f>
        <v>1188874.7078104995</v>
      </c>
      <c r="BY177" s="8">
        <f>+MINVU_Mes_Corriente!BY177*SALUD_Mes_Constante!$BP$1</f>
        <v>1188874.7078104995</v>
      </c>
      <c r="BZ177" s="8">
        <f>+MINVU_Mes_Corriente!BZ177*SALUD_Mes_Constante!$BP$1</f>
        <v>1188874.7078104995</v>
      </c>
      <c r="CA177" s="8">
        <f>+MINVU_Mes_Corriente!CA177*SALUD_Mes_Constante!$BP$1</f>
        <v>1188874.7078104995</v>
      </c>
      <c r="CB177" s="9">
        <f t="shared" si="81"/>
        <v>1188874.7078104995</v>
      </c>
      <c r="CC177" s="8">
        <f>+MINVU_Mes_Corriente!CC177*SALUD_Mes_Constante!$CC$1</f>
        <v>108519.6456546065</v>
      </c>
      <c r="CD177" s="8">
        <f>+MINVU_Mes_Corriente!CD177*SALUD_Mes_Constante!$CC$1</f>
        <v>108519.6456546065</v>
      </c>
      <c r="CE177" s="8">
        <f>+MINVU_Mes_Corriente!CE177*SALUD_Mes_Constante!$CC$1</f>
        <v>108519.6456546065</v>
      </c>
      <c r="CF177" s="8">
        <f>+MINVU_Mes_Corriente!CF177*SALUD_Mes_Constante!$CC$1</f>
        <v>290932.08877284598</v>
      </c>
      <c r="CG177" s="8">
        <f>+MINVU_Mes_Corriente!CG177*SALUD_Mes_Constante!$CC$1</f>
        <v>384559.06527415145</v>
      </c>
      <c r="CH177" s="8">
        <f>+MINVU_Mes_Corriente!CH177*SALUD_Mes_Constante!$CC$1</f>
        <v>1444026.5102573668</v>
      </c>
      <c r="CI177" s="8">
        <f>+MINVU_Mes_Corriente!CI177*SALUD_Mes_Constante!$CC$1</f>
        <v>1444026.5102573668</v>
      </c>
      <c r="CJ177" s="8">
        <f>+MINVU_Mes_Corriente!CJ177*SALUD_Mes_Constante!$CC$1</f>
        <v>1564783.0585602389</v>
      </c>
      <c r="CK177" s="8">
        <f>+MINVU_Mes_Corriente!CK177*SALUD_Mes_Constante!$CC$1</f>
        <v>1569062.1708317793</v>
      </c>
      <c r="CL177" s="8">
        <f>+MINVU_Mes_Corriente!CL177*SALUD_Mes_Constante!$CC$1</f>
        <v>2752155.2070123092</v>
      </c>
      <c r="CM177" s="8">
        <f>+MINVU_Mes_Corriente!CM177*SALUD_Mes_Constante!$CC$1</f>
        <v>2752155.2070123092</v>
      </c>
      <c r="CN177" s="8">
        <f>+MINVU_Mes_Corriente!CN177*SALUD_Mes_Constante!$CC$1</f>
        <v>2752155.2070123092</v>
      </c>
      <c r="CO177" s="9">
        <f t="shared" si="82"/>
        <v>2752155.2070123092</v>
      </c>
      <c r="CP177" s="8">
        <f>+MINVU_Mes_Corriente!CP177*SALUD_Mes_Constante!$CP$1</f>
        <v>447765.73225057998</v>
      </c>
      <c r="CQ177" s="8">
        <f>+MINVU_Mes_Corriente!CQ177*SALUD_Mes_Constante!$CP$1</f>
        <v>447765.73225057998</v>
      </c>
      <c r="CR177" s="8">
        <f>+MINVU_Mes_Corriente!CR177*SALUD_Mes_Constante!$CP$1</f>
        <v>447765.73225057998</v>
      </c>
      <c r="CS177" s="8">
        <f>+MINVU_Mes_Corriente!CS177*SALUD_Mes_Constante!$CP$1</f>
        <v>2521971.768445475</v>
      </c>
      <c r="CT177" s="8">
        <f>+MINVU_Mes_Corriente!CT177*SALUD_Mes_Constante!$CP$1</f>
        <v>4396510.8584686769</v>
      </c>
      <c r="CU177" s="8">
        <f>+MINVU_Mes_Corriente!CU177*SALUD_Mes_Constante!$CP$1</f>
        <v>4399527.5498839896</v>
      </c>
      <c r="CV177" s="8">
        <f>+MINVU_Mes_Corriente!CV177*SALUD_Mes_Constante!$CP$1</f>
        <v>4399527.5498839896</v>
      </c>
      <c r="CW177" s="8">
        <f>+MINVU_Mes_Corriente!CW177*SALUD_Mes_Constante!$CP$1</f>
        <v>4663954.495127609</v>
      </c>
      <c r="CX177" s="8">
        <f>+MINVU_Mes_Corriente!CX177*SALUD_Mes_Constante!$CP$1</f>
        <v>4663954.495127609</v>
      </c>
      <c r="CY177" s="8">
        <f>+MINVU_Mes_Corriente!CY177*SALUD_Mes_Constante!$CP$1</f>
        <v>4688961.3459396744</v>
      </c>
      <c r="CZ177" s="8">
        <f>+MINVU_Mes_Corriente!CZ177*SALUD_Mes_Constante!$CP$1</f>
        <v>4714505.6241299296</v>
      </c>
      <c r="DA177" s="8">
        <f>+MINVU_Mes_Corriente!DA177*SALUD_Mes_Constante!$CP$1</f>
        <v>4711488.9327146159</v>
      </c>
      <c r="DB177" s="9">
        <f t="shared" si="83"/>
        <v>4711488.9327146159</v>
      </c>
      <c r="DC177" s="8">
        <f>+MINVU_Mes_Corriente!DC177*SALUD_Mes_Constante!$DC$1</f>
        <v>545353.62699310796</v>
      </c>
      <c r="DD177" s="8">
        <f>+MINVU_Mes_Corriente!DD177*SALUD_Mes_Constante!$DC$1</f>
        <v>545353.62699310796</v>
      </c>
      <c r="DE177" s="8">
        <f>+MINVU_Mes_Corriente!DE177*SALUD_Mes_Constante!$DC$1</f>
        <v>545353.62699310796</v>
      </c>
      <c r="DF177" s="8">
        <f>+MINVU_Mes_Corriente!DF177*SALUD_Mes_Constante!$DC$1</f>
        <v>545353.62699310796</v>
      </c>
      <c r="DG177" s="8">
        <f>+MINVU_Mes_Corriente!DG177*SALUD_Mes_Constante!$DC$1</f>
        <v>545353.62699310796</v>
      </c>
      <c r="DH177" s="8">
        <f>+MINVU_Mes_Corriente!DH177*SALUD_Mes_Constante!$DC$1</f>
        <v>545353.62699310796</v>
      </c>
      <c r="DI177" s="8">
        <f>+MINVU_Mes_Corriente!DI177*SALUD_Mes_Constante!$DC$1</f>
        <v>562270.32548091782</v>
      </c>
      <c r="DJ177" s="8">
        <f>+MINVU_Mes_Corriente!DJ177*SALUD_Mes_Constante!$DC$1</f>
        <v>562270.32548091782</v>
      </c>
      <c r="DK177" s="8">
        <f>+MINVU_Mes_Corriente!DK177*SALUD_Mes_Constante!$DC$1</f>
        <v>856256.2670507154</v>
      </c>
      <c r="DL177" s="8">
        <f>+MINVU_Mes_Corriente!DL177*SALUD_Mes_Constante!$DC$1</f>
        <v>856256.2670507154</v>
      </c>
      <c r="DM177" s="8">
        <f>+MINVU_Mes_Corriente!DM177*SALUD_Mes_Constante!$DC$1</f>
        <v>856256.2670507154</v>
      </c>
      <c r="DN177" s="8">
        <f>+MINVU_Mes_Corriente!DN177*SALUD_Mes_Constante!$DC$1</f>
        <v>977761.79425985029</v>
      </c>
      <c r="DO177" s="9">
        <f t="shared" si="84"/>
        <v>977761.79425985029</v>
      </c>
      <c r="DP177" s="8">
        <f>+MINVU_Mes_Corriente!DP177*SALUD_Mes_Constante!$DP$1</f>
        <v>557736.39904988126</v>
      </c>
      <c r="DQ177" s="8">
        <f>+MINVU_Mes_Corriente!DQ177*SALUD_Mes_Constante!$DP$1</f>
        <v>2037494.6241092638</v>
      </c>
      <c r="DR177" s="8">
        <f>+MINVU_Mes_Corriente!DR177*SALUD_Mes_Constante!$DP$1</f>
        <v>2037494.6241092638</v>
      </c>
      <c r="DS177" s="8">
        <f>+MINVU_Mes_Corriente!DS177*SALUD_Mes_Constante!$DP$1</f>
        <v>2040198.0089073635</v>
      </c>
      <c r="DT177" s="8">
        <f>+MINVU_Mes_Corriente!DT177*SALUD_Mes_Constante!$DP$1</f>
        <v>2040198.0089073635</v>
      </c>
      <c r="DU177" s="8">
        <f>+MINVU_Mes_Corriente!DU177*SALUD_Mes_Constante!$DP$1</f>
        <v>2163893.0023752972</v>
      </c>
      <c r="DV177" s="8">
        <f>+MINVU_Mes_Corriente!DV177*SALUD_Mes_Constante!$DP$1</f>
        <v>2189478.9174584327</v>
      </c>
      <c r="DW177" s="8">
        <f>+MINVU_Mes_Corriente!DW177*SALUD_Mes_Constante!$DP$1</f>
        <v>2209243.9043942997</v>
      </c>
      <c r="DX177" s="8">
        <f>+MINVU_Mes_Corriente!DX177*SALUD_Mes_Constante!$DP$1</f>
        <v>2496044.9162707841</v>
      </c>
      <c r="DY177" s="8">
        <f>+MINVU_Mes_Corriente!DY177*SALUD_Mes_Constante!$DP$1</f>
        <v>2566433.4869358675</v>
      </c>
      <c r="DZ177" s="8">
        <f>+MINVU_Mes_Corriente!DZ177*SALUD_Mes_Constante!$DP$1</f>
        <v>2566433.4869358675</v>
      </c>
      <c r="EA177" s="8">
        <f>+MINVU_Mes_Corriente!EA177*SALUD_Mes_Constante!$DP$1</f>
        <v>2566433.4869358675</v>
      </c>
      <c r="EB177" s="9">
        <f t="shared" si="85"/>
        <v>2566433.4869358675</v>
      </c>
      <c r="EC177" s="8">
        <f>+MINVU_Mes_Corriente!EC177*SALUD_Mes_Constante!$EC$1</f>
        <v>488709.36640787713</v>
      </c>
      <c r="ED177" s="8">
        <f>+MINVU_Mes_Corriente!ED177*SALUD_Mes_Constante!$EC$1</f>
        <v>488709.36640787713</v>
      </c>
      <c r="EE177" s="8">
        <f>+MINVU_Mes_Corriente!EE177*SALUD_Mes_Constante!$EC$1</f>
        <v>1207571.2711607646</v>
      </c>
      <c r="EF177" s="8">
        <f>+MINVU_Mes_Corriente!EF177*SALUD_Mes_Constante!$EC$1</f>
        <v>1414449.4226472254</v>
      </c>
      <c r="EG177" s="8">
        <f>+MINVU_Mes_Corriente!EG177*SALUD_Mes_Constante!$EC$1</f>
        <v>1641940.287256201</v>
      </c>
      <c r="EH177" s="8">
        <f>+MINVU_Mes_Corriente!EH177*SALUD_Mes_Constante!$EC$1</f>
        <v>1641940.287256201</v>
      </c>
      <c r="EI177" s="8">
        <f>+MINVU_Mes_Corriente!EI177*SALUD_Mes_Constante!$EC$1</f>
        <v>1641940.287256201</v>
      </c>
      <c r="EJ177" s="8">
        <f>+MINVU_Mes_Corriente!EJ177*SALUD_Mes_Constante!$EC$1</f>
        <v>1666663.9570157162</v>
      </c>
      <c r="EK177" s="8">
        <f>+MINVU_Mes_Corriente!EK177*SALUD_Mes_Constante!$EC$1</f>
        <v>1666663.9570157162</v>
      </c>
      <c r="EL177" s="8">
        <f>+MINVU_Mes_Corriente!EL177*SALUD_Mes_Constante!$EC$1</f>
        <v>1666663.9570157162</v>
      </c>
      <c r="EM177" s="8">
        <f>+MINVU_Mes_Corriente!EM177*SALUD_Mes_Constante!$EC$1</f>
        <v>1666663.9570157162</v>
      </c>
      <c r="EN177" s="8">
        <f>+MINVU_Mes_Corriente!EN177*SALUD_Mes_Constante!$EC$1</f>
        <v>1427385.384586252</v>
      </c>
      <c r="EO177" s="9">
        <f t="shared" si="86"/>
        <v>1427385.384586252</v>
      </c>
      <c r="EP177" s="8">
        <f>+MINVU_Mes_Corriente!EP177*SALUD_Mes_Constante!$EP$1</f>
        <v>492270</v>
      </c>
      <c r="EQ177" s="8">
        <f>+MINVU_Mes_Corriente!EQ177*SALUD_Mes_Constante!$EP$1</f>
        <v>714629</v>
      </c>
      <c r="ER177" s="8">
        <f>+MINVU_Mes_Corriente!ER177*SALUD_Mes_Constante!$EP$1</f>
        <v>714629</v>
      </c>
      <c r="ES177" s="8">
        <f>+MINVU_Mes_Corriente!ES177*SALUD_Mes_Constante!$EP$1</f>
        <v>2132291</v>
      </c>
      <c r="ET177" s="8">
        <f>+MINVU_Mes_Corriente!ET177*SALUD_Mes_Constante!$EP$1</f>
        <v>2140391</v>
      </c>
      <c r="EU177" s="8">
        <f>+MINVU_Mes_Corriente!EU177*SALUD_Mes_Constante!$EP$1</f>
        <v>2140391</v>
      </c>
      <c r="EV177" s="8">
        <f>+MINVU_Mes_Corriente!EV177*SALUD_Mes_Constante!$EP$1</f>
        <v>2342291</v>
      </c>
      <c r="EW177" s="8">
        <f>+MINVU_Mes_Corriente!EW177*SALUD_Mes_Constante!$EP$1</f>
        <v>2500009</v>
      </c>
      <c r="EX177" s="8">
        <f>+MINVU_Mes_Corriente!EX177*SALUD_Mes_Constante!$EP$1</f>
        <v>2500009</v>
      </c>
      <c r="EY177" s="8">
        <f>+MINVU_Mes_Corriente!EY177*SALUD_Mes_Constante!$EP$1</f>
        <v>2500009</v>
      </c>
      <c r="EZ177" s="8">
        <f>+MINVU_Mes_Corriente!EZ177*SALUD_Mes_Constante!$EP$1</f>
        <v>2500009</v>
      </c>
      <c r="FA177" s="8">
        <f>+MINVU_Mes_Corriente!FA177*SALUD_Mes_Constante!$EP$1</f>
        <v>2416983</v>
      </c>
      <c r="FB177" s="9">
        <f t="shared" si="87"/>
        <v>2416983</v>
      </c>
      <c r="FC177" s="8">
        <f>+MINVU_Mes_Corriente!FC177*SALUD_Mes_Constante!$FC$1</f>
        <v>507530</v>
      </c>
      <c r="FD177" s="8">
        <f>+MINVU_Mes_Corriente!FD177*SALUD_Mes_Constante!$FC$1</f>
        <v>734248</v>
      </c>
      <c r="FE177" s="8">
        <f>+MINVU_Mes_Corriente!FE177*SALUD_Mes_Constante!$FC$1</f>
        <v>734248</v>
      </c>
      <c r="FF177" s="8">
        <f>+MINVU_Mes_Corriente!FF177*SALUD_Mes_Constante!$FC$1</f>
        <v>734248</v>
      </c>
      <c r="FG177" s="8">
        <f>+MINVU_Mes_Corriente!FG177*SALUD_Mes_Constante!$FC$1</f>
        <v>734248</v>
      </c>
      <c r="FH177" s="8">
        <f>+MINVU_Mes_Corriente!FH177*SALUD_Mes_Constante!$FC$1</f>
        <v>734248</v>
      </c>
      <c r="FI177" s="8">
        <f>+MINVU_Mes_Corriente!FI177*SALUD_Mes_Constante!$FC$1</f>
        <v>2059120</v>
      </c>
      <c r="FJ177" s="8"/>
      <c r="FK177" s="8"/>
      <c r="FL177" s="8"/>
      <c r="FM177" s="8"/>
      <c r="FN177" s="8"/>
      <c r="FO177" s="9">
        <f t="shared" si="88"/>
        <v>2059120</v>
      </c>
    </row>
    <row r="178" spans="2:171" ht="14.25" customHeight="1" x14ac:dyDescent="0.3">
      <c r="B178" s="7" t="s">
        <v>66</v>
      </c>
      <c r="C178" s="8">
        <f>+MINVU_Mes_Corriente!C178*SALUD_Mes_Constante!$C$1</f>
        <v>185965.60788966337</v>
      </c>
      <c r="D178" s="8">
        <f>+MINVU_Mes_Corriente!D178*SALUD_Mes_Constante!$C$1</f>
        <v>586717.93623016472</v>
      </c>
      <c r="E178" s="8">
        <f>+MINVU_Mes_Corriente!E178*SALUD_Mes_Constante!$C$1</f>
        <v>586717.93623016472</v>
      </c>
      <c r="F178" s="8">
        <f>+MINVU_Mes_Corriente!F178*SALUD_Mes_Constante!$C$1</f>
        <v>586717.93623016472</v>
      </c>
      <c r="G178" s="8">
        <f>+MINVU_Mes_Corriente!G178*SALUD_Mes_Constante!$C$1</f>
        <v>600717.73453952256</v>
      </c>
      <c r="H178" s="8">
        <f>+MINVU_Mes_Corriente!H178*SALUD_Mes_Constante!$C$1</f>
        <v>604264.67418063188</v>
      </c>
      <c r="I178" s="8">
        <f>+MINVU_Mes_Corriente!I178*SALUD_Mes_Constante!$C$1</f>
        <v>604264.67418063188</v>
      </c>
      <c r="J178" s="8">
        <f>+MINVU_Mes_Corriente!J178*SALUD_Mes_Constante!$C$1</f>
        <v>604264.67418063188</v>
      </c>
      <c r="K178" s="8">
        <f>+MINVU_Mes_Corriente!K178*SALUD_Mes_Constante!$C$1</f>
        <v>692977.05353700148</v>
      </c>
      <c r="L178" s="8">
        <f>+MINVU_Mes_Corriente!L178*SALUD_Mes_Constante!$C$1</f>
        <v>698374.42948242638</v>
      </c>
      <c r="M178" s="8">
        <f>+MINVU_Mes_Corriente!M178*SALUD_Mes_Constante!$C$1</f>
        <v>5734787.2881506756</v>
      </c>
      <c r="N178" s="8">
        <f>+MINVU_Mes_Corriente!N178*SALUD_Mes_Constante!$C$1</f>
        <v>5799938.2013940392</v>
      </c>
      <c r="O178" s="9">
        <f t="shared" si="76"/>
        <v>5799938.2013940392</v>
      </c>
      <c r="P178" s="8">
        <f>+MINVU_Mes_Corriente!P178*SALUD_Mes_Constante!$P$1</f>
        <v>183489.74456598941</v>
      </c>
      <c r="Q178" s="8">
        <f>+MINVU_Mes_Corriente!Q178*SALUD_Mes_Constante!$P$1</f>
        <v>183489.74456598941</v>
      </c>
      <c r="R178" s="8">
        <f>+MINVU_Mes_Corriente!R178*SALUD_Mes_Constante!$P$1</f>
        <v>777923.74939622078</v>
      </c>
      <c r="S178" s="8">
        <f>+MINVU_Mes_Corriente!S178*SALUD_Mes_Constante!$P$1</f>
        <v>777923.74939622078</v>
      </c>
      <c r="T178" s="8">
        <f>+MINVU_Mes_Corriente!T178*SALUD_Mes_Constante!$P$1</f>
        <v>1720043.2839892025</v>
      </c>
      <c r="U178" s="8">
        <f>+MINVU_Mes_Corriente!U178*SALUD_Mes_Constante!$P$1</f>
        <v>1720043.2839892025</v>
      </c>
      <c r="V178" s="8">
        <f>+MINVU_Mes_Corriente!V178*SALUD_Mes_Constante!$P$1</f>
        <v>1720043.2839892025</v>
      </c>
      <c r="W178" s="8">
        <f>+MINVU_Mes_Corriente!W178*SALUD_Mes_Constante!$P$1</f>
        <v>1934949.7411564135</v>
      </c>
      <c r="X178" s="8">
        <f>+MINVU_Mes_Corriente!X178*SALUD_Mes_Constante!$P$1</f>
        <v>1934949.7411564135</v>
      </c>
      <c r="Y178" s="8">
        <f>+MINVU_Mes_Corriente!Y178*SALUD_Mes_Constante!$P$1</f>
        <v>1957503.3396789308</v>
      </c>
      <c r="Z178" s="8">
        <f>+MINVU_Mes_Corriente!Z178*SALUD_Mes_Constante!$P$1</f>
        <v>3212198.9859355008</v>
      </c>
      <c r="AA178" s="8">
        <f>+MINVU_Mes_Corriente!AA178*SALUD_Mes_Constante!$P$1</f>
        <v>4297225.7576360265</v>
      </c>
      <c r="AB178" s="9">
        <f t="shared" si="77"/>
        <v>4297225.7576360265</v>
      </c>
      <c r="AC178" s="8">
        <f>+MINVU_Mes_Corriente!AC178*SALUD_Mes_Constante!$AC$1</f>
        <v>185456.34306266427</v>
      </c>
      <c r="AD178" s="8">
        <f>+MINVU_Mes_Corriente!AD178*SALUD_Mes_Constante!$AC$1</f>
        <v>717473.49619587767</v>
      </c>
      <c r="AE178" s="8">
        <f>+MINVU_Mes_Corriente!AE178*SALUD_Mes_Constante!$AC$1</f>
        <v>717473.49619587767</v>
      </c>
      <c r="AF178" s="8">
        <f>+MINVU_Mes_Corriente!AF178*SALUD_Mes_Constante!$AC$1</f>
        <v>717473.49619587767</v>
      </c>
      <c r="AG178" s="8">
        <f>+MINVU_Mes_Corriente!AG178*SALUD_Mes_Constante!$AC$1</f>
        <v>717473.49619587767</v>
      </c>
      <c r="AH178" s="8">
        <f>+MINVU_Mes_Corriente!AH178*SALUD_Mes_Constante!$AC$1</f>
        <v>760820.80287729972</v>
      </c>
      <c r="AI178" s="8">
        <f>+MINVU_Mes_Corriente!AI178*SALUD_Mes_Constante!$AC$1</f>
        <v>760820.80287729972</v>
      </c>
      <c r="AJ178" s="8">
        <f>+MINVU_Mes_Corriente!AJ178*SALUD_Mes_Constante!$AC$1</f>
        <v>760820.80287729972</v>
      </c>
      <c r="AK178" s="8">
        <f>+MINVU_Mes_Corriente!AK178*SALUD_Mes_Constante!$AC$1</f>
        <v>760820.80287729972</v>
      </c>
      <c r="AL178" s="8">
        <f>+MINVU_Mes_Corriente!AL178*SALUD_Mes_Constante!$AC$1</f>
        <v>1256706.1319684603</v>
      </c>
      <c r="AM178" s="8">
        <f>+MINVU_Mes_Corriente!AM178*SALUD_Mes_Constante!$AC$1</f>
        <v>1261693.7927790843</v>
      </c>
      <c r="AN178" s="8">
        <f>+MINVU_Mes_Corriente!AN178*SALUD_Mes_Constante!$AC$1</f>
        <v>1321473.1747129618</v>
      </c>
      <c r="AO178" s="9">
        <f t="shared" si="78"/>
        <v>1321473.1747129618</v>
      </c>
      <c r="AP178" s="8">
        <f>+MINVU_Mes_Corriente!AP178*SALUD_Mes_Constante!$AP$1</f>
        <v>186782.43067766805</v>
      </c>
      <c r="AQ178" s="8">
        <f>+MINVU_Mes_Corriente!AQ178*SALUD_Mes_Constante!$AP$1</f>
        <v>186782.43067766805</v>
      </c>
      <c r="AR178" s="8">
        <f>+MINVU_Mes_Corriente!AR178*SALUD_Mes_Constante!$AP$1</f>
        <v>186782.43067766805</v>
      </c>
      <c r="AS178" s="8">
        <f>+MINVU_Mes_Corriente!AS178*SALUD_Mes_Constante!$AP$1</f>
        <v>186782.43067766805</v>
      </c>
      <c r="AT178" s="8">
        <f>+MINVU_Mes_Corriente!AT178*SALUD_Mes_Constante!$AP$1</f>
        <v>186782.43067766805</v>
      </c>
      <c r="AU178" s="8">
        <f>+MINVU_Mes_Corriente!AU178*SALUD_Mes_Constante!$AP$1</f>
        <v>206719.09238468821</v>
      </c>
      <c r="AV178" s="8">
        <f>+MINVU_Mes_Corriente!AV178*SALUD_Mes_Constante!$AP$1</f>
        <v>206719.09238468821</v>
      </c>
      <c r="AW178" s="8">
        <f>+MINVU_Mes_Corriente!AW178*SALUD_Mes_Constante!$AP$1</f>
        <v>206719.09238468821</v>
      </c>
      <c r="AX178" s="8">
        <f>+MINVU_Mes_Corriente!AX178*SALUD_Mes_Constante!$AP$1</f>
        <v>206719.09238468821</v>
      </c>
      <c r="AY178" s="8">
        <f>+MINVU_Mes_Corriente!AY178*SALUD_Mes_Constante!$AP$1</f>
        <v>206719.09238468821</v>
      </c>
      <c r="AZ178" s="8">
        <f>+MINVU_Mes_Corriente!AZ178*SALUD_Mes_Constante!$AP$1</f>
        <v>214769.12917624778</v>
      </c>
      <c r="BA178" s="8">
        <f>+MINVU_Mes_Corriente!BA178*SALUD_Mes_Constante!$AP$1</f>
        <v>214769.12917624778</v>
      </c>
      <c r="BB178" s="9">
        <f t="shared" si="79"/>
        <v>214769.12917624778</v>
      </c>
      <c r="BC178" s="8">
        <f>+MINVU_Mes_Corriente!BC178*SALUD_Mes_Constante!$BC$1</f>
        <v>186837.04945272324</v>
      </c>
      <c r="BD178" s="8">
        <f>+MINVU_Mes_Corriente!BD178*SALUD_Mes_Constante!$BC$1</f>
        <v>186837.04945272324</v>
      </c>
      <c r="BE178" s="8">
        <f>+MINVU_Mes_Corriente!BE178*SALUD_Mes_Constante!$BC$1</f>
        <v>186837.04945272324</v>
      </c>
      <c r="BF178" s="8">
        <f>+MINVU_Mes_Corriente!BF178*SALUD_Mes_Constante!$BC$1</f>
        <v>186837.04945272324</v>
      </c>
      <c r="BG178" s="8">
        <f>+MINVU_Mes_Corriente!BG178*SALUD_Mes_Constante!$BC$1</f>
        <v>186837.04945272324</v>
      </c>
      <c r="BH178" s="8">
        <f>+MINVU_Mes_Corriente!BH178*SALUD_Mes_Constante!$BC$1</f>
        <v>186837.04945272324</v>
      </c>
      <c r="BI178" s="8">
        <f>+MINVU_Mes_Corriente!BI178*SALUD_Mes_Constante!$BC$1</f>
        <v>177315.88263220366</v>
      </c>
      <c r="BJ178" s="8">
        <f>+MINVU_Mes_Corriente!BJ178*SALUD_Mes_Constante!$BC$1</f>
        <v>177315.88263220366</v>
      </c>
      <c r="BK178" s="8">
        <f>+MINVU_Mes_Corriente!BK178*SALUD_Mes_Constante!$BC$1</f>
        <v>2256163.5271000927</v>
      </c>
      <c r="BL178" s="8">
        <f>+MINVU_Mes_Corriente!BL178*SALUD_Mes_Constante!$BC$1</f>
        <v>2256163.5271000927</v>
      </c>
      <c r="BM178" s="8">
        <f>+MINVU_Mes_Corriente!BM178*SALUD_Mes_Constante!$BC$1</f>
        <v>2277266.2827377035</v>
      </c>
      <c r="BN178" s="8">
        <f>+MINVU_Mes_Corriente!BN178*SALUD_Mes_Constante!$BC$1</f>
        <v>2469676.5575629706</v>
      </c>
      <c r="BO178" s="9">
        <f t="shared" si="80"/>
        <v>2469676.5575629706</v>
      </c>
      <c r="BP178" s="8">
        <f>+MINVU_Mes_Corriente!BP178*SALUD_Mes_Constante!$BP$1</f>
        <v>0</v>
      </c>
      <c r="BQ178" s="8">
        <f>+MINVU_Mes_Corriente!BQ178*SALUD_Mes_Constante!$BP$1</f>
        <v>0</v>
      </c>
      <c r="BR178" s="8">
        <f>+MINVU_Mes_Corriente!BR178*SALUD_Mes_Constante!$BP$1</f>
        <v>0</v>
      </c>
      <c r="BS178" s="8">
        <f>+MINVU_Mes_Corriente!BS178*SALUD_Mes_Constante!$BP$1</f>
        <v>719353.29065300908</v>
      </c>
      <c r="BT178" s="8">
        <f>+MINVU_Mes_Corriente!BT178*SALUD_Mes_Constante!$BP$1</f>
        <v>735675.13982074277</v>
      </c>
      <c r="BU178" s="8">
        <f>+MINVU_Mes_Corriente!BU178*SALUD_Mes_Constante!$BP$1</f>
        <v>735675.13982074277</v>
      </c>
      <c r="BV178" s="8">
        <f>+MINVU_Mes_Corriente!BV178*SALUD_Mes_Constante!$BP$1</f>
        <v>817411.69244558271</v>
      </c>
      <c r="BW178" s="8">
        <f>+MINVU_Mes_Corriente!BW178*SALUD_Mes_Constante!$BP$1</f>
        <v>834898.88834827149</v>
      </c>
      <c r="BX178" s="8">
        <f>+MINVU_Mes_Corriente!BX178*SALUD_Mes_Constante!$BP$1</f>
        <v>904704.976440461</v>
      </c>
      <c r="BY178" s="8">
        <f>+MINVU_Mes_Corriente!BY178*SALUD_Mes_Constante!$BP$1</f>
        <v>904704.976440461</v>
      </c>
      <c r="BZ178" s="8">
        <f>+MINVU_Mes_Corriente!BZ178*SALUD_Mes_Constante!$BP$1</f>
        <v>936509.28937259933</v>
      </c>
      <c r="CA178" s="8">
        <f>+MINVU_Mes_Corriente!CA178*SALUD_Mes_Constante!$BP$1</f>
        <v>936509.28937259933</v>
      </c>
      <c r="CB178" s="9">
        <f t="shared" si="81"/>
        <v>936509.28937259933</v>
      </c>
      <c r="CC178" s="8">
        <f>+MINVU_Mes_Corriente!CC178*SALUD_Mes_Constante!$CC$1</f>
        <v>61954.753450205149</v>
      </c>
      <c r="CD178" s="8">
        <f>+MINVU_Mes_Corriente!CD178*SALUD_Mes_Constante!$CC$1</f>
        <v>61954.753450205149</v>
      </c>
      <c r="CE178" s="8">
        <f>+MINVU_Mes_Corriente!CE178*SALUD_Mes_Constante!$CC$1</f>
        <v>61954.753450205149</v>
      </c>
      <c r="CF178" s="8">
        <f>+MINVU_Mes_Corriente!CF178*SALUD_Mes_Constante!$CC$1</f>
        <v>172998.39612085043</v>
      </c>
      <c r="CG178" s="8">
        <f>+MINVU_Mes_Corriente!CG178*SALUD_Mes_Constante!$CC$1</f>
        <v>189593.20104438643</v>
      </c>
      <c r="CH178" s="8">
        <f>+MINVU_Mes_Corriente!CH178*SALUD_Mes_Constante!$CC$1</f>
        <v>213898.55874673632</v>
      </c>
      <c r="CI178" s="8">
        <f>+MINVU_Mes_Corriente!CI178*SALUD_Mes_Constante!$CC$1</f>
        <v>213898.55874673632</v>
      </c>
      <c r="CJ178" s="8">
        <f>+MINVU_Mes_Corriente!CJ178*SALUD_Mes_Constante!$CC$1</f>
        <v>356780.1551659829</v>
      </c>
      <c r="CK178" s="8">
        <f>+MINVU_Mes_Corriente!CK178*SALUD_Mes_Constante!$CC$1</f>
        <v>358593.68370011193</v>
      </c>
      <c r="CL178" s="8">
        <f>+MINVU_Mes_Corriente!CL178*SALUD_Mes_Constante!$CC$1</f>
        <v>529948.35732935474</v>
      </c>
      <c r="CM178" s="8">
        <f>+MINVU_Mes_Corriente!CM178*SALUD_Mes_Constante!$CC$1</f>
        <v>529948.35732935474</v>
      </c>
      <c r="CN178" s="8">
        <f>+MINVU_Mes_Corriente!CN178*SALUD_Mes_Constante!$CC$1</f>
        <v>529948.35732935474</v>
      </c>
      <c r="CO178" s="9">
        <f t="shared" si="82"/>
        <v>529948.35732935474</v>
      </c>
      <c r="CP178" s="8">
        <f>+MINVU_Mes_Corriente!CP178*SALUD_Mes_Constante!$CP$1</f>
        <v>255220.96635730853</v>
      </c>
      <c r="CQ178" s="8">
        <f>+MINVU_Mes_Corriente!CQ178*SALUD_Mes_Constante!$CP$1</f>
        <v>255220.96635730853</v>
      </c>
      <c r="CR178" s="8">
        <f>+MINVU_Mes_Corriente!CR178*SALUD_Mes_Constante!$CP$1</f>
        <v>255220.96635730853</v>
      </c>
      <c r="CS178" s="8">
        <f>+MINVU_Mes_Corriente!CS178*SALUD_Mes_Constante!$CP$1</f>
        <v>255220.96635730853</v>
      </c>
      <c r="CT178" s="8">
        <f>+MINVU_Mes_Corriente!CT178*SALUD_Mes_Constante!$CP$1</f>
        <v>677363.83433874696</v>
      </c>
      <c r="CU178" s="8">
        <f>+MINVU_Mes_Corriente!CU178*SALUD_Mes_Constante!$CP$1</f>
        <v>692447.29141531303</v>
      </c>
      <c r="CV178" s="8">
        <f>+MINVU_Mes_Corriente!CV178*SALUD_Mes_Constante!$CP$1</f>
        <v>692447.29141531303</v>
      </c>
      <c r="CW178" s="8">
        <f>+MINVU_Mes_Corriente!CW178*SALUD_Mes_Constante!$CP$1</f>
        <v>1324256.5503480276</v>
      </c>
      <c r="CX178" s="8">
        <f>+MINVU_Mes_Corriente!CX178*SALUD_Mes_Constante!$CP$1</f>
        <v>1324256.5503480276</v>
      </c>
      <c r="CY178" s="8">
        <f>+MINVU_Mes_Corriente!CY178*SALUD_Mes_Constante!$CP$1</f>
        <v>1543275.952204176</v>
      </c>
      <c r="CZ178" s="8">
        <f>+MINVU_Mes_Corriente!CZ178*SALUD_Mes_Constante!$CP$1</f>
        <v>1543275.952204176</v>
      </c>
      <c r="DA178" s="8">
        <f>+MINVU_Mes_Corriente!DA178*SALUD_Mes_Constante!$CP$1</f>
        <v>1997111.8252900229</v>
      </c>
      <c r="DB178" s="9">
        <f t="shared" si="83"/>
        <v>1997111.8252900229</v>
      </c>
      <c r="DC178" s="8">
        <f>+MINVU_Mes_Corriente!DC178*SALUD_Mes_Constante!$DC$1</f>
        <v>317619.41569797363</v>
      </c>
      <c r="DD178" s="8">
        <f>+MINVU_Mes_Corriente!DD178*SALUD_Mes_Constante!$DC$1</f>
        <v>317619.41569797363</v>
      </c>
      <c r="DE178" s="8">
        <f>+MINVU_Mes_Corriente!DE178*SALUD_Mes_Constante!$DC$1</f>
        <v>317619.41569797363</v>
      </c>
      <c r="DF178" s="8">
        <f>+MINVU_Mes_Corriente!DF178*SALUD_Mes_Constante!$DC$1</f>
        <v>317619.41569797363</v>
      </c>
      <c r="DG178" s="8">
        <f>+MINVU_Mes_Corriente!DG178*SALUD_Mes_Constante!$DC$1</f>
        <v>317619.41569797363</v>
      </c>
      <c r="DH178" s="8">
        <f>+MINVU_Mes_Corriente!DH178*SALUD_Mes_Constante!$DC$1</f>
        <v>317619.41569797363</v>
      </c>
      <c r="DI178" s="8">
        <f>+MINVU_Mes_Corriente!DI178*SALUD_Mes_Constante!$DC$1</f>
        <v>1633218.3900833256</v>
      </c>
      <c r="DJ178" s="8">
        <f>+MINVU_Mes_Corriente!DJ178*SALUD_Mes_Constante!$DC$1</f>
        <v>1633218.3900833256</v>
      </c>
      <c r="DK178" s="8">
        <f>+MINVU_Mes_Corriente!DK178*SALUD_Mes_Constante!$DC$1</f>
        <v>3192127.3918321175</v>
      </c>
      <c r="DL178" s="8">
        <f>+MINVU_Mes_Corriente!DL178*SALUD_Mes_Constante!$DC$1</f>
        <v>3192127.3918321175</v>
      </c>
      <c r="DM178" s="8">
        <f>+MINVU_Mes_Corriente!DM178*SALUD_Mes_Constante!$DC$1</f>
        <v>3192127.3918321175</v>
      </c>
      <c r="DN178" s="8">
        <f>+MINVU_Mes_Corriente!DN178*SALUD_Mes_Constante!$DC$1</f>
        <v>3192127.3918321175</v>
      </c>
      <c r="DO178" s="9">
        <f t="shared" si="84"/>
        <v>3192127.3918321175</v>
      </c>
      <c r="DP178" s="8">
        <f>+MINVU_Mes_Corriente!DP178*SALUD_Mes_Constante!$DP$1</f>
        <v>324831.14786223281</v>
      </c>
      <c r="DQ178" s="8">
        <f>+MINVU_Mes_Corriente!DQ178*SALUD_Mes_Constante!$DP$1</f>
        <v>2596887.6573634208</v>
      </c>
      <c r="DR178" s="8">
        <f>+MINVU_Mes_Corriente!DR178*SALUD_Mes_Constante!$DP$1</f>
        <v>3003397.7921615206</v>
      </c>
      <c r="DS178" s="8">
        <f>+MINVU_Mes_Corriente!DS178*SALUD_Mes_Constante!$DP$1</f>
        <v>3006101.1769596203</v>
      </c>
      <c r="DT178" s="8">
        <f>+MINVU_Mes_Corriente!DT178*SALUD_Mes_Constante!$DP$1</f>
        <v>3006101.1769596203</v>
      </c>
      <c r="DU178" s="8">
        <f>+MINVU_Mes_Corriente!DU178*SALUD_Mes_Constante!$DP$1</f>
        <v>3072676.8937054635</v>
      </c>
      <c r="DV178" s="8">
        <f>+MINVU_Mes_Corriente!DV178*SALUD_Mes_Constante!$DP$1</f>
        <v>3075920.9554631831</v>
      </c>
      <c r="DW178" s="8">
        <f>+MINVU_Mes_Corriente!DW178*SALUD_Mes_Constante!$DP$1</f>
        <v>3075920.9554631831</v>
      </c>
      <c r="DX178" s="8">
        <f>+MINVU_Mes_Corriente!DX178*SALUD_Mes_Constante!$DP$1</f>
        <v>3078813.5771971499</v>
      </c>
      <c r="DY178" s="8">
        <f>+MINVU_Mes_Corriente!DY178*SALUD_Mes_Constante!$DP$1</f>
        <v>3078813.5771971499</v>
      </c>
      <c r="DZ178" s="8">
        <f>+MINVU_Mes_Corriente!DZ178*SALUD_Mes_Constante!$DP$1</f>
        <v>3078813.5771971499</v>
      </c>
      <c r="EA178" s="8">
        <f>+MINVU_Mes_Corriente!EA178*SALUD_Mes_Constante!$DP$1</f>
        <v>3078813.5771971499</v>
      </c>
      <c r="EB178" s="9">
        <f t="shared" si="85"/>
        <v>3078813.5771971499</v>
      </c>
      <c r="EC178" s="8">
        <f>+MINVU_Mes_Corriente!EC178*SALUD_Mes_Constante!$EC$1</f>
        <v>284629.43779587193</v>
      </c>
      <c r="ED178" s="8">
        <f>+MINVU_Mes_Corriente!ED178*SALUD_Mes_Constante!$EC$1</f>
        <v>284629.43779587193</v>
      </c>
      <c r="EE178" s="8">
        <f>+MINVU_Mes_Corriente!EE178*SALUD_Mes_Constante!$EC$1</f>
        <v>415077.31244082545</v>
      </c>
      <c r="EF178" s="8">
        <f>+MINVU_Mes_Corriente!EF178*SALUD_Mes_Constante!$EC$1</f>
        <v>425657.80174209416</v>
      </c>
      <c r="EG178" s="8">
        <f>+MINVU_Mes_Corriente!EG178*SALUD_Mes_Constante!$EC$1</f>
        <v>425657.80174209416</v>
      </c>
      <c r="EH178" s="8">
        <f>+MINVU_Mes_Corriente!EH178*SALUD_Mes_Constante!$EC$1</f>
        <v>425657.80174209416</v>
      </c>
      <c r="EI178" s="8">
        <f>+MINVU_Mes_Corriente!EI178*SALUD_Mes_Constante!$EC$1</f>
        <v>425657.80174209416</v>
      </c>
      <c r="EJ178" s="8">
        <f>+MINVU_Mes_Corriente!EJ178*SALUD_Mes_Constante!$EC$1</f>
        <v>476731.31736413541</v>
      </c>
      <c r="EK178" s="8">
        <f>+MINVU_Mes_Corriente!EK178*SALUD_Mes_Constante!$EC$1</f>
        <v>550467.85211134236</v>
      </c>
      <c r="EL178" s="8">
        <f>+MINVU_Mes_Corriente!EL178*SALUD_Mes_Constante!$EC$1</f>
        <v>625073.33592122688</v>
      </c>
      <c r="EM178" s="8">
        <f>+MINVU_Mes_Corriente!EM178*SALUD_Mes_Constante!$EC$1</f>
        <v>625073.33592122688</v>
      </c>
      <c r="EN178" s="8">
        <f>+MINVU_Mes_Corriente!EN178*SALUD_Mes_Constante!$EC$1</f>
        <v>601775.15640977072</v>
      </c>
      <c r="EO178" s="9">
        <f t="shared" si="86"/>
        <v>601775.15640977072</v>
      </c>
      <c r="EP178" s="8">
        <f>+MINVU_Mes_Corriente!EP178*SALUD_Mes_Constante!$EP$1</f>
        <v>286704</v>
      </c>
      <c r="EQ178" s="8">
        <f>+MINVU_Mes_Corriente!EQ178*SALUD_Mes_Constante!$EP$1</f>
        <v>286704</v>
      </c>
      <c r="ER178" s="8">
        <f>+MINVU_Mes_Corriente!ER178*SALUD_Mes_Constante!$EP$1</f>
        <v>286704</v>
      </c>
      <c r="ES178" s="8">
        <f>+MINVU_Mes_Corriente!ES178*SALUD_Mes_Constante!$EP$1</f>
        <v>945429</v>
      </c>
      <c r="ET178" s="8">
        <f>+MINVU_Mes_Corriente!ET178*SALUD_Mes_Constante!$EP$1</f>
        <v>947929</v>
      </c>
      <c r="EU178" s="8">
        <f>+MINVU_Mes_Corriente!EU178*SALUD_Mes_Constante!$EP$1</f>
        <v>947929</v>
      </c>
      <c r="EV178" s="8">
        <f>+MINVU_Mes_Corriente!EV178*SALUD_Mes_Constante!$EP$1</f>
        <v>947929</v>
      </c>
      <c r="EW178" s="8">
        <f>+MINVU_Mes_Corriente!EW178*SALUD_Mes_Constante!$EP$1</f>
        <v>947929</v>
      </c>
      <c r="EX178" s="8">
        <f>+MINVU_Mes_Corriente!EX178*SALUD_Mes_Constante!$EP$1</f>
        <v>947929</v>
      </c>
      <c r="EY178" s="8">
        <f>+MINVU_Mes_Corriente!EY178*SALUD_Mes_Constante!$EP$1</f>
        <v>947929</v>
      </c>
      <c r="EZ178" s="8">
        <f>+MINVU_Mes_Corriente!EZ178*SALUD_Mes_Constante!$EP$1</f>
        <v>947929</v>
      </c>
      <c r="FA178" s="8">
        <f>+MINVU_Mes_Corriente!FA178*SALUD_Mes_Constante!$EP$1</f>
        <v>758492</v>
      </c>
      <c r="FB178" s="9">
        <f t="shared" si="87"/>
        <v>758492</v>
      </c>
      <c r="FC178" s="8">
        <f>+MINVU_Mes_Corriente!FC178*SALUD_Mes_Constante!$FC$1</f>
        <v>295592</v>
      </c>
      <c r="FD178" s="8">
        <f>+MINVU_Mes_Corriente!FD178*SALUD_Mes_Constante!$FC$1</f>
        <v>439713</v>
      </c>
      <c r="FE178" s="8">
        <f>+MINVU_Mes_Corriente!FE178*SALUD_Mes_Constante!$FC$1</f>
        <v>446590</v>
      </c>
      <c r="FF178" s="8">
        <f>+MINVU_Mes_Corriente!FF178*SALUD_Mes_Constante!$FC$1</f>
        <v>446590</v>
      </c>
      <c r="FG178" s="8">
        <f>+MINVU_Mes_Corriente!FG178*SALUD_Mes_Constante!$FC$1</f>
        <v>446590</v>
      </c>
      <c r="FH178" s="8">
        <f>+MINVU_Mes_Corriente!FH178*SALUD_Mes_Constante!$FC$1</f>
        <v>446590</v>
      </c>
      <c r="FI178" s="8">
        <f>+MINVU_Mes_Corriente!FI178*SALUD_Mes_Constante!$FC$1</f>
        <v>1048401</v>
      </c>
      <c r="FJ178" s="8"/>
      <c r="FK178" s="8"/>
      <c r="FL178" s="8"/>
      <c r="FM178" s="8"/>
      <c r="FN178" s="8"/>
      <c r="FO178" s="9">
        <f t="shared" si="88"/>
        <v>1048401</v>
      </c>
    </row>
    <row r="179" spans="2:171" ht="14.25" customHeight="1" x14ac:dyDescent="0.3">
      <c r="B179" s="7" t="s">
        <v>67</v>
      </c>
      <c r="C179" s="8">
        <f>+MINVU_Mes_Corriente!C179*SALUD_Mes_Constante!$C$1</f>
        <v>286187.31217558956</v>
      </c>
      <c r="D179" s="8">
        <f>+MINVU_Mes_Corriente!D179*SALUD_Mes_Constante!$C$1</f>
        <v>286187.31217558956</v>
      </c>
      <c r="E179" s="8">
        <f>+MINVU_Mes_Corriente!E179*SALUD_Mes_Constante!$C$1</f>
        <v>286187.31217558956</v>
      </c>
      <c r="F179" s="8">
        <f>+MINVU_Mes_Corriente!F179*SALUD_Mes_Constante!$C$1</f>
        <v>286187.31217558956</v>
      </c>
      <c r="G179" s="8">
        <f>+MINVU_Mes_Corriente!G179*SALUD_Mes_Constante!$C$1</f>
        <v>311853.60907607892</v>
      </c>
      <c r="H179" s="8">
        <f>+MINVU_Mes_Corriente!H179*SALUD_Mes_Constante!$C$1</f>
        <v>311853.60907607892</v>
      </c>
      <c r="I179" s="8">
        <f>+MINVU_Mes_Corriente!I179*SALUD_Mes_Constante!$C$1</f>
        <v>311853.60907607892</v>
      </c>
      <c r="J179" s="8">
        <f>+MINVU_Mes_Corriente!J179*SALUD_Mes_Constante!$C$1</f>
        <v>311853.60907607892</v>
      </c>
      <c r="K179" s="8">
        <f>+MINVU_Mes_Corriente!K179*SALUD_Mes_Constante!$C$1</f>
        <v>401214.12724306696</v>
      </c>
      <c r="L179" s="8">
        <f>+MINVU_Mes_Corriente!L179*SALUD_Mes_Constante!$C$1</f>
        <v>401214.12724306696</v>
      </c>
      <c r="M179" s="8">
        <f>+MINVU_Mes_Corriente!M179*SALUD_Mes_Constante!$C$1</f>
        <v>884518.27554500976</v>
      </c>
      <c r="N179" s="8">
        <f>+MINVU_Mes_Corriente!N179*SALUD_Mes_Constante!$C$1</f>
        <v>960698.89099807222</v>
      </c>
      <c r="O179" s="9">
        <f t="shared" si="76"/>
        <v>960698.89099807222</v>
      </c>
      <c r="P179" s="8">
        <f>+MINVU_Mes_Corriente!P179*SALUD_Mes_Constante!$P$1</f>
        <v>282377.88322204846</v>
      </c>
      <c r="Q179" s="8">
        <f>+MINVU_Mes_Corriente!Q179*SALUD_Mes_Constante!$P$1</f>
        <v>282377.88322204846</v>
      </c>
      <c r="R179" s="8">
        <f>+MINVU_Mes_Corriente!R179*SALUD_Mes_Constante!$P$1</f>
        <v>333538.69583747681</v>
      </c>
      <c r="S179" s="8">
        <f>+MINVU_Mes_Corriente!S179*SALUD_Mes_Constante!$P$1</f>
        <v>333538.69583747681</v>
      </c>
      <c r="T179" s="8">
        <f>+MINVU_Mes_Corriente!T179*SALUD_Mes_Constante!$P$1</f>
        <v>415928.4037505326</v>
      </c>
      <c r="U179" s="8">
        <f>+MINVU_Mes_Corriente!U179*SALUD_Mes_Constante!$P$1</f>
        <v>415928.4037505326</v>
      </c>
      <c r="V179" s="8">
        <f>+MINVU_Mes_Corriente!V179*SALUD_Mes_Constante!$P$1</f>
        <v>415928.4037505326</v>
      </c>
      <c r="W179" s="8">
        <f>+MINVU_Mes_Corriente!W179*SALUD_Mes_Constante!$P$1</f>
        <v>530953.3084244919</v>
      </c>
      <c r="X179" s="8">
        <f>+MINVU_Mes_Corriente!X179*SALUD_Mes_Constante!$P$1</f>
        <v>530953.3084244919</v>
      </c>
      <c r="Y179" s="8">
        <f>+MINVU_Mes_Corriente!Y179*SALUD_Mes_Constante!$P$1</f>
        <v>850708.38727091881</v>
      </c>
      <c r="Z179" s="8">
        <f>+MINVU_Mes_Corriente!Z179*SALUD_Mes_Constante!$P$1</f>
        <v>2034750.5787753935</v>
      </c>
      <c r="AA179" s="8">
        <f>+MINVU_Mes_Corriente!AA179*SALUD_Mes_Constante!$P$1</f>
        <v>1950229.687739735</v>
      </c>
      <c r="AB179" s="9">
        <f t="shared" si="77"/>
        <v>1950229.687739735</v>
      </c>
      <c r="AC179" s="8">
        <f>+MINVU_Mes_Corriente!AC179*SALUD_Mes_Constante!$AC$1</f>
        <v>285404.53147046617</v>
      </c>
      <c r="AD179" s="8">
        <f>+MINVU_Mes_Corriente!AD179*SALUD_Mes_Constante!$AC$1</f>
        <v>817421.68460367958</v>
      </c>
      <c r="AE179" s="8">
        <f>+MINVU_Mes_Corriente!AE179*SALUD_Mes_Constante!$AC$1</f>
        <v>869131.6359109144</v>
      </c>
      <c r="AF179" s="8">
        <f>+MINVU_Mes_Corriente!AF179*SALUD_Mes_Constante!$AC$1</f>
        <v>869131.6359109144</v>
      </c>
      <c r="AG179" s="8">
        <f>+MINVU_Mes_Corriente!AG179*SALUD_Mes_Constante!$AC$1</f>
        <v>869131.6359109144</v>
      </c>
      <c r="AH179" s="8">
        <f>+MINVU_Mes_Corriente!AH179*SALUD_Mes_Constante!$AC$1</f>
        <v>874622.59703970118</v>
      </c>
      <c r="AI179" s="8">
        <f>+MINVU_Mes_Corriente!AI179*SALUD_Mes_Constante!$AC$1</f>
        <v>874622.59703970118</v>
      </c>
      <c r="AJ179" s="8">
        <f>+MINVU_Mes_Corriente!AJ179*SALUD_Mes_Constante!$AC$1</f>
        <v>874622.59703970118</v>
      </c>
      <c r="AK179" s="8">
        <f>+MINVU_Mes_Corriente!AK179*SALUD_Mes_Constante!$AC$1</f>
        <v>874622.59703970118</v>
      </c>
      <c r="AL179" s="8">
        <f>+MINVU_Mes_Corriente!AL179*SALUD_Mes_Constante!$AC$1</f>
        <v>874622.59703970118</v>
      </c>
      <c r="AM179" s="8">
        <f>+MINVU_Mes_Corriente!AM179*SALUD_Mes_Constante!$AC$1</f>
        <v>894154.57905657764</v>
      </c>
      <c r="AN179" s="8">
        <f>+MINVU_Mes_Corriente!AN179*SALUD_Mes_Constante!$AC$1</f>
        <v>949922.67256882007</v>
      </c>
      <c r="AO179" s="9">
        <f t="shared" si="78"/>
        <v>949922.67256882007</v>
      </c>
      <c r="AP179" s="8">
        <f>+MINVU_Mes_Corriente!AP179*SALUD_Mes_Constante!$AP$1</f>
        <v>287445.57662653859</v>
      </c>
      <c r="AQ179" s="8">
        <f>+MINVU_Mes_Corriente!AQ179*SALUD_Mes_Constante!$AP$1</f>
        <v>287445.57662653859</v>
      </c>
      <c r="AR179" s="8">
        <f>+MINVU_Mes_Corriente!AR179*SALUD_Mes_Constante!$AP$1</f>
        <v>287445.57662653859</v>
      </c>
      <c r="AS179" s="8">
        <f>+MINVU_Mes_Corriente!AS179*SALUD_Mes_Constante!$AP$1</f>
        <v>287445.57662653859</v>
      </c>
      <c r="AT179" s="8">
        <f>+MINVU_Mes_Corriente!AT179*SALUD_Mes_Constante!$AP$1</f>
        <v>287445.57662653859</v>
      </c>
      <c r="AU179" s="8">
        <f>+MINVU_Mes_Corriente!AU179*SALUD_Mes_Constante!$AP$1</f>
        <v>400508.17340727715</v>
      </c>
      <c r="AV179" s="8">
        <f>+MINVU_Mes_Corriente!AV179*SALUD_Mes_Constante!$AP$1</f>
        <v>412527.80792641686</v>
      </c>
      <c r="AW179" s="8">
        <f>+MINVU_Mes_Corriente!AW179*SALUD_Mes_Constante!$AP$1</f>
        <v>412527.80792641686</v>
      </c>
      <c r="AX179" s="8">
        <f>+MINVU_Mes_Corriente!AX179*SALUD_Mes_Constante!$AP$1</f>
        <v>471643.18733937503</v>
      </c>
      <c r="AY179" s="8">
        <f>+MINVU_Mes_Corriente!AY179*SALUD_Mes_Constante!$AP$1</f>
        <v>502477.76924117404</v>
      </c>
      <c r="AZ179" s="8">
        <f>+MINVU_Mes_Corriente!AZ179*SALUD_Mes_Constante!$AP$1</f>
        <v>516961.03719734884</v>
      </c>
      <c r="BA179" s="8">
        <f>+MINVU_Mes_Corriente!BA179*SALUD_Mes_Constante!$AP$1</f>
        <v>516961.03719734884</v>
      </c>
      <c r="BB179" s="9">
        <f t="shared" si="79"/>
        <v>516961.03719734884</v>
      </c>
      <c r="BC179" s="8">
        <f>+MINVU_Mes_Corriente!BC179*SALUD_Mes_Constante!$BC$1</f>
        <v>287529.7283397073</v>
      </c>
      <c r="BD179" s="8">
        <f>+MINVU_Mes_Corriente!BD179*SALUD_Mes_Constante!$BC$1</f>
        <v>287529.7283397073</v>
      </c>
      <c r="BE179" s="8">
        <f>+MINVU_Mes_Corriente!BE179*SALUD_Mes_Constante!$BC$1</f>
        <v>287529.7283397073</v>
      </c>
      <c r="BF179" s="8">
        <f>+MINVU_Mes_Corriente!BF179*SALUD_Mes_Constante!$BC$1</f>
        <v>287529.7283397073</v>
      </c>
      <c r="BG179" s="8">
        <f>+MINVU_Mes_Corriente!BG179*SALUD_Mes_Constante!$BC$1</f>
        <v>287529.7283397073</v>
      </c>
      <c r="BH179" s="8">
        <f>+MINVU_Mes_Corriente!BH179*SALUD_Mes_Constante!$BC$1</f>
        <v>287529.7283397073</v>
      </c>
      <c r="BI179" s="8">
        <f>+MINVU_Mes_Corriente!BI179*SALUD_Mes_Constante!$BC$1</f>
        <v>258216.983515759</v>
      </c>
      <c r="BJ179" s="8">
        <f>+MINVU_Mes_Corriente!BJ179*SALUD_Mes_Constante!$BC$1</f>
        <v>854730.76434128999</v>
      </c>
      <c r="BK179" s="8">
        <f>+MINVU_Mes_Corriente!BK179*SALUD_Mes_Constante!$BC$1</f>
        <v>3535437.7599894512</v>
      </c>
      <c r="BL179" s="8">
        <f>+MINVU_Mes_Corriente!BL179*SALUD_Mes_Constante!$BC$1</f>
        <v>3535437.7599894512</v>
      </c>
      <c r="BM179" s="8">
        <f>+MINVU_Mes_Corriente!BM179*SALUD_Mes_Constante!$BC$1</f>
        <v>3538047.1475669271</v>
      </c>
      <c r="BN179" s="8">
        <f>+MINVU_Mes_Corriente!BN179*SALUD_Mes_Constante!$BC$1</f>
        <v>3538047.1475669271</v>
      </c>
      <c r="BO179" s="9">
        <f t="shared" si="80"/>
        <v>3538047.1475669271</v>
      </c>
      <c r="BP179" s="8">
        <f>+MINVU_Mes_Corriente!BP179*SALUD_Mes_Constante!$BP$1</f>
        <v>0</v>
      </c>
      <c r="BQ179" s="8">
        <f>+MINVU_Mes_Corriente!BQ179*SALUD_Mes_Constante!$BP$1</f>
        <v>0</v>
      </c>
      <c r="BR179" s="8">
        <f>+MINVU_Mes_Corriente!BR179*SALUD_Mes_Constante!$BP$1</f>
        <v>0</v>
      </c>
      <c r="BS179" s="8">
        <f>+MINVU_Mes_Corriente!BS179*SALUD_Mes_Constante!$BP$1</f>
        <v>1308881.638924456</v>
      </c>
      <c r="BT179" s="8">
        <f>+MINVU_Mes_Corriente!BT179*SALUD_Mes_Constante!$BP$1</f>
        <v>1331393.9554417415</v>
      </c>
      <c r="BU179" s="8">
        <f>+MINVU_Mes_Corriente!BU179*SALUD_Mes_Constante!$BP$1</f>
        <v>1346986.9382842511</v>
      </c>
      <c r="BV179" s="8">
        <f>+MINVU_Mes_Corriente!BV179*SALUD_Mes_Constante!$BP$1</f>
        <v>1353275.3339308579</v>
      </c>
      <c r="BW179" s="8">
        <f>+MINVU_Mes_Corriente!BW179*SALUD_Mes_Constante!$BP$1</f>
        <v>1370762.5298335468</v>
      </c>
      <c r="BX179" s="8">
        <f>+MINVU_Mes_Corriente!BX179*SALUD_Mes_Constante!$BP$1</f>
        <v>3592084.0816901415</v>
      </c>
      <c r="BY179" s="8">
        <f>+MINVU_Mes_Corriente!BY179*SALUD_Mes_Constante!$BP$1</f>
        <v>3592084.0816901415</v>
      </c>
      <c r="BZ179" s="8">
        <f>+MINVU_Mes_Corriente!BZ179*SALUD_Mes_Constante!$BP$1</f>
        <v>3592084.0816901415</v>
      </c>
      <c r="CA179" s="8">
        <f>+MINVU_Mes_Corriente!CA179*SALUD_Mes_Constante!$BP$1</f>
        <v>3592084.0816901415</v>
      </c>
      <c r="CB179" s="9">
        <f t="shared" si="81"/>
        <v>3592084.0816901415</v>
      </c>
      <c r="CC179" s="8">
        <f>+MINVU_Mes_Corriente!CC179*SALUD_Mes_Constante!$CC$1</f>
        <v>61312.207385303998</v>
      </c>
      <c r="CD179" s="8">
        <f>+MINVU_Mes_Corriente!CD179*SALUD_Mes_Constante!$CC$1</f>
        <v>61312.207385303998</v>
      </c>
      <c r="CE179" s="8">
        <f>+MINVU_Mes_Corriente!CE179*SALUD_Mes_Constante!$CC$1</f>
        <v>61312.207385303998</v>
      </c>
      <c r="CF179" s="8">
        <f>+MINVU_Mes_Corriente!CF179*SALUD_Mes_Constante!$CC$1</f>
        <v>107807.81872435659</v>
      </c>
      <c r="CG179" s="8">
        <f>+MINVU_Mes_Corriente!CG179*SALUD_Mes_Constante!$CC$1</f>
        <v>2839690.9011562853</v>
      </c>
      <c r="CH179" s="8">
        <f>+MINVU_Mes_Corriente!CH179*SALUD_Mes_Constante!$CC$1</f>
        <v>2839690.9011562853</v>
      </c>
      <c r="CI179" s="8">
        <f>+MINVU_Mes_Corriente!CI179*SALUD_Mes_Constante!$CC$1</f>
        <v>2839690.9011562853</v>
      </c>
      <c r="CJ179" s="8">
        <f>+MINVU_Mes_Corriente!CJ179*SALUD_Mes_Constante!$CC$1</f>
        <v>2920195.2666915334</v>
      </c>
      <c r="CK179" s="8">
        <f>+MINVU_Mes_Corriente!CK179*SALUD_Mes_Constante!$CC$1</f>
        <v>2937268.2454308094</v>
      </c>
      <c r="CL179" s="8">
        <f>+MINVU_Mes_Corriente!CL179*SALUD_Mes_Constante!$CC$1</f>
        <v>2937268.2454308094</v>
      </c>
      <c r="CM179" s="8">
        <f>+MINVU_Mes_Corriente!CM179*SALUD_Mes_Constante!$CC$1</f>
        <v>2937268.2454308094</v>
      </c>
      <c r="CN179" s="8">
        <f>+MINVU_Mes_Corriente!CN179*SALUD_Mes_Constante!$CC$1</f>
        <v>2937268.2454308094</v>
      </c>
      <c r="CO179" s="9">
        <f t="shared" si="82"/>
        <v>2937268.2454308094</v>
      </c>
      <c r="CP179" s="8">
        <f>+MINVU_Mes_Corriente!CP179*SALUD_Mes_Constante!$CP$1</f>
        <v>254866.06148491876</v>
      </c>
      <c r="CQ179" s="8">
        <f>+MINVU_Mes_Corriente!CQ179*SALUD_Mes_Constante!$CP$1</f>
        <v>254866.06148491876</v>
      </c>
      <c r="CR179" s="8">
        <f>+MINVU_Mes_Corriente!CR179*SALUD_Mes_Constante!$CP$1</f>
        <v>254866.06148491876</v>
      </c>
      <c r="CS179" s="8">
        <f>+MINVU_Mes_Corriente!CS179*SALUD_Mes_Constante!$CP$1</f>
        <v>254866.06148491876</v>
      </c>
      <c r="CT179" s="8">
        <f>+MINVU_Mes_Corriente!CT179*SALUD_Mes_Constante!$CP$1</f>
        <v>2210308.252204176</v>
      </c>
      <c r="CU179" s="8">
        <f>+MINVU_Mes_Corriente!CU179*SALUD_Mes_Constante!$CP$1</f>
        <v>2227805.0624129926</v>
      </c>
      <c r="CV179" s="8">
        <f>+MINVU_Mes_Corriente!CV179*SALUD_Mes_Constante!$CP$1</f>
        <v>2227805.0624129926</v>
      </c>
      <c r="CW179" s="8">
        <f>+MINVU_Mes_Corriente!CW179*SALUD_Mes_Constante!$CP$1</f>
        <v>2258098.7283062642</v>
      </c>
      <c r="CX179" s="8">
        <f>+MINVU_Mes_Corriente!CX179*SALUD_Mes_Constante!$CP$1</f>
        <v>2258098.7283062642</v>
      </c>
      <c r="CY179" s="8">
        <f>+MINVU_Mes_Corriente!CY179*SALUD_Mes_Constante!$CP$1</f>
        <v>2340592.5633410667</v>
      </c>
      <c r="CZ179" s="8">
        <f>+MINVU_Mes_Corriente!CZ179*SALUD_Mes_Constante!$CP$1</f>
        <v>2371190.4334106725</v>
      </c>
      <c r="DA179" s="8">
        <f>+MINVU_Mes_Corriente!DA179*SALUD_Mes_Constante!$CP$1</f>
        <v>2371190.4334106725</v>
      </c>
      <c r="DB179" s="9">
        <f t="shared" si="83"/>
        <v>2371190.4334106725</v>
      </c>
      <c r="DC179" s="8">
        <f>+MINVU_Mes_Corriente!DC179*SALUD_Mes_Constante!$DC$1</f>
        <v>311134.17549634824</v>
      </c>
      <c r="DD179" s="8">
        <f>+MINVU_Mes_Corriente!DD179*SALUD_Mes_Constante!$DC$1</f>
        <v>311134.17549634824</v>
      </c>
      <c r="DE179" s="8">
        <f>+MINVU_Mes_Corriente!DE179*SALUD_Mes_Constante!$DC$1</f>
        <v>311134.17549634824</v>
      </c>
      <c r="DF179" s="8">
        <f>+MINVU_Mes_Corriente!DF179*SALUD_Mes_Constante!$DC$1</f>
        <v>311134.17549634824</v>
      </c>
      <c r="DG179" s="8">
        <f>+MINVU_Mes_Corriente!DG179*SALUD_Mes_Constante!$DC$1</f>
        <v>3971819.6099166772</v>
      </c>
      <c r="DH179" s="8">
        <f>+MINVU_Mes_Corriente!DH179*SALUD_Mes_Constante!$DC$1</f>
        <v>4040977.8967184466</v>
      </c>
      <c r="DI179" s="8">
        <f>+MINVU_Mes_Corriente!DI179*SALUD_Mes_Constante!$DC$1</f>
        <v>6378760.8748071212</v>
      </c>
      <c r="DJ179" s="8">
        <f>+MINVU_Mes_Corriente!DJ179*SALUD_Mes_Constante!$DC$1</f>
        <v>7174272.8079415737</v>
      </c>
      <c r="DK179" s="8">
        <f>+MINVU_Mes_Corriente!DK179*SALUD_Mes_Constante!$DC$1</f>
        <v>7232601.7551692249</v>
      </c>
      <c r="DL179" s="8">
        <f>+MINVU_Mes_Corriente!DL179*SALUD_Mes_Constante!$DC$1</f>
        <v>7232601.7551692249</v>
      </c>
      <c r="DM179" s="8">
        <f>+MINVU_Mes_Corriente!DM179*SALUD_Mes_Constante!$DC$1</f>
        <v>7232601.7551692249</v>
      </c>
      <c r="DN179" s="8">
        <f>+MINVU_Mes_Corriente!DN179*SALUD_Mes_Constante!$DC$1</f>
        <v>3605042.7478654478</v>
      </c>
      <c r="DO179" s="9">
        <f t="shared" si="84"/>
        <v>3605042.7478654478</v>
      </c>
      <c r="DP179" s="8">
        <f>+MINVU_Mes_Corriente!DP179*SALUD_Mes_Constante!$DP$1</f>
        <v>318199.20427553449</v>
      </c>
      <c r="DQ179" s="8">
        <f>+MINVU_Mes_Corriente!DQ179*SALUD_Mes_Constante!$DP$1</f>
        <v>5001600.3402612833</v>
      </c>
      <c r="DR179" s="8">
        <f>+MINVU_Mes_Corriente!DR179*SALUD_Mes_Constante!$DP$1</f>
        <v>5015796.354513065</v>
      </c>
      <c r="DS179" s="8">
        <f>+MINVU_Mes_Corriente!DS179*SALUD_Mes_Constante!$DP$1</f>
        <v>5018499.7393111642</v>
      </c>
      <c r="DT179" s="8">
        <f>+MINVU_Mes_Corriente!DT179*SALUD_Mes_Constante!$DP$1</f>
        <v>5018499.7393111642</v>
      </c>
      <c r="DU179" s="8">
        <f>+MINVU_Mes_Corriente!DU179*SALUD_Mes_Constante!$DP$1</f>
        <v>5041879.6923990501</v>
      </c>
      <c r="DV179" s="8">
        <f>+MINVU_Mes_Corriente!DV179*SALUD_Mes_Constante!$DP$1</f>
        <v>5081119.8634204278</v>
      </c>
      <c r="DW179" s="8">
        <f>+MINVU_Mes_Corriente!DW179*SALUD_Mes_Constante!$DP$1</f>
        <v>5100884.8503562948</v>
      </c>
      <c r="DX179" s="8">
        <f>+MINVU_Mes_Corriente!DX179*SALUD_Mes_Constante!$DP$1</f>
        <v>5103777.472090262</v>
      </c>
      <c r="DY179" s="8">
        <f>+MINVU_Mes_Corriente!DY179*SALUD_Mes_Constante!$DP$1</f>
        <v>5103777.472090262</v>
      </c>
      <c r="DZ179" s="8">
        <f>+MINVU_Mes_Corriente!DZ179*SALUD_Mes_Constante!$DP$1</f>
        <v>5103777.472090262</v>
      </c>
      <c r="EA179" s="8">
        <f>+MINVU_Mes_Corriente!EA179*SALUD_Mes_Constante!$DP$1</f>
        <v>5188698.3580760099</v>
      </c>
      <c r="EB179" s="9">
        <f t="shared" si="85"/>
        <v>5188698.3580760099</v>
      </c>
      <c r="EC179" s="8">
        <f>+MINVU_Mes_Corriente!EC179*SALUD_Mes_Constante!$EC$1</f>
        <v>278817.82370763103</v>
      </c>
      <c r="ED179" s="8">
        <f>+MINVU_Mes_Corriente!ED179*SALUD_Mes_Constante!$EC$1</f>
        <v>278817.82370763103</v>
      </c>
      <c r="EE179" s="8">
        <f>+MINVU_Mes_Corriente!EE179*SALUD_Mes_Constante!$EC$1</f>
        <v>452523.84472637746</v>
      </c>
      <c r="EF179" s="8">
        <f>+MINVU_Mes_Corriente!EF179*SALUD_Mes_Constante!$EC$1</f>
        <v>452523.84472637746</v>
      </c>
      <c r="EG179" s="8">
        <f>+MINVU_Mes_Corriente!EG179*SALUD_Mes_Constante!$EC$1</f>
        <v>1031591.5000946787</v>
      </c>
      <c r="EH179" s="8">
        <f>+MINVU_Mes_Corriente!EH179*SALUD_Mes_Constante!$EC$1</f>
        <v>1031591.5000946787</v>
      </c>
      <c r="EI179" s="8">
        <f>+MINVU_Mes_Corriente!EI179*SALUD_Mes_Constante!$EC$1</f>
        <v>1031591.5000946787</v>
      </c>
      <c r="EJ179" s="8">
        <f>+MINVU_Mes_Corriente!EJ179*SALUD_Mes_Constante!$EC$1</f>
        <v>1031591.5000946787</v>
      </c>
      <c r="EK179" s="8">
        <f>+MINVU_Mes_Corriente!EK179*SALUD_Mes_Constante!$EC$1</f>
        <v>1031591.5000946787</v>
      </c>
      <c r="EL179" s="8">
        <f>+MINVU_Mes_Corriente!EL179*SALUD_Mes_Constante!$EC$1</f>
        <v>1065410.1700435521</v>
      </c>
      <c r="EM179" s="8">
        <f>+MINVU_Mes_Corriente!EM179*SALUD_Mes_Constante!$EC$1</f>
        <v>1065410.1700435521</v>
      </c>
      <c r="EN179" s="8">
        <f>+MINVU_Mes_Corriente!EN179*SALUD_Mes_Constante!$EC$1</f>
        <v>1047107.4131793218</v>
      </c>
      <c r="EO179" s="9">
        <f t="shared" si="86"/>
        <v>1047107.4131793218</v>
      </c>
      <c r="EP179" s="8">
        <f>+MINVU_Mes_Corriente!EP179*SALUD_Mes_Constante!$EP$1</f>
        <v>280849</v>
      </c>
      <c r="EQ179" s="8">
        <f>+MINVU_Mes_Corriente!EQ179*SALUD_Mes_Constante!$EP$1</f>
        <v>290834</v>
      </c>
      <c r="ER179" s="8">
        <f>+MINVU_Mes_Corriente!ER179*SALUD_Mes_Constante!$EP$1</f>
        <v>290834</v>
      </c>
      <c r="ES179" s="8">
        <f>+MINVU_Mes_Corriente!ES179*SALUD_Mes_Constante!$EP$1</f>
        <v>1505290</v>
      </c>
      <c r="ET179" s="8">
        <f>+MINVU_Mes_Corriente!ET179*SALUD_Mes_Constante!$EP$1</f>
        <v>1539797</v>
      </c>
      <c r="EU179" s="8">
        <f>+MINVU_Mes_Corriente!EU179*SALUD_Mes_Constante!$EP$1</f>
        <v>1539797</v>
      </c>
      <c r="EV179" s="8">
        <f>+MINVU_Mes_Corriente!EV179*SALUD_Mes_Constante!$EP$1</f>
        <v>1539797</v>
      </c>
      <c r="EW179" s="8">
        <f>+MINVU_Mes_Corriente!EW179*SALUD_Mes_Constante!$EP$1</f>
        <v>1539797</v>
      </c>
      <c r="EX179" s="8">
        <f>+MINVU_Mes_Corriente!EX179*SALUD_Mes_Constante!$EP$1</f>
        <v>1539797</v>
      </c>
      <c r="EY179" s="8">
        <f>+MINVU_Mes_Corriente!EY179*SALUD_Mes_Constante!$EP$1</f>
        <v>1539797</v>
      </c>
      <c r="EZ179" s="8">
        <f>+MINVU_Mes_Corriente!EZ179*SALUD_Mes_Constante!$EP$1</f>
        <v>1539797</v>
      </c>
      <c r="FA179" s="8">
        <f>+MINVU_Mes_Corriente!FA179*SALUD_Mes_Constante!$EP$1</f>
        <v>1096404</v>
      </c>
      <c r="FB179" s="9">
        <f t="shared" si="87"/>
        <v>1096404</v>
      </c>
      <c r="FC179" s="8">
        <f>+MINVU_Mes_Corriente!FC179*SALUD_Mes_Constante!$FC$1</f>
        <v>289555</v>
      </c>
      <c r="FD179" s="8">
        <f>+MINVU_Mes_Corriente!FD179*SALUD_Mes_Constante!$FC$1</f>
        <v>577797</v>
      </c>
      <c r="FE179" s="8">
        <f>+MINVU_Mes_Corriente!FE179*SALUD_Mes_Constante!$FC$1</f>
        <v>577797</v>
      </c>
      <c r="FF179" s="8">
        <f>+MINVU_Mes_Corriente!FF179*SALUD_Mes_Constante!$FC$1</f>
        <v>577797</v>
      </c>
      <c r="FG179" s="8">
        <f>+MINVU_Mes_Corriente!FG179*SALUD_Mes_Constante!$FC$1</f>
        <v>577797</v>
      </c>
      <c r="FH179" s="8">
        <f>+MINVU_Mes_Corriente!FH179*SALUD_Mes_Constante!$FC$1</f>
        <v>577797</v>
      </c>
      <c r="FI179" s="8">
        <f>+MINVU_Mes_Corriente!FI179*SALUD_Mes_Constante!$FC$1</f>
        <v>659761</v>
      </c>
      <c r="FJ179" s="8"/>
      <c r="FK179" s="8"/>
      <c r="FL179" s="8"/>
      <c r="FM179" s="8"/>
      <c r="FN179" s="8"/>
      <c r="FO179" s="9">
        <f t="shared" si="88"/>
        <v>659761</v>
      </c>
    </row>
    <row r="180" spans="2:171" ht="14.25" customHeight="1" x14ac:dyDescent="0.3">
      <c r="B180" s="32" t="s">
        <v>68</v>
      </c>
      <c r="C180" s="8">
        <f>+MINVU_Mes_Corriente!C180*SALUD_Mes_Constante!$C$1</f>
        <v>702300.53032774746</v>
      </c>
      <c r="D180" s="8">
        <f>+MINVU_Mes_Corriente!D180*SALUD_Mes_Constante!$C$1</f>
        <v>2100485.0167581197</v>
      </c>
      <c r="E180" s="8">
        <f>+MINVU_Mes_Corriente!E180*SALUD_Mes_Constante!$C$1</f>
        <v>2100485.0167581197</v>
      </c>
      <c r="F180" s="8">
        <f>+MINVU_Mes_Corriente!F180*SALUD_Mes_Constante!$C$1</f>
        <v>2100485.0167581197</v>
      </c>
      <c r="G180" s="8">
        <f>+MINVU_Mes_Corriente!G180*SALUD_Mes_Constante!$C$1</f>
        <v>2111859.8528844733</v>
      </c>
      <c r="H180" s="8">
        <f>+MINVU_Mes_Corriente!H180*SALUD_Mes_Constante!$C$1</f>
        <v>2256850.1251668399</v>
      </c>
      <c r="I180" s="8">
        <f>+MINVU_Mes_Corriente!I180*SALUD_Mes_Constante!$C$1</f>
        <v>2472605.8131395527</v>
      </c>
      <c r="J180" s="8">
        <f>+MINVU_Mes_Corriente!J180*SALUD_Mes_Constante!$C$1</f>
        <v>2472605.8131395527</v>
      </c>
      <c r="K180" s="8">
        <f>+MINVU_Mes_Corriente!K180*SALUD_Mes_Constante!$C$1</f>
        <v>6166718.3339759763</v>
      </c>
      <c r="L180" s="8">
        <f>+MINVU_Mes_Corriente!L180*SALUD_Mes_Constante!$C$1</f>
        <v>6172389.5485688876</v>
      </c>
      <c r="M180" s="8">
        <f>+MINVU_Mes_Corriente!M180*SALUD_Mes_Constante!$C$1</f>
        <v>13463815.058875874</v>
      </c>
      <c r="N180" s="8">
        <f>+MINVU_Mes_Corriente!N180*SALUD_Mes_Constante!$C$1</f>
        <v>19829077.754708588</v>
      </c>
      <c r="O180" s="9">
        <f t="shared" si="76"/>
        <v>19829077.754708588</v>
      </c>
      <c r="P180" s="8">
        <f>+MINVU_Mes_Corriente!P180*SALUD_Mes_Constante!$P$1</f>
        <v>692951.16550646373</v>
      </c>
      <c r="Q180" s="8">
        <f>+MINVU_Mes_Corriente!Q180*SALUD_Mes_Constante!$P$1</f>
        <v>692951.16550646373</v>
      </c>
      <c r="R180" s="8">
        <f>+MINVU_Mes_Corriente!R180*SALUD_Mes_Constante!$P$1</f>
        <v>692951.16550646373</v>
      </c>
      <c r="S180" s="8">
        <f>+MINVU_Mes_Corriente!S180*SALUD_Mes_Constante!$P$1</f>
        <v>780152.72169342206</v>
      </c>
      <c r="T180" s="8">
        <f>+MINVU_Mes_Corriente!T180*SALUD_Mes_Constante!$P$1</f>
        <v>780152.72169342206</v>
      </c>
      <c r="U180" s="8">
        <f>+MINVU_Mes_Corriente!U180*SALUD_Mes_Constante!$P$1</f>
        <v>1522512.2557181411</v>
      </c>
      <c r="V180" s="8">
        <f>+MINVU_Mes_Corriente!V180*SALUD_Mes_Constante!$P$1</f>
        <v>1522512.2557181411</v>
      </c>
      <c r="W180" s="8">
        <f>+MINVU_Mes_Corriente!W180*SALUD_Mes_Constante!$P$1</f>
        <v>2769033.9687455595</v>
      </c>
      <c r="X180" s="8">
        <f>+MINVU_Mes_Corriente!X180*SALUD_Mes_Constante!$P$1</f>
        <v>2769033.9687455595</v>
      </c>
      <c r="Y180" s="8">
        <f>+MINVU_Mes_Corriente!Y180*SALUD_Mes_Constante!$P$1</f>
        <v>3630603.1632334124</v>
      </c>
      <c r="Z180" s="8">
        <f>+MINVU_Mes_Corriente!Z180*SALUD_Mes_Constante!$P$1</f>
        <v>7795541.898565134</v>
      </c>
      <c r="AA180" s="8">
        <f>+MINVU_Mes_Corriente!AA180*SALUD_Mes_Constante!$P$1</f>
        <v>14186413.705640001</v>
      </c>
      <c r="AB180" s="9">
        <f t="shared" si="77"/>
        <v>14186413.705640001</v>
      </c>
      <c r="AC180" s="8">
        <f>+MINVU_Mes_Corriente!AC180*SALUD_Mes_Constante!$AC$1</f>
        <v>700377.91091437265</v>
      </c>
      <c r="AD180" s="8">
        <f>+MINVU_Mes_Corriente!AD180*SALUD_Mes_Constante!$AC$1</f>
        <v>700377.91091437265</v>
      </c>
      <c r="AE180" s="8">
        <f>+MINVU_Mes_Corriente!AE180*SALUD_Mes_Constante!$AC$1</f>
        <v>907214.69331857795</v>
      </c>
      <c r="AF180" s="8">
        <f>+MINVU_Mes_Corriente!AF180*SALUD_Mes_Constante!$AC$1</f>
        <v>1013013.5589984783</v>
      </c>
      <c r="AG180" s="8">
        <f>+MINVU_Mes_Corriente!AG180*SALUD_Mes_Constante!$AC$1</f>
        <v>1013013.5589984783</v>
      </c>
      <c r="AH180" s="8">
        <f>+MINVU_Mes_Corriente!AH180*SALUD_Mes_Constante!$AC$1</f>
        <v>1156656.6789320791</v>
      </c>
      <c r="AI180" s="8">
        <f>+MINVU_Mes_Corriente!AI180*SALUD_Mes_Constante!$AC$1</f>
        <v>1182736.0993221747</v>
      </c>
      <c r="AJ180" s="8">
        <f>+MINVU_Mes_Corriente!AJ180*SALUD_Mes_Constante!$AC$1</f>
        <v>1182736.0993221747</v>
      </c>
      <c r="AK180" s="8">
        <f>+MINVU_Mes_Corriente!AK180*SALUD_Mes_Constante!$AC$1</f>
        <v>1182736.0993221747</v>
      </c>
      <c r="AL180" s="8">
        <f>+MINVU_Mes_Corriente!AL180*SALUD_Mes_Constante!$AC$1</f>
        <v>1182736.0993221747</v>
      </c>
      <c r="AM180" s="8">
        <f>+MINVU_Mes_Corriente!AM180*SALUD_Mes_Constante!$AC$1</f>
        <v>2089373.4331166137</v>
      </c>
      <c r="AN180" s="8">
        <f>+MINVU_Mes_Corriente!AN180*SALUD_Mes_Constante!$AC$1</f>
        <v>2327296.9450823073</v>
      </c>
      <c r="AO180" s="9">
        <f t="shared" si="78"/>
        <v>2327296.9450823073</v>
      </c>
      <c r="AP180" s="8">
        <f>+MINVU_Mes_Corriente!AP180*SALUD_Mes_Constante!$AP$1</f>
        <v>705386.87542269705</v>
      </c>
      <c r="AQ180" s="8">
        <f>+MINVU_Mes_Corriente!AQ180*SALUD_Mes_Constante!$AP$1</f>
        <v>705386.87542269705</v>
      </c>
      <c r="AR180" s="8">
        <f>+MINVU_Mes_Corriente!AR180*SALUD_Mes_Constante!$AP$1</f>
        <v>705386.87542269705</v>
      </c>
      <c r="AS180" s="8">
        <f>+MINVU_Mes_Corriente!AS180*SALUD_Mes_Constante!$AP$1</f>
        <v>705386.87542269705</v>
      </c>
      <c r="AT180" s="8">
        <f>+MINVU_Mes_Corriente!AT180*SALUD_Mes_Constante!$AP$1</f>
        <v>705386.87542269705</v>
      </c>
      <c r="AU180" s="8">
        <f>+MINVU_Mes_Corriente!AU180*SALUD_Mes_Constante!$AP$1</f>
        <v>967049.279318274</v>
      </c>
      <c r="AV180" s="8">
        <f>+MINVU_Mes_Corriente!AV180*SALUD_Mes_Constante!$AP$1</f>
        <v>1214466.3546598132</v>
      </c>
      <c r="AW180" s="8">
        <f>+MINVU_Mes_Corriente!AW180*SALUD_Mes_Constante!$AP$1</f>
        <v>1683331.1191667793</v>
      </c>
      <c r="AX180" s="8">
        <f>+MINVU_Mes_Corriente!AX180*SALUD_Mes_Constante!$AP$1</f>
        <v>1801561.8779926957</v>
      </c>
      <c r="AY180" s="8">
        <f>+MINVU_Mes_Corriente!AY180*SALUD_Mes_Constante!$AP$1</f>
        <v>3771286.3200324629</v>
      </c>
      <c r="AZ180" s="8">
        <f>+MINVU_Mes_Corriente!AZ180*SALUD_Mes_Constante!$AP$1</f>
        <v>4064191.2019477882</v>
      </c>
      <c r="BA180" s="8">
        <f>+MINVU_Mes_Corriente!BA180*SALUD_Mes_Constante!$AP$1</f>
        <v>4064191.2019477882</v>
      </c>
      <c r="BB180" s="9">
        <f t="shared" si="79"/>
        <v>4064191.2019477882</v>
      </c>
      <c r="BC180" s="8">
        <f>+MINVU_Mes_Corriente!BC180*SALUD_Mes_Constante!$BC$1</f>
        <v>705593.67400764883</v>
      </c>
      <c r="BD180" s="8">
        <f>+MINVU_Mes_Corriente!BD180*SALUD_Mes_Constante!$BC$1</f>
        <v>705593.67400764883</v>
      </c>
      <c r="BE180" s="8">
        <f>+MINVU_Mes_Corriente!BE180*SALUD_Mes_Constante!$BC$1</f>
        <v>705593.67400764883</v>
      </c>
      <c r="BF180" s="8">
        <f>+MINVU_Mes_Corriente!BF180*SALUD_Mes_Constante!$BC$1</f>
        <v>2625964.6089938027</v>
      </c>
      <c r="BG180" s="8">
        <f>+MINVU_Mes_Corriente!BG180*SALUD_Mes_Constante!$BC$1</f>
        <v>2625964.6089938027</v>
      </c>
      <c r="BH180" s="8">
        <f>+MINVU_Mes_Corriente!BH180*SALUD_Mes_Constante!$BC$1</f>
        <v>2628841.9955162872</v>
      </c>
      <c r="BI180" s="8">
        <f>+MINVU_Mes_Corriente!BI180*SALUD_Mes_Constante!$BC$1</f>
        <v>2556907.3324541743</v>
      </c>
      <c r="BJ180" s="8">
        <f>+MINVU_Mes_Corriente!BJ180*SALUD_Mes_Constante!$BC$1</f>
        <v>4926555.4450745098</v>
      </c>
      <c r="BK180" s="8">
        <f>+MINVU_Mes_Corriente!BK180*SALUD_Mes_Constante!$BC$1</f>
        <v>9038970.4391401839</v>
      </c>
      <c r="BL180" s="8">
        <f>+MINVU_Mes_Corriente!BL180*SALUD_Mes_Constante!$BC$1</f>
        <v>10851349.326124229</v>
      </c>
      <c r="BM180" s="8">
        <f>+MINVU_Mes_Corriente!BM180*SALUD_Mes_Constante!$BC$1</f>
        <v>10851349.326124229</v>
      </c>
      <c r="BN180" s="8">
        <f>+MINVU_Mes_Corriente!BN180*SALUD_Mes_Constante!$BC$1</f>
        <v>11025947.757088227</v>
      </c>
      <c r="BO180" s="9">
        <f t="shared" si="80"/>
        <v>11025947.757088227</v>
      </c>
      <c r="BP180" s="8">
        <f>+MINVU_Mes_Corriente!BP180*SALUD_Mes_Constante!$BP$1</f>
        <v>0</v>
      </c>
      <c r="BQ180" s="8">
        <f>+MINVU_Mes_Corriente!BQ180*SALUD_Mes_Constante!$BP$1</f>
        <v>0</v>
      </c>
      <c r="BR180" s="8">
        <f>+MINVU_Mes_Corriente!BR180*SALUD_Mes_Constante!$BP$1</f>
        <v>1030035.0099871961</v>
      </c>
      <c r="BS180" s="8">
        <f>+MINVU_Mes_Corriente!BS180*SALUD_Mes_Constante!$BP$1</f>
        <v>5365492.7946222797</v>
      </c>
      <c r="BT180" s="8">
        <f>+MINVU_Mes_Corriente!BT180*SALUD_Mes_Constante!$BP$1</f>
        <v>5452797.2704225359</v>
      </c>
      <c r="BU180" s="8">
        <f>+MINVU_Mes_Corriente!BU180*SALUD_Mes_Constante!$BP$1</f>
        <v>5452797.2704225359</v>
      </c>
      <c r="BV180" s="8">
        <f>+MINVU_Mes_Corriente!BV180*SALUD_Mes_Constante!$BP$1</f>
        <v>5704875.8988476321</v>
      </c>
      <c r="BW180" s="8">
        <f>+MINVU_Mes_Corriente!BW180*SALUD_Mes_Constante!$BP$1</f>
        <v>5795809.3175416142</v>
      </c>
      <c r="BX180" s="8">
        <f>+MINVU_Mes_Corriente!BX180*SALUD_Mes_Constante!$BP$1</f>
        <v>14225959.77464789</v>
      </c>
      <c r="BY180" s="8">
        <f>+MINVU_Mes_Corriente!BY180*SALUD_Mes_Constante!$BP$1</f>
        <v>14225959.77464789</v>
      </c>
      <c r="BZ180" s="8">
        <f>+MINVU_Mes_Corriente!BZ180*SALUD_Mes_Constante!$BP$1</f>
        <v>14225959.77464789</v>
      </c>
      <c r="CA180" s="8">
        <f>+MINVU_Mes_Corriente!CA180*SALUD_Mes_Constante!$BP$1</f>
        <v>17979965.497567225</v>
      </c>
      <c r="CB180" s="9">
        <f t="shared" si="81"/>
        <v>17979965.497567225</v>
      </c>
      <c r="CC180" s="8">
        <f>+MINVU_Mes_Corriente!CC180*SALUD_Mes_Constante!$CC$1</f>
        <v>191969.12719134652</v>
      </c>
      <c r="CD180" s="8">
        <f>+MINVU_Mes_Corriente!CD180*SALUD_Mes_Constante!$CC$1</f>
        <v>191969.12719134652</v>
      </c>
      <c r="CE180" s="8">
        <f>+MINVU_Mes_Corriente!CE180*SALUD_Mes_Constante!$CC$1</f>
        <v>191969.12719134652</v>
      </c>
      <c r="CF180" s="8">
        <f>+MINVU_Mes_Corriente!CF180*SALUD_Mes_Constante!$CC$1</f>
        <v>390888.07609101088</v>
      </c>
      <c r="CG180" s="8">
        <f>+MINVU_Mes_Corriente!CG180*SALUD_Mes_Constante!$CC$1</f>
        <v>390888.07609101088</v>
      </c>
      <c r="CH180" s="8">
        <f>+MINVU_Mes_Corriente!CH180*SALUD_Mes_Constante!$CC$1</f>
        <v>893672.90041029477</v>
      </c>
      <c r="CI180" s="8">
        <f>+MINVU_Mes_Corriente!CI180*SALUD_Mes_Constante!$CC$1</f>
        <v>893672.90041029477</v>
      </c>
      <c r="CJ180" s="8">
        <f>+MINVU_Mes_Corriente!CJ180*SALUD_Mes_Constante!$CC$1</f>
        <v>1749655.6516225291</v>
      </c>
      <c r="CK180" s="8">
        <f>+MINVU_Mes_Corriente!CK180*SALUD_Mes_Constante!$CC$1</f>
        <v>1753751.3733681464</v>
      </c>
      <c r="CL180" s="8">
        <f>+MINVU_Mes_Corriente!CL180*SALUD_Mes_Constante!$CC$1</f>
        <v>2148653.6643043645</v>
      </c>
      <c r="CM180" s="8">
        <f>+MINVU_Mes_Corriente!CM180*SALUD_Mes_Constante!$CC$1</f>
        <v>2148653.6643043645</v>
      </c>
      <c r="CN180" s="8">
        <f>+MINVU_Mes_Corriente!CN180*SALUD_Mes_Constante!$CC$1</f>
        <v>2148653.6643043645</v>
      </c>
      <c r="CO180" s="9">
        <f t="shared" si="82"/>
        <v>2148653.6643043645</v>
      </c>
      <c r="CP180" s="8">
        <f>+MINVU_Mes_Corriente!CP180*SALUD_Mes_Constante!$CP$1</f>
        <v>808548.08283062628</v>
      </c>
      <c r="CQ180" s="8">
        <f>+MINVU_Mes_Corriente!CQ180*SALUD_Mes_Constante!$CP$1</f>
        <v>808548.08283062628</v>
      </c>
      <c r="CR180" s="8">
        <f>+MINVU_Mes_Corriente!CR180*SALUD_Mes_Constante!$CP$1</f>
        <v>808548.08283062628</v>
      </c>
      <c r="CS180" s="8">
        <f>+MINVU_Mes_Corriente!CS180*SALUD_Mes_Constante!$CP$1</f>
        <v>808548.08283062628</v>
      </c>
      <c r="CT180" s="8">
        <f>+MINVU_Mes_Corriente!CT180*SALUD_Mes_Constante!$CP$1</f>
        <v>883569.9027842225</v>
      </c>
      <c r="CU180" s="8">
        <f>+MINVU_Mes_Corriente!CU180*SALUD_Mes_Constante!$CP$1</f>
        <v>1005797.8733178652</v>
      </c>
      <c r="CV180" s="8">
        <f>+MINVU_Mes_Corriente!CV180*SALUD_Mes_Constante!$CP$1</f>
        <v>1005797.8733178652</v>
      </c>
      <c r="CW180" s="8">
        <f>+MINVU_Mes_Corriente!CW180*SALUD_Mes_Constante!$CP$1</f>
        <v>1445687.2524361946</v>
      </c>
      <c r="CX180" s="8">
        <f>+MINVU_Mes_Corriente!CX180*SALUD_Mes_Constante!$CP$1</f>
        <v>2028745.2570765656</v>
      </c>
      <c r="CY180" s="8">
        <f>+MINVU_Mes_Corriente!CY180*SALUD_Mes_Constante!$CP$1</f>
        <v>2573708.0262180967</v>
      </c>
      <c r="CZ180" s="8">
        <f>+MINVU_Mes_Corriente!CZ180*SALUD_Mes_Constante!$CP$1</f>
        <v>2573708.0262180967</v>
      </c>
      <c r="DA180" s="8">
        <f>+MINVU_Mes_Corriente!DA180*SALUD_Mes_Constante!$CP$1</f>
        <v>2565225.7997679808</v>
      </c>
      <c r="DB180" s="9">
        <f t="shared" si="83"/>
        <v>2565225.7997679808</v>
      </c>
      <c r="DC180" s="8">
        <f>+MINVU_Mes_Corriente!DC180*SALUD_Mes_Constante!$DC$1</f>
        <v>965846.71083221934</v>
      </c>
      <c r="DD180" s="8">
        <f>+MINVU_Mes_Corriente!DD180*SALUD_Mes_Constante!$DC$1</f>
        <v>965846.71083221934</v>
      </c>
      <c r="DE180" s="8">
        <f>+MINVU_Mes_Corriente!DE180*SALUD_Mes_Constante!$DC$1</f>
        <v>965846.71083221934</v>
      </c>
      <c r="DF180" s="8">
        <f>+MINVU_Mes_Corriente!DF180*SALUD_Mes_Constante!$DC$1</f>
        <v>965846.71083221934</v>
      </c>
      <c r="DG180" s="8">
        <f>+MINVU_Mes_Corriente!DG180*SALUD_Mes_Constante!$DC$1</f>
        <v>965846.71083221934</v>
      </c>
      <c r="DH180" s="8">
        <f>+MINVU_Mes_Corriente!DH180*SALUD_Mes_Constante!$DC$1</f>
        <v>965846.71083221934</v>
      </c>
      <c r="DI180" s="8">
        <f>+MINVU_Mes_Corriente!DI180*SALUD_Mes_Constante!$DC$1</f>
        <v>1722156.097520832</v>
      </c>
      <c r="DJ180" s="8">
        <f>+MINVU_Mes_Corriente!DJ180*SALUD_Mes_Constante!$DC$1</f>
        <v>3160791.430511266</v>
      </c>
      <c r="DK180" s="8">
        <f>+MINVU_Mes_Corriente!DK180*SALUD_Mes_Constante!$DC$1</f>
        <v>4266738.4369920809</v>
      </c>
      <c r="DL180" s="8">
        <f>+MINVU_Mes_Corriente!DL180*SALUD_Mes_Constante!$DC$1</f>
        <v>4599273.9051537933</v>
      </c>
      <c r="DM180" s="8">
        <f>+MINVU_Mes_Corriente!DM180*SALUD_Mes_Constante!$DC$1</f>
        <v>4599273.9051537933</v>
      </c>
      <c r="DN180" s="8">
        <f>+MINVU_Mes_Corriente!DN180*SALUD_Mes_Constante!$DC$1</f>
        <v>4599273.9051537933</v>
      </c>
      <c r="DO180" s="9">
        <f t="shared" si="84"/>
        <v>4599273.9051537933</v>
      </c>
      <c r="DP180" s="8">
        <f>+MINVU_Mes_Corriente!DP180*SALUD_Mes_Constante!$DP$1</f>
        <v>987776.79513064143</v>
      </c>
      <c r="DQ180" s="8">
        <f>+MINVU_Mes_Corriente!DQ180*SALUD_Mes_Constante!$DP$1</f>
        <v>1917242.6615201903</v>
      </c>
      <c r="DR180" s="8">
        <f>+MINVU_Mes_Corriente!DR180*SALUD_Mes_Constante!$DP$1</f>
        <v>4404680.0005938243</v>
      </c>
      <c r="DS180" s="8">
        <f>+MINVU_Mes_Corriente!DS180*SALUD_Mes_Constante!$DP$1</f>
        <v>4407383.3853919245</v>
      </c>
      <c r="DT180" s="8">
        <f>+MINVU_Mes_Corriente!DT180*SALUD_Mes_Constante!$DP$1</f>
        <v>4407383.3853919245</v>
      </c>
      <c r="DU180" s="8">
        <f>+MINVU_Mes_Corriente!DU180*SALUD_Mes_Constante!$DP$1</f>
        <v>4495124.4423990501</v>
      </c>
      <c r="DV180" s="8">
        <f>+MINVU_Mes_Corriente!DV180*SALUD_Mes_Constante!$DP$1</f>
        <v>4509798.4150831355</v>
      </c>
      <c r="DW180" s="8">
        <f>+MINVU_Mes_Corriente!DW180*SALUD_Mes_Constante!$DP$1</f>
        <v>4565798.4904988129</v>
      </c>
      <c r="DX180" s="8">
        <f>+MINVU_Mes_Corriente!DX180*SALUD_Mes_Constante!$DP$1</f>
        <v>4730592.5023752972</v>
      </c>
      <c r="DY180" s="8">
        <f>+MINVU_Mes_Corriente!DY180*SALUD_Mes_Constante!$DP$1</f>
        <v>4730592.5023752972</v>
      </c>
      <c r="DZ180" s="8">
        <f>+MINVU_Mes_Corriente!DZ180*SALUD_Mes_Constante!$DP$1</f>
        <v>4618897.2933491692</v>
      </c>
      <c r="EA180" s="8">
        <f>+MINVU_Mes_Corriente!EA180*SALUD_Mes_Constante!$DP$1</f>
        <v>4618897.2933491692</v>
      </c>
      <c r="EB180" s="9">
        <f t="shared" si="85"/>
        <v>4618897.2933491692</v>
      </c>
      <c r="EC180" s="8">
        <f>+MINVU_Mes_Corriente!EC180*SALUD_Mes_Constante!$EC$1</f>
        <v>865526.02404847543</v>
      </c>
      <c r="ED180" s="8">
        <f>+MINVU_Mes_Corriente!ED180*SALUD_Mes_Constante!$EC$1</f>
        <v>865526.02404847543</v>
      </c>
      <c r="EE180" s="8">
        <f>+MINVU_Mes_Corriente!EE180*SALUD_Mes_Constante!$EC$1</f>
        <v>2424079.2696458995</v>
      </c>
      <c r="EF180" s="8">
        <f>+MINVU_Mes_Corriente!EF180*SALUD_Mes_Constante!$EC$1</f>
        <v>2534136.840749857</v>
      </c>
      <c r="EG180" s="8">
        <f>+MINVU_Mes_Corriente!EG180*SALUD_Mes_Constante!$EC$1</f>
        <v>2534136.840749857</v>
      </c>
      <c r="EH180" s="8">
        <f>+MINVU_Mes_Corriente!EH180*SALUD_Mes_Constante!$EC$1</f>
        <v>4200588.7328157537</v>
      </c>
      <c r="EI180" s="8">
        <f>+MINVU_Mes_Corriente!EI180*SALUD_Mes_Constante!$EC$1</f>
        <v>4200588.7328157537</v>
      </c>
      <c r="EJ180" s="8">
        <f>+MINVU_Mes_Corriente!EJ180*SALUD_Mes_Constante!$EC$1</f>
        <v>4200588.7328157537</v>
      </c>
      <c r="EK180" s="8">
        <f>+MINVU_Mes_Corriente!EK180*SALUD_Mes_Constante!$EC$1</f>
        <v>4200588.7328157537</v>
      </c>
      <c r="EL180" s="8">
        <f>+MINVU_Mes_Corriente!EL180*SALUD_Mes_Constante!$EC$1</f>
        <v>4411845.7669002069</v>
      </c>
      <c r="EM180" s="8">
        <f>+MINVU_Mes_Corriente!EM180*SALUD_Mes_Constante!$EC$1</f>
        <v>4411845.7669002069</v>
      </c>
      <c r="EN180" s="8">
        <f>+MINVU_Mes_Corriente!EN180*SALUD_Mes_Constante!$EC$1</f>
        <v>4235318.7648172677</v>
      </c>
      <c r="EO180" s="9">
        <f t="shared" si="86"/>
        <v>4235318.7648172677</v>
      </c>
      <c r="EP180" s="8">
        <f>+MINVU_Mes_Corriente!EP180*SALUD_Mes_Constante!$EP$1</f>
        <v>871833</v>
      </c>
      <c r="EQ180" s="8">
        <f>+MINVU_Mes_Corriente!EQ180*SALUD_Mes_Constante!$EP$1</f>
        <v>985274</v>
      </c>
      <c r="ER180" s="8">
        <f>+MINVU_Mes_Corriente!ER180*SALUD_Mes_Constante!$EP$1</f>
        <v>985274</v>
      </c>
      <c r="ES180" s="8">
        <f>+MINVU_Mes_Corriente!ES180*SALUD_Mes_Constante!$EP$1</f>
        <v>2438407</v>
      </c>
      <c r="ET180" s="8">
        <f>+MINVU_Mes_Corriente!ET180*SALUD_Mes_Constante!$EP$1</f>
        <v>2451707</v>
      </c>
      <c r="EU180" s="8">
        <f>+MINVU_Mes_Corriente!EU180*SALUD_Mes_Constante!$EP$1</f>
        <v>2451707</v>
      </c>
      <c r="EV180" s="8">
        <f>+MINVU_Mes_Corriente!EV180*SALUD_Mes_Constante!$EP$1</f>
        <v>2565066</v>
      </c>
      <c r="EW180" s="8">
        <f>+MINVU_Mes_Corriente!EW180*SALUD_Mes_Constante!$EP$1</f>
        <v>2565066</v>
      </c>
      <c r="EX180" s="8">
        <f>+MINVU_Mes_Corriente!EX180*SALUD_Mes_Constante!$EP$1</f>
        <v>2565066</v>
      </c>
      <c r="EY180" s="8">
        <f>+MINVU_Mes_Corriente!EY180*SALUD_Mes_Constante!$EP$1</f>
        <v>2565066</v>
      </c>
      <c r="EZ180" s="8">
        <f>+MINVU_Mes_Corriente!EZ180*SALUD_Mes_Constante!$EP$1</f>
        <v>2565066</v>
      </c>
      <c r="FA180" s="8">
        <f>+MINVU_Mes_Corriente!FA180*SALUD_Mes_Constante!$EP$1</f>
        <v>2418740</v>
      </c>
      <c r="FB180" s="9">
        <f t="shared" si="87"/>
        <v>2418740</v>
      </c>
      <c r="FC180" s="8">
        <f>+MINVU_Mes_Corriente!FC180*SALUD_Mes_Constante!$FC$1</f>
        <v>898860</v>
      </c>
      <c r="FD180" s="8">
        <f>+MINVU_Mes_Corriente!FD180*SALUD_Mes_Constante!$FC$1</f>
        <v>898860</v>
      </c>
      <c r="FE180" s="8">
        <f>+MINVU_Mes_Corriente!FE180*SALUD_Mes_Constante!$FC$1</f>
        <v>898860</v>
      </c>
      <c r="FF180" s="8">
        <f>+MINVU_Mes_Corriente!FF180*SALUD_Mes_Constante!$FC$1</f>
        <v>898860</v>
      </c>
      <c r="FG180" s="8">
        <f>+MINVU_Mes_Corriente!FG180*SALUD_Mes_Constante!$FC$1</f>
        <v>898860</v>
      </c>
      <c r="FH180" s="8">
        <f>+MINVU_Mes_Corriente!FH180*SALUD_Mes_Constante!$FC$1</f>
        <v>898860</v>
      </c>
      <c r="FI180" s="8">
        <f>+MINVU_Mes_Corriente!FI180*SALUD_Mes_Constante!$FC$1</f>
        <v>2572427</v>
      </c>
      <c r="FJ180" s="8"/>
      <c r="FK180" s="8"/>
      <c r="FL180" s="8"/>
      <c r="FM180" s="8"/>
      <c r="FN180" s="8"/>
      <c r="FO180" s="9">
        <f t="shared" si="88"/>
        <v>2572427</v>
      </c>
    </row>
    <row r="181" spans="2:171" ht="14.25" customHeight="1" x14ac:dyDescent="0.3">
      <c r="B181" s="32" t="s">
        <v>69</v>
      </c>
      <c r="C181" s="8">
        <f>+MINVU_Mes_Corriente!C181*SALUD_Mes_Constante!$C$1</f>
        <v>735063.94720450847</v>
      </c>
      <c r="D181" s="8">
        <f>+MINVU_Mes_Corriente!D181*SALUD_Mes_Constante!$C$1</f>
        <v>735063.94720450847</v>
      </c>
      <c r="E181" s="8">
        <f>+MINVU_Mes_Corriente!E181*SALUD_Mes_Constante!$C$1</f>
        <v>735063.94720450847</v>
      </c>
      <c r="F181" s="8">
        <f>+MINVU_Mes_Corriente!F181*SALUD_Mes_Constante!$C$1</f>
        <v>735063.94720450847</v>
      </c>
      <c r="G181" s="8">
        <f>+MINVU_Mes_Corriente!G181*SALUD_Mes_Constante!$C$1</f>
        <v>758396.94438677153</v>
      </c>
      <c r="H181" s="8">
        <f>+MINVU_Mes_Corriente!H181*SALUD_Mes_Constante!$C$1</f>
        <v>829243.37742844445</v>
      </c>
      <c r="I181" s="8">
        <f>+MINVU_Mes_Corriente!I181*SALUD_Mes_Constante!$C$1</f>
        <v>829243.37742844445</v>
      </c>
      <c r="J181" s="8">
        <f>+MINVU_Mes_Corriente!J181*SALUD_Mes_Constante!$C$1</f>
        <v>829243.37742844445</v>
      </c>
      <c r="K181" s="8">
        <f>+MINVU_Mes_Corriente!K181*SALUD_Mes_Constante!$C$1</f>
        <v>857490.88714222168</v>
      </c>
      <c r="L181" s="8">
        <f>+MINVU_Mes_Corriente!L181*SALUD_Mes_Constante!$C$1</f>
        <v>857490.88714222168</v>
      </c>
      <c r="M181" s="8">
        <f>+MINVU_Mes_Corriente!M181*SALUD_Mes_Constante!$C$1</f>
        <v>1562612.4416431857</v>
      </c>
      <c r="N181" s="8">
        <f>+MINVU_Mes_Corriente!N181*SALUD_Mes_Constante!$C$1</f>
        <v>1595019.3821741068</v>
      </c>
      <c r="O181" s="9">
        <f t="shared" si="76"/>
        <v>1595019.3821741068</v>
      </c>
      <c r="P181" s="8">
        <f>+MINVU_Mes_Corriente!P181*SALUD_Mes_Constante!$P$1</f>
        <v>659407.92641000112</v>
      </c>
      <c r="Q181" s="8">
        <f>+MINVU_Mes_Corriente!Q181*SALUD_Mes_Constante!$P$1</f>
        <v>659407.92641000112</v>
      </c>
      <c r="R181" s="8">
        <f>+MINVU_Mes_Corriente!R181*SALUD_Mes_Constante!$P$1</f>
        <v>1859482.885921295</v>
      </c>
      <c r="S181" s="8">
        <f>+MINVU_Mes_Corriente!S181*SALUD_Mes_Constante!$P$1</f>
        <v>4211079.7036510855</v>
      </c>
      <c r="T181" s="8">
        <f>+MINVU_Mes_Corriente!T181*SALUD_Mes_Constante!$P$1</f>
        <v>4211079.7036510855</v>
      </c>
      <c r="U181" s="8">
        <f>+MINVU_Mes_Corriente!U181*SALUD_Mes_Constante!$P$1</f>
        <v>5132045.7323483434</v>
      </c>
      <c r="V181" s="8">
        <f>+MINVU_Mes_Corriente!V181*SALUD_Mes_Constante!$P$1</f>
        <v>5287266.6444097152</v>
      </c>
      <c r="W181" s="8">
        <f>+MINVU_Mes_Corriente!W181*SALUD_Mes_Constante!$P$1</f>
        <v>6002628.6051995996</v>
      </c>
      <c r="X181" s="8">
        <f>+MINVU_Mes_Corriente!X181*SALUD_Mes_Constante!$P$1</f>
        <v>6002628.6051995996</v>
      </c>
      <c r="Y181" s="8">
        <f>+MINVU_Mes_Corriente!Y181*SALUD_Mes_Constante!$P$1</f>
        <v>6400740.7526637278</v>
      </c>
      <c r="Z181" s="8">
        <f>+MINVU_Mes_Corriente!Z181*SALUD_Mes_Constante!$P$1</f>
        <v>8331867.4027560698</v>
      </c>
      <c r="AA181" s="8">
        <f>+MINVU_Mes_Corriente!AA181*SALUD_Mes_Constante!$P$1</f>
        <v>10419382.226168485</v>
      </c>
      <c r="AB181" s="9">
        <f t="shared" si="77"/>
        <v>10419382.226168485</v>
      </c>
      <c r="AC181" s="8">
        <f>+MINVU_Mes_Corriente!AC181*SALUD_Mes_Constante!$AC$1</f>
        <v>666475.42011343199</v>
      </c>
      <c r="AD181" s="8">
        <f>+MINVU_Mes_Corriente!AD181*SALUD_Mes_Constante!$AC$1</f>
        <v>1662496.1698713514</v>
      </c>
      <c r="AE181" s="8">
        <f>+MINVU_Mes_Corriente!AE181*SALUD_Mes_Constante!$AC$1</f>
        <v>1765914.5610734541</v>
      </c>
      <c r="AF181" s="8">
        <f>+MINVU_Mes_Corriente!AF181*SALUD_Mes_Constante!$AC$1</f>
        <v>1765914.5610734541</v>
      </c>
      <c r="AG181" s="8">
        <f>+MINVU_Mes_Corriente!AG181*SALUD_Mes_Constante!$AC$1</f>
        <v>1765914.5610734541</v>
      </c>
      <c r="AH181" s="8">
        <f>+MINVU_Mes_Corriente!AH181*SALUD_Mes_Constante!$AC$1</f>
        <v>1771405.522202241</v>
      </c>
      <c r="AI181" s="8">
        <f>+MINVU_Mes_Corriente!AI181*SALUD_Mes_Constante!$AC$1</f>
        <v>1771405.522202241</v>
      </c>
      <c r="AJ181" s="8">
        <f>+MINVU_Mes_Corriente!AJ181*SALUD_Mes_Constante!$AC$1</f>
        <v>1771405.522202241</v>
      </c>
      <c r="AK181" s="8">
        <f>+MINVU_Mes_Corriente!AK181*SALUD_Mes_Constante!$AC$1</f>
        <v>1771405.522202241</v>
      </c>
      <c r="AL181" s="8">
        <f>+MINVU_Mes_Corriente!AL181*SALUD_Mes_Constante!$AC$1</f>
        <v>1776415.8541983676</v>
      </c>
      <c r="AM181" s="8">
        <f>+MINVU_Mes_Corriente!AM181*SALUD_Mes_Constante!$AC$1</f>
        <v>2118567.8743947987</v>
      </c>
      <c r="AN181" s="8">
        <f>+MINVU_Mes_Corriente!AN181*SALUD_Mes_Constante!$AC$1</f>
        <v>2204747.0961405449</v>
      </c>
      <c r="AO181" s="9">
        <f t="shared" si="78"/>
        <v>2204747.0961405449</v>
      </c>
      <c r="AP181" s="8">
        <f>+MINVU_Mes_Corriente!AP181*SALUD_Mes_Constante!$AP$1</f>
        <v>671240.35438928707</v>
      </c>
      <c r="AQ181" s="8">
        <f>+MINVU_Mes_Corriente!AQ181*SALUD_Mes_Constante!$AP$1</f>
        <v>671240.35438928707</v>
      </c>
      <c r="AR181" s="8">
        <f>+MINVU_Mes_Corriente!AR181*SALUD_Mes_Constante!$AP$1</f>
        <v>671240.35438928707</v>
      </c>
      <c r="AS181" s="8">
        <f>+MINVU_Mes_Corriente!AS181*SALUD_Mes_Constante!$AP$1</f>
        <v>671240.35438928707</v>
      </c>
      <c r="AT181" s="8">
        <f>+MINVU_Mes_Corriente!AT181*SALUD_Mes_Constante!$AP$1</f>
        <v>671240.35438928707</v>
      </c>
      <c r="AU181" s="8">
        <f>+MINVU_Mes_Corriente!AU181*SALUD_Mes_Constante!$AP$1</f>
        <v>676856.31543351815</v>
      </c>
      <c r="AV181" s="8">
        <f>+MINVU_Mes_Corriente!AV181*SALUD_Mes_Constante!$AP$1</f>
        <v>676856.31543351815</v>
      </c>
      <c r="AW181" s="8">
        <f>+MINVU_Mes_Corriente!AW181*SALUD_Mes_Constante!$AP$1</f>
        <v>1001990.9022047883</v>
      </c>
      <c r="AX181" s="8">
        <f>+MINVU_Mes_Corriente!AX181*SALUD_Mes_Constante!$AP$1</f>
        <v>1361116.8321385093</v>
      </c>
      <c r="AY181" s="8">
        <f>+MINVU_Mes_Corriente!AY181*SALUD_Mes_Constante!$AP$1</f>
        <v>1369984.139050453</v>
      </c>
      <c r="AZ181" s="8">
        <f>+MINVU_Mes_Corriente!AZ181*SALUD_Mes_Constante!$AP$1</f>
        <v>1399541.8287569322</v>
      </c>
      <c r="BA181" s="8">
        <f>+MINVU_Mes_Corriente!BA181*SALUD_Mes_Constante!$AP$1</f>
        <v>1399541.8287569322</v>
      </c>
      <c r="BB181" s="9">
        <f t="shared" si="79"/>
        <v>1399541.8287569322</v>
      </c>
      <c r="BC181" s="8">
        <f>+MINVU_Mes_Corriente!BC181*SALUD_Mes_Constante!$BC$1</f>
        <v>671436.77620994346</v>
      </c>
      <c r="BD181" s="8">
        <f>+MINVU_Mes_Corriente!BD181*SALUD_Mes_Constante!$BC$1</f>
        <v>671436.77620994346</v>
      </c>
      <c r="BE181" s="8">
        <f>+MINVU_Mes_Corriente!BE181*SALUD_Mes_Constante!$BC$1</f>
        <v>671436.77620994346</v>
      </c>
      <c r="BF181" s="8">
        <f>+MINVU_Mes_Corriente!BF181*SALUD_Mes_Constante!$BC$1</f>
        <v>671436.77620994346</v>
      </c>
      <c r="BG181" s="8">
        <f>+MINVU_Mes_Corriente!BG181*SALUD_Mes_Constante!$BC$1</f>
        <v>671436.77620994346</v>
      </c>
      <c r="BH181" s="8">
        <f>+MINVU_Mes_Corriente!BH181*SALUD_Mes_Constante!$BC$1</f>
        <v>671436.77620994346</v>
      </c>
      <c r="BI181" s="8">
        <f>+MINVU_Mes_Corriente!BI181*SALUD_Mes_Constante!$BC$1</f>
        <v>609108.29038639076</v>
      </c>
      <c r="BJ181" s="8">
        <f>+MINVU_Mes_Corriente!BJ181*SALUD_Mes_Constante!$BC$1</f>
        <v>1036474.3929843073</v>
      </c>
      <c r="BK181" s="8">
        <f>+MINVU_Mes_Corriente!BK181*SALUD_Mes_Constante!$BC$1</f>
        <v>3066142.7901885803</v>
      </c>
      <c r="BL181" s="8">
        <f>+MINVU_Mes_Corriente!BL181*SALUD_Mes_Constante!$BC$1</f>
        <v>3066142.7901885803</v>
      </c>
      <c r="BM181" s="8">
        <f>+MINVU_Mes_Corriente!BM181*SALUD_Mes_Constante!$BC$1</f>
        <v>3066142.7901885803</v>
      </c>
      <c r="BN181" s="8">
        <f>+MINVU_Mes_Corriente!BN181*SALUD_Mes_Constante!$BC$1</f>
        <v>3691764.7144929455</v>
      </c>
      <c r="BO181" s="9">
        <f t="shared" si="80"/>
        <v>3691764.7144929455</v>
      </c>
      <c r="BP181" s="8">
        <f>+MINVU_Mes_Corriente!BP181*SALUD_Mes_Constante!$BP$1</f>
        <v>0</v>
      </c>
      <c r="BQ181" s="8">
        <f>+MINVU_Mes_Corriente!BQ181*SALUD_Mes_Constante!$BP$1</f>
        <v>0</v>
      </c>
      <c r="BR181" s="8">
        <f>+MINVU_Mes_Corriente!BR181*SALUD_Mes_Constante!$BP$1</f>
        <v>0</v>
      </c>
      <c r="BS181" s="8">
        <f>+MINVU_Mes_Corriente!BS181*SALUD_Mes_Constante!$BP$1</f>
        <v>1380253.1807938542</v>
      </c>
      <c r="BT181" s="8">
        <f>+MINVU_Mes_Corriente!BT181*SALUD_Mes_Constante!$BP$1</f>
        <v>1457638.9190781051</v>
      </c>
      <c r="BU181" s="8">
        <f>+MINVU_Mes_Corriente!BU181*SALUD_Mes_Constante!$BP$1</f>
        <v>2086934.5498079387</v>
      </c>
      <c r="BV181" s="8">
        <f>+MINVU_Mes_Corriente!BV181*SALUD_Mes_Constante!$BP$1</f>
        <v>2112121.7078104997</v>
      </c>
      <c r="BW181" s="8">
        <f>+MINVU_Mes_Corriente!BW181*SALUD_Mes_Constante!$BP$1</f>
        <v>2203474.8192061461</v>
      </c>
      <c r="BX181" s="8">
        <f>+MINVU_Mes_Corriente!BX181*SALUD_Mes_Constante!$BP$1</f>
        <v>5356249.7623559544</v>
      </c>
      <c r="BY181" s="8">
        <f>+MINVU_Mes_Corriente!BY181*SALUD_Mes_Constante!$BP$1</f>
        <v>5356249.7623559544</v>
      </c>
      <c r="BZ181" s="8">
        <f>+MINVU_Mes_Corriente!BZ181*SALUD_Mes_Constante!$BP$1</f>
        <v>5403739.3905249685</v>
      </c>
      <c r="CA181" s="8">
        <f>+MINVU_Mes_Corriente!CA181*SALUD_Mes_Constante!$BP$1</f>
        <v>5403739.3905249685</v>
      </c>
      <c r="CB181" s="9">
        <f t="shared" si="81"/>
        <v>5403739.3905249685</v>
      </c>
      <c r="CC181" s="8">
        <f>+MINVU_Mes_Corriente!CC181*SALUD_Mes_Constante!$CC$1</f>
        <v>223654.93472584858</v>
      </c>
      <c r="CD181" s="8">
        <f>+MINVU_Mes_Corriente!CD181*SALUD_Mes_Constante!$CC$1</f>
        <v>223654.93472584858</v>
      </c>
      <c r="CE181" s="8">
        <f>+MINVU_Mes_Corriente!CE181*SALUD_Mes_Constante!$CC$1</f>
        <v>223654.93472584858</v>
      </c>
      <c r="CF181" s="8">
        <f>+MINVU_Mes_Corriente!CF181*SALUD_Mes_Constante!$CC$1</f>
        <v>477781.22417008586</v>
      </c>
      <c r="CG181" s="8">
        <f>+MINVU_Mes_Corriente!CG181*SALUD_Mes_Constante!$CC$1</f>
        <v>486746.98321521824</v>
      </c>
      <c r="CH181" s="8">
        <f>+MINVU_Mes_Corriente!CH181*SALUD_Mes_Constante!$CC$1</f>
        <v>592199.25251771731</v>
      </c>
      <c r="CI181" s="8">
        <f>+MINVU_Mes_Corriente!CI181*SALUD_Mes_Constante!$CC$1</f>
        <v>3612005.4606490121</v>
      </c>
      <c r="CJ181" s="8">
        <f>+MINVU_Mes_Corriente!CJ181*SALUD_Mes_Constante!$CC$1</f>
        <v>5299895.1831406197</v>
      </c>
      <c r="CK181" s="8">
        <f>+MINVU_Mes_Corriente!CK181*SALUD_Mes_Constante!$CC$1</f>
        <v>5313811.1279373374</v>
      </c>
      <c r="CL181" s="8">
        <f>+MINVU_Mes_Corriente!CL181*SALUD_Mes_Constante!$CC$1</f>
        <v>6970525.8194703478</v>
      </c>
      <c r="CM181" s="8">
        <f>+MINVU_Mes_Corriente!CM181*SALUD_Mes_Constante!$CC$1</f>
        <v>6970525.8194703478</v>
      </c>
      <c r="CN181" s="8">
        <f>+MINVU_Mes_Corriente!CN181*SALUD_Mes_Constante!$CC$1</f>
        <v>6970525.8194703478</v>
      </c>
      <c r="CO181" s="9">
        <f t="shared" si="82"/>
        <v>6970525.8194703478</v>
      </c>
      <c r="CP181" s="8">
        <f>+MINVU_Mes_Corriente!CP181*SALUD_Mes_Constante!$CP$1</f>
        <v>888883.33573085826</v>
      </c>
      <c r="CQ181" s="8">
        <f>+MINVU_Mes_Corriente!CQ181*SALUD_Mes_Constante!$CP$1</f>
        <v>888883.33573085826</v>
      </c>
      <c r="CR181" s="8">
        <f>+MINVU_Mes_Corriente!CR181*SALUD_Mes_Constante!$CP$1</f>
        <v>888883.33573085826</v>
      </c>
      <c r="CS181" s="8">
        <f>+MINVU_Mes_Corriente!CS181*SALUD_Mes_Constante!$CP$1</f>
        <v>888883.33573085826</v>
      </c>
      <c r="CT181" s="8">
        <f>+MINVU_Mes_Corriente!CT181*SALUD_Mes_Constante!$CP$1</f>
        <v>1561471.1645011597</v>
      </c>
      <c r="CU181" s="8">
        <f>+MINVU_Mes_Corriente!CU181*SALUD_Mes_Constante!$CP$1</f>
        <v>2396340.5136890947</v>
      </c>
      <c r="CV181" s="8">
        <f>+MINVU_Mes_Corriente!CV181*SALUD_Mes_Constante!$CP$1</f>
        <v>2396340.5136890947</v>
      </c>
      <c r="CW181" s="8">
        <f>+MINVU_Mes_Corriente!CW181*SALUD_Mes_Constante!$CP$1</f>
        <v>3474280.4074245933</v>
      </c>
      <c r="CX181" s="8">
        <f>+MINVU_Mes_Corriente!CX181*SALUD_Mes_Constante!$CP$1</f>
        <v>3474280.4074245933</v>
      </c>
      <c r="CY181" s="8">
        <f>+MINVU_Mes_Corriente!CY181*SALUD_Mes_Constante!$CP$1</f>
        <v>3539736.2735498832</v>
      </c>
      <c r="CZ181" s="8">
        <f>+MINVU_Mes_Corriente!CZ181*SALUD_Mes_Constante!$CP$1</f>
        <v>4187393.3025522032</v>
      </c>
      <c r="DA181" s="8">
        <f>+MINVU_Mes_Corriente!DA181*SALUD_Mes_Constante!$CP$1</f>
        <v>4180942.9064965188</v>
      </c>
      <c r="DB181" s="9">
        <f t="shared" si="83"/>
        <v>4180942.9064965188</v>
      </c>
      <c r="DC181" s="8">
        <f>+MINVU_Mes_Corriente!DC181*SALUD_Mes_Constante!$DC$1</f>
        <v>1065925.0943318594</v>
      </c>
      <c r="DD181" s="8">
        <f>+MINVU_Mes_Corriente!DD181*SALUD_Mes_Constante!$DC$1</f>
        <v>1065925.0943318594</v>
      </c>
      <c r="DE181" s="8">
        <f>+MINVU_Mes_Corriente!DE181*SALUD_Mes_Constante!$DC$1</f>
        <v>1065925.0943318594</v>
      </c>
      <c r="DF181" s="8">
        <f>+MINVU_Mes_Corriente!DF181*SALUD_Mes_Constante!$DC$1</f>
        <v>1065925.0943318594</v>
      </c>
      <c r="DG181" s="8">
        <f>+MINVU_Mes_Corriente!DG181*SALUD_Mes_Constante!$DC$1</f>
        <v>1065925.0943318594</v>
      </c>
      <c r="DH181" s="8">
        <f>+MINVU_Mes_Corriente!DH181*SALUD_Mes_Constante!$DC$1</f>
        <v>1065925.0943318594</v>
      </c>
      <c r="DI181" s="8">
        <f>+MINVU_Mes_Corriente!DI181*SALUD_Mes_Constante!$DC$1</f>
        <v>1835863.6010698497</v>
      </c>
      <c r="DJ181" s="8">
        <f>+MINVU_Mes_Corriente!DJ181*SALUD_Mes_Constante!$DC$1</f>
        <v>2245531.8411686053</v>
      </c>
      <c r="DK181" s="8">
        <f>+MINVU_Mes_Corriente!DK181*SALUD_Mes_Constante!$DC$1</f>
        <v>5187722.3466721559</v>
      </c>
      <c r="DL181" s="8">
        <f>+MINVU_Mes_Corriente!DL181*SALUD_Mes_Constante!$DC$1</f>
        <v>5187722.3466721559</v>
      </c>
      <c r="DM181" s="8">
        <f>+MINVU_Mes_Corriente!DM181*SALUD_Mes_Constante!$DC$1</f>
        <v>5187722.3466721559</v>
      </c>
      <c r="DN181" s="8">
        <f>+MINVU_Mes_Corriente!DN181*SALUD_Mes_Constante!$DC$1</f>
        <v>5187722.3466721559</v>
      </c>
      <c r="DO181" s="9">
        <f t="shared" si="84"/>
        <v>5187722.3466721559</v>
      </c>
      <c r="DP181" s="8">
        <f>+MINVU_Mes_Corriente!DP181*SALUD_Mes_Constante!$DP$1</f>
        <v>1090128.0249406176</v>
      </c>
      <c r="DQ181" s="8">
        <f>+MINVU_Mes_Corriente!DQ181*SALUD_Mes_Constante!$DP$1</f>
        <v>3077820.8942992878</v>
      </c>
      <c r="DR181" s="8">
        <f>+MINVU_Mes_Corriente!DR181*SALUD_Mes_Constante!$DP$1</f>
        <v>3077820.8942992878</v>
      </c>
      <c r="DS181" s="8">
        <f>+MINVU_Mes_Corriente!DS181*SALUD_Mes_Constante!$DP$1</f>
        <v>3080524.2790973876</v>
      </c>
      <c r="DT181" s="8">
        <f>+MINVU_Mes_Corriente!DT181*SALUD_Mes_Constante!$DP$1</f>
        <v>3080524.2790973876</v>
      </c>
      <c r="DU181" s="8">
        <f>+MINVU_Mes_Corriente!DU181*SALUD_Mes_Constante!$DP$1</f>
        <v>3251593.3877672213</v>
      </c>
      <c r="DV181" s="8">
        <f>+MINVU_Mes_Corriente!DV181*SALUD_Mes_Constante!$DP$1</f>
        <v>3254441.6739904992</v>
      </c>
      <c r="DW181" s="8">
        <f>+MINVU_Mes_Corriente!DW181*SALUD_Mes_Constante!$DP$1</f>
        <v>3264324.1674584327</v>
      </c>
      <c r="DX181" s="8">
        <f>+MINVU_Mes_Corriente!DX181*SALUD_Mes_Constante!$DP$1</f>
        <v>3296936.7203087891</v>
      </c>
      <c r="DY181" s="8">
        <f>+MINVU_Mes_Corriente!DY181*SALUD_Mes_Constante!$DP$1</f>
        <v>3296936.7203087891</v>
      </c>
      <c r="DZ181" s="8">
        <f>+MINVU_Mes_Corriente!DZ181*SALUD_Mes_Constante!$DP$1</f>
        <v>3408631.9293349171</v>
      </c>
      <c r="EA181" s="8">
        <f>+MINVU_Mes_Corriente!EA181*SALUD_Mes_Constante!$DP$1</f>
        <v>3408631.9293349171</v>
      </c>
      <c r="EB181" s="9">
        <f t="shared" si="85"/>
        <v>3408631.9293349171</v>
      </c>
      <c r="EC181" s="8">
        <f>+MINVU_Mes_Corriente!EC181*SALUD_Mes_Constante!$EC$1</f>
        <v>955210.8774853244</v>
      </c>
      <c r="ED181" s="8">
        <f>+MINVU_Mes_Corriente!ED181*SALUD_Mes_Constante!$EC$1</f>
        <v>955210.8774853244</v>
      </c>
      <c r="EE181" s="8">
        <f>+MINVU_Mes_Corriente!EE181*SALUD_Mes_Constante!$EC$1</f>
        <v>1666298.7915167576</v>
      </c>
      <c r="EF181" s="8">
        <f>+MINVU_Mes_Corriente!EF181*SALUD_Mes_Constante!$EC$1</f>
        <v>2463297.837341412</v>
      </c>
      <c r="EG181" s="8">
        <f>+MINVU_Mes_Corriente!EG181*SALUD_Mes_Constante!$EC$1</f>
        <v>3714497.592690777</v>
      </c>
      <c r="EH181" s="8">
        <f>+MINVU_Mes_Corriente!EH181*SALUD_Mes_Constante!$EC$1</f>
        <v>3714497.592690777</v>
      </c>
      <c r="EI181" s="8">
        <f>+MINVU_Mes_Corriente!EI181*SALUD_Mes_Constante!$EC$1</f>
        <v>3714497.592690777</v>
      </c>
      <c r="EJ181" s="8">
        <f>+MINVU_Mes_Corriente!EJ181*SALUD_Mes_Constante!$EC$1</f>
        <v>3714497.592690777</v>
      </c>
      <c r="EK181" s="8">
        <f>+MINVU_Mes_Corriente!EK181*SALUD_Mes_Constante!$EC$1</f>
        <v>3714497.592690777</v>
      </c>
      <c r="EL181" s="8">
        <f>+MINVU_Mes_Corriente!EL181*SALUD_Mes_Constante!$EC$1</f>
        <v>3744630.47036546</v>
      </c>
      <c r="EM181" s="8">
        <f>+MINVU_Mes_Corriente!EM181*SALUD_Mes_Constante!$EC$1</f>
        <v>3744630.47036546</v>
      </c>
      <c r="EN181" s="8">
        <f>+MINVU_Mes_Corriente!EN181*SALUD_Mes_Constante!$EC$1</f>
        <v>3636103.9047528864</v>
      </c>
      <c r="EO181" s="9">
        <f t="shared" si="86"/>
        <v>3636103.9047528864</v>
      </c>
      <c r="EP181" s="8">
        <f>+MINVU_Mes_Corriente!EP181*SALUD_Mes_Constante!$EP$1</f>
        <v>962170</v>
      </c>
      <c r="EQ181" s="8">
        <f>+MINVU_Mes_Corriente!EQ181*SALUD_Mes_Constante!$EP$1</f>
        <v>1016926</v>
      </c>
      <c r="ER181" s="8">
        <f>+MINVU_Mes_Corriente!ER181*SALUD_Mes_Constante!$EP$1</f>
        <v>1016926</v>
      </c>
      <c r="ES181" s="8">
        <f>+MINVU_Mes_Corriente!ES181*SALUD_Mes_Constante!$EP$1</f>
        <v>3615248</v>
      </c>
      <c r="ET181" s="8">
        <f>+MINVU_Mes_Corriente!ET181*SALUD_Mes_Constante!$EP$1</f>
        <v>3638868</v>
      </c>
      <c r="EU181" s="8">
        <f>+MINVU_Mes_Corriente!EU181*SALUD_Mes_Constante!$EP$1</f>
        <v>3638868</v>
      </c>
      <c r="EV181" s="8">
        <f>+MINVU_Mes_Corriente!EV181*SALUD_Mes_Constante!$EP$1</f>
        <v>3525509</v>
      </c>
      <c r="EW181" s="8">
        <f>+MINVU_Mes_Corriente!EW181*SALUD_Mes_Constante!$EP$1</f>
        <v>3525509</v>
      </c>
      <c r="EX181" s="8">
        <f>+MINVU_Mes_Corriente!EX181*SALUD_Mes_Constante!$EP$1</f>
        <v>3525509</v>
      </c>
      <c r="EY181" s="8">
        <f>+MINVU_Mes_Corriente!EY181*SALUD_Mes_Constante!$EP$1</f>
        <v>3525509</v>
      </c>
      <c r="EZ181" s="8">
        <f>+MINVU_Mes_Corriente!EZ181*SALUD_Mes_Constante!$EP$1</f>
        <v>3525509</v>
      </c>
      <c r="FA181" s="8">
        <f>+MINVU_Mes_Corriente!FA181*SALUD_Mes_Constante!$EP$1</f>
        <v>2871692</v>
      </c>
      <c r="FB181" s="9">
        <f t="shared" si="87"/>
        <v>2871692</v>
      </c>
      <c r="FC181" s="8">
        <f>+MINVU_Mes_Corriente!FC181*SALUD_Mes_Constante!$FC$1</f>
        <v>991998</v>
      </c>
      <c r="FD181" s="8">
        <f>+MINVU_Mes_Corriente!FD181*SALUD_Mes_Constante!$FC$1</f>
        <v>1445434</v>
      </c>
      <c r="FE181" s="8">
        <f>+MINVU_Mes_Corriente!FE181*SALUD_Mes_Constante!$FC$1</f>
        <v>1605982</v>
      </c>
      <c r="FF181" s="8">
        <f>+MINVU_Mes_Corriente!FF181*SALUD_Mes_Constante!$FC$1</f>
        <v>1605982</v>
      </c>
      <c r="FG181" s="8">
        <f>+MINVU_Mes_Corriente!FG181*SALUD_Mes_Constante!$FC$1</f>
        <v>1605982</v>
      </c>
      <c r="FH181" s="8">
        <f>+MINVU_Mes_Corriente!FH181*SALUD_Mes_Constante!$FC$1</f>
        <v>1605982</v>
      </c>
      <c r="FI181" s="8">
        <f>+MINVU_Mes_Corriente!FI181*SALUD_Mes_Constante!$FC$1</f>
        <v>2344806</v>
      </c>
      <c r="FJ181" s="8"/>
      <c r="FK181" s="8"/>
      <c r="FL181" s="8"/>
      <c r="FM181" s="8"/>
      <c r="FN181" s="8"/>
      <c r="FO181" s="9">
        <f t="shared" si="88"/>
        <v>2344806</v>
      </c>
    </row>
    <row r="182" spans="2:171" ht="14.25" customHeight="1" x14ac:dyDescent="0.3">
      <c r="B182" s="35" t="s">
        <v>70</v>
      </c>
      <c r="C182" s="8">
        <f>+MINVU_Mes_Corriente!C182*SALUD_Mes_Constante!$C$1</f>
        <v>608014.15720005939</v>
      </c>
      <c r="D182" s="8">
        <f>+MINVU_Mes_Corriente!D182*SALUD_Mes_Constante!$C$1</f>
        <v>1019543.4136141185</v>
      </c>
      <c r="E182" s="8">
        <f>+MINVU_Mes_Corriente!E182*SALUD_Mes_Constante!$C$1</f>
        <v>1019543.4136141185</v>
      </c>
      <c r="F182" s="8">
        <f>+MINVU_Mes_Corriente!F182*SALUD_Mes_Constante!$C$1</f>
        <v>1019543.4136141185</v>
      </c>
      <c r="G182" s="8">
        <f>+MINVU_Mes_Corriente!G182*SALUD_Mes_Constante!$C$1</f>
        <v>1042876.4107963816</v>
      </c>
      <c r="H182" s="8">
        <f>+MINVU_Mes_Corriente!H182*SALUD_Mes_Constante!$C$1</f>
        <v>1046880.2882989768</v>
      </c>
      <c r="I182" s="8">
        <f>+MINVU_Mes_Corriente!I182*SALUD_Mes_Constante!$C$1</f>
        <v>1046880.2882989768</v>
      </c>
      <c r="J182" s="8">
        <f>+MINVU_Mes_Corriente!J182*SALUD_Mes_Constante!$C$1</f>
        <v>1046880.2882989768</v>
      </c>
      <c r="K182" s="8">
        <f>+MINVU_Mes_Corriente!K182*SALUD_Mes_Constante!$C$1</f>
        <v>1103375.3077265313</v>
      </c>
      <c r="L182" s="8">
        <f>+MINVU_Mes_Corriente!L182*SALUD_Mes_Constante!$C$1</f>
        <v>1117127.1929408277</v>
      </c>
      <c r="M182" s="8">
        <f>+MINVU_Mes_Corriente!M182*SALUD_Mes_Constante!$C$1</f>
        <v>1152774.8275248408</v>
      </c>
      <c r="N182" s="8">
        <f>+MINVU_Mes_Corriente!N182*SALUD_Mes_Constante!$C$1</f>
        <v>3720167.7010232839</v>
      </c>
      <c r="O182" s="9">
        <f t="shared" si="76"/>
        <v>3720167.7010232839</v>
      </c>
      <c r="P182" s="8">
        <f>+MINVU_Mes_Corriente!P182*SALUD_Mes_Constante!$P$1</f>
        <v>599919.5118624802</v>
      </c>
      <c r="Q182" s="8">
        <f>+MINVU_Mes_Corriente!Q182*SALUD_Mes_Constante!$P$1</f>
        <v>599919.5118624802</v>
      </c>
      <c r="R182" s="8">
        <f>+MINVU_Mes_Corriente!R182*SALUD_Mes_Constante!$P$1</f>
        <v>651080.32447790855</v>
      </c>
      <c r="S182" s="8">
        <f>+MINVU_Mes_Corriente!S182*SALUD_Mes_Constante!$P$1</f>
        <v>2036371.0850973141</v>
      </c>
      <c r="T182" s="8">
        <f>+MINVU_Mes_Corriente!T182*SALUD_Mes_Constante!$P$1</f>
        <v>2036371.0850973141</v>
      </c>
      <c r="U182" s="8">
        <f>+MINVU_Mes_Corriente!U182*SALUD_Mes_Constante!$P$1</f>
        <v>3206496.1696263663</v>
      </c>
      <c r="V182" s="8">
        <f>+MINVU_Mes_Corriente!V182*SALUD_Mes_Constante!$P$1</f>
        <v>3523146.8302315655</v>
      </c>
      <c r="W182" s="8">
        <f>+MINVU_Mes_Corriente!W182*SALUD_Mes_Constante!$P$1</f>
        <v>3679687.1200454598</v>
      </c>
      <c r="X182" s="8">
        <f>+MINVU_Mes_Corriente!X182*SALUD_Mes_Constante!$P$1</f>
        <v>3679687.1200454598</v>
      </c>
      <c r="Y182" s="8">
        <f>+MINVU_Mes_Corriente!Y182*SALUD_Mes_Constante!$P$1</f>
        <v>3804282.946157123</v>
      </c>
      <c r="Z182" s="8">
        <f>+MINVU_Mes_Corriente!Z182*SALUD_Mes_Constante!$P$1</f>
        <v>6334447.453331437</v>
      </c>
      <c r="AA182" s="8">
        <f>+MINVU_Mes_Corriente!AA182*SALUD_Mes_Constante!$P$1</f>
        <v>9465215.9965904206</v>
      </c>
      <c r="AB182" s="9">
        <f t="shared" si="77"/>
        <v>9465215.9965904206</v>
      </c>
      <c r="AC182" s="8">
        <f>+MINVU_Mes_Corriente!AC182*SALUD_Mes_Constante!$AC$1</f>
        <v>606349.92474754457</v>
      </c>
      <c r="AD182" s="8">
        <f>+MINVU_Mes_Corriente!AD182*SALUD_Mes_Constante!$AC$1</f>
        <v>606349.92474754457</v>
      </c>
      <c r="AE182" s="8">
        <f>+MINVU_Mes_Corriente!AE182*SALUD_Mes_Constante!$AC$1</f>
        <v>709768.31594964722</v>
      </c>
      <c r="AF182" s="8">
        <f>+MINVU_Mes_Corriente!AF182*SALUD_Mes_Constante!$AC$1</f>
        <v>1868785.8209987551</v>
      </c>
      <c r="AG182" s="8">
        <f>+MINVU_Mes_Corriente!AG182*SALUD_Mes_Constante!$AC$1</f>
        <v>1884031.4375432287</v>
      </c>
      <c r="AH182" s="8">
        <f>+MINVU_Mes_Corriente!AH182*SALUD_Mes_Constante!$AC$1</f>
        <v>1889522.3986720154</v>
      </c>
      <c r="AI182" s="8">
        <f>+MINVU_Mes_Corriente!AI182*SALUD_Mes_Constante!$AC$1</f>
        <v>1889522.3986720154</v>
      </c>
      <c r="AJ182" s="8">
        <f>+MINVU_Mes_Corriente!AJ182*SALUD_Mes_Constante!$AC$1</f>
        <v>1889522.3986720154</v>
      </c>
      <c r="AK182" s="8">
        <f>+MINVU_Mes_Corriente!AK182*SALUD_Mes_Constante!$AC$1</f>
        <v>1889522.3986720154</v>
      </c>
      <c r="AL182" s="8">
        <f>+MINVU_Mes_Corriente!AL182*SALUD_Mes_Constante!$AC$1</f>
        <v>1889522.3986720154</v>
      </c>
      <c r="AM182" s="8">
        <f>+MINVU_Mes_Corriente!AM182*SALUD_Mes_Constante!$AC$1</f>
        <v>1961382.4996541706</v>
      </c>
      <c r="AN182" s="8">
        <f>+MINVU_Mes_Corriente!AN182*SALUD_Mes_Constante!$AC$1</f>
        <v>2320828.1001521647</v>
      </c>
      <c r="AO182" s="9">
        <f t="shared" si="78"/>
        <v>2320828.1001521647</v>
      </c>
      <c r="AP182" s="8">
        <f>+MINVU_Mes_Corriente!AP182*SALUD_Mes_Constante!$AP$1</f>
        <v>610685.5154876234</v>
      </c>
      <c r="AQ182" s="8">
        <f>+MINVU_Mes_Corriente!AQ182*SALUD_Mes_Constante!$AP$1</f>
        <v>610685.5154876234</v>
      </c>
      <c r="AR182" s="8">
        <f>+MINVU_Mes_Corriente!AR182*SALUD_Mes_Constante!$AP$1</f>
        <v>610685.5154876234</v>
      </c>
      <c r="AS182" s="8">
        <f>+MINVU_Mes_Corriente!AS182*SALUD_Mes_Constante!$AP$1</f>
        <v>610685.5154876234</v>
      </c>
      <c r="AT182" s="8">
        <f>+MINVU_Mes_Corriente!AT182*SALUD_Mes_Constante!$AP$1</f>
        <v>610685.5154876234</v>
      </c>
      <c r="AU182" s="8">
        <f>+MINVU_Mes_Corriente!AU182*SALUD_Mes_Constante!$AP$1</f>
        <v>678582.48451237648</v>
      </c>
      <c r="AV182" s="8">
        <f>+MINVU_Mes_Corriente!AV182*SALUD_Mes_Constante!$AP$1</f>
        <v>701220.71905856882</v>
      </c>
      <c r="AW182" s="8">
        <f>+MINVU_Mes_Corriente!AW182*SALUD_Mes_Constante!$AP$1</f>
        <v>783982.2502367103</v>
      </c>
      <c r="AX182" s="8">
        <f>+MINVU_Mes_Corriente!AX182*SALUD_Mes_Constante!$AP$1</f>
        <v>906646.6625185986</v>
      </c>
      <c r="AY182" s="8">
        <f>+MINVU_Mes_Corriente!AY182*SALUD_Mes_Constante!$AP$1</f>
        <v>1878872.9711889625</v>
      </c>
      <c r="AZ182" s="8">
        <f>+MINVU_Mes_Corriente!AZ182*SALUD_Mes_Constante!$AP$1</f>
        <v>1897494.3157040442</v>
      </c>
      <c r="BA182" s="8">
        <f>+MINVU_Mes_Corriente!BA182*SALUD_Mes_Constante!$AP$1</f>
        <v>1897494.3157040442</v>
      </c>
      <c r="BB182" s="9">
        <f t="shared" si="79"/>
        <v>1897494.3157040442</v>
      </c>
      <c r="BC182" s="8">
        <f>+MINVU_Mes_Corriente!BC182*SALUD_Mes_Constante!$BC$1</f>
        <v>610864.69207437709</v>
      </c>
      <c r="BD182" s="8">
        <f>+MINVU_Mes_Corriente!BD182*SALUD_Mes_Constante!$BC$1</f>
        <v>610864.69207437709</v>
      </c>
      <c r="BE182" s="8">
        <f>+MINVU_Mes_Corriente!BE182*SALUD_Mes_Constante!$BC$1</f>
        <v>610864.69207437709</v>
      </c>
      <c r="BF182" s="8">
        <f>+MINVU_Mes_Corriente!BF182*SALUD_Mes_Constante!$BC$1</f>
        <v>610864.69207437709</v>
      </c>
      <c r="BG182" s="8">
        <f>+MINVU_Mes_Corriente!BG182*SALUD_Mes_Constante!$BC$1</f>
        <v>610864.69207437709</v>
      </c>
      <c r="BH182" s="8">
        <f>+MINVU_Mes_Corriente!BH182*SALUD_Mes_Constante!$BC$1</f>
        <v>610864.69207437709</v>
      </c>
      <c r="BI182" s="8">
        <f>+MINVU_Mes_Corriente!BI182*SALUD_Mes_Constante!$BC$1</f>
        <v>548589.51786891744</v>
      </c>
      <c r="BJ182" s="8">
        <f>+MINVU_Mes_Corriente!BJ182*SALUD_Mes_Constante!$BC$1</f>
        <v>1551947.3100356064</v>
      </c>
      <c r="BK182" s="8">
        <f>+MINVU_Mes_Corriente!BK182*SALUD_Mes_Constante!$BC$1</f>
        <v>5645243.6051694592</v>
      </c>
      <c r="BL182" s="8">
        <f>+MINVU_Mes_Corriente!BL182*SALUD_Mes_Constante!$BC$1</f>
        <v>5645243.6051694592</v>
      </c>
      <c r="BM182" s="8">
        <f>+MINVU_Mes_Corriente!BM182*SALUD_Mes_Constante!$BC$1</f>
        <v>5662216.8716866691</v>
      </c>
      <c r="BN182" s="8">
        <f>+MINVU_Mes_Corriente!BN182*SALUD_Mes_Constante!$BC$1</f>
        <v>6645767.236449956</v>
      </c>
      <c r="BO182" s="9">
        <f t="shared" si="80"/>
        <v>6645767.236449956</v>
      </c>
      <c r="BP182" s="8">
        <f>+MINVU_Mes_Corriente!BP182*SALUD_Mes_Constante!$BP$1</f>
        <v>0</v>
      </c>
      <c r="BQ182" s="8">
        <f>+MINVU_Mes_Corriente!BQ182*SALUD_Mes_Constante!$BP$1</f>
        <v>0</v>
      </c>
      <c r="BR182" s="8">
        <f>+MINVU_Mes_Corriente!BR182*SALUD_Mes_Constante!$BP$1</f>
        <v>601559.5390524969</v>
      </c>
      <c r="BS182" s="8">
        <f>+MINVU_Mes_Corriente!BS182*SALUD_Mes_Constante!$BP$1</f>
        <v>853898.37695262488</v>
      </c>
      <c r="BT182" s="8">
        <f>+MINVU_Mes_Corriente!BT182*SALUD_Mes_Constante!$BP$1</f>
        <v>941470.05710627406</v>
      </c>
      <c r="BU182" s="8">
        <f>+MINVU_Mes_Corriente!BU182*SALUD_Mes_Constante!$BP$1</f>
        <v>941470.05710627406</v>
      </c>
      <c r="BV182" s="8">
        <f>+MINVU_Mes_Corriente!BV182*SALUD_Mes_Constante!$BP$1</f>
        <v>970400.87400768255</v>
      </c>
      <c r="BW182" s="8">
        <f>+MINVU_Mes_Corriente!BW182*SALUD_Mes_Constante!$BP$1</f>
        <v>1059235.829193342</v>
      </c>
      <c r="BX182" s="8">
        <f>+MINVU_Mes_Corriente!BX182*SALUD_Mes_Constante!$BP$1</f>
        <v>4550283.0898847636</v>
      </c>
      <c r="BY182" s="8">
        <f>+MINVU_Mes_Corriente!BY182*SALUD_Mes_Constante!$BP$1</f>
        <v>4550283.0898847636</v>
      </c>
      <c r="BZ182" s="8">
        <f>+MINVU_Mes_Corriente!BZ182*SALUD_Mes_Constante!$BP$1</f>
        <v>4550283.0898847636</v>
      </c>
      <c r="CA182" s="8">
        <f>+MINVU_Mes_Corriente!CA182*SALUD_Mes_Constante!$BP$1</f>
        <v>4550283.0898847636</v>
      </c>
      <c r="CB182" s="9">
        <f t="shared" si="81"/>
        <v>4550283.0898847636</v>
      </c>
      <c r="CC182" s="8">
        <f>+MINVU_Mes_Corriente!CC182*SALUD_Mes_Constante!$CC$1</f>
        <v>181290.36478925776</v>
      </c>
      <c r="CD182" s="8">
        <f>+MINVU_Mes_Corriente!CD182*SALUD_Mes_Constante!$CC$1</f>
        <v>181290.36478925776</v>
      </c>
      <c r="CE182" s="8">
        <f>+MINVU_Mes_Corriente!CE182*SALUD_Mes_Constante!$CC$1</f>
        <v>181290.36478925776</v>
      </c>
      <c r="CF182" s="8">
        <f>+MINVU_Mes_Corriente!CF182*SALUD_Mes_Constante!$CC$1</f>
        <v>712724.86460276018</v>
      </c>
      <c r="CG182" s="8">
        <f>+MINVU_Mes_Corriente!CG182*SALUD_Mes_Constante!$CC$1</f>
        <v>712724.86460276018</v>
      </c>
      <c r="CH182" s="8">
        <f>+MINVU_Mes_Corriente!CH182*SALUD_Mes_Constante!$CC$1</f>
        <v>1119949.6404326744</v>
      </c>
      <c r="CI182" s="8">
        <f>+MINVU_Mes_Corriente!CI182*SALUD_Mes_Constante!$CC$1</f>
        <v>1119949.6404326744</v>
      </c>
      <c r="CJ182" s="8">
        <f>+MINVU_Mes_Corriente!CJ182*SALUD_Mes_Constante!$CC$1</f>
        <v>2028953.9888101458</v>
      </c>
      <c r="CK182" s="8">
        <f>+MINVU_Mes_Corriente!CK182*SALUD_Mes_Constante!$CC$1</f>
        <v>2447864.1372622158</v>
      </c>
      <c r="CL182" s="8">
        <f>+MINVU_Mes_Corriente!CL182*SALUD_Mes_Constante!$CC$1</f>
        <v>2899881.0302126077</v>
      </c>
      <c r="CM182" s="8">
        <f>+MINVU_Mes_Corriente!CM182*SALUD_Mes_Constante!$CC$1</f>
        <v>2899881.0302126077</v>
      </c>
      <c r="CN182" s="8">
        <f>+MINVU_Mes_Corriente!CN182*SALUD_Mes_Constante!$CC$1</f>
        <v>2899881.0302126077</v>
      </c>
      <c r="CO182" s="9">
        <f t="shared" si="82"/>
        <v>2899881.0302126077</v>
      </c>
      <c r="CP182" s="8">
        <f>+MINVU_Mes_Corriente!CP182*SALUD_Mes_Constante!$CP$1</f>
        <v>735697.5201856147</v>
      </c>
      <c r="CQ182" s="8">
        <f>+MINVU_Mes_Corriente!CQ182*SALUD_Mes_Constante!$CP$1</f>
        <v>735697.5201856147</v>
      </c>
      <c r="CR182" s="8">
        <f>+MINVU_Mes_Corriente!CR182*SALUD_Mes_Constante!$CP$1</f>
        <v>1929555.6828306261</v>
      </c>
      <c r="CS182" s="8">
        <f>+MINVU_Mes_Corriente!CS182*SALUD_Mes_Constante!$CP$1</f>
        <v>1929555.6828306261</v>
      </c>
      <c r="CT182" s="8">
        <f>+MINVU_Mes_Corriente!CT182*SALUD_Mes_Constante!$CP$1</f>
        <v>2766072.8046403709</v>
      </c>
      <c r="CU182" s="8">
        <f>+MINVU_Mes_Corriente!CU182*SALUD_Mes_Constante!$CP$1</f>
        <v>4387081.7965197209</v>
      </c>
      <c r="CV182" s="8">
        <f>+MINVU_Mes_Corriente!CV182*SALUD_Mes_Constante!$CP$1</f>
        <v>4387081.7965197209</v>
      </c>
      <c r="CW182" s="8">
        <f>+MINVU_Mes_Corriente!CW182*SALUD_Mes_Constante!$CP$1</f>
        <v>4394179.8939675167</v>
      </c>
      <c r="CX182" s="8">
        <f>+MINVU_Mes_Corriente!CX182*SALUD_Mes_Constante!$CP$1</f>
        <v>4394179.8939675167</v>
      </c>
      <c r="CY182" s="8">
        <f>+MINVU_Mes_Corriente!CY182*SALUD_Mes_Constante!$CP$1</f>
        <v>4905729.6368909506</v>
      </c>
      <c r="CZ182" s="8">
        <f>+MINVU_Mes_Corriente!CZ182*SALUD_Mes_Constante!$CP$1</f>
        <v>4879603.5682134563</v>
      </c>
      <c r="DA182" s="8">
        <f>+MINVU_Mes_Corriente!DA182*SALUD_Mes_Constante!$CP$1</f>
        <v>4958105.9909512755</v>
      </c>
      <c r="DB182" s="9">
        <f t="shared" si="83"/>
        <v>4958105.9909512755</v>
      </c>
      <c r="DC182" s="8">
        <f>+MINVU_Mes_Corriente!DC182*SALUD_Mes_Constante!$DC$1</f>
        <v>883924.75198024942</v>
      </c>
      <c r="DD182" s="8">
        <f>+MINVU_Mes_Corriente!DD182*SALUD_Mes_Constante!$DC$1</f>
        <v>883924.75198024942</v>
      </c>
      <c r="DE182" s="8">
        <f>+MINVU_Mes_Corriente!DE182*SALUD_Mes_Constante!$DC$1</f>
        <v>883924.75198024942</v>
      </c>
      <c r="DF182" s="8">
        <f>+MINVU_Mes_Corriente!DF182*SALUD_Mes_Constante!$DC$1</f>
        <v>883924.75198024942</v>
      </c>
      <c r="DG182" s="8">
        <f>+MINVU_Mes_Corriente!DG182*SALUD_Mes_Constante!$DC$1</f>
        <v>883924.75198024942</v>
      </c>
      <c r="DH182" s="8">
        <f>+MINVU_Mes_Corriente!DH182*SALUD_Mes_Constante!$DC$1</f>
        <v>883924.75198024942</v>
      </c>
      <c r="DI182" s="8">
        <f>+MINVU_Mes_Corriente!DI182*SALUD_Mes_Constante!$DC$1</f>
        <v>1004164.701985393</v>
      </c>
      <c r="DJ182" s="8">
        <f>+MINVU_Mes_Corriente!DJ182*SALUD_Mes_Constante!$DC$1</f>
        <v>1205036.3065528243</v>
      </c>
      <c r="DK182" s="8">
        <f>+MINVU_Mes_Corriente!DK182*SALUD_Mes_Constante!$DC$1</f>
        <v>4793269.1319823088</v>
      </c>
      <c r="DL182" s="8">
        <f>+MINVU_Mes_Corriente!DL182*SALUD_Mes_Constante!$DC$1</f>
        <v>4793269.1319823088</v>
      </c>
      <c r="DM182" s="8">
        <f>+MINVU_Mes_Corriente!DM182*SALUD_Mes_Constante!$DC$1</f>
        <v>4793269.1319823088</v>
      </c>
      <c r="DN182" s="8">
        <f>+MINVU_Mes_Corriente!DN182*SALUD_Mes_Constante!$DC$1</f>
        <v>4793269.1319823088</v>
      </c>
      <c r="DO182" s="9">
        <f t="shared" si="84"/>
        <v>4793269.1319823088</v>
      </c>
      <c r="DP182" s="8">
        <f>+MINVU_Mes_Corriente!DP182*SALUD_Mes_Constante!$DP$1</f>
        <v>903995.65617577208</v>
      </c>
      <c r="DQ182" s="8">
        <f>+MINVU_Mes_Corriente!DQ182*SALUD_Mes_Constante!$DP$1</f>
        <v>2605935.3456057007</v>
      </c>
      <c r="DR182" s="8">
        <f>+MINVU_Mes_Corriente!DR182*SALUD_Mes_Constante!$DP$1</f>
        <v>3422394.3206650834</v>
      </c>
      <c r="DS182" s="8">
        <f>+MINVU_Mes_Corriente!DS182*SALUD_Mes_Constante!$DP$1</f>
        <v>3425097.7054631831</v>
      </c>
      <c r="DT182" s="8">
        <f>+MINVU_Mes_Corriente!DT182*SALUD_Mes_Constante!$DP$1</f>
        <v>3425097.7054631831</v>
      </c>
      <c r="DU182" s="8">
        <f>+MINVU_Mes_Corriente!DU182*SALUD_Mes_Constante!$DP$1</f>
        <v>3528346.4590261285</v>
      </c>
      <c r="DV182" s="8">
        <f>+MINVU_Mes_Corriente!DV182*SALUD_Mes_Constante!$DP$1</f>
        <v>3542678.7238717345</v>
      </c>
      <c r="DW182" s="8">
        <f>+MINVU_Mes_Corriente!DW182*SALUD_Mes_Constante!$DP$1</f>
        <v>3577267.991686461</v>
      </c>
      <c r="DX182" s="8">
        <f>+MINVU_Mes_Corriente!DX182*SALUD_Mes_Constante!$DP$1</f>
        <v>3577851.9228028506</v>
      </c>
      <c r="DY182" s="8">
        <f>+MINVU_Mes_Corriente!DY182*SALUD_Mes_Constante!$DP$1</f>
        <v>3577851.9228028506</v>
      </c>
      <c r="DZ182" s="8">
        <f>+MINVU_Mes_Corriente!DZ182*SALUD_Mes_Constante!$DP$1</f>
        <v>3577851.9228028506</v>
      </c>
      <c r="EA182" s="8">
        <f>+MINVU_Mes_Corriente!EA182*SALUD_Mes_Constante!$DP$1</f>
        <v>3577851.9228028506</v>
      </c>
      <c r="EB182" s="9">
        <f t="shared" si="85"/>
        <v>3577851.9228028506</v>
      </c>
      <c r="EC182" s="8">
        <f>+MINVU_Mes_Corriente!EC182*SALUD_Mes_Constante!$EC$1</f>
        <v>792116.37966294237</v>
      </c>
      <c r="ED182" s="8">
        <f>+MINVU_Mes_Corriente!ED182*SALUD_Mes_Constante!$EC$1</f>
        <v>792116.37966294237</v>
      </c>
      <c r="EE182" s="8">
        <f>+MINVU_Mes_Corriente!EE182*SALUD_Mes_Constante!$EC$1</f>
        <v>1234193.1808369623</v>
      </c>
      <c r="EF182" s="8">
        <f>+MINVU_Mes_Corriente!EF182*SALUD_Mes_Constante!$EC$1</f>
        <v>1395664.605945843</v>
      </c>
      <c r="EG182" s="8">
        <f>+MINVU_Mes_Corriente!EG182*SALUD_Mes_Constante!$EC$1</f>
        <v>1395664.605945843</v>
      </c>
      <c r="EH182" s="8">
        <f>+MINVU_Mes_Corriente!EH182*SALUD_Mes_Constante!$EC$1</f>
        <v>1395664.605945843</v>
      </c>
      <c r="EI182" s="8">
        <f>+MINVU_Mes_Corriente!EI182*SALUD_Mes_Constante!$EC$1</f>
        <v>1395664.605945843</v>
      </c>
      <c r="EJ182" s="8">
        <f>+MINVU_Mes_Corriente!EJ182*SALUD_Mes_Constante!$EC$1</f>
        <v>1395664.605945843</v>
      </c>
      <c r="EK182" s="8">
        <f>+MINVU_Mes_Corriente!EK182*SALUD_Mes_Constante!$EC$1</f>
        <v>1395664.605945843</v>
      </c>
      <c r="EL182" s="8">
        <f>+MINVU_Mes_Corriente!EL182*SALUD_Mes_Constante!$EC$1</f>
        <v>1414200.1170232906</v>
      </c>
      <c r="EM182" s="8">
        <f>+MINVU_Mes_Corriente!EM182*SALUD_Mes_Constante!$EC$1</f>
        <v>1414200.1170232906</v>
      </c>
      <c r="EN182" s="8">
        <f>+MINVU_Mes_Corriente!EN182*SALUD_Mes_Constante!$EC$1</f>
        <v>1356956.0285930692</v>
      </c>
      <c r="EO182" s="9">
        <f t="shared" si="86"/>
        <v>1356956.0285930692</v>
      </c>
      <c r="EP182" s="8">
        <f>+MINVU_Mes_Corriente!EP182*SALUD_Mes_Constante!$EP$1</f>
        <v>797887</v>
      </c>
      <c r="EQ182" s="8">
        <f>+MINVU_Mes_Corriente!EQ182*SALUD_Mes_Constante!$EP$1</f>
        <v>817857</v>
      </c>
      <c r="ER182" s="8">
        <f>+MINVU_Mes_Corriente!ER182*SALUD_Mes_Constante!$EP$1</f>
        <v>817857</v>
      </c>
      <c r="ES182" s="8">
        <f>+MINVU_Mes_Corriente!ES182*SALUD_Mes_Constante!$EP$1</f>
        <v>3350735</v>
      </c>
      <c r="ET182" s="8">
        <f>+MINVU_Mes_Corriente!ET182*SALUD_Mes_Constante!$EP$1</f>
        <v>3422786</v>
      </c>
      <c r="EU182" s="8">
        <f>+MINVU_Mes_Corriente!EU182*SALUD_Mes_Constante!$EP$1</f>
        <v>3422786</v>
      </c>
      <c r="EV182" s="8">
        <f>+MINVU_Mes_Corriente!EV182*SALUD_Mes_Constante!$EP$1</f>
        <v>3422786</v>
      </c>
      <c r="EW182" s="8">
        <f>+MINVU_Mes_Corriente!EW182*SALUD_Mes_Constante!$EP$1</f>
        <v>3619550</v>
      </c>
      <c r="EX182" s="8">
        <f>+MINVU_Mes_Corriente!EX182*SALUD_Mes_Constante!$EP$1</f>
        <v>3619550</v>
      </c>
      <c r="EY182" s="8">
        <f>+MINVU_Mes_Corriente!EY182*SALUD_Mes_Constante!$EP$1</f>
        <v>3619550</v>
      </c>
      <c r="EZ182" s="8">
        <f>+MINVU_Mes_Corriente!EZ182*SALUD_Mes_Constante!$EP$1</f>
        <v>3619550</v>
      </c>
      <c r="FA182" s="8">
        <f>+MINVU_Mes_Corriente!FA182*SALUD_Mes_Constante!$EP$1</f>
        <v>2792054</v>
      </c>
      <c r="FB182" s="9">
        <f t="shared" si="87"/>
        <v>2792054</v>
      </c>
      <c r="FC182" s="8">
        <f>+MINVU_Mes_Corriente!FC182*SALUD_Mes_Constante!$FC$1</f>
        <v>822621</v>
      </c>
      <c r="FD182" s="8">
        <f>+MINVU_Mes_Corriente!FD182*SALUD_Mes_Constante!$FC$1</f>
        <v>822621</v>
      </c>
      <c r="FE182" s="8">
        <f>+MINVU_Mes_Corriente!FE182*SALUD_Mes_Constante!$FC$1</f>
        <v>987328</v>
      </c>
      <c r="FF182" s="8">
        <f>+MINVU_Mes_Corriente!FF182*SALUD_Mes_Constante!$FC$1</f>
        <v>987328</v>
      </c>
      <c r="FG182" s="8">
        <f>+MINVU_Mes_Corriente!FG182*SALUD_Mes_Constante!$FC$1</f>
        <v>987328</v>
      </c>
      <c r="FH182" s="8">
        <f>+MINVU_Mes_Corriente!FH182*SALUD_Mes_Constante!$FC$1</f>
        <v>987328</v>
      </c>
      <c r="FI182" s="8">
        <f>+MINVU_Mes_Corriente!FI182*SALUD_Mes_Constante!$FC$1</f>
        <v>1494179</v>
      </c>
      <c r="FJ182" s="8"/>
      <c r="FK182" s="8"/>
      <c r="FL182" s="8"/>
      <c r="FM182" s="8"/>
      <c r="FN182" s="8"/>
      <c r="FO182" s="9">
        <f t="shared" si="88"/>
        <v>1494179</v>
      </c>
    </row>
    <row r="183" spans="2:171" ht="14.25" customHeight="1" x14ac:dyDescent="0.3">
      <c r="B183" s="35" t="s">
        <v>71</v>
      </c>
      <c r="C183" s="8">
        <f>+MINVU_Mes_Corriente!C183*SALUD_Mes_Constante!$C$1</f>
        <v>389907.34569182864</v>
      </c>
      <c r="D183" s="8">
        <f>+MINVU_Mes_Corriente!D183*SALUD_Mes_Constante!$C$1</f>
        <v>1346351.205398191</v>
      </c>
      <c r="E183" s="8">
        <f>+MINVU_Mes_Corriente!E183*SALUD_Mes_Constante!$C$1</f>
        <v>1346351.205398191</v>
      </c>
      <c r="F183" s="8">
        <f>+MINVU_Mes_Corriente!F183*SALUD_Mes_Constante!$C$1</f>
        <v>1346351.205398191</v>
      </c>
      <c r="G183" s="8">
        <f>+MINVU_Mes_Corriente!G183*SALUD_Mes_Constante!$C$1</f>
        <v>1379697.9472045086</v>
      </c>
      <c r="H183" s="8">
        <f>+MINVU_Mes_Corriente!H183*SALUD_Mes_Constante!$C$1</f>
        <v>1394718.5641405904</v>
      </c>
      <c r="I183" s="8">
        <f>+MINVU_Mes_Corriente!I183*SALUD_Mes_Constante!$C$1</f>
        <v>1394718.5641405904</v>
      </c>
      <c r="J183" s="8">
        <f>+MINVU_Mes_Corriente!J183*SALUD_Mes_Constante!$C$1</f>
        <v>1394718.5641405904</v>
      </c>
      <c r="K183" s="8">
        <f>+MINVU_Mes_Corriente!K183*SALUD_Mes_Constante!$C$1</f>
        <v>1451213.5835681451</v>
      </c>
      <c r="L183" s="8">
        <f>+MINVU_Mes_Corriente!L183*SALUD_Mes_Constante!$C$1</f>
        <v>1451213.5835681451</v>
      </c>
      <c r="M183" s="8">
        <f>+MINVU_Mes_Corriente!M183*SALUD_Mes_Constante!$C$1</f>
        <v>7868653.0740026711</v>
      </c>
      <c r="N183" s="8">
        <f>+MINVU_Mes_Corriente!N183*SALUD_Mes_Constante!$C$1</f>
        <v>7925365.2199317822</v>
      </c>
      <c r="O183" s="9">
        <f t="shared" si="76"/>
        <v>7925365.2199317822</v>
      </c>
      <c r="P183" s="8">
        <f>+MINVU_Mes_Corriente!P183*SALUD_Mes_Constante!$P$1</f>
        <v>384716.58275323187</v>
      </c>
      <c r="Q183" s="8">
        <f>+MINVU_Mes_Corriente!Q183*SALUD_Mes_Constante!$P$1</f>
        <v>384716.58275323187</v>
      </c>
      <c r="R183" s="8">
        <f>+MINVU_Mes_Corriente!R183*SALUD_Mes_Constante!$P$1</f>
        <v>435877.39536866016</v>
      </c>
      <c r="S183" s="8">
        <f>+MINVU_Mes_Corriente!S183*SALUD_Mes_Constante!$P$1</f>
        <v>4629828.4713737732</v>
      </c>
      <c r="T183" s="8">
        <f>+MINVU_Mes_Corriente!T183*SALUD_Mes_Constante!$P$1</f>
        <v>4629828.4713737732</v>
      </c>
      <c r="U183" s="8">
        <f>+MINVU_Mes_Corriente!U183*SALUD_Mes_Constante!$P$1</f>
        <v>6620777.2609745674</v>
      </c>
      <c r="V183" s="8">
        <f>+MINVU_Mes_Corriente!V183*SALUD_Mes_Constante!$P$1</f>
        <v>6620777.2609745674</v>
      </c>
      <c r="W183" s="8">
        <f>+MINVU_Mes_Corriente!W183*SALUD_Mes_Constante!$P$1</f>
        <v>6709569.8315101555</v>
      </c>
      <c r="X183" s="8">
        <f>+MINVU_Mes_Corriente!X183*SALUD_Mes_Constante!$P$1</f>
        <v>6709569.8315101555</v>
      </c>
      <c r="Y183" s="8">
        <f>+MINVU_Mes_Corriente!Y183*SALUD_Mes_Constante!$P$1</f>
        <v>7074338.9748543799</v>
      </c>
      <c r="Z183" s="8">
        <f>+MINVU_Mes_Corriente!Z183*SALUD_Mes_Constante!$P$1</f>
        <v>7984343.3027418638</v>
      </c>
      <c r="AA183" s="8">
        <f>+MINVU_Mes_Corriente!AA183*SALUD_Mes_Constante!$P$1</f>
        <v>8941651.2035800498</v>
      </c>
      <c r="AB183" s="9">
        <f t="shared" si="77"/>
        <v>8941651.2035800498</v>
      </c>
      <c r="AC183" s="8">
        <f>+MINVU_Mes_Corriente!AC183*SALUD_Mes_Constante!$AC$1</f>
        <v>388839.54820860422</v>
      </c>
      <c r="AD183" s="8">
        <f>+MINVU_Mes_Corriente!AD183*SALUD_Mes_Constante!$AC$1</f>
        <v>388839.54820860422</v>
      </c>
      <c r="AE183" s="8">
        <f>+MINVU_Mes_Corriente!AE183*SALUD_Mes_Constante!$AC$1</f>
        <v>440549.49951583898</v>
      </c>
      <c r="AF183" s="8">
        <f>+MINVU_Mes_Corriente!AF183*SALUD_Mes_Constante!$AC$1</f>
        <v>440549.49951583898</v>
      </c>
      <c r="AG183" s="8">
        <f>+MINVU_Mes_Corriente!AG183*SALUD_Mes_Constante!$AC$1</f>
        <v>440549.49951583898</v>
      </c>
      <c r="AH183" s="8">
        <f>+MINVU_Mes_Corriente!AH183*SALUD_Mes_Constante!$AC$1</f>
        <v>483893.78337252734</v>
      </c>
      <c r="AI183" s="8">
        <f>+MINVU_Mes_Corriente!AI183*SALUD_Mes_Constante!$AC$1</f>
        <v>702570.97025868029</v>
      </c>
      <c r="AJ183" s="8">
        <f>+MINVU_Mes_Corriente!AJ183*SALUD_Mes_Constante!$AC$1</f>
        <v>702570.97025868029</v>
      </c>
      <c r="AK183" s="8">
        <f>+MINVU_Mes_Corriente!AK183*SALUD_Mes_Constante!$AC$1</f>
        <v>702570.97025868029</v>
      </c>
      <c r="AL183" s="8">
        <f>+MINVU_Mes_Corriente!AL183*SALUD_Mes_Constante!$AC$1</f>
        <v>705140.37128233502</v>
      </c>
      <c r="AM183" s="8">
        <f>+MINVU_Mes_Corriente!AM183*SALUD_Mes_Constante!$AC$1</f>
        <v>962098.61059620965</v>
      </c>
      <c r="AN183" s="8">
        <f>+MINVU_Mes_Corriente!AN183*SALUD_Mes_Constante!$AC$1</f>
        <v>1365727.3288144972</v>
      </c>
      <c r="AO183" s="9">
        <f t="shared" si="78"/>
        <v>1365727.3288144972</v>
      </c>
      <c r="AP183" s="8">
        <f>+MINVU_Mes_Corriente!AP183*SALUD_Mes_Constante!$AP$1</f>
        <v>391620.17611253884</v>
      </c>
      <c r="AQ183" s="8">
        <f>+MINVU_Mes_Corriente!AQ183*SALUD_Mes_Constante!$AP$1</f>
        <v>391620.17611253884</v>
      </c>
      <c r="AR183" s="8">
        <f>+MINVU_Mes_Corriente!AR183*SALUD_Mes_Constante!$AP$1</f>
        <v>391620.17611253884</v>
      </c>
      <c r="AS183" s="8">
        <f>+MINVU_Mes_Corriente!AS183*SALUD_Mes_Constante!$AP$1</f>
        <v>391620.17611253884</v>
      </c>
      <c r="AT183" s="8">
        <f>+MINVU_Mes_Corriente!AT183*SALUD_Mes_Constante!$AP$1</f>
        <v>391620.17611253884</v>
      </c>
      <c r="AU183" s="8">
        <f>+MINVU_Mes_Corriente!AU183*SALUD_Mes_Constante!$AP$1</f>
        <v>394132.57973758958</v>
      </c>
      <c r="AV183" s="8">
        <f>+MINVU_Mes_Corriente!AV183*SALUD_Mes_Constante!$AP$1</f>
        <v>419380.75828486402</v>
      </c>
      <c r="AW183" s="8">
        <f>+MINVU_Mes_Corriente!AW183*SALUD_Mes_Constante!$AP$1</f>
        <v>584903.82064114697</v>
      </c>
      <c r="AX183" s="8">
        <f>+MINVU_Mes_Corriente!AX183*SALUD_Mes_Constante!$AP$1</f>
        <v>644019.20005410514</v>
      </c>
      <c r="AY183" s="8">
        <f>+MINVU_Mes_Corriente!AY183*SALUD_Mes_Constante!$AP$1</f>
        <v>656392.04896523734</v>
      </c>
      <c r="AZ183" s="8">
        <f>+MINVU_Mes_Corriente!AZ183*SALUD_Mes_Constante!$AP$1</f>
        <v>656392.04896523734</v>
      </c>
      <c r="BA183" s="8">
        <f>+MINVU_Mes_Corriente!BA183*SALUD_Mes_Constante!$AP$1</f>
        <v>656392.04896523734</v>
      </c>
      <c r="BB183" s="9">
        <f t="shared" si="79"/>
        <v>656392.04896523734</v>
      </c>
      <c r="BC183" s="8">
        <f>+MINVU_Mes_Corriente!BC183*SALUD_Mes_Constante!$BC$1</f>
        <v>391735.21060266392</v>
      </c>
      <c r="BD183" s="8">
        <f>+MINVU_Mes_Corriente!BD183*SALUD_Mes_Constante!$BC$1</f>
        <v>391735.21060266392</v>
      </c>
      <c r="BE183" s="8">
        <f>+MINVU_Mes_Corriente!BE183*SALUD_Mes_Constante!$BC$1</f>
        <v>391735.21060266392</v>
      </c>
      <c r="BF183" s="8">
        <f>+MINVU_Mes_Corriente!BF183*SALUD_Mes_Constante!$BC$1</f>
        <v>391735.21060266392</v>
      </c>
      <c r="BG183" s="8">
        <f>+MINVU_Mes_Corriente!BG183*SALUD_Mes_Constante!$BC$1</f>
        <v>391735.21060266392</v>
      </c>
      <c r="BH183" s="8">
        <f>+MINVU_Mes_Corriente!BH183*SALUD_Mes_Constante!$BC$1</f>
        <v>391735.21060266392</v>
      </c>
      <c r="BI183" s="8">
        <f>+MINVU_Mes_Corriente!BI183*SALUD_Mes_Constante!$BC$1</f>
        <v>351797.60437821451</v>
      </c>
      <c r="BJ183" s="8">
        <f>+MINVU_Mes_Corriente!BJ183*SALUD_Mes_Constante!$BC$1</f>
        <v>3105717.3010681798</v>
      </c>
      <c r="BK183" s="8">
        <f>+MINVU_Mes_Corriente!BK183*SALUD_Mes_Constante!$BC$1</f>
        <v>5004910.555980484</v>
      </c>
      <c r="BL183" s="8">
        <f>+MINVU_Mes_Corriente!BL183*SALUD_Mes_Constante!$BC$1</f>
        <v>5004910.555980484</v>
      </c>
      <c r="BM183" s="8">
        <f>+MINVU_Mes_Corriente!BM183*SALUD_Mes_Constante!$BC$1</f>
        <v>5025606.9906369522</v>
      </c>
      <c r="BN183" s="8">
        <f>+MINVU_Mes_Corriente!BN183*SALUD_Mes_Constante!$BC$1</f>
        <v>5523226.2790452344</v>
      </c>
      <c r="BO183" s="9">
        <f t="shared" si="80"/>
        <v>5523226.2790452344</v>
      </c>
      <c r="BP183" s="8">
        <f>+MINVU_Mes_Corriente!BP183*SALUD_Mes_Constante!$BP$1</f>
        <v>0</v>
      </c>
      <c r="BQ183" s="8">
        <f>+MINVU_Mes_Corriente!BQ183*SALUD_Mes_Constante!$BP$1</f>
        <v>0</v>
      </c>
      <c r="BR183" s="8">
        <f>+MINVU_Mes_Corriente!BR183*SALUD_Mes_Constante!$BP$1</f>
        <v>245619.55774647891</v>
      </c>
      <c r="BS183" s="8">
        <f>+MINVU_Mes_Corriente!BS183*SALUD_Mes_Constante!$BP$1</f>
        <v>245619.55774647891</v>
      </c>
      <c r="BT183" s="8">
        <f>+MINVU_Mes_Corriente!BT183*SALUD_Mes_Constante!$BP$1</f>
        <v>305937.79282970552</v>
      </c>
      <c r="BU183" s="8">
        <f>+MINVU_Mes_Corriente!BU183*SALUD_Mes_Constante!$BP$1</f>
        <v>313660.13854033296</v>
      </c>
      <c r="BV183" s="8">
        <f>+MINVU_Mes_Corriente!BV183*SALUD_Mes_Constante!$BP$1</f>
        <v>381685.33060179261</v>
      </c>
      <c r="BW183" s="8">
        <f>+MINVU_Mes_Corriente!BW183*SALUD_Mes_Constante!$BP$1</f>
        <v>1124630.9469910373</v>
      </c>
      <c r="BX183" s="8">
        <f>+MINVU_Mes_Corriente!BX183*SALUD_Mes_Constante!$BP$1</f>
        <v>2522876.3539052499</v>
      </c>
      <c r="BY183" s="8">
        <f>+MINVU_Mes_Corriente!BY183*SALUD_Mes_Constante!$BP$1</f>
        <v>2522876.3539052499</v>
      </c>
      <c r="BZ183" s="8">
        <f>+MINVU_Mes_Corriente!BZ183*SALUD_Mes_Constante!$BP$1</f>
        <v>2522876.3539052499</v>
      </c>
      <c r="CA183" s="8">
        <f>+MINVU_Mes_Corriente!CA183*SALUD_Mes_Constante!$BP$1</f>
        <v>2677505.1349551859</v>
      </c>
      <c r="CB183" s="9">
        <f t="shared" si="81"/>
        <v>2677505.1349551859</v>
      </c>
      <c r="CC183" s="8">
        <f>+MINVU_Mes_Corriente!CC183*SALUD_Mes_Constante!$CC$1</f>
        <v>147785.59492726595</v>
      </c>
      <c r="CD183" s="8">
        <f>+MINVU_Mes_Corriente!CD183*SALUD_Mes_Constante!$CC$1</f>
        <v>147785.59492726595</v>
      </c>
      <c r="CE183" s="8">
        <f>+MINVU_Mes_Corriente!CE183*SALUD_Mes_Constante!$CC$1</f>
        <v>147785.59492726595</v>
      </c>
      <c r="CF183" s="8">
        <f>+MINVU_Mes_Corriente!CF183*SALUD_Mes_Constante!$CC$1</f>
        <v>333656.6475195823</v>
      </c>
      <c r="CG183" s="8">
        <f>+MINVU_Mes_Corriente!CG183*SALUD_Mes_Constante!$CC$1</f>
        <v>333656.6475195823</v>
      </c>
      <c r="CH183" s="8">
        <f>+MINVU_Mes_Corriente!CH183*SALUD_Mes_Constante!$CC$1</f>
        <v>1660124.3968668408</v>
      </c>
      <c r="CI183" s="8">
        <f>+MINVU_Mes_Corriente!CI183*SALUD_Mes_Constante!$CC$1</f>
        <v>3791118.2327489746</v>
      </c>
      <c r="CJ183" s="8">
        <f>+MINVU_Mes_Corriente!CJ183*SALUD_Mes_Constante!$CC$1</f>
        <v>4482504.59082432</v>
      </c>
      <c r="CK183" s="8">
        <f>+MINVU_Mes_Corriente!CK183*SALUD_Mes_Constante!$CC$1</f>
        <v>7457040.5080193961</v>
      </c>
      <c r="CL183" s="8">
        <f>+MINVU_Mes_Corriente!CL183*SALUD_Mes_Constante!$CC$1</f>
        <v>7856232.7788138762</v>
      </c>
      <c r="CM183" s="8">
        <f>+MINVU_Mes_Corriente!CM183*SALUD_Mes_Constante!$CC$1</f>
        <v>7856232.7788138762</v>
      </c>
      <c r="CN183" s="8">
        <f>+MINVU_Mes_Corriente!CN183*SALUD_Mes_Constante!$CC$1</f>
        <v>7856232.7788138762</v>
      </c>
      <c r="CO183" s="9">
        <f t="shared" si="82"/>
        <v>7856232.7788138762</v>
      </c>
      <c r="CP183" s="8">
        <f>+MINVU_Mes_Corriente!CP183*SALUD_Mes_Constante!$CP$1</f>
        <v>589143.35568445467</v>
      </c>
      <c r="CQ183" s="8">
        <f>+MINVU_Mes_Corriente!CQ183*SALUD_Mes_Constante!$CP$1</f>
        <v>589143.35568445467</v>
      </c>
      <c r="CR183" s="8">
        <f>+MINVU_Mes_Corriente!CR183*SALUD_Mes_Constante!$CP$1</f>
        <v>3329922.850580046</v>
      </c>
      <c r="CS183" s="8">
        <f>+MINVU_Mes_Corriente!CS183*SALUD_Mes_Constante!$CP$1</f>
        <v>3329922.850580046</v>
      </c>
      <c r="CT183" s="8">
        <f>+MINVU_Mes_Corriente!CT183*SALUD_Mes_Constante!$CP$1</f>
        <v>3823539.7573085837</v>
      </c>
      <c r="CU183" s="8">
        <f>+MINVU_Mes_Corriente!CU183*SALUD_Mes_Constante!$CP$1</f>
        <v>3823539.7573085837</v>
      </c>
      <c r="CV183" s="8">
        <f>+MINVU_Mes_Corriente!CV183*SALUD_Mes_Constante!$CP$1</f>
        <v>3823539.7573085837</v>
      </c>
      <c r="CW183" s="8">
        <f>+MINVU_Mes_Corriente!CW183*SALUD_Mes_Constante!$CP$1</f>
        <v>3838116.2074245932</v>
      </c>
      <c r="CX183" s="8">
        <f>+MINVU_Mes_Corriente!CX183*SALUD_Mes_Constante!$CP$1</f>
        <v>3838116.2074245932</v>
      </c>
      <c r="CY183" s="8">
        <f>+MINVU_Mes_Corriente!CY183*SALUD_Mes_Constante!$CP$1</f>
        <v>4117843.3552204166</v>
      </c>
      <c r="CZ183" s="8">
        <f>+MINVU_Mes_Corriente!CZ183*SALUD_Mes_Constante!$CP$1</f>
        <v>4221133.3482598597</v>
      </c>
      <c r="DA183" s="8">
        <f>+MINVU_Mes_Corriente!DA183*SALUD_Mes_Constante!$CP$1</f>
        <v>4088414.1361948946</v>
      </c>
      <c r="DB183" s="9">
        <f t="shared" si="83"/>
        <v>4088414.1361948946</v>
      </c>
      <c r="DC183" s="8">
        <f>+MINVU_Mes_Corriente!DC183*SALUD_Mes_Constante!$DC$1</f>
        <v>721440.8239893018</v>
      </c>
      <c r="DD183" s="8">
        <f>+MINVU_Mes_Corriente!DD183*SALUD_Mes_Constante!$DC$1</f>
        <v>721440.8239893018</v>
      </c>
      <c r="DE183" s="8">
        <f>+MINVU_Mes_Corriente!DE183*SALUD_Mes_Constante!$DC$1</f>
        <v>721440.8239893018</v>
      </c>
      <c r="DF183" s="8">
        <f>+MINVU_Mes_Corriente!DF183*SALUD_Mes_Constante!$DC$1</f>
        <v>721440.8239893018</v>
      </c>
      <c r="DG183" s="8">
        <f>+MINVU_Mes_Corriente!DG183*SALUD_Mes_Constante!$DC$1</f>
        <v>1173204.6795597167</v>
      </c>
      <c r="DH183" s="8">
        <f>+MINVU_Mes_Corriente!DH183*SALUD_Mes_Constante!$DC$1</f>
        <v>1173204.6795597167</v>
      </c>
      <c r="DI183" s="8">
        <f>+MINVU_Mes_Corriente!DI183*SALUD_Mes_Constante!$DC$1</f>
        <v>1276499.8321160381</v>
      </c>
      <c r="DJ183" s="8">
        <f>+MINVU_Mes_Corriente!DJ183*SALUD_Mes_Constante!$DC$1</f>
        <v>1300173.7687480717</v>
      </c>
      <c r="DK183" s="8">
        <f>+MINVU_Mes_Corriente!DK183*SALUD_Mes_Constante!$DC$1</f>
        <v>3425023.9442444211</v>
      </c>
      <c r="DL183" s="8">
        <f>+MINVU_Mes_Corriente!DL183*SALUD_Mes_Constante!$DC$1</f>
        <v>3425023.9442444211</v>
      </c>
      <c r="DM183" s="8">
        <f>+MINVU_Mes_Corriente!DM183*SALUD_Mes_Constante!$DC$1</f>
        <v>3425023.9442444211</v>
      </c>
      <c r="DN183" s="8">
        <f>+MINVU_Mes_Corriente!DN183*SALUD_Mes_Constante!$DC$1</f>
        <v>3425023.9442444211</v>
      </c>
      <c r="DO183" s="9">
        <f t="shared" si="84"/>
        <v>3425023.9442444211</v>
      </c>
      <c r="DP183" s="8">
        <f>+MINVU_Mes_Corriente!DP183*SALUD_Mes_Constante!$DP$1</f>
        <v>737821.83669833734</v>
      </c>
      <c r="DQ183" s="8">
        <f>+MINVU_Mes_Corriente!DQ183*SALUD_Mes_Constante!$DP$1</f>
        <v>7112133.9334916873</v>
      </c>
      <c r="DR183" s="8">
        <f>+MINVU_Mes_Corriente!DR183*SALUD_Mes_Constante!$DP$1</f>
        <v>7112133.9334916873</v>
      </c>
      <c r="DS183" s="8">
        <f>+MINVU_Mes_Corriente!DS183*SALUD_Mes_Constante!$DP$1</f>
        <v>10352989.476840856</v>
      </c>
      <c r="DT183" s="8">
        <f>+MINVU_Mes_Corriente!DT183*SALUD_Mes_Constante!$DP$1</f>
        <v>10352989.476840856</v>
      </c>
      <c r="DU183" s="8">
        <f>+MINVU_Mes_Corriente!DU183*SALUD_Mes_Constante!$DP$1</f>
        <v>10414340.091448933</v>
      </c>
      <c r="DV183" s="8">
        <f>+MINVU_Mes_Corriente!DV183*SALUD_Mes_Constante!$DP$1</f>
        <v>10433308.120546319</v>
      </c>
      <c r="DW183" s="8">
        <f>+MINVU_Mes_Corriente!DW183*SALUD_Mes_Constante!$DP$1</f>
        <v>10448132.401425179</v>
      </c>
      <c r="DX183" s="8">
        <f>+MINVU_Mes_Corriente!DX183*SALUD_Mes_Constante!$DP$1</f>
        <v>10634734.077790976</v>
      </c>
      <c r="DY183" s="8">
        <f>+MINVU_Mes_Corriente!DY183*SALUD_Mes_Constante!$DP$1</f>
        <v>10634734.077790976</v>
      </c>
      <c r="DZ183" s="8">
        <f>+MINVU_Mes_Corriente!DZ183*SALUD_Mes_Constante!$DP$1</f>
        <v>10634734.077790976</v>
      </c>
      <c r="EA183" s="8">
        <f>+MINVU_Mes_Corriente!EA183*SALUD_Mes_Constante!$DP$1</f>
        <v>10634734.077790976</v>
      </c>
      <c r="EB183" s="9">
        <f t="shared" si="85"/>
        <v>10634734.077790976</v>
      </c>
      <c r="EC183" s="8">
        <f>+MINVU_Mes_Corriente!EC183*SALUD_Mes_Constante!$EC$1</f>
        <v>646506.37833743589</v>
      </c>
      <c r="ED183" s="8">
        <f>+MINVU_Mes_Corriente!ED183*SALUD_Mes_Constante!$EC$1</f>
        <v>646506.37833743589</v>
      </c>
      <c r="EE183" s="8">
        <f>+MINVU_Mes_Corriente!EE183*SALUD_Mes_Constante!$EC$1</f>
        <v>4117896.8504071184</v>
      </c>
      <c r="EF183" s="8">
        <f>+MINVU_Mes_Corriente!EF183*SALUD_Mes_Constante!$EC$1</f>
        <v>5379665.715962884</v>
      </c>
      <c r="EG183" s="8">
        <f>+MINVU_Mes_Corriente!EG183*SALUD_Mes_Constante!$EC$1</f>
        <v>5661085.2145426981</v>
      </c>
      <c r="EH183" s="8">
        <f>+MINVU_Mes_Corriente!EH183*SALUD_Mes_Constante!$EC$1</f>
        <v>6116066.9437606493</v>
      </c>
      <c r="EI183" s="8">
        <f>+MINVU_Mes_Corriente!EI183*SALUD_Mes_Constante!$EC$1</f>
        <v>6116066.9437606493</v>
      </c>
      <c r="EJ183" s="8">
        <f>+MINVU_Mes_Corriente!EJ183*SALUD_Mes_Constante!$EC$1</f>
        <v>6116066.9437606493</v>
      </c>
      <c r="EK183" s="8">
        <f>+MINVU_Mes_Corriente!EK183*SALUD_Mes_Constante!$EC$1</f>
        <v>6046719.6362431338</v>
      </c>
      <c r="EL183" s="8">
        <f>+MINVU_Mes_Corriente!EL183*SALUD_Mes_Constante!$EC$1</f>
        <v>6046719.6362431338</v>
      </c>
      <c r="EM183" s="8">
        <f>+MINVU_Mes_Corriente!EM183*SALUD_Mes_Constante!$EC$1</f>
        <v>6046719.6362431338</v>
      </c>
      <c r="EN183" s="8">
        <f>+MINVU_Mes_Corriente!EN183*SALUD_Mes_Constante!$EC$1</f>
        <v>2792324.3654610859</v>
      </c>
      <c r="EO183" s="9">
        <f t="shared" si="86"/>
        <v>2792324.3654610859</v>
      </c>
      <c r="EP183" s="8">
        <f>+MINVU_Mes_Corriente!EP183*SALUD_Mes_Constante!$EP$1</f>
        <v>651217</v>
      </c>
      <c r="EQ183" s="8">
        <f>+MINVU_Mes_Corriente!EQ183*SALUD_Mes_Constante!$EP$1</f>
        <v>3922505</v>
      </c>
      <c r="ER183" s="8">
        <f>+MINVU_Mes_Corriente!ER183*SALUD_Mes_Constante!$EP$1</f>
        <v>3922505</v>
      </c>
      <c r="ES183" s="8">
        <f>+MINVU_Mes_Corriente!ES183*SALUD_Mes_Constante!$EP$1</f>
        <v>4762594</v>
      </c>
      <c r="ET183" s="8">
        <f>+MINVU_Mes_Corriente!ET183*SALUD_Mes_Constante!$EP$1</f>
        <v>4788854</v>
      </c>
      <c r="EU183" s="8">
        <f>+MINVU_Mes_Corriente!EU183*SALUD_Mes_Constante!$EP$1</f>
        <v>4788854</v>
      </c>
      <c r="EV183" s="8">
        <f>+MINVU_Mes_Corriente!EV183*SALUD_Mes_Constante!$EP$1</f>
        <v>4788854</v>
      </c>
      <c r="EW183" s="8">
        <f>+MINVU_Mes_Corriente!EW183*SALUD_Mes_Constante!$EP$1</f>
        <v>4788854</v>
      </c>
      <c r="EX183" s="8">
        <f>+MINVU_Mes_Corriente!EX183*SALUD_Mes_Constante!$EP$1</f>
        <v>4788854</v>
      </c>
      <c r="EY183" s="8">
        <f>+MINVU_Mes_Corriente!EY183*SALUD_Mes_Constante!$EP$1</f>
        <v>4788854</v>
      </c>
      <c r="EZ183" s="8">
        <f>+MINVU_Mes_Corriente!EZ183*SALUD_Mes_Constante!$EP$1</f>
        <v>4788854</v>
      </c>
      <c r="FA183" s="8">
        <f>+MINVU_Mes_Corriente!FA183*SALUD_Mes_Constante!$EP$1</f>
        <v>4463270</v>
      </c>
      <c r="FB183" s="9">
        <f t="shared" si="87"/>
        <v>4463270</v>
      </c>
      <c r="FC183" s="8">
        <f>+MINVU_Mes_Corriente!FC183*SALUD_Mes_Constante!$FC$1</f>
        <v>671405</v>
      </c>
      <c r="FD183" s="8">
        <f>+MINVU_Mes_Corriente!FD183*SALUD_Mes_Constante!$FC$1</f>
        <v>671405</v>
      </c>
      <c r="FE183" s="8">
        <f>+MINVU_Mes_Corriente!FE183*SALUD_Mes_Constante!$FC$1</f>
        <v>671405</v>
      </c>
      <c r="FF183" s="8">
        <f>+MINVU_Mes_Corriente!FF183*SALUD_Mes_Constante!$FC$1</f>
        <v>671405</v>
      </c>
      <c r="FG183" s="8">
        <f>+MINVU_Mes_Corriente!FG183*SALUD_Mes_Constante!$FC$1</f>
        <v>671405</v>
      </c>
      <c r="FH183" s="8">
        <f>+MINVU_Mes_Corriente!FH183*SALUD_Mes_Constante!$FC$1</f>
        <v>671405</v>
      </c>
      <c r="FI183" s="8">
        <f>+MINVU_Mes_Corriente!FI183*SALUD_Mes_Constante!$FC$1</f>
        <v>3231938</v>
      </c>
      <c r="FJ183" s="8"/>
      <c r="FK183" s="8"/>
      <c r="FL183" s="8"/>
      <c r="FM183" s="8"/>
      <c r="FN183" s="8"/>
      <c r="FO183" s="9">
        <f t="shared" si="88"/>
        <v>3231938</v>
      </c>
    </row>
    <row r="184" spans="2:171" ht="14.25" customHeight="1" x14ac:dyDescent="0.3">
      <c r="B184" s="35" t="s">
        <v>72</v>
      </c>
      <c r="C184" s="8">
        <f>+MINVU_Mes_Corriente!C184*SALUD_Mes_Constante!$C$1</f>
        <v>618470.25656236103</v>
      </c>
      <c r="D184" s="8">
        <f>+MINVU_Mes_Corriente!D184*SALUD_Mes_Constante!$C$1</f>
        <v>2729229.8938158094</v>
      </c>
      <c r="E184" s="8">
        <f>+MINVU_Mes_Corriente!E184*SALUD_Mes_Constante!$C$1</f>
        <v>2729229.8938158094</v>
      </c>
      <c r="F184" s="8">
        <f>+MINVU_Mes_Corriente!F184*SALUD_Mes_Constante!$C$1</f>
        <v>2729229.8938158094</v>
      </c>
      <c r="G184" s="8">
        <f>+MINVU_Mes_Corriente!G184*SALUD_Mes_Constante!$C$1</f>
        <v>2780659.7084383811</v>
      </c>
      <c r="H184" s="8">
        <f>+MINVU_Mes_Corriente!H184*SALUD_Mes_Constante!$C$1</f>
        <v>2805916.0575411543</v>
      </c>
      <c r="I184" s="8">
        <f>+MINVU_Mes_Corriente!I184*SALUD_Mes_Constante!$C$1</f>
        <v>2805916.0575411543</v>
      </c>
      <c r="J184" s="8">
        <f>+MINVU_Mes_Corriente!J184*SALUD_Mes_Constante!$C$1</f>
        <v>2805916.0575411543</v>
      </c>
      <c r="K184" s="8">
        <f>+MINVU_Mes_Corriente!K184*SALUD_Mes_Constante!$C$1</f>
        <v>2904781.5313658612</v>
      </c>
      <c r="L184" s="8">
        <f>+MINVU_Mes_Corriente!L184*SALUD_Mes_Constante!$C$1</f>
        <v>2904781.5313658612</v>
      </c>
      <c r="M184" s="8">
        <f>+MINVU_Mes_Corriente!M184*SALUD_Mes_Constante!$C$1</f>
        <v>8186882.7486282084</v>
      </c>
      <c r="N184" s="8">
        <f>+MINVU_Mes_Corriente!N184*SALUD_Mes_Constante!$C$1</f>
        <v>8219289.6891591288</v>
      </c>
      <c r="O184" s="9">
        <f t="shared" si="76"/>
        <v>8219289.6891591288</v>
      </c>
      <c r="P184" s="8">
        <f>+MINVU_Mes_Corriente!P184*SALUD_Mes_Constante!$P$1</f>
        <v>610237.0458871997</v>
      </c>
      <c r="Q184" s="8">
        <f>+MINVU_Mes_Corriente!Q184*SALUD_Mes_Constante!$P$1</f>
        <v>610237.0458871997</v>
      </c>
      <c r="R184" s="8">
        <f>+MINVU_Mes_Corriente!R184*SALUD_Mes_Constante!$P$1</f>
        <v>1979161.3135388542</v>
      </c>
      <c r="S184" s="8">
        <f>+MINVU_Mes_Corriente!S184*SALUD_Mes_Constante!$P$1</f>
        <v>3818918.7259553899</v>
      </c>
      <c r="T184" s="8">
        <f>+MINVU_Mes_Corriente!T184*SALUD_Mes_Constante!$P$1</f>
        <v>3823406.1625230843</v>
      </c>
      <c r="U184" s="8">
        <f>+MINVU_Mes_Corriente!U184*SALUD_Mes_Constante!$P$1</f>
        <v>4473881.1254439531</v>
      </c>
      <c r="V184" s="8">
        <f>+MINVU_Mes_Corriente!V184*SALUD_Mes_Constante!$P$1</f>
        <v>4613579.9462991888</v>
      </c>
      <c r="W184" s="8">
        <f>+MINVU_Mes_Corriente!W184*SALUD_Mes_Constante!$P$1</f>
        <v>5696475.5348771112</v>
      </c>
      <c r="X184" s="8">
        <f>+MINVU_Mes_Corriente!X184*SALUD_Mes_Constante!$P$1</f>
        <v>5696475.5348771112</v>
      </c>
      <c r="Y184" s="8">
        <f>+MINVU_Mes_Corriente!Y184*SALUD_Mes_Constante!$P$1</f>
        <v>5743041.8084955225</v>
      </c>
      <c r="Z184" s="8">
        <f>+MINVU_Mes_Corriente!Z184*SALUD_Mes_Constante!$P$1</f>
        <v>7878001.4558886178</v>
      </c>
      <c r="AA184" s="8">
        <f>+MINVU_Mes_Corriente!AA184*SALUD_Mes_Constante!$P$1</f>
        <v>11543788.543258982</v>
      </c>
      <c r="AB184" s="9">
        <f t="shared" si="77"/>
        <v>11543788.543258982</v>
      </c>
      <c r="AC184" s="8">
        <f>+MINVU_Mes_Corriente!AC184*SALUD_Mes_Constante!$AC$1</f>
        <v>616777.1586664822</v>
      </c>
      <c r="AD184" s="8">
        <f>+MINVU_Mes_Corriente!AD184*SALUD_Mes_Constante!$AC$1</f>
        <v>616777.1586664822</v>
      </c>
      <c r="AE184" s="8">
        <f>+MINVU_Mes_Corriente!AE184*SALUD_Mes_Constante!$AC$1</f>
        <v>616777.1586664822</v>
      </c>
      <c r="AF184" s="8">
        <f>+MINVU_Mes_Corriente!AF184*SALUD_Mes_Constante!$AC$1</f>
        <v>616777.1586664822</v>
      </c>
      <c r="AG184" s="8">
        <f>+MINVU_Mes_Corriente!AG184*SALUD_Mes_Constante!$AC$1</f>
        <v>719943.1440033199</v>
      </c>
      <c r="AH184" s="8">
        <f>+MINVU_Mes_Corriente!AH184*SALUD_Mes_Constante!$AC$1</f>
        <v>725434.10513210681</v>
      </c>
      <c r="AI184" s="8">
        <f>+MINVU_Mes_Corriente!AI184*SALUD_Mes_Constante!$AC$1</f>
        <v>993481.57698160189</v>
      </c>
      <c r="AJ184" s="8">
        <f>+MINVU_Mes_Corriente!AJ184*SALUD_Mes_Constante!$AC$1</f>
        <v>993481.57698160189</v>
      </c>
      <c r="AK184" s="8">
        <f>+MINVU_Mes_Corriente!AK184*SALUD_Mes_Constante!$AC$1</f>
        <v>993481.57698160189</v>
      </c>
      <c r="AL184" s="8">
        <f>+MINVU_Mes_Corriente!AL184*SALUD_Mes_Constante!$AC$1</f>
        <v>994237.28316502972</v>
      </c>
      <c r="AM184" s="8">
        <f>+MINVU_Mes_Corriente!AM184*SALUD_Mes_Constante!$AC$1</f>
        <v>1001587.2815050491</v>
      </c>
      <c r="AN184" s="8">
        <f>+MINVU_Mes_Corriente!AN184*SALUD_Mes_Constante!$AC$1</f>
        <v>1880670.0564393415</v>
      </c>
      <c r="AO184" s="9">
        <f t="shared" si="78"/>
        <v>1880670.0564393415</v>
      </c>
      <c r="AP184" s="8">
        <f>+MINVU_Mes_Corriente!AP184*SALUD_Mes_Constante!$AP$1</f>
        <v>621187.36264033546</v>
      </c>
      <c r="AQ184" s="8">
        <f>+MINVU_Mes_Corriente!AQ184*SALUD_Mes_Constante!$AP$1</f>
        <v>621187.36264033546</v>
      </c>
      <c r="AR184" s="8">
        <f>+MINVU_Mes_Corriente!AR184*SALUD_Mes_Constante!$AP$1</f>
        <v>621187.36264033546</v>
      </c>
      <c r="AS184" s="8">
        <f>+MINVU_Mes_Corriente!AS184*SALUD_Mes_Constante!$AP$1</f>
        <v>621187.36264033546</v>
      </c>
      <c r="AT184" s="8">
        <f>+MINVU_Mes_Corriente!AT184*SALUD_Mes_Constante!$AP$1</f>
        <v>621187.36264033546</v>
      </c>
      <c r="AU184" s="8">
        <f>+MINVU_Mes_Corriente!AU184*SALUD_Mes_Constante!$AP$1</f>
        <v>745922.29108616256</v>
      </c>
      <c r="AV184" s="8">
        <f>+MINVU_Mes_Corriente!AV184*SALUD_Mes_Constante!$AP$1</f>
        <v>745922.29108616256</v>
      </c>
      <c r="AW184" s="8">
        <f>+MINVU_Mes_Corriente!AW184*SALUD_Mes_Constante!$AP$1</f>
        <v>745922.29108616256</v>
      </c>
      <c r="AX184" s="8">
        <f>+MINVU_Mes_Corriente!AX184*SALUD_Mes_Constante!$AP$1</f>
        <v>843507.00365210325</v>
      </c>
      <c r="AY184" s="8">
        <f>+MINVU_Mes_Corriente!AY184*SALUD_Mes_Constante!$AP$1</f>
        <v>843507.00365210325</v>
      </c>
      <c r="AZ184" s="8">
        <f>+MINVU_Mes_Corriente!AZ184*SALUD_Mes_Constante!$AP$1</f>
        <v>868778.82835114293</v>
      </c>
      <c r="BA184" s="8">
        <f>+MINVU_Mes_Corriente!BA184*SALUD_Mes_Constante!$AP$1</f>
        <v>868778.82835114293</v>
      </c>
      <c r="BB184" s="9">
        <f t="shared" si="79"/>
        <v>868778.82835114293</v>
      </c>
      <c r="BC184" s="8">
        <f>+MINVU_Mes_Corriente!BC184*SALUD_Mes_Constante!$BC$1</f>
        <v>621368.52169326134</v>
      </c>
      <c r="BD184" s="8">
        <f>+MINVU_Mes_Corriente!BD184*SALUD_Mes_Constante!$BC$1</f>
        <v>621368.52169326134</v>
      </c>
      <c r="BE184" s="8">
        <f>+MINVU_Mes_Corriente!BE184*SALUD_Mes_Constante!$BC$1</f>
        <v>621368.52169326134</v>
      </c>
      <c r="BF184" s="8">
        <f>+MINVU_Mes_Corriente!BF184*SALUD_Mes_Constante!$BC$1</f>
        <v>621368.52169326134</v>
      </c>
      <c r="BG184" s="8">
        <f>+MINVU_Mes_Corriente!BG184*SALUD_Mes_Constante!$BC$1</f>
        <v>621368.52169326134</v>
      </c>
      <c r="BH184" s="8">
        <f>+MINVU_Mes_Corriente!BH184*SALUD_Mes_Constante!$BC$1</f>
        <v>621368.52169326134</v>
      </c>
      <c r="BI184" s="8">
        <f>+MINVU_Mes_Corriente!BI184*SALUD_Mes_Constante!$BC$1</f>
        <v>558019.91085322446</v>
      </c>
      <c r="BJ184" s="8">
        <f>+MINVU_Mes_Corriente!BJ184*SALUD_Mes_Constante!$BC$1</f>
        <v>3177349.3846762502</v>
      </c>
      <c r="BK184" s="8">
        <f>+MINVU_Mes_Corriente!BK184*SALUD_Mes_Constante!$BC$1</f>
        <v>3177349.3846762502</v>
      </c>
      <c r="BL184" s="8">
        <f>+MINVU_Mes_Corriente!BL184*SALUD_Mes_Constante!$BC$1</f>
        <v>3177349.3846762502</v>
      </c>
      <c r="BM184" s="8">
        <f>+MINVU_Mes_Corriente!BM184*SALUD_Mes_Constante!$BC$1</f>
        <v>3177349.3846762502</v>
      </c>
      <c r="BN184" s="8">
        <f>+MINVU_Mes_Corriente!BN184*SALUD_Mes_Constante!$BC$1</f>
        <v>3411914.7408677312</v>
      </c>
      <c r="BO184" s="9">
        <f t="shared" si="80"/>
        <v>3411914.7408677312</v>
      </c>
      <c r="BP184" s="8">
        <f>+MINVU_Mes_Corriente!BP184*SALUD_Mes_Constante!$BP$1</f>
        <v>0</v>
      </c>
      <c r="BQ184" s="8">
        <f>+MINVU_Mes_Corriente!BQ184*SALUD_Mes_Constante!$BP$1</f>
        <v>0</v>
      </c>
      <c r="BR184" s="8">
        <f>+MINVU_Mes_Corriente!BR184*SALUD_Mes_Constante!$BP$1</f>
        <v>0</v>
      </c>
      <c r="BS184" s="8">
        <f>+MINVU_Mes_Corriente!BS184*SALUD_Mes_Constante!$BP$1</f>
        <v>1001106.991037132</v>
      </c>
      <c r="BT184" s="8">
        <f>+MINVU_Mes_Corriente!BT184*SALUD_Mes_Constante!$BP$1</f>
        <v>1090854.0783610756</v>
      </c>
      <c r="BU184" s="8">
        <f>+MINVU_Mes_Corriente!BU184*SALUD_Mes_Constante!$BP$1</f>
        <v>1141541.7649167734</v>
      </c>
      <c r="BV184" s="8">
        <f>+MINVU_Mes_Corriente!BV184*SALUD_Mes_Constante!$BP$1</f>
        <v>1142404.9329065303</v>
      </c>
      <c r="BW184" s="8">
        <f>+MINVU_Mes_Corriente!BW184*SALUD_Mes_Constante!$BP$1</f>
        <v>1267715.3807938541</v>
      </c>
      <c r="BX184" s="8">
        <f>+MINVU_Mes_Corriente!BX184*SALUD_Mes_Constante!$BP$1</f>
        <v>2650074.0199743919</v>
      </c>
      <c r="BY184" s="8">
        <f>+MINVU_Mes_Corriente!BY184*SALUD_Mes_Constante!$BP$1</f>
        <v>2650074.0199743919</v>
      </c>
      <c r="BZ184" s="8">
        <f>+MINVU_Mes_Corriente!BZ184*SALUD_Mes_Constante!$BP$1</f>
        <v>2650074.0199743919</v>
      </c>
      <c r="CA184" s="8">
        <f>+MINVU_Mes_Corriente!CA184*SALUD_Mes_Constante!$BP$1</f>
        <v>2650074.0199743919</v>
      </c>
      <c r="CB184" s="9">
        <f t="shared" si="81"/>
        <v>2650074.0199743919</v>
      </c>
      <c r="CC184" s="8">
        <f>+MINVU_Mes_Corriente!CC184*SALUD_Mes_Constante!$CC$1</f>
        <v>191739.54942185755</v>
      </c>
      <c r="CD184" s="8">
        <f>+MINVU_Mes_Corriente!CD184*SALUD_Mes_Constante!$CC$1</f>
        <v>191739.54942185755</v>
      </c>
      <c r="CE184" s="8">
        <f>+MINVU_Mes_Corriente!CE184*SALUD_Mes_Constante!$CC$1</f>
        <v>191739.54942185755</v>
      </c>
      <c r="CF184" s="8">
        <f>+MINVU_Mes_Corriente!CF184*SALUD_Mes_Constante!$CC$1</f>
        <v>17799410.347631484</v>
      </c>
      <c r="CG184" s="8">
        <f>+MINVU_Mes_Corriente!CG184*SALUD_Mes_Constante!$CC$1</f>
        <v>17799410.347631484</v>
      </c>
      <c r="CH184" s="8">
        <f>+MINVU_Mes_Corriente!CH184*SALUD_Mes_Constante!$CC$1</f>
        <v>9849197.3957478553</v>
      </c>
      <c r="CI184" s="8">
        <f>+MINVU_Mes_Corriente!CI184*SALUD_Mes_Constante!$CC$1</f>
        <v>17974502.112644538</v>
      </c>
      <c r="CJ184" s="8">
        <f>+MINVU_Mes_Corriente!CJ184*SALUD_Mes_Constante!$CC$1</f>
        <v>18411816.519209251</v>
      </c>
      <c r="CK184" s="8">
        <f>+MINVU_Mes_Corriente!CK184*SALUD_Mes_Constante!$CC$1</f>
        <v>18446220.581872437</v>
      </c>
      <c r="CL184" s="8">
        <f>+MINVU_Mes_Corriente!CL184*SALUD_Mes_Constante!$CC$1</f>
        <v>18660413.92390899</v>
      </c>
      <c r="CM184" s="8">
        <f>+MINVU_Mes_Corriente!CM184*SALUD_Mes_Constante!$CC$1</f>
        <v>18660413.92390899</v>
      </c>
      <c r="CN184" s="8">
        <f>+MINVU_Mes_Corriente!CN184*SALUD_Mes_Constante!$CC$1</f>
        <v>18660413.92390899</v>
      </c>
      <c r="CO184" s="9">
        <f t="shared" si="82"/>
        <v>18660413.92390899</v>
      </c>
      <c r="CP184" s="8">
        <f>+MINVU_Mes_Corriente!CP184*SALUD_Mes_Constante!$CP$1</f>
        <v>784598.34153132234</v>
      </c>
      <c r="CQ184" s="8">
        <f>+MINVU_Mes_Corriente!CQ184*SALUD_Mes_Constante!$CP$1</f>
        <v>1925364.0027842224</v>
      </c>
      <c r="CR184" s="8">
        <f>+MINVU_Mes_Corriente!CR184*SALUD_Mes_Constante!$CP$1</f>
        <v>1925364.0027842224</v>
      </c>
      <c r="CS184" s="8">
        <f>+MINVU_Mes_Corriente!CS184*SALUD_Mes_Constante!$CP$1</f>
        <v>2386047.0048723891</v>
      </c>
      <c r="CT184" s="8">
        <f>+MINVU_Mes_Corriente!CT184*SALUD_Mes_Constante!$CP$1</f>
        <v>2525473.9190255217</v>
      </c>
      <c r="CU184" s="8">
        <f>+MINVU_Mes_Corriente!CU184*SALUD_Mes_Constante!$CP$1</f>
        <v>2525473.9190255217</v>
      </c>
      <c r="CV184" s="8">
        <f>+MINVU_Mes_Corriente!CV184*SALUD_Mes_Constante!$CP$1</f>
        <v>3767336.7682134565</v>
      </c>
      <c r="CW184" s="8">
        <f>+MINVU_Mes_Corriente!CW184*SALUD_Mes_Constante!$CP$1</f>
        <v>4396572.9668213446</v>
      </c>
      <c r="CX184" s="8">
        <f>+MINVU_Mes_Corriente!CX184*SALUD_Mes_Constante!$CP$1</f>
        <v>4396572.9668213446</v>
      </c>
      <c r="CY184" s="8">
        <f>+MINVU_Mes_Corriente!CY184*SALUD_Mes_Constante!$CP$1</f>
        <v>4467709.8459396744</v>
      </c>
      <c r="CZ184" s="8">
        <f>+MINVU_Mes_Corriente!CZ184*SALUD_Mes_Constante!$CP$1</f>
        <v>4467709.8459396744</v>
      </c>
      <c r="DA184" s="8">
        <f>+MINVU_Mes_Corriente!DA184*SALUD_Mes_Constante!$CP$1</f>
        <v>4460335.4296983751</v>
      </c>
      <c r="DB184" s="9">
        <f t="shared" si="83"/>
        <v>4460335.4296983751</v>
      </c>
      <c r="DC184" s="8">
        <f>+MINVU_Mes_Corriente!DC184*SALUD_Mes_Constante!$DC$1</f>
        <v>944984.91821829078</v>
      </c>
      <c r="DD184" s="8">
        <f>+MINVU_Mes_Corriente!DD184*SALUD_Mes_Constante!$DC$1</f>
        <v>944984.91821829078</v>
      </c>
      <c r="DE184" s="8">
        <f>+MINVU_Mes_Corriente!DE184*SALUD_Mes_Constante!$DC$1</f>
        <v>944984.91821829078</v>
      </c>
      <c r="DF184" s="8">
        <f>+MINVU_Mes_Corriente!DF184*SALUD_Mes_Constante!$DC$1</f>
        <v>944984.91821829078</v>
      </c>
      <c r="DG184" s="8">
        <f>+MINVU_Mes_Corriente!DG184*SALUD_Mes_Constante!$DC$1</f>
        <v>944984.91821829078</v>
      </c>
      <c r="DH184" s="8">
        <f>+MINVU_Mes_Corriente!DH184*SALUD_Mes_Constante!$DC$1</f>
        <v>1066927.6652607762</v>
      </c>
      <c r="DI184" s="8">
        <f>+MINVU_Mes_Corriente!DI184*SALUD_Mes_Constante!$DC$1</f>
        <v>2471743.0887768758</v>
      </c>
      <c r="DJ184" s="8">
        <f>+MINVU_Mes_Corriente!DJ184*SALUD_Mes_Constante!$DC$1</f>
        <v>4137491.0840448532</v>
      </c>
      <c r="DK184" s="8">
        <f>+MINVU_Mes_Corriente!DK184*SALUD_Mes_Constante!$DC$1</f>
        <v>2436329.4062339277</v>
      </c>
      <c r="DL184" s="8">
        <f>+MINVU_Mes_Corriente!DL184*SALUD_Mes_Constante!$DC$1</f>
        <v>2436329.4062339277</v>
      </c>
      <c r="DM184" s="8">
        <f>+MINVU_Mes_Corriente!DM184*SALUD_Mes_Constante!$DC$1</f>
        <v>2436329.4062339277</v>
      </c>
      <c r="DN184" s="8">
        <f>+MINVU_Mes_Corriente!DN184*SALUD_Mes_Constante!$DC$1</f>
        <v>2436329.4062339277</v>
      </c>
      <c r="DO184" s="9">
        <f t="shared" si="84"/>
        <v>2436329.4062339277</v>
      </c>
      <c r="DP184" s="8">
        <f>+MINVU_Mes_Corriente!DP184*SALUD_Mes_Constante!$DP$1</f>
        <v>966441.68230403808</v>
      </c>
      <c r="DQ184" s="8">
        <f>+MINVU_Mes_Corriente!DQ184*SALUD_Mes_Constante!$DP$1</f>
        <v>3451978.0011876486</v>
      </c>
      <c r="DR184" s="8">
        <f>+MINVU_Mes_Corriente!DR184*SALUD_Mes_Constante!$DP$1</f>
        <v>4245621.4899049886</v>
      </c>
      <c r="DS184" s="8">
        <f>+MINVU_Mes_Corriente!DS184*SALUD_Mes_Constante!$DP$1</f>
        <v>4248324.8747030878</v>
      </c>
      <c r="DT184" s="8">
        <f>+MINVU_Mes_Corriente!DT184*SALUD_Mes_Constante!$DP$1</f>
        <v>4248324.8747030878</v>
      </c>
      <c r="DU184" s="8">
        <f>+MINVU_Mes_Corriente!DU184*SALUD_Mes_Constante!$DP$1</f>
        <v>4608495.75</v>
      </c>
      <c r="DV184" s="8">
        <f>+MINVU_Mes_Corriente!DV184*SALUD_Mes_Constante!$DP$1</f>
        <v>4642062.0570071265</v>
      </c>
      <c r="DW184" s="8">
        <f>+MINVU_Mes_Corriente!DW184*SALUD_Mes_Constante!$DP$1</f>
        <v>4681593.1122327792</v>
      </c>
      <c r="DX184" s="8">
        <f>+MINVU_Mes_Corriente!DX184*SALUD_Mes_Constante!$DP$1</f>
        <v>4682031.0605700715</v>
      </c>
      <c r="DY184" s="8">
        <f>+MINVU_Mes_Corriente!DY184*SALUD_Mes_Constante!$DP$1</f>
        <v>4682031.0605700715</v>
      </c>
      <c r="DZ184" s="8">
        <f>+MINVU_Mes_Corriente!DZ184*SALUD_Mes_Constante!$DP$1</f>
        <v>4682031.0605700715</v>
      </c>
      <c r="EA184" s="8">
        <f>+MINVU_Mes_Corriente!EA184*SALUD_Mes_Constante!$DP$1</f>
        <v>4597390.2452494064</v>
      </c>
      <c r="EB184" s="9">
        <f t="shared" si="85"/>
        <v>4597390.2452494064</v>
      </c>
      <c r="EC184" s="8">
        <f>+MINVU_Mes_Corriente!EC184*SALUD_Mes_Constante!$EC$1</f>
        <v>846833.27456921013</v>
      </c>
      <c r="ED184" s="8">
        <f>+MINVU_Mes_Corriente!ED184*SALUD_Mes_Constante!$EC$1</f>
        <v>846833.27456921013</v>
      </c>
      <c r="EE184" s="8">
        <f>+MINVU_Mes_Corriente!EE184*SALUD_Mes_Constante!$EC$1</f>
        <v>1414358.3898882782</v>
      </c>
      <c r="EF184" s="8">
        <f>+MINVU_Mes_Corriente!EF184*SALUD_Mes_Constante!$EC$1</f>
        <v>1608018.1709903423</v>
      </c>
      <c r="EG184" s="8">
        <f>+MINVU_Mes_Corriente!EG184*SALUD_Mes_Constante!$EC$1</f>
        <v>1608018.1709903423</v>
      </c>
      <c r="EH184" s="8">
        <f>+MINVU_Mes_Corriente!EH184*SALUD_Mes_Constante!$EC$1</f>
        <v>1608018.1709903423</v>
      </c>
      <c r="EI184" s="8">
        <f>+MINVU_Mes_Corriente!EI184*SALUD_Mes_Constante!$EC$1</f>
        <v>1608018.1709903423</v>
      </c>
      <c r="EJ184" s="8">
        <f>+MINVU_Mes_Corriente!EJ184*SALUD_Mes_Constante!$EC$1</f>
        <v>1608018.1709903423</v>
      </c>
      <c r="EK184" s="8">
        <f>+MINVU_Mes_Corriente!EK184*SALUD_Mes_Constante!$EC$1</f>
        <v>2061213.3823139551</v>
      </c>
      <c r="EL184" s="8">
        <f>+MINVU_Mes_Corriente!EL184*SALUD_Mes_Constante!$EC$1</f>
        <v>2273156.2654800219</v>
      </c>
      <c r="EM184" s="8">
        <f>+MINVU_Mes_Corriente!EM184*SALUD_Mes_Constante!$EC$1</f>
        <v>2273156.2654800219</v>
      </c>
      <c r="EN184" s="8">
        <f>+MINVU_Mes_Corriente!EN184*SALUD_Mes_Constante!$EC$1</f>
        <v>2109886.9433819344</v>
      </c>
      <c r="EO184" s="9">
        <f t="shared" si="86"/>
        <v>2109886.9433819344</v>
      </c>
      <c r="EP184" s="8">
        <f>+MINVU_Mes_Corriente!EP184*SALUD_Mes_Constante!$EP$1</f>
        <v>853004</v>
      </c>
      <c r="EQ184" s="8">
        <f>+MINVU_Mes_Corriente!EQ184*SALUD_Mes_Constante!$EP$1</f>
        <v>876968</v>
      </c>
      <c r="ER184" s="8">
        <f>+MINVU_Mes_Corriente!ER184*SALUD_Mes_Constante!$EP$1</f>
        <v>876968</v>
      </c>
      <c r="ES184" s="8">
        <f>+MINVU_Mes_Corriente!ES184*SALUD_Mes_Constante!$EP$1</f>
        <v>2476982</v>
      </c>
      <c r="ET184" s="8">
        <f>+MINVU_Mes_Corriente!ET184*SALUD_Mes_Constante!$EP$1</f>
        <v>2487982</v>
      </c>
      <c r="EU184" s="8">
        <f>+MINVU_Mes_Corriente!EU184*SALUD_Mes_Constante!$EP$1</f>
        <v>2487982</v>
      </c>
      <c r="EV184" s="8">
        <f>+MINVU_Mes_Corriente!EV184*SALUD_Mes_Constante!$EP$1</f>
        <v>2487982</v>
      </c>
      <c r="EW184" s="8">
        <f>+MINVU_Mes_Corriente!EW184*SALUD_Mes_Constante!$EP$1</f>
        <v>2487982</v>
      </c>
      <c r="EX184" s="8">
        <f>+MINVU_Mes_Corriente!EX184*SALUD_Mes_Constante!$EP$1</f>
        <v>2487982</v>
      </c>
      <c r="EY184" s="8">
        <f>+MINVU_Mes_Corriente!EY184*SALUD_Mes_Constante!$EP$1</f>
        <v>2487982</v>
      </c>
      <c r="EZ184" s="8">
        <f>+MINVU_Mes_Corriente!EZ184*SALUD_Mes_Constante!$EP$1</f>
        <v>2487982</v>
      </c>
      <c r="FA184" s="8">
        <f>+MINVU_Mes_Corriente!FA184*SALUD_Mes_Constante!$EP$1</f>
        <v>2351421</v>
      </c>
      <c r="FB184" s="9">
        <f t="shared" si="87"/>
        <v>2351421</v>
      </c>
      <c r="FC184" s="8">
        <f>+MINVU_Mes_Corriente!FC184*SALUD_Mes_Constante!$FC$1</f>
        <v>879447</v>
      </c>
      <c r="FD184" s="8">
        <f>+MINVU_Mes_Corriente!FD184*SALUD_Mes_Constante!$FC$1</f>
        <v>879447</v>
      </c>
      <c r="FE184" s="8">
        <f>+MINVU_Mes_Corriente!FE184*SALUD_Mes_Constante!$FC$1</f>
        <v>879447</v>
      </c>
      <c r="FF184" s="8">
        <f>+MINVU_Mes_Corriente!FF184*SALUD_Mes_Constante!$FC$1</f>
        <v>879447</v>
      </c>
      <c r="FG184" s="8">
        <f>+MINVU_Mes_Corriente!FG184*SALUD_Mes_Constante!$FC$1</f>
        <v>879447</v>
      </c>
      <c r="FH184" s="8">
        <f>+MINVU_Mes_Corriente!FH184*SALUD_Mes_Constante!$FC$1</f>
        <v>879447</v>
      </c>
      <c r="FI184" s="8">
        <f>+MINVU_Mes_Corriente!FI184*SALUD_Mes_Constante!$FC$1</f>
        <v>3759446</v>
      </c>
      <c r="FJ184" s="8"/>
      <c r="FK184" s="8"/>
      <c r="FL184" s="8"/>
      <c r="FM184" s="8"/>
      <c r="FN184" s="8"/>
      <c r="FO184" s="9">
        <f t="shared" si="88"/>
        <v>3759446</v>
      </c>
    </row>
    <row r="185" spans="2:171" ht="14.25" customHeight="1" x14ac:dyDescent="0.3">
      <c r="B185" s="35" t="s">
        <v>73</v>
      </c>
      <c r="C185" s="8">
        <f>+MINVU_Mes_Corriente!C185*SALUD_Mes_Constante!$C$1</f>
        <v>866845.15052647202</v>
      </c>
      <c r="D185" s="8">
        <f>+MINVU_Mes_Corriente!D185*SALUD_Mes_Constante!$C$1</f>
        <v>972896.86341391085</v>
      </c>
      <c r="E185" s="8">
        <f>+MINVU_Mes_Corriente!E185*SALUD_Mes_Constante!$C$1</f>
        <v>972896.86341391085</v>
      </c>
      <c r="F185" s="8">
        <f>+MINVU_Mes_Corriente!F185*SALUD_Mes_Constante!$C$1</f>
        <v>972896.86341391085</v>
      </c>
      <c r="G185" s="8">
        <f>+MINVU_Mes_Corriente!G185*SALUD_Mes_Constante!$C$1</f>
        <v>1010262.0658460627</v>
      </c>
      <c r="H185" s="8">
        <f>+MINVU_Mes_Corriente!H185*SALUD_Mes_Constante!$C$1</f>
        <v>1013765.2561174553</v>
      </c>
      <c r="I185" s="8">
        <f>+MINVU_Mes_Corriente!I185*SALUD_Mes_Constante!$C$1</f>
        <v>1229520.9440901678</v>
      </c>
      <c r="J185" s="8">
        <f>+MINVU_Mes_Corriente!J185*SALUD_Mes_Constante!$C$1</f>
        <v>1229520.9440901678</v>
      </c>
      <c r="K185" s="8">
        <f>+MINVU_Mes_Corriente!K185*SALUD_Mes_Constante!$C$1</f>
        <v>1300142.1488951507</v>
      </c>
      <c r="L185" s="8">
        <f>+MINVU_Mes_Corriente!L185*SALUD_Mes_Constante!$C$1</f>
        <v>1306461.5022986804</v>
      </c>
      <c r="M185" s="8">
        <f>+MINVU_Mes_Corriente!M185*SALUD_Mes_Constante!$C$1</f>
        <v>1759290.1637253452</v>
      </c>
      <c r="N185" s="8">
        <f>+MINVU_Mes_Corriente!N185*SALUD_Mes_Constante!$C$1</f>
        <v>1791697.104256266</v>
      </c>
      <c r="O185" s="9">
        <f t="shared" si="76"/>
        <v>1791697.104256266</v>
      </c>
      <c r="P185" s="8">
        <f>+MINVU_Mes_Corriente!P185*SALUD_Mes_Constante!$P$1</f>
        <v>553950.83875550481</v>
      </c>
      <c r="Q185" s="8">
        <f>+MINVU_Mes_Corriente!Q185*SALUD_Mes_Constante!$P$1</f>
        <v>553950.83875550481</v>
      </c>
      <c r="R185" s="8">
        <f>+MINVU_Mes_Corriente!R185*SALUD_Mes_Constante!$P$1</f>
        <v>656272.4639863614</v>
      </c>
      <c r="S185" s="8">
        <f>+MINVU_Mes_Corriente!S185*SALUD_Mes_Constante!$P$1</f>
        <v>2557612.221054126</v>
      </c>
      <c r="T185" s="8">
        <f>+MINVU_Mes_Corriente!T185*SALUD_Mes_Constante!$P$1</f>
        <v>2557612.221054126</v>
      </c>
      <c r="U185" s="8">
        <f>+MINVU_Mes_Corriente!U185*SALUD_Mes_Constante!$P$1</f>
        <v>3387322.3233413827</v>
      </c>
      <c r="V185" s="8">
        <f>+MINVU_Mes_Corriente!V185*SALUD_Mes_Constante!$P$1</f>
        <v>3387322.3233413827</v>
      </c>
      <c r="W185" s="8">
        <f>+MINVU_Mes_Corriente!W185*SALUD_Mes_Constante!$P$1</f>
        <v>3557057.9428896136</v>
      </c>
      <c r="X185" s="8">
        <f>+MINVU_Mes_Corriente!X185*SALUD_Mes_Constante!$P$1</f>
        <v>3557057.9428896136</v>
      </c>
      <c r="Y185" s="8">
        <f>+MINVU_Mes_Corriente!Y185*SALUD_Mes_Constante!$P$1</f>
        <v>4059973.6979684597</v>
      </c>
      <c r="Z185" s="8">
        <f>+MINVU_Mes_Corriente!Z185*SALUD_Mes_Constante!$P$1</f>
        <v>6130330.4017616119</v>
      </c>
      <c r="AA185" s="8">
        <f>+MINVU_Mes_Corriente!AA185*SALUD_Mes_Constante!$P$1</f>
        <v>12112454.324477904</v>
      </c>
      <c r="AB185" s="9">
        <f t="shared" si="77"/>
        <v>12112454.324477904</v>
      </c>
      <c r="AC185" s="8">
        <f>+MINVU_Mes_Corriente!AC185*SALUD_Mes_Constante!$AC$1</f>
        <v>559887.59717803297</v>
      </c>
      <c r="AD185" s="8">
        <f>+MINVU_Mes_Corriente!AD185*SALUD_Mes_Constante!$AC$1</f>
        <v>559887.59717803297</v>
      </c>
      <c r="AE185" s="8">
        <f>+MINVU_Mes_Corriente!AE185*SALUD_Mes_Constante!$AC$1</f>
        <v>559887.59717803297</v>
      </c>
      <c r="AF185" s="8">
        <f>+MINVU_Mes_Corriente!AF185*SALUD_Mes_Constante!$AC$1</f>
        <v>559887.59717803297</v>
      </c>
      <c r="AG185" s="8">
        <f>+MINVU_Mes_Corriente!AG185*SALUD_Mes_Constante!$AC$1</f>
        <v>559887.59717803297</v>
      </c>
      <c r="AH185" s="8">
        <f>+MINVU_Mes_Corriente!AH185*SALUD_Mes_Constante!$AC$1</f>
        <v>1152525.9889334624</v>
      </c>
      <c r="AI185" s="8">
        <f>+MINVU_Mes_Corriente!AI185*SALUD_Mes_Constante!$AC$1</f>
        <v>1152525.9889334624</v>
      </c>
      <c r="AJ185" s="8">
        <f>+MINVU_Mes_Corriente!AJ185*SALUD_Mes_Constante!$AC$1</f>
        <v>1152525.9889334624</v>
      </c>
      <c r="AK185" s="8">
        <f>+MINVU_Mes_Corriente!AK185*SALUD_Mes_Constante!$AC$1</f>
        <v>1152525.9889334624</v>
      </c>
      <c r="AL185" s="8">
        <f>+MINVU_Mes_Corriente!AL185*SALUD_Mes_Constante!$AC$1</f>
        <v>1152525.9889334624</v>
      </c>
      <c r="AM185" s="8">
        <f>+MINVU_Mes_Corriente!AM185*SALUD_Mes_Constante!$AC$1</f>
        <v>1280030.2476137779</v>
      </c>
      <c r="AN185" s="8">
        <f>+MINVU_Mes_Corriente!AN185*SALUD_Mes_Constante!$AC$1</f>
        <v>3217910.2849633419</v>
      </c>
      <c r="AO185" s="9">
        <f t="shared" si="78"/>
        <v>3217910.2849633419</v>
      </c>
      <c r="AP185" s="8">
        <f>+MINVU_Mes_Corriente!AP185*SALUD_Mes_Constante!$AP$1</f>
        <v>563891.25902881101</v>
      </c>
      <c r="AQ185" s="8">
        <f>+MINVU_Mes_Corriente!AQ185*SALUD_Mes_Constante!$AP$1</f>
        <v>563891.25902881101</v>
      </c>
      <c r="AR185" s="8">
        <f>+MINVU_Mes_Corriente!AR185*SALUD_Mes_Constante!$AP$1</f>
        <v>563891.25902881101</v>
      </c>
      <c r="AS185" s="8">
        <f>+MINVU_Mes_Corriente!AS185*SALUD_Mes_Constante!$AP$1</f>
        <v>563891.25902881101</v>
      </c>
      <c r="AT185" s="8">
        <f>+MINVU_Mes_Corriente!AT185*SALUD_Mes_Constante!$AP$1</f>
        <v>563891.25902881101</v>
      </c>
      <c r="AU185" s="8">
        <f>+MINVU_Mes_Corriente!AU185*SALUD_Mes_Constante!$AP$1</f>
        <v>672032.50047342072</v>
      </c>
      <c r="AV185" s="8">
        <f>+MINVU_Mes_Corriente!AV185*SALUD_Mes_Constante!$AP$1</f>
        <v>1464546.5778439064</v>
      </c>
      <c r="AW185" s="8">
        <f>+MINVU_Mes_Corriente!AW185*SALUD_Mes_Constante!$AP$1</f>
        <v>1464546.5778439064</v>
      </c>
      <c r="AX185" s="8">
        <f>+MINVU_Mes_Corriente!AX185*SALUD_Mes_Constante!$AP$1</f>
        <v>1760123.4749086974</v>
      </c>
      <c r="AY185" s="8">
        <f>+MINVU_Mes_Corriente!AY185*SALUD_Mes_Constante!$AP$1</f>
        <v>1799893.3464087648</v>
      </c>
      <c r="AZ185" s="8">
        <f>+MINVU_Mes_Corriente!AZ185*SALUD_Mes_Constante!$AP$1</f>
        <v>1799893.3464087648</v>
      </c>
      <c r="BA185" s="8">
        <f>+MINVU_Mes_Corriente!BA185*SALUD_Mes_Constante!$AP$1</f>
        <v>1162873.407277154</v>
      </c>
      <c r="BB185" s="9">
        <f t="shared" si="79"/>
        <v>1162873.407277154</v>
      </c>
      <c r="BC185" s="8">
        <f>+MINVU_Mes_Corriente!BC185*SALUD_Mes_Constante!$BC$1</f>
        <v>564039.8011341159</v>
      </c>
      <c r="BD185" s="8">
        <f>+MINVU_Mes_Corriente!BD185*SALUD_Mes_Constante!$BC$1</f>
        <v>564039.8011341159</v>
      </c>
      <c r="BE185" s="8">
        <f>+MINVU_Mes_Corriente!BE185*SALUD_Mes_Constante!$BC$1</f>
        <v>1185098.5391006202</v>
      </c>
      <c r="BF185" s="8">
        <f>+MINVU_Mes_Corriente!BF185*SALUD_Mes_Constante!$BC$1</f>
        <v>1185098.5391006202</v>
      </c>
      <c r="BG185" s="8">
        <f>+MINVU_Mes_Corriente!BG185*SALUD_Mes_Constante!$BC$1</f>
        <v>1185098.5391006202</v>
      </c>
      <c r="BH185" s="8">
        <f>+MINVU_Mes_Corriente!BH185*SALUD_Mes_Constante!$BC$1</f>
        <v>1230293.8235526839</v>
      </c>
      <c r="BI185" s="8">
        <f>+MINVU_Mes_Corriente!BI185*SALUD_Mes_Constante!$BC$1</f>
        <v>1230293.8235526839</v>
      </c>
      <c r="BJ185" s="8">
        <f>+MINVU_Mes_Corriente!BJ185*SALUD_Mes_Constante!$BC$1</f>
        <v>1645820.4243703024</v>
      </c>
      <c r="BK185" s="8">
        <f>+MINVU_Mes_Corriente!BK185*SALUD_Mes_Constante!$BC$1</f>
        <v>6865220.9101938568</v>
      </c>
      <c r="BL185" s="8">
        <f>+MINVU_Mes_Corriente!BL185*SALUD_Mes_Constante!$BC$1</f>
        <v>6865220.9101938568</v>
      </c>
      <c r="BM185" s="8">
        <f>+MINVU_Mes_Corriente!BM185*SALUD_Mes_Constante!$BC$1</f>
        <v>6866625.7433733372</v>
      </c>
      <c r="BN185" s="8">
        <f>+MINVU_Mes_Corriente!BN185*SALUD_Mes_Constante!$BC$1</f>
        <v>7210292.6055650814</v>
      </c>
      <c r="BO185" s="9">
        <f t="shared" si="80"/>
        <v>7210292.6055650814</v>
      </c>
      <c r="BP185" s="8">
        <f>+MINVU_Mes_Corriente!BP185*SALUD_Mes_Constante!$BP$1</f>
        <v>0</v>
      </c>
      <c r="BQ185" s="8">
        <f>+MINVU_Mes_Corriente!BQ185*SALUD_Mes_Constante!$BP$1</f>
        <v>0</v>
      </c>
      <c r="BR185" s="8">
        <f>+MINVU_Mes_Corriente!BR185*SALUD_Mes_Constante!$BP$1</f>
        <v>248597.97695262486</v>
      </c>
      <c r="BS185" s="8">
        <f>+MINVU_Mes_Corriente!BS185*SALUD_Mes_Constante!$BP$1</f>
        <v>248597.97695262486</v>
      </c>
      <c r="BT185" s="8">
        <f>+MINVU_Mes_Corriente!BT185*SALUD_Mes_Constante!$BP$1</f>
        <v>363463.6724711908</v>
      </c>
      <c r="BU185" s="8">
        <f>+MINVU_Mes_Corriente!BU185*SALUD_Mes_Constante!$BP$1</f>
        <v>397088.05275288096</v>
      </c>
      <c r="BV185" s="8">
        <f>+MINVU_Mes_Corriente!BV185*SALUD_Mes_Constante!$BP$1</f>
        <v>694114.37055057625</v>
      </c>
      <c r="BW185" s="8">
        <f>+MINVU_Mes_Corriente!BW185*SALUD_Mes_Constante!$BP$1</f>
        <v>768260.08117797703</v>
      </c>
      <c r="BX185" s="8">
        <f>+MINVU_Mes_Corriente!BX185*SALUD_Mes_Constante!$BP$1</f>
        <v>8686939.4366197195</v>
      </c>
      <c r="BY185" s="8">
        <f>+MINVU_Mes_Corriente!BY185*SALUD_Mes_Constante!$BP$1</f>
        <v>8686939.4366197195</v>
      </c>
      <c r="BZ185" s="8">
        <f>+MINVU_Mes_Corriente!BZ185*SALUD_Mes_Constante!$BP$1</f>
        <v>8902528.5825864282</v>
      </c>
      <c r="CA185" s="8">
        <f>+MINVU_Mes_Corriente!CA185*SALUD_Mes_Constante!$BP$1</f>
        <v>8902528.5825864282</v>
      </c>
      <c r="CB185" s="9">
        <f t="shared" si="81"/>
        <v>8902528.5825864282</v>
      </c>
      <c r="CC185" s="8">
        <f>+MINVU_Mes_Corriente!CC185*SALUD_Mes_Constante!$CC$1</f>
        <v>261889.82170831782</v>
      </c>
      <c r="CD185" s="8">
        <f>+MINVU_Mes_Corriente!CD185*SALUD_Mes_Constante!$CC$1</f>
        <v>261889.82170831782</v>
      </c>
      <c r="CE185" s="8">
        <f>+MINVU_Mes_Corriente!CE185*SALUD_Mes_Constante!$CC$1</f>
        <v>261889.82170831782</v>
      </c>
      <c r="CF185" s="8">
        <f>+MINVU_Mes_Corriente!CF185*SALUD_Mes_Constante!$CC$1</f>
        <v>947391.38157403958</v>
      </c>
      <c r="CG185" s="8">
        <f>+MINVU_Mes_Corriente!CG185*SALUD_Mes_Constante!$CC$1</f>
        <v>947391.38157403958</v>
      </c>
      <c r="CH185" s="8">
        <f>+MINVU_Mes_Corriente!CH185*SALUD_Mes_Constante!$CC$1</f>
        <v>1444485.6657963449</v>
      </c>
      <c r="CI185" s="8">
        <f>+MINVU_Mes_Corriente!CI185*SALUD_Mes_Constante!$CC$1</f>
        <v>1444485.6657963449</v>
      </c>
      <c r="CJ185" s="8">
        <f>+MINVU_Mes_Corriente!CJ185*SALUD_Mes_Constante!$CC$1</f>
        <v>2076214.4065647149</v>
      </c>
      <c r="CK185" s="8">
        <f>+MINVU_Mes_Corriente!CK185*SALUD_Mes_Constante!$CC$1</f>
        <v>2082506.7392763896</v>
      </c>
      <c r="CL185" s="8">
        <f>+MINVU_Mes_Corriente!CL185*SALUD_Mes_Constante!$CC$1</f>
        <v>2234652.9533756063</v>
      </c>
      <c r="CM185" s="8">
        <f>+MINVU_Mes_Corriente!CM185*SALUD_Mes_Constante!$CC$1</f>
        <v>2234652.9533756063</v>
      </c>
      <c r="CN185" s="8">
        <f>+MINVU_Mes_Corriente!CN185*SALUD_Mes_Constante!$CC$1</f>
        <v>2234652.9533756063</v>
      </c>
      <c r="CO185" s="9">
        <f t="shared" si="82"/>
        <v>2234652.9533756063</v>
      </c>
      <c r="CP185" s="8">
        <f>+MINVU_Mes_Corriente!CP185*SALUD_Mes_Constante!$CP$1</f>
        <v>1054429.9809744777</v>
      </c>
      <c r="CQ185" s="8">
        <f>+MINVU_Mes_Corriente!CQ185*SALUD_Mes_Constante!$CP$1</f>
        <v>1054429.9809744777</v>
      </c>
      <c r="CR185" s="8">
        <f>+MINVU_Mes_Corriente!CR185*SALUD_Mes_Constante!$CP$1</f>
        <v>1054429.9809744777</v>
      </c>
      <c r="CS185" s="8">
        <f>+MINVU_Mes_Corriente!CS185*SALUD_Mes_Constante!$CP$1</f>
        <v>2185689.2617169367</v>
      </c>
      <c r="CT185" s="8">
        <f>+MINVU_Mes_Corriente!CT185*SALUD_Mes_Constante!$CP$1</f>
        <v>3287594.106960556</v>
      </c>
      <c r="CU185" s="8">
        <f>+MINVU_Mes_Corriente!CU185*SALUD_Mes_Constante!$CP$1</f>
        <v>3393154.2236658926</v>
      </c>
      <c r="CV185" s="8">
        <f>+MINVU_Mes_Corriente!CV185*SALUD_Mes_Constante!$CP$1</f>
        <v>4409596.7081206487</v>
      </c>
      <c r="CW185" s="8">
        <f>+MINVU_Mes_Corriente!CW185*SALUD_Mes_Constante!$CP$1</f>
        <v>4419736.8473317856</v>
      </c>
      <c r="CX185" s="8">
        <f>+MINVU_Mes_Corriente!CX185*SALUD_Mes_Constante!$CP$1</f>
        <v>4419736.8473317856</v>
      </c>
      <c r="CY185" s="8">
        <f>+MINVU_Mes_Corriente!CY185*SALUD_Mes_Constante!$CP$1</f>
        <v>4517426.9484918788</v>
      </c>
      <c r="CZ185" s="8">
        <f>+MINVU_Mes_Corriente!CZ185*SALUD_Mes_Constante!$CP$1</f>
        <v>4517426.9484918788</v>
      </c>
      <c r="DA185" s="8">
        <f>+MINVU_Mes_Corriente!DA185*SALUD_Mes_Constante!$CP$1</f>
        <v>4262231.3324825978</v>
      </c>
      <c r="DB185" s="9">
        <f t="shared" si="83"/>
        <v>4262231.3324825978</v>
      </c>
      <c r="DC185" s="8">
        <f>+MINVU_Mes_Corriente!DC185*SALUD_Mes_Constante!$DC$1</f>
        <v>1263600.1610945382</v>
      </c>
      <c r="DD185" s="8">
        <f>+MINVU_Mes_Corriente!DD185*SALUD_Mes_Constante!$DC$1</f>
        <v>1263600.1610945382</v>
      </c>
      <c r="DE185" s="8">
        <f>+MINVU_Mes_Corriente!DE185*SALUD_Mes_Constante!$DC$1</f>
        <v>1263600.1610945382</v>
      </c>
      <c r="DF185" s="8">
        <f>+MINVU_Mes_Corriente!DF185*SALUD_Mes_Constante!$DC$1</f>
        <v>1263600.1610945382</v>
      </c>
      <c r="DG185" s="8">
        <f>+MINVU_Mes_Corriente!DG185*SALUD_Mes_Constante!$DC$1</f>
        <v>1263600.1610945382</v>
      </c>
      <c r="DH185" s="8">
        <f>+MINVU_Mes_Corriente!DH185*SALUD_Mes_Constante!$DC$1</f>
        <v>1263600.1610945382</v>
      </c>
      <c r="DI185" s="8">
        <f>+MINVU_Mes_Corriente!DI185*SALUD_Mes_Constante!$DC$1</f>
        <v>2195845.0103898784</v>
      </c>
      <c r="DJ185" s="8">
        <f>+MINVU_Mes_Corriente!DJ185*SALUD_Mes_Constante!$DC$1</f>
        <v>3142191.0422796025</v>
      </c>
      <c r="DK185" s="8">
        <f>+MINVU_Mes_Corriente!DK185*SALUD_Mes_Constante!$DC$1</f>
        <v>6396475.5837876787</v>
      </c>
      <c r="DL185" s="8">
        <f>+MINVU_Mes_Corriente!DL185*SALUD_Mes_Constante!$DC$1</f>
        <v>6396475.5837876787</v>
      </c>
      <c r="DM185" s="8">
        <f>+MINVU_Mes_Corriente!DM185*SALUD_Mes_Constante!$DC$1</f>
        <v>6396475.5837876787</v>
      </c>
      <c r="DN185" s="8">
        <f>+MINVU_Mes_Corriente!DN185*SALUD_Mes_Constante!$DC$1</f>
        <v>6396475.5837876787</v>
      </c>
      <c r="DO185" s="9">
        <f t="shared" si="84"/>
        <v>6396475.5837876787</v>
      </c>
      <c r="DP185" s="8">
        <f>+MINVU_Mes_Corriente!DP185*SALUD_Mes_Constante!$DP$1</f>
        <v>1292291.4655581948</v>
      </c>
      <c r="DQ185" s="8">
        <f>+MINVU_Mes_Corriente!DQ185*SALUD_Mes_Constante!$DP$1</f>
        <v>1442290.3931116392</v>
      </c>
      <c r="DR185" s="8">
        <f>+MINVU_Mes_Corriente!DR185*SALUD_Mes_Constante!$DP$1</f>
        <v>2647098.1638954873</v>
      </c>
      <c r="DS185" s="8">
        <f>+MINVU_Mes_Corriente!DS185*SALUD_Mes_Constante!$DP$1</f>
        <v>2649801.5486935871</v>
      </c>
      <c r="DT185" s="8">
        <f>+MINVU_Mes_Corriente!DT185*SALUD_Mes_Constante!$DP$1</f>
        <v>2649801.5486935871</v>
      </c>
      <c r="DU185" s="8">
        <f>+MINVU_Mes_Corriente!DU185*SALUD_Mes_Constante!$DP$1</f>
        <v>2794446.6929928744</v>
      </c>
      <c r="DV185" s="8">
        <f>+MINVU_Mes_Corriente!DV185*SALUD_Mes_Constante!$DP$1</f>
        <v>2816257.6015439434</v>
      </c>
      <c r="DW185" s="8">
        <f>+MINVU_Mes_Corriente!DW185*SALUD_Mes_Constante!$DP$1</f>
        <v>2877200.545724466</v>
      </c>
      <c r="DX185" s="8">
        <f>+MINVU_Mes_Corriente!DX185*SALUD_Mes_Constante!$DP$1</f>
        <v>2878222.4251781474</v>
      </c>
      <c r="DY185" s="8">
        <f>+MINVU_Mes_Corriente!DY185*SALUD_Mes_Constante!$DP$1</f>
        <v>2878222.4251781474</v>
      </c>
      <c r="DZ185" s="8">
        <f>+MINVU_Mes_Corriente!DZ185*SALUD_Mes_Constante!$DP$1</f>
        <v>2878222.4251781474</v>
      </c>
      <c r="EA185" s="8">
        <f>+MINVU_Mes_Corriente!EA185*SALUD_Mes_Constante!$DP$1</f>
        <v>3002702.4815914491</v>
      </c>
      <c r="EB185" s="9">
        <f t="shared" si="85"/>
        <v>3002702.4815914491</v>
      </c>
      <c r="EC185" s="8">
        <f>+MINVU_Mes_Corriente!EC185*SALUD_Mes_Constante!$EC$1</f>
        <v>1132354.4196174964</v>
      </c>
      <c r="ED185" s="8">
        <f>+MINVU_Mes_Corriente!ED185*SALUD_Mes_Constante!$EC$1</f>
        <v>1132354.4196174964</v>
      </c>
      <c r="EE185" s="8">
        <f>+MINVU_Mes_Corriente!EE185*SALUD_Mes_Constante!$EC$1</f>
        <v>2498379.5868206769</v>
      </c>
      <c r="EF185" s="8">
        <f>+MINVU_Mes_Corriente!EF185*SALUD_Mes_Constante!$EC$1</f>
        <v>3974917.4889225513</v>
      </c>
      <c r="EG185" s="8">
        <f>+MINVU_Mes_Corriente!EG185*SALUD_Mes_Constante!$EC$1</f>
        <v>3974917.4889225513</v>
      </c>
      <c r="EH185" s="8">
        <f>+MINVU_Mes_Corriente!EH185*SALUD_Mes_Constante!$EC$1</f>
        <v>3974917.4889225513</v>
      </c>
      <c r="EI185" s="8">
        <f>+MINVU_Mes_Corriente!EI185*SALUD_Mes_Constante!$EC$1</f>
        <v>3974917.4889225513</v>
      </c>
      <c r="EJ185" s="8">
        <f>+MINVU_Mes_Corriente!EJ185*SALUD_Mes_Constante!$EC$1</f>
        <v>4382238.3965158099</v>
      </c>
      <c r="EK185" s="8">
        <f>+MINVU_Mes_Corriente!EK185*SALUD_Mes_Constante!$EC$1</f>
        <v>4382238.3965158099</v>
      </c>
      <c r="EL185" s="8">
        <f>+MINVU_Mes_Corriente!EL185*SALUD_Mes_Constante!$EC$1</f>
        <v>4382238.3965158099</v>
      </c>
      <c r="EM185" s="8">
        <f>+MINVU_Mes_Corriente!EM185*SALUD_Mes_Constante!$EC$1</f>
        <v>4382238.3965158099</v>
      </c>
      <c r="EN185" s="8">
        <f>+MINVU_Mes_Corriente!EN185*SALUD_Mes_Constante!$EC$1</f>
        <v>4165075.6121946587</v>
      </c>
      <c r="EO185" s="9">
        <f t="shared" si="86"/>
        <v>4165075.6121946587</v>
      </c>
      <c r="EP185" s="8">
        <f>+MINVU_Mes_Corriente!EP185*SALUD_Mes_Constante!$EP$1</f>
        <v>1140605</v>
      </c>
      <c r="EQ185" s="8">
        <f>+MINVU_Mes_Corriente!EQ185*SALUD_Mes_Constante!$EP$1</f>
        <v>1216464</v>
      </c>
      <c r="ER185" s="8">
        <f>+MINVU_Mes_Corriente!ER185*SALUD_Mes_Constante!$EP$1</f>
        <v>1216464</v>
      </c>
      <c r="ES185" s="8">
        <f>+MINVU_Mes_Corriente!ES185*SALUD_Mes_Constante!$EP$1</f>
        <v>2927462</v>
      </c>
      <c r="ET185" s="8">
        <f>+MINVU_Mes_Corriente!ET185*SALUD_Mes_Constante!$EP$1</f>
        <v>2927462</v>
      </c>
      <c r="EU185" s="8">
        <f>+MINVU_Mes_Corriente!EU185*SALUD_Mes_Constante!$EP$1</f>
        <v>2927462</v>
      </c>
      <c r="EV185" s="8">
        <f>+MINVU_Mes_Corriente!EV185*SALUD_Mes_Constante!$EP$1</f>
        <v>2927462</v>
      </c>
      <c r="EW185" s="8">
        <f>+MINVU_Mes_Corriente!EW185*SALUD_Mes_Constante!$EP$1</f>
        <v>2927462</v>
      </c>
      <c r="EX185" s="8">
        <f>+MINVU_Mes_Corriente!EX185*SALUD_Mes_Constante!$EP$1</f>
        <v>2927462</v>
      </c>
      <c r="EY185" s="8">
        <f>+MINVU_Mes_Corriente!EY185*SALUD_Mes_Constante!$EP$1</f>
        <v>2927462</v>
      </c>
      <c r="EZ185" s="8">
        <f>+MINVU_Mes_Corriente!EZ185*SALUD_Mes_Constante!$EP$1</f>
        <v>2927462</v>
      </c>
      <c r="FA185" s="8">
        <f>+MINVU_Mes_Corriente!FA185*SALUD_Mes_Constante!$EP$1</f>
        <v>2785260</v>
      </c>
      <c r="FB185" s="9">
        <f t="shared" si="87"/>
        <v>2785260</v>
      </c>
      <c r="FC185" s="8">
        <f>+MINVU_Mes_Corriente!FC185*SALUD_Mes_Constante!$FC$1</f>
        <v>1175963</v>
      </c>
      <c r="FD185" s="8">
        <f>+MINVU_Mes_Corriente!FD185*SALUD_Mes_Constante!$FC$1</f>
        <v>1175963</v>
      </c>
      <c r="FE185" s="8">
        <f>+MINVU_Mes_Corriente!FE185*SALUD_Mes_Constante!$FC$1</f>
        <v>1175963</v>
      </c>
      <c r="FF185" s="8">
        <f>+MINVU_Mes_Corriente!FF185*SALUD_Mes_Constante!$FC$1</f>
        <v>1175963</v>
      </c>
      <c r="FG185" s="8">
        <f>+MINVU_Mes_Corriente!FG185*SALUD_Mes_Constante!$FC$1</f>
        <v>1175963</v>
      </c>
      <c r="FH185" s="8">
        <f>+MINVU_Mes_Corriente!FH185*SALUD_Mes_Constante!$FC$1</f>
        <v>1175963</v>
      </c>
      <c r="FI185" s="8">
        <f>+MINVU_Mes_Corriente!FI185*SALUD_Mes_Constante!$FC$1</f>
        <v>4144766</v>
      </c>
      <c r="FJ185" s="8"/>
      <c r="FK185" s="8"/>
      <c r="FL185" s="8"/>
      <c r="FM185" s="8"/>
      <c r="FN185" s="8"/>
      <c r="FO185" s="9">
        <f t="shared" si="88"/>
        <v>4144766</v>
      </c>
    </row>
    <row r="186" spans="2:171" ht="14.25" customHeight="1" x14ac:dyDescent="0.3">
      <c r="B186" s="35" t="s">
        <v>74</v>
      </c>
      <c r="C186" s="8">
        <f>+MINVU_Mes_Corriente!C186*SALUD_Mes_Constante!$C$1</f>
        <v>63422.002966038868</v>
      </c>
      <c r="D186" s="8">
        <f>+MINVU_Mes_Corriente!D186*SALUD_Mes_Constante!$C$1</f>
        <v>151601.28815067481</v>
      </c>
      <c r="E186" s="8">
        <f>+MINVU_Mes_Corriente!E186*SALUD_Mes_Constante!$C$1</f>
        <v>151601.28815067481</v>
      </c>
      <c r="F186" s="8">
        <f>+MINVU_Mes_Corriente!F186*SALUD_Mes_Constante!$C$1</f>
        <v>151601.28815067481</v>
      </c>
      <c r="G186" s="8">
        <f>+MINVU_Mes_Corriente!G186*SALUD_Mes_Constante!$C$1</f>
        <v>183659.85407088837</v>
      </c>
      <c r="H186" s="8">
        <f>+MINVU_Mes_Corriente!H186*SALUD_Mes_Constante!$C$1</f>
        <v>185435.75441198284</v>
      </c>
      <c r="I186" s="8">
        <f>+MINVU_Mes_Corriente!I186*SALUD_Mes_Constante!$C$1</f>
        <v>495575.03633397608</v>
      </c>
      <c r="J186" s="8">
        <f>+MINVU_Mes_Corriente!J186*SALUD_Mes_Constante!$C$1</f>
        <v>495575.03633397608</v>
      </c>
      <c r="K186" s="8">
        <f>+MINVU_Mes_Corriente!K186*SALUD_Mes_Constante!$C$1</f>
        <v>566193.00044490595</v>
      </c>
      <c r="L186" s="8">
        <f>+MINVU_Mes_Corriente!L186*SALUD_Mes_Constante!$C$1</f>
        <v>566193.00044490595</v>
      </c>
      <c r="M186" s="8">
        <f>+MINVU_Mes_Corriente!M186*SALUD_Mes_Constante!$C$1</f>
        <v>664245.06006228691</v>
      </c>
      <c r="N186" s="8">
        <f>+MINVU_Mes_Corriente!N186*SALUD_Mes_Constante!$C$1</f>
        <v>1206179.845172772</v>
      </c>
      <c r="O186" s="9">
        <f t="shared" si="76"/>
        <v>1206179.845172772</v>
      </c>
      <c r="P186" s="8">
        <f>+MINVU_Mes_Corriente!P186*SALUD_Mes_Constante!$P$1</f>
        <v>62577.310697542242</v>
      </c>
      <c r="Q186" s="8">
        <f>+MINVU_Mes_Corriente!Q186*SALUD_Mes_Constante!$P$1</f>
        <v>337762.25685466675</v>
      </c>
      <c r="R186" s="8">
        <f>+MINVU_Mes_Corriente!R186*SALUD_Mes_Constante!$P$1</f>
        <v>388923.06947009504</v>
      </c>
      <c r="S186" s="8">
        <f>+MINVU_Mes_Corriente!S186*SALUD_Mes_Constante!$P$1</f>
        <v>845149.92641000112</v>
      </c>
      <c r="T186" s="8">
        <f>+MINVU_Mes_Corriente!T186*SALUD_Mes_Constante!$P$1</f>
        <v>2744034.0886489549</v>
      </c>
      <c r="U186" s="8">
        <f>+MINVU_Mes_Corriente!U186*SALUD_Mes_Constante!$P$1</f>
        <v>3169952.5102997571</v>
      </c>
      <c r="V186" s="8">
        <f>+MINVU_Mes_Corriente!V186*SALUD_Mes_Constante!$P$1</f>
        <v>3632931.4769143332</v>
      </c>
      <c r="W186" s="8">
        <f>+MINVU_Mes_Corriente!W186*SALUD_Mes_Constante!$P$1</f>
        <v>3632931.4769143332</v>
      </c>
      <c r="X186" s="8">
        <f>+MINVU_Mes_Corriente!X186*SALUD_Mes_Constante!$P$1</f>
        <v>3632931.4769143332</v>
      </c>
      <c r="Y186" s="8">
        <f>+MINVU_Mes_Corriente!Y186*SALUD_Mes_Constante!$P$1</f>
        <v>6195909.6848984212</v>
      </c>
      <c r="Z186" s="8">
        <f>+MINVU_Mes_Corriente!Z186*SALUD_Mes_Constante!$P$1</f>
        <v>6517836.3043045867</v>
      </c>
      <c r="AA186" s="8">
        <f>+MINVU_Mes_Corriente!AA186*SALUD_Mes_Constante!$P$1</f>
        <v>8007410.6824833043</v>
      </c>
      <c r="AB186" s="9">
        <f t="shared" si="77"/>
        <v>8007410.6824833043</v>
      </c>
      <c r="AC186" s="8">
        <f>+MINVU_Mes_Corriente!AC186*SALUD_Mes_Constante!$AC$1</f>
        <v>63248.073315811314</v>
      </c>
      <c r="AD186" s="8">
        <f>+MINVU_Mes_Corriente!AD186*SALUD_Mes_Constante!$AC$1</f>
        <v>329256.64988241805</v>
      </c>
      <c r="AE186" s="8">
        <f>+MINVU_Mes_Corriente!AE186*SALUD_Mes_Constante!$AC$1</f>
        <v>329256.64988241805</v>
      </c>
      <c r="AF186" s="8">
        <f>+MINVU_Mes_Corriente!AF186*SALUD_Mes_Constante!$AC$1</f>
        <v>329256.64988241805</v>
      </c>
      <c r="AG186" s="8">
        <f>+MINVU_Mes_Corriente!AG186*SALUD_Mes_Constante!$AC$1</f>
        <v>329256.64988241805</v>
      </c>
      <c r="AH186" s="8">
        <f>+MINVU_Mes_Corriente!AH186*SALUD_Mes_Constante!$AC$1</f>
        <v>329256.64988241805</v>
      </c>
      <c r="AI186" s="8">
        <f>+MINVU_Mes_Corriente!AI186*SALUD_Mes_Constante!$AC$1</f>
        <v>329256.64988241805</v>
      </c>
      <c r="AJ186" s="8">
        <f>+MINVU_Mes_Corriente!AJ186*SALUD_Mes_Constante!$AC$1</f>
        <v>329256.64988241805</v>
      </c>
      <c r="AK186" s="8">
        <f>+MINVU_Mes_Corriente!AK186*SALUD_Mes_Constante!$AC$1</f>
        <v>329256.64988241805</v>
      </c>
      <c r="AL186" s="8">
        <f>+MINVU_Mes_Corriente!AL186*SALUD_Mes_Constante!$AC$1</f>
        <v>329256.64988241805</v>
      </c>
      <c r="AM186" s="8">
        <f>+MINVU_Mes_Corriente!AM186*SALUD_Mes_Constante!$AC$1</f>
        <v>411902.18951445568</v>
      </c>
      <c r="AN186" s="8">
        <f>+MINVU_Mes_Corriente!AN186*SALUD_Mes_Constante!$AC$1</f>
        <v>3205468.3383593857</v>
      </c>
      <c r="AO186" s="9">
        <f t="shared" si="78"/>
        <v>3205468.3383593857</v>
      </c>
      <c r="AP186" s="8">
        <f>+MINVU_Mes_Corriente!AP186*SALUD_Mes_Constante!$AP$1</f>
        <v>63699.777086433111</v>
      </c>
      <c r="AQ186" s="8">
        <f>+MINVU_Mes_Corriente!AQ186*SALUD_Mes_Constante!$AP$1</f>
        <v>63699.777086433111</v>
      </c>
      <c r="AR186" s="8">
        <f>+MINVU_Mes_Corriente!AR186*SALUD_Mes_Constante!$AP$1</f>
        <v>63699.777086433111</v>
      </c>
      <c r="AS186" s="8">
        <f>+MINVU_Mes_Corriente!AS186*SALUD_Mes_Constante!$AP$1</f>
        <v>63699.777086433111</v>
      </c>
      <c r="AT186" s="8">
        <f>+MINVU_Mes_Corriente!AT186*SALUD_Mes_Constante!$AP$1</f>
        <v>63699.777086433111</v>
      </c>
      <c r="AU186" s="8">
        <f>+MINVU_Mes_Corriente!AU186*SALUD_Mes_Constante!$AP$1</f>
        <v>63699.777086433111</v>
      </c>
      <c r="AV186" s="8">
        <f>+MINVU_Mes_Corriente!AV186*SALUD_Mes_Constante!$AP$1</f>
        <v>63699.777086433111</v>
      </c>
      <c r="AW186" s="8">
        <f>+MINVU_Mes_Corriente!AW186*SALUD_Mes_Constante!$AP$1</f>
        <v>63699.777086433111</v>
      </c>
      <c r="AX186" s="8">
        <f>+MINVU_Mes_Corriente!AX186*SALUD_Mes_Constante!$AP$1</f>
        <v>68133.430542404967</v>
      </c>
      <c r="AY186" s="8">
        <f>+MINVU_Mes_Corriente!AY186*SALUD_Mes_Constante!$AP$1</f>
        <v>68133.430542404967</v>
      </c>
      <c r="AZ186" s="8">
        <f>+MINVU_Mes_Corriente!AZ186*SALUD_Mes_Constante!$AP$1</f>
        <v>68133.430542404967</v>
      </c>
      <c r="BA186" s="8">
        <f>+MINVU_Mes_Corriente!BA186*SALUD_Mes_Constante!$AP$1</f>
        <v>68133.430542404967</v>
      </c>
      <c r="BB186" s="9">
        <f t="shared" si="79"/>
        <v>68133.430542404967</v>
      </c>
      <c r="BC186" s="8">
        <f>+MINVU_Mes_Corriente!BC186*SALUD_Mes_Constante!$BC$1</f>
        <v>63718.910457602549</v>
      </c>
      <c r="BD186" s="8">
        <f>+MINVU_Mes_Corriente!BD186*SALUD_Mes_Constante!$BC$1</f>
        <v>63718.910457602549</v>
      </c>
      <c r="BE186" s="8">
        <f>+MINVU_Mes_Corriente!BE186*SALUD_Mes_Constante!$BC$1</f>
        <v>63718.910457602549</v>
      </c>
      <c r="BF186" s="8">
        <f>+MINVU_Mes_Corriente!BF186*SALUD_Mes_Constante!$BC$1</f>
        <v>63718.910457602549</v>
      </c>
      <c r="BG186" s="8">
        <f>+MINVU_Mes_Corriente!BG186*SALUD_Mes_Constante!$BC$1</f>
        <v>63718.910457602549</v>
      </c>
      <c r="BH186" s="8">
        <f>+MINVU_Mes_Corriente!BH186*SALUD_Mes_Constante!$BC$1</f>
        <v>63718.910457602549</v>
      </c>
      <c r="BI186" s="8">
        <f>+MINVU_Mes_Corriente!BI186*SALUD_Mes_Constante!$BC$1</f>
        <v>57223.53817750232</v>
      </c>
      <c r="BJ186" s="8">
        <f>+MINVU_Mes_Corriente!BJ186*SALUD_Mes_Constante!$BC$1</f>
        <v>310950.81893709622</v>
      </c>
      <c r="BK186" s="8">
        <f>+MINVU_Mes_Corriente!BK186*SALUD_Mes_Constante!$BC$1</f>
        <v>1235989.5215613877</v>
      </c>
      <c r="BL186" s="8">
        <f>+MINVU_Mes_Corriente!BL186*SALUD_Mes_Constante!$BC$1</f>
        <v>1235989.5215613877</v>
      </c>
      <c r="BM186" s="8">
        <f>+MINVU_Mes_Corriente!BM186*SALUD_Mes_Constante!$BC$1</f>
        <v>1235989.5215613877</v>
      </c>
      <c r="BN186" s="8">
        <f>+MINVU_Mes_Corriente!BN186*SALUD_Mes_Constante!$BC$1</f>
        <v>3299474.7748912047</v>
      </c>
      <c r="BO186" s="9">
        <f t="shared" si="80"/>
        <v>3299474.7748912047</v>
      </c>
      <c r="BP186" s="8">
        <f>+MINVU_Mes_Corriente!BP186*SALUD_Mes_Constante!$BP$1</f>
        <v>0</v>
      </c>
      <c r="BQ186" s="8">
        <f>+MINVU_Mes_Corriente!BQ186*SALUD_Mes_Constante!$BP$1</f>
        <v>0</v>
      </c>
      <c r="BR186" s="8">
        <f>+MINVU_Mes_Corriente!BR186*SALUD_Mes_Constante!$BP$1</f>
        <v>0</v>
      </c>
      <c r="BS186" s="8">
        <f>+MINVU_Mes_Corriente!BS186*SALUD_Mes_Constante!$BP$1</f>
        <v>1105929.4402048658</v>
      </c>
      <c r="BT186" s="8">
        <f>+MINVU_Mes_Corriente!BT186*SALUD_Mes_Constante!$BP$1</f>
        <v>1123419.4340588991</v>
      </c>
      <c r="BU186" s="8">
        <f>+MINVU_Mes_Corriente!BU186*SALUD_Mes_Constante!$BP$1</f>
        <v>1123419.4340588991</v>
      </c>
      <c r="BV186" s="8">
        <f>+MINVU_Mes_Corriente!BV186*SALUD_Mes_Constante!$BP$1</f>
        <v>1127196.6683738797</v>
      </c>
      <c r="BW186" s="8">
        <f>+MINVU_Mes_Corriente!BW186*SALUD_Mes_Constante!$BP$1</f>
        <v>1127196.6683738797</v>
      </c>
      <c r="BX186" s="8">
        <f>+MINVU_Mes_Corriente!BX186*SALUD_Mes_Constante!$BP$1</f>
        <v>4414039.6471190788</v>
      </c>
      <c r="BY186" s="8">
        <f>+MINVU_Mes_Corriente!BY186*SALUD_Mes_Constante!$BP$1</f>
        <v>4414039.6471190788</v>
      </c>
      <c r="BZ186" s="8">
        <f>+MINVU_Mes_Corriente!BZ186*SALUD_Mes_Constante!$BP$1</f>
        <v>4414039.6471190788</v>
      </c>
      <c r="CA186" s="8">
        <f>+MINVU_Mes_Corriente!CA186*SALUD_Mes_Constante!$BP$1</f>
        <v>4414039.6471190788</v>
      </c>
      <c r="CB186" s="9">
        <f t="shared" si="81"/>
        <v>4414039.6471190788</v>
      </c>
      <c r="CC186" s="8">
        <f>+MINVU_Mes_Corriente!CC186*SALUD_Mes_Constante!$CC$1</f>
        <v>45891.101827676248</v>
      </c>
      <c r="CD186" s="8">
        <f>+MINVU_Mes_Corriente!CD186*SALUD_Mes_Constante!$CC$1</f>
        <v>45891.101827676248</v>
      </c>
      <c r="CE186" s="8">
        <f>+MINVU_Mes_Corriente!CE186*SALUD_Mes_Constante!$CC$1</f>
        <v>45891.101827676248</v>
      </c>
      <c r="CF186" s="8">
        <f>+MINVU_Mes_Corriente!CF186*SALUD_Mes_Constante!$CC$1</f>
        <v>97358.634091756816</v>
      </c>
      <c r="CG186" s="8">
        <f>+MINVU_Mes_Corriente!CG186*SALUD_Mes_Constante!$CC$1</f>
        <v>223466.11040656472</v>
      </c>
      <c r="CH186" s="8">
        <f>+MINVU_Mes_Corriente!CH186*SALUD_Mes_Constante!$CC$1</f>
        <v>258053.56359567327</v>
      </c>
      <c r="CI186" s="8">
        <f>+MINVU_Mes_Corriente!CI186*SALUD_Mes_Constante!$CC$1</f>
        <v>258053.56359567327</v>
      </c>
      <c r="CJ186" s="8">
        <f>+MINVU_Mes_Corriente!CJ186*SALUD_Mes_Constante!$CC$1</f>
        <v>354690.86161879898</v>
      </c>
      <c r="CK186" s="8">
        <f>+MINVU_Mes_Corriente!CK186*SALUD_Mes_Constante!$CC$1</f>
        <v>358608.62663185381</v>
      </c>
      <c r="CL186" s="8">
        <f>+MINVU_Mes_Corriente!CL186*SALUD_Mes_Constante!$CC$1</f>
        <v>575328.68258112646</v>
      </c>
      <c r="CM186" s="8">
        <f>+MINVU_Mes_Corriente!CM186*SALUD_Mes_Constante!$CC$1</f>
        <v>575328.68258112646</v>
      </c>
      <c r="CN186" s="8">
        <f>+MINVU_Mes_Corriente!CN186*SALUD_Mes_Constante!$CC$1</f>
        <v>575328.68258112646</v>
      </c>
      <c r="CO186" s="9">
        <f t="shared" si="82"/>
        <v>575328.68258112646</v>
      </c>
      <c r="CP186" s="8">
        <f>+MINVU_Mes_Corriente!CP186*SALUD_Mes_Constante!$CP$1</f>
        <v>185342.73201856145</v>
      </c>
      <c r="CQ186" s="8">
        <f>+MINVU_Mes_Corriente!CQ186*SALUD_Mes_Constante!$CP$1</f>
        <v>185342.73201856145</v>
      </c>
      <c r="CR186" s="8">
        <f>+MINVU_Mes_Corriente!CR186*SALUD_Mes_Constante!$CP$1</f>
        <v>185342.73201856145</v>
      </c>
      <c r="CS186" s="8">
        <f>+MINVU_Mes_Corriente!CS186*SALUD_Mes_Constante!$CP$1</f>
        <v>185342.73201856145</v>
      </c>
      <c r="CT186" s="8">
        <f>+MINVU_Mes_Corriente!CT186*SALUD_Mes_Constante!$CP$1</f>
        <v>1719709.3044083524</v>
      </c>
      <c r="CU186" s="8">
        <f>+MINVU_Mes_Corriente!CU186*SALUD_Mes_Constante!$CP$1</f>
        <v>1719709.3044083524</v>
      </c>
      <c r="CV186" s="8">
        <f>+MINVU_Mes_Corriente!CV186*SALUD_Mes_Constante!$CP$1</f>
        <v>1719709.3044083524</v>
      </c>
      <c r="CW186" s="8">
        <f>+MINVU_Mes_Corriente!CW186*SALUD_Mes_Constante!$CP$1</f>
        <v>1720976.8218097445</v>
      </c>
      <c r="CX186" s="8">
        <f>+MINVU_Mes_Corriente!CX186*SALUD_Mes_Constante!$CP$1</f>
        <v>1720976.8218097445</v>
      </c>
      <c r="CY186" s="8">
        <f>+MINVU_Mes_Corriente!CY186*SALUD_Mes_Constante!$CP$1</f>
        <v>1736187.0306264497</v>
      </c>
      <c r="CZ186" s="8">
        <f>+MINVU_Mes_Corriente!CZ186*SALUD_Mes_Constante!$CP$1</f>
        <v>1691960.8134570762</v>
      </c>
      <c r="DA186" s="8">
        <f>+MINVU_Mes_Corriente!DA186*SALUD_Mes_Constante!$CP$1</f>
        <v>1691960.8134570762</v>
      </c>
      <c r="DB186" s="9">
        <f t="shared" si="83"/>
        <v>1691960.8134570762</v>
      </c>
      <c r="DC186" s="8">
        <f>+MINVU_Mes_Corriente!DC186*SALUD_Mes_Constante!$DC$1</f>
        <v>232234.54089085496</v>
      </c>
      <c r="DD186" s="8">
        <f>+MINVU_Mes_Corriente!DD186*SALUD_Mes_Constante!$DC$1</f>
        <v>232234.54089085496</v>
      </c>
      <c r="DE186" s="8">
        <f>+MINVU_Mes_Corriente!DE186*SALUD_Mes_Constante!$DC$1</f>
        <v>232234.54089085496</v>
      </c>
      <c r="DF186" s="8">
        <f>+MINVU_Mes_Corriente!DF186*SALUD_Mes_Constante!$DC$1</f>
        <v>232234.54089085496</v>
      </c>
      <c r="DG186" s="8">
        <f>+MINVU_Mes_Corriente!DG186*SALUD_Mes_Constante!$DC$1</f>
        <v>232234.54089085496</v>
      </c>
      <c r="DH186" s="8">
        <f>+MINVU_Mes_Corriente!DH186*SALUD_Mes_Constante!$DC$1</f>
        <v>232234.54089085496</v>
      </c>
      <c r="DI186" s="8">
        <f>+MINVU_Mes_Corriente!DI186*SALUD_Mes_Constante!$DC$1</f>
        <v>247632.77152556332</v>
      </c>
      <c r="DJ186" s="8">
        <f>+MINVU_Mes_Corriente!DJ186*SALUD_Mes_Constante!$DC$1</f>
        <v>247632.77152556332</v>
      </c>
      <c r="DK186" s="8">
        <f>+MINVU_Mes_Corriente!DK186*SALUD_Mes_Constante!$DC$1</f>
        <v>1432813.2282686974</v>
      </c>
      <c r="DL186" s="8">
        <f>+MINVU_Mes_Corriente!DL186*SALUD_Mes_Constante!$DC$1</f>
        <v>1432813.2282686974</v>
      </c>
      <c r="DM186" s="8">
        <f>+MINVU_Mes_Corriente!DM186*SALUD_Mes_Constante!$DC$1</f>
        <v>1432813.2282686974</v>
      </c>
      <c r="DN186" s="8">
        <f>+MINVU_Mes_Corriente!DN186*SALUD_Mes_Constante!$DC$1</f>
        <v>1432813.2282686974</v>
      </c>
      <c r="DO186" s="9">
        <f t="shared" si="84"/>
        <v>1432813.2282686974</v>
      </c>
      <c r="DP186" s="8">
        <f>+MINVU_Mes_Corriente!DP186*SALUD_Mes_Constante!$DP$1</f>
        <v>237507.49346793353</v>
      </c>
      <c r="DQ186" s="8">
        <f>+MINVU_Mes_Corriente!DQ186*SALUD_Mes_Constante!$DP$1</f>
        <v>490091.2232779098</v>
      </c>
      <c r="DR186" s="8">
        <f>+MINVU_Mes_Corriente!DR186*SALUD_Mes_Constante!$DP$1</f>
        <v>607024.51068883622</v>
      </c>
      <c r="DS186" s="8">
        <f>+MINVU_Mes_Corriente!DS186*SALUD_Mes_Constante!$DP$1</f>
        <v>609727.89548693597</v>
      </c>
      <c r="DT186" s="8">
        <f>+MINVU_Mes_Corriente!DT186*SALUD_Mes_Constante!$DP$1</f>
        <v>609727.89548693597</v>
      </c>
      <c r="DU186" s="8">
        <f>+MINVU_Mes_Corriente!DU186*SALUD_Mes_Constante!$DP$1</f>
        <v>683144.25712589081</v>
      </c>
      <c r="DV186" s="8">
        <f>+MINVU_Mes_Corriente!DV186*SALUD_Mes_Constante!$DP$1</f>
        <v>685609.74406175781</v>
      </c>
      <c r="DW186" s="8">
        <f>+MINVU_Mes_Corriente!DW186*SALUD_Mes_Constante!$DP$1</f>
        <v>702080.92695961997</v>
      </c>
      <c r="DX186" s="8">
        <f>+MINVU_Mes_Corriente!DX186*SALUD_Mes_Constante!$DP$1</f>
        <v>757250.52256532072</v>
      </c>
      <c r="DY186" s="8">
        <f>+MINVU_Mes_Corriente!DY186*SALUD_Mes_Constante!$DP$1</f>
        <v>757250.52256532072</v>
      </c>
      <c r="DZ186" s="8">
        <f>+MINVU_Mes_Corriente!DZ186*SALUD_Mes_Constante!$DP$1</f>
        <v>757250.52256532072</v>
      </c>
      <c r="EA186" s="8">
        <f>+MINVU_Mes_Corriente!EA186*SALUD_Mes_Constante!$DP$1</f>
        <v>757250.52256532072</v>
      </c>
      <c r="EB186" s="9">
        <f t="shared" si="85"/>
        <v>757250.52256532072</v>
      </c>
      <c r="EC186" s="8">
        <f>+MINVU_Mes_Corriente!EC186*SALUD_Mes_Constante!$EC$1</f>
        <v>208113.30051126675</v>
      </c>
      <c r="ED186" s="8">
        <f>+MINVU_Mes_Corriente!ED186*SALUD_Mes_Constante!$EC$1</f>
        <v>208113.30051126675</v>
      </c>
      <c r="EE186" s="8">
        <f>+MINVU_Mes_Corriente!EE186*SALUD_Mes_Constante!$EC$1</f>
        <v>350312.67676576396</v>
      </c>
      <c r="EF186" s="8">
        <f>+MINVU_Mes_Corriente!EF186*SALUD_Mes_Constante!$EC$1</f>
        <v>576307.70763113024</v>
      </c>
      <c r="EG186" s="8">
        <f>+MINVU_Mes_Corriente!EG186*SALUD_Mes_Constante!$EC$1</f>
        <v>1905697.3616739248</v>
      </c>
      <c r="EH186" s="8">
        <f>+MINVU_Mes_Corriente!EH186*SALUD_Mes_Constante!$EC$1</f>
        <v>1905697.3616739248</v>
      </c>
      <c r="EI186" s="8">
        <f>+MINVU_Mes_Corriente!EI186*SALUD_Mes_Constante!$EC$1</f>
        <v>1905697.3616739248</v>
      </c>
      <c r="EJ186" s="8">
        <f>+MINVU_Mes_Corriente!EJ186*SALUD_Mes_Constante!$EC$1</f>
        <v>1982117.2938837335</v>
      </c>
      <c r="EK186" s="8">
        <f>+MINVU_Mes_Corriente!EK186*SALUD_Mes_Constante!$EC$1</f>
        <v>1982117.2938837335</v>
      </c>
      <c r="EL186" s="8">
        <f>+MINVU_Mes_Corriente!EL186*SALUD_Mes_Constante!$EC$1</f>
        <v>1984186.220223442</v>
      </c>
      <c r="EM186" s="8">
        <f>+MINVU_Mes_Corriente!EM186*SALUD_Mes_Constante!$EC$1</f>
        <v>2492257.6337814801</v>
      </c>
      <c r="EN186" s="8">
        <f>+MINVU_Mes_Corriente!EN186*SALUD_Mes_Constante!$EC$1</f>
        <v>2366626.2196553675</v>
      </c>
      <c r="EO186" s="9">
        <f t="shared" si="86"/>
        <v>2366626.2196553675</v>
      </c>
      <c r="EP186" s="8">
        <f>+MINVU_Mes_Corriente!EP186*SALUD_Mes_Constante!$EP$1</f>
        <v>209629</v>
      </c>
      <c r="EQ186" s="8">
        <f>+MINVU_Mes_Corriente!EQ186*SALUD_Mes_Constante!$EP$1</f>
        <v>1498945</v>
      </c>
      <c r="ER186" s="8">
        <f>+MINVU_Mes_Corriente!ER186*SALUD_Mes_Constante!$EP$1</f>
        <v>1498945</v>
      </c>
      <c r="ES186" s="8">
        <f>+MINVU_Mes_Corriente!ES186*SALUD_Mes_Constante!$EP$1</f>
        <v>2526550</v>
      </c>
      <c r="ET186" s="8">
        <f>+MINVU_Mes_Corriente!ET186*SALUD_Mes_Constante!$EP$1</f>
        <v>2528050</v>
      </c>
      <c r="EU186" s="8">
        <f>+MINVU_Mes_Corriente!EU186*SALUD_Mes_Constante!$EP$1</f>
        <v>2528050</v>
      </c>
      <c r="EV186" s="8">
        <f>+MINVU_Mes_Corriente!EV186*SALUD_Mes_Constante!$EP$1</f>
        <v>2528050</v>
      </c>
      <c r="EW186" s="8">
        <f>+MINVU_Mes_Corriente!EW186*SALUD_Mes_Constante!$EP$1</f>
        <v>2528050</v>
      </c>
      <c r="EX186" s="8">
        <f>+MINVU_Mes_Corriente!EX186*SALUD_Mes_Constante!$EP$1</f>
        <v>2528050</v>
      </c>
      <c r="EY186" s="8">
        <f>+MINVU_Mes_Corriente!EY186*SALUD_Mes_Constante!$EP$1</f>
        <v>2655160</v>
      </c>
      <c r="EZ186" s="8">
        <f>+MINVU_Mes_Corriente!EZ186*SALUD_Mes_Constante!$EP$1</f>
        <v>2655160</v>
      </c>
      <c r="FA186" s="8">
        <f>+MINVU_Mes_Corriente!FA186*SALUD_Mes_Constante!$EP$1</f>
        <v>1296498</v>
      </c>
      <c r="FB186" s="9">
        <f t="shared" si="87"/>
        <v>1296498</v>
      </c>
      <c r="FC186" s="8">
        <f>+MINVU_Mes_Corriente!FC186*SALUD_Mes_Constante!$FC$1</f>
        <v>216128</v>
      </c>
      <c r="FD186" s="8">
        <f>+MINVU_Mes_Corriente!FD186*SALUD_Mes_Constante!$FC$1</f>
        <v>1522485</v>
      </c>
      <c r="FE186" s="8">
        <f>+MINVU_Mes_Corriente!FE186*SALUD_Mes_Constante!$FC$1</f>
        <v>1522485</v>
      </c>
      <c r="FF186" s="8">
        <f>+MINVU_Mes_Corriente!FF186*SALUD_Mes_Constante!$FC$1</f>
        <v>1522485</v>
      </c>
      <c r="FG186" s="8">
        <f>+MINVU_Mes_Corriente!FG186*SALUD_Mes_Constante!$FC$1</f>
        <v>1522485</v>
      </c>
      <c r="FH186" s="8">
        <f>+MINVU_Mes_Corriente!FH186*SALUD_Mes_Constante!$FC$1</f>
        <v>1522485</v>
      </c>
      <c r="FI186" s="8">
        <f>+MINVU_Mes_Corriente!FI186*SALUD_Mes_Constante!$FC$1</f>
        <v>1593058</v>
      </c>
      <c r="FJ186" s="8"/>
      <c r="FK186" s="8"/>
      <c r="FL186" s="8"/>
      <c r="FM186" s="8"/>
      <c r="FN186" s="8"/>
      <c r="FO186" s="9">
        <f t="shared" si="88"/>
        <v>1593058</v>
      </c>
    </row>
    <row r="187" spans="2:171" ht="14.25" customHeight="1" thickBot="1" x14ac:dyDescent="0.35">
      <c r="B187" s="14" t="s">
        <v>84</v>
      </c>
      <c r="C187" s="16">
        <f t="shared" ref="C187:AH187" si="89">SUM(C155:C186)</f>
        <v>26449141.640812695</v>
      </c>
      <c r="D187" s="16">
        <f t="shared" si="89"/>
        <v>35256541.144297786</v>
      </c>
      <c r="E187" s="16">
        <f t="shared" si="89"/>
        <v>35256541.144297786</v>
      </c>
      <c r="F187" s="16">
        <f t="shared" si="89"/>
        <v>35256541.144297786</v>
      </c>
      <c r="G187" s="16">
        <f t="shared" si="89"/>
        <v>36182212.993623026</v>
      </c>
      <c r="H187" s="16">
        <f t="shared" si="89"/>
        <v>36515251.019724168</v>
      </c>
      <c r="I187" s="16">
        <f t="shared" si="89"/>
        <v>36965359.118493266</v>
      </c>
      <c r="J187" s="16">
        <f t="shared" si="89"/>
        <v>36965359.118493266</v>
      </c>
      <c r="K187" s="16">
        <f t="shared" si="89"/>
        <v>42617951.063028336</v>
      </c>
      <c r="L187" s="16">
        <f t="shared" si="89"/>
        <v>43283947.718226314</v>
      </c>
      <c r="M187" s="16">
        <f t="shared" si="89"/>
        <v>100248770.56265759</v>
      </c>
      <c r="N187" s="16">
        <f t="shared" si="89"/>
        <v>125931324.40486433</v>
      </c>
      <c r="O187" s="16">
        <f t="shared" si="89"/>
        <v>125931324.40486433</v>
      </c>
      <c r="P187" s="16">
        <f t="shared" si="89"/>
        <v>29194681.783207823</v>
      </c>
      <c r="Q187" s="16">
        <f t="shared" si="89"/>
        <v>29469866.72936495</v>
      </c>
      <c r="R187" s="16">
        <f t="shared" si="89"/>
        <v>41464686.885637149</v>
      </c>
      <c r="S187" s="16">
        <f t="shared" si="89"/>
        <v>67067792.69953116</v>
      </c>
      <c r="T187" s="16">
        <f t="shared" si="89"/>
        <v>81235393.630629331</v>
      </c>
      <c r="U187" s="16">
        <f t="shared" si="89"/>
        <v>95188645.347634584</v>
      </c>
      <c r="V187" s="16">
        <f t="shared" si="89"/>
        <v>95982898.336979672</v>
      </c>
      <c r="W187" s="16">
        <f t="shared" si="89"/>
        <v>101829360.73476343</v>
      </c>
      <c r="X187" s="16">
        <f t="shared" si="89"/>
        <v>103859262.21224602</v>
      </c>
      <c r="Y187" s="16">
        <f t="shared" si="89"/>
        <v>122846860.51512992</v>
      </c>
      <c r="Z187" s="16">
        <f t="shared" si="89"/>
        <v>154899839.15698245</v>
      </c>
      <c r="AA187" s="16">
        <f t="shared" si="89"/>
        <v>205480968.4108538</v>
      </c>
      <c r="AB187" s="16">
        <f t="shared" si="89"/>
        <v>205480968.4108538</v>
      </c>
      <c r="AC187" s="16">
        <f t="shared" si="89"/>
        <v>26674214.055886019</v>
      </c>
      <c r="AD187" s="16">
        <f t="shared" si="89"/>
        <v>37541268.973578647</v>
      </c>
      <c r="AE187" s="16">
        <f t="shared" si="89"/>
        <v>38678874.299626507</v>
      </c>
      <c r="AF187" s="16">
        <f t="shared" si="89"/>
        <v>40679544.452344738</v>
      </c>
      <c r="AG187" s="16">
        <f t="shared" si="89"/>
        <v>50966812.517637298</v>
      </c>
      <c r="AH187" s="16">
        <f t="shared" si="89"/>
        <v>50991564.917969286</v>
      </c>
      <c r="AI187" s="16">
        <f t="shared" ref="AI187:BN187" si="90">SUM(AI155:AI186)</f>
        <v>51200999.818232127</v>
      </c>
      <c r="AJ187" s="16">
        <f t="shared" si="90"/>
        <v>51196367.339327715</v>
      </c>
      <c r="AK187" s="16">
        <f t="shared" si="90"/>
        <v>53547878.621939421</v>
      </c>
      <c r="AL187" s="16">
        <f t="shared" si="90"/>
        <v>55996860.88808962</v>
      </c>
      <c r="AM187" s="16">
        <f t="shared" si="90"/>
        <v>61101130.18564117</v>
      </c>
      <c r="AN187" s="16">
        <f t="shared" si="90"/>
        <v>70926031.513902351</v>
      </c>
      <c r="AO187" s="16">
        <f t="shared" si="90"/>
        <v>70926031.513902351</v>
      </c>
      <c r="AP187" s="16">
        <f t="shared" si="90"/>
        <v>30649872.94305424</v>
      </c>
      <c r="AQ187" s="16">
        <f t="shared" si="90"/>
        <v>30649872.94305424</v>
      </c>
      <c r="AR187" s="16">
        <f t="shared" si="90"/>
        <v>30649872.94305424</v>
      </c>
      <c r="AS187" s="16">
        <f t="shared" si="90"/>
        <v>30649872.94305424</v>
      </c>
      <c r="AT187" s="16">
        <f t="shared" si="90"/>
        <v>30783695.383200325</v>
      </c>
      <c r="AU187" s="16">
        <f t="shared" si="90"/>
        <v>31122008.265927225</v>
      </c>
      <c r="AV187" s="16">
        <f t="shared" si="90"/>
        <v>31931962.858109023</v>
      </c>
      <c r="AW187" s="16">
        <f t="shared" si="90"/>
        <v>33325853.256594088</v>
      </c>
      <c r="AX187" s="16">
        <f t="shared" si="90"/>
        <v>38031067.98674421</v>
      </c>
      <c r="AY187" s="16">
        <f t="shared" si="90"/>
        <v>45522910.763965905</v>
      </c>
      <c r="AZ187" s="16">
        <f t="shared" si="90"/>
        <v>52762514.128770448</v>
      </c>
      <c r="BA187" s="16">
        <f t="shared" si="90"/>
        <v>53903325.676450685</v>
      </c>
      <c r="BB187" s="16">
        <f t="shared" si="90"/>
        <v>53903325.676450685</v>
      </c>
      <c r="BC187" s="16">
        <f t="shared" si="90"/>
        <v>39256410.540419362</v>
      </c>
      <c r="BD187" s="16">
        <f t="shared" si="90"/>
        <v>39262911.676117636</v>
      </c>
      <c r="BE187" s="16">
        <f t="shared" si="90"/>
        <v>39883970.414084136</v>
      </c>
      <c r="BF187" s="16">
        <f t="shared" si="90"/>
        <v>41804341.349070296</v>
      </c>
      <c r="BG187" s="16">
        <f t="shared" si="90"/>
        <v>41804341.349070296</v>
      </c>
      <c r="BH187" s="16">
        <f t="shared" si="90"/>
        <v>42771611.498351574</v>
      </c>
      <c r="BI187" s="16">
        <f t="shared" si="90"/>
        <v>38099168.042199664</v>
      </c>
      <c r="BJ187" s="16">
        <f t="shared" si="90"/>
        <v>51878225.73572465</v>
      </c>
      <c r="BK187" s="16">
        <f t="shared" si="90"/>
        <v>138959182.01239619</v>
      </c>
      <c r="BL187" s="16">
        <f t="shared" si="90"/>
        <v>144668973.01938552</v>
      </c>
      <c r="BM187" s="16">
        <f t="shared" si="90"/>
        <v>147176696.78201243</v>
      </c>
      <c r="BN187" s="16">
        <f t="shared" si="90"/>
        <v>168834226.08519059</v>
      </c>
      <c r="BO187" s="16">
        <f t="shared" ref="BO187:CT187" si="91">SUM(BO155:BO186)</f>
        <v>168834226.08519059</v>
      </c>
      <c r="BP187" s="16">
        <f t="shared" si="91"/>
        <v>61584639.623815626</v>
      </c>
      <c r="BQ187" s="16">
        <f t="shared" si="91"/>
        <v>61584639.623815626</v>
      </c>
      <c r="BR187" s="16">
        <f t="shared" si="91"/>
        <v>64754195.28015364</v>
      </c>
      <c r="BS187" s="16">
        <f t="shared" si="91"/>
        <v>64754195.280153655</v>
      </c>
      <c r="BT187" s="16">
        <f t="shared" si="91"/>
        <v>65210275.339052491</v>
      </c>
      <c r="BU187" s="16">
        <f t="shared" si="91"/>
        <v>64800534.950320095</v>
      </c>
      <c r="BV187" s="16">
        <f t="shared" si="91"/>
        <v>65719773.885019213</v>
      </c>
      <c r="BW187" s="16">
        <f t="shared" si="91"/>
        <v>75034338.575416163</v>
      </c>
      <c r="BX187" s="16">
        <f t="shared" si="91"/>
        <v>146812671.79282972</v>
      </c>
      <c r="BY187" s="16">
        <f t="shared" si="91"/>
        <v>146812671.79282972</v>
      </c>
      <c r="BZ187" s="16">
        <f t="shared" si="91"/>
        <v>147159519.83124202</v>
      </c>
      <c r="CA187" s="16">
        <f t="shared" si="91"/>
        <v>147341249.5690141</v>
      </c>
      <c r="CB187" s="16">
        <f t="shared" si="91"/>
        <v>147341249.5690141</v>
      </c>
      <c r="CC187" s="16">
        <f t="shared" si="91"/>
        <v>98520994.489369676</v>
      </c>
      <c r="CD187" s="16">
        <f t="shared" si="91"/>
        <v>98520994.489369676</v>
      </c>
      <c r="CE187" s="16">
        <f t="shared" si="91"/>
        <v>104186670.90637825</v>
      </c>
      <c r="CF187" s="16">
        <f t="shared" si="91"/>
        <v>135442731.95001867</v>
      </c>
      <c r="CG187" s="16">
        <f t="shared" si="91"/>
        <v>140406083.78291684</v>
      </c>
      <c r="CH187" s="16">
        <f t="shared" si="91"/>
        <v>164542186.97277138</v>
      </c>
      <c r="CI187" s="16">
        <f t="shared" si="91"/>
        <v>213708540.35136148</v>
      </c>
      <c r="CJ187" s="16">
        <f t="shared" si="91"/>
        <v>213708540.35136142</v>
      </c>
      <c r="CK187" s="16">
        <f t="shared" si="91"/>
        <v>226722897.92763892</v>
      </c>
      <c r="CL187" s="16">
        <f t="shared" si="91"/>
        <v>228171996.88399848</v>
      </c>
      <c r="CM187" s="16">
        <f t="shared" si="91"/>
        <v>229037586.5818724</v>
      </c>
      <c r="CN187" s="16">
        <f t="shared" si="91"/>
        <v>246051345.12420735</v>
      </c>
      <c r="CO187" s="16">
        <f t="shared" si="91"/>
        <v>246051345.12420735</v>
      </c>
      <c r="CP187" s="16">
        <f t="shared" si="91"/>
        <v>69174702.607656583</v>
      </c>
      <c r="CQ187" s="16">
        <f t="shared" si="91"/>
        <v>70315468.268909484</v>
      </c>
      <c r="CR187" s="16">
        <f t="shared" si="91"/>
        <v>71135019.670301601</v>
      </c>
      <c r="CS187" s="16">
        <f t="shared" si="91"/>
        <v>71135019.670301586</v>
      </c>
      <c r="CT187" s="16">
        <f t="shared" si="91"/>
        <v>71322889.832018554</v>
      </c>
      <c r="CU187" s="16">
        <f t="shared" ref="CU187:DZ187" si="92">SUM(CU155:CU186)</f>
        <v>71854258.477030158</v>
      </c>
      <c r="CV187" s="16">
        <f t="shared" si="92"/>
        <v>72143347.508352667</v>
      </c>
      <c r="CW187" s="16">
        <f t="shared" si="92"/>
        <v>100129034.06102087</v>
      </c>
      <c r="CX187" s="16">
        <f t="shared" si="92"/>
        <v>101147447.53503476</v>
      </c>
      <c r="CY187" s="16">
        <f t="shared" si="92"/>
        <v>109283310.91252899</v>
      </c>
      <c r="CZ187" s="16">
        <f t="shared" si="92"/>
        <v>110244712.72134572</v>
      </c>
      <c r="DA187" s="16">
        <f t="shared" si="92"/>
        <v>138335797.14849186</v>
      </c>
      <c r="DB187" s="16">
        <f t="shared" si="92"/>
        <v>138335797.14849186</v>
      </c>
      <c r="DC187" s="16">
        <f t="shared" si="92"/>
        <v>90532416.763501719</v>
      </c>
      <c r="DD187" s="16">
        <f t="shared" si="92"/>
        <v>90551412.785104439</v>
      </c>
      <c r="DE187" s="16">
        <f t="shared" si="92"/>
        <v>90553235.845694914</v>
      </c>
      <c r="DF187" s="16">
        <f t="shared" si="92"/>
        <v>90553235.845694914</v>
      </c>
      <c r="DG187" s="16">
        <f t="shared" si="92"/>
        <v>73771611.311387762</v>
      </c>
      <c r="DH187" s="16">
        <f t="shared" si="92"/>
        <v>58771857.662586182</v>
      </c>
      <c r="DI187" s="16">
        <f t="shared" si="92"/>
        <v>61034765.90124476</v>
      </c>
      <c r="DJ187" s="16">
        <f t="shared" si="92"/>
        <v>66356315.731509142</v>
      </c>
      <c r="DK187" s="16">
        <f t="shared" si="92"/>
        <v>89240309.644481063</v>
      </c>
      <c r="DL187" s="16">
        <f t="shared" si="92"/>
        <v>89601085.692418516</v>
      </c>
      <c r="DM187" s="16">
        <f t="shared" si="92"/>
        <v>90257211.043514088</v>
      </c>
      <c r="DN187" s="16">
        <f t="shared" si="92"/>
        <v>87406806.356136233</v>
      </c>
      <c r="DO187" s="16">
        <f t="shared" si="92"/>
        <v>87406806.356136233</v>
      </c>
      <c r="DP187" s="16">
        <f t="shared" si="92"/>
        <v>87375027.356294572</v>
      </c>
      <c r="DQ187" s="16">
        <f t="shared" si="92"/>
        <v>87375027.356294557</v>
      </c>
      <c r="DR187" s="16">
        <f t="shared" si="92"/>
        <v>87375027.356294528</v>
      </c>
      <c r="DS187" s="16">
        <f t="shared" si="92"/>
        <v>90550127.930522591</v>
      </c>
      <c r="DT187" s="16">
        <f t="shared" si="92"/>
        <v>90569843.17517817</v>
      </c>
      <c r="DU187" s="16">
        <f t="shared" si="92"/>
        <v>91611807.696555823</v>
      </c>
      <c r="DV187" s="16">
        <f t="shared" si="92"/>
        <v>92289512.743467927</v>
      </c>
      <c r="DW187" s="16">
        <f t="shared" si="92"/>
        <v>98562584.160926372</v>
      </c>
      <c r="DX187" s="16">
        <f t="shared" si="92"/>
        <v>99495606.600356311</v>
      </c>
      <c r="DY187" s="16">
        <f t="shared" si="92"/>
        <v>99565995.171021402</v>
      </c>
      <c r="DZ187" s="16">
        <f t="shared" si="92"/>
        <v>99565995.171021402</v>
      </c>
      <c r="EA187" s="16">
        <f t="shared" ref="EA187:FF187" si="93">SUM(EA155:EA186)</f>
        <v>100254102.8426366</v>
      </c>
      <c r="EB187" s="16">
        <f t="shared" si="93"/>
        <v>100254102.8426366</v>
      </c>
      <c r="EC187" s="16">
        <f t="shared" si="93"/>
        <v>59350322.684150733</v>
      </c>
      <c r="ED187" s="16">
        <f t="shared" si="93"/>
        <v>59575820.138231397</v>
      </c>
      <c r="EE187" s="16">
        <f t="shared" si="93"/>
        <v>59602964.451808363</v>
      </c>
      <c r="EF187" s="16">
        <f t="shared" si="93"/>
        <v>59622129.950956233</v>
      </c>
      <c r="EG187" s="16">
        <f t="shared" si="93"/>
        <v>59622129.950956248</v>
      </c>
      <c r="EH187" s="16">
        <f t="shared" si="93"/>
        <v>62760035.35864418</v>
      </c>
      <c r="EI187" s="16">
        <f t="shared" si="93"/>
        <v>62807599.975194074</v>
      </c>
      <c r="EJ187" s="16">
        <f t="shared" si="93"/>
        <v>63245954.777882956</v>
      </c>
      <c r="EK187" s="16">
        <f t="shared" si="93"/>
        <v>63699149.989206567</v>
      </c>
      <c r="EL187" s="16">
        <f t="shared" si="93"/>
        <v>64557518.562582806</v>
      </c>
      <c r="EM187" s="16">
        <f t="shared" si="93"/>
        <v>64335134.842643403</v>
      </c>
      <c r="EN187" s="16">
        <f t="shared" si="93"/>
        <v>51536803.05604998</v>
      </c>
      <c r="EO187" s="16">
        <f t="shared" si="93"/>
        <v>51536803.05604998</v>
      </c>
      <c r="EP187" s="16">
        <f t="shared" si="93"/>
        <v>67643316</v>
      </c>
      <c r="EQ187" s="16">
        <f t="shared" si="93"/>
        <v>68153529</v>
      </c>
      <c r="ER187" s="16">
        <f t="shared" si="93"/>
        <v>68153529</v>
      </c>
      <c r="ES187" s="16">
        <f t="shared" si="93"/>
        <v>68242834</v>
      </c>
      <c r="ET187" s="16">
        <f t="shared" si="93"/>
        <v>68700091</v>
      </c>
      <c r="EU187" s="16">
        <f t="shared" si="93"/>
        <v>68720091</v>
      </c>
      <c r="EV187" s="16">
        <f t="shared" si="93"/>
        <v>68720091</v>
      </c>
      <c r="EW187" s="16">
        <f t="shared" si="93"/>
        <v>68896704</v>
      </c>
      <c r="EX187" s="16">
        <f t="shared" si="93"/>
        <v>68896724</v>
      </c>
      <c r="EY187" s="16">
        <f t="shared" si="93"/>
        <v>69023831</v>
      </c>
      <c r="EZ187" s="16">
        <f t="shared" si="93"/>
        <v>68693240</v>
      </c>
      <c r="FA187" s="16">
        <f t="shared" si="93"/>
        <v>62241468</v>
      </c>
      <c r="FB187" s="16">
        <f t="shared" si="93"/>
        <v>62241468</v>
      </c>
      <c r="FC187" s="16">
        <f t="shared" si="93"/>
        <v>68987694</v>
      </c>
      <c r="FD187" s="16">
        <f t="shared" si="93"/>
        <v>68987694</v>
      </c>
      <c r="FE187" s="16">
        <f t="shared" si="93"/>
        <v>69006999</v>
      </c>
      <c r="FF187" s="16">
        <f t="shared" si="93"/>
        <v>69006999</v>
      </c>
      <c r="FG187" s="16">
        <f t="shared" ref="FG187:GL187" si="94">SUM(FG155:FG186)</f>
        <v>45683963</v>
      </c>
      <c r="FH187" s="16">
        <f t="shared" si="94"/>
        <v>45683963</v>
      </c>
      <c r="FI187" s="16">
        <f t="shared" si="94"/>
        <v>45683963</v>
      </c>
      <c r="FJ187" s="16">
        <f t="shared" si="94"/>
        <v>0</v>
      </c>
      <c r="FK187" s="16">
        <f t="shared" si="94"/>
        <v>0</v>
      </c>
      <c r="FL187" s="16">
        <f t="shared" si="94"/>
        <v>0</v>
      </c>
      <c r="FM187" s="16">
        <f t="shared" si="94"/>
        <v>0</v>
      </c>
      <c r="FN187" s="16">
        <f t="shared" si="94"/>
        <v>0</v>
      </c>
      <c r="FO187" s="16">
        <f t="shared" si="94"/>
        <v>45683963</v>
      </c>
    </row>
    <row r="188" spans="2:171" ht="14.25" customHeight="1" thickTop="1" x14ac:dyDescent="0.3">
      <c r="B188" s="4" t="s">
        <v>85</v>
      </c>
    </row>
    <row r="189" spans="2:171" ht="14.25" customHeight="1" x14ac:dyDescent="0.3">
      <c r="C189" s="38" t="s">
        <v>4</v>
      </c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8" t="s">
        <v>5</v>
      </c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8" t="s">
        <v>6</v>
      </c>
      <c r="AD189" s="39"/>
      <c r="AE189" s="39"/>
      <c r="AF189" s="39"/>
      <c r="AG189" s="39"/>
      <c r="AH189" s="39"/>
      <c r="AI189" s="39"/>
      <c r="AJ189" s="39"/>
      <c r="AK189" s="39"/>
      <c r="AL189" s="39"/>
      <c r="AM189" s="39"/>
      <c r="AN189" s="39"/>
      <c r="AO189" s="39"/>
      <c r="AP189" s="38" t="s">
        <v>7</v>
      </c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8" t="s">
        <v>8</v>
      </c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8" t="s">
        <v>9</v>
      </c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  <c r="CC189" s="38" t="s">
        <v>10</v>
      </c>
      <c r="CD189" s="39"/>
      <c r="CE189" s="39"/>
      <c r="CF189" s="39"/>
      <c r="CG189" s="39"/>
      <c r="CH189" s="39"/>
      <c r="CI189" s="39"/>
      <c r="CJ189" s="39"/>
      <c r="CK189" s="39"/>
      <c r="CL189" s="39"/>
      <c r="CM189" s="39"/>
      <c r="CN189" s="39"/>
      <c r="CO189" s="39"/>
      <c r="CP189" s="38" t="s">
        <v>11</v>
      </c>
      <c r="CQ189" s="39"/>
      <c r="CR189" s="39"/>
      <c r="CS189" s="39"/>
      <c r="CT189" s="39"/>
      <c r="CU189" s="39"/>
      <c r="CV189" s="39"/>
      <c r="CW189" s="39"/>
      <c r="CX189" s="39"/>
      <c r="CY189" s="39"/>
      <c r="CZ189" s="39"/>
      <c r="DA189" s="39"/>
      <c r="DB189" s="39"/>
      <c r="DC189" s="38" t="s">
        <v>12</v>
      </c>
      <c r="DD189" s="39"/>
      <c r="DE189" s="39"/>
      <c r="DF189" s="39"/>
      <c r="DG189" s="39"/>
      <c r="DH189" s="39"/>
      <c r="DI189" s="39"/>
      <c r="DJ189" s="39"/>
      <c r="DK189" s="39"/>
      <c r="DL189" s="39"/>
      <c r="DM189" s="39"/>
      <c r="DN189" s="39"/>
      <c r="DO189" s="39"/>
      <c r="DP189" s="38" t="s">
        <v>13</v>
      </c>
      <c r="DQ189" s="39"/>
      <c r="DR189" s="39"/>
      <c r="DS189" s="39"/>
      <c r="DT189" s="39"/>
      <c r="DU189" s="39"/>
      <c r="DV189" s="39"/>
      <c r="DW189" s="39"/>
      <c r="DX189" s="39"/>
      <c r="DY189" s="39"/>
      <c r="DZ189" s="39"/>
      <c r="EA189" s="39"/>
      <c r="EB189" s="39"/>
      <c r="EC189" s="38" t="s">
        <v>14</v>
      </c>
      <c r="ED189" s="39"/>
      <c r="EE189" s="39"/>
      <c r="EF189" s="39"/>
      <c r="EG189" s="39"/>
      <c r="EH189" s="39"/>
      <c r="EI189" s="39"/>
      <c r="EJ189" s="39"/>
      <c r="EK189" s="39"/>
      <c r="EL189" s="39"/>
      <c r="EM189" s="39"/>
      <c r="EN189" s="39"/>
      <c r="EO189" s="39"/>
      <c r="EP189" s="38" t="s">
        <v>15</v>
      </c>
      <c r="EQ189" s="39"/>
      <c r="ER189" s="39"/>
      <c r="ES189" s="39"/>
      <c r="ET189" s="39"/>
      <c r="EU189" s="39"/>
      <c r="EV189" s="39"/>
      <c r="EW189" s="39"/>
      <c r="EX189" s="39"/>
      <c r="EY189" s="39"/>
      <c r="EZ189" s="39"/>
      <c r="FA189" s="39"/>
      <c r="FB189" s="39"/>
      <c r="FC189" s="38" t="s">
        <v>16</v>
      </c>
      <c r="FD189" s="39"/>
      <c r="FE189" s="39"/>
      <c r="FF189" s="39"/>
      <c r="FG189" s="39"/>
      <c r="FH189" s="39"/>
      <c r="FI189" s="39"/>
      <c r="FJ189" s="39"/>
      <c r="FK189" s="39"/>
      <c r="FL189" s="39"/>
      <c r="FM189" s="39"/>
      <c r="FN189" s="39"/>
      <c r="FO189" s="39"/>
    </row>
    <row r="190" spans="2:171" ht="14.25" customHeight="1" x14ac:dyDescent="0.3">
      <c r="B190" s="5" t="s">
        <v>17</v>
      </c>
      <c r="C190" s="6" t="s">
        <v>18</v>
      </c>
      <c r="D190" s="6" t="s">
        <v>19</v>
      </c>
      <c r="E190" s="6" t="s">
        <v>20</v>
      </c>
      <c r="F190" s="6" t="s">
        <v>21</v>
      </c>
      <c r="G190" s="6" t="s">
        <v>22</v>
      </c>
      <c r="H190" s="6" t="s">
        <v>23</v>
      </c>
      <c r="I190" s="6" t="s">
        <v>24</v>
      </c>
      <c r="J190" s="6" t="s">
        <v>25</v>
      </c>
      <c r="K190" s="6" t="s">
        <v>26</v>
      </c>
      <c r="L190" s="6" t="s">
        <v>27</v>
      </c>
      <c r="M190" s="6" t="s">
        <v>28</v>
      </c>
      <c r="N190" s="6" t="s">
        <v>29</v>
      </c>
      <c r="O190" s="6" t="s">
        <v>30</v>
      </c>
      <c r="P190" s="6" t="s">
        <v>18</v>
      </c>
      <c r="Q190" s="6" t="s">
        <v>19</v>
      </c>
      <c r="R190" s="6" t="s">
        <v>20</v>
      </c>
      <c r="S190" s="6" t="s">
        <v>21</v>
      </c>
      <c r="T190" s="6" t="s">
        <v>22</v>
      </c>
      <c r="U190" s="6" t="s">
        <v>23</v>
      </c>
      <c r="V190" s="6" t="s">
        <v>24</v>
      </c>
      <c r="W190" s="6" t="s">
        <v>25</v>
      </c>
      <c r="X190" s="6" t="s">
        <v>26</v>
      </c>
      <c r="Y190" s="6" t="s">
        <v>27</v>
      </c>
      <c r="Z190" s="6" t="s">
        <v>28</v>
      </c>
      <c r="AA190" s="6" t="s">
        <v>29</v>
      </c>
      <c r="AB190" s="6" t="s">
        <v>31</v>
      </c>
      <c r="AC190" s="6" t="s">
        <v>18</v>
      </c>
      <c r="AD190" s="6" t="s">
        <v>19</v>
      </c>
      <c r="AE190" s="6" t="s">
        <v>20</v>
      </c>
      <c r="AF190" s="6" t="s">
        <v>21</v>
      </c>
      <c r="AG190" s="6" t="s">
        <v>22</v>
      </c>
      <c r="AH190" s="6" t="s">
        <v>23</v>
      </c>
      <c r="AI190" s="6" t="s">
        <v>24</v>
      </c>
      <c r="AJ190" s="6" t="s">
        <v>25</v>
      </c>
      <c r="AK190" s="6" t="s">
        <v>26</v>
      </c>
      <c r="AL190" s="6" t="s">
        <v>27</v>
      </c>
      <c r="AM190" s="6" t="s">
        <v>28</v>
      </c>
      <c r="AN190" s="6" t="s">
        <v>29</v>
      </c>
      <c r="AO190" s="6" t="s">
        <v>32</v>
      </c>
      <c r="AP190" s="6" t="s">
        <v>18</v>
      </c>
      <c r="AQ190" s="6" t="s">
        <v>19</v>
      </c>
      <c r="AR190" s="6" t="s">
        <v>20</v>
      </c>
      <c r="AS190" s="6" t="s">
        <v>21</v>
      </c>
      <c r="AT190" s="6" t="s">
        <v>22</v>
      </c>
      <c r="AU190" s="6" t="s">
        <v>23</v>
      </c>
      <c r="AV190" s="6" t="s">
        <v>24</v>
      </c>
      <c r="AW190" s="6" t="s">
        <v>25</v>
      </c>
      <c r="AX190" s="6" t="s">
        <v>26</v>
      </c>
      <c r="AY190" s="6" t="s">
        <v>27</v>
      </c>
      <c r="AZ190" s="6" t="s">
        <v>28</v>
      </c>
      <c r="BA190" s="6" t="s">
        <v>29</v>
      </c>
      <c r="BB190" s="6" t="s">
        <v>33</v>
      </c>
      <c r="BC190" s="6" t="s">
        <v>18</v>
      </c>
      <c r="BD190" s="6" t="s">
        <v>19</v>
      </c>
      <c r="BE190" s="6" t="s">
        <v>20</v>
      </c>
      <c r="BF190" s="6" t="s">
        <v>21</v>
      </c>
      <c r="BG190" s="6" t="s">
        <v>22</v>
      </c>
      <c r="BH190" s="6" t="s">
        <v>23</v>
      </c>
      <c r="BI190" s="6" t="s">
        <v>24</v>
      </c>
      <c r="BJ190" s="6" t="s">
        <v>25</v>
      </c>
      <c r="BK190" s="6" t="s">
        <v>26</v>
      </c>
      <c r="BL190" s="6" t="s">
        <v>27</v>
      </c>
      <c r="BM190" s="6" t="s">
        <v>28</v>
      </c>
      <c r="BN190" s="6" t="s">
        <v>29</v>
      </c>
      <c r="BO190" s="6" t="s">
        <v>34</v>
      </c>
      <c r="BP190" s="6" t="s">
        <v>18</v>
      </c>
      <c r="BQ190" s="6" t="s">
        <v>19</v>
      </c>
      <c r="BR190" s="6" t="s">
        <v>20</v>
      </c>
      <c r="BS190" s="6" t="s">
        <v>21</v>
      </c>
      <c r="BT190" s="6" t="s">
        <v>22</v>
      </c>
      <c r="BU190" s="6" t="s">
        <v>23</v>
      </c>
      <c r="BV190" s="6" t="s">
        <v>24</v>
      </c>
      <c r="BW190" s="6" t="s">
        <v>25</v>
      </c>
      <c r="BX190" s="6" t="s">
        <v>26</v>
      </c>
      <c r="BY190" s="6" t="s">
        <v>27</v>
      </c>
      <c r="BZ190" s="6" t="s">
        <v>28</v>
      </c>
      <c r="CA190" s="6" t="s">
        <v>29</v>
      </c>
      <c r="CB190" s="6" t="s">
        <v>35</v>
      </c>
      <c r="CC190" s="6" t="s">
        <v>18</v>
      </c>
      <c r="CD190" s="6" t="s">
        <v>19</v>
      </c>
      <c r="CE190" s="6" t="s">
        <v>20</v>
      </c>
      <c r="CF190" s="6" t="s">
        <v>21</v>
      </c>
      <c r="CG190" s="6" t="s">
        <v>22</v>
      </c>
      <c r="CH190" s="6" t="s">
        <v>23</v>
      </c>
      <c r="CI190" s="6" t="s">
        <v>24</v>
      </c>
      <c r="CJ190" s="6" t="s">
        <v>25</v>
      </c>
      <c r="CK190" s="6" t="s">
        <v>26</v>
      </c>
      <c r="CL190" s="6" t="s">
        <v>27</v>
      </c>
      <c r="CM190" s="6" t="s">
        <v>28</v>
      </c>
      <c r="CN190" s="6" t="s">
        <v>29</v>
      </c>
      <c r="CO190" s="6" t="s">
        <v>36</v>
      </c>
      <c r="CP190" s="6" t="s">
        <v>18</v>
      </c>
      <c r="CQ190" s="6" t="s">
        <v>19</v>
      </c>
      <c r="CR190" s="6" t="s">
        <v>20</v>
      </c>
      <c r="CS190" s="6" t="s">
        <v>21</v>
      </c>
      <c r="CT190" s="6" t="s">
        <v>22</v>
      </c>
      <c r="CU190" s="6" t="s">
        <v>23</v>
      </c>
      <c r="CV190" s="6" t="s">
        <v>24</v>
      </c>
      <c r="CW190" s="6" t="s">
        <v>25</v>
      </c>
      <c r="CX190" s="6" t="s">
        <v>26</v>
      </c>
      <c r="CY190" s="6" t="s">
        <v>27</v>
      </c>
      <c r="CZ190" s="6" t="s">
        <v>28</v>
      </c>
      <c r="DA190" s="6" t="s">
        <v>29</v>
      </c>
      <c r="DB190" s="6" t="s">
        <v>37</v>
      </c>
      <c r="DC190" s="6" t="s">
        <v>18</v>
      </c>
      <c r="DD190" s="6" t="s">
        <v>19</v>
      </c>
      <c r="DE190" s="6" t="s">
        <v>20</v>
      </c>
      <c r="DF190" s="6" t="s">
        <v>21</v>
      </c>
      <c r="DG190" s="6" t="s">
        <v>22</v>
      </c>
      <c r="DH190" s="6" t="s">
        <v>23</v>
      </c>
      <c r="DI190" s="6" t="s">
        <v>24</v>
      </c>
      <c r="DJ190" s="6" t="s">
        <v>25</v>
      </c>
      <c r="DK190" s="6" t="s">
        <v>26</v>
      </c>
      <c r="DL190" s="6" t="s">
        <v>27</v>
      </c>
      <c r="DM190" s="6" t="s">
        <v>28</v>
      </c>
      <c r="DN190" s="6" t="s">
        <v>29</v>
      </c>
      <c r="DO190" s="6" t="s">
        <v>38</v>
      </c>
      <c r="DP190" s="6" t="s">
        <v>18</v>
      </c>
      <c r="DQ190" s="6" t="s">
        <v>19</v>
      </c>
      <c r="DR190" s="6" t="s">
        <v>20</v>
      </c>
      <c r="DS190" s="6" t="s">
        <v>21</v>
      </c>
      <c r="DT190" s="6" t="s">
        <v>22</v>
      </c>
      <c r="DU190" s="6" t="s">
        <v>23</v>
      </c>
      <c r="DV190" s="6" t="s">
        <v>24</v>
      </c>
      <c r="DW190" s="6" t="s">
        <v>25</v>
      </c>
      <c r="DX190" s="6" t="s">
        <v>26</v>
      </c>
      <c r="DY190" s="6" t="s">
        <v>27</v>
      </c>
      <c r="DZ190" s="6" t="s">
        <v>28</v>
      </c>
      <c r="EA190" s="6" t="s">
        <v>29</v>
      </c>
      <c r="EB190" s="6" t="s">
        <v>39</v>
      </c>
      <c r="EC190" s="6" t="s">
        <v>18</v>
      </c>
      <c r="ED190" s="6" t="s">
        <v>19</v>
      </c>
      <c r="EE190" s="6" t="s">
        <v>20</v>
      </c>
      <c r="EF190" s="6" t="s">
        <v>21</v>
      </c>
      <c r="EG190" s="6" t="s">
        <v>22</v>
      </c>
      <c r="EH190" s="6" t="s">
        <v>23</v>
      </c>
      <c r="EI190" s="6" t="s">
        <v>24</v>
      </c>
      <c r="EJ190" s="6" t="s">
        <v>25</v>
      </c>
      <c r="EK190" s="6" t="s">
        <v>26</v>
      </c>
      <c r="EL190" s="6" t="s">
        <v>27</v>
      </c>
      <c r="EM190" s="6" t="s">
        <v>28</v>
      </c>
      <c r="EN190" s="6" t="s">
        <v>29</v>
      </c>
      <c r="EO190" s="6" t="s">
        <v>40</v>
      </c>
      <c r="EP190" s="6" t="s">
        <v>18</v>
      </c>
      <c r="EQ190" s="6" t="s">
        <v>19</v>
      </c>
      <c r="ER190" s="6" t="s">
        <v>20</v>
      </c>
      <c r="ES190" s="6" t="s">
        <v>21</v>
      </c>
      <c r="ET190" s="6" t="s">
        <v>22</v>
      </c>
      <c r="EU190" s="6" t="s">
        <v>23</v>
      </c>
      <c r="EV190" s="6" t="s">
        <v>24</v>
      </c>
      <c r="EW190" s="6" t="s">
        <v>25</v>
      </c>
      <c r="EX190" s="6" t="s">
        <v>26</v>
      </c>
      <c r="EY190" s="6" t="s">
        <v>27</v>
      </c>
      <c r="EZ190" s="6" t="s">
        <v>28</v>
      </c>
      <c r="FA190" s="6" t="s">
        <v>29</v>
      </c>
      <c r="FB190" s="6" t="s">
        <v>41</v>
      </c>
      <c r="FC190" s="6" t="s">
        <v>18</v>
      </c>
      <c r="FD190" s="6" t="s">
        <v>19</v>
      </c>
      <c r="FE190" s="6" t="s">
        <v>20</v>
      </c>
      <c r="FF190" s="6" t="s">
        <v>21</v>
      </c>
      <c r="FG190" s="6" t="s">
        <v>22</v>
      </c>
      <c r="FH190" s="6" t="s">
        <v>23</v>
      </c>
      <c r="FI190" s="6" t="s">
        <v>24</v>
      </c>
      <c r="FJ190" s="6" t="s">
        <v>25</v>
      </c>
      <c r="FK190" s="6" t="s">
        <v>26</v>
      </c>
      <c r="FL190" s="6" t="s">
        <v>27</v>
      </c>
      <c r="FM190" s="6" t="s">
        <v>28</v>
      </c>
      <c r="FN190" s="6" t="s">
        <v>29</v>
      </c>
      <c r="FO190" s="6" t="s">
        <v>42</v>
      </c>
    </row>
    <row r="191" spans="2:171" ht="14.25" customHeight="1" x14ac:dyDescent="0.3">
      <c r="B191" s="7" t="s">
        <v>43</v>
      </c>
      <c r="C191" s="8">
        <f>+MINVU_Mes_Corriente!C191*SALUD_Mes_Constante!$C$1</f>
        <v>16394.671214592912</v>
      </c>
      <c r="D191" s="8">
        <f>+MINVU_Mes_Corriente!D191*SALUD_Mes_Constante!$C$1</f>
        <v>67657.590093430234</v>
      </c>
      <c r="E191" s="8">
        <f>+MINVU_Mes_Corriente!E191*SALUD_Mes_Constante!$C$1</f>
        <v>641550.47960848291</v>
      </c>
      <c r="F191" s="8">
        <f>+MINVU_Mes_Corriente!F191*SALUD_Mes_Constante!$C$1</f>
        <v>710679.34480201697</v>
      </c>
      <c r="G191" s="8">
        <f>+MINVU_Mes_Corriente!G191*SALUD_Mes_Constante!$C$1</f>
        <v>766821.12857778452</v>
      </c>
      <c r="H191" s="8">
        <f>+MINVU_Mes_Corriente!H191*SALUD_Mes_Constante!$C$1</f>
        <v>896525.04701171594</v>
      </c>
      <c r="I191" s="8">
        <f>+MINVU_Mes_Corriente!I191*SALUD_Mes_Constante!$C$1</f>
        <v>966248.57956399245</v>
      </c>
      <c r="J191" s="8">
        <f>+MINVU_Mes_Corriente!J191*SALUD_Mes_Constante!$C$1</f>
        <v>1186969.0108260419</v>
      </c>
      <c r="K191" s="8">
        <f>+MINVU_Mes_Corriente!K191*SALUD_Mes_Constante!$C$1</f>
        <v>1589555.5720005934</v>
      </c>
      <c r="L191" s="8">
        <f>+MINVU_Mes_Corriente!L191*SALUD_Mes_Constante!$C$1</f>
        <v>1719590.0412279405</v>
      </c>
      <c r="M191" s="8">
        <f>+MINVU_Mes_Corriente!M191*SALUD_Mes_Constante!$C$1</f>
        <v>1950270.7456621684</v>
      </c>
      <c r="N191" s="8">
        <f>+MINVU_Mes_Corriente!N191*SALUD_Mes_Constante!$C$1</f>
        <v>2762808.3452469232</v>
      </c>
      <c r="O191" s="9">
        <f t="shared" ref="O191:O222" si="95">N191</f>
        <v>2762808.3452469232</v>
      </c>
      <c r="P191" s="8">
        <f>+MINVU_Mes_Corriente!P191*SALUD_Mes_Constante!$P$1</f>
        <v>363665.52265946852</v>
      </c>
      <c r="Q191" s="8">
        <f>+MINVU_Mes_Corriente!Q191*SALUD_Mes_Constante!$P$1</f>
        <v>435959.6624520527</v>
      </c>
      <c r="R191" s="8">
        <f>+MINVU_Mes_Corriente!R191*SALUD_Mes_Constante!$P$1</f>
        <v>604138.41625230829</v>
      </c>
      <c r="S191" s="8">
        <f>+MINVU_Mes_Corriente!S191*SALUD_Mes_Constante!$P$1</f>
        <v>609235.8710044038</v>
      </c>
      <c r="T191" s="8">
        <f>+MINVU_Mes_Corriente!T191*SALUD_Mes_Constante!$P$1</f>
        <v>948820.4213666711</v>
      </c>
      <c r="U191" s="8">
        <f>+MINVU_Mes_Corriente!U191*SALUD_Mes_Constante!$P$1</f>
        <v>1682521.7329166068</v>
      </c>
      <c r="V191" s="8">
        <f>+MINVU_Mes_Corriente!V191*SALUD_Mes_Constante!$P$1</f>
        <v>1804849.7815030538</v>
      </c>
      <c r="W191" s="8">
        <f>+MINVU_Mes_Corriente!W191*SALUD_Mes_Constante!$P$1</f>
        <v>1815111.4359994309</v>
      </c>
      <c r="X191" s="8">
        <f>+MINVU_Mes_Corriente!X191*SALUD_Mes_Constante!$P$1</f>
        <v>2076064.1767296484</v>
      </c>
      <c r="Y191" s="8">
        <f>+MINVU_Mes_Corriente!Y191*SALUD_Mes_Constante!$P$1</f>
        <v>2323804.5134252016</v>
      </c>
      <c r="Z191" s="8">
        <f>+MINVU_Mes_Corriente!Z191*SALUD_Mes_Constante!$P$1</f>
        <v>2407201.6050575357</v>
      </c>
      <c r="AA191" s="8">
        <f>+MINVU_Mes_Corriente!AA191*SALUD_Mes_Constante!$P$1</f>
        <v>3945529.31950561</v>
      </c>
      <c r="AB191" s="9">
        <f t="shared" ref="AB191:AB222" si="96">AA191</f>
        <v>3945529.31950561</v>
      </c>
      <c r="AC191" s="8">
        <f>+MINVU_Mes_Corriente!AC191*SALUD_Mes_Constante!$AC$1</f>
        <v>447826.95006224926</v>
      </c>
      <c r="AD191" s="8">
        <f>+MINVU_Mes_Corriente!AD191*SALUD_Mes_Constante!$AC$1</f>
        <v>553545.71088670637</v>
      </c>
      <c r="AE191" s="8">
        <f>+MINVU_Mes_Corriente!AE191*SALUD_Mes_Constante!$AC$1</f>
        <v>801115.0565776733</v>
      </c>
      <c r="AF191" s="8">
        <f>+MINVU_Mes_Corriente!AF191*SALUD_Mes_Constante!$AC$1</f>
        <v>1008656.1571448334</v>
      </c>
      <c r="AG191" s="8">
        <f>+MINVU_Mes_Corriente!AG191*SALUD_Mes_Constante!$AC$1</f>
        <v>1336363.6093512243</v>
      </c>
      <c r="AH191" s="8">
        <f>+MINVU_Mes_Corriente!AH191*SALUD_Mes_Constante!$AC$1</f>
        <v>1422393.2012726518</v>
      </c>
      <c r="AI191" s="8">
        <f>+MINVU_Mes_Corriente!AI191*SALUD_Mes_Constante!$AC$1</f>
        <v>1691208.4706045096</v>
      </c>
      <c r="AJ191" s="8">
        <f>+MINVU_Mes_Corriente!AJ191*SALUD_Mes_Constante!$AC$1</f>
        <v>1904801.2662885599</v>
      </c>
      <c r="AK191" s="8">
        <f>+MINVU_Mes_Corriente!AK191*SALUD_Mes_Constante!$AC$1</f>
        <v>2009312.4086318992</v>
      </c>
      <c r="AL191" s="8">
        <f>+MINVU_Mes_Corriente!AL191*SALUD_Mes_Constante!$AC$1</f>
        <v>2193680.5347904274</v>
      </c>
      <c r="AM191" s="8">
        <f>+MINVU_Mes_Corriente!AM191*SALUD_Mes_Constante!$AC$1</f>
        <v>2243714.3297828194</v>
      </c>
      <c r="AN191" s="8">
        <f>+MINVU_Mes_Corriente!AN191*SALUD_Mes_Constante!$AC$1</f>
        <v>3328337.0953105548</v>
      </c>
      <c r="AO191" s="9">
        <f t="shared" ref="AO191:AO222" si="97">AN191</f>
        <v>3328337.0953105548</v>
      </c>
      <c r="AP191" s="8">
        <f>+MINVU_Mes_Corriente!AP191*SALUD_Mes_Constante!$AP$1</f>
        <v>73332.628161774643</v>
      </c>
      <c r="AQ191" s="8">
        <f>+MINVU_Mes_Corriente!AQ191*SALUD_Mes_Constante!$AP$1</f>
        <v>166381.71324225617</v>
      </c>
      <c r="AR191" s="8">
        <f>+MINVU_Mes_Corriente!AR191*SALUD_Mes_Constante!$AP$1</f>
        <v>497421.9264168808</v>
      </c>
      <c r="AS191" s="8">
        <f>+MINVU_Mes_Corriente!AS191*SALUD_Mes_Constante!$AP$1</f>
        <v>560602.96604896523</v>
      </c>
      <c r="AT191" s="8">
        <f>+MINVU_Mes_Corriente!AT191*SALUD_Mes_Constante!$AP$1</f>
        <v>573363.02069525223</v>
      </c>
      <c r="AU191" s="8">
        <f>+MINVU_Mes_Corriente!AU191*SALUD_Mes_Constante!$AP$1</f>
        <v>830695.22304882994</v>
      </c>
      <c r="AV191" s="8">
        <f>+MINVU_Mes_Corriente!AV191*SALUD_Mes_Constante!$AP$1</f>
        <v>908968.4190450426</v>
      </c>
      <c r="AW191" s="8">
        <f>+MINVU_Mes_Corriente!AW191*SALUD_Mes_Constante!$AP$1</f>
        <v>1129588.492898688</v>
      </c>
      <c r="AX191" s="8">
        <f>+MINVU_Mes_Corriente!AX191*SALUD_Mes_Constante!$AP$1</f>
        <v>1246174.3662924387</v>
      </c>
      <c r="AY191" s="8">
        <f>+MINVU_Mes_Corriente!AY191*SALUD_Mes_Constante!$AP$1</f>
        <v>1384099.4137697821</v>
      </c>
      <c r="AZ191" s="8">
        <f>+MINVU_Mes_Corriente!AZ191*SALUD_Mes_Constante!$AP$1</f>
        <v>1621848.1688083322</v>
      </c>
      <c r="BA191" s="8">
        <f>+MINVU_Mes_Corriente!BA191*SALUD_Mes_Constante!$AP$1</f>
        <v>3168723.25767618</v>
      </c>
      <c r="BB191" s="9">
        <f t="shared" ref="BB191:BB222" si="98">BA191</f>
        <v>3168723.25767618</v>
      </c>
      <c r="BC191" s="8">
        <f>+MINVU_Mes_Corriente!BC191*SALUD_Mes_Constante!$BC$1</f>
        <v>16324.881972833975</v>
      </c>
      <c r="BD191" s="8">
        <f>+MINVU_Mes_Corriente!BD191*SALUD_Mes_Constante!$BC$1</f>
        <v>369218.97665831476</v>
      </c>
      <c r="BE191" s="8">
        <f>+MINVU_Mes_Corriente!BE191*SALUD_Mes_Constante!$BC$1</f>
        <v>443012.3420809707</v>
      </c>
      <c r="BF191" s="8">
        <f>+MINVU_Mes_Corriente!BF191*SALUD_Mes_Constante!$BC$1</f>
        <v>517578.00553870515</v>
      </c>
      <c r="BG191" s="8">
        <f>+MINVU_Mes_Corriente!BG191*SALUD_Mes_Constante!$BC$1</f>
        <v>710123.72069101955</v>
      </c>
      <c r="BH191" s="8">
        <f>+MINVU_Mes_Corriente!BH191*SALUD_Mes_Constante!$BC$1</f>
        <v>943171.85704866168</v>
      </c>
      <c r="BI191" s="8">
        <f>+MINVU_Mes_Corriente!BI191*SALUD_Mes_Constante!$BC$1</f>
        <v>1040686.0108136624</v>
      </c>
      <c r="BJ191" s="8">
        <f>+MINVU_Mes_Corriente!BJ191*SALUD_Mes_Constante!$BC$1</f>
        <v>1079309.557694844</v>
      </c>
      <c r="BK191" s="8">
        <f>+MINVU_Mes_Corriente!BK191*SALUD_Mes_Constante!$BC$1</f>
        <v>1089859.4946591062</v>
      </c>
      <c r="BL191" s="8">
        <f>+MINVU_Mes_Corriente!BL191*SALUD_Mes_Constante!$BC$1</f>
        <v>1122517.9037320325</v>
      </c>
      <c r="BM191" s="8">
        <f>+MINVU_Mes_Corriente!BM191*SALUD_Mes_Constante!$BC$1</f>
        <v>1175055.7829355139</v>
      </c>
      <c r="BN191" s="8">
        <f>+MINVU_Mes_Corriente!BN191*SALUD_Mes_Constante!$BC$1</f>
        <v>2640553.2612422532</v>
      </c>
      <c r="BO191" s="9">
        <f t="shared" ref="BO191:BO222" si="99">BN191</f>
        <v>2640553.2612422532</v>
      </c>
      <c r="BP191" s="8">
        <f>+MINVU_Mes_Corriente!BP191*SALUD_Mes_Constante!$BP$1</f>
        <v>29340.71677336748</v>
      </c>
      <c r="BQ191" s="8">
        <f>+MINVU_Mes_Corriente!BQ191*SALUD_Mes_Constante!$BP$1</f>
        <v>54117.974903969276</v>
      </c>
      <c r="BR191" s="8">
        <f>+MINVU_Mes_Corriente!BR191*SALUD_Mes_Constante!$BP$1</f>
        <v>70781.174135723442</v>
      </c>
      <c r="BS191" s="8">
        <f>+MINVU_Mes_Corriente!BS191*SALUD_Mes_Constante!$BP$1</f>
        <v>73503.580793854038</v>
      </c>
      <c r="BT191" s="8">
        <f>+MINVU_Mes_Corriente!BT191*SALUD_Mes_Constante!$BP$1</f>
        <v>75968.575928297068</v>
      </c>
      <c r="BU191" s="8">
        <f>+MINVU_Mes_Corriente!BU191*SALUD_Mes_Constante!$BP$1</f>
        <v>80480.272471190794</v>
      </c>
      <c r="BV191" s="8">
        <f>+MINVU_Mes_Corriente!BV191*SALUD_Mes_Constante!$BP$1</f>
        <v>86439.908834827147</v>
      </c>
      <c r="BW191" s="8">
        <f>+MINVU_Mes_Corriente!BW191*SALUD_Mes_Constante!$BP$1</f>
        <v>87900.439436619723</v>
      </c>
      <c r="BX191" s="8">
        <f>+MINVU_Mes_Corriente!BX191*SALUD_Mes_Constante!$BP$1</f>
        <v>109418.08425096032</v>
      </c>
      <c r="BY191" s="8">
        <f>+MINVU_Mes_Corriente!BY191*SALUD_Mes_Constante!$BP$1</f>
        <v>127424.30012804098</v>
      </c>
      <c r="BZ191" s="8">
        <f>+MINVU_Mes_Corriente!BZ191*SALUD_Mes_Constante!$BP$1</f>
        <v>131828.27554417416</v>
      </c>
      <c r="CA191" s="8">
        <f>+MINVU_Mes_Corriente!CA191*SALUD_Mes_Constante!$BP$1</f>
        <v>580029.30345710635</v>
      </c>
      <c r="CB191" s="9">
        <f t="shared" ref="CB191:CB222" si="100">CA191</f>
        <v>580029.30345710635</v>
      </c>
      <c r="CC191" s="8">
        <f>+MINVU_Mes_Corriente!CC191*SALUD_Mes_Constante!$CC$1</f>
        <v>65456.833271167481</v>
      </c>
      <c r="CD191" s="8">
        <f>+MINVU_Mes_Corriente!CD191*SALUD_Mes_Constante!$CC$1</f>
        <v>84897.58746736293</v>
      </c>
      <c r="CE191" s="8">
        <f>+MINVU_Mes_Corriente!CE191*SALUD_Mes_Constante!$CC$1</f>
        <v>87811.459157030971</v>
      </c>
      <c r="CF191" s="8">
        <f>+MINVU_Mes_Corriente!CF191*SALUD_Mes_Constante!$CC$1</f>
        <v>87811.459157030971</v>
      </c>
      <c r="CG191" s="8">
        <f>+MINVU_Mes_Corriente!CG191*SALUD_Mes_Constante!$CC$1</f>
        <v>87811.459157030971</v>
      </c>
      <c r="CH191" s="8">
        <f>+MINVU_Mes_Corriente!CH191*SALUD_Mes_Constante!$CC$1</f>
        <v>301083.77321894816</v>
      </c>
      <c r="CI191" s="8">
        <f>+MINVU_Mes_Corriente!CI191*SALUD_Mes_Constante!$CC$1</f>
        <v>302311.81051846332</v>
      </c>
      <c r="CJ191" s="8">
        <f>+MINVU_Mes_Corriente!CJ191*SALUD_Mes_Constante!$CC$1</f>
        <v>310075.34278254386</v>
      </c>
      <c r="CK191" s="8">
        <f>+MINVU_Mes_Corriente!CK191*SALUD_Mes_Constante!$CC$1</f>
        <v>344388.38940693776</v>
      </c>
      <c r="CL191" s="8">
        <f>+MINVU_Mes_Corriente!CL191*SALUD_Mes_Constante!$CC$1</f>
        <v>426744.32002983964</v>
      </c>
      <c r="CM191" s="8">
        <f>+MINVU_Mes_Corriente!CM191*SALUD_Mes_Constante!$CC$1</f>
        <v>1408861.7165236853</v>
      </c>
      <c r="CN191" s="8">
        <f>+MINVU_Mes_Corriente!CN191*SALUD_Mes_Constante!$CC$1</f>
        <v>2399363.4561730698</v>
      </c>
      <c r="CO191" s="9">
        <f t="shared" ref="CO191:CO222" si="101">CN191</f>
        <v>2399363.4561730698</v>
      </c>
      <c r="CP191" s="8">
        <f>+MINVU_Mes_Corriente!CP191*SALUD_Mes_Constante!$CP$1</f>
        <v>2796.1433874709969</v>
      </c>
      <c r="CQ191" s="8">
        <f>+MINVU_Mes_Corriente!CQ191*SALUD_Mes_Constante!$CP$1</f>
        <v>2796.1433874709969</v>
      </c>
      <c r="CR191" s="8">
        <f>+MINVU_Mes_Corriente!CR191*SALUD_Mes_Constante!$CP$1</f>
        <v>19301.754988399069</v>
      </c>
      <c r="CS191" s="8">
        <f>+MINVU_Mes_Corriente!CS191*SALUD_Mes_Constante!$CP$1</f>
        <v>82645.937122969815</v>
      </c>
      <c r="CT191" s="8">
        <f>+MINVU_Mes_Corriente!CT191*SALUD_Mes_Constante!$CP$1</f>
        <v>332374.75058004633</v>
      </c>
      <c r="CU191" s="8">
        <f>+MINVU_Mes_Corriente!CU191*SALUD_Mes_Constante!$CP$1</f>
        <v>508344.19141531311</v>
      </c>
      <c r="CV191" s="8">
        <f>+MINVU_Mes_Corriente!CV191*SALUD_Mes_Constante!$CP$1</f>
        <v>590021.74524361931</v>
      </c>
      <c r="CW191" s="8">
        <f>+MINVU_Mes_Corriente!CW191*SALUD_Mes_Constante!$CP$1</f>
        <v>632012.06171693723</v>
      </c>
      <c r="CX191" s="8">
        <f>+MINVU_Mes_Corriente!CX191*SALUD_Mes_Constante!$CP$1</f>
        <v>715845.66264501144</v>
      </c>
      <c r="CY191" s="8">
        <f>+MINVU_Mes_Corriente!CY191*SALUD_Mes_Constante!$CP$1</f>
        <v>791352.94176334096</v>
      </c>
      <c r="CZ191" s="8">
        <f>+MINVU_Mes_Corriente!CZ191*SALUD_Mes_Constante!$CP$1</f>
        <v>866620.66009280726</v>
      </c>
      <c r="DA191" s="8">
        <f>+MINVU_Mes_Corriente!DA191*SALUD_Mes_Constante!$CP$1</f>
        <v>2168620.8723897906</v>
      </c>
      <c r="DB191" s="9">
        <f t="shared" ref="DB191:DB222" si="102">DA191</f>
        <v>2168620.8723897906</v>
      </c>
      <c r="DC191" s="8">
        <f>+MINVU_Mes_Corriente!DC191*SALUD_Mes_Constante!$DC$1</f>
        <v>0</v>
      </c>
      <c r="DD191" s="8">
        <f>+MINVU_Mes_Corriente!DD191*SALUD_Mes_Constante!$DC$1</f>
        <v>55303.251105853335</v>
      </c>
      <c r="DE191" s="8">
        <f>+MINVU_Mes_Corriente!DE191*SALUD_Mes_Constante!$DC$1</f>
        <v>75643.527003394745</v>
      </c>
      <c r="DF191" s="8">
        <f>+MINVU_Mes_Corriente!DF191*SALUD_Mes_Constante!$DC$1</f>
        <v>75643.527003394745</v>
      </c>
      <c r="DG191" s="8">
        <f>+MINVU_Mes_Corriente!DG191*SALUD_Mes_Constante!$DC$1</f>
        <v>100565.05750437203</v>
      </c>
      <c r="DH191" s="8">
        <f>+MINVU_Mes_Corriente!DH191*SALUD_Mes_Constante!$DC$1</f>
        <v>102515.12539862159</v>
      </c>
      <c r="DI191" s="8">
        <f>+MINVU_Mes_Corriente!DI191*SALUD_Mes_Constante!$DC$1</f>
        <v>112112.60652196281</v>
      </c>
      <c r="DJ191" s="8">
        <f>+MINVU_Mes_Corriente!DJ191*SALUD_Mes_Constante!$DC$1</f>
        <v>148012.9630696431</v>
      </c>
      <c r="DK191" s="8">
        <f>+MINVU_Mes_Corriente!DK191*SALUD_Mes_Constante!$DC$1</f>
        <v>212693.3994445017</v>
      </c>
      <c r="DL191" s="8">
        <f>+MINVU_Mes_Corriente!DL191*SALUD_Mes_Constante!$DC$1</f>
        <v>305228.89785001555</v>
      </c>
      <c r="DM191" s="8">
        <f>+MINVU_Mes_Corriente!DM191*SALUD_Mes_Constante!$DC$1</f>
        <v>328826.40530809603</v>
      </c>
      <c r="DN191" s="8">
        <f>+MINVU_Mes_Corriente!DN191*SALUD_Mes_Constante!$DC$1</f>
        <v>1421874.8647258519</v>
      </c>
      <c r="DO191" s="9">
        <f t="shared" ref="DO191:DO222" si="103">DN191</f>
        <v>1421874.8647258519</v>
      </c>
      <c r="DP191" s="8">
        <f>+MINVU_Mes_Corriente!DP191*SALUD_Mes_Constante!$DP$1</f>
        <v>59467.977434679342</v>
      </c>
      <c r="DQ191" s="8">
        <f>+MINVU_Mes_Corriente!DQ191*SALUD_Mes_Constante!$DP$1</f>
        <v>59467.977434679342</v>
      </c>
      <c r="DR191" s="8">
        <f>+MINVU_Mes_Corriente!DR191*SALUD_Mes_Constante!$DP$1</f>
        <v>90349.282660332552</v>
      </c>
      <c r="DS191" s="8">
        <f>+MINVU_Mes_Corriente!DS191*SALUD_Mes_Constante!$DP$1</f>
        <v>121393.87232779099</v>
      </c>
      <c r="DT191" s="8">
        <f>+MINVU_Mes_Corriente!DT191*SALUD_Mes_Constante!$DP$1</f>
        <v>186043.69774346796</v>
      </c>
      <c r="DU191" s="8">
        <f>+MINVU_Mes_Corriente!DU191*SALUD_Mes_Constante!$DP$1</f>
        <v>210003.25653206653</v>
      </c>
      <c r="DV191" s="8">
        <f>+MINVU_Mes_Corriente!DV191*SALUD_Mes_Constante!$DP$1</f>
        <v>263157.20843230409</v>
      </c>
      <c r="DW191" s="8">
        <f>+MINVU_Mes_Corriente!DW191*SALUD_Mes_Constante!$DP$1</f>
        <v>491804.08788598579</v>
      </c>
      <c r="DX191" s="8">
        <f>+MINVU_Mes_Corriente!DX191*SALUD_Mes_Constante!$DP$1</f>
        <v>761216.92874109268</v>
      </c>
      <c r="DY191" s="8">
        <f>+MINVU_Mes_Corriente!DY191*SALUD_Mes_Constante!$DP$1</f>
        <v>905962.63895486947</v>
      </c>
      <c r="DZ191" s="8">
        <f>+MINVU_Mes_Corriente!DZ191*SALUD_Mes_Constante!$DP$1</f>
        <v>1320856.5106888362</v>
      </c>
      <c r="EA191" s="8">
        <f>+MINVU_Mes_Corriente!EA191*SALUD_Mes_Constante!$DP$1</f>
        <v>2369277.7963182898</v>
      </c>
      <c r="EB191" s="9">
        <f t="shared" ref="EB191:EB222" si="104">EA191</f>
        <v>2369277.7963182898</v>
      </c>
      <c r="EC191" s="8">
        <f>+MINVU_Mes_Corriente!EC191*SALUD_Mes_Constante!$EC$1</f>
        <v>211363.58379094861</v>
      </c>
      <c r="ED191" s="8">
        <f>+MINVU_Mes_Corriente!ED191*SALUD_Mes_Constante!$EC$1</f>
        <v>298229.525089945</v>
      </c>
      <c r="EE191" s="8">
        <f>+MINVU_Mes_Corriente!EE191*SALUD_Mes_Constante!$EC$1</f>
        <v>311306.17402007186</v>
      </c>
      <c r="EF191" s="8">
        <f>+MINVU_Mes_Corriente!EF191*SALUD_Mes_Constante!$EC$1</f>
        <v>311306.17402007186</v>
      </c>
      <c r="EG191" s="8">
        <f>+MINVU_Mes_Corriente!EG191*SALUD_Mes_Constante!$EC$1</f>
        <v>606845.06040522608</v>
      </c>
      <c r="EH191" s="8">
        <f>+MINVU_Mes_Corriente!EH191*SALUD_Mes_Constante!$EC$1</f>
        <v>619802.74607081967</v>
      </c>
      <c r="EI191" s="8">
        <f>+MINVU_Mes_Corriente!EI191*SALUD_Mes_Constante!$EC$1</f>
        <v>705422.15925014182</v>
      </c>
      <c r="EJ191" s="8">
        <f>+MINVU_Mes_Corriente!EJ191*SALUD_Mes_Constante!$EC$1</f>
        <v>716708.15243325103</v>
      </c>
      <c r="EK191" s="8">
        <f>+MINVU_Mes_Corriente!EK191*SALUD_Mes_Constante!$EC$1</f>
        <v>957762.89812535478</v>
      </c>
      <c r="EL191" s="8">
        <f>+MINVU_Mes_Corriente!EL191*SALUD_Mes_Constante!$EC$1</f>
        <v>1067778.0562393484</v>
      </c>
      <c r="EM191" s="8">
        <f>+MINVU_Mes_Corriente!EM191*SALUD_Mes_Constante!$EC$1</f>
        <v>1076812.0231016849</v>
      </c>
      <c r="EN191" s="8">
        <f>+MINVU_Mes_Corriente!EN191*SALUD_Mes_Constante!$EC$1</f>
        <v>1930477.926907782</v>
      </c>
      <c r="EO191" s="9">
        <f t="shared" ref="EO191:EO222" si="105">EN191</f>
        <v>1930477.926907782</v>
      </c>
      <c r="EP191" s="8">
        <f>+MINVU_Mes_Corriente!EP191*SALUD_Mes_Constante!$EP$1</f>
        <v>5763</v>
      </c>
      <c r="EQ191" s="8">
        <f>+MINVU_Mes_Corriente!EQ191*SALUD_Mes_Constante!$EP$1</f>
        <v>76721</v>
      </c>
      <c r="ER191" s="8">
        <f>+MINVU_Mes_Corriente!ER191*SALUD_Mes_Constante!$EP$1</f>
        <v>77970</v>
      </c>
      <c r="ES191" s="8">
        <f>+MINVU_Mes_Corriente!ES191*SALUD_Mes_Constante!$EP$1</f>
        <v>123568</v>
      </c>
      <c r="ET191" s="8">
        <f>+MINVU_Mes_Corriente!ET191*SALUD_Mes_Constante!$EP$1</f>
        <v>123568</v>
      </c>
      <c r="EU191" s="8">
        <f>+MINVU_Mes_Corriente!EU191*SALUD_Mes_Constante!$EP$1</f>
        <v>123891</v>
      </c>
      <c r="EV191" s="8">
        <f>+MINVU_Mes_Corriente!EV191*SALUD_Mes_Constante!$EP$1</f>
        <v>202838</v>
      </c>
      <c r="EW191" s="8">
        <f>+MINVU_Mes_Corriente!EW191*SALUD_Mes_Constante!$EP$1</f>
        <v>289738</v>
      </c>
      <c r="EX191" s="8">
        <f>+MINVU_Mes_Corriente!EX191*SALUD_Mes_Constante!$EP$1</f>
        <v>306386</v>
      </c>
      <c r="EY191" s="8">
        <f>+MINVU_Mes_Corriente!EY191*SALUD_Mes_Constante!$EP$1</f>
        <v>791612</v>
      </c>
      <c r="EZ191" s="8">
        <f>+MINVU_Mes_Corriente!EZ191*SALUD_Mes_Constante!$EP$1</f>
        <v>1263445</v>
      </c>
      <c r="FA191" s="8">
        <f>+MINVU_Mes_Corriente!FA191*SALUD_Mes_Constante!$EP$1</f>
        <v>1552207</v>
      </c>
      <c r="FB191" s="9">
        <f t="shared" ref="FB191:FB222" si="106">FA191</f>
        <v>1552207</v>
      </c>
      <c r="FC191" s="8">
        <f>+MINVU_Mes_Corriente!FC191*SALUD_Mes_Constante!$FC$1</f>
        <v>29482</v>
      </c>
      <c r="FD191" s="8">
        <f>+MINVU_Mes_Corriente!FD191*SALUD_Mes_Constante!$FC$1</f>
        <v>119876</v>
      </c>
      <c r="FE191" s="8">
        <f>+MINVU_Mes_Corriente!FE191*SALUD_Mes_Constante!$FC$1</f>
        <v>151962</v>
      </c>
      <c r="FF191" s="8">
        <f>+MINVU_Mes_Corriente!FF191*SALUD_Mes_Constante!$FC$1</f>
        <v>186702</v>
      </c>
      <c r="FG191" s="8">
        <f>+MINVU_Mes_Corriente!FG191*SALUD_Mes_Constante!$FC$1</f>
        <v>197519</v>
      </c>
      <c r="FH191" s="8">
        <f>+MINVU_Mes_Corriente!FH191*SALUD_Mes_Constante!$FC$1</f>
        <v>197519</v>
      </c>
      <c r="FI191" s="8">
        <f>+MINVU_Mes_Corriente!FI191*SALUD_Mes_Constante!$FC$1</f>
        <v>197519</v>
      </c>
      <c r="FJ191" s="8"/>
      <c r="FK191" s="8"/>
      <c r="FL191" s="8"/>
      <c r="FM191" s="8"/>
      <c r="FN191" s="8"/>
      <c r="FO191" s="9">
        <f t="shared" ref="FO191:FO222" si="107">FI191</f>
        <v>197519</v>
      </c>
    </row>
    <row r="192" spans="2:171" ht="14.25" customHeight="1" x14ac:dyDescent="0.3">
      <c r="B192" s="7" t="s">
        <v>44</v>
      </c>
      <c r="C192" s="8">
        <f>+MINVU_Mes_Corriente!C192*SALUD_Mes_Constante!$C$1</f>
        <v>2262.0044490582832</v>
      </c>
      <c r="D192" s="8">
        <f>+MINVU_Mes_Corriente!D192*SALUD_Mes_Constante!$C$1</f>
        <v>14784.046270206141</v>
      </c>
      <c r="E192" s="8">
        <f>+MINVU_Mes_Corriente!E192*SALUD_Mes_Constante!$C$1</f>
        <v>57661.669286667668</v>
      </c>
      <c r="F192" s="8">
        <f>+MINVU_Mes_Corriente!F192*SALUD_Mes_Constante!$C$1</f>
        <v>127513.20925404124</v>
      </c>
      <c r="G192" s="8">
        <f>+MINVU_Mes_Corriente!G192*SALUD_Mes_Constante!$C$1</f>
        <v>414839.62538929266</v>
      </c>
      <c r="H192" s="8">
        <f>+MINVU_Mes_Corriente!H192*SALUD_Mes_Constante!$C$1</f>
        <v>512510.90345543536</v>
      </c>
      <c r="I192" s="8">
        <f>+MINVU_Mes_Corriente!I192*SALUD_Mes_Constante!$C$1</f>
        <v>677421.72208215937</v>
      </c>
      <c r="J192" s="8">
        <f>+MINVU_Mes_Corriente!J192*SALUD_Mes_Constante!$C$1</f>
        <v>770975.69835384854</v>
      </c>
      <c r="K192" s="8">
        <f>+MINVU_Mes_Corriente!K192*SALUD_Mes_Constante!$C$1</f>
        <v>869069.88699391973</v>
      </c>
      <c r="L192" s="8">
        <f>+MINVU_Mes_Corriente!L192*SALUD_Mes_Constante!$C$1</f>
        <v>1178752.2310544271</v>
      </c>
      <c r="M192" s="8">
        <f>+MINVU_Mes_Corriente!M192*SALUD_Mes_Constante!$C$1</f>
        <v>1540331.0496811511</v>
      </c>
      <c r="N192" s="8">
        <f>+MINVU_Mes_Corriente!N192*SALUD_Mes_Constante!$C$1</f>
        <v>5590699.5491620945</v>
      </c>
      <c r="O192" s="9">
        <f t="shared" si="95"/>
        <v>5590699.5491620945</v>
      </c>
      <c r="P192" s="8">
        <f>+MINVU_Mes_Corriente!P192*SALUD_Mes_Constante!$P$1</f>
        <v>18994.383008950128</v>
      </c>
      <c r="Q192" s="8">
        <f>+MINVU_Mes_Corriente!Q192*SALUD_Mes_Constante!$P$1</f>
        <v>61965.740304020437</v>
      </c>
      <c r="R192" s="8">
        <f>+MINVU_Mes_Corriente!R192*SALUD_Mes_Constante!$P$1</f>
        <v>137358.08950134958</v>
      </c>
      <c r="S192" s="8">
        <f>+MINVU_Mes_Corriente!S192*SALUD_Mes_Constante!$P$1</f>
        <v>610033.70649239921</v>
      </c>
      <c r="T192" s="8">
        <f>+MINVU_Mes_Corriente!T192*SALUD_Mes_Constante!$P$1</f>
        <v>685078.36084671097</v>
      </c>
      <c r="U192" s="8">
        <f>+MINVU_Mes_Corriente!U192*SALUD_Mes_Constante!$P$1</f>
        <v>777751.45418383263</v>
      </c>
      <c r="V192" s="8">
        <f>+MINVU_Mes_Corriente!V192*SALUD_Mes_Constante!$P$1</f>
        <v>938119.49168916</v>
      </c>
      <c r="W192" s="8">
        <f>+MINVU_Mes_Corriente!W192*SALUD_Mes_Constante!$P$1</f>
        <v>1087781.9428896145</v>
      </c>
      <c r="X192" s="8">
        <f>+MINVU_Mes_Corriente!X192*SALUD_Mes_Constante!$P$1</f>
        <v>1587843.1853956522</v>
      </c>
      <c r="Y192" s="8">
        <f>+MINVU_Mes_Corriente!Y192*SALUD_Mes_Constante!$P$1</f>
        <v>1756563.660179002</v>
      </c>
      <c r="Z192" s="8">
        <f>+MINVU_Mes_Corriente!Z192*SALUD_Mes_Constante!$P$1</f>
        <v>2592412.7495382857</v>
      </c>
      <c r="AA192" s="8">
        <f>+MINVU_Mes_Corriente!AA192*SALUD_Mes_Constante!$P$1</f>
        <v>10654586.922005963</v>
      </c>
      <c r="AB192" s="9">
        <f t="shared" si="96"/>
        <v>10654586.922005963</v>
      </c>
      <c r="AC192" s="8">
        <f>+MINVU_Mes_Corriente!AC192*SALUD_Mes_Constante!$AC$1</f>
        <v>32818.808133905106</v>
      </c>
      <c r="AD192" s="8">
        <f>+MINVU_Mes_Corriente!AD192*SALUD_Mes_Constante!$AC$1</f>
        <v>230340.75612117859</v>
      </c>
      <c r="AE192" s="8">
        <f>+MINVU_Mes_Corriente!AE192*SALUD_Mes_Constante!$AC$1</f>
        <v>431503.69650020747</v>
      </c>
      <c r="AF192" s="8">
        <f>+MINVU_Mes_Corriente!AF192*SALUD_Mes_Constante!$AC$1</f>
        <v>482764.75833448611</v>
      </c>
      <c r="AG192" s="8">
        <f>+MINVU_Mes_Corriente!AG192*SALUD_Mes_Constante!$AC$1</f>
        <v>2609988.4913542676</v>
      </c>
      <c r="AH192" s="8">
        <f>+MINVU_Mes_Corriente!AH192*SALUD_Mes_Constante!$AC$1</f>
        <v>3787523.8207220915</v>
      </c>
      <c r="AI192" s="8">
        <f>+MINVU_Mes_Corriente!AI192*SALUD_Mes_Constante!$AC$1</f>
        <v>7806945.1523032235</v>
      </c>
      <c r="AJ192" s="8">
        <f>+MINVU_Mes_Corriente!AJ192*SALUD_Mes_Constante!$AC$1</f>
        <v>8343183.6801770646</v>
      </c>
      <c r="AK192" s="8">
        <f>+MINVU_Mes_Corriente!AK192*SALUD_Mes_Constante!$AC$1</f>
        <v>8583304.7857241668</v>
      </c>
      <c r="AL192" s="8">
        <f>+MINVU_Mes_Corriente!AL192*SALUD_Mes_Constante!$AC$1</f>
        <v>9831745.0034582932</v>
      </c>
      <c r="AM192" s="8">
        <f>+MINVU_Mes_Corriente!AM192*SALUD_Mes_Constante!$AC$1</f>
        <v>12147540.100428829</v>
      </c>
      <c r="AN192" s="8">
        <f>+MINVU_Mes_Corriente!AN192*SALUD_Mes_Constante!$AC$1</f>
        <v>14479990.961682113</v>
      </c>
      <c r="AO192" s="9">
        <f t="shared" si="97"/>
        <v>14479990.961682113</v>
      </c>
      <c r="AP192" s="8">
        <f>+MINVU_Mes_Corriente!AP192*SALUD_Mes_Constante!$AP$1</f>
        <v>14978.359258758284</v>
      </c>
      <c r="AQ192" s="8">
        <f>+MINVU_Mes_Corriente!AQ192*SALUD_Mes_Constante!$AP$1</f>
        <v>127791.19356147706</v>
      </c>
      <c r="AR192" s="8">
        <f>+MINVU_Mes_Corriente!AR192*SALUD_Mes_Constante!$AP$1</f>
        <v>497838.68984174216</v>
      </c>
      <c r="AS192" s="8">
        <f>+MINVU_Mes_Corriente!AS192*SALUD_Mes_Constante!$AP$1</f>
        <v>2427277.4786960636</v>
      </c>
      <c r="AT192" s="8">
        <f>+MINVU_Mes_Corriente!AT192*SALUD_Mes_Constante!$AP$1</f>
        <v>2340196.0911673205</v>
      </c>
      <c r="AU192" s="8">
        <f>+MINVU_Mes_Corriente!AU192*SALUD_Mes_Constante!$AP$1</f>
        <v>2462063.9237116189</v>
      </c>
      <c r="AV192" s="8">
        <f>+MINVU_Mes_Corriente!AV192*SALUD_Mes_Constante!$AP$1</f>
        <v>2544222.4780197483</v>
      </c>
      <c r="AW192" s="8">
        <f>+MINVU_Mes_Corriente!AW192*SALUD_Mes_Constante!$AP$1</f>
        <v>2652940.0944136344</v>
      </c>
      <c r="AX192" s="8">
        <f>+MINVU_Mes_Corriente!AX192*SALUD_Mes_Constante!$AP$1</f>
        <v>2767604.717976464</v>
      </c>
      <c r="AY192" s="8">
        <f>+MINVU_Mes_Corriente!AY192*SALUD_Mes_Constante!$AP$1</f>
        <v>3109174.858109022</v>
      </c>
      <c r="AZ192" s="8">
        <f>+MINVU_Mes_Corriente!AZ192*SALUD_Mes_Constante!$AP$1</f>
        <v>6812982.4504260784</v>
      </c>
      <c r="BA192" s="8">
        <f>+MINVU_Mes_Corriente!BA192*SALUD_Mes_Constante!$AP$1</f>
        <v>13504323.184634112</v>
      </c>
      <c r="BB192" s="9">
        <f t="shared" si="98"/>
        <v>13504323.184634112</v>
      </c>
      <c r="BC192" s="8">
        <f>+MINVU_Mes_Corriente!BC192*SALUD_Mes_Constante!$BC$1</f>
        <v>8025.5598048265874</v>
      </c>
      <c r="BD192" s="8">
        <f>+MINVU_Mes_Corriente!BD192*SALUD_Mes_Constante!$BC$1</f>
        <v>78051.090597388917</v>
      </c>
      <c r="BE192" s="8">
        <f>+MINVU_Mes_Corriente!BE192*SALUD_Mes_Constante!$BC$1</f>
        <v>1988157.3778188056</v>
      </c>
      <c r="BF192" s="8">
        <f>+MINVU_Mes_Corriente!BF192*SALUD_Mes_Constante!$BC$1</f>
        <v>2158342.4713174212</v>
      </c>
      <c r="BG192" s="8">
        <f>+MINVU_Mes_Corriente!BG192*SALUD_Mes_Constante!$BC$1</f>
        <v>2030740.3929843076</v>
      </c>
      <c r="BH192" s="8">
        <f>+MINVU_Mes_Corriente!BH192*SALUD_Mes_Constante!$BC$1</f>
        <v>2113477.1425557174</v>
      </c>
      <c r="BI192" s="8">
        <f>+MINVU_Mes_Corriente!BI192*SALUD_Mes_Constante!$BC$1</f>
        <v>2339406.0166161153</v>
      </c>
      <c r="BJ192" s="8">
        <f>+MINVU_Mes_Corriente!BJ192*SALUD_Mes_Constante!$BC$1</f>
        <v>2747372.4536463148</v>
      </c>
      <c r="BK192" s="8">
        <f>+MINVU_Mes_Corriente!BK192*SALUD_Mes_Constante!$BC$1</f>
        <v>3152766.9653171576</v>
      </c>
      <c r="BL192" s="8">
        <f>+MINVU_Mes_Corriente!BL192*SALUD_Mes_Constante!$BC$1</f>
        <v>3482199.6254780437</v>
      </c>
      <c r="BM192" s="8">
        <f>+MINVU_Mes_Corriente!BM192*SALUD_Mes_Constante!$BC$1</f>
        <v>4115540.2075695647</v>
      </c>
      <c r="BN192" s="8">
        <f>+MINVU_Mes_Corriente!BN192*SALUD_Mes_Constante!$BC$1</f>
        <v>5651309.6027957285</v>
      </c>
      <c r="BO192" s="9">
        <f t="shared" si="99"/>
        <v>5651309.6027957285</v>
      </c>
      <c r="BP192" s="8">
        <f>+MINVU_Mes_Corriente!BP192*SALUD_Mes_Constante!$BP$1</f>
        <v>11386.262996158772</v>
      </c>
      <c r="BQ192" s="8">
        <f>+MINVU_Mes_Corriente!BQ192*SALUD_Mes_Constante!$BP$1</f>
        <v>26408.463764404612</v>
      </c>
      <c r="BR192" s="8">
        <f>+MINVU_Mes_Corriente!BR192*SALUD_Mes_Constante!$BP$1</f>
        <v>70645.47349551857</v>
      </c>
      <c r="BS192" s="8">
        <f>+MINVU_Mes_Corriente!BS192*SALUD_Mes_Constante!$BP$1</f>
        <v>87326.859411011537</v>
      </c>
      <c r="BT192" s="8">
        <f>+MINVU_Mes_Corriente!BT192*SALUD_Mes_Constante!$BP$1</f>
        <v>126170.81792573625</v>
      </c>
      <c r="BU192" s="8">
        <f>+MINVU_Mes_Corriente!BU192*SALUD_Mes_Constante!$BP$1</f>
        <v>2141374.2891165176</v>
      </c>
      <c r="BV192" s="8">
        <f>+MINVU_Mes_Corriente!BV192*SALUD_Mes_Constante!$BP$1</f>
        <v>2222209.9014084511</v>
      </c>
      <c r="BW192" s="8">
        <f>+MINVU_Mes_Corriente!BW192*SALUD_Mes_Constante!$BP$1</f>
        <v>2271628.7170294495</v>
      </c>
      <c r="BX192" s="8">
        <f>+MINVU_Mes_Corriente!BX192*SALUD_Mes_Constante!$BP$1</f>
        <v>2682945.7513444307</v>
      </c>
      <c r="BY192" s="8">
        <f>+MINVU_Mes_Corriente!BY192*SALUD_Mes_Constante!$BP$1</f>
        <v>2762319.4340588991</v>
      </c>
      <c r="BZ192" s="8">
        <f>+MINVU_Mes_Corriente!BZ192*SALUD_Mes_Constante!$BP$1</f>
        <v>3058471.3920614598</v>
      </c>
      <c r="CA192" s="8">
        <f>+MINVU_Mes_Corriente!CA192*SALUD_Mes_Constante!$BP$1</f>
        <v>3965939.3454545457</v>
      </c>
      <c r="CB192" s="9">
        <f t="shared" si="100"/>
        <v>3965939.3454545457</v>
      </c>
      <c r="CC192" s="8">
        <f>+MINVU_Mes_Corriente!CC192*SALUD_Mes_Constante!$CC$1</f>
        <v>112.75121223424097</v>
      </c>
      <c r="CD192" s="8">
        <f>+MINVU_Mes_Corriente!CD192*SALUD_Mes_Constante!$CC$1</f>
        <v>16495.638194703472</v>
      </c>
      <c r="CE192" s="8">
        <f>+MINVU_Mes_Corriente!CE192*SALUD_Mes_Constante!$CC$1</f>
        <v>2290199.9060052224</v>
      </c>
      <c r="CF192" s="8">
        <f>+MINVU_Mes_Corriente!CF192*SALUD_Mes_Constante!$CC$1</f>
        <v>2339143.441253264</v>
      </c>
      <c r="CG192" s="8">
        <f>+MINVU_Mes_Corriente!CG192*SALUD_Mes_Constante!$CC$1</f>
        <v>2354205.9164490863</v>
      </c>
      <c r="CH192" s="8">
        <f>+MINVU_Mes_Corriente!CH192*SALUD_Mes_Constante!$CC$1</f>
        <v>2473542.886236479</v>
      </c>
      <c r="CI192" s="8">
        <f>+MINVU_Mes_Corriente!CI192*SALUD_Mes_Constante!$CC$1</f>
        <v>2877707.0779559868</v>
      </c>
      <c r="CJ192" s="8">
        <f>+MINVU_Mes_Corriente!CJ192*SALUD_Mes_Constante!$CC$1</f>
        <v>3061664.0768370014</v>
      </c>
      <c r="CK192" s="8">
        <f>+MINVU_Mes_Corriente!CK192*SALUD_Mes_Constante!$CC$1</f>
        <v>3424982.4438642301</v>
      </c>
      <c r="CL192" s="8">
        <f>+MINVU_Mes_Corriente!CL192*SALUD_Mes_Constante!$CC$1</f>
        <v>3743370.1320402836</v>
      </c>
      <c r="CM192" s="8">
        <f>+MINVU_Mes_Corriente!CM192*SALUD_Mes_Constante!$CC$1</f>
        <v>4462577.5121223424</v>
      </c>
      <c r="CN192" s="8">
        <f>+MINVU_Mes_Corriente!CN192*SALUD_Mes_Constante!$CC$1</f>
        <v>6009517.3517344277</v>
      </c>
      <c r="CO192" s="9">
        <f t="shared" si="101"/>
        <v>6009517.3517344277</v>
      </c>
      <c r="CP192" s="8">
        <f>+MINVU_Mes_Corriente!CP192*SALUD_Mes_Constante!$CP$1</f>
        <v>57261.366125290013</v>
      </c>
      <c r="CQ192" s="8">
        <f>+MINVU_Mes_Corriente!CQ192*SALUD_Mes_Constante!$CP$1</f>
        <v>95923.181902552184</v>
      </c>
      <c r="CR192" s="8">
        <f>+MINVU_Mes_Corriente!CR192*SALUD_Mes_Constante!$CP$1</f>
        <v>147849.5672853828</v>
      </c>
      <c r="CS192" s="8">
        <f>+MINVU_Mes_Corriente!CS192*SALUD_Mes_Constante!$CP$1</f>
        <v>174728.54129930391</v>
      </c>
      <c r="CT192" s="8">
        <f>+MINVU_Mes_Corriente!CT192*SALUD_Mes_Constante!$CP$1</f>
        <v>217146.01113689091</v>
      </c>
      <c r="CU192" s="8">
        <f>+MINVU_Mes_Corriente!CU192*SALUD_Mes_Constante!$CP$1</f>
        <v>221020.81183294658</v>
      </c>
      <c r="CV192" s="8">
        <f>+MINVU_Mes_Corriente!CV192*SALUD_Mes_Constante!$CP$1</f>
        <v>236261.44106728534</v>
      </c>
      <c r="CW192" s="8">
        <f>+MINVU_Mes_Corriente!CW192*SALUD_Mes_Constante!$CP$1</f>
        <v>502948.36983758688</v>
      </c>
      <c r="CX192" s="8">
        <f>+MINVU_Mes_Corriente!CX192*SALUD_Mes_Constante!$CP$1</f>
        <v>591857.11044083512</v>
      </c>
      <c r="CY192" s="8">
        <f>+MINVU_Mes_Corriente!CY192*SALUD_Mes_Constante!$CP$1</f>
        <v>619027.61345707648</v>
      </c>
      <c r="CZ192" s="8">
        <f>+MINVU_Mes_Corriente!CZ192*SALUD_Mes_Constante!$CP$1</f>
        <v>896152.54802784207</v>
      </c>
      <c r="DA192" s="8">
        <f>+MINVU_Mes_Corriente!DA192*SALUD_Mes_Constante!$CP$1</f>
        <v>1631268.2777262179</v>
      </c>
      <c r="DB192" s="9">
        <f t="shared" si="102"/>
        <v>1631268.2777262179</v>
      </c>
      <c r="DC192" s="8">
        <f>+MINVU_Mes_Corriente!DC192*SALUD_Mes_Constante!$DC$1</f>
        <v>32135.095772039927</v>
      </c>
      <c r="DD192" s="8">
        <f>+MINVU_Mes_Corriente!DD192*SALUD_Mes_Constante!$DC$1</f>
        <v>36385.906593971828</v>
      </c>
      <c r="DE192" s="8">
        <f>+MINVU_Mes_Corriente!DE192*SALUD_Mes_Constante!$DC$1</f>
        <v>52043.771628433315</v>
      </c>
      <c r="DF192" s="8">
        <f>+MINVU_Mes_Corriente!DF192*SALUD_Mes_Constante!$DC$1</f>
        <v>52043.771628433315</v>
      </c>
      <c r="DG192" s="8">
        <f>+MINVU_Mes_Corriente!DG192*SALUD_Mes_Constante!$DC$1</f>
        <v>62091.960086410894</v>
      </c>
      <c r="DH192" s="8">
        <f>+MINVU_Mes_Corriente!DH192*SALUD_Mes_Constante!$DC$1</f>
        <v>62553.907005452143</v>
      </c>
      <c r="DI192" s="8">
        <f>+MINVU_Mes_Corriente!DI192*SALUD_Mes_Constante!$DC$1</f>
        <v>76687.684394609649</v>
      </c>
      <c r="DJ192" s="8">
        <f>+MINVU_Mes_Corriente!DJ192*SALUD_Mes_Constante!$DC$1</f>
        <v>90606.785721633627</v>
      </c>
      <c r="DK192" s="8">
        <f>+MINVU_Mes_Corriente!DK192*SALUD_Mes_Constante!$DC$1</f>
        <v>104791.14124061316</v>
      </c>
      <c r="DL192" s="8">
        <f>+MINVU_Mes_Corriente!DL192*SALUD_Mes_Constante!$DC$1</f>
        <v>169317.59530912465</v>
      </c>
      <c r="DM192" s="8">
        <f>+MINVU_Mes_Corriente!DM192*SALUD_Mes_Constante!$DC$1</f>
        <v>510640.17055858474</v>
      </c>
      <c r="DN192" s="8">
        <f>+MINVU_Mes_Corriente!DN192*SALUD_Mes_Constante!$DC$1</f>
        <v>1734276.8653430725</v>
      </c>
      <c r="DO192" s="9">
        <f t="shared" si="103"/>
        <v>1734276.8653430725</v>
      </c>
      <c r="DP192" s="8">
        <f>+MINVU_Mes_Corriente!DP192*SALUD_Mes_Constante!$DP$1</f>
        <v>909.41864608076014</v>
      </c>
      <c r="DQ192" s="8">
        <f>+MINVU_Mes_Corriente!DQ192*SALUD_Mes_Constante!$DP$1</f>
        <v>909.41864608076014</v>
      </c>
      <c r="DR192" s="8">
        <f>+MINVU_Mes_Corriente!DR192*SALUD_Mes_Constante!$DP$1</f>
        <v>27663.19596199525</v>
      </c>
      <c r="DS192" s="8">
        <f>+MINVU_Mes_Corriente!DS192*SALUD_Mes_Constante!$DP$1</f>
        <v>34322.173396674589</v>
      </c>
      <c r="DT192" s="8">
        <f>+MINVU_Mes_Corriente!DT192*SALUD_Mes_Constante!$DP$1</f>
        <v>67883.07363420428</v>
      </c>
      <c r="DU192" s="8">
        <f>+MINVU_Mes_Corriente!DU192*SALUD_Mes_Constante!$DP$1</f>
        <v>87046.827790973883</v>
      </c>
      <c r="DV192" s="8">
        <f>+MINVU_Mes_Corriente!DV192*SALUD_Mes_Constante!$DP$1</f>
        <v>184759.04928741095</v>
      </c>
      <c r="DW192" s="8">
        <f>+MINVU_Mes_Corriente!DW192*SALUD_Mes_Constante!$DP$1</f>
        <v>387366.92636579578</v>
      </c>
      <c r="DX192" s="8">
        <f>+MINVU_Mes_Corriente!DX192*SALUD_Mes_Constante!$DP$1</f>
        <v>490532.41567695967</v>
      </c>
      <c r="DY192" s="8">
        <f>+MINVU_Mes_Corriente!DY192*SALUD_Mes_Constante!$DP$1</f>
        <v>639187.2203087887</v>
      </c>
      <c r="DZ192" s="8">
        <f>+MINVU_Mes_Corriente!DZ192*SALUD_Mes_Constante!$DP$1</f>
        <v>965856.66983372928</v>
      </c>
      <c r="EA192" s="8">
        <f>+MINVU_Mes_Corriente!EA192*SALUD_Mes_Constante!$DP$1</f>
        <v>2193503.7167458436</v>
      </c>
      <c r="EB192" s="9">
        <f t="shared" si="104"/>
        <v>2193503.7167458436</v>
      </c>
      <c r="EC192" s="8">
        <f>+MINVU_Mes_Corriente!EC192*SALUD_Mes_Constante!$EC$1</f>
        <v>0</v>
      </c>
      <c r="ED192" s="8">
        <f>+MINVU_Mes_Corriente!ED192*SALUD_Mes_Constante!$EC$1</f>
        <v>0</v>
      </c>
      <c r="EE192" s="8">
        <f>+MINVU_Mes_Corriente!EE192*SALUD_Mes_Constante!$EC$1</f>
        <v>0</v>
      </c>
      <c r="EF192" s="8">
        <f>+MINVU_Mes_Corriente!EF192*SALUD_Mes_Constante!$EC$1</f>
        <v>0</v>
      </c>
      <c r="EG192" s="8">
        <f>+MINVU_Mes_Corriente!EG192*SALUD_Mes_Constante!$EC$1</f>
        <v>3657.8617686044299</v>
      </c>
      <c r="EH192" s="8">
        <f>+MINVU_Mes_Corriente!EH192*SALUD_Mes_Constante!$EC$1</f>
        <v>304947.32891497813</v>
      </c>
      <c r="EI192" s="8">
        <f>+MINVU_Mes_Corriente!EI192*SALUD_Mes_Constante!$EC$1</f>
        <v>332641.97689831461</v>
      </c>
      <c r="EJ192" s="8">
        <f>+MINVU_Mes_Corriente!EJ192*SALUD_Mes_Constante!$EC$1</f>
        <v>342450.75667487207</v>
      </c>
      <c r="EK192" s="8">
        <f>+MINVU_Mes_Corriente!EK192*SALUD_Mes_Constante!$EC$1</f>
        <v>346633.09127059259</v>
      </c>
      <c r="EL192" s="8">
        <f>+MINVU_Mes_Corriente!EL192*SALUD_Mes_Constante!$EC$1</f>
        <v>404026.1423972731</v>
      </c>
      <c r="EM192" s="8">
        <f>+MINVU_Mes_Corriente!EM192*SALUD_Mes_Constante!$EC$1</f>
        <v>425730.21416398394</v>
      </c>
      <c r="EN192" s="8">
        <f>+MINVU_Mes_Corriente!EN192*SALUD_Mes_Constante!$EC$1</f>
        <v>758603.91081234592</v>
      </c>
      <c r="EO192" s="9">
        <f t="shared" si="105"/>
        <v>758603.91081234592</v>
      </c>
      <c r="EP192" s="8">
        <f>+MINVU_Mes_Corriente!EP192*SALUD_Mes_Constante!$EP$1</f>
        <v>0</v>
      </c>
      <c r="EQ192" s="8">
        <f>+MINVU_Mes_Corriente!EQ192*SALUD_Mes_Constante!$EP$1</f>
        <v>1294</v>
      </c>
      <c r="ER192" s="8">
        <f>+MINVU_Mes_Corriente!ER192*SALUD_Mes_Constante!$EP$1</f>
        <v>1294</v>
      </c>
      <c r="ES192" s="8">
        <f>+MINVU_Mes_Corriente!ES192*SALUD_Mes_Constante!$EP$1</f>
        <v>36508</v>
      </c>
      <c r="ET192" s="8">
        <f>+MINVU_Mes_Corriente!ET192*SALUD_Mes_Constante!$EP$1</f>
        <v>36508</v>
      </c>
      <c r="EU192" s="8">
        <f>+MINVU_Mes_Corriente!EU192*SALUD_Mes_Constante!$EP$1</f>
        <v>39078</v>
      </c>
      <c r="EV192" s="8">
        <f>+MINVU_Mes_Corriente!EV192*SALUD_Mes_Constante!$EP$1</f>
        <v>162201</v>
      </c>
      <c r="EW192" s="8">
        <f>+MINVU_Mes_Corriente!EW192*SALUD_Mes_Constante!$EP$1</f>
        <v>254134</v>
      </c>
      <c r="EX192" s="8">
        <f>+MINVU_Mes_Corriente!EX192*SALUD_Mes_Constante!$EP$1</f>
        <v>287265</v>
      </c>
      <c r="EY192" s="8">
        <f>+MINVU_Mes_Corriente!EY192*SALUD_Mes_Constante!$EP$1</f>
        <v>350937</v>
      </c>
      <c r="EZ192" s="8">
        <f>+MINVU_Mes_Corriente!EZ192*SALUD_Mes_Constante!$EP$1</f>
        <v>754718</v>
      </c>
      <c r="FA192" s="8">
        <f>+MINVU_Mes_Corriente!FA192*SALUD_Mes_Constante!$EP$1</f>
        <v>849806</v>
      </c>
      <c r="FB192" s="9">
        <f t="shared" si="106"/>
        <v>849806</v>
      </c>
      <c r="FC192" s="8">
        <f>+MINVU_Mes_Corriente!FC192*SALUD_Mes_Constante!$FC$1</f>
        <v>0</v>
      </c>
      <c r="FD192" s="8">
        <f>+MINVU_Mes_Corriente!FD192*SALUD_Mes_Constante!$FC$1</f>
        <v>0</v>
      </c>
      <c r="FE192" s="8">
        <f>+MINVU_Mes_Corriente!FE192*SALUD_Mes_Constante!$FC$1</f>
        <v>0</v>
      </c>
      <c r="FF192" s="8">
        <f>+MINVU_Mes_Corriente!FF192*SALUD_Mes_Constante!$FC$1</f>
        <v>0</v>
      </c>
      <c r="FG192" s="8">
        <f>+MINVU_Mes_Corriente!FG192*SALUD_Mes_Constante!$FC$1</f>
        <v>0</v>
      </c>
      <c r="FH192" s="8">
        <f>+MINVU_Mes_Corriente!FH192*SALUD_Mes_Constante!$FC$1</f>
        <v>0</v>
      </c>
      <c r="FI192" s="8">
        <f>+MINVU_Mes_Corriente!FI192*SALUD_Mes_Constante!$FC$1</f>
        <v>0</v>
      </c>
      <c r="FJ192" s="8"/>
      <c r="FK192" s="8"/>
      <c r="FL192" s="8"/>
      <c r="FM192" s="8"/>
      <c r="FN192" s="8"/>
      <c r="FO192" s="9">
        <f t="shared" si="107"/>
        <v>0</v>
      </c>
    </row>
    <row r="193" spans="2:171" ht="14.25" customHeight="1" x14ac:dyDescent="0.3">
      <c r="B193" s="7" t="s">
        <v>45</v>
      </c>
      <c r="C193" s="8">
        <f>+MINVU_Mes_Corriente!C193*SALUD_Mes_Constante!$C$1</f>
        <v>0</v>
      </c>
      <c r="D193" s="8">
        <f>+MINVU_Mes_Corriente!D193*SALUD_Mes_Constante!$C$1</f>
        <v>0</v>
      </c>
      <c r="E193" s="8">
        <f>+MINVU_Mes_Corriente!E193*SALUD_Mes_Constante!$C$1</f>
        <v>538120.48820999567</v>
      </c>
      <c r="F193" s="8">
        <f>+MINVU_Mes_Corriente!F193*SALUD_Mes_Constante!$C$1</f>
        <v>538120.48820999567</v>
      </c>
      <c r="G193" s="8">
        <f>+MINVU_Mes_Corriente!G193*SALUD_Mes_Constante!$C$1</f>
        <v>538120.48820999567</v>
      </c>
      <c r="H193" s="8">
        <f>+MINVU_Mes_Corriente!H193*SALUD_Mes_Constante!$C$1</f>
        <v>538627.65682930453</v>
      </c>
      <c r="I193" s="8">
        <f>+MINVU_Mes_Corriente!I193*SALUD_Mes_Constante!$C$1</f>
        <v>539778.10321815219</v>
      </c>
      <c r="J193" s="8">
        <f>+MINVU_Mes_Corriente!J193*SALUD_Mes_Constante!$C$1</f>
        <v>540301.47530772665</v>
      </c>
      <c r="K193" s="8">
        <f>+MINVU_Mes_Corriente!K193*SALUD_Mes_Constante!$C$1</f>
        <v>540301.47530772665</v>
      </c>
      <c r="L193" s="8">
        <f>+MINVU_Mes_Corriente!L193*SALUD_Mes_Constante!$C$1</f>
        <v>540301.47530772665</v>
      </c>
      <c r="M193" s="8">
        <f>+MINVU_Mes_Corriente!M193*SALUD_Mes_Constante!$C$1</f>
        <v>1485206.8438380545</v>
      </c>
      <c r="N193" s="8">
        <f>+MINVU_Mes_Corriente!N193*SALUD_Mes_Constante!$C$1</f>
        <v>1971933.1650600627</v>
      </c>
      <c r="O193" s="9">
        <f t="shared" si="95"/>
        <v>1971933.1650600627</v>
      </c>
      <c r="P193" s="8">
        <f>+MINVU_Mes_Corriente!P193*SALUD_Mes_Constante!$P$1</f>
        <v>0</v>
      </c>
      <c r="Q193" s="8">
        <f>+MINVU_Mes_Corriente!Q193*SALUD_Mes_Constante!$P$1</f>
        <v>0</v>
      </c>
      <c r="R193" s="8">
        <f>+MINVU_Mes_Corriente!R193*SALUD_Mes_Constante!$P$1</f>
        <v>349295.17062082671</v>
      </c>
      <c r="S193" s="8">
        <f>+MINVU_Mes_Corriente!S193*SALUD_Mes_Constante!$P$1</f>
        <v>349987.4558886204</v>
      </c>
      <c r="T193" s="8">
        <f>+MINVU_Mes_Corriente!T193*SALUD_Mes_Constante!$P$1</f>
        <v>355915.34252024424</v>
      </c>
      <c r="U193" s="8">
        <f>+MINVU_Mes_Corriente!U193*SALUD_Mes_Constante!$P$1</f>
        <v>355843.94090069598</v>
      </c>
      <c r="V193" s="8">
        <f>+MINVU_Mes_Corriente!V193*SALUD_Mes_Constante!$P$1</f>
        <v>355843.94090069598</v>
      </c>
      <c r="W193" s="8">
        <f>+MINVU_Mes_Corriente!W193*SALUD_Mes_Constante!$P$1</f>
        <v>615887.08708623366</v>
      </c>
      <c r="X193" s="8">
        <f>+MINVU_Mes_Corriente!X193*SALUD_Mes_Constante!$P$1</f>
        <v>618386.14377042174</v>
      </c>
      <c r="Y193" s="8">
        <f>+MINVU_Mes_Corriente!Y193*SALUD_Mes_Constante!$P$1</f>
        <v>624048.60264242056</v>
      </c>
      <c r="Z193" s="8">
        <f>+MINVU_Mes_Corriente!Z193*SALUD_Mes_Constante!$P$1</f>
        <v>624458.3858502626</v>
      </c>
      <c r="AA193" s="8">
        <f>+MINVU_Mes_Corriente!AA193*SALUD_Mes_Constante!$P$1</f>
        <v>1523785.0671970444</v>
      </c>
      <c r="AB193" s="9">
        <f t="shared" si="96"/>
        <v>1523785.0671970444</v>
      </c>
      <c r="AC193" s="8">
        <f>+MINVU_Mes_Corriente!AC193*SALUD_Mes_Constante!$AC$1</f>
        <v>8684.5754599529664</v>
      </c>
      <c r="AD193" s="8">
        <f>+MINVU_Mes_Corriente!AD193*SALUD_Mes_Constante!$AC$1</f>
        <v>32808.228247337116</v>
      </c>
      <c r="AE193" s="8">
        <f>+MINVU_Mes_Corriente!AE193*SALUD_Mes_Constante!$AC$1</f>
        <v>71613.740766357732</v>
      </c>
      <c r="AF193" s="8">
        <f>+MINVU_Mes_Corriente!AF193*SALUD_Mes_Constante!$AC$1</f>
        <v>94792.760824457044</v>
      </c>
      <c r="AG193" s="8">
        <f>+MINVU_Mes_Corriente!AG193*SALUD_Mes_Constante!$AC$1</f>
        <v>98778.355235855575</v>
      </c>
      <c r="AH193" s="8">
        <f>+MINVU_Mes_Corriente!AH193*SALUD_Mes_Constante!$AC$1</f>
        <v>100493.80827223683</v>
      </c>
      <c r="AI193" s="8">
        <f>+MINVU_Mes_Corriente!AI193*SALUD_Mes_Constante!$AC$1</f>
        <v>852995.79748236272</v>
      </c>
      <c r="AJ193" s="8">
        <f>+MINVU_Mes_Corriente!AJ193*SALUD_Mes_Constante!$AC$1</f>
        <v>856401.00954488863</v>
      </c>
      <c r="AK193" s="8">
        <f>+MINVU_Mes_Corriente!AK193*SALUD_Mes_Constante!$AC$1</f>
        <v>856401.00954488863</v>
      </c>
      <c r="AL193" s="8">
        <f>+MINVU_Mes_Corriente!AL193*SALUD_Mes_Constante!$AC$1</f>
        <v>885568.24540047033</v>
      </c>
      <c r="AM193" s="8">
        <f>+MINVU_Mes_Corriente!AM193*SALUD_Mes_Constante!$AC$1</f>
        <v>886447.88739798032</v>
      </c>
      <c r="AN193" s="8">
        <f>+MINVU_Mes_Corriente!AN193*SALUD_Mes_Constante!$AC$1</f>
        <v>1698464.761377784</v>
      </c>
      <c r="AO193" s="9">
        <f t="shared" si="97"/>
        <v>1698464.761377784</v>
      </c>
      <c r="AP193" s="8">
        <f>+MINVU_Mes_Corriente!AP193*SALUD_Mes_Constante!$AP$1</f>
        <v>0</v>
      </c>
      <c r="AQ193" s="8">
        <f>+MINVU_Mes_Corriente!AQ193*SALUD_Mes_Constante!$AP$1</f>
        <v>4359.7592317056669</v>
      </c>
      <c r="AR193" s="8">
        <f>+MINVU_Mes_Corriente!AR193*SALUD_Mes_Constante!$AP$1</f>
        <v>4702.6284323008249</v>
      </c>
      <c r="AS193" s="8">
        <f>+MINVU_Mes_Corriente!AS193*SALUD_Mes_Constante!$AP$1</f>
        <v>4702.6284323008249</v>
      </c>
      <c r="AT193" s="8">
        <f>+MINVU_Mes_Corriente!AT193*SALUD_Mes_Constante!$AP$1</f>
        <v>4702.6284323008249</v>
      </c>
      <c r="AU193" s="8">
        <f>+MINVU_Mes_Corriente!AU193*SALUD_Mes_Constante!$AP$1</f>
        <v>8234.7723522250781</v>
      </c>
      <c r="AV193" s="8">
        <f>+MINVU_Mes_Corriente!AV193*SALUD_Mes_Constante!$AP$1</f>
        <v>36743.164074124172</v>
      </c>
      <c r="AW193" s="8">
        <f>+MINVU_Mes_Corriente!AW193*SALUD_Mes_Constante!$AP$1</f>
        <v>46928.743946976865</v>
      </c>
      <c r="AX193" s="8">
        <f>+MINVU_Mes_Corriente!AX193*SALUD_Mes_Constante!$AP$1</f>
        <v>678813.03449208708</v>
      </c>
      <c r="AY193" s="8">
        <f>+MINVU_Mes_Corriente!AY193*SALUD_Mes_Constante!$AP$1</f>
        <v>679095.310428784</v>
      </c>
      <c r="AZ193" s="8">
        <f>+MINVU_Mes_Corriente!AZ193*SALUD_Mes_Constante!$AP$1</f>
        <v>679340.63925334776</v>
      </c>
      <c r="BA193" s="8">
        <f>+MINVU_Mes_Corriente!BA193*SALUD_Mes_Constante!$AP$1</f>
        <v>1397663.4375760853</v>
      </c>
      <c r="BB193" s="9">
        <f t="shared" si="98"/>
        <v>1397663.4375760853</v>
      </c>
      <c r="BC193" s="8">
        <f>+MINVU_Mes_Corriente!BC193*SALUD_Mes_Constante!$BC$1</f>
        <v>22504.707108004754</v>
      </c>
      <c r="BD193" s="8">
        <f>+MINVU_Mes_Corriente!BD193*SALUD_Mes_Constante!$BC$1</f>
        <v>22504.707108004754</v>
      </c>
      <c r="BE193" s="8">
        <f>+MINVU_Mes_Corriente!BE193*SALUD_Mes_Constante!$BC$1</f>
        <v>41523.987076355013</v>
      </c>
      <c r="BF193" s="8">
        <f>+MINVU_Mes_Corriente!BF193*SALUD_Mes_Constante!$BC$1</f>
        <v>41523.987076355013</v>
      </c>
      <c r="BG193" s="8">
        <f>+MINVU_Mes_Corriente!BG193*SALUD_Mes_Constante!$BC$1</f>
        <v>67145.262560991716</v>
      </c>
      <c r="BH193" s="8">
        <f>+MINVU_Mes_Corriente!BH193*SALUD_Mes_Constante!$BC$1</f>
        <v>860151.25913226977</v>
      </c>
      <c r="BI193" s="8">
        <f>+MINVU_Mes_Corriente!BI193*SALUD_Mes_Constante!$BC$1</f>
        <v>871719.8802584731</v>
      </c>
      <c r="BJ193" s="8">
        <f>+MINVU_Mes_Corriente!BJ193*SALUD_Mes_Constante!$BC$1</f>
        <v>872758.73638401704</v>
      </c>
      <c r="BK193" s="8">
        <f>+MINVU_Mes_Corriente!BK193*SALUD_Mes_Constante!$BC$1</f>
        <v>997018.03217723884</v>
      </c>
      <c r="BL193" s="8">
        <f>+MINVU_Mes_Corriente!BL193*SALUD_Mes_Constante!$BC$1</f>
        <v>1222640.004219966</v>
      </c>
      <c r="BM193" s="8">
        <f>+MINVU_Mes_Corriente!BM193*SALUD_Mes_Constante!$BC$1</f>
        <v>1228445.2071739421</v>
      </c>
      <c r="BN193" s="8">
        <f>+MINVU_Mes_Corriente!BN193*SALUD_Mes_Constante!$BC$1</f>
        <v>1676941.4416457871</v>
      </c>
      <c r="BO193" s="9">
        <f t="shared" si="99"/>
        <v>1676941.4416457871</v>
      </c>
      <c r="BP193" s="8">
        <f>+MINVU_Mes_Corriente!BP193*SALUD_Mes_Constante!$BP$1</f>
        <v>0</v>
      </c>
      <c r="BQ193" s="8">
        <f>+MINVU_Mes_Corriente!BQ193*SALUD_Mes_Constante!$BP$1</f>
        <v>0</v>
      </c>
      <c r="BR193" s="8">
        <f>+MINVU_Mes_Corriente!BR193*SALUD_Mes_Constante!$BP$1</f>
        <v>0</v>
      </c>
      <c r="BS193" s="8">
        <f>+MINVU_Mes_Corriente!BS193*SALUD_Mes_Constante!$BP$1</f>
        <v>0</v>
      </c>
      <c r="BT193" s="8">
        <f>+MINVU_Mes_Corriente!BT193*SALUD_Mes_Constante!$BP$1</f>
        <v>0</v>
      </c>
      <c r="BU193" s="8">
        <f>+MINVU_Mes_Corriente!BU193*SALUD_Mes_Constante!$BP$1</f>
        <v>0</v>
      </c>
      <c r="BV193" s="8">
        <f>+MINVU_Mes_Corriente!BV193*SALUD_Mes_Constante!$BP$1</f>
        <v>0</v>
      </c>
      <c r="BW193" s="8">
        <f>+MINVU_Mes_Corriente!BW193*SALUD_Mes_Constante!$BP$1</f>
        <v>0</v>
      </c>
      <c r="BX193" s="8">
        <f>+MINVU_Mes_Corriente!BX193*SALUD_Mes_Constante!$BP$1</f>
        <v>0</v>
      </c>
      <c r="BY193" s="8">
        <f>+MINVU_Mes_Corriente!BY193*SALUD_Mes_Constante!$BP$1</f>
        <v>0</v>
      </c>
      <c r="BZ193" s="8">
        <f>+MINVU_Mes_Corriente!BZ193*SALUD_Mes_Constante!$BP$1</f>
        <v>7480.3229193341876</v>
      </c>
      <c r="CA193" s="8">
        <f>+MINVU_Mes_Corriente!CA193*SALUD_Mes_Constante!$BP$1</f>
        <v>7480.3229193341876</v>
      </c>
      <c r="CB193" s="9">
        <f t="shared" si="100"/>
        <v>7480.3229193341876</v>
      </c>
      <c r="CC193" s="8">
        <f>+MINVU_Mes_Corriente!CC193*SALUD_Mes_Constante!$CC$1</f>
        <v>0</v>
      </c>
      <c r="CD193" s="8">
        <f>+MINVU_Mes_Corriente!CD193*SALUD_Mes_Constante!$CC$1</f>
        <v>0</v>
      </c>
      <c r="CE193" s="8">
        <f>+MINVU_Mes_Corriente!CE193*SALUD_Mes_Constante!$CC$1</f>
        <v>0</v>
      </c>
      <c r="CF193" s="8">
        <f>+MINVU_Mes_Corriente!CF193*SALUD_Mes_Constante!$CC$1</f>
        <v>0</v>
      </c>
      <c r="CG193" s="8">
        <f>+MINVU_Mes_Corriente!CG193*SALUD_Mes_Constante!$CC$1</f>
        <v>1287.8090264826558</v>
      </c>
      <c r="CH193" s="8">
        <f>+MINVU_Mes_Corriente!CH193*SALUD_Mes_Constante!$CC$1</f>
        <v>2474617.418873555</v>
      </c>
      <c r="CI193" s="8">
        <f>+MINVU_Mes_Corriente!CI193*SALUD_Mes_Constante!$CC$1</f>
        <v>5768676.6870570686</v>
      </c>
      <c r="CJ193" s="8">
        <f>+MINVU_Mes_Corriente!CJ193*SALUD_Mes_Constante!$CC$1</f>
        <v>5949380.2021633722</v>
      </c>
      <c r="CK193" s="8">
        <f>+MINVU_Mes_Corriente!CK193*SALUD_Mes_Constante!$CC$1</f>
        <v>5968778.8444610229</v>
      </c>
      <c r="CL193" s="8">
        <f>+MINVU_Mes_Corriente!CL193*SALUD_Mes_Constante!$CC$1</f>
        <v>12934052.902648266</v>
      </c>
      <c r="CM193" s="8">
        <f>+MINVU_Mes_Corriente!CM193*SALUD_Mes_Constante!$CC$1</f>
        <v>40792080.400596797</v>
      </c>
      <c r="CN193" s="8">
        <f>+MINVU_Mes_Corriente!CN193*SALUD_Mes_Constante!$CC$1</f>
        <v>118406842.92577398</v>
      </c>
      <c r="CO193" s="9">
        <f t="shared" si="101"/>
        <v>118406842.92577398</v>
      </c>
      <c r="CP193" s="8">
        <f>+MINVU_Mes_Corriente!CP193*SALUD_Mes_Constante!$CP$1</f>
        <v>0</v>
      </c>
      <c r="CQ193" s="8">
        <f>+MINVU_Mes_Corriente!CQ193*SALUD_Mes_Constante!$CP$1</f>
        <v>0</v>
      </c>
      <c r="CR193" s="8">
        <f>+MINVU_Mes_Corriente!CR193*SALUD_Mes_Constante!$CP$1</f>
        <v>0</v>
      </c>
      <c r="CS193" s="8">
        <f>+MINVU_Mes_Corriente!CS193*SALUD_Mes_Constante!$CP$1</f>
        <v>0</v>
      </c>
      <c r="CT193" s="8">
        <f>+MINVU_Mes_Corriente!CT193*SALUD_Mes_Constante!$CP$1</f>
        <v>0</v>
      </c>
      <c r="CU193" s="8">
        <f>+MINVU_Mes_Corriente!CU193*SALUD_Mes_Constante!$CP$1</f>
        <v>3586882.850812064</v>
      </c>
      <c r="CV193" s="8">
        <f>+MINVU_Mes_Corriente!CV193*SALUD_Mes_Constante!$CP$1</f>
        <v>3628883.3074245933</v>
      </c>
      <c r="CW193" s="8">
        <f>+MINVU_Mes_Corriente!CW193*SALUD_Mes_Constante!$CP$1</f>
        <v>16941889.822969835</v>
      </c>
      <c r="CX193" s="8">
        <f>+MINVU_Mes_Corriente!CX193*SALUD_Mes_Constante!$CP$1</f>
        <v>21439329.289559159</v>
      </c>
      <c r="CY193" s="8">
        <f>+MINVU_Mes_Corriente!CY193*SALUD_Mes_Constante!$CP$1</f>
        <v>23026633.726218093</v>
      </c>
      <c r="CZ193" s="8">
        <f>+MINVU_Mes_Corriente!CZ193*SALUD_Mes_Constante!$CP$1</f>
        <v>30964695.943155445</v>
      </c>
      <c r="DA193" s="8">
        <f>+MINVU_Mes_Corriente!DA193*SALUD_Mes_Constante!$CP$1</f>
        <v>59849165.142459385</v>
      </c>
      <c r="DB193" s="9">
        <f t="shared" si="102"/>
        <v>59849165.142459385</v>
      </c>
      <c r="DC193" s="8">
        <f>+MINVU_Mes_Corriente!DC193*SALUD_Mes_Constante!$DC$1</f>
        <v>0</v>
      </c>
      <c r="DD193" s="8">
        <f>+MINVU_Mes_Corriente!DD193*SALUD_Mes_Constante!$DC$1</f>
        <v>0</v>
      </c>
      <c r="DE193" s="8">
        <f>+MINVU_Mes_Corriente!DE193*SALUD_Mes_Constante!$DC$1</f>
        <v>0</v>
      </c>
      <c r="DF193" s="8">
        <f>+MINVU_Mes_Corriente!DF193*SALUD_Mes_Constante!$DC$1</f>
        <v>0</v>
      </c>
      <c r="DG193" s="8">
        <f>+MINVU_Mes_Corriente!DG193*SALUD_Mes_Constante!$DC$1</f>
        <v>0</v>
      </c>
      <c r="DH193" s="8">
        <f>+MINVU_Mes_Corriente!DH193*SALUD_Mes_Constante!$DC$1</f>
        <v>0</v>
      </c>
      <c r="DI193" s="8">
        <f>+MINVU_Mes_Corriente!DI193*SALUD_Mes_Constante!$DC$1</f>
        <v>0</v>
      </c>
      <c r="DJ193" s="8">
        <f>+MINVU_Mes_Corriente!DJ193*SALUD_Mes_Constante!$DC$1</f>
        <v>0</v>
      </c>
      <c r="DK193" s="8">
        <f>+MINVU_Mes_Corriente!DK193*SALUD_Mes_Constante!$DC$1</f>
        <v>0</v>
      </c>
      <c r="DL193" s="8">
        <f>+MINVU_Mes_Corriente!DL193*SALUD_Mes_Constante!$DC$1</f>
        <v>0</v>
      </c>
      <c r="DM193" s="8">
        <f>+MINVU_Mes_Corriente!DM193*SALUD_Mes_Constante!$DC$1</f>
        <v>0</v>
      </c>
      <c r="DN193" s="8">
        <f>+MINVU_Mes_Corriente!DN193*SALUD_Mes_Constante!$DC$1</f>
        <v>209.05626993107714</v>
      </c>
      <c r="DO193" s="9">
        <f t="shared" si="103"/>
        <v>209.05626993107714</v>
      </c>
      <c r="DP193" s="8">
        <f>+MINVU_Mes_Corriente!DP193*SALUD_Mes_Constante!$DP$1</f>
        <v>0</v>
      </c>
      <c r="DQ193" s="8">
        <f>+MINVU_Mes_Corriente!DQ193*SALUD_Mes_Constante!$DP$1</f>
        <v>0</v>
      </c>
      <c r="DR193" s="8">
        <f>+MINVU_Mes_Corriente!DR193*SALUD_Mes_Constante!$DP$1</f>
        <v>0</v>
      </c>
      <c r="DS193" s="8">
        <f>+MINVU_Mes_Corriente!DS193*SALUD_Mes_Constante!$DP$1</f>
        <v>0</v>
      </c>
      <c r="DT193" s="8">
        <f>+MINVU_Mes_Corriente!DT193*SALUD_Mes_Constante!$DP$1</f>
        <v>0</v>
      </c>
      <c r="DU193" s="8">
        <f>+MINVU_Mes_Corriente!DU193*SALUD_Mes_Constante!$DP$1</f>
        <v>0</v>
      </c>
      <c r="DV193" s="8">
        <f>+MINVU_Mes_Corriente!DV193*SALUD_Mes_Constante!$DP$1</f>
        <v>0</v>
      </c>
      <c r="DW193" s="8">
        <f>+MINVU_Mes_Corriente!DW193*SALUD_Mes_Constante!$DP$1</f>
        <v>0</v>
      </c>
      <c r="DX193" s="8">
        <f>+MINVU_Mes_Corriente!DX193*SALUD_Mes_Constante!$DP$1</f>
        <v>1333523.4904988124</v>
      </c>
      <c r="DY193" s="8">
        <f>+MINVU_Mes_Corriente!DY193*SALUD_Mes_Constante!$DP$1</f>
        <v>1379179.3343230404</v>
      </c>
      <c r="DZ193" s="8">
        <f>+MINVU_Mes_Corriente!DZ193*SALUD_Mes_Constante!$DP$1</f>
        <v>2978222.7915676963</v>
      </c>
      <c r="EA193" s="8">
        <f>+MINVU_Mes_Corriente!EA193*SALUD_Mes_Constante!$DP$1</f>
        <v>5546480.5225653211</v>
      </c>
      <c r="EB193" s="9">
        <f t="shared" si="104"/>
        <v>5546480.5225653211</v>
      </c>
      <c r="EC193" s="8">
        <f>+MINVU_Mes_Corriente!EC193*SALUD_Mes_Constante!$EC$1</f>
        <v>0</v>
      </c>
      <c r="ED193" s="8">
        <f>+MINVU_Mes_Corriente!ED193*SALUD_Mes_Constante!$EC$1</f>
        <v>0</v>
      </c>
      <c r="EE193" s="8">
        <f>+MINVU_Mes_Corriente!EE193*SALUD_Mes_Constante!$EC$1</f>
        <v>0</v>
      </c>
      <c r="EF193" s="8">
        <f>+MINVU_Mes_Corriente!EF193*SALUD_Mes_Constante!$EC$1</f>
        <v>0</v>
      </c>
      <c r="EG193" s="8">
        <f>+MINVU_Mes_Corriente!EG193*SALUD_Mes_Constante!$EC$1</f>
        <v>295135.44574891112</v>
      </c>
      <c r="EH193" s="8">
        <f>+MINVU_Mes_Corriente!EH193*SALUD_Mes_Constante!$EC$1</f>
        <v>295135.44574891112</v>
      </c>
      <c r="EI193" s="8">
        <f>+MINVU_Mes_Corriente!EI193*SALUD_Mes_Constante!$EC$1</f>
        <v>295135.44574891112</v>
      </c>
      <c r="EJ193" s="8">
        <f>+MINVU_Mes_Corriente!EJ193*SALUD_Mes_Constante!$EC$1</f>
        <v>295135.44574891112</v>
      </c>
      <c r="EK193" s="8">
        <f>+MINVU_Mes_Corriente!EK193*SALUD_Mes_Constante!$EC$1</f>
        <v>295135.44574891112</v>
      </c>
      <c r="EL193" s="8">
        <f>+MINVU_Mes_Corriente!EL193*SALUD_Mes_Constante!$EC$1</f>
        <v>295135.44574891112</v>
      </c>
      <c r="EM193" s="8">
        <f>+MINVU_Mes_Corriente!EM193*SALUD_Mes_Constante!$EC$1</f>
        <v>325117.29180079518</v>
      </c>
      <c r="EN193" s="8">
        <f>+MINVU_Mes_Corriente!EN193*SALUD_Mes_Constante!$EC$1</f>
        <v>601953.08407498559</v>
      </c>
      <c r="EO193" s="9">
        <f t="shared" si="105"/>
        <v>601953.08407498559</v>
      </c>
      <c r="EP193" s="8">
        <f>+MINVU_Mes_Corriente!EP193*SALUD_Mes_Constante!$EP$1</f>
        <v>0</v>
      </c>
      <c r="EQ193" s="8">
        <f>+MINVU_Mes_Corriente!EQ193*SALUD_Mes_Constante!$EP$1</f>
        <v>0</v>
      </c>
      <c r="ER193" s="8">
        <f>+MINVU_Mes_Corriente!ER193*SALUD_Mes_Constante!$EP$1</f>
        <v>510213</v>
      </c>
      <c r="ES193" s="8">
        <f>+MINVU_Mes_Corriente!ES193*SALUD_Mes_Constante!$EP$1</f>
        <v>510213</v>
      </c>
      <c r="ET193" s="8">
        <f>+MINVU_Mes_Corriente!ET193*SALUD_Mes_Constante!$EP$1</f>
        <v>510213</v>
      </c>
      <c r="EU193" s="8">
        <f>+MINVU_Mes_Corriente!EU193*SALUD_Mes_Constante!$EP$1</f>
        <v>510213</v>
      </c>
      <c r="EV193" s="8">
        <f>+MINVU_Mes_Corriente!EV193*SALUD_Mes_Constante!$EP$1</f>
        <v>510213</v>
      </c>
      <c r="EW193" s="8">
        <f>+MINVU_Mes_Corriente!EW193*SALUD_Mes_Constante!$EP$1</f>
        <v>510213</v>
      </c>
      <c r="EX193" s="8">
        <f>+MINVU_Mes_Corriente!EX193*SALUD_Mes_Constante!$EP$1</f>
        <v>510213</v>
      </c>
      <c r="EY193" s="8">
        <f>+MINVU_Mes_Corriente!EY193*SALUD_Mes_Constante!$EP$1</f>
        <v>510213</v>
      </c>
      <c r="EZ193" s="8">
        <f>+MINVU_Mes_Corriente!EZ193*SALUD_Mes_Constante!$EP$1</f>
        <v>510213</v>
      </c>
      <c r="FA193" s="8">
        <f>+MINVU_Mes_Corriente!FA193*SALUD_Mes_Constante!$EP$1</f>
        <v>510213</v>
      </c>
      <c r="FB193" s="9">
        <f t="shared" si="106"/>
        <v>510213</v>
      </c>
      <c r="FC193" s="8">
        <f>+MINVU_Mes_Corriente!FC193*SALUD_Mes_Constante!$FC$1</f>
        <v>0</v>
      </c>
      <c r="FD193" s="8">
        <f>+MINVU_Mes_Corriente!FD193*SALUD_Mes_Constante!$FC$1</f>
        <v>0</v>
      </c>
      <c r="FE193" s="8">
        <f>+MINVU_Mes_Corriente!FE193*SALUD_Mes_Constante!$FC$1</f>
        <v>0</v>
      </c>
      <c r="FF193" s="8">
        <f>+MINVU_Mes_Corriente!FF193*SALUD_Mes_Constante!$FC$1</f>
        <v>0</v>
      </c>
      <c r="FG193" s="8">
        <f>+MINVU_Mes_Corriente!FG193*SALUD_Mes_Constante!$FC$1</f>
        <v>0</v>
      </c>
      <c r="FH193" s="8">
        <f>+MINVU_Mes_Corriente!FH193*SALUD_Mes_Constante!$FC$1</f>
        <v>0</v>
      </c>
      <c r="FI193" s="8">
        <f>+MINVU_Mes_Corriente!FI193*SALUD_Mes_Constante!$FC$1</f>
        <v>0</v>
      </c>
      <c r="FJ193" s="8"/>
      <c r="FK193" s="8"/>
      <c r="FL193" s="8"/>
      <c r="FM193" s="8"/>
      <c r="FN193" s="8"/>
      <c r="FO193" s="9">
        <f t="shared" si="107"/>
        <v>0</v>
      </c>
    </row>
    <row r="194" spans="2:171" ht="14.25" customHeight="1" x14ac:dyDescent="0.3">
      <c r="B194" s="7" t="s">
        <v>46</v>
      </c>
      <c r="C194" s="8">
        <f>+MINVU_Mes_Corriente!C194*SALUD_Mes_Constante!$C$1</f>
        <v>1584.699391962035</v>
      </c>
      <c r="D194" s="8">
        <f>+MINVU_Mes_Corriente!D194*SALUD_Mes_Constante!$C$1</f>
        <v>5501.0781551238333</v>
      </c>
      <c r="E194" s="8">
        <f>+MINVU_Mes_Corriente!E194*SALUD_Mes_Constante!$C$1</f>
        <v>5501.0781551238333</v>
      </c>
      <c r="F194" s="8">
        <f>+MINVU_Mes_Corriente!F194*SALUD_Mes_Constante!$C$1</f>
        <v>37238.815364081274</v>
      </c>
      <c r="G194" s="8">
        <f>+MINVU_Mes_Corriente!G194*SALUD_Mes_Constante!$C$1</f>
        <v>48287.961738098777</v>
      </c>
      <c r="H194" s="8">
        <f>+MINVU_Mes_Corriente!H194*SALUD_Mes_Constante!$C$1</f>
        <v>60395.194720450847</v>
      </c>
      <c r="I194" s="8">
        <f>+MINVU_Mes_Corriente!I194*SALUD_Mes_Constante!$C$1</f>
        <v>93596.105294379377</v>
      </c>
      <c r="J194" s="8">
        <f>+MINVU_Mes_Corriente!J194*SALUD_Mes_Constante!$C$1</f>
        <v>99474.72430668844</v>
      </c>
      <c r="K194" s="8">
        <f>+MINVU_Mes_Corriente!K194*SALUD_Mes_Constante!$C$1</f>
        <v>103081.61678777993</v>
      </c>
      <c r="L194" s="8">
        <f>+MINVU_Mes_Corriente!L194*SALUD_Mes_Constante!$C$1</f>
        <v>147955.50734094618</v>
      </c>
      <c r="M194" s="8">
        <f>+MINVU_Mes_Corriente!M194*SALUD_Mes_Constante!$C$1</f>
        <v>161239.11226457069</v>
      </c>
      <c r="N194" s="8">
        <f>+MINVU_Mes_Corriente!N194*SALUD_Mes_Constante!$C$1</f>
        <v>406558.03173661581</v>
      </c>
      <c r="O194" s="9">
        <f t="shared" si="95"/>
        <v>406558.03173661581</v>
      </c>
      <c r="P194" s="8">
        <f>+MINVU_Mes_Corriente!P194*SALUD_Mes_Constante!$P$1</f>
        <v>3840.1653643983504</v>
      </c>
      <c r="Q194" s="8">
        <f>+MINVU_Mes_Corriente!Q194*SALUD_Mes_Constante!$P$1</f>
        <v>28186.565421224594</v>
      </c>
      <c r="R194" s="8">
        <f>+MINVU_Mes_Corriente!R194*SALUD_Mes_Constante!$P$1</f>
        <v>43107.951697684315</v>
      </c>
      <c r="S194" s="8">
        <f>+MINVU_Mes_Corriente!S194*SALUD_Mes_Constante!$P$1</f>
        <v>51654.415115783471</v>
      </c>
      <c r="T194" s="8">
        <f>+MINVU_Mes_Corriente!T194*SALUD_Mes_Constante!$P$1</f>
        <v>90545.0146327603</v>
      </c>
      <c r="U194" s="8">
        <f>+MINVU_Mes_Corriente!U194*SALUD_Mes_Constante!$P$1</f>
        <v>103316.59127717001</v>
      </c>
      <c r="V194" s="8">
        <f>+MINVU_Mes_Corriente!V194*SALUD_Mes_Constante!$P$1</f>
        <v>115063.70990197467</v>
      </c>
      <c r="W194" s="8">
        <f>+MINVU_Mes_Corriente!W194*SALUD_Mes_Constante!$P$1</f>
        <v>125629.59738599228</v>
      </c>
      <c r="X194" s="8">
        <f>+MINVU_Mes_Corriente!X194*SALUD_Mes_Constante!$P$1</f>
        <v>157459.19761329729</v>
      </c>
      <c r="Y194" s="8">
        <f>+MINVU_Mes_Corriente!Y194*SALUD_Mes_Constante!$P$1</f>
        <v>163407.26296348908</v>
      </c>
      <c r="Z194" s="8">
        <f>+MINVU_Mes_Corriente!Z194*SALUD_Mes_Constante!$P$1</f>
        <v>340809.24335843144</v>
      </c>
      <c r="AA194" s="8">
        <f>+MINVU_Mes_Corriente!AA194*SALUD_Mes_Constante!$P$1</f>
        <v>1176759.2263105551</v>
      </c>
      <c r="AB194" s="9">
        <f t="shared" si="96"/>
        <v>1176759.2263105551</v>
      </c>
      <c r="AC194" s="8">
        <f>+MINVU_Mes_Corriente!AC194*SALUD_Mes_Constante!$AC$1</f>
        <v>0</v>
      </c>
      <c r="AD194" s="8">
        <f>+MINVU_Mes_Corriente!AD194*SALUD_Mes_Constante!$AC$1</f>
        <v>11950.737584728178</v>
      </c>
      <c r="AE194" s="8">
        <f>+MINVU_Mes_Corriente!AE194*SALUD_Mes_Constante!$AC$1</f>
        <v>46882.500207497578</v>
      </c>
      <c r="AF194" s="8">
        <f>+MINVU_Mes_Corriente!AF194*SALUD_Mes_Constante!$AC$1</f>
        <v>56998.38317886291</v>
      </c>
      <c r="AG194" s="8">
        <f>+MINVU_Mes_Corriente!AG194*SALUD_Mes_Constante!$AC$1</f>
        <v>98773.820998755007</v>
      </c>
      <c r="AH194" s="8">
        <f>+MINVU_Mes_Corriente!AH194*SALUD_Mes_Constante!$AC$1</f>
        <v>106229.61820445428</v>
      </c>
      <c r="AI194" s="8">
        <f>+MINVU_Mes_Corriente!AI194*SALUD_Mes_Constante!$AC$1</f>
        <v>116665.92059759302</v>
      </c>
      <c r="AJ194" s="8">
        <f>+MINVU_Mes_Corriente!AJ194*SALUD_Mes_Constante!$AC$1</f>
        <v>127889.6688338636</v>
      </c>
      <c r="AK194" s="8">
        <f>+MINVU_Mes_Corriente!AK194*SALUD_Mes_Constante!$AC$1</f>
        <v>134251.20348595933</v>
      </c>
      <c r="AL194" s="8">
        <f>+MINVU_Mes_Corriente!AL194*SALUD_Mes_Constante!$AC$1</f>
        <v>139120.97413196845</v>
      </c>
      <c r="AM194" s="8">
        <f>+MINVU_Mes_Corriente!AM194*SALUD_Mes_Constante!$AC$1</f>
        <v>152759.95933047446</v>
      </c>
      <c r="AN194" s="8">
        <f>+MINVU_Mes_Corriente!AN194*SALUD_Mes_Constante!$AC$1</f>
        <v>619605.01120486925</v>
      </c>
      <c r="AO194" s="9">
        <f t="shared" si="97"/>
        <v>619605.01120486925</v>
      </c>
      <c r="AP194" s="8">
        <f>+MINVU_Mes_Corriente!AP194*SALUD_Mes_Constante!$AP$1</f>
        <v>679.82686324901931</v>
      </c>
      <c r="AQ194" s="8">
        <f>+MINVU_Mes_Corriente!AQ194*SALUD_Mes_Constante!$AP$1</f>
        <v>26841.33802245367</v>
      </c>
      <c r="AR194" s="8">
        <f>+MINVU_Mes_Corriente!AR194*SALUD_Mes_Constante!$AP$1</f>
        <v>63096.800216420932</v>
      </c>
      <c r="AS194" s="8">
        <f>+MINVU_Mes_Corriente!AS194*SALUD_Mes_Constante!$AP$1</f>
        <v>74358.279994589466</v>
      </c>
      <c r="AT194" s="8">
        <f>+MINVU_Mes_Corriente!AT194*SALUD_Mes_Constante!$AP$1</f>
        <v>91421.934262139854</v>
      </c>
      <c r="AU194" s="8">
        <f>+MINVU_Mes_Corriente!AU194*SALUD_Mes_Constante!$AP$1</f>
        <v>106097.32720140673</v>
      </c>
      <c r="AV194" s="8">
        <f>+MINVU_Mes_Corriente!AV194*SALUD_Mes_Constante!$AP$1</f>
        <v>143914.91329636142</v>
      </c>
      <c r="AW194" s="8">
        <f>+MINVU_Mes_Corriente!AW194*SALUD_Mes_Constante!$AP$1</f>
        <v>154338.43257135127</v>
      </c>
      <c r="AX194" s="8">
        <f>+MINVU_Mes_Corriente!AX194*SALUD_Mes_Constante!$AP$1</f>
        <v>176741.68348437711</v>
      </c>
      <c r="AY194" s="8">
        <f>+MINVU_Mes_Corriente!AY194*SALUD_Mes_Constante!$AP$1</f>
        <v>187389.84120113621</v>
      </c>
      <c r="AZ194" s="8">
        <f>+MINVU_Mes_Corriente!AZ194*SALUD_Mes_Constante!$AP$1</f>
        <v>187978.03922629514</v>
      </c>
      <c r="BA194" s="8">
        <f>+MINVU_Mes_Corriente!BA194*SALUD_Mes_Constante!$AP$1</f>
        <v>538326.81320167717</v>
      </c>
      <c r="BB194" s="9">
        <f t="shared" si="98"/>
        <v>538326.81320167717</v>
      </c>
      <c r="BC194" s="8">
        <f>+MINVU_Mes_Corriente!BC194*SALUD_Mes_Constante!$BC$1</f>
        <v>0</v>
      </c>
      <c r="BD194" s="8">
        <f>+MINVU_Mes_Corriente!BD194*SALUD_Mes_Constante!$BC$1</f>
        <v>417.84781748648305</v>
      </c>
      <c r="BE194" s="8">
        <f>+MINVU_Mes_Corriente!BE194*SALUD_Mes_Constante!$BC$1</f>
        <v>6117.868389819334</v>
      </c>
      <c r="BF194" s="8">
        <f>+MINVU_Mes_Corriente!BF194*SALUD_Mes_Constante!$BC$1</f>
        <v>38076.022154819999</v>
      </c>
      <c r="BG194" s="8">
        <f>+MINVU_Mes_Corriente!BG194*SALUD_Mes_Constante!$BC$1</f>
        <v>76402.753000131896</v>
      </c>
      <c r="BH194" s="8">
        <f>+MINVU_Mes_Corriente!BH194*SALUD_Mes_Constante!$BC$1</f>
        <v>122285.32506923385</v>
      </c>
      <c r="BI194" s="8">
        <f>+MINVU_Mes_Corriente!BI194*SALUD_Mes_Constante!$BC$1</f>
        <v>138477.64842410659</v>
      </c>
      <c r="BJ194" s="8">
        <f>+MINVU_Mes_Corriente!BJ194*SALUD_Mes_Constante!$BC$1</f>
        <v>142486.10576289071</v>
      </c>
      <c r="BK194" s="8">
        <f>+MINVU_Mes_Corriente!BK194*SALUD_Mes_Constante!$BC$1</f>
        <v>143800.16510615856</v>
      </c>
      <c r="BL194" s="8">
        <f>+MINVU_Mes_Corriente!BL194*SALUD_Mes_Constante!$BC$1</f>
        <v>181860.33786100493</v>
      </c>
      <c r="BM194" s="8">
        <f>+MINVU_Mes_Corriente!BM194*SALUD_Mes_Constante!$BC$1</f>
        <v>241217.78161677442</v>
      </c>
      <c r="BN194" s="8">
        <f>+MINVU_Mes_Corriente!BN194*SALUD_Mes_Constante!$BC$1</f>
        <v>1952607.1736779644</v>
      </c>
      <c r="BO194" s="9">
        <f t="shared" si="99"/>
        <v>1952607.1736779644</v>
      </c>
      <c r="BP194" s="8">
        <f>+MINVU_Mes_Corriente!BP194*SALUD_Mes_Constante!$BP$1</f>
        <v>0</v>
      </c>
      <c r="BQ194" s="8">
        <f>+MINVU_Mes_Corriente!BQ194*SALUD_Mes_Constante!$BP$1</f>
        <v>0</v>
      </c>
      <c r="BR194" s="8">
        <f>+MINVU_Mes_Corriente!BR194*SALUD_Mes_Constante!$BP$1</f>
        <v>0</v>
      </c>
      <c r="BS194" s="8">
        <f>+MINVU_Mes_Corriente!BS194*SALUD_Mes_Constante!$BP$1</f>
        <v>0</v>
      </c>
      <c r="BT194" s="8">
        <f>+MINVU_Mes_Corriente!BT194*SALUD_Mes_Constante!$BP$1</f>
        <v>0</v>
      </c>
      <c r="BU194" s="8">
        <f>+MINVU_Mes_Corriente!BU194*SALUD_Mes_Constante!$BP$1</f>
        <v>0</v>
      </c>
      <c r="BV194" s="8">
        <f>+MINVU_Mes_Corriente!BV194*SALUD_Mes_Constante!$BP$1</f>
        <v>0</v>
      </c>
      <c r="BW194" s="8">
        <f>+MINVU_Mes_Corriente!BW194*SALUD_Mes_Constante!$BP$1</f>
        <v>0</v>
      </c>
      <c r="BX194" s="8">
        <f>+MINVU_Mes_Corriente!BX194*SALUD_Mes_Constante!$BP$1</f>
        <v>2876.293982074264</v>
      </c>
      <c r="BY194" s="8">
        <f>+MINVU_Mes_Corriente!BY194*SALUD_Mes_Constante!$BP$1</f>
        <v>2876.293982074264</v>
      </c>
      <c r="BZ194" s="8">
        <f>+MINVU_Mes_Corriente!BZ194*SALUD_Mes_Constante!$BP$1</f>
        <v>10753.925992317543</v>
      </c>
      <c r="CA194" s="8">
        <f>+MINVU_Mes_Corriente!CA194*SALUD_Mes_Constante!$BP$1</f>
        <v>3137114.8094750321</v>
      </c>
      <c r="CB194" s="9">
        <f t="shared" si="100"/>
        <v>3137114.8094750321</v>
      </c>
      <c r="CC194" s="8">
        <f>+MINVU_Mes_Corriente!CC194*SALUD_Mes_Constante!$CC$1</f>
        <v>0</v>
      </c>
      <c r="CD194" s="8">
        <f>+MINVU_Mes_Corriente!CD194*SALUD_Mes_Constante!$CC$1</f>
        <v>0</v>
      </c>
      <c r="CE194" s="8">
        <f>+MINVU_Mes_Corriente!CE194*SALUD_Mes_Constante!$CC$1</f>
        <v>0</v>
      </c>
      <c r="CF194" s="8">
        <f>+MINVU_Mes_Corriente!CF194*SALUD_Mes_Constante!$CC$1</f>
        <v>1051.4390152928013</v>
      </c>
      <c r="CG194" s="8">
        <f>+MINVU_Mes_Corriente!CG194*SALUD_Mes_Constante!$CC$1</f>
        <v>67262.211115255501</v>
      </c>
      <c r="CH194" s="8">
        <f>+MINVU_Mes_Corriente!CH194*SALUD_Mes_Constante!$CC$1</f>
        <v>107029.42782543828</v>
      </c>
      <c r="CI194" s="8">
        <f>+MINVU_Mes_Corriente!CI194*SALUD_Mes_Constante!$CC$1</f>
        <v>110282.91160014921</v>
      </c>
      <c r="CJ194" s="8">
        <f>+MINVU_Mes_Corriente!CJ194*SALUD_Mes_Constante!$CC$1</f>
        <v>110282.91160014921</v>
      </c>
      <c r="CK194" s="8">
        <f>+MINVU_Mes_Corriente!CK194*SALUD_Mes_Constante!$CC$1</f>
        <v>118837.06079820964</v>
      </c>
      <c r="CL194" s="8">
        <f>+MINVU_Mes_Corriente!CL194*SALUD_Mes_Constante!$CC$1</f>
        <v>118837.06079820964</v>
      </c>
      <c r="CM194" s="8">
        <f>+MINVU_Mes_Corriente!CM194*SALUD_Mes_Constante!$CC$1</f>
        <v>120676.39985080196</v>
      </c>
      <c r="CN194" s="8">
        <f>+MINVU_Mes_Corriente!CN194*SALUD_Mes_Constante!$CC$1</f>
        <v>373566.50130548305</v>
      </c>
      <c r="CO194" s="9">
        <f t="shared" si="101"/>
        <v>373566.50130548305</v>
      </c>
      <c r="CP194" s="8">
        <f>+MINVU_Mes_Corriente!CP194*SALUD_Mes_Constante!$CP$1</f>
        <v>0</v>
      </c>
      <c r="CQ194" s="8">
        <f>+MINVU_Mes_Corriente!CQ194*SALUD_Mes_Constante!$CP$1</f>
        <v>1925.3589327146167</v>
      </c>
      <c r="CR194" s="8">
        <f>+MINVU_Mes_Corriente!CR194*SALUD_Mes_Constante!$CP$1</f>
        <v>9282.0299303944303</v>
      </c>
      <c r="CS194" s="8">
        <f>+MINVU_Mes_Corriente!CS194*SALUD_Mes_Constante!$CP$1</f>
        <v>13770.309048723895</v>
      </c>
      <c r="CT194" s="8">
        <f>+MINVU_Mes_Corriente!CT194*SALUD_Mes_Constante!$CP$1</f>
        <v>22134.656380510438</v>
      </c>
      <c r="CU194" s="8">
        <f>+MINVU_Mes_Corriente!CU194*SALUD_Mes_Constante!$CP$1</f>
        <v>28240.287703016234</v>
      </c>
      <c r="CV194" s="8">
        <f>+MINVU_Mes_Corriente!CV194*SALUD_Mes_Constante!$CP$1</f>
        <v>34456.193039443147</v>
      </c>
      <c r="CW194" s="8">
        <f>+MINVU_Mes_Corriente!CW194*SALUD_Mes_Constante!$CP$1</f>
        <v>52672.953132250572</v>
      </c>
      <c r="CX194" s="8">
        <f>+MINVU_Mes_Corriente!CX194*SALUD_Mes_Constante!$CP$1</f>
        <v>220701.39744779578</v>
      </c>
      <c r="CY194" s="8">
        <f>+MINVU_Mes_Corriente!CY194*SALUD_Mes_Constante!$CP$1</f>
        <v>299732.37494199531</v>
      </c>
      <c r="CZ194" s="8">
        <f>+MINVU_Mes_Corriente!CZ194*SALUD_Mes_Constante!$CP$1</f>
        <v>392850.54083526676</v>
      </c>
      <c r="DA194" s="8">
        <f>+MINVU_Mes_Corriente!DA194*SALUD_Mes_Constante!$CP$1</f>
        <v>587726.27122969821</v>
      </c>
      <c r="DB194" s="9">
        <f t="shared" si="102"/>
        <v>587726.27122969821</v>
      </c>
      <c r="DC194" s="8">
        <f>+MINVU_Mes_Corriente!DC194*SALUD_Mes_Constante!$DC$1</f>
        <v>2954.8867400473218</v>
      </c>
      <c r="DD194" s="8">
        <f>+MINVU_Mes_Corriente!DD194*SALUD_Mes_Constante!$DC$1</f>
        <v>3623.6420121386705</v>
      </c>
      <c r="DE194" s="8">
        <f>+MINVU_Mes_Corriente!DE194*SALUD_Mes_Constante!$DC$1</f>
        <v>6387.4558173027499</v>
      </c>
      <c r="DF194" s="8">
        <f>+MINVU_Mes_Corriente!DF194*SALUD_Mes_Constante!$DC$1</f>
        <v>8217.2601584199201</v>
      </c>
      <c r="DG194" s="8">
        <f>+MINVU_Mes_Corriente!DG194*SALUD_Mes_Constante!$DC$1</f>
        <v>8799.4706305935651</v>
      </c>
      <c r="DH194" s="8">
        <f>+MINVU_Mes_Corriente!DH194*SALUD_Mes_Constante!$DC$1</f>
        <v>14684.517024997434</v>
      </c>
      <c r="DI194" s="8">
        <f>+MINVU_Mes_Corriente!DI194*SALUD_Mes_Constante!$DC$1</f>
        <v>14684.517024997434</v>
      </c>
      <c r="DJ194" s="8">
        <f>+MINVU_Mes_Corriente!DJ194*SALUD_Mes_Constante!$DC$1</f>
        <v>21396.796831601696</v>
      </c>
      <c r="DK194" s="8">
        <f>+MINVU_Mes_Corriente!DK194*SALUD_Mes_Constante!$DC$1</f>
        <v>56575.572060487633</v>
      </c>
      <c r="DL194" s="8">
        <f>+MINVU_Mes_Corriente!DL194*SALUD_Mes_Constante!$DC$1</f>
        <v>87618.18022837161</v>
      </c>
      <c r="DM194" s="8">
        <f>+MINVU_Mes_Corriente!DM194*SALUD_Mes_Constante!$DC$1</f>
        <v>270703.14247505413</v>
      </c>
      <c r="DN194" s="8">
        <f>+MINVU_Mes_Corriente!DN194*SALUD_Mes_Constante!$DC$1</f>
        <v>482341.14494393603</v>
      </c>
      <c r="DO194" s="9">
        <f t="shared" si="103"/>
        <v>482341.14494393603</v>
      </c>
      <c r="DP194" s="8">
        <f>+MINVU_Mes_Corriente!DP194*SALUD_Mes_Constante!$DP$1</f>
        <v>0</v>
      </c>
      <c r="DQ194" s="8">
        <f>+MINVU_Mes_Corriente!DQ194*SALUD_Mes_Constante!$DP$1</f>
        <v>2134.5926365795726</v>
      </c>
      <c r="DR194" s="8">
        <f>+MINVU_Mes_Corriente!DR194*SALUD_Mes_Constante!$DP$1</f>
        <v>6561.6555819477444</v>
      </c>
      <c r="DS194" s="8">
        <f>+MINVU_Mes_Corriente!DS194*SALUD_Mes_Constante!$DP$1</f>
        <v>7169.376484560571</v>
      </c>
      <c r="DT194" s="8">
        <f>+MINVU_Mes_Corriente!DT194*SALUD_Mes_Constante!$DP$1</f>
        <v>20231.050475059383</v>
      </c>
      <c r="DU194" s="8">
        <f>+MINVU_Mes_Corriente!DU194*SALUD_Mes_Constante!$DP$1</f>
        <v>70958.444180522565</v>
      </c>
      <c r="DV194" s="8">
        <f>+MINVU_Mes_Corriente!DV194*SALUD_Mes_Constante!$DP$1</f>
        <v>118371.48812351545</v>
      </c>
      <c r="DW194" s="8">
        <f>+MINVU_Mes_Corriente!DW194*SALUD_Mes_Constante!$DP$1</f>
        <v>119478.79453681712</v>
      </c>
      <c r="DX194" s="8">
        <f>+MINVU_Mes_Corriente!DX194*SALUD_Mes_Constante!$DP$1</f>
        <v>253910.55106888362</v>
      </c>
      <c r="DY194" s="8">
        <f>+MINVU_Mes_Corriente!DY194*SALUD_Mes_Constante!$DP$1</f>
        <v>288330.04631828982</v>
      </c>
      <c r="DZ194" s="8">
        <f>+MINVU_Mes_Corriente!DZ194*SALUD_Mes_Constante!$DP$1</f>
        <v>416803.54275534448</v>
      </c>
      <c r="EA194" s="8">
        <f>+MINVU_Mes_Corriente!EA194*SALUD_Mes_Constante!$DP$1</f>
        <v>1285269.1532066509</v>
      </c>
      <c r="EB194" s="9">
        <f t="shared" si="104"/>
        <v>1285269.1532066509</v>
      </c>
      <c r="EC194" s="8">
        <f>+MINVU_Mes_Corriente!EC194*SALUD_Mes_Constante!$EC$1</f>
        <v>431.3711418291989</v>
      </c>
      <c r="ED194" s="8">
        <f>+MINVU_Mes_Corriente!ED194*SALUD_Mes_Constante!$EC$1</f>
        <v>431.3711418291989</v>
      </c>
      <c r="EE194" s="8">
        <f>+MINVU_Mes_Corriente!EE194*SALUD_Mes_Constante!$EC$1</f>
        <v>431.3711418291989</v>
      </c>
      <c r="EF194" s="8">
        <f>+MINVU_Mes_Corriente!EF194*SALUD_Mes_Constante!$EC$1</f>
        <v>73751.017231584905</v>
      </c>
      <c r="EG194" s="8">
        <f>+MINVU_Mes_Corriente!EG194*SALUD_Mes_Constante!$EC$1</f>
        <v>74942.718803256939</v>
      </c>
      <c r="EH194" s="8">
        <f>+MINVU_Mes_Corriente!EH194*SALUD_Mes_Constante!$EC$1</f>
        <v>74942.718803256939</v>
      </c>
      <c r="EI194" s="8">
        <f>+MINVU_Mes_Corriente!EI194*SALUD_Mes_Constante!$EC$1</f>
        <v>95270.954554061696</v>
      </c>
      <c r="EJ194" s="8">
        <f>+MINVU_Mes_Corriente!EJ194*SALUD_Mes_Constante!$EC$1</f>
        <v>108703.45881461841</v>
      </c>
      <c r="EK194" s="8">
        <f>+MINVU_Mes_Corriente!EK194*SALUD_Mes_Constante!$EC$1</f>
        <v>219313.4332512781</v>
      </c>
      <c r="EL194" s="8">
        <f>+MINVU_Mes_Corriente!EL194*SALUD_Mes_Constante!$EC$1</f>
        <v>280459.51675818965</v>
      </c>
      <c r="EM194" s="8">
        <f>+MINVU_Mes_Corriente!EM194*SALUD_Mes_Constante!$EC$1</f>
        <v>295922.67222117016</v>
      </c>
      <c r="EN194" s="8">
        <f>+MINVU_Mes_Corriente!EN194*SALUD_Mes_Constante!$EC$1</f>
        <v>530204.78754023847</v>
      </c>
      <c r="EO194" s="9">
        <f t="shared" si="105"/>
        <v>530204.78754023847</v>
      </c>
      <c r="EP194" s="8">
        <f>+MINVU_Mes_Corriente!EP194*SALUD_Mes_Constante!$EP$1</f>
        <v>1080</v>
      </c>
      <c r="EQ194" s="8">
        <f>+MINVU_Mes_Corriente!EQ194*SALUD_Mes_Constante!$EP$1</f>
        <v>2340</v>
      </c>
      <c r="ER194" s="8">
        <f>+MINVU_Mes_Corriente!ER194*SALUD_Mes_Constante!$EP$1</f>
        <v>5226</v>
      </c>
      <c r="ES194" s="8">
        <f>+MINVU_Mes_Corriente!ES194*SALUD_Mes_Constante!$EP$1</f>
        <v>15451</v>
      </c>
      <c r="ET194" s="8">
        <f>+MINVU_Mes_Corriente!ET194*SALUD_Mes_Constante!$EP$1</f>
        <v>30700</v>
      </c>
      <c r="EU194" s="8">
        <f>+MINVU_Mes_Corriente!EU194*SALUD_Mes_Constante!$EP$1</f>
        <v>41291</v>
      </c>
      <c r="EV194" s="8">
        <f>+MINVU_Mes_Corriente!EV194*SALUD_Mes_Constante!$EP$1</f>
        <v>63764</v>
      </c>
      <c r="EW194" s="8">
        <f>+MINVU_Mes_Corriente!EW194*SALUD_Mes_Constante!$EP$1</f>
        <v>88713</v>
      </c>
      <c r="EX194" s="8">
        <f>+MINVU_Mes_Corriente!EX194*SALUD_Mes_Constante!$EP$1</f>
        <v>101157</v>
      </c>
      <c r="EY194" s="8">
        <f>+MINVU_Mes_Corriente!EY194*SALUD_Mes_Constante!$EP$1</f>
        <v>231967</v>
      </c>
      <c r="EZ194" s="8">
        <f>+MINVU_Mes_Corriente!EZ194*SALUD_Mes_Constante!$EP$1</f>
        <v>599236</v>
      </c>
      <c r="FA194" s="8">
        <f>+MINVU_Mes_Corriente!FA194*SALUD_Mes_Constante!$EP$1</f>
        <v>855579</v>
      </c>
      <c r="FB194" s="9">
        <f t="shared" si="106"/>
        <v>855579</v>
      </c>
      <c r="FC194" s="8">
        <f>+MINVU_Mes_Corriente!FC194*SALUD_Mes_Constante!$FC$1</f>
        <v>4485</v>
      </c>
      <c r="FD194" s="8">
        <f>+MINVU_Mes_Corriente!FD194*SALUD_Mes_Constante!$FC$1</f>
        <v>4985</v>
      </c>
      <c r="FE194" s="8">
        <f>+MINVU_Mes_Corriente!FE194*SALUD_Mes_Constante!$FC$1</f>
        <v>20789</v>
      </c>
      <c r="FF194" s="8">
        <f>+MINVU_Mes_Corriente!FF194*SALUD_Mes_Constante!$FC$1</f>
        <v>86770</v>
      </c>
      <c r="FG194" s="8">
        <f>+MINVU_Mes_Corriente!FG194*SALUD_Mes_Constante!$FC$1</f>
        <v>86770</v>
      </c>
      <c r="FH194" s="8">
        <f>+MINVU_Mes_Corriente!FH194*SALUD_Mes_Constante!$FC$1</f>
        <v>110607</v>
      </c>
      <c r="FI194" s="8">
        <f>+MINVU_Mes_Corriente!FI194*SALUD_Mes_Constante!$FC$1</f>
        <v>117802</v>
      </c>
      <c r="FJ194" s="8"/>
      <c r="FK194" s="8"/>
      <c r="FL194" s="8"/>
      <c r="FM194" s="8"/>
      <c r="FN194" s="8"/>
      <c r="FO194" s="9">
        <f t="shared" si="107"/>
        <v>117802</v>
      </c>
    </row>
    <row r="195" spans="2:171" ht="14.25" customHeight="1" x14ac:dyDescent="0.3">
      <c r="B195" s="7" t="s">
        <v>47</v>
      </c>
      <c r="C195" s="8">
        <f>+MINVU_Mes_Corriente!C195*SALUD_Mes_Constante!$C$1</f>
        <v>65905.994957733958</v>
      </c>
      <c r="D195" s="8">
        <f>+MINVU_Mes_Corriente!D195*SALUD_Mes_Constante!$C$1</f>
        <v>105212.37312768798</v>
      </c>
      <c r="E195" s="8">
        <f>+MINVU_Mes_Corriente!E195*SALUD_Mes_Constante!$C$1</f>
        <v>125147.50259528402</v>
      </c>
      <c r="F195" s="8">
        <f>+MINVU_Mes_Corriente!F195*SALUD_Mes_Constante!$C$1</f>
        <v>145742.1133026843</v>
      </c>
      <c r="G195" s="8">
        <f>+MINVU_Mes_Corriente!G195*SALUD_Mes_Constante!$C$1</f>
        <v>262348.76672104408</v>
      </c>
      <c r="H195" s="8">
        <f>+MINVU_Mes_Corriente!H195*SALUD_Mes_Constante!$C$1</f>
        <v>278242.75070443429</v>
      </c>
      <c r="I195" s="8">
        <f>+MINVU_Mes_Corriente!I195*SALUD_Mes_Constante!$C$1</f>
        <v>299394.76078896638</v>
      </c>
      <c r="J195" s="8">
        <f>+MINVU_Mes_Corriente!J195*SALUD_Mes_Constante!$C$1</f>
        <v>306208.32003559254</v>
      </c>
      <c r="K195" s="8">
        <f>+MINVU_Mes_Corriente!K195*SALUD_Mes_Constante!$C$1</f>
        <v>324150.42266053689</v>
      </c>
      <c r="L195" s="8">
        <f>+MINVU_Mes_Corriente!L195*SALUD_Mes_Constante!$C$1</f>
        <v>336288.44223639334</v>
      </c>
      <c r="M195" s="8">
        <f>+MINVU_Mes_Corriente!M195*SALUD_Mes_Constante!$C$1</f>
        <v>542490.56414059037</v>
      </c>
      <c r="N195" s="8">
        <f>+MINVU_Mes_Corriente!N195*SALUD_Mes_Constante!$C$1</f>
        <v>787449.76657274226</v>
      </c>
      <c r="O195" s="9">
        <f t="shared" si="95"/>
        <v>787449.76657274226</v>
      </c>
      <c r="P195" s="8">
        <f>+MINVU_Mes_Corriente!P195*SALUD_Mes_Constante!$P$1</f>
        <v>13193.777525216645</v>
      </c>
      <c r="Q195" s="8">
        <f>+MINVU_Mes_Corriente!Q195*SALUD_Mes_Constante!$P$1</f>
        <v>22089.487995453892</v>
      </c>
      <c r="R195" s="8">
        <f>+MINVU_Mes_Corriente!R195*SALUD_Mes_Constante!$P$1</f>
        <v>25692.165364398341</v>
      </c>
      <c r="S195" s="8">
        <f>+MINVU_Mes_Corriente!S195*SALUD_Mes_Constante!$P$1</f>
        <v>68537.793720698945</v>
      </c>
      <c r="T195" s="8">
        <f>+MINVU_Mes_Corriente!T195*SALUD_Mes_Constante!$P$1</f>
        <v>90205.0808353459</v>
      </c>
      <c r="U195" s="8">
        <f>+MINVU_Mes_Corriente!U195*SALUD_Mes_Constante!$P$1</f>
        <v>97500.463702230394</v>
      </c>
      <c r="V195" s="8">
        <f>+MINVU_Mes_Corriente!V195*SALUD_Mes_Constante!$P$1</f>
        <v>110717.52436425624</v>
      </c>
      <c r="W195" s="8">
        <f>+MINVU_Mes_Corriente!W195*SALUD_Mes_Constante!$P$1</f>
        <v>525582.66486716841</v>
      </c>
      <c r="X195" s="8">
        <f>+MINVU_Mes_Corriente!X195*SALUD_Mes_Constante!$P$1</f>
        <v>529980.07330586715</v>
      </c>
      <c r="Y195" s="8">
        <f>+MINVU_Mes_Corriente!Y195*SALUD_Mes_Constante!$P$1</f>
        <v>529980.07330586715</v>
      </c>
      <c r="Z195" s="8">
        <f>+MINVU_Mes_Corriente!Z195*SALUD_Mes_Constante!$P$1</f>
        <v>586329.92101150705</v>
      </c>
      <c r="AA195" s="8">
        <f>+MINVU_Mes_Corriente!AA195*SALUD_Mes_Constante!$P$1</f>
        <v>622125.41554198018</v>
      </c>
      <c r="AB195" s="9">
        <f t="shared" si="96"/>
        <v>622125.41554198018</v>
      </c>
      <c r="AC195" s="8">
        <f>+MINVU_Mes_Corriente!AC195*SALUD_Mes_Constante!$AC$1</f>
        <v>21277.663300594828</v>
      </c>
      <c r="AD195" s="8">
        <f>+MINVU_Mes_Corriente!AD195*SALUD_Mes_Constante!$AC$1</f>
        <v>46797.861114953659</v>
      </c>
      <c r="AE195" s="8">
        <f>+MINVU_Mes_Corriente!AE195*SALUD_Mes_Constante!$AC$1</f>
        <v>66867.905934430761</v>
      </c>
      <c r="AF195" s="8">
        <f>+MINVU_Mes_Corriente!AF195*SALUD_Mes_Constante!$AC$1</f>
        <v>77530.920182597867</v>
      </c>
      <c r="AG195" s="8">
        <f>+MINVU_Mes_Corriente!AG195*SALUD_Mes_Constante!$AC$1</f>
        <v>138375.84783510858</v>
      </c>
      <c r="AH195" s="8">
        <f>+MINVU_Mes_Corriente!AH195*SALUD_Mes_Constante!$AC$1</f>
        <v>232062.25480702726</v>
      </c>
      <c r="AI195" s="8">
        <f>+MINVU_Mes_Corriente!AI195*SALUD_Mes_Constante!$AC$1</f>
        <v>264915.82542537001</v>
      </c>
      <c r="AJ195" s="8">
        <f>+MINVU_Mes_Corriente!AJ195*SALUD_Mes_Constante!$AC$1</f>
        <v>616109.11440033198</v>
      </c>
      <c r="AK195" s="8">
        <f>+MINVU_Mes_Corriente!AK195*SALUD_Mes_Constante!$AC$1</f>
        <v>629392.91769262694</v>
      </c>
      <c r="AL195" s="8">
        <f>+MINVU_Mes_Corriente!AL195*SALUD_Mes_Constante!$AC$1</f>
        <v>629761.70231013966</v>
      </c>
      <c r="AM195" s="8">
        <f>+MINVU_Mes_Corriente!AM195*SALUD_Mes_Constante!$AC$1</f>
        <v>632781.50421911746</v>
      </c>
      <c r="AN195" s="8">
        <f>+MINVU_Mes_Corriente!AN195*SALUD_Mes_Constante!$AC$1</f>
        <v>881111.09033061285</v>
      </c>
      <c r="AO195" s="9">
        <f t="shared" si="97"/>
        <v>881111.09033061285</v>
      </c>
      <c r="AP195" s="8">
        <f>+MINVU_Mes_Corriente!AP195*SALUD_Mes_Constante!$AP$1</f>
        <v>5135.6485865007435</v>
      </c>
      <c r="AQ195" s="8">
        <f>+MINVU_Mes_Corriente!AQ195*SALUD_Mes_Constante!$AP$1</f>
        <v>29729.124306776677</v>
      </c>
      <c r="AR195" s="8">
        <f>+MINVU_Mes_Corriente!AR195*SALUD_Mes_Constante!$AP$1</f>
        <v>53356.063573650747</v>
      </c>
      <c r="AS195" s="8">
        <f>+MINVU_Mes_Corriente!AS195*SALUD_Mes_Constante!$AP$1</f>
        <v>60637.600432841871</v>
      </c>
      <c r="AT195" s="8">
        <f>+MINVU_Mes_Corriente!AT195*SALUD_Mes_Constante!$AP$1</f>
        <v>85630.104964155282</v>
      </c>
      <c r="AU195" s="8">
        <f>+MINVU_Mes_Corriente!AU195*SALUD_Mes_Constante!$AP$1</f>
        <v>100664.62383335587</v>
      </c>
      <c r="AV195" s="8">
        <f>+MINVU_Mes_Corriente!AV195*SALUD_Mes_Constante!$AP$1</f>
        <v>101078.43148924658</v>
      </c>
      <c r="AW195" s="8">
        <f>+MINVU_Mes_Corriente!AW195*SALUD_Mes_Constante!$AP$1</f>
        <v>108958.51156499391</v>
      </c>
      <c r="AX195" s="8">
        <f>+MINVU_Mes_Corriente!AX195*SALUD_Mes_Constante!$AP$1</f>
        <v>113990.70823752198</v>
      </c>
      <c r="AY195" s="8">
        <f>+MINVU_Mes_Corriente!AY195*SALUD_Mes_Constante!$AP$1</f>
        <v>137293.99080211009</v>
      </c>
      <c r="AZ195" s="8">
        <f>+MINVU_Mes_Corriente!AZ195*SALUD_Mes_Constante!$AP$1</f>
        <v>304522.53185445687</v>
      </c>
      <c r="BA195" s="8">
        <f>+MINVU_Mes_Corriente!BA195*SALUD_Mes_Constante!$AP$1</f>
        <v>440294.30163668335</v>
      </c>
      <c r="BB195" s="9">
        <f t="shared" si="98"/>
        <v>440294.30163668335</v>
      </c>
      <c r="BC195" s="8">
        <f>+MINVU_Mes_Corriente!BC195*SALUD_Mes_Constante!$BC$1</f>
        <v>76028.130818937119</v>
      </c>
      <c r="BD195" s="8">
        <f>+MINVU_Mes_Corriente!BD195*SALUD_Mes_Constante!$BC$1</f>
        <v>101234.44019517343</v>
      </c>
      <c r="BE195" s="8">
        <f>+MINVU_Mes_Corriente!BE195*SALUD_Mes_Constante!$BC$1</f>
        <v>155443.71066860086</v>
      </c>
      <c r="BF195" s="8">
        <f>+MINVU_Mes_Corriente!BF195*SALUD_Mes_Constante!$BC$1</f>
        <v>226578.69945931694</v>
      </c>
      <c r="BG195" s="8">
        <f>+MINVU_Mes_Corriente!BG195*SALUD_Mes_Constante!$BC$1</f>
        <v>253767.62468679948</v>
      </c>
      <c r="BH195" s="8">
        <f>+MINVU_Mes_Corriente!BH195*SALUD_Mes_Constante!$BC$1</f>
        <v>259160.74324146123</v>
      </c>
      <c r="BI195" s="8">
        <f>+MINVU_Mes_Corriente!BI195*SALUD_Mes_Constante!$BC$1</f>
        <v>276399.12699459324</v>
      </c>
      <c r="BJ195" s="8">
        <f>+MINVU_Mes_Corriente!BJ195*SALUD_Mes_Constante!$BC$1</f>
        <v>302663.02360543329</v>
      </c>
      <c r="BK195" s="8">
        <f>+MINVU_Mes_Corriente!BK195*SALUD_Mes_Constante!$BC$1</f>
        <v>309816.86641171051</v>
      </c>
      <c r="BL195" s="8">
        <f>+MINVU_Mes_Corriente!BL195*SALUD_Mes_Constante!$BC$1</f>
        <v>347492.33100356068</v>
      </c>
      <c r="BM195" s="8">
        <f>+MINVU_Mes_Corriente!BM195*SALUD_Mes_Constante!$BC$1</f>
        <v>522348.67493076634</v>
      </c>
      <c r="BN195" s="8">
        <f>+MINVU_Mes_Corriente!BN195*SALUD_Mes_Constante!$BC$1</f>
        <v>677870.19174469227</v>
      </c>
      <c r="BO195" s="9">
        <f t="shared" si="99"/>
        <v>677870.19174469227</v>
      </c>
      <c r="BP195" s="8">
        <f>+MINVU_Mes_Corriente!BP195*SALUD_Mes_Constante!$BP$1</f>
        <v>0</v>
      </c>
      <c r="BQ195" s="8">
        <f>+MINVU_Mes_Corriente!BQ195*SALUD_Mes_Constante!$BP$1</f>
        <v>0</v>
      </c>
      <c r="BR195" s="8">
        <f>+MINVU_Mes_Corriente!BR195*SALUD_Mes_Constante!$BP$1</f>
        <v>0</v>
      </c>
      <c r="BS195" s="8">
        <f>+MINVU_Mes_Corriente!BS195*SALUD_Mes_Constante!$BP$1</f>
        <v>0</v>
      </c>
      <c r="BT195" s="8">
        <f>+MINVU_Mes_Corriente!BT195*SALUD_Mes_Constante!$BP$1</f>
        <v>0</v>
      </c>
      <c r="BU195" s="8">
        <f>+MINVU_Mes_Corriente!BU195*SALUD_Mes_Constante!$BP$1</f>
        <v>0</v>
      </c>
      <c r="BV195" s="8">
        <f>+MINVU_Mes_Corriente!BV195*SALUD_Mes_Constante!$BP$1</f>
        <v>0</v>
      </c>
      <c r="BW195" s="8">
        <f>+MINVU_Mes_Corriente!BW195*SALUD_Mes_Constante!$BP$1</f>
        <v>197332.5134443022</v>
      </c>
      <c r="BX195" s="8">
        <f>+MINVU_Mes_Corriente!BX195*SALUD_Mes_Constante!$BP$1</f>
        <v>197332.5134443022</v>
      </c>
      <c r="BY195" s="8">
        <f>+MINVU_Mes_Corriente!BY195*SALUD_Mes_Constante!$BP$1</f>
        <v>214844.89090909093</v>
      </c>
      <c r="BZ195" s="8">
        <f>+MINVU_Mes_Corriente!BZ195*SALUD_Mes_Constante!$BP$1</f>
        <v>240815.47528809222</v>
      </c>
      <c r="CA195" s="8">
        <f>+MINVU_Mes_Corriente!CA195*SALUD_Mes_Constante!$BP$1</f>
        <v>1943311.510371319</v>
      </c>
      <c r="CB195" s="9">
        <f t="shared" si="100"/>
        <v>1943311.510371319</v>
      </c>
      <c r="CC195" s="8">
        <f>+MINVU_Mes_Corriente!CC195*SALUD_Mes_Constante!$CC$1</f>
        <v>0</v>
      </c>
      <c r="CD195" s="8">
        <f>+MINVU_Mes_Corriente!CD195*SALUD_Mes_Constante!$CC$1</f>
        <v>1081.324878776576</v>
      </c>
      <c r="CE195" s="8">
        <f>+MINVU_Mes_Corriente!CE195*SALUD_Mes_Constante!$CC$1</f>
        <v>1081.324878776576</v>
      </c>
      <c r="CF195" s="8">
        <f>+MINVU_Mes_Corriente!CF195*SALUD_Mes_Constante!$CC$1</f>
        <v>1081.324878776576</v>
      </c>
      <c r="CG195" s="8">
        <f>+MINVU_Mes_Corriente!CG195*SALUD_Mes_Constante!$CC$1</f>
        <v>1081.324878776576</v>
      </c>
      <c r="CH195" s="8">
        <f>+MINVU_Mes_Corriente!CH195*SALUD_Mes_Constante!$CC$1</f>
        <v>1081.324878776576</v>
      </c>
      <c r="CI195" s="8">
        <f>+MINVU_Mes_Corriente!CI195*SALUD_Mes_Constante!$CC$1</f>
        <v>97376.293920179043</v>
      </c>
      <c r="CJ195" s="8">
        <f>+MINVU_Mes_Corriente!CJ195*SALUD_Mes_Constante!$CC$1</f>
        <v>97376.293920179043</v>
      </c>
      <c r="CK195" s="8">
        <f>+MINVU_Mes_Corriente!CK195*SALUD_Mes_Constante!$CC$1</f>
        <v>99639.468854904902</v>
      </c>
      <c r="CL195" s="8">
        <f>+MINVU_Mes_Corriente!CL195*SALUD_Mes_Constante!$CC$1</f>
        <v>99639.468854904902</v>
      </c>
      <c r="CM195" s="8">
        <f>+MINVU_Mes_Corriente!CM195*SALUD_Mes_Constante!$CC$1</f>
        <v>101773.59119731444</v>
      </c>
      <c r="CN195" s="8">
        <f>+MINVU_Mes_Corriente!CN195*SALUD_Mes_Constante!$CC$1</f>
        <v>642990.27750839246</v>
      </c>
      <c r="CO195" s="9">
        <f t="shared" si="101"/>
        <v>642990.27750839246</v>
      </c>
      <c r="CP195" s="8">
        <f>+MINVU_Mes_Corriente!CP195*SALUD_Mes_Constante!$CP$1</f>
        <v>301.66914153132245</v>
      </c>
      <c r="CQ195" s="8">
        <f>+MINVU_Mes_Corriente!CQ195*SALUD_Mes_Constante!$CP$1</f>
        <v>6845.8614849187925</v>
      </c>
      <c r="CR195" s="8">
        <f>+MINVU_Mes_Corriente!CR195*SALUD_Mes_Constante!$CP$1</f>
        <v>20751.794895591644</v>
      </c>
      <c r="CS195" s="8">
        <f>+MINVU_Mes_Corriente!CS195*SALUD_Mes_Constante!$CP$1</f>
        <v>35686.952436194886</v>
      </c>
      <c r="CT195" s="8">
        <f>+MINVU_Mes_Corriente!CT195*SALUD_Mes_Constante!$CP$1</f>
        <v>39692.307424593957</v>
      </c>
      <c r="CU195" s="8">
        <f>+MINVU_Mes_Corriente!CU195*SALUD_Mes_Constante!$CP$1</f>
        <v>44671.115777262174</v>
      </c>
      <c r="CV195" s="8">
        <f>+MINVU_Mes_Corriente!CV195*SALUD_Mes_Constante!$CP$1</f>
        <v>49714.567517401381</v>
      </c>
      <c r="CW195" s="8">
        <f>+MINVU_Mes_Corriente!CW195*SALUD_Mes_Constante!$CP$1</f>
        <v>57592.188167053355</v>
      </c>
      <c r="CX195" s="8">
        <f>+MINVU_Mes_Corriente!CX195*SALUD_Mes_Constante!$CP$1</f>
        <v>64833.515081206482</v>
      </c>
      <c r="CY195" s="8">
        <f>+MINVU_Mes_Corriente!CY195*SALUD_Mes_Constante!$CP$1</f>
        <v>125848.00023201853</v>
      </c>
      <c r="CZ195" s="8">
        <f>+MINVU_Mes_Corriente!CZ195*SALUD_Mes_Constante!$CP$1</f>
        <v>671255.66798143834</v>
      </c>
      <c r="DA195" s="8">
        <f>+MINVU_Mes_Corriente!DA195*SALUD_Mes_Constante!$CP$1</f>
        <v>1406835.3090487237</v>
      </c>
      <c r="DB195" s="9">
        <f t="shared" si="102"/>
        <v>1406835.3090487237</v>
      </c>
      <c r="DC195" s="8">
        <f>+MINVU_Mes_Corriente!DC195*SALUD_Mes_Constante!$DC$1</f>
        <v>5206.1754963481144</v>
      </c>
      <c r="DD195" s="8">
        <f>+MINVU_Mes_Corriente!DD195*SALUD_Mes_Constante!$DC$1</f>
        <v>10664.117683365914</v>
      </c>
      <c r="DE195" s="8">
        <f>+MINVU_Mes_Corriente!DE195*SALUD_Mes_Constante!$DC$1</f>
        <v>23416.55014916162</v>
      </c>
      <c r="DF195" s="8">
        <f>+MINVU_Mes_Corriente!DF195*SALUD_Mes_Constante!$DC$1</f>
        <v>27860.681822857743</v>
      </c>
      <c r="DG195" s="8">
        <f>+MINVU_Mes_Corriente!DG195*SALUD_Mes_Constante!$DC$1</f>
        <v>39024.961012241554</v>
      </c>
      <c r="DH195" s="8">
        <f>+MINVU_Mes_Corriente!DH195*SALUD_Mes_Constante!$DC$1</f>
        <v>87796.889620409464</v>
      </c>
      <c r="DI195" s="8">
        <f>+MINVU_Mes_Corriente!DI195*SALUD_Mes_Constante!$DC$1</f>
        <v>84256.420532867036</v>
      </c>
      <c r="DJ195" s="8">
        <f>+MINVU_Mes_Corriente!DJ195*SALUD_Mes_Constante!$DC$1</f>
        <v>108827.27600041153</v>
      </c>
      <c r="DK195" s="8">
        <f>+MINVU_Mes_Corriente!DK195*SALUD_Mes_Constante!$DC$1</f>
        <v>158312.91821829038</v>
      </c>
      <c r="DL195" s="8">
        <f>+MINVU_Mes_Corriente!DL195*SALUD_Mes_Constante!$DC$1</f>
        <v>169087.18382882429</v>
      </c>
      <c r="DM195" s="8">
        <f>+MINVU_Mes_Corriente!DM195*SALUD_Mes_Constante!$DC$1</f>
        <v>171109.18506326518</v>
      </c>
      <c r="DN195" s="8">
        <f>+MINVU_Mes_Corriente!DN195*SALUD_Mes_Constante!$DC$1</f>
        <v>963508.87727600092</v>
      </c>
      <c r="DO195" s="9">
        <f t="shared" si="103"/>
        <v>963508.87727600092</v>
      </c>
      <c r="DP195" s="8">
        <f>+MINVU_Mes_Corriente!DP195*SALUD_Mes_Constante!$DP$1</f>
        <v>8567.5671021377675</v>
      </c>
      <c r="DQ195" s="8">
        <f>+MINVU_Mes_Corriente!DQ195*SALUD_Mes_Constante!$DP$1</f>
        <v>75387.669833729218</v>
      </c>
      <c r="DR195" s="8">
        <f>+MINVU_Mes_Corriente!DR195*SALUD_Mes_Constante!$DP$1</f>
        <v>117888.12292161521</v>
      </c>
      <c r="DS195" s="8">
        <f>+MINVU_Mes_Corriente!DS195*SALUD_Mes_Constante!$DP$1</f>
        <v>124594.6799287411</v>
      </c>
      <c r="DT195" s="8">
        <f>+MINVU_Mes_Corriente!DT195*SALUD_Mes_Constante!$DP$1</f>
        <v>162222.55225653207</v>
      </c>
      <c r="DU195" s="8">
        <f>+MINVU_Mes_Corriente!DU195*SALUD_Mes_Constante!$DP$1</f>
        <v>312306.90676959621</v>
      </c>
      <c r="DV195" s="8">
        <f>+MINVU_Mes_Corriente!DV195*SALUD_Mes_Constante!$DP$1</f>
        <v>614196.04988123523</v>
      </c>
      <c r="DW195" s="8">
        <f>+MINVU_Mes_Corriente!DW195*SALUD_Mes_Constante!$DP$1</f>
        <v>680926.40023752977</v>
      </c>
      <c r="DX195" s="8">
        <f>+MINVU_Mes_Corriente!DX195*SALUD_Mes_Constante!$DP$1</f>
        <v>680926.40023752977</v>
      </c>
      <c r="DY195" s="8">
        <f>+MINVU_Mes_Corriente!DY195*SALUD_Mes_Constante!$DP$1</f>
        <v>681910.43230403808</v>
      </c>
      <c r="DZ195" s="8">
        <f>+MINVU_Mes_Corriente!DZ195*SALUD_Mes_Constante!$DP$1</f>
        <v>772952.86282660335</v>
      </c>
      <c r="EA195" s="8">
        <f>+MINVU_Mes_Corriente!EA195*SALUD_Mes_Constante!$DP$1</f>
        <v>4391527.4928741101</v>
      </c>
      <c r="EB195" s="9">
        <f t="shared" si="104"/>
        <v>4391527.4928741101</v>
      </c>
      <c r="EC195" s="8">
        <f>+MINVU_Mes_Corriente!EC195*SALUD_Mes_Constante!$EC$1</f>
        <v>299.99431925771626</v>
      </c>
      <c r="ED195" s="8">
        <f>+MINVU_Mes_Corriente!ED195*SALUD_Mes_Constante!$EC$1</f>
        <v>28955.658587388742</v>
      </c>
      <c r="EE195" s="8">
        <f>+MINVU_Mes_Corriente!EE195*SALUD_Mes_Constante!$EC$1</f>
        <v>39786.487975762153</v>
      </c>
      <c r="EF195" s="8">
        <f>+MINVU_Mes_Corriente!EF195*SALUD_Mes_Constante!$EC$1</f>
        <v>40752.676576405967</v>
      </c>
      <c r="EG195" s="8">
        <f>+MINVU_Mes_Corriente!EG195*SALUD_Mes_Constante!$EC$1</f>
        <v>50796.279492520342</v>
      </c>
      <c r="EH195" s="8">
        <f>+MINVU_Mes_Corriente!EH195*SALUD_Mes_Constante!$EC$1</f>
        <v>51771.778261692845</v>
      </c>
      <c r="EI195" s="8">
        <f>+MINVU_Mes_Corriente!EI195*SALUD_Mes_Constante!$EC$1</f>
        <v>52336.595152433234</v>
      </c>
      <c r="EJ195" s="8">
        <f>+MINVU_Mes_Corriente!EJ195*SALUD_Mes_Constante!$EC$1</f>
        <v>52336.595152433234</v>
      </c>
      <c r="EK195" s="8">
        <f>+MINVU_Mes_Corriente!EK195*SALUD_Mes_Constante!$EC$1</f>
        <v>82966.015148646067</v>
      </c>
      <c r="EL195" s="8">
        <f>+MINVU_Mes_Corriente!EL195*SALUD_Mes_Constante!$EC$1</f>
        <v>129499.27191819726</v>
      </c>
      <c r="EM195" s="8">
        <f>+MINVU_Mes_Corriente!EM195*SALUD_Mes_Constante!$EC$1</f>
        <v>139612.18386669186</v>
      </c>
      <c r="EN195" s="8">
        <f>+MINVU_Mes_Corriente!EN195*SALUD_Mes_Constante!$EC$1</f>
        <v>538917.03635675041</v>
      </c>
      <c r="EO195" s="9">
        <f t="shared" si="105"/>
        <v>538917.03635675041</v>
      </c>
      <c r="EP195" s="8">
        <f>+MINVU_Mes_Corriente!EP195*SALUD_Mes_Constante!$EP$1</f>
        <v>27322</v>
      </c>
      <c r="EQ195" s="8">
        <f>+MINVU_Mes_Corriente!EQ195*SALUD_Mes_Constante!$EP$1</f>
        <v>58931</v>
      </c>
      <c r="ER195" s="8">
        <f>+MINVU_Mes_Corriente!ER195*SALUD_Mes_Constante!$EP$1</f>
        <v>85879</v>
      </c>
      <c r="ES195" s="8">
        <f>+MINVU_Mes_Corriente!ES195*SALUD_Mes_Constante!$EP$1</f>
        <v>110594</v>
      </c>
      <c r="ET195" s="8">
        <f>+MINVU_Mes_Corriente!ET195*SALUD_Mes_Constante!$EP$1</f>
        <v>121409</v>
      </c>
      <c r="EU195" s="8">
        <f>+MINVU_Mes_Corriente!EU195*SALUD_Mes_Constante!$EP$1</f>
        <v>136950</v>
      </c>
      <c r="EV195" s="8">
        <f>+MINVU_Mes_Corriente!EV195*SALUD_Mes_Constante!$EP$1</f>
        <v>137913</v>
      </c>
      <c r="EW195" s="8">
        <f>+MINVU_Mes_Corriente!EW195*SALUD_Mes_Constante!$EP$1</f>
        <v>138151</v>
      </c>
      <c r="EX195" s="8">
        <f>+MINVU_Mes_Corriente!EX195*SALUD_Mes_Constante!$EP$1</f>
        <v>467717</v>
      </c>
      <c r="EY195" s="8">
        <f>+MINVU_Mes_Corriente!EY195*SALUD_Mes_Constante!$EP$1</f>
        <v>487561</v>
      </c>
      <c r="EZ195" s="8">
        <f>+MINVU_Mes_Corriente!EZ195*SALUD_Mes_Constante!$EP$1</f>
        <v>571824</v>
      </c>
      <c r="FA195" s="8">
        <f>+MINVU_Mes_Corriente!FA195*SALUD_Mes_Constante!$EP$1</f>
        <v>682772</v>
      </c>
      <c r="FB195" s="9">
        <f t="shared" si="106"/>
        <v>682772</v>
      </c>
      <c r="FC195" s="8">
        <f>+MINVU_Mes_Corriente!FC195*SALUD_Mes_Constante!$FC$1</f>
        <v>1898</v>
      </c>
      <c r="FD195" s="8">
        <f>+MINVU_Mes_Corriente!FD195*SALUD_Mes_Constante!$FC$1</f>
        <v>9070</v>
      </c>
      <c r="FE195" s="8">
        <f>+MINVU_Mes_Corriente!FE195*SALUD_Mes_Constante!$FC$1</f>
        <v>12542</v>
      </c>
      <c r="FF195" s="8">
        <f>+MINVU_Mes_Corriente!FF195*SALUD_Mes_Constante!$FC$1</f>
        <v>14851</v>
      </c>
      <c r="FG195" s="8">
        <f>+MINVU_Mes_Corriente!FG195*SALUD_Mes_Constante!$FC$1</f>
        <v>32899</v>
      </c>
      <c r="FH195" s="8">
        <f>+MINVU_Mes_Corriente!FH195*SALUD_Mes_Constante!$FC$1</f>
        <v>53108</v>
      </c>
      <c r="FI195" s="8">
        <f>+MINVU_Mes_Corriente!FI195*SALUD_Mes_Constante!$FC$1</f>
        <v>53108</v>
      </c>
      <c r="FJ195" s="8"/>
      <c r="FK195" s="8"/>
      <c r="FL195" s="8"/>
      <c r="FM195" s="8"/>
      <c r="FN195" s="8"/>
      <c r="FO195" s="9">
        <f t="shared" si="107"/>
        <v>53108</v>
      </c>
    </row>
    <row r="196" spans="2:171" ht="14.25" customHeight="1" x14ac:dyDescent="0.3">
      <c r="B196" s="7" t="s">
        <v>48</v>
      </c>
      <c r="C196" s="8">
        <f>+MINVU_Mes_Corriente!C196*SALUD_Mes_Constante!$C$1</f>
        <v>73913.749962924529</v>
      </c>
      <c r="D196" s="8">
        <f>+MINVU_Mes_Corriente!D196*SALUD_Mes_Constante!$C$1</f>
        <v>79537.974492065856</v>
      </c>
      <c r="E196" s="8">
        <f>+MINVU_Mes_Corriente!E196*SALUD_Mes_Constante!$C$1</f>
        <v>105892.91887883733</v>
      </c>
      <c r="F196" s="8">
        <f>+MINVU_Mes_Corriente!F196*SALUD_Mes_Constante!$C$1</f>
        <v>156604.91976864901</v>
      </c>
      <c r="G196" s="8">
        <f>+MINVU_Mes_Corriente!G196*SALUD_Mes_Constante!$C$1</f>
        <v>203390.81981313959</v>
      </c>
      <c r="H196" s="8">
        <f>+MINVU_Mes_Corriente!H196*SALUD_Mes_Constante!$C$1</f>
        <v>218976.93786148602</v>
      </c>
      <c r="I196" s="8">
        <f>+MINVU_Mes_Corriente!I196*SALUD_Mes_Constante!$C$1</f>
        <v>237727.59365267688</v>
      </c>
      <c r="J196" s="8">
        <f>+MINVU_Mes_Corriente!J196*SALUD_Mes_Constante!$C$1</f>
        <v>299619.98902565631</v>
      </c>
      <c r="K196" s="8">
        <f>+MINVU_Mes_Corriente!K196*SALUD_Mes_Constante!$C$1</f>
        <v>306140.26546047756</v>
      </c>
      <c r="L196" s="8">
        <f>+MINVU_Mes_Corriente!L196*SALUD_Mes_Constante!$C$1</f>
        <v>325791.83419842803</v>
      </c>
      <c r="M196" s="8">
        <f>+MINVU_Mes_Corriente!M196*SALUD_Mes_Constante!$C$1</f>
        <v>350301.20332196355</v>
      </c>
      <c r="N196" s="8">
        <f>+MINVU_Mes_Corriente!N196*SALUD_Mes_Constante!$C$1</f>
        <v>1379670.4013050573</v>
      </c>
      <c r="O196" s="9">
        <f t="shared" si="95"/>
        <v>1379670.4013050573</v>
      </c>
      <c r="P196" s="8">
        <f>+MINVU_Mes_Corriente!P196*SALUD_Mes_Constante!$P$1</f>
        <v>863.02827106122993</v>
      </c>
      <c r="Q196" s="8">
        <f>+MINVU_Mes_Corriente!Q196*SALUD_Mes_Constante!$P$1</f>
        <v>58918.753800255698</v>
      </c>
      <c r="R196" s="8">
        <f>+MINVU_Mes_Corriente!R196*SALUD_Mes_Constante!$P$1</f>
        <v>88651.319505611566</v>
      </c>
      <c r="S196" s="8">
        <f>+MINVU_Mes_Corriente!S196*SALUD_Mes_Constante!$P$1</f>
        <v>131793.41980394936</v>
      </c>
      <c r="T196" s="8">
        <f>+MINVU_Mes_Corriente!T196*SALUD_Mes_Constante!$P$1</f>
        <v>148163.01718994169</v>
      </c>
      <c r="U196" s="8">
        <f>+MINVU_Mes_Corriente!U196*SALUD_Mes_Constante!$P$1</f>
        <v>202307.17573518958</v>
      </c>
      <c r="V196" s="8">
        <f>+MINVU_Mes_Corriente!V196*SALUD_Mes_Constante!$P$1</f>
        <v>290472.65378604905</v>
      </c>
      <c r="W196" s="8">
        <f>+MINVU_Mes_Corriente!W196*SALUD_Mes_Constante!$P$1</f>
        <v>336799.8871998862</v>
      </c>
      <c r="X196" s="8">
        <f>+MINVU_Mes_Corriente!X196*SALUD_Mes_Constante!$P$1</f>
        <v>430980.17559312389</v>
      </c>
      <c r="Y196" s="8">
        <f>+MINVU_Mes_Corriente!Y196*SALUD_Mes_Constante!$P$1</f>
        <v>575231.62579911901</v>
      </c>
      <c r="Z196" s="8">
        <f>+MINVU_Mes_Corriente!Z196*SALUD_Mes_Constante!$P$1</f>
        <v>737252.76601789996</v>
      </c>
      <c r="AA196" s="8">
        <f>+MINVU_Mes_Corriente!AA196*SALUD_Mes_Constante!$P$1</f>
        <v>4018236.3469242775</v>
      </c>
      <c r="AB196" s="9">
        <f t="shared" si="96"/>
        <v>4018236.3469242775</v>
      </c>
      <c r="AC196" s="8">
        <f>+MINVU_Mes_Corriente!AC196*SALUD_Mes_Constante!$AC$1</f>
        <v>6972.1452483054363</v>
      </c>
      <c r="AD196" s="8">
        <f>+MINVU_Mes_Corriente!AD196*SALUD_Mes_Constante!$AC$1</f>
        <v>68247.825425370043</v>
      </c>
      <c r="AE196" s="8">
        <f>+MINVU_Mes_Corriente!AE196*SALUD_Mes_Constante!$AC$1</f>
        <v>102671.75349287591</v>
      </c>
      <c r="AF196" s="8">
        <f>+MINVU_Mes_Corriente!AF196*SALUD_Mes_Constante!$AC$1</f>
        <v>143912.15133490108</v>
      </c>
      <c r="AG196" s="8">
        <f>+MINVU_Mes_Corriente!AG196*SALUD_Mes_Constante!$AC$1</f>
        <v>163915.69401023653</v>
      </c>
      <c r="AH196" s="8">
        <f>+MINVU_Mes_Corriente!AH196*SALUD_Mes_Constante!$AC$1</f>
        <v>227580.91713930003</v>
      </c>
      <c r="AI196" s="8">
        <f>+MINVU_Mes_Corriente!AI196*SALUD_Mes_Constante!$AC$1</f>
        <v>237007.59607137917</v>
      </c>
      <c r="AJ196" s="8">
        <f>+MINVU_Mes_Corriente!AJ196*SALUD_Mes_Constante!$AC$1</f>
        <v>240713.5791949094</v>
      </c>
      <c r="AK196" s="8">
        <f>+MINVU_Mes_Corriente!AK196*SALUD_Mes_Constante!$AC$1</f>
        <v>288690.3419560105</v>
      </c>
      <c r="AL196" s="8">
        <f>+MINVU_Mes_Corriente!AL196*SALUD_Mes_Constante!$AC$1</f>
        <v>317148.72541153687</v>
      </c>
      <c r="AM196" s="8">
        <f>+MINVU_Mes_Corriente!AM196*SALUD_Mes_Constante!$AC$1</f>
        <v>559919.33683773689</v>
      </c>
      <c r="AN196" s="8">
        <f>+MINVU_Mes_Corriente!AN196*SALUD_Mes_Constante!$AC$1</f>
        <v>1074715.4574629962</v>
      </c>
      <c r="AO196" s="9">
        <f t="shared" si="97"/>
        <v>1074715.4574629962</v>
      </c>
      <c r="AP196" s="8">
        <f>+MINVU_Mes_Corriente!AP196*SALUD_Mes_Constante!$AP$1</f>
        <v>449.27688353848231</v>
      </c>
      <c r="AQ196" s="8">
        <f>+MINVU_Mes_Corriente!AQ196*SALUD_Mes_Constante!$AP$1</f>
        <v>7903.7262275125113</v>
      </c>
      <c r="AR196" s="8">
        <f>+MINVU_Mes_Corriente!AR196*SALUD_Mes_Constante!$AP$1</f>
        <v>39930.960908967943</v>
      </c>
      <c r="AS196" s="8">
        <f>+MINVU_Mes_Corriente!AS196*SALUD_Mes_Constante!$AP$1</f>
        <v>53787.605843365345</v>
      </c>
      <c r="AT196" s="8">
        <f>+MINVU_Mes_Corriente!AT196*SALUD_Mes_Constante!$AP$1</f>
        <v>75383.931827404303</v>
      </c>
      <c r="AU196" s="8">
        <f>+MINVU_Mes_Corriente!AU196*SALUD_Mes_Constante!$AP$1</f>
        <v>88225.270120384143</v>
      </c>
      <c r="AV196" s="8">
        <f>+MINVU_Mes_Corriente!AV196*SALUD_Mes_Constante!$AP$1</f>
        <v>95481.682943324762</v>
      </c>
      <c r="AW196" s="8">
        <f>+MINVU_Mes_Corriente!AW196*SALUD_Mes_Constante!$AP$1</f>
        <v>225972.9714594887</v>
      </c>
      <c r="AX196" s="8">
        <f>+MINVU_Mes_Corriente!AX196*SALUD_Mes_Constante!$AP$1</f>
        <v>239504.48180711482</v>
      </c>
      <c r="AY196" s="8">
        <f>+MINVU_Mes_Corriente!AY196*SALUD_Mes_Constante!$AP$1</f>
        <v>248699.87907480047</v>
      </c>
      <c r="AZ196" s="8">
        <f>+MINVU_Mes_Corriente!AZ196*SALUD_Mes_Constante!$AP$1</f>
        <v>346331.8839442716</v>
      </c>
      <c r="BA196" s="8">
        <f>+MINVU_Mes_Corriente!BA196*SALUD_Mes_Constante!$AP$1</f>
        <v>791155.90152847278</v>
      </c>
      <c r="BB196" s="9">
        <f t="shared" si="98"/>
        <v>791155.90152847278</v>
      </c>
      <c r="BC196" s="8">
        <f>+MINVU_Mes_Corriente!BC196*SALUD_Mes_Constante!$BC$1</f>
        <v>155.6122906501385</v>
      </c>
      <c r="BD196" s="8">
        <f>+MINVU_Mes_Corriente!BD196*SALUD_Mes_Constante!$BC$1</f>
        <v>5462.2795727284729</v>
      </c>
      <c r="BE196" s="8">
        <f>+MINVU_Mes_Corriente!BE196*SALUD_Mes_Constante!$BC$1</f>
        <v>29616.765132533306</v>
      </c>
      <c r="BF196" s="8">
        <f>+MINVU_Mes_Corriente!BF196*SALUD_Mes_Constante!$BC$1</f>
        <v>53892.282473954911</v>
      </c>
      <c r="BG196" s="8">
        <f>+MINVU_Mes_Corriente!BG196*SALUD_Mes_Constante!$BC$1</f>
        <v>63867.318475537402</v>
      </c>
      <c r="BH196" s="8">
        <f>+MINVU_Mes_Corriente!BH196*SALUD_Mes_Constante!$BC$1</f>
        <v>197016.68679941981</v>
      </c>
      <c r="BI196" s="8">
        <f>+MINVU_Mes_Corriente!BI196*SALUD_Mes_Constante!$BC$1</f>
        <v>224060.0857180536</v>
      </c>
      <c r="BJ196" s="8">
        <f>+MINVU_Mes_Corriente!BJ196*SALUD_Mes_Constante!$BC$1</f>
        <v>267980.21389951213</v>
      </c>
      <c r="BK196" s="8">
        <f>+MINVU_Mes_Corriente!BK196*SALUD_Mes_Constante!$BC$1</f>
        <v>299337.5313200581</v>
      </c>
      <c r="BL196" s="8">
        <f>+MINVU_Mes_Corriente!BL196*SALUD_Mes_Constante!$BC$1</f>
        <v>392861.95885533438</v>
      </c>
      <c r="BM196" s="8">
        <f>+MINVU_Mes_Corriente!BM196*SALUD_Mes_Constante!$BC$1</f>
        <v>443195.33060793893</v>
      </c>
      <c r="BN196" s="8">
        <f>+MINVU_Mes_Corriente!BN196*SALUD_Mes_Constante!$BC$1</f>
        <v>589182.71291045775</v>
      </c>
      <c r="BO196" s="9">
        <f t="shared" si="99"/>
        <v>589182.71291045775</v>
      </c>
      <c r="BP196" s="8">
        <f>+MINVU_Mes_Corriente!BP196*SALUD_Mes_Constante!$BP$1</f>
        <v>968.09116517285543</v>
      </c>
      <c r="BQ196" s="8">
        <f>+MINVU_Mes_Corriente!BQ196*SALUD_Mes_Constante!$BP$1</f>
        <v>9756.4563380281706</v>
      </c>
      <c r="BR196" s="8">
        <f>+MINVU_Mes_Corriente!BR196*SALUD_Mes_Constante!$BP$1</f>
        <v>11517.766709346992</v>
      </c>
      <c r="BS196" s="8">
        <f>+MINVU_Mes_Corriente!BS196*SALUD_Mes_Constante!$BP$1</f>
        <v>22345.838412291934</v>
      </c>
      <c r="BT196" s="8">
        <f>+MINVU_Mes_Corriente!BT196*SALUD_Mes_Constante!$BP$1</f>
        <v>23634.295006402052</v>
      </c>
      <c r="BU196" s="8">
        <f>+MINVU_Mes_Corriente!BU196*SALUD_Mes_Constante!$BP$1</f>
        <v>23929.478873239441</v>
      </c>
      <c r="BV196" s="8">
        <f>+MINVU_Mes_Corriente!BV196*SALUD_Mes_Constante!$BP$1</f>
        <v>23929.478873239441</v>
      </c>
      <c r="BW196" s="8">
        <f>+MINVU_Mes_Corriente!BW196*SALUD_Mes_Constante!$BP$1</f>
        <v>25189.955953905253</v>
      </c>
      <c r="BX196" s="8">
        <f>+MINVU_Mes_Corriente!BX196*SALUD_Mes_Constante!$BP$1</f>
        <v>25812.500128040974</v>
      </c>
      <c r="BY196" s="8">
        <f>+MINVU_Mes_Corriente!BY196*SALUD_Mes_Constante!$BP$1</f>
        <v>39614.794110115239</v>
      </c>
      <c r="BZ196" s="8">
        <f>+MINVU_Mes_Corriente!BZ196*SALUD_Mes_Constante!$BP$1</f>
        <v>55333.684763124205</v>
      </c>
      <c r="CA196" s="8">
        <f>+MINVU_Mes_Corriente!CA196*SALUD_Mes_Constante!$BP$1</f>
        <v>432703.17541613319</v>
      </c>
      <c r="CB196" s="9">
        <f t="shared" si="100"/>
        <v>432703.17541613319</v>
      </c>
      <c r="CC196" s="8">
        <f>+MINVU_Mes_Corriente!CC196*SALUD_Mes_Constante!$CC$1</f>
        <v>59639.957478552788</v>
      </c>
      <c r="CD196" s="8">
        <f>+MINVU_Mes_Corriente!CD196*SALUD_Mes_Constante!$CC$1</f>
        <v>59639.957478552788</v>
      </c>
      <c r="CE196" s="8">
        <f>+MINVU_Mes_Corriente!CE196*SALUD_Mes_Constante!$CC$1</f>
        <v>60987.538232002989</v>
      </c>
      <c r="CF196" s="8">
        <f>+MINVU_Mes_Corriente!CF196*SALUD_Mes_Constante!$CC$1</f>
        <v>61567.595673256255</v>
      </c>
      <c r="CG196" s="8">
        <f>+MINVU_Mes_Corriente!CG196*SALUD_Mes_Constante!$CC$1</f>
        <v>140865.65908243193</v>
      </c>
      <c r="CH196" s="8">
        <f>+MINVU_Mes_Corriente!CH196*SALUD_Mes_Constante!$CC$1</f>
        <v>148714.77359194332</v>
      </c>
      <c r="CI196" s="8">
        <f>+MINVU_Mes_Corriente!CI196*SALUD_Mes_Constante!$CC$1</f>
        <v>1561160.0768370014</v>
      </c>
      <c r="CJ196" s="8">
        <f>+MINVU_Mes_Corriente!CJ196*SALUD_Mes_Constante!$CC$1</f>
        <v>1791381.7508392392</v>
      </c>
      <c r="CK196" s="8">
        <f>+MINVU_Mes_Corriente!CK196*SALUD_Mes_Constante!$CC$1</f>
        <v>1845831.0772099965</v>
      </c>
      <c r="CL196" s="8">
        <f>+MINVU_Mes_Corriente!CL196*SALUD_Mes_Constante!$CC$1</f>
        <v>3148831.6314807911</v>
      </c>
      <c r="CM196" s="8">
        <f>+MINVU_Mes_Corriente!CM196*SALUD_Mes_Constante!$CC$1</f>
        <v>3155026.1559119732</v>
      </c>
      <c r="CN196" s="8">
        <f>+MINVU_Mes_Corriente!CN196*SALUD_Mes_Constante!$CC$1</f>
        <v>6492868.2140992172</v>
      </c>
      <c r="CO196" s="9">
        <f t="shared" si="101"/>
        <v>6492868.2140992172</v>
      </c>
      <c r="CP196" s="8">
        <f>+MINVU_Mes_Corriente!CP196*SALUD_Mes_Constante!$CP$1</f>
        <v>5982.682134570764</v>
      </c>
      <c r="CQ196" s="8">
        <f>+MINVU_Mes_Corriente!CQ196*SALUD_Mes_Constante!$CP$1</f>
        <v>29786.65893271461</v>
      </c>
      <c r="CR196" s="8">
        <f>+MINVU_Mes_Corriente!CR196*SALUD_Mes_Constante!$CP$1</f>
        <v>111303.23805104406</v>
      </c>
      <c r="CS196" s="8">
        <f>+MINVU_Mes_Corriente!CS196*SALUD_Mes_Constante!$CP$1</f>
        <v>153103.4269141531</v>
      </c>
      <c r="CT196" s="8">
        <f>+MINVU_Mes_Corriente!CT196*SALUD_Mes_Constante!$CP$1</f>
        <v>173241.74338747095</v>
      </c>
      <c r="CU196" s="8">
        <f>+MINVU_Mes_Corriente!CU196*SALUD_Mes_Constante!$CP$1</f>
        <v>204411.26380510436</v>
      </c>
      <c r="CV196" s="8">
        <f>+MINVU_Mes_Corriente!CV196*SALUD_Mes_Constante!$CP$1</f>
        <v>212349.72529002317</v>
      </c>
      <c r="CW196" s="8">
        <f>+MINVU_Mes_Corriente!CW196*SALUD_Mes_Constante!$CP$1</f>
        <v>226213.83062645007</v>
      </c>
      <c r="CX196" s="8">
        <f>+MINVU_Mes_Corriente!CX196*SALUD_Mes_Constante!$CP$1</f>
        <v>248332.00928074241</v>
      </c>
      <c r="CY196" s="8">
        <f>+MINVU_Mes_Corriente!CY196*SALUD_Mes_Constante!$CP$1</f>
        <v>277355.62273781898</v>
      </c>
      <c r="CZ196" s="8">
        <f>+MINVU_Mes_Corriente!CZ196*SALUD_Mes_Constante!$CP$1</f>
        <v>299856.59164733172</v>
      </c>
      <c r="DA196" s="8">
        <f>+MINVU_Mes_Corriente!DA196*SALUD_Mes_Constante!$CP$1</f>
        <v>677055.82761020865</v>
      </c>
      <c r="DB196" s="9">
        <f t="shared" si="102"/>
        <v>677055.82761020865</v>
      </c>
      <c r="DC196" s="8">
        <f>+MINVU_Mes_Corriente!DC196*SALUD_Mes_Constante!$DC$1</f>
        <v>5047.6973562390722</v>
      </c>
      <c r="DD196" s="8">
        <f>+MINVU_Mes_Corriente!DD196*SALUD_Mes_Constante!$DC$1</f>
        <v>10452.813496553857</v>
      </c>
      <c r="DE196" s="8">
        <f>+MINVU_Mes_Corriente!DE196*SALUD_Mes_Constante!$DC$1</f>
        <v>77359.811542022464</v>
      </c>
      <c r="DF196" s="8">
        <f>+MINVU_Mes_Corriente!DF196*SALUD_Mes_Constante!$DC$1</f>
        <v>153171.93231149067</v>
      </c>
      <c r="DG196" s="8">
        <f>+MINVU_Mes_Corriente!DG196*SALUD_Mes_Constante!$DC$1</f>
        <v>175519.59798374661</v>
      </c>
      <c r="DH196" s="8">
        <f>+MINVU_Mes_Corriente!DH196*SALUD_Mes_Constante!$DC$1</f>
        <v>216804.83941981287</v>
      </c>
      <c r="DI196" s="8">
        <f>+MINVU_Mes_Corriente!DI196*SALUD_Mes_Constante!$DC$1</f>
        <v>249982.96862462722</v>
      </c>
      <c r="DJ196" s="8">
        <f>+MINVU_Mes_Corriente!DJ196*SALUD_Mes_Constante!$DC$1</f>
        <v>257129.09638926049</v>
      </c>
      <c r="DK196" s="8">
        <f>+MINVU_Mes_Corriente!DK196*SALUD_Mes_Constante!$DC$1</f>
        <v>366598.15265919163</v>
      </c>
      <c r="DL196" s="8">
        <f>+MINVU_Mes_Corriente!DL196*SALUD_Mes_Constante!$DC$1</f>
        <v>375120.00555498421</v>
      </c>
      <c r="DM196" s="8">
        <f>+MINVU_Mes_Corriente!DM196*SALUD_Mes_Constante!$DC$1</f>
        <v>454001.6568254297</v>
      </c>
      <c r="DN196" s="8">
        <f>+MINVU_Mes_Corriente!DN196*SALUD_Mes_Constante!$DC$1</f>
        <v>712123.20851764258</v>
      </c>
      <c r="DO196" s="9">
        <f t="shared" si="103"/>
        <v>712123.20851764258</v>
      </c>
      <c r="DP196" s="8">
        <f>+MINVU_Mes_Corriente!DP196*SALUD_Mes_Constante!$DP$1</f>
        <v>5155.8954869358677</v>
      </c>
      <c r="DQ196" s="8">
        <f>+MINVU_Mes_Corriente!DQ196*SALUD_Mes_Constante!$DP$1</f>
        <v>20025.593230403803</v>
      </c>
      <c r="DR196" s="8">
        <f>+MINVU_Mes_Corriente!DR196*SALUD_Mes_Constante!$DP$1</f>
        <v>30343.872327790978</v>
      </c>
      <c r="DS196" s="8">
        <f>+MINVU_Mes_Corriente!DS196*SALUD_Mes_Constante!$DP$1</f>
        <v>46676.641923990501</v>
      </c>
      <c r="DT196" s="8">
        <f>+MINVU_Mes_Corriente!DT196*SALUD_Mes_Constante!$DP$1</f>
        <v>57402.591448931125</v>
      </c>
      <c r="DU196" s="8">
        <f>+MINVU_Mes_Corriente!DU196*SALUD_Mes_Constante!$DP$1</f>
        <v>66311.866389548697</v>
      </c>
      <c r="DV196" s="8">
        <f>+MINVU_Mes_Corriente!DV196*SALUD_Mes_Constante!$DP$1</f>
        <v>147970.30760095012</v>
      </c>
      <c r="DW196" s="8">
        <f>+MINVU_Mes_Corriente!DW196*SALUD_Mes_Constante!$DP$1</f>
        <v>182189.75237529693</v>
      </c>
      <c r="DX196" s="8">
        <f>+MINVU_Mes_Corriente!DX196*SALUD_Mes_Constante!$DP$1</f>
        <v>240041.10570071262</v>
      </c>
      <c r="DY196" s="8">
        <f>+MINVU_Mes_Corriente!DY196*SALUD_Mes_Constante!$DP$1</f>
        <v>269970.81947743468</v>
      </c>
      <c r="DZ196" s="8">
        <f>+MINVU_Mes_Corriente!DZ196*SALUD_Mes_Constante!$DP$1</f>
        <v>333590.11460807605</v>
      </c>
      <c r="EA196" s="8">
        <f>+MINVU_Mes_Corriente!EA196*SALUD_Mes_Constante!$DP$1</f>
        <v>1539934.489311164</v>
      </c>
      <c r="EB196" s="9">
        <f t="shared" si="104"/>
        <v>1539934.489311164</v>
      </c>
      <c r="EC196" s="8">
        <f>+MINVU_Mes_Corriente!EC196*SALUD_Mes_Constante!$EC$1</f>
        <v>13456.296913463355</v>
      </c>
      <c r="ED196" s="8">
        <f>+MINVU_Mes_Corriente!ED196*SALUD_Mes_Constante!$EC$1</f>
        <v>40922.328536262059</v>
      </c>
      <c r="EE196" s="8">
        <f>+MINVU_Mes_Corriente!EE196*SALUD_Mes_Constante!$EC$1</f>
        <v>68322.154516190087</v>
      </c>
      <c r="EF196" s="8">
        <f>+MINVU_Mes_Corriente!EF196*SALUD_Mes_Constante!$EC$1</f>
        <v>89937.262450293478</v>
      </c>
      <c r="EG196" s="8">
        <f>+MINVU_Mes_Corriente!EG196*SALUD_Mes_Constante!$EC$1</f>
        <v>129607.89055103196</v>
      </c>
      <c r="EH196" s="8">
        <f>+MINVU_Mes_Corriente!EH196*SALUD_Mes_Constante!$EC$1</f>
        <v>142909.01798901719</v>
      </c>
      <c r="EI196" s="8">
        <f>+MINVU_Mes_Corriente!EI196*SALUD_Mes_Constante!$EC$1</f>
        <v>181492.4252982389</v>
      </c>
      <c r="EJ196" s="8">
        <f>+MINVU_Mes_Corriente!EJ196*SALUD_Mes_Constante!$EC$1</f>
        <v>494568.56580193131</v>
      </c>
      <c r="EK196" s="8">
        <f>+MINVU_Mes_Corriente!EK196*SALUD_Mes_Constante!$EC$1</f>
        <v>535372.96553683002</v>
      </c>
      <c r="EL196" s="8">
        <f>+MINVU_Mes_Corriente!EL196*SALUD_Mes_Constante!$EC$1</f>
        <v>901105.35031244054</v>
      </c>
      <c r="EM196" s="8">
        <f>+MINVU_Mes_Corriente!EM196*SALUD_Mes_Constante!$EC$1</f>
        <v>986596.49005870067</v>
      </c>
      <c r="EN196" s="8">
        <f>+MINVU_Mes_Corriente!EN196*SALUD_Mes_Constante!$EC$1</f>
        <v>1574761.2145426997</v>
      </c>
      <c r="EO196" s="9">
        <f t="shared" si="105"/>
        <v>1574761.2145426997</v>
      </c>
      <c r="EP196" s="8">
        <f>+MINVU_Mes_Corriente!EP196*SALUD_Mes_Constante!$EP$1</f>
        <v>0</v>
      </c>
      <c r="EQ196" s="8">
        <f>+MINVU_Mes_Corriente!EQ196*SALUD_Mes_Constante!$EP$1</f>
        <v>8644</v>
      </c>
      <c r="ER196" s="8">
        <f>+MINVU_Mes_Corriente!ER196*SALUD_Mes_Constante!$EP$1</f>
        <v>13667</v>
      </c>
      <c r="ES196" s="8">
        <f>+MINVU_Mes_Corriente!ES196*SALUD_Mes_Constante!$EP$1</f>
        <v>33858</v>
      </c>
      <c r="ET196" s="8">
        <f>+MINVU_Mes_Corriente!ET196*SALUD_Mes_Constante!$EP$1</f>
        <v>231286</v>
      </c>
      <c r="EU196" s="8">
        <f>+MINVU_Mes_Corriente!EU196*SALUD_Mes_Constante!$EP$1</f>
        <v>257693</v>
      </c>
      <c r="EV196" s="8">
        <f>+MINVU_Mes_Corriente!EV196*SALUD_Mes_Constante!$EP$1</f>
        <v>271067</v>
      </c>
      <c r="EW196" s="8">
        <f>+MINVU_Mes_Corriente!EW196*SALUD_Mes_Constante!$EP$1</f>
        <v>395271</v>
      </c>
      <c r="EX196" s="8">
        <f>+MINVU_Mes_Corriente!EX196*SALUD_Mes_Constante!$EP$1</f>
        <v>420100</v>
      </c>
      <c r="EY196" s="8">
        <f>+MINVU_Mes_Corriente!EY196*SALUD_Mes_Constante!$EP$1</f>
        <v>809184</v>
      </c>
      <c r="EZ196" s="8">
        <f>+MINVU_Mes_Corriente!EZ196*SALUD_Mes_Constante!$EP$1</f>
        <v>879934</v>
      </c>
      <c r="FA196" s="8">
        <f>+MINVU_Mes_Corriente!FA196*SALUD_Mes_Constante!$EP$1</f>
        <v>1266693</v>
      </c>
      <c r="FB196" s="9">
        <f t="shared" si="106"/>
        <v>1266693</v>
      </c>
      <c r="FC196" s="8">
        <f>+MINVU_Mes_Corriente!FC196*SALUD_Mes_Constante!$FC$1</f>
        <v>12152</v>
      </c>
      <c r="FD196" s="8">
        <f>+MINVU_Mes_Corriente!FD196*SALUD_Mes_Constante!$FC$1</f>
        <v>16836</v>
      </c>
      <c r="FE196" s="8">
        <f>+MINVU_Mes_Corriente!FE196*SALUD_Mes_Constante!$FC$1</f>
        <v>26941</v>
      </c>
      <c r="FF196" s="8">
        <f>+MINVU_Mes_Corriente!FF196*SALUD_Mes_Constante!$FC$1</f>
        <v>30736</v>
      </c>
      <c r="FG196" s="8">
        <f>+MINVU_Mes_Corriente!FG196*SALUD_Mes_Constante!$FC$1</f>
        <v>49163</v>
      </c>
      <c r="FH196" s="8">
        <f>+MINVU_Mes_Corriente!FH196*SALUD_Mes_Constante!$FC$1</f>
        <v>53217</v>
      </c>
      <c r="FI196" s="8">
        <f>+MINVU_Mes_Corriente!FI196*SALUD_Mes_Constante!$FC$1</f>
        <v>69537</v>
      </c>
      <c r="FJ196" s="8"/>
      <c r="FK196" s="8"/>
      <c r="FL196" s="8"/>
      <c r="FM196" s="8"/>
      <c r="FN196" s="8"/>
      <c r="FO196" s="9">
        <f t="shared" si="107"/>
        <v>69537</v>
      </c>
    </row>
    <row r="197" spans="2:171" ht="14.25" customHeight="1" x14ac:dyDescent="0.3">
      <c r="B197" s="7" t="s">
        <v>49</v>
      </c>
      <c r="C197" s="8">
        <f>+MINVU_Mes_Corriente!C197*SALUD_Mes_Constante!$C$1</f>
        <v>11501.223194423848</v>
      </c>
      <c r="D197" s="8">
        <f>+MINVU_Mes_Corriente!D197*SALUD_Mes_Constante!$C$1</f>
        <v>30861.129467596031</v>
      </c>
      <c r="E197" s="8">
        <f>+MINVU_Mes_Corriente!E197*SALUD_Mes_Constante!$C$1</f>
        <v>51872.169360818632</v>
      </c>
      <c r="F197" s="8">
        <f>+MINVU_Mes_Corriente!F197*SALUD_Mes_Constante!$C$1</f>
        <v>70481.854960700002</v>
      </c>
      <c r="G197" s="8">
        <f>+MINVU_Mes_Corriente!G197*SALUD_Mes_Constante!$C$1</f>
        <v>90553.093578525892</v>
      </c>
      <c r="H197" s="8">
        <f>+MINVU_Mes_Corriente!H197*SALUD_Mes_Constante!$C$1</f>
        <v>105064.92154827229</v>
      </c>
      <c r="I197" s="8">
        <f>+MINVU_Mes_Corriente!I197*SALUD_Mes_Constante!$C$1</f>
        <v>108550.28800237285</v>
      </c>
      <c r="J197" s="8">
        <f>+MINVU_Mes_Corriente!J197*SALUD_Mes_Constante!$C$1</f>
        <v>132220.31736615751</v>
      </c>
      <c r="K197" s="8">
        <f>+MINVU_Mes_Corriente!K197*SALUD_Mes_Constante!$C$1</f>
        <v>136159.38098769097</v>
      </c>
      <c r="L197" s="8">
        <f>+MINVU_Mes_Corriente!L197*SALUD_Mes_Constante!$C$1</f>
        <v>148310.36333975979</v>
      </c>
      <c r="M197" s="8">
        <f>+MINVU_Mes_Corriente!M197*SALUD_Mes_Constante!$C$1</f>
        <v>165421.22794008604</v>
      </c>
      <c r="N197" s="8">
        <f>+MINVU_Mes_Corriente!N197*SALUD_Mes_Constante!$C$1</f>
        <v>2190300.8524395674</v>
      </c>
      <c r="O197" s="9">
        <f t="shared" si="95"/>
        <v>2190300.8524395674</v>
      </c>
      <c r="P197" s="8">
        <f>+MINVU_Mes_Corriente!P197*SALUD_Mes_Constante!$P$1</f>
        <v>7418.0073874129821</v>
      </c>
      <c r="Q197" s="8">
        <f>+MINVU_Mes_Corriente!Q197*SALUD_Mes_Constante!$P$1</f>
        <v>8284.1400767154391</v>
      </c>
      <c r="R197" s="8">
        <f>+MINVU_Mes_Corriente!R197*SALUD_Mes_Constante!$P$1</f>
        <v>16315.270066770841</v>
      </c>
      <c r="S197" s="8">
        <f>+MINVU_Mes_Corriente!S197*SALUD_Mes_Constante!$P$1</f>
        <v>399929.78434436693</v>
      </c>
      <c r="T197" s="8">
        <f>+MINVU_Mes_Corriente!T197*SALUD_Mes_Constante!$P$1</f>
        <v>401568.91717573506</v>
      </c>
      <c r="U197" s="8">
        <f>+MINVU_Mes_Corriente!U197*SALUD_Mes_Constante!$P$1</f>
        <v>410034.66571956227</v>
      </c>
      <c r="V197" s="8">
        <f>+MINVU_Mes_Corriente!V197*SALUD_Mes_Constante!$P$1</f>
        <v>446846.85722403735</v>
      </c>
      <c r="W197" s="8">
        <f>+MINVU_Mes_Corriente!W197*SALUD_Mes_Constante!$P$1</f>
        <v>897760.50234408258</v>
      </c>
      <c r="X197" s="8">
        <f>+MINVU_Mes_Corriente!X197*SALUD_Mes_Constante!$P$1</f>
        <v>1123541.7366103136</v>
      </c>
      <c r="Y197" s="8">
        <f>+MINVU_Mes_Corriente!Y197*SALUD_Mes_Constante!$P$1</f>
        <v>1283180.2358289524</v>
      </c>
      <c r="Z197" s="8">
        <f>+MINVU_Mes_Corriente!Z197*SALUD_Mes_Constante!$P$1</f>
        <v>1495773.9014064493</v>
      </c>
      <c r="AA197" s="8">
        <f>+MINVU_Mes_Corriente!AA197*SALUD_Mes_Constante!$P$1</f>
        <v>3136531.8957238235</v>
      </c>
      <c r="AB197" s="9">
        <f t="shared" si="96"/>
        <v>3136531.8957238235</v>
      </c>
      <c r="AC197" s="8">
        <f>+MINVU_Mes_Corriente!AC197*SALUD_Mes_Constante!$AC$1</f>
        <v>26067.329091160602</v>
      </c>
      <c r="AD197" s="8">
        <f>+MINVU_Mes_Corriente!AD197*SALUD_Mes_Constante!$AC$1</f>
        <v>50774.387052151054</v>
      </c>
      <c r="AE197" s="8">
        <f>+MINVU_Mes_Corriente!AE197*SALUD_Mes_Constante!$AC$1</f>
        <v>102111.01950477244</v>
      </c>
      <c r="AF197" s="8">
        <f>+MINVU_Mes_Corriente!AF197*SALUD_Mes_Constante!$AC$1</f>
        <v>153571.58777147598</v>
      </c>
      <c r="AG197" s="8">
        <f>+MINVU_Mes_Corriente!AG197*SALUD_Mes_Constante!$AC$1</f>
        <v>158628.77355097522</v>
      </c>
      <c r="AH197" s="8">
        <f>+MINVU_Mes_Corriente!AH197*SALUD_Mes_Constante!$AC$1</f>
        <v>183193.75874948126</v>
      </c>
      <c r="AI197" s="8">
        <f>+MINVU_Mes_Corriente!AI197*SALUD_Mes_Constante!$AC$1</f>
        <v>184316.73813805505</v>
      </c>
      <c r="AJ197" s="8">
        <f>+MINVU_Mes_Corriente!AJ197*SALUD_Mes_Constante!$AC$1</f>
        <v>187947.15064324249</v>
      </c>
      <c r="AK197" s="8">
        <f>+MINVU_Mes_Corriente!AK197*SALUD_Mes_Constante!$AC$1</f>
        <v>358621.88075805781</v>
      </c>
      <c r="AL197" s="8">
        <f>+MINVU_Mes_Corriente!AL197*SALUD_Mes_Constante!$AC$1</f>
        <v>364005.5316087979</v>
      </c>
      <c r="AM197" s="8">
        <f>+MINVU_Mes_Corriente!AM197*SALUD_Mes_Constante!$AC$1</f>
        <v>398427.94826393691</v>
      </c>
      <c r="AN197" s="8">
        <f>+MINVU_Mes_Corriente!AN197*SALUD_Mes_Constante!$AC$1</f>
        <v>810871.22340572695</v>
      </c>
      <c r="AO197" s="9">
        <f t="shared" si="97"/>
        <v>810871.22340572695</v>
      </c>
      <c r="AP197" s="8">
        <f>+MINVU_Mes_Corriente!AP197*SALUD_Mes_Constante!$AP$1</f>
        <v>2301.0661436493979</v>
      </c>
      <c r="AQ197" s="8">
        <f>+MINVU_Mes_Corriente!AQ197*SALUD_Mes_Constante!$AP$1</f>
        <v>2989.7603138103609</v>
      </c>
      <c r="AR197" s="8">
        <f>+MINVU_Mes_Corriente!AR197*SALUD_Mes_Constante!$AP$1</f>
        <v>18081.916677938589</v>
      </c>
      <c r="AS197" s="8">
        <f>+MINVU_Mes_Corriente!AS197*SALUD_Mes_Constante!$AP$1</f>
        <v>37610.682267009332</v>
      </c>
      <c r="AT197" s="8">
        <f>+MINVU_Mes_Corriente!AT197*SALUD_Mes_Constante!$AP$1</f>
        <v>42217.248207764096</v>
      </c>
      <c r="AU197" s="8">
        <f>+MINVU_Mes_Corriente!AU197*SALUD_Mes_Constante!$AP$1</f>
        <v>71225.164885702688</v>
      </c>
      <c r="AV197" s="8">
        <f>+MINVU_Mes_Corriente!AV197*SALUD_Mes_Constante!$AP$1</f>
        <v>83506.384958744748</v>
      </c>
      <c r="AW197" s="8">
        <f>+MINVU_Mes_Corriente!AW197*SALUD_Mes_Constante!$AP$1</f>
        <v>88522.324901934262</v>
      </c>
      <c r="AX197" s="8">
        <f>+MINVU_Mes_Corriente!AX197*SALUD_Mes_Constante!$AP$1</f>
        <v>94521.058027864186</v>
      </c>
      <c r="AY197" s="8">
        <f>+MINVU_Mes_Corriente!AY197*SALUD_Mes_Constante!$AP$1</f>
        <v>104609.09752468551</v>
      </c>
      <c r="AZ197" s="8">
        <f>+MINVU_Mes_Corriente!AZ197*SALUD_Mes_Constante!$AP$1</f>
        <v>112079.80359799809</v>
      </c>
      <c r="BA197" s="8">
        <f>+MINVU_Mes_Corriente!BA197*SALUD_Mes_Constante!$AP$1</f>
        <v>507898.64953334234</v>
      </c>
      <c r="BB197" s="9">
        <f t="shared" si="98"/>
        <v>507898.64953334234</v>
      </c>
      <c r="BC197" s="8">
        <f>+MINVU_Mes_Corriente!BC197*SALUD_Mes_Constante!$BC$1</f>
        <v>5354.2154819992102</v>
      </c>
      <c r="BD197" s="8">
        <f>+MINVU_Mes_Corriente!BD197*SALUD_Mes_Constante!$BC$1</f>
        <v>12620.444942634844</v>
      </c>
      <c r="BE197" s="8">
        <f>+MINVU_Mes_Corriente!BE197*SALUD_Mes_Constante!$BC$1</f>
        <v>19480.35342212845</v>
      </c>
      <c r="BF197" s="8">
        <f>+MINVU_Mes_Corriente!BF197*SALUD_Mes_Constante!$BC$1</f>
        <v>48530.862719240416</v>
      </c>
      <c r="BG197" s="8">
        <f>+MINVU_Mes_Corriente!BG197*SALUD_Mes_Constante!$BC$1</f>
        <v>53323.144929447459</v>
      </c>
      <c r="BH197" s="8">
        <f>+MINVU_Mes_Corriente!BH197*SALUD_Mes_Constante!$BC$1</f>
        <v>83913.927733087185</v>
      </c>
      <c r="BI197" s="8">
        <f>+MINVU_Mes_Corriente!BI197*SALUD_Mes_Constante!$BC$1</f>
        <v>93765.050243966791</v>
      </c>
      <c r="BJ197" s="8">
        <f>+MINVU_Mes_Corriente!BJ197*SALUD_Mes_Constante!$BC$1</f>
        <v>104565.69589872085</v>
      </c>
      <c r="BK197" s="8">
        <f>+MINVU_Mes_Corriente!BK197*SALUD_Mes_Constante!$BC$1</f>
        <v>105918.65831465121</v>
      </c>
      <c r="BL197" s="8">
        <f>+MINVU_Mes_Corriente!BL197*SALUD_Mes_Constante!$BC$1</f>
        <v>114042.19622840568</v>
      </c>
      <c r="BM197" s="8">
        <f>+MINVU_Mes_Corriente!BM197*SALUD_Mes_Constante!$BC$1</f>
        <v>119056.37003824346</v>
      </c>
      <c r="BN197" s="8">
        <f>+MINVU_Mes_Corriente!BN197*SALUD_Mes_Constante!$BC$1</f>
        <v>2733021.5423974688</v>
      </c>
      <c r="BO197" s="9">
        <f t="shared" si="99"/>
        <v>2733021.5423974688</v>
      </c>
      <c r="BP197" s="8">
        <f>+MINVU_Mes_Corriente!BP197*SALUD_Mes_Constante!$BP$1</f>
        <v>0</v>
      </c>
      <c r="BQ197" s="8">
        <f>+MINVU_Mes_Corriente!BQ197*SALUD_Mes_Constante!$BP$1</f>
        <v>0</v>
      </c>
      <c r="BR197" s="8">
        <f>+MINVU_Mes_Corriente!BR197*SALUD_Mes_Constante!$BP$1</f>
        <v>0</v>
      </c>
      <c r="BS197" s="8">
        <f>+MINVU_Mes_Corriente!BS197*SALUD_Mes_Constante!$BP$1</f>
        <v>0</v>
      </c>
      <c r="BT197" s="8">
        <f>+MINVU_Mes_Corriente!BT197*SALUD_Mes_Constante!$BP$1</f>
        <v>0</v>
      </c>
      <c r="BU197" s="8">
        <f>+MINVU_Mes_Corriente!BU197*SALUD_Mes_Constante!$BP$1</f>
        <v>0</v>
      </c>
      <c r="BV197" s="8">
        <f>+MINVU_Mes_Corriente!BV197*SALUD_Mes_Constante!$BP$1</f>
        <v>0</v>
      </c>
      <c r="BW197" s="8">
        <f>+MINVU_Mes_Corriente!BW197*SALUD_Mes_Constante!$BP$1</f>
        <v>179796.3533930858</v>
      </c>
      <c r="BX197" s="8">
        <f>+MINVU_Mes_Corriente!BX197*SALUD_Mes_Constante!$BP$1</f>
        <v>179796.3533930858</v>
      </c>
      <c r="BY197" s="8">
        <f>+MINVU_Mes_Corriente!BY197*SALUD_Mes_Constante!$BP$1</f>
        <v>195294.20588988479</v>
      </c>
      <c r="BZ197" s="8">
        <f>+MINVU_Mes_Corriente!BZ197*SALUD_Mes_Constante!$BP$1</f>
        <v>242289.99564660693</v>
      </c>
      <c r="CA197" s="8">
        <f>+MINVU_Mes_Corriente!CA197*SALUD_Mes_Constante!$BP$1</f>
        <v>1058898.6760563382</v>
      </c>
      <c r="CB197" s="9">
        <f t="shared" si="100"/>
        <v>1058898.6760563382</v>
      </c>
      <c r="CC197" s="8">
        <f>+MINVU_Mes_Corriente!CC197*SALUD_Mes_Constante!$CC$1</f>
        <v>0</v>
      </c>
      <c r="CD197" s="8">
        <f>+MINVU_Mes_Corriente!CD197*SALUD_Mes_Constante!$CC$1</f>
        <v>1692.626631853786</v>
      </c>
      <c r="CE197" s="8">
        <f>+MINVU_Mes_Corriente!CE197*SALUD_Mes_Constante!$CC$1</f>
        <v>1692.626631853786</v>
      </c>
      <c r="CF197" s="8">
        <f>+MINVU_Mes_Corriente!CF197*SALUD_Mes_Constante!$CC$1</f>
        <v>168226.16710182768</v>
      </c>
      <c r="CG197" s="8">
        <f>+MINVU_Mes_Corriente!CG197*SALUD_Mes_Constante!$CC$1</f>
        <v>168226.16710182768</v>
      </c>
      <c r="CH197" s="8">
        <f>+MINVU_Mes_Corriente!CH197*SALUD_Mes_Constante!$CC$1</f>
        <v>270863.73144349124</v>
      </c>
      <c r="CI197" s="8">
        <f>+MINVU_Mes_Corriente!CI197*SALUD_Mes_Constante!$CC$1</f>
        <v>296838.62215591199</v>
      </c>
      <c r="CJ197" s="8">
        <f>+MINVU_Mes_Corriente!CJ197*SALUD_Mes_Constante!$CC$1</f>
        <v>308597.35098843719</v>
      </c>
      <c r="CK197" s="8">
        <f>+MINVU_Mes_Corriente!CK197*SALUD_Mes_Constante!$CC$1</f>
        <v>417456.60872808658</v>
      </c>
      <c r="CL197" s="8">
        <f>+MINVU_Mes_Corriente!CL197*SALUD_Mes_Constante!$CC$1</f>
        <v>520901.09138381208</v>
      </c>
      <c r="CM197" s="8">
        <f>+MINVU_Mes_Corriente!CM197*SALUD_Mes_Constante!$CC$1</f>
        <v>793927.47258485644</v>
      </c>
      <c r="CN197" s="8">
        <f>+MINVU_Mes_Corriente!CN197*SALUD_Mes_Constante!$CC$1</f>
        <v>1106066.298396121</v>
      </c>
      <c r="CO197" s="9">
        <f t="shared" si="101"/>
        <v>1106066.298396121</v>
      </c>
      <c r="CP197" s="8">
        <f>+MINVU_Mes_Corriente!CP197*SALUD_Mes_Constante!$CP$1</f>
        <v>0</v>
      </c>
      <c r="CQ197" s="8">
        <f>+MINVU_Mes_Corriente!CQ197*SALUD_Mes_Constante!$CP$1</f>
        <v>53624.858700696044</v>
      </c>
      <c r="CR197" s="8">
        <f>+MINVU_Mes_Corriente!CR197*SALUD_Mes_Constante!$CP$1</f>
        <v>70225.534106728519</v>
      </c>
      <c r="CS197" s="8">
        <f>+MINVU_Mes_Corriente!CS197*SALUD_Mes_Constante!$CP$1</f>
        <v>191509.20417633405</v>
      </c>
      <c r="CT197" s="8">
        <f>+MINVU_Mes_Corriente!CT197*SALUD_Mes_Constante!$CP$1</f>
        <v>191509.20417633405</v>
      </c>
      <c r="CU197" s="8">
        <f>+MINVU_Mes_Corriente!CU197*SALUD_Mes_Constante!$CP$1</f>
        <v>247500.5178654292</v>
      </c>
      <c r="CV197" s="8">
        <f>+MINVU_Mes_Corriente!CV197*SALUD_Mes_Constante!$CP$1</f>
        <v>232090.04129930391</v>
      </c>
      <c r="CW197" s="8">
        <f>+MINVU_Mes_Corriente!CW197*SALUD_Mes_Constante!$CP$1</f>
        <v>258399.89999999994</v>
      </c>
      <c r="CX197" s="8">
        <f>+MINVU_Mes_Corriente!CX197*SALUD_Mes_Constante!$CP$1</f>
        <v>258399.89999999994</v>
      </c>
      <c r="CY197" s="8">
        <f>+MINVU_Mes_Corriente!CY197*SALUD_Mes_Constante!$CP$1</f>
        <v>613371.95081206481</v>
      </c>
      <c r="CZ197" s="8">
        <f>+MINVU_Mes_Corriente!CZ197*SALUD_Mes_Constante!$CP$1</f>
        <v>623920.23062645004</v>
      </c>
      <c r="DA197" s="8">
        <f>+MINVU_Mes_Corriente!DA197*SALUD_Mes_Constante!$CP$1</f>
        <v>1505601.5324825982</v>
      </c>
      <c r="DB197" s="9">
        <f t="shared" si="102"/>
        <v>1505601.5324825982</v>
      </c>
      <c r="DC197" s="8">
        <f>+MINVU_Mes_Corriente!DC197*SALUD_Mes_Constante!$DC$1</f>
        <v>0</v>
      </c>
      <c r="DD197" s="8">
        <f>+MINVU_Mes_Corriente!DD197*SALUD_Mes_Constante!$DC$1</f>
        <v>0</v>
      </c>
      <c r="DE197" s="8">
        <f>+MINVU_Mes_Corriente!DE197*SALUD_Mes_Constante!$DC$1</f>
        <v>2260.2804238247104</v>
      </c>
      <c r="DF197" s="8">
        <f>+MINVU_Mes_Corriente!DF197*SALUD_Mes_Constante!$DC$1</f>
        <v>8337.5237115523141</v>
      </c>
      <c r="DG197" s="8">
        <f>+MINVU_Mes_Corriente!DG197*SALUD_Mes_Constante!$DC$1</f>
        <v>18783.593457463234</v>
      </c>
      <c r="DH197" s="8">
        <f>+MINVU_Mes_Corriente!DH197*SALUD_Mes_Constante!$DC$1</f>
        <v>27354.900524637396</v>
      </c>
      <c r="DI197" s="8">
        <f>+MINVU_Mes_Corriente!DI197*SALUD_Mes_Constante!$DC$1</f>
        <v>70395.765044748521</v>
      </c>
      <c r="DJ197" s="8">
        <f>+MINVU_Mes_Corriente!DJ197*SALUD_Mes_Constante!$DC$1</f>
        <v>100440.29811747768</v>
      </c>
      <c r="DK197" s="8">
        <f>+MINVU_Mes_Corriente!DK197*SALUD_Mes_Constante!$DC$1</f>
        <v>145784.15348215212</v>
      </c>
      <c r="DL197" s="8">
        <f>+MINVU_Mes_Corriente!DL197*SALUD_Mes_Constante!$DC$1</f>
        <v>324233.91112025524</v>
      </c>
      <c r="DM197" s="8">
        <f>+MINVU_Mes_Corriente!DM197*SALUD_Mes_Constante!$DC$1</f>
        <v>352788.07530089514</v>
      </c>
      <c r="DN197" s="8">
        <f>+MINVU_Mes_Corriente!DN197*SALUD_Mes_Constante!$DC$1</f>
        <v>1815735.7533175608</v>
      </c>
      <c r="DO197" s="9">
        <f t="shared" si="103"/>
        <v>1815735.7533175608</v>
      </c>
      <c r="DP197" s="8">
        <f>+MINVU_Mes_Corriente!DP197*SALUD_Mes_Constante!$DP$1</f>
        <v>0</v>
      </c>
      <c r="DQ197" s="8">
        <f>+MINVU_Mes_Corriente!DQ197*SALUD_Mes_Constante!$DP$1</f>
        <v>0</v>
      </c>
      <c r="DR197" s="8">
        <f>+MINVU_Mes_Corriente!DR197*SALUD_Mes_Constante!$DP$1</f>
        <v>0</v>
      </c>
      <c r="DS197" s="8">
        <f>+MINVU_Mes_Corriente!DS197*SALUD_Mes_Constante!$DP$1</f>
        <v>0</v>
      </c>
      <c r="DT197" s="8">
        <f>+MINVU_Mes_Corriente!DT197*SALUD_Mes_Constante!$DP$1</f>
        <v>0</v>
      </c>
      <c r="DU197" s="8">
        <f>+MINVU_Mes_Corriente!DU197*SALUD_Mes_Constante!$DP$1</f>
        <v>151715.03622327792</v>
      </c>
      <c r="DV197" s="8">
        <f>+MINVU_Mes_Corriente!DV197*SALUD_Mes_Constante!$DP$1</f>
        <v>333692.84323040384</v>
      </c>
      <c r="DW197" s="8">
        <f>+MINVU_Mes_Corriente!DW197*SALUD_Mes_Constante!$DP$1</f>
        <v>337691.69002375298</v>
      </c>
      <c r="DX197" s="8">
        <f>+MINVU_Mes_Corriente!DX197*SALUD_Mes_Constante!$DP$1</f>
        <v>386947.3610451307</v>
      </c>
      <c r="DY197" s="8">
        <f>+MINVU_Mes_Corriente!DY197*SALUD_Mes_Constante!$DP$1</f>
        <v>414723.01781472686</v>
      </c>
      <c r="DZ197" s="8">
        <f>+MINVU_Mes_Corriente!DZ197*SALUD_Mes_Constante!$DP$1</f>
        <v>619382.2232779098</v>
      </c>
      <c r="EA197" s="8">
        <f>+MINVU_Mes_Corriente!EA197*SALUD_Mes_Constante!$DP$1</f>
        <v>891056.17517814739</v>
      </c>
      <c r="EB197" s="9">
        <f t="shared" si="104"/>
        <v>891056.17517814739</v>
      </c>
      <c r="EC197" s="8">
        <f>+MINVU_Mes_Corriente!EC197*SALUD_Mes_Constante!$EC$1</f>
        <v>0</v>
      </c>
      <c r="ED197" s="8">
        <f>+MINVU_Mes_Corriente!ED197*SALUD_Mes_Constante!$EC$1</f>
        <v>0</v>
      </c>
      <c r="EE197" s="8">
        <f>+MINVU_Mes_Corriente!EE197*SALUD_Mes_Constante!$EC$1</f>
        <v>5582.9977277030848</v>
      </c>
      <c r="EF197" s="8">
        <f>+MINVU_Mes_Corriente!EF197*SALUD_Mes_Constante!$EC$1</f>
        <v>12125.977277030861</v>
      </c>
      <c r="EG197" s="8">
        <f>+MINVU_Mes_Corriente!EG197*SALUD_Mes_Constante!$EC$1</f>
        <v>20297.20185570914</v>
      </c>
      <c r="EH197" s="8">
        <f>+MINVU_Mes_Corriente!EH197*SALUD_Mes_Constante!$EC$1</f>
        <v>26179.159439500087</v>
      </c>
      <c r="EI197" s="8">
        <f>+MINVU_Mes_Corriente!EI197*SALUD_Mes_Constante!$EC$1</f>
        <v>36688.270782048843</v>
      </c>
      <c r="EJ197" s="8">
        <f>+MINVU_Mes_Corriente!EJ197*SALUD_Mes_Constante!$EC$1</f>
        <v>92218.253739821972</v>
      </c>
      <c r="EK197" s="8">
        <f>+MINVU_Mes_Corriente!EK197*SALUD_Mes_Constante!$EC$1</f>
        <v>213082.8615792463</v>
      </c>
      <c r="EL197" s="8">
        <f>+MINVU_Mes_Corriente!EL197*SALUD_Mes_Constante!$EC$1</f>
        <v>352569.87540238578</v>
      </c>
      <c r="EM197" s="8">
        <f>+MINVU_Mes_Corriente!EM197*SALUD_Mes_Constante!$EC$1</f>
        <v>415198.34463169839</v>
      </c>
      <c r="EN197" s="8">
        <f>+MINVU_Mes_Corriente!EN197*SALUD_Mes_Constante!$EC$1</f>
        <v>738018.09373224748</v>
      </c>
      <c r="EO197" s="9">
        <f t="shared" si="105"/>
        <v>738018.09373224748</v>
      </c>
      <c r="EP197" s="8">
        <f>+MINVU_Mes_Corriente!EP197*SALUD_Mes_Constante!$EP$1</f>
        <v>2634</v>
      </c>
      <c r="EQ197" s="8">
        <f>+MINVU_Mes_Corriente!EQ197*SALUD_Mes_Constante!$EP$1</f>
        <v>15498</v>
      </c>
      <c r="ER197" s="8">
        <f>+MINVU_Mes_Corriente!ER197*SALUD_Mes_Constante!$EP$1</f>
        <v>29564</v>
      </c>
      <c r="ES197" s="8">
        <f>+MINVU_Mes_Corriente!ES197*SALUD_Mes_Constante!$EP$1</f>
        <v>34598</v>
      </c>
      <c r="ET197" s="8">
        <f>+MINVU_Mes_Corriente!ET197*SALUD_Mes_Constante!$EP$1</f>
        <v>67061</v>
      </c>
      <c r="EU197" s="8">
        <f>+MINVU_Mes_Corriente!EU197*SALUD_Mes_Constante!$EP$1</f>
        <v>84871</v>
      </c>
      <c r="EV197" s="8">
        <f>+MINVU_Mes_Corriente!EV197*SALUD_Mes_Constante!$EP$1</f>
        <v>90609</v>
      </c>
      <c r="EW197" s="8">
        <f>+MINVU_Mes_Corriente!EW197*SALUD_Mes_Constante!$EP$1</f>
        <v>101428</v>
      </c>
      <c r="EX197" s="8">
        <f>+MINVU_Mes_Corriente!EX197*SALUD_Mes_Constante!$EP$1</f>
        <v>155528</v>
      </c>
      <c r="EY197" s="8">
        <f>+MINVU_Mes_Corriente!EY197*SALUD_Mes_Constante!$EP$1</f>
        <v>231983</v>
      </c>
      <c r="EZ197" s="8">
        <f>+MINVU_Mes_Corriente!EZ197*SALUD_Mes_Constante!$EP$1</f>
        <v>573229</v>
      </c>
      <c r="FA197" s="8">
        <f>+MINVU_Mes_Corriente!FA197*SALUD_Mes_Constante!$EP$1</f>
        <v>1133324</v>
      </c>
      <c r="FB197" s="9">
        <f t="shared" si="106"/>
        <v>1133324</v>
      </c>
      <c r="FC197" s="8">
        <f>+MINVU_Mes_Corriente!FC197*SALUD_Mes_Constante!$FC$1</f>
        <v>0</v>
      </c>
      <c r="FD197" s="8">
        <f>+MINVU_Mes_Corriente!FD197*SALUD_Mes_Constante!$FC$1</f>
        <v>1998</v>
      </c>
      <c r="FE197" s="8">
        <f>+MINVU_Mes_Corriente!FE197*SALUD_Mes_Constante!$FC$1</f>
        <v>1998</v>
      </c>
      <c r="FF197" s="8">
        <f>+MINVU_Mes_Corriente!FF197*SALUD_Mes_Constante!$FC$1</f>
        <v>16954</v>
      </c>
      <c r="FG197" s="8">
        <f>+MINVU_Mes_Corriente!FG197*SALUD_Mes_Constante!$FC$1</f>
        <v>32342</v>
      </c>
      <c r="FH197" s="8">
        <f>+MINVU_Mes_Corriente!FH197*SALUD_Mes_Constante!$FC$1</f>
        <v>33019</v>
      </c>
      <c r="FI197" s="8">
        <f>+MINVU_Mes_Corriente!FI197*SALUD_Mes_Constante!$FC$1</f>
        <v>65902</v>
      </c>
      <c r="FJ197" s="8"/>
      <c r="FK197" s="8"/>
      <c r="FL197" s="8"/>
      <c r="FM197" s="8"/>
      <c r="FN197" s="8"/>
      <c r="FO197" s="9">
        <f t="shared" si="107"/>
        <v>65902</v>
      </c>
    </row>
    <row r="198" spans="2:171" ht="14.25" customHeight="1" x14ac:dyDescent="0.3">
      <c r="B198" s="7" t="s">
        <v>50</v>
      </c>
      <c r="C198" s="8">
        <f>+MINVU_Mes_Corriente!C198*SALUD_Mes_Constante!$C$1</f>
        <v>16067.361115230611</v>
      </c>
      <c r="D198" s="8">
        <f>+MINVU_Mes_Corriente!D198*SALUD_Mes_Constante!$C$1</f>
        <v>35274.954767907468</v>
      </c>
      <c r="E198" s="8">
        <f>+MINVU_Mes_Corriente!E198*SALUD_Mes_Constante!$C$1</f>
        <v>56572.796084828718</v>
      </c>
      <c r="F198" s="8">
        <f>+MINVU_Mes_Corriente!F198*SALUD_Mes_Constante!$C$1</f>
        <v>83303.660981758876</v>
      </c>
      <c r="G198" s="8">
        <f>+MINVU_Mes_Corriente!G198*SALUD_Mes_Constante!$C$1</f>
        <v>110872.24529141333</v>
      </c>
      <c r="H198" s="8">
        <f>+MINVU_Mes_Corriente!H198*SALUD_Mes_Constante!$C$1</f>
        <v>128908.32804389739</v>
      </c>
      <c r="I198" s="8">
        <f>+MINVU_Mes_Corriente!I198*SALUD_Mes_Constante!$C$1</f>
        <v>204828.06762568592</v>
      </c>
      <c r="J198" s="8">
        <f>+MINVU_Mes_Corriente!J198*SALUD_Mes_Constante!$C$1</f>
        <v>212829.34124277032</v>
      </c>
      <c r="K198" s="8">
        <f>+MINVU_Mes_Corriente!K198*SALUD_Mes_Constante!$C$1</f>
        <v>255966.2197834792</v>
      </c>
      <c r="L198" s="8">
        <f>+MINVU_Mes_Corriente!L198*SALUD_Mes_Constante!$C$1</f>
        <v>323633.53195906873</v>
      </c>
      <c r="M198" s="8">
        <f>+MINVU_Mes_Corriente!M198*SALUD_Mes_Constante!$C$1</f>
        <v>351934.513124722</v>
      </c>
      <c r="N198" s="8">
        <f>+MINVU_Mes_Corriente!N198*SALUD_Mes_Constante!$C$1</f>
        <v>2778203.2623461373</v>
      </c>
      <c r="O198" s="9">
        <f t="shared" si="95"/>
        <v>2778203.2623461373</v>
      </c>
      <c r="P198" s="8">
        <f>+MINVU_Mes_Corriente!P198*SALUD_Mes_Constante!$P$1</f>
        <v>1859.5465264952402</v>
      </c>
      <c r="Q198" s="8">
        <f>+MINVU_Mes_Corriente!Q198*SALUD_Mes_Constante!$P$1</f>
        <v>13577.173178008235</v>
      </c>
      <c r="R198" s="8">
        <f>+MINVU_Mes_Corriente!R198*SALUD_Mes_Constante!$P$1</f>
        <v>33054.293223469227</v>
      </c>
      <c r="S198" s="8">
        <f>+MINVU_Mes_Corriente!S198*SALUD_Mes_Constante!$P$1</f>
        <v>142914.99815314671</v>
      </c>
      <c r="T198" s="8">
        <f>+MINVU_Mes_Corriente!T198*SALUD_Mes_Constante!$P$1</f>
        <v>252165.68489842297</v>
      </c>
      <c r="U198" s="8">
        <f>+MINVU_Mes_Corriente!U198*SALUD_Mes_Constante!$P$1</f>
        <v>279428.68589288241</v>
      </c>
      <c r="V198" s="8">
        <f>+MINVU_Mes_Corriente!V198*SALUD_Mes_Constante!$P$1</f>
        <v>307483.31353885483</v>
      </c>
      <c r="W198" s="8">
        <f>+MINVU_Mes_Corriente!W198*SALUD_Mes_Constante!$P$1</f>
        <v>348734.82312828512</v>
      </c>
      <c r="X198" s="8">
        <f>+MINVU_Mes_Corriente!X198*SALUD_Mes_Constante!$P$1</f>
        <v>458496.1866742433</v>
      </c>
      <c r="Y198" s="8">
        <f>+MINVU_Mes_Corriente!Y198*SALUD_Mes_Constante!$P$1</f>
        <v>469561.88549509854</v>
      </c>
      <c r="Z198" s="8">
        <f>+MINVU_Mes_Corriente!Z198*SALUD_Mes_Constante!$P$1</f>
        <v>1154952.2403750529</v>
      </c>
      <c r="AA198" s="8">
        <f>+MINVU_Mes_Corriente!AA198*SALUD_Mes_Constante!$P$1</f>
        <v>8302184.5077425735</v>
      </c>
      <c r="AB198" s="9">
        <f t="shared" si="96"/>
        <v>8302184.5077425735</v>
      </c>
      <c r="AC198" s="8">
        <f>+MINVU_Mes_Corriente!AC198*SALUD_Mes_Constante!$AC$1</f>
        <v>1218.1983676857103</v>
      </c>
      <c r="AD198" s="8">
        <f>+MINVU_Mes_Corriente!AD198*SALUD_Mes_Constante!$AC$1</f>
        <v>36502.120071932492</v>
      </c>
      <c r="AE198" s="8">
        <f>+MINVU_Mes_Corriente!AE198*SALUD_Mes_Constante!$AC$1</f>
        <v>98912.870936505744</v>
      </c>
      <c r="AF198" s="8">
        <f>+MINVU_Mes_Corriente!AF198*SALUD_Mes_Constante!$AC$1</f>
        <v>124664.3148429935</v>
      </c>
      <c r="AG198" s="8">
        <f>+MINVU_Mes_Corriente!AG198*SALUD_Mes_Constante!$AC$1</f>
        <v>148088.18370452346</v>
      </c>
      <c r="AH198" s="8">
        <f>+MINVU_Mes_Corriente!AH198*SALUD_Mes_Constante!$AC$1</f>
        <v>172955.4513764006</v>
      </c>
      <c r="AI198" s="8">
        <f>+MINVU_Mes_Corriente!AI198*SALUD_Mes_Constante!$AC$1</f>
        <v>691579.97952690546</v>
      </c>
      <c r="AJ198" s="8">
        <f>+MINVU_Mes_Corriente!AJ198*SALUD_Mes_Constante!$AC$1</f>
        <v>714512.63936920732</v>
      </c>
      <c r="AK198" s="8">
        <f>+MINVU_Mes_Corriente!AK198*SALUD_Mes_Constante!$AC$1</f>
        <v>743821.94798727345</v>
      </c>
      <c r="AL198" s="8">
        <f>+MINVU_Mes_Corriente!AL198*SALUD_Mes_Constante!$AC$1</f>
        <v>773909.63397427031</v>
      </c>
      <c r="AM198" s="8">
        <f>+MINVU_Mes_Corriente!AM198*SALUD_Mes_Constante!$AC$1</f>
        <v>783783.69096693874</v>
      </c>
      <c r="AN198" s="8">
        <f>+MINVU_Mes_Corriente!AN198*SALUD_Mes_Constante!$AC$1</f>
        <v>3553622.1770646009</v>
      </c>
      <c r="AO198" s="9">
        <f t="shared" si="97"/>
        <v>3553622.1770646009</v>
      </c>
      <c r="AP198" s="8">
        <f>+MINVU_Mes_Corriente!AP198*SALUD_Mes_Constante!$AP$1</f>
        <v>23247.122954145812</v>
      </c>
      <c r="AQ198" s="8">
        <f>+MINVU_Mes_Corriente!AQ198*SALUD_Mes_Constante!$AP$1</f>
        <v>39307.29365616123</v>
      </c>
      <c r="AR198" s="8">
        <f>+MINVU_Mes_Corriente!AR198*SALUD_Mes_Constante!$AP$1</f>
        <v>82027.022588935477</v>
      </c>
      <c r="AS198" s="8">
        <f>+MINVU_Mes_Corriente!AS198*SALUD_Mes_Constante!$AP$1</f>
        <v>118409.5828486406</v>
      </c>
      <c r="AT198" s="8">
        <f>+MINVU_Mes_Corriente!AT198*SALUD_Mes_Constante!$AP$1</f>
        <v>133859.38725821723</v>
      </c>
      <c r="AU198" s="8">
        <f>+MINVU_Mes_Corriente!AU198*SALUD_Mes_Constante!$AP$1</f>
        <v>182412.32625456512</v>
      </c>
      <c r="AV198" s="8">
        <f>+MINVU_Mes_Corriente!AV198*SALUD_Mes_Constante!$AP$1</f>
        <v>209872.89787636953</v>
      </c>
      <c r="AW198" s="8">
        <f>+MINVU_Mes_Corriente!AW198*SALUD_Mes_Constante!$AP$1</f>
        <v>260602.76071959961</v>
      </c>
      <c r="AX198" s="8">
        <f>+MINVU_Mes_Corriente!AX198*SALUD_Mes_Constante!$AP$1</f>
        <v>355865.71675909642</v>
      </c>
      <c r="AY198" s="8">
        <f>+MINVU_Mes_Corriente!AY198*SALUD_Mes_Constante!$AP$1</f>
        <v>393302.00865683751</v>
      </c>
      <c r="AZ198" s="8">
        <f>+MINVU_Mes_Corriente!AZ198*SALUD_Mes_Constante!$AP$1</f>
        <v>473659.02177735692</v>
      </c>
      <c r="BA198" s="8">
        <f>+MINVU_Mes_Corriente!BA198*SALUD_Mes_Constante!$AP$1</f>
        <v>3609385.5525497091</v>
      </c>
      <c r="BB198" s="9">
        <f t="shared" si="98"/>
        <v>3609385.5525497091</v>
      </c>
      <c r="BC198" s="8">
        <f>+MINVU_Mes_Corriente!BC198*SALUD_Mes_Constante!$BC$1</f>
        <v>0</v>
      </c>
      <c r="BD198" s="8">
        <f>+MINVU_Mes_Corriente!BD198*SALUD_Mes_Constante!$BC$1</f>
        <v>25954.112884082824</v>
      </c>
      <c r="BE198" s="8">
        <f>+MINVU_Mes_Corriente!BE198*SALUD_Mes_Constante!$BC$1</f>
        <v>136555.54846366876</v>
      </c>
      <c r="BF198" s="8">
        <f>+MINVU_Mes_Corriente!BF198*SALUD_Mes_Constante!$BC$1</f>
        <v>198252.93999736258</v>
      </c>
      <c r="BG198" s="8">
        <f>+MINVU_Mes_Corriente!BG198*SALUD_Mes_Constante!$BC$1</f>
        <v>220666.87326915475</v>
      </c>
      <c r="BH198" s="8">
        <f>+MINVU_Mes_Corriente!BH198*SALUD_Mes_Constante!$BC$1</f>
        <v>238338.95423974688</v>
      </c>
      <c r="BI198" s="8">
        <f>+MINVU_Mes_Corriente!BI198*SALUD_Mes_Constante!$BC$1</f>
        <v>249969.53211130167</v>
      </c>
      <c r="BJ198" s="8">
        <f>+MINVU_Mes_Corriente!BJ198*SALUD_Mes_Constante!$BC$1</f>
        <v>263146.14690755645</v>
      </c>
      <c r="BK198" s="8">
        <f>+MINVU_Mes_Corriente!BK198*SALUD_Mes_Constante!$BC$1</f>
        <v>471819.34696030605</v>
      </c>
      <c r="BL198" s="8">
        <f>+MINVU_Mes_Corriente!BL198*SALUD_Mes_Constante!$BC$1</f>
        <v>484050.76117631554</v>
      </c>
      <c r="BM198" s="8">
        <f>+MINVU_Mes_Corriente!BM198*SALUD_Mes_Constante!$BC$1</f>
        <v>1111009.7984966375</v>
      </c>
      <c r="BN198" s="8">
        <f>+MINVU_Mes_Corriente!BN198*SALUD_Mes_Constante!$BC$1</f>
        <v>6225546.3315310581</v>
      </c>
      <c r="BO198" s="9">
        <f t="shared" si="99"/>
        <v>6225546.3315310581</v>
      </c>
      <c r="BP198" s="8">
        <f>+MINVU_Mes_Corriente!BP198*SALUD_Mes_Constante!$BP$1</f>
        <v>0</v>
      </c>
      <c r="BQ198" s="8">
        <f>+MINVU_Mes_Corriente!BQ198*SALUD_Mes_Constante!$BP$1</f>
        <v>0</v>
      </c>
      <c r="BR198" s="8">
        <f>+MINVU_Mes_Corriente!BR198*SALUD_Mes_Constante!$BP$1</f>
        <v>0</v>
      </c>
      <c r="BS198" s="8">
        <f>+MINVU_Mes_Corriente!BS198*SALUD_Mes_Constante!$BP$1</f>
        <v>0</v>
      </c>
      <c r="BT198" s="8">
        <f>+MINVU_Mes_Corriente!BT198*SALUD_Mes_Constante!$BP$1</f>
        <v>0</v>
      </c>
      <c r="BU198" s="8">
        <f>+MINVU_Mes_Corriente!BU198*SALUD_Mes_Constante!$BP$1</f>
        <v>0</v>
      </c>
      <c r="BV198" s="8">
        <f>+MINVU_Mes_Corriente!BV198*SALUD_Mes_Constante!$BP$1</f>
        <v>0</v>
      </c>
      <c r="BW198" s="8">
        <f>+MINVU_Mes_Corriente!BW198*SALUD_Mes_Constante!$BP$1</f>
        <v>0</v>
      </c>
      <c r="BX198" s="8">
        <f>+MINVU_Mes_Corriente!BX198*SALUD_Mes_Constante!$BP$1</f>
        <v>265767.6053777209</v>
      </c>
      <c r="BY198" s="8">
        <f>+MINVU_Mes_Corriente!BY198*SALUD_Mes_Constante!$BP$1</f>
        <v>567756.08988476323</v>
      </c>
      <c r="BZ198" s="8">
        <f>+MINVU_Mes_Corriente!BZ198*SALUD_Mes_Constante!$BP$1</f>
        <v>586265.93700384127</v>
      </c>
      <c r="CA198" s="8">
        <f>+MINVU_Mes_Corriente!CA198*SALUD_Mes_Constante!$BP$1</f>
        <v>1188599.1096030732</v>
      </c>
      <c r="CB198" s="9">
        <f t="shared" si="100"/>
        <v>1188599.1096030732</v>
      </c>
      <c r="CC198" s="8">
        <f>+MINVU_Mes_Corriente!CC198*SALUD_Mes_Constante!$CC$1</f>
        <v>825.93659082431941</v>
      </c>
      <c r="CD198" s="8">
        <f>+MINVU_Mes_Corriente!CD198*SALUD_Mes_Constante!$CC$1</f>
        <v>615.3770980977248</v>
      </c>
      <c r="CE198" s="8">
        <f>+MINVU_Mes_Corriente!CE198*SALUD_Mes_Constante!$CC$1</f>
        <v>615.3770980977248</v>
      </c>
      <c r="CF198" s="8">
        <f>+MINVU_Mes_Corriente!CF198*SALUD_Mes_Constante!$CC$1</f>
        <v>6728.3946288698253</v>
      </c>
      <c r="CG198" s="8">
        <f>+MINVU_Mes_Corriente!CG198*SALUD_Mes_Constante!$CC$1</f>
        <v>6728.3946288698253</v>
      </c>
      <c r="CH198" s="8">
        <f>+MINVU_Mes_Corriente!CH198*SALUD_Mes_Constante!$CC$1</f>
        <v>628240.24543080945</v>
      </c>
      <c r="CI198" s="8">
        <f>+MINVU_Mes_Corriente!CI198*SALUD_Mes_Constante!$CC$1</f>
        <v>794155.69190600526</v>
      </c>
      <c r="CJ198" s="8">
        <f>+MINVU_Mes_Corriente!CJ198*SALUD_Mes_Constante!$CC$1</f>
        <v>1024066.281238344</v>
      </c>
      <c r="CK198" s="8">
        <f>+MINVU_Mes_Corriente!CK198*SALUD_Mes_Constante!$CC$1</f>
        <v>1340868.6602014175</v>
      </c>
      <c r="CL198" s="8">
        <f>+MINVU_Mes_Corriente!CL198*SALUD_Mes_Constante!$CC$1</f>
        <v>1603777.3181648641</v>
      </c>
      <c r="CM198" s="8">
        <f>+MINVU_Mes_Corriente!CM198*SALUD_Mes_Constante!$CC$1</f>
        <v>1674829.6001491982</v>
      </c>
      <c r="CN198" s="8">
        <f>+MINVU_Mes_Corriente!CN198*SALUD_Mes_Constante!$CC$1</f>
        <v>3424022.0208877288</v>
      </c>
      <c r="CO198" s="9">
        <f t="shared" si="101"/>
        <v>3424022.0208877288</v>
      </c>
      <c r="CP198" s="8">
        <f>+MINVU_Mes_Corriente!CP198*SALUD_Mes_Constante!$CP$1</f>
        <v>16438.43317865429</v>
      </c>
      <c r="CQ198" s="8">
        <f>+MINVU_Mes_Corriente!CQ198*SALUD_Mes_Constante!$CP$1</f>
        <v>104226.68839907191</v>
      </c>
      <c r="CR198" s="8">
        <f>+MINVU_Mes_Corriente!CR198*SALUD_Mes_Constante!$CP$1</f>
        <v>125836.592575406</v>
      </c>
      <c r="CS198" s="8">
        <f>+MINVU_Mes_Corriente!CS198*SALUD_Mes_Constante!$CP$1</f>
        <v>139579.01624129928</v>
      </c>
      <c r="CT198" s="8">
        <f>+MINVU_Mes_Corriente!CT198*SALUD_Mes_Constante!$CP$1</f>
        <v>177017.67772621807</v>
      </c>
      <c r="CU198" s="8">
        <f>+MINVU_Mes_Corriente!CU198*SALUD_Mes_Constante!$CP$1</f>
        <v>195234.43781902548</v>
      </c>
      <c r="CV198" s="8">
        <f>+MINVU_Mes_Corriente!CV198*SALUD_Mes_Constante!$CP$1</f>
        <v>204655.89466357304</v>
      </c>
      <c r="CW198" s="8">
        <f>+MINVU_Mes_Corriente!CW198*SALUD_Mes_Constante!$CP$1</f>
        <v>218173.96774941991</v>
      </c>
      <c r="CX198" s="8">
        <f>+MINVU_Mes_Corriente!CX198*SALUD_Mes_Constante!$CP$1</f>
        <v>220677.31461716932</v>
      </c>
      <c r="CY198" s="8">
        <f>+MINVU_Mes_Corriente!CY198*SALUD_Mes_Constante!$CP$1</f>
        <v>220677.31461716932</v>
      </c>
      <c r="CZ198" s="8">
        <f>+MINVU_Mes_Corriente!CZ198*SALUD_Mes_Constante!$CP$1</f>
        <v>227235.4496519721</v>
      </c>
      <c r="DA198" s="8">
        <f>+MINVU_Mes_Corriente!DA198*SALUD_Mes_Constante!$CP$1</f>
        <v>1724947.9538283059</v>
      </c>
      <c r="DB198" s="9">
        <f t="shared" si="102"/>
        <v>1724947.9538283059</v>
      </c>
      <c r="DC198" s="8">
        <f>+MINVU_Mes_Corriente!DC198*SALUD_Mes_Constante!$DC$1</f>
        <v>0</v>
      </c>
      <c r="DD198" s="8">
        <f>+MINVU_Mes_Corriente!DD198*SALUD_Mes_Constante!$DC$1</f>
        <v>33751.348009464062</v>
      </c>
      <c r="DE198" s="8">
        <f>+MINVU_Mes_Corriente!DE198*SALUD_Mes_Constante!$DC$1</f>
        <v>156878.74724822555</v>
      </c>
      <c r="DF198" s="8">
        <f>+MINVU_Mes_Corriente!DF198*SALUD_Mes_Constante!$DC$1</f>
        <v>179654.64108630808</v>
      </c>
      <c r="DG198" s="8">
        <f>+MINVU_Mes_Corriente!DG198*SALUD_Mes_Constante!$DC$1</f>
        <v>233926.09834379191</v>
      </c>
      <c r="DH198" s="8">
        <f>+MINVU_Mes_Corriente!DH198*SALUD_Mes_Constante!$DC$1</f>
        <v>267175.03693035711</v>
      </c>
      <c r="DI198" s="8">
        <f>+MINVU_Mes_Corriente!DI198*SALUD_Mes_Constante!$DC$1</f>
        <v>288759.53482152056</v>
      </c>
      <c r="DJ198" s="8">
        <f>+MINVU_Mes_Corriente!DJ198*SALUD_Mes_Constante!$DC$1</f>
        <v>313724.89970167691</v>
      </c>
      <c r="DK198" s="8">
        <f>+MINVU_Mes_Corriente!DK198*SALUD_Mes_Constante!$DC$1</f>
        <v>351308.94599321077</v>
      </c>
      <c r="DL198" s="8">
        <f>+MINVU_Mes_Corriente!DL198*SALUD_Mes_Constante!$DC$1</f>
        <v>361168.30943318608</v>
      </c>
      <c r="DM198" s="8">
        <f>+MINVU_Mes_Corriente!DM198*SALUD_Mes_Constante!$DC$1</f>
        <v>363709.57946713321</v>
      </c>
      <c r="DN198" s="8">
        <f>+MINVU_Mes_Corriente!DN198*SALUD_Mes_Constante!$DC$1</f>
        <v>2387902.5328669902</v>
      </c>
      <c r="DO198" s="9">
        <f t="shared" si="103"/>
        <v>2387902.5328669902</v>
      </c>
      <c r="DP198" s="8">
        <f>+MINVU_Mes_Corriente!DP198*SALUD_Mes_Constante!$DP$1</f>
        <v>5362.4340855106893</v>
      </c>
      <c r="DQ198" s="8">
        <f>+MINVU_Mes_Corriente!DQ198*SALUD_Mes_Constante!$DP$1</f>
        <v>10788.668052256533</v>
      </c>
      <c r="DR198" s="8">
        <f>+MINVU_Mes_Corriente!DR198*SALUD_Mes_Constante!$DP$1</f>
        <v>20906.896674584325</v>
      </c>
      <c r="DS198" s="8">
        <f>+MINVU_Mes_Corriente!DS198*SALUD_Mes_Constante!$DP$1</f>
        <v>69525.650237529699</v>
      </c>
      <c r="DT198" s="8">
        <f>+MINVU_Mes_Corriente!DT198*SALUD_Mes_Constante!$DP$1</f>
        <v>91137.589667458436</v>
      </c>
      <c r="DU198" s="8">
        <f>+MINVU_Mes_Corriente!DU198*SALUD_Mes_Constante!$DP$1</f>
        <v>118136.83432304038</v>
      </c>
      <c r="DV198" s="8">
        <f>+MINVU_Mes_Corriente!DV198*SALUD_Mes_Constante!$DP$1</f>
        <v>229895.84323040381</v>
      </c>
      <c r="DW198" s="8">
        <f>+MINVU_Mes_Corriente!DW198*SALUD_Mes_Constante!$DP$1</f>
        <v>265732.9934679335</v>
      </c>
      <c r="DX198" s="8">
        <f>+MINVU_Mes_Corriente!DX198*SALUD_Mes_Constante!$DP$1</f>
        <v>367463.52612826606</v>
      </c>
      <c r="DY198" s="8">
        <f>+MINVU_Mes_Corriente!DY198*SALUD_Mes_Constante!$DP$1</f>
        <v>490868.7167458433</v>
      </c>
      <c r="DZ198" s="8">
        <f>+MINVU_Mes_Corriente!DZ198*SALUD_Mes_Constante!$DP$1</f>
        <v>523468.29334916867</v>
      </c>
      <c r="EA198" s="8">
        <f>+MINVU_Mes_Corriente!EA198*SALUD_Mes_Constante!$DP$1</f>
        <v>1784387.5190023754</v>
      </c>
      <c r="EB198" s="9">
        <f t="shared" si="104"/>
        <v>1784387.5190023754</v>
      </c>
      <c r="EC198" s="8">
        <f>+MINVU_Mes_Corriente!EC198*SALUD_Mes_Constante!$EC$1</f>
        <v>0</v>
      </c>
      <c r="ED198" s="8">
        <f>+MINVU_Mes_Corriente!ED198*SALUD_Mes_Constante!$EC$1</f>
        <v>44547.087483431154</v>
      </c>
      <c r="EE198" s="8">
        <f>+MINVU_Mes_Corriente!EE198*SALUD_Mes_Constante!$EC$1</f>
        <v>60013.346335921211</v>
      </c>
      <c r="EF198" s="8">
        <f>+MINVU_Mes_Corriente!EF198*SALUD_Mes_Constante!$EC$1</f>
        <v>64053.959477371689</v>
      </c>
      <c r="EG198" s="8">
        <f>+MINVU_Mes_Corriente!EG198*SALUD_Mes_Constante!$EC$1</f>
        <v>97341.949820109803</v>
      </c>
      <c r="EH198" s="8">
        <f>+MINVU_Mes_Corriente!EH198*SALUD_Mes_Constante!$EC$1</f>
        <v>99520.529255822723</v>
      </c>
      <c r="EI198" s="8">
        <f>+MINVU_Mes_Corriente!EI198*SALUD_Mes_Constante!$EC$1</f>
        <v>121729.41904942242</v>
      </c>
      <c r="EJ198" s="8">
        <f>+MINVU_Mes_Corriente!EJ198*SALUD_Mes_Constante!$EC$1</f>
        <v>172442.94148835444</v>
      </c>
      <c r="EK198" s="8">
        <f>+MINVU_Mes_Corriente!EK198*SALUD_Mes_Constante!$EC$1</f>
        <v>211421.51372846044</v>
      </c>
      <c r="EL198" s="8">
        <f>+MINVU_Mes_Corriente!EL198*SALUD_Mes_Constante!$EC$1</f>
        <v>654778.98030675983</v>
      </c>
      <c r="EM198" s="8">
        <f>+MINVU_Mes_Corriente!EM198*SALUD_Mes_Constante!$EC$1</f>
        <v>1079075.428517326</v>
      </c>
      <c r="EN198" s="8">
        <f>+MINVU_Mes_Corriente!EN198*SALUD_Mes_Constante!$EC$1</f>
        <v>1564781.7483431164</v>
      </c>
      <c r="EO198" s="9">
        <f t="shared" si="105"/>
        <v>1564781.7483431164</v>
      </c>
      <c r="EP198" s="8">
        <f>+MINVU_Mes_Corriente!EP198*SALUD_Mes_Constante!$EP$1</f>
        <v>3738</v>
      </c>
      <c r="EQ198" s="8">
        <f>+MINVU_Mes_Corriente!EQ198*SALUD_Mes_Constante!$EP$1</f>
        <v>19756</v>
      </c>
      <c r="ER198" s="8">
        <f>+MINVU_Mes_Corriente!ER198*SALUD_Mes_Constante!$EP$1</f>
        <v>24707</v>
      </c>
      <c r="ES198" s="8">
        <f>+MINVU_Mes_Corriente!ES198*SALUD_Mes_Constante!$EP$1</f>
        <v>35791</v>
      </c>
      <c r="ET198" s="8">
        <f>+MINVU_Mes_Corriente!ET198*SALUD_Mes_Constante!$EP$1</f>
        <v>88140</v>
      </c>
      <c r="EU198" s="8">
        <f>+MINVU_Mes_Corriente!EU198*SALUD_Mes_Constante!$EP$1</f>
        <v>122349</v>
      </c>
      <c r="EV198" s="8">
        <f>+MINVU_Mes_Corriente!EV198*SALUD_Mes_Constante!$EP$1</f>
        <v>133547</v>
      </c>
      <c r="EW198" s="8">
        <f>+MINVU_Mes_Corriente!EW198*SALUD_Mes_Constante!$EP$1</f>
        <v>176145</v>
      </c>
      <c r="EX198" s="8">
        <f>+MINVU_Mes_Corriente!EX198*SALUD_Mes_Constante!$EP$1</f>
        <v>403471</v>
      </c>
      <c r="EY198" s="8">
        <f>+MINVU_Mes_Corriente!EY198*SALUD_Mes_Constante!$EP$1</f>
        <v>954829</v>
      </c>
      <c r="EZ198" s="8">
        <f>+MINVU_Mes_Corriente!EZ198*SALUD_Mes_Constante!$EP$1</f>
        <v>1140207</v>
      </c>
      <c r="FA198" s="8">
        <f>+MINVU_Mes_Corriente!FA198*SALUD_Mes_Constante!$EP$1</f>
        <v>2498697</v>
      </c>
      <c r="FB198" s="9">
        <f t="shared" si="106"/>
        <v>2498697</v>
      </c>
      <c r="FC198" s="8">
        <f>+MINVU_Mes_Corriente!FC198*SALUD_Mes_Constante!$FC$1</f>
        <v>14466</v>
      </c>
      <c r="FD198" s="8">
        <f>+MINVU_Mes_Corriente!FD198*SALUD_Mes_Constante!$FC$1</f>
        <v>22679</v>
      </c>
      <c r="FE198" s="8">
        <f>+MINVU_Mes_Corriente!FE198*SALUD_Mes_Constante!$FC$1</f>
        <v>29403</v>
      </c>
      <c r="FF198" s="8">
        <f>+MINVU_Mes_Corriente!FF198*SALUD_Mes_Constante!$FC$1</f>
        <v>52978</v>
      </c>
      <c r="FG198" s="8">
        <f>+MINVU_Mes_Corriente!FG198*SALUD_Mes_Constante!$FC$1</f>
        <v>74547</v>
      </c>
      <c r="FH198" s="8">
        <f>+MINVU_Mes_Corriente!FH198*SALUD_Mes_Constante!$FC$1</f>
        <v>154893</v>
      </c>
      <c r="FI198" s="8">
        <f>+MINVU_Mes_Corriente!FI198*SALUD_Mes_Constante!$FC$1</f>
        <v>240379</v>
      </c>
      <c r="FJ198" s="8"/>
      <c r="FK198" s="8"/>
      <c r="FL198" s="8"/>
      <c r="FM198" s="8"/>
      <c r="FN198" s="8"/>
      <c r="FO198" s="9">
        <f t="shared" si="107"/>
        <v>240379</v>
      </c>
    </row>
    <row r="199" spans="2:171" ht="14.25" customHeight="1" x14ac:dyDescent="0.3">
      <c r="B199" s="7" t="s">
        <v>51</v>
      </c>
      <c r="C199" s="8">
        <f>+MINVU_Mes_Corriente!C199*SALUD_Mes_Constante!$C$1</f>
        <v>0</v>
      </c>
      <c r="D199" s="8">
        <f>+MINVU_Mes_Corriente!D199*SALUD_Mes_Constante!$C$1</f>
        <v>1129.3818775025954</v>
      </c>
      <c r="E199" s="8">
        <f>+MINVU_Mes_Corriente!E199*SALUD_Mes_Constante!$C$1</f>
        <v>12622.503336793714</v>
      </c>
      <c r="F199" s="8">
        <f>+MINVU_Mes_Corriente!F199*SALUD_Mes_Constante!$C$1</f>
        <v>40745.246329526926</v>
      </c>
      <c r="G199" s="8">
        <f>+MINVU_Mes_Corriente!G199*SALUD_Mes_Constante!$C$1</f>
        <v>58274.160462702072</v>
      </c>
      <c r="H199" s="8">
        <f>+MINVU_Mes_Corriente!H199*SALUD_Mes_Constante!$C$1</f>
        <v>155676.4609224381</v>
      </c>
      <c r="I199" s="8">
        <f>+MINVU_Mes_Corriente!I199*SALUD_Mes_Constante!$C$1</f>
        <v>177301.61233872166</v>
      </c>
      <c r="J199" s="8">
        <f>+MINVU_Mes_Corriente!J199*SALUD_Mes_Constante!$C$1</f>
        <v>243189.78347916363</v>
      </c>
      <c r="K199" s="8">
        <f>+MINVU_Mes_Corriente!K199*SALUD_Mes_Constante!$C$1</f>
        <v>260389.76716594992</v>
      </c>
      <c r="L199" s="8">
        <f>+MINVU_Mes_Corriente!L199*SALUD_Mes_Constante!$C$1</f>
        <v>316896.12902269023</v>
      </c>
      <c r="M199" s="8">
        <f>+MINVU_Mes_Corriente!M199*SALUD_Mes_Constante!$C$1</f>
        <v>356063.15734836133</v>
      </c>
      <c r="N199" s="8">
        <f>+MINVU_Mes_Corriente!N199*SALUD_Mes_Constante!$C$1</f>
        <v>1754856.894260715</v>
      </c>
      <c r="O199" s="9">
        <f t="shared" si="95"/>
        <v>1754856.894260715</v>
      </c>
      <c r="P199" s="8">
        <f>+MINVU_Mes_Corriente!P199*SALUD_Mes_Constante!$P$1</f>
        <v>0</v>
      </c>
      <c r="Q199" s="8">
        <f>+MINVU_Mes_Corriente!Q199*SALUD_Mes_Constante!$P$1</f>
        <v>36478.466543543102</v>
      </c>
      <c r="R199" s="8">
        <f>+MINVU_Mes_Corriente!R199*SALUD_Mes_Constante!$P$1</f>
        <v>47520.882227589129</v>
      </c>
      <c r="S199" s="8">
        <f>+MINVU_Mes_Corriente!S199*SALUD_Mes_Constante!$P$1</f>
        <v>56318.803523227711</v>
      </c>
      <c r="T199" s="8">
        <f>+MINVU_Mes_Corriente!T199*SALUD_Mes_Constante!$P$1</f>
        <v>57143.026566273598</v>
      </c>
      <c r="U199" s="8">
        <f>+MINVU_Mes_Corriente!U199*SALUD_Mes_Constante!$P$1</f>
        <v>204137.23028839316</v>
      </c>
      <c r="V199" s="8">
        <f>+MINVU_Mes_Corriente!V199*SALUD_Mes_Constante!$P$1</f>
        <v>235999.42690723104</v>
      </c>
      <c r="W199" s="8">
        <f>+MINVU_Mes_Corriente!W199*SALUD_Mes_Constante!$P$1</f>
        <v>251279.37349055253</v>
      </c>
      <c r="X199" s="8">
        <f>+MINVU_Mes_Corriente!X199*SALUD_Mes_Constante!$P$1</f>
        <v>269994.35885779222</v>
      </c>
      <c r="Y199" s="8">
        <f>+MINVU_Mes_Corriente!Y199*SALUD_Mes_Constante!$P$1</f>
        <v>294759.85537718417</v>
      </c>
      <c r="Z199" s="8">
        <f>+MINVU_Mes_Corriente!Z199*SALUD_Mes_Constante!$P$1</f>
        <v>394296.81744565972</v>
      </c>
      <c r="AA199" s="8">
        <f>+MINVU_Mes_Corriente!AA199*SALUD_Mes_Constante!$P$1</f>
        <v>8914807.2990481574</v>
      </c>
      <c r="AB199" s="9">
        <f t="shared" si="96"/>
        <v>8914807.2990481574</v>
      </c>
      <c r="AC199" s="8">
        <f>+MINVU_Mes_Corriente!AC199*SALUD_Mes_Constante!$AC$1</f>
        <v>0</v>
      </c>
      <c r="AD199" s="8">
        <f>+MINVU_Mes_Corriente!AD199*SALUD_Mes_Constante!$AC$1</f>
        <v>15966.560243463826</v>
      </c>
      <c r="AE199" s="8">
        <f>+MINVU_Mes_Corriente!AE199*SALUD_Mes_Constante!$AC$1</f>
        <v>34024.915202655968</v>
      </c>
      <c r="AF199" s="8">
        <f>+MINVU_Mes_Corriente!AF199*SALUD_Mes_Constante!$AC$1</f>
        <v>46291.537972056991</v>
      </c>
      <c r="AG199" s="8">
        <f>+MINVU_Mes_Corriente!AG199*SALUD_Mes_Constante!$AC$1</f>
        <v>75145.911467699538</v>
      </c>
      <c r="AH199" s="8">
        <f>+MINVU_Mes_Corriente!AH199*SALUD_Mes_Constante!$AC$1</f>
        <v>99289.212615852812</v>
      </c>
      <c r="AI199" s="8">
        <f>+MINVU_Mes_Corriente!AI199*SALUD_Mes_Constante!$AC$1</f>
        <v>136775.26213860838</v>
      </c>
      <c r="AJ199" s="8">
        <f>+MINVU_Mes_Corriente!AJ199*SALUD_Mes_Constante!$AC$1</f>
        <v>168277.63010098215</v>
      </c>
      <c r="AK199" s="8">
        <f>+MINVU_Mes_Corriente!AK199*SALUD_Mes_Constante!$AC$1</f>
        <v>185448.78600082998</v>
      </c>
      <c r="AL199" s="8">
        <f>+MINVU_Mes_Corriente!AL199*SALUD_Mes_Constante!$AC$1</f>
        <v>535776.03568958363</v>
      </c>
      <c r="AM199" s="8">
        <f>+MINVU_Mes_Corriente!AM199*SALUD_Mes_Constante!$AC$1</f>
        <v>673607.77507262409</v>
      </c>
      <c r="AN199" s="8">
        <f>+MINVU_Mes_Corriente!AN199*SALUD_Mes_Constante!$AC$1</f>
        <v>1041662.3804122285</v>
      </c>
      <c r="AO199" s="9">
        <f t="shared" si="97"/>
        <v>1041662.3804122285</v>
      </c>
      <c r="AP199" s="8">
        <f>+MINVU_Mes_Corriente!AP199*SALUD_Mes_Constante!$AP$1</f>
        <v>2779.9007168943594</v>
      </c>
      <c r="AQ199" s="8">
        <f>+MINVU_Mes_Corriente!AQ199*SALUD_Mes_Constante!$AP$1</f>
        <v>20306.132828351143</v>
      </c>
      <c r="AR199" s="8">
        <f>+MINVU_Mes_Corriente!AR199*SALUD_Mes_Constante!$AP$1</f>
        <v>53970.863519545514</v>
      </c>
      <c r="AS199" s="8">
        <f>+MINVU_Mes_Corriente!AS199*SALUD_Mes_Constante!$AP$1</f>
        <v>122207.74597592316</v>
      </c>
      <c r="AT199" s="8">
        <f>+MINVU_Mes_Corriente!AT199*SALUD_Mes_Constante!$AP$1</f>
        <v>167154.64682808061</v>
      </c>
      <c r="AU199" s="8">
        <f>+MINVU_Mes_Corriente!AU199*SALUD_Mes_Constante!$AP$1</f>
        <v>201652.9043689977</v>
      </c>
      <c r="AV199" s="8">
        <f>+MINVU_Mes_Corriente!AV199*SALUD_Mes_Constante!$AP$1</f>
        <v>228639.0750710131</v>
      </c>
      <c r="AW199" s="8">
        <f>+MINVU_Mes_Corriente!AW199*SALUD_Mes_Constante!$AP$1</f>
        <v>298749.91505478154</v>
      </c>
      <c r="AX199" s="8">
        <f>+MINVU_Mes_Corriente!AX199*SALUD_Mes_Constante!$AP$1</f>
        <v>320418.65737860138</v>
      </c>
      <c r="AY199" s="8">
        <f>+MINVU_Mes_Corriente!AY199*SALUD_Mes_Constante!$AP$1</f>
        <v>373080.11524414987</v>
      </c>
      <c r="AZ199" s="8">
        <f>+MINVU_Mes_Corriente!AZ199*SALUD_Mes_Constante!$AP$1</f>
        <v>438712.9652373867</v>
      </c>
      <c r="BA199" s="8">
        <f>+MINVU_Mes_Corriente!BA199*SALUD_Mes_Constante!$AP$1</f>
        <v>4882979.1096983626</v>
      </c>
      <c r="BB199" s="9">
        <f t="shared" si="98"/>
        <v>4882979.1096983626</v>
      </c>
      <c r="BC199" s="8">
        <f>+MINVU_Mes_Corriente!BC199*SALUD_Mes_Constante!$BC$1</f>
        <v>61508.639588553357</v>
      </c>
      <c r="BD199" s="8">
        <f>+MINVU_Mes_Corriente!BD199*SALUD_Mes_Constante!$BC$1</f>
        <v>73655.043386522506</v>
      </c>
      <c r="BE199" s="8">
        <f>+MINVU_Mes_Corriente!BE199*SALUD_Mes_Constante!$BC$1</f>
        <v>100881.43083212452</v>
      </c>
      <c r="BF199" s="8">
        <f>+MINVU_Mes_Corriente!BF199*SALUD_Mes_Constante!$BC$1</f>
        <v>122814.1186865357</v>
      </c>
      <c r="BG199" s="8">
        <f>+MINVU_Mes_Corriente!BG199*SALUD_Mes_Constante!$BC$1</f>
        <v>138615.97046024003</v>
      </c>
      <c r="BH199" s="8">
        <f>+MINVU_Mes_Corriente!BH199*SALUD_Mes_Constante!$BC$1</f>
        <v>166100.27086904924</v>
      </c>
      <c r="BI199" s="8">
        <f>+MINVU_Mes_Corriente!BI199*SALUD_Mes_Constante!$BC$1</f>
        <v>655875.54714492965</v>
      </c>
      <c r="BJ199" s="8">
        <f>+MINVU_Mes_Corriente!BJ199*SALUD_Mes_Constante!$BC$1</f>
        <v>686611.85625741805</v>
      </c>
      <c r="BK199" s="8">
        <f>+MINVU_Mes_Corriente!BK199*SALUD_Mes_Constante!$BC$1</f>
        <v>729380.74165897421</v>
      </c>
      <c r="BL199" s="8">
        <f>+MINVU_Mes_Corriente!BL199*SALUD_Mes_Constante!$BC$1</f>
        <v>937379.6217855732</v>
      </c>
      <c r="BM199" s="8">
        <f>+MINVU_Mes_Corriente!BM199*SALUD_Mes_Constante!$BC$1</f>
        <v>1621691.8741922725</v>
      </c>
      <c r="BN199" s="8">
        <f>+MINVU_Mes_Corriente!BN199*SALUD_Mes_Constante!$BC$1</f>
        <v>8970740.2131082714</v>
      </c>
      <c r="BO199" s="9">
        <f t="shared" si="99"/>
        <v>8970740.2131082714</v>
      </c>
      <c r="BP199" s="8">
        <f>+MINVU_Mes_Corriente!BP199*SALUD_Mes_Constante!$BP$1</f>
        <v>0</v>
      </c>
      <c r="BQ199" s="8">
        <f>+MINVU_Mes_Corriente!BQ199*SALUD_Mes_Constante!$BP$1</f>
        <v>0</v>
      </c>
      <c r="BR199" s="8">
        <f>+MINVU_Mes_Corriente!BR199*SALUD_Mes_Constante!$BP$1</f>
        <v>0</v>
      </c>
      <c r="BS199" s="8">
        <f>+MINVU_Mes_Corriente!BS199*SALUD_Mes_Constante!$BP$1</f>
        <v>0</v>
      </c>
      <c r="BT199" s="8">
        <f>+MINVU_Mes_Corriente!BT199*SALUD_Mes_Constante!$BP$1</f>
        <v>0</v>
      </c>
      <c r="BU199" s="8">
        <f>+MINVU_Mes_Corriente!BU199*SALUD_Mes_Constante!$BP$1</f>
        <v>4413.7682458386689</v>
      </c>
      <c r="BV199" s="8">
        <f>+MINVU_Mes_Corriente!BV199*SALUD_Mes_Constante!$BP$1</f>
        <v>12697.103201024329</v>
      </c>
      <c r="BW199" s="8">
        <f>+MINVU_Mes_Corriente!BW199*SALUD_Mes_Constante!$BP$1</f>
        <v>113185.52573623561</v>
      </c>
      <c r="BX199" s="8">
        <f>+MINVU_Mes_Corriente!BX199*SALUD_Mes_Constante!$BP$1</f>
        <v>133988.29398207428</v>
      </c>
      <c r="BY199" s="8">
        <f>+MINVU_Mes_Corriente!BY199*SALUD_Mes_Constante!$BP$1</f>
        <v>236898.3434058899</v>
      </c>
      <c r="BZ199" s="8">
        <f>+MINVU_Mes_Corriente!BZ199*SALUD_Mes_Constante!$BP$1</f>
        <v>299426.96005121642</v>
      </c>
      <c r="CA199" s="8">
        <f>+MINVU_Mes_Corriente!CA199*SALUD_Mes_Constante!$BP$1</f>
        <v>3558627.5784891169</v>
      </c>
      <c r="CB199" s="9">
        <f t="shared" si="100"/>
        <v>3558627.5784891169</v>
      </c>
      <c r="CC199" s="8">
        <f>+MINVU_Mes_Corriente!CC199*SALUD_Mes_Constante!$CC$1</f>
        <v>0</v>
      </c>
      <c r="CD199" s="8">
        <f>+MINVU_Mes_Corriente!CD199*SALUD_Mes_Constante!$CC$1</f>
        <v>3243.9746363297281</v>
      </c>
      <c r="CE199" s="8">
        <f>+MINVU_Mes_Corriente!CE199*SALUD_Mes_Constante!$CC$1</f>
        <v>3243.9746363297281</v>
      </c>
      <c r="CF199" s="8">
        <f>+MINVU_Mes_Corriente!CF199*SALUD_Mes_Constante!$CC$1</f>
        <v>7403.5434539350999</v>
      </c>
      <c r="CG199" s="8">
        <f>+MINVU_Mes_Corriente!CG199*SALUD_Mes_Constante!$CC$1</f>
        <v>13043.820962327491</v>
      </c>
      <c r="CH199" s="8">
        <f>+MINVU_Mes_Corriente!CH199*SALUD_Mes_Constante!$CC$1</f>
        <v>303647.16523685196</v>
      </c>
      <c r="CI199" s="8">
        <f>+MINVU_Mes_Corriente!CI199*SALUD_Mes_Constante!$CC$1</f>
        <v>367836.56620663934</v>
      </c>
      <c r="CJ199" s="8">
        <f>+MINVU_Mes_Corriente!CJ199*SALUD_Mes_Constante!$CC$1</f>
        <v>399394.67959716526</v>
      </c>
      <c r="CK199" s="8">
        <f>+MINVU_Mes_Corriente!CK199*SALUD_Mes_Constante!$CC$1</f>
        <v>436579.48601268185</v>
      </c>
      <c r="CL199" s="8">
        <f>+MINVU_Mes_Corriente!CL199*SALUD_Mes_Constante!$CC$1</f>
        <v>603761.00634091767</v>
      </c>
      <c r="CM199" s="8">
        <f>+MINVU_Mes_Corriente!CM199*SALUD_Mes_Constante!$CC$1</f>
        <v>780783.12644535629</v>
      </c>
      <c r="CN199" s="8">
        <f>+MINVU_Mes_Corriente!CN199*SALUD_Mes_Constante!$CC$1</f>
        <v>1811115.9298769117</v>
      </c>
      <c r="CO199" s="9">
        <f t="shared" si="101"/>
        <v>1811115.9298769117</v>
      </c>
      <c r="CP199" s="8">
        <f>+MINVU_Mes_Corriente!CP199*SALUD_Mes_Constante!$CP$1</f>
        <v>0</v>
      </c>
      <c r="CQ199" s="8">
        <f>+MINVU_Mes_Corriente!CQ199*SALUD_Mes_Constante!$CP$1</f>
        <v>0</v>
      </c>
      <c r="CR199" s="8">
        <f>+MINVU_Mes_Corriente!CR199*SALUD_Mes_Constante!$CP$1</f>
        <v>76525.095591647318</v>
      </c>
      <c r="CS199" s="8">
        <f>+MINVU_Mes_Corriente!CS199*SALUD_Mes_Constante!$CP$1</f>
        <v>108310.62946635729</v>
      </c>
      <c r="CT199" s="8">
        <f>+MINVU_Mes_Corriente!CT199*SALUD_Mes_Constante!$CP$1</f>
        <v>265391.52598607884</v>
      </c>
      <c r="CU199" s="8">
        <f>+MINVU_Mes_Corriente!CU199*SALUD_Mes_Constante!$CP$1</f>
        <v>267988.66914153128</v>
      </c>
      <c r="CV199" s="8">
        <f>+MINVU_Mes_Corriente!CV199*SALUD_Mes_Constante!$CP$1</f>
        <v>327421.29257540597</v>
      </c>
      <c r="CW199" s="8">
        <f>+MINVU_Mes_Corriente!CW199*SALUD_Mes_Constante!$CP$1</f>
        <v>329474.67076566117</v>
      </c>
      <c r="CX199" s="8">
        <f>+MINVU_Mes_Corriente!CX199*SALUD_Mes_Constante!$CP$1</f>
        <v>335647.48051044077</v>
      </c>
      <c r="CY199" s="8">
        <f>+MINVU_Mes_Corriente!CY199*SALUD_Mes_Constante!$CP$1</f>
        <v>406798.30232018552</v>
      </c>
      <c r="CZ199" s="8">
        <f>+MINVU_Mes_Corriente!CZ199*SALUD_Mes_Constante!$CP$1</f>
        <v>438339.20533642685</v>
      </c>
      <c r="DA199" s="8">
        <f>+MINVU_Mes_Corriente!DA199*SALUD_Mes_Constante!$CP$1</f>
        <v>1845959.1076566121</v>
      </c>
      <c r="DB199" s="9">
        <f t="shared" si="102"/>
        <v>1845959.1076566121</v>
      </c>
      <c r="DC199" s="8">
        <f>+MINVU_Mes_Corriente!DC199*SALUD_Mes_Constante!$DC$1</f>
        <v>215.80002057401512</v>
      </c>
      <c r="DD199" s="8">
        <f>+MINVU_Mes_Corriente!DD199*SALUD_Mes_Constante!$DC$1</f>
        <v>3961.953502726059</v>
      </c>
      <c r="DE199" s="8">
        <f>+MINVU_Mes_Corriente!DE199*SALUD_Mes_Constante!$DC$1</f>
        <v>5080.2921510132728</v>
      </c>
      <c r="DF199" s="8">
        <f>+MINVU_Mes_Corriente!DF199*SALUD_Mes_Constante!$DC$1</f>
        <v>30056.896615574544</v>
      </c>
      <c r="DG199" s="8">
        <f>+MINVU_Mes_Corriente!DG199*SALUD_Mes_Constante!$DC$1</f>
        <v>69167.27846929332</v>
      </c>
      <c r="DH199" s="8">
        <f>+MINVU_Mes_Corriente!DH199*SALUD_Mes_Constante!$DC$1</f>
        <v>82401.889106059083</v>
      </c>
      <c r="DI199" s="8">
        <f>+MINVU_Mes_Corriente!DI199*SALUD_Mes_Constante!$DC$1</f>
        <v>129683.4488221377</v>
      </c>
      <c r="DJ199" s="8">
        <f>+MINVU_Mes_Corriente!DJ199*SALUD_Mes_Constante!$DC$1</f>
        <v>162128.75712375279</v>
      </c>
      <c r="DK199" s="8">
        <f>+MINVU_Mes_Corriente!DK199*SALUD_Mes_Constante!$DC$1</f>
        <v>183405.29040222208</v>
      </c>
      <c r="DL199" s="8">
        <f>+MINVU_Mes_Corriente!DL199*SALUD_Mes_Constante!$DC$1</f>
        <v>291689.6944758771</v>
      </c>
      <c r="DM199" s="8">
        <f>+MINVU_Mes_Corriente!DM199*SALUD_Mes_Constante!$DC$1</f>
        <v>722810.92932825873</v>
      </c>
      <c r="DN199" s="8">
        <f>+MINVU_Mes_Corriente!DN199*SALUD_Mes_Constante!$DC$1</f>
        <v>2996648.5398621554</v>
      </c>
      <c r="DO199" s="9">
        <f t="shared" si="103"/>
        <v>2996648.5398621554</v>
      </c>
      <c r="DP199" s="8">
        <f>+MINVU_Mes_Corriente!DP199*SALUD_Mes_Constante!$DP$1</f>
        <v>1090.0047505938244</v>
      </c>
      <c r="DQ199" s="8">
        <f>+MINVU_Mes_Corriente!DQ199*SALUD_Mes_Constante!$DP$1</f>
        <v>1749.6306413301663</v>
      </c>
      <c r="DR199" s="8">
        <f>+MINVU_Mes_Corriente!DR199*SALUD_Mes_Constante!$DP$1</f>
        <v>5235.9156769596202</v>
      </c>
      <c r="DS199" s="8">
        <f>+MINVU_Mes_Corriente!DS199*SALUD_Mes_Constante!$DP$1</f>
        <v>14507.444180522567</v>
      </c>
      <c r="DT199" s="8">
        <f>+MINVU_Mes_Corriente!DT199*SALUD_Mes_Constante!$DP$1</f>
        <v>40781.100356294541</v>
      </c>
      <c r="DU199" s="8">
        <f>+MINVU_Mes_Corriente!DU199*SALUD_Mes_Constante!$DP$1</f>
        <v>58312.010095011879</v>
      </c>
      <c r="DV199" s="8">
        <f>+MINVU_Mes_Corriente!DV199*SALUD_Mes_Constante!$DP$1</f>
        <v>91072.708432304047</v>
      </c>
      <c r="DW199" s="8">
        <f>+MINVU_Mes_Corriente!DW199*SALUD_Mes_Constante!$DP$1</f>
        <v>135410.38182897863</v>
      </c>
      <c r="DX199" s="8">
        <f>+MINVU_Mes_Corriente!DX199*SALUD_Mes_Constante!$DP$1</f>
        <v>416004.42220902618</v>
      </c>
      <c r="DY199" s="8">
        <f>+MINVU_Mes_Corriente!DY199*SALUD_Mes_Constante!$DP$1</f>
        <v>579297.51484560571</v>
      </c>
      <c r="DZ199" s="8">
        <f>+MINVU_Mes_Corriente!DZ199*SALUD_Mes_Constante!$DP$1</f>
        <v>1025004.5665083136</v>
      </c>
      <c r="EA199" s="8">
        <f>+MINVU_Mes_Corriente!EA199*SALUD_Mes_Constante!$DP$1</f>
        <v>3108106.3735154397</v>
      </c>
      <c r="EB199" s="9">
        <f t="shared" si="104"/>
        <v>3108106.3735154397</v>
      </c>
      <c r="EC199" s="8">
        <f>+MINVU_Mes_Corriente!EC199*SALUD_Mes_Constante!$EC$1</f>
        <v>0</v>
      </c>
      <c r="ED199" s="8">
        <f>+MINVU_Mes_Corriente!ED199*SALUD_Mes_Constante!$EC$1</f>
        <v>1840.3099791706111</v>
      </c>
      <c r="EE199" s="8">
        <f>+MINVU_Mes_Corriente!EE199*SALUD_Mes_Constante!$EC$1</f>
        <v>5920.232721075552</v>
      </c>
      <c r="EF199" s="8">
        <f>+MINVU_Mes_Corriente!EF199*SALUD_Mes_Constante!$EC$1</f>
        <v>47067.039765195972</v>
      </c>
      <c r="EG199" s="8">
        <f>+MINVU_Mes_Corriente!EG199*SALUD_Mes_Constante!$EC$1</f>
        <v>56871.681689074023</v>
      </c>
      <c r="EH199" s="8">
        <f>+MINVU_Mes_Corriente!EH199*SALUD_Mes_Constante!$EC$1</f>
        <v>169998.50501798897</v>
      </c>
      <c r="EI199" s="8">
        <f>+MINVU_Mes_Corriente!EI199*SALUD_Mes_Constante!$EC$1</f>
        <v>188321.9511456163</v>
      </c>
      <c r="EJ199" s="8">
        <f>+MINVU_Mes_Corriente!EJ199*SALUD_Mes_Constante!$EC$1</f>
        <v>221988.55500852104</v>
      </c>
      <c r="EK199" s="8">
        <f>+MINVU_Mes_Corriente!EK199*SALUD_Mes_Constante!$EC$1</f>
        <v>241641.28630941102</v>
      </c>
      <c r="EL199" s="8">
        <f>+MINVU_Mes_Corriente!EL199*SALUD_Mes_Constante!$EC$1</f>
        <v>348123.7526983525</v>
      </c>
      <c r="EM199" s="8">
        <f>+MINVU_Mes_Corriente!EM199*SALUD_Mes_Constante!$EC$1</f>
        <v>370519.88032569579</v>
      </c>
      <c r="EN199" s="8">
        <f>+MINVU_Mes_Corriente!EN199*SALUD_Mes_Constante!$EC$1</f>
        <v>2686718.0893770112</v>
      </c>
      <c r="EO199" s="9">
        <f t="shared" si="105"/>
        <v>2686718.0893770112</v>
      </c>
      <c r="EP199" s="8">
        <f>+MINVU_Mes_Corriente!EP199*SALUD_Mes_Constante!$EP$1</f>
        <v>5655</v>
      </c>
      <c r="EQ199" s="8">
        <f>+MINVU_Mes_Corriente!EQ199*SALUD_Mes_Constante!$EP$1</f>
        <v>20370</v>
      </c>
      <c r="ER199" s="8">
        <f>+MINVU_Mes_Corriente!ER199*SALUD_Mes_Constante!$EP$1</f>
        <v>35136</v>
      </c>
      <c r="ES199" s="8">
        <f>+MINVU_Mes_Corriente!ES199*SALUD_Mes_Constante!$EP$1</f>
        <v>49181</v>
      </c>
      <c r="ET199" s="8">
        <f>+MINVU_Mes_Corriente!ET199*SALUD_Mes_Constante!$EP$1</f>
        <v>90645</v>
      </c>
      <c r="EU199" s="8">
        <f>+MINVU_Mes_Corriente!EU199*SALUD_Mes_Constante!$EP$1</f>
        <v>129127</v>
      </c>
      <c r="EV199" s="8">
        <f>+MINVU_Mes_Corriente!EV199*SALUD_Mes_Constante!$EP$1</f>
        <v>274210</v>
      </c>
      <c r="EW199" s="8">
        <f>+MINVU_Mes_Corriente!EW199*SALUD_Mes_Constante!$EP$1</f>
        <v>288537</v>
      </c>
      <c r="EX199" s="8">
        <f>+MINVU_Mes_Corriente!EX199*SALUD_Mes_Constante!$EP$1</f>
        <v>728314</v>
      </c>
      <c r="EY199" s="8">
        <f>+MINVU_Mes_Corriente!EY199*SALUD_Mes_Constante!$EP$1</f>
        <v>970123</v>
      </c>
      <c r="EZ199" s="8">
        <f>+MINVU_Mes_Corriente!EZ199*SALUD_Mes_Constante!$EP$1</f>
        <v>1243774</v>
      </c>
      <c r="FA199" s="8">
        <f>+MINVU_Mes_Corriente!FA199*SALUD_Mes_Constante!$EP$1</f>
        <v>1551017</v>
      </c>
      <c r="FB199" s="9">
        <f t="shared" si="106"/>
        <v>1551017</v>
      </c>
      <c r="FC199" s="8">
        <f>+MINVU_Mes_Corriente!FC199*SALUD_Mes_Constante!$FC$1</f>
        <v>403</v>
      </c>
      <c r="FD199" s="8">
        <f>+MINVU_Mes_Corriente!FD199*SALUD_Mes_Constante!$FC$1</f>
        <v>24677</v>
      </c>
      <c r="FE199" s="8">
        <f>+MINVU_Mes_Corriente!FE199*SALUD_Mes_Constante!$FC$1</f>
        <v>34475</v>
      </c>
      <c r="FF199" s="8">
        <f>+MINVU_Mes_Corriente!FF199*SALUD_Mes_Constante!$FC$1</f>
        <v>71101</v>
      </c>
      <c r="FG199" s="8">
        <f>+MINVU_Mes_Corriente!FG199*SALUD_Mes_Constante!$FC$1</f>
        <v>84551</v>
      </c>
      <c r="FH199" s="8">
        <f>+MINVU_Mes_Corriente!FH199*SALUD_Mes_Constante!$FC$1</f>
        <v>181028</v>
      </c>
      <c r="FI199" s="8">
        <f>+MINVU_Mes_Corriente!FI199*SALUD_Mes_Constante!$FC$1</f>
        <v>230285</v>
      </c>
      <c r="FJ199" s="8"/>
      <c r="FK199" s="8"/>
      <c r="FL199" s="8"/>
      <c r="FM199" s="8"/>
      <c r="FN199" s="8"/>
      <c r="FO199" s="9">
        <f t="shared" si="107"/>
        <v>230285</v>
      </c>
    </row>
    <row r="200" spans="2:171" ht="14.25" customHeight="1" x14ac:dyDescent="0.3">
      <c r="B200" s="7" t="s">
        <v>52</v>
      </c>
      <c r="C200" s="8">
        <f>+MINVU_Mes_Corriente!C200*SALUD_Mes_Constante!$C$1</f>
        <v>0</v>
      </c>
      <c r="D200" s="8">
        <f>+MINVU_Mes_Corriente!D200*SALUD_Mes_Constante!$C$1</f>
        <v>2949.0315883138073</v>
      </c>
      <c r="E200" s="8">
        <f>+MINVU_Mes_Corriente!E200*SALUD_Mes_Constante!$C$1</f>
        <v>45172.034406050727</v>
      </c>
      <c r="F200" s="8">
        <f>+MINVU_Mes_Corriente!F200*SALUD_Mes_Constante!$C$1</f>
        <v>90569.297048791355</v>
      </c>
      <c r="G200" s="8">
        <f>+MINVU_Mes_Corriente!G200*SALUD_Mes_Constante!$C$1</f>
        <v>105842.68812101441</v>
      </c>
      <c r="H200" s="8">
        <f>+MINVU_Mes_Corriente!H200*SALUD_Mes_Constante!$C$1</f>
        <v>127706.03055020023</v>
      </c>
      <c r="I200" s="8">
        <f>+MINVU_Mes_Corriente!I200*SALUD_Mes_Constante!$C$1</f>
        <v>197768.2156310248</v>
      </c>
      <c r="J200" s="8">
        <f>+MINVU_Mes_Corriente!J200*SALUD_Mes_Constante!$C$1</f>
        <v>282612.82663502899</v>
      </c>
      <c r="K200" s="8">
        <f>+MINVU_Mes_Corriente!K200*SALUD_Mes_Constante!$C$1</f>
        <v>332385.02624944394</v>
      </c>
      <c r="L200" s="8">
        <f>+MINVU_Mes_Corriente!L200*SALUD_Mes_Constante!$C$1</f>
        <v>417283.10870532412</v>
      </c>
      <c r="M200" s="8">
        <f>+MINVU_Mes_Corriente!M200*SALUD_Mes_Constante!$C$1</f>
        <v>505707.06629096851</v>
      </c>
      <c r="N200" s="8">
        <f>+MINVU_Mes_Corriente!N200*SALUD_Mes_Constante!$C$1</f>
        <v>7224129.257600476</v>
      </c>
      <c r="O200" s="9">
        <f t="shared" si="95"/>
        <v>7224129.257600476</v>
      </c>
      <c r="P200" s="8">
        <f>+MINVU_Mes_Corriente!P200*SALUD_Mes_Constante!$P$1</f>
        <v>4138.1895155561851</v>
      </c>
      <c r="Q200" s="8">
        <f>+MINVU_Mes_Corriente!Q200*SALUD_Mes_Constante!$P$1</f>
        <v>61380.557465549064</v>
      </c>
      <c r="R200" s="8">
        <f>+MINVU_Mes_Corriente!R200*SALUD_Mes_Constante!$P$1</f>
        <v>112421.84997869011</v>
      </c>
      <c r="S200" s="8">
        <f>+MINVU_Mes_Corriente!S200*SALUD_Mes_Constante!$P$1</f>
        <v>135469.05100156268</v>
      </c>
      <c r="T200" s="8">
        <f>+MINVU_Mes_Corriente!T200*SALUD_Mes_Constante!$P$1</f>
        <v>157738.59525500776</v>
      </c>
      <c r="U200" s="8">
        <f>+MINVU_Mes_Corriente!U200*SALUD_Mes_Constante!$P$1</f>
        <v>283768.66259411839</v>
      </c>
      <c r="V200" s="8">
        <f>+MINVU_Mes_Corriente!V200*SALUD_Mes_Constante!$P$1</f>
        <v>479676.08012501756</v>
      </c>
      <c r="W200" s="8">
        <f>+MINVU_Mes_Corriente!W200*SALUD_Mes_Constante!$P$1</f>
        <v>604925.38627645955</v>
      </c>
      <c r="X200" s="8">
        <f>+MINVU_Mes_Corriente!X200*SALUD_Mes_Constante!$P$1</f>
        <v>850303.26069043868</v>
      </c>
      <c r="Y200" s="8">
        <f>+MINVU_Mes_Corriente!Y200*SALUD_Mes_Constante!$P$1</f>
        <v>1069310.6543543113</v>
      </c>
      <c r="Z200" s="8">
        <f>+MINVU_Mes_Corriente!Z200*SALUD_Mes_Constante!$P$1</f>
        <v>2016527.6436993883</v>
      </c>
      <c r="AA200" s="8">
        <f>+MINVU_Mes_Corriente!AA200*SALUD_Mes_Constante!$P$1</f>
        <v>6348190.7128853509</v>
      </c>
      <c r="AB200" s="9">
        <f t="shared" si="96"/>
        <v>6348190.7128853509</v>
      </c>
      <c r="AC200" s="8">
        <f>+MINVU_Mes_Corriente!AC200*SALUD_Mes_Constante!$AC$1</f>
        <v>0</v>
      </c>
      <c r="AD200" s="8">
        <f>+MINVU_Mes_Corriente!AD200*SALUD_Mes_Constante!$AC$1</f>
        <v>5205.3041914510995</v>
      </c>
      <c r="AE200" s="8">
        <f>+MINVU_Mes_Corriente!AE200*SALUD_Mes_Constante!$AC$1</f>
        <v>142630.47364780743</v>
      </c>
      <c r="AF200" s="8">
        <f>+MINVU_Mes_Corriente!AF200*SALUD_Mes_Constante!$AC$1</f>
        <v>160073.68377368929</v>
      </c>
      <c r="AG200" s="8">
        <f>+MINVU_Mes_Corriente!AG200*SALUD_Mes_Constante!$AC$1</f>
        <v>179135.61654447365</v>
      </c>
      <c r="AH200" s="8">
        <f>+MINVU_Mes_Corriente!AH200*SALUD_Mes_Constante!$AC$1</f>
        <v>203946.96195877716</v>
      </c>
      <c r="AI200" s="8">
        <f>+MINVU_Mes_Corriente!AI200*SALUD_Mes_Constante!$AC$1</f>
        <v>664046.58043989481</v>
      </c>
      <c r="AJ200" s="8">
        <f>+MINVU_Mes_Corriente!AJ200*SALUD_Mes_Constante!$AC$1</f>
        <v>700396.04786277493</v>
      </c>
      <c r="AK200" s="8">
        <f>+MINVU_Mes_Corriente!AK200*SALUD_Mes_Constante!$AC$1</f>
        <v>736357.08230737306</v>
      </c>
      <c r="AL200" s="8">
        <f>+MINVU_Mes_Corriente!AL200*SALUD_Mes_Constante!$AC$1</f>
        <v>739969.35786415823</v>
      </c>
      <c r="AM200" s="8">
        <f>+MINVU_Mes_Corriente!AM200*SALUD_Mes_Constante!$AC$1</f>
        <v>920457.68847696774</v>
      </c>
      <c r="AN200" s="8">
        <f>+MINVU_Mes_Corriente!AN200*SALUD_Mes_Constante!$AC$1</f>
        <v>2639402.0874256468</v>
      </c>
      <c r="AO200" s="9">
        <f t="shared" si="97"/>
        <v>2639402.0874256468</v>
      </c>
      <c r="AP200" s="8">
        <f>+MINVU_Mes_Corriente!AP200*SALUD_Mes_Constante!$AP$1</f>
        <v>2629.1564993913157</v>
      </c>
      <c r="AQ200" s="8">
        <f>+MINVU_Mes_Corriente!AQ200*SALUD_Mes_Constante!$AP$1</f>
        <v>5836.1658325442986</v>
      </c>
      <c r="AR200" s="8">
        <f>+MINVU_Mes_Corriente!AR200*SALUD_Mes_Constante!$AP$1</f>
        <v>14700.516975517381</v>
      </c>
      <c r="AS200" s="8">
        <f>+MINVU_Mes_Corriente!AS200*SALUD_Mes_Constante!$AP$1</f>
        <v>41097.011767888544</v>
      </c>
      <c r="AT200" s="8">
        <f>+MINVU_Mes_Corriente!AT200*SALUD_Mes_Constante!$AP$1</f>
        <v>56653.223860408492</v>
      </c>
      <c r="AU200" s="8">
        <f>+MINVU_Mes_Corriente!AU200*SALUD_Mes_Constante!$AP$1</f>
        <v>89060.274854592179</v>
      </c>
      <c r="AV200" s="8">
        <f>+MINVU_Mes_Corriente!AV200*SALUD_Mes_Constante!$AP$1</f>
        <v>121604.76910591099</v>
      </c>
      <c r="AW200" s="8">
        <f>+MINVU_Mes_Corriente!AW200*SALUD_Mes_Constante!$AP$1</f>
        <v>219056.47206817259</v>
      </c>
      <c r="AX200" s="8">
        <f>+MINVU_Mes_Corriente!AX200*SALUD_Mes_Constante!$AP$1</f>
        <v>267241.41782767483</v>
      </c>
      <c r="AY200" s="8">
        <f>+MINVU_Mes_Corriente!AY200*SALUD_Mes_Constante!$AP$1</f>
        <v>297332.62383335584</v>
      </c>
      <c r="AZ200" s="8">
        <f>+MINVU_Mes_Corriente!AZ200*SALUD_Mes_Constante!$AP$1</f>
        <v>627367.87555796024</v>
      </c>
      <c r="BA200" s="8">
        <f>+MINVU_Mes_Corriente!BA200*SALUD_Mes_Constante!$AP$1</f>
        <v>1066392.6744217502</v>
      </c>
      <c r="BB200" s="9">
        <f t="shared" si="98"/>
        <v>1066392.6744217502</v>
      </c>
      <c r="BC200" s="8">
        <f>+MINVU_Mes_Corriente!BC200*SALUD_Mes_Constante!$BC$1</f>
        <v>34584.831596993281</v>
      </c>
      <c r="BD200" s="8">
        <f>+MINVU_Mes_Corriente!BD200*SALUD_Mes_Constante!$BC$1</f>
        <v>49860.771462481876</v>
      </c>
      <c r="BE200" s="8">
        <f>+MINVU_Mes_Corriente!BE200*SALUD_Mes_Constante!$BC$1</f>
        <v>90366.074376895704</v>
      </c>
      <c r="BF200" s="8">
        <f>+MINVU_Mes_Corriente!BF200*SALUD_Mes_Constante!$BC$1</f>
        <v>136167.95859158647</v>
      </c>
      <c r="BG200" s="8">
        <f>+MINVU_Mes_Corriente!BG200*SALUD_Mes_Constante!$BC$1</f>
        <v>151276.75933008047</v>
      </c>
      <c r="BH200" s="8">
        <f>+MINVU_Mes_Corriente!BH200*SALUD_Mes_Constante!$BC$1</f>
        <v>181446.81260714761</v>
      </c>
      <c r="BI200" s="8">
        <f>+MINVU_Mes_Corriente!BI200*SALUD_Mes_Constante!$BC$1</f>
        <v>201934.32335487279</v>
      </c>
      <c r="BJ200" s="8">
        <f>+MINVU_Mes_Corriente!BJ200*SALUD_Mes_Constante!$BC$1</f>
        <v>247400.48846103132</v>
      </c>
      <c r="BK200" s="8">
        <f>+MINVU_Mes_Corriente!BK200*SALUD_Mes_Constante!$BC$1</f>
        <v>257595.9752077015</v>
      </c>
      <c r="BL200" s="8">
        <f>+MINVU_Mes_Corriente!BL200*SALUD_Mes_Constante!$BC$1</f>
        <v>317081.65501780307</v>
      </c>
      <c r="BM200" s="8">
        <f>+MINVU_Mes_Corriente!BM200*SALUD_Mes_Constante!$BC$1</f>
        <v>375019.85704866156</v>
      </c>
      <c r="BN200" s="8">
        <f>+MINVU_Mes_Corriente!BN200*SALUD_Mes_Constante!$BC$1</f>
        <v>4542587.8813134655</v>
      </c>
      <c r="BO200" s="9">
        <f t="shared" si="99"/>
        <v>4542587.8813134655</v>
      </c>
      <c r="BP200" s="8">
        <f>+MINVU_Mes_Corriente!BP200*SALUD_Mes_Constante!$BP$1</f>
        <v>0</v>
      </c>
      <c r="BQ200" s="8">
        <f>+MINVU_Mes_Corriente!BQ200*SALUD_Mes_Constante!$BP$1</f>
        <v>0</v>
      </c>
      <c r="BR200" s="8">
        <f>+MINVU_Mes_Corriente!BR200*SALUD_Mes_Constante!$BP$1</f>
        <v>0</v>
      </c>
      <c r="BS200" s="8">
        <f>+MINVU_Mes_Corriente!BS200*SALUD_Mes_Constante!$BP$1</f>
        <v>0</v>
      </c>
      <c r="BT200" s="8">
        <f>+MINVU_Mes_Corriente!BT200*SALUD_Mes_Constante!$BP$1</f>
        <v>5074.0847631242004</v>
      </c>
      <c r="BU200" s="8">
        <f>+MINVU_Mes_Corriente!BU200*SALUD_Mes_Constante!$BP$1</f>
        <v>20728.622535211271</v>
      </c>
      <c r="BV200" s="8">
        <f>+MINVU_Mes_Corriente!BV200*SALUD_Mes_Constante!$BP$1</f>
        <v>20728.622535211271</v>
      </c>
      <c r="BW200" s="8">
        <f>+MINVU_Mes_Corriente!BW200*SALUD_Mes_Constante!$BP$1</f>
        <v>20728.622535211271</v>
      </c>
      <c r="BX200" s="8">
        <f>+MINVU_Mes_Corriente!BX200*SALUD_Mes_Constante!$BP$1</f>
        <v>24118.340588988478</v>
      </c>
      <c r="BY200" s="8">
        <f>+MINVU_Mes_Corriente!BY200*SALUD_Mes_Constante!$BP$1</f>
        <v>32882.923175416137</v>
      </c>
      <c r="BZ200" s="8">
        <f>+MINVU_Mes_Corriente!BZ200*SALUD_Mes_Constante!$BP$1</f>
        <v>258673.3997439181</v>
      </c>
      <c r="CA200" s="8">
        <f>+MINVU_Mes_Corriente!CA200*SALUD_Mes_Constante!$BP$1</f>
        <v>4283748.8458386688</v>
      </c>
      <c r="CB200" s="9">
        <f t="shared" si="100"/>
        <v>4283748.8458386688</v>
      </c>
      <c r="CC200" s="8">
        <f>+MINVU_Mes_Corriente!CC200*SALUD_Mes_Constante!$CC$1</f>
        <v>0</v>
      </c>
      <c r="CD200" s="8">
        <f>+MINVU_Mes_Corriente!CD200*SALUD_Mes_Constante!$CC$1</f>
        <v>0</v>
      </c>
      <c r="CE200" s="8">
        <f>+MINVU_Mes_Corriente!CE200*SALUD_Mes_Constante!$CC$1</f>
        <v>6978.3491234613957</v>
      </c>
      <c r="CF200" s="8">
        <f>+MINVU_Mes_Corriente!CF200*SALUD_Mes_Constante!$CC$1</f>
        <v>23153.393509884372</v>
      </c>
      <c r="CG200" s="8">
        <f>+MINVU_Mes_Corriente!CG200*SALUD_Mes_Constante!$CC$1</f>
        <v>63556.364043267444</v>
      </c>
      <c r="CH200" s="8">
        <f>+MINVU_Mes_Corriente!CH200*SALUD_Mes_Constante!$CC$1</f>
        <v>80186.488623647907</v>
      </c>
      <c r="CI200" s="8">
        <f>+MINVU_Mes_Corriente!CI200*SALUD_Mes_Constante!$CC$1</f>
        <v>261456.47668780308</v>
      </c>
      <c r="CJ200" s="8">
        <f>+MINVU_Mes_Corriente!CJ200*SALUD_Mes_Constante!$CC$1</f>
        <v>641775.8246922791</v>
      </c>
      <c r="CK200" s="8">
        <f>+MINVU_Mes_Corriente!CK200*SALUD_Mes_Constante!$CC$1</f>
        <v>726693.78888474451</v>
      </c>
      <c r="CL200" s="8">
        <f>+MINVU_Mes_Corriente!CL200*SALUD_Mes_Constante!$CC$1</f>
        <v>839355.34352853417</v>
      </c>
      <c r="CM200" s="8">
        <f>+MINVU_Mes_Corriente!CM200*SALUD_Mes_Constante!$CC$1</f>
        <v>1295649.9903021262</v>
      </c>
      <c r="CN200" s="8">
        <f>+MINVU_Mes_Corriente!CN200*SALUD_Mes_Constante!$CC$1</f>
        <v>3181503.6725102575</v>
      </c>
      <c r="CO200" s="9">
        <f t="shared" si="101"/>
        <v>3181503.6725102575</v>
      </c>
      <c r="CP200" s="8">
        <f>+MINVU_Mes_Corriente!CP200*SALUD_Mes_Constante!$CP$1</f>
        <v>3490.7429234338738</v>
      </c>
      <c r="CQ200" s="8">
        <f>+MINVU_Mes_Corriente!CQ200*SALUD_Mes_Constante!$CP$1</f>
        <v>36732.654292343381</v>
      </c>
      <c r="CR200" s="8">
        <f>+MINVU_Mes_Corriente!CR200*SALUD_Mes_Constante!$CP$1</f>
        <v>62413.824361948944</v>
      </c>
      <c r="CS200" s="8">
        <f>+MINVU_Mes_Corriente!CS200*SALUD_Mes_Constante!$CP$1</f>
        <v>179314.41925754058</v>
      </c>
      <c r="CT200" s="8">
        <f>+MINVU_Mes_Corriente!CT200*SALUD_Mes_Constante!$CP$1</f>
        <v>208123.82227378187</v>
      </c>
      <c r="CU200" s="8">
        <f>+MINVU_Mes_Corriente!CU200*SALUD_Mes_Constante!$CP$1</f>
        <v>218032.00580046399</v>
      </c>
      <c r="CV200" s="8">
        <f>+MINVU_Mes_Corriente!CV200*SALUD_Mes_Constante!$CP$1</f>
        <v>231991.17494199533</v>
      </c>
      <c r="CW200" s="8">
        <f>+MINVU_Mes_Corriente!CW200*SALUD_Mes_Constante!$CP$1</f>
        <v>261152.94779582362</v>
      </c>
      <c r="CX200" s="8">
        <f>+MINVU_Mes_Corriente!CX200*SALUD_Mes_Constante!$CP$1</f>
        <v>287404.50069605565</v>
      </c>
      <c r="CY200" s="8">
        <f>+MINVU_Mes_Corriente!CY200*SALUD_Mes_Constante!$CP$1</f>
        <v>307471.83619489556</v>
      </c>
      <c r="CZ200" s="8">
        <f>+MINVU_Mes_Corriente!CZ200*SALUD_Mes_Constante!$CP$1</f>
        <v>328202.08329466352</v>
      </c>
      <c r="DA200" s="8">
        <f>+MINVU_Mes_Corriente!DA200*SALUD_Mes_Constante!$CP$1</f>
        <v>722090.72088167036</v>
      </c>
      <c r="DB200" s="9">
        <f t="shared" si="102"/>
        <v>722090.72088167036</v>
      </c>
      <c r="DC200" s="8">
        <f>+MINVU_Mes_Corriente!DC200*SALUD_Mes_Constante!$DC$1</f>
        <v>1999.5220656311089</v>
      </c>
      <c r="DD200" s="8">
        <f>+MINVU_Mes_Corriente!DD200*SALUD_Mes_Constante!$DC$1</f>
        <v>19237.672667421055</v>
      </c>
      <c r="DE200" s="8">
        <f>+MINVU_Mes_Corriente!DE200*SALUD_Mes_Constante!$DC$1</f>
        <v>78586.050200596685</v>
      </c>
      <c r="DF200" s="8">
        <f>+MINVU_Mes_Corriente!DF200*SALUD_Mes_Constante!$DC$1</f>
        <v>115120.31930871315</v>
      </c>
      <c r="DG200" s="8">
        <f>+MINVU_Mes_Corriente!DG200*SALUD_Mes_Constante!$DC$1</f>
        <v>131407.60106984884</v>
      </c>
      <c r="DH200" s="8">
        <f>+MINVU_Mes_Corriente!DH200*SALUD_Mes_Constante!$DC$1</f>
        <v>159498.69437300696</v>
      </c>
      <c r="DI200" s="8">
        <f>+MINVU_Mes_Corriente!DI200*SALUD_Mes_Constante!$DC$1</f>
        <v>186259.02088262534</v>
      </c>
      <c r="DJ200" s="8">
        <f>+MINVU_Mes_Corriente!DJ200*SALUD_Mes_Constante!$DC$1</f>
        <v>196194.81349655395</v>
      </c>
      <c r="DK200" s="8">
        <f>+MINVU_Mes_Corriente!DK200*SALUD_Mes_Constante!$DC$1</f>
        <v>316249.3103590167</v>
      </c>
      <c r="DL200" s="8">
        <f>+MINVU_Mes_Corriente!DL200*SALUD_Mes_Constante!$DC$1</f>
        <v>418826.25347186526</v>
      </c>
      <c r="DM200" s="8">
        <f>+MINVU_Mes_Corriente!DM200*SALUD_Mes_Constante!$DC$1</f>
        <v>780386.82440078224</v>
      </c>
      <c r="DN200" s="8">
        <f>+MINVU_Mes_Corriente!DN200*SALUD_Mes_Constante!$DC$1</f>
        <v>2922329.0359016578</v>
      </c>
      <c r="DO200" s="9">
        <f t="shared" si="103"/>
        <v>2922329.0359016578</v>
      </c>
      <c r="DP200" s="8">
        <f>+MINVU_Mes_Corriente!DP200*SALUD_Mes_Constante!$DP$1</f>
        <v>2805.0320665083136</v>
      </c>
      <c r="DQ200" s="8">
        <f>+MINVU_Mes_Corriente!DQ200*SALUD_Mes_Constante!$DP$1</f>
        <v>9176.3693586698355</v>
      </c>
      <c r="DR200" s="8">
        <f>+MINVU_Mes_Corriente!DR200*SALUD_Mes_Constante!$DP$1</f>
        <v>18876.114014251783</v>
      </c>
      <c r="DS200" s="8">
        <f>+MINVU_Mes_Corriente!DS200*SALUD_Mes_Constante!$DP$1</f>
        <v>18873.951306413303</v>
      </c>
      <c r="DT200" s="8">
        <f>+MINVU_Mes_Corriente!DT200*SALUD_Mes_Constante!$DP$1</f>
        <v>48335.43883610452</v>
      </c>
      <c r="DU200" s="8">
        <f>+MINVU_Mes_Corriente!DU200*SALUD_Mes_Constante!$DP$1</f>
        <v>65767.945368171029</v>
      </c>
      <c r="DV200" s="8">
        <f>+MINVU_Mes_Corriente!DV200*SALUD_Mes_Constante!$DP$1</f>
        <v>110199.69655581949</v>
      </c>
      <c r="DW200" s="8">
        <f>+MINVU_Mes_Corriente!DW200*SALUD_Mes_Constante!$DP$1</f>
        <v>130260.9744655582</v>
      </c>
      <c r="DX200" s="8">
        <f>+MINVU_Mes_Corriente!DX200*SALUD_Mes_Constante!$DP$1</f>
        <v>179337.14073634206</v>
      </c>
      <c r="DY200" s="8">
        <f>+MINVU_Mes_Corriente!DY200*SALUD_Mes_Constante!$DP$1</f>
        <v>194763.73574821855</v>
      </c>
      <c r="DZ200" s="8">
        <f>+MINVU_Mes_Corriente!DZ200*SALUD_Mes_Constante!$DP$1</f>
        <v>271304.1288598575</v>
      </c>
      <c r="EA200" s="8">
        <f>+MINVU_Mes_Corriente!EA200*SALUD_Mes_Constante!$DP$1</f>
        <v>1539088.8705463184</v>
      </c>
      <c r="EB200" s="9">
        <f t="shared" si="104"/>
        <v>1539088.8705463184</v>
      </c>
      <c r="EC200" s="8">
        <f>+MINVU_Mes_Corriente!EC200*SALUD_Mes_Constante!$EC$1</f>
        <v>1881.6885059647789</v>
      </c>
      <c r="ED200" s="8">
        <f>+MINVU_Mes_Corriente!ED200*SALUD_Mes_Constante!$EC$1</f>
        <v>13425.263018367728</v>
      </c>
      <c r="EE200" s="8">
        <f>+MINVU_Mes_Corriente!EE200*SALUD_Mes_Constante!$EC$1</f>
        <v>32553.52149214163</v>
      </c>
      <c r="EF200" s="8">
        <f>+MINVU_Mes_Corriente!EF200*SALUD_Mes_Constante!$EC$1</f>
        <v>53548.985987502347</v>
      </c>
      <c r="EG200" s="8">
        <f>+MINVU_Mes_Corriente!EG200*SALUD_Mes_Constante!$EC$1</f>
        <v>139452.87653853433</v>
      </c>
      <c r="EH200" s="8">
        <f>+MINVU_Mes_Corriente!EH200*SALUD_Mes_Constante!$EC$1</f>
        <v>250080.43684908154</v>
      </c>
      <c r="EI200" s="8">
        <f>+MINVU_Mes_Corriente!EI200*SALUD_Mes_Constante!$EC$1</f>
        <v>405877.83147131215</v>
      </c>
      <c r="EJ200" s="8">
        <f>+MINVU_Mes_Corriente!EJ200*SALUD_Mes_Constante!$EC$1</f>
        <v>479137.47869721631</v>
      </c>
      <c r="EK200" s="8">
        <f>+MINVU_Mes_Corriente!EK200*SALUD_Mes_Constante!$EC$1</f>
        <v>537829.8155652337</v>
      </c>
      <c r="EL200" s="8">
        <f>+MINVU_Mes_Corriente!EL200*SALUD_Mes_Constante!$EC$1</f>
        <v>769072.67809127038</v>
      </c>
      <c r="EM200" s="8">
        <f>+MINVU_Mes_Corriente!EM200*SALUD_Mes_Constante!$EC$1</f>
        <v>1295709.6021586817</v>
      </c>
      <c r="EN200" s="8">
        <f>+MINVU_Mes_Corriente!EN200*SALUD_Mes_Constante!$EC$1</f>
        <v>1738800.1772391587</v>
      </c>
      <c r="EO200" s="9">
        <f t="shared" si="105"/>
        <v>1738800.1772391587</v>
      </c>
      <c r="EP200" s="8">
        <f>+MINVU_Mes_Corriente!EP200*SALUD_Mes_Constante!$EP$1</f>
        <v>8022</v>
      </c>
      <c r="EQ200" s="8">
        <f>+MINVU_Mes_Corriente!EQ200*SALUD_Mes_Constante!$EP$1</f>
        <v>34595</v>
      </c>
      <c r="ER200" s="8">
        <f>+MINVU_Mes_Corriente!ER200*SALUD_Mes_Constante!$EP$1</f>
        <v>135696</v>
      </c>
      <c r="ES200" s="8">
        <f>+MINVU_Mes_Corriente!ES200*SALUD_Mes_Constante!$EP$1</f>
        <v>154823</v>
      </c>
      <c r="ET200" s="8">
        <f>+MINVU_Mes_Corriente!ET200*SALUD_Mes_Constante!$EP$1</f>
        <v>245461</v>
      </c>
      <c r="EU200" s="8">
        <f>+MINVU_Mes_Corriente!EU200*SALUD_Mes_Constante!$EP$1</f>
        <v>714007</v>
      </c>
      <c r="EV200" s="8">
        <f>+MINVU_Mes_Corriente!EV200*SALUD_Mes_Constante!$EP$1</f>
        <v>745359</v>
      </c>
      <c r="EW200" s="8">
        <f>+MINVU_Mes_Corriente!EW200*SALUD_Mes_Constante!$EP$1</f>
        <v>773188</v>
      </c>
      <c r="EX200" s="8">
        <f>+MINVU_Mes_Corriente!EX200*SALUD_Mes_Constante!$EP$1</f>
        <v>864880</v>
      </c>
      <c r="EY200" s="8">
        <f>+MINVU_Mes_Corriente!EY200*SALUD_Mes_Constante!$EP$1</f>
        <v>993432</v>
      </c>
      <c r="EZ200" s="8">
        <f>+MINVU_Mes_Corriente!EZ200*SALUD_Mes_Constante!$EP$1</f>
        <v>1214631</v>
      </c>
      <c r="FA200" s="8">
        <f>+MINVU_Mes_Corriente!FA200*SALUD_Mes_Constante!$EP$1</f>
        <v>1582816</v>
      </c>
      <c r="FB200" s="9">
        <f t="shared" si="106"/>
        <v>1582816</v>
      </c>
      <c r="FC200" s="8">
        <f>+MINVU_Mes_Corriente!FC200*SALUD_Mes_Constante!$FC$1</f>
        <v>2397</v>
      </c>
      <c r="FD200" s="8">
        <f>+MINVU_Mes_Corriente!FD200*SALUD_Mes_Constante!$FC$1</f>
        <v>8452</v>
      </c>
      <c r="FE200" s="8">
        <f>+MINVU_Mes_Corriente!FE200*SALUD_Mes_Constante!$FC$1</f>
        <v>138339</v>
      </c>
      <c r="FF200" s="8">
        <f>+MINVU_Mes_Corriente!FF200*SALUD_Mes_Constante!$FC$1</f>
        <v>145186</v>
      </c>
      <c r="FG200" s="8">
        <f>+MINVU_Mes_Corriente!FG200*SALUD_Mes_Constante!$FC$1</f>
        <v>185593</v>
      </c>
      <c r="FH200" s="8">
        <f>+MINVU_Mes_Corriente!FH200*SALUD_Mes_Constante!$FC$1</f>
        <v>241558</v>
      </c>
      <c r="FI200" s="8">
        <f>+MINVU_Mes_Corriente!FI200*SALUD_Mes_Constante!$FC$1</f>
        <v>301746</v>
      </c>
      <c r="FJ200" s="8"/>
      <c r="FK200" s="8"/>
      <c r="FL200" s="8"/>
      <c r="FM200" s="8"/>
      <c r="FN200" s="8"/>
      <c r="FO200" s="9">
        <f t="shared" si="107"/>
        <v>301746</v>
      </c>
    </row>
    <row r="201" spans="2:171" ht="14.25" customHeight="1" x14ac:dyDescent="0.3">
      <c r="B201" s="7" t="s">
        <v>53</v>
      </c>
      <c r="C201" s="8">
        <f>+MINVU_Mes_Corriente!C201*SALUD_Mes_Constante!$C$1</f>
        <v>20139.29319294083</v>
      </c>
      <c r="D201" s="8">
        <f>+MINVU_Mes_Corriente!D201*SALUD_Mes_Constante!$C$1</f>
        <v>30650.484354145043</v>
      </c>
      <c r="E201" s="8">
        <f>+MINVU_Mes_Corriente!E201*SALUD_Mes_Constante!$C$1</f>
        <v>56781.820851253164</v>
      </c>
      <c r="F201" s="8">
        <f>+MINVU_Mes_Corriente!F201*SALUD_Mes_Constante!$C$1</f>
        <v>73327.184339314859</v>
      </c>
      <c r="G201" s="8">
        <f>+MINVU_Mes_Corriente!G201*SALUD_Mes_Constante!$C$1</f>
        <v>185746.86104107965</v>
      </c>
      <c r="H201" s="8">
        <f>+MINVU_Mes_Corriente!H201*SALUD_Mes_Constante!$C$1</f>
        <v>212984.89455731874</v>
      </c>
      <c r="I201" s="8">
        <f>+MINVU_Mes_Corriente!I201*SALUD_Mes_Constante!$C$1</f>
        <v>243424.73379801281</v>
      </c>
      <c r="J201" s="8">
        <f>+MINVU_Mes_Corriente!J201*SALUD_Mes_Constante!$C$1</f>
        <v>517073.800682189</v>
      </c>
      <c r="K201" s="8">
        <f>+MINVU_Mes_Corriente!K201*SALUD_Mes_Constante!$C$1</f>
        <v>588676.93578525889</v>
      </c>
      <c r="L201" s="8">
        <f>+MINVU_Mes_Corriente!L201*SALUD_Mes_Constante!$C$1</f>
        <v>637373.22497404728</v>
      </c>
      <c r="M201" s="8">
        <f>+MINVU_Mes_Corriente!M201*SALUD_Mes_Constante!$C$1</f>
        <v>724455.5352217115</v>
      </c>
      <c r="N201" s="8">
        <f>+MINVU_Mes_Corriente!N201*SALUD_Mes_Constante!$C$1</f>
        <v>1504484.112412873</v>
      </c>
      <c r="O201" s="9">
        <f t="shared" si="95"/>
        <v>1504484.112412873</v>
      </c>
      <c r="P201" s="8">
        <f>+MINVU_Mes_Corriente!P201*SALUD_Mes_Constante!$P$1</f>
        <v>28256.414831652211</v>
      </c>
      <c r="Q201" s="8">
        <f>+MINVU_Mes_Corriente!Q201*SALUD_Mes_Constante!$P$1</f>
        <v>193697.07174314526</v>
      </c>
      <c r="R201" s="8">
        <f>+MINVU_Mes_Corriente!R201*SALUD_Mes_Constante!$P$1</f>
        <v>211333.27177155839</v>
      </c>
      <c r="S201" s="8">
        <f>+MINVU_Mes_Corriente!S201*SALUD_Mes_Constante!$P$1</f>
        <v>221643.04475067472</v>
      </c>
      <c r="T201" s="8">
        <f>+MINVU_Mes_Corriente!T201*SALUD_Mes_Constante!$P$1</f>
        <v>229843.36553487703</v>
      </c>
      <c r="U201" s="8">
        <f>+MINVU_Mes_Corriente!U201*SALUD_Mes_Constante!$P$1</f>
        <v>243147.34990765725</v>
      </c>
      <c r="V201" s="8">
        <f>+MINVU_Mes_Corriente!V201*SALUD_Mes_Constante!$P$1</f>
        <v>254390.00056826245</v>
      </c>
      <c r="W201" s="8">
        <f>+MINVU_Mes_Corriente!W201*SALUD_Mes_Constante!$P$1</f>
        <v>272755.73888336401</v>
      </c>
      <c r="X201" s="8">
        <f>+MINVU_Mes_Corriente!X201*SALUD_Mes_Constante!$P$1</f>
        <v>387808.5833214944</v>
      </c>
      <c r="Y201" s="8">
        <f>+MINVU_Mes_Corriente!Y201*SALUD_Mes_Constante!$P$1</f>
        <v>731739.31922148005</v>
      </c>
      <c r="Z201" s="8">
        <f>+MINVU_Mes_Corriente!Z201*SALUD_Mes_Constante!$P$1</f>
        <v>1417320.5958232698</v>
      </c>
      <c r="AA201" s="8">
        <f>+MINVU_Mes_Corriente!AA201*SALUD_Mes_Constante!$P$1</f>
        <v>4897326.8779656179</v>
      </c>
      <c r="AB201" s="9">
        <f t="shared" si="96"/>
        <v>4897326.8779656179</v>
      </c>
      <c r="AC201" s="8">
        <f>+MINVU_Mes_Corriente!AC201*SALUD_Mes_Constante!$AC$1</f>
        <v>6976.6794854060036</v>
      </c>
      <c r="AD201" s="8">
        <f>+MINVU_Mes_Corriente!AD201*SALUD_Mes_Constante!$AC$1</f>
        <v>29433.244432148291</v>
      </c>
      <c r="AE201" s="8">
        <f>+MINVU_Mes_Corriente!AE201*SALUD_Mes_Constante!$AC$1</f>
        <v>54802.301009821553</v>
      </c>
      <c r="AF201" s="8">
        <f>+MINVU_Mes_Corriente!AF201*SALUD_Mes_Constante!$AC$1</f>
        <v>69225.709226725681</v>
      </c>
      <c r="AG201" s="8">
        <f>+MINVU_Mes_Corriente!AG201*SALUD_Mes_Constante!$AC$1</f>
        <v>100690.29187992806</v>
      </c>
      <c r="AH201" s="8">
        <f>+MINVU_Mes_Corriente!AH201*SALUD_Mes_Constante!$AC$1</f>
        <v>132408.7918107622</v>
      </c>
      <c r="AI201" s="8">
        <f>+MINVU_Mes_Corriente!AI201*SALUD_Mes_Constante!$AC$1</f>
        <v>173135.30944805645</v>
      </c>
      <c r="AJ201" s="8">
        <f>+MINVU_Mes_Corriente!AJ201*SALUD_Mes_Constante!$AC$1</f>
        <v>187058.44017153134</v>
      </c>
      <c r="AK201" s="8">
        <f>+MINVU_Mes_Corriente!AK201*SALUD_Mes_Constante!$AC$1</f>
        <v>512819.19324941211</v>
      </c>
      <c r="AL201" s="8">
        <f>+MINVU_Mes_Corriente!AL201*SALUD_Mes_Constante!$AC$1</f>
        <v>527839.60935122427</v>
      </c>
      <c r="AM201" s="8">
        <f>+MINVU_Mes_Corriente!AM201*SALUD_Mes_Constante!$AC$1</f>
        <v>554337.69096693874</v>
      </c>
      <c r="AN201" s="8">
        <f>+MINVU_Mes_Corriente!AN201*SALUD_Mes_Constante!$AC$1</f>
        <v>1738382.6733988104</v>
      </c>
      <c r="AO201" s="9">
        <f t="shared" si="97"/>
        <v>1738382.6733988104</v>
      </c>
      <c r="AP201" s="8">
        <f>+MINVU_Mes_Corriente!AP201*SALUD_Mes_Constante!$AP$1</f>
        <v>15436.503449208711</v>
      </c>
      <c r="AQ201" s="8">
        <f>+MINVU_Mes_Corriente!AQ201*SALUD_Mes_Constante!$AP$1</f>
        <v>36314.577573380222</v>
      </c>
      <c r="AR201" s="8">
        <f>+MINVU_Mes_Corriente!AR201*SALUD_Mes_Constante!$AP$1</f>
        <v>45944.472879751112</v>
      </c>
      <c r="AS201" s="8">
        <f>+MINVU_Mes_Corriente!AS201*SALUD_Mes_Constante!$AP$1</f>
        <v>82598.963884755838</v>
      </c>
      <c r="AT201" s="8">
        <f>+MINVU_Mes_Corriente!AT201*SALUD_Mes_Constante!$AP$1</f>
        <v>107858.96550791289</v>
      </c>
      <c r="AU201" s="8">
        <f>+MINVU_Mes_Corriente!AU201*SALUD_Mes_Constante!$AP$1</f>
        <v>143221.78547274446</v>
      </c>
      <c r="AV201" s="8">
        <f>+MINVU_Mes_Corriente!AV201*SALUD_Mes_Constante!$AP$1</f>
        <v>165700.40849452183</v>
      </c>
      <c r="AW201" s="8">
        <f>+MINVU_Mes_Corriente!AW201*SALUD_Mes_Constante!$AP$1</f>
        <v>177922.51318815094</v>
      </c>
      <c r="AX201" s="8">
        <f>+MINVU_Mes_Corriente!AX201*SALUD_Mes_Constante!$AP$1</f>
        <v>190051.51115920465</v>
      </c>
      <c r="AY201" s="8">
        <f>+MINVU_Mes_Corriente!AY201*SALUD_Mes_Constante!$AP$1</f>
        <v>287600.75449749763</v>
      </c>
      <c r="AZ201" s="8">
        <f>+MINVU_Mes_Corriente!AZ201*SALUD_Mes_Constante!$AP$1</f>
        <v>299763.74381171376</v>
      </c>
      <c r="BA201" s="8">
        <f>+MINVU_Mes_Corriente!BA201*SALUD_Mes_Constante!$AP$1</f>
        <v>657512.2854051129</v>
      </c>
      <c r="BB201" s="9">
        <f t="shared" si="98"/>
        <v>657512.2854051129</v>
      </c>
      <c r="BC201" s="8">
        <f>+MINVU_Mes_Corriente!BC201*SALUD_Mes_Constante!$BC$1</f>
        <v>5371.5057365158918</v>
      </c>
      <c r="BD201" s="8">
        <f>+MINVU_Mes_Corriente!BD201*SALUD_Mes_Constante!$BC$1</f>
        <v>39361.264407226699</v>
      </c>
      <c r="BE201" s="8">
        <f>+MINVU_Mes_Corriente!BE201*SALUD_Mes_Constante!$BC$1</f>
        <v>70269.03521033893</v>
      </c>
      <c r="BF201" s="8">
        <f>+MINVU_Mes_Corriente!BF201*SALUD_Mes_Constante!$BC$1</f>
        <v>99803.671633917998</v>
      </c>
      <c r="BG201" s="8">
        <f>+MINVU_Mes_Corriente!BG201*SALUD_Mes_Constante!$BC$1</f>
        <v>159104.9220625083</v>
      </c>
      <c r="BH201" s="8">
        <f>+MINVU_Mes_Corriente!BH201*SALUD_Mes_Constante!$BC$1</f>
        <v>180242.25820915209</v>
      </c>
      <c r="BI201" s="8">
        <f>+MINVU_Mes_Corriente!BI201*SALUD_Mes_Constante!$BC$1</f>
        <v>193250.29302386922</v>
      </c>
      <c r="BJ201" s="8">
        <f>+MINVU_Mes_Corriente!BJ201*SALUD_Mes_Constante!$BC$1</f>
        <v>209462.78834234478</v>
      </c>
      <c r="BK201" s="8">
        <f>+MINVU_Mes_Corriente!BK201*SALUD_Mes_Constante!$BC$1</f>
        <v>217292.39192931564</v>
      </c>
      <c r="BL201" s="8">
        <f>+MINVU_Mes_Corriente!BL201*SALUD_Mes_Constante!$BC$1</f>
        <v>293342.13556639862</v>
      </c>
      <c r="BM201" s="8">
        <f>+MINVU_Mes_Corriente!BM201*SALUD_Mes_Constante!$BC$1</f>
        <v>1069722.1115653438</v>
      </c>
      <c r="BN201" s="8">
        <f>+MINVU_Mes_Corriente!BN201*SALUD_Mes_Constante!$BC$1</f>
        <v>17166593.175524205</v>
      </c>
      <c r="BO201" s="9">
        <f t="shared" si="99"/>
        <v>17166593.175524205</v>
      </c>
      <c r="BP201" s="8">
        <f>+MINVU_Mes_Corriente!BP201*SALUD_Mes_Constante!$BP$1</f>
        <v>0</v>
      </c>
      <c r="BQ201" s="8">
        <f>+MINVU_Mes_Corriente!BQ201*SALUD_Mes_Constante!$BP$1</f>
        <v>0</v>
      </c>
      <c r="BR201" s="8">
        <f>+MINVU_Mes_Corriente!BR201*SALUD_Mes_Constante!$BP$1</f>
        <v>0</v>
      </c>
      <c r="BS201" s="8">
        <f>+MINVU_Mes_Corriente!BS201*SALUD_Mes_Constante!$BP$1</f>
        <v>0</v>
      </c>
      <c r="BT201" s="8">
        <f>+MINVU_Mes_Corriente!BT201*SALUD_Mes_Constante!$BP$1</f>
        <v>0</v>
      </c>
      <c r="BU201" s="8">
        <f>+MINVU_Mes_Corriente!BU201*SALUD_Mes_Constante!$BP$1</f>
        <v>0</v>
      </c>
      <c r="BV201" s="8">
        <f>+MINVU_Mes_Corriente!BV201*SALUD_Mes_Constante!$BP$1</f>
        <v>0</v>
      </c>
      <c r="BW201" s="8">
        <f>+MINVU_Mes_Corriente!BW201*SALUD_Mes_Constante!$BP$1</f>
        <v>0</v>
      </c>
      <c r="BX201" s="8">
        <f>+MINVU_Mes_Corriente!BX201*SALUD_Mes_Constante!$BP$1</f>
        <v>18732.284250960311</v>
      </c>
      <c r="BY201" s="8">
        <f>+MINVU_Mes_Corriente!BY201*SALUD_Mes_Constante!$BP$1</f>
        <v>19773.122151088352</v>
      </c>
      <c r="BZ201" s="8">
        <f>+MINVU_Mes_Corriente!BZ201*SALUD_Mes_Constante!$BP$1</f>
        <v>275924.16875800258</v>
      </c>
      <c r="CA201" s="8">
        <f>+MINVU_Mes_Corriente!CA201*SALUD_Mes_Constante!$BP$1</f>
        <v>1596029.7895006405</v>
      </c>
      <c r="CB201" s="9">
        <f t="shared" si="100"/>
        <v>1596029.7895006405</v>
      </c>
      <c r="CC201" s="8">
        <f>+MINVU_Mes_Corriente!CC201*SALUD_Mes_Constante!$CC$1</f>
        <v>0</v>
      </c>
      <c r="CD201" s="8">
        <f>+MINVU_Mes_Corriente!CD201*SALUD_Mes_Constante!$CC$1</f>
        <v>0</v>
      </c>
      <c r="CE201" s="8">
        <f>+MINVU_Mes_Corriente!CE201*SALUD_Mes_Constante!$CC$1</f>
        <v>953.63073480044773</v>
      </c>
      <c r="CF201" s="8">
        <f>+MINVU_Mes_Corriente!CF201*SALUD_Mes_Constante!$CC$1</f>
        <v>15124.963819470348</v>
      </c>
      <c r="CG201" s="8">
        <f>+MINVU_Mes_Corriente!CG201*SALUD_Mes_Constante!$CC$1</f>
        <v>16358.434912346142</v>
      </c>
      <c r="CH201" s="8">
        <f>+MINVU_Mes_Corriente!CH201*SALUD_Mes_Constante!$CC$1</f>
        <v>17700.581872435661</v>
      </c>
      <c r="CI201" s="8">
        <f>+MINVU_Mes_Corriente!CI201*SALUD_Mes_Constante!$CC$1</f>
        <v>21634.648265572549</v>
      </c>
      <c r="CJ201" s="8">
        <f>+MINVU_Mes_Corriente!CJ201*SALUD_Mes_Constante!$CC$1</f>
        <v>34140.523685192093</v>
      </c>
      <c r="CK201" s="8">
        <f>+MINVU_Mes_Corriente!CK201*SALUD_Mes_Constante!$CC$1</f>
        <v>63370.256620663939</v>
      </c>
      <c r="CL201" s="8">
        <f>+MINVU_Mes_Corriente!CL201*SALUD_Mes_Constante!$CC$1</f>
        <v>71345.70682581127</v>
      </c>
      <c r="CM201" s="8">
        <f>+MINVU_Mes_Corriente!CM201*SALUD_Mes_Constante!$CC$1</f>
        <v>250568.51324132789</v>
      </c>
      <c r="CN201" s="8">
        <f>+MINVU_Mes_Corriente!CN201*SALUD_Mes_Constante!$CC$1</f>
        <v>806282.56023871701</v>
      </c>
      <c r="CO201" s="9">
        <f t="shared" si="101"/>
        <v>806282.56023871701</v>
      </c>
      <c r="CP201" s="8">
        <f>+MINVU_Mes_Corriente!CP201*SALUD_Mes_Constante!$CP$1</f>
        <v>912.61252900232</v>
      </c>
      <c r="CQ201" s="8">
        <f>+MINVU_Mes_Corriente!CQ201*SALUD_Mes_Constante!$CP$1</f>
        <v>1400.6067285382828</v>
      </c>
      <c r="CR201" s="8">
        <f>+MINVU_Mes_Corriente!CR201*SALUD_Mes_Constante!$CP$1</f>
        <v>19268.799535962873</v>
      </c>
      <c r="CS201" s="8">
        <f>+MINVU_Mes_Corriente!CS201*SALUD_Mes_Constante!$CP$1</f>
        <v>43901.732714617159</v>
      </c>
      <c r="CT201" s="8">
        <f>+MINVU_Mes_Corriente!CT201*SALUD_Mes_Constante!$CP$1</f>
        <v>113989.10742459394</v>
      </c>
      <c r="CU201" s="8">
        <f>+MINVU_Mes_Corriente!CU201*SALUD_Mes_Constante!$CP$1</f>
        <v>115502.52320185612</v>
      </c>
      <c r="CV201" s="8">
        <f>+MINVU_Mes_Corriente!CV201*SALUD_Mes_Constante!$CP$1</f>
        <v>134206.00997679812</v>
      </c>
      <c r="CW201" s="8">
        <f>+MINVU_Mes_Corriente!CW201*SALUD_Mes_Constante!$CP$1</f>
        <v>148409.8099767981</v>
      </c>
      <c r="CX201" s="8">
        <f>+MINVU_Mes_Corriente!CX201*SALUD_Mes_Constante!$CP$1</f>
        <v>153708.03271461715</v>
      </c>
      <c r="CY201" s="8">
        <f>+MINVU_Mes_Corriente!CY201*SALUD_Mes_Constante!$CP$1</f>
        <v>159721.13526682131</v>
      </c>
      <c r="CZ201" s="8">
        <f>+MINVU_Mes_Corriente!CZ201*SALUD_Mes_Constante!$CP$1</f>
        <v>466794.97099767975</v>
      </c>
      <c r="DA201" s="8">
        <f>+MINVU_Mes_Corriente!DA201*SALUD_Mes_Constante!$CP$1</f>
        <v>1203522.9828306262</v>
      </c>
      <c r="DB201" s="9">
        <f t="shared" si="102"/>
        <v>1203522.9828306262</v>
      </c>
      <c r="DC201" s="8">
        <f>+MINVU_Mes_Corriente!DC201*SALUD_Mes_Constante!$DC$1</f>
        <v>26897.449439358104</v>
      </c>
      <c r="DD201" s="8">
        <f>+MINVU_Mes_Corriente!DD201*SALUD_Mes_Constante!$DC$1</f>
        <v>27495.395329698604</v>
      </c>
      <c r="DE201" s="8">
        <f>+MINVU_Mes_Corriente!DE201*SALUD_Mes_Constante!$DC$1</f>
        <v>32548.712478140125</v>
      </c>
      <c r="DF201" s="8">
        <f>+MINVU_Mes_Corriente!DF201*SALUD_Mes_Constante!$DC$1</f>
        <v>37605.401501903114</v>
      </c>
      <c r="DG201" s="8">
        <f>+MINVU_Mes_Corriente!DG201*SALUD_Mes_Constante!$DC$1</f>
        <v>44235.63234235163</v>
      </c>
      <c r="DH201" s="8">
        <f>+MINVU_Mes_Corriente!DH201*SALUD_Mes_Constante!$DC$1</f>
        <v>50065.604773171508</v>
      </c>
      <c r="DI201" s="8">
        <f>+MINVU_Mes_Corriente!DI201*SALUD_Mes_Constante!$DC$1</f>
        <v>83945.084044851392</v>
      </c>
      <c r="DJ201" s="8">
        <f>+MINVU_Mes_Corriente!DJ201*SALUD_Mes_Constante!$DC$1</f>
        <v>104488.79642012143</v>
      </c>
      <c r="DK201" s="8">
        <f>+MINVU_Mes_Corriente!DK201*SALUD_Mes_Constante!$DC$1</f>
        <v>112341.8940438227</v>
      </c>
      <c r="DL201" s="8">
        <f>+MINVU_Mes_Corriente!DL201*SALUD_Mes_Constante!$DC$1</f>
        <v>152928.0333299044</v>
      </c>
      <c r="DM201" s="8">
        <f>+MINVU_Mes_Corriente!DM201*SALUD_Mes_Constante!$DC$1</f>
        <v>695146.9402324867</v>
      </c>
      <c r="DN201" s="8">
        <f>+MINVU_Mes_Corriente!DN201*SALUD_Mes_Constante!$DC$1</f>
        <v>2209878.7554778326</v>
      </c>
      <c r="DO201" s="9">
        <f t="shared" si="103"/>
        <v>2209878.7554778326</v>
      </c>
      <c r="DP201" s="8">
        <f>+MINVU_Mes_Corriente!DP201*SALUD_Mes_Constante!$DP$1</f>
        <v>0</v>
      </c>
      <c r="DQ201" s="8">
        <f>+MINVU_Mes_Corriente!DQ201*SALUD_Mes_Constante!$DP$1</f>
        <v>28240.638954869362</v>
      </c>
      <c r="DR201" s="8">
        <f>+MINVU_Mes_Corriente!DR201*SALUD_Mes_Constante!$DP$1</f>
        <v>38956.856294536818</v>
      </c>
      <c r="DS201" s="8">
        <f>+MINVU_Mes_Corriente!DS201*SALUD_Mes_Constante!$DP$1</f>
        <v>54327.220902612833</v>
      </c>
      <c r="DT201" s="8">
        <f>+MINVU_Mes_Corriente!DT201*SALUD_Mes_Constante!$DP$1</f>
        <v>57240.388361045138</v>
      </c>
      <c r="DU201" s="8">
        <f>+MINVU_Mes_Corriente!DU201*SALUD_Mes_Constante!$DP$1</f>
        <v>135554.20190023753</v>
      </c>
      <c r="DV201" s="8">
        <f>+MINVU_Mes_Corriente!DV201*SALUD_Mes_Constante!$DP$1</f>
        <v>192979.5017814727</v>
      </c>
      <c r="DW201" s="8">
        <f>+MINVU_Mes_Corriente!DW201*SALUD_Mes_Constante!$DP$1</f>
        <v>202201.28800475062</v>
      </c>
      <c r="DX201" s="8">
        <f>+MINVU_Mes_Corriente!DX201*SALUD_Mes_Constante!$DP$1</f>
        <v>350121.85332541569</v>
      </c>
      <c r="DY201" s="8">
        <f>+MINVU_Mes_Corriente!DY201*SALUD_Mes_Constante!$DP$1</f>
        <v>351954.74821852735</v>
      </c>
      <c r="DZ201" s="8">
        <f>+MINVU_Mes_Corriente!DZ201*SALUD_Mes_Constante!$DP$1</f>
        <v>408251.11460807605</v>
      </c>
      <c r="EA201" s="8">
        <f>+MINVU_Mes_Corriente!EA201*SALUD_Mes_Constante!$DP$1</f>
        <v>1359442.4625890737</v>
      </c>
      <c r="EB201" s="9">
        <f t="shared" si="104"/>
        <v>1359442.4625890737</v>
      </c>
      <c r="EC201" s="8">
        <f>+MINVU_Mes_Corriente!EC201*SALUD_Mes_Constante!$EC$1</f>
        <v>1198.9428138610108</v>
      </c>
      <c r="ED201" s="8">
        <f>+MINVU_Mes_Corriente!ED201*SALUD_Mes_Constante!$EC$1</f>
        <v>6004.0242378337416</v>
      </c>
      <c r="EE201" s="8">
        <f>+MINVU_Mes_Corriente!EE201*SALUD_Mes_Constante!$EC$1</f>
        <v>14659.377580003782</v>
      </c>
      <c r="EF201" s="8">
        <f>+MINVU_Mes_Corriente!EF201*SALUD_Mes_Constante!$EC$1</f>
        <v>16521.411285741331</v>
      </c>
      <c r="EG201" s="8">
        <f>+MINVU_Mes_Corriente!EG201*SALUD_Mes_Constante!$EC$1</f>
        <v>20316.856655936368</v>
      </c>
      <c r="EH201" s="8">
        <f>+MINVU_Mes_Corriente!EH201*SALUD_Mes_Constante!$EC$1</f>
        <v>22416.816890740381</v>
      </c>
      <c r="EI201" s="8">
        <f>+MINVU_Mes_Corriente!EI201*SALUD_Mes_Constante!$EC$1</f>
        <v>84830.117780723318</v>
      </c>
      <c r="EJ201" s="8">
        <f>+MINVU_Mes_Corriente!EJ201*SALUD_Mes_Constante!$EC$1</f>
        <v>190221.22552546859</v>
      </c>
      <c r="EK201" s="8">
        <f>+MINVU_Mes_Corriente!EK201*SALUD_Mes_Constante!$EC$1</f>
        <v>271060.38439689443</v>
      </c>
      <c r="EL201" s="8">
        <f>+MINVU_Mes_Corriente!EL201*SALUD_Mes_Constante!$EC$1</f>
        <v>370459.88146184426</v>
      </c>
      <c r="EM201" s="8">
        <f>+MINVU_Mes_Corriente!EM201*SALUD_Mes_Constante!$EC$1</f>
        <v>400823.44442340452</v>
      </c>
      <c r="EN201" s="8">
        <f>+MINVU_Mes_Corriente!EN201*SALUD_Mes_Constante!$EC$1</f>
        <v>804557.86820677877</v>
      </c>
      <c r="EO201" s="9">
        <f t="shared" si="105"/>
        <v>804557.86820677877</v>
      </c>
      <c r="EP201" s="8">
        <f>+MINVU_Mes_Corriente!EP201*SALUD_Mes_Constante!$EP$1</f>
        <v>1285</v>
      </c>
      <c r="EQ201" s="8">
        <f>+MINVU_Mes_Corriente!EQ201*SALUD_Mes_Constante!$EP$1</f>
        <v>5783</v>
      </c>
      <c r="ER201" s="8">
        <f>+MINVU_Mes_Corriente!ER201*SALUD_Mes_Constante!$EP$1</f>
        <v>11202</v>
      </c>
      <c r="ES201" s="8">
        <f>+MINVU_Mes_Corriente!ES201*SALUD_Mes_Constante!$EP$1</f>
        <v>64048</v>
      </c>
      <c r="ET201" s="8">
        <f>+MINVU_Mes_Corriente!ET201*SALUD_Mes_Constante!$EP$1</f>
        <v>80210</v>
      </c>
      <c r="EU201" s="8">
        <f>+MINVU_Mes_Corriente!EU201*SALUD_Mes_Constante!$EP$1</f>
        <v>150108</v>
      </c>
      <c r="EV201" s="8">
        <f>+MINVU_Mes_Corriente!EV201*SALUD_Mes_Constante!$EP$1</f>
        <v>332521</v>
      </c>
      <c r="EW201" s="8">
        <f>+MINVU_Mes_Corriente!EW201*SALUD_Mes_Constante!$EP$1</f>
        <v>381969</v>
      </c>
      <c r="EX201" s="8">
        <f>+MINVU_Mes_Corriente!EX201*SALUD_Mes_Constante!$EP$1</f>
        <v>400250</v>
      </c>
      <c r="EY201" s="8">
        <f>+MINVU_Mes_Corriente!EY201*SALUD_Mes_Constante!$EP$1</f>
        <v>467141</v>
      </c>
      <c r="EZ201" s="8">
        <f>+MINVU_Mes_Corriente!EZ201*SALUD_Mes_Constante!$EP$1</f>
        <v>496998</v>
      </c>
      <c r="FA201" s="8">
        <f>+MINVU_Mes_Corriente!FA201*SALUD_Mes_Constante!$EP$1</f>
        <v>613761</v>
      </c>
      <c r="FB201" s="9">
        <f t="shared" si="106"/>
        <v>613761</v>
      </c>
      <c r="FC201" s="8">
        <f>+MINVU_Mes_Corriente!FC201*SALUD_Mes_Constante!$FC$1</f>
        <v>9601</v>
      </c>
      <c r="FD201" s="8">
        <f>+MINVU_Mes_Corriente!FD201*SALUD_Mes_Constante!$FC$1</f>
        <v>263997</v>
      </c>
      <c r="FE201" s="8">
        <f>+MINVU_Mes_Corriente!FE201*SALUD_Mes_Constante!$FC$1</f>
        <v>287247</v>
      </c>
      <c r="FF201" s="8">
        <f>+MINVU_Mes_Corriente!FF201*SALUD_Mes_Constante!$FC$1</f>
        <v>297280</v>
      </c>
      <c r="FG201" s="8">
        <f>+MINVU_Mes_Corriente!FG201*SALUD_Mes_Constante!$FC$1</f>
        <v>302150</v>
      </c>
      <c r="FH201" s="8">
        <f>+MINVU_Mes_Corriente!FH201*SALUD_Mes_Constante!$FC$1</f>
        <v>306809</v>
      </c>
      <c r="FI201" s="8">
        <f>+MINVU_Mes_Corriente!FI201*SALUD_Mes_Constante!$FC$1</f>
        <v>327383</v>
      </c>
      <c r="FJ201" s="8"/>
      <c r="FK201" s="8"/>
      <c r="FL201" s="8"/>
      <c r="FM201" s="8"/>
      <c r="FN201" s="8"/>
      <c r="FO201" s="9">
        <f t="shared" si="107"/>
        <v>327383</v>
      </c>
    </row>
    <row r="202" spans="2:171" ht="14.25" customHeight="1" x14ac:dyDescent="0.3">
      <c r="B202" s="7" t="s">
        <v>54</v>
      </c>
      <c r="C202" s="8">
        <f>+MINVU_Mes_Corriente!C202*SALUD_Mes_Constante!$C$1</f>
        <v>0</v>
      </c>
      <c r="D202" s="8">
        <f>+MINVU_Mes_Corriente!D202*SALUD_Mes_Constante!$C$1</f>
        <v>141773.88343467301</v>
      </c>
      <c r="E202" s="8">
        <f>+MINVU_Mes_Corriente!E202*SALUD_Mes_Constante!$C$1</f>
        <v>240056.03232982356</v>
      </c>
      <c r="F202" s="8">
        <f>+MINVU_Mes_Corriente!F202*SALUD_Mes_Constante!$C$1</f>
        <v>271973.6280587276</v>
      </c>
      <c r="G202" s="8">
        <f>+MINVU_Mes_Corriente!G202*SALUD_Mes_Constante!$C$1</f>
        <v>286015.55539077567</v>
      </c>
      <c r="H202" s="8">
        <f>+MINVU_Mes_Corriente!H202*SALUD_Mes_Constante!$C$1</f>
        <v>302931.97834791639</v>
      </c>
      <c r="I202" s="8">
        <f>+MINVU_Mes_Corriente!I202*SALUD_Mes_Constante!$C$1</f>
        <v>309351.79326709185</v>
      </c>
      <c r="J202" s="8">
        <f>+MINVU_Mes_Corriente!J202*SALUD_Mes_Constante!$C$1</f>
        <v>325649.243660092</v>
      </c>
      <c r="K202" s="8">
        <f>+MINVU_Mes_Corriente!K202*SALUD_Mes_Constante!$C$1</f>
        <v>346323.25137179304</v>
      </c>
      <c r="L202" s="8">
        <f>+MINVU_Mes_Corriente!L202*SALUD_Mes_Constante!$C$1</f>
        <v>367071.79504671518</v>
      </c>
      <c r="M202" s="8">
        <f>+MINVU_Mes_Corriente!M202*SALUD_Mes_Constante!$C$1</f>
        <v>384743.29971822636</v>
      </c>
      <c r="N202" s="8">
        <f>+MINVU_Mes_Corriente!N202*SALUD_Mes_Constante!$C$1</f>
        <v>1384610.8393889961</v>
      </c>
      <c r="O202" s="9">
        <f t="shared" si="95"/>
        <v>1384610.8393889961</v>
      </c>
      <c r="P202" s="8">
        <f>+MINVU_Mes_Corriente!P202*SALUD_Mes_Constante!$P$1</f>
        <v>3265.8479897712732</v>
      </c>
      <c r="Q202" s="8">
        <f>+MINVU_Mes_Corriente!Q202*SALUD_Mes_Constante!$P$1</f>
        <v>11511.18283847137</v>
      </c>
      <c r="R202" s="8">
        <f>+MINVU_Mes_Corriente!R202*SALUD_Mes_Constante!$P$1</f>
        <v>59134.510868021003</v>
      </c>
      <c r="S202" s="8">
        <f>+MINVU_Mes_Corriente!S202*SALUD_Mes_Constante!$P$1</f>
        <v>68239.769569541109</v>
      </c>
      <c r="T202" s="8">
        <f>+MINVU_Mes_Corriente!T202*SALUD_Mes_Constante!$P$1</f>
        <v>101061.23142491827</v>
      </c>
      <c r="U202" s="8">
        <f>+MINVU_Mes_Corriente!U202*SALUD_Mes_Constante!$P$1</f>
        <v>141057.00383577208</v>
      </c>
      <c r="V202" s="8">
        <f>+MINVU_Mes_Corriente!V202*SALUD_Mes_Constante!$P$1</f>
        <v>164017.28114789026</v>
      </c>
      <c r="W202" s="8">
        <f>+MINVU_Mes_Corriente!W202*SALUD_Mes_Constante!$P$1</f>
        <v>169425.17772410848</v>
      </c>
      <c r="X202" s="8">
        <f>+MINVU_Mes_Corriente!X202*SALUD_Mes_Constante!$P$1</f>
        <v>197616.39977269492</v>
      </c>
      <c r="Y202" s="8">
        <f>+MINVU_Mes_Corriente!Y202*SALUD_Mes_Constante!$P$1</f>
        <v>213577.76615996583</v>
      </c>
      <c r="Z202" s="8">
        <f>+MINVU_Mes_Corriente!Z202*SALUD_Mes_Constante!$P$1</f>
        <v>372229.06037789444</v>
      </c>
      <c r="AA202" s="8">
        <f>+MINVU_Mes_Corriente!AA202*SALUD_Mes_Constante!$P$1</f>
        <v>3953357.1101008649</v>
      </c>
      <c r="AB202" s="9">
        <f t="shared" si="96"/>
        <v>3953357.1101008649</v>
      </c>
      <c r="AC202" s="8">
        <f>+MINVU_Mes_Corriente!AC202*SALUD_Mes_Constante!$AC$1</f>
        <v>52728.643242495506</v>
      </c>
      <c r="AD202" s="8">
        <f>+MINVU_Mes_Corriente!AD202*SALUD_Mes_Constante!$AC$1</f>
        <v>59587.432563286762</v>
      </c>
      <c r="AE202" s="8">
        <f>+MINVU_Mes_Corriente!AE202*SALUD_Mes_Constante!$AC$1</f>
        <v>100226.28828330337</v>
      </c>
      <c r="AF202" s="8">
        <f>+MINVU_Mes_Corriente!AF202*SALUD_Mes_Constante!$AC$1</f>
        <v>154455.7640060866</v>
      </c>
      <c r="AG202" s="8">
        <f>+MINVU_Mes_Corriente!AG202*SALUD_Mes_Constante!$AC$1</f>
        <v>268782.01825978694</v>
      </c>
      <c r="AH202" s="8">
        <f>+MINVU_Mes_Corriente!AH202*SALUD_Mes_Constante!$AC$1</f>
        <v>375841.40185364505</v>
      </c>
      <c r="AI202" s="8">
        <f>+MINVU_Mes_Corriente!AI202*SALUD_Mes_Constante!$AC$1</f>
        <v>420331.33628441003</v>
      </c>
      <c r="AJ202" s="8">
        <f>+MINVU_Mes_Corriente!AJ202*SALUD_Mes_Constante!$AC$1</f>
        <v>525626.90164614748</v>
      </c>
      <c r="AK202" s="8">
        <f>+MINVU_Mes_Corriente!AK202*SALUD_Mes_Constante!$AC$1</f>
        <v>559502.18702448474</v>
      </c>
      <c r="AL202" s="8">
        <f>+MINVU_Mes_Corriente!AL202*SALUD_Mes_Constante!$AC$1</f>
        <v>560390.89749619586</v>
      </c>
      <c r="AM202" s="8">
        <f>+MINVU_Mes_Corriente!AM202*SALUD_Mes_Constante!$AC$1</f>
        <v>961834.11343200994</v>
      </c>
      <c r="AN202" s="8">
        <f>+MINVU_Mes_Corriente!AN202*SALUD_Mes_Constante!$AC$1</f>
        <v>1064245.9039977866</v>
      </c>
      <c r="AO202" s="9">
        <f t="shared" si="97"/>
        <v>1064245.9039977866</v>
      </c>
      <c r="AP202" s="8">
        <f>+MINVU_Mes_Corriente!AP202*SALUD_Mes_Constante!$AP$1</f>
        <v>0</v>
      </c>
      <c r="AQ202" s="8">
        <f>+MINVU_Mes_Corriente!AQ202*SALUD_Mes_Constante!$AP$1</f>
        <v>21813.575003381575</v>
      </c>
      <c r="AR202" s="8">
        <f>+MINVU_Mes_Corriente!AR202*SALUD_Mes_Constante!$AP$1</f>
        <v>54912.275936696875</v>
      </c>
      <c r="AS202" s="8">
        <f>+MINVU_Mes_Corriente!AS202*SALUD_Mes_Constante!$AP$1</f>
        <v>178158.97470580277</v>
      </c>
      <c r="AT202" s="8">
        <f>+MINVU_Mes_Corriente!AT202*SALUD_Mes_Constante!$AP$1</f>
        <v>224499.52062762072</v>
      </c>
      <c r="AU202" s="8">
        <f>+MINVU_Mes_Corriente!AU202*SALUD_Mes_Constante!$AP$1</f>
        <v>249579.22034356822</v>
      </c>
      <c r="AV202" s="8">
        <f>+MINVU_Mes_Corriente!AV202*SALUD_Mes_Constante!$AP$1</f>
        <v>270084.86757743813</v>
      </c>
      <c r="AW202" s="8">
        <f>+MINVU_Mes_Corriente!AW202*SALUD_Mes_Constante!$AP$1</f>
        <v>287288.92087109428</v>
      </c>
      <c r="AX202" s="8">
        <f>+MINVU_Mes_Corriente!AX202*SALUD_Mes_Constante!$AP$1</f>
        <v>324111.89070742595</v>
      </c>
      <c r="AY202" s="8">
        <f>+MINVU_Mes_Corriente!AY202*SALUD_Mes_Constante!$AP$1</f>
        <v>365636.01109157311</v>
      </c>
      <c r="AZ202" s="8">
        <f>+MINVU_Mes_Corriente!AZ202*SALUD_Mes_Constante!$AP$1</f>
        <v>389401.87150006759</v>
      </c>
      <c r="BA202" s="8">
        <f>+MINVU_Mes_Corriente!BA202*SALUD_Mes_Constante!$AP$1</f>
        <v>632085.28283511428</v>
      </c>
      <c r="BB202" s="9">
        <f t="shared" si="98"/>
        <v>632085.28283511428</v>
      </c>
      <c r="BC202" s="8">
        <f>+MINVU_Mes_Corriente!BC202*SALUD_Mes_Constante!$BC$1</f>
        <v>0</v>
      </c>
      <c r="BD202" s="8">
        <f>+MINVU_Mes_Corriente!BD202*SALUD_Mes_Constante!$BC$1</f>
        <v>14097.320849268102</v>
      </c>
      <c r="BE202" s="8">
        <f>+MINVU_Mes_Corriente!BE202*SALUD_Mes_Constante!$BC$1</f>
        <v>41793.426875906647</v>
      </c>
      <c r="BF202" s="8">
        <f>+MINVU_Mes_Corriente!BF202*SALUD_Mes_Constante!$BC$1</f>
        <v>114563.78557299224</v>
      </c>
      <c r="BG202" s="8">
        <f>+MINVU_Mes_Corriente!BG202*SALUD_Mes_Constante!$BC$1</f>
        <v>262991.97547144938</v>
      </c>
      <c r="BH202" s="8">
        <f>+MINVU_Mes_Corriente!BH202*SALUD_Mes_Constante!$BC$1</f>
        <v>338319.85098246083</v>
      </c>
      <c r="BI202" s="8">
        <f>+MINVU_Mes_Corriente!BI202*SALUD_Mes_Constante!$BC$1</f>
        <v>361370.64196228416</v>
      </c>
      <c r="BJ202" s="8">
        <f>+MINVU_Mes_Corriente!BJ202*SALUD_Mes_Constante!$BC$1</f>
        <v>392271.20849268109</v>
      </c>
      <c r="BK202" s="8">
        <f>+MINVU_Mes_Corriente!BK202*SALUD_Mes_Constante!$BC$1</f>
        <v>423439.77396808664</v>
      </c>
      <c r="BL202" s="8">
        <f>+MINVU_Mes_Corriente!BL202*SALUD_Mes_Constante!$BC$1</f>
        <v>445822.00843993155</v>
      </c>
      <c r="BM202" s="8">
        <f>+MINVU_Mes_Corriente!BM202*SALUD_Mes_Constante!$BC$1</f>
        <v>536150.62059870781</v>
      </c>
      <c r="BN202" s="8">
        <f>+MINVU_Mes_Corriente!BN202*SALUD_Mes_Constante!$BC$1</f>
        <v>6375305.8710272992</v>
      </c>
      <c r="BO202" s="9">
        <f t="shared" si="99"/>
        <v>6375305.8710272992</v>
      </c>
      <c r="BP202" s="8">
        <f>+MINVU_Mes_Corriente!BP202*SALUD_Mes_Constante!$BP$1</f>
        <v>0</v>
      </c>
      <c r="BQ202" s="8">
        <f>+MINVU_Mes_Corriente!BQ202*SALUD_Mes_Constante!$BP$1</f>
        <v>0</v>
      </c>
      <c r="BR202" s="8">
        <f>+MINVU_Mes_Corriente!BR202*SALUD_Mes_Constante!$BP$1</f>
        <v>0</v>
      </c>
      <c r="BS202" s="8">
        <f>+MINVU_Mes_Corriente!BS202*SALUD_Mes_Constante!$BP$1</f>
        <v>0</v>
      </c>
      <c r="BT202" s="8">
        <f>+MINVU_Mes_Corriente!BT202*SALUD_Mes_Constante!$BP$1</f>
        <v>0</v>
      </c>
      <c r="BU202" s="8">
        <f>+MINVU_Mes_Corriente!BU202*SALUD_Mes_Constante!$BP$1</f>
        <v>0</v>
      </c>
      <c r="BV202" s="8">
        <f>+MINVU_Mes_Corriente!BV202*SALUD_Mes_Constante!$BP$1</f>
        <v>166882.40896286812</v>
      </c>
      <c r="BW202" s="8">
        <f>+MINVU_Mes_Corriente!BW202*SALUD_Mes_Constante!$BP$1</f>
        <v>166882.40896286812</v>
      </c>
      <c r="BX202" s="8">
        <f>+MINVU_Mes_Corriente!BX202*SALUD_Mes_Constante!$BP$1</f>
        <v>193110.40486555701</v>
      </c>
      <c r="BY202" s="8">
        <f>+MINVU_Mes_Corriente!BY202*SALUD_Mes_Constante!$BP$1</f>
        <v>210305.21485275289</v>
      </c>
      <c r="BZ202" s="8">
        <f>+MINVU_Mes_Corriente!BZ202*SALUD_Mes_Constante!$BP$1</f>
        <v>409443.80588988482</v>
      </c>
      <c r="CA202" s="8">
        <f>+MINVU_Mes_Corriente!CA202*SALUD_Mes_Constante!$BP$1</f>
        <v>7509665.0350832278</v>
      </c>
      <c r="CB202" s="9">
        <f t="shared" si="100"/>
        <v>7509665.0350832278</v>
      </c>
      <c r="CC202" s="8">
        <f>+MINVU_Mes_Corriente!CC202*SALUD_Mes_Constante!$CC$1</f>
        <v>0</v>
      </c>
      <c r="CD202" s="8">
        <f>+MINVU_Mes_Corriente!CD202*SALUD_Mes_Constante!$CC$1</f>
        <v>9450.7251025736678</v>
      </c>
      <c r="CE202" s="8">
        <f>+MINVU_Mes_Corriente!CE202*SALUD_Mes_Constante!$CC$1</f>
        <v>20448.722864602762</v>
      </c>
      <c r="CF202" s="8">
        <f>+MINVU_Mes_Corriente!CF202*SALUD_Mes_Constante!$CC$1</f>
        <v>195317.70234986948</v>
      </c>
      <c r="CG202" s="8">
        <f>+MINVU_Mes_Corriente!CG202*SALUD_Mes_Constante!$CC$1</f>
        <v>211199.3218948154</v>
      </c>
      <c r="CH202" s="8">
        <f>+MINVU_Mes_Corriente!CH202*SALUD_Mes_Constante!$CC$1</f>
        <v>545463.19582245441</v>
      </c>
      <c r="CI202" s="8">
        <f>+MINVU_Mes_Corriente!CI202*SALUD_Mes_Constante!$CC$1</f>
        <v>1576855.5889593437</v>
      </c>
      <c r="CJ202" s="8">
        <f>+MINVU_Mes_Corriente!CJ202*SALUD_Mes_Constante!$CC$1</f>
        <v>1901102.2648265574</v>
      </c>
      <c r="CK202" s="8">
        <f>+MINVU_Mes_Corriente!CK202*SALUD_Mes_Constante!$CC$1</f>
        <v>1905346.0574412534</v>
      </c>
      <c r="CL202" s="8">
        <f>+MINVU_Mes_Corriente!CL202*SALUD_Mes_Constante!$CC$1</f>
        <v>2002987.2487877659</v>
      </c>
      <c r="CM202" s="8">
        <f>+MINVU_Mes_Corriente!CM202*SALUD_Mes_Constante!$CC$1</f>
        <v>3540583.6807161509</v>
      </c>
      <c r="CN202" s="8">
        <f>+MINVU_Mes_Corriente!CN202*SALUD_Mes_Constante!$CC$1</f>
        <v>6028039.7948526675</v>
      </c>
      <c r="CO202" s="9">
        <f t="shared" si="101"/>
        <v>6028039.7948526675</v>
      </c>
      <c r="CP202" s="8">
        <f>+MINVU_Mes_Corriente!CP202*SALUD_Mes_Constante!$CP$1</f>
        <v>0</v>
      </c>
      <c r="CQ202" s="8">
        <f>+MINVU_Mes_Corriente!CQ202*SALUD_Mes_Constante!$CP$1</f>
        <v>136728.36960556841</v>
      </c>
      <c r="CR202" s="8">
        <f>+MINVU_Mes_Corriente!CR202*SALUD_Mes_Constante!$CP$1</f>
        <v>183755.80023201852</v>
      </c>
      <c r="CS202" s="8">
        <f>+MINVU_Mes_Corriente!CS202*SALUD_Mes_Constante!$CP$1</f>
        <v>281433.22621809738</v>
      </c>
      <c r="CT202" s="8">
        <f>+MINVU_Mes_Corriente!CT202*SALUD_Mes_Constante!$CP$1</f>
        <v>281433.22621809738</v>
      </c>
      <c r="CU202" s="8">
        <f>+MINVU_Mes_Corriente!CU202*SALUD_Mes_Constante!$CP$1</f>
        <v>285027.90556844539</v>
      </c>
      <c r="CV202" s="8">
        <f>+MINVU_Mes_Corriente!CV202*SALUD_Mes_Constante!$CP$1</f>
        <v>289535.19744779577</v>
      </c>
      <c r="CW202" s="8">
        <f>+MINVU_Mes_Corriente!CW202*SALUD_Mes_Constante!$CP$1</f>
        <v>298401.4816705336</v>
      </c>
      <c r="CX202" s="8">
        <f>+MINVU_Mes_Corriente!CX202*SALUD_Mes_Constante!$CP$1</f>
        <v>315208.76241299295</v>
      </c>
      <c r="CY202" s="8">
        <f>+MINVU_Mes_Corriente!CY202*SALUD_Mes_Constante!$CP$1</f>
        <v>330298.55707656604</v>
      </c>
      <c r="CZ202" s="8">
        <f>+MINVU_Mes_Corriente!CZ202*SALUD_Mes_Constante!$CP$1</f>
        <v>358669.39907192567</v>
      </c>
      <c r="DA202" s="8">
        <f>+MINVU_Mes_Corriente!DA202*SALUD_Mes_Constante!$CP$1</f>
        <v>2160466.9329466354</v>
      </c>
      <c r="DB202" s="9">
        <f t="shared" si="102"/>
        <v>2160466.9329466354</v>
      </c>
      <c r="DC202" s="8">
        <f>+MINVU_Mes_Corriente!DC202*SALUD_Mes_Constante!$DC$1</f>
        <v>24038.099166752403</v>
      </c>
      <c r="DD202" s="8">
        <f>+MINVU_Mes_Corriente!DD202*SALUD_Mes_Constante!$DC$1</f>
        <v>30387.340397078504</v>
      </c>
      <c r="DE202" s="8">
        <f>+MINVU_Mes_Corriente!DE202*SALUD_Mes_Constante!$DC$1</f>
        <v>32154.203065528254</v>
      </c>
      <c r="DF202" s="8">
        <f>+MINVU_Mes_Corriente!DF202*SALUD_Mes_Constante!$DC$1</f>
        <v>40529.941364057217</v>
      </c>
      <c r="DG202" s="8">
        <f>+MINVU_Mes_Corriente!DG202*SALUD_Mes_Constante!$DC$1</f>
        <v>45828.28145252548</v>
      </c>
      <c r="DH202" s="8">
        <f>+MINVU_Mes_Corriente!DH202*SALUD_Mes_Constante!$DC$1</f>
        <v>62014.406954017104</v>
      </c>
      <c r="DI202" s="8">
        <f>+MINVU_Mes_Corriente!DI202*SALUD_Mes_Constante!$DC$1</f>
        <v>72225.569385865689</v>
      </c>
      <c r="DJ202" s="8">
        <f>+MINVU_Mes_Corriente!DJ202*SALUD_Mes_Constante!$DC$1</f>
        <v>221118.59191441222</v>
      </c>
      <c r="DK202" s="8">
        <f>+MINVU_Mes_Corriente!DK202*SALUD_Mes_Constante!$DC$1</f>
        <v>296914.97726571356</v>
      </c>
      <c r="DL202" s="8">
        <f>+MINVU_Mes_Corriente!DL202*SALUD_Mes_Constante!$DC$1</f>
        <v>303947.58522785734</v>
      </c>
      <c r="DM202" s="8">
        <f>+MINVU_Mes_Corriente!DM202*SALUD_Mes_Constante!$DC$1</f>
        <v>328929.8094846211</v>
      </c>
      <c r="DN202" s="8">
        <f>+MINVU_Mes_Corriente!DN202*SALUD_Mes_Constante!$DC$1</f>
        <v>2942615.3617940554</v>
      </c>
      <c r="DO202" s="9">
        <f t="shared" si="103"/>
        <v>2942615.3617940554</v>
      </c>
      <c r="DP202" s="8">
        <f>+MINVU_Mes_Corriente!DP202*SALUD_Mes_Constante!$DP$1</f>
        <v>17285.442399049884</v>
      </c>
      <c r="DQ202" s="8">
        <f>+MINVU_Mes_Corriente!DQ202*SALUD_Mes_Constante!$DP$1</f>
        <v>50885.271377672216</v>
      </c>
      <c r="DR202" s="8">
        <f>+MINVU_Mes_Corriente!DR202*SALUD_Mes_Constante!$DP$1</f>
        <v>55523.198337292168</v>
      </c>
      <c r="DS202" s="8">
        <f>+MINVU_Mes_Corriente!DS202*SALUD_Mes_Constante!$DP$1</f>
        <v>56222.834323040384</v>
      </c>
      <c r="DT202" s="8">
        <f>+MINVU_Mes_Corriente!DT202*SALUD_Mes_Constante!$DP$1</f>
        <v>105273.04809976248</v>
      </c>
      <c r="DU202" s="8">
        <f>+MINVU_Mes_Corriente!DU202*SALUD_Mes_Constante!$DP$1</f>
        <v>122734.75118764846</v>
      </c>
      <c r="DV202" s="8">
        <f>+MINVU_Mes_Corriente!DV202*SALUD_Mes_Constante!$DP$1</f>
        <v>127457.02375296914</v>
      </c>
      <c r="DW202" s="8">
        <f>+MINVU_Mes_Corriente!DW202*SALUD_Mes_Constante!$DP$1</f>
        <v>128263.7137767221</v>
      </c>
      <c r="DX202" s="8">
        <f>+MINVU_Mes_Corriente!DX202*SALUD_Mes_Constante!$DP$1</f>
        <v>130511.84857482187</v>
      </c>
      <c r="DY202" s="8">
        <f>+MINVU_Mes_Corriente!DY202*SALUD_Mes_Constante!$DP$1</f>
        <v>168120.25653206653</v>
      </c>
      <c r="DZ202" s="8">
        <f>+MINVU_Mes_Corriente!DZ202*SALUD_Mes_Constante!$DP$1</f>
        <v>232252.11342042757</v>
      </c>
      <c r="EA202" s="8">
        <f>+MINVU_Mes_Corriente!EA202*SALUD_Mes_Constante!$DP$1</f>
        <v>3935408.0843230407</v>
      </c>
      <c r="EB202" s="9">
        <f t="shared" si="104"/>
        <v>3935408.0843230407</v>
      </c>
      <c r="EC202" s="8">
        <f>+MINVU_Mes_Corriente!EC202*SALUD_Mes_Constante!$EC$1</f>
        <v>53795.188221927645</v>
      </c>
      <c r="ED202" s="8">
        <f>+MINVU_Mes_Corriente!ED202*SALUD_Mes_Constante!$EC$1</f>
        <v>94001.668244650602</v>
      </c>
      <c r="EE202" s="8">
        <f>+MINVU_Mes_Corriente!EE202*SALUD_Mes_Constante!$EC$1</f>
        <v>124166.6142775989</v>
      </c>
      <c r="EF202" s="8">
        <f>+MINVU_Mes_Corriente!EF202*SALUD_Mes_Constante!$EC$1</f>
        <v>147896.16493088426</v>
      </c>
      <c r="EG202" s="8">
        <f>+MINVU_Mes_Corriente!EG202*SALUD_Mes_Constante!$EC$1</f>
        <v>191698.43893202039</v>
      </c>
      <c r="EH202" s="8">
        <f>+MINVU_Mes_Corriente!EH202*SALUD_Mes_Constante!$EC$1</f>
        <v>200861.71369058883</v>
      </c>
      <c r="EI202" s="8">
        <f>+MINVU_Mes_Corriente!EI202*SALUD_Mes_Constante!$EC$1</f>
        <v>215822.12005302019</v>
      </c>
      <c r="EJ202" s="8">
        <f>+MINVU_Mes_Corriente!EJ202*SALUD_Mes_Constante!$EC$1</f>
        <v>241597.83885627714</v>
      </c>
      <c r="EK202" s="8">
        <f>+MINVU_Mes_Corriente!EK202*SALUD_Mes_Constante!$EC$1</f>
        <v>269725.92690778256</v>
      </c>
      <c r="EL202" s="8">
        <f>+MINVU_Mes_Corriente!EL202*SALUD_Mes_Constante!$EC$1</f>
        <v>314926.79511456151</v>
      </c>
      <c r="EM202" s="8">
        <f>+MINVU_Mes_Corriente!EM202*SALUD_Mes_Constante!$EC$1</f>
        <v>677262.00284037087</v>
      </c>
      <c r="EN202" s="8">
        <f>+MINVU_Mes_Corriente!EN202*SALUD_Mes_Constante!$EC$1</f>
        <v>1075764.1119106226</v>
      </c>
      <c r="EO202" s="9">
        <f t="shared" si="105"/>
        <v>1075764.1119106226</v>
      </c>
      <c r="EP202" s="8">
        <f>+MINVU_Mes_Corriente!EP202*SALUD_Mes_Constante!$EP$1</f>
        <v>10185</v>
      </c>
      <c r="EQ202" s="8">
        <f>+MINVU_Mes_Corriente!EQ202*SALUD_Mes_Constante!$EP$1</f>
        <v>109599</v>
      </c>
      <c r="ER202" s="8">
        <f>+MINVU_Mes_Corriente!ER202*SALUD_Mes_Constante!$EP$1</f>
        <v>135738</v>
      </c>
      <c r="ES202" s="8">
        <f>+MINVU_Mes_Corriente!ES202*SALUD_Mes_Constante!$EP$1</f>
        <v>319729</v>
      </c>
      <c r="ET202" s="8">
        <f>+MINVU_Mes_Corriente!ET202*SALUD_Mes_Constante!$EP$1</f>
        <v>348250</v>
      </c>
      <c r="EU202" s="8">
        <f>+MINVU_Mes_Corriente!EU202*SALUD_Mes_Constante!$EP$1</f>
        <v>395271</v>
      </c>
      <c r="EV202" s="8">
        <f>+MINVU_Mes_Corriente!EV202*SALUD_Mes_Constante!$EP$1</f>
        <v>439861</v>
      </c>
      <c r="EW202" s="8">
        <f>+MINVU_Mes_Corriente!EW202*SALUD_Mes_Constante!$EP$1</f>
        <v>487602</v>
      </c>
      <c r="EX202" s="8">
        <f>+MINVU_Mes_Corriente!EX202*SALUD_Mes_Constante!$EP$1</f>
        <v>527824</v>
      </c>
      <c r="EY202" s="8">
        <f>+MINVU_Mes_Corriente!EY202*SALUD_Mes_Constante!$EP$1</f>
        <v>562128</v>
      </c>
      <c r="EZ202" s="8">
        <f>+MINVU_Mes_Corriente!EZ202*SALUD_Mes_Constante!$EP$1</f>
        <v>610950</v>
      </c>
      <c r="FA202" s="8">
        <f>+MINVU_Mes_Corriente!FA202*SALUD_Mes_Constante!$EP$1</f>
        <v>1252712</v>
      </c>
      <c r="FB202" s="9">
        <f t="shared" si="106"/>
        <v>1252712</v>
      </c>
      <c r="FC202" s="8">
        <f>+MINVU_Mes_Corriente!FC202*SALUD_Mes_Constante!$FC$1</f>
        <v>38439</v>
      </c>
      <c r="FD202" s="8">
        <f>+MINVU_Mes_Corriente!FD202*SALUD_Mes_Constante!$FC$1</f>
        <v>72210</v>
      </c>
      <c r="FE202" s="8">
        <f>+MINVU_Mes_Corriente!FE202*SALUD_Mes_Constante!$FC$1</f>
        <v>215766</v>
      </c>
      <c r="FF202" s="8">
        <f>+MINVU_Mes_Corriente!FF202*SALUD_Mes_Constante!$FC$1</f>
        <v>245770</v>
      </c>
      <c r="FG202" s="8">
        <f>+MINVU_Mes_Corriente!FG202*SALUD_Mes_Constante!$FC$1</f>
        <v>284974</v>
      </c>
      <c r="FH202" s="8">
        <f>+MINVU_Mes_Corriente!FH202*SALUD_Mes_Constante!$FC$1</f>
        <v>300789</v>
      </c>
      <c r="FI202" s="8">
        <f>+MINVU_Mes_Corriente!FI202*SALUD_Mes_Constante!$FC$1</f>
        <v>376916</v>
      </c>
      <c r="FJ202" s="8"/>
      <c r="FK202" s="8"/>
      <c r="FL202" s="8"/>
      <c r="FM202" s="8"/>
      <c r="FN202" s="8"/>
      <c r="FO202" s="9">
        <f t="shared" si="107"/>
        <v>376916</v>
      </c>
    </row>
    <row r="203" spans="2:171" ht="14.25" customHeight="1" x14ac:dyDescent="0.3">
      <c r="B203" s="7" t="s">
        <v>55</v>
      </c>
      <c r="C203" s="8">
        <f>+MINVU_Mes_Corriente!C203*SALUD_Mes_Constante!$C$1</f>
        <v>47960.651638736475</v>
      </c>
      <c r="D203" s="8">
        <f>+MINVU_Mes_Corriente!D203*SALUD_Mes_Constante!$C$1</f>
        <v>87955.677294972571</v>
      </c>
      <c r="E203" s="8">
        <f>+MINVU_Mes_Corriente!E203*SALUD_Mes_Constante!$C$1</f>
        <v>197029.3373869198</v>
      </c>
      <c r="F203" s="8">
        <f>+MINVU_Mes_Corriente!F203*SALUD_Mes_Constante!$C$1</f>
        <v>333447.97389885812</v>
      </c>
      <c r="G203" s="8">
        <f>+MINVU_Mes_Corriente!G203*SALUD_Mes_Constante!$C$1</f>
        <v>487873.52691680269</v>
      </c>
      <c r="H203" s="8">
        <f>+MINVU_Mes_Corriente!H203*SALUD_Mes_Constante!$C$1</f>
        <v>878634.79549162113</v>
      </c>
      <c r="I203" s="8">
        <f>+MINVU_Mes_Corriente!I203*SALUD_Mes_Constante!$C$1</f>
        <v>958735.03040189843</v>
      </c>
      <c r="J203" s="8">
        <f>+MINVU_Mes_Corriente!J203*SALUD_Mes_Constante!$C$1</f>
        <v>1011049.5545009641</v>
      </c>
      <c r="K203" s="8">
        <f>+MINVU_Mes_Corriente!K203*SALUD_Mes_Constante!$C$1</f>
        <v>1050182.5555390776</v>
      </c>
      <c r="L203" s="8">
        <f>+MINVU_Mes_Corriente!L203*SALUD_Mes_Constante!$C$1</f>
        <v>1105271.1137475902</v>
      </c>
      <c r="M203" s="8">
        <f>+MINVU_Mes_Corriente!M203*SALUD_Mes_Constante!$C$1</f>
        <v>1147703.1413317516</v>
      </c>
      <c r="N203" s="8">
        <f>+MINVU_Mes_Corriente!N203*SALUD_Mes_Constante!$C$1</f>
        <v>3140791.5571703995</v>
      </c>
      <c r="O203" s="9">
        <f t="shared" si="95"/>
        <v>3140791.5571703995</v>
      </c>
      <c r="P203" s="8">
        <f>+MINVU_Mes_Corriente!P203*SALUD_Mes_Constante!$P$1</f>
        <v>0</v>
      </c>
      <c r="Q203" s="8">
        <f>+MINVU_Mes_Corriente!Q203*SALUD_Mes_Constante!$P$1</f>
        <v>33709.325472368218</v>
      </c>
      <c r="R203" s="8">
        <f>+MINVU_Mes_Corriente!R203*SALUD_Mes_Constante!$P$1</f>
        <v>78502.976275039036</v>
      </c>
      <c r="S203" s="8">
        <f>+MINVU_Mes_Corriente!S203*SALUD_Mes_Constante!$P$1</f>
        <v>98406.953828668804</v>
      </c>
      <c r="T203" s="8">
        <f>+MINVU_Mes_Corriente!T203*SALUD_Mes_Constante!$P$1</f>
        <v>138618.48330728791</v>
      </c>
      <c r="U203" s="8">
        <f>+MINVU_Mes_Corriente!U203*SALUD_Mes_Constante!$P$1</f>
        <v>175005.36951271479</v>
      </c>
      <c r="V203" s="8">
        <f>+MINVU_Mes_Corriente!V203*SALUD_Mes_Constante!$P$1</f>
        <v>192183.66785054689</v>
      </c>
      <c r="W203" s="8">
        <f>+MINVU_Mes_Corriente!W203*SALUD_Mes_Constante!$P$1</f>
        <v>240221.43571530038</v>
      </c>
      <c r="X203" s="8">
        <f>+MINVU_Mes_Corriente!X203*SALUD_Mes_Constante!$P$1</f>
        <v>262334.2068475635</v>
      </c>
      <c r="Y203" s="8">
        <f>+MINVU_Mes_Corriente!Y203*SALUD_Mes_Constante!$P$1</f>
        <v>1249725.472652365</v>
      </c>
      <c r="Z203" s="8">
        <f>+MINVU_Mes_Corriente!Z203*SALUD_Mes_Constante!$P$1</f>
        <v>1580794.6037789453</v>
      </c>
      <c r="AA203" s="8">
        <f>+MINVU_Mes_Corriente!AA203*SALUD_Mes_Constante!$P$1</f>
        <v>6044754.0085239355</v>
      </c>
      <c r="AB203" s="9">
        <f t="shared" si="96"/>
        <v>6044754.0085239355</v>
      </c>
      <c r="AC203" s="8">
        <f>+MINVU_Mes_Corriente!AC203*SALUD_Mes_Constante!$AC$1</f>
        <v>12606.69055194356</v>
      </c>
      <c r="AD203" s="8">
        <f>+MINVU_Mes_Corriente!AD203*SALUD_Mes_Constante!$AC$1</f>
        <v>45068.805367270717</v>
      </c>
      <c r="AE203" s="8">
        <f>+MINVU_Mes_Corriente!AE203*SALUD_Mes_Constante!$AC$1</f>
        <v>83570.524000553327</v>
      </c>
      <c r="AF203" s="8">
        <f>+MINVU_Mes_Corriente!AF203*SALUD_Mes_Constante!$AC$1</f>
        <v>118804.56909669387</v>
      </c>
      <c r="AG203" s="8">
        <f>+MINVU_Mes_Corriente!AG203*SALUD_Mes_Constante!$AC$1</f>
        <v>183902.61114953659</v>
      </c>
      <c r="AH203" s="8">
        <f>+MINVU_Mes_Corriente!AH203*SALUD_Mes_Constante!$AC$1</f>
        <v>221651.64642412504</v>
      </c>
      <c r="AI203" s="8">
        <f>+MINVU_Mes_Corriente!AI203*SALUD_Mes_Constante!$AC$1</f>
        <v>462791.44390648778</v>
      </c>
      <c r="AJ203" s="8">
        <f>+MINVU_Mes_Corriente!AJ203*SALUD_Mes_Constante!$AC$1</f>
        <v>1014608.0990455111</v>
      </c>
      <c r="AK203" s="8">
        <f>+MINVU_Mes_Corriente!AK203*SALUD_Mes_Constante!$AC$1</f>
        <v>1043087.6422741734</v>
      </c>
      <c r="AL203" s="8">
        <f>+MINVU_Mes_Corriente!AL203*SALUD_Mes_Constante!$AC$1</f>
        <v>1108172.0816157144</v>
      </c>
      <c r="AM203" s="8">
        <f>+MINVU_Mes_Corriente!AM203*SALUD_Mes_Constante!$AC$1</f>
        <v>1174887.3349010928</v>
      </c>
      <c r="AN203" s="8">
        <f>+MINVU_Mes_Corriente!AN203*SALUD_Mes_Constante!$AC$1</f>
        <v>1478557.2848250105</v>
      </c>
      <c r="AO203" s="9">
        <f t="shared" si="97"/>
        <v>1478557.2848250105</v>
      </c>
      <c r="AP203" s="8">
        <f>+MINVU_Mes_Corriente!AP203*SALUD_Mes_Constante!$AP$1</f>
        <v>51499.840660083857</v>
      </c>
      <c r="AQ203" s="8">
        <f>+MINVU_Mes_Corriente!AQ203*SALUD_Mes_Constante!$AP$1</f>
        <v>62143.564723386982</v>
      </c>
      <c r="AR203" s="8">
        <f>+MINVU_Mes_Corriente!AR203*SALUD_Mes_Constante!$AP$1</f>
        <v>149694.9195184634</v>
      </c>
      <c r="AS203" s="8">
        <f>+MINVU_Mes_Corriente!AS203*SALUD_Mes_Constante!$AP$1</f>
        <v>500667.36074665218</v>
      </c>
      <c r="AT203" s="8">
        <f>+MINVU_Mes_Corriente!AT203*SALUD_Mes_Constante!$AP$1</f>
        <v>280127.09265521436</v>
      </c>
      <c r="AU203" s="8">
        <f>+MINVU_Mes_Corriente!AU203*SALUD_Mes_Constante!$AP$1</f>
        <v>307939.4007845259</v>
      </c>
      <c r="AV203" s="8">
        <f>+MINVU_Mes_Corriente!AV203*SALUD_Mes_Constante!$AP$1</f>
        <v>334884.19072095223</v>
      </c>
      <c r="AW203" s="8">
        <f>+MINVU_Mes_Corriente!AW203*SALUD_Mes_Constante!$AP$1</f>
        <v>383259.78357906127</v>
      </c>
      <c r="AX203" s="8">
        <f>+MINVU_Mes_Corriente!AX203*SALUD_Mes_Constante!$AP$1</f>
        <v>448577.84417692409</v>
      </c>
      <c r="AY203" s="8">
        <f>+MINVU_Mes_Corriente!AY203*SALUD_Mes_Constante!$AP$1</f>
        <v>512051.50493710261</v>
      </c>
      <c r="AZ203" s="8">
        <f>+MINVU_Mes_Corriente!AZ203*SALUD_Mes_Constante!$AP$1</f>
        <v>555557.46841606917</v>
      </c>
      <c r="BA203" s="8">
        <f>+MINVU_Mes_Corriente!BA203*SALUD_Mes_Constante!$AP$1</f>
        <v>1252504.1455430812</v>
      </c>
      <c r="BB203" s="9">
        <f t="shared" si="98"/>
        <v>1252504.1455430812</v>
      </c>
      <c r="BC203" s="8">
        <f>+MINVU_Mes_Corriente!BC203*SALUD_Mes_Constante!$BC$1</f>
        <v>16143.334300408813</v>
      </c>
      <c r="BD203" s="8">
        <f>+MINVU_Mes_Corriente!BD203*SALUD_Mes_Constante!$BC$1</f>
        <v>33602.168798628518</v>
      </c>
      <c r="BE203" s="8">
        <f>+MINVU_Mes_Corriente!BE203*SALUD_Mes_Constante!$BC$1</f>
        <v>91704.628247395507</v>
      </c>
      <c r="BF203" s="8">
        <f>+MINVU_Mes_Corriente!BF203*SALUD_Mes_Constante!$BC$1</f>
        <v>138461.79902413295</v>
      </c>
      <c r="BG203" s="8">
        <f>+MINVU_Mes_Corriente!BG203*SALUD_Mes_Constante!$BC$1</f>
        <v>182077.9068970065</v>
      </c>
      <c r="BH203" s="8">
        <f>+MINVU_Mes_Corriente!BH203*SALUD_Mes_Constante!$BC$1</f>
        <v>320778.88777528692</v>
      </c>
      <c r="BI203" s="8">
        <f>+MINVU_Mes_Corriente!BI203*SALUD_Mes_Constante!$BC$1</f>
        <v>395552.0342872215</v>
      </c>
      <c r="BJ203" s="8">
        <f>+MINVU_Mes_Corriente!BJ203*SALUD_Mes_Constante!$BC$1</f>
        <v>459334.34234471858</v>
      </c>
      <c r="BK203" s="8">
        <f>+MINVU_Mes_Corriente!BK203*SALUD_Mes_Constante!$BC$1</f>
        <v>490034.63009363064</v>
      </c>
      <c r="BL203" s="8">
        <f>+MINVU_Mes_Corriente!BL203*SALUD_Mes_Constante!$BC$1</f>
        <v>745734.44072266936</v>
      </c>
      <c r="BM203" s="8">
        <f>+MINVU_Mes_Corriente!BM203*SALUD_Mes_Constante!$BC$1</f>
        <v>1206372.7564288543</v>
      </c>
      <c r="BN203" s="8">
        <f>+MINVU_Mes_Corriente!BN203*SALUD_Mes_Constante!$BC$1</f>
        <v>6063942.9676908888</v>
      </c>
      <c r="BO203" s="9">
        <f t="shared" si="99"/>
        <v>6063942.9676908888</v>
      </c>
      <c r="BP203" s="8">
        <f>+MINVU_Mes_Corriente!BP203*SALUD_Mes_Constante!$BP$1</f>
        <v>0</v>
      </c>
      <c r="BQ203" s="8">
        <f>+MINVU_Mes_Corriente!BQ203*SALUD_Mes_Constante!$BP$1</f>
        <v>0</v>
      </c>
      <c r="BR203" s="8">
        <f>+MINVU_Mes_Corriente!BR203*SALUD_Mes_Constante!$BP$1</f>
        <v>0</v>
      </c>
      <c r="BS203" s="8">
        <f>+MINVU_Mes_Corriente!BS203*SALUD_Mes_Constante!$BP$1</f>
        <v>0</v>
      </c>
      <c r="BT203" s="8">
        <f>+MINVU_Mes_Corriente!BT203*SALUD_Mes_Constante!$BP$1</f>
        <v>0</v>
      </c>
      <c r="BU203" s="8">
        <f>+MINVU_Mes_Corriente!BU203*SALUD_Mes_Constante!$BP$1</f>
        <v>0</v>
      </c>
      <c r="BV203" s="8">
        <f>+MINVU_Mes_Corriente!BV203*SALUD_Mes_Constante!$BP$1</f>
        <v>0</v>
      </c>
      <c r="BW203" s="8">
        <f>+MINVU_Mes_Corriente!BW203*SALUD_Mes_Constante!$BP$1</f>
        <v>335.75416133162616</v>
      </c>
      <c r="BX203" s="8">
        <f>+MINVU_Mes_Corriente!BX203*SALUD_Mes_Constante!$BP$1</f>
        <v>9657.1290653008982</v>
      </c>
      <c r="BY203" s="8">
        <f>+MINVU_Mes_Corriente!BY203*SALUD_Mes_Constante!$BP$1</f>
        <v>9778.8399487836123</v>
      </c>
      <c r="BZ203" s="8">
        <f>+MINVU_Mes_Corriente!BZ203*SALUD_Mes_Constante!$BP$1</f>
        <v>261118.8092189501</v>
      </c>
      <c r="CA203" s="8">
        <f>+MINVU_Mes_Corriente!CA203*SALUD_Mes_Constante!$BP$1</f>
        <v>1376754.3426376441</v>
      </c>
      <c r="CB203" s="9">
        <f t="shared" si="100"/>
        <v>1376754.3426376441</v>
      </c>
      <c r="CC203" s="8">
        <f>+MINVU_Mes_Corriente!CC203*SALUD_Mes_Constante!$CC$1</f>
        <v>0</v>
      </c>
      <c r="CD203" s="8">
        <f>+MINVU_Mes_Corriente!CD203*SALUD_Mes_Constante!$CC$1</f>
        <v>3928.6325997762033</v>
      </c>
      <c r="CE203" s="8">
        <f>+MINVU_Mes_Corriente!CE203*SALUD_Mes_Constante!$CC$1</f>
        <v>3928.6325997762033</v>
      </c>
      <c r="CF203" s="8">
        <f>+MINVU_Mes_Corriente!CF203*SALUD_Mes_Constante!$CC$1</f>
        <v>26036.02088772846</v>
      </c>
      <c r="CG203" s="8">
        <f>+MINVU_Mes_Corriente!CG203*SALUD_Mes_Constante!$CC$1</f>
        <v>69009.175680716158</v>
      </c>
      <c r="CH203" s="8">
        <f>+MINVU_Mes_Corriente!CH203*SALUD_Mes_Constante!$CC$1</f>
        <v>133555.84856396867</v>
      </c>
      <c r="CI203" s="8">
        <f>+MINVU_Mes_Corriente!CI203*SALUD_Mes_Constante!$CC$1</f>
        <v>386611.68071615073</v>
      </c>
      <c r="CJ203" s="8">
        <f>+MINVU_Mes_Corriente!CJ203*SALUD_Mes_Constante!$CC$1</f>
        <v>404033.78067885124</v>
      </c>
      <c r="CK203" s="8">
        <f>+MINVU_Mes_Corriente!CK203*SALUD_Mes_Constante!$CC$1</f>
        <v>420916.57665050356</v>
      </c>
      <c r="CL203" s="8">
        <f>+MINVU_Mes_Corriente!CL203*SALUD_Mes_Constante!$CC$1</f>
        <v>613411.42334949656</v>
      </c>
      <c r="CM203" s="8">
        <f>+MINVU_Mes_Corriente!CM203*SALUD_Mes_Constante!$CC$1</f>
        <v>1433309.7113017533</v>
      </c>
      <c r="CN203" s="8">
        <f>+MINVU_Mes_Corriente!CN203*SALUD_Mes_Constante!$CC$1</f>
        <v>2428200.5975382323</v>
      </c>
      <c r="CO203" s="9">
        <f t="shared" si="101"/>
        <v>2428200.5975382323</v>
      </c>
      <c r="CP203" s="8">
        <f>+MINVU_Mes_Corriente!CP203*SALUD_Mes_Constante!$CP$1</f>
        <v>605.87331786542916</v>
      </c>
      <c r="CQ203" s="8">
        <f>+MINVU_Mes_Corriente!CQ203*SALUD_Mes_Constante!$CP$1</f>
        <v>8134.9266821345691</v>
      </c>
      <c r="CR203" s="8">
        <f>+MINVU_Mes_Corriente!CR203*SALUD_Mes_Constante!$CP$1</f>
        <v>17286.402320185611</v>
      </c>
      <c r="CS203" s="8">
        <f>+MINVU_Mes_Corriente!CS203*SALUD_Mes_Constante!$CP$1</f>
        <v>60977.727146171681</v>
      </c>
      <c r="CT203" s="8">
        <f>+MINVU_Mes_Corriente!CT203*SALUD_Mes_Constante!$CP$1</f>
        <v>167252.72366589322</v>
      </c>
      <c r="CU203" s="8">
        <f>+MINVU_Mes_Corriente!CU203*SALUD_Mes_Constante!$CP$1</f>
        <v>260135.13132250574</v>
      </c>
      <c r="CV203" s="8">
        <f>+MINVU_Mes_Corriente!CV203*SALUD_Mes_Constante!$CP$1</f>
        <v>295951.37053364265</v>
      </c>
      <c r="CW203" s="8">
        <f>+MINVU_Mes_Corriente!CW203*SALUD_Mes_Constante!$CP$1</f>
        <v>393387.96821345697</v>
      </c>
      <c r="CX203" s="8">
        <f>+MINVU_Mes_Corriente!CX203*SALUD_Mes_Constante!$CP$1</f>
        <v>442703.26774941984</v>
      </c>
      <c r="CY203" s="8">
        <f>+MINVU_Mes_Corriente!CY203*SALUD_Mes_Constante!$CP$1</f>
        <v>571060.95243619476</v>
      </c>
      <c r="CZ203" s="8">
        <f>+MINVU_Mes_Corriente!CZ203*SALUD_Mes_Constante!$CP$1</f>
        <v>807848.41322505788</v>
      </c>
      <c r="DA203" s="8">
        <f>+MINVU_Mes_Corriente!DA203*SALUD_Mes_Constante!$CP$1</f>
        <v>3187211.7988399067</v>
      </c>
      <c r="DB203" s="9">
        <f t="shared" si="102"/>
        <v>3187211.7988399067</v>
      </c>
      <c r="DC203" s="8">
        <f>+MINVU_Mes_Corriente!DC203*SALUD_Mes_Constante!$DC$1</f>
        <v>1186.9001131570831</v>
      </c>
      <c r="DD203" s="8">
        <f>+MINVU_Mes_Corriente!DD203*SALUD_Mes_Constante!$DC$1</f>
        <v>21702.513527414885</v>
      </c>
      <c r="DE203" s="8">
        <f>+MINVU_Mes_Corriente!DE203*SALUD_Mes_Constante!$DC$1</f>
        <v>34630.28350992698</v>
      </c>
      <c r="DF203" s="8">
        <f>+MINVU_Mes_Corriente!DF203*SALUD_Mes_Constante!$DC$1</f>
        <v>63054.068511470046</v>
      </c>
      <c r="DG203" s="8">
        <f>+MINVU_Mes_Corriente!DG203*SALUD_Mes_Constante!$DC$1</f>
        <v>83821.448616397523</v>
      </c>
      <c r="DH203" s="8">
        <f>+MINVU_Mes_Corriente!DH203*SALUD_Mes_Constante!$DC$1</f>
        <v>129138.32897850021</v>
      </c>
      <c r="DI203" s="8">
        <f>+MINVU_Mes_Corriente!DI203*SALUD_Mes_Constante!$DC$1</f>
        <v>143074.28968213152</v>
      </c>
      <c r="DJ203" s="8">
        <f>+MINVU_Mes_Corriente!DJ203*SALUD_Mes_Constante!$DC$1</f>
        <v>179176.95874909998</v>
      </c>
      <c r="DK203" s="8">
        <f>+MINVU_Mes_Corriente!DK203*SALUD_Mes_Constante!$DC$1</f>
        <v>293951.09885814233</v>
      </c>
      <c r="DL203" s="8">
        <f>+MINVU_Mes_Corriente!DL203*SALUD_Mes_Constante!$DC$1</f>
        <v>357196.24030449562</v>
      </c>
      <c r="DM203" s="8">
        <f>+MINVU_Mes_Corriente!DM203*SALUD_Mes_Constante!$DC$1</f>
        <v>1112433.3706408811</v>
      </c>
      <c r="DN203" s="8">
        <f>+MINVU_Mes_Corriente!DN203*SALUD_Mes_Constante!$DC$1</f>
        <v>2869307.4204299981</v>
      </c>
      <c r="DO203" s="9">
        <f t="shared" si="103"/>
        <v>2869307.4204299981</v>
      </c>
      <c r="DP203" s="8">
        <f>+MINVU_Mes_Corriente!DP203*SALUD_Mes_Constante!$DP$1</f>
        <v>7010.4174584323046</v>
      </c>
      <c r="DQ203" s="8">
        <f>+MINVU_Mes_Corriente!DQ203*SALUD_Mes_Constante!$DP$1</f>
        <v>10940.05760095012</v>
      </c>
      <c r="DR203" s="8">
        <f>+MINVU_Mes_Corriente!DR203*SALUD_Mes_Constante!$DP$1</f>
        <v>34012.906175771976</v>
      </c>
      <c r="DS203" s="8">
        <f>+MINVU_Mes_Corriente!DS203*SALUD_Mes_Constante!$DP$1</f>
        <v>40868.69002375297</v>
      </c>
      <c r="DT203" s="8">
        <f>+MINVU_Mes_Corriente!DT203*SALUD_Mes_Constante!$DP$1</f>
        <v>153308.95190023753</v>
      </c>
      <c r="DU203" s="8">
        <f>+MINVU_Mes_Corriente!DU203*SALUD_Mes_Constante!$DP$1</f>
        <v>677532.03028503573</v>
      </c>
      <c r="DV203" s="8">
        <f>+MINVU_Mes_Corriente!DV203*SALUD_Mes_Constante!$DP$1</f>
        <v>843939.42220902618</v>
      </c>
      <c r="DW203" s="8">
        <f>+MINVU_Mes_Corriente!DW203*SALUD_Mes_Constante!$DP$1</f>
        <v>969518.13420427567</v>
      </c>
      <c r="DX203" s="8">
        <f>+MINVU_Mes_Corriente!DX203*SALUD_Mes_Constante!$DP$1</f>
        <v>1139950.3254156772</v>
      </c>
      <c r="DY203" s="8">
        <f>+MINVU_Mes_Corriente!DY203*SALUD_Mes_Constante!$DP$1</f>
        <v>1221069.1710213779</v>
      </c>
      <c r="DZ203" s="8">
        <f>+MINVU_Mes_Corriente!DZ203*SALUD_Mes_Constante!$DP$1</f>
        <v>1375348.0973871734</v>
      </c>
      <c r="EA203" s="8">
        <f>+MINVU_Mes_Corriente!EA203*SALUD_Mes_Constante!$DP$1</f>
        <v>2859379.8331353921</v>
      </c>
      <c r="EB203" s="9">
        <f t="shared" si="104"/>
        <v>2859379.8331353921</v>
      </c>
      <c r="EC203" s="8">
        <f>+MINVU_Mes_Corriente!EC203*SALUD_Mes_Constante!$EC$1</f>
        <v>30707.004733951893</v>
      </c>
      <c r="ED203" s="8">
        <f>+MINVU_Mes_Corriente!ED203*SALUD_Mes_Constante!$EC$1</f>
        <v>36752.4074985798</v>
      </c>
      <c r="EE203" s="8">
        <f>+MINVU_Mes_Corriente!EE203*SALUD_Mes_Constante!$EC$1</f>
        <v>62292.268699109998</v>
      </c>
      <c r="EF203" s="8">
        <f>+MINVU_Mes_Corriente!EF203*SALUD_Mes_Constante!$EC$1</f>
        <v>100920.15792463545</v>
      </c>
      <c r="EG203" s="8">
        <f>+MINVU_Mes_Corriente!EG203*SALUD_Mes_Constante!$EC$1</f>
        <v>119157.7436091649</v>
      </c>
      <c r="EH203" s="8">
        <f>+MINVU_Mes_Corriente!EH203*SALUD_Mes_Constante!$EC$1</f>
        <v>231198.38060973294</v>
      </c>
      <c r="EI203" s="8">
        <f>+MINVU_Mes_Corriente!EI203*SALUD_Mes_Constante!$EC$1</f>
        <v>347452.38610111712</v>
      </c>
      <c r="EJ203" s="8">
        <f>+MINVU_Mes_Corriente!EJ203*SALUD_Mes_Constante!$EC$1</f>
        <v>560356.28555197862</v>
      </c>
      <c r="EK203" s="8">
        <f>+MINVU_Mes_Corriente!EK203*SALUD_Mes_Constante!$EC$1</f>
        <v>688426.96383260726</v>
      </c>
      <c r="EL203" s="8">
        <f>+MINVU_Mes_Corriente!EL203*SALUD_Mes_Constante!$EC$1</f>
        <v>986153.73982200306</v>
      </c>
      <c r="EM203" s="8">
        <f>+MINVU_Mes_Corriente!EM203*SALUD_Mes_Constante!$EC$1</f>
        <v>1419991.0418481345</v>
      </c>
      <c r="EN203" s="8">
        <f>+MINVU_Mes_Corriente!EN203*SALUD_Mes_Constante!$EC$1</f>
        <v>2136690.9185760268</v>
      </c>
      <c r="EO203" s="9">
        <f t="shared" si="105"/>
        <v>2136690.9185760268</v>
      </c>
      <c r="EP203" s="8">
        <f>+MINVU_Mes_Corriente!EP203*SALUD_Mes_Constante!$EP$1</f>
        <v>14983</v>
      </c>
      <c r="EQ203" s="8">
        <f>+MINVU_Mes_Corriente!EQ203*SALUD_Mes_Constante!$EP$1</f>
        <v>18892</v>
      </c>
      <c r="ER203" s="8">
        <f>+MINVU_Mes_Corriente!ER203*SALUD_Mes_Constante!$EP$1</f>
        <v>38287</v>
      </c>
      <c r="ES203" s="8">
        <f>+MINVU_Mes_Corriente!ES203*SALUD_Mes_Constante!$EP$1</f>
        <v>112044</v>
      </c>
      <c r="ET203" s="8">
        <f>+MINVU_Mes_Corriente!ET203*SALUD_Mes_Constante!$EP$1</f>
        <v>122386</v>
      </c>
      <c r="EU203" s="8">
        <f>+MINVU_Mes_Corriente!EU203*SALUD_Mes_Constante!$EP$1</f>
        <v>152270</v>
      </c>
      <c r="EV203" s="8">
        <f>+MINVU_Mes_Corriente!EV203*SALUD_Mes_Constante!$EP$1</f>
        <v>209293</v>
      </c>
      <c r="EW203" s="8">
        <f>+MINVU_Mes_Corriente!EW203*SALUD_Mes_Constante!$EP$1</f>
        <v>469405</v>
      </c>
      <c r="EX203" s="8">
        <f>+MINVU_Mes_Corriente!EX203*SALUD_Mes_Constante!$EP$1</f>
        <v>542439</v>
      </c>
      <c r="EY203" s="8">
        <f>+MINVU_Mes_Corriente!EY203*SALUD_Mes_Constante!$EP$1</f>
        <v>1089461</v>
      </c>
      <c r="EZ203" s="8">
        <f>+MINVU_Mes_Corriente!EZ203*SALUD_Mes_Constante!$EP$1</f>
        <v>1334677</v>
      </c>
      <c r="FA203" s="8">
        <f>+MINVU_Mes_Corriente!FA203*SALUD_Mes_Constante!$EP$1</f>
        <v>1939469</v>
      </c>
      <c r="FB203" s="9">
        <f t="shared" si="106"/>
        <v>1939469</v>
      </c>
      <c r="FC203" s="8">
        <f>+MINVU_Mes_Corriente!FC203*SALUD_Mes_Constante!$FC$1</f>
        <v>4609</v>
      </c>
      <c r="FD203" s="8">
        <f>+MINVU_Mes_Corriente!FD203*SALUD_Mes_Constante!$FC$1</f>
        <v>9872</v>
      </c>
      <c r="FE203" s="8">
        <f>+MINVU_Mes_Corriente!FE203*SALUD_Mes_Constante!$FC$1</f>
        <v>285151</v>
      </c>
      <c r="FF203" s="8">
        <f>+MINVU_Mes_Corriente!FF203*SALUD_Mes_Constante!$FC$1</f>
        <v>305275</v>
      </c>
      <c r="FG203" s="8">
        <f>+MINVU_Mes_Corriente!FG203*SALUD_Mes_Constante!$FC$1</f>
        <v>343368</v>
      </c>
      <c r="FH203" s="8">
        <f>+MINVU_Mes_Corriente!FH203*SALUD_Mes_Constante!$FC$1</f>
        <v>399415</v>
      </c>
      <c r="FI203" s="8">
        <f>+MINVU_Mes_Corriente!FI203*SALUD_Mes_Constante!$FC$1</f>
        <v>485847</v>
      </c>
      <c r="FJ203" s="8"/>
      <c r="FK203" s="8"/>
      <c r="FL203" s="8"/>
      <c r="FM203" s="8"/>
      <c r="FN203" s="8"/>
      <c r="FO203" s="9">
        <f t="shared" si="107"/>
        <v>485847</v>
      </c>
    </row>
    <row r="204" spans="2:171" ht="14.25" customHeight="1" x14ac:dyDescent="0.3">
      <c r="B204" s="7" t="s">
        <v>56</v>
      </c>
      <c r="C204" s="8">
        <f>+MINVU_Mes_Corriente!C204*SALUD_Mes_Constante!$C$1</f>
        <v>0</v>
      </c>
      <c r="D204" s="8">
        <f>+MINVU_Mes_Corriente!D204*SALUD_Mes_Constante!$C$1</f>
        <v>2099.9697464036781</v>
      </c>
      <c r="E204" s="8">
        <f>+MINVU_Mes_Corriente!E204*SALUD_Mes_Constante!$C$1</f>
        <v>7876.5068960403396</v>
      </c>
      <c r="F204" s="8">
        <f>+MINVU_Mes_Corriente!F204*SALUD_Mes_Constante!$C$1</f>
        <v>12985.461070740028</v>
      </c>
      <c r="G204" s="8">
        <f>+MINVU_Mes_Corriente!G204*SALUD_Mes_Constante!$C$1</f>
        <v>42589.201245736323</v>
      </c>
      <c r="H204" s="8">
        <f>+MINVU_Mes_Corriente!H204*SALUD_Mes_Constante!$C$1</f>
        <v>56397.798605961747</v>
      </c>
      <c r="I204" s="8">
        <f>+MINVU_Mes_Corriente!I204*SALUD_Mes_Constante!$C$1</f>
        <v>74766.052498887744</v>
      </c>
      <c r="J204" s="8">
        <f>+MINVU_Mes_Corriente!J204*SALUD_Mes_Constante!$C$1</f>
        <v>80821.289337090333</v>
      </c>
      <c r="K204" s="8">
        <f>+MINVU_Mes_Corriente!K204*SALUD_Mes_Constante!$C$1</f>
        <v>100390.22037668695</v>
      </c>
      <c r="L204" s="8">
        <f>+MINVU_Mes_Corriente!L204*SALUD_Mes_Constante!$C$1</f>
        <v>116682.80972860746</v>
      </c>
      <c r="M204" s="8">
        <f>+MINVU_Mes_Corriente!M204*SALUD_Mes_Constante!$C$1</f>
        <v>138525.0876464482</v>
      </c>
      <c r="N204" s="8">
        <f>+MINVU_Mes_Corriente!N204*SALUD_Mes_Constante!$C$1</f>
        <v>4495306.0708883293</v>
      </c>
      <c r="O204" s="9">
        <f t="shared" si="95"/>
        <v>4495306.0708883293</v>
      </c>
      <c r="P204" s="8">
        <f>+MINVU_Mes_Corriente!P204*SALUD_Mes_Constante!$P$1</f>
        <v>1580.14888478477</v>
      </c>
      <c r="Q204" s="8">
        <f>+MINVU_Mes_Corriente!Q204*SALUD_Mes_Constante!$P$1</f>
        <v>19359.152152294351</v>
      </c>
      <c r="R204" s="8">
        <f>+MINVU_Mes_Corriente!R204*SALUD_Mes_Constante!$P$1</f>
        <v>46021.448217076271</v>
      </c>
      <c r="S204" s="8">
        <f>+MINVU_Mes_Corriente!S204*SALUD_Mes_Constante!$P$1</f>
        <v>65385.256996732467</v>
      </c>
      <c r="T204" s="8">
        <f>+MINVU_Mes_Corriente!T204*SALUD_Mes_Constante!$P$1</f>
        <v>88725.825543401021</v>
      </c>
      <c r="U204" s="8">
        <f>+MINVU_Mes_Corriente!U204*SALUD_Mes_Constante!$P$1</f>
        <v>105084.55746554905</v>
      </c>
      <c r="V204" s="8">
        <f>+MINVU_Mes_Corriente!V204*SALUD_Mes_Constante!$P$1</f>
        <v>164456.55632902394</v>
      </c>
      <c r="W204" s="8">
        <f>+MINVU_Mes_Corriente!W204*SALUD_Mes_Constante!$P$1</f>
        <v>1396486.8450063923</v>
      </c>
      <c r="X204" s="8">
        <f>+MINVU_Mes_Corriente!X204*SALUD_Mes_Constante!$P$1</f>
        <v>1695774.4943884069</v>
      </c>
      <c r="Y204" s="8">
        <f>+MINVU_Mes_Corriente!Y204*SALUD_Mes_Constante!$P$1</f>
        <v>2034036.5625799112</v>
      </c>
      <c r="Z204" s="8">
        <f>+MINVU_Mes_Corriente!Z204*SALUD_Mes_Constante!$P$1</f>
        <v>2377725.1538570812</v>
      </c>
      <c r="AA204" s="8">
        <f>+MINVU_Mes_Corriente!AA204*SALUD_Mes_Constante!$P$1</f>
        <v>6010925.1629492799</v>
      </c>
      <c r="AB204" s="9">
        <f t="shared" si="96"/>
        <v>6010925.1629492799</v>
      </c>
      <c r="AC204" s="8">
        <f>+MINVU_Mes_Corriente!AC204*SALUD_Mes_Constante!$AC$1</f>
        <v>740.59205975930286</v>
      </c>
      <c r="AD204" s="8">
        <f>+MINVU_Mes_Corriente!AD204*SALUD_Mes_Constante!$AC$1</f>
        <v>17544.474754461196</v>
      </c>
      <c r="AE204" s="8">
        <f>+MINVU_Mes_Corriente!AE204*SALUD_Mes_Constante!$AC$1</f>
        <v>31898.358002489971</v>
      </c>
      <c r="AF204" s="8">
        <f>+MINVU_Mes_Corriente!AF204*SALUD_Mes_Constante!$AC$1</f>
        <v>70227.775625951035</v>
      </c>
      <c r="AG204" s="8">
        <f>+MINVU_Mes_Corriente!AG204*SALUD_Mes_Constante!$AC$1</f>
        <v>82220.832756951175</v>
      </c>
      <c r="AH204" s="8">
        <f>+MINVU_Mes_Corriente!AH204*SALUD_Mes_Constante!$AC$1</f>
        <v>170305.94549730254</v>
      </c>
      <c r="AI204" s="8">
        <f>+MINVU_Mes_Corriente!AI204*SALUD_Mes_Constante!$AC$1</f>
        <v>179873.18577949924</v>
      </c>
      <c r="AJ204" s="8">
        <f>+MINVU_Mes_Corriente!AJ204*SALUD_Mes_Constante!$AC$1</f>
        <v>229997.66551390235</v>
      </c>
      <c r="AK204" s="8">
        <f>+MINVU_Mes_Corriente!AK204*SALUD_Mes_Constante!$AC$1</f>
        <v>588735.92502420803</v>
      </c>
      <c r="AL204" s="8">
        <f>+MINVU_Mes_Corriente!AL204*SALUD_Mes_Constante!$AC$1</f>
        <v>716241.69511689025</v>
      </c>
      <c r="AM204" s="8">
        <f>+MINVU_Mes_Corriente!AM204*SALUD_Mes_Constante!$AC$1</f>
        <v>839725.59690136951</v>
      </c>
      <c r="AN204" s="8">
        <f>+MINVU_Mes_Corriente!AN204*SALUD_Mes_Constante!$AC$1</f>
        <v>1305261.7656660671</v>
      </c>
      <c r="AO204" s="9">
        <f t="shared" si="97"/>
        <v>1305261.7656660671</v>
      </c>
      <c r="AP204" s="8">
        <f>+MINVU_Mes_Corriente!AP204*SALUD_Mes_Constante!$AP$1</f>
        <v>2184.3132693088055</v>
      </c>
      <c r="AQ204" s="8">
        <f>+MINVU_Mes_Corriente!AQ204*SALUD_Mes_Constante!$AP$1</f>
        <v>30336.534830244826</v>
      </c>
      <c r="AR204" s="8">
        <f>+MINVU_Mes_Corriente!AR204*SALUD_Mes_Constante!$AP$1</f>
        <v>34112.529690247531</v>
      </c>
      <c r="AS204" s="8">
        <f>+MINVU_Mes_Corriente!AS204*SALUD_Mes_Constante!$AP$1</f>
        <v>131409.0547815501</v>
      </c>
      <c r="AT204" s="8">
        <f>+MINVU_Mes_Corriente!AT204*SALUD_Mes_Constante!$AP$1</f>
        <v>144355.32287298795</v>
      </c>
      <c r="AU204" s="8">
        <f>+MINVU_Mes_Corriente!AU204*SALUD_Mes_Constante!$AP$1</f>
        <v>195277.31069931015</v>
      </c>
      <c r="AV204" s="8">
        <f>+MINVU_Mes_Corriente!AV204*SALUD_Mes_Constante!$AP$1</f>
        <v>220704.3132693088</v>
      </c>
      <c r="AW204" s="8">
        <f>+MINVU_Mes_Corriente!AW204*SALUD_Mes_Constante!$AP$1</f>
        <v>248002.31759772755</v>
      </c>
      <c r="AX204" s="8">
        <f>+MINVU_Mes_Corriente!AX204*SALUD_Mes_Constante!$AP$1</f>
        <v>282776.93953740021</v>
      </c>
      <c r="AY204" s="8">
        <f>+MINVU_Mes_Corriente!AY204*SALUD_Mes_Constante!$AP$1</f>
        <v>402838.79724063299</v>
      </c>
      <c r="AZ204" s="8">
        <f>+MINVU_Mes_Corriente!AZ204*SALUD_Mes_Constante!$AP$1</f>
        <v>478352.78290274582</v>
      </c>
      <c r="BA204" s="8">
        <f>+MINVU_Mes_Corriente!BA204*SALUD_Mes_Constante!$AP$1</f>
        <v>704118.85053428914</v>
      </c>
      <c r="BB204" s="9">
        <f t="shared" si="98"/>
        <v>704118.85053428914</v>
      </c>
      <c r="BC204" s="8">
        <f>+MINVU_Mes_Corriente!BC204*SALUD_Mes_Constante!$BC$1</f>
        <v>1615.1979427667154</v>
      </c>
      <c r="BD204" s="8">
        <f>+MINVU_Mes_Corriente!BD204*SALUD_Mes_Constante!$BC$1</f>
        <v>26115.488592905189</v>
      </c>
      <c r="BE204" s="8">
        <f>+MINVU_Mes_Corriente!BE204*SALUD_Mes_Constante!$BC$1</f>
        <v>44144.901490175405</v>
      </c>
      <c r="BF204" s="8">
        <f>+MINVU_Mes_Corriente!BF204*SALUD_Mes_Constante!$BC$1</f>
        <v>83650.25135170779</v>
      </c>
      <c r="BG204" s="8">
        <f>+MINVU_Mes_Corriente!BG204*SALUD_Mes_Constante!$BC$1</f>
        <v>107886.86562046687</v>
      </c>
      <c r="BH204" s="8">
        <f>+MINVU_Mes_Corriente!BH204*SALUD_Mes_Constante!$BC$1</f>
        <v>123334.26717657922</v>
      </c>
      <c r="BI204" s="8">
        <f>+MINVU_Mes_Corriente!BI204*SALUD_Mes_Constante!$BC$1</f>
        <v>141022.19754714496</v>
      </c>
      <c r="BJ204" s="8">
        <f>+MINVU_Mes_Corriente!BJ204*SALUD_Mes_Constante!$BC$1</f>
        <v>153312.68679941978</v>
      </c>
      <c r="BK204" s="8">
        <f>+MINVU_Mes_Corriente!BK204*SALUD_Mes_Constante!$BC$1</f>
        <v>173414.04852960573</v>
      </c>
      <c r="BL204" s="8">
        <f>+MINVU_Mes_Corriente!BL204*SALUD_Mes_Constante!$BC$1</f>
        <v>197280.36318079921</v>
      </c>
      <c r="BM204" s="8">
        <f>+MINVU_Mes_Corriente!BM204*SALUD_Mes_Constante!$BC$1</f>
        <v>522332.8255307927</v>
      </c>
      <c r="BN204" s="8">
        <f>+MINVU_Mes_Corriente!BN204*SALUD_Mes_Constante!$BC$1</f>
        <v>10983956.93313992</v>
      </c>
      <c r="BO204" s="9">
        <f t="shared" si="99"/>
        <v>10983956.93313992</v>
      </c>
      <c r="BP204" s="8">
        <f>+MINVU_Mes_Corriente!BP204*SALUD_Mes_Constante!$BP$1</f>
        <v>0</v>
      </c>
      <c r="BQ204" s="8">
        <f>+MINVU_Mes_Corriente!BQ204*SALUD_Mes_Constante!$BP$1</f>
        <v>0</v>
      </c>
      <c r="BR204" s="8">
        <f>+MINVU_Mes_Corriente!BR204*SALUD_Mes_Constante!$BP$1</f>
        <v>0</v>
      </c>
      <c r="BS204" s="8">
        <f>+MINVU_Mes_Corriente!BS204*SALUD_Mes_Constante!$BP$1</f>
        <v>32463.230473751602</v>
      </c>
      <c r="BT204" s="8">
        <f>+MINVU_Mes_Corriente!BT204*SALUD_Mes_Constante!$BP$1</f>
        <v>32463.230473751602</v>
      </c>
      <c r="BU204" s="8">
        <f>+MINVU_Mes_Corriente!BU204*SALUD_Mes_Constante!$BP$1</f>
        <v>37271.509859154932</v>
      </c>
      <c r="BV204" s="8">
        <f>+MINVU_Mes_Corriente!BV204*SALUD_Mes_Constante!$BP$1</f>
        <v>56790.018437900137</v>
      </c>
      <c r="BW204" s="8">
        <f>+MINVU_Mes_Corriente!BW204*SALUD_Mes_Constante!$BP$1</f>
        <v>57218.104993597961</v>
      </c>
      <c r="BX204" s="8">
        <f>+MINVU_Mes_Corriente!BX204*SALUD_Mes_Constante!$BP$1</f>
        <v>648346.881434059</v>
      </c>
      <c r="BY204" s="8">
        <f>+MINVU_Mes_Corriente!BY204*SALUD_Mes_Constante!$BP$1</f>
        <v>1039343.7941101154</v>
      </c>
      <c r="BZ204" s="8">
        <f>+MINVU_Mes_Corriente!BZ204*SALUD_Mes_Constante!$BP$1</f>
        <v>1276659.0322663253</v>
      </c>
      <c r="CA204" s="8">
        <f>+MINVU_Mes_Corriente!CA204*SALUD_Mes_Constante!$BP$1</f>
        <v>2269188.9034571066</v>
      </c>
      <c r="CB204" s="9">
        <f t="shared" si="100"/>
        <v>2269188.9034571066</v>
      </c>
      <c r="CC204" s="8">
        <f>+MINVU_Mes_Corriente!CC204*SALUD_Mes_Constante!$CC$1</f>
        <v>0</v>
      </c>
      <c r="CD204" s="8">
        <f>+MINVU_Mes_Corriente!CD204*SALUD_Mes_Constante!$CC$1</f>
        <v>9376.0104438642302</v>
      </c>
      <c r="CE204" s="8">
        <f>+MINVU_Mes_Corriente!CE204*SALUD_Mes_Constante!$CC$1</f>
        <v>11116.182767624023</v>
      </c>
      <c r="CF204" s="8">
        <f>+MINVU_Mes_Corriente!CF204*SALUD_Mes_Constante!$CC$1</f>
        <v>13603.501678478182</v>
      </c>
      <c r="CG204" s="8">
        <f>+MINVU_Mes_Corriente!CG204*SALUD_Mes_Constante!$CC$1</f>
        <v>32663.89033942559</v>
      </c>
      <c r="CH204" s="8">
        <f>+MINVU_Mes_Corriente!CH204*SALUD_Mes_Constante!$CC$1</f>
        <v>1476236.6788511751</v>
      </c>
      <c r="CI204" s="8">
        <f>+MINVU_Mes_Corriente!CI204*SALUD_Mes_Constante!$CC$1</f>
        <v>1652464.1066766134</v>
      </c>
      <c r="CJ204" s="8">
        <f>+MINVU_Mes_Corriente!CJ204*SALUD_Mes_Constante!$CC$1</f>
        <v>2051088.5460649014</v>
      </c>
      <c r="CK204" s="8">
        <f>+MINVU_Mes_Corriente!CK204*SALUD_Mes_Constante!$CC$1</f>
        <v>2823765.8112644539</v>
      </c>
      <c r="CL204" s="8">
        <f>+MINVU_Mes_Corriente!CL204*SALUD_Mes_Constante!$CC$1</f>
        <v>3855454.3461395004</v>
      </c>
      <c r="CM204" s="8">
        <f>+MINVU_Mes_Corriente!CM204*SALUD_Mes_Constante!$CC$1</f>
        <v>4132553.3554643793</v>
      </c>
      <c r="CN204" s="8">
        <f>+MINVU_Mes_Corriente!CN204*SALUD_Mes_Constante!$CC$1</f>
        <v>8046143.8567698626</v>
      </c>
      <c r="CO204" s="9">
        <f t="shared" si="101"/>
        <v>8046143.8567698626</v>
      </c>
      <c r="CP204" s="8">
        <f>+MINVU_Mes_Corriente!CP204*SALUD_Mes_Constante!$CP$1</f>
        <v>2078.7285382830623</v>
      </c>
      <c r="CQ204" s="8">
        <f>+MINVU_Mes_Corriente!CQ204*SALUD_Mes_Constante!$CP$1</f>
        <v>4518.6995359628763</v>
      </c>
      <c r="CR204" s="8">
        <f>+MINVU_Mes_Corriente!CR204*SALUD_Mes_Constante!$CP$1</f>
        <v>50892.091183294651</v>
      </c>
      <c r="CS204" s="8">
        <f>+MINVU_Mes_Corriente!CS204*SALUD_Mes_Constante!$CP$1</f>
        <v>241872.74060324821</v>
      </c>
      <c r="CT204" s="8">
        <f>+MINVU_Mes_Corriente!CT204*SALUD_Mes_Constante!$CP$1</f>
        <v>287393.09303944308</v>
      </c>
      <c r="CU204" s="8">
        <f>+MINVU_Mes_Corriente!CU204*SALUD_Mes_Constante!$CP$1</f>
        <v>306631.47215777257</v>
      </c>
      <c r="CV204" s="8">
        <f>+MINVU_Mes_Corriente!CV204*SALUD_Mes_Constante!$CP$1</f>
        <v>325166.37911832938</v>
      </c>
      <c r="CW204" s="8">
        <f>+MINVU_Mes_Corriente!CW204*SALUD_Mes_Constante!$CP$1</f>
        <v>351224.00185614842</v>
      </c>
      <c r="CX204" s="8">
        <f>+MINVU_Mes_Corriente!CX204*SALUD_Mes_Constante!$CP$1</f>
        <v>357365.12366589322</v>
      </c>
      <c r="CY204" s="8">
        <f>+MINVU_Mes_Corriente!CY204*SALUD_Mes_Constante!$CP$1</f>
        <v>360964.87308584678</v>
      </c>
      <c r="CZ204" s="8">
        <f>+MINVU_Mes_Corriente!CZ204*SALUD_Mes_Constante!$CP$1</f>
        <v>494978.2204176333</v>
      </c>
      <c r="DA204" s="8">
        <f>+MINVU_Mes_Corriente!DA204*SALUD_Mes_Constante!$CP$1</f>
        <v>1239407.6679814383</v>
      </c>
      <c r="DB204" s="9">
        <f t="shared" si="102"/>
        <v>1239407.6679814383</v>
      </c>
      <c r="DC204" s="8">
        <f>+MINVU_Mes_Corriente!DC204*SALUD_Mes_Constante!$DC$1</f>
        <v>3007.7127867503359</v>
      </c>
      <c r="DD204" s="8">
        <f>+MINVU_Mes_Corriente!DD204*SALUD_Mes_Constante!$DC$1</f>
        <v>17247.142269313867</v>
      </c>
      <c r="DE204" s="8">
        <f>+MINVU_Mes_Corriente!DE204*SALUD_Mes_Constante!$DC$1</f>
        <v>93203.129719164746</v>
      </c>
      <c r="DF204" s="8">
        <f>+MINVU_Mes_Corriente!DF204*SALUD_Mes_Constante!$DC$1</f>
        <v>118451.73212632451</v>
      </c>
      <c r="DG204" s="8">
        <f>+MINVU_Mes_Corriente!DG204*SALUD_Mes_Constante!$DC$1</f>
        <v>132733.87202962665</v>
      </c>
      <c r="DH204" s="8">
        <f>+MINVU_Mes_Corriente!DH204*SALUD_Mes_Constante!$DC$1</f>
        <v>151533.20090525673</v>
      </c>
      <c r="DI204" s="8">
        <f>+MINVU_Mes_Corriente!DI204*SALUD_Mes_Constante!$DC$1</f>
        <v>179729.94630182089</v>
      </c>
      <c r="DJ204" s="8">
        <f>+MINVU_Mes_Corriente!DJ204*SALUD_Mes_Constante!$DC$1</f>
        <v>209819.43771216963</v>
      </c>
      <c r="DK204" s="8">
        <f>+MINVU_Mes_Corriente!DK204*SALUD_Mes_Constante!$DC$1</f>
        <v>230631.7761547167</v>
      </c>
      <c r="DL204" s="8">
        <f>+MINVU_Mes_Corriente!DL204*SALUD_Mes_Constante!$DC$1</f>
        <v>399598.69643040857</v>
      </c>
      <c r="DM204" s="8">
        <f>+MINVU_Mes_Corriente!DM204*SALUD_Mes_Constante!$DC$1</f>
        <v>1075726.0119329293</v>
      </c>
      <c r="DN204" s="8">
        <f>+MINVU_Mes_Corriente!DN204*SALUD_Mes_Constante!$DC$1</f>
        <v>4056689.7117580515</v>
      </c>
      <c r="DO204" s="9">
        <f t="shared" si="103"/>
        <v>4056689.7117580515</v>
      </c>
      <c r="DP204" s="8">
        <f>+MINVU_Mes_Corriente!DP204*SALUD_Mes_Constante!$DP$1</f>
        <v>6824.424584323041</v>
      </c>
      <c r="DQ204" s="8">
        <f>+MINVU_Mes_Corriente!DQ204*SALUD_Mes_Constante!$DP$1</f>
        <v>15655.842042755346</v>
      </c>
      <c r="DR204" s="8">
        <f>+MINVU_Mes_Corriente!DR204*SALUD_Mes_Constante!$DP$1</f>
        <v>20644.12767220903</v>
      </c>
      <c r="DS204" s="8">
        <f>+MINVU_Mes_Corriente!DS204*SALUD_Mes_Constante!$DP$1</f>
        <v>38478.897862232785</v>
      </c>
      <c r="DT204" s="8">
        <f>+MINVU_Mes_Corriente!DT204*SALUD_Mes_Constante!$DP$1</f>
        <v>56297.447743467936</v>
      </c>
      <c r="DU204" s="8">
        <f>+MINVU_Mes_Corriente!DU204*SALUD_Mes_Constante!$DP$1</f>
        <v>221336.92695961997</v>
      </c>
      <c r="DV204" s="8">
        <f>+MINVU_Mes_Corriente!DV204*SALUD_Mes_Constante!$DP$1</f>
        <v>249310.47149643707</v>
      </c>
      <c r="DW204" s="8">
        <f>+MINVU_Mes_Corriente!DW204*SALUD_Mes_Constante!$DP$1</f>
        <v>418684.01722090266</v>
      </c>
      <c r="DX204" s="8">
        <f>+MINVU_Mes_Corriente!DX204*SALUD_Mes_Constante!$DP$1</f>
        <v>507878.41389548697</v>
      </c>
      <c r="DY204" s="8">
        <f>+MINVU_Mes_Corriente!DY204*SALUD_Mes_Constante!$DP$1</f>
        <v>685091.77553444193</v>
      </c>
      <c r="DZ204" s="8">
        <f>+MINVU_Mes_Corriente!DZ204*SALUD_Mes_Constante!$DP$1</f>
        <v>750417.44714964379</v>
      </c>
      <c r="EA204" s="8">
        <f>+MINVU_Mes_Corriente!EA204*SALUD_Mes_Constante!$DP$1</f>
        <v>1684729.9418052258</v>
      </c>
      <c r="EB204" s="9">
        <f t="shared" si="104"/>
        <v>1684729.9418052258</v>
      </c>
      <c r="EC204" s="8">
        <f>+MINVU_Mes_Corriente!EC204*SALUD_Mes_Constante!$EC$1</f>
        <v>13202.853436849078</v>
      </c>
      <c r="ED204" s="8">
        <f>+MINVU_Mes_Corriente!ED204*SALUD_Mes_Constante!$EC$1</f>
        <v>33867.289717856453</v>
      </c>
      <c r="EE204" s="8">
        <f>+MINVU_Mes_Corriente!EE204*SALUD_Mes_Constante!$EC$1</f>
        <v>71577.610111721238</v>
      </c>
      <c r="EF204" s="8">
        <f>+MINVU_Mes_Corriente!EF204*SALUD_Mes_Constante!$EC$1</f>
        <v>148286.1575459193</v>
      </c>
      <c r="EG204" s="8">
        <f>+MINVU_Mes_Corriente!EG204*SALUD_Mes_Constante!$EC$1</f>
        <v>200384.82616928607</v>
      </c>
      <c r="EH204" s="8">
        <f>+MINVU_Mes_Corriente!EH204*SALUD_Mes_Constante!$EC$1</f>
        <v>302276.3450104146</v>
      </c>
      <c r="EI204" s="8">
        <f>+MINVU_Mes_Corriente!EI204*SALUD_Mes_Constante!$EC$1</f>
        <v>397111.79056996771</v>
      </c>
      <c r="EJ204" s="8">
        <f>+MINVU_Mes_Corriente!EJ204*SALUD_Mes_Constante!$EC$1</f>
        <v>512350.98769172491</v>
      </c>
      <c r="EK204" s="8">
        <f>+MINVU_Mes_Corriente!EK204*SALUD_Mes_Constante!$EC$1</f>
        <v>654835.87578110187</v>
      </c>
      <c r="EL204" s="8">
        <f>+MINVU_Mes_Corriente!EL204*SALUD_Mes_Constante!$EC$1</f>
        <v>715259.90399545513</v>
      </c>
      <c r="EM204" s="8">
        <f>+MINVU_Mes_Corriente!EM204*SALUD_Mes_Constante!$EC$1</f>
        <v>752850.22666161694</v>
      </c>
      <c r="EN204" s="8">
        <f>+MINVU_Mes_Corriente!EN204*SALUD_Mes_Constante!$EC$1</f>
        <v>864640.52357508021</v>
      </c>
      <c r="EO204" s="9">
        <f t="shared" si="105"/>
        <v>864640.52357508021</v>
      </c>
      <c r="EP204" s="8">
        <f>+MINVU_Mes_Corriente!EP204*SALUD_Mes_Constante!$EP$1</f>
        <v>1012</v>
      </c>
      <c r="EQ204" s="8">
        <f>+MINVU_Mes_Corriente!EQ204*SALUD_Mes_Constante!$EP$1</f>
        <v>20489</v>
      </c>
      <c r="ER204" s="8">
        <f>+MINVU_Mes_Corriente!ER204*SALUD_Mes_Constante!$EP$1</f>
        <v>585315</v>
      </c>
      <c r="ES204" s="8">
        <f>+MINVU_Mes_Corriente!ES204*SALUD_Mes_Constante!$EP$1</f>
        <v>626116</v>
      </c>
      <c r="ET204" s="8">
        <f>+MINVU_Mes_Corriente!ET204*SALUD_Mes_Constante!$EP$1</f>
        <v>760739</v>
      </c>
      <c r="EU204" s="8">
        <f>+MINVU_Mes_Corriente!EU204*SALUD_Mes_Constante!$EP$1</f>
        <v>838656</v>
      </c>
      <c r="EV204" s="8">
        <f>+MINVU_Mes_Corriente!EV204*SALUD_Mes_Constante!$EP$1</f>
        <v>946960</v>
      </c>
      <c r="EW204" s="8">
        <f>+MINVU_Mes_Corriente!EW204*SALUD_Mes_Constante!$EP$1</f>
        <v>999789</v>
      </c>
      <c r="EX204" s="8">
        <f>+MINVU_Mes_Corriente!EX204*SALUD_Mes_Constante!$EP$1</f>
        <v>1046357</v>
      </c>
      <c r="EY204" s="8">
        <f>+MINVU_Mes_Corriente!EY204*SALUD_Mes_Constante!$EP$1</f>
        <v>1268885</v>
      </c>
      <c r="EZ204" s="8">
        <f>+MINVU_Mes_Corriente!EZ204*SALUD_Mes_Constante!$EP$1</f>
        <v>1301579</v>
      </c>
      <c r="FA204" s="8">
        <f>+MINVU_Mes_Corriente!FA204*SALUD_Mes_Constante!$EP$1</f>
        <v>1669960</v>
      </c>
      <c r="FB204" s="9">
        <f t="shared" si="106"/>
        <v>1669960</v>
      </c>
      <c r="FC204" s="8">
        <f>+MINVU_Mes_Corriente!FC204*SALUD_Mes_Constante!$FC$1</f>
        <v>7271</v>
      </c>
      <c r="FD204" s="8">
        <f>+MINVU_Mes_Corriente!FD204*SALUD_Mes_Constante!$FC$1</f>
        <v>17488</v>
      </c>
      <c r="FE204" s="8">
        <f>+MINVU_Mes_Corriente!FE204*SALUD_Mes_Constante!$FC$1</f>
        <v>27051</v>
      </c>
      <c r="FF204" s="8">
        <f>+MINVU_Mes_Corriente!FF204*SALUD_Mes_Constante!$FC$1</f>
        <v>40662</v>
      </c>
      <c r="FG204" s="8">
        <f>+MINVU_Mes_Corriente!FG204*SALUD_Mes_Constante!$FC$1</f>
        <v>47194</v>
      </c>
      <c r="FH204" s="8">
        <f>+MINVU_Mes_Corriente!FH204*SALUD_Mes_Constante!$FC$1</f>
        <v>64042</v>
      </c>
      <c r="FI204" s="8">
        <f>+MINVU_Mes_Corriente!FI204*SALUD_Mes_Constante!$FC$1</f>
        <v>80007</v>
      </c>
      <c r="FJ204" s="8"/>
      <c r="FK204" s="8"/>
      <c r="FL204" s="8"/>
      <c r="FM204" s="8"/>
      <c r="FN204" s="8"/>
      <c r="FO204" s="9">
        <f t="shared" si="107"/>
        <v>80007</v>
      </c>
    </row>
    <row r="205" spans="2:171" ht="14.25" customHeight="1" x14ac:dyDescent="0.3">
      <c r="B205" s="7" t="s">
        <v>57</v>
      </c>
      <c r="C205" s="8">
        <f>+MINVU_Mes_Corriente!C205*SALUD_Mes_Constante!$C$1</f>
        <v>11752.376983538486</v>
      </c>
      <c r="D205" s="8">
        <f>+MINVU_Mes_Corriente!D205*SALUD_Mes_Constante!$C$1</f>
        <v>34571.724158386482</v>
      </c>
      <c r="E205" s="8">
        <f>+MINVU_Mes_Corriente!E205*SALUD_Mes_Constante!$C$1</f>
        <v>44818.798754263691</v>
      </c>
      <c r="F205" s="8">
        <f>+MINVU_Mes_Corriente!F205*SALUD_Mes_Constante!$C$1</f>
        <v>66102.056947946025</v>
      </c>
      <c r="G205" s="8">
        <f>+MINVU_Mes_Corriente!G205*SALUD_Mes_Constante!$C$1</f>
        <v>78141.235355183162</v>
      </c>
      <c r="H205" s="8">
        <f>+MINVU_Mes_Corriente!H205*SALUD_Mes_Constante!$C$1</f>
        <v>82903.435266201996</v>
      </c>
      <c r="I205" s="8">
        <f>+MINVU_Mes_Corriente!I205*SALUD_Mes_Constante!$C$1</f>
        <v>112930.08601512681</v>
      </c>
      <c r="J205" s="8">
        <f>+MINVU_Mes_Corriente!J205*SALUD_Mes_Constante!$C$1</f>
        <v>113262.25715556876</v>
      </c>
      <c r="K205" s="8">
        <f>+MINVU_Mes_Corriente!K205*SALUD_Mes_Constante!$C$1</f>
        <v>116546.7005783776</v>
      </c>
      <c r="L205" s="8">
        <f>+MINVU_Mes_Corriente!L205*SALUD_Mes_Constante!$C$1</f>
        <v>138414.90404864305</v>
      </c>
      <c r="M205" s="8">
        <f>+MINVU_Mes_Corriente!M205*SALUD_Mes_Constante!$C$1</f>
        <v>150301.76983538485</v>
      </c>
      <c r="N205" s="8">
        <f>+MINVU_Mes_Corriente!N205*SALUD_Mes_Constante!$C$1</f>
        <v>5782380.1210143864</v>
      </c>
      <c r="O205" s="9">
        <f t="shared" si="95"/>
        <v>5782380.1210143864</v>
      </c>
      <c r="P205" s="8">
        <f>+MINVU_Mes_Corriente!P205*SALUD_Mes_Constante!$P$1</f>
        <v>2294.1650802670824</v>
      </c>
      <c r="Q205" s="8">
        <f>+MINVU_Mes_Corriente!Q205*SALUD_Mes_Constante!$P$1</f>
        <v>20337.043898280997</v>
      </c>
      <c r="R205" s="8">
        <f>+MINVU_Mes_Corriente!R205*SALUD_Mes_Constante!$P$1</f>
        <v>50690.493251882348</v>
      </c>
      <c r="S205" s="8">
        <f>+MINVU_Mes_Corriente!S205*SALUD_Mes_Constante!$P$1</f>
        <v>59755.39451626649</v>
      </c>
      <c r="T205" s="8">
        <f>+MINVU_Mes_Corriente!T205*SALUD_Mes_Constante!$P$1</f>
        <v>77751.707060661996</v>
      </c>
      <c r="U205" s="8">
        <f>+MINVU_Mes_Corriente!U205*SALUD_Mes_Constante!$P$1</f>
        <v>101776.7998295212</v>
      </c>
      <c r="V205" s="8">
        <f>+MINVU_Mes_Corriente!V205*SALUD_Mes_Constante!$P$1</f>
        <v>108389.21068333567</v>
      </c>
      <c r="W205" s="8">
        <f>+MINVU_Mes_Corriente!W205*SALUD_Mes_Constante!$P$1</f>
        <v>127889.61386560586</v>
      </c>
      <c r="X205" s="8">
        <f>+MINVU_Mes_Corriente!X205*SALUD_Mes_Constante!$P$1</f>
        <v>292585.21039920434</v>
      </c>
      <c r="Y205" s="8">
        <f>+MINVU_Mes_Corriente!Y205*SALUD_Mes_Constante!$P$1</f>
        <v>416049.47606194048</v>
      </c>
      <c r="Z205" s="8">
        <f>+MINVU_Mes_Corriente!Z205*SALUD_Mes_Constante!$P$1</f>
        <v>460320.03239096445</v>
      </c>
      <c r="AA205" s="8">
        <f>+MINVU_Mes_Corriente!AA205*SALUD_Mes_Constante!$P$1</f>
        <v>8178343.0552635286</v>
      </c>
      <c r="AB205" s="9">
        <f t="shared" si="96"/>
        <v>8178343.0552635286</v>
      </c>
      <c r="AC205" s="8">
        <f>+MINVU_Mes_Corriente!AC205*SALUD_Mes_Constante!$AC$1</f>
        <v>7939.449163093097</v>
      </c>
      <c r="AD205" s="8">
        <f>+MINVU_Mes_Corriente!AD205*SALUD_Mes_Constante!$AC$1</f>
        <v>19332.475584451513</v>
      </c>
      <c r="AE205" s="8">
        <f>+MINVU_Mes_Corriente!AE205*SALUD_Mes_Constante!$AC$1</f>
        <v>33917.604924609215</v>
      </c>
      <c r="AF205" s="8">
        <f>+MINVU_Mes_Corriente!AF205*SALUD_Mes_Constante!$AC$1</f>
        <v>42467.664683912022</v>
      </c>
      <c r="AG205" s="8">
        <f>+MINVU_Mes_Corriente!AG205*SALUD_Mes_Constante!$AC$1</f>
        <v>71365.86913819339</v>
      </c>
      <c r="AH205" s="8">
        <f>+MINVU_Mes_Corriente!AH205*SALUD_Mes_Constante!$AC$1</f>
        <v>91491.836215244155</v>
      </c>
      <c r="AI205" s="8">
        <f>+MINVU_Mes_Corriente!AI205*SALUD_Mes_Constante!$AC$1</f>
        <v>102695.93609074561</v>
      </c>
      <c r="AJ205" s="8">
        <f>+MINVU_Mes_Corriente!AJ205*SALUD_Mes_Constante!$AC$1</f>
        <v>111141.70839673537</v>
      </c>
      <c r="AK205" s="8">
        <f>+MINVU_Mes_Corriente!AK205*SALUD_Mes_Constante!$AC$1</f>
        <v>123935.81408216905</v>
      </c>
      <c r="AL205" s="8">
        <f>+MINVU_Mes_Corriente!AL205*SALUD_Mes_Constante!$AC$1</f>
        <v>161170.96915202655</v>
      </c>
      <c r="AM205" s="8">
        <f>+MINVU_Mes_Corriente!AM205*SALUD_Mes_Constante!$AC$1</f>
        <v>398065.20929589152</v>
      </c>
      <c r="AN205" s="8">
        <f>+MINVU_Mes_Corriente!AN205*SALUD_Mes_Constante!$AC$1</f>
        <v>1161904.3026698022</v>
      </c>
      <c r="AO205" s="9">
        <f t="shared" si="97"/>
        <v>1161904.3026698022</v>
      </c>
      <c r="AP205" s="8">
        <f>+MINVU_Mes_Corriente!AP205*SALUD_Mes_Constante!$AP$1</f>
        <v>23634.328689300688</v>
      </c>
      <c r="AQ205" s="8">
        <f>+MINVU_Mes_Corriente!AQ205*SALUD_Mes_Constante!$AP$1</f>
        <v>17622.29460300284</v>
      </c>
      <c r="AR205" s="8">
        <f>+MINVU_Mes_Corriente!AR205*SALUD_Mes_Constante!$AP$1</f>
        <v>31385.832814824833</v>
      </c>
      <c r="AS205" s="8">
        <f>+MINVU_Mes_Corriente!AS205*SALUD_Mes_Constante!$AP$1</f>
        <v>50624.933044772079</v>
      </c>
      <c r="AT205" s="8">
        <f>+MINVU_Mes_Corriente!AT205*SALUD_Mes_Constante!$AP$1</f>
        <v>79523.486270796697</v>
      </c>
      <c r="AU205" s="8">
        <f>+MINVU_Mes_Corriente!AU205*SALUD_Mes_Constante!$AP$1</f>
        <v>131286.39036926822</v>
      </c>
      <c r="AV205" s="8">
        <f>+MINVU_Mes_Corriente!AV205*SALUD_Mes_Constante!$AP$1</f>
        <v>153219.67401596103</v>
      </c>
      <c r="AW205" s="8">
        <f>+MINVU_Mes_Corriente!AW205*SALUD_Mes_Constante!$AP$1</f>
        <v>159729.75517381306</v>
      </c>
      <c r="AX205" s="8">
        <f>+MINVU_Mes_Corriente!AX205*SALUD_Mes_Constante!$AP$1</f>
        <v>164524.01244420395</v>
      </c>
      <c r="AY205" s="8">
        <f>+MINVU_Mes_Corriente!AY205*SALUD_Mes_Constante!$AP$1</f>
        <v>416275.7229811984</v>
      </c>
      <c r="AZ205" s="8">
        <f>+MINVU_Mes_Corriente!AZ205*SALUD_Mes_Constante!$AP$1</f>
        <v>584337.79088326788</v>
      </c>
      <c r="BA205" s="8">
        <f>+MINVU_Mes_Corriente!BA205*SALUD_Mes_Constante!$AP$1</f>
        <v>1365402.6971459489</v>
      </c>
      <c r="BB205" s="9">
        <f t="shared" si="98"/>
        <v>1365402.6971459489</v>
      </c>
      <c r="BC205" s="8">
        <f>+MINVU_Mes_Corriente!BC205*SALUD_Mes_Constante!$BC$1</f>
        <v>7587.5400237373087</v>
      </c>
      <c r="BD205" s="8">
        <f>+MINVU_Mes_Corriente!BD205*SALUD_Mes_Constante!$BC$1</f>
        <v>14484.910721350392</v>
      </c>
      <c r="BE205" s="8">
        <f>+MINVU_Mes_Corriente!BE205*SALUD_Mes_Constante!$BC$1</f>
        <v>84119.969932744323</v>
      </c>
      <c r="BF205" s="8">
        <f>+MINVU_Mes_Corriente!BF205*SALUD_Mes_Constante!$BC$1</f>
        <v>196724.19332717927</v>
      </c>
      <c r="BG205" s="8">
        <f>+MINVU_Mes_Corriente!BG205*SALUD_Mes_Constante!$BC$1</f>
        <v>213779.58855334306</v>
      </c>
      <c r="BH205" s="8">
        <f>+MINVU_Mes_Corriente!BH205*SALUD_Mes_Constante!$BC$1</f>
        <v>219656.8342344719</v>
      </c>
      <c r="BI205" s="8">
        <f>+MINVU_Mes_Corriente!BI205*SALUD_Mes_Constante!$BC$1</f>
        <v>245298.28168271139</v>
      </c>
      <c r="BJ205" s="8">
        <f>+MINVU_Mes_Corriente!BJ205*SALUD_Mes_Constante!$BC$1</f>
        <v>285240.21047078999</v>
      </c>
      <c r="BK205" s="8">
        <f>+MINVU_Mes_Corriente!BK205*SALUD_Mes_Constante!$BC$1</f>
        <v>409516.79651852837</v>
      </c>
      <c r="BL205" s="8">
        <f>+MINVU_Mes_Corriente!BL205*SALUD_Mes_Constante!$BC$1</f>
        <v>429191.66530396952</v>
      </c>
      <c r="BM205" s="8">
        <f>+MINVU_Mes_Corriente!BM205*SALUD_Mes_Constante!$BC$1</f>
        <v>1033555.2216800741</v>
      </c>
      <c r="BN205" s="8">
        <f>+MINVU_Mes_Corriente!BN205*SALUD_Mes_Constante!$BC$1</f>
        <v>3439580.5889489655</v>
      </c>
      <c r="BO205" s="9">
        <f t="shared" si="99"/>
        <v>3439580.5889489655</v>
      </c>
      <c r="BP205" s="8">
        <f>+MINVU_Mes_Corriente!BP205*SALUD_Mes_Constante!$BP$1</f>
        <v>0</v>
      </c>
      <c r="BQ205" s="8">
        <f>+MINVU_Mes_Corriente!BQ205*SALUD_Mes_Constante!$BP$1</f>
        <v>0</v>
      </c>
      <c r="BR205" s="8">
        <f>+MINVU_Mes_Corriente!BR205*SALUD_Mes_Constante!$BP$1</f>
        <v>0</v>
      </c>
      <c r="BS205" s="8">
        <f>+MINVU_Mes_Corriente!BS205*SALUD_Mes_Constante!$BP$1</f>
        <v>0</v>
      </c>
      <c r="BT205" s="8">
        <f>+MINVU_Mes_Corriente!BT205*SALUD_Mes_Constante!$BP$1</f>
        <v>0</v>
      </c>
      <c r="BU205" s="8">
        <f>+MINVU_Mes_Corriente!BU205*SALUD_Mes_Constante!$BP$1</f>
        <v>0</v>
      </c>
      <c r="BV205" s="8">
        <f>+MINVU_Mes_Corriente!BV205*SALUD_Mes_Constante!$BP$1</f>
        <v>0</v>
      </c>
      <c r="BW205" s="8">
        <f>+MINVU_Mes_Corriente!BW205*SALUD_Mes_Constante!$BP$1</f>
        <v>671.50832266325233</v>
      </c>
      <c r="BX205" s="8">
        <f>+MINVU_Mes_Corriente!BX205*SALUD_Mes_Constante!$BP$1</f>
        <v>671.50832266325233</v>
      </c>
      <c r="BY205" s="8">
        <f>+MINVU_Mes_Corriente!BY205*SALUD_Mes_Constante!$BP$1</f>
        <v>97775.808706786178</v>
      </c>
      <c r="BZ205" s="8">
        <f>+MINVU_Mes_Corriente!BZ205*SALUD_Mes_Constante!$BP$1</f>
        <v>327623.31472471193</v>
      </c>
      <c r="CA205" s="8">
        <f>+MINVU_Mes_Corriente!CA205*SALUD_Mes_Constante!$BP$1</f>
        <v>7857422.4076824589</v>
      </c>
      <c r="CB205" s="9">
        <f t="shared" si="100"/>
        <v>7857422.4076824589</v>
      </c>
      <c r="CC205" s="8">
        <f>+MINVU_Mes_Corriente!CC205*SALUD_Mes_Constante!$CC$1</f>
        <v>0</v>
      </c>
      <c r="CD205" s="8">
        <f>+MINVU_Mes_Corriente!CD205*SALUD_Mes_Constante!$CC$1</f>
        <v>0</v>
      </c>
      <c r="CE205" s="8">
        <f>+MINVU_Mes_Corriente!CE205*SALUD_Mes_Constante!$CC$1</f>
        <v>0</v>
      </c>
      <c r="CF205" s="8">
        <f>+MINVU_Mes_Corriente!CF205*SALUD_Mes_Constante!$CC$1</f>
        <v>0</v>
      </c>
      <c r="CG205" s="8">
        <f>+MINVU_Mes_Corriente!CG205*SALUD_Mes_Constante!$CC$1</f>
        <v>464.58933233867964</v>
      </c>
      <c r="CH205" s="8">
        <f>+MINVU_Mes_Corriente!CH205*SALUD_Mes_Constante!$CC$1</f>
        <v>58494.785527788146</v>
      </c>
      <c r="CI205" s="8">
        <f>+MINVU_Mes_Corriente!CI205*SALUD_Mes_Constante!$CC$1</f>
        <v>60309.672510257369</v>
      </c>
      <c r="CJ205" s="8">
        <f>+MINVU_Mes_Corriente!CJ205*SALUD_Mes_Constante!$CC$1</f>
        <v>83801.319656844469</v>
      </c>
      <c r="CK205" s="8">
        <f>+MINVU_Mes_Corriente!CK205*SALUD_Mes_Constante!$CC$1</f>
        <v>559842.37150317046</v>
      </c>
      <c r="CL205" s="8">
        <f>+MINVU_Mes_Corriente!CL205*SALUD_Mes_Constante!$CC$1</f>
        <v>563751.98582618427</v>
      </c>
      <c r="CM205" s="8">
        <f>+MINVU_Mes_Corriente!CM205*SALUD_Mes_Constante!$CC$1</f>
        <v>574019.13838120108</v>
      </c>
      <c r="CN205" s="8">
        <f>+MINVU_Mes_Corriente!CN205*SALUD_Mes_Constante!$CC$1</f>
        <v>4368935.5926892953</v>
      </c>
      <c r="CO205" s="9">
        <f t="shared" si="101"/>
        <v>4368935.5926892953</v>
      </c>
      <c r="CP205" s="8">
        <f>+MINVU_Mes_Corriente!CP205*SALUD_Mes_Constante!$CP$1</f>
        <v>0</v>
      </c>
      <c r="CQ205" s="8">
        <f>+MINVU_Mes_Corriente!CQ205*SALUD_Mes_Constante!$CP$1</f>
        <v>0</v>
      </c>
      <c r="CR205" s="8">
        <f>+MINVU_Mes_Corriente!CR205*SALUD_Mes_Constante!$CP$1</f>
        <v>9425.2593967517387</v>
      </c>
      <c r="CS205" s="8">
        <f>+MINVU_Mes_Corriente!CS205*SALUD_Mes_Constante!$CP$1</f>
        <v>65903.299767981429</v>
      </c>
      <c r="CT205" s="8">
        <f>+MINVU_Mes_Corriente!CT205*SALUD_Mes_Constante!$CP$1</f>
        <v>66491.427842227364</v>
      </c>
      <c r="CU205" s="8">
        <f>+MINVU_Mes_Corriente!CU205*SALUD_Mes_Constante!$CP$1</f>
        <v>112328.65962877029</v>
      </c>
      <c r="CV205" s="8">
        <f>+MINVU_Mes_Corriente!CV205*SALUD_Mes_Constante!$CP$1</f>
        <v>257767.40881670528</v>
      </c>
      <c r="CW205" s="8">
        <f>+MINVU_Mes_Corriente!CW205*SALUD_Mes_Constante!$CP$1</f>
        <v>311107.07610208809</v>
      </c>
      <c r="CX205" s="8">
        <f>+MINVU_Mes_Corriente!CX205*SALUD_Mes_Constante!$CP$1</f>
        <v>312956.38399071922</v>
      </c>
      <c r="CY205" s="8">
        <f>+MINVU_Mes_Corriente!CY205*SALUD_Mes_Constante!$CP$1</f>
        <v>314993.2844547563</v>
      </c>
      <c r="CZ205" s="8">
        <f>+MINVU_Mes_Corriente!CZ205*SALUD_Mes_Constante!$CP$1</f>
        <v>707615.67215777247</v>
      </c>
      <c r="DA205" s="8">
        <f>+MINVU_Mes_Corriente!DA205*SALUD_Mes_Constante!$CP$1</f>
        <v>2148928.7220417629</v>
      </c>
      <c r="DB205" s="9">
        <f t="shared" si="102"/>
        <v>2148928.7220417629</v>
      </c>
      <c r="DC205" s="8">
        <f>+MINVU_Mes_Corriente!DC205*SALUD_Mes_Constante!$DC$1</f>
        <v>5425.3473922435987</v>
      </c>
      <c r="DD205" s="8">
        <f>+MINVU_Mes_Corriente!DD205*SALUD_Mes_Constante!$DC$1</f>
        <v>10642.76247299661</v>
      </c>
      <c r="DE205" s="8">
        <f>+MINVU_Mes_Corriente!DE205*SALUD_Mes_Constante!$DC$1</f>
        <v>67046.368892089318</v>
      </c>
      <c r="DF205" s="8">
        <f>+MINVU_Mes_Corriente!DF205*SALUD_Mes_Constante!$DC$1</f>
        <v>71410.699516510678</v>
      </c>
      <c r="DG205" s="8">
        <f>+MINVU_Mes_Corriente!DG205*SALUD_Mes_Constante!$DC$1</f>
        <v>75109.646744162164</v>
      </c>
      <c r="DH205" s="8">
        <f>+MINVU_Mes_Corriente!DH205*SALUD_Mes_Constante!$DC$1</f>
        <v>77322.720913486308</v>
      </c>
      <c r="DI205" s="8">
        <f>+MINVU_Mes_Corriente!DI205*SALUD_Mes_Constante!$DC$1</f>
        <v>106157.87470424858</v>
      </c>
      <c r="DJ205" s="8">
        <f>+MINVU_Mes_Corriente!DJ205*SALUD_Mes_Constante!$DC$1</f>
        <v>129115.84980969042</v>
      </c>
      <c r="DK205" s="8">
        <f>+MINVU_Mes_Corriente!DK205*SALUD_Mes_Constante!$DC$1</f>
        <v>154087.95844048975</v>
      </c>
      <c r="DL205" s="8">
        <f>+MINVU_Mes_Corriente!DL205*SALUD_Mes_Constante!$DC$1</f>
        <v>248415.04660014412</v>
      </c>
      <c r="DM205" s="8">
        <f>+MINVU_Mes_Corriente!DM205*SALUD_Mes_Constante!$DC$1</f>
        <v>451749.24411068839</v>
      </c>
      <c r="DN205" s="8">
        <f>+MINVU_Mes_Corriente!DN205*SALUD_Mes_Constante!$DC$1</f>
        <v>1757430.4092171595</v>
      </c>
      <c r="DO205" s="9">
        <f t="shared" si="103"/>
        <v>1757430.4092171595</v>
      </c>
      <c r="DP205" s="8">
        <f>+MINVU_Mes_Corriente!DP205*SALUD_Mes_Constante!$DP$1</f>
        <v>7786.829572446557</v>
      </c>
      <c r="DQ205" s="8">
        <f>+MINVU_Mes_Corriente!DQ205*SALUD_Mes_Constante!$DP$1</f>
        <v>9438.0570071258917</v>
      </c>
      <c r="DR205" s="8">
        <f>+MINVU_Mes_Corriente!DR205*SALUD_Mes_Constante!$DP$1</f>
        <v>82459.724465558204</v>
      </c>
      <c r="DS205" s="8">
        <f>+MINVU_Mes_Corriente!DS205*SALUD_Mes_Constante!$DP$1</f>
        <v>150747.22446555822</v>
      </c>
      <c r="DT205" s="8">
        <f>+MINVU_Mes_Corriente!DT205*SALUD_Mes_Constante!$DP$1</f>
        <v>170326.21852731594</v>
      </c>
      <c r="DU205" s="8">
        <f>+MINVU_Mes_Corriente!DU205*SALUD_Mes_Constante!$DP$1</f>
        <v>239663.71318289789</v>
      </c>
      <c r="DV205" s="8">
        <f>+MINVU_Mes_Corriente!DV205*SALUD_Mes_Constante!$DP$1</f>
        <v>428066.92517814733</v>
      </c>
      <c r="DW205" s="8">
        <f>+MINVU_Mes_Corriente!DW205*SALUD_Mes_Constante!$DP$1</f>
        <v>656037.95843230409</v>
      </c>
      <c r="DX205" s="8">
        <f>+MINVU_Mes_Corriente!DX205*SALUD_Mes_Constante!$DP$1</f>
        <v>851242.88657957257</v>
      </c>
      <c r="DY205" s="8">
        <f>+MINVU_Mes_Corriente!DY205*SALUD_Mes_Constante!$DP$1</f>
        <v>941193.14964370558</v>
      </c>
      <c r="DZ205" s="8">
        <f>+MINVU_Mes_Corriente!DZ205*SALUD_Mes_Constante!$DP$1</f>
        <v>2445182.3533254159</v>
      </c>
      <c r="EA205" s="8">
        <f>+MINVU_Mes_Corriente!EA205*SALUD_Mes_Constante!$DP$1</f>
        <v>8366161.6906175781</v>
      </c>
      <c r="EB205" s="9">
        <f t="shared" si="104"/>
        <v>8366161.6906175781</v>
      </c>
      <c r="EC205" s="8">
        <f>+MINVU_Mes_Corriente!EC205*SALUD_Mes_Constante!$EC$1</f>
        <v>6462.2914220791499</v>
      </c>
      <c r="ED205" s="8">
        <f>+MINVU_Mes_Corriente!ED205*SALUD_Mes_Constante!$EC$1</f>
        <v>17479.324181026313</v>
      </c>
      <c r="EE205" s="8">
        <f>+MINVU_Mes_Corriente!EE205*SALUD_Mes_Constante!$EC$1</f>
        <v>138113.24673357315</v>
      </c>
      <c r="EF205" s="8">
        <f>+MINVU_Mes_Corriente!EF205*SALUD_Mes_Constante!$EC$1</f>
        <v>158051.48986934288</v>
      </c>
      <c r="EG205" s="8">
        <f>+MINVU_Mes_Corriente!EG205*SALUD_Mes_Constante!$EC$1</f>
        <v>177621.46411664452</v>
      </c>
      <c r="EH205" s="8">
        <f>+MINVU_Mes_Corriente!EH205*SALUD_Mes_Constante!$EC$1</f>
        <v>226123.30429842827</v>
      </c>
      <c r="EI205" s="8">
        <f>+MINVU_Mes_Corriente!EI205*SALUD_Mes_Constante!$EC$1</f>
        <v>347190.66691914399</v>
      </c>
      <c r="EJ205" s="8">
        <f>+MINVU_Mes_Corriente!EJ205*SALUD_Mes_Constante!$EC$1</f>
        <v>366566.16209051304</v>
      </c>
      <c r="EK205" s="8">
        <f>+MINVU_Mes_Corriente!EK205*SALUD_Mes_Constante!$EC$1</f>
        <v>395098.72524143144</v>
      </c>
      <c r="EL205" s="8">
        <f>+MINVU_Mes_Corriente!EL205*SALUD_Mes_Constante!$EC$1</f>
        <v>488017.31054724468</v>
      </c>
      <c r="EM205" s="8">
        <f>+MINVU_Mes_Corriente!EM205*SALUD_Mes_Constante!$EC$1</f>
        <v>637631.71880325675</v>
      </c>
      <c r="EN205" s="8">
        <f>+MINVU_Mes_Corriente!EN205*SALUD_Mes_Constante!$EC$1</f>
        <v>1527206.9426245023</v>
      </c>
      <c r="EO205" s="9">
        <f t="shared" si="105"/>
        <v>1527206.9426245023</v>
      </c>
      <c r="EP205" s="8">
        <f>+MINVU_Mes_Corriente!EP205*SALUD_Mes_Constante!$EP$1</f>
        <v>14075</v>
      </c>
      <c r="EQ205" s="8">
        <f>+MINVU_Mes_Corriente!EQ205*SALUD_Mes_Constante!$EP$1</f>
        <v>2369809</v>
      </c>
      <c r="ER205" s="8">
        <f>+MINVU_Mes_Corriente!ER205*SALUD_Mes_Constante!$EP$1</f>
        <v>2421647</v>
      </c>
      <c r="ES205" s="8">
        <f>+MINVU_Mes_Corriente!ES205*SALUD_Mes_Constante!$EP$1</f>
        <v>3500472</v>
      </c>
      <c r="ET205" s="8">
        <f>+MINVU_Mes_Corriente!ET205*SALUD_Mes_Constante!$EP$1</f>
        <v>5026557</v>
      </c>
      <c r="EU205" s="8">
        <f>+MINVU_Mes_Corriente!EU205*SALUD_Mes_Constante!$EP$1</f>
        <v>5067190</v>
      </c>
      <c r="EV205" s="8">
        <f>+MINVU_Mes_Corriente!EV205*SALUD_Mes_Constante!$EP$1</f>
        <v>5092382</v>
      </c>
      <c r="EW205" s="8">
        <f>+MINVU_Mes_Corriente!EW205*SALUD_Mes_Constante!$EP$1</f>
        <v>5321279</v>
      </c>
      <c r="EX205" s="8">
        <f>+MINVU_Mes_Corriente!EX205*SALUD_Mes_Constante!$EP$1</f>
        <v>5739453</v>
      </c>
      <c r="EY205" s="8">
        <f>+MINVU_Mes_Corriente!EY205*SALUD_Mes_Constante!$EP$1</f>
        <v>6046086</v>
      </c>
      <c r="EZ205" s="8">
        <f>+MINVU_Mes_Corriente!EZ205*SALUD_Mes_Constante!$EP$1</f>
        <v>6270032</v>
      </c>
      <c r="FA205" s="8">
        <f>+MINVU_Mes_Corriente!FA205*SALUD_Mes_Constante!$EP$1</f>
        <v>6704510</v>
      </c>
      <c r="FB205" s="9">
        <f t="shared" si="106"/>
        <v>6704510</v>
      </c>
      <c r="FC205" s="8">
        <f>+MINVU_Mes_Corriente!FC205*SALUD_Mes_Constante!$FC$1</f>
        <v>0</v>
      </c>
      <c r="FD205" s="8">
        <f>+MINVU_Mes_Corriente!FD205*SALUD_Mes_Constante!$FC$1</f>
        <v>33554</v>
      </c>
      <c r="FE205" s="8">
        <f>+MINVU_Mes_Corriente!FE205*SALUD_Mes_Constante!$FC$1</f>
        <v>91792</v>
      </c>
      <c r="FF205" s="8">
        <f>+MINVU_Mes_Corriente!FF205*SALUD_Mes_Constante!$FC$1</f>
        <v>521645</v>
      </c>
      <c r="FG205" s="8">
        <f>+MINVU_Mes_Corriente!FG205*SALUD_Mes_Constante!$FC$1</f>
        <v>578937</v>
      </c>
      <c r="FH205" s="8">
        <f>+MINVU_Mes_Corriente!FH205*SALUD_Mes_Constante!$FC$1</f>
        <v>677563</v>
      </c>
      <c r="FI205" s="8">
        <f>+MINVU_Mes_Corriente!FI205*SALUD_Mes_Constante!$FC$1</f>
        <v>715946</v>
      </c>
      <c r="FJ205" s="8"/>
      <c r="FK205" s="8"/>
      <c r="FL205" s="8"/>
      <c r="FM205" s="8"/>
      <c r="FN205" s="8"/>
      <c r="FO205" s="9">
        <f t="shared" si="107"/>
        <v>715946</v>
      </c>
    </row>
    <row r="206" spans="2:171" ht="14.25" customHeight="1" x14ac:dyDescent="0.3">
      <c r="B206" s="7" t="s">
        <v>58</v>
      </c>
      <c r="C206" s="8">
        <f>+MINVU_Mes_Corriente!C206*SALUD_Mes_Constante!$C$1</f>
        <v>3055.9744920658463</v>
      </c>
      <c r="D206" s="8">
        <f>+MINVU_Mes_Corriente!D206*SALUD_Mes_Constante!$C$1</f>
        <v>5131.6390330713339</v>
      </c>
      <c r="E206" s="8">
        <f>+MINVU_Mes_Corriente!E206*SALUD_Mes_Constante!$C$1</f>
        <v>12933.609965890555</v>
      </c>
      <c r="F206" s="8">
        <f>+MINVU_Mes_Corriente!F206*SALUD_Mes_Constante!$C$1</f>
        <v>40298.030550200216</v>
      </c>
      <c r="G206" s="8">
        <f>+MINVU_Mes_Corriente!G206*SALUD_Mes_Constante!$C$1</f>
        <v>50415.477383953737</v>
      </c>
      <c r="H206" s="8">
        <f>+MINVU_Mes_Corriente!H206*SALUD_Mes_Constante!$C$1</f>
        <v>118158.94586979091</v>
      </c>
      <c r="I206" s="8">
        <f>+MINVU_Mes_Corriente!I206*SALUD_Mes_Constante!$C$1</f>
        <v>146835.84754560288</v>
      </c>
      <c r="J206" s="8">
        <f>+MINVU_Mes_Corriente!J206*SALUD_Mes_Constante!$C$1</f>
        <v>154422.31232389147</v>
      </c>
      <c r="K206" s="8">
        <f>+MINVU_Mes_Corriente!K206*SALUD_Mes_Constante!$C$1</f>
        <v>168857.98398339021</v>
      </c>
      <c r="L206" s="8">
        <f>+MINVU_Mes_Corriente!L206*SALUD_Mes_Constante!$C$1</f>
        <v>171027.62865193537</v>
      </c>
      <c r="M206" s="8">
        <f>+MINVU_Mes_Corriente!M206*SALUD_Mes_Constante!$C$1</f>
        <v>182052.46982055469</v>
      </c>
      <c r="N206" s="8">
        <f>+MINVU_Mes_Corriente!N206*SALUD_Mes_Constante!$C$1</f>
        <v>1180673.9626279105</v>
      </c>
      <c r="O206" s="9">
        <f t="shared" si="95"/>
        <v>1180673.9626279105</v>
      </c>
      <c r="P206" s="8">
        <f>+MINVU_Mes_Corriente!P206*SALUD_Mes_Constante!$P$1</f>
        <v>10297.355306151438</v>
      </c>
      <c r="Q206" s="8">
        <f>+MINVU_Mes_Corriente!Q206*SALUD_Mes_Constante!$P$1</f>
        <v>16715.740019889181</v>
      </c>
      <c r="R206" s="8">
        <f>+MINVU_Mes_Corriente!R206*SALUD_Mes_Constante!$P$1</f>
        <v>40528.180139224307</v>
      </c>
      <c r="S206" s="8">
        <f>+MINVU_Mes_Corriente!S206*SALUD_Mes_Constante!$P$1</f>
        <v>62397.254439551049</v>
      </c>
      <c r="T206" s="8">
        <f>+MINVU_Mes_Corriente!T206*SALUD_Mes_Constante!$P$1</f>
        <v>66673.590566841856</v>
      </c>
      <c r="U206" s="8">
        <f>+MINVU_Mes_Corriente!U206*SALUD_Mes_Constante!$P$1</f>
        <v>80388.910356584718</v>
      </c>
      <c r="V206" s="8">
        <f>+MINVU_Mes_Corriente!V206*SALUD_Mes_Constante!$P$1</f>
        <v>151368.32902400903</v>
      </c>
      <c r="W206" s="8">
        <f>+MINVU_Mes_Corriente!W206*SALUD_Mes_Constante!$P$1</f>
        <v>239541.56812047158</v>
      </c>
      <c r="X206" s="8">
        <f>+MINVU_Mes_Corriente!X206*SALUD_Mes_Constante!$P$1</f>
        <v>406261.24534735031</v>
      </c>
      <c r="Y206" s="8">
        <f>+MINVU_Mes_Corriente!Y206*SALUD_Mes_Constante!$P$1</f>
        <v>448532.55632902385</v>
      </c>
      <c r="Z206" s="8">
        <f>+MINVU_Mes_Corriente!Z206*SALUD_Mes_Constante!$P$1</f>
        <v>512092.41539991455</v>
      </c>
      <c r="AA206" s="8">
        <f>+MINVU_Mes_Corriente!AA206*SALUD_Mes_Constante!$P$1</f>
        <v>4455709.4132689284</v>
      </c>
      <c r="AB206" s="9">
        <f t="shared" si="96"/>
        <v>4455709.4132689284</v>
      </c>
      <c r="AC206" s="8">
        <f>+MINVU_Mes_Corriente!AC206*SALUD_Mes_Constante!$AC$1</f>
        <v>7455.7972056992667</v>
      </c>
      <c r="AD206" s="8">
        <f>+MINVU_Mes_Corriente!AD206*SALUD_Mes_Constante!$AC$1</f>
        <v>47728.891132936784</v>
      </c>
      <c r="AE206" s="8">
        <f>+MINVU_Mes_Corriente!AE206*SALUD_Mes_Constante!$AC$1</f>
        <v>74790.72956148845</v>
      </c>
      <c r="AF206" s="8">
        <f>+MINVU_Mes_Corriente!AF206*SALUD_Mes_Constante!$AC$1</f>
        <v>136725.38553050216</v>
      </c>
      <c r="AG206" s="8">
        <f>+MINVU_Mes_Corriente!AG206*SALUD_Mes_Constante!$AC$1</f>
        <v>197070.03568958363</v>
      </c>
      <c r="AH206" s="8">
        <f>+MINVU_Mes_Corriente!AH206*SALUD_Mes_Constante!$AC$1</f>
        <v>678098.18121455249</v>
      </c>
      <c r="AI206" s="8">
        <f>+MINVU_Mes_Corriente!AI206*SALUD_Mes_Constante!$AC$1</f>
        <v>680762.80121731909</v>
      </c>
      <c r="AJ206" s="8">
        <f>+MINVU_Mes_Corriente!AJ206*SALUD_Mes_Constante!$AC$1</f>
        <v>689799.53575874947</v>
      </c>
      <c r="AK206" s="8">
        <f>+MINVU_Mes_Corriente!AK206*SALUD_Mes_Constante!$AC$1</f>
        <v>699768.81173052976</v>
      </c>
      <c r="AL206" s="8">
        <f>+MINVU_Mes_Corriente!AL206*SALUD_Mes_Constante!$AC$1</f>
        <v>741994.6504357449</v>
      </c>
      <c r="AM206" s="8">
        <f>+MINVU_Mes_Corriente!AM206*SALUD_Mes_Constante!$AC$1</f>
        <v>762598.22382072208</v>
      </c>
      <c r="AN206" s="8">
        <f>+MINVU_Mes_Corriente!AN206*SALUD_Mes_Constante!$AC$1</f>
        <v>1876624.0055332687</v>
      </c>
      <c r="AO206" s="9">
        <f t="shared" si="97"/>
        <v>1876624.0055332687</v>
      </c>
      <c r="AP206" s="8">
        <f>+MINVU_Mes_Corriente!AP206*SALUD_Mes_Constante!$AP$1</f>
        <v>7829.8320032463134</v>
      </c>
      <c r="AQ206" s="8">
        <f>+MINVU_Mes_Corriente!AQ206*SALUD_Mes_Constante!$AP$1</f>
        <v>21262.324090355742</v>
      </c>
      <c r="AR206" s="8">
        <f>+MINVU_Mes_Corriente!AR206*SALUD_Mes_Constante!$AP$1</f>
        <v>49303.704314892464</v>
      </c>
      <c r="AS206" s="8">
        <f>+MINVU_Mes_Corriente!AS206*SALUD_Mes_Constante!$AP$1</f>
        <v>90758.364128229397</v>
      </c>
      <c r="AT206" s="8">
        <f>+MINVU_Mes_Corriente!AT206*SALUD_Mes_Constante!$AP$1</f>
        <v>138015.19843094819</v>
      </c>
      <c r="AU206" s="8">
        <f>+MINVU_Mes_Corriente!AU206*SALUD_Mes_Constante!$AP$1</f>
        <v>177508.70553226024</v>
      </c>
      <c r="AV206" s="8">
        <f>+MINVU_Mes_Corriente!AV206*SALUD_Mes_Constante!$AP$1</f>
        <v>195386.67415122411</v>
      </c>
      <c r="AW206" s="8">
        <f>+MINVU_Mes_Corriente!AW206*SALUD_Mes_Constante!$AP$1</f>
        <v>200758.7842553767</v>
      </c>
      <c r="AX206" s="8">
        <f>+MINVU_Mes_Corriente!AX206*SALUD_Mes_Constante!$AP$1</f>
        <v>218644.14229676721</v>
      </c>
      <c r="AY206" s="8">
        <f>+MINVU_Mes_Corriente!AY206*SALUD_Mes_Constante!$AP$1</f>
        <v>251971.91532530769</v>
      </c>
      <c r="AZ206" s="8">
        <f>+MINVU_Mes_Corriente!AZ206*SALUD_Mes_Constante!$AP$1</f>
        <v>490477.34722034354</v>
      </c>
      <c r="BA206" s="8">
        <f>+MINVU_Mes_Corriente!BA206*SALUD_Mes_Constante!$AP$1</f>
        <v>645881.33450561343</v>
      </c>
      <c r="BB206" s="9">
        <f t="shared" si="98"/>
        <v>645881.33450561343</v>
      </c>
      <c r="BC206" s="8">
        <f>+MINVU_Mes_Corriente!BC206*SALUD_Mes_Constante!$BC$1</f>
        <v>2788.0535408149817</v>
      </c>
      <c r="BD206" s="8">
        <f>+MINVU_Mes_Corriente!BD206*SALUD_Mes_Constante!$BC$1</f>
        <v>35871.514703943038</v>
      </c>
      <c r="BE206" s="8">
        <f>+MINVU_Mes_Corriente!BE206*SALUD_Mes_Constante!$BC$1</f>
        <v>52153.171040485307</v>
      </c>
      <c r="BF206" s="8">
        <f>+MINVU_Mes_Corriente!BF206*SALUD_Mes_Constante!$BC$1</f>
        <v>76787.461163128071</v>
      </c>
      <c r="BG206" s="8">
        <f>+MINVU_Mes_Corriente!BG206*SALUD_Mes_Constante!$BC$1</f>
        <v>98669.71910853227</v>
      </c>
      <c r="BH206" s="8">
        <f>+MINVU_Mes_Corriente!BH206*SALUD_Mes_Constante!$BC$1</f>
        <v>127476.72398786763</v>
      </c>
      <c r="BI206" s="8">
        <f>+MINVU_Mes_Corriente!BI206*SALUD_Mes_Constante!$BC$1</f>
        <v>138552.57286034554</v>
      </c>
      <c r="BJ206" s="8">
        <f>+MINVU_Mes_Corriente!BJ206*SALUD_Mes_Constante!$BC$1</f>
        <v>154893.30423315315</v>
      </c>
      <c r="BK206" s="8">
        <f>+MINVU_Mes_Corriente!BK206*SALUD_Mes_Constante!$BC$1</f>
        <v>174255.50758275093</v>
      </c>
      <c r="BL206" s="8">
        <f>+MINVU_Mes_Corriente!BL206*SALUD_Mes_Constante!$BC$1</f>
        <v>453294.28010022431</v>
      </c>
      <c r="BM206" s="8">
        <f>+MINVU_Mes_Corriente!BM206*SALUD_Mes_Constante!$BC$1</f>
        <v>1126864.9618884348</v>
      </c>
      <c r="BN206" s="8">
        <f>+MINVU_Mes_Corriente!BN206*SALUD_Mes_Constante!$BC$1</f>
        <v>3663286.2244494273</v>
      </c>
      <c r="BO206" s="9">
        <f t="shared" si="99"/>
        <v>3663286.2244494273</v>
      </c>
      <c r="BP206" s="8">
        <f>+MINVU_Mes_Corriente!BP206*SALUD_Mes_Constante!$BP$1</f>
        <v>0</v>
      </c>
      <c r="BQ206" s="8">
        <f>+MINVU_Mes_Corriente!BQ206*SALUD_Mes_Constante!$BP$1</f>
        <v>0</v>
      </c>
      <c r="BR206" s="8">
        <f>+MINVU_Mes_Corriente!BR206*SALUD_Mes_Constante!$BP$1</f>
        <v>0</v>
      </c>
      <c r="BS206" s="8">
        <f>+MINVU_Mes_Corriente!BS206*SALUD_Mes_Constante!$BP$1</f>
        <v>0</v>
      </c>
      <c r="BT206" s="8">
        <f>+MINVU_Mes_Corriente!BT206*SALUD_Mes_Constante!$BP$1</f>
        <v>271367.70499359799</v>
      </c>
      <c r="BU206" s="8">
        <f>+MINVU_Mes_Corriente!BU206*SALUD_Mes_Constante!$BP$1</f>
        <v>352383.78514724714</v>
      </c>
      <c r="BV206" s="8">
        <f>+MINVU_Mes_Corriente!BV206*SALUD_Mes_Constante!$BP$1</f>
        <v>352893.01229193347</v>
      </c>
      <c r="BW206" s="8">
        <f>+MINVU_Mes_Corriente!BW206*SALUD_Mes_Constante!$BP$1</f>
        <v>568504.54186939832</v>
      </c>
      <c r="BX206" s="8">
        <f>+MINVU_Mes_Corriente!BX206*SALUD_Mes_Constante!$BP$1</f>
        <v>681385.09090909094</v>
      </c>
      <c r="BY206" s="8">
        <f>+MINVU_Mes_Corriente!BY206*SALUD_Mes_Constante!$BP$1</f>
        <v>1165636.3229193343</v>
      </c>
      <c r="BZ206" s="8">
        <f>+MINVU_Mes_Corriente!BZ206*SALUD_Mes_Constante!$BP$1</f>
        <v>2641747.3167733676</v>
      </c>
      <c r="CA206" s="8">
        <f>+MINVU_Mes_Corriente!CA206*SALUD_Mes_Constante!$BP$1</f>
        <v>5653333.4381562108</v>
      </c>
      <c r="CB206" s="9">
        <f t="shared" si="100"/>
        <v>5653333.4381562108</v>
      </c>
      <c r="CC206" s="8">
        <f>+MINVU_Mes_Corriente!CC206*SALUD_Mes_Constante!$CC$1</f>
        <v>259.46363297277139</v>
      </c>
      <c r="CD206" s="8">
        <f>+MINVU_Mes_Corriente!CD206*SALUD_Mes_Constante!$CC$1</f>
        <v>516.21036926519957</v>
      </c>
      <c r="CE206" s="8">
        <f>+MINVU_Mes_Corriente!CE206*SALUD_Mes_Constante!$CC$1</f>
        <v>1535.0466243938831</v>
      </c>
      <c r="CF206" s="8">
        <f>+MINVU_Mes_Corriente!CF206*SALUD_Mes_Constante!$CC$1</f>
        <v>33105.386049981353</v>
      </c>
      <c r="CG206" s="8">
        <f>+MINVU_Mes_Corriente!CG206*SALUD_Mes_Constante!$CC$1</f>
        <v>114654.39835882135</v>
      </c>
      <c r="CH206" s="8">
        <f>+MINVU_Mes_Corriente!CH206*SALUD_Mes_Constante!$CC$1</f>
        <v>220045.5374860127</v>
      </c>
      <c r="CI206" s="8">
        <f>+MINVU_Mes_Corriente!CI206*SALUD_Mes_Constante!$CC$1</f>
        <v>724706.3789630736</v>
      </c>
      <c r="CJ206" s="8">
        <f>+MINVU_Mes_Corriente!CJ206*SALUD_Mes_Constante!$CC$1</f>
        <v>796167.55389779946</v>
      </c>
      <c r="CK206" s="8">
        <f>+MINVU_Mes_Corriente!CK206*SALUD_Mes_Constante!$CC$1</f>
        <v>982041.32338679605</v>
      </c>
      <c r="CL206" s="8">
        <f>+MINVU_Mes_Corriente!CL206*SALUD_Mes_Constante!$CC$1</f>
        <v>1105065.1219694144</v>
      </c>
      <c r="CM206" s="8">
        <f>+MINVU_Mes_Corriente!CM206*SALUD_Mes_Constante!$CC$1</f>
        <v>1141153.6605744127</v>
      </c>
      <c r="CN206" s="8">
        <f>+MINVU_Mes_Corriente!CN206*SALUD_Mes_Constante!$CC$1</f>
        <v>2127301.5732935476</v>
      </c>
      <c r="CO206" s="9">
        <f t="shared" si="101"/>
        <v>2127301.5732935476</v>
      </c>
      <c r="CP206" s="8">
        <f>+MINVU_Mes_Corriente!CP206*SALUD_Mes_Constante!$CP$1</f>
        <v>0</v>
      </c>
      <c r="CQ206" s="8">
        <f>+MINVU_Mes_Corriente!CQ206*SALUD_Mes_Constante!$CP$1</f>
        <v>19457.659628770296</v>
      </c>
      <c r="CR206" s="8">
        <f>+MINVU_Mes_Corriente!CR206*SALUD_Mes_Constante!$CP$1</f>
        <v>64084.412296983748</v>
      </c>
      <c r="CS206" s="8">
        <f>+MINVU_Mes_Corriente!CS206*SALUD_Mes_Constante!$CP$1</f>
        <v>124544.99234338745</v>
      </c>
      <c r="CT206" s="8">
        <f>+MINVU_Mes_Corriente!CT206*SALUD_Mes_Constante!$CP$1</f>
        <v>131577.17888631087</v>
      </c>
      <c r="CU206" s="8">
        <f>+MINVU_Mes_Corriente!CU206*SALUD_Mes_Constante!$CP$1</f>
        <v>145268.90185614847</v>
      </c>
      <c r="CV206" s="8">
        <f>+MINVU_Mes_Corriente!CV206*SALUD_Mes_Constante!$CP$1</f>
        <v>150989.20788863106</v>
      </c>
      <c r="CW206" s="8">
        <f>+MINVU_Mes_Corriente!CW206*SALUD_Mes_Constante!$CP$1</f>
        <v>1599359.7946635727</v>
      </c>
      <c r="CX206" s="8">
        <f>+MINVU_Mes_Corriente!CX206*SALUD_Mes_Constante!$CP$1</f>
        <v>1761898.6211136887</v>
      </c>
      <c r="CY206" s="8">
        <f>+MINVU_Mes_Corriente!CY206*SALUD_Mes_Constante!$CP$1</f>
        <v>1871754.3542923429</v>
      </c>
      <c r="CZ206" s="8">
        <f>+MINVU_Mes_Corriente!CZ206*SALUD_Mes_Constante!$CP$1</f>
        <v>2069966.1904872386</v>
      </c>
      <c r="DA206" s="8">
        <f>+MINVU_Mes_Corriente!DA206*SALUD_Mes_Constante!$CP$1</f>
        <v>3157887.7837586999</v>
      </c>
      <c r="DB206" s="9">
        <f t="shared" si="102"/>
        <v>3157887.7837586999</v>
      </c>
      <c r="DC206" s="8">
        <f>+MINVU_Mes_Corriente!DC206*SALUD_Mes_Constante!$DC$1</f>
        <v>16785.195350272614</v>
      </c>
      <c r="DD206" s="8">
        <f>+MINVU_Mes_Corriente!DD206*SALUD_Mes_Constante!$DC$1</f>
        <v>17822.608990844572</v>
      </c>
      <c r="DE206" s="8">
        <f>+MINVU_Mes_Corriente!DE206*SALUD_Mes_Constante!$DC$1</f>
        <v>54207.391626375917</v>
      </c>
      <c r="DF206" s="8">
        <f>+MINVU_Mes_Corriente!DF206*SALUD_Mes_Constante!$DC$1</f>
        <v>56607.042896821338</v>
      </c>
      <c r="DG206" s="8">
        <f>+MINVU_Mes_Corriente!DG206*SALUD_Mes_Constante!$DC$1</f>
        <v>85036.447690566856</v>
      </c>
      <c r="DH206" s="8">
        <f>+MINVU_Mes_Corriente!DH206*SALUD_Mes_Constante!$DC$1</f>
        <v>88096.986524020205</v>
      </c>
      <c r="DI206" s="8">
        <f>+MINVU_Mes_Corriente!DI206*SALUD_Mes_Constante!$DC$1</f>
        <v>98938.689640983488</v>
      </c>
      <c r="DJ206" s="8">
        <f>+MINVU_Mes_Corriente!DJ206*SALUD_Mes_Constante!$DC$1</f>
        <v>154544.28556732854</v>
      </c>
      <c r="DK206" s="8">
        <f>+MINVU_Mes_Corriente!DK206*SALUD_Mes_Constante!$DC$1</f>
        <v>216749.7654562289</v>
      </c>
      <c r="DL206" s="8">
        <f>+MINVU_Mes_Corriente!DL206*SALUD_Mes_Constante!$DC$1</f>
        <v>348549.62802180863</v>
      </c>
      <c r="DM206" s="8">
        <f>+MINVU_Mes_Corriente!DM206*SALUD_Mes_Constante!$DC$1</f>
        <v>1194936.4160065842</v>
      </c>
      <c r="DN206" s="8">
        <f>+MINVU_Mes_Corriente!DN206*SALUD_Mes_Constante!$DC$1</f>
        <v>3162760.6056990037</v>
      </c>
      <c r="DO206" s="9">
        <f t="shared" si="103"/>
        <v>3162760.6056990037</v>
      </c>
      <c r="DP206" s="8">
        <f>+MINVU_Mes_Corriente!DP206*SALUD_Mes_Constante!$DP$1</f>
        <v>2959.6656769596202</v>
      </c>
      <c r="DQ206" s="8">
        <f>+MINVU_Mes_Corriente!DQ206*SALUD_Mes_Constante!$DP$1</f>
        <v>5067.2244655581953</v>
      </c>
      <c r="DR206" s="8">
        <f>+MINVU_Mes_Corriente!DR206*SALUD_Mes_Constante!$DP$1</f>
        <v>11043.86757719715</v>
      </c>
      <c r="DS206" s="8">
        <f>+MINVU_Mes_Corriente!DS206*SALUD_Mes_Constante!$DP$1</f>
        <v>14710.738717339669</v>
      </c>
      <c r="DT206" s="8">
        <f>+MINVU_Mes_Corriente!DT206*SALUD_Mes_Constante!$DP$1</f>
        <v>24051.473871733968</v>
      </c>
      <c r="DU206" s="8">
        <f>+MINVU_Mes_Corriente!DU206*SALUD_Mes_Constante!$DP$1</f>
        <v>62313.019596199534</v>
      </c>
      <c r="DV206" s="8">
        <f>+MINVU_Mes_Corriente!DV206*SALUD_Mes_Constante!$DP$1</f>
        <v>226337.1074821853</v>
      </c>
      <c r="DW206" s="8">
        <f>+MINVU_Mes_Corriente!DW206*SALUD_Mes_Constante!$DP$1</f>
        <v>587562.30285035633</v>
      </c>
      <c r="DX206" s="8">
        <f>+MINVU_Mes_Corriente!DX206*SALUD_Mes_Constante!$DP$1</f>
        <v>664520.09857482195</v>
      </c>
      <c r="DY206" s="8">
        <f>+MINVU_Mes_Corriente!DY206*SALUD_Mes_Constante!$DP$1</f>
        <v>779690.77909738722</v>
      </c>
      <c r="DZ206" s="8">
        <f>+MINVU_Mes_Corriente!DZ206*SALUD_Mes_Constante!$DP$1</f>
        <v>948935.64370546327</v>
      </c>
      <c r="EA206" s="8">
        <f>+MINVU_Mes_Corriente!EA206*SALUD_Mes_Constante!$DP$1</f>
        <v>1684646.6775534444</v>
      </c>
      <c r="EB206" s="9">
        <f t="shared" si="104"/>
        <v>1684646.6775534444</v>
      </c>
      <c r="EC206" s="8">
        <f>+MINVU_Mes_Corriente!EC206*SALUD_Mes_Constante!$EC$1</f>
        <v>3216.1459950766889</v>
      </c>
      <c r="ED206" s="8">
        <f>+MINVU_Mes_Corriente!ED206*SALUD_Mes_Constante!$EC$1</f>
        <v>5330.5887142586616</v>
      </c>
      <c r="EE206" s="8">
        <f>+MINVU_Mes_Corriente!EE206*SALUD_Mes_Constante!$EC$1</f>
        <v>10890.828252224954</v>
      </c>
      <c r="EF206" s="8">
        <f>+MINVU_Mes_Corriente!EF206*SALUD_Mes_Constante!$EC$1</f>
        <v>31664.917629236876</v>
      </c>
      <c r="EG206" s="8">
        <f>+MINVU_Mes_Corriente!EG206*SALUD_Mes_Constante!$EC$1</f>
        <v>60067.138420753625</v>
      </c>
      <c r="EH206" s="8">
        <f>+MINVU_Mes_Corriente!EH206*SALUD_Mes_Constante!$EC$1</f>
        <v>290778.28687748522</v>
      </c>
      <c r="EI206" s="8">
        <f>+MINVU_Mes_Corriente!EI206*SALUD_Mes_Constante!$EC$1</f>
        <v>316185.73679227411</v>
      </c>
      <c r="EJ206" s="8">
        <f>+MINVU_Mes_Corriente!EJ206*SALUD_Mes_Constante!$EC$1</f>
        <v>325649.00587010029</v>
      </c>
      <c r="EK206" s="8">
        <f>+MINVU_Mes_Corriente!EK206*SALUD_Mes_Constante!$EC$1</f>
        <v>335994.67203181208</v>
      </c>
      <c r="EL206" s="8">
        <f>+MINVU_Mes_Corriente!EL206*SALUD_Mes_Constante!$EC$1</f>
        <v>372973.62696458993</v>
      </c>
      <c r="EM206" s="8">
        <f>+MINVU_Mes_Corriente!EM206*SALUD_Mes_Constante!$EC$1</f>
        <v>409410.52319636417</v>
      </c>
      <c r="EN206" s="8">
        <f>+MINVU_Mes_Corriente!EN206*SALUD_Mes_Constante!$EC$1</f>
        <v>668383.20545351238</v>
      </c>
      <c r="EO206" s="9">
        <f t="shared" si="105"/>
        <v>668383.20545351238</v>
      </c>
      <c r="EP206" s="8">
        <f>+MINVU_Mes_Corriente!EP206*SALUD_Mes_Constante!$EP$1</f>
        <v>7136</v>
      </c>
      <c r="EQ206" s="8">
        <f>+MINVU_Mes_Corriente!EQ206*SALUD_Mes_Constante!$EP$1</f>
        <v>10338</v>
      </c>
      <c r="ER206" s="8">
        <f>+MINVU_Mes_Corriente!ER206*SALUD_Mes_Constante!$EP$1</f>
        <v>21415</v>
      </c>
      <c r="ES206" s="8">
        <f>+MINVU_Mes_Corriente!ES206*SALUD_Mes_Constante!$EP$1</f>
        <v>257499</v>
      </c>
      <c r="ET206" s="8">
        <f>+MINVU_Mes_Corriente!ET206*SALUD_Mes_Constante!$EP$1</f>
        <v>267263</v>
      </c>
      <c r="EU206" s="8">
        <f>+MINVU_Mes_Corriente!EU206*SALUD_Mes_Constante!$EP$1</f>
        <v>504286</v>
      </c>
      <c r="EV206" s="8">
        <f>+MINVU_Mes_Corriente!EV206*SALUD_Mes_Constante!$EP$1</f>
        <v>627767</v>
      </c>
      <c r="EW206" s="8">
        <f>+MINVU_Mes_Corriente!EW206*SALUD_Mes_Constante!$EP$1</f>
        <v>657358</v>
      </c>
      <c r="EX206" s="8">
        <f>+MINVU_Mes_Corriente!EX206*SALUD_Mes_Constante!$EP$1</f>
        <v>728048</v>
      </c>
      <c r="EY206" s="8">
        <f>+MINVU_Mes_Corriente!EY206*SALUD_Mes_Constante!$EP$1</f>
        <v>993191</v>
      </c>
      <c r="EZ206" s="8">
        <f>+MINVU_Mes_Corriente!EZ206*SALUD_Mes_Constante!$EP$1</f>
        <v>1171335</v>
      </c>
      <c r="FA206" s="8">
        <f>+MINVU_Mes_Corriente!FA206*SALUD_Mes_Constante!$EP$1</f>
        <v>1472826</v>
      </c>
      <c r="FB206" s="9">
        <f t="shared" si="106"/>
        <v>1472826</v>
      </c>
      <c r="FC206" s="8">
        <f>+MINVU_Mes_Corriente!FC206*SALUD_Mes_Constante!$FC$1</f>
        <v>0</v>
      </c>
      <c r="FD206" s="8">
        <f>+MINVU_Mes_Corriente!FD206*SALUD_Mes_Constante!$FC$1</f>
        <v>5458</v>
      </c>
      <c r="FE206" s="8">
        <f>+MINVU_Mes_Corriente!FE206*SALUD_Mes_Constante!$FC$1</f>
        <v>6694</v>
      </c>
      <c r="FF206" s="8">
        <f>+MINVU_Mes_Corriente!FF206*SALUD_Mes_Constante!$FC$1</f>
        <v>19831</v>
      </c>
      <c r="FG206" s="8">
        <f>+MINVU_Mes_Corriente!FG206*SALUD_Mes_Constante!$FC$1</f>
        <v>157711</v>
      </c>
      <c r="FH206" s="8">
        <f>+MINVU_Mes_Corriente!FH206*SALUD_Mes_Constante!$FC$1</f>
        <v>264304</v>
      </c>
      <c r="FI206" s="8">
        <f>+MINVU_Mes_Corriente!FI206*SALUD_Mes_Constante!$FC$1</f>
        <v>313178</v>
      </c>
      <c r="FJ206" s="8"/>
      <c r="FK206" s="8"/>
      <c r="FL206" s="8"/>
      <c r="FM206" s="8"/>
      <c r="FN206" s="8"/>
      <c r="FO206" s="9">
        <f t="shared" si="107"/>
        <v>313178</v>
      </c>
    </row>
    <row r="207" spans="2:171" ht="14.25" customHeight="1" x14ac:dyDescent="0.3">
      <c r="B207" s="7" t="s">
        <v>59</v>
      </c>
      <c r="C207" s="8">
        <f>+MINVU_Mes_Corriente!C207*SALUD_Mes_Constante!$C$1</f>
        <v>15929.631617974197</v>
      </c>
      <c r="D207" s="8">
        <f>+MINVU_Mes_Corriente!D207*SALUD_Mes_Constante!$C$1</f>
        <v>33371.047011715862</v>
      </c>
      <c r="E207" s="8">
        <f>+MINVU_Mes_Corriente!E207*SALUD_Mes_Constante!$C$1</f>
        <v>88780.433931484513</v>
      </c>
      <c r="F207" s="8">
        <f>+MINVU_Mes_Corriente!F207*SALUD_Mes_Constante!$C$1</f>
        <v>133513.35429334125</v>
      </c>
      <c r="G207" s="8">
        <f>+MINVU_Mes_Corriente!G207*SALUD_Mes_Constante!$C$1</f>
        <v>186310.7418063177</v>
      </c>
      <c r="H207" s="8">
        <f>+MINVU_Mes_Corriente!H207*SALUD_Mes_Constante!$C$1</f>
        <v>239590.99273320485</v>
      </c>
      <c r="I207" s="8">
        <f>+MINVU_Mes_Corriente!I207*SALUD_Mes_Constante!$C$1</f>
        <v>267835.26175292901</v>
      </c>
      <c r="J207" s="8">
        <f>+MINVU_Mes_Corriente!J207*SALUD_Mes_Constante!$C$1</f>
        <v>281407.28844727873</v>
      </c>
      <c r="K207" s="8">
        <f>+MINVU_Mes_Corriente!K207*SALUD_Mes_Constante!$C$1</f>
        <v>287439.84042710962</v>
      </c>
      <c r="L207" s="8">
        <f>+MINVU_Mes_Corriente!L207*SALUD_Mes_Constante!$C$1</f>
        <v>528372.48049829458</v>
      </c>
      <c r="M207" s="8">
        <f>+MINVU_Mes_Corriente!M207*SALUD_Mes_Constante!$C$1</f>
        <v>545335.89351920516</v>
      </c>
      <c r="N207" s="8">
        <f>+MINVU_Mes_Corriente!N207*SALUD_Mes_Constante!$C$1</f>
        <v>3867081.3252261612</v>
      </c>
      <c r="O207" s="9">
        <f t="shared" si="95"/>
        <v>3867081.3252261612</v>
      </c>
      <c r="P207" s="8">
        <f>+MINVU_Mes_Corriente!P207*SALUD_Mes_Constante!$P$1</f>
        <v>8273.2746128711442</v>
      </c>
      <c r="Q207" s="8">
        <f>+MINVU_Mes_Corriente!Q207*SALUD_Mes_Constante!$P$1</f>
        <v>18236.904958090632</v>
      </c>
      <c r="R207" s="8">
        <f>+MINVU_Mes_Corriente!R207*SALUD_Mes_Constante!$P$1</f>
        <v>25718.552919448775</v>
      </c>
      <c r="S207" s="8">
        <f>+MINVU_Mes_Corriente!S207*SALUD_Mes_Constante!$P$1</f>
        <v>29704.625941184815</v>
      </c>
      <c r="T207" s="8">
        <f>+MINVU_Mes_Corriente!T207*SALUD_Mes_Constante!$P$1</f>
        <v>94532.639863616962</v>
      </c>
      <c r="U207" s="8">
        <f>+MINVU_Mes_Corriente!U207*SALUD_Mes_Constante!$P$1</f>
        <v>126733.21807074864</v>
      </c>
      <c r="V207" s="8">
        <f>+MINVU_Mes_Corriente!V207*SALUD_Mes_Constante!$P$1</f>
        <v>156579.09504190931</v>
      </c>
      <c r="W207" s="8">
        <f>+MINVU_Mes_Corriente!W207*SALUD_Mes_Constante!$P$1</f>
        <v>160861.64000568257</v>
      </c>
      <c r="X207" s="8">
        <f>+MINVU_Mes_Corriente!X207*SALUD_Mes_Constante!$P$1</f>
        <v>228094.02585594537</v>
      </c>
      <c r="Y207" s="8">
        <f>+MINVU_Mes_Corriente!Y207*SALUD_Mes_Constante!$P$1</f>
        <v>241872.98621963337</v>
      </c>
      <c r="Z207" s="8">
        <f>+MINVU_Mes_Corriente!Z207*SALUD_Mes_Constante!$P$1</f>
        <v>596740.58758346329</v>
      </c>
      <c r="AA207" s="8">
        <f>+MINVU_Mes_Corriente!AA207*SALUD_Mes_Constante!$P$1</f>
        <v>5107227.4607188506</v>
      </c>
      <c r="AB207" s="9">
        <f t="shared" si="96"/>
        <v>5107227.4607188506</v>
      </c>
      <c r="AC207" s="8">
        <f>+MINVU_Mes_Corriente!AC207*SALUD_Mes_Constante!$AC$1</f>
        <v>4046.0509060727622</v>
      </c>
      <c r="AD207" s="8">
        <f>+MINVU_Mes_Corriente!AD207*SALUD_Mes_Constante!$AC$1</f>
        <v>50518.958362152443</v>
      </c>
      <c r="AE207" s="8">
        <f>+MINVU_Mes_Corriente!AE207*SALUD_Mes_Constante!$AC$1</f>
        <v>71739.18799280675</v>
      </c>
      <c r="AF207" s="8">
        <f>+MINVU_Mes_Corriente!AF207*SALUD_Mes_Constante!$AC$1</f>
        <v>90634.865403236967</v>
      </c>
      <c r="AG207" s="8">
        <f>+MINVU_Mes_Corriente!AG207*SALUD_Mes_Constante!$AC$1</f>
        <v>140928.62332272789</v>
      </c>
      <c r="AH207" s="8">
        <f>+MINVU_Mes_Corriente!AH207*SALUD_Mes_Constante!$AC$1</f>
        <v>149143.14953658872</v>
      </c>
      <c r="AI207" s="8">
        <f>+MINVU_Mes_Corriente!AI207*SALUD_Mes_Constante!$AC$1</f>
        <v>207491.22395905381</v>
      </c>
      <c r="AJ207" s="8">
        <f>+MINVU_Mes_Corriente!AJ207*SALUD_Mes_Constante!$AC$1</f>
        <v>228368.36298243186</v>
      </c>
      <c r="AK207" s="8">
        <f>+MINVU_Mes_Corriente!AK207*SALUD_Mes_Constante!$AC$1</f>
        <v>247820.240143865</v>
      </c>
      <c r="AL207" s="8">
        <f>+MINVU_Mes_Corriente!AL207*SALUD_Mes_Constante!$AC$1</f>
        <v>258297.35067090884</v>
      </c>
      <c r="AM207" s="8">
        <f>+MINVU_Mes_Corriente!AM207*SALUD_Mes_Constante!$AC$1</f>
        <v>622073.14759994461</v>
      </c>
      <c r="AN207" s="8">
        <f>+MINVU_Mes_Corriente!AN207*SALUD_Mes_Constante!$AC$1</f>
        <v>1537969.3935537417</v>
      </c>
      <c r="AO207" s="9">
        <f t="shared" si="97"/>
        <v>1537969.3935537417</v>
      </c>
      <c r="AP207" s="8">
        <f>+MINVU_Mes_Corriente!AP207*SALUD_Mes_Constante!$AP$1</f>
        <v>1399.5566076017853</v>
      </c>
      <c r="AQ207" s="8">
        <f>+MINVU_Mes_Corriente!AQ207*SALUD_Mes_Constante!$AP$1</f>
        <v>13571.413228729878</v>
      </c>
      <c r="AR207" s="8">
        <f>+MINVU_Mes_Corriente!AR207*SALUD_Mes_Constante!$AP$1</f>
        <v>52584.607872311644</v>
      </c>
      <c r="AS207" s="8">
        <f>+MINVU_Mes_Corriente!AS207*SALUD_Mes_Constante!$AP$1</f>
        <v>62724.373326119297</v>
      </c>
      <c r="AT207" s="8">
        <f>+MINVU_Mes_Corriente!AT207*SALUD_Mes_Constante!$AP$1</f>
        <v>84174.388746111188</v>
      </c>
      <c r="AU207" s="8">
        <f>+MINVU_Mes_Corriente!AU207*SALUD_Mes_Constante!$AP$1</f>
        <v>98063.547139185714</v>
      </c>
      <c r="AV207" s="8">
        <f>+MINVU_Mes_Corriente!AV207*SALUD_Mes_Constante!$AP$1</f>
        <v>110808.8229406195</v>
      </c>
      <c r="AW207" s="8">
        <f>+MINVU_Mes_Corriente!AW207*SALUD_Mes_Constante!$AP$1</f>
        <v>130415.91640741241</v>
      </c>
      <c r="AX207" s="8">
        <f>+MINVU_Mes_Corriente!AX207*SALUD_Mes_Constante!$AP$1</f>
        <v>254815.36507507099</v>
      </c>
      <c r="AY207" s="8">
        <f>+MINVU_Mes_Corriente!AY207*SALUD_Mes_Constante!$AP$1</f>
        <v>257516.9379142432</v>
      </c>
      <c r="AZ207" s="8">
        <f>+MINVU_Mes_Corriente!AZ207*SALUD_Mes_Constante!$AP$1</f>
        <v>298452.8602732314</v>
      </c>
      <c r="BA207" s="8">
        <f>+MINVU_Mes_Corriente!BA207*SALUD_Mes_Constante!$AP$1</f>
        <v>324479.8839442716</v>
      </c>
      <c r="BB207" s="9">
        <f t="shared" si="98"/>
        <v>324479.8839442716</v>
      </c>
      <c r="BC207" s="8">
        <f>+MINVU_Mes_Corriente!BC207*SALUD_Mes_Constante!$BC$1</f>
        <v>4970.9481735460913</v>
      </c>
      <c r="BD207" s="8">
        <f>+MINVU_Mes_Corriente!BD207*SALUD_Mes_Constante!$BC$1</f>
        <v>54660.257945404206</v>
      </c>
      <c r="BE207" s="8">
        <f>+MINVU_Mes_Corriente!BE207*SALUD_Mes_Constante!$BC$1</f>
        <v>68100.549123038392</v>
      </c>
      <c r="BF207" s="8">
        <f>+MINVU_Mes_Corriente!BF207*SALUD_Mes_Constante!$BC$1</f>
        <v>105855.26071475672</v>
      </c>
      <c r="BG207" s="8">
        <f>+MINVU_Mes_Corriente!BG207*SALUD_Mes_Constante!$BC$1</f>
        <v>141594.21680073853</v>
      </c>
      <c r="BH207" s="8">
        <f>+MINVU_Mes_Corriente!BH207*SALUD_Mes_Constante!$BC$1</f>
        <v>148750.94131610185</v>
      </c>
      <c r="BI207" s="8">
        <f>+MINVU_Mes_Corriente!BI207*SALUD_Mes_Constante!$BC$1</f>
        <v>154610.89674271402</v>
      </c>
      <c r="BJ207" s="8">
        <f>+MINVU_Mes_Corriente!BJ207*SALUD_Mes_Constante!$BC$1</f>
        <v>270387.88184096012</v>
      </c>
      <c r="BK207" s="8">
        <f>+MINVU_Mes_Corriente!BK207*SALUD_Mes_Constante!$BC$1</f>
        <v>274889.11143346969</v>
      </c>
      <c r="BL207" s="8">
        <f>+MINVU_Mes_Corriente!BL207*SALUD_Mes_Constante!$BC$1</f>
        <v>279651.1356982725</v>
      </c>
      <c r="BM207" s="8">
        <f>+MINVU_Mes_Corriente!BM207*SALUD_Mes_Constante!$BC$1</f>
        <v>357422.70051430841</v>
      </c>
      <c r="BN207" s="8">
        <f>+MINVU_Mes_Corriente!BN207*SALUD_Mes_Constante!$BC$1</f>
        <v>6335842.3059475161</v>
      </c>
      <c r="BO207" s="9">
        <f t="shared" si="99"/>
        <v>6335842.3059475161</v>
      </c>
      <c r="BP207" s="8">
        <f>+MINVU_Mes_Corriente!BP207*SALUD_Mes_Constante!$BP$1</f>
        <v>0</v>
      </c>
      <c r="BQ207" s="8">
        <f>+MINVU_Mes_Corriente!BQ207*SALUD_Mes_Constante!$BP$1</f>
        <v>0</v>
      </c>
      <c r="BR207" s="8">
        <f>+MINVU_Mes_Corriente!BR207*SALUD_Mes_Constante!$BP$1</f>
        <v>0</v>
      </c>
      <c r="BS207" s="8">
        <f>+MINVU_Mes_Corriente!BS207*SALUD_Mes_Constante!$BP$1</f>
        <v>0</v>
      </c>
      <c r="BT207" s="8">
        <f>+MINVU_Mes_Corriente!BT207*SALUD_Mes_Constante!$BP$1</f>
        <v>0</v>
      </c>
      <c r="BU207" s="8">
        <f>+MINVU_Mes_Corriente!BU207*SALUD_Mes_Constante!$BP$1</f>
        <v>0</v>
      </c>
      <c r="BV207" s="8">
        <f>+MINVU_Mes_Corriente!BV207*SALUD_Mes_Constante!$BP$1</f>
        <v>0</v>
      </c>
      <c r="BW207" s="8">
        <f>+MINVU_Mes_Corriente!BW207*SALUD_Mes_Constante!$BP$1</f>
        <v>0</v>
      </c>
      <c r="BX207" s="8">
        <f>+MINVU_Mes_Corriente!BX207*SALUD_Mes_Constante!$BP$1</f>
        <v>179796.3533930858</v>
      </c>
      <c r="BY207" s="8">
        <f>+MINVU_Mes_Corriente!BY207*SALUD_Mes_Constante!$BP$1</f>
        <v>257524.84071702947</v>
      </c>
      <c r="BZ207" s="8">
        <f>+MINVU_Mes_Corriente!BZ207*SALUD_Mes_Constante!$BP$1</f>
        <v>338585.68809218955</v>
      </c>
      <c r="CA207" s="8">
        <f>+MINVU_Mes_Corriente!CA207*SALUD_Mes_Constante!$BP$1</f>
        <v>7157173.5288092196</v>
      </c>
      <c r="CB207" s="9">
        <f t="shared" si="100"/>
        <v>7157173.5288092196</v>
      </c>
      <c r="CC207" s="8">
        <f>+MINVU_Mes_Corriente!CC207*SALUD_Mes_Constante!$CC$1</f>
        <v>0</v>
      </c>
      <c r="CD207" s="8">
        <f>+MINVU_Mes_Corriente!CD207*SALUD_Mes_Constante!$CC$1</f>
        <v>1567.649384558001</v>
      </c>
      <c r="CE207" s="8">
        <f>+MINVU_Mes_Corriente!CE207*SALUD_Mes_Constante!$CC$1</f>
        <v>18080.947407683703</v>
      </c>
      <c r="CF207" s="8">
        <f>+MINVU_Mes_Corriente!CF207*SALUD_Mes_Constante!$CC$1</f>
        <v>234674.66766132042</v>
      </c>
      <c r="CG207" s="8">
        <f>+MINVU_Mes_Corriente!CG207*SALUD_Mes_Constante!$CC$1</f>
        <v>237600.76538605001</v>
      </c>
      <c r="CH207" s="8">
        <f>+MINVU_Mes_Corriente!CH207*SALUD_Mes_Constante!$CC$1</f>
        <v>396866.60723610595</v>
      </c>
      <c r="CI207" s="8">
        <f>+MINVU_Mes_Corriente!CI207*SALUD_Mes_Constante!$CC$1</f>
        <v>399440.86684073112</v>
      </c>
      <c r="CJ207" s="8">
        <f>+MINVU_Mes_Corriente!CJ207*SALUD_Mes_Constante!$CC$1</f>
        <v>411881.53674002242</v>
      </c>
      <c r="CK207" s="8">
        <f>+MINVU_Mes_Corriente!CK207*SALUD_Mes_Constante!$CC$1</f>
        <v>412562.11935844837</v>
      </c>
      <c r="CL207" s="8">
        <f>+MINVU_Mes_Corriente!CL207*SALUD_Mes_Constante!$CC$1</f>
        <v>417915.76426706457</v>
      </c>
      <c r="CM207" s="8">
        <f>+MINVU_Mes_Corriente!CM207*SALUD_Mes_Constante!$CC$1</f>
        <v>421341.77098097728</v>
      </c>
      <c r="CN207" s="8">
        <f>+MINVU_Mes_Corriente!CN207*SALUD_Mes_Constante!$CC$1</f>
        <v>685687.66728832526</v>
      </c>
      <c r="CO207" s="9">
        <f t="shared" si="101"/>
        <v>685687.66728832526</v>
      </c>
      <c r="CP207" s="8">
        <f>+MINVU_Mes_Corriente!CP207*SALUD_Mes_Constante!$CP$1</f>
        <v>0</v>
      </c>
      <c r="CQ207" s="8">
        <f>+MINVU_Mes_Corriente!CQ207*SALUD_Mes_Constante!$CP$1</f>
        <v>2024.2252900232015</v>
      </c>
      <c r="CR207" s="8">
        <f>+MINVU_Mes_Corriente!CR207*SALUD_Mes_Constante!$CP$1</f>
        <v>53787.100928074236</v>
      </c>
      <c r="CS207" s="8">
        <f>+MINVU_Mes_Corriente!CS207*SALUD_Mes_Constante!$CP$1</f>
        <v>123717.30348027839</v>
      </c>
      <c r="CT207" s="8">
        <f>+MINVU_Mes_Corriente!CT207*SALUD_Mes_Constante!$CP$1</f>
        <v>241881.61322505795</v>
      </c>
      <c r="CU207" s="8">
        <f>+MINVU_Mes_Corriente!CU207*SALUD_Mes_Constante!$CP$1</f>
        <v>253514.88793503476</v>
      </c>
      <c r="CV207" s="8">
        <f>+MINVU_Mes_Corriente!CV207*SALUD_Mes_Constante!$CP$1</f>
        <v>314490.08004640363</v>
      </c>
      <c r="CW207" s="8">
        <f>+MINVU_Mes_Corriente!CW207*SALUD_Mes_Constante!$CP$1</f>
        <v>336589.24593967508</v>
      </c>
      <c r="CX207" s="8">
        <f>+MINVU_Mes_Corriente!CX207*SALUD_Mes_Constante!$CP$1</f>
        <v>342857.11948955909</v>
      </c>
      <c r="CY207" s="8">
        <f>+MINVU_Mes_Corriente!CY207*SALUD_Mes_Constante!$CP$1</f>
        <v>746645.06798143836</v>
      </c>
      <c r="CZ207" s="8">
        <f>+MINVU_Mes_Corriente!CZ207*SALUD_Mes_Constante!$CP$1</f>
        <v>894841.93503480265</v>
      </c>
      <c r="DA207" s="8">
        <f>+MINVU_Mes_Corriente!DA207*SALUD_Mes_Constante!$CP$1</f>
        <v>1664938.6099767978</v>
      </c>
      <c r="DB207" s="9">
        <f t="shared" si="102"/>
        <v>1664938.6099767978</v>
      </c>
      <c r="DC207" s="8">
        <f>+MINVU_Mes_Corriente!DC207*SALUD_Mes_Constante!$DC$1</f>
        <v>731.69694475876997</v>
      </c>
      <c r="DD207" s="8">
        <f>+MINVU_Mes_Corriente!DD207*SALUD_Mes_Constante!$DC$1</f>
        <v>1181.2803209546348</v>
      </c>
      <c r="DE207" s="8">
        <f>+MINVU_Mes_Corriente!DE207*SALUD_Mes_Constante!$DC$1</f>
        <v>15123.984775228893</v>
      </c>
      <c r="DF207" s="8">
        <f>+MINVU_Mes_Corriente!DF207*SALUD_Mes_Constante!$DC$1</f>
        <v>21110.187429276833</v>
      </c>
      <c r="DG207" s="8">
        <f>+MINVU_Mes_Corriente!DG207*SALUD_Mes_Constante!$DC$1</f>
        <v>23482.863697150511</v>
      </c>
      <c r="DH207" s="8">
        <f>+MINVU_Mes_Corriente!DH207*SALUD_Mes_Constante!$DC$1</f>
        <v>28025.903713609725</v>
      </c>
      <c r="DI207" s="8">
        <f>+MINVU_Mes_Corriente!DI207*SALUD_Mes_Constante!$DC$1</f>
        <v>60424.005760724234</v>
      </c>
      <c r="DJ207" s="8">
        <f>+MINVU_Mes_Corriente!DJ207*SALUD_Mes_Constante!$DC$1</f>
        <v>122453.0241744677</v>
      </c>
      <c r="DK207" s="8">
        <f>+MINVU_Mes_Corriente!DK207*SALUD_Mes_Constante!$DC$1</f>
        <v>228495.13115934585</v>
      </c>
      <c r="DL207" s="8">
        <f>+MINVU_Mes_Corriente!DL207*SALUD_Mes_Constante!$DC$1</f>
        <v>464690.50159448641</v>
      </c>
      <c r="DM207" s="8">
        <f>+MINVU_Mes_Corriente!DM207*SALUD_Mes_Constante!$DC$1</f>
        <v>1218509.196378974</v>
      </c>
      <c r="DN207" s="8">
        <f>+MINVU_Mes_Corriente!DN207*SALUD_Mes_Constante!$DC$1</f>
        <v>2230727.0605904753</v>
      </c>
      <c r="DO207" s="9">
        <f t="shared" si="103"/>
        <v>2230727.0605904753</v>
      </c>
      <c r="DP207" s="8">
        <f>+MINVU_Mes_Corriente!DP207*SALUD_Mes_Constante!$DP$1</f>
        <v>226289.52790973874</v>
      </c>
      <c r="DQ207" s="8">
        <f>+MINVU_Mes_Corriente!DQ207*SALUD_Mes_Constante!$DP$1</f>
        <v>241795.06175771973</v>
      </c>
      <c r="DR207" s="8">
        <f>+MINVU_Mes_Corriente!DR207*SALUD_Mes_Constante!$DP$1</f>
        <v>252483.16389548697</v>
      </c>
      <c r="DS207" s="8">
        <f>+MINVU_Mes_Corriente!DS207*SALUD_Mes_Constante!$DP$1</f>
        <v>258993.99584323043</v>
      </c>
      <c r="DT207" s="8">
        <f>+MINVU_Mes_Corriente!DT207*SALUD_Mes_Constante!$DP$1</f>
        <v>384768.43289786228</v>
      </c>
      <c r="DU207" s="8">
        <f>+MINVU_Mes_Corriente!DU207*SALUD_Mes_Constante!$DP$1</f>
        <v>520503.2209026129</v>
      </c>
      <c r="DV207" s="8">
        <f>+MINVU_Mes_Corriente!DV207*SALUD_Mes_Constante!$DP$1</f>
        <v>581141.2232779098</v>
      </c>
      <c r="DW207" s="8">
        <f>+MINVU_Mes_Corriente!DW207*SALUD_Mes_Constante!$DP$1</f>
        <v>649415.74703087891</v>
      </c>
      <c r="DX207" s="8">
        <f>+MINVU_Mes_Corriente!DX207*SALUD_Mes_Constante!$DP$1</f>
        <v>651974.23040380049</v>
      </c>
      <c r="DY207" s="8">
        <f>+MINVU_Mes_Corriente!DY207*SALUD_Mes_Constante!$DP$1</f>
        <v>658121.7274346794</v>
      </c>
      <c r="DZ207" s="8">
        <f>+MINVU_Mes_Corriente!DZ207*SALUD_Mes_Constante!$DP$1</f>
        <v>676797.79097387183</v>
      </c>
      <c r="EA207" s="8">
        <f>+MINVU_Mes_Corriente!EA207*SALUD_Mes_Constante!$DP$1</f>
        <v>1095924.0819477437</v>
      </c>
      <c r="EB207" s="9">
        <f t="shared" si="104"/>
        <v>1095924.0819477437</v>
      </c>
      <c r="EC207" s="8">
        <f>+MINVU_Mes_Corriente!EC207*SALUD_Mes_Constante!$EC$1</f>
        <v>31918.361105851156</v>
      </c>
      <c r="ED207" s="8">
        <f>+MINVU_Mes_Corriente!ED207*SALUD_Mes_Constante!$EC$1</f>
        <v>68123.537587578088</v>
      </c>
      <c r="EE207" s="8">
        <f>+MINVU_Mes_Corriente!EE207*SALUD_Mes_Constante!$EC$1</f>
        <v>79664.008710471477</v>
      </c>
      <c r="EF207" s="8">
        <f>+MINVU_Mes_Corriente!EF207*SALUD_Mes_Constante!$EC$1</f>
        <v>89258.654610869125</v>
      </c>
      <c r="EG207" s="8">
        <f>+MINVU_Mes_Corriente!EG207*SALUD_Mes_Constante!$EC$1</f>
        <v>111229.61787540236</v>
      </c>
      <c r="EH207" s="8">
        <f>+MINVU_Mes_Corriente!EH207*SALUD_Mes_Constante!$EC$1</f>
        <v>128454.46411664454</v>
      </c>
      <c r="EI207" s="8">
        <f>+MINVU_Mes_Corriente!EI207*SALUD_Mes_Constante!$EC$1</f>
        <v>349674.41298996389</v>
      </c>
      <c r="EJ207" s="8">
        <f>+MINVU_Mes_Corriente!EJ207*SALUD_Mes_Constante!$EC$1</f>
        <v>391804.99450861569</v>
      </c>
      <c r="EK207" s="8">
        <f>+MINVU_Mes_Corriente!EK207*SALUD_Mes_Constante!$EC$1</f>
        <v>609696.04090134427</v>
      </c>
      <c r="EL207" s="8">
        <f>+MINVU_Mes_Corriente!EL207*SALUD_Mes_Constante!$EC$1</f>
        <v>739224.27778829739</v>
      </c>
      <c r="EM207" s="8">
        <f>+MINVU_Mes_Corriente!EM207*SALUD_Mes_Constante!$EC$1</f>
        <v>763065.55046392709</v>
      </c>
      <c r="EN207" s="8">
        <f>+MINVU_Mes_Corriente!EN207*SALUD_Mes_Constante!$EC$1</f>
        <v>886592.86650255602</v>
      </c>
      <c r="EO207" s="9">
        <f t="shared" si="105"/>
        <v>886592.86650255602</v>
      </c>
      <c r="EP207" s="8">
        <f>+MINVU_Mes_Corriente!EP207*SALUD_Mes_Constante!$EP$1</f>
        <v>3210</v>
      </c>
      <c r="EQ207" s="8">
        <f>+MINVU_Mes_Corriente!EQ207*SALUD_Mes_Constante!$EP$1</f>
        <v>443622</v>
      </c>
      <c r="ER207" s="8">
        <f>+MINVU_Mes_Corriente!ER207*SALUD_Mes_Constante!$EP$1</f>
        <v>449396</v>
      </c>
      <c r="ES207" s="8">
        <f>+MINVU_Mes_Corriente!ES207*SALUD_Mes_Constante!$EP$1</f>
        <v>479048</v>
      </c>
      <c r="ET207" s="8">
        <f>+MINVU_Mes_Corriente!ET207*SALUD_Mes_Constante!$EP$1</f>
        <v>501587</v>
      </c>
      <c r="EU207" s="8">
        <f>+MINVU_Mes_Corriente!EU207*SALUD_Mes_Constante!$EP$1</f>
        <v>510255</v>
      </c>
      <c r="EV207" s="8">
        <f>+MINVU_Mes_Corriente!EV207*SALUD_Mes_Constante!$EP$1</f>
        <v>523499</v>
      </c>
      <c r="EW207" s="8">
        <f>+MINVU_Mes_Corriente!EW207*SALUD_Mes_Constante!$EP$1</f>
        <v>580508</v>
      </c>
      <c r="EX207" s="8">
        <f>+MINVU_Mes_Corriente!EX207*SALUD_Mes_Constante!$EP$1</f>
        <v>850817</v>
      </c>
      <c r="EY207" s="8">
        <f>+MINVU_Mes_Corriente!EY207*SALUD_Mes_Constante!$EP$1</f>
        <v>1068056</v>
      </c>
      <c r="EZ207" s="8">
        <f>+MINVU_Mes_Corriente!EZ207*SALUD_Mes_Constante!$EP$1</f>
        <v>1542643</v>
      </c>
      <c r="FA207" s="8">
        <f>+MINVU_Mes_Corriente!FA207*SALUD_Mes_Constante!$EP$1</f>
        <v>2529827</v>
      </c>
      <c r="FB207" s="9">
        <f t="shared" si="106"/>
        <v>2529827</v>
      </c>
      <c r="FC207" s="8">
        <f>+MINVU_Mes_Corriente!FC207*SALUD_Mes_Constante!$FC$1</f>
        <v>10256</v>
      </c>
      <c r="FD207" s="8">
        <f>+MINVU_Mes_Corriente!FD207*SALUD_Mes_Constante!$FC$1</f>
        <v>10693</v>
      </c>
      <c r="FE207" s="8">
        <f>+MINVU_Mes_Corriente!FE207*SALUD_Mes_Constante!$FC$1</f>
        <v>52940</v>
      </c>
      <c r="FF207" s="8">
        <f>+MINVU_Mes_Corriente!FF207*SALUD_Mes_Constante!$FC$1</f>
        <v>56599</v>
      </c>
      <c r="FG207" s="8">
        <f>+MINVU_Mes_Corriente!FG207*SALUD_Mes_Constante!$FC$1</f>
        <v>62917</v>
      </c>
      <c r="FH207" s="8">
        <f>+MINVU_Mes_Corriente!FH207*SALUD_Mes_Constante!$FC$1</f>
        <v>73337</v>
      </c>
      <c r="FI207" s="8">
        <f>+MINVU_Mes_Corriente!FI207*SALUD_Mes_Constante!$FC$1</f>
        <v>80769</v>
      </c>
      <c r="FJ207" s="8"/>
      <c r="FK207" s="8"/>
      <c r="FL207" s="8"/>
      <c r="FM207" s="8"/>
      <c r="FN207" s="8"/>
      <c r="FO207" s="9">
        <f t="shared" si="107"/>
        <v>80769</v>
      </c>
    </row>
    <row r="208" spans="2:171" ht="14.25" customHeight="1" x14ac:dyDescent="0.3">
      <c r="B208" s="7" t="s">
        <v>60</v>
      </c>
      <c r="C208" s="8">
        <f>+MINVU_Mes_Corriente!C208*SALUD_Mes_Constante!$C$1</f>
        <v>0</v>
      </c>
      <c r="D208" s="8">
        <f>+MINVU_Mes_Corriente!D208*SALUD_Mes_Constante!$C$1</f>
        <v>0</v>
      </c>
      <c r="E208" s="8">
        <f>+MINVU_Mes_Corriente!E208*SALUD_Mes_Constante!$C$1</f>
        <v>0</v>
      </c>
      <c r="F208" s="8">
        <f>+MINVU_Mes_Corriente!F208*SALUD_Mes_Constante!$C$1</f>
        <v>0</v>
      </c>
      <c r="G208" s="8">
        <f>+MINVU_Mes_Corriente!G208*SALUD_Mes_Constante!$C$1</f>
        <v>0</v>
      </c>
      <c r="H208" s="8">
        <f>+MINVU_Mes_Corriente!H208*SALUD_Mes_Constante!$C$1</f>
        <v>0</v>
      </c>
      <c r="I208" s="8">
        <f>+MINVU_Mes_Corriente!I208*SALUD_Mes_Constante!$C$1</f>
        <v>126.38706807059174</v>
      </c>
      <c r="J208" s="8">
        <f>+MINVU_Mes_Corriente!J208*SALUD_Mes_Constante!$C$1</f>
        <v>126.38706807059174</v>
      </c>
      <c r="K208" s="8">
        <f>+MINVU_Mes_Corriente!K208*SALUD_Mes_Constante!$C$1</f>
        <v>925.21815215779338</v>
      </c>
      <c r="L208" s="8">
        <f>+MINVU_Mes_Corriente!L208*SALUD_Mes_Constante!$C$1</f>
        <v>257.63517722082162</v>
      </c>
      <c r="M208" s="8">
        <f>+MINVU_Mes_Corriente!M208*SALUD_Mes_Constante!$C$1</f>
        <v>2067.5628058727571</v>
      </c>
      <c r="N208" s="8">
        <f>+MINVU_Mes_Corriente!N208*SALUD_Mes_Constante!$C$1</f>
        <v>2110555.4735281034</v>
      </c>
      <c r="O208" s="9">
        <f t="shared" si="95"/>
        <v>2110555.4735281034</v>
      </c>
      <c r="P208" s="8">
        <f>+MINVU_Mes_Corriente!P208*SALUD_Mes_Constante!$P$1</f>
        <v>0</v>
      </c>
      <c r="Q208" s="8">
        <f>+MINVU_Mes_Corriente!Q208*SALUD_Mes_Constante!$P$1</f>
        <v>0</v>
      </c>
      <c r="R208" s="8">
        <f>+MINVU_Mes_Corriente!R208*SALUD_Mes_Constante!$P$1</f>
        <v>0</v>
      </c>
      <c r="S208" s="8">
        <f>+MINVU_Mes_Corriente!S208*SALUD_Mes_Constante!$P$1</f>
        <v>614.67481176303431</v>
      </c>
      <c r="T208" s="8">
        <f>+MINVU_Mes_Corriente!T208*SALUD_Mes_Constante!$P$1</f>
        <v>3715.9886347492529</v>
      </c>
      <c r="U208" s="8">
        <f>+MINVU_Mes_Corriente!U208*SALUD_Mes_Constante!$P$1</f>
        <v>26788.025003551629</v>
      </c>
      <c r="V208" s="8">
        <f>+MINVU_Mes_Corriente!V208*SALUD_Mes_Constante!$P$1</f>
        <v>29751.192214803228</v>
      </c>
      <c r="W208" s="8">
        <f>+MINVU_Mes_Corriente!W208*SALUD_Mes_Constante!$P$1</f>
        <v>133916.84188094895</v>
      </c>
      <c r="X208" s="8">
        <f>+MINVU_Mes_Corriente!X208*SALUD_Mes_Constante!$P$1</f>
        <v>135368.15740872279</v>
      </c>
      <c r="Y208" s="8">
        <f>+MINVU_Mes_Corriente!Y208*SALUD_Mes_Constante!$P$1</f>
        <v>309097.61102429312</v>
      </c>
      <c r="Z208" s="8">
        <f>+MINVU_Mes_Corriente!Z208*SALUD_Mes_Constante!$P$1</f>
        <v>371296.18269640562</v>
      </c>
      <c r="AA208" s="8">
        <f>+MINVU_Mes_Corriente!AA208*SALUD_Mes_Constante!$P$1</f>
        <v>2205943.722687881</v>
      </c>
      <c r="AB208" s="9">
        <f t="shared" si="96"/>
        <v>2205943.722687881</v>
      </c>
      <c r="AC208" s="8">
        <f>+MINVU_Mes_Corriente!AC208*SALUD_Mes_Constante!$AC$1</f>
        <v>0</v>
      </c>
      <c r="AD208" s="8">
        <f>+MINVU_Mes_Corriente!AD208*SALUD_Mes_Constante!$AC$1</f>
        <v>0</v>
      </c>
      <c r="AE208" s="8">
        <f>+MINVU_Mes_Corriente!AE208*SALUD_Mes_Constante!$AC$1</f>
        <v>0</v>
      </c>
      <c r="AF208" s="8">
        <f>+MINVU_Mes_Corriente!AF208*SALUD_Mes_Constante!$AC$1</f>
        <v>9991.9471572831644</v>
      </c>
      <c r="AG208" s="8">
        <f>+MINVU_Mes_Corriente!AG208*SALUD_Mes_Constante!$AC$1</f>
        <v>11003.082030709642</v>
      </c>
      <c r="AH208" s="8">
        <f>+MINVU_Mes_Corriente!AH208*SALUD_Mes_Constante!$AC$1</f>
        <v>24649.624291049939</v>
      </c>
      <c r="AI208" s="8">
        <f>+MINVU_Mes_Corriente!AI208*SALUD_Mes_Constante!$AC$1</f>
        <v>35178.12283856688</v>
      </c>
      <c r="AJ208" s="8">
        <f>+MINVU_Mes_Corriente!AJ208*SALUD_Mes_Constante!$AC$1</f>
        <v>47195.362567436714</v>
      </c>
      <c r="AK208" s="8">
        <f>+MINVU_Mes_Corriente!AK208*SALUD_Mes_Constante!$AC$1</f>
        <v>47638.206390925436</v>
      </c>
      <c r="AL208" s="8">
        <f>+MINVU_Mes_Corriente!AL208*SALUD_Mes_Constante!$AC$1</f>
        <v>359332.24457048002</v>
      </c>
      <c r="AM208" s="8">
        <f>+MINVU_Mes_Corriente!AM208*SALUD_Mes_Constante!$AC$1</f>
        <v>366972.4340849357</v>
      </c>
      <c r="AN208" s="8">
        <f>+MINVU_Mes_Corriente!AN208*SALUD_Mes_Constante!$AC$1</f>
        <v>777529.46659288974</v>
      </c>
      <c r="AO208" s="9">
        <f t="shared" si="97"/>
        <v>777529.46659288974</v>
      </c>
      <c r="AP208" s="8">
        <f>+MINVU_Mes_Corriente!AP208*SALUD_Mes_Constante!$AP$1</f>
        <v>0</v>
      </c>
      <c r="AQ208" s="8">
        <f>+MINVU_Mes_Corriente!AQ208*SALUD_Mes_Constante!$AP$1</f>
        <v>0</v>
      </c>
      <c r="AR208" s="8">
        <f>+MINVU_Mes_Corriente!AR208*SALUD_Mes_Constante!$AP$1</f>
        <v>0</v>
      </c>
      <c r="AS208" s="8">
        <f>+MINVU_Mes_Corriente!AS208*SALUD_Mes_Constante!$AP$1</f>
        <v>1282.803733261193</v>
      </c>
      <c r="AT208" s="8">
        <f>+MINVU_Mes_Corriente!AT208*SALUD_Mes_Constante!$AP$1</f>
        <v>1282.803733261193</v>
      </c>
      <c r="AU208" s="8">
        <f>+MINVU_Mes_Corriente!AU208*SALUD_Mes_Constante!$AP$1</f>
        <v>1457.1941025294195</v>
      </c>
      <c r="AV208" s="8">
        <f>+MINVU_Mes_Corriente!AV208*SALUD_Mes_Constante!$AP$1</f>
        <v>6898.7647774922216</v>
      </c>
      <c r="AW208" s="8">
        <f>+MINVU_Mes_Corriente!AW208*SALUD_Mes_Constante!$AP$1</f>
        <v>6898.7647774922216</v>
      </c>
      <c r="AX208" s="8">
        <f>+MINVU_Mes_Corriente!AX208*SALUD_Mes_Constante!$AP$1</f>
        <v>6898.7647774922216</v>
      </c>
      <c r="AY208" s="8">
        <f>+MINVU_Mes_Corriente!AY208*SALUD_Mes_Constante!$AP$1</f>
        <v>7093.8455295549838</v>
      </c>
      <c r="AZ208" s="8">
        <f>+MINVU_Mes_Corriente!AZ208*SALUD_Mes_Constante!$AP$1</f>
        <v>45616.382524009197</v>
      </c>
      <c r="BA208" s="8">
        <f>+MINVU_Mes_Corriente!BA208*SALUD_Mes_Constante!$AP$1</f>
        <v>476579.32152035704</v>
      </c>
      <c r="BB208" s="9">
        <f t="shared" si="98"/>
        <v>476579.32152035704</v>
      </c>
      <c r="BC208" s="8">
        <f>+MINVU_Mes_Corriente!BC208*SALUD_Mes_Constante!$BC$1</f>
        <v>0</v>
      </c>
      <c r="BD208" s="8">
        <f>+MINVU_Mes_Corriente!BD208*SALUD_Mes_Constante!$BC$1</f>
        <v>0</v>
      </c>
      <c r="BE208" s="8">
        <f>+MINVU_Mes_Corriente!BE208*SALUD_Mes_Constante!$BC$1</f>
        <v>2064.7445602004491</v>
      </c>
      <c r="BF208" s="8">
        <f>+MINVU_Mes_Corriente!BF208*SALUD_Mes_Constante!$BC$1</f>
        <v>6437.7380983779522</v>
      </c>
      <c r="BG208" s="8">
        <f>+MINVU_Mes_Corriente!BG208*SALUD_Mes_Constante!$BC$1</f>
        <v>6792.1883159699346</v>
      </c>
      <c r="BH208" s="8">
        <f>+MINVU_Mes_Corriente!BH208*SALUD_Mes_Constante!$BC$1</f>
        <v>6859.9084794936061</v>
      </c>
      <c r="BI208" s="8">
        <f>+MINVU_Mes_Corriente!BI208*SALUD_Mes_Constante!$BC$1</f>
        <v>8482.3106949756057</v>
      </c>
      <c r="BJ208" s="8">
        <f>+MINVU_Mes_Corriente!BJ208*SALUD_Mes_Constante!$BC$1</f>
        <v>8878.5456943162353</v>
      </c>
      <c r="BK208" s="8">
        <f>+MINVU_Mes_Corriente!BK208*SALUD_Mes_Constante!$BC$1</f>
        <v>8878.5456943162353</v>
      </c>
      <c r="BL208" s="8">
        <f>+MINVU_Mes_Corriente!BL208*SALUD_Mes_Constante!$BC$1</f>
        <v>15391.208228933143</v>
      </c>
      <c r="BM208" s="8">
        <f>+MINVU_Mes_Corriente!BM208*SALUD_Mes_Constante!$BC$1</f>
        <v>268694.87775286834</v>
      </c>
      <c r="BN208" s="8">
        <f>+MINVU_Mes_Corriente!BN208*SALUD_Mes_Constante!$BC$1</f>
        <v>2812710.8846103135</v>
      </c>
      <c r="BO208" s="9">
        <f t="shared" si="99"/>
        <v>2812710.8846103135</v>
      </c>
      <c r="BP208" s="8">
        <f>+MINVU_Mes_Corriente!BP208*SALUD_Mes_Constante!$BP$1</f>
        <v>0</v>
      </c>
      <c r="BQ208" s="8">
        <f>+MINVU_Mes_Corriente!BQ208*SALUD_Mes_Constante!$BP$1</f>
        <v>0</v>
      </c>
      <c r="BR208" s="8">
        <f>+MINVU_Mes_Corriente!BR208*SALUD_Mes_Constante!$BP$1</f>
        <v>0</v>
      </c>
      <c r="BS208" s="8">
        <f>+MINVU_Mes_Corriente!BS208*SALUD_Mes_Constante!$BP$1</f>
        <v>0</v>
      </c>
      <c r="BT208" s="8">
        <f>+MINVU_Mes_Corriente!BT208*SALUD_Mes_Constante!$BP$1</f>
        <v>0</v>
      </c>
      <c r="BU208" s="8">
        <f>+MINVU_Mes_Corriente!BU208*SALUD_Mes_Constante!$BP$1</f>
        <v>0</v>
      </c>
      <c r="BV208" s="8">
        <f>+MINVU_Mes_Corriente!BV208*SALUD_Mes_Constante!$BP$1</f>
        <v>0</v>
      </c>
      <c r="BW208" s="8">
        <f>+MINVU_Mes_Corriente!BW208*SALUD_Mes_Constante!$BP$1</f>
        <v>605.75646606914222</v>
      </c>
      <c r="BX208" s="8">
        <f>+MINVU_Mes_Corriente!BX208*SALUD_Mes_Constante!$BP$1</f>
        <v>21590.391549295779</v>
      </c>
      <c r="BY208" s="8">
        <f>+MINVU_Mes_Corriente!BY208*SALUD_Mes_Constante!$BP$1</f>
        <v>21590.391549295779</v>
      </c>
      <c r="BZ208" s="8">
        <f>+MINVU_Mes_Corriente!BZ208*SALUD_Mes_Constante!$BP$1</f>
        <v>872282.31626120373</v>
      </c>
      <c r="CA208" s="8">
        <f>+MINVU_Mes_Corriente!CA208*SALUD_Mes_Constante!$BP$1</f>
        <v>5074058.1825864278</v>
      </c>
      <c r="CB208" s="9">
        <f t="shared" si="100"/>
        <v>5074058.1825864278</v>
      </c>
      <c r="CC208" s="8">
        <f>+MINVU_Mes_Corriente!CC208*SALUD_Mes_Constante!$CC$1</f>
        <v>0</v>
      </c>
      <c r="CD208" s="8">
        <f>+MINVU_Mes_Corriente!CD208*SALUD_Mes_Constante!$CC$1</f>
        <v>0</v>
      </c>
      <c r="CE208" s="8">
        <f>+MINVU_Mes_Corriente!CE208*SALUD_Mes_Constante!$CC$1</f>
        <v>0</v>
      </c>
      <c r="CF208" s="8">
        <f>+MINVU_Mes_Corriente!CF208*SALUD_Mes_Constante!$CC$1</f>
        <v>58763.758299142115</v>
      </c>
      <c r="CG208" s="8">
        <f>+MINVU_Mes_Corriente!CG208*SALUD_Mes_Constante!$CC$1</f>
        <v>58763.758299142115</v>
      </c>
      <c r="CH208" s="8">
        <f>+MINVU_Mes_Corriente!CH208*SALUD_Mes_Constante!$CC$1</f>
        <v>79653.976874300643</v>
      </c>
      <c r="CI208" s="8">
        <f>+MINVU_Mes_Corriente!CI208*SALUD_Mes_Constante!$CC$1</f>
        <v>79653.976874300643</v>
      </c>
      <c r="CJ208" s="8">
        <f>+MINVU_Mes_Corriente!CJ208*SALUD_Mes_Constante!$CC$1</f>
        <v>92643.45990302127</v>
      </c>
      <c r="CK208" s="8">
        <f>+MINVU_Mes_Corriente!CK208*SALUD_Mes_Constante!$CC$1</f>
        <v>124272.21260723611</v>
      </c>
      <c r="CL208" s="8">
        <f>+MINVU_Mes_Corriente!CL208*SALUD_Mes_Constante!$CC$1</f>
        <v>129018.63110779561</v>
      </c>
      <c r="CM208" s="8">
        <f>+MINVU_Mes_Corriente!CM208*SALUD_Mes_Constante!$CC$1</f>
        <v>138965.1898545319</v>
      </c>
      <c r="CN208" s="8">
        <f>+MINVU_Mes_Corriente!CN208*SALUD_Mes_Constante!$CC$1</f>
        <v>562333.76575904514</v>
      </c>
      <c r="CO208" s="9">
        <f t="shared" si="101"/>
        <v>562333.76575904514</v>
      </c>
      <c r="CP208" s="8">
        <f>+MINVU_Mes_Corriente!CP208*SALUD_Mes_Constante!$CP$1</f>
        <v>0</v>
      </c>
      <c r="CQ208" s="8">
        <f>+MINVU_Mes_Corriente!CQ208*SALUD_Mes_Constante!$CP$1</f>
        <v>42389.584454756368</v>
      </c>
      <c r="CR208" s="8">
        <f>+MINVU_Mes_Corriente!CR208*SALUD_Mes_Constante!$CP$1</f>
        <v>69297.711368909499</v>
      </c>
      <c r="CS208" s="8">
        <f>+MINVU_Mes_Corriente!CS208*SALUD_Mes_Constante!$CP$1</f>
        <v>84695.512761020858</v>
      </c>
      <c r="CT208" s="8">
        <f>+MINVU_Mes_Corriente!CT208*SALUD_Mes_Constante!$CP$1</f>
        <v>115129.87308584685</v>
      </c>
      <c r="CU208" s="8">
        <f>+MINVU_Mes_Corriente!CU208*SALUD_Mes_Constante!$CP$1</f>
        <v>122795.81832946633</v>
      </c>
      <c r="CV208" s="8">
        <f>+MINVU_Mes_Corriente!CV208*SALUD_Mes_Constante!$CP$1</f>
        <v>125713.64338747098</v>
      </c>
      <c r="CW208" s="8">
        <f>+MINVU_Mes_Corriente!CW208*SALUD_Mes_Constante!$CP$1</f>
        <v>126990.03341067283</v>
      </c>
      <c r="CX208" s="8">
        <f>+MINVU_Mes_Corriente!CX208*SALUD_Mes_Constante!$CP$1</f>
        <v>133322.55034802781</v>
      </c>
      <c r="CY208" s="8">
        <f>+MINVU_Mes_Corriente!CY208*SALUD_Mes_Constante!$CP$1</f>
        <v>574332.41484918783</v>
      </c>
      <c r="CZ208" s="8">
        <f>+MINVU_Mes_Corriente!CZ208*SALUD_Mes_Constante!$CP$1</f>
        <v>685731.98422273772</v>
      </c>
      <c r="DA208" s="8">
        <f>+MINVU_Mes_Corriente!DA208*SALUD_Mes_Constante!$CP$1</f>
        <v>1379988.0229698373</v>
      </c>
      <c r="DB208" s="9">
        <f t="shared" si="102"/>
        <v>1379988.0229698373</v>
      </c>
      <c r="DC208" s="8">
        <f>+MINVU_Mes_Corriente!DC208*SALUD_Mes_Constante!$DC$1</f>
        <v>582.21047217364492</v>
      </c>
      <c r="DD208" s="8">
        <f>+MINVU_Mes_Corriente!DD208*SALUD_Mes_Constante!$DC$1</f>
        <v>1909.605390391936</v>
      </c>
      <c r="DE208" s="8">
        <f>+MINVU_Mes_Corriente!DE208*SALUD_Mes_Constante!$DC$1</f>
        <v>15080.150396049796</v>
      </c>
      <c r="DF208" s="8">
        <f>+MINVU_Mes_Corriente!DF208*SALUD_Mes_Constante!$DC$1</f>
        <v>54289.440592531661</v>
      </c>
      <c r="DG208" s="8">
        <f>+MINVU_Mes_Corriente!DG208*SALUD_Mes_Constante!$DC$1</f>
        <v>62887.722662277571</v>
      </c>
      <c r="DH208" s="8">
        <f>+MINVU_Mes_Corriente!DH208*SALUD_Mes_Constante!$DC$1</f>
        <v>69982.148338648316</v>
      </c>
      <c r="DI208" s="8">
        <f>+MINVU_Mes_Corriente!DI208*SALUD_Mes_Constante!$DC$1</f>
        <v>78178.053286698938</v>
      </c>
      <c r="DJ208" s="8">
        <f>+MINVU_Mes_Corriente!DJ208*SALUD_Mes_Constante!$DC$1</f>
        <v>84182.239275794709</v>
      </c>
      <c r="DK208" s="8">
        <f>+MINVU_Mes_Corriente!DK208*SALUD_Mes_Constante!$DC$1</f>
        <v>99282.620923773327</v>
      </c>
      <c r="DL208" s="8">
        <f>+MINVU_Mes_Corriente!DL208*SALUD_Mes_Constante!$DC$1</f>
        <v>99282.620923773327</v>
      </c>
      <c r="DM208" s="8">
        <f>+MINVU_Mes_Corriente!DM208*SALUD_Mes_Constante!$DC$1</f>
        <v>132301.14803003814</v>
      </c>
      <c r="DN208" s="8">
        <f>+MINVU_Mes_Corriente!DN208*SALUD_Mes_Constante!$DC$1</f>
        <v>617203.79425985005</v>
      </c>
      <c r="DO208" s="9">
        <f t="shared" si="103"/>
        <v>617203.79425985005</v>
      </c>
      <c r="DP208" s="8">
        <f>+MINVU_Mes_Corriente!DP208*SALUD_Mes_Constante!$DP$1</f>
        <v>0</v>
      </c>
      <c r="DQ208" s="8">
        <f>+MINVU_Mes_Corriente!DQ208*SALUD_Mes_Constante!$DP$1</f>
        <v>5767.9418052256542</v>
      </c>
      <c r="DR208" s="8">
        <f>+MINVU_Mes_Corriente!DR208*SALUD_Mes_Constante!$DP$1</f>
        <v>22400.246437054633</v>
      </c>
      <c r="DS208" s="8">
        <f>+MINVU_Mes_Corriente!DS208*SALUD_Mes_Constante!$DP$1</f>
        <v>29406.33847980998</v>
      </c>
      <c r="DT208" s="8">
        <f>+MINVU_Mes_Corriente!DT208*SALUD_Mes_Constante!$DP$1</f>
        <v>245071.56413301665</v>
      </c>
      <c r="DU208" s="8">
        <f>+MINVU_Mes_Corriente!DU208*SALUD_Mes_Constante!$DP$1</f>
        <v>533897.95190023759</v>
      </c>
      <c r="DV208" s="8">
        <f>+MINVU_Mes_Corriente!DV208*SALUD_Mes_Constante!$DP$1</f>
        <v>1074794.4263657958</v>
      </c>
      <c r="DW208" s="8">
        <f>+MINVU_Mes_Corriente!DW208*SALUD_Mes_Constante!$DP$1</f>
        <v>1165290.7731591449</v>
      </c>
      <c r="DX208" s="8">
        <f>+MINVU_Mes_Corriente!DX208*SALUD_Mes_Constante!$DP$1</f>
        <v>1181933.8913301665</v>
      </c>
      <c r="DY208" s="8">
        <f>+MINVU_Mes_Corriente!DY208*SALUD_Mes_Constante!$DP$1</f>
        <v>1334136.6181710216</v>
      </c>
      <c r="DZ208" s="8">
        <f>+MINVU_Mes_Corriente!DZ208*SALUD_Mes_Constante!$DP$1</f>
        <v>1374621.4275534444</v>
      </c>
      <c r="EA208" s="8">
        <f>+MINVU_Mes_Corriente!EA208*SALUD_Mes_Constante!$DP$1</f>
        <v>1787837.0380047509</v>
      </c>
      <c r="EB208" s="9">
        <f t="shared" si="104"/>
        <v>1787837.0380047509</v>
      </c>
      <c r="EC208" s="8">
        <f>+MINVU_Mes_Corriente!EC208*SALUD_Mes_Constante!$EC$1</f>
        <v>408.6129520924066</v>
      </c>
      <c r="ED208" s="8">
        <f>+MINVU_Mes_Corriente!ED208*SALUD_Mes_Constante!$EC$1</f>
        <v>2721.6725998863844</v>
      </c>
      <c r="EE208" s="8">
        <f>+MINVU_Mes_Corriente!EE208*SALUD_Mes_Constante!$EC$1</f>
        <v>8047.0889982957751</v>
      </c>
      <c r="EF208" s="8">
        <f>+MINVU_Mes_Corriente!EF208*SALUD_Mes_Constante!$EC$1</f>
        <v>10736.69323991668</v>
      </c>
      <c r="EG208" s="8">
        <f>+MINVU_Mes_Corriente!EG208*SALUD_Mes_Constante!$EC$1</f>
        <v>11650.124218897932</v>
      </c>
      <c r="EH208" s="8">
        <f>+MINVU_Mes_Corriente!EH208*SALUD_Mes_Constante!$EC$1</f>
        <v>14136.973679227414</v>
      </c>
      <c r="EI208" s="8">
        <f>+MINVU_Mes_Corriente!EI208*SALUD_Mes_Constante!$EC$1</f>
        <v>20458.578110206392</v>
      </c>
      <c r="EJ208" s="8">
        <f>+MINVU_Mes_Corriente!EJ208*SALUD_Mes_Constante!$EC$1</f>
        <v>113483.71312251464</v>
      </c>
      <c r="EK208" s="8">
        <f>+MINVU_Mes_Corriente!EK208*SALUD_Mes_Constante!$EC$1</f>
        <v>278468.17515622033</v>
      </c>
      <c r="EL208" s="8">
        <f>+MINVU_Mes_Corriente!EL208*SALUD_Mes_Constante!$EC$1</f>
        <v>295217.1683393296</v>
      </c>
      <c r="EM208" s="8">
        <f>+MINVU_Mes_Corriente!EM208*SALUD_Mes_Constante!$EC$1</f>
        <v>319896.35618254106</v>
      </c>
      <c r="EN208" s="8">
        <f>+MINVU_Mes_Corriente!EN208*SALUD_Mes_Constante!$EC$1</f>
        <v>516294.36129520909</v>
      </c>
      <c r="EO208" s="9">
        <f t="shared" si="105"/>
        <v>516294.36129520909</v>
      </c>
      <c r="EP208" s="8">
        <f>+MINVU_Mes_Corriente!EP208*SALUD_Mes_Constante!$EP$1</f>
        <v>2139</v>
      </c>
      <c r="EQ208" s="8">
        <f>+MINVU_Mes_Corriente!EQ208*SALUD_Mes_Constante!$EP$1</f>
        <v>8089</v>
      </c>
      <c r="ER208" s="8">
        <f>+MINVU_Mes_Corriente!ER208*SALUD_Mes_Constante!$EP$1</f>
        <v>131641</v>
      </c>
      <c r="ES208" s="8">
        <f>+MINVU_Mes_Corriente!ES208*SALUD_Mes_Constante!$EP$1</f>
        <v>139237</v>
      </c>
      <c r="ET208" s="8">
        <f>+MINVU_Mes_Corriente!ET208*SALUD_Mes_Constante!$EP$1</f>
        <v>148364</v>
      </c>
      <c r="EU208" s="8">
        <f>+MINVU_Mes_Corriente!EU208*SALUD_Mes_Constante!$EP$1</f>
        <v>157018</v>
      </c>
      <c r="EV208" s="8">
        <f>+MINVU_Mes_Corriente!EV208*SALUD_Mes_Constante!$EP$1</f>
        <v>168356</v>
      </c>
      <c r="EW208" s="8">
        <f>+MINVU_Mes_Corriente!EW208*SALUD_Mes_Constante!$EP$1</f>
        <v>185860</v>
      </c>
      <c r="EX208" s="8">
        <f>+MINVU_Mes_Corriente!EX208*SALUD_Mes_Constante!$EP$1</f>
        <v>188969</v>
      </c>
      <c r="EY208" s="8">
        <f>+MINVU_Mes_Corriente!EY208*SALUD_Mes_Constante!$EP$1</f>
        <v>380036</v>
      </c>
      <c r="EZ208" s="8">
        <f>+MINVU_Mes_Corriente!EZ208*SALUD_Mes_Constante!$EP$1</f>
        <v>388666</v>
      </c>
      <c r="FA208" s="8">
        <f>+MINVU_Mes_Corriente!FA208*SALUD_Mes_Constante!$EP$1</f>
        <v>493715</v>
      </c>
      <c r="FB208" s="9">
        <f t="shared" si="106"/>
        <v>493715</v>
      </c>
      <c r="FC208" s="8">
        <f>+MINVU_Mes_Corriente!FC208*SALUD_Mes_Constante!$FC$1</f>
        <v>420</v>
      </c>
      <c r="FD208" s="8">
        <f>+MINVU_Mes_Corriente!FD208*SALUD_Mes_Constante!$FC$1</f>
        <v>420</v>
      </c>
      <c r="FE208" s="8">
        <f>+MINVU_Mes_Corriente!FE208*SALUD_Mes_Constante!$FC$1</f>
        <v>8200</v>
      </c>
      <c r="FF208" s="8">
        <f>+MINVU_Mes_Corriente!FF208*SALUD_Mes_Constante!$FC$1</f>
        <v>9597</v>
      </c>
      <c r="FG208" s="8">
        <f>+MINVU_Mes_Corriente!FG208*SALUD_Mes_Constante!$FC$1</f>
        <v>11124</v>
      </c>
      <c r="FH208" s="8">
        <f>+MINVU_Mes_Corriente!FH208*SALUD_Mes_Constante!$FC$1</f>
        <v>19010</v>
      </c>
      <c r="FI208" s="8">
        <f>+MINVU_Mes_Corriente!FI208*SALUD_Mes_Constante!$FC$1</f>
        <v>48706</v>
      </c>
      <c r="FJ208" s="8"/>
      <c r="FK208" s="8"/>
      <c r="FL208" s="8"/>
      <c r="FM208" s="8"/>
      <c r="FN208" s="8"/>
      <c r="FO208" s="9">
        <f t="shared" si="107"/>
        <v>48706</v>
      </c>
    </row>
    <row r="209" spans="2:171" ht="14.25" customHeight="1" x14ac:dyDescent="0.3">
      <c r="B209" s="7" t="s">
        <v>61</v>
      </c>
      <c r="C209" s="8">
        <f>+MINVU_Mes_Corriente!C209*SALUD_Mes_Constante!$C$1</f>
        <v>6693.6535666617247</v>
      </c>
      <c r="D209" s="8">
        <f>+MINVU_Mes_Corriente!D209*SALUD_Mes_Constante!$C$1</f>
        <v>48712.492659053838</v>
      </c>
      <c r="E209" s="8">
        <f>+MINVU_Mes_Corriente!E209*SALUD_Mes_Constante!$C$1</f>
        <v>80761.336497108132</v>
      </c>
      <c r="F209" s="8">
        <f>+MINVU_Mes_Corriente!F209*SALUD_Mes_Constante!$C$1</f>
        <v>113890.95180186862</v>
      </c>
      <c r="G209" s="8">
        <f>+MINVU_Mes_Corriente!G209*SALUD_Mes_Constante!$C$1</f>
        <v>162746.03499925853</v>
      </c>
      <c r="H209" s="8">
        <f>+MINVU_Mes_Corriente!H209*SALUD_Mes_Constante!$C$1</f>
        <v>170411.89678184787</v>
      </c>
      <c r="I209" s="8">
        <f>+MINVU_Mes_Corriente!I209*SALUD_Mes_Constante!$C$1</f>
        <v>191016.22957140743</v>
      </c>
      <c r="J209" s="8">
        <f>+MINVU_Mes_Corriente!J209*SALUD_Mes_Constante!$C$1</f>
        <v>513176.86608334578</v>
      </c>
      <c r="K209" s="8">
        <f>+MINVU_Mes_Corriente!K209*SALUD_Mes_Constante!$C$1</f>
        <v>743645.30505709641</v>
      </c>
      <c r="L209" s="8">
        <f>+MINVU_Mes_Corriente!L209*SALUD_Mes_Constante!$C$1</f>
        <v>743645.30505709641</v>
      </c>
      <c r="M209" s="8">
        <f>+MINVU_Mes_Corriente!M209*SALUD_Mes_Constante!$C$1</f>
        <v>768038.00919472054</v>
      </c>
      <c r="N209" s="8">
        <f>+MINVU_Mes_Corriente!N209*SALUD_Mes_Constante!$C$1</f>
        <v>2840701.667507045</v>
      </c>
      <c r="O209" s="9">
        <f t="shared" si="95"/>
        <v>2840701.667507045</v>
      </c>
      <c r="P209" s="8">
        <f>+MINVU_Mes_Corriente!P209*SALUD_Mes_Constante!$P$1</f>
        <v>600.70492967751079</v>
      </c>
      <c r="Q209" s="8">
        <f>+MINVU_Mes_Corriente!Q209*SALUD_Mes_Constante!$P$1</f>
        <v>36653.866174172457</v>
      </c>
      <c r="R209" s="8">
        <f>+MINVU_Mes_Corriente!R209*SALUD_Mes_Constante!$P$1</f>
        <v>50156.533314391228</v>
      </c>
      <c r="S209" s="8">
        <f>+MINVU_Mes_Corriente!S209*SALUD_Mes_Constante!$P$1</f>
        <v>70378.713737746817</v>
      </c>
      <c r="T209" s="8">
        <f>+MINVU_Mes_Corriente!T209*SALUD_Mes_Constante!$P$1</f>
        <v>71362.814320215912</v>
      </c>
      <c r="U209" s="8">
        <f>+MINVU_Mes_Corriente!U209*SALUD_Mes_Constante!$P$1</f>
        <v>1066642.4068759764</v>
      </c>
      <c r="V209" s="8">
        <f>+MINVU_Mes_Corriente!V209*SALUD_Mes_Constante!$P$1</f>
        <v>1067828.2946441253</v>
      </c>
      <c r="W209" s="8">
        <f>+MINVU_Mes_Corriente!W209*SALUD_Mes_Constante!$P$1</f>
        <v>1188036.0255718138</v>
      </c>
      <c r="X209" s="8">
        <f>+MINVU_Mes_Corriente!X209*SALUD_Mes_Constante!$P$1</f>
        <v>1617024.7168631903</v>
      </c>
      <c r="Y209" s="8">
        <f>+MINVU_Mes_Corriente!Y209*SALUD_Mes_Constante!$P$1</f>
        <v>2286776.5648529613</v>
      </c>
      <c r="Z209" s="8">
        <f>+MINVU_Mes_Corriente!Z209*SALUD_Mes_Constante!$P$1</f>
        <v>2575825.8428754075</v>
      </c>
      <c r="AA209" s="8">
        <f>+MINVU_Mes_Corriente!AA209*SALUD_Mes_Constante!$P$1</f>
        <v>5863820.7523795972</v>
      </c>
      <c r="AB209" s="9">
        <f t="shared" si="96"/>
        <v>5863820.7523795972</v>
      </c>
      <c r="AC209" s="8">
        <f>+MINVU_Mes_Corriente!AC209*SALUD_Mes_Constante!$AC$1</f>
        <v>1618.7226449024761</v>
      </c>
      <c r="AD209" s="8">
        <f>+MINVU_Mes_Corriente!AD209*SALUD_Mes_Constante!$AC$1</f>
        <v>2150.7397980356895</v>
      </c>
      <c r="AE209" s="8">
        <f>+MINVU_Mes_Corriente!AE209*SALUD_Mes_Constante!$AC$1</f>
        <v>2150.7397980356895</v>
      </c>
      <c r="AF209" s="8">
        <f>+MINVU_Mes_Corriente!AF209*SALUD_Mes_Constante!$AC$1</f>
        <v>19196.448471434498</v>
      </c>
      <c r="AG209" s="8">
        <f>+MINVU_Mes_Corriente!AG209*SALUD_Mes_Constante!$AC$1</f>
        <v>23470.722644902475</v>
      </c>
      <c r="AH209" s="8">
        <f>+MINVU_Mes_Corriente!AH209*SALUD_Mes_Constante!$AC$1</f>
        <v>23470.722644902475</v>
      </c>
      <c r="AI209" s="8">
        <f>+MINVU_Mes_Corriente!AI209*SALUD_Mes_Constante!$AC$1</f>
        <v>43850.606999585005</v>
      </c>
      <c r="AJ209" s="8">
        <f>+MINVU_Mes_Corriente!AJ209*SALUD_Mes_Constante!$AC$1</f>
        <v>68862.970258680318</v>
      </c>
      <c r="AK209" s="8">
        <f>+MINVU_Mes_Corriente!AK209*SALUD_Mes_Constante!$AC$1</f>
        <v>157035.74491630931</v>
      </c>
      <c r="AL209" s="8">
        <f>+MINVU_Mes_Corriente!AL209*SALUD_Mes_Constante!$AC$1</f>
        <v>351147.94660395628</v>
      </c>
      <c r="AM209" s="8">
        <f>+MINVU_Mes_Corriente!AM209*SALUD_Mes_Constante!$AC$1</f>
        <v>369510.09544888645</v>
      </c>
      <c r="AN209" s="8">
        <f>+MINVU_Mes_Corriente!AN209*SALUD_Mes_Constante!$AC$1</f>
        <v>2946155.3185779499</v>
      </c>
      <c r="AO209" s="9">
        <f t="shared" si="97"/>
        <v>2946155.3185779499</v>
      </c>
      <c r="AP209" s="8">
        <f>+MINVU_Mes_Corriente!AP209*SALUD_Mes_Constante!$AP$1</f>
        <v>6476.0898146895706</v>
      </c>
      <c r="AQ209" s="8">
        <f>+MINVU_Mes_Corriente!AQ209*SALUD_Mes_Constante!$AP$1</f>
        <v>6476.0898146895706</v>
      </c>
      <c r="AR209" s="8">
        <f>+MINVU_Mes_Corriente!AR209*SALUD_Mes_Constante!$AP$1</f>
        <v>6476.0898146895706</v>
      </c>
      <c r="AS209" s="8">
        <f>+MINVU_Mes_Corriente!AS209*SALUD_Mes_Constante!$AP$1</f>
        <v>6476.0898146895706</v>
      </c>
      <c r="AT209" s="8">
        <f>+MINVU_Mes_Corriente!AT209*SALUD_Mes_Constante!$AP$1</f>
        <v>6476.0898146895706</v>
      </c>
      <c r="AU209" s="8">
        <f>+MINVU_Mes_Corriente!AU209*SALUD_Mes_Constante!$AP$1</f>
        <v>6476.0898146895706</v>
      </c>
      <c r="AV209" s="8">
        <f>+MINVU_Mes_Corriente!AV209*SALUD_Mes_Constante!$AP$1</f>
        <v>6476.0898146895706</v>
      </c>
      <c r="AW209" s="8">
        <f>+MINVU_Mes_Corriente!AW209*SALUD_Mes_Constante!$AP$1</f>
        <v>10529.926957933179</v>
      </c>
      <c r="AX209" s="8">
        <f>+MINVU_Mes_Corriente!AX209*SALUD_Mes_Constante!$AP$1</f>
        <v>34239.627755985392</v>
      </c>
      <c r="AY209" s="8">
        <f>+MINVU_Mes_Corriente!AY209*SALUD_Mes_Constante!$AP$1</f>
        <v>41448.748275395643</v>
      </c>
      <c r="AZ209" s="8">
        <f>+MINVU_Mes_Corriente!AZ209*SALUD_Mes_Constante!$AP$1</f>
        <v>49750.0254294603</v>
      </c>
      <c r="BA209" s="8">
        <f>+MINVU_Mes_Corriente!BA209*SALUD_Mes_Constante!$AP$1</f>
        <v>175392.37494927633</v>
      </c>
      <c r="BB209" s="9">
        <f t="shared" si="98"/>
        <v>175392.37494927633</v>
      </c>
      <c r="BC209" s="8">
        <f>+MINVU_Mes_Corriente!BC209*SALUD_Mes_Constante!$BC$1</f>
        <v>0</v>
      </c>
      <c r="BD209" s="8">
        <f>+MINVU_Mes_Corriente!BD209*SALUD_Mes_Constante!$BC$1</f>
        <v>0</v>
      </c>
      <c r="BE209" s="8">
        <f>+MINVU_Mes_Corriente!BE209*SALUD_Mes_Constante!$BC$1</f>
        <v>0</v>
      </c>
      <c r="BF209" s="8">
        <f>+MINVU_Mes_Corriente!BF209*SALUD_Mes_Constante!$BC$1</f>
        <v>0</v>
      </c>
      <c r="BG209" s="8">
        <f>+MINVU_Mes_Corriente!BG209*SALUD_Mes_Constante!$BC$1</f>
        <v>0</v>
      </c>
      <c r="BH209" s="8">
        <f>+MINVU_Mes_Corriente!BH209*SALUD_Mes_Constante!$BC$1</f>
        <v>133.99947250428593</v>
      </c>
      <c r="BI209" s="8">
        <f>+MINVU_Mes_Corriente!BI209*SALUD_Mes_Constante!$BC$1</f>
        <v>133.99947250428593</v>
      </c>
      <c r="BJ209" s="8">
        <f>+MINVU_Mes_Corriente!BJ209*SALUD_Mes_Constante!$BC$1</f>
        <v>133.99947250428593</v>
      </c>
      <c r="BK209" s="8">
        <f>+MINVU_Mes_Corriente!BK209*SALUD_Mes_Constante!$BC$1</f>
        <v>47124.588685216942</v>
      </c>
      <c r="BL209" s="8">
        <f>+MINVU_Mes_Corriente!BL209*SALUD_Mes_Constante!$BC$1</f>
        <v>411905.73335091665</v>
      </c>
      <c r="BM209" s="8">
        <f>+MINVU_Mes_Corriente!BM209*SALUD_Mes_Constante!$BC$1</f>
        <v>1031232.5641566665</v>
      </c>
      <c r="BN209" s="8">
        <f>+MINVU_Mes_Corriente!BN209*SALUD_Mes_Constante!$BC$1</f>
        <v>4659457.0341553483</v>
      </c>
      <c r="BO209" s="9">
        <f t="shared" si="99"/>
        <v>4659457.0341553483</v>
      </c>
      <c r="BP209" s="8">
        <f>+MINVU_Mes_Corriente!BP209*SALUD_Mes_Constante!$BP$1</f>
        <v>0</v>
      </c>
      <c r="BQ209" s="8">
        <f>+MINVU_Mes_Corriente!BQ209*SALUD_Mes_Constante!$BP$1</f>
        <v>0</v>
      </c>
      <c r="BR209" s="8">
        <f>+MINVU_Mes_Corriente!BR209*SALUD_Mes_Constante!$BP$1</f>
        <v>0</v>
      </c>
      <c r="BS209" s="8">
        <f>+MINVU_Mes_Corriente!BS209*SALUD_Mes_Constante!$BP$1</f>
        <v>0</v>
      </c>
      <c r="BT209" s="8">
        <f>+MINVU_Mes_Corriente!BT209*SALUD_Mes_Constante!$BP$1</f>
        <v>0</v>
      </c>
      <c r="BU209" s="8">
        <f>+MINVU_Mes_Corriente!BU209*SALUD_Mes_Constante!$BP$1</f>
        <v>0</v>
      </c>
      <c r="BV209" s="8">
        <f>+MINVU_Mes_Corriente!BV209*SALUD_Mes_Constante!$BP$1</f>
        <v>106039.55800256084</v>
      </c>
      <c r="BW209" s="8">
        <f>+MINVU_Mes_Corriente!BW209*SALUD_Mes_Constante!$BP$1</f>
        <v>158555.7057618438</v>
      </c>
      <c r="BX209" s="8">
        <f>+MINVU_Mes_Corriente!BX209*SALUD_Mes_Constante!$BP$1</f>
        <v>282205.56952624844</v>
      </c>
      <c r="BY209" s="8">
        <f>+MINVU_Mes_Corriente!BY209*SALUD_Mes_Constante!$BP$1</f>
        <v>492843.74058898853</v>
      </c>
      <c r="BZ209" s="8">
        <f>+MINVU_Mes_Corriente!BZ209*SALUD_Mes_Constante!$BP$1</f>
        <v>1249542.6868117799</v>
      </c>
      <c r="CA209" s="8">
        <f>+MINVU_Mes_Corriente!CA209*SALUD_Mes_Constante!$BP$1</f>
        <v>2884610.8924455829</v>
      </c>
      <c r="CB209" s="9">
        <f t="shared" si="100"/>
        <v>2884610.8924455829</v>
      </c>
      <c r="CC209" s="8">
        <f>+MINVU_Mes_Corriente!CC209*SALUD_Mes_Constante!$CC$1</f>
        <v>0</v>
      </c>
      <c r="CD209" s="8">
        <f>+MINVU_Mes_Corriente!CD209*SALUD_Mes_Constante!$CC$1</f>
        <v>0</v>
      </c>
      <c r="CE209" s="8">
        <f>+MINVU_Mes_Corriente!CE209*SALUD_Mes_Constante!$CC$1</f>
        <v>618.09399477806789</v>
      </c>
      <c r="CF209" s="8">
        <f>+MINVU_Mes_Corriente!CF209*SALUD_Mes_Constante!$CC$1</f>
        <v>618.09399477806789</v>
      </c>
      <c r="CG209" s="8">
        <f>+MINVU_Mes_Corriente!CG209*SALUD_Mes_Constante!$CC$1</f>
        <v>618.09399477806789</v>
      </c>
      <c r="CH209" s="8">
        <f>+MINVU_Mes_Corriente!CH209*SALUD_Mes_Constante!$CC$1</f>
        <v>618.09399477806789</v>
      </c>
      <c r="CI209" s="8">
        <f>+MINVU_Mes_Corriente!CI209*SALUD_Mes_Constante!$CC$1</f>
        <v>3026.6229019022758</v>
      </c>
      <c r="CJ209" s="8">
        <f>+MINVU_Mes_Corriente!CJ209*SALUD_Mes_Constante!$CC$1</f>
        <v>164850.42297650132</v>
      </c>
      <c r="CK209" s="8">
        <f>+MINVU_Mes_Corriente!CK209*SALUD_Mes_Constante!$CC$1</f>
        <v>201601.8843715032</v>
      </c>
      <c r="CL209" s="8">
        <f>+MINVU_Mes_Corriente!CL209*SALUD_Mes_Constante!$CC$1</f>
        <v>216021.81350242448</v>
      </c>
      <c r="CM209" s="8">
        <f>+MINVU_Mes_Corriente!CM209*SALUD_Mes_Constante!$CC$1</f>
        <v>417862.78478179785</v>
      </c>
      <c r="CN209" s="8">
        <f>+MINVU_Mes_Corriente!CN209*SALUD_Mes_Constante!$CC$1</f>
        <v>870057.63446475205</v>
      </c>
      <c r="CO209" s="9">
        <f t="shared" si="101"/>
        <v>870057.63446475205</v>
      </c>
      <c r="CP209" s="8">
        <f>+MINVU_Mes_Corriente!CP209*SALUD_Mes_Constante!$CP$1</f>
        <v>0</v>
      </c>
      <c r="CQ209" s="8">
        <f>+MINVU_Mes_Corriente!CQ209*SALUD_Mes_Constante!$CP$1</f>
        <v>0</v>
      </c>
      <c r="CR209" s="8">
        <f>+MINVU_Mes_Corriente!CR209*SALUD_Mes_Constante!$CP$1</f>
        <v>0</v>
      </c>
      <c r="CS209" s="8">
        <f>+MINVU_Mes_Corriente!CS209*SALUD_Mes_Constante!$CP$1</f>
        <v>15028.953828306261</v>
      </c>
      <c r="CT209" s="8">
        <f>+MINVU_Mes_Corriente!CT209*SALUD_Mes_Constante!$CP$1</f>
        <v>25143.742691415307</v>
      </c>
      <c r="CU209" s="8">
        <f>+MINVU_Mes_Corriente!CU209*SALUD_Mes_Constante!$CP$1</f>
        <v>40990.24524361948</v>
      </c>
      <c r="CV209" s="8">
        <f>+MINVU_Mes_Corriente!CV209*SALUD_Mes_Constante!$CP$1</f>
        <v>46209.881902552195</v>
      </c>
      <c r="CW209" s="8">
        <f>+MINVU_Mes_Corriente!CW209*SALUD_Mes_Constante!$CP$1</f>
        <v>343213.29187935026</v>
      </c>
      <c r="CX209" s="8">
        <f>+MINVU_Mes_Corriente!CX209*SALUD_Mes_Constante!$CP$1</f>
        <v>343938.31183294655</v>
      </c>
      <c r="CY209" s="8">
        <f>+MINVU_Mes_Corriente!CY209*SALUD_Mes_Constante!$CP$1</f>
        <v>756077.93248259847</v>
      </c>
      <c r="CZ209" s="8">
        <f>+MINVU_Mes_Corriente!CZ209*SALUD_Mes_Constante!$CP$1</f>
        <v>860265.32784222718</v>
      </c>
      <c r="DA209" s="8">
        <f>+MINVU_Mes_Corriente!DA209*SALUD_Mes_Constante!$CP$1</f>
        <v>1083561.3334106726</v>
      </c>
      <c r="DB209" s="9">
        <f t="shared" si="102"/>
        <v>1083561.3334106726</v>
      </c>
      <c r="DC209" s="8">
        <f>+MINVU_Mes_Corriente!DC209*SALUD_Mes_Constante!$DC$1</f>
        <v>7347.3163254809215</v>
      </c>
      <c r="DD209" s="8">
        <f>+MINVU_Mes_Corriente!DD209*SALUD_Mes_Constante!$DC$1</f>
        <v>12451.211603744478</v>
      </c>
      <c r="DE209" s="8">
        <f>+MINVU_Mes_Corriente!DE209*SALUD_Mes_Constante!$DC$1</f>
        <v>18768.981997736868</v>
      </c>
      <c r="DF209" s="8">
        <f>+MINVU_Mes_Corriente!DF209*SALUD_Mes_Constante!$DC$1</f>
        <v>42230.490484518072</v>
      </c>
      <c r="DG209" s="8">
        <f>+MINVU_Mes_Corriente!DG209*SALUD_Mes_Constante!$DC$1</f>
        <v>57601.746116654693</v>
      </c>
      <c r="DH209" s="8">
        <f>+MINVU_Mes_Corriente!DH209*SALUD_Mes_Constante!$DC$1</f>
        <v>59933.959880670744</v>
      </c>
      <c r="DI209" s="8">
        <f>+MINVU_Mes_Corriente!DI209*SALUD_Mes_Constante!$DC$1</f>
        <v>62686.534101429927</v>
      </c>
      <c r="DJ209" s="8">
        <f>+MINVU_Mes_Corriente!DJ209*SALUD_Mes_Constante!$DC$1</f>
        <v>77808.270959777845</v>
      </c>
      <c r="DK209" s="8">
        <f>+MINVU_Mes_Corriente!DK209*SALUD_Mes_Constante!$DC$1</f>
        <v>89796.411686040577</v>
      </c>
      <c r="DL209" s="8">
        <f>+MINVU_Mes_Corriente!DL209*SALUD_Mes_Constante!$DC$1</f>
        <v>454037.62349552539</v>
      </c>
      <c r="DM209" s="8">
        <f>+MINVU_Mes_Corriente!DM209*SALUD_Mes_Constante!$DC$1</f>
        <v>612769.77821211843</v>
      </c>
      <c r="DN209" s="8">
        <f>+MINVU_Mes_Corriente!DN209*SALUD_Mes_Constante!$DC$1</f>
        <v>1174210.6223639548</v>
      </c>
      <c r="DO209" s="9">
        <f t="shared" si="103"/>
        <v>1174210.6223639548</v>
      </c>
      <c r="DP209" s="8">
        <f>+MINVU_Mes_Corriente!DP209*SALUD_Mes_Constante!$DP$1</f>
        <v>0</v>
      </c>
      <c r="DQ209" s="8">
        <f>+MINVU_Mes_Corriente!DQ209*SALUD_Mes_Constante!$DP$1</f>
        <v>7228.8509501187655</v>
      </c>
      <c r="DR209" s="8">
        <f>+MINVU_Mes_Corriente!DR209*SALUD_Mes_Constante!$DP$1</f>
        <v>13021.663895486938</v>
      </c>
      <c r="DS209" s="8">
        <f>+MINVU_Mes_Corriente!DS209*SALUD_Mes_Constante!$DP$1</f>
        <v>17327.61520190024</v>
      </c>
      <c r="DT209" s="8">
        <f>+MINVU_Mes_Corriente!DT209*SALUD_Mes_Constante!$DP$1</f>
        <v>22453.23277909739</v>
      </c>
      <c r="DU209" s="8">
        <f>+MINVU_Mes_Corriente!DU209*SALUD_Mes_Constante!$DP$1</f>
        <v>62396.283847981002</v>
      </c>
      <c r="DV209" s="8">
        <f>+MINVU_Mes_Corriente!DV209*SALUD_Mes_Constante!$DP$1</f>
        <v>143169.09619952497</v>
      </c>
      <c r="DW209" s="8">
        <f>+MINVU_Mes_Corriente!DW209*SALUD_Mes_Constante!$DP$1</f>
        <v>191747.83966745844</v>
      </c>
      <c r="DX209" s="8">
        <f>+MINVU_Mes_Corriente!DX209*SALUD_Mes_Constante!$DP$1</f>
        <v>231161.02731591451</v>
      </c>
      <c r="DY209" s="8">
        <f>+MINVU_Mes_Corriente!DY209*SALUD_Mes_Constante!$DP$1</f>
        <v>440483.03087885992</v>
      </c>
      <c r="DZ209" s="8">
        <f>+MINVU_Mes_Corriente!DZ209*SALUD_Mes_Constante!$DP$1</f>
        <v>538501.27553444181</v>
      </c>
      <c r="EA209" s="8">
        <f>+MINVU_Mes_Corriente!EA209*SALUD_Mes_Constante!$DP$1</f>
        <v>1308898.8990498814</v>
      </c>
      <c r="EB209" s="9">
        <f t="shared" si="104"/>
        <v>1308898.8990498814</v>
      </c>
      <c r="EC209" s="8">
        <f>+MINVU_Mes_Corriente!EC209*SALUD_Mes_Constante!$EC$1</f>
        <v>5905.7502366975932</v>
      </c>
      <c r="ED209" s="8">
        <f>+MINVU_Mes_Corriente!ED209*SALUD_Mes_Constante!$EC$1</f>
        <v>22367.162658587382</v>
      </c>
      <c r="EE209" s="8">
        <f>+MINVU_Mes_Corriente!EE209*SALUD_Mes_Constante!$EC$1</f>
        <v>31549.057754213209</v>
      </c>
      <c r="EF209" s="8">
        <f>+MINVU_Mes_Corriente!EF209*SALUD_Mes_Constante!$EC$1</f>
        <v>39355.116833932952</v>
      </c>
      <c r="EG209" s="8">
        <f>+MINVU_Mes_Corriente!EG209*SALUD_Mes_Constante!$EC$1</f>
        <v>41125.083317553479</v>
      </c>
      <c r="EH209" s="8">
        <f>+MINVU_Mes_Corriente!EH209*SALUD_Mes_Constante!$EC$1</f>
        <v>46459.809884491558</v>
      </c>
      <c r="EI209" s="8">
        <f>+MINVU_Mes_Corriente!EI209*SALUD_Mes_Constante!$EC$1</f>
        <v>114486.10793410335</v>
      </c>
      <c r="EJ209" s="8">
        <f>+MINVU_Mes_Corriente!EJ209*SALUD_Mes_Constante!$EC$1</f>
        <v>118803.95720507475</v>
      </c>
      <c r="EK209" s="8">
        <f>+MINVU_Mes_Corriente!EK209*SALUD_Mes_Constante!$EC$1</f>
        <v>122268.37436091645</v>
      </c>
      <c r="EL209" s="8">
        <f>+MINVU_Mes_Corriente!EL209*SALUD_Mes_Constante!$EC$1</f>
        <v>181189.32758947162</v>
      </c>
      <c r="EM209" s="8">
        <f>+MINVU_Mes_Corriente!EM209*SALUD_Mes_Constante!$EC$1</f>
        <v>190245.01817837523</v>
      </c>
      <c r="EN209" s="8">
        <f>+MINVU_Mes_Corriente!EN209*SALUD_Mes_Constante!$EC$1</f>
        <v>351004.73262639641</v>
      </c>
      <c r="EO209" s="9">
        <f t="shared" si="105"/>
        <v>351004.73262639641</v>
      </c>
      <c r="EP209" s="8">
        <f>+MINVU_Mes_Corriente!EP209*SALUD_Mes_Constante!$EP$1</f>
        <v>224</v>
      </c>
      <c r="EQ209" s="8">
        <f>+MINVU_Mes_Corriente!EQ209*SALUD_Mes_Constante!$EP$1</f>
        <v>664</v>
      </c>
      <c r="ER209" s="8">
        <f>+MINVU_Mes_Corriente!ER209*SALUD_Mes_Constante!$EP$1</f>
        <v>4821</v>
      </c>
      <c r="ES209" s="8">
        <f>+MINVU_Mes_Corriente!ES209*SALUD_Mes_Constante!$EP$1</f>
        <v>11997</v>
      </c>
      <c r="ET209" s="8">
        <f>+MINVU_Mes_Corriente!ET209*SALUD_Mes_Constante!$EP$1</f>
        <v>342570</v>
      </c>
      <c r="EU209" s="8">
        <f>+MINVU_Mes_Corriente!EU209*SALUD_Mes_Constante!$EP$1</f>
        <v>356425</v>
      </c>
      <c r="EV209" s="8">
        <f>+MINVU_Mes_Corriente!EV209*SALUD_Mes_Constante!$EP$1</f>
        <v>373941</v>
      </c>
      <c r="EW209" s="8">
        <f>+MINVU_Mes_Corriente!EW209*SALUD_Mes_Constante!$EP$1</f>
        <v>571281</v>
      </c>
      <c r="EX209" s="8">
        <f>+MINVU_Mes_Corriente!EX209*SALUD_Mes_Constante!$EP$1</f>
        <v>584909</v>
      </c>
      <c r="EY209" s="8">
        <f>+MINVU_Mes_Corriente!EY209*SALUD_Mes_Constante!$EP$1</f>
        <v>671431</v>
      </c>
      <c r="EZ209" s="8">
        <f>+MINVU_Mes_Corriente!EZ209*SALUD_Mes_Constante!$EP$1</f>
        <v>776611</v>
      </c>
      <c r="FA209" s="8">
        <f>+MINVU_Mes_Corriente!FA209*SALUD_Mes_Constante!$EP$1</f>
        <v>968127</v>
      </c>
      <c r="FB209" s="9">
        <f t="shared" si="106"/>
        <v>968127</v>
      </c>
      <c r="FC209" s="8">
        <f>+MINVU_Mes_Corriente!FC209*SALUD_Mes_Constante!$FC$1</f>
        <v>11670</v>
      </c>
      <c r="FD209" s="8">
        <f>+MINVU_Mes_Corriente!FD209*SALUD_Mes_Constante!$FC$1</f>
        <v>29387</v>
      </c>
      <c r="FE209" s="8">
        <f>+MINVU_Mes_Corriente!FE209*SALUD_Mes_Constante!$FC$1</f>
        <v>42206</v>
      </c>
      <c r="FF209" s="8">
        <f>+MINVU_Mes_Corriente!FF209*SALUD_Mes_Constante!$FC$1</f>
        <v>50395</v>
      </c>
      <c r="FG209" s="8">
        <f>+MINVU_Mes_Corriente!FG209*SALUD_Mes_Constante!$FC$1</f>
        <v>53285</v>
      </c>
      <c r="FH209" s="8">
        <f>+MINVU_Mes_Corriente!FH209*SALUD_Mes_Constante!$FC$1</f>
        <v>58818</v>
      </c>
      <c r="FI209" s="8">
        <f>+MINVU_Mes_Corriente!FI209*SALUD_Mes_Constante!$FC$1</f>
        <v>60126</v>
      </c>
      <c r="FJ209" s="8"/>
      <c r="FK209" s="8"/>
      <c r="FL209" s="8"/>
      <c r="FM209" s="8"/>
      <c r="FN209" s="8"/>
      <c r="FO209" s="9">
        <f t="shared" si="107"/>
        <v>60126</v>
      </c>
    </row>
    <row r="210" spans="2:171" ht="14.25" customHeight="1" x14ac:dyDescent="0.3">
      <c r="B210" s="7" t="s">
        <v>62</v>
      </c>
      <c r="C210" s="8">
        <f>+MINVU_Mes_Corriente!C210*SALUD_Mes_Constante!$C$1</f>
        <v>54521.436749221422</v>
      </c>
      <c r="D210" s="8">
        <f>+MINVU_Mes_Corriente!D210*SALUD_Mes_Constante!$C$1</f>
        <v>103912.85481239806</v>
      </c>
      <c r="E210" s="8">
        <f>+MINVU_Mes_Corriente!E210*SALUD_Mes_Constante!$C$1</f>
        <v>115984.44016016612</v>
      </c>
      <c r="F210" s="8">
        <f>+MINVU_Mes_Corriente!F210*SALUD_Mes_Constante!$C$1</f>
        <v>219537.57793267095</v>
      </c>
      <c r="G210" s="8">
        <f>+MINVU_Mes_Corriente!G210*SALUD_Mes_Constante!$C$1</f>
        <v>261371.69746403681</v>
      </c>
      <c r="H210" s="8">
        <f>+MINVU_Mes_Corriente!H210*SALUD_Mes_Constante!$C$1</f>
        <v>278714.27168915916</v>
      </c>
      <c r="I210" s="8">
        <f>+MINVU_Mes_Corriente!I210*SALUD_Mes_Constante!$C$1</f>
        <v>294107.56844134664</v>
      </c>
      <c r="J210" s="8">
        <f>+MINVU_Mes_Corriente!J210*SALUD_Mes_Constante!$C$1</f>
        <v>323610.84710069705</v>
      </c>
      <c r="K210" s="8">
        <f>+MINVU_Mes_Corriente!K210*SALUD_Mes_Constante!$C$1</f>
        <v>338271.74699688569</v>
      </c>
      <c r="L210" s="8">
        <f>+MINVU_Mes_Corriente!L210*SALUD_Mes_Constante!$C$1</f>
        <v>380668.12694646308</v>
      </c>
      <c r="M210" s="8">
        <f>+MINVU_Mes_Corriente!M210*SALUD_Mes_Constante!$C$1</f>
        <v>409411.4628503634</v>
      </c>
      <c r="N210" s="8">
        <f>+MINVU_Mes_Corriente!N210*SALUD_Mes_Constante!$C$1</f>
        <v>6065479.0517573794</v>
      </c>
      <c r="O210" s="9">
        <f t="shared" si="95"/>
        <v>6065479.0517573794</v>
      </c>
      <c r="P210" s="8">
        <f>+MINVU_Mes_Corriente!P210*SALUD_Mes_Constante!$P$1</f>
        <v>55688.606620258535</v>
      </c>
      <c r="Q210" s="8">
        <f>+MINVU_Mes_Corriente!Q210*SALUD_Mes_Constante!$P$1</f>
        <v>59423.221764455157</v>
      </c>
      <c r="R210" s="8">
        <f>+MINVU_Mes_Corriente!R210*SALUD_Mes_Constante!$P$1</f>
        <v>72109.426907231114</v>
      </c>
      <c r="S210" s="8">
        <f>+MINVU_Mes_Corriente!S210*SALUD_Mes_Constante!$P$1</f>
        <v>92021.165506463949</v>
      </c>
      <c r="T210" s="8">
        <f>+MINVU_Mes_Corriente!T210*SALUD_Mes_Constante!$P$1</f>
        <v>104626.65577496799</v>
      </c>
      <c r="U210" s="8">
        <f>+MINVU_Mes_Corriente!U210*SALUD_Mes_Constante!$P$1</f>
        <v>161345.92925131405</v>
      </c>
      <c r="V210" s="8">
        <f>+MINVU_Mes_Corriente!V210*SALUD_Mes_Constante!$P$1</f>
        <v>167683.59909077987</v>
      </c>
      <c r="W210" s="8">
        <f>+MINVU_Mes_Corriente!W210*SALUD_Mes_Constante!$P$1</f>
        <v>212663.51498792434</v>
      </c>
      <c r="X210" s="8">
        <f>+MINVU_Mes_Corriente!X210*SALUD_Mes_Constante!$P$1</f>
        <v>1384562.7745418379</v>
      </c>
      <c r="Y210" s="8">
        <f>+MINVU_Mes_Corriente!Y210*SALUD_Mes_Constante!$P$1</f>
        <v>1882857.6030686169</v>
      </c>
      <c r="Z210" s="8">
        <f>+MINVU_Mes_Corriente!Z210*SALUD_Mes_Constante!$P$1</f>
        <v>2466724.1682057101</v>
      </c>
      <c r="AA210" s="8">
        <f>+MINVU_Mes_Corriente!AA210*SALUD_Mes_Constante!$P$1</f>
        <v>11355128.390112227</v>
      </c>
      <c r="AB210" s="9">
        <f t="shared" si="96"/>
        <v>11355128.390112227</v>
      </c>
      <c r="AC210" s="8">
        <f>+MINVU_Mes_Corriente!AC210*SALUD_Mes_Constante!$AC$1</f>
        <v>0</v>
      </c>
      <c r="AD210" s="8">
        <f>+MINVU_Mes_Corriente!AD210*SALUD_Mes_Constante!$AC$1</f>
        <v>5465.2671185502832</v>
      </c>
      <c r="AE210" s="8">
        <f>+MINVU_Mes_Corriente!AE210*SALUD_Mes_Constante!$AC$1</f>
        <v>86528.358002489971</v>
      </c>
      <c r="AF210" s="8">
        <f>+MINVU_Mes_Corriente!AF210*SALUD_Mes_Constante!$AC$1</f>
        <v>102387.60796790704</v>
      </c>
      <c r="AG210" s="8">
        <f>+MINVU_Mes_Corriente!AG210*SALUD_Mes_Constante!$AC$1</f>
        <v>123385.65998063356</v>
      </c>
      <c r="AH210" s="8">
        <f>+MINVU_Mes_Corriente!AH210*SALUD_Mes_Constante!$AC$1</f>
        <v>156768.22492737585</v>
      </c>
      <c r="AI210" s="8">
        <f>+MINVU_Mes_Corriente!AI210*SALUD_Mes_Constante!$AC$1</f>
        <v>200354.33476276111</v>
      </c>
      <c r="AJ210" s="8">
        <f>+MINVU_Mes_Corriente!AJ210*SALUD_Mes_Constante!$AC$1</f>
        <v>619239.24941209017</v>
      </c>
      <c r="AK210" s="8">
        <f>+MINVU_Mes_Corriente!AK210*SALUD_Mes_Constante!$AC$1</f>
        <v>629823.67021718074</v>
      </c>
      <c r="AL210" s="8">
        <f>+MINVU_Mes_Corriente!AL210*SALUD_Mes_Constante!$AC$1</f>
        <v>663103.45912297687</v>
      </c>
      <c r="AM210" s="8">
        <f>+MINVU_Mes_Corriente!AM210*SALUD_Mes_Constante!$AC$1</f>
        <v>714234.53949370584</v>
      </c>
      <c r="AN210" s="8">
        <f>+MINVU_Mes_Corriente!AN210*SALUD_Mes_Constante!$AC$1</f>
        <v>954210.54945358972</v>
      </c>
      <c r="AO210" s="9">
        <f t="shared" si="97"/>
        <v>954210.54945358972</v>
      </c>
      <c r="AP210" s="8">
        <f>+MINVU_Mes_Corriente!AP210*SALUD_Mes_Constante!$AP$1</f>
        <v>7748.548356553496</v>
      </c>
      <c r="AQ210" s="8">
        <f>+MINVU_Mes_Corriente!AQ210*SALUD_Mes_Constante!$AP$1</f>
        <v>13621.661301230894</v>
      </c>
      <c r="AR210" s="8">
        <f>+MINVU_Mes_Corriente!AR210*SALUD_Mes_Constante!$AP$1</f>
        <v>143103.55471391857</v>
      </c>
      <c r="AS210" s="8">
        <f>+MINVU_Mes_Corriente!AS210*SALUD_Mes_Constante!$AP$1</f>
        <v>144708.53726498038</v>
      </c>
      <c r="AT210" s="8">
        <f>+MINVU_Mes_Corriente!AT210*SALUD_Mes_Constante!$AP$1</f>
        <v>200142.50642499659</v>
      </c>
      <c r="AU210" s="8">
        <f>+MINVU_Mes_Corriente!AU210*SALUD_Mes_Constante!$AP$1</f>
        <v>240819.79899905314</v>
      </c>
      <c r="AV210" s="8">
        <f>+MINVU_Mes_Corriente!AV210*SALUD_Mes_Constante!$AP$1</f>
        <v>301990.91573109699</v>
      </c>
      <c r="AW210" s="8">
        <f>+MINVU_Mes_Corriente!AW210*SALUD_Mes_Constante!$AP$1</f>
        <v>332141.23711619095</v>
      </c>
      <c r="AX210" s="8">
        <f>+MINVU_Mes_Corriente!AX210*SALUD_Mes_Constante!$AP$1</f>
        <v>362247.22196672525</v>
      </c>
      <c r="AY210" s="8">
        <f>+MINVU_Mes_Corriente!AY210*SALUD_Mes_Constante!$AP$1</f>
        <v>416954.07195996208</v>
      </c>
      <c r="AZ210" s="8">
        <f>+MINVU_Mes_Corriente!AZ210*SALUD_Mes_Constante!$AP$1</f>
        <v>429190.95549844444</v>
      </c>
      <c r="BA210" s="8">
        <f>+MINVU_Mes_Corriente!BA210*SALUD_Mes_Constante!$AP$1</f>
        <v>1117455.0612741781</v>
      </c>
      <c r="BB210" s="9">
        <f t="shared" si="98"/>
        <v>1117455.0612741781</v>
      </c>
      <c r="BC210" s="8">
        <f>+MINVU_Mes_Corriente!BC210*SALUD_Mes_Constante!$BC$1</f>
        <v>876.0395621785575</v>
      </c>
      <c r="BD210" s="8">
        <f>+MINVU_Mes_Corriente!BD210*SALUD_Mes_Constante!$BC$1</f>
        <v>43032.561782935525</v>
      </c>
      <c r="BE210" s="8">
        <f>+MINVU_Mes_Corriente!BE210*SALUD_Mes_Constante!$BC$1</f>
        <v>60963.996571277872</v>
      </c>
      <c r="BF210" s="8">
        <f>+MINVU_Mes_Corriente!BF210*SALUD_Mes_Constante!$BC$1</f>
        <v>115702.06066200715</v>
      </c>
      <c r="BG210" s="8">
        <f>+MINVU_Mes_Corriente!BG210*SALUD_Mes_Constante!$BC$1</f>
        <v>134851.01753923253</v>
      </c>
      <c r="BH210" s="8">
        <f>+MINVU_Mes_Corriente!BH210*SALUD_Mes_Constante!$BC$1</f>
        <v>160385.8417512858</v>
      </c>
      <c r="BI210" s="8">
        <f>+MINVU_Mes_Corriente!BI210*SALUD_Mes_Constante!$BC$1</f>
        <v>184861.63787419233</v>
      </c>
      <c r="BJ210" s="8">
        <f>+MINVU_Mes_Corriente!BJ210*SALUD_Mes_Constante!$BC$1</f>
        <v>194361.19187656604</v>
      </c>
      <c r="BK210" s="8">
        <f>+MINVU_Mes_Corriente!BK210*SALUD_Mes_Constante!$BC$1</f>
        <v>209981.49597784525</v>
      </c>
      <c r="BL210" s="8">
        <f>+MINVU_Mes_Corriente!BL210*SALUD_Mes_Constante!$BC$1</f>
        <v>224861.2008439932</v>
      </c>
      <c r="BM210" s="8">
        <f>+MINVU_Mes_Corriente!BM210*SALUD_Mes_Constante!$BC$1</f>
        <v>362117.00461558759</v>
      </c>
      <c r="BN210" s="8">
        <f>+MINVU_Mes_Corriente!BN210*SALUD_Mes_Constante!$BC$1</f>
        <v>4900277.1399182398</v>
      </c>
      <c r="BO210" s="9">
        <f t="shared" si="99"/>
        <v>4900277.1399182398</v>
      </c>
      <c r="BP210" s="8">
        <f>+MINVU_Mes_Corriente!BP210*SALUD_Mes_Constante!$BP$1</f>
        <v>0</v>
      </c>
      <c r="BQ210" s="8">
        <f>+MINVU_Mes_Corriente!BQ210*SALUD_Mes_Constante!$BP$1</f>
        <v>0</v>
      </c>
      <c r="BR210" s="8">
        <f>+MINVU_Mes_Corriente!BR210*SALUD_Mes_Constante!$BP$1</f>
        <v>0</v>
      </c>
      <c r="BS210" s="8">
        <f>+MINVU_Mes_Corriente!BS210*SALUD_Mes_Constante!$BP$1</f>
        <v>0</v>
      </c>
      <c r="BT210" s="8">
        <f>+MINVU_Mes_Corriente!BT210*SALUD_Mes_Constante!$BP$1</f>
        <v>0</v>
      </c>
      <c r="BU210" s="8">
        <f>+MINVU_Mes_Corriente!BU210*SALUD_Mes_Constante!$BP$1</f>
        <v>0</v>
      </c>
      <c r="BV210" s="8">
        <f>+MINVU_Mes_Corriente!BV210*SALUD_Mes_Constante!$BP$1</f>
        <v>259806.57003841232</v>
      </c>
      <c r="BW210" s="8">
        <f>+MINVU_Mes_Corriente!BW210*SALUD_Mes_Constante!$BP$1</f>
        <v>631718.65659411019</v>
      </c>
      <c r="BX210" s="8">
        <f>+MINVU_Mes_Corriente!BX210*SALUD_Mes_Constante!$BP$1</f>
        <v>1960802.9032010245</v>
      </c>
      <c r="BY210" s="8">
        <f>+MINVU_Mes_Corriente!BY210*SALUD_Mes_Constante!$BP$1</f>
        <v>2478962.5075544175</v>
      </c>
      <c r="BZ210" s="8">
        <f>+MINVU_Mes_Corriente!BZ210*SALUD_Mes_Constante!$BP$1</f>
        <v>2677026.6852752883</v>
      </c>
      <c r="CA210" s="8">
        <f>+MINVU_Mes_Corriente!CA210*SALUD_Mes_Constante!$BP$1</f>
        <v>13118327.781049937</v>
      </c>
      <c r="CB210" s="9">
        <f t="shared" si="100"/>
        <v>13118327.781049937</v>
      </c>
      <c r="CC210" s="8">
        <f>+MINVU_Mes_Corriente!CC210*SALUD_Mes_Constante!$CC$1</f>
        <v>105566.37896307348</v>
      </c>
      <c r="CD210" s="8">
        <f>+MINVU_Mes_Corriente!CD210*SALUD_Mes_Constante!$CC$1</f>
        <v>130715.33308466991</v>
      </c>
      <c r="CE210" s="8">
        <f>+MINVU_Mes_Corriente!CE210*SALUD_Mes_Constante!$CC$1</f>
        <v>134351.89929130924</v>
      </c>
      <c r="CF210" s="8">
        <f>+MINVU_Mes_Corriente!CF210*SALUD_Mes_Constante!$CC$1</f>
        <v>450852.70272286463</v>
      </c>
      <c r="CG210" s="8">
        <f>+MINVU_Mes_Corriente!CG210*SALUD_Mes_Constante!$CC$1</f>
        <v>657161.61059306236</v>
      </c>
      <c r="CH210" s="8">
        <f>+MINVU_Mes_Corriente!CH210*SALUD_Mes_Constante!$CC$1</f>
        <v>2985343.7321894816</v>
      </c>
      <c r="CI210" s="8">
        <f>+MINVU_Mes_Corriente!CI210*SALUD_Mes_Constante!$CC$1</f>
        <v>2992546.2252890714</v>
      </c>
      <c r="CJ210" s="8">
        <f>+MINVU_Mes_Corriente!CJ210*SALUD_Mes_Constante!$CC$1</f>
        <v>3247429.1704587843</v>
      </c>
      <c r="CK210" s="8">
        <f>+MINVU_Mes_Corriente!CK210*SALUD_Mes_Constante!$CC$1</f>
        <v>3933338.2648265576</v>
      </c>
      <c r="CL210" s="8">
        <f>+MINVU_Mes_Corriente!CL210*SALUD_Mes_Constante!$CC$1</f>
        <v>4717421.0622901907</v>
      </c>
      <c r="CM210" s="8">
        <f>+MINVU_Mes_Corriente!CM210*SALUD_Mes_Constante!$CC$1</f>
        <v>5274549.2540096985</v>
      </c>
      <c r="CN210" s="8">
        <f>+MINVU_Mes_Corriente!CN210*SALUD_Mes_Constante!$CC$1</f>
        <v>9074322.1611339059</v>
      </c>
      <c r="CO210" s="9">
        <f t="shared" si="101"/>
        <v>9074322.1611339059</v>
      </c>
      <c r="CP210" s="8">
        <f>+MINVU_Mes_Corriente!CP210*SALUD_Mes_Constante!$CP$1</f>
        <v>6053.6631090487226</v>
      </c>
      <c r="CQ210" s="8">
        <f>+MINVU_Mes_Corriente!CQ210*SALUD_Mes_Constante!$CP$1</f>
        <v>22741.797215777256</v>
      </c>
      <c r="CR210" s="8">
        <f>+MINVU_Mes_Corriente!CR210*SALUD_Mes_Constante!$CP$1</f>
        <v>60627.892343387459</v>
      </c>
      <c r="CS210" s="8">
        <f>+MINVU_Mes_Corriente!CS210*SALUD_Mes_Constante!$CP$1</f>
        <v>176415.60696055682</v>
      </c>
      <c r="CT210" s="8">
        <f>+MINVU_Mes_Corriente!CT210*SALUD_Mes_Constante!$CP$1</f>
        <v>198377.88097447791</v>
      </c>
      <c r="CU210" s="8">
        <f>+MINVU_Mes_Corriente!CU210*SALUD_Mes_Constante!$CP$1</f>
        <v>233219.39930394426</v>
      </c>
      <c r="CV210" s="8">
        <f>+MINVU_Mes_Corriente!CV210*SALUD_Mes_Constante!$CP$1</f>
        <v>690416.72853828291</v>
      </c>
      <c r="CW210" s="8">
        <f>+MINVU_Mes_Corriente!CW210*SALUD_Mes_Constante!$CP$1</f>
        <v>724253.10556844529</v>
      </c>
      <c r="CX210" s="8">
        <f>+MINVU_Mes_Corriente!CX210*SALUD_Mes_Constante!$CP$1</f>
        <v>845673.66751740116</v>
      </c>
      <c r="CY210" s="8">
        <f>+MINVU_Mes_Corriente!CY210*SALUD_Mes_Constante!$CP$1</f>
        <v>894782.36171693716</v>
      </c>
      <c r="CZ210" s="8">
        <f>+MINVU_Mes_Corriente!CZ210*SALUD_Mes_Constante!$CP$1</f>
        <v>2166281.0352668208</v>
      </c>
      <c r="DA210" s="8">
        <f>+MINVU_Mes_Corriente!DA210*SALUD_Mes_Constante!$CP$1</f>
        <v>4076935.4986078879</v>
      </c>
      <c r="DB210" s="9">
        <f t="shared" si="102"/>
        <v>4076935.4986078879</v>
      </c>
      <c r="DC210" s="8">
        <f>+MINVU_Mes_Corriente!DC210*SALUD_Mes_Constante!$DC$1</f>
        <v>565.35109556630005</v>
      </c>
      <c r="DD210" s="8">
        <f>+MINVU_Mes_Corriente!DD210*SALUD_Mes_Constante!$DC$1</f>
        <v>7544.0090525666119</v>
      </c>
      <c r="DE210" s="8">
        <f>+MINVU_Mes_Corriente!DE210*SALUD_Mes_Constante!$DC$1</f>
        <v>19614.198744985093</v>
      </c>
      <c r="DF210" s="8">
        <f>+MINVU_Mes_Corriente!DF210*SALUD_Mes_Constante!$DC$1</f>
        <v>28690.163151939116</v>
      </c>
      <c r="DG210" s="8">
        <f>+MINVU_Mes_Corriente!DG210*SALUD_Mes_Constante!$DC$1</f>
        <v>55789.925110585355</v>
      </c>
      <c r="DH210" s="8">
        <f>+MINVU_Mes_Corriente!DH210*SALUD_Mes_Constante!$DC$1</f>
        <v>69499.970167678257</v>
      </c>
      <c r="DI210" s="8">
        <f>+MINVU_Mes_Corriente!DI210*SALUD_Mes_Constante!$DC$1</f>
        <v>113332.1014298941</v>
      </c>
      <c r="DJ210" s="8">
        <f>+MINVU_Mes_Corriente!DJ210*SALUD_Mes_Constante!$DC$1</f>
        <v>144349.9825120873</v>
      </c>
      <c r="DK210" s="8">
        <f>+MINVU_Mes_Corriente!DK210*SALUD_Mes_Constante!$DC$1</f>
        <v>172750.16438638009</v>
      </c>
      <c r="DL210" s="8">
        <f>+MINVU_Mes_Corriente!DL210*SALUD_Mes_Constante!$DC$1</f>
        <v>251623.94794774213</v>
      </c>
      <c r="DM210" s="8">
        <f>+MINVU_Mes_Corriente!DM210*SALUD_Mes_Constante!$DC$1</f>
        <v>402219.7675136305</v>
      </c>
      <c r="DN210" s="8">
        <f>+MINVU_Mes_Corriente!DN210*SALUD_Mes_Constante!$DC$1</f>
        <v>2202858.511058534</v>
      </c>
      <c r="DO210" s="9">
        <f t="shared" si="103"/>
        <v>2202858.511058534</v>
      </c>
      <c r="DP210" s="8">
        <f>+MINVU_Mes_Corriente!DP210*SALUD_Mes_Constante!$DP$1</f>
        <v>6009.0837292161523</v>
      </c>
      <c r="DQ210" s="8">
        <f>+MINVU_Mes_Corriente!DQ210*SALUD_Mes_Constante!$DP$1</f>
        <v>8674.6211401425189</v>
      </c>
      <c r="DR210" s="8">
        <f>+MINVU_Mes_Corriente!DR210*SALUD_Mes_Constante!$DP$1</f>
        <v>18993.981591448934</v>
      </c>
      <c r="DS210" s="8">
        <f>+MINVU_Mes_Corriente!DS210*SALUD_Mes_Constante!$DP$1</f>
        <v>40310.711401425186</v>
      </c>
      <c r="DT210" s="8">
        <f>+MINVU_Mes_Corriente!DT210*SALUD_Mes_Constante!$DP$1</f>
        <v>48290.021971496441</v>
      </c>
      <c r="DU210" s="8">
        <f>+MINVU_Mes_Corriente!DU210*SALUD_Mes_Constante!$DP$1</f>
        <v>54348.847980997627</v>
      </c>
      <c r="DV210" s="8">
        <f>+MINVU_Mes_Corriente!DV210*SALUD_Mes_Constante!$DP$1</f>
        <v>142190.47090261284</v>
      </c>
      <c r="DW210" s="8">
        <f>+MINVU_Mes_Corriente!DW210*SALUD_Mes_Constante!$DP$1</f>
        <v>157451.61876484563</v>
      </c>
      <c r="DX210" s="8">
        <f>+MINVU_Mes_Corriente!DX210*SALUD_Mes_Constante!$DP$1</f>
        <v>210223.85273159147</v>
      </c>
      <c r="DY210" s="8">
        <f>+MINVU_Mes_Corriente!DY210*SALUD_Mes_Constante!$DP$1</f>
        <v>267470.72921615205</v>
      </c>
      <c r="DZ210" s="8">
        <f>+MINVU_Mes_Corriente!DZ210*SALUD_Mes_Constante!$DP$1</f>
        <v>456275.12351543945</v>
      </c>
      <c r="EA210" s="8">
        <f>+MINVU_Mes_Corriente!EA210*SALUD_Mes_Constante!$DP$1</f>
        <v>3337660.5089073638</v>
      </c>
      <c r="EB210" s="9">
        <f t="shared" si="104"/>
        <v>3337660.5089073638</v>
      </c>
      <c r="EC210" s="8">
        <f>+MINVU_Mes_Corriente!EC210*SALUD_Mes_Constante!$EC$1</f>
        <v>11741.156977845101</v>
      </c>
      <c r="ED210" s="8">
        <f>+MINVU_Mes_Corriente!ED210*SALUD_Mes_Constante!$EC$1</f>
        <v>28657.733194470737</v>
      </c>
      <c r="EE210" s="8">
        <f>+MINVU_Mes_Corriente!EE210*SALUD_Mes_Constante!$EC$1</f>
        <v>44627.775610679782</v>
      </c>
      <c r="EF210" s="8">
        <f>+MINVU_Mes_Corriente!EF210*SALUD_Mes_Constante!$EC$1</f>
        <v>49168.034463169839</v>
      </c>
      <c r="EG210" s="8">
        <f>+MINVU_Mes_Corriente!EG210*SALUD_Mes_Constante!$EC$1</f>
        <v>79698.145995076658</v>
      </c>
      <c r="EH210" s="8">
        <f>+MINVU_Mes_Corriente!EH210*SALUD_Mes_Constante!$EC$1</f>
        <v>123311.11323612949</v>
      </c>
      <c r="EI210" s="8">
        <f>+MINVU_Mes_Corriente!EI210*SALUD_Mes_Constante!$EC$1</f>
        <v>136123.97405794353</v>
      </c>
      <c r="EJ210" s="8">
        <f>+MINVU_Mes_Corriente!EJ210*SALUD_Mes_Constante!$EC$1</f>
        <v>393158.07233478496</v>
      </c>
      <c r="EK210" s="8">
        <f>+MINVU_Mes_Corriente!EK210*SALUD_Mes_Constante!$EC$1</f>
        <v>514147.85021776165</v>
      </c>
      <c r="EL210" s="8">
        <f>+MINVU_Mes_Corriente!EL210*SALUD_Mes_Constante!$EC$1</f>
        <v>654408.64249195205</v>
      </c>
      <c r="EM210" s="8">
        <f>+MINVU_Mes_Corriente!EM210*SALUD_Mes_Constante!$EC$1</f>
        <v>891152.78015527339</v>
      </c>
      <c r="EN210" s="8">
        <f>+MINVU_Mes_Corriente!EN210*SALUD_Mes_Constante!$EC$1</f>
        <v>1616195.6023480396</v>
      </c>
      <c r="EO210" s="9">
        <f t="shared" si="105"/>
        <v>1616195.6023480396</v>
      </c>
      <c r="EP210" s="8">
        <f>+MINVU_Mes_Corriente!EP210*SALUD_Mes_Constante!$EP$1</f>
        <v>263</v>
      </c>
      <c r="EQ210" s="8">
        <f>+MINVU_Mes_Corriente!EQ210*SALUD_Mes_Constante!$EP$1</f>
        <v>6436</v>
      </c>
      <c r="ER210" s="8">
        <f>+MINVU_Mes_Corriente!ER210*SALUD_Mes_Constante!$EP$1</f>
        <v>686831</v>
      </c>
      <c r="ES210" s="8">
        <f>+MINVU_Mes_Corriente!ES210*SALUD_Mes_Constante!$EP$1</f>
        <v>723870</v>
      </c>
      <c r="ET210" s="8">
        <f>+MINVU_Mes_Corriente!ET210*SALUD_Mes_Constante!$EP$1</f>
        <v>829384</v>
      </c>
      <c r="EU210" s="8">
        <f>+MINVU_Mes_Corriente!EU210*SALUD_Mes_Constante!$EP$1</f>
        <v>835073</v>
      </c>
      <c r="EV210" s="8">
        <f>+MINVU_Mes_Corriente!EV210*SALUD_Mes_Constante!$EP$1</f>
        <v>1035681</v>
      </c>
      <c r="EW210" s="8">
        <f>+MINVU_Mes_Corriente!EW210*SALUD_Mes_Constante!$EP$1</f>
        <v>1128709</v>
      </c>
      <c r="EX210" s="8">
        <f>+MINVU_Mes_Corriente!EX210*SALUD_Mes_Constante!$EP$1</f>
        <v>1151675</v>
      </c>
      <c r="EY210" s="8">
        <f>+MINVU_Mes_Corriente!EY210*SALUD_Mes_Constante!$EP$1</f>
        <v>1203317</v>
      </c>
      <c r="EZ210" s="8">
        <f>+MINVU_Mes_Corriente!EZ210*SALUD_Mes_Constante!$EP$1</f>
        <v>1400862</v>
      </c>
      <c r="FA210" s="8">
        <f>+MINVU_Mes_Corriente!FA210*SALUD_Mes_Constante!$EP$1</f>
        <v>2679468</v>
      </c>
      <c r="FB210" s="9">
        <f t="shared" si="106"/>
        <v>2679468</v>
      </c>
      <c r="FC210" s="8">
        <f>+MINVU_Mes_Corriente!FC210*SALUD_Mes_Constante!$FC$1</f>
        <v>3512</v>
      </c>
      <c r="FD210" s="8">
        <f>+MINVU_Mes_Corriente!FD210*SALUD_Mes_Constante!$FC$1</f>
        <v>11205</v>
      </c>
      <c r="FE210" s="8">
        <f>+MINVU_Mes_Corriente!FE210*SALUD_Mes_Constante!$FC$1</f>
        <v>15813</v>
      </c>
      <c r="FF210" s="8">
        <f>+MINVU_Mes_Corriente!FF210*SALUD_Mes_Constante!$FC$1</f>
        <v>258905</v>
      </c>
      <c r="FG210" s="8">
        <f>+MINVU_Mes_Corriente!FG210*SALUD_Mes_Constante!$FC$1</f>
        <v>304055</v>
      </c>
      <c r="FH210" s="8">
        <f>+MINVU_Mes_Corriente!FH210*SALUD_Mes_Constante!$FC$1</f>
        <v>328230</v>
      </c>
      <c r="FI210" s="8">
        <f>+MINVU_Mes_Corriente!FI210*SALUD_Mes_Constante!$FC$1</f>
        <v>357005</v>
      </c>
      <c r="FJ210" s="8"/>
      <c r="FK210" s="8"/>
      <c r="FL210" s="8"/>
      <c r="FM210" s="8"/>
      <c r="FN210" s="8"/>
      <c r="FO210" s="9">
        <f t="shared" si="107"/>
        <v>357005</v>
      </c>
    </row>
    <row r="211" spans="2:171" ht="14.25" customHeight="1" x14ac:dyDescent="0.3">
      <c r="B211" s="7" t="s">
        <v>63</v>
      </c>
      <c r="C211" s="8">
        <f>+MINVU_Mes_Corriente!C211*SALUD_Mes_Constante!$C$1</f>
        <v>3451.3391665430822</v>
      </c>
      <c r="D211" s="8">
        <f>+MINVU_Mes_Corriente!D211*SALUD_Mes_Constante!$C$1</f>
        <v>6285.3261159721205</v>
      </c>
      <c r="E211" s="8">
        <f>+MINVU_Mes_Corriente!E211*SALUD_Mes_Constante!$C$1</f>
        <v>7803.5912798457675</v>
      </c>
      <c r="F211" s="8">
        <f>+MINVU_Mes_Corriente!F211*SALUD_Mes_Constante!$C$1</f>
        <v>20661.044935488659</v>
      </c>
      <c r="G211" s="8">
        <f>+MINVU_Mes_Corriente!G211*SALUD_Mes_Constante!$C$1</f>
        <v>27085.72089574374</v>
      </c>
      <c r="H211" s="8">
        <f>+MINVU_Mes_Corriente!H211*SALUD_Mes_Constante!$C$1</f>
        <v>85515.434672994234</v>
      </c>
      <c r="I211" s="8">
        <f>+MINVU_Mes_Corriente!I211*SALUD_Mes_Constante!$C$1</f>
        <v>92447.279252558219</v>
      </c>
      <c r="J211" s="8">
        <f>+MINVU_Mes_Corriente!J211*SALUD_Mes_Constante!$C$1</f>
        <v>100532.810915023</v>
      </c>
      <c r="K211" s="8">
        <f>+MINVU_Mes_Corriente!K211*SALUD_Mes_Constante!$C$1</f>
        <v>102297.36882693165</v>
      </c>
      <c r="L211" s="8">
        <f>+MINVU_Mes_Corriente!L211*SALUD_Mes_Constante!$C$1</f>
        <v>128550.23135103071</v>
      </c>
      <c r="M211" s="8">
        <f>+MINVU_Mes_Corriente!M211*SALUD_Mes_Constante!$C$1</f>
        <v>149407.33827673146</v>
      </c>
      <c r="N211" s="8">
        <f>+MINVU_Mes_Corriente!N211*SALUD_Mes_Constante!$C$1</f>
        <v>4602156.6148598557</v>
      </c>
      <c r="O211" s="9">
        <f t="shared" si="95"/>
        <v>4602156.6148598557</v>
      </c>
      <c r="P211" s="8">
        <f>+MINVU_Mes_Corriente!P211*SALUD_Mes_Constante!$P$1</f>
        <v>235.93578633328588</v>
      </c>
      <c r="Q211" s="8">
        <f>+MINVU_Mes_Corriente!Q211*SALUD_Mes_Constante!$P$1</f>
        <v>448.58843585736594</v>
      </c>
      <c r="R211" s="8">
        <f>+MINVU_Mes_Corriente!R211*SALUD_Mes_Constante!$P$1</f>
        <v>1632.9239948856366</v>
      </c>
      <c r="S211" s="8">
        <f>+MINVU_Mes_Corriente!S211*SALUD_Mes_Constante!$P$1</f>
        <v>10468.098309418947</v>
      </c>
      <c r="T211" s="8">
        <f>+MINVU_Mes_Corriente!T211*SALUD_Mes_Constante!$P$1</f>
        <v>21839.582327035081</v>
      </c>
      <c r="U211" s="8">
        <f>+MINVU_Mes_Corriente!U211*SALUD_Mes_Constante!$P$1</f>
        <v>33692.25117204147</v>
      </c>
      <c r="V211" s="8">
        <f>+MINVU_Mes_Corriente!V211*SALUD_Mes_Constante!$P$1</f>
        <v>46633.018610598076</v>
      </c>
      <c r="W211" s="8">
        <f>+MINVU_Mes_Corriente!W211*SALUD_Mes_Constante!$P$1</f>
        <v>52891.525784912606</v>
      </c>
      <c r="X211" s="8">
        <f>+MINVU_Mes_Corriente!X211*SALUD_Mes_Constante!$P$1</f>
        <v>377199.23398209957</v>
      </c>
      <c r="Y211" s="8">
        <f>+MINVU_Mes_Corriente!Y211*SALUD_Mes_Constante!$P$1</f>
        <v>551973.32433584298</v>
      </c>
      <c r="Z211" s="8">
        <f>+MINVU_Mes_Corriente!Z211*SALUD_Mes_Constante!$P$1</f>
        <v>856300.99673249014</v>
      </c>
      <c r="AA211" s="8">
        <f>+MINVU_Mes_Corriente!AA211*SALUD_Mes_Constante!$P$1</f>
        <v>5382333.2442108234</v>
      </c>
      <c r="AB211" s="9">
        <f t="shared" si="96"/>
        <v>5382333.2442108234</v>
      </c>
      <c r="AC211" s="8">
        <f>+MINVU_Mes_Corriente!AC211*SALUD_Mes_Constante!$AC$1</f>
        <v>1766.8410568543368</v>
      </c>
      <c r="AD211" s="8">
        <f>+MINVU_Mes_Corriente!AD211*SALUD_Mes_Constante!$AC$1</f>
        <v>23457.119933600774</v>
      </c>
      <c r="AE211" s="8">
        <f>+MINVU_Mes_Corriente!AE211*SALUD_Mes_Constante!$AC$1</f>
        <v>34174.545026974687</v>
      </c>
      <c r="AF211" s="8">
        <f>+MINVU_Mes_Corriente!AF211*SALUD_Mes_Constante!$AC$1</f>
        <v>66175.679070410843</v>
      </c>
      <c r="AG211" s="8">
        <f>+MINVU_Mes_Corriente!AG211*SALUD_Mes_Constante!$AC$1</f>
        <v>67540.48443768156</v>
      </c>
      <c r="AH211" s="8">
        <f>+MINVU_Mes_Corriente!AH211*SALUD_Mes_Constante!$AC$1</f>
        <v>69490.206390925436</v>
      </c>
      <c r="AI211" s="8">
        <f>+MINVU_Mes_Corriente!AI211*SALUD_Mes_Constante!$AC$1</f>
        <v>82967.470466177896</v>
      </c>
      <c r="AJ211" s="8">
        <f>+MINVU_Mes_Corriente!AJ211*SALUD_Mes_Constante!$AC$1</f>
        <v>96981.285931664126</v>
      </c>
      <c r="AK211" s="8">
        <f>+MINVU_Mes_Corriente!AK211*SALUD_Mes_Constante!$AC$1</f>
        <v>136457.86554156867</v>
      </c>
      <c r="AL211" s="8">
        <f>+MINVU_Mes_Corriente!AL211*SALUD_Mes_Constante!$AC$1</f>
        <v>169572.9104993775</v>
      </c>
      <c r="AM211" s="8">
        <f>+MINVU_Mes_Corriente!AM211*SALUD_Mes_Constante!$AC$1</f>
        <v>192984.68806197261</v>
      </c>
      <c r="AN211" s="8">
        <f>+MINVU_Mes_Corriente!AN211*SALUD_Mes_Constante!$AC$1</f>
        <v>1485320.8551666897</v>
      </c>
      <c r="AO211" s="9">
        <f t="shared" si="97"/>
        <v>1485320.8551666897</v>
      </c>
      <c r="AP211" s="8">
        <f>+MINVU_Mes_Corriente!AP211*SALUD_Mes_Constante!$AP$1</f>
        <v>0</v>
      </c>
      <c r="AQ211" s="8">
        <f>+MINVU_Mes_Corriente!AQ211*SALUD_Mes_Constante!$AP$1</f>
        <v>52688.059786284321</v>
      </c>
      <c r="AR211" s="8">
        <f>+MINVU_Mes_Corriente!AR211*SALUD_Mes_Constante!$AP$1</f>
        <v>64156.443392398207</v>
      </c>
      <c r="AS211" s="8">
        <f>+MINVU_Mes_Corriente!AS211*SALUD_Mes_Constante!$AP$1</f>
        <v>65731.86825375355</v>
      </c>
      <c r="AT211" s="8">
        <f>+MINVU_Mes_Corriente!AT211*SALUD_Mes_Constante!$AP$1</f>
        <v>72017.310969836326</v>
      </c>
      <c r="AU211" s="8">
        <f>+MINVU_Mes_Corriente!AU211*SALUD_Mes_Constante!$AP$1</f>
        <v>147087.93128635196</v>
      </c>
      <c r="AV211" s="8">
        <f>+MINVU_Mes_Corriente!AV211*SALUD_Mes_Constante!$AP$1</f>
        <v>172495.72135804137</v>
      </c>
      <c r="AW211" s="8">
        <f>+MINVU_Mes_Corriente!AW211*SALUD_Mes_Constante!$AP$1</f>
        <v>231828.34979034221</v>
      </c>
      <c r="AX211" s="8">
        <f>+MINVU_Mes_Corriente!AX211*SALUD_Mes_Constante!$AP$1</f>
        <v>244912.06113891519</v>
      </c>
      <c r="AY211" s="8">
        <f>+MINVU_Mes_Corriente!AY211*SALUD_Mes_Constante!$AP$1</f>
        <v>269167.10131205193</v>
      </c>
      <c r="AZ211" s="8">
        <f>+MINVU_Mes_Corriente!AZ211*SALUD_Mes_Constante!$AP$1</f>
        <v>274633.79602326523</v>
      </c>
      <c r="BA211" s="8">
        <f>+MINVU_Mes_Corriente!BA211*SALUD_Mes_Constante!$AP$1</f>
        <v>592327.23441092926</v>
      </c>
      <c r="BB211" s="9">
        <f t="shared" si="98"/>
        <v>592327.23441092926</v>
      </c>
      <c r="BC211" s="8">
        <f>+MINVU_Mes_Corriente!BC211*SALUD_Mes_Constante!$BC$1</f>
        <v>1040.2969800870371</v>
      </c>
      <c r="BD211" s="8">
        <f>+MINVU_Mes_Corriente!BD211*SALUD_Mes_Constante!$BC$1</f>
        <v>2084.9165238032447</v>
      </c>
      <c r="BE211" s="8">
        <f>+MINVU_Mes_Corriente!BE211*SALUD_Mes_Constante!$BC$1</f>
        <v>15494.949756033237</v>
      </c>
      <c r="BF211" s="8">
        <f>+MINVU_Mes_Corriente!BF211*SALUD_Mes_Constante!$BC$1</f>
        <v>17219.65264407227</v>
      </c>
      <c r="BG211" s="8">
        <f>+MINVU_Mes_Corriente!BG211*SALUD_Mes_Constante!$BC$1</f>
        <v>39647.994461295013</v>
      </c>
      <c r="BH211" s="8">
        <f>+MINVU_Mes_Corriente!BH211*SALUD_Mes_Constante!$BC$1</f>
        <v>43832.236054332068</v>
      </c>
      <c r="BI211" s="8">
        <f>+MINVU_Mes_Corriente!BI211*SALUD_Mes_Constante!$BC$1</f>
        <v>77418.55545298697</v>
      </c>
      <c r="BJ211" s="8">
        <f>+MINVU_Mes_Corriente!BJ211*SALUD_Mes_Constante!$BC$1</f>
        <v>85472.932348674687</v>
      </c>
      <c r="BK211" s="8">
        <f>+MINVU_Mes_Corriente!BK211*SALUD_Mes_Constante!$BC$1</f>
        <v>88119.782144270095</v>
      </c>
      <c r="BL211" s="8">
        <f>+MINVU_Mes_Corriente!BL211*SALUD_Mes_Constante!$BC$1</f>
        <v>100695.56059607018</v>
      </c>
      <c r="BM211" s="8">
        <f>+MINVU_Mes_Corriente!BM211*SALUD_Mes_Constante!$BC$1</f>
        <v>1145368.4159303708</v>
      </c>
      <c r="BN211" s="8">
        <f>+MINVU_Mes_Corriente!BN211*SALUD_Mes_Constante!$BC$1</f>
        <v>6852841.0879599117</v>
      </c>
      <c r="BO211" s="9">
        <f t="shared" si="99"/>
        <v>6852841.0879599117</v>
      </c>
      <c r="BP211" s="8">
        <f>+MINVU_Mes_Corriente!BP211*SALUD_Mes_Constante!$BP$1</f>
        <v>0</v>
      </c>
      <c r="BQ211" s="8">
        <f>+MINVU_Mes_Corriente!BQ211*SALUD_Mes_Constante!$BP$1</f>
        <v>0</v>
      </c>
      <c r="BR211" s="8">
        <f>+MINVU_Mes_Corriente!BR211*SALUD_Mes_Constante!$BP$1</f>
        <v>0</v>
      </c>
      <c r="BS211" s="8">
        <f>+MINVU_Mes_Corriente!BS211*SALUD_Mes_Constante!$BP$1</f>
        <v>0</v>
      </c>
      <c r="BT211" s="8">
        <f>+MINVU_Mes_Corriente!BT211*SALUD_Mes_Constante!$BP$1</f>
        <v>2813479.9743918055</v>
      </c>
      <c r="BU211" s="8">
        <f>+MINVU_Mes_Corriente!BU211*SALUD_Mes_Constante!$BP$1</f>
        <v>2813479.9743918055</v>
      </c>
      <c r="BV211" s="8">
        <f>+MINVU_Mes_Corriente!BV211*SALUD_Mes_Constante!$BP$1</f>
        <v>2813479.9743918055</v>
      </c>
      <c r="BW211" s="8">
        <f>+MINVU_Mes_Corriente!BW211*SALUD_Mes_Constante!$BP$1</f>
        <v>2813479.9743918055</v>
      </c>
      <c r="BX211" s="8">
        <f>+MINVU_Mes_Corriente!BX211*SALUD_Mes_Constante!$BP$1</f>
        <v>2987270.5252240719</v>
      </c>
      <c r="BY211" s="8">
        <f>+MINVU_Mes_Corriente!BY211*SALUD_Mes_Constante!$BP$1</f>
        <v>2987270.5252240719</v>
      </c>
      <c r="BZ211" s="8">
        <f>+MINVU_Mes_Corriente!BZ211*SALUD_Mes_Constante!$BP$1</f>
        <v>4535924.0035851477</v>
      </c>
      <c r="CA211" s="8">
        <f>+MINVU_Mes_Corriente!CA211*SALUD_Mes_Constante!$BP$1</f>
        <v>7539282.7490396937</v>
      </c>
      <c r="CB211" s="9">
        <f t="shared" si="100"/>
        <v>7539282.7490396937</v>
      </c>
      <c r="CC211" s="8">
        <f>+MINVU_Mes_Corriente!CC211*SALUD_Mes_Constante!$CC$1</f>
        <v>0</v>
      </c>
      <c r="CD211" s="8">
        <f>+MINVU_Mes_Corriente!CD211*SALUD_Mes_Constante!$CC$1</f>
        <v>0</v>
      </c>
      <c r="CE211" s="8">
        <f>+MINVU_Mes_Corriente!CE211*SALUD_Mes_Constante!$CC$1</f>
        <v>1302.7519582245432</v>
      </c>
      <c r="CF211" s="8">
        <f>+MINVU_Mes_Corriente!CF211*SALUD_Mes_Constante!$CC$1</f>
        <v>5117.2748974263341</v>
      </c>
      <c r="CG211" s="8">
        <f>+MINVU_Mes_Corriente!CG211*SALUD_Mes_Constante!$CC$1</f>
        <v>19932.512495337563</v>
      </c>
      <c r="CH211" s="8">
        <f>+MINVU_Mes_Corriente!CH211*SALUD_Mes_Constante!$CC$1</f>
        <v>19932.512495337563</v>
      </c>
      <c r="CI211" s="8">
        <f>+MINVU_Mes_Corriente!CI211*SALUD_Mes_Constante!$CC$1</f>
        <v>30885.681462140994</v>
      </c>
      <c r="CJ211" s="8">
        <f>+MINVU_Mes_Corriente!CJ211*SALUD_Mes_Constante!$CC$1</f>
        <v>36297.739649384559</v>
      </c>
      <c r="CK211" s="8">
        <f>+MINVU_Mes_Corriente!CK211*SALUD_Mes_Constante!$CC$1</f>
        <v>81262.379709063796</v>
      </c>
      <c r="CL211" s="8">
        <f>+MINVU_Mes_Corriente!CL211*SALUD_Mes_Constante!$CC$1</f>
        <v>175813.10108168595</v>
      </c>
      <c r="CM211" s="8">
        <f>+MINVU_Mes_Corriente!CM211*SALUD_Mes_Constante!$CC$1</f>
        <v>183795.34352853414</v>
      </c>
      <c r="CN211" s="8">
        <f>+MINVU_Mes_Corriente!CN211*SALUD_Mes_Constante!$CC$1</f>
        <v>3851915.5882133534</v>
      </c>
      <c r="CO211" s="9">
        <f t="shared" si="101"/>
        <v>3851915.5882133534</v>
      </c>
      <c r="CP211" s="8">
        <f>+MINVU_Mes_Corriente!CP211*SALUD_Mes_Constante!$CP$1</f>
        <v>0</v>
      </c>
      <c r="CQ211" s="8">
        <f>+MINVU_Mes_Corriente!CQ211*SALUD_Mes_Constante!$CP$1</f>
        <v>0</v>
      </c>
      <c r="CR211" s="8">
        <f>+MINVU_Mes_Corriente!CR211*SALUD_Mes_Constante!$CP$1</f>
        <v>0</v>
      </c>
      <c r="CS211" s="8">
        <f>+MINVU_Mes_Corriente!CS211*SALUD_Mes_Constante!$CP$1</f>
        <v>1036.8292343387468</v>
      </c>
      <c r="CT211" s="8">
        <f>+MINVU_Mes_Corriente!CT211*SALUD_Mes_Constante!$CP$1</f>
        <v>2631.3661252900229</v>
      </c>
      <c r="CU211" s="8">
        <f>+MINVU_Mes_Corriente!CU211*SALUD_Mes_Constante!$CP$1</f>
        <v>2986.2709976798137</v>
      </c>
      <c r="CV211" s="8">
        <f>+MINVU_Mes_Corriente!CV211*SALUD_Mes_Constante!$CP$1</f>
        <v>18661.658700696051</v>
      </c>
      <c r="CW211" s="8">
        <f>+MINVU_Mes_Corriente!CW211*SALUD_Mes_Constante!$CP$1</f>
        <v>43531.617633410664</v>
      </c>
      <c r="CX211" s="8">
        <f>+MINVU_Mes_Corriente!CX211*SALUD_Mes_Constante!$CP$1</f>
        <v>49817.23642691414</v>
      </c>
      <c r="CY211" s="8">
        <f>+MINVU_Mes_Corriente!CY211*SALUD_Mes_Constante!$CP$1</f>
        <v>120017.42018561483</v>
      </c>
      <c r="CZ211" s="8">
        <f>+MINVU_Mes_Corriente!CZ211*SALUD_Mes_Constante!$CP$1</f>
        <v>275072.82389791176</v>
      </c>
      <c r="DA211" s="8">
        <f>+MINVU_Mes_Corriente!DA211*SALUD_Mes_Constante!$CP$1</f>
        <v>2967093.4593967511</v>
      </c>
      <c r="DB211" s="9">
        <f t="shared" si="102"/>
        <v>2967093.4593967511</v>
      </c>
      <c r="DC211" s="8">
        <f>+MINVU_Mes_Corriente!DC211*SALUD_Mes_Constante!$DC$1</f>
        <v>0</v>
      </c>
      <c r="DD211" s="8">
        <f>+MINVU_Mes_Corriente!DD211*SALUD_Mes_Constante!$DC$1</f>
        <v>0</v>
      </c>
      <c r="DE211" s="8">
        <f>+MINVU_Mes_Corriente!DE211*SALUD_Mes_Constante!$DC$1</f>
        <v>1646.599115317355</v>
      </c>
      <c r="DF211" s="8">
        <f>+MINVU_Mes_Corriente!DF211*SALUD_Mes_Constante!$DC$1</f>
        <v>23019.792819668768</v>
      </c>
      <c r="DG211" s="8">
        <f>+MINVU_Mes_Corriente!DG211*SALUD_Mes_Constante!$DC$1</f>
        <v>28827.286081678852</v>
      </c>
      <c r="DH211" s="8">
        <f>+MINVU_Mes_Corriente!DH211*SALUD_Mes_Constante!$DC$1</f>
        <v>38287.644275280341</v>
      </c>
      <c r="DI211" s="8">
        <f>+MINVU_Mes_Corriente!DI211*SALUD_Mes_Constante!$DC$1</f>
        <v>48327.965024174489</v>
      </c>
      <c r="DJ211" s="8">
        <f>+MINVU_Mes_Corriente!DJ211*SALUD_Mes_Constante!$DC$1</f>
        <v>63500.280012344439</v>
      </c>
      <c r="DK211" s="8">
        <f>+MINVU_Mes_Corriente!DK211*SALUD_Mes_Constante!$DC$1</f>
        <v>72324.477728628772</v>
      </c>
      <c r="DL211" s="8">
        <f>+MINVU_Mes_Corriente!DL211*SALUD_Mes_Constante!$DC$1</f>
        <v>275065.2251825945</v>
      </c>
      <c r="DM211" s="8">
        <f>+MINVU_Mes_Corriente!DM211*SALUD_Mes_Constante!$DC$1</f>
        <v>351284.21890751994</v>
      </c>
      <c r="DN211" s="8">
        <f>+MINVU_Mes_Corriente!DN211*SALUD_Mes_Constante!$DC$1</f>
        <v>7132990.9383808281</v>
      </c>
      <c r="DO211" s="9">
        <f t="shared" si="103"/>
        <v>7132990.9383808281</v>
      </c>
      <c r="DP211" s="8">
        <f>+MINVU_Mes_Corriente!DP211*SALUD_Mes_Constante!$DP$1</f>
        <v>0</v>
      </c>
      <c r="DQ211" s="8">
        <f>+MINVU_Mes_Corriente!DQ211*SALUD_Mes_Constante!$DP$1</f>
        <v>1582.0207838479812</v>
      </c>
      <c r="DR211" s="8">
        <f>+MINVU_Mes_Corriente!DR211*SALUD_Mes_Constante!$DP$1</f>
        <v>13082.219714964373</v>
      </c>
      <c r="DS211" s="8">
        <f>+MINVU_Mes_Corriente!DS211*SALUD_Mes_Constante!$DP$1</f>
        <v>67216.959619952497</v>
      </c>
      <c r="DT211" s="8">
        <f>+MINVU_Mes_Corriente!DT211*SALUD_Mes_Constante!$DP$1</f>
        <v>110794.44121140144</v>
      </c>
      <c r="DU211" s="8">
        <f>+MINVU_Mes_Corriente!DU211*SALUD_Mes_Constante!$DP$1</f>
        <v>160130.13242280285</v>
      </c>
      <c r="DV211" s="8">
        <f>+MINVU_Mes_Corriente!DV211*SALUD_Mes_Constante!$DP$1</f>
        <v>540993.79631828982</v>
      </c>
      <c r="DW211" s="8">
        <f>+MINVU_Mes_Corriente!DW211*SALUD_Mes_Constante!$DP$1</f>
        <v>941630.01662707853</v>
      </c>
      <c r="DX211" s="8">
        <f>+MINVU_Mes_Corriente!DX211*SALUD_Mes_Constante!$DP$1</f>
        <v>962720.74346793361</v>
      </c>
      <c r="DY211" s="8">
        <f>+MINVU_Mes_Corriente!DY211*SALUD_Mes_Constante!$DP$1</f>
        <v>1259329.6353919241</v>
      </c>
      <c r="DZ211" s="8">
        <f>+MINVU_Mes_Corriente!DZ211*SALUD_Mes_Constante!$DP$1</f>
        <v>1815420.2137767223</v>
      </c>
      <c r="EA211" s="8">
        <f>+MINVU_Mes_Corriente!EA211*SALUD_Mes_Constante!$DP$1</f>
        <v>2618445.5290973876</v>
      </c>
      <c r="EB211" s="9">
        <f t="shared" si="104"/>
        <v>2618445.5290973876</v>
      </c>
      <c r="EC211" s="8">
        <f>+MINVU_Mes_Corriente!EC211*SALUD_Mes_Constante!$EC$1</f>
        <v>0</v>
      </c>
      <c r="ED211" s="8">
        <f>+MINVU_Mes_Corriente!ED211*SALUD_Mes_Constante!$EC$1</f>
        <v>2582.020071956068</v>
      </c>
      <c r="EE211" s="8">
        <f>+MINVU_Mes_Corriente!EE211*SALUD_Mes_Constante!$EC$1</f>
        <v>6211.9513349744348</v>
      </c>
      <c r="EF211" s="8">
        <f>+MINVU_Mes_Corriente!EF211*SALUD_Mes_Constante!$EC$1</f>
        <v>11823.914031433436</v>
      </c>
      <c r="EG211" s="8">
        <f>+MINVU_Mes_Corriente!EG211*SALUD_Mes_Constante!$EC$1</f>
        <v>23979.89074039007</v>
      </c>
      <c r="EH211" s="8">
        <f>+MINVU_Mes_Corriente!EH211*SALUD_Mes_Constante!$EC$1</f>
        <v>42059.203559931819</v>
      </c>
      <c r="EI211" s="8">
        <f>+MINVU_Mes_Corriente!EI211*SALUD_Mes_Constante!$EC$1</f>
        <v>74747.205264154487</v>
      </c>
      <c r="EJ211" s="8">
        <f>+MINVU_Mes_Corriente!EJ211*SALUD_Mes_Constante!$EC$1</f>
        <v>110579.97500473392</v>
      </c>
      <c r="EK211" s="8">
        <f>+MINVU_Mes_Corriente!EK211*SALUD_Mes_Constante!$EC$1</f>
        <v>149777.85343684902</v>
      </c>
      <c r="EL211" s="8">
        <f>+MINVU_Mes_Corriente!EL211*SALUD_Mes_Constante!$EC$1</f>
        <v>178235.93523953791</v>
      </c>
      <c r="EM211" s="8">
        <f>+MINVU_Mes_Corriente!EM211*SALUD_Mes_Constante!$EC$1</f>
        <v>1107239.7227797762</v>
      </c>
      <c r="EN211" s="8">
        <f>+MINVU_Mes_Corriente!EN211*SALUD_Mes_Constante!$EC$1</f>
        <v>1624766.1297102817</v>
      </c>
      <c r="EO211" s="9">
        <f t="shared" si="105"/>
        <v>1624766.1297102817</v>
      </c>
      <c r="EP211" s="8">
        <f>+MINVU_Mes_Corriente!EP211*SALUD_Mes_Constante!$EP$1</f>
        <v>0</v>
      </c>
      <c r="EQ211" s="8">
        <f>+MINVU_Mes_Corriente!EQ211*SALUD_Mes_Constante!$EP$1</f>
        <v>0</v>
      </c>
      <c r="ER211" s="8">
        <f>+MINVU_Mes_Corriente!ER211*SALUD_Mes_Constante!$EP$1</f>
        <v>108701</v>
      </c>
      <c r="ES211" s="8">
        <f>+MINVU_Mes_Corriente!ES211*SALUD_Mes_Constante!$EP$1</f>
        <v>108701</v>
      </c>
      <c r="ET211" s="8">
        <f>+MINVU_Mes_Corriente!ET211*SALUD_Mes_Constante!$EP$1</f>
        <v>116396</v>
      </c>
      <c r="EU211" s="8">
        <f>+MINVU_Mes_Corriente!EU211*SALUD_Mes_Constante!$EP$1</f>
        <v>166248</v>
      </c>
      <c r="EV211" s="8">
        <f>+MINVU_Mes_Corriente!EV211*SALUD_Mes_Constante!$EP$1</f>
        <v>175693</v>
      </c>
      <c r="EW211" s="8">
        <f>+MINVU_Mes_Corriente!EW211*SALUD_Mes_Constante!$EP$1</f>
        <v>257939</v>
      </c>
      <c r="EX211" s="8">
        <f>+MINVU_Mes_Corriente!EX211*SALUD_Mes_Constante!$EP$1</f>
        <v>486089</v>
      </c>
      <c r="EY211" s="8">
        <f>+MINVU_Mes_Corriente!EY211*SALUD_Mes_Constante!$EP$1</f>
        <v>862068</v>
      </c>
      <c r="EZ211" s="8">
        <f>+MINVU_Mes_Corriente!EZ211*SALUD_Mes_Constante!$EP$1</f>
        <v>966922</v>
      </c>
      <c r="FA211" s="8">
        <f>+MINVU_Mes_Corriente!FA211*SALUD_Mes_Constante!$EP$1</f>
        <v>1632870</v>
      </c>
      <c r="FB211" s="9">
        <f t="shared" si="106"/>
        <v>1632870</v>
      </c>
      <c r="FC211" s="8">
        <f>+MINVU_Mes_Corriente!FC211*SALUD_Mes_Constante!$FC$1</f>
        <v>0</v>
      </c>
      <c r="FD211" s="8">
        <f>+MINVU_Mes_Corriente!FD211*SALUD_Mes_Constante!$FC$1</f>
        <v>3564</v>
      </c>
      <c r="FE211" s="8">
        <f>+MINVU_Mes_Corriente!FE211*SALUD_Mes_Constante!$FC$1</f>
        <v>8676</v>
      </c>
      <c r="FF211" s="8">
        <f>+MINVU_Mes_Corriente!FF211*SALUD_Mes_Constante!$FC$1</f>
        <v>12838</v>
      </c>
      <c r="FG211" s="8">
        <f>+MINVU_Mes_Corriente!FG211*SALUD_Mes_Constante!$FC$1</f>
        <v>31218</v>
      </c>
      <c r="FH211" s="8">
        <f>+MINVU_Mes_Corriente!FH211*SALUD_Mes_Constante!$FC$1</f>
        <v>35610</v>
      </c>
      <c r="FI211" s="8">
        <f>+MINVU_Mes_Corriente!FI211*SALUD_Mes_Constante!$FC$1</f>
        <v>49617</v>
      </c>
      <c r="FJ211" s="8"/>
      <c r="FK211" s="8"/>
      <c r="FL211" s="8"/>
      <c r="FM211" s="8"/>
      <c r="FN211" s="8"/>
      <c r="FO211" s="9">
        <f t="shared" si="107"/>
        <v>49617</v>
      </c>
    </row>
    <row r="212" spans="2:171" ht="14.25" customHeight="1" x14ac:dyDescent="0.3">
      <c r="B212" s="31" t="s">
        <v>64</v>
      </c>
      <c r="C212" s="8">
        <f>+MINVU_Mes_Corriente!C212*SALUD_Mes_Constante!$C$1</f>
        <v>8876.2610114192503</v>
      </c>
      <c r="D212" s="8">
        <f>+MINVU_Mes_Corriente!D212*SALUD_Mes_Constante!$C$1</f>
        <v>40085.765089722685</v>
      </c>
      <c r="E212" s="8">
        <f>+MINVU_Mes_Corriente!E212*SALUD_Mes_Constante!$C$1</f>
        <v>55595.726827821454</v>
      </c>
      <c r="F212" s="8">
        <f>+MINVU_Mes_Corriente!F212*SALUD_Mes_Constante!$C$1</f>
        <v>76188.71718819518</v>
      </c>
      <c r="G212" s="8">
        <f>+MINVU_Mes_Corriente!G212*SALUD_Mes_Constante!$C$1</f>
        <v>81031.934450541317</v>
      </c>
      <c r="H212" s="8">
        <f>+MINVU_Mes_Corriente!H212*SALUD_Mes_Constante!$C$1</f>
        <v>126239.61649117606</v>
      </c>
      <c r="I212" s="8">
        <f>+MINVU_Mes_Corriente!I212*SALUD_Mes_Constante!$C$1</f>
        <v>128838.65312175591</v>
      </c>
      <c r="J212" s="8">
        <f>+MINVU_Mes_Corriente!J212*SALUD_Mes_Constante!$C$1</f>
        <v>130727.97775470861</v>
      </c>
      <c r="K212" s="8">
        <f>+MINVU_Mes_Corriente!K212*SALUD_Mes_Constante!$C$1</f>
        <v>165448.77383953732</v>
      </c>
      <c r="L212" s="8">
        <f>+MINVU_Mes_Corriente!L212*SALUD_Mes_Constante!$C$1</f>
        <v>182698.98828414656</v>
      </c>
      <c r="M212" s="8">
        <f>+MINVU_Mes_Corriente!M212*SALUD_Mes_Constante!$C$1</f>
        <v>185667.46403677893</v>
      </c>
      <c r="N212" s="8">
        <f>+MINVU_Mes_Corriente!N212*SALUD_Mes_Constante!$C$1</f>
        <v>510292.64837609383</v>
      </c>
      <c r="O212" s="9">
        <f t="shared" si="95"/>
        <v>510292.64837609383</v>
      </c>
      <c r="P212" s="8">
        <f>+MINVU_Mes_Corriente!P212*SALUD_Mes_Constante!$P$1</f>
        <v>15731.639437420083</v>
      </c>
      <c r="Q212" s="8">
        <f>+MINVU_Mes_Corriente!Q212*SALUD_Mes_Constante!$P$1</f>
        <v>36098.175308992744</v>
      </c>
      <c r="R212" s="8">
        <f>+MINVU_Mes_Corriente!R212*SALUD_Mes_Constante!$P$1</f>
        <v>70001.526921437675</v>
      </c>
      <c r="S212" s="8">
        <f>+MINVU_Mes_Corriente!S212*SALUD_Mes_Constante!$P$1</f>
        <v>95991.716436993855</v>
      </c>
      <c r="T212" s="8">
        <f>+MINVU_Mes_Corriente!T212*SALUD_Mes_Constante!$P$1</f>
        <v>112460.65520670546</v>
      </c>
      <c r="U212" s="8">
        <f>+MINVU_Mes_Corriente!U212*SALUD_Mes_Constante!$P$1</f>
        <v>146793.96874556039</v>
      </c>
      <c r="V212" s="8">
        <f>+MINVU_Mes_Corriente!V212*SALUD_Mes_Constante!$P$1</f>
        <v>1331145.0498650372</v>
      </c>
      <c r="W212" s="8">
        <f>+MINVU_Mes_Corriente!W212*SALUD_Mes_Constante!$P$1</f>
        <v>1368179.2072737599</v>
      </c>
      <c r="X212" s="8">
        <f>+MINVU_Mes_Corriente!X212*SALUD_Mes_Constante!$P$1</f>
        <v>1370426.8060804086</v>
      </c>
      <c r="Y212" s="8">
        <f>+MINVU_Mes_Corriente!Y212*SALUD_Mes_Constante!$P$1</f>
        <v>1477274.6731069749</v>
      </c>
      <c r="Z212" s="8">
        <f>+MINVU_Mes_Corriente!Z212*SALUD_Mes_Constante!$P$1</f>
        <v>1479051.9525500776</v>
      </c>
      <c r="AA212" s="8">
        <f>+MINVU_Mes_Corriente!AA212*SALUD_Mes_Constante!$P$1</f>
        <v>2711225.0444665425</v>
      </c>
      <c r="AB212" s="9">
        <f t="shared" si="96"/>
        <v>2711225.0444665425</v>
      </c>
      <c r="AC212" s="8">
        <f>+MINVU_Mes_Corriente!AC212*SALUD_Mes_Constante!$AC$1</f>
        <v>37792.86623322728</v>
      </c>
      <c r="AD212" s="8">
        <f>+MINVU_Mes_Corriente!AD212*SALUD_Mes_Constante!$AC$1</f>
        <v>54105.539908701066</v>
      </c>
      <c r="AE212" s="8">
        <f>+MINVU_Mes_Corriente!AE212*SALUD_Mes_Constante!$AC$1</f>
        <v>68539.528012173192</v>
      </c>
      <c r="AF212" s="8">
        <f>+MINVU_Mes_Corriente!AF212*SALUD_Mes_Constante!$AC$1</f>
        <v>90775.42675335455</v>
      </c>
      <c r="AG212" s="8">
        <f>+MINVU_Mes_Corriente!AG212*SALUD_Mes_Constante!$AC$1</f>
        <v>101854.07940240698</v>
      </c>
      <c r="AH212" s="8">
        <f>+MINVU_Mes_Corriente!AH212*SALUD_Mes_Constante!$AC$1</f>
        <v>491644.30598976347</v>
      </c>
      <c r="AI212" s="8">
        <f>+MINVU_Mes_Corriente!AI212*SALUD_Mes_Constante!$AC$1</f>
        <v>514239.92087425647</v>
      </c>
      <c r="AJ212" s="8">
        <f>+MINVU_Mes_Corriente!AJ212*SALUD_Mes_Constante!$AC$1</f>
        <v>531436.7707843408</v>
      </c>
      <c r="AK212" s="8">
        <f>+MINVU_Mes_Corriente!AK212*SALUD_Mes_Constante!$AC$1</f>
        <v>543812.21524415549</v>
      </c>
      <c r="AL212" s="8">
        <f>+MINVU_Mes_Corriente!AL212*SALUD_Mes_Constante!$AC$1</f>
        <v>559586.8261170286</v>
      </c>
      <c r="AM212" s="8">
        <f>+MINVU_Mes_Corriente!AM212*SALUD_Mes_Constante!$AC$1</f>
        <v>562984.48111772025</v>
      </c>
      <c r="AN212" s="8">
        <f>+MINVU_Mes_Corriente!AN212*SALUD_Mes_Constante!$AC$1</f>
        <v>591184.41305851436</v>
      </c>
      <c r="AO212" s="9">
        <f t="shared" si="97"/>
        <v>591184.41305851436</v>
      </c>
      <c r="AP212" s="8">
        <f>+MINVU_Mes_Corriente!AP212*SALUD_Mes_Constante!$AP$1</f>
        <v>41903.936696875418</v>
      </c>
      <c r="AQ212" s="8">
        <f>+MINVU_Mes_Corriente!AQ212*SALUD_Mes_Constante!$AP$1</f>
        <v>53407.789530637085</v>
      </c>
      <c r="AR212" s="8">
        <f>+MINVU_Mes_Corriente!AR212*SALUD_Mes_Constante!$AP$1</f>
        <v>63651.006898417421</v>
      </c>
      <c r="AS212" s="8">
        <f>+MINVU_Mes_Corriente!AS212*SALUD_Mes_Constante!$AP$1</f>
        <v>77658.396050317868</v>
      </c>
      <c r="AT212" s="8">
        <f>+MINVU_Mes_Corriente!AT212*SALUD_Mes_Constante!$AP$1</f>
        <v>87084.343297714047</v>
      </c>
      <c r="AU212" s="8">
        <f>+MINVU_Mes_Corriente!AU212*SALUD_Mes_Constante!$AP$1</f>
        <v>90765.753550656023</v>
      </c>
      <c r="AV212" s="8">
        <f>+MINVU_Mes_Corriente!AV212*SALUD_Mes_Constante!$AP$1</f>
        <v>111757.62478019748</v>
      </c>
      <c r="AW212" s="8">
        <f>+MINVU_Mes_Corriente!AW212*SALUD_Mes_Constante!$AP$1</f>
        <v>138021.10996888948</v>
      </c>
      <c r="AX212" s="8">
        <f>+MINVU_Mes_Corriente!AX212*SALUD_Mes_Constante!$AP$1</f>
        <v>145898.23427566615</v>
      </c>
      <c r="AY212" s="8">
        <f>+MINVU_Mes_Corriente!AY212*SALUD_Mes_Constante!$AP$1</f>
        <v>165458.03543892869</v>
      </c>
      <c r="AZ212" s="8">
        <f>+MINVU_Mes_Corriente!AZ212*SALUD_Mes_Constante!$AP$1</f>
        <v>168758.1514946571</v>
      </c>
      <c r="BA212" s="8">
        <f>+MINVU_Mes_Corriente!BA212*SALUD_Mes_Constante!$AP$1</f>
        <v>305565.9183010956</v>
      </c>
      <c r="BB212" s="9">
        <f t="shared" si="98"/>
        <v>305565.9183010956</v>
      </c>
      <c r="BC212" s="8">
        <f>+MINVU_Mes_Corriente!BC212*SALUD_Mes_Constante!$BC$1</f>
        <v>9882.8213108268519</v>
      </c>
      <c r="BD212" s="8">
        <f>+MINVU_Mes_Corriente!BD212*SALUD_Mes_Constante!$BC$1</f>
        <v>27951.137280759602</v>
      </c>
      <c r="BE212" s="8">
        <f>+MINVU_Mes_Corriente!BE212*SALUD_Mes_Constante!$BC$1</f>
        <v>48138.95028352896</v>
      </c>
      <c r="BF212" s="8">
        <f>+MINVU_Mes_Corriente!BF212*SALUD_Mes_Constante!$BC$1</f>
        <v>66491.114598443906</v>
      </c>
      <c r="BG212" s="8">
        <f>+MINVU_Mes_Corriente!BG212*SALUD_Mes_Constante!$BC$1</f>
        <v>88497.286034550998</v>
      </c>
      <c r="BH212" s="8">
        <f>+MINVU_Mes_Corriente!BH212*SALUD_Mes_Constante!$BC$1</f>
        <v>94891.798496637231</v>
      </c>
      <c r="BI212" s="8">
        <f>+MINVU_Mes_Corriente!BI212*SALUD_Mes_Constante!$BC$1</f>
        <v>96573.275748384563</v>
      </c>
      <c r="BJ212" s="8">
        <f>+MINVU_Mes_Corriente!BJ212*SALUD_Mes_Constante!$BC$1</f>
        <v>97270.649347224084</v>
      </c>
      <c r="BK212" s="8">
        <f>+MINVU_Mes_Corriente!BK212*SALUD_Mes_Constante!$BC$1</f>
        <v>100305.08901490178</v>
      </c>
      <c r="BL212" s="8">
        <f>+MINVU_Mes_Corriente!BL212*SALUD_Mes_Constante!$BC$1</f>
        <v>122237.77686931296</v>
      </c>
      <c r="BM212" s="8">
        <f>+MINVU_Mes_Corriente!BM212*SALUD_Mes_Constante!$BC$1</f>
        <v>136160.75431887119</v>
      </c>
      <c r="BN212" s="8">
        <f>+MINVU_Mes_Corriente!BN212*SALUD_Mes_Constante!$BC$1</f>
        <v>1033882.295661348</v>
      </c>
      <c r="BO212" s="9">
        <f t="shared" si="99"/>
        <v>1033882.295661348</v>
      </c>
      <c r="BP212" s="8">
        <f>+MINVU_Mes_Corriente!BP212*SALUD_Mes_Constante!$BP$1</f>
        <v>0</v>
      </c>
      <c r="BQ212" s="8">
        <f>+MINVU_Mes_Corriente!BQ212*SALUD_Mes_Constante!$BP$1</f>
        <v>0</v>
      </c>
      <c r="BR212" s="8">
        <f>+MINVU_Mes_Corriente!BR212*SALUD_Mes_Constante!$BP$1</f>
        <v>0</v>
      </c>
      <c r="BS212" s="8">
        <f>+MINVU_Mes_Corriente!BS212*SALUD_Mes_Constante!$BP$1</f>
        <v>0</v>
      </c>
      <c r="BT212" s="8">
        <f>+MINVU_Mes_Corriente!BT212*SALUD_Mes_Constante!$BP$1</f>
        <v>0</v>
      </c>
      <c r="BU212" s="8">
        <f>+MINVU_Mes_Corriente!BU212*SALUD_Mes_Constante!$BP$1</f>
        <v>0</v>
      </c>
      <c r="BV212" s="8">
        <f>+MINVU_Mes_Corriente!BV212*SALUD_Mes_Constante!$BP$1</f>
        <v>6460.4696542893735</v>
      </c>
      <c r="BW212" s="8">
        <f>+MINVU_Mes_Corriente!BW212*SALUD_Mes_Constante!$BP$1</f>
        <v>6460.4696542893735</v>
      </c>
      <c r="BX212" s="8">
        <f>+MINVU_Mes_Corriente!BX212*SALUD_Mes_Constante!$BP$1</f>
        <v>6460.4696542893735</v>
      </c>
      <c r="BY212" s="8">
        <f>+MINVU_Mes_Corriente!BY212*SALUD_Mes_Constante!$BP$1</f>
        <v>9100.3367477592838</v>
      </c>
      <c r="BZ212" s="8">
        <f>+MINVU_Mes_Corriente!BZ212*SALUD_Mes_Constante!$BP$1</f>
        <v>205295.4829705506</v>
      </c>
      <c r="CA212" s="8">
        <f>+MINVU_Mes_Corriente!CA212*SALUD_Mes_Constante!$BP$1</f>
        <v>5095041.418693983</v>
      </c>
      <c r="CB212" s="9">
        <f t="shared" si="100"/>
        <v>5095041.418693983</v>
      </c>
      <c r="CC212" s="8">
        <f>+MINVU_Mes_Corriente!CC212*SALUD_Mes_Constante!$CC$1</f>
        <v>0</v>
      </c>
      <c r="CD212" s="8">
        <f>+MINVU_Mes_Corriente!CD212*SALUD_Mes_Constante!$CC$1</f>
        <v>0</v>
      </c>
      <c r="CE212" s="8">
        <f>+MINVU_Mes_Corriente!CE212*SALUD_Mes_Constante!$CC$1</f>
        <v>0</v>
      </c>
      <c r="CF212" s="8">
        <f>+MINVU_Mes_Corriente!CF212*SALUD_Mes_Constante!$CC$1</f>
        <v>38300.092502797466</v>
      </c>
      <c r="CG212" s="8">
        <f>+MINVU_Mes_Corriente!CG212*SALUD_Mes_Constante!$CC$1</f>
        <v>40172.034315553901</v>
      </c>
      <c r="CH212" s="8">
        <f>+MINVU_Mes_Corriente!CH212*SALUD_Mes_Constante!$CC$1</f>
        <v>106127.41812756435</v>
      </c>
      <c r="CI212" s="8">
        <f>+MINVU_Mes_Corriente!CI212*SALUD_Mes_Constante!$CC$1</f>
        <v>562973.59492726601</v>
      </c>
      <c r="CJ212" s="8">
        <f>+MINVU_Mes_Corriente!CJ212*SALUD_Mes_Constante!$CC$1</f>
        <v>570330.95113763527</v>
      </c>
      <c r="CK212" s="8">
        <f>+MINVU_Mes_Corriente!CK212*SALUD_Mes_Constante!$CC$1</f>
        <v>665369.35546437907</v>
      </c>
      <c r="CL212" s="8">
        <f>+MINVU_Mes_Corriente!CL212*SALUD_Mes_Constante!$CC$1</f>
        <v>753600.57515852305</v>
      </c>
      <c r="CM212" s="8">
        <f>+MINVU_Mes_Corriente!CM212*SALUD_Mes_Constante!$CC$1</f>
        <v>758277.71279373381</v>
      </c>
      <c r="CN212" s="8">
        <f>+MINVU_Mes_Corriente!CN212*SALUD_Mes_Constante!$CC$1</f>
        <v>1358891.1943304739</v>
      </c>
      <c r="CO212" s="9">
        <f t="shared" si="101"/>
        <v>1358891.1943304739</v>
      </c>
      <c r="CP212" s="8">
        <f>+MINVU_Mes_Corriente!CP212*SALUD_Mes_Constante!$CP$1</f>
        <v>0</v>
      </c>
      <c r="CQ212" s="8">
        <f>+MINVU_Mes_Corriente!CQ212*SALUD_Mes_Constante!$CP$1</f>
        <v>771.91809744779562</v>
      </c>
      <c r="CR212" s="8">
        <f>+MINVU_Mes_Corriente!CR212*SALUD_Mes_Constante!$CP$1</f>
        <v>771.91809744779562</v>
      </c>
      <c r="CS212" s="8">
        <f>+MINVU_Mes_Corriente!CS212*SALUD_Mes_Constante!$CP$1</f>
        <v>27335.280278422269</v>
      </c>
      <c r="CT212" s="8">
        <f>+MINVU_Mes_Corriente!CT212*SALUD_Mes_Constante!$CP$1</f>
        <v>27908.198143851503</v>
      </c>
      <c r="CU212" s="8">
        <f>+MINVU_Mes_Corriente!CU212*SALUD_Mes_Constante!$CP$1</f>
        <v>34119.033410672848</v>
      </c>
      <c r="CV212" s="8">
        <f>+MINVU_Mes_Corriente!CV212*SALUD_Mes_Constante!$CP$1</f>
        <v>40710.123897911828</v>
      </c>
      <c r="CW212" s="8">
        <f>+MINVU_Mes_Corriente!CW212*SALUD_Mes_Constante!$CP$1</f>
        <v>99251.682598607862</v>
      </c>
      <c r="CX212" s="8">
        <f>+MINVU_Mes_Corriente!CX212*SALUD_Mes_Constante!$CP$1</f>
        <v>496486.56612528994</v>
      </c>
      <c r="CY212" s="8">
        <f>+MINVU_Mes_Corriente!CY212*SALUD_Mes_Constante!$CP$1</f>
        <v>651340.43457076547</v>
      </c>
      <c r="CZ212" s="8">
        <f>+MINVU_Mes_Corriente!CZ212*SALUD_Mes_Constante!$CP$1</f>
        <v>886642.36496519705</v>
      </c>
      <c r="DA212" s="8">
        <f>+MINVU_Mes_Corriente!DA212*SALUD_Mes_Constante!$CP$1</f>
        <v>2873455.611368909</v>
      </c>
      <c r="DB212" s="9">
        <f t="shared" si="102"/>
        <v>2873455.611368909</v>
      </c>
      <c r="DC212" s="8">
        <f>+MINVU_Mes_Corriente!DC212*SALUD_Mes_Constante!$DC$1</f>
        <v>9726.7363439975361</v>
      </c>
      <c r="DD212" s="8">
        <f>+MINVU_Mes_Corriente!DD212*SALUD_Mes_Constante!$DC$1</f>
        <v>10303.327023968732</v>
      </c>
      <c r="DE212" s="8">
        <f>+MINVU_Mes_Corriente!DE212*SALUD_Mes_Constante!$DC$1</f>
        <v>16990.879744882222</v>
      </c>
      <c r="DF212" s="8">
        <f>+MINVU_Mes_Corriente!DF212*SALUD_Mes_Constante!$DC$1</f>
        <v>19424.24976854234</v>
      </c>
      <c r="DG212" s="8">
        <f>+MINVU_Mes_Corriente!DG212*SALUD_Mes_Constante!$DC$1</f>
        <v>25820.697253369006</v>
      </c>
      <c r="DH212" s="8">
        <f>+MINVU_Mes_Corriente!DH212*SALUD_Mes_Constante!$DC$1</f>
        <v>44028.823989301534</v>
      </c>
      <c r="DI212" s="8">
        <f>+MINVU_Mes_Corriente!DI212*SALUD_Mes_Constante!$DC$1</f>
        <v>48365.055652710653</v>
      </c>
      <c r="DJ212" s="8">
        <f>+MINVU_Mes_Corriente!DJ212*SALUD_Mes_Constante!$DC$1</f>
        <v>142089.70208826259</v>
      </c>
      <c r="DK212" s="8">
        <f>+MINVU_Mes_Corriente!DK212*SALUD_Mes_Constante!$DC$1</f>
        <v>442548.52031684003</v>
      </c>
      <c r="DL212" s="8">
        <f>+MINVU_Mes_Corriente!DL212*SALUD_Mes_Constante!$DC$1</f>
        <v>535436.94167266763</v>
      </c>
      <c r="DM212" s="8">
        <f>+MINVU_Mes_Corriente!DM212*SALUD_Mes_Constante!$DC$1</f>
        <v>609403.52268285188</v>
      </c>
      <c r="DN212" s="8">
        <f>+MINVU_Mes_Corriente!DN212*SALUD_Mes_Constante!$DC$1</f>
        <v>2867177.5191852702</v>
      </c>
      <c r="DO212" s="9">
        <f t="shared" si="103"/>
        <v>2867177.5191852702</v>
      </c>
      <c r="DP212" s="8">
        <f>+MINVU_Mes_Corriente!DP212*SALUD_Mes_Constante!$DP$1</f>
        <v>1184.0825415676961</v>
      </c>
      <c r="DQ212" s="8">
        <f>+MINVU_Mes_Corriente!DQ212*SALUD_Mes_Constante!$DP$1</f>
        <v>1184.0825415676961</v>
      </c>
      <c r="DR212" s="8">
        <f>+MINVU_Mes_Corriente!DR212*SALUD_Mes_Constante!$DP$1</f>
        <v>5176.4412114014258</v>
      </c>
      <c r="DS212" s="8">
        <f>+MINVU_Mes_Corriente!DS212*SALUD_Mes_Constante!$DP$1</f>
        <v>6231.8426365795731</v>
      </c>
      <c r="DT212" s="8">
        <f>+MINVU_Mes_Corriente!DT212*SALUD_Mes_Constante!$DP$1</f>
        <v>20428.938242280288</v>
      </c>
      <c r="DU212" s="8">
        <f>+MINVU_Mes_Corriente!DU212*SALUD_Mes_Constante!$DP$1</f>
        <v>33113.219714964376</v>
      </c>
      <c r="DV212" s="8">
        <f>+MINVU_Mes_Corriente!DV212*SALUD_Mes_Constante!$DP$1</f>
        <v>250611.34026128269</v>
      </c>
      <c r="DW212" s="8">
        <f>+MINVU_Mes_Corriente!DW212*SALUD_Mes_Constante!$DP$1</f>
        <v>294489.43824228033</v>
      </c>
      <c r="DX212" s="8">
        <f>+MINVU_Mes_Corriente!DX212*SALUD_Mes_Constante!$DP$1</f>
        <v>309983.07719714969</v>
      </c>
      <c r="DY212" s="8">
        <f>+MINVU_Mes_Corriente!DY212*SALUD_Mes_Constante!$DP$1</f>
        <v>314824.29869358672</v>
      </c>
      <c r="DZ212" s="8">
        <f>+MINVU_Mes_Corriente!DZ212*SALUD_Mes_Constante!$DP$1</f>
        <v>561630.35451306414</v>
      </c>
      <c r="EA212" s="8">
        <f>+MINVU_Mes_Corriente!EA212*SALUD_Mes_Constante!$DP$1</f>
        <v>851094.74109263672</v>
      </c>
      <c r="EB212" s="9">
        <f t="shared" si="104"/>
        <v>851094.74109263672</v>
      </c>
      <c r="EC212" s="8">
        <f>+MINVU_Mes_Corriente!EC212*SALUD_Mes_Constante!$EC$1</f>
        <v>12361.834879757618</v>
      </c>
      <c r="ED212" s="8">
        <f>+MINVU_Mes_Corriente!ED212*SALUD_Mes_Constante!$EC$1</f>
        <v>55750.323612952074</v>
      </c>
      <c r="EE212" s="8">
        <f>+MINVU_Mes_Corriente!EE212*SALUD_Mes_Constante!$EC$1</f>
        <v>121406.6665404279</v>
      </c>
      <c r="EF212" s="8">
        <f>+MINVU_Mes_Corriente!EF212*SALUD_Mes_Constante!$EC$1</f>
        <v>156817.37530770682</v>
      </c>
      <c r="EG212" s="8">
        <f>+MINVU_Mes_Corriente!EG212*SALUD_Mes_Constante!$EC$1</f>
        <v>182747.22912327206</v>
      </c>
      <c r="EH212" s="8">
        <f>+MINVU_Mes_Corriente!EH212*SALUD_Mes_Constante!$EC$1</f>
        <v>193435.30259420557</v>
      </c>
      <c r="EI212" s="8">
        <f>+MINVU_Mes_Corriente!EI212*SALUD_Mes_Constante!$EC$1</f>
        <v>259326.46866123832</v>
      </c>
      <c r="EJ212" s="8">
        <f>+MINVU_Mes_Corriente!EJ212*SALUD_Mes_Constante!$EC$1</f>
        <v>322992.50444991468</v>
      </c>
      <c r="EK212" s="8">
        <f>+MINVU_Mes_Corriente!EK212*SALUD_Mes_Constante!$EC$1</f>
        <v>330306.15906078386</v>
      </c>
      <c r="EL212" s="8">
        <f>+MINVU_Mes_Corriente!EL212*SALUD_Mes_Constante!$EC$1</f>
        <v>403826.49100549123</v>
      </c>
      <c r="EM212" s="8">
        <f>+MINVU_Mes_Corriente!EM212*SALUD_Mes_Constante!$EC$1</f>
        <v>446324.30694944126</v>
      </c>
      <c r="EN212" s="8">
        <f>+MINVU_Mes_Corriente!EN212*SALUD_Mes_Constante!$EC$1</f>
        <v>861758.50918386644</v>
      </c>
      <c r="EO212" s="9">
        <f t="shared" si="105"/>
        <v>861758.50918386644</v>
      </c>
      <c r="EP212" s="8">
        <f>+MINVU_Mes_Corriente!EP212*SALUD_Mes_Constante!$EP$1</f>
        <v>2111</v>
      </c>
      <c r="EQ212" s="8">
        <f>+MINVU_Mes_Corriente!EQ212*SALUD_Mes_Constante!$EP$1</f>
        <v>12876</v>
      </c>
      <c r="ER212" s="8">
        <f>+MINVU_Mes_Corriente!ER212*SALUD_Mes_Constante!$EP$1</f>
        <v>16456</v>
      </c>
      <c r="ES212" s="8">
        <f>+MINVU_Mes_Corriente!ES212*SALUD_Mes_Constante!$EP$1</f>
        <v>27523</v>
      </c>
      <c r="ET212" s="8">
        <f>+MINVU_Mes_Corriente!ET212*SALUD_Mes_Constante!$EP$1</f>
        <v>36529</v>
      </c>
      <c r="EU212" s="8">
        <f>+MINVU_Mes_Corriente!EU212*SALUD_Mes_Constante!$EP$1</f>
        <v>57080</v>
      </c>
      <c r="EV212" s="8">
        <f>+MINVU_Mes_Corriente!EV212*SALUD_Mes_Constante!$EP$1</f>
        <v>135808</v>
      </c>
      <c r="EW212" s="8">
        <f>+MINVU_Mes_Corriente!EW212*SALUD_Mes_Constante!$EP$1</f>
        <v>299938</v>
      </c>
      <c r="EX212" s="8">
        <f>+MINVU_Mes_Corriente!EX212*SALUD_Mes_Constante!$EP$1</f>
        <v>386805</v>
      </c>
      <c r="EY212" s="8">
        <f>+MINVU_Mes_Corriente!EY212*SALUD_Mes_Constante!$EP$1</f>
        <v>487207</v>
      </c>
      <c r="EZ212" s="8">
        <f>+MINVU_Mes_Corriente!EZ212*SALUD_Mes_Constante!$EP$1</f>
        <v>585231</v>
      </c>
      <c r="FA212" s="8">
        <f>+MINVU_Mes_Corriente!FA212*SALUD_Mes_Constante!$EP$1</f>
        <v>1026659</v>
      </c>
      <c r="FB212" s="9">
        <f t="shared" si="106"/>
        <v>1026659</v>
      </c>
      <c r="FC212" s="8">
        <f>+MINVU_Mes_Corriente!FC212*SALUD_Mes_Constante!$FC$1</f>
        <v>238</v>
      </c>
      <c r="FD212" s="8">
        <f>+MINVU_Mes_Corriente!FD212*SALUD_Mes_Constante!$FC$1</f>
        <v>14493</v>
      </c>
      <c r="FE212" s="8">
        <f>+MINVU_Mes_Corriente!FE212*SALUD_Mes_Constante!$FC$1</f>
        <v>34135</v>
      </c>
      <c r="FF212" s="8">
        <f>+MINVU_Mes_Corriente!FF212*SALUD_Mes_Constante!$FC$1</f>
        <v>37485</v>
      </c>
      <c r="FG212" s="8">
        <f>+MINVU_Mes_Corriente!FG212*SALUD_Mes_Constante!$FC$1</f>
        <v>43364</v>
      </c>
      <c r="FH212" s="8">
        <f>+MINVU_Mes_Corriente!FH212*SALUD_Mes_Constante!$FC$1</f>
        <v>46020</v>
      </c>
      <c r="FI212" s="8">
        <f>+MINVU_Mes_Corriente!FI212*SALUD_Mes_Constante!$FC$1</f>
        <v>73843</v>
      </c>
      <c r="FJ212" s="8"/>
      <c r="FK212" s="8"/>
      <c r="FL212" s="8"/>
      <c r="FM212" s="8"/>
      <c r="FN212" s="8"/>
      <c r="FO212" s="9">
        <f t="shared" si="107"/>
        <v>73843</v>
      </c>
    </row>
    <row r="213" spans="2:171" ht="14.25" customHeight="1" x14ac:dyDescent="0.3">
      <c r="B213" s="31" t="s">
        <v>65</v>
      </c>
      <c r="C213" s="8">
        <f>+MINVU_Mes_Corriente!C213*SALUD_Mes_Constante!$C$1</f>
        <v>2576.3517722082165</v>
      </c>
      <c r="D213" s="8">
        <f>+MINVU_Mes_Corriente!D213*SALUD_Mes_Constante!$C$1</f>
        <v>34688.389144297798</v>
      </c>
      <c r="E213" s="8">
        <f>+MINVU_Mes_Corriente!E213*SALUD_Mes_Constante!$C$1</f>
        <v>42738.27317217856</v>
      </c>
      <c r="F213" s="8">
        <f>+MINVU_Mes_Corriente!F213*SALUD_Mes_Constante!$C$1</f>
        <v>51690.690493845475</v>
      </c>
      <c r="G213" s="8">
        <f>+MINVU_Mes_Corriente!G213*SALUD_Mes_Constante!$C$1</f>
        <v>78462.064066439285</v>
      </c>
      <c r="H213" s="8">
        <f>+MINVU_Mes_Corriente!H213*SALUD_Mes_Constante!$C$1</f>
        <v>110063.69212516685</v>
      </c>
      <c r="I213" s="8">
        <f>+MINVU_Mes_Corriente!I213*SALUD_Mes_Constante!$C$1</f>
        <v>137467.00103811361</v>
      </c>
      <c r="J213" s="8">
        <f>+MINVU_Mes_Corriente!J213*SALUD_Mes_Constante!$C$1</f>
        <v>217209.13925552429</v>
      </c>
      <c r="K213" s="8">
        <f>+MINVU_Mes_Corriente!K213*SALUD_Mes_Constante!$C$1</f>
        <v>275817.09120569483</v>
      </c>
      <c r="L213" s="8">
        <f>+MINVU_Mes_Corriente!L213*SALUD_Mes_Constante!$C$1</f>
        <v>352717.14073854371</v>
      </c>
      <c r="M213" s="8">
        <f>+MINVU_Mes_Corriente!M213*SALUD_Mes_Constante!$C$1</f>
        <v>661952.26901972422</v>
      </c>
      <c r="N213" s="8">
        <f>+MINVU_Mes_Corriente!N213*SALUD_Mes_Constante!$C$1</f>
        <v>2178151.4904345251</v>
      </c>
      <c r="O213" s="9">
        <f t="shared" si="95"/>
        <v>2178151.4904345251</v>
      </c>
      <c r="P213" s="8">
        <f>+MINVU_Mes_Corriente!P213*SALUD_Mes_Constante!$P$1</f>
        <v>23678.950134962342</v>
      </c>
      <c r="Q213" s="8">
        <f>+MINVU_Mes_Corriente!Q213*SALUD_Mes_Constante!$P$1</f>
        <v>44202.259127716992</v>
      </c>
      <c r="R213" s="8">
        <f>+MINVU_Mes_Corriente!R213*SALUD_Mes_Constante!$P$1</f>
        <v>64880.789032533008</v>
      </c>
      <c r="S213" s="8">
        <f>+MINVU_Mes_Corriente!S213*SALUD_Mes_Constante!$P$1</f>
        <v>88409.174882795822</v>
      </c>
      <c r="T213" s="8">
        <f>+MINVU_Mes_Corriente!T213*SALUD_Mes_Constante!$P$1</f>
        <v>136526.10541270062</v>
      </c>
      <c r="U213" s="8">
        <f>+MINVU_Mes_Corriente!U213*SALUD_Mes_Constante!$P$1</f>
        <v>173093.04787611871</v>
      </c>
      <c r="V213" s="8">
        <f>+MINVU_Mes_Corriente!V213*SALUD_Mes_Constante!$P$1</f>
        <v>175084.53217786612</v>
      </c>
      <c r="W213" s="8">
        <f>+MINVU_Mes_Corriente!W213*SALUD_Mes_Constante!$P$1</f>
        <v>179090.78391817014</v>
      </c>
      <c r="X213" s="8">
        <f>+MINVU_Mes_Corriente!X213*SALUD_Mes_Constante!$P$1</f>
        <v>183946.09404744985</v>
      </c>
      <c r="Y213" s="8">
        <f>+MINVU_Mes_Corriente!Y213*SALUD_Mes_Constante!$P$1</f>
        <v>188816.92626793572</v>
      </c>
      <c r="Z213" s="8">
        <f>+MINVU_Mes_Corriente!Z213*SALUD_Mes_Constante!$P$1</f>
        <v>218855.27717005249</v>
      </c>
      <c r="AA213" s="8">
        <f>+MINVU_Mes_Corriente!AA213*SALUD_Mes_Constante!$P$1</f>
        <v>1877530.4213666706</v>
      </c>
      <c r="AB213" s="9">
        <f t="shared" si="96"/>
        <v>1877530.4213666706</v>
      </c>
      <c r="AC213" s="8">
        <f>+MINVU_Mes_Corriente!AC213*SALUD_Mes_Constante!$AC$1</f>
        <v>2403.1456633005946</v>
      </c>
      <c r="AD213" s="8">
        <f>+MINVU_Mes_Corriente!AD213*SALUD_Mes_Constante!$AC$1</f>
        <v>38111.774242633837</v>
      </c>
      <c r="AE213" s="8">
        <f>+MINVU_Mes_Corriente!AE213*SALUD_Mes_Constante!$AC$1</f>
        <v>50083.671600497997</v>
      </c>
      <c r="AF213" s="8">
        <f>+MINVU_Mes_Corriente!AF213*SALUD_Mes_Constante!$AC$1</f>
        <v>61574.939825702029</v>
      </c>
      <c r="AG213" s="8">
        <f>+MINVU_Mes_Corriente!AG213*SALUD_Mes_Constante!$AC$1</f>
        <v>74013.863604924612</v>
      </c>
      <c r="AH213" s="8">
        <f>+MINVU_Mes_Corriente!AH213*SALUD_Mes_Constante!$AC$1</f>
        <v>89835.328261170289</v>
      </c>
      <c r="AI213" s="8">
        <f>+MINVU_Mes_Corriente!AI213*SALUD_Mes_Constante!$AC$1</f>
        <v>117196.42633835938</v>
      </c>
      <c r="AJ213" s="8">
        <f>+MINVU_Mes_Corriente!AJ213*SALUD_Mes_Constante!$AC$1</f>
        <v>244096.1200719325</v>
      </c>
      <c r="AK213" s="8">
        <f>+MINVU_Mes_Corriente!AK213*SALUD_Mes_Constante!$AC$1</f>
        <v>677162.61695946881</v>
      </c>
      <c r="AL213" s="8">
        <f>+MINVU_Mes_Corriente!AL213*SALUD_Mes_Constante!$AC$1</f>
        <v>691082.72485820996</v>
      </c>
      <c r="AM213" s="8">
        <f>+MINVU_Mes_Corriente!AM213*SALUD_Mes_Constante!$AC$1</f>
        <v>821801.75764282746</v>
      </c>
      <c r="AN213" s="8">
        <f>+MINVU_Mes_Corriente!AN213*SALUD_Mes_Constante!$AC$1</f>
        <v>1110297.1274035135</v>
      </c>
      <c r="AO213" s="9">
        <f t="shared" si="97"/>
        <v>1110297.1274035135</v>
      </c>
      <c r="AP213" s="8">
        <f>+MINVU_Mes_Corriente!AP213*SALUD_Mes_Constante!$AP$1</f>
        <v>10454.554849181657</v>
      </c>
      <c r="AQ213" s="8">
        <f>+MINVU_Mes_Corriente!AQ213*SALUD_Mes_Constante!$AP$1</f>
        <v>16206.48126606249</v>
      </c>
      <c r="AR213" s="8">
        <f>+MINVU_Mes_Corriente!AR213*SALUD_Mes_Constante!$AP$1</f>
        <v>20749.498173948326</v>
      </c>
      <c r="AS213" s="8">
        <f>+MINVU_Mes_Corriente!AS213*SALUD_Mes_Constante!$AP$1</f>
        <v>24776.733396456104</v>
      </c>
      <c r="AT213" s="8">
        <f>+MINVU_Mes_Corriente!AT213*SALUD_Mes_Constante!$AP$1</f>
        <v>48201.20248884079</v>
      </c>
      <c r="AU213" s="8">
        <f>+MINVU_Mes_Corriente!AU213*SALUD_Mes_Constante!$AP$1</f>
        <v>52566.873258487758</v>
      </c>
      <c r="AV213" s="8">
        <f>+MINVU_Mes_Corriente!AV213*SALUD_Mes_Constante!$AP$1</f>
        <v>66689.537400243469</v>
      </c>
      <c r="AW213" s="8">
        <f>+MINVU_Mes_Corriente!AW213*SALUD_Mes_Constante!$AP$1</f>
        <v>82519.158122548353</v>
      </c>
      <c r="AX213" s="8">
        <f>+MINVU_Mes_Corriente!AX213*SALUD_Mes_Constante!$AP$1</f>
        <v>96353.634789665899</v>
      </c>
      <c r="AY213" s="8">
        <f>+MINVU_Mes_Corriente!AY213*SALUD_Mes_Constante!$AP$1</f>
        <v>128598.11849046394</v>
      </c>
      <c r="AZ213" s="8">
        <f>+MINVU_Mes_Corriente!AZ213*SALUD_Mes_Constante!$AP$1</f>
        <v>227815.89341268767</v>
      </c>
      <c r="BA213" s="8">
        <f>+MINVU_Mes_Corriente!BA213*SALUD_Mes_Constante!$AP$1</f>
        <v>699804.90572162857</v>
      </c>
      <c r="BB213" s="9">
        <f t="shared" si="98"/>
        <v>699804.90572162857</v>
      </c>
      <c r="BC213" s="8">
        <f>+MINVU_Mes_Corriente!BC213*SALUD_Mes_Constante!$BC$1</f>
        <v>4937.808519055784</v>
      </c>
      <c r="BD213" s="8">
        <f>+MINVU_Mes_Corriente!BD213*SALUD_Mes_Constante!$BC$1</f>
        <v>28220.577080311228</v>
      </c>
      <c r="BE213" s="8">
        <f>+MINVU_Mes_Corriente!BE213*SALUD_Mes_Constante!$BC$1</f>
        <v>52645.943294210745</v>
      </c>
      <c r="BF213" s="8">
        <f>+MINVU_Mes_Corriente!BF213*SALUD_Mes_Constante!$BC$1</f>
        <v>86869.120400896762</v>
      </c>
      <c r="BG213" s="8">
        <f>+MINVU_Mes_Corriente!BG213*SALUD_Mes_Constante!$BC$1</f>
        <v>101446.2458130028</v>
      </c>
      <c r="BH213" s="8">
        <f>+MINVU_Mes_Corriente!BH213*SALUD_Mes_Constante!$BC$1</f>
        <v>125996.96637214826</v>
      </c>
      <c r="BI213" s="8">
        <f>+MINVU_Mes_Corriente!BI213*SALUD_Mes_Constante!$BC$1</f>
        <v>204408.2706053014</v>
      </c>
      <c r="BJ213" s="8">
        <f>+MINVU_Mes_Corriente!BJ213*SALUD_Mes_Constante!$BC$1</f>
        <v>223405.93775550579</v>
      </c>
      <c r="BK213" s="8">
        <f>+MINVU_Mes_Corriente!BK213*SALUD_Mes_Constante!$BC$1</f>
        <v>234738.25873664781</v>
      </c>
      <c r="BL213" s="8">
        <f>+MINVU_Mes_Corriente!BL213*SALUD_Mes_Constante!$BC$1</f>
        <v>248511.38731372813</v>
      </c>
      <c r="BM213" s="8">
        <f>+MINVU_Mes_Corriente!BM213*SALUD_Mes_Constante!$BC$1</f>
        <v>271308.58789397345</v>
      </c>
      <c r="BN213" s="8">
        <f>+MINVU_Mes_Corriente!BN213*SALUD_Mes_Constante!$BC$1</f>
        <v>2973539.0687063173</v>
      </c>
      <c r="BO213" s="9">
        <f t="shared" si="99"/>
        <v>2973539.0687063173</v>
      </c>
      <c r="BP213" s="8">
        <f>+MINVU_Mes_Corriente!BP213*SALUD_Mes_Constante!$BP$1</f>
        <v>0</v>
      </c>
      <c r="BQ213" s="8">
        <f>+MINVU_Mes_Corriente!BQ213*SALUD_Mes_Constante!$BP$1</f>
        <v>0</v>
      </c>
      <c r="BR213" s="8">
        <f>+MINVU_Mes_Corriente!BR213*SALUD_Mes_Constante!$BP$1</f>
        <v>0</v>
      </c>
      <c r="BS213" s="8">
        <f>+MINVU_Mes_Corriente!BS213*SALUD_Mes_Constante!$BP$1</f>
        <v>0</v>
      </c>
      <c r="BT213" s="8">
        <f>+MINVU_Mes_Corriente!BT213*SALUD_Mes_Constante!$BP$1</f>
        <v>0</v>
      </c>
      <c r="BU213" s="8">
        <f>+MINVU_Mes_Corriente!BU213*SALUD_Mes_Constante!$BP$1</f>
        <v>0</v>
      </c>
      <c r="BV213" s="8">
        <f>+MINVU_Mes_Corriente!BV213*SALUD_Mes_Constante!$BP$1</f>
        <v>0</v>
      </c>
      <c r="BW213" s="8">
        <f>+MINVU_Mes_Corriente!BW213*SALUD_Mes_Constante!$BP$1</f>
        <v>4812.4763124199753</v>
      </c>
      <c r="BX213" s="8">
        <f>+MINVU_Mes_Corriente!BX213*SALUD_Mes_Constante!$BP$1</f>
        <v>180613.35518565943</v>
      </c>
      <c r="BY213" s="8">
        <f>+MINVU_Mes_Corriente!BY213*SALUD_Mes_Constante!$BP$1</f>
        <v>190126.38975672217</v>
      </c>
      <c r="BZ213" s="8">
        <f>+MINVU_Mes_Corriente!BZ213*SALUD_Mes_Constante!$BP$1</f>
        <v>205611.65147247122</v>
      </c>
      <c r="CA213" s="8">
        <f>+MINVU_Mes_Corriente!CA213*SALUD_Mes_Constante!$BP$1</f>
        <v>1169869.6233034572</v>
      </c>
      <c r="CB213" s="9">
        <f t="shared" si="100"/>
        <v>1169869.6233034572</v>
      </c>
      <c r="CC213" s="8">
        <f>+MINVU_Mes_Corriente!CC213*SALUD_Mes_Constante!$CC$1</f>
        <v>0</v>
      </c>
      <c r="CD213" s="8">
        <f>+MINVU_Mes_Corriente!CD213*SALUD_Mes_Constante!$CC$1</f>
        <v>6736.5453189108548</v>
      </c>
      <c r="CE213" s="8">
        <f>+MINVU_Mes_Corriente!CE213*SALUD_Mes_Constante!$CC$1</f>
        <v>26758.715404699742</v>
      </c>
      <c r="CF213" s="8">
        <f>+MINVU_Mes_Corriente!CF213*SALUD_Mes_Constante!$CC$1</f>
        <v>30323.283849309963</v>
      </c>
      <c r="CG213" s="8">
        <f>+MINVU_Mes_Corriente!CG213*SALUD_Mes_Constante!$CC$1</f>
        <v>32977.691906005224</v>
      </c>
      <c r="CH213" s="8">
        <f>+MINVU_Mes_Corriente!CH213*SALUD_Mes_Constante!$CC$1</f>
        <v>987850.04848936968</v>
      </c>
      <c r="CI213" s="8">
        <f>+MINVU_Mes_Corriente!CI213*SALUD_Mes_Constante!$CC$1</f>
        <v>991971.58075345028</v>
      </c>
      <c r="CJ213" s="8">
        <f>+MINVU_Mes_Corriente!CJ213*SALUD_Mes_Constante!$CC$1</f>
        <v>1024976.441626259</v>
      </c>
      <c r="CK213" s="8">
        <f>+MINVU_Mes_Corriente!CK213*SALUD_Mes_Constante!$CC$1</f>
        <v>1081959.2741514361</v>
      </c>
      <c r="CL213" s="8">
        <f>+MINVU_Mes_Corriente!CL213*SALUD_Mes_Constante!$CC$1</f>
        <v>1098885.540469974</v>
      </c>
      <c r="CM213" s="8">
        <f>+MINVU_Mes_Corriente!CM213*SALUD_Mes_Constante!$CC$1</f>
        <v>1385139.1331592691</v>
      </c>
      <c r="CN213" s="8">
        <f>+MINVU_Mes_Corriente!CN213*SALUD_Mes_Constante!$CC$1</f>
        <v>2711859.5538977995</v>
      </c>
      <c r="CO213" s="9">
        <f t="shared" si="101"/>
        <v>2711859.5538977995</v>
      </c>
      <c r="CP213" s="8">
        <f>+MINVU_Mes_Corriente!CP213*SALUD_Mes_Constante!$CP$1</f>
        <v>11487.510208816702</v>
      </c>
      <c r="CQ213" s="8">
        <f>+MINVU_Mes_Corriente!CQ213*SALUD_Mes_Constante!$CP$1</f>
        <v>11791.71438515081</v>
      </c>
      <c r="CR213" s="8">
        <f>+MINVU_Mes_Corriente!CR213*SALUD_Mes_Constante!$CP$1</f>
        <v>18403.085150812061</v>
      </c>
      <c r="CS213" s="8">
        <f>+MINVU_Mes_Corriente!CS213*SALUD_Mes_Constante!$CP$1</f>
        <v>24177.89443155452</v>
      </c>
      <c r="CT213" s="8">
        <f>+MINVU_Mes_Corriente!CT213*SALUD_Mes_Constante!$CP$1</f>
        <v>42842.088167053356</v>
      </c>
      <c r="CU213" s="8">
        <f>+MINVU_Mes_Corriente!CU213*SALUD_Mes_Constante!$CP$1</f>
        <v>49596.688399071914</v>
      </c>
      <c r="CV213" s="8">
        <f>+MINVU_Mes_Corriente!CV213*SALUD_Mes_Constante!$CP$1</f>
        <v>67106.173781902544</v>
      </c>
      <c r="CW213" s="8">
        <f>+MINVU_Mes_Corriente!CW213*SALUD_Mes_Constante!$CP$1</f>
        <v>82872.822737819006</v>
      </c>
      <c r="CX213" s="8">
        <f>+MINVU_Mes_Corriente!CX213*SALUD_Mes_Constante!$CP$1</f>
        <v>102694.25986078884</v>
      </c>
      <c r="CY213" s="8">
        <f>+MINVU_Mes_Corriente!CY213*SALUD_Mes_Constante!$CP$1</f>
        <v>124158.39953596285</v>
      </c>
      <c r="CZ213" s="8">
        <f>+MINVU_Mes_Corriente!CZ213*SALUD_Mes_Constante!$CP$1</f>
        <v>134018.41740139207</v>
      </c>
      <c r="DA213" s="8">
        <f>+MINVU_Mes_Corriente!DA213*SALUD_Mes_Constante!$CP$1</f>
        <v>4529647.0837586997</v>
      </c>
      <c r="DB213" s="9">
        <f t="shared" si="102"/>
        <v>4529647.0837586997</v>
      </c>
      <c r="DC213" s="8">
        <f>+MINVU_Mes_Corriente!DC213*SALUD_Mes_Constante!$DC$1</f>
        <v>0</v>
      </c>
      <c r="DD213" s="8">
        <f>+MINVU_Mes_Corriente!DD213*SALUD_Mes_Constante!$DC$1</f>
        <v>0</v>
      </c>
      <c r="DE213" s="8">
        <f>+MINVU_Mes_Corriente!DE213*SALUD_Mes_Constante!$DC$1</f>
        <v>8439.8039296368734</v>
      </c>
      <c r="DF213" s="8">
        <f>+MINVU_Mes_Corriente!DF213*SALUD_Mes_Constante!$DC$1</f>
        <v>8726.4133319617358</v>
      </c>
      <c r="DG213" s="8">
        <f>+MINVU_Mes_Corriente!DG213*SALUD_Mes_Constante!$DC$1</f>
        <v>9851.4957308918874</v>
      </c>
      <c r="DH213" s="8">
        <f>+MINVU_Mes_Corriente!DH213*SALUD_Mes_Constante!$DC$1</f>
        <v>70696.985906799746</v>
      </c>
      <c r="DI213" s="8">
        <f>+MINVU_Mes_Corriente!DI213*SALUD_Mes_Constante!$DC$1</f>
        <v>73017.960086410894</v>
      </c>
      <c r="DJ213" s="8">
        <f>+MINVU_Mes_Corriente!DJ213*SALUD_Mes_Constante!$DC$1</f>
        <v>126822.97459109151</v>
      </c>
      <c r="DK213" s="8">
        <f>+MINVU_Mes_Corriente!DK213*SALUD_Mes_Constante!$DC$1</f>
        <v>160620.40489661566</v>
      </c>
      <c r="DL213" s="8">
        <f>+MINVU_Mes_Corriente!DL213*SALUD_Mes_Constante!$DC$1</f>
        <v>214735.6319308714</v>
      </c>
      <c r="DM213" s="8">
        <f>+MINVU_Mes_Corriente!DM213*SALUD_Mes_Constante!$DC$1</f>
        <v>256684.00884682659</v>
      </c>
      <c r="DN213" s="8">
        <f>+MINVU_Mes_Corriente!DN213*SALUD_Mes_Constante!$DC$1</f>
        <v>961374.48019751103</v>
      </c>
      <c r="DO213" s="9">
        <f t="shared" si="103"/>
        <v>961374.48019751103</v>
      </c>
      <c r="DP213" s="8">
        <f>+MINVU_Mes_Corriente!DP213*SALUD_Mes_Constante!$DP$1</f>
        <v>0</v>
      </c>
      <c r="DQ213" s="8">
        <f>+MINVU_Mes_Corriente!DQ213*SALUD_Mes_Constante!$DP$1</f>
        <v>0</v>
      </c>
      <c r="DR213" s="8">
        <f>+MINVU_Mes_Corriente!DR213*SALUD_Mes_Constante!$DP$1</f>
        <v>2268.6805225653211</v>
      </c>
      <c r="DS213" s="8">
        <f>+MINVU_Mes_Corriente!DS213*SALUD_Mes_Constante!$DP$1</f>
        <v>4007.4976247030881</v>
      </c>
      <c r="DT213" s="8">
        <f>+MINVU_Mes_Corriente!DT213*SALUD_Mes_Constante!$DP$1</f>
        <v>48251.093230403807</v>
      </c>
      <c r="DU213" s="8">
        <f>+MINVU_Mes_Corriente!DU213*SALUD_Mes_Constante!$DP$1</f>
        <v>383399.43883610453</v>
      </c>
      <c r="DV213" s="8">
        <f>+MINVU_Mes_Corriente!DV213*SALUD_Mes_Constante!$DP$1</f>
        <v>559609.30403800483</v>
      </c>
      <c r="DW213" s="8">
        <f>+MINVU_Mes_Corriente!DW213*SALUD_Mes_Constante!$DP$1</f>
        <v>673395.85154394305</v>
      </c>
      <c r="DX213" s="8">
        <f>+MINVU_Mes_Corriente!DX213*SALUD_Mes_Constante!$DP$1</f>
        <v>829981.30581947754</v>
      </c>
      <c r="DY213" s="8">
        <f>+MINVU_Mes_Corriente!DY213*SALUD_Mes_Constante!$DP$1</f>
        <v>891873.67874109268</v>
      </c>
      <c r="DZ213" s="8">
        <f>+MINVU_Mes_Corriente!DZ213*SALUD_Mes_Constante!$DP$1</f>
        <v>930020.60095011885</v>
      </c>
      <c r="EA213" s="8">
        <f>+MINVU_Mes_Corriente!EA213*SALUD_Mes_Constante!$DP$1</f>
        <v>2541167.6526128268</v>
      </c>
      <c r="EB213" s="9">
        <f t="shared" si="104"/>
        <v>2541167.6526128268</v>
      </c>
      <c r="EC213" s="8">
        <f>+MINVU_Mes_Corriente!EC213*SALUD_Mes_Constante!$EC$1</f>
        <v>3056.8386669191432</v>
      </c>
      <c r="ED213" s="8">
        <f>+MINVU_Mes_Corriente!ED213*SALUD_Mes_Constante!$EC$1</f>
        <v>11077.03162279871</v>
      </c>
      <c r="EE213" s="8">
        <f>+MINVU_Mes_Corriente!EE213*SALUD_Mes_Constante!$EC$1</f>
        <v>27637.752508994501</v>
      </c>
      <c r="EF213" s="8">
        <f>+MINVU_Mes_Corriente!EF213*SALUD_Mes_Constante!$EC$1</f>
        <v>36532.066843400862</v>
      </c>
      <c r="EG213" s="8">
        <f>+MINVU_Mes_Corriente!EG213*SALUD_Mes_Constante!$EC$1</f>
        <v>73018.617307328139</v>
      </c>
      <c r="EH213" s="8">
        <f>+MINVU_Mes_Corriente!EH213*SALUD_Mes_Constante!$EC$1</f>
        <v>85669.067411475073</v>
      </c>
      <c r="EI213" s="8">
        <f>+MINVU_Mes_Corriente!EI213*SALUD_Mes_Constante!$EC$1</f>
        <v>115441.95190304863</v>
      </c>
      <c r="EJ213" s="8">
        <f>+MINVU_Mes_Corriente!EJ213*SALUD_Mes_Constante!$EC$1</f>
        <v>250511.80799091075</v>
      </c>
      <c r="EK213" s="8">
        <f>+MINVU_Mes_Corriente!EK213*SALUD_Mes_Constante!$EC$1</f>
        <v>386894.39784131781</v>
      </c>
      <c r="EL213" s="8">
        <f>+MINVU_Mes_Corriente!EL213*SALUD_Mes_Constante!$EC$1</f>
        <v>965608.2668055289</v>
      </c>
      <c r="EM213" s="8">
        <f>+MINVU_Mes_Corriente!EM213*SALUD_Mes_Constante!$EC$1</f>
        <v>1065995.6761976895</v>
      </c>
      <c r="EN213" s="8">
        <f>+MINVU_Mes_Corriente!EN213*SALUD_Mes_Constante!$EC$1</f>
        <v>1421593.4252982384</v>
      </c>
      <c r="EO213" s="9">
        <f t="shared" si="105"/>
        <v>1421593.4252982384</v>
      </c>
      <c r="EP213" s="8">
        <f>+MINVU_Mes_Corriente!EP213*SALUD_Mes_Constante!$EP$1</f>
        <v>1309</v>
      </c>
      <c r="EQ213" s="8">
        <f>+MINVU_Mes_Corriente!EQ213*SALUD_Mes_Constante!$EP$1</f>
        <v>1309</v>
      </c>
      <c r="ER213" s="8">
        <f>+MINVU_Mes_Corriente!ER213*SALUD_Mes_Constante!$EP$1</f>
        <v>31380</v>
      </c>
      <c r="ES213" s="8">
        <f>+MINVU_Mes_Corriente!ES213*SALUD_Mes_Constante!$EP$1</f>
        <v>263367</v>
      </c>
      <c r="ET213" s="8">
        <f>+MINVU_Mes_Corriente!ET213*SALUD_Mes_Constante!$EP$1</f>
        <v>284178</v>
      </c>
      <c r="EU213" s="8">
        <f>+MINVU_Mes_Corriente!EU213*SALUD_Mes_Constante!$EP$1</f>
        <v>312454</v>
      </c>
      <c r="EV213" s="8">
        <f>+MINVU_Mes_Corriente!EV213*SALUD_Mes_Constante!$EP$1</f>
        <v>354735</v>
      </c>
      <c r="EW213" s="8">
        <f>+MINVU_Mes_Corriente!EW213*SALUD_Mes_Constante!$EP$1</f>
        <v>384473</v>
      </c>
      <c r="EX213" s="8">
        <f>+MINVU_Mes_Corriente!EX213*SALUD_Mes_Constante!$EP$1</f>
        <v>655300</v>
      </c>
      <c r="EY213" s="8">
        <f>+MINVU_Mes_Corriente!EY213*SALUD_Mes_Constante!$EP$1</f>
        <v>866322</v>
      </c>
      <c r="EZ213" s="8">
        <f>+MINVU_Mes_Corriente!EZ213*SALUD_Mes_Constante!$EP$1</f>
        <v>922724</v>
      </c>
      <c r="FA213" s="8">
        <f>+MINVU_Mes_Corriente!FA213*SALUD_Mes_Constante!$EP$1</f>
        <v>2127078</v>
      </c>
      <c r="FB213" s="9">
        <f t="shared" si="106"/>
        <v>2127078</v>
      </c>
      <c r="FC213" s="8">
        <f>+MINVU_Mes_Corriente!FC213*SALUD_Mes_Constante!$FC$1</f>
        <v>647</v>
      </c>
      <c r="FD213" s="8">
        <f>+MINVU_Mes_Corriente!FD213*SALUD_Mes_Constante!$FC$1</f>
        <v>230853</v>
      </c>
      <c r="FE213" s="8">
        <f>+MINVU_Mes_Corriente!FE213*SALUD_Mes_Constante!$FC$1</f>
        <v>254446</v>
      </c>
      <c r="FF213" s="8">
        <f>+MINVU_Mes_Corriente!FF213*SALUD_Mes_Constante!$FC$1</f>
        <v>303349</v>
      </c>
      <c r="FG213" s="8">
        <f>+MINVU_Mes_Corriente!FG213*SALUD_Mes_Constante!$FC$1</f>
        <v>429268</v>
      </c>
      <c r="FH213" s="8">
        <f>+MINVU_Mes_Corriente!FH213*SALUD_Mes_Constante!$FC$1</f>
        <v>471134</v>
      </c>
      <c r="FI213" s="8">
        <f>+MINVU_Mes_Corriente!FI213*SALUD_Mes_Constante!$FC$1</f>
        <v>547602</v>
      </c>
      <c r="FJ213" s="8"/>
      <c r="FK213" s="8"/>
      <c r="FL213" s="8"/>
      <c r="FM213" s="8"/>
      <c r="FN213" s="8"/>
      <c r="FO213" s="9">
        <f t="shared" si="107"/>
        <v>547602</v>
      </c>
    </row>
    <row r="214" spans="2:171" ht="14.25" customHeight="1" x14ac:dyDescent="0.3">
      <c r="B214" s="7" t="s">
        <v>66</v>
      </c>
      <c r="C214" s="8">
        <f>+MINVU_Mes_Corriente!C214*SALUD_Mes_Constante!$C$1</f>
        <v>1761.3172178555542</v>
      </c>
      <c r="D214" s="8">
        <f>+MINVU_Mes_Corriente!D214*SALUD_Mes_Constante!$C$1</f>
        <v>7460.0777102180054</v>
      </c>
      <c r="E214" s="8">
        <f>+MINVU_Mes_Corriente!E214*SALUD_Mes_Constante!$C$1</f>
        <v>17582.385585051168</v>
      </c>
      <c r="F214" s="8">
        <f>+MINVU_Mes_Corriente!F214*SALUD_Mes_Constante!$C$1</f>
        <v>17582.385585051168</v>
      </c>
      <c r="G214" s="8">
        <f>+MINVU_Mes_Corriente!G214*SALUD_Mes_Constante!$C$1</f>
        <v>19236.75989915468</v>
      </c>
      <c r="H214" s="8">
        <f>+MINVU_Mes_Corriente!H214*SALUD_Mes_Constante!$C$1</f>
        <v>20400.169064214744</v>
      </c>
      <c r="I214" s="8">
        <f>+MINVU_Mes_Corriente!I214*SALUD_Mes_Constante!$C$1</f>
        <v>20400.169064214744</v>
      </c>
      <c r="J214" s="8">
        <f>+MINVU_Mes_Corriente!J214*SALUD_Mes_Constante!$C$1</f>
        <v>107051.46700281775</v>
      </c>
      <c r="K214" s="8">
        <f>+MINVU_Mes_Corriente!K214*SALUD_Mes_Constante!$C$1</f>
        <v>336789.12946759607</v>
      </c>
      <c r="L214" s="8">
        <f>+MINVU_Mes_Corriente!L214*SALUD_Mes_Constante!$C$1</f>
        <v>336837.73987839249</v>
      </c>
      <c r="M214" s="8">
        <f>+MINVU_Mes_Corriente!M214*SALUD_Mes_Constante!$C$1</f>
        <v>340763.84072371351</v>
      </c>
      <c r="N214" s="8">
        <f>+MINVU_Mes_Corriente!N214*SALUD_Mes_Constante!$C$1</f>
        <v>5527676.151564586</v>
      </c>
      <c r="O214" s="9">
        <f t="shared" si="95"/>
        <v>5527676.151564586</v>
      </c>
      <c r="P214" s="8">
        <f>+MINVU_Mes_Corriente!P214*SALUD_Mes_Constante!$P$1</f>
        <v>2033.3939480039771</v>
      </c>
      <c r="Q214" s="8">
        <f>+MINVU_Mes_Corriente!Q214*SALUD_Mes_Constante!$P$1</f>
        <v>2227.4200880806925</v>
      </c>
      <c r="R214" s="8">
        <f>+MINVU_Mes_Corriente!R214*SALUD_Mes_Constante!$P$1</f>
        <v>2711.7093337121742</v>
      </c>
      <c r="S214" s="8">
        <f>+MINVU_Mes_Corriente!S214*SALUD_Mes_Constante!$P$1</f>
        <v>3661.6613155277723</v>
      </c>
      <c r="T214" s="8">
        <f>+MINVU_Mes_Corriente!T214*SALUD_Mes_Constante!$P$1</f>
        <v>7166.5495098735591</v>
      </c>
      <c r="U214" s="8">
        <f>+MINVU_Mes_Corriente!U214*SALUD_Mes_Constante!$P$1</f>
        <v>8627.1782923710725</v>
      </c>
      <c r="V214" s="8">
        <f>+MINVU_Mes_Corriente!V214*SALUD_Mes_Constante!$P$1</f>
        <v>8903.4715158403142</v>
      </c>
      <c r="W214" s="8">
        <f>+MINVU_Mes_Corriente!W214*SALUD_Mes_Constante!$P$1</f>
        <v>59201.255860207391</v>
      </c>
      <c r="X214" s="8">
        <f>+MINVU_Mes_Corriente!X214*SALUD_Mes_Constante!$P$1</f>
        <v>170344.08552351181</v>
      </c>
      <c r="Y214" s="8">
        <f>+MINVU_Mes_Corriente!Y214*SALUD_Mes_Constante!$P$1</f>
        <v>497895.91078278143</v>
      </c>
      <c r="Z214" s="8">
        <f>+MINVU_Mes_Corriente!Z214*SALUD_Mes_Constante!$P$1</f>
        <v>561534.93251882354</v>
      </c>
      <c r="AA214" s="8">
        <f>+MINVU_Mes_Corriente!AA214*SALUD_Mes_Constante!$P$1</f>
        <v>4015645.7099019731</v>
      </c>
      <c r="AB214" s="9">
        <f t="shared" si="96"/>
        <v>4015645.7099019731</v>
      </c>
      <c r="AC214" s="8">
        <f>+MINVU_Mes_Corriente!AC214*SALUD_Mes_Constante!$AC$1</f>
        <v>2025.2925715866647</v>
      </c>
      <c r="AD214" s="8">
        <f>+MINVU_Mes_Corriente!AD214*SALUD_Mes_Constante!$AC$1</f>
        <v>6405.3656107345414</v>
      </c>
      <c r="AE214" s="8">
        <f>+MINVU_Mes_Corriente!AE214*SALUD_Mes_Constante!$AC$1</f>
        <v>8264.4028219670763</v>
      </c>
      <c r="AF214" s="8">
        <f>+MINVU_Mes_Corriente!AF214*SALUD_Mes_Constante!$AC$1</f>
        <v>13347.282611702864</v>
      </c>
      <c r="AG214" s="8">
        <f>+MINVU_Mes_Corriente!AG214*SALUD_Mes_Constante!$AC$1</f>
        <v>16841.668003873288</v>
      </c>
      <c r="AH214" s="8">
        <f>+MINVU_Mes_Corriente!AH214*SALUD_Mes_Constante!$AC$1</f>
        <v>19483.616821137086</v>
      </c>
      <c r="AI214" s="8">
        <f>+MINVU_Mes_Corriente!AI214*SALUD_Mes_Constante!$AC$1</f>
        <v>20993.517775625951</v>
      </c>
      <c r="AJ214" s="8">
        <f>+MINVU_Mes_Corriente!AJ214*SALUD_Mes_Constante!$AC$1</f>
        <v>25119.673537142065</v>
      </c>
      <c r="AK214" s="8">
        <f>+MINVU_Mes_Corriente!AK214*SALUD_Mes_Constante!$AC$1</f>
        <v>460284.01078987413</v>
      </c>
      <c r="AL214" s="8">
        <f>+MINVU_Mes_Corriente!AL214*SALUD_Mes_Constante!$AC$1</f>
        <v>564958.38566883386</v>
      </c>
      <c r="AM214" s="8">
        <f>+MINVU_Mes_Corriente!AM214*SALUD_Mes_Constante!$AC$1</f>
        <v>642011.69954350532</v>
      </c>
      <c r="AN214" s="8">
        <f>+MINVU_Mes_Corriente!AN214*SALUD_Mes_Constante!$AC$1</f>
        <v>1229609.5310554709</v>
      </c>
      <c r="AO214" s="9">
        <f t="shared" si="97"/>
        <v>1229609.5310554709</v>
      </c>
      <c r="AP214" s="8">
        <f>+MINVU_Mes_Corriente!AP214*SALUD_Mes_Constante!$AP$1</f>
        <v>236.46151765183279</v>
      </c>
      <c r="AQ214" s="8">
        <f>+MINVU_Mes_Corriente!AQ214*SALUD_Mes_Constante!$AP$1</f>
        <v>344.34708508048152</v>
      </c>
      <c r="AR214" s="8">
        <f>+MINVU_Mes_Corriente!AR214*SALUD_Mes_Constante!$AP$1</f>
        <v>2015.8344379818745</v>
      </c>
      <c r="AS214" s="8">
        <f>+MINVU_Mes_Corriente!AS214*SALUD_Mes_Constante!$AP$1</f>
        <v>8570.2521303936155</v>
      </c>
      <c r="AT214" s="8">
        <f>+MINVU_Mes_Corriente!AT214*SALUD_Mes_Constante!$AP$1</f>
        <v>8632.3232787772213</v>
      </c>
      <c r="AU214" s="8">
        <f>+MINVU_Mes_Corriente!AU214*SALUD_Mes_Constante!$AP$1</f>
        <v>11017.628838090084</v>
      </c>
      <c r="AV214" s="8">
        <f>+MINVU_Mes_Corriente!AV214*SALUD_Mes_Constante!$AP$1</f>
        <v>8248.0733125929928</v>
      </c>
      <c r="AW214" s="8">
        <f>+MINVU_Mes_Corriente!AW214*SALUD_Mes_Constante!$AP$1</f>
        <v>8926.4222913566882</v>
      </c>
      <c r="AX214" s="8">
        <f>+MINVU_Mes_Corriente!AX214*SALUD_Mes_Constante!$AP$1</f>
        <v>9603.2933856350592</v>
      </c>
      <c r="AY214" s="8">
        <f>+MINVU_Mes_Corriente!AY214*SALUD_Mes_Constante!$AP$1</f>
        <v>23938.772893277423</v>
      </c>
      <c r="AZ214" s="8">
        <f>+MINVU_Mes_Corriente!AZ214*SALUD_Mes_Constante!$AP$1</f>
        <v>27657.130258352492</v>
      </c>
      <c r="BA214" s="8">
        <f>+MINVU_Mes_Corriente!BA214*SALUD_Mes_Constante!$AP$1</f>
        <v>169692.17448938184</v>
      </c>
      <c r="BB214" s="9">
        <f t="shared" si="98"/>
        <v>169692.17448938184</v>
      </c>
      <c r="BC214" s="8">
        <f>+MINVU_Mes_Corriente!BC214*SALUD_Mes_Constante!$BC$1</f>
        <v>0</v>
      </c>
      <c r="BD214" s="8">
        <f>+MINVU_Mes_Corriente!BD214*SALUD_Mes_Constante!$BC$1</f>
        <v>605.15890808387201</v>
      </c>
      <c r="BE214" s="8">
        <f>+MINVU_Mes_Corriente!BE214*SALUD_Mes_Constante!$BC$1</f>
        <v>3218.8690491889761</v>
      </c>
      <c r="BF214" s="8">
        <f>+MINVU_Mes_Corriente!BF214*SALUD_Mes_Constante!$BC$1</f>
        <v>7492.4436238955577</v>
      </c>
      <c r="BG214" s="8">
        <f>+MINVU_Mes_Corriente!BG214*SALUD_Mes_Constante!$BC$1</f>
        <v>30396.267440327054</v>
      </c>
      <c r="BH214" s="8">
        <f>+MINVU_Mes_Corriente!BH214*SALUD_Mes_Constante!$BC$1</f>
        <v>33535.889489647903</v>
      </c>
      <c r="BI214" s="8">
        <f>+MINVU_Mes_Corriente!BI214*SALUD_Mes_Constante!$BC$1</f>
        <v>46454.591322695516</v>
      </c>
      <c r="BJ214" s="8">
        <f>+MINVU_Mes_Corriente!BJ214*SALUD_Mes_Constante!$BC$1</f>
        <v>48381.013846762507</v>
      </c>
      <c r="BK214" s="8">
        <f>+MINVU_Mes_Corriente!BK214*SALUD_Mes_Constante!$BC$1</f>
        <v>53099.812475273655</v>
      </c>
      <c r="BL214" s="8">
        <f>+MINVU_Mes_Corriente!BL214*SALUD_Mes_Constante!$BC$1</f>
        <v>56354.70288803905</v>
      </c>
      <c r="BM214" s="8">
        <f>+MINVU_Mes_Corriente!BM214*SALUD_Mes_Constante!$BC$1</f>
        <v>62423.582223394449</v>
      </c>
      <c r="BN214" s="8">
        <f>+MINVU_Mes_Corriente!BN214*SALUD_Mes_Constante!$BC$1</f>
        <v>2252270.3381247534</v>
      </c>
      <c r="BO214" s="9">
        <f t="shared" si="99"/>
        <v>2252270.3381247534</v>
      </c>
      <c r="BP214" s="8">
        <f>+MINVU_Mes_Corriente!BP214*SALUD_Mes_Constante!$BP$1</f>
        <v>0</v>
      </c>
      <c r="BQ214" s="8">
        <f>+MINVU_Mes_Corriente!BQ214*SALUD_Mes_Constante!$BP$1</f>
        <v>0</v>
      </c>
      <c r="BR214" s="8">
        <f>+MINVU_Mes_Corriente!BR214*SALUD_Mes_Constante!$BP$1</f>
        <v>0</v>
      </c>
      <c r="BS214" s="8">
        <f>+MINVU_Mes_Corriente!BS214*SALUD_Mes_Constante!$BP$1</f>
        <v>0</v>
      </c>
      <c r="BT214" s="8">
        <f>+MINVU_Mes_Corriente!BT214*SALUD_Mes_Constante!$BP$1</f>
        <v>0</v>
      </c>
      <c r="BU214" s="8">
        <f>+MINVU_Mes_Corriente!BU214*SALUD_Mes_Constante!$BP$1</f>
        <v>0</v>
      </c>
      <c r="BV214" s="8">
        <f>+MINVU_Mes_Corriente!BV214*SALUD_Mes_Constante!$BP$1</f>
        <v>0</v>
      </c>
      <c r="BW214" s="8">
        <f>+MINVU_Mes_Corriente!BW214*SALUD_Mes_Constante!$BP$1</f>
        <v>0</v>
      </c>
      <c r="BX214" s="8">
        <f>+MINVU_Mes_Corriente!BX214*SALUD_Mes_Constante!$BP$1</f>
        <v>1787.8909090909092</v>
      </c>
      <c r="BY214" s="8">
        <f>+MINVU_Mes_Corriente!BY214*SALUD_Mes_Constante!$BP$1</f>
        <v>6902.5459667093473</v>
      </c>
      <c r="BZ214" s="8">
        <f>+MINVU_Mes_Corriente!BZ214*SALUD_Mes_Constante!$BP$1</f>
        <v>16170.759795134445</v>
      </c>
      <c r="CA214" s="8">
        <f>+MINVU_Mes_Corriente!CA214*SALUD_Mes_Constante!$BP$1</f>
        <v>904167.76978233049</v>
      </c>
      <c r="CB214" s="9">
        <f t="shared" si="100"/>
        <v>904167.76978233049</v>
      </c>
      <c r="CC214" s="8">
        <f>+MINVU_Mes_Corriente!CC214*SALUD_Mes_Constante!$CC$1</f>
        <v>0</v>
      </c>
      <c r="CD214" s="8">
        <f>+MINVU_Mes_Corriente!CD214*SALUD_Mes_Constante!$CC$1</f>
        <v>0</v>
      </c>
      <c r="CE214" s="8">
        <f>+MINVU_Mes_Corriente!CE214*SALUD_Mes_Constante!$CC$1</f>
        <v>0</v>
      </c>
      <c r="CF214" s="8">
        <f>+MINVU_Mes_Corriente!CF214*SALUD_Mes_Constante!$CC$1</f>
        <v>767.52331219694156</v>
      </c>
      <c r="CG214" s="8">
        <f>+MINVU_Mes_Corriente!CG214*SALUD_Mes_Constante!$CC$1</f>
        <v>2506.3371876165611</v>
      </c>
      <c r="CH214" s="8">
        <f>+MINVU_Mes_Corriente!CH214*SALUD_Mes_Constante!$CC$1</f>
        <v>28619.789630734802</v>
      </c>
      <c r="CI214" s="8">
        <f>+MINVU_Mes_Corriente!CI214*SALUD_Mes_Constante!$CC$1</f>
        <v>73591.221932114888</v>
      </c>
      <c r="CJ214" s="8">
        <f>+MINVU_Mes_Corriente!CJ214*SALUD_Mes_Constante!$CC$1</f>
        <v>73906.381947034693</v>
      </c>
      <c r="CK214" s="8">
        <f>+MINVU_Mes_Corriente!CK214*SALUD_Mes_Constante!$CC$1</f>
        <v>88475.740395374873</v>
      </c>
      <c r="CL214" s="8">
        <f>+MINVU_Mes_Corriente!CL214*SALUD_Mes_Constante!$CC$1</f>
        <v>97543.383066020149</v>
      </c>
      <c r="CM214" s="8">
        <f>+MINVU_Mes_Corriente!CM214*SALUD_Mes_Constante!$CC$1</f>
        <v>107007.69265199553</v>
      </c>
      <c r="CN214" s="8">
        <f>+MINVU_Mes_Corriente!CN214*SALUD_Mes_Constante!$CC$1</f>
        <v>339908.2267810519</v>
      </c>
      <c r="CO214" s="9">
        <f t="shared" si="101"/>
        <v>339908.2267810519</v>
      </c>
      <c r="CP214" s="8">
        <f>+MINVU_Mes_Corriente!CP214*SALUD_Mes_Constante!$CP$1</f>
        <v>0</v>
      </c>
      <c r="CQ214" s="8">
        <f>+MINVU_Mes_Corriente!CQ214*SALUD_Mes_Constante!$CP$1</f>
        <v>44548.166589327135</v>
      </c>
      <c r="CR214" s="8">
        <f>+MINVU_Mes_Corriente!CR214*SALUD_Mes_Constante!$CP$1</f>
        <v>47250.513689095118</v>
      </c>
      <c r="CS214" s="8">
        <f>+MINVU_Mes_Corriente!CS214*SALUD_Mes_Constante!$CP$1</f>
        <v>50861.670765661242</v>
      </c>
      <c r="CT214" s="8">
        <f>+MINVU_Mes_Corriente!CT214*SALUD_Mes_Constante!$CP$1</f>
        <v>54103.980278422263</v>
      </c>
      <c r="CU214" s="8">
        <f>+MINVU_Mes_Corriente!CU214*SALUD_Mes_Constante!$CP$1</f>
        <v>57019.270301624121</v>
      </c>
      <c r="CV214" s="8">
        <f>+MINVU_Mes_Corriente!CV214*SALUD_Mes_Constante!$CP$1</f>
        <v>62657.187703016229</v>
      </c>
      <c r="CW214" s="8">
        <f>+MINVU_Mes_Corriente!CW214*SALUD_Mes_Constante!$CP$1</f>
        <v>67578.957772621798</v>
      </c>
      <c r="CX214" s="8">
        <f>+MINVU_Mes_Corriente!CX214*SALUD_Mes_Constante!$CP$1</f>
        <v>80849.864965197194</v>
      </c>
      <c r="CY214" s="8">
        <f>+MINVU_Mes_Corriente!CY214*SALUD_Mes_Constante!$CP$1</f>
        <v>149757.18097447793</v>
      </c>
      <c r="CZ214" s="8">
        <f>+MINVU_Mes_Corriente!CZ214*SALUD_Mes_Constante!$CP$1</f>
        <v>580256.7911832945</v>
      </c>
      <c r="DA214" s="8">
        <f>+MINVU_Mes_Corriente!DA214*SALUD_Mes_Constante!$CP$1</f>
        <v>1464029.4967517399</v>
      </c>
      <c r="DB214" s="9">
        <f t="shared" si="102"/>
        <v>1464029.4967517399</v>
      </c>
      <c r="DC214" s="8">
        <f>+MINVU_Mes_Corriente!DC214*SALUD_Mes_Constante!$DC$1</f>
        <v>0</v>
      </c>
      <c r="DD214" s="8">
        <f>+MINVU_Mes_Corriente!DD214*SALUD_Mes_Constante!$DC$1</f>
        <v>6261.5724719679074</v>
      </c>
      <c r="DE214" s="8">
        <f>+MINVU_Mes_Corriente!DE214*SALUD_Mes_Constante!$DC$1</f>
        <v>15752.277543462615</v>
      </c>
      <c r="DF214" s="8">
        <f>+MINVU_Mes_Corriente!DF214*SALUD_Mes_Constante!$DC$1</f>
        <v>18012.557967287325</v>
      </c>
      <c r="DG214" s="8">
        <f>+MINVU_Mes_Corriente!DG214*SALUD_Mes_Constante!$DC$1</f>
        <v>41080.680999897151</v>
      </c>
      <c r="DH214" s="8">
        <f>+MINVU_Mes_Corriente!DH214*SALUD_Mes_Constante!$DC$1</f>
        <v>53652.156156774021</v>
      </c>
      <c r="DI214" s="8">
        <f>+MINVU_Mes_Corriente!DI214*SALUD_Mes_Constante!$DC$1</f>
        <v>81025.040016459257</v>
      </c>
      <c r="DJ214" s="8">
        <f>+MINVU_Mes_Corriente!DJ214*SALUD_Mes_Constante!$DC$1</f>
        <v>101790.17220450575</v>
      </c>
      <c r="DK214" s="8">
        <f>+MINVU_Mes_Corriente!DK214*SALUD_Mes_Constante!$DC$1</f>
        <v>144140.92624215622</v>
      </c>
      <c r="DL214" s="8">
        <f>+MINVU_Mes_Corriente!DL214*SALUD_Mes_Constante!$DC$1</f>
        <v>175018.31251928821</v>
      </c>
      <c r="DM214" s="8">
        <f>+MINVU_Mes_Corriente!DM214*SALUD_Mes_Constante!$DC$1</f>
        <v>326056.97171072953</v>
      </c>
      <c r="DN214" s="8">
        <f>+MINVU_Mes_Corriente!DN214*SALUD_Mes_Constante!$DC$1</f>
        <v>2541902.8225491215</v>
      </c>
      <c r="DO214" s="9">
        <f t="shared" si="103"/>
        <v>2541902.8225491215</v>
      </c>
      <c r="DP214" s="8">
        <f>+MINVU_Mes_Corriente!DP214*SALUD_Mes_Constante!$DP$1</f>
        <v>3152.1466745843231</v>
      </c>
      <c r="DQ214" s="8">
        <f>+MINVU_Mes_Corriente!DQ214*SALUD_Mes_Constante!$DP$1</f>
        <v>7123.9596199524949</v>
      </c>
      <c r="DR214" s="8">
        <f>+MINVU_Mes_Corriente!DR214*SALUD_Mes_Constante!$DP$1</f>
        <v>17741.773752969122</v>
      </c>
      <c r="DS214" s="8">
        <f>+MINVU_Mes_Corriente!DS214*SALUD_Mes_Constante!$DP$1</f>
        <v>24622.428741092637</v>
      </c>
      <c r="DT214" s="8">
        <f>+MINVU_Mes_Corriente!DT214*SALUD_Mes_Constante!$DP$1</f>
        <v>36736.836698337298</v>
      </c>
      <c r="DU214" s="8">
        <f>+MINVU_Mes_Corriente!DU214*SALUD_Mes_Constante!$DP$1</f>
        <v>42267.96199524941</v>
      </c>
      <c r="DV214" s="8">
        <f>+MINVU_Mes_Corriente!DV214*SALUD_Mes_Constante!$DP$1</f>
        <v>74665.325415676969</v>
      </c>
      <c r="DW214" s="8">
        <f>+MINVU_Mes_Corriente!DW214*SALUD_Mes_Constante!$DP$1</f>
        <v>133630.47327790974</v>
      </c>
      <c r="DX214" s="8">
        <f>+MINVU_Mes_Corriente!DX214*SALUD_Mes_Constante!$DP$1</f>
        <v>205344.78384798102</v>
      </c>
      <c r="DY214" s="8">
        <f>+MINVU_Mes_Corriente!DY214*SALUD_Mes_Constante!$DP$1</f>
        <v>286182.47743467934</v>
      </c>
      <c r="DZ214" s="8">
        <f>+MINVU_Mes_Corriente!DZ214*SALUD_Mes_Constante!$DP$1</f>
        <v>372751.34679334919</v>
      </c>
      <c r="EA214" s="8">
        <f>+MINVU_Mes_Corriente!EA214*SALUD_Mes_Constante!$DP$1</f>
        <v>2668205.111045131</v>
      </c>
      <c r="EB214" s="9">
        <f t="shared" si="104"/>
        <v>2668205.111045131</v>
      </c>
      <c r="EC214" s="8">
        <f>+MINVU_Mes_Corriente!EC214*SALUD_Mes_Constante!$EC$1</f>
        <v>3303.0409013444414</v>
      </c>
      <c r="ED214" s="8">
        <f>+MINVU_Mes_Corriente!ED214*SALUD_Mes_Constante!$EC$1</f>
        <v>18271.722969134629</v>
      </c>
      <c r="EE214" s="8">
        <f>+MINVU_Mes_Corriente!EE214*SALUD_Mes_Constante!$EC$1</f>
        <v>31203.547055481908</v>
      </c>
      <c r="EF214" s="8">
        <f>+MINVU_Mes_Corriente!EF214*SALUD_Mes_Constante!$EC$1</f>
        <v>47949.436849081598</v>
      </c>
      <c r="EG214" s="8">
        <f>+MINVU_Mes_Corriente!EG214*SALUD_Mes_Constante!$EC$1</f>
        <v>82093.962696458984</v>
      </c>
      <c r="EH214" s="8">
        <f>+MINVU_Mes_Corriente!EH214*SALUD_Mes_Constante!$EC$1</f>
        <v>127617.58341223249</v>
      </c>
      <c r="EI214" s="8">
        <f>+MINVU_Mes_Corriente!EI214*SALUD_Mes_Constante!$EC$1</f>
        <v>190430.18708577915</v>
      </c>
      <c r="EJ214" s="8">
        <f>+MINVU_Mes_Corriente!EJ214*SALUD_Mes_Constante!$EC$1</f>
        <v>238109.62904752881</v>
      </c>
      <c r="EK214" s="8">
        <f>+MINVU_Mes_Corriente!EK214*SALUD_Mes_Constante!$EC$1</f>
        <v>284423.57962507091</v>
      </c>
      <c r="EL214" s="8">
        <f>+MINVU_Mes_Corriente!EL214*SALUD_Mes_Constante!$EC$1</f>
        <v>308496.57205074787</v>
      </c>
      <c r="EM214" s="8">
        <f>+MINVU_Mes_Corriente!EM214*SALUD_Mes_Constante!$EC$1</f>
        <v>375820.46960802865</v>
      </c>
      <c r="EN214" s="8">
        <f>+MINVU_Mes_Corriente!EN214*SALUD_Mes_Constante!$EC$1</f>
        <v>540453.21416398394</v>
      </c>
      <c r="EO214" s="9">
        <f t="shared" si="105"/>
        <v>540453.21416398394</v>
      </c>
      <c r="EP214" s="8">
        <f>+MINVU_Mes_Corriente!EP214*SALUD_Mes_Constante!$EP$1</f>
        <v>59530</v>
      </c>
      <c r="EQ214" s="8">
        <f>+MINVU_Mes_Corriente!EQ214*SALUD_Mes_Constante!$EP$1</f>
        <v>60488</v>
      </c>
      <c r="ER214" s="8">
        <f>+MINVU_Mes_Corriente!ER214*SALUD_Mes_Constante!$EP$1</f>
        <v>83054</v>
      </c>
      <c r="ES214" s="8">
        <f>+MINVU_Mes_Corriente!ES214*SALUD_Mes_Constante!$EP$1</f>
        <v>119825</v>
      </c>
      <c r="ET214" s="8">
        <f>+MINVU_Mes_Corriente!ET214*SALUD_Mes_Constante!$EP$1</f>
        <v>128008</v>
      </c>
      <c r="EU214" s="8">
        <f>+MINVU_Mes_Corriente!EU214*SALUD_Mes_Constante!$EP$1</f>
        <v>151607</v>
      </c>
      <c r="EV214" s="8">
        <f>+MINVU_Mes_Corriente!EV214*SALUD_Mes_Constante!$EP$1</f>
        <v>184343</v>
      </c>
      <c r="EW214" s="8">
        <f>+MINVU_Mes_Corriente!EW214*SALUD_Mes_Constante!$EP$1</f>
        <v>271953</v>
      </c>
      <c r="EX214" s="8">
        <f>+MINVU_Mes_Corriente!EX214*SALUD_Mes_Constante!$EP$1</f>
        <v>319661</v>
      </c>
      <c r="EY214" s="8">
        <f>+MINVU_Mes_Corriente!EY214*SALUD_Mes_Constante!$EP$1</f>
        <v>418635</v>
      </c>
      <c r="EZ214" s="8">
        <f>+MINVU_Mes_Corriente!EZ214*SALUD_Mes_Constante!$EP$1</f>
        <v>590698</v>
      </c>
      <c r="FA214" s="8">
        <f>+MINVU_Mes_Corriente!FA214*SALUD_Mes_Constante!$EP$1</f>
        <v>744771</v>
      </c>
      <c r="FB214" s="9">
        <f t="shared" si="106"/>
        <v>744771</v>
      </c>
      <c r="FC214" s="8">
        <f>+MINVU_Mes_Corriente!FC214*SALUD_Mes_Constante!$FC$1</f>
        <v>1639</v>
      </c>
      <c r="FD214" s="8">
        <f>+MINVU_Mes_Corriente!FD214*SALUD_Mes_Constante!$FC$1</f>
        <v>13310</v>
      </c>
      <c r="FE214" s="8">
        <f>+MINVU_Mes_Corriente!FE214*SALUD_Mes_Constante!$FC$1</f>
        <v>29913</v>
      </c>
      <c r="FF214" s="8">
        <f>+MINVU_Mes_Corriente!FF214*SALUD_Mes_Constante!$FC$1</f>
        <v>195548</v>
      </c>
      <c r="FG214" s="8">
        <f>+MINVU_Mes_Corriente!FG214*SALUD_Mes_Constante!$FC$1</f>
        <v>200942</v>
      </c>
      <c r="FH214" s="8">
        <f>+MINVU_Mes_Corriente!FH214*SALUD_Mes_Constante!$FC$1</f>
        <v>213577</v>
      </c>
      <c r="FI214" s="8">
        <f>+MINVU_Mes_Corriente!FI214*SALUD_Mes_Constante!$FC$1</f>
        <v>246781</v>
      </c>
      <c r="FJ214" s="8"/>
      <c r="FK214" s="8"/>
      <c r="FL214" s="8"/>
      <c r="FM214" s="8"/>
      <c r="FN214" s="8"/>
      <c r="FO214" s="9">
        <f t="shared" si="107"/>
        <v>246781</v>
      </c>
    </row>
    <row r="215" spans="2:171" ht="14.25" customHeight="1" x14ac:dyDescent="0.3">
      <c r="B215" s="7" t="s">
        <v>67</v>
      </c>
      <c r="C215" s="8">
        <f>+MINVU_Mes_Corriente!C215*SALUD_Mes_Constante!$C$1</f>
        <v>7348.2737653863278</v>
      </c>
      <c r="D215" s="8">
        <f>+MINVU_Mes_Corriente!D215*SALUD_Mes_Constante!$C$1</f>
        <v>24575.803351623908</v>
      </c>
      <c r="E215" s="8">
        <f>+MINVU_Mes_Corriente!E215*SALUD_Mes_Constante!$C$1</f>
        <v>33792.337238617831</v>
      </c>
      <c r="F215" s="8">
        <f>+MINVU_Mes_Corriente!F215*SALUD_Mes_Constante!$C$1</f>
        <v>54968.652528548133</v>
      </c>
      <c r="G215" s="8">
        <f>+MINVU_Mes_Corriente!G215*SALUD_Mes_Constante!$C$1</f>
        <v>68224.711552721346</v>
      </c>
      <c r="H215" s="8">
        <f>+MINVU_Mes_Corriente!H215*SALUD_Mes_Constante!$C$1</f>
        <v>89812.594987394346</v>
      </c>
      <c r="I215" s="8">
        <f>+MINVU_Mes_Corriente!I215*SALUD_Mes_Constante!$C$1</f>
        <v>108350.98531810769</v>
      </c>
      <c r="J215" s="8">
        <f>+MINVU_Mes_Corriente!J215*SALUD_Mes_Constante!$C$1</f>
        <v>154995.91517128877</v>
      </c>
      <c r="K215" s="8">
        <f>+MINVU_Mes_Corriente!K215*SALUD_Mes_Constante!$C$1</f>
        <v>181780.25152009493</v>
      </c>
      <c r="L215" s="8">
        <f>+MINVU_Mes_Corriente!L215*SALUD_Mes_Constante!$C$1</f>
        <v>206416.00771170107</v>
      </c>
      <c r="M215" s="8">
        <f>+MINVU_Mes_Corriente!M215*SALUD_Mes_Constante!$C$1</f>
        <v>218393.61293192944</v>
      </c>
      <c r="N215" s="8">
        <f>+MINVU_Mes_Corriente!N215*SALUD_Mes_Constante!$C$1</f>
        <v>806287.92110336653</v>
      </c>
      <c r="O215" s="9">
        <f t="shared" si="95"/>
        <v>806287.92110336653</v>
      </c>
      <c r="P215" s="8">
        <f>+MINVU_Mes_Corriente!P215*SALUD_Mes_Constante!$P$1</f>
        <v>5154.8864895581737</v>
      </c>
      <c r="Q215" s="8">
        <f>+MINVU_Mes_Corriente!Q215*SALUD_Mes_Constante!$P$1</f>
        <v>16981.16777951413</v>
      </c>
      <c r="R215" s="8">
        <f>+MINVU_Mes_Corriente!R215*SALUD_Mes_Constante!$P$1</f>
        <v>46999.339963062921</v>
      </c>
      <c r="S215" s="8">
        <f>+MINVU_Mes_Corriente!S215*SALUD_Mes_Constante!$P$1</f>
        <v>73250.300610882201</v>
      </c>
      <c r="T215" s="8">
        <f>+MINVU_Mes_Corriente!T215*SALUD_Mes_Constante!$P$1</f>
        <v>105222.70407728366</v>
      </c>
      <c r="U215" s="8">
        <f>+MINVU_Mes_Corriente!U215*SALUD_Mes_Constante!$P$1</f>
        <v>134803.15328881939</v>
      </c>
      <c r="V215" s="8">
        <f>+MINVU_Mes_Corriente!V215*SALUD_Mes_Constante!$P$1</f>
        <v>146194.8160250035</v>
      </c>
      <c r="W215" s="8">
        <f>+MINVU_Mes_Corriente!W215*SALUD_Mes_Constante!$P$1</f>
        <v>160510.84074442385</v>
      </c>
      <c r="X215" s="8">
        <f>+MINVU_Mes_Corriente!X215*SALUD_Mes_Constante!$P$1</f>
        <v>202037.09134820278</v>
      </c>
      <c r="Y215" s="8">
        <f>+MINVU_Mes_Corriente!Y215*SALUD_Mes_Constante!$P$1</f>
        <v>213459.79826679919</v>
      </c>
      <c r="Z215" s="8">
        <f>+MINVU_Mes_Corriente!Z215*SALUD_Mes_Constante!$P$1</f>
        <v>343257.07714163931</v>
      </c>
      <c r="AA215" s="8">
        <f>+MINVU_Mes_Corriente!AA215*SALUD_Mes_Constante!$P$1</f>
        <v>1836013.4840176154</v>
      </c>
      <c r="AB215" s="9">
        <f t="shared" si="96"/>
        <v>1836013.4840176154</v>
      </c>
      <c r="AC215" s="8">
        <f>+MINVU_Mes_Corriente!AC215*SALUD_Mes_Constante!$AC$1</f>
        <v>575.84811177202937</v>
      </c>
      <c r="AD215" s="8">
        <f>+MINVU_Mes_Corriente!AD215*SALUD_Mes_Constante!$AC$1</f>
        <v>5453.1758196154378</v>
      </c>
      <c r="AE215" s="8">
        <f>+MINVU_Mes_Corriente!AE215*SALUD_Mes_Constante!$AC$1</f>
        <v>20680.655415686815</v>
      </c>
      <c r="AF215" s="8">
        <f>+MINVU_Mes_Corriente!AF215*SALUD_Mes_Constante!$AC$1</f>
        <v>34978.616406141926</v>
      </c>
      <c r="AG215" s="8">
        <f>+MINVU_Mes_Corriente!AG215*SALUD_Mes_Constante!$AC$1</f>
        <v>96812.007746576288</v>
      </c>
      <c r="AH215" s="8">
        <f>+MINVU_Mes_Corriente!AH215*SALUD_Mes_Constante!$AC$1</f>
        <v>200869.72637985891</v>
      </c>
      <c r="AI215" s="8">
        <f>+MINVU_Mes_Corriente!AI215*SALUD_Mes_Constante!$AC$1</f>
        <v>214333.38774380967</v>
      </c>
      <c r="AJ215" s="8">
        <f>+MINVU_Mes_Corriente!AJ215*SALUD_Mes_Constante!$AC$1</f>
        <v>349952.4194217734</v>
      </c>
      <c r="AK215" s="8">
        <f>+MINVU_Mes_Corriente!AK215*SALUD_Mes_Constante!$AC$1</f>
        <v>370459.26241527183</v>
      </c>
      <c r="AL215" s="8">
        <f>+MINVU_Mes_Corriente!AL215*SALUD_Mes_Constante!$AC$1</f>
        <v>397870.23710056714</v>
      </c>
      <c r="AM215" s="8">
        <f>+MINVU_Mes_Corriente!AM215*SALUD_Mes_Constante!$AC$1</f>
        <v>613580.52151058242</v>
      </c>
      <c r="AN215" s="8">
        <f>+MINVU_Mes_Corriente!AN215*SALUD_Mes_Constante!$AC$1</f>
        <v>990880.43629824324</v>
      </c>
      <c r="AO215" s="9">
        <f t="shared" si="97"/>
        <v>990880.43629824324</v>
      </c>
      <c r="AP215" s="8">
        <f>+MINVU_Mes_Corriente!AP215*SALUD_Mes_Constante!$AP$1</f>
        <v>4535.6274854592175</v>
      </c>
      <c r="AQ215" s="8">
        <f>+MINVU_Mes_Corriente!AQ215*SALUD_Mes_Constante!$AP$1</f>
        <v>11784.650885973217</v>
      </c>
      <c r="AR215" s="8">
        <f>+MINVU_Mes_Corriente!AR215*SALUD_Mes_Constante!$AP$1</f>
        <v>20953.446232923034</v>
      </c>
      <c r="AS215" s="8">
        <f>+MINVU_Mes_Corriente!AS215*SALUD_Mes_Constante!$AP$1</f>
        <v>59622.293791424316</v>
      </c>
      <c r="AT215" s="8">
        <f>+MINVU_Mes_Corriente!AT215*SALUD_Mes_Constante!$AP$1</f>
        <v>62657.868524279722</v>
      </c>
      <c r="AU215" s="8">
        <f>+MINVU_Mes_Corriente!AU215*SALUD_Mes_Constante!$AP$1</f>
        <v>107743.69051805761</v>
      </c>
      <c r="AV215" s="8">
        <f>+MINVU_Mes_Corriente!AV215*SALUD_Mes_Constante!$AP$1</f>
        <v>147801.74949276343</v>
      </c>
      <c r="AW215" s="8">
        <f>+MINVU_Mes_Corriente!AW215*SALUD_Mes_Constante!$AP$1</f>
        <v>211021.21412146624</v>
      </c>
      <c r="AX215" s="8">
        <f>+MINVU_Mes_Corriente!AX215*SALUD_Mes_Constante!$AP$1</f>
        <v>214410.00324631407</v>
      </c>
      <c r="AY215" s="8">
        <f>+MINVU_Mes_Corriente!AY215*SALUD_Mes_Constante!$AP$1</f>
        <v>302654.48586500745</v>
      </c>
      <c r="AZ215" s="8">
        <f>+MINVU_Mes_Corriente!AZ215*SALUD_Mes_Constante!$AP$1</f>
        <v>316639.70674962801</v>
      </c>
      <c r="BA215" s="8">
        <f>+MINVU_Mes_Corriente!BA215*SALUD_Mes_Constante!$AP$1</f>
        <v>475151.68510753411</v>
      </c>
      <c r="BB215" s="9">
        <f t="shared" si="98"/>
        <v>475151.68510753411</v>
      </c>
      <c r="BC215" s="8">
        <f>+MINVU_Mes_Corriente!BC215*SALUD_Mes_Constante!$BC$1</f>
        <v>1370.2526704470529</v>
      </c>
      <c r="BD215" s="8">
        <f>+MINVU_Mes_Corriente!BD215*SALUD_Mes_Constante!$BC$1</f>
        <v>15454.605828827645</v>
      </c>
      <c r="BE215" s="8">
        <f>+MINVU_Mes_Corriente!BE215*SALUD_Mes_Constante!$BC$1</f>
        <v>23967.174469207443</v>
      </c>
      <c r="BF215" s="8">
        <f>+MINVU_Mes_Corriente!BF215*SALUD_Mes_Constante!$BC$1</f>
        <v>76165.012000527509</v>
      </c>
      <c r="BG215" s="8">
        <f>+MINVU_Mes_Corriente!BG215*SALUD_Mes_Constante!$BC$1</f>
        <v>80935.681392588711</v>
      </c>
      <c r="BH215" s="8">
        <f>+MINVU_Mes_Corriente!BH215*SALUD_Mes_Constante!$BC$1</f>
        <v>94462.423842806296</v>
      </c>
      <c r="BI215" s="8">
        <f>+MINVU_Mes_Corriente!BI215*SALUD_Mes_Constante!$BC$1</f>
        <v>97035.79005670581</v>
      </c>
      <c r="BJ215" s="8">
        <f>+MINVU_Mes_Corriente!BJ215*SALUD_Mes_Constante!$BC$1</f>
        <v>108522.28247395493</v>
      </c>
      <c r="BK215" s="8">
        <f>+MINVU_Mes_Corriente!BK215*SALUD_Mes_Constante!$BC$1</f>
        <v>117846.05222207573</v>
      </c>
      <c r="BL215" s="8">
        <f>+MINVU_Mes_Corriente!BL215*SALUD_Mes_Constante!$BC$1</f>
        <v>128449.300804431</v>
      </c>
      <c r="BM215" s="8">
        <f>+MINVU_Mes_Corriente!BM215*SALUD_Mes_Constante!$BC$1</f>
        <v>154423.58565211663</v>
      </c>
      <c r="BN215" s="8">
        <f>+MINVU_Mes_Corriente!BN215*SALUD_Mes_Constante!$BC$1</f>
        <v>3236386.9587234613</v>
      </c>
      <c r="BO215" s="9">
        <f t="shared" si="99"/>
        <v>3236386.9587234613</v>
      </c>
      <c r="BP215" s="8">
        <f>+MINVU_Mes_Corriente!BP215*SALUD_Mes_Constante!$BP$1</f>
        <v>0</v>
      </c>
      <c r="BQ215" s="8">
        <f>+MINVU_Mes_Corriente!BQ215*SALUD_Mes_Constante!$BP$1</f>
        <v>0</v>
      </c>
      <c r="BR215" s="8">
        <f>+MINVU_Mes_Corriente!BR215*SALUD_Mes_Constante!$BP$1</f>
        <v>0</v>
      </c>
      <c r="BS215" s="8">
        <f>+MINVU_Mes_Corriente!BS215*SALUD_Mes_Constante!$BP$1</f>
        <v>0</v>
      </c>
      <c r="BT215" s="8">
        <f>+MINVU_Mes_Corriente!BT215*SALUD_Mes_Constante!$BP$1</f>
        <v>0</v>
      </c>
      <c r="BU215" s="8">
        <f>+MINVU_Mes_Corriente!BU215*SALUD_Mes_Constante!$BP$1</f>
        <v>0</v>
      </c>
      <c r="BV215" s="8">
        <f>+MINVU_Mes_Corriente!BV215*SALUD_Mes_Constante!$BP$1</f>
        <v>0</v>
      </c>
      <c r="BW215" s="8">
        <f>+MINVU_Mes_Corriente!BW215*SALUD_Mes_Constante!$BP$1</f>
        <v>22015.680153649169</v>
      </c>
      <c r="BX215" s="8">
        <f>+MINVU_Mes_Corriente!BX215*SALUD_Mes_Constante!$BP$1</f>
        <v>22015.680153649169</v>
      </c>
      <c r="BY215" s="8">
        <f>+MINVU_Mes_Corriente!BY215*SALUD_Mes_Constante!$BP$1</f>
        <v>31299.282714468634</v>
      </c>
      <c r="BZ215" s="8">
        <f>+MINVU_Mes_Corriente!BZ215*SALUD_Mes_Constante!$BP$1</f>
        <v>356773.7708066582</v>
      </c>
      <c r="CA215" s="8">
        <f>+MINVU_Mes_Corriente!CA215*SALUD_Mes_Constante!$BP$1</f>
        <v>3537080.5551856598</v>
      </c>
      <c r="CB215" s="9">
        <f t="shared" si="100"/>
        <v>3537080.5551856598</v>
      </c>
      <c r="CC215" s="8">
        <f>+MINVU_Mes_Corriente!CC215*SALUD_Mes_Constante!$CC$1</f>
        <v>0</v>
      </c>
      <c r="CD215" s="8">
        <f>+MINVU_Mes_Corriente!CD215*SALUD_Mes_Constante!$CC$1</f>
        <v>0</v>
      </c>
      <c r="CE215" s="8">
        <f>+MINVU_Mes_Corriente!CE215*SALUD_Mes_Constante!$CC$1</f>
        <v>1949.3733681462143</v>
      </c>
      <c r="CF215" s="8">
        <f>+MINVU_Mes_Corriente!CF215*SALUD_Mes_Constante!$CC$1</f>
        <v>11235.72622155912</v>
      </c>
      <c r="CG215" s="8">
        <f>+MINVU_Mes_Corriente!CG215*SALUD_Mes_Constante!$CC$1</f>
        <v>48799.539723983595</v>
      </c>
      <c r="CH215" s="8">
        <f>+MINVU_Mes_Corriente!CH215*SALUD_Mes_Constante!$CC$1</f>
        <v>407107.94927265949</v>
      </c>
      <c r="CI215" s="8">
        <f>+MINVU_Mes_Corriente!CI215*SALUD_Mes_Constante!$CC$1</f>
        <v>421719.41961954499</v>
      </c>
      <c r="CJ215" s="8">
        <f>+MINVU_Mes_Corriente!CJ215*SALUD_Mes_Constante!$CC$1</f>
        <v>937826.5468108916</v>
      </c>
      <c r="CK215" s="8">
        <f>+MINVU_Mes_Corriente!CK215*SALUD_Mes_Constante!$CC$1</f>
        <v>1385973.2204401344</v>
      </c>
      <c r="CL215" s="8">
        <f>+MINVU_Mes_Corriente!CL215*SALUD_Mes_Constante!$CC$1</f>
        <v>1499892.698246923</v>
      </c>
      <c r="CM215" s="8">
        <f>+MINVU_Mes_Corriente!CM215*SALUD_Mes_Constante!$CC$1</f>
        <v>1902323.5098843717</v>
      </c>
      <c r="CN215" s="8">
        <f>+MINVU_Mes_Corriente!CN215*SALUD_Mes_Constante!$CC$1</f>
        <v>2933267.6150690042</v>
      </c>
      <c r="CO215" s="9">
        <f t="shared" si="101"/>
        <v>2933267.6150690042</v>
      </c>
      <c r="CP215" s="8">
        <f>+MINVU_Mes_Corriente!CP215*SALUD_Mes_Constante!$CP$1</f>
        <v>15591.731554524358</v>
      </c>
      <c r="CQ215" s="8">
        <f>+MINVU_Mes_Corriente!CQ215*SALUD_Mes_Constante!$CP$1</f>
        <v>26181.839443155448</v>
      </c>
      <c r="CR215" s="8">
        <f>+MINVU_Mes_Corriente!CR215*SALUD_Mes_Constante!$CP$1</f>
        <v>28064.10278422273</v>
      </c>
      <c r="CS215" s="8">
        <f>+MINVU_Mes_Corriente!CS215*SALUD_Mes_Constante!$CP$1</f>
        <v>30624.487935034798</v>
      </c>
      <c r="CT215" s="8">
        <f>+MINVU_Mes_Corriente!CT215*SALUD_Mes_Constante!$CP$1</f>
        <v>47305.01693735498</v>
      </c>
      <c r="CU215" s="8">
        <f>+MINVU_Mes_Corriente!CU215*SALUD_Mes_Constante!$CP$1</f>
        <v>95162.67146171692</v>
      </c>
      <c r="CV215" s="8">
        <f>+MINVU_Mes_Corriente!CV215*SALUD_Mes_Constante!$CP$1</f>
        <v>96632.991647331772</v>
      </c>
      <c r="CW215" s="8">
        <f>+MINVU_Mes_Corriente!CW215*SALUD_Mes_Constante!$CP$1</f>
        <v>96632.991647331772</v>
      </c>
      <c r="CX215" s="8">
        <f>+MINVU_Mes_Corriente!CX215*SALUD_Mes_Constante!$CP$1</f>
        <v>162344.89628770298</v>
      </c>
      <c r="CY215" s="8">
        <f>+MINVU_Mes_Corriente!CY215*SALUD_Mes_Constante!$CP$1</f>
        <v>175631.0136890951</v>
      </c>
      <c r="CZ215" s="8">
        <f>+MINVU_Mes_Corriente!CZ215*SALUD_Mes_Constante!$CP$1</f>
        <v>195414.42529002315</v>
      </c>
      <c r="DA215" s="8">
        <f>+MINVU_Mes_Corriente!DA215*SALUD_Mes_Constante!$CP$1</f>
        <v>2145512.7626450113</v>
      </c>
      <c r="DB215" s="9">
        <f t="shared" si="102"/>
        <v>2145512.7626450113</v>
      </c>
      <c r="DC215" s="8">
        <f>+MINVU_Mes_Corriente!DC215*SALUD_Mes_Constante!$DC$1</f>
        <v>415.86462298117499</v>
      </c>
      <c r="DD215" s="8">
        <f>+MINVU_Mes_Corriente!DD215*SALUD_Mes_Constante!$DC$1</f>
        <v>971.10009258306809</v>
      </c>
      <c r="DE215" s="8">
        <f>+MINVU_Mes_Corriente!DE215*SALUD_Mes_Constante!$DC$1</f>
        <v>3992.3003806192796</v>
      </c>
      <c r="DF215" s="8">
        <f>+MINVU_Mes_Corriente!DF215*SALUD_Mes_Constante!$DC$1</f>
        <v>13486.377327435455</v>
      </c>
      <c r="DG215" s="8">
        <f>+MINVU_Mes_Corriente!DG215*SALUD_Mes_Constante!$DC$1</f>
        <v>19223.061207694689</v>
      </c>
      <c r="DH215" s="8">
        <f>+MINVU_Mes_Corriente!DH215*SALUD_Mes_Constante!$DC$1</f>
        <v>20398.721736446878</v>
      </c>
      <c r="DI215" s="8">
        <f>+MINVU_Mes_Corriente!DI215*SALUD_Mes_Constante!$DC$1</f>
        <v>66461.910503034698</v>
      </c>
      <c r="DJ215" s="8">
        <f>+MINVU_Mes_Corriente!DJ215*SALUD_Mes_Constante!$DC$1</f>
        <v>84990.365394506778</v>
      </c>
      <c r="DK215" s="8">
        <f>+MINVU_Mes_Corriente!DK215*SALUD_Mes_Constante!$DC$1</f>
        <v>116534.25902684915</v>
      </c>
      <c r="DL215" s="8">
        <f>+MINVU_Mes_Corriente!DL215*SALUD_Mes_Constante!$DC$1</f>
        <v>196869.18856084775</v>
      </c>
      <c r="DM215" s="8">
        <f>+MINVU_Mes_Corriente!DM215*SALUD_Mes_Constante!$DC$1</f>
        <v>253207.60539039207</v>
      </c>
      <c r="DN215" s="8">
        <f>+MINVU_Mes_Corriente!DN215*SALUD_Mes_Constante!$DC$1</f>
        <v>3015686.1479271692</v>
      </c>
      <c r="DO215" s="9">
        <f t="shared" si="103"/>
        <v>3015686.1479271692</v>
      </c>
      <c r="DP215" s="8">
        <f>+MINVU_Mes_Corriente!DP215*SALUD_Mes_Constante!$DP$1</f>
        <v>900.76781472684092</v>
      </c>
      <c r="DQ215" s="8">
        <f>+MINVU_Mes_Corriente!DQ215*SALUD_Mes_Constante!$DP$1</f>
        <v>36421.081353919246</v>
      </c>
      <c r="DR215" s="8">
        <f>+MINVU_Mes_Corriente!DR215*SALUD_Mes_Constante!$DP$1</f>
        <v>36421.081353919246</v>
      </c>
      <c r="DS215" s="8">
        <f>+MINVU_Mes_Corriente!DS215*SALUD_Mes_Constante!$DP$1</f>
        <v>38274.521971496441</v>
      </c>
      <c r="DT215" s="8">
        <f>+MINVU_Mes_Corriente!DT215*SALUD_Mes_Constante!$DP$1</f>
        <v>50307.828384798107</v>
      </c>
      <c r="DU215" s="8">
        <f>+MINVU_Mes_Corriente!DU215*SALUD_Mes_Constante!$DP$1</f>
        <v>52298.600950118773</v>
      </c>
      <c r="DV215" s="8">
        <f>+MINVU_Mes_Corriente!DV215*SALUD_Mes_Constante!$DP$1</f>
        <v>72998.959026128272</v>
      </c>
      <c r="DW215" s="8">
        <f>+MINVU_Mes_Corriente!DW215*SALUD_Mes_Constante!$DP$1</f>
        <v>276643.85451306414</v>
      </c>
      <c r="DX215" s="8">
        <f>+MINVU_Mes_Corriente!DX215*SALUD_Mes_Constante!$DP$1</f>
        <v>307224.54334916867</v>
      </c>
      <c r="DY215" s="8">
        <f>+MINVU_Mes_Corriente!DY215*SALUD_Mes_Constante!$DP$1</f>
        <v>362590.94536817103</v>
      </c>
      <c r="DZ215" s="8">
        <f>+MINVU_Mes_Corriente!DZ215*SALUD_Mes_Constante!$DP$1</f>
        <v>4055915.2464370551</v>
      </c>
      <c r="EA215" s="8">
        <f>+MINVU_Mes_Corriente!EA215*SALUD_Mes_Constante!$DP$1</f>
        <v>5026569.8836104516</v>
      </c>
      <c r="EB215" s="9">
        <f t="shared" si="104"/>
        <v>5026569.8836104516</v>
      </c>
      <c r="EC215" s="8">
        <f>+MINVU_Mes_Corriente!EC215*SALUD_Mes_Constante!$EC$1</f>
        <v>4507.1560310547229</v>
      </c>
      <c r="ED215" s="8">
        <f>+MINVU_Mes_Corriente!ED215*SALUD_Mes_Constante!$EC$1</f>
        <v>4507.1560310547229</v>
      </c>
      <c r="EE215" s="8">
        <f>+MINVU_Mes_Corriente!EE215*SALUD_Mes_Constante!$EC$1</f>
        <v>4507.1560310547229</v>
      </c>
      <c r="EF215" s="8">
        <f>+MINVU_Mes_Corriente!EF215*SALUD_Mes_Constante!$EC$1</f>
        <v>7799.8523007006224</v>
      </c>
      <c r="EG215" s="8">
        <f>+MINVU_Mes_Corriente!EG215*SALUD_Mes_Constante!$EC$1</f>
        <v>23735.757432304479</v>
      </c>
      <c r="EH215" s="8">
        <f>+MINVU_Mes_Corriente!EH215*SALUD_Mes_Constante!$EC$1</f>
        <v>29324.961939026689</v>
      </c>
      <c r="EI215" s="8">
        <f>+MINVU_Mes_Corriente!EI215*SALUD_Mes_Constante!$EC$1</f>
        <v>81695.694376065119</v>
      </c>
      <c r="EJ215" s="8">
        <f>+MINVU_Mes_Corriente!EJ215*SALUD_Mes_Constante!$EC$1</f>
        <v>101233.60026510127</v>
      </c>
      <c r="EK215" s="8">
        <f>+MINVU_Mes_Corriente!EK215*SALUD_Mes_Constante!$EC$1</f>
        <v>111584.43874266234</v>
      </c>
      <c r="EL215" s="8">
        <f>+MINVU_Mes_Corriente!EL215*SALUD_Mes_Constante!$EC$1</f>
        <v>213287.68528687741</v>
      </c>
      <c r="EM215" s="8">
        <f>+MINVU_Mes_Corriente!EM215*SALUD_Mes_Constante!$EC$1</f>
        <v>260433.34425298229</v>
      </c>
      <c r="EN215" s="8">
        <f>+MINVU_Mes_Corriente!EN215*SALUD_Mes_Constante!$EC$1</f>
        <v>1000295.8858170798</v>
      </c>
      <c r="EO215" s="9">
        <f t="shared" si="105"/>
        <v>1000295.8858170798</v>
      </c>
      <c r="EP215" s="8">
        <f>+MINVU_Mes_Corriente!EP215*SALUD_Mes_Constante!$EP$1</f>
        <v>5104</v>
      </c>
      <c r="EQ215" s="8">
        <f>+MINVU_Mes_Corriente!EQ215*SALUD_Mes_Constante!$EP$1</f>
        <v>8496</v>
      </c>
      <c r="ER215" s="8">
        <f>+MINVU_Mes_Corriente!ER215*SALUD_Mes_Constante!$EP$1</f>
        <v>16055</v>
      </c>
      <c r="ES215" s="8">
        <f>+MINVU_Mes_Corriente!ES215*SALUD_Mes_Constante!$EP$1</f>
        <v>57885</v>
      </c>
      <c r="ET215" s="8">
        <f>+MINVU_Mes_Corriente!ET215*SALUD_Mes_Constante!$EP$1</f>
        <v>66753</v>
      </c>
      <c r="EU215" s="8">
        <f>+MINVU_Mes_Corriente!EU215*SALUD_Mes_Constante!$EP$1</f>
        <v>109688</v>
      </c>
      <c r="EV215" s="8">
        <f>+MINVU_Mes_Corriente!EV215*SALUD_Mes_Constante!$EP$1</f>
        <v>135958</v>
      </c>
      <c r="EW215" s="8">
        <f>+MINVU_Mes_Corriente!EW215*SALUD_Mes_Constante!$EP$1</f>
        <v>239374</v>
      </c>
      <c r="EX215" s="8">
        <f>+MINVU_Mes_Corriente!EX215*SALUD_Mes_Constante!$EP$1</f>
        <v>332103</v>
      </c>
      <c r="EY215" s="8">
        <f>+MINVU_Mes_Corriente!EY215*SALUD_Mes_Constante!$EP$1</f>
        <v>339056</v>
      </c>
      <c r="EZ215" s="8">
        <f>+MINVU_Mes_Corriente!EZ215*SALUD_Mes_Constante!$EP$1</f>
        <v>775321</v>
      </c>
      <c r="FA215" s="8">
        <f>+MINVU_Mes_Corriente!FA215*SALUD_Mes_Constante!$EP$1</f>
        <v>1012874</v>
      </c>
      <c r="FB215" s="9">
        <f t="shared" si="106"/>
        <v>1012874</v>
      </c>
      <c r="FC215" s="8">
        <f>+MINVU_Mes_Corriente!FC215*SALUD_Mes_Constante!$FC$1</f>
        <v>61186</v>
      </c>
      <c r="FD215" s="8">
        <f>+MINVU_Mes_Corriente!FD215*SALUD_Mes_Constante!$FC$1</f>
        <v>66826</v>
      </c>
      <c r="FE215" s="8">
        <f>+MINVU_Mes_Corriente!FE215*SALUD_Mes_Constante!$FC$1</f>
        <v>67791</v>
      </c>
      <c r="FF215" s="8">
        <f>+MINVU_Mes_Corriente!FF215*SALUD_Mes_Constante!$FC$1</f>
        <v>71684</v>
      </c>
      <c r="FG215" s="8">
        <f>+MINVU_Mes_Corriente!FG215*SALUD_Mes_Constante!$FC$1</f>
        <v>379965</v>
      </c>
      <c r="FH215" s="8">
        <f>+MINVU_Mes_Corriente!FH215*SALUD_Mes_Constante!$FC$1</f>
        <v>384834</v>
      </c>
      <c r="FI215" s="8">
        <f>+MINVU_Mes_Corriente!FI215*SALUD_Mes_Constante!$FC$1</f>
        <v>413085</v>
      </c>
      <c r="FJ215" s="8"/>
      <c r="FK215" s="8"/>
      <c r="FL215" s="8"/>
      <c r="FM215" s="8"/>
      <c r="FN215" s="8"/>
      <c r="FO215" s="9">
        <f t="shared" si="107"/>
        <v>413085</v>
      </c>
    </row>
    <row r="216" spans="2:171" ht="14.25" customHeight="1" x14ac:dyDescent="0.3">
      <c r="B216" s="32" t="s">
        <v>68</v>
      </c>
      <c r="C216" s="8">
        <f>+MINVU_Mes_Corriente!C216*SALUD_Mes_Constante!$C$1</f>
        <v>32871.980127539675</v>
      </c>
      <c r="D216" s="8">
        <f>+MINVU_Mes_Corriente!D216*SALUD_Mes_Constante!$C$1</f>
        <v>53080.948242621984</v>
      </c>
      <c r="E216" s="8">
        <f>+MINVU_Mes_Corriente!E216*SALUD_Mes_Constante!$C$1</f>
        <v>92781.070740026713</v>
      </c>
      <c r="F216" s="8">
        <f>+MINVU_Mes_Corriente!F216*SALUD_Mes_Constante!$C$1</f>
        <v>374061.97211923479</v>
      </c>
      <c r="G216" s="8">
        <f>+MINVU_Mes_Corriente!G216*SALUD_Mes_Constante!$C$1</f>
        <v>416873.16090760793</v>
      </c>
      <c r="H216" s="8">
        <f>+MINVU_Mes_Corriente!H216*SALUD_Mes_Constante!$C$1</f>
        <v>614589.5254337833</v>
      </c>
      <c r="I216" s="8">
        <f>+MINVU_Mes_Corriente!I216*SALUD_Mes_Constante!$C$1</f>
        <v>874614.71451876033</v>
      </c>
      <c r="J216" s="8">
        <f>+MINVU_Mes_Corriente!J216*SALUD_Mes_Constante!$C$1</f>
        <v>1070621.6129319295</v>
      </c>
      <c r="K216" s="8">
        <f>+MINVU_Mes_Corriente!K216*SALUD_Mes_Constante!$C$1</f>
        <v>1234471.104256266</v>
      </c>
      <c r="L216" s="8">
        <f>+MINVU_Mes_Corriente!L216*SALUD_Mes_Constante!$C$1</f>
        <v>1454267.9377131842</v>
      </c>
      <c r="M216" s="8">
        <f>+MINVU_Mes_Corriente!M216*SALUD_Mes_Constante!$C$1</f>
        <v>1674361.2946759604</v>
      </c>
      <c r="N216" s="8">
        <f>+MINVU_Mes_Corriente!N216*SALUD_Mes_Constante!$C$1</f>
        <v>19110037.419249594</v>
      </c>
      <c r="O216" s="9">
        <f t="shared" si="95"/>
        <v>19110037.419249594</v>
      </c>
      <c r="P216" s="8">
        <f>+MINVU_Mes_Corriente!P216*SALUD_Mes_Constante!$P$1</f>
        <v>14489.872140929105</v>
      </c>
      <c r="Q216" s="8">
        <f>+MINVU_Mes_Corriente!Q216*SALUD_Mes_Constante!$P$1</f>
        <v>58653.326040630753</v>
      </c>
      <c r="R216" s="8">
        <f>+MINVU_Mes_Corriente!R216*SALUD_Mes_Constante!$P$1</f>
        <v>143801.30956101714</v>
      </c>
      <c r="S216" s="8">
        <f>+MINVU_Mes_Corriente!S216*SALUD_Mes_Constante!$P$1</f>
        <v>169290.13553061508</v>
      </c>
      <c r="T216" s="8">
        <f>+MINVU_Mes_Corriente!T216*SALUD_Mes_Constante!$P$1</f>
        <v>213740.74811763025</v>
      </c>
      <c r="U216" s="8">
        <f>+MINVU_Mes_Corriente!U216*SALUD_Mes_Constante!$P$1</f>
        <v>297142.4963773262</v>
      </c>
      <c r="V216" s="8">
        <f>+MINVU_Mes_Corriente!V216*SALUD_Mes_Constante!$P$1</f>
        <v>347252.46341809904</v>
      </c>
      <c r="W216" s="8">
        <f>+MINVU_Mes_Corriente!W216*SALUD_Mes_Constante!$P$1</f>
        <v>479402.89131978957</v>
      </c>
      <c r="X216" s="8">
        <f>+MINVU_Mes_Corriente!X216*SALUD_Mes_Constante!$P$1</f>
        <v>621492.11422076973</v>
      </c>
      <c r="Y216" s="8">
        <f>+MINVU_Mes_Corriente!Y216*SALUD_Mes_Constante!$P$1</f>
        <v>743332.7691433439</v>
      </c>
      <c r="Z216" s="8">
        <f>+MINVU_Mes_Corriente!Z216*SALUD_Mes_Constante!$P$1</f>
        <v>1521110.6108822271</v>
      </c>
      <c r="AA216" s="8">
        <f>+MINVU_Mes_Corriente!AA216*SALUD_Mes_Constante!$P$1</f>
        <v>13143444.040062504</v>
      </c>
      <c r="AB216" s="9">
        <f t="shared" si="96"/>
        <v>13143444.040062504</v>
      </c>
      <c r="AC216" s="8">
        <f>+MINVU_Mes_Corriente!AC216*SALUD_Mes_Constante!$AC$1</f>
        <v>16918.750034582928</v>
      </c>
      <c r="AD216" s="8">
        <f>+MINVU_Mes_Corriente!AD216*SALUD_Mes_Constante!$AC$1</f>
        <v>33656.130585143175</v>
      </c>
      <c r="AE216" s="8">
        <f>+MINVU_Mes_Corriente!AE216*SALUD_Mes_Constante!$AC$1</f>
        <v>49030.217180799555</v>
      </c>
      <c r="AF216" s="8">
        <f>+MINVU_Mes_Corriente!AF216*SALUD_Mes_Constante!$AC$1</f>
        <v>88592.947295614882</v>
      </c>
      <c r="AG216" s="8">
        <f>+MINVU_Mes_Corriente!AG216*SALUD_Mes_Constante!$AC$1</f>
        <v>156390.37183566191</v>
      </c>
      <c r="AH216" s="8">
        <f>+MINVU_Mes_Corriente!AH216*SALUD_Mes_Constante!$AC$1</f>
        <v>198335.08784064185</v>
      </c>
      <c r="AI216" s="8">
        <f>+MINVU_Mes_Corriente!AI216*SALUD_Mes_Constante!$AC$1</f>
        <v>281450.67671877163</v>
      </c>
      <c r="AJ216" s="8">
        <f>+MINVU_Mes_Corriente!AJ216*SALUD_Mes_Constante!$AC$1</f>
        <v>308903.97095033893</v>
      </c>
      <c r="AK216" s="8">
        <f>+MINVU_Mes_Corriente!AK216*SALUD_Mes_Constante!$AC$1</f>
        <v>350957.50864573248</v>
      </c>
      <c r="AL216" s="8">
        <f>+MINVU_Mes_Corriente!AL216*SALUD_Mes_Constante!$AC$1</f>
        <v>509108.67588878132</v>
      </c>
      <c r="AM216" s="8">
        <f>+MINVU_Mes_Corriente!AM216*SALUD_Mes_Constante!$AC$1</f>
        <v>523905.40296029882</v>
      </c>
      <c r="AN216" s="8">
        <f>+MINVU_Mes_Corriente!AN216*SALUD_Mes_Constante!$AC$1</f>
        <v>1649795.771752663</v>
      </c>
      <c r="AO216" s="9">
        <f t="shared" si="97"/>
        <v>1649795.771752663</v>
      </c>
      <c r="AP216" s="8">
        <f>+MINVU_Mes_Corriente!AP216*SALUD_Mes_Constante!$AP$1</f>
        <v>11143.24901934262</v>
      </c>
      <c r="AQ216" s="8">
        <f>+MINVU_Mes_Corriente!AQ216*SALUD_Mes_Constante!$AP$1</f>
        <v>68785.177600432842</v>
      </c>
      <c r="AR216" s="8">
        <f>+MINVU_Mes_Corriente!AR216*SALUD_Mes_Constante!$AP$1</f>
        <v>200748.43906397943</v>
      </c>
      <c r="AS216" s="8">
        <f>+MINVU_Mes_Corriente!AS216*SALUD_Mes_Constante!$AP$1</f>
        <v>242355.32097930473</v>
      </c>
      <c r="AT216" s="8">
        <f>+MINVU_Mes_Corriente!AT216*SALUD_Mes_Constante!$AP$1</f>
        <v>156943.94291897741</v>
      </c>
      <c r="AU216" s="8">
        <f>+MINVU_Mes_Corriente!AU216*SALUD_Mes_Constante!$AP$1</f>
        <v>184323.23089408898</v>
      </c>
      <c r="AV216" s="8">
        <f>+MINVU_Mes_Corriente!AV216*SALUD_Mes_Constante!$AP$1</f>
        <v>215389.84066008384</v>
      </c>
      <c r="AW216" s="8">
        <f>+MINVU_Mes_Corriente!AW216*SALUD_Mes_Constante!$AP$1</f>
        <v>333110.72933856351</v>
      </c>
      <c r="AX216" s="8">
        <f>+MINVU_Mes_Corriente!AX216*SALUD_Mes_Constante!$AP$1</f>
        <v>501778.72987961583</v>
      </c>
      <c r="AY216" s="8">
        <f>+MINVU_Mes_Corriente!AY216*SALUD_Mes_Constante!$AP$1</f>
        <v>535153.79521168675</v>
      </c>
      <c r="AZ216" s="8">
        <f>+MINVU_Mes_Corriente!AZ216*SALUD_Mes_Constante!$AP$1</f>
        <v>610125.39726768562</v>
      </c>
      <c r="BA216" s="8">
        <f>+MINVU_Mes_Corriente!BA216*SALUD_Mes_Constante!$AP$1</f>
        <v>1961870.9638847557</v>
      </c>
      <c r="BB216" s="9">
        <f t="shared" si="98"/>
        <v>1961870.9638847557</v>
      </c>
      <c r="BC216" s="8">
        <f>+MINVU_Mes_Corriente!BC216*SALUD_Mes_Constante!$BC$1</f>
        <v>20360.715547936179</v>
      </c>
      <c r="BD216" s="8">
        <f>+MINVU_Mes_Corriente!BD216*SALUD_Mes_Constante!$BC$1</f>
        <v>79153.344322827397</v>
      </c>
      <c r="BE216" s="8">
        <f>+MINVU_Mes_Corriente!BE216*SALUD_Mes_Constante!$BC$1</f>
        <v>125652.60213635767</v>
      </c>
      <c r="BF216" s="8">
        <f>+MINVU_Mes_Corriente!BF216*SALUD_Mes_Constante!$BC$1</f>
        <v>240982.92232625617</v>
      </c>
      <c r="BG216" s="8">
        <f>+MINVU_Mes_Corriente!BG216*SALUD_Mes_Constante!$BC$1</f>
        <v>295898.21152578143</v>
      </c>
      <c r="BH216" s="8">
        <f>+MINVU_Mes_Corriente!BH216*SALUD_Mes_Constante!$BC$1</f>
        <v>347168.13873137289</v>
      </c>
      <c r="BI216" s="8">
        <f>+MINVU_Mes_Corriente!BI216*SALUD_Mes_Constante!$BC$1</f>
        <v>366332.9450085719</v>
      </c>
      <c r="BJ216" s="8">
        <f>+MINVU_Mes_Corriente!BJ216*SALUD_Mes_Constante!$BC$1</f>
        <v>399427.93300804443</v>
      </c>
      <c r="BK216" s="8">
        <f>+MINVU_Mes_Corriente!BK216*SALUD_Mes_Constante!$BC$1</f>
        <v>476179.37280759605</v>
      </c>
      <c r="BL216" s="8">
        <f>+MINVU_Mes_Corriente!BL216*SALUD_Mes_Constante!$BC$1</f>
        <v>2362374.6788869845</v>
      </c>
      <c r="BM216" s="8">
        <f>+MINVU_Mes_Corriente!BM216*SALUD_Mes_Constante!$BC$1</f>
        <v>2665249.5081102471</v>
      </c>
      <c r="BN216" s="8">
        <f>+MINVU_Mes_Corriente!BN216*SALUD_Mes_Constante!$BC$1</f>
        <v>10469434.98008704</v>
      </c>
      <c r="BO216" s="9">
        <f t="shared" si="99"/>
        <v>10469434.98008704</v>
      </c>
      <c r="BP216" s="8">
        <f>+MINVU_Mes_Corriente!BP216*SALUD_Mes_Constante!$BP$1</f>
        <v>0</v>
      </c>
      <c r="BQ216" s="8">
        <f>+MINVU_Mes_Corriente!BQ216*SALUD_Mes_Constante!$BP$1</f>
        <v>0</v>
      </c>
      <c r="BR216" s="8">
        <f>+MINVU_Mes_Corriente!BR216*SALUD_Mes_Constante!$BP$1</f>
        <v>0</v>
      </c>
      <c r="BS216" s="8">
        <f>+MINVU_Mes_Corriente!BS216*SALUD_Mes_Constante!$BP$1</f>
        <v>0</v>
      </c>
      <c r="BT216" s="8">
        <f>+MINVU_Mes_Corriente!BT216*SALUD_Mes_Constante!$BP$1</f>
        <v>0</v>
      </c>
      <c r="BU216" s="8">
        <f>+MINVU_Mes_Corriente!BU216*SALUD_Mes_Constante!$BP$1</f>
        <v>15272.617413572345</v>
      </c>
      <c r="BV216" s="8">
        <f>+MINVU_Mes_Corriente!BV216*SALUD_Mes_Constante!$BP$1</f>
        <v>92053.998207426383</v>
      </c>
      <c r="BW216" s="8">
        <f>+MINVU_Mes_Corriente!BW216*SALUD_Mes_Constante!$BP$1</f>
        <v>118824.79667093471</v>
      </c>
      <c r="BX216" s="8">
        <f>+MINVU_Mes_Corriente!BX216*SALUD_Mes_Constante!$BP$1</f>
        <v>387888.38873239444</v>
      </c>
      <c r="BY216" s="8">
        <f>+MINVU_Mes_Corriente!BY216*SALUD_Mes_Constante!$BP$1</f>
        <v>666869.31933418696</v>
      </c>
      <c r="BZ216" s="8">
        <f>+MINVU_Mes_Corriente!BZ216*SALUD_Mes_Constante!$BP$1</f>
        <v>4770148.9044814343</v>
      </c>
      <c r="CA216" s="8">
        <f>+MINVU_Mes_Corriente!CA216*SALUD_Mes_Constante!$BP$1</f>
        <v>17144831.581306022</v>
      </c>
      <c r="CB216" s="9">
        <f t="shared" si="100"/>
        <v>17144831.581306022</v>
      </c>
      <c r="CC216" s="8">
        <f>+MINVU_Mes_Corriente!CC216*SALUD_Mes_Constante!$CC$1</f>
        <v>0</v>
      </c>
      <c r="CD216" s="8">
        <f>+MINVU_Mes_Corriente!CD216*SALUD_Mes_Constante!$CC$1</f>
        <v>6333.0861618798963</v>
      </c>
      <c r="CE216" s="8">
        <f>+MINVU_Mes_Corriente!CE216*SALUD_Mes_Constante!$CC$1</f>
        <v>18620.25139873182</v>
      </c>
      <c r="CF216" s="8">
        <f>+MINVU_Mes_Corriente!CF216*SALUD_Mes_Constante!$CC$1</f>
        <v>43936.294666169342</v>
      </c>
      <c r="CG216" s="8">
        <f>+MINVU_Mes_Corriente!CG216*SALUD_Mes_Constante!$CC$1</f>
        <v>114030.87057068259</v>
      </c>
      <c r="CH216" s="8">
        <f>+MINVU_Mes_Corriente!CH216*SALUD_Mes_Constante!$CC$1</f>
        <v>240218.49533756063</v>
      </c>
      <c r="CI216" s="8">
        <f>+MINVU_Mes_Corriente!CI216*SALUD_Mes_Constante!$CC$1</f>
        <v>350165.87019768747</v>
      </c>
      <c r="CJ216" s="8">
        <f>+MINVU_Mes_Corriente!CJ216*SALUD_Mes_Constante!$CC$1</f>
        <v>415716.43640432676</v>
      </c>
      <c r="CK216" s="8">
        <f>+MINVU_Mes_Corriente!CK216*SALUD_Mes_Constante!$CC$1</f>
        <v>415867.2241700858</v>
      </c>
      <c r="CL216" s="8">
        <f>+MINVU_Mes_Corriente!CL216*SALUD_Mes_Constante!$CC$1</f>
        <v>535460.940693771</v>
      </c>
      <c r="CM216" s="8">
        <f>+MINVU_Mes_Corriente!CM216*SALUD_Mes_Constante!$CC$1</f>
        <v>580178.34315553901</v>
      </c>
      <c r="CN216" s="8">
        <f>+MINVU_Mes_Corriente!CN216*SALUD_Mes_Constante!$CC$1</f>
        <v>1920055.3360686314</v>
      </c>
      <c r="CO216" s="9">
        <f t="shared" si="101"/>
        <v>1920055.3360686314</v>
      </c>
      <c r="CP216" s="8">
        <f>+MINVU_Mes_Corriente!CP216*SALUD_Mes_Constante!$CP$1</f>
        <v>0</v>
      </c>
      <c r="CQ216" s="8">
        <f>+MINVU_Mes_Corriente!CQ216*SALUD_Mes_Constante!$CP$1</f>
        <v>8610.2457076566116</v>
      </c>
      <c r="CR216" s="8">
        <f>+MINVU_Mes_Corriente!CR216*SALUD_Mes_Constante!$CP$1</f>
        <v>98302.312064965183</v>
      </c>
      <c r="CS216" s="8">
        <f>+MINVU_Mes_Corriente!CS216*SALUD_Mes_Constante!$CP$1</f>
        <v>155120.04709976795</v>
      </c>
      <c r="CT216" s="8">
        <f>+MINVU_Mes_Corriente!CT216*SALUD_Mes_Constante!$CP$1</f>
        <v>180172.52853828302</v>
      </c>
      <c r="CU216" s="8">
        <f>+MINVU_Mes_Corriente!CU216*SALUD_Mes_Constante!$CP$1</f>
        <v>201052.34269141528</v>
      </c>
      <c r="CV216" s="8">
        <f>+MINVU_Mes_Corriente!CV216*SALUD_Mes_Constante!$CP$1</f>
        <v>413140.95939675166</v>
      </c>
      <c r="CW216" s="8">
        <f>+MINVU_Mes_Corriente!CW216*SALUD_Mes_Constante!$CP$1</f>
        <v>446854.38723897905</v>
      </c>
      <c r="CX216" s="8">
        <f>+MINVU_Mes_Corriente!CX216*SALUD_Mes_Constante!$CP$1</f>
        <v>455123.67076566117</v>
      </c>
      <c r="CY216" s="8">
        <f>+MINVU_Mes_Corriente!CY216*SALUD_Mes_Constante!$CP$1</f>
        <v>475600.41438515071</v>
      </c>
      <c r="CZ216" s="8">
        <f>+MINVU_Mes_Corriente!CZ216*SALUD_Mes_Constante!$CP$1</f>
        <v>592611.28329466342</v>
      </c>
      <c r="DA216" s="8">
        <f>+MINVU_Mes_Corriente!DA216*SALUD_Mes_Constante!$CP$1</f>
        <v>2390187.9842227371</v>
      </c>
      <c r="DB216" s="9">
        <f t="shared" si="102"/>
        <v>2390187.9842227371</v>
      </c>
      <c r="DC216" s="8">
        <f>+MINVU_Mes_Corriente!DC216*SALUD_Mes_Constante!$DC$1</f>
        <v>7157.367349038168</v>
      </c>
      <c r="DD216" s="8">
        <f>+MINVU_Mes_Corriente!DD216*SALUD_Mes_Constante!$DC$1</f>
        <v>15979.317148441525</v>
      </c>
      <c r="DE216" s="8">
        <f>+MINVU_Mes_Corriente!DE216*SALUD_Mes_Constante!$DC$1</f>
        <v>36694.995165106491</v>
      </c>
      <c r="DF216" s="8">
        <f>+MINVU_Mes_Corriente!DF216*SALUD_Mes_Constante!$DC$1</f>
        <v>46738.68778932211</v>
      </c>
      <c r="DG216" s="8">
        <f>+MINVU_Mes_Corriente!DG216*SALUD_Mes_Constante!$DC$1</f>
        <v>56762.149161608912</v>
      </c>
      <c r="DH216" s="8">
        <f>+MINVU_Mes_Corriente!DH216*SALUD_Mes_Constante!$DC$1</f>
        <v>111752.93982100612</v>
      </c>
      <c r="DI216" s="8">
        <f>+MINVU_Mes_Corriente!DI216*SALUD_Mes_Constante!$DC$1</f>
        <v>127170.27774920281</v>
      </c>
      <c r="DJ216" s="8">
        <f>+MINVU_Mes_Corriente!DJ216*SALUD_Mes_Constante!$DC$1</f>
        <v>670450.20141960739</v>
      </c>
      <c r="DK216" s="8">
        <f>+MINVU_Mes_Corriente!DK216*SALUD_Mes_Constante!$DC$1</f>
        <v>697805.1019442447</v>
      </c>
      <c r="DL216" s="8">
        <f>+MINVU_Mes_Corriente!DL216*SALUD_Mes_Constante!$DC$1</f>
        <v>753681.57185474783</v>
      </c>
      <c r="DM216" s="8">
        <f>+MINVU_Mes_Corriente!DM216*SALUD_Mes_Constante!$DC$1</f>
        <v>1346239.2054315405</v>
      </c>
      <c r="DN216" s="8">
        <f>+MINVU_Mes_Corriente!DN216*SALUD_Mes_Constante!$DC$1</f>
        <v>4332972.1839316962</v>
      </c>
      <c r="DO216" s="9">
        <f t="shared" si="103"/>
        <v>4332972.1839316962</v>
      </c>
      <c r="DP216" s="8">
        <f>+MINVU_Mes_Corriente!DP216*SALUD_Mes_Constante!$DP$1</f>
        <v>1561.4750593824228</v>
      </c>
      <c r="DQ216" s="8">
        <f>+MINVU_Mes_Corriente!DQ216*SALUD_Mes_Constante!$DP$1</f>
        <v>4980.7161520190029</v>
      </c>
      <c r="DR216" s="8">
        <f>+MINVU_Mes_Corriente!DR216*SALUD_Mes_Constante!$DP$1</f>
        <v>37996.614014251783</v>
      </c>
      <c r="DS216" s="8">
        <f>+MINVU_Mes_Corriente!DS216*SALUD_Mes_Constante!$DP$1</f>
        <v>54232.061757719719</v>
      </c>
      <c r="DT216" s="8">
        <f>+MINVU_Mes_Corriente!DT216*SALUD_Mes_Constante!$DP$1</f>
        <v>112938.76603325417</v>
      </c>
      <c r="DU216" s="8">
        <f>+MINVU_Mes_Corriente!DU216*SALUD_Mes_Constante!$DP$1</f>
        <v>466316.57600950124</v>
      </c>
      <c r="DV216" s="8">
        <f>+MINVU_Mes_Corriente!DV216*SALUD_Mes_Constante!$DP$1</f>
        <v>673248.78741092642</v>
      </c>
      <c r="DW216" s="8">
        <f>+MINVU_Mes_Corriente!DW216*SALUD_Mes_Constante!$DP$1</f>
        <v>847799.85570071265</v>
      </c>
      <c r="DX216" s="8">
        <f>+MINVU_Mes_Corriente!DX216*SALUD_Mes_Constante!$DP$1</f>
        <v>954308.89133016637</v>
      </c>
      <c r="DY216" s="8">
        <f>+MINVU_Mes_Corriente!DY216*SALUD_Mes_Constante!$DP$1</f>
        <v>1340647.450118765</v>
      </c>
      <c r="DZ216" s="8">
        <f>+MINVU_Mes_Corriente!DZ216*SALUD_Mes_Constante!$DP$1</f>
        <v>2115448.3467933494</v>
      </c>
      <c r="EA216" s="8">
        <f>+MINVU_Mes_Corriente!EA216*SALUD_Mes_Constante!$DP$1</f>
        <v>4498435.5480997628</v>
      </c>
      <c r="EB216" s="9">
        <f t="shared" si="104"/>
        <v>4498435.5480997628</v>
      </c>
      <c r="EC216" s="8">
        <f>+MINVU_Mes_Corriente!EC216*SALUD_Mes_Constante!$EC$1</f>
        <v>2350.3003219087286</v>
      </c>
      <c r="ED216" s="8">
        <f>+MINVU_Mes_Corriente!ED216*SALUD_Mes_Constante!$EC$1</f>
        <v>29200.826358644186</v>
      </c>
      <c r="EE216" s="8">
        <f>+MINVU_Mes_Corriente!EE216*SALUD_Mes_Constante!$EC$1</f>
        <v>111778.91781859493</v>
      </c>
      <c r="EF216" s="8">
        <f>+MINVU_Mes_Corriente!EF216*SALUD_Mes_Constante!$EC$1</f>
        <v>242494.71842454074</v>
      </c>
      <c r="EG216" s="8">
        <f>+MINVU_Mes_Corriente!EG216*SALUD_Mes_Constante!$EC$1</f>
        <v>152374.35599318307</v>
      </c>
      <c r="EH216" s="8">
        <f>+MINVU_Mes_Corriente!EH216*SALUD_Mes_Constante!$EC$1</f>
        <v>615618.34254875954</v>
      </c>
      <c r="EI216" s="8">
        <f>+MINVU_Mes_Corriente!EI216*SALUD_Mes_Constante!$EC$1</f>
        <v>688258.34633592097</v>
      </c>
      <c r="EJ216" s="8">
        <f>+MINVU_Mes_Corriente!EJ216*SALUD_Mes_Constante!$EC$1</f>
        <v>727882.423594016</v>
      </c>
      <c r="EK216" s="8">
        <f>+MINVU_Mes_Corriente!EK216*SALUD_Mes_Constante!$EC$1</f>
        <v>835902.10225336079</v>
      </c>
      <c r="EL216" s="8">
        <f>+MINVU_Mes_Corriente!EL216*SALUD_Mes_Constante!$EC$1</f>
        <v>1006998.1726945651</v>
      </c>
      <c r="EM216" s="8">
        <f>+MINVU_Mes_Corriente!EM216*SALUD_Mes_Constante!$EC$1</f>
        <v>1287539.4120431733</v>
      </c>
      <c r="EN216" s="8">
        <f>+MINVU_Mes_Corriente!EN216*SALUD_Mes_Constante!$EC$1</f>
        <v>4166098.6962696444</v>
      </c>
      <c r="EO216" s="9">
        <f t="shared" si="105"/>
        <v>4166098.6962696444</v>
      </c>
      <c r="EP216" s="8">
        <f>+MINVU_Mes_Corriente!EP216*SALUD_Mes_Constante!$EP$1</f>
        <v>14051</v>
      </c>
      <c r="EQ216" s="8">
        <f>+MINVU_Mes_Corriente!EQ216*SALUD_Mes_Constante!$EP$1</f>
        <v>30803</v>
      </c>
      <c r="ER216" s="8">
        <f>+MINVU_Mes_Corriente!ER216*SALUD_Mes_Constante!$EP$1</f>
        <v>32165</v>
      </c>
      <c r="ES216" s="8">
        <f>+MINVU_Mes_Corriente!ES216*SALUD_Mes_Constante!$EP$1</f>
        <v>51374</v>
      </c>
      <c r="ET216" s="8">
        <f>+MINVU_Mes_Corriente!ET216*SALUD_Mes_Constante!$EP$1</f>
        <v>61400</v>
      </c>
      <c r="EU216" s="8">
        <f>+MINVU_Mes_Corriente!EU216*SALUD_Mes_Constante!$EP$1</f>
        <v>107192</v>
      </c>
      <c r="EV216" s="8">
        <f>+MINVU_Mes_Corriente!EV216*SALUD_Mes_Constante!$EP$1</f>
        <v>202973</v>
      </c>
      <c r="EW216" s="8">
        <f>+MINVU_Mes_Corriente!EW216*SALUD_Mes_Constante!$EP$1</f>
        <v>360544</v>
      </c>
      <c r="EX216" s="8">
        <f>+MINVU_Mes_Corriente!EX216*SALUD_Mes_Constante!$EP$1</f>
        <v>929578</v>
      </c>
      <c r="EY216" s="8">
        <f>+MINVU_Mes_Corriente!EY216*SALUD_Mes_Constante!$EP$1</f>
        <v>1303137</v>
      </c>
      <c r="EZ216" s="8">
        <f>+MINVU_Mes_Corriente!EZ216*SALUD_Mes_Constante!$EP$1</f>
        <v>1734945</v>
      </c>
      <c r="FA216" s="8">
        <f>+MINVU_Mes_Corriente!FA216*SALUD_Mes_Constante!$EP$1</f>
        <v>2313221</v>
      </c>
      <c r="FB216" s="9">
        <f t="shared" si="106"/>
        <v>2313221</v>
      </c>
      <c r="FC216" s="8">
        <f>+MINVU_Mes_Corriente!FC216*SALUD_Mes_Constante!$FC$1</f>
        <v>2021</v>
      </c>
      <c r="FD216" s="8">
        <f>+MINVU_Mes_Corriente!FD216*SALUD_Mes_Constante!$FC$1</f>
        <v>69348</v>
      </c>
      <c r="FE216" s="8">
        <f>+MINVU_Mes_Corriente!FE216*SALUD_Mes_Constante!$FC$1</f>
        <v>124966</v>
      </c>
      <c r="FF216" s="8">
        <f>+MINVU_Mes_Corriente!FF216*SALUD_Mes_Constante!$FC$1</f>
        <v>130776</v>
      </c>
      <c r="FG216" s="8">
        <f>+MINVU_Mes_Corriente!FG216*SALUD_Mes_Constante!$FC$1</f>
        <v>144694</v>
      </c>
      <c r="FH216" s="8">
        <f>+MINVU_Mes_Corriente!FH216*SALUD_Mes_Constante!$FC$1</f>
        <v>171068</v>
      </c>
      <c r="FI216" s="8">
        <f>+MINVU_Mes_Corriente!FI216*SALUD_Mes_Constante!$FC$1</f>
        <v>230166</v>
      </c>
      <c r="FJ216" s="8"/>
      <c r="FK216" s="8"/>
      <c r="FL216" s="8"/>
      <c r="FM216" s="8"/>
      <c r="FN216" s="8"/>
      <c r="FO216" s="9">
        <f t="shared" si="107"/>
        <v>230166</v>
      </c>
    </row>
    <row r="217" spans="2:171" ht="14.25" customHeight="1" x14ac:dyDescent="0.3">
      <c r="B217" s="32" t="s">
        <v>69</v>
      </c>
      <c r="C217" s="8">
        <f>+MINVU_Mes_Corriente!C217*SALUD_Mes_Constante!$C$1</f>
        <v>11102.617825893522</v>
      </c>
      <c r="D217" s="8">
        <f>+MINVU_Mes_Corriente!D217*SALUD_Mes_Constante!$C$1</f>
        <v>24776.726382915622</v>
      </c>
      <c r="E217" s="8">
        <f>+MINVU_Mes_Corriente!E217*SALUD_Mes_Constante!$C$1</f>
        <v>66931.674625537606</v>
      </c>
      <c r="F217" s="8">
        <f>+MINVU_Mes_Corriente!F217*SALUD_Mes_Constante!$C$1</f>
        <v>94501.879282218608</v>
      </c>
      <c r="G217" s="8">
        <f>+MINVU_Mes_Corriente!G217*SALUD_Mes_Constante!$C$1</f>
        <v>112832.86519353405</v>
      </c>
      <c r="H217" s="8">
        <f>+MINVU_Mes_Corriente!H217*SALUD_Mes_Constante!$C$1</f>
        <v>152657.75441198281</v>
      </c>
      <c r="I217" s="8">
        <f>+MINVU_Mes_Corriente!I217*SALUD_Mes_Constante!$C$1</f>
        <v>200736.69138365716</v>
      </c>
      <c r="J217" s="8">
        <f>+MINVU_Mes_Corriente!J217*SALUD_Mes_Constante!$C$1</f>
        <v>292991.14934005641</v>
      </c>
      <c r="K217" s="8">
        <f>+MINVU_Mes_Corriente!K217*SALUD_Mes_Constante!$C$1</f>
        <v>419677.98161055916</v>
      </c>
      <c r="L217" s="8">
        <f>+MINVU_Mes_Corriente!L217*SALUD_Mes_Constante!$C$1</f>
        <v>439305.24514311145</v>
      </c>
      <c r="M217" s="8">
        <f>+MINVU_Mes_Corriente!M217*SALUD_Mes_Constante!$C$1</f>
        <v>522028.82188936684</v>
      </c>
      <c r="N217" s="8">
        <f>+MINVU_Mes_Corriente!N217*SALUD_Mes_Constante!$C$1</f>
        <v>1414349.0683671958</v>
      </c>
      <c r="O217" s="9">
        <f t="shared" si="95"/>
        <v>1414349.0683671958</v>
      </c>
      <c r="P217" s="8">
        <f>+MINVU_Mes_Corriente!P217*SALUD_Mes_Constante!$P$1</f>
        <v>30441.925273476336</v>
      </c>
      <c r="Q217" s="8">
        <f>+MINVU_Mes_Corriente!Q217*SALUD_Mes_Constante!$P$1</f>
        <v>46440.544679641978</v>
      </c>
      <c r="R217" s="8">
        <f>+MINVU_Mes_Corriente!R217*SALUD_Mes_Constante!$P$1</f>
        <v>78510.737320642103</v>
      </c>
      <c r="S217" s="8">
        <f>+MINVU_Mes_Corriente!S217*SALUD_Mes_Constante!$P$1</f>
        <v>119968.69072311404</v>
      </c>
      <c r="T217" s="8">
        <f>+MINVU_Mes_Corriente!T217*SALUD_Mes_Constante!$P$1</f>
        <v>150629.47748259691</v>
      </c>
      <c r="U217" s="8">
        <f>+MINVU_Mes_Corriente!U217*SALUD_Mes_Constante!$P$1</f>
        <v>184995.38741298474</v>
      </c>
      <c r="V217" s="8">
        <f>+MINVU_Mes_Corriente!V217*SALUD_Mes_Constante!$P$1</f>
        <v>342015.30984514835</v>
      </c>
      <c r="W217" s="8">
        <f>+MINVU_Mes_Corriente!W217*SALUD_Mes_Constante!$P$1</f>
        <v>424872.23270350887</v>
      </c>
      <c r="X217" s="8">
        <f>+MINVU_Mes_Corriente!X217*SALUD_Mes_Constante!$P$1</f>
        <v>451303.24960931932</v>
      </c>
      <c r="Y217" s="8">
        <f>+MINVU_Mes_Corriente!Y217*SALUD_Mes_Constante!$P$1</f>
        <v>481901.94800397765</v>
      </c>
      <c r="Z217" s="8">
        <f>+MINVU_Mes_Corriente!Z217*SALUD_Mes_Constante!$P$1</f>
        <v>2001873.2373916742</v>
      </c>
      <c r="AA217" s="8">
        <f>+MINVU_Mes_Corriente!AA217*SALUD_Mes_Constante!$P$1</f>
        <v>8878182.9248472769</v>
      </c>
      <c r="AB217" s="9">
        <f t="shared" si="96"/>
        <v>8878182.9248472769</v>
      </c>
      <c r="AC217" s="8">
        <f>+MINVU_Mes_Corriente!AC217*SALUD_Mes_Constante!$AC$1</f>
        <v>23331.672707151749</v>
      </c>
      <c r="AD217" s="8">
        <f>+MINVU_Mes_Corriente!AD217*SALUD_Mes_Constante!$AC$1</f>
        <v>44959.983676857104</v>
      </c>
      <c r="AE217" s="8">
        <f>+MINVU_Mes_Corriente!AE217*SALUD_Mes_Constante!$AC$1</f>
        <v>52477.748789597455</v>
      </c>
      <c r="AF217" s="8">
        <f>+MINVU_Mes_Corriente!AF217*SALUD_Mes_Constante!$AC$1</f>
        <v>98317.374463964588</v>
      </c>
      <c r="AG217" s="8">
        <f>+MINVU_Mes_Corriente!AG217*SALUD_Mes_Constante!$AC$1</f>
        <v>227905.87079817403</v>
      </c>
      <c r="AH217" s="8">
        <f>+MINVU_Mes_Corriente!AH217*SALUD_Mes_Constante!$AC$1</f>
        <v>246813.63950753908</v>
      </c>
      <c r="AI217" s="8">
        <f>+MINVU_Mes_Corriente!AI217*SALUD_Mes_Constante!$AC$1</f>
        <v>324318.86567990039</v>
      </c>
      <c r="AJ217" s="8">
        <f>+MINVU_Mes_Corriente!AJ217*SALUD_Mes_Constante!$AC$1</f>
        <v>342445.23419560102</v>
      </c>
      <c r="AK217" s="8">
        <f>+MINVU_Mes_Corriente!AK217*SALUD_Mes_Constante!$AC$1</f>
        <v>355794.02821967076</v>
      </c>
      <c r="AL217" s="8">
        <f>+MINVU_Mes_Corriente!AL217*SALUD_Mes_Constante!$AC$1</f>
        <v>436172.44930142479</v>
      </c>
      <c r="AM217" s="8">
        <f>+MINVU_Mes_Corriente!AM217*SALUD_Mes_Constante!$AC$1</f>
        <v>441797.9261308618</v>
      </c>
      <c r="AN217" s="8">
        <f>+MINVU_Mes_Corriente!AN217*SALUD_Mes_Constante!$AC$1</f>
        <v>1948083.5822382071</v>
      </c>
      <c r="AO217" s="9">
        <f t="shared" si="97"/>
        <v>1948083.5822382071</v>
      </c>
      <c r="AP217" s="8">
        <f>+MINVU_Mes_Corriente!AP217*SALUD_Mes_Constante!$AP$1</f>
        <v>12940.356553496549</v>
      </c>
      <c r="AQ217" s="8">
        <f>+MINVU_Mes_Corriente!AQ217*SALUD_Mes_Constante!$AP$1</f>
        <v>19471.128094143107</v>
      </c>
      <c r="AR217" s="8">
        <f>+MINVU_Mes_Corriente!AR217*SALUD_Mes_Constante!$AP$1</f>
        <v>46061.225754091705</v>
      </c>
      <c r="AS217" s="8">
        <f>+MINVU_Mes_Corriente!AS217*SALUD_Mes_Constante!$AP$1</f>
        <v>56475.877722169615</v>
      </c>
      <c r="AT217" s="8">
        <f>+MINVU_Mes_Corriente!AT217*SALUD_Mes_Constante!$AP$1</f>
        <v>60925.787907480044</v>
      </c>
      <c r="AU217" s="8">
        <f>+MINVU_Mes_Corriente!AU217*SALUD_Mes_Constante!$AP$1</f>
        <v>78525.91424320302</v>
      </c>
      <c r="AV217" s="8">
        <f>+MINVU_Mes_Corriente!AV217*SALUD_Mes_Constante!$AP$1</f>
        <v>109344.23941566345</v>
      </c>
      <c r="AW217" s="8">
        <f>+MINVU_Mes_Corriente!AW217*SALUD_Mes_Constante!$AP$1</f>
        <v>182026.59840389556</v>
      </c>
      <c r="AX217" s="8">
        <f>+MINVU_Mes_Corriente!AX217*SALUD_Mes_Constante!$AP$1</f>
        <v>251745.79899905314</v>
      </c>
      <c r="AY217" s="8">
        <f>+MINVU_Mes_Corriente!AY217*SALUD_Mes_Constante!$AP$1</f>
        <v>275875.21899093734</v>
      </c>
      <c r="AZ217" s="8">
        <f>+MINVU_Mes_Corriente!AZ217*SALUD_Mes_Constante!$AP$1</f>
        <v>314402.18963884754</v>
      </c>
      <c r="BA217" s="8">
        <f>+MINVU_Mes_Corriente!BA217*SALUD_Mes_Constante!$AP$1</f>
        <v>1310459.38563506</v>
      </c>
      <c r="BB217" s="9">
        <f t="shared" si="98"/>
        <v>1310459.38563506</v>
      </c>
      <c r="BC217" s="8">
        <f>+MINVU_Mes_Corriente!BC217*SALUD_Mes_Constante!$BC$1</f>
        <v>2571.9253593564558</v>
      </c>
      <c r="BD217" s="8">
        <f>+MINVU_Mes_Corriente!BD217*SALUD_Mes_Constante!$BC$1</f>
        <v>17441.544243703025</v>
      </c>
      <c r="BE217" s="8">
        <f>+MINVU_Mes_Corriente!BE217*SALUD_Mes_Constante!$BC$1</f>
        <v>31482.671765791911</v>
      </c>
      <c r="BF217" s="8">
        <f>+MINVU_Mes_Corriente!BF217*SALUD_Mes_Constante!$BC$1</f>
        <v>36359.964394039307</v>
      </c>
      <c r="BG217" s="8">
        <f>+MINVU_Mes_Corriente!BG217*SALUD_Mes_Constante!$BC$1</f>
        <v>58430.97428458395</v>
      </c>
      <c r="BH217" s="8">
        <f>+MINVU_Mes_Corriente!BH217*SALUD_Mes_Constante!$BC$1</f>
        <v>86977.184491626031</v>
      </c>
      <c r="BI217" s="8">
        <f>+MINVU_Mes_Corriente!BI217*SALUD_Mes_Constante!$BC$1</f>
        <v>182691.71093234871</v>
      </c>
      <c r="BJ217" s="8">
        <f>+MINVU_Mes_Corriente!BJ217*SALUD_Mes_Constante!$BC$1</f>
        <v>195518.19807464071</v>
      </c>
      <c r="BK217" s="8">
        <f>+MINVU_Mes_Corriente!BK217*SALUD_Mes_Constante!$BC$1</f>
        <v>223307.95964657792</v>
      </c>
      <c r="BL217" s="8">
        <f>+MINVU_Mes_Corriente!BL217*SALUD_Mes_Constante!$BC$1</f>
        <v>250215.91823816439</v>
      </c>
      <c r="BM217" s="8">
        <f>+MINVU_Mes_Corriente!BM217*SALUD_Mes_Constante!$BC$1</f>
        <v>416777.2625609918</v>
      </c>
      <c r="BN217" s="8">
        <f>+MINVU_Mes_Corriente!BN217*SALUD_Mes_Constante!$BC$1</f>
        <v>3561227.6154556251</v>
      </c>
      <c r="BO217" s="9">
        <f t="shared" si="99"/>
        <v>3561227.6154556251</v>
      </c>
      <c r="BP217" s="8">
        <f>+MINVU_Mes_Corriente!BP217*SALUD_Mes_Constante!$BP$1</f>
        <v>0</v>
      </c>
      <c r="BQ217" s="8">
        <f>+MINVU_Mes_Corriente!BQ217*SALUD_Mes_Constante!$BP$1</f>
        <v>0</v>
      </c>
      <c r="BR217" s="8">
        <f>+MINVU_Mes_Corriente!BR217*SALUD_Mes_Constante!$BP$1</f>
        <v>0</v>
      </c>
      <c r="BS217" s="8">
        <f>+MINVU_Mes_Corriente!BS217*SALUD_Mes_Constante!$BP$1</f>
        <v>0</v>
      </c>
      <c r="BT217" s="8">
        <f>+MINVU_Mes_Corriente!BT217*SALUD_Mes_Constante!$BP$1</f>
        <v>0</v>
      </c>
      <c r="BU217" s="8">
        <f>+MINVU_Mes_Corriente!BU217*SALUD_Mes_Constante!$BP$1</f>
        <v>0</v>
      </c>
      <c r="BV217" s="8">
        <f>+MINVU_Mes_Corriente!BV217*SALUD_Mes_Constante!$BP$1</f>
        <v>0</v>
      </c>
      <c r="BW217" s="8">
        <f>+MINVU_Mes_Corriente!BW217*SALUD_Mes_Constante!$BP$1</f>
        <v>651066.49014084518</v>
      </c>
      <c r="BX217" s="8">
        <f>+MINVU_Mes_Corriente!BX217*SALUD_Mes_Constante!$BP$1</f>
        <v>719502.98104993603</v>
      </c>
      <c r="BY217" s="8">
        <f>+MINVU_Mes_Corriente!BY217*SALUD_Mes_Constante!$BP$1</f>
        <v>801727.77618437912</v>
      </c>
      <c r="BZ217" s="8">
        <f>+MINVU_Mes_Corriente!BZ217*SALUD_Mes_Constante!$BP$1</f>
        <v>807287.30550576188</v>
      </c>
      <c r="CA217" s="8">
        <f>+MINVU_Mes_Corriente!CA217*SALUD_Mes_Constante!$BP$1</f>
        <v>5278238.6819462236</v>
      </c>
      <c r="CB217" s="9">
        <f t="shared" si="100"/>
        <v>5278238.6819462236</v>
      </c>
      <c r="CC217" s="8">
        <f>+MINVU_Mes_Corriente!CC217*SALUD_Mes_Constante!$CC$1</f>
        <v>0</v>
      </c>
      <c r="CD217" s="8">
        <f>+MINVU_Mes_Corriente!CD217*SALUD_Mes_Constante!$CC$1</f>
        <v>2450.6408056695263</v>
      </c>
      <c r="CE217" s="8">
        <f>+MINVU_Mes_Corriente!CE217*SALUD_Mes_Constante!$CC$1</f>
        <v>2450.6408056695263</v>
      </c>
      <c r="CF217" s="8">
        <f>+MINVU_Mes_Corriente!CF217*SALUD_Mes_Constante!$CC$1</f>
        <v>12630.852666915331</v>
      </c>
      <c r="CG217" s="8">
        <f>+MINVU_Mes_Corriente!CG217*SALUD_Mes_Constante!$CC$1</f>
        <v>16617.898545318913</v>
      </c>
      <c r="CH217" s="8">
        <f>+MINVU_Mes_Corriente!CH217*SALUD_Mes_Constante!$CC$1</f>
        <v>203672.15964192466</v>
      </c>
      <c r="CI217" s="8">
        <f>+MINVU_Mes_Corriente!CI217*SALUD_Mes_Constante!$CC$1</f>
        <v>250837.48601268185</v>
      </c>
      <c r="CJ217" s="8">
        <f>+MINVU_Mes_Corriente!CJ217*SALUD_Mes_Constante!$CC$1</f>
        <v>292683.12868332712</v>
      </c>
      <c r="CK217" s="8">
        <f>+MINVU_Mes_Corriente!CK217*SALUD_Mes_Constante!$CC$1</f>
        <v>370452.9377098098</v>
      </c>
      <c r="CL217" s="8">
        <f>+MINVU_Mes_Corriente!CL217*SALUD_Mes_Constante!$CC$1</f>
        <v>394415.96643043641</v>
      </c>
      <c r="CM217" s="8">
        <f>+MINVU_Mes_Corriente!CM217*SALUD_Mes_Constante!$CC$1</f>
        <v>401504.34986945172</v>
      </c>
      <c r="CN217" s="8">
        <f>+MINVU_Mes_Corriente!CN217*SALUD_Mes_Constante!$CC$1</f>
        <v>6784205.1204774342</v>
      </c>
      <c r="CO217" s="9">
        <f t="shared" si="101"/>
        <v>6784205.1204774342</v>
      </c>
      <c r="CP217" s="8">
        <f>+MINVU_Mes_Corriente!CP217*SALUD_Mes_Constante!$CP$1</f>
        <v>1096.4025522041761</v>
      </c>
      <c r="CQ217" s="8">
        <f>+MINVU_Mes_Corriente!CQ217*SALUD_Mes_Constante!$CP$1</f>
        <v>3360.1886310904865</v>
      </c>
      <c r="CR217" s="8">
        <f>+MINVU_Mes_Corriente!CR217*SALUD_Mes_Constante!$CP$1</f>
        <v>6674.7466357308567</v>
      </c>
      <c r="CS217" s="8">
        <f>+MINVU_Mes_Corriente!CS217*SALUD_Mes_Constante!$CP$1</f>
        <v>38347.47146171693</v>
      </c>
      <c r="CT217" s="8">
        <f>+MINVU_Mes_Corriente!CT217*SALUD_Mes_Constante!$CP$1</f>
        <v>54159.751044083518</v>
      </c>
      <c r="CU217" s="8">
        <f>+MINVU_Mes_Corriente!CU217*SALUD_Mes_Constante!$CP$1</f>
        <v>57950.895591647321</v>
      </c>
      <c r="CV217" s="8">
        <f>+MINVU_Mes_Corriente!CV217*SALUD_Mes_Constante!$CP$1</f>
        <v>60023.286542923423</v>
      </c>
      <c r="CW217" s="8">
        <f>+MINVU_Mes_Corriente!CW217*SALUD_Mes_Constante!$CP$1</f>
        <v>72133.14779582365</v>
      </c>
      <c r="CX217" s="8">
        <f>+MINVU_Mes_Corriente!CX217*SALUD_Mes_Constante!$CP$1</f>
        <v>353979.58468677488</v>
      </c>
      <c r="CY217" s="8">
        <f>+MINVU_Mes_Corriente!CY217*SALUD_Mes_Constante!$CP$1</f>
        <v>356029.16032482591</v>
      </c>
      <c r="CZ217" s="8">
        <f>+MINVU_Mes_Corriente!CZ217*SALUD_Mes_Constante!$CP$1</f>
        <v>589410.80185614841</v>
      </c>
      <c r="DA217" s="8">
        <f>+MINVU_Mes_Corriente!DA217*SALUD_Mes_Constante!$CP$1</f>
        <v>4112917.7825986072</v>
      </c>
      <c r="DB217" s="9">
        <f t="shared" si="102"/>
        <v>4112917.7825986072</v>
      </c>
      <c r="DC217" s="8">
        <f>+MINVU_Mes_Corriente!DC217*SALUD_Mes_Constante!$DC$1</f>
        <v>26985.118197716296</v>
      </c>
      <c r="DD217" s="8">
        <f>+MINVU_Mes_Corriente!DD217*SALUD_Mes_Constante!$DC$1</f>
        <v>37142.330624421375</v>
      </c>
      <c r="DE217" s="8">
        <f>+MINVU_Mes_Corriente!DE217*SALUD_Mes_Constante!$DC$1</f>
        <v>52838.410245859508</v>
      </c>
      <c r="DF217" s="8">
        <f>+MINVU_Mes_Corriente!DF217*SALUD_Mes_Constante!$DC$1</f>
        <v>58582.961835202164</v>
      </c>
      <c r="DG217" s="8">
        <f>+MINVU_Mes_Corriente!DG217*SALUD_Mes_Constante!$DC$1</f>
        <v>58903.289990741723</v>
      </c>
      <c r="DH217" s="8">
        <f>+MINVU_Mes_Corriente!DH217*SALUD_Mes_Constante!$DC$1</f>
        <v>87757.551074992327</v>
      </c>
      <c r="DI217" s="8">
        <f>+MINVU_Mes_Corriente!DI217*SALUD_Mes_Constante!$DC$1</f>
        <v>135639.30459829242</v>
      </c>
      <c r="DJ217" s="8">
        <f>+MINVU_Mes_Corriente!DJ217*SALUD_Mes_Constante!$DC$1</f>
        <v>149047.0048348936</v>
      </c>
      <c r="DK217" s="8">
        <f>+MINVU_Mes_Corriente!DK217*SALUD_Mes_Constante!$DC$1</f>
        <v>187832.56269931086</v>
      </c>
      <c r="DL217" s="8">
        <f>+MINVU_Mes_Corriente!DL217*SALUD_Mes_Constante!$DC$1</f>
        <v>411973.47886019974</v>
      </c>
      <c r="DM217" s="8">
        <f>+MINVU_Mes_Corriente!DM217*SALUD_Mes_Constante!$DC$1</f>
        <v>1427188.9402324872</v>
      </c>
      <c r="DN217" s="8">
        <f>+MINVU_Mes_Corriente!DN217*SALUD_Mes_Constante!$DC$1</f>
        <v>5110718.8299557678</v>
      </c>
      <c r="DO217" s="9">
        <f t="shared" si="103"/>
        <v>5110718.8299557678</v>
      </c>
      <c r="DP217" s="8">
        <f>+MINVU_Mes_Corriente!DP217*SALUD_Mes_Constante!$DP$1</f>
        <v>0</v>
      </c>
      <c r="DQ217" s="8">
        <f>+MINVU_Mes_Corriente!DQ217*SALUD_Mes_Constante!$DP$1</f>
        <v>2269.7618764845606</v>
      </c>
      <c r="DR217" s="8">
        <f>+MINVU_Mes_Corriente!DR217*SALUD_Mes_Constante!$DP$1</f>
        <v>399278.03978622332</v>
      </c>
      <c r="DS217" s="8">
        <f>+MINVU_Mes_Corriente!DS217*SALUD_Mes_Constante!$DP$1</f>
        <v>468504.15498812357</v>
      </c>
      <c r="DT217" s="8">
        <f>+MINVU_Mes_Corriente!DT217*SALUD_Mes_Constante!$DP$1</f>
        <v>529316.25534441811</v>
      </c>
      <c r="DU217" s="8">
        <f>+MINVU_Mes_Corriente!DU217*SALUD_Mes_Constante!$DP$1</f>
        <v>630442.31116389553</v>
      </c>
      <c r="DV217" s="8">
        <f>+MINVU_Mes_Corriente!DV217*SALUD_Mes_Constante!$DP$1</f>
        <v>704490.18349168648</v>
      </c>
      <c r="DW217" s="8">
        <f>+MINVU_Mes_Corriente!DW217*SALUD_Mes_Constante!$DP$1</f>
        <v>853997.09501187655</v>
      </c>
      <c r="DX217" s="8">
        <f>+MINVU_Mes_Corriente!DX217*SALUD_Mes_Constante!$DP$1</f>
        <v>979673.12885985756</v>
      </c>
      <c r="DY217" s="8">
        <f>+MINVU_Mes_Corriente!DY217*SALUD_Mes_Constante!$DP$1</f>
        <v>1468632.1745843231</v>
      </c>
      <c r="DZ217" s="8">
        <f>+MINVU_Mes_Corriente!DZ217*SALUD_Mes_Constante!$DP$1</f>
        <v>1535253.3081947744</v>
      </c>
      <c r="EA217" s="8">
        <f>+MINVU_Mes_Corriente!EA217*SALUD_Mes_Constante!$DP$1</f>
        <v>3251058.1175771975</v>
      </c>
      <c r="EB217" s="9">
        <f t="shared" si="104"/>
        <v>3251058.1175771975</v>
      </c>
      <c r="EC217" s="8">
        <f>+MINVU_Mes_Corriente!EC217*SALUD_Mes_Constante!$EC$1</f>
        <v>0</v>
      </c>
      <c r="ED217" s="8">
        <f>+MINVU_Mes_Corriente!ED217*SALUD_Mes_Constante!$EC$1</f>
        <v>20880.639083506903</v>
      </c>
      <c r="EE217" s="8">
        <f>+MINVU_Mes_Corriente!EE217*SALUD_Mes_Constante!$EC$1</f>
        <v>36255.865177049789</v>
      </c>
      <c r="EF217" s="8">
        <f>+MINVU_Mes_Corriente!EF217*SALUD_Mes_Constante!$EC$1</f>
        <v>36482.412611247855</v>
      </c>
      <c r="EG217" s="8">
        <f>+MINVU_Mes_Corriente!EG217*SALUD_Mes_Constante!$EC$1</f>
        <v>76831.64855141069</v>
      </c>
      <c r="EH217" s="8">
        <f>+MINVU_Mes_Corriente!EH217*SALUD_Mes_Constante!$EC$1</f>
        <v>141180.43003219084</v>
      </c>
      <c r="EI217" s="8">
        <f>+MINVU_Mes_Corriente!EI217*SALUD_Mes_Constante!$EC$1</f>
        <v>176824.92747585679</v>
      </c>
      <c r="EJ217" s="8">
        <f>+MINVU_Mes_Corriente!EJ217*SALUD_Mes_Constante!$EC$1</f>
        <v>556197.74360916473</v>
      </c>
      <c r="EK217" s="8">
        <f>+MINVU_Mes_Corriente!EK217*SALUD_Mes_Constante!$EC$1</f>
        <v>756850.49573944299</v>
      </c>
      <c r="EL217" s="8">
        <f>+MINVU_Mes_Corriente!EL217*SALUD_Mes_Constante!$EC$1</f>
        <v>901347.41469418642</v>
      </c>
      <c r="EM217" s="8">
        <f>+MINVU_Mes_Corriente!EM217*SALUD_Mes_Constante!$EC$1</f>
        <v>1669199.4262450289</v>
      </c>
      <c r="EN217" s="8">
        <f>+MINVU_Mes_Corriente!EN217*SALUD_Mes_Constante!$EC$1</f>
        <v>3593779.878621472</v>
      </c>
      <c r="EO217" s="9">
        <f t="shared" si="105"/>
        <v>3593779.878621472</v>
      </c>
      <c r="EP217" s="8">
        <f>+MINVU_Mes_Corriente!EP217*SALUD_Mes_Constante!$EP$1</f>
        <v>3498</v>
      </c>
      <c r="EQ217" s="8">
        <f>+MINVU_Mes_Corriente!EQ217*SALUD_Mes_Constante!$EP$1</f>
        <v>21485</v>
      </c>
      <c r="ER217" s="8">
        <f>+MINVU_Mes_Corriente!ER217*SALUD_Mes_Constante!$EP$1</f>
        <v>59075</v>
      </c>
      <c r="ES217" s="8">
        <f>+MINVU_Mes_Corriente!ES217*SALUD_Mes_Constante!$EP$1</f>
        <v>62595</v>
      </c>
      <c r="ET217" s="8">
        <f>+MINVU_Mes_Corriente!ET217*SALUD_Mes_Constante!$EP$1</f>
        <v>232990</v>
      </c>
      <c r="EU217" s="8">
        <f>+MINVU_Mes_Corriente!EU217*SALUD_Mes_Constante!$EP$1</f>
        <v>278532</v>
      </c>
      <c r="EV217" s="8">
        <f>+MINVU_Mes_Corriente!EV217*SALUD_Mes_Constante!$EP$1</f>
        <v>305072</v>
      </c>
      <c r="EW217" s="8">
        <f>+MINVU_Mes_Corriente!EW217*SALUD_Mes_Constante!$EP$1</f>
        <v>456179</v>
      </c>
      <c r="EX217" s="8">
        <f>+MINVU_Mes_Corriente!EX217*SALUD_Mes_Constante!$EP$1</f>
        <v>547177</v>
      </c>
      <c r="EY217" s="8">
        <f>+MINVU_Mes_Corriente!EY217*SALUD_Mes_Constante!$EP$1</f>
        <v>814162</v>
      </c>
      <c r="EZ217" s="8">
        <f>+MINVU_Mes_Corriente!EZ217*SALUD_Mes_Constante!$EP$1</f>
        <v>1009220</v>
      </c>
      <c r="FA217" s="8">
        <f>+MINVU_Mes_Corriente!FA217*SALUD_Mes_Constante!$EP$1</f>
        <v>2202813</v>
      </c>
      <c r="FB217" s="9">
        <f t="shared" si="106"/>
        <v>2202813</v>
      </c>
      <c r="FC217" s="8">
        <f>+MINVU_Mes_Corriente!FC217*SALUD_Mes_Constante!$FC$1</f>
        <v>4766</v>
      </c>
      <c r="FD217" s="8">
        <f>+MINVU_Mes_Corriente!FD217*SALUD_Mes_Constante!$FC$1</f>
        <v>18173</v>
      </c>
      <c r="FE217" s="8">
        <f>+MINVU_Mes_Corriente!FE217*SALUD_Mes_Constante!$FC$1</f>
        <v>58676</v>
      </c>
      <c r="FF217" s="8">
        <f>+MINVU_Mes_Corriente!FF217*SALUD_Mes_Constante!$FC$1</f>
        <v>204968</v>
      </c>
      <c r="FG217" s="8">
        <f>+MINVU_Mes_Corriente!FG217*SALUD_Mes_Constante!$FC$1</f>
        <v>212864</v>
      </c>
      <c r="FH217" s="8">
        <f>+MINVU_Mes_Corriente!FH217*SALUD_Mes_Constante!$FC$1</f>
        <v>229552</v>
      </c>
      <c r="FI217" s="8">
        <f>+MINVU_Mes_Corriente!FI217*SALUD_Mes_Constante!$FC$1</f>
        <v>240608</v>
      </c>
      <c r="FJ217" s="8"/>
      <c r="FK217" s="8"/>
      <c r="FL217" s="8"/>
      <c r="FM217" s="8"/>
      <c r="FN217" s="8"/>
      <c r="FO217" s="9">
        <f t="shared" si="107"/>
        <v>240608</v>
      </c>
    </row>
    <row r="218" spans="2:171" ht="14.25" customHeight="1" x14ac:dyDescent="0.3">
      <c r="B218" s="35" t="s">
        <v>70</v>
      </c>
      <c r="C218" s="8">
        <f>+MINVU_Mes_Corriente!C218*SALUD_Mes_Constante!$C$1</f>
        <v>21978.387068070595</v>
      </c>
      <c r="D218" s="8">
        <f>+MINVU_Mes_Corriente!D218*SALUD_Mes_Constante!$C$1</f>
        <v>33179.846062583427</v>
      </c>
      <c r="E218" s="8">
        <f>+MINVU_Mes_Corriente!E218*SALUD_Mes_Constante!$C$1</f>
        <v>39857.296158979691</v>
      </c>
      <c r="F218" s="8">
        <f>+MINVU_Mes_Corriente!F218*SALUD_Mes_Constante!$C$1</f>
        <v>62273.176924217718</v>
      </c>
      <c r="G218" s="8">
        <f>+MINVU_Mes_Corriente!G218*SALUD_Mes_Constante!$C$1</f>
        <v>83159.450096396278</v>
      </c>
      <c r="H218" s="8">
        <f>+MINVU_Mes_Corriente!H218*SALUD_Mes_Constante!$C$1</f>
        <v>125751.89203618569</v>
      </c>
      <c r="I218" s="8">
        <f>+MINVU_Mes_Corriente!I218*SALUD_Mes_Constante!$C$1</f>
        <v>218895.92051015873</v>
      </c>
      <c r="J218" s="8">
        <f>+MINVU_Mes_Corriente!J218*SALUD_Mes_Constante!$C$1</f>
        <v>339660.38439863565</v>
      </c>
      <c r="K218" s="8">
        <f>+MINVU_Mes_Corriente!K218*SALUD_Mes_Constante!$C$1</f>
        <v>385124.08126946469</v>
      </c>
      <c r="L218" s="8">
        <f>+MINVU_Mes_Corriente!L218*SALUD_Mes_Constante!$C$1</f>
        <v>402393.73987839249</v>
      </c>
      <c r="M218" s="8">
        <f>+MINVU_Mes_Corriente!M218*SALUD_Mes_Constante!$C$1</f>
        <v>743878.63502891897</v>
      </c>
      <c r="N218" s="8">
        <f>+MINVU_Mes_Corriente!N218*SALUD_Mes_Constante!$C$1</f>
        <v>3563091.2602699101</v>
      </c>
      <c r="O218" s="9">
        <f t="shared" si="95"/>
        <v>3563091.2602699101</v>
      </c>
      <c r="P218" s="8">
        <f>+MINVU_Mes_Corriente!P218*SALUD_Mes_Constante!$P$1</f>
        <v>6185.553345645686</v>
      </c>
      <c r="Q218" s="8">
        <f>+MINVU_Mes_Corriente!Q218*SALUD_Mes_Constante!$P$1</f>
        <v>13907.793720698957</v>
      </c>
      <c r="R218" s="8">
        <f>+MINVU_Mes_Corriente!R218*SALUD_Mes_Constante!$P$1</f>
        <v>34944.883932376746</v>
      </c>
      <c r="S218" s="8">
        <f>+MINVU_Mes_Corriente!S218*SALUD_Mes_Constante!$P$1</f>
        <v>85155.744565989458</v>
      </c>
      <c r="T218" s="8">
        <f>+MINVU_Mes_Corriente!T218*SALUD_Mes_Constante!$P$1</f>
        <v>150860.75664156835</v>
      </c>
      <c r="U218" s="8">
        <f>+MINVU_Mes_Corriente!U218*SALUD_Mes_Constante!$P$1</f>
        <v>183554.9373490552</v>
      </c>
      <c r="V218" s="8">
        <f>+MINVU_Mes_Corriente!V218*SALUD_Mes_Constante!$P$1</f>
        <v>231111.52038641844</v>
      </c>
      <c r="W218" s="8">
        <f>+MINVU_Mes_Corriente!W218*SALUD_Mes_Constante!$P$1</f>
        <v>268350.56939906225</v>
      </c>
      <c r="X218" s="8">
        <f>+MINVU_Mes_Corriente!X218*SALUD_Mes_Constante!$P$1</f>
        <v>361776.48415968166</v>
      </c>
      <c r="Y218" s="8">
        <f>+MINVU_Mes_Corriente!Y218*SALUD_Mes_Constante!$P$1</f>
        <v>425128.34720841015</v>
      </c>
      <c r="Z218" s="8">
        <f>+MINVU_Mes_Corriente!Z218*SALUD_Mes_Constante!$P$1</f>
        <v>601628.49410427595</v>
      </c>
      <c r="AA218" s="8">
        <f>+MINVU_Mes_Corriente!AA218*SALUD_Mes_Constante!$P$1</f>
        <v>8127641.6965478016</v>
      </c>
      <c r="AB218" s="9">
        <f t="shared" si="96"/>
        <v>8127641.6965478016</v>
      </c>
      <c r="AC218" s="8">
        <f>+MINVU_Mes_Corriente!AC218*SALUD_Mes_Constante!$AC$1</f>
        <v>14699.996680038732</v>
      </c>
      <c r="AD218" s="8">
        <f>+MINVU_Mes_Corriente!AD218*SALUD_Mes_Constante!$AC$1</f>
        <v>35206.839673537143</v>
      </c>
      <c r="AE218" s="8">
        <f>+MINVU_Mes_Corriente!AE218*SALUD_Mes_Constante!$AC$1</f>
        <v>108371.28952828883</v>
      </c>
      <c r="AF218" s="8">
        <f>+MINVU_Mes_Corriente!AF218*SALUD_Mes_Constante!$AC$1</f>
        <v>130292.8144971642</v>
      </c>
      <c r="AG218" s="8">
        <f>+MINVU_Mes_Corriente!AG218*SALUD_Mes_Constante!$AC$1</f>
        <v>210427.89818785447</v>
      </c>
      <c r="AH218" s="8">
        <f>+MINVU_Mes_Corriente!AH218*SALUD_Mes_Constante!$AC$1</f>
        <v>252365.05713100013</v>
      </c>
      <c r="AI218" s="8">
        <f>+MINVU_Mes_Corriente!AI218*SALUD_Mes_Constante!$AC$1</f>
        <v>287543.17996956699</v>
      </c>
      <c r="AJ218" s="8">
        <f>+MINVU_Mes_Corriente!AJ218*SALUD_Mes_Constante!$AC$1</f>
        <v>450750.02157974825</v>
      </c>
      <c r="AK218" s="8">
        <f>+MINVU_Mes_Corriente!AK218*SALUD_Mes_Constante!$AC$1</f>
        <v>1068671.3194079401</v>
      </c>
      <c r="AL218" s="8">
        <f>+MINVU_Mes_Corriente!AL218*SALUD_Mes_Constante!$AC$1</f>
        <v>1093444.8795130723</v>
      </c>
      <c r="AM218" s="8">
        <f>+MINVU_Mes_Corriente!AM218*SALUD_Mes_Constante!$AC$1</f>
        <v>1231993.0283580024</v>
      </c>
      <c r="AN218" s="8">
        <f>+MINVU_Mes_Corriente!AN218*SALUD_Mes_Constante!$AC$1</f>
        <v>1765928.1637847559</v>
      </c>
      <c r="AO218" s="9">
        <f t="shared" si="97"/>
        <v>1765928.1637847559</v>
      </c>
      <c r="AP218" s="8">
        <f>+MINVU_Mes_Corriente!AP218*SALUD_Mes_Constante!$AP$1</f>
        <v>20715.506830785878</v>
      </c>
      <c r="AQ218" s="8">
        <f>+MINVU_Mes_Corriente!AQ218*SALUD_Mes_Constante!$AP$1</f>
        <v>68035.890166373589</v>
      </c>
      <c r="AR218" s="8">
        <f>+MINVU_Mes_Corriente!AR218*SALUD_Mes_Constante!$AP$1</f>
        <v>381229.17029622616</v>
      </c>
      <c r="AS218" s="8">
        <f>+MINVU_Mes_Corriente!AS218*SALUD_Mes_Constante!$AP$1</f>
        <v>395948.89977005275</v>
      </c>
      <c r="AT218" s="8">
        <f>+MINVU_Mes_Corriente!AT218*SALUD_Mes_Constante!$AP$1</f>
        <v>435093.6261328283</v>
      </c>
      <c r="AU218" s="8">
        <f>+MINVU_Mes_Corriente!AU218*SALUD_Mes_Constante!$AP$1</f>
        <v>484366.294873529</v>
      </c>
      <c r="AV218" s="8">
        <f>+MINVU_Mes_Corriente!AV218*SALUD_Mes_Constante!$AP$1</f>
        <v>543370.83295008785</v>
      </c>
      <c r="AW218" s="8">
        <f>+MINVU_Mes_Corriente!AW218*SALUD_Mes_Constante!$AP$1</f>
        <v>580493.81333694037</v>
      </c>
      <c r="AX218" s="8">
        <f>+MINVU_Mes_Corriente!AX218*SALUD_Mes_Constante!$AP$1</f>
        <v>590620.27783038002</v>
      </c>
      <c r="AY218" s="8">
        <f>+MINVU_Mes_Corriente!AY218*SALUD_Mes_Constante!$AP$1</f>
        <v>593041.0526173407</v>
      </c>
      <c r="AZ218" s="8">
        <f>+MINVU_Mes_Corriente!AZ218*SALUD_Mes_Constante!$AP$1</f>
        <v>705842.06384417682</v>
      </c>
      <c r="BA218" s="8">
        <f>+MINVU_Mes_Corriente!BA218*SALUD_Mes_Constante!$AP$1</f>
        <v>1165631.1397267685</v>
      </c>
      <c r="BB218" s="9">
        <f t="shared" si="98"/>
        <v>1165631.1397267685</v>
      </c>
      <c r="BC218" s="8">
        <f>+MINVU_Mes_Corriente!BC218*SALUD_Mes_Constante!$BC$1</f>
        <v>42791.939074245034</v>
      </c>
      <c r="BD218" s="8">
        <f>+MINVU_Mes_Corriente!BD218*SALUD_Mes_Constante!$BC$1</f>
        <v>55828.790979823301</v>
      </c>
      <c r="BE218" s="8">
        <f>+MINVU_Mes_Corriente!BE218*SALUD_Mes_Constante!$BC$1</f>
        <v>87972.814980878306</v>
      </c>
      <c r="BF218" s="8">
        <f>+MINVU_Mes_Corriente!BF218*SALUD_Mes_Constante!$BC$1</f>
        <v>102807.85335619151</v>
      </c>
      <c r="BG218" s="8">
        <f>+MINVU_Mes_Corriente!BG218*SALUD_Mes_Constante!$BC$1</f>
        <v>117987.25596729529</v>
      </c>
      <c r="BH218" s="8">
        <f>+MINVU_Mes_Corriente!BH218*SALUD_Mes_Constante!$BC$1</f>
        <v>119951.14070948177</v>
      </c>
      <c r="BI218" s="8">
        <f>+MINVU_Mes_Corriente!BI218*SALUD_Mes_Constante!$BC$1</f>
        <v>144975.90241329293</v>
      </c>
      <c r="BJ218" s="8">
        <f>+MINVU_Mes_Corriente!BJ218*SALUD_Mes_Constante!$BC$1</f>
        <v>184795.3585652117</v>
      </c>
      <c r="BK218" s="8">
        <f>+MINVU_Mes_Corriente!BK218*SALUD_Mes_Constante!$BC$1</f>
        <v>207556.53778188059</v>
      </c>
      <c r="BL218" s="8">
        <f>+MINVU_Mes_Corriente!BL218*SALUD_Mes_Constante!$BC$1</f>
        <v>224905.86733482796</v>
      </c>
      <c r="BM218" s="8">
        <f>+MINVU_Mes_Corriente!BM218*SALUD_Mes_Constante!$BC$1</f>
        <v>336257.98813134653</v>
      </c>
      <c r="BN218" s="8">
        <f>+MINVU_Mes_Corriente!BN218*SALUD_Mes_Constante!$BC$1</f>
        <v>6468975.8248714246</v>
      </c>
      <c r="BO218" s="9">
        <f t="shared" si="99"/>
        <v>6468975.8248714246</v>
      </c>
      <c r="BP218" s="8">
        <f>+MINVU_Mes_Corriente!BP218*SALUD_Mes_Constante!$BP$1</f>
        <v>0</v>
      </c>
      <c r="BQ218" s="8">
        <f>+MINVU_Mes_Corriente!BQ218*SALUD_Mes_Constante!$BP$1</f>
        <v>0</v>
      </c>
      <c r="BR218" s="8">
        <f>+MINVU_Mes_Corriente!BR218*SALUD_Mes_Constante!$BP$1</f>
        <v>0</v>
      </c>
      <c r="BS218" s="8">
        <f>+MINVU_Mes_Corriente!BS218*SALUD_Mes_Constante!$BP$1</f>
        <v>0</v>
      </c>
      <c r="BT218" s="8">
        <f>+MINVU_Mes_Corriente!BT218*SALUD_Mes_Constante!$BP$1</f>
        <v>0</v>
      </c>
      <c r="BU218" s="8">
        <f>+MINVU_Mes_Corriente!BU218*SALUD_Mes_Constante!$BP$1</f>
        <v>0</v>
      </c>
      <c r="BV218" s="8">
        <f>+MINVU_Mes_Corriente!BV218*SALUD_Mes_Constante!$BP$1</f>
        <v>5590.3067861715754</v>
      </c>
      <c r="BW218" s="8">
        <f>+MINVU_Mes_Corriente!BW218*SALUD_Mes_Constante!$BP$1</f>
        <v>10805.688092189503</v>
      </c>
      <c r="BX218" s="8">
        <f>+MINVU_Mes_Corriente!BX218*SALUD_Mes_Constante!$BP$1</f>
        <v>10805.688092189503</v>
      </c>
      <c r="BY218" s="8">
        <f>+MINVU_Mes_Corriente!BY218*SALUD_Mes_Constante!$BP$1</f>
        <v>10805.688092189503</v>
      </c>
      <c r="BZ218" s="8">
        <f>+MINVU_Mes_Corriente!BZ218*SALUD_Mes_Constante!$BP$1</f>
        <v>132373.87605633805</v>
      </c>
      <c r="CA218" s="8">
        <f>+MINVU_Mes_Corriente!CA218*SALUD_Mes_Constante!$BP$1</f>
        <v>4522516.2207426382</v>
      </c>
      <c r="CB218" s="9">
        <f t="shared" si="100"/>
        <v>4522516.2207426382</v>
      </c>
      <c r="CC218" s="8">
        <f>+MINVU_Mes_Corriente!CC218*SALUD_Mes_Constante!$CC$1</f>
        <v>0</v>
      </c>
      <c r="CD218" s="8">
        <f>+MINVU_Mes_Corriente!CD218*SALUD_Mes_Constante!$CC$1</f>
        <v>0</v>
      </c>
      <c r="CE218" s="8">
        <f>+MINVU_Mes_Corriente!CE218*SALUD_Mes_Constante!$CC$1</f>
        <v>8377.5509138381203</v>
      </c>
      <c r="CF218" s="8">
        <f>+MINVU_Mes_Corriente!CF218*SALUD_Mes_Constante!$CC$1</f>
        <v>159006.3782170832</v>
      </c>
      <c r="CG218" s="8">
        <f>+MINVU_Mes_Corriente!CG218*SALUD_Mes_Constante!$CC$1</f>
        <v>170017.96046251399</v>
      </c>
      <c r="CH218" s="8">
        <f>+MINVU_Mes_Corriente!CH218*SALUD_Mes_Constante!$CC$1</f>
        <v>257529.20253636705</v>
      </c>
      <c r="CI218" s="8">
        <f>+MINVU_Mes_Corriente!CI218*SALUD_Mes_Constante!$CC$1</f>
        <v>283368.24841477064</v>
      </c>
      <c r="CJ218" s="8">
        <f>+MINVU_Mes_Corriente!CJ218*SALUD_Mes_Constante!$CC$1</f>
        <v>746567.88810145471</v>
      </c>
      <c r="CK218" s="8">
        <f>+MINVU_Mes_Corriente!CK218*SALUD_Mes_Constante!$CC$1</f>
        <v>751420.26557254768</v>
      </c>
      <c r="CL218" s="8">
        <f>+MINVU_Mes_Corriente!CL218*SALUD_Mes_Constante!$CC$1</f>
        <v>813062.57590451336</v>
      </c>
      <c r="CM218" s="8">
        <f>+MINVU_Mes_Corriente!CM218*SALUD_Mes_Constante!$CC$1</f>
        <v>835312.60126818356</v>
      </c>
      <c r="CN218" s="8">
        <f>+MINVU_Mes_Corriente!CN218*SALUD_Mes_Constante!$CC$1</f>
        <v>2882210.3342036558</v>
      </c>
      <c r="CO218" s="9">
        <f t="shared" si="101"/>
        <v>2882210.3342036558</v>
      </c>
      <c r="CP218" s="8">
        <f>+MINVU_Mes_Corriente!CP218*SALUD_Mes_Constante!$CP$1</f>
        <v>2936.8378190255216</v>
      </c>
      <c r="CQ218" s="8">
        <f>+MINVU_Mes_Corriente!CQ218*SALUD_Mes_Constante!$CP$1</f>
        <v>6309.7016241299289</v>
      </c>
      <c r="CR218" s="8">
        <f>+MINVU_Mes_Corriente!CR218*SALUD_Mes_Constante!$CP$1</f>
        <v>15238.094199535959</v>
      </c>
      <c r="CS218" s="8">
        <f>+MINVU_Mes_Corriente!CS218*SALUD_Mes_Constante!$CP$1</f>
        <v>80224.978886310884</v>
      </c>
      <c r="CT218" s="8">
        <f>+MINVU_Mes_Corriente!CT218*SALUD_Mes_Constante!$CP$1</f>
        <v>124138.11925754057</v>
      </c>
      <c r="CU218" s="8">
        <f>+MINVU_Mes_Corriente!CU218*SALUD_Mes_Constante!$CP$1</f>
        <v>194713.48816705332</v>
      </c>
      <c r="CV218" s="8">
        <f>+MINVU_Mes_Corriente!CV218*SALUD_Mes_Constante!$CP$1</f>
        <v>328200.81577726209</v>
      </c>
      <c r="CW218" s="8">
        <f>+MINVU_Mes_Corriente!CW218*SALUD_Mes_Constante!$CP$1</f>
        <v>344319.83457076561</v>
      </c>
      <c r="CX218" s="8">
        <f>+MINVU_Mes_Corriente!CX218*SALUD_Mes_Constante!$CP$1</f>
        <v>373593.1489559164</v>
      </c>
      <c r="CY218" s="8">
        <f>+MINVU_Mes_Corriente!CY218*SALUD_Mes_Constante!$CP$1</f>
        <v>483289.17494199524</v>
      </c>
      <c r="CZ218" s="8">
        <f>+MINVU_Mes_Corriente!CZ218*SALUD_Mes_Constante!$CP$1</f>
        <v>677598.32505800447</v>
      </c>
      <c r="DA218" s="8">
        <f>+MINVU_Mes_Corriente!DA218*SALUD_Mes_Constante!$CP$1</f>
        <v>4939591.3642691402</v>
      </c>
      <c r="DB218" s="9">
        <f t="shared" si="102"/>
        <v>4939591.3642691402</v>
      </c>
      <c r="DC218" s="8">
        <f>+MINVU_Mes_Corriente!DC218*SALUD_Mes_Constante!$DC$1</f>
        <v>836.22507972430856</v>
      </c>
      <c r="DD218" s="8">
        <f>+MINVU_Mes_Corriente!DD218*SALUD_Mes_Constante!$DC$1</f>
        <v>107269.46960189287</v>
      </c>
      <c r="DE218" s="8">
        <f>+MINVU_Mes_Corriente!DE218*SALUD_Mes_Constante!$DC$1</f>
        <v>116668.01008126742</v>
      </c>
      <c r="DF218" s="8">
        <f>+MINVU_Mes_Corriente!DF218*SALUD_Mes_Constante!$DC$1</f>
        <v>142335.84898672983</v>
      </c>
      <c r="DG218" s="8">
        <f>+MINVU_Mes_Corriente!DG218*SALUD_Mes_Constante!$DC$1</f>
        <v>147758.94846209243</v>
      </c>
      <c r="DH218" s="8">
        <f>+MINVU_Mes_Corriente!DH218*SALUD_Mes_Constante!$DC$1</f>
        <v>159860.60899084463</v>
      </c>
      <c r="DI218" s="8">
        <f>+MINVU_Mes_Corriente!DI218*SALUD_Mes_Constante!$DC$1</f>
        <v>170380.85999382788</v>
      </c>
      <c r="DJ218" s="8">
        <f>+MINVU_Mes_Corriente!DJ218*SALUD_Mes_Constante!$DC$1</f>
        <v>177677.59818948677</v>
      </c>
      <c r="DK218" s="8">
        <f>+MINVU_Mes_Corriente!DK218*SALUD_Mes_Constante!$DC$1</f>
        <v>188196.72523402952</v>
      </c>
      <c r="DL218" s="8">
        <f>+MINVU_Mes_Corriente!DL218*SALUD_Mes_Constante!$DC$1</f>
        <v>232499.79508281051</v>
      </c>
      <c r="DM218" s="8">
        <f>+MINVU_Mes_Corriente!DM218*SALUD_Mes_Constante!$DC$1</f>
        <v>289870.00576072437</v>
      </c>
      <c r="DN218" s="8">
        <f>+MINVU_Mes_Corriente!DN218*SALUD_Mes_Constante!$DC$1</f>
        <v>4790206.3452319745</v>
      </c>
      <c r="DO218" s="9">
        <f t="shared" si="103"/>
        <v>4790206.3452319745</v>
      </c>
      <c r="DP218" s="8">
        <f>+MINVU_Mes_Corriente!DP218*SALUD_Mes_Constante!$DP$1</f>
        <v>15268.717339667461</v>
      </c>
      <c r="DQ218" s="8">
        <f>+MINVU_Mes_Corriente!DQ218*SALUD_Mes_Constante!$DP$1</f>
        <v>18258.660926365799</v>
      </c>
      <c r="DR218" s="8">
        <f>+MINVU_Mes_Corriente!DR218*SALUD_Mes_Constante!$DP$1</f>
        <v>21887.684679334918</v>
      </c>
      <c r="DS218" s="8">
        <f>+MINVU_Mes_Corriente!DS218*SALUD_Mes_Constante!$DP$1</f>
        <v>31241.3960807601</v>
      </c>
      <c r="DT218" s="8">
        <f>+MINVU_Mes_Corriente!DT218*SALUD_Mes_Constante!$DP$1</f>
        <v>89560.975653206653</v>
      </c>
      <c r="DU218" s="8">
        <f>+MINVU_Mes_Corriente!DU218*SALUD_Mes_Constante!$DP$1</f>
        <v>118200.63420427554</v>
      </c>
      <c r="DV218" s="8">
        <f>+MINVU_Mes_Corriente!DV218*SALUD_Mes_Constante!$DP$1</f>
        <v>611777.06116389553</v>
      </c>
      <c r="DW218" s="8">
        <f>+MINVU_Mes_Corriente!DW218*SALUD_Mes_Constante!$DP$1</f>
        <v>629715.64133016637</v>
      </c>
      <c r="DX218" s="8">
        <f>+MINVU_Mes_Corriente!DX218*SALUD_Mes_Constante!$DP$1</f>
        <v>634983.9976247031</v>
      </c>
      <c r="DY218" s="8">
        <f>+MINVU_Mes_Corriente!DY218*SALUD_Mes_Constante!$DP$1</f>
        <v>653637.35273159156</v>
      </c>
      <c r="DZ218" s="8">
        <f>+MINVU_Mes_Corriente!DZ218*SALUD_Mes_Constante!$DP$1</f>
        <v>1518159.26543943</v>
      </c>
      <c r="EA218" s="8">
        <f>+MINVU_Mes_Corriente!EA218*SALUD_Mes_Constante!$DP$1</f>
        <v>3532727.0237529697</v>
      </c>
      <c r="EB218" s="9">
        <f t="shared" si="104"/>
        <v>3532727.0237529697</v>
      </c>
      <c r="EC218" s="8">
        <f>+MINVU_Mes_Corriente!EC218*SALUD_Mes_Constante!$EC$1</f>
        <v>730.33099791706093</v>
      </c>
      <c r="ED218" s="8">
        <f>+MINVU_Mes_Corriente!ED218*SALUD_Mes_Constante!$EC$1</f>
        <v>5674.0304866502538</v>
      </c>
      <c r="EE218" s="8">
        <f>+MINVU_Mes_Corriente!EE218*SALUD_Mes_Constante!$EC$1</f>
        <v>29878.399734898685</v>
      </c>
      <c r="EF218" s="8">
        <f>+MINVU_Mes_Corriente!EF218*SALUD_Mes_Constante!$EC$1</f>
        <v>44591.569399734886</v>
      </c>
      <c r="EG218" s="8">
        <f>+MINVU_Mes_Corriente!EG218*SALUD_Mes_Constante!$EC$1</f>
        <v>69133.173641355781</v>
      </c>
      <c r="EH218" s="8">
        <f>+MINVU_Mes_Corriente!EH218*SALUD_Mes_Constante!$EC$1</f>
        <v>81393.631130467693</v>
      </c>
      <c r="EI218" s="8">
        <f>+MINVU_Mes_Corriente!EI218*SALUD_Mes_Constante!$EC$1</f>
        <v>113872.67127437981</v>
      </c>
      <c r="EJ218" s="8">
        <f>+MINVU_Mes_Corriente!EJ218*SALUD_Mes_Constante!$EC$1</f>
        <v>177903.8725620147</v>
      </c>
      <c r="EK218" s="8">
        <f>+MINVU_Mes_Corriente!EK218*SALUD_Mes_Constante!$EC$1</f>
        <v>197491.43268320386</v>
      </c>
      <c r="EL218" s="8">
        <f>+MINVU_Mes_Corriente!EL218*SALUD_Mes_Constante!$EC$1</f>
        <v>300487.75818973669</v>
      </c>
      <c r="EM218" s="8">
        <f>+MINVU_Mes_Corriente!EM218*SALUD_Mes_Constante!$EC$1</f>
        <v>389688.48286309396</v>
      </c>
      <c r="EN218" s="8">
        <f>+MINVU_Mes_Corriente!EN218*SALUD_Mes_Constante!$EC$1</f>
        <v>1326929.7006248813</v>
      </c>
      <c r="EO218" s="9">
        <f t="shared" si="105"/>
        <v>1326929.7006248813</v>
      </c>
      <c r="EP218" s="8">
        <f>+MINVU_Mes_Corriente!EP218*SALUD_Mes_Constante!$EP$1</f>
        <v>0</v>
      </c>
      <c r="EQ218" s="8">
        <f>+MINVU_Mes_Corriente!EQ218*SALUD_Mes_Constante!$EP$1</f>
        <v>11267</v>
      </c>
      <c r="ER218" s="8">
        <f>+MINVU_Mes_Corriente!ER218*SALUD_Mes_Constante!$EP$1</f>
        <v>32422</v>
      </c>
      <c r="ES218" s="8">
        <f>+MINVU_Mes_Corriente!ES218*SALUD_Mes_Constante!$EP$1</f>
        <v>49259</v>
      </c>
      <c r="ET218" s="8">
        <f>+MINVU_Mes_Corriente!ET218*SALUD_Mes_Constante!$EP$1</f>
        <v>162014</v>
      </c>
      <c r="EU218" s="8">
        <f>+MINVU_Mes_Corriente!EU218*SALUD_Mes_Constante!$EP$1</f>
        <v>182427</v>
      </c>
      <c r="EV218" s="8">
        <f>+MINVU_Mes_Corriente!EV218*SALUD_Mes_Constante!$EP$1</f>
        <v>220667</v>
      </c>
      <c r="EW218" s="8">
        <f>+MINVU_Mes_Corriente!EW218*SALUD_Mes_Constante!$EP$1</f>
        <v>246420</v>
      </c>
      <c r="EX218" s="8">
        <f>+MINVU_Mes_Corriente!EX218*SALUD_Mes_Constante!$EP$1</f>
        <v>261856</v>
      </c>
      <c r="EY218" s="8">
        <f>+MINVU_Mes_Corriente!EY218*SALUD_Mes_Constante!$EP$1</f>
        <v>298114</v>
      </c>
      <c r="EZ218" s="8">
        <f>+MINVU_Mes_Corriente!EZ218*SALUD_Mes_Constante!$EP$1</f>
        <v>472869</v>
      </c>
      <c r="FA218" s="8">
        <f>+MINVU_Mes_Corriente!FA218*SALUD_Mes_Constante!$EP$1</f>
        <v>2678131</v>
      </c>
      <c r="FB218" s="9">
        <f t="shared" si="106"/>
        <v>2678131</v>
      </c>
      <c r="FC218" s="8">
        <f>+MINVU_Mes_Corriente!FC218*SALUD_Mes_Constante!$FC$1</f>
        <v>173</v>
      </c>
      <c r="FD218" s="8">
        <f>+MINVU_Mes_Corriente!FD218*SALUD_Mes_Constante!$FC$1</f>
        <v>8605</v>
      </c>
      <c r="FE218" s="8">
        <f>+MINVU_Mes_Corriente!FE218*SALUD_Mes_Constante!$FC$1</f>
        <v>94785</v>
      </c>
      <c r="FF218" s="8">
        <f>+MINVU_Mes_Corriente!FF218*SALUD_Mes_Constante!$FC$1</f>
        <v>168911</v>
      </c>
      <c r="FG218" s="8">
        <f>+MINVU_Mes_Corriente!FG218*SALUD_Mes_Constante!$FC$1</f>
        <v>235488</v>
      </c>
      <c r="FH218" s="8">
        <f>+MINVU_Mes_Corriente!FH218*SALUD_Mes_Constante!$FC$1</f>
        <v>270359</v>
      </c>
      <c r="FI218" s="8">
        <f>+MINVU_Mes_Corriente!FI218*SALUD_Mes_Constante!$FC$1</f>
        <v>462136</v>
      </c>
      <c r="FJ218" s="8"/>
      <c r="FK218" s="8"/>
      <c r="FL218" s="8"/>
      <c r="FM218" s="8"/>
      <c r="FN218" s="8"/>
      <c r="FO218" s="9">
        <f t="shared" si="107"/>
        <v>462136</v>
      </c>
    </row>
    <row r="219" spans="2:171" ht="14.25" customHeight="1" x14ac:dyDescent="0.3">
      <c r="B219" s="35" t="s">
        <v>71</v>
      </c>
      <c r="C219" s="8">
        <f>+MINVU_Mes_Corriente!C219*SALUD_Mes_Constante!$C$1</f>
        <v>164160.59795343323</v>
      </c>
      <c r="D219" s="8">
        <f>+MINVU_Mes_Corriente!D219*SALUD_Mes_Constante!$C$1</f>
        <v>174730.12160759309</v>
      </c>
      <c r="E219" s="8">
        <f>+MINVU_Mes_Corriente!E219*SALUD_Mes_Constante!$C$1</f>
        <v>192981.71051460778</v>
      </c>
      <c r="F219" s="8">
        <f>+MINVU_Mes_Corriente!F219*SALUD_Mes_Constante!$C$1</f>
        <v>211328.89989618867</v>
      </c>
      <c r="G219" s="8">
        <f>+MINVU_Mes_Corriente!G219*SALUD_Mes_Constante!$C$1</f>
        <v>249530.2013940383</v>
      </c>
      <c r="H219" s="8">
        <f>+MINVU_Mes_Corriente!H219*SALUD_Mes_Constante!$C$1</f>
        <v>289709.94661130063</v>
      </c>
      <c r="I219" s="8">
        <f>+MINVU_Mes_Corriente!I219*SALUD_Mes_Constante!$C$1</f>
        <v>305762.72460329236</v>
      </c>
      <c r="J219" s="8">
        <f>+MINVU_Mes_Corriente!J219*SALUD_Mes_Constante!$C$1</f>
        <v>323917.09268871427</v>
      </c>
      <c r="K219" s="8">
        <f>+MINVU_Mes_Corriente!K219*SALUD_Mes_Constante!$C$1</f>
        <v>446065.33293786156</v>
      </c>
      <c r="L219" s="8">
        <f>+MINVU_Mes_Corriente!L219*SALUD_Mes_Constante!$C$1</f>
        <v>481599.54323001637</v>
      </c>
      <c r="M219" s="8">
        <f>+MINVU_Mes_Corriente!M219*SALUD_Mes_Constante!$C$1</f>
        <v>862991.96529734554</v>
      </c>
      <c r="N219" s="8">
        <f>+MINVU_Mes_Corriente!N219*SALUD_Mes_Constante!$C$1</f>
        <v>7796089.0731128594</v>
      </c>
      <c r="O219" s="9">
        <f t="shared" si="95"/>
        <v>7796089.0731128594</v>
      </c>
      <c r="P219" s="8">
        <f>+MINVU_Mes_Corriente!P219*SALUD_Mes_Constante!$P$1</f>
        <v>755.92584173888304</v>
      </c>
      <c r="Q219" s="8">
        <f>+MINVU_Mes_Corriente!Q219*SALUD_Mes_Constante!$P$1</f>
        <v>5480.8504048870554</v>
      </c>
      <c r="R219" s="8">
        <f>+MINVU_Mes_Corriente!R219*SALUD_Mes_Constante!$P$1</f>
        <v>66869.168916039183</v>
      </c>
      <c r="S219" s="8">
        <f>+MINVU_Mes_Corriente!S219*SALUD_Mes_Constante!$P$1</f>
        <v>77523.532319931779</v>
      </c>
      <c r="T219" s="8">
        <f>+MINVU_Mes_Corriente!T219*SALUD_Mes_Constante!$P$1</f>
        <v>86197.276885921267</v>
      </c>
      <c r="U219" s="8">
        <f>+MINVU_Mes_Corriente!U219*SALUD_Mes_Constante!$P$1</f>
        <v>113617.05100156268</v>
      </c>
      <c r="V219" s="8">
        <f>+MINVU_Mes_Corriente!V219*SALUD_Mes_Constante!$P$1</f>
        <v>159529.84458019599</v>
      </c>
      <c r="W219" s="8">
        <f>+MINVU_Mes_Corriente!W219*SALUD_Mes_Constante!$P$1</f>
        <v>169530.7279443102</v>
      </c>
      <c r="X219" s="8">
        <f>+MINVU_Mes_Corriente!X219*SALUD_Mes_Constante!$P$1</f>
        <v>277798.86631623801</v>
      </c>
      <c r="Y219" s="8">
        <f>+MINVU_Mes_Corriente!Y219*SALUD_Mes_Constante!$P$1</f>
        <v>439188.25742292922</v>
      </c>
      <c r="Z219" s="8">
        <f>+MINVU_Mes_Corriente!Z219*SALUD_Mes_Constante!$P$1</f>
        <v>579909.98408864869</v>
      </c>
      <c r="AA219" s="8">
        <f>+MINVU_Mes_Corriente!AA219*SALUD_Mes_Constante!$P$1</f>
        <v>8268484.4955249298</v>
      </c>
      <c r="AB219" s="9">
        <f t="shared" si="96"/>
        <v>8268484.4955249298</v>
      </c>
      <c r="AC219" s="8">
        <f>+MINVU_Mes_Corriente!AC219*SALUD_Mes_Constante!$AC$1</f>
        <v>86817.037764559413</v>
      </c>
      <c r="AD219" s="8">
        <f>+MINVU_Mes_Corriente!AD219*SALUD_Mes_Constante!$AC$1</f>
        <v>144595.30972471987</v>
      </c>
      <c r="AE219" s="8">
        <f>+MINVU_Mes_Corriente!AE219*SALUD_Mes_Constante!$AC$1</f>
        <v>183408.37930557478</v>
      </c>
      <c r="AF219" s="8">
        <f>+MINVU_Mes_Corriente!AF219*SALUD_Mes_Constante!$AC$1</f>
        <v>207696.77604094619</v>
      </c>
      <c r="AG219" s="8">
        <f>+MINVU_Mes_Corriente!AG219*SALUD_Mes_Constante!$AC$1</f>
        <v>236254.91271268501</v>
      </c>
      <c r="AH219" s="8">
        <f>+MINVU_Mes_Corriente!AH219*SALUD_Mes_Constante!$AC$1</f>
        <v>266452.93180246232</v>
      </c>
      <c r="AI219" s="8">
        <f>+MINVU_Mes_Corriente!AI219*SALUD_Mes_Constante!$AC$1</f>
        <v>322396.34914925991</v>
      </c>
      <c r="AJ219" s="8">
        <f>+MINVU_Mes_Corriente!AJ219*SALUD_Mes_Constante!$AC$1</f>
        <v>361142.91658597317</v>
      </c>
      <c r="AK219" s="8">
        <f>+MINVU_Mes_Corriente!AK219*SALUD_Mes_Constante!$AC$1</f>
        <v>364067.49951583898</v>
      </c>
      <c r="AL219" s="8">
        <f>+MINVU_Mes_Corriente!AL219*SALUD_Mes_Constante!$AC$1</f>
        <v>375956.26919352607</v>
      </c>
      <c r="AM219" s="8">
        <f>+MINVU_Mes_Corriente!AM219*SALUD_Mes_Constante!$AC$1</f>
        <v>393620.14552496886</v>
      </c>
      <c r="AN219" s="8">
        <f>+MINVU_Mes_Corriente!AN219*SALUD_Mes_Constante!$AC$1</f>
        <v>1111513.8143588325</v>
      </c>
      <c r="AO219" s="9">
        <f t="shared" si="97"/>
        <v>1111513.8143588325</v>
      </c>
      <c r="AP219" s="8">
        <f>+MINVU_Mes_Corriente!AP219*SALUD_Mes_Constante!$AP$1</f>
        <v>89759.314216150407</v>
      </c>
      <c r="AQ219" s="8">
        <f>+MINVU_Mes_Corriente!AQ219*SALUD_Mes_Constante!$AP$1</f>
        <v>108662.93466792912</v>
      </c>
      <c r="AR219" s="8">
        <f>+MINVU_Mes_Corriente!AR219*SALUD_Mes_Constante!$AP$1</f>
        <v>219968.32679561747</v>
      </c>
      <c r="AS219" s="8">
        <f>+MINVU_Mes_Corriente!AS219*SALUD_Mes_Constante!$AP$1</f>
        <v>152297.47409711889</v>
      </c>
      <c r="AT219" s="8">
        <f>+MINVU_Mes_Corriente!AT219*SALUD_Mes_Constante!$AP$1</f>
        <v>331987.5371297173</v>
      </c>
      <c r="AU219" s="8">
        <f>+MINVU_Mes_Corriente!AU219*SALUD_Mes_Constante!$AP$1</f>
        <v>343291.87555796019</v>
      </c>
      <c r="AV219" s="8">
        <f>+MINVU_Mes_Corriente!AV219*SALUD_Mes_Constante!$AP$1</f>
        <v>415149.57500338153</v>
      </c>
      <c r="AW219" s="8">
        <f>+MINVU_Mes_Corriente!AW219*SALUD_Mes_Constante!$AP$1</f>
        <v>434778.83673745434</v>
      </c>
      <c r="AX219" s="8">
        <f>+MINVU_Mes_Corriente!AX219*SALUD_Mes_Constante!$AP$1</f>
        <v>450966.10550520761</v>
      </c>
      <c r="AY219" s="8">
        <f>+MINVU_Mes_Corriente!AY219*SALUD_Mes_Constante!$AP$1</f>
        <v>462601.49005816312</v>
      </c>
      <c r="AZ219" s="8">
        <f>+MINVU_Mes_Corriente!AZ219*SALUD_Mes_Constante!$AP$1</f>
        <v>477176.38685242797</v>
      </c>
      <c r="BA219" s="8">
        <f>+MINVU_Mes_Corriente!BA219*SALUD_Mes_Constante!$AP$1</f>
        <v>628134.89760584338</v>
      </c>
      <c r="BB219" s="9">
        <f t="shared" si="98"/>
        <v>628134.89760584338</v>
      </c>
      <c r="BC219" s="8">
        <f>+MINVU_Mes_Corriente!BC219*SALUD_Mes_Constante!$BC$1</f>
        <v>2237.6471053672694</v>
      </c>
      <c r="BD219" s="8">
        <f>+MINVU_Mes_Corriente!BD219*SALUD_Mes_Constante!$BC$1</f>
        <v>32857.246999868134</v>
      </c>
      <c r="BE219" s="8">
        <f>+MINVU_Mes_Corriente!BE219*SALUD_Mes_Constante!$BC$1</f>
        <v>56134.252142951351</v>
      </c>
      <c r="BF219" s="8">
        <f>+MINVU_Mes_Corriente!BF219*SALUD_Mes_Constante!$BC$1</f>
        <v>123126.78412237903</v>
      </c>
      <c r="BG219" s="8">
        <f>+MINVU_Mes_Corriente!BG219*SALUD_Mes_Constante!$BC$1</f>
        <v>175991.73730713443</v>
      </c>
      <c r="BH219" s="8">
        <f>+MINVU_Mes_Corriente!BH219*SALUD_Mes_Constante!$BC$1</f>
        <v>185220.41065541346</v>
      </c>
      <c r="BI219" s="8">
        <f>+MINVU_Mes_Corriente!BI219*SALUD_Mes_Constante!$BC$1</f>
        <v>192671.06949756038</v>
      </c>
      <c r="BJ219" s="8">
        <f>+MINVU_Mes_Corriente!BJ219*SALUD_Mes_Constante!$BC$1</f>
        <v>204579.73229592515</v>
      </c>
      <c r="BK219" s="8">
        <f>+MINVU_Mes_Corriente!BK219*SALUD_Mes_Constante!$BC$1</f>
        <v>204579.73229592515</v>
      </c>
      <c r="BL219" s="8">
        <f>+MINVU_Mes_Corriente!BL219*SALUD_Mes_Constante!$BC$1</f>
        <v>213162.90280891472</v>
      </c>
      <c r="BM219" s="8">
        <f>+MINVU_Mes_Corriente!BM219*SALUD_Mes_Constante!$BC$1</f>
        <v>633311.76500065951</v>
      </c>
      <c r="BN219" s="8">
        <f>+MINVU_Mes_Corriente!BN219*SALUD_Mes_Constante!$BC$1</f>
        <v>4836795.9704602417</v>
      </c>
      <c r="BO219" s="9">
        <f t="shared" si="99"/>
        <v>4836795.9704602417</v>
      </c>
      <c r="BP219" s="8">
        <f>+MINVU_Mes_Corriente!BP219*SALUD_Mes_Constante!$BP$1</f>
        <v>0</v>
      </c>
      <c r="BQ219" s="8">
        <f>+MINVU_Mes_Corriente!BQ219*SALUD_Mes_Constante!$BP$1</f>
        <v>0</v>
      </c>
      <c r="BR219" s="8">
        <f>+MINVU_Mes_Corriente!BR219*SALUD_Mes_Constante!$BP$1</f>
        <v>0</v>
      </c>
      <c r="BS219" s="8">
        <f>+MINVU_Mes_Corriente!BS219*SALUD_Mes_Constante!$BP$1</f>
        <v>0</v>
      </c>
      <c r="BT219" s="8">
        <f>+MINVU_Mes_Corriente!BT219*SALUD_Mes_Constante!$BP$1</f>
        <v>6792.0268886043541</v>
      </c>
      <c r="BU219" s="8">
        <f>+MINVU_Mes_Corriente!BU219*SALUD_Mes_Constante!$BP$1</f>
        <v>23234.187964148528</v>
      </c>
      <c r="BV219" s="8">
        <f>+MINVU_Mes_Corriente!BV219*SALUD_Mes_Constante!$BP$1</f>
        <v>25639.027144686301</v>
      </c>
      <c r="BW219" s="8">
        <f>+MINVU_Mes_Corriente!BW219*SALUD_Mes_Constante!$BP$1</f>
        <v>44382.50320102433</v>
      </c>
      <c r="BX219" s="8">
        <f>+MINVU_Mes_Corriente!BX219*SALUD_Mes_Constante!$BP$1</f>
        <v>110654.77874519848</v>
      </c>
      <c r="BY219" s="8">
        <f>+MINVU_Mes_Corriente!BY219*SALUD_Mes_Constante!$BP$1</f>
        <v>111652.24839948784</v>
      </c>
      <c r="BZ219" s="8">
        <f>+MINVU_Mes_Corriente!BZ219*SALUD_Mes_Constante!$BP$1</f>
        <v>696572.37080665817</v>
      </c>
      <c r="CA219" s="8">
        <f>+MINVU_Mes_Corriente!CA219*SALUD_Mes_Constante!$BP$1</f>
        <v>2072723.7549295777</v>
      </c>
      <c r="CB219" s="9">
        <f t="shared" si="100"/>
        <v>2072723.7549295777</v>
      </c>
      <c r="CC219" s="8">
        <f>+MINVU_Mes_Corriente!CC219*SALUD_Mes_Constante!$CC$1</f>
        <v>0</v>
      </c>
      <c r="CD219" s="8">
        <f>+MINVU_Mes_Corriente!CD219*SALUD_Mes_Constante!$CC$1</f>
        <v>0</v>
      </c>
      <c r="CE219" s="8">
        <f>+MINVU_Mes_Corriente!CE219*SALUD_Mes_Constante!$CC$1</f>
        <v>65500.303618052974</v>
      </c>
      <c r="CF219" s="8">
        <f>+MINVU_Mes_Corriente!CF219*SALUD_Mes_Constante!$CC$1</f>
        <v>74876.314061917205</v>
      </c>
      <c r="CG219" s="8">
        <f>+MINVU_Mes_Corriente!CG219*SALUD_Mes_Constante!$CC$1</f>
        <v>87743.536740022391</v>
      </c>
      <c r="CH219" s="8">
        <f>+MINVU_Mes_Corriente!CH219*SALUD_Mes_Constante!$CC$1</f>
        <v>787262.92502797476</v>
      </c>
      <c r="CI219" s="8">
        <f>+MINVU_Mes_Corriente!CI219*SALUD_Mes_Constante!$CC$1</f>
        <v>909066.83700111904</v>
      </c>
      <c r="CJ219" s="8">
        <f>+MINVU_Mes_Corriente!CJ219*SALUD_Mes_Constante!$CC$1</f>
        <v>1060662.8795225662</v>
      </c>
      <c r="CK219" s="8">
        <f>+MINVU_Mes_Corriente!CK219*SALUD_Mes_Constante!$CC$1</f>
        <v>1087486.8004475944</v>
      </c>
      <c r="CL219" s="8">
        <f>+MINVU_Mes_Corriente!CL219*SALUD_Mes_Constante!$CC$1</f>
        <v>1202016.2215591199</v>
      </c>
      <c r="CM219" s="8">
        <f>+MINVU_Mes_Corriente!CM219*SALUD_Mes_Constante!$CC$1</f>
        <v>1267891.4569190601</v>
      </c>
      <c r="CN219" s="8">
        <f>+MINVU_Mes_Corriente!CN219*SALUD_Mes_Constante!$CC$1</f>
        <v>2324568.649011563</v>
      </c>
      <c r="CO219" s="9">
        <f t="shared" si="101"/>
        <v>2324568.649011563</v>
      </c>
      <c r="CP219" s="8">
        <f>+MINVU_Mes_Corriente!CP219*SALUD_Mes_Constante!$CP$1</f>
        <v>0</v>
      </c>
      <c r="CQ219" s="8">
        <f>+MINVU_Mes_Corriente!CQ219*SALUD_Mes_Constante!$CP$1</f>
        <v>9355.5459396751721</v>
      </c>
      <c r="CR219" s="8">
        <f>+MINVU_Mes_Corriente!CR219*SALUD_Mes_Constante!$CP$1</f>
        <v>1935513.014617169</v>
      </c>
      <c r="CS219" s="8">
        <f>+MINVU_Mes_Corriente!CS219*SALUD_Mes_Constante!$CP$1</f>
        <v>1986090.7614849184</v>
      </c>
      <c r="CT219" s="8">
        <f>+MINVU_Mes_Corriente!CT219*SALUD_Mes_Constante!$CP$1</f>
        <v>1986090.7614849184</v>
      </c>
      <c r="CU219" s="8">
        <f>+MINVU_Mes_Corriente!CU219*SALUD_Mes_Constante!$CP$1</f>
        <v>2675659.5208816701</v>
      </c>
      <c r="CV219" s="8">
        <f>+MINVU_Mes_Corriente!CV219*SALUD_Mes_Constante!$CP$1</f>
        <v>2677090.5480278418</v>
      </c>
      <c r="CW219" s="8">
        <f>+MINVU_Mes_Corriente!CW219*SALUD_Mes_Constante!$CP$1</f>
        <v>2737473.8095127605</v>
      </c>
      <c r="CX219" s="8">
        <f>+MINVU_Mes_Corriente!CX219*SALUD_Mes_Constante!$CP$1</f>
        <v>2860865.3610208812</v>
      </c>
      <c r="CY219" s="8">
        <f>+MINVU_Mes_Corriente!CY219*SALUD_Mes_Constante!$CP$1</f>
        <v>3038222.7334106723</v>
      </c>
      <c r="CZ219" s="8">
        <f>+MINVU_Mes_Corriente!CZ219*SALUD_Mes_Constante!$CP$1</f>
        <v>3295792.4095127601</v>
      </c>
      <c r="DA219" s="8">
        <f>+MINVU_Mes_Corriente!DA219*SALUD_Mes_Constante!$CP$1</f>
        <v>3884571.9877030156</v>
      </c>
      <c r="DB219" s="9">
        <f t="shared" si="102"/>
        <v>3884571.9877030156</v>
      </c>
      <c r="DC219" s="8">
        <f>+MINVU_Mes_Corriente!DC219*SALUD_Mes_Constante!$DC$1</f>
        <v>0</v>
      </c>
      <c r="DD219" s="8">
        <f>+MINVU_Mes_Corriente!DD219*SALUD_Mes_Constante!$DC$1</f>
        <v>6338.0016459212047</v>
      </c>
      <c r="DE219" s="8">
        <f>+MINVU_Mes_Corriente!DE219*SALUD_Mes_Constante!$DC$1</f>
        <v>8715.1737475568407</v>
      </c>
      <c r="DF219" s="8">
        <f>+MINVU_Mes_Corriente!DF219*SALUD_Mes_Constante!$DC$1</f>
        <v>51135.613208517665</v>
      </c>
      <c r="DG219" s="8">
        <f>+MINVU_Mes_Corriente!DG219*SALUD_Mes_Constante!$DC$1</f>
        <v>81948.933854541756</v>
      </c>
      <c r="DH219" s="8">
        <f>+MINVU_Mes_Corriente!DH219*SALUD_Mes_Constante!$DC$1</f>
        <v>94167.486061104864</v>
      </c>
      <c r="DI219" s="8">
        <f>+MINVU_Mes_Corriente!DI219*SALUD_Mes_Constante!$DC$1</f>
        <v>362132.6657751262</v>
      </c>
      <c r="DJ219" s="8">
        <f>+MINVU_Mes_Corriente!DJ219*SALUD_Mes_Constante!$DC$1</f>
        <v>382704.47711140849</v>
      </c>
      <c r="DK219" s="8">
        <f>+MINVU_Mes_Corriente!DK219*SALUD_Mes_Constante!$DC$1</f>
        <v>462979.83684806112</v>
      </c>
      <c r="DL219" s="8">
        <f>+MINVU_Mes_Corriente!DL219*SALUD_Mes_Constante!$DC$1</f>
        <v>537914.14607550693</v>
      </c>
      <c r="DM219" s="8">
        <f>+MINVU_Mes_Corriente!DM219*SALUD_Mes_Constante!$DC$1</f>
        <v>804338.37876761693</v>
      </c>
      <c r="DN219" s="8">
        <f>+MINVU_Mes_Corriente!DN219*SALUD_Mes_Constante!$DC$1</f>
        <v>3206474.7213249682</v>
      </c>
      <c r="DO219" s="9">
        <f t="shared" si="103"/>
        <v>3206474.7213249682</v>
      </c>
      <c r="DP219" s="8">
        <f>+MINVU_Mes_Corriente!DP219*SALUD_Mes_Constante!$DP$1</f>
        <v>1646.9020190023755</v>
      </c>
      <c r="DQ219" s="8">
        <f>+MINVU_Mes_Corriente!DQ219*SALUD_Mes_Constante!$DP$1</f>
        <v>20648.453087885988</v>
      </c>
      <c r="DR219" s="8">
        <f>+MINVU_Mes_Corriente!DR219*SALUD_Mes_Constante!$DP$1</f>
        <v>38057.169833729218</v>
      </c>
      <c r="DS219" s="8">
        <f>+MINVU_Mes_Corriente!DS219*SALUD_Mes_Constante!$DP$1</f>
        <v>39927.912114014252</v>
      </c>
      <c r="DT219" s="8">
        <f>+MINVU_Mes_Corriente!DT219*SALUD_Mes_Constante!$DP$1</f>
        <v>44804.818289786228</v>
      </c>
      <c r="DU219" s="8">
        <f>+MINVU_Mes_Corriente!DU219*SALUD_Mes_Constante!$DP$1</f>
        <v>62814.767814726845</v>
      </c>
      <c r="DV219" s="8">
        <f>+MINVU_Mes_Corriente!DV219*SALUD_Mes_Constante!$DP$1</f>
        <v>76503.627078384801</v>
      </c>
      <c r="DW219" s="8">
        <f>+MINVU_Mes_Corriente!DW219*SALUD_Mes_Constante!$DP$1</f>
        <v>322572.19952494063</v>
      </c>
      <c r="DX219" s="8">
        <f>+MINVU_Mes_Corriente!DX219*SALUD_Mes_Constante!$DP$1</f>
        <v>383599.48931116395</v>
      </c>
      <c r="DY219" s="8">
        <f>+MINVU_Mes_Corriente!DY219*SALUD_Mes_Constante!$DP$1</f>
        <v>703725.66627078387</v>
      </c>
      <c r="DZ219" s="8">
        <f>+MINVU_Mes_Corriente!DZ219*SALUD_Mes_Constante!$DP$1</f>
        <v>2095440.0552256533</v>
      </c>
      <c r="EA219" s="8">
        <f>+MINVU_Mes_Corriente!EA219*SALUD_Mes_Constante!$DP$1</f>
        <v>10027448.960807601</v>
      </c>
      <c r="EB219" s="9">
        <f t="shared" si="104"/>
        <v>10027448.960807601</v>
      </c>
      <c r="EC219" s="8">
        <f>+MINVU_Mes_Corriente!EC219*SALUD_Mes_Constante!$EC$1</f>
        <v>0</v>
      </c>
      <c r="ED219" s="8">
        <f>+MINVU_Mes_Corriente!ED219*SALUD_Mes_Constante!$EC$1</f>
        <v>8585.0098466199561</v>
      </c>
      <c r="EE219" s="8">
        <f>+MINVU_Mes_Corriente!EE219*SALUD_Mes_Constante!$EC$1</f>
        <v>50470.423594016269</v>
      </c>
      <c r="EF219" s="8">
        <f>+MINVU_Mes_Corriente!EF219*SALUD_Mes_Constante!$EC$1</f>
        <v>102652.88373414123</v>
      </c>
      <c r="EG219" s="8">
        <f>+MINVU_Mes_Corriente!EG219*SALUD_Mes_Constante!$EC$1</f>
        <v>132857.13936754398</v>
      </c>
      <c r="EH219" s="8">
        <f>+MINVU_Mes_Corriente!EH219*SALUD_Mes_Constante!$EC$1</f>
        <v>439378.92122704018</v>
      </c>
      <c r="EI219" s="8">
        <f>+MINVU_Mes_Corriente!EI219*SALUD_Mes_Constante!$EC$1</f>
        <v>466527.37265669368</v>
      </c>
      <c r="EJ219" s="8">
        <f>+MINVU_Mes_Corriente!EJ219*SALUD_Mes_Constante!$EC$1</f>
        <v>541225.95815186505</v>
      </c>
      <c r="EK219" s="8">
        <f>+MINVU_Mes_Corriente!EK219*SALUD_Mes_Constante!$EC$1</f>
        <v>626645.71993940521</v>
      </c>
      <c r="EL219" s="8">
        <f>+MINVU_Mes_Corriente!EL219*SALUD_Mes_Constante!$EC$1</f>
        <v>951730.94338193489</v>
      </c>
      <c r="EM219" s="8">
        <f>+MINVU_Mes_Corriente!EM219*SALUD_Mes_Constante!$EC$1</f>
        <v>1119137.0836962692</v>
      </c>
      <c r="EN219" s="8">
        <f>+MINVU_Mes_Corriente!EN219*SALUD_Mes_Constante!$EC$1</f>
        <v>2738796.0687369807</v>
      </c>
      <c r="EO219" s="9">
        <f t="shared" si="105"/>
        <v>2738796.0687369807</v>
      </c>
      <c r="EP219" s="8">
        <f>+MINVU_Mes_Corriente!EP219*SALUD_Mes_Constante!$EP$1</f>
        <v>1500</v>
      </c>
      <c r="EQ219" s="8">
        <f>+MINVU_Mes_Corriente!EQ219*SALUD_Mes_Constante!$EP$1</f>
        <v>26722</v>
      </c>
      <c r="ER219" s="8">
        <f>+MINVU_Mes_Corriente!ER219*SALUD_Mes_Constante!$EP$1</f>
        <v>45178</v>
      </c>
      <c r="ES219" s="8">
        <f>+MINVU_Mes_Corriente!ES219*SALUD_Mes_Constante!$EP$1</f>
        <v>71699</v>
      </c>
      <c r="ET219" s="8">
        <f>+MINVU_Mes_Corriente!ET219*SALUD_Mes_Constante!$EP$1</f>
        <v>95893</v>
      </c>
      <c r="EU219" s="8">
        <f>+MINVU_Mes_Corriente!EU219*SALUD_Mes_Constante!$EP$1</f>
        <v>430896</v>
      </c>
      <c r="EV219" s="8">
        <f>+MINVU_Mes_Corriente!EV219*SALUD_Mes_Constante!$EP$1</f>
        <v>674867</v>
      </c>
      <c r="EW219" s="8">
        <f>+MINVU_Mes_Corriente!EW219*SALUD_Mes_Constante!$EP$1</f>
        <v>3644044</v>
      </c>
      <c r="EX219" s="8">
        <f>+MINVU_Mes_Corriente!EX219*SALUD_Mes_Constante!$EP$1</f>
        <v>3735565</v>
      </c>
      <c r="EY219" s="8">
        <f>+MINVU_Mes_Corriente!EY219*SALUD_Mes_Constante!$EP$1</f>
        <v>3778993</v>
      </c>
      <c r="EZ219" s="8">
        <f>+MINVU_Mes_Corriente!EZ219*SALUD_Mes_Constante!$EP$1</f>
        <v>3855428</v>
      </c>
      <c r="FA219" s="8">
        <f>+MINVU_Mes_Corriente!FA219*SALUD_Mes_Constante!$EP$1</f>
        <v>4222833</v>
      </c>
      <c r="FB219" s="9">
        <f t="shared" si="106"/>
        <v>4222833</v>
      </c>
      <c r="FC219" s="8">
        <f>+MINVU_Mes_Corriente!FC219*SALUD_Mes_Constante!$FC$1</f>
        <v>0</v>
      </c>
      <c r="FD219" s="8">
        <f>+MINVU_Mes_Corriente!FD219*SALUD_Mes_Constante!$FC$1</f>
        <v>1560</v>
      </c>
      <c r="FE219" s="8">
        <f>+MINVU_Mes_Corriente!FE219*SALUD_Mes_Constante!$FC$1</f>
        <v>17394</v>
      </c>
      <c r="FF219" s="8">
        <f>+MINVU_Mes_Corriente!FF219*SALUD_Mes_Constante!$FC$1</f>
        <v>24950</v>
      </c>
      <c r="FG219" s="8">
        <f>+MINVU_Mes_Corriente!FG219*SALUD_Mes_Constante!$FC$1</f>
        <v>31359</v>
      </c>
      <c r="FH219" s="8">
        <f>+MINVU_Mes_Corriente!FH219*SALUD_Mes_Constante!$FC$1</f>
        <v>46109</v>
      </c>
      <c r="FI219" s="8">
        <f>+MINVU_Mes_Corriente!FI219*SALUD_Mes_Constante!$FC$1</f>
        <v>60064</v>
      </c>
      <c r="FJ219" s="8"/>
      <c r="FK219" s="8"/>
      <c r="FL219" s="8"/>
      <c r="FM219" s="8"/>
      <c r="FN219" s="8"/>
      <c r="FO219" s="9">
        <f t="shared" si="107"/>
        <v>60064</v>
      </c>
    </row>
    <row r="220" spans="2:171" ht="14.25" customHeight="1" x14ac:dyDescent="0.3">
      <c r="B220" s="35" t="s">
        <v>72</v>
      </c>
      <c r="C220" s="8">
        <f>+MINVU_Mes_Corriente!C220*SALUD_Mes_Constante!$C$1</f>
        <v>19489.534035295866</v>
      </c>
      <c r="D220" s="8">
        <f>+MINVU_Mes_Corriente!D220*SALUD_Mes_Constante!$C$1</f>
        <v>57149.639626279117</v>
      </c>
      <c r="E220" s="8">
        <f>+MINVU_Mes_Corriente!E220*SALUD_Mes_Constante!$C$1</f>
        <v>79651.398783924087</v>
      </c>
      <c r="F220" s="8">
        <f>+MINVU_Mes_Corriente!F220*SALUD_Mes_Constante!$C$1</f>
        <v>153289.68975233578</v>
      </c>
      <c r="G220" s="8">
        <f>+MINVU_Mes_Corriente!G220*SALUD_Mes_Constante!$C$1</f>
        <v>234143.38602995704</v>
      </c>
      <c r="H220" s="8">
        <f>+MINVU_Mes_Corriente!H220*SALUD_Mes_Constante!$C$1</f>
        <v>262569.13391665433</v>
      </c>
      <c r="I220" s="8">
        <f>+MINVU_Mes_Corriente!I220*SALUD_Mes_Constante!$C$1</f>
        <v>380345.67788818042</v>
      </c>
      <c r="J220" s="8">
        <f>+MINVU_Mes_Corriente!J220*SALUD_Mes_Constante!$C$1</f>
        <v>604438.05131247232</v>
      </c>
      <c r="K220" s="8">
        <f>+MINVU_Mes_Corriente!K220*SALUD_Mes_Constante!$C$1</f>
        <v>1063388.3838054279</v>
      </c>
      <c r="L220" s="8">
        <f>+MINVU_Mes_Corriente!L220*SALUD_Mes_Constante!$C$1</f>
        <v>1177447.8516980575</v>
      </c>
      <c r="M220" s="8">
        <f>+MINVU_Mes_Corriente!M220*SALUD_Mes_Constante!$C$1</f>
        <v>1505214.888921845</v>
      </c>
      <c r="N220" s="8">
        <f>+MINVU_Mes_Corriente!N220*SALUD_Mes_Constante!$C$1</f>
        <v>7954137.7220821604</v>
      </c>
      <c r="O220" s="9">
        <f t="shared" si="95"/>
        <v>7954137.7220821604</v>
      </c>
      <c r="P220" s="8">
        <f>+MINVU_Mes_Corriente!P220*SALUD_Mes_Constante!$P$1</f>
        <v>31441.547947151572</v>
      </c>
      <c r="Q220" s="8">
        <f>+MINVU_Mes_Corriente!Q220*SALUD_Mes_Constante!$P$1</f>
        <v>55286.584458019584</v>
      </c>
      <c r="R220" s="8">
        <f>+MINVU_Mes_Corriente!R220*SALUD_Mes_Constante!$P$1</f>
        <v>96666.927404460832</v>
      </c>
      <c r="S220" s="8">
        <f>+MINVU_Mes_Corriente!S220*SALUD_Mes_Constante!$P$1</f>
        <v>142994.160818298</v>
      </c>
      <c r="T220" s="8">
        <f>+MINVU_Mes_Corriente!T220*SALUD_Mes_Constante!$P$1</f>
        <v>178291.39622105405</v>
      </c>
      <c r="U220" s="8">
        <f>+MINVU_Mes_Corriente!U220*SALUD_Mes_Constante!$P$1</f>
        <v>241303.32547236813</v>
      </c>
      <c r="V220" s="8">
        <f>+MINVU_Mes_Corriente!V220*SALUD_Mes_Constante!$P$1</f>
        <v>549419.94033243333</v>
      </c>
      <c r="W220" s="8">
        <f>+MINVU_Mes_Corriente!W220*SALUD_Mes_Constante!$P$1</f>
        <v>1054179.7198465688</v>
      </c>
      <c r="X220" s="8">
        <f>+MINVU_Mes_Corriente!X220*SALUD_Mes_Constante!$P$1</f>
        <v>2139352.3992044316</v>
      </c>
      <c r="Y220" s="8">
        <f>+MINVU_Mes_Corriente!Y220*SALUD_Mes_Constante!$P$1</f>
        <v>2783869.9835203853</v>
      </c>
      <c r="Z220" s="8">
        <f>+MINVU_Mes_Corriente!Z220*SALUD_Mes_Constante!$P$1</f>
        <v>3544224.2778803795</v>
      </c>
      <c r="AA220" s="8">
        <f>+MINVU_Mes_Corriente!AA220*SALUD_Mes_Constante!$P$1</f>
        <v>11449030.833072875</v>
      </c>
      <c r="AB220" s="9">
        <f t="shared" si="96"/>
        <v>11449030.833072875</v>
      </c>
      <c r="AC220" s="8">
        <f>+MINVU_Mes_Corriente!AC220*SALUD_Mes_Constante!$AC$1</f>
        <v>16288.491077604094</v>
      </c>
      <c r="AD220" s="8">
        <f>+MINVU_Mes_Corriente!AD220*SALUD_Mes_Constante!$AC$1</f>
        <v>75872.90081615714</v>
      </c>
      <c r="AE220" s="8">
        <f>+MINVU_Mes_Corriente!AE220*SALUD_Mes_Constante!$AC$1</f>
        <v>124977.17720293264</v>
      </c>
      <c r="AF220" s="8">
        <f>+MINVU_Mes_Corriente!AF220*SALUD_Mes_Constante!$AC$1</f>
        <v>177009.05934430764</v>
      </c>
      <c r="AG220" s="8">
        <f>+MINVU_Mes_Corriente!AG220*SALUD_Mes_Constante!$AC$1</f>
        <v>251831.52856550008</v>
      </c>
      <c r="AH220" s="8">
        <f>+MINVU_Mes_Corriente!AH220*SALUD_Mes_Constante!$AC$1</f>
        <v>282894.07552911883</v>
      </c>
      <c r="AI220" s="8">
        <f>+MINVU_Mes_Corriente!AI220*SALUD_Mes_Constante!$AC$1</f>
        <v>346498.84216350812</v>
      </c>
      <c r="AJ220" s="8">
        <f>+MINVU_Mes_Corriente!AJ220*SALUD_Mes_Constante!$AC$1</f>
        <v>362410.99156176508</v>
      </c>
      <c r="AK220" s="8">
        <f>+MINVU_Mes_Corriente!AK220*SALUD_Mes_Constante!$AC$1</f>
        <v>421505.70369345689</v>
      </c>
      <c r="AL220" s="8">
        <f>+MINVU_Mes_Corriente!AL220*SALUD_Mes_Constante!$AC$1</f>
        <v>583542.71213169175</v>
      </c>
      <c r="AM220" s="8">
        <f>+MINVU_Mes_Corriente!AM220*SALUD_Mes_Constante!$AC$1</f>
        <v>602479.19767602708</v>
      </c>
      <c r="AN220" s="8">
        <f>+MINVU_Mes_Corriente!AN220*SALUD_Mes_Constante!$AC$1</f>
        <v>1544054.3397427029</v>
      </c>
      <c r="AO220" s="9">
        <f t="shared" si="97"/>
        <v>1544054.3397427029</v>
      </c>
      <c r="AP220" s="8">
        <f>+MINVU_Mes_Corriente!AP220*SALUD_Mes_Constante!$AP$1</f>
        <v>7079.0666847017446</v>
      </c>
      <c r="AQ220" s="8">
        <f>+MINVU_Mes_Corriente!AQ220*SALUD_Mes_Constante!$AP$1</f>
        <v>16312.888949005815</v>
      </c>
      <c r="AR220" s="8">
        <f>+MINVU_Mes_Corriente!AR220*SALUD_Mes_Constante!$AP$1</f>
        <v>31341.496280265113</v>
      </c>
      <c r="AS220" s="8">
        <f>+MINVU_Mes_Corriente!AS220*SALUD_Mes_Constante!$AP$1</f>
        <v>57761.637224401456</v>
      </c>
      <c r="AT220" s="8">
        <f>+MINVU_Mes_Corriente!AT220*SALUD_Mes_Constante!$AP$1</f>
        <v>68681.725686460166</v>
      </c>
      <c r="AU220" s="8">
        <f>+MINVU_Mes_Corriente!AU220*SALUD_Mes_Constante!$AP$1</f>
        <v>84656.179088326797</v>
      </c>
      <c r="AV220" s="8">
        <f>+MINVU_Mes_Corriente!AV220*SALUD_Mes_Constante!$AP$1</f>
        <v>193262.95414581359</v>
      </c>
      <c r="AW220" s="8">
        <f>+MINVU_Mes_Corriente!AW220*SALUD_Mes_Constante!$AP$1</f>
        <v>246790.45231976191</v>
      </c>
      <c r="AX220" s="8">
        <f>+MINVU_Mes_Corriente!AX220*SALUD_Mes_Constante!$AP$1</f>
        <v>313508.06952522654</v>
      </c>
      <c r="AY220" s="8">
        <f>+MINVU_Mes_Corriente!AY220*SALUD_Mes_Constante!$AP$1</f>
        <v>459279.20573515486</v>
      </c>
      <c r="AZ220" s="8">
        <f>+MINVU_Mes_Corriente!AZ220*SALUD_Mes_Constante!$AP$1</f>
        <v>471476.18639253348</v>
      </c>
      <c r="BA220" s="8">
        <f>+MINVU_Mes_Corriente!BA220*SALUD_Mes_Constante!$AP$1</f>
        <v>1009322.6871364804</v>
      </c>
      <c r="BB220" s="9">
        <f t="shared" si="98"/>
        <v>1009322.6871364804</v>
      </c>
      <c r="BC220" s="8">
        <f>+MINVU_Mes_Corriente!BC220*SALUD_Mes_Constante!$BC$1</f>
        <v>20036.52327574839</v>
      </c>
      <c r="BD220" s="8">
        <f>+MINVU_Mes_Corriente!BD220*SALUD_Mes_Constante!$BC$1</f>
        <v>36185.620994329431</v>
      </c>
      <c r="BE220" s="8">
        <f>+MINVU_Mes_Corriente!BE220*SALUD_Mes_Constante!$BC$1</f>
        <v>48846.409864169866</v>
      </c>
      <c r="BF220" s="8">
        <f>+MINVU_Mes_Corriente!BF220*SALUD_Mes_Constante!$BC$1</f>
        <v>65563.204272715302</v>
      </c>
      <c r="BG220" s="8">
        <f>+MINVU_Mes_Corriente!BG220*SALUD_Mes_Constante!$BC$1</f>
        <v>83739.584333377308</v>
      </c>
      <c r="BH220" s="8">
        <f>+MINVU_Mes_Corriente!BH220*SALUD_Mes_Constante!$BC$1</f>
        <v>96086.266912831357</v>
      </c>
      <c r="BI220" s="8">
        <f>+MINVU_Mes_Corriente!BI220*SALUD_Mes_Constante!$BC$1</f>
        <v>133623.40946854811</v>
      </c>
      <c r="BJ220" s="8">
        <f>+MINVU_Mes_Corriente!BJ220*SALUD_Mes_Constante!$BC$1</f>
        <v>173656.11209283929</v>
      </c>
      <c r="BK220" s="8">
        <f>+MINVU_Mes_Corriente!BK220*SALUD_Mes_Constante!$BC$1</f>
        <v>219857.1130159568</v>
      </c>
      <c r="BL220" s="8">
        <f>+MINVU_Mes_Corriente!BL220*SALUD_Mes_Constante!$BC$1</f>
        <v>245383.29210075174</v>
      </c>
      <c r="BM220" s="8">
        <f>+MINVU_Mes_Corriente!BM220*SALUD_Mes_Constante!$BC$1</f>
        <v>913458.55466174358</v>
      </c>
      <c r="BN220" s="8">
        <f>+MINVU_Mes_Corriente!BN220*SALUD_Mes_Constante!$BC$1</f>
        <v>2891387.3060793886</v>
      </c>
      <c r="BO220" s="9">
        <f t="shared" si="99"/>
        <v>2891387.3060793886</v>
      </c>
      <c r="BP220" s="8">
        <f>+MINVU_Mes_Corriente!BP220*SALUD_Mes_Constante!$BP$1</f>
        <v>0</v>
      </c>
      <c r="BQ220" s="8">
        <f>+MINVU_Mes_Corriente!BQ220*SALUD_Mes_Constante!$BP$1</f>
        <v>0</v>
      </c>
      <c r="BR220" s="8">
        <f>+MINVU_Mes_Corriente!BR220*SALUD_Mes_Constante!$BP$1</f>
        <v>0</v>
      </c>
      <c r="BS220" s="8">
        <f>+MINVU_Mes_Corriente!BS220*SALUD_Mes_Constante!$BP$1</f>
        <v>0</v>
      </c>
      <c r="BT220" s="8">
        <f>+MINVU_Mes_Corriente!BT220*SALUD_Mes_Constante!$BP$1</f>
        <v>9935.5252240717036</v>
      </c>
      <c r="BU220" s="8">
        <f>+MINVU_Mes_Corriente!BU220*SALUD_Mes_Constante!$BP$1</f>
        <v>9935.5252240717036</v>
      </c>
      <c r="BV220" s="8">
        <f>+MINVU_Mes_Corriente!BV220*SALUD_Mes_Constante!$BP$1</f>
        <v>9935.5252240717036</v>
      </c>
      <c r="BW220" s="8">
        <f>+MINVU_Mes_Corriente!BW220*SALUD_Mes_Constante!$BP$1</f>
        <v>9935.5252240717036</v>
      </c>
      <c r="BX220" s="8">
        <f>+MINVU_Mes_Corriente!BX220*SALUD_Mes_Constante!$BP$1</f>
        <v>11223.981818181819</v>
      </c>
      <c r="BY220" s="8">
        <f>+MINVU_Mes_Corriente!BY220*SALUD_Mes_Constante!$BP$1</f>
        <v>59150.090396927022</v>
      </c>
      <c r="BZ220" s="8">
        <f>+MINVU_Mes_Corriente!BZ220*SALUD_Mes_Constante!$BP$1</f>
        <v>64811.744942381571</v>
      </c>
      <c r="CA220" s="8">
        <f>+MINVU_Mes_Corriente!CA220*SALUD_Mes_Constante!$BP$1</f>
        <v>1528192.0601792575</v>
      </c>
      <c r="CB220" s="9">
        <f t="shared" si="100"/>
        <v>1528192.0601792575</v>
      </c>
      <c r="CC220" s="8">
        <f>+MINVU_Mes_Corriente!CC220*SALUD_Mes_Constante!$CC$1</f>
        <v>0</v>
      </c>
      <c r="CD220" s="8">
        <f>+MINVU_Mes_Corriente!CD220*SALUD_Mes_Constante!$CC$1</f>
        <v>0</v>
      </c>
      <c r="CE220" s="8">
        <f>+MINVU_Mes_Corriente!CE220*SALUD_Mes_Constante!$CC$1</f>
        <v>2165.366654233495</v>
      </c>
      <c r="CF220" s="8">
        <f>+MINVU_Mes_Corriente!CF220*SALUD_Mes_Constante!$CC$1</f>
        <v>4124.2491607609109</v>
      </c>
      <c r="CG220" s="8">
        <f>+MINVU_Mes_Corriente!CG220*SALUD_Mes_Constante!$CC$1</f>
        <v>1851938.6609474078</v>
      </c>
      <c r="CH220" s="8">
        <f>+MINVU_Mes_Corriente!CH220*SALUD_Mes_Constante!$CC$1</f>
        <v>1873665.6837001122</v>
      </c>
      <c r="CI220" s="8">
        <f>+MINVU_Mes_Corriente!CI220*SALUD_Mes_Constante!$CC$1</f>
        <v>1922545.3718761657</v>
      </c>
      <c r="CJ220" s="8">
        <f>+MINVU_Mes_Corriente!CJ220*SALUD_Mes_Constante!$CC$1</f>
        <v>1971888.2909362181</v>
      </c>
      <c r="CK220" s="8">
        <f>+MINVU_Mes_Corriente!CK220*SALUD_Mes_Constante!$CC$1</f>
        <v>3583380.2372249165</v>
      </c>
      <c r="CL220" s="8">
        <f>+MINVU_Mes_Corriente!CL220*SALUD_Mes_Constante!$CC$1</f>
        <v>4177853.5322640808</v>
      </c>
      <c r="CM220" s="8">
        <f>+MINVU_Mes_Corriente!CM220*SALUD_Mes_Constante!$CC$1</f>
        <v>4280607.9231629996</v>
      </c>
      <c r="CN220" s="8">
        <f>+MINVU_Mes_Corriente!CN220*SALUD_Mes_Constante!$CC$1</f>
        <v>18067631.897053339</v>
      </c>
      <c r="CO220" s="9">
        <f t="shared" si="101"/>
        <v>18067631.897053339</v>
      </c>
      <c r="CP220" s="8">
        <f>+MINVU_Mes_Corriente!CP220*SALUD_Mes_Constante!$CP$1</f>
        <v>0</v>
      </c>
      <c r="CQ220" s="8">
        <f>+MINVU_Mes_Corriente!CQ220*SALUD_Mes_Constante!$CP$1</f>
        <v>15764.113921113685</v>
      </c>
      <c r="CR220" s="8">
        <f>+MINVU_Mes_Corriente!CR220*SALUD_Mes_Constante!$CP$1</f>
        <v>55500.784454756373</v>
      </c>
      <c r="CS220" s="8">
        <f>+MINVU_Mes_Corriente!CS220*SALUD_Mes_Constante!$CP$1</f>
        <v>148932.02714617166</v>
      </c>
      <c r="CT220" s="8">
        <f>+MINVU_Mes_Corriente!CT220*SALUD_Mes_Constante!$CP$1</f>
        <v>273117.04454756377</v>
      </c>
      <c r="CU220" s="8">
        <f>+MINVU_Mes_Corriente!CU220*SALUD_Mes_Constante!$CP$1</f>
        <v>292196.98399071919</v>
      </c>
      <c r="CV220" s="8">
        <f>+MINVU_Mes_Corriente!CV220*SALUD_Mes_Constante!$CP$1</f>
        <v>387677.80232018552</v>
      </c>
      <c r="CW220" s="8">
        <f>+MINVU_Mes_Corriente!CW220*SALUD_Mes_Constante!$CP$1</f>
        <v>488994.27076566115</v>
      </c>
      <c r="CX220" s="8">
        <f>+MINVU_Mes_Corriente!CX220*SALUD_Mes_Constante!$CP$1</f>
        <v>515205.2631090486</v>
      </c>
      <c r="CY220" s="8">
        <f>+MINVU_Mes_Corriente!CY220*SALUD_Mes_Constante!$CP$1</f>
        <v>907444.86055684439</v>
      </c>
      <c r="CZ220" s="8">
        <f>+MINVU_Mes_Corriente!CZ220*SALUD_Mes_Constante!$CP$1</f>
        <v>1371149.62412993</v>
      </c>
      <c r="DA220" s="8">
        <f>+MINVU_Mes_Corriente!DA220*SALUD_Mes_Constante!$CP$1</f>
        <v>4262176.8292343374</v>
      </c>
      <c r="DB220" s="9">
        <f t="shared" si="102"/>
        <v>4262176.8292343374</v>
      </c>
      <c r="DC220" s="8">
        <f>+MINVU_Mes_Corriente!DC220*SALUD_Mes_Constante!$DC$1</f>
        <v>640.65631107910735</v>
      </c>
      <c r="DD220" s="8">
        <f>+MINVU_Mes_Corriente!DD220*SALUD_Mes_Constante!$DC$1</f>
        <v>50101.571443267174</v>
      </c>
      <c r="DE220" s="8">
        <f>+MINVU_Mes_Corriente!DE220*SALUD_Mes_Constante!$DC$1</f>
        <v>123218.43987244116</v>
      </c>
      <c r="DF220" s="8">
        <f>+MINVU_Mes_Corriente!DF220*SALUD_Mes_Constante!$DC$1</f>
        <v>137262.30058635949</v>
      </c>
      <c r="DG220" s="8">
        <f>+MINVU_Mes_Corriente!DG220*SALUD_Mes_Constante!$DC$1</f>
        <v>140611.69673901869</v>
      </c>
      <c r="DH220" s="8">
        <f>+MINVU_Mes_Corriente!DH220*SALUD_Mes_Constante!$DC$1</f>
        <v>152502.05308095881</v>
      </c>
      <c r="DI220" s="8">
        <f>+MINVU_Mes_Corriente!DI220*SALUD_Mes_Constante!$DC$1</f>
        <v>165391.60847649426</v>
      </c>
      <c r="DJ220" s="8">
        <f>+MINVU_Mes_Corriente!DJ220*SALUD_Mes_Constante!$DC$1</f>
        <v>200363.57535233011</v>
      </c>
      <c r="DK220" s="8">
        <f>+MINVU_Mes_Corriente!DK220*SALUD_Mes_Constante!$DC$1</f>
        <v>222982.11500874406</v>
      </c>
      <c r="DL220" s="8">
        <f>+MINVU_Mes_Corriente!DL220*SALUD_Mes_Constante!$DC$1</f>
        <v>345677.91420635756</v>
      </c>
      <c r="DM220" s="8">
        <f>+MINVU_Mes_Corriente!DM220*SALUD_Mes_Constante!$DC$1</f>
        <v>586258.9704762887</v>
      </c>
      <c r="DN220" s="8">
        <f>+MINVU_Mes_Corriente!DN220*SALUD_Mes_Constante!$DC$1</f>
        <v>2392198.3020265414</v>
      </c>
      <c r="DO220" s="9">
        <f t="shared" si="103"/>
        <v>2392198.3020265414</v>
      </c>
      <c r="DP220" s="8">
        <f>+MINVU_Mes_Corriente!DP220*SALUD_Mes_Constante!$DP$1</f>
        <v>1170.0249406175774</v>
      </c>
      <c r="DQ220" s="8">
        <f>+MINVU_Mes_Corriente!DQ220*SALUD_Mes_Constante!$DP$1</f>
        <v>16221.390142517816</v>
      </c>
      <c r="DR220" s="8">
        <f>+MINVU_Mes_Corriente!DR220*SALUD_Mes_Constante!$DP$1</f>
        <v>35107.236342042757</v>
      </c>
      <c r="DS220" s="8">
        <f>+MINVU_Mes_Corriente!DS220*SALUD_Mes_Constante!$DP$1</f>
        <v>66144.256532066516</v>
      </c>
      <c r="DT220" s="8">
        <f>+MINVU_Mes_Corriente!DT220*SALUD_Mes_Constante!$DP$1</f>
        <v>143086.91330166272</v>
      </c>
      <c r="DU220" s="8">
        <f>+MINVU_Mes_Corriente!DU220*SALUD_Mes_Constante!$DP$1</f>
        <v>281033.07007125893</v>
      </c>
      <c r="DV220" s="8">
        <f>+MINVU_Mes_Corriente!DV220*SALUD_Mes_Constante!$DP$1</f>
        <v>419356.61935866985</v>
      </c>
      <c r="DW220" s="8">
        <f>+MINVU_Mes_Corriente!DW220*SALUD_Mes_Constante!$DP$1</f>
        <v>632344.41270783858</v>
      </c>
      <c r="DX220" s="8">
        <f>+MINVU_Mes_Corriente!DX220*SALUD_Mes_Constante!$DP$1</f>
        <v>747718.38776722096</v>
      </c>
      <c r="DY220" s="8">
        <f>+MINVU_Mes_Corriente!DY220*SALUD_Mes_Constante!$DP$1</f>
        <v>1065902.4530878861</v>
      </c>
      <c r="DZ220" s="8">
        <f>+MINVU_Mes_Corriente!DZ220*SALUD_Mes_Constante!$DP$1</f>
        <v>1337229.2903800476</v>
      </c>
      <c r="EA220" s="8">
        <f>+MINVU_Mes_Corriente!EA220*SALUD_Mes_Constante!$DP$1</f>
        <v>4212382.8331353925</v>
      </c>
      <c r="EB220" s="9">
        <f t="shared" si="104"/>
        <v>4212382.8331353925</v>
      </c>
      <c r="EC220" s="8">
        <f>+MINVU_Mes_Corriente!EC220*SALUD_Mes_Constante!$EC$1</f>
        <v>6405.3959477371691</v>
      </c>
      <c r="ED220" s="8">
        <f>+MINVU_Mes_Corriente!ED220*SALUD_Mes_Constante!$EC$1</f>
        <v>43809.515243325113</v>
      </c>
      <c r="EE220" s="8">
        <f>+MINVU_Mes_Corriente!EE220*SALUD_Mes_Constante!$EC$1</f>
        <v>66035.990910812325</v>
      </c>
      <c r="EF220" s="8">
        <f>+MINVU_Mes_Corriente!EF220*SALUD_Mes_Constante!$EC$1</f>
        <v>86272.159439500072</v>
      </c>
      <c r="EG220" s="8">
        <f>+MINVU_Mes_Corriente!EG220*SALUD_Mes_Constante!$EC$1</f>
        <v>112121.32512781667</v>
      </c>
      <c r="EH220" s="8">
        <f>+MINVU_Mes_Corriente!EH220*SALUD_Mes_Constante!$EC$1</f>
        <v>119910.83279681875</v>
      </c>
      <c r="EI220" s="8">
        <f>+MINVU_Mes_Corriente!EI220*SALUD_Mes_Constante!$EC$1</f>
        <v>168982.66218519214</v>
      </c>
      <c r="EJ220" s="8">
        <f>+MINVU_Mes_Corriente!EJ220*SALUD_Mes_Constante!$EC$1</f>
        <v>341219.74550274556</v>
      </c>
      <c r="EK220" s="8">
        <f>+MINVU_Mes_Corriente!EK220*SALUD_Mes_Constante!$EC$1</f>
        <v>445029.1590607838</v>
      </c>
      <c r="EL220" s="8">
        <f>+MINVU_Mes_Corriente!EL220*SALUD_Mes_Constante!$EC$1</f>
        <v>635601.06760083302</v>
      </c>
      <c r="EM220" s="8">
        <f>+MINVU_Mes_Corriente!EM220*SALUD_Mes_Constante!$EC$1</f>
        <v>965797.57356561231</v>
      </c>
      <c r="EN220" s="8">
        <f>+MINVU_Mes_Corriente!EN220*SALUD_Mes_Constante!$EC$1</f>
        <v>2024902.6905889029</v>
      </c>
      <c r="EO220" s="9">
        <f t="shared" si="105"/>
        <v>2024902.6905889029</v>
      </c>
      <c r="EP220" s="8">
        <f>+MINVU_Mes_Corriente!EP220*SALUD_Mes_Constante!$EP$1</f>
        <v>8113</v>
      </c>
      <c r="EQ220" s="8">
        <f>+MINVU_Mes_Corriente!EQ220*SALUD_Mes_Constante!$EP$1</f>
        <v>30124</v>
      </c>
      <c r="ER220" s="8">
        <f>+MINVU_Mes_Corriente!ER220*SALUD_Mes_Constante!$EP$1</f>
        <v>57469</v>
      </c>
      <c r="ES220" s="8">
        <f>+MINVU_Mes_Corriente!ES220*SALUD_Mes_Constante!$EP$1</f>
        <v>89032</v>
      </c>
      <c r="ET220" s="8">
        <f>+MINVU_Mes_Corriente!ET220*SALUD_Mes_Constante!$EP$1</f>
        <v>267817</v>
      </c>
      <c r="EU220" s="8">
        <f>+MINVU_Mes_Corriente!EU220*SALUD_Mes_Constante!$EP$1</f>
        <v>296479</v>
      </c>
      <c r="EV220" s="8">
        <f>+MINVU_Mes_Corriente!EV220*SALUD_Mes_Constante!$EP$1</f>
        <v>320054</v>
      </c>
      <c r="EW220" s="8">
        <f>+MINVU_Mes_Corriente!EW220*SALUD_Mes_Constante!$EP$1</f>
        <v>351608</v>
      </c>
      <c r="EX220" s="8">
        <f>+MINVU_Mes_Corriente!EX220*SALUD_Mes_Constante!$EP$1</f>
        <v>588900</v>
      </c>
      <c r="EY220" s="8">
        <f>+MINVU_Mes_Corriente!EY220*SALUD_Mes_Constante!$EP$1</f>
        <v>1172604</v>
      </c>
      <c r="EZ220" s="8">
        <f>+MINVU_Mes_Corriente!EZ220*SALUD_Mes_Constante!$EP$1</f>
        <v>1504491</v>
      </c>
      <c r="FA220" s="8">
        <f>+MINVU_Mes_Corriente!FA220*SALUD_Mes_Constante!$EP$1</f>
        <v>2181292</v>
      </c>
      <c r="FB220" s="9">
        <f t="shared" si="106"/>
        <v>2181292</v>
      </c>
      <c r="FC220" s="8">
        <f>+MINVU_Mes_Corriente!FC220*SALUD_Mes_Constante!$FC$1</f>
        <v>22806</v>
      </c>
      <c r="FD220" s="8">
        <f>+MINVU_Mes_Corriente!FD220*SALUD_Mes_Constante!$FC$1</f>
        <v>45630</v>
      </c>
      <c r="FE220" s="8">
        <f>+MINVU_Mes_Corriente!FE220*SALUD_Mes_Constante!$FC$1</f>
        <v>76863</v>
      </c>
      <c r="FF220" s="8">
        <f>+MINVU_Mes_Corriente!FF220*SALUD_Mes_Constante!$FC$1</f>
        <v>105551</v>
      </c>
      <c r="FG220" s="8">
        <f>+MINVU_Mes_Corriente!FG220*SALUD_Mes_Constante!$FC$1</f>
        <v>142445</v>
      </c>
      <c r="FH220" s="8">
        <f>+MINVU_Mes_Corriente!FH220*SALUD_Mes_Constante!$FC$1</f>
        <v>152728</v>
      </c>
      <c r="FI220" s="8">
        <f>+MINVU_Mes_Corriente!FI220*SALUD_Mes_Constante!$FC$1</f>
        <v>176420</v>
      </c>
      <c r="FJ220" s="8"/>
      <c r="FK220" s="8"/>
      <c r="FL220" s="8"/>
      <c r="FM220" s="8"/>
      <c r="FN220" s="8"/>
      <c r="FO220" s="9">
        <f t="shared" si="107"/>
        <v>176420</v>
      </c>
    </row>
    <row r="221" spans="2:171" ht="14.25" customHeight="1" x14ac:dyDescent="0.3">
      <c r="B221" s="35" t="s">
        <v>73</v>
      </c>
      <c r="C221" s="8">
        <f>+MINVU_Mes_Corriente!C221*SALUD_Mes_Constante!$C$1</f>
        <v>373664.98709773103</v>
      </c>
      <c r="D221" s="8">
        <f>+MINVU_Mes_Corriente!D221*SALUD_Mes_Constante!$C$1</f>
        <v>586610.99332641263</v>
      </c>
      <c r="E221" s="8">
        <f>+MINVU_Mes_Corriente!E221*SALUD_Mes_Constante!$C$1</f>
        <v>701618.36422957154</v>
      </c>
      <c r="F221" s="8">
        <f>+MINVU_Mes_Corriente!F221*SALUD_Mes_Constante!$C$1</f>
        <v>1075163.4456473382</v>
      </c>
      <c r="G221" s="8">
        <f>+MINVU_Mes_Corriente!G221*SALUD_Mes_Constante!$C$1</f>
        <v>733735.26264274074</v>
      </c>
      <c r="H221" s="8">
        <f>+MINVU_Mes_Corriente!H221*SALUD_Mes_Constante!$C$1</f>
        <v>851142.36749221431</v>
      </c>
      <c r="I221" s="8">
        <f>+MINVU_Mes_Corriente!I221*SALUD_Mes_Constante!$C$1</f>
        <v>1357167.0218003858</v>
      </c>
      <c r="J221" s="8">
        <f>+MINVU_Mes_Corriente!J221*SALUD_Mes_Constante!$C$1</f>
        <v>1679303.353106926</v>
      </c>
      <c r="K221" s="8">
        <f>+MINVU_Mes_Corriente!K221*SALUD_Mes_Constante!$C$1</f>
        <v>2016452.1996144152</v>
      </c>
      <c r="L221" s="8">
        <f>+MINVU_Mes_Corriente!L221*SALUD_Mes_Constante!$C$1</f>
        <v>2491549.2902269023</v>
      </c>
      <c r="M221" s="8">
        <f>+MINVU_Mes_Corriente!M221*SALUD_Mes_Constante!$C$1</f>
        <v>2885139.68471007</v>
      </c>
      <c r="N221" s="8">
        <f>+MINVU_Mes_Corriente!N221*SALUD_Mes_Constante!$C$1</f>
        <v>4333418.8198131407</v>
      </c>
      <c r="O221" s="9">
        <f t="shared" si="95"/>
        <v>4333418.8198131407</v>
      </c>
      <c r="P221" s="8">
        <f>+MINVU_Mes_Corriente!P221*SALUD_Mes_Constante!$P$1</f>
        <v>92901.268077851928</v>
      </c>
      <c r="Q221" s="8">
        <f>+MINVU_Mes_Corriente!Q221*SALUD_Mes_Constante!$P$1</f>
        <v>1039005.3234834489</v>
      </c>
      <c r="R221" s="8">
        <f>+MINVU_Mes_Corriente!R221*SALUD_Mes_Constante!$P$1</f>
        <v>1916444.3040204567</v>
      </c>
      <c r="S221" s="8">
        <f>+MINVU_Mes_Corriente!S221*SALUD_Mes_Constante!$P$1</f>
        <v>2355052.0352322767</v>
      </c>
      <c r="T221" s="8">
        <f>+MINVU_Mes_Corriente!T221*SALUD_Mes_Constante!$P$1</f>
        <v>2788273.6007955666</v>
      </c>
      <c r="U221" s="8">
        <f>+MINVU_Mes_Corriente!U221*SALUD_Mes_Constante!$P$1</f>
        <v>3294684.9308140348</v>
      </c>
      <c r="V221" s="8">
        <f>+MINVU_Mes_Corriente!V221*SALUD_Mes_Constante!$P$1</f>
        <v>3373076.1480323896</v>
      </c>
      <c r="W221" s="8">
        <f>+MINVU_Mes_Corriente!W221*SALUD_Mes_Constante!$P$1</f>
        <v>3614770.6302031525</v>
      </c>
      <c r="X221" s="8">
        <f>+MINVU_Mes_Corriente!X221*SALUD_Mes_Constante!$P$1</f>
        <v>3153502.1980394931</v>
      </c>
      <c r="Y221" s="8">
        <f>+MINVU_Mes_Corriente!Y221*SALUD_Mes_Constante!$P$1</f>
        <v>3965509.3553061499</v>
      </c>
      <c r="Z221" s="8">
        <f>+MINVU_Mes_Corriente!Z221*SALUD_Mes_Constante!$P$1</f>
        <v>4933845.7019462977</v>
      </c>
      <c r="AA221" s="8">
        <f>+MINVU_Mes_Corriente!AA221*SALUD_Mes_Constante!$P$1</f>
        <v>13373687.875550499</v>
      </c>
      <c r="AB221" s="9">
        <f t="shared" si="96"/>
        <v>13373687.875550499</v>
      </c>
      <c r="AC221" s="8">
        <f>+MINVU_Mes_Corriente!AC221*SALUD_Mes_Constante!$AC$1</f>
        <v>154534.3574491631</v>
      </c>
      <c r="AD221" s="8">
        <f>+MINVU_Mes_Corriente!AD221*SALUD_Mes_Constante!$AC$1</f>
        <v>232724.25342371006</v>
      </c>
      <c r="AE221" s="8">
        <f>+MINVU_Mes_Corriente!AE221*SALUD_Mes_Constante!$AC$1</f>
        <v>827105.30363812426</v>
      </c>
      <c r="AF221" s="8">
        <f>+MINVU_Mes_Corriente!AF221*SALUD_Mes_Constante!$AC$1</f>
        <v>1485156.1112187025</v>
      </c>
      <c r="AG221" s="8">
        <f>+MINVU_Mes_Corriente!AG221*SALUD_Mes_Constante!$AC$1</f>
        <v>1732805.5617651127</v>
      </c>
      <c r="AH221" s="8">
        <f>+MINVU_Mes_Corriente!AH221*SALUD_Mes_Constante!$AC$1</f>
        <v>2431533.010374879</v>
      </c>
      <c r="AI221" s="8">
        <f>+MINVU_Mes_Corriente!AI221*SALUD_Mes_Constante!$AC$1</f>
        <v>2544432.4913542676</v>
      </c>
      <c r="AJ221" s="8">
        <f>+MINVU_Mes_Corriente!AJ221*SALUD_Mes_Constante!$AC$1</f>
        <v>2670289.3105547102</v>
      </c>
      <c r="AK221" s="8">
        <f>+MINVU_Mes_Corriente!AK221*SALUD_Mes_Constante!$AC$1</f>
        <v>2852532.3909254391</v>
      </c>
      <c r="AL221" s="8">
        <f>+MINVU_Mes_Corriente!AL221*SALUD_Mes_Constante!$AC$1</f>
        <v>3143683.3122146907</v>
      </c>
      <c r="AM221" s="8">
        <f>+MINVU_Mes_Corriente!AM221*SALUD_Mes_Constante!$AC$1</f>
        <v>3587382.5951030571</v>
      </c>
      <c r="AN221" s="8">
        <f>+MINVU_Mes_Corriente!AN221*SALUD_Mes_Constante!$AC$1</f>
        <v>6057326.6393692074</v>
      </c>
      <c r="AO221" s="9">
        <f t="shared" si="97"/>
        <v>6057326.6393692074</v>
      </c>
      <c r="AP221" s="8">
        <f>+MINVU_Mes_Corriente!AP221*SALUD_Mes_Constante!$AP$1</f>
        <v>40050.669552279178</v>
      </c>
      <c r="AQ221" s="8">
        <f>+MINVU_Mes_Corriente!AQ221*SALUD_Mes_Constante!$AP$1</f>
        <v>77778.10469362911</v>
      </c>
      <c r="AR221" s="8">
        <f>+MINVU_Mes_Corriente!AR221*SALUD_Mes_Constante!$AP$1</f>
        <v>229694.28459353442</v>
      </c>
      <c r="AS221" s="8">
        <f>+MINVU_Mes_Corriente!AS221*SALUD_Mes_Constante!$AP$1</f>
        <v>305104.81834167452</v>
      </c>
      <c r="AT221" s="8">
        <f>+MINVU_Mes_Corriente!AT221*SALUD_Mes_Constante!$AP$1</f>
        <v>417468.37576085486</v>
      </c>
      <c r="AU221" s="8">
        <f>+MINVU_Mes_Corriente!AU221*SALUD_Mes_Constante!$AP$1</f>
        <v>463625.66400649259</v>
      </c>
      <c r="AV221" s="8">
        <f>+MINVU_Mes_Corriente!AV221*SALUD_Mes_Constante!$AP$1</f>
        <v>569279.62586230214</v>
      </c>
      <c r="AW221" s="8">
        <f>+MINVU_Mes_Corriente!AW221*SALUD_Mes_Constante!$AP$1</f>
        <v>670706.83809008519</v>
      </c>
      <c r="AX221" s="8">
        <f>+MINVU_Mes_Corriente!AX221*SALUD_Mes_Constante!$AP$1</f>
        <v>1976734.0481536586</v>
      </c>
      <c r="AY221" s="8">
        <f>+MINVU_Mes_Corriente!AY221*SALUD_Mes_Constante!$AP$1</f>
        <v>2547002.3787366427</v>
      </c>
      <c r="AZ221" s="8">
        <f>+MINVU_Mes_Corriente!AZ221*SALUD_Mes_Constante!$AP$1</f>
        <v>3500855.6274854592</v>
      </c>
      <c r="BA221" s="8">
        <f>+MINVU_Mes_Corriente!BA221*SALUD_Mes_Constante!$AP$1</f>
        <v>5146613.0114973616</v>
      </c>
      <c r="BB221" s="9">
        <f t="shared" si="98"/>
        <v>5146613.0114973616</v>
      </c>
      <c r="BC221" s="8">
        <f>+MINVU_Mes_Corriente!BC221*SALUD_Mes_Constante!$BC$1</f>
        <v>303905.04022154829</v>
      </c>
      <c r="BD221" s="8">
        <f>+MINVU_Mes_Corriente!BD221*SALUD_Mes_Constante!$BC$1</f>
        <v>438758.93946986692</v>
      </c>
      <c r="BE221" s="8">
        <f>+MINVU_Mes_Corriente!BE221*SALUD_Mes_Constante!$BC$1</f>
        <v>802038.71370170137</v>
      </c>
      <c r="BF221" s="8">
        <f>+MINVU_Mes_Corriente!BF221*SALUD_Mes_Constante!$BC$1</f>
        <v>982259.35909270763</v>
      </c>
      <c r="BG221" s="8">
        <f>+MINVU_Mes_Corriente!BG221*SALUD_Mes_Constante!$BC$1</f>
        <v>1586719.4527231969</v>
      </c>
      <c r="BH221" s="8">
        <f>+MINVU_Mes_Corriente!BH221*SALUD_Mes_Constante!$BC$1</f>
        <v>1695668.2281418967</v>
      </c>
      <c r="BI221" s="8">
        <f>+MINVU_Mes_Corriente!BI221*SALUD_Mes_Constante!$BC$1</f>
        <v>1951875.2195700915</v>
      </c>
      <c r="BJ221" s="8">
        <f>+MINVU_Mes_Corriente!BJ221*SALUD_Mes_Constante!$BC$1</f>
        <v>2119828.4293815116</v>
      </c>
      <c r="BK221" s="8">
        <f>+MINVU_Mes_Corriente!BK221*SALUD_Mes_Constante!$BC$1</f>
        <v>2257983.3263879735</v>
      </c>
      <c r="BL221" s="8">
        <f>+MINVU_Mes_Corriente!BL221*SALUD_Mes_Constante!$BC$1</f>
        <v>2796133.8530924441</v>
      </c>
      <c r="BM221" s="8">
        <f>+MINVU_Mes_Corriente!BM221*SALUD_Mes_Constante!$BC$1</f>
        <v>4055361.4767242526</v>
      </c>
      <c r="BN221" s="8">
        <f>+MINVU_Mes_Corriente!BN221*SALUD_Mes_Constante!$BC$1</f>
        <v>10262353.924304368</v>
      </c>
      <c r="BO221" s="9">
        <f t="shared" si="99"/>
        <v>10262353.924304368</v>
      </c>
      <c r="BP221" s="8">
        <f>+MINVU_Mes_Corriente!BP221*SALUD_Mes_Constante!$BP$1</f>
        <v>88143.861203585155</v>
      </c>
      <c r="BQ221" s="8">
        <f>+MINVU_Mes_Corriente!BQ221*SALUD_Mes_Constante!$BP$1</f>
        <v>115531.60793854034</v>
      </c>
      <c r="BR221" s="8">
        <f>+MINVU_Mes_Corriente!BR221*SALUD_Mes_Constante!$BP$1</f>
        <v>178216.90985915496</v>
      </c>
      <c r="BS221" s="8">
        <f>+MINVU_Mes_Corriente!BS221*SALUD_Mes_Constante!$BP$1</f>
        <v>183156.69295774651</v>
      </c>
      <c r="BT221" s="8">
        <f>+MINVU_Mes_Corriente!BT221*SALUD_Mes_Constante!$BP$1</f>
        <v>214334.26478873243</v>
      </c>
      <c r="BU221" s="8">
        <f>+MINVU_Mes_Corriente!BU221*SALUD_Mes_Constante!$BP$1</f>
        <v>230482.64097311141</v>
      </c>
      <c r="BV221" s="8">
        <f>+MINVU_Mes_Corriente!BV221*SALUD_Mes_Constante!$BP$1</f>
        <v>247459.21075544177</v>
      </c>
      <c r="BW221" s="8">
        <f>+MINVU_Mes_Corriente!BW221*SALUD_Mes_Constante!$BP$1</f>
        <v>250823.74724711911</v>
      </c>
      <c r="BX221" s="8">
        <f>+MINVU_Mes_Corriente!BX221*SALUD_Mes_Constante!$BP$1</f>
        <v>253554.54775928298</v>
      </c>
      <c r="BY221" s="8">
        <f>+MINVU_Mes_Corriente!BY221*SALUD_Mes_Constante!$BP$1</f>
        <v>479363.21101152373</v>
      </c>
      <c r="BZ221" s="8">
        <f>+MINVU_Mes_Corriente!BZ221*SALUD_Mes_Constante!$BP$1</f>
        <v>685924.76696542907</v>
      </c>
      <c r="CA221" s="8">
        <f>+MINVU_Mes_Corriente!CA221*SALUD_Mes_Constante!$BP$1</f>
        <v>8767277.0135723446</v>
      </c>
      <c r="CB221" s="9">
        <f t="shared" si="100"/>
        <v>8767277.0135723446</v>
      </c>
      <c r="CC221" s="8">
        <f>+MINVU_Mes_Corriente!CC221*SALUD_Mes_Constante!$CC$1</f>
        <v>159719.56359567327</v>
      </c>
      <c r="CD221" s="8">
        <f>+MINVU_Mes_Corriente!CD221*SALUD_Mes_Constante!$CC$1</f>
        <v>159719.56359567327</v>
      </c>
      <c r="CE221" s="8">
        <f>+MINVU_Mes_Corriente!CE221*SALUD_Mes_Constante!$CC$1</f>
        <v>160738.39985080194</v>
      </c>
      <c r="CF221" s="8">
        <f>+MINVU_Mes_Corriente!CF221*SALUD_Mes_Constante!$CC$1</f>
        <v>256777.98060425217</v>
      </c>
      <c r="CG221" s="8">
        <f>+MINVU_Mes_Corriente!CG221*SALUD_Mes_Constante!$CC$1</f>
        <v>239069.24804177549</v>
      </c>
      <c r="CH221" s="8">
        <f>+MINVU_Mes_Corriente!CH221*SALUD_Mes_Constante!$CC$1</f>
        <v>327663.17344274529</v>
      </c>
      <c r="CI221" s="8">
        <f>+MINVU_Mes_Corriente!CI221*SALUD_Mes_Constante!$CC$1</f>
        <v>486952.10891458415</v>
      </c>
      <c r="CJ221" s="8">
        <f>+MINVU_Mes_Corriente!CJ221*SALUD_Mes_Constante!$CC$1</f>
        <v>564727.3517344275</v>
      </c>
      <c r="CK221" s="8">
        <f>+MINVU_Mes_Corriente!CK221*SALUD_Mes_Constante!$CC$1</f>
        <v>769683.24505781429</v>
      </c>
      <c r="CL221" s="8">
        <f>+MINVU_Mes_Corriente!CL221*SALUD_Mes_Constante!$CC$1</f>
        <v>824584.93472584861</v>
      </c>
      <c r="CM221" s="8">
        <f>+MINVU_Mes_Corriente!CM221*SALUD_Mes_Constante!$CC$1</f>
        <v>830566.18276762415</v>
      </c>
      <c r="CN221" s="8">
        <f>+MINVU_Mes_Corriente!CN221*SALUD_Mes_Constante!$CC$1</f>
        <v>2129420.7527042152</v>
      </c>
      <c r="CO221" s="9">
        <f t="shared" si="101"/>
        <v>2129420.7527042152</v>
      </c>
      <c r="CP221" s="8">
        <f>+MINVU_Mes_Corriente!CP221*SALUD_Mes_Constante!$CP$1</f>
        <v>25366.825754060319</v>
      </c>
      <c r="CQ221" s="8">
        <f>+MINVU_Mes_Corriente!CQ221*SALUD_Mes_Constante!$CP$1</f>
        <v>70236.941763341048</v>
      </c>
      <c r="CR221" s="8">
        <f>+MINVU_Mes_Corriente!CR221*SALUD_Mes_Constante!$CP$1</f>
        <v>102927.48306264498</v>
      </c>
      <c r="CS221" s="8">
        <f>+MINVU_Mes_Corriente!CS221*SALUD_Mes_Constante!$CP$1</f>
        <v>295302.40162412985</v>
      </c>
      <c r="CT221" s="8">
        <f>+MINVU_Mes_Corriente!CT221*SALUD_Mes_Constante!$CP$1</f>
        <v>339763.10951276094</v>
      </c>
      <c r="CU221" s="8">
        <f>+MINVU_Mes_Corriente!CU221*SALUD_Mes_Constante!$CP$1</f>
        <v>381701.45777262171</v>
      </c>
      <c r="CV221" s="8">
        <f>+MINVU_Mes_Corriente!CV221*SALUD_Mes_Constante!$CP$1</f>
        <v>392116.6482598607</v>
      </c>
      <c r="CW221" s="8">
        <f>+MINVU_Mes_Corriente!CW221*SALUD_Mes_Constante!$CP$1</f>
        <v>423341.93944315537</v>
      </c>
      <c r="CX221" s="8">
        <f>+MINVU_Mes_Corriente!CX221*SALUD_Mes_Constante!$CP$1</f>
        <v>424031.46890951268</v>
      </c>
      <c r="CY221" s="8">
        <f>+MINVU_Mes_Corriente!CY221*SALUD_Mes_Constante!$CP$1</f>
        <v>426912.53596287692</v>
      </c>
      <c r="CZ221" s="8">
        <f>+MINVU_Mes_Corriente!CZ221*SALUD_Mes_Constante!$CP$1</f>
        <v>1238656.0301624127</v>
      </c>
      <c r="DA221" s="8">
        <f>+MINVU_Mes_Corriente!DA221*SALUD_Mes_Constante!$CP$1</f>
        <v>3876415.5132250572</v>
      </c>
      <c r="DB221" s="9">
        <f t="shared" si="102"/>
        <v>3876415.5132250572</v>
      </c>
      <c r="DC221" s="8">
        <f>+MINVU_Mes_Corriente!DC221*SALUD_Mes_Constante!$DC$1</f>
        <v>65922.410451599659</v>
      </c>
      <c r="DD221" s="8">
        <f>+MINVU_Mes_Corriente!DD221*SALUD_Mes_Constante!$DC$1</f>
        <v>78326.415800843577</v>
      </c>
      <c r="DE221" s="8">
        <f>+MINVU_Mes_Corriente!DE221*SALUD_Mes_Constante!$DC$1</f>
        <v>83667.46631005044</v>
      </c>
      <c r="DF221" s="8">
        <f>+MINVU_Mes_Corriente!DF221*SALUD_Mes_Constante!$DC$1</f>
        <v>151983.90823989309</v>
      </c>
      <c r="DG221" s="8">
        <f>+MINVU_Mes_Corriente!DG221*SALUD_Mes_Constante!$DC$1</f>
        <v>232214.30963892615</v>
      </c>
      <c r="DH221" s="8">
        <f>+MINVU_Mes_Corriente!DH221*SALUD_Mes_Constante!$DC$1</f>
        <v>494016.82522374263</v>
      </c>
      <c r="DI221" s="8">
        <f>+MINVU_Mes_Corriente!DI221*SALUD_Mes_Constante!$DC$1</f>
        <v>505609.33257895301</v>
      </c>
      <c r="DJ221" s="8">
        <f>+MINVU_Mes_Corriente!DJ221*SALUD_Mes_Constante!$DC$1</f>
        <v>613697.04392552236</v>
      </c>
      <c r="DK221" s="8">
        <f>+MINVU_Mes_Corriente!DK221*SALUD_Mes_Constante!$DC$1</f>
        <v>649697.43277440628</v>
      </c>
      <c r="DL221" s="8">
        <f>+MINVU_Mes_Corriente!DL221*SALUD_Mes_Constante!$DC$1</f>
        <v>721613.91358913726</v>
      </c>
      <c r="DM221" s="8">
        <f>+MINVU_Mes_Corriente!DM221*SALUD_Mes_Constante!$DC$1</f>
        <v>1222019.3185886231</v>
      </c>
      <c r="DN221" s="8">
        <f>+MINVU_Mes_Corriente!DN221*SALUD_Mes_Constante!$DC$1</f>
        <v>5093641.4054109687</v>
      </c>
      <c r="DO221" s="9">
        <f t="shared" si="103"/>
        <v>5093641.4054109687</v>
      </c>
      <c r="DP221" s="8">
        <f>+MINVU_Mes_Corriente!DP221*SALUD_Mes_Constante!$DP$1</f>
        <v>0</v>
      </c>
      <c r="DQ221" s="8">
        <f>+MINVU_Mes_Corriente!DQ221*SALUD_Mes_Constante!$DP$1</f>
        <v>2989.9435866983376</v>
      </c>
      <c r="DR221" s="8">
        <f>+MINVU_Mes_Corriente!DR221*SALUD_Mes_Constante!$DP$1</f>
        <v>153161.88776722091</v>
      </c>
      <c r="DS221" s="8">
        <f>+MINVU_Mes_Corriente!DS221*SALUD_Mes_Constante!$DP$1</f>
        <v>166300.33788598576</v>
      </c>
      <c r="DT221" s="8">
        <f>+MINVU_Mes_Corriente!DT221*SALUD_Mes_Constante!$DP$1</f>
        <v>867325.86342042766</v>
      </c>
      <c r="DU221" s="8">
        <f>+MINVU_Mes_Corriente!DU221*SALUD_Mes_Constante!$DP$1</f>
        <v>1274040.3741092638</v>
      </c>
      <c r="DV221" s="8">
        <f>+MINVU_Mes_Corriente!DV221*SALUD_Mes_Constante!$DP$1</f>
        <v>1603992.8141330169</v>
      </c>
      <c r="DW221" s="8">
        <f>+MINVU_Mes_Corriente!DW221*SALUD_Mes_Constante!$DP$1</f>
        <v>1745636.1199524943</v>
      </c>
      <c r="DX221" s="8">
        <f>+MINVU_Mes_Corriente!DX221*SALUD_Mes_Constante!$DP$1</f>
        <v>1827573.5504750595</v>
      </c>
      <c r="DY221" s="8">
        <f>+MINVU_Mes_Corriente!DY221*SALUD_Mes_Constante!$DP$1</f>
        <v>1897377.108669834</v>
      </c>
      <c r="DZ221" s="8">
        <f>+MINVU_Mes_Corriente!DZ221*SALUD_Mes_Constante!$DP$1</f>
        <v>1945450.8598574824</v>
      </c>
      <c r="EA221" s="8">
        <f>+MINVU_Mes_Corriente!EA221*SALUD_Mes_Constante!$DP$1</f>
        <v>2635240.0368171022</v>
      </c>
      <c r="EB221" s="9">
        <f t="shared" si="104"/>
        <v>2635240.0368171022</v>
      </c>
      <c r="EC221" s="8">
        <f>+MINVU_Mes_Corriente!EC221*SALUD_Mes_Constante!$EC$1</f>
        <v>18827.229691346329</v>
      </c>
      <c r="ED221" s="8">
        <f>+MINVU_Mes_Corriente!ED221*SALUD_Mes_Constante!$EC$1</f>
        <v>40858.191819731095</v>
      </c>
      <c r="EE221" s="8">
        <f>+MINVU_Mes_Corriente!EE221*SALUD_Mes_Constante!$EC$1</f>
        <v>167039.94035220597</v>
      </c>
      <c r="EF221" s="8">
        <f>+MINVU_Mes_Corriente!EF221*SALUD_Mes_Constante!$EC$1</f>
        <v>233529.02613141443</v>
      </c>
      <c r="EG221" s="8">
        <f>+MINVU_Mes_Corriente!EG221*SALUD_Mes_Constante!$EC$1</f>
        <v>297445.40200719552</v>
      </c>
      <c r="EH221" s="8">
        <f>+MINVU_Mes_Corriente!EH221*SALUD_Mes_Constante!$EC$1</f>
        <v>360737.99659155449</v>
      </c>
      <c r="EI221" s="8">
        <f>+MINVU_Mes_Corriente!EI221*SALUD_Mes_Constante!$EC$1</f>
        <v>564708.27210755518</v>
      </c>
      <c r="EJ221" s="8">
        <f>+MINVU_Mes_Corriente!EJ221*SALUD_Mes_Constante!$EC$1</f>
        <v>1176348.0693050555</v>
      </c>
      <c r="EK221" s="8">
        <f>+MINVU_Mes_Corriente!EK221*SALUD_Mes_Constante!$EC$1</f>
        <v>1558858.4122325312</v>
      </c>
      <c r="EL221" s="8">
        <f>+MINVU_Mes_Corriente!EL221*SALUD_Mes_Constante!$EC$1</f>
        <v>1955779.8615792457</v>
      </c>
      <c r="EM221" s="8">
        <f>+MINVU_Mes_Corriente!EM221*SALUD_Mes_Constante!$EC$1</f>
        <v>2501431.2531717471</v>
      </c>
      <c r="EN221" s="8">
        <f>+MINVU_Mes_Corriente!EN221*SALUD_Mes_Constante!$EC$1</f>
        <v>3890342.8835447822</v>
      </c>
      <c r="EO221" s="9">
        <f t="shared" si="105"/>
        <v>3890342.8835447822</v>
      </c>
      <c r="EP221" s="8">
        <f>+MINVU_Mes_Corriente!EP221*SALUD_Mes_Constante!$EP$1</f>
        <v>6797</v>
      </c>
      <c r="EQ221" s="8">
        <f>+MINVU_Mes_Corriente!EQ221*SALUD_Mes_Constante!$EP$1</f>
        <v>61750</v>
      </c>
      <c r="ER221" s="8">
        <f>+MINVU_Mes_Corriente!ER221*SALUD_Mes_Constante!$EP$1</f>
        <v>143859</v>
      </c>
      <c r="ES221" s="8">
        <f>+MINVU_Mes_Corriente!ES221*SALUD_Mes_Constante!$EP$1</f>
        <v>188339</v>
      </c>
      <c r="ET221" s="8">
        <f>+MINVU_Mes_Corriente!ET221*SALUD_Mes_Constante!$EP$1</f>
        <v>205705</v>
      </c>
      <c r="EU221" s="8">
        <f>+MINVU_Mes_Corriente!EU221*SALUD_Mes_Constante!$EP$1</f>
        <v>220600</v>
      </c>
      <c r="EV221" s="8">
        <f>+MINVU_Mes_Corriente!EV221*SALUD_Mes_Constante!$EP$1</f>
        <v>258805</v>
      </c>
      <c r="EW221" s="8">
        <f>+MINVU_Mes_Corriente!EW221*SALUD_Mes_Constante!$EP$1</f>
        <v>318712</v>
      </c>
      <c r="EX221" s="8">
        <f>+MINVU_Mes_Corriente!EX221*SALUD_Mes_Constante!$EP$1</f>
        <v>599288</v>
      </c>
      <c r="EY221" s="8">
        <f>+MINVU_Mes_Corriente!EY221*SALUD_Mes_Constante!$EP$1</f>
        <v>1218406</v>
      </c>
      <c r="EZ221" s="8">
        <f>+MINVU_Mes_Corriente!EZ221*SALUD_Mes_Constante!$EP$1</f>
        <v>1534764</v>
      </c>
      <c r="FA221" s="8">
        <f>+MINVU_Mes_Corriente!FA221*SALUD_Mes_Constante!$EP$1</f>
        <v>2600071</v>
      </c>
      <c r="FB221" s="9">
        <f t="shared" si="106"/>
        <v>2600071</v>
      </c>
      <c r="FC221" s="8">
        <f>+MINVU_Mes_Corriente!FC221*SALUD_Mes_Constante!$FC$1</f>
        <v>8358</v>
      </c>
      <c r="FD221" s="8">
        <f>+MINVU_Mes_Corriente!FD221*SALUD_Mes_Constante!$FC$1</f>
        <v>10858</v>
      </c>
      <c r="FE221" s="8">
        <f>+MINVU_Mes_Corriente!FE221*SALUD_Mes_Constante!$FC$1</f>
        <v>27222</v>
      </c>
      <c r="FF221" s="8">
        <f>+MINVU_Mes_Corriente!FF221*SALUD_Mes_Constante!$FC$1</f>
        <v>35288</v>
      </c>
      <c r="FG221" s="8">
        <f>+MINVU_Mes_Corriente!FG221*SALUD_Mes_Constante!$FC$1</f>
        <v>54877</v>
      </c>
      <c r="FH221" s="8">
        <f>+MINVU_Mes_Corriente!FH221*SALUD_Mes_Constante!$FC$1</f>
        <v>58709</v>
      </c>
      <c r="FI221" s="8">
        <f>+MINVU_Mes_Corriente!FI221*SALUD_Mes_Constante!$FC$1</f>
        <v>170881</v>
      </c>
      <c r="FJ221" s="8"/>
      <c r="FK221" s="8"/>
      <c r="FL221" s="8"/>
      <c r="FM221" s="8"/>
      <c r="FN221" s="8"/>
      <c r="FO221" s="9">
        <f t="shared" si="107"/>
        <v>170881</v>
      </c>
    </row>
    <row r="222" spans="2:171" ht="14.25" customHeight="1" x14ac:dyDescent="0.3">
      <c r="B222" s="35" t="s">
        <v>74</v>
      </c>
      <c r="C222" s="8">
        <f>+MINVU_Mes_Corriente!C222*SALUD_Mes_Constante!$C$1</f>
        <v>421.29022690197246</v>
      </c>
      <c r="D222" s="8">
        <f>+MINVU_Mes_Corriente!D222*SALUD_Mes_Constante!$C$1</f>
        <v>1950.8978199614419</v>
      </c>
      <c r="E222" s="8">
        <f>+MINVU_Mes_Corriente!E222*SALUD_Mes_Constante!$C$1</f>
        <v>5151.0831973898867</v>
      </c>
      <c r="F222" s="8">
        <f>+MINVU_Mes_Corriente!F222*SALUD_Mes_Constante!$C$1</f>
        <v>15318.760788966338</v>
      </c>
      <c r="G222" s="8">
        <f>+MINVU_Mes_Corriente!G222*SALUD_Mes_Constante!$C$1</f>
        <v>16370.366009194722</v>
      </c>
      <c r="H222" s="8">
        <f>+MINVU_Mes_Corriente!H222*SALUD_Mes_Constante!$C$1</f>
        <v>18141.405309209553</v>
      </c>
      <c r="I222" s="8">
        <f>+MINVU_Mes_Corriente!I222*SALUD_Mes_Constante!$C$1</f>
        <v>19487.91368826932</v>
      </c>
      <c r="J222" s="8">
        <f>+MINVU_Mes_Corriente!J222*SALUD_Mes_Constante!$C$1</f>
        <v>28046.586682485544</v>
      </c>
      <c r="K222" s="8">
        <f>+MINVU_Mes_Corriente!K222*SALUD_Mes_Constante!$C$1</f>
        <v>88790.156013643791</v>
      </c>
      <c r="L222" s="8">
        <f>+MINVU_Mes_Corriente!L222*SALUD_Mes_Constante!$C$1</f>
        <v>109982.67477383955</v>
      </c>
      <c r="M222" s="8">
        <f>+MINVU_Mes_Corriente!M222*SALUD_Mes_Constante!$C$1</f>
        <v>117008.49948094322</v>
      </c>
      <c r="N222" s="8">
        <f>+MINVU_Mes_Corriente!N222*SALUD_Mes_Constante!$C$1</f>
        <v>1107257.6592021356</v>
      </c>
      <c r="O222" s="9">
        <f t="shared" si="95"/>
        <v>1107257.6592021356</v>
      </c>
      <c r="P222" s="8">
        <f>+MINVU_Mes_Corriente!P222*SALUD_Mes_Constante!$P$1</f>
        <v>0</v>
      </c>
      <c r="Q222" s="8">
        <f>+MINVU_Mes_Corriente!Q222*SALUD_Mes_Constante!$P$1</f>
        <v>979.44395510725917</v>
      </c>
      <c r="R222" s="8">
        <f>+MINVU_Mes_Corriente!R222*SALUD_Mes_Constante!$P$1</f>
        <v>1969.7533740588144</v>
      </c>
      <c r="S222" s="8">
        <f>+MINVU_Mes_Corriente!S222*SALUD_Mes_Constante!$P$1</f>
        <v>20517.10015627219</v>
      </c>
      <c r="T222" s="8">
        <f>+MINVU_Mes_Corriente!T222*SALUD_Mes_Constante!$P$1</f>
        <v>24853.97243926693</v>
      </c>
      <c r="U222" s="8">
        <f>+MINVU_Mes_Corriente!U222*SALUD_Mes_Constante!$P$1</f>
        <v>148728.02130984509</v>
      </c>
      <c r="V222" s="8">
        <f>+MINVU_Mes_Corriente!V222*SALUD_Mes_Constante!$P$1</f>
        <v>242042.17701378028</v>
      </c>
      <c r="W222" s="8">
        <f>+MINVU_Mes_Corriente!W222*SALUD_Mes_Constante!$P$1</f>
        <v>349503.16664298892</v>
      </c>
      <c r="X222" s="8">
        <f>+MINVU_Mes_Corriente!X222*SALUD_Mes_Constante!$P$1</f>
        <v>972457.46185537684</v>
      </c>
      <c r="Y222" s="8">
        <f>+MINVU_Mes_Corriente!Y222*SALUD_Mes_Constante!$P$1</f>
        <v>1005272.7148742715</v>
      </c>
      <c r="Z222" s="8">
        <f>+MINVU_Mes_Corriente!Z222*SALUD_Mes_Constante!$P$1</f>
        <v>1282352.9083676655</v>
      </c>
      <c r="AA222" s="8">
        <f>+MINVU_Mes_Corriente!AA222*SALUD_Mes_Constante!$P$1</f>
        <v>7989454.7273760447</v>
      </c>
      <c r="AB222" s="9">
        <f t="shared" si="96"/>
        <v>7989454.7273760447</v>
      </c>
      <c r="AC222" s="8">
        <f>+MINVU_Mes_Corriente!AC222*SALUD_Mes_Constante!$AC$1</f>
        <v>536.55139023378058</v>
      </c>
      <c r="AD222" s="8">
        <f>+MINVU_Mes_Corriente!AD222*SALUD_Mes_Constante!$AC$1</f>
        <v>4157.8954212200861</v>
      </c>
      <c r="AE222" s="8">
        <f>+MINVU_Mes_Corriente!AE222*SALUD_Mes_Constante!$AC$1</f>
        <v>5348.8883663023935</v>
      </c>
      <c r="AF222" s="8">
        <f>+MINVU_Mes_Corriente!AF222*SALUD_Mes_Constante!$AC$1</f>
        <v>7085.5011758196151</v>
      </c>
      <c r="AG222" s="8">
        <f>+MINVU_Mes_Corriente!AG222*SALUD_Mes_Constante!$AC$1</f>
        <v>10632.78600082999</v>
      </c>
      <c r="AH222" s="8">
        <f>+MINVU_Mes_Corriente!AH222*SALUD_Mes_Constante!$AC$1</f>
        <v>13883.834001936644</v>
      </c>
      <c r="AI222" s="8">
        <f>+MINVU_Mes_Corriente!AI222*SALUD_Mes_Constante!$AC$1</f>
        <v>15015.881864711579</v>
      </c>
      <c r="AJ222" s="8">
        <f>+MINVU_Mes_Corriente!AJ222*SALUD_Mes_Constante!$AC$1</f>
        <v>27584.787107483746</v>
      </c>
      <c r="AK222" s="8">
        <f>+MINVU_Mes_Corriente!AK222*SALUD_Mes_Constante!$AC$1</f>
        <v>44573.062110942039</v>
      </c>
      <c r="AL222" s="8">
        <f>+MINVU_Mes_Corriente!AL222*SALUD_Mes_Constante!$AC$1</f>
        <v>82033.417623461064</v>
      </c>
      <c r="AM222" s="8">
        <f>+MINVU_Mes_Corriente!AM222*SALUD_Mes_Constante!$AC$1</f>
        <v>87140.480011066538</v>
      </c>
      <c r="AN222" s="8">
        <f>+MINVU_Mes_Corriente!AN222*SALUD_Mes_Constante!$AC$1</f>
        <v>1863760.3748789597</v>
      </c>
      <c r="AO222" s="9">
        <f t="shared" si="97"/>
        <v>1863760.3748789597</v>
      </c>
      <c r="AP222" s="8">
        <f>+MINVU_Mes_Corriente!AP222*SALUD_Mes_Constante!$AP$1</f>
        <v>1378.8662248072501</v>
      </c>
      <c r="AQ222" s="8">
        <f>+MINVU_Mes_Corriente!AQ222*SALUD_Mes_Constante!$AP$1</f>
        <v>3109.4689571216013</v>
      </c>
      <c r="AR222" s="8">
        <f>+MINVU_Mes_Corriente!AR222*SALUD_Mes_Constante!$AP$1</f>
        <v>20187.902069525226</v>
      </c>
      <c r="AS222" s="8">
        <f>+MINVU_Mes_Corriente!AS222*SALUD_Mes_Constante!$AP$1</f>
        <v>20325.345326660354</v>
      </c>
      <c r="AT222" s="8">
        <f>+MINVU_Mes_Corriente!AT222*SALUD_Mes_Constante!$AP$1</f>
        <v>35819.486270796697</v>
      </c>
      <c r="AU222" s="8">
        <f>+MINVU_Mes_Corriente!AU222*SALUD_Mes_Constante!$AP$1</f>
        <v>44720.784525902876</v>
      </c>
      <c r="AV222" s="8">
        <f>+MINVU_Mes_Corriente!AV222*SALUD_Mes_Constante!$AP$1</f>
        <v>52293.464628702823</v>
      </c>
      <c r="AW222" s="8">
        <f>+MINVU_Mes_Corriente!AW222*SALUD_Mes_Constante!$AP$1</f>
        <v>55268.446097659944</v>
      </c>
      <c r="AX222" s="8">
        <f>+MINVU_Mes_Corriente!AX222*SALUD_Mes_Constante!$AP$1</f>
        <v>63755.936696875418</v>
      </c>
      <c r="AY222" s="8">
        <f>+MINVU_Mes_Corriente!AY222*SALUD_Mes_Constante!$AP$1</f>
        <v>71573.945624239146</v>
      </c>
      <c r="AZ222" s="8">
        <f>+MINVU_Mes_Corriente!AZ222*SALUD_Mes_Constante!$AP$1</f>
        <v>71573.945624239146</v>
      </c>
      <c r="BA222" s="8">
        <f>+MINVU_Mes_Corriente!BA222*SALUD_Mes_Constante!$AP$1</f>
        <v>78271.718111727299</v>
      </c>
      <c r="BB222" s="9">
        <f t="shared" si="98"/>
        <v>78271.718111727299</v>
      </c>
      <c r="BC222" s="8">
        <f>+MINVU_Mes_Corriente!BC222*SALUD_Mes_Constante!$BC$1</f>
        <v>157.05314519319535</v>
      </c>
      <c r="BD222" s="8">
        <f>+MINVU_Mes_Corriente!BD222*SALUD_Mes_Constante!$BC$1</f>
        <v>9817.9828563892934</v>
      </c>
      <c r="BE222" s="8">
        <f>+MINVU_Mes_Corriente!BE222*SALUD_Mes_Constante!$BC$1</f>
        <v>11049.913490702891</v>
      </c>
      <c r="BF222" s="8">
        <f>+MINVU_Mes_Corriente!BF222*SALUD_Mes_Constante!$BC$1</f>
        <v>12021.0494527232</v>
      </c>
      <c r="BG222" s="8">
        <f>+MINVU_Mes_Corriente!BG222*SALUD_Mes_Constante!$BC$1</f>
        <v>20524.972965844656</v>
      </c>
      <c r="BH222" s="8">
        <f>+MINVU_Mes_Corriente!BH222*SALUD_Mes_Constante!$BC$1</f>
        <v>23631.455360675202</v>
      </c>
      <c r="BI222" s="8">
        <f>+MINVU_Mes_Corriente!BI222*SALUD_Mes_Constante!$BC$1</f>
        <v>24588.182777264941</v>
      </c>
      <c r="BJ222" s="8">
        <f>+MINVU_Mes_Corriente!BJ222*SALUD_Mes_Constante!$BC$1</f>
        <v>34259.19847026244</v>
      </c>
      <c r="BK222" s="8">
        <f>+MINVU_Mes_Corriente!BK222*SALUD_Mes_Constante!$BC$1</f>
        <v>34633.820651457216</v>
      </c>
      <c r="BL222" s="8">
        <f>+MINVU_Mes_Corriente!BL222*SALUD_Mes_Constante!$BC$1</f>
        <v>35466.63457734407</v>
      </c>
      <c r="BM222" s="8">
        <f>+MINVU_Mes_Corriente!BM222*SALUD_Mes_Constante!$BC$1</f>
        <v>67643.79823288937</v>
      </c>
      <c r="BN222" s="8">
        <f>+MINVU_Mes_Corriente!BN222*SALUD_Mes_Constante!$BC$1</f>
        <v>3299476.215745748</v>
      </c>
      <c r="BO222" s="9">
        <f t="shared" si="99"/>
        <v>3299476.215745748</v>
      </c>
      <c r="BP222" s="8">
        <f>+MINVU_Mes_Corriente!BP222*SALUD_Mes_Constante!$BP$1</f>
        <v>0</v>
      </c>
      <c r="BQ222" s="8">
        <f>+MINVU_Mes_Corriente!BQ222*SALUD_Mes_Constante!$BP$1</f>
        <v>0</v>
      </c>
      <c r="BR222" s="8">
        <f>+MINVU_Mes_Corriente!BR222*SALUD_Mes_Constante!$BP$1</f>
        <v>0</v>
      </c>
      <c r="BS222" s="8">
        <f>+MINVU_Mes_Corriente!BS222*SALUD_Mes_Constante!$BP$1</f>
        <v>0</v>
      </c>
      <c r="BT222" s="8">
        <f>+MINVU_Mes_Corriente!BT222*SALUD_Mes_Constante!$BP$1</f>
        <v>0</v>
      </c>
      <c r="BU222" s="8">
        <f>+MINVU_Mes_Corriente!BU222*SALUD_Mes_Constante!$BP$1</f>
        <v>0</v>
      </c>
      <c r="BV222" s="8">
        <f>+MINVU_Mes_Corriente!BV222*SALUD_Mes_Constante!$BP$1</f>
        <v>245904.94878361077</v>
      </c>
      <c r="BW222" s="8">
        <f>+MINVU_Mes_Corriente!BW222*SALUD_Mes_Constante!$BP$1</f>
        <v>296126.77644046099</v>
      </c>
      <c r="BX222" s="8">
        <f>+MINVU_Mes_Corriente!BX222*SALUD_Mes_Constante!$BP$1</f>
        <v>320376.62074263766</v>
      </c>
      <c r="BY222" s="8">
        <f>+MINVU_Mes_Corriente!BY222*SALUD_Mes_Constante!$BP$1</f>
        <v>625157.46069142129</v>
      </c>
      <c r="BZ222" s="8">
        <f>+MINVU_Mes_Corriente!BZ222*SALUD_Mes_Constante!$BP$1</f>
        <v>657002.3439180539</v>
      </c>
      <c r="CA222" s="8">
        <f>+MINVU_Mes_Corriente!CA222*SALUD_Mes_Constante!$BP$1</f>
        <v>4010789.1065300899</v>
      </c>
      <c r="CB222" s="9">
        <f t="shared" si="100"/>
        <v>4010789.1065300899</v>
      </c>
      <c r="CC222" s="8">
        <f>+MINVU_Mes_Corriente!CC222*SALUD_Mes_Constante!$CC$1</f>
        <v>0</v>
      </c>
      <c r="CD222" s="8">
        <f>+MINVU_Mes_Corriente!CD222*SALUD_Mes_Constante!$CC$1</f>
        <v>0</v>
      </c>
      <c r="CE222" s="8">
        <f>+MINVU_Mes_Corriente!CE222*SALUD_Mes_Constante!$CC$1</f>
        <v>0</v>
      </c>
      <c r="CF222" s="8">
        <f>+MINVU_Mes_Corriente!CF222*SALUD_Mes_Constante!$CC$1</f>
        <v>0</v>
      </c>
      <c r="CG222" s="8">
        <f>+MINVU_Mes_Corriente!CG222*SALUD_Mes_Constante!$CC$1</f>
        <v>0</v>
      </c>
      <c r="CH222" s="8">
        <f>+MINVU_Mes_Corriente!CH222*SALUD_Mes_Constante!$CC$1</f>
        <v>38502.501305483034</v>
      </c>
      <c r="CI222" s="8">
        <f>+MINVU_Mes_Corriente!CI222*SALUD_Mes_Constante!$CC$1</f>
        <v>83529.629988810149</v>
      </c>
      <c r="CJ222" s="8">
        <f>+MINVU_Mes_Corriente!CJ222*SALUD_Mes_Constante!$CC$1</f>
        <v>90696.803431555396</v>
      </c>
      <c r="CK222" s="8">
        <f>+MINVU_Mes_Corriente!CK222*SALUD_Mes_Constante!$CC$1</f>
        <v>110378.00298396123</v>
      </c>
      <c r="CL222" s="8">
        <f>+MINVU_Mes_Corriente!CL222*SALUD_Mes_Constante!$CC$1</f>
        <v>193826.12607236108</v>
      </c>
      <c r="CM222" s="8">
        <f>+MINVU_Mes_Corriente!CM222*SALUD_Mes_Constante!$CC$1</f>
        <v>253512.2707944797</v>
      </c>
      <c r="CN222" s="8">
        <f>+MINVU_Mes_Corriente!CN222*SALUD_Mes_Constante!$CC$1</f>
        <v>567437.45617306978</v>
      </c>
      <c r="CO222" s="9">
        <f t="shared" si="101"/>
        <v>567437.45617306978</v>
      </c>
      <c r="CP222" s="8">
        <f>+MINVU_Mes_Corriente!CP222*SALUD_Mes_Constante!$CP$1</f>
        <v>2869.6593967517397</v>
      </c>
      <c r="CQ222" s="8">
        <f>+MINVU_Mes_Corriente!CQ222*SALUD_Mes_Constante!$CP$1</f>
        <v>2869.6593967517397</v>
      </c>
      <c r="CR222" s="8">
        <f>+MINVU_Mes_Corriente!CR222*SALUD_Mes_Constante!$CP$1</f>
        <v>43749.630626450104</v>
      </c>
      <c r="CS222" s="8">
        <f>+MINVU_Mes_Corriente!CS222*SALUD_Mes_Constante!$CP$1</f>
        <v>71733.879814385131</v>
      </c>
      <c r="CT222" s="8">
        <f>+MINVU_Mes_Corriente!CT222*SALUD_Mes_Constante!$CP$1</f>
        <v>121373.66380510438</v>
      </c>
      <c r="CU222" s="8">
        <f>+MINVU_Mes_Corriente!CU222*SALUD_Mes_Constante!$CP$1</f>
        <v>140824.98584686773</v>
      </c>
      <c r="CV222" s="8">
        <f>+MINVU_Mes_Corriente!CV222*SALUD_Mes_Constante!$CP$1</f>
        <v>291659.55661252892</v>
      </c>
      <c r="CW222" s="8">
        <f>+MINVU_Mes_Corriente!CW222*SALUD_Mes_Constante!$CP$1</f>
        <v>469508.7257540602</v>
      </c>
      <c r="CX222" s="8">
        <f>+MINVU_Mes_Corriente!CX222*SALUD_Mes_Constante!$CP$1</f>
        <v>571027.99698375864</v>
      </c>
      <c r="CY222" s="8">
        <f>+MINVU_Mes_Corriente!CY222*SALUD_Mes_Constante!$CP$1</f>
        <v>596603.96310904855</v>
      </c>
      <c r="CZ222" s="8">
        <f>+MINVU_Mes_Corriente!CZ222*SALUD_Mes_Constante!$CP$1</f>
        <v>597991.89466357301</v>
      </c>
      <c r="DA222" s="8">
        <f>+MINVU_Mes_Corriente!DA222*SALUD_Mes_Constante!$CP$1</f>
        <v>1684263.1802784218</v>
      </c>
      <c r="DB222" s="9">
        <f t="shared" si="102"/>
        <v>1684263.1802784218</v>
      </c>
      <c r="DC222" s="8">
        <f>+MINVU_Mes_Corriente!DC222*SALUD_Mes_Constante!$DC$1</f>
        <v>0</v>
      </c>
      <c r="DD222" s="8">
        <f>+MINVU_Mes_Corriente!DD222*SALUD_Mes_Constante!$DC$1</f>
        <v>0</v>
      </c>
      <c r="DE222" s="8">
        <f>+MINVU_Mes_Corriente!DE222*SALUD_Mes_Constante!$DC$1</f>
        <v>5989.574529369409</v>
      </c>
      <c r="DF222" s="8">
        <f>+MINVU_Mes_Corriente!DF222*SALUD_Mes_Constante!$DC$1</f>
        <v>8275.7059973253818</v>
      </c>
      <c r="DG222" s="8">
        <f>+MINVU_Mes_Corriente!DG222*SALUD_Mes_Constante!$DC$1</f>
        <v>28794.691286904654</v>
      </c>
      <c r="DH222" s="8">
        <f>+MINVU_Mes_Corriente!DH222*SALUD_Mes_Constante!$DC$1</f>
        <v>45695.654356547704</v>
      </c>
      <c r="DI222" s="8">
        <f>+MINVU_Mes_Corriente!DI222*SALUD_Mes_Constante!$DC$1</f>
        <v>67999.485649624563</v>
      </c>
      <c r="DJ222" s="8">
        <f>+MINVU_Mes_Corriente!DJ222*SALUD_Mes_Constante!$DC$1</f>
        <v>92710.835922230268</v>
      </c>
      <c r="DK222" s="8">
        <f>+MINVU_Mes_Corriente!DK222*SALUD_Mes_Constante!$DC$1</f>
        <v>141653.60621335261</v>
      </c>
      <c r="DL222" s="8">
        <f>+MINVU_Mes_Corriente!DL222*SALUD_Mes_Constante!$DC$1</f>
        <v>199597.03569591616</v>
      </c>
      <c r="DM222" s="8">
        <f>+MINVU_Mes_Corriente!DM222*SALUD_Mes_Constante!$DC$1</f>
        <v>266678.24729966064</v>
      </c>
      <c r="DN222" s="8">
        <f>+MINVU_Mes_Corriente!DN222*SALUD_Mes_Constante!$DC$1</f>
        <v>1428209.4944964517</v>
      </c>
      <c r="DO222" s="9">
        <f t="shared" si="103"/>
        <v>1428209.4944964517</v>
      </c>
      <c r="DP222" s="8">
        <f>+MINVU_Mes_Corriente!DP222*SALUD_Mes_Constante!$DP$1</f>
        <v>2586.5985748218532</v>
      </c>
      <c r="DQ222" s="8">
        <f>+MINVU_Mes_Corriente!DQ222*SALUD_Mes_Constante!$DP$1</f>
        <v>48761.492280285041</v>
      </c>
      <c r="DR222" s="8">
        <f>+MINVU_Mes_Corriente!DR222*SALUD_Mes_Constante!$DP$1</f>
        <v>100263.13539192401</v>
      </c>
      <c r="DS222" s="8">
        <f>+MINVU_Mes_Corriente!DS222*SALUD_Mes_Constante!$DP$1</f>
        <v>97725.197743467943</v>
      </c>
      <c r="DT222" s="8">
        <f>+MINVU_Mes_Corriente!DT222*SALUD_Mes_Constante!$DP$1</f>
        <v>124940.71318289787</v>
      </c>
      <c r="DU222" s="8">
        <f>+MINVU_Mes_Corriente!DU222*SALUD_Mes_Constante!$DP$1</f>
        <v>141674.66508313542</v>
      </c>
      <c r="DV222" s="8">
        <f>+MINVU_Mes_Corriente!DV222*SALUD_Mes_Constante!$DP$1</f>
        <v>399017.43349168648</v>
      </c>
      <c r="DW222" s="8">
        <f>+MINVU_Mes_Corriente!DW222*SALUD_Mes_Constante!$DP$1</f>
        <v>413206.95961995254</v>
      </c>
      <c r="DX222" s="8">
        <f>+MINVU_Mes_Corriente!DX222*SALUD_Mes_Constante!$DP$1</f>
        <v>428212.90795724472</v>
      </c>
      <c r="DY222" s="8">
        <f>+MINVU_Mes_Corriente!DY222*SALUD_Mes_Constante!$DP$1</f>
        <v>470354.35154394305</v>
      </c>
      <c r="DZ222" s="8">
        <f>+MINVU_Mes_Corriente!DZ222*SALUD_Mes_Constante!$DP$1</f>
        <v>485455.45902612829</v>
      </c>
      <c r="EA222" s="8">
        <f>+MINVU_Mes_Corriente!EA222*SALUD_Mes_Constante!$DP$1</f>
        <v>745808.7167458433</v>
      </c>
      <c r="EB222" s="9">
        <f t="shared" si="104"/>
        <v>745808.7167458433</v>
      </c>
      <c r="EC222" s="8">
        <f>+MINVU_Mes_Corriente!EC222*SALUD_Mes_Constante!$EC$1</f>
        <v>14649.032948305241</v>
      </c>
      <c r="ED222" s="8">
        <f>+MINVU_Mes_Corriente!ED222*SALUD_Mes_Constante!$EC$1</f>
        <v>16835.888089377007</v>
      </c>
      <c r="EE222" s="8">
        <f>+MINVU_Mes_Corriente!EE222*SALUD_Mes_Constante!$EC$1</f>
        <v>32324.905131603853</v>
      </c>
      <c r="EF222" s="8">
        <f>+MINVU_Mes_Corriente!EF222*SALUD_Mes_Constante!$EC$1</f>
        <v>36788.613709524703</v>
      </c>
      <c r="EG222" s="8">
        <f>+MINVU_Mes_Corriente!EG222*SALUD_Mes_Constante!$EC$1</f>
        <v>79199.534747206941</v>
      </c>
      <c r="EH222" s="8">
        <f>+MINVU_Mes_Corriente!EH222*SALUD_Mes_Constante!$EC$1</f>
        <v>142482.81916303726</v>
      </c>
      <c r="EI222" s="8">
        <f>+MINVU_Mes_Corriente!EI222*SALUD_Mes_Constante!$EC$1</f>
        <v>164497.22988070437</v>
      </c>
      <c r="EJ222" s="8">
        <f>+MINVU_Mes_Corriente!EJ222*SALUD_Mes_Constante!$EC$1</f>
        <v>300281.90001893573</v>
      </c>
      <c r="EK222" s="8">
        <f>+MINVU_Mes_Corriente!EK222*SALUD_Mes_Constante!$EC$1</f>
        <v>330737.53020261304</v>
      </c>
      <c r="EL222" s="8">
        <f>+MINVU_Mes_Corriente!EL222*SALUD_Mes_Constante!$EC$1</f>
        <v>403867.86953228543</v>
      </c>
      <c r="EM222" s="8">
        <f>+MINVU_Mes_Corriente!EM222*SALUD_Mes_Constante!$EC$1</f>
        <v>441111.64703654597</v>
      </c>
      <c r="EN222" s="8">
        <f>+MINVU_Mes_Corriente!EN222*SALUD_Mes_Constante!$EC$1</f>
        <v>2351279.9585305806</v>
      </c>
      <c r="EO222" s="9">
        <f t="shared" si="105"/>
        <v>2351279.9585305806</v>
      </c>
      <c r="EP222" s="8">
        <f>+MINVU_Mes_Corriente!EP222*SALUD_Mes_Constante!$EP$1</f>
        <v>11558</v>
      </c>
      <c r="EQ222" s="8">
        <f>+MINVU_Mes_Corriente!EQ222*SALUD_Mes_Constante!$EP$1</f>
        <v>20070</v>
      </c>
      <c r="ER222" s="8">
        <f>+MINVU_Mes_Corriente!ER222*SALUD_Mes_Constante!$EP$1</f>
        <v>39199</v>
      </c>
      <c r="ES222" s="8">
        <f>+MINVU_Mes_Corriente!ES222*SALUD_Mes_Constante!$EP$1</f>
        <v>57574</v>
      </c>
      <c r="ET222" s="8">
        <f>+MINVU_Mes_Corriente!ET222*SALUD_Mes_Constante!$EP$1</f>
        <v>180363</v>
      </c>
      <c r="EU222" s="8">
        <f>+MINVU_Mes_Corriente!EU222*SALUD_Mes_Constante!$EP$1</f>
        <v>180881</v>
      </c>
      <c r="EV222" s="8">
        <f>+MINVU_Mes_Corriente!EV222*SALUD_Mes_Constante!$EP$1</f>
        <v>188795</v>
      </c>
      <c r="EW222" s="8">
        <f>+MINVU_Mes_Corriente!EW222*SALUD_Mes_Constante!$EP$1</f>
        <v>210815</v>
      </c>
      <c r="EX222" s="8">
        <f>+MINVU_Mes_Corriente!EX222*SALUD_Mes_Constante!$EP$1</f>
        <v>216616</v>
      </c>
      <c r="EY222" s="8">
        <f>+MINVU_Mes_Corriente!EY222*SALUD_Mes_Constante!$EP$1</f>
        <v>864036</v>
      </c>
      <c r="EZ222" s="8">
        <f>+MINVU_Mes_Corriente!EZ222*SALUD_Mes_Constante!$EP$1</f>
        <v>1075742</v>
      </c>
      <c r="FA222" s="8">
        <f>+MINVU_Mes_Corriente!FA222*SALUD_Mes_Constante!$EP$1</f>
        <v>1281918</v>
      </c>
      <c r="FB222" s="9">
        <f t="shared" si="106"/>
        <v>1281918</v>
      </c>
      <c r="FC222" s="8">
        <f>+MINVU_Mes_Corriente!FC222*SALUD_Mes_Constante!$FC$1</f>
        <v>5126</v>
      </c>
      <c r="FD222" s="8">
        <f>+MINVU_Mes_Corriente!FD222*SALUD_Mes_Constante!$FC$1</f>
        <v>7414</v>
      </c>
      <c r="FE222" s="8">
        <f>+MINVU_Mes_Corriente!FE222*SALUD_Mes_Constante!$FC$1</f>
        <v>12240</v>
      </c>
      <c r="FF222" s="8">
        <f>+MINVU_Mes_Corriente!FF222*SALUD_Mes_Constante!$FC$1</f>
        <v>160776</v>
      </c>
      <c r="FG222" s="8">
        <f>+MINVU_Mes_Corriente!FG222*SALUD_Mes_Constante!$FC$1</f>
        <v>168752</v>
      </c>
      <c r="FH222" s="8">
        <f>+MINVU_Mes_Corriente!FH222*SALUD_Mes_Constante!$FC$1</f>
        <v>306291</v>
      </c>
      <c r="FI222" s="8">
        <f>+MINVU_Mes_Corriente!FI222*SALUD_Mes_Constante!$FC$1</f>
        <v>308126</v>
      </c>
      <c r="FJ222" s="8"/>
      <c r="FK222" s="8"/>
      <c r="FL222" s="8"/>
      <c r="FM222" s="8"/>
      <c r="FN222" s="8"/>
      <c r="FO222" s="9">
        <f t="shared" si="107"/>
        <v>308126</v>
      </c>
    </row>
    <row r="223" spans="2:171" ht="14.25" customHeight="1" thickBot="1" x14ac:dyDescent="0.35">
      <c r="B223" s="14" t="s">
        <v>86</v>
      </c>
      <c r="C223" s="16">
        <f t="shared" ref="C223:AH223" si="108">SUM(C191:C222)</f>
        <v>995385.65979534329</v>
      </c>
      <c r="D223" s="16">
        <f t="shared" si="108"/>
        <v>1875661.8668248556</v>
      </c>
      <c r="E223" s="16">
        <f t="shared" si="108"/>
        <v>3821620.8690493847</v>
      </c>
      <c r="F223" s="16">
        <f t="shared" si="108"/>
        <v>5473104.4840575419</v>
      </c>
      <c r="G223" s="16">
        <f t="shared" si="108"/>
        <v>6461247.1926442236</v>
      </c>
      <c r="H223" s="16">
        <f t="shared" si="108"/>
        <v>8109956.773542935</v>
      </c>
      <c r="I223" s="16">
        <f t="shared" si="108"/>
        <v>9946258.7907459568</v>
      </c>
      <c r="J223" s="16">
        <f t="shared" si="108"/>
        <v>12444496.873498445</v>
      </c>
      <c r="K223" s="16">
        <f t="shared" si="108"/>
        <v>15174561.246032925</v>
      </c>
      <c r="L223" s="16">
        <f t="shared" si="108"/>
        <v>17407354.078896634</v>
      </c>
      <c r="M223" s="16">
        <f t="shared" si="108"/>
        <v>21728408.030550212</v>
      </c>
      <c r="N223" s="16">
        <f t="shared" si="108"/>
        <v>118121619.55568741</v>
      </c>
      <c r="O223" s="16">
        <f t="shared" si="108"/>
        <v>118121619.55568741</v>
      </c>
      <c r="P223" s="16">
        <f t="shared" si="108"/>
        <v>747280.03693706461</v>
      </c>
      <c r="Q223" s="16">
        <f t="shared" si="108"/>
        <v>2456195.5337405871</v>
      </c>
      <c r="R223" s="16">
        <f t="shared" si="108"/>
        <v>4617184.1758772535</v>
      </c>
      <c r="S223" s="16">
        <f t="shared" si="108"/>
        <v>6566704.5040488672</v>
      </c>
      <c r="T223" s="16">
        <f t="shared" si="108"/>
        <v>8140318.5884358548</v>
      </c>
      <c r="U223" s="16">
        <f t="shared" si="108"/>
        <v>11585615.922432158</v>
      </c>
      <c r="V223" s="16">
        <f t="shared" si="108"/>
        <v>14494128.298337827</v>
      </c>
      <c r="W223" s="16">
        <f t="shared" si="108"/>
        <v>18931774.654070176</v>
      </c>
      <c r="X223" s="16">
        <f t="shared" si="108"/>
        <v>24992114.394374192</v>
      </c>
      <c r="Y223" s="16">
        <f t="shared" si="108"/>
        <v>31677738.295780633</v>
      </c>
      <c r="Z223" s="16">
        <f t="shared" si="108"/>
        <v>43005029.367523767</v>
      </c>
      <c r="AA223" s="16">
        <f t="shared" si="108"/>
        <v>193767947.16380164</v>
      </c>
      <c r="AB223" s="16">
        <f t="shared" si="108"/>
        <v>193767947.16380164</v>
      </c>
      <c r="AC223" s="16">
        <f t="shared" si="108"/>
        <v>996669.14566330076</v>
      </c>
      <c r="AD223" s="16">
        <f t="shared" si="108"/>
        <v>2027676.068889196</v>
      </c>
      <c r="AE223" s="16">
        <f t="shared" si="108"/>
        <v>3970419.8312353017</v>
      </c>
      <c r="AF223" s="16">
        <f t="shared" si="108"/>
        <v>5624376.5212339191</v>
      </c>
      <c r="AG223" s="16">
        <f t="shared" si="108"/>
        <v>9393325.0839673523</v>
      </c>
      <c r="AH223" s="16">
        <f t="shared" si="108"/>
        <v>13123099.349564254</v>
      </c>
      <c r="AI223" s="16">
        <f t="shared" ref="AI223:BN223" si="109">SUM(AI191:AI222)</f>
        <v>20224308.634112604</v>
      </c>
      <c r="AJ223" s="16">
        <f t="shared" si="109"/>
        <v>23353243.584451515</v>
      </c>
      <c r="AK223" s="16">
        <f t="shared" si="109"/>
        <v>26782047.282611702</v>
      </c>
      <c r="AL223" s="16">
        <f t="shared" si="109"/>
        <v>30465389.448886424</v>
      </c>
      <c r="AM223" s="16">
        <f t="shared" si="109"/>
        <v>35865360.530363806</v>
      </c>
      <c r="AN223" s="16">
        <f t="shared" si="109"/>
        <v>66316377.959053807</v>
      </c>
      <c r="AO223" s="16">
        <f t="shared" si="109"/>
        <v>66316377.959053807</v>
      </c>
      <c r="AP223" s="16">
        <f t="shared" si="109"/>
        <v>481939.60854862718</v>
      </c>
      <c r="AQ223" s="16">
        <f t="shared" si="109"/>
        <v>1151195.1640741243</v>
      </c>
      <c r="AR223" s="16">
        <f t="shared" si="109"/>
        <v>3193402.4506966048</v>
      </c>
      <c r="AS223" s="16">
        <f t="shared" si="109"/>
        <v>6216729.9548221277</v>
      </c>
      <c r="AT223" s="16">
        <f t="shared" si="109"/>
        <v>6622551.122954146</v>
      </c>
      <c r="AU223" s="16">
        <f t="shared" si="109"/>
        <v>7784653.0745299608</v>
      </c>
      <c r="AV223" s="16">
        <f t="shared" si="109"/>
        <v>8845270.1763830651</v>
      </c>
      <c r="AW223" s="16">
        <f t="shared" si="109"/>
        <v>10298098.608142834</v>
      </c>
      <c r="AX223" s="16">
        <f t="shared" si="109"/>
        <v>13408049.355606657</v>
      </c>
      <c r="AY223" s="16">
        <f t="shared" si="109"/>
        <v>15707809.049371026</v>
      </c>
      <c r="AZ223" s="16">
        <f t="shared" si="109"/>
        <v>22392681.083186798</v>
      </c>
      <c r="BA223" s="16">
        <f t="shared" si="109"/>
        <v>50801399.84174218</v>
      </c>
      <c r="BB223" s="16">
        <f t="shared" si="109"/>
        <v>50801399.84174218</v>
      </c>
      <c r="BC223" s="16">
        <f t="shared" si="109"/>
        <v>673131.22115257825</v>
      </c>
      <c r="BD223" s="16">
        <f t="shared" si="109"/>
        <v>1744565.0679150738</v>
      </c>
      <c r="BE223" s="16">
        <f t="shared" si="109"/>
        <v>4833113.1462481879</v>
      </c>
      <c r="BF223" s="16">
        <f t="shared" si="109"/>
        <v>6297102.0498483479</v>
      </c>
      <c r="BG223" s="16">
        <f t="shared" si="109"/>
        <v>7753893.885005936</v>
      </c>
      <c r="BH223" s="16">
        <f t="shared" si="109"/>
        <v>9738424.6319398694</v>
      </c>
      <c r="BI223" s="16">
        <f t="shared" si="109"/>
        <v>11434077.010681793</v>
      </c>
      <c r="BJ223" s="16">
        <f t="shared" si="109"/>
        <v>12717688.215745751</v>
      </c>
      <c r="BK223" s="16">
        <f t="shared" si="109"/>
        <v>14204347.524726361</v>
      </c>
      <c r="BL223" s="16">
        <f t="shared" si="109"/>
        <v>18882492.442305159</v>
      </c>
      <c r="BM223" s="16">
        <f t="shared" si="109"/>
        <v>29324791.808782812</v>
      </c>
      <c r="BN223" s="16">
        <f t="shared" si="109"/>
        <v>160199885.06395888</v>
      </c>
      <c r="BO223" s="16">
        <f t="shared" ref="BO223:CT223" si="110">SUM(BO191:BO222)</f>
        <v>160199885.06395888</v>
      </c>
      <c r="BP223" s="16">
        <f t="shared" si="110"/>
        <v>129838.93213828426</v>
      </c>
      <c r="BQ223" s="16">
        <f t="shared" si="110"/>
        <v>205814.50294494239</v>
      </c>
      <c r="BR223" s="16">
        <f t="shared" si="110"/>
        <v>331161.32419974392</v>
      </c>
      <c r="BS223" s="16">
        <f t="shared" si="110"/>
        <v>398796.2020486556</v>
      </c>
      <c r="BT223" s="16">
        <f t="shared" si="110"/>
        <v>3579220.5003841235</v>
      </c>
      <c r="BU223" s="16">
        <f t="shared" si="110"/>
        <v>5752986.6722151097</v>
      </c>
      <c r="BV223" s="16">
        <f t="shared" si="110"/>
        <v>6754940.0435339306</v>
      </c>
      <c r="BW223" s="16">
        <f t="shared" si="110"/>
        <v>8708988.6921895016</v>
      </c>
      <c r="BX223" s="16">
        <f t="shared" si="110"/>
        <v>12630509.161075547</v>
      </c>
      <c r="BY223" s="16">
        <f t="shared" si="110"/>
        <v>15952870.733162615</v>
      </c>
      <c r="BZ223" s="16">
        <f t="shared" si="110"/>
        <v>28355190.174391806</v>
      </c>
      <c r="CA223" s="16">
        <f t="shared" si="110"/>
        <v>136223027.51370043</v>
      </c>
      <c r="CB223" s="16">
        <f t="shared" si="110"/>
        <v>136223027.51370043</v>
      </c>
      <c r="CC223" s="16">
        <f t="shared" si="110"/>
        <v>391580.8847444983</v>
      </c>
      <c r="CD223" s="16">
        <f t="shared" si="110"/>
        <v>498460.88325251767</v>
      </c>
      <c r="CE223" s="16">
        <f t="shared" si="110"/>
        <v>2931507.0660201418</v>
      </c>
      <c r="CF223" s="16">
        <f t="shared" si="110"/>
        <v>4361359.5262961593</v>
      </c>
      <c r="CG223" s="16">
        <f t="shared" si="110"/>
        <v>6926369.4561730716</v>
      </c>
      <c r="CH223" s="16">
        <f t="shared" si="110"/>
        <v>17981138.132786274</v>
      </c>
      <c r="CI223" s="16">
        <f t="shared" si="110"/>
        <v>26702659.033942562</v>
      </c>
      <c r="CJ223" s="16">
        <f t="shared" si="110"/>
        <v>30667414.13353226</v>
      </c>
      <c r="CK223" s="16">
        <f t="shared" si="110"/>
        <v>36542821.389779933</v>
      </c>
      <c r="CL223" s="16">
        <f t="shared" si="110"/>
        <v>49498618.97500933</v>
      </c>
      <c r="CM223" s="16">
        <f t="shared" si="110"/>
        <v>84697209.544945911</v>
      </c>
      <c r="CN223" s="16">
        <f t="shared" si="110"/>
        <v>224716533.57627752</v>
      </c>
      <c r="CO223" s="16">
        <f t="shared" si="110"/>
        <v>224716533.57627752</v>
      </c>
      <c r="CP223" s="16">
        <f t="shared" si="110"/>
        <v>155270.88167053359</v>
      </c>
      <c r="CQ223" s="16">
        <f t="shared" si="110"/>
        <v>769057.31067285372</v>
      </c>
      <c r="CR223" s="16">
        <f t="shared" si="110"/>
        <v>3524310.5867749415</v>
      </c>
      <c r="CS223" s="16">
        <f t="shared" si="110"/>
        <v>5206927.2619489562</v>
      </c>
      <c r="CT223" s="16">
        <f t="shared" si="110"/>
        <v>6508907.1939675156</v>
      </c>
      <c r="CU223" s="16">
        <f t="shared" ref="CU223:DZ223" si="111">SUM(CU191:CU222)</f>
        <v>11580724.706032481</v>
      </c>
      <c r="CV223" s="16">
        <f t="shared" si="111"/>
        <v>13213969.043387471</v>
      </c>
      <c r="CW223" s="16">
        <f t="shared" si="111"/>
        <v>29485960.709512752</v>
      </c>
      <c r="CX223" s="16">
        <f t="shared" si="111"/>
        <v>35838679.339211114</v>
      </c>
      <c r="CY223" s="16">
        <f t="shared" si="111"/>
        <v>40773907.908584662</v>
      </c>
      <c r="CZ223" s="16">
        <f t="shared" si="111"/>
        <v>55656737.260788843</v>
      </c>
      <c r="DA223" s="16">
        <f t="shared" si="111"/>
        <v>132551983.4241299</v>
      </c>
      <c r="DB223" s="16">
        <f t="shared" si="111"/>
        <v>132551983.4241299</v>
      </c>
      <c r="DC223" s="16">
        <f t="shared" si="111"/>
        <v>245810.83489352957</v>
      </c>
      <c r="DD223" s="16">
        <f t="shared" si="111"/>
        <v>634457.68027980695</v>
      </c>
      <c r="DE223" s="16">
        <f t="shared" si="111"/>
        <v>1334647.8220347704</v>
      </c>
      <c r="DF223" s="16">
        <f t="shared" si="111"/>
        <v>1863070.1390803424</v>
      </c>
      <c r="DG223" s="16">
        <f t="shared" si="111"/>
        <v>2377610.4454274266</v>
      </c>
      <c r="DH223" s="16">
        <f t="shared" si="111"/>
        <v>3179216.4812262128</v>
      </c>
      <c r="DI223" s="16">
        <f t="shared" si="111"/>
        <v>4063035.5811130558</v>
      </c>
      <c r="DJ223" s="16">
        <f t="shared" si="111"/>
        <v>5631363.3545931503</v>
      </c>
      <c r="DK223" s="16">
        <f t="shared" si="111"/>
        <v>7278036.6511675781</v>
      </c>
      <c r="DL223" s="16">
        <f t="shared" si="111"/>
        <v>10182643.110379595</v>
      </c>
      <c r="DM223" s="16">
        <f t="shared" si="111"/>
        <v>18918927.045365714</v>
      </c>
      <c r="DN223" s="16">
        <f t="shared" si="111"/>
        <v>81534185.322291985</v>
      </c>
      <c r="DO223" s="16">
        <f t="shared" si="111"/>
        <v>81534185.322291985</v>
      </c>
      <c r="DP223" s="16">
        <f t="shared" si="111"/>
        <v>384994.43586698332</v>
      </c>
      <c r="DQ223" s="16">
        <f t="shared" si="111"/>
        <v>723775.04928741115</v>
      </c>
      <c r="DR223" s="16">
        <f t="shared" si="111"/>
        <v>1727806.7565320665</v>
      </c>
      <c r="DS223" s="16">
        <f t="shared" si="111"/>
        <v>2202886.6247030878</v>
      </c>
      <c r="DT223" s="16">
        <f t="shared" si="111"/>
        <v>4119611.3176959618</v>
      </c>
      <c r="DU223" s="16">
        <f t="shared" si="111"/>
        <v>7416571.8277909746</v>
      </c>
      <c r="DV223" s="16">
        <f t="shared" si="111"/>
        <v>12089966.114608075</v>
      </c>
      <c r="DW223" s="16">
        <f t="shared" si="111"/>
        <v>15622097.312351545</v>
      </c>
      <c r="DX223" s="16">
        <f t="shared" si="111"/>
        <v>19600746.577197149</v>
      </c>
      <c r="DY223" s="16">
        <f t="shared" si="111"/>
        <v>23406603.055225655</v>
      </c>
      <c r="DZ223" s="16">
        <f t="shared" si="111"/>
        <v>37202198.438836105</v>
      </c>
      <c r="EA223" s="16">
        <f t="shared" ref="EA223:FF223" si="112">SUM(EA191:EA222)</f>
        <v>94677305.481591448</v>
      </c>
      <c r="EB223" s="16">
        <f t="shared" si="112"/>
        <v>94677305.481591448</v>
      </c>
      <c r="EC223" s="16">
        <f t="shared" si="112"/>
        <v>452180.4029539859</v>
      </c>
      <c r="ED223" s="16">
        <f t="shared" si="112"/>
        <v>1001689.3077068733</v>
      </c>
      <c r="EE223" s="16">
        <f t="shared" si="112"/>
        <v>1794255.6788487022</v>
      </c>
      <c r="EF223" s="16">
        <f t="shared" si="112"/>
        <v>2528135.9199015331</v>
      </c>
      <c r="EG223" s="16">
        <f t="shared" si="112"/>
        <v>3793436.4427191811</v>
      </c>
      <c r="EH223" s="16">
        <f t="shared" si="112"/>
        <v>6000113.9670516923</v>
      </c>
      <c r="EI223" s="16">
        <f t="shared" si="112"/>
        <v>7809565.9098655554</v>
      </c>
      <c r="EJ223" s="16">
        <f t="shared" si="112"/>
        <v>11034169.67581897</v>
      </c>
      <c r="EK223" s="16">
        <f t="shared" si="112"/>
        <v>13795383.595909856</v>
      </c>
      <c r="EL223" s="16">
        <f t="shared" si="112"/>
        <v>18545647.782048851</v>
      </c>
      <c r="EM223" s="16">
        <f t="shared" si="112"/>
        <v>24502341.192009084</v>
      </c>
      <c r="EN223" s="16">
        <f t="shared" si="112"/>
        <v>48651564.243135765</v>
      </c>
      <c r="EO223" s="16">
        <f t="shared" si="112"/>
        <v>48651564.243135765</v>
      </c>
      <c r="EP223" s="16">
        <f t="shared" si="112"/>
        <v>222297</v>
      </c>
      <c r="EQ223" s="16">
        <f t="shared" si="112"/>
        <v>3517260</v>
      </c>
      <c r="ER223" s="16">
        <f t="shared" si="112"/>
        <v>6070658</v>
      </c>
      <c r="ES223" s="16">
        <f t="shared" si="112"/>
        <v>8485818</v>
      </c>
      <c r="ET223" s="16">
        <f t="shared" si="112"/>
        <v>11810347</v>
      </c>
      <c r="EU223" s="16">
        <f t="shared" si="112"/>
        <v>13620106</v>
      </c>
      <c r="EV223" s="16">
        <f t="shared" si="112"/>
        <v>15499752</v>
      </c>
      <c r="EW223" s="16">
        <f t="shared" si="112"/>
        <v>20841277</v>
      </c>
      <c r="EX223" s="16">
        <f t="shared" si="112"/>
        <v>25064710</v>
      </c>
      <c r="EY223" s="16">
        <f t="shared" si="112"/>
        <v>32504313</v>
      </c>
      <c r="EZ223" s="16">
        <f t="shared" si="112"/>
        <v>39073919</v>
      </c>
      <c r="FA223" s="16">
        <f t="shared" si="112"/>
        <v>56832030</v>
      </c>
      <c r="FB223" s="16">
        <f t="shared" si="112"/>
        <v>56832030</v>
      </c>
      <c r="FC223" s="16">
        <f t="shared" si="112"/>
        <v>258021</v>
      </c>
      <c r="FD223" s="16">
        <f t="shared" si="112"/>
        <v>1153491</v>
      </c>
      <c r="FE223" s="16">
        <f t="shared" si="112"/>
        <v>2256416</v>
      </c>
      <c r="FF223" s="16">
        <f t="shared" si="112"/>
        <v>3863361</v>
      </c>
      <c r="FG223" s="16">
        <f t="shared" ref="FG223:GL223" si="113">SUM(FG191:FG222)</f>
        <v>4964335</v>
      </c>
      <c r="FH223" s="16">
        <f t="shared" si="113"/>
        <v>5903257</v>
      </c>
      <c r="FI223" s="16">
        <f t="shared" si="113"/>
        <v>7101490</v>
      </c>
      <c r="FJ223" s="16">
        <f t="shared" si="113"/>
        <v>0</v>
      </c>
      <c r="FK223" s="16">
        <f t="shared" si="113"/>
        <v>0</v>
      </c>
      <c r="FL223" s="16">
        <f t="shared" si="113"/>
        <v>0</v>
      </c>
      <c r="FM223" s="16">
        <f t="shared" si="113"/>
        <v>0</v>
      </c>
      <c r="FN223" s="16">
        <f t="shared" si="113"/>
        <v>0</v>
      </c>
      <c r="FO223" s="16">
        <f t="shared" si="113"/>
        <v>7101490</v>
      </c>
    </row>
    <row r="224" spans="2:171" ht="14.25" customHeight="1" thickTop="1" x14ac:dyDescent="0.3"/>
    <row r="225" spans="2:171" ht="14.25" customHeight="1" x14ac:dyDescent="0.3"/>
    <row r="226" spans="2:171" ht="14.25" customHeight="1" x14ac:dyDescent="0.35">
      <c r="B226" s="3" t="s">
        <v>87</v>
      </c>
    </row>
    <row r="227" spans="2:171" ht="14.25" customHeight="1" x14ac:dyDescent="0.3">
      <c r="B227" s="4" t="s">
        <v>88</v>
      </c>
    </row>
    <row r="228" spans="2:171" ht="14.25" customHeight="1" x14ac:dyDescent="0.3">
      <c r="C228" s="38" t="s">
        <v>4</v>
      </c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8" t="s">
        <v>5</v>
      </c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8" t="s">
        <v>6</v>
      </c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8" t="s">
        <v>7</v>
      </c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8" t="s">
        <v>8</v>
      </c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8" t="s">
        <v>9</v>
      </c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  <c r="CC228" s="38" t="s">
        <v>10</v>
      </c>
      <c r="CD228" s="39"/>
      <c r="CE228" s="39"/>
      <c r="CF228" s="39"/>
      <c r="CG228" s="39"/>
      <c r="CH228" s="39"/>
      <c r="CI228" s="39"/>
      <c r="CJ228" s="39"/>
      <c r="CK228" s="39"/>
      <c r="CL228" s="39"/>
      <c r="CM228" s="39"/>
      <c r="CN228" s="39"/>
      <c r="CO228" s="39"/>
      <c r="CP228" s="38" t="s">
        <v>11</v>
      </c>
      <c r="CQ228" s="39"/>
      <c r="CR228" s="39"/>
      <c r="CS228" s="39"/>
      <c r="CT228" s="39"/>
      <c r="CU228" s="39"/>
      <c r="CV228" s="39"/>
      <c r="CW228" s="39"/>
      <c r="CX228" s="39"/>
      <c r="CY228" s="39"/>
      <c r="CZ228" s="39"/>
      <c r="DA228" s="39"/>
      <c r="DB228" s="39"/>
      <c r="DC228" s="38" t="s">
        <v>12</v>
      </c>
      <c r="DD228" s="39"/>
      <c r="DE228" s="39"/>
      <c r="DF228" s="39"/>
      <c r="DG228" s="39"/>
      <c r="DH228" s="39"/>
      <c r="DI228" s="39"/>
      <c r="DJ228" s="39"/>
      <c r="DK228" s="39"/>
      <c r="DL228" s="39"/>
      <c r="DM228" s="39"/>
      <c r="DN228" s="39"/>
      <c r="DO228" s="39"/>
      <c r="DP228" s="38" t="s">
        <v>13</v>
      </c>
      <c r="DQ228" s="39"/>
      <c r="DR228" s="39"/>
      <c r="DS228" s="39"/>
      <c r="DT228" s="39"/>
      <c r="DU228" s="39"/>
      <c r="DV228" s="39"/>
      <c r="DW228" s="39"/>
      <c r="DX228" s="39"/>
      <c r="DY228" s="39"/>
      <c r="DZ228" s="39"/>
      <c r="EA228" s="39"/>
      <c r="EB228" s="39"/>
      <c r="EC228" s="38" t="s">
        <v>14</v>
      </c>
      <c r="ED228" s="39"/>
      <c r="EE228" s="39"/>
      <c r="EF228" s="39"/>
      <c r="EG228" s="39"/>
      <c r="EH228" s="39"/>
      <c r="EI228" s="39"/>
      <c r="EJ228" s="39"/>
      <c r="EK228" s="39"/>
      <c r="EL228" s="39"/>
      <c r="EM228" s="39"/>
      <c r="EN228" s="39"/>
      <c r="EO228" s="39"/>
      <c r="EP228" s="38" t="s">
        <v>15</v>
      </c>
      <c r="EQ228" s="39"/>
      <c r="ER228" s="39"/>
      <c r="ES228" s="39"/>
      <c r="ET228" s="39"/>
      <c r="EU228" s="39"/>
      <c r="EV228" s="39"/>
      <c r="EW228" s="39"/>
      <c r="EX228" s="39"/>
      <c r="EY228" s="39"/>
      <c r="EZ228" s="39"/>
      <c r="FA228" s="39"/>
      <c r="FB228" s="39"/>
      <c r="FC228" s="38" t="s">
        <v>16</v>
      </c>
      <c r="FD228" s="39"/>
      <c r="FE228" s="39"/>
      <c r="FF228" s="39"/>
      <c r="FG228" s="39"/>
      <c r="FH228" s="39"/>
      <c r="FI228" s="39"/>
      <c r="FJ228" s="39"/>
      <c r="FK228" s="39"/>
      <c r="FL228" s="39"/>
      <c r="FM228" s="39"/>
      <c r="FN228" s="39"/>
      <c r="FO228" s="39"/>
    </row>
    <row r="229" spans="2:171" ht="14.25" customHeight="1" x14ac:dyDescent="0.3">
      <c r="B229" s="5" t="s">
        <v>17</v>
      </c>
      <c r="C229" s="6" t="s">
        <v>18</v>
      </c>
      <c r="D229" s="6" t="s">
        <v>19</v>
      </c>
      <c r="E229" s="6" t="s">
        <v>20</v>
      </c>
      <c r="F229" s="6" t="s">
        <v>21</v>
      </c>
      <c r="G229" s="6" t="s">
        <v>22</v>
      </c>
      <c r="H229" s="6" t="s">
        <v>23</v>
      </c>
      <c r="I229" s="6" t="s">
        <v>24</v>
      </c>
      <c r="J229" s="6" t="s">
        <v>25</v>
      </c>
      <c r="K229" s="6" t="s">
        <v>26</v>
      </c>
      <c r="L229" s="6" t="s">
        <v>27</v>
      </c>
      <c r="M229" s="6" t="s">
        <v>28</v>
      </c>
      <c r="N229" s="6" t="s">
        <v>29</v>
      </c>
      <c r="O229" s="6" t="s">
        <v>30</v>
      </c>
      <c r="P229" s="6" t="s">
        <v>18</v>
      </c>
      <c r="Q229" s="6" t="s">
        <v>19</v>
      </c>
      <c r="R229" s="6" t="s">
        <v>20</v>
      </c>
      <c r="S229" s="6" t="s">
        <v>21</v>
      </c>
      <c r="T229" s="6" t="s">
        <v>22</v>
      </c>
      <c r="U229" s="6" t="s">
        <v>23</v>
      </c>
      <c r="V229" s="6" t="s">
        <v>24</v>
      </c>
      <c r="W229" s="6" t="s">
        <v>25</v>
      </c>
      <c r="X229" s="6" t="s">
        <v>26</v>
      </c>
      <c r="Y229" s="6" t="s">
        <v>27</v>
      </c>
      <c r="Z229" s="6" t="s">
        <v>28</v>
      </c>
      <c r="AA229" s="6" t="s">
        <v>29</v>
      </c>
      <c r="AB229" s="6" t="s">
        <v>31</v>
      </c>
      <c r="AC229" s="6" t="s">
        <v>18</v>
      </c>
      <c r="AD229" s="6" t="s">
        <v>19</v>
      </c>
      <c r="AE229" s="6" t="s">
        <v>20</v>
      </c>
      <c r="AF229" s="6" t="s">
        <v>21</v>
      </c>
      <c r="AG229" s="6" t="s">
        <v>22</v>
      </c>
      <c r="AH229" s="6" t="s">
        <v>23</v>
      </c>
      <c r="AI229" s="6" t="s">
        <v>24</v>
      </c>
      <c r="AJ229" s="6" t="s">
        <v>25</v>
      </c>
      <c r="AK229" s="6" t="s">
        <v>26</v>
      </c>
      <c r="AL229" s="6" t="s">
        <v>27</v>
      </c>
      <c r="AM229" s="6" t="s">
        <v>28</v>
      </c>
      <c r="AN229" s="6" t="s">
        <v>29</v>
      </c>
      <c r="AO229" s="6" t="s">
        <v>32</v>
      </c>
      <c r="AP229" s="6" t="s">
        <v>18</v>
      </c>
      <c r="AQ229" s="6" t="s">
        <v>19</v>
      </c>
      <c r="AR229" s="6" t="s">
        <v>20</v>
      </c>
      <c r="AS229" s="6" t="s">
        <v>21</v>
      </c>
      <c r="AT229" s="6" t="s">
        <v>22</v>
      </c>
      <c r="AU229" s="6" t="s">
        <v>23</v>
      </c>
      <c r="AV229" s="6" t="s">
        <v>24</v>
      </c>
      <c r="AW229" s="6" t="s">
        <v>25</v>
      </c>
      <c r="AX229" s="6" t="s">
        <v>26</v>
      </c>
      <c r="AY229" s="6" t="s">
        <v>27</v>
      </c>
      <c r="AZ229" s="6" t="s">
        <v>28</v>
      </c>
      <c r="BA229" s="6" t="s">
        <v>29</v>
      </c>
      <c r="BB229" s="6" t="s">
        <v>33</v>
      </c>
      <c r="BC229" s="6" t="s">
        <v>18</v>
      </c>
      <c r="BD229" s="6" t="s">
        <v>19</v>
      </c>
      <c r="BE229" s="6" t="s">
        <v>20</v>
      </c>
      <c r="BF229" s="6" t="s">
        <v>21</v>
      </c>
      <c r="BG229" s="6" t="s">
        <v>22</v>
      </c>
      <c r="BH229" s="6" t="s">
        <v>23</v>
      </c>
      <c r="BI229" s="6" t="s">
        <v>24</v>
      </c>
      <c r="BJ229" s="6" t="s">
        <v>25</v>
      </c>
      <c r="BK229" s="6" t="s">
        <v>26</v>
      </c>
      <c r="BL229" s="6" t="s">
        <v>27</v>
      </c>
      <c r="BM229" s="6" t="s">
        <v>28</v>
      </c>
      <c r="BN229" s="6" t="s">
        <v>29</v>
      </c>
      <c r="BO229" s="6" t="s">
        <v>34</v>
      </c>
      <c r="BP229" s="6" t="s">
        <v>18</v>
      </c>
      <c r="BQ229" s="6" t="s">
        <v>19</v>
      </c>
      <c r="BR229" s="6" t="s">
        <v>20</v>
      </c>
      <c r="BS229" s="6" t="s">
        <v>21</v>
      </c>
      <c r="BT229" s="6" t="s">
        <v>22</v>
      </c>
      <c r="BU229" s="6" t="s">
        <v>23</v>
      </c>
      <c r="BV229" s="6" t="s">
        <v>24</v>
      </c>
      <c r="BW229" s="6" t="s">
        <v>25</v>
      </c>
      <c r="BX229" s="6" t="s">
        <v>26</v>
      </c>
      <c r="BY229" s="6" t="s">
        <v>27</v>
      </c>
      <c r="BZ229" s="6" t="s">
        <v>28</v>
      </c>
      <c r="CA229" s="6" t="s">
        <v>29</v>
      </c>
      <c r="CB229" s="6" t="s">
        <v>35</v>
      </c>
      <c r="CC229" s="6" t="s">
        <v>18</v>
      </c>
      <c r="CD229" s="6" t="s">
        <v>19</v>
      </c>
      <c r="CE229" s="6" t="s">
        <v>20</v>
      </c>
      <c r="CF229" s="6" t="s">
        <v>21</v>
      </c>
      <c r="CG229" s="6" t="s">
        <v>22</v>
      </c>
      <c r="CH229" s="6" t="s">
        <v>23</v>
      </c>
      <c r="CI229" s="6" t="s">
        <v>24</v>
      </c>
      <c r="CJ229" s="6" t="s">
        <v>25</v>
      </c>
      <c r="CK229" s="6" t="s">
        <v>26</v>
      </c>
      <c r="CL229" s="6" t="s">
        <v>27</v>
      </c>
      <c r="CM229" s="6" t="s">
        <v>28</v>
      </c>
      <c r="CN229" s="6" t="s">
        <v>29</v>
      </c>
      <c r="CO229" s="6" t="s">
        <v>36</v>
      </c>
      <c r="CP229" s="6" t="s">
        <v>18</v>
      </c>
      <c r="CQ229" s="6" t="s">
        <v>19</v>
      </c>
      <c r="CR229" s="6" t="s">
        <v>20</v>
      </c>
      <c r="CS229" s="6" t="s">
        <v>21</v>
      </c>
      <c r="CT229" s="6" t="s">
        <v>22</v>
      </c>
      <c r="CU229" s="6" t="s">
        <v>23</v>
      </c>
      <c r="CV229" s="6" t="s">
        <v>24</v>
      </c>
      <c r="CW229" s="6" t="s">
        <v>25</v>
      </c>
      <c r="CX229" s="6" t="s">
        <v>26</v>
      </c>
      <c r="CY229" s="6" t="s">
        <v>27</v>
      </c>
      <c r="CZ229" s="6" t="s">
        <v>28</v>
      </c>
      <c r="DA229" s="6" t="s">
        <v>29</v>
      </c>
      <c r="DB229" s="6" t="s">
        <v>37</v>
      </c>
      <c r="DC229" s="6" t="s">
        <v>18</v>
      </c>
      <c r="DD229" s="6" t="s">
        <v>19</v>
      </c>
      <c r="DE229" s="6" t="s">
        <v>20</v>
      </c>
      <c r="DF229" s="6" t="s">
        <v>21</v>
      </c>
      <c r="DG229" s="6" t="s">
        <v>22</v>
      </c>
      <c r="DH229" s="6" t="s">
        <v>23</v>
      </c>
      <c r="DI229" s="6" t="s">
        <v>24</v>
      </c>
      <c r="DJ229" s="6" t="s">
        <v>25</v>
      </c>
      <c r="DK229" s="6" t="s">
        <v>26</v>
      </c>
      <c r="DL229" s="6" t="s">
        <v>27</v>
      </c>
      <c r="DM229" s="6" t="s">
        <v>28</v>
      </c>
      <c r="DN229" s="6" t="s">
        <v>29</v>
      </c>
      <c r="DO229" s="6" t="s">
        <v>38</v>
      </c>
      <c r="DP229" s="6" t="s">
        <v>18</v>
      </c>
      <c r="DQ229" s="6" t="s">
        <v>19</v>
      </c>
      <c r="DR229" s="6" t="s">
        <v>20</v>
      </c>
      <c r="DS229" s="6" t="s">
        <v>21</v>
      </c>
      <c r="DT229" s="6" t="s">
        <v>22</v>
      </c>
      <c r="DU229" s="6" t="s">
        <v>23</v>
      </c>
      <c r="DV229" s="6" t="s">
        <v>24</v>
      </c>
      <c r="DW229" s="6" t="s">
        <v>25</v>
      </c>
      <c r="DX229" s="6" t="s">
        <v>26</v>
      </c>
      <c r="DY229" s="6" t="s">
        <v>27</v>
      </c>
      <c r="DZ229" s="6" t="s">
        <v>28</v>
      </c>
      <c r="EA229" s="6" t="s">
        <v>29</v>
      </c>
      <c r="EB229" s="6" t="s">
        <v>39</v>
      </c>
      <c r="EC229" s="6" t="s">
        <v>18</v>
      </c>
      <c r="ED229" s="6" t="s">
        <v>19</v>
      </c>
      <c r="EE229" s="6" t="s">
        <v>20</v>
      </c>
      <c r="EF229" s="6" t="s">
        <v>21</v>
      </c>
      <c r="EG229" s="6" t="s">
        <v>22</v>
      </c>
      <c r="EH229" s="6" t="s">
        <v>23</v>
      </c>
      <c r="EI229" s="6" t="s">
        <v>24</v>
      </c>
      <c r="EJ229" s="6" t="s">
        <v>25</v>
      </c>
      <c r="EK229" s="6" t="s">
        <v>26</v>
      </c>
      <c r="EL229" s="6" t="s">
        <v>27</v>
      </c>
      <c r="EM229" s="6" t="s">
        <v>28</v>
      </c>
      <c r="EN229" s="6" t="s">
        <v>29</v>
      </c>
      <c r="EO229" s="6" t="s">
        <v>40</v>
      </c>
      <c r="EP229" s="6" t="s">
        <v>18</v>
      </c>
      <c r="EQ229" s="6" t="s">
        <v>19</v>
      </c>
      <c r="ER229" s="6" t="s">
        <v>20</v>
      </c>
      <c r="ES229" s="6" t="s">
        <v>21</v>
      </c>
      <c r="ET229" s="6" t="s">
        <v>22</v>
      </c>
      <c r="EU229" s="6" t="s">
        <v>23</v>
      </c>
      <c r="EV229" s="6" t="s">
        <v>24</v>
      </c>
      <c r="EW229" s="6" t="s">
        <v>25</v>
      </c>
      <c r="EX229" s="6" t="s">
        <v>26</v>
      </c>
      <c r="EY229" s="6" t="s">
        <v>27</v>
      </c>
      <c r="EZ229" s="6" t="s">
        <v>28</v>
      </c>
      <c r="FA229" s="6" t="s">
        <v>29</v>
      </c>
      <c r="FB229" s="6" t="s">
        <v>41</v>
      </c>
      <c r="FC229" s="6" t="s">
        <v>18</v>
      </c>
      <c r="FD229" s="6" t="s">
        <v>19</v>
      </c>
      <c r="FE229" s="6" t="s">
        <v>20</v>
      </c>
      <c r="FF229" s="6" t="s">
        <v>21</v>
      </c>
      <c r="FG229" s="6" t="s">
        <v>22</v>
      </c>
      <c r="FH229" s="6" t="s">
        <v>23</v>
      </c>
      <c r="FI229" s="6" t="s">
        <v>24</v>
      </c>
      <c r="FJ229" s="6" t="s">
        <v>25</v>
      </c>
      <c r="FK229" s="6" t="s">
        <v>26</v>
      </c>
      <c r="FL229" s="6" t="s">
        <v>27</v>
      </c>
      <c r="FM229" s="6" t="s">
        <v>28</v>
      </c>
      <c r="FN229" s="6" t="s">
        <v>29</v>
      </c>
      <c r="FO229" s="6" t="s">
        <v>42</v>
      </c>
    </row>
    <row r="230" spans="2:171" ht="14.25" customHeight="1" x14ac:dyDescent="0.3">
      <c r="B230" s="7" t="s">
        <v>43</v>
      </c>
      <c r="C230" s="8">
        <f>+MINVU_Mes_Corriente!C230*SALUD_Mes_Constante!$C$1</f>
        <v>0</v>
      </c>
      <c r="D230" s="8">
        <f>+MINVU_Mes_Corriente!D230*SALUD_Mes_Constante!$C$1</f>
        <v>0</v>
      </c>
      <c r="E230" s="8">
        <f>+MINVU_Mes_Corriente!E230*SALUD_Mes_Constante!$C$1</f>
        <v>0</v>
      </c>
      <c r="F230" s="8">
        <f>+MINVU_Mes_Corriente!F230*SALUD_Mes_Constante!$C$1</f>
        <v>0</v>
      </c>
      <c r="G230" s="8">
        <f>+MINVU_Mes_Corriente!G230*SALUD_Mes_Constante!$C$1</f>
        <v>0</v>
      </c>
      <c r="H230" s="8">
        <f>+MINVU_Mes_Corriente!H230*SALUD_Mes_Constante!$C$1</f>
        <v>0</v>
      </c>
      <c r="I230" s="8">
        <f>+MINVU_Mes_Corriente!I230*SALUD_Mes_Constante!$C$1</f>
        <v>0</v>
      </c>
      <c r="J230" s="8">
        <f>+MINVU_Mes_Corriente!J230*SALUD_Mes_Constante!$C$1</f>
        <v>0</v>
      </c>
      <c r="K230" s="8">
        <f>+MINVU_Mes_Corriente!K230*SALUD_Mes_Constante!$C$1</f>
        <v>0</v>
      </c>
      <c r="L230" s="8">
        <f>+MINVU_Mes_Corriente!L230*SALUD_Mes_Constante!$C$1</f>
        <v>0</v>
      </c>
      <c r="M230" s="8">
        <f>+MINVU_Mes_Corriente!M230*SALUD_Mes_Constante!$C$1</f>
        <v>0</v>
      </c>
      <c r="N230" s="8">
        <f>+MINVU_Mes_Corriente!N230*SALUD_Mes_Constante!$C$1</f>
        <v>0</v>
      </c>
      <c r="O230" s="9">
        <f t="shared" ref="O230:O261" si="114">N230</f>
        <v>0</v>
      </c>
      <c r="P230" s="8">
        <f>+MINVU_Mes_Corriente!P230*SALUD_Mes_Constante!$P$1</f>
        <v>0</v>
      </c>
      <c r="Q230" s="8">
        <f>+MINVU_Mes_Corriente!Q230*SALUD_Mes_Constante!$P$1</f>
        <v>0</v>
      </c>
      <c r="R230" s="8">
        <f>+MINVU_Mes_Corriente!R230*SALUD_Mes_Constante!$P$1</f>
        <v>0</v>
      </c>
      <c r="S230" s="8">
        <f>+MINVU_Mes_Corriente!S230*SALUD_Mes_Constante!$P$1</f>
        <v>0</v>
      </c>
      <c r="T230" s="8">
        <f>+MINVU_Mes_Corriente!T230*SALUD_Mes_Constante!$P$1</f>
        <v>0</v>
      </c>
      <c r="U230" s="8">
        <f>+MINVU_Mes_Corriente!U230*SALUD_Mes_Constante!$P$1</f>
        <v>0</v>
      </c>
      <c r="V230" s="8">
        <f>+MINVU_Mes_Corriente!V230*SALUD_Mes_Constante!$P$1</f>
        <v>0</v>
      </c>
      <c r="W230" s="8">
        <f>+MINVU_Mes_Corriente!W230*SALUD_Mes_Constante!$P$1</f>
        <v>0</v>
      </c>
      <c r="X230" s="8">
        <f>+MINVU_Mes_Corriente!X230*SALUD_Mes_Constante!$P$1</f>
        <v>0</v>
      </c>
      <c r="Y230" s="8">
        <f>+MINVU_Mes_Corriente!Y230*SALUD_Mes_Constante!$P$1</f>
        <v>0</v>
      </c>
      <c r="Z230" s="8">
        <f>+MINVU_Mes_Corriente!Z230*SALUD_Mes_Constante!$P$1</f>
        <v>0</v>
      </c>
      <c r="AA230" s="8">
        <f>+MINVU_Mes_Corriente!AA230*SALUD_Mes_Constante!$P$1</f>
        <v>0</v>
      </c>
      <c r="AB230" s="9">
        <f t="shared" ref="AB230:AB261" si="115">AA230</f>
        <v>0</v>
      </c>
      <c r="AC230" s="8">
        <f>+MINVU_Mes_Corriente!AC230*SALUD_Mes_Constante!$AC$1</f>
        <v>0</v>
      </c>
      <c r="AD230" s="8">
        <f>+MINVU_Mes_Corriente!AD230*SALUD_Mes_Constante!$AC$1</f>
        <v>0</v>
      </c>
      <c r="AE230" s="8">
        <f>+MINVU_Mes_Corriente!AE230*SALUD_Mes_Constante!$AC$1</f>
        <v>0</v>
      </c>
      <c r="AF230" s="8">
        <f>+MINVU_Mes_Corriente!AF230*SALUD_Mes_Constante!$AC$1</f>
        <v>0</v>
      </c>
      <c r="AG230" s="8">
        <f>+MINVU_Mes_Corriente!AG230*SALUD_Mes_Constante!$AC$1</f>
        <v>0</v>
      </c>
      <c r="AH230" s="8">
        <f>+MINVU_Mes_Corriente!AH230*SALUD_Mes_Constante!$AC$1</f>
        <v>0</v>
      </c>
      <c r="AI230" s="8">
        <f>+MINVU_Mes_Corriente!AI230*SALUD_Mes_Constante!$AC$1</f>
        <v>0</v>
      </c>
      <c r="AJ230" s="8">
        <f>+MINVU_Mes_Corriente!AJ230*SALUD_Mes_Constante!$AC$1</f>
        <v>0</v>
      </c>
      <c r="AK230" s="8">
        <f>+MINVU_Mes_Corriente!AK230*SALUD_Mes_Constante!$AC$1</f>
        <v>0</v>
      </c>
      <c r="AL230" s="8">
        <f>+MINVU_Mes_Corriente!AL230*SALUD_Mes_Constante!$AC$1</f>
        <v>0</v>
      </c>
      <c r="AM230" s="8">
        <f>+MINVU_Mes_Corriente!AM230*SALUD_Mes_Constante!$AC$1</f>
        <v>0</v>
      </c>
      <c r="AN230" s="8">
        <f>+MINVU_Mes_Corriente!AN230*SALUD_Mes_Constante!$AC$1</f>
        <v>0</v>
      </c>
      <c r="AO230" s="9">
        <f t="shared" ref="AO230:AO261" si="116">AN230</f>
        <v>0</v>
      </c>
      <c r="AP230" s="8">
        <f>+MINVU_Mes_Corriente!AP230*SALUD_Mes_Constante!$AP$1</f>
        <v>0</v>
      </c>
      <c r="AQ230" s="8">
        <f>+MINVU_Mes_Corriente!AQ230*SALUD_Mes_Constante!$AP$1</f>
        <v>0</v>
      </c>
      <c r="AR230" s="8">
        <f>+MINVU_Mes_Corriente!AR230*SALUD_Mes_Constante!$AP$1</f>
        <v>0</v>
      </c>
      <c r="AS230" s="8">
        <f>+MINVU_Mes_Corriente!AS230*SALUD_Mes_Constante!$AP$1</f>
        <v>0</v>
      </c>
      <c r="AT230" s="8">
        <f>+MINVU_Mes_Corriente!AT230*SALUD_Mes_Constante!$AP$1</f>
        <v>0</v>
      </c>
      <c r="AU230" s="8">
        <f>+MINVU_Mes_Corriente!AU230*SALUD_Mes_Constante!$AP$1</f>
        <v>0</v>
      </c>
      <c r="AV230" s="8">
        <f>+MINVU_Mes_Corriente!AV230*SALUD_Mes_Constante!$AP$1</f>
        <v>0</v>
      </c>
      <c r="AW230" s="8">
        <f>+MINVU_Mes_Corriente!AW230*SALUD_Mes_Constante!$AP$1</f>
        <v>0</v>
      </c>
      <c r="AX230" s="8">
        <f>+MINVU_Mes_Corriente!AX230*SALUD_Mes_Constante!$AP$1</f>
        <v>0</v>
      </c>
      <c r="AY230" s="8">
        <f>+MINVU_Mes_Corriente!AY230*SALUD_Mes_Constante!$AP$1</f>
        <v>0</v>
      </c>
      <c r="AZ230" s="8">
        <f>+MINVU_Mes_Corriente!AZ230*SALUD_Mes_Constante!$AP$1</f>
        <v>0</v>
      </c>
      <c r="BA230" s="8">
        <f>+MINVU_Mes_Corriente!BA230*SALUD_Mes_Constante!$AP$1</f>
        <v>0</v>
      </c>
      <c r="BB230" s="9">
        <f t="shared" ref="BB230:BB261" si="117">BA230</f>
        <v>0</v>
      </c>
      <c r="BC230" s="8">
        <f>+MINVU_Mes_Corriente!BC230*SALUD_Mes_Constante!$BC$1</f>
        <v>0</v>
      </c>
      <c r="BD230" s="8">
        <f>+MINVU_Mes_Corriente!BD230*SALUD_Mes_Constante!$BC$1</f>
        <v>0</v>
      </c>
      <c r="BE230" s="8">
        <f>+MINVU_Mes_Corriente!BE230*SALUD_Mes_Constante!$BC$1</f>
        <v>0</v>
      </c>
      <c r="BF230" s="8">
        <f>+MINVU_Mes_Corriente!BF230*SALUD_Mes_Constante!$BC$1</f>
        <v>0</v>
      </c>
      <c r="BG230" s="8">
        <f>+MINVU_Mes_Corriente!BG230*SALUD_Mes_Constante!$BC$1</f>
        <v>0</v>
      </c>
      <c r="BH230" s="8">
        <f>+MINVU_Mes_Corriente!BH230*SALUD_Mes_Constante!$BC$1</f>
        <v>0</v>
      </c>
      <c r="BI230" s="8">
        <f>+MINVU_Mes_Corriente!BI230*SALUD_Mes_Constante!$BC$1</f>
        <v>0</v>
      </c>
      <c r="BJ230" s="8">
        <f>+MINVU_Mes_Corriente!BJ230*SALUD_Mes_Constante!$BC$1</f>
        <v>0</v>
      </c>
      <c r="BK230" s="8">
        <f>+MINVU_Mes_Corriente!BK230*SALUD_Mes_Constante!$BC$1</f>
        <v>0</v>
      </c>
      <c r="BL230" s="8">
        <f>+MINVU_Mes_Corriente!BL230*SALUD_Mes_Constante!$BC$1</f>
        <v>0</v>
      </c>
      <c r="BM230" s="8">
        <f>+MINVU_Mes_Corriente!BM230*SALUD_Mes_Constante!$BC$1</f>
        <v>0</v>
      </c>
      <c r="BN230" s="8">
        <f>+MINVU_Mes_Corriente!BN230*SALUD_Mes_Constante!$BC$1</f>
        <v>0</v>
      </c>
      <c r="BO230" s="9">
        <f t="shared" ref="BO230:BO261" si="118">BN230</f>
        <v>0</v>
      </c>
      <c r="BP230" s="8">
        <f>+MINVU_Mes_Corriente!BP230*SALUD_Mes_Constante!$BP$1</f>
        <v>0</v>
      </c>
      <c r="BQ230" s="8">
        <f>+MINVU_Mes_Corriente!BQ230*SALUD_Mes_Constante!$BP$1</f>
        <v>0</v>
      </c>
      <c r="BR230" s="8">
        <f>+MINVU_Mes_Corriente!BR230*SALUD_Mes_Constante!$BP$1</f>
        <v>0</v>
      </c>
      <c r="BS230" s="8">
        <f>+MINVU_Mes_Corriente!BS230*SALUD_Mes_Constante!$BP$1</f>
        <v>0</v>
      </c>
      <c r="BT230" s="8">
        <f>+MINVU_Mes_Corriente!BT230*SALUD_Mes_Constante!$BP$1</f>
        <v>0</v>
      </c>
      <c r="BU230" s="8">
        <f>+MINVU_Mes_Corriente!BU230*SALUD_Mes_Constante!$BP$1</f>
        <v>0</v>
      </c>
      <c r="BV230" s="8">
        <f>+MINVU_Mes_Corriente!BV230*SALUD_Mes_Constante!$BP$1</f>
        <v>0</v>
      </c>
      <c r="BW230" s="8">
        <f>+MINVU_Mes_Corriente!BW230*SALUD_Mes_Constante!$BP$1</f>
        <v>0</v>
      </c>
      <c r="BX230" s="8">
        <f>+MINVU_Mes_Corriente!BX230*SALUD_Mes_Constante!$BP$1</f>
        <v>0</v>
      </c>
      <c r="BY230" s="8">
        <f>+MINVU_Mes_Corriente!BY230*SALUD_Mes_Constante!$BP$1</f>
        <v>0</v>
      </c>
      <c r="BZ230" s="8">
        <f>+MINVU_Mes_Corriente!BZ230*SALUD_Mes_Constante!$BP$1</f>
        <v>0</v>
      </c>
      <c r="CA230" s="8">
        <f>+MINVU_Mes_Corriente!CA230*SALUD_Mes_Constante!$BP$1</f>
        <v>0</v>
      </c>
      <c r="CB230" s="9">
        <f t="shared" ref="CB230:CB261" si="119">CA230</f>
        <v>0</v>
      </c>
      <c r="CC230" s="8">
        <f>+MINVU_Mes_Corriente!CC230*SALUD_Mes_Constante!$CC$1</f>
        <v>0</v>
      </c>
      <c r="CD230" s="8">
        <f>+MINVU_Mes_Corriente!CD230*SALUD_Mes_Constante!$CC$1</f>
        <v>0</v>
      </c>
      <c r="CE230" s="8">
        <f>+MINVU_Mes_Corriente!CE230*SALUD_Mes_Constante!$CC$1</f>
        <v>0</v>
      </c>
      <c r="CF230" s="8">
        <f>+MINVU_Mes_Corriente!CF230*SALUD_Mes_Constante!$CC$1</f>
        <v>0</v>
      </c>
      <c r="CG230" s="8">
        <f>+MINVU_Mes_Corriente!CG230*SALUD_Mes_Constante!$CC$1</f>
        <v>0</v>
      </c>
      <c r="CH230" s="8">
        <f>+MINVU_Mes_Corriente!CH230*SALUD_Mes_Constante!$CC$1</f>
        <v>0</v>
      </c>
      <c r="CI230" s="8">
        <f>+MINVU_Mes_Corriente!CI230*SALUD_Mes_Constante!$CC$1</f>
        <v>0</v>
      </c>
      <c r="CJ230" s="8">
        <f>+MINVU_Mes_Corriente!CJ230*SALUD_Mes_Constante!$CC$1</f>
        <v>0</v>
      </c>
      <c r="CK230" s="8">
        <f>+MINVU_Mes_Corriente!CK230*SALUD_Mes_Constante!$CC$1</f>
        <v>0</v>
      </c>
      <c r="CL230" s="8">
        <f>+MINVU_Mes_Corriente!CL230*SALUD_Mes_Constante!$CC$1</f>
        <v>0</v>
      </c>
      <c r="CM230" s="8">
        <f>+MINVU_Mes_Corriente!CM230*SALUD_Mes_Constante!$CC$1</f>
        <v>0</v>
      </c>
      <c r="CN230" s="8">
        <f>+MINVU_Mes_Corriente!CN230*SALUD_Mes_Constante!$CC$1</f>
        <v>0</v>
      </c>
      <c r="CO230" s="9">
        <f t="shared" ref="CO230:CO261" si="120">CN230</f>
        <v>0</v>
      </c>
      <c r="CP230" s="8">
        <f>+MINVU_Mes_Corriente!CP230*SALUD_Mes_Constante!$CP$1</f>
        <v>0</v>
      </c>
      <c r="CQ230" s="8">
        <f>+MINVU_Mes_Corriente!CQ230*SALUD_Mes_Constante!$CP$1</f>
        <v>0</v>
      </c>
      <c r="CR230" s="8">
        <f>+MINVU_Mes_Corriente!CR230*SALUD_Mes_Constante!$CP$1</f>
        <v>0</v>
      </c>
      <c r="CS230" s="8">
        <f>+MINVU_Mes_Corriente!CS230*SALUD_Mes_Constante!$CP$1</f>
        <v>0</v>
      </c>
      <c r="CT230" s="8">
        <f>+MINVU_Mes_Corriente!CT230*SALUD_Mes_Constante!$CP$1</f>
        <v>0</v>
      </c>
      <c r="CU230" s="8">
        <f>+MINVU_Mes_Corriente!CU230*SALUD_Mes_Constante!$CP$1</f>
        <v>0</v>
      </c>
      <c r="CV230" s="8">
        <f>+MINVU_Mes_Corriente!CV230*SALUD_Mes_Constante!$CP$1</f>
        <v>0</v>
      </c>
      <c r="CW230" s="8">
        <f>+MINVU_Mes_Corriente!CW230*SALUD_Mes_Constante!$CP$1</f>
        <v>0</v>
      </c>
      <c r="CX230" s="8">
        <f>+MINVU_Mes_Corriente!CX230*SALUD_Mes_Constante!$CP$1</f>
        <v>0</v>
      </c>
      <c r="CY230" s="8">
        <f>+MINVU_Mes_Corriente!CY230*SALUD_Mes_Constante!$CP$1</f>
        <v>0</v>
      </c>
      <c r="CZ230" s="8">
        <f>+MINVU_Mes_Corriente!CZ230*SALUD_Mes_Constante!$CP$1</f>
        <v>0</v>
      </c>
      <c r="DA230" s="8">
        <f>+MINVU_Mes_Corriente!DA230*SALUD_Mes_Constante!$CP$1</f>
        <v>0</v>
      </c>
      <c r="DB230" s="9">
        <f t="shared" ref="DB230:DB261" si="121">DA230</f>
        <v>0</v>
      </c>
      <c r="DC230" s="8">
        <f>+MINVU_Mes_Corriente!DC230*SALUD_Mes_Constante!$DC$1</f>
        <v>0</v>
      </c>
      <c r="DD230" s="8">
        <f>+MINVU_Mes_Corriente!DD230*SALUD_Mes_Constante!$DC$1</f>
        <v>0</v>
      </c>
      <c r="DE230" s="8">
        <f>+MINVU_Mes_Corriente!DE230*SALUD_Mes_Constante!$DC$1</f>
        <v>0</v>
      </c>
      <c r="DF230" s="8">
        <f>+MINVU_Mes_Corriente!DF230*SALUD_Mes_Constante!$DC$1</f>
        <v>0</v>
      </c>
      <c r="DG230" s="8">
        <f>+MINVU_Mes_Corriente!DG230*SALUD_Mes_Constante!$DC$1</f>
        <v>0</v>
      </c>
      <c r="DH230" s="8">
        <f>+MINVU_Mes_Corriente!DH230*SALUD_Mes_Constante!$DC$1</f>
        <v>0</v>
      </c>
      <c r="DI230" s="8">
        <f>+MINVU_Mes_Corriente!DI230*SALUD_Mes_Constante!$DC$1</f>
        <v>0</v>
      </c>
      <c r="DJ230" s="8">
        <f>+MINVU_Mes_Corriente!DJ230*SALUD_Mes_Constante!$DC$1</f>
        <v>0</v>
      </c>
      <c r="DK230" s="8">
        <f>+MINVU_Mes_Corriente!DK230*SALUD_Mes_Constante!$DC$1</f>
        <v>0</v>
      </c>
      <c r="DL230" s="8">
        <f>+MINVU_Mes_Corriente!DL230*SALUD_Mes_Constante!$DC$1</f>
        <v>0</v>
      </c>
      <c r="DM230" s="8">
        <f>+MINVU_Mes_Corriente!DM230*SALUD_Mes_Constante!$DC$1</f>
        <v>0</v>
      </c>
      <c r="DN230" s="8">
        <f>+MINVU_Mes_Corriente!DN230*SALUD_Mes_Constante!$DC$1</f>
        <v>0</v>
      </c>
      <c r="DO230" s="9">
        <f t="shared" ref="DO230:DO261" si="122">DN230</f>
        <v>0</v>
      </c>
      <c r="DP230" s="8">
        <f>+MINVU_Mes_Corriente!DP230*SALUD_Mes_Constante!$DP$1</f>
        <v>0</v>
      </c>
      <c r="DQ230" s="8">
        <f>+MINVU_Mes_Corriente!DQ230*SALUD_Mes_Constante!$DP$1</f>
        <v>0</v>
      </c>
      <c r="DR230" s="8">
        <f>+MINVU_Mes_Corriente!DR230*SALUD_Mes_Constante!$DP$1</f>
        <v>0</v>
      </c>
      <c r="DS230" s="8">
        <f>+MINVU_Mes_Corriente!DS230*SALUD_Mes_Constante!$DP$1</f>
        <v>0</v>
      </c>
      <c r="DT230" s="8">
        <f>+MINVU_Mes_Corriente!DT230*SALUD_Mes_Constante!$DP$1</f>
        <v>0</v>
      </c>
      <c r="DU230" s="8">
        <f>+MINVU_Mes_Corriente!DU230*SALUD_Mes_Constante!$DP$1</f>
        <v>0</v>
      </c>
      <c r="DV230" s="8">
        <f>+MINVU_Mes_Corriente!DV230*SALUD_Mes_Constante!$DP$1</f>
        <v>0</v>
      </c>
      <c r="DW230" s="8">
        <f>+MINVU_Mes_Corriente!DW230*SALUD_Mes_Constante!$DP$1</f>
        <v>0</v>
      </c>
      <c r="DX230" s="8">
        <f>+MINVU_Mes_Corriente!DX230*SALUD_Mes_Constante!$DP$1</f>
        <v>0</v>
      </c>
      <c r="DY230" s="8">
        <f>+MINVU_Mes_Corriente!DY230*SALUD_Mes_Constante!$DP$1</f>
        <v>0</v>
      </c>
      <c r="DZ230" s="8">
        <f>+MINVU_Mes_Corriente!DZ230*SALUD_Mes_Constante!$DP$1</f>
        <v>0</v>
      </c>
      <c r="EA230" s="8">
        <f>+MINVU_Mes_Corriente!EA230*SALUD_Mes_Constante!$DP$1</f>
        <v>0</v>
      </c>
      <c r="EB230" s="9">
        <f t="shared" ref="EB230:EB261" si="123">EA230</f>
        <v>0</v>
      </c>
      <c r="EC230" s="8">
        <f>+MINVU_Mes_Corriente!EC230*SALUD_Mes_Constante!$EC$1</f>
        <v>0</v>
      </c>
      <c r="ED230" s="8">
        <f>+MINVU_Mes_Corriente!ED230*SALUD_Mes_Constante!$EC$1</f>
        <v>0</v>
      </c>
      <c r="EE230" s="8">
        <f>+MINVU_Mes_Corriente!EE230*SALUD_Mes_Constante!$EC$1</f>
        <v>0</v>
      </c>
      <c r="EF230" s="8">
        <f>+MINVU_Mes_Corriente!EF230*SALUD_Mes_Constante!$EC$1</f>
        <v>0</v>
      </c>
      <c r="EG230" s="8">
        <f>+MINVU_Mes_Corriente!EG230*SALUD_Mes_Constante!$EC$1</f>
        <v>0</v>
      </c>
      <c r="EH230" s="8">
        <f>+MINVU_Mes_Corriente!EH230*SALUD_Mes_Constante!$EC$1</f>
        <v>0</v>
      </c>
      <c r="EI230" s="8">
        <f>+MINVU_Mes_Corriente!EI230*SALUD_Mes_Constante!$EC$1</f>
        <v>0</v>
      </c>
      <c r="EJ230" s="8">
        <f>+MINVU_Mes_Corriente!EJ230*SALUD_Mes_Constante!$EC$1</f>
        <v>0</v>
      </c>
      <c r="EK230" s="8">
        <f>+MINVU_Mes_Corriente!EK230*SALUD_Mes_Constante!$EC$1</f>
        <v>0</v>
      </c>
      <c r="EL230" s="8">
        <f>+MINVU_Mes_Corriente!EL230*SALUD_Mes_Constante!$EC$1</f>
        <v>0</v>
      </c>
      <c r="EM230" s="8">
        <f>+MINVU_Mes_Corriente!EM230*SALUD_Mes_Constante!$EC$1</f>
        <v>0</v>
      </c>
      <c r="EN230" s="8">
        <f>+MINVU_Mes_Corriente!EN230*SALUD_Mes_Constante!$EC$1</f>
        <v>0</v>
      </c>
      <c r="EO230" s="9">
        <f t="shared" ref="EO230:EO261" si="124">EN230</f>
        <v>0</v>
      </c>
      <c r="EP230" s="8">
        <f>+MINVU_Mes_Corriente!EP230*SALUD_Mes_Constante!$EP$1</f>
        <v>0</v>
      </c>
      <c r="EQ230" s="8">
        <f>+MINVU_Mes_Corriente!EQ230*SALUD_Mes_Constante!$EP$1</f>
        <v>0</v>
      </c>
      <c r="ER230" s="8">
        <f>+MINVU_Mes_Corriente!ER230*SALUD_Mes_Constante!$EP$1</f>
        <v>0</v>
      </c>
      <c r="ES230" s="8">
        <f>+MINVU_Mes_Corriente!ES230*SALUD_Mes_Constante!$EP$1</f>
        <v>0</v>
      </c>
      <c r="ET230" s="8">
        <f>+MINVU_Mes_Corriente!ET230*SALUD_Mes_Constante!$EP$1</f>
        <v>0</v>
      </c>
      <c r="EU230" s="8">
        <f>+MINVU_Mes_Corriente!EU230*SALUD_Mes_Constante!$EP$1</f>
        <v>0</v>
      </c>
      <c r="EV230" s="8">
        <f>+MINVU_Mes_Corriente!EV230*SALUD_Mes_Constante!$EP$1</f>
        <v>0</v>
      </c>
      <c r="EW230" s="8">
        <f>+MINVU_Mes_Corriente!EW230*SALUD_Mes_Constante!$EP$1</f>
        <v>0</v>
      </c>
      <c r="EX230" s="8">
        <f>+MINVU_Mes_Corriente!EX230*SALUD_Mes_Constante!$EP$1</f>
        <v>0</v>
      </c>
      <c r="EY230" s="8">
        <f>+MINVU_Mes_Corriente!EY230*SALUD_Mes_Constante!$EP$1</f>
        <v>0</v>
      </c>
      <c r="EZ230" s="8">
        <f>+MINVU_Mes_Corriente!EZ230*SALUD_Mes_Constante!$EP$1</f>
        <v>0</v>
      </c>
      <c r="FA230" s="8">
        <f>+MINVU_Mes_Corriente!FA230*SALUD_Mes_Constante!$EP$1</f>
        <v>0</v>
      </c>
      <c r="FB230" s="9">
        <f t="shared" ref="FB230:FB261" si="125">FA230</f>
        <v>0</v>
      </c>
      <c r="FC230" s="8">
        <f>+MINVU_Mes_Corriente!FC230*SALUD_Mes_Constante!$FC$1</f>
        <v>0</v>
      </c>
      <c r="FD230" s="8">
        <f>+MINVU_Mes_Corriente!FD230*SALUD_Mes_Constante!$FC$1</f>
        <v>0</v>
      </c>
      <c r="FE230" s="8">
        <f>+MINVU_Mes_Corriente!FE230*SALUD_Mes_Constante!$FC$1</f>
        <v>0</v>
      </c>
      <c r="FF230" s="8">
        <f>+MINVU_Mes_Corriente!FF230*SALUD_Mes_Constante!$FC$1</f>
        <v>0</v>
      </c>
      <c r="FG230" s="8">
        <f>+MINVU_Mes_Corriente!FG230*SALUD_Mes_Constante!$FC$1</f>
        <v>0</v>
      </c>
      <c r="FH230" s="8">
        <f>+MINVU_Mes_Corriente!FH230*SALUD_Mes_Constante!$FC$1</f>
        <v>0</v>
      </c>
      <c r="FI230" s="8">
        <f>+MINVU_Mes_Corriente!FI230*SALUD_Mes_Constante!$FC$1</f>
        <v>0</v>
      </c>
      <c r="FJ230" s="8"/>
      <c r="FK230" s="8"/>
      <c r="FL230" s="8"/>
      <c r="FM230" s="8"/>
      <c r="FN230" s="8"/>
      <c r="FO230" s="9">
        <f t="shared" ref="FO230:FO261" si="126">FI230</f>
        <v>0</v>
      </c>
    </row>
    <row r="231" spans="2:171" ht="14.25" customHeight="1" x14ac:dyDescent="0.3">
      <c r="B231" s="7" t="s">
        <v>44</v>
      </c>
      <c r="C231" s="8">
        <f>+MINVU_Mes_Corriente!C231*SALUD_Mes_Constante!$C$1</f>
        <v>0</v>
      </c>
      <c r="D231" s="8">
        <f>+MINVU_Mes_Corriente!D231*SALUD_Mes_Constante!$C$1</f>
        <v>0</v>
      </c>
      <c r="E231" s="8">
        <f>+MINVU_Mes_Corriente!E231*SALUD_Mes_Constante!$C$1</f>
        <v>0</v>
      </c>
      <c r="F231" s="8">
        <f>+MINVU_Mes_Corriente!F231*SALUD_Mes_Constante!$C$1</f>
        <v>0</v>
      </c>
      <c r="G231" s="8">
        <f>+MINVU_Mes_Corriente!G231*SALUD_Mes_Constante!$C$1</f>
        <v>0</v>
      </c>
      <c r="H231" s="8">
        <f>+MINVU_Mes_Corriente!H231*SALUD_Mes_Constante!$C$1</f>
        <v>0</v>
      </c>
      <c r="I231" s="8">
        <f>+MINVU_Mes_Corriente!I231*SALUD_Mes_Constante!$C$1</f>
        <v>0</v>
      </c>
      <c r="J231" s="8">
        <f>+MINVU_Mes_Corriente!J231*SALUD_Mes_Constante!$C$1</f>
        <v>0</v>
      </c>
      <c r="K231" s="8">
        <f>+MINVU_Mes_Corriente!K231*SALUD_Mes_Constante!$C$1</f>
        <v>0</v>
      </c>
      <c r="L231" s="8">
        <f>+MINVU_Mes_Corriente!L231*SALUD_Mes_Constante!$C$1</f>
        <v>0</v>
      </c>
      <c r="M231" s="8">
        <f>+MINVU_Mes_Corriente!M231*SALUD_Mes_Constante!$C$1</f>
        <v>0</v>
      </c>
      <c r="N231" s="8">
        <f>+MINVU_Mes_Corriente!N231*SALUD_Mes_Constante!$C$1</f>
        <v>0</v>
      </c>
      <c r="O231" s="9">
        <f t="shared" si="114"/>
        <v>0</v>
      </c>
      <c r="P231" s="8">
        <f>+MINVU_Mes_Corriente!P231*SALUD_Mes_Constante!$P$1</f>
        <v>0</v>
      </c>
      <c r="Q231" s="8">
        <f>+MINVU_Mes_Corriente!Q231*SALUD_Mes_Constante!$P$1</f>
        <v>0</v>
      </c>
      <c r="R231" s="8">
        <f>+MINVU_Mes_Corriente!R231*SALUD_Mes_Constante!$P$1</f>
        <v>0</v>
      </c>
      <c r="S231" s="8">
        <f>+MINVU_Mes_Corriente!S231*SALUD_Mes_Constante!$P$1</f>
        <v>0</v>
      </c>
      <c r="T231" s="8">
        <f>+MINVU_Mes_Corriente!T231*SALUD_Mes_Constante!$P$1</f>
        <v>0</v>
      </c>
      <c r="U231" s="8">
        <f>+MINVU_Mes_Corriente!U231*SALUD_Mes_Constante!$P$1</f>
        <v>0</v>
      </c>
      <c r="V231" s="8">
        <f>+MINVU_Mes_Corriente!V231*SALUD_Mes_Constante!$P$1</f>
        <v>0</v>
      </c>
      <c r="W231" s="8">
        <f>+MINVU_Mes_Corriente!W231*SALUD_Mes_Constante!$P$1</f>
        <v>0</v>
      </c>
      <c r="X231" s="8">
        <f>+MINVU_Mes_Corriente!X231*SALUD_Mes_Constante!$P$1</f>
        <v>0</v>
      </c>
      <c r="Y231" s="8">
        <f>+MINVU_Mes_Corriente!Y231*SALUD_Mes_Constante!$P$1</f>
        <v>0</v>
      </c>
      <c r="Z231" s="8">
        <f>+MINVU_Mes_Corriente!Z231*SALUD_Mes_Constante!$P$1</f>
        <v>0</v>
      </c>
      <c r="AA231" s="8">
        <f>+MINVU_Mes_Corriente!AA231*SALUD_Mes_Constante!$P$1</f>
        <v>0</v>
      </c>
      <c r="AB231" s="9">
        <f t="shared" si="115"/>
        <v>0</v>
      </c>
      <c r="AC231" s="8">
        <f>+MINVU_Mes_Corriente!AC231*SALUD_Mes_Constante!$AC$1</f>
        <v>0</v>
      </c>
      <c r="AD231" s="8">
        <f>+MINVU_Mes_Corriente!AD231*SALUD_Mes_Constante!$AC$1</f>
        <v>0</v>
      </c>
      <c r="AE231" s="8">
        <f>+MINVU_Mes_Corriente!AE231*SALUD_Mes_Constante!$AC$1</f>
        <v>0</v>
      </c>
      <c r="AF231" s="8">
        <f>+MINVU_Mes_Corriente!AF231*SALUD_Mes_Constante!$AC$1</f>
        <v>0</v>
      </c>
      <c r="AG231" s="8">
        <f>+MINVU_Mes_Corriente!AG231*SALUD_Mes_Constante!$AC$1</f>
        <v>0</v>
      </c>
      <c r="AH231" s="8">
        <f>+MINVU_Mes_Corriente!AH231*SALUD_Mes_Constante!$AC$1</f>
        <v>0</v>
      </c>
      <c r="AI231" s="8">
        <f>+MINVU_Mes_Corriente!AI231*SALUD_Mes_Constante!$AC$1</f>
        <v>0</v>
      </c>
      <c r="AJ231" s="8">
        <f>+MINVU_Mes_Corriente!AJ231*SALUD_Mes_Constante!$AC$1</f>
        <v>0</v>
      </c>
      <c r="AK231" s="8">
        <f>+MINVU_Mes_Corriente!AK231*SALUD_Mes_Constante!$AC$1</f>
        <v>0</v>
      </c>
      <c r="AL231" s="8">
        <f>+MINVU_Mes_Corriente!AL231*SALUD_Mes_Constante!$AC$1</f>
        <v>0</v>
      </c>
      <c r="AM231" s="8">
        <f>+MINVU_Mes_Corriente!AM231*SALUD_Mes_Constante!$AC$1</f>
        <v>0</v>
      </c>
      <c r="AN231" s="8">
        <f>+MINVU_Mes_Corriente!AN231*SALUD_Mes_Constante!$AC$1</f>
        <v>0</v>
      </c>
      <c r="AO231" s="9">
        <f t="shared" si="116"/>
        <v>0</v>
      </c>
      <c r="AP231" s="8">
        <f>+MINVU_Mes_Corriente!AP231*SALUD_Mes_Constante!$AP$1</f>
        <v>0</v>
      </c>
      <c r="AQ231" s="8">
        <f>+MINVU_Mes_Corriente!AQ231*SALUD_Mes_Constante!$AP$1</f>
        <v>0</v>
      </c>
      <c r="AR231" s="8">
        <f>+MINVU_Mes_Corriente!AR231*SALUD_Mes_Constante!$AP$1</f>
        <v>0</v>
      </c>
      <c r="AS231" s="8">
        <f>+MINVU_Mes_Corriente!AS231*SALUD_Mes_Constante!$AP$1</f>
        <v>0</v>
      </c>
      <c r="AT231" s="8">
        <f>+MINVU_Mes_Corriente!AT231*SALUD_Mes_Constante!$AP$1</f>
        <v>0</v>
      </c>
      <c r="AU231" s="8">
        <f>+MINVU_Mes_Corriente!AU231*SALUD_Mes_Constante!$AP$1</f>
        <v>0</v>
      </c>
      <c r="AV231" s="8">
        <f>+MINVU_Mes_Corriente!AV231*SALUD_Mes_Constante!$AP$1</f>
        <v>0</v>
      </c>
      <c r="AW231" s="8">
        <f>+MINVU_Mes_Corriente!AW231*SALUD_Mes_Constante!$AP$1</f>
        <v>0</v>
      </c>
      <c r="AX231" s="8">
        <f>+MINVU_Mes_Corriente!AX231*SALUD_Mes_Constante!$AP$1</f>
        <v>0</v>
      </c>
      <c r="AY231" s="8">
        <f>+MINVU_Mes_Corriente!AY231*SALUD_Mes_Constante!$AP$1</f>
        <v>0</v>
      </c>
      <c r="AZ231" s="8">
        <f>+MINVU_Mes_Corriente!AZ231*SALUD_Mes_Constante!$AP$1</f>
        <v>0</v>
      </c>
      <c r="BA231" s="8">
        <f>+MINVU_Mes_Corriente!BA231*SALUD_Mes_Constante!$AP$1</f>
        <v>0</v>
      </c>
      <c r="BB231" s="9">
        <f t="shared" si="117"/>
        <v>0</v>
      </c>
      <c r="BC231" s="8">
        <f>+MINVU_Mes_Corriente!BC231*SALUD_Mes_Constante!$BC$1</f>
        <v>0</v>
      </c>
      <c r="BD231" s="8">
        <f>+MINVU_Mes_Corriente!BD231*SALUD_Mes_Constante!$BC$1</f>
        <v>0</v>
      </c>
      <c r="BE231" s="8">
        <f>+MINVU_Mes_Corriente!BE231*SALUD_Mes_Constante!$BC$1</f>
        <v>0</v>
      </c>
      <c r="BF231" s="8">
        <f>+MINVU_Mes_Corriente!BF231*SALUD_Mes_Constante!$BC$1</f>
        <v>0</v>
      </c>
      <c r="BG231" s="8">
        <f>+MINVU_Mes_Corriente!BG231*SALUD_Mes_Constante!$BC$1</f>
        <v>0</v>
      </c>
      <c r="BH231" s="8">
        <f>+MINVU_Mes_Corriente!BH231*SALUD_Mes_Constante!$BC$1</f>
        <v>0</v>
      </c>
      <c r="BI231" s="8">
        <f>+MINVU_Mes_Corriente!BI231*SALUD_Mes_Constante!$BC$1</f>
        <v>0</v>
      </c>
      <c r="BJ231" s="8">
        <f>+MINVU_Mes_Corriente!BJ231*SALUD_Mes_Constante!$BC$1</f>
        <v>0</v>
      </c>
      <c r="BK231" s="8">
        <f>+MINVU_Mes_Corriente!BK231*SALUD_Mes_Constante!$BC$1</f>
        <v>0</v>
      </c>
      <c r="BL231" s="8">
        <f>+MINVU_Mes_Corriente!BL231*SALUD_Mes_Constante!$BC$1</f>
        <v>0</v>
      </c>
      <c r="BM231" s="8">
        <f>+MINVU_Mes_Corriente!BM231*SALUD_Mes_Constante!$BC$1</f>
        <v>0</v>
      </c>
      <c r="BN231" s="8">
        <f>+MINVU_Mes_Corriente!BN231*SALUD_Mes_Constante!$BC$1</f>
        <v>0</v>
      </c>
      <c r="BO231" s="9">
        <f t="shared" si="118"/>
        <v>0</v>
      </c>
      <c r="BP231" s="8">
        <f>+MINVU_Mes_Corriente!BP231*SALUD_Mes_Constante!$BP$1</f>
        <v>0</v>
      </c>
      <c r="BQ231" s="8">
        <f>+MINVU_Mes_Corriente!BQ231*SALUD_Mes_Constante!$BP$1</f>
        <v>0</v>
      </c>
      <c r="BR231" s="8">
        <f>+MINVU_Mes_Corriente!BR231*SALUD_Mes_Constante!$BP$1</f>
        <v>0</v>
      </c>
      <c r="BS231" s="8">
        <f>+MINVU_Mes_Corriente!BS231*SALUD_Mes_Constante!$BP$1</f>
        <v>0</v>
      </c>
      <c r="BT231" s="8">
        <f>+MINVU_Mes_Corriente!BT231*SALUD_Mes_Constante!$BP$1</f>
        <v>0</v>
      </c>
      <c r="BU231" s="8">
        <f>+MINVU_Mes_Corriente!BU231*SALUD_Mes_Constante!$BP$1</f>
        <v>0</v>
      </c>
      <c r="BV231" s="8">
        <f>+MINVU_Mes_Corriente!BV231*SALUD_Mes_Constante!$BP$1</f>
        <v>0</v>
      </c>
      <c r="BW231" s="8">
        <f>+MINVU_Mes_Corriente!BW231*SALUD_Mes_Constante!$BP$1</f>
        <v>0</v>
      </c>
      <c r="BX231" s="8">
        <f>+MINVU_Mes_Corriente!BX231*SALUD_Mes_Constante!$BP$1</f>
        <v>0</v>
      </c>
      <c r="BY231" s="8">
        <f>+MINVU_Mes_Corriente!BY231*SALUD_Mes_Constante!$BP$1</f>
        <v>0</v>
      </c>
      <c r="BZ231" s="8">
        <f>+MINVU_Mes_Corriente!BZ231*SALUD_Mes_Constante!$BP$1</f>
        <v>0</v>
      </c>
      <c r="CA231" s="8">
        <f>+MINVU_Mes_Corriente!CA231*SALUD_Mes_Constante!$BP$1</f>
        <v>0</v>
      </c>
      <c r="CB231" s="9">
        <f t="shared" si="119"/>
        <v>0</v>
      </c>
      <c r="CC231" s="8">
        <f>+MINVU_Mes_Corriente!CC231*SALUD_Mes_Constante!$CC$1</f>
        <v>0</v>
      </c>
      <c r="CD231" s="8">
        <f>+MINVU_Mes_Corriente!CD231*SALUD_Mes_Constante!$CC$1</f>
        <v>0</v>
      </c>
      <c r="CE231" s="8">
        <f>+MINVU_Mes_Corriente!CE231*SALUD_Mes_Constante!$CC$1</f>
        <v>0</v>
      </c>
      <c r="CF231" s="8">
        <f>+MINVU_Mes_Corriente!CF231*SALUD_Mes_Constante!$CC$1</f>
        <v>0</v>
      </c>
      <c r="CG231" s="8">
        <f>+MINVU_Mes_Corriente!CG231*SALUD_Mes_Constante!$CC$1</f>
        <v>0</v>
      </c>
      <c r="CH231" s="8">
        <f>+MINVU_Mes_Corriente!CH231*SALUD_Mes_Constante!$CC$1</f>
        <v>0</v>
      </c>
      <c r="CI231" s="8">
        <f>+MINVU_Mes_Corriente!CI231*SALUD_Mes_Constante!$CC$1</f>
        <v>0</v>
      </c>
      <c r="CJ231" s="8">
        <f>+MINVU_Mes_Corriente!CJ231*SALUD_Mes_Constante!$CC$1</f>
        <v>0</v>
      </c>
      <c r="CK231" s="8">
        <f>+MINVU_Mes_Corriente!CK231*SALUD_Mes_Constante!$CC$1</f>
        <v>0</v>
      </c>
      <c r="CL231" s="8">
        <f>+MINVU_Mes_Corriente!CL231*SALUD_Mes_Constante!$CC$1</f>
        <v>0</v>
      </c>
      <c r="CM231" s="8">
        <f>+MINVU_Mes_Corriente!CM231*SALUD_Mes_Constante!$CC$1</f>
        <v>0</v>
      </c>
      <c r="CN231" s="8">
        <f>+MINVU_Mes_Corriente!CN231*SALUD_Mes_Constante!$CC$1</f>
        <v>0</v>
      </c>
      <c r="CO231" s="9">
        <f t="shared" si="120"/>
        <v>0</v>
      </c>
      <c r="CP231" s="8">
        <f>+MINVU_Mes_Corriente!CP231*SALUD_Mes_Constante!$CP$1</f>
        <v>0</v>
      </c>
      <c r="CQ231" s="8">
        <f>+MINVU_Mes_Corriente!CQ231*SALUD_Mes_Constante!$CP$1</f>
        <v>0</v>
      </c>
      <c r="CR231" s="8">
        <f>+MINVU_Mes_Corriente!CR231*SALUD_Mes_Constante!$CP$1</f>
        <v>0</v>
      </c>
      <c r="CS231" s="8">
        <f>+MINVU_Mes_Corriente!CS231*SALUD_Mes_Constante!$CP$1</f>
        <v>0</v>
      </c>
      <c r="CT231" s="8">
        <f>+MINVU_Mes_Corriente!CT231*SALUD_Mes_Constante!$CP$1</f>
        <v>0</v>
      </c>
      <c r="CU231" s="8">
        <f>+MINVU_Mes_Corriente!CU231*SALUD_Mes_Constante!$CP$1</f>
        <v>0</v>
      </c>
      <c r="CV231" s="8">
        <f>+MINVU_Mes_Corriente!CV231*SALUD_Mes_Constante!$CP$1</f>
        <v>0</v>
      </c>
      <c r="CW231" s="8">
        <f>+MINVU_Mes_Corriente!CW231*SALUD_Mes_Constante!$CP$1</f>
        <v>0</v>
      </c>
      <c r="CX231" s="8">
        <f>+MINVU_Mes_Corriente!CX231*SALUD_Mes_Constante!$CP$1</f>
        <v>0</v>
      </c>
      <c r="CY231" s="8">
        <f>+MINVU_Mes_Corriente!CY231*SALUD_Mes_Constante!$CP$1</f>
        <v>0</v>
      </c>
      <c r="CZ231" s="8">
        <f>+MINVU_Mes_Corriente!CZ231*SALUD_Mes_Constante!$CP$1</f>
        <v>0</v>
      </c>
      <c r="DA231" s="8">
        <f>+MINVU_Mes_Corriente!DA231*SALUD_Mes_Constante!$CP$1</f>
        <v>0</v>
      </c>
      <c r="DB231" s="9">
        <f t="shared" si="121"/>
        <v>0</v>
      </c>
      <c r="DC231" s="8">
        <f>+MINVU_Mes_Corriente!DC231*SALUD_Mes_Constante!$DC$1</f>
        <v>0</v>
      </c>
      <c r="DD231" s="8">
        <f>+MINVU_Mes_Corriente!DD231*SALUD_Mes_Constante!$DC$1</f>
        <v>0</v>
      </c>
      <c r="DE231" s="8">
        <f>+MINVU_Mes_Corriente!DE231*SALUD_Mes_Constante!$DC$1</f>
        <v>0</v>
      </c>
      <c r="DF231" s="8">
        <f>+MINVU_Mes_Corriente!DF231*SALUD_Mes_Constante!$DC$1</f>
        <v>0</v>
      </c>
      <c r="DG231" s="8">
        <f>+MINVU_Mes_Corriente!DG231*SALUD_Mes_Constante!$DC$1</f>
        <v>0</v>
      </c>
      <c r="DH231" s="8">
        <f>+MINVU_Mes_Corriente!DH231*SALUD_Mes_Constante!$DC$1</f>
        <v>0</v>
      </c>
      <c r="DI231" s="8">
        <f>+MINVU_Mes_Corriente!DI231*SALUD_Mes_Constante!$DC$1</f>
        <v>0</v>
      </c>
      <c r="DJ231" s="8">
        <f>+MINVU_Mes_Corriente!DJ231*SALUD_Mes_Constante!$DC$1</f>
        <v>0</v>
      </c>
      <c r="DK231" s="8">
        <f>+MINVU_Mes_Corriente!DK231*SALUD_Mes_Constante!$DC$1</f>
        <v>0</v>
      </c>
      <c r="DL231" s="8">
        <f>+MINVU_Mes_Corriente!DL231*SALUD_Mes_Constante!$DC$1</f>
        <v>0</v>
      </c>
      <c r="DM231" s="8">
        <f>+MINVU_Mes_Corriente!DM231*SALUD_Mes_Constante!$DC$1</f>
        <v>0</v>
      </c>
      <c r="DN231" s="8">
        <f>+MINVU_Mes_Corriente!DN231*SALUD_Mes_Constante!$DC$1</f>
        <v>0</v>
      </c>
      <c r="DO231" s="9">
        <f t="shared" si="122"/>
        <v>0</v>
      </c>
      <c r="DP231" s="8">
        <f>+MINVU_Mes_Corriente!DP231*SALUD_Mes_Constante!$DP$1</f>
        <v>0</v>
      </c>
      <c r="DQ231" s="8">
        <f>+MINVU_Mes_Corriente!DQ231*SALUD_Mes_Constante!$DP$1</f>
        <v>0</v>
      </c>
      <c r="DR231" s="8">
        <f>+MINVU_Mes_Corriente!DR231*SALUD_Mes_Constante!$DP$1</f>
        <v>0</v>
      </c>
      <c r="DS231" s="8">
        <f>+MINVU_Mes_Corriente!DS231*SALUD_Mes_Constante!$DP$1</f>
        <v>0</v>
      </c>
      <c r="DT231" s="8">
        <f>+MINVU_Mes_Corriente!DT231*SALUD_Mes_Constante!$DP$1</f>
        <v>0</v>
      </c>
      <c r="DU231" s="8">
        <f>+MINVU_Mes_Corriente!DU231*SALUD_Mes_Constante!$DP$1</f>
        <v>0</v>
      </c>
      <c r="DV231" s="8">
        <f>+MINVU_Mes_Corriente!DV231*SALUD_Mes_Constante!$DP$1</f>
        <v>0</v>
      </c>
      <c r="DW231" s="8">
        <f>+MINVU_Mes_Corriente!DW231*SALUD_Mes_Constante!$DP$1</f>
        <v>0</v>
      </c>
      <c r="DX231" s="8">
        <f>+MINVU_Mes_Corriente!DX231*SALUD_Mes_Constante!$DP$1</f>
        <v>0</v>
      </c>
      <c r="DY231" s="8">
        <f>+MINVU_Mes_Corriente!DY231*SALUD_Mes_Constante!$DP$1</f>
        <v>0</v>
      </c>
      <c r="DZ231" s="8">
        <f>+MINVU_Mes_Corriente!DZ231*SALUD_Mes_Constante!$DP$1</f>
        <v>0</v>
      </c>
      <c r="EA231" s="8">
        <f>+MINVU_Mes_Corriente!EA231*SALUD_Mes_Constante!$DP$1</f>
        <v>0</v>
      </c>
      <c r="EB231" s="9">
        <f t="shared" si="123"/>
        <v>0</v>
      </c>
      <c r="EC231" s="8">
        <f>+MINVU_Mes_Corriente!EC231*SALUD_Mes_Constante!$EC$1</f>
        <v>0</v>
      </c>
      <c r="ED231" s="8">
        <f>+MINVU_Mes_Corriente!ED231*SALUD_Mes_Constante!$EC$1</f>
        <v>0</v>
      </c>
      <c r="EE231" s="8">
        <f>+MINVU_Mes_Corriente!EE231*SALUD_Mes_Constante!$EC$1</f>
        <v>0</v>
      </c>
      <c r="EF231" s="8">
        <f>+MINVU_Mes_Corriente!EF231*SALUD_Mes_Constante!$EC$1</f>
        <v>0</v>
      </c>
      <c r="EG231" s="8">
        <f>+MINVU_Mes_Corriente!EG231*SALUD_Mes_Constante!$EC$1</f>
        <v>0</v>
      </c>
      <c r="EH231" s="8">
        <f>+MINVU_Mes_Corriente!EH231*SALUD_Mes_Constante!$EC$1</f>
        <v>0</v>
      </c>
      <c r="EI231" s="8">
        <f>+MINVU_Mes_Corriente!EI231*SALUD_Mes_Constante!$EC$1</f>
        <v>0</v>
      </c>
      <c r="EJ231" s="8">
        <f>+MINVU_Mes_Corriente!EJ231*SALUD_Mes_Constante!$EC$1</f>
        <v>0</v>
      </c>
      <c r="EK231" s="8">
        <f>+MINVU_Mes_Corriente!EK231*SALUD_Mes_Constante!$EC$1</f>
        <v>0</v>
      </c>
      <c r="EL231" s="8">
        <f>+MINVU_Mes_Corriente!EL231*SALUD_Mes_Constante!$EC$1</f>
        <v>0</v>
      </c>
      <c r="EM231" s="8">
        <f>+MINVU_Mes_Corriente!EM231*SALUD_Mes_Constante!$EC$1</f>
        <v>0</v>
      </c>
      <c r="EN231" s="8">
        <f>+MINVU_Mes_Corriente!EN231*SALUD_Mes_Constante!$EC$1</f>
        <v>0</v>
      </c>
      <c r="EO231" s="9">
        <f t="shared" si="124"/>
        <v>0</v>
      </c>
      <c r="EP231" s="8">
        <f>+MINVU_Mes_Corriente!EP231*SALUD_Mes_Constante!$EP$1</f>
        <v>0</v>
      </c>
      <c r="EQ231" s="8">
        <f>+MINVU_Mes_Corriente!EQ231*SALUD_Mes_Constante!$EP$1</f>
        <v>0</v>
      </c>
      <c r="ER231" s="8">
        <f>+MINVU_Mes_Corriente!ER231*SALUD_Mes_Constante!$EP$1</f>
        <v>0</v>
      </c>
      <c r="ES231" s="8">
        <f>+MINVU_Mes_Corriente!ES231*SALUD_Mes_Constante!$EP$1</f>
        <v>0</v>
      </c>
      <c r="ET231" s="8">
        <f>+MINVU_Mes_Corriente!ET231*SALUD_Mes_Constante!$EP$1</f>
        <v>0</v>
      </c>
      <c r="EU231" s="8">
        <f>+MINVU_Mes_Corriente!EU231*SALUD_Mes_Constante!$EP$1</f>
        <v>0</v>
      </c>
      <c r="EV231" s="8">
        <f>+MINVU_Mes_Corriente!EV231*SALUD_Mes_Constante!$EP$1</f>
        <v>0</v>
      </c>
      <c r="EW231" s="8">
        <f>+MINVU_Mes_Corriente!EW231*SALUD_Mes_Constante!$EP$1</f>
        <v>0</v>
      </c>
      <c r="EX231" s="8">
        <f>+MINVU_Mes_Corriente!EX231*SALUD_Mes_Constante!$EP$1</f>
        <v>0</v>
      </c>
      <c r="EY231" s="8">
        <f>+MINVU_Mes_Corriente!EY231*SALUD_Mes_Constante!$EP$1</f>
        <v>0</v>
      </c>
      <c r="EZ231" s="8">
        <f>+MINVU_Mes_Corriente!EZ231*SALUD_Mes_Constante!$EP$1</f>
        <v>0</v>
      </c>
      <c r="FA231" s="8">
        <f>+MINVU_Mes_Corriente!FA231*SALUD_Mes_Constante!$EP$1</f>
        <v>0</v>
      </c>
      <c r="FB231" s="9">
        <f t="shared" si="125"/>
        <v>0</v>
      </c>
      <c r="FC231" s="8">
        <f>+MINVU_Mes_Corriente!FC231*SALUD_Mes_Constante!$FC$1</f>
        <v>0</v>
      </c>
      <c r="FD231" s="8">
        <f>+MINVU_Mes_Corriente!FD231*SALUD_Mes_Constante!$FC$1</f>
        <v>0</v>
      </c>
      <c r="FE231" s="8">
        <f>+MINVU_Mes_Corriente!FE231*SALUD_Mes_Constante!$FC$1</f>
        <v>0</v>
      </c>
      <c r="FF231" s="8">
        <f>+MINVU_Mes_Corriente!FF231*SALUD_Mes_Constante!$FC$1</f>
        <v>0</v>
      </c>
      <c r="FG231" s="8">
        <f>+MINVU_Mes_Corriente!FG231*SALUD_Mes_Constante!$FC$1</f>
        <v>0</v>
      </c>
      <c r="FH231" s="8">
        <f>+MINVU_Mes_Corriente!FH231*SALUD_Mes_Constante!$FC$1</f>
        <v>0</v>
      </c>
      <c r="FI231" s="8">
        <f>+MINVU_Mes_Corriente!FI231*SALUD_Mes_Constante!$FC$1</f>
        <v>0</v>
      </c>
      <c r="FJ231" s="8"/>
      <c r="FK231" s="8"/>
      <c r="FL231" s="8"/>
      <c r="FM231" s="8"/>
      <c r="FN231" s="8"/>
      <c r="FO231" s="9">
        <f t="shared" si="126"/>
        <v>0</v>
      </c>
    </row>
    <row r="232" spans="2:171" ht="14.25" customHeight="1" x14ac:dyDescent="0.3">
      <c r="B232" s="7" t="s">
        <v>45</v>
      </c>
      <c r="C232" s="8">
        <f>+MINVU_Mes_Corriente!C232*SALUD_Mes_Constante!$C$1</f>
        <v>53152773.365267694</v>
      </c>
      <c r="D232" s="8">
        <f>+MINVU_Mes_Corriente!D232*SALUD_Mes_Constante!$C$1</f>
        <v>53152773.365267694</v>
      </c>
      <c r="E232" s="8">
        <f>+MINVU_Mes_Corriente!E232*SALUD_Mes_Constante!$C$1</f>
        <v>53152773.365267694</v>
      </c>
      <c r="F232" s="8">
        <f>+MINVU_Mes_Corriente!F232*SALUD_Mes_Constante!$C$1</f>
        <v>53152773.365267694</v>
      </c>
      <c r="G232" s="8">
        <f>+MINVU_Mes_Corriente!G232*SALUD_Mes_Constante!$C$1</f>
        <v>53152773.365267694</v>
      </c>
      <c r="H232" s="8">
        <f>+MINVU_Mes_Corriente!H232*SALUD_Mes_Constante!$C$1</f>
        <v>53152773.365267694</v>
      </c>
      <c r="I232" s="8">
        <f>+MINVU_Mes_Corriente!I232*SALUD_Mes_Constante!$C$1</f>
        <v>53152773.365267694</v>
      </c>
      <c r="J232" s="8">
        <f>+MINVU_Mes_Corriente!J232*SALUD_Mes_Constante!$C$1</f>
        <v>53152773.365267694</v>
      </c>
      <c r="K232" s="8">
        <f>+MINVU_Mes_Corriente!K232*SALUD_Mes_Constante!$C$1</f>
        <v>53152773.365267694</v>
      </c>
      <c r="L232" s="8">
        <f>+MINVU_Mes_Corriente!L232*SALUD_Mes_Constante!$C$1</f>
        <v>53152773.365267694</v>
      </c>
      <c r="M232" s="8">
        <f>+MINVU_Mes_Corriente!M232*SALUD_Mes_Constante!$C$1</f>
        <v>53152773.365267694</v>
      </c>
      <c r="N232" s="8">
        <f>+MINVU_Mes_Corriente!N232*SALUD_Mes_Constante!$C$1</f>
        <v>53152773.365267694</v>
      </c>
      <c r="O232" s="9">
        <f t="shared" si="114"/>
        <v>53152773.365267694</v>
      </c>
      <c r="P232" s="8">
        <f>+MINVU_Mes_Corriente!P232*SALUD_Mes_Constante!$P$1</f>
        <v>65480739.588577896</v>
      </c>
      <c r="Q232" s="8">
        <f>+MINVU_Mes_Corriente!Q232*SALUD_Mes_Constante!$P$1</f>
        <v>65480739.588577896</v>
      </c>
      <c r="R232" s="8">
        <f>+MINVU_Mes_Corriente!R232*SALUD_Mes_Constante!$P$1</f>
        <v>65480739.588577896</v>
      </c>
      <c r="S232" s="8">
        <f>+MINVU_Mes_Corriente!S232*SALUD_Mes_Constante!$P$1</f>
        <v>65480739.588577896</v>
      </c>
      <c r="T232" s="8">
        <f>+MINVU_Mes_Corriente!T232*SALUD_Mes_Constante!$P$1</f>
        <v>65480739.588577896</v>
      </c>
      <c r="U232" s="8">
        <f>+MINVU_Mes_Corriente!U232*SALUD_Mes_Constante!$P$1</f>
        <v>65480739.588577896</v>
      </c>
      <c r="V232" s="8">
        <f>+MINVU_Mes_Corriente!V232*SALUD_Mes_Constante!$P$1</f>
        <v>65480739.588577896</v>
      </c>
      <c r="W232" s="8">
        <f>+MINVU_Mes_Corriente!W232*SALUD_Mes_Constante!$P$1</f>
        <v>65480739.588577896</v>
      </c>
      <c r="X232" s="8">
        <f>+MINVU_Mes_Corriente!X232*SALUD_Mes_Constante!$P$1</f>
        <v>65480739.588577896</v>
      </c>
      <c r="Y232" s="8">
        <f>+MINVU_Mes_Corriente!Y232*SALUD_Mes_Constante!$P$1</f>
        <v>65480739.588577896</v>
      </c>
      <c r="Z232" s="8">
        <f>+MINVU_Mes_Corriente!Z232*SALUD_Mes_Constante!$P$1</f>
        <v>65480739.588577896</v>
      </c>
      <c r="AA232" s="8">
        <f>+MINVU_Mes_Corriente!AA232*SALUD_Mes_Constante!$P$1</f>
        <v>65480739.588577896</v>
      </c>
      <c r="AB232" s="9">
        <f t="shared" si="115"/>
        <v>65480739.588577896</v>
      </c>
      <c r="AC232" s="8">
        <f>+MINVU_Mes_Corriente!AC232*SALUD_Mes_Constante!$AC$1</f>
        <v>77513161.087287307</v>
      </c>
      <c r="AD232" s="8">
        <f>+MINVU_Mes_Corriente!AD232*SALUD_Mes_Constante!$AC$1</f>
        <v>77513161.087287307</v>
      </c>
      <c r="AE232" s="8">
        <f>+MINVU_Mes_Corriente!AE232*SALUD_Mes_Constante!$AC$1</f>
        <v>77513161.087287307</v>
      </c>
      <c r="AF232" s="8">
        <f>+MINVU_Mes_Corriente!AF232*SALUD_Mes_Constante!$AC$1</f>
        <v>77513161.087287307</v>
      </c>
      <c r="AG232" s="8">
        <f>+MINVU_Mes_Corriente!AG232*SALUD_Mes_Constante!$AC$1</f>
        <v>77513161.087287307</v>
      </c>
      <c r="AH232" s="8">
        <f>+MINVU_Mes_Corriente!AH232*SALUD_Mes_Constante!$AC$1</f>
        <v>77513161.087287307</v>
      </c>
      <c r="AI232" s="8">
        <f>+MINVU_Mes_Corriente!AI232*SALUD_Mes_Constante!$AC$1</f>
        <v>77513161.087287307</v>
      </c>
      <c r="AJ232" s="8">
        <f>+MINVU_Mes_Corriente!AJ232*SALUD_Mes_Constante!$AC$1</f>
        <v>77513161.087287307</v>
      </c>
      <c r="AK232" s="8">
        <f>+MINVU_Mes_Corriente!AK232*SALUD_Mes_Constante!$AC$1</f>
        <v>77513161.087287307</v>
      </c>
      <c r="AL232" s="8">
        <f>+MINVU_Mes_Corriente!AL232*SALUD_Mes_Constante!$AC$1</f>
        <v>77513161.087287307</v>
      </c>
      <c r="AM232" s="8">
        <f>+MINVU_Mes_Corriente!AM232*SALUD_Mes_Constante!$AC$1</f>
        <v>77513161.087287307</v>
      </c>
      <c r="AN232" s="8">
        <f>+MINVU_Mes_Corriente!AN232*SALUD_Mes_Constante!$AC$1</f>
        <v>77513161.087287307</v>
      </c>
      <c r="AO232" s="9">
        <f t="shared" si="116"/>
        <v>77513161.087287307</v>
      </c>
      <c r="AP232" s="8">
        <f>+MINVU_Mes_Corriente!AP232*SALUD_Mes_Constante!$AP$1</f>
        <v>92540292.310834572</v>
      </c>
      <c r="AQ232" s="8">
        <f>+MINVU_Mes_Corriente!AQ232*SALUD_Mes_Constante!$AP$1</f>
        <v>92540292.310834572</v>
      </c>
      <c r="AR232" s="8">
        <f>+MINVU_Mes_Corriente!AR232*SALUD_Mes_Constante!$AP$1</f>
        <v>92540292.310834572</v>
      </c>
      <c r="AS232" s="8">
        <f>+MINVU_Mes_Corriente!AS232*SALUD_Mes_Constante!$AP$1</f>
        <v>92540292.310834572</v>
      </c>
      <c r="AT232" s="8">
        <f>+MINVU_Mes_Corriente!AT232*SALUD_Mes_Constante!$AP$1</f>
        <v>92540292.310834572</v>
      </c>
      <c r="AU232" s="8">
        <f>+MINVU_Mes_Corriente!AU232*SALUD_Mes_Constante!$AP$1</f>
        <v>92540292.310834572</v>
      </c>
      <c r="AV232" s="8">
        <f>+MINVU_Mes_Corriente!AV232*SALUD_Mes_Constante!$AP$1</f>
        <v>92540292.310834572</v>
      </c>
      <c r="AW232" s="8">
        <f>+MINVU_Mes_Corriente!AW232*SALUD_Mes_Constante!$AP$1</f>
        <v>92540292.310834572</v>
      </c>
      <c r="AX232" s="8">
        <f>+MINVU_Mes_Corriente!AX232*SALUD_Mes_Constante!$AP$1</f>
        <v>92540292.310834572</v>
      </c>
      <c r="AY232" s="8">
        <f>+MINVU_Mes_Corriente!AY232*SALUD_Mes_Constante!$AP$1</f>
        <v>92540292.310834572</v>
      </c>
      <c r="AZ232" s="8">
        <f>+MINVU_Mes_Corriente!AZ232*SALUD_Mes_Constante!$AP$1</f>
        <v>92540292.310834572</v>
      </c>
      <c r="BA232" s="8">
        <f>+MINVU_Mes_Corriente!BA232*SALUD_Mes_Constante!$AP$1</f>
        <v>92540292.310834572</v>
      </c>
      <c r="BB232" s="9">
        <f t="shared" si="117"/>
        <v>92540292.310834572</v>
      </c>
      <c r="BC232" s="8">
        <f>+MINVU_Mes_Corriente!BC232*SALUD_Mes_Constante!$BC$1</f>
        <v>111329104.58604777</v>
      </c>
      <c r="BD232" s="8">
        <f>+MINVU_Mes_Corriente!BD232*SALUD_Mes_Constante!$BC$1</f>
        <v>111329104.58604777</v>
      </c>
      <c r="BE232" s="8">
        <f>+MINVU_Mes_Corriente!BE232*SALUD_Mes_Constante!$BC$1</f>
        <v>111329104.58604777</v>
      </c>
      <c r="BF232" s="8">
        <f>+MINVU_Mes_Corriente!BF232*SALUD_Mes_Constante!$BC$1</f>
        <v>111329104.58604777</v>
      </c>
      <c r="BG232" s="8">
        <f>+MINVU_Mes_Corriente!BG232*SALUD_Mes_Constante!$BC$1</f>
        <v>111329104.58604777</v>
      </c>
      <c r="BH232" s="8">
        <f>+MINVU_Mes_Corriente!BH232*SALUD_Mes_Constante!$BC$1</f>
        <v>111329104.58604777</v>
      </c>
      <c r="BI232" s="8">
        <f>+MINVU_Mes_Corriente!BI232*SALUD_Mes_Constante!$BC$1</f>
        <v>111329104.58604777</v>
      </c>
      <c r="BJ232" s="8">
        <f>+MINVU_Mes_Corriente!BJ232*SALUD_Mes_Constante!$BC$1</f>
        <v>111329104.58604777</v>
      </c>
      <c r="BK232" s="8">
        <f>+MINVU_Mes_Corriente!BK232*SALUD_Mes_Constante!$BC$1</f>
        <v>111329104.58604777</v>
      </c>
      <c r="BL232" s="8">
        <f>+MINVU_Mes_Corriente!BL232*SALUD_Mes_Constante!$BC$1</f>
        <v>111329104.58604777</v>
      </c>
      <c r="BM232" s="8">
        <f>+MINVU_Mes_Corriente!BM232*SALUD_Mes_Constante!$BC$1</f>
        <v>111329104.58604777</v>
      </c>
      <c r="BN232" s="8">
        <f>+MINVU_Mes_Corriente!BN232*SALUD_Mes_Constante!$BC$1</f>
        <v>111329104.58604777</v>
      </c>
      <c r="BO232" s="9">
        <f t="shared" si="118"/>
        <v>111329104.58604777</v>
      </c>
      <c r="BP232" s="8">
        <f>+MINVU_Mes_Corriente!BP232*SALUD_Mes_Constante!$BP$1</f>
        <v>161362718.27170298</v>
      </c>
      <c r="BQ232" s="8">
        <f>+MINVU_Mes_Corriente!BQ232*SALUD_Mes_Constante!$BP$1</f>
        <v>161362718.27170298</v>
      </c>
      <c r="BR232" s="8">
        <f>+MINVU_Mes_Corriente!BR232*SALUD_Mes_Constante!$BP$1</f>
        <v>161362718.27170298</v>
      </c>
      <c r="BS232" s="8">
        <f>+MINVU_Mes_Corriente!BS232*SALUD_Mes_Constante!$BP$1</f>
        <v>161362718.27170298</v>
      </c>
      <c r="BT232" s="8">
        <f>+MINVU_Mes_Corriente!BT232*SALUD_Mes_Constante!$BP$1</f>
        <v>161362718.27170298</v>
      </c>
      <c r="BU232" s="8">
        <f>+MINVU_Mes_Corriente!BU232*SALUD_Mes_Constante!$BP$1</f>
        <v>161362718.27170298</v>
      </c>
      <c r="BV232" s="8">
        <f>+MINVU_Mes_Corriente!BV232*SALUD_Mes_Constante!$BP$1</f>
        <v>161362718.27170298</v>
      </c>
      <c r="BW232" s="8">
        <f>+MINVU_Mes_Corriente!BW232*SALUD_Mes_Constante!$BP$1</f>
        <v>161362718.27170298</v>
      </c>
      <c r="BX232" s="8">
        <f>+MINVU_Mes_Corriente!BX232*SALUD_Mes_Constante!$BP$1</f>
        <v>161362718.27170298</v>
      </c>
      <c r="BY232" s="8">
        <f>+MINVU_Mes_Corriente!BY232*SALUD_Mes_Constante!$BP$1</f>
        <v>161362718.27170298</v>
      </c>
      <c r="BZ232" s="8">
        <f>+MINVU_Mes_Corriente!BZ232*SALUD_Mes_Constante!$BP$1</f>
        <v>161362718.27170298</v>
      </c>
      <c r="CA232" s="8">
        <f>+MINVU_Mes_Corriente!CA232*SALUD_Mes_Constante!$BP$1</f>
        <v>161362718.27170298</v>
      </c>
      <c r="CB232" s="9">
        <f t="shared" si="119"/>
        <v>161362718.27170298</v>
      </c>
      <c r="CC232" s="8">
        <f>+MINVU_Mes_Corriente!CC232*SALUD_Mes_Constante!$CC$1</f>
        <v>156373111.69190601</v>
      </c>
      <c r="CD232" s="8">
        <f>+MINVU_Mes_Corriente!CD232*SALUD_Mes_Constante!$CC$1</f>
        <v>156373111.69190601</v>
      </c>
      <c r="CE232" s="8">
        <f>+MINVU_Mes_Corriente!CE232*SALUD_Mes_Constante!$CC$1</f>
        <v>156373111.69190601</v>
      </c>
      <c r="CF232" s="8">
        <f>+MINVU_Mes_Corriente!CF232*SALUD_Mes_Constante!$CC$1</f>
        <v>156373111.69190601</v>
      </c>
      <c r="CG232" s="8">
        <f>+MINVU_Mes_Corriente!CG232*SALUD_Mes_Constante!$CC$1</f>
        <v>156373111.69190601</v>
      </c>
      <c r="CH232" s="8">
        <f>+MINVU_Mes_Corriente!CH232*SALUD_Mes_Constante!$CC$1</f>
        <v>156373111.69190601</v>
      </c>
      <c r="CI232" s="8">
        <f>+MINVU_Mes_Corriente!CI232*SALUD_Mes_Constante!$CC$1</f>
        <v>156373111.69190601</v>
      </c>
      <c r="CJ232" s="8">
        <f>+MINVU_Mes_Corriente!CJ232*SALUD_Mes_Constante!$CC$1</f>
        <v>156373111.69190601</v>
      </c>
      <c r="CK232" s="8">
        <f>+MINVU_Mes_Corriente!CK232*SALUD_Mes_Constante!$CC$1</f>
        <v>156373111.69190601</v>
      </c>
      <c r="CL232" s="8">
        <f>+MINVU_Mes_Corriente!CL232*SALUD_Mes_Constante!$CC$1</f>
        <v>156373111.69190601</v>
      </c>
      <c r="CM232" s="8">
        <f>+MINVU_Mes_Corriente!CM232*SALUD_Mes_Constante!$CC$1</f>
        <v>156373111.69190601</v>
      </c>
      <c r="CN232" s="8">
        <f>+MINVU_Mes_Corriente!CN232*SALUD_Mes_Constante!$CC$1</f>
        <v>156373111.69190601</v>
      </c>
      <c r="CO232" s="9">
        <f t="shared" si="120"/>
        <v>156373111.69190601</v>
      </c>
      <c r="CP232" s="8">
        <f>+MINVU_Mes_Corriente!CP232*SALUD_Mes_Constante!$CP$1</f>
        <v>163172815.8389791</v>
      </c>
      <c r="CQ232" s="8">
        <f>+MINVU_Mes_Corriente!CQ232*SALUD_Mes_Constante!$CP$1</f>
        <v>163172815.8389791</v>
      </c>
      <c r="CR232" s="8">
        <f>+MINVU_Mes_Corriente!CR232*SALUD_Mes_Constante!$CP$1</f>
        <v>163172815.8389791</v>
      </c>
      <c r="CS232" s="8">
        <f>+MINVU_Mes_Corriente!CS232*SALUD_Mes_Constante!$CP$1</f>
        <v>163172815.8389791</v>
      </c>
      <c r="CT232" s="8">
        <f>+MINVU_Mes_Corriente!CT232*SALUD_Mes_Constante!$CP$1</f>
        <v>163172815.8389791</v>
      </c>
      <c r="CU232" s="8">
        <f>+MINVU_Mes_Corriente!CU232*SALUD_Mes_Constante!$CP$1</f>
        <v>163172815.8389791</v>
      </c>
      <c r="CV232" s="8">
        <f>+MINVU_Mes_Corriente!CV232*SALUD_Mes_Constante!$CP$1</f>
        <v>163172815.8389791</v>
      </c>
      <c r="CW232" s="8">
        <f>+MINVU_Mes_Corriente!CW232*SALUD_Mes_Constante!$CP$1</f>
        <v>163172815.8389791</v>
      </c>
      <c r="CX232" s="8">
        <f>+MINVU_Mes_Corriente!CX232*SALUD_Mes_Constante!$CP$1</f>
        <v>163172815.8389791</v>
      </c>
      <c r="CY232" s="8">
        <f>+MINVU_Mes_Corriente!CY232*SALUD_Mes_Constante!$CP$1</f>
        <v>163172815.8389791</v>
      </c>
      <c r="CZ232" s="8">
        <f>+MINVU_Mes_Corriente!CZ232*SALUD_Mes_Constante!$CP$1</f>
        <v>163172815.8389791</v>
      </c>
      <c r="DA232" s="8">
        <f>+MINVU_Mes_Corriente!DA232*SALUD_Mes_Constante!$CP$1</f>
        <v>163172815.8389791</v>
      </c>
      <c r="DB232" s="9">
        <f t="shared" si="121"/>
        <v>163172815.8389791</v>
      </c>
      <c r="DC232" s="8">
        <f>+MINVU_Mes_Corriente!DC232*SALUD_Mes_Constante!$DC$1</f>
        <v>117435683.81174782</v>
      </c>
      <c r="DD232" s="8">
        <f>+MINVU_Mes_Corriente!DD232*SALUD_Mes_Constante!$DC$1</f>
        <v>117435683.81174782</v>
      </c>
      <c r="DE232" s="8">
        <f>+MINVU_Mes_Corriente!DE232*SALUD_Mes_Constante!$DC$1</f>
        <v>117435683.81174782</v>
      </c>
      <c r="DF232" s="8">
        <f>+MINVU_Mes_Corriente!DF232*SALUD_Mes_Constante!$DC$1</f>
        <v>117435683.81174782</v>
      </c>
      <c r="DG232" s="8">
        <f>+MINVU_Mes_Corriente!DG232*SALUD_Mes_Constante!$DC$1</f>
        <v>117435683.81174782</v>
      </c>
      <c r="DH232" s="8">
        <f>+MINVU_Mes_Corriente!DH232*SALUD_Mes_Constante!$DC$1</f>
        <v>117435683.81174782</v>
      </c>
      <c r="DI232" s="8">
        <f>+MINVU_Mes_Corriente!DI232*SALUD_Mes_Constante!$DC$1</f>
        <v>117435683.81174782</v>
      </c>
      <c r="DJ232" s="8">
        <f>+MINVU_Mes_Corriente!DJ232*SALUD_Mes_Constante!$DC$1</f>
        <v>117435683.81174782</v>
      </c>
      <c r="DK232" s="8">
        <f>+MINVU_Mes_Corriente!DK232*SALUD_Mes_Constante!$DC$1</f>
        <v>117435683.81174782</v>
      </c>
      <c r="DL232" s="8">
        <f>+MINVU_Mes_Corriente!DL232*SALUD_Mes_Constante!$DC$1</f>
        <v>117435683.81174782</v>
      </c>
      <c r="DM232" s="8">
        <f>+MINVU_Mes_Corriente!DM232*SALUD_Mes_Constante!$DC$1</f>
        <v>117435683.81174782</v>
      </c>
      <c r="DN232" s="8">
        <f>+MINVU_Mes_Corriente!DN232*SALUD_Mes_Constante!$DC$1</f>
        <v>117435683.81174782</v>
      </c>
      <c r="DO232" s="9">
        <f t="shared" si="122"/>
        <v>117435683.81174782</v>
      </c>
      <c r="DP232" s="8">
        <f>+MINVU_Mes_Corriente!DP232*SALUD_Mes_Constante!$DP$1</f>
        <v>171674949.09798101</v>
      </c>
      <c r="DQ232" s="8">
        <f>+MINVU_Mes_Corriente!DQ232*SALUD_Mes_Constante!$DP$1</f>
        <v>171674949.09798101</v>
      </c>
      <c r="DR232" s="8">
        <f>+MINVU_Mes_Corriente!DR232*SALUD_Mes_Constante!$DP$1</f>
        <v>171674949.09798101</v>
      </c>
      <c r="DS232" s="8">
        <f>+MINVU_Mes_Corriente!DS232*SALUD_Mes_Constante!$DP$1</f>
        <v>171674949.09798101</v>
      </c>
      <c r="DT232" s="8">
        <f>+MINVU_Mes_Corriente!DT232*SALUD_Mes_Constante!$DP$1</f>
        <v>171674949.09798101</v>
      </c>
      <c r="DU232" s="8">
        <f>+MINVU_Mes_Corriente!DU232*SALUD_Mes_Constante!$DP$1</f>
        <v>171674949.09798101</v>
      </c>
      <c r="DV232" s="8">
        <f>+MINVU_Mes_Corriente!DV232*SALUD_Mes_Constante!$DP$1</f>
        <v>171674949.09798101</v>
      </c>
      <c r="DW232" s="8">
        <f>+MINVU_Mes_Corriente!DW232*SALUD_Mes_Constante!$DP$1</f>
        <v>171674949.09798101</v>
      </c>
      <c r="DX232" s="8">
        <f>+MINVU_Mes_Corriente!DX232*SALUD_Mes_Constante!$DP$1</f>
        <v>171674949.09798101</v>
      </c>
      <c r="DY232" s="8">
        <f>+MINVU_Mes_Corriente!DY232*SALUD_Mes_Constante!$DP$1</f>
        <v>171674949.09798101</v>
      </c>
      <c r="DZ232" s="8">
        <f>+MINVU_Mes_Corriente!DZ232*SALUD_Mes_Constante!$DP$1</f>
        <v>171674949.09798101</v>
      </c>
      <c r="EA232" s="8">
        <f>+MINVU_Mes_Corriente!EA232*SALUD_Mes_Constante!$DP$1</f>
        <v>171674949.09798101</v>
      </c>
      <c r="EB232" s="9">
        <f t="shared" si="123"/>
        <v>171674949.09798101</v>
      </c>
      <c r="EC232" s="8">
        <f>+MINVU_Mes_Corriente!EC232*SALUD_Mes_Constante!$EC$1</f>
        <v>242347630.17534551</v>
      </c>
      <c r="ED232" s="8">
        <f>+MINVU_Mes_Corriente!ED232*SALUD_Mes_Constante!$EC$1</f>
        <v>242347630.17534551</v>
      </c>
      <c r="EE232" s="8">
        <f>+MINVU_Mes_Corriente!EE232*SALUD_Mes_Constante!$EC$1</f>
        <v>242347630.17534551</v>
      </c>
      <c r="EF232" s="8">
        <f>+MINVU_Mes_Corriente!EF232*SALUD_Mes_Constante!$EC$1</f>
        <v>242347630.17534551</v>
      </c>
      <c r="EG232" s="8">
        <f>+MINVU_Mes_Corriente!EG232*SALUD_Mes_Constante!$EC$1</f>
        <v>242347630.17534551</v>
      </c>
      <c r="EH232" s="8">
        <f>+MINVU_Mes_Corriente!EH232*SALUD_Mes_Constante!$EC$1</f>
        <v>242347630.17534551</v>
      </c>
      <c r="EI232" s="8">
        <f>+MINVU_Mes_Corriente!EI232*SALUD_Mes_Constante!$EC$1</f>
        <v>242347630.17534551</v>
      </c>
      <c r="EJ232" s="8">
        <f>+MINVU_Mes_Corriente!EJ232*SALUD_Mes_Constante!$EC$1</f>
        <v>242347630.17534551</v>
      </c>
      <c r="EK232" s="8">
        <f>+MINVU_Mes_Corriente!EK232*SALUD_Mes_Constante!$EC$1</f>
        <v>242347630.17534551</v>
      </c>
      <c r="EL232" s="8">
        <f>+MINVU_Mes_Corriente!EL232*SALUD_Mes_Constante!$EC$1</f>
        <v>242347630.17534551</v>
      </c>
      <c r="EM232" s="8">
        <f>+MINVU_Mes_Corriente!EM232*SALUD_Mes_Constante!$EC$1</f>
        <v>242347630.17534551</v>
      </c>
      <c r="EN232" s="8">
        <f>+MINVU_Mes_Corriente!EN232*SALUD_Mes_Constante!$EC$1</f>
        <v>242347630.17534551</v>
      </c>
      <c r="EO232" s="9">
        <f t="shared" si="124"/>
        <v>242347630.17534551</v>
      </c>
      <c r="EP232" s="8">
        <f>+MINVU_Mes_Corriente!EP232*SALUD_Mes_Constante!$EP$1</f>
        <v>317360596</v>
      </c>
      <c r="EQ232" s="8">
        <f>+MINVU_Mes_Corriente!EQ232*SALUD_Mes_Constante!$EP$1</f>
        <v>317360596</v>
      </c>
      <c r="ER232" s="8">
        <f>+MINVU_Mes_Corriente!ER232*SALUD_Mes_Constante!$EP$1</f>
        <v>317360596</v>
      </c>
      <c r="ES232" s="8">
        <f>+MINVU_Mes_Corriente!ES232*SALUD_Mes_Constante!$EP$1</f>
        <v>317360596</v>
      </c>
      <c r="ET232" s="8">
        <f>+MINVU_Mes_Corriente!ET232*SALUD_Mes_Constante!$EP$1</f>
        <v>317360596</v>
      </c>
      <c r="EU232" s="8">
        <f>+MINVU_Mes_Corriente!EU232*SALUD_Mes_Constante!$EP$1</f>
        <v>317360596</v>
      </c>
      <c r="EV232" s="8">
        <f>+MINVU_Mes_Corriente!EV232*SALUD_Mes_Constante!$EP$1</f>
        <v>317360596</v>
      </c>
      <c r="EW232" s="8">
        <f>+MINVU_Mes_Corriente!EW232*SALUD_Mes_Constante!$EP$1</f>
        <v>317360596</v>
      </c>
      <c r="EX232" s="8">
        <f>+MINVU_Mes_Corriente!EX232*SALUD_Mes_Constante!$EP$1</f>
        <v>317360596</v>
      </c>
      <c r="EY232" s="8">
        <f>+MINVU_Mes_Corriente!EY232*SALUD_Mes_Constante!$EP$1</f>
        <v>317360596</v>
      </c>
      <c r="EZ232" s="8">
        <f>+MINVU_Mes_Corriente!EZ232*SALUD_Mes_Constante!$EP$1</f>
        <v>317360596</v>
      </c>
      <c r="FA232" s="8">
        <f>+MINVU_Mes_Corriente!FA232*SALUD_Mes_Constante!$EP$1</f>
        <v>317360596</v>
      </c>
      <c r="FB232" s="9">
        <f t="shared" si="125"/>
        <v>317360596</v>
      </c>
      <c r="FC232" s="8">
        <f>+MINVU_Mes_Corriente!FC232*SALUD_Mes_Constante!$FC$1</f>
        <v>831376361</v>
      </c>
      <c r="FD232" s="8">
        <f>+MINVU_Mes_Corriente!FD232*SALUD_Mes_Constante!$FC$1</f>
        <v>831376361</v>
      </c>
      <c r="FE232" s="8">
        <f>+MINVU_Mes_Corriente!FE232*SALUD_Mes_Constante!$FC$1</f>
        <v>831376361</v>
      </c>
      <c r="FF232" s="8">
        <f>+MINVU_Mes_Corriente!FF232*SALUD_Mes_Constante!$FC$1</f>
        <v>831376361</v>
      </c>
      <c r="FG232" s="8">
        <f>+MINVU_Mes_Corriente!FG232*SALUD_Mes_Constante!$FC$1</f>
        <v>831376361</v>
      </c>
      <c r="FH232" s="8">
        <f>+MINVU_Mes_Corriente!FH232*SALUD_Mes_Constante!$FC$1</f>
        <v>831376361</v>
      </c>
      <c r="FI232" s="8">
        <f>+MINVU_Mes_Corriente!FI232*SALUD_Mes_Constante!$FC$1</f>
        <v>831376361</v>
      </c>
      <c r="FJ232" s="8"/>
      <c r="FK232" s="8"/>
      <c r="FL232" s="8"/>
      <c r="FM232" s="8"/>
      <c r="FN232" s="8"/>
      <c r="FO232" s="9">
        <f t="shared" si="126"/>
        <v>831376361</v>
      </c>
    </row>
    <row r="233" spans="2:171" ht="14.25" customHeight="1" x14ac:dyDescent="0.3">
      <c r="B233" s="7" t="s">
        <v>46</v>
      </c>
      <c r="C233" s="8">
        <f>+MINVU_Mes_Corriente!C233*SALUD_Mes_Constante!$C$1</f>
        <v>0</v>
      </c>
      <c r="D233" s="8">
        <f>+MINVU_Mes_Corriente!D233*SALUD_Mes_Constante!$C$1</f>
        <v>0</v>
      </c>
      <c r="E233" s="8">
        <f>+MINVU_Mes_Corriente!E233*SALUD_Mes_Constante!$C$1</f>
        <v>0</v>
      </c>
      <c r="F233" s="8">
        <f>+MINVU_Mes_Corriente!F233*SALUD_Mes_Constante!$C$1</f>
        <v>0</v>
      </c>
      <c r="G233" s="8">
        <f>+MINVU_Mes_Corriente!G233*SALUD_Mes_Constante!$C$1</f>
        <v>0</v>
      </c>
      <c r="H233" s="8">
        <f>+MINVU_Mes_Corriente!H233*SALUD_Mes_Constante!$C$1</f>
        <v>0</v>
      </c>
      <c r="I233" s="8">
        <f>+MINVU_Mes_Corriente!I233*SALUD_Mes_Constante!$C$1</f>
        <v>0</v>
      </c>
      <c r="J233" s="8">
        <f>+MINVU_Mes_Corriente!J233*SALUD_Mes_Constante!$C$1</f>
        <v>0</v>
      </c>
      <c r="K233" s="8">
        <f>+MINVU_Mes_Corriente!K233*SALUD_Mes_Constante!$C$1</f>
        <v>0</v>
      </c>
      <c r="L233" s="8">
        <f>+MINVU_Mes_Corriente!L233*SALUD_Mes_Constante!$C$1</f>
        <v>0</v>
      </c>
      <c r="M233" s="8">
        <f>+MINVU_Mes_Corriente!M233*SALUD_Mes_Constante!$C$1</f>
        <v>0</v>
      </c>
      <c r="N233" s="8">
        <f>+MINVU_Mes_Corriente!N233*SALUD_Mes_Constante!$C$1</f>
        <v>0</v>
      </c>
      <c r="O233" s="9">
        <f t="shared" si="114"/>
        <v>0</v>
      </c>
      <c r="P233" s="8">
        <f>+MINVU_Mes_Corriente!P233*SALUD_Mes_Constante!$P$1</f>
        <v>0</v>
      </c>
      <c r="Q233" s="8">
        <f>+MINVU_Mes_Corriente!Q233*SALUD_Mes_Constante!$P$1</f>
        <v>0</v>
      </c>
      <c r="R233" s="8">
        <f>+MINVU_Mes_Corriente!R233*SALUD_Mes_Constante!$P$1</f>
        <v>0</v>
      </c>
      <c r="S233" s="8">
        <f>+MINVU_Mes_Corriente!S233*SALUD_Mes_Constante!$P$1</f>
        <v>0</v>
      </c>
      <c r="T233" s="8">
        <f>+MINVU_Mes_Corriente!T233*SALUD_Mes_Constante!$P$1</f>
        <v>0</v>
      </c>
      <c r="U233" s="8">
        <f>+MINVU_Mes_Corriente!U233*SALUD_Mes_Constante!$P$1</f>
        <v>0</v>
      </c>
      <c r="V233" s="8">
        <f>+MINVU_Mes_Corriente!V233*SALUD_Mes_Constante!$P$1</f>
        <v>0</v>
      </c>
      <c r="W233" s="8">
        <f>+MINVU_Mes_Corriente!W233*SALUD_Mes_Constante!$P$1</f>
        <v>0</v>
      </c>
      <c r="X233" s="8">
        <f>+MINVU_Mes_Corriente!X233*SALUD_Mes_Constante!$P$1</f>
        <v>0</v>
      </c>
      <c r="Y233" s="8">
        <f>+MINVU_Mes_Corriente!Y233*SALUD_Mes_Constante!$P$1</f>
        <v>0</v>
      </c>
      <c r="Z233" s="8">
        <f>+MINVU_Mes_Corriente!Z233*SALUD_Mes_Constante!$P$1</f>
        <v>0</v>
      </c>
      <c r="AA233" s="8">
        <f>+MINVU_Mes_Corriente!AA233*SALUD_Mes_Constante!$P$1</f>
        <v>0</v>
      </c>
      <c r="AB233" s="9">
        <f t="shared" si="115"/>
        <v>0</v>
      </c>
      <c r="AC233" s="8">
        <f>+MINVU_Mes_Corriente!AC233*SALUD_Mes_Constante!$AC$1</f>
        <v>0</v>
      </c>
      <c r="AD233" s="8">
        <f>+MINVU_Mes_Corriente!AD233*SALUD_Mes_Constante!$AC$1</f>
        <v>0</v>
      </c>
      <c r="AE233" s="8">
        <f>+MINVU_Mes_Corriente!AE233*SALUD_Mes_Constante!$AC$1</f>
        <v>0</v>
      </c>
      <c r="AF233" s="8">
        <f>+MINVU_Mes_Corriente!AF233*SALUD_Mes_Constante!$AC$1</f>
        <v>0</v>
      </c>
      <c r="AG233" s="8">
        <f>+MINVU_Mes_Corriente!AG233*SALUD_Mes_Constante!$AC$1</f>
        <v>0</v>
      </c>
      <c r="AH233" s="8">
        <f>+MINVU_Mes_Corriente!AH233*SALUD_Mes_Constante!$AC$1</f>
        <v>0</v>
      </c>
      <c r="AI233" s="8">
        <f>+MINVU_Mes_Corriente!AI233*SALUD_Mes_Constante!$AC$1</f>
        <v>0</v>
      </c>
      <c r="AJ233" s="8">
        <f>+MINVU_Mes_Corriente!AJ233*SALUD_Mes_Constante!$AC$1</f>
        <v>0</v>
      </c>
      <c r="AK233" s="8">
        <f>+MINVU_Mes_Corriente!AK233*SALUD_Mes_Constante!$AC$1</f>
        <v>0</v>
      </c>
      <c r="AL233" s="8">
        <f>+MINVU_Mes_Corriente!AL233*SALUD_Mes_Constante!$AC$1</f>
        <v>0</v>
      </c>
      <c r="AM233" s="8">
        <f>+MINVU_Mes_Corriente!AM233*SALUD_Mes_Constante!$AC$1</f>
        <v>0</v>
      </c>
      <c r="AN233" s="8">
        <f>+MINVU_Mes_Corriente!AN233*SALUD_Mes_Constante!$AC$1</f>
        <v>0</v>
      </c>
      <c r="AO233" s="9">
        <f t="shared" si="116"/>
        <v>0</v>
      </c>
      <c r="AP233" s="8">
        <f>+MINVU_Mes_Corriente!AP233*SALUD_Mes_Constante!$AP$1</f>
        <v>0</v>
      </c>
      <c r="AQ233" s="8">
        <f>+MINVU_Mes_Corriente!AQ233*SALUD_Mes_Constante!$AP$1</f>
        <v>0</v>
      </c>
      <c r="AR233" s="8">
        <f>+MINVU_Mes_Corriente!AR233*SALUD_Mes_Constante!$AP$1</f>
        <v>0</v>
      </c>
      <c r="AS233" s="8">
        <f>+MINVU_Mes_Corriente!AS233*SALUD_Mes_Constante!$AP$1</f>
        <v>0</v>
      </c>
      <c r="AT233" s="8">
        <f>+MINVU_Mes_Corriente!AT233*SALUD_Mes_Constante!$AP$1</f>
        <v>0</v>
      </c>
      <c r="AU233" s="8">
        <f>+MINVU_Mes_Corriente!AU233*SALUD_Mes_Constante!$AP$1</f>
        <v>0</v>
      </c>
      <c r="AV233" s="8">
        <f>+MINVU_Mes_Corriente!AV233*SALUD_Mes_Constante!$AP$1</f>
        <v>0</v>
      </c>
      <c r="AW233" s="8">
        <f>+MINVU_Mes_Corriente!AW233*SALUD_Mes_Constante!$AP$1</f>
        <v>0</v>
      </c>
      <c r="AX233" s="8">
        <f>+MINVU_Mes_Corriente!AX233*SALUD_Mes_Constante!$AP$1</f>
        <v>0</v>
      </c>
      <c r="AY233" s="8">
        <f>+MINVU_Mes_Corriente!AY233*SALUD_Mes_Constante!$AP$1</f>
        <v>0</v>
      </c>
      <c r="AZ233" s="8">
        <f>+MINVU_Mes_Corriente!AZ233*SALUD_Mes_Constante!$AP$1</f>
        <v>0</v>
      </c>
      <c r="BA233" s="8">
        <f>+MINVU_Mes_Corriente!BA233*SALUD_Mes_Constante!$AP$1</f>
        <v>0</v>
      </c>
      <c r="BB233" s="9">
        <f t="shared" si="117"/>
        <v>0</v>
      </c>
      <c r="BC233" s="8">
        <f>+MINVU_Mes_Corriente!BC233*SALUD_Mes_Constante!$BC$1</f>
        <v>0</v>
      </c>
      <c r="BD233" s="8">
        <f>+MINVU_Mes_Corriente!BD233*SALUD_Mes_Constante!$BC$1</f>
        <v>0</v>
      </c>
      <c r="BE233" s="8">
        <f>+MINVU_Mes_Corriente!BE233*SALUD_Mes_Constante!$BC$1</f>
        <v>0</v>
      </c>
      <c r="BF233" s="8">
        <f>+MINVU_Mes_Corriente!BF233*SALUD_Mes_Constante!$BC$1</f>
        <v>0</v>
      </c>
      <c r="BG233" s="8">
        <f>+MINVU_Mes_Corriente!BG233*SALUD_Mes_Constante!$BC$1</f>
        <v>0</v>
      </c>
      <c r="BH233" s="8">
        <f>+MINVU_Mes_Corriente!BH233*SALUD_Mes_Constante!$BC$1</f>
        <v>0</v>
      </c>
      <c r="BI233" s="8">
        <f>+MINVU_Mes_Corriente!BI233*SALUD_Mes_Constante!$BC$1</f>
        <v>0</v>
      </c>
      <c r="BJ233" s="8">
        <f>+MINVU_Mes_Corriente!BJ233*SALUD_Mes_Constante!$BC$1</f>
        <v>0</v>
      </c>
      <c r="BK233" s="8">
        <f>+MINVU_Mes_Corriente!BK233*SALUD_Mes_Constante!$BC$1</f>
        <v>0</v>
      </c>
      <c r="BL233" s="8">
        <f>+MINVU_Mes_Corriente!BL233*SALUD_Mes_Constante!$BC$1</f>
        <v>0</v>
      </c>
      <c r="BM233" s="8">
        <f>+MINVU_Mes_Corriente!BM233*SALUD_Mes_Constante!$BC$1</f>
        <v>0</v>
      </c>
      <c r="BN233" s="8">
        <f>+MINVU_Mes_Corriente!BN233*SALUD_Mes_Constante!$BC$1</f>
        <v>0</v>
      </c>
      <c r="BO233" s="9">
        <f t="shared" si="118"/>
        <v>0</v>
      </c>
      <c r="BP233" s="8">
        <f>+MINVU_Mes_Corriente!BP233*SALUD_Mes_Constante!$BP$1</f>
        <v>0</v>
      </c>
      <c r="BQ233" s="8">
        <f>+MINVU_Mes_Corriente!BQ233*SALUD_Mes_Constante!$BP$1</f>
        <v>0</v>
      </c>
      <c r="BR233" s="8">
        <f>+MINVU_Mes_Corriente!BR233*SALUD_Mes_Constante!$BP$1</f>
        <v>0</v>
      </c>
      <c r="BS233" s="8">
        <f>+MINVU_Mes_Corriente!BS233*SALUD_Mes_Constante!$BP$1</f>
        <v>0</v>
      </c>
      <c r="BT233" s="8">
        <f>+MINVU_Mes_Corriente!BT233*SALUD_Mes_Constante!$BP$1</f>
        <v>0</v>
      </c>
      <c r="BU233" s="8">
        <f>+MINVU_Mes_Corriente!BU233*SALUD_Mes_Constante!$BP$1</f>
        <v>0</v>
      </c>
      <c r="BV233" s="8">
        <f>+MINVU_Mes_Corriente!BV233*SALUD_Mes_Constante!$BP$1</f>
        <v>0</v>
      </c>
      <c r="BW233" s="8">
        <f>+MINVU_Mes_Corriente!BW233*SALUD_Mes_Constante!$BP$1</f>
        <v>0</v>
      </c>
      <c r="BX233" s="8">
        <f>+MINVU_Mes_Corriente!BX233*SALUD_Mes_Constante!$BP$1</f>
        <v>0</v>
      </c>
      <c r="BY233" s="8">
        <f>+MINVU_Mes_Corriente!BY233*SALUD_Mes_Constante!$BP$1</f>
        <v>0</v>
      </c>
      <c r="BZ233" s="8">
        <f>+MINVU_Mes_Corriente!BZ233*SALUD_Mes_Constante!$BP$1</f>
        <v>0</v>
      </c>
      <c r="CA233" s="8">
        <f>+MINVU_Mes_Corriente!CA233*SALUD_Mes_Constante!$BP$1</f>
        <v>0</v>
      </c>
      <c r="CB233" s="9">
        <f t="shared" si="119"/>
        <v>0</v>
      </c>
      <c r="CC233" s="8">
        <f>+MINVU_Mes_Corriente!CC233*SALUD_Mes_Constante!$CC$1</f>
        <v>0</v>
      </c>
      <c r="CD233" s="8">
        <f>+MINVU_Mes_Corriente!CD233*SALUD_Mes_Constante!$CC$1</f>
        <v>0</v>
      </c>
      <c r="CE233" s="8">
        <f>+MINVU_Mes_Corriente!CE233*SALUD_Mes_Constante!$CC$1</f>
        <v>0</v>
      </c>
      <c r="CF233" s="8">
        <f>+MINVU_Mes_Corriente!CF233*SALUD_Mes_Constante!$CC$1</f>
        <v>0</v>
      </c>
      <c r="CG233" s="8">
        <f>+MINVU_Mes_Corriente!CG233*SALUD_Mes_Constante!$CC$1</f>
        <v>0</v>
      </c>
      <c r="CH233" s="8">
        <f>+MINVU_Mes_Corriente!CH233*SALUD_Mes_Constante!$CC$1</f>
        <v>0</v>
      </c>
      <c r="CI233" s="8">
        <f>+MINVU_Mes_Corriente!CI233*SALUD_Mes_Constante!$CC$1</f>
        <v>0</v>
      </c>
      <c r="CJ233" s="8">
        <f>+MINVU_Mes_Corriente!CJ233*SALUD_Mes_Constante!$CC$1</f>
        <v>0</v>
      </c>
      <c r="CK233" s="8">
        <f>+MINVU_Mes_Corriente!CK233*SALUD_Mes_Constante!$CC$1</f>
        <v>0</v>
      </c>
      <c r="CL233" s="8">
        <f>+MINVU_Mes_Corriente!CL233*SALUD_Mes_Constante!$CC$1</f>
        <v>0</v>
      </c>
      <c r="CM233" s="8">
        <f>+MINVU_Mes_Corriente!CM233*SALUD_Mes_Constante!$CC$1</f>
        <v>0</v>
      </c>
      <c r="CN233" s="8">
        <f>+MINVU_Mes_Corriente!CN233*SALUD_Mes_Constante!$CC$1</f>
        <v>0</v>
      </c>
      <c r="CO233" s="9">
        <f t="shared" si="120"/>
        <v>0</v>
      </c>
      <c r="CP233" s="8">
        <f>+MINVU_Mes_Corriente!CP233*SALUD_Mes_Constante!$CP$1</f>
        <v>0</v>
      </c>
      <c r="CQ233" s="8">
        <f>+MINVU_Mes_Corriente!CQ233*SALUD_Mes_Constante!$CP$1</f>
        <v>0</v>
      </c>
      <c r="CR233" s="8">
        <f>+MINVU_Mes_Corriente!CR233*SALUD_Mes_Constante!$CP$1</f>
        <v>0</v>
      </c>
      <c r="CS233" s="8">
        <f>+MINVU_Mes_Corriente!CS233*SALUD_Mes_Constante!$CP$1</f>
        <v>0</v>
      </c>
      <c r="CT233" s="8">
        <f>+MINVU_Mes_Corriente!CT233*SALUD_Mes_Constante!$CP$1</f>
        <v>0</v>
      </c>
      <c r="CU233" s="8">
        <f>+MINVU_Mes_Corriente!CU233*SALUD_Mes_Constante!$CP$1</f>
        <v>0</v>
      </c>
      <c r="CV233" s="8">
        <f>+MINVU_Mes_Corriente!CV233*SALUD_Mes_Constante!$CP$1</f>
        <v>0</v>
      </c>
      <c r="CW233" s="8">
        <f>+MINVU_Mes_Corriente!CW233*SALUD_Mes_Constante!$CP$1</f>
        <v>0</v>
      </c>
      <c r="CX233" s="8">
        <f>+MINVU_Mes_Corriente!CX233*SALUD_Mes_Constante!$CP$1</f>
        <v>0</v>
      </c>
      <c r="CY233" s="8">
        <f>+MINVU_Mes_Corriente!CY233*SALUD_Mes_Constante!$CP$1</f>
        <v>0</v>
      </c>
      <c r="CZ233" s="8">
        <f>+MINVU_Mes_Corriente!CZ233*SALUD_Mes_Constante!$CP$1</f>
        <v>0</v>
      </c>
      <c r="DA233" s="8">
        <f>+MINVU_Mes_Corriente!DA233*SALUD_Mes_Constante!$CP$1</f>
        <v>0</v>
      </c>
      <c r="DB233" s="9">
        <f t="shared" si="121"/>
        <v>0</v>
      </c>
      <c r="DC233" s="8">
        <f>+MINVU_Mes_Corriente!DC233*SALUD_Mes_Constante!$DC$1</f>
        <v>0</v>
      </c>
      <c r="DD233" s="8">
        <f>+MINVU_Mes_Corriente!DD233*SALUD_Mes_Constante!$DC$1</f>
        <v>0</v>
      </c>
      <c r="DE233" s="8">
        <f>+MINVU_Mes_Corriente!DE233*SALUD_Mes_Constante!$DC$1</f>
        <v>0</v>
      </c>
      <c r="DF233" s="8">
        <f>+MINVU_Mes_Corriente!DF233*SALUD_Mes_Constante!$DC$1</f>
        <v>0</v>
      </c>
      <c r="DG233" s="8">
        <f>+MINVU_Mes_Corriente!DG233*SALUD_Mes_Constante!$DC$1</f>
        <v>0</v>
      </c>
      <c r="DH233" s="8">
        <f>+MINVU_Mes_Corriente!DH233*SALUD_Mes_Constante!$DC$1</f>
        <v>0</v>
      </c>
      <c r="DI233" s="8">
        <f>+MINVU_Mes_Corriente!DI233*SALUD_Mes_Constante!$DC$1</f>
        <v>0</v>
      </c>
      <c r="DJ233" s="8">
        <f>+MINVU_Mes_Corriente!DJ233*SALUD_Mes_Constante!$DC$1</f>
        <v>0</v>
      </c>
      <c r="DK233" s="8">
        <f>+MINVU_Mes_Corriente!DK233*SALUD_Mes_Constante!$DC$1</f>
        <v>0</v>
      </c>
      <c r="DL233" s="8">
        <f>+MINVU_Mes_Corriente!DL233*SALUD_Mes_Constante!$DC$1</f>
        <v>0</v>
      </c>
      <c r="DM233" s="8">
        <f>+MINVU_Mes_Corriente!DM233*SALUD_Mes_Constante!$DC$1</f>
        <v>0</v>
      </c>
      <c r="DN233" s="8">
        <f>+MINVU_Mes_Corriente!DN233*SALUD_Mes_Constante!$DC$1</f>
        <v>0</v>
      </c>
      <c r="DO233" s="9">
        <f t="shared" si="122"/>
        <v>0</v>
      </c>
      <c r="DP233" s="8">
        <f>+MINVU_Mes_Corriente!DP233*SALUD_Mes_Constante!$DP$1</f>
        <v>0</v>
      </c>
      <c r="DQ233" s="8">
        <f>+MINVU_Mes_Corriente!DQ233*SALUD_Mes_Constante!$DP$1</f>
        <v>0</v>
      </c>
      <c r="DR233" s="8">
        <f>+MINVU_Mes_Corriente!DR233*SALUD_Mes_Constante!$DP$1</f>
        <v>0</v>
      </c>
      <c r="DS233" s="8">
        <f>+MINVU_Mes_Corriente!DS233*SALUD_Mes_Constante!$DP$1</f>
        <v>0</v>
      </c>
      <c r="DT233" s="8">
        <f>+MINVU_Mes_Corriente!DT233*SALUD_Mes_Constante!$DP$1</f>
        <v>0</v>
      </c>
      <c r="DU233" s="8">
        <f>+MINVU_Mes_Corriente!DU233*SALUD_Mes_Constante!$DP$1</f>
        <v>0</v>
      </c>
      <c r="DV233" s="8">
        <f>+MINVU_Mes_Corriente!DV233*SALUD_Mes_Constante!$DP$1</f>
        <v>0</v>
      </c>
      <c r="DW233" s="8">
        <f>+MINVU_Mes_Corriente!DW233*SALUD_Mes_Constante!$DP$1</f>
        <v>0</v>
      </c>
      <c r="DX233" s="8">
        <f>+MINVU_Mes_Corriente!DX233*SALUD_Mes_Constante!$DP$1</f>
        <v>0</v>
      </c>
      <c r="DY233" s="8">
        <f>+MINVU_Mes_Corriente!DY233*SALUD_Mes_Constante!$DP$1</f>
        <v>0</v>
      </c>
      <c r="DZ233" s="8">
        <f>+MINVU_Mes_Corriente!DZ233*SALUD_Mes_Constante!$DP$1</f>
        <v>0</v>
      </c>
      <c r="EA233" s="8">
        <f>+MINVU_Mes_Corriente!EA233*SALUD_Mes_Constante!$DP$1</f>
        <v>0</v>
      </c>
      <c r="EB233" s="9">
        <f t="shared" si="123"/>
        <v>0</v>
      </c>
      <c r="EC233" s="8">
        <f>+MINVU_Mes_Corriente!EC233*SALUD_Mes_Constante!$EC$1</f>
        <v>0</v>
      </c>
      <c r="ED233" s="8">
        <f>+MINVU_Mes_Corriente!ED233*SALUD_Mes_Constante!$EC$1</f>
        <v>0</v>
      </c>
      <c r="EE233" s="8">
        <f>+MINVU_Mes_Corriente!EE233*SALUD_Mes_Constante!$EC$1</f>
        <v>0</v>
      </c>
      <c r="EF233" s="8">
        <f>+MINVU_Mes_Corriente!EF233*SALUD_Mes_Constante!$EC$1</f>
        <v>0</v>
      </c>
      <c r="EG233" s="8">
        <f>+MINVU_Mes_Corriente!EG233*SALUD_Mes_Constante!$EC$1</f>
        <v>0</v>
      </c>
      <c r="EH233" s="8">
        <f>+MINVU_Mes_Corriente!EH233*SALUD_Mes_Constante!$EC$1</f>
        <v>0</v>
      </c>
      <c r="EI233" s="8">
        <f>+MINVU_Mes_Corriente!EI233*SALUD_Mes_Constante!$EC$1</f>
        <v>0</v>
      </c>
      <c r="EJ233" s="8">
        <f>+MINVU_Mes_Corriente!EJ233*SALUD_Mes_Constante!$EC$1</f>
        <v>0</v>
      </c>
      <c r="EK233" s="8">
        <f>+MINVU_Mes_Corriente!EK233*SALUD_Mes_Constante!$EC$1</f>
        <v>0</v>
      </c>
      <c r="EL233" s="8">
        <f>+MINVU_Mes_Corriente!EL233*SALUD_Mes_Constante!$EC$1</f>
        <v>0</v>
      </c>
      <c r="EM233" s="8">
        <f>+MINVU_Mes_Corriente!EM233*SALUD_Mes_Constante!$EC$1</f>
        <v>0</v>
      </c>
      <c r="EN233" s="8">
        <f>+MINVU_Mes_Corriente!EN233*SALUD_Mes_Constante!$EC$1</f>
        <v>0</v>
      </c>
      <c r="EO233" s="9">
        <f t="shared" si="124"/>
        <v>0</v>
      </c>
      <c r="EP233" s="8">
        <f>+MINVU_Mes_Corriente!EP233*SALUD_Mes_Constante!$EP$1</f>
        <v>0</v>
      </c>
      <c r="EQ233" s="8">
        <f>+MINVU_Mes_Corriente!EQ233*SALUD_Mes_Constante!$EP$1</f>
        <v>0</v>
      </c>
      <c r="ER233" s="8">
        <f>+MINVU_Mes_Corriente!ER233*SALUD_Mes_Constante!$EP$1</f>
        <v>0</v>
      </c>
      <c r="ES233" s="8">
        <f>+MINVU_Mes_Corriente!ES233*SALUD_Mes_Constante!$EP$1</f>
        <v>0</v>
      </c>
      <c r="ET233" s="8">
        <f>+MINVU_Mes_Corriente!ET233*SALUD_Mes_Constante!$EP$1</f>
        <v>0</v>
      </c>
      <c r="EU233" s="8">
        <f>+MINVU_Mes_Corriente!EU233*SALUD_Mes_Constante!$EP$1</f>
        <v>0</v>
      </c>
      <c r="EV233" s="8">
        <f>+MINVU_Mes_Corriente!EV233*SALUD_Mes_Constante!$EP$1</f>
        <v>0</v>
      </c>
      <c r="EW233" s="8">
        <f>+MINVU_Mes_Corriente!EW233*SALUD_Mes_Constante!$EP$1</f>
        <v>0</v>
      </c>
      <c r="EX233" s="8">
        <f>+MINVU_Mes_Corriente!EX233*SALUD_Mes_Constante!$EP$1</f>
        <v>0</v>
      </c>
      <c r="EY233" s="8">
        <f>+MINVU_Mes_Corriente!EY233*SALUD_Mes_Constante!$EP$1</f>
        <v>0</v>
      </c>
      <c r="EZ233" s="8">
        <f>+MINVU_Mes_Corriente!EZ233*SALUD_Mes_Constante!$EP$1</f>
        <v>0</v>
      </c>
      <c r="FA233" s="8">
        <f>+MINVU_Mes_Corriente!FA233*SALUD_Mes_Constante!$EP$1</f>
        <v>0</v>
      </c>
      <c r="FB233" s="9">
        <f t="shared" si="125"/>
        <v>0</v>
      </c>
      <c r="FC233" s="8">
        <f>+MINVU_Mes_Corriente!FC233*SALUD_Mes_Constante!$FC$1</f>
        <v>0</v>
      </c>
      <c r="FD233" s="8">
        <f>+MINVU_Mes_Corriente!FD233*SALUD_Mes_Constante!$FC$1</f>
        <v>0</v>
      </c>
      <c r="FE233" s="8">
        <f>+MINVU_Mes_Corriente!FE233*SALUD_Mes_Constante!$FC$1</f>
        <v>0</v>
      </c>
      <c r="FF233" s="8">
        <f>+MINVU_Mes_Corriente!FF233*SALUD_Mes_Constante!$FC$1</f>
        <v>0</v>
      </c>
      <c r="FG233" s="8">
        <f>+MINVU_Mes_Corriente!FG233*SALUD_Mes_Constante!$FC$1</f>
        <v>0</v>
      </c>
      <c r="FH233" s="8">
        <f>+MINVU_Mes_Corriente!FH233*SALUD_Mes_Constante!$FC$1</f>
        <v>0</v>
      </c>
      <c r="FI233" s="8">
        <f>+MINVU_Mes_Corriente!FI233*SALUD_Mes_Constante!$FC$1</f>
        <v>0</v>
      </c>
      <c r="FJ233" s="8"/>
      <c r="FK233" s="8"/>
      <c r="FL233" s="8"/>
      <c r="FM233" s="8"/>
      <c r="FN233" s="8"/>
      <c r="FO233" s="9">
        <f t="shared" si="126"/>
        <v>0</v>
      </c>
    </row>
    <row r="234" spans="2:171" ht="14.25" customHeight="1" x14ac:dyDescent="0.3">
      <c r="B234" s="7" t="s">
        <v>47</v>
      </c>
      <c r="C234" s="8">
        <f>+MINVU_Mes_Corriente!C234*SALUD_Mes_Constante!$C$1</f>
        <v>0</v>
      </c>
      <c r="D234" s="8">
        <f>+MINVU_Mes_Corriente!D234*SALUD_Mes_Constante!$C$1</f>
        <v>0</v>
      </c>
      <c r="E234" s="8">
        <f>+MINVU_Mes_Corriente!E234*SALUD_Mes_Constante!$C$1</f>
        <v>0</v>
      </c>
      <c r="F234" s="8">
        <f>+MINVU_Mes_Corriente!F234*SALUD_Mes_Constante!$C$1</f>
        <v>0</v>
      </c>
      <c r="G234" s="8">
        <f>+MINVU_Mes_Corriente!G234*SALUD_Mes_Constante!$C$1</f>
        <v>0</v>
      </c>
      <c r="H234" s="8">
        <f>+MINVU_Mes_Corriente!H234*SALUD_Mes_Constante!$C$1</f>
        <v>0</v>
      </c>
      <c r="I234" s="8">
        <f>+MINVU_Mes_Corriente!I234*SALUD_Mes_Constante!$C$1</f>
        <v>0</v>
      </c>
      <c r="J234" s="8">
        <f>+MINVU_Mes_Corriente!J234*SALUD_Mes_Constante!$C$1</f>
        <v>0</v>
      </c>
      <c r="K234" s="8">
        <f>+MINVU_Mes_Corriente!K234*SALUD_Mes_Constante!$C$1</f>
        <v>0</v>
      </c>
      <c r="L234" s="8">
        <f>+MINVU_Mes_Corriente!L234*SALUD_Mes_Constante!$C$1</f>
        <v>0</v>
      </c>
      <c r="M234" s="8">
        <f>+MINVU_Mes_Corriente!M234*SALUD_Mes_Constante!$C$1</f>
        <v>0</v>
      </c>
      <c r="N234" s="8">
        <f>+MINVU_Mes_Corriente!N234*SALUD_Mes_Constante!$C$1</f>
        <v>0</v>
      </c>
      <c r="O234" s="9">
        <f t="shared" si="114"/>
        <v>0</v>
      </c>
      <c r="P234" s="8">
        <f>+MINVU_Mes_Corriente!P234*SALUD_Mes_Constante!$P$1</f>
        <v>0</v>
      </c>
      <c r="Q234" s="8">
        <f>+MINVU_Mes_Corriente!Q234*SALUD_Mes_Constante!$P$1</f>
        <v>0</v>
      </c>
      <c r="R234" s="8">
        <f>+MINVU_Mes_Corriente!R234*SALUD_Mes_Constante!$P$1</f>
        <v>0</v>
      </c>
      <c r="S234" s="8">
        <f>+MINVU_Mes_Corriente!S234*SALUD_Mes_Constante!$P$1</f>
        <v>0</v>
      </c>
      <c r="T234" s="8">
        <f>+MINVU_Mes_Corriente!T234*SALUD_Mes_Constante!$P$1</f>
        <v>0</v>
      </c>
      <c r="U234" s="8">
        <f>+MINVU_Mes_Corriente!U234*SALUD_Mes_Constante!$P$1</f>
        <v>0</v>
      </c>
      <c r="V234" s="8">
        <f>+MINVU_Mes_Corriente!V234*SALUD_Mes_Constante!$P$1</f>
        <v>0</v>
      </c>
      <c r="W234" s="8">
        <f>+MINVU_Mes_Corriente!W234*SALUD_Mes_Constante!$P$1</f>
        <v>0</v>
      </c>
      <c r="X234" s="8">
        <f>+MINVU_Mes_Corriente!X234*SALUD_Mes_Constante!$P$1</f>
        <v>0</v>
      </c>
      <c r="Y234" s="8">
        <f>+MINVU_Mes_Corriente!Y234*SALUD_Mes_Constante!$P$1</f>
        <v>0</v>
      </c>
      <c r="Z234" s="8">
        <f>+MINVU_Mes_Corriente!Z234*SALUD_Mes_Constante!$P$1</f>
        <v>0</v>
      </c>
      <c r="AA234" s="8">
        <f>+MINVU_Mes_Corriente!AA234*SALUD_Mes_Constante!$P$1</f>
        <v>0</v>
      </c>
      <c r="AB234" s="9">
        <f t="shared" si="115"/>
        <v>0</v>
      </c>
      <c r="AC234" s="8">
        <f>+MINVU_Mes_Corriente!AC234*SALUD_Mes_Constante!$AC$1</f>
        <v>0</v>
      </c>
      <c r="AD234" s="8">
        <f>+MINVU_Mes_Corriente!AD234*SALUD_Mes_Constante!$AC$1</f>
        <v>0</v>
      </c>
      <c r="AE234" s="8">
        <f>+MINVU_Mes_Corriente!AE234*SALUD_Mes_Constante!$AC$1</f>
        <v>0</v>
      </c>
      <c r="AF234" s="8">
        <f>+MINVU_Mes_Corriente!AF234*SALUD_Mes_Constante!$AC$1</f>
        <v>0</v>
      </c>
      <c r="AG234" s="8">
        <f>+MINVU_Mes_Corriente!AG234*SALUD_Mes_Constante!$AC$1</f>
        <v>0</v>
      </c>
      <c r="AH234" s="8">
        <f>+MINVU_Mes_Corriente!AH234*SALUD_Mes_Constante!$AC$1</f>
        <v>0</v>
      </c>
      <c r="AI234" s="8">
        <f>+MINVU_Mes_Corriente!AI234*SALUD_Mes_Constante!$AC$1</f>
        <v>0</v>
      </c>
      <c r="AJ234" s="8">
        <f>+MINVU_Mes_Corriente!AJ234*SALUD_Mes_Constante!$AC$1</f>
        <v>0</v>
      </c>
      <c r="AK234" s="8">
        <f>+MINVU_Mes_Corriente!AK234*SALUD_Mes_Constante!$AC$1</f>
        <v>0</v>
      </c>
      <c r="AL234" s="8">
        <f>+MINVU_Mes_Corriente!AL234*SALUD_Mes_Constante!$AC$1</f>
        <v>0</v>
      </c>
      <c r="AM234" s="8">
        <f>+MINVU_Mes_Corriente!AM234*SALUD_Mes_Constante!$AC$1</f>
        <v>0</v>
      </c>
      <c r="AN234" s="8">
        <f>+MINVU_Mes_Corriente!AN234*SALUD_Mes_Constante!$AC$1</f>
        <v>0</v>
      </c>
      <c r="AO234" s="9">
        <f t="shared" si="116"/>
        <v>0</v>
      </c>
      <c r="AP234" s="8">
        <f>+MINVU_Mes_Corriente!AP234*SALUD_Mes_Constante!$AP$1</f>
        <v>0</v>
      </c>
      <c r="AQ234" s="8">
        <f>+MINVU_Mes_Corriente!AQ234*SALUD_Mes_Constante!$AP$1</f>
        <v>0</v>
      </c>
      <c r="AR234" s="8">
        <f>+MINVU_Mes_Corriente!AR234*SALUD_Mes_Constante!$AP$1</f>
        <v>0</v>
      </c>
      <c r="AS234" s="8">
        <f>+MINVU_Mes_Corriente!AS234*SALUD_Mes_Constante!$AP$1</f>
        <v>0</v>
      </c>
      <c r="AT234" s="8">
        <f>+MINVU_Mes_Corriente!AT234*SALUD_Mes_Constante!$AP$1</f>
        <v>0</v>
      </c>
      <c r="AU234" s="8">
        <f>+MINVU_Mes_Corriente!AU234*SALUD_Mes_Constante!$AP$1</f>
        <v>0</v>
      </c>
      <c r="AV234" s="8">
        <f>+MINVU_Mes_Corriente!AV234*SALUD_Mes_Constante!$AP$1</f>
        <v>0</v>
      </c>
      <c r="AW234" s="8">
        <f>+MINVU_Mes_Corriente!AW234*SALUD_Mes_Constante!$AP$1</f>
        <v>0</v>
      </c>
      <c r="AX234" s="8">
        <f>+MINVU_Mes_Corriente!AX234*SALUD_Mes_Constante!$AP$1</f>
        <v>0</v>
      </c>
      <c r="AY234" s="8">
        <f>+MINVU_Mes_Corriente!AY234*SALUD_Mes_Constante!$AP$1</f>
        <v>0</v>
      </c>
      <c r="AZ234" s="8">
        <f>+MINVU_Mes_Corriente!AZ234*SALUD_Mes_Constante!$AP$1</f>
        <v>0</v>
      </c>
      <c r="BA234" s="8">
        <f>+MINVU_Mes_Corriente!BA234*SALUD_Mes_Constante!$AP$1</f>
        <v>0</v>
      </c>
      <c r="BB234" s="9">
        <f t="shared" si="117"/>
        <v>0</v>
      </c>
      <c r="BC234" s="8">
        <f>+MINVU_Mes_Corriente!BC234*SALUD_Mes_Constante!$BC$1</f>
        <v>0</v>
      </c>
      <c r="BD234" s="8">
        <f>+MINVU_Mes_Corriente!BD234*SALUD_Mes_Constante!$BC$1</f>
        <v>0</v>
      </c>
      <c r="BE234" s="8">
        <f>+MINVU_Mes_Corriente!BE234*SALUD_Mes_Constante!$BC$1</f>
        <v>0</v>
      </c>
      <c r="BF234" s="8">
        <f>+MINVU_Mes_Corriente!BF234*SALUD_Mes_Constante!$BC$1</f>
        <v>0</v>
      </c>
      <c r="BG234" s="8">
        <f>+MINVU_Mes_Corriente!BG234*SALUD_Mes_Constante!$BC$1</f>
        <v>0</v>
      </c>
      <c r="BH234" s="8">
        <f>+MINVU_Mes_Corriente!BH234*SALUD_Mes_Constante!$BC$1</f>
        <v>0</v>
      </c>
      <c r="BI234" s="8">
        <f>+MINVU_Mes_Corriente!BI234*SALUD_Mes_Constante!$BC$1</f>
        <v>0</v>
      </c>
      <c r="BJ234" s="8">
        <f>+MINVU_Mes_Corriente!BJ234*SALUD_Mes_Constante!$BC$1</f>
        <v>0</v>
      </c>
      <c r="BK234" s="8">
        <f>+MINVU_Mes_Corriente!BK234*SALUD_Mes_Constante!$BC$1</f>
        <v>0</v>
      </c>
      <c r="BL234" s="8">
        <f>+MINVU_Mes_Corriente!BL234*SALUD_Mes_Constante!$BC$1</f>
        <v>0</v>
      </c>
      <c r="BM234" s="8">
        <f>+MINVU_Mes_Corriente!BM234*SALUD_Mes_Constante!$BC$1</f>
        <v>0</v>
      </c>
      <c r="BN234" s="8">
        <f>+MINVU_Mes_Corriente!BN234*SALUD_Mes_Constante!$BC$1</f>
        <v>0</v>
      </c>
      <c r="BO234" s="9">
        <f t="shared" si="118"/>
        <v>0</v>
      </c>
      <c r="BP234" s="8">
        <f>+MINVU_Mes_Corriente!BP234*SALUD_Mes_Constante!$BP$1</f>
        <v>0</v>
      </c>
      <c r="BQ234" s="8">
        <f>+MINVU_Mes_Corriente!BQ234*SALUD_Mes_Constante!$BP$1</f>
        <v>0</v>
      </c>
      <c r="BR234" s="8">
        <f>+MINVU_Mes_Corriente!BR234*SALUD_Mes_Constante!$BP$1</f>
        <v>0</v>
      </c>
      <c r="BS234" s="8">
        <f>+MINVU_Mes_Corriente!BS234*SALUD_Mes_Constante!$BP$1</f>
        <v>0</v>
      </c>
      <c r="BT234" s="8">
        <f>+MINVU_Mes_Corriente!BT234*SALUD_Mes_Constante!$BP$1</f>
        <v>0</v>
      </c>
      <c r="BU234" s="8">
        <f>+MINVU_Mes_Corriente!BU234*SALUD_Mes_Constante!$BP$1</f>
        <v>0</v>
      </c>
      <c r="BV234" s="8">
        <f>+MINVU_Mes_Corriente!BV234*SALUD_Mes_Constante!$BP$1</f>
        <v>0</v>
      </c>
      <c r="BW234" s="8">
        <f>+MINVU_Mes_Corriente!BW234*SALUD_Mes_Constante!$BP$1</f>
        <v>0</v>
      </c>
      <c r="BX234" s="8">
        <f>+MINVU_Mes_Corriente!BX234*SALUD_Mes_Constante!$BP$1</f>
        <v>0</v>
      </c>
      <c r="BY234" s="8">
        <f>+MINVU_Mes_Corriente!BY234*SALUD_Mes_Constante!$BP$1</f>
        <v>0</v>
      </c>
      <c r="BZ234" s="8">
        <f>+MINVU_Mes_Corriente!BZ234*SALUD_Mes_Constante!$BP$1</f>
        <v>0</v>
      </c>
      <c r="CA234" s="8">
        <f>+MINVU_Mes_Corriente!CA234*SALUD_Mes_Constante!$BP$1</f>
        <v>0</v>
      </c>
      <c r="CB234" s="9">
        <f t="shared" si="119"/>
        <v>0</v>
      </c>
      <c r="CC234" s="8">
        <f>+MINVU_Mes_Corriente!CC234*SALUD_Mes_Constante!$CC$1</f>
        <v>0</v>
      </c>
      <c r="CD234" s="8">
        <f>+MINVU_Mes_Corriente!CD234*SALUD_Mes_Constante!$CC$1</f>
        <v>0</v>
      </c>
      <c r="CE234" s="8">
        <f>+MINVU_Mes_Corriente!CE234*SALUD_Mes_Constante!$CC$1</f>
        <v>0</v>
      </c>
      <c r="CF234" s="8">
        <f>+MINVU_Mes_Corriente!CF234*SALUD_Mes_Constante!$CC$1</f>
        <v>0</v>
      </c>
      <c r="CG234" s="8">
        <f>+MINVU_Mes_Corriente!CG234*SALUD_Mes_Constante!$CC$1</f>
        <v>0</v>
      </c>
      <c r="CH234" s="8">
        <f>+MINVU_Mes_Corriente!CH234*SALUD_Mes_Constante!$CC$1</f>
        <v>0</v>
      </c>
      <c r="CI234" s="8">
        <f>+MINVU_Mes_Corriente!CI234*SALUD_Mes_Constante!$CC$1</f>
        <v>0</v>
      </c>
      <c r="CJ234" s="8">
        <f>+MINVU_Mes_Corriente!CJ234*SALUD_Mes_Constante!$CC$1</f>
        <v>0</v>
      </c>
      <c r="CK234" s="8">
        <f>+MINVU_Mes_Corriente!CK234*SALUD_Mes_Constante!$CC$1</f>
        <v>0</v>
      </c>
      <c r="CL234" s="8">
        <f>+MINVU_Mes_Corriente!CL234*SALUD_Mes_Constante!$CC$1</f>
        <v>0</v>
      </c>
      <c r="CM234" s="8">
        <f>+MINVU_Mes_Corriente!CM234*SALUD_Mes_Constante!$CC$1</f>
        <v>0</v>
      </c>
      <c r="CN234" s="8">
        <f>+MINVU_Mes_Corriente!CN234*SALUD_Mes_Constante!$CC$1</f>
        <v>0</v>
      </c>
      <c r="CO234" s="9">
        <f t="shared" si="120"/>
        <v>0</v>
      </c>
      <c r="CP234" s="8">
        <f>+MINVU_Mes_Corriente!CP234*SALUD_Mes_Constante!$CP$1</f>
        <v>0</v>
      </c>
      <c r="CQ234" s="8">
        <f>+MINVU_Mes_Corriente!CQ234*SALUD_Mes_Constante!$CP$1</f>
        <v>0</v>
      </c>
      <c r="CR234" s="8">
        <f>+MINVU_Mes_Corriente!CR234*SALUD_Mes_Constante!$CP$1</f>
        <v>0</v>
      </c>
      <c r="CS234" s="8">
        <f>+MINVU_Mes_Corriente!CS234*SALUD_Mes_Constante!$CP$1</f>
        <v>0</v>
      </c>
      <c r="CT234" s="8">
        <f>+MINVU_Mes_Corriente!CT234*SALUD_Mes_Constante!$CP$1</f>
        <v>0</v>
      </c>
      <c r="CU234" s="8">
        <f>+MINVU_Mes_Corriente!CU234*SALUD_Mes_Constante!$CP$1</f>
        <v>0</v>
      </c>
      <c r="CV234" s="8">
        <f>+MINVU_Mes_Corriente!CV234*SALUD_Mes_Constante!$CP$1</f>
        <v>0</v>
      </c>
      <c r="CW234" s="8">
        <f>+MINVU_Mes_Corriente!CW234*SALUD_Mes_Constante!$CP$1</f>
        <v>0</v>
      </c>
      <c r="CX234" s="8">
        <f>+MINVU_Mes_Corriente!CX234*SALUD_Mes_Constante!$CP$1</f>
        <v>0</v>
      </c>
      <c r="CY234" s="8">
        <f>+MINVU_Mes_Corriente!CY234*SALUD_Mes_Constante!$CP$1</f>
        <v>0</v>
      </c>
      <c r="CZ234" s="8">
        <f>+MINVU_Mes_Corriente!CZ234*SALUD_Mes_Constante!$CP$1</f>
        <v>0</v>
      </c>
      <c r="DA234" s="8">
        <f>+MINVU_Mes_Corriente!DA234*SALUD_Mes_Constante!$CP$1</f>
        <v>0</v>
      </c>
      <c r="DB234" s="9">
        <f t="shared" si="121"/>
        <v>0</v>
      </c>
      <c r="DC234" s="8">
        <f>+MINVU_Mes_Corriente!DC234*SALUD_Mes_Constante!$DC$1</f>
        <v>0</v>
      </c>
      <c r="DD234" s="8">
        <f>+MINVU_Mes_Corriente!DD234*SALUD_Mes_Constante!$DC$1</f>
        <v>0</v>
      </c>
      <c r="DE234" s="8">
        <f>+MINVU_Mes_Corriente!DE234*SALUD_Mes_Constante!$DC$1</f>
        <v>0</v>
      </c>
      <c r="DF234" s="8">
        <f>+MINVU_Mes_Corriente!DF234*SALUD_Mes_Constante!$DC$1</f>
        <v>0</v>
      </c>
      <c r="DG234" s="8">
        <f>+MINVU_Mes_Corriente!DG234*SALUD_Mes_Constante!$DC$1</f>
        <v>0</v>
      </c>
      <c r="DH234" s="8">
        <f>+MINVU_Mes_Corriente!DH234*SALUD_Mes_Constante!$DC$1</f>
        <v>0</v>
      </c>
      <c r="DI234" s="8">
        <f>+MINVU_Mes_Corriente!DI234*SALUD_Mes_Constante!$DC$1</f>
        <v>0</v>
      </c>
      <c r="DJ234" s="8">
        <f>+MINVU_Mes_Corriente!DJ234*SALUD_Mes_Constante!$DC$1</f>
        <v>0</v>
      </c>
      <c r="DK234" s="8">
        <f>+MINVU_Mes_Corriente!DK234*SALUD_Mes_Constante!$DC$1</f>
        <v>0</v>
      </c>
      <c r="DL234" s="8">
        <f>+MINVU_Mes_Corriente!DL234*SALUD_Mes_Constante!$DC$1</f>
        <v>0</v>
      </c>
      <c r="DM234" s="8">
        <f>+MINVU_Mes_Corriente!DM234*SALUD_Mes_Constante!$DC$1</f>
        <v>0</v>
      </c>
      <c r="DN234" s="8">
        <f>+MINVU_Mes_Corriente!DN234*SALUD_Mes_Constante!$DC$1</f>
        <v>0</v>
      </c>
      <c r="DO234" s="9">
        <f t="shared" si="122"/>
        <v>0</v>
      </c>
      <c r="DP234" s="8">
        <f>+MINVU_Mes_Corriente!DP234*SALUD_Mes_Constante!$DP$1</f>
        <v>0</v>
      </c>
      <c r="DQ234" s="8">
        <f>+MINVU_Mes_Corriente!DQ234*SALUD_Mes_Constante!$DP$1</f>
        <v>0</v>
      </c>
      <c r="DR234" s="8">
        <f>+MINVU_Mes_Corriente!DR234*SALUD_Mes_Constante!$DP$1</f>
        <v>0</v>
      </c>
      <c r="DS234" s="8">
        <f>+MINVU_Mes_Corriente!DS234*SALUD_Mes_Constante!$DP$1</f>
        <v>0</v>
      </c>
      <c r="DT234" s="8">
        <f>+MINVU_Mes_Corriente!DT234*SALUD_Mes_Constante!$DP$1</f>
        <v>0</v>
      </c>
      <c r="DU234" s="8">
        <f>+MINVU_Mes_Corriente!DU234*SALUD_Mes_Constante!$DP$1</f>
        <v>0</v>
      </c>
      <c r="DV234" s="8">
        <f>+MINVU_Mes_Corriente!DV234*SALUD_Mes_Constante!$DP$1</f>
        <v>0</v>
      </c>
      <c r="DW234" s="8">
        <f>+MINVU_Mes_Corriente!DW234*SALUD_Mes_Constante!$DP$1</f>
        <v>0</v>
      </c>
      <c r="DX234" s="8">
        <f>+MINVU_Mes_Corriente!DX234*SALUD_Mes_Constante!$DP$1</f>
        <v>0</v>
      </c>
      <c r="DY234" s="8">
        <f>+MINVU_Mes_Corriente!DY234*SALUD_Mes_Constante!$DP$1</f>
        <v>0</v>
      </c>
      <c r="DZ234" s="8">
        <f>+MINVU_Mes_Corriente!DZ234*SALUD_Mes_Constante!$DP$1</f>
        <v>0</v>
      </c>
      <c r="EA234" s="8">
        <f>+MINVU_Mes_Corriente!EA234*SALUD_Mes_Constante!$DP$1</f>
        <v>0</v>
      </c>
      <c r="EB234" s="9">
        <f t="shared" si="123"/>
        <v>0</v>
      </c>
      <c r="EC234" s="8">
        <f>+MINVU_Mes_Corriente!EC234*SALUD_Mes_Constante!$EC$1</f>
        <v>0</v>
      </c>
      <c r="ED234" s="8">
        <f>+MINVU_Mes_Corriente!ED234*SALUD_Mes_Constante!$EC$1</f>
        <v>0</v>
      </c>
      <c r="EE234" s="8">
        <f>+MINVU_Mes_Corriente!EE234*SALUD_Mes_Constante!$EC$1</f>
        <v>0</v>
      </c>
      <c r="EF234" s="8">
        <f>+MINVU_Mes_Corriente!EF234*SALUD_Mes_Constante!$EC$1</f>
        <v>0</v>
      </c>
      <c r="EG234" s="8">
        <f>+MINVU_Mes_Corriente!EG234*SALUD_Mes_Constante!$EC$1</f>
        <v>0</v>
      </c>
      <c r="EH234" s="8">
        <f>+MINVU_Mes_Corriente!EH234*SALUD_Mes_Constante!$EC$1</f>
        <v>0</v>
      </c>
      <c r="EI234" s="8">
        <f>+MINVU_Mes_Corriente!EI234*SALUD_Mes_Constante!$EC$1</f>
        <v>0</v>
      </c>
      <c r="EJ234" s="8">
        <f>+MINVU_Mes_Corriente!EJ234*SALUD_Mes_Constante!$EC$1</f>
        <v>0</v>
      </c>
      <c r="EK234" s="8">
        <f>+MINVU_Mes_Corriente!EK234*SALUD_Mes_Constante!$EC$1</f>
        <v>0</v>
      </c>
      <c r="EL234" s="8">
        <f>+MINVU_Mes_Corriente!EL234*SALUD_Mes_Constante!$EC$1</f>
        <v>0</v>
      </c>
      <c r="EM234" s="8">
        <f>+MINVU_Mes_Corriente!EM234*SALUD_Mes_Constante!$EC$1</f>
        <v>0</v>
      </c>
      <c r="EN234" s="8">
        <f>+MINVU_Mes_Corriente!EN234*SALUD_Mes_Constante!$EC$1</f>
        <v>0</v>
      </c>
      <c r="EO234" s="9">
        <f t="shared" si="124"/>
        <v>0</v>
      </c>
      <c r="EP234" s="8">
        <f>+MINVU_Mes_Corriente!EP234*SALUD_Mes_Constante!$EP$1</f>
        <v>0</v>
      </c>
      <c r="EQ234" s="8">
        <f>+MINVU_Mes_Corriente!EQ234*SALUD_Mes_Constante!$EP$1</f>
        <v>0</v>
      </c>
      <c r="ER234" s="8">
        <f>+MINVU_Mes_Corriente!ER234*SALUD_Mes_Constante!$EP$1</f>
        <v>0</v>
      </c>
      <c r="ES234" s="8">
        <f>+MINVU_Mes_Corriente!ES234*SALUD_Mes_Constante!$EP$1</f>
        <v>0</v>
      </c>
      <c r="ET234" s="8">
        <f>+MINVU_Mes_Corriente!ET234*SALUD_Mes_Constante!$EP$1</f>
        <v>0</v>
      </c>
      <c r="EU234" s="8">
        <f>+MINVU_Mes_Corriente!EU234*SALUD_Mes_Constante!$EP$1</f>
        <v>0</v>
      </c>
      <c r="EV234" s="8">
        <f>+MINVU_Mes_Corriente!EV234*SALUD_Mes_Constante!$EP$1</f>
        <v>0</v>
      </c>
      <c r="EW234" s="8">
        <f>+MINVU_Mes_Corriente!EW234*SALUD_Mes_Constante!$EP$1</f>
        <v>0</v>
      </c>
      <c r="EX234" s="8">
        <f>+MINVU_Mes_Corriente!EX234*SALUD_Mes_Constante!$EP$1</f>
        <v>0</v>
      </c>
      <c r="EY234" s="8">
        <f>+MINVU_Mes_Corriente!EY234*SALUD_Mes_Constante!$EP$1</f>
        <v>0</v>
      </c>
      <c r="EZ234" s="8">
        <f>+MINVU_Mes_Corriente!EZ234*SALUD_Mes_Constante!$EP$1</f>
        <v>0</v>
      </c>
      <c r="FA234" s="8">
        <f>+MINVU_Mes_Corriente!FA234*SALUD_Mes_Constante!$EP$1</f>
        <v>0</v>
      </c>
      <c r="FB234" s="9">
        <f t="shared" si="125"/>
        <v>0</v>
      </c>
      <c r="FC234" s="8">
        <f>+MINVU_Mes_Corriente!FC234*SALUD_Mes_Constante!$FC$1</f>
        <v>0</v>
      </c>
      <c r="FD234" s="8">
        <f>+MINVU_Mes_Corriente!FD234*SALUD_Mes_Constante!$FC$1</f>
        <v>0</v>
      </c>
      <c r="FE234" s="8">
        <f>+MINVU_Mes_Corriente!FE234*SALUD_Mes_Constante!$FC$1</f>
        <v>0</v>
      </c>
      <c r="FF234" s="8">
        <f>+MINVU_Mes_Corriente!FF234*SALUD_Mes_Constante!$FC$1</f>
        <v>0</v>
      </c>
      <c r="FG234" s="8">
        <f>+MINVU_Mes_Corriente!FG234*SALUD_Mes_Constante!$FC$1</f>
        <v>0</v>
      </c>
      <c r="FH234" s="8">
        <f>+MINVU_Mes_Corriente!FH234*SALUD_Mes_Constante!$FC$1</f>
        <v>0</v>
      </c>
      <c r="FI234" s="8">
        <f>+MINVU_Mes_Corriente!FI234*SALUD_Mes_Constante!$FC$1</f>
        <v>0</v>
      </c>
      <c r="FJ234" s="8"/>
      <c r="FK234" s="8"/>
      <c r="FL234" s="8"/>
      <c r="FM234" s="8"/>
      <c r="FN234" s="8"/>
      <c r="FO234" s="9">
        <f t="shared" si="126"/>
        <v>0</v>
      </c>
    </row>
    <row r="235" spans="2:171" ht="14.25" customHeight="1" x14ac:dyDescent="0.3">
      <c r="B235" s="7" t="s">
        <v>48</v>
      </c>
      <c r="C235" s="8">
        <f>+MINVU_Mes_Corriente!C235*SALUD_Mes_Constante!$C$1</f>
        <v>0</v>
      </c>
      <c r="D235" s="8">
        <f>+MINVU_Mes_Corriente!D235*SALUD_Mes_Constante!$C$1</f>
        <v>0</v>
      </c>
      <c r="E235" s="8">
        <f>+MINVU_Mes_Corriente!E235*SALUD_Mes_Constante!$C$1</f>
        <v>0</v>
      </c>
      <c r="F235" s="8">
        <f>+MINVU_Mes_Corriente!F235*SALUD_Mes_Constante!$C$1</f>
        <v>0</v>
      </c>
      <c r="G235" s="8">
        <f>+MINVU_Mes_Corriente!G235*SALUD_Mes_Constante!$C$1</f>
        <v>0</v>
      </c>
      <c r="H235" s="8">
        <f>+MINVU_Mes_Corriente!H235*SALUD_Mes_Constante!$C$1</f>
        <v>0</v>
      </c>
      <c r="I235" s="8">
        <f>+MINVU_Mes_Corriente!I235*SALUD_Mes_Constante!$C$1</f>
        <v>0</v>
      </c>
      <c r="J235" s="8">
        <f>+MINVU_Mes_Corriente!J235*SALUD_Mes_Constante!$C$1</f>
        <v>0</v>
      </c>
      <c r="K235" s="8">
        <f>+MINVU_Mes_Corriente!K235*SALUD_Mes_Constante!$C$1</f>
        <v>0</v>
      </c>
      <c r="L235" s="8">
        <f>+MINVU_Mes_Corriente!L235*SALUD_Mes_Constante!$C$1</f>
        <v>0</v>
      </c>
      <c r="M235" s="8">
        <f>+MINVU_Mes_Corriente!M235*SALUD_Mes_Constante!$C$1</f>
        <v>0</v>
      </c>
      <c r="N235" s="8">
        <f>+MINVU_Mes_Corriente!N235*SALUD_Mes_Constante!$C$1</f>
        <v>0</v>
      </c>
      <c r="O235" s="9">
        <f t="shared" si="114"/>
        <v>0</v>
      </c>
      <c r="P235" s="8">
        <f>+MINVU_Mes_Corriente!P235*SALUD_Mes_Constante!$P$1</f>
        <v>0</v>
      </c>
      <c r="Q235" s="8">
        <f>+MINVU_Mes_Corriente!Q235*SALUD_Mes_Constante!$P$1</f>
        <v>0</v>
      </c>
      <c r="R235" s="8">
        <f>+MINVU_Mes_Corriente!R235*SALUD_Mes_Constante!$P$1</f>
        <v>0</v>
      </c>
      <c r="S235" s="8">
        <f>+MINVU_Mes_Corriente!S235*SALUD_Mes_Constante!$P$1</f>
        <v>0</v>
      </c>
      <c r="T235" s="8">
        <f>+MINVU_Mes_Corriente!T235*SALUD_Mes_Constante!$P$1</f>
        <v>0</v>
      </c>
      <c r="U235" s="8">
        <f>+MINVU_Mes_Corriente!U235*SALUD_Mes_Constante!$P$1</f>
        <v>0</v>
      </c>
      <c r="V235" s="8">
        <f>+MINVU_Mes_Corriente!V235*SALUD_Mes_Constante!$P$1</f>
        <v>0</v>
      </c>
      <c r="W235" s="8">
        <f>+MINVU_Mes_Corriente!W235*SALUD_Mes_Constante!$P$1</f>
        <v>0</v>
      </c>
      <c r="X235" s="8">
        <f>+MINVU_Mes_Corriente!X235*SALUD_Mes_Constante!$P$1</f>
        <v>0</v>
      </c>
      <c r="Y235" s="8">
        <f>+MINVU_Mes_Corriente!Y235*SALUD_Mes_Constante!$P$1</f>
        <v>0</v>
      </c>
      <c r="Z235" s="8">
        <f>+MINVU_Mes_Corriente!Z235*SALUD_Mes_Constante!$P$1</f>
        <v>0</v>
      </c>
      <c r="AA235" s="8">
        <f>+MINVU_Mes_Corriente!AA235*SALUD_Mes_Constante!$P$1</f>
        <v>0</v>
      </c>
      <c r="AB235" s="9">
        <f t="shared" si="115"/>
        <v>0</v>
      </c>
      <c r="AC235" s="8">
        <f>+MINVU_Mes_Corriente!AC235*SALUD_Mes_Constante!$AC$1</f>
        <v>0</v>
      </c>
      <c r="AD235" s="8">
        <f>+MINVU_Mes_Corriente!AD235*SALUD_Mes_Constante!$AC$1</f>
        <v>0</v>
      </c>
      <c r="AE235" s="8">
        <f>+MINVU_Mes_Corriente!AE235*SALUD_Mes_Constante!$AC$1</f>
        <v>0</v>
      </c>
      <c r="AF235" s="8">
        <f>+MINVU_Mes_Corriente!AF235*SALUD_Mes_Constante!$AC$1</f>
        <v>0</v>
      </c>
      <c r="AG235" s="8">
        <f>+MINVU_Mes_Corriente!AG235*SALUD_Mes_Constante!$AC$1</f>
        <v>0</v>
      </c>
      <c r="AH235" s="8">
        <f>+MINVU_Mes_Corriente!AH235*SALUD_Mes_Constante!$AC$1</f>
        <v>0</v>
      </c>
      <c r="AI235" s="8">
        <f>+MINVU_Mes_Corriente!AI235*SALUD_Mes_Constante!$AC$1</f>
        <v>0</v>
      </c>
      <c r="AJ235" s="8">
        <f>+MINVU_Mes_Corriente!AJ235*SALUD_Mes_Constante!$AC$1</f>
        <v>0</v>
      </c>
      <c r="AK235" s="8">
        <f>+MINVU_Mes_Corriente!AK235*SALUD_Mes_Constante!$AC$1</f>
        <v>0</v>
      </c>
      <c r="AL235" s="8">
        <f>+MINVU_Mes_Corriente!AL235*SALUD_Mes_Constante!$AC$1</f>
        <v>0</v>
      </c>
      <c r="AM235" s="8">
        <f>+MINVU_Mes_Corriente!AM235*SALUD_Mes_Constante!$AC$1</f>
        <v>0</v>
      </c>
      <c r="AN235" s="8">
        <f>+MINVU_Mes_Corriente!AN235*SALUD_Mes_Constante!$AC$1</f>
        <v>0</v>
      </c>
      <c r="AO235" s="9">
        <f t="shared" si="116"/>
        <v>0</v>
      </c>
      <c r="AP235" s="8">
        <f>+MINVU_Mes_Corriente!AP235*SALUD_Mes_Constante!$AP$1</f>
        <v>0</v>
      </c>
      <c r="AQ235" s="8">
        <f>+MINVU_Mes_Corriente!AQ235*SALUD_Mes_Constante!$AP$1</f>
        <v>0</v>
      </c>
      <c r="AR235" s="8">
        <f>+MINVU_Mes_Corriente!AR235*SALUD_Mes_Constante!$AP$1</f>
        <v>0</v>
      </c>
      <c r="AS235" s="8">
        <f>+MINVU_Mes_Corriente!AS235*SALUD_Mes_Constante!$AP$1</f>
        <v>0</v>
      </c>
      <c r="AT235" s="8">
        <f>+MINVU_Mes_Corriente!AT235*SALUD_Mes_Constante!$AP$1</f>
        <v>0</v>
      </c>
      <c r="AU235" s="8">
        <f>+MINVU_Mes_Corriente!AU235*SALUD_Mes_Constante!$AP$1</f>
        <v>0</v>
      </c>
      <c r="AV235" s="8">
        <f>+MINVU_Mes_Corriente!AV235*SALUD_Mes_Constante!$AP$1</f>
        <v>0</v>
      </c>
      <c r="AW235" s="8">
        <f>+MINVU_Mes_Corriente!AW235*SALUD_Mes_Constante!$AP$1</f>
        <v>0</v>
      </c>
      <c r="AX235" s="8">
        <f>+MINVU_Mes_Corriente!AX235*SALUD_Mes_Constante!$AP$1</f>
        <v>0</v>
      </c>
      <c r="AY235" s="8">
        <f>+MINVU_Mes_Corriente!AY235*SALUD_Mes_Constante!$AP$1</f>
        <v>0</v>
      </c>
      <c r="AZ235" s="8">
        <f>+MINVU_Mes_Corriente!AZ235*SALUD_Mes_Constante!$AP$1</f>
        <v>0</v>
      </c>
      <c r="BA235" s="8">
        <f>+MINVU_Mes_Corriente!BA235*SALUD_Mes_Constante!$AP$1</f>
        <v>0</v>
      </c>
      <c r="BB235" s="9">
        <f t="shared" si="117"/>
        <v>0</v>
      </c>
      <c r="BC235" s="8">
        <f>+MINVU_Mes_Corriente!BC235*SALUD_Mes_Constante!$BC$1</f>
        <v>0</v>
      </c>
      <c r="BD235" s="8">
        <f>+MINVU_Mes_Corriente!BD235*SALUD_Mes_Constante!$BC$1</f>
        <v>0</v>
      </c>
      <c r="BE235" s="8">
        <f>+MINVU_Mes_Corriente!BE235*SALUD_Mes_Constante!$BC$1</f>
        <v>0</v>
      </c>
      <c r="BF235" s="8">
        <f>+MINVU_Mes_Corriente!BF235*SALUD_Mes_Constante!$BC$1</f>
        <v>0</v>
      </c>
      <c r="BG235" s="8">
        <f>+MINVU_Mes_Corriente!BG235*SALUD_Mes_Constante!$BC$1</f>
        <v>0</v>
      </c>
      <c r="BH235" s="8">
        <f>+MINVU_Mes_Corriente!BH235*SALUD_Mes_Constante!$BC$1</f>
        <v>0</v>
      </c>
      <c r="BI235" s="8">
        <f>+MINVU_Mes_Corriente!BI235*SALUD_Mes_Constante!$BC$1</f>
        <v>0</v>
      </c>
      <c r="BJ235" s="8">
        <f>+MINVU_Mes_Corriente!BJ235*SALUD_Mes_Constante!$BC$1</f>
        <v>0</v>
      </c>
      <c r="BK235" s="8">
        <f>+MINVU_Mes_Corriente!BK235*SALUD_Mes_Constante!$BC$1</f>
        <v>0</v>
      </c>
      <c r="BL235" s="8">
        <f>+MINVU_Mes_Corriente!BL235*SALUD_Mes_Constante!$BC$1</f>
        <v>0</v>
      </c>
      <c r="BM235" s="8">
        <f>+MINVU_Mes_Corriente!BM235*SALUD_Mes_Constante!$BC$1</f>
        <v>0</v>
      </c>
      <c r="BN235" s="8">
        <f>+MINVU_Mes_Corriente!BN235*SALUD_Mes_Constante!$BC$1</f>
        <v>0</v>
      </c>
      <c r="BO235" s="9">
        <f t="shared" si="118"/>
        <v>0</v>
      </c>
      <c r="BP235" s="8">
        <f>+MINVU_Mes_Corriente!BP235*SALUD_Mes_Constante!$BP$1</f>
        <v>0</v>
      </c>
      <c r="BQ235" s="8">
        <f>+MINVU_Mes_Corriente!BQ235*SALUD_Mes_Constante!$BP$1</f>
        <v>0</v>
      </c>
      <c r="BR235" s="8">
        <f>+MINVU_Mes_Corriente!BR235*SALUD_Mes_Constante!$BP$1</f>
        <v>0</v>
      </c>
      <c r="BS235" s="8">
        <f>+MINVU_Mes_Corriente!BS235*SALUD_Mes_Constante!$BP$1</f>
        <v>0</v>
      </c>
      <c r="BT235" s="8">
        <f>+MINVU_Mes_Corriente!BT235*SALUD_Mes_Constante!$BP$1</f>
        <v>0</v>
      </c>
      <c r="BU235" s="8">
        <f>+MINVU_Mes_Corriente!BU235*SALUD_Mes_Constante!$BP$1</f>
        <v>0</v>
      </c>
      <c r="BV235" s="8">
        <f>+MINVU_Mes_Corriente!BV235*SALUD_Mes_Constante!$BP$1</f>
        <v>0</v>
      </c>
      <c r="BW235" s="8">
        <f>+MINVU_Mes_Corriente!BW235*SALUD_Mes_Constante!$BP$1</f>
        <v>0</v>
      </c>
      <c r="BX235" s="8">
        <f>+MINVU_Mes_Corriente!BX235*SALUD_Mes_Constante!$BP$1</f>
        <v>0</v>
      </c>
      <c r="BY235" s="8">
        <f>+MINVU_Mes_Corriente!BY235*SALUD_Mes_Constante!$BP$1</f>
        <v>0</v>
      </c>
      <c r="BZ235" s="8">
        <f>+MINVU_Mes_Corriente!BZ235*SALUD_Mes_Constante!$BP$1</f>
        <v>0</v>
      </c>
      <c r="CA235" s="8">
        <f>+MINVU_Mes_Corriente!CA235*SALUD_Mes_Constante!$BP$1</f>
        <v>0</v>
      </c>
      <c r="CB235" s="9">
        <f t="shared" si="119"/>
        <v>0</v>
      </c>
      <c r="CC235" s="8">
        <f>+MINVU_Mes_Corriente!CC235*SALUD_Mes_Constante!$CC$1</f>
        <v>0</v>
      </c>
      <c r="CD235" s="8">
        <f>+MINVU_Mes_Corriente!CD235*SALUD_Mes_Constante!$CC$1</f>
        <v>0</v>
      </c>
      <c r="CE235" s="8">
        <f>+MINVU_Mes_Corriente!CE235*SALUD_Mes_Constante!$CC$1</f>
        <v>0</v>
      </c>
      <c r="CF235" s="8">
        <f>+MINVU_Mes_Corriente!CF235*SALUD_Mes_Constante!$CC$1</f>
        <v>0</v>
      </c>
      <c r="CG235" s="8">
        <f>+MINVU_Mes_Corriente!CG235*SALUD_Mes_Constante!$CC$1</f>
        <v>0</v>
      </c>
      <c r="CH235" s="8">
        <f>+MINVU_Mes_Corriente!CH235*SALUD_Mes_Constante!$CC$1</f>
        <v>0</v>
      </c>
      <c r="CI235" s="8">
        <f>+MINVU_Mes_Corriente!CI235*SALUD_Mes_Constante!$CC$1</f>
        <v>0</v>
      </c>
      <c r="CJ235" s="8">
        <f>+MINVU_Mes_Corriente!CJ235*SALUD_Mes_Constante!$CC$1</f>
        <v>0</v>
      </c>
      <c r="CK235" s="8">
        <f>+MINVU_Mes_Corriente!CK235*SALUD_Mes_Constante!$CC$1</f>
        <v>0</v>
      </c>
      <c r="CL235" s="8">
        <f>+MINVU_Mes_Corriente!CL235*SALUD_Mes_Constante!$CC$1</f>
        <v>0</v>
      </c>
      <c r="CM235" s="8">
        <f>+MINVU_Mes_Corriente!CM235*SALUD_Mes_Constante!$CC$1</f>
        <v>0</v>
      </c>
      <c r="CN235" s="8">
        <f>+MINVU_Mes_Corriente!CN235*SALUD_Mes_Constante!$CC$1</f>
        <v>0</v>
      </c>
      <c r="CO235" s="9">
        <f t="shared" si="120"/>
        <v>0</v>
      </c>
      <c r="CP235" s="8">
        <f>+MINVU_Mes_Corriente!CP235*SALUD_Mes_Constante!$CP$1</f>
        <v>0</v>
      </c>
      <c r="CQ235" s="8">
        <f>+MINVU_Mes_Corriente!CQ235*SALUD_Mes_Constante!$CP$1</f>
        <v>0</v>
      </c>
      <c r="CR235" s="8">
        <f>+MINVU_Mes_Corriente!CR235*SALUD_Mes_Constante!$CP$1</f>
        <v>0</v>
      </c>
      <c r="CS235" s="8">
        <f>+MINVU_Mes_Corriente!CS235*SALUD_Mes_Constante!$CP$1</f>
        <v>0</v>
      </c>
      <c r="CT235" s="8">
        <f>+MINVU_Mes_Corriente!CT235*SALUD_Mes_Constante!$CP$1</f>
        <v>0</v>
      </c>
      <c r="CU235" s="8">
        <f>+MINVU_Mes_Corriente!CU235*SALUD_Mes_Constante!$CP$1</f>
        <v>0</v>
      </c>
      <c r="CV235" s="8">
        <f>+MINVU_Mes_Corriente!CV235*SALUD_Mes_Constante!$CP$1</f>
        <v>0</v>
      </c>
      <c r="CW235" s="8">
        <f>+MINVU_Mes_Corriente!CW235*SALUD_Mes_Constante!$CP$1</f>
        <v>0</v>
      </c>
      <c r="CX235" s="8">
        <f>+MINVU_Mes_Corriente!CX235*SALUD_Mes_Constante!$CP$1</f>
        <v>0</v>
      </c>
      <c r="CY235" s="8">
        <f>+MINVU_Mes_Corriente!CY235*SALUD_Mes_Constante!$CP$1</f>
        <v>0</v>
      </c>
      <c r="CZ235" s="8">
        <f>+MINVU_Mes_Corriente!CZ235*SALUD_Mes_Constante!$CP$1</f>
        <v>0</v>
      </c>
      <c r="DA235" s="8">
        <f>+MINVU_Mes_Corriente!DA235*SALUD_Mes_Constante!$CP$1</f>
        <v>0</v>
      </c>
      <c r="DB235" s="9">
        <f t="shared" si="121"/>
        <v>0</v>
      </c>
      <c r="DC235" s="8">
        <f>+MINVU_Mes_Corriente!DC235*SALUD_Mes_Constante!$DC$1</f>
        <v>0</v>
      </c>
      <c r="DD235" s="8">
        <f>+MINVU_Mes_Corriente!DD235*SALUD_Mes_Constante!$DC$1</f>
        <v>0</v>
      </c>
      <c r="DE235" s="8">
        <f>+MINVU_Mes_Corriente!DE235*SALUD_Mes_Constante!$DC$1</f>
        <v>0</v>
      </c>
      <c r="DF235" s="8">
        <f>+MINVU_Mes_Corriente!DF235*SALUD_Mes_Constante!$DC$1</f>
        <v>0</v>
      </c>
      <c r="DG235" s="8">
        <f>+MINVU_Mes_Corriente!DG235*SALUD_Mes_Constante!$DC$1</f>
        <v>0</v>
      </c>
      <c r="DH235" s="8">
        <f>+MINVU_Mes_Corriente!DH235*SALUD_Mes_Constante!$DC$1</f>
        <v>0</v>
      </c>
      <c r="DI235" s="8">
        <f>+MINVU_Mes_Corriente!DI235*SALUD_Mes_Constante!$DC$1</f>
        <v>0</v>
      </c>
      <c r="DJ235" s="8">
        <f>+MINVU_Mes_Corriente!DJ235*SALUD_Mes_Constante!$DC$1</f>
        <v>0</v>
      </c>
      <c r="DK235" s="8">
        <f>+MINVU_Mes_Corriente!DK235*SALUD_Mes_Constante!$DC$1</f>
        <v>0</v>
      </c>
      <c r="DL235" s="8">
        <f>+MINVU_Mes_Corriente!DL235*SALUD_Mes_Constante!$DC$1</f>
        <v>0</v>
      </c>
      <c r="DM235" s="8">
        <f>+MINVU_Mes_Corriente!DM235*SALUD_Mes_Constante!$DC$1</f>
        <v>0</v>
      </c>
      <c r="DN235" s="8">
        <f>+MINVU_Mes_Corriente!DN235*SALUD_Mes_Constante!$DC$1</f>
        <v>0</v>
      </c>
      <c r="DO235" s="9">
        <f t="shared" si="122"/>
        <v>0</v>
      </c>
      <c r="DP235" s="8">
        <f>+MINVU_Mes_Corriente!DP235*SALUD_Mes_Constante!$DP$1</f>
        <v>0</v>
      </c>
      <c r="DQ235" s="8">
        <f>+MINVU_Mes_Corriente!DQ235*SALUD_Mes_Constante!$DP$1</f>
        <v>0</v>
      </c>
      <c r="DR235" s="8">
        <f>+MINVU_Mes_Corriente!DR235*SALUD_Mes_Constante!$DP$1</f>
        <v>0</v>
      </c>
      <c r="DS235" s="8">
        <f>+MINVU_Mes_Corriente!DS235*SALUD_Mes_Constante!$DP$1</f>
        <v>0</v>
      </c>
      <c r="DT235" s="8">
        <f>+MINVU_Mes_Corriente!DT235*SALUD_Mes_Constante!$DP$1</f>
        <v>0</v>
      </c>
      <c r="DU235" s="8">
        <f>+MINVU_Mes_Corriente!DU235*SALUD_Mes_Constante!$DP$1</f>
        <v>0</v>
      </c>
      <c r="DV235" s="8">
        <f>+MINVU_Mes_Corriente!DV235*SALUD_Mes_Constante!$DP$1</f>
        <v>0</v>
      </c>
      <c r="DW235" s="8">
        <f>+MINVU_Mes_Corriente!DW235*SALUD_Mes_Constante!$DP$1</f>
        <v>0</v>
      </c>
      <c r="DX235" s="8">
        <f>+MINVU_Mes_Corriente!DX235*SALUD_Mes_Constante!$DP$1</f>
        <v>0</v>
      </c>
      <c r="DY235" s="8">
        <f>+MINVU_Mes_Corriente!DY235*SALUD_Mes_Constante!$DP$1</f>
        <v>0</v>
      </c>
      <c r="DZ235" s="8">
        <f>+MINVU_Mes_Corriente!DZ235*SALUD_Mes_Constante!$DP$1</f>
        <v>0</v>
      </c>
      <c r="EA235" s="8">
        <f>+MINVU_Mes_Corriente!EA235*SALUD_Mes_Constante!$DP$1</f>
        <v>0</v>
      </c>
      <c r="EB235" s="9">
        <f t="shared" si="123"/>
        <v>0</v>
      </c>
      <c r="EC235" s="8">
        <f>+MINVU_Mes_Corriente!EC235*SALUD_Mes_Constante!$EC$1</f>
        <v>0</v>
      </c>
      <c r="ED235" s="8">
        <f>+MINVU_Mes_Corriente!ED235*SALUD_Mes_Constante!$EC$1</f>
        <v>0</v>
      </c>
      <c r="EE235" s="8">
        <f>+MINVU_Mes_Corriente!EE235*SALUD_Mes_Constante!$EC$1</f>
        <v>0</v>
      </c>
      <c r="EF235" s="8">
        <f>+MINVU_Mes_Corriente!EF235*SALUD_Mes_Constante!$EC$1</f>
        <v>0</v>
      </c>
      <c r="EG235" s="8">
        <f>+MINVU_Mes_Corriente!EG235*SALUD_Mes_Constante!$EC$1</f>
        <v>0</v>
      </c>
      <c r="EH235" s="8">
        <f>+MINVU_Mes_Corriente!EH235*SALUD_Mes_Constante!$EC$1</f>
        <v>0</v>
      </c>
      <c r="EI235" s="8">
        <f>+MINVU_Mes_Corriente!EI235*SALUD_Mes_Constante!$EC$1</f>
        <v>0</v>
      </c>
      <c r="EJ235" s="8">
        <f>+MINVU_Mes_Corriente!EJ235*SALUD_Mes_Constante!$EC$1</f>
        <v>0</v>
      </c>
      <c r="EK235" s="8">
        <f>+MINVU_Mes_Corriente!EK235*SALUD_Mes_Constante!$EC$1</f>
        <v>0</v>
      </c>
      <c r="EL235" s="8">
        <f>+MINVU_Mes_Corriente!EL235*SALUD_Mes_Constante!$EC$1</f>
        <v>0</v>
      </c>
      <c r="EM235" s="8">
        <f>+MINVU_Mes_Corriente!EM235*SALUD_Mes_Constante!$EC$1</f>
        <v>0</v>
      </c>
      <c r="EN235" s="8">
        <f>+MINVU_Mes_Corriente!EN235*SALUD_Mes_Constante!$EC$1</f>
        <v>0</v>
      </c>
      <c r="EO235" s="9">
        <f t="shared" si="124"/>
        <v>0</v>
      </c>
      <c r="EP235" s="8">
        <f>+MINVU_Mes_Corriente!EP235*SALUD_Mes_Constante!$EP$1</f>
        <v>0</v>
      </c>
      <c r="EQ235" s="8">
        <f>+MINVU_Mes_Corriente!EQ235*SALUD_Mes_Constante!$EP$1</f>
        <v>0</v>
      </c>
      <c r="ER235" s="8">
        <f>+MINVU_Mes_Corriente!ER235*SALUD_Mes_Constante!$EP$1</f>
        <v>0</v>
      </c>
      <c r="ES235" s="8">
        <f>+MINVU_Mes_Corriente!ES235*SALUD_Mes_Constante!$EP$1</f>
        <v>0</v>
      </c>
      <c r="ET235" s="8">
        <f>+MINVU_Mes_Corriente!ET235*SALUD_Mes_Constante!$EP$1</f>
        <v>0</v>
      </c>
      <c r="EU235" s="8">
        <f>+MINVU_Mes_Corriente!EU235*SALUD_Mes_Constante!$EP$1</f>
        <v>0</v>
      </c>
      <c r="EV235" s="8">
        <f>+MINVU_Mes_Corriente!EV235*SALUD_Mes_Constante!$EP$1</f>
        <v>0</v>
      </c>
      <c r="EW235" s="8">
        <f>+MINVU_Mes_Corriente!EW235*SALUD_Mes_Constante!$EP$1</f>
        <v>0</v>
      </c>
      <c r="EX235" s="8">
        <f>+MINVU_Mes_Corriente!EX235*SALUD_Mes_Constante!$EP$1</f>
        <v>0</v>
      </c>
      <c r="EY235" s="8">
        <f>+MINVU_Mes_Corriente!EY235*SALUD_Mes_Constante!$EP$1</f>
        <v>0</v>
      </c>
      <c r="EZ235" s="8">
        <f>+MINVU_Mes_Corriente!EZ235*SALUD_Mes_Constante!$EP$1</f>
        <v>0</v>
      </c>
      <c r="FA235" s="8">
        <f>+MINVU_Mes_Corriente!FA235*SALUD_Mes_Constante!$EP$1</f>
        <v>0</v>
      </c>
      <c r="FB235" s="9">
        <f t="shared" si="125"/>
        <v>0</v>
      </c>
      <c r="FC235" s="8">
        <f>+MINVU_Mes_Corriente!FC235*SALUD_Mes_Constante!$FC$1</f>
        <v>0</v>
      </c>
      <c r="FD235" s="8">
        <f>+MINVU_Mes_Corriente!FD235*SALUD_Mes_Constante!$FC$1</f>
        <v>0</v>
      </c>
      <c r="FE235" s="8">
        <f>+MINVU_Mes_Corriente!FE235*SALUD_Mes_Constante!$FC$1</f>
        <v>0</v>
      </c>
      <c r="FF235" s="8">
        <f>+MINVU_Mes_Corriente!FF235*SALUD_Mes_Constante!$FC$1</f>
        <v>0</v>
      </c>
      <c r="FG235" s="8">
        <f>+MINVU_Mes_Corriente!FG235*SALUD_Mes_Constante!$FC$1</f>
        <v>0</v>
      </c>
      <c r="FH235" s="8">
        <f>+MINVU_Mes_Corriente!FH235*SALUD_Mes_Constante!$FC$1</f>
        <v>0</v>
      </c>
      <c r="FI235" s="8">
        <f>+MINVU_Mes_Corriente!FI235*SALUD_Mes_Constante!$FC$1</f>
        <v>0</v>
      </c>
      <c r="FJ235" s="8"/>
      <c r="FK235" s="8"/>
      <c r="FL235" s="8"/>
      <c r="FM235" s="8"/>
      <c r="FN235" s="8"/>
      <c r="FO235" s="9">
        <f t="shared" si="126"/>
        <v>0</v>
      </c>
    </row>
    <row r="236" spans="2:171" ht="14.25" customHeight="1" x14ac:dyDescent="0.3">
      <c r="B236" s="7" t="s">
        <v>49</v>
      </c>
      <c r="C236" s="8">
        <f>+MINVU_Mes_Corriente!C236*SALUD_Mes_Constante!$C$1</f>
        <v>0</v>
      </c>
      <c r="D236" s="8">
        <f>+MINVU_Mes_Corriente!D236*SALUD_Mes_Constante!$C$1</f>
        <v>0</v>
      </c>
      <c r="E236" s="8">
        <f>+MINVU_Mes_Corriente!E236*SALUD_Mes_Constante!$C$1</f>
        <v>0</v>
      </c>
      <c r="F236" s="8">
        <f>+MINVU_Mes_Corriente!F236*SALUD_Mes_Constante!$C$1</f>
        <v>0</v>
      </c>
      <c r="G236" s="8">
        <f>+MINVU_Mes_Corriente!G236*SALUD_Mes_Constante!$C$1</f>
        <v>0</v>
      </c>
      <c r="H236" s="8">
        <f>+MINVU_Mes_Corriente!H236*SALUD_Mes_Constante!$C$1</f>
        <v>0</v>
      </c>
      <c r="I236" s="8">
        <f>+MINVU_Mes_Corriente!I236*SALUD_Mes_Constante!$C$1</f>
        <v>0</v>
      </c>
      <c r="J236" s="8">
        <f>+MINVU_Mes_Corriente!J236*SALUD_Mes_Constante!$C$1</f>
        <v>0</v>
      </c>
      <c r="K236" s="8">
        <f>+MINVU_Mes_Corriente!K236*SALUD_Mes_Constante!$C$1</f>
        <v>0</v>
      </c>
      <c r="L236" s="8">
        <f>+MINVU_Mes_Corriente!L236*SALUD_Mes_Constante!$C$1</f>
        <v>0</v>
      </c>
      <c r="M236" s="8">
        <f>+MINVU_Mes_Corriente!M236*SALUD_Mes_Constante!$C$1</f>
        <v>0</v>
      </c>
      <c r="N236" s="8">
        <f>+MINVU_Mes_Corriente!N236*SALUD_Mes_Constante!$C$1</f>
        <v>0</v>
      </c>
      <c r="O236" s="9">
        <f t="shared" si="114"/>
        <v>0</v>
      </c>
      <c r="P236" s="8">
        <f>+MINVU_Mes_Corriente!P236*SALUD_Mes_Constante!$P$1</f>
        <v>0</v>
      </c>
      <c r="Q236" s="8">
        <f>+MINVU_Mes_Corriente!Q236*SALUD_Mes_Constante!$P$1</f>
        <v>0</v>
      </c>
      <c r="R236" s="8">
        <f>+MINVU_Mes_Corriente!R236*SALUD_Mes_Constante!$P$1</f>
        <v>0</v>
      </c>
      <c r="S236" s="8">
        <f>+MINVU_Mes_Corriente!S236*SALUD_Mes_Constante!$P$1</f>
        <v>0</v>
      </c>
      <c r="T236" s="8">
        <f>+MINVU_Mes_Corriente!T236*SALUD_Mes_Constante!$P$1</f>
        <v>0</v>
      </c>
      <c r="U236" s="8">
        <f>+MINVU_Mes_Corriente!U236*SALUD_Mes_Constante!$P$1</f>
        <v>0</v>
      </c>
      <c r="V236" s="8">
        <f>+MINVU_Mes_Corriente!V236*SALUD_Mes_Constante!$P$1</f>
        <v>0</v>
      </c>
      <c r="W236" s="8">
        <f>+MINVU_Mes_Corriente!W236*SALUD_Mes_Constante!$P$1</f>
        <v>0</v>
      </c>
      <c r="X236" s="8">
        <f>+MINVU_Mes_Corriente!X236*SALUD_Mes_Constante!$P$1</f>
        <v>0</v>
      </c>
      <c r="Y236" s="8">
        <f>+MINVU_Mes_Corriente!Y236*SALUD_Mes_Constante!$P$1</f>
        <v>0</v>
      </c>
      <c r="Z236" s="8">
        <f>+MINVU_Mes_Corriente!Z236*SALUD_Mes_Constante!$P$1</f>
        <v>0</v>
      </c>
      <c r="AA236" s="8">
        <f>+MINVU_Mes_Corriente!AA236*SALUD_Mes_Constante!$P$1</f>
        <v>0</v>
      </c>
      <c r="AB236" s="9">
        <f t="shared" si="115"/>
        <v>0</v>
      </c>
      <c r="AC236" s="8">
        <f>+MINVU_Mes_Corriente!AC236*SALUD_Mes_Constante!$AC$1</f>
        <v>0</v>
      </c>
      <c r="AD236" s="8">
        <f>+MINVU_Mes_Corriente!AD236*SALUD_Mes_Constante!$AC$1</f>
        <v>0</v>
      </c>
      <c r="AE236" s="8">
        <f>+MINVU_Mes_Corriente!AE236*SALUD_Mes_Constante!$AC$1</f>
        <v>0</v>
      </c>
      <c r="AF236" s="8">
        <f>+MINVU_Mes_Corriente!AF236*SALUD_Mes_Constante!$AC$1</f>
        <v>0</v>
      </c>
      <c r="AG236" s="8">
        <f>+MINVU_Mes_Corriente!AG236*SALUD_Mes_Constante!$AC$1</f>
        <v>0</v>
      </c>
      <c r="AH236" s="8">
        <f>+MINVU_Mes_Corriente!AH236*SALUD_Mes_Constante!$AC$1</f>
        <v>0</v>
      </c>
      <c r="AI236" s="8">
        <f>+MINVU_Mes_Corriente!AI236*SALUD_Mes_Constante!$AC$1</f>
        <v>0</v>
      </c>
      <c r="AJ236" s="8">
        <f>+MINVU_Mes_Corriente!AJ236*SALUD_Mes_Constante!$AC$1</f>
        <v>0</v>
      </c>
      <c r="AK236" s="8">
        <f>+MINVU_Mes_Corriente!AK236*SALUD_Mes_Constante!$AC$1</f>
        <v>0</v>
      </c>
      <c r="AL236" s="8">
        <f>+MINVU_Mes_Corriente!AL236*SALUD_Mes_Constante!$AC$1</f>
        <v>0</v>
      </c>
      <c r="AM236" s="8">
        <f>+MINVU_Mes_Corriente!AM236*SALUD_Mes_Constante!$AC$1</f>
        <v>0</v>
      </c>
      <c r="AN236" s="8">
        <f>+MINVU_Mes_Corriente!AN236*SALUD_Mes_Constante!$AC$1</f>
        <v>0</v>
      </c>
      <c r="AO236" s="9">
        <f t="shared" si="116"/>
        <v>0</v>
      </c>
      <c r="AP236" s="8">
        <f>+MINVU_Mes_Corriente!AP236*SALUD_Mes_Constante!$AP$1</f>
        <v>0</v>
      </c>
      <c r="AQ236" s="8">
        <f>+MINVU_Mes_Corriente!AQ236*SALUD_Mes_Constante!$AP$1</f>
        <v>0</v>
      </c>
      <c r="AR236" s="8">
        <f>+MINVU_Mes_Corriente!AR236*SALUD_Mes_Constante!$AP$1</f>
        <v>0</v>
      </c>
      <c r="AS236" s="8">
        <f>+MINVU_Mes_Corriente!AS236*SALUD_Mes_Constante!$AP$1</f>
        <v>0</v>
      </c>
      <c r="AT236" s="8">
        <f>+MINVU_Mes_Corriente!AT236*SALUD_Mes_Constante!$AP$1</f>
        <v>0</v>
      </c>
      <c r="AU236" s="8">
        <f>+MINVU_Mes_Corriente!AU236*SALUD_Mes_Constante!$AP$1</f>
        <v>0</v>
      </c>
      <c r="AV236" s="8">
        <f>+MINVU_Mes_Corriente!AV236*SALUD_Mes_Constante!$AP$1</f>
        <v>0</v>
      </c>
      <c r="AW236" s="8">
        <f>+MINVU_Mes_Corriente!AW236*SALUD_Mes_Constante!$AP$1</f>
        <v>0</v>
      </c>
      <c r="AX236" s="8">
        <f>+MINVU_Mes_Corriente!AX236*SALUD_Mes_Constante!$AP$1</f>
        <v>0</v>
      </c>
      <c r="AY236" s="8">
        <f>+MINVU_Mes_Corriente!AY236*SALUD_Mes_Constante!$AP$1</f>
        <v>0</v>
      </c>
      <c r="AZ236" s="8">
        <f>+MINVU_Mes_Corriente!AZ236*SALUD_Mes_Constante!$AP$1</f>
        <v>0</v>
      </c>
      <c r="BA236" s="8">
        <f>+MINVU_Mes_Corriente!BA236*SALUD_Mes_Constante!$AP$1</f>
        <v>0</v>
      </c>
      <c r="BB236" s="9">
        <f t="shared" si="117"/>
        <v>0</v>
      </c>
      <c r="BC236" s="8">
        <f>+MINVU_Mes_Corriente!BC236*SALUD_Mes_Constante!$BC$1</f>
        <v>0</v>
      </c>
      <c r="BD236" s="8">
        <f>+MINVU_Mes_Corriente!BD236*SALUD_Mes_Constante!$BC$1</f>
        <v>0</v>
      </c>
      <c r="BE236" s="8">
        <f>+MINVU_Mes_Corriente!BE236*SALUD_Mes_Constante!$BC$1</f>
        <v>0</v>
      </c>
      <c r="BF236" s="8">
        <f>+MINVU_Mes_Corriente!BF236*SALUD_Mes_Constante!$BC$1</f>
        <v>0</v>
      </c>
      <c r="BG236" s="8">
        <f>+MINVU_Mes_Corriente!BG236*SALUD_Mes_Constante!$BC$1</f>
        <v>0</v>
      </c>
      <c r="BH236" s="8">
        <f>+MINVU_Mes_Corriente!BH236*SALUD_Mes_Constante!$BC$1</f>
        <v>0</v>
      </c>
      <c r="BI236" s="8">
        <f>+MINVU_Mes_Corriente!BI236*SALUD_Mes_Constante!$BC$1</f>
        <v>0</v>
      </c>
      <c r="BJ236" s="8">
        <f>+MINVU_Mes_Corriente!BJ236*SALUD_Mes_Constante!$BC$1</f>
        <v>0</v>
      </c>
      <c r="BK236" s="8">
        <f>+MINVU_Mes_Corriente!BK236*SALUD_Mes_Constante!$BC$1</f>
        <v>0</v>
      </c>
      <c r="BL236" s="8">
        <f>+MINVU_Mes_Corriente!BL236*SALUD_Mes_Constante!$BC$1</f>
        <v>0</v>
      </c>
      <c r="BM236" s="8">
        <f>+MINVU_Mes_Corriente!BM236*SALUD_Mes_Constante!$BC$1</f>
        <v>0</v>
      </c>
      <c r="BN236" s="8">
        <f>+MINVU_Mes_Corriente!BN236*SALUD_Mes_Constante!$BC$1</f>
        <v>0</v>
      </c>
      <c r="BO236" s="9">
        <f t="shared" si="118"/>
        <v>0</v>
      </c>
      <c r="BP236" s="8">
        <f>+MINVU_Mes_Corriente!BP236*SALUD_Mes_Constante!$BP$1</f>
        <v>0</v>
      </c>
      <c r="BQ236" s="8">
        <f>+MINVU_Mes_Corriente!BQ236*SALUD_Mes_Constante!$BP$1</f>
        <v>0</v>
      </c>
      <c r="BR236" s="8">
        <f>+MINVU_Mes_Corriente!BR236*SALUD_Mes_Constante!$BP$1</f>
        <v>0</v>
      </c>
      <c r="BS236" s="8">
        <f>+MINVU_Mes_Corriente!BS236*SALUD_Mes_Constante!$BP$1</f>
        <v>0</v>
      </c>
      <c r="BT236" s="8">
        <f>+MINVU_Mes_Corriente!BT236*SALUD_Mes_Constante!$BP$1</f>
        <v>0</v>
      </c>
      <c r="BU236" s="8">
        <f>+MINVU_Mes_Corriente!BU236*SALUD_Mes_Constante!$BP$1</f>
        <v>0</v>
      </c>
      <c r="BV236" s="8">
        <f>+MINVU_Mes_Corriente!BV236*SALUD_Mes_Constante!$BP$1</f>
        <v>0</v>
      </c>
      <c r="BW236" s="8">
        <f>+MINVU_Mes_Corriente!BW236*SALUD_Mes_Constante!$BP$1</f>
        <v>0</v>
      </c>
      <c r="BX236" s="8">
        <f>+MINVU_Mes_Corriente!BX236*SALUD_Mes_Constante!$BP$1</f>
        <v>0</v>
      </c>
      <c r="BY236" s="8">
        <f>+MINVU_Mes_Corriente!BY236*SALUD_Mes_Constante!$BP$1</f>
        <v>0</v>
      </c>
      <c r="BZ236" s="8">
        <f>+MINVU_Mes_Corriente!BZ236*SALUD_Mes_Constante!$BP$1</f>
        <v>0</v>
      </c>
      <c r="CA236" s="8">
        <f>+MINVU_Mes_Corriente!CA236*SALUD_Mes_Constante!$BP$1</f>
        <v>0</v>
      </c>
      <c r="CB236" s="9">
        <f t="shared" si="119"/>
        <v>0</v>
      </c>
      <c r="CC236" s="8">
        <f>+MINVU_Mes_Corriente!CC236*SALUD_Mes_Constante!$CC$1</f>
        <v>0</v>
      </c>
      <c r="CD236" s="8">
        <f>+MINVU_Mes_Corriente!CD236*SALUD_Mes_Constante!$CC$1</f>
        <v>0</v>
      </c>
      <c r="CE236" s="8">
        <f>+MINVU_Mes_Corriente!CE236*SALUD_Mes_Constante!$CC$1</f>
        <v>0</v>
      </c>
      <c r="CF236" s="8">
        <f>+MINVU_Mes_Corriente!CF236*SALUD_Mes_Constante!$CC$1</f>
        <v>0</v>
      </c>
      <c r="CG236" s="8">
        <f>+MINVU_Mes_Corriente!CG236*SALUD_Mes_Constante!$CC$1</f>
        <v>0</v>
      </c>
      <c r="CH236" s="8">
        <f>+MINVU_Mes_Corriente!CH236*SALUD_Mes_Constante!$CC$1</f>
        <v>0</v>
      </c>
      <c r="CI236" s="8">
        <f>+MINVU_Mes_Corriente!CI236*SALUD_Mes_Constante!$CC$1</f>
        <v>0</v>
      </c>
      <c r="CJ236" s="8">
        <f>+MINVU_Mes_Corriente!CJ236*SALUD_Mes_Constante!$CC$1</f>
        <v>0</v>
      </c>
      <c r="CK236" s="8">
        <f>+MINVU_Mes_Corriente!CK236*SALUD_Mes_Constante!$CC$1</f>
        <v>0</v>
      </c>
      <c r="CL236" s="8">
        <f>+MINVU_Mes_Corriente!CL236*SALUD_Mes_Constante!$CC$1</f>
        <v>0</v>
      </c>
      <c r="CM236" s="8">
        <f>+MINVU_Mes_Corriente!CM236*SALUD_Mes_Constante!$CC$1</f>
        <v>0</v>
      </c>
      <c r="CN236" s="8">
        <f>+MINVU_Mes_Corriente!CN236*SALUD_Mes_Constante!$CC$1</f>
        <v>0</v>
      </c>
      <c r="CO236" s="9">
        <f t="shared" si="120"/>
        <v>0</v>
      </c>
      <c r="CP236" s="8">
        <f>+MINVU_Mes_Corriente!CP236*SALUD_Mes_Constante!$CP$1</f>
        <v>0</v>
      </c>
      <c r="CQ236" s="8">
        <f>+MINVU_Mes_Corriente!CQ236*SALUD_Mes_Constante!$CP$1</f>
        <v>0</v>
      </c>
      <c r="CR236" s="8">
        <f>+MINVU_Mes_Corriente!CR236*SALUD_Mes_Constante!$CP$1</f>
        <v>0</v>
      </c>
      <c r="CS236" s="8">
        <f>+MINVU_Mes_Corriente!CS236*SALUD_Mes_Constante!$CP$1</f>
        <v>0</v>
      </c>
      <c r="CT236" s="8">
        <f>+MINVU_Mes_Corriente!CT236*SALUD_Mes_Constante!$CP$1</f>
        <v>0</v>
      </c>
      <c r="CU236" s="8">
        <f>+MINVU_Mes_Corriente!CU236*SALUD_Mes_Constante!$CP$1</f>
        <v>0</v>
      </c>
      <c r="CV236" s="8">
        <f>+MINVU_Mes_Corriente!CV236*SALUD_Mes_Constante!$CP$1</f>
        <v>0</v>
      </c>
      <c r="CW236" s="8">
        <f>+MINVU_Mes_Corriente!CW236*SALUD_Mes_Constante!$CP$1</f>
        <v>0</v>
      </c>
      <c r="CX236" s="8">
        <f>+MINVU_Mes_Corriente!CX236*SALUD_Mes_Constante!$CP$1</f>
        <v>0</v>
      </c>
      <c r="CY236" s="8">
        <f>+MINVU_Mes_Corriente!CY236*SALUD_Mes_Constante!$CP$1</f>
        <v>0</v>
      </c>
      <c r="CZ236" s="8">
        <f>+MINVU_Mes_Corriente!CZ236*SALUD_Mes_Constante!$CP$1</f>
        <v>0</v>
      </c>
      <c r="DA236" s="8">
        <f>+MINVU_Mes_Corriente!DA236*SALUD_Mes_Constante!$CP$1</f>
        <v>0</v>
      </c>
      <c r="DB236" s="9">
        <f t="shared" si="121"/>
        <v>0</v>
      </c>
      <c r="DC236" s="8">
        <f>+MINVU_Mes_Corriente!DC236*SALUD_Mes_Constante!$DC$1</f>
        <v>0</v>
      </c>
      <c r="DD236" s="8">
        <f>+MINVU_Mes_Corriente!DD236*SALUD_Mes_Constante!$DC$1</f>
        <v>0</v>
      </c>
      <c r="DE236" s="8">
        <f>+MINVU_Mes_Corriente!DE236*SALUD_Mes_Constante!$DC$1</f>
        <v>0</v>
      </c>
      <c r="DF236" s="8">
        <f>+MINVU_Mes_Corriente!DF236*SALUD_Mes_Constante!$DC$1</f>
        <v>0</v>
      </c>
      <c r="DG236" s="8">
        <f>+MINVU_Mes_Corriente!DG236*SALUD_Mes_Constante!$DC$1</f>
        <v>0</v>
      </c>
      <c r="DH236" s="8">
        <f>+MINVU_Mes_Corriente!DH236*SALUD_Mes_Constante!$DC$1</f>
        <v>0</v>
      </c>
      <c r="DI236" s="8">
        <f>+MINVU_Mes_Corriente!DI236*SALUD_Mes_Constante!$DC$1</f>
        <v>0</v>
      </c>
      <c r="DJ236" s="8">
        <f>+MINVU_Mes_Corriente!DJ236*SALUD_Mes_Constante!$DC$1</f>
        <v>0</v>
      </c>
      <c r="DK236" s="8">
        <f>+MINVU_Mes_Corriente!DK236*SALUD_Mes_Constante!$DC$1</f>
        <v>0</v>
      </c>
      <c r="DL236" s="8">
        <f>+MINVU_Mes_Corriente!DL236*SALUD_Mes_Constante!$DC$1</f>
        <v>0</v>
      </c>
      <c r="DM236" s="8">
        <f>+MINVU_Mes_Corriente!DM236*SALUD_Mes_Constante!$DC$1</f>
        <v>0</v>
      </c>
      <c r="DN236" s="8">
        <f>+MINVU_Mes_Corriente!DN236*SALUD_Mes_Constante!$DC$1</f>
        <v>0</v>
      </c>
      <c r="DO236" s="9">
        <f t="shared" si="122"/>
        <v>0</v>
      </c>
      <c r="DP236" s="8">
        <f>+MINVU_Mes_Corriente!DP236*SALUD_Mes_Constante!$DP$1</f>
        <v>0</v>
      </c>
      <c r="DQ236" s="8">
        <f>+MINVU_Mes_Corriente!DQ236*SALUD_Mes_Constante!$DP$1</f>
        <v>0</v>
      </c>
      <c r="DR236" s="8">
        <f>+MINVU_Mes_Corriente!DR236*SALUD_Mes_Constante!$DP$1</f>
        <v>0</v>
      </c>
      <c r="DS236" s="8">
        <f>+MINVU_Mes_Corriente!DS236*SALUD_Mes_Constante!$DP$1</f>
        <v>0</v>
      </c>
      <c r="DT236" s="8">
        <f>+MINVU_Mes_Corriente!DT236*SALUD_Mes_Constante!$DP$1</f>
        <v>0</v>
      </c>
      <c r="DU236" s="8">
        <f>+MINVU_Mes_Corriente!DU236*SALUD_Mes_Constante!$DP$1</f>
        <v>0</v>
      </c>
      <c r="DV236" s="8">
        <f>+MINVU_Mes_Corriente!DV236*SALUD_Mes_Constante!$DP$1</f>
        <v>0</v>
      </c>
      <c r="DW236" s="8">
        <f>+MINVU_Mes_Corriente!DW236*SALUD_Mes_Constante!$DP$1</f>
        <v>0</v>
      </c>
      <c r="DX236" s="8">
        <f>+MINVU_Mes_Corriente!DX236*SALUD_Mes_Constante!$DP$1</f>
        <v>0</v>
      </c>
      <c r="DY236" s="8">
        <f>+MINVU_Mes_Corriente!DY236*SALUD_Mes_Constante!$DP$1</f>
        <v>0</v>
      </c>
      <c r="DZ236" s="8">
        <f>+MINVU_Mes_Corriente!DZ236*SALUD_Mes_Constante!$DP$1</f>
        <v>0</v>
      </c>
      <c r="EA236" s="8">
        <f>+MINVU_Mes_Corriente!EA236*SALUD_Mes_Constante!$DP$1</f>
        <v>0</v>
      </c>
      <c r="EB236" s="9">
        <f t="shared" si="123"/>
        <v>0</v>
      </c>
      <c r="EC236" s="8">
        <f>+MINVU_Mes_Corriente!EC236*SALUD_Mes_Constante!$EC$1</f>
        <v>0</v>
      </c>
      <c r="ED236" s="8">
        <f>+MINVU_Mes_Corriente!ED236*SALUD_Mes_Constante!$EC$1</f>
        <v>0</v>
      </c>
      <c r="EE236" s="8">
        <f>+MINVU_Mes_Corriente!EE236*SALUD_Mes_Constante!$EC$1</f>
        <v>0</v>
      </c>
      <c r="EF236" s="8">
        <f>+MINVU_Mes_Corriente!EF236*SALUD_Mes_Constante!$EC$1</f>
        <v>0</v>
      </c>
      <c r="EG236" s="8">
        <f>+MINVU_Mes_Corriente!EG236*SALUD_Mes_Constante!$EC$1</f>
        <v>0</v>
      </c>
      <c r="EH236" s="8">
        <f>+MINVU_Mes_Corriente!EH236*SALUD_Mes_Constante!$EC$1</f>
        <v>0</v>
      </c>
      <c r="EI236" s="8">
        <f>+MINVU_Mes_Corriente!EI236*SALUD_Mes_Constante!$EC$1</f>
        <v>0</v>
      </c>
      <c r="EJ236" s="8">
        <f>+MINVU_Mes_Corriente!EJ236*SALUD_Mes_Constante!$EC$1</f>
        <v>0</v>
      </c>
      <c r="EK236" s="8">
        <f>+MINVU_Mes_Corriente!EK236*SALUD_Mes_Constante!$EC$1</f>
        <v>0</v>
      </c>
      <c r="EL236" s="8">
        <f>+MINVU_Mes_Corriente!EL236*SALUD_Mes_Constante!$EC$1</f>
        <v>0</v>
      </c>
      <c r="EM236" s="8">
        <f>+MINVU_Mes_Corriente!EM236*SALUD_Mes_Constante!$EC$1</f>
        <v>0</v>
      </c>
      <c r="EN236" s="8">
        <f>+MINVU_Mes_Corriente!EN236*SALUD_Mes_Constante!$EC$1</f>
        <v>0</v>
      </c>
      <c r="EO236" s="9">
        <f t="shared" si="124"/>
        <v>0</v>
      </c>
      <c r="EP236" s="8">
        <f>+MINVU_Mes_Corriente!EP236*SALUD_Mes_Constante!$EP$1</f>
        <v>0</v>
      </c>
      <c r="EQ236" s="8">
        <f>+MINVU_Mes_Corriente!EQ236*SALUD_Mes_Constante!$EP$1</f>
        <v>0</v>
      </c>
      <c r="ER236" s="8">
        <f>+MINVU_Mes_Corriente!ER236*SALUD_Mes_Constante!$EP$1</f>
        <v>0</v>
      </c>
      <c r="ES236" s="8">
        <f>+MINVU_Mes_Corriente!ES236*SALUD_Mes_Constante!$EP$1</f>
        <v>0</v>
      </c>
      <c r="ET236" s="8">
        <f>+MINVU_Mes_Corriente!ET236*SALUD_Mes_Constante!$EP$1</f>
        <v>0</v>
      </c>
      <c r="EU236" s="8">
        <f>+MINVU_Mes_Corriente!EU236*SALUD_Mes_Constante!$EP$1</f>
        <v>0</v>
      </c>
      <c r="EV236" s="8">
        <f>+MINVU_Mes_Corriente!EV236*SALUD_Mes_Constante!$EP$1</f>
        <v>0</v>
      </c>
      <c r="EW236" s="8">
        <f>+MINVU_Mes_Corriente!EW236*SALUD_Mes_Constante!$EP$1</f>
        <v>0</v>
      </c>
      <c r="EX236" s="8">
        <f>+MINVU_Mes_Corriente!EX236*SALUD_Mes_Constante!$EP$1</f>
        <v>0</v>
      </c>
      <c r="EY236" s="8">
        <f>+MINVU_Mes_Corriente!EY236*SALUD_Mes_Constante!$EP$1</f>
        <v>0</v>
      </c>
      <c r="EZ236" s="8">
        <f>+MINVU_Mes_Corriente!EZ236*SALUD_Mes_Constante!$EP$1</f>
        <v>0</v>
      </c>
      <c r="FA236" s="8">
        <f>+MINVU_Mes_Corriente!FA236*SALUD_Mes_Constante!$EP$1</f>
        <v>0</v>
      </c>
      <c r="FB236" s="9">
        <f t="shared" si="125"/>
        <v>0</v>
      </c>
      <c r="FC236" s="8">
        <f>+MINVU_Mes_Corriente!FC236*SALUD_Mes_Constante!$FC$1</f>
        <v>0</v>
      </c>
      <c r="FD236" s="8">
        <f>+MINVU_Mes_Corriente!FD236*SALUD_Mes_Constante!$FC$1</f>
        <v>0</v>
      </c>
      <c r="FE236" s="8">
        <f>+MINVU_Mes_Corriente!FE236*SALUD_Mes_Constante!$FC$1</f>
        <v>0</v>
      </c>
      <c r="FF236" s="8">
        <f>+MINVU_Mes_Corriente!FF236*SALUD_Mes_Constante!$FC$1</f>
        <v>0</v>
      </c>
      <c r="FG236" s="8">
        <f>+MINVU_Mes_Corriente!FG236*SALUD_Mes_Constante!$FC$1</f>
        <v>0</v>
      </c>
      <c r="FH236" s="8">
        <f>+MINVU_Mes_Corriente!FH236*SALUD_Mes_Constante!$FC$1</f>
        <v>0</v>
      </c>
      <c r="FI236" s="8">
        <f>+MINVU_Mes_Corriente!FI236*SALUD_Mes_Constante!$FC$1</f>
        <v>0</v>
      </c>
      <c r="FJ236" s="8"/>
      <c r="FK236" s="8"/>
      <c r="FL236" s="8"/>
      <c r="FM236" s="8"/>
      <c r="FN236" s="8"/>
      <c r="FO236" s="9">
        <f t="shared" si="126"/>
        <v>0</v>
      </c>
    </row>
    <row r="237" spans="2:171" ht="14.25" customHeight="1" x14ac:dyDescent="0.3">
      <c r="B237" s="7" t="s">
        <v>50</v>
      </c>
      <c r="C237" s="8">
        <f>+MINVU_Mes_Corriente!C237*SALUD_Mes_Constante!$C$1</f>
        <v>0</v>
      </c>
      <c r="D237" s="8">
        <f>+MINVU_Mes_Corriente!D237*SALUD_Mes_Constante!$C$1</f>
        <v>0</v>
      </c>
      <c r="E237" s="8">
        <f>+MINVU_Mes_Corriente!E237*SALUD_Mes_Constante!$C$1</f>
        <v>0</v>
      </c>
      <c r="F237" s="8">
        <f>+MINVU_Mes_Corriente!F237*SALUD_Mes_Constante!$C$1</f>
        <v>0</v>
      </c>
      <c r="G237" s="8">
        <f>+MINVU_Mes_Corriente!G237*SALUD_Mes_Constante!$C$1</f>
        <v>0</v>
      </c>
      <c r="H237" s="8">
        <f>+MINVU_Mes_Corriente!H237*SALUD_Mes_Constante!$C$1</f>
        <v>0</v>
      </c>
      <c r="I237" s="8">
        <f>+MINVU_Mes_Corriente!I237*SALUD_Mes_Constante!$C$1</f>
        <v>0</v>
      </c>
      <c r="J237" s="8">
        <f>+MINVU_Mes_Corriente!J237*SALUD_Mes_Constante!$C$1</f>
        <v>0</v>
      </c>
      <c r="K237" s="8">
        <f>+MINVU_Mes_Corriente!K237*SALUD_Mes_Constante!$C$1</f>
        <v>0</v>
      </c>
      <c r="L237" s="8">
        <f>+MINVU_Mes_Corriente!L237*SALUD_Mes_Constante!$C$1</f>
        <v>0</v>
      </c>
      <c r="M237" s="8">
        <f>+MINVU_Mes_Corriente!M237*SALUD_Mes_Constante!$C$1</f>
        <v>0</v>
      </c>
      <c r="N237" s="8">
        <f>+MINVU_Mes_Corriente!N237*SALUD_Mes_Constante!$C$1</f>
        <v>0</v>
      </c>
      <c r="O237" s="9">
        <f t="shared" si="114"/>
        <v>0</v>
      </c>
      <c r="P237" s="8">
        <f>+MINVU_Mes_Corriente!P237*SALUD_Mes_Constante!$P$1</f>
        <v>0</v>
      </c>
      <c r="Q237" s="8">
        <f>+MINVU_Mes_Corriente!Q237*SALUD_Mes_Constante!$P$1</f>
        <v>0</v>
      </c>
      <c r="R237" s="8">
        <f>+MINVU_Mes_Corriente!R237*SALUD_Mes_Constante!$P$1</f>
        <v>0</v>
      </c>
      <c r="S237" s="8">
        <f>+MINVU_Mes_Corriente!S237*SALUD_Mes_Constante!$P$1</f>
        <v>0</v>
      </c>
      <c r="T237" s="8">
        <f>+MINVU_Mes_Corriente!T237*SALUD_Mes_Constante!$P$1</f>
        <v>0</v>
      </c>
      <c r="U237" s="8">
        <f>+MINVU_Mes_Corriente!U237*SALUD_Mes_Constante!$P$1</f>
        <v>0</v>
      </c>
      <c r="V237" s="8">
        <f>+MINVU_Mes_Corriente!V237*SALUD_Mes_Constante!$P$1</f>
        <v>0</v>
      </c>
      <c r="W237" s="8">
        <f>+MINVU_Mes_Corriente!W237*SALUD_Mes_Constante!$P$1</f>
        <v>0</v>
      </c>
      <c r="X237" s="8">
        <f>+MINVU_Mes_Corriente!X237*SALUD_Mes_Constante!$P$1</f>
        <v>0</v>
      </c>
      <c r="Y237" s="8">
        <f>+MINVU_Mes_Corriente!Y237*SALUD_Mes_Constante!$P$1</f>
        <v>0</v>
      </c>
      <c r="Z237" s="8">
        <f>+MINVU_Mes_Corriente!Z237*SALUD_Mes_Constante!$P$1</f>
        <v>0</v>
      </c>
      <c r="AA237" s="8">
        <f>+MINVU_Mes_Corriente!AA237*SALUD_Mes_Constante!$P$1</f>
        <v>0</v>
      </c>
      <c r="AB237" s="9">
        <f t="shared" si="115"/>
        <v>0</v>
      </c>
      <c r="AC237" s="8">
        <f>+MINVU_Mes_Corriente!AC237*SALUD_Mes_Constante!$AC$1</f>
        <v>0</v>
      </c>
      <c r="AD237" s="8">
        <f>+MINVU_Mes_Corriente!AD237*SALUD_Mes_Constante!$AC$1</f>
        <v>0</v>
      </c>
      <c r="AE237" s="8">
        <f>+MINVU_Mes_Corriente!AE237*SALUD_Mes_Constante!$AC$1</f>
        <v>0</v>
      </c>
      <c r="AF237" s="8">
        <f>+MINVU_Mes_Corriente!AF237*SALUD_Mes_Constante!$AC$1</f>
        <v>0</v>
      </c>
      <c r="AG237" s="8">
        <f>+MINVU_Mes_Corriente!AG237*SALUD_Mes_Constante!$AC$1</f>
        <v>0</v>
      </c>
      <c r="AH237" s="8">
        <f>+MINVU_Mes_Corriente!AH237*SALUD_Mes_Constante!$AC$1</f>
        <v>0</v>
      </c>
      <c r="AI237" s="8">
        <f>+MINVU_Mes_Corriente!AI237*SALUD_Mes_Constante!$AC$1</f>
        <v>0</v>
      </c>
      <c r="AJ237" s="8">
        <f>+MINVU_Mes_Corriente!AJ237*SALUD_Mes_Constante!$AC$1</f>
        <v>0</v>
      </c>
      <c r="AK237" s="8">
        <f>+MINVU_Mes_Corriente!AK237*SALUD_Mes_Constante!$AC$1</f>
        <v>0</v>
      </c>
      <c r="AL237" s="8">
        <f>+MINVU_Mes_Corriente!AL237*SALUD_Mes_Constante!$AC$1</f>
        <v>0</v>
      </c>
      <c r="AM237" s="8">
        <f>+MINVU_Mes_Corriente!AM237*SALUD_Mes_Constante!$AC$1</f>
        <v>0</v>
      </c>
      <c r="AN237" s="8">
        <f>+MINVU_Mes_Corriente!AN237*SALUD_Mes_Constante!$AC$1</f>
        <v>0</v>
      </c>
      <c r="AO237" s="9">
        <f t="shared" si="116"/>
        <v>0</v>
      </c>
      <c r="AP237" s="8">
        <f>+MINVU_Mes_Corriente!AP237*SALUD_Mes_Constante!$AP$1</f>
        <v>0</v>
      </c>
      <c r="AQ237" s="8">
        <f>+MINVU_Mes_Corriente!AQ237*SALUD_Mes_Constante!$AP$1</f>
        <v>0</v>
      </c>
      <c r="AR237" s="8">
        <f>+MINVU_Mes_Corriente!AR237*SALUD_Mes_Constante!$AP$1</f>
        <v>0</v>
      </c>
      <c r="AS237" s="8">
        <f>+MINVU_Mes_Corriente!AS237*SALUD_Mes_Constante!$AP$1</f>
        <v>0</v>
      </c>
      <c r="AT237" s="8">
        <f>+MINVU_Mes_Corriente!AT237*SALUD_Mes_Constante!$AP$1</f>
        <v>0</v>
      </c>
      <c r="AU237" s="8">
        <f>+MINVU_Mes_Corriente!AU237*SALUD_Mes_Constante!$AP$1</f>
        <v>0</v>
      </c>
      <c r="AV237" s="8">
        <f>+MINVU_Mes_Corriente!AV237*SALUD_Mes_Constante!$AP$1</f>
        <v>0</v>
      </c>
      <c r="AW237" s="8">
        <f>+MINVU_Mes_Corriente!AW237*SALUD_Mes_Constante!$AP$1</f>
        <v>0</v>
      </c>
      <c r="AX237" s="8">
        <f>+MINVU_Mes_Corriente!AX237*SALUD_Mes_Constante!$AP$1</f>
        <v>0</v>
      </c>
      <c r="AY237" s="8">
        <f>+MINVU_Mes_Corriente!AY237*SALUD_Mes_Constante!$AP$1</f>
        <v>0</v>
      </c>
      <c r="AZ237" s="8">
        <f>+MINVU_Mes_Corriente!AZ237*SALUD_Mes_Constante!$AP$1</f>
        <v>0</v>
      </c>
      <c r="BA237" s="8">
        <f>+MINVU_Mes_Corriente!BA237*SALUD_Mes_Constante!$AP$1</f>
        <v>0</v>
      </c>
      <c r="BB237" s="9">
        <f t="shared" si="117"/>
        <v>0</v>
      </c>
      <c r="BC237" s="8">
        <f>+MINVU_Mes_Corriente!BC237*SALUD_Mes_Constante!$BC$1</f>
        <v>0</v>
      </c>
      <c r="BD237" s="8">
        <f>+MINVU_Mes_Corriente!BD237*SALUD_Mes_Constante!$BC$1</f>
        <v>0</v>
      </c>
      <c r="BE237" s="8">
        <f>+MINVU_Mes_Corriente!BE237*SALUD_Mes_Constante!$BC$1</f>
        <v>0</v>
      </c>
      <c r="BF237" s="8">
        <f>+MINVU_Mes_Corriente!BF237*SALUD_Mes_Constante!$BC$1</f>
        <v>0</v>
      </c>
      <c r="BG237" s="8">
        <f>+MINVU_Mes_Corriente!BG237*SALUD_Mes_Constante!$BC$1</f>
        <v>0</v>
      </c>
      <c r="BH237" s="8">
        <f>+MINVU_Mes_Corriente!BH237*SALUD_Mes_Constante!$BC$1</f>
        <v>0</v>
      </c>
      <c r="BI237" s="8">
        <f>+MINVU_Mes_Corriente!BI237*SALUD_Mes_Constante!$BC$1</f>
        <v>0</v>
      </c>
      <c r="BJ237" s="8">
        <f>+MINVU_Mes_Corriente!BJ237*SALUD_Mes_Constante!$BC$1</f>
        <v>0</v>
      </c>
      <c r="BK237" s="8">
        <f>+MINVU_Mes_Corriente!BK237*SALUD_Mes_Constante!$BC$1</f>
        <v>0</v>
      </c>
      <c r="BL237" s="8">
        <f>+MINVU_Mes_Corriente!BL237*SALUD_Mes_Constante!$BC$1</f>
        <v>0</v>
      </c>
      <c r="BM237" s="8">
        <f>+MINVU_Mes_Corriente!BM237*SALUD_Mes_Constante!$BC$1</f>
        <v>0</v>
      </c>
      <c r="BN237" s="8">
        <f>+MINVU_Mes_Corriente!BN237*SALUD_Mes_Constante!$BC$1</f>
        <v>0</v>
      </c>
      <c r="BO237" s="9">
        <f t="shared" si="118"/>
        <v>0</v>
      </c>
      <c r="BP237" s="8">
        <f>+MINVU_Mes_Corriente!BP237*SALUD_Mes_Constante!$BP$1</f>
        <v>0</v>
      </c>
      <c r="BQ237" s="8">
        <f>+MINVU_Mes_Corriente!BQ237*SALUD_Mes_Constante!$BP$1</f>
        <v>0</v>
      </c>
      <c r="BR237" s="8">
        <f>+MINVU_Mes_Corriente!BR237*SALUD_Mes_Constante!$BP$1</f>
        <v>0</v>
      </c>
      <c r="BS237" s="8">
        <f>+MINVU_Mes_Corriente!BS237*SALUD_Mes_Constante!$BP$1</f>
        <v>0</v>
      </c>
      <c r="BT237" s="8">
        <f>+MINVU_Mes_Corriente!BT237*SALUD_Mes_Constante!$BP$1</f>
        <v>0</v>
      </c>
      <c r="BU237" s="8">
        <f>+MINVU_Mes_Corriente!BU237*SALUD_Mes_Constante!$BP$1</f>
        <v>0</v>
      </c>
      <c r="BV237" s="8">
        <f>+MINVU_Mes_Corriente!BV237*SALUD_Mes_Constante!$BP$1</f>
        <v>0</v>
      </c>
      <c r="BW237" s="8">
        <f>+MINVU_Mes_Corriente!BW237*SALUD_Mes_Constante!$BP$1</f>
        <v>0</v>
      </c>
      <c r="BX237" s="8">
        <f>+MINVU_Mes_Corriente!BX237*SALUD_Mes_Constante!$BP$1</f>
        <v>0</v>
      </c>
      <c r="BY237" s="8">
        <f>+MINVU_Mes_Corriente!BY237*SALUD_Mes_Constante!$BP$1</f>
        <v>0</v>
      </c>
      <c r="BZ237" s="8">
        <f>+MINVU_Mes_Corriente!BZ237*SALUD_Mes_Constante!$BP$1</f>
        <v>0</v>
      </c>
      <c r="CA237" s="8">
        <f>+MINVU_Mes_Corriente!CA237*SALUD_Mes_Constante!$BP$1</f>
        <v>0</v>
      </c>
      <c r="CB237" s="9">
        <f t="shared" si="119"/>
        <v>0</v>
      </c>
      <c r="CC237" s="8">
        <f>+MINVU_Mes_Corriente!CC237*SALUD_Mes_Constante!$CC$1</f>
        <v>0</v>
      </c>
      <c r="CD237" s="8">
        <f>+MINVU_Mes_Corriente!CD237*SALUD_Mes_Constante!$CC$1</f>
        <v>0</v>
      </c>
      <c r="CE237" s="8">
        <f>+MINVU_Mes_Corriente!CE237*SALUD_Mes_Constante!$CC$1</f>
        <v>0</v>
      </c>
      <c r="CF237" s="8">
        <f>+MINVU_Mes_Corriente!CF237*SALUD_Mes_Constante!$CC$1</f>
        <v>0</v>
      </c>
      <c r="CG237" s="8">
        <f>+MINVU_Mes_Corriente!CG237*SALUD_Mes_Constante!$CC$1</f>
        <v>0</v>
      </c>
      <c r="CH237" s="8">
        <f>+MINVU_Mes_Corriente!CH237*SALUD_Mes_Constante!$CC$1</f>
        <v>0</v>
      </c>
      <c r="CI237" s="8">
        <f>+MINVU_Mes_Corriente!CI237*SALUD_Mes_Constante!$CC$1</f>
        <v>0</v>
      </c>
      <c r="CJ237" s="8">
        <f>+MINVU_Mes_Corriente!CJ237*SALUD_Mes_Constante!$CC$1</f>
        <v>0</v>
      </c>
      <c r="CK237" s="8">
        <f>+MINVU_Mes_Corriente!CK237*SALUD_Mes_Constante!$CC$1</f>
        <v>0</v>
      </c>
      <c r="CL237" s="8">
        <f>+MINVU_Mes_Corriente!CL237*SALUD_Mes_Constante!$CC$1</f>
        <v>0</v>
      </c>
      <c r="CM237" s="8">
        <f>+MINVU_Mes_Corriente!CM237*SALUD_Mes_Constante!$CC$1</f>
        <v>0</v>
      </c>
      <c r="CN237" s="8">
        <f>+MINVU_Mes_Corriente!CN237*SALUD_Mes_Constante!$CC$1</f>
        <v>0</v>
      </c>
      <c r="CO237" s="9">
        <f t="shared" si="120"/>
        <v>0</v>
      </c>
      <c r="CP237" s="8">
        <f>+MINVU_Mes_Corriente!CP237*SALUD_Mes_Constante!$CP$1</f>
        <v>0</v>
      </c>
      <c r="CQ237" s="8">
        <f>+MINVU_Mes_Corriente!CQ237*SALUD_Mes_Constante!$CP$1</f>
        <v>0</v>
      </c>
      <c r="CR237" s="8">
        <f>+MINVU_Mes_Corriente!CR237*SALUD_Mes_Constante!$CP$1</f>
        <v>0</v>
      </c>
      <c r="CS237" s="8">
        <f>+MINVU_Mes_Corriente!CS237*SALUD_Mes_Constante!$CP$1</f>
        <v>0</v>
      </c>
      <c r="CT237" s="8">
        <f>+MINVU_Mes_Corriente!CT237*SALUD_Mes_Constante!$CP$1</f>
        <v>0</v>
      </c>
      <c r="CU237" s="8">
        <f>+MINVU_Mes_Corriente!CU237*SALUD_Mes_Constante!$CP$1</f>
        <v>0</v>
      </c>
      <c r="CV237" s="8">
        <f>+MINVU_Mes_Corriente!CV237*SALUD_Mes_Constante!$CP$1</f>
        <v>0</v>
      </c>
      <c r="CW237" s="8">
        <f>+MINVU_Mes_Corriente!CW237*SALUD_Mes_Constante!$CP$1</f>
        <v>0</v>
      </c>
      <c r="CX237" s="8">
        <f>+MINVU_Mes_Corriente!CX237*SALUD_Mes_Constante!$CP$1</f>
        <v>0</v>
      </c>
      <c r="CY237" s="8">
        <f>+MINVU_Mes_Corriente!CY237*SALUD_Mes_Constante!$CP$1</f>
        <v>0</v>
      </c>
      <c r="CZ237" s="8">
        <f>+MINVU_Mes_Corriente!CZ237*SALUD_Mes_Constante!$CP$1</f>
        <v>0</v>
      </c>
      <c r="DA237" s="8">
        <f>+MINVU_Mes_Corriente!DA237*SALUD_Mes_Constante!$CP$1</f>
        <v>0</v>
      </c>
      <c r="DB237" s="9">
        <f t="shared" si="121"/>
        <v>0</v>
      </c>
      <c r="DC237" s="8">
        <f>+MINVU_Mes_Corriente!DC237*SALUD_Mes_Constante!$DC$1</f>
        <v>0</v>
      </c>
      <c r="DD237" s="8">
        <f>+MINVU_Mes_Corriente!DD237*SALUD_Mes_Constante!$DC$1</f>
        <v>0</v>
      </c>
      <c r="DE237" s="8">
        <f>+MINVU_Mes_Corriente!DE237*SALUD_Mes_Constante!$DC$1</f>
        <v>0</v>
      </c>
      <c r="DF237" s="8">
        <f>+MINVU_Mes_Corriente!DF237*SALUD_Mes_Constante!$DC$1</f>
        <v>0</v>
      </c>
      <c r="DG237" s="8">
        <f>+MINVU_Mes_Corriente!DG237*SALUD_Mes_Constante!$DC$1</f>
        <v>0</v>
      </c>
      <c r="DH237" s="8">
        <f>+MINVU_Mes_Corriente!DH237*SALUD_Mes_Constante!$DC$1</f>
        <v>0</v>
      </c>
      <c r="DI237" s="8">
        <f>+MINVU_Mes_Corriente!DI237*SALUD_Mes_Constante!$DC$1</f>
        <v>0</v>
      </c>
      <c r="DJ237" s="8">
        <f>+MINVU_Mes_Corriente!DJ237*SALUD_Mes_Constante!$DC$1</f>
        <v>0</v>
      </c>
      <c r="DK237" s="8">
        <f>+MINVU_Mes_Corriente!DK237*SALUD_Mes_Constante!$DC$1</f>
        <v>0</v>
      </c>
      <c r="DL237" s="8">
        <f>+MINVU_Mes_Corriente!DL237*SALUD_Mes_Constante!$DC$1</f>
        <v>0</v>
      </c>
      <c r="DM237" s="8">
        <f>+MINVU_Mes_Corriente!DM237*SALUD_Mes_Constante!$DC$1</f>
        <v>0</v>
      </c>
      <c r="DN237" s="8">
        <f>+MINVU_Mes_Corriente!DN237*SALUD_Mes_Constante!$DC$1</f>
        <v>0</v>
      </c>
      <c r="DO237" s="9">
        <f t="shared" si="122"/>
        <v>0</v>
      </c>
      <c r="DP237" s="8">
        <f>+MINVU_Mes_Corriente!DP237*SALUD_Mes_Constante!$DP$1</f>
        <v>0</v>
      </c>
      <c r="DQ237" s="8">
        <f>+MINVU_Mes_Corriente!DQ237*SALUD_Mes_Constante!$DP$1</f>
        <v>0</v>
      </c>
      <c r="DR237" s="8">
        <f>+MINVU_Mes_Corriente!DR237*SALUD_Mes_Constante!$DP$1</f>
        <v>0</v>
      </c>
      <c r="DS237" s="8">
        <f>+MINVU_Mes_Corriente!DS237*SALUD_Mes_Constante!$DP$1</f>
        <v>0</v>
      </c>
      <c r="DT237" s="8">
        <f>+MINVU_Mes_Corriente!DT237*SALUD_Mes_Constante!$DP$1</f>
        <v>0</v>
      </c>
      <c r="DU237" s="8">
        <f>+MINVU_Mes_Corriente!DU237*SALUD_Mes_Constante!$DP$1</f>
        <v>0</v>
      </c>
      <c r="DV237" s="8">
        <f>+MINVU_Mes_Corriente!DV237*SALUD_Mes_Constante!$DP$1</f>
        <v>0</v>
      </c>
      <c r="DW237" s="8">
        <f>+MINVU_Mes_Corriente!DW237*SALUD_Mes_Constante!$DP$1</f>
        <v>0</v>
      </c>
      <c r="DX237" s="8">
        <f>+MINVU_Mes_Corriente!DX237*SALUD_Mes_Constante!$DP$1</f>
        <v>0</v>
      </c>
      <c r="DY237" s="8">
        <f>+MINVU_Mes_Corriente!DY237*SALUD_Mes_Constante!$DP$1</f>
        <v>0</v>
      </c>
      <c r="DZ237" s="8">
        <f>+MINVU_Mes_Corriente!DZ237*SALUD_Mes_Constante!$DP$1</f>
        <v>0</v>
      </c>
      <c r="EA237" s="8">
        <f>+MINVU_Mes_Corriente!EA237*SALUD_Mes_Constante!$DP$1</f>
        <v>0</v>
      </c>
      <c r="EB237" s="9">
        <f t="shared" si="123"/>
        <v>0</v>
      </c>
      <c r="EC237" s="8">
        <f>+MINVU_Mes_Corriente!EC237*SALUD_Mes_Constante!$EC$1</f>
        <v>0</v>
      </c>
      <c r="ED237" s="8">
        <f>+MINVU_Mes_Corriente!ED237*SALUD_Mes_Constante!$EC$1</f>
        <v>0</v>
      </c>
      <c r="EE237" s="8">
        <f>+MINVU_Mes_Corriente!EE237*SALUD_Mes_Constante!$EC$1</f>
        <v>0</v>
      </c>
      <c r="EF237" s="8">
        <f>+MINVU_Mes_Corriente!EF237*SALUD_Mes_Constante!$EC$1</f>
        <v>0</v>
      </c>
      <c r="EG237" s="8">
        <f>+MINVU_Mes_Corriente!EG237*SALUD_Mes_Constante!$EC$1</f>
        <v>0</v>
      </c>
      <c r="EH237" s="8">
        <f>+MINVU_Mes_Corriente!EH237*SALUD_Mes_Constante!$EC$1</f>
        <v>0</v>
      </c>
      <c r="EI237" s="8">
        <f>+MINVU_Mes_Corriente!EI237*SALUD_Mes_Constante!$EC$1</f>
        <v>0</v>
      </c>
      <c r="EJ237" s="8">
        <f>+MINVU_Mes_Corriente!EJ237*SALUD_Mes_Constante!$EC$1</f>
        <v>0</v>
      </c>
      <c r="EK237" s="8">
        <f>+MINVU_Mes_Corriente!EK237*SALUD_Mes_Constante!$EC$1</f>
        <v>0</v>
      </c>
      <c r="EL237" s="8">
        <f>+MINVU_Mes_Corriente!EL237*SALUD_Mes_Constante!$EC$1</f>
        <v>0</v>
      </c>
      <c r="EM237" s="8">
        <f>+MINVU_Mes_Corriente!EM237*SALUD_Mes_Constante!$EC$1</f>
        <v>0</v>
      </c>
      <c r="EN237" s="8">
        <f>+MINVU_Mes_Corriente!EN237*SALUD_Mes_Constante!$EC$1</f>
        <v>0</v>
      </c>
      <c r="EO237" s="9">
        <f t="shared" si="124"/>
        <v>0</v>
      </c>
      <c r="EP237" s="8">
        <f>+MINVU_Mes_Corriente!EP237*SALUD_Mes_Constante!$EP$1</f>
        <v>0</v>
      </c>
      <c r="EQ237" s="8">
        <f>+MINVU_Mes_Corriente!EQ237*SALUD_Mes_Constante!$EP$1</f>
        <v>0</v>
      </c>
      <c r="ER237" s="8">
        <f>+MINVU_Mes_Corriente!ER237*SALUD_Mes_Constante!$EP$1</f>
        <v>0</v>
      </c>
      <c r="ES237" s="8">
        <f>+MINVU_Mes_Corriente!ES237*SALUD_Mes_Constante!$EP$1</f>
        <v>0</v>
      </c>
      <c r="ET237" s="8">
        <f>+MINVU_Mes_Corriente!ET237*SALUD_Mes_Constante!$EP$1</f>
        <v>0</v>
      </c>
      <c r="EU237" s="8">
        <f>+MINVU_Mes_Corriente!EU237*SALUD_Mes_Constante!$EP$1</f>
        <v>0</v>
      </c>
      <c r="EV237" s="8">
        <f>+MINVU_Mes_Corriente!EV237*SALUD_Mes_Constante!$EP$1</f>
        <v>0</v>
      </c>
      <c r="EW237" s="8">
        <f>+MINVU_Mes_Corriente!EW237*SALUD_Mes_Constante!$EP$1</f>
        <v>0</v>
      </c>
      <c r="EX237" s="8">
        <f>+MINVU_Mes_Corriente!EX237*SALUD_Mes_Constante!$EP$1</f>
        <v>0</v>
      </c>
      <c r="EY237" s="8">
        <f>+MINVU_Mes_Corriente!EY237*SALUD_Mes_Constante!$EP$1</f>
        <v>0</v>
      </c>
      <c r="EZ237" s="8">
        <f>+MINVU_Mes_Corriente!EZ237*SALUD_Mes_Constante!$EP$1</f>
        <v>0</v>
      </c>
      <c r="FA237" s="8">
        <f>+MINVU_Mes_Corriente!FA237*SALUD_Mes_Constante!$EP$1</f>
        <v>0</v>
      </c>
      <c r="FB237" s="9">
        <f t="shared" si="125"/>
        <v>0</v>
      </c>
      <c r="FC237" s="8">
        <f>+MINVU_Mes_Corriente!FC237*SALUD_Mes_Constante!$FC$1</f>
        <v>0</v>
      </c>
      <c r="FD237" s="8">
        <f>+MINVU_Mes_Corriente!FD237*SALUD_Mes_Constante!$FC$1</f>
        <v>0</v>
      </c>
      <c r="FE237" s="8">
        <f>+MINVU_Mes_Corriente!FE237*SALUD_Mes_Constante!$FC$1</f>
        <v>0</v>
      </c>
      <c r="FF237" s="8">
        <f>+MINVU_Mes_Corriente!FF237*SALUD_Mes_Constante!$FC$1</f>
        <v>0</v>
      </c>
      <c r="FG237" s="8">
        <f>+MINVU_Mes_Corriente!FG237*SALUD_Mes_Constante!$FC$1</f>
        <v>0</v>
      </c>
      <c r="FH237" s="8">
        <f>+MINVU_Mes_Corriente!FH237*SALUD_Mes_Constante!$FC$1</f>
        <v>0</v>
      </c>
      <c r="FI237" s="8">
        <f>+MINVU_Mes_Corriente!FI237*SALUD_Mes_Constante!$FC$1</f>
        <v>0</v>
      </c>
      <c r="FJ237" s="8"/>
      <c r="FK237" s="8"/>
      <c r="FL237" s="8"/>
      <c r="FM237" s="8"/>
      <c r="FN237" s="8"/>
      <c r="FO237" s="9">
        <f t="shared" si="126"/>
        <v>0</v>
      </c>
    </row>
    <row r="238" spans="2:171" ht="14.25" customHeight="1" x14ac:dyDescent="0.3">
      <c r="B238" s="7" t="s">
        <v>51</v>
      </c>
      <c r="C238" s="8">
        <f>+MINVU_Mes_Corriente!C238*SALUD_Mes_Constante!$C$1</f>
        <v>0</v>
      </c>
      <c r="D238" s="8">
        <f>+MINVU_Mes_Corriente!D238*SALUD_Mes_Constante!$C$1</f>
        <v>0</v>
      </c>
      <c r="E238" s="8">
        <f>+MINVU_Mes_Corriente!E238*SALUD_Mes_Constante!$C$1</f>
        <v>0</v>
      </c>
      <c r="F238" s="8">
        <f>+MINVU_Mes_Corriente!F238*SALUD_Mes_Constante!$C$1</f>
        <v>0</v>
      </c>
      <c r="G238" s="8">
        <f>+MINVU_Mes_Corriente!G238*SALUD_Mes_Constante!$C$1</f>
        <v>0</v>
      </c>
      <c r="H238" s="8">
        <f>+MINVU_Mes_Corriente!H238*SALUD_Mes_Constante!$C$1</f>
        <v>0</v>
      </c>
      <c r="I238" s="8">
        <f>+MINVU_Mes_Corriente!I238*SALUD_Mes_Constante!$C$1</f>
        <v>0</v>
      </c>
      <c r="J238" s="8">
        <f>+MINVU_Mes_Corriente!J238*SALUD_Mes_Constante!$C$1</f>
        <v>0</v>
      </c>
      <c r="K238" s="8">
        <f>+MINVU_Mes_Corriente!K238*SALUD_Mes_Constante!$C$1</f>
        <v>0</v>
      </c>
      <c r="L238" s="8">
        <f>+MINVU_Mes_Corriente!L238*SALUD_Mes_Constante!$C$1</f>
        <v>0</v>
      </c>
      <c r="M238" s="8">
        <f>+MINVU_Mes_Corriente!M238*SALUD_Mes_Constante!$C$1</f>
        <v>0</v>
      </c>
      <c r="N238" s="8">
        <f>+MINVU_Mes_Corriente!N238*SALUD_Mes_Constante!$C$1</f>
        <v>0</v>
      </c>
      <c r="O238" s="9">
        <f t="shared" si="114"/>
        <v>0</v>
      </c>
      <c r="P238" s="8">
        <f>+MINVU_Mes_Corriente!P238*SALUD_Mes_Constante!$P$1</f>
        <v>0</v>
      </c>
      <c r="Q238" s="8">
        <f>+MINVU_Mes_Corriente!Q238*SALUD_Mes_Constante!$P$1</f>
        <v>0</v>
      </c>
      <c r="R238" s="8">
        <f>+MINVU_Mes_Corriente!R238*SALUD_Mes_Constante!$P$1</f>
        <v>0</v>
      </c>
      <c r="S238" s="8">
        <f>+MINVU_Mes_Corriente!S238*SALUD_Mes_Constante!$P$1</f>
        <v>0</v>
      </c>
      <c r="T238" s="8">
        <f>+MINVU_Mes_Corriente!T238*SALUD_Mes_Constante!$P$1</f>
        <v>0</v>
      </c>
      <c r="U238" s="8">
        <f>+MINVU_Mes_Corriente!U238*SALUD_Mes_Constante!$P$1</f>
        <v>0</v>
      </c>
      <c r="V238" s="8">
        <f>+MINVU_Mes_Corriente!V238*SALUD_Mes_Constante!$P$1</f>
        <v>0</v>
      </c>
      <c r="W238" s="8">
        <f>+MINVU_Mes_Corriente!W238*SALUD_Mes_Constante!$P$1</f>
        <v>0</v>
      </c>
      <c r="X238" s="8">
        <f>+MINVU_Mes_Corriente!X238*SALUD_Mes_Constante!$P$1</f>
        <v>0</v>
      </c>
      <c r="Y238" s="8">
        <f>+MINVU_Mes_Corriente!Y238*SALUD_Mes_Constante!$P$1</f>
        <v>0</v>
      </c>
      <c r="Z238" s="8">
        <f>+MINVU_Mes_Corriente!Z238*SALUD_Mes_Constante!$P$1</f>
        <v>0</v>
      </c>
      <c r="AA238" s="8">
        <f>+MINVU_Mes_Corriente!AA238*SALUD_Mes_Constante!$P$1</f>
        <v>0</v>
      </c>
      <c r="AB238" s="9">
        <f t="shared" si="115"/>
        <v>0</v>
      </c>
      <c r="AC238" s="8">
        <f>+MINVU_Mes_Corriente!AC238*SALUD_Mes_Constante!$AC$1</f>
        <v>0</v>
      </c>
      <c r="AD238" s="8">
        <f>+MINVU_Mes_Corriente!AD238*SALUD_Mes_Constante!$AC$1</f>
        <v>0</v>
      </c>
      <c r="AE238" s="8">
        <f>+MINVU_Mes_Corriente!AE238*SALUD_Mes_Constante!$AC$1</f>
        <v>0</v>
      </c>
      <c r="AF238" s="8">
        <f>+MINVU_Mes_Corriente!AF238*SALUD_Mes_Constante!$AC$1</f>
        <v>0</v>
      </c>
      <c r="AG238" s="8">
        <f>+MINVU_Mes_Corriente!AG238*SALUD_Mes_Constante!$AC$1</f>
        <v>0</v>
      </c>
      <c r="AH238" s="8">
        <f>+MINVU_Mes_Corriente!AH238*SALUD_Mes_Constante!$AC$1</f>
        <v>0</v>
      </c>
      <c r="AI238" s="8">
        <f>+MINVU_Mes_Corriente!AI238*SALUD_Mes_Constante!$AC$1</f>
        <v>0</v>
      </c>
      <c r="AJ238" s="8">
        <f>+MINVU_Mes_Corriente!AJ238*SALUD_Mes_Constante!$AC$1</f>
        <v>0</v>
      </c>
      <c r="AK238" s="8">
        <f>+MINVU_Mes_Corriente!AK238*SALUD_Mes_Constante!$AC$1</f>
        <v>0</v>
      </c>
      <c r="AL238" s="8">
        <f>+MINVU_Mes_Corriente!AL238*SALUD_Mes_Constante!$AC$1</f>
        <v>0</v>
      </c>
      <c r="AM238" s="8">
        <f>+MINVU_Mes_Corriente!AM238*SALUD_Mes_Constante!$AC$1</f>
        <v>0</v>
      </c>
      <c r="AN238" s="8">
        <f>+MINVU_Mes_Corriente!AN238*SALUD_Mes_Constante!$AC$1</f>
        <v>0</v>
      </c>
      <c r="AO238" s="9">
        <f t="shared" si="116"/>
        <v>0</v>
      </c>
      <c r="AP238" s="8">
        <f>+MINVU_Mes_Corriente!AP238*SALUD_Mes_Constante!$AP$1</f>
        <v>0</v>
      </c>
      <c r="AQ238" s="8">
        <f>+MINVU_Mes_Corriente!AQ238*SALUD_Mes_Constante!$AP$1</f>
        <v>0</v>
      </c>
      <c r="AR238" s="8">
        <f>+MINVU_Mes_Corriente!AR238*SALUD_Mes_Constante!$AP$1</f>
        <v>0</v>
      </c>
      <c r="AS238" s="8">
        <f>+MINVU_Mes_Corriente!AS238*SALUD_Mes_Constante!$AP$1</f>
        <v>0</v>
      </c>
      <c r="AT238" s="8">
        <f>+MINVU_Mes_Corriente!AT238*SALUD_Mes_Constante!$AP$1</f>
        <v>0</v>
      </c>
      <c r="AU238" s="8">
        <f>+MINVU_Mes_Corriente!AU238*SALUD_Mes_Constante!$AP$1</f>
        <v>0</v>
      </c>
      <c r="AV238" s="8">
        <f>+MINVU_Mes_Corriente!AV238*SALUD_Mes_Constante!$AP$1</f>
        <v>0</v>
      </c>
      <c r="AW238" s="8">
        <f>+MINVU_Mes_Corriente!AW238*SALUD_Mes_Constante!$AP$1</f>
        <v>0</v>
      </c>
      <c r="AX238" s="8">
        <f>+MINVU_Mes_Corriente!AX238*SALUD_Mes_Constante!$AP$1</f>
        <v>0</v>
      </c>
      <c r="AY238" s="8">
        <f>+MINVU_Mes_Corriente!AY238*SALUD_Mes_Constante!$AP$1</f>
        <v>0</v>
      </c>
      <c r="AZ238" s="8">
        <f>+MINVU_Mes_Corriente!AZ238*SALUD_Mes_Constante!$AP$1</f>
        <v>0</v>
      </c>
      <c r="BA238" s="8">
        <f>+MINVU_Mes_Corriente!BA238*SALUD_Mes_Constante!$AP$1</f>
        <v>0</v>
      </c>
      <c r="BB238" s="9">
        <f t="shared" si="117"/>
        <v>0</v>
      </c>
      <c r="BC238" s="8">
        <f>+MINVU_Mes_Corriente!BC238*SALUD_Mes_Constante!$BC$1</f>
        <v>0</v>
      </c>
      <c r="BD238" s="8">
        <f>+MINVU_Mes_Corriente!BD238*SALUD_Mes_Constante!$BC$1</f>
        <v>0</v>
      </c>
      <c r="BE238" s="8">
        <f>+MINVU_Mes_Corriente!BE238*SALUD_Mes_Constante!$BC$1</f>
        <v>0</v>
      </c>
      <c r="BF238" s="8">
        <f>+MINVU_Mes_Corriente!BF238*SALUD_Mes_Constante!$BC$1</f>
        <v>0</v>
      </c>
      <c r="BG238" s="8">
        <f>+MINVU_Mes_Corriente!BG238*SALUD_Mes_Constante!$BC$1</f>
        <v>0</v>
      </c>
      <c r="BH238" s="8">
        <f>+MINVU_Mes_Corriente!BH238*SALUD_Mes_Constante!$BC$1</f>
        <v>0</v>
      </c>
      <c r="BI238" s="8">
        <f>+MINVU_Mes_Corriente!BI238*SALUD_Mes_Constante!$BC$1</f>
        <v>0</v>
      </c>
      <c r="BJ238" s="8">
        <f>+MINVU_Mes_Corriente!BJ238*SALUD_Mes_Constante!$BC$1</f>
        <v>0</v>
      </c>
      <c r="BK238" s="8">
        <f>+MINVU_Mes_Corriente!BK238*SALUD_Mes_Constante!$BC$1</f>
        <v>0</v>
      </c>
      <c r="BL238" s="8">
        <f>+MINVU_Mes_Corriente!BL238*SALUD_Mes_Constante!$BC$1</f>
        <v>0</v>
      </c>
      <c r="BM238" s="8">
        <f>+MINVU_Mes_Corriente!BM238*SALUD_Mes_Constante!$BC$1</f>
        <v>0</v>
      </c>
      <c r="BN238" s="8">
        <f>+MINVU_Mes_Corriente!BN238*SALUD_Mes_Constante!$BC$1</f>
        <v>0</v>
      </c>
      <c r="BO238" s="9">
        <f t="shared" si="118"/>
        <v>0</v>
      </c>
      <c r="BP238" s="8">
        <f>+MINVU_Mes_Corriente!BP238*SALUD_Mes_Constante!$BP$1</f>
        <v>0</v>
      </c>
      <c r="BQ238" s="8">
        <f>+MINVU_Mes_Corriente!BQ238*SALUD_Mes_Constante!$BP$1</f>
        <v>0</v>
      </c>
      <c r="BR238" s="8">
        <f>+MINVU_Mes_Corriente!BR238*SALUD_Mes_Constante!$BP$1</f>
        <v>0</v>
      </c>
      <c r="BS238" s="8">
        <f>+MINVU_Mes_Corriente!BS238*SALUD_Mes_Constante!$BP$1</f>
        <v>0</v>
      </c>
      <c r="BT238" s="8">
        <f>+MINVU_Mes_Corriente!BT238*SALUD_Mes_Constante!$BP$1</f>
        <v>0</v>
      </c>
      <c r="BU238" s="8">
        <f>+MINVU_Mes_Corriente!BU238*SALUD_Mes_Constante!$BP$1</f>
        <v>0</v>
      </c>
      <c r="BV238" s="8">
        <f>+MINVU_Mes_Corriente!BV238*SALUD_Mes_Constante!$BP$1</f>
        <v>0</v>
      </c>
      <c r="BW238" s="8">
        <f>+MINVU_Mes_Corriente!BW238*SALUD_Mes_Constante!$BP$1</f>
        <v>0</v>
      </c>
      <c r="BX238" s="8">
        <f>+MINVU_Mes_Corriente!BX238*SALUD_Mes_Constante!$BP$1</f>
        <v>0</v>
      </c>
      <c r="BY238" s="8">
        <f>+MINVU_Mes_Corriente!BY238*SALUD_Mes_Constante!$BP$1</f>
        <v>0</v>
      </c>
      <c r="BZ238" s="8">
        <f>+MINVU_Mes_Corriente!BZ238*SALUD_Mes_Constante!$BP$1</f>
        <v>0</v>
      </c>
      <c r="CA238" s="8">
        <f>+MINVU_Mes_Corriente!CA238*SALUD_Mes_Constante!$BP$1</f>
        <v>0</v>
      </c>
      <c r="CB238" s="9">
        <f t="shared" si="119"/>
        <v>0</v>
      </c>
      <c r="CC238" s="8">
        <f>+MINVU_Mes_Corriente!CC238*SALUD_Mes_Constante!$CC$1</f>
        <v>0</v>
      </c>
      <c r="CD238" s="8">
        <f>+MINVU_Mes_Corriente!CD238*SALUD_Mes_Constante!$CC$1</f>
        <v>0</v>
      </c>
      <c r="CE238" s="8">
        <f>+MINVU_Mes_Corriente!CE238*SALUD_Mes_Constante!$CC$1</f>
        <v>0</v>
      </c>
      <c r="CF238" s="8">
        <f>+MINVU_Mes_Corriente!CF238*SALUD_Mes_Constante!$CC$1</f>
        <v>0</v>
      </c>
      <c r="CG238" s="8">
        <f>+MINVU_Mes_Corriente!CG238*SALUD_Mes_Constante!$CC$1</f>
        <v>0</v>
      </c>
      <c r="CH238" s="8">
        <f>+MINVU_Mes_Corriente!CH238*SALUD_Mes_Constante!$CC$1</f>
        <v>0</v>
      </c>
      <c r="CI238" s="8">
        <f>+MINVU_Mes_Corriente!CI238*SALUD_Mes_Constante!$CC$1</f>
        <v>0</v>
      </c>
      <c r="CJ238" s="8">
        <f>+MINVU_Mes_Corriente!CJ238*SALUD_Mes_Constante!$CC$1</f>
        <v>0</v>
      </c>
      <c r="CK238" s="8">
        <f>+MINVU_Mes_Corriente!CK238*SALUD_Mes_Constante!$CC$1</f>
        <v>0</v>
      </c>
      <c r="CL238" s="8">
        <f>+MINVU_Mes_Corriente!CL238*SALUD_Mes_Constante!$CC$1</f>
        <v>0</v>
      </c>
      <c r="CM238" s="8">
        <f>+MINVU_Mes_Corriente!CM238*SALUD_Mes_Constante!$CC$1</f>
        <v>0</v>
      </c>
      <c r="CN238" s="8">
        <f>+MINVU_Mes_Corriente!CN238*SALUD_Mes_Constante!$CC$1</f>
        <v>0</v>
      </c>
      <c r="CO238" s="9">
        <f t="shared" si="120"/>
        <v>0</v>
      </c>
      <c r="CP238" s="8">
        <f>+MINVU_Mes_Corriente!CP238*SALUD_Mes_Constante!$CP$1</f>
        <v>0</v>
      </c>
      <c r="CQ238" s="8">
        <f>+MINVU_Mes_Corriente!CQ238*SALUD_Mes_Constante!$CP$1</f>
        <v>0</v>
      </c>
      <c r="CR238" s="8">
        <f>+MINVU_Mes_Corriente!CR238*SALUD_Mes_Constante!$CP$1</f>
        <v>0</v>
      </c>
      <c r="CS238" s="8">
        <f>+MINVU_Mes_Corriente!CS238*SALUD_Mes_Constante!$CP$1</f>
        <v>0</v>
      </c>
      <c r="CT238" s="8">
        <f>+MINVU_Mes_Corriente!CT238*SALUD_Mes_Constante!$CP$1</f>
        <v>0</v>
      </c>
      <c r="CU238" s="8">
        <f>+MINVU_Mes_Corriente!CU238*SALUD_Mes_Constante!$CP$1</f>
        <v>0</v>
      </c>
      <c r="CV238" s="8">
        <f>+MINVU_Mes_Corriente!CV238*SALUD_Mes_Constante!$CP$1</f>
        <v>0</v>
      </c>
      <c r="CW238" s="8">
        <f>+MINVU_Mes_Corriente!CW238*SALUD_Mes_Constante!$CP$1</f>
        <v>0</v>
      </c>
      <c r="CX238" s="8">
        <f>+MINVU_Mes_Corriente!CX238*SALUD_Mes_Constante!$CP$1</f>
        <v>0</v>
      </c>
      <c r="CY238" s="8">
        <f>+MINVU_Mes_Corriente!CY238*SALUD_Mes_Constante!$CP$1</f>
        <v>0</v>
      </c>
      <c r="CZ238" s="8">
        <f>+MINVU_Mes_Corriente!CZ238*SALUD_Mes_Constante!$CP$1</f>
        <v>0</v>
      </c>
      <c r="DA238" s="8">
        <f>+MINVU_Mes_Corriente!DA238*SALUD_Mes_Constante!$CP$1</f>
        <v>0</v>
      </c>
      <c r="DB238" s="9">
        <f t="shared" si="121"/>
        <v>0</v>
      </c>
      <c r="DC238" s="8">
        <f>+MINVU_Mes_Corriente!DC238*SALUD_Mes_Constante!$DC$1</f>
        <v>0</v>
      </c>
      <c r="DD238" s="8">
        <f>+MINVU_Mes_Corriente!DD238*SALUD_Mes_Constante!$DC$1</f>
        <v>0</v>
      </c>
      <c r="DE238" s="8">
        <f>+MINVU_Mes_Corriente!DE238*SALUD_Mes_Constante!$DC$1</f>
        <v>0</v>
      </c>
      <c r="DF238" s="8">
        <f>+MINVU_Mes_Corriente!DF238*SALUD_Mes_Constante!$DC$1</f>
        <v>0</v>
      </c>
      <c r="DG238" s="8">
        <f>+MINVU_Mes_Corriente!DG238*SALUD_Mes_Constante!$DC$1</f>
        <v>0</v>
      </c>
      <c r="DH238" s="8">
        <f>+MINVU_Mes_Corriente!DH238*SALUD_Mes_Constante!$DC$1</f>
        <v>0</v>
      </c>
      <c r="DI238" s="8">
        <f>+MINVU_Mes_Corriente!DI238*SALUD_Mes_Constante!$DC$1</f>
        <v>0</v>
      </c>
      <c r="DJ238" s="8">
        <f>+MINVU_Mes_Corriente!DJ238*SALUD_Mes_Constante!$DC$1</f>
        <v>0</v>
      </c>
      <c r="DK238" s="8">
        <f>+MINVU_Mes_Corriente!DK238*SALUD_Mes_Constante!$DC$1</f>
        <v>0</v>
      </c>
      <c r="DL238" s="8">
        <f>+MINVU_Mes_Corriente!DL238*SALUD_Mes_Constante!$DC$1</f>
        <v>0</v>
      </c>
      <c r="DM238" s="8">
        <f>+MINVU_Mes_Corriente!DM238*SALUD_Mes_Constante!$DC$1</f>
        <v>0</v>
      </c>
      <c r="DN238" s="8">
        <f>+MINVU_Mes_Corriente!DN238*SALUD_Mes_Constante!$DC$1</f>
        <v>0</v>
      </c>
      <c r="DO238" s="9">
        <f t="shared" si="122"/>
        <v>0</v>
      </c>
      <c r="DP238" s="8">
        <f>+MINVU_Mes_Corriente!DP238*SALUD_Mes_Constante!$DP$1</f>
        <v>0</v>
      </c>
      <c r="DQ238" s="8">
        <f>+MINVU_Mes_Corriente!DQ238*SALUD_Mes_Constante!$DP$1</f>
        <v>0</v>
      </c>
      <c r="DR238" s="8">
        <f>+MINVU_Mes_Corriente!DR238*SALUD_Mes_Constante!$DP$1</f>
        <v>0</v>
      </c>
      <c r="DS238" s="8">
        <f>+MINVU_Mes_Corriente!DS238*SALUD_Mes_Constante!$DP$1</f>
        <v>0</v>
      </c>
      <c r="DT238" s="8">
        <f>+MINVU_Mes_Corriente!DT238*SALUD_Mes_Constante!$DP$1</f>
        <v>0</v>
      </c>
      <c r="DU238" s="8">
        <f>+MINVU_Mes_Corriente!DU238*SALUD_Mes_Constante!$DP$1</f>
        <v>0</v>
      </c>
      <c r="DV238" s="8">
        <f>+MINVU_Mes_Corriente!DV238*SALUD_Mes_Constante!$DP$1</f>
        <v>0</v>
      </c>
      <c r="DW238" s="8">
        <f>+MINVU_Mes_Corriente!DW238*SALUD_Mes_Constante!$DP$1</f>
        <v>0</v>
      </c>
      <c r="DX238" s="8">
        <f>+MINVU_Mes_Corriente!DX238*SALUD_Mes_Constante!$DP$1</f>
        <v>0</v>
      </c>
      <c r="DY238" s="8">
        <f>+MINVU_Mes_Corriente!DY238*SALUD_Mes_Constante!$DP$1</f>
        <v>0</v>
      </c>
      <c r="DZ238" s="8">
        <f>+MINVU_Mes_Corriente!DZ238*SALUD_Mes_Constante!$DP$1</f>
        <v>0</v>
      </c>
      <c r="EA238" s="8">
        <f>+MINVU_Mes_Corriente!EA238*SALUD_Mes_Constante!$DP$1</f>
        <v>0</v>
      </c>
      <c r="EB238" s="9">
        <f t="shared" si="123"/>
        <v>0</v>
      </c>
      <c r="EC238" s="8">
        <f>+MINVU_Mes_Corriente!EC238*SALUD_Mes_Constante!$EC$1</f>
        <v>0</v>
      </c>
      <c r="ED238" s="8">
        <f>+MINVU_Mes_Corriente!ED238*SALUD_Mes_Constante!$EC$1</f>
        <v>0</v>
      </c>
      <c r="EE238" s="8">
        <f>+MINVU_Mes_Corriente!EE238*SALUD_Mes_Constante!$EC$1</f>
        <v>0</v>
      </c>
      <c r="EF238" s="8">
        <f>+MINVU_Mes_Corriente!EF238*SALUD_Mes_Constante!$EC$1</f>
        <v>0</v>
      </c>
      <c r="EG238" s="8">
        <f>+MINVU_Mes_Corriente!EG238*SALUD_Mes_Constante!$EC$1</f>
        <v>0</v>
      </c>
      <c r="EH238" s="8">
        <f>+MINVU_Mes_Corriente!EH238*SALUD_Mes_Constante!$EC$1</f>
        <v>0</v>
      </c>
      <c r="EI238" s="8">
        <f>+MINVU_Mes_Corriente!EI238*SALUD_Mes_Constante!$EC$1</f>
        <v>0</v>
      </c>
      <c r="EJ238" s="8">
        <f>+MINVU_Mes_Corriente!EJ238*SALUD_Mes_Constante!$EC$1</f>
        <v>0</v>
      </c>
      <c r="EK238" s="8">
        <f>+MINVU_Mes_Corriente!EK238*SALUD_Mes_Constante!$EC$1</f>
        <v>0</v>
      </c>
      <c r="EL238" s="8">
        <f>+MINVU_Mes_Corriente!EL238*SALUD_Mes_Constante!$EC$1</f>
        <v>0</v>
      </c>
      <c r="EM238" s="8">
        <f>+MINVU_Mes_Corriente!EM238*SALUD_Mes_Constante!$EC$1</f>
        <v>0</v>
      </c>
      <c r="EN238" s="8">
        <f>+MINVU_Mes_Corriente!EN238*SALUD_Mes_Constante!$EC$1</f>
        <v>0</v>
      </c>
      <c r="EO238" s="9">
        <f t="shared" si="124"/>
        <v>0</v>
      </c>
      <c r="EP238" s="8">
        <f>+MINVU_Mes_Corriente!EP238*SALUD_Mes_Constante!$EP$1</f>
        <v>0</v>
      </c>
      <c r="EQ238" s="8">
        <f>+MINVU_Mes_Corriente!EQ238*SALUD_Mes_Constante!$EP$1</f>
        <v>0</v>
      </c>
      <c r="ER238" s="8">
        <f>+MINVU_Mes_Corriente!ER238*SALUD_Mes_Constante!$EP$1</f>
        <v>0</v>
      </c>
      <c r="ES238" s="8">
        <f>+MINVU_Mes_Corriente!ES238*SALUD_Mes_Constante!$EP$1</f>
        <v>0</v>
      </c>
      <c r="ET238" s="8">
        <f>+MINVU_Mes_Corriente!ET238*SALUD_Mes_Constante!$EP$1</f>
        <v>0</v>
      </c>
      <c r="EU238" s="8">
        <f>+MINVU_Mes_Corriente!EU238*SALUD_Mes_Constante!$EP$1</f>
        <v>0</v>
      </c>
      <c r="EV238" s="8">
        <f>+MINVU_Mes_Corriente!EV238*SALUD_Mes_Constante!$EP$1</f>
        <v>0</v>
      </c>
      <c r="EW238" s="8">
        <f>+MINVU_Mes_Corriente!EW238*SALUD_Mes_Constante!$EP$1</f>
        <v>0</v>
      </c>
      <c r="EX238" s="8">
        <f>+MINVU_Mes_Corriente!EX238*SALUD_Mes_Constante!$EP$1</f>
        <v>0</v>
      </c>
      <c r="EY238" s="8">
        <f>+MINVU_Mes_Corriente!EY238*SALUD_Mes_Constante!$EP$1</f>
        <v>0</v>
      </c>
      <c r="EZ238" s="8">
        <f>+MINVU_Mes_Corriente!EZ238*SALUD_Mes_Constante!$EP$1</f>
        <v>0</v>
      </c>
      <c r="FA238" s="8">
        <f>+MINVU_Mes_Corriente!FA238*SALUD_Mes_Constante!$EP$1</f>
        <v>0</v>
      </c>
      <c r="FB238" s="9">
        <f t="shared" si="125"/>
        <v>0</v>
      </c>
      <c r="FC238" s="8">
        <f>+MINVU_Mes_Corriente!FC238*SALUD_Mes_Constante!$FC$1</f>
        <v>0</v>
      </c>
      <c r="FD238" s="8">
        <f>+MINVU_Mes_Corriente!FD238*SALUD_Mes_Constante!$FC$1</f>
        <v>0</v>
      </c>
      <c r="FE238" s="8">
        <f>+MINVU_Mes_Corriente!FE238*SALUD_Mes_Constante!$FC$1</f>
        <v>0</v>
      </c>
      <c r="FF238" s="8">
        <f>+MINVU_Mes_Corriente!FF238*SALUD_Mes_Constante!$FC$1</f>
        <v>0</v>
      </c>
      <c r="FG238" s="8">
        <f>+MINVU_Mes_Corriente!FG238*SALUD_Mes_Constante!$FC$1</f>
        <v>0</v>
      </c>
      <c r="FH238" s="8">
        <f>+MINVU_Mes_Corriente!FH238*SALUD_Mes_Constante!$FC$1</f>
        <v>0</v>
      </c>
      <c r="FI238" s="8">
        <f>+MINVU_Mes_Corriente!FI238*SALUD_Mes_Constante!$FC$1</f>
        <v>0</v>
      </c>
      <c r="FJ238" s="8"/>
      <c r="FK238" s="8"/>
      <c r="FL238" s="8"/>
      <c r="FM238" s="8"/>
      <c r="FN238" s="8"/>
      <c r="FO238" s="9">
        <f t="shared" si="126"/>
        <v>0</v>
      </c>
    </row>
    <row r="239" spans="2:171" ht="14.25" customHeight="1" x14ac:dyDescent="0.3">
      <c r="B239" s="7" t="s">
        <v>52</v>
      </c>
      <c r="C239" s="8">
        <f>+MINVU_Mes_Corriente!C239*SALUD_Mes_Constante!$C$1</f>
        <v>0</v>
      </c>
      <c r="D239" s="8">
        <f>+MINVU_Mes_Corriente!D239*SALUD_Mes_Constante!$C$1</f>
        <v>0</v>
      </c>
      <c r="E239" s="8">
        <f>+MINVU_Mes_Corriente!E239*SALUD_Mes_Constante!$C$1</f>
        <v>0</v>
      </c>
      <c r="F239" s="8">
        <f>+MINVU_Mes_Corriente!F239*SALUD_Mes_Constante!$C$1</f>
        <v>0</v>
      </c>
      <c r="G239" s="8">
        <f>+MINVU_Mes_Corriente!G239*SALUD_Mes_Constante!$C$1</f>
        <v>0</v>
      </c>
      <c r="H239" s="8">
        <f>+MINVU_Mes_Corriente!H239*SALUD_Mes_Constante!$C$1</f>
        <v>0</v>
      </c>
      <c r="I239" s="8">
        <f>+MINVU_Mes_Corriente!I239*SALUD_Mes_Constante!$C$1</f>
        <v>0</v>
      </c>
      <c r="J239" s="8">
        <f>+MINVU_Mes_Corriente!J239*SALUD_Mes_Constante!$C$1</f>
        <v>0</v>
      </c>
      <c r="K239" s="8">
        <f>+MINVU_Mes_Corriente!K239*SALUD_Mes_Constante!$C$1</f>
        <v>0</v>
      </c>
      <c r="L239" s="8">
        <f>+MINVU_Mes_Corriente!L239*SALUD_Mes_Constante!$C$1</f>
        <v>0</v>
      </c>
      <c r="M239" s="8">
        <f>+MINVU_Mes_Corriente!M239*SALUD_Mes_Constante!$C$1</f>
        <v>0</v>
      </c>
      <c r="N239" s="8">
        <f>+MINVU_Mes_Corriente!N239*SALUD_Mes_Constante!$C$1</f>
        <v>0</v>
      </c>
      <c r="O239" s="9">
        <f t="shared" si="114"/>
        <v>0</v>
      </c>
      <c r="P239" s="8">
        <f>+MINVU_Mes_Corriente!P239*SALUD_Mes_Constante!$P$1</f>
        <v>0</v>
      </c>
      <c r="Q239" s="8">
        <f>+MINVU_Mes_Corriente!Q239*SALUD_Mes_Constante!$P$1</f>
        <v>0</v>
      </c>
      <c r="R239" s="8">
        <f>+MINVU_Mes_Corriente!R239*SALUD_Mes_Constante!$P$1</f>
        <v>0</v>
      </c>
      <c r="S239" s="8">
        <f>+MINVU_Mes_Corriente!S239*SALUD_Mes_Constante!$P$1</f>
        <v>0</v>
      </c>
      <c r="T239" s="8">
        <f>+MINVU_Mes_Corriente!T239*SALUD_Mes_Constante!$P$1</f>
        <v>0</v>
      </c>
      <c r="U239" s="8">
        <f>+MINVU_Mes_Corriente!U239*SALUD_Mes_Constante!$P$1</f>
        <v>0</v>
      </c>
      <c r="V239" s="8">
        <f>+MINVU_Mes_Corriente!V239*SALUD_Mes_Constante!$P$1</f>
        <v>0</v>
      </c>
      <c r="W239" s="8">
        <f>+MINVU_Mes_Corriente!W239*SALUD_Mes_Constante!$P$1</f>
        <v>0</v>
      </c>
      <c r="X239" s="8">
        <f>+MINVU_Mes_Corriente!X239*SALUD_Mes_Constante!$P$1</f>
        <v>0</v>
      </c>
      <c r="Y239" s="8">
        <f>+MINVU_Mes_Corriente!Y239*SALUD_Mes_Constante!$P$1</f>
        <v>0</v>
      </c>
      <c r="Z239" s="8">
        <f>+MINVU_Mes_Corriente!Z239*SALUD_Mes_Constante!$P$1</f>
        <v>0</v>
      </c>
      <c r="AA239" s="8">
        <f>+MINVU_Mes_Corriente!AA239*SALUD_Mes_Constante!$P$1</f>
        <v>0</v>
      </c>
      <c r="AB239" s="9">
        <f t="shared" si="115"/>
        <v>0</v>
      </c>
      <c r="AC239" s="8">
        <f>+MINVU_Mes_Corriente!AC239*SALUD_Mes_Constante!$AC$1</f>
        <v>0</v>
      </c>
      <c r="AD239" s="8">
        <f>+MINVU_Mes_Corriente!AD239*SALUD_Mes_Constante!$AC$1</f>
        <v>0</v>
      </c>
      <c r="AE239" s="8">
        <f>+MINVU_Mes_Corriente!AE239*SALUD_Mes_Constante!$AC$1</f>
        <v>0</v>
      </c>
      <c r="AF239" s="8">
        <f>+MINVU_Mes_Corriente!AF239*SALUD_Mes_Constante!$AC$1</f>
        <v>0</v>
      </c>
      <c r="AG239" s="8">
        <f>+MINVU_Mes_Corriente!AG239*SALUD_Mes_Constante!$AC$1</f>
        <v>0</v>
      </c>
      <c r="AH239" s="8">
        <f>+MINVU_Mes_Corriente!AH239*SALUD_Mes_Constante!$AC$1</f>
        <v>0</v>
      </c>
      <c r="AI239" s="8">
        <f>+MINVU_Mes_Corriente!AI239*SALUD_Mes_Constante!$AC$1</f>
        <v>0</v>
      </c>
      <c r="AJ239" s="8">
        <f>+MINVU_Mes_Corriente!AJ239*SALUD_Mes_Constante!$AC$1</f>
        <v>0</v>
      </c>
      <c r="AK239" s="8">
        <f>+MINVU_Mes_Corriente!AK239*SALUD_Mes_Constante!$AC$1</f>
        <v>0</v>
      </c>
      <c r="AL239" s="8">
        <f>+MINVU_Mes_Corriente!AL239*SALUD_Mes_Constante!$AC$1</f>
        <v>0</v>
      </c>
      <c r="AM239" s="8">
        <f>+MINVU_Mes_Corriente!AM239*SALUD_Mes_Constante!$AC$1</f>
        <v>0</v>
      </c>
      <c r="AN239" s="8">
        <f>+MINVU_Mes_Corriente!AN239*SALUD_Mes_Constante!$AC$1</f>
        <v>0</v>
      </c>
      <c r="AO239" s="9">
        <f t="shared" si="116"/>
        <v>0</v>
      </c>
      <c r="AP239" s="8">
        <f>+MINVU_Mes_Corriente!AP239*SALUD_Mes_Constante!$AP$1</f>
        <v>0</v>
      </c>
      <c r="AQ239" s="8">
        <f>+MINVU_Mes_Corriente!AQ239*SALUD_Mes_Constante!$AP$1</f>
        <v>0</v>
      </c>
      <c r="AR239" s="8">
        <f>+MINVU_Mes_Corriente!AR239*SALUD_Mes_Constante!$AP$1</f>
        <v>0</v>
      </c>
      <c r="AS239" s="8">
        <f>+MINVU_Mes_Corriente!AS239*SALUD_Mes_Constante!$AP$1</f>
        <v>0</v>
      </c>
      <c r="AT239" s="8">
        <f>+MINVU_Mes_Corriente!AT239*SALUD_Mes_Constante!$AP$1</f>
        <v>0</v>
      </c>
      <c r="AU239" s="8">
        <f>+MINVU_Mes_Corriente!AU239*SALUD_Mes_Constante!$AP$1</f>
        <v>0</v>
      </c>
      <c r="AV239" s="8">
        <f>+MINVU_Mes_Corriente!AV239*SALUD_Mes_Constante!$AP$1</f>
        <v>0</v>
      </c>
      <c r="AW239" s="8">
        <f>+MINVU_Mes_Corriente!AW239*SALUD_Mes_Constante!$AP$1</f>
        <v>0</v>
      </c>
      <c r="AX239" s="8">
        <f>+MINVU_Mes_Corriente!AX239*SALUD_Mes_Constante!$AP$1</f>
        <v>0</v>
      </c>
      <c r="AY239" s="8">
        <f>+MINVU_Mes_Corriente!AY239*SALUD_Mes_Constante!$AP$1</f>
        <v>0</v>
      </c>
      <c r="AZ239" s="8">
        <f>+MINVU_Mes_Corriente!AZ239*SALUD_Mes_Constante!$AP$1</f>
        <v>0</v>
      </c>
      <c r="BA239" s="8">
        <f>+MINVU_Mes_Corriente!BA239*SALUD_Mes_Constante!$AP$1</f>
        <v>0</v>
      </c>
      <c r="BB239" s="9">
        <f t="shared" si="117"/>
        <v>0</v>
      </c>
      <c r="BC239" s="8">
        <f>+MINVU_Mes_Corriente!BC239*SALUD_Mes_Constante!$BC$1</f>
        <v>0</v>
      </c>
      <c r="BD239" s="8">
        <f>+MINVU_Mes_Corriente!BD239*SALUD_Mes_Constante!$BC$1</f>
        <v>0</v>
      </c>
      <c r="BE239" s="8">
        <f>+MINVU_Mes_Corriente!BE239*SALUD_Mes_Constante!$BC$1</f>
        <v>0</v>
      </c>
      <c r="BF239" s="8">
        <f>+MINVU_Mes_Corriente!BF239*SALUD_Mes_Constante!$BC$1</f>
        <v>0</v>
      </c>
      <c r="BG239" s="8">
        <f>+MINVU_Mes_Corriente!BG239*SALUD_Mes_Constante!$BC$1</f>
        <v>0</v>
      </c>
      <c r="BH239" s="8">
        <f>+MINVU_Mes_Corriente!BH239*SALUD_Mes_Constante!$BC$1</f>
        <v>0</v>
      </c>
      <c r="BI239" s="8">
        <f>+MINVU_Mes_Corriente!BI239*SALUD_Mes_Constante!$BC$1</f>
        <v>0</v>
      </c>
      <c r="BJ239" s="8">
        <f>+MINVU_Mes_Corriente!BJ239*SALUD_Mes_Constante!$BC$1</f>
        <v>0</v>
      </c>
      <c r="BK239" s="8">
        <f>+MINVU_Mes_Corriente!BK239*SALUD_Mes_Constante!$BC$1</f>
        <v>0</v>
      </c>
      <c r="BL239" s="8">
        <f>+MINVU_Mes_Corriente!BL239*SALUD_Mes_Constante!$BC$1</f>
        <v>0</v>
      </c>
      <c r="BM239" s="8">
        <f>+MINVU_Mes_Corriente!BM239*SALUD_Mes_Constante!$BC$1</f>
        <v>0</v>
      </c>
      <c r="BN239" s="8">
        <f>+MINVU_Mes_Corriente!BN239*SALUD_Mes_Constante!$BC$1</f>
        <v>0</v>
      </c>
      <c r="BO239" s="9">
        <f t="shared" si="118"/>
        <v>0</v>
      </c>
      <c r="BP239" s="8">
        <f>+MINVU_Mes_Corriente!BP239*SALUD_Mes_Constante!$BP$1</f>
        <v>0</v>
      </c>
      <c r="BQ239" s="8">
        <f>+MINVU_Mes_Corriente!BQ239*SALUD_Mes_Constante!$BP$1</f>
        <v>0</v>
      </c>
      <c r="BR239" s="8">
        <f>+MINVU_Mes_Corriente!BR239*SALUD_Mes_Constante!$BP$1</f>
        <v>0</v>
      </c>
      <c r="BS239" s="8">
        <f>+MINVU_Mes_Corriente!BS239*SALUD_Mes_Constante!$BP$1</f>
        <v>0</v>
      </c>
      <c r="BT239" s="8">
        <f>+MINVU_Mes_Corriente!BT239*SALUD_Mes_Constante!$BP$1</f>
        <v>0</v>
      </c>
      <c r="BU239" s="8">
        <f>+MINVU_Mes_Corriente!BU239*SALUD_Mes_Constante!$BP$1</f>
        <v>0</v>
      </c>
      <c r="BV239" s="8">
        <f>+MINVU_Mes_Corriente!BV239*SALUD_Mes_Constante!$BP$1</f>
        <v>0</v>
      </c>
      <c r="BW239" s="8">
        <f>+MINVU_Mes_Corriente!BW239*SALUD_Mes_Constante!$BP$1</f>
        <v>0</v>
      </c>
      <c r="BX239" s="8">
        <f>+MINVU_Mes_Corriente!BX239*SALUD_Mes_Constante!$BP$1</f>
        <v>0</v>
      </c>
      <c r="BY239" s="8">
        <f>+MINVU_Mes_Corriente!BY239*SALUD_Mes_Constante!$BP$1</f>
        <v>0</v>
      </c>
      <c r="BZ239" s="8">
        <f>+MINVU_Mes_Corriente!BZ239*SALUD_Mes_Constante!$BP$1</f>
        <v>0</v>
      </c>
      <c r="CA239" s="8">
        <f>+MINVU_Mes_Corriente!CA239*SALUD_Mes_Constante!$BP$1</f>
        <v>0</v>
      </c>
      <c r="CB239" s="9">
        <f t="shared" si="119"/>
        <v>0</v>
      </c>
      <c r="CC239" s="8">
        <f>+MINVU_Mes_Corriente!CC239*SALUD_Mes_Constante!$CC$1</f>
        <v>0</v>
      </c>
      <c r="CD239" s="8">
        <f>+MINVU_Mes_Corriente!CD239*SALUD_Mes_Constante!$CC$1</f>
        <v>0</v>
      </c>
      <c r="CE239" s="8">
        <f>+MINVU_Mes_Corriente!CE239*SALUD_Mes_Constante!$CC$1</f>
        <v>0</v>
      </c>
      <c r="CF239" s="8">
        <f>+MINVU_Mes_Corriente!CF239*SALUD_Mes_Constante!$CC$1</f>
        <v>0</v>
      </c>
      <c r="CG239" s="8">
        <f>+MINVU_Mes_Corriente!CG239*SALUD_Mes_Constante!$CC$1</f>
        <v>0</v>
      </c>
      <c r="CH239" s="8">
        <f>+MINVU_Mes_Corriente!CH239*SALUD_Mes_Constante!$CC$1</f>
        <v>0</v>
      </c>
      <c r="CI239" s="8">
        <f>+MINVU_Mes_Corriente!CI239*SALUD_Mes_Constante!$CC$1</f>
        <v>0</v>
      </c>
      <c r="CJ239" s="8">
        <f>+MINVU_Mes_Corriente!CJ239*SALUD_Mes_Constante!$CC$1</f>
        <v>0</v>
      </c>
      <c r="CK239" s="8">
        <f>+MINVU_Mes_Corriente!CK239*SALUD_Mes_Constante!$CC$1</f>
        <v>0</v>
      </c>
      <c r="CL239" s="8">
        <f>+MINVU_Mes_Corriente!CL239*SALUD_Mes_Constante!$CC$1</f>
        <v>0</v>
      </c>
      <c r="CM239" s="8">
        <f>+MINVU_Mes_Corriente!CM239*SALUD_Mes_Constante!$CC$1</f>
        <v>0</v>
      </c>
      <c r="CN239" s="8">
        <f>+MINVU_Mes_Corriente!CN239*SALUD_Mes_Constante!$CC$1</f>
        <v>0</v>
      </c>
      <c r="CO239" s="9">
        <f t="shared" si="120"/>
        <v>0</v>
      </c>
      <c r="CP239" s="8">
        <f>+MINVU_Mes_Corriente!CP239*SALUD_Mes_Constante!$CP$1</f>
        <v>0</v>
      </c>
      <c r="CQ239" s="8">
        <f>+MINVU_Mes_Corriente!CQ239*SALUD_Mes_Constante!$CP$1</f>
        <v>0</v>
      </c>
      <c r="CR239" s="8">
        <f>+MINVU_Mes_Corriente!CR239*SALUD_Mes_Constante!$CP$1</f>
        <v>0</v>
      </c>
      <c r="CS239" s="8">
        <f>+MINVU_Mes_Corriente!CS239*SALUD_Mes_Constante!$CP$1</f>
        <v>0</v>
      </c>
      <c r="CT239" s="8">
        <f>+MINVU_Mes_Corriente!CT239*SALUD_Mes_Constante!$CP$1</f>
        <v>0</v>
      </c>
      <c r="CU239" s="8">
        <f>+MINVU_Mes_Corriente!CU239*SALUD_Mes_Constante!$CP$1</f>
        <v>0</v>
      </c>
      <c r="CV239" s="8">
        <f>+MINVU_Mes_Corriente!CV239*SALUD_Mes_Constante!$CP$1</f>
        <v>0</v>
      </c>
      <c r="CW239" s="8">
        <f>+MINVU_Mes_Corriente!CW239*SALUD_Mes_Constante!$CP$1</f>
        <v>0</v>
      </c>
      <c r="CX239" s="8">
        <f>+MINVU_Mes_Corriente!CX239*SALUD_Mes_Constante!$CP$1</f>
        <v>0</v>
      </c>
      <c r="CY239" s="8">
        <f>+MINVU_Mes_Corriente!CY239*SALUD_Mes_Constante!$CP$1</f>
        <v>0</v>
      </c>
      <c r="CZ239" s="8">
        <f>+MINVU_Mes_Corriente!CZ239*SALUD_Mes_Constante!$CP$1</f>
        <v>0</v>
      </c>
      <c r="DA239" s="8">
        <f>+MINVU_Mes_Corriente!DA239*SALUD_Mes_Constante!$CP$1</f>
        <v>0</v>
      </c>
      <c r="DB239" s="9">
        <f t="shared" si="121"/>
        <v>0</v>
      </c>
      <c r="DC239" s="8">
        <f>+MINVU_Mes_Corriente!DC239*SALUD_Mes_Constante!$DC$1</f>
        <v>0</v>
      </c>
      <c r="DD239" s="8">
        <f>+MINVU_Mes_Corriente!DD239*SALUD_Mes_Constante!$DC$1</f>
        <v>0</v>
      </c>
      <c r="DE239" s="8">
        <f>+MINVU_Mes_Corriente!DE239*SALUD_Mes_Constante!$DC$1</f>
        <v>0</v>
      </c>
      <c r="DF239" s="8">
        <f>+MINVU_Mes_Corriente!DF239*SALUD_Mes_Constante!$DC$1</f>
        <v>0</v>
      </c>
      <c r="DG239" s="8">
        <f>+MINVU_Mes_Corriente!DG239*SALUD_Mes_Constante!$DC$1</f>
        <v>0</v>
      </c>
      <c r="DH239" s="8">
        <f>+MINVU_Mes_Corriente!DH239*SALUD_Mes_Constante!$DC$1</f>
        <v>0</v>
      </c>
      <c r="DI239" s="8">
        <f>+MINVU_Mes_Corriente!DI239*SALUD_Mes_Constante!$DC$1</f>
        <v>0</v>
      </c>
      <c r="DJ239" s="8">
        <f>+MINVU_Mes_Corriente!DJ239*SALUD_Mes_Constante!$DC$1</f>
        <v>0</v>
      </c>
      <c r="DK239" s="8">
        <f>+MINVU_Mes_Corriente!DK239*SALUD_Mes_Constante!$DC$1</f>
        <v>0</v>
      </c>
      <c r="DL239" s="8">
        <f>+MINVU_Mes_Corriente!DL239*SALUD_Mes_Constante!$DC$1</f>
        <v>0</v>
      </c>
      <c r="DM239" s="8">
        <f>+MINVU_Mes_Corriente!DM239*SALUD_Mes_Constante!$DC$1</f>
        <v>0</v>
      </c>
      <c r="DN239" s="8">
        <f>+MINVU_Mes_Corriente!DN239*SALUD_Mes_Constante!$DC$1</f>
        <v>0</v>
      </c>
      <c r="DO239" s="9">
        <f t="shared" si="122"/>
        <v>0</v>
      </c>
      <c r="DP239" s="8">
        <f>+MINVU_Mes_Corriente!DP239*SALUD_Mes_Constante!$DP$1</f>
        <v>0</v>
      </c>
      <c r="DQ239" s="8">
        <f>+MINVU_Mes_Corriente!DQ239*SALUD_Mes_Constante!$DP$1</f>
        <v>0</v>
      </c>
      <c r="DR239" s="8">
        <f>+MINVU_Mes_Corriente!DR239*SALUD_Mes_Constante!$DP$1</f>
        <v>0</v>
      </c>
      <c r="DS239" s="8">
        <f>+MINVU_Mes_Corriente!DS239*SALUD_Mes_Constante!$DP$1</f>
        <v>0</v>
      </c>
      <c r="DT239" s="8">
        <f>+MINVU_Mes_Corriente!DT239*SALUD_Mes_Constante!$DP$1</f>
        <v>0</v>
      </c>
      <c r="DU239" s="8">
        <f>+MINVU_Mes_Corriente!DU239*SALUD_Mes_Constante!$DP$1</f>
        <v>0</v>
      </c>
      <c r="DV239" s="8">
        <f>+MINVU_Mes_Corriente!DV239*SALUD_Mes_Constante!$DP$1</f>
        <v>0</v>
      </c>
      <c r="DW239" s="8">
        <f>+MINVU_Mes_Corriente!DW239*SALUD_Mes_Constante!$DP$1</f>
        <v>0</v>
      </c>
      <c r="DX239" s="8">
        <f>+MINVU_Mes_Corriente!DX239*SALUD_Mes_Constante!$DP$1</f>
        <v>0</v>
      </c>
      <c r="DY239" s="8">
        <f>+MINVU_Mes_Corriente!DY239*SALUD_Mes_Constante!$DP$1</f>
        <v>0</v>
      </c>
      <c r="DZ239" s="8">
        <f>+MINVU_Mes_Corriente!DZ239*SALUD_Mes_Constante!$DP$1</f>
        <v>0</v>
      </c>
      <c r="EA239" s="8">
        <f>+MINVU_Mes_Corriente!EA239*SALUD_Mes_Constante!$DP$1</f>
        <v>0</v>
      </c>
      <c r="EB239" s="9">
        <f t="shared" si="123"/>
        <v>0</v>
      </c>
      <c r="EC239" s="8">
        <f>+MINVU_Mes_Corriente!EC239*SALUD_Mes_Constante!$EC$1</f>
        <v>0</v>
      </c>
      <c r="ED239" s="8">
        <f>+MINVU_Mes_Corriente!ED239*SALUD_Mes_Constante!$EC$1</f>
        <v>0</v>
      </c>
      <c r="EE239" s="8">
        <f>+MINVU_Mes_Corriente!EE239*SALUD_Mes_Constante!$EC$1</f>
        <v>0</v>
      </c>
      <c r="EF239" s="8">
        <f>+MINVU_Mes_Corriente!EF239*SALUD_Mes_Constante!$EC$1</f>
        <v>0</v>
      </c>
      <c r="EG239" s="8">
        <f>+MINVU_Mes_Corriente!EG239*SALUD_Mes_Constante!$EC$1</f>
        <v>0</v>
      </c>
      <c r="EH239" s="8">
        <f>+MINVU_Mes_Corriente!EH239*SALUD_Mes_Constante!$EC$1</f>
        <v>0</v>
      </c>
      <c r="EI239" s="8">
        <f>+MINVU_Mes_Corriente!EI239*SALUD_Mes_Constante!$EC$1</f>
        <v>0</v>
      </c>
      <c r="EJ239" s="8">
        <f>+MINVU_Mes_Corriente!EJ239*SALUD_Mes_Constante!$EC$1</f>
        <v>0</v>
      </c>
      <c r="EK239" s="8">
        <f>+MINVU_Mes_Corriente!EK239*SALUD_Mes_Constante!$EC$1</f>
        <v>0</v>
      </c>
      <c r="EL239" s="8">
        <f>+MINVU_Mes_Corriente!EL239*SALUD_Mes_Constante!$EC$1</f>
        <v>0</v>
      </c>
      <c r="EM239" s="8">
        <f>+MINVU_Mes_Corriente!EM239*SALUD_Mes_Constante!$EC$1</f>
        <v>0</v>
      </c>
      <c r="EN239" s="8">
        <f>+MINVU_Mes_Corriente!EN239*SALUD_Mes_Constante!$EC$1</f>
        <v>0</v>
      </c>
      <c r="EO239" s="9">
        <f t="shared" si="124"/>
        <v>0</v>
      </c>
      <c r="EP239" s="8">
        <f>+MINVU_Mes_Corriente!EP239*SALUD_Mes_Constante!$EP$1</f>
        <v>0</v>
      </c>
      <c r="EQ239" s="8">
        <f>+MINVU_Mes_Corriente!EQ239*SALUD_Mes_Constante!$EP$1</f>
        <v>0</v>
      </c>
      <c r="ER239" s="8">
        <f>+MINVU_Mes_Corriente!ER239*SALUD_Mes_Constante!$EP$1</f>
        <v>0</v>
      </c>
      <c r="ES239" s="8">
        <f>+MINVU_Mes_Corriente!ES239*SALUD_Mes_Constante!$EP$1</f>
        <v>0</v>
      </c>
      <c r="ET239" s="8">
        <f>+MINVU_Mes_Corriente!ET239*SALUD_Mes_Constante!$EP$1</f>
        <v>0</v>
      </c>
      <c r="EU239" s="8">
        <f>+MINVU_Mes_Corriente!EU239*SALUD_Mes_Constante!$EP$1</f>
        <v>0</v>
      </c>
      <c r="EV239" s="8">
        <f>+MINVU_Mes_Corriente!EV239*SALUD_Mes_Constante!$EP$1</f>
        <v>0</v>
      </c>
      <c r="EW239" s="8">
        <f>+MINVU_Mes_Corriente!EW239*SALUD_Mes_Constante!$EP$1</f>
        <v>0</v>
      </c>
      <c r="EX239" s="8">
        <f>+MINVU_Mes_Corriente!EX239*SALUD_Mes_Constante!$EP$1</f>
        <v>0</v>
      </c>
      <c r="EY239" s="8">
        <f>+MINVU_Mes_Corriente!EY239*SALUD_Mes_Constante!$EP$1</f>
        <v>0</v>
      </c>
      <c r="EZ239" s="8">
        <f>+MINVU_Mes_Corriente!EZ239*SALUD_Mes_Constante!$EP$1</f>
        <v>0</v>
      </c>
      <c r="FA239" s="8">
        <f>+MINVU_Mes_Corriente!FA239*SALUD_Mes_Constante!$EP$1</f>
        <v>0</v>
      </c>
      <c r="FB239" s="9">
        <f t="shared" si="125"/>
        <v>0</v>
      </c>
      <c r="FC239" s="8">
        <f>+MINVU_Mes_Corriente!FC239*SALUD_Mes_Constante!$FC$1</f>
        <v>0</v>
      </c>
      <c r="FD239" s="8">
        <f>+MINVU_Mes_Corriente!FD239*SALUD_Mes_Constante!$FC$1</f>
        <v>0</v>
      </c>
      <c r="FE239" s="8">
        <f>+MINVU_Mes_Corriente!FE239*SALUD_Mes_Constante!$FC$1</f>
        <v>0</v>
      </c>
      <c r="FF239" s="8">
        <f>+MINVU_Mes_Corriente!FF239*SALUD_Mes_Constante!$FC$1</f>
        <v>0</v>
      </c>
      <c r="FG239" s="8">
        <f>+MINVU_Mes_Corriente!FG239*SALUD_Mes_Constante!$FC$1</f>
        <v>0</v>
      </c>
      <c r="FH239" s="8">
        <f>+MINVU_Mes_Corriente!FH239*SALUD_Mes_Constante!$FC$1</f>
        <v>0</v>
      </c>
      <c r="FI239" s="8">
        <f>+MINVU_Mes_Corriente!FI239*SALUD_Mes_Constante!$FC$1</f>
        <v>0</v>
      </c>
      <c r="FJ239" s="8"/>
      <c r="FK239" s="8"/>
      <c r="FL239" s="8"/>
      <c r="FM239" s="8"/>
      <c r="FN239" s="8"/>
      <c r="FO239" s="9">
        <f t="shared" si="126"/>
        <v>0</v>
      </c>
    </row>
    <row r="240" spans="2:171" ht="14.25" customHeight="1" x14ac:dyDescent="0.3">
      <c r="B240" s="7" t="s">
        <v>53</v>
      </c>
      <c r="C240" s="8">
        <f>+MINVU_Mes_Corriente!C240*SALUD_Mes_Constante!$C$1</f>
        <v>0</v>
      </c>
      <c r="D240" s="8">
        <f>+MINVU_Mes_Corriente!D240*SALUD_Mes_Constante!$C$1</f>
        <v>0</v>
      </c>
      <c r="E240" s="8">
        <f>+MINVU_Mes_Corriente!E240*SALUD_Mes_Constante!$C$1</f>
        <v>0</v>
      </c>
      <c r="F240" s="8">
        <f>+MINVU_Mes_Corriente!F240*SALUD_Mes_Constante!$C$1</f>
        <v>0</v>
      </c>
      <c r="G240" s="8">
        <f>+MINVU_Mes_Corriente!G240*SALUD_Mes_Constante!$C$1</f>
        <v>0</v>
      </c>
      <c r="H240" s="8">
        <f>+MINVU_Mes_Corriente!H240*SALUD_Mes_Constante!$C$1</f>
        <v>0</v>
      </c>
      <c r="I240" s="8">
        <f>+MINVU_Mes_Corriente!I240*SALUD_Mes_Constante!$C$1</f>
        <v>0</v>
      </c>
      <c r="J240" s="8">
        <f>+MINVU_Mes_Corriente!J240*SALUD_Mes_Constante!$C$1</f>
        <v>0</v>
      </c>
      <c r="K240" s="8">
        <f>+MINVU_Mes_Corriente!K240*SALUD_Mes_Constante!$C$1</f>
        <v>0</v>
      </c>
      <c r="L240" s="8">
        <f>+MINVU_Mes_Corriente!L240*SALUD_Mes_Constante!$C$1</f>
        <v>0</v>
      </c>
      <c r="M240" s="8">
        <f>+MINVU_Mes_Corriente!M240*SALUD_Mes_Constante!$C$1</f>
        <v>0</v>
      </c>
      <c r="N240" s="8">
        <f>+MINVU_Mes_Corriente!N240*SALUD_Mes_Constante!$C$1</f>
        <v>0</v>
      </c>
      <c r="O240" s="9">
        <f t="shared" si="114"/>
        <v>0</v>
      </c>
      <c r="P240" s="8">
        <f>+MINVU_Mes_Corriente!P240*SALUD_Mes_Constante!$P$1</f>
        <v>0</v>
      </c>
      <c r="Q240" s="8">
        <f>+MINVU_Mes_Corriente!Q240*SALUD_Mes_Constante!$P$1</f>
        <v>0</v>
      </c>
      <c r="R240" s="8">
        <f>+MINVU_Mes_Corriente!R240*SALUD_Mes_Constante!$P$1</f>
        <v>0</v>
      </c>
      <c r="S240" s="8">
        <f>+MINVU_Mes_Corriente!S240*SALUD_Mes_Constante!$P$1</f>
        <v>0</v>
      </c>
      <c r="T240" s="8">
        <f>+MINVU_Mes_Corriente!T240*SALUD_Mes_Constante!$P$1</f>
        <v>0</v>
      </c>
      <c r="U240" s="8">
        <f>+MINVU_Mes_Corriente!U240*SALUD_Mes_Constante!$P$1</f>
        <v>0</v>
      </c>
      <c r="V240" s="8">
        <f>+MINVU_Mes_Corriente!V240*SALUD_Mes_Constante!$P$1</f>
        <v>0</v>
      </c>
      <c r="W240" s="8">
        <f>+MINVU_Mes_Corriente!W240*SALUD_Mes_Constante!$P$1</f>
        <v>0</v>
      </c>
      <c r="X240" s="8">
        <f>+MINVU_Mes_Corriente!X240*SALUD_Mes_Constante!$P$1</f>
        <v>0</v>
      </c>
      <c r="Y240" s="8">
        <f>+MINVU_Mes_Corriente!Y240*SALUD_Mes_Constante!$P$1</f>
        <v>0</v>
      </c>
      <c r="Z240" s="8">
        <f>+MINVU_Mes_Corriente!Z240*SALUD_Mes_Constante!$P$1</f>
        <v>0</v>
      </c>
      <c r="AA240" s="8">
        <f>+MINVU_Mes_Corriente!AA240*SALUD_Mes_Constante!$P$1</f>
        <v>0</v>
      </c>
      <c r="AB240" s="9">
        <f t="shared" si="115"/>
        <v>0</v>
      </c>
      <c r="AC240" s="8">
        <f>+MINVU_Mes_Corriente!AC240*SALUD_Mes_Constante!$AC$1</f>
        <v>0</v>
      </c>
      <c r="AD240" s="8">
        <f>+MINVU_Mes_Corriente!AD240*SALUD_Mes_Constante!$AC$1</f>
        <v>0</v>
      </c>
      <c r="AE240" s="8">
        <f>+MINVU_Mes_Corriente!AE240*SALUD_Mes_Constante!$AC$1</f>
        <v>0</v>
      </c>
      <c r="AF240" s="8">
        <f>+MINVU_Mes_Corriente!AF240*SALUD_Mes_Constante!$AC$1</f>
        <v>0</v>
      </c>
      <c r="AG240" s="8">
        <f>+MINVU_Mes_Corriente!AG240*SALUD_Mes_Constante!$AC$1</f>
        <v>0</v>
      </c>
      <c r="AH240" s="8">
        <f>+MINVU_Mes_Corriente!AH240*SALUD_Mes_Constante!$AC$1</f>
        <v>0</v>
      </c>
      <c r="AI240" s="8">
        <f>+MINVU_Mes_Corriente!AI240*SALUD_Mes_Constante!$AC$1</f>
        <v>0</v>
      </c>
      <c r="AJ240" s="8">
        <f>+MINVU_Mes_Corriente!AJ240*SALUD_Mes_Constante!$AC$1</f>
        <v>0</v>
      </c>
      <c r="AK240" s="8">
        <f>+MINVU_Mes_Corriente!AK240*SALUD_Mes_Constante!$AC$1</f>
        <v>0</v>
      </c>
      <c r="AL240" s="8">
        <f>+MINVU_Mes_Corriente!AL240*SALUD_Mes_Constante!$AC$1</f>
        <v>0</v>
      </c>
      <c r="AM240" s="8">
        <f>+MINVU_Mes_Corriente!AM240*SALUD_Mes_Constante!$AC$1</f>
        <v>0</v>
      </c>
      <c r="AN240" s="8">
        <f>+MINVU_Mes_Corriente!AN240*SALUD_Mes_Constante!$AC$1</f>
        <v>0</v>
      </c>
      <c r="AO240" s="9">
        <f t="shared" si="116"/>
        <v>0</v>
      </c>
      <c r="AP240" s="8">
        <f>+MINVU_Mes_Corriente!AP240*SALUD_Mes_Constante!$AP$1</f>
        <v>0</v>
      </c>
      <c r="AQ240" s="8">
        <f>+MINVU_Mes_Corriente!AQ240*SALUD_Mes_Constante!$AP$1</f>
        <v>0</v>
      </c>
      <c r="AR240" s="8">
        <f>+MINVU_Mes_Corriente!AR240*SALUD_Mes_Constante!$AP$1</f>
        <v>0</v>
      </c>
      <c r="AS240" s="8">
        <f>+MINVU_Mes_Corriente!AS240*SALUD_Mes_Constante!$AP$1</f>
        <v>0</v>
      </c>
      <c r="AT240" s="8">
        <f>+MINVU_Mes_Corriente!AT240*SALUD_Mes_Constante!$AP$1</f>
        <v>0</v>
      </c>
      <c r="AU240" s="8">
        <f>+MINVU_Mes_Corriente!AU240*SALUD_Mes_Constante!$AP$1</f>
        <v>0</v>
      </c>
      <c r="AV240" s="8">
        <f>+MINVU_Mes_Corriente!AV240*SALUD_Mes_Constante!$AP$1</f>
        <v>0</v>
      </c>
      <c r="AW240" s="8">
        <f>+MINVU_Mes_Corriente!AW240*SALUD_Mes_Constante!$AP$1</f>
        <v>0</v>
      </c>
      <c r="AX240" s="8">
        <f>+MINVU_Mes_Corriente!AX240*SALUD_Mes_Constante!$AP$1</f>
        <v>0</v>
      </c>
      <c r="AY240" s="8">
        <f>+MINVU_Mes_Corriente!AY240*SALUD_Mes_Constante!$AP$1</f>
        <v>0</v>
      </c>
      <c r="AZ240" s="8">
        <f>+MINVU_Mes_Corriente!AZ240*SALUD_Mes_Constante!$AP$1</f>
        <v>0</v>
      </c>
      <c r="BA240" s="8">
        <f>+MINVU_Mes_Corriente!BA240*SALUD_Mes_Constante!$AP$1</f>
        <v>0</v>
      </c>
      <c r="BB240" s="9">
        <f t="shared" si="117"/>
        <v>0</v>
      </c>
      <c r="BC240" s="8">
        <f>+MINVU_Mes_Corriente!BC240*SALUD_Mes_Constante!$BC$1</f>
        <v>0</v>
      </c>
      <c r="BD240" s="8">
        <f>+MINVU_Mes_Corriente!BD240*SALUD_Mes_Constante!$BC$1</f>
        <v>0</v>
      </c>
      <c r="BE240" s="8">
        <f>+MINVU_Mes_Corriente!BE240*SALUD_Mes_Constante!$BC$1</f>
        <v>0</v>
      </c>
      <c r="BF240" s="8">
        <f>+MINVU_Mes_Corriente!BF240*SALUD_Mes_Constante!$BC$1</f>
        <v>0</v>
      </c>
      <c r="BG240" s="8">
        <f>+MINVU_Mes_Corriente!BG240*SALUD_Mes_Constante!$BC$1</f>
        <v>0</v>
      </c>
      <c r="BH240" s="8">
        <f>+MINVU_Mes_Corriente!BH240*SALUD_Mes_Constante!$BC$1</f>
        <v>0</v>
      </c>
      <c r="BI240" s="8">
        <f>+MINVU_Mes_Corriente!BI240*SALUD_Mes_Constante!$BC$1</f>
        <v>0</v>
      </c>
      <c r="BJ240" s="8">
        <f>+MINVU_Mes_Corriente!BJ240*SALUD_Mes_Constante!$BC$1</f>
        <v>0</v>
      </c>
      <c r="BK240" s="8">
        <f>+MINVU_Mes_Corriente!BK240*SALUD_Mes_Constante!$BC$1</f>
        <v>0</v>
      </c>
      <c r="BL240" s="8">
        <f>+MINVU_Mes_Corriente!BL240*SALUD_Mes_Constante!$BC$1</f>
        <v>0</v>
      </c>
      <c r="BM240" s="8">
        <f>+MINVU_Mes_Corriente!BM240*SALUD_Mes_Constante!$BC$1</f>
        <v>0</v>
      </c>
      <c r="BN240" s="8">
        <f>+MINVU_Mes_Corriente!BN240*SALUD_Mes_Constante!$BC$1</f>
        <v>0</v>
      </c>
      <c r="BO240" s="9">
        <f t="shared" si="118"/>
        <v>0</v>
      </c>
      <c r="BP240" s="8">
        <f>+MINVU_Mes_Corriente!BP240*SALUD_Mes_Constante!$BP$1</f>
        <v>0</v>
      </c>
      <c r="BQ240" s="8">
        <f>+MINVU_Mes_Corriente!BQ240*SALUD_Mes_Constante!$BP$1</f>
        <v>0</v>
      </c>
      <c r="BR240" s="8">
        <f>+MINVU_Mes_Corriente!BR240*SALUD_Mes_Constante!$BP$1</f>
        <v>0</v>
      </c>
      <c r="BS240" s="8">
        <f>+MINVU_Mes_Corriente!BS240*SALUD_Mes_Constante!$BP$1</f>
        <v>0</v>
      </c>
      <c r="BT240" s="8">
        <f>+MINVU_Mes_Corriente!BT240*SALUD_Mes_Constante!$BP$1</f>
        <v>0</v>
      </c>
      <c r="BU240" s="8">
        <f>+MINVU_Mes_Corriente!BU240*SALUD_Mes_Constante!$BP$1</f>
        <v>0</v>
      </c>
      <c r="BV240" s="8">
        <f>+MINVU_Mes_Corriente!BV240*SALUD_Mes_Constante!$BP$1</f>
        <v>0</v>
      </c>
      <c r="BW240" s="8">
        <f>+MINVU_Mes_Corriente!BW240*SALUD_Mes_Constante!$BP$1</f>
        <v>0</v>
      </c>
      <c r="BX240" s="8">
        <f>+MINVU_Mes_Corriente!BX240*SALUD_Mes_Constante!$BP$1</f>
        <v>0</v>
      </c>
      <c r="BY240" s="8">
        <f>+MINVU_Mes_Corriente!BY240*SALUD_Mes_Constante!$BP$1</f>
        <v>0</v>
      </c>
      <c r="BZ240" s="8">
        <f>+MINVU_Mes_Corriente!BZ240*SALUD_Mes_Constante!$BP$1</f>
        <v>0</v>
      </c>
      <c r="CA240" s="8">
        <f>+MINVU_Mes_Corriente!CA240*SALUD_Mes_Constante!$BP$1</f>
        <v>0</v>
      </c>
      <c r="CB240" s="9">
        <f t="shared" si="119"/>
        <v>0</v>
      </c>
      <c r="CC240" s="8">
        <f>+MINVU_Mes_Corriente!CC240*SALUD_Mes_Constante!$CC$1</f>
        <v>0</v>
      </c>
      <c r="CD240" s="8">
        <f>+MINVU_Mes_Corriente!CD240*SALUD_Mes_Constante!$CC$1</f>
        <v>0</v>
      </c>
      <c r="CE240" s="8">
        <f>+MINVU_Mes_Corriente!CE240*SALUD_Mes_Constante!$CC$1</f>
        <v>0</v>
      </c>
      <c r="CF240" s="8">
        <f>+MINVU_Mes_Corriente!CF240*SALUD_Mes_Constante!$CC$1</f>
        <v>0</v>
      </c>
      <c r="CG240" s="8">
        <f>+MINVU_Mes_Corriente!CG240*SALUD_Mes_Constante!$CC$1</f>
        <v>0</v>
      </c>
      <c r="CH240" s="8">
        <f>+MINVU_Mes_Corriente!CH240*SALUD_Mes_Constante!$CC$1</f>
        <v>0</v>
      </c>
      <c r="CI240" s="8">
        <f>+MINVU_Mes_Corriente!CI240*SALUD_Mes_Constante!$CC$1</f>
        <v>0</v>
      </c>
      <c r="CJ240" s="8">
        <f>+MINVU_Mes_Corriente!CJ240*SALUD_Mes_Constante!$CC$1</f>
        <v>0</v>
      </c>
      <c r="CK240" s="8">
        <f>+MINVU_Mes_Corriente!CK240*SALUD_Mes_Constante!$CC$1</f>
        <v>0</v>
      </c>
      <c r="CL240" s="8">
        <f>+MINVU_Mes_Corriente!CL240*SALUD_Mes_Constante!$CC$1</f>
        <v>0</v>
      </c>
      <c r="CM240" s="8">
        <f>+MINVU_Mes_Corriente!CM240*SALUD_Mes_Constante!$CC$1</f>
        <v>0</v>
      </c>
      <c r="CN240" s="8">
        <f>+MINVU_Mes_Corriente!CN240*SALUD_Mes_Constante!$CC$1</f>
        <v>0</v>
      </c>
      <c r="CO240" s="9">
        <f t="shared" si="120"/>
        <v>0</v>
      </c>
      <c r="CP240" s="8">
        <f>+MINVU_Mes_Corriente!CP240*SALUD_Mes_Constante!$CP$1</f>
        <v>0</v>
      </c>
      <c r="CQ240" s="8">
        <f>+MINVU_Mes_Corriente!CQ240*SALUD_Mes_Constante!$CP$1</f>
        <v>0</v>
      </c>
      <c r="CR240" s="8">
        <f>+MINVU_Mes_Corriente!CR240*SALUD_Mes_Constante!$CP$1</f>
        <v>0</v>
      </c>
      <c r="CS240" s="8">
        <f>+MINVU_Mes_Corriente!CS240*SALUD_Mes_Constante!$CP$1</f>
        <v>0</v>
      </c>
      <c r="CT240" s="8">
        <f>+MINVU_Mes_Corriente!CT240*SALUD_Mes_Constante!$CP$1</f>
        <v>0</v>
      </c>
      <c r="CU240" s="8">
        <f>+MINVU_Mes_Corriente!CU240*SALUD_Mes_Constante!$CP$1</f>
        <v>0</v>
      </c>
      <c r="CV240" s="8">
        <f>+MINVU_Mes_Corriente!CV240*SALUD_Mes_Constante!$CP$1</f>
        <v>0</v>
      </c>
      <c r="CW240" s="8">
        <f>+MINVU_Mes_Corriente!CW240*SALUD_Mes_Constante!$CP$1</f>
        <v>0</v>
      </c>
      <c r="CX240" s="8">
        <f>+MINVU_Mes_Corriente!CX240*SALUD_Mes_Constante!$CP$1</f>
        <v>0</v>
      </c>
      <c r="CY240" s="8">
        <f>+MINVU_Mes_Corriente!CY240*SALUD_Mes_Constante!$CP$1</f>
        <v>0</v>
      </c>
      <c r="CZ240" s="8">
        <f>+MINVU_Mes_Corriente!CZ240*SALUD_Mes_Constante!$CP$1</f>
        <v>0</v>
      </c>
      <c r="DA240" s="8">
        <f>+MINVU_Mes_Corriente!DA240*SALUD_Mes_Constante!$CP$1</f>
        <v>0</v>
      </c>
      <c r="DB240" s="9">
        <f t="shared" si="121"/>
        <v>0</v>
      </c>
      <c r="DC240" s="8">
        <f>+MINVU_Mes_Corriente!DC240*SALUD_Mes_Constante!$DC$1</f>
        <v>0</v>
      </c>
      <c r="DD240" s="8">
        <f>+MINVU_Mes_Corriente!DD240*SALUD_Mes_Constante!$DC$1</f>
        <v>0</v>
      </c>
      <c r="DE240" s="8">
        <f>+MINVU_Mes_Corriente!DE240*SALUD_Mes_Constante!$DC$1</f>
        <v>0</v>
      </c>
      <c r="DF240" s="8">
        <f>+MINVU_Mes_Corriente!DF240*SALUD_Mes_Constante!$DC$1</f>
        <v>0</v>
      </c>
      <c r="DG240" s="8">
        <f>+MINVU_Mes_Corriente!DG240*SALUD_Mes_Constante!$DC$1</f>
        <v>0</v>
      </c>
      <c r="DH240" s="8">
        <f>+MINVU_Mes_Corriente!DH240*SALUD_Mes_Constante!$DC$1</f>
        <v>0</v>
      </c>
      <c r="DI240" s="8">
        <f>+MINVU_Mes_Corriente!DI240*SALUD_Mes_Constante!$DC$1</f>
        <v>0</v>
      </c>
      <c r="DJ240" s="8">
        <f>+MINVU_Mes_Corriente!DJ240*SALUD_Mes_Constante!$DC$1</f>
        <v>0</v>
      </c>
      <c r="DK240" s="8">
        <f>+MINVU_Mes_Corriente!DK240*SALUD_Mes_Constante!$DC$1</f>
        <v>0</v>
      </c>
      <c r="DL240" s="8">
        <f>+MINVU_Mes_Corriente!DL240*SALUD_Mes_Constante!$DC$1</f>
        <v>0</v>
      </c>
      <c r="DM240" s="8">
        <f>+MINVU_Mes_Corriente!DM240*SALUD_Mes_Constante!$DC$1</f>
        <v>0</v>
      </c>
      <c r="DN240" s="8">
        <f>+MINVU_Mes_Corriente!DN240*SALUD_Mes_Constante!$DC$1</f>
        <v>0</v>
      </c>
      <c r="DO240" s="9">
        <f t="shared" si="122"/>
        <v>0</v>
      </c>
      <c r="DP240" s="8">
        <f>+MINVU_Mes_Corriente!DP240*SALUD_Mes_Constante!$DP$1</f>
        <v>0</v>
      </c>
      <c r="DQ240" s="8">
        <f>+MINVU_Mes_Corriente!DQ240*SALUD_Mes_Constante!$DP$1</f>
        <v>0</v>
      </c>
      <c r="DR240" s="8">
        <f>+MINVU_Mes_Corriente!DR240*SALUD_Mes_Constante!$DP$1</f>
        <v>0</v>
      </c>
      <c r="DS240" s="8">
        <f>+MINVU_Mes_Corriente!DS240*SALUD_Mes_Constante!$DP$1</f>
        <v>0</v>
      </c>
      <c r="DT240" s="8">
        <f>+MINVU_Mes_Corriente!DT240*SALUD_Mes_Constante!$DP$1</f>
        <v>0</v>
      </c>
      <c r="DU240" s="8">
        <f>+MINVU_Mes_Corriente!DU240*SALUD_Mes_Constante!$DP$1</f>
        <v>0</v>
      </c>
      <c r="DV240" s="8">
        <f>+MINVU_Mes_Corriente!DV240*SALUD_Mes_Constante!$DP$1</f>
        <v>0</v>
      </c>
      <c r="DW240" s="8">
        <f>+MINVU_Mes_Corriente!DW240*SALUD_Mes_Constante!$DP$1</f>
        <v>0</v>
      </c>
      <c r="DX240" s="8">
        <f>+MINVU_Mes_Corriente!DX240*SALUD_Mes_Constante!$DP$1</f>
        <v>0</v>
      </c>
      <c r="DY240" s="8">
        <f>+MINVU_Mes_Corriente!DY240*SALUD_Mes_Constante!$DP$1</f>
        <v>0</v>
      </c>
      <c r="DZ240" s="8">
        <f>+MINVU_Mes_Corriente!DZ240*SALUD_Mes_Constante!$DP$1</f>
        <v>0</v>
      </c>
      <c r="EA240" s="8">
        <f>+MINVU_Mes_Corriente!EA240*SALUD_Mes_Constante!$DP$1</f>
        <v>0</v>
      </c>
      <c r="EB240" s="9">
        <f t="shared" si="123"/>
        <v>0</v>
      </c>
      <c r="EC240" s="8">
        <f>+MINVU_Mes_Corriente!EC240*SALUD_Mes_Constante!$EC$1</f>
        <v>0</v>
      </c>
      <c r="ED240" s="8">
        <f>+MINVU_Mes_Corriente!ED240*SALUD_Mes_Constante!$EC$1</f>
        <v>0</v>
      </c>
      <c r="EE240" s="8">
        <f>+MINVU_Mes_Corriente!EE240*SALUD_Mes_Constante!$EC$1</f>
        <v>0</v>
      </c>
      <c r="EF240" s="8">
        <f>+MINVU_Mes_Corriente!EF240*SALUD_Mes_Constante!$EC$1</f>
        <v>0</v>
      </c>
      <c r="EG240" s="8">
        <f>+MINVU_Mes_Corriente!EG240*SALUD_Mes_Constante!$EC$1</f>
        <v>0</v>
      </c>
      <c r="EH240" s="8">
        <f>+MINVU_Mes_Corriente!EH240*SALUD_Mes_Constante!$EC$1</f>
        <v>0</v>
      </c>
      <c r="EI240" s="8">
        <f>+MINVU_Mes_Corriente!EI240*SALUD_Mes_Constante!$EC$1</f>
        <v>0</v>
      </c>
      <c r="EJ240" s="8">
        <f>+MINVU_Mes_Corriente!EJ240*SALUD_Mes_Constante!$EC$1</f>
        <v>0</v>
      </c>
      <c r="EK240" s="8">
        <f>+MINVU_Mes_Corriente!EK240*SALUD_Mes_Constante!$EC$1</f>
        <v>0</v>
      </c>
      <c r="EL240" s="8">
        <f>+MINVU_Mes_Corriente!EL240*SALUD_Mes_Constante!$EC$1</f>
        <v>0</v>
      </c>
      <c r="EM240" s="8">
        <f>+MINVU_Mes_Corriente!EM240*SALUD_Mes_Constante!$EC$1</f>
        <v>0</v>
      </c>
      <c r="EN240" s="8">
        <f>+MINVU_Mes_Corriente!EN240*SALUD_Mes_Constante!$EC$1</f>
        <v>0</v>
      </c>
      <c r="EO240" s="9">
        <f t="shared" si="124"/>
        <v>0</v>
      </c>
      <c r="EP240" s="8">
        <f>+MINVU_Mes_Corriente!EP240*SALUD_Mes_Constante!$EP$1</f>
        <v>0</v>
      </c>
      <c r="EQ240" s="8">
        <f>+MINVU_Mes_Corriente!EQ240*SALUD_Mes_Constante!$EP$1</f>
        <v>0</v>
      </c>
      <c r="ER240" s="8">
        <f>+MINVU_Mes_Corriente!ER240*SALUD_Mes_Constante!$EP$1</f>
        <v>0</v>
      </c>
      <c r="ES240" s="8">
        <f>+MINVU_Mes_Corriente!ES240*SALUD_Mes_Constante!$EP$1</f>
        <v>0</v>
      </c>
      <c r="ET240" s="8">
        <f>+MINVU_Mes_Corriente!ET240*SALUD_Mes_Constante!$EP$1</f>
        <v>0</v>
      </c>
      <c r="EU240" s="8">
        <f>+MINVU_Mes_Corriente!EU240*SALUD_Mes_Constante!$EP$1</f>
        <v>0</v>
      </c>
      <c r="EV240" s="8">
        <f>+MINVU_Mes_Corriente!EV240*SALUD_Mes_Constante!$EP$1</f>
        <v>0</v>
      </c>
      <c r="EW240" s="8">
        <f>+MINVU_Mes_Corriente!EW240*SALUD_Mes_Constante!$EP$1</f>
        <v>0</v>
      </c>
      <c r="EX240" s="8">
        <f>+MINVU_Mes_Corriente!EX240*SALUD_Mes_Constante!$EP$1</f>
        <v>0</v>
      </c>
      <c r="EY240" s="8">
        <f>+MINVU_Mes_Corriente!EY240*SALUD_Mes_Constante!$EP$1</f>
        <v>0</v>
      </c>
      <c r="EZ240" s="8">
        <f>+MINVU_Mes_Corriente!EZ240*SALUD_Mes_Constante!$EP$1</f>
        <v>0</v>
      </c>
      <c r="FA240" s="8">
        <f>+MINVU_Mes_Corriente!FA240*SALUD_Mes_Constante!$EP$1</f>
        <v>0</v>
      </c>
      <c r="FB240" s="9">
        <f t="shared" si="125"/>
        <v>0</v>
      </c>
      <c r="FC240" s="8">
        <f>+MINVU_Mes_Corriente!FC240*SALUD_Mes_Constante!$FC$1</f>
        <v>0</v>
      </c>
      <c r="FD240" s="8">
        <f>+MINVU_Mes_Corriente!FD240*SALUD_Mes_Constante!$FC$1</f>
        <v>0</v>
      </c>
      <c r="FE240" s="8">
        <f>+MINVU_Mes_Corriente!FE240*SALUD_Mes_Constante!$FC$1</f>
        <v>0</v>
      </c>
      <c r="FF240" s="8">
        <f>+MINVU_Mes_Corriente!FF240*SALUD_Mes_Constante!$FC$1</f>
        <v>0</v>
      </c>
      <c r="FG240" s="8">
        <f>+MINVU_Mes_Corriente!FG240*SALUD_Mes_Constante!$FC$1</f>
        <v>0</v>
      </c>
      <c r="FH240" s="8">
        <f>+MINVU_Mes_Corriente!FH240*SALUD_Mes_Constante!$FC$1</f>
        <v>0</v>
      </c>
      <c r="FI240" s="8">
        <f>+MINVU_Mes_Corriente!FI240*SALUD_Mes_Constante!$FC$1</f>
        <v>0</v>
      </c>
      <c r="FJ240" s="8"/>
      <c r="FK240" s="8"/>
      <c r="FL240" s="8"/>
      <c r="FM240" s="8"/>
      <c r="FN240" s="8"/>
      <c r="FO240" s="9">
        <f t="shared" si="126"/>
        <v>0</v>
      </c>
    </row>
    <row r="241" spans="2:171" ht="14.25" customHeight="1" x14ac:dyDescent="0.3">
      <c r="B241" s="7" t="s">
        <v>54</v>
      </c>
      <c r="C241" s="8">
        <f>+MINVU_Mes_Corriente!C241*SALUD_Mes_Constante!$C$1</f>
        <v>0</v>
      </c>
      <c r="D241" s="8">
        <f>+MINVU_Mes_Corriente!D241*SALUD_Mes_Constante!$C$1</f>
        <v>0</v>
      </c>
      <c r="E241" s="8">
        <f>+MINVU_Mes_Corriente!E241*SALUD_Mes_Constante!$C$1</f>
        <v>0</v>
      </c>
      <c r="F241" s="8">
        <f>+MINVU_Mes_Corriente!F241*SALUD_Mes_Constante!$C$1</f>
        <v>0</v>
      </c>
      <c r="G241" s="8">
        <f>+MINVU_Mes_Corriente!G241*SALUD_Mes_Constante!$C$1</f>
        <v>0</v>
      </c>
      <c r="H241" s="8">
        <f>+MINVU_Mes_Corriente!H241*SALUD_Mes_Constante!$C$1</f>
        <v>0</v>
      </c>
      <c r="I241" s="8">
        <f>+MINVU_Mes_Corriente!I241*SALUD_Mes_Constante!$C$1</f>
        <v>0</v>
      </c>
      <c r="J241" s="8">
        <f>+MINVU_Mes_Corriente!J241*SALUD_Mes_Constante!$C$1</f>
        <v>0</v>
      </c>
      <c r="K241" s="8">
        <f>+MINVU_Mes_Corriente!K241*SALUD_Mes_Constante!$C$1</f>
        <v>0</v>
      </c>
      <c r="L241" s="8">
        <f>+MINVU_Mes_Corriente!L241*SALUD_Mes_Constante!$C$1</f>
        <v>0</v>
      </c>
      <c r="M241" s="8">
        <f>+MINVU_Mes_Corriente!M241*SALUD_Mes_Constante!$C$1</f>
        <v>0</v>
      </c>
      <c r="N241" s="8">
        <f>+MINVU_Mes_Corriente!N241*SALUD_Mes_Constante!$C$1</f>
        <v>0</v>
      </c>
      <c r="O241" s="9">
        <f t="shared" si="114"/>
        <v>0</v>
      </c>
      <c r="P241" s="8">
        <f>+MINVU_Mes_Corriente!P241*SALUD_Mes_Constante!$P$1</f>
        <v>0</v>
      </c>
      <c r="Q241" s="8">
        <f>+MINVU_Mes_Corriente!Q241*SALUD_Mes_Constante!$P$1</f>
        <v>0</v>
      </c>
      <c r="R241" s="8">
        <f>+MINVU_Mes_Corriente!R241*SALUD_Mes_Constante!$P$1</f>
        <v>0</v>
      </c>
      <c r="S241" s="8">
        <f>+MINVU_Mes_Corriente!S241*SALUD_Mes_Constante!$P$1</f>
        <v>0</v>
      </c>
      <c r="T241" s="8">
        <f>+MINVU_Mes_Corriente!T241*SALUD_Mes_Constante!$P$1</f>
        <v>0</v>
      </c>
      <c r="U241" s="8">
        <f>+MINVU_Mes_Corriente!U241*SALUD_Mes_Constante!$P$1</f>
        <v>0</v>
      </c>
      <c r="V241" s="8">
        <f>+MINVU_Mes_Corriente!V241*SALUD_Mes_Constante!$P$1</f>
        <v>0</v>
      </c>
      <c r="W241" s="8">
        <f>+MINVU_Mes_Corriente!W241*SALUD_Mes_Constante!$P$1</f>
        <v>0</v>
      </c>
      <c r="X241" s="8">
        <f>+MINVU_Mes_Corriente!X241*SALUD_Mes_Constante!$P$1</f>
        <v>0</v>
      </c>
      <c r="Y241" s="8">
        <f>+MINVU_Mes_Corriente!Y241*SALUD_Mes_Constante!$P$1</f>
        <v>0</v>
      </c>
      <c r="Z241" s="8">
        <f>+MINVU_Mes_Corriente!Z241*SALUD_Mes_Constante!$P$1</f>
        <v>0</v>
      </c>
      <c r="AA241" s="8">
        <f>+MINVU_Mes_Corriente!AA241*SALUD_Mes_Constante!$P$1</f>
        <v>0</v>
      </c>
      <c r="AB241" s="9">
        <f t="shared" si="115"/>
        <v>0</v>
      </c>
      <c r="AC241" s="8">
        <f>+MINVU_Mes_Corriente!AC241*SALUD_Mes_Constante!$AC$1</f>
        <v>0</v>
      </c>
      <c r="AD241" s="8">
        <f>+MINVU_Mes_Corriente!AD241*SALUD_Mes_Constante!$AC$1</f>
        <v>0</v>
      </c>
      <c r="AE241" s="8">
        <f>+MINVU_Mes_Corriente!AE241*SALUD_Mes_Constante!$AC$1</f>
        <v>0</v>
      </c>
      <c r="AF241" s="8">
        <f>+MINVU_Mes_Corriente!AF241*SALUD_Mes_Constante!$AC$1</f>
        <v>0</v>
      </c>
      <c r="AG241" s="8">
        <f>+MINVU_Mes_Corriente!AG241*SALUD_Mes_Constante!$AC$1</f>
        <v>0</v>
      </c>
      <c r="AH241" s="8">
        <f>+MINVU_Mes_Corriente!AH241*SALUD_Mes_Constante!$AC$1</f>
        <v>0</v>
      </c>
      <c r="AI241" s="8">
        <f>+MINVU_Mes_Corriente!AI241*SALUD_Mes_Constante!$AC$1</f>
        <v>0</v>
      </c>
      <c r="AJ241" s="8">
        <f>+MINVU_Mes_Corriente!AJ241*SALUD_Mes_Constante!$AC$1</f>
        <v>0</v>
      </c>
      <c r="AK241" s="8">
        <f>+MINVU_Mes_Corriente!AK241*SALUD_Mes_Constante!$AC$1</f>
        <v>0</v>
      </c>
      <c r="AL241" s="8">
        <f>+MINVU_Mes_Corriente!AL241*SALUD_Mes_Constante!$AC$1</f>
        <v>0</v>
      </c>
      <c r="AM241" s="8">
        <f>+MINVU_Mes_Corriente!AM241*SALUD_Mes_Constante!$AC$1</f>
        <v>0</v>
      </c>
      <c r="AN241" s="8">
        <f>+MINVU_Mes_Corriente!AN241*SALUD_Mes_Constante!$AC$1</f>
        <v>0</v>
      </c>
      <c r="AO241" s="9">
        <f t="shared" si="116"/>
        <v>0</v>
      </c>
      <c r="AP241" s="8">
        <f>+MINVU_Mes_Corriente!AP241*SALUD_Mes_Constante!$AP$1</f>
        <v>0</v>
      </c>
      <c r="AQ241" s="8">
        <f>+MINVU_Mes_Corriente!AQ241*SALUD_Mes_Constante!$AP$1</f>
        <v>0</v>
      </c>
      <c r="AR241" s="8">
        <f>+MINVU_Mes_Corriente!AR241*SALUD_Mes_Constante!$AP$1</f>
        <v>0</v>
      </c>
      <c r="AS241" s="8">
        <f>+MINVU_Mes_Corriente!AS241*SALUD_Mes_Constante!$AP$1</f>
        <v>0</v>
      </c>
      <c r="AT241" s="8">
        <f>+MINVU_Mes_Corriente!AT241*SALUD_Mes_Constante!$AP$1</f>
        <v>0</v>
      </c>
      <c r="AU241" s="8">
        <f>+MINVU_Mes_Corriente!AU241*SALUD_Mes_Constante!$AP$1</f>
        <v>0</v>
      </c>
      <c r="AV241" s="8">
        <f>+MINVU_Mes_Corriente!AV241*SALUD_Mes_Constante!$AP$1</f>
        <v>0</v>
      </c>
      <c r="AW241" s="8">
        <f>+MINVU_Mes_Corriente!AW241*SALUD_Mes_Constante!$AP$1</f>
        <v>0</v>
      </c>
      <c r="AX241" s="8">
        <f>+MINVU_Mes_Corriente!AX241*SALUD_Mes_Constante!$AP$1</f>
        <v>0</v>
      </c>
      <c r="AY241" s="8">
        <f>+MINVU_Mes_Corriente!AY241*SALUD_Mes_Constante!$AP$1</f>
        <v>0</v>
      </c>
      <c r="AZ241" s="8">
        <f>+MINVU_Mes_Corriente!AZ241*SALUD_Mes_Constante!$AP$1</f>
        <v>0</v>
      </c>
      <c r="BA241" s="8">
        <f>+MINVU_Mes_Corriente!BA241*SALUD_Mes_Constante!$AP$1</f>
        <v>0</v>
      </c>
      <c r="BB241" s="9">
        <f t="shared" si="117"/>
        <v>0</v>
      </c>
      <c r="BC241" s="8">
        <f>+MINVU_Mes_Corriente!BC241*SALUD_Mes_Constante!$BC$1</f>
        <v>0</v>
      </c>
      <c r="BD241" s="8">
        <f>+MINVU_Mes_Corriente!BD241*SALUD_Mes_Constante!$BC$1</f>
        <v>0</v>
      </c>
      <c r="BE241" s="8">
        <f>+MINVU_Mes_Corriente!BE241*SALUD_Mes_Constante!$BC$1</f>
        <v>0</v>
      </c>
      <c r="BF241" s="8">
        <f>+MINVU_Mes_Corriente!BF241*SALUD_Mes_Constante!$BC$1</f>
        <v>0</v>
      </c>
      <c r="BG241" s="8">
        <f>+MINVU_Mes_Corriente!BG241*SALUD_Mes_Constante!$BC$1</f>
        <v>0</v>
      </c>
      <c r="BH241" s="8">
        <f>+MINVU_Mes_Corriente!BH241*SALUD_Mes_Constante!$BC$1</f>
        <v>0</v>
      </c>
      <c r="BI241" s="8">
        <f>+MINVU_Mes_Corriente!BI241*SALUD_Mes_Constante!$BC$1</f>
        <v>0</v>
      </c>
      <c r="BJ241" s="8">
        <f>+MINVU_Mes_Corriente!BJ241*SALUD_Mes_Constante!$BC$1</f>
        <v>0</v>
      </c>
      <c r="BK241" s="8">
        <f>+MINVU_Mes_Corriente!BK241*SALUD_Mes_Constante!$BC$1</f>
        <v>0</v>
      </c>
      <c r="BL241" s="8">
        <f>+MINVU_Mes_Corriente!BL241*SALUD_Mes_Constante!$BC$1</f>
        <v>0</v>
      </c>
      <c r="BM241" s="8">
        <f>+MINVU_Mes_Corriente!BM241*SALUD_Mes_Constante!$BC$1</f>
        <v>0</v>
      </c>
      <c r="BN241" s="8">
        <f>+MINVU_Mes_Corriente!BN241*SALUD_Mes_Constante!$BC$1</f>
        <v>0</v>
      </c>
      <c r="BO241" s="9">
        <f t="shared" si="118"/>
        <v>0</v>
      </c>
      <c r="BP241" s="8">
        <f>+MINVU_Mes_Corriente!BP241*SALUD_Mes_Constante!$BP$1</f>
        <v>0</v>
      </c>
      <c r="BQ241" s="8">
        <f>+MINVU_Mes_Corriente!BQ241*SALUD_Mes_Constante!$BP$1</f>
        <v>0</v>
      </c>
      <c r="BR241" s="8">
        <f>+MINVU_Mes_Corriente!BR241*SALUD_Mes_Constante!$BP$1</f>
        <v>0</v>
      </c>
      <c r="BS241" s="8">
        <f>+MINVU_Mes_Corriente!BS241*SALUD_Mes_Constante!$BP$1</f>
        <v>0</v>
      </c>
      <c r="BT241" s="8">
        <f>+MINVU_Mes_Corriente!BT241*SALUD_Mes_Constante!$BP$1</f>
        <v>0</v>
      </c>
      <c r="BU241" s="8">
        <f>+MINVU_Mes_Corriente!BU241*SALUD_Mes_Constante!$BP$1</f>
        <v>0</v>
      </c>
      <c r="BV241" s="8">
        <f>+MINVU_Mes_Corriente!BV241*SALUD_Mes_Constante!$BP$1</f>
        <v>0</v>
      </c>
      <c r="BW241" s="8">
        <f>+MINVU_Mes_Corriente!BW241*SALUD_Mes_Constante!$BP$1</f>
        <v>0</v>
      </c>
      <c r="BX241" s="8">
        <f>+MINVU_Mes_Corriente!BX241*SALUD_Mes_Constante!$BP$1</f>
        <v>0</v>
      </c>
      <c r="BY241" s="8">
        <f>+MINVU_Mes_Corriente!BY241*SALUD_Mes_Constante!$BP$1</f>
        <v>0</v>
      </c>
      <c r="BZ241" s="8">
        <f>+MINVU_Mes_Corriente!BZ241*SALUD_Mes_Constante!$BP$1</f>
        <v>0</v>
      </c>
      <c r="CA241" s="8">
        <f>+MINVU_Mes_Corriente!CA241*SALUD_Mes_Constante!$BP$1</f>
        <v>0</v>
      </c>
      <c r="CB241" s="9">
        <f t="shared" si="119"/>
        <v>0</v>
      </c>
      <c r="CC241" s="8">
        <f>+MINVU_Mes_Corriente!CC241*SALUD_Mes_Constante!$CC$1</f>
        <v>0</v>
      </c>
      <c r="CD241" s="8">
        <f>+MINVU_Mes_Corriente!CD241*SALUD_Mes_Constante!$CC$1</f>
        <v>0</v>
      </c>
      <c r="CE241" s="8">
        <f>+MINVU_Mes_Corriente!CE241*SALUD_Mes_Constante!$CC$1</f>
        <v>0</v>
      </c>
      <c r="CF241" s="8">
        <f>+MINVU_Mes_Corriente!CF241*SALUD_Mes_Constante!$CC$1</f>
        <v>0</v>
      </c>
      <c r="CG241" s="8">
        <f>+MINVU_Mes_Corriente!CG241*SALUD_Mes_Constante!$CC$1</f>
        <v>0</v>
      </c>
      <c r="CH241" s="8">
        <f>+MINVU_Mes_Corriente!CH241*SALUD_Mes_Constante!$CC$1</f>
        <v>0</v>
      </c>
      <c r="CI241" s="8">
        <f>+MINVU_Mes_Corriente!CI241*SALUD_Mes_Constante!$CC$1</f>
        <v>0</v>
      </c>
      <c r="CJ241" s="8">
        <f>+MINVU_Mes_Corriente!CJ241*SALUD_Mes_Constante!$CC$1</f>
        <v>0</v>
      </c>
      <c r="CK241" s="8">
        <f>+MINVU_Mes_Corriente!CK241*SALUD_Mes_Constante!$CC$1</f>
        <v>0</v>
      </c>
      <c r="CL241" s="8">
        <f>+MINVU_Mes_Corriente!CL241*SALUD_Mes_Constante!$CC$1</f>
        <v>0</v>
      </c>
      <c r="CM241" s="8">
        <f>+MINVU_Mes_Corriente!CM241*SALUD_Mes_Constante!$CC$1</f>
        <v>0</v>
      </c>
      <c r="CN241" s="8">
        <f>+MINVU_Mes_Corriente!CN241*SALUD_Mes_Constante!$CC$1</f>
        <v>0</v>
      </c>
      <c r="CO241" s="9">
        <f t="shared" si="120"/>
        <v>0</v>
      </c>
      <c r="CP241" s="8">
        <f>+MINVU_Mes_Corriente!CP241*SALUD_Mes_Constante!$CP$1</f>
        <v>0</v>
      </c>
      <c r="CQ241" s="8">
        <f>+MINVU_Mes_Corriente!CQ241*SALUD_Mes_Constante!$CP$1</f>
        <v>0</v>
      </c>
      <c r="CR241" s="8">
        <f>+MINVU_Mes_Corriente!CR241*SALUD_Mes_Constante!$CP$1</f>
        <v>0</v>
      </c>
      <c r="CS241" s="8">
        <f>+MINVU_Mes_Corriente!CS241*SALUD_Mes_Constante!$CP$1</f>
        <v>0</v>
      </c>
      <c r="CT241" s="8">
        <f>+MINVU_Mes_Corriente!CT241*SALUD_Mes_Constante!$CP$1</f>
        <v>0</v>
      </c>
      <c r="CU241" s="8">
        <f>+MINVU_Mes_Corriente!CU241*SALUD_Mes_Constante!$CP$1</f>
        <v>0</v>
      </c>
      <c r="CV241" s="8">
        <f>+MINVU_Mes_Corriente!CV241*SALUD_Mes_Constante!$CP$1</f>
        <v>0</v>
      </c>
      <c r="CW241" s="8">
        <f>+MINVU_Mes_Corriente!CW241*SALUD_Mes_Constante!$CP$1</f>
        <v>0</v>
      </c>
      <c r="CX241" s="8">
        <f>+MINVU_Mes_Corriente!CX241*SALUD_Mes_Constante!$CP$1</f>
        <v>0</v>
      </c>
      <c r="CY241" s="8">
        <f>+MINVU_Mes_Corriente!CY241*SALUD_Mes_Constante!$CP$1</f>
        <v>0</v>
      </c>
      <c r="CZ241" s="8">
        <f>+MINVU_Mes_Corriente!CZ241*SALUD_Mes_Constante!$CP$1</f>
        <v>0</v>
      </c>
      <c r="DA241" s="8">
        <f>+MINVU_Mes_Corriente!DA241*SALUD_Mes_Constante!$CP$1</f>
        <v>0</v>
      </c>
      <c r="DB241" s="9">
        <f t="shared" si="121"/>
        <v>0</v>
      </c>
      <c r="DC241" s="8">
        <f>+MINVU_Mes_Corriente!DC241*SALUD_Mes_Constante!$DC$1</f>
        <v>0</v>
      </c>
      <c r="DD241" s="8">
        <f>+MINVU_Mes_Corriente!DD241*SALUD_Mes_Constante!$DC$1</f>
        <v>0</v>
      </c>
      <c r="DE241" s="8">
        <f>+MINVU_Mes_Corriente!DE241*SALUD_Mes_Constante!$DC$1</f>
        <v>0</v>
      </c>
      <c r="DF241" s="8">
        <f>+MINVU_Mes_Corriente!DF241*SALUD_Mes_Constante!$DC$1</f>
        <v>0</v>
      </c>
      <c r="DG241" s="8">
        <f>+MINVU_Mes_Corriente!DG241*SALUD_Mes_Constante!$DC$1</f>
        <v>0</v>
      </c>
      <c r="DH241" s="8">
        <f>+MINVU_Mes_Corriente!DH241*SALUD_Mes_Constante!$DC$1</f>
        <v>0</v>
      </c>
      <c r="DI241" s="8">
        <f>+MINVU_Mes_Corriente!DI241*SALUD_Mes_Constante!$DC$1</f>
        <v>0</v>
      </c>
      <c r="DJ241" s="8">
        <f>+MINVU_Mes_Corriente!DJ241*SALUD_Mes_Constante!$DC$1</f>
        <v>0</v>
      </c>
      <c r="DK241" s="8">
        <f>+MINVU_Mes_Corriente!DK241*SALUD_Mes_Constante!$DC$1</f>
        <v>0</v>
      </c>
      <c r="DL241" s="8">
        <f>+MINVU_Mes_Corriente!DL241*SALUD_Mes_Constante!$DC$1</f>
        <v>0</v>
      </c>
      <c r="DM241" s="8">
        <f>+MINVU_Mes_Corriente!DM241*SALUD_Mes_Constante!$DC$1</f>
        <v>0</v>
      </c>
      <c r="DN241" s="8">
        <f>+MINVU_Mes_Corriente!DN241*SALUD_Mes_Constante!$DC$1</f>
        <v>0</v>
      </c>
      <c r="DO241" s="9">
        <f t="shared" si="122"/>
        <v>0</v>
      </c>
      <c r="DP241" s="8">
        <f>+MINVU_Mes_Corriente!DP241*SALUD_Mes_Constante!$DP$1</f>
        <v>0</v>
      </c>
      <c r="DQ241" s="8">
        <f>+MINVU_Mes_Corriente!DQ241*SALUD_Mes_Constante!$DP$1</f>
        <v>0</v>
      </c>
      <c r="DR241" s="8">
        <f>+MINVU_Mes_Corriente!DR241*SALUD_Mes_Constante!$DP$1</f>
        <v>0</v>
      </c>
      <c r="DS241" s="8">
        <f>+MINVU_Mes_Corriente!DS241*SALUD_Mes_Constante!$DP$1</f>
        <v>0</v>
      </c>
      <c r="DT241" s="8">
        <f>+MINVU_Mes_Corriente!DT241*SALUD_Mes_Constante!$DP$1</f>
        <v>0</v>
      </c>
      <c r="DU241" s="8">
        <f>+MINVU_Mes_Corriente!DU241*SALUD_Mes_Constante!$DP$1</f>
        <v>0</v>
      </c>
      <c r="DV241" s="8">
        <f>+MINVU_Mes_Corriente!DV241*SALUD_Mes_Constante!$DP$1</f>
        <v>0</v>
      </c>
      <c r="DW241" s="8">
        <f>+MINVU_Mes_Corriente!DW241*SALUD_Mes_Constante!$DP$1</f>
        <v>0</v>
      </c>
      <c r="DX241" s="8">
        <f>+MINVU_Mes_Corriente!DX241*SALUD_Mes_Constante!$DP$1</f>
        <v>0</v>
      </c>
      <c r="DY241" s="8">
        <f>+MINVU_Mes_Corriente!DY241*SALUD_Mes_Constante!$DP$1</f>
        <v>0</v>
      </c>
      <c r="DZ241" s="8">
        <f>+MINVU_Mes_Corriente!DZ241*SALUD_Mes_Constante!$DP$1</f>
        <v>0</v>
      </c>
      <c r="EA241" s="8">
        <f>+MINVU_Mes_Corriente!EA241*SALUD_Mes_Constante!$DP$1</f>
        <v>0</v>
      </c>
      <c r="EB241" s="9">
        <f t="shared" si="123"/>
        <v>0</v>
      </c>
      <c r="EC241" s="8">
        <f>+MINVU_Mes_Corriente!EC241*SALUD_Mes_Constante!$EC$1</f>
        <v>0</v>
      </c>
      <c r="ED241" s="8">
        <f>+MINVU_Mes_Corriente!ED241*SALUD_Mes_Constante!$EC$1</f>
        <v>0</v>
      </c>
      <c r="EE241" s="8">
        <f>+MINVU_Mes_Corriente!EE241*SALUD_Mes_Constante!$EC$1</f>
        <v>0</v>
      </c>
      <c r="EF241" s="8">
        <f>+MINVU_Mes_Corriente!EF241*SALUD_Mes_Constante!$EC$1</f>
        <v>0</v>
      </c>
      <c r="EG241" s="8">
        <f>+MINVU_Mes_Corriente!EG241*SALUD_Mes_Constante!$EC$1</f>
        <v>0</v>
      </c>
      <c r="EH241" s="8">
        <f>+MINVU_Mes_Corriente!EH241*SALUD_Mes_Constante!$EC$1</f>
        <v>0</v>
      </c>
      <c r="EI241" s="8">
        <f>+MINVU_Mes_Corriente!EI241*SALUD_Mes_Constante!$EC$1</f>
        <v>0</v>
      </c>
      <c r="EJ241" s="8">
        <f>+MINVU_Mes_Corriente!EJ241*SALUD_Mes_Constante!$EC$1</f>
        <v>0</v>
      </c>
      <c r="EK241" s="8">
        <f>+MINVU_Mes_Corriente!EK241*SALUD_Mes_Constante!$EC$1</f>
        <v>0</v>
      </c>
      <c r="EL241" s="8">
        <f>+MINVU_Mes_Corriente!EL241*SALUD_Mes_Constante!$EC$1</f>
        <v>0</v>
      </c>
      <c r="EM241" s="8">
        <f>+MINVU_Mes_Corriente!EM241*SALUD_Mes_Constante!$EC$1</f>
        <v>0</v>
      </c>
      <c r="EN241" s="8">
        <f>+MINVU_Mes_Corriente!EN241*SALUD_Mes_Constante!$EC$1</f>
        <v>0</v>
      </c>
      <c r="EO241" s="9">
        <f t="shared" si="124"/>
        <v>0</v>
      </c>
      <c r="EP241" s="8">
        <f>+MINVU_Mes_Corriente!EP241*SALUD_Mes_Constante!$EP$1</f>
        <v>0</v>
      </c>
      <c r="EQ241" s="8">
        <f>+MINVU_Mes_Corriente!EQ241*SALUD_Mes_Constante!$EP$1</f>
        <v>0</v>
      </c>
      <c r="ER241" s="8">
        <f>+MINVU_Mes_Corriente!ER241*SALUD_Mes_Constante!$EP$1</f>
        <v>0</v>
      </c>
      <c r="ES241" s="8">
        <f>+MINVU_Mes_Corriente!ES241*SALUD_Mes_Constante!$EP$1</f>
        <v>0</v>
      </c>
      <c r="ET241" s="8">
        <f>+MINVU_Mes_Corriente!ET241*SALUD_Mes_Constante!$EP$1</f>
        <v>0</v>
      </c>
      <c r="EU241" s="8">
        <f>+MINVU_Mes_Corriente!EU241*SALUD_Mes_Constante!$EP$1</f>
        <v>0</v>
      </c>
      <c r="EV241" s="8">
        <f>+MINVU_Mes_Corriente!EV241*SALUD_Mes_Constante!$EP$1</f>
        <v>0</v>
      </c>
      <c r="EW241" s="8">
        <f>+MINVU_Mes_Corriente!EW241*SALUD_Mes_Constante!$EP$1</f>
        <v>0</v>
      </c>
      <c r="EX241" s="8">
        <f>+MINVU_Mes_Corriente!EX241*SALUD_Mes_Constante!$EP$1</f>
        <v>0</v>
      </c>
      <c r="EY241" s="8">
        <f>+MINVU_Mes_Corriente!EY241*SALUD_Mes_Constante!$EP$1</f>
        <v>0</v>
      </c>
      <c r="EZ241" s="8">
        <f>+MINVU_Mes_Corriente!EZ241*SALUD_Mes_Constante!$EP$1</f>
        <v>0</v>
      </c>
      <c r="FA241" s="8">
        <f>+MINVU_Mes_Corriente!FA241*SALUD_Mes_Constante!$EP$1</f>
        <v>0</v>
      </c>
      <c r="FB241" s="9">
        <f t="shared" si="125"/>
        <v>0</v>
      </c>
      <c r="FC241" s="8">
        <f>+MINVU_Mes_Corriente!FC241*SALUD_Mes_Constante!$FC$1</f>
        <v>0</v>
      </c>
      <c r="FD241" s="8">
        <f>+MINVU_Mes_Corriente!FD241*SALUD_Mes_Constante!$FC$1</f>
        <v>0</v>
      </c>
      <c r="FE241" s="8">
        <f>+MINVU_Mes_Corriente!FE241*SALUD_Mes_Constante!$FC$1</f>
        <v>0</v>
      </c>
      <c r="FF241" s="8">
        <f>+MINVU_Mes_Corriente!FF241*SALUD_Mes_Constante!$FC$1</f>
        <v>0</v>
      </c>
      <c r="FG241" s="8">
        <f>+MINVU_Mes_Corriente!FG241*SALUD_Mes_Constante!$FC$1</f>
        <v>0</v>
      </c>
      <c r="FH241" s="8">
        <f>+MINVU_Mes_Corriente!FH241*SALUD_Mes_Constante!$FC$1</f>
        <v>0</v>
      </c>
      <c r="FI241" s="8">
        <f>+MINVU_Mes_Corriente!FI241*SALUD_Mes_Constante!$FC$1</f>
        <v>0</v>
      </c>
      <c r="FJ241" s="8"/>
      <c r="FK241" s="8"/>
      <c r="FL241" s="8"/>
      <c r="FM241" s="8"/>
      <c r="FN241" s="8"/>
      <c r="FO241" s="9">
        <f t="shared" si="126"/>
        <v>0</v>
      </c>
    </row>
    <row r="242" spans="2:171" ht="14.25" customHeight="1" x14ac:dyDescent="0.3">
      <c r="B242" s="7" t="s">
        <v>55</v>
      </c>
      <c r="C242" s="8">
        <f>+MINVU_Mes_Corriente!C242*SALUD_Mes_Constante!$C$1</f>
        <v>0</v>
      </c>
      <c r="D242" s="8">
        <f>+MINVU_Mes_Corriente!D242*SALUD_Mes_Constante!$C$1</f>
        <v>0</v>
      </c>
      <c r="E242" s="8">
        <f>+MINVU_Mes_Corriente!E242*SALUD_Mes_Constante!$C$1</f>
        <v>0</v>
      </c>
      <c r="F242" s="8">
        <f>+MINVU_Mes_Corriente!F242*SALUD_Mes_Constante!$C$1</f>
        <v>0</v>
      </c>
      <c r="G242" s="8">
        <f>+MINVU_Mes_Corriente!G242*SALUD_Mes_Constante!$C$1</f>
        <v>0</v>
      </c>
      <c r="H242" s="8">
        <f>+MINVU_Mes_Corriente!H242*SALUD_Mes_Constante!$C$1</f>
        <v>0</v>
      </c>
      <c r="I242" s="8">
        <f>+MINVU_Mes_Corriente!I242*SALUD_Mes_Constante!$C$1</f>
        <v>0</v>
      </c>
      <c r="J242" s="8">
        <f>+MINVU_Mes_Corriente!J242*SALUD_Mes_Constante!$C$1</f>
        <v>0</v>
      </c>
      <c r="K242" s="8">
        <f>+MINVU_Mes_Corriente!K242*SALUD_Mes_Constante!$C$1</f>
        <v>0</v>
      </c>
      <c r="L242" s="8">
        <f>+MINVU_Mes_Corriente!L242*SALUD_Mes_Constante!$C$1</f>
        <v>0</v>
      </c>
      <c r="M242" s="8">
        <f>+MINVU_Mes_Corriente!M242*SALUD_Mes_Constante!$C$1</f>
        <v>0</v>
      </c>
      <c r="N242" s="8">
        <f>+MINVU_Mes_Corriente!N242*SALUD_Mes_Constante!$C$1</f>
        <v>0</v>
      </c>
      <c r="O242" s="9">
        <f t="shared" si="114"/>
        <v>0</v>
      </c>
      <c r="P242" s="8">
        <f>+MINVU_Mes_Corriente!P242*SALUD_Mes_Constante!$P$1</f>
        <v>0</v>
      </c>
      <c r="Q242" s="8">
        <f>+MINVU_Mes_Corriente!Q242*SALUD_Mes_Constante!$P$1</f>
        <v>0</v>
      </c>
      <c r="R242" s="8">
        <f>+MINVU_Mes_Corriente!R242*SALUD_Mes_Constante!$P$1</f>
        <v>0</v>
      </c>
      <c r="S242" s="8">
        <f>+MINVU_Mes_Corriente!S242*SALUD_Mes_Constante!$P$1</f>
        <v>0</v>
      </c>
      <c r="T242" s="8">
        <f>+MINVU_Mes_Corriente!T242*SALUD_Mes_Constante!$P$1</f>
        <v>0</v>
      </c>
      <c r="U242" s="8">
        <f>+MINVU_Mes_Corriente!U242*SALUD_Mes_Constante!$P$1</f>
        <v>0</v>
      </c>
      <c r="V242" s="8">
        <f>+MINVU_Mes_Corriente!V242*SALUD_Mes_Constante!$P$1</f>
        <v>0</v>
      </c>
      <c r="W242" s="8">
        <f>+MINVU_Mes_Corriente!W242*SALUD_Mes_Constante!$P$1</f>
        <v>0</v>
      </c>
      <c r="X242" s="8">
        <f>+MINVU_Mes_Corriente!X242*SALUD_Mes_Constante!$P$1</f>
        <v>0</v>
      </c>
      <c r="Y242" s="8">
        <f>+MINVU_Mes_Corriente!Y242*SALUD_Mes_Constante!$P$1</f>
        <v>0</v>
      </c>
      <c r="Z242" s="8">
        <f>+MINVU_Mes_Corriente!Z242*SALUD_Mes_Constante!$P$1</f>
        <v>0</v>
      </c>
      <c r="AA242" s="8">
        <f>+MINVU_Mes_Corriente!AA242*SALUD_Mes_Constante!$P$1</f>
        <v>0</v>
      </c>
      <c r="AB242" s="9">
        <f t="shared" si="115"/>
        <v>0</v>
      </c>
      <c r="AC242" s="8">
        <f>+MINVU_Mes_Corriente!AC242*SALUD_Mes_Constante!$AC$1</f>
        <v>0</v>
      </c>
      <c r="AD242" s="8">
        <f>+MINVU_Mes_Corriente!AD242*SALUD_Mes_Constante!$AC$1</f>
        <v>0</v>
      </c>
      <c r="AE242" s="8">
        <f>+MINVU_Mes_Corriente!AE242*SALUD_Mes_Constante!$AC$1</f>
        <v>0</v>
      </c>
      <c r="AF242" s="8">
        <f>+MINVU_Mes_Corriente!AF242*SALUD_Mes_Constante!$AC$1</f>
        <v>0</v>
      </c>
      <c r="AG242" s="8">
        <f>+MINVU_Mes_Corriente!AG242*SALUD_Mes_Constante!$AC$1</f>
        <v>0</v>
      </c>
      <c r="AH242" s="8">
        <f>+MINVU_Mes_Corriente!AH242*SALUD_Mes_Constante!$AC$1</f>
        <v>0</v>
      </c>
      <c r="AI242" s="8">
        <f>+MINVU_Mes_Corriente!AI242*SALUD_Mes_Constante!$AC$1</f>
        <v>0</v>
      </c>
      <c r="AJ242" s="8">
        <f>+MINVU_Mes_Corriente!AJ242*SALUD_Mes_Constante!$AC$1</f>
        <v>0</v>
      </c>
      <c r="AK242" s="8">
        <f>+MINVU_Mes_Corriente!AK242*SALUD_Mes_Constante!$AC$1</f>
        <v>0</v>
      </c>
      <c r="AL242" s="8">
        <f>+MINVU_Mes_Corriente!AL242*SALUD_Mes_Constante!$AC$1</f>
        <v>0</v>
      </c>
      <c r="AM242" s="8">
        <f>+MINVU_Mes_Corriente!AM242*SALUD_Mes_Constante!$AC$1</f>
        <v>0</v>
      </c>
      <c r="AN242" s="8">
        <f>+MINVU_Mes_Corriente!AN242*SALUD_Mes_Constante!$AC$1</f>
        <v>0</v>
      </c>
      <c r="AO242" s="9">
        <f t="shared" si="116"/>
        <v>0</v>
      </c>
      <c r="AP242" s="8">
        <f>+MINVU_Mes_Corriente!AP242*SALUD_Mes_Constante!$AP$1</f>
        <v>0</v>
      </c>
      <c r="AQ242" s="8">
        <f>+MINVU_Mes_Corriente!AQ242*SALUD_Mes_Constante!$AP$1</f>
        <v>0</v>
      </c>
      <c r="AR242" s="8">
        <f>+MINVU_Mes_Corriente!AR242*SALUD_Mes_Constante!$AP$1</f>
        <v>0</v>
      </c>
      <c r="AS242" s="8">
        <f>+MINVU_Mes_Corriente!AS242*SALUD_Mes_Constante!$AP$1</f>
        <v>0</v>
      </c>
      <c r="AT242" s="8">
        <f>+MINVU_Mes_Corriente!AT242*SALUD_Mes_Constante!$AP$1</f>
        <v>0</v>
      </c>
      <c r="AU242" s="8">
        <f>+MINVU_Mes_Corriente!AU242*SALUD_Mes_Constante!$AP$1</f>
        <v>0</v>
      </c>
      <c r="AV242" s="8">
        <f>+MINVU_Mes_Corriente!AV242*SALUD_Mes_Constante!$AP$1</f>
        <v>0</v>
      </c>
      <c r="AW242" s="8">
        <f>+MINVU_Mes_Corriente!AW242*SALUD_Mes_Constante!$AP$1</f>
        <v>0</v>
      </c>
      <c r="AX242" s="8">
        <f>+MINVU_Mes_Corriente!AX242*SALUD_Mes_Constante!$AP$1</f>
        <v>0</v>
      </c>
      <c r="AY242" s="8">
        <f>+MINVU_Mes_Corriente!AY242*SALUD_Mes_Constante!$AP$1</f>
        <v>0</v>
      </c>
      <c r="AZ242" s="8">
        <f>+MINVU_Mes_Corriente!AZ242*SALUD_Mes_Constante!$AP$1</f>
        <v>0</v>
      </c>
      <c r="BA242" s="8">
        <f>+MINVU_Mes_Corriente!BA242*SALUD_Mes_Constante!$AP$1</f>
        <v>0</v>
      </c>
      <c r="BB242" s="9">
        <f t="shared" si="117"/>
        <v>0</v>
      </c>
      <c r="BC242" s="8">
        <f>+MINVU_Mes_Corriente!BC242*SALUD_Mes_Constante!$BC$1</f>
        <v>0</v>
      </c>
      <c r="BD242" s="8">
        <f>+MINVU_Mes_Corriente!BD242*SALUD_Mes_Constante!$BC$1</f>
        <v>0</v>
      </c>
      <c r="BE242" s="8">
        <f>+MINVU_Mes_Corriente!BE242*SALUD_Mes_Constante!$BC$1</f>
        <v>0</v>
      </c>
      <c r="BF242" s="8">
        <f>+MINVU_Mes_Corriente!BF242*SALUD_Mes_Constante!$BC$1</f>
        <v>0</v>
      </c>
      <c r="BG242" s="8">
        <f>+MINVU_Mes_Corriente!BG242*SALUD_Mes_Constante!$BC$1</f>
        <v>0</v>
      </c>
      <c r="BH242" s="8">
        <f>+MINVU_Mes_Corriente!BH242*SALUD_Mes_Constante!$BC$1</f>
        <v>0</v>
      </c>
      <c r="BI242" s="8">
        <f>+MINVU_Mes_Corriente!BI242*SALUD_Mes_Constante!$BC$1</f>
        <v>0</v>
      </c>
      <c r="BJ242" s="8">
        <f>+MINVU_Mes_Corriente!BJ242*SALUD_Mes_Constante!$BC$1</f>
        <v>0</v>
      </c>
      <c r="BK242" s="8">
        <f>+MINVU_Mes_Corriente!BK242*SALUD_Mes_Constante!$BC$1</f>
        <v>0</v>
      </c>
      <c r="BL242" s="8">
        <f>+MINVU_Mes_Corriente!BL242*SALUD_Mes_Constante!$BC$1</f>
        <v>0</v>
      </c>
      <c r="BM242" s="8">
        <f>+MINVU_Mes_Corriente!BM242*SALUD_Mes_Constante!$BC$1</f>
        <v>0</v>
      </c>
      <c r="BN242" s="8">
        <f>+MINVU_Mes_Corriente!BN242*SALUD_Mes_Constante!$BC$1</f>
        <v>0</v>
      </c>
      <c r="BO242" s="9">
        <f t="shared" si="118"/>
        <v>0</v>
      </c>
      <c r="BP242" s="8">
        <f>+MINVU_Mes_Corriente!BP242*SALUD_Mes_Constante!$BP$1</f>
        <v>0</v>
      </c>
      <c r="BQ242" s="8">
        <f>+MINVU_Mes_Corriente!BQ242*SALUD_Mes_Constante!$BP$1</f>
        <v>0</v>
      </c>
      <c r="BR242" s="8">
        <f>+MINVU_Mes_Corriente!BR242*SALUD_Mes_Constante!$BP$1</f>
        <v>0</v>
      </c>
      <c r="BS242" s="8">
        <f>+MINVU_Mes_Corriente!BS242*SALUD_Mes_Constante!$BP$1</f>
        <v>0</v>
      </c>
      <c r="BT242" s="8">
        <f>+MINVU_Mes_Corriente!BT242*SALUD_Mes_Constante!$BP$1</f>
        <v>0</v>
      </c>
      <c r="BU242" s="8">
        <f>+MINVU_Mes_Corriente!BU242*SALUD_Mes_Constante!$BP$1</f>
        <v>0</v>
      </c>
      <c r="BV242" s="8">
        <f>+MINVU_Mes_Corriente!BV242*SALUD_Mes_Constante!$BP$1</f>
        <v>0</v>
      </c>
      <c r="BW242" s="8">
        <f>+MINVU_Mes_Corriente!BW242*SALUD_Mes_Constante!$BP$1</f>
        <v>0</v>
      </c>
      <c r="BX242" s="8">
        <f>+MINVU_Mes_Corriente!BX242*SALUD_Mes_Constante!$BP$1</f>
        <v>0</v>
      </c>
      <c r="BY242" s="8">
        <f>+MINVU_Mes_Corriente!BY242*SALUD_Mes_Constante!$BP$1</f>
        <v>0</v>
      </c>
      <c r="BZ242" s="8">
        <f>+MINVU_Mes_Corriente!BZ242*SALUD_Mes_Constante!$BP$1</f>
        <v>0</v>
      </c>
      <c r="CA242" s="8">
        <f>+MINVU_Mes_Corriente!CA242*SALUD_Mes_Constante!$BP$1</f>
        <v>0</v>
      </c>
      <c r="CB242" s="9">
        <f t="shared" si="119"/>
        <v>0</v>
      </c>
      <c r="CC242" s="8">
        <f>+MINVU_Mes_Corriente!CC242*SALUD_Mes_Constante!$CC$1</f>
        <v>0</v>
      </c>
      <c r="CD242" s="8">
        <f>+MINVU_Mes_Corriente!CD242*SALUD_Mes_Constante!$CC$1</f>
        <v>0</v>
      </c>
      <c r="CE242" s="8">
        <f>+MINVU_Mes_Corriente!CE242*SALUD_Mes_Constante!$CC$1</f>
        <v>0</v>
      </c>
      <c r="CF242" s="8">
        <f>+MINVU_Mes_Corriente!CF242*SALUD_Mes_Constante!$CC$1</f>
        <v>0</v>
      </c>
      <c r="CG242" s="8">
        <f>+MINVU_Mes_Corriente!CG242*SALUD_Mes_Constante!$CC$1</f>
        <v>0</v>
      </c>
      <c r="CH242" s="8">
        <f>+MINVU_Mes_Corriente!CH242*SALUD_Mes_Constante!$CC$1</f>
        <v>0</v>
      </c>
      <c r="CI242" s="8">
        <f>+MINVU_Mes_Corriente!CI242*SALUD_Mes_Constante!$CC$1</f>
        <v>0</v>
      </c>
      <c r="CJ242" s="8">
        <f>+MINVU_Mes_Corriente!CJ242*SALUD_Mes_Constante!$CC$1</f>
        <v>0</v>
      </c>
      <c r="CK242" s="8">
        <f>+MINVU_Mes_Corriente!CK242*SALUD_Mes_Constante!$CC$1</f>
        <v>0</v>
      </c>
      <c r="CL242" s="8">
        <f>+MINVU_Mes_Corriente!CL242*SALUD_Mes_Constante!$CC$1</f>
        <v>0</v>
      </c>
      <c r="CM242" s="8">
        <f>+MINVU_Mes_Corriente!CM242*SALUD_Mes_Constante!$CC$1</f>
        <v>0</v>
      </c>
      <c r="CN242" s="8">
        <f>+MINVU_Mes_Corriente!CN242*SALUD_Mes_Constante!$CC$1</f>
        <v>0</v>
      </c>
      <c r="CO242" s="9">
        <f t="shared" si="120"/>
        <v>0</v>
      </c>
      <c r="CP242" s="8">
        <f>+MINVU_Mes_Corriente!CP242*SALUD_Mes_Constante!$CP$1</f>
        <v>0</v>
      </c>
      <c r="CQ242" s="8">
        <f>+MINVU_Mes_Corriente!CQ242*SALUD_Mes_Constante!$CP$1</f>
        <v>0</v>
      </c>
      <c r="CR242" s="8">
        <f>+MINVU_Mes_Corriente!CR242*SALUD_Mes_Constante!$CP$1</f>
        <v>0</v>
      </c>
      <c r="CS242" s="8">
        <f>+MINVU_Mes_Corriente!CS242*SALUD_Mes_Constante!$CP$1</f>
        <v>0</v>
      </c>
      <c r="CT242" s="8">
        <f>+MINVU_Mes_Corriente!CT242*SALUD_Mes_Constante!$CP$1</f>
        <v>0</v>
      </c>
      <c r="CU242" s="8">
        <f>+MINVU_Mes_Corriente!CU242*SALUD_Mes_Constante!$CP$1</f>
        <v>0</v>
      </c>
      <c r="CV242" s="8">
        <f>+MINVU_Mes_Corriente!CV242*SALUD_Mes_Constante!$CP$1</f>
        <v>0</v>
      </c>
      <c r="CW242" s="8">
        <f>+MINVU_Mes_Corriente!CW242*SALUD_Mes_Constante!$CP$1</f>
        <v>0</v>
      </c>
      <c r="CX242" s="8">
        <f>+MINVU_Mes_Corriente!CX242*SALUD_Mes_Constante!$CP$1</f>
        <v>0</v>
      </c>
      <c r="CY242" s="8">
        <f>+MINVU_Mes_Corriente!CY242*SALUD_Mes_Constante!$CP$1</f>
        <v>0</v>
      </c>
      <c r="CZ242" s="8">
        <f>+MINVU_Mes_Corriente!CZ242*SALUD_Mes_Constante!$CP$1</f>
        <v>0</v>
      </c>
      <c r="DA242" s="8">
        <f>+MINVU_Mes_Corriente!DA242*SALUD_Mes_Constante!$CP$1</f>
        <v>0</v>
      </c>
      <c r="DB242" s="9">
        <f t="shared" si="121"/>
        <v>0</v>
      </c>
      <c r="DC242" s="8">
        <f>+MINVU_Mes_Corriente!DC242*SALUD_Mes_Constante!$DC$1</f>
        <v>0</v>
      </c>
      <c r="DD242" s="8">
        <f>+MINVU_Mes_Corriente!DD242*SALUD_Mes_Constante!$DC$1</f>
        <v>0</v>
      </c>
      <c r="DE242" s="8">
        <f>+MINVU_Mes_Corriente!DE242*SALUD_Mes_Constante!$DC$1</f>
        <v>0</v>
      </c>
      <c r="DF242" s="8">
        <f>+MINVU_Mes_Corriente!DF242*SALUD_Mes_Constante!$DC$1</f>
        <v>0</v>
      </c>
      <c r="DG242" s="8">
        <f>+MINVU_Mes_Corriente!DG242*SALUD_Mes_Constante!$DC$1</f>
        <v>0</v>
      </c>
      <c r="DH242" s="8">
        <f>+MINVU_Mes_Corriente!DH242*SALUD_Mes_Constante!$DC$1</f>
        <v>0</v>
      </c>
      <c r="DI242" s="8">
        <f>+MINVU_Mes_Corriente!DI242*SALUD_Mes_Constante!$DC$1</f>
        <v>0</v>
      </c>
      <c r="DJ242" s="8">
        <f>+MINVU_Mes_Corriente!DJ242*SALUD_Mes_Constante!$DC$1</f>
        <v>0</v>
      </c>
      <c r="DK242" s="8">
        <f>+MINVU_Mes_Corriente!DK242*SALUD_Mes_Constante!$DC$1</f>
        <v>0</v>
      </c>
      <c r="DL242" s="8">
        <f>+MINVU_Mes_Corriente!DL242*SALUD_Mes_Constante!$DC$1</f>
        <v>0</v>
      </c>
      <c r="DM242" s="8">
        <f>+MINVU_Mes_Corriente!DM242*SALUD_Mes_Constante!$DC$1</f>
        <v>0</v>
      </c>
      <c r="DN242" s="8">
        <f>+MINVU_Mes_Corriente!DN242*SALUD_Mes_Constante!$DC$1</f>
        <v>0</v>
      </c>
      <c r="DO242" s="9">
        <f t="shared" si="122"/>
        <v>0</v>
      </c>
      <c r="DP242" s="8">
        <f>+MINVU_Mes_Corriente!DP242*SALUD_Mes_Constante!$DP$1</f>
        <v>0</v>
      </c>
      <c r="DQ242" s="8">
        <f>+MINVU_Mes_Corriente!DQ242*SALUD_Mes_Constante!$DP$1</f>
        <v>0</v>
      </c>
      <c r="DR242" s="8">
        <f>+MINVU_Mes_Corriente!DR242*SALUD_Mes_Constante!$DP$1</f>
        <v>0</v>
      </c>
      <c r="DS242" s="8">
        <f>+MINVU_Mes_Corriente!DS242*SALUD_Mes_Constante!$DP$1</f>
        <v>0</v>
      </c>
      <c r="DT242" s="8">
        <f>+MINVU_Mes_Corriente!DT242*SALUD_Mes_Constante!$DP$1</f>
        <v>0</v>
      </c>
      <c r="DU242" s="8">
        <f>+MINVU_Mes_Corriente!DU242*SALUD_Mes_Constante!$DP$1</f>
        <v>0</v>
      </c>
      <c r="DV242" s="8">
        <f>+MINVU_Mes_Corriente!DV242*SALUD_Mes_Constante!$DP$1</f>
        <v>0</v>
      </c>
      <c r="DW242" s="8">
        <f>+MINVU_Mes_Corriente!DW242*SALUD_Mes_Constante!$DP$1</f>
        <v>0</v>
      </c>
      <c r="DX242" s="8">
        <f>+MINVU_Mes_Corriente!DX242*SALUD_Mes_Constante!$DP$1</f>
        <v>0</v>
      </c>
      <c r="DY242" s="8">
        <f>+MINVU_Mes_Corriente!DY242*SALUD_Mes_Constante!$DP$1</f>
        <v>0</v>
      </c>
      <c r="DZ242" s="8">
        <f>+MINVU_Mes_Corriente!DZ242*SALUD_Mes_Constante!$DP$1</f>
        <v>0</v>
      </c>
      <c r="EA242" s="8">
        <f>+MINVU_Mes_Corriente!EA242*SALUD_Mes_Constante!$DP$1</f>
        <v>0</v>
      </c>
      <c r="EB242" s="9">
        <f t="shared" si="123"/>
        <v>0</v>
      </c>
      <c r="EC242" s="8">
        <f>+MINVU_Mes_Corriente!EC242*SALUD_Mes_Constante!$EC$1</f>
        <v>0</v>
      </c>
      <c r="ED242" s="8">
        <f>+MINVU_Mes_Corriente!ED242*SALUD_Mes_Constante!$EC$1</f>
        <v>0</v>
      </c>
      <c r="EE242" s="8">
        <f>+MINVU_Mes_Corriente!EE242*SALUD_Mes_Constante!$EC$1</f>
        <v>0</v>
      </c>
      <c r="EF242" s="8">
        <f>+MINVU_Mes_Corriente!EF242*SALUD_Mes_Constante!$EC$1</f>
        <v>0</v>
      </c>
      <c r="EG242" s="8">
        <f>+MINVU_Mes_Corriente!EG242*SALUD_Mes_Constante!$EC$1</f>
        <v>0</v>
      </c>
      <c r="EH242" s="8">
        <f>+MINVU_Mes_Corriente!EH242*SALUD_Mes_Constante!$EC$1</f>
        <v>0</v>
      </c>
      <c r="EI242" s="8">
        <f>+MINVU_Mes_Corriente!EI242*SALUD_Mes_Constante!$EC$1</f>
        <v>0</v>
      </c>
      <c r="EJ242" s="8">
        <f>+MINVU_Mes_Corriente!EJ242*SALUD_Mes_Constante!$EC$1</f>
        <v>0</v>
      </c>
      <c r="EK242" s="8">
        <f>+MINVU_Mes_Corriente!EK242*SALUD_Mes_Constante!$EC$1</f>
        <v>0</v>
      </c>
      <c r="EL242" s="8">
        <f>+MINVU_Mes_Corriente!EL242*SALUD_Mes_Constante!$EC$1</f>
        <v>0</v>
      </c>
      <c r="EM242" s="8">
        <f>+MINVU_Mes_Corriente!EM242*SALUD_Mes_Constante!$EC$1</f>
        <v>0</v>
      </c>
      <c r="EN242" s="8">
        <f>+MINVU_Mes_Corriente!EN242*SALUD_Mes_Constante!$EC$1</f>
        <v>0</v>
      </c>
      <c r="EO242" s="9">
        <f t="shared" si="124"/>
        <v>0</v>
      </c>
      <c r="EP242" s="8">
        <f>+MINVU_Mes_Corriente!EP242*SALUD_Mes_Constante!$EP$1</f>
        <v>0</v>
      </c>
      <c r="EQ242" s="8">
        <f>+MINVU_Mes_Corriente!EQ242*SALUD_Mes_Constante!$EP$1</f>
        <v>0</v>
      </c>
      <c r="ER242" s="8">
        <f>+MINVU_Mes_Corriente!ER242*SALUD_Mes_Constante!$EP$1</f>
        <v>0</v>
      </c>
      <c r="ES242" s="8">
        <f>+MINVU_Mes_Corriente!ES242*SALUD_Mes_Constante!$EP$1</f>
        <v>0</v>
      </c>
      <c r="ET242" s="8">
        <f>+MINVU_Mes_Corriente!ET242*SALUD_Mes_Constante!$EP$1</f>
        <v>0</v>
      </c>
      <c r="EU242" s="8">
        <f>+MINVU_Mes_Corriente!EU242*SALUD_Mes_Constante!$EP$1</f>
        <v>0</v>
      </c>
      <c r="EV242" s="8">
        <f>+MINVU_Mes_Corriente!EV242*SALUD_Mes_Constante!$EP$1</f>
        <v>0</v>
      </c>
      <c r="EW242" s="8">
        <f>+MINVU_Mes_Corriente!EW242*SALUD_Mes_Constante!$EP$1</f>
        <v>0</v>
      </c>
      <c r="EX242" s="8">
        <f>+MINVU_Mes_Corriente!EX242*SALUD_Mes_Constante!$EP$1</f>
        <v>0</v>
      </c>
      <c r="EY242" s="8">
        <f>+MINVU_Mes_Corriente!EY242*SALUD_Mes_Constante!$EP$1</f>
        <v>0</v>
      </c>
      <c r="EZ242" s="8">
        <f>+MINVU_Mes_Corriente!EZ242*SALUD_Mes_Constante!$EP$1</f>
        <v>0</v>
      </c>
      <c r="FA242" s="8">
        <f>+MINVU_Mes_Corriente!FA242*SALUD_Mes_Constante!$EP$1</f>
        <v>0</v>
      </c>
      <c r="FB242" s="9">
        <f t="shared" si="125"/>
        <v>0</v>
      </c>
      <c r="FC242" s="8">
        <f>+MINVU_Mes_Corriente!FC242*SALUD_Mes_Constante!$FC$1</f>
        <v>0</v>
      </c>
      <c r="FD242" s="8">
        <f>+MINVU_Mes_Corriente!FD242*SALUD_Mes_Constante!$FC$1</f>
        <v>0</v>
      </c>
      <c r="FE242" s="8">
        <f>+MINVU_Mes_Corriente!FE242*SALUD_Mes_Constante!$FC$1</f>
        <v>0</v>
      </c>
      <c r="FF242" s="8">
        <f>+MINVU_Mes_Corriente!FF242*SALUD_Mes_Constante!$FC$1</f>
        <v>0</v>
      </c>
      <c r="FG242" s="8">
        <f>+MINVU_Mes_Corriente!FG242*SALUD_Mes_Constante!$FC$1</f>
        <v>0</v>
      </c>
      <c r="FH242" s="8">
        <f>+MINVU_Mes_Corriente!FH242*SALUD_Mes_Constante!$FC$1</f>
        <v>0</v>
      </c>
      <c r="FI242" s="8">
        <f>+MINVU_Mes_Corriente!FI242*SALUD_Mes_Constante!$FC$1</f>
        <v>0</v>
      </c>
      <c r="FJ242" s="8"/>
      <c r="FK242" s="8"/>
      <c r="FL242" s="8"/>
      <c r="FM242" s="8"/>
      <c r="FN242" s="8"/>
      <c r="FO242" s="9">
        <f t="shared" si="126"/>
        <v>0</v>
      </c>
    </row>
    <row r="243" spans="2:171" ht="14.25" customHeight="1" x14ac:dyDescent="0.3">
      <c r="B243" s="7" t="s">
        <v>56</v>
      </c>
      <c r="C243" s="8">
        <f>+MINVU_Mes_Corriente!C243*SALUD_Mes_Constante!$C$1</f>
        <v>0</v>
      </c>
      <c r="D243" s="8">
        <f>+MINVU_Mes_Corriente!D243*SALUD_Mes_Constante!$C$1</f>
        <v>0</v>
      </c>
      <c r="E243" s="8">
        <f>+MINVU_Mes_Corriente!E243*SALUD_Mes_Constante!$C$1</f>
        <v>0</v>
      </c>
      <c r="F243" s="8">
        <f>+MINVU_Mes_Corriente!F243*SALUD_Mes_Constante!$C$1</f>
        <v>0</v>
      </c>
      <c r="G243" s="8">
        <f>+MINVU_Mes_Corriente!G243*SALUD_Mes_Constante!$C$1</f>
        <v>0</v>
      </c>
      <c r="H243" s="8">
        <f>+MINVU_Mes_Corriente!H243*SALUD_Mes_Constante!$C$1</f>
        <v>0</v>
      </c>
      <c r="I243" s="8">
        <f>+MINVU_Mes_Corriente!I243*SALUD_Mes_Constante!$C$1</f>
        <v>0</v>
      </c>
      <c r="J243" s="8">
        <f>+MINVU_Mes_Corriente!J243*SALUD_Mes_Constante!$C$1</f>
        <v>0</v>
      </c>
      <c r="K243" s="8">
        <f>+MINVU_Mes_Corriente!K243*SALUD_Mes_Constante!$C$1</f>
        <v>0</v>
      </c>
      <c r="L243" s="8">
        <f>+MINVU_Mes_Corriente!L243*SALUD_Mes_Constante!$C$1</f>
        <v>0</v>
      </c>
      <c r="M243" s="8">
        <f>+MINVU_Mes_Corriente!M243*SALUD_Mes_Constante!$C$1</f>
        <v>0</v>
      </c>
      <c r="N243" s="8">
        <f>+MINVU_Mes_Corriente!N243*SALUD_Mes_Constante!$C$1</f>
        <v>0</v>
      </c>
      <c r="O243" s="9">
        <f t="shared" si="114"/>
        <v>0</v>
      </c>
      <c r="P243" s="8">
        <f>+MINVU_Mes_Corriente!P243*SALUD_Mes_Constante!$P$1</f>
        <v>0</v>
      </c>
      <c r="Q243" s="8">
        <f>+MINVU_Mes_Corriente!Q243*SALUD_Mes_Constante!$P$1</f>
        <v>0</v>
      </c>
      <c r="R243" s="8">
        <f>+MINVU_Mes_Corriente!R243*SALUD_Mes_Constante!$P$1</f>
        <v>0</v>
      </c>
      <c r="S243" s="8">
        <f>+MINVU_Mes_Corriente!S243*SALUD_Mes_Constante!$P$1</f>
        <v>0</v>
      </c>
      <c r="T243" s="8">
        <f>+MINVU_Mes_Corriente!T243*SALUD_Mes_Constante!$P$1</f>
        <v>0</v>
      </c>
      <c r="U243" s="8">
        <f>+MINVU_Mes_Corriente!U243*SALUD_Mes_Constante!$P$1</f>
        <v>0</v>
      </c>
      <c r="V243" s="8">
        <f>+MINVU_Mes_Corriente!V243*SALUD_Mes_Constante!$P$1</f>
        <v>0</v>
      </c>
      <c r="W243" s="8">
        <f>+MINVU_Mes_Corriente!W243*SALUD_Mes_Constante!$P$1</f>
        <v>0</v>
      </c>
      <c r="X243" s="8">
        <f>+MINVU_Mes_Corriente!X243*SALUD_Mes_Constante!$P$1</f>
        <v>0</v>
      </c>
      <c r="Y243" s="8">
        <f>+MINVU_Mes_Corriente!Y243*SALUD_Mes_Constante!$P$1</f>
        <v>0</v>
      </c>
      <c r="Z243" s="8">
        <f>+MINVU_Mes_Corriente!Z243*SALUD_Mes_Constante!$P$1</f>
        <v>0</v>
      </c>
      <c r="AA243" s="8">
        <f>+MINVU_Mes_Corriente!AA243*SALUD_Mes_Constante!$P$1</f>
        <v>0</v>
      </c>
      <c r="AB243" s="9">
        <f t="shared" si="115"/>
        <v>0</v>
      </c>
      <c r="AC243" s="8">
        <f>+MINVU_Mes_Corriente!AC243*SALUD_Mes_Constante!$AC$1</f>
        <v>0</v>
      </c>
      <c r="AD243" s="8">
        <f>+MINVU_Mes_Corriente!AD243*SALUD_Mes_Constante!$AC$1</f>
        <v>0</v>
      </c>
      <c r="AE243" s="8">
        <f>+MINVU_Mes_Corriente!AE243*SALUD_Mes_Constante!$AC$1</f>
        <v>0</v>
      </c>
      <c r="AF243" s="8">
        <f>+MINVU_Mes_Corriente!AF243*SALUD_Mes_Constante!$AC$1</f>
        <v>0</v>
      </c>
      <c r="AG243" s="8">
        <f>+MINVU_Mes_Corriente!AG243*SALUD_Mes_Constante!$AC$1</f>
        <v>0</v>
      </c>
      <c r="AH243" s="8">
        <f>+MINVU_Mes_Corriente!AH243*SALUD_Mes_Constante!$AC$1</f>
        <v>0</v>
      </c>
      <c r="AI243" s="8">
        <f>+MINVU_Mes_Corriente!AI243*SALUD_Mes_Constante!$AC$1</f>
        <v>0</v>
      </c>
      <c r="AJ243" s="8">
        <f>+MINVU_Mes_Corriente!AJ243*SALUD_Mes_Constante!$AC$1</f>
        <v>0</v>
      </c>
      <c r="AK243" s="8">
        <f>+MINVU_Mes_Corriente!AK243*SALUD_Mes_Constante!$AC$1</f>
        <v>0</v>
      </c>
      <c r="AL243" s="8">
        <f>+MINVU_Mes_Corriente!AL243*SALUD_Mes_Constante!$AC$1</f>
        <v>0</v>
      </c>
      <c r="AM243" s="8">
        <f>+MINVU_Mes_Corriente!AM243*SALUD_Mes_Constante!$AC$1</f>
        <v>0</v>
      </c>
      <c r="AN243" s="8">
        <f>+MINVU_Mes_Corriente!AN243*SALUD_Mes_Constante!$AC$1</f>
        <v>0</v>
      </c>
      <c r="AO243" s="9">
        <f t="shared" si="116"/>
        <v>0</v>
      </c>
      <c r="AP243" s="8">
        <f>+MINVU_Mes_Corriente!AP243*SALUD_Mes_Constante!$AP$1</f>
        <v>0</v>
      </c>
      <c r="AQ243" s="8">
        <f>+MINVU_Mes_Corriente!AQ243*SALUD_Mes_Constante!$AP$1</f>
        <v>0</v>
      </c>
      <c r="AR243" s="8">
        <f>+MINVU_Mes_Corriente!AR243*SALUD_Mes_Constante!$AP$1</f>
        <v>0</v>
      </c>
      <c r="AS243" s="8">
        <f>+MINVU_Mes_Corriente!AS243*SALUD_Mes_Constante!$AP$1</f>
        <v>0</v>
      </c>
      <c r="AT243" s="8">
        <f>+MINVU_Mes_Corriente!AT243*SALUD_Mes_Constante!$AP$1</f>
        <v>0</v>
      </c>
      <c r="AU243" s="8">
        <f>+MINVU_Mes_Corriente!AU243*SALUD_Mes_Constante!$AP$1</f>
        <v>0</v>
      </c>
      <c r="AV243" s="8">
        <f>+MINVU_Mes_Corriente!AV243*SALUD_Mes_Constante!$AP$1</f>
        <v>0</v>
      </c>
      <c r="AW243" s="8">
        <f>+MINVU_Mes_Corriente!AW243*SALUD_Mes_Constante!$AP$1</f>
        <v>0</v>
      </c>
      <c r="AX243" s="8">
        <f>+MINVU_Mes_Corriente!AX243*SALUD_Mes_Constante!$AP$1</f>
        <v>0</v>
      </c>
      <c r="AY243" s="8">
        <f>+MINVU_Mes_Corriente!AY243*SALUD_Mes_Constante!$AP$1</f>
        <v>0</v>
      </c>
      <c r="AZ243" s="8">
        <f>+MINVU_Mes_Corriente!AZ243*SALUD_Mes_Constante!$AP$1</f>
        <v>0</v>
      </c>
      <c r="BA243" s="8">
        <f>+MINVU_Mes_Corriente!BA243*SALUD_Mes_Constante!$AP$1</f>
        <v>0</v>
      </c>
      <c r="BB243" s="9">
        <f t="shared" si="117"/>
        <v>0</v>
      </c>
      <c r="BC243" s="8">
        <f>+MINVU_Mes_Corriente!BC243*SALUD_Mes_Constante!$BC$1</f>
        <v>0</v>
      </c>
      <c r="BD243" s="8">
        <f>+MINVU_Mes_Corriente!BD243*SALUD_Mes_Constante!$BC$1</f>
        <v>0</v>
      </c>
      <c r="BE243" s="8">
        <f>+MINVU_Mes_Corriente!BE243*SALUD_Mes_Constante!$BC$1</f>
        <v>0</v>
      </c>
      <c r="BF243" s="8">
        <f>+MINVU_Mes_Corriente!BF243*SALUD_Mes_Constante!$BC$1</f>
        <v>0</v>
      </c>
      <c r="BG243" s="8">
        <f>+MINVU_Mes_Corriente!BG243*SALUD_Mes_Constante!$BC$1</f>
        <v>0</v>
      </c>
      <c r="BH243" s="8">
        <f>+MINVU_Mes_Corriente!BH243*SALUD_Mes_Constante!$BC$1</f>
        <v>0</v>
      </c>
      <c r="BI243" s="8">
        <f>+MINVU_Mes_Corriente!BI243*SALUD_Mes_Constante!$BC$1</f>
        <v>0</v>
      </c>
      <c r="BJ243" s="8">
        <f>+MINVU_Mes_Corriente!BJ243*SALUD_Mes_Constante!$BC$1</f>
        <v>0</v>
      </c>
      <c r="BK243" s="8">
        <f>+MINVU_Mes_Corriente!BK243*SALUD_Mes_Constante!$BC$1</f>
        <v>0</v>
      </c>
      <c r="BL243" s="8">
        <f>+MINVU_Mes_Corriente!BL243*SALUD_Mes_Constante!$BC$1</f>
        <v>0</v>
      </c>
      <c r="BM243" s="8">
        <f>+MINVU_Mes_Corriente!BM243*SALUD_Mes_Constante!$BC$1</f>
        <v>0</v>
      </c>
      <c r="BN243" s="8">
        <f>+MINVU_Mes_Corriente!BN243*SALUD_Mes_Constante!$BC$1</f>
        <v>0</v>
      </c>
      <c r="BO243" s="9">
        <f t="shared" si="118"/>
        <v>0</v>
      </c>
      <c r="BP243" s="8">
        <f>+MINVU_Mes_Corriente!BP243*SALUD_Mes_Constante!$BP$1</f>
        <v>0</v>
      </c>
      <c r="BQ243" s="8">
        <f>+MINVU_Mes_Corriente!BQ243*SALUD_Mes_Constante!$BP$1</f>
        <v>0</v>
      </c>
      <c r="BR243" s="8">
        <f>+MINVU_Mes_Corriente!BR243*SALUD_Mes_Constante!$BP$1</f>
        <v>0</v>
      </c>
      <c r="BS243" s="8">
        <f>+MINVU_Mes_Corriente!BS243*SALUD_Mes_Constante!$BP$1</f>
        <v>0</v>
      </c>
      <c r="BT243" s="8">
        <f>+MINVU_Mes_Corriente!BT243*SALUD_Mes_Constante!$BP$1</f>
        <v>0</v>
      </c>
      <c r="BU243" s="8">
        <f>+MINVU_Mes_Corriente!BU243*SALUD_Mes_Constante!$BP$1</f>
        <v>0</v>
      </c>
      <c r="BV243" s="8">
        <f>+MINVU_Mes_Corriente!BV243*SALUD_Mes_Constante!$BP$1</f>
        <v>0</v>
      </c>
      <c r="BW243" s="8">
        <f>+MINVU_Mes_Corriente!BW243*SALUD_Mes_Constante!$BP$1</f>
        <v>0</v>
      </c>
      <c r="BX243" s="8">
        <f>+MINVU_Mes_Corriente!BX243*SALUD_Mes_Constante!$BP$1</f>
        <v>0</v>
      </c>
      <c r="BY243" s="8">
        <f>+MINVU_Mes_Corriente!BY243*SALUD_Mes_Constante!$BP$1</f>
        <v>0</v>
      </c>
      <c r="BZ243" s="8">
        <f>+MINVU_Mes_Corriente!BZ243*SALUD_Mes_Constante!$BP$1</f>
        <v>0</v>
      </c>
      <c r="CA243" s="8">
        <f>+MINVU_Mes_Corriente!CA243*SALUD_Mes_Constante!$BP$1</f>
        <v>0</v>
      </c>
      <c r="CB243" s="9">
        <f t="shared" si="119"/>
        <v>0</v>
      </c>
      <c r="CC243" s="8">
        <f>+MINVU_Mes_Corriente!CC243*SALUD_Mes_Constante!$CC$1</f>
        <v>0</v>
      </c>
      <c r="CD243" s="8">
        <f>+MINVU_Mes_Corriente!CD243*SALUD_Mes_Constante!$CC$1</f>
        <v>0</v>
      </c>
      <c r="CE243" s="8">
        <f>+MINVU_Mes_Corriente!CE243*SALUD_Mes_Constante!$CC$1</f>
        <v>0</v>
      </c>
      <c r="CF243" s="8">
        <f>+MINVU_Mes_Corriente!CF243*SALUD_Mes_Constante!$CC$1</f>
        <v>0</v>
      </c>
      <c r="CG243" s="8">
        <f>+MINVU_Mes_Corriente!CG243*SALUD_Mes_Constante!$CC$1</f>
        <v>0</v>
      </c>
      <c r="CH243" s="8">
        <f>+MINVU_Mes_Corriente!CH243*SALUD_Mes_Constante!$CC$1</f>
        <v>0</v>
      </c>
      <c r="CI243" s="8">
        <f>+MINVU_Mes_Corriente!CI243*SALUD_Mes_Constante!$CC$1</f>
        <v>0</v>
      </c>
      <c r="CJ243" s="8">
        <f>+MINVU_Mes_Corriente!CJ243*SALUD_Mes_Constante!$CC$1</f>
        <v>0</v>
      </c>
      <c r="CK243" s="8">
        <f>+MINVU_Mes_Corriente!CK243*SALUD_Mes_Constante!$CC$1</f>
        <v>0</v>
      </c>
      <c r="CL243" s="8">
        <f>+MINVU_Mes_Corriente!CL243*SALUD_Mes_Constante!$CC$1</f>
        <v>0</v>
      </c>
      <c r="CM243" s="8">
        <f>+MINVU_Mes_Corriente!CM243*SALUD_Mes_Constante!$CC$1</f>
        <v>0</v>
      </c>
      <c r="CN243" s="8">
        <f>+MINVU_Mes_Corriente!CN243*SALUD_Mes_Constante!$CC$1</f>
        <v>0</v>
      </c>
      <c r="CO243" s="9">
        <f t="shared" si="120"/>
        <v>0</v>
      </c>
      <c r="CP243" s="8">
        <f>+MINVU_Mes_Corriente!CP243*SALUD_Mes_Constante!$CP$1</f>
        <v>0</v>
      </c>
      <c r="CQ243" s="8">
        <f>+MINVU_Mes_Corriente!CQ243*SALUD_Mes_Constante!$CP$1</f>
        <v>0</v>
      </c>
      <c r="CR243" s="8">
        <f>+MINVU_Mes_Corriente!CR243*SALUD_Mes_Constante!$CP$1</f>
        <v>0</v>
      </c>
      <c r="CS243" s="8">
        <f>+MINVU_Mes_Corriente!CS243*SALUD_Mes_Constante!$CP$1</f>
        <v>0</v>
      </c>
      <c r="CT243" s="8">
        <f>+MINVU_Mes_Corriente!CT243*SALUD_Mes_Constante!$CP$1</f>
        <v>0</v>
      </c>
      <c r="CU243" s="8">
        <f>+MINVU_Mes_Corriente!CU243*SALUD_Mes_Constante!$CP$1</f>
        <v>0</v>
      </c>
      <c r="CV243" s="8">
        <f>+MINVU_Mes_Corriente!CV243*SALUD_Mes_Constante!$CP$1</f>
        <v>0</v>
      </c>
      <c r="CW243" s="8">
        <f>+MINVU_Mes_Corriente!CW243*SALUD_Mes_Constante!$CP$1</f>
        <v>0</v>
      </c>
      <c r="CX243" s="8">
        <f>+MINVU_Mes_Corriente!CX243*SALUD_Mes_Constante!$CP$1</f>
        <v>0</v>
      </c>
      <c r="CY243" s="8">
        <f>+MINVU_Mes_Corriente!CY243*SALUD_Mes_Constante!$CP$1</f>
        <v>0</v>
      </c>
      <c r="CZ243" s="8">
        <f>+MINVU_Mes_Corriente!CZ243*SALUD_Mes_Constante!$CP$1</f>
        <v>0</v>
      </c>
      <c r="DA243" s="8">
        <f>+MINVU_Mes_Corriente!DA243*SALUD_Mes_Constante!$CP$1</f>
        <v>0</v>
      </c>
      <c r="DB243" s="9">
        <f t="shared" si="121"/>
        <v>0</v>
      </c>
      <c r="DC243" s="8">
        <f>+MINVU_Mes_Corriente!DC243*SALUD_Mes_Constante!$DC$1</f>
        <v>0</v>
      </c>
      <c r="DD243" s="8">
        <f>+MINVU_Mes_Corriente!DD243*SALUD_Mes_Constante!$DC$1</f>
        <v>0</v>
      </c>
      <c r="DE243" s="8">
        <f>+MINVU_Mes_Corriente!DE243*SALUD_Mes_Constante!$DC$1</f>
        <v>0</v>
      </c>
      <c r="DF243" s="8">
        <f>+MINVU_Mes_Corriente!DF243*SALUD_Mes_Constante!$DC$1</f>
        <v>0</v>
      </c>
      <c r="DG243" s="8">
        <f>+MINVU_Mes_Corriente!DG243*SALUD_Mes_Constante!$DC$1</f>
        <v>0</v>
      </c>
      <c r="DH243" s="8">
        <f>+MINVU_Mes_Corriente!DH243*SALUD_Mes_Constante!$DC$1</f>
        <v>0</v>
      </c>
      <c r="DI243" s="8">
        <f>+MINVU_Mes_Corriente!DI243*SALUD_Mes_Constante!$DC$1</f>
        <v>0</v>
      </c>
      <c r="DJ243" s="8">
        <f>+MINVU_Mes_Corriente!DJ243*SALUD_Mes_Constante!$DC$1</f>
        <v>0</v>
      </c>
      <c r="DK243" s="8">
        <f>+MINVU_Mes_Corriente!DK243*SALUD_Mes_Constante!$DC$1</f>
        <v>0</v>
      </c>
      <c r="DL243" s="8">
        <f>+MINVU_Mes_Corriente!DL243*SALUD_Mes_Constante!$DC$1</f>
        <v>0</v>
      </c>
      <c r="DM243" s="8">
        <f>+MINVU_Mes_Corriente!DM243*SALUD_Mes_Constante!$DC$1</f>
        <v>0</v>
      </c>
      <c r="DN243" s="8">
        <f>+MINVU_Mes_Corriente!DN243*SALUD_Mes_Constante!$DC$1</f>
        <v>0</v>
      </c>
      <c r="DO243" s="9">
        <f t="shared" si="122"/>
        <v>0</v>
      </c>
      <c r="DP243" s="8">
        <f>+MINVU_Mes_Corriente!DP243*SALUD_Mes_Constante!$DP$1</f>
        <v>0</v>
      </c>
      <c r="DQ243" s="8">
        <f>+MINVU_Mes_Corriente!DQ243*SALUD_Mes_Constante!$DP$1</f>
        <v>0</v>
      </c>
      <c r="DR243" s="8">
        <f>+MINVU_Mes_Corriente!DR243*SALUD_Mes_Constante!$DP$1</f>
        <v>0</v>
      </c>
      <c r="DS243" s="8">
        <f>+MINVU_Mes_Corriente!DS243*SALUD_Mes_Constante!$DP$1</f>
        <v>0</v>
      </c>
      <c r="DT243" s="8">
        <f>+MINVU_Mes_Corriente!DT243*SALUD_Mes_Constante!$DP$1</f>
        <v>0</v>
      </c>
      <c r="DU243" s="8">
        <f>+MINVU_Mes_Corriente!DU243*SALUD_Mes_Constante!$DP$1</f>
        <v>0</v>
      </c>
      <c r="DV243" s="8">
        <f>+MINVU_Mes_Corriente!DV243*SALUD_Mes_Constante!$DP$1</f>
        <v>0</v>
      </c>
      <c r="DW243" s="8">
        <f>+MINVU_Mes_Corriente!DW243*SALUD_Mes_Constante!$DP$1</f>
        <v>0</v>
      </c>
      <c r="DX243" s="8">
        <f>+MINVU_Mes_Corriente!DX243*SALUD_Mes_Constante!$DP$1</f>
        <v>0</v>
      </c>
      <c r="DY243" s="8">
        <f>+MINVU_Mes_Corriente!DY243*SALUD_Mes_Constante!$DP$1</f>
        <v>0</v>
      </c>
      <c r="DZ243" s="8">
        <f>+MINVU_Mes_Corriente!DZ243*SALUD_Mes_Constante!$DP$1</f>
        <v>0</v>
      </c>
      <c r="EA243" s="8">
        <f>+MINVU_Mes_Corriente!EA243*SALUD_Mes_Constante!$DP$1</f>
        <v>0</v>
      </c>
      <c r="EB243" s="9">
        <f t="shared" si="123"/>
        <v>0</v>
      </c>
      <c r="EC243" s="8">
        <f>+MINVU_Mes_Corriente!EC243*SALUD_Mes_Constante!$EC$1</f>
        <v>0</v>
      </c>
      <c r="ED243" s="8">
        <f>+MINVU_Mes_Corriente!ED243*SALUD_Mes_Constante!$EC$1</f>
        <v>0</v>
      </c>
      <c r="EE243" s="8">
        <f>+MINVU_Mes_Corriente!EE243*SALUD_Mes_Constante!$EC$1</f>
        <v>0</v>
      </c>
      <c r="EF243" s="8">
        <f>+MINVU_Mes_Corriente!EF243*SALUD_Mes_Constante!$EC$1</f>
        <v>0</v>
      </c>
      <c r="EG243" s="8">
        <f>+MINVU_Mes_Corriente!EG243*SALUD_Mes_Constante!$EC$1</f>
        <v>0</v>
      </c>
      <c r="EH243" s="8">
        <f>+MINVU_Mes_Corriente!EH243*SALUD_Mes_Constante!$EC$1</f>
        <v>0</v>
      </c>
      <c r="EI243" s="8">
        <f>+MINVU_Mes_Corriente!EI243*SALUD_Mes_Constante!$EC$1</f>
        <v>0</v>
      </c>
      <c r="EJ243" s="8">
        <f>+MINVU_Mes_Corriente!EJ243*SALUD_Mes_Constante!$EC$1</f>
        <v>0</v>
      </c>
      <c r="EK243" s="8">
        <f>+MINVU_Mes_Corriente!EK243*SALUD_Mes_Constante!$EC$1</f>
        <v>0</v>
      </c>
      <c r="EL243" s="8">
        <f>+MINVU_Mes_Corriente!EL243*SALUD_Mes_Constante!$EC$1</f>
        <v>0</v>
      </c>
      <c r="EM243" s="8">
        <f>+MINVU_Mes_Corriente!EM243*SALUD_Mes_Constante!$EC$1</f>
        <v>0</v>
      </c>
      <c r="EN243" s="8">
        <f>+MINVU_Mes_Corriente!EN243*SALUD_Mes_Constante!$EC$1</f>
        <v>0</v>
      </c>
      <c r="EO243" s="9">
        <f t="shared" si="124"/>
        <v>0</v>
      </c>
      <c r="EP243" s="8">
        <f>+MINVU_Mes_Corriente!EP243*SALUD_Mes_Constante!$EP$1</f>
        <v>0</v>
      </c>
      <c r="EQ243" s="8">
        <f>+MINVU_Mes_Corriente!EQ243*SALUD_Mes_Constante!$EP$1</f>
        <v>0</v>
      </c>
      <c r="ER243" s="8">
        <f>+MINVU_Mes_Corriente!ER243*SALUD_Mes_Constante!$EP$1</f>
        <v>0</v>
      </c>
      <c r="ES243" s="8">
        <f>+MINVU_Mes_Corriente!ES243*SALUD_Mes_Constante!$EP$1</f>
        <v>0</v>
      </c>
      <c r="ET243" s="8">
        <f>+MINVU_Mes_Corriente!ET243*SALUD_Mes_Constante!$EP$1</f>
        <v>0</v>
      </c>
      <c r="EU243" s="8">
        <f>+MINVU_Mes_Corriente!EU243*SALUD_Mes_Constante!$EP$1</f>
        <v>0</v>
      </c>
      <c r="EV243" s="8">
        <f>+MINVU_Mes_Corriente!EV243*SALUD_Mes_Constante!$EP$1</f>
        <v>0</v>
      </c>
      <c r="EW243" s="8">
        <f>+MINVU_Mes_Corriente!EW243*SALUD_Mes_Constante!$EP$1</f>
        <v>0</v>
      </c>
      <c r="EX243" s="8">
        <f>+MINVU_Mes_Corriente!EX243*SALUD_Mes_Constante!$EP$1</f>
        <v>0</v>
      </c>
      <c r="EY243" s="8">
        <f>+MINVU_Mes_Corriente!EY243*SALUD_Mes_Constante!$EP$1</f>
        <v>0</v>
      </c>
      <c r="EZ243" s="8">
        <f>+MINVU_Mes_Corriente!EZ243*SALUD_Mes_Constante!$EP$1</f>
        <v>0</v>
      </c>
      <c r="FA243" s="8">
        <f>+MINVU_Mes_Corriente!FA243*SALUD_Mes_Constante!$EP$1</f>
        <v>0</v>
      </c>
      <c r="FB243" s="9">
        <f t="shared" si="125"/>
        <v>0</v>
      </c>
      <c r="FC243" s="8">
        <f>+MINVU_Mes_Corriente!FC243*SALUD_Mes_Constante!$FC$1</f>
        <v>0</v>
      </c>
      <c r="FD243" s="8">
        <f>+MINVU_Mes_Corriente!FD243*SALUD_Mes_Constante!$FC$1</f>
        <v>0</v>
      </c>
      <c r="FE243" s="8">
        <f>+MINVU_Mes_Corriente!FE243*SALUD_Mes_Constante!$FC$1</f>
        <v>0</v>
      </c>
      <c r="FF243" s="8">
        <f>+MINVU_Mes_Corriente!FF243*SALUD_Mes_Constante!$FC$1</f>
        <v>0</v>
      </c>
      <c r="FG243" s="8">
        <f>+MINVU_Mes_Corriente!FG243*SALUD_Mes_Constante!$FC$1</f>
        <v>0</v>
      </c>
      <c r="FH243" s="8">
        <f>+MINVU_Mes_Corriente!FH243*SALUD_Mes_Constante!$FC$1</f>
        <v>0</v>
      </c>
      <c r="FI243" s="8">
        <f>+MINVU_Mes_Corriente!FI243*SALUD_Mes_Constante!$FC$1</f>
        <v>0</v>
      </c>
      <c r="FJ243" s="8"/>
      <c r="FK243" s="8"/>
      <c r="FL243" s="8"/>
      <c r="FM243" s="8"/>
      <c r="FN243" s="8"/>
      <c r="FO243" s="9">
        <f t="shared" si="126"/>
        <v>0</v>
      </c>
    </row>
    <row r="244" spans="2:171" ht="14.25" customHeight="1" x14ac:dyDescent="0.3">
      <c r="B244" s="7" t="s">
        <v>57</v>
      </c>
      <c r="C244" s="8">
        <f>+MINVU_Mes_Corriente!C244*SALUD_Mes_Constante!$C$1</f>
        <v>0</v>
      </c>
      <c r="D244" s="8">
        <f>+MINVU_Mes_Corriente!D244*SALUD_Mes_Constante!$C$1</f>
        <v>0</v>
      </c>
      <c r="E244" s="8">
        <f>+MINVU_Mes_Corriente!E244*SALUD_Mes_Constante!$C$1</f>
        <v>0</v>
      </c>
      <c r="F244" s="8">
        <f>+MINVU_Mes_Corriente!F244*SALUD_Mes_Constante!$C$1</f>
        <v>0</v>
      </c>
      <c r="G244" s="8">
        <f>+MINVU_Mes_Corriente!G244*SALUD_Mes_Constante!$C$1</f>
        <v>0</v>
      </c>
      <c r="H244" s="8">
        <f>+MINVU_Mes_Corriente!H244*SALUD_Mes_Constante!$C$1</f>
        <v>0</v>
      </c>
      <c r="I244" s="8">
        <f>+MINVU_Mes_Corriente!I244*SALUD_Mes_Constante!$C$1</f>
        <v>0</v>
      </c>
      <c r="J244" s="8">
        <f>+MINVU_Mes_Corriente!J244*SALUD_Mes_Constante!$C$1</f>
        <v>0</v>
      </c>
      <c r="K244" s="8">
        <f>+MINVU_Mes_Corriente!K244*SALUD_Mes_Constante!$C$1</f>
        <v>0</v>
      </c>
      <c r="L244" s="8">
        <f>+MINVU_Mes_Corriente!L244*SALUD_Mes_Constante!$C$1</f>
        <v>0</v>
      </c>
      <c r="M244" s="8">
        <f>+MINVU_Mes_Corriente!M244*SALUD_Mes_Constante!$C$1</f>
        <v>0</v>
      </c>
      <c r="N244" s="8">
        <f>+MINVU_Mes_Corriente!N244*SALUD_Mes_Constante!$C$1</f>
        <v>0</v>
      </c>
      <c r="O244" s="9">
        <f t="shared" si="114"/>
        <v>0</v>
      </c>
      <c r="P244" s="8">
        <f>+MINVU_Mes_Corriente!P244*SALUD_Mes_Constante!$P$1</f>
        <v>0</v>
      </c>
      <c r="Q244" s="8">
        <f>+MINVU_Mes_Corriente!Q244*SALUD_Mes_Constante!$P$1</f>
        <v>0</v>
      </c>
      <c r="R244" s="8">
        <f>+MINVU_Mes_Corriente!R244*SALUD_Mes_Constante!$P$1</f>
        <v>0</v>
      </c>
      <c r="S244" s="8">
        <f>+MINVU_Mes_Corriente!S244*SALUD_Mes_Constante!$P$1</f>
        <v>0</v>
      </c>
      <c r="T244" s="8">
        <f>+MINVU_Mes_Corriente!T244*SALUD_Mes_Constante!$P$1</f>
        <v>0</v>
      </c>
      <c r="U244" s="8">
        <f>+MINVU_Mes_Corriente!U244*SALUD_Mes_Constante!$P$1</f>
        <v>0</v>
      </c>
      <c r="V244" s="8">
        <f>+MINVU_Mes_Corriente!V244*SALUD_Mes_Constante!$P$1</f>
        <v>0</v>
      </c>
      <c r="W244" s="8">
        <f>+MINVU_Mes_Corriente!W244*SALUD_Mes_Constante!$P$1</f>
        <v>0</v>
      </c>
      <c r="X244" s="8">
        <f>+MINVU_Mes_Corriente!X244*SALUD_Mes_Constante!$P$1</f>
        <v>0</v>
      </c>
      <c r="Y244" s="8">
        <f>+MINVU_Mes_Corriente!Y244*SALUD_Mes_Constante!$P$1</f>
        <v>0</v>
      </c>
      <c r="Z244" s="8">
        <f>+MINVU_Mes_Corriente!Z244*SALUD_Mes_Constante!$P$1</f>
        <v>0</v>
      </c>
      <c r="AA244" s="8">
        <f>+MINVU_Mes_Corriente!AA244*SALUD_Mes_Constante!$P$1</f>
        <v>0</v>
      </c>
      <c r="AB244" s="9">
        <f t="shared" si="115"/>
        <v>0</v>
      </c>
      <c r="AC244" s="8">
        <f>+MINVU_Mes_Corriente!AC244*SALUD_Mes_Constante!$AC$1</f>
        <v>0</v>
      </c>
      <c r="AD244" s="8">
        <f>+MINVU_Mes_Corriente!AD244*SALUD_Mes_Constante!$AC$1</f>
        <v>0</v>
      </c>
      <c r="AE244" s="8">
        <f>+MINVU_Mes_Corriente!AE244*SALUD_Mes_Constante!$AC$1</f>
        <v>0</v>
      </c>
      <c r="AF244" s="8">
        <f>+MINVU_Mes_Corriente!AF244*SALUD_Mes_Constante!$AC$1</f>
        <v>0</v>
      </c>
      <c r="AG244" s="8">
        <f>+MINVU_Mes_Corriente!AG244*SALUD_Mes_Constante!$AC$1</f>
        <v>0</v>
      </c>
      <c r="AH244" s="8">
        <f>+MINVU_Mes_Corriente!AH244*SALUD_Mes_Constante!$AC$1</f>
        <v>0</v>
      </c>
      <c r="AI244" s="8">
        <f>+MINVU_Mes_Corriente!AI244*SALUD_Mes_Constante!$AC$1</f>
        <v>0</v>
      </c>
      <c r="AJ244" s="8">
        <f>+MINVU_Mes_Corriente!AJ244*SALUD_Mes_Constante!$AC$1</f>
        <v>0</v>
      </c>
      <c r="AK244" s="8">
        <f>+MINVU_Mes_Corriente!AK244*SALUD_Mes_Constante!$AC$1</f>
        <v>0</v>
      </c>
      <c r="AL244" s="8">
        <f>+MINVU_Mes_Corriente!AL244*SALUD_Mes_Constante!$AC$1</f>
        <v>0</v>
      </c>
      <c r="AM244" s="8">
        <f>+MINVU_Mes_Corriente!AM244*SALUD_Mes_Constante!$AC$1</f>
        <v>0</v>
      </c>
      <c r="AN244" s="8">
        <f>+MINVU_Mes_Corriente!AN244*SALUD_Mes_Constante!$AC$1</f>
        <v>0</v>
      </c>
      <c r="AO244" s="9">
        <f t="shared" si="116"/>
        <v>0</v>
      </c>
      <c r="AP244" s="8">
        <f>+MINVU_Mes_Corriente!AP244*SALUD_Mes_Constante!$AP$1</f>
        <v>0</v>
      </c>
      <c r="AQ244" s="8">
        <f>+MINVU_Mes_Corriente!AQ244*SALUD_Mes_Constante!$AP$1</f>
        <v>0</v>
      </c>
      <c r="AR244" s="8">
        <f>+MINVU_Mes_Corriente!AR244*SALUD_Mes_Constante!$AP$1</f>
        <v>0</v>
      </c>
      <c r="AS244" s="8">
        <f>+MINVU_Mes_Corriente!AS244*SALUD_Mes_Constante!$AP$1</f>
        <v>0</v>
      </c>
      <c r="AT244" s="8">
        <f>+MINVU_Mes_Corriente!AT244*SALUD_Mes_Constante!$AP$1</f>
        <v>0</v>
      </c>
      <c r="AU244" s="8">
        <f>+MINVU_Mes_Corriente!AU244*SALUD_Mes_Constante!$AP$1</f>
        <v>0</v>
      </c>
      <c r="AV244" s="8">
        <f>+MINVU_Mes_Corriente!AV244*SALUD_Mes_Constante!$AP$1</f>
        <v>0</v>
      </c>
      <c r="AW244" s="8">
        <f>+MINVU_Mes_Corriente!AW244*SALUD_Mes_Constante!$AP$1</f>
        <v>0</v>
      </c>
      <c r="AX244" s="8">
        <f>+MINVU_Mes_Corriente!AX244*SALUD_Mes_Constante!$AP$1</f>
        <v>0</v>
      </c>
      <c r="AY244" s="8">
        <f>+MINVU_Mes_Corriente!AY244*SALUD_Mes_Constante!$AP$1</f>
        <v>0</v>
      </c>
      <c r="AZ244" s="8">
        <f>+MINVU_Mes_Corriente!AZ244*SALUD_Mes_Constante!$AP$1</f>
        <v>0</v>
      </c>
      <c r="BA244" s="8">
        <f>+MINVU_Mes_Corriente!BA244*SALUD_Mes_Constante!$AP$1</f>
        <v>0</v>
      </c>
      <c r="BB244" s="9">
        <f t="shared" si="117"/>
        <v>0</v>
      </c>
      <c r="BC244" s="8">
        <f>+MINVU_Mes_Corriente!BC244*SALUD_Mes_Constante!$BC$1</f>
        <v>0</v>
      </c>
      <c r="BD244" s="8">
        <f>+MINVU_Mes_Corriente!BD244*SALUD_Mes_Constante!$BC$1</f>
        <v>0</v>
      </c>
      <c r="BE244" s="8">
        <f>+MINVU_Mes_Corriente!BE244*SALUD_Mes_Constante!$BC$1</f>
        <v>0</v>
      </c>
      <c r="BF244" s="8">
        <f>+MINVU_Mes_Corriente!BF244*SALUD_Mes_Constante!$BC$1</f>
        <v>0</v>
      </c>
      <c r="BG244" s="8">
        <f>+MINVU_Mes_Corriente!BG244*SALUD_Mes_Constante!$BC$1</f>
        <v>0</v>
      </c>
      <c r="BH244" s="8">
        <f>+MINVU_Mes_Corriente!BH244*SALUD_Mes_Constante!$BC$1</f>
        <v>0</v>
      </c>
      <c r="BI244" s="8">
        <f>+MINVU_Mes_Corriente!BI244*SALUD_Mes_Constante!$BC$1</f>
        <v>0</v>
      </c>
      <c r="BJ244" s="8">
        <f>+MINVU_Mes_Corriente!BJ244*SALUD_Mes_Constante!$BC$1</f>
        <v>0</v>
      </c>
      <c r="BK244" s="8">
        <f>+MINVU_Mes_Corriente!BK244*SALUD_Mes_Constante!$BC$1</f>
        <v>0</v>
      </c>
      <c r="BL244" s="8">
        <f>+MINVU_Mes_Corriente!BL244*SALUD_Mes_Constante!$BC$1</f>
        <v>0</v>
      </c>
      <c r="BM244" s="8">
        <f>+MINVU_Mes_Corriente!BM244*SALUD_Mes_Constante!$BC$1</f>
        <v>0</v>
      </c>
      <c r="BN244" s="8">
        <f>+MINVU_Mes_Corriente!BN244*SALUD_Mes_Constante!$BC$1</f>
        <v>0</v>
      </c>
      <c r="BO244" s="9">
        <f t="shared" si="118"/>
        <v>0</v>
      </c>
      <c r="BP244" s="8">
        <f>+MINVU_Mes_Corriente!BP244*SALUD_Mes_Constante!$BP$1</f>
        <v>0</v>
      </c>
      <c r="BQ244" s="8">
        <f>+MINVU_Mes_Corriente!BQ244*SALUD_Mes_Constante!$BP$1</f>
        <v>0</v>
      </c>
      <c r="BR244" s="8">
        <f>+MINVU_Mes_Corriente!BR244*SALUD_Mes_Constante!$BP$1</f>
        <v>0</v>
      </c>
      <c r="BS244" s="8">
        <f>+MINVU_Mes_Corriente!BS244*SALUD_Mes_Constante!$BP$1</f>
        <v>0</v>
      </c>
      <c r="BT244" s="8">
        <f>+MINVU_Mes_Corriente!BT244*SALUD_Mes_Constante!$BP$1</f>
        <v>0</v>
      </c>
      <c r="BU244" s="8">
        <f>+MINVU_Mes_Corriente!BU244*SALUD_Mes_Constante!$BP$1</f>
        <v>0</v>
      </c>
      <c r="BV244" s="8">
        <f>+MINVU_Mes_Corriente!BV244*SALUD_Mes_Constante!$BP$1</f>
        <v>0</v>
      </c>
      <c r="BW244" s="8">
        <f>+MINVU_Mes_Corriente!BW244*SALUD_Mes_Constante!$BP$1</f>
        <v>0</v>
      </c>
      <c r="BX244" s="8">
        <f>+MINVU_Mes_Corriente!BX244*SALUD_Mes_Constante!$BP$1</f>
        <v>0</v>
      </c>
      <c r="BY244" s="8">
        <f>+MINVU_Mes_Corriente!BY244*SALUD_Mes_Constante!$BP$1</f>
        <v>0</v>
      </c>
      <c r="BZ244" s="8">
        <f>+MINVU_Mes_Corriente!BZ244*SALUD_Mes_Constante!$BP$1</f>
        <v>0</v>
      </c>
      <c r="CA244" s="8">
        <f>+MINVU_Mes_Corriente!CA244*SALUD_Mes_Constante!$BP$1</f>
        <v>0</v>
      </c>
      <c r="CB244" s="9">
        <f t="shared" si="119"/>
        <v>0</v>
      </c>
      <c r="CC244" s="8">
        <f>+MINVU_Mes_Corriente!CC244*SALUD_Mes_Constante!$CC$1</f>
        <v>0</v>
      </c>
      <c r="CD244" s="8">
        <f>+MINVU_Mes_Corriente!CD244*SALUD_Mes_Constante!$CC$1</f>
        <v>0</v>
      </c>
      <c r="CE244" s="8">
        <f>+MINVU_Mes_Corriente!CE244*SALUD_Mes_Constante!$CC$1</f>
        <v>0</v>
      </c>
      <c r="CF244" s="8">
        <f>+MINVU_Mes_Corriente!CF244*SALUD_Mes_Constante!$CC$1</f>
        <v>0</v>
      </c>
      <c r="CG244" s="8">
        <f>+MINVU_Mes_Corriente!CG244*SALUD_Mes_Constante!$CC$1</f>
        <v>0</v>
      </c>
      <c r="CH244" s="8">
        <f>+MINVU_Mes_Corriente!CH244*SALUD_Mes_Constante!$CC$1</f>
        <v>0</v>
      </c>
      <c r="CI244" s="8">
        <f>+MINVU_Mes_Corriente!CI244*SALUD_Mes_Constante!$CC$1</f>
        <v>0</v>
      </c>
      <c r="CJ244" s="8">
        <f>+MINVU_Mes_Corriente!CJ244*SALUD_Mes_Constante!$CC$1</f>
        <v>0</v>
      </c>
      <c r="CK244" s="8">
        <f>+MINVU_Mes_Corriente!CK244*SALUD_Mes_Constante!$CC$1</f>
        <v>0</v>
      </c>
      <c r="CL244" s="8">
        <f>+MINVU_Mes_Corriente!CL244*SALUD_Mes_Constante!$CC$1</f>
        <v>0</v>
      </c>
      <c r="CM244" s="8">
        <f>+MINVU_Mes_Corriente!CM244*SALUD_Mes_Constante!$CC$1</f>
        <v>0</v>
      </c>
      <c r="CN244" s="8">
        <f>+MINVU_Mes_Corriente!CN244*SALUD_Mes_Constante!$CC$1</f>
        <v>0</v>
      </c>
      <c r="CO244" s="9">
        <f t="shared" si="120"/>
        <v>0</v>
      </c>
      <c r="CP244" s="8">
        <f>+MINVU_Mes_Corriente!CP244*SALUD_Mes_Constante!$CP$1</f>
        <v>0</v>
      </c>
      <c r="CQ244" s="8">
        <f>+MINVU_Mes_Corriente!CQ244*SALUD_Mes_Constante!$CP$1</f>
        <v>0</v>
      </c>
      <c r="CR244" s="8">
        <f>+MINVU_Mes_Corriente!CR244*SALUD_Mes_Constante!$CP$1</f>
        <v>0</v>
      </c>
      <c r="CS244" s="8">
        <f>+MINVU_Mes_Corriente!CS244*SALUD_Mes_Constante!$CP$1</f>
        <v>0</v>
      </c>
      <c r="CT244" s="8">
        <f>+MINVU_Mes_Corriente!CT244*SALUD_Mes_Constante!$CP$1</f>
        <v>0</v>
      </c>
      <c r="CU244" s="8">
        <f>+MINVU_Mes_Corriente!CU244*SALUD_Mes_Constante!$CP$1</f>
        <v>0</v>
      </c>
      <c r="CV244" s="8">
        <f>+MINVU_Mes_Corriente!CV244*SALUD_Mes_Constante!$CP$1</f>
        <v>0</v>
      </c>
      <c r="CW244" s="8">
        <f>+MINVU_Mes_Corriente!CW244*SALUD_Mes_Constante!$CP$1</f>
        <v>0</v>
      </c>
      <c r="CX244" s="8">
        <f>+MINVU_Mes_Corriente!CX244*SALUD_Mes_Constante!$CP$1</f>
        <v>0</v>
      </c>
      <c r="CY244" s="8">
        <f>+MINVU_Mes_Corriente!CY244*SALUD_Mes_Constante!$CP$1</f>
        <v>0</v>
      </c>
      <c r="CZ244" s="8">
        <f>+MINVU_Mes_Corriente!CZ244*SALUD_Mes_Constante!$CP$1</f>
        <v>0</v>
      </c>
      <c r="DA244" s="8">
        <f>+MINVU_Mes_Corriente!DA244*SALUD_Mes_Constante!$CP$1</f>
        <v>0</v>
      </c>
      <c r="DB244" s="9">
        <f t="shared" si="121"/>
        <v>0</v>
      </c>
      <c r="DC244" s="8">
        <f>+MINVU_Mes_Corriente!DC244*SALUD_Mes_Constante!$DC$1</f>
        <v>0</v>
      </c>
      <c r="DD244" s="8">
        <f>+MINVU_Mes_Corriente!DD244*SALUD_Mes_Constante!$DC$1</f>
        <v>0</v>
      </c>
      <c r="DE244" s="8">
        <f>+MINVU_Mes_Corriente!DE244*SALUD_Mes_Constante!$DC$1</f>
        <v>0</v>
      </c>
      <c r="DF244" s="8">
        <f>+MINVU_Mes_Corriente!DF244*SALUD_Mes_Constante!$DC$1</f>
        <v>0</v>
      </c>
      <c r="DG244" s="8">
        <f>+MINVU_Mes_Corriente!DG244*SALUD_Mes_Constante!$DC$1</f>
        <v>0</v>
      </c>
      <c r="DH244" s="8">
        <f>+MINVU_Mes_Corriente!DH244*SALUD_Mes_Constante!$DC$1</f>
        <v>0</v>
      </c>
      <c r="DI244" s="8">
        <f>+MINVU_Mes_Corriente!DI244*SALUD_Mes_Constante!$DC$1</f>
        <v>0</v>
      </c>
      <c r="DJ244" s="8">
        <f>+MINVU_Mes_Corriente!DJ244*SALUD_Mes_Constante!$DC$1</f>
        <v>0</v>
      </c>
      <c r="DK244" s="8">
        <f>+MINVU_Mes_Corriente!DK244*SALUD_Mes_Constante!$DC$1</f>
        <v>0</v>
      </c>
      <c r="DL244" s="8">
        <f>+MINVU_Mes_Corriente!DL244*SALUD_Mes_Constante!$DC$1</f>
        <v>0</v>
      </c>
      <c r="DM244" s="8">
        <f>+MINVU_Mes_Corriente!DM244*SALUD_Mes_Constante!$DC$1</f>
        <v>0</v>
      </c>
      <c r="DN244" s="8">
        <f>+MINVU_Mes_Corriente!DN244*SALUD_Mes_Constante!$DC$1</f>
        <v>0</v>
      </c>
      <c r="DO244" s="9">
        <f t="shared" si="122"/>
        <v>0</v>
      </c>
      <c r="DP244" s="8">
        <f>+MINVU_Mes_Corriente!DP244*SALUD_Mes_Constante!$DP$1</f>
        <v>0</v>
      </c>
      <c r="DQ244" s="8">
        <f>+MINVU_Mes_Corriente!DQ244*SALUD_Mes_Constante!$DP$1</f>
        <v>0</v>
      </c>
      <c r="DR244" s="8">
        <f>+MINVU_Mes_Corriente!DR244*SALUD_Mes_Constante!$DP$1</f>
        <v>0</v>
      </c>
      <c r="DS244" s="8">
        <f>+MINVU_Mes_Corriente!DS244*SALUD_Mes_Constante!$DP$1</f>
        <v>0</v>
      </c>
      <c r="DT244" s="8">
        <f>+MINVU_Mes_Corriente!DT244*SALUD_Mes_Constante!$DP$1</f>
        <v>0</v>
      </c>
      <c r="DU244" s="8">
        <f>+MINVU_Mes_Corriente!DU244*SALUD_Mes_Constante!$DP$1</f>
        <v>0</v>
      </c>
      <c r="DV244" s="8">
        <f>+MINVU_Mes_Corriente!DV244*SALUD_Mes_Constante!$DP$1</f>
        <v>0</v>
      </c>
      <c r="DW244" s="8">
        <f>+MINVU_Mes_Corriente!DW244*SALUD_Mes_Constante!$DP$1</f>
        <v>0</v>
      </c>
      <c r="DX244" s="8">
        <f>+MINVU_Mes_Corriente!DX244*SALUD_Mes_Constante!$DP$1</f>
        <v>0</v>
      </c>
      <c r="DY244" s="8">
        <f>+MINVU_Mes_Corriente!DY244*SALUD_Mes_Constante!$DP$1</f>
        <v>0</v>
      </c>
      <c r="DZ244" s="8">
        <f>+MINVU_Mes_Corriente!DZ244*SALUD_Mes_Constante!$DP$1</f>
        <v>0</v>
      </c>
      <c r="EA244" s="8">
        <f>+MINVU_Mes_Corriente!EA244*SALUD_Mes_Constante!$DP$1</f>
        <v>0</v>
      </c>
      <c r="EB244" s="9">
        <f t="shared" si="123"/>
        <v>0</v>
      </c>
      <c r="EC244" s="8">
        <f>+MINVU_Mes_Corriente!EC244*SALUD_Mes_Constante!$EC$1</f>
        <v>0</v>
      </c>
      <c r="ED244" s="8">
        <f>+MINVU_Mes_Corriente!ED244*SALUD_Mes_Constante!$EC$1</f>
        <v>0</v>
      </c>
      <c r="EE244" s="8">
        <f>+MINVU_Mes_Corriente!EE244*SALUD_Mes_Constante!$EC$1</f>
        <v>0</v>
      </c>
      <c r="EF244" s="8">
        <f>+MINVU_Mes_Corriente!EF244*SALUD_Mes_Constante!$EC$1</f>
        <v>0</v>
      </c>
      <c r="EG244" s="8">
        <f>+MINVU_Mes_Corriente!EG244*SALUD_Mes_Constante!$EC$1</f>
        <v>0</v>
      </c>
      <c r="EH244" s="8">
        <f>+MINVU_Mes_Corriente!EH244*SALUD_Mes_Constante!$EC$1</f>
        <v>0</v>
      </c>
      <c r="EI244" s="8">
        <f>+MINVU_Mes_Corriente!EI244*SALUD_Mes_Constante!$EC$1</f>
        <v>0</v>
      </c>
      <c r="EJ244" s="8">
        <f>+MINVU_Mes_Corriente!EJ244*SALUD_Mes_Constante!$EC$1</f>
        <v>0</v>
      </c>
      <c r="EK244" s="8">
        <f>+MINVU_Mes_Corriente!EK244*SALUD_Mes_Constante!$EC$1</f>
        <v>0</v>
      </c>
      <c r="EL244" s="8">
        <f>+MINVU_Mes_Corriente!EL244*SALUD_Mes_Constante!$EC$1</f>
        <v>0</v>
      </c>
      <c r="EM244" s="8">
        <f>+MINVU_Mes_Corriente!EM244*SALUD_Mes_Constante!$EC$1</f>
        <v>0</v>
      </c>
      <c r="EN244" s="8">
        <f>+MINVU_Mes_Corriente!EN244*SALUD_Mes_Constante!$EC$1</f>
        <v>0</v>
      </c>
      <c r="EO244" s="9">
        <f t="shared" si="124"/>
        <v>0</v>
      </c>
      <c r="EP244" s="8">
        <f>+MINVU_Mes_Corriente!EP244*SALUD_Mes_Constante!$EP$1</f>
        <v>0</v>
      </c>
      <c r="EQ244" s="8">
        <f>+MINVU_Mes_Corriente!EQ244*SALUD_Mes_Constante!$EP$1</f>
        <v>0</v>
      </c>
      <c r="ER244" s="8">
        <f>+MINVU_Mes_Corriente!ER244*SALUD_Mes_Constante!$EP$1</f>
        <v>0</v>
      </c>
      <c r="ES244" s="8">
        <f>+MINVU_Mes_Corriente!ES244*SALUD_Mes_Constante!$EP$1</f>
        <v>0</v>
      </c>
      <c r="ET244" s="8">
        <f>+MINVU_Mes_Corriente!ET244*SALUD_Mes_Constante!$EP$1</f>
        <v>0</v>
      </c>
      <c r="EU244" s="8">
        <f>+MINVU_Mes_Corriente!EU244*SALUD_Mes_Constante!$EP$1</f>
        <v>0</v>
      </c>
      <c r="EV244" s="8">
        <f>+MINVU_Mes_Corriente!EV244*SALUD_Mes_Constante!$EP$1</f>
        <v>0</v>
      </c>
      <c r="EW244" s="8">
        <f>+MINVU_Mes_Corriente!EW244*SALUD_Mes_Constante!$EP$1</f>
        <v>0</v>
      </c>
      <c r="EX244" s="8">
        <f>+MINVU_Mes_Corriente!EX244*SALUD_Mes_Constante!$EP$1</f>
        <v>0</v>
      </c>
      <c r="EY244" s="8">
        <f>+MINVU_Mes_Corriente!EY244*SALUD_Mes_Constante!$EP$1</f>
        <v>0</v>
      </c>
      <c r="EZ244" s="8">
        <f>+MINVU_Mes_Corriente!EZ244*SALUD_Mes_Constante!$EP$1</f>
        <v>0</v>
      </c>
      <c r="FA244" s="8">
        <f>+MINVU_Mes_Corriente!FA244*SALUD_Mes_Constante!$EP$1</f>
        <v>0</v>
      </c>
      <c r="FB244" s="9">
        <f t="shared" si="125"/>
        <v>0</v>
      </c>
      <c r="FC244" s="8">
        <f>+MINVU_Mes_Corriente!FC244*SALUD_Mes_Constante!$FC$1</f>
        <v>0</v>
      </c>
      <c r="FD244" s="8">
        <f>+MINVU_Mes_Corriente!FD244*SALUD_Mes_Constante!$FC$1</f>
        <v>0</v>
      </c>
      <c r="FE244" s="8">
        <f>+MINVU_Mes_Corriente!FE244*SALUD_Mes_Constante!$FC$1</f>
        <v>0</v>
      </c>
      <c r="FF244" s="8">
        <f>+MINVU_Mes_Corriente!FF244*SALUD_Mes_Constante!$FC$1</f>
        <v>0</v>
      </c>
      <c r="FG244" s="8">
        <f>+MINVU_Mes_Corriente!FG244*SALUD_Mes_Constante!$FC$1</f>
        <v>0</v>
      </c>
      <c r="FH244" s="8">
        <f>+MINVU_Mes_Corriente!FH244*SALUD_Mes_Constante!$FC$1</f>
        <v>0</v>
      </c>
      <c r="FI244" s="8">
        <f>+MINVU_Mes_Corriente!FI244*SALUD_Mes_Constante!$FC$1</f>
        <v>0</v>
      </c>
      <c r="FJ244" s="8"/>
      <c r="FK244" s="8"/>
      <c r="FL244" s="8"/>
      <c r="FM244" s="8"/>
      <c r="FN244" s="8"/>
      <c r="FO244" s="9">
        <f t="shared" si="126"/>
        <v>0</v>
      </c>
    </row>
    <row r="245" spans="2:171" ht="14.25" customHeight="1" x14ac:dyDescent="0.3">
      <c r="B245" s="7" t="s">
        <v>58</v>
      </c>
      <c r="C245" s="8">
        <f>+MINVU_Mes_Corriente!C245*SALUD_Mes_Constante!$C$1</f>
        <v>0</v>
      </c>
      <c r="D245" s="8">
        <f>+MINVU_Mes_Corriente!D245*SALUD_Mes_Constante!$C$1</f>
        <v>0</v>
      </c>
      <c r="E245" s="8">
        <f>+MINVU_Mes_Corriente!E245*SALUD_Mes_Constante!$C$1</f>
        <v>0</v>
      </c>
      <c r="F245" s="8">
        <f>+MINVU_Mes_Corriente!F245*SALUD_Mes_Constante!$C$1</f>
        <v>0</v>
      </c>
      <c r="G245" s="8">
        <f>+MINVU_Mes_Corriente!G245*SALUD_Mes_Constante!$C$1</f>
        <v>0</v>
      </c>
      <c r="H245" s="8">
        <f>+MINVU_Mes_Corriente!H245*SALUD_Mes_Constante!$C$1</f>
        <v>0</v>
      </c>
      <c r="I245" s="8">
        <f>+MINVU_Mes_Corriente!I245*SALUD_Mes_Constante!$C$1</f>
        <v>0</v>
      </c>
      <c r="J245" s="8">
        <f>+MINVU_Mes_Corriente!J245*SALUD_Mes_Constante!$C$1</f>
        <v>0</v>
      </c>
      <c r="K245" s="8">
        <f>+MINVU_Mes_Corriente!K245*SALUD_Mes_Constante!$C$1</f>
        <v>0</v>
      </c>
      <c r="L245" s="8">
        <f>+MINVU_Mes_Corriente!L245*SALUD_Mes_Constante!$C$1</f>
        <v>0</v>
      </c>
      <c r="M245" s="8">
        <f>+MINVU_Mes_Corriente!M245*SALUD_Mes_Constante!$C$1</f>
        <v>0</v>
      </c>
      <c r="N245" s="8">
        <f>+MINVU_Mes_Corriente!N245*SALUD_Mes_Constante!$C$1</f>
        <v>0</v>
      </c>
      <c r="O245" s="9">
        <f t="shared" si="114"/>
        <v>0</v>
      </c>
      <c r="P245" s="8">
        <f>+MINVU_Mes_Corriente!P245*SALUD_Mes_Constante!$P$1</f>
        <v>0</v>
      </c>
      <c r="Q245" s="8">
        <f>+MINVU_Mes_Corriente!Q245*SALUD_Mes_Constante!$P$1</f>
        <v>0</v>
      </c>
      <c r="R245" s="8">
        <f>+MINVU_Mes_Corriente!R245*SALUD_Mes_Constante!$P$1</f>
        <v>0</v>
      </c>
      <c r="S245" s="8">
        <f>+MINVU_Mes_Corriente!S245*SALUD_Mes_Constante!$P$1</f>
        <v>0</v>
      </c>
      <c r="T245" s="8">
        <f>+MINVU_Mes_Corriente!T245*SALUD_Mes_Constante!$P$1</f>
        <v>0</v>
      </c>
      <c r="U245" s="8">
        <f>+MINVU_Mes_Corriente!U245*SALUD_Mes_Constante!$P$1</f>
        <v>0</v>
      </c>
      <c r="V245" s="8">
        <f>+MINVU_Mes_Corriente!V245*SALUD_Mes_Constante!$P$1</f>
        <v>0</v>
      </c>
      <c r="W245" s="8">
        <f>+MINVU_Mes_Corriente!W245*SALUD_Mes_Constante!$P$1</f>
        <v>0</v>
      </c>
      <c r="X245" s="8">
        <f>+MINVU_Mes_Corriente!X245*SALUD_Mes_Constante!$P$1</f>
        <v>0</v>
      </c>
      <c r="Y245" s="8">
        <f>+MINVU_Mes_Corriente!Y245*SALUD_Mes_Constante!$P$1</f>
        <v>0</v>
      </c>
      <c r="Z245" s="8">
        <f>+MINVU_Mes_Corriente!Z245*SALUD_Mes_Constante!$P$1</f>
        <v>0</v>
      </c>
      <c r="AA245" s="8">
        <f>+MINVU_Mes_Corriente!AA245*SALUD_Mes_Constante!$P$1</f>
        <v>0</v>
      </c>
      <c r="AB245" s="9">
        <f t="shared" si="115"/>
        <v>0</v>
      </c>
      <c r="AC245" s="8">
        <f>+MINVU_Mes_Corriente!AC245*SALUD_Mes_Constante!$AC$1</f>
        <v>0</v>
      </c>
      <c r="AD245" s="8">
        <f>+MINVU_Mes_Corriente!AD245*SALUD_Mes_Constante!$AC$1</f>
        <v>0</v>
      </c>
      <c r="AE245" s="8">
        <f>+MINVU_Mes_Corriente!AE245*SALUD_Mes_Constante!$AC$1</f>
        <v>0</v>
      </c>
      <c r="AF245" s="8">
        <f>+MINVU_Mes_Corriente!AF245*SALUD_Mes_Constante!$AC$1</f>
        <v>0</v>
      </c>
      <c r="AG245" s="8">
        <f>+MINVU_Mes_Corriente!AG245*SALUD_Mes_Constante!$AC$1</f>
        <v>0</v>
      </c>
      <c r="AH245" s="8">
        <f>+MINVU_Mes_Corriente!AH245*SALUD_Mes_Constante!$AC$1</f>
        <v>0</v>
      </c>
      <c r="AI245" s="8">
        <f>+MINVU_Mes_Corriente!AI245*SALUD_Mes_Constante!$AC$1</f>
        <v>0</v>
      </c>
      <c r="AJ245" s="8">
        <f>+MINVU_Mes_Corriente!AJ245*SALUD_Mes_Constante!$AC$1</f>
        <v>0</v>
      </c>
      <c r="AK245" s="8">
        <f>+MINVU_Mes_Corriente!AK245*SALUD_Mes_Constante!$AC$1</f>
        <v>0</v>
      </c>
      <c r="AL245" s="8">
        <f>+MINVU_Mes_Corriente!AL245*SALUD_Mes_Constante!$AC$1</f>
        <v>0</v>
      </c>
      <c r="AM245" s="8">
        <f>+MINVU_Mes_Corriente!AM245*SALUD_Mes_Constante!$AC$1</f>
        <v>0</v>
      </c>
      <c r="AN245" s="8">
        <f>+MINVU_Mes_Corriente!AN245*SALUD_Mes_Constante!$AC$1</f>
        <v>0</v>
      </c>
      <c r="AO245" s="9">
        <f t="shared" si="116"/>
        <v>0</v>
      </c>
      <c r="AP245" s="8">
        <f>+MINVU_Mes_Corriente!AP245*SALUD_Mes_Constante!$AP$1</f>
        <v>0</v>
      </c>
      <c r="AQ245" s="8">
        <f>+MINVU_Mes_Corriente!AQ245*SALUD_Mes_Constante!$AP$1</f>
        <v>0</v>
      </c>
      <c r="AR245" s="8">
        <f>+MINVU_Mes_Corriente!AR245*SALUD_Mes_Constante!$AP$1</f>
        <v>0</v>
      </c>
      <c r="AS245" s="8">
        <f>+MINVU_Mes_Corriente!AS245*SALUD_Mes_Constante!$AP$1</f>
        <v>0</v>
      </c>
      <c r="AT245" s="8">
        <f>+MINVU_Mes_Corriente!AT245*SALUD_Mes_Constante!$AP$1</f>
        <v>0</v>
      </c>
      <c r="AU245" s="8">
        <f>+MINVU_Mes_Corriente!AU245*SALUD_Mes_Constante!$AP$1</f>
        <v>0</v>
      </c>
      <c r="AV245" s="8">
        <f>+MINVU_Mes_Corriente!AV245*SALUD_Mes_Constante!$AP$1</f>
        <v>0</v>
      </c>
      <c r="AW245" s="8">
        <f>+MINVU_Mes_Corriente!AW245*SALUD_Mes_Constante!$AP$1</f>
        <v>0</v>
      </c>
      <c r="AX245" s="8">
        <f>+MINVU_Mes_Corriente!AX245*SALUD_Mes_Constante!$AP$1</f>
        <v>0</v>
      </c>
      <c r="AY245" s="8">
        <f>+MINVU_Mes_Corriente!AY245*SALUD_Mes_Constante!$AP$1</f>
        <v>0</v>
      </c>
      <c r="AZ245" s="8">
        <f>+MINVU_Mes_Corriente!AZ245*SALUD_Mes_Constante!$AP$1</f>
        <v>0</v>
      </c>
      <c r="BA245" s="8">
        <f>+MINVU_Mes_Corriente!BA245*SALUD_Mes_Constante!$AP$1</f>
        <v>0</v>
      </c>
      <c r="BB245" s="9">
        <f t="shared" si="117"/>
        <v>0</v>
      </c>
      <c r="BC245" s="8">
        <f>+MINVU_Mes_Corriente!BC245*SALUD_Mes_Constante!$BC$1</f>
        <v>0</v>
      </c>
      <c r="BD245" s="8">
        <f>+MINVU_Mes_Corriente!BD245*SALUD_Mes_Constante!$BC$1</f>
        <v>0</v>
      </c>
      <c r="BE245" s="8">
        <f>+MINVU_Mes_Corriente!BE245*SALUD_Mes_Constante!$BC$1</f>
        <v>0</v>
      </c>
      <c r="BF245" s="8">
        <f>+MINVU_Mes_Corriente!BF245*SALUD_Mes_Constante!$BC$1</f>
        <v>0</v>
      </c>
      <c r="BG245" s="8">
        <f>+MINVU_Mes_Corriente!BG245*SALUD_Mes_Constante!$BC$1</f>
        <v>0</v>
      </c>
      <c r="BH245" s="8">
        <f>+MINVU_Mes_Corriente!BH245*SALUD_Mes_Constante!$BC$1</f>
        <v>0</v>
      </c>
      <c r="BI245" s="8">
        <f>+MINVU_Mes_Corriente!BI245*SALUD_Mes_Constante!$BC$1</f>
        <v>0</v>
      </c>
      <c r="BJ245" s="8">
        <f>+MINVU_Mes_Corriente!BJ245*SALUD_Mes_Constante!$BC$1</f>
        <v>0</v>
      </c>
      <c r="BK245" s="8">
        <f>+MINVU_Mes_Corriente!BK245*SALUD_Mes_Constante!$BC$1</f>
        <v>0</v>
      </c>
      <c r="BL245" s="8">
        <f>+MINVU_Mes_Corriente!BL245*SALUD_Mes_Constante!$BC$1</f>
        <v>0</v>
      </c>
      <c r="BM245" s="8">
        <f>+MINVU_Mes_Corriente!BM245*SALUD_Mes_Constante!$BC$1</f>
        <v>0</v>
      </c>
      <c r="BN245" s="8">
        <f>+MINVU_Mes_Corriente!BN245*SALUD_Mes_Constante!$BC$1</f>
        <v>0</v>
      </c>
      <c r="BO245" s="9">
        <f t="shared" si="118"/>
        <v>0</v>
      </c>
      <c r="BP245" s="8">
        <f>+MINVU_Mes_Corriente!BP245*SALUD_Mes_Constante!$BP$1</f>
        <v>0</v>
      </c>
      <c r="BQ245" s="8">
        <f>+MINVU_Mes_Corriente!BQ245*SALUD_Mes_Constante!$BP$1</f>
        <v>0</v>
      </c>
      <c r="BR245" s="8">
        <f>+MINVU_Mes_Corriente!BR245*SALUD_Mes_Constante!$BP$1</f>
        <v>0</v>
      </c>
      <c r="BS245" s="8">
        <f>+MINVU_Mes_Corriente!BS245*SALUD_Mes_Constante!$BP$1</f>
        <v>0</v>
      </c>
      <c r="BT245" s="8">
        <f>+MINVU_Mes_Corriente!BT245*SALUD_Mes_Constante!$BP$1</f>
        <v>0</v>
      </c>
      <c r="BU245" s="8">
        <f>+MINVU_Mes_Corriente!BU245*SALUD_Mes_Constante!$BP$1</f>
        <v>0</v>
      </c>
      <c r="BV245" s="8">
        <f>+MINVU_Mes_Corriente!BV245*SALUD_Mes_Constante!$BP$1</f>
        <v>0</v>
      </c>
      <c r="BW245" s="8">
        <f>+MINVU_Mes_Corriente!BW245*SALUD_Mes_Constante!$BP$1</f>
        <v>0</v>
      </c>
      <c r="BX245" s="8">
        <f>+MINVU_Mes_Corriente!BX245*SALUD_Mes_Constante!$BP$1</f>
        <v>0</v>
      </c>
      <c r="BY245" s="8">
        <f>+MINVU_Mes_Corriente!BY245*SALUD_Mes_Constante!$BP$1</f>
        <v>0</v>
      </c>
      <c r="BZ245" s="8">
        <f>+MINVU_Mes_Corriente!BZ245*SALUD_Mes_Constante!$BP$1</f>
        <v>0</v>
      </c>
      <c r="CA245" s="8">
        <f>+MINVU_Mes_Corriente!CA245*SALUD_Mes_Constante!$BP$1</f>
        <v>0</v>
      </c>
      <c r="CB245" s="9">
        <f t="shared" si="119"/>
        <v>0</v>
      </c>
      <c r="CC245" s="8">
        <f>+MINVU_Mes_Corriente!CC245*SALUD_Mes_Constante!$CC$1</f>
        <v>0</v>
      </c>
      <c r="CD245" s="8">
        <f>+MINVU_Mes_Corriente!CD245*SALUD_Mes_Constante!$CC$1</f>
        <v>0</v>
      </c>
      <c r="CE245" s="8">
        <f>+MINVU_Mes_Corriente!CE245*SALUD_Mes_Constante!$CC$1</f>
        <v>0</v>
      </c>
      <c r="CF245" s="8">
        <f>+MINVU_Mes_Corriente!CF245*SALUD_Mes_Constante!$CC$1</f>
        <v>0</v>
      </c>
      <c r="CG245" s="8">
        <f>+MINVU_Mes_Corriente!CG245*SALUD_Mes_Constante!$CC$1</f>
        <v>0</v>
      </c>
      <c r="CH245" s="8">
        <f>+MINVU_Mes_Corriente!CH245*SALUD_Mes_Constante!$CC$1</f>
        <v>0</v>
      </c>
      <c r="CI245" s="8">
        <f>+MINVU_Mes_Corriente!CI245*SALUD_Mes_Constante!$CC$1</f>
        <v>0</v>
      </c>
      <c r="CJ245" s="8">
        <f>+MINVU_Mes_Corriente!CJ245*SALUD_Mes_Constante!$CC$1</f>
        <v>0</v>
      </c>
      <c r="CK245" s="8">
        <f>+MINVU_Mes_Corriente!CK245*SALUD_Mes_Constante!$CC$1</f>
        <v>0</v>
      </c>
      <c r="CL245" s="8">
        <f>+MINVU_Mes_Corriente!CL245*SALUD_Mes_Constante!$CC$1</f>
        <v>0</v>
      </c>
      <c r="CM245" s="8">
        <f>+MINVU_Mes_Corriente!CM245*SALUD_Mes_Constante!$CC$1</f>
        <v>0</v>
      </c>
      <c r="CN245" s="8">
        <f>+MINVU_Mes_Corriente!CN245*SALUD_Mes_Constante!$CC$1</f>
        <v>0</v>
      </c>
      <c r="CO245" s="9">
        <f t="shared" si="120"/>
        <v>0</v>
      </c>
      <c r="CP245" s="8">
        <f>+MINVU_Mes_Corriente!CP245*SALUD_Mes_Constante!$CP$1</f>
        <v>0</v>
      </c>
      <c r="CQ245" s="8">
        <f>+MINVU_Mes_Corriente!CQ245*SALUD_Mes_Constante!$CP$1</f>
        <v>0</v>
      </c>
      <c r="CR245" s="8">
        <f>+MINVU_Mes_Corriente!CR245*SALUD_Mes_Constante!$CP$1</f>
        <v>0</v>
      </c>
      <c r="CS245" s="8">
        <f>+MINVU_Mes_Corriente!CS245*SALUD_Mes_Constante!$CP$1</f>
        <v>0</v>
      </c>
      <c r="CT245" s="8">
        <f>+MINVU_Mes_Corriente!CT245*SALUD_Mes_Constante!$CP$1</f>
        <v>0</v>
      </c>
      <c r="CU245" s="8">
        <f>+MINVU_Mes_Corriente!CU245*SALUD_Mes_Constante!$CP$1</f>
        <v>0</v>
      </c>
      <c r="CV245" s="8">
        <f>+MINVU_Mes_Corriente!CV245*SALUD_Mes_Constante!$CP$1</f>
        <v>0</v>
      </c>
      <c r="CW245" s="8">
        <f>+MINVU_Mes_Corriente!CW245*SALUD_Mes_Constante!$CP$1</f>
        <v>0</v>
      </c>
      <c r="CX245" s="8">
        <f>+MINVU_Mes_Corriente!CX245*SALUD_Mes_Constante!$CP$1</f>
        <v>0</v>
      </c>
      <c r="CY245" s="8">
        <f>+MINVU_Mes_Corriente!CY245*SALUD_Mes_Constante!$CP$1</f>
        <v>0</v>
      </c>
      <c r="CZ245" s="8">
        <f>+MINVU_Mes_Corriente!CZ245*SALUD_Mes_Constante!$CP$1</f>
        <v>0</v>
      </c>
      <c r="DA245" s="8">
        <f>+MINVU_Mes_Corriente!DA245*SALUD_Mes_Constante!$CP$1</f>
        <v>0</v>
      </c>
      <c r="DB245" s="9">
        <f t="shared" si="121"/>
        <v>0</v>
      </c>
      <c r="DC245" s="8">
        <f>+MINVU_Mes_Corriente!DC245*SALUD_Mes_Constante!$DC$1</f>
        <v>0</v>
      </c>
      <c r="DD245" s="8">
        <f>+MINVU_Mes_Corriente!DD245*SALUD_Mes_Constante!$DC$1</f>
        <v>0</v>
      </c>
      <c r="DE245" s="8">
        <f>+MINVU_Mes_Corriente!DE245*SALUD_Mes_Constante!$DC$1</f>
        <v>0</v>
      </c>
      <c r="DF245" s="8">
        <f>+MINVU_Mes_Corriente!DF245*SALUD_Mes_Constante!$DC$1</f>
        <v>0</v>
      </c>
      <c r="DG245" s="8">
        <f>+MINVU_Mes_Corriente!DG245*SALUD_Mes_Constante!$DC$1</f>
        <v>0</v>
      </c>
      <c r="DH245" s="8">
        <f>+MINVU_Mes_Corriente!DH245*SALUD_Mes_Constante!$DC$1</f>
        <v>0</v>
      </c>
      <c r="DI245" s="8">
        <f>+MINVU_Mes_Corriente!DI245*SALUD_Mes_Constante!$DC$1</f>
        <v>0</v>
      </c>
      <c r="DJ245" s="8">
        <f>+MINVU_Mes_Corriente!DJ245*SALUD_Mes_Constante!$DC$1</f>
        <v>0</v>
      </c>
      <c r="DK245" s="8">
        <f>+MINVU_Mes_Corriente!DK245*SALUD_Mes_Constante!$DC$1</f>
        <v>0</v>
      </c>
      <c r="DL245" s="8">
        <f>+MINVU_Mes_Corriente!DL245*SALUD_Mes_Constante!$DC$1</f>
        <v>0</v>
      </c>
      <c r="DM245" s="8">
        <f>+MINVU_Mes_Corriente!DM245*SALUD_Mes_Constante!$DC$1</f>
        <v>0</v>
      </c>
      <c r="DN245" s="8">
        <f>+MINVU_Mes_Corriente!DN245*SALUD_Mes_Constante!$DC$1</f>
        <v>0</v>
      </c>
      <c r="DO245" s="9">
        <f t="shared" si="122"/>
        <v>0</v>
      </c>
      <c r="DP245" s="8">
        <f>+MINVU_Mes_Corriente!DP245*SALUD_Mes_Constante!$DP$1</f>
        <v>0</v>
      </c>
      <c r="DQ245" s="8">
        <f>+MINVU_Mes_Corriente!DQ245*SALUD_Mes_Constante!$DP$1</f>
        <v>0</v>
      </c>
      <c r="DR245" s="8">
        <f>+MINVU_Mes_Corriente!DR245*SALUD_Mes_Constante!$DP$1</f>
        <v>0</v>
      </c>
      <c r="DS245" s="8">
        <f>+MINVU_Mes_Corriente!DS245*SALUD_Mes_Constante!$DP$1</f>
        <v>0</v>
      </c>
      <c r="DT245" s="8">
        <f>+MINVU_Mes_Corriente!DT245*SALUD_Mes_Constante!$DP$1</f>
        <v>0</v>
      </c>
      <c r="DU245" s="8">
        <f>+MINVU_Mes_Corriente!DU245*SALUD_Mes_Constante!$DP$1</f>
        <v>0</v>
      </c>
      <c r="DV245" s="8">
        <f>+MINVU_Mes_Corriente!DV245*SALUD_Mes_Constante!$DP$1</f>
        <v>0</v>
      </c>
      <c r="DW245" s="8">
        <f>+MINVU_Mes_Corriente!DW245*SALUD_Mes_Constante!$DP$1</f>
        <v>0</v>
      </c>
      <c r="DX245" s="8">
        <f>+MINVU_Mes_Corriente!DX245*SALUD_Mes_Constante!$DP$1</f>
        <v>0</v>
      </c>
      <c r="DY245" s="8">
        <f>+MINVU_Mes_Corriente!DY245*SALUD_Mes_Constante!$DP$1</f>
        <v>0</v>
      </c>
      <c r="DZ245" s="8">
        <f>+MINVU_Mes_Corriente!DZ245*SALUD_Mes_Constante!$DP$1</f>
        <v>0</v>
      </c>
      <c r="EA245" s="8">
        <f>+MINVU_Mes_Corriente!EA245*SALUD_Mes_Constante!$DP$1</f>
        <v>0</v>
      </c>
      <c r="EB245" s="9">
        <f t="shared" si="123"/>
        <v>0</v>
      </c>
      <c r="EC245" s="8">
        <f>+MINVU_Mes_Corriente!EC245*SALUD_Mes_Constante!$EC$1</f>
        <v>0</v>
      </c>
      <c r="ED245" s="8">
        <f>+MINVU_Mes_Corriente!ED245*SALUD_Mes_Constante!$EC$1</f>
        <v>0</v>
      </c>
      <c r="EE245" s="8">
        <f>+MINVU_Mes_Corriente!EE245*SALUD_Mes_Constante!$EC$1</f>
        <v>0</v>
      </c>
      <c r="EF245" s="8">
        <f>+MINVU_Mes_Corriente!EF245*SALUD_Mes_Constante!$EC$1</f>
        <v>0</v>
      </c>
      <c r="EG245" s="8">
        <f>+MINVU_Mes_Corriente!EG245*SALUD_Mes_Constante!$EC$1</f>
        <v>0</v>
      </c>
      <c r="EH245" s="8">
        <f>+MINVU_Mes_Corriente!EH245*SALUD_Mes_Constante!$EC$1</f>
        <v>0</v>
      </c>
      <c r="EI245" s="8">
        <f>+MINVU_Mes_Corriente!EI245*SALUD_Mes_Constante!$EC$1</f>
        <v>0</v>
      </c>
      <c r="EJ245" s="8">
        <f>+MINVU_Mes_Corriente!EJ245*SALUD_Mes_Constante!$EC$1</f>
        <v>0</v>
      </c>
      <c r="EK245" s="8">
        <f>+MINVU_Mes_Corriente!EK245*SALUD_Mes_Constante!$EC$1</f>
        <v>0</v>
      </c>
      <c r="EL245" s="8">
        <f>+MINVU_Mes_Corriente!EL245*SALUD_Mes_Constante!$EC$1</f>
        <v>0</v>
      </c>
      <c r="EM245" s="8">
        <f>+MINVU_Mes_Corriente!EM245*SALUD_Mes_Constante!$EC$1</f>
        <v>0</v>
      </c>
      <c r="EN245" s="8">
        <f>+MINVU_Mes_Corriente!EN245*SALUD_Mes_Constante!$EC$1</f>
        <v>0</v>
      </c>
      <c r="EO245" s="9">
        <f t="shared" si="124"/>
        <v>0</v>
      </c>
      <c r="EP245" s="8">
        <f>+MINVU_Mes_Corriente!EP245*SALUD_Mes_Constante!$EP$1</f>
        <v>0</v>
      </c>
      <c r="EQ245" s="8">
        <f>+MINVU_Mes_Corriente!EQ245*SALUD_Mes_Constante!$EP$1</f>
        <v>0</v>
      </c>
      <c r="ER245" s="8">
        <f>+MINVU_Mes_Corriente!ER245*SALUD_Mes_Constante!$EP$1</f>
        <v>0</v>
      </c>
      <c r="ES245" s="8">
        <f>+MINVU_Mes_Corriente!ES245*SALUD_Mes_Constante!$EP$1</f>
        <v>0</v>
      </c>
      <c r="ET245" s="8">
        <f>+MINVU_Mes_Corriente!ET245*SALUD_Mes_Constante!$EP$1</f>
        <v>0</v>
      </c>
      <c r="EU245" s="8">
        <f>+MINVU_Mes_Corriente!EU245*SALUD_Mes_Constante!$EP$1</f>
        <v>0</v>
      </c>
      <c r="EV245" s="8">
        <f>+MINVU_Mes_Corriente!EV245*SALUD_Mes_Constante!$EP$1</f>
        <v>0</v>
      </c>
      <c r="EW245" s="8">
        <f>+MINVU_Mes_Corriente!EW245*SALUD_Mes_Constante!$EP$1</f>
        <v>0</v>
      </c>
      <c r="EX245" s="8">
        <f>+MINVU_Mes_Corriente!EX245*SALUD_Mes_Constante!$EP$1</f>
        <v>0</v>
      </c>
      <c r="EY245" s="8">
        <f>+MINVU_Mes_Corriente!EY245*SALUD_Mes_Constante!$EP$1</f>
        <v>0</v>
      </c>
      <c r="EZ245" s="8">
        <f>+MINVU_Mes_Corriente!EZ245*SALUD_Mes_Constante!$EP$1</f>
        <v>0</v>
      </c>
      <c r="FA245" s="8">
        <f>+MINVU_Mes_Corriente!FA245*SALUD_Mes_Constante!$EP$1</f>
        <v>0</v>
      </c>
      <c r="FB245" s="9">
        <f t="shared" si="125"/>
        <v>0</v>
      </c>
      <c r="FC245" s="8">
        <f>+MINVU_Mes_Corriente!FC245*SALUD_Mes_Constante!$FC$1</f>
        <v>0</v>
      </c>
      <c r="FD245" s="8">
        <f>+MINVU_Mes_Corriente!FD245*SALUD_Mes_Constante!$FC$1</f>
        <v>0</v>
      </c>
      <c r="FE245" s="8">
        <f>+MINVU_Mes_Corriente!FE245*SALUD_Mes_Constante!$FC$1</f>
        <v>0</v>
      </c>
      <c r="FF245" s="8">
        <f>+MINVU_Mes_Corriente!FF245*SALUD_Mes_Constante!$FC$1</f>
        <v>0</v>
      </c>
      <c r="FG245" s="8">
        <f>+MINVU_Mes_Corriente!FG245*SALUD_Mes_Constante!$FC$1</f>
        <v>0</v>
      </c>
      <c r="FH245" s="8">
        <f>+MINVU_Mes_Corriente!FH245*SALUD_Mes_Constante!$FC$1</f>
        <v>0</v>
      </c>
      <c r="FI245" s="8">
        <f>+MINVU_Mes_Corriente!FI245*SALUD_Mes_Constante!$FC$1</f>
        <v>0</v>
      </c>
      <c r="FJ245" s="8"/>
      <c r="FK245" s="8"/>
      <c r="FL245" s="8"/>
      <c r="FM245" s="8"/>
      <c r="FN245" s="8"/>
      <c r="FO245" s="9">
        <f t="shared" si="126"/>
        <v>0</v>
      </c>
    </row>
    <row r="246" spans="2:171" ht="14.25" customHeight="1" x14ac:dyDescent="0.3">
      <c r="B246" s="7" t="s">
        <v>59</v>
      </c>
      <c r="C246" s="8">
        <f>+MINVU_Mes_Corriente!C246*SALUD_Mes_Constante!$C$1</f>
        <v>0</v>
      </c>
      <c r="D246" s="8">
        <f>+MINVU_Mes_Corriente!D246*SALUD_Mes_Constante!$C$1</f>
        <v>0</v>
      </c>
      <c r="E246" s="8">
        <f>+MINVU_Mes_Corriente!E246*SALUD_Mes_Constante!$C$1</f>
        <v>0</v>
      </c>
      <c r="F246" s="8">
        <f>+MINVU_Mes_Corriente!F246*SALUD_Mes_Constante!$C$1</f>
        <v>0</v>
      </c>
      <c r="G246" s="8">
        <f>+MINVU_Mes_Corriente!G246*SALUD_Mes_Constante!$C$1</f>
        <v>0</v>
      </c>
      <c r="H246" s="8">
        <f>+MINVU_Mes_Corriente!H246*SALUD_Mes_Constante!$C$1</f>
        <v>0</v>
      </c>
      <c r="I246" s="8">
        <f>+MINVU_Mes_Corriente!I246*SALUD_Mes_Constante!$C$1</f>
        <v>0</v>
      </c>
      <c r="J246" s="8">
        <f>+MINVU_Mes_Corriente!J246*SALUD_Mes_Constante!$C$1</f>
        <v>0</v>
      </c>
      <c r="K246" s="8">
        <f>+MINVU_Mes_Corriente!K246*SALUD_Mes_Constante!$C$1</f>
        <v>0</v>
      </c>
      <c r="L246" s="8">
        <f>+MINVU_Mes_Corriente!L246*SALUD_Mes_Constante!$C$1</f>
        <v>0</v>
      </c>
      <c r="M246" s="8">
        <f>+MINVU_Mes_Corriente!M246*SALUD_Mes_Constante!$C$1</f>
        <v>0</v>
      </c>
      <c r="N246" s="8">
        <f>+MINVU_Mes_Corriente!N246*SALUD_Mes_Constante!$C$1</f>
        <v>0</v>
      </c>
      <c r="O246" s="9">
        <f t="shared" si="114"/>
        <v>0</v>
      </c>
      <c r="P246" s="8">
        <f>+MINVU_Mes_Corriente!P246*SALUD_Mes_Constante!$P$1</f>
        <v>0</v>
      </c>
      <c r="Q246" s="8">
        <f>+MINVU_Mes_Corriente!Q246*SALUD_Mes_Constante!$P$1</f>
        <v>0</v>
      </c>
      <c r="R246" s="8">
        <f>+MINVU_Mes_Corriente!R246*SALUD_Mes_Constante!$P$1</f>
        <v>0</v>
      </c>
      <c r="S246" s="8">
        <f>+MINVU_Mes_Corriente!S246*SALUD_Mes_Constante!$P$1</f>
        <v>0</v>
      </c>
      <c r="T246" s="8">
        <f>+MINVU_Mes_Corriente!T246*SALUD_Mes_Constante!$P$1</f>
        <v>0</v>
      </c>
      <c r="U246" s="8">
        <f>+MINVU_Mes_Corriente!U246*SALUD_Mes_Constante!$P$1</f>
        <v>0</v>
      </c>
      <c r="V246" s="8">
        <f>+MINVU_Mes_Corriente!V246*SALUD_Mes_Constante!$P$1</f>
        <v>0</v>
      </c>
      <c r="W246" s="8">
        <f>+MINVU_Mes_Corriente!W246*SALUD_Mes_Constante!$P$1</f>
        <v>0</v>
      </c>
      <c r="X246" s="8">
        <f>+MINVU_Mes_Corriente!X246*SALUD_Mes_Constante!$P$1</f>
        <v>0</v>
      </c>
      <c r="Y246" s="8">
        <f>+MINVU_Mes_Corriente!Y246*SALUD_Mes_Constante!$P$1</f>
        <v>0</v>
      </c>
      <c r="Z246" s="8">
        <f>+MINVU_Mes_Corriente!Z246*SALUD_Mes_Constante!$P$1</f>
        <v>0</v>
      </c>
      <c r="AA246" s="8">
        <f>+MINVU_Mes_Corriente!AA246*SALUD_Mes_Constante!$P$1</f>
        <v>0</v>
      </c>
      <c r="AB246" s="9">
        <f t="shared" si="115"/>
        <v>0</v>
      </c>
      <c r="AC246" s="8">
        <f>+MINVU_Mes_Corriente!AC246*SALUD_Mes_Constante!$AC$1</f>
        <v>0</v>
      </c>
      <c r="AD246" s="8">
        <f>+MINVU_Mes_Corriente!AD246*SALUD_Mes_Constante!$AC$1</f>
        <v>0</v>
      </c>
      <c r="AE246" s="8">
        <f>+MINVU_Mes_Corriente!AE246*SALUD_Mes_Constante!$AC$1</f>
        <v>0</v>
      </c>
      <c r="AF246" s="8">
        <f>+MINVU_Mes_Corriente!AF246*SALUD_Mes_Constante!$AC$1</f>
        <v>0</v>
      </c>
      <c r="AG246" s="8">
        <f>+MINVU_Mes_Corriente!AG246*SALUD_Mes_Constante!$AC$1</f>
        <v>0</v>
      </c>
      <c r="AH246" s="8">
        <f>+MINVU_Mes_Corriente!AH246*SALUD_Mes_Constante!$AC$1</f>
        <v>0</v>
      </c>
      <c r="AI246" s="8">
        <f>+MINVU_Mes_Corriente!AI246*SALUD_Mes_Constante!$AC$1</f>
        <v>0</v>
      </c>
      <c r="AJ246" s="8">
        <f>+MINVU_Mes_Corriente!AJ246*SALUD_Mes_Constante!$AC$1</f>
        <v>0</v>
      </c>
      <c r="AK246" s="8">
        <f>+MINVU_Mes_Corriente!AK246*SALUD_Mes_Constante!$AC$1</f>
        <v>0</v>
      </c>
      <c r="AL246" s="8">
        <f>+MINVU_Mes_Corriente!AL246*SALUD_Mes_Constante!$AC$1</f>
        <v>0</v>
      </c>
      <c r="AM246" s="8">
        <f>+MINVU_Mes_Corriente!AM246*SALUD_Mes_Constante!$AC$1</f>
        <v>0</v>
      </c>
      <c r="AN246" s="8">
        <f>+MINVU_Mes_Corriente!AN246*SALUD_Mes_Constante!$AC$1</f>
        <v>0</v>
      </c>
      <c r="AO246" s="9">
        <f t="shared" si="116"/>
        <v>0</v>
      </c>
      <c r="AP246" s="8">
        <f>+MINVU_Mes_Corriente!AP246*SALUD_Mes_Constante!$AP$1</f>
        <v>0</v>
      </c>
      <c r="AQ246" s="8">
        <f>+MINVU_Mes_Corriente!AQ246*SALUD_Mes_Constante!$AP$1</f>
        <v>0</v>
      </c>
      <c r="AR246" s="8">
        <f>+MINVU_Mes_Corriente!AR246*SALUD_Mes_Constante!$AP$1</f>
        <v>0</v>
      </c>
      <c r="AS246" s="8">
        <f>+MINVU_Mes_Corriente!AS246*SALUD_Mes_Constante!$AP$1</f>
        <v>0</v>
      </c>
      <c r="AT246" s="8">
        <f>+MINVU_Mes_Corriente!AT246*SALUD_Mes_Constante!$AP$1</f>
        <v>0</v>
      </c>
      <c r="AU246" s="8">
        <f>+MINVU_Mes_Corriente!AU246*SALUD_Mes_Constante!$AP$1</f>
        <v>0</v>
      </c>
      <c r="AV246" s="8">
        <f>+MINVU_Mes_Corriente!AV246*SALUD_Mes_Constante!$AP$1</f>
        <v>0</v>
      </c>
      <c r="AW246" s="8">
        <f>+MINVU_Mes_Corriente!AW246*SALUD_Mes_Constante!$AP$1</f>
        <v>0</v>
      </c>
      <c r="AX246" s="8">
        <f>+MINVU_Mes_Corriente!AX246*SALUD_Mes_Constante!$AP$1</f>
        <v>0</v>
      </c>
      <c r="AY246" s="8">
        <f>+MINVU_Mes_Corriente!AY246*SALUD_Mes_Constante!$AP$1</f>
        <v>0</v>
      </c>
      <c r="AZ246" s="8">
        <f>+MINVU_Mes_Corriente!AZ246*SALUD_Mes_Constante!$AP$1</f>
        <v>0</v>
      </c>
      <c r="BA246" s="8">
        <f>+MINVU_Mes_Corriente!BA246*SALUD_Mes_Constante!$AP$1</f>
        <v>0</v>
      </c>
      <c r="BB246" s="9">
        <f t="shared" si="117"/>
        <v>0</v>
      </c>
      <c r="BC246" s="8">
        <f>+MINVU_Mes_Corriente!BC246*SALUD_Mes_Constante!$BC$1</f>
        <v>0</v>
      </c>
      <c r="BD246" s="8">
        <f>+MINVU_Mes_Corriente!BD246*SALUD_Mes_Constante!$BC$1</f>
        <v>0</v>
      </c>
      <c r="BE246" s="8">
        <f>+MINVU_Mes_Corriente!BE246*SALUD_Mes_Constante!$BC$1</f>
        <v>0</v>
      </c>
      <c r="BF246" s="8">
        <f>+MINVU_Mes_Corriente!BF246*SALUD_Mes_Constante!$BC$1</f>
        <v>0</v>
      </c>
      <c r="BG246" s="8">
        <f>+MINVU_Mes_Corriente!BG246*SALUD_Mes_Constante!$BC$1</f>
        <v>0</v>
      </c>
      <c r="BH246" s="8">
        <f>+MINVU_Mes_Corriente!BH246*SALUD_Mes_Constante!$BC$1</f>
        <v>0</v>
      </c>
      <c r="BI246" s="8">
        <f>+MINVU_Mes_Corriente!BI246*SALUD_Mes_Constante!$BC$1</f>
        <v>0</v>
      </c>
      <c r="BJ246" s="8">
        <f>+MINVU_Mes_Corriente!BJ246*SALUD_Mes_Constante!$BC$1</f>
        <v>0</v>
      </c>
      <c r="BK246" s="8">
        <f>+MINVU_Mes_Corriente!BK246*SALUD_Mes_Constante!$BC$1</f>
        <v>0</v>
      </c>
      <c r="BL246" s="8">
        <f>+MINVU_Mes_Corriente!BL246*SALUD_Mes_Constante!$BC$1</f>
        <v>0</v>
      </c>
      <c r="BM246" s="8">
        <f>+MINVU_Mes_Corriente!BM246*SALUD_Mes_Constante!$BC$1</f>
        <v>0</v>
      </c>
      <c r="BN246" s="8">
        <f>+MINVU_Mes_Corriente!BN246*SALUD_Mes_Constante!$BC$1</f>
        <v>0</v>
      </c>
      <c r="BO246" s="9">
        <f t="shared" si="118"/>
        <v>0</v>
      </c>
      <c r="BP246" s="8">
        <f>+MINVU_Mes_Corriente!BP246*SALUD_Mes_Constante!$BP$1</f>
        <v>0</v>
      </c>
      <c r="BQ246" s="8">
        <f>+MINVU_Mes_Corriente!BQ246*SALUD_Mes_Constante!$BP$1</f>
        <v>0</v>
      </c>
      <c r="BR246" s="8">
        <f>+MINVU_Mes_Corriente!BR246*SALUD_Mes_Constante!$BP$1</f>
        <v>0</v>
      </c>
      <c r="BS246" s="8">
        <f>+MINVU_Mes_Corriente!BS246*SALUD_Mes_Constante!$BP$1</f>
        <v>0</v>
      </c>
      <c r="BT246" s="8">
        <f>+MINVU_Mes_Corriente!BT246*SALUD_Mes_Constante!$BP$1</f>
        <v>0</v>
      </c>
      <c r="BU246" s="8">
        <f>+MINVU_Mes_Corriente!BU246*SALUD_Mes_Constante!$BP$1</f>
        <v>0</v>
      </c>
      <c r="BV246" s="8">
        <f>+MINVU_Mes_Corriente!BV246*SALUD_Mes_Constante!$BP$1</f>
        <v>0</v>
      </c>
      <c r="BW246" s="8">
        <f>+MINVU_Mes_Corriente!BW246*SALUD_Mes_Constante!$BP$1</f>
        <v>0</v>
      </c>
      <c r="BX246" s="8">
        <f>+MINVU_Mes_Corriente!BX246*SALUD_Mes_Constante!$BP$1</f>
        <v>0</v>
      </c>
      <c r="BY246" s="8">
        <f>+MINVU_Mes_Corriente!BY246*SALUD_Mes_Constante!$BP$1</f>
        <v>0</v>
      </c>
      <c r="BZ246" s="8">
        <f>+MINVU_Mes_Corriente!BZ246*SALUD_Mes_Constante!$BP$1</f>
        <v>0</v>
      </c>
      <c r="CA246" s="8">
        <f>+MINVU_Mes_Corriente!CA246*SALUD_Mes_Constante!$BP$1</f>
        <v>0</v>
      </c>
      <c r="CB246" s="9">
        <f t="shared" si="119"/>
        <v>0</v>
      </c>
      <c r="CC246" s="8">
        <f>+MINVU_Mes_Corriente!CC246*SALUD_Mes_Constante!$CC$1</f>
        <v>0</v>
      </c>
      <c r="CD246" s="8">
        <f>+MINVU_Mes_Corriente!CD246*SALUD_Mes_Constante!$CC$1</f>
        <v>0</v>
      </c>
      <c r="CE246" s="8">
        <f>+MINVU_Mes_Corriente!CE246*SALUD_Mes_Constante!$CC$1</f>
        <v>0</v>
      </c>
      <c r="CF246" s="8">
        <f>+MINVU_Mes_Corriente!CF246*SALUD_Mes_Constante!$CC$1</f>
        <v>0</v>
      </c>
      <c r="CG246" s="8">
        <f>+MINVU_Mes_Corriente!CG246*SALUD_Mes_Constante!$CC$1</f>
        <v>0</v>
      </c>
      <c r="CH246" s="8">
        <f>+MINVU_Mes_Corriente!CH246*SALUD_Mes_Constante!$CC$1</f>
        <v>0</v>
      </c>
      <c r="CI246" s="8">
        <f>+MINVU_Mes_Corriente!CI246*SALUD_Mes_Constante!$CC$1</f>
        <v>0</v>
      </c>
      <c r="CJ246" s="8">
        <f>+MINVU_Mes_Corriente!CJ246*SALUD_Mes_Constante!$CC$1</f>
        <v>0</v>
      </c>
      <c r="CK246" s="8">
        <f>+MINVU_Mes_Corriente!CK246*SALUD_Mes_Constante!$CC$1</f>
        <v>0</v>
      </c>
      <c r="CL246" s="8">
        <f>+MINVU_Mes_Corriente!CL246*SALUD_Mes_Constante!$CC$1</f>
        <v>0</v>
      </c>
      <c r="CM246" s="8">
        <f>+MINVU_Mes_Corriente!CM246*SALUD_Mes_Constante!$CC$1</f>
        <v>0</v>
      </c>
      <c r="CN246" s="8">
        <f>+MINVU_Mes_Corriente!CN246*SALUD_Mes_Constante!$CC$1</f>
        <v>0</v>
      </c>
      <c r="CO246" s="9">
        <f t="shared" si="120"/>
        <v>0</v>
      </c>
      <c r="CP246" s="8">
        <f>+MINVU_Mes_Corriente!CP246*SALUD_Mes_Constante!$CP$1</f>
        <v>0</v>
      </c>
      <c r="CQ246" s="8">
        <f>+MINVU_Mes_Corriente!CQ246*SALUD_Mes_Constante!$CP$1</f>
        <v>0</v>
      </c>
      <c r="CR246" s="8">
        <f>+MINVU_Mes_Corriente!CR246*SALUD_Mes_Constante!$CP$1</f>
        <v>0</v>
      </c>
      <c r="CS246" s="8">
        <f>+MINVU_Mes_Corriente!CS246*SALUD_Mes_Constante!$CP$1</f>
        <v>0</v>
      </c>
      <c r="CT246" s="8">
        <f>+MINVU_Mes_Corriente!CT246*SALUD_Mes_Constante!$CP$1</f>
        <v>0</v>
      </c>
      <c r="CU246" s="8">
        <f>+MINVU_Mes_Corriente!CU246*SALUD_Mes_Constante!$CP$1</f>
        <v>0</v>
      </c>
      <c r="CV246" s="8">
        <f>+MINVU_Mes_Corriente!CV246*SALUD_Mes_Constante!$CP$1</f>
        <v>0</v>
      </c>
      <c r="CW246" s="8">
        <f>+MINVU_Mes_Corriente!CW246*SALUD_Mes_Constante!$CP$1</f>
        <v>0</v>
      </c>
      <c r="CX246" s="8">
        <f>+MINVU_Mes_Corriente!CX246*SALUD_Mes_Constante!$CP$1</f>
        <v>0</v>
      </c>
      <c r="CY246" s="8">
        <f>+MINVU_Mes_Corriente!CY246*SALUD_Mes_Constante!$CP$1</f>
        <v>0</v>
      </c>
      <c r="CZ246" s="8">
        <f>+MINVU_Mes_Corriente!CZ246*SALUD_Mes_Constante!$CP$1</f>
        <v>0</v>
      </c>
      <c r="DA246" s="8">
        <f>+MINVU_Mes_Corriente!DA246*SALUD_Mes_Constante!$CP$1</f>
        <v>0</v>
      </c>
      <c r="DB246" s="9">
        <f t="shared" si="121"/>
        <v>0</v>
      </c>
      <c r="DC246" s="8">
        <f>+MINVU_Mes_Corriente!DC246*SALUD_Mes_Constante!$DC$1</f>
        <v>0</v>
      </c>
      <c r="DD246" s="8">
        <f>+MINVU_Mes_Corriente!DD246*SALUD_Mes_Constante!$DC$1</f>
        <v>0</v>
      </c>
      <c r="DE246" s="8">
        <f>+MINVU_Mes_Corriente!DE246*SALUD_Mes_Constante!$DC$1</f>
        <v>0</v>
      </c>
      <c r="DF246" s="8">
        <f>+MINVU_Mes_Corriente!DF246*SALUD_Mes_Constante!$DC$1</f>
        <v>0</v>
      </c>
      <c r="DG246" s="8">
        <f>+MINVU_Mes_Corriente!DG246*SALUD_Mes_Constante!$DC$1</f>
        <v>0</v>
      </c>
      <c r="DH246" s="8">
        <f>+MINVU_Mes_Corriente!DH246*SALUD_Mes_Constante!$DC$1</f>
        <v>0</v>
      </c>
      <c r="DI246" s="8">
        <f>+MINVU_Mes_Corriente!DI246*SALUD_Mes_Constante!$DC$1</f>
        <v>0</v>
      </c>
      <c r="DJ246" s="8">
        <f>+MINVU_Mes_Corriente!DJ246*SALUD_Mes_Constante!$DC$1</f>
        <v>0</v>
      </c>
      <c r="DK246" s="8">
        <f>+MINVU_Mes_Corriente!DK246*SALUD_Mes_Constante!$DC$1</f>
        <v>0</v>
      </c>
      <c r="DL246" s="8">
        <f>+MINVU_Mes_Corriente!DL246*SALUD_Mes_Constante!$DC$1</f>
        <v>0</v>
      </c>
      <c r="DM246" s="8">
        <f>+MINVU_Mes_Corriente!DM246*SALUD_Mes_Constante!$DC$1</f>
        <v>0</v>
      </c>
      <c r="DN246" s="8">
        <f>+MINVU_Mes_Corriente!DN246*SALUD_Mes_Constante!$DC$1</f>
        <v>0</v>
      </c>
      <c r="DO246" s="9">
        <f t="shared" si="122"/>
        <v>0</v>
      </c>
      <c r="DP246" s="8">
        <f>+MINVU_Mes_Corriente!DP246*SALUD_Mes_Constante!$DP$1</f>
        <v>0</v>
      </c>
      <c r="DQ246" s="8">
        <f>+MINVU_Mes_Corriente!DQ246*SALUD_Mes_Constante!$DP$1</f>
        <v>0</v>
      </c>
      <c r="DR246" s="8">
        <f>+MINVU_Mes_Corriente!DR246*SALUD_Mes_Constante!$DP$1</f>
        <v>0</v>
      </c>
      <c r="DS246" s="8">
        <f>+MINVU_Mes_Corriente!DS246*SALUD_Mes_Constante!$DP$1</f>
        <v>0</v>
      </c>
      <c r="DT246" s="8">
        <f>+MINVU_Mes_Corriente!DT246*SALUD_Mes_Constante!$DP$1</f>
        <v>0</v>
      </c>
      <c r="DU246" s="8">
        <f>+MINVU_Mes_Corriente!DU246*SALUD_Mes_Constante!$DP$1</f>
        <v>0</v>
      </c>
      <c r="DV246" s="8">
        <f>+MINVU_Mes_Corriente!DV246*SALUD_Mes_Constante!$DP$1</f>
        <v>0</v>
      </c>
      <c r="DW246" s="8">
        <f>+MINVU_Mes_Corriente!DW246*SALUD_Mes_Constante!$DP$1</f>
        <v>0</v>
      </c>
      <c r="DX246" s="8">
        <f>+MINVU_Mes_Corriente!DX246*SALUD_Mes_Constante!$DP$1</f>
        <v>0</v>
      </c>
      <c r="DY246" s="8">
        <f>+MINVU_Mes_Corriente!DY246*SALUD_Mes_Constante!$DP$1</f>
        <v>0</v>
      </c>
      <c r="DZ246" s="8">
        <f>+MINVU_Mes_Corriente!DZ246*SALUD_Mes_Constante!$DP$1</f>
        <v>0</v>
      </c>
      <c r="EA246" s="8">
        <f>+MINVU_Mes_Corriente!EA246*SALUD_Mes_Constante!$DP$1</f>
        <v>0</v>
      </c>
      <c r="EB246" s="9">
        <f t="shared" si="123"/>
        <v>0</v>
      </c>
      <c r="EC246" s="8">
        <f>+MINVU_Mes_Corriente!EC246*SALUD_Mes_Constante!$EC$1</f>
        <v>0</v>
      </c>
      <c r="ED246" s="8">
        <f>+MINVU_Mes_Corriente!ED246*SALUD_Mes_Constante!$EC$1</f>
        <v>0</v>
      </c>
      <c r="EE246" s="8">
        <f>+MINVU_Mes_Corriente!EE246*SALUD_Mes_Constante!$EC$1</f>
        <v>0</v>
      </c>
      <c r="EF246" s="8">
        <f>+MINVU_Mes_Corriente!EF246*SALUD_Mes_Constante!$EC$1</f>
        <v>0</v>
      </c>
      <c r="EG246" s="8">
        <f>+MINVU_Mes_Corriente!EG246*SALUD_Mes_Constante!$EC$1</f>
        <v>0</v>
      </c>
      <c r="EH246" s="8">
        <f>+MINVU_Mes_Corriente!EH246*SALUD_Mes_Constante!$EC$1</f>
        <v>0</v>
      </c>
      <c r="EI246" s="8">
        <f>+MINVU_Mes_Corriente!EI246*SALUD_Mes_Constante!$EC$1</f>
        <v>0</v>
      </c>
      <c r="EJ246" s="8">
        <f>+MINVU_Mes_Corriente!EJ246*SALUD_Mes_Constante!$EC$1</f>
        <v>0</v>
      </c>
      <c r="EK246" s="8">
        <f>+MINVU_Mes_Corriente!EK246*SALUD_Mes_Constante!$EC$1</f>
        <v>0</v>
      </c>
      <c r="EL246" s="8">
        <f>+MINVU_Mes_Corriente!EL246*SALUD_Mes_Constante!$EC$1</f>
        <v>0</v>
      </c>
      <c r="EM246" s="8">
        <f>+MINVU_Mes_Corriente!EM246*SALUD_Mes_Constante!$EC$1</f>
        <v>0</v>
      </c>
      <c r="EN246" s="8">
        <f>+MINVU_Mes_Corriente!EN246*SALUD_Mes_Constante!$EC$1</f>
        <v>0</v>
      </c>
      <c r="EO246" s="9">
        <f t="shared" si="124"/>
        <v>0</v>
      </c>
      <c r="EP246" s="8">
        <f>+MINVU_Mes_Corriente!EP246*SALUD_Mes_Constante!$EP$1</f>
        <v>0</v>
      </c>
      <c r="EQ246" s="8">
        <f>+MINVU_Mes_Corriente!EQ246*SALUD_Mes_Constante!$EP$1</f>
        <v>0</v>
      </c>
      <c r="ER246" s="8">
        <f>+MINVU_Mes_Corriente!ER246*SALUD_Mes_Constante!$EP$1</f>
        <v>0</v>
      </c>
      <c r="ES246" s="8">
        <f>+MINVU_Mes_Corriente!ES246*SALUD_Mes_Constante!$EP$1</f>
        <v>0</v>
      </c>
      <c r="ET246" s="8">
        <f>+MINVU_Mes_Corriente!ET246*SALUD_Mes_Constante!$EP$1</f>
        <v>0</v>
      </c>
      <c r="EU246" s="8">
        <f>+MINVU_Mes_Corriente!EU246*SALUD_Mes_Constante!$EP$1</f>
        <v>0</v>
      </c>
      <c r="EV246" s="8">
        <f>+MINVU_Mes_Corriente!EV246*SALUD_Mes_Constante!$EP$1</f>
        <v>0</v>
      </c>
      <c r="EW246" s="8">
        <f>+MINVU_Mes_Corriente!EW246*SALUD_Mes_Constante!$EP$1</f>
        <v>0</v>
      </c>
      <c r="EX246" s="8">
        <f>+MINVU_Mes_Corriente!EX246*SALUD_Mes_Constante!$EP$1</f>
        <v>0</v>
      </c>
      <c r="EY246" s="8">
        <f>+MINVU_Mes_Corriente!EY246*SALUD_Mes_Constante!$EP$1</f>
        <v>0</v>
      </c>
      <c r="EZ246" s="8">
        <f>+MINVU_Mes_Corriente!EZ246*SALUD_Mes_Constante!$EP$1</f>
        <v>0</v>
      </c>
      <c r="FA246" s="8">
        <f>+MINVU_Mes_Corriente!FA246*SALUD_Mes_Constante!$EP$1</f>
        <v>0</v>
      </c>
      <c r="FB246" s="9">
        <f t="shared" si="125"/>
        <v>0</v>
      </c>
      <c r="FC246" s="8">
        <f>+MINVU_Mes_Corriente!FC246*SALUD_Mes_Constante!$FC$1</f>
        <v>0</v>
      </c>
      <c r="FD246" s="8">
        <f>+MINVU_Mes_Corriente!FD246*SALUD_Mes_Constante!$FC$1</f>
        <v>0</v>
      </c>
      <c r="FE246" s="8">
        <f>+MINVU_Mes_Corriente!FE246*SALUD_Mes_Constante!$FC$1</f>
        <v>0</v>
      </c>
      <c r="FF246" s="8">
        <f>+MINVU_Mes_Corriente!FF246*SALUD_Mes_Constante!$FC$1</f>
        <v>0</v>
      </c>
      <c r="FG246" s="8">
        <f>+MINVU_Mes_Corriente!FG246*SALUD_Mes_Constante!$FC$1</f>
        <v>0</v>
      </c>
      <c r="FH246" s="8">
        <f>+MINVU_Mes_Corriente!FH246*SALUD_Mes_Constante!$FC$1</f>
        <v>0</v>
      </c>
      <c r="FI246" s="8">
        <f>+MINVU_Mes_Corriente!FI246*SALUD_Mes_Constante!$FC$1</f>
        <v>0</v>
      </c>
      <c r="FJ246" s="8"/>
      <c r="FK246" s="8"/>
      <c r="FL246" s="8"/>
      <c r="FM246" s="8"/>
      <c r="FN246" s="8"/>
      <c r="FO246" s="9">
        <f t="shared" si="126"/>
        <v>0</v>
      </c>
    </row>
    <row r="247" spans="2:171" ht="14.25" customHeight="1" x14ac:dyDescent="0.3">
      <c r="B247" s="7" t="s">
        <v>60</v>
      </c>
      <c r="C247" s="8">
        <f>+MINVU_Mes_Corriente!C247*SALUD_Mes_Constante!$C$1</f>
        <v>0</v>
      </c>
      <c r="D247" s="8">
        <f>+MINVU_Mes_Corriente!D247*SALUD_Mes_Constante!$C$1</f>
        <v>0</v>
      </c>
      <c r="E247" s="8">
        <f>+MINVU_Mes_Corriente!E247*SALUD_Mes_Constante!$C$1</f>
        <v>0</v>
      </c>
      <c r="F247" s="8">
        <f>+MINVU_Mes_Corriente!F247*SALUD_Mes_Constante!$C$1</f>
        <v>0</v>
      </c>
      <c r="G247" s="8">
        <f>+MINVU_Mes_Corriente!G247*SALUD_Mes_Constante!$C$1</f>
        <v>0</v>
      </c>
      <c r="H247" s="8">
        <f>+MINVU_Mes_Corriente!H247*SALUD_Mes_Constante!$C$1</f>
        <v>0</v>
      </c>
      <c r="I247" s="8">
        <f>+MINVU_Mes_Corriente!I247*SALUD_Mes_Constante!$C$1</f>
        <v>0</v>
      </c>
      <c r="J247" s="8">
        <f>+MINVU_Mes_Corriente!J247*SALUD_Mes_Constante!$C$1</f>
        <v>0</v>
      </c>
      <c r="K247" s="8">
        <f>+MINVU_Mes_Corriente!K247*SALUD_Mes_Constante!$C$1</f>
        <v>0</v>
      </c>
      <c r="L247" s="8">
        <f>+MINVU_Mes_Corriente!L247*SALUD_Mes_Constante!$C$1</f>
        <v>0</v>
      </c>
      <c r="M247" s="8">
        <f>+MINVU_Mes_Corriente!M247*SALUD_Mes_Constante!$C$1</f>
        <v>0</v>
      </c>
      <c r="N247" s="8">
        <f>+MINVU_Mes_Corriente!N247*SALUD_Mes_Constante!$C$1</f>
        <v>0</v>
      </c>
      <c r="O247" s="9">
        <f t="shared" si="114"/>
        <v>0</v>
      </c>
      <c r="P247" s="8">
        <f>+MINVU_Mes_Corriente!P247*SALUD_Mes_Constante!$P$1</f>
        <v>0</v>
      </c>
      <c r="Q247" s="8">
        <f>+MINVU_Mes_Corriente!Q247*SALUD_Mes_Constante!$P$1</f>
        <v>0</v>
      </c>
      <c r="R247" s="8">
        <f>+MINVU_Mes_Corriente!R247*SALUD_Mes_Constante!$P$1</f>
        <v>0</v>
      </c>
      <c r="S247" s="8">
        <f>+MINVU_Mes_Corriente!S247*SALUD_Mes_Constante!$P$1</f>
        <v>0</v>
      </c>
      <c r="T247" s="8">
        <f>+MINVU_Mes_Corriente!T247*SALUD_Mes_Constante!$P$1</f>
        <v>0</v>
      </c>
      <c r="U247" s="8">
        <f>+MINVU_Mes_Corriente!U247*SALUD_Mes_Constante!$P$1</f>
        <v>0</v>
      </c>
      <c r="V247" s="8">
        <f>+MINVU_Mes_Corriente!V247*SALUD_Mes_Constante!$P$1</f>
        <v>0</v>
      </c>
      <c r="W247" s="8">
        <f>+MINVU_Mes_Corriente!W247*SALUD_Mes_Constante!$P$1</f>
        <v>0</v>
      </c>
      <c r="X247" s="8">
        <f>+MINVU_Mes_Corriente!X247*SALUD_Mes_Constante!$P$1</f>
        <v>0</v>
      </c>
      <c r="Y247" s="8">
        <f>+MINVU_Mes_Corriente!Y247*SALUD_Mes_Constante!$P$1</f>
        <v>0</v>
      </c>
      <c r="Z247" s="8">
        <f>+MINVU_Mes_Corriente!Z247*SALUD_Mes_Constante!$P$1</f>
        <v>0</v>
      </c>
      <c r="AA247" s="8">
        <f>+MINVU_Mes_Corriente!AA247*SALUD_Mes_Constante!$P$1</f>
        <v>0</v>
      </c>
      <c r="AB247" s="9">
        <f t="shared" si="115"/>
        <v>0</v>
      </c>
      <c r="AC247" s="8">
        <f>+MINVU_Mes_Corriente!AC247*SALUD_Mes_Constante!$AC$1</f>
        <v>0</v>
      </c>
      <c r="AD247" s="8">
        <f>+MINVU_Mes_Corriente!AD247*SALUD_Mes_Constante!$AC$1</f>
        <v>0</v>
      </c>
      <c r="AE247" s="8">
        <f>+MINVU_Mes_Corriente!AE247*SALUD_Mes_Constante!$AC$1</f>
        <v>0</v>
      </c>
      <c r="AF247" s="8">
        <f>+MINVU_Mes_Corriente!AF247*SALUD_Mes_Constante!$AC$1</f>
        <v>0</v>
      </c>
      <c r="AG247" s="8">
        <f>+MINVU_Mes_Corriente!AG247*SALUD_Mes_Constante!$AC$1</f>
        <v>0</v>
      </c>
      <c r="AH247" s="8">
        <f>+MINVU_Mes_Corriente!AH247*SALUD_Mes_Constante!$AC$1</f>
        <v>0</v>
      </c>
      <c r="AI247" s="8">
        <f>+MINVU_Mes_Corriente!AI247*SALUD_Mes_Constante!$AC$1</f>
        <v>0</v>
      </c>
      <c r="AJ247" s="8">
        <f>+MINVU_Mes_Corriente!AJ247*SALUD_Mes_Constante!$AC$1</f>
        <v>0</v>
      </c>
      <c r="AK247" s="8">
        <f>+MINVU_Mes_Corriente!AK247*SALUD_Mes_Constante!$AC$1</f>
        <v>0</v>
      </c>
      <c r="AL247" s="8">
        <f>+MINVU_Mes_Corriente!AL247*SALUD_Mes_Constante!$AC$1</f>
        <v>0</v>
      </c>
      <c r="AM247" s="8">
        <f>+MINVU_Mes_Corriente!AM247*SALUD_Mes_Constante!$AC$1</f>
        <v>0</v>
      </c>
      <c r="AN247" s="8">
        <f>+MINVU_Mes_Corriente!AN247*SALUD_Mes_Constante!$AC$1</f>
        <v>0</v>
      </c>
      <c r="AO247" s="9">
        <f t="shared" si="116"/>
        <v>0</v>
      </c>
      <c r="AP247" s="8">
        <f>+MINVU_Mes_Corriente!AP247*SALUD_Mes_Constante!$AP$1</f>
        <v>0</v>
      </c>
      <c r="AQ247" s="8">
        <f>+MINVU_Mes_Corriente!AQ247*SALUD_Mes_Constante!$AP$1</f>
        <v>0</v>
      </c>
      <c r="AR247" s="8">
        <f>+MINVU_Mes_Corriente!AR247*SALUD_Mes_Constante!$AP$1</f>
        <v>0</v>
      </c>
      <c r="AS247" s="8">
        <f>+MINVU_Mes_Corriente!AS247*SALUD_Mes_Constante!$AP$1</f>
        <v>0</v>
      </c>
      <c r="AT247" s="8">
        <f>+MINVU_Mes_Corriente!AT247*SALUD_Mes_Constante!$AP$1</f>
        <v>0</v>
      </c>
      <c r="AU247" s="8">
        <f>+MINVU_Mes_Corriente!AU247*SALUD_Mes_Constante!$AP$1</f>
        <v>0</v>
      </c>
      <c r="AV247" s="8">
        <f>+MINVU_Mes_Corriente!AV247*SALUD_Mes_Constante!$AP$1</f>
        <v>0</v>
      </c>
      <c r="AW247" s="8">
        <f>+MINVU_Mes_Corriente!AW247*SALUD_Mes_Constante!$AP$1</f>
        <v>0</v>
      </c>
      <c r="AX247" s="8">
        <f>+MINVU_Mes_Corriente!AX247*SALUD_Mes_Constante!$AP$1</f>
        <v>0</v>
      </c>
      <c r="AY247" s="8">
        <f>+MINVU_Mes_Corriente!AY247*SALUD_Mes_Constante!$AP$1</f>
        <v>0</v>
      </c>
      <c r="AZ247" s="8">
        <f>+MINVU_Mes_Corriente!AZ247*SALUD_Mes_Constante!$AP$1</f>
        <v>0</v>
      </c>
      <c r="BA247" s="8">
        <f>+MINVU_Mes_Corriente!BA247*SALUD_Mes_Constante!$AP$1</f>
        <v>0</v>
      </c>
      <c r="BB247" s="9">
        <f t="shared" si="117"/>
        <v>0</v>
      </c>
      <c r="BC247" s="8">
        <f>+MINVU_Mes_Corriente!BC247*SALUD_Mes_Constante!$BC$1</f>
        <v>0</v>
      </c>
      <c r="BD247" s="8">
        <f>+MINVU_Mes_Corriente!BD247*SALUD_Mes_Constante!$BC$1</f>
        <v>0</v>
      </c>
      <c r="BE247" s="8">
        <f>+MINVU_Mes_Corriente!BE247*SALUD_Mes_Constante!$BC$1</f>
        <v>0</v>
      </c>
      <c r="BF247" s="8">
        <f>+MINVU_Mes_Corriente!BF247*SALUD_Mes_Constante!$BC$1</f>
        <v>0</v>
      </c>
      <c r="BG247" s="8">
        <f>+MINVU_Mes_Corriente!BG247*SALUD_Mes_Constante!$BC$1</f>
        <v>0</v>
      </c>
      <c r="BH247" s="8">
        <f>+MINVU_Mes_Corriente!BH247*SALUD_Mes_Constante!$BC$1</f>
        <v>0</v>
      </c>
      <c r="BI247" s="8">
        <f>+MINVU_Mes_Corriente!BI247*SALUD_Mes_Constante!$BC$1</f>
        <v>0</v>
      </c>
      <c r="BJ247" s="8">
        <f>+MINVU_Mes_Corriente!BJ247*SALUD_Mes_Constante!$BC$1</f>
        <v>0</v>
      </c>
      <c r="BK247" s="8">
        <f>+MINVU_Mes_Corriente!BK247*SALUD_Mes_Constante!$BC$1</f>
        <v>0</v>
      </c>
      <c r="BL247" s="8">
        <f>+MINVU_Mes_Corriente!BL247*SALUD_Mes_Constante!$BC$1</f>
        <v>0</v>
      </c>
      <c r="BM247" s="8">
        <f>+MINVU_Mes_Corriente!BM247*SALUD_Mes_Constante!$BC$1</f>
        <v>0</v>
      </c>
      <c r="BN247" s="8">
        <f>+MINVU_Mes_Corriente!BN247*SALUD_Mes_Constante!$BC$1</f>
        <v>0</v>
      </c>
      <c r="BO247" s="9">
        <f t="shared" si="118"/>
        <v>0</v>
      </c>
      <c r="BP247" s="8">
        <f>+MINVU_Mes_Corriente!BP247*SALUD_Mes_Constante!$BP$1</f>
        <v>0</v>
      </c>
      <c r="BQ247" s="8">
        <f>+MINVU_Mes_Corriente!BQ247*SALUD_Mes_Constante!$BP$1</f>
        <v>0</v>
      </c>
      <c r="BR247" s="8">
        <f>+MINVU_Mes_Corriente!BR247*SALUD_Mes_Constante!$BP$1</f>
        <v>0</v>
      </c>
      <c r="BS247" s="8">
        <f>+MINVU_Mes_Corriente!BS247*SALUD_Mes_Constante!$BP$1</f>
        <v>0</v>
      </c>
      <c r="BT247" s="8">
        <f>+MINVU_Mes_Corriente!BT247*SALUD_Mes_Constante!$BP$1</f>
        <v>0</v>
      </c>
      <c r="BU247" s="8">
        <f>+MINVU_Mes_Corriente!BU247*SALUD_Mes_Constante!$BP$1</f>
        <v>0</v>
      </c>
      <c r="BV247" s="8">
        <f>+MINVU_Mes_Corriente!BV247*SALUD_Mes_Constante!$BP$1</f>
        <v>0</v>
      </c>
      <c r="BW247" s="8">
        <f>+MINVU_Mes_Corriente!BW247*SALUD_Mes_Constante!$BP$1</f>
        <v>0</v>
      </c>
      <c r="BX247" s="8">
        <f>+MINVU_Mes_Corriente!BX247*SALUD_Mes_Constante!$BP$1</f>
        <v>0</v>
      </c>
      <c r="BY247" s="8">
        <f>+MINVU_Mes_Corriente!BY247*SALUD_Mes_Constante!$BP$1</f>
        <v>0</v>
      </c>
      <c r="BZ247" s="8">
        <f>+MINVU_Mes_Corriente!BZ247*SALUD_Mes_Constante!$BP$1</f>
        <v>0</v>
      </c>
      <c r="CA247" s="8">
        <f>+MINVU_Mes_Corriente!CA247*SALUD_Mes_Constante!$BP$1</f>
        <v>0</v>
      </c>
      <c r="CB247" s="9">
        <f t="shared" si="119"/>
        <v>0</v>
      </c>
      <c r="CC247" s="8">
        <f>+MINVU_Mes_Corriente!CC247*SALUD_Mes_Constante!$CC$1</f>
        <v>0</v>
      </c>
      <c r="CD247" s="8">
        <f>+MINVU_Mes_Corriente!CD247*SALUD_Mes_Constante!$CC$1</f>
        <v>0</v>
      </c>
      <c r="CE247" s="8">
        <f>+MINVU_Mes_Corriente!CE247*SALUD_Mes_Constante!$CC$1</f>
        <v>0</v>
      </c>
      <c r="CF247" s="8">
        <f>+MINVU_Mes_Corriente!CF247*SALUD_Mes_Constante!$CC$1</f>
        <v>0</v>
      </c>
      <c r="CG247" s="8">
        <f>+MINVU_Mes_Corriente!CG247*SALUD_Mes_Constante!$CC$1</f>
        <v>0</v>
      </c>
      <c r="CH247" s="8">
        <f>+MINVU_Mes_Corriente!CH247*SALUD_Mes_Constante!$CC$1</f>
        <v>0</v>
      </c>
      <c r="CI247" s="8">
        <f>+MINVU_Mes_Corriente!CI247*SALUD_Mes_Constante!$CC$1</f>
        <v>0</v>
      </c>
      <c r="CJ247" s="8">
        <f>+MINVU_Mes_Corriente!CJ247*SALUD_Mes_Constante!$CC$1</f>
        <v>0</v>
      </c>
      <c r="CK247" s="8">
        <f>+MINVU_Mes_Corriente!CK247*SALUD_Mes_Constante!$CC$1</f>
        <v>0</v>
      </c>
      <c r="CL247" s="8">
        <f>+MINVU_Mes_Corriente!CL247*SALUD_Mes_Constante!$CC$1</f>
        <v>0</v>
      </c>
      <c r="CM247" s="8">
        <f>+MINVU_Mes_Corriente!CM247*SALUD_Mes_Constante!$CC$1</f>
        <v>0</v>
      </c>
      <c r="CN247" s="8">
        <f>+MINVU_Mes_Corriente!CN247*SALUD_Mes_Constante!$CC$1</f>
        <v>0</v>
      </c>
      <c r="CO247" s="9">
        <f t="shared" si="120"/>
        <v>0</v>
      </c>
      <c r="CP247" s="8">
        <f>+MINVU_Mes_Corriente!CP247*SALUD_Mes_Constante!$CP$1</f>
        <v>0</v>
      </c>
      <c r="CQ247" s="8">
        <f>+MINVU_Mes_Corriente!CQ247*SALUD_Mes_Constante!$CP$1</f>
        <v>0</v>
      </c>
      <c r="CR247" s="8">
        <f>+MINVU_Mes_Corriente!CR247*SALUD_Mes_Constante!$CP$1</f>
        <v>0</v>
      </c>
      <c r="CS247" s="8">
        <f>+MINVU_Mes_Corriente!CS247*SALUD_Mes_Constante!$CP$1</f>
        <v>0</v>
      </c>
      <c r="CT247" s="8">
        <f>+MINVU_Mes_Corriente!CT247*SALUD_Mes_Constante!$CP$1</f>
        <v>0</v>
      </c>
      <c r="CU247" s="8">
        <f>+MINVU_Mes_Corriente!CU247*SALUD_Mes_Constante!$CP$1</f>
        <v>0</v>
      </c>
      <c r="CV247" s="8">
        <f>+MINVU_Mes_Corriente!CV247*SALUD_Mes_Constante!$CP$1</f>
        <v>0</v>
      </c>
      <c r="CW247" s="8">
        <f>+MINVU_Mes_Corriente!CW247*SALUD_Mes_Constante!$CP$1</f>
        <v>0</v>
      </c>
      <c r="CX247" s="8">
        <f>+MINVU_Mes_Corriente!CX247*SALUD_Mes_Constante!$CP$1</f>
        <v>0</v>
      </c>
      <c r="CY247" s="8">
        <f>+MINVU_Mes_Corriente!CY247*SALUD_Mes_Constante!$CP$1</f>
        <v>0</v>
      </c>
      <c r="CZ247" s="8">
        <f>+MINVU_Mes_Corriente!CZ247*SALUD_Mes_Constante!$CP$1</f>
        <v>0</v>
      </c>
      <c r="DA247" s="8">
        <f>+MINVU_Mes_Corriente!DA247*SALUD_Mes_Constante!$CP$1</f>
        <v>0</v>
      </c>
      <c r="DB247" s="9">
        <f t="shared" si="121"/>
        <v>0</v>
      </c>
      <c r="DC247" s="8">
        <f>+MINVU_Mes_Corriente!DC247*SALUD_Mes_Constante!$DC$1</f>
        <v>0</v>
      </c>
      <c r="DD247" s="8">
        <f>+MINVU_Mes_Corriente!DD247*SALUD_Mes_Constante!$DC$1</f>
        <v>0</v>
      </c>
      <c r="DE247" s="8">
        <f>+MINVU_Mes_Corriente!DE247*SALUD_Mes_Constante!$DC$1</f>
        <v>0</v>
      </c>
      <c r="DF247" s="8">
        <f>+MINVU_Mes_Corriente!DF247*SALUD_Mes_Constante!$DC$1</f>
        <v>0</v>
      </c>
      <c r="DG247" s="8">
        <f>+MINVU_Mes_Corriente!DG247*SALUD_Mes_Constante!$DC$1</f>
        <v>0</v>
      </c>
      <c r="DH247" s="8">
        <f>+MINVU_Mes_Corriente!DH247*SALUD_Mes_Constante!$DC$1</f>
        <v>0</v>
      </c>
      <c r="DI247" s="8">
        <f>+MINVU_Mes_Corriente!DI247*SALUD_Mes_Constante!$DC$1</f>
        <v>0</v>
      </c>
      <c r="DJ247" s="8">
        <f>+MINVU_Mes_Corriente!DJ247*SALUD_Mes_Constante!$DC$1</f>
        <v>0</v>
      </c>
      <c r="DK247" s="8">
        <f>+MINVU_Mes_Corriente!DK247*SALUD_Mes_Constante!$DC$1</f>
        <v>0</v>
      </c>
      <c r="DL247" s="8">
        <f>+MINVU_Mes_Corriente!DL247*SALUD_Mes_Constante!$DC$1</f>
        <v>0</v>
      </c>
      <c r="DM247" s="8">
        <f>+MINVU_Mes_Corriente!DM247*SALUD_Mes_Constante!$DC$1</f>
        <v>0</v>
      </c>
      <c r="DN247" s="8">
        <f>+MINVU_Mes_Corriente!DN247*SALUD_Mes_Constante!$DC$1</f>
        <v>0</v>
      </c>
      <c r="DO247" s="9">
        <f t="shared" si="122"/>
        <v>0</v>
      </c>
      <c r="DP247" s="8">
        <f>+MINVU_Mes_Corriente!DP247*SALUD_Mes_Constante!$DP$1</f>
        <v>0</v>
      </c>
      <c r="DQ247" s="8">
        <f>+MINVU_Mes_Corriente!DQ247*SALUD_Mes_Constante!$DP$1</f>
        <v>0</v>
      </c>
      <c r="DR247" s="8">
        <f>+MINVU_Mes_Corriente!DR247*SALUD_Mes_Constante!$DP$1</f>
        <v>0</v>
      </c>
      <c r="DS247" s="8">
        <f>+MINVU_Mes_Corriente!DS247*SALUD_Mes_Constante!$DP$1</f>
        <v>0</v>
      </c>
      <c r="DT247" s="8">
        <f>+MINVU_Mes_Corriente!DT247*SALUD_Mes_Constante!$DP$1</f>
        <v>0</v>
      </c>
      <c r="DU247" s="8">
        <f>+MINVU_Mes_Corriente!DU247*SALUD_Mes_Constante!$DP$1</f>
        <v>0</v>
      </c>
      <c r="DV247" s="8">
        <f>+MINVU_Mes_Corriente!DV247*SALUD_Mes_Constante!$DP$1</f>
        <v>0</v>
      </c>
      <c r="DW247" s="8">
        <f>+MINVU_Mes_Corriente!DW247*SALUD_Mes_Constante!$DP$1</f>
        <v>0</v>
      </c>
      <c r="DX247" s="8">
        <f>+MINVU_Mes_Corriente!DX247*SALUD_Mes_Constante!$DP$1</f>
        <v>0</v>
      </c>
      <c r="DY247" s="8">
        <f>+MINVU_Mes_Corriente!DY247*SALUD_Mes_Constante!$DP$1</f>
        <v>0</v>
      </c>
      <c r="DZ247" s="8">
        <f>+MINVU_Mes_Corriente!DZ247*SALUD_Mes_Constante!$DP$1</f>
        <v>0</v>
      </c>
      <c r="EA247" s="8">
        <f>+MINVU_Mes_Corriente!EA247*SALUD_Mes_Constante!$DP$1</f>
        <v>0</v>
      </c>
      <c r="EB247" s="9">
        <f t="shared" si="123"/>
        <v>0</v>
      </c>
      <c r="EC247" s="8">
        <f>+MINVU_Mes_Corriente!EC247*SALUD_Mes_Constante!$EC$1</f>
        <v>0</v>
      </c>
      <c r="ED247" s="8">
        <f>+MINVU_Mes_Corriente!ED247*SALUD_Mes_Constante!$EC$1</f>
        <v>0</v>
      </c>
      <c r="EE247" s="8">
        <f>+MINVU_Mes_Corriente!EE247*SALUD_Mes_Constante!$EC$1</f>
        <v>0</v>
      </c>
      <c r="EF247" s="8">
        <f>+MINVU_Mes_Corriente!EF247*SALUD_Mes_Constante!$EC$1</f>
        <v>0</v>
      </c>
      <c r="EG247" s="8">
        <f>+MINVU_Mes_Corriente!EG247*SALUD_Mes_Constante!$EC$1</f>
        <v>0</v>
      </c>
      <c r="EH247" s="8">
        <f>+MINVU_Mes_Corriente!EH247*SALUD_Mes_Constante!$EC$1</f>
        <v>0</v>
      </c>
      <c r="EI247" s="8">
        <f>+MINVU_Mes_Corriente!EI247*SALUD_Mes_Constante!$EC$1</f>
        <v>0</v>
      </c>
      <c r="EJ247" s="8">
        <f>+MINVU_Mes_Corriente!EJ247*SALUD_Mes_Constante!$EC$1</f>
        <v>0</v>
      </c>
      <c r="EK247" s="8">
        <f>+MINVU_Mes_Corriente!EK247*SALUD_Mes_Constante!$EC$1</f>
        <v>0</v>
      </c>
      <c r="EL247" s="8">
        <f>+MINVU_Mes_Corriente!EL247*SALUD_Mes_Constante!$EC$1</f>
        <v>0</v>
      </c>
      <c r="EM247" s="8">
        <f>+MINVU_Mes_Corriente!EM247*SALUD_Mes_Constante!$EC$1</f>
        <v>0</v>
      </c>
      <c r="EN247" s="8">
        <f>+MINVU_Mes_Corriente!EN247*SALUD_Mes_Constante!$EC$1</f>
        <v>0</v>
      </c>
      <c r="EO247" s="9">
        <f t="shared" si="124"/>
        <v>0</v>
      </c>
      <c r="EP247" s="8">
        <f>+MINVU_Mes_Corriente!EP247*SALUD_Mes_Constante!$EP$1</f>
        <v>0</v>
      </c>
      <c r="EQ247" s="8">
        <f>+MINVU_Mes_Corriente!EQ247*SALUD_Mes_Constante!$EP$1</f>
        <v>0</v>
      </c>
      <c r="ER247" s="8">
        <f>+MINVU_Mes_Corriente!ER247*SALUD_Mes_Constante!$EP$1</f>
        <v>0</v>
      </c>
      <c r="ES247" s="8">
        <f>+MINVU_Mes_Corriente!ES247*SALUD_Mes_Constante!$EP$1</f>
        <v>0</v>
      </c>
      <c r="ET247" s="8">
        <f>+MINVU_Mes_Corriente!ET247*SALUD_Mes_Constante!$EP$1</f>
        <v>0</v>
      </c>
      <c r="EU247" s="8">
        <f>+MINVU_Mes_Corriente!EU247*SALUD_Mes_Constante!$EP$1</f>
        <v>0</v>
      </c>
      <c r="EV247" s="8">
        <f>+MINVU_Mes_Corriente!EV247*SALUD_Mes_Constante!$EP$1</f>
        <v>0</v>
      </c>
      <c r="EW247" s="8">
        <f>+MINVU_Mes_Corriente!EW247*SALUD_Mes_Constante!$EP$1</f>
        <v>0</v>
      </c>
      <c r="EX247" s="8">
        <f>+MINVU_Mes_Corriente!EX247*SALUD_Mes_Constante!$EP$1</f>
        <v>0</v>
      </c>
      <c r="EY247" s="8">
        <f>+MINVU_Mes_Corriente!EY247*SALUD_Mes_Constante!$EP$1</f>
        <v>0</v>
      </c>
      <c r="EZ247" s="8">
        <f>+MINVU_Mes_Corriente!EZ247*SALUD_Mes_Constante!$EP$1</f>
        <v>0</v>
      </c>
      <c r="FA247" s="8">
        <f>+MINVU_Mes_Corriente!FA247*SALUD_Mes_Constante!$EP$1</f>
        <v>0</v>
      </c>
      <c r="FB247" s="9">
        <f t="shared" si="125"/>
        <v>0</v>
      </c>
      <c r="FC247" s="8">
        <f>+MINVU_Mes_Corriente!FC247*SALUD_Mes_Constante!$FC$1</f>
        <v>0</v>
      </c>
      <c r="FD247" s="8">
        <f>+MINVU_Mes_Corriente!FD247*SALUD_Mes_Constante!$FC$1</f>
        <v>0</v>
      </c>
      <c r="FE247" s="8">
        <f>+MINVU_Mes_Corriente!FE247*SALUD_Mes_Constante!$FC$1</f>
        <v>0</v>
      </c>
      <c r="FF247" s="8">
        <f>+MINVU_Mes_Corriente!FF247*SALUD_Mes_Constante!$FC$1</f>
        <v>0</v>
      </c>
      <c r="FG247" s="8">
        <f>+MINVU_Mes_Corriente!FG247*SALUD_Mes_Constante!$FC$1</f>
        <v>0</v>
      </c>
      <c r="FH247" s="8">
        <f>+MINVU_Mes_Corriente!FH247*SALUD_Mes_Constante!$FC$1</f>
        <v>0</v>
      </c>
      <c r="FI247" s="8">
        <f>+MINVU_Mes_Corriente!FI247*SALUD_Mes_Constante!$FC$1</f>
        <v>0</v>
      </c>
      <c r="FJ247" s="8"/>
      <c r="FK247" s="8"/>
      <c r="FL247" s="8"/>
      <c r="FM247" s="8"/>
      <c r="FN247" s="8"/>
      <c r="FO247" s="9">
        <f t="shared" si="126"/>
        <v>0</v>
      </c>
    </row>
    <row r="248" spans="2:171" ht="14.25" customHeight="1" x14ac:dyDescent="0.3">
      <c r="B248" s="7" t="s">
        <v>61</v>
      </c>
      <c r="C248" s="8">
        <f>+MINVU_Mes_Corriente!C248*SALUD_Mes_Constante!$C$1</f>
        <v>0</v>
      </c>
      <c r="D248" s="8">
        <f>+MINVU_Mes_Corriente!D248*SALUD_Mes_Constante!$C$1</f>
        <v>0</v>
      </c>
      <c r="E248" s="8">
        <f>+MINVU_Mes_Corriente!E248*SALUD_Mes_Constante!$C$1</f>
        <v>0</v>
      </c>
      <c r="F248" s="8">
        <f>+MINVU_Mes_Corriente!F248*SALUD_Mes_Constante!$C$1</f>
        <v>0</v>
      </c>
      <c r="G248" s="8">
        <f>+MINVU_Mes_Corriente!G248*SALUD_Mes_Constante!$C$1</f>
        <v>0</v>
      </c>
      <c r="H248" s="8">
        <f>+MINVU_Mes_Corriente!H248*SALUD_Mes_Constante!$C$1</f>
        <v>0</v>
      </c>
      <c r="I248" s="8">
        <f>+MINVU_Mes_Corriente!I248*SALUD_Mes_Constante!$C$1</f>
        <v>0</v>
      </c>
      <c r="J248" s="8">
        <f>+MINVU_Mes_Corriente!J248*SALUD_Mes_Constante!$C$1</f>
        <v>0</v>
      </c>
      <c r="K248" s="8">
        <f>+MINVU_Mes_Corriente!K248*SALUD_Mes_Constante!$C$1</f>
        <v>0</v>
      </c>
      <c r="L248" s="8">
        <f>+MINVU_Mes_Corriente!L248*SALUD_Mes_Constante!$C$1</f>
        <v>0</v>
      </c>
      <c r="M248" s="8">
        <f>+MINVU_Mes_Corriente!M248*SALUD_Mes_Constante!$C$1</f>
        <v>0</v>
      </c>
      <c r="N248" s="8">
        <f>+MINVU_Mes_Corriente!N248*SALUD_Mes_Constante!$C$1</f>
        <v>0</v>
      </c>
      <c r="O248" s="9">
        <f t="shared" si="114"/>
        <v>0</v>
      </c>
      <c r="P248" s="8">
        <f>+MINVU_Mes_Corriente!P248*SALUD_Mes_Constante!$P$1</f>
        <v>0</v>
      </c>
      <c r="Q248" s="8">
        <f>+MINVU_Mes_Corriente!Q248*SALUD_Mes_Constante!$P$1</f>
        <v>0</v>
      </c>
      <c r="R248" s="8">
        <f>+MINVU_Mes_Corriente!R248*SALUD_Mes_Constante!$P$1</f>
        <v>0</v>
      </c>
      <c r="S248" s="8">
        <f>+MINVU_Mes_Corriente!S248*SALUD_Mes_Constante!$P$1</f>
        <v>0</v>
      </c>
      <c r="T248" s="8">
        <f>+MINVU_Mes_Corriente!T248*SALUD_Mes_Constante!$P$1</f>
        <v>0</v>
      </c>
      <c r="U248" s="8">
        <f>+MINVU_Mes_Corriente!U248*SALUD_Mes_Constante!$P$1</f>
        <v>0</v>
      </c>
      <c r="V248" s="8">
        <f>+MINVU_Mes_Corriente!V248*SALUD_Mes_Constante!$P$1</f>
        <v>0</v>
      </c>
      <c r="W248" s="8">
        <f>+MINVU_Mes_Corriente!W248*SALUD_Mes_Constante!$P$1</f>
        <v>0</v>
      </c>
      <c r="X248" s="8">
        <f>+MINVU_Mes_Corriente!X248*SALUD_Mes_Constante!$P$1</f>
        <v>0</v>
      </c>
      <c r="Y248" s="8">
        <f>+MINVU_Mes_Corriente!Y248*SALUD_Mes_Constante!$P$1</f>
        <v>0</v>
      </c>
      <c r="Z248" s="8">
        <f>+MINVU_Mes_Corriente!Z248*SALUD_Mes_Constante!$P$1</f>
        <v>0</v>
      </c>
      <c r="AA248" s="8">
        <f>+MINVU_Mes_Corriente!AA248*SALUD_Mes_Constante!$P$1</f>
        <v>0</v>
      </c>
      <c r="AB248" s="9">
        <f t="shared" si="115"/>
        <v>0</v>
      </c>
      <c r="AC248" s="8">
        <f>+MINVU_Mes_Corriente!AC248*SALUD_Mes_Constante!$AC$1</f>
        <v>0</v>
      </c>
      <c r="AD248" s="8">
        <f>+MINVU_Mes_Corriente!AD248*SALUD_Mes_Constante!$AC$1</f>
        <v>0</v>
      </c>
      <c r="AE248" s="8">
        <f>+MINVU_Mes_Corriente!AE248*SALUD_Mes_Constante!$AC$1</f>
        <v>0</v>
      </c>
      <c r="AF248" s="8">
        <f>+MINVU_Mes_Corriente!AF248*SALUD_Mes_Constante!$AC$1</f>
        <v>0</v>
      </c>
      <c r="AG248" s="8">
        <f>+MINVU_Mes_Corriente!AG248*SALUD_Mes_Constante!$AC$1</f>
        <v>0</v>
      </c>
      <c r="AH248" s="8">
        <f>+MINVU_Mes_Corriente!AH248*SALUD_Mes_Constante!$AC$1</f>
        <v>0</v>
      </c>
      <c r="AI248" s="8">
        <f>+MINVU_Mes_Corriente!AI248*SALUD_Mes_Constante!$AC$1</f>
        <v>0</v>
      </c>
      <c r="AJ248" s="8">
        <f>+MINVU_Mes_Corriente!AJ248*SALUD_Mes_Constante!$AC$1</f>
        <v>0</v>
      </c>
      <c r="AK248" s="8">
        <f>+MINVU_Mes_Corriente!AK248*SALUD_Mes_Constante!$AC$1</f>
        <v>0</v>
      </c>
      <c r="AL248" s="8">
        <f>+MINVU_Mes_Corriente!AL248*SALUD_Mes_Constante!$AC$1</f>
        <v>0</v>
      </c>
      <c r="AM248" s="8">
        <f>+MINVU_Mes_Corriente!AM248*SALUD_Mes_Constante!$AC$1</f>
        <v>0</v>
      </c>
      <c r="AN248" s="8">
        <f>+MINVU_Mes_Corriente!AN248*SALUD_Mes_Constante!$AC$1</f>
        <v>0</v>
      </c>
      <c r="AO248" s="9">
        <f t="shared" si="116"/>
        <v>0</v>
      </c>
      <c r="AP248" s="8">
        <f>+MINVU_Mes_Corriente!AP248*SALUD_Mes_Constante!$AP$1</f>
        <v>0</v>
      </c>
      <c r="AQ248" s="8">
        <f>+MINVU_Mes_Corriente!AQ248*SALUD_Mes_Constante!$AP$1</f>
        <v>0</v>
      </c>
      <c r="AR248" s="8">
        <f>+MINVU_Mes_Corriente!AR248*SALUD_Mes_Constante!$AP$1</f>
        <v>0</v>
      </c>
      <c r="AS248" s="8">
        <f>+MINVU_Mes_Corriente!AS248*SALUD_Mes_Constante!$AP$1</f>
        <v>0</v>
      </c>
      <c r="AT248" s="8">
        <f>+MINVU_Mes_Corriente!AT248*SALUD_Mes_Constante!$AP$1</f>
        <v>0</v>
      </c>
      <c r="AU248" s="8">
        <f>+MINVU_Mes_Corriente!AU248*SALUD_Mes_Constante!$AP$1</f>
        <v>0</v>
      </c>
      <c r="AV248" s="8">
        <f>+MINVU_Mes_Corriente!AV248*SALUD_Mes_Constante!$AP$1</f>
        <v>0</v>
      </c>
      <c r="AW248" s="8">
        <f>+MINVU_Mes_Corriente!AW248*SALUD_Mes_Constante!$AP$1</f>
        <v>0</v>
      </c>
      <c r="AX248" s="8">
        <f>+MINVU_Mes_Corriente!AX248*SALUD_Mes_Constante!$AP$1</f>
        <v>0</v>
      </c>
      <c r="AY248" s="8">
        <f>+MINVU_Mes_Corriente!AY248*SALUD_Mes_Constante!$AP$1</f>
        <v>0</v>
      </c>
      <c r="AZ248" s="8">
        <f>+MINVU_Mes_Corriente!AZ248*SALUD_Mes_Constante!$AP$1</f>
        <v>0</v>
      </c>
      <c r="BA248" s="8">
        <f>+MINVU_Mes_Corriente!BA248*SALUD_Mes_Constante!$AP$1</f>
        <v>0</v>
      </c>
      <c r="BB248" s="9">
        <f t="shared" si="117"/>
        <v>0</v>
      </c>
      <c r="BC248" s="8">
        <f>+MINVU_Mes_Corriente!BC248*SALUD_Mes_Constante!$BC$1</f>
        <v>0</v>
      </c>
      <c r="BD248" s="8">
        <f>+MINVU_Mes_Corriente!BD248*SALUD_Mes_Constante!$BC$1</f>
        <v>0</v>
      </c>
      <c r="BE248" s="8">
        <f>+MINVU_Mes_Corriente!BE248*SALUD_Mes_Constante!$BC$1</f>
        <v>0</v>
      </c>
      <c r="BF248" s="8">
        <f>+MINVU_Mes_Corriente!BF248*SALUD_Mes_Constante!$BC$1</f>
        <v>0</v>
      </c>
      <c r="BG248" s="8">
        <f>+MINVU_Mes_Corriente!BG248*SALUD_Mes_Constante!$BC$1</f>
        <v>0</v>
      </c>
      <c r="BH248" s="8">
        <f>+MINVU_Mes_Corriente!BH248*SALUD_Mes_Constante!$BC$1</f>
        <v>0</v>
      </c>
      <c r="BI248" s="8">
        <f>+MINVU_Mes_Corriente!BI248*SALUD_Mes_Constante!$BC$1</f>
        <v>0</v>
      </c>
      <c r="BJ248" s="8">
        <f>+MINVU_Mes_Corriente!BJ248*SALUD_Mes_Constante!$BC$1</f>
        <v>0</v>
      </c>
      <c r="BK248" s="8">
        <f>+MINVU_Mes_Corriente!BK248*SALUD_Mes_Constante!$BC$1</f>
        <v>0</v>
      </c>
      <c r="BL248" s="8">
        <f>+MINVU_Mes_Corriente!BL248*SALUD_Mes_Constante!$BC$1</f>
        <v>0</v>
      </c>
      <c r="BM248" s="8">
        <f>+MINVU_Mes_Corriente!BM248*SALUD_Mes_Constante!$BC$1</f>
        <v>0</v>
      </c>
      <c r="BN248" s="8">
        <f>+MINVU_Mes_Corriente!BN248*SALUD_Mes_Constante!$BC$1</f>
        <v>0</v>
      </c>
      <c r="BO248" s="9">
        <f t="shared" si="118"/>
        <v>0</v>
      </c>
      <c r="BP248" s="8">
        <f>+MINVU_Mes_Corriente!BP248*SALUD_Mes_Constante!$BP$1</f>
        <v>0</v>
      </c>
      <c r="BQ248" s="8">
        <f>+MINVU_Mes_Corriente!BQ248*SALUD_Mes_Constante!$BP$1</f>
        <v>0</v>
      </c>
      <c r="BR248" s="8">
        <f>+MINVU_Mes_Corriente!BR248*SALUD_Mes_Constante!$BP$1</f>
        <v>0</v>
      </c>
      <c r="BS248" s="8">
        <f>+MINVU_Mes_Corriente!BS248*SALUD_Mes_Constante!$BP$1</f>
        <v>0</v>
      </c>
      <c r="BT248" s="8">
        <f>+MINVU_Mes_Corriente!BT248*SALUD_Mes_Constante!$BP$1</f>
        <v>0</v>
      </c>
      <c r="BU248" s="8">
        <f>+MINVU_Mes_Corriente!BU248*SALUD_Mes_Constante!$BP$1</f>
        <v>0</v>
      </c>
      <c r="BV248" s="8">
        <f>+MINVU_Mes_Corriente!BV248*SALUD_Mes_Constante!$BP$1</f>
        <v>0</v>
      </c>
      <c r="BW248" s="8">
        <f>+MINVU_Mes_Corriente!BW248*SALUD_Mes_Constante!$BP$1</f>
        <v>0</v>
      </c>
      <c r="BX248" s="8">
        <f>+MINVU_Mes_Corriente!BX248*SALUD_Mes_Constante!$BP$1</f>
        <v>0</v>
      </c>
      <c r="BY248" s="8">
        <f>+MINVU_Mes_Corriente!BY248*SALUD_Mes_Constante!$BP$1</f>
        <v>0</v>
      </c>
      <c r="BZ248" s="8">
        <f>+MINVU_Mes_Corriente!BZ248*SALUD_Mes_Constante!$BP$1</f>
        <v>0</v>
      </c>
      <c r="CA248" s="8">
        <f>+MINVU_Mes_Corriente!CA248*SALUD_Mes_Constante!$BP$1</f>
        <v>0</v>
      </c>
      <c r="CB248" s="9">
        <f t="shared" si="119"/>
        <v>0</v>
      </c>
      <c r="CC248" s="8">
        <f>+MINVU_Mes_Corriente!CC248*SALUD_Mes_Constante!$CC$1</f>
        <v>0</v>
      </c>
      <c r="CD248" s="8">
        <f>+MINVU_Mes_Corriente!CD248*SALUD_Mes_Constante!$CC$1</f>
        <v>0</v>
      </c>
      <c r="CE248" s="8">
        <f>+MINVU_Mes_Corriente!CE248*SALUD_Mes_Constante!$CC$1</f>
        <v>0</v>
      </c>
      <c r="CF248" s="8">
        <f>+MINVU_Mes_Corriente!CF248*SALUD_Mes_Constante!$CC$1</f>
        <v>0</v>
      </c>
      <c r="CG248" s="8">
        <f>+MINVU_Mes_Corriente!CG248*SALUD_Mes_Constante!$CC$1</f>
        <v>0</v>
      </c>
      <c r="CH248" s="8">
        <f>+MINVU_Mes_Corriente!CH248*SALUD_Mes_Constante!$CC$1</f>
        <v>0</v>
      </c>
      <c r="CI248" s="8">
        <f>+MINVU_Mes_Corriente!CI248*SALUD_Mes_Constante!$CC$1</f>
        <v>0</v>
      </c>
      <c r="CJ248" s="8">
        <f>+MINVU_Mes_Corriente!CJ248*SALUD_Mes_Constante!$CC$1</f>
        <v>0</v>
      </c>
      <c r="CK248" s="8">
        <f>+MINVU_Mes_Corriente!CK248*SALUD_Mes_Constante!$CC$1</f>
        <v>0</v>
      </c>
      <c r="CL248" s="8">
        <f>+MINVU_Mes_Corriente!CL248*SALUD_Mes_Constante!$CC$1</f>
        <v>0</v>
      </c>
      <c r="CM248" s="8">
        <f>+MINVU_Mes_Corriente!CM248*SALUD_Mes_Constante!$CC$1</f>
        <v>0</v>
      </c>
      <c r="CN248" s="8">
        <f>+MINVU_Mes_Corriente!CN248*SALUD_Mes_Constante!$CC$1</f>
        <v>0</v>
      </c>
      <c r="CO248" s="9">
        <f t="shared" si="120"/>
        <v>0</v>
      </c>
      <c r="CP248" s="8">
        <f>+MINVU_Mes_Corriente!CP248*SALUD_Mes_Constante!$CP$1</f>
        <v>0</v>
      </c>
      <c r="CQ248" s="8">
        <f>+MINVU_Mes_Corriente!CQ248*SALUD_Mes_Constante!$CP$1</f>
        <v>0</v>
      </c>
      <c r="CR248" s="8">
        <f>+MINVU_Mes_Corriente!CR248*SALUD_Mes_Constante!$CP$1</f>
        <v>0</v>
      </c>
      <c r="CS248" s="8">
        <f>+MINVU_Mes_Corriente!CS248*SALUD_Mes_Constante!$CP$1</f>
        <v>0</v>
      </c>
      <c r="CT248" s="8">
        <f>+MINVU_Mes_Corriente!CT248*SALUD_Mes_Constante!$CP$1</f>
        <v>0</v>
      </c>
      <c r="CU248" s="8">
        <f>+MINVU_Mes_Corriente!CU248*SALUD_Mes_Constante!$CP$1</f>
        <v>0</v>
      </c>
      <c r="CV248" s="8">
        <f>+MINVU_Mes_Corriente!CV248*SALUD_Mes_Constante!$CP$1</f>
        <v>0</v>
      </c>
      <c r="CW248" s="8">
        <f>+MINVU_Mes_Corriente!CW248*SALUD_Mes_Constante!$CP$1</f>
        <v>0</v>
      </c>
      <c r="CX248" s="8">
        <f>+MINVU_Mes_Corriente!CX248*SALUD_Mes_Constante!$CP$1</f>
        <v>0</v>
      </c>
      <c r="CY248" s="8">
        <f>+MINVU_Mes_Corriente!CY248*SALUD_Mes_Constante!$CP$1</f>
        <v>0</v>
      </c>
      <c r="CZ248" s="8">
        <f>+MINVU_Mes_Corriente!CZ248*SALUD_Mes_Constante!$CP$1</f>
        <v>0</v>
      </c>
      <c r="DA248" s="8">
        <f>+MINVU_Mes_Corriente!DA248*SALUD_Mes_Constante!$CP$1</f>
        <v>0</v>
      </c>
      <c r="DB248" s="9">
        <f t="shared" si="121"/>
        <v>0</v>
      </c>
      <c r="DC248" s="8">
        <f>+MINVU_Mes_Corriente!DC248*SALUD_Mes_Constante!$DC$1</f>
        <v>0</v>
      </c>
      <c r="DD248" s="8">
        <f>+MINVU_Mes_Corriente!DD248*SALUD_Mes_Constante!$DC$1</f>
        <v>0</v>
      </c>
      <c r="DE248" s="8">
        <f>+MINVU_Mes_Corriente!DE248*SALUD_Mes_Constante!$DC$1</f>
        <v>0</v>
      </c>
      <c r="DF248" s="8">
        <f>+MINVU_Mes_Corriente!DF248*SALUD_Mes_Constante!$DC$1</f>
        <v>0</v>
      </c>
      <c r="DG248" s="8">
        <f>+MINVU_Mes_Corriente!DG248*SALUD_Mes_Constante!$DC$1</f>
        <v>0</v>
      </c>
      <c r="DH248" s="8">
        <f>+MINVU_Mes_Corriente!DH248*SALUD_Mes_Constante!$DC$1</f>
        <v>0</v>
      </c>
      <c r="DI248" s="8">
        <f>+MINVU_Mes_Corriente!DI248*SALUD_Mes_Constante!$DC$1</f>
        <v>0</v>
      </c>
      <c r="DJ248" s="8">
        <f>+MINVU_Mes_Corriente!DJ248*SALUD_Mes_Constante!$DC$1</f>
        <v>0</v>
      </c>
      <c r="DK248" s="8">
        <f>+MINVU_Mes_Corriente!DK248*SALUD_Mes_Constante!$DC$1</f>
        <v>0</v>
      </c>
      <c r="DL248" s="8">
        <f>+MINVU_Mes_Corriente!DL248*SALUD_Mes_Constante!$DC$1</f>
        <v>0</v>
      </c>
      <c r="DM248" s="8">
        <f>+MINVU_Mes_Corriente!DM248*SALUD_Mes_Constante!$DC$1</f>
        <v>0</v>
      </c>
      <c r="DN248" s="8">
        <f>+MINVU_Mes_Corriente!DN248*SALUD_Mes_Constante!$DC$1</f>
        <v>0</v>
      </c>
      <c r="DO248" s="9">
        <f t="shared" si="122"/>
        <v>0</v>
      </c>
      <c r="DP248" s="8">
        <f>+MINVU_Mes_Corriente!DP248*SALUD_Mes_Constante!$DP$1</f>
        <v>0</v>
      </c>
      <c r="DQ248" s="8">
        <f>+MINVU_Mes_Corriente!DQ248*SALUD_Mes_Constante!$DP$1</f>
        <v>0</v>
      </c>
      <c r="DR248" s="8">
        <f>+MINVU_Mes_Corriente!DR248*SALUD_Mes_Constante!$DP$1</f>
        <v>0</v>
      </c>
      <c r="DS248" s="8">
        <f>+MINVU_Mes_Corriente!DS248*SALUD_Mes_Constante!$DP$1</f>
        <v>0</v>
      </c>
      <c r="DT248" s="8">
        <f>+MINVU_Mes_Corriente!DT248*SALUD_Mes_Constante!$DP$1</f>
        <v>0</v>
      </c>
      <c r="DU248" s="8">
        <f>+MINVU_Mes_Corriente!DU248*SALUD_Mes_Constante!$DP$1</f>
        <v>0</v>
      </c>
      <c r="DV248" s="8">
        <f>+MINVU_Mes_Corriente!DV248*SALUD_Mes_Constante!$DP$1</f>
        <v>0</v>
      </c>
      <c r="DW248" s="8">
        <f>+MINVU_Mes_Corriente!DW248*SALUD_Mes_Constante!$DP$1</f>
        <v>0</v>
      </c>
      <c r="DX248" s="8">
        <f>+MINVU_Mes_Corriente!DX248*SALUD_Mes_Constante!$DP$1</f>
        <v>0</v>
      </c>
      <c r="DY248" s="8">
        <f>+MINVU_Mes_Corriente!DY248*SALUD_Mes_Constante!$DP$1</f>
        <v>0</v>
      </c>
      <c r="DZ248" s="8">
        <f>+MINVU_Mes_Corriente!DZ248*SALUD_Mes_Constante!$DP$1</f>
        <v>0</v>
      </c>
      <c r="EA248" s="8">
        <f>+MINVU_Mes_Corriente!EA248*SALUD_Mes_Constante!$DP$1</f>
        <v>0</v>
      </c>
      <c r="EB248" s="9">
        <f t="shared" si="123"/>
        <v>0</v>
      </c>
      <c r="EC248" s="8">
        <f>+MINVU_Mes_Corriente!EC248*SALUD_Mes_Constante!$EC$1</f>
        <v>0</v>
      </c>
      <c r="ED248" s="8">
        <f>+MINVU_Mes_Corriente!ED248*SALUD_Mes_Constante!$EC$1</f>
        <v>0</v>
      </c>
      <c r="EE248" s="8">
        <f>+MINVU_Mes_Corriente!EE248*SALUD_Mes_Constante!$EC$1</f>
        <v>0</v>
      </c>
      <c r="EF248" s="8">
        <f>+MINVU_Mes_Corriente!EF248*SALUD_Mes_Constante!$EC$1</f>
        <v>0</v>
      </c>
      <c r="EG248" s="8">
        <f>+MINVU_Mes_Corriente!EG248*SALUD_Mes_Constante!$EC$1</f>
        <v>0</v>
      </c>
      <c r="EH248" s="8">
        <f>+MINVU_Mes_Corriente!EH248*SALUD_Mes_Constante!$EC$1</f>
        <v>0</v>
      </c>
      <c r="EI248" s="8">
        <f>+MINVU_Mes_Corriente!EI248*SALUD_Mes_Constante!$EC$1</f>
        <v>0</v>
      </c>
      <c r="EJ248" s="8">
        <f>+MINVU_Mes_Corriente!EJ248*SALUD_Mes_Constante!$EC$1</f>
        <v>0</v>
      </c>
      <c r="EK248" s="8">
        <f>+MINVU_Mes_Corriente!EK248*SALUD_Mes_Constante!$EC$1</f>
        <v>0</v>
      </c>
      <c r="EL248" s="8">
        <f>+MINVU_Mes_Corriente!EL248*SALUD_Mes_Constante!$EC$1</f>
        <v>0</v>
      </c>
      <c r="EM248" s="8">
        <f>+MINVU_Mes_Corriente!EM248*SALUD_Mes_Constante!$EC$1</f>
        <v>0</v>
      </c>
      <c r="EN248" s="8">
        <f>+MINVU_Mes_Corriente!EN248*SALUD_Mes_Constante!$EC$1</f>
        <v>0</v>
      </c>
      <c r="EO248" s="9">
        <f t="shared" si="124"/>
        <v>0</v>
      </c>
      <c r="EP248" s="8">
        <f>+MINVU_Mes_Corriente!EP248*SALUD_Mes_Constante!$EP$1</f>
        <v>0</v>
      </c>
      <c r="EQ248" s="8">
        <f>+MINVU_Mes_Corriente!EQ248*SALUD_Mes_Constante!$EP$1</f>
        <v>0</v>
      </c>
      <c r="ER248" s="8">
        <f>+MINVU_Mes_Corriente!ER248*SALUD_Mes_Constante!$EP$1</f>
        <v>0</v>
      </c>
      <c r="ES248" s="8">
        <f>+MINVU_Mes_Corriente!ES248*SALUD_Mes_Constante!$EP$1</f>
        <v>0</v>
      </c>
      <c r="ET248" s="8">
        <f>+MINVU_Mes_Corriente!ET248*SALUD_Mes_Constante!$EP$1</f>
        <v>0</v>
      </c>
      <c r="EU248" s="8">
        <f>+MINVU_Mes_Corriente!EU248*SALUD_Mes_Constante!$EP$1</f>
        <v>0</v>
      </c>
      <c r="EV248" s="8">
        <f>+MINVU_Mes_Corriente!EV248*SALUD_Mes_Constante!$EP$1</f>
        <v>0</v>
      </c>
      <c r="EW248" s="8">
        <f>+MINVU_Mes_Corriente!EW248*SALUD_Mes_Constante!$EP$1</f>
        <v>0</v>
      </c>
      <c r="EX248" s="8">
        <f>+MINVU_Mes_Corriente!EX248*SALUD_Mes_Constante!$EP$1</f>
        <v>0</v>
      </c>
      <c r="EY248" s="8">
        <f>+MINVU_Mes_Corriente!EY248*SALUD_Mes_Constante!$EP$1</f>
        <v>0</v>
      </c>
      <c r="EZ248" s="8">
        <f>+MINVU_Mes_Corriente!EZ248*SALUD_Mes_Constante!$EP$1</f>
        <v>0</v>
      </c>
      <c r="FA248" s="8">
        <f>+MINVU_Mes_Corriente!FA248*SALUD_Mes_Constante!$EP$1</f>
        <v>0</v>
      </c>
      <c r="FB248" s="9">
        <f t="shared" si="125"/>
        <v>0</v>
      </c>
      <c r="FC248" s="8">
        <f>+MINVU_Mes_Corriente!FC248*SALUD_Mes_Constante!$FC$1</f>
        <v>0</v>
      </c>
      <c r="FD248" s="8">
        <f>+MINVU_Mes_Corriente!FD248*SALUD_Mes_Constante!$FC$1</f>
        <v>0</v>
      </c>
      <c r="FE248" s="8">
        <f>+MINVU_Mes_Corriente!FE248*SALUD_Mes_Constante!$FC$1</f>
        <v>0</v>
      </c>
      <c r="FF248" s="8">
        <f>+MINVU_Mes_Corriente!FF248*SALUD_Mes_Constante!$FC$1</f>
        <v>0</v>
      </c>
      <c r="FG248" s="8">
        <f>+MINVU_Mes_Corriente!FG248*SALUD_Mes_Constante!$FC$1</f>
        <v>0</v>
      </c>
      <c r="FH248" s="8">
        <f>+MINVU_Mes_Corriente!FH248*SALUD_Mes_Constante!$FC$1</f>
        <v>0</v>
      </c>
      <c r="FI248" s="8">
        <f>+MINVU_Mes_Corriente!FI248*SALUD_Mes_Constante!$FC$1</f>
        <v>0</v>
      </c>
      <c r="FJ248" s="8"/>
      <c r="FK248" s="8"/>
      <c r="FL248" s="8"/>
      <c r="FM248" s="8"/>
      <c r="FN248" s="8"/>
      <c r="FO248" s="9">
        <f t="shared" si="126"/>
        <v>0</v>
      </c>
    </row>
    <row r="249" spans="2:171" ht="14.25" customHeight="1" x14ac:dyDescent="0.3">
      <c r="B249" s="7" t="s">
        <v>62</v>
      </c>
      <c r="C249" s="8">
        <f>+MINVU_Mes_Corriente!C249*SALUD_Mes_Constante!$C$1</f>
        <v>0</v>
      </c>
      <c r="D249" s="8">
        <f>+MINVU_Mes_Corriente!D249*SALUD_Mes_Constante!$C$1</f>
        <v>0</v>
      </c>
      <c r="E249" s="8">
        <f>+MINVU_Mes_Corriente!E249*SALUD_Mes_Constante!$C$1</f>
        <v>0</v>
      </c>
      <c r="F249" s="8">
        <f>+MINVU_Mes_Corriente!F249*SALUD_Mes_Constante!$C$1</f>
        <v>0</v>
      </c>
      <c r="G249" s="8">
        <f>+MINVU_Mes_Corriente!G249*SALUD_Mes_Constante!$C$1</f>
        <v>0</v>
      </c>
      <c r="H249" s="8">
        <f>+MINVU_Mes_Corriente!H249*SALUD_Mes_Constante!$C$1</f>
        <v>0</v>
      </c>
      <c r="I249" s="8">
        <f>+MINVU_Mes_Corriente!I249*SALUD_Mes_Constante!$C$1</f>
        <v>0</v>
      </c>
      <c r="J249" s="8">
        <f>+MINVU_Mes_Corriente!J249*SALUD_Mes_Constante!$C$1</f>
        <v>0</v>
      </c>
      <c r="K249" s="8">
        <f>+MINVU_Mes_Corriente!K249*SALUD_Mes_Constante!$C$1</f>
        <v>0</v>
      </c>
      <c r="L249" s="8">
        <f>+MINVU_Mes_Corriente!L249*SALUD_Mes_Constante!$C$1</f>
        <v>0</v>
      </c>
      <c r="M249" s="8">
        <f>+MINVU_Mes_Corriente!M249*SALUD_Mes_Constante!$C$1</f>
        <v>0</v>
      </c>
      <c r="N249" s="8">
        <f>+MINVU_Mes_Corriente!N249*SALUD_Mes_Constante!$C$1</f>
        <v>0</v>
      </c>
      <c r="O249" s="9">
        <f t="shared" si="114"/>
        <v>0</v>
      </c>
      <c r="P249" s="8">
        <f>+MINVU_Mes_Corriente!P249*SALUD_Mes_Constante!$P$1</f>
        <v>0</v>
      </c>
      <c r="Q249" s="8">
        <f>+MINVU_Mes_Corriente!Q249*SALUD_Mes_Constante!$P$1</f>
        <v>0</v>
      </c>
      <c r="R249" s="8">
        <f>+MINVU_Mes_Corriente!R249*SALUD_Mes_Constante!$P$1</f>
        <v>0</v>
      </c>
      <c r="S249" s="8">
        <f>+MINVU_Mes_Corriente!S249*SALUD_Mes_Constante!$P$1</f>
        <v>0</v>
      </c>
      <c r="T249" s="8">
        <f>+MINVU_Mes_Corriente!T249*SALUD_Mes_Constante!$P$1</f>
        <v>0</v>
      </c>
      <c r="U249" s="8">
        <f>+MINVU_Mes_Corriente!U249*SALUD_Mes_Constante!$P$1</f>
        <v>0</v>
      </c>
      <c r="V249" s="8">
        <f>+MINVU_Mes_Corriente!V249*SALUD_Mes_Constante!$P$1</f>
        <v>0</v>
      </c>
      <c r="W249" s="8">
        <f>+MINVU_Mes_Corriente!W249*SALUD_Mes_Constante!$P$1</f>
        <v>0</v>
      </c>
      <c r="X249" s="8">
        <f>+MINVU_Mes_Corriente!X249*SALUD_Mes_Constante!$P$1</f>
        <v>0</v>
      </c>
      <c r="Y249" s="8">
        <f>+MINVU_Mes_Corriente!Y249*SALUD_Mes_Constante!$P$1</f>
        <v>0</v>
      </c>
      <c r="Z249" s="8">
        <f>+MINVU_Mes_Corriente!Z249*SALUD_Mes_Constante!$P$1</f>
        <v>0</v>
      </c>
      <c r="AA249" s="8">
        <f>+MINVU_Mes_Corriente!AA249*SALUD_Mes_Constante!$P$1</f>
        <v>0</v>
      </c>
      <c r="AB249" s="9">
        <f t="shared" si="115"/>
        <v>0</v>
      </c>
      <c r="AC249" s="8">
        <f>+MINVU_Mes_Corriente!AC249*SALUD_Mes_Constante!$AC$1</f>
        <v>0</v>
      </c>
      <c r="AD249" s="8">
        <f>+MINVU_Mes_Corriente!AD249*SALUD_Mes_Constante!$AC$1</f>
        <v>0</v>
      </c>
      <c r="AE249" s="8">
        <f>+MINVU_Mes_Corriente!AE249*SALUD_Mes_Constante!$AC$1</f>
        <v>0</v>
      </c>
      <c r="AF249" s="8">
        <f>+MINVU_Mes_Corriente!AF249*SALUD_Mes_Constante!$AC$1</f>
        <v>0</v>
      </c>
      <c r="AG249" s="8">
        <f>+MINVU_Mes_Corriente!AG249*SALUD_Mes_Constante!$AC$1</f>
        <v>0</v>
      </c>
      <c r="AH249" s="8">
        <f>+MINVU_Mes_Corriente!AH249*SALUD_Mes_Constante!$AC$1</f>
        <v>0</v>
      </c>
      <c r="AI249" s="8">
        <f>+MINVU_Mes_Corriente!AI249*SALUD_Mes_Constante!$AC$1</f>
        <v>0</v>
      </c>
      <c r="AJ249" s="8">
        <f>+MINVU_Mes_Corriente!AJ249*SALUD_Mes_Constante!$AC$1</f>
        <v>0</v>
      </c>
      <c r="AK249" s="8">
        <f>+MINVU_Mes_Corriente!AK249*SALUD_Mes_Constante!$AC$1</f>
        <v>0</v>
      </c>
      <c r="AL249" s="8">
        <f>+MINVU_Mes_Corriente!AL249*SALUD_Mes_Constante!$AC$1</f>
        <v>0</v>
      </c>
      <c r="AM249" s="8">
        <f>+MINVU_Mes_Corriente!AM249*SALUD_Mes_Constante!$AC$1</f>
        <v>0</v>
      </c>
      <c r="AN249" s="8">
        <f>+MINVU_Mes_Corriente!AN249*SALUD_Mes_Constante!$AC$1</f>
        <v>0</v>
      </c>
      <c r="AO249" s="9">
        <f t="shared" si="116"/>
        <v>0</v>
      </c>
      <c r="AP249" s="8">
        <f>+MINVU_Mes_Corriente!AP249*SALUD_Mes_Constante!$AP$1</f>
        <v>0</v>
      </c>
      <c r="AQ249" s="8">
        <f>+MINVU_Mes_Corriente!AQ249*SALUD_Mes_Constante!$AP$1</f>
        <v>0</v>
      </c>
      <c r="AR249" s="8">
        <f>+MINVU_Mes_Corriente!AR249*SALUD_Mes_Constante!$AP$1</f>
        <v>0</v>
      </c>
      <c r="AS249" s="8">
        <f>+MINVU_Mes_Corriente!AS249*SALUD_Mes_Constante!$AP$1</f>
        <v>0</v>
      </c>
      <c r="AT249" s="8">
        <f>+MINVU_Mes_Corriente!AT249*SALUD_Mes_Constante!$AP$1</f>
        <v>0</v>
      </c>
      <c r="AU249" s="8">
        <f>+MINVU_Mes_Corriente!AU249*SALUD_Mes_Constante!$AP$1</f>
        <v>0</v>
      </c>
      <c r="AV249" s="8">
        <f>+MINVU_Mes_Corriente!AV249*SALUD_Mes_Constante!$AP$1</f>
        <v>0</v>
      </c>
      <c r="AW249" s="8">
        <f>+MINVU_Mes_Corriente!AW249*SALUD_Mes_Constante!$AP$1</f>
        <v>0</v>
      </c>
      <c r="AX249" s="8">
        <f>+MINVU_Mes_Corriente!AX249*SALUD_Mes_Constante!$AP$1</f>
        <v>0</v>
      </c>
      <c r="AY249" s="8">
        <f>+MINVU_Mes_Corriente!AY249*SALUD_Mes_Constante!$AP$1</f>
        <v>0</v>
      </c>
      <c r="AZ249" s="8">
        <f>+MINVU_Mes_Corriente!AZ249*SALUD_Mes_Constante!$AP$1</f>
        <v>0</v>
      </c>
      <c r="BA249" s="8">
        <f>+MINVU_Mes_Corriente!BA249*SALUD_Mes_Constante!$AP$1</f>
        <v>0</v>
      </c>
      <c r="BB249" s="9">
        <f t="shared" si="117"/>
        <v>0</v>
      </c>
      <c r="BC249" s="8">
        <f>+MINVU_Mes_Corriente!BC249*SALUD_Mes_Constante!$BC$1</f>
        <v>0</v>
      </c>
      <c r="BD249" s="8">
        <f>+MINVU_Mes_Corriente!BD249*SALUD_Mes_Constante!$BC$1</f>
        <v>0</v>
      </c>
      <c r="BE249" s="8">
        <f>+MINVU_Mes_Corriente!BE249*SALUD_Mes_Constante!$BC$1</f>
        <v>0</v>
      </c>
      <c r="BF249" s="8">
        <f>+MINVU_Mes_Corriente!BF249*SALUD_Mes_Constante!$BC$1</f>
        <v>0</v>
      </c>
      <c r="BG249" s="8">
        <f>+MINVU_Mes_Corriente!BG249*SALUD_Mes_Constante!$BC$1</f>
        <v>0</v>
      </c>
      <c r="BH249" s="8">
        <f>+MINVU_Mes_Corriente!BH249*SALUD_Mes_Constante!$BC$1</f>
        <v>0</v>
      </c>
      <c r="BI249" s="8">
        <f>+MINVU_Mes_Corriente!BI249*SALUD_Mes_Constante!$BC$1</f>
        <v>0</v>
      </c>
      <c r="BJ249" s="8">
        <f>+MINVU_Mes_Corriente!BJ249*SALUD_Mes_Constante!$BC$1</f>
        <v>0</v>
      </c>
      <c r="BK249" s="8">
        <f>+MINVU_Mes_Corriente!BK249*SALUD_Mes_Constante!$BC$1</f>
        <v>0</v>
      </c>
      <c r="BL249" s="8">
        <f>+MINVU_Mes_Corriente!BL249*SALUD_Mes_Constante!$BC$1</f>
        <v>0</v>
      </c>
      <c r="BM249" s="8">
        <f>+MINVU_Mes_Corriente!BM249*SALUD_Mes_Constante!$BC$1</f>
        <v>0</v>
      </c>
      <c r="BN249" s="8">
        <f>+MINVU_Mes_Corriente!BN249*SALUD_Mes_Constante!$BC$1</f>
        <v>0</v>
      </c>
      <c r="BO249" s="9">
        <f t="shared" si="118"/>
        <v>0</v>
      </c>
      <c r="BP249" s="8">
        <f>+MINVU_Mes_Corriente!BP249*SALUD_Mes_Constante!$BP$1</f>
        <v>0</v>
      </c>
      <c r="BQ249" s="8">
        <f>+MINVU_Mes_Corriente!BQ249*SALUD_Mes_Constante!$BP$1</f>
        <v>0</v>
      </c>
      <c r="BR249" s="8">
        <f>+MINVU_Mes_Corriente!BR249*SALUD_Mes_Constante!$BP$1</f>
        <v>0</v>
      </c>
      <c r="BS249" s="8">
        <f>+MINVU_Mes_Corriente!BS249*SALUD_Mes_Constante!$BP$1</f>
        <v>0</v>
      </c>
      <c r="BT249" s="8">
        <f>+MINVU_Mes_Corriente!BT249*SALUD_Mes_Constante!$BP$1</f>
        <v>0</v>
      </c>
      <c r="BU249" s="8">
        <f>+MINVU_Mes_Corriente!BU249*SALUD_Mes_Constante!$BP$1</f>
        <v>0</v>
      </c>
      <c r="BV249" s="8">
        <f>+MINVU_Mes_Corriente!BV249*SALUD_Mes_Constante!$BP$1</f>
        <v>0</v>
      </c>
      <c r="BW249" s="8">
        <f>+MINVU_Mes_Corriente!BW249*SALUD_Mes_Constante!$BP$1</f>
        <v>0</v>
      </c>
      <c r="BX249" s="8">
        <f>+MINVU_Mes_Corriente!BX249*SALUD_Mes_Constante!$BP$1</f>
        <v>0</v>
      </c>
      <c r="BY249" s="8">
        <f>+MINVU_Mes_Corriente!BY249*SALUD_Mes_Constante!$BP$1</f>
        <v>0</v>
      </c>
      <c r="BZ249" s="8">
        <f>+MINVU_Mes_Corriente!BZ249*SALUD_Mes_Constante!$BP$1</f>
        <v>0</v>
      </c>
      <c r="CA249" s="8">
        <f>+MINVU_Mes_Corriente!CA249*SALUD_Mes_Constante!$BP$1</f>
        <v>0</v>
      </c>
      <c r="CB249" s="9">
        <f t="shared" si="119"/>
        <v>0</v>
      </c>
      <c r="CC249" s="8">
        <f>+MINVU_Mes_Corriente!CC249*SALUD_Mes_Constante!$CC$1</f>
        <v>0</v>
      </c>
      <c r="CD249" s="8">
        <f>+MINVU_Mes_Corriente!CD249*SALUD_Mes_Constante!$CC$1</f>
        <v>0</v>
      </c>
      <c r="CE249" s="8">
        <f>+MINVU_Mes_Corriente!CE249*SALUD_Mes_Constante!$CC$1</f>
        <v>0</v>
      </c>
      <c r="CF249" s="8">
        <f>+MINVU_Mes_Corriente!CF249*SALUD_Mes_Constante!$CC$1</f>
        <v>0</v>
      </c>
      <c r="CG249" s="8">
        <f>+MINVU_Mes_Corriente!CG249*SALUD_Mes_Constante!$CC$1</f>
        <v>0</v>
      </c>
      <c r="CH249" s="8">
        <f>+MINVU_Mes_Corriente!CH249*SALUD_Mes_Constante!$CC$1</f>
        <v>0</v>
      </c>
      <c r="CI249" s="8">
        <f>+MINVU_Mes_Corriente!CI249*SALUD_Mes_Constante!$CC$1</f>
        <v>0</v>
      </c>
      <c r="CJ249" s="8">
        <f>+MINVU_Mes_Corriente!CJ249*SALUD_Mes_Constante!$CC$1</f>
        <v>0</v>
      </c>
      <c r="CK249" s="8">
        <f>+MINVU_Mes_Corriente!CK249*SALUD_Mes_Constante!$CC$1</f>
        <v>0</v>
      </c>
      <c r="CL249" s="8">
        <f>+MINVU_Mes_Corriente!CL249*SALUD_Mes_Constante!$CC$1</f>
        <v>0</v>
      </c>
      <c r="CM249" s="8">
        <f>+MINVU_Mes_Corriente!CM249*SALUD_Mes_Constante!$CC$1</f>
        <v>0</v>
      </c>
      <c r="CN249" s="8">
        <f>+MINVU_Mes_Corriente!CN249*SALUD_Mes_Constante!$CC$1</f>
        <v>0</v>
      </c>
      <c r="CO249" s="9">
        <f t="shared" si="120"/>
        <v>0</v>
      </c>
      <c r="CP249" s="8">
        <f>+MINVU_Mes_Corriente!CP249*SALUD_Mes_Constante!$CP$1</f>
        <v>0</v>
      </c>
      <c r="CQ249" s="8">
        <f>+MINVU_Mes_Corriente!CQ249*SALUD_Mes_Constante!$CP$1</f>
        <v>0</v>
      </c>
      <c r="CR249" s="8">
        <f>+MINVU_Mes_Corriente!CR249*SALUD_Mes_Constante!$CP$1</f>
        <v>0</v>
      </c>
      <c r="CS249" s="8">
        <f>+MINVU_Mes_Corriente!CS249*SALUD_Mes_Constante!$CP$1</f>
        <v>0</v>
      </c>
      <c r="CT249" s="8">
        <f>+MINVU_Mes_Corriente!CT249*SALUD_Mes_Constante!$CP$1</f>
        <v>0</v>
      </c>
      <c r="CU249" s="8">
        <f>+MINVU_Mes_Corriente!CU249*SALUD_Mes_Constante!$CP$1</f>
        <v>0</v>
      </c>
      <c r="CV249" s="8">
        <f>+MINVU_Mes_Corriente!CV249*SALUD_Mes_Constante!$CP$1</f>
        <v>0</v>
      </c>
      <c r="CW249" s="8">
        <f>+MINVU_Mes_Corriente!CW249*SALUD_Mes_Constante!$CP$1</f>
        <v>0</v>
      </c>
      <c r="CX249" s="8">
        <f>+MINVU_Mes_Corriente!CX249*SALUD_Mes_Constante!$CP$1</f>
        <v>0</v>
      </c>
      <c r="CY249" s="8">
        <f>+MINVU_Mes_Corriente!CY249*SALUD_Mes_Constante!$CP$1</f>
        <v>0</v>
      </c>
      <c r="CZ249" s="8">
        <f>+MINVU_Mes_Corriente!CZ249*SALUD_Mes_Constante!$CP$1</f>
        <v>0</v>
      </c>
      <c r="DA249" s="8">
        <f>+MINVU_Mes_Corriente!DA249*SALUD_Mes_Constante!$CP$1</f>
        <v>0</v>
      </c>
      <c r="DB249" s="9">
        <f t="shared" si="121"/>
        <v>0</v>
      </c>
      <c r="DC249" s="8">
        <f>+MINVU_Mes_Corriente!DC249*SALUD_Mes_Constante!$DC$1</f>
        <v>0</v>
      </c>
      <c r="DD249" s="8">
        <f>+MINVU_Mes_Corriente!DD249*SALUD_Mes_Constante!$DC$1</f>
        <v>0</v>
      </c>
      <c r="DE249" s="8">
        <f>+MINVU_Mes_Corriente!DE249*SALUD_Mes_Constante!$DC$1</f>
        <v>0</v>
      </c>
      <c r="DF249" s="8">
        <f>+MINVU_Mes_Corriente!DF249*SALUD_Mes_Constante!$DC$1</f>
        <v>0</v>
      </c>
      <c r="DG249" s="8">
        <f>+MINVU_Mes_Corriente!DG249*SALUD_Mes_Constante!$DC$1</f>
        <v>0</v>
      </c>
      <c r="DH249" s="8">
        <f>+MINVU_Mes_Corriente!DH249*SALUD_Mes_Constante!$DC$1</f>
        <v>0</v>
      </c>
      <c r="DI249" s="8">
        <f>+MINVU_Mes_Corriente!DI249*SALUD_Mes_Constante!$DC$1</f>
        <v>0</v>
      </c>
      <c r="DJ249" s="8">
        <f>+MINVU_Mes_Corriente!DJ249*SALUD_Mes_Constante!$DC$1</f>
        <v>0</v>
      </c>
      <c r="DK249" s="8">
        <f>+MINVU_Mes_Corriente!DK249*SALUD_Mes_Constante!$DC$1</f>
        <v>0</v>
      </c>
      <c r="DL249" s="8">
        <f>+MINVU_Mes_Corriente!DL249*SALUD_Mes_Constante!$DC$1</f>
        <v>0</v>
      </c>
      <c r="DM249" s="8">
        <f>+MINVU_Mes_Corriente!DM249*SALUD_Mes_Constante!$DC$1</f>
        <v>0</v>
      </c>
      <c r="DN249" s="8">
        <f>+MINVU_Mes_Corriente!DN249*SALUD_Mes_Constante!$DC$1</f>
        <v>0</v>
      </c>
      <c r="DO249" s="9">
        <f t="shared" si="122"/>
        <v>0</v>
      </c>
      <c r="DP249" s="8">
        <f>+MINVU_Mes_Corriente!DP249*SALUD_Mes_Constante!$DP$1</f>
        <v>0</v>
      </c>
      <c r="DQ249" s="8">
        <f>+MINVU_Mes_Corriente!DQ249*SALUD_Mes_Constante!$DP$1</f>
        <v>0</v>
      </c>
      <c r="DR249" s="8">
        <f>+MINVU_Mes_Corriente!DR249*SALUD_Mes_Constante!$DP$1</f>
        <v>0</v>
      </c>
      <c r="DS249" s="8">
        <f>+MINVU_Mes_Corriente!DS249*SALUD_Mes_Constante!$DP$1</f>
        <v>0</v>
      </c>
      <c r="DT249" s="8">
        <f>+MINVU_Mes_Corriente!DT249*SALUD_Mes_Constante!$DP$1</f>
        <v>0</v>
      </c>
      <c r="DU249" s="8">
        <f>+MINVU_Mes_Corriente!DU249*SALUD_Mes_Constante!$DP$1</f>
        <v>0</v>
      </c>
      <c r="DV249" s="8">
        <f>+MINVU_Mes_Corriente!DV249*SALUD_Mes_Constante!$DP$1</f>
        <v>0</v>
      </c>
      <c r="DW249" s="8">
        <f>+MINVU_Mes_Corriente!DW249*SALUD_Mes_Constante!$DP$1</f>
        <v>0</v>
      </c>
      <c r="DX249" s="8">
        <f>+MINVU_Mes_Corriente!DX249*SALUD_Mes_Constante!$DP$1</f>
        <v>0</v>
      </c>
      <c r="DY249" s="8">
        <f>+MINVU_Mes_Corriente!DY249*SALUD_Mes_Constante!$DP$1</f>
        <v>0</v>
      </c>
      <c r="DZ249" s="8">
        <f>+MINVU_Mes_Corriente!DZ249*SALUD_Mes_Constante!$DP$1</f>
        <v>0</v>
      </c>
      <c r="EA249" s="8">
        <f>+MINVU_Mes_Corriente!EA249*SALUD_Mes_Constante!$DP$1</f>
        <v>0</v>
      </c>
      <c r="EB249" s="9">
        <f t="shared" si="123"/>
        <v>0</v>
      </c>
      <c r="EC249" s="8">
        <f>+MINVU_Mes_Corriente!EC249*SALUD_Mes_Constante!$EC$1</f>
        <v>0</v>
      </c>
      <c r="ED249" s="8">
        <f>+MINVU_Mes_Corriente!ED249*SALUD_Mes_Constante!$EC$1</f>
        <v>0</v>
      </c>
      <c r="EE249" s="8">
        <f>+MINVU_Mes_Corriente!EE249*SALUD_Mes_Constante!$EC$1</f>
        <v>0</v>
      </c>
      <c r="EF249" s="8">
        <f>+MINVU_Mes_Corriente!EF249*SALUD_Mes_Constante!$EC$1</f>
        <v>0</v>
      </c>
      <c r="EG249" s="8">
        <f>+MINVU_Mes_Corriente!EG249*SALUD_Mes_Constante!$EC$1</f>
        <v>0</v>
      </c>
      <c r="EH249" s="8">
        <f>+MINVU_Mes_Corriente!EH249*SALUD_Mes_Constante!$EC$1</f>
        <v>0</v>
      </c>
      <c r="EI249" s="8">
        <f>+MINVU_Mes_Corriente!EI249*SALUD_Mes_Constante!$EC$1</f>
        <v>0</v>
      </c>
      <c r="EJ249" s="8">
        <f>+MINVU_Mes_Corriente!EJ249*SALUD_Mes_Constante!$EC$1</f>
        <v>0</v>
      </c>
      <c r="EK249" s="8">
        <f>+MINVU_Mes_Corriente!EK249*SALUD_Mes_Constante!$EC$1</f>
        <v>0</v>
      </c>
      <c r="EL249" s="8">
        <f>+MINVU_Mes_Corriente!EL249*SALUD_Mes_Constante!$EC$1</f>
        <v>0</v>
      </c>
      <c r="EM249" s="8">
        <f>+MINVU_Mes_Corriente!EM249*SALUD_Mes_Constante!$EC$1</f>
        <v>0</v>
      </c>
      <c r="EN249" s="8">
        <f>+MINVU_Mes_Corriente!EN249*SALUD_Mes_Constante!$EC$1</f>
        <v>0</v>
      </c>
      <c r="EO249" s="9">
        <f t="shared" si="124"/>
        <v>0</v>
      </c>
      <c r="EP249" s="8">
        <f>+MINVU_Mes_Corriente!EP249*SALUD_Mes_Constante!$EP$1</f>
        <v>0</v>
      </c>
      <c r="EQ249" s="8">
        <f>+MINVU_Mes_Corriente!EQ249*SALUD_Mes_Constante!$EP$1</f>
        <v>0</v>
      </c>
      <c r="ER249" s="8">
        <f>+MINVU_Mes_Corriente!ER249*SALUD_Mes_Constante!$EP$1</f>
        <v>0</v>
      </c>
      <c r="ES249" s="8">
        <f>+MINVU_Mes_Corriente!ES249*SALUD_Mes_Constante!$EP$1</f>
        <v>0</v>
      </c>
      <c r="ET249" s="8">
        <f>+MINVU_Mes_Corriente!ET249*SALUD_Mes_Constante!$EP$1</f>
        <v>0</v>
      </c>
      <c r="EU249" s="8">
        <f>+MINVU_Mes_Corriente!EU249*SALUD_Mes_Constante!$EP$1</f>
        <v>0</v>
      </c>
      <c r="EV249" s="8">
        <f>+MINVU_Mes_Corriente!EV249*SALUD_Mes_Constante!$EP$1</f>
        <v>0</v>
      </c>
      <c r="EW249" s="8">
        <f>+MINVU_Mes_Corriente!EW249*SALUD_Mes_Constante!$EP$1</f>
        <v>0</v>
      </c>
      <c r="EX249" s="8">
        <f>+MINVU_Mes_Corriente!EX249*SALUD_Mes_Constante!$EP$1</f>
        <v>0</v>
      </c>
      <c r="EY249" s="8">
        <f>+MINVU_Mes_Corriente!EY249*SALUD_Mes_Constante!$EP$1</f>
        <v>0</v>
      </c>
      <c r="EZ249" s="8">
        <f>+MINVU_Mes_Corriente!EZ249*SALUD_Mes_Constante!$EP$1</f>
        <v>0</v>
      </c>
      <c r="FA249" s="8">
        <f>+MINVU_Mes_Corriente!FA249*SALUD_Mes_Constante!$EP$1</f>
        <v>0</v>
      </c>
      <c r="FB249" s="9">
        <f t="shared" si="125"/>
        <v>0</v>
      </c>
      <c r="FC249" s="8">
        <f>+MINVU_Mes_Corriente!FC249*SALUD_Mes_Constante!$FC$1</f>
        <v>0</v>
      </c>
      <c r="FD249" s="8">
        <f>+MINVU_Mes_Corriente!FD249*SALUD_Mes_Constante!$FC$1</f>
        <v>0</v>
      </c>
      <c r="FE249" s="8">
        <f>+MINVU_Mes_Corriente!FE249*SALUD_Mes_Constante!$FC$1</f>
        <v>0</v>
      </c>
      <c r="FF249" s="8">
        <f>+MINVU_Mes_Corriente!FF249*SALUD_Mes_Constante!$FC$1</f>
        <v>0</v>
      </c>
      <c r="FG249" s="8">
        <f>+MINVU_Mes_Corriente!FG249*SALUD_Mes_Constante!$FC$1</f>
        <v>0</v>
      </c>
      <c r="FH249" s="8">
        <f>+MINVU_Mes_Corriente!FH249*SALUD_Mes_Constante!$FC$1</f>
        <v>0</v>
      </c>
      <c r="FI249" s="8">
        <f>+MINVU_Mes_Corriente!FI249*SALUD_Mes_Constante!$FC$1</f>
        <v>0</v>
      </c>
      <c r="FJ249" s="8"/>
      <c r="FK249" s="8"/>
      <c r="FL249" s="8"/>
      <c r="FM249" s="8"/>
      <c r="FN249" s="8"/>
      <c r="FO249" s="9">
        <f t="shared" si="126"/>
        <v>0</v>
      </c>
    </row>
    <row r="250" spans="2:171" ht="14.25" customHeight="1" x14ac:dyDescent="0.3">
      <c r="B250" s="7" t="s">
        <v>63</v>
      </c>
      <c r="C250" s="8">
        <f>+MINVU_Mes_Corriente!C250*SALUD_Mes_Constante!$C$1</f>
        <v>0</v>
      </c>
      <c r="D250" s="8">
        <f>+MINVU_Mes_Corriente!D250*SALUD_Mes_Constante!$C$1</f>
        <v>0</v>
      </c>
      <c r="E250" s="8">
        <f>+MINVU_Mes_Corriente!E250*SALUD_Mes_Constante!$C$1</f>
        <v>0</v>
      </c>
      <c r="F250" s="8">
        <f>+MINVU_Mes_Corriente!F250*SALUD_Mes_Constante!$C$1</f>
        <v>0</v>
      </c>
      <c r="G250" s="8">
        <f>+MINVU_Mes_Corriente!G250*SALUD_Mes_Constante!$C$1</f>
        <v>0</v>
      </c>
      <c r="H250" s="8">
        <f>+MINVU_Mes_Corriente!H250*SALUD_Mes_Constante!$C$1</f>
        <v>0</v>
      </c>
      <c r="I250" s="8">
        <f>+MINVU_Mes_Corriente!I250*SALUD_Mes_Constante!$C$1</f>
        <v>0</v>
      </c>
      <c r="J250" s="8">
        <f>+MINVU_Mes_Corriente!J250*SALUD_Mes_Constante!$C$1</f>
        <v>0</v>
      </c>
      <c r="K250" s="8">
        <f>+MINVU_Mes_Corriente!K250*SALUD_Mes_Constante!$C$1</f>
        <v>0</v>
      </c>
      <c r="L250" s="8">
        <f>+MINVU_Mes_Corriente!L250*SALUD_Mes_Constante!$C$1</f>
        <v>0</v>
      </c>
      <c r="M250" s="8">
        <f>+MINVU_Mes_Corriente!M250*SALUD_Mes_Constante!$C$1</f>
        <v>0</v>
      </c>
      <c r="N250" s="8">
        <f>+MINVU_Mes_Corriente!N250*SALUD_Mes_Constante!$C$1</f>
        <v>0</v>
      </c>
      <c r="O250" s="9">
        <f t="shared" si="114"/>
        <v>0</v>
      </c>
      <c r="P250" s="8">
        <f>+MINVU_Mes_Corriente!P250*SALUD_Mes_Constante!$P$1</f>
        <v>0</v>
      </c>
      <c r="Q250" s="8">
        <f>+MINVU_Mes_Corriente!Q250*SALUD_Mes_Constante!$P$1</f>
        <v>0</v>
      </c>
      <c r="R250" s="8">
        <f>+MINVU_Mes_Corriente!R250*SALUD_Mes_Constante!$P$1</f>
        <v>0</v>
      </c>
      <c r="S250" s="8">
        <f>+MINVU_Mes_Corriente!S250*SALUD_Mes_Constante!$P$1</f>
        <v>0</v>
      </c>
      <c r="T250" s="8">
        <f>+MINVU_Mes_Corriente!T250*SALUD_Mes_Constante!$P$1</f>
        <v>0</v>
      </c>
      <c r="U250" s="8">
        <f>+MINVU_Mes_Corriente!U250*SALUD_Mes_Constante!$P$1</f>
        <v>0</v>
      </c>
      <c r="V250" s="8">
        <f>+MINVU_Mes_Corriente!V250*SALUD_Mes_Constante!$P$1</f>
        <v>0</v>
      </c>
      <c r="W250" s="8">
        <f>+MINVU_Mes_Corriente!W250*SALUD_Mes_Constante!$P$1</f>
        <v>0</v>
      </c>
      <c r="X250" s="8">
        <f>+MINVU_Mes_Corriente!X250*SALUD_Mes_Constante!$P$1</f>
        <v>0</v>
      </c>
      <c r="Y250" s="8">
        <f>+MINVU_Mes_Corriente!Y250*SALUD_Mes_Constante!$P$1</f>
        <v>0</v>
      </c>
      <c r="Z250" s="8">
        <f>+MINVU_Mes_Corriente!Z250*SALUD_Mes_Constante!$P$1</f>
        <v>0</v>
      </c>
      <c r="AA250" s="8">
        <f>+MINVU_Mes_Corriente!AA250*SALUD_Mes_Constante!$P$1</f>
        <v>0</v>
      </c>
      <c r="AB250" s="9">
        <f t="shared" si="115"/>
        <v>0</v>
      </c>
      <c r="AC250" s="8">
        <f>+MINVU_Mes_Corriente!AC250*SALUD_Mes_Constante!$AC$1</f>
        <v>0</v>
      </c>
      <c r="AD250" s="8">
        <f>+MINVU_Mes_Corriente!AD250*SALUD_Mes_Constante!$AC$1</f>
        <v>0</v>
      </c>
      <c r="AE250" s="8">
        <f>+MINVU_Mes_Corriente!AE250*SALUD_Mes_Constante!$AC$1</f>
        <v>0</v>
      </c>
      <c r="AF250" s="8">
        <f>+MINVU_Mes_Corriente!AF250*SALUD_Mes_Constante!$AC$1</f>
        <v>0</v>
      </c>
      <c r="AG250" s="8">
        <f>+MINVU_Mes_Corriente!AG250*SALUD_Mes_Constante!$AC$1</f>
        <v>0</v>
      </c>
      <c r="AH250" s="8">
        <f>+MINVU_Mes_Corriente!AH250*SALUD_Mes_Constante!$AC$1</f>
        <v>0</v>
      </c>
      <c r="AI250" s="8">
        <f>+MINVU_Mes_Corriente!AI250*SALUD_Mes_Constante!$AC$1</f>
        <v>0</v>
      </c>
      <c r="AJ250" s="8">
        <f>+MINVU_Mes_Corriente!AJ250*SALUD_Mes_Constante!$AC$1</f>
        <v>0</v>
      </c>
      <c r="AK250" s="8">
        <f>+MINVU_Mes_Corriente!AK250*SALUD_Mes_Constante!$AC$1</f>
        <v>0</v>
      </c>
      <c r="AL250" s="8">
        <f>+MINVU_Mes_Corriente!AL250*SALUD_Mes_Constante!$AC$1</f>
        <v>0</v>
      </c>
      <c r="AM250" s="8">
        <f>+MINVU_Mes_Corriente!AM250*SALUD_Mes_Constante!$AC$1</f>
        <v>0</v>
      </c>
      <c r="AN250" s="8">
        <f>+MINVU_Mes_Corriente!AN250*SALUD_Mes_Constante!$AC$1</f>
        <v>0</v>
      </c>
      <c r="AO250" s="9">
        <f t="shared" si="116"/>
        <v>0</v>
      </c>
      <c r="AP250" s="8">
        <f>+MINVU_Mes_Corriente!AP250*SALUD_Mes_Constante!$AP$1</f>
        <v>0</v>
      </c>
      <c r="AQ250" s="8">
        <f>+MINVU_Mes_Corriente!AQ250*SALUD_Mes_Constante!$AP$1</f>
        <v>0</v>
      </c>
      <c r="AR250" s="8">
        <f>+MINVU_Mes_Corriente!AR250*SALUD_Mes_Constante!$AP$1</f>
        <v>0</v>
      </c>
      <c r="AS250" s="8">
        <f>+MINVU_Mes_Corriente!AS250*SALUD_Mes_Constante!$AP$1</f>
        <v>0</v>
      </c>
      <c r="AT250" s="8">
        <f>+MINVU_Mes_Corriente!AT250*SALUD_Mes_Constante!$AP$1</f>
        <v>0</v>
      </c>
      <c r="AU250" s="8">
        <f>+MINVU_Mes_Corriente!AU250*SALUD_Mes_Constante!$AP$1</f>
        <v>0</v>
      </c>
      <c r="AV250" s="8">
        <f>+MINVU_Mes_Corriente!AV250*SALUD_Mes_Constante!$AP$1</f>
        <v>0</v>
      </c>
      <c r="AW250" s="8">
        <f>+MINVU_Mes_Corriente!AW250*SALUD_Mes_Constante!$AP$1</f>
        <v>0</v>
      </c>
      <c r="AX250" s="8">
        <f>+MINVU_Mes_Corriente!AX250*SALUD_Mes_Constante!$AP$1</f>
        <v>0</v>
      </c>
      <c r="AY250" s="8">
        <f>+MINVU_Mes_Corriente!AY250*SALUD_Mes_Constante!$AP$1</f>
        <v>0</v>
      </c>
      <c r="AZ250" s="8">
        <f>+MINVU_Mes_Corriente!AZ250*SALUD_Mes_Constante!$AP$1</f>
        <v>0</v>
      </c>
      <c r="BA250" s="8">
        <f>+MINVU_Mes_Corriente!BA250*SALUD_Mes_Constante!$AP$1</f>
        <v>0</v>
      </c>
      <c r="BB250" s="9">
        <f t="shared" si="117"/>
        <v>0</v>
      </c>
      <c r="BC250" s="8">
        <f>+MINVU_Mes_Corriente!BC250*SALUD_Mes_Constante!$BC$1</f>
        <v>0</v>
      </c>
      <c r="BD250" s="8">
        <f>+MINVU_Mes_Corriente!BD250*SALUD_Mes_Constante!$BC$1</f>
        <v>0</v>
      </c>
      <c r="BE250" s="8">
        <f>+MINVU_Mes_Corriente!BE250*SALUD_Mes_Constante!$BC$1</f>
        <v>0</v>
      </c>
      <c r="BF250" s="8">
        <f>+MINVU_Mes_Corriente!BF250*SALUD_Mes_Constante!$BC$1</f>
        <v>0</v>
      </c>
      <c r="BG250" s="8">
        <f>+MINVU_Mes_Corriente!BG250*SALUD_Mes_Constante!$BC$1</f>
        <v>0</v>
      </c>
      <c r="BH250" s="8">
        <f>+MINVU_Mes_Corriente!BH250*SALUD_Mes_Constante!$BC$1</f>
        <v>0</v>
      </c>
      <c r="BI250" s="8">
        <f>+MINVU_Mes_Corriente!BI250*SALUD_Mes_Constante!$BC$1</f>
        <v>0</v>
      </c>
      <c r="BJ250" s="8">
        <f>+MINVU_Mes_Corriente!BJ250*SALUD_Mes_Constante!$BC$1</f>
        <v>0</v>
      </c>
      <c r="BK250" s="8">
        <f>+MINVU_Mes_Corriente!BK250*SALUD_Mes_Constante!$BC$1</f>
        <v>0</v>
      </c>
      <c r="BL250" s="8">
        <f>+MINVU_Mes_Corriente!BL250*SALUD_Mes_Constante!$BC$1</f>
        <v>0</v>
      </c>
      <c r="BM250" s="8">
        <f>+MINVU_Mes_Corriente!BM250*SALUD_Mes_Constante!$BC$1</f>
        <v>0</v>
      </c>
      <c r="BN250" s="8">
        <f>+MINVU_Mes_Corriente!BN250*SALUD_Mes_Constante!$BC$1</f>
        <v>0</v>
      </c>
      <c r="BO250" s="9">
        <f t="shared" si="118"/>
        <v>0</v>
      </c>
      <c r="BP250" s="8">
        <f>+MINVU_Mes_Corriente!BP250*SALUD_Mes_Constante!$BP$1</f>
        <v>0</v>
      </c>
      <c r="BQ250" s="8">
        <f>+MINVU_Mes_Corriente!BQ250*SALUD_Mes_Constante!$BP$1</f>
        <v>0</v>
      </c>
      <c r="BR250" s="8">
        <f>+MINVU_Mes_Corriente!BR250*SALUD_Mes_Constante!$BP$1</f>
        <v>0</v>
      </c>
      <c r="BS250" s="8">
        <f>+MINVU_Mes_Corriente!BS250*SALUD_Mes_Constante!$BP$1</f>
        <v>0</v>
      </c>
      <c r="BT250" s="8">
        <f>+MINVU_Mes_Corriente!BT250*SALUD_Mes_Constante!$BP$1</f>
        <v>0</v>
      </c>
      <c r="BU250" s="8">
        <f>+MINVU_Mes_Corriente!BU250*SALUD_Mes_Constante!$BP$1</f>
        <v>0</v>
      </c>
      <c r="BV250" s="8">
        <f>+MINVU_Mes_Corriente!BV250*SALUD_Mes_Constante!$BP$1</f>
        <v>0</v>
      </c>
      <c r="BW250" s="8">
        <f>+MINVU_Mes_Corriente!BW250*SALUD_Mes_Constante!$BP$1</f>
        <v>0</v>
      </c>
      <c r="BX250" s="8">
        <f>+MINVU_Mes_Corriente!BX250*SALUD_Mes_Constante!$BP$1</f>
        <v>0</v>
      </c>
      <c r="BY250" s="8">
        <f>+MINVU_Mes_Corriente!BY250*SALUD_Mes_Constante!$BP$1</f>
        <v>0</v>
      </c>
      <c r="BZ250" s="8">
        <f>+MINVU_Mes_Corriente!BZ250*SALUD_Mes_Constante!$BP$1</f>
        <v>0</v>
      </c>
      <c r="CA250" s="8">
        <f>+MINVU_Mes_Corriente!CA250*SALUD_Mes_Constante!$BP$1</f>
        <v>0</v>
      </c>
      <c r="CB250" s="9">
        <f t="shared" si="119"/>
        <v>0</v>
      </c>
      <c r="CC250" s="8">
        <f>+MINVU_Mes_Corriente!CC250*SALUD_Mes_Constante!$CC$1</f>
        <v>0</v>
      </c>
      <c r="CD250" s="8">
        <f>+MINVU_Mes_Corriente!CD250*SALUD_Mes_Constante!$CC$1</f>
        <v>0</v>
      </c>
      <c r="CE250" s="8">
        <f>+MINVU_Mes_Corriente!CE250*SALUD_Mes_Constante!$CC$1</f>
        <v>0</v>
      </c>
      <c r="CF250" s="8">
        <f>+MINVU_Mes_Corriente!CF250*SALUD_Mes_Constante!$CC$1</f>
        <v>0</v>
      </c>
      <c r="CG250" s="8">
        <f>+MINVU_Mes_Corriente!CG250*SALUD_Mes_Constante!$CC$1</f>
        <v>0</v>
      </c>
      <c r="CH250" s="8">
        <f>+MINVU_Mes_Corriente!CH250*SALUD_Mes_Constante!$CC$1</f>
        <v>0</v>
      </c>
      <c r="CI250" s="8">
        <f>+MINVU_Mes_Corriente!CI250*SALUD_Mes_Constante!$CC$1</f>
        <v>0</v>
      </c>
      <c r="CJ250" s="8">
        <f>+MINVU_Mes_Corriente!CJ250*SALUD_Mes_Constante!$CC$1</f>
        <v>0</v>
      </c>
      <c r="CK250" s="8">
        <f>+MINVU_Mes_Corriente!CK250*SALUD_Mes_Constante!$CC$1</f>
        <v>0</v>
      </c>
      <c r="CL250" s="8">
        <f>+MINVU_Mes_Corriente!CL250*SALUD_Mes_Constante!$CC$1</f>
        <v>0</v>
      </c>
      <c r="CM250" s="8">
        <f>+MINVU_Mes_Corriente!CM250*SALUD_Mes_Constante!$CC$1</f>
        <v>0</v>
      </c>
      <c r="CN250" s="8">
        <f>+MINVU_Mes_Corriente!CN250*SALUD_Mes_Constante!$CC$1</f>
        <v>0</v>
      </c>
      <c r="CO250" s="9">
        <f t="shared" si="120"/>
        <v>0</v>
      </c>
      <c r="CP250" s="8">
        <f>+MINVU_Mes_Corriente!CP250*SALUD_Mes_Constante!$CP$1</f>
        <v>0</v>
      </c>
      <c r="CQ250" s="8">
        <f>+MINVU_Mes_Corriente!CQ250*SALUD_Mes_Constante!$CP$1</f>
        <v>0</v>
      </c>
      <c r="CR250" s="8">
        <f>+MINVU_Mes_Corriente!CR250*SALUD_Mes_Constante!$CP$1</f>
        <v>0</v>
      </c>
      <c r="CS250" s="8">
        <f>+MINVU_Mes_Corriente!CS250*SALUD_Mes_Constante!$CP$1</f>
        <v>0</v>
      </c>
      <c r="CT250" s="8">
        <f>+MINVU_Mes_Corriente!CT250*SALUD_Mes_Constante!$CP$1</f>
        <v>0</v>
      </c>
      <c r="CU250" s="8">
        <f>+MINVU_Mes_Corriente!CU250*SALUD_Mes_Constante!$CP$1</f>
        <v>0</v>
      </c>
      <c r="CV250" s="8">
        <f>+MINVU_Mes_Corriente!CV250*SALUD_Mes_Constante!$CP$1</f>
        <v>0</v>
      </c>
      <c r="CW250" s="8">
        <f>+MINVU_Mes_Corriente!CW250*SALUD_Mes_Constante!$CP$1</f>
        <v>0</v>
      </c>
      <c r="CX250" s="8">
        <f>+MINVU_Mes_Corriente!CX250*SALUD_Mes_Constante!$CP$1</f>
        <v>0</v>
      </c>
      <c r="CY250" s="8">
        <f>+MINVU_Mes_Corriente!CY250*SALUD_Mes_Constante!$CP$1</f>
        <v>0</v>
      </c>
      <c r="CZ250" s="8">
        <f>+MINVU_Mes_Corriente!CZ250*SALUD_Mes_Constante!$CP$1</f>
        <v>0</v>
      </c>
      <c r="DA250" s="8">
        <f>+MINVU_Mes_Corriente!DA250*SALUD_Mes_Constante!$CP$1</f>
        <v>0</v>
      </c>
      <c r="DB250" s="9">
        <f t="shared" si="121"/>
        <v>0</v>
      </c>
      <c r="DC250" s="8">
        <f>+MINVU_Mes_Corriente!DC250*SALUD_Mes_Constante!$DC$1</f>
        <v>0</v>
      </c>
      <c r="DD250" s="8">
        <f>+MINVU_Mes_Corriente!DD250*SALUD_Mes_Constante!$DC$1</f>
        <v>0</v>
      </c>
      <c r="DE250" s="8">
        <f>+MINVU_Mes_Corriente!DE250*SALUD_Mes_Constante!$DC$1</f>
        <v>0</v>
      </c>
      <c r="DF250" s="8">
        <f>+MINVU_Mes_Corriente!DF250*SALUD_Mes_Constante!$DC$1</f>
        <v>0</v>
      </c>
      <c r="DG250" s="8">
        <f>+MINVU_Mes_Corriente!DG250*SALUD_Mes_Constante!$DC$1</f>
        <v>0</v>
      </c>
      <c r="DH250" s="8">
        <f>+MINVU_Mes_Corriente!DH250*SALUD_Mes_Constante!$DC$1</f>
        <v>0</v>
      </c>
      <c r="DI250" s="8">
        <f>+MINVU_Mes_Corriente!DI250*SALUD_Mes_Constante!$DC$1</f>
        <v>0</v>
      </c>
      <c r="DJ250" s="8">
        <f>+MINVU_Mes_Corriente!DJ250*SALUD_Mes_Constante!$DC$1</f>
        <v>0</v>
      </c>
      <c r="DK250" s="8">
        <f>+MINVU_Mes_Corriente!DK250*SALUD_Mes_Constante!$DC$1</f>
        <v>0</v>
      </c>
      <c r="DL250" s="8">
        <f>+MINVU_Mes_Corriente!DL250*SALUD_Mes_Constante!$DC$1</f>
        <v>0</v>
      </c>
      <c r="DM250" s="8">
        <f>+MINVU_Mes_Corriente!DM250*SALUD_Mes_Constante!$DC$1</f>
        <v>0</v>
      </c>
      <c r="DN250" s="8">
        <f>+MINVU_Mes_Corriente!DN250*SALUD_Mes_Constante!$DC$1</f>
        <v>0</v>
      </c>
      <c r="DO250" s="9">
        <f t="shared" si="122"/>
        <v>0</v>
      </c>
      <c r="DP250" s="8">
        <f>+MINVU_Mes_Corriente!DP250*SALUD_Mes_Constante!$DP$1</f>
        <v>0</v>
      </c>
      <c r="DQ250" s="8">
        <f>+MINVU_Mes_Corriente!DQ250*SALUD_Mes_Constante!$DP$1</f>
        <v>0</v>
      </c>
      <c r="DR250" s="8">
        <f>+MINVU_Mes_Corriente!DR250*SALUD_Mes_Constante!$DP$1</f>
        <v>0</v>
      </c>
      <c r="DS250" s="8">
        <f>+MINVU_Mes_Corriente!DS250*SALUD_Mes_Constante!$DP$1</f>
        <v>0</v>
      </c>
      <c r="DT250" s="8">
        <f>+MINVU_Mes_Corriente!DT250*SALUD_Mes_Constante!$DP$1</f>
        <v>0</v>
      </c>
      <c r="DU250" s="8">
        <f>+MINVU_Mes_Corriente!DU250*SALUD_Mes_Constante!$DP$1</f>
        <v>0</v>
      </c>
      <c r="DV250" s="8">
        <f>+MINVU_Mes_Corriente!DV250*SALUD_Mes_Constante!$DP$1</f>
        <v>0</v>
      </c>
      <c r="DW250" s="8">
        <f>+MINVU_Mes_Corriente!DW250*SALUD_Mes_Constante!$DP$1</f>
        <v>0</v>
      </c>
      <c r="DX250" s="8">
        <f>+MINVU_Mes_Corriente!DX250*SALUD_Mes_Constante!$DP$1</f>
        <v>0</v>
      </c>
      <c r="DY250" s="8">
        <f>+MINVU_Mes_Corriente!DY250*SALUD_Mes_Constante!$DP$1</f>
        <v>0</v>
      </c>
      <c r="DZ250" s="8">
        <f>+MINVU_Mes_Corriente!DZ250*SALUD_Mes_Constante!$DP$1</f>
        <v>0</v>
      </c>
      <c r="EA250" s="8">
        <f>+MINVU_Mes_Corriente!EA250*SALUD_Mes_Constante!$DP$1</f>
        <v>0</v>
      </c>
      <c r="EB250" s="9">
        <f t="shared" si="123"/>
        <v>0</v>
      </c>
      <c r="EC250" s="8">
        <f>+MINVU_Mes_Corriente!EC250*SALUD_Mes_Constante!$EC$1</f>
        <v>0</v>
      </c>
      <c r="ED250" s="8">
        <f>+MINVU_Mes_Corriente!ED250*SALUD_Mes_Constante!$EC$1</f>
        <v>0</v>
      </c>
      <c r="EE250" s="8">
        <f>+MINVU_Mes_Corriente!EE250*SALUD_Mes_Constante!$EC$1</f>
        <v>0</v>
      </c>
      <c r="EF250" s="8">
        <f>+MINVU_Mes_Corriente!EF250*SALUD_Mes_Constante!$EC$1</f>
        <v>0</v>
      </c>
      <c r="EG250" s="8">
        <f>+MINVU_Mes_Corriente!EG250*SALUD_Mes_Constante!$EC$1</f>
        <v>0</v>
      </c>
      <c r="EH250" s="8">
        <f>+MINVU_Mes_Corriente!EH250*SALUD_Mes_Constante!$EC$1</f>
        <v>0</v>
      </c>
      <c r="EI250" s="8">
        <f>+MINVU_Mes_Corriente!EI250*SALUD_Mes_Constante!$EC$1</f>
        <v>0</v>
      </c>
      <c r="EJ250" s="8">
        <f>+MINVU_Mes_Corriente!EJ250*SALUD_Mes_Constante!$EC$1</f>
        <v>0</v>
      </c>
      <c r="EK250" s="8">
        <f>+MINVU_Mes_Corriente!EK250*SALUD_Mes_Constante!$EC$1</f>
        <v>0</v>
      </c>
      <c r="EL250" s="8">
        <f>+MINVU_Mes_Corriente!EL250*SALUD_Mes_Constante!$EC$1</f>
        <v>0</v>
      </c>
      <c r="EM250" s="8">
        <f>+MINVU_Mes_Corriente!EM250*SALUD_Mes_Constante!$EC$1</f>
        <v>0</v>
      </c>
      <c r="EN250" s="8">
        <f>+MINVU_Mes_Corriente!EN250*SALUD_Mes_Constante!$EC$1</f>
        <v>0</v>
      </c>
      <c r="EO250" s="9">
        <f t="shared" si="124"/>
        <v>0</v>
      </c>
      <c r="EP250" s="8">
        <f>+MINVU_Mes_Corriente!EP250*SALUD_Mes_Constante!$EP$1</f>
        <v>0</v>
      </c>
      <c r="EQ250" s="8">
        <f>+MINVU_Mes_Corriente!EQ250*SALUD_Mes_Constante!$EP$1</f>
        <v>0</v>
      </c>
      <c r="ER250" s="8">
        <f>+MINVU_Mes_Corriente!ER250*SALUD_Mes_Constante!$EP$1</f>
        <v>0</v>
      </c>
      <c r="ES250" s="8">
        <f>+MINVU_Mes_Corriente!ES250*SALUD_Mes_Constante!$EP$1</f>
        <v>0</v>
      </c>
      <c r="ET250" s="8">
        <f>+MINVU_Mes_Corriente!ET250*SALUD_Mes_Constante!$EP$1</f>
        <v>0</v>
      </c>
      <c r="EU250" s="8">
        <f>+MINVU_Mes_Corriente!EU250*SALUD_Mes_Constante!$EP$1</f>
        <v>0</v>
      </c>
      <c r="EV250" s="8">
        <f>+MINVU_Mes_Corriente!EV250*SALUD_Mes_Constante!$EP$1</f>
        <v>0</v>
      </c>
      <c r="EW250" s="8">
        <f>+MINVU_Mes_Corriente!EW250*SALUD_Mes_Constante!$EP$1</f>
        <v>0</v>
      </c>
      <c r="EX250" s="8">
        <f>+MINVU_Mes_Corriente!EX250*SALUD_Mes_Constante!$EP$1</f>
        <v>0</v>
      </c>
      <c r="EY250" s="8">
        <f>+MINVU_Mes_Corriente!EY250*SALUD_Mes_Constante!$EP$1</f>
        <v>0</v>
      </c>
      <c r="EZ250" s="8">
        <f>+MINVU_Mes_Corriente!EZ250*SALUD_Mes_Constante!$EP$1</f>
        <v>0</v>
      </c>
      <c r="FA250" s="8">
        <f>+MINVU_Mes_Corriente!FA250*SALUD_Mes_Constante!$EP$1</f>
        <v>0</v>
      </c>
      <c r="FB250" s="9">
        <f t="shared" si="125"/>
        <v>0</v>
      </c>
      <c r="FC250" s="8">
        <f>+MINVU_Mes_Corriente!FC250*SALUD_Mes_Constante!$FC$1</f>
        <v>0</v>
      </c>
      <c r="FD250" s="8">
        <f>+MINVU_Mes_Corriente!FD250*SALUD_Mes_Constante!$FC$1</f>
        <v>0</v>
      </c>
      <c r="FE250" s="8">
        <f>+MINVU_Mes_Corriente!FE250*SALUD_Mes_Constante!$FC$1</f>
        <v>0</v>
      </c>
      <c r="FF250" s="8">
        <f>+MINVU_Mes_Corriente!FF250*SALUD_Mes_Constante!$FC$1</f>
        <v>0</v>
      </c>
      <c r="FG250" s="8">
        <f>+MINVU_Mes_Corriente!FG250*SALUD_Mes_Constante!$FC$1</f>
        <v>0</v>
      </c>
      <c r="FH250" s="8">
        <f>+MINVU_Mes_Corriente!FH250*SALUD_Mes_Constante!$FC$1</f>
        <v>0</v>
      </c>
      <c r="FI250" s="8">
        <f>+MINVU_Mes_Corriente!FI250*SALUD_Mes_Constante!$FC$1</f>
        <v>0</v>
      </c>
      <c r="FJ250" s="8"/>
      <c r="FK250" s="8"/>
      <c r="FL250" s="8"/>
      <c r="FM250" s="8"/>
      <c r="FN250" s="8"/>
      <c r="FO250" s="9">
        <f t="shared" si="126"/>
        <v>0</v>
      </c>
    </row>
    <row r="251" spans="2:171" ht="14.25" customHeight="1" x14ac:dyDescent="0.3">
      <c r="B251" s="31" t="s">
        <v>64</v>
      </c>
      <c r="C251" s="8">
        <f>+MINVU_Mes_Corriente!C251*SALUD_Mes_Constante!$C$1</f>
        <v>0</v>
      </c>
      <c r="D251" s="8">
        <f>+MINVU_Mes_Corriente!D251*SALUD_Mes_Constante!$C$1</f>
        <v>0</v>
      </c>
      <c r="E251" s="8">
        <f>+MINVU_Mes_Corriente!E251*SALUD_Mes_Constante!$C$1</f>
        <v>0</v>
      </c>
      <c r="F251" s="8">
        <f>+MINVU_Mes_Corriente!F251*SALUD_Mes_Constante!$C$1</f>
        <v>0</v>
      </c>
      <c r="G251" s="8">
        <f>+MINVU_Mes_Corriente!G251*SALUD_Mes_Constante!$C$1</f>
        <v>0</v>
      </c>
      <c r="H251" s="8">
        <f>+MINVU_Mes_Corriente!H251*SALUD_Mes_Constante!$C$1</f>
        <v>0</v>
      </c>
      <c r="I251" s="8">
        <f>+MINVU_Mes_Corriente!I251*SALUD_Mes_Constante!$C$1</f>
        <v>0</v>
      </c>
      <c r="J251" s="8">
        <f>+MINVU_Mes_Corriente!J251*SALUD_Mes_Constante!$C$1</f>
        <v>0</v>
      </c>
      <c r="K251" s="8">
        <f>+MINVU_Mes_Corriente!K251*SALUD_Mes_Constante!$C$1</f>
        <v>0</v>
      </c>
      <c r="L251" s="8">
        <f>+MINVU_Mes_Corriente!L251*SALUD_Mes_Constante!$C$1</f>
        <v>0</v>
      </c>
      <c r="M251" s="8">
        <f>+MINVU_Mes_Corriente!M251*SALUD_Mes_Constante!$C$1</f>
        <v>0</v>
      </c>
      <c r="N251" s="8">
        <f>+MINVU_Mes_Corriente!N251*SALUD_Mes_Constante!$C$1</f>
        <v>0</v>
      </c>
      <c r="O251" s="9">
        <f t="shared" si="114"/>
        <v>0</v>
      </c>
      <c r="P251" s="8">
        <f>+MINVU_Mes_Corriente!P251*SALUD_Mes_Constante!$P$1</f>
        <v>0</v>
      </c>
      <c r="Q251" s="8">
        <f>+MINVU_Mes_Corriente!Q251*SALUD_Mes_Constante!$P$1</f>
        <v>0</v>
      </c>
      <c r="R251" s="8">
        <f>+MINVU_Mes_Corriente!R251*SALUD_Mes_Constante!$P$1</f>
        <v>0</v>
      </c>
      <c r="S251" s="8">
        <f>+MINVU_Mes_Corriente!S251*SALUD_Mes_Constante!$P$1</f>
        <v>0</v>
      </c>
      <c r="T251" s="8">
        <f>+MINVU_Mes_Corriente!T251*SALUD_Mes_Constante!$P$1</f>
        <v>0</v>
      </c>
      <c r="U251" s="8">
        <f>+MINVU_Mes_Corriente!U251*SALUD_Mes_Constante!$P$1</f>
        <v>0</v>
      </c>
      <c r="V251" s="8">
        <f>+MINVU_Mes_Corriente!V251*SALUD_Mes_Constante!$P$1</f>
        <v>0</v>
      </c>
      <c r="W251" s="8">
        <f>+MINVU_Mes_Corriente!W251*SALUD_Mes_Constante!$P$1</f>
        <v>0</v>
      </c>
      <c r="X251" s="8">
        <f>+MINVU_Mes_Corriente!X251*SALUD_Mes_Constante!$P$1</f>
        <v>0</v>
      </c>
      <c r="Y251" s="8">
        <f>+MINVU_Mes_Corriente!Y251*SALUD_Mes_Constante!$P$1</f>
        <v>0</v>
      </c>
      <c r="Z251" s="8">
        <f>+MINVU_Mes_Corriente!Z251*SALUD_Mes_Constante!$P$1</f>
        <v>0</v>
      </c>
      <c r="AA251" s="8">
        <f>+MINVU_Mes_Corriente!AA251*SALUD_Mes_Constante!$P$1</f>
        <v>0</v>
      </c>
      <c r="AB251" s="9">
        <f t="shared" si="115"/>
        <v>0</v>
      </c>
      <c r="AC251" s="8">
        <f>+MINVU_Mes_Corriente!AC251*SALUD_Mes_Constante!$AC$1</f>
        <v>0</v>
      </c>
      <c r="AD251" s="8">
        <f>+MINVU_Mes_Corriente!AD251*SALUD_Mes_Constante!$AC$1</f>
        <v>0</v>
      </c>
      <c r="AE251" s="8">
        <f>+MINVU_Mes_Corriente!AE251*SALUD_Mes_Constante!$AC$1</f>
        <v>0</v>
      </c>
      <c r="AF251" s="8">
        <f>+MINVU_Mes_Corriente!AF251*SALUD_Mes_Constante!$AC$1</f>
        <v>0</v>
      </c>
      <c r="AG251" s="8">
        <f>+MINVU_Mes_Corriente!AG251*SALUD_Mes_Constante!$AC$1</f>
        <v>0</v>
      </c>
      <c r="AH251" s="8">
        <f>+MINVU_Mes_Corriente!AH251*SALUD_Mes_Constante!$AC$1</f>
        <v>0</v>
      </c>
      <c r="AI251" s="8">
        <f>+MINVU_Mes_Corriente!AI251*SALUD_Mes_Constante!$AC$1</f>
        <v>0</v>
      </c>
      <c r="AJ251" s="8">
        <f>+MINVU_Mes_Corriente!AJ251*SALUD_Mes_Constante!$AC$1</f>
        <v>0</v>
      </c>
      <c r="AK251" s="8">
        <f>+MINVU_Mes_Corriente!AK251*SALUD_Mes_Constante!$AC$1</f>
        <v>0</v>
      </c>
      <c r="AL251" s="8">
        <f>+MINVU_Mes_Corriente!AL251*SALUD_Mes_Constante!$AC$1</f>
        <v>0</v>
      </c>
      <c r="AM251" s="8">
        <f>+MINVU_Mes_Corriente!AM251*SALUD_Mes_Constante!$AC$1</f>
        <v>0</v>
      </c>
      <c r="AN251" s="8">
        <f>+MINVU_Mes_Corriente!AN251*SALUD_Mes_Constante!$AC$1</f>
        <v>0</v>
      </c>
      <c r="AO251" s="9">
        <f t="shared" si="116"/>
        <v>0</v>
      </c>
      <c r="AP251" s="8">
        <f>+MINVU_Mes_Corriente!AP251*SALUD_Mes_Constante!$AP$1</f>
        <v>0</v>
      </c>
      <c r="AQ251" s="8">
        <f>+MINVU_Mes_Corriente!AQ251*SALUD_Mes_Constante!$AP$1</f>
        <v>0</v>
      </c>
      <c r="AR251" s="8">
        <f>+MINVU_Mes_Corriente!AR251*SALUD_Mes_Constante!$AP$1</f>
        <v>0</v>
      </c>
      <c r="AS251" s="8">
        <f>+MINVU_Mes_Corriente!AS251*SALUD_Mes_Constante!$AP$1</f>
        <v>0</v>
      </c>
      <c r="AT251" s="8">
        <f>+MINVU_Mes_Corriente!AT251*SALUD_Mes_Constante!$AP$1</f>
        <v>0</v>
      </c>
      <c r="AU251" s="8">
        <f>+MINVU_Mes_Corriente!AU251*SALUD_Mes_Constante!$AP$1</f>
        <v>0</v>
      </c>
      <c r="AV251" s="8">
        <f>+MINVU_Mes_Corriente!AV251*SALUD_Mes_Constante!$AP$1</f>
        <v>0</v>
      </c>
      <c r="AW251" s="8">
        <f>+MINVU_Mes_Corriente!AW251*SALUD_Mes_Constante!$AP$1</f>
        <v>0</v>
      </c>
      <c r="AX251" s="8">
        <f>+MINVU_Mes_Corriente!AX251*SALUD_Mes_Constante!$AP$1</f>
        <v>0</v>
      </c>
      <c r="AY251" s="8">
        <f>+MINVU_Mes_Corriente!AY251*SALUD_Mes_Constante!$AP$1</f>
        <v>0</v>
      </c>
      <c r="AZ251" s="8">
        <f>+MINVU_Mes_Corriente!AZ251*SALUD_Mes_Constante!$AP$1</f>
        <v>0</v>
      </c>
      <c r="BA251" s="8">
        <f>+MINVU_Mes_Corriente!BA251*SALUD_Mes_Constante!$AP$1</f>
        <v>0</v>
      </c>
      <c r="BB251" s="9">
        <f t="shared" si="117"/>
        <v>0</v>
      </c>
      <c r="BC251" s="8">
        <f>+MINVU_Mes_Corriente!BC251*SALUD_Mes_Constante!$BC$1</f>
        <v>0</v>
      </c>
      <c r="BD251" s="8">
        <f>+MINVU_Mes_Corriente!BD251*SALUD_Mes_Constante!$BC$1</f>
        <v>0</v>
      </c>
      <c r="BE251" s="8">
        <f>+MINVU_Mes_Corriente!BE251*SALUD_Mes_Constante!$BC$1</f>
        <v>0</v>
      </c>
      <c r="BF251" s="8">
        <f>+MINVU_Mes_Corriente!BF251*SALUD_Mes_Constante!$BC$1</f>
        <v>0</v>
      </c>
      <c r="BG251" s="8">
        <f>+MINVU_Mes_Corriente!BG251*SALUD_Mes_Constante!$BC$1</f>
        <v>0</v>
      </c>
      <c r="BH251" s="8">
        <f>+MINVU_Mes_Corriente!BH251*SALUD_Mes_Constante!$BC$1</f>
        <v>0</v>
      </c>
      <c r="BI251" s="8">
        <f>+MINVU_Mes_Corriente!BI251*SALUD_Mes_Constante!$BC$1</f>
        <v>0</v>
      </c>
      <c r="BJ251" s="8">
        <f>+MINVU_Mes_Corriente!BJ251*SALUD_Mes_Constante!$BC$1</f>
        <v>0</v>
      </c>
      <c r="BK251" s="8">
        <f>+MINVU_Mes_Corriente!BK251*SALUD_Mes_Constante!$BC$1</f>
        <v>0</v>
      </c>
      <c r="BL251" s="8">
        <f>+MINVU_Mes_Corriente!BL251*SALUD_Mes_Constante!$BC$1</f>
        <v>0</v>
      </c>
      <c r="BM251" s="8">
        <f>+MINVU_Mes_Corriente!BM251*SALUD_Mes_Constante!$BC$1</f>
        <v>0</v>
      </c>
      <c r="BN251" s="8">
        <f>+MINVU_Mes_Corriente!BN251*SALUD_Mes_Constante!$BC$1</f>
        <v>0</v>
      </c>
      <c r="BO251" s="9">
        <f t="shared" si="118"/>
        <v>0</v>
      </c>
      <c r="BP251" s="8">
        <f>+MINVU_Mes_Corriente!BP251*SALUD_Mes_Constante!$BP$1</f>
        <v>0</v>
      </c>
      <c r="BQ251" s="8">
        <f>+MINVU_Mes_Corriente!BQ251*SALUD_Mes_Constante!$BP$1</f>
        <v>0</v>
      </c>
      <c r="BR251" s="8">
        <f>+MINVU_Mes_Corriente!BR251*SALUD_Mes_Constante!$BP$1</f>
        <v>0</v>
      </c>
      <c r="BS251" s="8">
        <f>+MINVU_Mes_Corriente!BS251*SALUD_Mes_Constante!$BP$1</f>
        <v>0</v>
      </c>
      <c r="BT251" s="8">
        <f>+MINVU_Mes_Corriente!BT251*SALUD_Mes_Constante!$BP$1</f>
        <v>0</v>
      </c>
      <c r="BU251" s="8">
        <f>+MINVU_Mes_Corriente!BU251*SALUD_Mes_Constante!$BP$1</f>
        <v>0</v>
      </c>
      <c r="BV251" s="8">
        <f>+MINVU_Mes_Corriente!BV251*SALUD_Mes_Constante!$BP$1</f>
        <v>0</v>
      </c>
      <c r="BW251" s="8">
        <f>+MINVU_Mes_Corriente!BW251*SALUD_Mes_Constante!$BP$1</f>
        <v>0</v>
      </c>
      <c r="BX251" s="8">
        <f>+MINVU_Mes_Corriente!BX251*SALUD_Mes_Constante!$BP$1</f>
        <v>0</v>
      </c>
      <c r="BY251" s="8">
        <f>+MINVU_Mes_Corriente!BY251*SALUD_Mes_Constante!$BP$1</f>
        <v>0</v>
      </c>
      <c r="BZ251" s="8">
        <f>+MINVU_Mes_Corriente!BZ251*SALUD_Mes_Constante!$BP$1</f>
        <v>0</v>
      </c>
      <c r="CA251" s="8">
        <f>+MINVU_Mes_Corriente!CA251*SALUD_Mes_Constante!$BP$1</f>
        <v>0</v>
      </c>
      <c r="CB251" s="9">
        <f t="shared" si="119"/>
        <v>0</v>
      </c>
      <c r="CC251" s="8">
        <f>+MINVU_Mes_Corriente!CC251*SALUD_Mes_Constante!$CC$1</f>
        <v>0</v>
      </c>
      <c r="CD251" s="8">
        <f>+MINVU_Mes_Corriente!CD251*SALUD_Mes_Constante!$CC$1</f>
        <v>0</v>
      </c>
      <c r="CE251" s="8">
        <f>+MINVU_Mes_Corriente!CE251*SALUD_Mes_Constante!$CC$1</f>
        <v>0</v>
      </c>
      <c r="CF251" s="8">
        <f>+MINVU_Mes_Corriente!CF251*SALUD_Mes_Constante!$CC$1</f>
        <v>0</v>
      </c>
      <c r="CG251" s="8">
        <f>+MINVU_Mes_Corriente!CG251*SALUD_Mes_Constante!$CC$1</f>
        <v>0</v>
      </c>
      <c r="CH251" s="8">
        <f>+MINVU_Mes_Corriente!CH251*SALUD_Mes_Constante!$CC$1</f>
        <v>0</v>
      </c>
      <c r="CI251" s="8">
        <f>+MINVU_Mes_Corriente!CI251*SALUD_Mes_Constante!$CC$1</f>
        <v>0</v>
      </c>
      <c r="CJ251" s="8">
        <f>+MINVU_Mes_Corriente!CJ251*SALUD_Mes_Constante!$CC$1</f>
        <v>0</v>
      </c>
      <c r="CK251" s="8">
        <f>+MINVU_Mes_Corriente!CK251*SALUD_Mes_Constante!$CC$1</f>
        <v>0</v>
      </c>
      <c r="CL251" s="8">
        <f>+MINVU_Mes_Corriente!CL251*SALUD_Mes_Constante!$CC$1</f>
        <v>0</v>
      </c>
      <c r="CM251" s="8">
        <f>+MINVU_Mes_Corriente!CM251*SALUD_Mes_Constante!$CC$1</f>
        <v>0</v>
      </c>
      <c r="CN251" s="8">
        <f>+MINVU_Mes_Corriente!CN251*SALUD_Mes_Constante!$CC$1</f>
        <v>0</v>
      </c>
      <c r="CO251" s="9">
        <f t="shared" si="120"/>
        <v>0</v>
      </c>
      <c r="CP251" s="8">
        <f>+MINVU_Mes_Corriente!CP251*SALUD_Mes_Constante!$CP$1</f>
        <v>0</v>
      </c>
      <c r="CQ251" s="8">
        <f>+MINVU_Mes_Corriente!CQ251*SALUD_Mes_Constante!$CP$1</f>
        <v>0</v>
      </c>
      <c r="CR251" s="8">
        <f>+MINVU_Mes_Corriente!CR251*SALUD_Mes_Constante!$CP$1</f>
        <v>0</v>
      </c>
      <c r="CS251" s="8">
        <f>+MINVU_Mes_Corriente!CS251*SALUD_Mes_Constante!$CP$1</f>
        <v>0</v>
      </c>
      <c r="CT251" s="8">
        <f>+MINVU_Mes_Corriente!CT251*SALUD_Mes_Constante!$CP$1</f>
        <v>0</v>
      </c>
      <c r="CU251" s="8">
        <f>+MINVU_Mes_Corriente!CU251*SALUD_Mes_Constante!$CP$1</f>
        <v>0</v>
      </c>
      <c r="CV251" s="8">
        <f>+MINVU_Mes_Corriente!CV251*SALUD_Mes_Constante!$CP$1</f>
        <v>0</v>
      </c>
      <c r="CW251" s="8">
        <f>+MINVU_Mes_Corriente!CW251*SALUD_Mes_Constante!$CP$1</f>
        <v>0</v>
      </c>
      <c r="CX251" s="8">
        <f>+MINVU_Mes_Corriente!CX251*SALUD_Mes_Constante!$CP$1</f>
        <v>0</v>
      </c>
      <c r="CY251" s="8">
        <f>+MINVU_Mes_Corriente!CY251*SALUD_Mes_Constante!$CP$1</f>
        <v>0</v>
      </c>
      <c r="CZ251" s="8">
        <f>+MINVU_Mes_Corriente!CZ251*SALUD_Mes_Constante!$CP$1</f>
        <v>0</v>
      </c>
      <c r="DA251" s="8">
        <f>+MINVU_Mes_Corriente!DA251*SALUD_Mes_Constante!$CP$1</f>
        <v>0</v>
      </c>
      <c r="DB251" s="9">
        <f t="shared" si="121"/>
        <v>0</v>
      </c>
      <c r="DC251" s="8">
        <f>+MINVU_Mes_Corriente!DC251*SALUD_Mes_Constante!$DC$1</f>
        <v>0</v>
      </c>
      <c r="DD251" s="8">
        <f>+MINVU_Mes_Corriente!DD251*SALUD_Mes_Constante!$DC$1</f>
        <v>0</v>
      </c>
      <c r="DE251" s="8">
        <f>+MINVU_Mes_Corriente!DE251*SALUD_Mes_Constante!$DC$1</f>
        <v>0</v>
      </c>
      <c r="DF251" s="8">
        <f>+MINVU_Mes_Corriente!DF251*SALUD_Mes_Constante!$DC$1</f>
        <v>0</v>
      </c>
      <c r="DG251" s="8">
        <f>+MINVU_Mes_Corriente!DG251*SALUD_Mes_Constante!$DC$1</f>
        <v>0</v>
      </c>
      <c r="DH251" s="8">
        <f>+MINVU_Mes_Corriente!DH251*SALUD_Mes_Constante!$DC$1</f>
        <v>0</v>
      </c>
      <c r="DI251" s="8">
        <f>+MINVU_Mes_Corriente!DI251*SALUD_Mes_Constante!$DC$1</f>
        <v>0</v>
      </c>
      <c r="DJ251" s="8">
        <f>+MINVU_Mes_Corriente!DJ251*SALUD_Mes_Constante!$DC$1</f>
        <v>0</v>
      </c>
      <c r="DK251" s="8">
        <f>+MINVU_Mes_Corriente!DK251*SALUD_Mes_Constante!$DC$1</f>
        <v>0</v>
      </c>
      <c r="DL251" s="8">
        <f>+MINVU_Mes_Corriente!DL251*SALUD_Mes_Constante!$DC$1</f>
        <v>0</v>
      </c>
      <c r="DM251" s="8">
        <f>+MINVU_Mes_Corriente!DM251*SALUD_Mes_Constante!$DC$1</f>
        <v>0</v>
      </c>
      <c r="DN251" s="8">
        <f>+MINVU_Mes_Corriente!DN251*SALUD_Mes_Constante!$DC$1</f>
        <v>0</v>
      </c>
      <c r="DO251" s="9">
        <f t="shared" si="122"/>
        <v>0</v>
      </c>
      <c r="DP251" s="8">
        <f>+MINVU_Mes_Corriente!DP251*SALUD_Mes_Constante!$DP$1</f>
        <v>0</v>
      </c>
      <c r="DQ251" s="8">
        <f>+MINVU_Mes_Corriente!DQ251*SALUD_Mes_Constante!$DP$1</f>
        <v>0</v>
      </c>
      <c r="DR251" s="8">
        <f>+MINVU_Mes_Corriente!DR251*SALUD_Mes_Constante!$DP$1</f>
        <v>0</v>
      </c>
      <c r="DS251" s="8">
        <f>+MINVU_Mes_Corriente!DS251*SALUD_Mes_Constante!$DP$1</f>
        <v>0</v>
      </c>
      <c r="DT251" s="8">
        <f>+MINVU_Mes_Corriente!DT251*SALUD_Mes_Constante!$DP$1</f>
        <v>0</v>
      </c>
      <c r="DU251" s="8">
        <f>+MINVU_Mes_Corriente!DU251*SALUD_Mes_Constante!$DP$1</f>
        <v>0</v>
      </c>
      <c r="DV251" s="8">
        <f>+MINVU_Mes_Corriente!DV251*SALUD_Mes_Constante!$DP$1</f>
        <v>0</v>
      </c>
      <c r="DW251" s="8">
        <f>+MINVU_Mes_Corriente!DW251*SALUD_Mes_Constante!$DP$1</f>
        <v>0</v>
      </c>
      <c r="DX251" s="8">
        <f>+MINVU_Mes_Corriente!DX251*SALUD_Mes_Constante!$DP$1</f>
        <v>0</v>
      </c>
      <c r="DY251" s="8">
        <f>+MINVU_Mes_Corriente!DY251*SALUD_Mes_Constante!$DP$1</f>
        <v>0</v>
      </c>
      <c r="DZ251" s="8">
        <f>+MINVU_Mes_Corriente!DZ251*SALUD_Mes_Constante!$DP$1</f>
        <v>0</v>
      </c>
      <c r="EA251" s="8">
        <f>+MINVU_Mes_Corriente!EA251*SALUD_Mes_Constante!$DP$1</f>
        <v>0</v>
      </c>
      <c r="EB251" s="9">
        <f t="shared" si="123"/>
        <v>0</v>
      </c>
      <c r="EC251" s="8">
        <f>+MINVU_Mes_Corriente!EC251*SALUD_Mes_Constante!$EC$1</f>
        <v>0</v>
      </c>
      <c r="ED251" s="8">
        <f>+MINVU_Mes_Corriente!ED251*SALUD_Mes_Constante!$EC$1</f>
        <v>0</v>
      </c>
      <c r="EE251" s="8">
        <f>+MINVU_Mes_Corriente!EE251*SALUD_Mes_Constante!$EC$1</f>
        <v>0</v>
      </c>
      <c r="EF251" s="8">
        <f>+MINVU_Mes_Corriente!EF251*SALUD_Mes_Constante!$EC$1</f>
        <v>0</v>
      </c>
      <c r="EG251" s="8">
        <f>+MINVU_Mes_Corriente!EG251*SALUD_Mes_Constante!$EC$1</f>
        <v>0</v>
      </c>
      <c r="EH251" s="8">
        <f>+MINVU_Mes_Corriente!EH251*SALUD_Mes_Constante!$EC$1</f>
        <v>0</v>
      </c>
      <c r="EI251" s="8">
        <f>+MINVU_Mes_Corriente!EI251*SALUD_Mes_Constante!$EC$1</f>
        <v>0</v>
      </c>
      <c r="EJ251" s="8">
        <f>+MINVU_Mes_Corriente!EJ251*SALUD_Mes_Constante!$EC$1</f>
        <v>0</v>
      </c>
      <c r="EK251" s="8">
        <f>+MINVU_Mes_Corriente!EK251*SALUD_Mes_Constante!$EC$1</f>
        <v>0</v>
      </c>
      <c r="EL251" s="8">
        <f>+MINVU_Mes_Corriente!EL251*SALUD_Mes_Constante!$EC$1</f>
        <v>0</v>
      </c>
      <c r="EM251" s="8">
        <f>+MINVU_Mes_Corriente!EM251*SALUD_Mes_Constante!$EC$1</f>
        <v>0</v>
      </c>
      <c r="EN251" s="8">
        <f>+MINVU_Mes_Corriente!EN251*SALUD_Mes_Constante!$EC$1</f>
        <v>0</v>
      </c>
      <c r="EO251" s="9">
        <f t="shared" si="124"/>
        <v>0</v>
      </c>
      <c r="EP251" s="8">
        <f>+MINVU_Mes_Corriente!EP251*SALUD_Mes_Constante!$EP$1</f>
        <v>0</v>
      </c>
      <c r="EQ251" s="8">
        <f>+MINVU_Mes_Corriente!EQ251*SALUD_Mes_Constante!$EP$1</f>
        <v>0</v>
      </c>
      <c r="ER251" s="8">
        <f>+MINVU_Mes_Corriente!ER251*SALUD_Mes_Constante!$EP$1</f>
        <v>0</v>
      </c>
      <c r="ES251" s="8">
        <f>+MINVU_Mes_Corriente!ES251*SALUD_Mes_Constante!$EP$1</f>
        <v>0</v>
      </c>
      <c r="ET251" s="8">
        <f>+MINVU_Mes_Corriente!ET251*SALUD_Mes_Constante!$EP$1</f>
        <v>0</v>
      </c>
      <c r="EU251" s="8">
        <f>+MINVU_Mes_Corriente!EU251*SALUD_Mes_Constante!$EP$1</f>
        <v>0</v>
      </c>
      <c r="EV251" s="8">
        <f>+MINVU_Mes_Corriente!EV251*SALUD_Mes_Constante!$EP$1</f>
        <v>0</v>
      </c>
      <c r="EW251" s="8">
        <f>+MINVU_Mes_Corriente!EW251*SALUD_Mes_Constante!$EP$1</f>
        <v>0</v>
      </c>
      <c r="EX251" s="8">
        <f>+MINVU_Mes_Corriente!EX251*SALUD_Mes_Constante!$EP$1</f>
        <v>0</v>
      </c>
      <c r="EY251" s="8">
        <f>+MINVU_Mes_Corriente!EY251*SALUD_Mes_Constante!$EP$1</f>
        <v>0</v>
      </c>
      <c r="EZ251" s="8">
        <f>+MINVU_Mes_Corriente!EZ251*SALUD_Mes_Constante!$EP$1</f>
        <v>0</v>
      </c>
      <c r="FA251" s="8">
        <f>+MINVU_Mes_Corriente!FA251*SALUD_Mes_Constante!$EP$1</f>
        <v>0</v>
      </c>
      <c r="FB251" s="9">
        <f t="shared" si="125"/>
        <v>0</v>
      </c>
      <c r="FC251" s="8">
        <f>+MINVU_Mes_Corriente!FC251*SALUD_Mes_Constante!$FC$1</f>
        <v>0</v>
      </c>
      <c r="FD251" s="8">
        <f>+MINVU_Mes_Corriente!FD251*SALUD_Mes_Constante!$FC$1</f>
        <v>0</v>
      </c>
      <c r="FE251" s="8">
        <f>+MINVU_Mes_Corriente!FE251*SALUD_Mes_Constante!$FC$1</f>
        <v>0</v>
      </c>
      <c r="FF251" s="8">
        <f>+MINVU_Mes_Corriente!FF251*SALUD_Mes_Constante!$FC$1</f>
        <v>0</v>
      </c>
      <c r="FG251" s="8">
        <f>+MINVU_Mes_Corriente!FG251*SALUD_Mes_Constante!$FC$1</f>
        <v>0</v>
      </c>
      <c r="FH251" s="8">
        <f>+MINVU_Mes_Corriente!FH251*SALUD_Mes_Constante!$FC$1</f>
        <v>0</v>
      </c>
      <c r="FI251" s="8">
        <f>+MINVU_Mes_Corriente!FI251*SALUD_Mes_Constante!$FC$1</f>
        <v>0</v>
      </c>
      <c r="FJ251" s="8"/>
      <c r="FK251" s="8"/>
      <c r="FL251" s="8"/>
      <c r="FM251" s="8"/>
      <c r="FN251" s="8"/>
      <c r="FO251" s="9">
        <f t="shared" si="126"/>
        <v>0</v>
      </c>
    </row>
    <row r="252" spans="2:171" ht="14.25" customHeight="1" x14ac:dyDescent="0.3">
      <c r="B252" s="31" t="s">
        <v>65</v>
      </c>
      <c r="C252" s="8">
        <f>+MINVU_Mes_Corriente!C252*SALUD_Mes_Constante!$C$1</f>
        <v>0</v>
      </c>
      <c r="D252" s="8">
        <f>+MINVU_Mes_Corriente!D252*SALUD_Mes_Constante!$C$1</f>
        <v>0</v>
      </c>
      <c r="E252" s="8">
        <f>+MINVU_Mes_Corriente!E252*SALUD_Mes_Constante!$C$1</f>
        <v>0</v>
      </c>
      <c r="F252" s="8">
        <f>+MINVU_Mes_Corriente!F252*SALUD_Mes_Constante!$C$1</f>
        <v>0</v>
      </c>
      <c r="G252" s="8">
        <f>+MINVU_Mes_Corriente!G252*SALUD_Mes_Constante!$C$1</f>
        <v>0</v>
      </c>
      <c r="H252" s="8">
        <f>+MINVU_Mes_Corriente!H252*SALUD_Mes_Constante!$C$1</f>
        <v>0</v>
      </c>
      <c r="I252" s="8">
        <f>+MINVU_Mes_Corriente!I252*SALUD_Mes_Constante!$C$1</f>
        <v>0</v>
      </c>
      <c r="J252" s="8">
        <f>+MINVU_Mes_Corriente!J252*SALUD_Mes_Constante!$C$1</f>
        <v>0</v>
      </c>
      <c r="K252" s="8">
        <f>+MINVU_Mes_Corriente!K252*SALUD_Mes_Constante!$C$1</f>
        <v>0</v>
      </c>
      <c r="L252" s="8">
        <f>+MINVU_Mes_Corriente!L252*SALUD_Mes_Constante!$C$1</f>
        <v>0</v>
      </c>
      <c r="M252" s="8">
        <f>+MINVU_Mes_Corriente!M252*SALUD_Mes_Constante!$C$1</f>
        <v>0</v>
      </c>
      <c r="N252" s="8">
        <f>+MINVU_Mes_Corriente!N252*SALUD_Mes_Constante!$C$1</f>
        <v>0</v>
      </c>
      <c r="O252" s="9">
        <f t="shared" si="114"/>
        <v>0</v>
      </c>
      <c r="P252" s="8">
        <f>+MINVU_Mes_Corriente!P252*SALUD_Mes_Constante!$P$1</f>
        <v>0</v>
      </c>
      <c r="Q252" s="8">
        <f>+MINVU_Mes_Corriente!Q252*SALUD_Mes_Constante!$P$1</f>
        <v>0</v>
      </c>
      <c r="R252" s="8">
        <f>+MINVU_Mes_Corriente!R252*SALUD_Mes_Constante!$P$1</f>
        <v>0</v>
      </c>
      <c r="S252" s="8">
        <f>+MINVU_Mes_Corriente!S252*SALUD_Mes_Constante!$P$1</f>
        <v>0</v>
      </c>
      <c r="T252" s="8">
        <f>+MINVU_Mes_Corriente!T252*SALUD_Mes_Constante!$P$1</f>
        <v>0</v>
      </c>
      <c r="U252" s="8">
        <f>+MINVU_Mes_Corriente!U252*SALUD_Mes_Constante!$P$1</f>
        <v>0</v>
      </c>
      <c r="V252" s="8">
        <f>+MINVU_Mes_Corriente!V252*SALUD_Mes_Constante!$P$1</f>
        <v>0</v>
      </c>
      <c r="W252" s="8">
        <f>+MINVU_Mes_Corriente!W252*SALUD_Mes_Constante!$P$1</f>
        <v>0</v>
      </c>
      <c r="X252" s="8">
        <f>+MINVU_Mes_Corriente!X252*SALUD_Mes_Constante!$P$1</f>
        <v>0</v>
      </c>
      <c r="Y252" s="8">
        <f>+MINVU_Mes_Corriente!Y252*SALUD_Mes_Constante!$P$1</f>
        <v>0</v>
      </c>
      <c r="Z252" s="8">
        <f>+MINVU_Mes_Corriente!Z252*SALUD_Mes_Constante!$P$1</f>
        <v>0</v>
      </c>
      <c r="AA252" s="8">
        <f>+MINVU_Mes_Corriente!AA252*SALUD_Mes_Constante!$P$1</f>
        <v>0</v>
      </c>
      <c r="AB252" s="9">
        <f t="shared" si="115"/>
        <v>0</v>
      </c>
      <c r="AC252" s="8">
        <f>+MINVU_Mes_Corriente!AC252*SALUD_Mes_Constante!$AC$1</f>
        <v>0</v>
      </c>
      <c r="AD252" s="8">
        <f>+MINVU_Mes_Corriente!AD252*SALUD_Mes_Constante!$AC$1</f>
        <v>0</v>
      </c>
      <c r="AE252" s="8">
        <f>+MINVU_Mes_Corriente!AE252*SALUD_Mes_Constante!$AC$1</f>
        <v>0</v>
      </c>
      <c r="AF252" s="8">
        <f>+MINVU_Mes_Corriente!AF252*SALUD_Mes_Constante!$AC$1</f>
        <v>0</v>
      </c>
      <c r="AG252" s="8">
        <f>+MINVU_Mes_Corriente!AG252*SALUD_Mes_Constante!$AC$1</f>
        <v>0</v>
      </c>
      <c r="AH252" s="8">
        <f>+MINVU_Mes_Corriente!AH252*SALUD_Mes_Constante!$AC$1</f>
        <v>0</v>
      </c>
      <c r="AI252" s="8">
        <f>+MINVU_Mes_Corriente!AI252*SALUD_Mes_Constante!$AC$1</f>
        <v>0</v>
      </c>
      <c r="AJ252" s="8">
        <f>+MINVU_Mes_Corriente!AJ252*SALUD_Mes_Constante!$AC$1</f>
        <v>0</v>
      </c>
      <c r="AK252" s="8">
        <f>+MINVU_Mes_Corriente!AK252*SALUD_Mes_Constante!$AC$1</f>
        <v>0</v>
      </c>
      <c r="AL252" s="8">
        <f>+MINVU_Mes_Corriente!AL252*SALUD_Mes_Constante!$AC$1</f>
        <v>0</v>
      </c>
      <c r="AM252" s="8">
        <f>+MINVU_Mes_Corriente!AM252*SALUD_Mes_Constante!$AC$1</f>
        <v>0</v>
      </c>
      <c r="AN252" s="8">
        <f>+MINVU_Mes_Corriente!AN252*SALUD_Mes_Constante!$AC$1</f>
        <v>0</v>
      </c>
      <c r="AO252" s="9">
        <f t="shared" si="116"/>
        <v>0</v>
      </c>
      <c r="AP252" s="8">
        <f>+MINVU_Mes_Corriente!AP252*SALUD_Mes_Constante!$AP$1</f>
        <v>0</v>
      </c>
      <c r="AQ252" s="8">
        <f>+MINVU_Mes_Corriente!AQ252*SALUD_Mes_Constante!$AP$1</f>
        <v>0</v>
      </c>
      <c r="AR252" s="8">
        <f>+MINVU_Mes_Corriente!AR252*SALUD_Mes_Constante!$AP$1</f>
        <v>0</v>
      </c>
      <c r="AS252" s="8">
        <f>+MINVU_Mes_Corriente!AS252*SALUD_Mes_Constante!$AP$1</f>
        <v>0</v>
      </c>
      <c r="AT252" s="8">
        <f>+MINVU_Mes_Corriente!AT252*SALUD_Mes_Constante!$AP$1</f>
        <v>0</v>
      </c>
      <c r="AU252" s="8">
        <f>+MINVU_Mes_Corriente!AU252*SALUD_Mes_Constante!$AP$1</f>
        <v>0</v>
      </c>
      <c r="AV252" s="8">
        <f>+MINVU_Mes_Corriente!AV252*SALUD_Mes_Constante!$AP$1</f>
        <v>0</v>
      </c>
      <c r="AW252" s="8">
        <f>+MINVU_Mes_Corriente!AW252*SALUD_Mes_Constante!$AP$1</f>
        <v>0</v>
      </c>
      <c r="AX252" s="8">
        <f>+MINVU_Mes_Corriente!AX252*SALUD_Mes_Constante!$AP$1</f>
        <v>0</v>
      </c>
      <c r="AY252" s="8">
        <f>+MINVU_Mes_Corriente!AY252*SALUD_Mes_Constante!$AP$1</f>
        <v>0</v>
      </c>
      <c r="AZ252" s="8">
        <f>+MINVU_Mes_Corriente!AZ252*SALUD_Mes_Constante!$AP$1</f>
        <v>0</v>
      </c>
      <c r="BA252" s="8">
        <f>+MINVU_Mes_Corriente!BA252*SALUD_Mes_Constante!$AP$1</f>
        <v>0</v>
      </c>
      <c r="BB252" s="9">
        <f t="shared" si="117"/>
        <v>0</v>
      </c>
      <c r="BC252" s="8">
        <f>+MINVU_Mes_Corriente!BC252*SALUD_Mes_Constante!$BC$1</f>
        <v>0</v>
      </c>
      <c r="BD252" s="8">
        <f>+MINVU_Mes_Corriente!BD252*SALUD_Mes_Constante!$BC$1</f>
        <v>0</v>
      </c>
      <c r="BE252" s="8">
        <f>+MINVU_Mes_Corriente!BE252*SALUD_Mes_Constante!$BC$1</f>
        <v>0</v>
      </c>
      <c r="BF252" s="8">
        <f>+MINVU_Mes_Corriente!BF252*SALUD_Mes_Constante!$BC$1</f>
        <v>0</v>
      </c>
      <c r="BG252" s="8">
        <f>+MINVU_Mes_Corriente!BG252*SALUD_Mes_Constante!$BC$1</f>
        <v>0</v>
      </c>
      <c r="BH252" s="8">
        <f>+MINVU_Mes_Corriente!BH252*SALUD_Mes_Constante!$BC$1</f>
        <v>0</v>
      </c>
      <c r="BI252" s="8">
        <f>+MINVU_Mes_Corriente!BI252*SALUD_Mes_Constante!$BC$1</f>
        <v>0</v>
      </c>
      <c r="BJ252" s="8">
        <f>+MINVU_Mes_Corriente!BJ252*SALUD_Mes_Constante!$BC$1</f>
        <v>0</v>
      </c>
      <c r="BK252" s="8">
        <f>+MINVU_Mes_Corriente!BK252*SALUD_Mes_Constante!$BC$1</f>
        <v>0</v>
      </c>
      <c r="BL252" s="8">
        <f>+MINVU_Mes_Corriente!BL252*SALUD_Mes_Constante!$BC$1</f>
        <v>0</v>
      </c>
      <c r="BM252" s="8">
        <f>+MINVU_Mes_Corriente!BM252*SALUD_Mes_Constante!$BC$1</f>
        <v>0</v>
      </c>
      <c r="BN252" s="8">
        <f>+MINVU_Mes_Corriente!BN252*SALUD_Mes_Constante!$BC$1</f>
        <v>0</v>
      </c>
      <c r="BO252" s="9">
        <f t="shared" si="118"/>
        <v>0</v>
      </c>
      <c r="BP252" s="8">
        <f>+MINVU_Mes_Corriente!BP252*SALUD_Mes_Constante!$BP$1</f>
        <v>0</v>
      </c>
      <c r="BQ252" s="8">
        <f>+MINVU_Mes_Corriente!BQ252*SALUD_Mes_Constante!$BP$1</f>
        <v>0</v>
      </c>
      <c r="BR252" s="8">
        <f>+MINVU_Mes_Corriente!BR252*SALUD_Mes_Constante!$BP$1</f>
        <v>0</v>
      </c>
      <c r="BS252" s="8">
        <f>+MINVU_Mes_Corriente!BS252*SALUD_Mes_Constante!$BP$1</f>
        <v>0</v>
      </c>
      <c r="BT252" s="8">
        <f>+MINVU_Mes_Corriente!BT252*SALUD_Mes_Constante!$BP$1</f>
        <v>0</v>
      </c>
      <c r="BU252" s="8">
        <f>+MINVU_Mes_Corriente!BU252*SALUD_Mes_Constante!$BP$1</f>
        <v>0</v>
      </c>
      <c r="BV252" s="8">
        <f>+MINVU_Mes_Corriente!BV252*SALUD_Mes_Constante!$BP$1</f>
        <v>0</v>
      </c>
      <c r="BW252" s="8">
        <f>+MINVU_Mes_Corriente!BW252*SALUD_Mes_Constante!$BP$1</f>
        <v>0</v>
      </c>
      <c r="BX252" s="8">
        <f>+MINVU_Mes_Corriente!BX252*SALUD_Mes_Constante!$BP$1</f>
        <v>0</v>
      </c>
      <c r="BY252" s="8">
        <f>+MINVU_Mes_Corriente!BY252*SALUD_Mes_Constante!$BP$1</f>
        <v>0</v>
      </c>
      <c r="BZ252" s="8">
        <f>+MINVU_Mes_Corriente!BZ252*SALUD_Mes_Constante!$BP$1</f>
        <v>0</v>
      </c>
      <c r="CA252" s="8">
        <f>+MINVU_Mes_Corriente!CA252*SALUD_Mes_Constante!$BP$1</f>
        <v>0</v>
      </c>
      <c r="CB252" s="9">
        <f t="shared" si="119"/>
        <v>0</v>
      </c>
      <c r="CC252" s="8">
        <f>+MINVU_Mes_Corriente!CC252*SALUD_Mes_Constante!$CC$1</f>
        <v>0</v>
      </c>
      <c r="CD252" s="8">
        <f>+MINVU_Mes_Corriente!CD252*SALUD_Mes_Constante!$CC$1</f>
        <v>0</v>
      </c>
      <c r="CE252" s="8">
        <f>+MINVU_Mes_Corriente!CE252*SALUD_Mes_Constante!$CC$1</f>
        <v>0</v>
      </c>
      <c r="CF252" s="8">
        <f>+MINVU_Mes_Corriente!CF252*SALUD_Mes_Constante!$CC$1</f>
        <v>0</v>
      </c>
      <c r="CG252" s="8">
        <f>+MINVU_Mes_Corriente!CG252*SALUD_Mes_Constante!$CC$1</f>
        <v>0</v>
      </c>
      <c r="CH252" s="8">
        <f>+MINVU_Mes_Corriente!CH252*SALUD_Mes_Constante!$CC$1</f>
        <v>0</v>
      </c>
      <c r="CI252" s="8">
        <f>+MINVU_Mes_Corriente!CI252*SALUD_Mes_Constante!$CC$1</f>
        <v>0</v>
      </c>
      <c r="CJ252" s="8">
        <f>+MINVU_Mes_Corriente!CJ252*SALUD_Mes_Constante!$CC$1</f>
        <v>0</v>
      </c>
      <c r="CK252" s="8">
        <f>+MINVU_Mes_Corriente!CK252*SALUD_Mes_Constante!$CC$1</f>
        <v>0</v>
      </c>
      <c r="CL252" s="8">
        <f>+MINVU_Mes_Corriente!CL252*SALUD_Mes_Constante!$CC$1</f>
        <v>0</v>
      </c>
      <c r="CM252" s="8">
        <f>+MINVU_Mes_Corriente!CM252*SALUD_Mes_Constante!$CC$1</f>
        <v>0</v>
      </c>
      <c r="CN252" s="8">
        <f>+MINVU_Mes_Corriente!CN252*SALUD_Mes_Constante!$CC$1</f>
        <v>0</v>
      </c>
      <c r="CO252" s="9">
        <f t="shared" si="120"/>
        <v>0</v>
      </c>
      <c r="CP252" s="8">
        <f>+MINVU_Mes_Corriente!CP252*SALUD_Mes_Constante!$CP$1</f>
        <v>0</v>
      </c>
      <c r="CQ252" s="8">
        <f>+MINVU_Mes_Corriente!CQ252*SALUD_Mes_Constante!$CP$1</f>
        <v>0</v>
      </c>
      <c r="CR252" s="8">
        <f>+MINVU_Mes_Corriente!CR252*SALUD_Mes_Constante!$CP$1</f>
        <v>0</v>
      </c>
      <c r="CS252" s="8">
        <f>+MINVU_Mes_Corriente!CS252*SALUD_Mes_Constante!$CP$1</f>
        <v>0</v>
      </c>
      <c r="CT252" s="8">
        <f>+MINVU_Mes_Corriente!CT252*SALUD_Mes_Constante!$CP$1</f>
        <v>0</v>
      </c>
      <c r="CU252" s="8">
        <f>+MINVU_Mes_Corriente!CU252*SALUD_Mes_Constante!$CP$1</f>
        <v>0</v>
      </c>
      <c r="CV252" s="8">
        <f>+MINVU_Mes_Corriente!CV252*SALUD_Mes_Constante!$CP$1</f>
        <v>0</v>
      </c>
      <c r="CW252" s="8">
        <f>+MINVU_Mes_Corriente!CW252*SALUD_Mes_Constante!$CP$1</f>
        <v>0</v>
      </c>
      <c r="CX252" s="8">
        <f>+MINVU_Mes_Corriente!CX252*SALUD_Mes_Constante!$CP$1</f>
        <v>0</v>
      </c>
      <c r="CY252" s="8">
        <f>+MINVU_Mes_Corriente!CY252*SALUD_Mes_Constante!$CP$1</f>
        <v>0</v>
      </c>
      <c r="CZ252" s="8">
        <f>+MINVU_Mes_Corriente!CZ252*SALUD_Mes_Constante!$CP$1</f>
        <v>0</v>
      </c>
      <c r="DA252" s="8">
        <f>+MINVU_Mes_Corriente!DA252*SALUD_Mes_Constante!$CP$1</f>
        <v>0</v>
      </c>
      <c r="DB252" s="9">
        <f t="shared" si="121"/>
        <v>0</v>
      </c>
      <c r="DC252" s="8">
        <f>+MINVU_Mes_Corriente!DC252*SALUD_Mes_Constante!$DC$1</f>
        <v>0</v>
      </c>
      <c r="DD252" s="8">
        <f>+MINVU_Mes_Corriente!DD252*SALUD_Mes_Constante!$DC$1</f>
        <v>0</v>
      </c>
      <c r="DE252" s="8">
        <f>+MINVU_Mes_Corriente!DE252*SALUD_Mes_Constante!$DC$1</f>
        <v>0</v>
      </c>
      <c r="DF252" s="8">
        <f>+MINVU_Mes_Corriente!DF252*SALUD_Mes_Constante!$DC$1</f>
        <v>0</v>
      </c>
      <c r="DG252" s="8">
        <f>+MINVU_Mes_Corriente!DG252*SALUD_Mes_Constante!$DC$1</f>
        <v>0</v>
      </c>
      <c r="DH252" s="8">
        <f>+MINVU_Mes_Corriente!DH252*SALUD_Mes_Constante!$DC$1</f>
        <v>0</v>
      </c>
      <c r="DI252" s="8">
        <f>+MINVU_Mes_Corriente!DI252*SALUD_Mes_Constante!$DC$1</f>
        <v>0</v>
      </c>
      <c r="DJ252" s="8">
        <f>+MINVU_Mes_Corriente!DJ252*SALUD_Mes_Constante!$DC$1</f>
        <v>0</v>
      </c>
      <c r="DK252" s="8">
        <f>+MINVU_Mes_Corriente!DK252*SALUD_Mes_Constante!$DC$1</f>
        <v>0</v>
      </c>
      <c r="DL252" s="8">
        <f>+MINVU_Mes_Corriente!DL252*SALUD_Mes_Constante!$DC$1</f>
        <v>0</v>
      </c>
      <c r="DM252" s="8">
        <f>+MINVU_Mes_Corriente!DM252*SALUD_Mes_Constante!$DC$1</f>
        <v>0</v>
      </c>
      <c r="DN252" s="8">
        <f>+MINVU_Mes_Corriente!DN252*SALUD_Mes_Constante!$DC$1</f>
        <v>0</v>
      </c>
      <c r="DO252" s="9">
        <f t="shared" si="122"/>
        <v>0</v>
      </c>
      <c r="DP252" s="8">
        <f>+MINVU_Mes_Corriente!DP252*SALUD_Mes_Constante!$DP$1</f>
        <v>0</v>
      </c>
      <c r="DQ252" s="8">
        <f>+MINVU_Mes_Corriente!DQ252*SALUD_Mes_Constante!$DP$1</f>
        <v>0</v>
      </c>
      <c r="DR252" s="8">
        <f>+MINVU_Mes_Corriente!DR252*SALUD_Mes_Constante!$DP$1</f>
        <v>0</v>
      </c>
      <c r="DS252" s="8">
        <f>+MINVU_Mes_Corriente!DS252*SALUD_Mes_Constante!$DP$1</f>
        <v>0</v>
      </c>
      <c r="DT252" s="8">
        <f>+MINVU_Mes_Corriente!DT252*SALUD_Mes_Constante!$DP$1</f>
        <v>0</v>
      </c>
      <c r="DU252" s="8">
        <f>+MINVU_Mes_Corriente!DU252*SALUD_Mes_Constante!$DP$1</f>
        <v>0</v>
      </c>
      <c r="DV252" s="8">
        <f>+MINVU_Mes_Corriente!DV252*SALUD_Mes_Constante!$DP$1</f>
        <v>0</v>
      </c>
      <c r="DW252" s="8">
        <f>+MINVU_Mes_Corriente!DW252*SALUD_Mes_Constante!$DP$1</f>
        <v>0</v>
      </c>
      <c r="DX252" s="8">
        <f>+MINVU_Mes_Corriente!DX252*SALUD_Mes_Constante!$DP$1</f>
        <v>0</v>
      </c>
      <c r="DY252" s="8">
        <f>+MINVU_Mes_Corriente!DY252*SALUD_Mes_Constante!$DP$1</f>
        <v>0</v>
      </c>
      <c r="DZ252" s="8">
        <f>+MINVU_Mes_Corriente!DZ252*SALUD_Mes_Constante!$DP$1</f>
        <v>0</v>
      </c>
      <c r="EA252" s="8">
        <f>+MINVU_Mes_Corriente!EA252*SALUD_Mes_Constante!$DP$1</f>
        <v>0</v>
      </c>
      <c r="EB252" s="9">
        <f t="shared" si="123"/>
        <v>0</v>
      </c>
      <c r="EC252" s="8">
        <f>+MINVU_Mes_Corriente!EC252*SALUD_Mes_Constante!$EC$1</f>
        <v>0</v>
      </c>
      <c r="ED252" s="8">
        <f>+MINVU_Mes_Corriente!ED252*SALUD_Mes_Constante!$EC$1</f>
        <v>0</v>
      </c>
      <c r="EE252" s="8">
        <f>+MINVU_Mes_Corriente!EE252*SALUD_Mes_Constante!$EC$1</f>
        <v>0</v>
      </c>
      <c r="EF252" s="8">
        <f>+MINVU_Mes_Corriente!EF252*SALUD_Mes_Constante!$EC$1</f>
        <v>0</v>
      </c>
      <c r="EG252" s="8">
        <f>+MINVU_Mes_Corriente!EG252*SALUD_Mes_Constante!$EC$1</f>
        <v>0</v>
      </c>
      <c r="EH252" s="8">
        <f>+MINVU_Mes_Corriente!EH252*SALUD_Mes_Constante!$EC$1</f>
        <v>0</v>
      </c>
      <c r="EI252" s="8">
        <f>+MINVU_Mes_Corriente!EI252*SALUD_Mes_Constante!$EC$1</f>
        <v>0</v>
      </c>
      <c r="EJ252" s="8">
        <f>+MINVU_Mes_Corriente!EJ252*SALUD_Mes_Constante!$EC$1</f>
        <v>0</v>
      </c>
      <c r="EK252" s="8">
        <f>+MINVU_Mes_Corriente!EK252*SALUD_Mes_Constante!$EC$1</f>
        <v>0</v>
      </c>
      <c r="EL252" s="8">
        <f>+MINVU_Mes_Corriente!EL252*SALUD_Mes_Constante!$EC$1</f>
        <v>0</v>
      </c>
      <c r="EM252" s="8">
        <f>+MINVU_Mes_Corriente!EM252*SALUD_Mes_Constante!$EC$1</f>
        <v>0</v>
      </c>
      <c r="EN252" s="8">
        <f>+MINVU_Mes_Corriente!EN252*SALUD_Mes_Constante!$EC$1</f>
        <v>0</v>
      </c>
      <c r="EO252" s="9">
        <f t="shared" si="124"/>
        <v>0</v>
      </c>
      <c r="EP252" s="8">
        <f>+MINVU_Mes_Corriente!EP252*SALUD_Mes_Constante!$EP$1</f>
        <v>0</v>
      </c>
      <c r="EQ252" s="8">
        <f>+MINVU_Mes_Corriente!EQ252*SALUD_Mes_Constante!$EP$1</f>
        <v>0</v>
      </c>
      <c r="ER252" s="8">
        <f>+MINVU_Mes_Corriente!ER252*SALUD_Mes_Constante!$EP$1</f>
        <v>0</v>
      </c>
      <c r="ES252" s="8">
        <f>+MINVU_Mes_Corriente!ES252*SALUD_Mes_Constante!$EP$1</f>
        <v>0</v>
      </c>
      <c r="ET252" s="8">
        <f>+MINVU_Mes_Corriente!ET252*SALUD_Mes_Constante!$EP$1</f>
        <v>0</v>
      </c>
      <c r="EU252" s="8">
        <f>+MINVU_Mes_Corriente!EU252*SALUD_Mes_Constante!$EP$1</f>
        <v>0</v>
      </c>
      <c r="EV252" s="8">
        <f>+MINVU_Mes_Corriente!EV252*SALUD_Mes_Constante!$EP$1</f>
        <v>0</v>
      </c>
      <c r="EW252" s="8">
        <f>+MINVU_Mes_Corriente!EW252*SALUD_Mes_Constante!$EP$1</f>
        <v>0</v>
      </c>
      <c r="EX252" s="8">
        <f>+MINVU_Mes_Corriente!EX252*SALUD_Mes_Constante!$EP$1</f>
        <v>0</v>
      </c>
      <c r="EY252" s="8">
        <f>+MINVU_Mes_Corriente!EY252*SALUD_Mes_Constante!$EP$1</f>
        <v>0</v>
      </c>
      <c r="EZ252" s="8">
        <f>+MINVU_Mes_Corriente!EZ252*SALUD_Mes_Constante!$EP$1</f>
        <v>0</v>
      </c>
      <c r="FA252" s="8">
        <f>+MINVU_Mes_Corriente!FA252*SALUD_Mes_Constante!$EP$1</f>
        <v>0</v>
      </c>
      <c r="FB252" s="9">
        <f t="shared" si="125"/>
        <v>0</v>
      </c>
      <c r="FC252" s="8">
        <f>+MINVU_Mes_Corriente!FC252*SALUD_Mes_Constante!$FC$1</f>
        <v>0</v>
      </c>
      <c r="FD252" s="8">
        <f>+MINVU_Mes_Corriente!FD252*SALUD_Mes_Constante!$FC$1</f>
        <v>0</v>
      </c>
      <c r="FE252" s="8">
        <f>+MINVU_Mes_Corriente!FE252*SALUD_Mes_Constante!$FC$1</f>
        <v>0</v>
      </c>
      <c r="FF252" s="8">
        <f>+MINVU_Mes_Corriente!FF252*SALUD_Mes_Constante!$FC$1</f>
        <v>0</v>
      </c>
      <c r="FG252" s="8">
        <f>+MINVU_Mes_Corriente!FG252*SALUD_Mes_Constante!$FC$1</f>
        <v>0</v>
      </c>
      <c r="FH252" s="8">
        <f>+MINVU_Mes_Corriente!FH252*SALUD_Mes_Constante!$FC$1</f>
        <v>0</v>
      </c>
      <c r="FI252" s="8">
        <f>+MINVU_Mes_Corriente!FI252*SALUD_Mes_Constante!$FC$1</f>
        <v>0</v>
      </c>
      <c r="FJ252" s="8"/>
      <c r="FK252" s="8"/>
      <c r="FL252" s="8"/>
      <c r="FM252" s="8"/>
      <c r="FN252" s="8"/>
      <c r="FO252" s="9">
        <f t="shared" si="126"/>
        <v>0</v>
      </c>
    </row>
    <row r="253" spans="2:171" ht="14.25" customHeight="1" x14ac:dyDescent="0.3">
      <c r="B253" s="7" t="s">
        <v>66</v>
      </c>
      <c r="C253" s="8">
        <f>+MINVU_Mes_Corriente!C253*SALUD_Mes_Constante!$C$1</f>
        <v>0</v>
      </c>
      <c r="D253" s="8">
        <f>+MINVU_Mes_Corriente!D253*SALUD_Mes_Constante!$C$1</f>
        <v>0</v>
      </c>
      <c r="E253" s="8">
        <f>+MINVU_Mes_Corriente!E253*SALUD_Mes_Constante!$C$1</f>
        <v>0</v>
      </c>
      <c r="F253" s="8">
        <f>+MINVU_Mes_Corriente!F253*SALUD_Mes_Constante!$C$1</f>
        <v>0</v>
      </c>
      <c r="G253" s="8">
        <f>+MINVU_Mes_Corriente!G253*SALUD_Mes_Constante!$C$1</f>
        <v>0</v>
      </c>
      <c r="H253" s="8">
        <f>+MINVU_Mes_Corriente!H253*SALUD_Mes_Constante!$C$1</f>
        <v>0</v>
      </c>
      <c r="I253" s="8">
        <f>+MINVU_Mes_Corriente!I253*SALUD_Mes_Constante!$C$1</f>
        <v>0</v>
      </c>
      <c r="J253" s="8">
        <f>+MINVU_Mes_Corriente!J253*SALUD_Mes_Constante!$C$1</f>
        <v>0</v>
      </c>
      <c r="K253" s="8">
        <f>+MINVU_Mes_Corriente!K253*SALUD_Mes_Constante!$C$1</f>
        <v>0</v>
      </c>
      <c r="L253" s="8">
        <f>+MINVU_Mes_Corriente!L253*SALUD_Mes_Constante!$C$1</f>
        <v>0</v>
      </c>
      <c r="M253" s="8">
        <f>+MINVU_Mes_Corriente!M253*SALUD_Mes_Constante!$C$1</f>
        <v>0</v>
      </c>
      <c r="N253" s="8">
        <f>+MINVU_Mes_Corriente!N253*SALUD_Mes_Constante!$C$1</f>
        <v>0</v>
      </c>
      <c r="O253" s="9">
        <f t="shared" si="114"/>
        <v>0</v>
      </c>
      <c r="P253" s="8">
        <f>+MINVU_Mes_Corriente!P253*SALUD_Mes_Constante!$P$1</f>
        <v>0</v>
      </c>
      <c r="Q253" s="8">
        <f>+MINVU_Mes_Corriente!Q253*SALUD_Mes_Constante!$P$1</f>
        <v>0</v>
      </c>
      <c r="R253" s="8">
        <f>+MINVU_Mes_Corriente!R253*SALUD_Mes_Constante!$P$1</f>
        <v>0</v>
      </c>
      <c r="S253" s="8">
        <f>+MINVU_Mes_Corriente!S253*SALUD_Mes_Constante!$P$1</f>
        <v>0</v>
      </c>
      <c r="T253" s="8">
        <f>+MINVU_Mes_Corriente!T253*SALUD_Mes_Constante!$P$1</f>
        <v>0</v>
      </c>
      <c r="U253" s="8">
        <f>+MINVU_Mes_Corriente!U253*SALUD_Mes_Constante!$P$1</f>
        <v>0</v>
      </c>
      <c r="V253" s="8">
        <f>+MINVU_Mes_Corriente!V253*SALUD_Mes_Constante!$P$1</f>
        <v>0</v>
      </c>
      <c r="W253" s="8">
        <f>+MINVU_Mes_Corriente!W253*SALUD_Mes_Constante!$P$1</f>
        <v>0</v>
      </c>
      <c r="X253" s="8">
        <f>+MINVU_Mes_Corriente!X253*SALUD_Mes_Constante!$P$1</f>
        <v>0</v>
      </c>
      <c r="Y253" s="8">
        <f>+MINVU_Mes_Corriente!Y253*SALUD_Mes_Constante!$P$1</f>
        <v>0</v>
      </c>
      <c r="Z253" s="8">
        <f>+MINVU_Mes_Corriente!Z253*SALUD_Mes_Constante!$P$1</f>
        <v>0</v>
      </c>
      <c r="AA253" s="8">
        <f>+MINVU_Mes_Corriente!AA253*SALUD_Mes_Constante!$P$1</f>
        <v>0</v>
      </c>
      <c r="AB253" s="9">
        <f t="shared" si="115"/>
        <v>0</v>
      </c>
      <c r="AC253" s="8">
        <f>+MINVU_Mes_Corriente!AC253*SALUD_Mes_Constante!$AC$1</f>
        <v>0</v>
      </c>
      <c r="AD253" s="8">
        <f>+MINVU_Mes_Corriente!AD253*SALUD_Mes_Constante!$AC$1</f>
        <v>0</v>
      </c>
      <c r="AE253" s="8">
        <f>+MINVU_Mes_Corriente!AE253*SALUD_Mes_Constante!$AC$1</f>
        <v>0</v>
      </c>
      <c r="AF253" s="8">
        <f>+MINVU_Mes_Corriente!AF253*SALUD_Mes_Constante!$AC$1</f>
        <v>0</v>
      </c>
      <c r="AG253" s="8">
        <f>+MINVU_Mes_Corriente!AG253*SALUD_Mes_Constante!$AC$1</f>
        <v>0</v>
      </c>
      <c r="AH253" s="8">
        <f>+MINVU_Mes_Corriente!AH253*SALUD_Mes_Constante!$AC$1</f>
        <v>0</v>
      </c>
      <c r="AI253" s="8">
        <f>+MINVU_Mes_Corriente!AI253*SALUD_Mes_Constante!$AC$1</f>
        <v>0</v>
      </c>
      <c r="AJ253" s="8">
        <f>+MINVU_Mes_Corriente!AJ253*SALUD_Mes_Constante!$AC$1</f>
        <v>0</v>
      </c>
      <c r="AK253" s="8">
        <f>+MINVU_Mes_Corriente!AK253*SALUD_Mes_Constante!$AC$1</f>
        <v>0</v>
      </c>
      <c r="AL253" s="8">
        <f>+MINVU_Mes_Corriente!AL253*SALUD_Mes_Constante!$AC$1</f>
        <v>0</v>
      </c>
      <c r="AM253" s="8">
        <f>+MINVU_Mes_Corriente!AM253*SALUD_Mes_Constante!$AC$1</f>
        <v>0</v>
      </c>
      <c r="AN253" s="8">
        <f>+MINVU_Mes_Corriente!AN253*SALUD_Mes_Constante!$AC$1</f>
        <v>0</v>
      </c>
      <c r="AO253" s="9">
        <f t="shared" si="116"/>
        <v>0</v>
      </c>
      <c r="AP253" s="8">
        <f>+MINVU_Mes_Corriente!AP253*SALUD_Mes_Constante!$AP$1</f>
        <v>0</v>
      </c>
      <c r="AQ253" s="8">
        <f>+MINVU_Mes_Corriente!AQ253*SALUD_Mes_Constante!$AP$1</f>
        <v>0</v>
      </c>
      <c r="AR253" s="8">
        <f>+MINVU_Mes_Corriente!AR253*SALUD_Mes_Constante!$AP$1</f>
        <v>0</v>
      </c>
      <c r="AS253" s="8">
        <f>+MINVU_Mes_Corriente!AS253*SALUD_Mes_Constante!$AP$1</f>
        <v>0</v>
      </c>
      <c r="AT253" s="8">
        <f>+MINVU_Mes_Corriente!AT253*SALUD_Mes_Constante!$AP$1</f>
        <v>0</v>
      </c>
      <c r="AU253" s="8">
        <f>+MINVU_Mes_Corriente!AU253*SALUD_Mes_Constante!$AP$1</f>
        <v>0</v>
      </c>
      <c r="AV253" s="8">
        <f>+MINVU_Mes_Corriente!AV253*SALUD_Mes_Constante!$AP$1</f>
        <v>0</v>
      </c>
      <c r="AW253" s="8">
        <f>+MINVU_Mes_Corriente!AW253*SALUD_Mes_Constante!$AP$1</f>
        <v>0</v>
      </c>
      <c r="AX253" s="8">
        <f>+MINVU_Mes_Corriente!AX253*SALUD_Mes_Constante!$AP$1</f>
        <v>0</v>
      </c>
      <c r="AY253" s="8">
        <f>+MINVU_Mes_Corriente!AY253*SALUD_Mes_Constante!$AP$1</f>
        <v>0</v>
      </c>
      <c r="AZ253" s="8">
        <f>+MINVU_Mes_Corriente!AZ253*SALUD_Mes_Constante!$AP$1</f>
        <v>0</v>
      </c>
      <c r="BA253" s="8">
        <f>+MINVU_Mes_Corriente!BA253*SALUD_Mes_Constante!$AP$1</f>
        <v>0</v>
      </c>
      <c r="BB253" s="9">
        <f t="shared" si="117"/>
        <v>0</v>
      </c>
      <c r="BC253" s="8">
        <f>+MINVU_Mes_Corriente!BC253*SALUD_Mes_Constante!$BC$1</f>
        <v>0</v>
      </c>
      <c r="BD253" s="8">
        <f>+MINVU_Mes_Corriente!BD253*SALUD_Mes_Constante!$BC$1</f>
        <v>0</v>
      </c>
      <c r="BE253" s="8">
        <f>+MINVU_Mes_Corriente!BE253*SALUD_Mes_Constante!$BC$1</f>
        <v>0</v>
      </c>
      <c r="BF253" s="8">
        <f>+MINVU_Mes_Corriente!BF253*SALUD_Mes_Constante!$BC$1</f>
        <v>0</v>
      </c>
      <c r="BG253" s="8">
        <f>+MINVU_Mes_Corriente!BG253*SALUD_Mes_Constante!$BC$1</f>
        <v>0</v>
      </c>
      <c r="BH253" s="8">
        <f>+MINVU_Mes_Corriente!BH253*SALUD_Mes_Constante!$BC$1</f>
        <v>0</v>
      </c>
      <c r="BI253" s="8">
        <f>+MINVU_Mes_Corriente!BI253*SALUD_Mes_Constante!$BC$1</f>
        <v>0</v>
      </c>
      <c r="BJ253" s="8">
        <f>+MINVU_Mes_Corriente!BJ253*SALUD_Mes_Constante!$BC$1</f>
        <v>0</v>
      </c>
      <c r="BK253" s="8">
        <f>+MINVU_Mes_Corriente!BK253*SALUD_Mes_Constante!$BC$1</f>
        <v>0</v>
      </c>
      <c r="BL253" s="8">
        <f>+MINVU_Mes_Corriente!BL253*SALUD_Mes_Constante!$BC$1</f>
        <v>0</v>
      </c>
      <c r="BM253" s="8">
        <f>+MINVU_Mes_Corriente!BM253*SALUD_Mes_Constante!$BC$1</f>
        <v>0</v>
      </c>
      <c r="BN253" s="8">
        <f>+MINVU_Mes_Corriente!BN253*SALUD_Mes_Constante!$BC$1</f>
        <v>0</v>
      </c>
      <c r="BO253" s="9">
        <f t="shared" si="118"/>
        <v>0</v>
      </c>
      <c r="BP253" s="8">
        <f>+MINVU_Mes_Corriente!BP253*SALUD_Mes_Constante!$BP$1</f>
        <v>0</v>
      </c>
      <c r="BQ253" s="8">
        <f>+MINVU_Mes_Corriente!BQ253*SALUD_Mes_Constante!$BP$1</f>
        <v>0</v>
      </c>
      <c r="BR253" s="8">
        <f>+MINVU_Mes_Corriente!BR253*SALUD_Mes_Constante!$BP$1</f>
        <v>0</v>
      </c>
      <c r="BS253" s="8">
        <f>+MINVU_Mes_Corriente!BS253*SALUD_Mes_Constante!$BP$1</f>
        <v>0</v>
      </c>
      <c r="BT253" s="8">
        <f>+MINVU_Mes_Corriente!BT253*SALUD_Mes_Constante!$BP$1</f>
        <v>0</v>
      </c>
      <c r="BU253" s="8">
        <f>+MINVU_Mes_Corriente!BU253*SALUD_Mes_Constante!$BP$1</f>
        <v>0</v>
      </c>
      <c r="BV253" s="8">
        <f>+MINVU_Mes_Corriente!BV253*SALUD_Mes_Constante!$BP$1</f>
        <v>0</v>
      </c>
      <c r="BW253" s="8">
        <f>+MINVU_Mes_Corriente!BW253*SALUD_Mes_Constante!$BP$1</f>
        <v>0</v>
      </c>
      <c r="BX253" s="8">
        <f>+MINVU_Mes_Corriente!BX253*SALUD_Mes_Constante!$BP$1</f>
        <v>0</v>
      </c>
      <c r="BY253" s="8">
        <f>+MINVU_Mes_Corriente!BY253*SALUD_Mes_Constante!$BP$1</f>
        <v>0</v>
      </c>
      <c r="BZ253" s="8">
        <f>+MINVU_Mes_Corriente!BZ253*SALUD_Mes_Constante!$BP$1</f>
        <v>0</v>
      </c>
      <c r="CA253" s="8">
        <f>+MINVU_Mes_Corriente!CA253*SALUD_Mes_Constante!$BP$1</f>
        <v>0</v>
      </c>
      <c r="CB253" s="9">
        <f t="shared" si="119"/>
        <v>0</v>
      </c>
      <c r="CC253" s="8">
        <f>+MINVU_Mes_Corriente!CC253*SALUD_Mes_Constante!$CC$1</f>
        <v>0</v>
      </c>
      <c r="CD253" s="8">
        <f>+MINVU_Mes_Corriente!CD253*SALUD_Mes_Constante!$CC$1</f>
        <v>0</v>
      </c>
      <c r="CE253" s="8">
        <f>+MINVU_Mes_Corriente!CE253*SALUD_Mes_Constante!$CC$1</f>
        <v>0</v>
      </c>
      <c r="CF253" s="8">
        <f>+MINVU_Mes_Corriente!CF253*SALUD_Mes_Constante!$CC$1</f>
        <v>0</v>
      </c>
      <c r="CG253" s="8">
        <f>+MINVU_Mes_Corriente!CG253*SALUD_Mes_Constante!$CC$1</f>
        <v>0</v>
      </c>
      <c r="CH253" s="8">
        <f>+MINVU_Mes_Corriente!CH253*SALUD_Mes_Constante!$CC$1</f>
        <v>0</v>
      </c>
      <c r="CI253" s="8">
        <f>+MINVU_Mes_Corriente!CI253*SALUD_Mes_Constante!$CC$1</f>
        <v>0</v>
      </c>
      <c r="CJ253" s="8">
        <f>+MINVU_Mes_Corriente!CJ253*SALUD_Mes_Constante!$CC$1</f>
        <v>0</v>
      </c>
      <c r="CK253" s="8">
        <f>+MINVU_Mes_Corriente!CK253*SALUD_Mes_Constante!$CC$1</f>
        <v>0</v>
      </c>
      <c r="CL253" s="8">
        <f>+MINVU_Mes_Corriente!CL253*SALUD_Mes_Constante!$CC$1</f>
        <v>0</v>
      </c>
      <c r="CM253" s="8">
        <f>+MINVU_Mes_Corriente!CM253*SALUD_Mes_Constante!$CC$1</f>
        <v>0</v>
      </c>
      <c r="CN253" s="8">
        <f>+MINVU_Mes_Corriente!CN253*SALUD_Mes_Constante!$CC$1</f>
        <v>0</v>
      </c>
      <c r="CO253" s="9">
        <f t="shared" si="120"/>
        <v>0</v>
      </c>
      <c r="CP253" s="8">
        <f>+MINVU_Mes_Corriente!CP253*SALUD_Mes_Constante!$CP$1</f>
        <v>0</v>
      </c>
      <c r="CQ253" s="8">
        <f>+MINVU_Mes_Corriente!CQ253*SALUD_Mes_Constante!$CP$1</f>
        <v>0</v>
      </c>
      <c r="CR253" s="8">
        <f>+MINVU_Mes_Corriente!CR253*SALUD_Mes_Constante!$CP$1</f>
        <v>0</v>
      </c>
      <c r="CS253" s="8">
        <f>+MINVU_Mes_Corriente!CS253*SALUD_Mes_Constante!$CP$1</f>
        <v>0</v>
      </c>
      <c r="CT253" s="8">
        <f>+MINVU_Mes_Corriente!CT253*SALUD_Mes_Constante!$CP$1</f>
        <v>0</v>
      </c>
      <c r="CU253" s="8">
        <f>+MINVU_Mes_Corriente!CU253*SALUD_Mes_Constante!$CP$1</f>
        <v>0</v>
      </c>
      <c r="CV253" s="8">
        <f>+MINVU_Mes_Corriente!CV253*SALUD_Mes_Constante!$CP$1</f>
        <v>0</v>
      </c>
      <c r="CW253" s="8">
        <f>+MINVU_Mes_Corriente!CW253*SALUD_Mes_Constante!$CP$1</f>
        <v>0</v>
      </c>
      <c r="CX253" s="8">
        <f>+MINVU_Mes_Corriente!CX253*SALUD_Mes_Constante!$CP$1</f>
        <v>0</v>
      </c>
      <c r="CY253" s="8">
        <f>+MINVU_Mes_Corriente!CY253*SALUD_Mes_Constante!$CP$1</f>
        <v>0</v>
      </c>
      <c r="CZ253" s="8">
        <f>+MINVU_Mes_Corriente!CZ253*SALUD_Mes_Constante!$CP$1</f>
        <v>0</v>
      </c>
      <c r="DA253" s="8">
        <f>+MINVU_Mes_Corriente!DA253*SALUD_Mes_Constante!$CP$1</f>
        <v>0</v>
      </c>
      <c r="DB253" s="9">
        <f t="shared" si="121"/>
        <v>0</v>
      </c>
      <c r="DC253" s="8">
        <f>+MINVU_Mes_Corriente!DC253*SALUD_Mes_Constante!$DC$1</f>
        <v>0</v>
      </c>
      <c r="DD253" s="8">
        <f>+MINVU_Mes_Corriente!DD253*SALUD_Mes_Constante!$DC$1</f>
        <v>0</v>
      </c>
      <c r="DE253" s="8">
        <f>+MINVU_Mes_Corriente!DE253*SALUD_Mes_Constante!$DC$1</f>
        <v>0</v>
      </c>
      <c r="DF253" s="8">
        <f>+MINVU_Mes_Corriente!DF253*SALUD_Mes_Constante!$DC$1</f>
        <v>0</v>
      </c>
      <c r="DG253" s="8">
        <f>+MINVU_Mes_Corriente!DG253*SALUD_Mes_Constante!$DC$1</f>
        <v>0</v>
      </c>
      <c r="DH253" s="8">
        <f>+MINVU_Mes_Corriente!DH253*SALUD_Mes_Constante!$DC$1</f>
        <v>0</v>
      </c>
      <c r="DI253" s="8">
        <f>+MINVU_Mes_Corriente!DI253*SALUD_Mes_Constante!$DC$1</f>
        <v>0</v>
      </c>
      <c r="DJ253" s="8">
        <f>+MINVU_Mes_Corriente!DJ253*SALUD_Mes_Constante!$DC$1</f>
        <v>0</v>
      </c>
      <c r="DK253" s="8">
        <f>+MINVU_Mes_Corriente!DK253*SALUD_Mes_Constante!$DC$1</f>
        <v>0</v>
      </c>
      <c r="DL253" s="8">
        <f>+MINVU_Mes_Corriente!DL253*SALUD_Mes_Constante!$DC$1</f>
        <v>0</v>
      </c>
      <c r="DM253" s="8">
        <f>+MINVU_Mes_Corriente!DM253*SALUD_Mes_Constante!$DC$1</f>
        <v>0</v>
      </c>
      <c r="DN253" s="8">
        <f>+MINVU_Mes_Corriente!DN253*SALUD_Mes_Constante!$DC$1</f>
        <v>0</v>
      </c>
      <c r="DO253" s="9">
        <f t="shared" si="122"/>
        <v>0</v>
      </c>
      <c r="DP253" s="8">
        <f>+MINVU_Mes_Corriente!DP253*SALUD_Mes_Constante!$DP$1</f>
        <v>0</v>
      </c>
      <c r="DQ253" s="8">
        <f>+MINVU_Mes_Corriente!DQ253*SALUD_Mes_Constante!$DP$1</f>
        <v>0</v>
      </c>
      <c r="DR253" s="8">
        <f>+MINVU_Mes_Corriente!DR253*SALUD_Mes_Constante!$DP$1</f>
        <v>0</v>
      </c>
      <c r="DS253" s="8">
        <f>+MINVU_Mes_Corriente!DS253*SALUD_Mes_Constante!$DP$1</f>
        <v>0</v>
      </c>
      <c r="DT253" s="8">
        <f>+MINVU_Mes_Corriente!DT253*SALUD_Mes_Constante!$DP$1</f>
        <v>0</v>
      </c>
      <c r="DU253" s="8">
        <f>+MINVU_Mes_Corriente!DU253*SALUD_Mes_Constante!$DP$1</f>
        <v>0</v>
      </c>
      <c r="DV253" s="8">
        <f>+MINVU_Mes_Corriente!DV253*SALUD_Mes_Constante!$DP$1</f>
        <v>0</v>
      </c>
      <c r="DW253" s="8">
        <f>+MINVU_Mes_Corriente!DW253*SALUD_Mes_Constante!$DP$1</f>
        <v>0</v>
      </c>
      <c r="DX253" s="8">
        <f>+MINVU_Mes_Corriente!DX253*SALUD_Mes_Constante!$DP$1</f>
        <v>0</v>
      </c>
      <c r="DY253" s="8">
        <f>+MINVU_Mes_Corriente!DY253*SALUD_Mes_Constante!$DP$1</f>
        <v>0</v>
      </c>
      <c r="DZ253" s="8">
        <f>+MINVU_Mes_Corriente!DZ253*SALUD_Mes_Constante!$DP$1</f>
        <v>0</v>
      </c>
      <c r="EA253" s="8">
        <f>+MINVU_Mes_Corriente!EA253*SALUD_Mes_Constante!$DP$1</f>
        <v>0</v>
      </c>
      <c r="EB253" s="9">
        <f t="shared" si="123"/>
        <v>0</v>
      </c>
      <c r="EC253" s="8">
        <f>+MINVU_Mes_Corriente!EC253*SALUD_Mes_Constante!$EC$1</f>
        <v>0</v>
      </c>
      <c r="ED253" s="8">
        <f>+MINVU_Mes_Corriente!ED253*SALUD_Mes_Constante!$EC$1</f>
        <v>0</v>
      </c>
      <c r="EE253" s="8">
        <f>+MINVU_Mes_Corriente!EE253*SALUD_Mes_Constante!$EC$1</f>
        <v>0</v>
      </c>
      <c r="EF253" s="8">
        <f>+MINVU_Mes_Corriente!EF253*SALUD_Mes_Constante!$EC$1</f>
        <v>0</v>
      </c>
      <c r="EG253" s="8">
        <f>+MINVU_Mes_Corriente!EG253*SALUD_Mes_Constante!$EC$1</f>
        <v>0</v>
      </c>
      <c r="EH253" s="8">
        <f>+MINVU_Mes_Corriente!EH253*SALUD_Mes_Constante!$EC$1</f>
        <v>0</v>
      </c>
      <c r="EI253" s="8">
        <f>+MINVU_Mes_Corriente!EI253*SALUD_Mes_Constante!$EC$1</f>
        <v>0</v>
      </c>
      <c r="EJ253" s="8">
        <f>+MINVU_Mes_Corriente!EJ253*SALUD_Mes_Constante!$EC$1</f>
        <v>0</v>
      </c>
      <c r="EK253" s="8">
        <f>+MINVU_Mes_Corriente!EK253*SALUD_Mes_Constante!$EC$1</f>
        <v>0</v>
      </c>
      <c r="EL253" s="8">
        <f>+MINVU_Mes_Corriente!EL253*SALUD_Mes_Constante!$EC$1</f>
        <v>0</v>
      </c>
      <c r="EM253" s="8">
        <f>+MINVU_Mes_Corriente!EM253*SALUD_Mes_Constante!$EC$1</f>
        <v>0</v>
      </c>
      <c r="EN253" s="8">
        <f>+MINVU_Mes_Corriente!EN253*SALUD_Mes_Constante!$EC$1</f>
        <v>0</v>
      </c>
      <c r="EO253" s="9">
        <f t="shared" si="124"/>
        <v>0</v>
      </c>
      <c r="EP253" s="8">
        <f>+MINVU_Mes_Corriente!EP253*SALUD_Mes_Constante!$EP$1</f>
        <v>0</v>
      </c>
      <c r="EQ253" s="8">
        <f>+MINVU_Mes_Corriente!EQ253*SALUD_Mes_Constante!$EP$1</f>
        <v>0</v>
      </c>
      <c r="ER253" s="8">
        <f>+MINVU_Mes_Corriente!ER253*SALUD_Mes_Constante!$EP$1</f>
        <v>0</v>
      </c>
      <c r="ES253" s="8">
        <f>+MINVU_Mes_Corriente!ES253*SALUD_Mes_Constante!$EP$1</f>
        <v>0</v>
      </c>
      <c r="ET253" s="8">
        <f>+MINVU_Mes_Corriente!ET253*SALUD_Mes_Constante!$EP$1</f>
        <v>0</v>
      </c>
      <c r="EU253" s="8">
        <f>+MINVU_Mes_Corriente!EU253*SALUD_Mes_Constante!$EP$1</f>
        <v>0</v>
      </c>
      <c r="EV253" s="8">
        <f>+MINVU_Mes_Corriente!EV253*SALUD_Mes_Constante!$EP$1</f>
        <v>0</v>
      </c>
      <c r="EW253" s="8">
        <f>+MINVU_Mes_Corriente!EW253*SALUD_Mes_Constante!$EP$1</f>
        <v>0</v>
      </c>
      <c r="EX253" s="8">
        <f>+MINVU_Mes_Corriente!EX253*SALUD_Mes_Constante!$EP$1</f>
        <v>0</v>
      </c>
      <c r="EY253" s="8">
        <f>+MINVU_Mes_Corriente!EY253*SALUD_Mes_Constante!$EP$1</f>
        <v>0</v>
      </c>
      <c r="EZ253" s="8">
        <f>+MINVU_Mes_Corriente!EZ253*SALUD_Mes_Constante!$EP$1</f>
        <v>0</v>
      </c>
      <c r="FA253" s="8">
        <f>+MINVU_Mes_Corriente!FA253*SALUD_Mes_Constante!$EP$1</f>
        <v>0</v>
      </c>
      <c r="FB253" s="9">
        <f t="shared" si="125"/>
        <v>0</v>
      </c>
      <c r="FC253" s="8">
        <f>+MINVU_Mes_Corriente!FC253*SALUD_Mes_Constante!$FC$1</f>
        <v>0</v>
      </c>
      <c r="FD253" s="8">
        <f>+MINVU_Mes_Corriente!FD253*SALUD_Mes_Constante!$FC$1</f>
        <v>0</v>
      </c>
      <c r="FE253" s="8">
        <f>+MINVU_Mes_Corriente!FE253*SALUD_Mes_Constante!$FC$1</f>
        <v>0</v>
      </c>
      <c r="FF253" s="8">
        <f>+MINVU_Mes_Corriente!FF253*SALUD_Mes_Constante!$FC$1</f>
        <v>0</v>
      </c>
      <c r="FG253" s="8">
        <f>+MINVU_Mes_Corriente!FG253*SALUD_Mes_Constante!$FC$1</f>
        <v>0</v>
      </c>
      <c r="FH253" s="8">
        <f>+MINVU_Mes_Corriente!FH253*SALUD_Mes_Constante!$FC$1</f>
        <v>0</v>
      </c>
      <c r="FI253" s="8">
        <f>+MINVU_Mes_Corriente!FI253*SALUD_Mes_Constante!$FC$1</f>
        <v>0</v>
      </c>
      <c r="FJ253" s="8"/>
      <c r="FK253" s="8"/>
      <c r="FL253" s="8"/>
      <c r="FM253" s="8"/>
      <c r="FN253" s="8"/>
      <c r="FO253" s="9">
        <f t="shared" si="126"/>
        <v>0</v>
      </c>
    </row>
    <row r="254" spans="2:171" ht="14.25" customHeight="1" x14ac:dyDescent="0.3">
      <c r="B254" s="7" t="s">
        <v>67</v>
      </c>
      <c r="C254" s="8">
        <f>+MINVU_Mes_Corriente!C254*SALUD_Mes_Constante!$C$1</f>
        <v>0</v>
      </c>
      <c r="D254" s="8">
        <f>+MINVU_Mes_Corriente!D254*SALUD_Mes_Constante!$C$1</f>
        <v>0</v>
      </c>
      <c r="E254" s="8">
        <f>+MINVU_Mes_Corriente!E254*SALUD_Mes_Constante!$C$1</f>
        <v>0</v>
      </c>
      <c r="F254" s="8">
        <f>+MINVU_Mes_Corriente!F254*SALUD_Mes_Constante!$C$1</f>
        <v>0</v>
      </c>
      <c r="G254" s="8">
        <f>+MINVU_Mes_Corriente!G254*SALUD_Mes_Constante!$C$1</f>
        <v>0</v>
      </c>
      <c r="H254" s="8">
        <f>+MINVU_Mes_Corriente!H254*SALUD_Mes_Constante!$C$1</f>
        <v>0</v>
      </c>
      <c r="I254" s="8">
        <f>+MINVU_Mes_Corriente!I254*SALUD_Mes_Constante!$C$1</f>
        <v>0</v>
      </c>
      <c r="J254" s="8">
        <f>+MINVU_Mes_Corriente!J254*SALUD_Mes_Constante!$C$1</f>
        <v>0</v>
      </c>
      <c r="K254" s="8">
        <f>+MINVU_Mes_Corriente!K254*SALUD_Mes_Constante!$C$1</f>
        <v>0</v>
      </c>
      <c r="L254" s="8">
        <f>+MINVU_Mes_Corriente!L254*SALUD_Mes_Constante!$C$1</f>
        <v>0</v>
      </c>
      <c r="M254" s="8">
        <f>+MINVU_Mes_Corriente!M254*SALUD_Mes_Constante!$C$1</f>
        <v>0</v>
      </c>
      <c r="N254" s="8">
        <f>+MINVU_Mes_Corriente!N254*SALUD_Mes_Constante!$C$1</f>
        <v>0</v>
      </c>
      <c r="O254" s="9">
        <f t="shared" si="114"/>
        <v>0</v>
      </c>
      <c r="P254" s="8">
        <f>+MINVU_Mes_Corriente!P254*SALUD_Mes_Constante!$P$1</f>
        <v>0</v>
      </c>
      <c r="Q254" s="8">
        <f>+MINVU_Mes_Corriente!Q254*SALUD_Mes_Constante!$P$1</f>
        <v>0</v>
      </c>
      <c r="R254" s="8">
        <f>+MINVU_Mes_Corriente!R254*SALUD_Mes_Constante!$P$1</f>
        <v>0</v>
      </c>
      <c r="S254" s="8">
        <f>+MINVU_Mes_Corriente!S254*SALUD_Mes_Constante!$P$1</f>
        <v>0</v>
      </c>
      <c r="T254" s="8">
        <f>+MINVU_Mes_Corriente!T254*SALUD_Mes_Constante!$P$1</f>
        <v>0</v>
      </c>
      <c r="U254" s="8">
        <f>+MINVU_Mes_Corriente!U254*SALUD_Mes_Constante!$P$1</f>
        <v>0</v>
      </c>
      <c r="V254" s="8">
        <f>+MINVU_Mes_Corriente!V254*SALUD_Mes_Constante!$P$1</f>
        <v>0</v>
      </c>
      <c r="W254" s="8">
        <f>+MINVU_Mes_Corriente!W254*SALUD_Mes_Constante!$P$1</f>
        <v>0</v>
      </c>
      <c r="X254" s="8">
        <f>+MINVU_Mes_Corriente!X254*SALUD_Mes_Constante!$P$1</f>
        <v>0</v>
      </c>
      <c r="Y254" s="8">
        <f>+MINVU_Mes_Corriente!Y254*SALUD_Mes_Constante!$P$1</f>
        <v>0</v>
      </c>
      <c r="Z254" s="8">
        <f>+MINVU_Mes_Corriente!Z254*SALUD_Mes_Constante!$P$1</f>
        <v>0</v>
      </c>
      <c r="AA254" s="8">
        <f>+MINVU_Mes_Corriente!AA254*SALUD_Mes_Constante!$P$1</f>
        <v>0</v>
      </c>
      <c r="AB254" s="9">
        <f t="shared" si="115"/>
        <v>0</v>
      </c>
      <c r="AC254" s="8">
        <f>+MINVU_Mes_Corriente!AC254*SALUD_Mes_Constante!$AC$1</f>
        <v>0</v>
      </c>
      <c r="AD254" s="8">
        <f>+MINVU_Mes_Corriente!AD254*SALUD_Mes_Constante!$AC$1</f>
        <v>0</v>
      </c>
      <c r="AE254" s="8">
        <f>+MINVU_Mes_Corriente!AE254*SALUD_Mes_Constante!$AC$1</f>
        <v>0</v>
      </c>
      <c r="AF254" s="8">
        <f>+MINVU_Mes_Corriente!AF254*SALUD_Mes_Constante!$AC$1</f>
        <v>0</v>
      </c>
      <c r="AG254" s="8">
        <f>+MINVU_Mes_Corriente!AG254*SALUD_Mes_Constante!$AC$1</f>
        <v>0</v>
      </c>
      <c r="AH254" s="8">
        <f>+MINVU_Mes_Corriente!AH254*SALUD_Mes_Constante!$AC$1</f>
        <v>0</v>
      </c>
      <c r="AI254" s="8">
        <f>+MINVU_Mes_Corriente!AI254*SALUD_Mes_Constante!$AC$1</f>
        <v>0</v>
      </c>
      <c r="AJ254" s="8">
        <f>+MINVU_Mes_Corriente!AJ254*SALUD_Mes_Constante!$AC$1</f>
        <v>0</v>
      </c>
      <c r="AK254" s="8">
        <f>+MINVU_Mes_Corriente!AK254*SALUD_Mes_Constante!$AC$1</f>
        <v>0</v>
      </c>
      <c r="AL254" s="8">
        <f>+MINVU_Mes_Corriente!AL254*SALUD_Mes_Constante!$AC$1</f>
        <v>0</v>
      </c>
      <c r="AM254" s="8">
        <f>+MINVU_Mes_Corriente!AM254*SALUD_Mes_Constante!$AC$1</f>
        <v>0</v>
      </c>
      <c r="AN254" s="8">
        <f>+MINVU_Mes_Corriente!AN254*SALUD_Mes_Constante!$AC$1</f>
        <v>0</v>
      </c>
      <c r="AO254" s="9">
        <f t="shared" si="116"/>
        <v>0</v>
      </c>
      <c r="AP254" s="8">
        <f>+MINVU_Mes_Corriente!AP254*SALUD_Mes_Constante!$AP$1</f>
        <v>0</v>
      </c>
      <c r="AQ254" s="8">
        <f>+MINVU_Mes_Corriente!AQ254*SALUD_Mes_Constante!$AP$1</f>
        <v>0</v>
      </c>
      <c r="AR254" s="8">
        <f>+MINVU_Mes_Corriente!AR254*SALUD_Mes_Constante!$AP$1</f>
        <v>0</v>
      </c>
      <c r="AS254" s="8">
        <f>+MINVU_Mes_Corriente!AS254*SALUD_Mes_Constante!$AP$1</f>
        <v>0</v>
      </c>
      <c r="AT254" s="8">
        <f>+MINVU_Mes_Corriente!AT254*SALUD_Mes_Constante!$AP$1</f>
        <v>0</v>
      </c>
      <c r="AU254" s="8">
        <f>+MINVU_Mes_Corriente!AU254*SALUD_Mes_Constante!$AP$1</f>
        <v>0</v>
      </c>
      <c r="AV254" s="8">
        <f>+MINVU_Mes_Corriente!AV254*SALUD_Mes_Constante!$AP$1</f>
        <v>0</v>
      </c>
      <c r="AW254" s="8">
        <f>+MINVU_Mes_Corriente!AW254*SALUD_Mes_Constante!$AP$1</f>
        <v>0</v>
      </c>
      <c r="AX254" s="8">
        <f>+MINVU_Mes_Corriente!AX254*SALUD_Mes_Constante!$AP$1</f>
        <v>0</v>
      </c>
      <c r="AY254" s="8">
        <f>+MINVU_Mes_Corriente!AY254*SALUD_Mes_Constante!$AP$1</f>
        <v>0</v>
      </c>
      <c r="AZ254" s="8">
        <f>+MINVU_Mes_Corriente!AZ254*SALUD_Mes_Constante!$AP$1</f>
        <v>0</v>
      </c>
      <c r="BA254" s="8">
        <f>+MINVU_Mes_Corriente!BA254*SALUD_Mes_Constante!$AP$1</f>
        <v>0</v>
      </c>
      <c r="BB254" s="9">
        <f t="shared" si="117"/>
        <v>0</v>
      </c>
      <c r="BC254" s="8">
        <f>+MINVU_Mes_Corriente!BC254*SALUD_Mes_Constante!$BC$1</f>
        <v>0</v>
      </c>
      <c r="BD254" s="8">
        <f>+MINVU_Mes_Corriente!BD254*SALUD_Mes_Constante!$BC$1</f>
        <v>0</v>
      </c>
      <c r="BE254" s="8">
        <f>+MINVU_Mes_Corriente!BE254*SALUD_Mes_Constante!$BC$1</f>
        <v>0</v>
      </c>
      <c r="BF254" s="8">
        <f>+MINVU_Mes_Corriente!BF254*SALUD_Mes_Constante!$BC$1</f>
        <v>0</v>
      </c>
      <c r="BG254" s="8">
        <f>+MINVU_Mes_Corriente!BG254*SALUD_Mes_Constante!$BC$1</f>
        <v>0</v>
      </c>
      <c r="BH254" s="8">
        <f>+MINVU_Mes_Corriente!BH254*SALUD_Mes_Constante!$BC$1</f>
        <v>0</v>
      </c>
      <c r="BI254" s="8">
        <f>+MINVU_Mes_Corriente!BI254*SALUD_Mes_Constante!$BC$1</f>
        <v>0</v>
      </c>
      <c r="BJ254" s="8">
        <f>+MINVU_Mes_Corriente!BJ254*SALUD_Mes_Constante!$BC$1</f>
        <v>0</v>
      </c>
      <c r="BK254" s="8">
        <f>+MINVU_Mes_Corriente!BK254*SALUD_Mes_Constante!$BC$1</f>
        <v>0</v>
      </c>
      <c r="BL254" s="8">
        <f>+MINVU_Mes_Corriente!BL254*SALUD_Mes_Constante!$BC$1</f>
        <v>0</v>
      </c>
      <c r="BM254" s="8">
        <f>+MINVU_Mes_Corriente!BM254*SALUD_Mes_Constante!$BC$1</f>
        <v>0</v>
      </c>
      <c r="BN254" s="8">
        <f>+MINVU_Mes_Corriente!BN254*SALUD_Mes_Constante!$BC$1</f>
        <v>0</v>
      </c>
      <c r="BO254" s="9">
        <f t="shared" si="118"/>
        <v>0</v>
      </c>
      <c r="BP254" s="8">
        <f>+MINVU_Mes_Corriente!BP254*SALUD_Mes_Constante!$BP$1</f>
        <v>0</v>
      </c>
      <c r="BQ254" s="8">
        <f>+MINVU_Mes_Corriente!BQ254*SALUD_Mes_Constante!$BP$1</f>
        <v>0</v>
      </c>
      <c r="BR254" s="8">
        <f>+MINVU_Mes_Corriente!BR254*SALUD_Mes_Constante!$BP$1</f>
        <v>0</v>
      </c>
      <c r="BS254" s="8">
        <f>+MINVU_Mes_Corriente!BS254*SALUD_Mes_Constante!$BP$1</f>
        <v>0</v>
      </c>
      <c r="BT254" s="8">
        <f>+MINVU_Mes_Corriente!BT254*SALUD_Mes_Constante!$BP$1</f>
        <v>0</v>
      </c>
      <c r="BU254" s="8">
        <f>+MINVU_Mes_Corriente!BU254*SALUD_Mes_Constante!$BP$1</f>
        <v>0</v>
      </c>
      <c r="BV254" s="8">
        <f>+MINVU_Mes_Corriente!BV254*SALUD_Mes_Constante!$BP$1</f>
        <v>0</v>
      </c>
      <c r="BW254" s="8">
        <f>+MINVU_Mes_Corriente!BW254*SALUD_Mes_Constante!$BP$1</f>
        <v>0</v>
      </c>
      <c r="BX254" s="8">
        <f>+MINVU_Mes_Corriente!BX254*SALUD_Mes_Constante!$BP$1</f>
        <v>0</v>
      </c>
      <c r="BY254" s="8">
        <f>+MINVU_Mes_Corriente!BY254*SALUD_Mes_Constante!$BP$1</f>
        <v>0</v>
      </c>
      <c r="BZ254" s="8">
        <f>+MINVU_Mes_Corriente!BZ254*SALUD_Mes_Constante!$BP$1</f>
        <v>0</v>
      </c>
      <c r="CA254" s="8">
        <f>+MINVU_Mes_Corriente!CA254*SALUD_Mes_Constante!$BP$1</f>
        <v>0</v>
      </c>
      <c r="CB254" s="9">
        <f t="shared" si="119"/>
        <v>0</v>
      </c>
      <c r="CC254" s="8">
        <f>+MINVU_Mes_Corriente!CC254*SALUD_Mes_Constante!$CC$1</f>
        <v>0</v>
      </c>
      <c r="CD254" s="8">
        <f>+MINVU_Mes_Corriente!CD254*SALUD_Mes_Constante!$CC$1</f>
        <v>0</v>
      </c>
      <c r="CE254" s="8">
        <f>+MINVU_Mes_Corriente!CE254*SALUD_Mes_Constante!$CC$1</f>
        <v>0</v>
      </c>
      <c r="CF254" s="8">
        <f>+MINVU_Mes_Corriente!CF254*SALUD_Mes_Constante!$CC$1</f>
        <v>0</v>
      </c>
      <c r="CG254" s="8">
        <f>+MINVU_Mes_Corriente!CG254*SALUD_Mes_Constante!$CC$1</f>
        <v>0</v>
      </c>
      <c r="CH254" s="8">
        <f>+MINVU_Mes_Corriente!CH254*SALUD_Mes_Constante!$CC$1</f>
        <v>0</v>
      </c>
      <c r="CI254" s="8">
        <f>+MINVU_Mes_Corriente!CI254*SALUD_Mes_Constante!$CC$1</f>
        <v>0</v>
      </c>
      <c r="CJ254" s="8">
        <f>+MINVU_Mes_Corriente!CJ254*SALUD_Mes_Constante!$CC$1</f>
        <v>0</v>
      </c>
      <c r="CK254" s="8">
        <f>+MINVU_Mes_Corriente!CK254*SALUD_Mes_Constante!$CC$1</f>
        <v>0</v>
      </c>
      <c r="CL254" s="8">
        <f>+MINVU_Mes_Corriente!CL254*SALUD_Mes_Constante!$CC$1</f>
        <v>0</v>
      </c>
      <c r="CM254" s="8">
        <f>+MINVU_Mes_Corriente!CM254*SALUD_Mes_Constante!$CC$1</f>
        <v>0</v>
      </c>
      <c r="CN254" s="8">
        <f>+MINVU_Mes_Corriente!CN254*SALUD_Mes_Constante!$CC$1</f>
        <v>0</v>
      </c>
      <c r="CO254" s="9">
        <f t="shared" si="120"/>
        <v>0</v>
      </c>
      <c r="CP254" s="8">
        <f>+MINVU_Mes_Corriente!CP254*SALUD_Mes_Constante!$CP$1</f>
        <v>0</v>
      </c>
      <c r="CQ254" s="8">
        <f>+MINVU_Mes_Corriente!CQ254*SALUD_Mes_Constante!$CP$1</f>
        <v>0</v>
      </c>
      <c r="CR254" s="8">
        <f>+MINVU_Mes_Corriente!CR254*SALUD_Mes_Constante!$CP$1</f>
        <v>0</v>
      </c>
      <c r="CS254" s="8">
        <f>+MINVU_Mes_Corriente!CS254*SALUD_Mes_Constante!$CP$1</f>
        <v>0</v>
      </c>
      <c r="CT254" s="8">
        <f>+MINVU_Mes_Corriente!CT254*SALUD_Mes_Constante!$CP$1</f>
        <v>0</v>
      </c>
      <c r="CU254" s="8">
        <f>+MINVU_Mes_Corriente!CU254*SALUD_Mes_Constante!$CP$1</f>
        <v>0</v>
      </c>
      <c r="CV254" s="8">
        <f>+MINVU_Mes_Corriente!CV254*SALUD_Mes_Constante!$CP$1</f>
        <v>0</v>
      </c>
      <c r="CW254" s="8">
        <f>+MINVU_Mes_Corriente!CW254*SALUD_Mes_Constante!$CP$1</f>
        <v>0</v>
      </c>
      <c r="CX254" s="8">
        <f>+MINVU_Mes_Corriente!CX254*SALUD_Mes_Constante!$CP$1</f>
        <v>0</v>
      </c>
      <c r="CY254" s="8">
        <f>+MINVU_Mes_Corriente!CY254*SALUD_Mes_Constante!$CP$1</f>
        <v>0</v>
      </c>
      <c r="CZ254" s="8">
        <f>+MINVU_Mes_Corriente!CZ254*SALUD_Mes_Constante!$CP$1</f>
        <v>0</v>
      </c>
      <c r="DA254" s="8">
        <f>+MINVU_Mes_Corriente!DA254*SALUD_Mes_Constante!$CP$1</f>
        <v>0</v>
      </c>
      <c r="DB254" s="9">
        <f t="shared" si="121"/>
        <v>0</v>
      </c>
      <c r="DC254" s="8">
        <f>+MINVU_Mes_Corriente!DC254*SALUD_Mes_Constante!$DC$1</f>
        <v>0</v>
      </c>
      <c r="DD254" s="8">
        <f>+MINVU_Mes_Corriente!DD254*SALUD_Mes_Constante!$DC$1</f>
        <v>0</v>
      </c>
      <c r="DE254" s="8">
        <f>+MINVU_Mes_Corriente!DE254*SALUD_Mes_Constante!$DC$1</f>
        <v>0</v>
      </c>
      <c r="DF254" s="8">
        <f>+MINVU_Mes_Corriente!DF254*SALUD_Mes_Constante!$DC$1</f>
        <v>0</v>
      </c>
      <c r="DG254" s="8">
        <f>+MINVU_Mes_Corriente!DG254*SALUD_Mes_Constante!$DC$1</f>
        <v>0</v>
      </c>
      <c r="DH254" s="8">
        <f>+MINVU_Mes_Corriente!DH254*SALUD_Mes_Constante!$DC$1</f>
        <v>0</v>
      </c>
      <c r="DI254" s="8">
        <f>+MINVU_Mes_Corriente!DI254*SALUD_Mes_Constante!$DC$1</f>
        <v>0</v>
      </c>
      <c r="DJ254" s="8">
        <f>+MINVU_Mes_Corriente!DJ254*SALUD_Mes_Constante!$DC$1</f>
        <v>0</v>
      </c>
      <c r="DK254" s="8">
        <f>+MINVU_Mes_Corriente!DK254*SALUD_Mes_Constante!$DC$1</f>
        <v>0</v>
      </c>
      <c r="DL254" s="8">
        <f>+MINVU_Mes_Corriente!DL254*SALUD_Mes_Constante!$DC$1</f>
        <v>0</v>
      </c>
      <c r="DM254" s="8">
        <f>+MINVU_Mes_Corriente!DM254*SALUD_Mes_Constante!$DC$1</f>
        <v>0</v>
      </c>
      <c r="DN254" s="8">
        <f>+MINVU_Mes_Corriente!DN254*SALUD_Mes_Constante!$DC$1</f>
        <v>0</v>
      </c>
      <c r="DO254" s="9">
        <f t="shared" si="122"/>
        <v>0</v>
      </c>
      <c r="DP254" s="8">
        <f>+MINVU_Mes_Corriente!DP254*SALUD_Mes_Constante!$DP$1</f>
        <v>0</v>
      </c>
      <c r="DQ254" s="8">
        <f>+MINVU_Mes_Corriente!DQ254*SALUD_Mes_Constante!$DP$1</f>
        <v>0</v>
      </c>
      <c r="DR254" s="8">
        <f>+MINVU_Mes_Corriente!DR254*SALUD_Mes_Constante!$DP$1</f>
        <v>0</v>
      </c>
      <c r="DS254" s="8">
        <f>+MINVU_Mes_Corriente!DS254*SALUD_Mes_Constante!$DP$1</f>
        <v>0</v>
      </c>
      <c r="DT254" s="8">
        <f>+MINVU_Mes_Corriente!DT254*SALUD_Mes_Constante!$DP$1</f>
        <v>0</v>
      </c>
      <c r="DU254" s="8">
        <f>+MINVU_Mes_Corriente!DU254*SALUD_Mes_Constante!$DP$1</f>
        <v>0</v>
      </c>
      <c r="DV254" s="8">
        <f>+MINVU_Mes_Corriente!DV254*SALUD_Mes_Constante!$DP$1</f>
        <v>0</v>
      </c>
      <c r="DW254" s="8">
        <f>+MINVU_Mes_Corriente!DW254*SALUD_Mes_Constante!$DP$1</f>
        <v>0</v>
      </c>
      <c r="DX254" s="8">
        <f>+MINVU_Mes_Corriente!DX254*SALUD_Mes_Constante!$DP$1</f>
        <v>0</v>
      </c>
      <c r="DY254" s="8">
        <f>+MINVU_Mes_Corriente!DY254*SALUD_Mes_Constante!$DP$1</f>
        <v>0</v>
      </c>
      <c r="DZ254" s="8">
        <f>+MINVU_Mes_Corriente!DZ254*SALUD_Mes_Constante!$DP$1</f>
        <v>0</v>
      </c>
      <c r="EA254" s="8">
        <f>+MINVU_Mes_Corriente!EA254*SALUD_Mes_Constante!$DP$1</f>
        <v>0</v>
      </c>
      <c r="EB254" s="9">
        <f t="shared" si="123"/>
        <v>0</v>
      </c>
      <c r="EC254" s="8">
        <f>+MINVU_Mes_Corriente!EC254*SALUD_Mes_Constante!$EC$1</f>
        <v>0</v>
      </c>
      <c r="ED254" s="8">
        <f>+MINVU_Mes_Corriente!ED254*SALUD_Mes_Constante!$EC$1</f>
        <v>0</v>
      </c>
      <c r="EE254" s="8">
        <f>+MINVU_Mes_Corriente!EE254*SALUD_Mes_Constante!$EC$1</f>
        <v>0</v>
      </c>
      <c r="EF254" s="8">
        <f>+MINVU_Mes_Corriente!EF254*SALUD_Mes_Constante!$EC$1</f>
        <v>0</v>
      </c>
      <c r="EG254" s="8">
        <f>+MINVU_Mes_Corriente!EG254*SALUD_Mes_Constante!$EC$1</f>
        <v>0</v>
      </c>
      <c r="EH254" s="8">
        <f>+MINVU_Mes_Corriente!EH254*SALUD_Mes_Constante!$EC$1</f>
        <v>0</v>
      </c>
      <c r="EI254" s="8">
        <f>+MINVU_Mes_Corriente!EI254*SALUD_Mes_Constante!$EC$1</f>
        <v>0</v>
      </c>
      <c r="EJ254" s="8">
        <f>+MINVU_Mes_Corriente!EJ254*SALUD_Mes_Constante!$EC$1</f>
        <v>0</v>
      </c>
      <c r="EK254" s="8">
        <f>+MINVU_Mes_Corriente!EK254*SALUD_Mes_Constante!$EC$1</f>
        <v>0</v>
      </c>
      <c r="EL254" s="8">
        <f>+MINVU_Mes_Corriente!EL254*SALUD_Mes_Constante!$EC$1</f>
        <v>0</v>
      </c>
      <c r="EM254" s="8">
        <f>+MINVU_Mes_Corriente!EM254*SALUD_Mes_Constante!$EC$1</f>
        <v>0</v>
      </c>
      <c r="EN254" s="8">
        <f>+MINVU_Mes_Corriente!EN254*SALUD_Mes_Constante!$EC$1</f>
        <v>0</v>
      </c>
      <c r="EO254" s="9">
        <f t="shared" si="124"/>
        <v>0</v>
      </c>
      <c r="EP254" s="8">
        <f>+MINVU_Mes_Corriente!EP254*SALUD_Mes_Constante!$EP$1</f>
        <v>0</v>
      </c>
      <c r="EQ254" s="8">
        <f>+MINVU_Mes_Corriente!EQ254*SALUD_Mes_Constante!$EP$1</f>
        <v>0</v>
      </c>
      <c r="ER254" s="8">
        <f>+MINVU_Mes_Corriente!ER254*SALUD_Mes_Constante!$EP$1</f>
        <v>0</v>
      </c>
      <c r="ES254" s="8">
        <f>+MINVU_Mes_Corriente!ES254*SALUD_Mes_Constante!$EP$1</f>
        <v>0</v>
      </c>
      <c r="ET254" s="8">
        <f>+MINVU_Mes_Corriente!ET254*SALUD_Mes_Constante!$EP$1</f>
        <v>0</v>
      </c>
      <c r="EU254" s="8">
        <f>+MINVU_Mes_Corriente!EU254*SALUD_Mes_Constante!$EP$1</f>
        <v>0</v>
      </c>
      <c r="EV254" s="8">
        <f>+MINVU_Mes_Corriente!EV254*SALUD_Mes_Constante!$EP$1</f>
        <v>0</v>
      </c>
      <c r="EW254" s="8">
        <f>+MINVU_Mes_Corriente!EW254*SALUD_Mes_Constante!$EP$1</f>
        <v>0</v>
      </c>
      <c r="EX254" s="8">
        <f>+MINVU_Mes_Corriente!EX254*SALUD_Mes_Constante!$EP$1</f>
        <v>0</v>
      </c>
      <c r="EY254" s="8">
        <f>+MINVU_Mes_Corriente!EY254*SALUD_Mes_Constante!$EP$1</f>
        <v>0</v>
      </c>
      <c r="EZ254" s="8">
        <f>+MINVU_Mes_Corriente!EZ254*SALUD_Mes_Constante!$EP$1</f>
        <v>0</v>
      </c>
      <c r="FA254" s="8">
        <f>+MINVU_Mes_Corriente!FA254*SALUD_Mes_Constante!$EP$1</f>
        <v>0</v>
      </c>
      <c r="FB254" s="9">
        <f t="shared" si="125"/>
        <v>0</v>
      </c>
      <c r="FC254" s="8">
        <f>+MINVU_Mes_Corriente!FC254*SALUD_Mes_Constante!$FC$1</f>
        <v>0</v>
      </c>
      <c r="FD254" s="8">
        <f>+MINVU_Mes_Corriente!FD254*SALUD_Mes_Constante!$FC$1</f>
        <v>0</v>
      </c>
      <c r="FE254" s="8">
        <f>+MINVU_Mes_Corriente!FE254*SALUD_Mes_Constante!$FC$1</f>
        <v>0</v>
      </c>
      <c r="FF254" s="8">
        <f>+MINVU_Mes_Corriente!FF254*SALUD_Mes_Constante!$FC$1</f>
        <v>0</v>
      </c>
      <c r="FG254" s="8">
        <f>+MINVU_Mes_Corriente!FG254*SALUD_Mes_Constante!$FC$1</f>
        <v>0</v>
      </c>
      <c r="FH254" s="8">
        <f>+MINVU_Mes_Corriente!FH254*SALUD_Mes_Constante!$FC$1</f>
        <v>0</v>
      </c>
      <c r="FI254" s="8">
        <f>+MINVU_Mes_Corriente!FI254*SALUD_Mes_Constante!$FC$1</f>
        <v>0</v>
      </c>
      <c r="FJ254" s="8"/>
      <c r="FK254" s="8"/>
      <c r="FL254" s="8"/>
      <c r="FM254" s="8"/>
      <c r="FN254" s="8"/>
      <c r="FO254" s="9">
        <f t="shared" si="126"/>
        <v>0</v>
      </c>
    </row>
    <row r="255" spans="2:171" ht="14.25" customHeight="1" x14ac:dyDescent="0.3">
      <c r="B255" s="32" t="s">
        <v>68</v>
      </c>
      <c r="C255" s="8">
        <f>+MINVU_Mes_Corriente!C255*SALUD_Mes_Constante!$C$1</f>
        <v>0</v>
      </c>
      <c r="D255" s="8">
        <f>+MINVU_Mes_Corriente!D255*SALUD_Mes_Constante!$C$1</f>
        <v>0</v>
      </c>
      <c r="E255" s="8">
        <f>+MINVU_Mes_Corriente!E255*SALUD_Mes_Constante!$C$1</f>
        <v>0</v>
      </c>
      <c r="F255" s="8">
        <f>+MINVU_Mes_Corriente!F255*SALUD_Mes_Constante!$C$1</f>
        <v>0</v>
      </c>
      <c r="G255" s="8">
        <f>+MINVU_Mes_Corriente!G255*SALUD_Mes_Constante!$C$1</f>
        <v>0</v>
      </c>
      <c r="H255" s="8">
        <f>+MINVU_Mes_Corriente!H255*SALUD_Mes_Constante!$C$1</f>
        <v>0</v>
      </c>
      <c r="I255" s="8">
        <f>+MINVU_Mes_Corriente!I255*SALUD_Mes_Constante!$C$1</f>
        <v>0</v>
      </c>
      <c r="J255" s="8">
        <f>+MINVU_Mes_Corriente!J255*SALUD_Mes_Constante!$C$1</f>
        <v>0</v>
      </c>
      <c r="K255" s="8">
        <f>+MINVU_Mes_Corriente!K255*SALUD_Mes_Constante!$C$1</f>
        <v>0</v>
      </c>
      <c r="L255" s="8">
        <f>+MINVU_Mes_Corriente!L255*SALUD_Mes_Constante!$C$1</f>
        <v>0</v>
      </c>
      <c r="M255" s="8">
        <f>+MINVU_Mes_Corriente!M255*SALUD_Mes_Constante!$C$1</f>
        <v>0</v>
      </c>
      <c r="N255" s="8">
        <f>+MINVU_Mes_Corriente!N255*SALUD_Mes_Constante!$C$1</f>
        <v>0</v>
      </c>
      <c r="O255" s="9">
        <f t="shared" si="114"/>
        <v>0</v>
      </c>
      <c r="P255" s="8">
        <f>+MINVU_Mes_Corriente!P255*SALUD_Mes_Constante!$P$1</f>
        <v>0</v>
      </c>
      <c r="Q255" s="8">
        <f>+MINVU_Mes_Corriente!Q255*SALUD_Mes_Constante!$P$1</f>
        <v>0</v>
      </c>
      <c r="R255" s="8">
        <f>+MINVU_Mes_Corriente!R255*SALUD_Mes_Constante!$P$1</f>
        <v>0</v>
      </c>
      <c r="S255" s="8">
        <f>+MINVU_Mes_Corriente!S255*SALUD_Mes_Constante!$P$1</f>
        <v>0</v>
      </c>
      <c r="T255" s="8">
        <f>+MINVU_Mes_Corriente!T255*SALUD_Mes_Constante!$P$1</f>
        <v>0</v>
      </c>
      <c r="U255" s="8">
        <f>+MINVU_Mes_Corriente!U255*SALUD_Mes_Constante!$P$1</f>
        <v>0</v>
      </c>
      <c r="V255" s="8">
        <f>+MINVU_Mes_Corriente!V255*SALUD_Mes_Constante!$P$1</f>
        <v>0</v>
      </c>
      <c r="W255" s="8">
        <f>+MINVU_Mes_Corriente!W255*SALUD_Mes_Constante!$P$1</f>
        <v>0</v>
      </c>
      <c r="X255" s="8">
        <f>+MINVU_Mes_Corriente!X255*SALUD_Mes_Constante!$P$1</f>
        <v>0</v>
      </c>
      <c r="Y255" s="8">
        <f>+MINVU_Mes_Corriente!Y255*SALUD_Mes_Constante!$P$1</f>
        <v>0</v>
      </c>
      <c r="Z255" s="8">
        <f>+MINVU_Mes_Corriente!Z255*SALUD_Mes_Constante!$P$1</f>
        <v>0</v>
      </c>
      <c r="AA255" s="8">
        <f>+MINVU_Mes_Corriente!AA255*SALUD_Mes_Constante!$P$1</f>
        <v>0</v>
      </c>
      <c r="AB255" s="9">
        <f t="shared" si="115"/>
        <v>0</v>
      </c>
      <c r="AC255" s="8">
        <f>+MINVU_Mes_Corriente!AC255*SALUD_Mes_Constante!$AC$1</f>
        <v>0</v>
      </c>
      <c r="AD255" s="8">
        <f>+MINVU_Mes_Corriente!AD255*SALUD_Mes_Constante!$AC$1</f>
        <v>0</v>
      </c>
      <c r="AE255" s="8">
        <f>+MINVU_Mes_Corriente!AE255*SALUD_Mes_Constante!$AC$1</f>
        <v>0</v>
      </c>
      <c r="AF255" s="8">
        <f>+MINVU_Mes_Corriente!AF255*SALUD_Mes_Constante!$AC$1</f>
        <v>0</v>
      </c>
      <c r="AG255" s="8">
        <f>+MINVU_Mes_Corriente!AG255*SALUD_Mes_Constante!$AC$1</f>
        <v>0</v>
      </c>
      <c r="AH255" s="8">
        <f>+MINVU_Mes_Corriente!AH255*SALUD_Mes_Constante!$AC$1</f>
        <v>0</v>
      </c>
      <c r="AI255" s="8">
        <f>+MINVU_Mes_Corriente!AI255*SALUD_Mes_Constante!$AC$1</f>
        <v>0</v>
      </c>
      <c r="AJ255" s="8">
        <f>+MINVU_Mes_Corriente!AJ255*SALUD_Mes_Constante!$AC$1</f>
        <v>0</v>
      </c>
      <c r="AK255" s="8">
        <f>+MINVU_Mes_Corriente!AK255*SALUD_Mes_Constante!$AC$1</f>
        <v>0</v>
      </c>
      <c r="AL255" s="8">
        <f>+MINVU_Mes_Corriente!AL255*SALUD_Mes_Constante!$AC$1</f>
        <v>0</v>
      </c>
      <c r="AM255" s="8">
        <f>+MINVU_Mes_Corriente!AM255*SALUD_Mes_Constante!$AC$1</f>
        <v>0</v>
      </c>
      <c r="AN255" s="8">
        <f>+MINVU_Mes_Corriente!AN255*SALUD_Mes_Constante!$AC$1</f>
        <v>0</v>
      </c>
      <c r="AO255" s="9">
        <f t="shared" si="116"/>
        <v>0</v>
      </c>
      <c r="AP255" s="8">
        <f>+MINVU_Mes_Corriente!AP255*SALUD_Mes_Constante!$AP$1</f>
        <v>0</v>
      </c>
      <c r="AQ255" s="8">
        <f>+MINVU_Mes_Corriente!AQ255*SALUD_Mes_Constante!$AP$1</f>
        <v>0</v>
      </c>
      <c r="AR255" s="8">
        <f>+MINVU_Mes_Corriente!AR255*SALUD_Mes_Constante!$AP$1</f>
        <v>0</v>
      </c>
      <c r="AS255" s="8">
        <f>+MINVU_Mes_Corriente!AS255*SALUD_Mes_Constante!$AP$1</f>
        <v>0</v>
      </c>
      <c r="AT255" s="8">
        <f>+MINVU_Mes_Corriente!AT255*SALUD_Mes_Constante!$AP$1</f>
        <v>0</v>
      </c>
      <c r="AU255" s="8">
        <f>+MINVU_Mes_Corriente!AU255*SALUD_Mes_Constante!$AP$1</f>
        <v>0</v>
      </c>
      <c r="AV255" s="8">
        <f>+MINVU_Mes_Corriente!AV255*SALUD_Mes_Constante!$AP$1</f>
        <v>0</v>
      </c>
      <c r="AW255" s="8">
        <f>+MINVU_Mes_Corriente!AW255*SALUD_Mes_Constante!$AP$1</f>
        <v>0</v>
      </c>
      <c r="AX255" s="8">
        <f>+MINVU_Mes_Corriente!AX255*SALUD_Mes_Constante!$AP$1</f>
        <v>0</v>
      </c>
      <c r="AY255" s="8">
        <f>+MINVU_Mes_Corriente!AY255*SALUD_Mes_Constante!$AP$1</f>
        <v>0</v>
      </c>
      <c r="AZ255" s="8">
        <f>+MINVU_Mes_Corriente!AZ255*SALUD_Mes_Constante!$AP$1</f>
        <v>0</v>
      </c>
      <c r="BA255" s="8">
        <f>+MINVU_Mes_Corriente!BA255*SALUD_Mes_Constante!$AP$1</f>
        <v>0</v>
      </c>
      <c r="BB255" s="9">
        <f t="shared" si="117"/>
        <v>0</v>
      </c>
      <c r="BC255" s="8">
        <f>+MINVU_Mes_Corriente!BC255*SALUD_Mes_Constante!$BC$1</f>
        <v>0</v>
      </c>
      <c r="BD255" s="8">
        <f>+MINVU_Mes_Corriente!BD255*SALUD_Mes_Constante!$BC$1</f>
        <v>0</v>
      </c>
      <c r="BE255" s="8">
        <f>+MINVU_Mes_Corriente!BE255*SALUD_Mes_Constante!$BC$1</f>
        <v>0</v>
      </c>
      <c r="BF255" s="8">
        <f>+MINVU_Mes_Corriente!BF255*SALUD_Mes_Constante!$BC$1</f>
        <v>0</v>
      </c>
      <c r="BG255" s="8">
        <f>+MINVU_Mes_Corriente!BG255*SALUD_Mes_Constante!$BC$1</f>
        <v>0</v>
      </c>
      <c r="BH255" s="8">
        <f>+MINVU_Mes_Corriente!BH255*SALUD_Mes_Constante!$BC$1</f>
        <v>0</v>
      </c>
      <c r="BI255" s="8">
        <f>+MINVU_Mes_Corriente!BI255*SALUD_Mes_Constante!$BC$1</f>
        <v>0</v>
      </c>
      <c r="BJ255" s="8">
        <f>+MINVU_Mes_Corriente!BJ255*SALUD_Mes_Constante!$BC$1</f>
        <v>0</v>
      </c>
      <c r="BK255" s="8">
        <f>+MINVU_Mes_Corriente!BK255*SALUD_Mes_Constante!$BC$1</f>
        <v>0</v>
      </c>
      <c r="BL255" s="8">
        <f>+MINVU_Mes_Corriente!BL255*SALUD_Mes_Constante!$BC$1</f>
        <v>0</v>
      </c>
      <c r="BM255" s="8">
        <f>+MINVU_Mes_Corriente!BM255*SALUD_Mes_Constante!$BC$1</f>
        <v>0</v>
      </c>
      <c r="BN255" s="8">
        <f>+MINVU_Mes_Corriente!BN255*SALUD_Mes_Constante!$BC$1</f>
        <v>0</v>
      </c>
      <c r="BO255" s="9">
        <f t="shared" si="118"/>
        <v>0</v>
      </c>
      <c r="BP255" s="8">
        <f>+MINVU_Mes_Corriente!BP255*SALUD_Mes_Constante!$BP$1</f>
        <v>0</v>
      </c>
      <c r="BQ255" s="8">
        <f>+MINVU_Mes_Corriente!BQ255*SALUD_Mes_Constante!$BP$1</f>
        <v>0</v>
      </c>
      <c r="BR255" s="8">
        <f>+MINVU_Mes_Corriente!BR255*SALUD_Mes_Constante!$BP$1</f>
        <v>0</v>
      </c>
      <c r="BS255" s="8">
        <f>+MINVU_Mes_Corriente!BS255*SALUD_Mes_Constante!$BP$1</f>
        <v>0</v>
      </c>
      <c r="BT255" s="8">
        <f>+MINVU_Mes_Corriente!BT255*SALUD_Mes_Constante!$BP$1</f>
        <v>0</v>
      </c>
      <c r="BU255" s="8">
        <f>+MINVU_Mes_Corriente!BU255*SALUD_Mes_Constante!$BP$1</f>
        <v>0</v>
      </c>
      <c r="BV255" s="8">
        <f>+MINVU_Mes_Corriente!BV255*SALUD_Mes_Constante!$BP$1</f>
        <v>0</v>
      </c>
      <c r="BW255" s="8">
        <f>+MINVU_Mes_Corriente!BW255*SALUD_Mes_Constante!$BP$1</f>
        <v>0</v>
      </c>
      <c r="BX255" s="8">
        <f>+MINVU_Mes_Corriente!BX255*SALUD_Mes_Constante!$BP$1</f>
        <v>0</v>
      </c>
      <c r="BY255" s="8">
        <f>+MINVU_Mes_Corriente!BY255*SALUD_Mes_Constante!$BP$1</f>
        <v>0</v>
      </c>
      <c r="BZ255" s="8">
        <f>+MINVU_Mes_Corriente!BZ255*SALUD_Mes_Constante!$BP$1</f>
        <v>0</v>
      </c>
      <c r="CA255" s="8">
        <f>+MINVU_Mes_Corriente!CA255*SALUD_Mes_Constante!$BP$1</f>
        <v>0</v>
      </c>
      <c r="CB255" s="9">
        <f t="shared" si="119"/>
        <v>0</v>
      </c>
      <c r="CC255" s="8">
        <f>+MINVU_Mes_Corriente!CC255*SALUD_Mes_Constante!$CC$1</f>
        <v>0</v>
      </c>
      <c r="CD255" s="8">
        <f>+MINVU_Mes_Corriente!CD255*SALUD_Mes_Constante!$CC$1</f>
        <v>0</v>
      </c>
      <c r="CE255" s="8">
        <f>+MINVU_Mes_Corriente!CE255*SALUD_Mes_Constante!$CC$1</f>
        <v>0</v>
      </c>
      <c r="CF255" s="8">
        <f>+MINVU_Mes_Corriente!CF255*SALUD_Mes_Constante!$CC$1</f>
        <v>0</v>
      </c>
      <c r="CG255" s="8">
        <f>+MINVU_Mes_Corriente!CG255*SALUD_Mes_Constante!$CC$1</f>
        <v>0</v>
      </c>
      <c r="CH255" s="8">
        <f>+MINVU_Mes_Corriente!CH255*SALUD_Mes_Constante!$CC$1</f>
        <v>0</v>
      </c>
      <c r="CI255" s="8">
        <f>+MINVU_Mes_Corriente!CI255*SALUD_Mes_Constante!$CC$1</f>
        <v>0</v>
      </c>
      <c r="CJ255" s="8">
        <f>+MINVU_Mes_Corriente!CJ255*SALUD_Mes_Constante!$CC$1</f>
        <v>0</v>
      </c>
      <c r="CK255" s="8">
        <f>+MINVU_Mes_Corriente!CK255*SALUD_Mes_Constante!$CC$1</f>
        <v>0</v>
      </c>
      <c r="CL255" s="8">
        <f>+MINVU_Mes_Corriente!CL255*SALUD_Mes_Constante!$CC$1</f>
        <v>0</v>
      </c>
      <c r="CM255" s="8">
        <f>+MINVU_Mes_Corriente!CM255*SALUD_Mes_Constante!$CC$1</f>
        <v>0</v>
      </c>
      <c r="CN255" s="8">
        <f>+MINVU_Mes_Corriente!CN255*SALUD_Mes_Constante!$CC$1</f>
        <v>0</v>
      </c>
      <c r="CO255" s="9">
        <f t="shared" si="120"/>
        <v>0</v>
      </c>
      <c r="CP255" s="8">
        <f>+MINVU_Mes_Corriente!CP255*SALUD_Mes_Constante!$CP$1</f>
        <v>0</v>
      </c>
      <c r="CQ255" s="8">
        <f>+MINVU_Mes_Corriente!CQ255*SALUD_Mes_Constante!$CP$1</f>
        <v>0</v>
      </c>
      <c r="CR255" s="8">
        <f>+MINVU_Mes_Corriente!CR255*SALUD_Mes_Constante!$CP$1</f>
        <v>0</v>
      </c>
      <c r="CS255" s="8">
        <f>+MINVU_Mes_Corriente!CS255*SALUD_Mes_Constante!$CP$1</f>
        <v>0</v>
      </c>
      <c r="CT255" s="8">
        <f>+MINVU_Mes_Corriente!CT255*SALUD_Mes_Constante!$CP$1</f>
        <v>0</v>
      </c>
      <c r="CU255" s="8">
        <f>+MINVU_Mes_Corriente!CU255*SALUD_Mes_Constante!$CP$1</f>
        <v>0</v>
      </c>
      <c r="CV255" s="8">
        <f>+MINVU_Mes_Corriente!CV255*SALUD_Mes_Constante!$CP$1</f>
        <v>0</v>
      </c>
      <c r="CW255" s="8">
        <f>+MINVU_Mes_Corriente!CW255*SALUD_Mes_Constante!$CP$1</f>
        <v>0</v>
      </c>
      <c r="CX255" s="8">
        <f>+MINVU_Mes_Corriente!CX255*SALUD_Mes_Constante!$CP$1</f>
        <v>0</v>
      </c>
      <c r="CY255" s="8">
        <f>+MINVU_Mes_Corriente!CY255*SALUD_Mes_Constante!$CP$1</f>
        <v>0</v>
      </c>
      <c r="CZ255" s="8">
        <f>+MINVU_Mes_Corriente!CZ255*SALUD_Mes_Constante!$CP$1</f>
        <v>0</v>
      </c>
      <c r="DA255" s="8">
        <f>+MINVU_Mes_Corriente!DA255*SALUD_Mes_Constante!$CP$1</f>
        <v>0</v>
      </c>
      <c r="DB255" s="9">
        <f t="shared" si="121"/>
        <v>0</v>
      </c>
      <c r="DC255" s="8">
        <f>+MINVU_Mes_Corriente!DC255*SALUD_Mes_Constante!$DC$1</f>
        <v>0</v>
      </c>
      <c r="DD255" s="8">
        <f>+MINVU_Mes_Corriente!DD255*SALUD_Mes_Constante!$DC$1</f>
        <v>0</v>
      </c>
      <c r="DE255" s="8">
        <f>+MINVU_Mes_Corriente!DE255*SALUD_Mes_Constante!$DC$1</f>
        <v>0</v>
      </c>
      <c r="DF255" s="8">
        <f>+MINVU_Mes_Corriente!DF255*SALUD_Mes_Constante!$DC$1</f>
        <v>0</v>
      </c>
      <c r="DG255" s="8">
        <f>+MINVU_Mes_Corriente!DG255*SALUD_Mes_Constante!$DC$1</f>
        <v>0</v>
      </c>
      <c r="DH255" s="8">
        <f>+MINVU_Mes_Corriente!DH255*SALUD_Mes_Constante!$DC$1</f>
        <v>0</v>
      </c>
      <c r="DI255" s="8">
        <f>+MINVU_Mes_Corriente!DI255*SALUD_Mes_Constante!$DC$1</f>
        <v>0</v>
      </c>
      <c r="DJ255" s="8">
        <f>+MINVU_Mes_Corriente!DJ255*SALUD_Mes_Constante!$DC$1</f>
        <v>0</v>
      </c>
      <c r="DK255" s="8">
        <f>+MINVU_Mes_Corriente!DK255*SALUD_Mes_Constante!$DC$1</f>
        <v>0</v>
      </c>
      <c r="DL255" s="8">
        <f>+MINVU_Mes_Corriente!DL255*SALUD_Mes_Constante!$DC$1</f>
        <v>0</v>
      </c>
      <c r="DM255" s="8">
        <f>+MINVU_Mes_Corriente!DM255*SALUD_Mes_Constante!$DC$1</f>
        <v>0</v>
      </c>
      <c r="DN255" s="8">
        <f>+MINVU_Mes_Corriente!DN255*SALUD_Mes_Constante!$DC$1</f>
        <v>0</v>
      </c>
      <c r="DO255" s="9">
        <f t="shared" si="122"/>
        <v>0</v>
      </c>
      <c r="DP255" s="8">
        <f>+MINVU_Mes_Corriente!DP255*SALUD_Mes_Constante!$DP$1</f>
        <v>0</v>
      </c>
      <c r="DQ255" s="8">
        <f>+MINVU_Mes_Corriente!DQ255*SALUD_Mes_Constante!$DP$1</f>
        <v>0</v>
      </c>
      <c r="DR255" s="8">
        <f>+MINVU_Mes_Corriente!DR255*SALUD_Mes_Constante!$DP$1</f>
        <v>0</v>
      </c>
      <c r="DS255" s="8">
        <f>+MINVU_Mes_Corriente!DS255*SALUD_Mes_Constante!$DP$1</f>
        <v>0</v>
      </c>
      <c r="DT255" s="8">
        <f>+MINVU_Mes_Corriente!DT255*SALUD_Mes_Constante!$DP$1</f>
        <v>0</v>
      </c>
      <c r="DU255" s="8">
        <f>+MINVU_Mes_Corriente!DU255*SALUD_Mes_Constante!$DP$1</f>
        <v>0</v>
      </c>
      <c r="DV255" s="8">
        <f>+MINVU_Mes_Corriente!DV255*SALUD_Mes_Constante!$DP$1</f>
        <v>0</v>
      </c>
      <c r="DW255" s="8">
        <f>+MINVU_Mes_Corriente!DW255*SALUD_Mes_Constante!$DP$1</f>
        <v>0</v>
      </c>
      <c r="DX255" s="8">
        <f>+MINVU_Mes_Corriente!DX255*SALUD_Mes_Constante!$DP$1</f>
        <v>0</v>
      </c>
      <c r="DY255" s="8">
        <f>+MINVU_Mes_Corriente!DY255*SALUD_Mes_Constante!$DP$1</f>
        <v>0</v>
      </c>
      <c r="DZ255" s="8">
        <f>+MINVU_Mes_Corriente!DZ255*SALUD_Mes_Constante!$DP$1</f>
        <v>0</v>
      </c>
      <c r="EA255" s="8">
        <f>+MINVU_Mes_Corriente!EA255*SALUD_Mes_Constante!$DP$1</f>
        <v>0</v>
      </c>
      <c r="EB255" s="9">
        <f t="shared" si="123"/>
        <v>0</v>
      </c>
      <c r="EC255" s="8">
        <f>+MINVU_Mes_Corriente!EC255*SALUD_Mes_Constante!$EC$1</f>
        <v>0</v>
      </c>
      <c r="ED255" s="8">
        <f>+MINVU_Mes_Corriente!ED255*SALUD_Mes_Constante!$EC$1</f>
        <v>0</v>
      </c>
      <c r="EE255" s="8">
        <f>+MINVU_Mes_Corriente!EE255*SALUD_Mes_Constante!$EC$1</f>
        <v>0</v>
      </c>
      <c r="EF255" s="8">
        <f>+MINVU_Mes_Corriente!EF255*SALUD_Mes_Constante!$EC$1</f>
        <v>0</v>
      </c>
      <c r="EG255" s="8">
        <f>+MINVU_Mes_Corriente!EG255*SALUD_Mes_Constante!$EC$1</f>
        <v>0</v>
      </c>
      <c r="EH255" s="8">
        <f>+MINVU_Mes_Corriente!EH255*SALUD_Mes_Constante!$EC$1</f>
        <v>0</v>
      </c>
      <c r="EI255" s="8">
        <f>+MINVU_Mes_Corriente!EI255*SALUD_Mes_Constante!$EC$1</f>
        <v>0</v>
      </c>
      <c r="EJ255" s="8">
        <f>+MINVU_Mes_Corriente!EJ255*SALUD_Mes_Constante!$EC$1</f>
        <v>0</v>
      </c>
      <c r="EK255" s="8">
        <f>+MINVU_Mes_Corriente!EK255*SALUD_Mes_Constante!$EC$1</f>
        <v>0</v>
      </c>
      <c r="EL255" s="8">
        <f>+MINVU_Mes_Corriente!EL255*SALUD_Mes_Constante!$EC$1</f>
        <v>0</v>
      </c>
      <c r="EM255" s="8">
        <f>+MINVU_Mes_Corriente!EM255*SALUD_Mes_Constante!$EC$1</f>
        <v>0</v>
      </c>
      <c r="EN255" s="8">
        <f>+MINVU_Mes_Corriente!EN255*SALUD_Mes_Constante!$EC$1</f>
        <v>0</v>
      </c>
      <c r="EO255" s="9">
        <f t="shared" si="124"/>
        <v>0</v>
      </c>
      <c r="EP255" s="8">
        <f>+MINVU_Mes_Corriente!EP255*SALUD_Mes_Constante!$EP$1</f>
        <v>0</v>
      </c>
      <c r="EQ255" s="8">
        <f>+MINVU_Mes_Corriente!EQ255*SALUD_Mes_Constante!$EP$1</f>
        <v>0</v>
      </c>
      <c r="ER255" s="8">
        <f>+MINVU_Mes_Corriente!ER255*SALUD_Mes_Constante!$EP$1</f>
        <v>0</v>
      </c>
      <c r="ES255" s="8">
        <f>+MINVU_Mes_Corriente!ES255*SALUD_Mes_Constante!$EP$1</f>
        <v>0</v>
      </c>
      <c r="ET255" s="8">
        <f>+MINVU_Mes_Corriente!ET255*SALUD_Mes_Constante!$EP$1</f>
        <v>0</v>
      </c>
      <c r="EU255" s="8">
        <f>+MINVU_Mes_Corriente!EU255*SALUD_Mes_Constante!$EP$1</f>
        <v>0</v>
      </c>
      <c r="EV255" s="8">
        <f>+MINVU_Mes_Corriente!EV255*SALUD_Mes_Constante!$EP$1</f>
        <v>0</v>
      </c>
      <c r="EW255" s="8">
        <f>+MINVU_Mes_Corriente!EW255*SALUD_Mes_Constante!$EP$1</f>
        <v>0</v>
      </c>
      <c r="EX255" s="8">
        <f>+MINVU_Mes_Corriente!EX255*SALUD_Mes_Constante!$EP$1</f>
        <v>0</v>
      </c>
      <c r="EY255" s="8">
        <f>+MINVU_Mes_Corriente!EY255*SALUD_Mes_Constante!$EP$1</f>
        <v>0</v>
      </c>
      <c r="EZ255" s="8">
        <f>+MINVU_Mes_Corriente!EZ255*SALUD_Mes_Constante!$EP$1</f>
        <v>0</v>
      </c>
      <c r="FA255" s="8">
        <f>+MINVU_Mes_Corriente!FA255*SALUD_Mes_Constante!$EP$1</f>
        <v>0</v>
      </c>
      <c r="FB255" s="9">
        <f t="shared" si="125"/>
        <v>0</v>
      </c>
      <c r="FC255" s="8">
        <f>+MINVU_Mes_Corriente!FC255*SALUD_Mes_Constante!$FC$1</f>
        <v>0</v>
      </c>
      <c r="FD255" s="8">
        <f>+MINVU_Mes_Corriente!FD255*SALUD_Mes_Constante!$FC$1</f>
        <v>0</v>
      </c>
      <c r="FE255" s="8">
        <f>+MINVU_Mes_Corriente!FE255*SALUD_Mes_Constante!$FC$1</f>
        <v>0</v>
      </c>
      <c r="FF255" s="8">
        <f>+MINVU_Mes_Corriente!FF255*SALUD_Mes_Constante!$FC$1</f>
        <v>0</v>
      </c>
      <c r="FG255" s="8">
        <f>+MINVU_Mes_Corriente!FG255*SALUD_Mes_Constante!$FC$1</f>
        <v>0</v>
      </c>
      <c r="FH255" s="8">
        <f>+MINVU_Mes_Corriente!FH255*SALUD_Mes_Constante!$FC$1</f>
        <v>0</v>
      </c>
      <c r="FI255" s="8">
        <f>+MINVU_Mes_Corriente!FI255*SALUD_Mes_Constante!$FC$1</f>
        <v>0</v>
      </c>
      <c r="FJ255" s="8"/>
      <c r="FK255" s="8"/>
      <c r="FL255" s="8"/>
      <c r="FM255" s="8"/>
      <c r="FN255" s="8"/>
      <c r="FO255" s="9">
        <f t="shared" si="126"/>
        <v>0</v>
      </c>
    </row>
    <row r="256" spans="2:171" ht="14.25" customHeight="1" x14ac:dyDescent="0.3">
      <c r="B256" s="32" t="s">
        <v>69</v>
      </c>
      <c r="C256" s="8">
        <f>+MINVU_Mes_Corriente!C256*SALUD_Mes_Constante!$C$1</f>
        <v>0</v>
      </c>
      <c r="D256" s="8">
        <f>+MINVU_Mes_Corriente!D256*SALUD_Mes_Constante!$C$1</f>
        <v>0</v>
      </c>
      <c r="E256" s="8">
        <f>+MINVU_Mes_Corriente!E256*SALUD_Mes_Constante!$C$1</f>
        <v>0</v>
      </c>
      <c r="F256" s="8">
        <f>+MINVU_Mes_Corriente!F256*SALUD_Mes_Constante!$C$1</f>
        <v>0</v>
      </c>
      <c r="G256" s="8">
        <f>+MINVU_Mes_Corriente!G256*SALUD_Mes_Constante!$C$1</f>
        <v>0</v>
      </c>
      <c r="H256" s="8">
        <f>+MINVU_Mes_Corriente!H256*SALUD_Mes_Constante!$C$1</f>
        <v>0</v>
      </c>
      <c r="I256" s="8">
        <f>+MINVU_Mes_Corriente!I256*SALUD_Mes_Constante!$C$1</f>
        <v>0</v>
      </c>
      <c r="J256" s="8">
        <f>+MINVU_Mes_Corriente!J256*SALUD_Mes_Constante!$C$1</f>
        <v>0</v>
      </c>
      <c r="K256" s="8">
        <f>+MINVU_Mes_Corriente!K256*SALUD_Mes_Constante!$C$1</f>
        <v>0</v>
      </c>
      <c r="L256" s="8">
        <f>+MINVU_Mes_Corriente!L256*SALUD_Mes_Constante!$C$1</f>
        <v>0</v>
      </c>
      <c r="M256" s="8">
        <f>+MINVU_Mes_Corriente!M256*SALUD_Mes_Constante!$C$1</f>
        <v>0</v>
      </c>
      <c r="N256" s="8">
        <f>+MINVU_Mes_Corriente!N256*SALUD_Mes_Constante!$C$1</f>
        <v>0</v>
      </c>
      <c r="O256" s="9">
        <f t="shared" si="114"/>
        <v>0</v>
      </c>
      <c r="P256" s="8">
        <f>+MINVU_Mes_Corriente!P256*SALUD_Mes_Constante!$P$1</f>
        <v>0</v>
      </c>
      <c r="Q256" s="8">
        <f>+MINVU_Mes_Corriente!Q256*SALUD_Mes_Constante!$P$1</f>
        <v>0</v>
      </c>
      <c r="R256" s="8">
        <f>+MINVU_Mes_Corriente!R256*SALUD_Mes_Constante!$P$1</f>
        <v>0</v>
      </c>
      <c r="S256" s="8">
        <f>+MINVU_Mes_Corriente!S256*SALUD_Mes_Constante!$P$1</f>
        <v>0</v>
      </c>
      <c r="T256" s="8">
        <f>+MINVU_Mes_Corriente!T256*SALUD_Mes_Constante!$P$1</f>
        <v>0</v>
      </c>
      <c r="U256" s="8">
        <f>+MINVU_Mes_Corriente!U256*SALUD_Mes_Constante!$P$1</f>
        <v>0</v>
      </c>
      <c r="V256" s="8">
        <f>+MINVU_Mes_Corriente!V256*SALUD_Mes_Constante!$P$1</f>
        <v>0</v>
      </c>
      <c r="W256" s="8">
        <f>+MINVU_Mes_Corriente!W256*SALUD_Mes_Constante!$P$1</f>
        <v>0</v>
      </c>
      <c r="X256" s="8">
        <f>+MINVU_Mes_Corriente!X256*SALUD_Mes_Constante!$P$1</f>
        <v>0</v>
      </c>
      <c r="Y256" s="8">
        <f>+MINVU_Mes_Corriente!Y256*SALUD_Mes_Constante!$P$1</f>
        <v>0</v>
      </c>
      <c r="Z256" s="8">
        <f>+MINVU_Mes_Corriente!Z256*SALUD_Mes_Constante!$P$1</f>
        <v>0</v>
      </c>
      <c r="AA256" s="8">
        <f>+MINVU_Mes_Corriente!AA256*SALUD_Mes_Constante!$P$1</f>
        <v>0</v>
      </c>
      <c r="AB256" s="9">
        <f t="shared" si="115"/>
        <v>0</v>
      </c>
      <c r="AC256" s="8">
        <f>+MINVU_Mes_Corriente!AC256*SALUD_Mes_Constante!$AC$1</f>
        <v>0</v>
      </c>
      <c r="AD256" s="8">
        <f>+MINVU_Mes_Corriente!AD256*SALUD_Mes_Constante!$AC$1</f>
        <v>0</v>
      </c>
      <c r="AE256" s="8">
        <f>+MINVU_Mes_Corriente!AE256*SALUD_Mes_Constante!$AC$1</f>
        <v>0</v>
      </c>
      <c r="AF256" s="8">
        <f>+MINVU_Mes_Corriente!AF256*SALUD_Mes_Constante!$AC$1</f>
        <v>0</v>
      </c>
      <c r="AG256" s="8">
        <f>+MINVU_Mes_Corriente!AG256*SALUD_Mes_Constante!$AC$1</f>
        <v>0</v>
      </c>
      <c r="AH256" s="8">
        <f>+MINVU_Mes_Corriente!AH256*SALUD_Mes_Constante!$AC$1</f>
        <v>0</v>
      </c>
      <c r="AI256" s="8">
        <f>+MINVU_Mes_Corriente!AI256*SALUD_Mes_Constante!$AC$1</f>
        <v>0</v>
      </c>
      <c r="AJ256" s="8">
        <f>+MINVU_Mes_Corriente!AJ256*SALUD_Mes_Constante!$AC$1</f>
        <v>0</v>
      </c>
      <c r="AK256" s="8">
        <f>+MINVU_Mes_Corriente!AK256*SALUD_Mes_Constante!$AC$1</f>
        <v>0</v>
      </c>
      <c r="AL256" s="8">
        <f>+MINVU_Mes_Corriente!AL256*SALUD_Mes_Constante!$AC$1</f>
        <v>0</v>
      </c>
      <c r="AM256" s="8">
        <f>+MINVU_Mes_Corriente!AM256*SALUD_Mes_Constante!$AC$1</f>
        <v>0</v>
      </c>
      <c r="AN256" s="8">
        <f>+MINVU_Mes_Corriente!AN256*SALUD_Mes_Constante!$AC$1</f>
        <v>0</v>
      </c>
      <c r="AO256" s="9">
        <f t="shared" si="116"/>
        <v>0</v>
      </c>
      <c r="AP256" s="8">
        <f>+MINVU_Mes_Corriente!AP256*SALUD_Mes_Constante!$AP$1</f>
        <v>0</v>
      </c>
      <c r="AQ256" s="8">
        <f>+MINVU_Mes_Corriente!AQ256*SALUD_Mes_Constante!$AP$1</f>
        <v>0</v>
      </c>
      <c r="AR256" s="8">
        <f>+MINVU_Mes_Corriente!AR256*SALUD_Mes_Constante!$AP$1</f>
        <v>0</v>
      </c>
      <c r="AS256" s="8">
        <f>+MINVU_Mes_Corriente!AS256*SALUD_Mes_Constante!$AP$1</f>
        <v>0</v>
      </c>
      <c r="AT256" s="8">
        <f>+MINVU_Mes_Corriente!AT256*SALUD_Mes_Constante!$AP$1</f>
        <v>0</v>
      </c>
      <c r="AU256" s="8">
        <f>+MINVU_Mes_Corriente!AU256*SALUD_Mes_Constante!$AP$1</f>
        <v>0</v>
      </c>
      <c r="AV256" s="8">
        <f>+MINVU_Mes_Corriente!AV256*SALUD_Mes_Constante!$AP$1</f>
        <v>0</v>
      </c>
      <c r="AW256" s="8">
        <f>+MINVU_Mes_Corriente!AW256*SALUD_Mes_Constante!$AP$1</f>
        <v>0</v>
      </c>
      <c r="AX256" s="8">
        <f>+MINVU_Mes_Corriente!AX256*SALUD_Mes_Constante!$AP$1</f>
        <v>0</v>
      </c>
      <c r="AY256" s="8">
        <f>+MINVU_Mes_Corriente!AY256*SALUD_Mes_Constante!$AP$1</f>
        <v>0</v>
      </c>
      <c r="AZ256" s="8">
        <f>+MINVU_Mes_Corriente!AZ256*SALUD_Mes_Constante!$AP$1</f>
        <v>0</v>
      </c>
      <c r="BA256" s="8">
        <f>+MINVU_Mes_Corriente!BA256*SALUD_Mes_Constante!$AP$1</f>
        <v>0</v>
      </c>
      <c r="BB256" s="9">
        <f t="shared" si="117"/>
        <v>0</v>
      </c>
      <c r="BC256" s="8">
        <f>+MINVU_Mes_Corriente!BC256*SALUD_Mes_Constante!$BC$1</f>
        <v>0</v>
      </c>
      <c r="BD256" s="8">
        <f>+MINVU_Mes_Corriente!BD256*SALUD_Mes_Constante!$BC$1</f>
        <v>0</v>
      </c>
      <c r="BE256" s="8">
        <f>+MINVU_Mes_Corriente!BE256*SALUD_Mes_Constante!$BC$1</f>
        <v>0</v>
      </c>
      <c r="BF256" s="8">
        <f>+MINVU_Mes_Corriente!BF256*SALUD_Mes_Constante!$BC$1</f>
        <v>0</v>
      </c>
      <c r="BG256" s="8">
        <f>+MINVU_Mes_Corriente!BG256*SALUD_Mes_Constante!$BC$1</f>
        <v>0</v>
      </c>
      <c r="BH256" s="8">
        <f>+MINVU_Mes_Corriente!BH256*SALUD_Mes_Constante!$BC$1</f>
        <v>0</v>
      </c>
      <c r="BI256" s="8">
        <f>+MINVU_Mes_Corriente!BI256*SALUD_Mes_Constante!$BC$1</f>
        <v>0</v>
      </c>
      <c r="BJ256" s="8">
        <f>+MINVU_Mes_Corriente!BJ256*SALUD_Mes_Constante!$BC$1</f>
        <v>0</v>
      </c>
      <c r="BK256" s="8">
        <f>+MINVU_Mes_Corriente!BK256*SALUD_Mes_Constante!$BC$1</f>
        <v>0</v>
      </c>
      <c r="BL256" s="8">
        <f>+MINVU_Mes_Corriente!BL256*SALUD_Mes_Constante!$BC$1</f>
        <v>0</v>
      </c>
      <c r="BM256" s="8">
        <f>+MINVU_Mes_Corriente!BM256*SALUD_Mes_Constante!$BC$1</f>
        <v>0</v>
      </c>
      <c r="BN256" s="8">
        <f>+MINVU_Mes_Corriente!BN256*SALUD_Mes_Constante!$BC$1</f>
        <v>0</v>
      </c>
      <c r="BO256" s="9">
        <f t="shared" si="118"/>
        <v>0</v>
      </c>
      <c r="BP256" s="8">
        <f>+MINVU_Mes_Corriente!BP256*SALUD_Mes_Constante!$BP$1</f>
        <v>0</v>
      </c>
      <c r="BQ256" s="8">
        <f>+MINVU_Mes_Corriente!BQ256*SALUD_Mes_Constante!$BP$1</f>
        <v>0</v>
      </c>
      <c r="BR256" s="8">
        <f>+MINVU_Mes_Corriente!BR256*SALUD_Mes_Constante!$BP$1</f>
        <v>0</v>
      </c>
      <c r="BS256" s="8">
        <f>+MINVU_Mes_Corriente!BS256*SALUD_Mes_Constante!$BP$1</f>
        <v>0</v>
      </c>
      <c r="BT256" s="8">
        <f>+MINVU_Mes_Corriente!BT256*SALUD_Mes_Constante!$BP$1</f>
        <v>0</v>
      </c>
      <c r="BU256" s="8">
        <f>+MINVU_Mes_Corriente!BU256*SALUD_Mes_Constante!$BP$1</f>
        <v>0</v>
      </c>
      <c r="BV256" s="8">
        <f>+MINVU_Mes_Corriente!BV256*SALUD_Mes_Constante!$BP$1</f>
        <v>0</v>
      </c>
      <c r="BW256" s="8">
        <f>+MINVU_Mes_Corriente!BW256*SALUD_Mes_Constante!$BP$1</f>
        <v>0</v>
      </c>
      <c r="BX256" s="8">
        <f>+MINVU_Mes_Corriente!BX256*SALUD_Mes_Constante!$BP$1</f>
        <v>0</v>
      </c>
      <c r="BY256" s="8">
        <f>+MINVU_Mes_Corriente!BY256*SALUD_Mes_Constante!$BP$1</f>
        <v>0</v>
      </c>
      <c r="BZ256" s="8">
        <f>+MINVU_Mes_Corriente!BZ256*SALUD_Mes_Constante!$BP$1</f>
        <v>0</v>
      </c>
      <c r="CA256" s="8">
        <f>+MINVU_Mes_Corriente!CA256*SALUD_Mes_Constante!$BP$1</f>
        <v>0</v>
      </c>
      <c r="CB256" s="9">
        <f t="shared" si="119"/>
        <v>0</v>
      </c>
      <c r="CC256" s="8">
        <f>+MINVU_Mes_Corriente!CC256*SALUD_Mes_Constante!$CC$1</f>
        <v>0</v>
      </c>
      <c r="CD256" s="8">
        <f>+MINVU_Mes_Corriente!CD256*SALUD_Mes_Constante!$CC$1</f>
        <v>0</v>
      </c>
      <c r="CE256" s="8">
        <f>+MINVU_Mes_Corriente!CE256*SALUD_Mes_Constante!$CC$1</f>
        <v>0</v>
      </c>
      <c r="CF256" s="8">
        <f>+MINVU_Mes_Corriente!CF256*SALUD_Mes_Constante!$CC$1</f>
        <v>0</v>
      </c>
      <c r="CG256" s="8">
        <f>+MINVU_Mes_Corriente!CG256*SALUD_Mes_Constante!$CC$1</f>
        <v>0</v>
      </c>
      <c r="CH256" s="8">
        <f>+MINVU_Mes_Corriente!CH256*SALUD_Mes_Constante!$CC$1</f>
        <v>0</v>
      </c>
      <c r="CI256" s="8">
        <f>+MINVU_Mes_Corriente!CI256*SALUD_Mes_Constante!$CC$1</f>
        <v>0</v>
      </c>
      <c r="CJ256" s="8">
        <f>+MINVU_Mes_Corriente!CJ256*SALUD_Mes_Constante!$CC$1</f>
        <v>0</v>
      </c>
      <c r="CK256" s="8">
        <f>+MINVU_Mes_Corriente!CK256*SALUD_Mes_Constante!$CC$1</f>
        <v>0</v>
      </c>
      <c r="CL256" s="8">
        <f>+MINVU_Mes_Corriente!CL256*SALUD_Mes_Constante!$CC$1</f>
        <v>0</v>
      </c>
      <c r="CM256" s="8">
        <f>+MINVU_Mes_Corriente!CM256*SALUD_Mes_Constante!$CC$1</f>
        <v>0</v>
      </c>
      <c r="CN256" s="8">
        <f>+MINVU_Mes_Corriente!CN256*SALUD_Mes_Constante!$CC$1</f>
        <v>0</v>
      </c>
      <c r="CO256" s="9">
        <f t="shared" si="120"/>
        <v>0</v>
      </c>
      <c r="CP256" s="8">
        <f>+MINVU_Mes_Corriente!CP256*SALUD_Mes_Constante!$CP$1</f>
        <v>0</v>
      </c>
      <c r="CQ256" s="8">
        <f>+MINVU_Mes_Corriente!CQ256*SALUD_Mes_Constante!$CP$1</f>
        <v>0</v>
      </c>
      <c r="CR256" s="8">
        <f>+MINVU_Mes_Corriente!CR256*SALUD_Mes_Constante!$CP$1</f>
        <v>0</v>
      </c>
      <c r="CS256" s="8">
        <f>+MINVU_Mes_Corriente!CS256*SALUD_Mes_Constante!$CP$1</f>
        <v>0</v>
      </c>
      <c r="CT256" s="8">
        <f>+MINVU_Mes_Corriente!CT256*SALUD_Mes_Constante!$CP$1</f>
        <v>0</v>
      </c>
      <c r="CU256" s="8">
        <f>+MINVU_Mes_Corriente!CU256*SALUD_Mes_Constante!$CP$1</f>
        <v>0</v>
      </c>
      <c r="CV256" s="8">
        <f>+MINVU_Mes_Corriente!CV256*SALUD_Mes_Constante!$CP$1</f>
        <v>0</v>
      </c>
      <c r="CW256" s="8">
        <f>+MINVU_Mes_Corriente!CW256*SALUD_Mes_Constante!$CP$1</f>
        <v>0</v>
      </c>
      <c r="CX256" s="8">
        <f>+MINVU_Mes_Corriente!CX256*SALUD_Mes_Constante!$CP$1</f>
        <v>0</v>
      </c>
      <c r="CY256" s="8">
        <f>+MINVU_Mes_Corriente!CY256*SALUD_Mes_Constante!$CP$1</f>
        <v>0</v>
      </c>
      <c r="CZ256" s="8">
        <f>+MINVU_Mes_Corriente!CZ256*SALUD_Mes_Constante!$CP$1</f>
        <v>0</v>
      </c>
      <c r="DA256" s="8">
        <f>+MINVU_Mes_Corriente!DA256*SALUD_Mes_Constante!$CP$1</f>
        <v>0</v>
      </c>
      <c r="DB256" s="9">
        <f t="shared" si="121"/>
        <v>0</v>
      </c>
      <c r="DC256" s="8">
        <f>+MINVU_Mes_Corriente!DC256*SALUD_Mes_Constante!$DC$1</f>
        <v>0</v>
      </c>
      <c r="DD256" s="8">
        <f>+MINVU_Mes_Corriente!DD256*SALUD_Mes_Constante!$DC$1</f>
        <v>0</v>
      </c>
      <c r="DE256" s="8">
        <f>+MINVU_Mes_Corriente!DE256*SALUD_Mes_Constante!$DC$1</f>
        <v>0</v>
      </c>
      <c r="DF256" s="8">
        <f>+MINVU_Mes_Corriente!DF256*SALUD_Mes_Constante!$DC$1</f>
        <v>0</v>
      </c>
      <c r="DG256" s="8">
        <f>+MINVU_Mes_Corriente!DG256*SALUD_Mes_Constante!$DC$1</f>
        <v>0</v>
      </c>
      <c r="DH256" s="8">
        <f>+MINVU_Mes_Corriente!DH256*SALUD_Mes_Constante!$DC$1</f>
        <v>0</v>
      </c>
      <c r="DI256" s="8">
        <f>+MINVU_Mes_Corriente!DI256*SALUD_Mes_Constante!$DC$1</f>
        <v>0</v>
      </c>
      <c r="DJ256" s="8">
        <f>+MINVU_Mes_Corriente!DJ256*SALUD_Mes_Constante!$DC$1</f>
        <v>0</v>
      </c>
      <c r="DK256" s="8">
        <f>+MINVU_Mes_Corriente!DK256*SALUD_Mes_Constante!$DC$1</f>
        <v>0</v>
      </c>
      <c r="DL256" s="8">
        <f>+MINVU_Mes_Corriente!DL256*SALUD_Mes_Constante!$DC$1</f>
        <v>0</v>
      </c>
      <c r="DM256" s="8">
        <f>+MINVU_Mes_Corriente!DM256*SALUD_Mes_Constante!$DC$1</f>
        <v>0</v>
      </c>
      <c r="DN256" s="8">
        <f>+MINVU_Mes_Corriente!DN256*SALUD_Mes_Constante!$DC$1</f>
        <v>0</v>
      </c>
      <c r="DO256" s="9">
        <f t="shared" si="122"/>
        <v>0</v>
      </c>
      <c r="DP256" s="8">
        <f>+MINVU_Mes_Corriente!DP256*SALUD_Mes_Constante!$DP$1</f>
        <v>0</v>
      </c>
      <c r="DQ256" s="8">
        <f>+MINVU_Mes_Corriente!DQ256*SALUD_Mes_Constante!$DP$1</f>
        <v>0</v>
      </c>
      <c r="DR256" s="8">
        <f>+MINVU_Mes_Corriente!DR256*SALUD_Mes_Constante!$DP$1</f>
        <v>0</v>
      </c>
      <c r="DS256" s="8">
        <f>+MINVU_Mes_Corriente!DS256*SALUD_Mes_Constante!$DP$1</f>
        <v>0</v>
      </c>
      <c r="DT256" s="8">
        <f>+MINVU_Mes_Corriente!DT256*SALUD_Mes_Constante!$DP$1</f>
        <v>0</v>
      </c>
      <c r="DU256" s="8">
        <f>+MINVU_Mes_Corriente!DU256*SALUD_Mes_Constante!$DP$1</f>
        <v>0</v>
      </c>
      <c r="DV256" s="8">
        <f>+MINVU_Mes_Corriente!DV256*SALUD_Mes_Constante!$DP$1</f>
        <v>0</v>
      </c>
      <c r="DW256" s="8">
        <f>+MINVU_Mes_Corriente!DW256*SALUD_Mes_Constante!$DP$1</f>
        <v>0</v>
      </c>
      <c r="DX256" s="8">
        <f>+MINVU_Mes_Corriente!DX256*SALUD_Mes_Constante!$DP$1</f>
        <v>0</v>
      </c>
      <c r="DY256" s="8">
        <f>+MINVU_Mes_Corriente!DY256*SALUD_Mes_Constante!$DP$1</f>
        <v>0</v>
      </c>
      <c r="DZ256" s="8">
        <f>+MINVU_Mes_Corriente!DZ256*SALUD_Mes_Constante!$DP$1</f>
        <v>0</v>
      </c>
      <c r="EA256" s="8">
        <f>+MINVU_Mes_Corriente!EA256*SALUD_Mes_Constante!$DP$1</f>
        <v>0</v>
      </c>
      <c r="EB256" s="9">
        <f t="shared" si="123"/>
        <v>0</v>
      </c>
      <c r="EC256" s="8">
        <f>+MINVU_Mes_Corriente!EC256*SALUD_Mes_Constante!$EC$1</f>
        <v>0</v>
      </c>
      <c r="ED256" s="8">
        <f>+MINVU_Mes_Corriente!ED256*SALUD_Mes_Constante!$EC$1</f>
        <v>0</v>
      </c>
      <c r="EE256" s="8">
        <f>+MINVU_Mes_Corriente!EE256*SALUD_Mes_Constante!$EC$1</f>
        <v>0</v>
      </c>
      <c r="EF256" s="8">
        <f>+MINVU_Mes_Corriente!EF256*SALUD_Mes_Constante!$EC$1</f>
        <v>0</v>
      </c>
      <c r="EG256" s="8">
        <f>+MINVU_Mes_Corriente!EG256*SALUD_Mes_Constante!$EC$1</f>
        <v>0</v>
      </c>
      <c r="EH256" s="8">
        <f>+MINVU_Mes_Corriente!EH256*SALUD_Mes_Constante!$EC$1</f>
        <v>0</v>
      </c>
      <c r="EI256" s="8">
        <f>+MINVU_Mes_Corriente!EI256*SALUD_Mes_Constante!$EC$1</f>
        <v>0</v>
      </c>
      <c r="EJ256" s="8">
        <f>+MINVU_Mes_Corriente!EJ256*SALUD_Mes_Constante!$EC$1</f>
        <v>0</v>
      </c>
      <c r="EK256" s="8">
        <f>+MINVU_Mes_Corriente!EK256*SALUD_Mes_Constante!$EC$1</f>
        <v>0</v>
      </c>
      <c r="EL256" s="8">
        <f>+MINVU_Mes_Corriente!EL256*SALUD_Mes_Constante!$EC$1</f>
        <v>0</v>
      </c>
      <c r="EM256" s="8">
        <f>+MINVU_Mes_Corriente!EM256*SALUD_Mes_Constante!$EC$1</f>
        <v>0</v>
      </c>
      <c r="EN256" s="8">
        <f>+MINVU_Mes_Corriente!EN256*SALUD_Mes_Constante!$EC$1</f>
        <v>0</v>
      </c>
      <c r="EO256" s="9">
        <f t="shared" si="124"/>
        <v>0</v>
      </c>
      <c r="EP256" s="8">
        <f>+MINVU_Mes_Corriente!EP256*SALUD_Mes_Constante!$EP$1</f>
        <v>0</v>
      </c>
      <c r="EQ256" s="8">
        <f>+MINVU_Mes_Corriente!EQ256*SALUD_Mes_Constante!$EP$1</f>
        <v>0</v>
      </c>
      <c r="ER256" s="8">
        <f>+MINVU_Mes_Corriente!ER256*SALUD_Mes_Constante!$EP$1</f>
        <v>0</v>
      </c>
      <c r="ES256" s="8">
        <f>+MINVU_Mes_Corriente!ES256*SALUD_Mes_Constante!$EP$1</f>
        <v>0</v>
      </c>
      <c r="ET256" s="8">
        <f>+MINVU_Mes_Corriente!ET256*SALUD_Mes_Constante!$EP$1</f>
        <v>0</v>
      </c>
      <c r="EU256" s="8">
        <f>+MINVU_Mes_Corriente!EU256*SALUD_Mes_Constante!$EP$1</f>
        <v>0</v>
      </c>
      <c r="EV256" s="8">
        <f>+MINVU_Mes_Corriente!EV256*SALUD_Mes_Constante!$EP$1</f>
        <v>0</v>
      </c>
      <c r="EW256" s="8">
        <f>+MINVU_Mes_Corriente!EW256*SALUD_Mes_Constante!$EP$1</f>
        <v>0</v>
      </c>
      <c r="EX256" s="8">
        <f>+MINVU_Mes_Corriente!EX256*SALUD_Mes_Constante!$EP$1</f>
        <v>0</v>
      </c>
      <c r="EY256" s="8">
        <f>+MINVU_Mes_Corriente!EY256*SALUD_Mes_Constante!$EP$1</f>
        <v>0</v>
      </c>
      <c r="EZ256" s="8">
        <f>+MINVU_Mes_Corriente!EZ256*SALUD_Mes_Constante!$EP$1</f>
        <v>0</v>
      </c>
      <c r="FA256" s="8">
        <f>+MINVU_Mes_Corriente!FA256*SALUD_Mes_Constante!$EP$1</f>
        <v>0</v>
      </c>
      <c r="FB256" s="9">
        <f t="shared" si="125"/>
        <v>0</v>
      </c>
      <c r="FC256" s="8">
        <f>+MINVU_Mes_Corriente!FC256*SALUD_Mes_Constante!$FC$1</f>
        <v>0</v>
      </c>
      <c r="FD256" s="8">
        <f>+MINVU_Mes_Corriente!FD256*SALUD_Mes_Constante!$FC$1</f>
        <v>0</v>
      </c>
      <c r="FE256" s="8">
        <f>+MINVU_Mes_Corriente!FE256*SALUD_Mes_Constante!$FC$1</f>
        <v>0</v>
      </c>
      <c r="FF256" s="8">
        <f>+MINVU_Mes_Corriente!FF256*SALUD_Mes_Constante!$FC$1</f>
        <v>0</v>
      </c>
      <c r="FG256" s="8">
        <f>+MINVU_Mes_Corriente!FG256*SALUD_Mes_Constante!$FC$1</f>
        <v>0</v>
      </c>
      <c r="FH256" s="8">
        <f>+MINVU_Mes_Corriente!FH256*SALUD_Mes_Constante!$FC$1</f>
        <v>0</v>
      </c>
      <c r="FI256" s="8">
        <f>+MINVU_Mes_Corriente!FI256*SALUD_Mes_Constante!$FC$1</f>
        <v>0</v>
      </c>
      <c r="FJ256" s="8"/>
      <c r="FK256" s="8"/>
      <c r="FL256" s="8"/>
      <c r="FM256" s="8"/>
      <c r="FN256" s="8"/>
      <c r="FO256" s="9">
        <f t="shared" si="126"/>
        <v>0</v>
      </c>
    </row>
    <row r="257" spans="2:171" ht="14.25" customHeight="1" x14ac:dyDescent="0.3">
      <c r="B257" s="35" t="s">
        <v>70</v>
      </c>
      <c r="C257" s="8">
        <f>+MINVU_Mes_Corriente!C257*SALUD_Mes_Constante!$C$1</f>
        <v>0</v>
      </c>
      <c r="D257" s="8">
        <f>+MINVU_Mes_Corriente!D257*SALUD_Mes_Constante!$C$1</f>
        <v>0</v>
      </c>
      <c r="E257" s="8">
        <f>+MINVU_Mes_Corriente!E257*SALUD_Mes_Constante!$C$1</f>
        <v>0</v>
      </c>
      <c r="F257" s="8">
        <f>+MINVU_Mes_Corriente!F257*SALUD_Mes_Constante!$C$1</f>
        <v>0</v>
      </c>
      <c r="G257" s="8">
        <f>+MINVU_Mes_Corriente!G257*SALUD_Mes_Constante!$C$1</f>
        <v>0</v>
      </c>
      <c r="H257" s="8">
        <f>+MINVU_Mes_Corriente!H257*SALUD_Mes_Constante!$C$1</f>
        <v>0</v>
      </c>
      <c r="I257" s="8">
        <f>+MINVU_Mes_Corriente!I257*SALUD_Mes_Constante!$C$1</f>
        <v>0</v>
      </c>
      <c r="J257" s="8">
        <f>+MINVU_Mes_Corriente!J257*SALUD_Mes_Constante!$C$1</f>
        <v>0</v>
      </c>
      <c r="K257" s="8">
        <f>+MINVU_Mes_Corriente!K257*SALUD_Mes_Constante!$C$1</f>
        <v>0</v>
      </c>
      <c r="L257" s="8">
        <f>+MINVU_Mes_Corriente!L257*SALUD_Mes_Constante!$C$1</f>
        <v>0</v>
      </c>
      <c r="M257" s="8">
        <f>+MINVU_Mes_Corriente!M257*SALUD_Mes_Constante!$C$1</f>
        <v>0</v>
      </c>
      <c r="N257" s="8">
        <f>+MINVU_Mes_Corriente!N257*SALUD_Mes_Constante!$C$1</f>
        <v>0</v>
      </c>
      <c r="O257" s="9">
        <f t="shared" si="114"/>
        <v>0</v>
      </c>
      <c r="P257" s="8">
        <f>+MINVU_Mes_Corriente!P257*SALUD_Mes_Constante!$P$1</f>
        <v>0</v>
      </c>
      <c r="Q257" s="8">
        <f>+MINVU_Mes_Corriente!Q257*SALUD_Mes_Constante!$P$1</f>
        <v>0</v>
      </c>
      <c r="R257" s="8">
        <f>+MINVU_Mes_Corriente!R257*SALUD_Mes_Constante!$P$1</f>
        <v>0</v>
      </c>
      <c r="S257" s="8">
        <f>+MINVU_Mes_Corriente!S257*SALUD_Mes_Constante!$P$1</f>
        <v>0</v>
      </c>
      <c r="T257" s="8">
        <f>+MINVU_Mes_Corriente!T257*SALUD_Mes_Constante!$P$1</f>
        <v>0</v>
      </c>
      <c r="U257" s="8">
        <f>+MINVU_Mes_Corriente!U257*SALUD_Mes_Constante!$P$1</f>
        <v>0</v>
      </c>
      <c r="V257" s="8">
        <f>+MINVU_Mes_Corriente!V257*SALUD_Mes_Constante!$P$1</f>
        <v>0</v>
      </c>
      <c r="W257" s="8">
        <f>+MINVU_Mes_Corriente!W257*SALUD_Mes_Constante!$P$1</f>
        <v>0</v>
      </c>
      <c r="X257" s="8">
        <f>+MINVU_Mes_Corriente!X257*SALUD_Mes_Constante!$P$1</f>
        <v>0</v>
      </c>
      <c r="Y257" s="8">
        <f>+MINVU_Mes_Corriente!Y257*SALUD_Mes_Constante!$P$1</f>
        <v>0</v>
      </c>
      <c r="Z257" s="8">
        <f>+MINVU_Mes_Corriente!Z257*SALUD_Mes_Constante!$P$1</f>
        <v>0</v>
      </c>
      <c r="AA257" s="8">
        <f>+MINVU_Mes_Corriente!AA257*SALUD_Mes_Constante!$P$1</f>
        <v>0</v>
      </c>
      <c r="AB257" s="9">
        <f t="shared" si="115"/>
        <v>0</v>
      </c>
      <c r="AC257" s="8">
        <f>+MINVU_Mes_Corriente!AC257*SALUD_Mes_Constante!$AC$1</f>
        <v>0</v>
      </c>
      <c r="AD257" s="8">
        <f>+MINVU_Mes_Corriente!AD257*SALUD_Mes_Constante!$AC$1</f>
        <v>0</v>
      </c>
      <c r="AE257" s="8">
        <f>+MINVU_Mes_Corriente!AE257*SALUD_Mes_Constante!$AC$1</f>
        <v>0</v>
      </c>
      <c r="AF257" s="8">
        <f>+MINVU_Mes_Corriente!AF257*SALUD_Mes_Constante!$AC$1</f>
        <v>0</v>
      </c>
      <c r="AG257" s="8">
        <f>+MINVU_Mes_Corriente!AG257*SALUD_Mes_Constante!$AC$1</f>
        <v>0</v>
      </c>
      <c r="AH257" s="8">
        <f>+MINVU_Mes_Corriente!AH257*SALUD_Mes_Constante!$AC$1</f>
        <v>0</v>
      </c>
      <c r="AI257" s="8">
        <f>+MINVU_Mes_Corriente!AI257*SALUD_Mes_Constante!$AC$1</f>
        <v>0</v>
      </c>
      <c r="AJ257" s="8">
        <f>+MINVU_Mes_Corriente!AJ257*SALUD_Mes_Constante!$AC$1</f>
        <v>0</v>
      </c>
      <c r="AK257" s="8">
        <f>+MINVU_Mes_Corriente!AK257*SALUD_Mes_Constante!$AC$1</f>
        <v>0</v>
      </c>
      <c r="AL257" s="8">
        <f>+MINVU_Mes_Corriente!AL257*SALUD_Mes_Constante!$AC$1</f>
        <v>0</v>
      </c>
      <c r="AM257" s="8">
        <f>+MINVU_Mes_Corriente!AM257*SALUD_Mes_Constante!$AC$1</f>
        <v>0</v>
      </c>
      <c r="AN257" s="8">
        <f>+MINVU_Mes_Corriente!AN257*SALUD_Mes_Constante!$AC$1</f>
        <v>0</v>
      </c>
      <c r="AO257" s="9">
        <f t="shared" si="116"/>
        <v>0</v>
      </c>
      <c r="AP257" s="8">
        <f>+MINVU_Mes_Corriente!AP257*SALUD_Mes_Constante!$AP$1</f>
        <v>0</v>
      </c>
      <c r="AQ257" s="8">
        <f>+MINVU_Mes_Corriente!AQ257*SALUD_Mes_Constante!$AP$1</f>
        <v>0</v>
      </c>
      <c r="AR257" s="8">
        <f>+MINVU_Mes_Corriente!AR257*SALUD_Mes_Constante!$AP$1</f>
        <v>0</v>
      </c>
      <c r="AS257" s="8">
        <f>+MINVU_Mes_Corriente!AS257*SALUD_Mes_Constante!$AP$1</f>
        <v>0</v>
      </c>
      <c r="AT257" s="8">
        <f>+MINVU_Mes_Corriente!AT257*SALUD_Mes_Constante!$AP$1</f>
        <v>0</v>
      </c>
      <c r="AU257" s="8">
        <f>+MINVU_Mes_Corriente!AU257*SALUD_Mes_Constante!$AP$1</f>
        <v>0</v>
      </c>
      <c r="AV257" s="8">
        <f>+MINVU_Mes_Corriente!AV257*SALUD_Mes_Constante!$AP$1</f>
        <v>0</v>
      </c>
      <c r="AW257" s="8">
        <f>+MINVU_Mes_Corriente!AW257*SALUD_Mes_Constante!$AP$1</f>
        <v>0</v>
      </c>
      <c r="AX257" s="8">
        <f>+MINVU_Mes_Corriente!AX257*SALUD_Mes_Constante!$AP$1</f>
        <v>0</v>
      </c>
      <c r="AY257" s="8">
        <f>+MINVU_Mes_Corriente!AY257*SALUD_Mes_Constante!$AP$1</f>
        <v>0</v>
      </c>
      <c r="AZ257" s="8">
        <f>+MINVU_Mes_Corriente!AZ257*SALUD_Mes_Constante!$AP$1</f>
        <v>0</v>
      </c>
      <c r="BA257" s="8">
        <f>+MINVU_Mes_Corriente!BA257*SALUD_Mes_Constante!$AP$1</f>
        <v>0</v>
      </c>
      <c r="BB257" s="9">
        <f t="shared" si="117"/>
        <v>0</v>
      </c>
      <c r="BC257" s="8">
        <f>+MINVU_Mes_Corriente!BC257*SALUD_Mes_Constante!$BC$1</f>
        <v>0</v>
      </c>
      <c r="BD257" s="8">
        <f>+MINVU_Mes_Corriente!BD257*SALUD_Mes_Constante!$BC$1</f>
        <v>0</v>
      </c>
      <c r="BE257" s="8">
        <f>+MINVU_Mes_Corriente!BE257*SALUD_Mes_Constante!$BC$1</f>
        <v>0</v>
      </c>
      <c r="BF257" s="8">
        <f>+MINVU_Mes_Corriente!BF257*SALUD_Mes_Constante!$BC$1</f>
        <v>0</v>
      </c>
      <c r="BG257" s="8">
        <f>+MINVU_Mes_Corriente!BG257*SALUD_Mes_Constante!$BC$1</f>
        <v>0</v>
      </c>
      <c r="BH257" s="8">
        <f>+MINVU_Mes_Corriente!BH257*SALUD_Mes_Constante!$BC$1</f>
        <v>0</v>
      </c>
      <c r="BI257" s="8">
        <f>+MINVU_Mes_Corriente!BI257*SALUD_Mes_Constante!$BC$1</f>
        <v>0</v>
      </c>
      <c r="BJ257" s="8">
        <f>+MINVU_Mes_Corriente!BJ257*SALUD_Mes_Constante!$BC$1</f>
        <v>0</v>
      </c>
      <c r="BK257" s="8">
        <f>+MINVU_Mes_Corriente!BK257*SALUD_Mes_Constante!$BC$1</f>
        <v>0</v>
      </c>
      <c r="BL257" s="8">
        <f>+MINVU_Mes_Corriente!BL257*SALUD_Mes_Constante!$BC$1</f>
        <v>0</v>
      </c>
      <c r="BM257" s="8">
        <f>+MINVU_Mes_Corriente!BM257*SALUD_Mes_Constante!$BC$1</f>
        <v>0</v>
      </c>
      <c r="BN257" s="8">
        <f>+MINVU_Mes_Corriente!BN257*SALUD_Mes_Constante!$BC$1</f>
        <v>0</v>
      </c>
      <c r="BO257" s="9">
        <f t="shared" si="118"/>
        <v>0</v>
      </c>
      <c r="BP257" s="8">
        <f>+MINVU_Mes_Corriente!BP257*SALUD_Mes_Constante!$BP$1</f>
        <v>0</v>
      </c>
      <c r="BQ257" s="8">
        <f>+MINVU_Mes_Corriente!BQ257*SALUD_Mes_Constante!$BP$1</f>
        <v>0</v>
      </c>
      <c r="BR257" s="8">
        <f>+MINVU_Mes_Corriente!BR257*SALUD_Mes_Constante!$BP$1</f>
        <v>0</v>
      </c>
      <c r="BS257" s="8">
        <f>+MINVU_Mes_Corriente!BS257*SALUD_Mes_Constante!$BP$1</f>
        <v>0</v>
      </c>
      <c r="BT257" s="8">
        <f>+MINVU_Mes_Corriente!BT257*SALUD_Mes_Constante!$BP$1</f>
        <v>0</v>
      </c>
      <c r="BU257" s="8">
        <f>+MINVU_Mes_Corriente!BU257*SALUD_Mes_Constante!$BP$1</f>
        <v>0</v>
      </c>
      <c r="BV257" s="8">
        <f>+MINVU_Mes_Corriente!BV257*SALUD_Mes_Constante!$BP$1</f>
        <v>0</v>
      </c>
      <c r="BW257" s="8">
        <f>+MINVU_Mes_Corriente!BW257*SALUD_Mes_Constante!$BP$1</f>
        <v>0</v>
      </c>
      <c r="BX257" s="8">
        <f>+MINVU_Mes_Corriente!BX257*SALUD_Mes_Constante!$BP$1</f>
        <v>0</v>
      </c>
      <c r="BY257" s="8">
        <f>+MINVU_Mes_Corriente!BY257*SALUD_Mes_Constante!$BP$1</f>
        <v>0</v>
      </c>
      <c r="BZ257" s="8">
        <f>+MINVU_Mes_Corriente!BZ257*SALUD_Mes_Constante!$BP$1</f>
        <v>0</v>
      </c>
      <c r="CA257" s="8">
        <f>+MINVU_Mes_Corriente!CA257*SALUD_Mes_Constante!$BP$1</f>
        <v>0</v>
      </c>
      <c r="CB257" s="9">
        <f t="shared" si="119"/>
        <v>0</v>
      </c>
      <c r="CC257" s="8">
        <f>+MINVU_Mes_Corriente!CC257*SALUD_Mes_Constante!$CC$1</f>
        <v>0</v>
      </c>
      <c r="CD257" s="8">
        <f>+MINVU_Mes_Corriente!CD257*SALUD_Mes_Constante!$CC$1</f>
        <v>0</v>
      </c>
      <c r="CE257" s="8">
        <f>+MINVU_Mes_Corriente!CE257*SALUD_Mes_Constante!$CC$1</f>
        <v>0</v>
      </c>
      <c r="CF257" s="8">
        <f>+MINVU_Mes_Corriente!CF257*SALUD_Mes_Constante!$CC$1</f>
        <v>0</v>
      </c>
      <c r="CG257" s="8">
        <f>+MINVU_Mes_Corriente!CG257*SALUD_Mes_Constante!$CC$1</f>
        <v>0</v>
      </c>
      <c r="CH257" s="8">
        <f>+MINVU_Mes_Corriente!CH257*SALUD_Mes_Constante!$CC$1</f>
        <v>0</v>
      </c>
      <c r="CI257" s="8">
        <f>+MINVU_Mes_Corriente!CI257*SALUD_Mes_Constante!$CC$1</f>
        <v>0</v>
      </c>
      <c r="CJ257" s="8">
        <f>+MINVU_Mes_Corriente!CJ257*SALUD_Mes_Constante!$CC$1</f>
        <v>0</v>
      </c>
      <c r="CK257" s="8">
        <f>+MINVU_Mes_Corriente!CK257*SALUD_Mes_Constante!$CC$1</f>
        <v>0</v>
      </c>
      <c r="CL257" s="8">
        <f>+MINVU_Mes_Corriente!CL257*SALUD_Mes_Constante!$CC$1</f>
        <v>0</v>
      </c>
      <c r="CM257" s="8">
        <f>+MINVU_Mes_Corriente!CM257*SALUD_Mes_Constante!$CC$1</f>
        <v>0</v>
      </c>
      <c r="CN257" s="8">
        <f>+MINVU_Mes_Corriente!CN257*SALUD_Mes_Constante!$CC$1</f>
        <v>0</v>
      </c>
      <c r="CO257" s="9">
        <f t="shared" si="120"/>
        <v>0</v>
      </c>
      <c r="CP257" s="8">
        <f>+MINVU_Mes_Corriente!CP257*SALUD_Mes_Constante!$CP$1</f>
        <v>0</v>
      </c>
      <c r="CQ257" s="8">
        <f>+MINVU_Mes_Corriente!CQ257*SALUD_Mes_Constante!$CP$1</f>
        <v>0</v>
      </c>
      <c r="CR257" s="8">
        <f>+MINVU_Mes_Corriente!CR257*SALUD_Mes_Constante!$CP$1</f>
        <v>0</v>
      </c>
      <c r="CS257" s="8">
        <f>+MINVU_Mes_Corriente!CS257*SALUD_Mes_Constante!$CP$1</f>
        <v>0</v>
      </c>
      <c r="CT257" s="8">
        <f>+MINVU_Mes_Corriente!CT257*SALUD_Mes_Constante!$CP$1</f>
        <v>0</v>
      </c>
      <c r="CU257" s="8">
        <f>+MINVU_Mes_Corriente!CU257*SALUD_Mes_Constante!$CP$1</f>
        <v>0</v>
      </c>
      <c r="CV257" s="8">
        <f>+MINVU_Mes_Corriente!CV257*SALUD_Mes_Constante!$CP$1</f>
        <v>0</v>
      </c>
      <c r="CW257" s="8">
        <f>+MINVU_Mes_Corriente!CW257*SALUD_Mes_Constante!$CP$1</f>
        <v>0</v>
      </c>
      <c r="CX257" s="8">
        <f>+MINVU_Mes_Corriente!CX257*SALUD_Mes_Constante!$CP$1</f>
        <v>0</v>
      </c>
      <c r="CY257" s="8">
        <f>+MINVU_Mes_Corriente!CY257*SALUD_Mes_Constante!$CP$1</f>
        <v>0</v>
      </c>
      <c r="CZ257" s="8">
        <f>+MINVU_Mes_Corriente!CZ257*SALUD_Mes_Constante!$CP$1</f>
        <v>0</v>
      </c>
      <c r="DA257" s="8">
        <f>+MINVU_Mes_Corriente!DA257*SALUD_Mes_Constante!$CP$1</f>
        <v>0</v>
      </c>
      <c r="DB257" s="9">
        <f t="shared" si="121"/>
        <v>0</v>
      </c>
      <c r="DC257" s="8">
        <f>+MINVU_Mes_Corriente!DC257*SALUD_Mes_Constante!$DC$1</f>
        <v>0</v>
      </c>
      <c r="DD257" s="8">
        <f>+MINVU_Mes_Corriente!DD257*SALUD_Mes_Constante!$DC$1</f>
        <v>0</v>
      </c>
      <c r="DE257" s="8">
        <f>+MINVU_Mes_Corriente!DE257*SALUD_Mes_Constante!$DC$1</f>
        <v>0</v>
      </c>
      <c r="DF257" s="8">
        <f>+MINVU_Mes_Corriente!DF257*SALUD_Mes_Constante!$DC$1</f>
        <v>0</v>
      </c>
      <c r="DG257" s="8">
        <f>+MINVU_Mes_Corriente!DG257*SALUD_Mes_Constante!$DC$1</f>
        <v>0</v>
      </c>
      <c r="DH257" s="8">
        <f>+MINVU_Mes_Corriente!DH257*SALUD_Mes_Constante!$DC$1</f>
        <v>0</v>
      </c>
      <c r="DI257" s="8">
        <f>+MINVU_Mes_Corriente!DI257*SALUD_Mes_Constante!$DC$1</f>
        <v>0</v>
      </c>
      <c r="DJ257" s="8">
        <f>+MINVU_Mes_Corriente!DJ257*SALUD_Mes_Constante!$DC$1</f>
        <v>0</v>
      </c>
      <c r="DK257" s="8">
        <f>+MINVU_Mes_Corriente!DK257*SALUD_Mes_Constante!$DC$1</f>
        <v>0</v>
      </c>
      <c r="DL257" s="8">
        <f>+MINVU_Mes_Corriente!DL257*SALUD_Mes_Constante!$DC$1</f>
        <v>0</v>
      </c>
      <c r="DM257" s="8">
        <f>+MINVU_Mes_Corriente!DM257*SALUD_Mes_Constante!$DC$1</f>
        <v>0</v>
      </c>
      <c r="DN257" s="8">
        <f>+MINVU_Mes_Corriente!DN257*SALUD_Mes_Constante!$DC$1</f>
        <v>0</v>
      </c>
      <c r="DO257" s="9">
        <f t="shared" si="122"/>
        <v>0</v>
      </c>
      <c r="DP257" s="8">
        <f>+MINVU_Mes_Corriente!DP257*SALUD_Mes_Constante!$DP$1</f>
        <v>0</v>
      </c>
      <c r="DQ257" s="8">
        <f>+MINVU_Mes_Corriente!DQ257*SALUD_Mes_Constante!$DP$1</f>
        <v>0</v>
      </c>
      <c r="DR257" s="8">
        <f>+MINVU_Mes_Corriente!DR257*SALUD_Mes_Constante!$DP$1</f>
        <v>0</v>
      </c>
      <c r="DS257" s="8">
        <f>+MINVU_Mes_Corriente!DS257*SALUD_Mes_Constante!$DP$1</f>
        <v>0</v>
      </c>
      <c r="DT257" s="8">
        <f>+MINVU_Mes_Corriente!DT257*SALUD_Mes_Constante!$DP$1</f>
        <v>0</v>
      </c>
      <c r="DU257" s="8">
        <f>+MINVU_Mes_Corriente!DU257*SALUD_Mes_Constante!$DP$1</f>
        <v>0</v>
      </c>
      <c r="DV257" s="8">
        <f>+MINVU_Mes_Corriente!DV257*SALUD_Mes_Constante!$DP$1</f>
        <v>0</v>
      </c>
      <c r="DW257" s="8">
        <f>+MINVU_Mes_Corriente!DW257*SALUD_Mes_Constante!$DP$1</f>
        <v>0</v>
      </c>
      <c r="DX257" s="8">
        <f>+MINVU_Mes_Corriente!DX257*SALUD_Mes_Constante!$DP$1</f>
        <v>0</v>
      </c>
      <c r="DY257" s="8">
        <f>+MINVU_Mes_Corriente!DY257*SALUD_Mes_Constante!$DP$1</f>
        <v>0</v>
      </c>
      <c r="DZ257" s="8">
        <f>+MINVU_Mes_Corriente!DZ257*SALUD_Mes_Constante!$DP$1</f>
        <v>0</v>
      </c>
      <c r="EA257" s="8">
        <f>+MINVU_Mes_Corriente!EA257*SALUD_Mes_Constante!$DP$1</f>
        <v>0</v>
      </c>
      <c r="EB257" s="9">
        <f t="shared" si="123"/>
        <v>0</v>
      </c>
      <c r="EC257" s="8">
        <f>+MINVU_Mes_Corriente!EC257*SALUD_Mes_Constante!$EC$1</f>
        <v>0</v>
      </c>
      <c r="ED257" s="8">
        <f>+MINVU_Mes_Corriente!ED257*SALUD_Mes_Constante!$EC$1</f>
        <v>0</v>
      </c>
      <c r="EE257" s="8">
        <f>+MINVU_Mes_Corriente!EE257*SALUD_Mes_Constante!$EC$1</f>
        <v>0</v>
      </c>
      <c r="EF257" s="8">
        <f>+MINVU_Mes_Corriente!EF257*SALUD_Mes_Constante!$EC$1</f>
        <v>0</v>
      </c>
      <c r="EG257" s="8">
        <f>+MINVU_Mes_Corriente!EG257*SALUD_Mes_Constante!$EC$1</f>
        <v>0</v>
      </c>
      <c r="EH257" s="8">
        <f>+MINVU_Mes_Corriente!EH257*SALUD_Mes_Constante!$EC$1</f>
        <v>0</v>
      </c>
      <c r="EI257" s="8">
        <f>+MINVU_Mes_Corriente!EI257*SALUD_Mes_Constante!$EC$1</f>
        <v>0</v>
      </c>
      <c r="EJ257" s="8">
        <f>+MINVU_Mes_Corriente!EJ257*SALUD_Mes_Constante!$EC$1</f>
        <v>0</v>
      </c>
      <c r="EK257" s="8">
        <f>+MINVU_Mes_Corriente!EK257*SALUD_Mes_Constante!$EC$1</f>
        <v>0</v>
      </c>
      <c r="EL257" s="8">
        <f>+MINVU_Mes_Corriente!EL257*SALUD_Mes_Constante!$EC$1</f>
        <v>0</v>
      </c>
      <c r="EM257" s="8">
        <f>+MINVU_Mes_Corriente!EM257*SALUD_Mes_Constante!$EC$1</f>
        <v>0</v>
      </c>
      <c r="EN257" s="8">
        <f>+MINVU_Mes_Corriente!EN257*SALUD_Mes_Constante!$EC$1</f>
        <v>0</v>
      </c>
      <c r="EO257" s="9">
        <f t="shared" si="124"/>
        <v>0</v>
      </c>
      <c r="EP257" s="8">
        <f>+MINVU_Mes_Corriente!EP257*SALUD_Mes_Constante!$EP$1</f>
        <v>0</v>
      </c>
      <c r="EQ257" s="8">
        <f>+MINVU_Mes_Corriente!EQ257*SALUD_Mes_Constante!$EP$1</f>
        <v>0</v>
      </c>
      <c r="ER257" s="8">
        <f>+MINVU_Mes_Corriente!ER257*SALUD_Mes_Constante!$EP$1</f>
        <v>0</v>
      </c>
      <c r="ES257" s="8">
        <f>+MINVU_Mes_Corriente!ES257*SALUD_Mes_Constante!$EP$1</f>
        <v>0</v>
      </c>
      <c r="ET257" s="8">
        <f>+MINVU_Mes_Corriente!ET257*SALUD_Mes_Constante!$EP$1</f>
        <v>0</v>
      </c>
      <c r="EU257" s="8">
        <f>+MINVU_Mes_Corriente!EU257*SALUD_Mes_Constante!$EP$1</f>
        <v>0</v>
      </c>
      <c r="EV257" s="8">
        <f>+MINVU_Mes_Corriente!EV257*SALUD_Mes_Constante!$EP$1</f>
        <v>0</v>
      </c>
      <c r="EW257" s="8">
        <f>+MINVU_Mes_Corriente!EW257*SALUD_Mes_Constante!$EP$1</f>
        <v>0</v>
      </c>
      <c r="EX257" s="8">
        <f>+MINVU_Mes_Corriente!EX257*SALUD_Mes_Constante!$EP$1</f>
        <v>0</v>
      </c>
      <c r="EY257" s="8">
        <f>+MINVU_Mes_Corriente!EY257*SALUD_Mes_Constante!$EP$1</f>
        <v>0</v>
      </c>
      <c r="EZ257" s="8">
        <f>+MINVU_Mes_Corriente!EZ257*SALUD_Mes_Constante!$EP$1</f>
        <v>0</v>
      </c>
      <c r="FA257" s="8">
        <f>+MINVU_Mes_Corriente!FA257*SALUD_Mes_Constante!$EP$1</f>
        <v>0</v>
      </c>
      <c r="FB257" s="9">
        <f t="shared" si="125"/>
        <v>0</v>
      </c>
      <c r="FC257" s="8">
        <f>+MINVU_Mes_Corriente!FC257*SALUD_Mes_Constante!$FC$1</f>
        <v>0</v>
      </c>
      <c r="FD257" s="8">
        <f>+MINVU_Mes_Corriente!FD257*SALUD_Mes_Constante!$FC$1</f>
        <v>0</v>
      </c>
      <c r="FE257" s="8">
        <f>+MINVU_Mes_Corriente!FE257*SALUD_Mes_Constante!$FC$1</f>
        <v>0</v>
      </c>
      <c r="FF257" s="8">
        <f>+MINVU_Mes_Corriente!FF257*SALUD_Mes_Constante!$FC$1</f>
        <v>0</v>
      </c>
      <c r="FG257" s="8">
        <f>+MINVU_Mes_Corriente!FG257*SALUD_Mes_Constante!$FC$1</f>
        <v>0</v>
      </c>
      <c r="FH257" s="8">
        <f>+MINVU_Mes_Corriente!FH257*SALUD_Mes_Constante!$FC$1</f>
        <v>0</v>
      </c>
      <c r="FI257" s="8">
        <f>+MINVU_Mes_Corriente!FI257*SALUD_Mes_Constante!$FC$1</f>
        <v>0</v>
      </c>
      <c r="FJ257" s="8"/>
      <c r="FK257" s="8"/>
      <c r="FL257" s="8"/>
      <c r="FM257" s="8"/>
      <c r="FN257" s="8"/>
      <c r="FO257" s="9">
        <f t="shared" si="126"/>
        <v>0</v>
      </c>
    </row>
    <row r="258" spans="2:171" ht="14.25" customHeight="1" x14ac:dyDescent="0.3">
      <c r="B258" s="35" t="s">
        <v>71</v>
      </c>
      <c r="C258" s="8">
        <f>+MINVU_Mes_Corriente!C258*SALUD_Mes_Constante!$C$1</f>
        <v>0</v>
      </c>
      <c r="D258" s="8">
        <f>+MINVU_Mes_Corriente!D258*SALUD_Mes_Constante!$C$1</f>
        <v>0</v>
      </c>
      <c r="E258" s="8">
        <f>+MINVU_Mes_Corriente!E258*SALUD_Mes_Constante!$C$1</f>
        <v>0</v>
      </c>
      <c r="F258" s="8">
        <f>+MINVU_Mes_Corriente!F258*SALUD_Mes_Constante!$C$1</f>
        <v>0</v>
      </c>
      <c r="G258" s="8">
        <f>+MINVU_Mes_Corriente!G258*SALUD_Mes_Constante!$C$1</f>
        <v>0</v>
      </c>
      <c r="H258" s="8">
        <f>+MINVU_Mes_Corriente!H258*SALUD_Mes_Constante!$C$1</f>
        <v>0</v>
      </c>
      <c r="I258" s="8">
        <f>+MINVU_Mes_Corriente!I258*SALUD_Mes_Constante!$C$1</f>
        <v>0</v>
      </c>
      <c r="J258" s="8">
        <f>+MINVU_Mes_Corriente!J258*SALUD_Mes_Constante!$C$1</f>
        <v>0</v>
      </c>
      <c r="K258" s="8">
        <f>+MINVU_Mes_Corriente!K258*SALUD_Mes_Constante!$C$1</f>
        <v>0</v>
      </c>
      <c r="L258" s="8">
        <f>+MINVU_Mes_Corriente!L258*SALUD_Mes_Constante!$C$1</f>
        <v>0</v>
      </c>
      <c r="M258" s="8">
        <f>+MINVU_Mes_Corriente!M258*SALUD_Mes_Constante!$C$1</f>
        <v>0</v>
      </c>
      <c r="N258" s="8">
        <f>+MINVU_Mes_Corriente!N258*SALUD_Mes_Constante!$C$1</f>
        <v>0</v>
      </c>
      <c r="O258" s="9">
        <f t="shared" si="114"/>
        <v>0</v>
      </c>
      <c r="P258" s="8">
        <f>+MINVU_Mes_Corriente!P258*SALUD_Mes_Constante!$P$1</f>
        <v>0</v>
      </c>
      <c r="Q258" s="8">
        <f>+MINVU_Mes_Corriente!Q258*SALUD_Mes_Constante!$P$1</f>
        <v>0</v>
      </c>
      <c r="R258" s="8">
        <f>+MINVU_Mes_Corriente!R258*SALUD_Mes_Constante!$P$1</f>
        <v>0</v>
      </c>
      <c r="S258" s="8">
        <f>+MINVU_Mes_Corriente!S258*SALUD_Mes_Constante!$P$1</f>
        <v>0</v>
      </c>
      <c r="T258" s="8">
        <f>+MINVU_Mes_Corriente!T258*SALUD_Mes_Constante!$P$1</f>
        <v>0</v>
      </c>
      <c r="U258" s="8">
        <f>+MINVU_Mes_Corriente!U258*SALUD_Mes_Constante!$P$1</f>
        <v>0</v>
      </c>
      <c r="V258" s="8">
        <f>+MINVU_Mes_Corriente!V258*SALUD_Mes_Constante!$P$1</f>
        <v>0</v>
      </c>
      <c r="W258" s="8">
        <f>+MINVU_Mes_Corriente!W258*SALUD_Mes_Constante!$P$1</f>
        <v>0</v>
      </c>
      <c r="X258" s="8">
        <f>+MINVU_Mes_Corriente!X258*SALUD_Mes_Constante!$P$1</f>
        <v>0</v>
      </c>
      <c r="Y258" s="8">
        <f>+MINVU_Mes_Corriente!Y258*SALUD_Mes_Constante!$P$1</f>
        <v>0</v>
      </c>
      <c r="Z258" s="8">
        <f>+MINVU_Mes_Corriente!Z258*SALUD_Mes_Constante!$P$1</f>
        <v>0</v>
      </c>
      <c r="AA258" s="8">
        <f>+MINVU_Mes_Corriente!AA258*SALUD_Mes_Constante!$P$1</f>
        <v>0</v>
      </c>
      <c r="AB258" s="9">
        <f t="shared" si="115"/>
        <v>0</v>
      </c>
      <c r="AC258" s="8">
        <f>+MINVU_Mes_Corriente!AC258*SALUD_Mes_Constante!$AC$1</f>
        <v>0</v>
      </c>
      <c r="AD258" s="8">
        <f>+MINVU_Mes_Corriente!AD258*SALUD_Mes_Constante!$AC$1</f>
        <v>0</v>
      </c>
      <c r="AE258" s="8">
        <f>+MINVU_Mes_Corriente!AE258*SALUD_Mes_Constante!$AC$1</f>
        <v>0</v>
      </c>
      <c r="AF258" s="8">
        <f>+MINVU_Mes_Corriente!AF258*SALUD_Mes_Constante!$AC$1</f>
        <v>0</v>
      </c>
      <c r="AG258" s="8">
        <f>+MINVU_Mes_Corriente!AG258*SALUD_Mes_Constante!$AC$1</f>
        <v>0</v>
      </c>
      <c r="AH258" s="8">
        <f>+MINVU_Mes_Corriente!AH258*SALUD_Mes_Constante!$AC$1</f>
        <v>0</v>
      </c>
      <c r="AI258" s="8">
        <f>+MINVU_Mes_Corriente!AI258*SALUD_Mes_Constante!$AC$1</f>
        <v>0</v>
      </c>
      <c r="AJ258" s="8">
        <f>+MINVU_Mes_Corriente!AJ258*SALUD_Mes_Constante!$AC$1</f>
        <v>0</v>
      </c>
      <c r="AK258" s="8">
        <f>+MINVU_Mes_Corriente!AK258*SALUD_Mes_Constante!$AC$1</f>
        <v>0</v>
      </c>
      <c r="AL258" s="8">
        <f>+MINVU_Mes_Corriente!AL258*SALUD_Mes_Constante!$AC$1</f>
        <v>0</v>
      </c>
      <c r="AM258" s="8">
        <f>+MINVU_Mes_Corriente!AM258*SALUD_Mes_Constante!$AC$1</f>
        <v>0</v>
      </c>
      <c r="AN258" s="8">
        <f>+MINVU_Mes_Corriente!AN258*SALUD_Mes_Constante!$AC$1</f>
        <v>0</v>
      </c>
      <c r="AO258" s="9">
        <f t="shared" si="116"/>
        <v>0</v>
      </c>
      <c r="AP258" s="8">
        <f>+MINVU_Mes_Corriente!AP258*SALUD_Mes_Constante!$AP$1</f>
        <v>0</v>
      </c>
      <c r="AQ258" s="8">
        <f>+MINVU_Mes_Corriente!AQ258*SALUD_Mes_Constante!$AP$1</f>
        <v>0</v>
      </c>
      <c r="AR258" s="8">
        <f>+MINVU_Mes_Corriente!AR258*SALUD_Mes_Constante!$AP$1</f>
        <v>0</v>
      </c>
      <c r="AS258" s="8">
        <f>+MINVU_Mes_Corriente!AS258*SALUD_Mes_Constante!$AP$1</f>
        <v>0</v>
      </c>
      <c r="AT258" s="8">
        <f>+MINVU_Mes_Corriente!AT258*SALUD_Mes_Constante!$AP$1</f>
        <v>0</v>
      </c>
      <c r="AU258" s="8">
        <f>+MINVU_Mes_Corriente!AU258*SALUD_Mes_Constante!$AP$1</f>
        <v>0</v>
      </c>
      <c r="AV258" s="8">
        <f>+MINVU_Mes_Corriente!AV258*SALUD_Mes_Constante!$AP$1</f>
        <v>0</v>
      </c>
      <c r="AW258" s="8">
        <f>+MINVU_Mes_Corriente!AW258*SALUD_Mes_Constante!$AP$1</f>
        <v>0</v>
      </c>
      <c r="AX258" s="8">
        <f>+MINVU_Mes_Corriente!AX258*SALUD_Mes_Constante!$AP$1</f>
        <v>0</v>
      </c>
      <c r="AY258" s="8">
        <f>+MINVU_Mes_Corriente!AY258*SALUD_Mes_Constante!$AP$1</f>
        <v>0</v>
      </c>
      <c r="AZ258" s="8">
        <f>+MINVU_Mes_Corriente!AZ258*SALUD_Mes_Constante!$AP$1</f>
        <v>0</v>
      </c>
      <c r="BA258" s="8">
        <f>+MINVU_Mes_Corriente!BA258*SALUD_Mes_Constante!$AP$1</f>
        <v>0</v>
      </c>
      <c r="BB258" s="9">
        <f t="shared" si="117"/>
        <v>0</v>
      </c>
      <c r="BC258" s="8">
        <f>+MINVU_Mes_Corriente!BC258*SALUD_Mes_Constante!$BC$1</f>
        <v>0</v>
      </c>
      <c r="BD258" s="8">
        <f>+MINVU_Mes_Corriente!BD258*SALUD_Mes_Constante!$BC$1</f>
        <v>0</v>
      </c>
      <c r="BE258" s="8">
        <f>+MINVU_Mes_Corriente!BE258*SALUD_Mes_Constante!$BC$1</f>
        <v>0</v>
      </c>
      <c r="BF258" s="8">
        <f>+MINVU_Mes_Corriente!BF258*SALUD_Mes_Constante!$BC$1</f>
        <v>0</v>
      </c>
      <c r="BG258" s="8">
        <f>+MINVU_Mes_Corriente!BG258*SALUD_Mes_Constante!$BC$1</f>
        <v>0</v>
      </c>
      <c r="BH258" s="8">
        <f>+MINVU_Mes_Corriente!BH258*SALUD_Mes_Constante!$BC$1</f>
        <v>0</v>
      </c>
      <c r="BI258" s="8">
        <f>+MINVU_Mes_Corriente!BI258*SALUD_Mes_Constante!$BC$1</f>
        <v>0</v>
      </c>
      <c r="BJ258" s="8">
        <f>+MINVU_Mes_Corriente!BJ258*SALUD_Mes_Constante!$BC$1</f>
        <v>0</v>
      </c>
      <c r="BK258" s="8">
        <f>+MINVU_Mes_Corriente!BK258*SALUD_Mes_Constante!$BC$1</f>
        <v>0</v>
      </c>
      <c r="BL258" s="8">
        <f>+MINVU_Mes_Corriente!BL258*SALUD_Mes_Constante!$BC$1</f>
        <v>0</v>
      </c>
      <c r="BM258" s="8">
        <f>+MINVU_Mes_Corriente!BM258*SALUD_Mes_Constante!$BC$1</f>
        <v>0</v>
      </c>
      <c r="BN258" s="8">
        <f>+MINVU_Mes_Corriente!BN258*SALUD_Mes_Constante!$BC$1</f>
        <v>0</v>
      </c>
      <c r="BO258" s="9">
        <f t="shared" si="118"/>
        <v>0</v>
      </c>
      <c r="BP258" s="8">
        <f>+MINVU_Mes_Corriente!BP258*SALUD_Mes_Constante!$BP$1</f>
        <v>0</v>
      </c>
      <c r="BQ258" s="8">
        <f>+MINVU_Mes_Corriente!BQ258*SALUD_Mes_Constante!$BP$1</f>
        <v>0</v>
      </c>
      <c r="BR258" s="8">
        <f>+MINVU_Mes_Corriente!BR258*SALUD_Mes_Constante!$BP$1</f>
        <v>0</v>
      </c>
      <c r="BS258" s="8">
        <f>+MINVU_Mes_Corriente!BS258*SALUD_Mes_Constante!$BP$1</f>
        <v>0</v>
      </c>
      <c r="BT258" s="8">
        <f>+MINVU_Mes_Corriente!BT258*SALUD_Mes_Constante!$BP$1</f>
        <v>0</v>
      </c>
      <c r="BU258" s="8">
        <f>+MINVU_Mes_Corriente!BU258*SALUD_Mes_Constante!$BP$1</f>
        <v>0</v>
      </c>
      <c r="BV258" s="8">
        <f>+MINVU_Mes_Corriente!BV258*SALUD_Mes_Constante!$BP$1</f>
        <v>0</v>
      </c>
      <c r="BW258" s="8">
        <f>+MINVU_Mes_Corriente!BW258*SALUD_Mes_Constante!$BP$1</f>
        <v>0</v>
      </c>
      <c r="BX258" s="8">
        <f>+MINVU_Mes_Corriente!BX258*SALUD_Mes_Constante!$BP$1</f>
        <v>0</v>
      </c>
      <c r="BY258" s="8">
        <f>+MINVU_Mes_Corriente!BY258*SALUD_Mes_Constante!$BP$1</f>
        <v>0</v>
      </c>
      <c r="BZ258" s="8">
        <f>+MINVU_Mes_Corriente!BZ258*SALUD_Mes_Constante!$BP$1</f>
        <v>0</v>
      </c>
      <c r="CA258" s="8">
        <f>+MINVU_Mes_Corriente!CA258*SALUD_Mes_Constante!$BP$1</f>
        <v>0</v>
      </c>
      <c r="CB258" s="9">
        <f t="shared" si="119"/>
        <v>0</v>
      </c>
      <c r="CC258" s="8">
        <f>+MINVU_Mes_Corriente!CC258*SALUD_Mes_Constante!$CC$1</f>
        <v>0</v>
      </c>
      <c r="CD258" s="8">
        <f>+MINVU_Mes_Corriente!CD258*SALUD_Mes_Constante!$CC$1</f>
        <v>0</v>
      </c>
      <c r="CE258" s="8">
        <f>+MINVU_Mes_Corriente!CE258*SALUD_Mes_Constante!$CC$1</f>
        <v>0</v>
      </c>
      <c r="CF258" s="8">
        <f>+MINVU_Mes_Corriente!CF258*SALUD_Mes_Constante!$CC$1</f>
        <v>0</v>
      </c>
      <c r="CG258" s="8">
        <f>+MINVU_Mes_Corriente!CG258*SALUD_Mes_Constante!$CC$1</f>
        <v>0</v>
      </c>
      <c r="CH258" s="8">
        <f>+MINVU_Mes_Corriente!CH258*SALUD_Mes_Constante!$CC$1</f>
        <v>0</v>
      </c>
      <c r="CI258" s="8">
        <f>+MINVU_Mes_Corriente!CI258*SALUD_Mes_Constante!$CC$1</f>
        <v>0</v>
      </c>
      <c r="CJ258" s="8">
        <f>+MINVU_Mes_Corriente!CJ258*SALUD_Mes_Constante!$CC$1</f>
        <v>0</v>
      </c>
      <c r="CK258" s="8">
        <f>+MINVU_Mes_Corriente!CK258*SALUD_Mes_Constante!$CC$1</f>
        <v>0</v>
      </c>
      <c r="CL258" s="8">
        <f>+MINVU_Mes_Corriente!CL258*SALUD_Mes_Constante!$CC$1</f>
        <v>0</v>
      </c>
      <c r="CM258" s="8">
        <f>+MINVU_Mes_Corriente!CM258*SALUD_Mes_Constante!$CC$1</f>
        <v>0</v>
      </c>
      <c r="CN258" s="8">
        <f>+MINVU_Mes_Corriente!CN258*SALUD_Mes_Constante!$CC$1</f>
        <v>0</v>
      </c>
      <c r="CO258" s="9">
        <f t="shared" si="120"/>
        <v>0</v>
      </c>
      <c r="CP258" s="8">
        <f>+MINVU_Mes_Corriente!CP258*SALUD_Mes_Constante!$CP$1</f>
        <v>0</v>
      </c>
      <c r="CQ258" s="8">
        <f>+MINVU_Mes_Corriente!CQ258*SALUD_Mes_Constante!$CP$1</f>
        <v>0</v>
      </c>
      <c r="CR258" s="8">
        <f>+MINVU_Mes_Corriente!CR258*SALUD_Mes_Constante!$CP$1</f>
        <v>0</v>
      </c>
      <c r="CS258" s="8">
        <f>+MINVU_Mes_Corriente!CS258*SALUD_Mes_Constante!$CP$1</f>
        <v>0</v>
      </c>
      <c r="CT258" s="8">
        <f>+MINVU_Mes_Corriente!CT258*SALUD_Mes_Constante!$CP$1</f>
        <v>0</v>
      </c>
      <c r="CU258" s="8">
        <f>+MINVU_Mes_Corriente!CU258*SALUD_Mes_Constante!$CP$1</f>
        <v>0</v>
      </c>
      <c r="CV258" s="8">
        <f>+MINVU_Mes_Corriente!CV258*SALUD_Mes_Constante!$CP$1</f>
        <v>0</v>
      </c>
      <c r="CW258" s="8">
        <f>+MINVU_Mes_Corriente!CW258*SALUD_Mes_Constante!$CP$1</f>
        <v>0</v>
      </c>
      <c r="CX258" s="8">
        <f>+MINVU_Mes_Corriente!CX258*SALUD_Mes_Constante!$CP$1</f>
        <v>0</v>
      </c>
      <c r="CY258" s="8">
        <f>+MINVU_Mes_Corriente!CY258*SALUD_Mes_Constante!$CP$1</f>
        <v>0</v>
      </c>
      <c r="CZ258" s="8">
        <f>+MINVU_Mes_Corriente!CZ258*SALUD_Mes_Constante!$CP$1</f>
        <v>0</v>
      </c>
      <c r="DA258" s="8">
        <f>+MINVU_Mes_Corriente!DA258*SALUD_Mes_Constante!$CP$1</f>
        <v>0</v>
      </c>
      <c r="DB258" s="9">
        <f t="shared" si="121"/>
        <v>0</v>
      </c>
      <c r="DC258" s="8">
        <f>+MINVU_Mes_Corriente!DC258*SALUD_Mes_Constante!$DC$1</f>
        <v>0</v>
      </c>
      <c r="DD258" s="8">
        <f>+MINVU_Mes_Corriente!DD258*SALUD_Mes_Constante!$DC$1</f>
        <v>0</v>
      </c>
      <c r="DE258" s="8">
        <f>+MINVU_Mes_Corriente!DE258*SALUD_Mes_Constante!$DC$1</f>
        <v>0</v>
      </c>
      <c r="DF258" s="8">
        <f>+MINVU_Mes_Corriente!DF258*SALUD_Mes_Constante!$DC$1</f>
        <v>0</v>
      </c>
      <c r="DG258" s="8">
        <f>+MINVU_Mes_Corriente!DG258*SALUD_Mes_Constante!$DC$1</f>
        <v>0</v>
      </c>
      <c r="DH258" s="8">
        <f>+MINVU_Mes_Corriente!DH258*SALUD_Mes_Constante!$DC$1</f>
        <v>0</v>
      </c>
      <c r="DI258" s="8">
        <f>+MINVU_Mes_Corriente!DI258*SALUD_Mes_Constante!$DC$1</f>
        <v>0</v>
      </c>
      <c r="DJ258" s="8">
        <f>+MINVU_Mes_Corriente!DJ258*SALUD_Mes_Constante!$DC$1</f>
        <v>0</v>
      </c>
      <c r="DK258" s="8">
        <f>+MINVU_Mes_Corriente!DK258*SALUD_Mes_Constante!$DC$1</f>
        <v>0</v>
      </c>
      <c r="DL258" s="8">
        <f>+MINVU_Mes_Corriente!DL258*SALUD_Mes_Constante!$DC$1</f>
        <v>0</v>
      </c>
      <c r="DM258" s="8">
        <f>+MINVU_Mes_Corriente!DM258*SALUD_Mes_Constante!$DC$1</f>
        <v>0</v>
      </c>
      <c r="DN258" s="8">
        <f>+MINVU_Mes_Corriente!DN258*SALUD_Mes_Constante!$DC$1</f>
        <v>0</v>
      </c>
      <c r="DO258" s="9">
        <f t="shared" si="122"/>
        <v>0</v>
      </c>
      <c r="DP258" s="8">
        <f>+MINVU_Mes_Corriente!DP258*SALUD_Mes_Constante!$DP$1</f>
        <v>0</v>
      </c>
      <c r="DQ258" s="8">
        <f>+MINVU_Mes_Corriente!DQ258*SALUD_Mes_Constante!$DP$1</f>
        <v>0</v>
      </c>
      <c r="DR258" s="8">
        <f>+MINVU_Mes_Corriente!DR258*SALUD_Mes_Constante!$DP$1</f>
        <v>0</v>
      </c>
      <c r="DS258" s="8">
        <f>+MINVU_Mes_Corriente!DS258*SALUD_Mes_Constante!$DP$1</f>
        <v>0</v>
      </c>
      <c r="DT258" s="8">
        <f>+MINVU_Mes_Corriente!DT258*SALUD_Mes_Constante!$DP$1</f>
        <v>0</v>
      </c>
      <c r="DU258" s="8">
        <f>+MINVU_Mes_Corriente!DU258*SALUD_Mes_Constante!$DP$1</f>
        <v>0</v>
      </c>
      <c r="DV258" s="8">
        <f>+MINVU_Mes_Corriente!DV258*SALUD_Mes_Constante!$DP$1</f>
        <v>0</v>
      </c>
      <c r="DW258" s="8">
        <f>+MINVU_Mes_Corriente!DW258*SALUD_Mes_Constante!$DP$1</f>
        <v>0</v>
      </c>
      <c r="DX258" s="8">
        <f>+MINVU_Mes_Corriente!DX258*SALUD_Mes_Constante!$DP$1</f>
        <v>0</v>
      </c>
      <c r="DY258" s="8">
        <f>+MINVU_Mes_Corriente!DY258*SALUD_Mes_Constante!$DP$1</f>
        <v>0</v>
      </c>
      <c r="DZ258" s="8">
        <f>+MINVU_Mes_Corriente!DZ258*SALUD_Mes_Constante!$DP$1</f>
        <v>0</v>
      </c>
      <c r="EA258" s="8">
        <f>+MINVU_Mes_Corriente!EA258*SALUD_Mes_Constante!$DP$1</f>
        <v>0</v>
      </c>
      <c r="EB258" s="9">
        <f t="shared" si="123"/>
        <v>0</v>
      </c>
      <c r="EC258" s="8">
        <f>+MINVU_Mes_Corriente!EC258*SALUD_Mes_Constante!$EC$1</f>
        <v>0</v>
      </c>
      <c r="ED258" s="8">
        <f>+MINVU_Mes_Corriente!ED258*SALUD_Mes_Constante!$EC$1</f>
        <v>0</v>
      </c>
      <c r="EE258" s="8">
        <f>+MINVU_Mes_Corriente!EE258*SALUD_Mes_Constante!$EC$1</f>
        <v>0</v>
      </c>
      <c r="EF258" s="8">
        <f>+MINVU_Mes_Corriente!EF258*SALUD_Mes_Constante!$EC$1</f>
        <v>0</v>
      </c>
      <c r="EG258" s="8">
        <f>+MINVU_Mes_Corriente!EG258*SALUD_Mes_Constante!$EC$1</f>
        <v>0</v>
      </c>
      <c r="EH258" s="8">
        <f>+MINVU_Mes_Corriente!EH258*SALUD_Mes_Constante!$EC$1</f>
        <v>0</v>
      </c>
      <c r="EI258" s="8">
        <f>+MINVU_Mes_Corriente!EI258*SALUD_Mes_Constante!$EC$1</f>
        <v>0</v>
      </c>
      <c r="EJ258" s="8">
        <f>+MINVU_Mes_Corriente!EJ258*SALUD_Mes_Constante!$EC$1</f>
        <v>0</v>
      </c>
      <c r="EK258" s="8">
        <f>+MINVU_Mes_Corriente!EK258*SALUD_Mes_Constante!$EC$1</f>
        <v>0</v>
      </c>
      <c r="EL258" s="8">
        <f>+MINVU_Mes_Corriente!EL258*SALUD_Mes_Constante!$EC$1</f>
        <v>0</v>
      </c>
      <c r="EM258" s="8">
        <f>+MINVU_Mes_Corriente!EM258*SALUD_Mes_Constante!$EC$1</f>
        <v>0</v>
      </c>
      <c r="EN258" s="8">
        <f>+MINVU_Mes_Corriente!EN258*SALUD_Mes_Constante!$EC$1</f>
        <v>0</v>
      </c>
      <c r="EO258" s="9">
        <f t="shared" si="124"/>
        <v>0</v>
      </c>
      <c r="EP258" s="8">
        <f>+MINVU_Mes_Corriente!EP258*SALUD_Mes_Constante!$EP$1</f>
        <v>0</v>
      </c>
      <c r="EQ258" s="8">
        <f>+MINVU_Mes_Corriente!EQ258*SALUD_Mes_Constante!$EP$1</f>
        <v>0</v>
      </c>
      <c r="ER258" s="8">
        <f>+MINVU_Mes_Corriente!ER258*SALUD_Mes_Constante!$EP$1</f>
        <v>0</v>
      </c>
      <c r="ES258" s="8">
        <f>+MINVU_Mes_Corriente!ES258*SALUD_Mes_Constante!$EP$1</f>
        <v>0</v>
      </c>
      <c r="ET258" s="8">
        <f>+MINVU_Mes_Corriente!ET258*SALUD_Mes_Constante!$EP$1</f>
        <v>0</v>
      </c>
      <c r="EU258" s="8">
        <f>+MINVU_Mes_Corriente!EU258*SALUD_Mes_Constante!$EP$1</f>
        <v>0</v>
      </c>
      <c r="EV258" s="8">
        <f>+MINVU_Mes_Corriente!EV258*SALUD_Mes_Constante!$EP$1</f>
        <v>0</v>
      </c>
      <c r="EW258" s="8">
        <f>+MINVU_Mes_Corriente!EW258*SALUD_Mes_Constante!$EP$1</f>
        <v>0</v>
      </c>
      <c r="EX258" s="8">
        <f>+MINVU_Mes_Corriente!EX258*SALUD_Mes_Constante!$EP$1</f>
        <v>0</v>
      </c>
      <c r="EY258" s="8">
        <f>+MINVU_Mes_Corriente!EY258*SALUD_Mes_Constante!$EP$1</f>
        <v>0</v>
      </c>
      <c r="EZ258" s="8">
        <f>+MINVU_Mes_Corriente!EZ258*SALUD_Mes_Constante!$EP$1</f>
        <v>0</v>
      </c>
      <c r="FA258" s="8">
        <f>+MINVU_Mes_Corriente!FA258*SALUD_Mes_Constante!$EP$1</f>
        <v>0</v>
      </c>
      <c r="FB258" s="9">
        <f t="shared" si="125"/>
        <v>0</v>
      </c>
      <c r="FC258" s="8">
        <f>+MINVU_Mes_Corriente!FC258*SALUD_Mes_Constante!$FC$1</f>
        <v>0</v>
      </c>
      <c r="FD258" s="8">
        <f>+MINVU_Mes_Corriente!FD258*SALUD_Mes_Constante!$FC$1</f>
        <v>0</v>
      </c>
      <c r="FE258" s="8">
        <f>+MINVU_Mes_Corriente!FE258*SALUD_Mes_Constante!$FC$1</f>
        <v>0</v>
      </c>
      <c r="FF258" s="8">
        <f>+MINVU_Mes_Corriente!FF258*SALUD_Mes_Constante!$FC$1</f>
        <v>0</v>
      </c>
      <c r="FG258" s="8">
        <f>+MINVU_Mes_Corriente!FG258*SALUD_Mes_Constante!$FC$1</f>
        <v>0</v>
      </c>
      <c r="FH258" s="8">
        <f>+MINVU_Mes_Corriente!FH258*SALUD_Mes_Constante!$FC$1</f>
        <v>0</v>
      </c>
      <c r="FI258" s="8">
        <f>+MINVU_Mes_Corriente!FI258*SALUD_Mes_Constante!$FC$1</f>
        <v>0</v>
      </c>
      <c r="FJ258" s="8"/>
      <c r="FK258" s="8"/>
      <c r="FL258" s="8"/>
      <c r="FM258" s="8"/>
      <c r="FN258" s="8"/>
      <c r="FO258" s="9">
        <f t="shared" si="126"/>
        <v>0</v>
      </c>
    </row>
    <row r="259" spans="2:171" ht="14.25" customHeight="1" x14ac:dyDescent="0.3">
      <c r="B259" s="35" t="s">
        <v>72</v>
      </c>
      <c r="C259" s="8">
        <f>+MINVU_Mes_Corriente!C259*SALUD_Mes_Constante!$C$1</f>
        <v>0</v>
      </c>
      <c r="D259" s="8">
        <f>+MINVU_Mes_Corriente!D259*SALUD_Mes_Constante!$C$1</f>
        <v>0</v>
      </c>
      <c r="E259" s="8">
        <f>+MINVU_Mes_Corriente!E259*SALUD_Mes_Constante!$C$1</f>
        <v>0</v>
      </c>
      <c r="F259" s="8">
        <f>+MINVU_Mes_Corriente!F259*SALUD_Mes_Constante!$C$1</f>
        <v>0</v>
      </c>
      <c r="G259" s="8">
        <f>+MINVU_Mes_Corriente!G259*SALUD_Mes_Constante!$C$1</f>
        <v>0</v>
      </c>
      <c r="H259" s="8">
        <f>+MINVU_Mes_Corriente!H259*SALUD_Mes_Constante!$C$1</f>
        <v>0</v>
      </c>
      <c r="I259" s="8">
        <f>+MINVU_Mes_Corriente!I259*SALUD_Mes_Constante!$C$1</f>
        <v>0</v>
      </c>
      <c r="J259" s="8">
        <f>+MINVU_Mes_Corriente!J259*SALUD_Mes_Constante!$C$1</f>
        <v>0</v>
      </c>
      <c r="K259" s="8">
        <f>+MINVU_Mes_Corriente!K259*SALUD_Mes_Constante!$C$1</f>
        <v>0</v>
      </c>
      <c r="L259" s="8">
        <f>+MINVU_Mes_Corriente!L259*SALUD_Mes_Constante!$C$1</f>
        <v>0</v>
      </c>
      <c r="M259" s="8">
        <f>+MINVU_Mes_Corriente!M259*SALUD_Mes_Constante!$C$1</f>
        <v>0</v>
      </c>
      <c r="N259" s="8">
        <f>+MINVU_Mes_Corriente!N259*SALUD_Mes_Constante!$C$1</f>
        <v>0</v>
      </c>
      <c r="O259" s="9">
        <f t="shared" si="114"/>
        <v>0</v>
      </c>
      <c r="P259" s="8">
        <f>+MINVU_Mes_Corriente!P259*SALUD_Mes_Constante!$P$1</f>
        <v>0</v>
      </c>
      <c r="Q259" s="8">
        <f>+MINVU_Mes_Corriente!Q259*SALUD_Mes_Constante!$P$1</f>
        <v>0</v>
      </c>
      <c r="R259" s="8">
        <f>+MINVU_Mes_Corriente!R259*SALUD_Mes_Constante!$P$1</f>
        <v>0</v>
      </c>
      <c r="S259" s="8">
        <f>+MINVU_Mes_Corriente!S259*SALUD_Mes_Constante!$P$1</f>
        <v>0</v>
      </c>
      <c r="T259" s="8">
        <f>+MINVU_Mes_Corriente!T259*SALUD_Mes_Constante!$P$1</f>
        <v>0</v>
      </c>
      <c r="U259" s="8">
        <f>+MINVU_Mes_Corriente!U259*SALUD_Mes_Constante!$P$1</f>
        <v>0</v>
      </c>
      <c r="V259" s="8">
        <f>+MINVU_Mes_Corriente!V259*SALUD_Mes_Constante!$P$1</f>
        <v>0</v>
      </c>
      <c r="W259" s="8">
        <f>+MINVU_Mes_Corriente!W259*SALUD_Mes_Constante!$P$1</f>
        <v>0</v>
      </c>
      <c r="X259" s="8">
        <f>+MINVU_Mes_Corriente!X259*SALUD_Mes_Constante!$P$1</f>
        <v>0</v>
      </c>
      <c r="Y259" s="8">
        <f>+MINVU_Mes_Corriente!Y259*SALUD_Mes_Constante!$P$1</f>
        <v>0</v>
      </c>
      <c r="Z259" s="8">
        <f>+MINVU_Mes_Corriente!Z259*SALUD_Mes_Constante!$P$1</f>
        <v>0</v>
      </c>
      <c r="AA259" s="8">
        <f>+MINVU_Mes_Corriente!AA259*SALUD_Mes_Constante!$P$1</f>
        <v>0</v>
      </c>
      <c r="AB259" s="9">
        <f t="shared" si="115"/>
        <v>0</v>
      </c>
      <c r="AC259" s="8">
        <f>+MINVU_Mes_Corriente!AC259*SALUD_Mes_Constante!$AC$1</f>
        <v>0</v>
      </c>
      <c r="AD259" s="8">
        <f>+MINVU_Mes_Corriente!AD259*SALUD_Mes_Constante!$AC$1</f>
        <v>0</v>
      </c>
      <c r="AE259" s="8">
        <f>+MINVU_Mes_Corriente!AE259*SALUD_Mes_Constante!$AC$1</f>
        <v>0</v>
      </c>
      <c r="AF259" s="8">
        <f>+MINVU_Mes_Corriente!AF259*SALUD_Mes_Constante!$AC$1</f>
        <v>0</v>
      </c>
      <c r="AG259" s="8">
        <f>+MINVU_Mes_Corriente!AG259*SALUD_Mes_Constante!$AC$1</f>
        <v>0</v>
      </c>
      <c r="AH259" s="8">
        <f>+MINVU_Mes_Corriente!AH259*SALUD_Mes_Constante!$AC$1</f>
        <v>0</v>
      </c>
      <c r="AI259" s="8">
        <f>+MINVU_Mes_Corriente!AI259*SALUD_Mes_Constante!$AC$1</f>
        <v>0</v>
      </c>
      <c r="AJ259" s="8">
        <f>+MINVU_Mes_Corriente!AJ259*SALUD_Mes_Constante!$AC$1</f>
        <v>0</v>
      </c>
      <c r="AK259" s="8">
        <f>+MINVU_Mes_Corriente!AK259*SALUD_Mes_Constante!$AC$1</f>
        <v>0</v>
      </c>
      <c r="AL259" s="8">
        <f>+MINVU_Mes_Corriente!AL259*SALUD_Mes_Constante!$AC$1</f>
        <v>0</v>
      </c>
      <c r="AM259" s="8">
        <f>+MINVU_Mes_Corriente!AM259*SALUD_Mes_Constante!$AC$1</f>
        <v>0</v>
      </c>
      <c r="AN259" s="8">
        <f>+MINVU_Mes_Corriente!AN259*SALUD_Mes_Constante!$AC$1</f>
        <v>0</v>
      </c>
      <c r="AO259" s="9">
        <f t="shared" si="116"/>
        <v>0</v>
      </c>
      <c r="AP259" s="8">
        <f>+MINVU_Mes_Corriente!AP259*SALUD_Mes_Constante!$AP$1</f>
        <v>0</v>
      </c>
      <c r="AQ259" s="8">
        <f>+MINVU_Mes_Corriente!AQ259*SALUD_Mes_Constante!$AP$1</f>
        <v>0</v>
      </c>
      <c r="AR259" s="8">
        <f>+MINVU_Mes_Corriente!AR259*SALUD_Mes_Constante!$AP$1</f>
        <v>0</v>
      </c>
      <c r="AS259" s="8">
        <f>+MINVU_Mes_Corriente!AS259*SALUD_Mes_Constante!$AP$1</f>
        <v>0</v>
      </c>
      <c r="AT259" s="8">
        <f>+MINVU_Mes_Corriente!AT259*SALUD_Mes_Constante!$AP$1</f>
        <v>0</v>
      </c>
      <c r="AU259" s="8">
        <f>+MINVU_Mes_Corriente!AU259*SALUD_Mes_Constante!$AP$1</f>
        <v>0</v>
      </c>
      <c r="AV259" s="8">
        <f>+MINVU_Mes_Corriente!AV259*SALUD_Mes_Constante!$AP$1</f>
        <v>0</v>
      </c>
      <c r="AW259" s="8">
        <f>+MINVU_Mes_Corriente!AW259*SALUD_Mes_Constante!$AP$1</f>
        <v>0</v>
      </c>
      <c r="AX259" s="8">
        <f>+MINVU_Mes_Corriente!AX259*SALUD_Mes_Constante!$AP$1</f>
        <v>0</v>
      </c>
      <c r="AY259" s="8">
        <f>+MINVU_Mes_Corriente!AY259*SALUD_Mes_Constante!$AP$1</f>
        <v>0</v>
      </c>
      <c r="AZ259" s="8">
        <f>+MINVU_Mes_Corriente!AZ259*SALUD_Mes_Constante!$AP$1</f>
        <v>0</v>
      </c>
      <c r="BA259" s="8">
        <f>+MINVU_Mes_Corriente!BA259*SALUD_Mes_Constante!$AP$1</f>
        <v>0</v>
      </c>
      <c r="BB259" s="9">
        <f t="shared" si="117"/>
        <v>0</v>
      </c>
      <c r="BC259" s="8">
        <f>+MINVU_Mes_Corriente!BC259*SALUD_Mes_Constante!$BC$1</f>
        <v>0</v>
      </c>
      <c r="BD259" s="8">
        <f>+MINVU_Mes_Corriente!BD259*SALUD_Mes_Constante!$BC$1</f>
        <v>0</v>
      </c>
      <c r="BE259" s="8">
        <f>+MINVU_Mes_Corriente!BE259*SALUD_Mes_Constante!$BC$1</f>
        <v>0</v>
      </c>
      <c r="BF259" s="8">
        <f>+MINVU_Mes_Corriente!BF259*SALUD_Mes_Constante!$BC$1</f>
        <v>0</v>
      </c>
      <c r="BG259" s="8">
        <f>+MINVU_Mes_Corriente!BG259*SALUD_Mes_Constante!$BC$1</f>
        <v>0</v>
      </c>
      <c r="BH259" s="8">
        <f>+MINVU_Mes_Corriente!BH259*SALUD_Mes_Constante!$BC$1</f>
        <v>0</v>
      </c>
      <c r="BI259" s="8">
        <f>+MINVU_Mes_Corriente!BI259*SALUD_Mes_Constante!$BC$1</f>
        <v>0</v>
      </c>
      <c r="BJ259" s="8">
        <f>+MINVU_Mes_Corriente!BJ259*SALUD_Mes_Constante!$BC$1</f>
        <v>0</v>
      </c>
      <c r="BK259" s="8">
        <f>+MINVU_Mes_Corriente!BK259*SALUD_Mes_Constante!$BC$1</f>
        <v>0</v>
      </c>
      <c r="BL259" s="8">
        <f>+MINVU_Mes_Corriente!BL259*SALUD_Mes_Constante!$BC$1</f>
        <v>0</v>
      </c>
      <c r="BM259" s="8">
        <f>+MINVU_Mes_Corriente!BM259*SALUD_Mes_Constante!$BC$1</f>
        <v>0</v>
      </c>
      <c r="BN259" s="8">
        <f>+MINVU_Mes_Corriente!BN259*SALUD_Mes_Constante!$BC$1</f>
        <v>0</v>
      </c>
      <c r="BO259" s="9">
        <f t="shared" si="118"/>
        <v>0</v>
      </c>
      <c r="BP259" s="8">
        <f>+MINVU_Mes_Corriente!BP259*SALUD_Mes_Constante!$BP$1</f>
        <v>0</v>
      </c>
      <c r="BQ259" s="8">
        <f>+MINVU_Mes_Corriente!BQ259*SALUD_Mes_Constante!$BP$1</f>
        <v>0</v>
      </c>
      <c r="BR259" s="8">
        <f>+MINVU_Mes_Corriente!BR259*SALUD_Mes_Constante!$BP$1</f>
        <v>0</v>
      </c>
      <c r="BS259" s="8">
        <f>+MINVU_Mes_Corriente!BS259*SALUD_Mes_Constante!$BP$1</f>
        <v>0</v>
      </c>
      <c r="BT259" s="8">
        <f>+MINVU_Mes_Corriente!BT259*SALUD_Mes_Constante!$BP$1</f>
        <v>0</v>
      </c>
      <c r="BU259" s="8">
        <f>+MINVU_Mes_Corriente!BU259*SALUD_Mes_Constante!$BP$1</f>
        <v>0</v>
      </c>
      <c r="BV259" s="8">
        <f>+MINVU_Mes_Corriente!BV259*SALUD_Mes_Constante!$BP$1</f>
        <v>0</v>
      </c>
      <c r="BW259" s="8">
        <f>+MINVU_Mes_Corriente!BW259*SALUD_Mes_Constante!$BP$1</f>
        <v>0</v>
      </c>
      <c r="BX259" s="8">
        <f>+MINVU_Mes_Corriente!BX259*SALUD_Mes_Constante!$BP$1</f>
        <v>0</v>
      </c>
      <c r="BY259" s="8">
        <f>+MINVU_Mes_Corriente!BY259*SALUD_Mes_Constante!$BP$1</f>
        <v>0</v>
      </c>
      <c r="BZ259" s="8">
        <f>+MINVU_Mes_Corriente!BZ259*SALUD_Mes_Constante!$BP$1</f>
        <v>0</v>
      </c>
      <c r="CA259" s="8">
        <f>+MINVU_Mes_Corriente!CA259*SALUD_Mes_Constante!$BP$1</f>
        <v>0</v>
      </c>
      <c r="CB259" s="9">
        <f t="shared" si="119"/>
        <v>0</v>
      </c>
      <c r="CC259" s="8">
        <f>+MINVU_Mes_Corriente!CC259*SALUD_Mes_Constante!$CC$1</f>
        <v>0</v>
      </c>
      <c r="CD259" s="8">
        <f>+MINVU_Mes_Corriente!CD259*SALUD_Mes_Constante!$CC$1</f>
        <v>0</v>
      </c>
      <c r="CE259" s="8">
        <f>+MINVU_Mes_Corriente!CE259*SALUD_Mes_Constante!$CC$1</f>
        <v>0</v>
      </c>
      <c r="CF259" s="8">
        <f>+MINVU_Mes_Corriente!CF259*SALUD_Mes_Constante!$CC$1</f>
        <v>0</v>
      </c>
      <c r="CG259" s="8">
        <f>+MINVU_Mes_Corriente!CG259*SALUD_Mes_Constante!$CC$1</f>
        <v>0</v>
      </c>
      <c r="CH259" s="8">
        <f>+MINVU_Mes_Corriente!CH259*SALUD_Mes_Constante!$CC$1</f>
        <v>0</v>
      </c>
      <c r="CI259" s="8">
        <f>+MINVU_Mes_Corriente!CI259*SALUD_Mes_Constante!$CC$1</f>
        <v>0</v>
      </c>
      <c r="CJ259" s="8">
        <f>+MINVU_Mes_Corriente!CJ259*SALUD_Mes_Constante!$CC$1</f>
        <v>0</v>
      </c>
      <c r="CK259" s="8">
        <f>+MINVU_Mes_Corriente!CK259*SALUD_Mes_Constante!$CC$1</f>
        <v>0</v>
      </c>
      <c r="CL259" s="8">
        <f>+MINVU_Mes_Corriente!CL259*SALUD_Mes_Constante!$CC$1</f>
        <v>0</v>
      </c>
      <c r="CM259" s="8">
        <f>+MINVU_Mes_Corriente!CM259*SALUD_Mes_Constante!$CC$1</f>
        <v>0</v>
      </c>
      <c r="CN259" s="8">
        <f>+MINVU_Mes_Corriente!CN259*SALUD_Mes_Constante!$CC$1</f>
        <v>0</v>
      </c>
      <c r="CO259" s="9">
        <f t="shared" si="120"/>
        <v>0</v>
      </c>
      <c r="CP259" s="8">
        <f>+MINVU_Mes_Corriente!CP259*SALUD_Mes_Constante!$CP$1</f>
        <v>0</v>
      </c>
      <c r="CQ259" s="8">
        <f>+MINVU_Mes_Corriente!CQ259*SALUD_Mes_Constante!$CP$1</f>
        <v>0</v>
      </c>
      <c r="CR259" s="8">
        <f>+MINVU_Mes_Corriente!CR259*SALUD_Mes_Constante!$CP$1</f>
        <v>0</v>
      </c>
      <c r="CS259" s="8">
        <f>+MINVU_Mes_Corriente!CS259*SALUD_Mes_Constante!$CP$1</f>
        <v>0</v>
      </c>
      <c r="CT259" s="8">
        <f>+MINVU_Mes_Corriente!CT259*SALUD_Mes_Constante!$CP$1</f>
        <v>0</v>
      </c>
      <c r="CU259" s="8">
        <f>+MINVU_Mes_Corriente!CU259*SALUD_Mes_Constante!$CP$1</f>
        <v>0</v>
      </c>
      <c r="CV259" s="8">
        <f>+MINVU_Mes_Corriente!CV259*SALUD_Mes_Constante!$CP$1</f>
        <v>0</v>
      </c>
      <c r="CW259" s="8">
        <f>+MINVU_Mes_Corriente!CW259*SALUD_Mes_Constante!$CP$1</f>
        <v>0</v>
      </c>
      <c r="CX259" s="8">
        <f>+MINVU_Mes_Corriente!CX259*SALUD_Mes_Constante!$CP$1</f>
        <v>0</v>
      </c>
      <c r="CY259" s="8">
        <f>+MINVU_Mes_Corriente!CY259*SALUD_Mes_Constante!$CP$1</f>
        <v>0</v>
      </c>
      <c r="CZ259" s="8">
        <f>+MINVU_Mes_Corriente!CZ259*SALUD_Mes_Constante!$CP$1</f>
        <v>0</v>
      </c>
      <c r="DA259" s="8">
        <f>+MINVU_Mes_Corriente!DA259*SALUD_Mes_Constante!$CP$1</f>
        <v>0</v>
      </c>
      <c r="DB259" s="9">
        <f t="shared" si="121"/>
        <v>0</v>
      </c>
      <c r="DC259" s="8">
        <f>+MINVU_Mes_Corriente!DC259*SALUD_Mes_Constante!$DC$1</f>
        <v>0</v>
      </c>
      <c r="DD259" s="8">
        <f>+MINVU_Mes_Corriente!DD259*SALUD_Mes_Constante!$DC$1</f>
        <v>0</v>
      </c>
      <c r="DE259" s="8">
        <f>+MINVU_Mes_Corriente!DE259*SALUD_Mes_Constante!$DC$1</f>
        <v>0</v>
      </c>
      <c r="DF259" s="8">
        <f>+MINVU_Mes_Corriente!DF259*SALUD_Mes_Constante!$DC$1</f>
        <v>0</v>
      </c>
      <c r="DG259" s="8">
        <f>+MINVU_Mes_Corriente!DG259*SALUD_Mes_Constante!$DC$1</f>
        <v>0</v>
      </c>
      <c r="DH259" s="8">
        <f>+MINVU_Mes_Corriente!DH259*SALUD_Mes_Constante!$DC$1</f>
        <v>0</v>
      </c>
      <c r="DI259" s="8">
        <f>+MINVU_Mes_Corriente!DI259*SALUD_Mes_Constante!$DC$1</f>
        <v>0</v>
      </c>
      <c r="DJ259" s="8">
        <f>+MINVU_Mes_Corriente!DJ259*SALUD_Mes_Constante!$DC$1</f>
        <v>0</v>
      </c>
      <c r="DK259" s="8">
        <f>+MINVU_Mes_Corriente!DK259*SALUD_Mes_Constante!$DC$1</f>
        <v>0</v>
      </c>
      <c r="DL259" s="8">
        <f>+MINVU_Mes_Corriente!DL259*SALUD_Mes_Constante!$DC$1</f>
        <v>0</v>
      </c>
      <c r="DM259" s="8">
        <f>+MINVU_Mes_Corriente!DM259*SALUD_Mes_Constante!$DC$1</f>
        <v>0</v>
      </c>
      <c r="DN259" s="8">
        <f>+MINVU_Mes_Corriente!DN259*SALUD_Mes_Constante!$DC$1</f>
        <v>0</v>
      </c>
      <c r="DO259" s="9">
        <f t="shared" si="122"/>
        <v>0</v>
      </c>
      <c r="DP259" s="8">
        <f>+MINVU_Mes_Corriente!DP259*SALUD_Mes_Constante!$DP$1</f>
        <v>0</v>
      </c>
      <c r="DQ259" s="8">
        <f>+MINVU_Mes_Corriente!DQ259*SALUD_Mes_Constante!$DP$1</f>
        <v>0</v>
      </c>
      <c r="DR259" s="8">
        <f>+MINVU_Mes_Corriente!DR259*SALUD_Mes_Constante!$DP$1</f>
        <v>0</v>
      </c>
      <c r="DS259" s="8">
        <f>+MINVU_Mes_Corriente!DS259*SALUD_Mes_Constante!$DP$1</f>
        <v>0</v>
      </c>
      <c r="DT259" s="8">
        <f>+MINVU_Mes_Corriente!DT259*SALUD_Mes_Constante!$DP$1</f>
        <v>0</v>
      </c>
      <c r="DU259" s="8">
        <f>+MINVU_Mes_Corriente!DU259*SALUD_Mes_Constante!$DP$1</f>
        <v>0</v>
      </c>
      <c r="DV259" s="8">
        <f>+MINVU_Mes_Corriente!DV259*SALUD_Mes_Constante!$DP$1</f>
        <v>0</v>
      </c>
      <c r="DW259" s="8">
        <f>+MINVU_Mes_Corriente!DW259*SALUD_Mes_Constante!$DP$1</f>
        <v>0</v>
      </c>
      <c r="DX259" s="8">
        <f>+MINVU_Mes_Corriente!DX259*SALUD_Mes_Constante!$DP$1</f>
        <v>0</v>
      </c>
      <c r="DY259" s="8">
        <f>+MINVU_Mes_Corriente!DY259*SALUD_Mes_Constante!$DP$1</f>
        <v>0</v>
      </c>
      <c r="DZ259" s="8">
        <f>+MINVU_Mes_Corriente!DZ259*SALUD_Mes_Constante!$DP$1</f>
        <v>0</v>
      </c>
      <c r="EA259" s="8">
        <f>+MINVU_Mes_Corriente!EA259*SALUD_Mes_Constante!$DP$1</f>
        <v>0</v>
      </c>
      <c r="EB259" s="9">
        <f t="shared" si="123"/>
        <v>0</v>
      </c>
      <c r="EC259" s="8">
        <f>+MINVU_Mes_Corriente!EC259*SALUD_Mes_Constante!$EC$1</f>
        <v>0</v>
      </c>
      <c r="ED259" s="8">
        <f>+MINVU_Mes_Corriente!ED259*SALUD_Mes_Constante!$EC$1</f>
        <v>0</v>
      </c>
      <c r="EE259" s="8">
        <f>+MINVU_Mes_Corriente!EE259*SALUD_Mes_Constante!$EC$1</f>
        <v>0</v>
      </c>
      <c r="EF259" s="8">
        <f>+MINVU_Mes_Corriente!EF259*SALUD_Mes_Constante!$EC$1</f>
        <v>0</v>
      </c>
      <c r="EG259" s="8">
        <f>+MINVU_Mes_Corriente!EG259*SALUD_Mes_Constante!$EC$1</f>
        <v>0</v>
      </c>
      <c r="EH259" s="8">
        <f>+MINVU_Mes_Corriente!EH259*SALUD_Mes_Constante!$EC$1</f>
        <v>0</v>
      </c>
      <c r="EI259" s="8">
        <f>+MINVU_Mes_Corriente!EI259*SALUD_Mes_Constante!$EC$1</f>
        <v>0</v>
      </c>
      <c r="EJ259" s="8">
        <f>+MINVU_Mes_Corriente!EJ259*SALUD_Mes_Constante!$EC$1</f>
        <v>0</v>
      </c>
      <c r="EK259" s="8">
        <f>+MINVU_Mes_Corriente!EK259*SALUD_Mes_Constante!$EC$1</f>
        <v>0</v>
      </c>
      <c r="EL259" s="8">
        <f>+MINVU_Mes_Corriente!EL259*SALUD_Mes_Constante!$EC$1</f>
        <v>0</v>
      </c>
      <c r="EM259" s="8">
        <f>+MINVU_Mes_Corriente!EM259*SALUD_Mes_Constante!$EC$1</f>
        <v>0</v>
      </c>
      <c r="EN259" s="8">
        <f>+MINVU_Mes_Corriente!EN259*SALUD_Mes_Constante!$EC$1</f>
        <v>0</v>
      </c>
      <c r="EO259" s="9">
        <f t="shared" si="124"/>
        <v>0</v>
      </c>
      <c r="EP259" s="8">
        <f>+MINVU_Mes_Corriente!EP259*SALUD_Mes_Constante!$EP$1</f>
        <v>0</v>
      </c>
      <c r="EQ259" s="8">
        <f>+MINVU_Mes_Corriente!EQ259*SALUD_Mes_Constante!$EP$1</f>
        <v>0</v>
      </c>
      <c r="ER259" s="8">
        <f>+MINVU_Mes_Corriente!ER259*SALUD_Mes_Constante!$EP$1</f>
        <v>0</v>
      </c>
      <c r="ES259" s="8">
        <f>+MINVU_Mes_Corriente!ES259*SALUD_Mes_Constante!$EP$1</f>
        <v>0</v>
      </c>
      <c r="ET259" s="8">
        <f>+MINVU_Mes_Corriente!ET259*SALUD_Mes_Constante!$EP$1</f>
        <v>0</v>
      </c>
      <c r="EU259" s="8">
        <f>+MINVU_Mes_Corriente!EU259*SALUD_Mes_Constante!$EP$1</f>
        <v>0</v>
      </c>
      <c r="EV259" s="8">
        <f>+MINVU_Mes_Corriente!EV259*SALUD_Mes_Constante!$EP$1</f>
        <v>0</v>
      </c>
      <c r="EW259" s="8">
        <f>+MINVU_Mes_Corriente!EW259*SALUD_Mes_Constante!$EP$1</f>
        <v>0</v>
      </c>
      <c r="EX259" s="8">
        <f>+MINVU_Mes_Corriente!EX259*SALUD_Mes_Constante!$EP$1</f>
        <v>0</v>
      </c>
      <c r="EY259" s="8">
        <f>+MINVU_Mes_Corriente!EY259*SALUD_Mes_Constante!$EP$1</f>
        <v>0</v>
      </c>
      <c r="EZ259" s="8">
        <f>+MINVU_Mes_Corriente!EZ259*SALUD_Mes_Constante!$EP$1</f>
        <v>0</v>
      </c>
      <c r="FA259" s="8">
        <f>+MINVU_Mes_Corriente!FA259*SALUD_Mes_Constante!$EP$1</f>
        <v>0</v>
      </c>
      <c r="FB259" s="9">
        <f t="shared" si="125"/>
        <v>0</v>
      </c>
      <c r="FC259" s="8">
        <f>+MINVU_Mes_Corriente!FC259*SALUD_Mes_Constante!$FC$1</f>
        <v>0</v>
      </c>
      <c r="FD259" s="8">
        <f>+MINVU_Mes_Corriente!FD259*SALUD_Mes_Constante!$FC$1</f>
        <v>0</v>
      </c>
      <c r="FE259" s="8">
        <f>+MINVU_Mes_Corriente!FE259*SALUD_Mes_Constante!$FC$1</f>
        <v>0</v>
      </c>
      <c r="FF259" s="8">
        <f>+MINVU_Mes_Corriente!FF259*SALUD_Mes_Constante!$FC$1</f>
        <v>0</v>
      </c>
      <c r="FG259" s="8">
        <f>+MINVU_Mes_Corriente!FG259*SALUD_Mes_Constante!$FC$1</f>
        <v>0</v>
      </c>
      <c r="FH259" s="8">
        <f>+MINVU_Mes_Corriente!FH259*SALUD_Mes_Constante!$FC$1</f>
        <v>0</v>
      </c>
      <c r="FI259" s="8">
        <f>+MINVU_Mes_Corriente!FI259*SALUD_Mes_Constante!$FC$1</f>
        <v>0</v>
      </c>
      <c r="FJ259" s="8"/>
      <c r="FK259" s="8"/>
      <c r="FL259" s="8"/>
      <c r="FM259" s="8"/>
      <c r="FN259" s="8"/>
      <c r="FO259" s="9">
        <f t="shared" si="126"/>
        <v>0</v>
      </c>
    </row>
    <row r="260" spans="2:171" ht="14.25" customHeight="1" x14ac:dyDescent="0.3">
      <c r="B260" s="35" t="s">
        <v>73</v>
      </c>
      <c r="C260" s="8">
        <f>+MINVU_Mes_Corriente!C260*SALUD_Mes_Constante!$C$1</f>
        <v>0</v>
      </c>
      <c r="D260" s="8">
        <f>+MINVU_Mes_Corriente!D260*SALUD_Mes_Constante!$C$1</f>
        <v>0</v>
      </c>
      <c r="E260" s="8">
        <f>+MINVU_Mes_Corriente!E260*SALUD_Mes_Constante!$C$1</f>
        <v>0</v>
      </c>
      <c r="F260" s="8">
        <f>+MINVU_Mes_Corriente!F260*SALUD_Mes_Constante!$C$1</f>
        <v>0</v>
      </c>
      <c r="G260" s="8">
        <f>+MINVU_Mes_Corriente!G260*SALUD_Mes_Constante!$C$1</f>
        <v>0</v>
      </c>
      <c r="H260" s="8">
        <f>+MINVU_Mes_Corriente!H260*SALUD_Mes_Constante!$C$1</f>
        <v>0</v>
      </c>
      <c r="I260" s="8">
        <f>+MINVU_Mes_Corriente!I260*SALUD_Mes_Constante!$C$1</f>
        <v>0</v>
      </c>
      <c r="J260" s="8">
        <f>+MINVU_Mes_Corriente!J260*SALUD_Mes_Constante!$C$1</f>
        <v>0</v>
      </c>
      <c r="K260" s="8">
        <f>+MINVU_Mes_Corriente!K260*SALUD_Mes_Constante!$C$1</f>
        <v>0</v>
      </c>
      <c r="L260" s="8">
        <f>+MINVU_Mes_Corriente!L260*SALUD_Mes_Constante!$C$1</f>
        <v>0</v>
      </c>
      <c r="M260" s="8">
        <f>+MINVU_Mes_Corriente!M260*SALUD_Mes_Constante!$C$1</f>
        <v>0</v>
      </c>
      <c r="N260" s="8">
        <f>+MINVU_Mes_Corriente!N260*SALUD_Mes_Constante!$C$1</f>
        <v>0</v>
      </c>
      <c r="O260" s="9">
        <f t="shared" si="114"/>
        <v>0</v>
      </c>
      <c r="P260" s="8">
        <f>+MINVU_Mes_Corriente!P260*SALUD_Mes_Constante!$P$1</f>
        <v>0</v>
      </c>
      <c r="Q260" s="8">
        <f>+MINVU_Mes_Corriente!Q260*SALUD_Mes_Constante!$P$1</f>
        <v>0</v>
      </c>
      <c r="R260" s="8">
        <f>+MINVU_Mes_Corriente!R260*SALUD_Mes_Constante!$P$1</f>
        <v>0</v>
      </c>
      <c r="S260" s="8">
        <f>+MINVU_Mes_Corriente!S260*SALUD_Mes_Constante!$P$1</f>
        <v>0</v>
      </c>
      <c r="T260" s="8">
        <f>+MINVU_Mes_Corriente!T260*SALUD_Mes_Constante!$P$1</f>
        <v>0</v>
      </c>
      <c r="U260" s="8">
        <f>+MINVU_Mes_Corriente!U260*SALUD_Mes_Constante!$P$1</f>
        <v>0</v>
      </c>
      <c r="V260" s="8">
        <f>+MINVU_Mes_Corriente!V260*SALUD_Mes_Constante!$P$1</f>
        <v>0</v>
      </c>
      <c r="W260" s="8">
        <f>+MINVU_Mes_Corriente!W260*SALUD_Mes_Constante!$P$1</f>
        <v>0</v>
      </c>
      <c r="X260" s="8">
        <f>+MINVU_Mes_Corriente!X260*SALUD_Mes_Constante!$P$1</f>
        <v>0</v>
      </c>
      <c r="Y260" s="8">
        <f>+MINVU_Mes_Corriente!Y260*SALUD_Mes_Constante!$P$1</f>
        <v>0</v>
      </c>
      <c r="Z260" s="8">
        <f>+MINVU_Mes_Corriente!Z260*SALUD_Mes_Constante!$P$1</f>
        <v>0</v>
      </c>
      <c r="AA260" s="8">
        <f>+MINVU_Mes_Corriente!AA260*SALUD_Mes_Constante!$P$1</f>
        <v>0</v>
      </c>
      <c r="AB260" s="9">
        <f t="shared" si="115"/>
        <v>0</v>
      </c>
      <c r="AC260" s="8">
        <f>+MINVU_Mes_Corriente!AC260*SALUD_Mes_Constante!$AC$1</f>
        <v>0</v>
      </c>
      <c r="AD260" s="8">
        <f>+MINVU_Mes_Corriente!AD260*SALUD_Mes_Constante!$AC$1</f>
        <v>0</v>
      </c>
      <c r="AE260" s="8">
        <f>+MINVU_Mes_Corriente!AE260*SALUD_Mes_Constante!$AC$1</f>
        <v>0</v>
      </c>
      <c r="AF260" s="8">
        <f>+MINVU_Mes_Corriente!AF260*SALUD_Mes_Constante!$AC$1</f>
        <v>0</v>
      </c>
      <c r="AG260" s="8">
        <f>+MINVU_Mes_Corriente!AG260*SALUD_Mes_Constante!$AC$1</f>
        <v>0</v>
      </c>
      <c r="AH260" s="8">
        <f>+MINVU_Mes_Corriente!AH260*SALUD_Mes_Constante!$AC$1</f>
        <v>0</v>
      </c>
      <c r="AI260" s="8">
        <f>+MINVU_Mes_Corriente!AI260*SALUD_Mes_Constante!$AC$1</f>
        <v>0</v>
      </c>
      <c r="AJ260" s="8">
        <f>+MINVU_Mes_Corriente!AJ260*SALUD_Mes_Constante!$AC$1</f>
        <v>0</v>
      </c>
      <c r="AK260" s="8">
        <f>+MINVU_Mes_Corriente!AK260*SALUD_Mes_Constante!$AC$1</f>
        <v>0</v>
      </c>
      <c r="AL260" s="8">
        <f>+MINVU_Mes_Corriente!AL260*SALUD_Mes_Constante!$AC$1</f>
        <v>0</v>
      </c>
      <c r="AM260" s="8">
        <f>+MINVU_Mes_Corriente!AM260*SALUD_Mes_Constante!$AC$1</f>
        <v>0</v>
      </c>
      <c r="AN260" s="8">
        <f>+MINVU_Mes_Corriente!AN260*SALUD_Mes_Constante!$AC$1</f>
        <v>0</v>
      </c>
      <c r="AO260" s="9">
        <f t="shared" si="116"/>
        <v>0</v>
      </c>
      <c r="AP260" s="8">
        <f>+MINVU_Mes_Corriente!AP260*SALUD_Mes_Constante!$AP$1</f>
        <v>0</v>
      </c>
      <c r="AQ260" s="8">
        <f>+MINVU_Mes_Corriente!AQ260*SALUD_Mes_Constante!$AP$1</f>
        <v>0</v>
      </c>
      <c r="AR260" s="8">
        <f>+MINVU_Mes_Corriente!AR260*SALUD_Mes_Constante!$AP$1</f>
        <v>0</v>
      </c>
      <c r="AS260" s="8">
        <f>+MINVU_Mes_Corriente!AS260*SALUD_Mes_Constante!$AP$1</f>
        <v>0</v>
      </c>
      <c r="AT260" s="8">
        <f>+MINVU_Mes_Corriente!AT260*SALUD_Mes_Constante!$AP$1</f>
        <v>0</v>
      </c>
      <c r="AU260" s="8">
        <f>+MINVU_Mes_Corriente!AU260*SALUD_Mes_Constante!$AP$1</f>
        <v>0</v>
      </c>
      <c r="AV260" s="8">
        <f>+MINVU_Mes_Corriente!AV260*SALUD_Mes_Constante!$AP$1</f>
        <v>0</v>
      </c>
      <c r="AW260" s="8">
        <f>+MINVU_Mes_Corriente!AW260*SALUD_Mes_Constante!$AP$1</f>
        <v>0</v>
      </c>
      <c r="AX260" s="8">
        <f>+MINVU_Mes_Corriente!AX260*SALUD_Mes_Constante!$AP$1</f>
        <v>0</v>
      </c>
      <c r="AY260" s="8">
        <f>+MINVU_Mes_Corriente!AY260*SALUD_Mes_Constante!$AP$1</f>
        <v>0</v>
      </c>
      <c r="AZ260" s="8">
        <f>+MINVU_Mes_Corriente!AZ260*SALUD_Mes_Constante!$AP$1</f>
        <v>0</v>
      </c>
      <c r="BA260" s="8">
        <f>+MINVU_Mes_Corriente!BA260*SALUD_Mes_Constante!$AP$1</f>
        <v>0</v>
      </c>
      <c r="BB260" s="9">
        <f t="shared" si="117"/>
        <v>0</v>
      </c>
      <c r="BC260" s="8">
        <f>+MINVU_Mes_Corriente!BC260*SALUD_Mes_Constante!$BC$1</f>
        <v>0</v>
      </c>
      <c r="BD260" s="8">
        <f>+MINVU_Mes_Corriente!BD260*SALUD_Mes_Constante!$BC$1</f>
        <v>0</v>
      </c>
      <c r="BE260" s="8">
        <f>+MINVU_Mes_Corriente!BE260*SALUD_Mes_Constante!$BC$1</f>
        <v>0</v>
      </c>
      <c r="BF260" s="8">
        <f>+MINVU_Mes_Corriente!BF260*SALUD_Mes_Constante!$BC$1</f>
        <v>0</v>
      </c>
      <c r="BG260" s="8">
        <f>+MINVU_Mes_Corriente!BG260*SALUD_Mes_Constante!$BC$1</f>
        <v>0</v>
      </c>
      <c r="BH260" s="8">
        <f>+MINVU_Mes_Corriente!BH260*SALUD_Mes_Constante!$BC$1</f>
        <v>0</v>
      </c>
      <c r="BI260" s="8">
        <f>+MINVU_Mes_Corriente!BI260*SALUD_Mes_Constante!$BC$1</f>
        <v>0</v>
      </c>
      <c r="BJ260" s="8">
        <f>+MINVU_Mes_Corriente!BJ260*SALUD_Mes_Constante!$BC$1</f>
        <v>0</v>
      </c>
      <c r="BK260" s="8">
        <f>+MINVU_Mes_Corriente!BK260*SALUD_Mes_Constante!$BC$1</f>
        <v>0</v>
      </c>
      <c r="BL260" s="8">
        <f>+MINVU_Mes_Corriente!BL260*SALUD_Mes_Constante!$BC$1</f>
        <v>0</v>
      </c>
      <c r="BM260" s="8">
        <f>+MINVU_Mes_Corriente!BM260*SALUD_Mes_Constante!$BC$1</f>
        <v>0</v>
      </c>
      <c r="BN260" s="8">
        <f>+MINVU_Mes_Corriente!BN260*SALUD_Mes_Constante!$BC$1</f>
        <v>0</v>
      </c>
      <c r="BO260" s="9">
        <f t="shared" si="118"/>
        <v>0</v>
      </c>
      <c r="BP260" s="8">
        <f>+MINVU_Mes_Corriente!BP260*SALUD_Mes_Constante!$BP$1</f>
        <v>0</v>
      </c>
      <c r="BQ260" s="8">
        <f>+MINVU_Mes_Corriente!BQ260*SALUD_Mes_Constante!$BP$1</f>
        <v>0</v>
      </c>
      <c r="BR260" s="8">
        <f>+MINVU_Mes_Corriente!BR260*SALUD_Mes_Constante!$BP$1</f>
        <v>0</v>
      </c>
      <c r="BS260" s="8">
        <f>+MINVU_Mes_Corriente!BS260*SALUD_Mes_Constante!$BP$1</f>
        <v>0</v>
      </c>
      <c r="BT260" s="8">
        <f>+MINVU_Mes_Corriente!BT260*SALUD_Mes_Constante!$BP$1</f>
        <v>0</v>
      </c>
      <c r="BU260" s="8">
        <f>+MINVU_Mes_Corriente!BU260*SALUD_Mes_Constante!$BP$1</f>
        <v>0</v>
      </c>
      <c r="BV260" s="8">
        <f>+MINVU_Mes_Corriente!BV260*SALUD_Mes_Constante!$BP$1</f>
        <v>0</v>
      </c>
      <c r="BW260" s="8">
        <f>+MINVU_Mes_Corriente!BW260*SALUD_Mes_Constante!$BP$1</f>
        <v>0</v>
      </c>
      <c r="BX260" s="8">
        <f>+MINVU_Mes_Corriente!BX260*SALUD_Mes_Constante!$BP$1</f>
        <v>0</v>
      </c>
      <c r="BY260" s="8">
        <f>+MINVU_Mes_Corriente!BY260*SALUD_Mes_Constante!$BP$1</f>
        <v>0</v>
      </c>
      <c r="BZ260" s="8">
        <f>+MINVU_Mes_Corriente!BZ260*SALUD_Mes_Constante!$BP$1</f>
        <v>0</v>
      </c>
      <c r="CA260" s="8">
        <f>+MINVU_Mes_Corriente!CA260*SALUD_Mes_Constante!$BP$1</f>
        <v>0</v>
      </c>
      <c r="CB260" s="9">
        <f t="shared" si="119"/>
        <v>0</v>
      </c>
      <c r="CC260" s="8">
        <f>+MINVU_Mes_Corriente!CC260*SALUD_Mes_Constante!$CC$1</f>
        <v>0</v>
      </c>
      <c r="CD260" s="8">
        <f>+MINVU_Mes_Corriente!CD260*SALUD_Mes_Constante!$CC$1</f>
        <v>0</v>
      </c>
      <c r="CE260" s="8">
        <f>+MINVU_Mes_Corriente!CE260*SALUD_Mes_Constante!$CC$1</f>
        <v>0</v>
      </c>
      <c r="CF260" s="8">
        <f>+MINVU_Mes_Corriente!CF260*SALUD_Mes_Constante!$CC$1</f>
        <v>0</v>
      </c>
      <c r="CG260" s="8">
        <f>+MINVU_Mes_Corriente!CG260*SALUD_Mes_Constante!$CC$1</f>
        <v>0</v>
      </c>
      <c r="CH260" s="8">
        <f>+MINVU_Mes_Corriente!CH260*SALUD_Mes_Constante!$CC$1</f>
        <v>0</v>
      </c>
      <c r="CI260" s="8">
        <f>+MINVU_Mes_Corriente!CI260*SALUD_Mes_Constante!$CC$1</f>
        <v>0</v>
      </c>
      <c r="CJ260" s="8">
        <f>+MINVU_Mes_Corriente!CJ260*SALUD_Mes_Constante!$CC$1</f>
        <v>0</v>
      </c>
      <c r="CK260" s="8">
        <f>+MINVU_Mes_Corriente!CK260*SALUD_Mes_Constante!$CC$1</f>
        <v>0</v>
      </c>
      <c r="CL260" s="8">
        <f>+MINVU_Mes_Corriente!CL260*SALUD_Mes_Constante!$CC$1</f>
        <v>0</v>
      </c>
      <c r="CM260" s="8">
        <f>+MINVU_Mes_Corriente!CM260*SALUD_Mes_Constante!$CC$1</f>
        <v>0</v>
      </c>
      <c r="CN260" s="8">
        <f>+MINVU_Mes_Corriente!CN260*SALUD_Mes_Constante!$CC$1</f>
        <v>0</v>
      </c>
      <c r="CO260" s="9">
        <f t="shared" si="120"/>
        <v>0</v>
      </c>
      <c r="CP260" s="8">
        <f>+MINVU_Mes_Corriente!CP260*SALUD_Mes_Constante!$CP$1</f>
        <v>0</v>
      </c>
      <c r="CQ260" s="8">
        <f>+MINVU_Mes_Corriente!CQ260*SALUD_Mes_Constante!$CP$1</f>
        <v>0</v>
      </c>
      <c r="CR260" s="8">
        <f>+MINVU_Mes_Corriente!CR260*SALUD_Mes_Constante!$CP$1</f>
        <v>0</v>
      </c>
      <c r="CS260" s="8">
        <f>+MINVU_Mes_Corriente!CS260*SALUD_Mes_Constante!$CP$1</f>
        <v>0</v>
      </c>
      <c r="CT260" s="8">
        <f>+MINVU_Mes_Corriente!CT260*SALUD_Mes_Constante!$CP$1</f>
        <v>0</v>
      </c>
      <c r="CU260" s="8">
        <f>+MINVU_Mes_Corriente!CU260*SALUD_Mes_Constante!$CP$1</f>
        <v>0</v>
      </c>
      <c r="CV260" s="8">
        <f>+MINVU_Mes_Corriente!CV260*SALUD_Mes_Constante!$CP$1</f>
        <v>0</v>
      </c>
      <c r="CW260" s="8">
        <f>+MINVU_Mes_Corriente!CW260*SALUD_Mes_Constante!$CP$1</f>
        <v>0</v>
      </c>
      <c r="CX260" s="8">
        <f>+MINVU_Mes_Corriente!CX260*SALUD_Mes_Constante!$CP$1</f>
        <v>0</v>
      </c>
      <c r="CY260" s="8">
        <f>+MINVU_Mes_Corriente!CY260*SALUD_Mes_Constante!$CP$1</f>
        <v>0</v>
      </c>
      <c r="CZ260" s="8">
        <f>+MINVU_Mes_Corriente!CZ260*SALUD_Mes_Constante!$CP$1</f>
        <v>0</v>
      </c>
      <c r="DA260" s="8">
        <f>+MINVU_Mes_Corriente!DA260*SALUD_Mes_Constante!$CP$1</f>
        <v>0</v>
      </c>
      <c r="DB260" s="9">
        <f t="shared" si="121"/>
        <v>0</v>
      </c>
      <c r="DC260" s="8">
        <f>+MINVU_Mes_Corriente!DC260*SALUD_Mes_Constante!$DC$1</f>
        <v>0</v>
      </c>
      <c r="DD260" s="8">
        <f>+MINVU_Mes_Corriente!DD260*SALUD_Mes_Constante!$DC$1</f>
        <v>0</v>
      </c>
      <c r="DE260" s="8">
        <f>+MINVU_Mes_Corriente!DE260*SALUD_Mes_Constante!$DC$1</f>
        <v>0</v>
      </c>
      <c r="DF260" s="8">
        <f>+MINVU_Mes_Corriente!DF260*SALUD_Mes_Constante!$DC$1</f>
        <v>0</v>
      </c>
      <c r="DG260" s="8">
        <f>+MINVU_Mes_Corriente!DG260*SALUD_Mes_Constante!$DC$1</f>
        <v>0</v>
      </c>
      <c r="DH260" s="8">
        <f>+MINVU_Mes_Corriente!DH260*SALUD_Mes_Constante!$DC$1</f>
        <v>0</v>
      </c>
      <c r="DI260" s="8">
        <f>+MINVU_Mes_Corriente!DI260*SALUD_Mes_Constante!$DC$1</f>
        <v>0</v>
      </c>
      <c r="DJ260" s="8">
        <f>+MINVU_Mes_Corriente!DJ260*SALUD_Mes_Constante!$DC$1</f>
        <v>0</v>
      </c>
      <c r="DK260" s="8">
        <f>+MINVU_Mes_Corriente!DK260*SALUD_Mes_Constante!$DC$1</f>
        <v>0</v>
      </c>
      <c r="DL260" s="8">
        <f>+MINVU_Mes_Corriente!DL260*SALUD_Mes_Constante!$DC$1</f>
        <v>0</v>
      </c>
      <c r="DM260" s="8">
        <f>+MINVU_Mes_Corriente!DM260*SALUD_Mes_Constante!$DC$1</f>
        <v>0</v>
      </c>
      <c r="DN260" s="8">
        <f>+MINVU_Mes_Corriente!DN260*SALUD_Mes_Constante!$DC$1</f>
        <v>0</v>
      </c>
      <c r="DO260" s="9">
        <f t="shared" si="122"/>
        <v>0</v>
      </c>
      <c r="DP260" s="8">
        <f>+MINVU_Mes_Corriente!DP260*SALUD_Mes_Constante!$DP$1</f>
        <v>0</v>
      </c>
      <c r="DQ260" s="8">
        <f>+MINVU_Mes_Corriente!DQ260*SALUD_Mes_Constante!$DP$1</f>
        <v>0</v>
      </c>
      <c r="DR260" s="8">
        <f>+MINVU_Mes_Corriente!DR260*SALUD_Mes_Constante!$DP$1</f>
        <v>0</v>
      </c>
      <c r="DS260" s="8">
        <f>+MINVU_Mes_Corriente!DS260*SALUD_Mes_Constante!$DP$1</f>
        <v>0</v>
      </c>
      <c r="DT260" s="8">
        <f>+MINVU_Mes_Corriente!DT260*SALUD_Mes_Constante!$DP$1</f>
        <v>0</v>
      </c>
      <c r="DU260" s="8">
        <f>+MINVU_Mes_Corriente!DU260*SALUD_Mes_Constante!$DP$1</f>
        <v>0</v>
      </c>
      <c r="DV260" s="8">
        <f>+MINVU_Mes_Corriente!DV260*SALUD_Mes_Constante!$DP$1</f>
        <v>0</v>
      </c>
      <c r="DW260" s="8">
        <f>+MINVU_Mes_Corriente!DW260*SALUD_Mes_Constante!$DP$1</f>
        <v>0</v>
      </c>
      <c r="DX260" s="8">
        <f>+MINVU_Mes_Corriente!DX260*SALUD_Mes_Constante!$DP$1</f>
        <v>0</v>
      </c>
      <c r="DY260" s="8">
        <f>+MINVU_Mes_Corriente!DY260*SALUD_Mes_Constante!$DP$1</f>
        <v>0</v>
      </c>
      <c r="DZ260" s="8">
        <f>+MINVU_Mes_Corriente!DZ260*SALUD_Mes_Constante!$DP$1</f>
        <v>0</v>
      </c>
      <c r="EA260" s="8">
        <f>+MINVU_Mes_Corriente!EA260*SALUD_Mes_Constante!$DP$1</f>
        <v>0</v>
      </c>
      <c r="EB260" s="9">
        <f t="shared" si="123"/>
        <v>0</v>
      </c>
      <c r="EC260" s="8">
        <f>+MINVU_Mes_Corriente!EC260*SALUD_Mes_Constante!$EC$1</f>
        <v>0</v>
      </c>
      <c r="ED260" s="8">
        <f>+MINVU_Mes_Corriente!ED260*SALUD_Mes_Constante!$EC$1</f>
        <v>0</v>
      </c>
      <c r="EE260" s="8">
        <f>+MINVU_Mes_Corriente!EE260*SALUD_Mes_Constante!$EC$1</f>
        <v>0</v>
      </c>
      <c r="EF260" s="8">
        <f>+MINVU_Mes_Corriente!EF260*SALUD_Mes_Constante!$EC$1</f>
        <v>0</v>
      </c>
      <c r="EG260" s="8">
        <f>+MINVU_Mes_Corriente!EG260*SALUD_Mes_Constante!$EC$1</f>
        <v>0</v>
      </c>
      <c r="EH260" s="8">
        <f>+MINVU_Mes_Corriente!EH260*SALUD_Mes_Constante!$EC$1</f>
        <v>0</v>
      </c>
      <c r="EI260" s="8">
        <f>+MINVU_Mes_Corriente!EI260*SALUD_Mes_Constante!$EC$1</f>
        <v>0</v>
      </c>
      <c r="EJ260" s="8">
        <f>+MINVU_Mes_Corriente!EJ260*SALUD_Mes_Constante!$EC$1</f>
        <v>0</v>
      </c>
      <c r="EK260" s="8">
        <f>+MINVU_Mes_Corriente!EK260*SALUD_Mes_Constante!$EC$1</f>
        <v>0</v>
      </c>
      <c r="EL260" s="8">
        <f>+MINVU_Mes_Corriente!EL260*SALUD_Mes_Constante!$EC$1</f>
        <v>0</v>
      </c>
      <c r="EM260" s="8">
        <f>+MINVU_Mes_Corriente!EM260*SALUD_Mes_Constante!$EC$1</f>
        <v>0</v>
      </c>
      <c r="EN260" s="8">
        <f>+MINVU_Mes_Corriente!EN260*SALUD_Mes_Constante!$EC$1</f>
        <v>0</v>
      </c>
      <c r="EO260" s="9">
        <f t="shared" si="124"/>
        <v>0</v>
      </c>
      <c r="EP260" s="8">
        <f>+MINVU_Mes_Corriente!EP260*SALUD_Mes_Constante!$EP$1</f>
        <v>0</v>
      </c>
      <c r="EQ260" s="8">
        <f>+MINVU_Mes_Corriente!EQ260*SALUD_Mes_Constante!$EP$1</f>
        <v>0</v>
      </c>
      <c r="ER260" s="8">
        <f>+MINVU_Mes_Corriente!ER260*SALUD_Mes_Constante!$EP$1</f>
        <v>0</v>
      </c>
      <c r="ES260" s="8">
        <f>+MINVU_Mes_Corriente!ES260*SALUD_Mes_Constante!$EP$1</f>
        <v>0</v>
      </c>
      <c r="ET260" s="8">
        <f>+MINVU_Mes_Corriente!ET260*SALUD_Mes_Constante!$EP$1</f>
        <v>0</v>
      </c>
      <c r="EU260" s="8">
        <f>+MINVU_Mes_Corriente!EU260*SALUD_Mes_Constante!$EP$1</f>
        <v>0</v>
      </c>
      <c r="EV260" s="8">
        <f>+MINVU_Mes_Corriente!EV260*SALUD_Mes_Constante!$EP$1</f>
        <v>0</v>
      </c>
      <c r="EW260" s="8">
        <f>+MINVU_Mes_Corriente!EW260*SALUD_Mes_Constante!$EP$1</f>
        <v>0</v>
      </c>
      <c r="EX260" s="8">
        <f>+MINVU_Mes_Corriente!EX260*SALUD_Mes_Constante!$EP$1</f>
        <v>0</v>
      </c>
      <c r="EY260" s="8">
        <f>+MINVU_Mes_Corriente!EY260*SALUD_Mes_Constante!$EP$1</f>
        <v>0</v>
      </c>
      <c r="EZ260" s="8">
        <f>+MINVU_Mes_Corriente!EZ260*SALUD_Mes_Constante!$EP$1</f>
        <v>0</v>
      </c>
      <c r="FA260" s="8">
        <f>+MINVU_Mes_Corriente!FA260*SALUD_Mes_Constante!$EP$1</f>
        <v>0</v>
      </c>
      <c r="FB260" s="9">
        <f t="shared" si="125"/>
        <v>0</v>
      </c>
      <c r="FC260" s="8">
        <f>+MINVU_Mes_Corriente!FC260*SALUD_Mes_Constante!$FC$1</f>
        <v>0</v>
      </c>
      <c r="FD260" s="8">
        <f>+MINVU_Mes_Corriente!FD260*SALUD_Mes_Constante!$FC$1</f>
        <v>0</v>
      </c>
      <c r="FE260" s="8">
        <f>+MINVU_Mes_Corriente!FE260*SALUD_Mes_Constante!$FC$1</f>
        <v>0</v>
      </c>
      <c r="FF260" s="8">
        <f>+MINVU_Mes_Corriente!FF260*SALUD_Mes_Constante!$FC$1</f>
        <v>0</v>
      </c>
      <c r="FG260" s="8">
        <f>+MINVU_Mes_Corriente!FG260*SALUD_Mes_Constante!$FC$1</f>
        <v>0</v>
      </c>
      <c r="FH260" s="8">
        <f>+MINVU_Mes_Corriente!FH260*SALUD_Mes_Constante!$FC$1</f>
        <v>0</v>
      </c>
      <c r="FI260" s="8">
        <f>+MINVU_Mes_Corriente!FI260*SALUD_Mes_Constante!$FC$1</f>
        <v>0</v>
      </c>
      <c r="FJ260" s="8"/>
      <c r="FK260" s="8"/>
      <c r="FL260" s="8"/>
      <c r="FM260" s="8"/>
      <c r="FN260" s="8"/>
      <c r="FO260" s="9">
        <f t="shared" si="126"/>
        <v>0</v>
      </c>
    </row>
    <row r="261" spans="2:171" ht="14.25" customHeight="1" x14ac:dyDescent="0.3">
      <c r="B261" s="35" t="s">
        <v>74</v>
      </c>
      <c r="C261" s="8">
        <f>+MINVU_Mes_Corriente!C261*SALUD_Mes_Constante!$C$1</f>
        <v>0</v>
      </c>
      <c r="D261" s="8">
        <f>+MINVU_Mes_Corriente!D261*SALUD_Mes_Constante!$C$1</f>
        <v>0</v>
      </c>
      <c r="E261" s="8">
        <f>+MINVU_Mes_Corriente!E261*SALUD_Mes_Constante!$C$1</f>
        <v>0</v>
      </c>
      <c r="F261" s="8">
        <f>+MINVU_Mes_Corriente!F261*SALUD_Mes_Constante!$C$1</f>
        <v>0</v>
      </c>
      <c r="G261" s="8">
        <f>+MINVU_Mes_Corriente!G261*SALUD_Mes_Constante!$C$1</f>
        <v>0</v>
      </c>
      <c r="H261" s="8">
        <f>+MINVU_Mes_Corriente!H261*SALUD_Mes_Constante!$C$1</f>
        <v>0</v>
      </c>
      <c r="I261" s="8">
        <f>+MINVU_Mes_Corriente!I261*SALUD_Mes_Constante!$C$1</f>
        <v>0</v>
      </c>
      <c r="J261" s="8">
        <f>+MINVU_Mes_Corriente!J261*SALUD_Mes_Constante!$C$1</f>
        <v>0</v>
      </c>
      <c r="K261" s="8">
        <f>+MINVU_Mes_Corriente!K261*SALUD_Mes_Constante!$C$1</f>
        <v>0</v>
      </c>
      <c r="L261" s="8">
        <f>+MINVU_Mes_Corriente!L261*SALUD_Mes_Constante!$C$1</f>
        <v>0</v>
      </c>
      <c r="M261" s="8">
        <f>+MINVU_Mes_Corriente!M261*SALUD_Mes_Constante!$C$1</f>
        <v>0</v>
      </c>
      <c r="N261" s="8">
        <f>+MINVU_Mes_Corriente!N261*SALUD_Mes_Constante!$C$1</f>
        <v>0</v>
      </c>
      <c r="O261" s="9">
        <f t="shared" si="114"/>
        <v>0</v>
      </c>
      <c r="P261" s="8">
        <f>+MINVU_Mes_Corriente!P261*SALUD_Mes_Constante!$P$1</f>
        <v>0</v>
      </c>
      <c r="Q261" s="8">
        <f>+MINVU_Mes_Corriente!Q261*SALUD_Mes_Constante!$P$1</f>
        <v>0</v>
      </c>
      <c r="R261" s="8">
        <f>+MINVU_Mes_Corriente!R261*SALUD_Mes_Constante!$P$1</f>
        <v>0</v>
      </c>
      <c r="S261" s="8">
        <f>+MINVU_Mes_Corriente!S261*SALUD_Mes_Constante!$P$1</f>
        <v>0</v>
      </c>
      <c r="T261" s="8">
        <f>+MINVU_Mes_Corriente!T261*SALUD_Mes_Constante!$P$1</f>
        <v>0</v>
      </c>
      <c r="U261" s="8">
        <f>+MINVU_Mes_Corriente!U261*SALUD_Mes_Constante!$P$1</f>
        <v>0</v>
      </c>
      <c r="V261" s="8">
        <f>+MINVU_Mes_Corriente!V261*SALUD_Mes_Constante!$P$1</f>
        <v>0</v>
      </c>
      <c r="W261" s="8">
        <f>+MINVU_Mes_Corriente!W261*SALUD_Mes_Constante!$P$1</f>
        <v>0</v>
      </c>
      <c r="X261" s="8">
        <f>+MINVU_Mes_Corriente!X261*SALUD_Mes_Constante!$P$1</f>
        <v>0</v>
      </c>
      <c r="Y261" s="8">
        <f>+MINVU_Mes_Corriente!Y261*SALUD_Mes_Constante!$P$1</f>
        <v>0</v>
      </c>
      <c r="Z261" s="8">
        <f>+MINVU_Mes_Corriente!Z261*SALUD_Mes_Constante!$P$1</f>
        <v>0</v>
      </c>
      <c r="AA261" s="8">
        <f>+MINVU_Mes_Corriente!AA261*SALUD_Mes_Constante!$P$1</f>
        <v>0</v>
      </c>
      <c r="AB261" s="9">
        <f t="shared" si="115"/>
        <v>0</v>
      </c>
      <c r="AC261" s="8">
        <f>+MINVU_Mes_Corriente!AC261*SALUD_Mes_Constante!$AC$1</f>
        <v>0</v>
      </c>
      <c r="AD261" s="8">
        <f>+MINVU_Mes_Corriente!AD261*SALUD_Mes_Constante!$AC$1</f>
        <v>0</v>
      </c>
      <c r="AE261" s="8">
        <f>+MINVU_Mes_Corriente!AE261*SALUD_Mes_Constante!$AC$1</f>
        <v>0</v>
      </c>
      <c r="AF261" s="8">
        <f>+MINVU_Mes_Corriente!AF261*SALUD_Mes_Constante!$AC$1</f>
        <v>0</v>
      </c>
      <c r="AG261" s="8">
        <f>+MINVU_Mes_Corriente!AG261*SALUD_Mes_Constante!$AC$1</f>
        <v>0</v>
      </c>
      <c r="AH261" s="8">
        <f>+MINVU_Mes_Corriente!AH261*SALUD_Mes_Constante!$AC$1</f>
        <v>0</v>
      </c>
      <c r="AI261" s="8">
        <f>+MINVU_Mes_Corriente!AI261*SALUD_Mes_Constante!$AC$1</f>
        <v>0</v>
      </c>
      <c r="AJ261" s="8">
        <f>+MINVU_Mes_Corriente!AJ261*SALUD_Mes_Constante!$AC$1</f>
        <v>0</v>
      </c>
      <c r="AK261" s="8">
        <f>+MINVU_Mes_Corriente!AK261*SALUD_Mes_Constante!$AC$1</f>
        <v>0</v>
      </c>
      <c r="AL261" s="8">
        <f>+MINVU_Mes_Corriente!AL261*SALUD_Mes_Constante!$AC$1</f>
        <v>0</v>
      </c>
      <c r="AM261" s="8">
        <f>+MINVU_Mes_Corriente!AM261*SALUD_Mes_Constante!$AC$1</f>
        <v>0</v>
      </c>
      <c r="AN261" s="8">
        <f>+MINVU_Mes_Corriente!AN261*SALUD_Mes_Constante!$AC$1</f>
        <v>0</v>
      </c>
      <c r="AO261" s="9">
        <f t="shared" si="116"/>
        <v>0</v>
      </c>
      <c r="AP261" s="8">
        <f>+MINVU_Mes_Corriente!AP261*SALUD_Mes_Constante!$AP$1</f>
        <v>0</v>
      </c>
      <c r="AQ261" s="8">
        <f>+MINVU_Mes_Corriente!AQ261*SALUD_Mes_Constante!$AP$1</f>
        <v>0</v>
      </c>
      <c r="AR261" s="8">
        <f>+MINVU_Mes_Corriente!AR261*SALUD_Mes_Constante!$AP$1</f>
        <v>0</v>
      </c>
      <c r="AS261" s="8">
        <f>+MINVU_Mes_Corriente!AS261*SALUD_Mes_Constante!$AP$1</f>
        <v>0</v>
      </c>
      <c r="AT261" s="8">
        <f>+MINVU_Mes_Corriente!AT261*SALUD_Mes_Constante!$AP$1</f>
        <v>0</v>
      </c>
      <c r="AU261" s="8">
        <f>+MINVU_Mes_Corriente!AU261*SALUD_Mes_Constante!$AP$1</f>
        <v>0</v>
      </c>
      <c r="AV261" s="8">
        <f>+MINVU_Mes_Corriente!AV261*SALUD_Mes_Constante!$AP$1</f>
        <v>0</v>
      </c>
      <c r="AW261" s="8">
        <f>+MINVU_Mes_Corriente!AW261*SALUD_Mes_Constante!$AP$1</f>
        <v>0</v>
      </c>
      <c r="AX261" s="8">
        <f>+MINVU_Mes_Corriente!AX261*SALUD_Mes_Constante!$AP$1</f>
        <v>0</v>
      </c>
      <c r="AY261" s="8">
        <f>+MINVU_Mes_Corriente!AY261*SALUD_Mes_Constante!$AP$1</f>
        <v>0</v>
      </c>
      <c r="AZ261" s="8">
        <f>+MINVU_Mes_Corriente!AZ261*SALUD_Mes_Constante!$AP$1</f>
        <v>0</v>
      </c>
      <c r="BA261" s="8">
        <f>+MINVU_Mes_Corriente!BA261*SALUD_Mes_Constante!$AP$1</f>
        <v>0</v>
      </c>
      <c r="BB261" s="9">
        <f t="shared" si="117"/>
        <v>0</v>
      </c>
      <c r="BC261" s="8">
        <f>+MINVU_Mes_Corriente!BC261*SALUD_Mes_Constante!$BC$1</f>
        <v>0</v>
      </c>
      <c r="BD261" s="8">
        <f>+MINVU_Mes_Corriente!BD261*SALUD_Mes_Constante!$BC$1</f>
        <v>0</v>
      </c>
      <c r="BE261" s="8">
        <f>+MINVU_Mes_Corriente!BE261*SALUD_Mes_Constante!$BC$1</f>
        <v>0</v>
      </c>
      <c r="BF261" s="8">
        <f>+MINVU_Mes_Corriente!BF261*SALUD_Mes_Constante!$BC$1</f>
        <v>0</v>
      </c>
      <c r="BG261" s="8">
        <f>+MINVU_Mes_Corriente!BG261*SALUD_Mes_Constante!$BC$1</f>
        <v>0</v>
      </c>
      <c r="BH261" s="8">
        <f>+MINVU_Mes_Corriente!BH261*SALUD_Mes_Constante!$BC$1</f>
        <v>0</v>
      </c>
      <c r="BI261" s="8">
        <f>+MINVU_Mes_Corriente!BI261*SALUD_Mes_Constante!$BC$1</f>
        <v>0</v>
      </c>
      <c r="BJ261" s="8">
        <f>+MINVU_Mes_Corriente!BJ261*SALUD_Mes_Constante!$BC$1</f>
        <v>0</v>
      </c>
      <c r="BK261" s="8">
        <f>+MINVU_Mes_Corriente!BK261*SALUD_Mes_Constante!$BC$1</f>
        <v>0</v>
      </c>
      <c r="BL261" s="8">
        <f>+MINVU_Mes_Corriente!BL261*SALUD_Mes_Constante!$BC$1</f>
        <v>0</v>
      </c>
      <c r="BM261" s="8">
        <f>+MINVU_Mes_Corriente!BM261*SALUD_Mes_Constante!$BC$1</f>
        <v>0</v>
      </c>
      <c r="BN261" s="8">
        <f>+MINVU_Mes_Corriente!BN261*SALUD_Mes_Constante!$BC$1</f>
        <v>0</v>
      </c>
      <c r="BO261" s="9">
        <f t="shared" si="118"/>
        <v>0</v>
      </c>
      <c r="BP261" s="8">
        <f>+MINVU_Mes_Corriente!BP261*SALUD_Mes_Constante!$BP$1</f>
        <v>0</v>
      </c>
      <c r="BQ261" s="8">
        <f>+MINVU_Mes_Corriente!BQ261*SALUD_Mes_Constante!$BP$1</f>
        <v>0</v>
      </c>
      <c r="BR261" s="8">
        <f>+MINVU_Mes_Corriente!BR261*SALUD_Mes_Constante!$BP$1</f>
        <v>0</v>
      </c>
      <c r="BS261" s="8">
        <f>+MINVU_Mes_Corriente!BS261*SALUD_Mes_Constante!$BP$1</f>
        <v>0</v>
      </c>
      <c r="BT261" s="8">
        <f>+MINVU_Mes_Corriente!BT261*SALUD_Mes_Constante!$BP$1</f>
        <v>0</v>
      </c>
      <c r="BU261" s="8">
        <f>+MINVU_Mes_Corriente!BU261*SALUD_Mes_Constante!$BP$1</f>
        <v>0</v>
      </c>
      <c r="BV261" s="8">
        <f>+MINVU_Mes_Corriente!BV261*SALUD_Mes_Constante!$BP$1</f>
        <v>0</v>
      </c>
      <c r="BW261" s="8">
        <f>+MINVU_Mes_Corriente!BW261*SALUD_Mes_Constante!$BP$1</f>
        <v>0</v>
      </c>
      <c r="BX261" s="8">
        <f>+MINVU_Mes_Corriente!BX261*SALUD_Mes_Constante!$BP$1</f>
        <v>0</v>
      </c>
      <c r="BY261" s="8">
        <f>+MINVU_Mes_Corriente!BY261*SALUD_Mes_Constante!$BP$1</f>
        <v>0</v>
      </c>
      <c r="BZ261" s="8">
        <f>+MINVU_Mes_Corriente!BZ261*SALUD_Mes_Constante!$BP$1</f>
        <v>0</v>
      </c>
      <c r="CA261" s="8">
        <f>+MINVU_Mes_Corriente!CA261*SALUD_Mes_Constante!$BP$1</f>
        <v>0</v>
      </c>
      <c r="CB261" s="9">
        <f t="shared" si="119"/>
        <v>0</v>
      </c>
      <c r="CC261" s="8">
        <f>+MINVU_Mes_Corriente!CC261*SALUD_Mes_Constante!$CC$1</f>
        <v>0</v>
      </c>
      <c r="CD261" s="8">
        <f>+MINVU_Mes_Corriente!CD261*SALUD_Mes_Constante!$CC$1</f>
        <v>0</v>
      </c>
      <c r="CE261" s="8">
        <f>+MINVU_Mes_Corriente!CE261*SALUD_Mes_Constante!$CC$1</f>
        <v>0</v>
      </c>
      <c r="CF261" s="8">
        <f>+MINVU_Mes_Corriente!CF261*SALUD_Mes_Constante!$CC$1</f>
        <v>0</v>
      </c>
      <c r="CG261" s="8">
        <f>+MINVU_Mes_Corriente!CG261*SALUD_Mes_Constante!$CC$1</f>
        <v>0</v>
      </c>
      <c r="CH261" s="8">
        <f>+MINVU_Mes_Corriente!CH261*SALUD_Mes_Constante!$CC$1</f>
        <v>0</v>
      </c>
      <c r="CI261" s="8">
        <f>+MINVU_Mes_Corriente!CI261*SALUD_Mes_Constante!$CC$1</f>
        <v>0</v>
      </c>
      <c r="CJ261" s="8">
        <f>+MINVU_Mes_Corriente!CJ261*SALUD_Mes_Constante!$CC$1</f>
        <v>0</v>
      </c>
      <c r="CK261" s="8">
        <f>+MINVU_Mes_Corriente!CK261*SALUD_Mes_Constante!$CC$1</f>
        <v>0</v>
      </c>
      <c r="CL261" s="8">
        <f>+MINVU_Mes_Corriente!CL261*SALUD_Mes_Constante!$CC$1</f>
        <v>0</v>
      </c>
      <c r="CM261" s="8">
        <f>+MINVU_Mes_Corriente!CM261*SALUD_Mes_Constante!$CC$1</f>
        <v>0</v>
      </c>
      <c r="CN261" s="8">
        <f>+MINVU_Mes_Corriente!CN261*SALUD_Mes_Constante!$CC$1</f>
        <v>0</v>
      </c>
      <c r="CO261" s="9">
        <f t="shared" si="120"/>
        <v>0</v>
      </c>
      <c r="CP261" s="8">
        <f>+MINVU_Mes_Corriente!CP261*SALUD_Mes_Constante!$CP$1</f>
        <v>0</v>
      </c>
      <c r="CQ261" s="8">
        <f>+MINVU_Mes_Corriente!CQ261*SALUD_Mes_Constante!$CP$1</f>
        <v>0</v>
      </c>
      <c r="CR261" s="8">
        <f>+MINVU_Mes_Corriente!CR261*SALUD_Mes_Constante!$CP$1</f>
        <v>0</v>
      </c>
      <c r="CS261" s="8">
        <f>+MINVU_Mes_Corriente!CS261*SALUD_Mes_Constante!$CP$1</f>
        <v>0</v>
      </c>
      <c r="CT261" s="8">
        <f>+MINVU_Mes_Corriente!CT261*SALUD_Mes_Constante!$CP$1</f>
        <v>0</v>
      </c>
      <c r="CU261" s="8">
        <f>+MINVU_Mes_Corriente!CU261*SALUD_Mes_Constante!$CP$1</f>
        <v>0</v>
      </c>
      <c r="CV261" s="8">
        <f>+MINVU_Mes_Corriente!CV261*SALUD_Mes_Constante!$CP$1</f>
        <v>0</v>
      </c>
      <c r="CW261" s="8">
        <f>+MINVU_Mes_Corriente!CW261*SALUD_Mes_Constante!$CP$1</f>
        <v>0</v>
      </c>
      <c r="CX261" s="8">
        <f>+MINVU_Mes_Corriente!CX261*SALUD_Mes_Constante!$CP$1</f>
        <v>0</v>
      </c>
      <c r="CY261" s="8">
        <f>+MINVU_Mes_Corriente!CY261*SALUD_Mes_Constante!$CP$1</f>
        <v>0</v>
      </c>
      <c r="CZ261" s="8">
        <f>+MINVU_Mes_Corriente!CZ261*SALUD_Mes_Constante!$CP$1</f>
        <v>0</v>
      </c>
      <c r="DA261" s="8">
        <f>+MINVU_Mes_Corriente!DA261*SALUD_Mes_Constante!$CP$1</f>
        <v>0</v>
      </c>
      <c r="DB261" s="9">
        <f t="shared" si="121"/>
        <v>0</v>
      </c>
      <c r="DC261" s="8">
        <f>+MINVU_Mes_Corriente!DC261*SALUD_Mes_Constante!$DC$1</f>
        <v>0</v>
      </c>
      <c r="DD261" s="8">
        <f>+MINVU_Mes_Corriente!DD261*SALUD_Mes_Constante!$DC$1</f>
        <v>0</v>
      </c>
      <c r="DE261" s="8">
        <f>+MINVU_Mes_Corriente!DE261*SALUD_Mes_Constante!$DC$1</f>
        <v>0</v>
      </c>
      <c r="DF261" s="8">
        <f>+MINVU_Mes_Corriente!DF261*SALUD_Mes_Constante!$DC$1</f>
        <v>0</v>
      </c>
      <c r="DG261" s="8">
        <f>+MINVU_Mes_Corriente!DG261*SALUD_Mes_Constante!$DC$1</f>
        <v>0</v>
      </c>
      <c r="DH261" s="8">
        <f>+MINVU_Mes_Corriente!DH261*SALUD_Mes_Constante!$DC$1</f>
        <v>0</v>
      </c>
      <c r="DI261" s="8">
        <f>+MINVU_Mes_Corriente!DI261*SALUD_Mes_Constante!$DC$1</f>
        <v>0</v>
      </c>
      <c r="DJ261" s="8">
        <f>+MINVU_Mes_Corriente!DJ261*SALUD_Mes_Constante!$DC$1</f>
        <v>0</v>
      </c>
      <c r="DK261" s="8">
        <f>+MINVU_Mes_Corriente!DK261*SALUD_Mes_Constante!$DC$1</f>
        <v>0</v>
      </c>
      <c r="DL261" s="8">
        <f>+MINVU_Mes_Corriente!DL261*SALUD_Mes_Constante!$DC$1</f>
        <v>0</v>
      </c>
      <c r="DM261" s="8">
        <f>+MINVU_Mes_Corriente!DM261*SALUD_Mes_Constante!$DC$1</f>
        <v>0</v>
      </c>
      <c r="DN261" s="8">
        <f>+MINVU_Mes_Corriente!DN261*SALUD_Mes_Constante!$DC$1</f>
        <v>0</v>
      </c>
      <c r="DO261" s="9">
        <f t="shared" si="122"/>
        <v>0</v>
      </c>
      <c r="DP261" s="8">
        <f>+MINVU_Mes_Corriente!DP261*SALUD_Mes_Constante!$DP$1</f>
        <v>0</v>
      </c>
      <c r="DQ261" s="8">
        <f>+MINVU_Mes_Corriente!DQ261*SALUD_Mes_Constante!$DP$1</f>
        <v>0</v>
      </c>
      <c r="DR261" s="8">
        <f>+MINVU_Mes_Corriente!DR261*SALUD_Mes_Constante!$DP$1</f>
        <v>0</v>
      </c>
      <c r="DS261" s="8">
        <f>+MINVU_Mes_Corriente!DS261*SALUD_Mes_Constante!$DP$1</f>
        <v>0</v>
      </c>
      <c r="DT261" s="8">
        <f>+MINVU_Mes_Corriente!DT261*SALUD_Mes_Constante!$DP$1</f>
        <v>0</v>
      </c>
      <c r="DU261" s="8">
        <f>+MINVU_Mes_Corriente!DU261*SALUD_Mes_Constante!$DP$1</f>
        <v>0</v>
      </c>
      <c r="DV261" s="8">
        <f>+MINVU_Mes_Corriente!DV261*SALUD_Mes_Constante!$DP$1</f>
        <v>0</v>
      </c>
      <c r="DW261" s="8">
        <f>+MINVU_Mes_Corriente!DW261*SALUD_Mes_Constante!$DP$1</f>
        <v>0</v>
      </c>
      <c r="DX261" s="8">
        <f>+MINVU_Mes_Corriente!DX261*SALUD_Mes_Constante!$DP$1</f>
        <v>0</v>
      </c>
      <c r="DY261" s="8">
        <f>+MINVU_Mes_Corriente!DY261*SALUD_Mes_Constante!$DP$1</f>
        <v>0</v>
      </c>
      <c r="DZ261" s="8">
        <f>+MINVU_Mes_Corriente!DZ261*SALUD_Mes_Constante!$DP$1</f>
        <v>0</v>
      </c>
      <c r="EA261" s="8">
        <f>+MINVU_Mes_Corriente!EA261*SALUD_Mes_Constante!$DP$1</f>
        <v>0</v>
      </c>
      <c r="EB261" s="9">
        <f t="shared" si="123"/>
        <v>0</v>
      </c>
      <c r="EC261" s="8">
        <f>+MINVU_Mes_Corriente!EC261*SALUD_Mes_Constante!$EC$1</f>
        <v>0</v>
      </c>
      <c r="ED261" s="8">
        <f>+MINVU_Mes_Corriente!ED261*SALUD_Mes_Constante!$EC$1</f>
        <v>0</v>
      </c>
      <c r="EE261" s="8">
        <f>+MINVU_Mes_Corriente!EE261*SALUD_Mes_Constante!$EC$1</f>
        <v>0</v>
      </c>
      <c r="EF261" s="8">
        <f>+MINVU_Mes_Corriente!EF261*SALUD_Mes_Constante!$EC$1</f>
        <v>0</v>
      </c>
      <c r="EG261" s="8">
        <f>+MINVU_Mes_Corriente!EG261*SALUD_Mes_Constante!$EC$1</f>
        <v>0</v>
      </c>
      <c r="EH261" s="8">
        <f>+MINVU_Mes_Corriente!EH261*SALUD_Mes_Constante!$EC$1</f>
        <v>0</v>
      </c>
      <c r="EI261" s="8">
        <f>+MINVU_Mes_Corriente!EI261*SALUD_Mes_Constante!$EC$1</f>
        <v>0</v>
      </c>
      <c r="EJ261" s="8">
        <f>+MINVU_Mes_Corriente!EJ261*SALUD_Mes_Constante!$EC$1</f>
        <v>0</v>
      </c>
      <c r="EK261" s="8">
        <f>+MINVU_Mes_Corriente!EK261*SALUD_Mes_Constante!$EC$1</f>
        <v>0</v>
      </c>
      <c r="EL261" s="8">
        <f>+MINVU_Mes_Corriente!EL261*SALUD_Mes_Constante!$EC$1</f>
        <v>0</v>
      </c>
      <c r="EM261" s="8">
        <f>+MINVU_Mes_Corriente!EM261*SALUD_Mes_Constante!$EC$1</f>
        <v>0</v>
      </c>
      <c r="EN261" s="8">
        <f>+MINVU_Mes_Corriente!EN261*SALUD_Mes_Constante!$EC$1</f>
        <v>0</v>
      </c>
      <c r="EO261" s="9">
        <f t="shared" si="124"/>
        <v>0</v>
      </c>
      <c r="EP261" s="8">
        <f>+MINVU_Mes_Corriente!EP261*SALUD_Mes_Constante!$EP$1</f>
        <v>0</v>
      </c>
      <c r="EQ261" s="8">
        <f>+MINVU_Mes_Corriente!EQ261*SALUD_Mes_Constante!$EP$1</f>
        <v>0</v>
      </c>
      <c r="ER261" s="8">
        <f>+MINVU_Mes_Corriente!ER261*SALUD_Mes_Constante!$EP$1</f>
        <v>0</v>
      </c>
      <c r="ES261" s="8">
        <f>+MINVU_Mes_Corriente!ES261*SALUD_Mes_Constante!$EP$1</f>
        <v>0</v>
      </c>
      <c r="ET261" s="8">
        <f>+MINVU_Mes_Corriente!ET261*SALUD_Mes_Constante!$EP$1</f>
        <v>0</v>
      </c>
      <c r="EU261" s="8">
        <f>+MINVU_Mes_Corriente!EU261*SALUD_Mes_Constante!$EP$1</f>
        <v>0</v>
      </c>
      <c r="EV261" s="8">
        <f>+MINVU_Mes_Corriente!EV261*SALUD_Mes_Constante!$EP$1</f>
        <v>0</v>
      </c>
      <c r="EW261" s="8">
        <f>+MINVU_Mes_Corriente!EW261*SALUD_Mes_Constante!$EP$1</f>
        <v>0</v>
      </c>
      <c r="EX261" s="8">
        <f>+MINVU_Mes_Corriente!EX261*SALUD_Mes_Constante!$EP$1</f>
        <v>0</v>
      </c>
      <c r="EY261" s="8">
        <f>+MINVU_Mes_Corriente!EY261*SALUD_Mes_Constante!$EP$1</f>
        <v>0</v>
      </c>
      <c r="EZ261" s="8">
        <f>+MINVU_Mes_Corriente!EZ261*SALUD_Mes_Constante!$EP$1</f>
        <v>0</v>
      </c>
      <c r="FA261" s="8">
        <f>+MINVU_Mes_Corriente!FA261*SALUD_Mes_Constante!$EP$1</f>
        <v>0</v>
      </c>
      <c r="FB261" s="9">
        <f t="shared" si="125"/>
        <v>0</v>
      </c>
      <c r="FC261" s="8">
        <f>+MINVU_Mes_Corriente!FC261*SALUD_Mes_Constante!$FC$1</f>
        <v>0</v>
      </c>
      <c r="FD261" s="8">
        <f>+MINVU_Mes_Corriente!FD261*SALUD_Mes_Constante!$FC$1</f>
        <v>0</v>
      </c>
      <c r="FE261" s="8">
        <f>+MINVU_Mes_Corriente!FE261*SALUD_Mes_Constante!$FC$1</f>
        <v>0</v>
      </c>
      <c r="FF261" s="8">
        <f>+MINVU_Mes_Corriente!FF261*SALUD_Mes_Constante!$FC$1</f>
        <v>0</v>
      </c>
      <c r="FG261" s="8">
        <f>+MINVU_Mes_Corriente!FG261*SALUD_Mes_Constante!$FC$1</f>
        <v>0</v>
      </c>
      <c r="FH261" s="8">
        <f>+MINVU_Mes_Corriente!FH261*SALUD_Mes_Constante!$FC$1</f>
        <v>0</v>
      </c>
      <c r="FI261" s="8">
        <f>+MINVU_Mes_Corriente!FI261*SALUD_Mes_Constante!$FC$1</f>
        <v>0</v>
      </c>
      <c r="FJ261" s="8"/>
      <c r="FK261" s="8"/>
      <c r="FL261" s="8"/>
      <c r="FM261" s="8"/>
      <c r="FN261" s="8"/>
      <c r="FO261" s="9">
        <f t="shared" si="126"/>
        <v>0</v>
      </c>
    </row>
    <row r="262" spans="2:171" ht="14.25" customHeight="1" thickBot="1" x14ac:dyDescent="0.35">
      <c r="B262" s="14" t="s">
        <v>89</v>
      </c>
      <c r="C262" s="16">
        <f t="shared" ref="C262:AH262" si="127">SUM(C230:C261)</f>
        <v>53152773.365267694</v>
      </c>
      <c r="D262" s="16">
        <f t="shared" si="127"/>
        <v>53152773.365267694</v>
      </c>
      <c r="E262" s="16">
        <f t="shared" si="127"/>
        <v>53152773.365267694</v>
      </c>
      <c r="F262" s="16">
        <f t="shared" si="127"/>
        <v>53152773.365267694</v>
      </c>
      <c r="G262" s="16">
        <f t="shared" si="127"/>
        <v>53152773.365267694</v>
      </c>
      <c r="H262" s="16">
        <f t="shared" si="127"/>
        <v>53152773.365267694</v>
      </c>
      <c r="I262" s="16">
        <f t="shared" si="127"/>
        <v>53152773.365267694</v>
      </c>
      <c r="J262" s="16">
        <f t="shared" si="127"/>
        <v>53152773.365267694</v>
      </c>
      <c r="K262" s="16">
        <f t="shared" si="127"/>
        <v>53152773.365267694</v>
      </c>
      <c r="L262" s="16">
        <f t="shared" si="127"/>
        <v>53152773.365267694</v>
      </c>
      <c r="M262" s="16">
        <f t="shared" si="127"/>
        <v>53152773.365267694</v>
      </c>
      <c r="N262" s="16">
        <f t="shared" si="127"/>
        <v>53152773.365267694</v>
      </c>
      <c r="O262" s="16">
        <f t="shared" si="127"/>
        <v>53152773.365267694</v>
      </c>
      <c r="P262" s="16">
        <f t="shared" si="127"/>
        <v>65480739.588577896</v>
      </c>
      <c r="Q262" s="16">
        <f t="shared" si="127"/>
        <v>65480739.588577896</v>
      </c>
      <c r="R262" s="16">
        <f t="shared" si="127"/>
        <v>65480739.588577896</v>
      </c>
      <c r="S262" s="16">
        <f t="shared" si="127"/>
        <v>65480739.588577896</v>
      </c>
      <c r="T262" s="16">
        <f t="shared" si="127"/>
        <v>65480739.588577896</v>
      </c>
      <c r="U262" s="16">
        <f t="shared" si="127"/>
        <v>65480739.588577896</v>
      </c>
      <c r="V262" s="16">
        <f t="shared" si="127"/>
        <v>65480739.588577896</v>
      </c>
      <c r="W262" s="16">
        <f t="shared" si="127"/>
        <v>65480739.588577896</v>
      </c>
      <c r="X262" s="16">
        <f t="shared" si="127"/>
        <v>65480739.588577896</v>
      </c>
      <c r="Y262" s="16">
        <f t="shared" si="127"/>
        <v>65480739.588577896</v>
      </c>
      <c r="Z262" s="16">
        <f t="shared" si="127"/>
        <v>65480739.588577896</v>
      </c>
      <c r="AA262" s="16">
        <f t="shared" si="127"/>
        <v>65480739.588577896</v>
      </c>
      <c r="AB262" s="16">
        <f t="shared" si="127"/>
        <v>65480739.588577896</v>
      </c>
      <c r="AC262" s="16">
        <f t="shared" si="127"/>
        <v>77513161.087287307</v>
      </c>
      <c r="AD262" s="16">
        <f t="shared" si="127"/>
        <v>77513161.087287307</v>
      </c>
      <c r="AE262" s="16">
        <f t="shared" si="127"/>
        <v>77513161.087287307</v>
      </c>
      <c r="AF262" s="16">
        <f t="shared" si="127"/>
        <v>77513161.087287307</v>
      </c>
      <c r="AG262" s="16">
        <f t="shared" si="127"/>
        <v>77513161.087287307</v>
      </c>
      <c r="AH262" s="16">
        <f t="shared" si="127"/>
        <v>77513161.087287307</v>
      </c>
      <c r="AI262" s="16">
        <f t="shared" ref="AI262:BN262" si="128">SUM(AI230:AI261)</f>
        <v>77513161.087287307</v>
      </c>
      <c r="AJ262" s="16">
        <f t="shared" si="128"/>
        <v>77513161.087287307</v>
      </c>
      <c r="AK262" s="16">
        <f t="shared" si="128"/>
        <v>77513161.087287307</v>
      </c>
      <c r="AL262" s="16">
        <f t="shared" si="128"/>
        <v>77513161.087287307</v>
      </c>
      <c r="AM262" s="16">
        <f t="shared" si="128"/>
        <v>77513161.087287307</v>
      </c>
      <c r="AN262" s="16">
        <f t="shared" si="128"/>
        <v>77513161.087287307</v>
      </c>
      <c r="AO262" s="16">
        <f t="shared" si="128"/>
        <v>77513161.087287307</v>
      </c>
      <c r="AP262" s="16">
        <f t="shared" si="128"/>
        <v>92540292.310834572</v>
      </c>
      <c r="AQ262" s="16">
        <f t="shared" si="128"/>
        <v>92540292.310834572</v>
      </c>
      <c r="AR262" s="16">
        <f t="shared" si="128"/>
        <v>92540292.310834572</v>
      </c>
      <c r="AS262" s="16">
        <f t="shared" si="128"/>
        <v>92540292.310834572</v>
      </c>
      <c r="AT262" s="16">
        <f t="shared" si="128"/>
        <v>92540292.310834572</v>
      </c>
      <c r="AU262" s="16">
        <f t="shared" si="128"/>
        <v>92540292.310834572</v>
      </c>
      <c r="AV262" s="16">
        <f t="shared" si="128"/>
        <v>92540292.310834572</v>
      </c>
      <c r="AW262" s="16">
        <f t="shared" si="128"/>
        <v>92540292.310834572</v>
      </c>
      <c r="AX262" s="16">
        <f t="shared" si="128"/>
        <v>92540292.310834572</v>
      </c>
      <c r="AY262" s="16">
        <f t="shared" si="128"/>
        <v>92540292.310834572</v>
      </c>
      <c r="AZ262" s="16">
        <f t="shared" si="128"/>
        <v>92540292.310834572</v>
      </c>
      <c r="BA262" s="16">
        <f t="shared" si="128"/>
        <v>92540292.310834572</v>
      </c>
      <c r="BB262" s="16">
        <f t="shared" si="128"/>
        <v>92540292.310834572</v>
      </c>
      <c r="BC262" s="16">
        <f t="shared" si="128"/>
        <v>111329104.58604777</v>
      </c>
      <c r="BD262" s="16">
        <f t="shared" si="128"/>
        <v>111329104.58604777</v>
      </c>
      <c r="BE262" s="16">
        <f t="shared" si="128"/>
        <v>111329104.58604777</v>
      </c>
      <c r="BF262" s="16">
        <f t="shared" si="128"/>
        <v>111329104.58604777</v>
      </c>
      <c r="BG262" s="16">
        <f t="shared" si="128"/>
        <v>111329104.58604777</v>
      </c>
      <c r="BH262" s="16">
        <f t="shared" si="128"/>
        <v>111329104.58604777</v>
      </c>
      <c r="BI262" s="16">
        <f t="shared" si="128"/>
        <v>111329104.58604777</v>
      </c>
      <c r="BJ262" s="16">
        <f t="shared" si="128"/>
        <v>111329104.58604777</v>
      </c>
      <c r="BK262" s="16">
        <f t="shared" si="128"/>
        <v>111329104.58604777</v>
      </c>
      <c r="BL262" s="16">
        <f t="shared" si="128"/>
        <v>111329104.58604777</v>
      </c>
      <c r="BM262" s="16">
        <f t="shared" si="128"/>
        <v>111329104.58604777</v>
      </c>
      <c r="BN262" s="16">
        <f t="shared" si="128"/>
        <v>111329104.58604777</v>
      </c>
      <c r="BO262" s="16">
        <f t="shared" ref="BO262:CT262" si="129">SUM(BO230:BO261)</f>
        <v>111329104.58604777</v>
      </c>
      <c r="BP262" s="16">
        <f t="shared" si="129"/>
        <v>161362718.27170298</v>
      </c>
      <c r="BQ262" s="16">
        <f t="shared" si="129"/>
        <v>161362718.27170298</v>
      </c>
      <c r="BR262" s="16">
        <f t="shared" si="129"/>
        <v>161362718.27170298</v>
      </c>
      <c r="BS262" s="16">
        <f t="shared" si="129"/>
        <v>161362718.27170298</v>
      </c>
      <c r="BT262" s="16">
        <f t="shared" si="129"/>
        <v>161362718.27170298</v>
      </c>
      <c r="BU262" s="16">
        <f t="shared" si="129"/>
        <v>161362718.27170298</v>
      </c>
      <c r="BV262" s="16">
        <f t="shared" si="129"/>
        <v>161362718.27170298</v>
      </c>
      <c r="BW262" s="16">
        <f t="shared" si="129"/>
        <v>161362718.27170298</v>
      </c>
      <c r="BX262" s="16">
        <f t="shared" si="129"/>
        <v>161362718.27170298</v>
      </c>
      <c r="BY262" s="16">
        <f t="shared" si="129"/>
        <v>161362718.27170298</v>
      </c>
      <c r="BZ262" s="16">
        <f t="shared" si="129"/>
        <v>161362718.27170298</v>
      </c>
      <c r="CA262" s="16">
        <f t="shared" si="129"/>
        <v>161362718.27170298</v>
      </c>
      <c r="CB262" s="16">
        <f t="shared" si="129"/>
        <v>161362718.27170298</v>
      </c>
      <c r="CC262" s="16">
        <f t="shared" si="129"/>
        <v>156373111.69190601</v>
      </c>
      <c r="CD262" s="16">
        <f t="shared" si="129"/>
        <v>156373111.69190601</v>
      </c>
      <c r="CE262" s="16">
        <f t="shared" si="129"/>
        <v>156373111.69190601</v>
      </c>
      <c r="CF262" s="16">
        <f t="shared" si="129"/>
        <v>156373111.69190601</v>
      </c>
      <c r="CG262" s="16">
        <f t="shared" si="129"/>
        <v>156373111.69190601</v>
      </c>
      <c r="CH262" s="16">
        <f t="shared" si="129"/>
        <v>156373111.69190601</v>
      </c>
      <c r="CI262" s="16">
        <f t="shared" si="129"/>
        <v>156373111.69190601</v>
      </c>
      <c r="CJ262" s="16">
        <f t="shared" si="129"/>
        <v>156373111.69190601</v>
      </c>
      <c r="CK262" s="16">
        <f t="shared" si="129"/>
        <v>156373111.69190601</v>
      </c>
      <c r="CL262" s="16">
        <f t="shared" si="129"/>
        <v>156373111.69190601</v>
      </c>
      <c r="CM262" s="16">
        <f t="shared" si="129"/>
        <v>156373111.69190601</v>
      </c>
      <c r="CN262" s="16">
        <f t="shared" si="129"/>
        <v>156373111.69190601</v>
      </c>
      <c r="CO262" s="16">
        <f t="shared" si="129"/>
        <v>156373111.69190601</v>
      </c>
      <c r="CP262" s="16">
        <f t="shared" si="129"/>
        <v>163172815.8389791</v>
      </c>
      <c r="CQ262" s="16">
        <f t="shared" si="129"/>
        <v>163172815.8389791</v>
      </c>
      <c r="CR262" s="16">
        <f t="shared" si="129"/>
        <v>163172815.8389791</v>
      </c>
      <c r="CS262" s="16">
        <f t="shared" si="129"/>
        <v>163172815.8389791</v>
      </c>
      <c r="CT262" s="16">
        <f t="shared" si="129"/>
        <v>163172815.8389791</v>
      </c>
      <c r="CU262" s="16">
        <f t="shared" ref="CU262:DZ262" si="130">SUM(CU230:CU261)</f>
        <v>163172815.8389791</v>
      </c>
      <c r="CV262" s="16">
        <f t="shared" si="130"/>
        <v>163172815.8389791</v>
      </c>
      <c r="CW262" s="16">
        <f t="shared" si="130"/>
        <v>163172815.8389791</v>
      </c>
      <c r="CX262" s="16">
        <f t="shared" si="130"/>
        <v>163172815.8389791</v>
      </c>
      <c r="CY262" s="16">
        <f t="shared" si="130"/>
        <v>163172815.8389791</v>
      </c>
      <c r="CZ262" s="16">
        <f t="shared" si="130"/>
        <v>163172815.8389791</v>
      </c>
      <c r="DA262" s="16">
        <f t="shared" si="130"/>
        <v>163172815.8389791</v>
      </c>
      <c r="DB262" s="16">
        <f t="shared" si="130"/>
        <v>163172815.8389791</v>
      </c>
      <c r="DC262" s="16">
        <f t="shared" si="130"/>
        <v>117435683.81174782</v>
      </c>
      <c r="DD262" s="16">
        <f t="shared" si="130"/>
        <v>117435683.81174782</v>
      </c>
      <c r="DE262" s="16">
        <f t="shared" si="130"/>
        <v>117435683.81174782</v>
      </c>
      <c r="DF262" s="16">
        <f t="shared" si="130"/>
        <v>117435683.81174782</v>
      </c>
      <c r="DG262" s="16">
        <f t="shared" si="130"/>
        <v>117435683.81174782</v>
      </c>
      <c r="DH262" s="16">
        <f t="shared" si="130"/>
        <v>117435683.81174782</v>
      </c>
      <c r="DI262" s="16">
        <f t="shared" si="130"/>
        <v>117435683.81174782</v>
      </c>
      <c r="DJ262" s="16">
        <f t="shared" si="130"/>
        <v>117435683.81174782</v>
      </c>
      <c r="DK262" s="16">
        <f t="shared" si="130"/>
        <v>117435683.81174782</v>
      </c>
      <c r="DL262" s="16">
        <f t="shared" si="130"/>
        <v>117435683.81174782</v>
      </c>
      <c r="DM262" s="16">
        <f t="shared" si="130"/>
        <v>117435683.81174782</v>
      </c>
      <c r="DN262" s="16">
        <f t="shared" si="130"/>
        <v>117435683.81174782</v>
      </c>
      <c r="DO262" s="16">
        <f t="shared" si="130"/>
        <v>117435683.81174782</v>
      </c>
      <c r="DP262" s="16">
        <f t="shared" si="130"/>
        <v>171674949.09798101</v>
      </c>
      <c r="DQ262" s="16">
        <f t="shared" si="130"/>
        <v>171674949.09798101</v>
      </c>
      <c r="DR262" s="16">
        <f t="shared" si="130"/>
        <v>171674949.09798101</v>
      </c>
      <c r="DS262" s="16">
        <f t="shared" si="130"/>
        <v>171674949.09798101</v>
      </c>
      <c r="DT262" s="16">
        <f t="shared" si="130"/>
        <v>171674949.09798101</v>
      </c>
      <c r="DU262" s="16">
        <f t="shared" si="130"/>
        <v>171674949.09798101</v>
      </c>
      <c r="DV262" s="16">
        <f t="shared" si="130"/>
        <v>171674949.09798101</v>
      </c>
      <c r="DW262" s="16">
        <f t="shared" si="130"/>
        <v>171674949.09798101</v>
      </c>
      <c r="DX262" s="16">
        <f t="shared" si="130"/>
        <v>171674949.09798101</v>
      </c>
      <c r="DY262" s="16">
        <f t="shared" si="130"/>
        <v>171674949.09798101</v>
      </c>
      <c r="DZ262" s="16">
        <f t="shared" si="130"/>
        <v>171674949.09798101</v>
      </c>
      <c r="EA262" s="16">
        <f t="shared" ref="EA262:FF262" si="131">SUM(EA230:EA261)</f>
        <v>171674949.09798101</v>
      </c>
      <c r="EB262" s="16">
        <f t="shared" si="131"/>
        <v>171674949.09798101</v>
      </c>
      <c r="EC262" s="16">
        <f t="shared" si="131"/>
        <v>242347630.17534551</v>
      </c>
      <c r="ED262" s="16">
        <f t="shared" si="131"/>
        <v>242347630.17534551</v>
      </c>
      <c r="EE262" s="16">
        <f t="shared" si="131"/>
        <v>242347630.17534551</v>
      </c>
      <c r="EF262" s="16">
        <f t="shared" si="131"/>
        <v>242347630.17534551</v>
      </c>
      <c r="EG262" s="16">
        <f t="shared" si="131"/>
        <v>242347630.17534551</v>
      </c>
      <c r="EH262" s="16">
        <f t="shared" si="131"/>
        <v>242347630.17534551</v>
      </c>
      <c r="EI262" s="16">
        <f t="shared" si="131"/>
        <v>242347630.17534551</v>
      </c>
      <c r="EJ262" s="16">
        <f t="shared" si="131"/>
        <v>242347630.17534551</v>
      </c>
      <c r="EK262" s="16">
        <f t="shared" si="131"/>
        <v>242347630.17534551</v>
      </c>
      <c r="EL262" s="16">
        <f t="shared" si="131"/>
        <v>242347630.17534551</v>
      </c>
      <c r="EM262" s="16">
        <f t="shared" si="131"/>
        <v>242347630.17534551</v>
      </c>
      <c r="EN262" s="16">
        <f t="shared" si="131"/>
        <v>242347630.17534551</v>
      </c>
      <c r="EO262" s="16">
        <f t="shared" si="131"/>
        <v>242347630.17534551</v>
      </c>
      <c r="EP262" s="16">
        <f t="shared" si="131"/>
        <v>317360596</v>
      </c>
      <c r="EQ262" s="16">
        <f t="shared" si="131"/>
        <v>317360596</v>
      </c>
      <c r="ER262" s="16">
        <f t="shared" si="131"/>
        <v>317360596</v>
      </c>
      <c r="ES262" s="16">
        <f t="shared" si="131"/>
        <v>317360596</v>
      </c>
      <c r="ET262" s="16">
        <f t="shared" si="131"/>
        <v>317360596</v>
      </c>
      <c r="EU262" s="16">
        <f t="shared" si="131"/>
        <v>317360596</v>
      </c>
      <c r="EV262" s="16">
        <f t="shared" si="131"/>
        <v>317360596</v>
      </c>
      <c r="EW262" s="16">
        <f t="shared" si="131"/>
        <v>317360596</v>
      </c>
      <c r="EX262" s="16">
        <f t="shared" si="131"/>
        <v>317360596</v>
      </c>
      <c r="EY262" s="16">
        <f t="shared" si="131"/>
        <v>317360596</v>
      </c>
      <c r="EZ262" s="16">
        <f t="shared" si="131"/>
        <v>317360596</v>
      </c>
      <c r="FA262" s="16">
        <f t="shared" si="131"/>
        <v>317360596</v>
      </c>
      <c r="FB262" s="16">
        <f t="shared" si="131"/>
        <v>317360596</v>
      </c>
      <c r="FC262" s="16">
        <f t="shared" si="131"/>
        <v>831376361</v>
      </c>
      <c r="FD262" s="16">
        <f t="shared" si="131"/>
        <v>831376361</v>
      </c>
      <c r="FE262" s="16">
        <f t="shared" si="131"/>
        <v>831376361</v>
      </c>
      <c r="FF262" s="16">
        <f t="shared" si="131"/>
        <v>831376361</v>
      </c>
      <c r="FG262" s="16">
        <f t="shared" ref="FG262:GL262" si="132">SUM(FG230:FG261)</f>
        <v>831376361</v>
      </c>
      <c r="FH262" s="16">
        <f t="shared" si="132"/>
        <v>831376361</v>
      </c>
      <c r="FI262" s="16">
        <f t="shared" si="132"/>
        <v>831376361</v>
      </c>
      <c r="FJ262" s="16">
        <f t="shared" si="132"/>
        <v>0</v>
      </c>
      <c r="FK262" s="16">
        <f t="shared" si="132"/>
        <v>0</v>
      </c>
      <c r="FL262" s="16">
        <f t="shared" si="132"/>
        <v>0</v>
      </c>
      <c r="FM262" s="16">
        <f t="shared" si="132"/>
        <v>0</v>
      </c>
      <c r="FN262" s="16">
        <f t="shared" si="132"/>
        <v>0</v>
      </c>
      <c r="FO262" s="16">
        <f t="shared" si="132"/>
        <v>831376361</v>
      </c>
    </row>
    <row r="263" spans="2:171" ht="14.25" customHeight="1" thickTop="1" x14ac:dyDescent="0.3">
      <c r="B263" s="4" t="s">
        <v>90</v>
      </c>
    </row>
    <row r="264" spans="2:171" ht="14.25" customHeight="1" x14ac:dyDescent="0.3">
      <c r="C264" s="38" t="s">
        <v>4</v>
      </c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8" t="s">
        <v>5</v>
      </c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8" t="s">
        <v>6</v>
      </c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8" t="s">
        <v>7</v>
      </c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8" t="s">
        <v>8</v>
      </c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8" t="s">
        <v>9</v>
      </c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  <c r="CC264" s="38" t="s">
        <v>10</v>
      </c>
      <c r="CD264" s="39"/>
      <c r="CE264" s="39"/>
      <c r="CF264" s="39"/>
      <c r="CG264" s="39"/>
      <c r="CH264" s="39"/>
      <c r="CI264" s="39"/>
      <c r="CJ264" s="39"/>
      <c r="CK264" s="39"/>
      <c r="CL264" s="39"/>
      <c r="CM264" s="39"/>
      <c r="CN264" s="39"/>
      <c r="CO264" s="39"/>
      <c r="CP264" s="38" t="s">
        <v>11</v>
      </c>
      <c r="CQ264" s="39"/>
      <c r="CR264" s="39"/>
      <c r="CS264" s="39"/>
      <c r="CT264" s="39"/>
      <c r="CU264" s="39"/>
      <c r="CV264" s="39"/>
      <c r="CW264" s="39"/>
      <c r="CX264" s="39"/>
      <c r="CY264" s="39"/>
      <c r="CZ264" s="39"/>
      <c r="DA264" s="39"/>
      <c r="DB264" s="39"/>
      <c r="DC264" s="38" t="s">
        <v>12</v>
      </c>
      <c r="DD264" s="39"/>
      <c r="DE264" s="39"/>
      <c r="DF264" s="39"/>
      <c r="DG264" s="39"/>
      <c r="DH264" s="39"/>
      <c r="DI264" s="39"/>
      <c r="DJ264" s="39"/>
      <c r="DK264" s="39"/>
      <c r="DL264" s="39"/>
      <c r="DM264" s="39"/>
      <c r="DN264" s="39"/>
      <c r="DO264" s="39"/>
      <c r="DP264" s="38" t="s">
        <v>13</v>
      </c>
      <c r="DQ264" s="39"/>
      <c r="DR264" s="39"/>
      <c r="DS264" s="39"/>
      <c r="DT264" s="39"/>
      <c r="DU264" s="39"/>
      <c r="DV264" s="39"/>
      <c r="DW264" s="39"/>
      <c r="DX264" s="39"/>
      <c r="DY264" s="39"/>
      <c r="DZ264" s="39"/>
      <c r="EA264" s="39"/>
      <c r="EB264" s="39"/>
      <c r="EC264" s="38" t="s">
        <v>14</v>
      </c>
      <c r="ED264" s="39"/>
      <c r="EE264" s="39"/>
      <c r="EF264" s="39"/>
      <c r="EG264" s="39"/>
      <c r="EH264" s="39"/>
      <c r="EI264" s="39"/>
      <c r="EJ264" s="39"/>
      <c r="EK264" s="39"/>
      <c r="EL264" s="39"/>
      <c r="EM264" s="39"/>
      <c r="EN264" s="39"/>
      <c r="EO264" s="39"/>
      <c r="EP264" s="38" t="s">
        <v>15</v>
      </c>
      <c r="EQ264" s="39"/>
      <c r="ER264" s="39"/>
      <c r="ES264" s="39"/>
      <c r="ET264" s="39"/>
      <c r="EU264" s="39"/>
      <c r="EV264" s="39"/>
      <c r="EW264" s="39"/>
      <c r="EX264" s="39"/>
      <c r="EY264" s="39"/>
      <c r="EZ264" s="39"/>
      <c r="FA264" s="39"/>
      <c r="FB264" s="39"/>
      <c r="FC264" s="38" t="s">
        <v>16</v>
      </c>
      <c r="FD264" s="39"/>
      <c r="FE264" s="39"/>
      <c r="FF264" s="39"/>
      <c r="FG264" s="39"/>
      <c r="FH264" s="39"/>
      <c r="FI264" s="39"/>
      <c r="FJ264" s="39"/>
      <c r="FK264" s="39"/>
      <c r="FL264" s="39"/>
      <c r="FM264" s="39"/>
      <c r="FN264" s="39"/>
      <c r="FO264" s="39"/>
    </row>
    <row r="265" spans="2:171" ht="14.25" customHeight="1" x14ac:dyDescent="0.3">
      <c r="B265" s="5" t="s">
        <v>17</v>
      </c>
      <c r="C265" s="6" t="s">
        <v>18</v>
      </c>
      <c r="D265" s="6" t="s">
        <v>19</v>
      </c>
      <c r="E265" s="6" t="s">
        <v>20</v>
      </c>
      <c r="F265" s="6" t="s">
        <v>21</v>
      </c>
      <c r="G265" s="6" t="s">
        <v>22</v>
      </c>
      <c r="H265" s="6" t="s">
        <v>23</v>
      </c>
      <c r="I265" s="6" t="s">
        <v>24</v>
      </c>
      <c r="J265" s="6" t="s">
        <v>25</v>
      </c>
      <c r="K265" s="6" t="s">
        <v>26</v>
      </c>
      <c r="L265" s="6" t="s">
        <v>27</v>
      </c>
      <c r="M265" s="6" t="s">
        <v>28</v>
      </c>
      <c r="N265" s="6" t="s">
        <v>29</v>
      </c>
      <c r="O265" s="6" t="s">
        <v>30</v>
      </c>
      <c r="P265" s="6" t="s">
        <v>18</v>
      </c>
      <c r="Q265" s="6" t="s">
        <v>19</v>
      </c>
      <c r="R265" s="6" t="s">
        <v>20</v>
      </c>
      <c r="S265" s="6" t="s">
        <v>21</v>
      </c>
      <c r="T265" s="6" t="s">
        <v>22</v>
      </c>
      <c r="U265" s="6" t="s">
        <v>23</v>
      </c>
      <c r="V265" s="6" t="s">
        <v>24</v>
      </c>
      <c r="W265" s="6" t="s">
        <v>25</v>
      </c>
      <c r="X265" s="6" t="s">
        <v>26</v>
      </c>
      <c r="Y265" s="6" t="s">
        <v>27</v>
      </c>
      <c r="Z265" s="6" t="s">
        <v>28</v>
      </c>
      <c r="AA265" s="6" t="s">
        <v>29</v>
      </c>
      <c r="AB265" s="6" t="s">
        <v>31</v>
      </c>
      <c r="AC265" s="6" t="s">
        <v>18</v>
      </c>
      <c r="AD265" s="6" t="s">
        <v>19</v>
      </c>
      <c r="AE265" s="6" t="s">
        <v>20</v>
      </c>
      <c r="AF265" s="6" t="s">
        <v>21</v>
      </c>
      <c r="AG265" s="6" t="s">
        <v>22</v>
      </c>
      <c r="AH265" s="6" t="s">
        <v>23</v>
      </c>
      <c r="AI265" s="6" t="s">
        <v>24</v>
      </c>
      <c r="AJ265" s="6" t="s">
        <v>25</v>
      </c>
      <c r="AK265" s="6" t="s">
        <v>26</v>
      </c>
      <c r="AL265" s="6" t="s">
        <v>27</v>
      </c>
      <c r="AM265" s="6" t="s">
        <v>28</v>
      </c>
      <c r="AN265" s="6" t="s">
        <v>29</v>
      </c>
      <c r="AO265" s="6" t="s">
        <v>32</v>
      </c>
      <c r="AP265" s="6" t="s">
        <v>18</v>
      </c>
      <c r="AQ265" s="6" t="s">
        <v>19</v>
      </c>
      <c r="AR265" s="6" t="s">
        <v>20</v>
      </c>
      <c r="AS265" s="6" t="s">
        <v>21</v>
      </c>
      <c r="AT265" s="6" t="s">
        <v>22</v>
      </c>
      <c r="AU265" s="6" t="s">
        <v>23</v>
      </c>
      <c r="AV265" s="6" t="s">
        <v>24</v>
      </c>
      <c r="AW265" s="6" t="s">
        <v>25</v>
      </c>
      <c r="AX265" s="6" t="s">
        <v>26</v>
      </c>
      <c r="AY265" s="6" t="s">
        <v>27</v>
      </c>
      <c r="AZ265" s="6" t="s">
        <v>28</v>
      </c>
      <c r="BA265" s="6" t="s">
        <v>29</v>
      </c>
      <c r="BB265" s="6" t="s">
        <v>33</v>
      </c>
      <c r="BC265" s="6" t="s">
        <v>18</v>
      </c>
      <c r="BD265" s="6" t="s">
        <v>19</v>
      </c>
      <c r="BE265" s="6" t="s">
        <v>20</v>
      </c>
      <c r="BF265" s="6" t="s">
        <v>21</v>
      </c>
      <c r="BG265" s="6" t="s">
        <v>22</v>
      </c>
      <c r="BH265" s="6" t="s">
        <v>23</v>
      </c>
      <c r="BI265" s="6" t="s">
        <v>24</v>
      </c>
      <c r="BJ265" s="6" t="s">
        <v>25</v>
      </c>
      <c r="BK265" s="6" t="s">
        <v>26</v>
      </c>
      <c r="BL265" s="6" t="s">
        <v>27</v>
      </c>
      <c r="BM265" s="6" t="s">
        <v>28</v>
      </c>
      <c r="BN265" s="6" t="s">
        <v>29</v>
      </c>
      <c r="BO265" s="6" t="s">
        <v>34</v>
      </c>
      <c r="BP265" s="6" t="s">
        <v>18</v>
      </c>
      <c r="BQ265" s="6" t="s">
        <v>19</v>
      </c>
      <c r="BR265" s="6" t="s">
        <v>20</v>
      </c>
      <c r="BS265" s="6" t="s">
        <v>21</v>
      </c>
      <c r="BT265" s="6" t="s">
        <v>22</v>
      </c>
      <c r="BU265" s="6" t="s">
        <v>23</v>
      </c>
      <c r="BV265" s="6" t="s">
        <v>24</v>
      </c>
      <c r="BW265" s="6" t="s">
        <v>25</v>
      </c>
      <c r="BX265" s="6" t="s">
        <v>26</v>
      </c>
      <c r="BY265" s="6" t="s">
        <v>27</v>
      </c>
      <c r="BZ265" s="6" t="s">
        <v>28</v>
      </c>
      <c r="CA265" s="6" t="s">
        <v>29</v>
      </c>
      <c r="CB265" s="6" t="s">
        <v>35</v>
      </c>
      <c r="CC265" s="6" t="s">
        <v>18</v>
      </c>
      <c r="CD265" s="6" t="s">
        <v>19</v>
      </c>
      <c r="CE265" s="6" t="s">
        <v>20</v>
      </c>
      <c r="CF265" s="6" t="s">
        <v>21</v>
      </c>
      <c r="CG265" s="6" t="s">
        <v>22</v>
      </c>
      <c r="CH265" s="6" t="s">
        <v>23</v>
      </c>
      <c r="CI265" s="6" t="s">
        <v>24</v>
      </c>
      <c r="CJ265" s="6" t="s">
        <v>25</v>
      </c>
      <c r="CK265" s="6" t="s">
        <v>26</v>
      </c>
      <c r="CL265" s="6" t="s">
        <v>27</v>
      </c>
      <c r="CM265" s="6" t="s">
        <v>28</v>
      </c>
      <c r="CN265" s="6" t="s">
        <v>29</v>
      </c>
      <c r="CO265" s="6" t="s">
        <v>36</v>
      </c>
      <c r="CP265" s="6" t="s">
        <v>18</v>
      </c>
      <c r="CQ265" s="6" t="s">
        <v>19</v>
      </c>
      <c r="CR265" s="6" t="s">
        <v>20</v>
      </c>
      <c r="CS265" s="6" t="s">
        <v>21</v>
      </c>
      <c r="CT265" s="6" t="s">
        <v>22</v>
      </c>
      <c r="CU265" s="6" t="s">
        <v>23</v>
      </c>
      <c r="CV265" s="6" t="s">
        <v>24</v>
      </c>
      <c r="CW265" s="6" t="s">
        <v>25</v>
      </c>
      <c r="CX265" s="6" t="s">
        <v>26</v>
      </c>
      <c r="CY265" s="6" t="s">
        <v>27</v>
      </c>
      <c r="CZ265" s="6" t="s">
        <v>28</v>
      </c>
      <c r="DA265" s="6" t="s">
        <v>29</v>
      </c>
      <c r="DB265" s="6" t="s">
        <v>37</v>
      </c>
      <c r="DC265" s="6" t="s">
        <v>18</v>
      </c>
      <c r="DD265" s="6" t="s">
        <v>19</v>
      </c>
      <c r="DE265" s="6" t="s">
        <v>20</v>
      </c>
      <c r="DF265" s="6" t="s">
        <v>21</v>
      </c>
      <c r="DG265" s="6" t="s">
        <v>22</v>
      </c>
      <c r="DH265" s="6" t="s">
        <v>23</v>
      </c>
      <c r="DI265" s="6" t="s">
        <v>24</v>
      </c>
      <c r="DJ265" s="6" t="s">
        <v>25</v>
      </c>
      <c r="DK265" s="6" t="s">
        <v>26</v>
      </c>
      <c r="DL265" s="6" t="s">
        <v>27</v>
      </c>
      <c r="DM265" s="6" t="s">
        <v>28</v>
      </c>
      <c r="DN265" s="6" t="s">
        <v>29</v>
      </c>
      <c r="DO265" s="6" t="s">
        <v>38</v>
      </c>
      <c r="DP265" s="6" t="s">
        <v>18</v>
      </c>
      <c r="DQ265" s="6" t="s">
        <v>19</v>
      </c>
      <c r="DR265" s="6" t="s">
        <v>20</v>
      </c>
      <c r="DS265" s="6" t="s">
        <v>21</v>
      </c>
      <c r="DT265" s="6" t="s">
        <v>22</v>
      </c>
      <c r="DU265" s="6" t="s">
        <v>23</v>
      </c>
      <c r="DV265" s="6" t="s">
        <v>24</v>
      </c>
      <c r="DW265" s="6" t="s">
        <v>25</v>
      </c>
      <c r="DX265" s="6" t="s">
        <v>26</v>
      </c>
      <c r="DY265" s="6" t="s">
        <v>27</v>
      </c>
      <c r="DZ265" s="6" t="s">
        <v>28</v>
      </c>
      <c r="EA265" s="6" t="s">
        <v>29</v>
      </c>
      <c r="EB265" s="6" t="s">
        <v>39</v>
      </c>
      <c r="EC265" s="6" t="s">
        <v>18</v>
      </c>
      <c r="ED265" s="6" t="s">
        <v>19</v>
      </c>
      <c r="EE265" s="6" t="s">
        <v>20</v>
      </c>
      <c r="EF265" s="6" t="s">
        <v>21</v>
      </c>
      <c r="EG265" s="6" t="s">
        <v>22</v>
      </c>
      <c r="EH265" s="6" t="s">
        <v>23</v>
      </c>
      <c r="EI265" s="6" t="s">
        <v>24</v>
      </c>
      <c r="EJ265" s="6" t="s">
        <v>25</v>
      </c>
      <c r="EK265" s="6" t="s">
        <v>26</v>
      </c>
      <c r="EL265" s="6" t="s">
        <v>27</v>
      </c>
      <c r="EM265" s="6" t="s">
        <v>28</v>
      </c>
      <c r="EN265" s="6" t="s">
        <v>29</v>
      </c>
      <c r="EO265" s="6" t="s">
        <v>40</v>
      </c>
      <c r="EP265" s="6" t="s">
        <v>18</v>
      </c>
      <c r="EQ265" s="6" t="s">
        <v>19</v>
      </c>
      <c r="ER265" s="6" t="s">
        <v>20</v>
      </c>
      <c r="ES265" s="6" t="s">
        <v>21</v>
      </c>
      <c r="ET265" s="6" t="s">
        <v>22</v>
      </c>
      <c r="EU265" s="6" t="s">
        <v>23</v>
      </c>
      <c r="EV265" s="6" t="s">
        <v>24</v>
      </c>
      <c r="EW265" s="6" t="s">
        <v>25</v>
      </c>
      <c r="EX265" s="6" t="s">
        <v>26</v>
      </c>
      <c r="EY265" s="6" t="s">
        <v>27</v>
      </c>
      <c r="EZ265" s="6" t="s">
        <v>28</v>
      </c>
      <c r="FA265" s="6" t="s">
        <v>29</v>
      </c>
      <c r="FB265" s="6" t="s">
        <v>41</v>
      </c>
      <c r="FC265" s="6" t="s">
        <v>18</v>
      </c>
      <c r="FD265" s="6" t="s">
        <v>19</v>
      </c>
      <c r="FE265" s="6" t="s">
        <v>20</v>
      </c>
      <c r="FF265" s="6" t="s">
        <v>21</v>
      </c>
      <c r="FG265" s="6" t="s">
        <v>22</v>
      </c>
      <c r="FH265" s="6" t="s">
        <v>23</v>
      </c>
      <c r="FI265" s="6" t="s">
        <v>24</v>
      </c>
      <c r="FJ265" s="6" t="s">
        <v>25</v>
      </c>
      <c r="FK265" s="6" t="s">
        <v>26</v>
      </c>
      <c r="FL265" s="6" t="s">
        <v>27</v>
      </c>
      <c r="FM265" s="6" t="s">
        <v>28</v>
      </c>
      <c r="FN265" s="6" t="s">
        <v>29</v>
      </c>
      <c r="FO265" s="6" t="s">
        <v>42</v>
      </c>
    </row>
    <row r="266" spans="2:171" ht="14.25" customHeight="1" x14ac:dyDescent="0.3">
      <c r="B266" s="7" t="s">
        <v>43</v>
      </c>
      <c r="C266" s="8">
        <f>+MINVU_Mes_Corriente!C266*SALUD_Mes_Constante!$C$1</f>
        <v>0</v>
      </c>
      <c r="D266" s="8">
        <f>+MINVU_Mes_Corriente!D266*SALUD_Mes_Constante!$C$1</f>
        <v>0</v>
      </c>
      <c r="E266" s="8">
        <f>+MINVU_Mes_Corriente!E266*SALUD_Mes_Constante!$C$1</f>
        <v>0</v>
      </c>
      <c r="F266" s="8">
        <f>+MINVU_Mes_Corriente!F266*SALUD_Mes_Constante!$C$1</f>
        <v>0</v>
      </c>
      <c r="G266" s="8">
        <f>+MINVU_Mes_Corriente!G266*SALUD_Mes_Constante!$C$1</f>
        <v>0</v>
      </c>
      <c r="H266" s="8">
        <f>+MINVU_Mes_Corriente!H266*SALUD_Mes_Constante!$C$1</f>
        <v>0</v>
      </c>
      <c r="I266" s="8">
        <f>+MINVU_Mes_Corriente!I266*SALUD_Mes_Constante!$C$1</f>
        <v>0</v>
      </c>
      <c r="J266" s="8">
        <f>+MINVU_Mes_Corriente!J266*SALUD_Mes_Constante!$C$1</f>
        <v>0</v>
      </c>
      <c r="K266" s="8">
        <f>+MINVU_Mes_Corriente!K266*SALUD_Mes_Constante!$C$1</f>
        <v>0</v>
      </c>
      <c r="L266" s="8">
        <f>+MINVU_Mes_Corriente!L266*SALUD_Mes_Constante!$C$1</f>
        <v>0</v>
      </c>
      <c r="M266" s="8">
        <f>+MINVU_Mes_Corriente!M266*SALUD_Mes_Constante!$C$1</f>
        <v>0</v>
      </c>
      <c r="N266" s="8">
        <f>+MINVU_Mes_Corriente!N266*SALUD_Mes_Constante!$C$1</f>
        <v>0</v>
      </c>
      <c r="O266" s="9">
        <f t="shared" ref="O266:O297" si="133">N266</f>
        <v>0</v>
      </c>
      <c r="P266" s="8">
        <f>+MINVU_Mes_Corriente!P266*SALUD_Mes_Constante!$P$1</f>
        <v>0</v>
      </c>
      <c r="Q266" s="8">
        <f>+MINVU_Mes_Corriente!Q266*SALUD_Mes_Constante!$P$1</f>
        <v>0</v>
      </c>
      <c r="R266" s="8">
        <f>+MINVU_Mes_Corriente!R266*SALUD_Mes_Constante!$P$1</f>
        <v>0</v>
      </c>
      <c r="S266" s="8">
        <f>+MINVU_Mes_Corriente!S266*SALUD_Mes_Constante!$P$1</f>
        <v>0</v>
      </c>
      <c r="T266" s="8">
        <f>+MINVU_Mes_Corriente!T266*SALUD_Mes_Constante!$P$1</f>
        <v>0</v>
      </c>
      <c r="U266" s="8">
        <f>+MINVU_Mes_Corriente!U266*SALUD_Mes_Constante!$P$1</f>
        <v>0</v>
      </c>
      <c r="V266" s="8">
        <f>+MINVU_Mes_Corriente!V266*SALUD_Mes_Constante!$P$1</f>
        <v>0</v>
      </c>
      <c r="W266" s="8">
        <f>+MINVU_Mes_Corriente!W266*SALUD_Mes_Constante!$P$1</f>
        <v>0</v>
      </c>
      <c r="X266" s="8">
        <f>+MINVU_Mes_Corriente!X266*SALUD_Mes_Constante!$P$1</f>
        <v>0</v>
      </c>
      <c r="Y266" s="8">
        <f>+MINVU_Mes_Corriente!Y266*SALUD_Mes_Constante!$P$1</f>
        <v>0</v>
      </c>
      <c r="Z266" s="8">
        <f>+MINVU_Mes_Corriente!Z266*SALUD_Mes_Constante!$P$1</f>
        <v>0</v>
      </c>
      <c r="AA266" s="8">
        <f>+MINVU_Mes_Corriente!AA266*SALUD_Mes_Constante!$P$1</f>
        <v>0</v>
      </c>
      <c r="AB266" s="9">
        <f t="shared" ref="AB266:AB297" si="134">AA266</f>
        <v>0</v>
      </c>
      <c r="AC266" s="8">
        <f>+MINVU_Mes_Corriente!AC266*SALUD_Mes_Constante!$AC$1</f>
        <v>0</v>
      </c>
      <c r="AD266" s="8">
        <f>+MINVU_Mes_Corriente!AD266*SALUD_Mes_Constante!$AC$1</f>
        <v>0</v>
      </c>
      <c r="AE266" s="8">
        <f>+MINVU_Mes_Corriente!AE266*SALUD_Mes_Constante!$AC$1</f>
        <v>0</v>
      </c>
      <c r="AF266" s="8">
        <f>+MINVU_Mes_Corriente!AF266*SALUD_Mes_Constante!$AC$1</f>
        <v>0</v>
      </c>
      <c r="AG266" s="8">
        <f>+MINVU_Mes_Corriente!AG266*SALUD_Mes_Constante!$AC$1</f>
        <v>0</v>
      </c>
      <c r="AH266" s="8">
        <f>+MINVU_Mes_Corriente!AH266*SALUD_Mes_Constante!$AC$1</f>
        <v>0</v>
      </c>
      <c r="AI266" s="8">
        <f>+MINVU_Mes_Corriente!AI266*SALUD_Mes_Constante!$AC$1</f>
        <v>0</v>
      </c>
      <c r="AJ266" s="8">
        <f>+MINVU_Mes_Corriente!AJ266*SALUD_Mes_Constante!$AC$1</f>
        <v>0</v>
      </c>
      <c r="AK266" s="8">
        <f>+MINVU_Mes_Corriente!AK266*SALUD_Mes_Constante!$AC$1</f>
        <v>0</v>
      </c>
      <c r="AL266" s="8">
        <f>+MINVU_Mes_Corriente!AL266*SALUD_Mes_Constante!$AC$1</f>
        <v>0</v>
      </c>
      <c r="AM266" s="8">
        <f>+MINVU_Mes_Corriente!AM266*SALUD_Mes_Constante!$AC$1</f>
        <v>0</v>
      </c>
      <c r="AN266" s="8">
        <f>+MINVU_Mes_Corriente!AN266*SALUD_Mes_Constante!$AC$1</f>
        <v>0</v>
      </c>
      <c r="AO266" s="9">
        <f t="shared" ref="AO266:AO297" si="135">AN266</f>
        <v>0</v>
      </c>
      <c r="AP266" s="8">
        <f>+MINVU_Mes_Corriente!AP266*SALUD_Mes_Constante!$AP$1</f>
        <v>0</v>
      </c>
      <c r="AQ266" s="8">
        <f>+MINVU_Mes_Corriente!AQ266*SALUD_Mes_Constante!$AP$1</f>
        <v>0</v>
      </c>
      <c r="AR266" s="8">
        <f>+MINVU_Mes_Corriente!AR266*SALUD_Mes_Constante!$AP$1</f>
        <v>0</v>
      </c>
      <c r="AS266" s="8">
        <f>+MINVU_Mes_Corriente!AS266*SALUD_Mes_Constante!$AP$1</f>
        <v>0</v>
      </c>
      <c r="AT266" s="8">
        <f>+MINVU_Mes_Corriente!AT266*SALUD_Mes_Constante!$AP$1</f>
        <v>0</v>
      </c>
      <c r="AU266" s="8">
        <f>+MINVU_Mes_Corriente!AU266*SALUD_Mes_Constante!$AP$1</f>
        <v>0</v>
      </c>
      <c r="AV266" s="8">
        <f>+MINVU_Mes_Corriente!AV266*SALUD_Mes_Constante!$AP$1</f>
        <v>0</v>
      </c>
      <c r="AW266" s="8">
        <f>+MINVU_Mes_Corriente!AW266*SALUD_Mes_Constante!$AP$1</f>
        <v>0</v>
      </c>
      <c r="AX266" s="8">
        <f>+MINVU_Mes_Corriente!AX266*SALUD_Mes_Constante!$AP$1</f>
        <v>0</v>
      </c>
      <c r="AY266" s="8">
        <f>+MINVU_Mes_Corriente!AY266*SALUD_Mes_Constante!$AP$1</f>
        <v>0</v>
      </c>
      <c r="AZ266" s="8">
        <f>+MINVU_Mes_Corriente!AZ266*SALUD_Mes_Constante!$AP$1</f>
        <v>0</v>
      </c>
      <c r="BA266" s="8">
        <f>+MINVU_Mes_Corriente!BA266*SALUD_Mes_Constante!$AP$1</f>
        <v>0</v>
      </c>
      <c r="BB266" s="9">
        <f t="shared" ref="BB266:BB297" si="136">BA266</f>
        <v>0</v>
      </c>
      <c r="BC266" s="8">
        <f>+MINVU_Mes_Corriente!BC266*SALUD_Mes_Constante!$BC$1</f>
        <v>0</v>
      </c>
      <c r="BD266" s="8">
        <f>+MINVU_Mes_Corriente!BD266*SALUD_Mes_Constante!$BC$1</f>
        <v>0</v>
      </c>
      <c r="BE266" s="8">
        <f>+MINVU_Mes_Corriente!BE266*SALUD_Mes_Constante!$BC$1</f>
        <v>0</v>
      </c>
      <c r="BF266" s="8">
        <f>+MINVU_Mes_Corriente!BF266*SALUD_Mes_Constante!$BC$1</f>
        <v>0</v>
      </c>
      <c r="BG266" s="8">
        <f>+MINVU_Mes_Corriente!BG266*SALUD_Mes_Constante!$BC$1</f>
        <v>0</v>
      </c>
      <c r="BH266" s="8">
        <f>+MINVU_Mes_Corriente!BH266*SALUD_Mes_Constante!$BC$1</f>
        <v>0</v>
      </c>
      <c r="BI266" s="8">
        <f>+MINVU_Mes_Corriente!BI266*SALUD_Mes_Constante!$BC$1</f>
        <v>0</v>
      </c>
      <c r="BJ266" s="8">
        <f>+MINVU_Mes_Corriente!BJ266*SALUD_Mes_Constante!$BC$1</f>
        <v>0</v>
      </c>
      <c r="BK266" s="8">
        <f>+MINVU_Mes_Corriente!BK266*SALUD_Mes_Constante!$BC$1</f>
        <v>0</v>
      </c>
      <c r="BL266" s="8">
        <f>+MINVU_Mes_Corriente!BL266*SALUD_Mes_Constante!$BC$1</f>
        <v>0</v>
      </c>
      <c r="BM266" s="8">
        <f>+MINVU_Mes_Corriente!BM266*SALUD_Mes_Constante!$BC$1</f>
        <v>0</v>
      </c>
      <c r="BN266" s="8">
        <f>+MINVU_Mes_Corriente!BN266*SALUD_Mes_Constante!$BC$1</f>
        <v>0</v>
      </c>
      <c r="BO266" s="9">
        <f t="shared" ref="BO266:BO297" si="137">BN266</f>
        <v>0</v>
      </c>
      <c r="BP266" s="8">
        <f>+MINVU_Mes_Corriente!BP266*SALUD_Mes_Constante!$BP$1</f>
        <v>0</v>
      </c>
      <c r="BQ266" s="8">
        <f>+MINVU_Mes_Corriente!BQ266*SALUD_Mes_Constante!$BP$1</f>
        <v>0</v>
      </c>
      <c r="BR266" s="8">
        <f>+MINVU_Mes_Corriente!BR266*SALUD_Mes_Constante!$BP$1</f>
        <v>0</v>
      </c>
      <c r="BS266" s="8">
        <f>+MINVU_Mes_Corriente!BS266*SALUD_Mes_Constante!$BP$1</f>
        <v>0</v>
      </c>
      <c r="BT266" s="8">
        <f>+MINVU_Mes_Corriente!BT266*SALUD_Mes_Constante!$BP$1</f>
        <v>0</v>
      </c>
      <c r="BU266" s="8">
        <f>+MINVU_Mes_Corriente!BU266*SALUD_Mes_Constante!$BP$1</f>
        <v>0</v>
      </c>
      <c r="BV266" s="8">
        <f>+MINVU_Mes_Corriente!BV266*SALUD_Mes_Constante!$BP$1</f>
        <v>0</v>
      </c>
      <c r="BW266" s="8">
        <f>+MINVU_Mes_Corriente!BW266*SALUD_Mes_Constante!$BP$1</f>
        <v>0</v>
      </c>
      <c r="BX266" s="8">
        <f>+MINVU_Mes_Corriente!BX266*SALUD_Mes_Constante!$BP$1</f>
        <v>0</v>
      </c>
      <c r="BY266" s="8">
        <f>+MINVU_Mes_Corriente!BY266*SALUD_Mes_Constante!$BP$1</f>
        <v>0</v>
      </c>
      <c r="BZ266" s="8">
        <f>+MINVU_Mes_Corriente!BZ266*SALUD_Mes_Constante!$BP$1</f>
        <v>0</v>
      </c>
      <c r="CA266" s="8">
        <f>+MINVU_Mes_Corriente!CA266*SALUD_Mes_Constante!$BP$1</f>
        <v>0</v>
      </c>
      <c r="CB266" s="9">
        <f t="shared" ref="CB266:CB297" si="138">CA266</f>
        <v>0</v>
      </c>
      <c r="CC266" s="8">
        <f>+MINVU_Mes_Corriente!CC266*SALUD_Mes_Constante!$CC$1</f>
        <v>0</v>
      </c>
      <c r="CD266" s="8">
        <f>+MINVU_Mes_Corriente!CD266*SALUD_Mes_Constante!$CC$1</f>
        <v>0</v>
      </c>
      <c r="CE266" s="8">
        <f>+MINVU_Mes_Corriente!CE266*SALUD_Mes_Constante!$CC$1</f>
        <v>0</v>
      </c>
      <c r="CF266" s="8">
        <f>+MINVU_Mes_Corriente!CF266*SALUD_Mes_Constante!$CC$1</f>
        <v>0</v>
      </c>
      <c r="CG266" s="8">
        <f>+MINVU_Mes_Corriente!CG266*SALUD_Mes_Constante!$CC$1</f>
        <v>0</v>
      </c>
      <c r="CH266" s="8">
        <f>+MINVU_Mes_Corriente!CH266*SALUD_Mes_Constante!$CC$1</f>
        <v>0</v>
      </c>
      <c r="CI266" s="8">
        <f>+MINVU_Mes_Corriente!CI266*SALUD_Mes_Constante!$CC$1</f>
        <v>0</v>
      </c>
      <c r="CJ266" s="8">
        <f>+MINVU_Mes_Corriente!CJ266*SALUD_Mes_Constante!$CC$1</f>
        <v>0</v>
      </c>
      <c r="CK266" s="8">
        <f>+MINVU_Mes_Corriente!CK266*SALUD_Mes_Constante!$CC$1</f>
        <v>0</v>
      </c>
      <c r="CL266" s="8">
        <f>+MINVU_Mes_Corriente!CL266*SALUD_Mes_Constante!$CC$1</f>
        <v>0</v>
      </c>
      <c r="CM266" s="8">
        <f>+MINVU_Mes_Corriente!CM266*SALUD_Mes_Constante!$CC$1</f>
        <v>0</v>
      </c>
      <c r="CN266" s="8">
        <f>+MINVU_Mes_Corriente!CN266*SALUD_Mes_Constante!$CC$1</f>
        <v>0</v>
      </c>
      <c r="CO266" s="9">
        <f t="shared" ref="CO266:CO297" si="139">CN266</f>
        <v>0</v>
      </c>
      <c r="CP266" s="8">
        <f>+MINVU_Mes_Corriente!CP266*SALUD_Mes_Constante!$CP$1</f>
        <v>0</v>
      </c>
      <c r="CQ266" s="8">
        <f>+MINVU_Mes_Corriente!CQ266*SALUD_Mes_Constante!$CP$1</f>
        <v>0</v>
      </c>
      <c r="CR266" s="8">
        <f>+MINVU_Mes_Corriente!CR266*SALUD_Mes_Constante!$CP$1</f>
        <v>0</v>
      </c>
      <c r="CS266" s="8">
        <f>+MINVU_Mes_Corriente!CS266*SALUD_Mes_Constante!$CP$1</f>
        <v>0</v>
      </c>
      <c r="CT266" s="8">
        <f>+MINVU_Mes_Corriente!CT266*SALUD_Mes_Constante!$CP$1</f>
        <v>0</v>
      </c>
      <c r="CU266" s="8">
        <f>+MINVU_Mes_Corriente!CU266*SALUD_Mes_Constante!$CP$1</f>
        <v>0</v>
      </c>
      <c r="CV266" s="8">
        <f>+MINVU_Mes_Corriente!CV266*SALUD_Mes_Constante!$CP$1</f>
        <v>0</v>
      </c>
      <c r="CW266" s="8">
        <f>+MINVU_Mes_Corriente!CW266*SALUD_Mes_Constante!$CP$1</f>
        <v>0</v>
      </c>
      <c r="CX266" s="8">
        <f>+MINVU_Mes_Corriente!CX266*SALUD_Mes_Constante!$CP$1</f>
        <v>0</v>
      </c>
      <c r="CY266" s="8">
        <f>+MINVU_Mes_Corriente!CY266*SALUD_Mes_Constante!$CP$1</f>
        <v>0</v>
      </c>
      <c r="CZ266" s="8">
        <f>+MINVU_Mes_Corriente!CZ266*SALUD_Mes_Constante!$CP$1</f>
        <v>0</v>
      </c>
      <c r="DA266" s="8">
        <f>+MINVU_Mes_Corriente!DA266*SALUD_Mes_Constante!$CP$1</f>
        <v>0</v>
      </c>
      <c r="DB266" s="9">
        <f t="shared" ref="DB266:DB297" si="140">DA266</f>
        <v>0</v>
      </c>
      <c r="DC266" s="8">
        <f>+MINVU_Mes_Corriente!DC266*SALUD_Mes_Constante!$DC$1</f>
        <v>0</v>
      </c>
      <c r="DD266" s="8">
        <f>+MINVU_Mes_Corriente!DD266*SALUD_Mes_Constante!$DC$1</f>
        <v>0</v>
      </c>
      <c r="DE266" s="8">
        <f>+MINVU_Mes_Corriente!DE266*SALUD_Mes_Constante!$DC$1</f>
        <v>0</v>
      </c>
      <c r="DF266" s="8">
        <f>+MINVU_Mes_Corriente!DF266*SALUD_Mes_Constante!$DC$1</f>
        <v>0</v>
      </c>
      <c r="DG266" s="8">
        <f>+MINVU_Mes_Corriente!DG266*SALUD_Mes_Constante!$DC$1</f>
        <v>0</v>
      </c>
      <c r="DH266" s="8">
        <f>+MINVU_Mes_Corriente!DH266*SALUD_Mes_Constante!$DC$1</f>
        <v>0</v>
      </c>
      <c r="DI266" s="8">
        <f>+MINVU_Mes_Corriente!DI266*SALUD_Mes_Constante!$DC$1</f>
        <v>0</v>
      </c>
      <c r="DJ266" s="8">
        <f>+MINVU_Mes_Corriente!DJ266*SALUD_Mes_Constante!$DC$1</f>
        <v>0</v>
      </c>
      <c r="DK266" s="8">
        <f>+MINVU_Mes_Corriente!DK266*SALUD_Mes_Constante!$DC$1</f>
        <v>0</v>
      </c>
      <c r="DL266" s="8">
        <f>+MINVU_Mes_Corriente!DL266*SALUD_Mes_Constante!$DC$1</f>
        <v>0</v>
      </c>
      <c r="DM266" s="8">
        <f>+MINVU_Mes_Corriente!DM266*SALUD_Mes_Constante!$DC$1</f>
        <v>0</v>
      </c>
      <c r="DN266" s="8">
        <f>+MINVU_Mes_Corriente!DN266*SALUD_Mes_Constante!$DC$1</f>
        <v>0</v>
      </c>
      <c r="DO266" s="9">
        <f t="shared" ref="DO266:DO297" si="141">DN266</f>
        <v>0</v>
      </c>
      <c r="DP266" s="8">
        <f>+MINVU_Mes_Corriente!DP266*SALUD_Mes_Constante!$DP$1</f>
        <v>0</v>
      </c>
      <c r="DQ266" s="8">
        <f>+MINVU_Mes_Corriente!DQ266*SALUD_Mes_Constante!$DP$1</f>
        <v>0</v>
      </c>
      <c r="DR266" s="8">
        <f>+MINVU_Mes_Corriente!DR266*SALUD_Mes_Constante!$DP$1</f>
        <v>0</v>
      </c>
      <c r="DS266" s="8">
        <f>+MINVU_Mes_Corriente!DS266*SALUD_Mes_Constante!$DP$1</f>
        <v>0</v>
      </c>
      <c r="DT266" s="8">
        <f>+MINVU_Mes_Corriente!DT266*SALUD_Mes_Constante!$DP$1</f>
        <v>0</v>
      </c>
      <c r="DU266" s="8">
        <f>+MINVU_Mes_Corriente!DU266*SALUD_Mes_Constante!$DP$1</f>
        <v>0</v>
      </c>
      <c r="DV266" s="8">
        <f>+MINVU_Mes_Corriente!DV266*SALUD_Mes_Constante!$DP$1</f>
        <v>0</v>
      </c>
      <c r="DW266" s="8">
        <f>+MINVU_Mes_Corriente!DW266*SALUD_Mes_Constante!$DP$1</f>
        <v>0</v>
      </c>
      <c r="DX266" s="8">
        <f>+MINVU_Mes_Corriente!DX266*SALUD_Mes_Constante!$DP$1</f>
        <v>0</v>
      </c>
      <c r="DY266" s="8">
        <f>+MINVU_Mes_Corriente!DY266*SALUD_Mes_Constante!$DP$1</f>
        <v>0</v>
      </c>
      <c r="DZ266" s="8">
        <f>+MINVU_Mes_Corriente!DZ266*SALUD_Mes_Constante!$DP$1</f>
        <v>0</v>
      </c>
      <c r="EA266" s="8">
        <f>+MINVU_Mes_Corriente!EA266*SALUD_Mes_Constante!$DP$1</f>
        <v>0</v>
      </c>
      <c r="EB266" s="9">
        <f t="shared" ref="EB266:EB297" si="142">EA266</f>
        <v>0</v>
      </c>
      <c r="EC266" s="8">
        <f>+MINVU_Mes_Corriente!EC266*SALUD_Mes_Constante!$EC$1</f>
        <v>0</v>
      </c>
      <c r="ED266" s="8">
        <f>+MINVU_Mes_Corriente!ED266*SALUD_Mes_Constante!$EC$1</f>
        <v>0</v>
      </c>
      <c r="EE266" s="8">
        <f>+MINVU_Mes_Corriente!EE266*SALUD_Mes_Constante!$EC$1</f>
        <v>0</v>
      </c>
      <c r="EF266" s="8">
        <f>+MINVU_Mes_Corriente!EF266*SALUD_Mes_Constante!$EC$1</f>
        <v>0</v>
      </c>
      <c r="EG266" s="8">
        <f>+MINVU_Mes_Corriente!EG266*SALUD_Mes_Constante!$EC$1</f>
        <v>0</v>
      </c>
      <c r="EH266" s="8">
        <f>+MINVU_Mes_Corriente!EH266*SALUD_Mes_Constante!$EC$1</f>
        <v>0</v>
      </c>
      <c r="EI266" s="8">
        <f>+MINVU_Mes_Corriente!EI266*SALUD_Mes_Constante!$EC$1</f>
        <v>0</v>
      </c>
      <c r="EJ266" s="8">
        <f>+MINVU_Mes_Corriente!EJ266*SALUD_Mes_Constante!$EC$1</f>
        <v>0</v>
      </c>
      <c r="EK266" s="8">
        <f>+MINVU_Mes_Corriente!EK266*SALUD_Mes_Constante!$EC$1</f>
        <v>0</v>
      </c>
      <c r="EL266" s="8">
        <f>+MINVU_Mes_Corriente!EL266*SALUD_Mes_Constante!$EC$1</f>
        <v>0</v>
      </c>
      <c r="EM266" s="8">
        <f>+MINVU_Mes_Corriente!EM266*SALUD_Mes_Constante!$EC$1</f>
        <v>0</v>
      </c>
      <c r="EN266" s="8">
        <f>+MINVU_Mes_Corriente!EN266*SALUD_Mes_Constante!$EC$1</f>
        <v>0</v>
      </c>
      <c r="EO266" s="9">
        <f t="shared" ref="EO266:EO297" si="143">EN266</f>
        <v>0</v>
      </c>
      <c r="EP266" s="8">
        <f>+MINVU_Mes_Corriente!EP266*SALUD_Mes_Constante!$EP$1</f>
        <v>0</v>
      </c>
      <c r="EQ266" s="8">
        <f>+MINVU_Mes_Corriente!EQ266*SALUD_Mes_Constante!$EP$1</f>
        <v>0</v>
      </c>
      <c r="ER266" s="8">
        <f>+MINVU_Mes_Corriente!ER266*SALUD_Mes_Constante!$EP$1</f>
        <v>0</v>
      </c>
      <c r="ES266" s="8">
        <f>+MINVU_Mes_Corriente!ES266*SALUD_Mes_Constante!$EP$1</f>
        <v>0</v>
      </c>
      <c r="ET266" s="8">
        <f>+MINVU_Mes_Corriente!ET266*SALUD_Mes_Constante!$EP$1</f>
        <v>0</v>
      </c>
      <c r="EU266" s="8">
        <f>+MINVU_Mes_Corriente!EU266*SALUD_Mes_Constante!$EP$1</f>
        <v>0</v>
      </c>
      <c r="EV266" s="8">
        <f>+MINVU_Mes_Corriente!EV266*SALUD_Mes_Constante!$EP$1</f>
        <v>0</v>
      </c>
      <c r="EW266" s="8">
        <f>+MINVU_Mes_Corriente!EW266*SALUD_Mes_Constante!$EP$1</f>
        <v>0</v>
      </c>
      <c r="EX266" s="8">
        <f>+MINVU_Mes_Corriente!EX266*SALUD_Mes_Constante!$EP$1</f>
        <v>0</v>
      </c>
      <c r="EY266" s="8">
        <f>+MINVU_Mes_Corriente!EY266*SALUD_Mes_Constante!$EP$1</f>
        <v>0</v>
      </c>
      <c r="EZ266" s="8">
        <f>+MINVU_Mes_Corriente!EZ266*SALUD_Mes_Constante!$EP$1</f>
        <v>0</v>
      </c>
      <c r="FA266" s="8">
        <f>+MINVU_Mes_Corriente!FA266*SALUD_Mes_Constante!$EP$1</f>
        <v>0</v>
      </c>
      <c r="FB266" s="9">
        <f t="shared" ref="FB266:FB297" si="144">FA266</f>
        <v>0</v>
      </c>
      <c r="FC266" s="8">
        <f>+MINVU_Mes_Corriente!FC266*SALUD_Mes_Constante!$FC$1</f>
        <v>0</v>
      </c>
      <c r="FD266" s="8">
        <f>+MINVU_Mes_Corriente!FD266*SALUD_Mes_Constante!$FC$1</f>
        <v>0</v>
      </c>
      <c r="FE266" s="8">
        <f>+MINVU_Mes_Corriente!FE266*SALUD_Mes_Constante!$FC$1</f>
        <v>0</v>
      </c>
      <c r="FF266" s="8">
        <f>+MINVU_Mes_Corriente!FF266*SALUD_Mes_Constante!$FC$1</f>
        <v>0</v>
      </c>
      <c r="FG266" s="8">
        <f>+MINVU_Mes_Corriente!FG266*SALUD_Mes_Constante!$FC$1</f>
        <v>0</v>
      </c>
      <c r="FH266" s="8">
        <f>+MINVU_Mes_Corriente!FH266*SALUD_Mes_Constante!$FC$1</f>
        <v>0</v>
      </c>
      <c r="FI266" s="8">
        <f>+MINVU_Mes_Corriente!FI266*SALUD_Mes_Constante!$FC$1</f>
        <v>0</v>
      </c>
      <c r="FJ266" s="8"/>
      <c r="FK266" s="8"/>
      <c r="FL266" s="8"/>
      <c r="FM266" s="8"/>
      <c r="FN266" s="8"/>
      <c r="FO266" s="9">
        <f t="shared" ref="FO266:FO297" si="145">FI266</f>
        <v>0</v>
      </c>
    </row>
    <row r="267" spans="2:171" ht="14.25" customHeight="1" x14ac:dyDescent="0.3">
      <c r="B267" s="7" t="s">
        <v>44</v>
      </c>
      <c r="C267" s="8">
        <f>+MINVU_Mes_Corriente!C267*SALUD_Mes_Constante!$C$1</f>
        <v>0</v>
      </c>
      <c r="D267" s="8">
        <f>+MINVU_Mes_Corriente!D267*SALUD_Mes_Constante!$C$1</f>
        <v>0</v>
      </c>
      <c r="E267" s="8">
        <f>+MINVU_Mes_Corriente!E267*SALUD_Mes_Constante!$C$1</f>
        <v>0</v>
      </c>
      <c r="F267" s="8">
        <f>+MINVU_Mes_Corriente!F267*SALUD_Mes_Constante!$C$1</f>
        <v>0</v>
      </c>
      <c r="G267" s="8">
        <f>+MINVU_Mes_Corriente!G267*SALUD_Mes_Constante!$C$1</f>
        <v>0</v>
      </c>
      <c r="H267" s="8">
        <f>+MINVU_Mes_Corriente!H267*SALUD_Mes_Constante!$C$1</f>
        <v>98841.168619308926</v>
      </c>
      <c r="I267" s="8">
        <f>+MINVU_Mes_Corriente!I267*SALUD_Mes_Constante!$C$1</f>
        <v>98841.168619308926</v>
      </c>
      <c r="J267" s="8">
        <f>+MINVU_Mes_Corriente!J267*SALUD_Mes_Constante!$C$1</f>
        <v>98841.168619308926</v>
      </c>
      <c r="K267" s="8">
        <f>+MINVU_Mes_Corriente!K267*SALUD_Mes_Constante!$C$1</f>
        <v>98841.168619308926</v>
      </c>
      <c r="L267" s="8">
        <f>+MINVU_Mes_Corriente!L267*SALUD_Mes_Constante!$C$1</f>
        <v>98841.168619308926</v>
      </c>
      <c r="M267" s="8">
        <f>+MINVU_Mes_Corriente!M267*SALUD_Mes_Constante!$C$1</f>
        <v>98841.168619308926</v>
      </c>
      <c r="N267" s="8">
        <f>+MINVU_Mes_Corriente!N267*SALUD_Mes_Constante!$C$1</f>
        <v>1616604.0249147266</v>
      </c>
      <c r="O267" s="9">
        <f t="shared" si="133"/>
        <v>1616604.0249147266</v>
      </c>
      <c r="P267" s="8">
        <f>+MINVU_Mes_Corriente!P267*SALUD_Mes_Constante!$P$1</f>
        <v>0</v>
      </c>
      <c r="Q267" s="8">
        <f>+MINVU_Mes_Corriente!Q267*SALUD_Mes_Constante!$P$1</f>
        <v>0</v>
      </c>
      <c r="R267" s="8">
        <f>+MINVU_Mes_Corriente!R267*SALUD_Mes_Constante!$P$1</f>
        <v>0</v>
      </c>
      <c r="S267" s="8">
        <f>+MINVU_Mes_Corriente!S267*SALUD_Mes_Constante!$P$1</f>
        <v>0</v>
      </c>
      <c r="T267" s="8">
        <f>+MINVU_Mes_Corriente!T267*SALUD_Mes_Constante!$P$1</f>
        <v>0</v>
      </c>
      <c r="U267" s="8">
        <f>+MINVU_Mes_Corriente!U267*SALUD_Mes_Constante!$P$1</f>
        <v>0</v>
      </c>
      <c r="V267" s="8">
        <f>+MINVU_Mes_Corriente!V267*SALUD_Mes_Constante!$P$1</f>
        <v>0</v>
      </c>
      <c r="W267" s="8">
        <f>+MINVU_Mes_Corriente!W267*SALUD_Mes_Constante!$P$1</f>
        <v>0</v>
      </c>
      <c r="X267" s="8">
        <f>+MINVU_Mes_Corriente!X267*SALUD_Mes_Constante!$P$1</f>
        <v>0</v>
      </c>
      <c r="Y267" s="8">
        <f>+MINVU_Mes_Corriente!Y267*SALUD_Mes_Constante!$P$1</f>
        <v>0</v>
      </c>
      <c r="Z267" s="8">
        <f>+MINVU_Mes_Corriente!Z267*SALUD_Mes_Constante!$P$1</f>
        <v>0</v>
      </c>
      <c r="AA267" s="8">
        <f>+MINVU_Mes_Corriente!AA267*SALUD_Mes_Constante!$P$1</f>
        <v>0</v>
      </c>
      <c r="AB267" s="9">
        <f t="shared" si="134"/>
        <v>0</v>
      </c>
      <c r="AC267" s="8">
        <f>+MINVU_Mes_Corriente!AC267*SALUD_Mes_Constante!$AC$1</f>
        <v>0</v>
      </c>
      <c r="AD267" s="8">
        <f>+MINVU_Mes_Corriente!AD267*SALUD_Mes_Constante!$AC$1</f>
        <v>0</v>
      </c>
      <c r="AE267" s="8">
        <f>+MINVU_Mes_Corriente!AE267*SALUD_Mes_Constante!$AC$1</f>
        <v>0</v>
      </c>
      <c r="AF267" s="8">
        <f>+MINVU_Mes_Corriente!AF267*SALUD_Mes_Constante!$AC$1</f>
        <v>0</v>
      </c>
      <c r="AG267" s="8">
        <f>+MINVU_Mes_Corriente!AG267*SALUD_Mes_Constante!$AC$1</f>
        <v>0</v>
      </c>
      <c r="AH267" s="8">
        <f>+MINVU_Mes_Corriente!AH267*SALUD_Mes_Constante!$AC$1</f>
        <v>0</v>
      </c>
      <c r="AI267" s="8">
        <f>+MINVU_Mes_Corriente!AI267*SALUD_Mes_Constante!$AC$1</f>
        <v>0</v>
      </c>
      <c r="AJ267" s="8">
        <f>+MINVU_Mes_Corriente!AJ267*SALUD_Mes_Constante!$AC$1</f>
        <v>0</v>
      </c>
      <c r="AK267" s="8">
        <f>+MINVU_Mes_Corriente!AK267*SALUD_Mes_Constante!$AC$1</f>
        <v>0</v>
      </c>
      <c r="AL267" s="8">
        <f>+MINVU_Mes_Corriente!AL267*SALUD_Mes_Constante!$AC$1</f>
        <v>0</v>
      </c>
      <c r="AM267" s="8">
        <f>+MINVU_Mes_Corriente!AM267*SALUD_Mes_Constante!$AC$1</f>
        <v>0</v>
      </c>
      <c r="AN267" s="8">
        <f>+MINVU_Mes_Corriente!AN267*SALUD_Mes_Constante!$AC$1</f>
        <v>0</v>
      </c>
      <c r="AO267" s="9">
        <f t="shared" si="135"/>
        <v>0</v>
      </c>
      <c r="AP267" s="8">
        <f>+MINVU_Mes_Corriente!AP267*SALUD_Mes_Constante!$AP$1</f>
        <v>0</v>
      </c>
      <c r="AQ267" s="8">
        <f>+MINVU_Mes_Corriente!AQ267*SALUD_Mes_Constante!$AP$1</f>
        <v>0</v>
      </c>
      <c r="AR267" s="8">
        <f>+MINVU_Mes_Corriente!AR267*SALUD_Mes_Constante!$AP$1</f>
        <v>0</v>
      </c>
      <c r="AS267" s="8">
        <f>+MINVU_Mes_Corriente!AS267*SALUD_Mes_Constante!$AP$1</f>
        <v>0</v>
      </c>
      <c r="AT267" s="8">
        <f>+MINVU_Mes_Corriente!AT267*SALUD_Mes_Constante!$AP$1</f>
        <v>0</v>
      </c>
      <c r="AU267" s="8">
        <f>+MINVU_Mes_Corriente!AU267*SALUD_Mes_Constante!$AP$1</f>
        <v>0</v>
      </c>
      <c r="AV267" s="8">
        <f>+MINVU_Mes_Corriente!AV267*SALUD_Mes_Constante!$AP$1</f>
        <v>0</v>
      </c>
      <c r="AW267" s="8">
        <f>+MINVU_Mes_Corriente!AW267*SALUD_Mes_Constante!$AP$1</f>
        <v>0</v>
      </c>
      <c r="AX267" s="8">
        <f>+MINVU_Mes_Corriente!AX267*SALUD_Mes_Constante!$AP$1</f>
        <v>0</v>
      </c>
      <c r="AY267" s="8">
        <f>+MINVU_Mes_Corriente!AY267*SALUD_Mes_Constante!$AP$1</f>
        <v>0</v>
      </c>
      <c r="AZ267" s="8">
        <f>+MINVU_Mes_Corriente!AZ267*SALUD_Mes_Constante!$AP$1</f>
        <v>0</v>
      </c>
      <c r="BA267" s="8">
        <f>+MINVU_Mes_Corriente!BA267*SALUD_Mes_Constante!$AP$1</f>
        <v>0</v>
      </c>
      <c r="BB267" s="9">
        <f t="shared" si="136"/>
        <v>0</v>
      </c>
      <c r="BC267" s="8">
        <f>+MINVU_Mes_Corriente!BC267*SALUD_Mes_Constante!$BC$1</f>
        <v>0</v>
      </c>
      <c r="BD267" s="8">
        <f>+MINVU_Mes_Corriente!BD267*SALUD_Mes_Constante!$BC$1</f>
        <v>0</v>
      </c>
      <c r="BE267" s="8">
        <f>+MINVU_Mes_Corriente!BE267*SALUD_Mes_Constante!$BC$1</f>
        <v>0</v>
      </c>
      <c r="BF267" s="8">
        <f>+MINVU_Mes_Corriente!BF267*SALUD_Mes_Constante!$BC$1</f>
        <v>0</v>
      </c>
      <c r="BG267" s="8">
        <f>+MINVU_Mes_Corriente!BG267*SALUD_Mes_Constante!$BC$1</f>
        <v>0</v>
      </c>
      <c r="BH267" s="8">
        <f>+MINVU_Mes_Corriente!BH267*SALUD_Mes_Constante!$BC$1</f>
        <v>0</v>
      </c>
      <c r="BI267" s="8">
        <f>+MINVU_Mes_Corriente!BI267*SALUD_Mes_Constante!$BC$1</f>
        <v>0</v>
      </c>
      <c r="BJ267" s="8">
        <f>+MINVU_Mes_Corriente!BJ267*SALUD_Mes_Constante!$BC$1</f>
        <v>449546.61743373348</v>
      </c>
      <c r="BK267" s="8">
        <f>+MINVU_Mes_Corriente!BK267*SALUD_Mes_Constante!$BC$1</f>
        <v>449546.61743373348</v>
      </c>
      <c r="BL267" s="8">
        <f>+MINVU_Mes_Corriente!BL267*SALUD_Mes_Constante!$BC$1</f>
        <v>769266.47711987363</v>
      </c>
      <c r="BM267" s="8">
        <f>+MINVU_Mes_Corriente!BM267*SALUD_Mes_Constante!$BC$1</f>
        <v>769266.47711987363</v>
      </c>
      <c r="BN267" s="8">
        <f>+MINVU_Mes_Corriente!BN267*SALUD_Mes_Constante!$BC$1</f>
        <v>769266.47711987363</v>
      </c>
      <c r="BO267" s="9">
        <f t="shared" si="137"/>
        <v>769266.47711987363</v>
      </c>
      <c r="BP267" s="8">
        <f>+MINVU_Mes_Corriente!BP267*SALUD_Mes_Constante!$BP$1</f>
        <v>0</v>
      </c>
      <c r="BQ267" s="8">
        <f>+MINVU_Mes_Corriente!BQ267*SALUD_Mes_Constante!$BP$1</f>
        <v>0</v>
      </c>
      <c r="BR267" s="8">
        <f>+MINVU_Mes_Corriente!BR267*SALUD_Mes_Constante!$BP$1</f>
        <v>0</v>
      </c>
      <c r="BS267" s="8">
        <f>+MINVU_Mes_Corriente!BS267*SALUD_Mes_Constante!$BP$1</f>
        <v>0</v>
      </c>
      <c r="BT267" s="8">
        <f>+MINVU_Mes_Corriente!BT267*SALUD_Mes_Constante!$BP$1</f>
        <v>0</v>
      </c>
      <c r="BU267" s="8">
        <f>+MINVU_Mes_Corriente!BU267*SALUD_Mes_Constante!$BP$1</f>
        <v>0</v>
      </c>
      <c r="BV267" s="8">
        <f>+MINVU_Mes_Corriente!BV267*SALUD_Mes_Constante!$BP$1</f>
        <v>549961.11933418701</v>
      </c>
      <c r="BW267" s="8">
        <f>+MINVU_Mes_Corriente!BW267*SALUD_Mes_Constante!$BP$1</f>
        <v>761196.65300896298</v>
      </c>
      <c r="BX267" s="8">
        <f>+MINVU_Mes_Corriente!BX267*SALUD_Mes_Constante!$BP$1</f>
        <v>761196.65300896298</v>
      </c>
      <c r="BY267" s="8">
        <f>+MINVU_Mes_Corriente!BY267*SALUD_Mes_Constante!$BP$1</f>
        <v>761196.65300896298</v>
      </c>
      <c r="BZ267" s="8">
        <f>+MINVU_Mes_Corriente!BZ267*SALUD_Mes_Constante!$BP$1</f>
        <v>761196.65300896298</v>
      </c>
      <c r="CA267" s="8">
        <f>+MINVU_Mes_Corriente!CA267*SALUD_Mes_Constante!$BP$1</f>
        <v>761196.65300896298</v>
      </c>
      <c r="CB267" s="9">
        <f t="shared" si="138"/>
        <v>761196.65300896298</v>
      </c>
      <c r="CC267" s="8">
        <f>+MINVU_Mes_Corriente!CC267*SALUD_Mes_Constante!$CC$1</f>
        <v>0</v>
      </c>
      <c r="CD267" s="8">
        <f>+MINVU_Mes_Corriente!CD267*SALUD_Mes_Constante!$CC$1</f>
        <v>0</v>
      </c>
      <c r="CE267" s="8">
        <f>+MINVU_Mes_Corriente!CE267*SALUD_Mes_Constante!$CC$1</f>
        <v>0</v>
      </c>
      <c r="CF267" s="8">
        <f>+MINVU_Mes_Corriente!CF267*SALUD_Mes_Constante!$CC$1</f>
        <v>0</v>
      </c>
      <c r="CG267" s="8">
        <f>+MINVU_Mes_Corriente!CG267*SALUD_Mes_Constante!$CC$1</f>
        <v>0</v>
      </c>
      <c r="CH267" s="8">
        <f>+MINVU_Mes_Corriente!CH267*SALUD_Mes_Constante!$CC$1</f>
        <v>0</v>
      </c>
      <c r="CI267" s="8">
        <f>+MINVU_Mes_Corriente!CI267*SALUD_Mes_Constante!$CC$1</f>
        <v>0</v>
      </c>
      <c r="CJ267" s="8">
        <f>+MINVU_Mes_Corriente!CJ267*SALUD_Mes_Constante!$CC$1</f>
        <v>0</v>
      </c>
      <c r="CK267" s="8">
        <f>+MINVU_Mes_Corriente!CK267*SALUD_Mes_Constante!$CC$1</f>
        <v>337336.68407310708</v>
      </c>
      <c r="CL267" s="8">
        <f>+MINVU_Mes_Corriente!CL267*SALUD_Mes_Constante!$CC$1</f>
        <v>337336.68407310708</v>
      </c>
      <c r="CM267" s="8">
        <f>+MINVU_Mes_Corriente!CM267*SALUD_Mes_Constante!$CC$1</f>
        <v>503037.49571055581</v>
      </c>
      <c r="CN267" s="8">
        <f>+MINVU_Mes_Corriente!CN267*SALUD_Mes_Constante!$CC$1</f>
        <v>503037.49571055581</v>
      </c>
      <c r="CO267" s="9">
        <f t="shared" si="139"/>
        <v>503037.49571055581</v>
      </c>
      <c r="CP267" s="8">
        <f>+MINVU_Mes_Corriente!CP267*SALUD_Mes_Constante!$CP$1</f>
        <v>0</v>
      </c>
      <c r="CQ267" s="8">
        <f>+MINVU_Mes_Corriente!CQ267*SALUD_Mes_Constante!$CP$1</f>
        <v>0</v>
      </c>
      <c r="CR267" s="8">
        <f>+MINVU_Mes_Corriente!CR267*SALUD_Mes_Constante!$CP$1</f>
        <v>0</v>
      </c>
      <c r="CS267" s="8">
        <f>+MINVU_Mes_Corriente!CS267*SALUD_Mes_Constante!$CP$1</f>
        <v>0</v>
      </c>
      <c r="CT267" s="8">
        <f>+MINVU_Mes_Corriente!CT267*SALUD_Mes_Constante!$CP$1</f>
        <v>0</v>
      </c>
      <c r="CU267" s="8">
        <f>+MINVU_Mes_Corriente!CU267*SALUD_Mes_Constante!$CP$1</f>
        <v>190444.48955916471</v>
      </c>
      <c r="CV267" s="8">
        <f>+MINVU_Mes_Corriente!CV267*SALUD_Mes_Constante!$CP$1</f>
        <v>190444.48955916471</v>
      </c>
      <c r="CW267" s="8">
        <f>+MINVU_Mes_Corriente!CW267*SALUD_Mes_Constante!$CP$1</f>
        <v>740179.46171693725</v>
      </c>
      <c r="CX267" s="8">
        <f>+MINVU_Mes_Corriente!CX267*SALUD_Mes_Constante!$CP$1</f>
        <v>740179.46171693725</v>
      </c>
      <c r="CY267" s="8">
        <f>+MINVU_Mes_Corriente!CY267*SALUD_Mes_Constante!$CP$1</f>
        <v>740179.46171693725</v>
      </c>
      <c r="CZ267" s="8">
        <f>+MINVU_Mes_Corriente!CZ267*SALUD_Mes_Constante!$CP$1</f>
        <v>740179.46171693725</v>
      </c>
      <c r="DA267" s="8">
        <f>+MINVU_Mes_Corriente!DA267*SALUD_Mes_Constante!$CP$1</f>
        <v>740179.46171693725</v>
      </c>
      <c r="DB267" s="9">
        <f t="shared" si="140"/>
        <v>740179.46171693725</v>
      </c>
      <c r="DC267" s="8">
        <f>+MINVU_Mes_Corriente!DC267*SALUD_Mes_Constante!$DC$1</f>
        <v>0</v>
      </c>
      <c r="DD267" s="8">
        <f>+MINVU_Mes_Corriente!DD267*SALUD_Mes_Constante!$DC$1</f>
        <v>0</v>
      </c>
      <c r="DE267" s="8">
        <f>+MINVU_Mes_Corriente!DE267*SALUD_Mes_Constante!$DC$1</f>
        <v>0</v>
      </c>
      <c r="DF267" s="8">
        <f>+MINVU_Mes_Corriente!DF267*SALUD_Mes_Constante!$DC$1</f>
        <v>0</v>
      </c>
      <c r="DG267" s="8">
        <f>+MINVU_Mes_Corriente!DG267*SALUD_Mes_Constante!$DC$1</f>
        <v>0</v>
      </c>
      <c r="DH267" s="8">
        <f>+MINVU_Mes_Corriente!DH267*SALUD_Mes_Constante!$DC$1</f>
        <v>0</v>
      </c>
      <c r="DI267" s="8">
        <f>+MINVU_Mes_Corriente!DI267*SALUD_Mes_Constante!$DC$1</f>
        <v>431875.41096595023</v>
      </c>
      <c r="DJ267" s="8">
        <f>+MINVU_Mes_Corriente!DJ267*SALUD_Mes_Constante!$DC$1</f>
        <v>431875.41096595023</v>
      </c>
      <c r="DK267" s="8">
        <f>+MINVU_Mes_Corriente!DK267*SALUD_Mes_Constante!$DC$1</f>
        <v>431875.41096595023</v>
      </c>
      <c r="DL267" s="8">
        <f>+MINVU_Mes_Corriente!DL267*SALUD_Mes_Constante!$DC$1</f>
        <v>431875.41096595023</v>
      </c>
      <c r="DM267" s="8">
        <f>+MINVU_Mes_Corriente!DM267*SALUD_Mes_Constante!$DC$1</f>
        <v>431875.41096595023</v>
      </c>
      <c r="DN267" s="8">
        <f>+MINVU_Mes_Corriente!DN267*SALUD_Mes_Constante!$DC$1</f>
        <v>431875.41096595023</v>
      </c>
      <c r="DO267" s="9">
        <f t="shared" si="141"/>
        <v>431875.41096595023</v>
      </c>
      <c r="DP267" s="8">
        <f>+MINVU_Mes_Corriente!DP267*SALUD_Mes_Constante!$DP$1</f>
        <v>0</v>
      </c>
      <c r="DQ267" s="8">
        <f>+MINVU_Mes_Corriente!DQ267*SALUD_Mes_Constante!$DP$1</f>
        <v>0</v>
      </c>
      <c r="DR267" s="8">
        <f>+MINVU_Mes_Corriente!DR267*SALUD_Mes_Constante!$DP$1</f>
        <v>0</v>
      </c>
      <c r="DS267" s="8">
        <f>+MINVU_Mes_Corriente!DS267*SALUD_Mes_Constante!$DP$1</f>
        <v>0</v>
      </c>
      <c r="DT267" s="8">
        <f>+MINVU_Mes_Corriente!DT267*SALUD_Mes_Constante!$DP$1</f>
        <v>0</v>
      </c>
      <c r="DU267" s="8">
        <f>+MINVU_Mes_Corriente!DU267*SALUD_Mes_Constante!$DP$1</f>
        <v>0</v>
      </c>
      <c r="DV267" s="8">
        <f>+MINVU_Mes_Corriente!DV267*SALUD_Mes_Constante!$DP$1</f>
        <v>591108.06235154404</v>
      </c>
      <c r="DW267" s="8">
        <f>+MINVU_Mes_Corriente!DW267*SALUD_Mes_Constante!$DP$1</f>
        <v>591108.06235154404</v>
      </c>
      <c r="DX267" s="8">
        <f>+MINVU_Mes_Corriente!DX267*SALUD_Mes_Constante!$DP$1</f>
        <v>591108.06235154404</v>
      </c>
      <c r="DY267" s="8">
        <f>+MINVU_Mes_Corriente!DY267*SALUD_Mes_Constante!$DP$1</f>
        <v>591108.06235154404</v>
      </c>
      <c r="DZ267" s="8">
        <f>+MINVU_Mes_Corriente!DZ267*SALUD_Mes_Constante!$DP$1</f>
        <v>591108.06235154404</v>
      </c>
      <c r="EA267" s="8">
        <f>+MINVU_Mes_Corriente!EA267*SALUD_Mes_Constante!$DP$1</f>
        <v>591108.06235154404</v>
      </c>
      <c r="EB267" s="9">
        <f t="shared" si="142"/>
        <v>591108.06235154404</v>
      </c>
      <c r="EC267" s="8">
        <f>+MINVU_Mes_Corriente!EC267*SALUD_Mes_Constante!$EC$1</f>
        <v>0</v>
      </c>
      <c r="ED267" s="8">
        <f>+MINVU_Mes_Corriente!ED267*SALUD_Mes_Constante!$EC$1</f>
        <v>0</v>
      </c>
      <c r="EE267" s="8">
        <f>+MINVU_Mes_Corriente!EE267*SALUD_Mes_Constante!$EC$1</f>
        <v>0</v>
      </c>
      <c r="EF267" s="8">
        <f>+MINVU_Mes_Corriente!EF267*SALUD_Mes_Constante!$EC$1</f>
        <v>0</v>
      </c>
      <c r="EG267" s="8">
        <f>+MINVU_Mes_Corriente!EG267*SALUD_Mes_Constante!$EC$1</f>
        <v>0</v>
      </c>
      <c r="EH267" s="8">
        <f>+MINVU_Mes_Corriente!EH267*SALUD_Mes_Constante!$EC$1</f>
        <v>0</v>
      </c>
      <c r="EI267" s="8">
        <f>+MINVU_Mes_Corriente!EI267*SALUD_Mes_Constante!$EC$1</f>
        <v>0</v>
      </c>
      <c r="EJ267" s="8">
        <f>+MINVU_Mes_Corriente!EJ267*SALUD_Mes_Constante!$EC$1</f>
        <v>0</v>
      </c>
      <c r="EK267" s="8">
        <f>+MINVU_Mes_Corriente!EK267*SALUD_Mes_Constante!$EC$1</f>
        <v>0</v>
      </c>
      <c r="EL267" s="8">
        <f>+MINVU_Mes_Corriente!EL267*SALUD_Mes_Constante!$EC$1</f>
        <v>587228.53531528101</v>
      </c>
      <c r="EM267" s="8">
        <f>+MINVU_Mes_Corriente!EM267*SALUD_Mes_Constante!$EC$1</f>
        <v>587228.53531528101</v>
      </c>
      <c r="EN267" s="8">
        <f>+MINVU_Mes_Corriente!EN267*SALUD_Mes_Constante!$EC$1</f>
        <v>587228.53531528101</v>
      </c>
      <c r="EO267" s="9">
        <f t="shared" si="143"/>
        <v>587228.53531528101</v>
      </c>
      <c r="EP267" s="8">
        <f>+MINVU_Mes_Corriente!EP267*SALUD_Mes_Constante!$EP$1</f>
        <v>0</v>
      </c>
      <c r="EQ267" s="8">
        <f>+MINVU_Mes_Corriente!EQ267*SALUD_Mes_Constante!$EP$1</f>
        <v>0</v>
      </c>
      <c r="ER267" s="8">
        <f>+MINVU_Mes_Corriente!ER267*SALUD_Mes_Constante!$EP$1</f>
        <v>0</v>
      </c>
      <c r="ES267" s="8">
        <f>+MINVU_Mes_Corriente!ES267*SALUD_Mes_Constante!$EP$1</f>
        <v>0</v>
      </c>
      <c r="ET267" s="8">
        <f>+MINVU_Mes_Corriente!ET267*SALUD_Mes_Constante!$EP$1</f>
        <v>457257</v>
      </c>
      <c r="EU267" s="8">
        <f>+MINVU_Mes_Corriente!EU267*SALUD_Mes_Constante!$EP$1</f>
        <v>457257</v>
      </c>
      <c r="EV267" s="8">
        <f>+MINVU_Mes_Corriente!EV267*SALUD_Mes_Constante!$EP$1</f>
        <v>457257</v>
      </c>
      <c r="EW267" s="8">
        <f>+MINVU_Mes_Corriente!EW267*SALUD_Mes_Constante!$EP$1</f>
        <v>457257</v>
      </c>
      <c r="EX267" s="8">
        <f>+MINVU_Mes_Corriente!EX267*SALUD_Mes_Constante!$EP$1</f>
        <v>457257</v>
      </c>
      <c r="EY267" s="8">
        <f>+MINVU_Mes_Corriente!EY267*SALUD_Mes_Constante!$EP$1</f>
        <v>457257</v>
      </c>
      <c r="EZ267" s="8">
        <f>+MINVU_Mes_Corriente!EZ267*SALUD_Mes_Constante!$EP$1</f>
        <v>457257</v>
      </c>
      <c r="FA267" s="8">
        <f>+MINVU_Mes_Corriente!FA267*SALUD_Mes_Constante!$EP$1</f>
        <v>512001</v>
      </c>
      <c r="FB267" s="9">
        <f t="shared" si="144"/>
        <v>512001</v>
      </c>
      <c r="FC267" s="8">
        <f>+MINVU_Mes_Corriente!FC267*SALUD_Mes_Constante!$FC$1</f>
        <v>0</v>
      </c>
      <c r="FD267" s="8">
        <f>+MINVU_Mes_Corriente!FD267*SALUD_Mes_Constante!$FC$1</f>
        <v>0</v>
      </c>
      <c r="FE267" s="8">
        <f>+MINVU_Mes_Corriente!FE267*SALUD_Mes_Constante!$FC$1</f>
        <v>0</v>
      </c>
      <c r="FF267" s="8">
        <f>+MINVU_Mes_Corriente!FF267*SALUD_Mes_Constante!$FC$1</f>
        <v>0</v>
      </c>
      <c r="FG267" s="8">
        <f>+MINVU_Mes_Corriente!FG267*SALUD_Mes_Constante!$FC$1</f>
        <v>0</v>
      </c>
      <c r="FH267" s="8">
        <f>+MINVU_Mes_Corriente!FH267*SALUD_Mes_Constante!$FC$1</f>
        <v>0</v>
      </c>
      <c r="FI267" s="8">
        <f>+MINVU_Mes_Corriente!FI267*SALUD_Mes_Constante!$FC$1</f>
        <v>0</v>
      </c>
      <c r="FJ267" s="8"/>
      <c r="FK267" s="8"/>
      <c r="FL267" s="8"/>
      <c r="FM267" s="8"/>
      <c r="FN267" s="8"/>
      <c r="FO267" s="9">
        <f t="shared" si="145"/>
        <v>0</v>
      </c>
    </row>
    <row r="268" spans="2:171" ht="14.25" customHeight="1" x14ac:dyDescent="0.3">
      <c r="B268" s="7" t="s">
        <v>45</v>
      </c>
      <c r="C268" s="8">
        <f>+MINVU_Mes_Corriente!C268*SALUD_Mes_Constante!$C$1</f>
        <v>53152773.365267694</v>
      </c>
      <c r="D268" s="8">
        <f>+MINVU_Mes_Corriente!D268*SALUD_Mes_Constante!$C$1</f>
        <v>253552281.87512982</v>
      </c>
      <c r="E268" s="8">
        <f>+MINVU_Mes_Corriente!E268*SALUD_Mes_Constante!$C$1</f>
        <v>446221215.18285638</v>
      </c>
      <c r="F268" s="8">
        <f>+MINVU_Mes_Corriente!F268*SALUD_Mes_Constante!$C$1</f>
        <v>446221215.18285638</v>
      </c>
      <c r="G268" s="8">
        <f>+MINVU_Mes_Corriente!G268*SALUD_Mes_Constante!$C$1</f>
        <v>446221215.18285638</v>
      </c>
      <c r="H268" s="8">
        <f>+MINVU_Mes_Corriente!H268*SALUD_Mes_Constante!$C$1</f>
        <v>435688325.95461965</v>
      </c>
      <c r="I268" s="8">
        <f>+MINVU_Mes_Corriente!I268*SALUD_Mes_Constante!$C$1</f>
        <v>436138434.05338877</v>
      </c>
      <c r="J268" s="8">
        <f>+MINVU_Mes_Corriente!J268*SALUD_Mes_Constante!$C$1</f>
        <v>440554331.77754718</v>
      </c>
      <c r="K268" s="8">
        <f>+MINVU_Mes_Corriente!K268*SALUD_Mes_Constante!$C$1</f>
        <v>500686933.05887598</v>
      </c>
      <c r="L268" s="8">
        <f>+MINVU_Mes_Corriente!L268*SALUD_Mes_Constante!$C$1</f>
        <v>500773974.86044794</v>
      </c>
      <c r="M268" s="8">
        <f>+MINVU_Mes_Corriente!M268*SALUD_Mes_Constante!$C$1</f>
        <v>479780760.40486437</v>
      </c>
      <c r="N268" s="8">
        <f>+MINVU_Mes_Corriente!N268*SALUD_Mes_Constante!$C$1</f>
        <v>499279274.40338135</v>
      </c>
      <c r="O268" s="9">
        <f t="shared" si="133"/>
        <v>499279274.40338135</v>
      </c>
      <c r="P268" s="8">
        <f>+MINVU_Mes_Corriente!P268*SALUD_Mes_Constante!$P$1</f>
        <v>65480739.588577896</v>
      </c>
      <c r="Q268" s="8">
        <f>+MINVU_Mes_Corriente!Q268*SALUD_Mes_Constante!$P$1</f>
        <v>324714914.73788875</v>
      </c>
      <c r="R268" s="8">
        <f>+MINVU_Mes_Corriente!R268*SALUD_Mes_Constante!$P$1</f>
        <v>643520954.30146301</v>
      </c>
      <c r="S268" s="8">
        <f>+MINVU_Mes_Corriente!S268*SALUD_Mes_Constante!$P$1</f>
        <v>688267472.27418637</v>
      </c>
      <c r="T268" s="8">
        <f>+MINVU_Mes_Corriente!T268*SALUD_Mes_Constante!$P$1</f>
        <v>694712382.68958628</v>
      </c>
      <c r="U268" s="8">
        <f>+MINVU_Mes_Corriente!U268*SALUD_Mes_Constante!$P$1</f>
        <v>712663917.10527039</v>
      </c>
      <c r="V268" s="8">
        <f>+MINVU_Mes_Corriente!V268*SALUD_Mes_Constante!$P$1</f>
        <v>755516522.64156806</v>
      </c>
      <c r="W268" s="8">
        <f>+MINVU_Mes_Corriente!W268*SALUD_Mes_Constante!$P$1</f>
        <v>754857263.72723365</v>
      </c>
      <c r="X268" s="8">
        <f>+MINVU_Mes_Corriente!X268*SALUD_Mes_Constante!$P$1</f>
        <v>766217002.17843413</v>
      </c>
      <c r="Y268" s="8">
        <f>+MINVU_Mes_Corriente!Y268*SALUD_Mes_Constante!$P$1</f>
        <v>788029323.0566839</v>
      </c>
      <c r="Z268" s="8">
        <f>+MINVU_Mes_Corriente!Z268*SALUD_Mes_Constante!$P$1</f>
        <v>796460609.45361531</v>
      </c>
      <c r="AA268" s="8">
        <f>+MINVU_Mes_Corriente!AA268*SALUD_Mes_Constante!$P$1</f>
        <v>816033825.21352434</v>
      </c>
      <c r="AB268" s="9">
        <f t="shared" si="134"/>
        <v>816033825.21352434</v>
      </c>
      <c r="AC268" s="8">
        <f>+MINVU_Mes_Corriente!AC268*SALUD_Mes_Constante!$AC$1</f>
        <v>77513161.087287307</v>
      </c>
      <c r="AD268" s="8">
        <f>+MINVU_Mes_Corriente!AD268*SALUD_Mes_Constante!$AC$1</f>
        <v>473602537.26988518</v>
      </c>
      <c r="AE268" s="8">
        <f>+MINVU_Mes_Corriente!AE268*SALUD_Mes_Constante!$AC$1</f>
        <v>508905248.85267669</v>
      </c>
      <c r="AF268" s="8">
        <f>+MINVU_Mes_Corriente!AF268*SALUD_Mes_Constante!$AC$1</f>
        <v>662890020.49135423</v>
      </c>
      <c r="AG268" s="8">
        <f>+MINVU_Mes_Corriente!AG268*SALUD_Mes_Constante!$AC$1</f>
        <v>749603659.51307237</v>
      </c>
      <c r="AH268" s="8">
        <f>+MINVU_Mes_Corriente!AH268*SALUD_Mes_Constante!$AC$1</f>
        <v>756716279.96099043</v>
      </c>
      <c r="AI268" s="8">
        <f>+MINVU_Mes_Corriente!AI268*SALUD_Mes_Constante!$AC$1</f>
        <v>787566317.81159222</v>
      </c>
      <c r="AJ268" s="8">
        <f>+MINVU_Mes_Corriente!AJ268*SALUD_Mes_Constante!$AC$1</f>
        <v>811070896.09351218</v>
      </c>
      <c r="AK268" s="8">
        <f>+MINVU_Mes_Corriente!AK268*SALUD_Mes_Constante!$AC$1</f>
        <v>815738223.63286757</v>
      </c>
      <c r="AL268" s="8">
        <f>+MINVU_Mes_Corriente!AL268*SALUD_Mes_Constante!$AC$1</f>
        <v>805209991.09392726</v>
      </c>
      <c r="AM268" s="8">
        <f>+MINVU_Mes_Corriente!AM268*SALUD_Mes_Constante!$AC$1</f>
        <v>794627560.81892383</v>
      </c>
      <c r="AN268" s="8">
        <f>+MINVU_Mes_Corriente!AN268*SALUD_Mes_Constante!$AC$1</f>
        <v>766303080.94203901</v>
      </c>
      <c r="AO268" s="9">
        <f t="shared" si="135"/>
        <v>766303080.94203901</v>
      </c>
      <c r="AP268" s="8">
        <f>+MINVU_Mes_Corriente!AP268*SALUD_Mes_Constante!$AP$1</f>
        <v>92540292.310834572</v>
      </c>
      <c r="AQ268" s="8">
        <f>+MINVU_Mes_Corriente!AQ268*SALUD_Mes_Constante!$AP$1</f>
        <v>362426056.33464086</v>
      </c>
      <c r="AR268" s="8">
        <f>+MINVU_Mes_Corriente!AR268*SALUD_Mes_Constante!$AP$1</f>
        <v>520567073.86365479</v>
      </c>
      <c r="AS268" s="8">
        <f>+MINVU_Mes_Corriente!AS268*SALUD_Mes_Constante!$AP$1</f>
        <v>527681757.56445283</v>
      </c>
      <c r="AT268" s="8">
        <f>+MINVU_Mes_Corriente!AT268*SALUD_Mes_Constante!$AP$1</f>
        <v>540491590.31597459</v>
      </c>
      <c r="AU268" s="8">
        <f>+MINVU_Mes_Corriente!AU268*SALUD_Mes_Constante!$AP$1</f>
        <v>576913299.73569584</v>
      </c>
      <c r="AV268" s="8">
        <f>+MINVU_Mes_Corriente!AV268*SALUD_Mes_Constante!$AP$1</f>
        <v>585591495.07101309</v>
      </c>
      <c r="AW268" s="8">
        <f>+MINVU_Mes_Corriente!AW268*SALUD_Mes_Constante!$AP$1</f>
        <v>589560634.65440273</v>
      </c>
      <c r="AX268" s="8">
        <f>+MINVU_Mes_Corriente!AX268*SALUD_Mes_Constante!$AP$1</f>
        <v>582793617.36723924</v>
      </c>
      <c r="AY268" s="8">
        <f>+MINVU_Mes_Corriente!AY268*SALUD_Mes_Constante!$AP$1</f>
        <v>590819993.22818875</v>
      </c>
      <c r="AZ268" s="8">
        <f>+MINVU_Mes_Corriente!AZ268*SALUD_Mes_Constante!$AP$1</f>
        <v>590819993.22818875</v>
      </c>
      <c r="BA268" s="8">
        <f>+MINVU_Mes_Corriente!BA268*SALUD_Mes_Constante!$AP$1</f>
        <v>580272859.26119304</v>
      </c>
      <c r="BB268" s="9">
        <f t="shared" si="136"/>
        <v>580272859.26119304</v>
      </c>
      <c r="BC268" s="8">
        <f>+MINVU_Mes_Corriente!BC268*SALUD_Mes_Constante!$BC$1</f>
        <v>111329104.58604777</v>
      </c>
      <c r="BD268" s="8">
        <f>+MINVU_Mes_Corriente!BD268*SALUD_Mes_Constante!$BC$1</f>
        <v>111329104.58604777</v>
      </c>
      <c r="BE268" s="8">
        <f>+MINVU_Mes_Corriente!BE268*SALUD_Mes_Constante!$BC$1</f>
        <v>290570520.73506534</v>
      </c>
      <c r="BF268" s="8">
        <f>+MINVU_Mes_Corriente!BF268*SALUD_Mes_Constante!$BC$1</f>
        <v>507706555.45193207</v>
      </c>
      <c r="BG268" s="8">
        <f>+MINVU_Mes_Corriente!BG268*SALUD_Mes_Constante!$BC$1</f>
        <v>638250046.12000549</v>
      </c>
      <c r="BH268" s="8">
        <f>+MINVU_Mes_Corriente!BH268*SALUD_Mes_Constante!$BC$1</f>
        <v>705345164.06118965</v>
      </c>
      <c r="BI268" s="8">
        <f>+MINVU_Mes_Corriente!BI268*SALUD_Mes_Constante!$BC$1</f>
        <v>705351303.54239762</v>
      </c>
      <c r="BJ268" s="8">
        <f>+MINVU_Mes_Corriente!BJ268*SALUD_Mes_Constante!$BC$1</f>
        <v>728561440.06699216</v>
      </c>
      <c r="BK268" s="8">
        <f>+MINVU_Mes_Corriente!BK268*SALUD_Mes_Constante!$BC$1</f>
        <v>752816396.41408432</v>
      </c>
      <c r="BL268" s="8">
        <f>+MINVU_Mes_Corriente!BL268*SALUD_Mes_Constante!$BC$1</f>
        <v>736956470.99802208</v>
      </c>
      <c r="BM268" s="8">
        <f>+MINVU_Mes_Corriente!BM268*SALUD_Mes_Constante!$BC$1</f>
        <v>737379606.75168157</v>
      </c>
      <c r="BN268" s="8">
        <f>+MINVU_Mes_Corriente!BN268*SALUD_Mes_Constante!$BC$1</f>
        <v>684393136.21732843</v>
      </c>
      <c r="BO268" s="9">
        <f t="shared" si="137"/>
        <v>684393136.21732843</v>
      </c>
      <c r="BP268" s="8">
        <f>+MINVU_Mes_Corriente!BP268*SALUD_Mes_Constante!$BP$1</f>
        <v>161362718.27170298</v>
      </c>
      <c r="BQ268" s="8">
        <f>+MINVU_Mes_Corriente!BQ268*SALUD_Mes_Constante!$BP$1</f>
        <v>209760613.20921898</v>
      </c>
      <c r="BR268" s="8">
        <f>+MINVU_Mes_Corriente!BR268*SALUD_Mes_Constante!$BP$1</f>
        <v>750862917.75364923</v>
      </c>
      <c r="BS268" s="8">
        <f>+MINVU_Mes_Corriente!BS268*SALUD_Mes_Constante!$BP$1</f>
        <v>826462158.50857878</v>
      </c>
      <c r="BT268" s="8">
        <f>+MINVU_Mes_Corriente!BT268*SALUD_Mes_Constante!$BP$1</f>
        <v>856709522.03661978</v>
      </c>
      <c r="BU268" s="8">
        <f>+MINVU_Mes_Corriente!BU268*SALUD_Mes_Constante!$BP$1</f>
        <v>959801866.38437915</v>
      </c>
      <c r="BV268" s="8">
        <f>+MINVU_Mes_Corriente!BV268*SALUD_Mes_Constante!$BP$1</f>
        <v>1064142907.0386685</v>
      </c>
      <c r="BW268" s="8">
        <f>+MINVU_Mes_Corriente!BW268*SALUD_Mes_Constante!$BP$1</f>
        <v>1170687299.4023049</v>
      </c>
      <c r="BX268" s="8">
        <f>+MINVU_Mes_Corriente!BX268*SALUD_Mes_Constante!$BP$1</f>
        <v>1171902357.3387966</v>
      </c>
      <c r="BY268" s="8">
        <f>+MINVU_Mes_Corriente!BY268*SALUD_Mes_Constante!$BP$1</f>
        <v>1171902357.3387966</v>
      </c>
      <c r="BZ268" s="8">
        <f>+MINVU_Mes_Corriente!BZ268*SALUD_Mes_Constante!$BP$1</f>
        <v>1224637353.8573625</v>
      </c>
      <c r="CA268" s="8">
        <f>+MINVU_Mes_Corriente!CA268*SALUD_Mes_Constante!$BP$1</f>
        <v>1126478894.5267606</v>
      </c>
      <c r="CB268" s="9">
        <f t="shared" si="138"/>
        <v>1126478894.5267606</v>
      </c>
      <c r="CC268" s="8">
        <f>+MINVU_Mes_Corriente!CC268*SALUD_Mes_Constante!$CC$1</f>
        <v>156373111.69190601</v>
      </c>
      <c r="CD268" s="8">
        <f>+MINVU_Mes_Corriente!CD268*SALUD_Mes_Constante!$CC$1</f>
        <v>373867542.96680349</v>
      </c>
      <c r="CE268" s="8">
        <f>+MINVU_Mes_Corriente!CE268*SALUD_Mes_Constante!$CC$1</f>
        <v>1041605133.0436405</v>
      </c>
      <c r="CF268" s="8">
        <f>+MINVU_Mes_Corriente!CF268*SALUD_Mes_Constante!$CC$1</f>
        <v>1057719908.5110035</v>
      </c>
      <c r="CG268" s="8">
        <f>+MINVU_Mes_Corriente!CG268*SALUD_Mes_Constante!$CC$1</f>
        <v>1078482987.1891086</v>
      </c>
      <c r="CH268" s="8">
        <f>+MINVU_Mes_Corriente!CH268*SALUD_Mes_Constante!$CC$1</f>
        <v>1109279172.7161508</v>
      </c>
      <c r="CI268" s="8">
        <f>+MINVU_Mes_Corriente!CI268*SALUD_Mes_Constante!$CC$1</f>
        <v>1111049797.3763523</v>
      </c>
      <c r="CJ268" s="8">
        <f>+MINVU_Mes_Corriente!CJ268*SALUD_Mes_Constante!$CC$1</f>
        <v>1093052481.4822829</v>
      </c>
      <c r="CK268" s="8">
        <f>+MINVU_Mes_Corriente!CK268*SALUD_Mes_Constante!$CC$1</f>
        <v>1117877101.9873183</v>
      </c>
      <c r="CL268" s="8">
        <f>+MINVU_Mes_Corriente!CL268*SALUD_Mes_Constante!$CC$1</f>
        <v>1116657220.8116376</v>
      </c>
      <c r="CM268" s="8">
        <f>+MINVU_Mes_Corriente!CM268*SALUD_Mes_Constante!$CC$1</f>
        <v>1062620785.3047371</v>
      </c>
      <c r="CN268" s="8">
        <f>+MINVU_Mes_Corriente!CN268*SALUD_Mes_Constante!$CC$1</f>
        <v>917835531.37933612</v>
      </c>
      <c r="CO268" s="9">
        <f t="shared" si="139"/>
        <v>917835531.37933612</v>
      </c>
      <c r="CP268" s="8">
        <f>+MINVU_Mes_Corriente!CP268*SALUD_Mes_Constante!$CP$1</f>
        <v>163172815.8389791</v>
      </c>
      <c r="CQ268" s="8">
        <f>+MINVU_Mes_Corriente!CQ268*SALUD_Mes_Constante!$CP$1</f>
        <v>909538266.9466356</v>
      </c>
      <c r="CR268" s="8">
        <f>+MINVU_Mes_Corriente!CR268*SALUD_Mes_Constante!$CP$1</f>
        <v>949649268.3243618</v>
      </c>
      <c r="CS268" s="8">
        <f>+MINVU_Mes_Corriente!CS268*SALUD_Mes_Constante!$CP$1</f>
        <v>990276646.15127587</v>
      </c>
      <c r="CT268" s="8">
        <f>+MINVU_Mes_Corriente!CT268*SALUD_Mes_Constante!$CP$1</f>
        <v>1007612439.8220415</v>
      </c>
      <c r="CU268" s="8">
        <f>+MINVU_Mes_Corriente!CU268*SALUD_Mes_Constante!$CP$1</f>
        <v>1016495598.5039442</v>
      </c>
      <c r="CV268" s="8">
        <f>+MINVU_Mes_Corriente!CV268*SALUD_Mes_Constante!$CP$1</f>
        <v>1015901577.7412992</v>
      </c>
      <c r="CW268" s="8">
        <f>+MINVU_Mes_Corriente!CW268*SALUD_Mes_Constante!$CP$1</f>
        <v>1011590162.9310902</v>
      </c>
      <c r="CX268" s="8">
        <f>+MINVU_Mes_Corriente!CX268*SALUD_Mes_Constante!$CP$1</f>
        <v>1011725465.3436192</v>
      </c>
      <c r="CY268" s="8">
        <f>+MINVU_Mes_Corriente!CY268*SALUD_Mes_Constante!$CP$1</f>
        <v>931748229.07099748</v>
      </c>
      <c r="CZ268" s="8">
        <f>+MINVU_Mes_Corriente!CZ268*SALUD_Mes_Constante!$CP$1</f>
        <v>924038884.03155434</v>
      </c>
      <c r="DA268" s="8">
        <f>+MINVU_Mes_Corriente!DA268*SALUD_Mes_Constante!$CP$1</f>
        <v>707179516.88491869</v>
      </c>
      <c r="DB268" s="9">
        <f t="shared" si="140"/>
        <v>707179516.88491869</v>
      </c>
      <c r="DC268" s="8">
        <f>+MINVU_Mes_Corriente!DC268*SALUD_Mes_Constante!$DC$1</f>
        <v>117435683.81174782</v>
      </c>
      <c r="DD268" s="8">
        <f>+MINVU_Mes_Corriente!DD268*SALUD_Mes_Constante!$DC$1</f>
        <v>648570251.94506764</v>
      </c>
      <c r="DE268" s="8">
        <f>+MINVU_Mes_Corriente!DE268*SALUD_Mes_Constante!$DC$1</f>
        <v>710676826.86308026</v>
      </c>
      <c r="DF268" s="8">
        <f>+MINVU_Mes_Corriente!DF268*SALUD_Mes_Constante!$DC$1</f>
        <v>710676826.86308026</v>
      </c>
      <c r="DG268" s="8">
        <f>+MINVU_Mes_Corriente!DG268*SALUD_Mes_Constante!$DC$1</f>
        <v>725007175.5918119</v>
      </c>
      <c r="DH268" s="8">
        <f>+MINVU_Mes_Corriente!DH268*SALUD_Mes_Constante!$DC$1</f>
        <v>723983139.30459869</v>
      </c>
      <c r="DI268" s="8">
        <f>+MINVU_Mes_Corriente!DI268*SALUD_Mes_Constante!$DC$1</f>
        <v>710289509.66052914</v>
      </c>
      <c r="DJ268" s="8">
        <f>+MINVU_Mes_Corriente!DJ268*SALUD_Mes_Constante!$DC$1</f>
        <v>734878784.55899632</v>
      </c>
      <c r="DK268" s="8">
        <f>+MINVU_Mes_Corriente!DK268*SALUD_Mes_Constante!$DC$1</f>
        <v>664609758.19195592</v>
      </c>
      <c r="DL268" s="8">
        <f>+MINVU_Mes_Corriente!DL268*SALUD_Mes_Constante!$DC$1</f>
        <v>741044914.97603166</v>
      </c>
      <c r="DM268" s="8">
        <f>+MINVU_Mes_Corriente!DM268*SALUD_Mes_Constante!$DC$1</f>
        <v>726393639.02191162</v>
      </c>
      <c r="DN268" s="8">
        <f>+MINVU_Mes_Corriente!DN268*SALUD_Mes_Constante!$DC$1</f>
        <v>597564969.58543384</v>
      </c>
      <c r="DO268" s="9">
        <f t="shared" si="141"/>
        <v>597564969.58543384</v>
      </c>
      <c r="DP268" s="8">
        <f>+MINVU_Mes_Corriente!DP268*SALUD_Mes_Constante!$DP$1</f>
        <v>171674949.09798101</v>
      </c>
      <c r="DQ268" s="8">
        <f>+MINVU_Mes_Corriente!DQ268*SALUD_Mes_Constante!$DP$1</f>
        <v>639529062.23515451</v>
      </c>
      <c r="DR268" s="8">
        <f>+MINVU_Mes_Corriente!DR268*SALUD_Mes_Constante!$DP$1</f>
        <v>654214203.14251792</v>
      </c>
      <c r="DS268" s="8">
        <f>+MINVU_Mes_Corriente!DS268*SALUD_Mes_Constante!$DP$1</f>
        <v>675964060.61401427</v>
      </c>
      <c r="DT268" s="8">
        <f>+MINVU_Mes_Corriente!DT268*SALUD_Mes_Constante!$DP$1</f>
        <v>694688765.61520195</v>
      </c>
      <c r="DU268" s="8">
        <f>+MINVU_Mes_Corriente!DU268*SALUD_Mes_Constante!$DP$1</f>
        <v>704327046.11401427</v>
      </c>
      <c r="DV268" s="8">
        <f>+MINVU_Mes_Corriente!DV268*SALUD_Mes_Constante!$DP$1</f>
        <v>786879626.44061768</v>
      </c>
      <c r="DW268" s="8">
        <f>+MINVU_Mes_Corriente!DW268*SALUD_Mes_Constante!$DP$1</f>
        <v>839389323.89608085</v>
      </c>
      <c r="DX268" s="8">
        <f>+MINVU_Mes_Corriente!DX268*SALUD_Mes_Constante!$DP$1</f>
        <v>841962946.22387183</v>
      </c>
      <c r="DY268" s="8">
        <f>+MINVU_Mes_Corriente!DY268*SALUD_Mes_Constante!$DP$1</f>
        <v>869806388.74524951</v>
      </c>
      <c r="DZ268" s="8">
        <f>+MINVU_Mes_Corriente!DZ268*SALUD_Mes_Constante!$DP$1</f>
        <v>832462572.95308793</v>
      </c>
      <c r="EA268" s="8">
        <f>+MINVU_Mes_Corriente!EA268*SALUD_Mes_Constante!$DP$1</f>
        <v>698554662.10688841</v>
      </c>
      <c r="EB268" s="9">
        <f t="shared" si="142"/>
        <v>698554662.10688841</v>
      </c>
      <c r="EC268" s="8">
        <f>+MINVU_Mes_Corriente!EC268*SALUD_Mes_Constante!$EC$1</f>
        <v>242347630.17534551</v>
      </c>
      <c r="ED268" s="8">
        <f>+MINVU_Mes_Corriente!ED268*SALUD_Mes_Constante!$EC$1</f>
        <v>819691321.63718963</v>
      </c>
      <c r="EE268" s="8">
        <f>+MINVU_Mes_Corriente!EE268*SALUD_Mes_Constante!$EC$1</f>
        <v>893810431.89850378</v>
      </c>
      <c r="EF268" s="8">
        <f>+MINVU_Mes_Corriente!EF268*SALUD_Mes_Constante!$EC$1</f>
        <v>971663485.59117556</v>
      </c>
      <c r="EG268" s="8">
        <f>+MINVU_Mes_Corriente!EG268*SALUD_Mes_Constante!$EC$1</f>
        <v>985876539.89869308</v>
      </c>
      <c r="EH268" s="8">
        <f>+MINVU_Mes_Corriente!EH268*SALUD_Mes_Constante!$EC$1</f>
        <v>982191491.40352178</v>
      </c>
      <c r="EI268" s="8">
        <f>+MINVU_Mes_Corriente!EI268*SALUD_Mes_Constante!$EC$1</f>
        <v>985446067.70535851</v>
      </c>
      <c r="EJ268" s="8">
        <f>+MINVU_Mes_Corriente!EJ268*SALUD_Mes_Constante!$EC$1</f>
        <v>1069418635.1730729</v>
      </c>
      <c r="EK268" s="8">
        <f>+MINVU_Mes_Corriente!EK268*SALUD_Mes_Constante!$EC$1</f>
        <v>1053301263.4777501</v>
      </c>
      <c r="EL268" s="8">
        <f>+MINVU_Mes_Corriente!EL268*SALUD_Mes_Constante!$EC$1</f>
        <v>924013172.04336274</v>
      </c>
      <c r="EM268" s="8">
        <f>+MINVU_Mes_Corriente!EM268*SALUD_Mes_Constante!$EC$1</f>
        <v>917056668.94527519</v>
      </c>
      <c r="EN268" s="8">
        <f>+MINVU_Mes_Corriente!EN268*SALUD_Mes_Constante!$EC$1</f>
        <v>862510684.94054127</v>
      </c>
      <c r="EO268" s="9">
        <f t="shared" si="143"/>
        <v>862510684.94054127</v>
      </c>
      <c r="EP268" s="8">
        <f>+MINVU_Mes_Corriente!EP268*SALUD_Mes_Constante!$EP$1</f>
        <v>317360596</v>
      </c>
      <c r="EQ268" s="8">
        <f>+MINVU_Mes_Corriente!EQ268*SALUD_Mes_Constante!$EP$1</f>
        <v>875953216</v>
      </c>
      <c r="ER268" s="8">
        <f>+MINVU_Mes_Corriente!ER268*SALUD_Mes_Constante!$EP$1</f>
        <v>890547541</v>
      </c>
      <c r="ES268" s="8">
        <f>+MINVU_Mes_Corriente!ES268*SALUD_Mes_Constante!$EP$1</f>
        <v>924918123</v>
      </c>
      <c r="ET268" s="8">
        <f>+MINVU_Mes_Corriente!ET268*SALUD_Mes_Constante!$EP$1</f>
        <v>950915108</v>
      </c>
      <c r="EU268" s="8">
        <f>+MINVU_Mes_Corriente!EU268*SALUD_Mes_Constante!$EP$1</f>
        <v>967848839</v>
      </c>
      <c r="EV268" s="8">
        <f>+MINVU_Mes_Corriente!EV268*SALUD_Mes_Constante!$EP$1</f>
        <v>953079464</v>
      </c>
      <c r="EW268" s="8">
        <f>+MINVU_Mes_Corriente!EW268*SALUD_Mes_Constante!$EP$1</f>
        <v>971214728</v>
      </c>
      <c r="EX268" s="8">
        <f>+MINVU_Mes_Corriente!EX268*SALUD_Mes_Constante!$EP$1</f>
        <v>949634246</v>
      </c>
      <c r="EY268" s="8">
        <f>+MINVU_Mes_Corriente!EY268*SALUD_Mes_Constante!$EP$1</f>
        <v>941292863</v>
      </c>
      <c r="EZ268" s="8">
        <f>+MINVU_Mes_Corriente!EZ268*SALUD_Mes_Constante!$EP$1</f>
        <v>933299827</v>
      </c>
      <c r="FA268" s="8">
        <f>+MINVU_Mes_Corriente!FA268*SALUD_Mes_Constante!$EP$1</f>
        <v>900267158</v>
      </c>
      <c r="FB268" s="9">
        <f t="shared" si="144"/>
        <v>900267158</v>
      </c>
      <c r="FC268" s="8">
        <f>+MINVU_Mes_Corriente!FC268*SALUD_Mes_Constante!$FC$1</f>
        <v>831376361</v>
      </c>
      <c r="FD268" s="8">
        <f>+MINVU_Mes_Corriente!FD268*SALUD_Mes_Constante!$FC$1</f>
        <v>828407144</v>
      </c>
      <c r="FE268" s="8">
        <f>+MINVU_Mes_Corriente!FE268*SALUD_Mes_Constante!$FC$1</f>
        <v>836170277</v>
      </c>
      <c r="FF268" s="8">
        <f>+MINVU_Mes_Corriente!FF268*SALUD_Mes_Constante!$FC$1</f>
        <v>836170277</v>
      </c>
      <c r="FG268" s="8">
        <f>+MINVU_Mes_Corriente!FG268*SALUD_Mes_Constante!$FC$1</f>
        <v>804033231</v>
      </c>
      <c r="FH268" s="8">
        <f>+MINVU_Mes_Corriente!FH268*SALUD_Mes_Constante!$FC$1</f>
        <v>886721464</v>
      </c>
      <c r="FI268" s="8">
        <f>+MINVU_Mes_Corriente!FI268*SALUD_Mes_Constante!$FC$1</f>
        <v>915223020</v>
      </c>
      <c r="FJ268" s="8"/>
      <c r="FK268" s="8"/>
      <c r="FL268" s="8"/>
      <c r="FM268" s="8"/>
      <c r="FN268" s="8"/>
      <c r="FO268" s="9">
        <f t="shared" si="145"/>
        <v>915223020</v>
      </c>
    </row>
    <row r="269" spans="2:171" ht="14.25" customHeight="1" x14ac:dyDescent="0.3">
      <c r="B269" s="7" t="s">
        <v>46</v>
      </c>
      <c r="C269" s="8">
        <f>+MINVU_Mes_Corriente!C269*SALUD_Mes_Constante!$C$1</f>
        <v>0</v>
      </c>
      <c r="D269" s="8">
        <f>+MINVU_Mes_Corriente!D269*SALUD_Mes_Constante!$C$1</f>
        <v>0</v>
      </c>
      <c r="E269" s="8">
        <f>+MINVU_Mes_Corriente!E269*SALUD_Mes_Constante!$C$1</f>
        <v>0</v>
      </c>
      <c r="F269" s="8">
        <f>+MINVU_Mes_Corriente!F269*SALUD_Mes_Constante!$C$1</f>
        <v>0</v>
      </c>
      <c r="G269" s="8">
        <f>+MINVU_Mes_Corriente!G269*SALUD_Mes_Constante!$C$1</f>
        <v>0</v>
      </c>
      <c r="H269" s="8">
        <f>+MINVU_Mes_Corriente!H269*SALUD_Mes_Constante!$C$1</f>
        <v>0</v>
      </c>
      <c r="I269" s="8">
        <f>+MINVU_Mes_Corriente!I269*SALUD_Mes_Constante!$C$1</f>
        <v>0</v>
      </c>
      <c r="J269" s="8">
        <f>+MINVU_Mes_Corriente!J269*SALUD_Mes_Constante!$C$1</f>
        <v>0</v>
      </c>
      <c r="K269" s="8">
        <f>+MINVU_Mes_Corriente!K269*SALUD_Mes_Constante!$C$1</f>
        <v>0</v>
      </c>
      <c r="L269" s="8">
        <f>+MINVU_Mes_Corriente!L269*SALUD_Mes_Constante!$C$1</f>
        <v>0</v>
      </c>
      <c r="M269" s="8">
        <f>+MINVU_Mes_Corriente!M269*SALUD_Mes_Constante!$C$1</f>
        <v>0</v>
      </c>
      <c r="N269" s="8">
        <f>+MINVU_Mes_Corriente!N269*SALUD_Mes_Constante!$C$1</f>
        <v>0</v>
      </c>
      <c r="O269" s="9">
        <f t="shared" si="133"/>
        <v>0</v>
      </c>
      <c r="P269" s="8">
        <f>+MINVU_Mes_Corriente!P269*SALUD_Mes_Constante!$P$1</f>
        <v>0</v>
      </c>
      <c r="Q269" s="8">
        <f>+MINVU_Mes_Corriente!Q269*SALUD_Mes_Constante!$P$1</f>
        <v>0</v>
      </c>
      <c r="R269" s="8">
        <f>+MINVU_Mes_Corriente!R269*SALUD_Mes_Constante!$P$1</f>
        <v>0</v>
      </c>
      <c r="S269" s="8">
        <f>+MINVU_Mes_Corriente!S269*SALUD_Mes_Constante!$P$1</f>
        <v>0</v>
      </c>
      <c r="T269" s="8">
        <f>+MINVU_Mes_Corriente!T269*SALUD_Mes_Constante!$P$1</f>
        <v>0</v>
      </c>
      <c r="U269" s="8">
        <f>+MINVU_Mes_Corriente!U269*SALUD_Mes_Constante!$P$1</f>
        <v>0</v>
      </c>
      <c r="V269" s="8">
        <f>+MINVU_Mes_Corriente!V269*SALUD_Mes_Constante!$P$1</f>
        <v>0</v>
      </c>
      <c r="W269" s="8">
        <f>+MINVU_Mes_Corriente!W269*SALUD_Mes_Constante!$P$1</f>
        <v>0</v>
      </c>
      <c r="X269" s="8">
        <f>+MINVU_Mes_Corriente!X269*SALUD_Mes_Constante!$P$1</f>
        <v>0</v>
      </c>
      <c r="Y269" s="8">
        <f>+MINVU_Mes_Corriente!Y269*SALUD_Mes_Constante!$P$1</f>
        <v>0</v>
      </c>
      <c r="Z269" s="8">
        <f>+MINVU_Mes_Corriente!Z269*SALUD_Mes_Constante!$P$1</f>
        <v>0</v>
      </c>
      <c r="AA269" s="8">
        <f>+MINVU_Mes_Corriente!AA269*SALUD_Mes_Constante!$P$1</f>
        <v>0</v>
      </c>
      <c r="AB269" s="9">
        <f t="shared" si="134"/>
        <v>0</v>
      </c>
      <c r="AC269" s="8">
        <f>+MINVU_Mes_Corriente!AC269*SALUD_Mes_Constante!$AC$1</f>
        <v>0</v>
      </c>
      <c r="AD269" s="8">
        <f>+MINVU_Mes_Corriente!AD269*SALUD_Mes_Constante!$AC$1</f>
        <v>0</v>
      </c>
      <c r="AE269" s="8">
        <f>+MINVU_Mes_Corriente!AE269*SALUD_Mes_Constante!$AC$1</f>
        <v>0</v>
      </c>
      <c r="AF269" s="8">
        <f>+MINVU_Mes_Corriente!AF269*SALUD_Mes_Constante!$AC$1</f>
        <v>0</v>
      </c>
      <c r="AG269" s="8">
        <f>+MINVU_Mes_Corriente!AG269*SALUD_Mes_Constante!$AC$1</f>
        <v>0</v>
      </c>
      <c r="AH269" s="8">
        <f>+MINVU_Mes_Corriente!AH269*SALUD_Mes_Constante!$AC$1</f>
        <v>0</v>
      </c>
      <c r="AI269" s="8">
        <f>+MINVU_Mes_Corriente!AI269*SALUD_Mes_Constante!$AC$1</f>
        <v>0</v>
      </c>
      <c r="AJ269" s="8">
        <f>+MINVU_Mes_Corriente!AJ269*SALUD_Mes_Constante!$AC$1</f>
        <v>0</v>
      </c>
      <c r="AK269" s="8">
        <f>+MINVU_Mes_Corriente!AK269*SALUD_Mes_Constante!$AC$1</f>
        <v>0</v>
      </c>
      <c r="AL269" s="8">
        <f>+MINVU_Mes_Corriente!AL269*SALUD_Mes_Constante!$AC$1</f>
        <v>0</v>
      </c>
      <c r="AM269" s="8">
        <f>+MINVU_Mes_Corriente!AM269*SALUD_Mes_Constante!$AC$1</f>
        <v>0</v>
      </c>
      <c r="AN269" s="8">
        <f>+MINVU_Mes_Corriente!AN269*SALUD_Mes_Constante!$AC$1</f>
        <v>0</v>
      </c>
      <c r="AO269" s="9">
        <f t="shared" si="135"/>
        <v>0</v>
      </c>
      <c r="AP269" s="8">
        <f>+MINVU_Mes_Corriente!AP269*SALUD_Mes_Constante!$AP$1</f>
        <v>0</v>
      </c>
      <c r="AQ269" s="8">
        <f>+MINVU_Mes_Corriente!AQ269*SALUD_Mes_Constante!$AP$1</f>
        <v>0</v>
      </c>
      <c r="AR269" s="8">
        <f>+MINVU_Mes_Corriente!AR269*SALUD_Mes_Constante!$AP$1</f>
        <v>0</v>
      </c>
      <c r="AS269" s="8">
        <f>+MINVU_Mes_Corriente!AS269*SALUD_Mes_Constante!$AP$1</f>
        <v>0</v>
      </c>
      <c r="AT269" s="8">
        <f>+MINVU_Mes_Corriente!AT269*SALUD_Mes_Constante!$AP$1</f>
        <v>0</v>
      </c>
      <c r="AU269" s="8">
        <f>+MINVU_Mes_Corriente!AU269*SALUD_Mes_Constante!$AP$1</f>
        <v>0</v>
      </c>
      <c r="AV269" s="8">
        <f>+MINVU_Mes_Corriente!AV269*SALUD_Mes_Constante!$AP$1</f>
        <v>0</v>
      </c>
      <c r="AW269" s="8">
        <f>+MINVU_Mes_Corriente!AW269*SALUD_Mes_Constante!$AP$1</f>
        <v>0</v>
      </c>
      <c r="AX269" s="8">
        <f>+MINVU_Mes_Corriente!AX269*SALUD_Mes_Constante!$AP$1</f>
        <v>0</v>
      </c>
      <c r="AY269" s="8">
        <f>+MINVU_Mes_Corriente!AY269*SALUD_Mes_Constante!$AP$1</f>
        <v>0</v>
      </c>
      <c r="AZ269" s="8">
        <f>+MINVU_Mes_Corriente!AZ269*SALUD_Mes_Constante!$AP$1</f>
        <v>0</v>
      </c>
      <c r="BA269" s="8">
        <f>+MINVU_Mes_Corriente!BA269*SALUD_Mes_Constante!$AP$1</f>
        <v>0</v>
      </c>
      <c r="BB269" s="9">
        <f t="shared" si="136"/>
        <v>0</v>
      </c>
      <c r="BC269" s="8">
        <f>+MINVU_Mes_Corriente!BC269*SALUD_Mes_Constante!$BC$1</f>
        <v>0</v>
      </c>
      <c r="BD269" s="8">
        <f>+MINVU_Mes_Corriente!BD269*SALUD_Mes_Constante!$BC$1</f>
        <v>0</v>
      </c>
      <c r="BE269" s="8">
        <f>+MINVU_Mes_Corriente!BE269*SALUD_Mes_Constante!$BC$1</f>
        <v>0</v>
      </c>
      <c r="BF269" s="8">
        <f>+MINVU_Mes_Corriente!BF269*SALUD_Mes_Constante!$BC$1</f>
        <v>0</v>
      </c>
      <c r="BG269" s="8">
        <f>+MINVU_Mes_Corriente!BG269*SALUD_Mes_Constante!$BC$1</f>
        <v>0</v>
      </c>
      <c r="BH269" s="8">
        <f>+MINVU_Mes_Corriente!BH269*SALUD_Mes_Constante!$BC$1</f>
        <v>0</v>
      </c>
      <c r="BI269" s="8">
        <f>+MINVU_Mes_Corriente!BI269*SALUD_Mes_Constante!$BC$1</f>
        <v>0</v>
      </c>
      <c r="BJ269" s="8">
        <f>+MINVU_Mes_Corriente!BJ269*SALUD_Mes_Constante!$BC$1</f>
        <v>0</v>
      </c>
      <c r="BK269" s="8">
        <f>+MINVU_Mes_Corriente!BK269*SALUD_Mes_Constante!$BC$1</f>
        <v>0</v>
      </c>
      <c r="BL269" s="8">
        <f>+MINVU_Mes_Corriente!BL269*SALUD_Mes_Constante!$BC$1</f>
        <v>0</v>
      </c>
      <c r="BM269" s="8">
        <f>+MINVU_Mes_Corriente!BM269*SALUD_Mes_Constante!$BC$1</f>
        <v>0</v>
      </c>
      <c r="BN269" s="8">
        <f>+MINVU_Mes_Corriente!BN269*SALUD_Mes_Constante!$BC$1</f>
        <v>0</v>
      </c>
      <c r="BO269" s="9">
        <f t="shared" si="137"/>
        <v>0</v>
      </c>
      <c r="BP269" s="8">
        <f>+MINVU_Mes_Corriente!BP269*SALUD_Mes_Constante!$BP$1</f>
        <v>0</v>
      </c>
      <c r="BQ269" s="8">
        <f>+MINVU_Mes_Corriente!BQ269*SALUD_Mes_Constante!$BP$1</f>
        <v>0</v>
      </c>
      <c r="BR269" s="8">
        <f>+MINVU_Mes_Corriente!BR269*SALUD_Mes_Constante!$BP$1</f>
        <v>0</v>
      </c>
      <c r="BS269" s="8">
        <f>+MINVU_Mes_Corriente!BS269*SALUD_Mes_Constante!$BP$1</f>
        <v>0</v>
      </c>
      <c r="BT269" s="8">
        <f>+MINVU_Mes_Corriente!BT269*SALUD_Mes_Constante!$BP$1</f>
        <v>0</v>
      </c>
      <c r="BU269" s="8">
        <f>+MINVU_Mes_Corriente!BU269*SALUD_Mes_Constante!$BP$1</f>
        <v>0</v>
      </c>
      <c r="BV269" s="8">
        <f>+MINVU_Mes_Corriente!BV269*SALUD_Mes_Constante!$BP$1</f>
        <v>0</v>
      </c>
      <c r="BW269" s="8">
        <f>+MINVU_Mes_Corriente!BW269*SALUD_Mes_Constante!$BP$1</f>
        <v>0</v>
      </c>
      <c r="BX269" s="8">
        <f>+MINVU_Mes_Corriente!BX269*SALUD_Mes_Constante!$BP$1</f>
        <v>0</v>
      </c>
      <c r="BY269" s="8">
        <f>+MINVU_Mes_Corriente!BY269*SALUD_Mes_Constante!$BP$1</f>
        <v>0</v>
      </c>
      <c r="BZ269" s="8">
        <f>+MINVU_Mes_Corriente!BZ269*SALUD_Mes_Constante!$BP$1</f>
        <v>0</v>
      </c>
      <c r="CA269" s="8">
        <f>+MINVU_Mes_Corriente!CA269*SALUD_Mes_Constante!$BP$1</f>
        <v>0</v>
      </c>
      <c r="CB269" s="9">
        <f t="shared" si="138"/>
        <v>0</v>
      </c>
      <c r="CC269" s="8">
        <f>+MINVU_Mes_Corriente!CC269*SALUD_Mes_Constante!$CC$1</f>
        <v>0</v>
      </c>
      <c r="CD269" s="8">
        <f>+MINVU_Mes_Corriente!CD269*SALUD_Mes_Constante!$CC$1</f>
        <v>0</v>
      </c>
      <c r="CE269" s="8">
        <f>+MINVU_Mes_Corriente!CE269*SALUD_Mes_Constante!$CC$1</f>
        <v>0</v>
      </c>
      <c r="CF269" s="8">
        <f>+MINVU_Mes_Corriente!CF269*SALUD_Mes_Constante!$CC$1</f>
        <v>0</v>
      </c>
      <c r="CG269" s="8">
        <f>+MINVU_Mes_Corriente!CG269*SALUD_Mes_Constante!$CC$1</f>
        <v>0</v>
      </c>
      <c r="CH269" s="8">
        <f>+MINVU_Mes_Corriente!CH269*SALUD_Mes_Constante!$CC$1</f>
        <v>0</v>
      </c>
      <c r="CI269" s="8">
        <f>+MINVU_Mes_Corriente!CI269*SALUD_Mes_Constante!$CC$1</f>
        <v>0</v>
      </c>
      <c r="CJ269" s="8">
        <f>+MINVU_Mes_Corriente!CJ269*SALUD_Mes_Constante!$CC$1</f>
        <v>0</v>
      </c>
      <c r="CK269" s="8">
        <f>+MINVU_Mes_Corriente!CK269*SALUD_Mes_Constante!$CC$1</f>
        <v>0</v>
      </c>
      <c r="CL269" s="8">
        <f>+MINVU_Mes_Corriente!CL269*SALUD_Mes_Constante!$CC$1</f>
        <v>0</v>
      </c>
      <c r="CM269" s="8">
        <f>+MINVU_Mes_Corriente!CM269*SALUD_Mes_Constante!$CC$1</f>
        <v>0</v>
      </c>
      <c r="CN269" s="8">
        <f>+MINVU_Mes_Corriente!CN269*SALUD_Mes_Constante!$CC$1</f>
        <v>0</v>
      </c>
      <c r="CO269" s="9">
        <f t="shared" si="139"/>
        <v>0</v>
      </c>
      <c r="CP269" s="8">
        <f>+MINVU_Mes_Corriente!CP269*SALUD_Mes_Constante!$CP$1</f>
        <v>0</v>
      </c>
      <c r="CQ269" s="8">
        <f>+MINVU_Mes_Corriente!CQ269*SALUD_Mes_Constante!$CP$1</f>
        <v>0</v>
      </c>
      <c r="CR269" s="8">
        <f>+MINVU_Mes_Corriente!CR269*SALUD_Mes_Constante!$CP$1</f>
        <v>0</v>
      </c>
      <c r="CS269" s="8">
        <f>+MINVU_Mes_Corriente!CS269*SALUD_Mes_Constante!$CP$1</f>
        <v>0</v>
      </c>
      <c r="CT269" s="8">
        <f>+MINVU_Mes_Corriente!CT269*SALUD_Mes_Constante!$CP$1</f>
        <v>0</v>
      </c>
      <c r="CU269" s="8">
        <f>+MINVU_Mes_Corriente!CU269*SALUD_Mes_Constante!$CP$1</f>
        <v>0</v>
      </c>
      <c r="CV269" s="8">
        <f>+MINVU_Mes_Corriente!CV269*SALUD_Mes_Constante!$CP$1</f>
        <v>0</v>
      </c>
      <c r="CW269" s="8">
        <f>+MINVU_Mes_Corriente!CW269*SALUD_Mes_Constante!$CP$1</f>
        <v>0</v>
      </c>
      <c r="CX269" s="8">
        <f>+MINVU_Mes_Corriente!CX269*SALUD_Mes_Constante!$CP$1</f>
        <v>0</v>
      </c>
      <c r="CY269" s="8">
        <f>+MINVU_Mes_Corriente!CY269*SALUD_Mes_Constante!$CP$1</f>
        <v>0</v>
      </c>
      <c r="CZ269" s="8">
        <f>+MINVU_Mes_Corriente!CZ269*SALUD_Mes_Constante!$CP$1</f>
        <v>0</v>
      </c>
      <c r="DA269" s="8">
        <f>+MINVU_Mes_Corriente!DA269*SALUD_Mes_Constante!$CP$1</f>
        <v>0</v>
      </c>
      <c r="DB269" s="9">
        <f t="shared" si="140"/>
        <v>0</v>
      </c>
      <c r="DC269" s="8">
        <f>+MINVU_Mes_Corriente!DC269*SALUD_Mes_Constante!$DC$1</f>
        <v>0</v>
      </c>
      <c r="DD269" s="8">
        <f>+MINVU_Mes_Corriente!DD269*SALUD_Mes_Constante!$DC$1</f>
        <v>0</v>
      </c>
      <c r="DE269" s="8">
        <f>+MINVU_Mes_Corriente!DE269*SALUD_Mes_Constante!$DC$1</f>
        <v>0</v>
      </c>
      <c r="DF269" s="8">
        <f>+MINVU_Mes_Corriente!DF269*SALUD_Mes_Constante!$DC$1</f>
        <v>0</v>
      </c>
      <c r="DG269" s="8">
        <f>+MINVU_Mes_Corriente!DG269*SALUD_Mes_Constante!$DC$1</f>
        <v>0</v>
      </c>
      <c r="DH269" s="8">
        <f>+MINVU_Mes_Corriente!DH269*SALUD_Mes_Constante!$DC$1</f>
        <v>0</v>
      </c>
      <c r="DI269" s="8">
        <f>+MINVU_Mes_Corriente!DI269*SALUD_Mes_Constante!$DC$1</f>
        <v>0</v>
      </c>
      <c r="DJ269" s="8">
        <f>+MINVU_Mes_Corriente!DJ269*SALUD_Mes_Constante!$DC$1</f>
        <v>0</v>
      </c>
      <c r="DK269" s="8">
        <f>+MINVU_Mes_Corriente!DK269*SALUD_Mes_Constante!$DC$1</f>
        <v>0</v>
      </c>
      <c r="DL269" s="8">
        <f>+MINVU_Mes_Corriente!DL269*SALUD_Mes_Constante!$DC$1</f>
        <v>0</v>
      </c>
      <c r="DM269" s="8">
        <f>+MINVU_Mes_Corriente!DM269*SALUD_Mes_Constante!$DC$1</f>
        <v>0</v>
      </c>
      <c r="DN269" s="8">
        <f>+MINVU_Mes_Corriente!DN269*SALUD_Mes_Constante!$DC$1</f>
        <v>0</v>
      </c>
      <c r="DO269" s="9">
        <f t="shared" si="141"/>
        <v>0</v>
      </c>
      <c r="DP269" s="8">
        <f>+MINVU_Mes_Corriente!DP269*SALUD_Mes_Constante!$DP$1</f>
        <v>0</v>
      </c>
      <c r="DQ269" s="8">
        <f>+MINVU_Mes_Corriente!DQ269*SALUD_Mes_Constante!$DP$1</f>
        <v>0</v>
      </c>
      <c r="DR269" s="8">
        <f>+MINVU_Mes_Corriente!DR269*SALUD_Mes_Constante!$DP$1</f>
        <v>0</v>
      </c>
      <c r="DS269" s="8">
        <f>+MINVU_Mes_Corriente!DS269*SALUD_Mes_Constante!$DP$1</f>
        <v>0</v>
      </c>
      <c r="DT269" s="8">
        <f>+MINVU_Mes_Corriente!DT269*SALUD_Mes_Constante!$DP$1</f>
        <v>0</v>
      </c>
      <c r="DU269" s="8">
        <f>+MINVU_Mes_Corriente!DU269*SALUD_Mes_Constante!$DP$1</f>
        <v>0</v>
      </c>
      <c r="DV269" s="8">
        <f>+MINVU_Mes_Corriente!DV269*SALUD_Mes_Constante!$DP$1</f>
        <v>0</v>
      </c>
      <c r="DW269" s="8">
        <f>+MINVU_Mes_Corriente!DW269*SALUD_Mes_Constante!$DP$1</f>
        <v>0</v>
      </c>
      <c r="DX269" s="8">
        <f>+MINVU_Mes_Corriente!DX269*SALUD_Mes_Constante!$DP$1</f>
        <v>0</v>
      </c>
      <c r="DY269" s="8">
        <f>+MINVU_Mes_Corriente!DY269*SALUD_Mes_Constante!$DP$1</f>
        <v>0</v>
      </c>
      <c r="DZ269" s="8">
        <f>+MINVU_Mes_Corriente!DZ269*SALUD_Mes_Constante!$DP$1</f>
        <v>0</v>
      </c>
      <c r="EA269" s="8">
        <f>+MINVU_Mes_Corriente!EA269*SALUD_Mes_Constante!$DP$1</f>
        <v>0</v>
      </c>
      <c r="EB269" s="9">
        <f t="shared" si="142"/>
        <v>0</v>
      </c>
      <c r="EC269" s="8">
        <f>+MINVU_Mes_Corriente!EC269*SALUD_Mes_Constante!$EC$1</f>
        <v>0</v>
      </c>
      <c r="ED269" s="8">
        <f>+MINVU_Mes_Corriente!ED269*SALUD_Mes_Constante!$EC$1</f>
        <v>0</v>
      </c>
      <c r="EE269" s="8">
        <f>+MINVU_Mes_Corriente!EE269*SALUD_Mes_Constante!$EC$1</f>
        <v>0</v>
      </c>
      <c r="EF269" s="8">
        <f>+MINVU_Mes_Corriente!EF269*SALUD_Mes_Constante!$EC$1</f>
        <v>0</v>
      </c>
      <c r="EG269" s="8">
        <f>+MINVU_Mes_Corriente!EG269*SALUD_Mes_Constante!$EC$1</f>
        <v>0</v>
      </c>
      <c r="EH269" s="8">
        <f>+MINVU_Mes_Corriente!EH269*SALUD_Mes_Constante!$EC$1</f>
        <v>0</v>
      </c>
      <c r="EI269" s="8">
        <f>+MINVU_Mes_Corriente!EI269*SALUD_Mes_Constante!$EC$1</f>
        <v>0</v>
      </c>
      <c r="EJ269" s="8">
        <f>+MINVU_Mes_Corriente!EJ269*SALUD_Mes_Constante!$EC$1</f>
        <v>0</v>
      </c>
      <c r="EK269" s="8">
        <f>+MINVU_Mes_Corriente!EK269*SALUD_Mes_Constante!$EC$1</f>
        <v>0</v>
      </c>
      <c r="EL269" s="8">
        <f>+MINVU_Mes_Corriente!EL269*SALUD_Mes_Constante!$EC$1</f>
        <v>0</v>
      </c>
      <c r="EM269" s="8">
        <f>+MINVU_Mes_Corriente!EM269*SALUD_Mes_Constante!$EC$1</f>
        <v>0</v>
      </c>
      <c r="EN269" s="8">
        <f>+MINVU_Mes_Corriente!EN269*SALUD_Mes_Constante!$EC$1</f>
        <v>0</v>
      </c>
      <c r="EO269" s="9">
        <f t="shared" si="143"/>
        <v>0</v>
      </c>
      <c r="EP269" s="8">
        <f>+MINVU_Mes_Corriente!EP269*SALUD_Mes_Constante!$EP$1</f>
        <v>0</v>
      </c>
      <c r="EQ269" s="8">
        <f>+MINVU_Mes_Corriente!EQ269*SALUD_Mes_Constante!$EP$1</f>
        <v>0</v>
      </c>
      <c r="ER269" s="8">
        <f>+MINVU_Mes_Corriente!ER269*SALUD_Mes_Constante!$EP$1</f>
        <v>0</v>
      </c>
      <c r="ES269" s="8">
        <f>+MINVU_Mes_Corriente!ES269*SALUD_Mes_Constante!$EP$1</f>
        <v>0</v>
      </c>
      <c r="ET269" s="8">
        <f>+MINVU_Mes_Corriente!ET269*SALUD_Mes_Constante!$EP$1</f>
        <v>0</v>
      </c>
      <c r="EU269" s="8">
        <f>+MINVU_Mes_Corriente!EU269*SALUD_Mes_Constante!$EP$1</f>
        <v>0</v>
      </c>
      <c r="EV269" s="8">
        <f>+MINVU_Mes_Corriente!EV269*SALUD_Mes_Constante!$EP$1</f>
        <v>0</v>
      </c>
      <c r="EW269" s="8">
        <f>+MINVU_Mes_Corriente!EW269*SALUD_Mes_Constante!$EP$1</f>
        <v>0</v>
      </c>
      <c r="EX269" s="8">
        <f>+MINVU_Mes_Corriente!EX269*SALUD_Mes_Constante!$EP$1</f>
        <v>0</v>
      </c>
      <c r="EY269" s="8">
        <f>+MINVU_Mes_Corriente!EY269*SALUD_Mes_Constante!$EP$1</f>
        <v>0</v>
      </c>
      <c r="EZ269" s="8">
        <f>+MINVU_Mes_Corriente!EZ269*SALUD_Mes_Constante!$EP$1</f>
        <v>0</v>
      </c>
      <c r="FA269" s="8">
        <f>+MINVU_Mes_Corriente!FA269*SALUD_Mes_Constante!$EP$1</f>
        <v>0</v>
      </c>
      <c r="FB269" s="9">
        <f t="shared" si="144"/>
        <v>0</v>
      </c>
      <c r="FC269" s="8">
        <f>+MINVU_Mes_Corriente!FC269*SALUD_Mes_Constante!$FC$1</f>
        <v>0</v>
      </c>
      <c r="FD269" s="8">
        <f>+MINVU_Mes_Corriente!FD269*SALUD_Mes_Constante!$FC$1</f>
        <v>0</v>
      </c>
      <c r="FE269" s="8">
        <f>+MINVU_Mes_Corriente!FE269*SALUD_Mes_Constante!$FC$1</f>
        <v>0</v>
      </c>
      <c r="FF269" s="8">
        <f>+MINVU_Mes_Corriente!FF269*SALUD_Mes_Constante!$FC$1</f>
        <v>0</v>
      </c>
      <c r="FG269" s="8">
        <f>+MINVU_Mes_Corriente!FG269*SALUD_Mes_Constante!$FC$1</f>
        <v>0</v>
      </c>
      <c r="FH269" s="8">
        <f>+MINVU_Mes_Corriente!FH269*SALUD_Mes_Constante!$FC$1</f>
        <v>0</v>
      </c>
      <c r="FI269" s="8">
        <f>+MINVU_Mes_Corriente!FI269*SALUD_Mes_Constante!$FC$1</f>
        <v>0</v>
      </c>
      <c r="FJ269" s="8"/>
      <c r="FK269" s="8"/>
      <c r="FL269" s="8"/>
      <c r="FM269" s="8"/>
      <c r="FN269" s="8"/>
      <c r="FO269" s="9">
        <f t="shared" si="145"/>
        <v>0</v>
      </c>
    </row>
    <row r="270" spans="2:171" ht="14.25" customHeight="1" x14ac:dyDescent="0.3">
      <c r="B270" s="7" t="s">
        <v>47</v>
      </c>
      <c r="C270" s="8">
        <f>+MINVU_Mes_Corriente!C270*SALUD_Mes_Constante!$C$1</f>
        <v>0</v>
      </c>
      <c r="D270" s="8">
        <f>+MINVU_Mes_Corriente!D270*SALUD_Mes_Constante!$C$1</f>
        <v>0</v>
      </c>
      <c r="E270" s="8">
        <f>+MINVU_Mes_Corriente!E270*SALUD_Mes_Constante!$C$1</f>
        <v>0</v>
      </c>
      <c r="F270" s="8">
        <f>+MINVU_Mes_Corriente!F270*SALUD_Mes_Constante!$C$1</f>
        <v>0</v>
      </c>
      <c r="G270" s="8">
        <f>+MINVU_Mes_Corriente!G270*SALUD_Mes_Constante!$C$1</f>
        <v>0</v>
      </c>
      <c r="H270" s="8">
        <f>+MINVU_Mes_Corriente!H270*SALUD_Mes_Constante!$C$1</f>
        <v>0</v>
      </c>
      <c r="I270" s="8">
        <f>+MINVU_Mes_Corriente!I270*SALUD_Mes_Constante!$C$1</f>
        <v>0</v>
      </c>
      <c r="J270" s="8">
        <f>+MINVU_Mes_Corriente!J270*SALUD_Mes_Constante!$C$1</f>
        <v>0</v>
      </c>
      <c r="K270" s="8">
        <f>+MINVU_Mes_Corriente!K270*SALUD_Mes_Constante!$C$1</f>
        <v>0</v>
      </c>
      <c r="L270" s="8">
        <f>+MINVU_Mes_Corriente!L270*SALUD_Mes_Constante!$C$1</f>
        <v>0</v>
      </c>
      <c r="M270" s="8">
        <f>+MINVU_Mes_Corriente!M270*SALUD_Mes_Constante!$C$1</f>
        <v>0</v>
      </c>
      <c r="N270" s="8">
        <f>+MINVU_Mes_Corriente!N270*SALUD_Mes_Constante!$C$1</f>
        <v>0</v>
      </c>
      <c r="O270" s="9">
        <f t="shared" si="133"/>
        <v>0</v>
      </c>
      <c r="P270" s="8">
        <f>+MINVU_Mes_Corriente!P270*SALUD_Mes_Constante!$P$1</f>
        <v>0</v>
      </c>
      <c r="Q270" s="8">
        <f>+MINVU_Mes_Corriente!Q270*SALUD_Mes_Constante!$P$1</f>
        <v>0</v>
      </c>
      <c r="R270" s="8">
        <f>+MINVU_Mes_Corriente!R270*SALUD_Mes_Constante!$P$1</f>
        <v>0</v>
      </c>
      <c r="S270" s="8">
        <f>+MINVU_Mes_Corriente!S270*SALUD_Mes_Constante!$P$1</f>
        <v>0</v>
      </c>
      <c r="T270" s="8">
        <f>+MINVU_Mes_Corriente!T270*SALUD_Mes_Constante!$P$1</f>
        <v>0</v>
      </c>
      <c r="U270" s="8">
        <f>+MINVU_Mes_Corriente!U270*SALUD_Mes_Constante!$P$1</f>
        <v>0</v>
      </c>
      <c r="V270" s="8">
        <f>+MINVU_Mes_Corriente!V270*SALUD_Mes_Constante!$P$1</f>
        <v>0</v>
      </c>
      <c r="W270" s="8">
        <f>+MINVU_Mes_Corriente!W270*SALUD_Mes_Constante!$P$1</f>
        <v>0</v>
      </c>
      <c r="X270" s="8">
        <f>+MINVU_Mes_Corriente!X270*SALUD_Mes_Constante!$P$1</f>
        <v>0</v>
      </c>
      <c r="Y270" s="8">
        <f>+MINVU_Mes_Corriente!Y270*SALUD_Mes_Constante!$P$1</f>
        <v>0</v>
      </c>
      <c r="Z270" s="8">
        <f>+MINVU_Mes_Corriente!Z270*SALUD_Mes_Constante!$P$1</f>
        <v>0</v>
      </c>
      <c r="AA270" s="8">
        <f>+MINVU_Mes_Corriente!AA270*SALUD_Mes_Constante!$P$1</f>
        <v>0</v>
      </c>
      <c r="AB270" s="9">
        <f t="shared" si="134"/>
        <v>0</v>
      </c>
      <c r="AC270" s="8">
        <f>+MINVU_Mes_Corriente!AC270*SALUD_Mes_Constante!$AC$1</f>
        <v>0</v>
      </c>
      <c r="AD270" s="8">
        <f>+MINVU_Mes_Corriente!AD270*SALUD_Mes_Constante!$AC$1</f>
        <v>0</v>
      </c>
      <c r="AE270" s="8">
        <f>+MINVU_Mes_Corriente!AE270*SALUD_Mes_Constante!$AC$1</f>
        <v>0</v>
      </c>
      <c r="AF270" s="8">
        <f>+MINVU_Mes_Corriente!AF270*SALUD_Mes_Constante!$AC$1</f>
        <v>0</v>
      </c>
      <c r="AG270" s="8">
        <f>+MINVU_Mes_Corriente!AG270*SALUD_Mes_Constante!$AC$1</f>
        <v>0</v>
      </c>
      <c r="AH270" s="8">
        <f>+MINVU_Mes_Corriente!AH270*SALUD_Mes_Constante!$AC$1</f>
        <v>0</v>
      </c>
      <c r="AI270" s="8">
        <f>+MINVU_Mes_Corriente!AI270*SALUD_Mes_Constante!$AC$1</f>
        <v>0</v>
      </c>
      <c r="AJ270" s="8">
        <f>+MINVU_Mes_Corriente!AJ270*SALUD_Mes_Constante!$AC$1</f>
        <v>0</v>
      </c>
      <c r="AK270" s="8">
        <f>+MINVU_Mes_Corriente!AK270*SALUD_Mes_Constante!$AC$1</f>
        <v>0</v>
      </c>
      <c r="AL270" s="8">
        <f>+MINVU_Mes_Corriente!AL270*SALUD_Mes_Constante!$AC$1</f>
        <v>0</v>
      </c>
      <c r="AM270" s="8">
        <f>+MINVU_Mes_Corriente!AM270*SALUD_Mes_Constante!$AC$1</f>
        <v>0</v>
      </c>
      <c r="AN270" s="8">
        <f>+MINVU_Mes_Corriente!AN270*SALUD_Mes_Constante!$AC$1</f>
        <v>0</v>
      </c>
      <c r="AO270" s="9">
        <f t="shared" si="135"/>
        <v>0</v>
      </c>
      <c r="AP270" s="8">
        <f>+MINVU_Mes_Corriente!AP270*SALUD_Mes_Constante!$AP$1</f>
        <v>0</v>
      </c>
      <c r="AQ270" s="8">
        <f>+MINVU_Mes_Corriente!AQ270*SALUD_Mes_Constante!$AP$1</f>
        <v>0</v>
      </c>
      <c r="AR270" s="8">
        <f>+MINVU_Mes_Corriente!AR270*SALUD_Mes_Constante!$AP$1</f>
        <v>0</v>
      </c>
      <c r="AS270" s="8">
        <f>+MINVU_Mes_Corriente!AS270*SALUD_Mes_Constante!$AP$1</f>
        <v>0</v>
      </c>
      <c r="AT270" s="8">
        <f>+MINVU_Mes_Corriente!AT270*SALUD_Mes_Constante!$AP$1</f>
        <v>0</v>
      </c>
      <c r="AU270" s="8">
        <f>+MINVU_Mes_Corriente!AU270*SALUD_Mes_Constante!$AP$1</f>
        <v>0</v>
      </c>
      <c r="AV270" s="8">
        <f>+MINVU_Mes_Corriente!AV270*SALUD_Mes_Constante!$AP$1</f>
        <v>0</v>
      </c>
      <c r="AW270" s="8">
        <f>+MINVU_Mes_Corriente!AW270*SALUD_Mes_Constante!$AP$1</f>
        <v>0</v>
      </c>
      <c r="AX270" s="8">
        <f>+MINVU_Mes_Corriente!AX270*SALUD_Mes_Constante!$AP$1</f>
        <v>0</v>
      </c>
      <c r="AY270" s="8">
        <f>+MINVU_Mes_Corriente!AY270*SALUD_Mes_Constante!$AP$1</f>
        <v>0</v>
      </c>
      <c r="AZ270" s="8">
        <f>+MINVU_Mes_Corriente!AZ270*SALUD_Mes_Constante!$AP$1</f>
        <v>0</v>
      </c>
      <c r="BA270" s="8">
        <f>+MINVU_Mes_Corriente!BA270*SALUD_Mes_Constante!$AP$1</f>
        <v>0</v>
      </c>
      <c r="BB270" s="9">
        <f t="shared" si="136"/>
        <v>0</v>
      </c>
      <c r="BC270" s="8">
        <f>+MINVU_Mes_Corriente!BC270*SALUD_Mes_Constante!$BC$1</f>
        <v>0</v>
      </c>
      <c r="BD270" s="8">
        <f>+MINVU_Mes_Corriente!BD270*SALUD_Mes_Constante!$BC$1</f>
        <v>0</v>
      </c>
      <c r="BE270" s="8">
        <f>+MINVU_Mes_Corriente!BE270*SALUD_Mes_Constante!$BC$1</f>
        <v>0</v>
      </c>
      <c r="BF270" s="8">
        <f>+MINVU_Mes_Corriente!BF270*SALUD_Mes_Constante!$BC$1</f>
        <v>0</v>
      </c>
      <c r="BG270" s="8">
        <f>+MINVU_Mes_Corriente!BG270*SALUD_Mes_Constante!$BC$1</f>
        <v>0</v>
      </c>
      <c r="BH270" s="8">
        <f>+MINVU_Mes_Corriente!BH270*SALUD_Mes_Constante!$BC$1</f>
        <v>0</v>
      </c>
      <c r="BI270" s="8">
        <f>+MINVU_Mes_Corriente!BI270*SALUD_Mes_Constante!$BC$1</f>
        <v>0</v>
      </c>
      <c r="BJ270" s="8">
        <f>+MINVU_Mes_Corriente!BJ270*SALUD_Mes_Constante!$BC$1</f>
        <v>0</v>
      </c>
      <c r="BK270" s="8">
        <f>+MINVU_Mes_Corriente!BK270*SALUD_Mes_Constante!$BC$1</f>
        <v>0</v>
      </c>
      <c r="BL270" s="8">
        <f>+MINVU_Mes_Corriente!BL270*SALUD_Mes_Constante!$BC$1</f>
        <v>0</v>
      </c>
      <c r="BM270" s="8">
        <f>+MINVU_Mes_Corriente!BM270*SALUD_Mes_Constante!$BC$1</f>
        <v>0</v>
      </c>
      <c r="BN270" s="8">
        <f>+MINVU_Mes_Corriente!BN270*SALUD_Mes_Constante!$BC$1</f>
        <v>0</v>
      </c>
      <c r="BO270" s="9">
        <f t="shared" si="137"/>
        <v>0</v>
      </c>
      <c r="BP270" s="8">
        <f>+MINVU_Mes_Corriente!BP270*SALUD_Mes_Constante!$BP$1</f>
        <v>0</v>
      </c>
      <c r="BQ270" s="8">
        <f>+MINVU_Mes_Corriente!BQ270*SALUD_Mes_Constante!$BP$1</f>
        <v>0</v>
      </c>
      <c r="BR270" s="8">
        <f>+MINVU_Mes_Corriente!BR270*SALUD_Mes_Constante!$BP$1</f>
        <v>0</v>
      </c>
      <c r="BS270" s="8">
        <f>+MINVU_Mes_Corriente!BS270*SALUD_Mes_Constante!$BP$1</f>
        <v>0</v>
      </c>
      <c r="BT270" s="8">
        <f>+MINVU_Mes_Corriente!BT270*SALUD_Mes_Constante!$BP$1</f>
        <v>0</v>
      </c>
      <c r="BU270" s="8">
        <f>+MINVU_Mes_Corriente!BU270*SALUD_Mes_Constante!$BP$1</f>
        <v>0</v>
      </c>
      <c r="BV270" s="8">
        <f>+MINVU_Mes_Corriente!BV270*SALUD_Mes_Constante!$BP$1</f>
        <v>0</v>
      </c>
      <c r="BW270" s="8">
        <f>+MINVU_Mes_Corriente!BW270*SALUD_Mes_Constante!$BP$1</f>
        <v>0</v>
      </c>
      <c r="BX270" s="8">
        <f>+MINVU_Mes_Corriente!BX270*SALUD_Mes_Constante!$BP$1</f>
        <v>0</v>
      </c>
      <c r="BY270" s="8">
        <f>+MINVU_Mes_Corriente!BY270*SALUD_Mes_Constante!$BP$1</f>
        <v>0</v>
      </c>
      <c r="BZ270" s="8">
        <f>+MINVU_Mes_Corriente!BZ270*SALUD_Mes_Constante!$BP$1</f>
        <v>0</v>
      </c>
      <c r="CA270" s="8">
        <f>+MINVU_Mes_Corriente!CA270*SALUD_Mes_Constante!$BP$1</f>
        <v>0</v>
      </c>
      <c r="CB270" s="9">
        <f t="shared" si="138"/>
        <v>0</v>
      </c>
      <c r="CC270" s="8">
        <f>+MINVU_Mes_Corriente!CC270*SALUD_Mes_Constante!$CC$1</f>
        <v>0</v>
      </c>
      <c r="CD270" s="8">
        <f>+MINVU_Mes_Corriente!CD270*SALUD_Mes_Constante!$CC$1</f>
        <v>0</v>
      </c>
      <c r="CE270" s="8">
        <f>+MINVU_Mes_Corriente!CE270*SALUD_Mes_Constante!$CC$1</f>
        <v>0</v>
      </c>
      <c r="CF270" s="8">
        <f>+MINVU_Mes_Corriente!CF270*SALUD_Mes_Constante!$CC$1</f>
        <v>0</v>
      </c>
      <c r="CG270" s="8">
        <f>+MINVU_Mes_Corriente!CG270*SALUD_Mes_Constante!$CC$1</f>
        <v>0</v>
      </c>
      <c r="CH270" s="8">
        <f>+MINVU_Mes_Corriente!CH270*SALUD_Mes_Constante!$CC$1</f>
        <v>0</v>
      </c>
      <c r="CI270" s="8">
        <f>+MINVU_Mes_Corriente!CI270*SALUD_Mes_Constante!$CC$1</f>
        <v>0</v>
      </c>
      <c r="CJ270" s="8">
        <f>+MINVU_Mes_Corriente!CJ270*SALUD_Mes_Constante!$CC$1</f>
        <v>0</v>
      </c>
      <c r="CK270" s="8">
        <f>+MINVU_Mes_Corriente!CK270*SALUD_Mes_Constante!$CC$1</f>
        <v>0</v>
      </c>
      <c r="CL270" s="8">
        <f>+MINVU_Mes_Corriente!CL270*SALUD_Mes_Constante!$CC$1</f>
        <v>0</v>
      </c>
      <c r="CM270" s="8">
        <f>+MINVU_Mes_Corriente!CM270*SALUD_Mes_Constante!$CC$1</f>
        <v>0</v>
      </c>
      <c r="CN270" s="8">
        <f>+MINVU_Mes_Corriente!CN270*SALUD_Mes_Constante!$CC$1</f>
        <v>0</v>
      </c>
      <c r="CO270" s="9">
        <f t="shared" si="139"/>
        <v>0</v>
      </c>
      <c r="CP270" s="8">
        <f>+MINVU_Mes_Corriente!CP270*SALUD_Mes_Constante!$CP$1</f>
        <v>0</v>
      </c>
      <c r="CQ270" s="8">
        <f>+MINVU_Mes_Corriente!CQ270*SALUD_Mes_Constante!$CP$1</f>
        <v>0</v>
      </c>
      <c r="CR270" s="8">
        <f>+MINVU_Mes_Corriente!CR270*SALUD_Mes_Constante!$CP$1</f>
        <v>0</v>
      </c>
      <c r="CS270" s="8">
        <f>+MINVU_Mes_Corriente!CS270*SALUD_Mes_Constante!$CP$1</f>
        <v>0</v>
      </c>
      <c r="CT270" s="8">
        <f>+MINVU_Mes_Corriente!CT270*SALUD_Mes_Constante!$CP$1</f>
        <v>0</v>
      </c>
      <c r="CU270" s="8">
        <f>+MINVU_Mes_Corriente!CU270*SALUD_Mes_Constante!$CP$1</f>
        <v>0</v>
      </c>
      <c r="CV270" s="8">
        <f>+MINVU_Mes_Corriente!CV270*SALUD_Mes_Constante!$CP$1</f>
        <v>0</v>
      </c>
      <c r="CW270" s="8">
        <f>+MINVU_Mes_Corriente!CW270*SALUD_Mes_Constante!$CP$1</f>
        <v>0</v>
      </c>
      <c r="CX270" s="8">
        <f>+MINVU_Mes_Corriente!CX270*SALUD_Mes_Constante!$CP$1</f>
        <v>0</v>
      </c>
      <c r="CY270" s="8">
        <f>+MINVU_Mes_Corriente!CY270*SALUD_Mes_Constante!$CP$1</f>
        <v>0</v>
      </c>
      <c r="CZ270" s="8">
        <f>+MINVU_Mes_Corriente!CZ270*SALUD_Mes_Constante!$CP$1</f>
        <v>0</v>
      </c>
      <c r="DA270" s="8">
        <f>+MINVU_Mes_Corriente!DA270*SALUD_Mes_Constante!$CP$1</f>
        <v>0</v>
      </c>
      <c r="DB270" s="9">
        <f t="shared" si="140"/>
        <v>0</v>
      </c>
      <c r="DC270" s="8">
        <f>+MINVU_Mes_Corriente!DC270*SALUD_Mes_Constante!$DC$1</f>
        <v>0</v>
      </c>
      <c r="DD270" s="8">
        <f>+MINVU_Mes_Corriente!DD270*SALUD_Mes_Constante!$DC$1</f>
        <v>0</v>
      </c>
      <c r="DE270" s="8">
        <f>+MINVU_Mes_Corriente!DE270*SALUD_Mes_Constante!$DC$1</f>
        <v>0</v>
      </c>
      <c r="DF270" s="8">
        <f>+MINVU_Mes_Corriente!DF270*SALUD_Mes_Constante!$DC$1</f>
        <v>0</v>
      </c>
      <c r="DG270" s="8">
        <f>+MINVU_Mes_Corriente!DG270*SALUD_Mes_Constante!$DC$1</f>
        <v>0</v>
      </c>
      <c r="DH270" s="8">
        <f>+MINVU_Mes_Corriente!DH270*SALUD_Mes_Constante!$DC$1</f>
        <v>0</v>
      </c>
      <c r="DI270" s="8">
        <f>+MINVU_Mes_Corriente!DI270*SALUD_Mes_Constante!$DC$1</f>
        <v>0</v>
      </c>
      <c r="DJ270" s="8">
        <f>+MINVU_Mes_Corriente!DJ270*SALUD_Mes_Constante!$DC$1</f>
        <v>0</v>
      </c>
      <c r="DK270" s="8">
        <f>+MINVU_Mes_Corriente!DK270*SALUD_Mes_Constante!$DC$1</f>
        <v>0</v>
      </c>
      <c r="DL270" s="8">
        <f>+MINVU_Mes_Corriente!DL270*SALUD_Mes_Constante!$DC$1</f>
        <v>0</v>
      </c>
      <c r="DM270" s="8">
        <f>+MINVU_Mes_Corriente!DM270*SALUD_Mes_Constante!$DC$1</f>
        <v>0</v>
      </c>
      <c r="DN270" s="8">
        <f>+MINVU_Mes_Corriente!DN270*SALUD_Mes_Constante!$DC$1</f>
        <v>0</v>
      </c>
      <c r="DO270" s="9">
        <f t="shared" si="141"/>
        <v>0</v>
      </c>
      <c r="DP270" s="8">
        <f>+MINVU_Mes_Corriente!DP270*SALUD_Mes_Constante!$DP$1</f>
        <v>0</v>
      </c>
      <c r="DQ270" s="8">
        <f>+MINVU_Mes_Corriente!DQ270*SALUD_Mes_Constante!$DP$1</f>
        <v>0</v>
      </c>
      <c r="DR270" s="8">
        <f>+MINVU_Mes_Corriente!DR270*SALUD_Mes_Constante!$DP$1</f>
        <v>0</v>
      </c>
      <c r="DS270" s="8">
        <f>+MINVU_Mes_Corriente!DS270*SALUD_Mes_Constante!$DP$1</f>
        <v>0</v>
      </c>
      <c r="DT270" s="8">
        <f>+MINVU_Mes_Corriente!DT270*SALUD_Mes_Constante!$DP$1</f>
        <v>0</v>
      </c>
      <c r="DU270" s="8">
        <f>+MINVU_Mes_Corriente!DU270*SALUD_Mes_Constante!$DP$1</f>
        <v>0</v>
      </c>
      <c r="DV270" s="8">
        <f>+MINVU_Mes_Corriente!DV270*SALUD_Mes_Constante!$DP$1</f>
        <v>0</v>
      </c>
      <c r="DW270" s="8">
        <f>+MINVU_Mes_Corriente!DW270*SALUD_Mes_Constante!$DP$1</f>
        <v>0</v>
      </c>
      <c r="DX270" s="8">
        <f>+MINVU_Mes_Corriente!DX270*SALUD_Mes_Constante!$DP$1</f>
        <v>0</v>
      </c>
      <c r="DY270" s="8">
        <f>+MINVU_Mes_Corriente!DY270*SALUD_Mes_Constante!$DP$1</f>
        <v>0</v>
      </c>
      <c r="DZ270" s="8">
        <f>+MINVU_Mes_Corriente!DZ270*SALUD_Mes_Constante!$DP$1</f>
        <v>0</v>
      </c>
      <c r="EA270" s="8">
        <f>+MINVU_Mes_Corriente!EA270*SALUD_Mes_Constante!$DP$1</f>
        <v>0</v>
      </c>
      <c r="EB270" s="9">
        <f t="shared" si="142"/>
        <v>0</v>
      </c>
      <c r="EC270" s="8">
        <f>+MINVU_Mes_Corriente!EC270*SALUD_Mes_Constante!$EC$1</f>
        <v>0</v>
      </c>
      <c r="ED270" s="8">
        <f>+MINVU_Mes_Corriente!ED270*SALUD_Mes_Constante!$EC$1</f>
        <v>0</v>
      </c>
      <c r="EE270" s="8">
        <f>+MINVU_Mes_Corriente!EE270*SALUD_Mes_Constante!$EC$1</f>
        <v>0</v>
      </c>
      <c r="EF270" s="8">
        <f>+MINVU_Mes_Corriente!EF270*SALUD_Mes_Constante!$EC$1</f>
        <v>0</v>
      </c>
      <c r="EG270" s="8">
        <f>+MINVU_Mes_Corriente!EG270*SALUD_Mes_Constante!$EC$1</f>
        <v>0</v>
      </c>
      <c r="EH270" s="8">
        <f>+MINVU_Mes_Corriente!EH270*SALUD_Mes_Constante!$EC$1</f>
        <v>0</v>
      </c>
      <c r="EI270" s="8">
        <f>+MINVU_Mes_Corriente!EI270*SALUD_Mes_Constante!$EC$1</f>
        <v>0</v>
      </c>
      <c r="EJ270" s="8">
        <f>+MINVU_Mes_Corriente!EJ270*SALUD_Mes_Constante!$EC$1</f>
        <v>0</v>
      </c>
      <c r="EK270" s="8">
        <f>+MINVU_Mes_Corriente!EK270*SALUD_Mes_Constante!$EC$1</f>
        <v>0</v>
      </c>
      <c r="EL270" s="8">
        <f>+MINVU_Mes_Corriente!EL270*SALUD_Mes_Constante!$EC$1</f>
        <v>0</v>
      </c>
      <c r="EM270" s="8">
        <f>+MINVU_Mes_Corriente!EM270*SALUD_Mes_Constante!$EC$1</f>
        <v>0</v>
      </c>
      <c r="EN270" s="8">
        <f>+MINVU_Mes_Corriente!EN270*SALUD_Mes_Constante!$EC$1</f>
        <v>0</v>
      </c>
      <c r="EO270" s="9">
        <f t="shared" si="143"/>
        <v>0</v>
      </c>
      <c r="EP270" s="8">
        <f>+MINVU_Mes_Corriente!EP270*SALUD_Mes_Constante!$EP$1</f>
        <v>0</v>
      </c>
      <c r="EQ270" s="8">
        <f>+MINVU_Mes_Corriente!EQ270*SALUD_Mes_Constante!$EP$1</f>
        <v>0</v>
      </c>
      <c r="ER270" s="8">
        <f>+MINVU_Mes_Corriente!ER270*SALUD_Mes_Constante!$EP$1</f>
        <v>0</v>
      </c>
      <c r="ES270" s="8">
        <f>+MINVU_Mes_Corriente!ES270*SALUD_Mes_Constante!$EP$1</f>
        <v>0</v>
      </c>
      <c r="ET270" s="8">
        <f>+MINVU_Mes_Corriente!ET270*SALUD_Mes_Constante!$EP$1</f>
        <v>0</v>
      </c>
      <c r="EU270" s="8">
        <f>+MINVU_Mes_Corriente!EU270*SALUD_Mes_Constante!$EP$1</f>
        <v>0</v>
      </c>
      <c r="EV270" s="8">
        <f>+MINVU_Mes_Corriente!EV270*SALUD_Mes_Constante!$EP$1</f>
        <v>0</v>
      </c>
      <c r="EW270" s="8">
        <f>+MINVU_Mes_Corriente!EW270*SALUD_Mes_Constante!$EP$1</f>
        <v>0</v>
      </c>
      <c r="EX270" s="8">
        <f>+MINVU_Mes_Corriente!EX270*SALUD_Mes_Constante!$EP$1</f>
        <v>0</v>
      </c>
      <c r="EY270" s="8">
        <f>+MINVU_Mes_Corriente!EY270*SALUD_Mes_Constante!$EP$1</f>
        <v>0</v>
      </c>
      <c r="EZ270" s="8">
        <f>+MINVU_Mes_Corriente!EZ270*SALUD_Mes_Constante!$EP$1</f>
        <v>0</v>
      </c>
      <c r="FA270" s="8">
        <f>+MINVU_Mes_Corriente!FA270*SALUD_Mes_Constante!$EP$1</f>
        <v>0</v>
      </c>
      <c r="FB270" s="9">
        <f t="shared" si="144"/>
        <v>0</v>
      </c>
      <c r="FC270" s="8">
        <f>+MINVU_Mes_Corriente!FC270*SALUD_Mes_Constante!$FC$1</f>
        <v>0</v>
      </c>
      <c r="FD270" s="8">
        <f>+MINVU_Mes_Corriente!FD270*SALUD_Mes_Constante!$FC$1</f>
        <v>0</v>
      </c>
      <c r="FE270" s="8">
        <f>+MINVU_Mes_Corriente!FE270*SALUD_Mes_Constante!$FC$1</f>
        <v>0</v>
      </c>
      <c r="FF270" s="8">
        <f>+MINVU_Mes_Corriente!FF270*SALUD_Mes_Constante!$FC$1</f>
        <v>0</v>
      </c>
      <c r="FG270" s="8">
        <f>+MINVU_Mes_Corriente!FG270*SALUD_Mes_Constante!$FC$1</f>
        <v>0</v>
      </c>
      <c r="FH270" s="8">
        <f>+MINVU_Mes_Corriente!FH270*SALUD_Mes_Constante!$FC$1</f>
        <v>0</v>
      </c>
      <c r="FI270" s="8">
        <f>+MINVU_Mes_Corriente!FI270*SALUD_Mes_Constante!$FC$1</f>
        <v>0</v>
      </c>
      <c r="FJ270" s="8"/>
      <c r="FK270" s="8"/>
      <c r="FL270" s="8"/>
      <c r="FM270" s="8"/>
      <c r="FN270" s="8"/>
      <c r="FO270" s="9">
        <f t="shared" si="145"/>
        <v>0</v>
      </c>
    </row>
    <row r="271" spans="2:171" ht="14.25" customHeight="1" x14ac:dyDescent="0.3">
      <c r="B271" s="7" t="s">
        <v>48</v>
      </c>
      <c r="C271" s="8">
        <f>+MINVU_Mes_Corriente!C271*SALUD_Mes_Constante!$C$1</f>
        <v>0</v>
      </c>
      <c r="D271" s="8">
        <f>+MINVU_Mes_Corriente!D271*SALUD_Mes_Constante!$C$1</f>
        <v>0</v>
      </c>
      <c r="E271" s="8">
        <f>+MINVU_Mes_Corriente!E271*SALUD_Mes_Constante!$C$1</f>
        <v>0</v>
      </c>
      <c r="F271" s="8">
        <f>+MINVU_Mes_Corriente!F271*SALUD_Mes_Constante!$C$1</f>
        <v>0</v>
      </c>
      <c r="G271" s="8">
        <f>+MINVU_Mes_Corriente!G271*SALUD_Mes_Constante!$C$1</f>
        <v>0</v>
      </c>
      <c r="H271" s="8">
        <f>+MINVU_Mes_Corriente!H271*SALUD_Mes_Constante!$C$1</f>
        <v>0</v>
      </c>
      <c r="I271" s="8">
        <f>+MINVU_Mes_Corriente!I271*SALUD_Mes_Constante!$C$1</f>
        <v>0</v>
      </c>
      <c r="J271" s="8">
        <f>+MINVU_Mes_Corriente!J271*SALUD_Mes_Constante!$C$1</f>
        <v>0</v>
      </c>
      <c r="K271" s="8">
        <f>+MINVU_Mes_Corriente!K271*SALUD_Mes_Constante!$C$1</f>
        <v>0</v>
      </c>
      <c r="L271" s="8">
        <f>+MINVU_Mes_Corriente!L271*SALUD_Mes_Constante!$C$1</f>
        <v>0</v>
      </c>
      <c r="M271" s="8">
        <f>+MINVU_Mes_Corriente!M271*SALUD_Mes_Constante!$C$1</f>
        <v>0</v>
      </c>
      <c r="N271" s="8">
        <f>+MINVU_Mes_Corriente!N271*SALUD_Mes_Constante!$C$1</f>
        <v>0</v>
      </c>
      <c r="O271" s="9">
        <f t="shared" si="133"/>
        <v>0</v>
      </c>
      <c r="P271" s="8">
        <f>+MINVU_Mes_Corriente!P271*SALUD_Mes_Constante!$P$1</f>
        <v>0</v>
      </c>
      <c r="Q271" s="8">
        <f>+MINVU_Mes_Corriente!Q271*SALUD_Mes_Constante!$P$1</f>
        <v>0</v>
      </c>
      <c r="R271" s="8">
        <f>+MINVU_Mes_Corriente!R271*SALUD_Mes_Constante!$P$1</f>
        <v>0</v>
      </c>
      <c r="S271" s="8">
        <f>+MINVU_Mes_Corriente!S271*SALUD_Mes_Constante!$P$1</f>
        <v>0</v>
      </c>
      <c r="T271" s="8">
        <f>+MINVU_Mes_Corriente!T271*SALUD_Mes_Constante!$P$1</f>
        <v>0</v>
      </c>
      <c r="U271" s="8">
        <f>+MINVU_Mes_Corriente!U271*SALUD_Mes_Constante!$P$1</f>
        <v>0</v>
      </c>
      <c r="V271" s="8">
        <f>+MINVU_Mes_Corriente!V271*SALUD_Mes_Constante!$P$1</f>
        <v>0</v>
      </c>
      <c r="W271" s="8">
        <f>+MINVU_Mes_Corriente!W271*SALUD_Mes_Constante!$P$1</f>
        <v>0</v>
      </c>
      <c r="X271" s="8">
        <f>+MINVU_Mes_Corriente!X271*SALUD_Mes_Constante!$P$1</f>
        <v>0</v>
      </c>
      <c r="Y271" s="8">
        <f>+MINVU_Mes_Corriente!Y271*SALUD_Mes_Constante!$P$1</f>
        <v>0</v>
      </c>
      <c r="Z271" s="8">
        <f>+MINVU_Mes_Corriente!Z271*SALUD_Mes_Constante!$P$1</f>
        <v>0</v>
      </c>
      <c r="AA271" s="8">
        <f>+MINVU_Mes_Corriente!AA271*SALUD_Mes_Constante!$P$1</f>
        <v>0</v>
      </c>
      <c r="AB271" s="9">
        <f t="shared" si="134"/>
        <v>0</v>
      </c>
      <c r="AC271" s="8">
        <f>+MINVU_Mes_Corriente!AC271*SALUD_Mes_Constante!$AC$1</f>
        <v>0</v>
      </c>
      <c r="AD271" s="8">
        <f>+MINVU_Mes_Corriente!AD271*SALUD_Mes_Constante!$AC$1</f>
        <v>0</v>
      </c>
      <c r="AE271" s="8">
        <f>+MINVU_Mes_Corriente!AE271*SALUD_Mes_Constante!$AC$1</f>
        <v>0</v>
      </c>
      <c r="AF271" s="8">
        <f>+MINVU_Mes_Corriente!AF271*SALUD_Mes_Constante!$AC$1</f>
        <v>0</v>
      </c>
      <c r="AG271" s="8">
        <f>+MINVU_Mes_Corriente!AG271*SALUD_Mes_Constante!$AC$1</f>
        <v>0</v>
      </c>
      <c r="AH271" s="8">
        <f>+MINVU_Mes_Corriente!AH271*SALUD_Mes_Constante!$AC$1</f>
        <v>0</v>
      </c>
      <c r="AI271" s="8">
        <f>+MINVU_Mes_Corriente!AI271*SALUD_Mes_Constante!$AC$1</f>
        <v>0</v>
      </c>
      <c r="AJ271" s="8">
        <f>+MINVU_Mes_Corriente!AJ271*SALUD_Mes_Constante!$AC$1</f>
        <v>0</v>
      </c>
      <c r="AK271" s="8">
        <f>+MINVU_Mes_Corriente!AK271*SALUD_Mes_Constante!$AC$1</f>
        <v>0</v>
      </c>
      <c r="AL271" s="8">
        <f>+MINVU_Mes_Corriente!AL271*SALUD_Mes_Constante!$AC$1</f>
        <v>0</v>
      </c>
      <c r="AM271" s="8">
        <f>+MINVU_Mes_Corriente!AM271*SALUD_Mes_Constante!$AC$1</f>
        <v>0</v>
      </c>
      <c r="AN271" s="8">
        <f>+MINVU_Mes_Corriente!AN271*SALUD_Mes_Constante!$AC$1</f>
        <v>0</v>
      </c>
      <c r="AO271" s="9">
        <f t="shared" si="135"/>
        <v>0</v>
      </c>
      <c r="AP271" s="8">
        <f>+MINVU_Mes_Corriente!AP271*SALUD_Mes_Constante!$AP$1</f>
        <v>0</v>
      </c>
      <c r="AQ271" s="8">
        <f>+MINVU_Mes_Corriente!AQ271*SALUD_Mes_Constante!$AP$1</f>
        <v>0</v>
      </c>
      <c r="AR271" s="8">
        <f>+MINVU_Mes_Corriente!AR271*SALUD_Mes_Constante!$AP$1</f>
        <v>0</v>
      </c>
      <c r="AS271" s="8">
        <f>+MINVU_Mes_Corriente!AS271*SALUD_Mes_Constante!$AP$1</f>
        <v>0</v>
      </c>
      <c r="AT271" s="8">
        <f>+MINVU_Mes_Corriente!AT271*SALUD_Mes_Constante!$AP$1</f>
        <v>0</v>
      </c>
      <c r="AU271" s="8">
        <f>+MINVU_Mes_Corriente!AU271*SALUD_Mes_Constante!$AP$1</f>
        <v>0</v>
      </c>
      <c r="AV271" s="8">
        <f>+MINVU_Mes_Corriente!AV271*SALUD_Mes_Constante!$AP$1</f>
        <v>0</v>
      </c>
      <c r="AW271" s="8">
        <f>+MINVU_Mes_Corriente!AW271*SALUD_Mes_Constante!$AP$1</f>
        <v>0</v>
      </c>
      <c r="AX271" s="8">
        <f>+MINVU_Mes_Corriente!AX271*SALUD_Mes_Constante!$AP$1</f>
        <v>0</v>
      </c>
      <c r="AY271" s="8">
        <f>+MINVU_Mes_Corriente!AY271*SALUD_Mes_Constante!$AP$1</f>
        <v>0</v>
      </c>
      <c r="AZ271" s="8">
        <f>+MINVU_Mes_Corriente!AZ271*SALUD_Mes_Constante!$AP$1</f>
        <v>0</v>
      </c>
      <c r="BA271" s="8">
        <f>+MINVU_Mes_Corriente!BA271*SALUD_Mes_Constante!$AP$1</f>
        <v>0</v>
      </c>
      <c r="BB271" s="9">
        <f t="shared" si="136"/>
        <v>0</v>
      </c>
      <c r="BC271" s="8">
        <f>+MINVU_Mes_Corriente!BC271*SALUD_Mes_Constante!$BC$1</f>
        <v>0</v>
      </c>
      <c r="BD271" s="8">
        <f>+MINVU_Mes_Corriente!BD271*SALUD_Mes_Constante!$BC$1</f>
        <v>0</v>
      </c>
      <c r="BE271" s="8">
        <f>+MINVU_Mes_Corriente!BE271*SALUD_Mes_Constante!$BC$1</f>
        <v>0</v>
      </c>
      <c r="BF271" s="8">
        <f>+MINVU_Mes_Corriente!BF271*SALUD_Mes_Constante!$BC$1</f>
        <v>4226241.062112621</v>
      </c>
      <c r="BG271" s="8">
        <f>+MINVU_Mes_Corriente!BG271*SALUD_Mes_Constante!$BC$1</f>
        <v>4226241.062112621</v>
      </c>
      <c r="BH271" s="8">
        <f>+MINVU_Mes_Corriente!BH271*SALUD_Mes_Constante!$BC$1</f>
        <v>4226241.062112621</v>
      </c>
      <c r="BI271" s="8">
        <f>+MINVU_Mes_Corriente!BI271*SALUD_Mes_Constante!$BC$1</f>
        <v>4226241.062112621</v>
      </c>
      <c r="BJ271" s="8">
        <f>+MINVU_Mes_Corriente!BJ271*SALUD_Mes_Constante!$BC$1</f>
        <v>4226241.062112621</v>
      </c>
      <c r="BK271" s="8">
        <f>+MINVU_Mes_Corriente!BK271*SALUD_Mes_Constante!$BC$1</f>
        <v>4226241.062112621</v>
      </c>
      <c r="BL271" s="8">
        <f>+MINVU_Mes_Corriente!BL271*SALUD_Mes_Constante!$BC$1</f>
        <v>4226241.062112621</v>
      </c>
      <c r="BM271" s="8">
        <f>+MINVU_Mes_Corriente!BM271*SALUD_Mes_Constante!$BC$1</f>
        <v>4226241.062112621</v>
      </c>
      <c r="BN271" s="8">
        <f>+MINVU_Mes_Corriente!BN271*SALUD_Mes_Constante!$BC$1</f>
        <v>4226241.062112621</v>
      </c>
      <c r="BO271" s="9">
        <f t="shared" si="137"/>
        <v>4226241.062112621</v>
      </c>
      <c r="BP271" s="8">
        <f>+MINVU_Mes_Corriente!BP271*SALUD_Mes_Constante!$BP$1</f>
        <v>0</v>
      </c>
      <c r="BQ271" s="8">
        <f>+MINVU_Mes_Corriente!BQ271*SALUD_Mes_Constante!$BP$1</f>
        <v>0</v>
      </c>
      <c r="BR271" s="8">
        <f>+MINVU_Mes_Corriente!BR271*SALUD_Mes_Constante!$BP$1</f>
        <v>0</v>
      </c>
      <c r="BS271" s="8">
        <f>+MINVU_Mes_Corriente!BS271*SALUD_Mes_Constante!$BP$1</f>
        <v>0</v>
      </c>
      <c r="BT271" s="8">
        <f>+MINVU_Mes_Corriente!BT271*SALUD_Mes_Constante!$BP$1</f>
        <v>0</v>
      </c>
      <c r="BU271" s="8">
        <f>+MINVU_Mes_Corriente!BU271*SALUD_Mes_Constante!$BP$1</f>
        <v>0</v>
      </c>
      <c r="BV271" s="8">
        <f>+MINVU_Mes_Corriente!BV271*SALUD_Mes_Constante!$BP$1</f>
        <v>0</v>
      </c>
      <c r="BW271" s="8">
        <f>+MINVU_Mes_Corriente!BW271*SALUD_Mes_Constante!$BP$1</f>
        <v>0</v>
      </c>
      <c r="BX271" s="8">
        <f>+MINVU_Mes_Corriente!BX271*SALUD_Mes_Constante!$BP$1</f>
        <v>0</v>
      </c>
      <c r="BY271" s="8">
        <f>+MINVU_Mes_Corriente!BY271*SALUD_Mes_Constante!$BP$1</f>
        <v>0</v>
      </c>
      <c r="BZ271" s="8">
        <f>+MINVU_Mes_Corriente!BZ271*SALUD_Mes_Constante!$BP$1</f>
        <v>0</v>
      </c>
      <c r="CA271" s="8">
        <f>+MINVU_Mes_Corriente!CA271*SALUD_Mes_Constante!$BP$1</f>
        <v>0</v>
      </c>
      <c r="CB271" s="9">
        <f t="shared" si="138"/>
        <v>0</v>
      </c>
      <c r="CC271" s="8">
        <f>+MINVU_Mes_Corriente!CC271*SALUD_Mes_Constante!$CC$1</f>
        <v>0</v>
      </c>
      <c r="CD271" s="8">
        <f>+MINVU_Mes_Corriente!CD271*SALUD_Mes_Constante!$CC$1</f>
        <v>0</v>
      </c>
      <c r="CE271" s="8">
        <f>+MINVU_Mes_Corriente!CE271*SALUD_Mes_Constante!$CC$1</f>
        <v>0</v>
      </c>
      <c r="CF271" s="8">
        <f>+MINVU_Mes_Corriente!CF271*SALUD_Mes_Constante!$CC$1</f>
        <v>0</v>
      </c>
      <c r="CG271" s="8">
        <f>+MINVU_Mes_Corriente!CG271*SALUD_Mes_Constante!$CC$1</f>
        <v>0</v>
      </c>
      <c r="CH271" s="8">
        <f>+MINVU_Mes_Corriente!CH271*SALUD_Mes_Constante!$CC$1</f>
        <v>0</v>
      </c>
      <c r="CI271" s="8">
        <f>+MINVU_Mes_Corriente!CI271*SALUD_Mes_Constante!$CC$1</f>
        <v>0</v>
      </c>
      <c r="CJ271" s="8">
        <f>+MINVU_Mes_Corriente!CJ271*SALUD_Mes_Constante!$CC$1</f>
        <v>0</v>
      </c>
      <c r="CK271" s="8">
        <f>+MINVU_Mes_Corriente!CK271*SALUD_Mes_Constante!$CC$1</f>
        <v>0</v>
      </c>
      <c r="CL271" s="8">
        <f>+MINVU_Mes_Corriente!CL271*SALUD_Mes_Constante!$CC$1</f>
        <v>0</v>
      </c>
      <c r="CM271" s="8">
        <f>+MINVU_Mes_Corriente!CM271*SALUD_Mes_Constante!$CC$1</f>
        <v>0</v>
      </c>
      <c r="CN271" s="8">
        <f>+MINVU_Mes_Corriente!CN271*SALUD_Mes_Constante!$CC$1</f>
        <v>163729.70309585976</v>
      </c>
      <c r="CO271" s="9">
        <f t="shared" si="139"/>
        <v>163729.70309585976</v>
      </c>
      <c r="CP271" s="8">
        <f>+MINVU_Mes_Corriente!CP271*SALUD_Mes_Constante!$CP$1</f>
        <v>0</v>
      </c>
      <c r="CQ271" s="8">
        <f>+MINVU_Mes_Corriente!CQ271*SALUD_Mes_Constante!$CP$1</f>
        <v>0</v>
      </c>
      <c r="CR271" s="8">
        <f>+MINVU_Mes_Corriente!CR271*SALUD_Mes_Constante!$CP$1</f>
        <v>0</v>
      </c>
      <c r="CS271" s="8">
        <f>+MINVU_Mes_Corriente!CS271*SALUD_Mes_Constante!$CP$1</f>
        <v>0</v>
      </c>
      <c r="CT271" s="8">
        <f>+MINVU_Mes_Corriente!CT271*SALUD_Mes_Constante!$CP$1</f>
        <v>0</v>
      </c>
      <c r="CU271" s="8">
        <f>+MINVU_Mes_Corriente!CU271*SALUD_Mes_Constante!$CP$1</f>
        <v>0</v>
      </c>
      <c r="CV271" s="8">
        <f>+MINVU_Mes_Corriente!CV271*SALUD_Mes_Constante!$CP$1</f>
        <v>0</v>
      </c>
      <c r="CW271" s="8">
        <f>+MINVU_Mes_Corriente!CW271*SALUD_Mes_Constante!$CP$1</f>
        <v>0</v>
      </c>
      <c r="CX271" s="8">
        <f>+MINVU_Mes_Corriente!CX271*SALUD_Mes_Constante!$CP$1</f>
        <v>0</v>
      </c>
      <c r="CY271" s="8">
        <f>+MINVU_Mes_Corriente!CY271*SALUD_Mes_Constante!$CP$1</f>
        <v>0</v>
      </c>
      <c r="CZ271" s="8">
        <f>+MINVU_Mes_Corriente!CZ271*SALUD_Mes_Constante!$CP$1</f>
        <v>0</v>
      </c>
      <c r="DA271" s="8">
        <f>+MINVU_Mes_Corriente!DA271*SALUD_Mes_Constante!$CP$1</f>
        <v>0</v>
      </c>
      <c r="DB271" s="9">
        <f t="shared" si="140"/>
        <v>0</v>
      </c>
      <c r="DC271" s="8">
        <f>+MINVU_Mes_Corriente!DC271*SALUD_Mes_Constante!$DC$1</f>
        <v>0</v>
      </c>
      <c r="DD271" s="8">
        <f>+MINVU_Mes_Corriente!DD271*SALUD_Mes_Constante!$DC$1</f>
        <v>0</v>
      </c>
      <c r="DE271" s="8">
        <f>+MINVU_Mes_Corriente!DE271*SALUD_Mes_Constante!$DC$1</f>
        <v>0</v>
      </c>
      <c r="DF271" s="8">
        <f>+MINVU_Mes_Corriente!DF271*SALUD_Mes_Constante!$DC$1</f>
        <v>0</v>
      </c>
      <c r="DG271" s="8">
        <f>+MINVU_Mes_Corriente!DG271*SALUD_Mes_Constante!$DC$1</f>
        <v>0</v>
      </c>
      <c r="DH271" s="8">
        <f>+MINVU_Mes_Corriente!DH271*SALUD_Mes_Constante!$DC$1</f>
        <v>0</v>
      </c>
      <c r="DI271" s="8">
        <f>+MINVU_Mes_Corriente!DI271*SALUD_Mes_Constante!$DC$1</f>
        <v>0</v>
      </c>
      <c r="DJ271" s="8">
        <f>+MINVU_Mes_Corriente!DJ271*SALUD_Mes_Constante!$DC$1</f>
        <v>0</v>
      </c>
      <c r="DK271" s="8">
        <f>+MINVU_Mes_Corriente!DK271*SALUD_Mes_Constante!$DC$1</f>
        <v>0</v>
      </c>
      <c r="DL271" s="8">
        <f>+MINVU_Mes_Corriente!DL271*SALUD_Mes_Constante!$DC$1</f>
        <v>0</v>
      </c>
      <c r="DM271" s="8">
        <f>+MINVU_Mes_Corriente!DM271*SALUD_Mes_Constante!$DC$1</f>
        <v>0</v>
      </c>
      <c r="DN271" s="8">
        <f>+MINVU_Mes_Corriente!DN271*SALUD_Mes_Constante!$DC$1</f>
        <v>0</v>
      </c>
      <c r="DO271" s="9">
        <f t="shared" si="141"/>
        <v>0</v>
      </c>
      <c r="DP271" s="8">
        <f>+MINVU_Mes_Corriente!DP271*SALUD_Mes_Constante!$DP$1</f>
        <v>0</v>
      </c>
      <c r="DQ271" s="8">
        <f>+MINVU_Mes_Corriente!DQ271*SALUD_Mes_Constante!$DP$1</f>
        <v>0</v>
      </c>
      <c r="DR271" s="8">
        <f>+MINVU_Mes_Corriente!DR271*SALUD_Mes_Constante!$DP$1</f>
        <v>0</v>
      </c>
      <c r="DS271" s="8">
        <f>+MINVU_Mes_Corriente!DS271*SALUD_Mes_Constante!$DP$1</f>
        <v>0</v>
      </c>
      <c r="DT271" s="8">
        <f>+MINVU_Mes_Corriente!DT271*SALUD_Mes_Constante!$DP$1</f>
        <v>0</v>
      </c>
      <c r="DU271" s="8">
        <f>+MINVU_Mes_Corriente!DU271*SALUD_Mes_Constante!$DP$1</f>
        <v>0</v>
      </c>
      <c r="DV271" s="8">
        <f>+MINVU_Mes_Corriente!DV271*SALUD_Mes_Constante!$DP$1</f>
        <v>0</v>
      </c>
      <c r="DW271" s="8">
        <f>+MINVU_Mes_Corriente!DW271*SALUD_Mes_Constante!$DP$1</f>
        <v>0</v>
      </c>
      <c r="DX271" s="8">
        <f>+MINVU_Mes_Corriente!DX271*SALUD_Mes_Constante!$DP$1</f>
        <v>0</v>
      </c>
      <c r="DY271" s="8">
        <f>+MINVU_Mes_Corriente!DY271*SALUD_Mes_Constante!$DP$1</f>
        <v>0</v>
      </c>
      <c r="DZ271" s="8">
        <f>+MINVU_Mes_Corriente!DZ271*SALUD_Mes_Constante!$DP$1</f>
        <v>0</v>
      </c>
      <c r="EA271" s="8">
        <f>+MINVU_Mes_Corriente!EA271*SALUD_Mes_Constante!$DP$1</f>
        <v>0</v>
      </c>
      <c r="EB271" s="9">
        <f t="shared" si="142"/>
        <v>0</v>
      </c>
      <c r="EC271" s="8">
        <f>+MINVU_Mes_Corriente!EC271*SALUD_Mes_Constante!$EC$1</f>
        <v>0</v>
      </c>
      <c r="ED271" s="8">
        <f>+MINVU_Mes_Corriente!ED271*SALUD_Mes_Constante!$EC$1</f>
        <v>0</v>
      </c>
      <c r="EE271" s="8">
        <f>+MINVU_Mes_Corriente!EE271*SALUD_Mes_Constante!$EC$1</f>
        <v>0</v>
      </c>
      <c r="EF271" s="8">
        <f>+MINVU_Mes_Corriente!EF271*SALUD_Mes_Constante!$EC$1</f>
        <v>0</v>
      </c>
      <c r="EG271" s="8">
        <f>+MINVU_Mes_Corriente!EG271*SALUD_Mes_Constante!$EC$1</f>
        <v>0</v>
      </c>
      <c r="EH271" s="8">
        <f>+MINVU_Mes_Corriente!EH271*SALUD_Mes_Constante!$EC$1</f>
        <v>0</v>
      </c>
      <c r="EI271" s="8">
        <f>+MINVU_Mes_Corriente!EI271*SALUD_Mes_Constante!$EC$1</f>
        <v>0</v>
      </c>
      <c r="EJ271" s="8">
        <f>+MINVU_Mes_Corriente!EJ271*SALUD_Mes_Constante!$EC$1</f>
        <v>0</v>
      </c>
      <c r="EK271" s="8">
        <f>+MINVU_Mes_Corriente!EK271*SALUD_Mes_Constante!$EC$1</f>
        <v>0</v>
      </c>
      <c r="EL271" s="8">
        <f>+MINVU_Mes_Corriente!EL271*SALUD_Mes_Constante!$EC$1</f>
        <v>0</v>
      </c>
      <c r="EM271" s="8">
        <f>+MINVU_Mes_Corriente!EM271*SALUD_Mes_Constante!$EC$1</f>
        <v>0</v>
      </c>
      <c r="EN271" s="8">
        <f>+MINVU_Mes_Corriente!EN271*SALUD_Mes_Constante!$EC$1</f>
        <v>0</v>
      </c>
      <c r="EO271" s="9">
        <f t="shared" si="143"/>
        <v>0</v>
      </c>
      <c r="EP271" s="8">
        <f>+MINVU_Mes_Corriente!EP271*SALUD_Mes_Constante!$EP$1</f>
        <v>0</v>
      </c>
      <c r="EQ271" s="8">
        <f>+MINVU_Mes_Corriente!EQ271*SALUD_Mes_Constante!$EP$1</f>
        <v>0</v>
      </c>
      <c r="ER271" s="8">
        <f>+MINVU_Mes_Corriente!ER271*SALUD_Mes_Constante!$EP$1</f>
        <v>0</v>
      </c>
      <c r="ES271" s="8">
        <f>+MINVU_Mes_Corriente!ES271*SALUD_Mes_Constante!$EP$1</f>
        <v>0</v>
      </c>
      <c r="ET271" s="8">
        <f>+MINVU_Mes_Corriente!ET271*SALUD_Mes_Constante!$EP$1</f>
        <v>0</v>
      </c>
      <c r="EU271" s="8">
        <f>+MINVU_Mes_Corriente!EU271*SALUD_Mes_Constante!$EP$1</f>
        <v>0</v>
      </c>
      <c r="EV271" s="8">
        <f>+MINVU_Mes_Corriente!EV271*SALUD_Mes_Constante!$EP$1</f>
        <v>0</v>
      </c>
      <c r="EW271" s="8">
        <f>+MINVU_Mes_Corriente!EW271*SALUD_Mes_Constante!$EP$1</f>
        <v>0</v>
      </c>
      <c r="EX271" s="8">
        <f>+MINVU_Mes_Corriente!EX271*SALUD_Mes_Constante!$EP$1</f>
        <v>0</v>
      </c>
      <c r="EY271" s="8">
        <f>+MINVU_Mes_Corriente!EY271*SALUD_Mes_Constante!$EP$1</f>
        <v>0</v>
      </c>
      <c r="EZ271" s="8">
        <f>+MINVU_Mes_Corriente!EZ271*SALUD_Mes_Constante!$EP$1</f>
        <v>0</v>
      </c>
      <c r="FA271" s="8">
        <f>+MINVU_Mes_Corriente!FA271*SALUD_Mes_Constante!$EP$1</f>
        <v>0</v>
      </c>
      <c r="FB271" s="9">
        <f t="shared" si="144"/>
        <v>0</v>
      </c>
      <c r="FC271" s="8">
        <f>+MINVU_Mes_Corriente!FC271*SALUD_Mes_Constante!$FC$1</f>
        <v>0</v>
      </c>
      <c r="FD271" s="8">
        <f>+MINVU_Mes_Corriente!FD271*SALUD_Mes_Constante!$FC$1</f>
        <v>0</v>
      </c>
      <c r="FE271" s="8">
        <f>+MINVU_Mes_Corriente!FE271*SALUD_Mes_Constante!$FC$1</f>
        <v>0</v>
      </c>
      <c r="FF271" s="8">
        <f>+MINVU_Mes_Corriente!FF271*SALUD_Mes_Constante!$FC$1</f>
        <v>0</v>
      </c>
      <c r="FG271" s="8">
        <f>+MINVU_Mes_Corriente!FG271*SALUD_Mes_Constante!$FC$1</f>
        <v>0</v>
      </c>
      <c r="FH271" s="8">
        <f>+MINVU_Mes_Corriente!FH271*SALUD_Mes_Constante!$FC$1</f>
        <v>0</v>
      </c>
      <c r="FI271" s="8">
        <f>+MINVU_Mes_Corriente!FI271*SALUD_Mes_Constante!$FC$1</f>
        <v>0</v>
      </c>
      <c r="FJ271" s="8"/>
      <c r="FK271" s="8"/>
      <c r="FL271" s="8"/>
      <c r="FM271" s="8"/>
      <c r="FN271" s="8"/>
      <c r="FO271" s="9">
        <f t="shared" si="145"/>
        <v>0</v>
      </c>
    </row>
    <row r="272" spans="2:171" ht="14.25" customHeight="1" x14ac:dyDescent="0.3">
      <c r="B272" s="7" t="s">
        <v>49</v>
      </c>
      <c r="C272" s="8">
        <f>+MINVU_Mes_Corriente!C272*SALUD_Mes_Constante!$C$1</f>
        <v>0</v>
      </c>
      <c r="D272" s="8">
        <f>+MINVU_Mes_Corriente!D272*SALUD_Mes_Constante!$C$1</f>
        <v>0</v>
      </c>
      <c r="E272" s="8">
        <f>+MINVU_Mes_Corriente!E272*SALUD_Mes_Constante!$C$1</f>
        <v>0</v>
      </c>
      <c r="F272" s="8">
        <f>+MINVU_Mes_Corriente!F272*SALUD_Mes_Constante!$C$1</f>
        <v>0</v>
      </c>
      <c r="G272" s="8">
        <f>+MINVU_Mes_Corriente!G272*SALUD_Mes_Constante!$C$1</f>
        <v>0</v>
      </c>
      <c r="H272" s="8">
        <f>+MINVU_Mes_Corriente!H272*SALUD_Mes_Constante!$C$1</f>
        <v>0</v>
      </c>
      <c r="I272" s="8">
        <f>+MINVU_Mes_Corriente!I272*SALUD_Mes_Constante!$C$1</f>
        <v>0</v>
      </c>
      <c r="J272" s="8">
        <f>+MINVU_Mes_Corriente!J272*SALUD_Mes_Constante!$C$1</f>
        <v>0</v>
      </c>
      <c r="K272" s="8">
        <f>+MINVU_Mes_Corriente!K272*SALUD_Mes_Constante!$C$1</f>
        <v>0</v>
      </c>
      <c r="L272" s="8">
        <f>+MINVU_Mes_Corriente!L272*SALUD_Mes_Constante!$C$1</f>
        <v>0</v>
      </c>
      <c r="M272" s="8">
        <f>+MINVU_Mes_Corriente!M272*SALUD_Mes_Constante!$C$1</f>
        <v>0</v>
      </c>
      <c r="N272" s="8">
        <f>+MINVU_Mes_Corriente!N272*SALUD_Mes_Constante!$C$1</f>
        <v>0</v>
      </c>
      <c r="O272" s="9">
        <f t="shared" si="133"/>
        <v>0</v>
      </c>
      <c r="P272" s="8">
        <f>+MINVU_Mes_Corriente!P272*SALUD_Mes_Constante!$P$1</f>
        <v>0</v>
      </c>
      <c r="Q272" s="8">
        <f>+MINVU_Mes_Corriente!Q272*SALUD_Mes_Constante!$P$1</f>
        <v>0</v>
      </c>
      <c r="R272" s="8">
        <f>+MINVU_Mes_Corriente!R272*SALUD_Mes_Constante!$P$1</f>
        <v>0</v>
      </c>
      <c r="S272" s="8">
        <f>+MINVU_Mes_Corriente!S272*SALUD_Mes_Constante!$P$1</f>
        <v>0</v>
      </c>
      <c r="T272" s="8">
        <f>+MINVU_Mes_Corriente!T272*SALUD_Mes_Constante!$P$1</f>
        <v>0</v>
      </c>
      <c r="U272" s="8">
        <f>+MINVU_Mes_Corriente!U272*SALUD_Mes_Constante!$P$1</f>
        <v>0</v>
      </c>
      <c r="V272" s="8">
        <f>+MINVU_Mes_Corriente!V272*SALUD_Mes_Constante!$P$1</f>
        <v>0</v>
      </c>
      <c r="W272" s="8">
        <f>+MINVU_Mes_Corriente!W272*SALUD_Mes_Constante!$P$1</f>
        <v>0</v>
      </c>
      <c r="X272" s="8">
        <f>+MINVU_Mes_Corriente!X272*SALUD_Mes_Constante!$P$1</f>
        <v>0</v>
      </c>
      <c r="Y272" s="8">
        <f>+MINVU_Mes_Corriente!Y272*SALUD_Mes_Constante!$P$1</f>
        <v>0</v>
      </c>
      <c r="Z272" s="8">
        <f>+MINVU_Mes_Corriente!Z272*SALUD_Mes_Constante!$P$1</f>
        <v>0</v>
      </c>
      <c r="AA272" s="8">
        <f>+MINVU_Mes_Corriente!AA272*SALUD_Mes_Constante!$P$1</f>
        <v>0</v>
      </c>
      <c r="AB272" s="9">
        <f t="shared" si="134"/>
        <v>0</v>
      </c>
      <c r="AC272" s="8">
        <f>+MINVU_Mes_Corriente!AC272*SALUD_Mes_Constante!$AC$1</f>
        <v>0</v>
      </c>
      <c r="AD272" s="8">
        <f>+MINVU_Mes_Corriente!AD272*SALUD_Mes_Constante!$AC$1</f>
        <v>0</v>
      </c>
      <c r="AE272" s="8">
        <f>+MINVU_Mes_Corriente!AE272*SALUD_Mes_Constante!$AC$1</f>
        <v>0</v>
      </c>
      <c r="AF272" s="8">
        <f>+MINVU_Mes_Corriente!AF272*SALUD_Mes_Constante!$AC$1</f>
        <v>0</v>
      </c>
      <c r="AG272" s="8">
        <f>+MINVU_Mes_Corriente!AG272*SALUD_Mes_Constante!$AC$1</f>
        <v>0</v>
      </c>
      <c r="AH272" s="8">
        <f>+MINVU_Mes_Corriente!AH272*SALUD_Mes_Constante!$AC$1</f>
        <v>0</v>
      </c>
      <c r="AI272" s="8">
        <f>+MINVU_Mes_Corriente!AI272*SALUD_Mes_Constante!$AC$1</f>
        <v>0</v>
      </c>
      <c r="AJ272" s="8">
        <f>+MINVU_Mes_Corriente!AJ272*SALUD_Mes_Constante!$AC$1</f>
        <v>0</v>
      </c>
      <c r="AK272" s="8">
        <f>+MINVU_Mes_Corriente!AK272*SALUD_Mes_Constante!$AC$1</f>
        <v>0</v>
      </c>
      <c r="AL272" s="8">
        <f>+MINVU_Mes_Corriente!AL272*SALUD_Mes_Constante!$AC$1</f>
        <v>0</v>
      </c>
      <c r="AM272" s="8">
        <f>+MINVU_Mes_Corriente!AM272*SALUD_Mes_Constante!$AC$1</f>
        <v>0</v>
      </c>
      <c r="AN272" s="8">
        <f>+MINVU_Mes_Corriente!AN272*SALUD_Mes_Constante!$AC$1</f>
        <v>0</v>
      </c>
      <c r="AO272" s="9">
        <f t="shared" si="135"/>
        <v>0</v>
      </c>
      <c r="AP272" s="8">
        <f>+MINVU_Mes_Corriente!AP272*SALUD_Mes_Constante!$AP$1</f>
        <v>0</v>
      </c>
      <c r="AQ272" s="8">
        <f>+MINVU_Mes_Corriente!AQ272*SALUD_Mes_Constante!$AP$1</f>
        <v>0</v>
      </c>
      <c r="AR272" s="8">
        <f>+MINVU_Mes_Corriente!AR272*SALUD_Mes_Constante!$AP$1</f>
        <v>0</v>
      </c>
      <c r="AS272" s="8">
        <f>+MINVU_Mes_Corriente!AS272*SALUD_Mes_Constante!$AP$1</f>
        <v>0</v>
      </c>
      <c r="AT272" s="8">
        <f>+MINVU_Mes_Corriente!AT272*SALUD_Mes_Constante!$AP$1</f>
        <v>0</v>
      </c>
      <c r="AU272" s="8">
        <f>+MINVU_Mes_Corriente!AU272*SALUD_Mes_Constante!$AP$1</f>
        <v>0</v>
      </c>
      <c r="AV272" s="8">
        <f>+MINVU_Mes_Corriente!AV272*SALUD_Mes_Constante!$AP$1</f>
        <v>0</v>
      </c>
      <c r="AW272" s="8">
        <f>+MINVU_Mes_Corriente!AW272*SALUD_Mes_Constante!$AP$1</f>
        <v>0</v>
      </c>
      <c r="AX272" s="8">
        <f>+MINVU_Mes_Corriente!AX272*SALUD_Mes_Constante!$AP$1</f>
        <v>0</v>
      </c>
      <c r="AY272" s="8">
        <f>+MINVU_Mes_Corriente!AY272*SALUD_Mes_Constante!$AP$1</f>
        <v>0</v>
      </c>
      <c r="AZ272" s="8">
        <f>+MINVU_Mes_Corriente!AZ272*SALUD_Mes_Constante!$AP$1</f>
        <v>0</v>
      </c>
      <c r="BA272" s="8">
        <f>+MINVU_Mes_Corriente!BA272*SALUD_Mes_Constante!$AP$1</f>
        <v>0</v>
      </c>
      <c r="BB272" s="9">
        <f t="shared" si="136"/>
        <v>0</v>
      </c>
      <c r="BC272" s="8">
        <f>+MINVU_Mes_Corriente!BC272*SALUD_Mes_Constante!$BC$1</f>
        <v>0</v>
      </c>
      <c r="BD272" s="8">
        <f>+MINVU_Mes_Corriente!BD272*SALUD_Mes_Constante!$BC$1</f>
        <v>0</v>
      </c>
      <c r="BE272" s="8">
        <f>+MINVU_Mes_Corriente!BE272*SALUD_Mes_Constante!$BC$1</f>
        <v>0</v>
      </c>
      <c r="BF272" s="8">
        <f>+MINVU_Mes_Corriente!BF272*SALUD_Mes_Constante!$BC$1</f>
        <v>0</v>
      </c>
      <c r="BG272" s="8">
        <f>+MINVU_Mes_Corriente!BG272*SALUD_Mes_Constante!$BC$1</f>
        <v>0</v>
      </c>
      <c r="BH272" s="8">
        <f>+MINVU_Mes_Corriente!BH272*SALUD_Mes_Constante!$BC$1</f>
        <v>0</v>
      </c>
      <c r="BI272" s="8">
        <f>+MINVU_Mes_Corriente!BI272*SALUD_Mes_Constante!$BC$1</f>
        <v>0</v>
      </c>
      <c r="BJ272" s="8">
        <f>+MINVU_Mes_Corriente!BJ272*SALUD_Mes_Constante!$BC$1</f>
        <v>0</v>
      </c>
      <c r="BK272" s="8">
        <f>+MINVU_Mes_Corriente!BK272*SALUD_Mes_Constante!$BC$1</f>
        <v>0</v>
      </c>
      <c r="BL272" s="8">
        <f>+MINVU_Mes_Corriente!BL272*SALUD_Mes_Constante!$BC$1</f>
        <v>0</v>
      </c>
      <c r="BM272" s="8">
        <f>+MINVU_Mes_Corriente!BM272*SALUD_Mes_Constante!$BC$1</f>
        <v>0</v>
      </c>
      <c r="BN272" s="8">
        <f>+MINVU_Mes_Corriente!BN272*SALUD_Mes_Constante!$BC$1</f>
        <v>0</v>
      </c>
      <c r="BO272" s="9">
        <f t="shared" si="137"/>
        <v>0</v>
      </c>
      <c r="BP272" s="8">
        <f>+MINVU_Mes_Corriente!BP272*SALUD_Mes_Constante!$BP$1</f>
        <v>0</v>
      </c>
      <c r="BQ272" s="8">
        <f>+MINVU_Mes_Corriente!BQ272*SALUD_Mes_Constante!$BP$1</f>
        <v>0</v>
      </c>
      <c r="BR272" s="8">
        <f>+MINVU_Mes_Corriente!BR272*SALUD_Mes_Constante!$BP$1</f>
        <v>0</v>
      </c>
      <c r="BS272" s="8">
        <f>+MINVU_Mes_Corriente!BS272*SALUD_Mes_Constante!$BP$1</f>
        <v>0</v>
      </c>
      <c r="BT272" s="8">
        <f>+MINVU_Mes_Corriente!BT272*SALUD_Mes_Constante!$BP$1</f>
        <v>0</v>
      </c>
      <c r="BU272" s="8">
        <f>+MINVU_Mes_Corriente!BU272*SALUD_Mes_Constante!$BP$1</f>
        <v>0</v>
      </c>
      <c r="BV272" s="8">
        <f>+MINVU_Mes_Corriente!BV272*SALUD_Mes_Constante!$BP$1</f>
        <v>0</v>
      </c>
      <c r="BW272" s="8">
        <f>+MINVU_Mes_Corriente!BW272*SALUD_Mes_Constante!$BP$1</f>
        <v>0</v>
      </c>
      <c r="BX272" s="8">
        <f>+MINVU_Mes_Corriente!BX272*SALUD_Mes_Constante!$BP$1</f>
        <v>0</v>
      </c>
      <c r="BY272" s="8">
        <f>+MINVU_Mes_Corriente!BY272*SALUD_Mes_Constante!$BP$1</f>
        <v>0</v>
      </c>
      <c r="BZ272" s="8">
        <f>+MINVU_Mes_Corriente!BZ272*SALUD_Mes_Constante!$BP$1</f>
        <v>0</v>
      </c>
      <c r="CA272" s="8">
        <f>+MINVU_Mes_Corriente!CA272*SALUD_Mes_Constante!$BP$1</f>
        <v>0</v>
      </c>
      <c r="CB272" s="9">
        <f t="shared" si="138"/>
        <v>0</v>
      </c>
      <c r="CC272" s="8">
        <f>+MINVU_Mes_Corriente!CC272*SALUD_Mes_Constante!$CC$1</f>
        <v>0</v>
      </c>
      <c r="CD272" s="8">
        <f>+MINVU_Mes_Corriente!CD272*SALUD_Mes_Constante!$CC$1</f>
        <v>0</v>
      </c>
      <c r="CE272" s="8">
        <f>+MINVU_Mes_Corriente!CE272*SALUD_Mes_Constante!$CC$1</f>
        <v>0</v>
      </c>
      <c r="CF272" s="8">
        <f>+MINVU_Mes_Corriente!CF272*SALUD_Mes_Constante!$CC$1</f>
        <v>0</v>
      </c>
      <c r="CG272" s="8">
        <f>+MINVU_Mes_Corriente!CG272*SALUD_Mes_Constante!$CC$1</f>
        <v>0</v>
      </c>
      <c r="CH272" s="8">
        <f>+MINVU_Mes_Corriente!CH272*SALUD_Mes_Constante!$CC$1</f>
        <v>0</v>
      </c>
      <c r="CI272" s="8">
        <f>+MINVU_Mes_Corriente!CI272*SALUD_Mes_Constante!$CC$1</f>
        <v>0</v>
      </c>
      <c r="CJ272" s="8">
        <f>+MINVU_Mes_Corriente!CJ272*SALUD_Mes_Constante!$CC$1</f>
        <v>0</v>
      </c>
      <c r="CK272" s="8">
        <f>+MINVU_Mes_Corriente!CK272*SALUD_Mes_Constante!$CC$1</f>
        <v>0</v>
      </c>
      <c r="CL272" s="8">
        <f>+MINVU_Mes_Corriente!CL272*SALUD_Mes_Constante!$CC$1</f>
        <v>0</v>
      </c>
      <c r="CM272" s="8">
        <f>+MINVU_Mes_Corriente!CM272*SALUD_Mes_Constante!$CC$1</f>
        <v>0</v>
      </c>
      <c r="CN272" s="8">
        <f>+MINVU_Mes_Corriente!CN272*SALUD_Mes_Constante!$CC$1</f>
        <v>0</v>
      </c>
      <c r="CO272" s="9">
        <f t="shared" si="139"/>
        <v>0</v>
      </c>
      <c r="CP272" s="8">
        <f>+MINVU_Mes_Corriente!CP272*SALUD_Mes_Constante!$CP$1</f>
        <v>0</v>
      </c>
      <c r="CQ272" s="8">
        <f>+MINVU_Mes_Corriente!CQ272*SALUD_Mes_Constante!$CP$1</f>
        <v>0</v>
      </c>
      <c r="CR272" s="8">
        <f>+MINVU_Mes_Corriente!CR272*SALUD_Mes_Constante!$CP$1</f>
        <v>0</v>
      </c>
      <c r="CS272" s="8">
        <f>+MINVU_Mes_Corriente!CS272*SALUD_Mes_Constante!$CP$1</f>
        <v>0</v>
      </c>
      <c r="CT272" s="8">
        <f>+MINVU_Mes_Corriente!CT272*SALUD_Mes_Constante!$CP$1</f>
        <v>0</v>
      </c>
      <c r="CU272" s="8">
        <f>+MINVU_Mes_Corriente!CU272*SALUD_Mes_Constante!$CP$1</f>
        <v>0</v>
      </c>
      <c r="CV272" s="8">
        <f>+MINVU_Mes_Corriente!CV272*SALUD_Mes_Constante!$CP$1</f>
        <v>0</v>
      </c>
      <c r="CW272" s="8">
        <f>+MINVU_Mes_Corriente!CW272*SALUD_Mes_Constante!$CP$1</f>
        <v>0</v>
      </c>
      <c r="CX272" s="8">
        <f>+MINVU_Mes_Corriente!CX272*SALUD_Mes_Constante!$CP$1</f>
        <v>0</v>
      </c>
      <c r="CY272" s="8">
        <f>+MINVU_Mes_Corriente!CY272*SALUD_Mes_Constante!$CP$1</f>
        <v>0</v>
      </c>
      <c r="CZ272" s="8">
        <f>+MINVU_Mes_Corriente!CZ272*SALUD_Mes_Constante!$CP$1</f>
        <v>0</v>
      </c>
      <c r="DA272" s="8">
        <f>+MINVU_Mes_Corriente!DA272*SALUD_Mes_Constante!$CP$1</f>
        <v>0</v>
      </c>
      <c r="DB272" s="9">
        <f t="shared" si="140"/>
        <v>0</v>
      </c>
      <c r="DC272" s="8">
        <f>+MINVU_Mes_Corriente!DC272*SALUD_Mes_Constante!$DC$1</f>
        <v>0</v>
      </c>
      <c r="DD272" s="8">
        <f>+MINVU_Mes_Corriente!DD272*SALUD_Mes_Constante!$DC$1</f>
        <v>0</v>
      </c>
      <c r="DE272" s="8">
        <f>+MINVU_Mes_Corriente!DE272*SALUD_Mes_Constante!$DC$1</f>
        <v>0</v>
      </c>
      <c r="DF272" s="8">
        <f>+MINVU_Mes_Corriente!DF272*SALUD_Mes_Constante!$DC$1</f>
        <v>0</v>
      </c>
      <c r="DG272" s="8">
        <f>+MINVU_Mes_Corriente!DG272*SALUD_Mes_Constante!$DC$1</f>
        <v>0</v>
      </c>
      <c r="DH272" s="8">
        <f>+MINVU_Mes_Corriente!DH272*SALUD_Mes_Constante!$DC$1</f>
        <v>0</v>
      </c>
      <c r="DI272" s="8">
        <f>+MINVU_Mes_Corriente!DI272*SALUD_Mes_Constante!$DC$1</f>
        <v>0</v>
      </c>
      <c r="DJ272" s="8">
        <f>+MINVU_Mes_Corriente!DJ272*SALUD_Mes_Constante!$DC$1</f>
        <v>0</v>
      </c>
      <c r="DK272" s="8">
        <f>+MINVU_Mes_Corriente!DK272*SALUD_Mes_Constante!$DC$1</f>
        <v>0</v>
      </c>
      <c r="DL272" s="8">
        <f>+MINVU_Mes_Corriente!DL272*SALUD_Mes_Constante!$DC$1</f>
        <v>0</v>
      </c>
      <c r="DM272" s="8">
        <f>+MINVU_Mes_Corriente!DM272*SALUD_Mes_Constante!$DC$1</f>
        <v>0</v>
      </c>
      <c r="DN272" s="8">
        <f>+MINVU_Mes_Corriente!DN272*SALUD_Mes_Constante!$DC$1</f>
        <v>0</v>
      </c>
      <c r="DO272" s="9">
        <f t="shared" si="141"/>
        <v>0</v>
      </c>
      <c r="DP272" s="8">
        <f>+MINVU_Mes_Corriente!DP272*SALUD_Mes_Constante!$DP$1</f>
        <v>0</v>
      </c>
      <c r="DQ272" s="8">
        <f>+MINVU_Mes_Corriente!DQ272*SALUD_Mes_Constante!$DP$1</f>
        <v>0</v>
      </c>
      <c r="DR272" s="8">
        <f>+MINVU_Mes_Corriente!DR272*SALUD_Mes_Constante!$DP$1</f>
        <v>0</v>
      </c>
      <c r="DS272" s="8">
        <f>+MINVU_Mes_Corriente!DS272*SALUD_Mes_Constante!$DP$1</f>
        <v>0</v>
      </c>
      <c r="DT272" s="8">
        <f>+MINVU_Mes_Corriente!DT272*SALUD_Mes_Constante!$DP$1</f>
        <v>0</v>
      </c>
      <c r="DU272" s="8">
        <f>+MINVU_Mes_Corriente!DU272*SALUD_Mes_Constante!$DP$1</f>
        <v>0</v>
      </c>
      <c r="DV272" s="8">
        <f>+MINVU_Mes_Corriente!DV272*SALUD_Mes_Constante!$DP$1</f>
        <v>0</v>
      </c>
      <c r="DW272" s="8">
        <f>+MINVU_Mes_Corriente!DW272*SALUD_Mes_Constante!$DP$1</f>
        <v>0</v>
      </c>
      <c r="DX272" s="8">
        <f>+MINVU_Mes_Corriente!DX272*SALUD_Mes_Constante!$DP$1</f>
        <v>0</v>
      </c>
      <c r="DY272" s="8">
        <f>+MINVU_Mes_Corriente!DY272*SALUD_Mes_Constante!$DP$1</f>
        <v>0</v>
      </c>
      <c r="DZ272" s="8">
        <f>+MINVU_Mes_Corriente!DZ272*SALUD_Mes_Constante!$DP$1</f>
        <v>0</v>
      </c>
      <c r="EA272" s="8">
        <f>+MINVU_Mes_Corriente!EA272*SALUD_Mes_Constante!$DP$1</f>
        <v>0</v>
      </c>
      <c r="EB272" s="9">
        <f t="shared" si="142"/>
        <v>0</v>
      </c>
      <c r="EC272" s="8">
        <f>+MINVU_Mes_Corriente!EC272*SALUD_Mes_Constante!$EC$1</f>
        <v>0</v>
      </c>
      <c r="ED272" s="8">
        <f>+MINVU_Mes_Corriente!ED272*SALUD_Mes_Constante!$EC$1</f>
        <v>0</v>
      </c>
      <c r="EE272" s="8">
        <f>+MINVU_Mes_Corriente!EE272*SALUD_Mes_Constante!$EC$1</f>
        <v>0</v>
      </c>
      <c r="EF272" s="8">
        <f>+MINVU_Mes_Corriente!EF272*SALUD_Mes_Constante!$EC$1</f>
        <v>0</v>
      </c>
      <c r="EG272" s="8">
        <f>+MINVU_Mes_Corriente!EG272*SALUD_Mes_Constante!$EC$1</f>
        <v>0</v>
      </c>
      <c r="EH272" s="8">
        <f>+MINVU_Mes_Corriente!EH272*SALUD_Mes_Constante!$EC$1</f>
        <v>0</v>
      </c>
      <c r="EI272" s="8">
        <f>+MINVU_Mes_Corriente!EI272*SALUD_Mes_Constante!$EC$1</f>
        <v>0</v>
      </c>
      <c r="EJ272" s="8">
        <f>+MINVU_Mes_Corriente!EJ272*SALUD_Mes_Constante!$EC$1</f>
        <v>0</v>
      </c>
      <c r="EK272" s="8">
        <f>+MINVU_Mes_Corriente!EK272*SALUD_Mes_Constante!$EC$1</f>
        <v>0</v>
      </c>
      <c r="EL272" s="8">
        <f>+MINVU_Mes_Corriente!EL272*SALUD_Mes_Constante!$EC$1</f>
        <v>0</v>
      </c>
      <c r="EM272" s="8">
        <f>+MINVU_Mes_Corriente!EM272*SALUD_Mes_Constante!$EC$1</f>
        <v>0</v>
      </c>
      <c r="EN272" s="8">
        <f>+MINVU_Mes_Corriente!EN272*SALUD_Mes_Constante!$EC$1</f>
        <v>0</v>
      </c>
      <c r="EO272" s="9">
        <f t="shared" si="143"/>
        <v>0</v>
      </c>
      <c r="EP272" s="8">
        <f>+MINVU_Mes_Corriente!EP272*SALUD_Mes_Constante!$EP$1</f>
        <v>0</v>
      </c>
      <c r="EQ272" s="8">
        <f>+MINVU_Mes_Corriente!EQ272*SALUD_Mes_Constante!$EP$1</f>
        <v>0</v>
      </c>
      <c r="ER272" s="8">
        <f>+MINVU_Mes_Corriente!ER272*SALUD_Mes_Constante!$EP$1</f>
        <v>0</v>
      </c>
      <c r="ES272" s="8">
        <f>+MINVU_Mes_Corriente!ES272*SALUD_Mes_Constante!$EP$1</f>
        <v>0</v>
      </c>
      <c r="ET272" s="8">
        <f>+MINVU_Mes_Corriente!ET272*SALUD_Mes_Constante!$EP$1</f>
        <v>0</v>
      </c>
      <c r="EU272" s="8">
        <f>+MINVU_Mes_Corriente!EU272*SALUD_Mes_Constante!$EP$1</f>
        <v>0</v>
      </c>
      <c r="EV272" s="8">
        <f>+MINVU_Mes_Corriente!EV272*SALUD_Mes_Constante!$EP$1</f>
        <v>0</v>
      </c>
      <c r="EW272" s="8">
        <f>+MINVU_Mes_Corriente!EW272*SALUD_Mes_Constante!$EP$1</f>
        <v>0</v>
      </c>
      <c r="EX272" s="8">
        <f>+MINVU_Mes_Corriente!EX272*SALUD_Mes_Constante!$EP$1</f>
        <v>0</v>
      </c>
      <c r="EY272" s="8">
        <f>+MINVU_Mes_Corriente!EY272*SALUD_Mes_Constante!$EP$1</f>
        <v>0</v>
      </c>
      <c r="EZ272" s="8">
        <f>+MINVU_Mes_Corriente!EZ272*SALUD_Mes_Constante!$EP$1</f>
        <v>0</v>
      </c>
      <c r="FA272" s="8">
        <f>+MINVU_Mes_Corriente!FA272*SALUD_Mes_Constante!$EP$1</f>
        <v>0</v>
      </c>
      <c r="FB272" s="9">
        <f t="shared" si="144"/>
        <v>0</v>
      </c>
      <c r="FC272" s="8">
        <f>+MINVU_Mes_Corriente!FC272*SALUD_Mes_Constante!$FC$1</f>
        <v>0</v>
      </c>
      <c r="FD272" s="8">
        <f>+MINVU_Mes_Corriente!FD272*SALUD_Mes_Constante!$FC$1</f>
        <v>0</v>
      </c>
      <c r="FE272" s="8">
        <f>+MINVU_Mes_Corriente!FE272*SALUD_Mes_Constante!$FC$1</f>
        <v>0</v>
      </c>
      <c r="FF272" s="8">
        <f>+MINVU_Mes_Corriente!FF272*SALUD_Mes_Constante!$FC$1</f>
        <v>0</v>
      </c>
      <c r="FG272" s="8">
        <f>+MINVU_Mes_Corriente!FG272*SALUD_Mes_Constante!$FC$1</f>
        <v>0</v>
      </c>
      <c r="FH272" s="8">
        <f>+MINVU_Mes_Corriente!FH272*SALUD_Mes_Constante!$FC$1</f>
        <v>0</v>
      </c>
      <c r="FI272" s="8">
        <f>+MINVU_Mes_Corriente!FI272*SALUD_Mes_Constante!$FC$1</f>
        <v>0</v>
      </c>
      <c r="FJ272" s="8"/>
      <c r="FK272" s="8"/>
      <c r="FL272" s="8"/>
      <c r="FM272" s="8"/>
      <c r="FN272" s="8"/>
      <c r="FO272" s="9">
        <f t="shared" si="145"/>
        <v>0</v>
      </c>
    </row>
    <row r="273" spans="2:171" ht="14.25" customHeight="1" x14ac:dyDescent="0.3">
      <c r="B273" s="7" t="s">
        <v>50</v>
      </c>
      <c r="C273" s="8">
        <f>+MINVU_Mes_Corriente!C273*SALUD_Mes_Constante!$C$1</f>
        <v>0</v>
      </c>
      <c r="D273" s="8">
        <f>+MINVU_Mes_Corriente!D273*SALUD_Mes_Constante!$C$1</f>
        <v>0</v>
      </c>
      <c r="E273" s="8">
        <f>+MINVU_Mes_Corriente!E273*SALUD_Mes_Constante!$C$1</f>
        <v>0</v>
      </c>
      <c r="F273" s="8">
        <f>+MINVU_Mes_Corriente!F273*SALUD_Mes_Constante!$C$1</f>
        <v>0</v>
      </c>
      <c r="G273" s="8">
        <f>+MINVU_Mes_Corriente!G273*SALUD_Mes_Constante!$C$1</f>
        <v>0</v>
      </c>
      <c r="H273" s="8">
        <f>+MINVU_Mes_Corriente!H273*SALUD_Mes_Constante!$C$1</f>
        <v>0</v>
      </c>
      <c r="I273" s="8">
        <f>+MINVU_Mes_Corriente!I273*SALUD_Mes_Constante!$C$1</f>
        <v>0</v>
      </c>
      <c r="J273" s="8">
        <f>+MINVU_Mes_Corriente!J273*SALUD_Mes_Constante!$C$1</f>
        <v>0</v>
      </c>
      <c r="K273" s="8">
        <f>+MINVU_Mes_Corriente!K273*SALUD_Mes_Constante!$C$1</f>
        <v>0</v>
      </c>
      <c r="L273" s="8">
        <f>+MINVU_Mes_Corriente!L273*SALUD_Mes_Constante!$C$1</f>
        <v>0</v>
      </c>
      <c r="M273" s="8">
        <f>+MINVU_Mes_Corriente!M273*SALUD_Mes_Constante!$C$1</f>
        <v>0</v>
      </c>
      <c r="N273" s="8">
        <f>+MINVU_Mes_Corriente!N273*SALUD_Mes_Constante!$C$1</f>
        <v>0</v>
      </c>
      <c r="O273" s="9">
        <f t="shared" si="133"/>
        <v>0</v>
      </c>
      <c r="P273" s="8">
        <f>+MINVU_Mes_Corriente!P273*SALUD_Mes_Constante!$P$1</f>
        <v>0</v>
      </c>
      <c r="Q273" s="8">
        <f>+MINVU_Mes_Corriente!Q273*SALUD_Mes_Constante!$P$1</f>
        <v>0</v>
      </c>
      <c r="R273" s="8">
        <f>+MINVU_Mes_Corriente!R273*SALUD_Mes_Constante!$P$1</f>
        <v>0</v>
      </c>
      <c r="S273" s="8">
        <f>+MINVU_Mes_Corriente!S273*SALUD_Mes_Constante!$P$1</f>
        <v>0</v>
      </c>
      <c r="T273" s="8">
        <f>+MINVU_Mes_Corriente!T273*SALUD_Mes_Constante!$P$1</f>
        <v>0</v>
      </c>
      <c r="U273" s="8">
        <f>+MINVU_Mes_Corriente!U273*SALUD_Mes_Constante!$P$1</f>
        <v>0</v>
      </c>
      <c r="V273" s="8">
        <f>+MINVU_Mes_Corriente!V273*SALUD_Mes_Constante!$P$1</f>
        <v>0</v>
      </c>
      <c r="W273" s="8">
        <f>+MINVU_Mes_Corriente!W273*SALUD_Mes_Constante!$P$1</f>
        <v>0</v>
      </c>
      <c r="X273" s="8">
        <f>+MINVU_Mes_Corriente!X273*SALUD_Mes_Constante!$P$1</f>
        <v>0</v>
      </c>
      <c r="Y273" s="8">
        <f>+MINVU_Mes_Corriente!Y273*SALUD_Mes_Constante!$P$1</f>
        <v>0</v>
      </c>
      <c r="Z273" s="8">
        <f>+MINVU_Mes_Corriente!Z273*SALUD_Mes_Constante!$P$1</f>
        <v>0</v>
      </c>
      <c r="AA273" s="8">
        <f>+MINVU_Mes_Corriente!AA273*SALUD_Mes_Constante!$P$1</f>
        <v>0</v>
      </c>
      <c r="AB273" s="9">
        <f t="shared" si="134"/>
        <v>0</v>
      </c>
      <c r="AC273" s="8">
        <f>+MINVU_Mes_Corriente!AC273*SALUD_Mes_Constante!$AC$1</f>
        <v>0</v>
      </c>
      <c r="AD273" s="8">
        <f>+MINVU_Mes_Corriente!AD273*SALUD_Mes_Constante!$AC$1</f>
        <v>0</v>
      </c>
      <c r="AE273" s="8">
        <f>+MINVU_Mes_Corriente!AE273*SALUD_Mes_Constante!$AC$1</f>
        <v>0</v>
      </c>
      <c r="AF273" s="8">
        <f>+MINVU_Mes_Corriente!AF273*SALUD_Mes_Constante!$AC$1</f>
        <v>0</v>
      </c>
      <c r="AG273" s="8">
        <f>+MINVU_Mes_Corriente!AG273*SALUD_Mes_Constante!$AC$1</f>
        <v>0</v>
      </c>
      <c r="AH273" s="8">
        <f>+MINVU_Mes_Corriente!AH273*SALUD_Mes_Constante!$AC$1</f>
        <v>0</v>
      </c>
      <c r="AI273" s="8">
        <f>+MINVU_Mes_Corriente!AI273*SALUD_Mes_Constante!$AC$1</f>
        <v>0</v>
      </c>
      <c r="AJ273" s="8">
        <f>+MINVU_Mes_Corriente!AJ273*SALUD_Mes_Constante!$AC$1</f>
        <v>0</v>
      </c>
      <c r="AK273" s="8">
        <f>+MINVU_Mes_Corriente!AK273*SALUD_Mes_Constante!$AC$1</f>
        <v>0</v>
      </c>
      <c r="AL273" s="8">
        <f>+MINVU_Mes_Corriente!AL273*SALUD_Mes_Constante!$AC$1</f>
        <v>0</v>
      </c>
      <c r="AM273" s="8">
        <f>+MINVU_Mes_Corriente!AM273*SALUD_Mes_Constante!$AC$1</f>
        <v>0</v>
      </c>
      <c r="AN273" s="8">
        <f>+MINVU_Mes_Corriente!AN273*SALUD_Mes_Constante!$AC$1</f>
        <v>0</v>
      </c>
      <c r="AO273" s="9">
        <f t="shared" si="135"/>
        <v>0</v>
      </c>
      <c r="AP273" s="8">
        <f>+MINVU_Mes_Corriente!AP273*SALUD_Mes_Constante!$AP$1</f>
        <v>0</v>
      </c>
      <c r="AQ273" s="8">
        <f>+MINVU_Mes_Corriente!AQ273*SALUD_Mes_Constante!$AP$1</f>
        <v>0</v>
      </c>
      <c r="AR273" s="8">
        <f>+MINVU_Mes_Corriente!AR273*SALUD_Mes_Constante!$AP$1</f>
        <v>0</v>
      </c>
      <c r="AS273" s="8">
        <f>+MINVU_Mes_Corriente!AS273*SALUD_Mes_Constante!$AP$1</f>
        <v>0</v>
      </c>
      <c r="AT273" s="8">
        <f>+MINVU_Mes_Corriente!AT273*SALUD_Mes_Constante!$AP$1</f>
        <v>0</v>
      </c>
      <c r="AU273" s="8">
        <f>+MINVU_Mes_Corriente!AU273*SALUD_Mes_Constante!$AP$1</f>
        <v>0</v>
      </c>
      <c r="AV273" s="8">
        <f>+MINVU_Mes_Corriente!AV273*SALUD_Mes_Constante!$AP$1</f>
        <v>0</v>
      </c>
      <c r="AW273" s="8">
        <f>+MINVU_Mes_Corriente!AW273*SALUD_Mes_Constante!$AP$1</f>
        <v>0</v>
      </c>
      <c r="AX273" s="8">
        <f>+MINVU_Mes_Corriente!AX273*SALUD_Mes_Constante!$AP$1</f>
        <v>0</v>
      </c>
      <c r="AY273" s="8">
        <f>+MINVU_Mes_Corriente!AY273*SALUD_Mes_Constante!$AP$1</f>
        <v>0</v>
      </c>
      <c r="AZ273" s="8">
        <f>+MINVU_Mes_Corriente!AZ273*SALUD_Mes_Constante!$AP$1</f>
        <v>0</v>
      </c>
      <c r="BA273" s="8">
        <f>+MINVU_Mes_Corriente!BA273*SALUD_Mes_Constante!$AP$1</f>
        <v>0</v>
      </c>
      <c r="BB273" s="9">
        <f t="shared" si="136"/>
        <v>0</v>
      </c>
      <c r="BC273" s="8">
        <f>+MINVU_Mes_Corriente!BC273*SALUD_Mes_Constante!$BC$1</f>
        <v>0</v>
      </c>
      <c r="BD273" s="8">
        <f>+MINVU_Mes_Corriente!BD273*SALUD_Mes_Constante!$BC$1</f>
        <v>0</v>
      </c>
      <c r="BE273" s="8">
        <f>+MINVU_Mes_Corriente!BE273*SALUD_Mes_Constante!$BC$1</f>
        <v>0</v>
      </c>
      <c r="BF273" s="8">
        <f>+MINVU_Mes_Corriente!BF273*SALUD_Mes_Constante!$BC$1</f>
        <v>0</v>
      </c>
      <c r="BG273" s="8">
        <f>+MINVU_Mes_Corriente!BG273*SALUD_Mes_Constante!$BC$1</f>
        <v>0</v>
      </c>
      <c r="BH273" s="8">
        <f>+MINVU_Mes_Corriente!BH273*SALUD_Mes_Constante!$BC$1</f>
        <v>0</v>
      </c>
      <c r="BI273" s="8">
        <f>+MINVU_Mes_Corriente!BI273*SALUD_Mes_Constante!$BC$1</f>
        <v>0</v>
      </c>
      <c r="BJ273" s="8">
        <f>+MINVU_Mes_Corriente!BJ273*SALUD_Mes_Constante!$BC$1</f>
        <v>0</v>
      </c>
      <c r="BK273" s="8">
        <f>+MINVU_Mes_Corriente!BK273*SALUD_Mes_Constante!$BC$1</f>
        <v>0</v>
      </c>
      <c r="BL273" s="8">
        <f>+MINVU_Mes_Corriente!BL273*SALUD_Mes_Constante!$BC$1</f>
        <v>0</v>
      </c>
      <c r="BM273" s="8">
        <f>+MINVU_Mes_Corriente!BM273*SALUD_Mes_Constante!$BC$1</f>
        <v>0</v>
      </c>
      <c r="BN273" s="8">
        <f>+MINVU_Mes_Corriente!BN273*SALUD_Mes_Constante!$BC$1</f>
        <v>0</v>
      </c>
      <c r="BO273" s="9">
        <f t="shared" si="137"/>
        <v>0</v>
      </c>
      <c r="BP273" s="8">
        <f>+MINVU_Mes_Corriente!BP273*SALUD_Mes_Constante!$BP$1</f>
        <v>0</v>
      </c>
      <c r="BQ273" s="8">
        <f>+MINVU_Mes_Corriente!BQ273*SALUD_Mes_Constante!$BP$1</f>
        <v>0</v>
      </c>
      <c r="BR273" s="8">
        <f>+MINVU_Mes_Corriente!BR273*SALUD_Mes_Constante!$BP$1</f>
        <v>0</v>
      </c>
      <c r="BS273" s="8">
        <f>+MINVU_Mes_Corriente!BS273*SALUD_Mes_Constante!$BP$1</f>
        <v>0</v>
      </c>
      <c r="BT273" s="8">
        <f>+MINVU_Mes_Corriente!BT273*SALUD_Mes_Constante!$BP$1</f>
        <v>0</v>
      </c>
      <c r="BU273" s="8">
        <f>+MINVU_Mes_Corriente!BU273*SALUD_Mes_Constante!$BP$1</f>
        <v>0</v>
      </c>
      <c r="BV273" s="8">
        <f>+MINVU_Mes_Corriente!BV273*SALUD_Mes_Constante!$BP$1</f>
        <v>0</v>
      </c>
      <c r="BW273" s="8">
        <f>+MINVU_Mes_Corriente!BW273*SALUD_Mes_Constante!$BP$1</f>
        <v>0</v>
      </c>
      <c r="BX273" s="8">
        <f>+MINVU_Mes_Corriente!BX273*SALUD_Mes_Constante!$BP$1</f>
        <v>0</v>
      </c>
      <c r="BY273" s="8">
        <f>+MINVU_Mes_Corriente!BY273*SALUD_Mes_Constante!$BP$1</f>
        <v>0</v>
      </c>
      <c r="BZ273" s="8">
        <f>+MINVU_Mes_Corriente!BZ273*SALUD_Mes_Constante!$BP$1</f>
        <v>0</v>
      </c>
      <c r="CA273" s="8">
        <f>+MINVU_Mes_Corriente!CA273*SALUD_Mes_Constante!$BP$1</f>
        <v>0</v>
      </c>
      <c r="CB273" s="9">
        <f t="shared" si="138"/>
        <v>0</v>
      </c>
      <c r="CC273" s="8">
        <f>+MINVU_Mes_Corriente!CC273*SALUD_Mes_Constante!$CC$1</f>
        <v>0</v>
      </c>
      <c r="CD273" s="8">
        <f>+MINVU_Mes_Corriente!CD273*SALUD_Mes_Constante!$CC$1</f>
        <v>0</v>
      </c>
      <c r="CE273" s="8">
        <f>+MINVU_Mes_Corriente!CE273*SALUD_Mes_Constante!$CC$1</f>
        <v>0</v>
      </c>
      <c r="CF273" s="8">
        <f>+MINVU_Mes_Corriente!CF273*SALUD_Mes_Constante!$CC$1</f>
        <v>0</v>
      </c>
      <c r="CG273" s="8">
        <f>+MINVU_Mes_Corriente!CG273*SALUD_Mes_Constante!$CC$1</f>
        <v>0</v>
      </c>
      <c r="CH273" s="8">
        <f>+MINVU_Mes_Corriente!CH273*SALUD_Mes_Constante!$CC$1</f>
        <v>0</v>
      </c>
      <c r="CI273" s="8">
        <f>+MINVU_Mes_Corriente!CI273*SALUD_Mes_Constante!$CC$1</f>
        <v>0</v>
      </c>
      <c r="CJ273" s="8">
        <f>+MINVU_Mes_Corriente!CJ273*SALUD_Mes_Constante!$CC$1</f>
        <v>0</v>
      </c>
      <c r="CK273" s="8">
        <f>+MINVU_Mes_Corriente!CK273*SALUD_Mes_Constante!$CC$1</f>
        <v>0</v>
      </c>
      <c r="CL273" s="8">
        <f>+MINVU_Mes_Corriente!CL273*SALUD_Mes_Constante!$CC$1</f>
        <v>0</v>
      </c>
      <c r="CM273" s="8">
        <f>+MINVU_Mes_Corriente!CM273*SALUD_Mes_Constante!$CC$1</f>
        <v>0</v>
      </c>
      <c r="CN273" s="8">
        <f>+MINVU_Mes_Corriente!CN273*SALUD_Mes_Constante!$CC$1</f>
        <v>0</v>
      </c>
      <c r="CO273" s="9">
        <f t="shared" si="139"/>
        <v>0</v>
      </c>
      <c r="CP273" s="8">
        <f>+MINVU_Mes_Corriente!CP273*SALUD_Mes_Constante!$CP$1</f>
        <v>0</v>
      </c>
      <c r="CQ273" s="8">
        <f>+MINVU_Mes_Corriente!CQ273*SALUD_Mes_Constante!$CP$1</f>
        <v>0</v>
      </c>
      <c r="CR273" s="8">
        <f>+MINVU_Mes_Corriente!CR273*SALUD_Mes_Constante!$CP$1</f>
        <v>0</v>
      </c>
      <c r="CS273" s="8">
        <f>+MINVU_Mes_Corriente!CS273*SALUD_Mes_Constante!$CP$1</f>
        <v>0</v>
      </c>
      <c r="CT273" s="8">
        <f>+MINVU_Mes_Corriente!CT273*SALUD_Mes_Constante!$CP$1</f>
        <v>0</v>
      </c>
      <c r="CU273" s="8">
        <f>+MINVU_Mes_Corriente!CU273*SALUD_Mes_Constante!$CP$1</f>
        <v>0</v>
      </c>
      <c r="CV273" s="8">
        <f>+MINVU_Mes_Corriente!CV273*SALUD_Mes_Constante!$CP$1</f>
        <v>0</v>
      </c>
      <c r="CW273" s="8">
        <f>+MINVU_Mes_Corriente!CW273*SALUD_Mes_Constante!$CP$1</f>
        <v>0</v>
      </c>
      <c r="CX273" s="8">
        <f>+MINVU_Mes_Corriente!CX273*SALUD_Mes_Constante!$CP$1</f>
        <v>0</v>
      </c>
      <c r="CY273" s="8">
        <f>+MINVU_Mes_Corriente!CY273*SALUD_Mes_Constante!$CP$1</f>
        <v>0</v>
      </c>
      <c r="CZ273" s="8">
        <f>+MINVU_Mes_Corriente!CZ273*SALUD_Mes_Constante!$CP$1</f>
        <v>0</v>
      </c>
      <c r="DA273" s="8">
        <f>+MINVU_Mes_Corriente!DA273*SALUD_Mes_Constante!$CP$1</f>
        <v>0</v>
      </c>
      <c r="DB273" s="9">
        <f t="shared" si="140"/>
        <v>0</v>
      </c>
      <c r="DC273" s="8">
        <f>+MINVU_Mes_Corriente!DC273*SALUD_Mes_Constante!$DC$1</f>
        <v>0</v>
      </c>
      <c r="DD273" s="8">
        <f>+MINVU_Mes_Corriente!DD273*SALUD_Mes_Constante!$DC$1</f>
        <v>0</v>
      </c>
      <c r="DE273" s="8">
        <f>+MINVU_Mes_Corriente!DE273*SALUD_Mes_Constante!$DC$1</f>
        <v>0</v>
      </c>
      <c r="DF273" s="8">
        <f>+MINVU_Mes_Corriente!DF273*SALUD_Mes_Constante!$DC$1</f>
        <v>0</v>
      </c>
      <c r="DG273" s="8">
        <f>+MINVU_Mes_Corriente!DG273*SALUD_Mes_Constante!$DC$1</f>
        <v>0</v>
      </c>
      <c r="DH273" s="8">
        <f>+MINVU_Mes_Corriente!DH273*SALUD_Mes_Constante!$DC$1</f>
        <v>0</v>
      </c>
      <c r="DI273" s="8">
        <f>+MINVU_Mes_Corriente!DI273*SALUD_Mes_Constante!$DC$1</f>
        <v>0</v>
      </c>
      <c r="DJ273" s="8">
        <f>+MINVU_Mes_Corriente!DJ273*SALUD_Mes_Constante!$DC$1</f>
        <v>0</v>
      </c>
      <c r="DK273" s="8">
        <f>+MINVU_Mes_Corriente!DK273*SALUD_Mes_Constante!$DC$1</f>
        <v>0</v>
      </c>
      <c r="DL273" s="8">
        <f>+MINVU_Mes_Corriente!DL273*SALUD_Mes_Constante!$DC$1</f>
        <v>0</v>
      </c>
      <c r="DM273" s="8">
        <f>+MINVU_Mes_Corriente!DM273*SALUD_Mes_Constante!$DC$1</f>
        <v>0</v>
      </c>
      <c r="DN273" s="8">
        <f>+MINVU_Mes_Corriente!DN273*SALUD_Mes_Constante!$DC$1</f>
        <v>0</v>
      </c>
      <c r="DO273" s="9">
        <f t="shared" si="141"/>
        <v>0</v>
      </c>
      <c r="DP273" s="8">
        <f>+MINVU_Mes_Corriente!DP273*SALUD_Mes_Constante!$DP$1</f>
        <v>0</v>
      </c>
      <c r="DQ273" s="8">
        <f>+MINVU_Mes_Corriente!DQ273*SALUD_Mes_Constante!$DP$1</f>
        <v>0</v>
      </c>
      <c r="DR273" s="8">
        <f>+MINVU_Mes_Corriente!DR273*SALUD_Mes_Constante!$DP$1</f>
        <v>0</v>
      </c>
      <c r="DS273" s="8">
        <f>+MINVU_Mes_Corriente!DS273*SALUD_Mes_Constante!$DP$1</f>
        <v>0</v>
      </c>
      <c r="DT273" s="8">
        <f>+MINVU_Mes_Corriente!DT273*SALUD_Mes_Constante!$DP$1</f>
        <v>0</v>
      </c>
      <c r="DU273" s="8">
        <f>+MINVU_Mes_Corriente!DU273*SALUD_Mes_Constante!$DP$1</f>
        <v>0</v>
      </c>
      <c r="DV273" s="8">
        <f>+MINVU_Mes_Corriente!DV273*SALUD_Mes_Constante!$DP$1</f>
        <v>0</v>
      </c>
      <c r="DW273" s="8">
        <f>+MINVU_Mes_Corriente!DW273*SALUD_Mes_Constante!$DP$1</f>
        <v>0</v>
      </c>
      <c r="DX273" s="8">
        <f>+MINVU_Mes_Corriente!DX273*SALUD_Mes_Constante!$DP$1</f>
        <v>0</v>
      </c>
      <c r="DY273" s="8">
        <f>+MINVU_Mes_Corriente!DY273*SALUD_Mes_Constante!$DP$1</f>
        <v>0</v>
      </c>
      <c r="DZ273" s="8">
        <f>+MINVU_Mes_Corriente!DZ273*SALUD_Mes_Constante!$DP$1</f>
        <v>0</v>
      </c>
      <c r="EA273" s="8">
        <f>+MINVU_Mes_Corriente!EA273*SALUD_Mes_Constante!$DP$1</f>
        <v>0</v>
      </c>
      <c r="EB273" s="9">
        <f t="shared" si="142"/>
        <v>0</v>
      </c>
      <c r="EC273" s="8">
        <f>+MINVU_Mes_Corriente!EC273*SALUD_Mes_Constante!$EC$1</f>
        <v>0</v>
      </c>
      <c r="ED273" s="8">
        <f>+MINVU_Mes_Corriente!ED273*SALUD_Mes_Constante!$EC$1</f>
        <v>0</v>
      </c>
      <c r="EE273" s="8">
        <f>+MINVU_Mes_Corriente!EE273*SALUD_Mes_Constante!$EC$1</f>
        <v>0</v>
      </c>
      <c r="EF273" s="8">
        <f>+MINVU_Mes_Corriente!EF273*SALUD_Mes_Constante!$EC$1</f>
        <v>0</v>
      </c>
      <c r="EG273" s="8">
        <f>+MINVU_Mes_Corriente!EG273*SALUD_Mes_Constante!$EC$1</f>
        <v>0</v>
      </c>
      <c r="EH273" s="8">
        <f>+MINVU_Mes_Corriente!EH273*SALUD_Mes_Constante!$EC$1</f>
        <v>0</v>
      </c>
      <c r="EI273" s="8">
        <f>+MINVU_Mes_Corriente!EI273*SALUD_Mes_Constante!$EC$1</f>
        <v>0</v>
      </c>
      <c r="EJ273" s="8">
        <f>+MINVU_Mes_Corriente!EJ273*SALUD_Mes_Constante!$EC$1</f>
        <v>0</v>
      </c>
      <c r="EK273" s="8">
        <f>+MINVU_Mes_Corriente!EK273*SALUD_Mes_Constante!$EC$1</f>
        <v>0</v>
      </c>
      <c r="EL273" s="8">
        <f>+MINVU_Mes_Corriente!EL273*SALUD_Mes_Constante!$EC$1</f>
        <v>0</v>
      </c>
      <c r="EM273" s="8">
        <f>+MINVU_Mes_Corriente!EM273*SALUD_Mes_Constante!$EC$1</f>
        <v>0</v>
      </c>
      <c r="EN273" s="8">
        <f>+MINVU_Mes_Corriente!EN273*SALUD_Mes_Constante!$EC$1</f>
        <v>0</v>
      </c>
      <c r="EO273" s="9">
        <f t="shared" si="143"/>
        <v>0</v>
      </c>
      <c r="EP273" s="8">
        <f>+MINVU_Mes_Corriente!EP273*SALUD_Mes_Constante!$EP$1</f>
        <v>0</v>
      </c>
      <c r="EQ273" s="8">
        <f>+MINVU_Mes_Corriente!EQ273*SALUD_Mes_Constante!$EP$1</f>
        <v>0</v>
      </c>
      <c r="ER273" s="8">
        <f>+MINVU_Mes_Corriente!ER273*SALUD_Mes_Constante!$EP$1</f>
        <v>0</v>
      </c>
      <c r="ES273" s="8">
        <f>+MINVU_Mes_Corriente!ES273*SALUD_Mes_Constante!$EP$1</f>
        <v>0</v>
      </c>
      <c r="ET273" s="8">
        <f>+MINVU_Mes_Corriente!ET273*SALUD_Mes_Constante!$EP$1</f>
        <v>0</v>
      </c>
      <c r="EU273" s="8">
        <f>+MINVU_Mes_Corriente!EU273*SALUD_Mes_Constante!$EP$1</f>
        <v>0</v>
      </c>
      <c r="EV273" s="8">
        <f>+MINVU_Mes_Corriente!EV273*SALUD_Mes_Constante!$EP$1</f>
        <v>0</v>
      </c>
      <c r="EW273" s="8">
        <f>+MINVU_Mes_Corriente!EW273*SALUD_Mes_Constante!$EP$1</f>
        <v>0</v>
      </c>
      <c r="EX273" s="8">
        <f>+MINVU_Mes_Corriente!EX273*SALUD_Mes_Constante!$EP$1</f>
        <v>0</v>
      </c>
      <c r="EY273" s="8">
        <f>+MINVU_Mes_Corriente!EY273*SALUD_Mes_Constante!$EP$1</f>
        <v>0</v>
      </c>
      <c r="EZ273" s="8">
        <f>+MINVU_Mes_Corriente!EZ273*SALUD_Mes_Constante!$EP$1</f>
        <v>0</v>
      </c>
      <c r="FA273" s="8">
        <f>+MINVU_Mes_Corriente!FA273*SALUD_Mes_Constante!$EP$1</f>
        <v>0</v>
      </c>
      <c r="FB273" s="9">
        <f t="shared" si="144"/>
        <v>0</v>
      </c>
      <c r="FC273" s="8">
        <f>+MINVU_Mes_Corriente!FC273*SALUD_Mes_Constante!$FC$1</f>
        <v>0</v>
      </c>
      <c r="FD273" s="8">
        <f>+MINVU_Mes_Corriente!FD273*SALUD_Mes_Constante!$FC$1</f>
        <v>0</v>
      </c>
      <c r="FE273" s="8">
        <f>+MINVU_Mes_Corriente!FE273*SALUD_Mes_Constante!$FC$1</f>
        <v>0</v>
      </c>
      <c r="FF273" s="8">
        <f>+MINVU_Mes_Corriente!FF273*SALUD_Mes_Constante!$FC$1</f>
        <v>0</v>
      </c>
      <c r="FG273" s="8">
        <f>+MINVU_Mes_Corriente!FG273*SALUD_Mes_Constante!$FC$1</f>
        <v>0</v>
      </c>
      <c r="FH273" s="8">
        <f>+MINVU_Mes_Corriente!FH273*SALUD_Mes_Constante!$FC$1</f>
        <v>0</v>
      </c>
      <c r="FI273" s="8">
        <f>+MINVU_Mes_Corriente!FI273*SALUD_Mes_Constante!$FC$1</f>
        <v>0</v>
      </c>
      <c r="FJ273" s="8"/>
      <c r="FK273" s="8"/>
      <c r="FL273" s="8"/>
      <c r="FM273" s="8"/>
      <c r="FN273" s="8"/>
      <c r="FO273" s="9">
        <f t="shared" si="145"/>
        <v>0</v>
      </c>
    </row>
    <row r="274" spans="2:171" ht="14.25" customHeight="1" x14ac:dyDescent="0.3">
      <c r="B274" s="7" t="s">
        <v>51</v>
      </c>
      <c r="C274" s="8">
        <f>+MINVU_Mes_Corriente!C274*SALUD_Mes_Constante!$C$1</f>
        <v>0</v>
      </c>
      <c r="D274" s="8">
        <f>+MINVU_Mes_Corriente!D274*SALUD_Mes_Constante!$C$1</f>
        <v>0</v>
      </c>
      <c r="E274" s="8">
        <f>+MINVU_Mes_Corriente!E274*SALUD_Mes_Constante!$C$1</f>
        <v>0</v>
      </c>
      <c r="F274" s="8">
        <f>+MINVU_Mes_Corriente!F274*SALUD_Mes_Constante!$C$1</f>
        <v>0</v>
      </c>
      <c r="G274" s="8">
        <f>+MINVU_Mes_Corriente!G274*SALUD_Mes_Constante!$C$1</f>
        <v>0</v>
      </c>
      <c r="H274" s="8">
        <f>+MINVU_Mes_Corriente!H274*SALUD_Mes_Constante!$C$1</f>
        <v>0</v>
      </c>
      <c r="I274" s="8">
        <f>+MINVU_Mes_Corriente!I274*SALUD_Mes_Constante!$C$1</f>
        <v>0</v>
      </c>
      <c r="J274" s="8">
        <f>+MINVU_Mes_Corriente!J274*SALUD_Mes_Constante!$C$1</f>
        <v>0</v>
      </c>
      <c r="K274" s="8">
        <f>+MINVU_Mes_Corriente!K274*SALUD_Mes_Constante!$C$1</f>
        <v>0</v>
      </c>
      <c r="L274" s="8">
        <f>+MINVU_Mes_Corriente!L274*SALUD_Mes_Constante!$C$1</f>
        <v>0</v>
      </c>
      <c r="M274" s="8">
        <f>+MINVU_Mes_Corriente!M274*SALUD_Mes_Constante!$C$1</f>
        <v>0</v>
      </c>
      <c r="N274" s="8">
        <f>+MINVU_Mes_Corriente!N274*SALUD_Mes_Constante!$C$1</f>
        <v>0</v>
      </c>
      <c r="O274" s="9">
        <f t="shared" si="133"/>
        <v>0</v>
      </c>
      <c r="P274" s="8">
        <f>+MINVU_Mes_Corriente!P274*SALUD_Mes_Constante!$P$1</f>
        <v>0</v>
      </c>
      <c r="Q274" s="8">
        <f>+MINVU_Mes_Corriente!Q274*SALUD_Mes_Constante!$P$1</f>
        <v>0</v>
      </c>
      <c r="R274" s="8">
        <f>+MINVU_Mes_Corriente!R274*SALUD_Mes_Constante!$P$1</f>
        <v>0</v>
      </c>
      <c r="S274" s="8">
        <f>+MINVU_Mes_Corriente!S274*SALUD_Mes_Constante!$P$1</f>
        <v>0</v>
      </c>
      <c r="T274" s="8">
        <f>+MINVU_Mes_Corriente!T274*SALUD_Mes_Constante!$P$1</f>
        <v>0</v>
      </c>
      <c r="U274" s="8">
        <f>+MINVU_Mes_Corriente!U274*SALUD_Mes_Constante!$P$1</f>
        <v>0</v>
      </c>
      <c r="V274" s="8">
        <f>+MINVU_Mes_Corriente!V274*SALUD_Mes_Constante!$P$1</f>
        <v>0</v>
      </c>
      <c r="W274" s="8">
        <f>+MINVU_Mes_Corriente!W274*SALUD_Mes_Constante!$P$1</f>
        <v>0</v>
      </c>
      <c r="X274" s="8">
        <f>+MINVU_Mes_Corriente!X274*SALUD_Mes_Constante!$P$1</f>
        <v>0</v>
      </c>
      <c r="Y274" s="8">
        <f>+MINVU_Mes_Corriente!Y274*SALUD_Mes_Constante!$P$1</f>
        <v>0</v>
      </c>
      <c r="Z274" s="8">
        <f>+MINVU_Mes_Corriente!Z274*SALUD_Mes_Constante!$P$1</f>
        <v>0</v>
      </c>
      <c r="AA274" s="8">
        <f>+MINVU_Mes_Corriente!AA274*SALUD_Mes_Constante!$P$1</f>
        <v>0</v>
      </c>
      <c r="AB274" s="9">
        <f t="shared" si="134"/>
        <v>0</v>
      </c>
      <c r="AC274" s="8">
        <f>+MINVU_Mes_Corriente!AC274*SALUD_Mes_Constante!$AC$1</f>
        <v>0</v>
      </c>
      <c r="AD274" s="8">
        <f>+MINVU_Mes_Corriente!AD274*SALUD_Mes_Constante!$AC$1</f>
        <v>0</v>
      </c>
      <c r="AE274" s="8">
        <f>+MINVU_Mes_Corriente!AE274*SALUD_Mes_Constante!$AC$1</f>
        <v>0</v>
      </c>
      <c r="AF274" s="8">
        <f>+MINVU_Mes_Corriente!AF274*SALUD_Mes_Constante!$AC$1</f>
        <v>0</v>
      </c>
      <c r="AG274" s="8">
        <f>+MINVU_Mes_Corriente!AG274*SALUD_Mes_Constante!$AC$1</f>
        <v>0</v>
      </c>
      <c r="AH274" s="8">
        <f>+MINVU_Mes_Corriente!AH274*SALUD_Mes_Constante!$AC$1</f>
        <v>0</v>
      </c>
      <c r="AI274" s="8">
        <f>+MINVU_Mes_Corriente!AI274*SALUD_Mes_Constante!$AC$1</f>
        <v>0</v>
      </c>
      <c r="AJ274" s="8">
        <f>+MINVU_Mes_Corriente!AJ274*SALUD_Mes_Constante!$AC$1</f>
        <v>0</v>
      </c>
      <c r="AK274" s="8">
        <f>+MINVU_Mes_Corriente!AK274*SALUD_Mes_Constante!$AC$1</f>
        <v>0</v>
      </c>
      <c r="AL274" s="8">
        <f>+MINVU_Mes_Corriente!AL274*SALUD_Mes_Constante!$AC$1</f>
        <v>0</v>
      </c>
      <c r="AM274" s="8">
        <f>+MINVU_Mes_Corriente!AM274*SALUD_Mes_Constante!$AC$1</f>
        <v>0</v>
      </c>
      <c r="AN274" s="8">
        <f>+MINVU_Mes_Corriente!AN274*SALUD_Mes_Constante!$AC$1</f>
        <v>0</v>
      </c>
      <c r="AO274" s="9">
        <f t="shared" si="135"/>
        <v>0</v>
      </c>
      <c r="AP274" s="8">
        <f>+MINVU_Mes_Corriente!AP274*SALUD_Mes_Constante!$AP$1</f>
        <v>0</v>
      </c>
      <c r="AQ274" s="8">
        <f>+MINVU_Mes_Corriente!AQ274*SALUD_Mes_Constante!$AP$1</f>
        <v>0</v>
      </c>
      <c r="AR274" s="8">
        <f>+MINVU_Mes_Corriente!AR274*SALUD_Mes_Constante!$AP$1</f>
        <v>0</v>
      </c>
      <c r="AS274" s="8">
        <f>+MINVU_Mes_Corriente!AS274*SALUD_Mes_Constante!$AP$1</f>
        <v>0</v>
      </c>
      <c r="AT274" s="8">
        <f>+MINVU_Mes_Corriente!AT274*SALUD_Mes_Constante!$AP$1</f>
        <v>0</v>
      </c>
      <c r="AU274" s="8">
        <f>+MINVU_Mes_Corriente!AU274*SALUD_Mes_Constante!$AP$1</f>
        <v>0</v>
      </c>
      <c r="AV274" s="8">
        <f>+MINVU_Mes_Corriente!AV274*SALUD_Mes_Constante!$AP$1</f>
        <v>0</v>
      </c>
      <c r="AW274" s="8">
        <f>+MINVU_Mes_Corriente!AW274*SALUD_Mes_Constante!$AP$1</f>
        <v>0</v>
      </c>
      <c r="AX274" s="8">
        <f>+MINVU_Mes_Corriente!AX274*SALUD_Mes_Constante!$AP$1</f>
        <v>0</v>
      </c>
      <c r="AY274" s="8">
        <f>+MINVU_Mes_Corriente!AY274*SALUD_Mes_Constante!$AP$1</f>
        <v>0</v>
      </c>
      <c r="AZ274" s="8">
        <f>+MINVU_Mes_Corriente!AZ274*SALUD_Mes_Constante!$AP$1</f>
        <v>0</v>
      </c>
      <c r="BA274" s="8">
        <f>+MINVU_Mes_Corriente!BA274*SALUD_Mes_Constante!$AP$1</f>
        <v>0</v>
      </c>
      <c r="BB274" s="9">
        <f t="shared" si="136"/>
        <v>0</v>
      </c>
      <c r="BC274" s="8">
        <f>+MINVU_Mes_Corriente!BC274*SALUD_Mes_Constante!$BC$1</f>
        <v>0</v>
      </c>
      <c r="BD274" s="8">
        <f>+MINVU_Mes_Corriente!BD274*SALUD_Mes_Constante!$BC$1</f>
        <v>0</v>
      </c>
      <c r="BE274" s="8">
        <f>+MINVU_Mes_Corriente!BE274*SALUD_Mes_Constante!$BC$1</f>
        <v>0</v>
      </c>
      <c r="BF274" s="8">
        <f>+MINVU_Mes_Corriente!BF274*SALUD_Mes_Constante!$BC$1</f>
        <v>0</v>
      </c>
      <c r="BG274" s="8">
        <f>+MINVU_Mes_Corriente!BG274*SALUD_Mes_Constante!$BC$1</f>
        <v>0</v>
      </c>
      <c r="BH274" s="8">
        <f>+MINVU_Mes_Corriente!BH274*SALUD_Mes_Constante!$BC$1</f>
        <v>0</v>
      </c>
      <c r="BI274" s="8">
        <f>+MINVU_Mes_Corriente!BI274*SALUD_Mes_Constante!$BC$1</f>
        <v>0</v>
      </c>
      <c r="BJ274" s="8">
        <f>+MINVU_Mes_Corriente!BJ274*SALUD_Mes_Constante!$BC$1</f>
        <v>0</v>
      </c>
      <c r="BK274" s="8">
        <f>+MINVU_Mes_Corriente!BK274*SALUD_Mes_Constante!$BC$1</f>
        <v>0</v>
      </c>
      <c r="BL274" s="8">
        <f>+MINVU_Mes_Corriente!BL274*SALUD_Mes_Constante!$BC$1</f>
        <v>0</v>
      </c>
      <c r="BM274" s="8">
        <f>+MINVU_Mes_Corriente!BM274*SALUD_Mes_Constante!$BC$1</f>
        <v>0</v>
      </c>
      <c r="BN274" s="8">
        <f>+MINVU_Mes_Corriente!BN274*SALUD_Mes_Constante!$BC$1</f>
        <v>0</v>
      </c>
      <c r="BO274" s="9">
        <f t="shared" si="137"/>
        <v>0</v>
      </c>
      <c r="BP274" s="8">
        <f>+MINVU_Mes_Corriente!BP274*SALUD_Mes_Constante!$BP$1</f>
        <v>0</v>
      </c>
      <c r="BQ274" s="8">
        <f>+MINVU_Mes_Corriente!BQ274*SALUD_Mes_Constante!$BP$1</f>
        <v>0</v>
      </c>
      <c r="BR274" s="8">
        <f>+MINVU_Mes_Corriente!BR274*SALUD_Mes_Constante!$BP$1</f>
        <v>0</v>
      </c>
      <c r="BS274" s="8">
        <f>+MINVU_Mes_Corriente!BS274*SALUD_Mes_Constante!$BP$1</f>
        <v>0</v>
      </c>
      <c r="BT274" s="8">
        <f>+MINVU_Mes_Corriente!BT274*SALUD_Mes_Constante!$BP$1</f>
        <v>0</v>
      </c>
      <c r="BU274" s="8">
        <f>+MINVU_Mes_Corriente!BU274*SALUD_Mes_Constante!$BP$1</f>
        <v>0</v>
      </c>
      <c r="BV274" s="8">
        <f>+MINVU_Mes_Corriente!BV274*SALUD_Mes_Constante!$BP$1</f>
        <v>0</v>
      </c>
      <c r="BW274" s="8">
        <f>+MINVU_Mes_Corriente!BW274*SALUD_Mes_Constante!$BP$1</f>
        <v>0</v>
      </c>
      <c r="BX274" s="8">
        <f>+MINVU_Mes_Corriente!BX274*SALUD_Mes_Constante!$BP$1</f>
        <v>0</v>
      </c>
      <c r="BY274" s="8">
        <f>+MINVU_Mes_Corriente!BY274*SALUD_Mes_Constante!$BP$1</f>
        <v>0</v>
      </c>
      <c r="BZ274" s="8">
        <f>+MINVU_Mes_Corriente!BZ274*SALUD_Mes_Constante!$BP$1</f>
        <v>0</v>
      </c>
      <c r="CA274" s="8">
        <f>+MINVU_Mes_Corriente!CA274*SALUD_Mes_Constante!$BP$1</f>
        <v>0</v>
      </c>
      <c r="CB274" s="9">
        <f t="shared" si="138"/>
        <v>0</v>
      </c>
      <c r="CC274" s="8">
        <f>+MINVU_Mes_Corriente!CC274*SALUD_Mes_Constante!$CC$1</f>
        <v>0</v>
      </c>
      <c r="CD274" s="8">
        <f>+MINVU_Mes_Corriente!CD274*SALUD_Mes_Constante!$CC$1</f>
        <v>0</v>
      </c>
      <c r="CE274" s="8">
        <f>+MINVU_Mes_Corriente!CE274*SALUD_Mes_Constante!$CC$1</f>
        <v>0</v>
      </c>
      <c r="CF274" s="8">
        <f>+MINVU_Mes_Corriente!CF274*SALUD_Mes_Constante!$CC$1</f>
        <v>0</v>
      </c>
      <c r="CG274" s="8">
        <f>+MINVU_Mes_Corriente!CG274*SALUD_Mes_Constante!$CC$1</f>
        <v>0</v>
      </c>
      <c r="CH274" s="8">
        <f>+MINVU_Mes_Corriente!CH274*SALUD_Mes_Constante!$CC$1</f>
        <v>0</v>
      </c>
      <c r="CI274" s="8">
        <f>+MINVU_Mes_Corriente!CI274*SALUD_Mes_Constante!$CC$1</f>
        <v>0</v>
      </c>
      <c r="CJ274" s="8">
        <f>+MINVU_Mes_Corriente!CJ274*SALUD_Mes_Constante!$CC$1</f>
        <v>0</v>
      </c>
      <c r="CK274" s="8">
        <f>+MINVU_Mes_Corriente!CK274*SALUD_Mes_Constante!$CC$1</f>
        <v>0</v>
      </c>
      <c r="CL274" s="8">
        <f>+MINVU_Mes_Corriente!CL274*SALUD_Mes_Constante!$CC$1</f>
        <v>0</v>
      </c>
      <c r="CM274" s="8">
        <f>+MINVU_Mes_Corriente!CM274*SALUD_Mes_Constante!$CC$1</f>
        <v>0</v>
      </c>
      <c r="CN274" s="8">
        <f>+MINVU_Mes_Corriente!CN274*SALUD_Mes_Constante!$CC$1</f>
        <v>0</v>
      </c>
      <c r="CO274" s="9">
        <f t="shared" si="139"/>
        <v>0</v>
      </c>
      <c r="CP274" s="8">
        <f>+MINVU_Mes_Corriente!CP274*SALUD_Mes_Constante!$CP$1</f>
        <v>0</v>
      </c>
      <c r="CQ274" s="8">
        <f>+MINVU_Mes_Corriente!CQ274*SALUD_Mes_Constante!$CP$1</f>
        <v>0</v>
      </c>
      <c r="CR274" s="8">
        <f>+MINVU_Mes_Corriente!CR274*SALUD_Mes_Constante!$CP$1</f>
        <v>0</v>
      </c>
      <c r="CS274" s="8">
        <f>+MINVU_Mes_Corriente!CS274*SALUD_Mes_Constante!$CP$1</f>
        <v>0</v>
      </c>
      <c r="CT274" s="8">
        <f>+MINVU_Mes_Corriente!CT274*SALUD_Mes_Constante!$CP$1</f>
        <v>0</v>
      </c>
      <c r="CU274" s="8">
        <f>+MINVU_Mes_Corriente!CU274*SALUD_Mes_Constante!$CP$1</f>
        <v>0</v>
      </c>
      <c r="CV274" s="8">
        <f>+MINVU_Mes_Corriente!CV274*SALUD_Mes_Constante!$CP$1</f>
        <v>0</v>
      </c>
      <c r="CW274" s="8">
        <f>+MINVU_Mes_Corriente!CW274*SALUD_Mes_Constante!$CP$1</f>
        <v>0</v>
      </c>
      <c r="CX274" s="8">
        <f>+MINVU_Mes_Corriente!CX274*SALUD_Mes_Constante!$CP$1</f>
        <v>0</v>
      </c>
      <c r="CY274" s="8">
        <f>+MINVU_Mes_Corriente!CY274*SALUD_Mes_Constante!$CP$1</f>
        <v>0</v>
      </c>
      <c r="CZ274" s="8">
        <f>+MINVU_Mes_Corriente!CZ274*SALUD_Mes_Constante!$CP$1</f>
        <v>0</v>
      </c>
      <c r="DA274" s="8">
        <f>+MINVU_Mes_Corriente!DA274*SALUD_Mes_Constante!$CP$1</f>
        <v>0</v>
      </c>
      <c r="DB274" s="9">
        <f t="shared" si="140"/>
        <v>0</v>
      </c>
      <c r="DC274" s="8">
        <f>+MINVU_Mes_Corriente!DC274*SALUD_Mes_Constante!$DC$1</f>
        <v>0</v>
      </c>
      <c r="DD274" s="8">
        <f>+MINVU_Mes_Corriente!DD274*SALUD_Mes_Constante!$DC$1</f>
        <v>0</v>
      </c>
      <c r="DE274" s="8">
        <f>+MINVU_Mes_Corriente!DE274*SALUD_Mes_Constante!$DC$1</f>
        <v>0</v>
      </c>
      <c r="DF274" s="8">
        <f>+MINVU_Mes_Corriente!DF274*SALUD_Mes_Constante!$DC$1</f>
        <v>0</v>
      </c>
      <c r="DG274" s="8">
        <f>+MINVU_Mes_Corriente!DG274*SALUD_Mes_Constante!$DC$1</f>
        <v>0</v>
      </c>
      <c r="DH274" s="8">
        <f>+MINVU_Mes_Corriente!DH274*SALUD_Mes_Constante!$DC$1</f>
        <v>0</v>
      </c>
      <c r="DI274" s="8">
        <f>+MINVU_Mes_Corriente!DI274*SALUD_Mes_Constante!$DC$1</f>
        <v>0</v>
      </c>
      <c r="DJ274" s="8">
        <f>+MINVU_Mes_Corriente!DJ274*SALUD_Mes_Constante!$DC$1</f>
        <v>0</v>
      </c>
      <c r="DK274" s="8">
        <f>+MINVU_Mes_Corriente!DK274*SALUD_Mes_Constante!$DC$1</f>
        <v>0</v>
      </c>
      <c r="DL274" s="8">
        <f>+MINVU_Mes_Corriente!DL274*SALUD_Mes_Constante!$DC$1</f>
        <v>0</v>
      </c>
      <c r="DM274" s="8">
        <f>+MINVU_Mes_Corriente!DM274*SALUD_Mes_Constante!$DC$1</f>
        <v>0</v>
      </c>
      <c r="DN274" s="8">
        <f>+MINVU_Mes_Corriente!DN274*SALUD_Mes_Constante!$DC$1</f>
        <v>0</v>
      </c>
      <c r="DO274" s="9">
        <f t="shared" si="141"/>
        <v>0</v>
      </c>
      <c r="DP274" s="8">
        <f>+MINVU_Mes_Corriente!DP274*SALUD_Mes_Constante!$DP$1</f>
        <v>0</v>
      </c>
      <c r="DQ274" s="8">
        <f>+MINVU_Mes_Corriente!DQ274*SALUD_Mes_Constante!$DP$1</f>
        <v>0</v>
      </c>
      <c r="DR274" s="8">
        <f>+MINVU_Mes_Corriente!DR274*SALUD_Mes_Constante!$DP$1</f>
        <v>0</v>
      </c>
      <c r="DS274" s="8">
        <f>+MINVU_Mes_Corriente!DS274*SALUD_Mes_Constante!$DP$1</f>
        <v>0</v>
      </c>
      <c r="DT274" s="8">
        <f>+MINVU_Mes_Corriente!DT274*SALUD_Mes_Constante!$DP$1</f>
        <v>0</v>
      </c>
      <c r="DU274" s="8">
        <f>+MINVU_Mes_Corriente!DU274*SALUD_Mes_Constante!$DP$1</f>
        <v>0</v>
      </c>
      <c r="DV274" s="8">
        <f>+MINVU_Mes_Corriente!DV274*SALUD_Mes_Constante!$DP$1</f>
        <v>0</v>
      </c>
      <c r="DW274" s="8">
        <f>+MINVU_Mes_Corriente!DW274*SALUD_Mes_Constante!$DP$1</f>
        <v>0</v>
      </c>
      <c r="DX274" s="8">
        <f>+MINVU_Mes_Corriente!DX274*SALUD_Mes_Constante!$DP$1</f>
        <v>0</v>
      </c>
      <c r="DY274" s="8">
        <f>+MINVU_Mes_Corriente!DY274*SALUD_Mes_Constante!$DP$1</f>
        <v>0</v>
      </c>
      <c r="DZ274" s="8">
        <f>+MINVU_Mes_Corriente!DZ274*SALUD_Mes_Constante!$DP$1</f>
        <v>0</v>
      </c>
      <c r="EA274" s="8">
        <f>+MINVU_Mes_Corriente!EA274*SALUD_Mes_Constante!$DP$1</f>
        <v>0</v>
      </c>
      <c r="EB274" s="9">
        <f t="shared" si="142"/>
        <v>0</v>
      </c>
      <c r="EC274" s="8">
        <f>+MINVU_Mes_Corriente!EC274*SALUD_Mes_Constante!$EC$1</f>
        <v>0</v>
      </c>
      <c r="ED274" s="8">
        <f>+MINVU_Mes_Corriente!ED274*SALUD_Mes_Constante!$EC$1</f>
        <v>0</v>
      </c>
      <c r="EE274" s="8">
        <f>+MINVU_Mes_Corriente!EE274*SALUD_Mes_Constante!$EC$1</f>
        <v>0</v>
      </c>
      <c r="EF274" s="8">
        <f>+MINVU_Mes_Corriente!EF274*SALUD_Mes_Constante!$EC$1</f>
        <v>0</v>
      </c>
      <c r="EG274" s="8">
        <f>+MINVU_Mes_Corriente!EG274*SALUD_Mes_Constante!$EC$1</f>
        <v>0</v>
      </c>
      <c r="EH274" s="8">
        <f>+MINVU_Mes_Corriente!EH274*SALUD_Mes_Constante!$EC$1</f>
        <v>0</v>
      </c>
      <c r="EI274" s="8">
        <f>+MINVU_Mes_Corriente!EI274*SALUD_Mes_Constante!$EC$1</f>
        <v>0</v>
      </c>
      <c r="EJ274" s="8">
        <f>+MINVU_Mes_Corriente!EJ274*SALUD_Mes_Constante!$EC$1</f>
        <v>0</v>
      </c>
      <c r="EK274" s="8">
        <f>+MINVU_Mes_Corriente!EK274*SALUD_Mes_Constante!$EC$1</f>
        <v>0</v>
      </c>
      <c r="EL274" s="8">
        <f>+MINVU_Mes_Corriente!EL274*SALUD_Mes_Constante!$EC$1</f>
        <v>0</v>
      </c>
      <c r="EM274" s="8">
        <f>+MINVU_Mes_Corriente!EM274*SALUD_Mes_Constante!$EC$1</f>
        <v>0</v>
      </c>
      <c r="EN274" s="8">
        <f>+MINVU_Mes_Corriente!EN274*SALUD_Mes_Constante!$EC$1</f>
        <v>0</v>
      </c>
      <c r="EO274" s="9">
        <f t="shared" si="143"/>
        <v>0</v>
      </c>
      <c r="EP274" s="8">
        <f>+MINVU_Mes_Corriente!EP274*SALUD_Mes_Constante!$EP$1</f>
        <v>0</v>
      </c>
      <c r="EQ274" s="8">
        <f>+MINVU_Mes_Corriente!EQ274*SALUD_Mes_Constante!$EP$1</f>
        <v>0</v>
      </c>
      <c r="ER274" s="8">
        <f>+MINVU_Mes_Corriente!ER274*SALUD_Mes_Constante!$EP$1</f>
        <v>0</v>
      </c>
      <c r="ES274" s="8">
        <f>+MINVU_Mes_Corriente!ES274*SALUD_Mes_Constante!$EP$1</f>
        <v>0</v>
      </c>
      <c r="ET274" s="8">
        <f>+MINVU_Mes_Corriente!ET274*SALUD_Mes_Constante!$EP$1</f>
        <v>0</v>
      </c>
      <c r="EU274" s="8">
        <f>+MINVU_Mes_Corriente!EU274*SALUD_Mes_Constante!$EP$1</f>
        <v>0</v>
      </c>
      <c r="EV274" s="8">
        <f>+MINVU_Mes_Corriente!EV274*SALUD_Mes_Constante!$EP$1</f>
        <v>0</v>
      </c>
      <c r="EW274" s="8">
        <f>+MINVU_Mes_Corriente!EW274*SALUD_Mes_Constante!$EP$1</f>
        <v>0</v>
      </c>
      <c r="EX274" s="8">
        <f>+MINVU_Mes_Corriente!EX274*SALUD_Mes_Constante!$EP$1</f>
        <v>0</v>
      </c>
      <c r="EY274" s="8">
        <f>+MINVU_Mes_Corriente!EY274*SALUD_Mes_Constante!$EP$1</f>
        <v>0</v>
      </c>
      <c r="EZ274" s="8">
        <f>+MINVU_Mes_Corriente!EZ274*SALUD_Mes_Constante!$EP$1</f>
        <v>0</v>
      </c>
      <c r="FA274" s="8">
        <f>+MINVU_Mes_Corriente!FA274*SALUD_Mes_Constante!$EP$1</f>
        <v>0</v>
      </c>
      <c r="FB274" s="9">
        <f t="shared" si="144"/>
        <v>0</v>
      </c>
      <c r="FC274" s="8">
        <f>+MINVU_Mes_Corriente!FC274*SALUD_Mes_Constante!$FC$1</f>
        <v>0</v>
      </c>
      <c r="FD274" s="8">
        <f>+MINVU_Mes_Corriente!FD274*SALUD_Mes_Constante!$FC$1</f>
        <v>0</v>
      </c>
      <c r="FE274" s="8">
        <f>+MINVU_Mes_Corriente!FE274*SALUD_Mes_Constante!$FC$1</f>
        <v>0</v>
      </c>
      <c r="FF274" s="8">
        <f>+MINVU_Mes_Corriente!FF274*SALUD_Mes_Constante!$FC$1</f>
        <v>0</v>
      </c>
      <c r="FG274" s="8">
        <f>+MINVU_Mes_Corriente!FG274*SALUD_Mes_Constante!$FC$1</f>
        <v>0</v>
      </c>
      <c r="FH274" s="8">
        <f>+MINVU_Mes_Corriente!FH274*SALUD_Mes_Constante!$FC$1</f>
        <v>0</v>
      </c>
      <c r="FI274" s="8">
        <f>+MINVU_Mes_Corriente!FI274*SALUD_Mes_Constante!$FC$1</f>
        <v>0</v>
      </c>
      <c r="FJ274" s="8"/>
      <c r="FK274" s="8"/>
      <c r="FL274" s="8"/>
      <c r="FM274" s="8"/>
      <c r="FN274" s="8"/>
      <c r="FO274" s="9">
        <f t="shared" si="145"/>
        <v>0</v>
      </c>
    </row>
    <row r="275" spans="2:171" ht="14.25" customHeight="1" x14ac:dyDescent="0.3">
      <c r="B275" s="7" t="s">
        <v>52</v>
      </c>
      <c r="C275" s="8">
        <f>+MINVU_Mes_Corriente!C275*SALUD_Mes_Constante!$C$1</f>
        <v>0</v>
      </c>
      <c r="D275" s="8">
        <f>+MINVU_Mes_Corriente!D275*SALUD_Mes_Constante!$C$1</f>
        <v>0</v>
      </c>
      <c r="E275" s="8">
        <f>+MINVU_Mes_Corriente!E275*SALUD_Mes_Constante!$C$1</f>
        <v>0</v>
      </c>
      <c r="F275" s="8">
        <f>+MINVU_Mes_Corriente!F275*SALUD_Mes_Constante!$C$1</f>
        <v>0</v>
      </c>
      <c r="G275" s="8">
        <f>+MINVU_Mes_Corriente!G275*SALUD_Mes_Constante!$C$1</f>
        <v>0</v>
      </c>
      <c r="H275" s="8">
        <f>+MINVU_Mes_Corriente!H275*SALUD_Mes_Constante!$C$1</f>
        <v>0</v>
      </c>
      <c r="I275" s="8">
        <f>+MINVU_Mes_Corriente!I275*SALUD_Mes_Constante!$C$1</f>
        <v>0</v>
      </c>
      <c r="J275" s="8">
        <f>+MINVU_Mes_Corriente!J275*SALUD_Mes_Constante!$C$1</f>
        <v>0</v>
      </c>
      <c r="K275" s="8">
        <f>+MINVU_Mes_Corriente!K275*SALUD_Mes_Constante!$C$1</f>
        <v>0</v>
      </c>
      <c r="L275" s="8">
        <f>+MINVU_Mes_Corriente!L275*SALUD_Mes_Constante!$C$1</f>
        <v>0</v>
      </c>
      <c r="M275" s="8">
        <f>+MINVU_Mes_Corriente!M275*SALUD_Mes_Constante!$C$1</f>
        <v>0</v>
      </c>
      <c r="N275" s="8">
        <f>+MINVU_Mes_Corriente!N275*SALUD_Mes_Constante!$C$1</f>
        <v>0</v>
      </c>
      <c r="O275" s="9">
        <f t="shared" si="133"/>
        <v>0</v>
      </c>
      <c r="P275" s="8">
        <f>+MINVU_Mes_Corriente!P275*SALUD_Mes_Constante!$P$1</f>
        <v>0</v>
      </c>
      <c r="Q275" s="8">
        <f>+MINVU_Mes_Corriente!Q275*SALUD_Mes_Constante!$P$1</f>
        <v>0</v>
      </c>
      <c r="R275" s="8">
        <f>+MINVU_Mes_Corriente!R275*SALUD_Mes_Constante!$P$1</f>
        <v>0</v>
      </c>
      <c r="S275" s="8">
        <f>+MINVU_Mes_Corriente!S275*SALUD_Mes_Constante!$P$1</f>
        <v>0</v>
      </c>
      <c r="T275" s="8">
        <f>+MINVU_Mes_Corriente!T275*SALUD_Mes_Constante!$P$1</f>
        <v>0</v>
      </c>
      <c r="U275" s="8">
        <f>+MINVU_Mes_Corriente!U275*SALUD_Mes_Constante!$P$1</f>
        <v>0</v>
      </c>
      <c r="V275" s="8">
        <f>+MINVU_Mes_Corriente!V275*SALUD_Mes_Constante!$P$1</f>
        <v>0</v>
      </c>
      <c r="W275" s="8">
        <f>+MINVU_Mes_Corriente!W275*SALUD_Mes_Constante!$P$1</f>
        <v>0</v>
      </c>
      <c r="X275" s="8">
        <f>+MINVU_Mes_Corriente!X275*SALUD_Mes_Constante!$P$1</f>
        <v>0</v>
      </c>
      <c r="Y275" s="8">
        <f>+MINVU_Mes_Corriente!Y275*SALUD_Mes_Constante!$P$1</f>
        <v>0</v>
      </c>
      <c r="Z275" s="8">
        <f>+MINVU_Mes_Corriente!Z275*SALUD_Mes_Constante!$P$1</f>
        <v>0</v>
      </c>
      <c r="AA275" s="8">
        <f>+MINVU_Mes_Corriente!AA275*SALUD_Mes_Constante!$P$1</f>
        <v>0</v>
      </c>
      <c r="AB275" s="9">
        <f t="shared" si="134"/>
        <v>0</v>
      </c>
      <c r="AC275" s="8">
        <f>+MINVU_Mes_Corriente!AC275*SALUD_Mes_Constante!$AC$1</f>
        <v>0</v>
      </c>
      <c r="AD275" s="8">
        <f>+MINVU_Mes_Corriente!AD275*SALUD_Mes_Constante!$AC$1</f>
        <v>0</v>
      </c>
      <c r="AE275" s="8">
        <f>+MINVU_Mes_Corriente!AE275*SALUD_Mes_Constante!$AC$1</f>
        <v>0</v>
      </c>
      <c r="AF275" s="8">
        <f>+MINVU_Mes_Corriente!AF275*SALUD_Mes_Constante!$AC$1</f>
        <v>0</v>
      </c>
      <c r="AG275" s="8">
        <f>+MINVU_Mes_Corriente!AG275*SALUD_Mes_Constante!$AC$1</f>
        <v>0</v>
      </c>
      <c r="AH275" s="8">
        <f>+MINVU_Mes_Corriente!AH275*SALUD_Mes_Constante!$AC$1</f>
        <v>0</v>
      </c>
      <c r="AI275" s="8">
        <f>+MINVU_Mes_Corriente!AI275*SALUD_Mes_Constante!$AC$1</f>
        <v>0</v>
      </c>
      <c r="AJ275" s="8">
        <f>+MINVU_Mes_Corriente!AJ275*SALUD_Mes_Constante!$AC$1</f>
        <v>0</v>
      </c>
      <c r="AK275" s="8">
        <f>+MINVU_Mes_Corriente!AK275*SALUD_Mes_Constante!$AC$1</f>
        <v>0</v>
      </c>
      <c r="AL275" s="8">
        <f>+MINVU_Mes_Corriente!AL275*SALUD_Mes_Constante!$AC$1</f>
        <v>0</v>
      </c>
      <c r="AM275" s="8">
        <f>+MINVU_Mes_Corriente!AM275*SALUD_Mes_Constante!$AC$1</f>
        <v>0</v>
      </c>
      <c r="AN275" s="8">
        <f>+MINVU_Mes_Corriente!AN275*SALUD_Mes_Constante!$AC$1</f>
        <v>0</v>
      </c>
      <c r="AO275" s="9">
        <f t="shared" si="135"/>
        <v>0</v>
      </c>
      <c r="AP275" s="8">
        <f>+MINVU_Mes_Corriente!AP275*SALUD_Mes_Constante!$AP$1</f>
        <v>0</v>
      </c>
      <c r="AQ275" s="8">
        <f>+MINVU_Mes_Corriente!AQ275*SALUD_Mes_Constante!$AP$1</f>
        <v>0</v>
      </c>
      <c r="AR275" s="8">
        <f>+MINVU_Mes_Corriente!AR275*SALUD_Mes_Constante!$AP$1</f>
        <v>0</v>
      </c>
      <c r="AS275" s="8">
        <f>+MINVU_Mes_Corriente!AS275*SALUD_Mes_Constante!$AP$1</f>
        <v>0</v>
      </c>
      <c r="AT275" s="8">
        <f>+MINVU_Mes_Corriente!AT275*SALUD_Mes_Constante!$AP$1</f>
        <v>0</v>
      </c>
      <c r="AU275" s="8">
        <f>+MINVU_Mes_Corriente!AU275*SALUD_Mes_Constante!$AP$1</f>
        <v>0</v>
      </c>
      <c r="AV275" s="8">
        <f>+MINVU_Mes_Corriente!AV275*SALUD_Mes_Constante!$AP$1</f>
        <v>0</v>
      </c>
      <c r="AW275" s="8">
        <f>+MINVU_Mes_Corriente!AW275*SALUD_Mes_Constante!$AP$1</f>
        <v>0</v>
      </c>
      <c r="AX275" s="8">
        <f>+MINVU_Mes_Corriente!AX275*SALUD_Mes_Constante!$AP$1</f>
        <v>0</v>
      </c>
      <c r="AY275" s="8">
        <f>+MINVU_Mes_Corriente!AY275*SALUD_Mes_Constante!$AP$1</f>
        <v>0</v>
      </c>
      <c r="AZ275" s="8">
        <f>+MINVU_Mes_Corriente!AZ275*SALUD_Mes_Constante!$AP$1</f>
        <v>0</v>
      </c>
      <c r="BA275" s="8">
        <f>+MINVU_Mes_Corriente!BA275*SALUD_Mes_Constante!$AP$1</f>
        <v>0</v>
      </c>
      <c r="BB275" s="9">
        <f t="shared" si="136"/>
        <v>0</v>
      </c>
      <c r="BC275" s="8">
        <f>+MINVU_Mes_Corriente!BC275*SALUD_Mes_Constante!$BC$1</f>
        <v>0</v>
      </c>
      <c r="BD275" s="8">
        <f>+MINVU_Mes_Corriente!BD275*SALUD_Mes_Constante!$BC$1</f>
        <v>0</v>
      </c>
      <c r="BE275" s="8">
        <f>+MINVU_Mes_Corriente!BE275*SALUD_Mes_Constante!$BC$1</f>
        <v>0</v>
      </c>
      <c r="BF275" s="8">
        <f>+MINVU_Mes_Corriente!BF275*SALUD_Mes_Constante!$BC$1</f>
        <v>0</v>
      </c>
      <c r="BG275" s="8">
        <f>+MINVU_Mes_Corriente!BG275*SALUD_Mes_Constante!$BC$1</f>
        <v>0</v>
      </c>
      <c r="BH275" s="8">
        <f>+MINVU_Mes_Corriente!BH275*SALUD_Mes_Constante!$BC$1</f>
        <v>0</v>
      </c>
      <c r="BI275" s="8">
        <f>+MINVU_Mes_Corriente!BI275*SALUD_Mes_Constante!$BC$1</f>
        <v>0</v>
      </c>
      <c r="BJ275" s="8">
        <f>+MINVU_Mes_Corriente!BJ275*SALUD_Mes_Constante!$BC$1</f>
        <v>0</v>
      </c>
      <c r="BK275" s="8">
        <f>+MINVU_Mes_Corriente!BK275*SALUD_Mes_Constante!$BC$1</f>
        <v>0</v>
      </c>
      <c r="BL275" s="8">
        <f>+MINVU_Mes_Corriente!BL275*SALUD_Mes_Constante!$BC$1</f>
        <v>0</v>
      </c>
      <c r="BM275" s="8">
        <f>+MINVU_Mes_Corriente!BM275*SALUD_Mes_Constante!$BC$1</f>
        <v>0</v>
      </c>
      <c r="BN275" s="8">
        <f>+MINVU_Mes_Corriente!BN275*SALUD_Mes_Constante!$BC$1</f>
        <v>0</v>
      </c>
      <c r="BO275" s="9">
        <f t="shared" si="137"/>
        <v>0</v>
      </c>
      <c r="BP275" s="8">
        <f>+MINVU_Mes_Corriente!BP275*SALUD_Mes_Constante!$BP$1</f>
        <v>0</v>
      </c>
      <c r="BQ275" s="8">
        <f>+MINVU_Mes_Corriente!BQ275*SALUD_Mes_Constante!$BP$1</f>
        <v>0</v>
      </c>
      <c r="BR275" s="8">
        <f>+MINVU_Mes_Corriente!BR275*SALUD_Mes_Constante!$BP$1</f>
        <v>0</v>
      </c>
      <c r="BS275" s="8">
        <f>+MINVU_Mes_Corriente!BS275*SALUD_Mes_Constante!$BP$1</f>
        <v>0</v>
      </c>
      <c r="BT275" s="8">
        <f>+MINVU_Mes_Corriente!BT275*SALUD_Mes_Constante!$BP$1</f>
        <v>0</v>
      </c>
      <c r="BU275" s="8">
        <f>+MINVU_Mes_Corriente!BU275*SALUD_Mes_Constante!$BP$1</f>
        <v>0</v>
      </c>
      <c r="BV275" s="8">
        <f>+MINVU_Mes_Corriente!BV275*SALUD_Mes_Constante!$BP$1</f>
        <v>0</v>
      </c>
      <c r="BW275" s="8">
        <f>+MINVU_Mes_Corriente!BW275*SALUD_Mes_Constante!$BP$1</f>
        <v>0</v>
      </c>
      <c r="BX275" s="8">
        <f>+MINVU_Mes_Corriente!BX275*SALUD_Mes_Constante!$BP$1</f>
        <v>0</v>
      </c>
      <c r="BY275" s="8">
        <f>+MINVU_Mes_Corriente!BY275*SALUD_Mes_Constante!$BP$1</f>
        <v>0</v>
      </c>
      <c r="BZ275" s="8">
        <f>+MINVU_Mes_Corriente!BZ275*SALUD_Mes_Constante!$BP$1</f>
        <v>0</v>
      </c>
      <c r="CA275" s="8">
        <f>+MINVU_Mes_Corriente!CA275*SALUD_Mes_Constante!$BP$1</f>
        <v>0</v>
      </c>
      <c r="CB275" s="9">
        <f t="shared" si="138"/>
        <v>0</v>
      </c>
      <c r="CC275" s="8">
        <f>+MINVU_Mes_Corriente!CC275*SALUD_Mes_Constante!$CC$1</f>
        <v>0</v>
      </c>
      <c r="CD275" s="8">
        <f>+MINVU_Mes_Corriente!CD275*SALUD_Mes_Constante!$CC$1</f>
        <v>0</v>
      </c>
      <c r="CE275" s="8">
        <f>+MINVU_Mes_Corriente!CE275*SALUD_Mes_Constante!$CC$1</f>
        <v>0</v>
      </c>
      <c r="CF275" s="8">
        <f>+MINVU_Mes_Corriente!CF275*SALUD_Mes_Constante!$CC$1</f>
        <v>0</v>
      </c>
      <c r="CG275" s="8">
        <f>+MINVU_Mes_Corriente!CG275*SALUD_Mes_Constante!$CC$1</f>
        <v>0</v>
      </c>
      <c r="CH275" s="8">
        <f>+MINVU_Mes_Corriente!CH275*SALUD_Mes_Constante!$CC$1</f>
        <v>0</v>
      </c>
      <c r="CI275" s="8">
        <f>+MINVU_Mes_Corriente!CI275*SALUD_Mes_Constante!$CC$1</f>
        <v>0</v>
      </c>
      <c r="CJ275" s="8">
        <f>+MINVU_Mes_Corriente!CJ275*SALUD_Mes_Constante!$CC$1</f>
        <v>0</v>
      </c>
      <c r="CK275" s="8">
        <f>+MINVU_Mes_Corriente!CK275*SALUD_Mes_Constante!$CC$1</f>
        <v>0</v>
      </c>
      <c r="CL275" s="8">
        <f>+MINVU_Mes_Corriente!CL275*SALUD_Mes_Constante!$CC$1</f>
        <v>0</v>
      </c>
      <c r="CM275" s="8">
        <f>+MINVU_Mes_Corriente!CM275*SALUD_Mes_Constante!$CC$1</f>
        <v>0</v>
      </c>
      <c r="CN275" s="8">
        <f>+MINVU_Mes_Corriente!CN275*SALUD_Mes_Constante!$CC$1</f>
        <v>0</v>
      </c>
      <c r="CO275" s="9">
        <f t="shared" si="139"/>
        <v>0</v>
      </c>
      <c r="CP275" s="8">
        <f>+MINVU_Mes_Corriente!CP275*SALUD_Mes_Constante!$CP$1</f>
        <v>0</v>
      </c>
      <c r="CQ275" s="8">
        <f>+MINVU_Mes_Corriente!CQ275*SALUD_Mes_Constante!$CP$1</f>
        <v>0</v>
      </c>
      <c r="CR275" s="8">
        <f>+MINVU_Mes_Corriente!CR275*SALUD_Mes_Constante!$CP$1</f>
        <v>0</v>
      </c>
      <c r="CS275" s="8">
        <f>+MINVU_Mes_Corriente!CS275*SALUD_Mes_Constante!$CP$1</f>
        <v>0</v>
      </c>
      <c r="CT275" s="8">
        <f>+MINVU_Mes_Corriente!CT275*SALUD_Mes_Constante!$CP$1</f>
        <v>0</v>
      </c>
      <c r="CU275" s="8">
        <f>+MINVU_Mes_Corriente!CU275*SALUD_Mes_Constante!$CP$1</f>
        <v>0</v>
      </c>
      <c r="CV275" s="8">
        <f>+MINVU_Mes_Corriente!CV275*SALUD_Mes_Constante!$CP$1</f>
        <v>0</v>
      </c>
      <c r="CW275" s="8">
        <f>+MINVU_Mes_Corriente!CW275*SALUD_Mes_Constante!$CP$1</f>
        <v>0</v>
      </c>
      <c r="CX275" s="8">
        <f>+MINVU_Mes_Corriente!CX275*SALUD_Mes_Constante!$CP$1</f>
        <v>0</v>
      </c>
      <c r="CY275" s="8">
        <f>+MINVU_Mes_Corriente!CY275*SALUD_Mes_Constante!$CP$1</f>
        <v>0</v>
      </c>
      <c r="CZ275" s="8">
        <f>+MINVU_Mes_Corriente!CZ275*SALUD_Mes_Constante!$CP$1</f>
        <v>0</v>
      </c>
      <c r="DA275" s="8">
        <f>+MINVU_Mes_Corriente!DA275*SALUD_Mes_Constante!$CP$1</f>
        <v>0</v>
      </c>
      <c r="DB275" s="9">
        <f t="shared" si="140"/>
        <v>0</v>
      </c>
      <c r="DC275" s="8">
        <f>+MINVU_Mes_Corriente!DC275*SALUD_Mes_Constante!$DC$1</f>
        <v>0</v>
      </c>
      <c r="DD275" s="8">
        <f>+MINVU_Mes_Corriente!DD275*SALUD_Mes_Constante!$DC$1</f>
        <v>0</v>
      </c>
      <c r="DE275" s="8">
        <f>+MINVU_Mes_Corriente!DE275*SALUD_Mes_Constante!$DC$1</f>
        <v>0</v>
      </c>
      <c r="DF275" s="8">
        <f>+MINVU_Mes_Corriente!DF275*SALUD_Mes_Constante!$DC$1</f>
        <v>0</v>
      </c>
      <c r="DG275" s="8">
        <f>+MINVU_Mes_Corriente!DG275*SALUD_Mes_Constante!$DC$1</f>
        <v>0</v>
      </c>
      <c r="DH275" s="8">
        <f>+MINVU_Mes_Corriente!DH275*SALUD_Mes_Constante!$DC$1</f>
        <v>0</v>
      </c>
      <c r="DI275" s="8">
        <f>+MINVU_Mes_Corriente!DI275*SALUD_Mes_Constante!$DC$1</f>
        <v>0</v>
      </c>
      <c r="DJ275" s="8">
        <f>+MINVU_Mes_Corriente!DJ275*SALUD_Mes_Constante!$DC$1</f>
        <v>0</v>
      </c>
      <c r="DK275" s="8">
        <f>+MINVU_Mes_Corriente!DK275*SALUD_Mes_Constante!$DC$1</f>
        <v>0</v>
      </c>
      <c r="DL275" s="8">
        <f>+MINVU_Mes_Corriente!DL275*SALUD_Mes_Constante!$DC$1</f>
        <v>0</v>
      </c>
      <c r="DM275" s="8">
        <f>+MINVU_Mes_Corriente!DM275*SALUD_Mes_Constante!$DC$1</f>
        <v>0</v>
      </c>
      <c r="DN275" s="8">
        <f>+MINVU_Mes_Corriente!DN275*SALUD_Mes_Constante!$DC$1</f>
        <v>0</v>
      </c>
      <c r="DO275" s="9">
        <f t="shared" si="141"/>
        <v>0</v>
      </c>
      <c r="DP275" s="8">
        <f>+MINVU_Mes_Corriente!DP275*SALUD_Mes_Constante!$DP$1</f>
        <v>0</v>
      </c>
      <c r="DQ275" s="8">
        <f>+MINVU_Mes_Corriente!DQ275*SALUD_Mes_Constante!$DP$1</f>
        <v>0</v>
      </c>
      <c r="DR275" s="8">
        <f>+MINVU_Mes_Corriente!DR275*SALUD_Mes_Constante!$DP$1</f>
        <v>0</v>
      </c>
      <c r="DS275" s="8">
        <f>+MINVU_Mes_Corriente!DS275*SALUD_Mes_Constante!$DP$1</f>
        <v>0</v>
      </c>
      <c r="DT275" s="8">
        <f>+MINVU_Mes_Corriente!DT275*SALUD_Mes_Constante!$DP$1</f>
        <v>0</v>
      </c>
      <c r="DU275" s="8">
        <f>+MINVU_Mes_Corriente!DU275*SALUD_Mes_Constante!$DP$1</f>
        <v>0</v>
      </c>
      <c r="DV275" s="8">
        <f>+MINVU_Mes_Corriente!DV275*SALUD_Mes_Constante!$DP$1</f>
        <v>0</v>
      </c>
      <c r="DW275" s="8">
        <f>+MINVU_Mes_Corriente!DW275*SALUD_Mes_Constante!$DP$1</f>
        <v>0</v>
      </c>
      <c r="DX275" s="8">
        <f>+MINVU_Mes_Corriente!DX275*SALUD_Mes_Constante!$DP$1</f>
        <v>0</v>
      </c>
      <c r="DY275" s="8">
        <f>+MINVU_Mes_Corriente!DY275*SALUD_Mes_Constante!$DP$1</f>
        <v>0</v>
      </c>
      <c r="DZ275" s="8">
        <f>+MINVU_Mes_Corriente!DZ275*SALUD_Mes_Constante!$DP$1</f>
        <v>0</v>
      </c>
      <c r="EA275" s="8">
        <f>+MINVU_Mes_Corriente!EA275*SALUD_Mes_Constante!$DP$1</f>
        <v>0</v>
      </c>
      <c r="EB275" s="9">
        <f t="shared" si="142"/>
        <v>0</v>
      </c>
      <c r="EC275" s="8">
        <f>+MINVU_Mes_Corriente!EC275*SALUD_Mes_Constante!$EC$1</f>
        <v>0</v>
      </c>
      <c r="ED275" s="8">
        <f>+MINVU_Mes_Corriente!ED275*SALUD_Mes_Constante!$EC$1</f>
        <v>0</v>
      </c>
      <c r="EE275" s="8">
        <f>+MINVU_Mes_Corriente!EE275*SALUD_Mes_Constante!$EC$1</f>
        <v>0</v>
      </c>
      <c r="EF275" s="8">
        <f>+MINVU_Mes_Corriente!EF275*SALUD_Mes_Constante!$EC$1</f>
        <v>0</v>
      </c>
      <c r="EG275" s="8">
        <f>+MINVU_Mes_Corriente!EG275*SALUD_Mes_Constante!$EC$1</f>
        <v>0</v>
      </c>
      <c r="EH275" s="8">
        <f>+MINVU_Mes_Corriente!EH275*SALUD_Mes_Constante!$EC$1</f>
        <v>0</v>
      </c>
      <c r="EI275" s="8">
        <f>+MINVU_Mes_Corriente!EI275*SALUD_Mes_Constante!$EC$1</f>
        <v>0</v>
      </c>
      <c r="EJ275" s="8">
        <f>+MINVU_Mes_Corriente!EJ275*SALUD_Mes_Constante!$EC$1</f>
        <v>0</v>
      </c>
      <c r="EK275" s="8">
        <f>+MINVU_Mes_Corriente!EK275*SALUD_Mes_Constante!$EC$1</f>
        <v>0</v>
      </c>
      <c r="EL275" s="8">
        <f>+MINVU_Mes_Corriente!EL275*SALUD_Mes_Constante!$EC$1</f>
        <v>0</v>
      </c>
      <c r="EM275" s="8">
        <f>+MINVU_Mes_Corriente!EM275*SALUD_Mes_Constante!$EC$1</f>
        <v>0</v>
      </c>
      <c r="EN275" s="8">
        <f>+MINVU_Mes_Corriente!EN275*SALUD_Mes_Constante!$EC$1</f>
        <v>0</v>
      </c>
      <c r="EO275" s="9">
        <f t="shared" si="143"/>
        <v>0</v>
      </c>
      <c r="EP275" s="8">
        <f>+MINVU_Mes_Corriente!EP275*SALUD_Mes_Constante!$EP$1</f>
        <v>0</v>
      </c>
      <c r="EQ275" s="8">
        <f>+MINVU_Mes_Corriente!EQ275*SALUD_Mes_Constante!$EP$1</f>
        <v>0</v>
      </c>
      <c r="ER275" s="8">
        <f>+MINVU_Mes_Corriente!ER275*SALUD_Mes_Constante!$EP$1</f>
        <v>0</v>
      </c>
      <c r="ES275" s="8">
        <f>+MINVU_Mes_Corriente!ES275*SALUD_Mes_Constante!$EP$1</f>
        <v>0</v>
      </c>
      <c r="ET275" s="8">
        <f>+MINVU_Mes_Corriente!ET275*SALUD_Mes_Constante!$EP$1</f>
        <v>0</v>
      </c>
      <c r="EU275" s="8">
        <f>+MINVU_Mes_Corriente!EU275*SALUD_Mes_Constante!$EP$1</f>
        <v>0</v>
      </c>
      <c r="EV275" s="8">
        <f>+MINVU_Mes_Corriente!EV275*SALUD_Mes_Constante!$EP$1</f>
        <v>0</v>
      </c>
      <c r="EW275" s="8">
        <f>+MINVU_Mes_Corriente!EW275*SALUD_Mes_Constante!$EP$1</f>
        <v>0</v>
      </c>
      <c r="EX275" s="8">
        <f>+MINVU_Mes_Corriente!EX275*SALUD_Mes_Constante!$EP$1</f>
        <v>0</v>
      </c>
      <c r="EY275" s="8">
        <f>+MINVU_Mes_Corriente!EY275*SALUD_Mes_Constante!$EP$1</f>
        <v>0</v>
      </c>
      <c r="EZ275" s="8">
        <f>+MINVU_Mes_Corriente!EZ275*SALUD_Mes_Constante!$EP$1</f>
        <v>0</v>
      </c>
      <c r="FA275" s="8">
        <f>+MINVU_Mes_Corriente!FA275*SALUD_Mes_Constante!$EP$1</f>
        <v>0</v>
      </c>
      <c r="FB275" s="9">
        <f t="shared" si="144"/>
        <v>0</v>
      </c>
      <c r="FC275" s="8">
        <f>+MINVU_Mes_Corriente!FC275*SALUD_Mes_Constante!$FC$1</f>
        <v>0</v>
      </c>
      <c r="FD275" s="8">
        <f>+MINVU_Mes_Corriente!FD275*SALUD_Mes_Constante!$FC$1</f>
        <v>0</v>
      </c>
      <c r="FE275" s="8">
        <f>+MINVU_Mes_Corriente!FE275*SALUD_Mes_Constante!$FC$1</f>
        <v>0</v>
      </c>
      <c r="FF275" s="8">
        <f>+MINVU_Mes_Corriente!FF275*SALUD_Mes_Constante!$FC$1</f>
        <v>0</v>
      </c>
      <c r="FG275" s="8">
        <f>+MINVU_Mes_Corriente!FG275*SALUD_Mes_Constante!$FC$1</f>
        <v>0</v>
      </c>
      <c r="FH275" s="8">
        <f>+MINVU_Mes_Corriente!FH275*SALUD_Mes_Constante!$FC$1</f>
        <v>0</v>
      </c>
      <c r="FI275" s="8">
        <f>+MINVU_Mes_Corriente!FI275*SALUD_Mes_Constante!$FC$1</f>
        <v>0</v>
      </c>
      <c r="FJ275" s="8"/>
      <c r="FK275" s="8"/>
      <c r="FL275" s="8"/>
      <c r="FM275" s="8"/>
      <c r="FN275" s="8"/>
      <c r="FO275" s="9">
        <f t="shared" si="145"/>
        <v>0</v>
      </c>
    </row>
    <row r="276" spans="2:171" ht="14.25" customHeight="1" x14ac:dyDescent="0.3">
      <c r="B276" s="7" t="s">
        <v>53</v>
      </c>
      <c r="C276" s="8">
        <f>+MINVU_Mes_Corriente!C276*SALUD_Mes_Constante!$C$1</f>
        <v>0</v>
      </c>
      <c r="D276" s="8">
        <f>+MINVU_Mes_Corriente!D276*SALUD_Mes_Constante!$C$1</f>
        <v>0</v>
      </c>
      <c r="E276" s="8">
        <f>+MINVU_Mes_Corriente!E276*SALUD_Mes_Constante!$C$1</f>
        <v>0</v>
      </c>
      <c r="F276" s="8">
        <f>+MINVU_Mes_Corriente!F276*SALUD_Mes_Constante!$C$1</f>
        <v>0</v>
      </c>
      <c r="G276" s="8">
        <f>+MINVU_Mes_Corriente!G276*SALUD_Mes_Constante!$C$1</f>
        <v>0</v>
      </c>
      <c r="H276" s="8">
        <f>+MINVU_Mes_Corriente!H276*SALUD_Mes_Constante!$C$1</f>
        <v>0</v>
      </c>
      <c r="I276" s="8">
        <f>+MINVU_Mes_Corriente!I276*SALUD_Mes_Constante!$C$1</f>
        <v>0</v>
      </c>
      <c r="J276" s="8">
        <f>+MINVU_Mes_Corriente!J276*SALUD_Mes_Constante!$C$1</f>
        <v>0</v>
      </c>
      <c r="K276" s="8">
        <f>+MINVU_Mes_Corriente!K276*SALUD_Mes_Constante!$C$1</f>
        <v>0</v>
      </c>
      <c r="L276" s="8">
        <f>+MINVU_Mes_Corriente!L276*SALUD_Mes_Constante!$C$1</f>
        <v>0</v>
      </c>
      <c r="M276" s="8">
        <f>+MINVU_Mes_Corriente!M276*SALUD_Mes_Constante!$C$1</f>
        <v>0</v>
      </c>
      <c r="N276" s="8">
        <f>+MINVU_Mes_Corriente!N276*SALUD_Mes_Constante!$C$1</f>
        <v>0</v>
      </c>
      <c r="O276" s="9">
        <f t="shared" si="133"/>
        <v>0</v>
      </c>
      <c r="P276" s="8">
        <f>+MINVU_Mes_Corriente!P276*SALUD_Mes_Constante!$P$1</f>
        <v>0</v>
      </c>
      <c r="Q276" s="8">
        <f>+MINVU_Mes_Corriente!Q276*SALUD_Mes_Constante!$P$1</f>
        <v>0</v>
      </c>
      <c r="R276" s="8">
        <f>+MINVU_Mes_Corriente!R276*SALUD_Mes_Constante!$P$1</f>
        <v>0</v>
      </c>
      <c r="S276" s="8">
        <f>+MINVU_Mes_Corriente!S276*SALUD_Mes_Constante!$P$1</f>
        <v>0</v>
      </c>
      <c r="T276" s="8">
        <f>+MINVU_Mes_Corriente!T276*SALUD_Mes_Constante!$P$1</f>
        <v>0</v>
      </c>
      <c r="U276" s="8">
        <f>+MINVU_Mes_Corriente!U276*SALUD_Mes_Constante!$P$1</f>
        <v>0</v>
      </c>
      <c r="V276" s="8">
        <f>+MINVU_Mes_Corriente!V276*SALUD_Mes_Constante!$P$1</f>
        <v>0</v>
      </c>
      <c r="W276" s="8">
        <f>+MINVU_Mes_Corriente!W276*SALUD_Mes_Constante!$P$1</f>
        <v>0</v>
      </c>
      <c r="X276" s="8">
        <f>+MINVU_Mes_Corriente!X276*SALUD_Mes_Constante!$P$1</f>
        <v>0</v>
      </c>
      <c r="Y276" s="8">
        <f>+MINVU_Mes_Corriente!Y276*SALUD_Mes_Constante!$P$1</f>
        <v>0</v>
      </c>
      <c r="Z276" s="8">
        <f>+MINVU_Mes_Corriente!Z276*SALUD_Mes_Constante!$P$1</f>
        <v>0</v>
      </c>
      <c r="AA276" s="8">
        <f>+MINVU_Mes_Corriente!AA276*SALUD_Mes_Constante!$P$1</f>
        <v>0</v>
      </c>
      <c r="AB276" s="9">
        <f t="shared" si="134"/>
        <v>0</v>
      </c>
      <c r="AC276" s="8">
        <f>+MINVU_Mes_Corriente!AC276*SALUD_Mes_Constante!$AC$1</f>
        <v>0</v>
      </c>
      <c r="AD276" s="8">
        <f>+MINVU_Mes_Corriente!AD276*SALUD_Mes_Constante!$AC$1</f>
        <v>0</v>
      </c>
      <c r="AE276" s="8">
        <f>+MINVU_Mes_Corriente!AE276*SALUD_Mes_Constante!$AC$1</f>
        <v>0</v>
      </c>
      <c r="AF276" s="8">
        <f>+MINVU_Mes_Corriente!AF276*SALUD_Mes_Constante!$AC$1</f>
        <v>0</v>
      </c>
      <c r="AG276" s="8">
        <f>+MINVU_Mes_Corriente!AG276*SALUD_Mes_Constante!$AC$1</f>
        <v>0</v>
      </c>
      <c r="AH276" s="8">
        <f>+MINVU_Mes_Corriente!AH276*SALUD_Mes_Constante!$AC$1</f>
        <v>0</v>
      </c>
      <c r="AI276" s="8">
        <f>+MINVU_Mes_Corriente!AI276*SALUD_Mes_Constante!$AC$1</f>
        <v>0</v>
      </c>
      <c r="AJ276" s="8">
        <f>+MINVU_Mes_Corriente!AJ276*SALUD_Mes_Constante!$AC$1</f>
        <v>0</v>
      </c>
      <c r="AK276" s="8">
        <f>+MINVU_Mes_Corriente!AK276*SALUD_Mes_Constante!$AC$1</f>
        <v>0</v>
      </c>
      <c r="AL276" s="8">
        <f>+MINVU_Mes_Corriente!AL276*SALUD_Mes_Constante!$AC$1</f>
        <v>0</v>
      </c>
      <c r="AM276" s="8">
        <f>+MINVU_Mes_Corriente!AM276*SALUD_Mes_Constante!$AC$1</f>
        <v>0</v>
      </c>
      <c r="AN276" s="8">
        <f>+MINVU_Mes_Corriente!AN276*SALUD_Mes_Constante!$AC$1</f>
        <v>0</v>
      </c>
      <c r="AO276" s="9">
        <f t="shared" si="135"/>
        <v>0</v>
      </c>
      <c r="AP276" s="8">
        <f>+MINVU_Mes_Corriente!AP276*SALUD_Mes_Constante!$AP$1</f>
        <v>0</v>
      </c>
      <c r="AQ276" s="8">
        <f>+MINVU_Mes_Corriente!AQ276*SALUD_Mes_Constante!$AP$1</f>
        <v>0</v>
      </c>
      <c r="AR276" s="8">
        <f>+MINVU_Mes_Corriente!AR276*SALUD_Mes_Constante!$AP$1</f>
        <v>0</v>
      </c>
      <c r="AS276" s="8">
        <f>+MINVU_Mes_Corriente!AS276*SALUD_Mes_Constante!$AP$1</f>
        <v>0</v>
      </c>
      <c r="AT276" s="8">
        <f>+MINVU_Mes_Corriente!AT276*SALUD_Mes_Constante!$AP$1</f>
        <v>0</v>
      </c>
      <c r="AU276" s="8">
        <f>+MINVU_Mes_Corriente!AU276*SALUD_Mes_Constante!$AP$1</f>
        <v>0</v>
      </c>
      <c r="AV276" s="8">
        <f>+MINVU_Mes_Corriente!AV276*SALUD_Mes_Constante!$AP$1</f>
        <v>0</v>
      </c>
      <c r="AW276" s="8">
        <f>+MINVU_Mes_Corriente!AW276*SALUD_Mes_Constante!$AP$1</f>
        <v>0</v>
      </c>
      <c r="AX276" s="8">
        <f>+MINVU_Mes_Corriente!AX276*SALUD_Mes_Constante!$AP$1</f>
        <v>0</v>
      </c>
      <c r="AY276" s="8">
        <f>+MINVU_Mes_Corriente!AY276*SALUD_Mes_Constante!$AP$1</f>
        <v>0</v>
      </c>
      <c r="AZ276" s="8">
        <f>+MINVU_Mes_Corriente!AZ276*SALUD_Mes_Constante!$AP$1</f>
        <v>0</v>
      </c>
      <c r="BA276" s="8">
        <f>+MINVU_Mes_Corriente!BA276*SALUD_Mes_Constante!$AP$1</f>
        <v>0</v>
      </c>
      <c r="BB276" s="9">
        <f t="shared" si="136"/>
        <v>0</v>
      </c>
      <c r="BC276" s="8">
        <f>+MINVU_Mes_Corriente!BC276*SALUD_Mes_Constante!$BC$1</f>
        <v>0</v>
      </c>
      <c r="BD276" s="8">
        <f>+MINVU_Mes_Corriente!BD276*SALUD_Mes_Constante!$BC$1</f>
        <v>0</v>
      </c>
      <c r="BE276" s="8">
        <f>+MINVU_Mes_Corriente!BE276*SALUD_Mes_Constante!$BC$1</f>
        <v>0</v>
      </c>
      <c r="BF276" s="8">
        <f>+MINVU_Mes_Corriente!BF276*SALUD_Mes_Constante!$BC$1</f>
        <v>0</v>
      </c>
      <c r="BG276" s="8">
        <f>+MINVU_Mes_Corriente!BG276*SALUD_Mes_Constante!$BC$1</f>
        <v>0</v>
      </c>
      <c r="BH276" s="8">
        <f>+MINVU_Mes_Corriente!BH276*SALUD_Mes_Constante!$BC$1</f>
        <v>0</v>
      </c>
      <c r="BI276" s="8">
        <f>+MINVU_Mes_Corriente!BI276*SALUD_Mes_Constante!$BC$1</f>
        <v>0</v>
      </c>
      <c r="BJ276" s="8">
        <f>+MINVU_Mes_Corriente!BJ276*SALUD_Mes_Constante!$BC$1</f>
        <v>0</v>
      </c>
      <c r="BK276" s="8">
        <f>+MINVU_Mes_Corriente!BK276*SALUD_Mes_Constante!$BC$1</f>
        <v>0</v>
      </c>
      <c r="BL276" s="8">
        <f>+MINVU_Mes_Corriente!BL276*SALUD_Mes_Constante!$BC$1</f>
        <v>0</v>
      </c>
      <c r="BM276" s="8">
        <f>+MINVU_Mes_Corriente!BM276*SALUD_Mes_Constante!$BC$1</f>
        <v>0</v>
      </c>
      <c r="BN276" s="8">
        <f>+MINVU_Mes_Corriente!BN276*SALUD_Mes_Constante!$BC$1</f>
        <v>0</v>
      </c>
      <c r="BO276" s="9">
        <f t="shared" si="137"/>
        <v>0</v>
      </c>
      <c r="BP276" s="8">
        <f>+MINVU_Mes_Corriente!BP276*SALUD_Mes_Constante!$BP$1</f>
        <v>0</v>
      </c>
      <c r="BQ276" s="8">
        <f>+MINVU_Mes_Corriente!BQ276*SALUD_Mes_Constante!$BP$1</f>
        <v>0</v>
      </c>
      <c r="BR276" s="8">
        <f>+MINVU_Mes_Corriente!BR276*SALUD_Mes_Constante!$BP$1</f>
        <v>0</v>
      </c>
      <c r="BS276" s="8">
        <f>+MINVU_Mes_Corriente!BS276*SALUD_Mes_Constante!$BP$1</f>
        <v>0</v>
      </c>
      <c r="BT276" s="8">
        <f>+MINVU_Mes_Corriente!BT276*SALUD_Mes_Constante!$BP$1</f>
        <v>0</v>
      </c>
      <c r="BU276" s="8">
        <f>+MINVU_Mes_Corriente!BU276*SALUD_Mes_Constante!$BP$1</f>
        <v>0</v>
      </c>
      <c r="BV276" s="8">
        <f>+MINVU_Mes_Corriente!BV276*SALUD_Mes_Constante!$BP$1</f>
        <v>0</v>
      </c>
      <c r="BW276" s="8">
        <f>+MINVU_Mes_Corriente!BW276*SALUD_Mes_Constante!$BP$1</f>
        <v>0</v>
      </c>
      <c r="BX276" s="8">
        <f>+MINVU_Mes_Corriente!BX276*SALUD_Mes_Constante!$BP$1</f>
        <v>0</v>
      </c>
      <c r="BY276" s="8">
        <f>+MINVU_Mes_Corriente!BY276*SALUD_Mes_Constante!$BP$1</f>
        <v>0</v>
      </c>
      <c r="BZ276" s="8">
        <f>+MINVU_Mes_Corriente!BZ276*SALUD_Mes_Constante!$BP$1</f>
        <v>0</v>
      </c>
      <c r="CA276" s="8">
        <f>+MINVU_Mes_Corriente!CA276*SALUD_Mes_Constante!$BP$1</f>
        <v>0</v>
      </c>
      <c r="CB276" s="9">
        <f t="shared" si="138"/>
        <v>0</v>
      </c>
      <c r="CC276" s="8">
        <f>+MINVU_Mes_Corriente!CC276*SALUD_Mes_Constante!$CC$1</f>
        <v>0</v>
      </c>
      <c r="CD276" s="8">
        <f>+MINVU_Mes_Corriente!CD276*SALUD_Mes_Constante!$CC$1</f>
        <v>0</v>
      </c>
      <c r="CE276" s="8">
        <f>+MINVU_Mes_Corriente!CE276*SALUD_Mes_Constante!$CC$1</f>
        <v>0</v>
      </c>
      <c r="CF276" s="8">
        <f>+MINVU_Mes_Corriente!CF276*SALUD_Mes_Constante!$CC$1</f>
        <v>0</v>
      </c>
      <c r="CG276" s="8">
        <f>+MINVU_Mes_Corriente!CG276*SALUD_Mes_Constante!$CC$1</f>
        <v>0</v>
      </c>
      <c r="CH276" s="8">
        <f>+MINVU_Mes_Corriente!CH276*SALUD_Mes_Constante!$CC$1</f>
        <v>0</v>
      </c>
      <c r="CI276" s="8">
        <f>+MINVU_Mes_Corriente!CI276*SALUD_Mes_Constante!$CC$1</f>
        <v>0</v>
      </c>
      <c r="CJ276" s="8">
        <f>+MINVU_Mes_Corriente!CJ276*SALUD_Mes_Constante!$CC$1</f>
        <v>0</v>
      </c>
      <c r="CK276" s="8">
        <f>+MINVU_Mes_Corriente!CK276*SALUD_Mes_Constante!$CC$1</f>
        <v>0</v>
      </c>
      <c r="CL276" s="8">
        <f>+MINVU_Mes_Corriente!CL276*SALUD_Mes_Constante!$CC$1</f>
        <v>0</v>
      </c>
      <c r="CM276" s="8">
        <f>+MINVU_Mes_Corriente!CM276*SALUD_Mes_Constante!$CC$1</f>
        <v>0</v>
      </c>
      <c r="CN276" s="8">
        <f>+MINVU_Mes_Corriente!CN276*SALUD_Mes_Constante!$CC$1</f>
        <v>0</v>
      </c>
      <c r="CO276" s="9">
        <f t="shared" si="139"/>
        <v>0</v>
      </c>
      <c r="CP276" s="8">
        <f>+MINVU_Mes_Corriente!CP276*SALUD_Mes_Constante!$CP$1</f>
        <v>0</v>
      </c>
      <c r="CQ276" s="8">
        <f>+MINVU_Mes_Corriente!CQ276*SALUD_Mes_Constante!$CP$1</f>
        <v>0</v>
      </c>
      <c r="CR276" s="8">
        <f>+MINVU_Mes_Corriente!CR276*SALUD_Mes_Constante!$CP$1</f>
        <v>0</v>
      </c>
      <c r="CS276" s="8">
        <f>+MINVU_Mes_Corriente!CS276*SALUD_Mes_Constante!$CP$1</f>
        <v>0</v>
      </c>
      <c r="CT276" s="8">
        <f>+MINVU_Mes_Corriente!CT276*SALUD_Mes_Constante!$CP$1</f>
        <v>0</v>
      </c>
      <c r="CU276" s="8">
        <f>+MINVU_Mes_Corriente!CU276*SALUD_Mes_Constante!$CP$1</f>
        <v>0</v>
      </c>
      <c r="CV276" s="8">
        <f>+MINVU_Mes_Corriente!CV276*SALUD_Mes_Constante!$CP$1</f>
        <v>0</v>
      </c>
      <c r="CW276" s="8">
        <f>+MINVU_Mes_Corriente!CW276*SALUD_Mes_Constante!$CP$1</f>
        <v>0</v>
      </c>
      <c r="CX276" s="8">
        <f>+MINVU_Mes_Corriente!CX276*SALUD_Mes_Constante!$CP$1</f>
        <v>0</v>
      </c>
      <c r="CY276" s="8">
        <f>+MINVU_Mes_Corriente!CY276*SALUD_Mes_Constante!$CP$1</f>
        <v>0</v>
      </c>
      <c r="CZ276" s="8">
        <f>+MINVU_Mes_Corriente!CZ276*SALUD_Mes_Constante!$CP$1</f>
        <v>0</v>
      </c>
      <c r="DA276" s="8">
        <f>+MINVU_Mes_Corriente!DA276*SALUD_Mes_Constante!$CP$1</f>
        <v>0</v>
      </c>
      <c r="DB276" s="9">
        <f t="shared" si="140"/>
        <v>0</v>
      </c>
      <c r="DC276" s="8">
        <f>+MINVU_Mes_Corriente!DC276*SALUD_Mes_Constante!$DC$1</f>
        <v>0</v>
      </c>
      <c r="DD276" s="8">
        <f>+MINVU_Mes_Corriente!DD276*SALUD_Mes_Constante!$DC$1</f>
        <v>0</v>
      </c>
      <c r="DE276" s="8">
        <f>+MINVU_Mes_Corriente!DE276*SALUD_Mes_Constante!$DC$1</f>
        <v>0</v>
      </c>
      <c r="DF276" s="8">
        <f>+MINVU_Mes_Corriente!DF276*SALUD_Mes_Constante!$DC$1</f>
        <v>0</v>
      </c>
      <c r="DG276" s="8">
        <f>+MINVU_Mes_Corriente!DG276*SALUD_Mes_Constante!$DC$1</f>
        <v>0</v>
      </c>
      <c r="DH276" s="8">
        <f>+MINVU_Mes_Corriente!DH276*SALUD_Mes_Constante!$DC$1</f>
        <v>0</v>
      </c>
      <c r="DI276" s="8">
        <f>+MINVU_Mes_Corriente!DI276*SALUD_Mes_Constante!$DC$1</f>
        <v>0</v>
      </c>
      <c r="DJ276" s="8">
        <f>+MINVU_Mes_Corriente!DJ276*SALUD_Mes_Constante!$DC$1</f>
        <v>0</v>
      </c>
      <c r="DK276" s="8">
        <f>+MINVU_Mes_Corriente!DK276*SALUD_Mes_Constante!$DC$1</f>
        <v>0</v>
      </c>
      <c r="DL276" s="8">
        <f>+MINVU_Mes_Corriente!DL276*SALUD_Mes_Constante!$DC$1</f>
        <v>0</v>
      </c>
      <c r="DM276" s="8">
        <f>+MINVU_Mes_Corriente!DM276*SALUD_Mes_Constante!$DC$1</f>
        <v>0</v>
      </c>
      <c r="DN276" s="8">
        <f>+MINVU_Mes_Corriente!DN276*SALUD_Mes_Constante!$DC$1</f>
        <v>0</v>
      </c>
      <c r="DO276" s="9">
        <f t="shared" si="141"/>
        <v>0</v>
      </c>
      <c r="DP276" s="8">
        <f>+MINVU_Mes_Corriente!DP276*SALUD_Mes_Constante!$DP$1</f>
        <v>0</v>
      </c>
      <c r="DQ276" s="8">
        <f>+MINVU_Mes_Corriente!DQ276*SALUD_Mes_Constante!$DP$1</f>
        <v>0</v>
      </c>
      <c r="DR276" s="8">
        <f>+MINVU_Mes_Corriente!DR276*SALUD_Mes_Constante!$DP$1</f>
        <v>0</v>
      </c>
      <c r="DS276" s="8">
        <f>+MINVU_Mes_Corriente!DS276*SALUD_Mes_Constante!$DP$1</f>
        <v>0</v>
      </c>
      <c r="DT276" s="8">
        <f>+MINVU_Mes_Corriente!DT276*SALUD_Mes_Constante!$DP$1</f>
        <v>0</v>
      </c>
      <c r="DU276" s="8">
        <f>+MINVU_Mes_Corriente!DU276*SALUD_Mes_Constante!$DP$1</f>
        <v>0</v>
      </c>
      <c r="DV276" s="8">
        <f>+MINVU_Mes_Corriente!DV276*SALUD_Mes_Constante!$DP$1</f>
        <v>0</v>
      </c>
      <c r="DW276" s="8">
        <f>+MINVU_Mes_Corriente!DW276*SALUD_Mes_Constante!$DP$1</f>
        <v>0</v>
      </c>
      <c r="DX276" s="8">
        <f>+MINVU_Mes_Corriente!DX276*SALUD_Mes_Constante!$DP$1</f>
        <v>0</v>
      </c>
      <c r="DY276" s="8">
        <f>+MINVU_Mes_Corriente!DY276*SALUD_Mes_Constante!$DP$1</f>
        <v>0</v>
      </c>
      <c r="DZ276" s="8">
        <f>+MINVU_Mes_Corriente!DZ276*SALUD_Mes_Constante!$DP$1</f>
        <v>0</v>
      </c>
      <c r="EA276" s="8">
        <f>+MINVU_Mes_Corriente!EA276*SALUD_Mes_Constante!$DP$1</f>
        <v>0</v>
      </c>
      <c r="EB276" s="9">
        <f t="shared" si="142"/>
        <v>0</v>
      </c>
      <c r="EC276" s="8">
        <f>+MINVU_Mes_Corriente!EC276*SALUD_Mes_Constante!$EC$1</f>
        <v>0</v>
      </c>
      <c r="ED276" s="8">
        <f>+MINVU_Mes_Corriente!ED276*SALUD_Mes_Constante!$EC$1</f>
        <v>0</v>
      </c>
      <c r="EE276" s="8">
        <f>+MINVU_Mes_Corriente!EE276*SALUD_Mes_Constante!$EC$1</f>
        <v>0</v>
      </c>
      <c r="EF276" s="8">
        <f>+MINVU_Mes_Corriente!EF276*SALUD_Mes_Constante!$EC$1</f>
        <v>0</v>
      </c>
      <c r="EG276" s="8">
        <f>+MINVU_Mes_Corriente!EG276*SALUD_Mes_Constante!$EC$1</f>
        <v>0</v>
      </c>
      <c r="EH276" s="8">
        <f>+MINVU_Mes_Corriente!EH276*SALUD_Mes_Constante!$EC$1</f>
        <v>0</v>
      </c>
      <c r="EI276" s="8">
        <f>+MINVU_Mes_Corriente!EI276*SALUD_Mes_Constante!$EC$1</f>
        <v>0</v>
      </c>
      <c r="EJ276" s="8">
        <f>+MINVU_Mes_Corriente!EJ276*SALUD_Mes_Constante!$EC$1</f>
        <v>0</v>
      </c>
      <c r="EK276" s="8">
        <f>+MINVU_Mes_Corriente!EK276*SALUD_Mes_Constante!$EC$1</f>
        <v>0</v>
      </c>
      <c r="EL276" s="8">
        <f>+MINVU_Mes_Corriente!EL276*SALUD_Mes_Constante!$EC$1</f>
        <v>0</v>
      </c>
      <c r="EM276" s="8">
        <f>+MINVU_Mes_Corriente!EM276*SALUD_Mes_Constante!$EC$1</f>
        <v>0</v>
      </c>
      <c r="EN276" s="8">
        <f>+MINVU_Mes_Corriente!EN276*SALUD_Mes_Constante!$EC$1</f>
        <v>0</v>
      </c>
      <c r="EO276" s="9">
        <f t="shared" si="143"/>
        <v>0</v>
      </c>
      <c r="EP276" s="8">
        <f>+MINVU_Mes_Corriente!EP276*SALUD_Mes_Constante!$EP$1</f>
        <v>0</v>
      </c>
      <c r="EQ276" s="8">
        <f>+MINVU_Mes_Corriente!EQ276*SALUD_Mes_Constante!$EP$1</f>
        <v>0</v>
      </c>
      <c r="ER276" s="8">
        <f>+MINVU_Mes_Corriente!ER276*SALUD_Mes_Constante!$EP$1</f>
        <v>0</v>
      </c>
      <c r="ES276" s="8">
        <f>+MINVU_Mes_Corriente!ES276*SALUD_Mes_Constante!$EP$1</f>
        <v>0</v>
      </c>
      <c r="ET276" s="8">
        <f>+MINVU_Mes_Corriente!ET276*SALUD_Mes_Constante!$EP$1</f>
        <v>0</v>
      </c>
      <c r="EU276" s="8">
        <f>+MINVU_Mes_Corriente!EU276*SALUD_Mes_Constante!$EP$1</f>
        <v>0</v>
      </c>
      <c r="EV276" s="8">
        <f>+MINVU_Mes_Corriente!EV276*SALUD_Mes_Constante!$EP$1</f>
        <v>0</v>
      </c>
      <c r="EW276" s="8">
        <f>+MINVU_Mes_Corriente!EW276*SALUD_Mes_Constante!$EP$1</f>
        <v>0</v>
      </c>
      <c r="EX276" s="8">
        <f>+MINVU_Mes_Corriente!EX276*SALUD_Mes_Constante!$EP$1</f>
        <v>0</v>
      </c>
      <c r="EY276" s="8">
        <f>+MINVU_Mes_Corriente!EY276*SALUD_Mes_Constante!$EP$1</f>
        <v>0</v>
      </c>
      <c r="EZ276" s="8">
        <f>+MINVU_Mes_Corriente!EZ276*SALUD_Mes_Constante!$EP$1</f>
        <v>0</v>
      </c>
      <c r="FA276" s="8">
        <f>+MINVU_Mes_Corriente!FA276*SALUD_Mes_Constante!$EP$1</f>
        <v>0</v>
      </c>
      <c r="FB276" s="9">
        <f t="shared" si="144"/>
        <v>0</v>
      </c>
      <c r="FC276" s="8">
        <f>+MINVU_Mes_Corriente!FC276*SALUD_Mes_Constante!$FC$1</f>
        <v>0</v>
      </c>
      <c r="FD276" s="8">
        <f>+MINVU_Mes_Corriente!FD276*SALUD_Mes_Constante!$FC$1</f>
        <v>0</v>
      </c>
      <c r="FE276" s="8">
        <f>+MINVU_Mes_Corriente!FE276*SALUD_Mes_Constante!$FC$1</f>
        <v>0</v>
      </c>
      <c r="FF276" s="8">
        <f>+MINVU_Mes_Corriente!FF276*SALUD_Mes_Constante!$FC$1</f>
        <v>0</v>
      </c>
      <c r="FG276" s="8">
        <f>+MINVU_Mes_Corriente!FG276*SALUD_Mes_Constante!$FC$1</f>
        <v>0</v>
      </c>
      <c r="FH276" s="8">
        <f>+MINVU_Mes_Corriente!FH276*SALUD_Mes_Constante!$FC$1</f>
        <v>0</v>
      </c>
      <c r="FI276" s="8">
        <f>+MINVU_Mes_Corriente!FI276*SALUD_Mes_Constante!$FC$1</f>
        <v>0</v>
      </c>
      <c r="FJ276" s="8"/>
      <c r="FK276" s="8"/>
      <c r="FL276" s="8"/>
      <c r="FM276" s="8"/>
      <c r="FN276" s="8"/>
      <c r="FO276" s="9">
        <f t="shared" si="145"/>
        <v>0</v>
      </c>
    </row>
    <row r="277" spans="2:171" ht="14.25" customHeight="1" x14ac:dyDescent="0.3">
      <c r="B277" s="7" t="s">
        <v>54</v>
      </c>
      <c r="C277" s="8">
        <f>+MINVU_Mes_Corriente!C277*SALUD_Mes_Constante!$C$1</f>
        <v>0</v>
      </c>
      <c r="D277" s="8">
        <f>+MINVU_Mes_Corriente!D277*SALUD_Mes_Constante!$C$1</f>
        <v>0</v>
      </c>
      <c r="E277" s="8">
        <f>+MINVU_Mes_Corriente!E277*SALUD_Mes_Constante!$C$1</f>
        <v>0</v>
      </c>
      <c r="F277" s="8">
        <f>+MINVU_Mes_Corriente!F277*SALUD_Mes_Constante!$C$1</f>
        <v>0</v>
      </c>
      <c r="G277" s="8">
        <f>+MINVU_Mes_Corriente!G277*SALUD_Mes_Constante!$C$1</f>
        <v>0</v>
      </c>
      <c r="H277" s="8">
        <f>+MINVU_Mes_Corriente!H277*SALUD_Mes_Constante!$C$1</f>
        <v>0</v>
      </c>
      <c r="I277" s="8">
        <f>+MINVU_Mes_Corriente!I277*SALUD_Mes_Constante!$C$1</f>
        <v>0</v>
      </c>
      <c r="J277" s="8">
        <f>+MINVU_Mes_Corriente!J277*SALUD_Mes_Constante!$C$1</f>
        <v>0</v>
      </c>
      <c r="K277" s="8">
        <f>+MINVU_Mes_Corriente!K277*SALUD_Mes_Constante!$C$1</f>
        <v>0</v>
      </c>
      <c r="L277" s="8">
        <f>+MINVU_Mes_Corriente!L277*SALUD_Mes_Constante!$C$1</f>
        <v>0</v>
      </c>
      <c r="M277" s="8">
        <f>+MINVU_Mes_Corriente!M277*SALUD_Mes_Constante!$C$1</f>
        <v>0</v>
      </c>
      <c r="N277" s="8">
        <f>+MINVU_Mes_Corriente!N277*SALUD_Mes_Constante!$C$1</f>
        <v>0</v>
      </c>
      <c r="O277" s="9">
        <f t="shared" si="133"/>
        <v>0</v>
      </c>
      <c r="P277" s="8">
        <f>+MINVU_Mes_Corriente!P277*SALUD_Mes_Constante!$P$1</f>
        <v>0</v>
      </c>
      <c r="Q277" s="8">
        <f>+MINVU_Mes_Corriente!Q277*SALUD_Mes_Constante!$P$1</f>
        <v>0</v>
      </c>
      <c r="R277" s="8">
        <f>+MINVU_Mes_Corriente!R277*SALUD_Mes_Constante!$P$1</f>
        <v>0</v>
      </c>
      <c r="S277" s="8">
        <f>+MINVU_Mes_Corriente!S277*SALUD_Mes_Constante!$P$1</f>
        <v>0</v>
      </c>
      <c r="T277" s="8">
        <f>+MINVU_Mes_Corriente!T277*SALUD_Mes_Constante!$P$1</f>
        <v>0</v>
      </c>
      <c r="U277" s="8">
        <f>+MINVU_Mes_Corriente!U277*SALUD_Mes_Constante!$P$1</f>
        <v>0</v>
      </c>
      <c r="V277" s="8">
        <f>+MINVU_Mes_Corriente!V277*SALUD_Mes_Constante!$P$1</f>
        <v>0</v>
      </c>
      <c r="W277" s="8">
        <f>+MINVU_Mes_Corriente!W277*SALUD_Mes_Constante!$P$1</f>
        <v>0</v>
      </c>
      <c r="X277" s="8">
        <f>+MINVU_Mes_Corriente!X277*SALUD_Mes_Constante!$P$1</f>
        <v>0</v>
      </c>
      <c r="Y277" s="8">
        <f>+MINVU_Mes_Corriente!Y277*SALUD_Mes_Constante!$P$1</f>
        <v>0</v>
      </c>
      <c r="Z277" s="8">
        <f>+MINVU_Mes_Corriente!Z277*SALUD_Mes_Constante!$P$1</f>
        <v>0</v>
      </c>
      <c r="AA277" s="8">
        <f>+MINVU_Mes_Corriente!AA277*SALUD_Mes_Constante!$P$1</f>
        <v>0</v>
      </c>
      <c r="AB277" s="9">
        <f t="shared" si="134"/>
        <v>0</v>
      </c>
      <c r="AC277" s="8">
        <f>+MINVU_Mes_Corriente!AC277*SALUD_Mes_Constante!$AC$1</f>
        <v>0</v>
      </c>
      <c r="AD277" s="8">
        <f>+MINVU_Mes_Corriente!AD277*SALUD_Mes_Constante!$AC$1</f>
        <v>0</v>
      </c>
      <c r="AE277" s="8">
        <f>+MINVU_Mes_Corriente!AE277*SALUD_Mes_Constante!$AC$1</f>
        <v>0</v>
      </c>
      <c r="AF277" s="8">
        <f>+MINVU_Mes_Corriente!AF277*SALUD_Mes_Constante!$AC$1</f>
        <v>0</v>
      </c>
      <c r="AG277" s="8">
        <f>+MINVU_Mes_Corriente!AG277*SALUD_Mes_Constante!$AC$1</f>
        <v>0</v>
      </c>
      <c r="AH277" s="8">
        <f>+MINVU_Mes_Corriente!AH277*SALUD_Mes_Constante!$AC$1</f>
        <v>0</v>
      </c>
      <c r="AI277" s="8">
        <f>+MINVU_Mes_Corriente!AI277*SALUD_Mes_Constante!$AC$1</f>
        <v>0</v>
      </c>
      <c r="AJ277" s="8">
        <f>+MINVU_Mes_Corriente!AJ277*SALUD_Mes_Constante!$AC$1</f>
        <v>0</v>
      </c>
      <c r="AK277" s="8">
        <f>+MINVU_Mes_Corriente!AK277*SALUD_Mes_Constante!$AC$1</f>
        <v>0</v>
      </c>
      <c r="AL277" s="8">
        <f>+MINVU_Mes_Corriente!AL277*SALUD_Mes_Constante!$AC$1</f>
        <v>0</v>
      </c>
      <c r="AM277" s="8">
        <f>+MINVU_Mes_Corriente!AM277*SALUD_Mes_Constante!$AC$1</f>
        <v>0</v>
      </c>
      <c r="AN277" s="8">
        <f>+MINVU_Mes_Corriente!AN277*SALUD_Mes_Constante!$AC$1</f>
        <v>0</v>
      </c>
      <c r="AO277" s="9">
        <f t="shared" si="135"/>
        <v>0</v>
      </c>
      <c r="AP277" s="8">
        <f>+MINVU_Mes_Corriente!AP277*SALUD_Mes_Constante!$AP$1</f>
        <v>0</v>
      </c>
      <c r="AQ277" s="8">
        <f>+MINVU_Mes_Corriente!AQ277*SALUD_Mes_Constante!$AP$1</f>
        <v>0</v>
      </c>
      <c r="AR277" s="8">
        <f>+MINVU_Mes_Corriente!AR277*SALUD_Mes_Constante!$AP$1</f>
        <v>0</v>
      </c>
      <c r="AS277" s="8">
        <f>+MINVU_Mes_Corriente!AS277*SALUD_Mes_Constante!$AP$1</f>
        <v>0</v>
      </c>
      <c r="AT277" s="8">
        <f>+MINVU_Mes_Corriente!AT277*SALUD_Mes_Constante!$AP$1</f>
        <v>0</v>
      </c>
      <c r="AU277" s="8">
        <f>+MINVU_Mes_Corriente!AU277*SALUD_Mes_Constante!$AP$1</f>
        <v>0</v>
      </c>
      <c r="AV277" s="8">
        <f>+MINVU_Mes_Corriente!AV277*SALUD_Mes_Constante!$AP$1</f>
        <v>0</v>
      </c>
      <c r="AW277" s="8">
        <f>+MINVU_Mes_Corriente!AW277*SALUD_Mes_Constante!$AP$1</f>
        <v>0</v>
      </c>
      <c r="AX277" s="8">
        <f>+MINVU_Mes_Corriente!AX277*SALUD_Mes_Constante!$AP$1</f>
        <v>0</v>
      </c>
      <c r="AY277" s="8">
        <f>+MINVU_Mes_Corriente!AY277*SALUD_Mes_Constante!$AP$1</f>
        <v>0</v>
      </c>
      <c r="AZ277" s="8">
        <f>+MINVU_Mes_Corriente!AZ277*SALUD_Mes_Constante!$AP$1</f>
        <v>0</v>
      </c>
      <c r="BA277" s="8">
        <f>+MINVU_Mes_Corriente!BA277*SALUD_Mes_Constante!$AP$1</f>
        <v>0</v>
      </c>
      <c r="BB277" s="9">
        <f t="shared" si="136"/>
        <v>0</v>
      </c>
      <c r="BC277" s="8">
        <f>+MINVU_Mes_Corriente!BC277*SALUD_Mes_Constante!$BC$1</f>
        <v>0</v>
      </c>
      <c r="BD277" s="8">
        <f>+MINVU_Mes_Corriente!BD277*SALUD_Mes_Constante!$BC$1</f>
        <v>0</v>
      </c>
      <c r="BE277" s="8">
        <f>+MINVU_Mes_Corriente!BE277*SALUD_Mes_Constante!$BC$1</f>
        <v>0</v>
      </c>
      <c r="BF277" s="8">
        <f>+MINVU_Mes_Corriente!BF277*SALUD_Mes_Constante!$BC$1</f>
        <v>0</v>
      </c>
      <c r="BG277" s="8">
        <f>+MINVU_Mes_Corriente!BG277*SALUD_Mes_Constante!$BC$1</f>
        <v>0</v>
      </c>
      <c r="BH277" s="8">
        <f>+MINVU_Mes_Corriente!BH277*SALUD_Mes_Constante!$BC$1</f>
        <v>0</v>
      </c>
      <c r="BI277" s="8">
        <f>+MINVU_Mes_Corriente!BI277*SALUD_Mes_Constante!$BC$1</f>
        <v>0</v>
      </c>
      <c r="BJ277" s="8">
        <f>+MINVU_Mes_Corriente!BJ277*SALUD_Mes_Constante!$BC$1</f>
        <v>0</v>
      </c>
      <c r="BK277" s="8">
        <f>+MINVU_Mes_Corriente!BK277*SALUD_Mes_Constante!$BC$1</f>
        <v>0</v>
      </c>
      <c r="BL277" s="8">
        <f>+MINVU_Mes_Corriente!BL277*SALUD_Mes_Constante!$BC$1</f>
        <v>0</v>
      </c>
      <c r="BM277" s="8">
        <f>+MINVU_Mes_Corriente!BM277*SALUD_Mes_Constante!$BC$1</f>
        <v>0</v>
      </c>
      <c r="BN277" s="8">
        <f>+MINVU_Mes_Corriente!BN277*SALUD_Mes_Constante!$BC$1</f>
        <v>0</v>
      </c>
      <c r="BO277" s="9">
        <f t="shared" si="137"/>
        <v>0</v>
      </c>
      <c r="BP277" s="8">
        <f>+MINVU_Mes_Corriente!BP277*SALUD_Mes_Constante!$BP$1</f>
        <v>0</v>
      </c>
      <c r="BQ277" s="8">
        <f>+MINVU_Mes_Corriente!BQ277*SALUD_Mes_Constante!$BP$1</f>
        <v>0</v>
      </c>
      <c r="BR277" s="8">
        <f>+MINVU_Mes_Corriente!BR277*SALUD_Mes_Constante!$BP$1</f>
        <v>0</v>
      </c>
      <c r="BS277" s="8">
        <f>+MINVU_Mes_Corriente!BS277*SALUD_Mes_Constante!$BP$1</f>
        <v>0</v>
      </c>
      <c r="BT277" s="8">
        <f>+MINVU_Mes_Corriente!BT277*SALUD_Mes_Constante!$BP$1</f>
        <v>0</v>
      </c>
      <c r="BU277" s="8">
        <f>+MINVU_Mes_Corriente!BU277*SALUD_Mes_Constante!$BP$1</f>
        <v>0</v>
      </c>
      <c r="BV277" s="8">
        <f>+MINVU_Mes_Corriente!BV277*SALUD_Mes_Constante!$BP$1</f>
        <v>0</v>
      </c>
      <c r="BW277" s="8">
        <f>+MINVU_Mes_Corriente!BW277*SALUD_Mes_Constante!$BP$1</f>
        <v>0</v>
      </c>
      <c r="BX277" s="8">
        <f>+MINVU_Mes_Corriente!BX277*SALUD_Mes_Constante!$BP$1</f>
        <v>0</v>
      </c>
      <c r="BY277" s="8">
        <f>+MINVU_Mes_Corriente!BY277*SALUD_Mes_Constante!$BP$1</f>
        <v>0</v>
      </c>
      <c r="BZ277" s="8">
        <f>+MINVU_Mes_Corriente!BZ277*SALUD_Mes_Constante!$BP$1</f>
        <v>0</v>
      </c>
      <c r="CA277" s="8">
        <f>+MINVU_Mes_Corriente!CA277*SALUD_Mes_Constante!$BP$1</f>
        <v>0</v>
      </c>
      <c r="CB277" s="9">
        <f t="shared" si="138"/>
        <v>0</v>
      </c>
      <c r="CC277" s="8">
        <f>+MINVU_Mes_Corriente!CC277*SALUD_Mes_Constante!$CC$1</f>
        <v>0</v>
      </c>
      <c r="CD277" s="8">
        <f>+MINVU_Mes_Corriente!CD277*SALUD_Mes_Constante!$CC$1</f>
        <v>0</v>
      </c>
      <c r="CE277" s="8">
        <f>+MINVU_Mes_Corriente!CE277*SALUD_Mes_Constante!$CC$1</f>
        <v>0</v>
      </c>
      <c r="CF277" s="8">
        <f>+MINVU_Mes_Corriente!CF277*SALUD_Mes_Constante!$CC$1</f>
        <v>0</v>
      </c>
      <c r="CG277" s="8">
        <f>+MINVU_Mes_Corriente!CG277*SALUD_Mes_Constante!$CC$1</f>
        <v>0</v>
      </c>
      <c r="CH277" s="8">
        <f>+MINVU_Mes_Corriente!CH277*SALUD_Mes_Constante!$CC$1</f>
        <v>0</v>
      </c>
      <c r="CI277" s="8">
        <f>+MINVU_Mes_Corriente!CI277*SALUD_Mes_Constante!$CC$1</f>
        <v>0</v>
      </c>
      <c r="CJ277" s="8">
        <f>+MINVU_Mes_Corriente!CJ277*SALUD_Mes_Constante!$CC$1</f>
        <v>0</v>
      </c>
      <c r="CK277" s="8">
        <f>+MINVU_Mes_Corriente!CK277*SALUD_Mes_Constante!$CC$1</f>
        <v>0</v>
      </c>
      <c r="CL277" s="8">
        <f>+MINVU_Mes_Corriente!CL277*SALUD_Mes_Constante!$CC$1</f>
        <v>0</v>
      </c>
      <c r="CM277" s="8">
        <f>+MINVU_Mes_Corriente!CM277*SALUD_Mes_Constante!$CC$1</f>
        <v>0</v>
      </c>
      <c r="CN277" s="8">
        <f>+MINVU_Mes_Corriente!CN277*SALUD_Mes_Constante!$CC$1</f>
        <v>0</v>
      </c>
      <c r="CO277" s="9">
        <f t="shared" si="139"/>
        <v>0</v>
      </c>
      <c r="CP277" s="8">
        <f>+MINVU_Mes_Corriente!CP277*SALUD_Mes_Constante!$CP$1</f>
        <v>0</v>
      </c>
      <c r="CQ277" s="8">
        <f>+MINVU_Mes_Corriente!CQ277*SALUD_Mes_Constante!$CP$1</f>
        <v>0</v>
      </c>
      <c r="CR277" s="8">
        <f>+MINVU_Mes_Corriente!CR277*SALUD_Mes_Constante!$CP$1</f>
        <v>0</v>
      </c>
      <c r="CS277" s="8">
        <f>+MINVU_Mes_Corriente!CS277*SALUD_Mes_Constante!$CP$1</f>
        <v>0</v>
      </c>
      <c r="CT277" s="8">
        <f>+MINVU_Mes_Corriente!CT277*SALUD_Mes_Constante!$CP$1</f>
        <v>0</v>
      </c>
      <c r="CU277" s="8">
        <f>+MINVU_Mes_Corriente!CU277*SALUD_Mes_Constante!$CP$1</f>
        <v>0</v>
      </c>
      <c r="CV277" s="8">
        <f>+MINVU_Mes_Corriente!CV277*SALUD_Mes_Constante!$CP$1</f>
        <v>0</v>
      </c>
      <c r="CW277" s="8">
        <f>+MINVU_Mes_Corriente!CW277*SALUD_Mes_Constante!$CP$1</f>
        <v>0</v>
      </c>
      <c r="CX277" s="8">
        <f>+MINVU_Mes_Corriente!CX277*SALUD_Mes_Constante!$CP$1</f>
        <v>0</v>
      </c>
      <c r="CY277" s="8">
        <f>+MINVU_Mes_Corriente!CY277*SALUD_Mes_Constante!$CP$1</f>
        <v>0</v>
      </c>
      <c r="CZ277" s="8">
        <f>+MINVU_Mes_Corriente!CZ277*SALUD_Mes_Constante!$CP$1</f>
        <v>0</v>
      </c>
      <c r="DA277" s="8">
        <f>+MINVU_Mes_Corriente!DA277*SALUD_Mes_Constante!$CP$1</f>
        <v>0</v>
      </c>
      <c r="DB277" s="9">
        <f t="shared" si="140"/>
        <v>0</v>
      </c>
      <c r="DC277" s="8">
        <f>+MINVU_Mes_Corriente!DC277*SALUD_Mes_Constante!$DC$1</f>
        <v>0</v>
      </c>
      <c r="DD277" s="8">
        <f>+MINVU_Mes_Corriente!DD277*SALUD_Mes_Constante!$DC$1</f>
        <v>0</v>
      </c>
      <c r="DE277" s="8">
        <f>+MINVU_Mes_Corriente!DE277*SALUD_Mes_Constante!$DC$1</f>
        <v>0</v>
      </c>
      <c r="DF277" s="8">
        <f>+MINVU_Mes_Corriente!DF277*SALUD_Mes_Constante!$DC$1</f>
        <v>0</v>
      </c>
      <c r="DG277" s="8">
        <f>+MINVU_Mes_Corriente!DG277*SALUD_Mes_Constante!$DC$1</f>
        <v>0</v>
      </c>
      <c r="DH277" s="8">
        <f>+MINVU_Mes_Corriente!DH277*SALUD_Mes_Constante!$DC$1</f>
        <v>0</v>
      </c>
      <c r="DI277" s="8">
        <f>+MINVU_Mes_Corriente!DI277*SALUD_Mes_Constante!$DC$1</f>
        <v>0</v>
      </c>
      <c r="DJ277" s="8">
        <f>+MINVU_Mes_Corriente!DJ277*SALUD_Mes_Constante!$DC$1</f>
        <v>0</v>
      </c>
      <c r="DK277" s="8">
        <f>+MINVU_Mes_Corriente!DK277*SALUD_Mes_Constante!$DC$1</f>
        <v>0</v>
      </c>
      <c r="DL277" s="8">
        <f>+MINVU_Mes_Corriente!DL277*SALUD_Mes_Constante!$DC$1</f>
        <v>0</v>
      </c>
      <c r="DM277" s="8">
        <f>+MINVU_Mes_Corriente!DM277*SALUD_Mes_Constante!$DC$1</f>
        <v>0</v>
      </c>
      <c r="DN277" s="8">
        <f>+MINVU_Mes_Corriente!DN277*SALUD_Mes_Constante!$DC$1</f>
        <v>0</v>
      </c>
      <c r="DO277" s="9">
        <f t="shared" si="141"/>
        <v>0</v>
      </c>
      <c r="DP277" s="8">
        <f>+MINVU_Mes_Corriente!DP277*SALUD_Mes_Constante!$DP$1</f>
        <v>0</v>
      </c>
      <c r="DQ277" s="8">
        <f>+MINVU_Mes_Corriente!DQ277*SALUD_Mes_Constante!$DP$1</f>
        <v>0</v>
      </c>
      <c r="DR277" s="8">
        <f>+MINVU_Mes_Corriente!DR277*SALUD_Mes_Constante!$DP$1</f>
        <v>0</v>
      </c>
      <c r="DS277" s="8">
        <f>+MINVU_Mes_Corriente!DS277*SALUD_Mes_Constante!$DP$1</f>
        <v>0</v>
      </c>
      <c r="DT277" s="8">
        <f>+MINVU_Mes_Corriente!DT277*SALUD_Mes_Constante!$DP$1</f>
        <v>0</v>
      </c>
      <c r="DU277" s="8">
        <f>+MINVU_Mes_Corriente!DU277*SALUD_Mes_Constante!$DP$1</f>
        <v>0</v>
      </c>
      <c r="DV277" s="8">
        <f>+MINVU_Mes_Corriente!DV277*SALUD_Mes_Constante!$DP$1</f>
        <v>0</v>
      </c>
      <c r="DW277" s="8">
        <f>+MINVU_Mes_Corriente!DW277*SALUD_Mes_Constante!$DP$1</f>
        <v>0</v>
      </c>
      <c r="DX277" s="8">
        <f>+MINVU_Mes_Corriente!DX277*SALUD_Mes_Constante!$DP$1</f>
        <v>0</v>
      </c>
      <c r="DY277" s="8">
        <f>+MINVU_Mes_Corriente!DY277*SALUD_Mes_Constante!$DP$1</f>
        <v>0</v>
      </c>
      <c r="DZ277" s="8">
        <f>+MINVU_Mes_Corriente!DZ277*SALUD_Mes_Constante!$DP$1</f>
        <v>0</v>
      </c>
      <c r="EA277" s="8">
        <f>+MINVU_Mes_Corriente!EA277*SALUD_Mes_Constante!$DP$1</f>
        <v>0</v>
      </c>
      <c r="EB277" s="9">
        <f t="shared" si="142"/>
        <v>0</v>
      </c>
      <c r="EC277" s="8">
        <f>+MINVU_Mes_Corriente!EC277*SALUD_Mes_Constante!$EC$1</f>
        <v>0</v>
      </c>
      <c r="ED277" s="8">
        <f>+MINVU_Mes_Corriente!ED277*SALUD_Mes_Constante!$EC$1</f>
        <v>0</v>
      </c>
      <c r="EE277" s="8">
        <f>+MINVU_Mes_Corriente!EE277*SALUD_Mes_Constante!$EC$1</f>
        <v>0</v>
      </c>
      <c r="EF277" s="8">
        <f>+MINVU_Mes_Corriente!EF277*SALUD_Mes_Constante!$EC$1</f>
        <v>0</v>
      </c>
      <c r="EG277" s="8">
        <f>+MINVU_Mes_Corriente!EG277*SALUD_Mes_Constante!$EC$1</f>
        <v>0</v>
      </c>
      <c r="EH277" s="8">
        <f>+MINVU_Mes_Corriente!EH277*SALUD_Mes_Constante!$EC$1</f>
        <v>0</v>
      </c>
      <c r="EI277" s="8">
        <f>+MINVU_Mes_Corriente!EI277*SALUD_Mes_Constante!$EC$1</f>
        <v>0</v>
      </c>
      <c r="EJ277" s="8">
        <f>+MINVU_Mes_Corriente!EJ277*SALUD_Mes_Constante!$EC$1</f>
        <v>0</v>
      </c>
      <c r="EK277" s="8">
        <f>+MINVU_Mes_Corriente!EK277*SALUD_Mes_Constante!$EC$1</f>
        <v>0</v>
      </c>
      <c r="EL277" s="8">
        <f>+MINVU_Mes_Corriente!EL277*SALUD_Mes_Constante!$EC$1</f>
        <v>0</v>
      </c>
      <c r="EM277" s="8">
        <f>+MINVU_Mes_Corriente!EM277*SALUD_Mes_Constante!$EC$1</f>
        <v>0</v>
      </c>
      <c r="EN277" s="8">
        <f>+MINVU_Mes_Corriente!EN277*SALUD_Mes_Constante!$EC$1</f>
        <v>0</v>
      </c>
      <c r="EO277" s="9">
        <f t="shared" si="143"/>
        <v>0</v>
      </c>
      <c r="EP277" s="8">
        <f>+MINVU_Mes_Corriente!EP277*SALUD_Mes_Constante!$EP$1</f>
        <v>0</v>
      </c>
      <c r="EQ277" s="8">
        <f>+MINVU_Mes_Corriente!EQ277*SALUD_Mes_Constante!$EP$1</f>
        <v>0</v>
      </c>
      <c r="ER277" s="8">
        <f>+MINVU_Mes_Corriente!ER277*SALUD_Mes_Constante!$EP$1</f>
        <v>0</v>
      </c>
      <c r="ES277" s="8">
        <f>+MINVU_Mes_Corriente!ES277*SALUD_Mes_Constante!$EP$1</f>
        <v>0</v>
      </c>
      <c r="ET277" s="8">
        <f>+MINVU_Mes_Corriente!ET277*SALUD_Mes_Constante!$EP$1</f>
        <v>0</v>
      </c>
      <c r="EU277" s="8">
        <f>+MINVU_Mes_Corriente!EU277*SALUD_Mes_Constante!$EP$1</f>
        <v>0</v>
      </c>
      <c r="EV277" s="8">
        <f>+MINVU_Mes_Corriente!EV277*SALUD_Mes_Constante!$EP$1</f>
        <v>0</v>
      </c>
      <c r="EW277" s="8">
        <f>+MINVU_Mes_Corriente!EW277*SALUD_Mes_Constante!$EP$1</f>
        <v>0</v>
      </c>
      <c r="EX277" s="8">
        <f>+MINVU_Mes_Corriente!EX277*SALUD_Mes_Constante!$EP$1</f>
        <v>0</v>
      </c>
      <c r="EY277" s="8">
        <f>+MINVU_Mes_Corriente!EY277*SALUD_Mes_Constante!$EP$1</f>
        <v>0</v>
      </c>
      <c r="EZ277" s="8">
        <f>+MINVU_Mes_Corriente!EZ277*SALUD_Mes_Constante!$EP$1</f>
        <v>0</v>
      </c>
      <c r="FA277" s="8">
        <f>+MINVU_Mes_Corriente!FA277*SALUD_Mes_Constante!$EP$1</f>
        <v>0</v>
      </c>
      <c r="FB277" s="9">
        <f t="shared" si="144"/>
        <v>0</v>
      </c>
      <c r="FC277" s="8">
        <f>+MINVU_Mes_Corriente!FC277*SALUD_Mes_Constante!$FC$1</f>
        <v>0</v>
      </c>
      <c r="FD277" s="8">
        <f>+MINVU_Mes_Corriente!FD277*SALUD_Mes_Constante!$FC$1</f>
        <v>0</v>
      </c>
      <c r="FE277" s="8">
        <f>+MINVU_Mes_Corriente!FE277*SALUD_Mes_Constante!$FC$1</f>
        <v>0</v>
      </c>
      <c r="FF277" s="8">
        <f>+MINVU_Mes_Corriente!FF277*SALUD_Mes_Constante!$FC$1</f>
        <v>0</v>
      </c>
      <c r="FG277" s="8">
        <f>+MINVU_Mes_Corriente!FG277*SALUD_Mes_Constante!$FC$1</f>
        <v>0</v>
      </c>
      <c r="FH277" s="8">
        <f>+MINVU_Mes_Corriente!FH277*SALUD_Mes_Constante!$FC$1</f>
        <v>0</v>
      </c>
      <c r="FI277" s="8">
        <f>+MINVU_Mes_Corriente!FI277*SALUD_Mes_Constante!$FC$1</f>
        <v>0</v>
      </c>
      <c r="FJ277" s="8"/>
      <c r="FK277" s="8"/>
      <c r="FL277" s="8"/>
      <c r="FM277" s="8"/>
      <c r="FN277" s="8"/>
      <c r="FO277" s="9">
        <f t="shared" si="145"/>
        <v>0</v>
      </c>
    </row>
    <row r="278" spans="2:171" ht="14.25" customHeight="1" x14ac:dyDescent="0.3">
      <c r="B278" s="7" t="s">
        <v>55</v>
      </c>
      <c r="C278" s="8">
        <f>+MINVU_Mes_Corriente!C278*SALUD_Mes_Constante!$C$1</f>
        <v>0</v>
      </c>
      <c r="D278" s="8">
        <f>+MINVU_Mes_Corriente!D278*SALUD_Mes_Constante!$C$1</f>
        <v>0</v>
      </c>
      <c r="E278" s="8">
        <f>+MINVU_Mes_Corriente!E278*SALUD_Mes_Constante!$C$1</f>
        <v>0</v>
      </c>
      <c r="F278" s="8">
        <f>+MINVU_Mes_Corriente!F278*SALUD_Mes_Constante!$C$1</f>
        <v>0</v>
      </c>
      <c r="G278" s="8">
        <f>+MINVU_Mes_Corriente!G278*SALUD_Mes_Constante!$C$1</f>
        <v>0</v>
      </c>
      <c r="H278" s="8">
        <f>+MINVU_Mes_Corriente!H278*SALUD_Mes_Constante!$C$1</f>
        <v>0</v>
      </c>
      <c r="I278" s="8">
        <f>+MINVU_Mes_Corriente!I278*SALUD_Mes_Constante!$C$1</f>
        <v>0</v>
      </c>
      <c r="J278" s="8">
        <f>+MINVU_Mes_Corriente!J278*SALUD_Mes_Constante!$C$1</f>
        <v>0</v>
      </c>
      <c r="K278" s="8">
        <f>+MINVU_Mes_Corriente!K278*SALUD_Mes_Constante!$C$1</f>
        <v>0</v>
      </c>
      <c r="L278" s="8">
        <f>+MINVU_Mes_Corriente!L278*SALUD_Mes_Constante!$C$1</f>
        <v>0</v>
      </c>
      <c r="M278" s="8">
        <f>+MINVU_Mes_Corriente!M278*SALUD_Mes_Constante!$C$1</f>
        <v>0</v>
      </c>
      <c r="N278" s="8">
        <f>+MINVU_Mes_Corriente!N278*SALUD_Mes_Constante!$C$1</f>
        <v>0</v>
      </c>
      <c r="O278" s="9">
        <f t="shared" si="133"/>
        <v>0</v>
      </c>
      <c r="P278" s="8">
        <f>+MINVU_Mes_Corriente!P278*SALUD_Mes_Constante!$P$1</f>
        <v>0</v>
      </c>
      <c r="Q278" s="8">
        <f>+MINVU_Mes_Corriente!Q278*SALUD_Mes_Constante!$P$1</f>
        <v>0</v>
      </c>
      <c r="R278" s="8">
        <f>+MINVU_Mes_Corriente!R278*SALUD_Mes_Constante!$P$1</f>
        <v>0</v>
      </c>
      <c r="S278" s="8">
        <f>+MINVU_Mes_Corriente!S278*SALUD_Mes_Constante!$P$1</f>
        <v>0</v>
      </c>
      <c r="T278" s="8">
        <f>+MINVU_Mes_Corriente!T278*SALUD_Mes_Constante!$P$1</f>
        <v>0</v>
      </c>
      <c r="U278" s="8">
        <f>+MINVU_Mes_Corriente!U278*SALUD_Mes_Constante!$P$1</f>
        <v>0</v>
      </c>
      <c r="V278" s="8">
        <f>+MINVU_Mes_Corriente!V278*SALUD_Mes_Constante!$P$1</f>
        <v>0</v>
      </c>
      <c r="W278" s="8">
        <f>+MINVU_Mes_Corriente!W278*SALUD_Mes_Constante!$P$1</f>
        <v>0</v>
      </c>
      <c r="X278" s="8">
        <f>+MINVU_Mes_Corriente!X278*SALUD_Mes_Constante!$P$1</f>
        <v>0</v>
      </c>
      <c r="Y278" s="8">
        <f>+MINVU_Mes_Corriente!Y278*SALUD_Mes_Constante!$P$1</f>
        <v>0</v>
      </c>
      <c r="Z278" s="8">
        <f>+MINVU_Mes_Corriente!Z278*SALUD_Mes_Constante!$P$1</f>
        <v>0</v>
      </c>
      <c r="AA278" s="8">
        <f>+MINVU_Mes_Corriente!AA278*SALUD_Mes_Constante!$P$1</f>
        <v>0</v>
      </c>
      <c r="AB278" s="9">
        <f t="shared" si="134"/>
        <v>0</v>
      </c>
      <c r="AC278" s="8">
        <f>+MINVU_Mes_Corriente!AC278*SALUD_Mes_Constante!$AC$1</f>
        <v>0</v>
      </c>
      <c r="AD278" s="8">
        <f>+MINVU_Mes_Corriente!AD278*SALUD_Mes_Constante!$AC$1</f>
        <v>0</v>
      </c>
      <c r="AE278" s="8">
        <f>+MINVU_Mes_Corriente!AE278*SALUD_Mes_Constante!$AC$1</f>
        <v>0</v>
      </c>
      <c r="AF278" s="8">
        <f>+MINVU_Mes_Corriente!AF278*SALUD_Mes_Constante!$AC$1</f>
        <v>0</v>
      </c>
      <c r="AG278" s="8">
        <f>+MINVU_Mes_Corriente!AG278*SALUD_Mes_Constante!$AC$1</f>
        <v>0</v>
      </c>
      <c r="AH278" s="8">
        <f>+MINVU_Mes_Corriente!AH278*SALUD_Mes_Constante!$AC$1</f>
        <v>0</v>
      </c>
      <c r="AI278" s="8">
        <f>+MINVU_Mes_Corriente!AI278*SALUD_Mes_Constante!$AC$1</f>
        <v>0</v>
      </c>
      <c r="AJ278" s="8">
        <f>+MINVU_Mes_Corriente!AJ278*SALUD_Mes_Constante!$AC$1</f>
        <v>0</v>
      </c>
      <c r="AK278" s="8">
        <f>+MINVU_Mes_Corriente!AK278*SALUD_Mes_Constante!$AC$1</f>
        <v>0</v>
      </c>
      <c r="AL278" s="8">
        <f>+MINVU_Mes_Corriente!AL278*SALUD_Mes_Constante!$AC$1</f>
        <v>0</v>
      </c>
      <c r="AM278" s="8">
        <f>+MINVU_Mes_Corriente!AM278*SALUD_Mes_Constante!$AC$1</f>
        <v>0</v>
      </c>
      <c r="AN278" s="8">
        <f>+MINVU_Mes_Corriente!AN278*SALUD_Mes_Constante!$AC$1</f>
        <v>0</v>
      </c>
      <c r="AO278" s="9">
        <f t="shared" si="135"/>
        <v>0</v>
      </c>
      <c r="AP278" s="8">
        <f>+MINVU_Mes_Corriente!AP278*SALUD_Mes_Constante!$AP$1</f>
        <v>0</v>
      </c>
      <c r="AQ278" s="8">
        <f>+MINVU_Mes_Corriente!AQ278*SALUD_Mes_Constante!$AP$1</f>
        <v>0</v>
      </c>
      <c r="AR278" s="8">
        <f>+MINVU_Mes_Corriente!AR278*SALUD_Mes_Constante!$AP$1</f>
        <v>0</v>
      </c>
      <c r="AS278" s="8">
        <f>+MINVU_Mes_Corriente!AS278*SALUD_Mes_Constante!$AP$1</f>
        <v>0</v>
      </c>
      <c r="AT278" s="8">
        <f>+MINVU_Mes_Corriente!AT278*SALUD_Mes_Constante!$AP$1</f>
        <v>0</v>
      </c>
      <c r="AU278" s="8">
        <f>+MINVU_Mes_Corriente!AU278*SALUD_Mes_Constante!$AP$1</f>
        <v>0</v>
      </c>
      <c r="AV278" s="8">
        <f>+MINVU_Mes_Corriente!AV278*SALUD_Mes_Constante!$AP$1</f>
        <v>0</v>
      </c>
      <c r="AW278" s="8">
        <f>+MINVU_Mes_Corriente!AW278*SALUD_Mes_Constante!$AP$1</f>
        <v>0</v>
      </c>
      <c r="AX278" s="8">
        <f>+MINVU_Mes_Corriente!AX278*SALUD_Mes_Constante!$AP$1</f>
        <v>0</v>
      </c>
      <c r="AY278" s="8">
        <f>+MINVU_Mes_Corriente!AY278*SALUD_Mes_Constante!$AP$1</f>
        <v>0</v>
      </c>
      <c r="AZ278" s="8">
        <f>+MINVU_Mes_Corriente!AZ278*SALUD_Mes_Constante!$AP$1</f>
        <v>0</v>
      </c>
      <c r="BA278" s="8">
        <f>+MINVU_Mes_Corriente!BA278*SALUD_Mes_Constante!$AP$1</f>
        <v>0</v>
      </c>
      <c r="BB278" s="9">
        <f t="shared" si="136"/>
        <v>0</v>
      </c>
      <c r="BC278" s="8">
        <f>+MINVU_Mes_Corriente!BC278*SALUD_Mes_Constante!$BC$1</f>
        <v>0</v>
      </c>
      <c r="BD278" s="8">
        <f>+MINVU_Mes_Corriente!BD278*SALUD_Mes_Constante!$BC$1</f>
        <v>0</v>
      </c>
      <c r="BE278" s="8">
        <f>+MINVU_Mes_Corriente!BE278*SALUD_Mes_Constante!$BC$1</f>
        <v>0</v>
      </c>
      <c r="BF278" s="8">
        <f>+MINVU_Mes_Corriente!BF278*SALUD_Mes_Constante!$BC$1</f>
        <v>0</v>
      </c>
      <c r="BG278" s="8">
        <f>+MINVU_Mes_Corriente!BG278*SALUD_Mes_Constante!$BC$1</f>
        <v>0</v>
      </c>
      <c r="BH278" s="8">
        <f>+MINVU_Mes_Corriente!BH278*SALUD_Mes_Constante!$BC$1</f>
        <v>0</v>
      </c>
      <c r="BI278" s="8">
        <f>+MINVU_Mes_Corriente!BI278*SALUD_Mes_Constante!$BC$1</f>
        <v>0</v>
      </c>
      <c r="BJ278" s="8">
        <f>+MINVU_Mes_Corriente!BJ278*SALUD_Mes_Constante!$BC$1</f>
        <v>0</v>
      </c>
      <c r="BK278" s="8">
        <f>+MINVU_Mes_Corriente!BK278*SALUD_Mes_Constante!$BC$1</f>
        <v>0</v>
      </c>
      <c r="BL278" s="8">
        <f>+MINVU_Mes_Corriente!BL278*SALUD_Mes_Constante!$BC$1</f>
        <v>0</v>
      </c>
      <c r="BM278" s="8">
        <f>+MINVU_Mes_Corriente!BM278*SALUD_Mes_Constante!$BC$1</f>
        <v>0</v>
      </c>
      <c r="BN278" s="8">
        <f>+MINVU_Mes_Corriente!BN278*SALUD_Mes_Constante!$BC$1</f>
        <v>0</v>
      </c>
      <c r="BO278" s="9">
        <f t="shared" si="137"/>
        <v>0</v>
      </c>
      <c r="BP278" s="8">
        <f>+MINVU_Mes_Corriente!BP278*SALUD_Mes_Constante!$BP$1</f>
        <v>0</v>
      </c>
      <c r="BQ278" s="8">
        <f>+MINVU_Mes_Corriente!BQ278*SALUD_Mes_Constante!$BP$1</f>
        <v>0</v>
      </c>
      <c r="BR278" s="8">
        <f>+MINVU_Mes_Corriente!BR278*SALUD_Mes_Constante!$BP$1</f>
        <v>0</v>
      </c>
      <c r="BS278" s="8">
        <f>+MINVU_Mes_Corriente!BS278*SALUD_Mes_Constante!$BP$1</f>
        <v>0</v>
      </c>
      <c r="BT278" s="8">
        <f>+MINVU_Mes_Corriente!BT278*SALUD_Mes_Constante!$BP$1</f>
        <v>0</v>
      </c>
      <c r="BU278" s="8">
        <f>+MINVU_Mes_Corriente!BU278*SALUD_Mes_Constante!$BP$1</f>
        <v>0</v>
      </c>
      <c r="BV278" s="8">
        <f>+MINVU_Mes_Corriente!BV278*SALUD_Mes_Constante!$BP$1</f>
        <v>0</v>
      </c>
      <c r="BW278" s="8">
        <f>+MINVU_Mes_Corriente!BW278*SALUD_Mes_Constante!$BP$1</f>
        <v>0</v>
      </c>
      <c r="BX278" s="8">
        <f>+MINVU_Mes_Corriente!BX278*SALUD_Mes_Constante!$BP$1</f>
        <v>0</v>
      </c>
      <c r="BY278" s="8">
        <f>+MINVU_Mes_Corriente!BY278*SALUD_Mes_Constante!$BP$1</f>
        <v>0</v>
      </c>
      <c r="BZ278" s="8">
        <f>+MINVU_Mes_Corriente!BZ278*SALUD_Mes_Constante!$BP$1</f>
        <v>0</v>
      </c>
      <c r="CA278" s="8">
        <f>+MINVU_Mes_Corriente!CA278*SALUD_Mes_Constante!$BP$1</f>
        <v>0</v>
      </c>
      <c r="CB278" s="9">
        <f t="shared" si="138"/>
        <v>0</v>
      </c>
      <c r="CC278" s="8">
        <f>+MINVU_Mes_Corriente!CC278*SALUD_Mes_Constante!$CC$1</f>
        <v>0</v>
      </c>
      <c r="CD278" s="8">
        <f>+MINVU_Mes_Corriente!CD278*SALUD_Mes_Constante!$CC$1</f>
        <v>0</v>
      </c>
      <c r="CE278" s="8">
        <f>+MINVU_Mes_Corriente!CE278*SALUD_Mes_Constante!$CC$1</f>
        <v>0</v>
      </c>
      <c r="CF278" s="8">
        <f>+MINVU_Mes_Corriente!CF278*SALUD_Mes_Constante!$CC$1</f>
        <v>0</v>
      </c>
      <c r="CG278" s="8">
        <f>+MINVU_Mes_Corriente!CG278*SALUD_Mes_Constante!$CC$1</f>
        <v>0</v>
      </c>
      <c r="CH278" s="8">
        <f>+MINVU_Mes_Corriente!CH278*SALUD_Mes_Constante!$CC$1</f>
        <v>0</v>
      </c>
      <c r="CI278" s="8">
        <f>+MINVU_Mes_Corriente!CI278*SALUD_Mes_Constante!$CC$1</f>
        <v>0</v>
      </c>
      <c r="CJ278" s="8">
        <f>+MINVU_Mes_Corriente!CJ278*SALUD_Mes_Constante!$CC$1</f>
        <v>0</v>
      </c>
      <c r="CK278" s="8">
        <f>+MINVU_Mes_Corriente!CK278*SALUD_Mes_Constante!$CC$1</f>
        <v>0</v>
      </c>
      <c r="CL278" s="8">
        <f>+MINVU_Mes_Corriente!CL278*SALUD_Mes_Constante!$CC$1</f>
        <v>0</v>
      </c>
      <c r="CM278" s="8">
        <f>+MINVU_Mes_Corriente!CM278*SALUD_Mes_Constante!$CC$1</f>
        <v>0</v>
      </c>
      <c r="CN278" s="8">
        <f>+MINVU_Mes_Corriente!CN278*SALUD_Mes_Constante!$CC$1</f>
        <v>0</v>
      </c>
      <c r="CO278" s="9">
        <f t="shared" si="139"/>
        <v>0</v>
      </c>
      <c r="CP278" s="8">
        <f>+MINVU_Mes_Corriente!CP278*SALUD_Mes_Constante!$CP$1</f>
        <v>0</v>
      </c>
      <c r="CQ278" s="8">
        <f>+MINVU_Mes_Corriente!CQ278*SALUD_Mes_Constante!$CP$1</f>
        <v>0</v>
      </c>
      <c r="CR278" s="8">
        <f>+MINVU_Mes_Corriente!CR278*SALUD_Mes_Constante!$CP$1</f>
        <v>0</v>
      </c>
      <c r="CS278" s="8">
        <f>+MINVU_Mes_Corriente!CS278*SALUD_Mes_Constante!$CP$1</f>
        <v>0</v>
      </c>
      <c r="CT278" s="8">
        <f>+MINVU_Mes_Corriente!CT278*SALUD_Mes_Constante!$CP$1</f>
        <v>0</v>
      </c>
      <c r="CU278" s="8">
        <f>+MINVU_Mes_Corriente!CU278*SALUD_Mes_Constante!$CP$1</f>
        <v>0</v>
      </c>
      <c r="CV278" s="8">
        <f>+MINVU_Mes_Corriente!CV278*SALUD_Mes_Constante!$CP$1</f>
        <v>0</v>
      </c>
      <c r="CW278" s="8">
        <f>+MINVU_Mes_Corriente!CW278*SALUD_Mes_Constante!$CP$1</f>
        <v>0</v>
      </c>
      <c r="CX278" s="8">
        <f>+MINVU_Mes_Corriente!CX278*SALUD_Mes_Constante!$CP$1</f>
        <v>0</v>
      </c>
      <c r="CY278" s="8">
        <f>+MINVU_Mes_Corriente!CY278*SALUD_Mes_Constante!$CP$1</f>
        <v>0</v>
      </c>
      <c r="CZ278" s="8">
        <f>+MINVU_Mes_Corriente!CZ278*SALUD_Mes_Constante!$CP$1</f>
        <v>0</v>
      </c>
      <c r="DA278" s="8">
        <f>+MINVU_Mes_Corriente!DA278*SALUD_Mes_Constante!$CP$1</f>
        <v>0</v>
      </c>
      <c r="DB278" s="9">
        <f t="shared" si="140"/>
        <v>0</v>
      </c>
      <c r="DC278" s="8">
        <f>+MINVU_Mes_Corriente!DC278*SALUD_Mes_Constante!$DC$1</f>
        <v>0</v>
      </c>
      <c r="DD278" s="8">
        <f>+MINVU_Mes_Corriente!DD278*SALUD_Mes_Constante!$DC$1</f>
        <v>0</v>
      </c>
      <c r="DE278" s="8">
        <f>+MINVU_Mes_Corriente!DE278*SALUD_Mes_Constante!$DC$1</f>
        <v>0</v>
      </c>
      <c r="DF278" s="8">
        <f>+MINVU_Mes_Corriente!DF278*SALUD_Mes_Constante!$DC$1</f>
        <v>0</v>
      </c>
      <c r="DG278" s="8">
        <f>+MINVU_Mes_Corriente!DG278*SALUD_Mes_Constante!$DC$1</f>
        <v>0</v>
      </c>
      <c r="DH278" s="8">
        <f>+MINVU_Mes_Corriente!DH278*SALUD_Mes_Constante!$DC$1</f>
        <v>0</v>
      </c>
      <c r="DI278" s="8">
        <f>+MINVU_Mes_Corriente!DI278*SALUD_Mes_Constante!$DC$1</f>
        <v>0</v>
      </c>
      <c r="DJ278" s="8">
        <f>+MINVU_Mes_Corriente!DJ278*SALUD_Mes_Constante!$DC$1</f>
        <v>0</v>
      </c>
      <c r="DK278" s="8">
        <f>+MINVU_Mes_Corriente!DK278*SALUD_Mes_Constante!$DC$1</f>
        <v>0</v>
      </c>
      <c r="DL278" s="8">
        <f>+MINVU_Mes_Corriente!DL278*SALUD_Mes_Constante!$DC$1</f>
        <v>0</v>
      </c>
      <c r="DM278" s="8">
        <f>+MINVU_Mes_Corriente!DM278*SALUD_Mes_Constante!$DC$1</f>
        <v>0</v>
      </c>
      <c r="DN278" s="8">
        <f>+MINVU_Mes_Corriente!DN278*SALUD_Mes_Constante!$DC$1</f>
        <v>0</v>
      </c>
      <c r="DO278" s="9">
        <f t="shared" si="141"/>
        <v>0</v>
      </c>
      <c r="DP278" s="8">
        <f>+MINVU_Mes_Corriente!DP278*SALUD_Mes_Constante!$DP$1</f>
        <v>0</v>
      </c>
      <c r="DQ278" s="8">
        <f>+MINVU_Mes_Corriente!DQ278*SALUD_Mes_Constante!$DP$1</f>
        <v>0</v>
      </c>
      <c r="DR278" s="8">
        <f>+MINVU_Mes_Corriente!DR278*SALUD_Mes_Constante!$DP$1</f>
        <v>0</v>
      </c>
      <c r="DS278" s="8">
        <f>+MINVU_Mes_Corriente!DS278*SALUD_Mes_Constante!$DP$1</f>
        <v>0</v>
      </c>
      <c r="DT278" s="8">
        <f>+MINVU_Mes_Corriente!DT278*SALUD_Mes_Constante!$DP$1</f>
        <v>0</v>
      </c>
      <c r="DU278" s="8">
        <f>+MINVU_Mes_Corriente!DU278*SALUD_Mes_Constante!$DP$1</f>
        <v>0</v>
      </c>
      <c r="DV278" s="8">
        <f>+MINVU_Mes_Corriente!DV278*SALUD_Mes_Constante!$DP$1</f>
        <v>0</v>
      </c>
      <c r="DW278" s="8">
        <f>+MINVU_Mes_Corriente!DW278*SALUD_Mes_Constante!$DP$1</f>
        <v>0</v>
      </c>
      <c r="DX278" s="8">
        <f>+MINVU_Mes_Corriente!DX278*SALUD_Mes_Constante!$DP$1</f>
        <v>0</v>
      </c>
      <c r="DY278" s="8">
        <f>+MINVU_Mes_Corriente!DY278*SALUD_Mes_Constante!$DP$1</f>
        <v>0</v>
      </c>
      <c r="DZ278" s="8">
        <f>+MINVU_Mes_Corriente!DZ278*SALUD_Mes_Constante!$DP$1</f>
        <v>0</v>
      </c>
      <c r="EA278" s="8">
        <f>+MINVU_Mes_Corriente!EA278*SALUD_Mes_Constante!$DP$1</f>
        <v>0</v>
      </c>
      <c r="EB278" s="9">
        <f t="shared" si="142"/>
        <v>0</v>
      </c>
      <c r="EC278" s="8">
        <f>+MINVU_Mes_Corriente!EC278*SALUD_Mes_Constante!$EC$1</f>
        <v>0</v>
      </c>
      <c r="ED278" s="8">
        <f>+MINVU_Mes_Corriente!ED278*SALUD_Mes_Constante!$EC$1</f>
        <v>0</v>
      </c>
      <c r="EE278" s="8">
        <f>+MINVU_Mes_Corriente!EE278*SALUD_Mes_Constante!$EC$1</f>
        <v>0</v>
      </c>
      <c r="EF278" s="8">
        <f>+MINVU_Mes_Corriente!EF278*SALUD_Mes_Constante!$EC$1</f>
        <v>0</v>
      </c>
      <c r="EG278" s="8">
        <f>+MINVU_Mes_Corriente!EG278*SALUD_Mes_Constante!$EC$1</f>
        <v>0</v>
      </c>
      <c r="EH278" s="8">
        <f>+MINVU_Mes_Corriente!EH278*SALUD_Mes_Constante!$EC$1</f>
        <v>0</v>
      </c>
      <c r="EI278" s="8">
        <f>+MINVU_Mes_Corriente!EI278*SALUD_Mes_Constante!$EC$1</f>
        <v>0</v>
      </c>
      <c r="EJ278" s="8">
        <f>+MINVU_Mes_Corriente!EJ278*SALUD_Mes_Constante!$EC$1</f>
        <v>0</v>
      </c>
      <c r="EK278" s="8">
        <f>+MINVU_Mes_Corriente!EK278*SALUD_Mes_Constante!$EC$1</f>
        <v>0</v>
      </c>
      <c r="EL278" s="8">
        <f>+MINVU_Mes_Corriente!EL278*SALUD_Mes_Constante!$EC$1</f>
        <v>0</v>
      </c>
      <c r="EM278" s="8">
        <f>+MINVU_Mes_Corriente!EM278*SALUD_Mes_Constante!$EC$1</f>
        <v>0</v>
      </c>
      <c r="EN278" s="8">
        <f>+MINVU_Mes_Corriente!EN278*SALUD_Mes_Constante!$EC$1</f>
        <v>0</v>
      </c>
      <c r="EO278" s="9">
        <f t="shared" si="143"/>
        <v>0</v>
      </c>
      <c r="EP278" s="8">
        <f>+MINVU_Mes_Corriente!EP278*SALUD_Mes_Constante!$EP$1</f>
        <v>0</v>
      </c>
      <c r="EQ278" s="8">
        <f>+MINVU_Mes_Corriente!EQ278*SALUD_Mes_Constante!$EP$1</f>
        <v>0</v>
      </c>
      <c r="ER278" s="8">
        <f>+MINVU_Mes_Corriente!ER278*SALUD_Mes_Constante!$EP$1</f>
        <v>0</v>
      </c>
      <c r="ES278" s="8">
        <f>+MINVU_Mes_Corriente!ES278*SALUD_Mes_Constante!$EP$1</f>
        <v>0</v>
      </c>
      <c r="ET278" s="8">
        <f>+MINVU_Mes_Corriente!ET278*SALUD_Mes_Constante!$EP$1</f>
        <v>0</v>
      </c>
      <c r="EU278" s="8">
        <f>+MINVU_Mes_Corriente!EU278*SALUD_Mes_Constante!$EP$1</f>
        <v>0</v>
      </c>
      <c r="EV278" s="8">
        <f>+MINVU_Mes_Corriente!EV278*SALUD_Mes_Constante!$EP$1</f>
        <v>0</v>
      </c>
      <c r="EW278" s="8">
        <f>+MINVU_Mes_Corriente!EW278*SALUD_Mes_Constante!$EP$1</f>
        <v>0</v>
      </c>
      <c r="EX278" s="8">
        <f>+MINVU_Mes_Corriente!EX278*SALUD_Mes_Constante!$EP$1</f>
        <v>0</v>
      </c>
      <c r="EY278" s="8">
        <f>+MINVU_Mes_Corriente!EY278*SALUD_Mes_Constante!$EP$1</f>
        <v>0</v>
      </c>
      <c r="EZ278" s="8">
        <f>+MINVU_Mes_Corriente!EZ278*SALUD_Mes_Constante!$EP$1</f>
        <v>0</v>
      </c>
      <c r="FA278" s="8">
        <f>+MINVU_Mes_Corriente!FA278*SALUD_Mes_Constante!$EP$1</f>
        <v>0</v>
      </c>
      <c r="FB278" s="9">
        <f t="shared" si="144"/>
        <v>0</v>
      </c>
      <c r="FC278" s="8">
        <f>+MINVU_Mes_Corriente!FC278*SALUD_Mes_Constante!$FC$1</f>
        <v>0</v>
      </c>
      <c r="FD278" s="8">
        <f>+MINVU_Mes_Corriente!FD278*SALUD_Mes_Constante!$FC$1</f>
        <v>0</v>
      </c>
      <c r="FE278" s="8">
        <f>+MINVU_Mes_Corriente!FE278*SALUD_Mes_Constante!$FC$1</f>
        <v>0</v>
      </c>
      <c r="FF278" s="8">
        <f>+MINVU_Mes_Corriente!FF278*SALUD_Mes_Constante!$FC$1</f>
        <v>0</v>
      </c>
      <c r="FG278" s="8">
        <f>+MINVU_Mes_Corriente!FG278*SALUD_Mes_Constante!$FC$1</f>
        <v>0</v>
      </c>
      <c r="FH278" s="8">
        <f>+MINVU_Mes_Corriente!FH278*SALUD_Mes_Constante!$FC$1</f>
        <v>0</v>
      </c>
      <c r="FI278" s="8">
        <f>+MINVU_Mes_Corriente!FI278*SALUD_Mes_Constante!$FC$1</f>
        <v>0</v>
      </c>
      <c r="FJ278" s="8"/>
      <c r="FK278" s="8"/>
      <c r="FL278" s="8"/>
      <c r="FM278" s="8"/>
      <c r="FN278" s="8"/>
      <c r="FO278" s="9">
        <f t="shared" si="145"/>
        <v>0</v>
      </c>
    </row>
    <row r="279" spans="2:171" ht="14.25" customHeight="1" x14ac:dyDescent="0.3">
      <c r="B279" s="7" t="s">
        <v>56</v>
      </c>
      <c r="C279" s="8">
        <f>+MINVU_Mes_Corriente!C279*SALUD_Mes_Constante!$C$1</f>
        <v>0</v>
      </c>
      <c r="D279" s="8">
        <f>+MINVU_Mes_Corriente!D279*SALUD_Mes_Constante!$C$1</f>
        <v>0</v>
      </c>
      <c r="E279" s="8">
        <f>+MINVU_Mes_Corriente!E279*SALUD_Mes_Constante!$C$1</f>
        <v>0</v>
      </c>
      <c r="F279" s="8">
        <f>+MINVU_Mes_Corriente!F279*SALUD_Mes_Constante!$C$1</f>
        <v>0</v>
      </c>
      <c r="G279" s="8">
        <f>+MINVU_Mes_Corriente!G279*SALUD_Mes_Constante!$C$1</f>
        <v>0</v>
      </c>
      <c r="H279" s="8">
        <f>+MINVU_Mes_Corriente!H279*SALUD_Mes_Constante!$C$1</f>
        <v>0</v>
      </c>
      <c r="I279" s="8">
        <f>+MINVU_Mes_Corriente!I279*SALUD_Mes_Constante!$C$1</f>
        <v>0</v>
      </c>
      <c r="J279" s="8">
        <f>+MINVU_Mes_Corriente!J279*SALUD_Mes_Constante!$C$1</f>
        <v>0</v>
      </c>
      <c r="K279" s="8">
        <f>+MINVU_Mes_Corriente!K279*SALUD_Mes_Constante!$C$1</f>
        <v>0</v>
      </c>
      <c r="L279" s="8">
        <f>+MINVU_Mes_Corriente!L279*SALUD_Mes_Constante!$C$1</f>
        <v>0</v>
      </c>
      <c r="M279" s="8">
        <f>+MINVU_Mes_Corriente!M279*SALUD_Mes_Constante!$C$1</f>
        <v>0</v>
      </c>
      <c r="N279" s="8">
        <f>+MINVU_Mes_Corriente!N279*SALUD_Mes_Constante!$C$1</f>
        <v>0</v>
      </c>
      <c r="O279" s="9">
        <f t="shared" si="133"/>
        <v>0</v>
      </c>
      <c r="P279" s="8">
        <f>+MINVU_Mes_Corriente!P279*SALUD_Mes_Constante!$P$1</f>
        <v>0</v>
      </c>
      <c r="Q279" s="8">
        <f>+MINVU_Mes_Corriente!Q279*SALUD_Mes_Constante!$P$1</f>
        <v>0</v>
      </c>
      <c r="R279" s="8">
        <f>+MINVU_Mes_Corriente!R279*SALUD_Mes_Constante!$P$1</f>
        <v>0</v>
      </c>
      <c r="S279" s="8">
        <f>+MINVU_Mes_Corriente!S279*SALUD_Mes_Constante!$P$1</f>
        <v>0</v>
      </c>
      <c r="T279" s="8">
        <f>+MINVU_Mes_Corriente!T279*SALUD_Mes_Constante!$P$1</f>
        <v>0</v>
      </c>
      <c r="U279" s="8">
        <f>+MINVU_Mes_Corriente!U279*SALUD_Mes_Constante!$P$1</f>
        <v>0</v>
      </c>
      <c r="V279" s="8">
        <f>+MINVU_Mes_Corriente!V279*SALUD_Mes_Constante!$P$1</f>
        <v>0</v>
      </c>
      <c r="W279" s="8">
        <f>+MINVU_Mes_Corriente!W279*SALUD_Mes_Constante!$P$1</f>
        <v>0</v>
      </c>
      <c r="X279" s="8">
        <f>+MINVU_Mes_Corriente!X279*SALUD_Mes_Constante!$P$1</f>
        <v>0</v>
      </c>
      <c r="Y279" s="8">
        <f>+MINVU_Mes_Corriente!Y279*SALUD_Mes_Constante!$P$1</f>
        <v>0</v>
      </c>
      <c r="Z279" s="8">
        <f>+MINVU_Mes_Corriente!Z279*SALUD_Mes_Constante!$P$1</f>
        <v>0</v>
      </c>
      <c r="AA279" s="8">
        <f>+MINVU_Mes_Corriente!AA279*SALUD_Mes_Constante!$P$1</f>
        <v>0</v>
      </c>
      <c r="AB279" s="9">
        <f t="shared" si="134"/>
        <v>0</v>
      </c>
      <c r="AC279" s="8">
        <f>+MINVU_Mes_Corriente!AC279*SALUD_Mes_Constante!$AC$1</f>
        <v>0</v>
      </c>
      <c r="AD279" s="8">
        <f>+MINVU_Mes_Corriente!AD279*SALUD_Mes_Constante!$AC$1</f>
        <v>0</v>
      </c>
      <c r="AE279" s="8">
        <f>+MINVU_Mes_Corriente!AE279*SALUD_Mes_Constante!$AC$1</f>
        <v>0</v>
      </c>
      <c r="AF279" s="8">
        <f>+MINVU_Mes_Corriente!AF279*SALUD_Mes_Constante!$AC$1</f>
        <v>0</v>
      </c>
      <c r="AG279" s="8">
        <f>+MINVU_Mes_Corriente!AG279*SALUD_Mes_Constante!$AC$1</f>
        <v>0</v>
      </c>
      <c r="AH279" s="8">
        <f>+MINVU_Mes_Corriente!AH279*SALUD_Mes_Constante!$AC$1</f>
        <v>0</v>
      </c>
      <c r="AI279" s="8">
        <f>+MINVU_Mes_Corriente!AI279*SALUD_Mes_Constante!$AC$1</f>
        <v>0</v>
      </c>
      <c r="AJ279" s="8">
        <f>+MINVU_Mes_Corriente!AJ279*SALUD_Mes_Constante!$AC$1</f>
        <v>0</v>
      </c>
      <c r="AK279" s="8">
        <f>+MINVU_Mes_Corriente!AK279*SALUD_Mes_Constante!$AC$1</f>
        <v>0</v>
      </c>
      <c r="AL279" s="8">
        <f>+MINVU_Mes_Corriente!AL279*SALUD_Mes_Constante!$AC$1</f>
        <v>0</v>
      </c>
      <c r="AM279" s="8">
        <f>+MINVU_Mes_Corriente!AM279*SALUD_Mes_Constante!$AC$1</f>
        <v>0</v>
      </c>
      <c r="AN279" s="8">
        <f>+MINVU_Mes_Corriente!AN279*SALUD_Mes_Constante!$AC$1</f>
        <v>0</v>
      </c>
      <c r="AO279" s="9">
        <f t="shared" si="135"/>
        <v>0</v>
      </c>
      <c r="AP279" s="8">
        <f>+MINVU_Mes_Corriente!AP279*SALUD_Mes_Constante!$AP$1</f>
        <v>0</v>
      </c>
      <c r="AQ279" s="8">
        <f>+MINVU_Mes_Corriente!AQ279*SALUD_Mes_Constante!$AP$1</f>
        <v>0</v>
      </c>
      <c r="AR279" s="8">
        <f>+MINVU_Mes_Corriente!AR279*SALUD_Mes_Constante!$AP$1</f>
        <v>0</v>
      </c>
      <c r="AS279" s="8">
        <f>+MINVU_Mes_Corriente!AS279*SALUD_Mes_Constante!$AP$1</f>
        <v>0</v>
      </c>
      <c r="AT279" s="8">
        <f>+MINVU_Mes_Corriente!AT279*SALUD_Mes_Constante!$AP$1</f>
        <v>0</v>
      </c>
      <c r="AU279" s="8">
        <f>+MINVU_Mes_Corriente!AU279*SALUD_Mes_Constante!$AP$1</f>
        <v>0</v>
      </c>
      <c r="AV279" s="8">
        <f>+MINVU_Mes_Corriente!AV279*SALUD_Mes_Constante!$AP$1</f>
        <v>0</v>
      </c>
      <c r="AW279" s="8">
        <f>+MINVU_Mes_Corriente!AW279*SALUD_Mes_Constante!$AP$1</f>
        <v>0</v>
      </c>
      <c r="AX279" s="8">
        <f>+MINVU_Mes_Corriente!AX279*SALUD_Mes_Constante!$AP$1</f>
        <v>0</v>
      </c>
      <c r="AY279" s="8">
        <f>+MINVU_Mes_Corriente!AY279*SALUD_Mes_Constante!$AP$1</f>
        <v>0</v>
      </c>
      <c r="AZ279" s="8">
        <f>+MINVU_Mes_Corriente!AZ279*SALUD_Mes_Constante!$AP$1</f>
        <v>0</v>
      </c>
      <c r="BA279" s="8">
        <f>+MINVU_Mes_Corriente!BA279*SALUD_Mes_Constante!$AP$1</f>
        <v>0</v>
      </c>
      <c r="BB279" s="9">
        <f t="shared" si="136"/>
        <v>0</v>
      </c>
      <c r="BC279" s="8">
        <f>+MINVU_Mes_Corriente!BC279*SALUD_Mes_Constante!$BC$1</f>
        <v>0</v>
      </c>
      <c r="BD279" s="8">
        <f>+MINVU_Mes_Corriente!BD279*SALUD_Mes_Constante!$BC$1</f>
        <v>0</v>
      </c>
      <c r="BE279" s="8">
        <f>+MINVU_Mes_Corriente!BE279*SALUD_Mes_Constante!$BC$1</f>
        <v>0</v>
      </c>
      <c r="BF279" s="8">
        <f>+MINVU_Mes_Corriente!BF279*SALUD_Mes_Constante!$BC$1</f>
        <v>0</v>
      </c>
      <c r="BG279" s="8">
        <f>+MINVU_Mes_Corriente!BG279*SALUD_Mes_Constante!$BC$1</f>
        <v>0</v>
      </c>
      <c r="BH279" s="8">
        <f>+MINVU_Mes_Corriente!BH279*SALUD_Mes_Constante!$BC$1</f>
        <v>0</v>
      </c>
      <c r="BI279" s="8">
        <f>+MINVU_Mes_Corriente!BI279*SALUD_Mes_Constante!$BC$1</f>
        <v>0</v>
      </c>
      <c r="BJ279" s="8">
        <f>+MINVU_Mes_Corriente!BJ279*SALUD_Mes_Constante!$BC$1</f>
        <v>0</v>
      </c>
      <c r="BK279" s="8">
        <f>+MINVU_Mes_Corriente!BK279*SALUD_Mes_Constante!$BC$1</f>
        <v>0</v>
      </c>
      <c r="BL279" s="8">
        <f>+MINVU_Mes_Corriente!BL279*SALUD_Mes_Constante!$BC$1</f>
        <v>0</v>
      </c>
      <c r="BM279" s="8">
        <f>+MINVU_Mes_Corriente!BM279*SALUD_Mes_Constante!$BC$1</f>
        <v>0</v>
      </c>
      <c r="BN279" s="8">
        <f>+MINVU_Mes_Corriente!BN279*SALUD_Mes_Constante!$BC$1</f>
        <v>0</v>
      </c>
      <c r="BO279" s="9">
        <f t="shared" si="137"/>
        <v>0</v>
      </c>
      <c r="BP279" s="8">
        <f>+MINVU_Mes_Corriente!BP279*SALUD_Mes_Constante!$BP$1</f>
        <v>0</v>
      </c>
      <c r="BQ279" s="8">
        <f>+MINVU_Mes_Corriente!BQ279*SALUD_Mes_Constante!$BP$1</f>
        <v>0</v>
      </c>
      <c r="BR279" s="8">
        <f>+MINVU_Mes_Corriente!BR279*SALUD_Mes_Constante!$BP$1</f>
        <v>0</v>
      </c>
      <c r="BS279" s="8">
        <f>+MINVU_Mes_Corriente!BS279*SALUD_Mes_Constante!$BP$1</f>
        <v>0</v>
      </c>
      <c r="BT279" s="8">
        <f>+MINVU_Mes_Corriente!BT279*SALUD_Mes_Constante!$BP$1</f>
        <v>0</v>
      </c>
      <c r="BU279" s="8">
        <f>+MINVU_Mes_Corriente!BU279*SALUD_Mes_Constante!$BP$1</f>
        <v>0</v>
      </c>
      <c r="BV279" s="8">
        <f>+MINVU_Mes_Corriente!BV279*SALUD_Mes_Constante!$BP$1</f>
        <v>0</v>
      </c>
      <c r="BW279" s="8">
        <f>+MINVU_Mes_Corriente!BW279*SALUD_Mes_Constante!$BP$1</f>
        <v>0</v>
      </c>
      <c r="BX279" s="8">
        <f>+MINVU_Mes_Corriente!BX279*SALUD_Mes_Constante!$BP$1</f>
        <v>0</v>
      </c>
      <c r="BY279" s="8">
        <f>+MINVU_Mes_Corriente!BY279*SALUD_Mes_Constante!$BP$1</f>
        <v>0</v>
      </c>
      <c r="BZ279" s="8">
        <f>+MINVU_Mes_Corriente!BZ279*SALUD_Mes_Constante!$BP$1</f>
        <v>0</v>
      </c>
      <c r="CA279" s="8">
        <f>+MINVU_Mes_Corriente!CA279*SALUD_Mes_Constante!$BP$1</f>
        <v>0</v>
      </c>
      <c r="CB279" s="9">
        <f t="shared" si="138"/>
        <v>0</v>
      </c>
      <c r="CC279" s="8">
        <f>+MINVU_Mes_Corriente!CC279*SALUD_Mes_Constante!$CC$1</f>
        <v>0</v>
      </c>
      <c r="CD279" s="8">
        <f>+MINVU_Mes_Corriente!CD279*SALUD_Mes_Constante!$CC$1</f>
        <v>0</v>
      </c>
      <c r="CE279" s="8">
        <f>+MINVU_Mes_Corriente!CE279*SALUD_Mes_Constante!$CC$1</f>
        <v>0</v>
      </c>
      <c r="CF279" s="8">
        <f>+MINVU_Mes_Corriente!CF279*SALUD_Mes_Constante!$CC$1</f>
        <v>0</v>
      </c>
      <c r="CG279" s="8">
        <f>+MINVU_Mes_Corriente!CG279*SALUD_Mes_Constante!$CC$1</f>
        <v>0</v>
      </c>
      <c r="CH279" s="8">
        <f>+MINVU_Mes_Corriente!CH279*SALUD_Mes_Constante!$CC$1</f>
        <v>0</v>
      </c>
      <c r="CI279" s="8">
        <f>+MINVU_Mes_Corriente!CI279*SALUD_Mes_Constante!$CC$1</f>
        <v>0</v>
      </c>
      <c r="CJ279" s="8">
        <f>+MINVU_Mes_Corriente!CJ279*SALUD_Mes_Constante!$CC$1</f>
        <v>0</v>
      </c>
      <c r="CK279" s="8">
        <f>+MINVU_Mes_Corriente!CK279*SALUD_Mes_Constante!$CC$1</f>
        <v>0</v>
      </c>
      <c r="CL279" s="8">
        <f>+MINVU_Mes_Corriente!CL279*SALUD_Mes_Constante!$CC$1</f>
        <v>0</v>
      </c>
      <c r="CM279" s="8">
        <f>+MINVU_Mes_Corriente!CM279*SALUD_Mes_Constante!$CC$1</f>
        <v>0</v>
      </c>
      <c r="CN279" s="8">
        <f>+MINVU_Mes_Corriente!CN279*SALUD_Mes_Constante!$CC$1</f>
        <v>0</v>
      </c>
      <c r="CO279" s="9">
        <f t="shared" si="139"/>
        <v>0</v>
      </c>
      <c r="CP279" s="8">
        <f>+MINVU_Mes_Corriente!CP279*SALUD_Mes_Constante!$CP$1</f>
        <v>0</v>
      </c>
      <c r="CQ279" s="8">
        <f>+MINVU_Mes_Corriente!CQ279*SALUD_Mes_Constante!$CP$1</f>
        <v>0</v>
      </c>
      <c r="CR279" s="8">
        <f>+MINVU_Mes_Corriente!CR279*SALUD_Mes_Constante!$CP$1</f>
        <v>0</v>
      </c>
      <c r="CS279" s="8">
        <f>+MINVU_Mes_Corriente!CS279*SALUD_Mes_Constante!$CP$1</f>
        <v>0</v>
      </c>
      <c r="CT279" s="8">
        <f>+MINVU_Mes_Corriente!CT279*SALUD_Mes_Constante!$CP$1</f>
        <v>0</v>
      </c>
      <c r="CU279" s="8">
        <f>+MINVU_Mes_Corriente!CU279*SALUD_Mes_Constante!$CP$1</f>
        <v>0</v>
      </c>
      <c r="CV279" s="8">
        <f>+MINVU_Mes_Corriente!CV279*SALUD_Mes_Constante!$CP$1</f>
        <v>0</v>
      </c>
      <c r="CW279" s="8">
        <f>+MINVU_Mes_Corriente!CW279*SALUD_Mes_Constante!$CP$1</f>
        <v>0</v>
      </c>
      <c r="CX279" s="8">
        <f>+MINVU_Mes_Corriente!CX279*SALUD_Mes_Constante!$CP$1</f>
        <v>0</v>
      </c>
      <c r="CY279" s="8">
        <f>+MINVU_Mes_Corriente!CY279*SALUD_Mes_Constante!$CP$1</f>
        <v>0</v>
      </c>
      <c r="CZ279" s="8">
        <f>+MINVU_Mes_Corriente!CZ279*SALUD_Mes_Constante!$CP$1</f>
        <v>0</v>
      </c>
      <c r="DA279" s="8">
        <f>+MINVU_Mes_Corriente!DA279*SALUD_Mes_Constante!$CP$1</f>
        <v>0</v>
      </c>
      <c r="DB279" s="9">
        <f t="shared" si="140"/>
        <v>0</v>
      </c>
      <c r="DC279" s="8">
        <f>+MINVU_Mes_Corriente!DC279*SALUD_Mes_Constante!$DC$1</f>
        <v>0</v>
      </c>
      <c r="DD279" s="8">
        <f>+MINVU_Mes_Corriente!DD279*SALUD_Mes_Constante!$DC$1</f>
        <v>0</v>
      </c>
      <c r="DE279" s="8">
        <f>+MINVU_Mes_Corriente!DE279*SALUD_Mes_Constante!$DC$1</f>
        <v>0</v>
      </c>
      <c r="DF279" s="8">
        <f>+MINVU_Mes_Corriente!DF279*SALUD_Mes_Constante!$DC$1</f>
        <v>0</v>
      </c>
      <c r="DG279" s="8">
        <f>+MINVU_Mes_Corriente!DG279*SALUD_Mes_Constante!$DC$1</f>
        <v>0</v>
      </c>
      <c r="DH279" s="8">
        <f>+MINVU_Mes_Corriente!DH279*SALUD_Mes_Constante!$DC$1</f>
        <v>0</v>
      </c>
      <c r="DI279" s="8">
        <f>+MINVU_Mes_Corriente!DI279*SALUD_Mes_Constante!$DC$1</f>
        <v>0</v>
      </c>
      <c r="DJ279" s="8">
        <f>+MINVU_Mes_Corriente!DJ279*SALUD_Mes_Constante!$DC$1</f>
        <v>0</v>
      </c>
      <c r="DK279" s="8">
        <f>+MINVU_Mes_Corriente!DK279*SALUD_Mes_Constante!$DC$1</f>
        <v>0</v>
      </c>
      <c r="DL279" s="8">
        <f>+MINVU_Mes_Corriente!DL279*SALUD_Mes_Constante!$DC$1</f>
        <v>0</v>
      </c>
      <c r="DM279" s="8">
        <f>+MINVU_Mes_Corriente!DM279*SALUD_Mes_Constante!$DC$1</f>
        <v>0</v>
      </c>
      <c r="DN279" s="8">
        <f>+MINVU_Mes_Corriente!DN279*SALUD_Mes_Constante!$DC$1</f>
        <v>0</v>
      </c>
      <c r="DO279" s="9">
        <f t="shared" si="141"/>
        <v>0</v>
      </c>
      <c r="DP279" s="8">
        <f>+MINVU_Mes_Corriente!DP279*SALUD_Mes_Constante!$DP$1</f>
        <v>0</v>
      </c>
      <c r="DQ279" s="8">
        <f>+MINVU_Mes_Corriente!DQ279*SALUD_Mes_Constante!$DP$1</f>
        <v>0</v>
      </c>
      <c r="DR279" s="8">
        <f>+MINVU_Mes_Corriente!DR279*SALUD_Mes_Constante!$DP$1</f>
        <v>0</v>
      </c>
      <c r="DS279" s="8">
        <f>+MINVU_Mes_Corriente!DS279*SALUD_Mes_Constante!$DP$1</f>
        <v>0</v>
      </c>
      <c r="DT279" s="8">
        <f>+MINVU_Mes_Corriente!DT279*SALUD_Mes_Constante!$DP$1</f>
        <v>0</v>
      </c>
      <c r="DU279" s="8">
        <f>+MINVU_Mes_Corriente!DU279*SALUD_Mes_Constante!$DP$1</f>
        <v>0</v>
      </c>
      <c r="DV279" s="8">
        <f>+MINVU_Mes_Corriente!DV279*SALUD_Mes_Constante!$DP$1</f>
        <v>0</v>
      </c>
      <c r="DW279" s="8">
        <f>+MINVU_Mes_Corriente!DW279*SALUD_Mes_Constante!$DP$1</f>
        <v>0</v>
      </c>
      <c r="DX279" s="8">
        <f>+MINVU_Mes_Corriente!DX279*SALUD_Mes_Constante!$DP$1</f>
        <v>0</v>
      </c>
      <c r="DY279" s="8">
        <f>+MINVU_Mes_Corriente!DY279*SALUD_Mes_Constante!$DP$1</f>
        <v>0</v>
      </c>
      <c r="DZ279" s="8">
        <f>+MINVU_Mes_Corriente!DZ279*SALUD_Mes_Constante!$DP$1</f>
        <v>0</v>
      </c>
      <c r="EA279" s="8">
        <f>+MINVU_Mes_Corriente!EA279*SALUD_Mes_Constante!$DP$1</f>
        <v>0</v>
      </c>
      <c r="EB279" s="9">
        <f t="shared" si="142"/>
        <v>0</v>
      </c>
      <c r="EC279" s="8">
        <f>+MINVU_Mes_Corriente!EC279*SALUD_Mes_Constante!$EC$1</f>
        <v>0</v>
      </c>
      <c r="ED279" s="8">
        <f>+MINVU_Mes_Corriente!ED279*SALUD_Mes_Constante!$EC$1</f>
        <v>0</v>
      </c>
      <c r="EE279" s="8">
        <f>+MINVU_Mes_Corriente!EE279*SALUD_Mes_Constante!$EC$1</f>
        <v>0</v>
      </c>
      <c r="EF279" s="8">
        <f>+MINVU_Mes_Corriente!EF279*SALUD_Mes_Constante!$EC$1</f>
        <v>0</v>
      </c>
      <c r="EG279" s="8">
        <f>+MINVU_Mes_Corriente!EG279*SALUD_Mes_Constante!$EC$1</f>
        <v>0</v>
      </c>
      <c r="EH279" s="8">
        <f>+MINVU_Mes_Corriente!EH279*SALUD_Mes_Constante!$EC$1</f>
        <v>0</v>
      </c>
      <c r="EI279" s="8">
        <f>+MINVU_Mes_Corriente!EI279*SALUD_Mes_Constante!$EC$1</f>
        <v>0</v>
      </c>
      <c r="EJ279" s="8">
        <f>+MINVU_Mes_Corriente!EJ279*SALUD_Mes_Constante!$EC$1</f>
        <v>0</v>
      </c>
      <c r="EK279" s="8">
        <f>+MINVU_Mes_Corriente!EK279*SALUD_Mes_Constante!$EC$1</f>
        <v>0</v>
      </c>
      <c r="EL279" s="8">
        <f>+MINVU_Mes_Corriente!EL279*SALUD_Mes_Constante!$EC$1</f>
        <v>0</v>
      </c>
      <c r="EM279" s="8">
        <f>+MINVU_Mes_Corriente!EM279*SALUD_Mes_Constante!$EC$1</f>
        <v>0</v>
      </c>
      <c r="EN279" s="8">
        <f>+MINVU_Mes_Corriente!EN279*SALUD_Mes_Constante!$EC$1</f>
        <v>0</v>
      </c>
      <c r="EO279" s="9">
        <f t="shared" si="143"/>
        <v>0</v>
      </c>
      <c r="EP279" s="8">
        <f>+MINVU_Mes_Corriente!EP279*SALUD_Mes_Constante!$EP$1</f>
        <v>0</v>
      </c>
      <c r="EQ279" s="8">
        <f>+MINVU_Mes_Corriente!EQ279*SALUD_Mes_Constante!$EP$1</f>
        <v>0</v>
      </c>
      <c r="ER279" s="8">
        <f>+MINVU_Mes_Corriente!ER279*SALUD_Mes_Constante!$EP$1</f>
        <v>0</v>
      </c>
      <c r="ES279" s="8">
        <f>+MINVU_Mes_Corriente!ES279*SALUD_Mes_Constante!$EP$1</f>
        <v>0</v>
      </c>
      <c r="ET279" s="8">
        <f>+MINVU_Mes_Corriente!ET279*SALUD_Mes_Constante!$EP$1</f>
        <v>0</v>
      </c>
      <c r="EU279" s="8">
        <f>+MINVU_Mes_Corriente!EU279*SALUD_Mes_Constante!$EP$1</f>
        <v>0</v>
      </c>
      <c r="EV279" s="8">
        <f>+MINVU_Mes_Corriente!EV279*SALUD_Mes_Constante!$EP$1</f>
        <v>0</v>
      </c>
      <c r="EW279" s="8">
        <f>+MINVU_Mes_Corriente!EW279*SALUD_Mes_Constante!$EP$1</f>
        <v>0</v>
      </c>
      <c r="EX279" s="8">
        <f>+MINVU_Mes_Corriente!EX279*SALUD_Mes_Constante!$EP$1</f>
        <v>0</v>
      </c>
      <c r="EY279" s="8">
        <f>+MINVU_Mes_Corriente!EY279*SALUD_Mes_Constante!$EP$1</f>
        <v>0</v>
      </c>
      <c r="EZ279" s="8">
        <f>+MINVU_Mes_Corriente!EZ279*SALUD_Mes_Constante!$EP$1</f>
        <v>0</v>
      </c>
      <c r="FA279" s="8">
        <f>+MINVU_Mes_Corriente!FA279*SALUD_Mes_Constante!$EP$1</f>
        <v>0</v>
      </c>
      <c r="FB279" s="9">
        <f t="shared" si="144"/>
        <v>0</v>
      </c>
      <c r="FC279" s="8">
        <f>+MINVU_Mes_Corriente!FC279*SALUD_Mes_Constante!$FC$1</f>
        <v>0</v>
      </c>
      <c r="FD279" s="8">
        <f>+MINVU_Mes_Corriente!FD279*SALUD_Mes_Constante!$FC$1</f>
        <v>0</v>
      </c>
      <c r="FE279" s="8">
        <f>+MINVU_Mes_Corriente!FE279*SALUD_Mes_Constante!$FC$1</f>
        <v>0</v>
      </c>
      <c r="FF279" s="8">
        <f>+MINVU_Mes_Corriente!FF279*SALUD_Mes_Constante!$FC$1</f>
        <v>0</v>
      </c>
      <c r="FG279" s="8">
        <f>+MINVU_Mes_Corriente!FG279*SALUD_Mes_Constante!$FC$1</f>
        <v>0</v>
      </c>
      <c r="FH279" s="8">
        <f>+MINVU_Mes_Corriente!FH279*SALUD_Mes_Constante!$FC$1</f>
        <v>0</v>
      </c>
      <c r="FI279" s="8">
        <f>+MINVU_Mes_Corriente!FI279*SALUD_Mes_Constante!$FC$1</f>
        <v>0</v>
      </c>
      <c r="FJ279" s="8"/>
      <c r="FK279" s="8"/>
      <c r="FL279" s="8"/>
      <c r="FM279" s="8"/>
      <c r="FN279" s="8"/>
      <c r="FO279" s="9">
        <f t="shared" si="145"/>
        <v>0</v>
      </c>
    </row>
    <row r="280" spans="2:171" ht="14.25" customHeight="1" x14ac:dyDescent="0.3">
      <c r="B280" s="7" t="s">
        <v>57</v>
      </c>
      <c r="C280" s="8">
        <f>+MINVU_Mes_Corriente!C280*SALUD_Mes_Constante!$C$1</f>
        <v>0</v>
      </c>
      <c r="D280" s="8">
        <f>+MINVU_Mes_Corriente!D280*SALUD_Mes_Constante!$C$1</f>
        <v>0</v>
      </c>
      <c r="E280" s="8">
        <f>+MINVU_Mes_Corriente!E280*SALUD_Mes_Constante!$C$1</f>
        <v>0</v>
      </c>
      <c r="F280" s="8">
        <f>+MINVU_Mes_Corriente!F280*SALUD_Mes_Constante!$C$1</f>
        <v>0</v>
      </c>
      <c r="G280" s="8">
        <f>+MINVU_Mes_Corriente!G280*SALUD_Mes_Constante!$C$1</f>
        <v>0</v>
      </c>
      <c r="H280" s="8">
        <f>+MINVU_Mes_Corriente!H280*SALUD_Mes_Constante!$C$1</f>
        <v>0</v>
      </c>
      <c r="I280" s="8">
        <f>+MINVU_Mes_Corriente!I280*SALUD_Mes_Constante!$C$1</f>
        <v>0</v>
      </c>
      <c r="J280" s="8">
        <f>+MINVU_Mes_Corriente!J280*SALUD_Mes_Constante!$C$1</f>
        <v>0</v>
      </c>
      <c r="K280" s="8">
        <f>+MINVU_Mes_Corriente!K280*SALUD_Mes_Constante!$C$1</f>
        <v>0</v>
      </c>
      <c r="L280" s="8">
        <f>+MINVU_Mes_Corriente!L280*SALUD_Mes_Constante!$C$1</f>
        <v>0</v>
      </c>
      <c r="M280" s="8">
        <f>+MINVU_Mes_Corriente!M280*SALUD_Mes_Constante!$C$1</f>
        <v>0</v>
      </c>
      <c r="N280" s="8">
        <f>+MINVU_Mes_Corriente!N280*SALUD_Mes_Constante!$C$1</f>
        <v>0</v>
      </c>
      <c r="O280" s="9">
        <f t="shared" si="133"/>
        <v>0</v>
      </c>
      <c r="P280" s="8">
        <f>+MINVU_Mes_Corriente!P280*SALUD_Mes_Constante!$P$1</f>
        <v>0</v>
      </c>
      <c r="Q280" s="8">
        <f>+MINVU_Mes_Corriente!Q280*SALUD_Mes_Constante!$P$1</f>
        <v>0</v>
      </c>
      <c r="R280" s="8">
        <f>+MINVU_Mes_Corriente!R280*SALUD_Mes_Constante!$P$1</f>
        <v>0</v>
      </c>
      <c r="S280" s="8">
        <f>+MINVU_Mes_Corriente!S280*SALUD_Mes_Constante!$P$1</f>
        <v>0</v>
      </c>
      <c r="T280" s="8">
        <f>+MINVU_Mes_Corriente!T280*SALUD_Mes_Constante!$P$1</f>
        <v>0</v>
      </c>
      <c r="U280" s="8">
        <f>+MINVU_Mes_Corriente!U280*SALUD_Mes_Constante!$P$1</f>
        <v>0</v>
      </c>
      <c r="V280" s="8">
        <f>+MINVU_Mes_Corriente!V280*SALUD_Mes_Constante!$P$1</f>
        <v>0</v>
      </c>
      <c r="W280" s="8">
        <f>+MINVU_Mes_Corriente!W280*SALUD_Mes_Constante!$P$1</f>
        <v>0</v>
      </c>
      <c r="X280" s="8">
        <f>+MINVU_Mes_Corriente!X280*SALUD_Mes_Constante!$P$1</f>
        <v>0</v>
      </c>
      <c r="Y280" s="8">
        <f>+MINVU_Mes_Corriente!Y280*SALUD_Mes_Constante!$P$1</f>
        <v>0</v>
      </c>
      <c r="Z280" s="8">
        <f>+MINVU_Mes_Corriente!Z280*SALUD_Mes_Constante!$P$1</f>
        <v>0</v>
      </c>
      <c r="AA280" s="8">
        <f>+MINVU_Mes_Corriente!AA280*SALUD_Mes_Constante!$P$1</f>
        <v>0</v>
      </c>
      <c r="AB280" s="9">
        <f t="shared" si="134"/>
        <v>0</v>
      </c>
      <c r="AC280" s="8">
        <f>+MINVU_Mes_Corriente!AC280*SALUD_Mes_Constante!$AC$1</f>
        <v>0</v>
      </c>
      <c r="AD280" s="8">
        <f>+MINVU_Mes_Corriente!AD280*SALUD_Mes_Constante!$AC$1</f>
        <v>0</v>
      </c>
      <c r="AE280" s="8">
        <f>+MINVU_Mes_Corriente!AE280*SALUD_Mes_Constante!$AC$1</f>
        <v>0</v>
      </c>
      <c r="AF280" s="8">
        <f>+MINVU_Mes_Corriente!AF280*SALUD_Mes_Constante!$AC$1</f>
        <v>0</v>
      </c>
      <c r="AG280" s="8">
        <f>+MINVU_Mes_Corriente!AG280*SALUD_Mes_Constante!$AC$1</f>
        <v>0</v>
      </c>
      <c r="AH280" s="8">
        <f>+MINVU_Mes_Corriente!AH280*SALUD_Mes_Constante!$AC$1</f>
        <v>0</v>
      </c>
      <c r="AI280" s="8">
        <f>+MINVU_Mes_Corriente!AI280*SALUD_Mes_Constante!$AC$1</f>
        <v>0</v>
      </c>
      <c r="AJ280" s="8">
        <f>+MINVU_Mes_Corriente!AJ280*SALUD_Mes_Constante!$AC$1</f>
        <v>0</v>
      </c>
      <c r="AK280" s="8">
        <f>+MINVU_Mes_Corriente!AK280*SALUD_Mes_Constante!$AC$1</f>
        <v>0</v>
      </c>
      <c r="AL280" s="8">
        <f>+MINVU_Mes_Corriente!AL280*SALUD_Mes_Constante!$AC$1</f>
        <v>0</v>
      </c>
      <c r="AM280" s="8">
        <f>+MINVU_Mes_Corriente!AM280*SALUD_Mes_Constante!$AC$1</f>
        <v>0</v>
      </c>
      <c r="AN280" s="8">
        <f>+MINVU_Mes_Corriente!AN280*SALUD_Mes_Constante!$AC$1</f>
        <v>0</v>
      </c>
      <c r="AO280" s="9">
        <f t="shared" si="135"/>
        <v>0</v>
      </c>
      <c r="AP280" s="8">
        <f>+MINVU_Mes_Corriente!AP280*SALUD_Mes_Constante!$AP$1</f>
        <v>0</v>
      </c>
      <c r="AQ280" s="8">
        <f>+MINVU_Mes_Corriente!AQ280*SALUD_Mes_Constante!$AP$1</f>
        <v>0</v>
      </c>
      <c r="AR280" s="8">
        <f>+MINVU_Mes_Corriente!AR280*SALUD_Mes_Constante!$AP$1</f>
        <v>0</v>
      </c>
      <c r="AS280" s="8">
        <f>+MINVU_Mes_Corriente!AS280*SALUD_Mes_Constante!$AP$1</f>
        <v>0</v>
      </c>
      <c r="AT280" s="8">
        <f>+MINVU_Mes_Corriente!AT280*SALUD_Mes_Constante!$AP$1</f>
        <v>0</v>
      </c>
      <c r="AU280" s="8">
        <f>+MINVU_Mes_Corriente!AU280*SALUD_Mes_Constante!$AP$1</f>
        <v>0</v>
      </c>
      <c r="AV280" s="8">
        <f>+MINVU_Mes_Corriente!AV280*SALUD_Mes_Constante!$AP$1</f>
        <v>0</v>
      </c>
      <c r="AW280" s="8">
        <f>+MINVU_Mes_Corriente!AW280*SALUD_Mes_Constante!$AP$1</f>
        <v>0</v>
      </c>
      <c r="AX280" s="8">
        <f>+MINVU_Mes_Corriente!AX280*SALUD_Mes_Constante!$AP$1</f>
        <v>0</v>
      </c>
      <c r="AY280" s="8">
        <f>+MINVU_Mes_Corriente!AY280*SALUD_Mes_Constante!$AP$1</f>
        <v>0</v>
      </c>
      <c r="AZ280" s="8">
        <f>+MINVU_Mes_Corriente!AZ280*SALUD_Mes_Constante!$AP$1</f>
        <v>0</v>
      </c>
      <c r="BA280" s="8">
        <f>+MINVU_Mes_Corriente!BA280*SALUD_Mes_Constante!$AP$1</f>
        <v>0</v>
      </c>
      <c r="BB280" s="9">
        <f t="shared" si="136"/>
        <v>0</v>
      </c>
      <c r="BC280" s="8">
        <f>+MINVU_Mes_Corriente!BC280*SALUD_Mes_Constante!$BC$1</f>
        <v>0</v>
      </c>
      <c r="BD280" s="8">
        <f>+MINVU_Mes_Corriente!BD280*SALUD_Mes_Constante!$BC$1</f>
        <v>0</v>
      </c>
      <c r="BE280" s="8">
        <f>+MINVU_Mes_Corriente!BE280*SALUD_Mes_Constante!$BC$1</f>
        <v>0</v>
      </c>
      <c r="BF280" s="8">
        <f>+MINVU_Mes_Corriente!BF280*SALUD_Mes_Constante!$BC$1</f>
        <v>0</v>
      </c>
      <c r="BG280" s="8">
        <f>+MINVU_Mes_Corriente!BG280*SALUD_Mes_Constante!$BC$1</f>
        <v>0</v>
      </c>
      <c r="BH280" s="8">
        <f>+MINVU_Mes_Corriente!BH280*SALUD_Mes_Constante!$BC$1</f>
        <v>0</v>
      </c>
      <c r="BI280" s="8">
        <f>+MINVU_Mes_Corriente!BI280*SALUD_Mes_Constante!$BC$1</f>
        <v>0</v>
      </c>
      <c r="BJ280" s="8">
        <f>+MINVU_Mes_Corriente!BJ280*SALUD_Mes_Constante!$BC$1</f>
        <v>0</v>
      </c>
      <c r="BK280" s="8">
        <f>+MINVU_Mes_Corriente!BK280*SALUD_Mes_Constante!$BC$1</f>
        <v>0</v>
      </c>
      <c r="BL280" s="8">
        <f>+MINVU_Mes_Corriente!BL280*SALUD_Mes_Constante!$BC$1</f>
        <v>0</v>
      </c>
      <c r="BM280" s="8">
        <f>+MINVU_Mes_Corriente!BM280*SALUD_Mes_Constante!$BC$1</f>
        <v>0</v>
      </c>
      <c r="BN280" s="8">
        <f>+MINVU_Mes_Corriente!BN280*SALUD_Mes_Constante!$BC$1</f>
        <v>0</v>
      </c>
      <c r="BO280" s="9">
        <f t="shared" si="137"/>
        <v>0</v>
      </c>
      <c r="BP280" s="8">
        <f>+MINVU_Mes_Corriente!BP280*SALUD_Mes_Constante!$BP$1</f>
        <v>0</v>
      </c>
      <c r="BQ280" s="8">
        <f>+MINVU_Mes_Corriente!BQ280*SALUD_Mes_Constante!$BP$1</f>
        <v>0</v>
      </c>
      <c r="BR280" s="8">
        <f>+MINVU_Mes_Corriente!BR280*SALUD_Mes_Constante!$BP$1</f>
        <v>0</v>
      </c>
      <c r="BS280" s="8">
        <f>+MINVU_Mes_Corriente!BS280*SALUD_Mes_Constante!$BP$1</f>
        <v>0</v>
      </c>
      <c r="BT280" s="8">
        <f>+MINVU_Mes_Corriente!BT280*SALUD_Mes_Constante!$BP$1</f>
        <v>0</v>
      </c>
      <c r="BU280" s="8">
        <f>+MINVU_Mes_Corriente!BU280*SALUD_Mes_Constante!$BP$1</f>
        <v>0</v>
      </c>
      <c r="BV280" s="8">
        <f>+MINVU_Mes_Corriente!BV280*SALUD_Mes_Constante!$BP$1</f>
        <v>0</v>
      </c>
      <c r="BW280" s="8">
        <f>+MINVU_Mes_Corriente!BW280*SALUD_Mes_Constante!$BP$1</f>
        <v>0</v>
      </c>
      <c r="BX280" s="8">
        <f>+MINVU_Mes_Corriente!BX280*SALUD_Mes_Constante!$BP$1</f>
        <v>0</v>
      </c>
      <c r="BY280" s="8">
        <f>+MINVU_Mes_Corriente!BY280*SALUD_Mes_Constante!$BP$1</f>
        <v>0</v>
      </c>
      <c r="BZ280" s="8">
        <f>+MINVU_Mes_Corriente!BZ280*SALUD_Mes_Constante!$BP$1</f>
        <v>0</v>
      </c>
      <c r="CA280" s="8">
        <f>+MINVU_Mes_Corriente!CA280*SALUD_Mes_Constante!$BP$1</f>
        <v>0</v>
      </c>
      <c r="CB280" s="9">
        <f t="shared" si="138"/>
        <v>0</v>
      </c>
      <c r="CC280" s="8">
        <f>+MINVU_Mes_Corriente!CC280*SALUD_Mes_Constante!$CC$1</f>
        <v>0</v>
      </c>
      <c r="CD280" s="8">
        <f>+MINVU_Mes_Corriente!CD280*SALUD_Mes_Constante!$CC$1</f>
        <v>0</v>
      </c>
      <c r="CE280" s="8">
        <f>+MINVU_Mes_Corriente!CE280*SALUD_Mes_Constante!$CC$1</f>
        <v>0</v>
      </c>
      <c r="CF280" s="8">
        <f>+MINVU_Mes_Corriente!CF280*SALUD_Mes_Constante!$CC$1</f>
        <v>0</v>
      </c>
      <c r="CG280" s="8">
        <f>+MINVU_Mes_Corriente!CG280*SALUD_Mes_Constante!$CC$1</f>
        <v>0</v>
      </c>
      <c r="CH280" s="8">
        <f>+MINVU_Mes_Corriente!CH280*SALUD_Mes_Constante!$CC$1</f>
        <v>0</v>
      </c>
      <c r="CI280" s="8">
        <f>+MINVU_Mes_Corriente!CI280*SALUD_Mes_Constante!$CC$1</f>
        <v>0</v>
      </c>
      <c r="CJ280" s="8">
        <f>+MINVU_Mes_Corriente!CJ280*SALUD_Mes_Constante!$CC$1</f>
        <v>0</v>
      </c>
      <c r="CK280" s="8">
        <f>+MINVU_Mes_Corriente!CK280*SALUD_Mes_Constante!$CC$1</f>
        <v>0</v>
      </c>
      <c r="CL280" s="8">
        <f>+MINVU_Mes_Corriente!CL280*SALUD_Mes_Constante!$CC$1</f>
        <v>0</v>
      </c>
      <c r="CM280" s="8">
        <f>+MINVU_Mes_Corriente!CM280*SALUD_Mes_Constante!$CC$1</f>
        <v>0</v>
      </c>
      <c r="CN280" s="8">
        <f>+MINVU_Mes_Corriente!CN280*SALUD_Mes_Constante!$CC$1</f>
        <v>0</v>
      </c>
      <c r="CO280" s="9">
        <f t="shared" si="139"/>
        <v>0</v>
      </c>
      <c r="CP280" s="8">
        <f>+MINVU_Mes_Corriente!CP280*SALUD_Mes_Constante!$CP$1</f>
        <v>0</v>
      </c>
      <c r="CQ280" s="8">
        <f>+MINVU_Mes_Corriente!CQ280*SALUD_Mes_Constante!$CP$1</f>
        <v>0</v>
      </c>
      <c r="CR280" s="8">
        <f>+MINVU_Mes_Corriente!CR280*SALUD_Mes_Constante!$CP$1</f>
        <v>0</v>
      </c>
      <c r="CS280" s="8">
        <f>+MINVU_Mes_Corriente!CS280*SALUD_Mes_Constante!$CP$1</f>
        <v>0</v>
      </c>
      <c r="CT280" s="8">
        <f>+MINVU_Mes_Corriente!CT280*SALUD_Mes_Constante!$CP$1</f>
        <v>0</v>
      </c>
      <c r="CU280" s="8">
        <f>+MINVU_Mes_Corriente!CU280*SALUD_Mes_Constante!$CP$1</f>
        <v>0</v>
      </c>
      <c r="CV280" s="8">
        <f>+MINVU_Mes_Corriente!CV280*SALUD_Mes_Constante!$CP$1</f>
        <v>0</v>
      </c>
      <c r="CW280" s="8">
        <f>+MINVU_Mes_Corriente!CW280*SALUD_Mes_Constante!$CP$1</f>
        <v>0</v>
      </c>
      <c r="CX280" s="8">
        <f>+MINVU_Mes_Corriente!CX280*SALUD_Mes_Constante!$CP$1</f>
        <v>0</v>
      </c>
      <c r="CY280" s="8">
        <f>+MINVU_Mes_Corriente!CY280*SALUD_Mes_Constante!$CP$1</f>
        <v>0</v>
      </c>
      <c r="CZ280" s="8">
        <f>+MINVU_Mes_Corriente!CZ280*SALUD_Mes_Constante!$CP$1</f>
        <v>0</v>
      </c>
      <c r="DA280" s="8">
        <f>+MINVU_Mes_Corriente!DA280*SALUD_Mes_Constante!$CP$1</f>
        <v>0</v>
      </c>
      <c r="DB280" s="9">
        <f t="shared" si="140"/>
        <v>0</v>
      </c>
      <c r="DC280" s="8">
        <f>+MINVU_Mes_Corriente!DC280*SALUD_Mes_Constante!$DC$1</f>
        <v>0</v>
      </c>
      <c r="DD280" s="8">
        <f>+MINVU_Mes_Corriente!DD280*SALUD_Mes_Constante!$DC$1</f>
        <v>0</v>
      </c>
      <c r="DE280" s="8">
        <f>+MINVU_Mes_Corriente!DE280*SALUD_Mes_Constante!$DC$1</f>
        <v>0</v>
      </c>
      <c r="DF280" s="8">
        <f>+MINVU_Mes_Corriente!DF280*SALUD_Mes_Constante!$DC$1</f>
        <v>0</v>
      </c>
      <c r="DG280" s="8">
        <f>+MINVU_Mes_Corriente!DG280*SALUD_Mes_Constante!$DC$1</f>
        <v>0</v>
      </c>
      <c r="DH280" s="8">
        <f>+MINVU_Mes_Corriente!DH280*SALUD_Mes_Constante!$DC$1</f>
        <v>0</v>
      </c>
      <c r="DI280" s="8">
        <f>+MINVU_Mes_Corriente!DI280*SALUD_Mes_Constante!$DC$1</f>
        <v>0</v>
      </c>
      <c r="DJ280" s="8">
        <f>+MINVU_Mes_Corriente!DJ280*SALUD_Mes_Constante!$DC$1</f>
        <v>0</v>
      </c>
      <c r="DK280" s="8">
        <f>+MINVU_Mes_Corriente!DK280*SALUD_Mes_Constante!$DC$1</f>
        <v>0</v>
      </c>
      <c r="DL280" s="8">
        <f>+MINVU_Mes_Corriente!DL280*SALUD_Mes_Constante!$DC$1</f>
        <v>0</v>
      </c>
      <c r="DM280" s="8">
        <f>+MINVU_Mes_Corriente!DM280*SALUD_Mes_Constante!$DC$1</f>
        <v>0</v>
      </c>
      <c r="DN280" s="8">
        <f>+MINVU_Mes_Corriente!DN280*SALUD_Mes_Constante!$DC$1</f>
        <v>0</v>
      </c>
      <c r="DO280" s="9">
        <f t="shared" si="141"/>
        <v>0</v>
      </c>
      <c r="DP280" s="8">
        <f>+MINVU_Mes_Corriente!DP280*SALUD_Mes_Constante!$DP$1</f>
        <v>0</v>
      </c>
      <c r="DQ280" s="8">
        <f>+MINVU_Mes_Corriente!DQ280*SALUD_Mes_Constante!$DP$1</f>
        <v>0</v>
      </c>
      <c r="DR280" s="8">
        <f>+MINVU_Mes_Corriente!DR280*SALUD_Mes_Constante!$DP$1</f>
        <v>0</v>
      </c>
      <c r="DS280" s="8">
        <f>+MINVU_Mes_Corriente!DS280*SALUD_Mes_Constante!$DP$1</f>
        <v>0</v>
      </c>
      <c r="DT280" s="8">
        <f>+MINVU_Mes_Corriente!DT280*SALUD_Mes_Constante!$DP$1</f>
        <v>0</v>
      </c>
      <c r="DU280" s="8">
        <f>+MINVU_Mes_Corriente!DU280*SALUD_Mes_Constante!$DP$1</f>
        <v>0</v>
      </c>
      <c r="DV280" s="8">
        <f>+MINVU_Mes_Corriente!DV280*SALUD_Mes_Constante!$DP$1</f>
        <v>0</v>
      </c>
      <c r="DW280" s="8">
        <f>+MINVU_Mes_Corriente!DW280*SALUD_Mes_Constante!$DP$1</f>
        <v>0</v>
      </c>
      <c r="DX280" s="8">
        <f>+MINVU_Mes_Corriente!DX280*SALUD_Mes_Constante!$DP$1</f>
        <v>0</v>
      </c>
      <c r="DY280" s="8">
        <f>+MINVU_Mes_Corriente!DY280*SALUD_Mes_Constante!$DP$1</f>
        <v>0</v>
      </c>
      <c r="DZ280" s="8">
        <f>+MINVU_Mes_Corriente!DZ280*SALUD_Mes_Constante!$DP$1</f>
        <v>0</v>
      </c>
      <c r="EA280" s="8">
        <f>+MINVU_Mes_Corriente!EA280*SALUD_Mes_Constante!$DP$1</f>
        <v>0</v>
      </c>
      <c r="EB280" s="9">
        <f t="shared" si="142"/>
        <v>0</v>
      </c>
      <c r="EC280" s="8">
        <f>+MINVU_Mes_Corriente!EC280*SALUD_Mes_Constante!$EC$1</f>
        <v>0</v>
      </c>
      <c r="ED280" s="8">
        <f>+MINVU_Mes_Corriente!ED280*SALUD_Mes_Constante!$EC$1</f>
        <v>0</v>
      </c>
      <c r="EE280" s="8">
        <f>+MINVU_Mes_Corriente!EE280*SALUD_Mes_Constante!$EC$1</f>
        <v>0</v>
      </c>
      <c r="EF280" s="8">
        <f>+MINVU_Mes_Corriente!EF280*SALUD_Mes_Constante!$EC$1</f>
        <v>0</v>
      </c>
      <c r="EG280" s="8">
        <f>+MINVU_Mes_Corriente!EG280*SALUD_Mes_Constante!$EC$1</f>
        <v>0</v>
      </c>
      <c r="EH280" s="8">
        <f>+MINVU_Mes_Corriente!EH280*SALUD_Mes_Constante!$EC$1</f>
        <v>0</v>
      </c>
      <c r="EI280" s="8">
        <f>+MINVU_Mes_Corriente!EI280*SALUD_Mes_Constante!$EC$1</f>
        <v>0</v>
      </c>
      <c r="EJ280" s="8">
        <f>+MINVU_Mes_Corriente!EJ280*SALUD_Mes_Constante!$EC$1</f>
        <v>0</v>
      </c>
      <c r="EK280" s="8">
        <f>+MINVU_Mes_Corriente!EK280*SALUD_Mes_Constante!$EC$1</f>
        <v>0</v>
      </c>
      <c r="EL280" s="8">
        <f>+MINVU_Mes_Corriente!EL280*SALUD_Mes_Constante!$EC$1</f>
        <v>0</v>
      </c>
      <c r="EM280" s="8">
        <f>+MINVU_Mes_Corriente!EM280*SALUD_Mes_Constante!$EC$1</f>
        <v>0</v>
      </c>
      <c r="EN280" s="8">
        <f>+MINVU_Mes_Corriente!EN280*SALUD_Mes_Constante!$EC$1</f>
        <v>0</v>
      </c>
      <c r="EO280" s="9">
        <f t="shared" si="143"/>
        <v>0</v>
      </c>
      <c r="EP280" s="8">
        <f>+MINVU_Mes_Corriente!EP280*SALUD_Mes_Constante!$EP$1</f>
        <v>0</v>
      </c>
      <c r="EQ280" s="8">
        <f>+MINVU_Mes_Corriente!EQ280*SALUD_Mes_Constante!$EP$1</f>
        <v>0</v>
      </c>
      <c r="ER280" s="8">
        <f>+MINVU_Mes_Corriente!ER280*SALUD_Mes_Constante!$EP$1</f>
        <v>0</v>
      </c>
      <c r="ES280" s="8">
        <f>+MINVU_Mes_Corriente!ES280*SALUD_Mes_Constante!$EP$1</f>
        <v>0</v>
      </c>
      <c r="ET280" s="8">
        <f>+MINVU_Mes_Corriente!ET280*SALUD_Mes_Constante!$EP$1</f>
        <v>0</v>
      </c>
      <c r="EU280" s="8">
        <f>+MINVU_Mes_Corriente!EU280*SALUD_Mes_Constante!$EP$1</f>
        <v>0</v>
      </c>
      <c r="EV280" s="8">
        <f>+MINVU_Mes_Corriente!EV280*SALUD_Mes_Constante!$EP$1</f>
        <v>0</v>
      </c>
      <c r="EW280" s="8">
        <f>+MINVU_Mes_Corriente!EW280*SALUD_Mes_Constante!$EP$1</f>
        <v>0</v>
      </c>
      <c r="EX280" s="8">
        <f>+MINVU_Mes_Corriente!EX280*SALUD_Mes_Constante!$EP$1</f>
        <v>0</v>
      </c>
      <c r="EY280" s="8">
        <f>+MINVU_Mes_Corriente!EY280*SALUD_Mes_Constante!$EP$1</f>
        <v>0</v>
      </c>
      <c r="EZ280" s="8">
        <f>+MINVU_Mes_Corriente!EZ280*SALUD_Mes_Constante!$EP$1</f>
        <v>0</v>
      </c>
      <c r="FA280" s="8">
        <f>+MINVU_Mes_Corriente!FA280*SALUD_Mes_Constante!$EP$1</f>
        <v>0</v>
      </c>
      <c r="FB280" s="9">
        <f t="shared" si="144"/>
        <v>0</v>
      </c>
      <c r="FC280" s="8">
        <f>+MINVU_Mes_Corriente!FC280*SALUD_Mes_Constante!$FC$1</f>
        <v>0</v>
      </c>
      <c r="FD280" s="8">
        <f>+MINVU_Mes_Corriente!FD280*SALUD_Mes_Constante!$FC$1</f>
        <v>0</v>
      </c>
      <c r="FE280" s="8">
        <f>+MINVU_Mes_Corriente!FE280*SALUD_Mes_Constante!$FC$1</f>
        <v>0</v>
      </c>
      <c r="FF280" s="8">
        <f>+MINVU_Mes_Corriente!FF280*SALUD_Mes_Constante!$FC$1</f>
        <v>0</v>
      </c>
      <c r="FG280" s="8">
        <f>+MINVU_Mes_Corriente!FG280*SALUD_Mes_Constante!$FC$1</f>
        <v>0</v>
      </c>
      <c r="FH280" s="8">
        <f>+MINVU_Mes_Corriente!FH280*SALUD_Mes_Constante!$FC$1</f>
        <v>0</v>
      </c>
      <c r="FI280" s="8">
        <f>+MINVU_Mes_Corriente!FI280*SALUD_Mes_Constante!$FC$1</f>
        <v>0</v>
      </c>
      <c r="FJ280" s="8"/>
      <c r="FK280" s="8"/>
      <c r="FL280" s="8"/>
      <c r="FM280" s="8"/>
      <c r="FN280" s="8"/>
      <c r="FO280" s="9">
        <f t="shared" si="145"/>
        <v>0</v>
      </c>
    </row>
    <row r="281" spans="2:171" ht="14.25" customHeight="1" x14ac:dyDescent="0.3">
      <c r="B281" s="7" t="s">
        <v>58</v>
      </c>
      <c r="C281" s="8">
        <f>+MINVU_Mes_Corriente!C281*SALUD_Mes_Constante!$C$1</f>
        <v>0</v>
      </c>
      <c r="D281" s="8">
        <f>+MINVU_Mes_Corriente!D281*SALUD_Mes_Constante!$C$1</f>
        <v>0</v>
      </c>
      <c r="E281" s="8">
        <f>+MINVU_Mes_Corriente!E281*SALUD_Mes_Constante!$C$1</f>
        <v>0</v>
      </c>
      <c r="F281" s="8">
        <f>+MINVU_Mes_Corriente!F281*SALUD_Mes_Constante!$C$1</f>
        <v>0</v>
      </c>
      <c r="G281" s="8">
        <f>+MINVU_Mes_Corriente!G281*SALUD_Mes_Constante!$C$1</f>
        <v>0</v>
      </c>
      <c r="H281" s="8">
        <f>+MINVU_Mes_Corriente!H281*SALUD_Mes_Constante!$C$1</f>
        <v>0</v>
      </c>
      <c r="I281" s="8">
        <f>+MINVU_Mes_Corriente!I281*SALUD_Mes_Constante!$C$1</f>
        <v>0</v>
      </c>
      <c r="J281" s="8">
        <f>+MINVU_Mes_Corriente!J281*SALUD_Mes_Constante!$C$1</f>
        <v>0</v>
      </c>
      <c r="K281" s="8">
        <f>+MINVU_Mes_Corriente!K281*SALUD_Mes_Constante!$C$1</f>
        <v>0</v>
      </c>
      <c r="L281" s="8">
        <f>+MINVU_Mes_Corriente!L281*SALUD_Mes_Constante!$C$1</f>
        <v>0</v>
      </c>
      <c r="M281" s="8">
        <f>+MINVU_Mes_Corriente!M281*SALUD_Mes_Constante!$C$1</f>
        <v>0</v>
      </c>
      <c r="N281" s="8">
        <f>+MINVU_Mes_Corriente!N281*SALUD_Mes_Constante!$C$1</f>
        <v>0</v>
      </c>
      <c r="O281" s="9">
        <f t="shared" si="133"/>
        <v>0</v>
      </c>
      <c r="P281" s="8">
        <f>+MINVU_Mes_Corriente!P281*SALUD_Mes_Constante!$P$1</f>
        <v>0</v>
      </c>
      <c r="Q281" s="8">
        <f>+MINVU_Mes_Corriente!Q281*SALUD_Mes_Constante!$P$1</f>
        <v>0</v>
      </c>
      <c r="R281" s="8">
        <f>+MINVU_Mes_Corriente!R281*SALUD_Mes_Constante!$P$1</f>
        <v>0</v>
      </c>
      <c r="S281" s="8">
        <f>+MINVU_Mes_Corriente!S281*SALUD_Mes_Constante!$P$1</f>
        <v>0</v>
      </c>
      <c r="T281" s="8">
        <f>+MINVU_Mes_Corriente!T281*SALUD_Mes_Constante!$P$1</f>
        <v>0</v>
      </c>
      <c r="U281" s="8">
        <f>+MINVU_Mes_Corriente!U281*SALUD_Mes_Constante!$P$1</f>
        <v>0</v>
      </c>
      <c r="V281" s="8">
        <f>+MINVU_Mes_Corriente!V281*SALUD_Mes_Constante!$P$1</f>
        <v>0</v>
      </c>
      <c r="W281" s="8">
        <f>+MINVU_Mes_Corriente!W281*SALUD_Mes_Constante!$P$1</f>
        <v>0</v>
      </c>
      <c r="X281" s="8">
        <f>+MINVU_Mes_Corriente!X281*SALUD_Mes_Constante!$P$1</f>
        <v>0</v>
      </c>
      <c r="Y281" s="8">
        <f>+MINVU_Mes_Corriente!Y281*SALUD_Mes_Constante!$P$1</f>
        <v>0</v>
      </c>
      <c r="Z281" s="8">
        <f>+MINVU_Mes_Corriente!Z281*SALUD_Mes_Constante!$P$1</f>
        <v>0</v>
      </c>
      <c r="AA281" s="8">
        <f>+MINVU_Mes_Corriente!AA281*SALUD_Mes_Constante!$P$1</f>
        <v>0</v>
      </c>
      <c r="AB281" s="9">
        <f t="shared" si="134"/>
        <v>0</v>
      </c>
      <c r="AC281" s="8">
        <f>+MINVU_Mes_Corriente!AC281*SALUD_Mes_Constante!$AC$1</f>
        <v>0</v>
      </c>
      <c r="AD281" s="8">
        <f>+MINVU_Mes_Corriente!AD281*SALUD_Mes_Constante!$AC$1</f>
        <v>0</v>
      </c>
      <c r="AE281" s="8">
        <f>+MINVU_Mes_Corriente!AE281*SALUD_Mes_Constante!$AC$1</f>
        <v>0</v>
      </c>
      <c r="AF281" s="8">
        <f>+MINVU_Mes_Corriente!AF281*SALUD_Mes_Constante!$AC$1</f>
        <v>0</v>
      </c>
      <c r="AG281" s="8">
        <f>+MINVU_Mes_Corriente!AG281*SALUD_Mes_Constante!$AC$1</f>
        <v>0</v>
      </c>
      <c r="AH281" s="8">
        <f>+MINVU_Mes_Corriente!AH281*SALUD_Mes_Constante!$AC$1</f>
        <v>0</v>
      </c>
      <c r="AI281" s="8">
        <f>+MINVU_Mes_Corriente!AI281*SALUD_Mes_Constante!$AC$1</f>
        <v>0</v>
      </c>
      <c r="AJ281" s="8">
        <f>+MINVU_Mes_Corriente!AJ281*SALUD_Mes_Constante!$AC$1</f>
        <v>0</v>
      </c>
      <c r="AK281" s="8">
        <f>+MINVU_Mes_Corriente!AK281*SALUD_Mes_Constante!$AC$1</f>
        <v>0</v>
      </c>
      <c r="AL281" s="8">
        <f>+MINVU_Mes_Corriente!AL281*SALUD_Mes_Constante!$AC$1</f>
        <v>0</v>
      </c>
      <c r="AM281" s="8">
        <f>+MINVU_Mes_Corriente!AM281*SALUD_Mes_Constante!$AC$1</f>
        <v>0</v>
      </c>
      <c r="AN281" s="8">
        <f>+MINVU_Mes_Corriente!AN281*SALUD_Mes_Constante!$AC$1</f>
        <v>0</v>
      </c>
      <c r="AO281" s="9">
        <f t="shared" si="135"/>
        <v>0</v>
      </c>
      <c r="AP281" s="8">
        <f>+MINVU_Mes_Corriente!AP281*SALUD_Mes_Constante!$AP$1</f>
        <v>0</v>
      </c>
      <c r="AQ281" s="8">
        <f>+MINVU_Mes_Corriente!AQ281*SALUD_Mes_Constante!$AP$1</f>
        <v>0</v>
      </c>
      <c r="AR281" s="8">
        <f>+MINVU_Mes_Corriente!AR281*SALUD_Mes_Constante!$AP$1</f>
        <v>0</v>
      </c>
      <c r="AS281" s="8">
        <f>+MINVU_Mes_Corriente!AS281*SALUD_Mes_Constante!$AP$1</f>
        <v>0</v>
      </c>
      <c r="AT281" s="8">
        <f>+MINVU_Mes_Corriente!AT281*SALUD_Mes_Constante!$AP$1</f>
        <v>0</v>
      </c>
      <c r="AU281" s="8">
        <f>+MINVU_Mes_Corriente!AU281*SALUD_Mes_Constante!$AP$1</f>
        <v>0</v>
      </c>
      <c r="AV281" s="8">
        <f>+MINVU_Mes_Corriente!AV281*SALUD_Mes_Constante!$AP$1</f>
        <v>0</v>
      </c>
      <c r="AW281" s="8">
        <f>+MINVU_Mes_Corriente!AW281*SALUD_Mes_Constante!$AP$1</f>
        <v>0</v>
      </c>
      <c r="AX281" s="8">
        <f>+MINVU_Mes_Corriente!AX281*SALUD_Mes_Constante!$AP$1</f>
        <v>0</v>
      </c>
      <c r="AY281" s="8">
        <f>+MINVU_Mes_Corriente!AY281*SALUD_Mes_Constante!$AP$1</f>
        <v>0</v>
      </c>
      <c r="AZ281" s="8">
        <f>+MINVU_Mes_Corriente!AZ281*SALUD_Mes_Constante!$AP$1</f>
        <v>0</v>
      </c>
      <c r="BA281" s="8">
        <f>+MINVU_Mes_Corriente!BA281*SALUD_Mes_Constante!$AP$1</f>
        <v>0</v>
      </c>
      <c r="BB281" s="9">
        <f t="shared" si="136"/>
        <v>0</v>
      </c>
      <c r="BC281" s="8">
        <f>+MINVU_Mes_Corriente!BC281*SALUD_Mes_Constante!$BC$1</f>
        <v>0</v>
      </c>
      <c r="BD281" s="8">
        <f>+MINVU_Mes_Corriente!BD281*SALUD_Mes_Constante!$BC$1</f>
        <v>0</v>
      </c>
      <c r="BE281" s="8">
        <f>+MINVU_Mes_Corriente!BE281*SALUD_Mes_Constante!$BC$1</f>
        <v>0</v>
      </c>
      <c r="BF281" s="8">
        <f>+MINVU_Mes_Corriente!BF281*SALUD_Mes_Constante!$BC$1</f>
        <v>0</v>
      </c>
      <c r="BG281" s="8">
        <f>+MINVU_Mes_Corriente!BG281*SALUD_Mes_Constante!$BC$1</f>
        <v>0</v>
      </c>
      <c r="BH281" s="8">
        <f>+MINVU_Mes_Corriente!BH281*SALUD_Mes_Constante!$BC$1</f>
        <v>0</v>
      </c>
      <c r="BI281" s="8">
        <f>+MINVU_Mes_Corriente!BI281*SALUD_Mes_Constante!$BC$1</f>
        <v>0</v>
      </c>
      <c r="BJ281" s="8">
        <f>+MINVU_Mes_Corriente!BJ281*SALUD_Mes_Constante!$BC$1</f>
        <v>0</v>
      </c>
      <c r="BK281" s="8">
        <f>+MINVU_Mes_Corriente!BK281*SALUD_Mes_Constante!$BC$1</f>
        <v>0</v>
      </c>
      <c r="BL281" s="8">
        <f>+MINVU_Mes_Corriente!BL281*SALUD_Mes_Constante!$BC$1</f>
        <v>0</v>
      </c>
      <c r="BM281" s="8">
        <f>+MINVU_Mes_Corriente!BM281*SALUD_Mes_Constante!$BC$1</f>
        <v>0</v>
      </c>
      <c r="BN281" s="8">
        <f>+MINVU_Mes_Corriente!BN281*SALUD_Mes_Constante!$BC$1</f>
        <v>0</v>
      </c>
      <c r="BO281" s="9">
        <f t="shared" si="137"/>
        <v>0</v>
      </c>
      <c r="BP281" s="8">
        <f>+MINVU_Mes_Corriente!BP281*SALUD_Mes_Constante!$BP$1</f>
        <v>0</v>
      </c>
      <c r="BQ281" s="8">
        <f>+MINVU_Mes_Corriente!BQ281*SALUD_Mes_Constante!$BP$1</f>
        <v>0</v>
      </c>
      <c r="BR281" s="8">
        <f>+MINVU_Mes_Corriente!BR281*SALUD_Mes_Constante!$BP$1</f>
        <v>0</v>
      </c>
      <c r="BS281" s="8">
        <f>+MINVU_Mes_Corriente!BS281*SALUD_Mes_Constante!$BP$1</f>
        <v>0</v>
      </c>
      <c r="BT281" s="8">
        <f>+MINVU_Mes_Corriente!BT281*SALUD_Mes_Constante!$BP$1</f>
        <v>0</v>
      </c>
      <c r="BU281" s="8">
        <f>+MINVU_Mes_Corriente!BU281*SALUD_Mes_Constante!$BP$1</f>
        <v>0</v>
      </c>
      <c r="BV281" s="8">
        <f>+MINVU_Mes_Corriente!BV281*SALUD_Mes_Constante!$BP$1</f>
        <v>0</v>
      </c>
      <c r="BW281" s="8">
        <f>+MINVU_Mes_Corriente!BW281*SALUD_Mes_Constante!$BP$1</f>
        <v>0</v>
      </c>
      <c r="BX281" s="8">
        <f>+MINVU_Mes_Corriente!BX281*SALUD_Mes_Constante!$BP$1</f>
        <v>0</v>
      </c>
      <c r="BY281" s="8">
        <f>+MINVU_Mes_Corriente!BY281*SALUD_Mes_Constante!$BP$1</f>
        <v>0</v>
      </c>
      <c r="BZ281" s="8">
        <f>+MINVU_Mes_Corriente!BZ281*SALUD_Mes_Constante!$BP$1</f>
        <v>0</v>
      </c>
      <c r="CA281" s="8">
        <f>+MINVU_Mes_Corriente!CA281*SALUD_Mes_Constante!$BP$1</f>
        <v>0</v>
      </c>
      <c r="CB281" s="9">
        <f t="shared" si="138"/>
        <v>0</v>
      </c>
      <c r="CC281" s="8">
        <f>+MINVU_Mes_Corriente!CC281*SALUD_Mes_Constante!$CC$1</f>
        <v>0</v>
      </c>
      <c r="CD281" s="8">
        <f>+MINVU_Mes_Corriente!CD281*SALUD_Mes_Constante!$CC$1</f>
        <v>0</v>
      </c>
      <c r="CE281" s="8">
        <f>+MINVU_Mes_Corriente!CE281*SALUD_Mes_Constante!$CC$1</f>
        <v>0</v>
      </c>
      <c r="CF281" s="8">
        <f>+MINVU_Mes_Corriente!CF281*SALUD_Mes_Constante!$CC$1</f>
        <v>0</v>
      </c>
      <c r="CG281" s="8">
        <f>+MINVU_Mes_Corriente!CG281*SALUD_Mes_Constante!$CC$1</f>
        <v>0</v>
      </c>
      <c r="CH281" s="8">
        <f>+MINVU_Mes_Corriente!CH281*SALUD_Mes_Constante!$CC$1</f>
        <v>0</v>
      </c>
      <c r="CI281" s="8">
        <f>+MINVU_Mes_Corriente!CI281*SALUD_Mes_Constante!$CC$1</f>
        <v>0</v>
      </c>
      <c r="CJ281" s="8">
        <f>+MINVU_Mes_Corriente!CJ281*SALUD_Mes_Constante!$CC$1</f>
        <v>0</v>
      </c>
      <c r="CK281" s="8">
        <f>+MINVU_Mes_Corriente!CK281*SALUD_Mes_Constante!$CC$1</f>
        <v>0</v>
      </c>
      <c r="CL281" s="8">
        <f>+MINVU_Mes_Corriente!CL281*SALUD_Mes_Constante!$CC$1</f>
        <v>0</v>
      </c>
      <c r="CM281" s="8">
        <f>+MINVU_Mes_Corriente!CM281*SALUD_Mes_Constante!$CC$1</f>
        <v>0</v>
      </c>
      <c r="CN281" s="8">
        <f>+MINVU_Mes_Corriente!CN281*SALUD_Mes_Constante!$CC$1</f>
        <v>0</v>
      </c>
      <c r="CO281" s="9">
        <f t="shared" si="139"/>
        <v>0</v>
      </c>
      <c r="CP281" s="8">
        <f>+MINVU_Mes_Corriente!CP281*SALUD_Mes_Constante!$CP$1</f>
        <v>0</v>
      </c>
      <c r="CQ281" s="8">
        <f>+MINVU_Mes_Corriente!CQ281*SALUD_Mes_Constante!$CP$1</f>
        <v>0</v>
      </c>
      <c r="CR281" s="8">
        <f>+MINVU_Mes_Corriente!CR281*SALUD_Mes_Constante!$CP$1</f>
        <v>0</v>
      </c>
      <c r="CS281" s="8">
        <f>+MINVU_Mes_Corriente!CS281*SALUD_Mes_Constante!$CP$1</f>
        <v>0</v>
      </c>
      <c r="CT281" s="8">
        <f>+MINVU_Mes_Corriente!CT281*SALUD_Mes_Constante!$CP$1</f>
        <v>0</v>
      </c>
      <c r="CU281" s="8">
        <f>+MINVU_Mes_Corriente!CU281*SALUD_Mes_Constante!$CP$1</f>
        <v>0</v>
      </c>
      <c r="CV281" s="8">
        <f>+MINVU_Mes_Corriente!CV281*SALUD_Mes_Constante!$CP$1</f>
        <v>0</v>
      </c>
      <c r="CW281" s="8">
        <f>+MINVU_Mes_Corriente!CW281*SALUD_Mes_Constante!$CP$1</f>
        <v>0</v>
      </c>
      <c r="CX281" s="8">
        <f>+MINVU_Mes_Corriente!CX281*SALUD_Mes_Constante!$CP$1</f>
        <v>0</v>
      </c>
      <c r="CY281" s="8">
        <f>+MINVU_Mes_Corriente!CY281*SALUD_Mes_Constante!$CP$1</f>
        <v>0</v>
      </c>
      <c r="CZ281" s="8">
        <f>+MINVU_Mes_Corriente!CZ281*SALUD_Mes_Constante!$CP$1</f>
        <v>0</v>
      </c>
      <c r="DA281" s="8">
        <f>+MINVU_Mes_Corriente!DA281*SALUD_Mes_Constante!$CP$1</f>
        <v>0</v>
      </c>
      <c r="DB281" s="9">
        <f t="shared" si="140"/>
        <v>0</v>
      </c>
      <c r="DC281" s="8">
        <f>+MINVU_Mes_Corriente!DC281*SALUD_Mes_Constante!$DC$1</f>
        <v>0</v>
      </c>
      <c r="DD281" s="8">
        <f>+MINVU_Mes_Corriente!DD281*SALUD_Mes_Constante!$DC$1</f>
        <v>0</v>
      </c>
      <c r="DE281" s="8">
        <f>+MINVU_Mes_Corriente!DE281*SALUD_Mes_Constante!$DC$1</f>
        <v>0</v>
      </c>
      <c r="DF281" s="8">
        <f>+MINVU_Mes_Corriente!DF281*SALUD_Mes_Constante!$DC$1</f>
        <v>0</v>
      </c>
      <c r="DG281" s="8">
        <f>+MINVU_Mes_Corriente!DG281*SALUD_Mes_Constante!$DC$1</f>
        <v>0</v>
      </c>
      <c r="DH281" s="8">
        <f>+MINVU_Mes_Corriente!DH281*SALUD_Mes_Constante!$DC$1</f>
        <v>0</v>
      </c>
      <c r="DI281" s="8">
        <f>+MINVU_Mes_Corriente!DI281*SALUD_Mes_Constante!$DC$1</f>
        <v>0</v>
      </c>
      <c r="DJ281" s="8">
        <f>+MINVU_Mes_Corriente!DJ281*SALUD_Mes_Constante!$DC$1</f>
        <v>0</v>
      </c>
      <c r="DK281" s="8">
        <f>+MINVU_Mes_Corriente!DK281*SALUD_Mes_Constante!$DC$1</f>
        <v>0</v>
      </c>
      <c r="DL281" s="8">
        <f>+MINVU_Mes_Corriente!DL281*SALUD_Mes_Constante!$DC$1</f>
        <v>0</v>
      </c>
      <c r="DM281" s="8">
        <f>+MINVU_Mes_Corriente!DM281*SALUD_Mes_Constante!$DC$1</f>
        <v>0</v>
      </c>
      <c r="DN281" s="8">
        <f>+MINVU_Mes_Corriente!DN281*SALUD_Mes_Constante!$DC$1</f>
        <v>0</v>
      </c>
      <c r="DO281" s="9">
        <f t="shared" si="141"/>
        <v>0</v>
      </c>
      <c r="DP281" s="8">
        <f>+MINVU_Mes_Corriente!DP281*SALUD_Mes_Constante!$DP$1</f>
        <v>0</v>
      </c>
      <c r="DQ281" s="8">
        <f>+MINVU_Mes_Corriente!DQ281*SALUD_Mes_Constante!$DP$1</f>
        <v>0</v>
      </c>
      <c r="DR281" s="8">
        <f>+MINVU_Mes_Corriente!DR281*SALUD_Mes_Constante!$DP$1</f>
        <v>0</v>
      </c>
      <c r="DS281" s="8">
        <f>+MINVU_Mes_Corriente!DS281*SALUD_Mes_Constante!$DP$1</f>
        <v>0</v>
      </c>
      <c r="DT281" s="8">
        <f>+MINVU_Mes_Corriente!DT281*SALUD_Mes_Constante!$DP$1</f>
        <v>0</v>
      </c>
      <c r="DU281" s="8">
        <f>+MINVU_Mes_Corriente!DU281*SALUD_Mes_Constante!$DP$1</f>
        <v>0</v>
      </c>
      <c r="DV281" s="8">
        <f>+MINVU_Mes_Corriente!DV281*SALUD_Mes_Constante!$DP$1</f>
        <v>0</v>
      </c>
      <c r="DW281" s="8">
        <f>+MINVU_Mes_Corriente!DW281*SALUD_Mes_Constante!$DP$1</f>
        <v>0</v>
      </c>
      <c r="DX281" s="8">
        <f>+MINVU_Mes_Corriente!DX281*SALUD_Mes_Constante!$DP$1</f>
        <v>0</v>
      </c>
      <c r="DY281" s="8">
        <f>+MINVU_Mes_Corriente!DY281*SALUD_Mes_Constante!$DP$1</f>
        <v>0</v>
      </c>
      <c r="DZ281" s="8">
        <f>+MINVU_Mes_Corriente!DZ281*SALUD_Mes_Constante!$DP$1</f>
        <v>0</v>
      </c>
      <c r="EA281" s="8">
        <f>+MINVU_Mes_Corriente!EA281*SALUD_Mes_Constante!$DP$1</f>
        <v>0</v>
      </c>
      <c r="EB281" s="9">
        <f t="shared" si="142"/>
        <v>0</v>
      </c>
      <c r="EC281" s="8">
        <f>+MINVU_Mes_Corriente!EC281*SALUD_Mes_Constante!$EC$1</f>
        <v>0</v>
      </c>
      <c r="ED281" s="8">
        <f>+MINVU_Mes_Corriente!ED281*SALUD_Mes_Constante!$EC$1</f>
        <v>0</v>
      </c>
      <c r="EE281" s="8">
        <f>+MINVU_Mes_Corriente!EE281*SALUD_Mes_Constante!$EC$1</f>
        <v>0</v>
      </c>
      <c r="EF281" s="8">
        <f>+MINVU_Mes_Corriente!EF281*SALUD_Mes_Constante!$EC$1</f>
        <v>0</v>
      </c>
      <c r="EG281" s="8">
        <f>+MINVU_Mes_Corriente!EG281*SALUD_Mes_Constante!$EC$1</f>
        <v>0</v>
      </c>
      <c r="EH281" s="8">
        <f>+MINVU_Mes_Corriente!EH281*SALUD_Mes_Constante!$EC$1</f>
        <v>0</v>
      </c>
      <c r="EI281" s="8">
        <f>+MINVU_Mes_Corriente!EI281*SALUD_Mes_Constante!$EC$1</f>
        <v>0</v>
      </c>
      <c r="EJ281" s="8">
        <f>+MINVU_Mes_Corriente!EJ281*SALUD_Mes_Constante!$EC$1</f>
        <v>0</v>
      </c>
      <c r="EK281" s="8">
        <f>+MINVU_Mes_Corriente!EK281*SALUD_Mes_Constante!$EC$1</f>
        <v>0</v>
      </c>
      <c r="EL281" s="8">
        <f>+MINVU_Mes_Corriente!EL281*SALUD_Mes_Constante!$EC$1</f>
        <v>0</v>
      </c>
      <c r="EM281" s="8">
        <f>+MINVU_Mes_Corriente!EM281*SALUD_Mes_Constante!$EC$1</f>
        <v>0</v>
      </c>
      <c r="EN281" s="8">
        <f>+MINVU_Mes_Corriente!EN281*SALUD_Mes_Constante!$EC$1</f>
        <v>0</v>
      </c>
      <c r="EO281" s="9">
        <f t="shared" si="143"/>
        <v>0</v>
      </c>
      <c r="EP281" s="8">
        <f>+MINVU_Mes_Corriente!EP281*SALUD_Mes_Constante!$EP$1</f>
        <v>0</v>
      </c>
      <c r="EQ281" s="8">
        <f>+MINVU_Mes_Corriente!EQ281*SALUD_Mes_Constante!$EP$1</f>
        <v>0</v>
      </c>
      <c r="ER281" s="8">
        <f>+MINVU_Mes_Corriente!ER281*SALUD_Mes_Constante!$EP$1</f>
        <v>0</v>
      </c>
      <c r="ES281" s="8">
        <f>+MINVU_Mes_Corriente!ES281*SALUD_Mes_Constante!$EP$1</f>
        <v>0</v>
      </c>
      <c r="ET281" s="8">
        <f>+MINVU_Mes_Corriente!ET281*SALUD_Mes_Constante!$EP$1</f>
        <v>0</v>
      </c>
      <c r="EU281" s="8">
        <f>+MINVU_Mes_Corriente!EU281*SALUD_Mes_Constante!$EP$1</f>
        <v>0</v>
      </c>
      <c r="EV281" s="8">
        <f>+MINVU_Mes_Corriente!EV281*SALUD_Mes_Constante!$EP$1</f>
        <v>0</v>
      </c>
      <c r="EW281" s="8">
        <f>+MINVU_Mes_Corriente!EW281*SALUD_Mes_Constante!$EP$1</f>
        <v>0</v>
      </c>
      <c r="EX281" s="8">
        <f>+MINVU_Mes_Corriente!EX281*SALUD_Mes_Constante!$EP$1</f>
        <v>0</v>
      </c>
      <c r="EY281" s="8">
        <f>+MINVU_Mes_Corriente!EY281*SALUD_Mes_Constante!$EP$1</f>
        <v>0</v>
      </c>
      <c r="EZ281" s="8">
        <f>+MINVU_Mes_Corriente!EZ281*SALUD_Mes_Constante!$EP$1</f>
        <v>0</v>
      </c>
      <c r="FA281" s="8">
        <f>+MINVU_Mes_Corriente!FA281*SALUD_Mes_Constante!$EP$1</f>
        <v>0</v>
      </c>
      <c r="FB281" s="9">
        <f t="shared" si="144"/>
        <v>0</v>
      </c>
      <c r="FC281" s="8">
        <f>+MINVU_Mes_Corriente!FC281*SALUD_Mes_Constante!$FC$1</f>
        <v>0</v>
      </c>
      <c r="FD281" s="8">
        <f>+MINVU_Mes_Corriente!FD281*SALUD_Mes_Constante!$FC$1</f>
        <v>0</v>
      </c>
      <c r="FE281" s="8">
        <f>+MINVU_Mes_Corriente!FE281*SALUD_Mes_Constante!$FC$1</f>
        <v>0</v>
      </c>
      <c r="FF281" s="8">
        <f>+MINVU_Mes_Corriente!FF281*SALUD_Mes_Constante!$FC$1</f>
        <v>0</v>
      </c>
      <c r="FG281" s="8">
        <f>+MINVU_Mes_Corriente!FG281*SALUD_Mes_Constante!$FC$1</f>
        <v>0</v>
      </c>
      <c r="FH281" s="8">
        <f>+MINVU_Mes_Corriente!FH281*SALUD_Mes_Constante!$FC$1</f>
        <v>0</v>
      </c>
      <c r="FI281" s="8">
        <f>+MINVU_Mes_Corriente!FI281*SALUD_Mes_Constante!$FC$1</f>
        <v>0</v>
      </c>
      <c r="FJ281" s="8"/>
      <c r="FK281" s="8"/>
      <c r="FL281" s="8"/>
      <c r="FM281" s="8"/>
      <c r="FN281" s="8"/>
      <c r="FO281" s="9">
        <f t="shared" si="145"/>
        <v>0</v>
      </c>
    </row>
    <row r="282" spans="2:171" ht="14.25" customHeight="1" x14ac:dyDescent="0.3">
      <c r="B282" s="7" t="s">
        <v>59</v>
      </c>
      <c r="C282" s="8">
        <f>+MINVU_Mes_Corriente!C282*SALUD_Mes_Constante!$C$1</f>
        <v>0</v>
      </c>
      <c r="D282" s="8">
        <f>+MINVU_Mes_Corriente!D282*SALUD_Mes_Constante!$C$1</f>
        <v>0</v>
      </c>
      <c r="E282" s="8">
        <f>+MINVU_Mes_Corriente!E282*SALUD_Mes_Constante!$C$1</f>
        <v>0</v>
      </c>
      <c r="F282" s="8">
        <f>+MINVU_Mes_Corriente!F282*SALUD_Mes_Constante!$C$1</f>
        <v>0</v>
      </c>
      <c r="G282" s="8">
        <f>+MINVU_Mes_Corriente!G282*SALUD_Mes_Constante!$C$1</f>
        <v>0</v>
      </c>
      <c r="H282" s="8">
        <f>+MINVU_Mes_Corriente!H282*SALUD_Mes_Constante!$C$1</f>
        <v>0</v>
      </c>
      <c r="I282" s="8">
        <f>+MINVU_Mes_Corriente!I282*SALUD_Mes_Constante!$C$1</f>
        <v>0</v>
      </c>
      <c r="J282" s="8">
        <f>+MINVU_Mes_Corriente!J282*SALUD_Mes_Constante!$C$1</f>
        <v>0</v>
      </c>
      <c r="K282" s="8">
        <f>+MINVU_Mes_Corriente!K282*SALUD_Mes_Constante!$C$1</f>
        <v>0</v>
      </c>
      <c r="L282" s="8">
        <f>+MINVU_Mes_Corriente!L282*SALUD_Mes_Constante!$C$1</f>
        <v>0</v>
      </c>
      <c r="M282" s="8">
        <f>+MINVU_Mes_Corriente!M282*SALUD_Mes_Constante!$C$1</f>
        <v>0</v>
      </c>
      <c r="N282" s="8">
        <f>+MINVU_Mes_Corriente!N282*SALUD_Mes_Constante!$C$1</f>
        <v>0</v>
      </c>
      <c r="O282" s="9">
        <f t="shared" si="133"/>
        <v>0</v>
      </c>
      <c r="P282" s="8">
        <f>+MINVU_Mes_Corriente!P282*SALUD_Mes_Constante!$P$1</f>
        <v>0</v>
      </c>
      <c r="Q282" s="8">
        <f>+MINVU_Mes_Corriente!Q282*SALUD_Mes_Constante!$P$1</f>
        <v>0</v>
      </c>
      <c r="R282" s="8">
        <f>+MINVU_Mes_Corriente!R282*SALUD_Mes_Constante!$P$1</f>
        <v>0</v>
      </c>
      <c r="S282" s="8">
        <f>+MINVU_Mes_Corriente!S282*SALUD_Mes_Constante!$P$1</f>
        <v>0</v>
      </c>
      <c r="T282" s="8">
        <f>+MINVU_Mes_Corriente!T282*SALUD_Mes_Constante!$P$1</f>
        <v>0</v>
      </c>
      <c r="U282" s="8">
        <f>+MINVU_Mes_Corriente!U282*SALUD_Mes_Constante!$P$1</f>
        <v>0</v>
      </c>
      <c r="V282" s="8">
        <f>+MINVU_Mes_Corriente!V282*SALUD_Mes_Constante!$P$1</f>
        <v>0</v>
      </c>
      <c r="W282" s="8">
        <f>+MINVU_Mes_Corriente!W282*SALUD_Mes_Constante!$P$1</f>
        <v>0</v>
      </c>
      <c r="X282" s="8">
        <f>+MINVU_Mes_Corriente!X282*SALUD_Mes_Constante!$P$1</f>
        <v>0</v>
      </c>
      <c r="Y282" s="8">
        <f>+MINVU_Mes_Corriente!Y282*SALUD_Mes_Constante!$P$1</f>
        <v>0</v>
      </c>
      <c r="Z282" s="8">
        <f>+MINVU_Mes_Corriente!Z282*SALUD_Mes_Constante!$P$1</f>
        <v>0</v>
      </c>
      <c r="AA282" s="8">
        <f>+MINVU_Mes_Corriente!AA282*SALUD_Mes_Constante!$P$1</f>
        <v>0</v>
      </c>
      <c r="AB282" s="9">
        <f t="shared" si="134"/>
        <v>0</v>
      </c>
      <c r="AC282" s="8">
        <f>+MINVU_Mes_Corriente!AC282*SALUD_Mes_Constante!$AC$1</f>
        <v>0</v>
      </c>
      <c r="AD282" s="8">
        <f>+MINVU_Mes_Corriente!AD282*SALUD_Mes_Constante!$AC$1</f>
        <v>0</v>
      </c>
      <c r="AE282" s="8">
        <f>+MINVU_Mes_Corriente!AE282*SALUD_Mes_Constante!$AC$1</f>
        <v>0</v>
      </c>
      <c r="AF282" s="8">
        <f>+MINVU_Mes_Corriente!AF282*SALUD_Mes_Constante!$AC$1</f>
        <v>0</v>
      </c>
      <c r="AG282" s="8">
        <f>+MINVU_Mes_Corriente!AG282*SALUD_Mes_Constante!$AC$1</f>
        <v>0</v>
      </c>
      <c r="AH282" s="8">
        <f>+MINVU_Mes_Corriente!AH282*SALUD_Mes_Constante!$AC$1</f>
        <v>0</v>
      </c>
      <c r="AI282" s="8">
        <f>+MINVU_Mes_Corriente!AI282*SALUD_Mes_Constante!$AC$1</f>
        <v>0</v>
      </c>
      <c r="AJ282" s="8">
        <f>+MINVU_Mes_Corriente!AJ282*SALUD_Mes_Constante!$AC$1</f>
        <v>0</v>
      </c>
      <c r="AK282" s="8">
        <f>+MINVU_Mes_Corriente!AK282*SALUD_Mes_Constante!$AC$1</f>
        <v>0</v>
      </c>
      <c r="AL282" s="8">
        <f>+MINVU_Mes_Corriente!AL282*SALUD_Mes_Constante!$AC$1</f>
        <v>0</v>
      </c>
      <c r="AM282" s="8">
        <f>+MINVU_Mes_Corriente!AM282*SALUD_Mes_Constante!$AC$1</f>
        <v>0</v>
      </c>
      <c r="AN282" s="8">
        <f>+MINVU_Mes_Corriente!AN282*SALUD_Mes_Constante!$AC$1</f>
        <v>0</v>
      </c>
      <c r="AO282" s="9">
        <f t="shared" si="135"/>
        <v>0</v>
      </c>
      <c r="AP282" s="8">
        <f>+MINVU_Mes_Corriente!AP282*SALUD_Mes_Constante!$AP$1</f>
        <v>0</v>
      </c>
      <c r="AQ282" s="8">
        <f>+MINVU_Mes_Corriente!AQ282*SALUD_Mes_Constante!$AP$1</f>
        <v>0</v>
      </c>
      <c r="AR282" s="8">
        <f>+MINVU_Mes_Corriente!AR282*SALUD_Mes_Constante!$AP$1</f>
        <v>0</v>
      </c>
      <c r="AS282" s="8">
        <f>+MINVU_Mes_Corriente!AS282*SALUD_Mes_Constante!$AP$1</f>
        <v>0</v>
      </c>
      <c r="AT282" s="8">
        <f>+MINVU_Mes_Corriente!AT282*SALUD_Mes_Constante!$AP$1</f>
        <v>0</v>
      </c>
      <c r="AU282" s="8">
        <f>+MINVU_Mes_Corriente!AU282*SALUD_Mes_Constante!$AP$1</f>
        <v>0</v>
      </c>
      <c r="AV282" s="8">
        <f>+MINVU_Mes_Corriente!AV282*SALUD_Mes_Constante!$AP$1</f>
        <v>0</v>
      </c>
      <c r="AW282" s="8">
        <f>+MINVU_Mes_Corriente!AW282*SALUD_Mes_Constante!$AP$1</f>
        <v>0</v>
      </c>
      <c r="AX282" s="8">
        <f>+MINVU_Mes_Corriente!AX282*SALUD_Mes_Constante!$AP$1</f>
        <v>0</v>
      </c>
      <c r="AY282" s="8">
        <f>+MINVU_Mes_Corriente!AY282*SALUD_Mes_Constante!$AP$1</f>
        <v>0</v>
      </c>
      <c r="AZ282" s="8">
        <f>+MINVU_Mes_Corriente!AZ282*SALUD_Mes_Constante!$AP$1</f>
        <v>0</v>
      </c>
      <c r="BA282" s="8">
        <f>+MINVU_Mes_Corriente!BA282*SALUD_Mes_Constante!$AP$1</f>
        <v>0</v>
      </c>
      <c r="BB282" s="9">
        <f t="shared" si="136"/>
        <v>0</v>
      </c>
      <c r="BC282" s="8">
        <f>+MINVU_Mes_Corriente!BC282*SALUD_Mes_Constante!$BC$1</f>
        <v>0</v>
      </c>
      <c r="BD282" s="8">
        <f>+MINVU_Mes_Corriente!BD282*SALUD_Mes_Constante!$BC$1</f>
        <v>0</v>
      </c>
      <c r="BE282" s="8">
        <f>+MINVU_Mes_Corriente!BE282*SALUD_Mes_Constante!$BC$1</f>
        <v>0</v>
      </c>
      <c r="BF282" s="8">
        <f>+MINVU_Mes_Corriente!BF282*SALUD_Mes_Constante!$BC$1</f>
        <v>0</v>
      </c>
      <c r="BG282" s="8">
        <f>+MINVU_Mes_Corriente!BG282*SALUD_Mes_Constante!$BC$1</f>
        <v>0</v>
      </c>
      <c r="BH282" s="8">
        <f>+MINVU_Mes_Corriente!BH282*SALUD_Mes_Constante!$BC$1</f>
        <v>0</v>
      </c>
      <c r="BI282" s="8">
        <f>+MINVU_Mes_Corriente!BI282*SALUD_Mes_Constante!$BC$1</f>
        <v>0</v>
      </c>
      <c r="BJ282" s="8">
        <f>+MINVU_Mes_Corriente!BJ282*SALUD_Mes_Constante!$BC$1</f>
        <v>0</v>
      </c>
      <c r="BK282" s="8">
        <f>+MINVU_Mes_Corriente!BK282*SALUD_Mes_Constante!$BC$1</f>
        <v>0</v>
      </c>
      <c r="BL282" s="8">
        <f>+MINVU_Mes_Corriente!BL282*SALUD_Mes_Constante!$BC$1</f>
        <v>0</v>
      </c>
      <c r="BM282" s="8">
        <f>+MINVU_Mes_Corriente!BM282*SALUD_Mes_Constante!$BC$1</f>
        <v>0</v>
      </c>
      <c r="BN282" s="8">
        <f>+MINVU_Mes_Corriente!BN282*SALUD_Mes_Constante!$BC$1</f>
        <v>0</v>
      </c>
      <c r="BO282" s="9">
        <f t="shared" si="137"/>
        <v>0</v>
      </c>
      <c r="BP282" s="8">
        <f>+MINVU_Mes_Corriente!BP282*SALUD_Mes_Constante!$BP$1</f>
        <v>0</v>
      </c>
      <c r="BQ282" s="8">
        <f>+MINVU_Mes_Corriente!BQ282*SALUD_Mes_Constante!$BP$1</f>
        <v>0</v>
      </c>
      <c r="BR282" s="8">
        <f>+MINVU_Mes_Corriente!BR282*SALUD_Mes_Constante!$BP$1</f>
        <v>0</v>
      </c>
      <c r="BS282" s="8">
        <f>+MINVU_Mes_Corriente!BS282*SALUD_Mes_Constante!$BP$1</f>
        <v>0</v>
      </c>
      <c r="BT282" s="8">
        <f>+MINVU_Mes_Corriente!BT282*SALUD_Mes_Constante!$BP$1</f>
        <v>0</v>
      </c>
      <c r="BU282" s="8">
        <f>+MINVU_Mes_Corriente!BU282*SALUD_Mes_Constante!$BP$1</f>
        <v>0</v>
      </c>
      <c r="BV282" s="8">
        <f>+MINVU_Mes_Corriente!BV282*SALUD_Mes_Constante!$BP$1</f>
        <v>0</v>
      </c>
      <c r="BW282" s="8">
        <f>+MINVU_Mes_Corriente!BW282*SALUD_Mes_Constante!$BP$1</f>
        <v>0</v>
      </c>
      <c r="BX282" s="8">
        <f>+MINVU_Mes_Corriente!BX282*SALUD_Mes_Constante!$BP$1</f>
        <v>0</v>
      </c>
      <c r="BY282" s="8">
        <f>+MINVU_Mes_Corriente!BY282*SALUD_Mes_Constante!$BP$1</f>
        <v>0</v>
      </c>
      <c r="BZ282" s="8">
        <f>+MINVU_Mes_Corriente!BZ282*SALUD_Mes_Constante!$BP$1</f>
        <v>0</v>
      </c>
      <c r="CA282" s="8">
        <f>+MINVU_Mes_Corriente!CA282*SALUD_Mes_Constante!$BP$1</f>
        <v>0</v>
      </c>
      <c r="CB282" s="9">
        <f t="shared" si="138"/>
        <v>0</v>
      </c>
      <c r="CC282" s="8">
        <f>+MINVU_Mes_Corriente!CC282*SALUD_Mes_Constante!$CC$1</f>
        <v>0</v>
      </c>
      <c r="CD282" s="8">
        <f>+MINVU_Mes_Corriente!CD282*SALUD_Mes_Constante!$CC$1</f>
        <v>0</v>
      </c>
      <c r="CE282" s="8">
        <f>+MINVU_Mes_Corriente!CE282*SALUD_Mes_Constante!$CC$1</f>
        <v>0</v>
      </c>
      <c r="CF282" s="8">
        <f>+MINVU_Mes_Corriente!CF282*SALUD_Mes_Constante!$CC$1</f>
        <v>0</v>
      </c>
      <c r="CG282" s="8">
        <f>+MINVU_Mes_Corriente!CG282*SALUD_Mes_Constante!$CC$1</f>
        <v>0</v>
      </c>
      <c r="CH282" s="8">
        <f>+MINVU_Mes_Corriente!CH282*SALUD_Mes_Constante!$CC$1</f>
        <v>0</v>
      </c>
      <c r="CI282" s="8">
        <f>+MINVU_Mes_Corriente!CI282*SALUD_Mes_Constante!$CC$1</f>
        <v>0</v>
      </c>
      <c r="CJ282" s="8">
        <f>+MINVU_Mes_Corriente!CJ282*SALUD_Mes_Constante!$CC$1</f>
        <v>0</v>
      </c>
      <c r="CK282" s="8">
        <f>+MINVU_Mes_Corriente!CK282*SALUD_Mes_Constante!$CC$1</f>
        <v>0</v>
      </c>
      <c r="CL282" s="8">
        <f>+MINVU_Mes_Corriente!CL282*SALUD_Mes_Constante!$CC$1</f>
        <v>0</v>
      </c>
      <c r="CM282" s="8">
        <f>+MINVU_Mes_Corriente!CM282*SALUD_Mes_Constante!$CC$1</f>
        <v>0</v>
      </c>
      <c r="CN282" s="8">
        <f>+MINVU_Mes_Corriente!CN282*SALUD_Mes_Constante!$CC$1</f>
        <v>0</v>
      </c>
      <c r="CO282" s="9">
        <f t="shared" si="139"/>
        <v>0</v>
      </c>
      <c r="CP282" s="8">
        <f>+MINVU_Mes_Corriente!CP282*SALUD_Mes_Constante!$CP$1</f>
        <v>0</v>
      </c>
      <c r="CQ282" s="8">
        <f>+MINVU_Mes_Corriente!CQ282*SALUD_Mes_Constante!$CP$1</f>
        <v>0</v>
      </c>
      <c r="CR282" s="8">
        <f>+MINVU_Mes_Corriente!CR282*SALUD_Mes_Constante!$CP$1</f>
        <v>0</v>
      </c>
      <c r="CS282" s="8">
        <f>+MINVU_Mes_Corriente!CS282*SALUD_Mes_Constante!$CP$1</f>
        <v>0</v>
      </c>
      <c r="CT282" s="8">
        <f>+MINVU_Mes_Corriente!CT282*SALUD_Mes_Constante!$CP$1</f>
        <v>0</v>
      </c>
      <c r="CU282" s="8">
        <f>+MINVU_Mes_Corriente!CU282*SALUD_Mes_Constante!$CP$1</f>
        <v>0</v>
      </c>
      <c r="CV282" s="8">
        <f>+MINVU_Mes_Corriente!CV282*SALUD_Mes_Constante!$CP$1</f>
        <v>0</v>
      </c>
      <c r="CW282" s="8">
        <f>+MINVU_Mes_Corriente!CW282*SALUD_Mes_Constante!$CP$1</f>
        <v>0</v>
      </c>
      <c r="CX282" s="8">
        <f>+MINVU_Mes_Corriente!CX282*SALUD_Mes_Constante!$CP$1</f>
        <v>0</v>
      </c>
      <c r="CY282" s="8">
        <f>+MINVU_Mes_Corriente!CY282*SALUD_Mes_Constante!$CP$1</f>
        <v>0</v>
      </c>
      <c r="CZ282" s="8">
        <f>+MINVU_Mes_Corriente!CZ282*SALUD_Mes_Constante!$CP$1</f>
        <v>0</v>
      </c>
      <c r="DA282" s="8">
        <f>+MINVU_Mes_Corriente!DA282*SALUD_Mes_Constante!$CP$1</f>
        <v>0</v>
      </c>
      <c r="DB282" s="9">
        <f t="shared" si="140"/>
        <v>0</v>
      </c>
      <c r="DC282" s="8">
        <f>+MINVU_Mes_Corriente!DC282*SALUD_Mes_Constante!$DC$1</f>
        <v>0</v>
      </c>
      <c r="DD282" s="8">
        <f>+MINVU_Mes_Corriente!DD282*SALUD_Mes_Constante!$DC$1</f>
        <v>0</v>
      </c>
      <c r="DE282" s="8">
        <f>+MINVU_Mes_Corriente!DE282*SALUD_Mes_Constante!$DC$1</f>
        <v>0</v>
      </c>
      <c r="DF282" s="8">
        <f>+MINVU_Mes_Corriente!DF282*SALUD_Mes_Constante!$DC$1</f>
        <v>0</v>
      </c>
      <c r="DG282" s="8">
        <f>+MINVU_Mes_Corriente!DG282*SALUD_Mes_Constante!$DC$1</f>
        <v>0</v>
      </c>
      <c r="DH282" s="8">
        <f>+MINVU_Mes_Corriente!DH282*SALUD_Mes_Constante!$DC$1</f>
        <v>0</v>
      </c>
      <c r="DI282" s="8">
        <f>+MINVU_Mes_Corriente!DI282*SALUD_Mes_Constante!$DC$1</f>
        <v>0</v>
      </c>
      <c r="DJ282" s="8">
        <f>+MINVU_Mes_Corriente!DJ282*SALUD_Mes_Constante!$DC$1</f>
        <v>0</v>
      </c>
      <c r="DK282" s="8">
        <f>+MINVU_Mes_Corriente!DK282*SALUD_Mes_Constante!$DC$1</f>
        <v>0</v>
      </c>
      <c r="DL282" s="8">
        <f>+MINVU_Mes_Corriente!DL282*SALUD_Mes_Constante!$DC$1</f>
        <v>0</v>
      </c>
      <c r="DM282" s="8">
        <f>+MINVU_Mes_Corriente!DM282*SALUD_Mes_Constante!$DC$1</f>
        <v>0</v>
      </c>
      <c r="DN282" s="8">
        <f>+MINVU_Mes_Corriente!DN282*SALUD_Mes_Constante!$DC$1</f>
        <v>0</v>
      </c>
      <c r="DO282" s="9">
        <f t="shared" si="141"/>
        <v>0</v>
      </c>
      <c r="DP282" s="8">
        <f>+MINVU_Mes_Corriente!DP282*SALUD_Mes_Constante!$DP$1</f>
        <v>0</v>
      </c>
      <c r="DQ282" s="8">
        <f>+MINVU_Mes_Corriente!DQ282*SALUD_Mes_Constante!$DP$1</f>
        <v>0</v>
      </c>
      <c r="DR282" s="8">
        <f>+MINVU_Mes_Corriente!DR282*SALUD_Mes_Constante!$DP$1</f>
        <v>0</v>
      </c>
      <c r="DS282" s="8">
        <f>+MINVU_Mes_Corriente!DS282*SALUD_Mes_Constante!$DP$1</f>
        <v>0</v>
      </c>
      <c r="DT282" s="8">
        <f>+MINVU_Mes_Corriente!DT282*SALUD_Mes_Constante!$DP$1</f>
        <v>0</v>
      </c>
      <c r="DU282" s="8">
        <f>+MINVU_Mes_Corriente!DU282*SALUD_Mes_Constante!$DP$1</f>
        <v>0</v>
      </c>
      <c r="DV282" s="8">
        <f>+MINVU_Mes_Corriente!DV282*SALUD_Mes_Constante!$DP$1</f>
        <v>0</v>
      </c>
      <c r="DW282" s="8">
        <f>+MINVU_Mes_Corriente!DW282*SALUD_Mes_Constante!$DP$1</f>
        <v>0</v>
      </c>
      <c r="DX282" s="8">
        <f>+MINVU_Mes_Corriente!DX282*SALUD_Mes_Constante!$DP$1</f>
        <v>0</v>
      </c>
      <c r="DY282" s="8">
        <f>+MINVU_Mes_Corriente!DY282*SALUD_Mes_Constante!$DP$1</f>
        <v>0</v>
      </c>
      <c r="DZ282" s="8">
        <f>+MINVU_Mes_Corriente!DZ282*SALUD_Mes_Constante!$DP$1</f>
        <v>0</v>
      </c>
      <c r="EA282" s="8">
        <f>+MINVU_Mes_Corriente!EA282*SALUD_Mes_Constante!$DP$1</f>
        <v>0</v>
      </c>
      <c r="EB282" s="9">
        <f t="shared" si="142"/>
        <v>0</v>
      </c>
      <c r="EC282" s="8">
        <f>+MINVU_Mes_Corriente!EC282*SALUD_Mes_Constante!$EC$1</f>
        <v>0</v>
      </c>
      <c r="ED282" s="8">
        <f>+MINVU_Mes_Corriente!ED282*SALUD_Mes_Constante!$EC$1</f>
        <v>0</v>
      </c>
      <c r="EE282" s="8">
        <f>+MINVU_Mes_Corriente!EE282*SALUD_Mes_Constante!$EC$1</f>
        <v>0</v>
      </c>
      <c r="EF282" s="8">
        <f>+MINVU_Mes_Corriente!EF282*SALUD_Mes_Constante!$EC$1</f>
        <v>0</v>
      </c>
      <c r="EG282" s="8">
        <f>+MINVU_Mes_Corriente!EG282*SALUD_Mes_Constante!$EC$1</f>
        <v>0</v>
      </c>
      <c r="EH282" s="8">
        <f>+MINVU_Mes_Corriente!EH282*SALUD_Mes_Constante!$EC$1</f>
        <v>0</v>
      </c>
      <c r="EI282" s="8">
        <f>+MINVU_Mes_Corriente!EI282*SALUD_Mes_Constante!$EC$1</f>
        <v>0</v>
      </c>
      <c r="EJ282" s="8">
        <f>+MINVU_Mes_Corriente!EJ282*SALUD_Mes_Constante!$EC$1</f>
        <v>0</v>
      </c>
      <c r="EK282" s="8">
        <f>+MINVU_Mes_Corriente!EK282*SALUD_Mes_Constante!$EC$1</f>
        <v>0</v>
      </c>
      <c r="EL282" s="8">
        <f>+MINVU_Mes_Corriente!EL282*SALUD_Mes_Constante!$EC$1</f>
        <v>0</v>
      </c>
      <c r="EM282" s="8">
        <f>+MINVU_Mes_Corriente!EM282*SALUD_Mes_Constante!$EC$1</f>
        <v>0</v>
      </c>
      <c r="EN282" s="8">
        <f>+MINVU_Mes_Corriente!EN282*SALUD_Mes_Constante!$EC$1</f>
        <v>0</v>
      </c>
      <c r="EO282" s="9">
        <f t="shared" si="143"/>
        <v>0</v>
      </c>
      <c r="EP282" s="8">
        <f>+MINVU_Mes_Corriente!EP282*SALUD_Mes_Constante!$EP$1</f>
        <v>0</v>
      </c>
      <c r="EQ282" s="8">
        <f>+MINVU_Mes_Corriente!EQ282*SALUD_Mes_Constante!$EP$1</f>
        <v>0</v>
      </c>
      <c r="ER282" s="8">
        <f>+MINVU_Mes_Corriente!ER282*SALUD_Mes_Constante!$EP$1</f>
        <v>0</v>
      </c>
      <c r="ES282" s="8">
        <f>+MINVU_Mes_Corriente!ES282*SALUD_Mes_Constante!$EP$1</f>
        <v>0</v>
      </c>
      <c r="ET282" s="8">
        <f>+MINVU_Mes_Corriente!ET282*SALUD_Mes_Constante!$EP$1</f>
        <v>0</v>
      </c>
      <c r="EU282" s="8">
        <f>+MINVU_Mes_Corriente!EU282*SALUD_Mes_Constante!$EP$1</f>
        <v>0</v>
      </c>
      <c r="EV282" s="8">
        <f>+MINVU_Mes_Corriente!EV282*SALUD_Mes_Constante!$EP$1</f>
        <v>0</v>
      </c>
      <c r="EW282" s="8">
        <f>+MINVU_Mes_Corriente!EW282*SALUD_Mes_Constante!$EP$1</f>
        <v>0</v>
      </c>
      <c r="EX282" s="8">
        <f>+MINVU_Mes_Corriente!EX282*SALUD_Mes_Constante!$EP$1</f>
        <v>0</v>
      </c>
      <c r="EY282" s="8">
        <f>+MINVU_Mes_Corriente!EY282*SALUD_Mes_Constante!$EP$1</f>
        <v>0</v>
      </c>
      <c r="EZ282" s="8">
        <f>+MINVU_Mes_Corriente!EZ282*SALUD_Mes_Constante!$EP$1</f>
        <v>0</v>
      </c>
      <c r="FA282" s="8">
        <f>+MINVU_Mes_Corriente!FA282*SALUD_Mes_Constante!$EP$1</f>
        <v>0</v>
      </c>
      <c r="FB282" s="9">
        <f t="shared" si="144"/>
        <v>0</v>
      </c>
      <c r="FC282" s="8">
        <f>+MINVU_Mes_Corriente!FC282*SALUD_Mes_Constante!$FC$1</f>
        <v>0</v>
      </c>
      <c r="FD282" s="8">
        <f>+MINVU_Mes_Corriente!FD282*SALUD_Mes_Constante!$FC$1</f>
        <v>0</v>
      </c>
      <c r="FE282" s="8">
        <f>+MINVU_Mes_Corriente!FE282*SALUD_Mes_Constante!$FC$1</f>
        <v>0</v>
      </c>
      <c r="FF282" s="8">
        <f>+MINVU_Mes_Corriente!FF282*SALUD_Mes_Constante!$FC$1</f>
        <v>0</v>
      </c>
      <c r="FG282" s="8">
        <f>+MINVU_Mes_Corriente!FG282*SALUD_Mes_Constante!$FC$1</f>
        <v>0</v>
      </c>
      <c r="FH282" s="8">
        <f>+MINVU_Mes_Corriente!FH282*SALUD_Mes_Constante!$FC$1</f>
        <v>0</v>
      </c>
      <c r="FI282" s="8">
        <f>+MINVU_Mes_Corriente!FI282*SALUD_Mes_Constante!$FC$1</f>
        <v>0</v>
      </c>
      <c r="FJ282" s="8"/>
      <c r="FK282" s="8"/>
      <c r="FL282" s="8"/>
      <c r="FM282" s="8"/>
      <c r="FN282" s="8"/>
      <c r="FO282" s="9">
        <f t="shared" si="145"/>
        <v>0</v>
      </c>
    </row>
    <row r="283" spans="2:171" ht="14.25" customHeight="1" x14ac:dyDescent="0.3">
      <c r="B283" s="7" t="s">
        <v>60</v>
      </c>
      <c r="C283" s="8">
        <f>+MINVU_Mes_Corriente!C283*SALUD_Mes_Constante!$C$1</f>
        <v>0</v>
      </c>
      <c r="D283" s="8">
        <f>+MINVU_Mes_Corriente!D283*SALUD_Mes_Constante!$C$1</f>
        <v>0</v>
      </c>
      <c r="E283" s="8">
        <f>+MINVU_Mes_Corriente!E283*SALUD_Mes_Constante!$C$1</f>
        <v>0</v>
      </c>
      <c r="F283" s="8">
        <f>+MINVU_Mes_Corriente!F283*SALUD_Mes_Constante!$C$1</f>
        <v>0</v>
      </c>
      <c r="G283" s="8">
        <f>+MINVU_Mes_Corriente!G283*SALUD_Mes_Constante!$C$1</f>
        <v>0</v>
      </c>
      <c r="H283" s="8">
        <f>+MINVU_Mes_Corriente!H283*SALUD_Mes_Constante!$C$1</f>
        <v>0</v>
      </c>
      <c r="I283" s="8">
        <f>+MINVU_Mes_Corriente!I283*SALUD_Mes_Constante!$C$1</f>
        <v>0</v>
      </c>
      <c r="J283" s="8">
        <f>+MINVU_Mes_Corriente!J283*SALUD_Mes_Constante!$C$1</f>
        <v>0</v>
      </c>
      <c r="K283" s="8">
        <f>+MINVU_Mes_Corriente!K283*SALUD_Mes_Constante!$C$1</f>
        <v>0</v>
      </c>
      <c r="L283" s="8">
        <f>+MINVU_Mes_Corriente!L283*SALUD_Mes_Constante!$C$1</f>
        <v>0</v>
      </c>
      <c r="M283" s="8">
        <f>+MINVU_Mes_Corriente!M283*SALUD_Mes_Constante!$C$1</f>
        <v>0</v>
      </c>
      <c r="N283" s="8">
        <f>+MINVU_Mes_Corriente!N283*SALUD_Mes_Constante!$C$1</f>
        <v>0</v>
      </c>
      <c r="O283" s="9">
        <f t="shared" si="133"/>
        <v>0</v>
      </c>
      <c r="P283" s="8">
        <f>+MINVU_Mes_Corriente!P283*SALUD_Mes_Constante!$P$1</f>
        <v>0</v>
      </c>
      <c r="Q283" s="8">
        <f>+MINVU_Mes_Corriente!Q283*SALUD_Mes_Constante!$P$1</f>
        <v>0</v>
      </c>
      <c r="R283" s="8">
        <f>+MINVU_Mes_Corriente!R283*SALUD_Mes_Constante!$P$1</f>
        <v>0</v>
      </c>
      <c r="S283" s="8">
        <f>+MINVU_Mes_Corriente!S283*SALUD_Mes_Constante!$P$1</f>
        <v>0</v>
      </c>
      <c r="T283" s="8">
        <f>+MINVU_Mes_Corriente!T283*SALUD_Mes_Constante!$P$1</f>
        <v>0</v>
      </c>
      <c r="U283" s="8">
        <f>+MINVU_Mes_Corriente!U283*SALUD_Mes_Constante!$P$1</f>
        <v>0</v>
      </c>
      <c r="V283" s="8">
        <f>+MINVU_Mes_Corriente!V283*SALUD_Mes_Constante!$P$1</f>
        <v>0</v>
      </c>
      <c r="W283" s="8">
        <f>+MINVU_Mes_Corriente!W283*SALUD_Mes_Constante!$P$1</f>
        <v>0</v>
      </c>
      <c r="X283" s="8">
        <f>+MINVU_Mes_Corriente!X283*SALUD_Mes_Constante!$P$1</f>
        <v>0</v>
      </c>
      <c r="Y283" s="8">
        <f>+MINVU_Mes_Corriente!Y283*SALUD_Mes_Constante!$P$1</f>
        <v>0</v>
      </c>
      <c r="Z283" s="8">
        <f>+MINVU_Mes_Corriente!Z283*SALUD_Mes_Constante!$P$1</f>
        <v>0</v>
      </c>
      <c r="AA283" s="8">
        <f>+MINVU_Mes_Corriente!AA283*SALUD_Mes_Constante!$P$1</f>
        <v>0</v>
      </c>
      <c r="AB283" s="9">
        <f t="shared" si="134"/>
        <v>0</v>
      </c>
      <c r="AC283" s="8">
        <f>+MINVU_Mes_Corriente!AC283*SALUD_Mes_Constante!$AC$1</f>
        <v>0</v>
      </c>
      <c r="AD283" s="8">
        <f>+MINVU_Mes_Corriente!AD283*SALUD_Mes_Constante!$AC$1</f>
        <v>0</v>
      </c>
      <c r="AE283" s="8">
        <f>+MINVU_Mes_Corriente!AE283*SALUD_Mes_Constante!$AC$1</f>
        <v>0</v>
      </c>
      <c r="AF283" s="8">
        <f>+MINVU_Mes_Corriente!AF283*SALUD_Mes_Constante!$AC$1</f>
        <v>0</v>
      </c>
      <c r="AG283" s="8">
        <f>+MINVU_Mes_Corriente!AG283*SALUD_Mes_Constante!$AC$1</f>
        <v>0</v>
      </c>
      <c r="AH283" s="8">
        <f>+MINVU_Mes_Corriente!AH283*SALUD_Mes_Constante!$AC$1</f>
        <v>0</v>
      </c>
      <c r="AI283" s="8">
        <f>+MINVU_Mes_Corriente!AI283*SALUD_Mes_Constante!$AC$1</f>
        <v>0</v>
      </c>
      <c r="AJ283" s="8">
        <f>+MINVU_Mes_Corriente!AJ283*SALUD_Mes_Constante!$AC$1</f>
        <v>0</v>
      </c>
      <c r="AK283" s="8">
        <f>+MINVU_Mes_Corriente!AK283*SALUD_Mes_Constante!$AC$1</f>
        <v>0</v>
      </c>
      <c r="AL283" s="8">
        <f>+MINVU_Mes_Corriente!AL283*SALUD_Mes_Constante!$AC$1</f>
        <v>0</v>
      </c>
      <c r="AM283" s="8">
        <f>+MINVU_Mes_Corriente!AM283*SALUD_Mes_Constante!$AC$1</f>
        <v>0</v>
      </c>
      <c r="AN283" s="8">
        <f>+MINVU_Mes_Corriente!AN283*SALUD_Mes_Constante!$AC$1</f>
        <v>0</v>
      </c>
      <c r="AO283" s="9">
        <f t="shared" si="135"/>
        <v>0</v>
      </c>
      <c r="AP283" s="8">
        <f>+MINVU_Mes_Corriente!AP283*SALUD_Mes_Constante!$AP$1</f>
        <v>0</v>
      </c>
      <c r="AQ283" s="8">
        <f>+MINVU_Mes_Corriente!AQ283*SALUD_Mes_Constante!$AP$1</f>
        <v>0</v>
      </c>
      <c r="AR283" s="8">
        <f>+MINVU_Mes_Corriente!AR283*SALUD_Mes_Constante!$AP$1</f>
        <v>0</v>
      </c>
      <c r="AS283" s="8">
        <f>+MINVU_Mes_Corriente!AS283*SALUD_Mes_Constante!$AP$1</f>
        <v>0</v>
      </c>
      <c r="AT283" s="8">
        <f>+MINVU_Mes_Corriente!AT283*SALUD_Mes_Constante!$AP$1</f>
        <v>0</v>
      </c>
      <c r="AU283" s="8">
        <f>+MINVU_Mes_Corriente!AU283*SALUD_Mes_Constante!$AP$1</f>
        <v>0</v>
      </c>
      <c r="AV283" s="8">
        <f>+MINVU_Mes_Corriente!AV283*SALUD_Mes_Constante!$AP$1</f>
        <v>0</v>
      </c>
      <c r="AW283" s="8">
        <f>+MINVU_Mes_Corriente!AW283*SALUD_Mes_Constante!$AP$1</f>
        <v>0</v>
      </c>
      <c r="AX283" s="8">
        <f>+MINVU_Mes_Corriente!AX283*SALUD_Mes_Constante!$AP$1</f>
        <v>0</v>
      </c>
      <c r="AY283" s="8">
        <f>+MINVU_Mes_Corriente!AY283*SALUD_Mes_Constante!$AP$1</f>
        <v>0</v>
      </c>
      <c r="AZ283" s="8">
        <f>+MINVU_Mes_Corriente!AZ283*SALUD_Mes_Constante!$AP$1</f>
        <v>0</v>
      </c>
      <c r="BA283" s="8">
        <f>+MINVU_Mes_Corriente!BA283*SALUD_Mes_Constante!$AP$1</f>
        <v>0</v>
      </c>
      <c r="BB283" s="9">
        <f t="shared" si="136"/>
        <v>0</v>
      </c>
      <c r="BC283" s="8">
        <f>+MINVU_Mes_Corriente!BC283*SALUD_Mes_Constante!$BC$1</f>
        <v>0</v>
      </c>
      <c r="BD283" s="8">
        <f>+MINVU_Mes_Corriente!BD283*SALUD_Mes_Constante!$BC$1</f>
        <v>0</v>
      </c>
      <c r="BE283" s="8">
        <f>+MINVU_Mes_Corriente!BE283*SALUD_Mes_Constante!$BC$1</f>
        <v>0</v>
      </c>
      <c r="BF283" s="8">
        <f>+MINVU_Mes_Corriente!BF283*SALUD_Mes_Constante!$BC$1</f>
        <v>0</v>
      </c>
      <c r="BG283" s="8">
        <f>+MINVU_Mes_Corriente!BG283*SALUD_Mes_Constante!$BC$1</f>
        <v>0</v>
      </c>
      <c r="BH283" s="8">
        <f>+MINVU_Mes_Corriente!BH283*SALUD_Mes_Constante!$BC$1</f>
        <v>0</v>
      </c>
      <c r="BI283" s="8">
        <f>+MINVU_Mes_Corriente!BI283*SALUD_Mes_Constante!$BC$1</f>
        <v>0</v>
      </c>
      <c r="BJ283" s="8">
        <f>+MINVU_Mes_Corriente!BJ283*SALUD_Mes_Constante!$BC$1</f>
        <v>0</v>
      </c>
      <c r="BK283" s="8">
        <f>+MINVU_Mes_Corriente!BK283*SALUD_Mes_Constante!$BC$1</f>
        <v>0</v>
      </c>
      <c r="BL283" s="8">
        <f>+MINVU_Mes_Corriente!BL283*SALUD_Mes_Constante!$BC$1</f>
        <v>0</v>
      </c>
      <c r="BM283" s="8">
        <f>+MINVU_Mes_Corriente!BM283*SALUD_Mes_Constante!$BC$1</f>
        <v>0</v>
      </c>
      <c r="BN283" s="8">
        <f>+MINVU_Mes_Corriente!BN283*SALUD_Mes_Constante!$BC$1</f>
        <v>0</v>
      </c>
      <c r="BO283" s="9">
        <f t="shared" si="137"/>
        <v>0</v>
      </c>
      <c r="BP283" s="8">
        <f>+MINVU_Mes_Corriente!BP283*SALUD_Mes_Constante!$BP$1</f>
        <v>0</v>
      </c>
      <c r="BQ283" s="8">
        <f>+MINVU_Mes_Corriente!BQ283*SALUD_Mes_Constante!$BP$1</f>
        <v>0</v>
      </c>
      <c r="BR283" s="8">
        <f>+MINVU_Mes_Corriente!BR283*SALUD_Mes_Constante!$BP$1</f>
        <v>0</v>
      </c>
      <c r="BS283" s="8">
        <f>+MINVU_Mes_Corriente!BS283*SALUD_Mes_Constante!$BP$1</f>
        <v>0</v>
      </c>
      <c r="BT283" s="8">
        <f>+MINVU_Mes_Corriente!BT283*SALUD_Mes_Constante!$BP$1</f>
        <v>0</v>
      </c>
      <c r="BU283" s="8">
        <f>+MINVU_Mes_Corriente!BU283*SALUD_Mes_Constante!$BP$1</f>
        <v>0</v>
      </c>
      <c r="BV283" s="8">
        <f>+MINVU_Mes_Corriente!BV283*SALUD_Mes_Constante!$BP$1</f>
        <v>0</v>
      </c>
      <c r="BW283" s="8">
        <f>+MINVU_Mes_Corriente!BW283*SALUD_Mes_Constante!$BP$1</f>
        <v>0</v>
      </c>
      <c r="BX283" s="8">
        <f>+MINVU_Mes_Corriente!BX283*SALUD_Mes_Constante!$BP$1</f>
        <v>0</v>
      </c>
      <c r="BY283" s="8">
        <f>+MINVU_Mes_Corriente!BY283*SALUD_Mes_Constante!$BP$1</f>
        <v>0</v>
      </c>
      <c r="BZ283" s="8">
        <f>+MINVU_Mes_Corriente!BZ283*SALUD_Mes_Constante!$BP$1</f>
        <v>0</v>
      </c>
      <c r="CA283" s="8">
        <f>+MINVU_Mes_Corriente!CA283*SALUD_Mes_Constante!$BP$1</f>
        <v>0</v>
      </c>
      <c r="CB283" s="9">
        <f t="shared" si="138"/>
        <v>0</v>
      </c>
      <c r="CC283" s="8">
        <f>+MINVU_Mes_Corriente!CC283*SALUD_Mes_Constante!$CC$1</f>
        <v>0</v>
      </c>
      <c r="CD283" s="8">
        <f>+MINVU_Mes_Corriente!CD283*SALUD_Mes_Constante!$CC$1</f>
        <v>0</v>
      </c>
      <c r="CE283" s="8">
        <f>+MINVU_Mes_Corriente!CE283*SALUD_Mes_Constante!$CC$1</f>
        <v>0</v>
      </c>
      <c r="CF283" s="8">
        <f>+MINVU_Mes_Corriente!CF283*SALUD_Mes_Constante!$CC$1</f>
        <v>0</v>
      </c>
      <c r="CG283" s="8">
        <f>+MINVU_Mes_Corriente!CG283*SALUD_Mes_Constante!$CC$1</f>
        <v>0</v>
      </c>
      <c r="CH283" s="8">
        <f>+MINVU_Mes_Corriente!CH283*SALUD_Mes_Constante!$CC$1</f>
        <v>0</v>
      </c>
      <c r="CI283" s="8">
        <f>+MINVU_Mes_Corriente!CI283*SALUD_Mes_Constante!$CC$1</f>
        <v>0</v>
      </c>
      <c r="CJ283" s="8">
        <f>+MINVU_Mes_Corriente!CJ283*SALUD_Mes_Constante!$CC$1</f>
        <v>0</v>
      </c>
      <c r="CK283" s="8">
        <f>+MINVU_Mes_Corriente!CK283*SALUD_Mes_Constante!$CC$1</f>
        <v>0</v>
      </c>
      <c r="CL283" s="8">
        <f>+MINVU_Mes_Corriente!CL283*SALUD_Mes_Constante!$CC$1</f>
        <v>0</v>
      </c>
      <c r="CM283" s="8">
        <f>+MINVU_Mes_Corriente!CM283*SALUD_Mes_Constante!$CC$1</f>
        <v>0</v>
      </c>
      <c r="CN283" s="8">
        <f>+MINVU_Mes_Corriente!CN283*SALUD_Mes_Constante!$CC$1</f>
        <v>0</v>
      </c>
      <c r="CO283" s="9">
        <f t="shared" si="139"/>
        <v>0</v>
      </c>
      <c r="CP283" s="8">
        <f>+MINVU_Mes_Corriente!CP283*SALUD_Mes_Constante!$CP$1</f>
        <v>0</v>
      </c>
      <c r="CQ283" s="8">
        <f>+MINVU_Mes_Corriente!CQ283*SALUD_Mes_Constante!$CP$1</f>
        <v>0</v>
      </c>
      <c r="CR283" s="8">
        <f>+MINVU_Mes_Corriente!CR283*SALUD_Mes_Constante!$CP$1</f>
        <v>0</v>
      </c>
      <c r="CS283" s="8">
        <f>+MINVU_Mes_Corriente!CS283*SALUD_Mes_Constante!$CP$1</f>
        <v>0</v>
      </c>
      <c r="CT283" s="8">
        <f>+MINVU_Mes_Corriente!CT283*SALUD_Mes_Constante!$CP$1</f>
        <v>0</v>
      </c>
      <c r="CU283" s="8">
        <f>+MINVU_Mes_Corriente!CU283*SALUD_Mes_Constante!$CP$1</f>
        <v>0</v>
      </c>
      <c r="CV283" s="8">
        <f>+MINVU_Mes_Corriente!CV283*SALUD_Mes_Constante!$CP$1</f>
        <v>0</v>
      </c>
      <c r="CW283" s="8">
        <f>+MINVU_Mes_Corriente!CW283*SALUD_Mes_Constante!$CP$1</f>
        <v>0</v>
      </c>
      <c r="CX283" s="8">
        <f>+MINVU_Mes_Corriente!CX283*SALUD_Mes_Constante!$CP$1</f>
        <v>0</v>
      </c>
      <c r="CY283" s="8">
        <f>+MINVU_Mes_Corriente!CY283*SALUD_Mes_Constante!$CP$1</f>
        <v>0</v>
      </c>
      <c r="CZ283" s="8">
        <f>+MINVU_Mes_Corriente!CZ283*SALUD_Mes_Constante!$CP$1</f>
        <v>0</v>
      </c>
      <c r="DA283" s="8">
        <f>+MINVU_Mes_Corriente!DA283*SALUD_Mes_Constante!$CP$1</f>
        <v>0</v>
      </c>
      <c r="DB283" s="9">
        <f t="shared" si="140"/>
        <v>0</v>
      </c>
      <c r="DC283" s="8">
        <f>+MINVU_Mes_Corriente!DC283*SALUD_Mes_Constante!$DC$1</f>
        <v>0</v>
      </c>
      <c r="DD283" s="8">
        <f>+MINVU_Mes_Corriente!DD283*SALUD_Mes_Constante!$DC$1</f>
        <v>0</v>
      </c>
      <c r="DE283" s="8">
        <f>+MINVU_Mes_Corriente!DE283*SALUD_Mes_Constante!$DC$1</f>
        <v>0</v>
      </c>
      <c r="DF283" s="8">
        <f>+MINVU_Mes_Corriente!DF283*SALUD_Mes_Constante!$DC$1</f>
        <v>0</v>
      </c>
      <c r="DG283" s="8">
        <f>+MINVU_Mes_Corriente!DG283*SALUD_Mes_Constante!$DC$1</f>
        <v>0</v>
      </c>
      <c r="DH283" s="8">
        <f>+MINVU_Mes_Corriente!DH283*SALUD_Mes_Constante!$DC$1</f>
        <v>0</v>
      </c>
      <c r="DI283" s="8">
        <f>+MINVU_Mes_Corriente!DI283*SALUD_Mes_Constante!$DC$1</f>
        <v>0</v>
      </c>
      <c r="DJ283" s="8">
        <f>+MINVU_Mes_Corriente!DJ283*SALUD_Mes_Constante!$DC$1</f>
        <v>0</v>
      </c>
      <c r="DK283" s="8">
        <f>+MINVU_Mes_Corriente!DK283*SALUD_Mes_Constante!$DC$1</f>
        <v>0</v>
      </c>
      <c r="DL283" s="8">
        <f>+MINVU_Mes_Corriente!DL283*SALUD_Mes_Constante!$DC$1</f>
        <v>0</v>
      </c>
      <c r="DM283" s="8">
        <f>+MINVU_Mes_Corriente!DM283*SALUD_Mes_Constante!$DC$1</f>
        <v>0</v>
      </c>
      <c r="DN283" s="8">
        <f>+MINVU_Mes_Corriente!DN283*SALUD_Mes_Constante!$DC$1</f>
        <v>0</v>
      </c>
      <c r="DO283" s="9">
        <f t="shared" si="141"/>
        <v>0</v>
      </c>
      <c r="DP283" s="8">
        <f>+MINVU_Mes_Corriente!DP283*SALUD_Mes_Constante!$DP$1</f>
        <v>0</v>
      </c>
      <c r="DQ283" s="8">
        <f>+MINVU_Mes_Corriente!DQ283*SALUD_Mes_Constante!$DP$1</f>
        <v>0</v>
      </c>
      <c r="DR283" s="8">
        <f>+MINVU_Mes_Corriente!DR283*SALUD_Mes_Constante!$DP$1</f>
        <v>0</v>
      </c>
      <c r="DS283" s="8">
        <f>+MINVU_Mes_Corriente!DS283*SALUD_Mes_Constante!$DP$1</f>
        <v>0</v>
      </c>
      <c r="DT283" s="8">
        <f>+MINVU_Mes_Corriente!DT283*SALUD_Mes_Constante!$DP$1</f>
        <v>0</v>
      </c>
      <c r="DU283" s="8">
        <f>+MINVU_Mes_Corriente!DU283*SALUD_Mes_Constante!$DP$1</f>
        <v>0</v>
      </c>
      <c r="DV283" s="8">
        <f>+MINVU_Mes_Corriente!DV283*SALUD_Mes_Constante!$DP$1</f>
        <v>0</v>
      </c>
      <c r="DW283" s="8">
        <f>+MINVU_Mes_Corriente!DW283*SALUD_Mes_Constante!$DP$1</f>
        <v>0</v>
      </c>
      <c r="DX283" s="8">
        <f>+MINVU_Mes_Corriente!DX283*SALUD_Mes_Constante!$DP$1</f>
        <v>0</v>
      </c>
      <c r="DY283" s="8">
        <f>+MINVU_Mes_Corriente!DY283*SALUD_Mes_Constante!$DP$1</f>
        <v>0</v>
      </c>
      <c r="DZ283" s="8">
        <f>+MINVU_Mes_Corriente!DZ283*SALUD_Mes_Constante!$DP$1</f>
        <v>0</v>
      </c>
      <c r="EA283" s="8">
        <f>+MINVU_Mes_Corriente!EA283*SALUD_Mes_Constante!$DP$1</f>
        <v>0</v>
      </c>
      <c r="EB283" s="9">
        <f t="shared" si="142"/>
        <v>0</v>
      </c>
      <c r="EC283" s="8">
        <f>+MINVU_Mes_Corriente!EC283*SALUD_Mes_Constante!$EC$1</f>
        <v>0</v>
      </c>
      <c r="ED283" s="8">
        <f>+MINVU_Mes_Corriente!ED283*SALUD_Mes_Constante!$EC$1</f>
        <v>0</v>
      </c>
      <c r="EE283" s="8">
        <f>+MINVU_Mes_Corriente!EE283*SALUD_Mes_Constante!$EC$1</f>
        <v>0</v>
      </c>
      <c r="EF283" s="8">
        <f>+MINVU_Mes_Corriente!EF283*SALUD_Mes_Constante!$EC$1</f>
        <v>0</v>
      </c>
      <c r="EG283" s="8">
        <f>+MINVU_Mes_Corriente!EG283*SALUD_Mes_Constante!$EC$1</f>
        <v>0</v>
      </c>
      <c r="EH283" s="8">
        <f>+MINVU_Mes_Corriente!EH283*SALUD_Mes_Constante!$EC$1</f>
        <v>0</v>
      </c>
      <c r="EI283" s="8">
        <f>+MINVU_Mes_Corriente!EI283*SALUD_Mes_Constante!$EC$1</f>
        <v>0</v>
      </c>
      <c r="EJ283" s="8">
        <f>+MINVU_Mes_Corriente!EJ283*SALUD_Mes_Constante!$EC$1</f>
        <v>0</v>
      </c>
      <c r="EK283" s="8">
        <f>+MINVU_Mes_Corriente!EK283*SALUD_Mes_Constante!$EC$1</f>
        <v>0</v>
      </c>
      <c r="EL283" s="8">
        <f>+MINVU_Mes_Corriente!EL283*SALUD_Mes_Constante!$EC$1</f>
        <v>0</v>
      </c>
      <c r="EM283" s="8">
        <f>+MINVU_Mes_Corriente!EM283*SALUD_Mes_Constante!$EC$1</f>
        <v>0</v>
      </c>
      <c r="EN283" s="8">
        <f>+MINVU_Mes_Corriente!EN283*SALUD_Mes_Constante!$EC$1</f>
        <v>0</v>
      </c>
      <c r="EO283" s="9">
        <f t="shared" si="143"/>
        <v>0</v>
      </c>
      <c r="EP283" s="8">
        <f>+MINVU_Mes_Corriente!EP283*SALUD_Mes_Constante!$EP$1</f>
        <v>0</v>
      </c>
      <c r="EQ283" s="8">
        <f>+MINVU_Mes_Corriente!EQ283*SALUD_Mes_Constante!$EP$1</f>
        <v>0</v>
      </c>
      <c r="ER283" s="8">
        <f>+MINVU_Mes_Corriente!ER283*SALUD_Mes_Constante!$EP$1</f>
        <v>0</v>
      </c>
      <c r="ES283" s="8">
        <f>+MINVU_Mes_Corriente!ES283*SALUD_Mes_Constante!$EP$1</f>
        <v>0</v>
      </c>
      <c r="ET283" s="8">
        <f>+MINVU_Mes_Corriente!ET283*SALUD_Mes_Constante!$EP$1</f>
        <v>0</v>
      </c>
      <c r="EU283" s="8">
        <f>+MINVU_Mes_Corriente!EU283*SALUD_Mes_Constante!$EP$1</f>
        <v>0</v>
      </c>
      <c r="EV283" s="8">
        <f>+MINVU_Mes_Corriente!EV283*SALUD_Mes_Constante!$EP$1</f>
        <v>0</v>
      </c>
      <c r="EW283" s="8">
        <f>+MINVU_Mes_Corriente!EW283*SALUD_Mes_Constante!$EP$1</f>
        <v>0</v>
      </c>
      <c r="EX283" s="8">
        <f>+MINVU_Mes_Corriente!EX283*SALUD_Mes_Constante!$EP$1</f>
        <v>0</v>
      </c>
      <c r="EY283" s="8">
        <f>+MINVU_Mes_Corriente!EY283*SALUD_Mes_Constante!$EP$1</f>
        <v>0</v>
      </c>
      <c r="EZ283" s="8">
        <f>+MINVU_Mes_Corriente!EZ283*SALUD_Mes_Constante!$EP$1</f>
        <v>0</v>
      </c>
      <c r="FA283" s="8">
        <f>+MINVU_Mes_Corriente!FA283*SALUD_Mes_Constante!$EP$1</f>
        <v>0</v>
      </c>
      <c r="FB283" s="9">
        <f t="shared" si="144"/>
        <v>0</v>
      </c>
      <c r="FC283" s="8">
        <f>+MINVU_Mes_Corriente!FC283*SALUD_Mes_Constante!$FC$1</f>
        <v>0</v>
      </c>
      <c r="FD283" s="8">
        <f>+MINVU_Mes_Corriente!FD283*SALUD_Mes_Constante!$FC$1</f>
        <v>0</v>
      </c>
      <c r="FE283" s="8">
        <f>+MINVU_Mes_Corriente!FE283*SALUD_Mes_Constante!$FC$1</f>
        <v>0</v>
      </c>
      <c r="FF283" s="8">
        <f>+MINVU_Mes_Corriente!FF283*SALUD_Mes_Constante!$FC$1</f>
        <v>0</v>
      </c>
      <c r="FG283" s="8">
        <f>+MINVU_Mes_Corriente!FG283*SALUD_Mes_Constante!$FC$1</f>
        <v>0</v>
      </c>
      <c r="FH283" s="8">
        <f>+MINVU_Mes_Corriente!FH283*SALUD_Mes_Constante!$FC$1</f>
        <v>0</v>
      </c>
      <c r="FI283" s="8">
        <f>+MINVU_Mes_Corriente!FI283*SALUD_Mes_Constante!$FC$1</f>
        <v>0</v>
      </c>
      <c r="FJ283" s="8"/>
      <c r="FK283" s="8"/>
      <c r="FL283" s="8"/>
      <c r="FM283" s="8"/>
      <c r="FN283" s="8"/>
      <c r="FO283" s="9">
        <f t="shared" si="145"/>
        <v>0</v>
      </c>
    </row>
    <row r="284" spans="2:171" ht="14.25" customHeight="1" x14ac:dyDescent="0.3">
      <c r="B284" s="7" t="s">
        <v>61</v>
      </c>
      <c r="C284" s="8">
        <f>+MINVU_Mes_Corriente!C284*SALUD_Mes_Constante!$C$1</f>
        <v>0</v>
      </c>
      <c r="D284" s="8">
        <f>+MINVU_Mes_Corriente!D284*SALUD_Mes_Constante!$C$1</f>
        <v>0</v>
      </c>
      <c r="E284" s="8">
        <f>+MINVU_Mes_Corriente!E284*SALUD_Mes_Constante!$C$1</f>
        <v>0</v>
      </c>
      <c r="F284" s="8">
        <f>+MINVU_Mes_Corriente!F284*SALUD_Mes_Constante!$C$1</f>
        <v>0</v>
      </c>
      <c r="G284" s="8">
        <f>+MINVU_Mes_Corriente!G284*SALUD_Mes_Constante!$C$1</f>
        <v>0</v>
      </c>
      <c r="H284" s="8">
        <f>+MINVU_Mes_Corriente!H284*SALUD_Mes_Constante!$C$1</f>
        <v>0</v>
      </c>
      <c r="I284" s="8">
        <f>+MINVU_Mes_Corriente!I284*SALUD_Mes_Constante!$C$1</f>
        <v>0</v>
      </c>
      <c r="J284" s="8">
        <f>+MINVU_Mes_Corriente!J284*SALUD_Mes_Constante!$C$1</f>
        <v>0</v>
      </c>
      <c r="K284" s="8">
        <f>+MINVU_Mes_Corriente!K284*SALUD_Mes_Constante!$C$1</f>
        <v>0</v>
      </c>
      <c r="L284" s="8">
        <f>+MINVU_Mes_Corriente!L284*SALUD_Mes_Constante!$C$1</f>
        <v>0</v>
      </c>
      <c r="M284" s="8">
        <f>+MINVU_Mes_Corriente!M284*SALUD_Mes_Constante!$C$1</f>
        <v>0</v>
      </c>
      <c r="N284" s="8">
        <f>+MINVU_Mes_Corriente!N284*SALUD_Mes_Constante!$C$1</f>
        <v>0</v>
      </c>
      <c r="O284" s="9">
        <f t="shared" si="133"/>
        <v>0</v>
      </c>
      <c r="P284" s="8">
        <f>+MINVU_Mes_Corriente!P284*SALUD_Mes_Constante!$P$1</f>
        <v>0</v>
      </c>
      <c r="Q284" s="8">
        <f>+MINVU_Mes_Corriente!Q284*SALUD_Mes_Constante!$P$1</f>
        <v>0</v>
      </c>
      <c r="R284" s="8">
        <f>+MINVU_Mes_Corriente!R284*SALUD_Mes_Constante!$P$1</f>
        <v>0</v>
      </c>
      <c r="S284" s="8">
        <f>+MINVU_Mes_Corriente!S284*SALUD_Mes_Constante!$P$1</f>
        <v>0</v>
      </c>
      <c r="T284" s="8">
        <f>+MINVU_Mes_Corriente!T284*SALUD_Mes_Constante!$P$1</f>
        <v>0</v>
      </c>
      <c r="U284" s="8">
        <f>+MINVU_Mes_Corriente!U284*SALUD_Mes_Constante!$P$1</f>
        <v>0</v>
      </c>
      <c r="V284" s="8">
        <f>+MINVU_Mes_Corriente!V284*SALUD_Mes_Constante!$P$1</f>
        <v>0</v>
      </c>
      <c r="W284" s="8">
        <f>+MINVU_Mes_Corriente!W284*SALUD_Mes_Constante!$P$1</f>
        <v>0</v>
      </c>
      <c r="X284" s="8">
        <f>+MINVU_Mes_Corriente!X284*SALUD_Mes_Constante!$P$1</f>
        <v>0</v>
      </c>
      <c r="Y284" s="8">
        <f>+MINVU_Mes_Corriente!Y284*SALUD_Mes_Constante!$P$1</f>
        <v>0</v>
      </c>
      <c r="Z284" s="8">
        <f>+MINVU_Mes_Corriente!Z284*SALUD_Mes_Constante!$P$1</f>
        <v>0</v>
      </c>
      <c r="AA284" s="8">
        <f>+MINVU_Mes_Corriente!AA284*SALUD_Mes_Constante!$P$1</f>
        <v>0</v>
      </c>
      <c r="AB284" s="9">
        <f t="shared" si="134"/>
        <v>0</v>
      </c>
      <c r="AC284" s="8">
        <f>+MINVU_Mes_Corriente!AC284*SALUD_Mes_Constante!$AC$1</f>
        <v>0</v>
      </c>
      <c r="AD284" s="8">
        <f>+MINVU_Mes_Corriente!AD284*SALUD_Mes_Constante!$AC$1</f>
        <v>0</v>
      </c>
      <c r="AE284" s="8">
        <f>+MINVU_Mes_Corriente!AE284*SALUD_Mes_Constante!$AC$1</f>
        <v>0</v>
      </c>
      <c r="AF284" s="8">
        <f>+MINVU_Mes_Corriente!AF284*SALUD_Mes_Constante!$AC$1</f>
        <v>0</v>
      </c>
      <c r="AG284" s="8">
        <f>+MINVU_Mes_Corriente!AG284*SALUD_Mes_Constante!$AC$1</f>
        <v>0</v>
      </c>
      <c r="AH284" s="8">
        <f>+MINVU_Mes_Corriente!AH284*SALUD_Mes_Constante!$AC$1</f>
        <v>0</v>
      </c>
      <c r="AI284" s="8">
        <f>+MINVU_Mes_Corriente!AI284*SALUD_Mes_Constante!$AC$1</f>
        <v>0</v>
      </c>
      <c r="AJ284" s="8">
        <f>+MINVU_Mes_Corriente!AJ284*SALUD_Mes_Constante!$AC$1</f>
        <v>0</v>
      </c>
      <c r="AK284" s="8">
        <f>+MINVU_Mes_Corriente!AK284*SALUD_Mes_Constante!$AC$1</f>
        <v>0</v>
      </c>
      <c r="AL284" s="8">
        <f>+MINVU_Mes_Corriente!AL284*SALUD_Mes_Constante!$AC$1</f>
        <v>0</v>
      </c>
      <c r="AM284" s="8">
        <f>+MINVU_Mes_Corriente!AM284*SALUD_Mes_Constante!$AC$1</f>
        <v>0</v>
      </c>
      <c r="AN284" s="8">
        <f>+MINVU_Mes_Corriente!AN284*SALUD_Mes_Constante!$AC$1</f>
        <v>0</v>
      </c>
      <c r="AO284" s="9">
        <f t="shared" si="135"/>
        <v>0</v>
      </c>
      <c r="AP284" s="8">
        <f>+MINVU_Mes_Corriente!AP284*SALUD_Mes_Constante!$AP$1</f>
        <v>0</v>
      </c>
      <c r="AQ284" s="8">
        <f>+MINVU_Mes_Corriente!AQ284*SALUD_Mes_Constante!$AP$1</f>
        <v>0</v>
      </c>
      <c r="AR284" s="8">
        <f>+MINVU_Mes_Corriente!AR284*SALUD_Mes_Constante!$AP$1</f>
        <v>0</v>
      </c>
      <c r="AS284" s="8">
        <f>+MINVU_Mes_Corriente!AS284*SALUD_Mes_Constante!$AP$1</f>
        <v>0</v>
      </c>
      <c r="AT284" s="8">
        <f>+MINVU_Mes_Corriente!AT284*SALUD_Mes_Constante!$AP$1</f>
        <v>0</v>
      </c>
      <c r="AU284" s="8">
        <f>+MINVU_Mes_Corriente!AU284*SALUD_Mes_Constante!$AP$1</f>
        <v>0</v>
      </c>
      <c r="AV284" s="8">
        <f>+MINVU_Mes_Corriente!AV284*SALUD_Mes_Constante!$AP$1</f>
        <v>0</v>
      </c>
      <c r="AW284" s="8">
        <f>+MINVU_Mes_Corriente!AW284*SALUD_Mes_Constante!$AP$1</f>
        <v>0</v>
      </c>
      <c r="AX284" s="8">
        <f>+MINVU_Mes_Corriente!AX284*SALUD_Mes_Constante!$AP$1</f>
        <v>0</v>
      </c>
      <c r="AY284" s="8">
        <f>+MINVU_Mes_Corriente!AY284*SALUD_Mes_Constante!$AP$1</f>
        <v>0</v>
      </c>
      <c r="AZ284" s="8">
        <f>+MINVU_Mes_Corriente!AZ284*SALUD_Mes_Constante!$AP$1</f>
        <v>0</v>
      </c>
      <c r="BA284" s="8">
        <f>+MINVU_Mes_Corriente!BA284*SALUD_Mes_Constante!$AP$1</f>
        <v>0</v>
      </c>
      <c r="BB284" s="9">
        <f t="shared" si="136"/>
        <v>0</v>
      </c>
      <c r="BC284" s="8">
        <f>+MINVU_Mes_Corriente!BC284*SALUD_Mes_Constante!$BC$1</f>
        <v>0</v>
      </c>
      <c r="BD284" s="8">
        <f>+MINVU_Mes_Corriente!BD284*SALUD_Mes_Constante!$BC$1</f>
        <v>0</v>
      </c>
      <c r="BE284" s="8">
        <f>+MINVU_Mes_Corriente!BE284*SALUD_Mes_Constante!$BC$1</f>
        <v>0</v>
      </c>
      <c r="BF284" s="8">
        <f>+MINVU_Mes_Corriente!BF284*SALUD_Mes_Constante!$BC$1</f>
        <v>0</v>
      </c>
      <c r="BG284" s="8">
        <f>+MINVU_Mes_Corriente!BG284*SALUD_Mes_Constante!$BC$1</f>
        <v>0</v>
      </c>
      <c r="BH284" s="8">
        <f>+MINVU_Mes_Corriente!BH284*SALUD_Mes_Constante!$BC$1</f>
        <v>0</v>
      </c>
      <c r="BI284" s="8">
        <f>+MINVU_Mes_Corriente!BI284*SALUD_Mes_Constante!$BC$1</f>
        <v>0</v>
      </c>
      <c r="BJ284" s="8">
        <f>+MINVU_Mes_Corriente!BJ284*SALUD_Mes_Constante!$BC$1</f>
        <v>0</v>
      </c>
      <c r="BK284" s="8">
        <f>+MINVU_Mes_Corriente!BK284*SALUD_Mes_Constante!$BC$1</f>
        <v>0</v>
      </c>
      <c r="BL284" s="8">
        <f>+MINVU_Mes_Corriente!BL284*SALUD_Mes_Constante!$BC$1</f>
        <v>0</v>
      </c>
      <c r="BM284" s="8">
        <f>+MINVU_Mes_Corriente!BM284*SALUD_Mes_Constante!$BC$1</f>
        <v>0</v>
      </c>
      <c r="BN284" s="8">
        <f>+MINVU_Mes_Corriente!BN284*SALUD_Mes_Constante!$BC$1</f>
        <v>0</v>
      </c>
      <c r="BO284" s="9">
        <f t="shared" si="137"/>
        <v>0</v>
      </c>
      <c r="BP284" s="8">
        <f>+MINVU_Mes_Corriente!BP284*SALUD_Mes_Constante!$BP$1</f>
        <v>0</v>
      </c>
      <c r="BQ284" s="8">
        <f>+MINVU_Mes_Corriente!BQ284*SALUD_Mes_Constante!$BP$1</f>
        <v>0</v>
      </c>
      <c r="BR284" s="8">
        <f>+MINVU_Mes_Corriente!BR284*SALUD_Mes_Constante!$BP$1</f>
        <v>0</v>
      </c>
      <c r="BS284" s="8">
        <f>+MINVU_Mes_Corriente!BS284*SALUD_Mes_Constante!$BP$1</f>
        <v>0</v>
      </c>
      <c r="BT284" s="8">
        <f>+MINVU_Mes_Corriente!BT284*SALUD_Mes_Constante!$BP$1</f>
        <v>0</v>
      </c>
      <c r="BU284" s="8">
        <f>+MINVU_Mes_Corriente!BU284*SALUD_Mes_Constante!$BP$1</f>
        <v>0</v>
      </c>
      <c r="BV284" s="8">
        <f>+MINVU_Mes_Corriente!BV284*SALUD_Mes_Constante!$BP$1</f>
        <v>0</v>
      </c>
      <c r="BW284" s="8">
        <f>+MINVU_Mes_Corriente!BW284*SALUD_Mes_Constante!$BP$1</f>
        <v>0</v>
      </c>
      <c r="BX284" s="8">
        <f>+MINVU_Mes_Corriente!BX284*SALUD_Mes_Constante!$BP$1</f>
        <v>0</v>
      </c>
      <c r="BY284" s="8">
        <f>+MINVU_Mes_Corriente!BY284*SALUD_Mes_Constante!$BP$1</f>
        <v>0</v>
      </c>
      <c r="BZ284" s="8">
        <f>+MINVU_Mes_Corriente!BZ284*SALUD_Mes_Constante!$BP$1</f>
        <v>0</v>
      </c>
      <c r="CA284" s="8">
        <f>+MINVU_Mes_Corriente!CA284*SALUD_Mes_Constante!$BP$1</f>
        <v>0</v>
      </c>
      <c r="CB284" s="9">
        <f t="shared" si="138"/>
        <v>0</v>
      </c>
      <c r="CC284" s="8">
        <f>+MINVU_Mes_Corriente!CC284*SALUD_Mes_Constante!$CC$1</f>
        <v>0</v>
      </c>
      <c r="CD284" s="8">
        <f>+MINVU_Mes_Corriente!CD284*SALUD_Mes_Constante!$CC$1</f>
        <v>0</v>
      </c>
      <c r="CE284" s="8">
        <f>+MINVU_Mes_Corriente!CE284*SALUD_Mes_Constante!$CC$1</f>
        <v>0</v>
      </c>
      <c r="CF284" s="8">
        <f>+MINVU_Mes_Corriente!CF284*SALUD_Mes_Constante!$CC$1</f>
        <v>0</v>
      </c>
      <c r="CG284" s="8">
        <f>+MINVU_Mes_Corriente!CG284*SALUD_Mes_Constante!$CC$1</f>
        <v>0</v>
      </c>
      <c r="CH284" s="8">
        <f>+MINVU_Mes_Corriente!CH284*SALUD_Mes_Constante!$CC$1</f>
        <v>0</v>
      </c>
      <c r="CI284" s="8">
        <f>+MINVU_Mes_Corriente!CI284*SALUD_Mes_Constante!$CC$1</f>
        <v>0</v>
      </c>
      <c r="CJ284" s="8">
        <f>+MINVU_Mes_Corriente!CJ284*SALUD_Mes_Constante!$CC$1</f>
        <v>0</v>
      </c>
      <c r="CK284" s="8">
        <f>+MINVU_Mes_Corriente!CK284*SALUD_Mes_Constante!$CC$1</f>
        <v>0</v>
      </c>
      <c r="CL284" s="8">
        <f>+MINVU_Mes_Corriente!CL284*SALUD_Mes_Constante!$CC$1</f>
        <v>0</v>
      </c>
      <c r="CM284" s="8">
        <f>+MINVU_Mes_Corriente!CM284*SALUD_Mes_Constante!$CC$1</f>
        <v>0</v>
      </c>
      <c r="CN284" s="8">
        <f>+MINVU_Mes_Corriente!CN284*SALUD_Mes_Constante!$CC$1</f>
        <v>0</v>
      </c>
      <c r="CO284" s="9">
        <f t="shared" si="139"/>
        <v>0</v>
      </c>
      <c r="CP284" s="8">
        <f>+MINVU_Mes_Corriente!CP284*SALUD_Mes_Constante!$CP$1</f>
        <v>0</v>
      </c>
      <c r="CQ284" s="8">
        <f>+MINVU_Mes_Corriente!CQ284*SALUD_Mes_Constante!$CP$1</f>
        <v>0</v>
      </c>
      <c r="CR284" s="8">
        <f>+MINVU_Mes_Corriente!CR284*SALUD_Mes_Constante!$CP$1</f>
        <v>0</v>
      </c>
      <c r="CS284" s="8">
        <f>+MINVU_Mes_Corriente!CS284*SALUD_Mes_Constante!$CP$1</f>
        <v>0</v>
      </c>
      <c r="CT284" s="8">
        <f>+MINVU_Mes_Corriente!CT284*SALUD_Mes_Constante!$CP$1</f>
        <v>0</v>
      </c>
      <c r="CU284" s="8">
        <f>+MINVU_Mes_Corriente!CU284*SALUD_Mes_Constante!$CP$1</f>
        <v>0</v>
      </c>
      <c r="CV284" s="8">
        <f>+MINVU_Mes_Corriente!CV284*SALUD_Mes_Constante!$CP$1</f>
        <v>0</v>
      </c>
      <c r="CW284" s="8">
        <f>+MINVU_Mes_Corriente!CW284*SALUD_Mes_Constante!$CP$1</f>
        <v>0</v>
      </c>
      <c r="CX284" s="8">
        <f>+MINVU_Mes_Corriente!CX284*SALUD_Mes_Constante!$CP$1</f>
        <v>0</v>
      </c>
      <c r="CY284" s="8">
        <f>+MINVU_Mes_Corriente!CY284*SALUD_Mes_Constante!$CP$1</f>
        <v>0</v>
      </c>
      <c r="CZ284" s="8">
        <f>+MINVU_Mes_Corriente!CZ284*SALUD_Mes_Constante!$CP$1</f>
        <v>0</v>
      </c>
      <c r="DA284" s="8">
        <f>+MINVU_Mes_Corriente!DA284*SALUD_Mes_Constante!$CP$1</f>
        <v>0</v>
      </c>
      <c r="DB284" s="9">
        <f t="shared" si="140"/>
        <v>0</v>
      </c>
      <c r="DC284" s="8">
        <f>+MINVU_Mes_Corriente!DC284*SALUD_Mes_Constante!$DC$1</f>
        <v>0</v>
      </c>
      <c r="DD284" s="8">
        <f>+MINVU_Mes_Corriente!DD284*SALUD_Mes_Constante!$DC$1</f>
        <v>0</v>
      </c>
      <c r="DE284" s="8">
        <f>+MINVU_Mes_Corriente!DE284*SALUD_Mes_Constante!$DC$1</f>
        <v>0</v>
      </c>
      <c r="DF284" s="8">
        <f>+MINVU_Mes_Corriente!DF284*SALUD_Mes_Constante!$DC$1</f>
        <v>0</v>
      </c>
      <c r="DG284" s="8">
        <f>+MINVU_Mes_Corriente!DG284*SALUD_Mes_Constante!$DC$1</f>
        <v>0</v>
      </c>
      <c r="DH284" s="8">
        <f>+MINVU_Mes_Corriente!DH284*SALUD_Mes_Constante!$DC$1</f>
        <v>0</v>
      </c>
      <c r="DI284" s="8">
        <f>+MINVU_Mes_Corriente!DI284*SALUD_Mes_Constante!$DC$1</f>
        <v>0</v>
      </c>
      <c r="DJ284" s="8">
        <f>+MINVU_Mes_Corriente!DJ284*SALUD_Mes_Constante!$DC$1</f>
        <v>0</v>
      </c>
      <c r="DK284" s="8">
        <f>+MINVU_Mes_Corriente!DK284*SALUD_Mes_Constante!$DC$1</f>
        <v>0</v>
      </c>
      <c r="DL284" s="8">
        <f>+MINVU_Mes_Corriente!DL284*SALUD_Mes_Constante!$DC$1</f>
        <v>0</v>
      </c>
      <c r="DM284" s="8">
        <f>+MINVU_Mes_Corriente!DM284*SALUD_Mes_Constante!$DC$1</f>
        <v>0</v>
      </c>
      <c r="DN284" s="8">
        <f>+MINVU_Mes_Corriente!DN284*SALUD_Mes_Constante!$DC$1</f>
        <v>0</v>
      </c>
      <c r="DO284" s="9">
        <f t="shared" si="141"/>
        <v>0</v>
      </c>
      <c r="DP284" s="8">
        <f>+MINVU_Mes_Corriente!DP284*SALUD_Mes_Constante!$DP$1</f>
        <v>0</v>
      </c>
      <c r="DQ284" s="8">
        <f>+MINVU_Mes_Corriente!DQ284*SALUD_Mes_Constante!$DP$1</f>
        <v>0</v>
      </c>
      <c r="DR284" s="8">
        <f>+MINVU_Mes_Corriente!DR284*SALUD_Mes_Constante!$DP$1</f>
        <v>0</v>
      </c>
      <c r="DS284" s="8">
        <f>+MINVU_Mes_Corriente!DS284*SALUD_Mes_Constante!$DP$1</f>
        <v>0</v>
      </c>
      <c r="DT284" s="8">
        <f>+MINVU_Mes_Corriente!DT284*SALUD_Mes_Constante!$DP$1</f>
        <v>0</v>
      </c>
      <c r="DU284" s="8">
        <f>+MINVU_Mes_Corriente!DU284*SALUD_Mes_Constante!$DP$1</f>
        <v>0</v>
      </c>
      <c r="DV284" s="8">
        <f>+MINVU_Mes_Corriente!DV284*SALUD_Mes_Constante!$DP$1</f>
        <v>0</v>
      </c>
      <c r="DW284" s="8">
        <f>+MINVU_Mes_Corriente!DW284*SALUD_Mes_Constante!$DP$1</f>
        <v>0</v>
      </c>
      <c r="DX284" s="8">
        <f>+MINVU_Mes_Corriente!DX284*SALUD_Mes_Constante!$DP$1</f>
        <v>0</v>
      </c>
      <c r="DY284" s="8">
        <f>+MINVU_Mes_Corriente!DY284*SALUD_Mes_Constante!$DP$1</f>
        <v>0</v>
      </c>
      <c r="DZ284" s="8">
        <f>+MINVU_Mes_Corriente!DZ284*SALUD_Mes_Constante!$DP$1</f>
        <v>0</v>
      </c>
      <c r="EA284" s="8">
        <f>+MINVU_Mes_Corriente!EA284*SALUD_Mes_Constante!$DP$1</f>
        <v>0</v>
      </c>
      <c r="EB284" s="9">
        <f t="shared" si="142"/>
        <v>0</v>
      </c>
      <c r="EC284" s="8">
        <f>+MINVU_Mes_Corriente!EC284*SALUD_Mes_Constante!$EC$1</f>
        <v>0</v>
      </c>
      <c r="ED284" s="8">
        <f>+MINVU_Mes_Corriente!ED284*SALUD_Mes_Constante!$EC$1</f>
        <v>0</v>
      </c>
      <c r="EE284" s="8">
        <f>+MINVU_Mes_Corriente!EE284*SALUD_Mes_Constante!$EC$1</f>
        <v>0</v>
      </c>
      <c r="EF284" s="8">
        <f>+MINVU_Mes_Corriente!EF284*SALUD_Mes_Constante!$EC$1</f>
        <v>0</v>
      </c>
      <c r="EG284" s="8">
        <f>+MINVU_Mes_Corriente!EG284*SALUD_Mes_Constante!$EC$1</f>
        <v>0</v>
      </c>
      <c r="EH284" s="8">
        <f>+MINVU_Mes_Corriente!EH284*SALUD_Mes_Constante!$EC$1</f>
        <v>0</v>
      </c>
      <c r="EI284" s="8">
        <f>+MINVU_Mes_Corriente!EI284*SALUD_Mes_Constante!$EC$1</f>
        <v>0</v>
      </c>
      <c r="EJ284" s="8">
        <f>+MINVU_Mes_Corriente!EJ284*SALUD_Mes_Constante!$EC$1</f>
        <v>0</v>
      </c>
      <c r="EK284" s="8">
        <f>+MINVU_Mes_Corriente!EK284*SALUD_Mes_Constante!$EC$1</f>
        <v>0</v>
      </c>
      <c r="EL284" s="8">
        <f>+MINVU_Mes_Corriente!EL284*SALUD_Mes_Constante!$EC$1</f>
        <v>0</v>
      </c>
      <c r="EM284" s="8">
        <f>+MINVU_Mes_Corriente!EM284*SALUD_Mes_Constante!$EC$1</f>
        <v>0</v>
      </c>
      <c r="EN284" s="8">
        <f>+MINVU_Mes_Corriente!EN284*SALUD_Mes_Constante!$EC$1</f>
        <v>0</v>
      </c>
      <c r="EO284" s="9">
        <f t="shared" si="143"/>
        <v>0</v>
      </c>
      <c r="EP284" s="8">
        <f>+MINVU_Mes_Corriente!EP284*SALUD_Mes_Constante!$EP$1</f>
        <v>0</v>
      </c>
      <c r="EQ284" s="8">
        <f>+MINVU_Mes_Corriente!EQ284*SALUD_Mes_Constante!$EP$1</f>
        <v>0</v>
      </c>
      <c r="ER284" s="8">
        <f>+MINVU_Mes_Corriente!ER284*SALUD_Mes_Constante!$EP$1</f>
        <v>0</v>
      </c>
      <c r="ES284" s="8">
        <f>+MINVU_Mes_Corriente!ES284*SALUD_Mes_Constante!$EP$1</f>
        <v>0</v>
      </c>
      <c r="ET284" s="8">
        <f>+MINVU_Mes_Corriente!ET284*SALUD_Mes_Constante!$EP$1</f>
        <v>0</v>
      </c>
      <c r="EU284" s="8">
        <f>+MINVU_Mes_Corriente!EU284*SALUD_Mes_Constante!$EP$1</f>
        <v>0</v>
      </c>
      <c r="EV284" s="8">
        <f>+MINVU_Mes_Corriente!EV284*SALUD_Mes_Constante!$EP$1</f>
        <v>0</v>
      </c>
      <c r="EW284" s="8">
        <f>+MINVU_Mes_Corriente!EW284*SALUD_Mes_Constante!$EP$1</f>
        <v>0</v>
      </c>
      <c r="EX284" s="8">
        <f>+MINVU_Mes_Corriente!EX284*SALUD_Mes_Constante!$EP$1</f>
        <v>0</v>
      </c>
      <c r="EY284" s="8">
        <f>+MINVU_Mes_Corriente!EY284*SALUD_Mes_Constante!$EP$1</f>
        <v>0</v>
      </c>
      <c r="EZ284" s="8">
        <f>+MINVU_Mes_Corriente!EZ284*SALUD_Mes_Constante!$EP$1</f>
        <v>0</v>
      </c>
      <c r="FA284" s="8">
        <f>+MINVU_Mes_Corriente!FA284*SALUD_Mes_Constante!$EP$1</f>
        <v>0</v>
      </c>
      <c r="FB284" s="9">
        <f t="shared" si="144"/>
        <v>0</v>
      </c>
      <c r="FC284" s="8">
        <f>+MINVU_Mes_Corriente!FC284*SALUD_Mes_Constante!$FC$1</f>
        <v>0</v>
      </c>
      <c r="FD284" s="8">
        <f>+MINVU_Mes_Corriente!FD284*SALUD_Mes_Constante!$FC$1</f>
        <v>0</v>
      </c>
      <c r="FE284" s="8">
        <f>+MINVU_Mes_Corriente!FE284*SALUD_Mes_Constante!$FC$1</f>
        <v>0</v>
      </c>
      <c r="FF284" s="8">
        <f>+MINVU_Mes_Corriente!FF284*SALUD_Mes_Constante!$FC$1</f>
        <v>0</v>
      </c>
      <c r="FG284" s="8">
        <f>+MINVU_Mes_Corriente!FG284*SALUD_Mes_Constante!$FC$1</f>
        <v>0</v>
      </c>
      <c r="FH284" s="8">
        <f>+MINVU_Mes_Corriente!FH284*SALUD_Mes_Constante!$FC$1</f>
        <v>0</v>
      </c>
      <c r="FI284" s="8">
        <f>+MINVU_Mes_Corriente!FI284*SALUD_Mes_Constante!$FC$1</f>
        <v>0</v>
      </c>
      <c r="FJ284" s="8"/>
      <c r="FK284" s="8"/>
      <c r="FL284" s="8"/>
      <c r="FM284" s="8"/>
      <c r="FN284" s="8"/>
      <c r="FO284" s="9">
        <f t="shared" si="145"/>
        <v>0</v>
      </c>
    </row>
    <row r="285" spans="2:171" ht="14.25" customHeight="1" x14ac:dyDescent="0.3">
      <c r="B285" s="7" t="s">
        <v>62</v>
      </c>
      <c r="C285" s="8">
        <f>+MINVU_Mes_Corriente!C285*SALUD_Mes_Constante!$C$1</f>
        <v>0</v>
      </c>
      <c r="D285" s="8">
        <f>+MINVU_Mes_Corriente!D285*SALUD_Mes_Constante!$C$1</f>
        <v>0</v>
      </c>
      <c r="E285" s="8">
        <f>+MINVU_Mes_Corriente!E285*SALUD_Mes_Constante!$C$1</f>
        <v>0</v>
      </c>
      <c r="F285" s="8">
        <f>+MINVU_Mes_Corriente!F285*SALUD_Mes_Constante!$C$1</f>
        <v>0</v>
      </c>
      <c r="G285" s="8">
        <f>+MINVU_Mes_Corriente!G285*SALUD_Mes_Constante!$C$1</f>
        <v>0</v>
      </c>
      <c r="H285" s="8">
        <f>+MINVU_Mes_Corriente!H285*SALUD_Mes_Constante!$C$1</f>
        <v>0</v>
      </c>
      <c r="I285" s="8">
        <f>+MINVU_Mes_Corriente!I285*SALUD_Mes_Constante!$C$1</f>
        <v>0</v>
      </c>
      <c r="J285" s="8">
        <f>+MINVU_Mes_Corriente!J285*SALUD_Mes_Constante!$C$1</f>
        <v>0</v>
      </c>
      <c r="K285" s="8">
        <f>+MINVU_Mes_Corriente!K285*SALUD_Mes_Constante!$C$1</f>
        <v>0</v>
      </c>
      <c r="L285" s="8">
        <f>+MINVU_Mes_Corriente!L285*SALUD_Mes_Constante!$C$1</f>
        <v>0</v>
      </c>
      <c r="M285" s="8">
        <f>+MINVU_Mes_Corriente!M285*SALUD_Mes_Constante!$C$1</f>
        <v>0</v>
      </c>
      <c r="N285" s="8">
        <f>+MINVU_Mes_Corriente!N285*SALUD_Mes_Constante!$C$1</f>
        <v>0</v>
      </c>
      <c r="O285" s="9">
        <f t="shared" si="133"/>
        <v>0</v>
      </c>
      <c r="P285" s="8">
        <f>+MINVU_Mes_Corriente!P285*SALUD_Mes_Constante!$P$1</f>
        <v>0</v>
      </c>
      <c r="Q285" s="8">
        <f>+MINVU_Mes_Corriente!Q285*SALUD_Mes_Constante!$P$1</f>
        <v>0</v>
      </c>
      <c r="R285" s="8">
        <f>+MINVU_Mes_Corriente!R285*SALUD_Mes_Constante!$P$1</f>
        <v>0</v>
      </c>
      <c r="S285" s="8">
        <f>+MINVU_Mes_Corriente!S285*SALUD_Mes_Constante!$P$1</f>
        <v>0</v>
      </c>
      <c r="T285" s="8">
        <f>+MINVU_Mes_Corriente!T285*SALUD_Mes_Constante!$P$1</f>
        <v>0</v>
      </c>
      <c r="U285" s="8">
        <f>+MINVU_Mes_Corriente!U285*SALUD_Mes_Constante!$P$1</f>
        <v>0</v>
      </c>
      <c r="V285" s="8">
        <f>+MINVU_Mes_Corriente!V285*SALUD_Mes_Constante!$P$1</f>
        <v>0</v>
      </c>
      <c r="W285" s="8">
        <f>+MINVU_Mes_Corriente!W285*SALUD_Mes_Constante!$P$1</f>
        <v>0</v>
      </c>
      <c r="X285" s="8">
        <f>+MINVU_Mes_Corriente!X285*SALUD_Mes_Constante!$P$1</f>
        <v>0</v>
      </c>
      <c r="Y285" s="8">
        <f>+MINVU_Mes_Corriente!Y285*SALUD_Mes_Constante!$P$1</f>
        <v>0</v>
      </c>
      <c r="Z285" s="8">
        <f>+MINVU_Mes_Corriente!Z285*SALUD_Mes_Constante!$P$1</f>
        <v>0</v>
      </c>
      <c r="AA285" s="8">
        <f>+MINVU_Mes_Corriente!AA285*SALUD_Mes_Constante!$P$1</f>
        <v>0</v>
      </c>
      <c r="AB285" s="9">
        <f t="shared" si="134"/>
        <v>0</v>
      </c>
      <c r="AC285" s="8">
        <f>+MINVU_Mes_Corriente!AC285*SALUD_Mes_Constante!$AC$1</f>
        <v>0</v>
      </c>
      <c r="AD285" s="8">
        <f>+MINVU_Mes_Corriente!AD285*SALUD_Mes_Constante!$AC$1</f>
        <v>0</v>
      </c>
      <c r="AE285" s="8">
        <f>+MINVU_Mes_Corriente!AE285*SALUD_Mes_Constante!$AC$1</f>
        <v>0</v>
      </c>
      <c r="AF285" s="8">
        <f>+MINVU_Mes_Corriente!AF285*SALUD_Mes_Constante!$AC$1</f>
        <v>0</v>
      </c>
      <c r="AG285" s="8">
        <f>+MINVU_Mes_Corriente!AG285*SALUD_Mes_Constante!$AC$1</f>
        <v>0</v>
      </c>
      <c r="AH285" s="8">
        <f>+MINVU_Mes_Corriente!AH285*SALUD_Mes_Constante!$AC$1</f>
        <v>0</v>
      </c>
      <c r="AI285" s="8">
        <f>+MINVU_Mes_Corriente!AI285*SALUD_Mes_Constante!$AC$1</f>
        <v>0</v>
      </c>
      <c r="AJ285" s="8">
        <f>+MINVU_Mes_Corriente!AJ285*SALUD_Mes_Constante!$AC$1</f>
        <v>0</v>
      </c>
      <c r="AK285" s="8">
        <f>+MINVU_Mes_Corriente!AK285*SALUD_Mes_Constante!$AC$1</f>
        <v>0</v>
      </c>
      <c r="AL285" s="8">
        <f>+MINVU_Mes_Corriente!AL285*SALUD_Mes_Constante!$AC$1</f>
        <v>0</v>
      </c>
      <c r="AM285" s="8">
        <f>+MINVU_Mes_Corriente!AM285*SALUD_Mes_Constante!$AC$1</f>
        <v>0</v>
      </c>
      <c r="AN285" s="8">
        <f>+MINVU_Mes_Corriente!AN285*SALUD_Mes_Constante!$AC$1</f>
        <v>0</v>
      </c>
      <c r="AO285" s="9">
        <f t="shared" si="135"/>
        <v>0</v>
      </c>
      <c r="AP285" s="8">
        <f>+MINVU_Mes_Corriente!AP285*SALUD_Mes_Constante!$AP$1</f>
        <v>0</v>
      </c>
      <c r="AQ285" s="8">
        <f>+MINVU_Mes_Corriente!AQ285*SALUD_Mes_Constante!$AP$1</f>
        <v>0</v>
      </c>
      <c r="AR285" s="8">
        <f>+MINVU_Mes_Corriente!AR285*SALUD_Mes_Constante!$AP$1</f>
        <v>0</v>
      </c>
      <c r="AS285" s="8">
        <f>+MINVU_Mes_Corriente!AS285*SALUD_Mes_Constante!$AP$1</f>
        <v>0</v>
      </c>
      <c r="AT285" s="8">
        <f>+MINVU_Mes_Corriente!AT285*SALUD_Mes_Constante!$AP$1</f>
        <v>0</v>
      </c>
      <c r="AU285" s="8">
        <f>+MINVU_Mes_Corriente!AU285*SALUD_Mes_Constante!$AP$1</f>
        <v>0</v>
      </c>
      <c r="AV285" s="8">
        <f>+MINVU_Mes_Corriente!AV285*SALUD_Mes_Constante!$AP$1</f>
        <v>0</v>
      </c>
      <c r="AW285" s="8">
        <f>+MINVU_Mes_Corriente!AW285*SALUD_Mes_Constante!$AP$1</f>
        <v>0</v>
      </c>
      <c r="AX285" s="8">
        <f>+MINVU_Mes_Corriente!AX285*SALUD_Mes_Constante!$AP$1</f>
        <v>0</v>
      </c>
      <c r="AY285" s="8">
        <f>+MINVU_Mes_Corriente!AY285*SALUD_Mes_Constante!$AP$1</f>
        <v>0</v>
      </c>
      <c r="AZ285" s="8">
        <f>+MINVU_Mes_Corriente!AZ285*SALUD_Mes_Constante!$AP$1</f>
        <v>0</v>
      </c>
      <c r="BA285" s="8">
        <f>+MINVU_Mes_Corriente!BA285*SALUD_Mes_Constante!$AP$1</f>
        <v>0</v>
      </c>
      <c r="BB285" s="9">
        <f t="shared" si="136"/>
        <v>0</v>
      </c>
      <c r="BC285" s="8">
        <f>+MINVU_Mes_Corriente!BC285*SALUD_Mes_Constante!$BC$1</f>
        <v>0</v>
      </c>
      <c r="BD285" s="8">
        <f>+MINVU_Mes_Corriente!BD285*SALUD_Mes_Constante!$BC$1</f>
        <v>0</v>
      </c>
      <c r="BE285" s="8">
        <f>+MINVU_Mes_Corriente!BE285*SALUD_Mes_Constante!$BC$1</f>
        <v>0</v>
      </c>
      <c r="BF285" s="8">
        <f>+MINVU_Mes_Corriente!BF285*SALUD_Mes_Constante!$BC$1</f>
        <v>0</v>
      </c>
      <c r="BG285" s="8">
        <f>+MINVU_Mes_Corriente!BG285*SALUD_Mes_Constante!$BC$1</f>
        <v>0</v>
      </c>
      <c r="BH285" s="8">
        <f>+MINVU_Mes_Corriente!BH285*SALUD_Mes_Constante!$BC$1</f>
        <v>0</v>
      </c>
      <c r="BI285" s="8">
        <f>+MINVU_Mes_Corriente!BI285*SALUD_Mes_Constante!$BC$1</f>
        <v>0</v>
      </c>
      <c r="BJ285" s="8">
        <f>+MINVU_Mes_Corriente!BJ285*SALUD_Mes_Constante!$BC$1</f>
        <v>0</v>
      </c>
      <c r="BK285" s="8">
        <f>+MINVU_Mes_Corriente!BK285*SALUD_Mes_Constante!$BC$1</f>
        <v>0</v>
      </c>
      <c r="BL285" s="8">
        <f>+MINVU_Mes_Corriente!BL285*SALUD_Mes_Constante!$BC$1</f>
        <v>0</v>
      </c>
      <c r="BM285" s="8">
        <f>+MINVU_Mes_Corriente!BM285*SALUD_Mes_Constante!$BC$1</f>
        <v>0</v>
      </c>
      <c r="BN285" s="8">
        <f>+MINVU_Mes_Corriente!BN285*SALUD_Mes_Constante!$BC$1</f>
        <v>0</v>
      </c>
      <c r="BO285" s="9">
        <f t="shared" si="137"/>
        <v>0</v>
      </c>
      <c r="BP285" s="8">
        <f>+MINVU_Mes_Corriente!BP285*SALUD_Mes_Constante!$BP$1</f>
        <v>0</v>
      </c>
      <c r="BQ285" s="8">
        <f>+MINVU_Mes_Corriente!BQ285*SALUD_Mes_Constante!$BP$1</f>
        <v>0</v>
      </c>
      <c r="BR285" s="8">
        <f>+MINVU_Mes_Corriente!BR285*SALUD_Mes_Constante!$BP$1</f>
        <v>0</v>
      </c>
      <c r="BS285" s="8">
        <f>+MINVU_Mes_Corriente!BS285*SALUD_Mes_Constante!$BP$1</f>
        <v>0</v>
      </c>
      <c r="BT285" s="8">
        <f>+MINVU_Mes_Corriente!BT285*SALUD_Mes_Constante!$BP$1</f>
        <v>0</v>
      </c>
      <c r="BU285" s="8">
        <f>+MINVU_Mes_Corriente!BU285*SALUD_Mes_Constante!$BP$1</f>
        <v>0</v>
      </c>
      <c r="BV285" s="8">
        <f>+MINVU_Mes_Corriente!BV285*SALUD_Mes_Constante!$BP$1</f>
        <v>0</v>
      </c>
      <c r="BW285" s="8">
        <f>+MINVU_Mes_Corriente!BW285*SALUD_Mes_Constante!$BP$1</f>
        <v>0</v>
      </c>
      <c r="BX285" s="8">
        <f>+MINVU_Mes_Corriente!BX285*SALUD_Mes_Constante!$BP$1</f>
        <v>0</v>
      </c>
      <c r="BY285" s="8">
        <f>+MINVU_Mes_Corriente!BY285*SALUD_Mes_Constante!$BP$1</f>
        <v>0</v>
      </c>
      <c r="BZ285" s="8">
        <f>+MINVU_Mes_Corriente!BZ285*SALUD_Mes_Constante!$BP$1</f>
        <v>0</v>
      </c>
      <c r="CA285" s="8">
        <f>+MINVU_Mes_Corriente!CA285*SALUD_Mes_Constante!$BP$1</f>
        <v>0</v>
      </c>
      <c r="CB285" s="9">
        <f t="shared" si="138"/>
        <v>0</v>
      </c>
      <c r="CC285" s="8">
        <f>+MINVU_Mes_Corriente!CC285*SALUD_Mes_Constante!$CC$1</f>
        <v>0</v>
      </c>
      <c r="CD285" s="8">
        <f>+MINVU_Mes_Corriente!CD285*SALUD_Mes_Constante!$CC$1</f>
        <v>0</v>
      </c>
      <c r="CE285" s="8">
        <f>+MINVU_Mes_Corriente!CE285*SALUD_Mes_Constante!$CC$1</f>
        <v>0</v>
      </c>
      <c r="CF285" s="8">
        <f>+MINVU_Mes_Corriente!CF285*SALUD_Mes_Constante!$CC$1</f>
        <v>0</v>
      </c>
      <c r="CG285" s="8">
        <f>+MINVU_Mes_Corriente!CG285*SALUD_Mes_Constante!$CC$1</f>
        <v>0</v>
      </c>
      <c r="CH285" s="8">
        <f>+MINVU_Mes_Corriente!CH285*SALUD_Mes_Constante!$CC$1</f>
        <v>0</v>
      </c>
      <c r="CI285" s="8">
        <f>+MINVU_Mes_Corriente!CI285*SALUD_Mes_Constante!$CC$1</f>
        <v>0</v>
      </c>
      <c r="CJ285" s="8">
        <f>+MINVU_Mes_Corriente!CJ285*SALUD_Mes_Constante!$CC$1</f>
        <v>0</v>
      </c>
      <c r="CK285" s="8">
        <f>+MINVU_Mes_Corriente!CK285*SALUD_Mes_Constante!$CC$1</f>
        <v>0</v>
      </c>
      <c r="CL285" s="8">
        <f>+MINVU_Mes_Corriente!CL285*SALUD_Mes_Constante!$CC$1</f>
        <v>0</v>
      </c>
      <c r="CM285" s="8">
        <f>+MINVU_Mes_Corriente!CM285*SALUD_Mes_Constante!$CC$1</f>
        <v>0</v>
      </c>
      <c r="CN285" s="8">
        <f>+MINVU_Mes_Corriente!CN285*SALUD_Mes_Constante!$CC$1</f>
        <v>0</v>
      </c>
      <c r="CO285" s="9">
        <f t="shared" si="139"/>
        <v>0</v>
      </c>
      <c r="CP285" s="8">
        <f>+MINVU_Mes_Corriente!CP285*SALUD_Mes_Constante!$CP$1</f>
        <v>0</v>
      </c>
      <c r="CQ285" s="8">
        <f>+MINVU_Mes_Corriente!CQ285*SALUD_Mes_Constante!$CP$1</f>
        <v>0</v>
      </c>
      <c r="CR285" s="8">
        <f>+MINVU_Mes_Corriente!CR285*SALUD_Mes_Constante!$CP$1</f>
        <v>0</v>
      </c>
      <c r="CS285" s="8">
        <f>+MINVU_Mes_Corriente!CS285*SALUD_Mes_Constante!$CP$1</f>
        <v>0</v>
      </c>
      <c r="CT285" s="8">
        <f>+MINVU_Mes_Corriente!CT285*SALUD_Mes_Constante!$CP$1</f>
        <v>0</v>
      </c>
      <c r="CU285" s="8">
        <f>+MINVU_Mes_Corriente!CU285*SALUD_Mes_Constante!$CP$1</f>
        <v>0</v>
      </c>
      <c r="CV285" s="8">
        <f>+MINVU_Mes_Corriente!CV285*SALUD_Mes_Constante!$CP$1</f>
        <v>0</v>
      </c>
      <c r="CW285" s="8">
        <f>+MINVU_Mes_Corriente!CW285*SALUD_Mes_Constante!$CP$1</f>
        <v>0</v>
      </c>
      <c r="CX285" s="8">
        <f>+MINVU_Mes_Corriente!CX285*SALUD_Mes_Constante!$CP$1</f>
        <v>0</v>
      </c>
      <c r="CY285" s="8">
        <f>+MINVU_Mes_Corriente!CY285*SALUD_Mes_Constante!$CP$1</f>
        <v>0</v>
      </c>
      <c r="CZ285" s="8">
        <f>+MINVU_Mes_Corriente!CZ285*SALUD_Mes_Constante!$CP$1</f>
        <v>0</v>
      </c>
      <c r="DA285" s="8">
        <f>+MINVU_Mes_Corriente!DA285*SALUD_Mes_Constante!$CP$1</f>
        <v>0</v>
      </c>
      <c r="DB285" s="9">
        <f t="shared" si="140"/>
        <v>0</v>
      </c>
      <c r="DC285" s="8">
        <f>+MINVU_Mes_Corriente!DC285*SALUD_Mes_Constante!$DC$1</f>
        <v>0</v>
      </c>
      <c r="DD285" s="8">
        <f>+MINVU_Mes_Corriente!DD285*SALUD_Mes_Constante!$DC$1</f>
        <v>0</v>
      </c>
      <c r="DE285" s="8">
        <f>+MINVU_Mes_Corriente!DE285*SALUD_Mes_Constante!$DC$1</f>
        <v>0</v>
      </c>
      <c r="DF285" s="8">
        <f>+MINVU_Mes_Corriente!DF285*SALUD_Mes_Constante!$DC$1</f>
        <v>0</v>
      </c>
      <c r="DG285" s="8">
        <f>+MINVU_Mes_Corriente!DG285*SALUD_Mes_Constante!$DC$1</f>
        <v>0</v>
      </c>
      <c r="DH285" s="8">
        <f>+MINVU_Mes_Corriente!DH285*SALUD_Mes_Constante!$DC$1</f>
        <v>0</v>
      </c>
      <c r="DI285" s="8">
        <f>+MINVU_Mes_Corriente!DI285*SALUD_Mes_Constante!$DC$1</f>
        <v>0</v>
      </c>
      <c r="DJ285" s="8">
        <f>+MINVU_Mes_Corriente!DJ285*SALUD_Mes_Constante!$DC$1</f>
        <v>0</v>
      </c>
      <c r="DK285" s="8">
        <f>+MINVU_Mes_Corriente!DK285*SALUD_Mes_Constante!$DC$1</f>
        <v>0</v>
      </c>
      <c r="DL285" s="8">
        <f>+MINVU_Mes_Corriente!DL285*SALUD_Mes_Constante!$DC$1</f>
        <v>0</v>
      </c>
      <c r="DM285" s="8">
        <f>+MINVU_Mes_Corriente!DM285*SALUD_Mes_Constante!$DC$1</f>
        <v>0</v>
      </c>
      <c r="DN285" s="8">
        <f>+MINVU_Mes_Corriente!DN285*SALUD_Mes_Constante!$DC$1</f>
        <v>0</v>
      </c>
      <c r="DO285" s="9">
        <f t="shared" si="141"/>
        <v>0</v>
      </c>
      <c r="DP285" s="8">
        <f>+MINVU_Mes_Corriente!DP285*SALUD_Mes_Constante!$DP$1</f>
        <v>0</v>
      </c>
      <c r="DQ285" s="8">
        <f>+MINVU_Mes_Corriente!DQ285*SALUD_Mes_Constante!$DP$1</f>
        <v>0</v>
      </c>
      <c r="DR285" s="8">
        <f>+MINVU_Mes_Corriente!DR285*SALUD_Mes_Constante!$DP$1</f>
        <v>0</v>
      </c>
      <c r="DS285" s="8">
        <f>+MINVU_Mes_Corriente!DS285*SALUD_Mes_Constante!$DP$1</f>
        <v>0</v>
      </c>
      <c r="DT285" s="8">
        <f>+MINVU_Mes_Corriente!DT285*SALUD_Mes_Constante!$DP$1</f>
        <v>0</v>
      </c>
      <c r="DU285" s="8">
        <f>+MINVU_Mes_Corriente!DU285*SALUD_Mes_Constante!$DP$1</f>
        <v>0</v>
      </c>
      <c r="DV285" s="8">
        <f>+MINVU_Mes_Corriente!DV285*SALUD_Mes_Constante!$DP$1</f>
        <v>0</v>
      </c>
      <c r="DW285" s="8">
        <f>+MINVU_Mes_Corriente!DW285*SALUD_Mes_Constante!$DP$1</f>
        <v>0</v>
      </c>
      <c r="DX285" s="8">
        <f>+MINVU_Mes_Corriente!DX285*SALUD_Mes_Constante!$DP$1</f>
        <v>0</v>
      </c>
      <c r="DY285" s="8">
        <f>+MINVU_Mes_Corriente!DY285*SALUD_Mes_Constante!$DP$1</f>
        <v>0</v>
      </c>
      <c r="DZ285" s="8">
        <f>+MINVU_Mes_Corriente!DZ285*SALUD_Mes_Constante!$DP$1</f>
        <v>0</v>
      </c>
      <c r="EA285" s="8">
        <f>+MINVU_Mes_Corriente!EA285*SALUD_Mes_Constante!$DP$1</f>
        <v>0</v>
      </c>
      <c r="EB285" s="9">
        <f t="shared" si="142"/>
        <v>0</v>
      </c>
      <c r="EC285" s="8">
        <f>+MINVU_Mes_Corriente!EC285*SALUD_Mes_Constante!$EC$1</f>
        <v>0</v>
      </c>
      <c r="ED285" s="8">
        <f>+MINVU_Mes_Corriente!ED285*SALUD_Mes_Constante!$EC$1</f>
        <v>0</v>
      </c>
      <c r="EE285" s="8">
        <f>+MINVU_Mes_Corriente!EE285*SALUD_Mes_Constante!$EC$1</f>
        <v>0</v>
      </c>
      <c r="EF285" s="8">
        <f>+MINVU_Mes_Corriente!EF285*SALUD_Mes_Constante!$EC$1</f>
        <v>0</v>
      </c>
      <c r="EG285" s="8">
        <f>+MINVU_Mes_Corriente!EG285*SALUD_Mes_Constante!$EC$1</f>
        <v>0</v>
      </c>
      <c r="EH285" s="8">
        <f>+MINVU_Mes_Corriente!EH285*SALUD_Mes_Constante!$EC$1</f>
        <v>0</v>
      </c>
      <c r="EI285" s="8">
        <f>+MINVU_Mes_Corriente!EI285*SALUD_Mes_Constante!$EC$1</f>
        <v>0</v>
      </c>
      <c r="EJ285" s="8">
        <f>+MINVU_Mes_Corriente!EJ285*SALUD_Mes_Constante!$EC$1</f>
        <v>0</v>
      </c>
      <c r="EK285" s="8">
        <f>+MINVU_Mes_Corriente!EK285*SALUD_Mes_Constante!$EC$1</f>
        <v>0</v>
      </c>
      <c r="EL285" s="8">
        <f>+MINVU_Mes_Corriente!EL285*SALUD_Mes_Constante!$EC$1</f>
        <v>0</v>
      </c>
      <c r="EM285" s="8">
        <f>+MINVU_Mes_Corriente!EM285*SALUD_Mes_Constante!$EC$1</f>
        <v>0</v>
      </c>
      <c r="EN285" s="8">
        <f>+MINVU_Mes_Corriente!EN285*SALUD_Mes_Constante!$EC$1</f>
        <v>0</v>
      </c>
      <c r="EO285" s="9">
        <f t="shared" si="143"/>
        <v>0</v>
      </c>
      <c r="EP285" s="8">
        <f>+MINVU_Mes_Corriente!EP285*SALUD_Mes_Constante!$EP$1</f>
        <v>0</v>
      </c>
      <c r="EQ285" s="8">
        <f>+MINVU_Mes_Corriente!EQ285*SALUD_Mes_Constante!$EP$1</f>
        <v>0</v>
      </c>
      <c r="ER285" s="8">
        <f>+MINVU_Mes_Corriente!ER285*SALUD_Mes_Constante!$EP$1</f>
        <v>0</v>
      </c>
      <c r="ES285" s="8">
        <f>+MINVU_Mes_Corriente!ES285*SALUD_Mes_Constante!$EP$1</f>
        <v>0</v>
      </c>
      <c r="ET285" s="8">
        <f>+MINVU_Mes_Corriente!ET285*SALUD_Mes_Constante!$EP$1</f>
        <v>0</v>
      </c>
      <c r="EU285" s="8">
        <f>+MINVU_Mes_Corriente!EU285*SALUD_Mes_Constante!$EP$1</f>
        <v>0</v>
      </c>
      <c r="EV285" s="8">
        <f>+MINVU_Mes_Corriente!EV285*SALUD_Mes_Constante!$EP$1</f>
        <v>0</v>
      </c>
      <c r="EW285" s="8">
        <f>+MINVU_Mes_Corriente!EW285*SALUD_Mes_Constante!$EP$1</f>
        <v>0</v>
      </c>
      <c r="EX285" s="8">
        <f>+MINVU_Mes_Corriente!EX285*SALUD_Mes_Constante!$EP$1</f>
        <v>0</v>
      </c>
      <c r="EY285" s="8">
        <f>+MINVU_Mes_Corriente!EY285*SALUD_Mes_Constante!$EP$1</f>
        <v>0</v>
      </c>
      <c r="EZ285" s="8">
        <f>+MINVU_Mes_Corriente!EZ285*SALUD_Mes_Constante!$EP$1</f>
        <v>0</v>
      </c>
      <c r="FA285" s="8">
        <f>+MINVU_Mes_Corriente!FA285*SALUD_Mes_Constante!$EP$1</f>
        <v>0</v>
      </c>
      <c r="FB285" s="9">
        <f t="shared" si="144"/>
        <v>0</v>
      </c>
      <c r="FC285" s="8">
        <f>+MINVU_Mes_Corriente!FC285*SALUD_Mes_Constante!$FC$1</f>
        <v>0</v>
      </c>
      <c r="FD285" s="8">
        <f>+MINVU_Mes_Corriente!FD285*SALUD_Mes_Constante!$FC$1</f>
        <v>0</v>
      </c>
      <c r="FE285" s="8">
        <f>+MINVU_Mes_Corriente!FE285*SALUD_Mes_Constante!$FC$1</f>
        <v>0</v>
      </c>
      <c r="FF285" s="8">
        <f>+MINVU_Mes_Corriente!FF285*SALUD_Mes_Constante!$FC$1</f>
        <v>0</v>
      </c>
      <c r="FG285" s="8">
        <f>+MINVU_Mes_Corriente!FG285*SALUD_Mes_Constante!$FC$1</f>
        <v>0</v>
      </c>
      <c r="FH285" s="8">
        <f>+MINVU_Mes_Corriente!FH285*SALUD_Mes_Constante!$FC$1</f>
        <v>0</v>
      </c>
      <c r="FI285" s="8">
        <f>+MINVU_Mes_Corriente!FI285*SALUD_Mes_Constante!$FC$1</f>
        <v>0</v>
      </c>
      <c r="FJ285" s="8"/>
      <c r="FK285" s="8"/>
      <c r="FL285" s="8"/>
      <c r="FM285" s="8"/>
      <c r="FN285" s="8"/>
      <c r="FO285" s="9">
        <f t="shared" si="145"/>
        <v>0</v>
      </c>
    </row>
    <row r="286" spans="2:171" ht="14.25" customHeight="1" x14ac:dyDescent="0.3">
      <c r="B286" s="7" t="s">
        <v>63</v>
      </c>
      <c r="C286" s="8">
        <f>+MINVU_Mes_Corriente!C286*SALUD_Mes_Constante!$C$1</f>
        <v>0</v>
      </c>
      <c r="D286" s="8">
        <f>+MINVU_Mes_Corriente!D286*SALUD_Mes_Constante!$C$1</f>
        <v>0</v>
      </c>
      <c r="E286" s="8">
        <f>+MINVU_Mes_Corriente!E286*SALUD_Mes_Constante!$C$1</f>
        <v>0</v>
      </c>
      <c r="F286" s="8">
        <f>+MINVU_Mes_Corriente!F286*SALUD_Mes_Constante!$C$1</f>
        <v>0</v>
      </c>
      <c r="G286" s="8">
        <f>+MINVU_Mes_Corriente!G286*SALUD_Mes_Constante!$C$1</f>
        <v>0</v>
      </c>
      <c r="H286" s="8">
        <f>+MINVU_Mes_Corriente!H286*SALUD_Mes_Constante!$C$1</f>
        <v>0</v>
      </c>
      <c r="I286" s="8">
        <f>+MINVU_Mes_Corriente!I286*SALUD_Mes_Constante!$C$1</f>
        <v>0</v>
      </c>
      <c r="J286" s="8">
        <f>+MINVU_Mes_Corriente!J286*SALUD_Mes_Constante!$C$1</f>
        <v>0</v>
      </c>
      <c r="K286" s="8">
        <f>+MINVU_Mes_Corriente!K286*SALUD_Mes_Constante!$C$1</f>
        <v>0</v>
      </c>
      <c r="L286" s="8">
        <f>+MINVU_Mes_Corriente!L286*SALUD_Mes_Constante!$C$1</f>
        <v>0</v>
      </c>
      <c r="M286" s="8">
        <f>+MINVU_Mes_Corriente!M286*SALUD_Mes_Constante!$C$1</f>
        <v>0</v>
      </c>
      <c r="N286" s="8">
        <f>+MINVU_Mes_Corriente!N286*SALUD_Mes_Constante!$C$1</f>
        <v>0</v>
      </c>
      <c r="O286" s="9">
        <f t="shared" si="133"/>
        <v>0</v>
      </c>
      <c r="P286" s="8">
        <f>+MINVU_Mes_Corriente!P286*SALUD_Mes_Constante!$P$1</f>
        <v>0</v>
      </c>
      <c r="Q286" s="8">
        <f>+MINVU_Mes_Corriente!Q286*SALUD_Mes_Constante!$P$1</f>
        <v>0</v>
      </c>
      <c r="R286" s="8">
        <f>+MINVU_Mes_Corriente!R286*SALUD_Mes_Constante!$P$1</f>
        <v>0</v>
      </c>
      <c r="S286" s="8">
        <f>+MINVU_Mes_Corriente!S286*SALUD_Mes_Constante!$P$1</f>
        <v>0</v>
      </c>
      <c r="T286" s="8">
        <f>+MINVU_Mes_Corriente!T286*SALUD_Mes_Constante!$P$1</f>
        <v>0</v>
      </c>
      <c r="U286" s="8">
        <f>+MINVU_Mes_Corriente!U286*SALUD_Mes_Constante!$P$1</f>
        <v>0</v>
      </c>
      <c r="V286" s="8">
        <f>+MINVU_Mes_Corriente!V286*SALUD_Mes_Constante!$P$1</f>
        <v>0</v>
      </c>
      <c r="W286" s="8">
        <f>+MINVU_Mes_Corriente!W286*SALUD_Mes_Constante!$P$1</f>
        <v>0</v>
      </c>
      <c r="X286" s="8">
        <f>+MINVU_Mes_Corriente!X286*SALUD_Mes_Constante!$P$1</f>
        <v>0</v>
      </c>
      <c r="Y286" s="8">
        <f>+MINVU_Mes_Corriente!Y286*SALUD_Mes_Constante!$P$1</f>
        <v>0</v>
      </c>
      <c r="Z286" s="8">
        <f>+MINVU_Mes_Corriente!Z286*SALUD_Mes_Constante!$P$1</f>
        <v>0</v>
      </c>
      <c r="AA286" s="8">
        <f>+MINVU_Mes_Corriente!AA286*SALUD_Mes_Constante!$P$1</f>
        <v>0</v>
      </c>
      <c r="AB286" s="9">
        <f t="shared" si="134"/>
        <v>0</v>
      </c>
      <c r="AC286" s="8">
        <f>+MINVU_Mes_Corriente!AC286*SALUD_Mes_Constante!$AC$1</f>
        <v>0</v>
      </c>
      <c r="AD286" s="8">
        <f>+MINVU_Mes_Corriente!AD286*SALUD_Mes_Constante!$AC$1</f>
        <v>0</v>
      </c>
      <c r="AE286" s="8">
        <f>+MINVU_Mes_Corriente!AE286*SALUD_Mes_Constante!$AC$1</f>
        <v>0</v>
      </c>
      <c r="AF286" s="8">
        <f>+MINVU_Mes_Corriente!AF286*SALUD_Mes_Constante!$AC$1</f>
        <v>0</v>
      </c>
      <c r="AG286" s="8">
        <f>+MINVU_Mes_Corriente!AG286*SALUD_Mes_Constante!$AC$1</f>
        <v>0</v>
      </c>
      <c r="AH286" s="8">
        <f>+MINVU_Mes_Corriente!AH286*SALUD_Mes_Constante!$AC$1</f>
        <v>0</v>
      </c>
      <c r="AI286" s="8">
        <f>+MINVU_Mes_Corriente!AI286*SALUD_Mes_Constante!$AC$1</f>
        <v>0</v>
      </c>
      <c r="AJ286" s="8">
        <f>+MINVU_Mes_Corriente!AJ286*SALUD_Mes_Constante!$AC$1</f>
        <v>0</v>
      </c>
      <c r="AK286" s="8">
        <f>+MINVU_Mes_Corriente!AK286*SALUD_Mes_Constante!$AC$1</f>
        <v>0</v>
      </c>
      <c r="AL286" s="8">
        <f>+MINVU_Mes_Corriente!AL286*SALUD_Mes_Constante!$AC$1</f>
        <v>0</v>
      </c>
      <c r="AM286" s="8">
        <f>+MINVU_Mes_Corriente!AM286*SALUD_Mes_Constante!$AC$1</f>
        <v>0</v>
      </c>
      <c r="AN286" s="8">
        <f>+MINVU_Mes_Corriente!AN286*SALUD_Mes_Constante!$AC$1</f>
        <v>0</v>
      </c>
      <c r="AO286" s="9">
        <f t="shared" si="135"/>
        <v>0</v>
      </c>
      <c r="AP286" s="8">
        <f>+MINVU_Mes_Corriente!AP286*SALUD_Mes_Constante!$AP$1</f>
        <v>0</v>
      </c>
      <c r="AQ286" s="8">
        <f>+MINVU_Mes_Corriente!AQ286*SALUD_Mes_Constante!$AP$1</f>
        <v>0</v>
      </c>
      <c r="AR286" s="8">
        <f>+MINVU_Mes_Corriente!AR286*SALUD_Mes_Constante!$AP$1</f>
        <v>0</v>
      </c>
      <c r="AS286" s="8">
        <f>+MINVU_Mes_Corriente!AS286*SALUD_Mes_Constante!$AP$1</f>
        <v>0</v>
      </c>
      <c r="AT286" s="8">
        <f>+MINVU_Mes_Corriente!AT286*SALUD_Mes_Constante!$AP$1</f>
        <v>0</v>
      </c>
      <c r="AU286" s="8">
        <f>+MINVU_Mes_Corriente!AU286*SALUD_Mes_Constante!$AP$1</f>
        <v>0</v>
      </c>
      <c r="AV286" s="8">
        <f>+MINVU_Mes_Corriente!AV286*SALUD_Mes_Constante!$AP$1</f>
        <v>0</v>
      </c>
      <c r="AW286" s="8">
        <f>+MINVU_Mes_Corriente!AW286*SALUD_Mes_Constante!$AP$1</f>
        <v>0</v>
      </c>
      <c r="AX286" s="8">
        <f>+MINVU_Mes_Corriente!AX286*SALUD_Mes_Constante!$AP$1</f>
        <v>0</v>
      </c>
      <c r="AY286" s="8">
        <f>+MINVU_Mes_Corriente!AY286*SALUD_Mes_Constante!$AP$1</f>
        <v>0</v>
      </c>
      <c r="AZ286" s="8">
        <f>+MINVU_Mes_Corriente!AZ286*SALUD_Mes_Constante!$AP$1</f>
        <v>0</v>
      </c>
      <c r="BA286" s="8">
        <f>+MINVU_Mes_Corriente!BA286*SALUD_Mes_Constante!$AP$1</f>
        <v>0</v>
      </c>
      <c r="BB286" s="9">
        <f t="shared" si="136"/>
        <v>0</v>
      </c>
      <c r="BC286" s="8">
        <f>+MINVU_Mes_Corriente!BC286*SALUD_Mes_Constante!$BC$1</f>
        <v>0</v>
      </c>
      <c r="BD286" s="8">
        <f>+MINVU_Mes_Corriente!BD286*SALUD_Mes_Constante!$BC$1</f>
        <v>0</v>
      </c>
      <c r="BE286" s="8">
        <f>+MINVU_Mes_Corriente!BE286*SALUD_Mes_Constante!$BC$1</f>
        <v>0</v>
      </c>
      <c r="BF286" s="8">
        <f>+MINVU_Mes_Corriente!BF286*SALUD_Mes_Constante!$BC$1</f>
        <v>0</v>
      </c>
      <c r="BG286" s="8">
        <f>+MINVU_Mes_Corriente!BG286*SALUD_Mes_Constante!$BC$1</f>
        <v>0</v>
      </c>
      <c r="BH286" s="8">
        <f>+MINVU_Mes_Corriente!BH286*SALUD_Mes_Constante!$BC$1</f>
        <v>0</v>
      </c>
      <c r="BI286" s="8">
        <f>+MINVU_Mes_Corriente!BI286*SALUD_Mes_Constante!$BC$1</f>
        <v>0</v>
      </c>
      <c r="BJ286" s="8">
        <f>+MINVU_Mes_Corriente!BJ286*SALUD_Mes_Constante!$BC$1</f>
        <v>0</v>
      </c>
      <c r="BK286" s="8">
        <f>+MINVU_Mes_Corriente!BK286*SALUD_Mes_Constante!$BC$1</f>
        <v>0</v>
      </c>
      <c r="BL286" s="8">
        <f>+MINVU_Mes_Corriente!BL286*SALUD_Mes_Constante!$BC$1</f>
        <v>0</v>
      </c>
      <c r="BM286" s="8">
        <f>+MINVU_Mes_Corriente!BM286*SALUD_Mes_Constante!$BC$1</f>
        <v>0</v>
      </c>
      <c r="BN286" s="8">
        <f>+MINVU_Mes_Corriente!BN286*SALUD_Mes_Constante!$BC$1</f>
        <v>0</v>
      </c>
      <c r="BO286" s="9">
        <f t="shared" si="137"/>
        <v>0</v>
      </c>
      <c r="BP286" s="8">
        <f>+MINVU_Mes_Corriente!BP286*SALUD_Mes_Constante!$BP$1</f>
        <v>0</v>
      </c>
      <c r="BQ286" s="8">
        <f>+MINVU_Mes_Corriente!BQ286*SALUD_Mes_Constante!$BP$1</f>
        <v>0</v>
      </c>
      <c r="BR286" s="8">
        <f>+MINVU_Mes_Corriente!BR286*SALUD_Mes_Constante!$BP$1</f>
        <v>0</v>
      </c>
      <c r="BS286" s="8">
        <f>+MINVU_Mes_Corriente!BS286*SALUD_Mes_Constante!$BP$1</f>
        <v>0</v>
      </c>
      <c r="BT286" s="8">
        <f>+MINVU_Mes_Corriente!BT286*SALUD_Mes_Constante!$BP$1</f>
        <v>0</v>
      </c>
      <c r="BU286" s="8">
        <f>+MINVU_Mes_Corriente!BU286*SALUD_Mes_Constante!$BP$1</f>
        <v>0</v>
      </c>
      <c r="BV286" s="8">
        <f>+MINVU_Mes_Corriente!BV286*SALUD_Mes_Constante!$BP$1</f>
        <v>0</v>
      </c>
      <c r="BW286" s="8">
        <f>+MINVU_Mes_Corriente!BW286*SALUD_Mes_Constante!$BP$1</f>
        <v>0</v>
      </c>
      <c r="BX286" s="8">
        <f>+MINVU_Mes_Corriente!BX286*SALUD_Mes_Constante!$BP$1</f>
        <v>0</v>
      </c>
      <c r="BY286" s="8">
        <f>+MINVU_Mes_Corriente!BY286*SALUD_Mes_Constante!$BP$1</f>
        <v>0</v>
      </c>
      <c r="BZ286" s="8">
        <f>+MINVU_Mes_Corriente!BZ286*SALUD_Mes_Constante!$BP$1</f>
        <v>0</v>
      </c>
      <c r="CA286" s="8">
        <f>+MINVU_Mes_Corriente!CA286*SALUD_Mes_Constante!$BP$1</f>
        <v>0</v>
      </c>
      <c r="CB286" s="9">
        <f t="shared" si="138"/>
        <v>0</v>
      </c>
      <c r="CC286" s="8">
        <f>+MINVU_Mes_Corriente!CC286*SALUD_Mes_Constante!$CC$1</f>
        <v>0</v>
      </c>
      <c r="CD286" s="8">
        <f>+MINVU_Mes_Corriente!CD286*SALUD_Mes_Constante!$CC$1</f>
        <v>0</v>
      </c>
      <c r="CE286" s="8">
        <f>+MINVU_Mes_Corriente!CE286*SALUD_Mes_Constante!$CC$1</f>
        <v>0</v>
      </c>
      <c r="CF286" s="8">
        <f>+MINVU_Mes_Corriente!CF286*SALUD_Mes_Constante!$CC$1</f>
        <v>0</v>
      </c>
      <c r="CG286" s="8">
        <f>+MINVU_Mes_Corriente!CG286*SALUD_Mes_Constante!$CC$1</f>
        <v>0</v>
      </c>
      <c r="CH286" s="8">
        <f>+MINVU_Mes_Corriente!CH286*SALUD_Mes_Constante!$CC$1</f>
        <v>0</v>
      </c>
      <c r="CI286" s="8">
        <f>+MINVU_Mes_Corriente!CI286*SALUD_Mes_Constante!$CC$1</f>
        <v>0</v>
      </c>
      <c r="CJ286" s="8">
        <f>+MINVU_Mes_Corriente!CJ286*SALUD_Mes_Constante!$CC$1</f>
        <v>0</v>
      </c>
      <c r="CK286" s="8">
        <f>+MINVU_Mes_Corriente!CK286*SALUD_Mes_Constante!$CC$1</f>
        <v>0</v>
      </c>
      <c r="CL286" s="8">
        <f>+MINVU_Mes_Corriente!CL286*SALUD_Mes_Constante!$CC$1</f>
        <v>0</v>
      </c>
      <c r="CM286" s="8">
        <f>+MINVU_Mes_Corriente!CM286*SALUD_Mes_Constante!$CC$1</f>
        <v>0</v>
      </c>
      <c r="CN286" s="8">
        <f>+MINVU_Mes_Corriente!CN286*SALUD_Mes_Constante!$CC$1</f>
        <v>0</v>
      </c>
      <c r="CO286" s="9">
        <f t="shared" si="139"/>
        <v>0</v>
      </c>
      <c r="CP286" s="8">
        <f>+MINVU_Mes_Corriente!CP286*SALUD_Mes_Constante!$CP$1</f>
        <v>0</v>
      </c>
      <c r="CQ286" s="8">
        <f>+MINVU_Mes_Corriente!CQ286*SALUD_Mes_Constante!$CP$1</f>
        <v>0</v>
      </c>
      <c r="CR286" s="8">
        <f>+MINVU_Mes_Corriente!CR286*SALUD_Mes_Constante!$CP$1</f>
        <v>0</v>
      </c>
      <c r="CS286" s="8">
        <f>+MINVU_Mes_Corriente!CS286*SALUD_Mes_Constante!$CP$1</f>
        <v>0</v>
      </c>
      <c r="CT286" s="8">
        <f>+MINVU_Mes_Corriente!CT286*SALUD_Mes_Constante!$CP$1</f>
        <v>0</v>
      </c>
      <c r="CU286" s="8">
        <f>+MINVU_Mes_Corriente!CU286*SALUD_Mes_Constante!$CP$1</f>
        <v>0</v>
      </c>
      <c r="CV286" s="8">
        <f>+MINVU_Mes_Corriente!CV286*SALUD_Mes_Constante!$CP$1</f>
        <v>0</v>
      </c>
      <c r="CW286" s="8">
        <f>+MINVU_Mes_Corriente!CW286*SALUD_Mes_Constante!$CP$1</f>
        <v>0</v>
      </c>
      <c r="CX286" s="8">
        <f>+MINVU_Mes_Corriente!CX286*SALUD_Mes_Constante!$CP$1</f>
        <v>0</v>
      </c>
      <c r="CY286" s="8">
        <f>+MINVU_Mes_Corriente!CY286*SALUD_Mes_Constante!$CP$1</f>
        <v>0</v>
      </c>
      <c r="CZ286" s="8">
        <f>+MINVU_Mes_Corriente!CZ286*SALUD_Mes_Constante!$CP$1</f>
        <v>0</v>
      </c>
      <c r="DA286" s="8">
        <f>+MINVU_Mes_Corriente!DA286*SALUD_Mes_Constante!$CP$1</f>
        <v>0</v>
      </c>
      <c r="DB286" s="9">
        <f t="shared" si="140"/>
        <v>0</v>
      </c>
      <c r="DC286" s="8">
        <f>+MINVU_Mes_Corriente!DC286*SALUD_Mes_Constante!$DC$1</f>
        <v>0</v>
      </c>
      <c r="DD286" s="8">
        <f>+MINVU_Mes_Corriente!DD286*SALUD_Mes_Constante!$DC$1</f>
        <v>0</v>
      </c>
      <c r="DE286" s="8">
        <f>+MINVU_Mes_Corriente!DE286*SALUD_Mes_Constante!$DC$1</f>
        <v>0</v>
      </c>
      <c r="DF286" s="8">
        <f>+MINVU_Mes_Corriente!DF286*SALUD_Mes_Constante!$DC$1</f>
        <v>0</v>
      </c>
      <c r="DG286" s="8">
        <f>+MINVU_Mes_Corriente!DG286*SALUD_Mes_Constante!$DC$1</f>
        <v>0</v>
      </c>
      <c r="DH286" s="8">
        <f>+MINVU_Mes_Corriente!DH286*SALUD_Mes_Constante!$DC$1</f>
        <v>0</v>
      </c>
      <c r="DI286" s="8">
        <f>+MINVU_Mes_Corriente!DI286*SALUD_Mes_Constante!$DC$1</f>
        <v>0</v>
      </c>
      <c r="DJ286" s="8">
        <f>+MINVU_Mes_Corriente!DJ286*SALUD_Mes_Constante!$DC$1</f>
        <v>0</v>
      </c>
      <c r="DK286" s="8">
        <f>+MINVU_Mes_Corriente!DK286*SALUD_Mes_Constante!$DC$1</f>
        <v>0</v>
      </c>
      <c r="DL286" s="8">
        <f>+MINVU_Mes_Corriente!DL286*SALUD_Mes_Constante!$DC$1</f>
        <v>0</v>
      </c>
      <c r="DM286" s="8">
        <f>+MINVU_Mes_Corriente!DM286*SALUD_Mes_Constante!$DC$1</f>
        <v>0</v>
      </c>
      <c r="DN286" s="8">
        <f>+MINVU_Mes_Corriente!DN286*SALUD_Mes_Constante!$DC$1</f>
        <v>0</v>
      </c>
      <c r="DO286" s="9">
        <f t="shared" si="141"/>
        <v>0</v>
      </c>
      <c r="DP286" s="8">
        <f>+MINVU_Mes_Corriente!DP286*SALUD_Mes_Constante!$DP$1</f>
        <v>0</v>
      </c>
      <c r="DQ286" s="8">
        <f>+MINVU_Mes_Corriente!DQ286*SALUD_Mes_Constante!$DP$1</f>
        <v>0</v>
      </c>
      <c r="DR286" s="8">
        <f>+MINVU_Mes_Corriente!DR286*SALUD_Mes_Constante!$DP$1</f>
        <v>0</v>
      </c>
      <c r="DS286" s="8">
        <f>+MINVU_Mes_Corriente!DS286*SALUD_Mes_Constante!$DP$1</f>
        <v>0</v>
      </c>
      <c r="DT286" s="8">
        <f>+MINVU_Mes_Corriente!DT286*SALUD_Mes_Constante!$DP$1</f>
        <v>0</v>
      </c>
      <c r="DU286" s="8">
        <f>+MINVU_Mes_Corriente!DU286*SALUD_Mes_Constante!$DP$1</f>
        <v>0</v>
      </c>
      <c r="DV286" s="8">
        <f>+MINVU_Mes_Corriente!DV286*SALUD_Mes_Constante!$DP$1</f>
        <v>0</v>
      </c>
      <c r="DW286" s="8">
        <f>+MINVU_Mes_Corriente!DW286*SALUD_Mes_Constante!$DP$1</f>
        <v>0</v>
      </c>
      <c r="DX286" s="8">
        <f>+MINVU_Mes_Corriente!DX286*SALUD_Mes_Constante!$DP$1</f>
        <v>0</v>
      </c>
      <c r="DY286" s="8">
        <f>+MINVU_Mes_Corriente!DY286*SALUD_Mes_Constante!$DP$1</f>
        <v>0</v>
      </c>
      <c r="DZ286" s="8">
        <f>+MINVU_Mes_Corriente!DZ286*SALUD_Mes_Constante!$DP$1</f>
        <v>0</v>
      </c>
      <c r="EA286" s="8">
        <f>+MINVU_Mes_Corriente!EA286*SALUD_Mes_Constante!$DP$1</f>
        <v>0</v>
      </c>
      <c r="EB286" s="9">
        <f t="shared" si="142"/>
        <v>0</v>
      </c>
      <c r="EC286" s="8">
        <f>+MINVU_Mes_Corriente!EC286*SALUD_Mes_Constante!$EC$1</f>
        <v>0</v>
      </c>
      <c r="ED286" s="8">
        <f>+MINVU_Mes_Corriente!ED286*SALUD_Mes_Constante!$EC$1</f>
        <v>0</v>
      </c>
      <c r="EE286" s="8">
        <f>+MINVU_Mes_Corriente!EE286*SALUD_Mes_Constante!$EC$1</f>
        <v>0</v>
      </c>
      <c r="EF286" s="8">
        <f>+MINVU_Mes_Corriente!EF286*SALUD_Mes_Constante!$EC$1</f>
        <v>0</v>
      </c>
      <c r="EG286" s="8">
        <f>+MINVU_Mes_Corriente!EG286*SALUD_Mes_Constante!$EC$1</f>
        <v>0</v>
      </c>
      <c r="EH286" s="8">
        <f>+MINVU_Mes_Corriente!EH286*SALUD_Mes_Constante!$EC$1</f>
        <v>0</v>
      </c>
      <c r="EI286" s="8">
        <f>+MINVU_Mes_Corriente!EI286*SALUD_Mes_Constante!$EC$1</f>
        <v>0</v>
      </c>
      <c r="EJ286" s="8">
        <f>+MINVU_Mes_Corriente!EJ286*SALUD_Mes_Constante!$EC$1</f>
        <v>0</v>
      </c>
      <c r="EK286" s="8">
        <f>+MINVU_Mes_Corriente!EK286*SALUD_Mes_Constante!$EC$1</f>
        <v>0</v>
      </c>
      <c r="EL286" s="8">
        <f>+MINVU_Mes_Corriente!EL286*SALUD_Mes_Constante!$EC$1</f>
        <v>0</v>
      </c>
      <c r="EM286" s="8">
        <f>+MINVU_Mes_Corriente!EM286*SALUD_Mes_Constante!$EC$1</f>
        <v>0</v>
      </c>
      <c r="EN286" s="8">
        <f>+MINVU_Mes_Corriente!EN286*SALUD_Mes_Constante!$EC$1</f>
        <v>0</v>
      </c>
      <c r="EO286" s="9">
        <f t="shared" si="143"/>
        <v>0</v>
      </c>
      <c r="EP286" s="8">
        <f>+MINVU_Mes_Corriente!EP286*SALUD_Mes_Constante!$EP$1</f>
        <v>0</v>
      </c>
      <c r="EQ286" s="8">
        <f>+MINVU_Mes_Corriente!EQ286*SALUD_Mes_Constante!$EP$1</f>
        <v>0</v>
      </c>
      <c r="ER286" s="8">
        <f>+MINVU_Mes_Corriente!ER286*SALUD_Mes_Constante!$EP$1</f>
        <v>0</v>
      </c>
      <c r="ES286" s="8">
        <f>+MINVU_Mes_Corriente!ES286*SALUD_Mes_Constante!$EP$1</f>
        <v>0</v>
      </c>
      <c r="ET286" s="8">
        <f>+MINVU_Mes_Corriente!ET286*SALUD_Mes_Constante!$EP$1</f>
        <v>0</v>
      </c>
      <c r="EU286" s="8">
        <f>+MINVU_Mes_Corriente!EU286*SALUD_Mes_Constante!$EP$1</f>
        <v>0</v>
      </c>
      <c r="EV286" s="8">
        <f>+MINVU_Mes_Corriente!EV286*SALUD_Mes_Constante!$EP$1</f>
        <v>0</v>
      </c>
      <c r="EW286" s="8">
        <f>+MINVU_Mes_Corriente!EW286*SALUD_Mes_Constante!$EP$1</f>
        <v>0</v>
      </c>
      <c r="EX286" s="8">
        <f>+MINVU_Mes_Corriente!EX286*SALUD_Mes_Constante!$EP$1</f>
        <v>0</v>
      </c>
      <c r="EY286" s="8">
        <f>+MINVU_Mes_Corriente!EY286*SALUD_Mes_Constante!$EP$1</f>
        <v>0</v>
      </c>
      <c r="EZ286" s="8">
        <f>+MINVU_Mes_Corriente!EZ286*SALUD_Mes_Constante!$EP$1</f>
        <v>0</v>
      </c>
      <c r="FA286" s="8">
        <f>+MINVU_Mes_Corriente!FA286*SALUD_Mes_Constante!$EP$1</f>
        <v>0</v>
      </c>
      <c r="FB286" s="9">
        <f t="shared" si="144"/>
        <v>0</v>
      </c>
      <c r="FC286" s="8">
        <f>+MINVU_Mes_Corriente!FC286*SALUD_Mes_Constante!$FC$1</f>
        <v>0</v>
      </c>
      <c r="FD286" s="8">
        <f>+MINVU_Mes_Corriente!FD286*SALUD_Mes_Constante!$FC$1</f>
        <v>0</v>
      </c>
      <c r="FE286" s="8">
        <f>+MINVU_Mes_Corriente!FE286*SALUD_Mes_Constante!$FC$1</f>
        <v>0</v>
      </c>
      <c r="FF286" s="8">
        <f>+MINVU_Mes_Corriente!FF286*SALUD_Mes_Constante!$FC$1</f>
        <v>0</v>
      </c>
      <c r="FG286" s="8">
        <f>+MINVU_Mes_Corriente!FG286*SALUD_Mes_Constante!$FC$1</f>
        <v>0</v>
      </c>
      <c r="FH286" s="8">
        <f>+MINVU_Mes_Corriente!FH286*SALUD_Mes_Constante!$FC$1</f>
        <v>0</v>
      </c>
      <c r="FI286" s="8">
        <f>+MINVU_Mes_Corriente!FI286*SALUD_Mes_Constante!$FC$1</f>
        <v>0</v>
      </c>
      <c r="FJ286" s="8"/>
      <c r="FK286" s="8"/>
      <c r="FL286" s="8"/>
      <c r="FM286" s="8"/>
      <c r="FN286" s="8"/>
      <c r="FO286" s="9">
        <f t="shared" si="145"/>
        <v>0</v>
      </c>
    </row>
    <row r="287" spans="2:171" ht="14.25" customHeight="1" x14ac:dyDescent="0.3">
      <c r="B287" s="7" t="s">
        <v>64</v>
      </c>
      <c r="C287" s="8">
        <f>+MINVU_Mes_Corriente!C287*SALUD_Mes_Constante!$C$1</f>
        <v>0</v>
      </c>
      <c r="D287" s="8">
        <f>+MINVU_Mes_Corriente!D287*SALUD_Mes_Constante!$C$1</f>
        <v>0</v>
      </c>
      <c r="E287" s="8">
        <f>+MINVU_Mes_Corriente!E287*SALUD_Mes_Constante!$C$1</f>
        <v>0</v>
      </c>
      <c r="F287" s="8">
        <f>+MINVU_Mes_Corriente!F287*SALUD_Mes_Constante!$C$1</f>
        <v>0</v>
      </c>
      <c r="G287" s="8">
        <f>+MINVU_Mes_Corriente!G287*SALUD_Mes_Constante!$C$1</f>
        <v>0</v>
      </c>
      <c r="H287" s="8">
        <f>+MINVU_Mes_Corriente!H287*SALUD_Mes_Constante!$C$1</f>
        <v>0</v>
      </c>
      <c r="I287" s="8">
        <f>+MINVU_Mes_Corriente!I287*SALUD_Mes_Constante!$C$1</f>
        <v>0</v>
      </c>
      <c r="J287" s="8">
        <f>+MINVU_Mes_Corriente!J287*SALUD_Mes_Constante!$C$1</f>
        <v>0</v>
      </c>
      <c r="K287" s="8">
        <f>+MINVU_Mes_Corriente!K287*SALUD_Mes_Constante!$C$1</f>
        <v>0</v>
      </c>
      <c r="L287" s="8">
        <f>+MINVU_Mes_Corriente!L287*SALUD_Mes_Constante!$C$1</f>
        <v>0</v>
      </c>
      <c r="M287" s="8">
        <f>+MINVU_Mes_Corriente!M287*SALUD_Mes_Constante!$C$1</f>
        <v>0</v>
      </c>
      <c r="N287" s="8">
        <f>+MINVU_Mes_Corriente!N287*SALUD_Mes_Constante!$C$1</f>
        <v>0</v>
      </c>
      <c r="O287" s="9">
        <f t="shared" si="133"/>
        <v>0</v>
      </c>
      <c r="P287" s="8">
        <f>+MINVU_Mes_Corriente!P287*SALUD_Mes_Constante!$P$1</f>
        <v>0</v>
      </c>
      <c r="Q287" s="8">
        <f>+MINVU_Mes_Corriente!Q287*SALUD_Mes_Constante!$P$1</f>
        <v>0</v>
      </c>
      <c r="R287" s="8">
        <f>+MINVU_Mes_Corriente!R287*SALUD_Mes_Constante!$P$1</f>
        <v>0</v>
      </c>
      <c r="S287" s="8">
        <f>+MINVU_Mes_Corriente!S287*SALUD_Mes_Constante!$P$1</f>
        <v>0</v>
      </c>
      <c r="T287" s="8">
        <f>+MINVU_Mes_Corriente!T287*SALUD_Mes_Constante!$P$1</f>
        <v>0</v>
      </c>
      <c r="U287" s="8">
        <f>+MINVU_Mes_Corriente!U287*SALUD_Mes_Constante!$P$1</f>
        <v>0</v>
      </c>
      <c r="V287" s="8">
        <f>+MINVU_Mes_Corriente!V287*SALUD_Mes_Constante!$P$1</f>
        <v>0</v>
      </c>
      <c r="W287" s="8">
        <f>+MINVU_Mes_Corriente!W287*SALUD_Mes_Constante!$P$1</f>
        <v>0</v>
      </c>
      <c r="X287" s="8">
        <f>+MINVU_Mes_Corriente!X287*SALUD_Mes_Constante!$P$1</f>
        <v>0</v>
      </c>
      <c r="Y287" s="8">
        <f>+MINVU_Mes_Corriente!Y287*SALUD_Mes_Constante!$P$1</f>
        <v>0</v>
      </c>
      <c r="Z287" s="8">
        <f>+MINVU_Mes_Corriente!Z287*SALUD_Mes_Constante!$P$1</f>
        <v>0</v>
      </c>
      <c r="AA287" s="8">
        <f>+MINVU_Mes_Corriente!AA287*SALUD_Mes_Constante!$P$1</f>
        <v>0</v>
      </c>
      <c r="AB287" s="9">
        <f t="shared" si="134"/>
        <v>0</v>
      </c>
      <c r="AC287" s="8">
        <f>+MINVU_Mes_Corriente!AC287*SALUD_Mes_Constante!$AC$1</f>
        <v>0</v>
      </c>
      <c r="AD287" s="8">
        <f>+MINVU_Mes_Corriente!AD287*SALUD_Mes_Constante!$AC$1</f>
        <v>0</v>
      </c>
      <c r="AE287" s="8">
        <f>+MINVU_Mes_Corriente!AE287*SALUD_Mes_Constante!$AC$1</f>
        <v>0</v>
      </c>
      <c r="AF287" s="8">
        <f>+MINVU_Mes_Corriente!AF287*SALUD_Mes_Constante!$AC$1</f>
        <v>0</v>
      </c>
      <c r="AG287" s="8">
        <f>+MINVU_Mes_Corriente!AG287*SALUD_Mes_Constante!$AC$1</f>
        <v>0</v>
      </c>
      <c r="AH287" s="8">
        <f>+MINVU_Mes_Corriente!AH287*SALUD_Mes_Constante!$AC$1</f>
        <v>0</v>
      </c>
      <c r="AI287" s="8">
        <f>+MINVU_Mes_Corriente!AI287*SALUD_Mes_Constante!$AC$1</f>
        <v>0</v>
      </c>
      <c r="AJ287" s="8">
        <f>+MINVU_Mes_Corriente!AJ287*SALUD_Mes_Constante!$AC$1</f>
        <v>0</v>
      </c>
      <c r="AK287" s="8">
        <f>+MINVU_Mes_Corriente!AK287*SALUD_Mes_Constante!$AC$1</f>
        <v>0</v>
      </c>
      <c r="AL287" s="8">
        <f>+MINVU_Mes_Corriente!AL287*SALUD_Mes_Constante!$AC$1</f>
        <v>0</v>
      </c>
      <c r="AM287" s="8">
        <f>+MINVU_Mes_Corriente!AM287*SALUD_Mes_Constante!$AC$1</f>
        <v>0</v>
      </c>
      <c r="AN287" s="8">
        <f>+MINVU_Mes_Corriente!AN287*SALUD_Mes_Constante!$AC$1</f>
        <v>0</v>
      </c>
      <c r="AO287" s="9">
        <f t="shared" si="135"/>
        <v>0</v>
      </c>
      <c r="AP287" s="8">
        <f>+MINVU_Mes_Corriente!AP287*SALUD_Mes_Constante!$AP$1</f>
        <v>0</v>
      </c>
      <c r="AQ287" s="8">
        <f>+MINVU_Mes_Corriente!AQ287*SALUD_Mes_Constante!$AP$1</f>
        <v>0</v>
      </c>
      <c r="AR287" s="8">
        <f>+MINVU_Mes_Corriente!AR287*SALUD_Mes_Constante!$AP$1</f>
        <v>0</v>
      </c>
      <c r="AS287" s="8">
        <f>+MINVU_Mes_Corriente!AS287*SALUD_Mes_Constante!$AP$1</f>
        <v>0</v>
      </c>
      <c r="AT287" s="8">
        <f>+MINVU_Mes_Corriente!AT287*SALUD_Mes_Constante!$AP$1</f>
        <v>0</v>
      </c>
      <c r="AU287" s="8">
        <f>+MINVU_Mes_Corriente!AU287*SALUD_Mes_Constante!$AP$1</f>
        <v>0</v>
      </c>
      <c r="AV287" s="8">
        <f>+MINVU_Mes_Corriente!AV287*SALUD_Mes_Constante!$AP$1</f>
        <v>0</v>
      </c>
      <c r="AW287" s="8">
        <f>+MINVU_Mes_Corriente!AW287*SALUD_Mes_Constante!$AP$1</f>
        <v>0</v>
      </c>
      <c r="AX287" s="8">
        <f>+MINVU_Mes_Corriente!AX287*SALUD_Mes_Constante!$AP$1</f>
        <v>0</v>
      </c>
      <c r="AY287" s="8">
        <f>+MINVU_Mes_Corriente!AY287*SALUD_Mes_Constante!$AP$1</f>
        <v>0</v>
      </c>
      <c r="AZ287" s="8">
        <f>+MINVU_Mes_Corriente!AZ287*SALUD_Mes_Constante!$AP$1</f>
        <v>0</v>
      </c>
      <c r="BA287" s="8">
        <f>+MINVU_Mes_Corriente!BA287*SALUD_Mes_Constante!$AP$1</f>
        <v>0</v>
      </c>
      <c r="BB287" s="9">
        <f t="shared" si="136"/>
        <v>0</v>
      </c>
      <c r="BC287" s="8">
        <f>+MINVU_Mes_Corriente!BC287*SALUD_Mes_Constante!$BC$1</f>
        <v>0</v>
      </c>
      <c r="BD287" s="8">
        <f>+MINVU_Mes_Corriente!BD287*SALUD_Mes_Constante!$BC$1</f>
        <v>0</v>
      </c>
      <c r="BE287" s="8">
        <f>+MINVU_Mes_Corriente!BE287*SALUD_Mes_Constante!$BC$1</f>
        <v>0</v>
      </c>
      <c r="BF287" s="8">
        <f>+MINVU_Mes_Corriente!BF287*SALUD_Mes_Constante!$BC$1</f>
        <v>0</v>
      </c>
      <c r="BG287" s="8">
        <f>+MINVU_Mes_Corriente!BG287*SALUD_Mes_Constante!$BC$1</f>
        <v>0</v>
      </c>
      <c r="BH287" s="8">
        <f>+MINVU_Mes_Corriente!BH287*SALUD_Mes_Constante!$BC$1</f>
        <v>0</v>
      </c>
      <c r="BI287" s="8">
        <f>+MINVU_Mes_Corriente!BI287*SALUD_Mes_Constante!$BC$1</f>
        <v>0</v>
      </c>
      <c r="BJ287" s="8">
        <f>+MINVU_Mes_Corriente!BJ287*SALUD_Mes_Constante!$BC$1</f>
        <v>0</v>
      </c>
      <c r="BK287" s="8">
        <f>+MINVU_Mes_Corriente!BK287*SALUD_Mes_Constante!$BC$1</f>
        <v>0</v>
      </c>
      <c r="BL287" s="8">
        <f>+MINVU_Mes_Corriente!BL287*SALUD_Mes_Constante!$BC$1</f>
        <v>0</v>
      </c>
      <c r="BM287" s="8">
        <f>+MINVU_Mes_Corriente!BM287*SALUD_Mes_Constante!$BC$1</f>
        <v>0</v>
      </c>
      <c r="BN287" s="8">
        <f>+MINVU_Mes_Corriente!BN287*SALUD_Mes_Constante!$BC$1</f>
        <v>0</v>
      </c>
      <c r="BO287" s="9">
        <f t="shared" si="137"/>
        <v>0</v>
      </c>
      <c r="BP287" s="8">
        <f>+MINVU_Mes_Corriente!BP287*SALUD_Mes_Constante!$BP$1</f>
        <v>0</v>
      </c>
      <c r="BQ287" s="8">
        <f>+MINVU_Mes_Corriente!BQ287*SALUD_Mes_Constante!$BP$1</f>
        <v>0</v>
      </c>
      <c r="BR287" s="8">
        <f>+MINVU_Mes_Corriente!BR287*SALUD_Mes_Constante!$BP$1</f>
        <v>0</v>
      </c>
      <c r="BS287" s="8">
        <f>+MINVU_Mes_Corriente!BS287*SALUD_Mes_Constante!$BP$1</f>
        <v>0</v>
      </c>
      <c r="BT287" s="8">
        <f>+MINVU_Mes_Corriente!BT287*SALUD_Mes_Constante!$BP$1</f>
        <v>0</v>
      </c>
      <c r="BU287" s="8">
        <f>+MINVU_Mes_Corriente!BU287*SALUD_Mes_Constante!$BP$1</f>
        <v>0</v>
      </c>
      <c r="BV287" s="8">
        <f>+MINVU_Mes_Corriente!BV287*SALUD_Mes_Constante!$BP$1</f>
        <v>0</v>
      </c>
      <c r="BW287" s="8">
        <f>+MINVU_Mes_Corriente!BW287*SALUD_Mes_Constante!$BP$1</f>
        <v>0</v>
      </c>
      <c r="BX287" s="8">
        <f>+MINVU_Mes_Corriente!BX287*SALUD_Mes_Constante!$BP$1</f>
        <v>0</v>
      </c>
      <c r="BY287" s="8">
        <f>+MINVU_Mes_Corriente!BY287*SALUD_Mes_Constante!$BP$1</f>
        <v>0</v>
      </c>
      <c r="BZ287" s="8">
        <f>+MINVU_Mes_Corriente!BZ287*SALUD_Mes_Constante!$BP$1</f>
        <v>0</v>
      </c>
      <c r="CA287" s="8">
        <f>+MINVU_Mes_Corriente!CA287*SALUD_Mes_Constante!$BP$1</f>
        <v>0</v>
      </c>
      <c r="CB287" s="9">
        <f t="shared" si="138"/>
        <v>0</v>
      </c>
      <c r="CC287" s="8">
        <f>+MINVU_Mes_Corriente!CC287*SALUD_Mes_Constante!$CC$1</f>
        <v>0</v>
      </c>
      <c r="CD287" s="8">
        <f>+MINVU_Mes_Corriente!CD287*SALUD_Mes_Constante!$CC$1</f>
        <v>0</v>
      </c>
      <c r="CE287" s="8">
        <f>+MINVU_Mes_Corriente!CE287*SALUD_Mes_Constante!$CC$1</f>
        <v>0</v>
      </c>
      <c r="CF287" s="8">
        <f>+MINVU_Mes_Corriente!CF287*SALUD_Mes_Constante!$CC$1</f>
        <v>0</v>
      </c>
      <c r="CG287" s="8">
        <f>+MINVU_Mes_Corriente!CG287*SALUD_Mes_Constante!$CC$1</f>
        <v>0</v>
      </c>
      <c r="CH287" s="8">
        <f>+MINVU_Mes_Corriente!CH287*SALUD_Mes_Constante!$CC$1</f>
        <v>0</v>
      </c>
      <c r="CI287" s="8">
        <f>+MINVU_Mes_Corriente!CI287*SALUD_Mes_Constante!$CC$1</f>
        <v>0</v>
      </c>
      <c r="CJ287" s="8">
        <f>+MINVU_Mes_Corriente!CJ287*SALUD_Mes_Constante!$CC$1</f>
        <v>0</v>
      </c>
      <c r="CK287" s="8">
        <f>+MINVU_Mes_Corriente!CK287*SALUD_Mes_Constante!$CC$1</f>
        <v>0</v>
      </c>
      <c r="CL287" s="8">
        <f>+MINVU_Mes_Corriente!CL287*SALUD_Mes_Constante!$CC$1</f>
        <v>0</v>
      </c>
      <c r="CM287" s="8">
        <f>+MINVU_Mes_Corriente!CM287*SALUD_Mes_Constante!$CC$1</f>
        <v>0</v>
      </c>
      <c r="CN287" s="8">
        <f>+MINVU_Mes_Corriente!CN287*SALUD_Mes_Constante!$CC$1</f>
        <v>0</v>
      </c>
      <c r="CO287" s="9">
        <f t="shared" si="139"/>
        <v>0</v>
      </c>
      <c r="CP287" s="8">
        <f>+MINVU_Mes_Corriente!CP287*SALUD_Mes_Constante!$CP$1</f>
        <v>0</v>
      </c>
      <c r="CQ287" s="8">
        <f>+MINVU_Mes_Corriente!CQ287*SALUD_Mes_Constante!$CP$1</f>
        <v>0</v>
      </c>
      <c r="CR287" s="8">
        <f>+MINVU_Mes_Corriente!CR287*SALUD_Mes_Constante!$CP$1</f>
        <v>0</v>
      </c>
      <c r="CS287" s="8">
        <f>+MINVU_Mes_Corriente!CS287*SALUD_Mes_Constante!$CP$1</f>
        <v>0</v>
      </c>
      <c r="CT287" s="8">
        <f>+MINVU_Mes_Corriente!CT287*SALUD_Mes_Constante!$CP$1</f>
        <v>0</v>
      </c>
      <c r="CU287" s="8">
        <f>+MINVU_Mes_Corriente!CU287*SALUD_Mes_Constante!$CP$1</f>
        <v>0</v>
      </c>
      <c r="CV287" s="8">
        <f>+MINVU_Mes_Corriente!CV287*SALUD_Mes_Constante!$CP$1</f>
        <v>0</v>
      </c>
      <c r="CW287" s="8">
        <f>+MINVU_Mes_Corriente!CW287*SALUD_Mes_Constante!$CP$1</f>
        <v>0</v>
      </c>
      <c r="CX287" s="8">
        <f>+MINVU_Mes_Corriente!CX287*SALUD_Mes_Constante!$CP$1</f>
        <v>0</v>
      </c>
      <c r="CY287" s="8">
        <f>+MINVU_Mes_Corriente!CY287*SALUD_Mes_Constante!$CP$1</f>
        <v>0</v>
      </c>
      <c r="CZ287" s="8">
        <f>+MINVU_Mes_Corriente!CZ287*SALUD_Mes_Constante!$CP$1</f>
        <v>0</v>
      </c>
      <c r="DA287" s="8">
        <f>+MINVU_Mes_Corriente!DA287*SALUD_Mes_Constante!$CP$1</f>
        <v>0</v>
      </c>
      <c r="DB287" s="9">
        <f t="shared" si="140"/>
        <v>0</v>
      </c>
      <c r="DC287" s="8">
        <f>+MINVU_Mes_Corriente!DC287*SALUD_Mes_Constante!$DC$1</f>
        <v>0</v>
      </c>
      <c r="DD287" s="8">
        <f>+MINVU_Mes_Corriente!DD287*SALUD_Mes_Constante!$DC$1</f>
        <v>0</v>
      </c>
      <c r="DE287" s="8">
        <f>+MINVU_Mes_Corriente!DE287*SALUD_Mes_Constante!$DC$1</f>
        <v>0</v>
      </c>
      <c r="DF287" s="8">
        <f>+MINVU_Mes_Corriente!DF287*SALUD_Mes_Constante!$DC$1</f>
        <v>0</v>
      </c>
      <c r="DG287" s="8">
        <f>+MINVU_Mes_Corriente!DG287*SALUD_Mes_Constante!$DC$1</f>
        <v>0</v>
      </c>
      <c r="DH287" s="8">
        <f>+MINVU_Mes_Corriente!DH287*SALUD_Mes_Constante!$DC$1</f>
        <v>0</v>
      </c>
      <c r="DI287" s="8">
        <f>+MINVU_Mes_Corriente!DI287*SALUD_Mes_Constante!$DC$1</f>
        <v>0</v>
      </c>
      <c r="DJ287" s="8">
        <f>+MINVU_Mes_Corriente!DJ287*SALUD_Mes_Constante!$DC$1</f>
        <v>0</v>
      </c>
      <c r="DK287" s="8">
        <f>+MINVU_Mes_Corriente!DK287*SALUD_Mes_Constante!$DC$1</f>
        <v>0</v>
      </c>
      <c r="DL287" s="8">
        <f>+MINVU_Mes_Corriente!DL287*SALUD_Mes_Constante!$DC$1</f>
        <v>0</v>
      </c>
      <c r="DM287" s="8">
        <f>+MINVU_Mes_Corriente!DM287*SALUD_Mes_Constante!$DC$1</f>
        <v>0</v>
      </c>
      <c r="DN287" s="8">
        <f>+MINVU_Mes_Corriente!DN287*SALUD_Mes_Constante!$DC$1</f>
        <v>0</v>
      </c>
      <c r="DO287" s="9">
        <f t="shared" si="141"/>
        <v>0</v>
      </c>
      <c r="DP287" s="8">
        <f>+MINVU_Mes_Corriente!DP287*SALUD_Mes_Constante!$DP$1</f>
        <v>0</v>
      </c>
      <c r="DQ287" s="8">
        <f>+MINVU_Mes_Corriente!DQ287*SALUD_Mes_Constante!$DP$1</f>
        <v>0</v>
      </c>
      <c r="DR287" s="8">
        <f>+MINVU_Mes_Corriente!DR287*SALUD_Mes_Constante!$DP$1</f>
        <v>0</v>
      </c>
      <c r="DS287" s="8">
        <f>+MINVU_Mes_Corriente!DS287*SALUD_Mes_Constante!$DP$1</f>
        <v>0</v>
      </c>
      <c r="DT287" s="8">
        <f>+MINVU_Mes_Corriente!DT287*SALUD_Mes_Constante!$DP$1</f>
        <v>0</v>
      </c>
      <c r="DU287" s="8">
        <f>+MINVU_Mes_Corriente!DU287*SALUD_Mes_Constante!$DP$1</f>
        <v>0</v>
      </c>
      <c r="DV287" s="8">
        <f>+MINVU_Mes_Corriente!DV287*SALUD_Mes_Constante!$DP$1</f>
        <v>0</v>
      </c>
      <c r="DW287" s="8">
        <f>+MINVU_Mes_Corriente!DW287*SALUD_Mes_Constante!$DP$1</f>
        <v>0</v>
      </c>
      <c r="DX287" s="8">
        <f>+MINVU_Mes_Corriente!DX287*SALUD_Mes_Constante!$DP$1</f>
        <v>0</v>
      </c>
      <c r="DY287" s="8">
        <f>+MINVU_Mes_Corriente!DY287*SALUD_Mes_Constante!$DP$1</f>
        <v>0</v>
      </c>
      <c r="DZ287" s="8">
        <f>+MINVU_Mes_Corriente!DZ287*SALUD_Mes_Constante!$DP$1</f>
        <v>0</v>
      </c>
      <c r="EA287" s="8">
        <f>+MINVU_Mes_Corriente!EA287*SALUD_Mes_Constante!$DP$1</f>
        <v>0</v>
      </c>
      <c r="EB287" s="9">
        <f t="shared" si="142"/>
        <v>0</v>
      </c>
      <c r="EC287" s="8">
        <f>+MINVU_Mes_Corriente!EC287*SALUD_Mes_Constante!$EC$1</f>
        <v>0</v>
      </c>
      <c r="ED287" s="8">
        <f>+MINVU_Mes_Corriente!ED287*SALUD_Mes_Constante!$EC$1</f>
        <v>0</v>
      </c>
      <c r="EE287" s="8">
        <f>+MINVU_Mes_Corriente!EE287*SALUD_Mes_Constante!$EC$1</f>
        <v>0</v>
      </c>
      <c r="EF287" s="8">
        <f>+MINVU_Mes_Corriente!EF287*SALUD_Mes_Constante!$EC$1</f>
        <v>0</v>
      </c>
      <c r="EG287" s="8">
        <f>+MINVU_Mes_Corriente!EG287*SALUD_Mes_Constante!$EC$1</f>
        <v>0</v>
      </c>
      <c r="EH287" s="8">
        <f>+MINVU_Mes_Corriente!EH287*SALUD_Mes_Constante!$EC$1</f>
        <v>0</v>
      </c>
      <c r="EI287" s="8">
        <f>+MINVU_Mes_Corriente!EI287*SALUD_Mes_Constante!$EC$1</f>
        <v>0</v>
      </c>
      <c r="EJ287" s="8">
        <f>+MINVU_Mes_Corriente!EJ287*SALUD_Mes_Constante!$EC$1</f>
        <v>0</v>
      </c>
      <c r="EK287" s="8">
        <f>+MINVU_Mes_Corriente!EK287*SALUD_Mes_Constante!$EC$1</f>
        <v>0</v>
      </c>
      <c r="EL287" s="8">
        <f>+MINVU_Mes_Corriente!EL287*SALUD_Mes_Constante!$EC$1</f>
        <v>0</v>
      </c>
      <c r="EM287" s="8">
        <f>+MINVU_Mes_Corriente!EM287*SALUD_Mes_Constante!$EC$1</f>
        <v>0</v>
      </c>
      <c r="EN287" s="8">
        <f>+MINVU_Mes_Corriente!EN287*SALUD_Mes_Constante!$EC$1</f>
        <v>0</v>
      </c>
      <c r="EO287" s="9">
        <f t="shared" si="143"/>
        <v>0</v>
      </c>
      <c r="EP287" s="8">
        <f>+MINVU_Mes_Corriente!EP287*SALUD_Mes_Constante!$EP$1</f>
        <v>0</v>
      </c>
      <c r="EQ287" s="8">
        <f>+MINVU_Mes_Corriente!EQ287*SALUD_Mes_Constante!$EP$1</f>
        <v>0</v>
      </c>
      <c r="ER287" s="8">
        <f>+MINVU_Mes_Corriente!ER287*SALUD_Mes_Constante!$EP$1</f>
        <v>0</v>
      </c>
      <c r="ES287" s="8">
        <f>+MINVU_Mes_Corriente!ES287*SALUD_Mes_Constante!$EP$1</f>
        <v>0</v>
      </c>
      <c r="ET287" s="8">
        <f>+MINVU_Mes_Corriente!ET287*SALUD_Mes_Constante!$EP$1</f>
        <v>0</v>
      </c>
      <c r="EU287" s="8">
        <f>+MINVU_Mes_Corriente!EU287*SALUD_Mes_Constante!$EP$1</f>
        <v>0</v>
      </c>
      <c r="EV287" s="8">
        <f>+MINVU_Mes_Corriente!EV287*SALUD_Mes_Constante!$EP$1</f>
        <v>0</v>
      </c>
      <c r="EW287" s="8">
        <f>+MINVU_Mes_Corriente!EW287*SALUD_Mes_Constante!$EP$1</f>
        <v>0</v>
      </c>
      <c r="EX287" s="8">
        <f>+MINVU_Mes_Corriente!EX287*SALUD_Mes_Constante!$EP$1</f>
        <v>0</v>
      </c>
      <c r="EY287" s="8">
        <f>+MINVU_Mes_Corriente!EY287*SALUD_Mes_Constante!$EP$1</f>
        <v>0</v>
      </c>
      <c r="EZ287" s="8">
        <f>+MINVU_Mes_Corriente!EZ287*SALUD_Mes_Constante!$EP$1</f>
        <v>0</v>
      </c>
      <c r="FA287" s="8">
        <f>+MINVU_Mes_Corriente!FA287*SALUD_Mes_Constante!$EP$1</f>
        <v>0</v>
      </c>
      <c r="FB287" s="9">
        <f t="shared" si="144"/>
        <v>0</v>
      </c>
      <c r="FC287" s="8">
        <f>+MINVU_Mes_Corriente!FC287*SALUD_Mes_Constante!$FC$1</f>
        <v>0</v>
      </c>
      <c r="FD287" s="8">
        <f>+MINVU_Mes_Corriente!FD287*SALUD_Mes_Constante!$FC$1</f>
        <v>0</v>
      </c>
      <c r="FE287" s="8">
        <f>+MINVU_Mes_Corriente!FE287*SALUD_Mes_Constante!$FC$1</f>
        <v>0</v>
      </c>
      <c r="FF287" s="8">
        <f>+MINVU_Mes_Corriente!FF287*SALUD_Mes_Constante!$FC$1</f>
        <v>0</v>
      </c>
      <c r="FG287" s="8">
        <f>+MINVU_Mes_Corriente!FG287*SALUD_Mes_Constante!$FC$1</f>
        <v>0</v>
      </c>
      <c r="FH287" s="8">
        <f>+MINVU_Mes_Corriente!FH287*SALUD_Mes_Constante!$FC$1</f>
        <v>0</v>
      </c>
      <c r="FI287" s="8">
        <f>+MINVU_Mes_Corriente!FI287*SALUD_Mes_Constante!$FC$1</f>
        <v>0</v>
      </c>
      <c r="FJ287" s="8"/>
      <c r="FK287" s="8"/>
      <c r="FL287" s="8"/>
      <c r="FM287" s="8"/>
      <c r="FN287" s="8"/>
      <c r="FO287" s="9">
        <f t="shared" si="145"/>
        <v>0</v>
      </c>
    </row>
    <row r="288" spans="2:171" ht="14.25" customHeight="1" x14ac:dyDescent="0.3">
      <c r="B288" s="7" t="s">
        <v>65</v>
      </c>
      <c r="C288" s="8">
        <f>+MINVU_Mes_Corriente!C288*SALUD_Mes_Constante!$C$1</f>
        <v>0</v>
      </c>
      <c r="D288" s="8">
        <f>+MINVU_Mes_Corriente!D288*SALUD_Mes_Constante!$C$1</f>
        <v>0</v>
      </c>
      <c r="E288" s="8">
        <f>+MINVU_Mes_Corriente!E288*SALUD_Mes_Constante!$C$1</f>
        <v>0</v>
      </c>
      <c r="F288" s="8">
        <f>+MINVU_Mes_Corriente!F288*SALUD_Mes_Constante!$C$1</f>
        <v>0</v>
      </c>
      <c r="G288" s="8">
        <f>+MINVU_Mes_Corriente!G288*SALUD_Mes_Constante!$C$1</f>
        <v>0</v>
      </c>
      <c r="H288" s="8">
        <f>+MINVU_Mes_Corriente!H288*SALUD_Mes_Constante!$C$1</f>
        <v>0</v>
      </c>
      <c r="I288" s="8">
        <f>+MINVU_Mes_Corriente!I288*SALUD_Mes_Constante!$C$1</f>
        <v>0</v>
      </c>
      <c r="J288" s="8">
        <f>+MINVU_Mes_Corriente!J288*SALUD_Mes_Constante!$C$1</f>
        <v>0</v>
      </c>
      <c r="K288" s="8">
        <f>+MINVU_Mes_Corriente!K288*SALUD_Mes_Constante!$C$1</f>
        <v>0</v>
      </c>
      <c r="L288" s="8">
        <f>+MINVU_Mes_Corriente!L288*SALUD_Mes_Constante!$C$1</f>
        <v>0</v>
      </c>
      <c r="M288" s="8">
        <f>+MINVU_Mes_Corriente!M288*SALUD_Mes_Constante!$C$1</f>
        <v>0</v>
      </c>
      <c r="N288" s="8">
        <f>+MINVU_Mes_Corriente!N288*SALUD_Mes_Constante!$C$1</f>
        <v>0</v>
      </c>
      <c r="O288" s="9">
        <f t="shared" si="133"/>
        <v>0</v>
      </c>
      <c r="P288" s="8">
        <f>+MINVU_Mes_Corriente!P288*SALUD_Mes_Constante!$P$1</f>
        <v>0</v>
      </c>
      <c r="Q288" s="8">
        <f>+MINVU_Mes_Corriente!Q288*SALUD_Mes_Constante!$P$1</f>
        <v>0</v>
      </c>
      <c r="R288" s="8">
        <f>+MINVU_Mes_Corriente!R288*SALUD_Mes_Constante!$P$1</f>
        <v>0</v>
      </c>
      <c r="S288" s="8">
        <f>+MINVU_Mes_Corriente!S288*SALUD_Mes_Constante!$P$1</f>
        <v>0</v>
      </c>
      <c r="T288" s="8">
        <f>+MINVU_Mes_Corriente!T288*SALUD_Mes_Constante!$P$1</f>
        <v>0</v>
      </c>
      <c r="U288" s="8">
        <f>+MINVU_Mes_Corriente!U288*SALUD_Mes_Constante!$P$1</f>
        <v>0</v>
      </c>
      <c r="V288" s="8">
        <f>+MINVU_Mes_Corriente!V288*SALUD_Mes_Constante!$P$1</f>
        <v>0</v>
      </c>
      <c r="W288" s="8">
        <f>+MINVU_Mes_Corriente!W288*SALUD_Mes_Constante!$P$1</f>
        <v>0</v>
      </c>
      <c r="X288" s="8">
        <f>+MINVU_Mes_Corriente!X288*SALUD_Mes_Constante!$P$1</f>
        <v>0</v>
      </c>
      <c r="Y288" s="8">
        <f>+MINVU_Mes_Corriente!Y288*SALUD_Mes_Constante!$P$1</f>
        <v>0</v>
      </c>
      <c r="Z288" s="8">
        <f>+MINVU_Mes_Corriente!Z288*SALUD_Mes_Constante!$P$1</f>
        <v>0</v>
      </c>
      <c r="AA288" s="8">
        <f>+MINVU_Mes_Corriente!AA288*SALUD_Mes_Constante!$P$1</f>
        <v>0</v>
      </c>
      <c r="AB288" s="9">
        <f t="shared" si="134"/>
        <v>0</v>
      </c>
      <c r="AC288" s="8">
        <f>+MINVU_Mes_Corriente!AC288*SALUD_Mes_Constante!$AC$1</f>
        <v>0</v>
      </c>
      <c r="AD288" s="8">
        <f>+MINVU_Mes_Corriente!AD288*SALUD_Mes_Constante!$AC$1</f>
        <v>0</v>
      </c>
      <c r="AE288" s="8">
        <f>+MINVU_Mes_Corriente!AE288*SALUD_Mes_Constante!$AC$1</f>
        <v>0</v>
      </c>
      <c r="AF288" s="8">
        <f>+MINVU_Mes_Corriente!AF288*SALUD_Mes_Constante!$AC$1</f>
        <v>0</v>
      </c>
      <c r="AG288" s="8">
        <f>+MINVU_Mes_Corriente!AG288*SALUD_Mes_Constante!$AC$1</f>
        <v>0</v>
      </c>
      <c r="AH288" s="8">
        <f>+MINVU_Mes_Corriente!AH288*SALUD_Mes_Constante!$AC$1</f>
        <v>0</v>
      </c>
      <c r="AI288" s="8">
        <f>+MINVU_Mes_Corriente!AI288*SALUD_Mes_Constante!$AC$1</f>
        <v>0</v>
      </c>
      <c r="AJ288" s="8">
        <f>+MINVU_Mes_Corriente!AJ288*SALUD_Mes_Constante!$AC$1</f>
        <v>0</v>
      </c>
      <c r="AK288" s="8">
        <f>+MINVU_Mes_Corriente!AK288*SALUD_Mes_Constante!$AC$1</f>
        <v>0</v>
      </c>
      <c r="AL288" s="8">
        <f>+MINVU_Mes_Corriente!AL288*SALUD_Mes_Constante!$AC$1</f>
        <v>0</v>
      </c>
      <c r="AM288" s="8">
        <f>+MINVU_Mes_Corriente!AM288*SALUD_Mes_Constante!$AC$1</f>
        <v>0</v>
      </c>
      <c r="AN288" s="8">
        <f>+MINVU_Mes_Corriente!AN288*SALUD_Mes_Constante!$AC$1</f>
        <v>0</v>
      </c>
      <c r="AO288" s="9">
        <f t="shared" si="135"/>
        <v>0</v>
      </c>
      <c r="AP288" s="8">
        <f>+MINVU_Mes_Corriente!AP288*SALUD_Mes_Constante!$AP$1</f>
        <v>0</v>
      </c>
      <c r="AQ288" s="8">
        <f>+MINVU_Mes_Corriente!AQ288*SALUD_Mes_Constante!$AP$1</f>
        <v>0</v>
      </c>
      <c r="AR288" s="8">
        <f>+MINVU_Mes_Corriente!AR288*SALUD_Mes_Constante!$AP$1</f>
        <v>0</v>
      </c>
      <c r="AS288" s="8">
        <f>+MINVU_Mes_Corriente!AS288*SALUD_Mes_Constante!$AP$1</f>
        <v>0</v>
      </c>
      <c r="AT288" s="8">
        <f>+MINVU_Mes_Corriente!AT288*SALUD_Mes_Constante!$AP$1</f>
        <v>0</v>
      </c>
      <c r="AU288" s="8">
        <f>+MINVU_Mes_Corriente!AU288*SALUD_Mes_Constante!$AP$1</f>
        <v>0</v>
      </c>
      <c r="AV288" s="8">
        <f>+MINVU_Mes_Corriente!AV288*SALUD_Mes_Constante!$AP$1</f>
        <v>0</v>
      </c>
      <c r="AW288" s="8">
        <f>+MINVU_Mes_Corriente!AW288*SALUD_Mes_Constante!$AP$1</f>
        <v>0</v>
      </c>
      <c r="AX288" s="8">
        <f>+MINVU_Mes_Corriente!AX288*SALUD_Mes_Constante!$AP$1</f>
        <v>0</v>
      </c>
      <c r="AY288" s="8">
        <f>+MINVU_Mes_Corriente!AY288*SALUD_Mes_Constante!$AP$1</f>
        <v>0</v>
      </c>
      <c r="AZ288" s="8">
        <f>+MINVU_Mes_Corriente!AZ288*SALUD_Mes_Constante!$AP$1</f>
        <v>0</v>
      </c>
      <c r="BA288" s="8">
        <f>+MINVU_Mes_Corriente!BA288*SALUD_Mes_Constante!$AP$1</f>
        <v>0</v>
      </c>
      <c r="BB288" s="9">
        <f t="shared" si="136"/>
        <v>0</v>
      </c>
      <c r="BC288" s="8">
        <f>+MINVU_Mes_Corriente!BC288*SALUD_Mes_Constante!$BC$1</f>
        <v>0</v>
      </c>
      <c r="BD288" s="8">
        <f>+MINVU_Mes_Corriente!BD288*SALUD_Mes_Constante!$BC$1</f>
        <v>0</v>
      </c>
      <c r="BE288" s="8">
        <f>+MINVU_Mes_Corriente!BE288*SALUD_Mes_Constante!$BC$1</f>
        <v>0</v>
      </c>
      <c r="BF288" s="8">
        <f>+MINVU_Mes_Corriente!BF288*SALUD_Mes_Constante!$BC$1</f>
        <v>0</v>
      </c>
      <c r="BG288" s="8">
        <f>+MINVU_Mes_Corriente!BG288*SALUD_Mes_Constante!$BC$1</f>
        <v>0</v>
      </c>
      <c r="BH288" s="8">
        <f>+MINVU_Mes_Corriente!BH288*SALUD_Mes_Constante!$BC$1</f>
        <v>0</v>
      </c>
      <c r="BI288" s="8">
        <f>+MINVU_Mes_Corriente!BI288*SALUD_Mes_Constante!$BC$1</f>
        <v>0</v>
      </c>
      <c r="BJ288" s="8">
        <f>+MINVU_Mes_Corriente!BJ288*SALUD_Mes_Constante!$BC$1</f>
        <v>0</v>
      </c>
      <c r="BK288" s="8">
        <f>+MINVU_Mes_Corriente!BK288*SALUD_Mes_Constante!$BC$1</f>
        <v>0</v>
      </c>
      <c r="BL288" s="8">
        <f>+MINVU_Mes_Corriente!BL288*SALUD_Mes_Constante!$BC$1</f>
        <v>0</v>
      </c>
      <c r="BM288" s="8">
        <f>+MINVU_Mes_Corriente!BM288*SALUD_Mes_Constante!$BC$1</f>
        <v>0</v>
      </c>
      <c r="BN288" s="8">
        <f>+MINVU_Mes_Corriente!BN288*SALUD_Mes_Constante!$BC$1</f>
        <v>0</v>
      </c>
      <c r="BO288" s="9">
        <f t="shared" si="137"/>
        <v>0</v>
      </c>
      <c r="BP288" s="8">
        <f>+MINVU_Mes_Corriente!BP288*SALUD_Mes_Constante!$BP$1</f>
        <v>0</v>
      </c>
      <c r="BQ288" s="8">
        <f>+MINVU_Mes_Corriente!BQ288*SALUD_Mes_Constante!$BP$1</f>
        <v>0</v>
      </c>
      <c r="BR288" s="8">
        <f>+MINVU_Mes_Corriente!BR288*SALUD_Mes_Constante!$BP$1</f>
        <v>0</v>
      </c>
      <c r="BS288" s="8">
        <f>+MINVU_Mes_Corriente!BS288*SALUD_Mes_Constante!$BP$1</f>
        <v>0</v>
      </c>
      <c r="BT288" s="8">
        <f>+MINVU_Mes_Corriente!BT288*SALUD_Mes_Constante!$BP$1</f>
        <v>0</v>
      </c>
      <c r="BU288" s="8">
        <f>+MINVU_Mes_Corriente!BU288*SALUD_Mes_Constante!$BP$1</f>
        <v>0</v>
      </c>
      <c r="BV288" s="8">
        <f>+MINVU_Mes_Corriente!BV288*SALUD_Mes_Constante!$BP$1</f>
        <v>0</v>
      </c>
      <c r="BW288" s="8">
        <f>+MINVU_Mes_Corriente!BW288*SALUD_Mes_Constante!$BP$1</f>
        <v>0</v>
      </c>
      <c r="BX288" s="8">
        <f>+MINVU_Mes_Corriente!BX288*SALUD_Mes_Constante!$BP$1</f>
        <v>0</v>
      </c>
      <c r="BY288" s="8">
        <f>+MINVU_Mes_Corriente!BY288*SALUD_Mes_Constante!$BP$1</f>
        <v>0</v>
      </c>
      <c r="BZ288" s="8">
        <f>+MINVU_Mes_Corriente!BZ288*SALUD_Mes_Constante!$BP$1</f>
        <v>0</v>
      </c>
      <c r="CA288" s="8">
        <f>+MINVU_Mes_Corriente!CA288*SALUD_Mes_Constante!$BP$1</f>
        <v>0</v>
      </c>
      <c r="CB288" s="9">
        <f t="shared" si="138"/>
        <v>0</v>
      </c>
      <c r="CC288" s="8">
        <f>+MINVU_Mes_Corriente!CC288*SALUD_Mes_Constante!$CC$1</f>
        <v>0</v>
      </c>
      <c r="CD288" s="8">
        <f>+MINVU_Mes_Corriente!CD288*SALUD_Mes_Constante!$CC$1</f>
        <v>0</v>
      </c>
      <c r="CE288" s="8">
        <f>+MINVU_Mes_Corriente!CE288*SALUD_Mes_Constante!$CC$1</f>
        <v>0</v>
      </c>
      <c r="CF288" s="8">
        <f>+MINVU_Mes_Corriente!CF288*SALUD_Mes_Constante!$CC$1</f>
        <v>0</v>
      </c>
      <c r="CG288" s="8">
        <f>+MINVU_Mes_Corriente!CG288*SALUD_Mes_Constante!$CC$1</f>
        <v>0</v>
      </c>
      <c r="CH288" s="8">
        <f>+MINVU_Mes_Corriente!CH288*SALUD_Mes_Constante!$CC$1</f>
        <v>0</v>
      </c>
      <c r="CI288" s="8">
        <f>+MINVU_Mes_Corriente!CI288*SALUD_Mes_Constante!$CC$1</f>
        <v>0</v>
      </c>
      <c r="CJ288" s="8">
        <f>+MINVU_Mes_Corriente!CJ288*SALUD_Mes_Constante!$CC$1</f>
        <v>0</v>
      </c>
      <c r="CK288" s="8">
        <f>+MINVU_Mes_Corriente!CK288*SALUD_Mes_Constante!$CC$1</f>
        <v>0</v>
      </c>
      <c r="CL288" s="8">
        <f>+MINVU_Mes_Corriente!CL288*SALUD_Mes_Constante!$CC$1</f>
        <v>0</v>
      </c>
      <c r="CM288" s="8">
        <f>+MINVU_Mes_Corriente!CM288*SALUD_Mes_Constante!$CC$1</f>
        <v>0</v>
      </c>
      <c r="CN288" s="8">
        <f>+MINVU_Mes_Corriente!CN288*SALUD_Mes_Constante!$CC$1</f>
        <v>0</v>
      </c>
      <c r="CO288" s="9">
        <f t="shared" si="139"/>
        <v>0</v>
      </c>
      <c r="CP288" s="8">
        <f>+MINVU_Mes_Corriente!CP288*SALUD_Mes_Constante!$CP$1</f>
        <v>0</v>
      </c>
      <c r="CQ288" s="8">
        <f>+MINVU_Mes_Corriente!CQ288*SALUD_Mes_Constante!$CP$1</f>
        <v>0</v>
      </c>
      <c r="CR288" s="8">
        <f>+MINVU_Mes_Corriente!CR288*SALUD_Mes_Constante!$CP$1</f>
        <v>0</v>
      </c>
      <c r="CS288" s="8">
        <f>+MINVU_Mes_Corriente!CS288*SALUD_Mes_Constante!$CP$1</f>
        <v>0</v>
      </c>
      <c r="CT288" s="8">
        <f>+MINVU_Mes_Corriente!CT288*SALUD_Mes_Constante!$CP$1</f>
        <v>0</v>
      </c>
      <c r="CU288" s="8">
        <f>+MINVU_Mes_Corriente!CU288*SALUD_Mes_Constante!$CP$1</f>
        <v>0</v>
      </c>
      <c r="CV288" s="8">
        <f>+MINVU_Mes_Corriente!CV288*SALUD_Mes_Constante!$CP$1</f>
        <v>0</v>
      </c>
      <c r="CW288" s="8">
        <f>+MINVU_Mes_Corriente!CW288*SALUD_Mes_Constante!$CP$1</f>
        <v>0</v>
      </c>
      <c r="CX288" s="8">
        <f>+MINVU_Mes_Corriente!CX288*SALUD_Mes_Constante!$CP$1</f>
        <v>0</v>
      </c>
      <c r="CY288" s="8">
        <f>+MINVU_Mes_Corriente!CY288*SALUD_Mes_Constante!$CP$1</f>
        <v>0</v>
      </c>
      <c r="CZ288" s="8">
        <f>+MINVU_Mes_Corriente!CZ288*SALUD_Mes_Constante!$CP$1</f>
        <v>0</v>
      </c>
      <c r="DA288" s="8">
        <f>+MINVU_Mes_Corriente!DA288*SALUD_Mes_Constante!$CP$1</f>
        <v>0</v>
      </c>
      <c r="DB288" s="9">
        <f t="shared" si="140"/>
        <v>0</v>
      </c>
      <c r="DC288" s="8">
        <f>+MINVU_Mes_Corriente!DC288*SALUD_Mes_Constante!$DC$1</f>
        <v>0</v>
      </c>
      <c r="DD288" s="8">
        <f>+MINVU_Mes_Corriente!DD288*SALUD_Mes_Constante!$DC$1</f>
        <v>0</v>
      </c>
      <c r="DE288" s="8">
        <f>+MINVU_Mes_Corriente!DE288*SALUD_Mes_Constante!$DC$1</f>
        <v>0</v>
      </c>
      <c r="DF288" s="8">
        <f>+MINVU_Mes_Corriente!DF288*SALUD_Mes_Constante!$DC$1</f>
        <v>0</v>
      </c>
      <c r="DG288" s="8">
        <f>+MINVU_Mes_Corriente!DG288*SALUD_Mes_Constante!$DC$1</f>
        <v>0</v>
      </c>
      <c r="DH288" s="8">
        <f>+MINVU_Mes_Corriente!DH288*SALUD_Mes_Constante!$DC$1</f>
        <v>0</v>
      </c>
      <c r="DI288" s="8">
        <f>+MINVU_Mes_Corriente!DI288*SALUD_Mes_Constante!$DC$1</f>
        <v>0</v>
      </c>
      <c r="DJ288" s="8">
        <f>+MINVU_Mes_Corriente!DJ288*SALUD_Mes_Constante!$DC$1</f>
        <v>0</v>
      </c>
      <c r="DK288" s="8">
        <f>+MINVU_Mes_Corriente!DK288*SALUD_Mes_Constante!$DC$1</f>
        <v>0</v>
      </c>
      <c r="DL288" s="8">
        <f>+MINVU_Mes_Corriente!DL288*SALUD_Mes_Constante!$DC$1</f>
        <v>0</v>
      </c>
      <c r="DM288" s="8">
        <f>+MINVU_Mes_Corriente!DM288*SALUD_Mes_Constante!$DC$1</f>
        <v>0</v>
      </c>
      <c r="DN288" s="8">
        <f>+MINVU_Mes_Corriente!DN288*SALUD_Mes_Constante!$DC$1</f>
        <v>0</v>
      </c>
      <c r="DO288" s="9">
        <f t="shared" si="141"/>
        <v>0</v>
      </c>
      <c r="DP288" s="8">
        <f>+MINVU_Mes_Corriente!DP288*SALUD_Mes_Constante!$DP$1</f>
        <v>0</v>
      </c>
      <c r="DQ288" s="8">
        <f>+MINVU_Mes_Corriente!DQ288*SALUD_Mes_Constante!$DP$1</f>
        <v>0</v>
      </c>
      <c r="DR288" s="8">
        <f>+MINVU_Mes_Corriente!DR288*SALUD_Mes_Constante!$DP$1</f>
        <v>0</v>
      </c>
      <c r="DS288" s="8">
        <f>+MINVU_Mes_Corriente!DS288*SALUD_Mes_Constante!$DP$1</f>
        <v>0</v>
      </c>
      <c r="DT288" s="8">
        <f>+MINVU_Mes_Corriente!DT288*SALUD_Mes_Constante!$DP$1</f>
        <v>0</v>
      </c>
      <c r="DU288" s="8">
        <f>+MINVU_Mes_Corriente!DU288*SALUD_Mes_Constante!$DP$1</f>
        <v>0</v>
      </c>
      <c r="DV288" s="8">
        <f>+MINVU_Mes_Corriente!DV288*SALUD_Mes_Constante!$DP$1</f>
        <v>0</v>
      </c>
      <c r="DW288" s="8">
        <f>+MINVU_Mes_Corriente!DW288*SALUD_Mes_Constante!$DP$1</f>
        <v>0</v>
      </c>
      <c r="DX288" s="8">
        <f>+MINVU_Mes_Corriente!DX288*SALUD_Mes_Constante!$DP$1</f>
        <v>0</v>
      </c>
      <c r="DY288" s="8">
        <f>+MINVU_Mes_Corriente!DY288*SALUD_Mes_Constante!$DP$1</f>
        <v>0</v>
      </c>
      <c r="DZ288" s="8">
        <f>+MINVU_Mes_Corriente!DZ288*SALUD_Mes_Constante!$DP$1</f>
        <v>0</v>
      </c>
      <c r="EA288" s="8">
        <f>+MINVU_Mes_Corriente!EA288*SALUD_Mes_Constante!$DP$1</f>
        <v>0</v>
      </c>
      <c r="EB288" s="9">
        <f t="shared" si="142"/>
        <v>0</v>
      </c>
      <c r="EC288" s="8">
        <f>+MINVU_Mes_Corriente!EC288*SALUD_Mes_Constante!$EC$1</f>
        <v>0</v>
      </c>
      <c r="ED288" s="8">
        <f>+MINVU_Mes_Corriente!ED288*SALUD_Mes_Constante!$EC$1</f>
        <v>0</v>
      </c>
      <c r="EE288" s="8">
        <f>+MINVU_Mes_Corriente!EE288*SALUD_Mes_Constante!$EC$1</f>
        <v>0</v>
      </c>
      <c r="EF288" s="8">
        <f>+MINVU_Mes_Corriente!EF288*SALUD_Mes_Constante!$EC$1</f>
        <v>0</v>
      </c>
      <c r="EG288" s="8">
        <f>+MINVU_Mes_Corriente!EG288*SALUD_Mes_Constante!$EC$1</f>
        <v>0</v>
      </c>
      <c r="EH288" s="8">
        <f>+MINVU_Mes_Corriente!EH288*SALUD_Mes_Constante!$EC$1</f>
        <v>0</v>
      </c>
      <c r="EI288" s="8">
        <f>+MINVU_Mes_Corriente!EI288*SALUD_Mes_Constante!$EC$1</f>
        <v>0</v>
      </c>
      <c r="EJ288" s="8">
        <f>+MINVU_Mes_Corriente!EJ288*SALUD_Mes_Constante!$EC$1</f>
        <v>0</v>
      </c>
      <c r="EK288" s="8">
        <f>+MINVU_Mes_Corriente!EK288*SALUD_Mes_Constante!$EC$1</f>
        <v>0</v>
      </c>
      <c r="EL288" s="8">
        <f>+MINVU_Mes_Corriente!EL288*SALUD_Mes_Constante!$EC$1</f>
        <v>0</v>
      </c>
      <c r="EM288" s="8">
        <f>+MINVU_Mes_Corriente!EM288*SALUD_Mes_Constante!$EC$1</f>
        <v>0</v>
      </c>
      <c r="EN288" s="8">
        <f>+MINVU_Mes_Corriente!EN288*SALUD_Mes_Constante!$EC$1</f>
        <v>0</v>
      </c>
      <c r="EO288" s="9">
        <f t="shared" si="143"/>
        <v>0</v>
      </c>
      <c r="EP288" s="8">
        <f>+MINVU_Mes_Corriente!EP288*SALUD_Mes_Constante!$EP$1</f>
        <v>0</v>
      </c>
      <c r="EQ288" s="8">
        <f>+MINVU_Mes_Corriente!EQ288*SALUD_Mes_Constante!$EP$1</f>
        <v>0</v>
      </c>
      <c r="ER288" s="8">
        <f>+MINVU_Mes_Corriente!ER288*SALUD_Mes_Constante!$EP$1</f>
        <v>0</v>
      </c>
      <c r="ES288" s="8">
        <f>+MINVU_Mes_Corriente!ES288*SALUD_Mes_Constante!$EP$1</f>
        <v>0</v>
      </c>
      <c r="ET288" s="8">
        <f>+MINVU_Mes_Corriente!ET288*SALUD_Mes_Constante!$EP$1</f>
        <v>0</v>
      </c>
      <c r="EU288" s="8">
        <f>+MINVU_Mes_Corriente!EU288*SALUD_Mes_Constante!$EP$1</f>
        <v>0</v>
      </c>
      <c r="EV288" s="8">
        <f>+MINVU_Mes_Corriente!EV288*SALUD_Mes_Constante!$EP$1</f>
        <v>0</v>
      </c>
      <c r="EW288" s="8">
        <f>+MINVU_Mes_Corriente!EW288*SALUD_Mes_Constante!$EP$1</f>
        <v>0</v>
      </c>
      <c r="EX288" s="8">
        <f>+MINVU_Mes_Corriente!EX288*SALUD_Mes_Constante!$EP$1</f>
        <v>0</v>
      </c>
      <c r="EY288" s="8">
        <f>+MINVU_Mes_Corriente!EY288*SALUD_Mes_Constante!$EP$1</f>
        <v>0</v>
      </c>
      <c r="EZ288" s="8">
        <f>+MINVU_Mes_Corriente!EZ288*SALUD_Mes_Constante!$EP$1</f>
        <v>0</v>
      </c>
      <c r="FA288" s="8">
        <f>+MINVU_Mes_Corriente!FA288*SALUD_Mes_Constante!$EP$1</f>
        <v>0</v>
      </c>
      <c r="FB288" s="9">
        <f t="shared" si="144"/>
        <v>0</v>
      </c>
      <c r="FC288" s="8">
        <f>+MINVU_Mes_Corriente!FC288*SALUD_Mes_Constante!$FC$1</f>
        <v>0</v>
      </c>
      <c r="FD288" s="8">
        <f>+MINVU_Mes_Corriente!FD288*SALUD_Mes_Constante!$FC$1</f>
        <v>0</v>
      </c>
      <c r="FE288" s="8">
        <f>+MINVU_Mes_Corriente!FE288*SALUD_Mes_Constante!$FC$1</f>
        <v>0</v>
      </c>
      <c r="FF288" s="8">
        <f>+MINVU_Mes_Corriente!FF288*SALUD_Mes_Constante!$FC$1</f>
        <v>0</v>
      </c>
      <c r="FG288" s="8">
        <f>+MINVU_Mes_Corriente!FG288*SALUD_Mes_Constante!$FC$1</f>
        <v>0</v>
      </c>
      <c r="FH288" s="8">
        <f>+MINVU_Mes_Corriente!FH288*SALUD_Mes_Constante!$FC$1</f>
        <v>0</v>
      </c>
      <c r="FI288" s="8">
        <f>+MINVU_Mes_Corriente!FI288*SALUD_Mes_Constante!$FC$1</f>
        <v>0</v>
      </c>
      <c r="FJ288" s="8"/>
      <c r="FK288" s="8"/>
      <c r="FL288" s="8"/>
      <c r="FM288" s="8"/>
      <c r="FN288" s="8"/>
      <c r="FO288" s="9">
        <f t="shared" si="145"/>
        <v>0</v>
      </c>
    </row>
    <row r="289" spans="2:171" ht="14.25" customHeight="1" x14ac:dyDescent="0.3">
      <c r="B289" s="7" t="s">
        <v>66</v>
      </c>
      <c r="C289" s="8">
        <f>+MINVU_Mes_Corriente!C289*SALUD_Mes_Constante!$C$1</f>
        <v>0</v>
      </c>
      <c r="D289" s="8">
        <f>+MINVU_Mes_Corriente!D289*SALUD_Mes_Constante!$C$1</f>
        <v>0</v>
      </c>
      <c r="E289" s="8">
        <f>+MINVU_Mes_Corriente!E289*SALUD_Mes_Constante!$C$1</f>
        <v>0</v>
      </c>
      <c r="F289" s="8">
        <f>+MINVU_Mes_Corriente!F289*SALUD_Mes_Constante!$C$1</f>
        <v>0</v>
      </c>
      <c r="G289" s="8">
        <f>+MINVU_Mes_Corriente!G289*SALUD_Mes_Constante!$C$1</f>
        <v>0</v>
      </c>
      <c r="H289" s="8">
        <f>+MINVU_Mes_Corriente!H289*SALUD_Mes_Constante!$C$1</f>
        <v>0</v>
      </c>
      <c r="I289" s="8">
        <f>+MINVU_Mes_Corriente!I289*SALUD_Mes_Constante!$C$1</f>
        <v>0</v>
      </c>
      <c r="J289" s="8">
        <f>+MINVU_Mes_Corriente!J289*SALUD_Mes_Constante!$C$1</f>
        <v>0</v>
      </c>
      <c r="K289" s="8">
        <f>+MINVU_Mes_Corriente!K289*SALUD_Mes_Constante!$C$1</f>
        <v>0</v>
      </c>
      <c r="L289" s="8">
        <f>+MINVU_Mes_Corriente!L289*SALUD_Mes_Constante!$C$1</f>
        <v>0</v>
      </c>
      <c r="M289" s="8">
        <f>+MINVU_Mes_Corriente!M289*SALUD_Mes_Constante!$C$1</f>
        <v>0</v>
      </c>
      <c r="N289" s="8">
        <f>+MINVU_Mes_Corriente!N289*SALUD_Mes_Constante!$C$1</f>
        <v>0</v>
      </c>
      <c r="O289" s="9">
        <f t="shared" si="133"/>
        <v>0</v>
      </c>
      <c r="P289" s="8">
        <f>+MINVU_Mes_Corriente!P289*SALUD_Mes_Constante!$P$1</f>
        <v>0</v>
      </c>
      <c r="Q289" s="8">
        <f>+MINVU_Mes_Corriente!Q289*SALUD_Mes_Constante!$P$1</f>
        <v>0</v>
      </c>
      <c r="R289" s="8">
        <f>+MINVU_Mes_Corriente!R289*SALUD_Mes_Constante!$P$1</f>
        <v>0</v>
      </c>
      <c r="S289" s="8">
        <f>+MINVU_Mes_Corriente!S289*SALUD_Mes_Constante!$P$1</f>
        <v>0</v>
      </c>
      <c r="T289" s="8">
        <f>+MINVU_Mes_Corriente!T289*SALUD_Mes_Constante!$P$1</f>
        <v>0</v>
      </c>
      <c r="U289" s="8">
        <f>+MINVU_Mes_Corriente!U289*SALUD_Mes_Constante!$P$1</f>
        <v>0</v>
      </c>
      <c r="V289" s="8">
        <f>+MINVU_Mes_Corriente!V289*SALUD_Mes_Constante!$P$1</f>
        <v>0</v>
      </c>
      <c r="W289" s="8">
        <f>+MINVU_Mes_Corriente!W289*SALUD_Mes_Constante!$P$1</f>
        <v>0</v>
      </c>
      <c r="X289" s="8">
        <f>+MINVU_Mes_Corriente!X289*SALUD_Mes_Constante!$P$1</f>
        <v>0</v>
      </c>
      <c r="Y289" s="8">
        <f>+MINVU_Mes_Corriente!Y289*SALUD_Mes_Constante!$P$1</f>
        <v>0</v>
      </c>
      <c r="Z289" s="8">
        <f>+MINVU_Mes_Corriente!Z289*SALUD_Mes_Constante!$P$1</f>
        <v>0</v>
      </c>
      <c r="AA289" s="8">
        <f>+MINVU_Mes_Corriente!AA289*SALUD_Mes_Constante!$P$1</f>
        <v>0</v>
      </c>
      <c r="AB289" s="9">
        <f t="shared" si="134"/>
        <v>0</v>
      </c>
      <c r="AC289" s="8">
        <f>+MINVU_Mes_Corriente!AC289*SALUD_Mes_Constante!$AC$1</f>
        <v>0</v>
      </c>
      <c r="AD289" s="8">
        <f>+MINVU_Mes_Corriente!AD289*SALUD_Mes_Constante!$AC$1</f>
        <v>0</v>
      </c>
      <c r="AE289" s="8">
        <f>+MINVU_Mes_Corriente!AE289*SALUD_Mes_Constante!$AC$1</f>
        <v>0</v>
      </c>
      <c r="AF289" s="8">
        <f>+MINVU_Mes_Corriente!AF289*SALUD_Mes_Constante!$AC$1</f>
        <v>0</v>
      </c>
      <c r="AG289" s="8">
        <f>+MINVU_Mes_Corriente!AG289*SALUD_Mes_Constante!$AC$1</f>
        <v>0</v>
      </c>
      <c r="AH289" s="8">
        <f>+MINVU_Mes_Corriente!AH289*SALUD_Mes_Constante!$AC$1</f>
        <v>0</v>
      </c>
      <c r="AI289" s="8">
        <f>+MINVU_Mes_Corriente!AI289*SALUD_Mes_Constante!$AC$1</f>
        <v>0</v>
      </c>
      <c r="AJ289" s="8">
        <f>+MINVU_Mes_Corriente!AJ289*SALUD_Mes_Constante!$AC$1</f>
        <v>0</v>
      </c>
      <c r="AK289" s="8">
        <f>+MINVU_Mes_Corriente!AK289*SALUD_Mes_Constante!$AC$1</f>
        <v>0</v>
      </c>
      <c r="AL289" s="8">
        <f>+MINVU_Mes_Corriente!AL289*SALUD_Mes_Constante!$AC$1</f>
        <v>0</v>
      </c>
      <c r="AM289" s="8">
        <f>+MINVU_Mes_Corriente!AM289*SALUD_Mes_Constante!$AC$1</f>
        <v>0</v>
      </c>
      <c r="AN289" s="8">
        <f>+MINVU_Mes_Corriente!AN289*SALUD_Mes_Constante!$AC$1</f>
        <v>0</v>
      </c>
      <c r="AO289" s="9">
        <f t="shared" si="135"/>
        <v>0</v>
      </c>
      <c r="AP289" s="8">
        <f>+MINVU_Mes_Corriente!AP289*SALUD_Mes_Constante!$AP$1</f>
        <v>0</v>
      </c>
      <c r="AQ289" s="8">
        <f>+MINVU_Mes_Corriente!AQ289*SALUD_Mes_Constante!$AP$1</f>
        <v>0</v>
      </c>
      <c r="AR289" s="8">
        <f>+MINVU_Mes_Corriente!AR289*SALUD_Mes_Constante!$AP$1</f>
        <v>0</v>
      </c>
      <c r="AS289" s="8">
        <f>+MINVU_Mes_Corriente!AS289*SALUD_Mes_Constante!$AP$1</f>
        <v>0</v>
      </c>
      <c r="AT289" s="8">
        <f>+MINVU_Mes_Corriente!AT289*SALUD_Mes_Constante!$AP$1</f>
        <v>0</v>
      </c>
      <c r="AU289" s="8">
        <f>+MINVU_Mes_Corriente!AU289*SALUD_Mes_Constante!$AP$1</f>
        <v>0</v>
      </c>
      <c r="AV289" s="8">
        <f>+MINVU_Mes_Corriente!AV289*SALUD_Mes_Constante!$AP$1</f>
        <v>0</v>
      </c>
      <c r="AW289" s="8">
        <f>+MINVU_Mes_Corriente!AW289*SALUD_Mes_Constante!$AP$1</f>
        <v>0</v>
      </c>
      <c r="AX289" s="8">
        <f>+MINVU_Mes_Corriente!AX289*SALUD_Mes_Constante!$AP$1</f>
        <v>0</v>
      </c>
      <c r="AY289" s="8">
        <f>+MINVU_Mes_Corriente!AY289*SALUD_Mes_Constante!$AP$1</f>
        <v>0</v>
      </c>
      <c r="AZ289" s="8">
        <f>+MINVU_Mes_Corriente!AZ289*SALUD_Mes_Constante!$AP$1</f>
        <v>0</v>
      </c>
      <c r="BA289" s="8">
        <f>+MINVU_Mes_Corriente!BA289*SALUD_Mes_Constante!$AP$1</f>
        <v>0</v>
      </c>
      <c r="BB289" s="9">
        <f t="shared" si="136"/>
        <v>0</v>
      </c>
      <c r="BC289" s="8">
        <f>+MINVU_Mes_Corriente!BC289*SALUD_Mes_Constante!$BC$1</f>
        <v>0</v>
      </c>
      <c r="BD289" s="8">
        <f>+MINVU_Mes_Corriente!BD289*SALUD_Mes_Constante!$BC$1</f>
        <v>0</v>
      </c>
      <c r="BE289" s="8">
        <f>+MINVU_Mes_Corriente!BE289*SALUD_Mes_Constante!$BC$1</f>
        <v>0</v>
      </c>
      <c r="BF289" s="8">
        <f>+MINVU_Mes_Corriente!BF289*SALUD_Mes_Constante!$BC$1</f>
        <v>0</v>
      </c>
      <c r="BG289" s="8">
        <f>+MINVU_Mes_Corriente!BG289*SALUD_Mes_Constante!$BC$1</f>
        <v>0</v>
      </c>
      <c r="BH289" s="8">
        <f>+MINVU_Mes_Corriente!BH289*SALUD_Mes_Constante!$BC$1</f>
        <v>0</v>
      </c>
      <c r="BI289" s="8">
        <f>+MINVU_Mes_Corriente!BI289*SALUD_Mes_Constante!$BC$1</f>
        <v>0</v>
      </c>
      <c r="BJ289" s="8">
        <f>+MINVU_Mes_Corriente!BJ289*SALUD_Mes_Constante!$BC$1</f>
        <v>0</v>
      </c>
      <c r="BK289" s="8">
        <f>+MINVU_Mes_Corriente!BK289*SALUD_Mes_Constante!$BC$1</f>
        <v>0</v>
      </c>
      <c r="BL289" s="8">
        <f>+MINVU_Mes_Corriente!BL289*SALUD_Mes_Constante!$BC$1</f>
        <v>0</v>
      </c>
      <c r="BM289" s="8">
        <f>+MINVU_Mes_Corriente!BM289*SALUD_Mes_Constante!$BC$1</f>
        <v>0</v>
      </c>
      <c r="BN289" s="8">
        <f>+MINVU_Mes_Corriente!BN289*SALUD_Mes_Constante!$BC$1</f>
        <v>0</v>
      </c>
      <c r="BO289" s="9">
        <f t="shared" si="137"/>
        <v>0</v>
      </c>
      <c r="BP289" s="8">
        <f>+MINVU_Mes_Corriente!BP289*SALUD_Mes_Constante!$BP$1</f>
        <v>0</v>
      </c>
      <c r="BQ289" s="8">
        <f>+MINVU_Mes_Corriente!BQ289*SALUD_Mes_Constante!$BP$1</f>
        <v>0</v>
      </c>
      <c r="BR289" s="8">
        <f>+MINVU_Mes_Corriente!BR289*SALUD_Mes_Constante!$BP$1</f>
        <v>0</v>
      </c>
      <c r="BS289" s="8">
        <f>+MINVU_Mes_Corriente!BS289*SALUD_Mes_Constante!$BP$1</f>
        <v>0</v>
      </c>
      <c r="BT289" s="8">
        <f>+MINVU_Mes_Corriente!BT289*SALUD_Mes_Constante!$BP$1</f>
        <v>0</v>
      </c>
      <c r="BU289" s="8">
        <f>+MINVU_Mes_Corriente!BU289*SALUD_Mes_Constante!$BP$1</f>
        <v>0</v>
      </c>
      <c r="BV289" s="8">
        <f>+MINVU_Mes_Corriente!BV289*SALUD_Mes_Constante!$BP$1</f>
        <v>0</v>
      </c>
      <c r="BW289" s="8">
        <f>+MINVU_Mes_Corriente!BW289*SALUD_Mes_Constante!$BP$1</f>
        <v>0</v>
      </c>
      <c r="BX289" s="8">
        <f>+MINVU_Mes_Corriente!BX289*SALUD_Mes_Constante!$BP$1</f>
        <v>0</v>
      </c>
      <c r="BY289" s="8">
        <f>+MINVU_Mes_Corriente!BY289*SALUD_Mes_Constante!$BP$1</f>
        <v>0</v>
      </c>
      <c r="BZ289" s="8">
        <f>+MINVU_Mes_Corriente!BZ289*SALUD_Mes_Constante!$BP$1</f>
        <v>0</v>
      </c>
      <c r="CA289" s="8">
        <f>+MINVU_Mes_Corriente!CA289*SALUD_Mes_Constante!$BP$1</f>
        <v>0</v>
      </c>
      <c r="CB289" s="9">
        <f t="shared" si="138"/>
        <v>0</v>
      </c>
      <c r="CC289" s="8">
        <f>+MINVU_Mes_Corriente!CC289*SALUD_Mes_Constante!$CC$1</f>
        <v>0</v>
      </c>
      <c r="CD289" s="8">
        <f>+MINVU_Mes_Corriente!CD289*SALUD_Mes_Constante!$CC$1</f>
        <v>0</v>
      </c>
      <c r="CE289" s="8">
        <f>+MINVU_Mes_Corriente!CE289*SALUD_Mes_Constante!$CC$1</f>
        <v>0</v>
      </c>
      <c r="CF289" s="8">
        <f>+MINVU_Mes_Corriente!CF289*SALUD_Mes_Constante!$CC$1</f>
        <v>0</v>
      </c>
      <c r="CG289" s="8">
        <f>+MINVU_Mes_Corriente!CG289*SALUD_Mes_Constante!$CC$1</f>
        <v>0</v>
      </c>
      <c r="CH289" s="8">
        <f>+MINVU_Mes_Corriente!CH289*SALUD_Mes_Constante!$CC$1</f>
        <v>0</v>
      </c>
      <c r="CI289" s="8">
        <f>+MINVU_Mes_Corriente!CI289*SALUD_Mes_Constante!$CC$1</f>
        <v>0</v>
      </c>
      <c r="CJ289" s="8">
        <f>+MINVU_Mes_Corriente!CJ289*SALUD_Mes_Constante!$CC$1</f>
        <v>0</v>
      </c>
      <c r="CK289" s="8">
        <f>+MINVU_Mes_Corriente!CK289*SALUD_Mes_Constante!$CC$1</f>
        <v>0</v>
      </c>
      <c r="CL289" s="8">
        <f>+MINVU_Mes_Corriente!CL289*SALUD_Mes_Constante!$CC$1</f>
        <v>0</v>
      </c>
      <c r="CM289" s="8">
        <f>+MINVU_Mes_Corriente!CM289*SALUD_Mes_Constante!$CC$1</f>
        <v>0</v>
      </c>
      <c r="CN289" s="8">
        <f>+MINVU_Mes_Corriente!CN289*SALUD_Mes_Constante!$CC$1</f>
        <v>0</v>
      </c>
      <c r="CO289" s="9">
        <f t="shared" si="139"/>
        <v>0</v>
      </c>
      <c r="CP289" s="8">
        <f>+MINVU_Mes_Corriente!CP289*SALUD_Mes_Constante!$CP$1</f>
        <v>0</v>
      </c>
      <c r="CQ289" s="8">
        <f>+MINVU_Mes_Corriente!CQ289*SALUD_Mes_Constante!$CP$1</f>
        <v>0</v>
      </c>
      <c r="CR289" s="8">
        <f>+MINVU_Mes_Corriente!CR289*SALUD_Mes_Constante!$CP$1</f>
        <v>0</v>
      </c>
      <c r="CS289" s="8">
        <f>+MINVU_Mes_Corriente!CS289*SALUD_Mes_Constante!$CP$1</f>
        <v>0</v>
      </c>
      <c r="CT289" s="8">
        <f>+MINVU_Mes_Corriente!CT289*SALUD_Mes_Constante!$CP$1</f>
        <v>0</v>
      </c>
      <c r="CU289" s="8">
        <f>+MINVU_Mes_Corriente!CU289*SALUD_Mes_Constante!$CP$1</f>
        <v>0</v>
      </c>
      <c r="CV289" s="8">
        <f>+MINVU_Mes_Corriente!CV289*SALUD_Mes_Constante!$CP$1</f>
        <v>0</v>
      </c>
      <c r="CW289" s="8">
        <f>+MINVU_Mes_Corriente!CW289*SALUD_Mes_Constante!$CP$1</f>
        <v>0</v>
      </c>
      <c r="CX289" s="8">
        <f>+MINVU_Mes_Corriente!CX289*SALUD_Mes_Constante!$CP$1</f>
        <v>0</v>
      </c>
      <c r="CY289" s="8">
        <f>+MINVU_Mes_Corriente!CY289*SALUD_Mes_Constante!$CP$1</f>
        <v>0</v>
      </c>
      <c r="CZ289" s="8">
        <f>+MINVU_Mes_Corriente!CZ289*SALUD_Mes_Constante!$CP$1</f>
        <v>0</v>
      </c>
      <c r="DA289" s="8">
        <f>+MINVU_Mes_Corriente!DA289*SALUD_Mes_Constante!$CP$1</f>
        <v>0</v>
      </c>
      <c r="DB289" s="9">
        <f t="shared" si="140"/>
        <v>0</v>
      </c>
      <c r="DC289" s="8">
        <f>+MINVU_Mes_Corriente!DC289*SALUD_Mes_Constante!$DC$1</f>
        <v>0</v>
      </c>
      <c r="DD289" s="8">
        <f>+MINVU_Mes_Corriente!DD289*SALUD_Mes_Constante!$DC$1</f>
        <v>0</v>
      </c>
      <c r="DE289" s="8">
        <f>+MINVU_Mes_Corriente!DE289*SALUD_Mes_Constante!$DC$1</f>
        <v>0</v>
      </c>
      <c r="DF289" s="8">
        <f>+MINVU_Mes_Corriente!DF289*SALUD_Mes_Constante!$DC$1</f>
        <v>0</v>
      </c>
      <c r="DG289" s="8">
        <f>+MINVU_Mes_Corriente!DG289*SALUD_Mes_Constante!$DC$1</f>
        <v>0</v>
      </c>
      <c r="DH289" s="8">
        <f>+MINVU_Mes_Corriente!DH289*SALUD_Mes_Constante!$DC$1</f>
        <v>0</v>
      </c>
      <c r="DI289" s="8">
        <f>+MINVU_Mes_Corriente!DI289*SALUD_Mes_Constante!$DC$1</f>
        <v>0</v>
      </c>
      <c r="DJ289" s="8">
        <f>+MINVU_Mes_Corriente!DJ289*SALUD_Mes_Constante!$DC$1</f>
        <v>0</v>
      </c>
      <c r="DK289" s="8">
        <f>+MINVU_Mes_Corriente!DK289*SALUD_Mes_Constante!$DC$1</f>
        <v>0</v>
      </c>
      <c r="DL289" s="8">
        <f>+MINVU_Mes_Corriente!DL289*SALUD_Mes_Constante!$DC$1</f>
        <v>0</v>
      </c>
      <c r="DM289" s="8">
        <f>+MINVU_Mes_Corriente!DM289*SALUD_Mes_Constante!$DC$1</f>
        <v>0</v>
      </c>
      <c r="DN289" s="8">
        <f>+MINVU_Mes_Corriente!DN289*SALUD_Mes_Constante!$DC$1</f>
        <v>0</v>
      </c>
      <c r="DO289" s="9">
        <f t="shared" si="141"/>
        <v>0</v>
      </c>
      <c r="DP289" s="8">
        <f>+MINVU_Mes_Corriente!DP289*SALUD_Mes_Constante!$DP$1</f>
        <v>0</v>
      </c>
      <c r="DQ289" s="8">
        <f>+MINVU_Mes_Corriente!DQ289*SALUD_Mes_Constante!$DP$1</f>
        <v>0</v>
      </c>
      <c r="DR289" s="8">
        <f>+MINVU_Mes_Corriente!DR289*SALUD_Mes_Constante!$DP$1</f>
        <v>0</v>
      </c>
      <c r="DS289" s="8">
        <f>+MINVU_Mes_Corriente!DS289*SALUD_Mes_Constante!$DP$1</f>
        <v>0</v>
      </c>
      <c r="DT289" s="8">
        <f>+MINVU_Mes_Corriente!DT289*SALUD_Mes_Constante!$DP$1</f>
        <v>0</v>
      </c>
      <c r="DU289" s="8">
        <f>+MINVU_Mes_Corriente!DU289*SALUD_Mes_Constante!$DP$1</f>
        <v>0</v>
      </c>
      <c r="DV289" s="8">
        <f>+MINVU_Mes_Corriente!DV289*SALUD_Mes_Constante!$DP$1</f>
        <v>0</v>
      </c>
      <c r="DW289" s="8">
        <f>+MINVU_Mes_Corriente!DW289*SALUD_Mes_Constante!$DP$1</f>
        <v>0</v>
      </c>
      <c r="DX289" s="8">
        <f>+MINVU_Mes_Corriente!DX289*SALUD_Mes_Constante!$DP$1</f>
        <v>0</v>
      </c>
      <c r="DY289" s="8">
        <f>+MINVU_Mes_Corriente!DY289*SALUD_Mes_Constante!$DP$1</f>
        <v>0</v>
      </c>
      <c r="DZ289" s="8">
        <f>+MINVU_Mes_Corriente!DZ289*SALUD_Mes_Constante!$DP$1</f>
        <v>0</v>
      </c>
      <c r="EA289" s="8">
        <f>+MINVU_Mes_Corriente!EA289*SALUD_Mes_Constante!$DP$1</f>
        <v>0</v>
      </c>
      <c r="EB289" s="9">
        <f t="shared" si="142"/>
        <v>0</v>
      </c>
      <c r="EC289" s="8">
        <f>+MINVU_Mes_Corriente!EC289*SALUD_Mes_Constante!$EC$1</f>
        <v>0</v>
      </c>
      <c r="ED289" s="8">
        <f>+MINVU_Mes_Corriente!ED289*SALUD_Mes_Constante!$EC$1</f>
        <v>0</v>
      </c>
      <c r="EE289" s="8">
        <f>+MINVU_Mes_Corriente!EE289*SALUD_Mes_Constante!$EC$1</f>
        <v>0</v>
      </c>
      <c r="EF289" s="8">
        <f>+MINVU_Mes_Corriente!EF289*SALUD_Mes_Constante!$EC$1</f>
        <v>0</v>
      </c>
      <c r="EG289" s="8">
        <f>+MINVU_Mes_Corriente!EG289*SALUD_Mes_Constante!$EC$1</f>
        <v>0</v>
      </c>
      <c r="EH289" s="8">
        <f>+MINVU_Mes_Corriente!EH289*SALUD_Mes_Constante!$EC$1</f>
        <v>0</v>
      </c>
      <c r="EI289" s="8">
        <f>+MINVU_Mes_Corriente!EI289*SALUD_Mes_Constante!$EC$1</f>
        <v>0</v>
      </c>
      <c r="EJ289" s="8">
        <f>+MINVU_Mes_Corriente!EJ289*SALUD_Mes_Constante!$EC$1</f>
        <v>0</v>
      </c>
      <c r="EK289" s="8">
        <f>+MINVU_Mes_Corriente!EK289*SALUD_Mes_Constante!$EC$1</f>
        <v>0</v>
      </c>
      <c r="EL289" s="8">
        <f>+MINVU_Mes_Corriente!EL289*SALUD_Mes_Constante!$EC$1</f>
        <v>0</v>
      </c>
      <c r="EM289" s="8">
        <f>+MINVU_Mes_Corriente!EM289*SALUD_Mes_Constante!$EC$1</f>
        <v>0</v>
      </c>
      <c r="EN289" s="8">
        <f>+MINVU_Mes_Corriente!EN289*SALUD_Mes_Constante!$EC$1</f>
        <v>0</v>
      </c>
      <c r="EO289" s="9">
        <f t="shared" si="143"/>
        <v>0</v>
      </c>
      <c r="EP289" s="8">
        <f>+MINVU_Mes_Corriente!EP289*SALUD_Mes_Constante!$EP$1</f>
        <v>0</v>
      </c>
      <c r="EQ289" s="8">
        <f>+MINVU_Mes_Corriente!EQ289*SALUD_Mes_Constante!$EP$1</f>
        <v>0</v>
      </c>
      <c r="ER289" s="8">
        <f>+MINVU_Mes_Corriente!ER289*SALUD_Mes_Constante!$EP$1</f>
        <v>0</v>
      </c>
      <c r="ES289" s="8">
        <f>+MINVU_Mes_Corriente!ES289*SALUD_Mes_Constante!$EP$1</f>
        <v>0</v>
      </c>
      <c r="ET289" s="8">
        <f>+MINVU_Mes_Corriente!ET289*SALUD_Mes_Constante!$EP$1</f>
        <v>0</v>
      </c>
      <c r="EU289" s="8">
        <f>+MINVU_Mes_Corriente!EU289*SALUD_Mes_Constante!$EP$1</f>
        <v>0</v>
      </c>
      <c r="EV289" s="8">
        <f>+MINVU_Mes_Corriente!EV289*SALUD_Mes_Constante!$EP$1</f>
        <v>0</v>
      </c>
      <c r="EW289" s="8">
        <f>+MINVU_Mes_Corriente!EW289*SALUD_Mes_Constante!$EP$1</f>
        <v>0</v>
      </c>
      <c r="EX289" s="8">
        <f>+MINVU_Mes_Corriente!EX289*SALUD_Mes_Constante!$EP$1</f>
        <v>0</v>
      </c>
      <c r="EY289" s="8">
        <f>+MINVU_Mes_Corriente!EY289*SALUD_Mes_Constante!$EP$1</f>
        <v>0</v>
      </c>
      <c r="EZ289" s="8">
        <f>+MINVU_Mes_Corriente!EZ289*SALUD_Mes_Constante!$EP$1</f>
        <v>0</v>
      </c>
      <c r="FA289" s="8">
        <f>+MINVU_Mes_Corriente!FA289*SALUD_Mes_Constante!$EP$1</f>
        <v>0</v>
      </c>
      <c r="FB289" s="9">
        <f t="shared" si="144"/>
        <v>0</v>
      </c>
      <c r="FC289" s="8">
        <f>+MINVU_Mes_Corriente!FC289*SALUD_Mes_Constante!$FC$1</f>
        <v>0</v>
      </c>
      <c r="FD289" s="8">
        <f>+MINVU_Mes_Corriente!FD289*SALUD_Mes_Constante!$FC$1</f>
        <v>0</v>
      </c>
      <c r="FE289" s="8">
        <f>+MINVU_Mes_Corriente!FE289*SALUD_Mes_Constante!$FC$1</f>
        <v>0</v>
      </c>
      <c r="FF289" s="8">
        <f>+MINVU_Mes_Corriente!FF289*SALUD_Mes_Constante!$FC$1</f>
        <v>0</v>
      </c>
      <c r="FG289" s="8">
        <f>+MINVU_Mes_Corriente!FG289*SALUD_Mes_Constante!$FC$1</f>
        <v>0</v>
      </c>
      <c r="FH289" s="8">
        <f>+MINVU_Mes_Corriente!FH289*SALUD_Mes_Constante!$FC$1</f>
        <v>0</v>
      </c>
      <c r="FI289" s="8">
        <f>+MINVU_Mes_Corriente!FI289*SALUD_Mes_Constante!$FC$1</f>
        <v>0</v>
      </c>
      <c r="FJ289" s="8"/>
      <c r="FK289" s="8"/>
      <c r="FL289" s="8"/>
      <c r="FM289" s="8"/>
      <c r="FN289" s="8"/>
      <c r="FO289" s="9">
        <f t="shared" si="145"/>
        <v>0</v>
      </c>
    </row>
    <row r="290" spans="2:171" ht="14.25" customHeight="1" x14ac:dyDescent="0.3">
      <c r="B290" s="7" t="s">
        <v>67</v>
      </c>
      <c r="C290" s="8">
        <f>+MINVU_Mes_Corriente!C290*SALUD_Mes_Constante!$C$1</f>
        <v>0</v>
      </c>
      <c r="D290" s="8">
        <f>+MINVU_Mes_Corriente!D290*SALUD_Mes_Constante!$C$1</f>
        <v>0</v>
      </c>
      <c r="E290" s="8">
        <f>+MINVU_Mes_Corriente!E290*SALUD_Mes_Constante!$C$1</f>
        <v>0</v>
      </c>
      <c r="F290" s="8">
        <f>+MINVU_Mes_Corriente!F290*SALUD_Mes_Constante!$C$1</f>
        <v>0</v>
      </c>
      <c r="G290" s="8">
        <f>+MINVU_Mes_Corriente!G290*SALUD_Mes_Constante!$C$1</f>
        <v>0</v>
      </c>
      <c r="H290" s="8">
        <f>+MINVU_Mes_Corriente!H290*SALUD_Mes_Constante!$C$1</f>
        <v>0</v>
      </c>
      <c r="I290" s="8">
        <f>+MINVU_Mes_Corriente!I290*SALUD_Mes_Constante!$C$1</f>
        <v>0</v>
      </c>
      <c r="J290" s="8">
        <f>+MINVU_Mes_Corriente!J290*SALUD_Mes_Constante!$C$1</f>
        <v>0</v>
      </c>
      <c r="K290" s="8">
        <f>+MINVU_Mes_Corriente!K290*SALUD_Mes_Constante!$C$1</f>
        <v>0</v>
      </c>
      <c r="L290" s="8">
        <f>+MINVU_Mes_Corriente!L290*SALUD_Mes_Constante!$C$1</f>
        <v>0</v>
      </c>
      <c r="M290" s="8">
        <f>+MINVU_Mes_Corriente!M290*SALUD_Mes_Constante!$C$1</f>
        <v>0</v>
      </c>
      <c r="N290" s="8">
        <f>+MINVU_Mes_Corriente!N290*SALUD_Mes_Constante!$C$1</f>
        <v>0</v>
      </c>
      <c r="O290" s="9">
        <f t="shared" si="133"/>
        <v>0</v>
      </c>
      <c r="P290" s="8">
        <f>+MINVU_Mes_Corriente!P290*SALUD_Mes_Constante!$P$1</f>
        <v>0</v>
      </c>
      <c r="Q290" s="8">
        <f>+MINVU_Mes_Corriente!Q290*SALUD_Mes_Constante!$P$1</f>
        <v>0</v>
      </c>
      <c r="R290" s="8">
        <f>+MINVU_Mes_Corriente!R290*SALUD_Mes_Constante!$P$1</f>
        <v>0</v>
      </c>
      <c r="S290" s="8">
        <f>+MINVU_Mes_Corriente!S290*SALUD_Mes_Constante!$P$1</f>
        <v>0</v>
      </c>
      <c r="T290" s="8">
        <f>+MINVU_Mes_Corriente!T290*SALUD_Mes_Constante!$P$1</f>
        <v>0</v>
      </c>
      <c r="U290" s="8">
        <f>+MINVU_Mes_Corriente!U290*SALUD_Mes_Constante!$P$1</f>
        <v>0</v>
      </c>
      <c r="V290" s="8">
        <f>+MINVU_Mes_Corriente!V290*SALUD_Mes_Constante!$P$1</f>
        <v>0</v>
      </c>
      <c r="W290" s="8">
        <f>+MINVU_Mes_Corriente!W290*SALUD_Mes_Constante!$P$1</f>
        <v>0</v>
      </c>
      <c r="X290" s="8">
        <f>+MINVU_Mes_Corriente!X290*SALUD_Mes_Constante!$P$1</f>
        <v>0</v>
      </c>
      <c r="Y290" s="8">
        <f>+MINVU_Mes_Corriente!Y290*SALUD_Mes_Constante!$P$1</f>
        <v>0</v>
      </c>
      <c r="Z290" s="8">
        <f>+MINVU_Mes_Corriente!Z290*SALUD_Mes_Constante!$P$1</f>
        <v>0</v>
      </c>
      <c r="AA290" s="8">
        <f>+MINVU_Mes_Corriente!AA290*SALUD_Mes_Constante!$P$1</f>
        <v>0</v>
      </c>
      <c r="AB290" s="9">
        <f t="shared" si="134"/>
        <v>0</v>
      </c>
      <c r="AC290" s="8">
        <f>+MINVU_Mes_Corriente!AC290*SALUD_Mes_Constante!$AC$1</f>
        <v>0</v>
      </c>
      <c r="AD290" s="8">
        <f>+MINVU_Mes_Corriente!AD290*SALUD_Mes_Constante!$AC$1</f>
        <v>0</v>
      </c>
      <c r="AE290" s="8">
        <f>+MINVU_Mes_Corriente!AE290*SALUD_Mes_Constante!$AC$1</f>
        <v>0</v>
      </c>
      <c r="AF290" s="8">
        <f>+MINVU_Mes_Corriente!AF290*SALUD_Mes_Constante!$AC$1</f>
        <v>0</v>
      </c>
      <c r="AG290" s="8">
        <f>+MINVU_Mes_Corriente!AG290*SALUD_Mes_Constante!$AC$1</f>
        <v>0</v>
      </c>
      <c r="AH290" s="8">
        <f>+MINVU_Mes_Corriente!AH290*SALUD_Mes_Constante!$AC$1</f>
        <v>0</v>
      </c>
      <c r="AI290" s="8">
        <f>+MINVU_Mes_Corriente!AI290*SALUD_Mes_Constante!$AC$1</f>
        <v>0</v>
      </c>
      <c r="AJ290" s="8">
        <f>+MINVU_Mes_Corriente!AJ290*SALUD_Mes_Constante!$AC$1</f>
        <v>0</v>
      </c>
      <c r="AK290" s="8">
        <f>+MINVU_Mes_Corriente!AK290*SALUD_Mes_Constante!$AC$1</f>
        <v>0</v>
      </c>
      <c r="AL290" s="8">
        <f>+MINVU_Mes_Corriente!AL290*SALUD_Mes_Constante!$AC$1</f>
        <v>0</v>
      </c>
      <c r="AM290" s="8">
        <f>+MINVU_Mes_Corriente!AM290*SALUD_Mes_Constante!$AC$1</f>
        <v>0</v>
      </c>
      <c r="AN290" s="8">
        <f>+MINVU_Mes_Corriente!AN290*SALUD_Mes_Constante!$AC$1</f>
        <v>0</v>
      </c>
      <c r="AO290" s="9">
        <f t="shared" si="135"/>
        <v>0</v>
      </c>
      <c r="AP290" s="8">
        <f>+MINVU_Mes_Corriente!AP290*SALUD_Mes_Constante!$AP$1</f>
        <v>0</v>
      </c>
      <c r="AQ290" s="8">
        <f>+MINVU_Mes_Corriente!AQ290*SALUD_Mes_Constante!$AP$1</f>
        <v>0</v>
      </c>
      <c r="AR290" s="8">
        <f>+MINVU_Mes_Corriente!AR290*SALUD_Mes_Constante!$AP$1</f>
        <v>0</v>
      </c>
      <c r="AS290" s="8">
        <f>+MINVU_Mes_Corriente!AS290*SALUD_Mes_Constante!$AP$1</f>
        <v>0</v>
      </c>
      <c r="AT290" s="8">
        <f>+MINVU_Mes_Corriente!AT290*SALUD_Mes_Constante!$AP$1</f>
        <v>0</v>
      </c>
      <c r="AU290" s="8">
        <f>+MINVU_Mes_Corriente!AU290*SALUD_Mes_Constante!$AP$1</f>
        <v>0</v>
      </c>
      <c r="AV290" s="8">
        <f>+MINVU_Mes_Corriente!AV290*SALUD_Mes_Constante!$AP$1</f>
        <v>0</v>
      </c>
      <c r="AW290" s="8">
        <f>+MINVU_Mes_Corriente!AW290*SALUD_Mes_Constante!$AP$1</f>
        <v>0</v>
      </c>
      <c r="AX290" s="8">
        <f>+MINVU_Mes_Corriente!AX290*SALUD_Mes_Constante!$AP$1</f>
        <v>0</v>
      </c>
      <c r="AY290" s="8">
        <f>+MINVU_Mes_Corriente!AY290*SALUD_Mes_Constante!$AP$1</f>
        <v>0</v>
      </c>
      <c r="AZ290" s="8">
        <f>+MINVU_Mes_Corriente!AZ290*SALUD_Mes_Constante!$AP$1</f>
        <v>0</v>
      </c>
      <c r="BA290" s="8">
        <f>+MINVU_Mes_Corriente!BA290*SALUD_Mes_Constante!$AP$1</f>
        <v>0</v>
      </c>
      <c r="BB290" s="9">
        <f t="shared" si="136"/>
        <v>0</v>
      </c>
      <c r="BC290" s="8">
        <f>+MINVU_Mes_Corriente!BC290*SALUD_Mes_Constante!$BC$1</f>
        <v>0</v>
      </c>
      <c r="BD290" s="8">
        <f>+MINVU_Mes_Corriente!BD290*SALUD_Mes_Constante!$BC$1</f>
        <v>0</v>
      </c>
      <c r="BE290" s="8">
        <f>+MINVU_Mes_Corriente!BE290*SALUD_Mes_Constante!$BC$1</f>
        <v>0</v>
      </c>
      <c r="BF290" s="8">
        <f>+MINVU_Mes_Corriente!BF290*SALUD_Mes_Constante!$BC$1</f>
        <v>0</v>
      </c>
      <c r="BG290" s="8">
        <f>+MINVU_Mes_Corriente!BG290*SALUD_Mes_Constante!$BC$1</f>
        <v>0</v>
      </c>
      <c r="BH290" s="8">
        <f>+MINVU_Mes_Corriente!BH290*SALUD_Mes_Constante!$BC$1</f>
        <v>0</v>
      </c>
      <c r="BI290" s="8">
        <f>+MINVU_Mes_Corriente!BI290*SALUD_Mes_Constante!$BC$1</f>
        <v>0</v>
      </c>
      <c r="BJ290" s="8">
        <f>+MINVU_Mes_Corriente!BJ290*SALUD_Mes_Constante!$BC$1</f>
        <v>0</v>
      </c>
      <c r="BK290" s="8">
        <f>+MINVU_Mes_Corriente!BK290*SALUD_Mes_Constante!$BC$1</f>
        <v>0</v>
      </c>
      <c r="BL290" s="8">
        <f>+MINVU_Mes_Corriente!BL290*SALUD_Mes_Constante!$BC$1</f>
        <v>0</v>
      </c>
      <c r="BM290" s="8">
        <f>+MINVU_Mes_Corriente!BM290*SALUD_Mes_Constante!$BC$1</f>
        <v>0</v>
      </c>
      <c r="BN290" s="8">
        <f>+MINVU_Mes_Corriente!BN290*SALUD_Mes_Constante!$BC$1</f>
        <v>0</v>
      </c>
      <c r="BO290" s="9">
        <f t="shared" si="137"/>
        <v>0</v>
      </c>
      <c r="BP290" s="8">
        <f>+MINVU_Mes_Corriente!BP290*SALUD_Mes_Constante!$BP$1</f>
        <v>0</v>
      </c>
      <c r="BQ290" s="8">
        <f>+MINVU_Mes_Corriente!BQ290*SALUD_Mes_Constante!$BP$1</f>
        <v>0</v>
      </c>
      <c r="BR290" s="8">
        <f>+MINVU_Mes_Corriente!BR290*SALUD_Mes_Constante!$BP$1</f>
        <v>0</v>
      </c>
      <c r="BS290" s="8">
        <f>+MINVU_Mes_Corriente!BS290*SALUD_Mes_Constante!$BP$1</f>
        <v>0</v>
      </c>
      <c r="BT290" s="8">
        <f>+MINVU_Mes_Corriente!BT290*SALUD_Mes_Constante!$BP$1</f>
        <v>0</v>
      </c>
      <c r="BU290" s="8">
        <f>+MINVU_Mes_Corriente!BU290*SALUD_Mes_Constante!$BP$1</f>
        <v>0</v>
      </c>
      <c r="BV290" s="8">
        <f>+MINVU_Mes_Corriente!BV290*SALUD_Mes_Constante!$BP$1</f>
        <v>0</v>
      </c>
      <c r="BW290" s="8">
        <f>+MINVU_Mes_Corriente!BW290*SALUD_Mes_Constante!$BP$1</f>
        <v>0</v>
      </c>
      <c r="BX290" s="8">
        <f>+MINVU_Mes_Corriente!BX290*SALUD_Mes_Constante!$BP$1</f>
        <v>0</v>
      </c>
      <c r="BY290" s="8">
        <f>+MINVU_Mes_Corriente!BY290*SALUD_Mes_Constante!$BP$1</f>
        <v>0</v>
      </c>
      <c r="BZ290" s="8">
        <f>+MINVU_Mes_Corriente!BZ290*SALUD_Mes_Constante!$BP$1</f>
        <v>0</v>
      </c>
      <c r="CA290" s="8">
        <f>+MINVU_Mes_Corriente!CA290*SALUD_Mes_Constante!$BP$1</f>
        <v>0</v>
      </c>
      <c r="CB290" s="9">
        <f t="shared" si="138"/>
        <v>0</v>
      </c>
      <c r="CC290" s="8">
        <f>+MINVU_Mes_Corriente!CC290*SALUD_Mes_Constante!$CC$1</f>
        <v>0</v>
      </c>
      <c r="CD290" s="8">
        <f>+MINVU_Mes_Corriente!CD290*SALUD_Mes_Constante!$CC$1</f>
        <v>0</v>
      </c>
      <c r="CE290" s="8">
        <f>+MINVU_Mes_Corriente!CE290*SALUD_Mes_Constante!$CC$1</f>
        <v>0</v>
      </c>
      <c r="CF290" s="8">
        <f>+MINVU_Mes_Corriente!CF290*SALUD_Mes_Constante!$CC$1</f>
        <v>0</v>
      </c>
      <c r="CG290" s="8">
        <f>+MINVU_Mes_Corriente!CG290*SALUD_Mes_Constante!$CC$1</f>
        <v>0</v>
      </c>
      <c r="CH290" s="8">
        <f>+MINVU_Mes_Corriente!CH290*SALUD_Mes_Constante!$CC$1</f>
        <v>0</v>
      </c>
      <c r="CI290" s="8">
        <f>+MINVU_Mes_Corriente!CI290*SALUD_Mes_Constante!$CC$1</f>
        <v>0</v>
      </c>
      <c r="CJ290" s="8">
        <f>+MINVU_Mes_Corriente!CJ290*SALUD_Mes_Constante!$CC$1</f>
        <v>0</v>
      </c>
      <c r="CK290" s="8">
        <f>+MINVU_Mes_Corriente!CK290*SALUD_Mes_Constante!$CC$1</f>
        <v>0</v>
      </c>
      <c r="CL290" s="8">
        <f>+MINVU_Mes_Corriente!CL290*SALUD_Mes_Constante!$CC$1</f>
        <v>0</v>
      </c>
      <c r="CM290" s="8">
        <f>+MINVU_Mes_Corriente!CM290*SALUD_Mes_Constante!$CC$1</f>
        <v>0</v>
      </c>
      <c r="CN290" s="8">
        <f>+MINVU_Mes_Corriente!CN290*SALUD_Mes_Constante!$CC$1</f>
        <v>0</v>
      </c>
      <c r="CO290" s="9">
        <f t="shared" si="139"/>
        <v>0</v>
      </c>
      <c r="CP290" s="8">
        <f>+MINVU_Mes_Corriente!CP290*SALUD_Mes_Constante!$CP$1</f>
        <v>0</v>
      </c>
      <c r="CQ290" s="8">
        <f>+MINVU_Mes_Corriente!CQ290*SALUD_Mes_Constante!$CP$1</f>
        <v>0</v>
      </c>
      <c r="CR290" s="8">
        <f>+MINVU_Mes_Corriente!CR290*SALUD_Mes_Constante!$CP$1</f>
        <v>0</v>
      </c>
      <c r="CS290" s="8">
        <f>+MINVU_Mes_Corriente!CS290*SALUD_Mes_Constante!$CP$1</f>
        <v>0</v>
      </c>
      <c r="CT290" s="8">
        <f>+MINVU_Mes_Corriente!CT290*SALUD_Mes_Constante!$CP$1</f>
        <v>0</v>
      </c>
      <c r="CU290" s="8">
        <f>+MINVU_Mes_Corriente!CU290*SALUD_Mes_Constante!$CP$1</f>
        <v>0</v>
      </c>
      <c r="CV290" s="8">
        <f>+MINVU_Mes_Corriente!CV290*SALUD_Mes_Constante!$CP$1</f>
        <v>0</v>
      </c>
      <c r="CW290" s="8">
        <f>+MINVU_Mes_Corriente!CW290*SALUD_Mes_Constante!$CP$1</f>
        <v>0</v>
      </c>
      <c r="CX290" s="8">
        <f>+MINVU_Mes_Corriente!CX290*SALUD_Mes_Constante!$CP$1</f>
        <v>0</v>
      </c>
      <c r="CY290" s="8">
        <f>+MINVU_Mes_Corriente!CY290*SALUD_Mes_Constante!$CP$1</f>
        <v>0</v>
      </c>
      <c r="CZ290" s="8">
        <f>+MINVU_Mes_Corriente!CZ290*SALUD_Mes_Constante!$CP$1</f>
        <v>0</v>
      </c>
      <c r="DA290" s="8">
        <f>+MINVU_Mes_Corriente!DA290*SALUD_Mes_Constante!$CP$1</f>
        <v>0</v>
      </c>
      <c r="DB290" s="9">
        <f t="shared" si="140"/>
        <v>0</v>
      </c>
      <c r="DC290" s="8">
        <f>+MINVU_Mes_Corriente!DC290*SALUD_Mes_Constante!$DC$1</f>
        <v>0</v>
      </c>
      <c r="DD290" s="8">
        <f>+MINVU_Mes_Corriente!DD290*SALUD_Mes_Constante!$DC$1</f>
        <v>0</v>
      </c>
      <c r="DE290" s="8">
        <f>+MINVU_Mes_Corriente!DE290*SALUD_Mes_Constante!$DC$1</f>
        <v>0</v>
      </c>
      <c r="DF290" s="8">
        <f>+MINVU_Mes_Corriente!DF290*SALUD_Mes_Constante!$DC$1</f>
        <v>0</v>
      </c>
      <c r="DG290" s="8">
        <f>+MINVU_Mes_Corriente!DG290*SALUD_Mes_Constante!$DC$1</f>
        <v>0</v>
      </c>
      <c r="DH290" s="8">
        <f>+MINVU_Mes_Corriente!DH290*SALUD_Mes_Constante!$DC$1</f>
        <v>0</v>
      </c>
      <c r="DI290" s="8">
        <f>+MINVU_Mes_Corriente!DI290*SALUD_Mes_Constante!$DC$1</f>
        <v>0</v>
      </c>
      <c r="DJ290" s="8">
        <f>+MINVU_Mes_Corriente!DJ290*SALUD_Mes_Constante!$DC$1</f>
        <v>0</v>
      </c>
      <c r="DK290" s="8">
        <f>+MINVU_Mes_Corriente!DK290*SALUD_Mes_Constante!$DC$1</f>
        <v>0</v>
      </c>
      <c r="DL290" s="8">
        <f>+MINVU_Mes_Corriente!DL290*SALUD_Mes_Constante!$DC$1</f>
        <v>0</v>
      </c>
      <c r="DM290" s="8">
        <f>+MINVU_Mes_Corriente!DM290*SALUD_Mes_Constante!$DC$1</f>
        <v>0</v>
      </c>
      <c r="DN290" s="8">
        <f>+MINVU_Mes_Corriente!DN290*SALUD_Mes_Constante!$DC$1</f>
        <v>0</v>
      </c>
      <c r="DO290" s="9">
        <f t="shared" si="141"/>
        <v>0</v>
      </c>
      <c r="DP290" s="8">
        <f>+MINVU_Mes_Corriente!DP290*SALUD_Mes_Constante!$DP$1</f>
        <v>0</v>
      </c>
      <c r="DQ290" s="8">
        <f>+MINVU_Mes_Corriente!DQ290*SALUD_Mes_Constante!$DP$1</f>
        <v>0</v>
      </c>
      <c r="DR290" s="8">
        <f>+MINVU_Mes_Corriente!DR290*SALUD_Mes_Constante!$DP$1</f>
        <v>0</v>
      </c>
      <c r="DS290" s="8">
        <f>+MINVU_Mes_Corriente!DS290*SALUD_Mes_Constante!$DP$1</f>
        <v>0</v>
      </c>
      <c r="DT290" s="8">
        <f>+MINVU_Mes_Corriente!DT290*SALUD_Mes_Constante!$DP$1</f>
        <v>0</v>
      </c>
      <c r="DU290" s="8">
        <f>+MINVU_Mes_Corriente!DU290*SALUD_Mes_Constante!$DP$1</f>
        <v>0</v>
      </c>
      <c r="DV290" s="8">
        <f>+MINVU_Mes_Corriente!DV290*SALUD_Mes_Constante!$DP$1</f>
        <v>0</v>
      </c>
      <c r="DW290" s="8">
        <f>+MINVU_Mes_Corriente!DW290*SALUD_Mes_Constante!$DP$1</f>
        <v>0</v>
      </c>
      <c r="DX290" s="8">
        <f>+MINVU_Mes_Corriente!DX290*SALUD_Mes_Constante!$DP$1</f>
        <v>0</v>
      </c>
      <c r="DY290" s="8">
        <f>+MINVU_Mes_Corriente!DY290*SALUD_Mes_Constante!$DP$1</f>
        <v>0</v>
      </c>
      <c r="DZ290" s="8">
        <f>+MINVU_Mes_Corriente!DZ290*SALUD_Mes_Constante!$DP$1</f>
        <v>0</v>
      </c>
      <c r="EA290" s="8">
        <f>+MINVU_Mes_Corriente!EA290*SALUD_Mes_Constante!$DP$1</f>
        <v>0</v>
      </c>
      <c r="EB290" s="9">
        <f t="shared" si="142"/>
        <v>0</v>
      </c>
      <c r="EC290" s="8">
        <f>+MINVU_Mes_Corriente!EC290*SALUD_Mes_Constante!$EC$1</f>
        <v>0</v>
      </c>
      <c r="ED290" s="8">
        <f>+MINVU_Mes_Corriente!ED290*SALUD_Mes_Constante!$EC$1</f>
        <v>0</v>
      </c>
      <c r="EE290" s="8">
        <f>+MINVU_Mes_Corriente!EE290*SALUD_Mes_Constante!$EC$1</f>
        <v>0</v>
      </c>
      <c r="EF290" s="8">
        <f>+MINVU_Mes_Corriente!EF290*SALUD_Mes_Constante!$EC$1</f>
        <v>0</v>
      </c>
      <c r="EG290" s="8">
        <f>+MINVU_Mes_Corriente!EG290*SALUD_Mes_Constante!$EC$1</f>
        <v>0</v>
      </c>
      <c r="EH290" s="8">
        <f>+MINVU_Mes_Corriente!EH290*SALUD_Mes_Constante!$EC$1</f>
        <v>0</v>
      </c>
      <c r="EI290" s="8">
        <f>+MINVU_Mes_Corriente!EI290*SALUD_Mes_Constante!$EC$1</f>
        <v>0</v>
      </c>
      <c r="EJ290" s="8">
        <f>+MINVU_Mes_Corriente!EJ290*SALUD_Mes_Constante!$EC$1</f>
        <v>0</v>
      </c>
      <c r="EK290" s="8">
        <f>+MINVU_Mes_Corriente!EK290*SALUD_Mes_Constante!$EC$1</f>
        <v>0</v>
      </c>
      <c r="EL290" s="8">
        <f>+MINVU_Mes_Corriente!EL290*SALUD_Mes_Constante!$EC$1</f>
        <v>0</v>
      </c>
      <c r="EM290" s="8">
        <f>+MINVU_Mes_Corriente!EM290*SALUD_Mes_Constante!$EC$1</f>
        <v>0</v>
      </c>
      <c r="EN290" s="8">
        <f>+MINVU_Mes_Corriente!EN290*SALUD_Mes_Constante!$EC$1</f>
        <v>0</v>
      </c>
      <c r="EO290" s="9">
        <f t="shared" si="143"/>
        <v>0</v>
      </c>
      <c r="EP290" s="8">
        <f>+MINVU_Mes_Corriente!EP290*SALUD_Mes_Constante!$EP$1</f>
        <v>0</v>
      </c>
      <c r="EQ290" s="8">
        <f>+MINVU_Mes_Corriente!EQ290*SALUD_Mes_Constante!$EP$1</f>
        <v>0</v>
      </c>
      <c r="ER290" s="8">
        <f>+MINVU_Mes_Corriente!ER290*SALUD_Mes_Constante!$EP$1</f>
        <v>0</v>
      </c>
      <c r="ES290" s="8">
        <f>+MINVU_Mes_Corriente!ES290*SALUD_Mes_Constante!$EP$1</f>
        <v>0</v>
      </c>
      <c r="ET290" s="8">
        <f>+MINVU_Mes_Corriente!ET290*SALUD_Mes_Constante!$EP$1</f>
        <v>0</v>
      </c>
      <c r="EU290" s="8">
        <f>+MINVU_Mes_Corriente!EU290*SALUD_Mes_Constante!$EP$1</f>
        <v>0</v>
      </c>
      <c r="EV290" s="8">
        <f>+MINVU_Mes_Corriente!EV290*SALUD_Mes_Constante!$EP$1</f>
        <v>0</v>
      </c>
      <c r="EW290" s="8">
        <f>+MINVU_Mes_Corriente!EW290*SALUD_Mes_Constante!$EP$1</f>
        <v>0</v>
      </c>
      <c r="EX290" s="8">
        <f>+MINVU_Mes_Corriente!EX290*SALUD_Mes_Constante!$EP$1</f>
        <v>0</v>
      </c>
      <c r="EY290" s="8">
        <f>+MINVU_Mes_Corriente!EY290*SALUD_Mes_Constante!$EP$1</f>
        <v>0</v>
      </c>
      <c r="EZ290" s="8">
        <f>+MINVU_Mes_Corriente!EZ290*SALUD_Mes_Constante!$EP$1</f>
        <v>0</v>
      </c>
      <c r="FA290" s="8">
        <f>+MINVU_Mes_Corriente!FA290*SALUD_Mes_Constante!$EP$1</f>
        <v>0</v>
      </c>
      <c r="FB290" s="9">
        <f t="shared" si="144"/>
        <v>0</v>
      </c>
      <c r="FC290" s="8">
        <f>+MINVU_Mes_Corriente!FC290*SALUD_Mes_Constante!$FC$1</f>
        <v>0</v>
      </c>
      <c r="FD290" s="8">
        <f>+MINVU_Mes_Corriente!FD290*SALUD_Mes_Constante!$FC$1</f>
        <v>0</v>
      </c>
      <c r="FE290" s="8">
        <f>+MINVU_Mes_Corriente!FE290*SALUD_Mes_Constante!$FC$1</f>
        <v>0</v>
      </c>
      <c r="FF290" s="8">
        <f>+MINVU_Mes_Corriente!FF290*SALUD_Mes_Constante!$FC$1</f>
        <v>0</v>
      </c>
      <c r="FG290" s="8">
        <f>+MINVU_Mes_Corriente!FG290*SALUD_Mes_Constante!$FC$1</f>
        <v>0</v>
      </c>
      <c r="FH290" s="8">
        <f>+MINVU_Mes_Corriente!FH290*SALUD_Mes_Constante!$FC$1</f>
        <v>0</v>
      </c>
      <c r="FI290" s="8">
        <f>+MINVU_Mes_Corriente!FI290*SALUD_Mes_Constante!$FC$1</f>
        <v>0</v>
      </c>
      <c r="FJ290" s="8"/>
      <c r="FK290" s="8"/>
      <c r="FL290" s="8"/>
      <c r="FM290" s="8"/>
      <c r="FN290" s="8"/>
      <c r="FO290" s="9">
        <f t="shared" si="145"/>
        <v>0</v>
      </c>
    </row>
    <row r="291" spans="2:171" ht="14.25" customHeight="1" x14ac:dyDescent="0.3">
      <c r="B291" s="7" t="s">
        <v>68</v>
      </c>
      <c r="C291" s="8">
        <f>+MINVU_Mes_Corriente!C291*SALUD_Mes_Constante!$C$1</f>
        <v>0</v>
      </c>
      <c r="D291" s="8">
        <f>+MINVU_Mes_Corriente!D291*SALUD_Mes_Constante!$C$1</f>
        <v>0</v>
      </c>
      <c r="E291" s="8">
        <f>+MINVU_Mes_Corriente!E291*SALUD_Mes_Constante!$C$1</f>
        <v>0</v>
      </c>
      <c r="F291" s="8">
        <f>+MINVU_Mes_Corriente!F291*SALUD_Mes_Constante!$C$1</f>
        <v>0</v>
      </c>
      <c r="G291" s="8">
        <f>+MINVU_Mes_Corriente!G291*SALUD_Mes_Constante!$C$1</f>
        <v>0</v>
      </c>
      <c r="H291" s="8">
        <f>+MINVU_Mes_Corriente!H291*SALUD_Mes_Constante!$C$1</f>
        <v>0</v>
      </c>
      <c r="I291" s="8">
        <f>+MINVU_Mes_Corriente!I291*SALUD_Mes_Constante!$C$1</f>
        <v>0</v>
      </c>
      <c r="J291" s="8">
        <f>+MINVU_Mes_Corriente!J291*SALUD_Mes_Constante!$C$1</f>
        <v>0</v>
      </c>
      <c r="K291" s="8">
        <f>+MINVU_Mes_Corriente!K291*SALUD_Mes_Constante!$C$1</f>
        <v>0</v>
      </c>
      <c r="L291" s="8">
        <f>+MINVU_Mes_Corriente!L291*SALUD_Mes_Constante!$C$1</f>
        <v>0</v>
      </c>
      <c r="M291" s="8">
        <f>+MINVU_Mes_Corriente!M291*SALUD_Mes_Constante!$C$1</f>
        <v>0</v>
      </c>
      <c r="N291" s="8">
        <f>+MINVU_Mes_Corriente!N291*SALUD_Mes_Constante!$C$1</f>
        <v>0</v>
      </c>
      <c r="O291" s="9">
        <f t="shared" si="133"/>
        <v>0</v>
      </c>
      <c r="P291" s="8">
        <f>+MINVU_Mes_Corriente!P291*SALUD_Mes_Constante!$P$1</f>
        <v>0</v>
      </c>
      <c r="Q291" s="8">
        <f>+MINVU_Mes_Corriente!Q291*SALUD_Mes_Constante!$P$1</f>
        <v>0</v>
      </c>
      <c r="R291" s="8">
        <f>+MINVU_Mes_Corriente!R291*SALUD_Mes_Constante!$P$1</f>
        <v>0</v>
      </c>
      <c r="S291" s="8">
        <f>+MINVU_Mes_Corriente!S291*SALUD_Mes_Constante!$P$1</f>
        <v>0</v>
      </c>
      <c r="T291" s="8">
        <f>+MINVU_Mes_Corriente!T291*SALUD_Mes_Constante!$P$1</f>
        <v>0</v>
      </c>
      <c r="U291" s="8">
        <f>+MINVU_Mes_Corriente!U291*SALUD_Mes_Constante!$P$1</f>
        <v>0</v>
      </c>
      <c r="V291" s="8">
        <f>+MINVU_Mes_Corriente!V291*SALUD_Mes_Constante!$P$1</f>
        <v>0</v>
      </c>
      <c r="W291" s="8">
        <f>+MINVU_Mes_Corriente!W291*SALUD_Mes_Constante!$P$1</f>
        <v>0</v>
      </c>
      <c r="X291" s="8">
        <f>+MINVU_Mes_Corriente!X291*SALUD_Mes_Constante!$P$1</f>
        <v>0</v>
      </c>
      <c r="Y291" s="8">
        <f>+MINVU_Mes_Corriente!Y291*SALUD_Mes_Constante!$P$1</f>
        <v>0</v>
      </c>
      <c r="Z291" s="8">
        <f>+MINVU_Mes_Corriente!Z291*SALUD_Mes_Constante!$P$1</f>
        <v>0</v>
      </c>
      <c r="AA291" s="8">
        <f>+MINVU_Mes_Corriente!AA291*SALUD_Mes_Constante!$P$1</f>
        <v>0</v>
      </c>
      <c r="AB291" s="9">
        <f t="shared" si="134"/>
        <v>0</v>
      </c>
      <c r="AC291" s="8">
        <f>+MINVU_Mes_Corriente!AC291*SALUD_Mes_Constante!$AC$1</f>
        <v>0</v>
      </c>
      <c r="AD291" s="8">
        <f>+MINVU_Mes_Corriente!AD291*SALUD_Mes_Constante!$AC$1</f>
        <v>0</v>
      </c>
      <c r="AE291" s="8">
        <f>+MINVU_Mes_Corriente!AE291*SALUD_Mes_Constante!$AC$1</f>
        <v>0</v>
      </c>
      <c r="AF291" s="8">
        <f>+MINVU_Mes_Corriente!AF291*SALUD_Mes_Constante!$AC$1</f>
        <v>0</v>
      </c>
      <c r="AG291" s="8">
        <f>+MINVU_Mes_Corriente!AG291*SALUD_Mes_Constante!$AC$1</f>
        <v>0</v>
      </c>
      <c r="AH291" s="8">
        <f>+MINVU_Mes_Corriente!AH291*SALUD_Mes_Constante!$AC$1</f>
        <v>0</v>
      </c>
      <c r="AI291" s="8">
        <f>+MINVU_Mes_Corriente!AI291*SALUD_Mes_Constante!$AC$1</f>
        <v>0</v>
      </c>
      <c r="AJ291" s="8">
        <f>+MINVU_Mes_Corriente!AJ291*SALUD_Mes_Constante!$AC$1</f>
        <v>0</v>
      </c>
      <c r="AK291" s="8">
        <f>+MINVU_Mes_Corriente!AK291*SALUD_Mes_Constante!$AC$1</f>
        <v>0</v>
      </c>
      <c r="AL291" s="8">
        <f>+MINVU_Mes_Corriente!AL291*SALUD_Mes_Constante!$AC$1</f>
        <v>0</v>
      </c>
      <c r="AM291" s="8">
        <f>+MINVU_Mes_Corriente!AM291*SALUD_Mes_Constante!$AC$1</f>
        <v>0</v>
      </c>
      <c r="AN291" s="8">
        <f>+MINVU_Mes_Corriente!AN291*SALUD_Mes_Constante!$AC$1</f>
        <v>0</v>
      </c>
      <c r="AO291" s="9">
        <f t="shared" si="135"/>
        <v>0</v>
      </c>
      <c r="AP291" s="8">
        <f>+MINVU_Mes_Corriente!AP291*SALUD_Mes_Constante!$AP$1</f>
        <v>0</v>
      </c>
      <c r="AQ291" s="8">
        <f>+MINVU_Mes_Corriente!AQ291*SALUD_Mes_Constante!$AP$1</f>
        <v>0</v>
      </c>
      <c r="AR291" s="8">
        <f>+MINVU_Mes_Corriente!AR291*SALUD_Mes_Constante!$AP$1</f>
        <v>0</v>
      </c>
      <c r="AS291" s="8">
        <f>+MINVU_Mes_Corriente!AS291*SALUD_Mes_Constante!$AP$1</f>
        <v>0</v>
      </c>
      <c r="AT291" s="8">
        <f>+MINVU_Mes_Corriente!AT291*SALUD_Mes_Constante!$AP$1</f>
        <v>0</v>
      </c>
      <c r="AU291" s="8">
        <f>+MINVU_Mes_Corriente!AU291*SALUD_Mes_Constante!$AP$1</f>
        <v>0</v>
      </c>
      <c r="AV291" s="8">
        <f>+MINVU_Mes_Corriente!AV291*SALUD_Mes_Constante!$AP$1</f>
        <v>0</v>
      </c>
      <c r="AW291" s="8">
        <f>+MINVU_Mes_Corriente!AW291*SALUD_Mes_Constante!$AP$1</f>
        <v>0</v>
      </c>
      <c r="AX291" s="8">
        <f>+MINVU_Mes_Corriente!AX291*SALUD_Mes_Constante!$AP$1</f>
        <v>0</v>
      </c>
      <c r="AY291" s="8">
        <f>+MINVU_Mes_Corriente!AY291*SALUD_Mes_Constante!$AP$1</f>
        <v>0</v>
      </c>
      <c r="AZ291" s="8">
        <f>+MINVU_Mes_Corriente!AZ291*SALUD_Mes_Constante!$AP$1</f>
        <v>0</v>
      </c>
      <c r="BA291" s="8">
        <f>+MINVU_Mes_Corriente!BA291*SALUD_Mes_Constante!$AP$1</f>
        <v>0</v>
      </c>
      <c r="BB291" s="9">
        <f t="shared" si="136"/>
        <v>0</v>
      </c>
      <c r="BC291" s="8">
        <f>+MINVU_Mes_Corriente!BC291*SALUD_Mes_Constante!$BC$1</f>
        <v>0</v>
      </c>
      <c r="BD291" s="8">
        <f>+MINVU_Mes_Corriente!BD291*SALUD_Mes_Constante!$BC$1</f>
        <v>0</v>
      </c>
      <c r="BE291" s="8">
        <f>+MINVU_Mes_Corriente!BE291*SALUD_Mes_Constante!$BC$1</f>
        <v>0</v>
      </c>
      <c r="BF291" s="8">
        <f>+MINVU_Mes_Corriente!BF291*SALUD_Mes_Constante!$BC$1</f>
        <v>0</v>
      </c>
      <c r="BG291" s="8">
        <f>+MINVU_Mes_Corriente!BG291*SALUD_Mes_Constante!$BC$1</f>
        <v>0</v>
      </c>
      <c r="BH291" s="8">
        <f>+MINVU_Mes_Corriente!BH291*SALUD_Mes_Constante!$BC$1</f>
        <v>0</v>
      </c>
      <c r="BI291" s="8">
        <f>+MINVU_Mes_Corriente!BI291*SALUD_Mes_Constante!$BC$1</f>
        <v>0</v>
      </c>
      <c r="BJ291" s="8">
        <f>+MINVU_Mes_Corriente!BJ291*SALUD_Mes_Constante!$BC$1</f>
        <v>0</v>
      </c>
      <c r="BK291" s="8">
        <f>+MINVU_Mes_Corriente!BK291*SALUD_Mes_Constante!$BC$1</f>
        <v>0</v>
      </c>
      <c r="BL291" s="8">
        <f>+MINVU_Mes_Corriente!BL291*SALUD_Mes_Constante!$BC$1</f>
        <v>0</v>
      </c>
      <c r="BM291" s="8">
        <f>+MINVU_Mes_Corriente!BM291*SALUD_Mes_Constante!$BC$1</f>
        <v>0</v>
      </c>
      <c r="BN291" s="8">
        <f>+MINVU_Mes_Corriente!BN291*SALUD_Mes_Constante!$BC$1</f>
        <v>0</v>
      </c>
      <c r="BO291" s="9">
        <f t="shared" si="137"/>
        <v>0</v>
      </c>
      <c r="BP291" s="8">
        <f>+MINVU_Mes_Corriente!BP291*SALUD_Mes_Constante!$BP$1</f>
        <v>0</v>
      </c>
      <c r="BQ291" s="8">
        <f>+MINVU_Mes_Corriente!BQ291*SALUD_Mes_Constante!$BP$1</f>
        <v>0</v>
      </c>
      <c r="BR291" s="8">
        <f>+MINVU_Mes_Corriente!BR291*SALUD_Mes_Constante!$BP$1</f>
        <v>0</v>
      </c>
      <c r="BS291" s="8">
        <f>+MINVU_Mes_Corriente!BS291*SALUD_Mes_Constante!$BP$1</f>
        <v>0</v>
      </c>
      <c r="BT291" s="8">
        <f>+MINVU_Mes_Corriente!BT291*SALUD_Mes_Constante!$BP$1</f>
        <v>0</v>
      </c>
      <c r="BU291" s="8">
        <f>+MINVU_Mes_Corriente!BU291*SALUD_Mes_Constante!$BP$1</f>
        <v>0</v>
      </c>
      <c r="BV291" s="8">
        <f>+MINVU_Mes_Corriente!BV291*SALUD_Mes_Constante!$BP$1</f>
        <v>0</v>
      </c>
      <c r="BW291" s="8">
        <f>+MINVU_Mes_Corriente!BW291*SALUD_Mes_Constante!$BP$1</f>
        <v>0</v>
      </c>
      <c r="BX291" s="8">
        <f>+MINVU_Mes_Corriente!BX291*SALUD_Mes_Constante!$BP$1</f>
        <v>0</v>
      </c>
      <c r="BY291" s="8">
        <f>+MINVU_Mes_Corriente!BY291*SALUD_Mes_Constante!$BP$1</f>
        <v>0</v>
      </c>
      <c r="BZ291" s="8">
        <f>+MINVU_Mes_Corriente!BZ291*SALUD_Mes_Constante!$BP$1</f>
        <v>0</v>
      </c>
      <c r="CA291" s="8">
        <f>+MINVU_Mes_Corriente!CA291*SALUD_Mes_Constante!$BP$1</f>
        <v>0</v>
      </c>
      <c r="CB291" s="9">
        <f t="shared" si="138"/>
        <v>0</v>
      </c>
      <c r="CC291" s="8">
        <f>+MINVU_Mes_Corriente!CC291*SALUD_Mes_Constante!$CC$1</f>
        <v>0</v>
      </c>
      <c r="CD291" s="8">
        <f>+MINVU_Mes_Corriente!CD291*SALUD_Mes_Constante!$CC$1</f>
        <v>0</v>
      </c>
      <c r="CE291" s="8">
        <f>+MINVU_Mes_Corriente!CE291*SALUD_Mes_Constante!$CC$1</f>
        <v>0</v>
      </c>
      <c r="CF291" s="8">
        <f>+MINVU_Mes_Corriente!CF291*SALUD_Mes_Constante!$CC$1</f>
        <v>0</v>
      </c>
      <c r="CG291" s="8">
        <f>+MINVU_Mes_Corriente!CG291*SALUD_Mes_Constante!$CC$1</f>
        <v>0</v>
      </c>
      <c r="CH291" s="8">
        <f>+MINVU_Mes_Corriente!CH291*SALUD_Mes_Constante!$CC$1</f>
        <v>0</v>
      </c>
      <c r="CI291" s="8">
        <f>+MINVU_Mes_Corriente!CI291*SALUD_Mes_Constante!$CC$1</f>
        <v>0</v>
      </c>
      <c r="CJ291" s="8">
        <f>+MINVU_Mes_Corriente!CJ291*SALUD_Mes_Constante!$CC$1</f>
        <v>0</v>
      </c>
      <c r="CK291" s="8">
        <f>+MINVU_Mes_Corriente!CK291*SALUD_Mes_Constante!$CC$1</f>
        <v>0</v>
      </c>
      <c r="CL291" s="8">
        <f>+MINVU_Mes_Corriente!CL291*SALUD_Mes_Constante!$CC$1</f>
        <v>0</v>
      </c>
      <c r="CM291" s="8">
        <f>+MINVU_Mes_Corriente!CM291*SALUD_Mes_Constante!$CC$1</f>
        <v>0</v>
      </c>
      <c r="CN291" s="8">
        <f>+MINVU_Mes_Corriente!CN291*SALUD_Mes_Constante!$CC$1</f>
        <v>0</v>
      </c>
      <c r="CO291" s="9">
        <f t="shared" si="139"/>
        <v>0</v>
      </c>
      <c r="CP291" s="8">
        <f>+MINVU_Mes_Corriente!CP291*SALUD_Mes_Constante!$CP$1</f>
        <v>0</v>
      </c>
      <c r="CQ291" s="8">
        <f>+MINVU_Mes_Corriente!CQ291*SALUD_Mes_Constante!$CP$1</f>
        <v>0</v>
      </c>
      <c r="CR291" s="8">
        <f>+MINVU_Mes_Corriente!CR291*SALUD_Mes_Constante!$CP$1</f>
        <v>0</v>
      </c>
      <c r="CS291" s="8">
        <f>+MINVU_Mes_Corriente!CS291*SALUD_Mes_Constante!$CP$1</f>
        <v>0</v>
      </c>
      <c r="CT291" s="8">
        <f>+MINVU_Mes_Corriente!CT291*SALUD_Mes_Constante!$CP$1</f>
        <v>0</v>
      </c>
      <c r="CU291" s="8">
        <f>+MINVU_Mes_Corriente!CU291*SALUD_Mes_Constante!$CP$1</f>
        <v>0</v>
      </c>
      <c r="CV291" s="8">
        <f>+MINVU_Mes_Corriente!CV291*SALUD_Mes_Constante!$CP$1</f>
        <v>0</v>
      </c>
      <c r="CW291" s="8">
        <f>+MINVU_Mes_Corriente!CW291*SALUD_Mes_Constante!$CP$1</f>
        <v>0</v>
      </c>
      <c r="CX291" s="8">
        <f>+MINVU_Mes_Corriente!CX291*SALUD_Mes_Constante!$CP$1</f>
        <v>0</v>
      </c>
      <c r="CY291" s="8">
        <f>+MINVU_Mes_Corriente!CY291*SALUD_Mes_Constante!$CP$1</f>
        <v>0</v>
      </c>
      <c r="CZ291" s="8">
        <f>+MINVU_Mes_Corriente!CZ291*SALUD_Mes_Constante!$CP$1</f>
        <v>0</v>
      </c>
      <c r="DA291" s="8">
        <f>+MINVU_Mes_Corriente!DA291*SALUD_Mes_Constante!$CP$1</f>
        <v>0</v>
      </c>
      <c r="DB291" s="9">
        <f t="shared" si="140"/>
        <v>0</v>
      </c>
      <c r="DC291" s="8">
        <f>+MINVU_Mes_Corriente!DC291*SALUD_Mes_Constante!$DC$1</f>
        <v>0</v>
      </c>
      <c r="DD291" s="8">
        <f>+MINVU_Mes_Corriente!DD291*SALUD_Mes_Constante!$DC$1</f>
        <v>0</v>
      </c>
      <c r="DE291" s="8">
        <f>+MINVU_Mes_Corriente!DE291*SALUD_Mes_Constante!$DC$1</f>
        <v>0</v>
      </c>
      <c r="DF291" s="8">
        <f>+MINVU_Mes_Corriente!DF291*SALUD_Mes_Constante!$DC$1</f>
        <v>0</v>
      </c>
      <c r="DG291" s="8">
        <f>+MINVU_Mes_Corriente!DG291*SALUD_Mes_Constante!$DC$1</f>
        <v>0</v>
      </c>
      <c r="DH291" s="8">
        <f>+MINVU_Mes_Corriente!DH291*SALUD_Mes_Constante!$DC$1</f>
        <v>0</v>
      </c>
      <c r="DI291" s="8">
        <f>+MINVU_Mes_Corriente!DI291*SALUD_Mes_Constante!$DC$1</f>
        <v>0</v>
      </c>
      <c r="DJ291" s="8">
        <f>+MINVU_Mes_Corriente!DJ291*SALUD_Mes_Constante!$DC$1</f>
        <v>0</v>
      </c>
      <c r="DK291" s="8">
        <f>+MINVU_Mes_Corriente!DK291*SALUD_Mes_Constante!$DC$1</f>
        <v>0</v>
      </c>
      <c r="DL291" s="8">
        <f>+MINVU_Mes_Corriente!DL291*SALUD_Mes_Constante!$DC$1</f>
        <v>0</v>
      </c>
      <c r="DM291" s="8">
        <f>+MINVU_Mes_Corriente!DM291*SALUD_Mes_Constante!$DC$1</f>
        <v>0</v>
      </c>
      <c r="DN291" s="8">
        <f>+MINVU_Mes_Corriente!DN291*SALUD_Mes_Constante!$DC$1</f>
        <v>0</v>
      </c>
      <c r="DO291" s="9">
        <f t="shared" si="141"/>
        <v>0</v>
      </c>
      <c r="DP291" s="8">
        <f>+MINVU_Mes_Corriente!DP291*SALUD_Mes_Constante!$DP$1</f>
        <v>0</v>
      </c>
      <c r="DQ291" s="8">
        <f>+MINVU_Mes_Corriente!DQ291*SALUD_Mes_Constante!$DP$1</f>
        <v>0</v>
      </c>
      <c r="DR291" s="8">
        <f>+MINVU_Mes_Corriente!DR291*SALUD_Mes_Constante!$DP$1</f>
        <v>0</v>
      </c>
      <c r="DS291" s="8">
        <f>+MINVU_Mes_Corriente!DS291*SALUD_Mes_Constante!$DP$1</f>
        <v>0</v>
      </c>
      <c r="DT291" s="8">
        <f>+MINVU_Mes_Corriente!DT291*SALUD_Mes_Constante!$DP$1</f>
        <v>0</v>
      </c>
      <c r="DU291" s="8">
        <f>+MINVU_Mes_Corriente!DU291*SALUD_Mes_Constante!$DP$1</f>
        <v>0</v>
      </c>
      <c r="DV291" s="8">
        <f>+MINVU_Mes_Corriente!DV291*SALUD_Mes_Constante!$DP$1</f>
        <v>0</v>
      </c>
      <c r="DW291" s="8">
        <f>+MINVU_Mes_Corriente!DW291*SALUD_Mes_Constante!$DP$1</f>
        <v>0</v>
      </c>
      <c r="DX291" s="8">
        <f>+MINVU_Mes_Corriente!DX291*SALUD_Mes_Constante!$DP$1</f>
        <v>0</v>
      </c>
      <c r="DY291" s="8">
        <f>+MINVU_Mes_Corriente!DY291*SALUD_Mes_Constante!$DP$1</f>
        <v>0</v>
      </c>
      <c r="DZ291" s="8">
        <f>+MINVU_Mes_Corriente!DZ291*SALUD_Mes_Constante!$DP$1</f>
        <v>0</v>
      </c>
      <c r="EA291" s="8">
        <f>+MINVU_Mes_Corriente!EA291*SALUD_Mes_Constante!$DP$1</f>
        <v>0</v>
      </c>
      <c r="EB291" s="9">
        <f t="shared" si="142"/>
        <v>0</v>
      </c>
      <c r="EC291" s="8">
        <f>+MINVU_Mes_Corriente!EC291*SALUD_Mes_Constante!$EC$1</f>
        <v>0</v>
      </c>
      <c r="ED291" s="8">
        <f>+MINVU_Mes_Corriente!ED291*SALUD_Mes_Constante!$EC$1</f>
        <v>0</v>
      </c>
      <c r="EE291" s="8">
        <f>+MINVU_Mes_Corriente!EE291*SALUD_Mes_Constante!$EC$1</f>
        <v>0</v>
      </c>
      <c r="EF291" s="8">
        <f>+MINVU_Mes_Corriente!EF291*SALUD_Mes_Constante!$EC$1</f>
        <v>0</v>
      </c>
      <c r="EG291" s="8">
        <f>+MINVU_Mes_Corriente!EG291*SALUD_Mes_Constante!$EC$1</f>
        <v>0</v>
      </c>
      <c r="EH291" s="8">
        <f>+MINVU_Mes_Corriente!EH291*SALUD_Mes_Constante!$EC$1</f>
        <v>0</v>
      </c>
      <c r="EI291" s="8">
        <f>+MINVU_Mes_Corriente!EI291*SALUD_Mes_Constante!$EC$1</f>
        <v>0</v>
      </c>
      <c r="EJ291" s="8">
        <f>+MINVU_Mes_Corriente!EJ291*SALUD_Mes_Constante!$EC$1</f>
        <v>0</v>
      </c>
      <c r="EK291" s="8">
        <f>+MINVU_Mes_Corriente!EK291*SALUD_Mes_Constante!$EC$1</f>
        <v>0</v>
      </c>
      <c r="EL291" s="8">
        <f>+MINVU_Mes_Corriente!EL291*SALUD_Mes_Constante!$EC$1</f>
        <v>0</v>
      </c>
      <c r="EM291" s="8">
        <f>+MINVU_Mes_Corriente!EM291*SALUD_Mes_Constante!$EC$1</f>
        <v>0</v>
      </c>
      <c r="EN291" s="8">
        <f>+MINVU_Mes_Corriente!EN291*SALUD_Mes_Constante!$EC$1</f>
        <v>0</v>
      </c>
      <c r="EO291" s="9">
        <f t="shared" si="143"/>
        <v>0</v>
      </c>
      <c r="EP291" s="8">
        <f>+MINVU_Mes_Corriente!EP291*SALUD_Mes_Constante!$EP$1</f>
        <v>0</v>
      </c>
      <c r="EQ291" s="8">
        <f>+MINVU_Mes_Corriente!EQ291*SALUD_Mes_Constante!$EP$1</f>
        <v>0</v>
      </c>
      <c r="ER291" s="8">
        <f>+MINVU_Mes_Corriente!ER291*SALUD_Mes_Constante!$EP$1</f>
        <v>0</v>
      </c>
      <c r="ES291" s="8">
        <f>+MINVU_Mes_Corriente!ES291*SALUD_Mes_Constante!$EP$1</f>
        <v>0</v>
      </c>
      <c r="ET291" s="8">
        <f>+MINVU_Mes_Corriente!ET291*SALUD_Mes_Constante!$EP$1</f>
        <v>0</v>
      </c>
      <c r="EU291" s="8">
        <f>+MINVU_Mes_Corriente!EU291*SALUD_Mes_Constante!$EP$1</f>
        <v>0</v>
      </c>
      <c r="EV291" s="8">
        <f>+MINVU_Mes_Corriente!EV291*SALUD_Mes_Constante!$EP$1</f>
        <v>0</v>
      </c>
      <c r="EW291" s="8">
        <f>+MINVU_Mes_Corriente!EW291*SALUD_Mes_Constante!$EP$1</f>
        <v>0</v>
      </c>
      <c r="EX291" s="8">
        <f>+MINVU_Mes_Corriente!EX291*SALUD_Mes_Constante!$EP$1</f>
        <v>0</v>
      </c>
      <c r="EY291" s="8">
        <f>+MINVU_Mes_Corriente!EY291*SALUD_Mes_Constante!$EP$1</f>
        <v>0</v>
      </c>
      <c r="EZ291" s="8">
        <f>+MINVU_Mes_Corriente!EZ291*SALUD_Mes_Constante!$EP$1</f>
        <v>0</v>
      </c>
      <c r="FA291" s="8">
        <f>+MINVU_Mes_Corriente!FA291*SALUD_Mes_Constante!$EP$1</f>
        <v>0</v>
      </c>
      <c r="FB291" s="9">
        <f t="shared" si="144"/>
        <v>0</v>
      </c>
      <c r="FC291" s="8">
        <f>+MINVU_Mes_Corriente!FC291*SALUD_Mes_Constante!$FC$1</f>
        <v>0</v>
      </c>
      <c r="FD291" s="8">
        <f>+MINVU_Mes_Corriente!FD291*SALUD_Mes_Constante!$FC$1</f>
        <v>0</v>
      </c>
      <c r="FE291" s="8">
        <f>+MINVU_Mes_Corriente!FE291*SALUD_Mes_Constante!$FC$1</f>
        <v>0</v>
      </c>
      <c r="FF291" s="8">
        <f>+MINVU_Mes_Corriente!FF291*SALUD_Mes_Constante!$FC$1</f>
        <v>0</v>
      </c>
      <c r="FG291" s="8">
        <f>+MINVU_Mes_Corriente!FG291*SALUD_Mes_Constante!$FC$1</f>
        <v>0</v>
      </c>
      <c r="FH291" s="8">
        <f>+MINVU_Mes_Corriente!FH291*SALUD_Mes_Constante!$FC$1</f>
        <v>0</v>
      </c>
      <c r="FI291" s="8">
        <f>+MINVU_Mes_Corriente!FI291*SALUD_Mes_Constante!$FC$1</f>
        <v>0</v>
      </c>
      <c r="FJ291" s="8"/>
      <c r="FK291" s="8"/>
      <c r="FL291" s="8"/>
      <c r="FM291" s="8"/>
      <c r="FN291" s="8"/>
      <c r="FO291" s="9">
        <f t="shared" si="145"/>
        <v>0</v>
      </c>
    </row>
    <row r="292" spans="2:171" ht="14.25" customHeight="1" x14ac:dyDescent="0.3">
      <c r="B292" s="7" t="s">
        <v>69</v>
      </c>
      <c r="C292" s="8">
        <f>+MINVU_Mes_Corriente!C292*SALUD_Mes_Constante!$C$1</f>
        <v>0</v>
      </c>
      <c r="D292" s="8">
        <f>+MINVU_Mes_Corriente!D292*SALUD_Mes_Constante!$C$1</f>
        <v>0</v>
      </c>
      <c r="E292" s="8">
        <f>+MINVU_Mes_Corriente!E292*SALUD_Mes_Constante!$C$1</f>
        <v>0</v>
      </c>
      <c r="F292" s="8">
        <f>+MINVU_Mes_Corriente!F292*SALUD_Mes_Constante!$C$1</f>
        <v>0</v>
      </c>
      <c r="G292" s="8">
        <f>+MINVU_Mes_Corriente!G292*SALUD_Mes_Constante!$C$1</f>
        <v>0</v>
      </c>
      <c r="H292" s="8">
        <f>+MINVU_Mes_Corriente!H292*SALUD_Mes_Constante!$C$1</f>
        <v>0</v>
      </c>
      <c r="I292" s="8">
        <f>+MINVU_Mes_Corriente!I292*SALUD_Mes_Constante!$C$1</f>
        <v>0</v>
      </c>
      <c r="J292" s="8">
        <f>+MINVU_Mes_Corriente!J292*SALUD_Mes_Constante!$C$1</f>
        <v>0</v>
      </c>
      <c r="K292" s="8">
        <f>+MINVU_Mes_Corriente!K292*SALUD_Mes_Constante!$C$1</f>
        <v>0</v>
      </c>
      <c r="L292" s="8">
        <f>+MINVU_Mes_Corriente!L292*SALUD_Mes_Constante!$C$1</f>
        <v>0</v>
      </c>
      <c r="M292" s="8">
        <f>+MINVU_Mes_Corriente!M292*SALUD_Mes_Constante!$C$1</f>
        <v>0</v>
      </c>
      <c r="N292" s="8">
        <f>+MINVU_Mes_Corriente!N292*SALUD_Mes_Constante!$C$1</f>
        <v>0</v>
      </c>
      <c r="O292" s="9">
        <f t="shared" si="133"/>
        <v>0</v>
      </c>
      <c r="P292" s="8">
        <f>+MINVU_Mes_Corriente!P292*SALUD_Mes_Constante!$P$1</f>
        <v>0</v>
      </c>
      <c r="Q292" s="8">
        <f>+MINVU_Mes_Corriente!Q292*SALUD_Mes_Constante!$P$1</f>
        <v>0</v>
      </c>
      <c r="R292" s="8">
        <f>+MINVU_Mes_Corriente!R292*SALUD_Mes_Constante!$P$1</f>
        <v>0</v>
      </c>
      <c r="S292" s="8">
        <f>+MINVU_Mes_Corriente!S292*SALUD_Mes_Constante!$P$1</f>
        <v>0</v>
      </c>
      <c r="T292" s="8">
        <f>+MINVU_Mes_Corriente!T292*SALUD_Mes_Constante!$P$1</f>
        <v>0</v>
      </c>
      <c r="U292" s="8">
        <f>+MINVU_Mes_Corriente!U292*SALUD_Mes_Constante!$P$1</f>
        <v>0</v>
      </c>
      <c r="V292" s="8">
        <f>+MINVU_Mes_Corriente!V292*SALUD_Mes_Constante!$P$1</f>
        <v>0</v>
      </c>
      <c r="W292" s="8">
        <f>+MINVU_Mes_Corriente!W292*SALUD_Mes_Constante!$P$1</f>
        <v>0</v>
      </c>
      <c r="X292" s="8">
        <f>+MINVU_Mes_Corriente!X292*SALUD_Mes_Constante!$P$1</f>
        <v>0</v>
      </c>
      <c r="Y292" s="8">
        <f>+MINVU_Mes_Corriente!Y292*SALUD_Mes_Constante!$P$1</f>
        <v>0</v>
      </c>
      <c r="Z292" s="8">
        <f>+MINVU_Mes_Corriente!Z292*SALUD_Mes_Constante!$P$1</f>
        <v>0</v>
      </c>
      <c r="AA292" s="8">
        <f>+MINVU_Mes_Corriente!AA292*SALUD_Mes_Constante!$P$1</f>
        <v>0</v>
      </c>
      <c r="AB292" s="9">
        <f t="shared" si="134"/>
        <v>0</v>
      </c>
      <c r="AC292" s="8">
        <f>+MINVU_Mes_Corriente!AC292*SALUD_Mes_Constante!$AC$1</f>
        <v>0</v>
      </c>
      <c r="AD292" s="8">
        <f>+MINVU_Mes_Corriente!AD292*SALUD_Mes_Constante!$AC$1</f>
        <v>0</v>
      </c>
      <c r="AE292" s="8">
        <f>+MINVU_Mes_Corriente!AE292*SALUD_Mes_Constante!$AC$1</f>
        <v>0</v>
      </c>
      <c r="AF292" s="8">
        <f>+MINVU_Mes_Corriente!AF292*SALUD_Mes_Constante!$AC$1</f>
        <v>0</v>
      </c>
      <c r="AG292" s="8">
        <f>+MINVU_Mes_Corriente!AG292*SALUD_Mes_Constante!$AC$1</f>
        <v>0</v>
      </c>
      <c r="AH292" s="8">
        <f>+MINVU_Mes_Corriente!AH292*SALUD_Mes_Constante!$AC$1</f>
        <v>0</v>
      </c>
      <c r="AI292" s="8">
        <f>+MINVU_Mes_Corriente!AI292*SALUD_Mes_Constante!$AC$1</f>
        <v>0</v>
      </c>
      <c r="AJ292" s="8">
        <f>+MINVU_Mes_Corriente!AJ292*SALUD_Mes_Constante!$AC$1</f>
        <v>0</v>
      </c>
      <c r="AK292" s="8">
        <f>+MINVU_Mes_Corriente!AK292*SALUD_Mes_Constante!$AC$1</f>
        <v>0</v>
      </c>
      <c r="AL292" s="8">
        <f>+MINVU_Mes_Corriente!AL292*SALUD_Mes_Constante!$AC$1</f>
        <v>0</v>
      </c>
      <c r="AM292" s="8">
        <f>+MINVU_Mes_Corriente!AM292*SALUD_Mes_Constante!$AC$1</f>
        <v>0</v>
      </c>
      <c r="AN292" s="8">
        <f>+MINVU_Mes_Corriente!AN292*SALUD_Mes_Constante!$AC$1</f>
        <v>0</v>
      </c>
      <c r="AO292" s="9">
        <f t="shared" si="135"/>
        <v>0</v>
      </c>
      <c r="AP292" s="8">
        <f>+MINVU_Mes_Corriente!AP292*SALUD_Mes_Constante!$AP$1</f>
        <v>0</v>
      </c>
      <c r="AQ292" s="8">
        <f>+MINVU_Mes_Corriente!AQ292*SALUD_Mes_Constante!$AP$1</f>
        <v>0</v>
      </c>
      <c r="AR292" s="8">
        <f>+MINVU_Mes_Corriente!AR292*SALUD_Mes_Constante!$AP$1</f>
        <v>0</v>
      </c>
      <c r="AS292" s="8">
        <f>+MINVU_Mes_Corriente!AS292*SALUD_Mes_Constante!$AP$1</f>
        <v>0</v>
      </c>
      <c r="AT292" s="8">
        <f>+MINVU_Mes_Corriente!AT292*SALUD_Mes_Constante!$AP$1</f>
        <v>0</v>
      </c>
      <c r="AU292" s="8">
        <f>+MINVU_Mes_Corriente!AU292*SALUD_Mes_Constante!$AP$1</f>
        <v>0</v>
      </c>
      <c r="AV292" s="8">
        <f>+MINVU_Mes_Corriente!AV292*SALUD_Mes_Constante!$AP$1</f>
        <v>0</v>
      </c>
      <c r="AW292" s="8">
        <f>+MINVU_Mes_Corriente!AW292*SALUD_Mes_Constante!$AP$1</f>
        <v>0</v>
      </c>
      <c r="AX292" s="8">
        <f>+MINVU_Mes_Corriente!AX292*SALUD_Mes_Constante!$AP$1</f>
        <v>0</v>
      </c>
      <c r="AY292" s="8">
        <f>+MINVU_Mes_Corriente!AY292*SALUD_Mes_Constante!$AP$1</f>
        <v>0</v>
      </c>
      <c r="AZ292" s="8">
        <f>+MINVU_Mes_Corriente!AZ292*SALUD_Mes_Constante!$AP$1</f>
        <v>0</v>
      </c>
      <c r="BA292" s="8">
        <f>+MINVU_Mes_Corriente!BA292*SALUD_Mes_Constante!$AP$1</f>
        <v>0</v>
      </c>
      <c r="BB292" s="9">
        <f t="shared" si="136"/>
        <v>0</v>
      </c>
      <c r="BC292" s="8">
        <f>+MINVU_Mes_Corriente!BC292*SALUD_Mes_Constante!$BC$1</f>
        <v>0</v>
      </c>
      <c r="BD292" s="8">
        <f>+MINVU_Mes_Corriente!BD292*SALUD_Mes_Constante!$BC$1</f>
        <v>0</v>
      </c>
      <c r="BE292" s="8">
        <f>+MINVU_Mes_Corriente!BE292*SALUD_Mes_Constante!$BC$1</f>
        <v>0</v>
      </c>
      <c r="BF292" s="8">
        <f>+MINVU_Mes_Corriente!BF292*SALUD_Mes_Constante!$BC$1</f>
        <v>0</v>
      </c>
      <c r="BG292" s="8">
        <f>+MINVU_Mes_Corriente!BG292*SALUD_Mes_Constante!$BC$1</f>
        <v>0</v>
      </c>
      <c r="BH292" s="8">
        <f>+MINVU_Mes_Corriente!BH292*SALUD_Mes_Constante!$BC$1</f>
        <v>0</v>
      </c>
      <c r="BI292" s="8">
        <f>+MINVU_Mes_Corriente!BI292*SALUD_Mes_Constante!$BC$1</f>
        <v>0</v>
      </c>
      <c r="BJ292" s="8">
        <f>+MINVU_Mes_Corriente!BJ292*SALUD_Mes_Constante!$BC$1</f>
        <v>0</v>
      </c>
      <c r="BK292" s="8">
        <f>+MINVU_Mes_Corriente!BK292*SALUD_Mes_Constante!$BC$1</f>
        <v>0</v>
      </c>
      <c r="BL292" s="8">
        <f>+MINVU_Mes_Corriente!BL292*SALUD_Mes_Constante!$BC$1</f>
        <v>0</v>
      </c>
      <c r="BM292" s="8">
        <f>+MINVU_Mes_Corriente!BM292*SALUD_Mes_Constante!$BC$1</f>
        <v>0</v>
      </c>
      <c r="BN292" s="8">
        <f>+MINVU_Mes_Corriente!BN292*SALUD_Mes_Constante!$BC$1</f>
        <v>0</v>
      </c>
      <c r="BO292" s="9">
        <f t="shared" si="137"/>
        <v>0</v>
      </c>
      <c r="BP292" s="8">
        <f>+MINVU_Mes_Corriente!BP292*SALUD_Mes_Constante!$BP$1</f>
        <v>0</v>
      </c>
      <c r="BQ292" s="8">
        <f>+MINVU_Mes_Corriente!BQ292*SALUD_Mes_Constante!$BP$1</f>
        <v>0</v>
      </c>
      <c r="BR292" s="8">
        <f>+MINVU_Mes_Corriente!BR292*SALUD_Mes_Constante!$BP$1</f>
        <v>0</v>
      </c>
      <c r="BS292" s="8">
        <f>+MINVU_Mes_Corriente!BS292*SALUD_Mes_Constante!$BP$1</f>
        <v>0</v>
      </c>
      <c r="BT292" s="8">
        <f>+MINVU_Mes_Corriente!BT292*SALUD_Mes_Constante!$BP$1</f>
        <v>0</v>
      </c>
      <c r="BU292" s="8">
        <f>+MINVU_Mes_Corriente!BU292*SALUD_Mes_Constante!$BP$1</f>
        <v>0</v>
      </c>
      <c r="BV292" s="8">
        <f>+MINVU_Mes_Corriente!BV292*SALUD_Mes_Constante!$BP$1</f>
        <v>0</v>
      </c>
      <c r="BW292" s="8">
        <f>+MINVU_Mes_Corriente!BW292*SALUD_Mes_Constante!$BP$1</f>
        <v>0</v>
      </c>
      <c r="BX292" s="8">
        <f>+MINVU_Mes_Corriente!BX292*SALUD_Mes_Constante!$BP$1</f>
        <v>0</v>
      </c>
      <c r="BY292" s="8">
        <f>+MINVU_Mes_Corriente!BY292*SALUD_Mes_Constante!$BP$1</f>
        <v>0</v>
      </c>
      <c r="BZ292" s="8">
        <f>+MINVU_Mes_Corriente!BZ292*SALUD_Mes_Constante!$BP$1</f>
        <v>0</v>
      </c>
      <c r="CA292" s="8">
        <f>+MINVU_Mes_Corriente!CA292*SALUD_Mes_Constante!$BP$1</f>
        <v>0</v>
      </c>
      <c r="CB292" s="9">
        <f t="shared" si="138"/>
        <v>0</v>
      </c>
      <c r="CC292" s="8">
        <f>+MINVU_Mes_Corriente!CC292*SALUD_Mes_Constante!$CC$1</f>
        <v>0</v>
      </c>
      <c r="CD292" s="8">
        <f>+MINVU_Mes_Corriente!CD292*SALUD_Mes_Constante!$CC$1</f>
        <v>0</v>
      </c>
      <c r="CE292" s="8">
        <f>+MINVU_Mes_Corriente!CE292*SALUD_Mes_Constante!$CC$1</f>
        <v>0</v>
      </c>
      <c r="CF292" s="8">
        <f>+MINVU_Mes_Corriente!CF292*SALUD_Mes_Constante!$CC$1</f>
        <v>0</v>
      </c>
      <c r="CG292" s="8">
        <f>+MINVU_Mes_Corriente!CG292*SALUD_Mes_Constante!$CC$1</f>
        <v>0</v>
      </c>
      <c r="CH292" s="8">
        <f>+MINVU_Mes_Corriente!CH292*SALUD_Mes_Constante!$CC$1</f>
        <v>0</v>
      </c>
      <c r="CI292" s="8">
        <f>+MINVU_Mes_Corriente!CI292*SALUD_Mes_Constante!$CC$1</f>
        <v>0</v>
      </c>
      <c r="CJ292" s="8">
        <f>+MINVU_Mes_Corriente!CJ292*SALUD_Mes_Constante!$CC$1</f>
        <v>0</v>
      </c>
      <c r="CK292" s="8">
        <f>+MINVU_Mes_Corriente!CK292*SALUD_Mes_Constante!$CC$1</f>
        <v>0</v>
      </c>
      <c r="CL292" s="8">
        <f>+MINVU_Mes_Corriente!CL292*SALUD_Mes_Constante!$CC$1</f>
        <v>0</v>
      </c>
      <c r="CM292" s="8">
        <f>+MINVU_Mes_Corriente!CM292*SALUD_Mes_Constante!$CC$1</f>
        <v>0</v>
      </c>
      <c r="CN292" s="8">
        <f>+MINVU_Mes_Corriente!CN292*SALUD_Mes_Constante!$CC$1</f>
        <v>0</v>
      </c>
      <c r="CO292" s="9">
        <f t="shared" si="139"/>
        <v>0</v>
      </c>
      <c r="CP292" s="8">
        <f>+MINVU_Mes_Corriente!CP292*SALUD_Mes_Constante!$CP$1</f>
        <v>0</v>
      </c>
      <c r="CQ292" s="8">
        <f>+MINVU_Mes_Corriente!CQ292*SALUD_Mes_Constante!$CP$1</f>
        <v>0</v>
      </c>
      <c r="CR292" s="8">
        <f>+MINVU_Mes_Corriente!CR292*SALUD_Mes_Constante!$CP$1</f>
        <v>0</v>
      </c>
      <c r="CS292" s="8">
        <f>+MINVU_Mes_Corriente!CS292*SALUD_Mes_Constante!$CP$1</f>
        <v>0</v>
      </c>
      <c r="CT292" s="8">
        <f>+MINVU_Mes_Corriente!CT292*SALUD_Mes_Constante!$CP$1</f>
        <v>0</v>
      </c>
      <c r="CU292" s="8">
        <f>+MINVU_Mes_Corriente!CU292*SALUD_Mes_Constante!$CP$1</f>
        <v>0</v>
      </c>
      <c r="CV292" s="8">
        <f>+MINVU_Mes_Corriente!CV292*SALUD_Mes_Constante!$CP$1</f>
        <v>0</v>
      </c>
      <c r="CW292" s="8">
        <f>+MINVU_Mes_Corriente!CW292*SALUD_Mes_Constante!$CP$1</f>
        <v>0</v>
      </c>
      <c r="CX292" s="8">
        <f>+MINVU_Mes_Corriente!CX292*SALUD_Mes_Constante!$CP$1</f>
        <v>0</v>
      </c>
      <c r="CY292" s="8">
        <f>+MINVU_Mes_Corriente!CY292*SALUD_Mes_Constante!$CP$1</f>
        <v>0</v>
      </c>
      <c r="CZ292" s="8">
        <f>+MINVU_Mes_Corriente!CZ292*SALUD_Mes_Constante!$CP$1</f>
        <v>0</v>
      </c>
      <c r="DA292" s="8">
        <f>+MINVU_Mes_Corriente!DA292*SALUD_Mes_Constante!$CP$1</f>
        <v>0</v>
      </c>
      <c r="DB292" s="9">
        <f t="shared" si="140"/>
        <v>0</v>
      </c>
      <c r="DC292" s="8">
        <f>+MINVU_Mes_Corriente!DC292*SALUD_Mes_Constante!$DC$1</f>
        <v>0</v>
      </c>
      <c r="DD292" s="8">
        <f>+MINVU_Mes_Corriente!DD292*SALUD_Mes_Constante!$DC$1</f>
        <v>0</v>
      </c>
      <c r="DE292" s="8">
        <f>+MINVU_Mes_Corriente!DE292*SALUD_Mes_Constante!$DC$1</f>
        <v>0</v>
      </c>
      <c r="DF292" s="8">
        <f>+MINVU_Mes_Corriente!DF292*SALUD_Mes_Constante!$DC$1</f>
        <v>0</v>
      </c>
      <c r="DG292" s="8">
        <f>+MINVU_Mes_Corriente!DG292*SALUD_Mes_Constante!$DC$1</f>
        <v>0</v>
      </c>
      <c r="DH292" s="8">
        <f>+MINVU_Mes_Corriente!DH292*SALUD_Mes_Constante!$DC$1</f>
        <v>0</v>
      </c>
      <c r="DI292" s="8">
        <f>+MINVU_Mes_Corriente!DI292*SALUD_Mes_Constante!$DC$1</f>
        <v>0</v>
      </c>
      <c r="DJ292" s="8">
        <f>+MINVU_Mes_Corriente!DJ292*SALUD_Mes_Constante!$DC$1</f>
        <v>0</v>
      </c>
      <c r="DK292" s="8">
        <f>+MINVU_Mes_Corriente!DK292*SALUD_Mes_Constante!$DC$1</f>
        <v>0</v>
      </c>
      <c r="DL292" s="8">
        <f>+MINVU_Mes_Corriente!DL292*SALUD_Mes_Constante!$DC$1</f>
        <v>0</v>
      </c>
      <c r="DM292" s="8">
        <f>+MINVU_Mes_Corriente!DM292*SALUD_Mes_Constante!$DC$1</f>
        <v>0</v>
      </c>
      <c r="DN292" s="8">
        <f>+MINVU_Mes_Corriente!DN292*SALUD_Mes_Constante!$DC$1</f>
        <v>0</v>
      </c>
      <c r="DO292" s="9">
        <f t="shared" si="141"/>
        <v>0</v>
      </c>
      <c r="DP292" s="8">
        <f>+MINVU_Mes_Corriente!DP292*SALUD_Mes_Constante!$DP$1</f>
        <v>0</v>
      </c>
      <c r="DQ292" s="8">
        <f>+MINVU_Mes_Corriente!DQ292*SALUD_Mes_Constante!$DP$1</f>
        <v>0</v>
      </c>
      <c r="DR292" s="8">
        <f>+MINVU_Mes_Corriente!DR292*SALUD_Mes_Constante!$DP$1</f>
        <v>0</v>
      </c>
      <c r="DS292" s="8">
        <f>+MINVU_Mes_Corriente!DS292*SALUD_Mes_Constante!$DP$1</f>
        <v>0</v>
      </c>
      <c r="DT292" s="8">
        <f>+MINVU_Mes_Corriente!DT292*SALUD_Mes_Constante!$DP$1</f>
        <v>0</v>
      </c>
      <c r="DU292" s="8">
        <f>+MINVU_Mes_Corriente!DU292*SALUD_Mes_Constante!$DP$1</f>
        <v>0</v>
      </c>
      <c r="DV292" s="8">
        <f>+MINVU_Mes_Corriente!DV292*SALUD_Mes_Constante!$DP$1</f>
        <v>0</v>
      </c>
      <c r="DW292" s="8">
        <f>+MINVU_Mes_Corriente!DW292*SALUD_Mes_Constante!$DP$1</f>
        <v>0</v>
      </c>
      <c r="DX292" s="8">
        <f>+MINVU_Mes_Corriente!DX292*SALUD_Mes_Constante!$DP$1</f>
        <v>0</v>
      </c>
      <c r="DY292" s="8">
        <f>+MINVU_Mes_Corriente!DY292*SALUD_Mes_Constante!$DP$1</f>
        <v>0</v>
      </c>
      <c r="DZ292" s="8">
        <f>+MINVU_Mes_Corriente!DZ292*SALUD_Mes_Constante!$DP$1</f>
        <v>0</v>
      </c>
      <c r="EA292" s="8">
        <f>+MINVU_Mes_Corriente!EA292*SALUD_Mes_Constante!$DP$1</f>
        <v>0</v>
      </c>
      <c r="EB292" s="9">
        <f t="shared" si="142"/>
        <v>0</v>
      </c>
      <c r="EC292" s="8">
        <f>+MINVU_Mes_Corriente!EC292*SALUD_Mes_Constante!$EC$1</f>
        <v>0</v>
      </c>
      <c r="ED292" s="8">
        <f>+MINVU_Mes_Corriente!ED292*SALUD_Mes_Constante!$EC$1</f>
        <v>0</v>
      </c>
      <c r="EE292" s="8">
        <f>+MINVU_Mes_Corriente!EE292*SALUD_Mes_Constante!$EC$1</f>
        <v>0</v>
      </c>
      <c r="EF292" s="8">
        <f>+MINVU_Mes_Corriente!EF292*SALUD_Mes_Constante!$EC$1</f>
        <v>0</v>
      </c>
      <c r="EG292" s="8">
        <f>+MINVU_Mes_Corriente!EG292*SALUD_Mes_Constante!$EC$1</f>
        <v>0</v>
      </c>
      <c r="EH292" s="8">
        <f>+MINVU_Mes_Corriente!EH292*SALUD_Mes_Constante!$EC$1</f>
        <v>0</v>
      </c>
      <c r="EI292" s="8">
        <f>+MINVU_Mes_Corriente!EI292*SALUD_Mes_Constante!$EC$1</f>
        <v>0</v>
      </c>
      <c r="EJ292" s="8">
        <f>+MINVU_Mes_Corriente!EJ292*SALUD_Mes_Constante!$EC$1</f>
        <v>0</v>
      </c>
      <c r="EK292" s="8">
        <f>+MINVU_Mes_Corriente!EK292*SALUD_Mes_Constante!$EC$1</f>
        <v>0</v>
      </c>
      <c r="EL292" s="8">
        <f>+MINVU_Mes_Corriente!EL292*SALUD_Mes_Constante!$EC$1</f>
        <v>0</v>
      </c>
      <c r="EM292" s="8">
        <f>+MINVU_Mes_Corriente!EM292*SALUD_Mes_Constante!$EC$1</f>
        <v>0</v>
      </c>
      <c r="EN292" s="8">
        <f>+MINVU_Mes_Corriente!EN292*SALUD_Mes_Constante!$EC$1</f>
        <v>0</v>
      </c>
      <c r="EO292" s="9">
        <f t="shared" si="143"/>
        <v>0</v>
      </c>
      <c r="EP292" s="8">
        <f>+MINVU_Mes_Corriente!EP292*SALUD_Mes_Constante!$EP$1</f>
        <v>0</v>
      </c>
      <c r="EQ292" s="8">
        <f>+MINVU_Mes_Corriente!EQ292*SALUD_Mes_Constante!$EP$1</f>
        <v>0</v>
      </c>
      <c r="ER292" s="8">
        <f>+MINVU_Mes_Corriente!ER292*SALUD_Mes_Constante!$EP$1</f>
        <v>0</v>
      </c>
      <c r="ES292" s="8">
        <f>+MINVU_Mes_Corriente!ES292*SALUD_Mes_Constante!$EP$1</f>
        <v>0</v>
      </c>
      <c r="ET292" s="8">
        <f>+MINVU_Mes_Corriente!ET292*SALUD_Mes_Constante!$EP$1</f>
        <v>0</v>
      </c>
      <c r="EU292" s="8">
        <f>+MINVU_Mes_Corriente!EU292*SALUD_Mes_Constante!$EP$1</f>
        <v>0</v>
      </c>
      <c r="EV292" s="8">
        <f>+MINVU_Mes_Corriente!EV292*SALUD_Mes_Constante!$EP$1</f>
        <v>0</v>
      </c>
      <c r="EW292" s="8">
        <f>+MINVU_Mes_Corriente!EW292*SALUD_Mes_Constante!$EP$1</f>
        <v>0</v>
      </c>
      <c r="EX292" s="8">
        <f>+MINVU_Mes_Corriente!EX292*SALUD_Mes_Constante!$EP$1</f>
        <v>0</v>
      </c>
      <c r="EY292" s="8">
        <f>+MINVU_Mes_Corriente!EY292*SALUD_Mes_Constante!$EP$1</f>
        <v>0</v>
      </c>
      <c r="EZ292" s="8">
        <f>+MINVU_Mes_Corriente!EZ292*SALUD_Mes_Constante!$EP$1</f>
        <v>0</v>
      </c>
      <c r="FA292" s="8">
        <f>+MINVU_Mes_Corriente!FA292*SALUD_Mes_Constante!$EP$1</f>
        <v>0</v>
      </c>
      <c r="FB292" s="9">
        <f t="shared" si="144"/>
        <v>0</v>
      </c>
      <c r="FC292" s="8">
        <f>+MINVU_Mes_Corriente!FC292*SALUD_Mes_Constante!$FC$1</f>
        <v>0</v>
      </c>
      <c r="FD292" s="8">
        <f>+MINVU_Mes_Corriente!FD292*SALUD_Mes_Constante!$FC$1</f>
        <v>0</v>
      </c>
      <c r="FE292" s="8">
        <f>+MINVU_Mes_Corriente!FE292*SALUD_Mes_Constante!$FC$1</f>
        <v>0</v>
      </c>
      <c r="FF292" s="8">
        <f>+MINVU_Mes_Corriente!FF292*SALUD_Mes_Constante!$FC$1</f>
        <v>0</v>
      </c>
      <c r="FG292" s="8">
        <f>+MINVU_Mes_Corriente!FG292*SALUD_Mes_Constante!$FC$1</f>
        <v>0</v>
      </c>
      <c r="FH292" s="8">
        <f>+MINVU_Mes_Corriente!FH292*SALUD_Mes_Constante!$FC$1</f>
        <v>0</v>
      </c>
      <c r="FI292" s="8">
        <f>+MINVU_Mes_Corriente!FI292*SALUD_Mes_Constante!$FC$1</f>
        <v>0</v>
      </c>
      <c r="FJ292" s="8"/>
      <c r="FK292" s="8"/>
      <c r="FL292" s="8"/>
      <c r="FM292" s="8"/>
      <c r="FN292" s="8"/>
      <c r="FO292" s="9">
        <f t="shared" si="145"/>
        <v>0</v>
      </c>
    </row>
    <row r="293" spans="2:171" ht="14.25" customHeight="1" x14ac:dyDescent="0.3">
      <c r="B293" s="7" t="s">
        <v>70</v>
      </c>
      <c r="C293" s="8">
        <f>+MINVU_Mes_Corriente!C293*SALUD_Mes_Constante!$C$1</f>
        <v>0</v>
      </c>
      <c r="D293" s="8">
        <f>+MINVU_Mes_Corriente!D293*SALUD_Mes_Constante!$C$1</f>
        <v>0</v>
      </c>
      <c r="E293" s="8">
        <f>+MINVU_Mes_Corriente!E293*SALUD_Mes_Constante!$C$1</f>
        <v>0</v>
      </c>
      <c r="F293" s="8">
        <f>+MINVU_Mes_Corriente!F293*SALUD_Mes_Constante!$C$1</f>
        <v>0</v>
      </c>
      <c r="G293" s="8">
        <f>+MINVU_Mes_Corriente!G293*SALUD_Mes_Constante!$C$1</f>
        <v>0</v>
      </c>
      <c r="H293" s="8">
        <f>+MINVU_Mes_Corriente!H293*SALUD_Mes_Constante!$C$1</f>
        <v>0</v>
      </c>
      <c r="I293" s="8">
        <f>+MINVU_Mes_Corriente!I293*SALUD_Mes_Constante!$C$1</f>
        <v>0</v>
      </c>
      <c r="J293" s="8">
        <f>+MINVU_Mes_Corriente!J293*SALUD_Mes_Constante!$C$1</f>
        <v>0</v>
      </c>
      <c r="K293" s="8">
        <f>+MINVU_Mes_Corriente!K293*SALUD_Mes_Constante!$C$1</f>
        <v>0</v>
      </c>
      <c r="L293" s="8">
        <f>+MINVU_Mes_Corriente!L293*SALUD_Mes_Constante!$C$1</f>
        <v>0</v>
      </c>
      <c r="M293" s="8">
        <f>+MINVU_Mes_Corriente!M293*SALUD_Mes_Constante!$C$1</f>
        <v>0</v>
      </c>
      <c r="N293" s="8">
        <f>+MINVU_Mes_Corriente!N293*SALUD_Mes_Constante!$C$1</f>
        <v>0</v>
      </c>
      <c r="O293" s="9">
        <f t="shared" si="133"/>
        <v>0</v>
      </c>
      <c r="P293" s="8">
        <f>+MINVU_Mes_Corriente!P293*SALUD_Mes_Constante!$P$1</f>
        <v>0</v>
      </c>
      <c r="Q293" s="8">
        <f>+MINVU_Mes_Corriente!Q293*SALUD_Mes_Constante!$P$1</f>
        <v>0</v>
      </c>
      <c r="R293" s="8">
        <f>+MINVU_Mes_Corriente!R293*SALUD_Mes_Constante!$P$1</f>
        <v>0</v>
      </c>
      <c r="S293" s="8">
        <f>+MINVU_Mes_Corriente!S293*SALUD_Mes_Constante!$P$1</f>
        <v>0</v>
      </c>
      <c r="T293" s="8">
        <f>+MINVU_Mes_Corriente!T293*SALUD_Mes_Constante!$P$1</f>
        <v>0</v>
      </c>
      <c r="U293" s="8">
        <f>+MINVU_Mes_Corriente!U293*SALUD_Mes_Constante!$P$1</f>
        <v>0</v>
      </c>
      <c r="V293" s="8">
        <f>+MINVU_Mes_Corriente!V293*SALUD_Mes_Constante!$P$1</f>
        <v>0</v>
      </c>
      <c r="W293" s="8">
        <f>+MINVU_Mes_Corriente!W293*SALUD_Mes_Constante!$P$1</f>
        <v>0</v>
      </c>
      <c r="X293" s="8">
        <f>+MINVU_Mes_Corriente!X293*SALUD_Mes_Constante!$P$1</f>
        <v>0</v>
      </c>
      <c r="Y293" s="8">
        <f>+MINVU_Mes_Corriente!Y293*SALUD_Mes_Constante!$P$1</f>
        <v>0</v>
      </c>
      <c r="Z293" s="8">
        <f>+MINVU_Mes_Corriente!Z293*SALUD_Mes_Constante!$P$1</f>
        <v>0</v>
      </c>
      <c r="AA293" s="8">
        <f>+MINVU_Mes_Corriente!AA293*SALUD_Mes_Constante!$P$1</f>
        <v>0</v>
      </c>
      <c r="AB293" s="9">
        <f t="shared" si="134"/>
        <v>0</v>
      </c>
      <c r="AC293" s="8">
        <f>+MINVU_Mes_Corriente!AC293*SALUD_Mes_Constante!$AC$1</f>
        <v>0</v>
      </c>
      <c r="AD293" s="8">
        <f>+MINVU_Mes_Corriente!AD293*SALUD_Mes_Constante!$AC$1</f>
        <v>0</v>
      </c>
      <c r="AE293" s="8">
        <f>+MINVU_Mes_Corriente!AE293*SALUD_Mes_Constante!$AC$1</f>
        <v>0</v>
      </c>
      <c r="AF293" s="8">
        <f>+MINVU_Mes_Corriente!AF293*SALUD_Mes_Constante!$AC$1</f>
        <v>0</v>
      </c>
      <c r="AG293" s="8">
        <f>+MINVU_Mes_Corriente!AG293*SALUD_Mes_Constante!$AC$1</f>
        <v>0</v>
      </c>
      <c r="AH293" s="8">
        <f>+MINVU_Mes_Corriente!AH293*SALUD_Mes_Constante!$AC$1</f>
        <v>0</v>
      </c>
      <c r="AI293" s="8">
        <f>+MINVU_Mes_Corriente!AI293*SALUD_Mes_Constante!$AC$1</f>
        <v>0</v>
      </c>
      <c r="AJ293" s="8">
        <f>+MINVU_Mes_Corriente!AJ293*SALUD_Mes_Constante!$AC$1</f>
        <v>0</v>
      </c>
      <c r="AK293" s="8">
        <f>+MINVU_Mes_Corriente!AK293*SALUD_Mes_Constante!$AC$1</f>
        <v>0</v>
      </c>
      <c r="AL293" s="8">
        <f>+MINVU_Mes_Corriente!AL293*SALUD_Mes_Constante!$AC$1</f>
        <v>0</v>
      </c>
      <c r="AM293" s="8">
        <f>+MINVU_Mes_Corriente!AM293*SALUD_Mes_Constante!$AC$1</f>
        <v>0</v>
      </c>
      <c r="AN293" s="8">
        <f>+MINVU_Mes_Corriente!AN293*SALUD_Mes_Constante!$AC$1</f>
        <v>0</v>
      </c>
      <c r="AO293" s="9">
        <f t="shared" si="135"/>
        <v>0</v>
      </c>
      <c r="AP293" s="8">
        <f>+MINVU_Mes_Corriente!AP293*SALUD_Mes_Constante!$AP$1</f>
        <v>0</v>
      </c>
      <c r="AQ293" s="8">
        <f>+MINVU_Mes_Corriente!AQ293*SALUD_Mes_Constante!$AP$1</f>
        <v>0</v>
      </c>
      <c r="AR293" s="8">
        <f>+MINVU_Mes_Corriente!AR293*SALUD_Mes_Constante!$AP$1</f>
        <v>0</v>
      </c>
      <c r="AS293" s="8">
        <f>+MINVU_Mes_Corriente!AS293*SALUD_Mes_Constante!$AP$1</f>
        <v>0</v>
      </c>
      <c r="AT293" s="8">
        <f>+MINVU_Mes_Corriente!AT293*SALUD_Mes_Constante!$AP$1</f>
        <v>0</v>
      </c>
      <c r="AU293" s="8">
        <f>+MINVU_Mes_Corriente!AU293*SALUD_Mes_Constante!$AP$1</f>
        <v>0</v>
      </c>
      <c r="AV293" s="8">
        <f>+MINVU_Mes_Corriente!AV293*SALUD_Mes_Constante!$AP$1</f>
        <v>0</v>
      </c>
      <c r="AW293" s="8">
        <f>+MINVU_Mes_Corriente!AW293*SALUD_Mes_Constante!$AP$1</f>
        <v>0</v>
      </c>
      <c r="AX293" s="8">
        <f>+MINVU_Mes_Corriente!AX293*SALUD_Mes_Constante!$AP$1</f>
        <v>0</v>
      </c>
      <c r="AY293" s="8">
        <f>+MINVU_Mes_Corriente!AY293*SALUD_Mes_Constante!$AP$1</f>
        <v>0</v>
      </c>
      <c r="AZ293" s="8">
        <f>+MINVU_Mes_Corriente!AZ293*SALUD_Mes_Constante!$AP$1</f>
        <v>0</v>
      </c>
      <c r="BA293" s="8">
        <f>+MINVU_Mes_Corriente!BA293*SALUD_Mes_Constante!$AP$1</f>
        <v>0</v>
      </c>
      <c r="BB293" s="9">
        <f t="shared" si="136"/>
        <v>0</v>
      </c>
      <c r="BC293" s="8">
        <f>+MINVU_Mes_Corriente!BC293*SALUD_Mes_Constante!$BC$1</f>
        <v>0</v>
      </c>
      <c r="BD293" s="8">
        <f>+MINVU_Mes_Corriente!BD293*SALUD_Mes_Constante!$BC$1</f>
        <v>0</v>
      </c>
      <c r="BE293" s="8">
        <f>+MINVU_Mes_Corriente!BE293*SALUD_Mes_Constante!$BC$1</f>
        <v>0</v>
      </c>
      <c r="BF293" s="8">
        <f>+MINVU_Mes_Corriente!BF293*SALUD_Mes_Constante!$BC$1</f>
        <v>0</v>
      </c>
      <c r="BG293" s="8">
        <f>+MINVU_Mes_Corriente!BG293*SALUD_Mes_Constante!$BC$1</f>
        <v>0</v>
      </c>
      <c r="BH293" s="8">
        <f>+MINVU_Mes_Corriente!BH293*SALUD_Mes_Constante!$BC$1</f>
        <v>0</v>
      </c>
      <c r="BI293" s="8">
        <f>+MINVU_Mes_Corriente!BI293*SALUD_Mes_Constante!$BC$1</f>
        <v>0</v>
      </c>
      <c r="BJ293" s="8">
        <f>+MINVU_Mes_Corriente!BJ293*SALUD_Mes_Constante!$BC$1</f>
        <v>0</v>
      </c>
      <c r="BK293" s="8">
        <f>+MINVU_Mes_Corriente!BK293*SALUD_Mes_Constante!$BC$1</f>
        <v>0</v>
      </c>
      <c r="BL293" s="8">
        <f>+MINVU_Mes_Corriente!BL293*SALUD_Mes_Constante!$BC$1</f>
        <v>0</v>
      </c>
      <c r="BM293" s="8">
        <f>+MINVU_Mes_Corriente!BM293*SALUD_Mes_Constante!$BC$1</f>
        <v>0</v>
      </c>
      <c r="BN293" s="8">
        <f>+MINVU_Mes_Corriente!BN293*SALUD_Mes_Constante!$BC$1</f>
        <v>0</v>
      </c>
      <c r="BO293" s="9">
        <f t="shared" si="137"/>
        <v>0</v>
      </c>
      <c r="BP293" s="8">
        <f>+MINVU_Mes_Corriente!BP293*SALUD_Mes_Constante!$BP$1</f>
        <v>0</v>
      </c>
      <c r="BQ293" s="8">
        <f>+MINVU_Mes_Corriente!BQ293*SALUD_Mes_Constante!$BP$1</f>
        <v>0</v>
      </c>
      <c r="BR293" s="8">
        <f>+MINVU_Mes_Corriente!BR293*SALUD_Mes_Constante!$BP$1</f>
        <v>0</v>
      </c>
      <c r="BS293" s="8">
        <f>+MINVU_Mes_Corriente!BS293*SALUD_Mes_Constante!$BP$1</f>
        <v>0</v>
      </c>
      <c r="BT293" s="8">
        <f>+MINVU_Mes_Corriente!BT293*SALUD_Mes_Constante!$BP$1</f>
        <v>0</v>
      </c>
      <c r="BU293" s="8">
        <f>+MINVU_Mes_Corriente!BU293*SALUD_Mes_Constante!$BP$1</f>
        <v>0</v>
      </c>
      <c r="BV293" s="8">
        <f>+MINVU_Mes_Corriente!BV293*SALUD_Mes_Constante!$BP$1</f>
        <v>0</v>
      </c>
      <c r="BW293" s="8">
        <f>+MINVU_Mes_Corriente!BW293*SALUD_Mes_Constante!$BP$1</f>
        <v>0</v>
      </c>
      <c r="BX293" s="8">
        <f>+MINVU_Mes_Corriente!BX293*SALUD_Mes_Constante!$BP$1</f>
        <v>0</v>
      </c>
      <c r="BY293" s="8">
        <f>+MINVU_Mes_Corriente!BY293*SALUD_Mes_Constante!$BP$1</f>
        <v>0</v>
      </c>
      <c r="BZ293" s="8">
        <f>+MINVU_Mes_Corriente!BZ293*SALUD_Mes_Constante!$BP$1</f>
        <v>0</v>
      </c>
      <c r="CA293" s="8">
        <f>+MINVU_Mes_Corriente!CA293*SALUD_Mes_Constante!$BP$1</f>
        <v>0</v>
      </c>
      <c r="CB293" s="9">
        <f t="shared" si="138"/>
        <v>0</v>
      </c>
      <c r="CC293" s="8">
        <f>+MINVU_Mes_Corriente!CC293*SALUD_Mes_Constante!$CC$1</f>
        <v>0</v>
      </c>
      <c r="CD293" s="8">
        <f>+MINVU_Mes_Corriente!CD293*SALUD_Mes_Constante!$CC$1</f>
        <v>0</v>
      </c>
      <c r="CE293" s="8">
        <f>+MINVU_Mes_Corriente!CE293*SALUD_Mes_Constante!$CC$1</f>
        <v>0</v>
      </c>
      <c r="CF293" s="8">
        <f>+MINVU_Mes_Corriente!CF293*SALUD_Mes_Constante!$CC$1</f>
        <v>0</v>
      </c>
      <c r="CG293" s="8">
        <f>+MINVU_Mes_Corriente!CG293*SALUD_Mes_Constante!$CC$1</f>
        <v>0</v>
      </c>
      <c r="CH293" s="8">
        <f>+MINVU_Mes_Corriente!CH293*SALUD_Mes_Constante!$CC$1</f>
        <v>0</v>
      </c>
      <c r="CI293" s="8">
        <f>+MINVU_Mes_Corriente!CI293*SALUD_Mes_Constante!$CC$1</f>
        <v>0</v>
      </c>
      <c r="CJ293" s="8">
        <f>+MINVU_Mes_Corriente!CJ293*SALUD_Mes_Constante!$CC$1</f>
        <v>0</v>
      </c>
      <c r="CK293" s="8">
        <f>+MINVU_Mes_Corriente!CK293*SALUD_Mes_Constante!$CC$1</f>
        <v>0</v>
      </c>
      <c r="CL293" s="8">
        <f>+MINVU_Mes_Corriente!CL293*SALUD_Mes_Constante!$CC$1</f>
        <v>0</v>
      </c>
      <c r="CM293" s="8">
        <f>+MINVU_Mes_Corriente!CM293*SALUD_Mes_Constante!$CC$1</f>
        <v>0</v>
      </c>
      <c r="CN293" s="8">
        <f>+MINVU_Mes_Corriente!CN293*SALUD_Mes_Constante!$CC$1</f>
        <v>0</v>
      </c>
      <c r="CO293" s="9">
        <f t="shared" si="139"/>
        <v>0</v>
      </c>
      <c r="CP293" s="8">
        <f>+MINVU_Mes_Corriente!CP293*SALUD_Mes_Constante!$CP$1</f>
        <v>0</v>
      </c>
      <c r="CQ293" s="8">
        <f>+MINVU_Mes_Corriente!CQ293*SALUD_Mes_Constante!$CP$1</f>
        <v>0</v>
      </c>
      <c r="CR293" s="8">
        <f>+MINVU_Mes_Corriente!CR293*SALUD_Mes_Constante!$CP$1</f>
        <v>0</v>
      </c>
      <c r="CS293" s="8">
        <f>+MINVU_Mes_Corriente!CS293*SALUD_Mes_Constante!$CP$1</f>
        <v>0</v>
      </c>
      <c r="CT293" s="8">
        <f>+MINVU_Mes_Corriente!CT293*SALUD_Mes_Constante!$CP$1</f>
        <v>0</v>
      </c>
      <c r="CU293" s="8">
        <f>+MINVU_Mes_Corriente!CU293*SALUD_Mes_Constante!$CP$1</f>
        <v>0</v>
      </c>
      <c r="CV293" s="8">
        <f>+MINVU_Mes_Corriente!CV293*SALUD_Mes_Constante!$CP$1</f>
        <v>0</v>
      </c>
      <c r="CW293" s="8">
        <f>+MINVU_Mes_Corriente!CW293*SALUD_Mes_Constante!$CP$1</f>
        <v>0</v>
      </c>
      <c r="CX293" s="8">
        <f>+MINVU_Mes_Corriente!CX293*SALUD_Mes_Constante!$CP$1</f>
        <v>0</v>
      </c>
      <c r="CY293" s="8">
        <f>+MINVU_Mes_Corriente!CY293*SALUD_Mes_Constante!$CP$1</f>
        <v>0</v>
      </c>
      <c r="CZ293" s="8">
        <f>+MINVU_Mes_Corriente!CZ293*SALUD_Mes_Constante!$CP$1</f>
        <v>0</v>
      </c>
      <c r="DA293" s="8">
        <f>+MINVU_Mes_Corriente!DA293*SALUD_Mes_Constante!$CP$1</f>
        <v>0</v>
      </c>
      <c r="DB293" s="9">
        <f t="shared" si="140"/>
        <v>0</v>
      </c>
      <c r="DC293" s="8">
        <f>+MINVU_Mes_Corriente!DC293*SALUD_Mes_Constante!$DC$1</f>
        <v>0</v>
      </c>
      <c r="DD293" s="8">
        <f>+MINVU_Mes_Corriente!DD293*SALUD_Mes_Constante!$DC$1</f>
        <v>0</v>
      </c>
      <c r="DE293" s="8">
        <f>+MINVU_Mes_Corriente!DE293*SALUD_Mes_Constante!$DC$1</f>
        <v>0</v>
      </c>
      <c r="DF293" s="8">
        <f>+MINVU_Mes_Corriente!DF293*SALUD_Mes_Constante!$DC$1</f>
        <v>0</v>
      </c>
      <c r="DG293" s="8">
        <f>+MINVU_Mes_Corriente!DG293*SALUD_Mes_Constante!$DC$1</f>
        <v>0</v>
      </c>
      <c r="DH293" s="8">
        <f>+MINVU_Mes_Corriente!DH293*SALUD_Mes_Constante!$DC$1</f>
        <v>0</v>
      </c>
      <c r="DI293" s="8">
        <f>+MINVU_Mes_Corriente!DI293*SALUD_Mes_Constante!$DC$1</f>
        <v>0</v>
      </c>
      <c r="DJ293" s="8">
        <f>+MINVU_Mes_Corriente!DJ293*SALUD_Mes_Constante!$DC$1</f>
        <v>0</v>
      </c>
      <c r="DK293" s="8">
        <f>+MINVU_Mes_Corriente!DK293*SALUD_Mes_Constante!$DC$1</f>
        <v>0</v>
      </c>
      <c r="DL293" s="8">
        <f>+MINVU_Mes_Corriente!DL293*SALUD_Mes_Constante!$DC$1</f>
        <v>0</v>
      </c>
      <c r="DM293" s="8">
        <f>+MINVU_Mes_Corriente!DM293*SALUD_Mes_Constante!$DC$1</f>
        <v>0</v>
      </c>
      <c r="DN293" s="8">
        <f>+MINVU_Mes_Corriente!DN293*SALUD_Mes_Constante!$DC$1</f>
        <v>0</v>
      </c>
      <c r="DO293" s="9">
        <f t="shared" si="141"/>
        <v>0</v>
      </c>
      <c r="DP293" s="8">
        <f>+MINVU_Mes_Corriente!DP293*SALUD_Mes_Constante!$DP$1</f>
        <v>0</v>
      </c>
      <c r="DQ293" s="8">
        <f>+MINVU_Mes_Corriente!DQ293*SALUD_Mes_Constante!$DP$1</f>
        <v>0</v>
      </c>
      <c r="DR293" s="8">
        <f>+MINVU_Mes_Corriente!DR293*SALUD_Mes_Constante!$DP$1</f>
        <v>0</v>
      </c>
      <c r="DS293" s="8">
        <f>+MINVU_Mes_Corriente!DS293*SALUD_Mes_Constante!$DP$1</f>
        <v>0</v>
      </c>
      <c r="DT293" s="8">
        <f>+MINVU_Mes_Corriente!DT293*SALUD_Mes_Constante!$DP$1</f>
        <v>0</v>
      </c>
      <c r="DU293" s="8">
        <f>+MINVU_Mes_Corriente!DU293*SALUD_Mes_Constante!$DP$1</f>
        <v>0</v>
      </c>
      <c r="DV293" s="8">
        <f>+MINVU_Mes_Corriente!DV293*SALUD_Mes_Constante!$DP$1</f>
        <v>0</v>
      </c>
      <c r="DW293" s="8">
        <f>+MINVU_Mes_Corriente!DW293*SALUD_Mes_Constante!$DP$1</f>
        <v>0</v>
      </c>
      <c r="DX293" s="8">
        <f>+MINVU_Mes_Corriente!DX293*SALUD_Mes_Constante!$DP$1</f>
        <v>0</v>
      </c>
      <c r="DY293" s="8">
        <f>+MINVU_Mes_Corriente!DY293*SALUD_Mes_Constante!$DP$1</f>
        <v>0</v>
      </c>
      <c r="DZ293" s="8">
        <f>+MINVU_Mes_Corriente!DZ293*SALUD_Mes_Constante!$DP$1</f>
        <v>0</v>
      </c>
      <c r="EA293" s="8">
        <f>+MINVU_Mes_Corriente!EA293*SALUD_Mes_Constante!$DP$1</f>
        <v>0</v>
      </c>
      <c r="EB293" s="9">
        <f t="shared" si="142"/>
        <v>0</v>
      </c>
      <c r="EC293" s="8">
        <f>+MINVU_Mes_Corriente!EC293*SALUD_Mes_Constante!$EC$1</f>
        <v>0</v>
      </c>
      <c r="ED293" s="8">
        <f>+MINVU_Mes_Corriente!ED293*SALUD_Mes_Constante!$EC$1</f>
        <v>0</v>
      </c>
      <c r="EE293" s="8">
        <f>+MINVU_Mes_Corriente!EE293*SALUD_Mes_Constante!$EC$1</f>
        <v>0</v>
      </c>
      <c r="EF293" s="8">
        <f>+MINVU_Mes_Corriente!EF293*SALUD_Mes_Constante!$EC$1</f>
        <v>0</v>
      </c>
      <c r="EG293" s="8">
        <f>+MINVU_Mes_Corriente!EG293*SALUD_Mes_Constante!$EC$1</f>
        <v>0</v>
      </c>
      <c r="EH293" s="8">
        <f>+MINVU_Mes_Corriente!EH293*SALUD_Mes_Constante!$EC$1</f>
        <v>0</v>
      </c>
      <c r="EI293" s="8">
        <f>+MINVU_Mes_Corriente!EI293*SALUD_Mes_Constante!$EC$1</f>
        <v>0</v>
      </c>
      <c r="EJ293" s="8">
        <f>+MINVU_Mes_Corriente!EJ293*SALUD_Mes_Constante!$EC$1</f>
        <v>0</v>
      </c>
      <c r="EK293" s="8">
        <f>+MINVU_Mes_Corriente!EK293*SALUD_Mes_Constante!$EC$1</f>
        <v>0</v>
      </c>
      <c r="EL293" s="8">
        <f>+MINVU_Mes_Corriente!EL293*SALUD_Mes_Constante!$EC$1</f>
        <v>0</v>
      </c>
      <c r="EM293" s="8">
        <f>+MINVU_Mes_Corriente!EM293*SALUD_Mes_Constante!$EC$1</f>
        <v>0</v>
      </c>
      <c r="EN293" s="8">
        <f>+MINVU_Mes_Corriente!EN293*SALUD_Mes_Constante!$EC$1</f>
        <v>0</v>
      </c>
      <c r="EO293" s="9">
        <f t="shared" si="143"/>
        <v>0</v>
      </c>
      <c r="EP293" s="8">
        <f>+MINVU_Mes_Corriente!EP293*SALUD_Mes_Constante!$EP$1</f>
        <v>0</v>
      </c>
      <c r="EQ293" s="8">
        <f>+MINVU_Mes_Corriente!EQ293*SALUD_Mes_Constante!$EP$1</f>
        <v>0</v>
      </c>
      <c r="ER293" s="8">
        <f>+MINVU_Mes_Corriente!ER293*SALUD_Mes_Constante!$EP$1</f>
        <v>0</v>
      </c>
      <c r="ES293" s="8">
        <f>+MINVU_Mes_Corriente!ES293*SALUD_Mes_Constante!$EP$1</f>
        <v>0</v>
      </c>
      <c r="ET293" s="8">
        <f>+MINVU_Mes_Corriente!ET293*SALUD_Mes_Constante!$EP$1</f>
        <v>0</v>
      </c>
      <c r="EU293" s="8">
        <f>+MINVU_Mes_Corriente!EU293*SALUD_Mes_Constante!$EP$1</f>
        <v>0</v>
      </c>
      <c r="EV293" s="8">
        <f>+MINVU_Mes_Corriente!EV293*SALUD_Mes_Constante!$EP$1</f>
        <v>0</v>
      </c>
      <c r="EW293" s="8">
        <f>+MINVU_Mes_Corriente!EW293*SALUD_Mes_Constante!$EP$1</f>
        <v>0</v>
      </c>
      <c r="EX293" s="8">
        <f>+MINVU_Mes_Corriente!EX293*SALUD_Mes_Constante!$EP$1</f>
        <v>0</v>
      </c>
      <c r="EY293" s="8">
        <f>+MINVU_Mes_Corriente!EY293*SALUD_Mes_Constante!$EP$1</f>
        <v>0</v>
      </c>
      <c r="EZ293" s="8">
        <f>+MINVU_Mes_Corriente!EZ293*SALUD_Mes_Constante!$EP$1</f>
        <v>0</v>
      </c>
      <c r="FA293" s="8">
        <f>+MINVU_Mes_Corriente!FA293*SALUD_Mes_Constante!$EP$1</f>
        <v>0</v>
      </c>
      <c r="FB293" s="9">
        <f t="shared" si="144"/>
        <v>0</v>
      </c>
      <c r="FC293" s="8">
        <f>+MINVU_Mes_Corriente!FC293*SALUD_Mes_Constante!$FC$1</f>
        <v>0</v>
      </c>
      <c r="FD293" s="8">
        <f>+MINVU_Mes_Corriente!FD293*SALUD_Mes_Constante!$FC$1</f>
        <v>0</v>
      </c>
      <c r="FE293" s="8">
        <f>+MINVU_Mes_Corriente!FE293*SALUD_Mes_Constante!$FC$1</f>
        <v>0</v>
      </c>
      <c r="FF293" s="8">
        <f>+MINVU_Mes_Corriente!FF293*SALUD_Mes_Constante!$FC$1</f>
        <v>0</v>
      </c>
      <c r="FG293" s="8">
        <f>+MINVU_Mes_Corriente!FG293*SALUD_Mes_Constante!$FC$1</f>
        <v>0</v>
      </c>
      <c r="FH293" s="8">
        <f>+MINVU_Mes_Corriente!FH293*SALUD_Mes_Constante!$FC$1</f>
        <v>0</v>
      </c>
      <c r="FI293" s="8">
        <f>+MINVU_Mes_Corriente!FI293*SALUD_Mes_Constante!$FC$1</f>
        <v>0</v>
      </c>
      <c r="FJ293" s="8"/>
      <c r="FK293" s="8"/>
      <c r="FL293" s="8"/>
      <c r="FM293" s="8"/>
      <c r="FN293" s="8"/>
      <c r="FO293" s="9">
        <f t="shared" si="145"/>
        <v>0</v>
      </c>
    </row>
    <row r="294" spans="2:171" ht="14.25" customHeight="1" x14ac:dyDescent="0.3">
      <c r="B294" s="7" t="s">
        <v>71</v>
      </c>
      <c r="C294" s="8">
        <f>+MINVU_Mes_Corriente!C294*SALUD_Mes_Constante!$C$1</f>
        <v>0</v>
      </c>
      <c r="D294" s="8">
        <f>+MINVU_Mes_Corriente!D294*SALUD_Mes_Constante!$C$1</f>
        <v>0</v>
      </c>
      <c r="E294" s="8">
        <f>+MINVU_Mes_Corriente!E294*SALUD_Mes_Constante!$C$1</f>
        <v>0</v>
      </c>
      <c r="F294" s="8">
        <f>+MINVU_Mes_Corriente!F294*SALUD_Mes_Constante!$C$1</f>
        <v>0</v>
      </c>
      <c r="G294" s="8">
        <f>+MINVU_Mes_Corriente!G294*SALUD_Mes_Constante!$C$1</f>
        <v>0</v>
      </c>
      <c r="H294" s="8">
        <f>+MINVU_Mes_Corriente!H294*SALUD_Mes_Constante!$C$1</f>
        <v>0</v>
      </c>
      <c r="I294" s="8">
        <f>+MINVU_Mes_Corriente!I294*SALUD_Mes_Constante!$C$1</f>
        <v>0</v>
      </c>
      <c r="J294" s="8">
        <f>+MINVU_Mes_Corriente!J294*SALUD_Mes_Constante!$C$1</f>
        <v>0</v>
      </c>
      <c r="K294" s="8">
        <f>+MINVU_Mes_Corriente!K294*SALUD_Mes_Constante!$C$1</f>
        <v>0</v>
      </c>
      <c r="L294" s="8">
        <f>+MINVU_Mes_Corriente!L294*SALUD_Mes_Constante!$C$1</f>
        <v>0</v>
      </c>
      <c r="M294" s="8">
        <f>+MINVU_Mes_Corriente!M294*SALUD_Mes_Constante!$C$1</f>
        <v>0</v>
      </c>
      <c r="N294" s="8">
        <f>+MINVU_Mes_Corriente!N294*SALUD_Mes_Constante!$C$1</f>
        <v>0</v>
      </c>
      <c r="O294" s="9">
        <f t="shared" si="133"/>
        <v>0</v>
      </c>
      <c r="P294" s="8">
        <f>+MINVU_Mes_Corriente!P294*SALUD_Mes_Constante!$P$1</f>
        <v>0</v>
      </c>
      <c r="Q294" s="8">
        <f>+MINVU_Mes_Corriente!Q294*SALUD_Mes_Constante!$P$1</f>
        <v>0</v>
      </c>
      <c r="R294" s="8">
        <f>+MINVU_Mes_Corriente!R294*SALUD_Mes_Constante!$P$1</f>
        <v>0</v>
      </c>
      <c r="S294" s="8">
        <f>+MINVU_Mes_Corriente!S294*SALUD_Mes_Constante!$P$1</f>
        <v>0</v>
      </c>
      <c r="T294" s="8">
        <f>+MINVU_Mes_Corriente!T294*SALUD_Mes_Constante!$P$1</f>
        <v>0</v>
      </c>
      <c r="U294" s="8">
        <f>+MINVU_Mes_Corriente!U294*SALUD_Mes_Constante!$P$1</f>
        <v>0</v>
      </c>
      <c r="V294" s="8">
        <f>+MINVU_Mes_Corriente!V294*SALUD_Mes_Constante!$P$1</f>
        <v>0</v>
      </c>
      <c r="W294" s="8">
        <f>+MINVU_Mes_Corriente!W294*SALUD_Mes_Constante!$P$1</f>
        <v>0</v>
      </c>
      <c r="X294" s="8">
        <f>+MINVU_Mes_Corriente!X294*SALUD_Mes_Constante!$P$1</f>
        <v>0</v>
      </c>
      <c r="Y294" s="8">
        <f>+MINVU_Mes_Corriente!Y294*SALUD_Mes_Constante!$P$1</f>
        <v>0</v>
      </c>
      <c r="Z294" s="8">
        <f>+MINVU_Mes_Corriente!Z294*SALUD_Mes_Constante!$P$1</f>
        <v>0</v>
      </c>
      <c r="AA294" s="8">
        <f>+MINVU_Mes_Corriente!AA294*SALUD_Mes_Constante!$P$1</f>
        <v>0</v>
      </c>
      <c r="AB294" s="9">
        <f t="shared" si="134"/>
        <v>0</v>
      </c>
      <c r="AC294" s="8">
        <f>+MINVU_Mes_Corriente!AC294*SALUD_Mes_Constante!$AC$1</f>
        <v>0</v>
      </c>
      <c r="AD294" s="8">
        <f>+MINVU_Mes_Corriente!AD294*SALUD_Mes_Constante!$AC$1</f>
        <v>0</v>
      </c>
      <c r="AE294" s="8">
        <f>+MINVU_Mes_Corriente!AE294*SALUD_Mes_Constante!$AC$1</f>
        <v>0</v>
      </c>
      <c r="AF294" s="8">
        <f>+MINVU_Mes_Corriente!AF294*SALUD_Mes_Constante!$AC$1</f>
        <v>0</v>
      </c>
      <c r="AG294" s="8">
        <f>+MINVU_Mes_Corriente!AG294*SALUD_Mes_Constante!$AC$1</f>
        <v>0</v>
      </c>
      <c r="AH294" s="8">
        <f>+MINVU_Mes_Corriente!AH294*SALUD_Mes_Constante!$AC$1</f>
        <v>0</v>
      </c>
      <c r="AI294" s="8">
        <f>+MINVU_Mes_Corriente!AI294*SALUD_Mes_Constante!$AC$1</f>
        <v>0</v>
      </c>
      <c r="AJ294" s="8">
        <f>+MINVU_Mes_Corriente!AJ294*SALUD_Mes_Constante!$AC$1</f>
        <v>0</v>
      </c>
      <c r="AK294" s="8">
        <f>+MINVU_Mes_Corriente!AK294*SALUD_Mes_Constante!$AC$1</f>
        <v>0</v>
      </c>
      <c r="AL294" s="8">
        <f>+MINVU_Mes_Corriente!AL294*SALUD_Mes_Constante!$AC$1</f>
        <v>0</v>
      </c>
      <c r="AM294" s="8">
        <f>+MINVU_Mes_Corriente!AM294*SALUD_Mes_Constante!$AC$1</f>
        <v>0</v>
      </c>
      <c r="AN294" s="8">
        <f>+MINVU_Mes_Corriente!AN294*SALUD_Mes_Constante!$AC$1</f>
        <v>0</v>
      </c>
      <c r="AO294" s="9">
        <f t="shared" si="135"/>
        <v>0</v>
      </c>
      <c r="AP294" s="8">
        <f>+MINVU_Mes_Corriente!AP294*SALUD_Mes_Constante!$AP$1</f>
        <v>0</v>
      </c>
      <c r="AQ294" s="8">
        <f>+MINVU_Mes_Corriente!AQ294*SALUD_Mes_Constante!$AP$1</f>
        <v>0</v>
      </c>
      <c r="AR294" s="8">
        <f>+MINVU_Mes_Corriente!AR294*SALUD_Mes_Constante!$AP$1</f>
        <v>0</v>
      </c>
      <c r="AS294" s="8">
        <f>+MINVU_Mes_Corriente!AS294*SALUD_Mes_Constante!$AP$1</f>
        <v>0</v>
      </c>
      <c r="AT294" s="8">
        <f>+MINVU_Mes_Corriente!AT294*SALUD_Mes_Constante!$AP$1</f>
        <v>0</v>
      </c>
      <c r="AU294" s="8">
        <f>+MINVU_Mes_Corriente!AU294*SALUD_Mes_Constante!$AP$1</f>
        <v>0</v>
      </c>
      <c r="AV294" s="8">
        <f>+MINVU_Mes_Corriente!AV294*SALUD_Mes_Constante!$AP$1</f>
        <v>0</v>
      </c>
      <c r="AW294" s="8">
        <f>+MINVU_Mes_Corriente!AW294*SALUD_Mes_Constante!$AP$1</f>
        <v>0</v>
      </c>
      <c r="AX294" s="8">
        <f>+MINVU_Mes_Corriente!AX294*SALUD_Mes_Constante!$AP$1</f>
        <v>0</v>
      </c>
      <c r="AY294" s="8">
        <f>+MINVU_Mes_Corriente!AY294*SALUD_Mes_Constante!$AP$1</f>
        <v>0</v>
      </c>
      <c r="AZ294" s="8">
        <f>+MINVU_Mes_Corriente!AZ294*SALUD_Mes_Constante!$AP$1</f>
        <v>0</v>
      </c>
      <c r="BA294" s="8">
        <f>+MINVU_Mes_Corriente!BA294*SALUD_Mes_Constante!$AP$1</f>
        <v>0</v>
      </c>
      <c r="BB294" s="9">
        <f t="shared" si="136"/>
        <v>0</v>
      </c>
      <c r="BC294" s="8">
        <f>+MINVU_Mes_Corriente!BC294*SALUD_Mes_Constante!$BC$1</f>
        <v>0</v>
      </c>
      <c r="BD294" s="8">
        <f>+MINVU_Mes_Corriente!BD294*SALUD_Mes_Constante!$BC$1</f>
        <v>0</v>
      </c>
      <c r="BE294" s="8">
        <f>+MINVU_Mes_Corriente!BE294*SALUD_Mes_Constante!$BC$1</f>
        <v>0</v>
      </c>
      <c r="BF294" s="8">
        <f>+MINVU_Mes_Corriente!BF294*SALUD_Mes_Constante!$BC$1</f>
        <v>0</v>
      </c>
      <c r="BG294" s="8">
        <f>+MINVU_Mes_Corriente!BG294*SALUD_Mes_Constante!$BC$1</f>
        <v>0</v>
      </c>
      <c r="BH294" s="8">
        <f>+MINVU_Mes_Corriente!BH294*SALUD_Mes_Constante!$BC$1</f>
        <v>0</v>
      </c>
      <c r="BI294" s="8">
        <f>+MINVU_Mes_Corriente!BI294*SALUD_Mes_Constante!$BC$1</f>
        <v>0</v>
      </c>
      <c r="BJ294" s="8">
        <f>+MINVU_Mes_Corriente!BJ294*SALUD_Mes_Constante!$BC$1</f>
        <v>0</v>
      </c>
      <c r="BK294" s="8">
        <f>+MINVU_Mes_Corriente!BK294*SALUD_Mes_Constante!$BC$1</f>
        <v>0</v>
      </c>
      <c r="BL294" s="8">
        <f>+MINVU_Mes_Corriente!BL294*SALUD_Mes_Constante!$BC$1</f>
        <v>0</v>
      </c>
      <c r="BM294" s="8">
        <f>+MINVU_Mes_Corriente!BM294*SALUD_Mes_Constante!$BC$1</f>
        <v>0</v>
      </c>
      <c r="BN294" s="8">
        <f>+MINVU_Mes_Corriente!BN294*SALUD_Mes_Constante!$BC$1</f>
        <v>0</v>
      </c>
      <c r="BO294" s="9">
        <f t="shared" si="137"/>
        <v>0</v>
      </c>
      <c r="BP294" s="8">
        <f>+MINVU_Mes_Corriente!BP294*SALUD_Mes_Constante!$BP$1</f>
        <v>0</v>
      </c>
      <c r="BQ294" s="8">
        <f>+MINVU_Mes_Corriente!BQ294*SALUD_Mes_Constante!$BP$1</f>
        <v>0</v>
      </c>
      <c r="BR294" s="8">
        <f>+MINVU_Mes_Corriente!BR294*SALUD_Mes_Constante!$BP$1</f>
        <v>0</v>
      </c>
      <c r="BS294" s="8">
        <f>+MINVU_Mes_Corriente!BS294*SALUD_Mes_Constante!$BP$1</f>
        <v>0</v>
      </c>
      <c r="BT294" s="8">
        <f>+MINVU_Mes_Corriente!BT294*SALUD_Mes_Constante!$BP$1</f>
        <v>0</v>
      </c>
      <c r="BU294" s="8">
        <f>+MINVU_Mes_Corriente!BU294*SALUD_Mes_Constante!$BP$1</f>
        <v>0</v>
      </c>
      <c r="BV294" s="8">
        <f>+MINVU_Mes_Corriente!BV294*SALUD_Mes_Constante!$BP$1</f>
        <v>0</v>
      </c>
      <c r="BW294" s="8">
        <f>+MINVU_Mes_Corriente!BW294*SALUD_Mes_Constante!$BP$1</f>
        <v>0</v>
      </c>
      <c r="BX294" s="8">
        <f>+MINVU_Mes_Corriente!BX294*SALUD_Mes_Constante!$BP$1</f>
        <v>0</v>
      </c>
      <c r="BY294" s="8">
        <f>+MINVU_Mes_Corriente!BY294*SALUD_Mes_Constante!$BP$1</f>
        <v>0</v>
      </c>
      <c r="BZ294" s="8">
        <f>+MINVU_Mes_Corriente!BZ294*SALUD_Mes_Constante!$BP$1</f>
        <v>0</v>
      </c>
      <c r="CA294" s="8">
        <f>+MINVU_Mes_Corriente!CA294*SALUD_Mes_Constante!$BP$1</f>
        <v>0</v>
      </c>
      <c r="CB294" s="9">
        <f t="shared" si="138"/>
        <v>0</v>
      </c>
      <c r="CC294" s="8">
        <f>+MINVU_Mes_Corriente!CC294*SALUD_Mes_Constante!$CC$1</f>
        <v>0</v>
      </c>
      <c r="CD294" s="8">
        <f>+MINVU_Mes_Corriente!CD294*SALUD_Mes_Constante!$CC$1</f>
        <v>0</v>
      </c>
      <c r="CE294" s="8">
        <f>+MINVU_Mes_Corriente!CE294*SALUD_Mes_Constante!$CC$1</f>
        <v>0</v>
      </c>
      <c r="CF294" s="8">
        <f>+MINVU_Mes_Corriente!CF294*SALUD_Mes_Constante!$CC$1</f>
        <v>0</v>
      </c>
      <c r="CG294" s="8">
        <f>+MINVU_Mes_Corriente!CG294*SALUD_Mes_Constante!$CC$1</f>
        <v>0</v>
      </c>
      <c r="CH294" s="8">
        <f>+MINVU_Mes_Corriente!CH294*SALUD_Mes_Constante!$CC$1</f>
        <v>0</v>
      </c>
      <c r="CI294" s="8">
        <f>+MINVU_Mes_Corriente!CI294*SALUD_Mes_Constante!$CC$1</f>
        <v>0</v>
      </c>
      <c r="CJ294" s="8">
        <f>+MINVU_Mes_Corriente!CJ294*SALUD_Mes_Constante!$CC$1</f>
        <v>0</v>
      </c>
      <c r="CK294" s="8">
        <f>+MINVU_Mes_Corriente!CK294*SALUD_Mes_Constante!$CC$1</f>
        <v>0</v>
      </c>
      <c r="CL294" s="8">
        <f>+MINVU_Mes_Corriente!CL294*SALUD_Mes_Constante!$CC$1</f>
        <v>0</v>
      </c>
      <c r="CM294" s="8">
        <f>+MINVU_Mes_Corriente!CM294*SALUD_Mes_Constante!$CC$1</f>
        <v>0</v>
      </c>
      <c r="CN294" s="8">
        <f>+MINVU_Mes_Corriente!CN294*SALUD_Mes_Constante!$CC$1</f>
        <v>0</v>
      </c>
      <c r="CO294" s="9">
        <f t="shared" si="139"/>
        <v>0</v>
      </c>
      <c r="CP294" s="8">
        <f>+MINVU_Mes_Corriente!CP294*SALUD_Mes_Constante!$CP$1</f>
        <v>0</v>
      </c>
      <c r="CQ294" s="8">
        <f>+MINVU_Mes_Corriente!CQ294*SALUD_Mes_Constante!$CP$1</f>
        <v>0</v>
      </c>
      <c r="CR294" s="8">
        <f>+MINVU_Mes_Corriente!CR294*SALUD_Mes_Constante!$CP$1</f>
        <v>0</v>
      </c>
      <c r="CS294" s="8">
        <f>+MINVU_Mes_Corriente!CS294*SALUD_Mes_Constante!$CP$1</f>
        <v>0</v>
      </c>
      <c r="CT294" s="8">
        <f>+MINVU_Mes_Corriente!CT294*SALUD_Mes_Constante!$CP$1</f>
        <v>0</v>
      </c>
      <c r="CU294" s="8">
        <f>+MINVU_Mes_Corriente!CU294*SALUD_Mes_Constante!$CP$1</f>
        <v>0</v>
      </c>
      <c r="CV294" s="8">
        <f>+MINVU_Mes_Corriente!CV294*SALUD_Mes_Constante!$CP$1</f>
        <v>0</v>
      </c>
      <c r="CW294" s="8">
        <f>+MINVU_Mes_Corriente!CW294*SALUD_Mes_Constante!$CP$1</f>
        <v>0</v>
      </c>
      <c r="CX294" s="8">
        <f>+MINVU_Mes_Corriente!CX294*SALUD_Mes_Constante!$CP$1</f>
        <v>0</v>
      </c>
      <c r="CY294" s="8">
        <f>+MINVU_Mes_Corriente!CY294*SALUD_Mes_Constante!$CP$1</f>
        <v>0</v>
      </c>
      <c r="CZ294" s="8">
        <f>+MINVU_Mes_Corriente!CZ294*SALUD_Mes_Constante!$CP$1</f>
        <v>0</v>
      </c>
      <c r="DA294" s="8">
        <f>+MINVU_Mes_Corriente!DA294*SALUD_Mes_Constante!$CP$1</f>
        <v>0</v>
      </c>
      <c r="DB294" s="9">
        <f t="shared" si="140"/>
        <v>0</v>
      </c>
      <c r="DC294" s="8">
        <f>+MINVU_Mes_Corriente!DC294*SALUD_Mes_Constante!$DC$1</f>
        <v>0</v>
      </c>
      <c r="DD294" s="8">
        <f>+MINVU_Mes_Corriente!DD294*SALUD_Mes_Constante!$DC$1</f>
        <v>0</v>
      </c>
      <c r="DE294" s="8">
        <f>+MINVU_Mes_Corriente!DE294*SALUD_Mes_Constante!$DC$1</f>
        <v>0</v>
      </c>
      <c r="DF294" s="8">
        <f>+MINVU_Mes_Corriente!DF294*SALUD_Mes_Constante!$DC$1</f>
        <v>0</v>
      </c>
      <c r="DG294" s="8">
        <f>+MINVU_Mes_Corriente!DG294*SALUD_Mes_Constante!$DC$1</f>
        <v>0</v>
      </c>
      <c r="DH294" s="8">
        <f>+MINVU_Mes_Corriente!DH294*SALUD_Mes_Constante!$DC$1</f>
        <v>0</v>
      </c>
      <c r="DI294" s="8">
        <f>+MINVU_Mes_Corriente!DI294*SALUD_Mes_Constante!$DC$1</f>
        <v>0</v>
      </c>
      <c r="DJ294" s="8">
        <f>+MINVU_Mes_Corriente!DJ294*SALUD_Mes_Constante!$DC$1</f>
        <v>0</v>
      </c>
      <c r="DK294" s="8">
        <f>+MINVU_Mes_Corriente!DK294*SALUD_Mes_Constante!$DC$1</f>
        <v>0</v>
      </c>
      <c r="DL294" s="8">
        <f>+MINVU_Mes_Corriente!DL294*SALUD_Mes_Constante!$DC$1</f>
        <v>0</v>
      </c>
      <c r="DM294" s="8">
        <f>+MINVU_Mes_Corriente!DM294*SALUD_Mes_Constante!$DC$1</f>
        <v>0</v>
      </c>
      <c r="DN294" s="8">
        <f>+MINVU_Mes_Corriente!DN294*SALUD_Mes_Constante!$DC$1</f>
        <v>0</v>
      </c>
      <c r="DO294" s="9">
        <f t="shared" si="141"/>
        <v>0</v>
      </c>
      <c r="DP294" s="8">
        <f>+MINVU_Mes_Corriente!DP294*SALUD_Mes_Constante!$DP$1</f>
        <v>0</v>
      </c>
      <c r="DQ294" s="8">
        <f>+MINVU_Mes_Corriente!DQ294*SALUD_Mes_Constante!$DP$1</f>
        <v>0</v>
      </c>
      <c r="DR294" s="8">
        <f>+MINVU_Mes_Corriente!DR294*SALUD_Mes_Constante!$DP$1</f>
        <v>0</v>
      </c>
      <c r="DS294" s="8">
        <f>+MINVU_Mes_Corriente!DS294*SALUD_Mes_Constante!$DP$1</f>
        <v>0</v>
      </c>
      <c r="DT294" s="8">
        <f>+MINVU_Mes_Corriente!DT294*SALUD_Mes_Constante!$DP$1</f>
        <v>0</v>
      </c>
      <c r="DU294" s="8">
        <f>+MINVU_Mes_Corriente!DU294*SALUD_Mes_Constante!$DP$1</f>
        <v>0</v>
      </c>
      <c r="DV294" s="8">
        <f>+MINVU_Mes_Corriente!DV294*SALUD_Mes_Constante!$DP$1</f>
        <v>0</v>
      </c>
      <c r="DW294" s="8">
        <f>+MINVU_Mes_Corriente!DW294*SALUD_Mes_Constante!$DP$1</f>
        <v>0</v>
      </c>
      <c r="DX294" s="8">
        <f>+MINVU_Mes_Corriente!DX294*SALUD_Mes_Constante!$DP$1</f>
        <v>0</v>
      </c>
      <c r="DY294" s="8">
        <f>+MINVU_Mes_Corriente!DY294*SALUD_Mes_Constante!$DP$1</f>
        <v>0</v>
      </c>
      <c r="DZ294" s="8">
        <f>+MINVU_Mes_Corriente!DZ294*SALUD_Mes_Constante!$DP$1</f>
        <v>0</v>
      </c>
      <c r="EA294" s="8">
        <f>+MINVU_Mes_Corriente!EA294*SALUD_Mes_Constante!$DP$1</f>
        <v>0</v>
      </c>
      <c r="EB294" s="9">
        <f t="shared" si="142"/>
        <v>0</v>
      </c>
      <c r="EC294" s="8">
        <f>+MINVU_Mes_Corriente!EC294*SALUD_Mes_Constante!$EC$1</f>
        <v>0</v>
      </c>
      <c r="ED294" s="8">
        <f>+MINVU_Mes_Corriente!ED294*SALUD_Mes_Constante!$EC$1</f>
        <v>0</v>
      </c>
      <c r="EE294" s="8">
        <f>+MINVU_Mes_Corriente!EE294*SALUD_Mes_Constante!$EC$1</f>
        <v>0</v>
      </c>
      <c r="EF294" s="8">
        <f>+MINVU_Mes_Corriente!EF294*SALUD_Mes_Constante!$EC$1</f>
        <v>0</v>
      </c>
      <c r="EG294" s="8">
        <f>+MINVU_Mes_Corriente!EG294*SALUD_Mes_Constante!$EC$1</f>
        <v>0</v>
      </c>
      <c r="EH294" s="8">
        <f>+MINVU_Mes_Corriente!EH294*SALUD_Mes_Constante!$EC$1</f>
        <v>0</v>
      </c>
      <c r="EI294" s="8">
        <f>+MINVU_Mes_Corriente!EI294*SALUD_Mes_Constante!$EC$1</f>
        <v>0</v>
      </c>
      <c r="EJ294" s="8">
        <f>+MINVU_Mes_Corriente!EJ294*SALUD_Mes_Constante!$EC$1</f>
        <v>0</v>
      </c>
      <c r="EK294" s="8">
        <f>+MINVU_Mes_Corriente!EK294*SALUD_Mes_Constante!$EC$1</f>
        <v>0</v>
      </c>
      <c r="EL294" s="8">
        <f>+MINVU_Mes_Corriente!EL294*SALUD_Mes_Constante!$EC$1</f>
        <v>0</v>
      </c>
      <c r="EM294" s="8">
        <f>+MINVU_Mes_Corriente!EM294*SALUD_Mes_Constante!$EC$1</f>
        <v>0</v>
      </c>
      <c r="EN294" s="8">
        <f>+MINVU_Mes_Corriente!EN294*SALUD_Mes_Constante!$EC$1</f>
        <v>0</v>
      </c>
      <c r="EO294" s="9">
        <f t="shared" si="143"/>
        <v>0</v>
      </c>
      <c r="EP294" s="8">
        <f>+MINVU_Mes_Corriente!EP294*SALUD_Mes_Constante!$EP$1</f>
        <v>0</v>
      </c>
      <c r="EQ294" s="8">
        <f>+MINVU_Mes_Corriente!EQ294*SALUD_Mes_Constante!$EP$1</f>
        <v>0</v>
      </c>
      <c r="ER294" s="8">
        <f>+MINVU_Mes_Corriente!ER294*SALUD_Mes_Constante!$EP$1</f>
        <v>0</v>
      </c>
      <c r="ES294" s="8">
        <f>+MINVU_Mes_Corriente!ES294*SALUD_Mes_Constante!$EP$1</f>
        <v>0</v>
      </c>
      <c r="ET294" s="8">
        <f>+MINVU_Mes_Corriente!ET294*SALUD_Mes_Constante!$EP$1</f>
        <v>0</v>
      </c>
      <c r="EU294" s="8">
        <f>+MINVU_Mes_Corriente!EU294*SALUD_Mes_Constante!$EP$1</f>
        <v>0</v>
      </c>
      <c r="EV294" s="8">
        <f>+MINVU_Mes_Corriente!EV294*SALUD_Mes_Constante!$EP$1</f>
        <v>0</v>
      </c>
      <c r="EW294" s="8">
        <f>+MINVU_Mes_Corriente!EW294*SALUD_Mes_Constante!$EP$1</f>
        <v>0</v>
      </c>
      <c r="EX294" s="8">
        <f>+MINVU_Mes_Corriente!EX294*SALUD_Mes_Constante!$EP$1</f>
        <v>0</v>
      </c>
      <c r="EY294" s="8">
        <f>+MINVU_Mes_Corriente!EY294*SALUD_Mes_Constante!$EP$1</f>
        <v>0</v>
      </c>
      <c r="EZ294" s="8">
        <f>+MINVU_Mes_Corriente!EZ294*SALUD_Mes_Constante!$EP$1</f>
        <v>0</v>
      </c>
      <c r="FA294" s="8">
        <f>+MINVU_Mes_Corriente!FA294*SALUD_Mes_Constante!$EP$1</f>
        <v>0</v>
      </c>
      <c r="FB294" s="9">
        <f t="shared" si="144"/>
        <v>0</v>
      </c>
      <c r="FC294" s="8">
        <f>+MINVU_Mes_Corriente!FC294*SALUD_Mes_Constante!$FC$1</f>
        <v>0</v>
      </c>
      <c r="FD294" s="8">
        <f>+MINVU_Mes_Corriente!FD294*SALUD_Mes_Constante!$FC$1</f>
        <v>0</v>
      </c>
      <c r="FE294" s="8">
        <f>+MINVU_Mes_Corriente!FE294*SALUD_Mes_Constante!$FC$1</f>
        <v>0</v>
      </c>
      <c r="FF294" s="8">
        <f>+MINVU_Mes_Corriente!FF294*SALUD_Mes_Constante!$FC$1</f>
        <v>0</v>
      </c>
      <c r="FG294" s="8">
        <f>+MINVU_Mes_Corriente!FG294*SALUD_Mes_Constante!$FC$1</f>
        <v>0</v>
      </c>
      <c r="FH294" s="8">
        <f>+MINVU_Mes_Corriente!FH294*SALUD_Mes_Constante!$FC$1</f>
        <v>0</v>
      </c>
      <c r="FI294" s="8">
        <f>+MINVU_Mes_Corriente!FI294*SALUD_Mes_Constante!$FC$1</f>
        <v>0</v>
      </c>
      <c r="FJ294" s="8"/>
      <c r="FK294" s="8"/>
      <c r="FL294" s="8"/>
      <c r="FM294" s="8"/>
      <c r="FN294" s="8"/>
      <c r="FO294" s="9">
        <f t="shared" si="145"/>
        <v>0</v>
      </c>
    </row>
    <row r="295" spans="2:171" ht="14.25" customHeight="1" x14ac:dyDescent="0.3">
      <c r="B295" s="7" t="s">
        <v>72</v>
      </c>
      <c r="C295" s="8">
        <f>+MINVU_Mes_Corriente!C295*SALUD_Mes_Constante!$C$1</f>
        <v>0</v>
      </c>
      <c r="D295" s="8">
        <f>+MINVU_Mes_Corriente!D295*SALUD_Mes_Constante!$C$1</f>
        <v>0</v>
      </c>
      <c r="E295" s="8">
        <f>+MINVU_Mes_Corriente!E295*SALUD_Mes_Constante!$C$1</f>
        <v>0</v>
      </c>
      <c r="F295" s="8">
        <f>+MINVU_Mes_Corriente!F295*SALUD_Mes_Constante!$C$1</f>
        <v>0</v>
      </c>
      <c r="G295" s="8">
        <f>+MINVU_Mes_Corriente!G295*SALUD_Mes_Constante!$C$1</f>
        <v>0</v>
      </c>
      <c r="H295" s="8">
        <f>+MINVU_Mes_Corriente!H295*SALUD_Mes_Constante!$C$1</f>
        <v>0</v>
      </c>
      <c r="I295" s="8">
        <f>+MINVU_Mes_Corriente!I295*SALUD_Mes_Constante!$C$1</f>
        <v>0</v>
      </c>
      <c r="J295" s="8">
        <f>+MINVU_Mes_Corriente!J295*SALUD_Mes_Constante!$C$1</f>
        <v>0</v>
      </c>
      <c r="K295" s="8">
        <f>+MINVU_Mes_Corriente!K295*SALUD_Mes_Constante!$C$1</f>
        <v>0</v>
      </c>
      <c r="L295" s="8">
        <f>+MINVU_Mes_Corriente!L295*SALUD_Mes_Constante!$C$1</f>
        <v>0</v>
      </c>
      <c r="M295" s="8">
        <f>+MINVU_Mes_Corriente!M295*SALUD_Mes_Constante!$C$1</f>
        <v>0</v>
      </c>
      <c r="N295" s="8">
        <f>+MINVU_Mes_Corriente!N295*SALUD_Mes_Constante!$C$1</f>
        <v>0</v>
      </c>
      <c r="O295" s="9">
        <f t="shared" si="133"/>
        <v>0</v>
      </c>
      <c r="P295" s="8">
        <f>+MINVU_Mes_Corriente!P295*SALUD_Mes_Constante!$P$1</f>
        <v>0</v>
      </c>
      <c r="Q295" s="8">
        <f>+MINVU_Mes_Corriente!Q295*SALUD_Mes_Constante!$P$1</f>
        <v>0</v>
      </c>
      <c r="R295" s="8">
        <f>+MINVU_Mes_Corriente!R295*SALUD_Mes_Constante!$P$1</f>
        <v>0</v>
      </c>
      <c r="S295" s="8">
        <f>+MINVU_Mes_Corriente!S295*SALUD_Mes_Constante!$P$1</f>
        <v>0</v>
      </c>
      <c r="T295" s="8">
        <f>+MINVU_Mes_Corriente!T295*SALUD_Mes_Constante!$P$1</f>
        <v>0</v>
      </c>
      <c r="U295" s="8">
        <f>+MINVU_Mes_Corriente!U295*SALUD_Mes_Constante!$P$1</f>
        <v>0</v>
      </c>
      <c r="V295" s="8">
        <f>+MINVU_Mes_Corriente!V295*SALUD_Mes_Constante!$P$1</f>
        <v>0</v>
      </c>
      <c r="W295" s="8">
        <f>+MINVU_Mes_Corriente!W295*SALUD_Mes_Constante!$P$1</f>
        <v>0</v>
      </c>
      <c r="X295" s="8">
        <f>+MINVU_Mes_Corriente!X295*SALUD_Mes_Constante!$P$1</f>
        <v>0</v>
      </c>
      <c r="Y295" s="8">
        <f>+MINVU_Mes_Corriente!Y295*SALUD_Mes_Constante!$P$1</f>
        <v>0</v>
      </c>
      <c r="Z295" s="8">
        <f>+MINVU_Mes_Corriente!Z295*SALUD_Mes_Constante!$P$1</f>
        <v>0</v>
      </c>
      <c r="AA295" s="8">
        <f>+MINVU_Mes_Corriente!AA295*SALUD_Mes_Constante!$P$1</f>
        <v>0</v>
      </c>
      <c r="AB295" s="9">
        <f t="shared" si="134"/>
        <v>0</v>
      </c>
      <c r="AC295" s="8">
        <f>+MINVU_Mes_Corriente!AC295*SALUD_Mes_Constante!$AC$1</f>
        <v>0</v>
      </c>
      <c r="AD295" s="8">
        <f>+MINVU_Mes_Corriente!AD295*SALUD_Mes_Constante!$AC$1</f>
        <v>0</v>
      </c>
      <c r="AE295" s="8">
        <f>+MINVU_Mes_Corriente!AE295*SALUD_Mes_Constante!$AC$1</f>
        <v>0</v>
      </c>
      <c r="AF295" s="8">
        <f>+MINVU_Mes_Corriente!AF295*SALUD_Mes_Constante!$AC$1</f>
        <v>0</v>
      </c>
      <c r="AG295" s="8">
        <f>+MINVU_Mes_Corriente!AG295*SALUD_Mes_Constante!$AC$1</f>
        <v>0</v>
      </c>
      <c r="AH295" s="8">
        <f>+MINVU_Mes_Corriente!AH295*SALUD_Mes_Constante!$AC$1</f>
        <v>0</v>
      </c>
      <c r="AI295" s="8">
        <f>+MINVU_Mes_Corriente!AI295*SALUD_Mes_Constante!$AC$1</f>
        <v>0</v>
      </c>
      <c r="AJ295" s="8">
        <f>+MINVU_Mes_Corriente!AJ295*SALUD_Mes_Constante!$AC$1</f>
        <v>0</v>
      </c>
      <c r="AK295" s="8">
        <f>+MINVU_Mes_Corriente!AK295*SALUD_Mes_Constante!$AC$1</f>
        <v>0</v>
      </c>
      <c r="AL295" s="8">
        <f>+MINVU_Mes_Corriente!AL295*SALUD_Mes_Constante!$AC$1</f>
        <v>0</v>
      </c>
      <c r="AM295" s="8">
        <f>+MINVU_Mes_Corriente!AM295*SALUD_Mes_Constante!$AC$1</f>
        <v>0</v>
      </c>
      <c r="AN295" s="8">
        <f>+MINVU_Mes_Corriente!AN295*SALUD_Mes_Constante!$AC$1</f>
        <v>0</v>
      </c>
      <c r="AO295" s="9">
        <f t="shared" si="135"/>
        <v>0</v>
      </c>
      <c r="AP295" s="8">
        <f>+MINVU_Mes_Corriente!AP295*SALUD_Mes_Constante!$AP$1</f>
        <v>0</v>
      </c>
      <c r="AQ295" s="8">
        <f>+MINVU_Mes_Corriente!AQ295*SALUD_Mes_Constante!$AP$1</f>
        <v>0</v>
      </c>
      <c r="AR295" s="8">
        <f>+MINVU_Mes_Corriente!AR295*SALUD_Mes_Constante!$AP$1</f>
        <v>0</v>
      </c>
      <c r="AS295" s="8">
        <f>+MINVU_Mes_Corriente!AS295*SALUD_Mes_Constante!$AP$1</f>
        <v>0</v>
      </c>
      <c r="AT295" s="8">
        <f>+MINVU_Mes_Corriente!AT295*SALUD_Mes_Constante!$AP$1</f>
        <v>0</v>
      </c>
      <c r="AU295" s="8">
        <f>+MINVU_Mes_Corriente!AU295*SALUD_Mes_Constante!$AP$1</f>
        <v>0</v>
      </c>
      <c r="AV295" s="8">
        <f>+MINVU_Mes_Corriente!AV295*SALUD_Mes_Constante!$AP$1</f>
        <v>0</v>
      </c>
      <c r="AW295" s="8">
        <f>+MINVU_Mes_Corriente!AW295*SALUD_Mes_Constante!$AP$1</f>
        <v>0</v>
      </c>
      <c r="AX295" s="8">
        <f>+MINVU_Mes_Corriente!AX295*SALUD_Mes_Constante!$AP$1</f>
        <v>0</v>
      </c>
      <c r="AY295" s="8">
        <f>+MINVU_Mes_Corriente!AY295*SALUD_Mes_Constante!$AP$1</f>
        <v>0</v>
      </c>
      <c r="AZ295" s="8">
        <f>+MINVU_Mes_Corriente!AZ295*SALUD_Mes_Constante!$AP$1</f>
        <v>0</v>
      </c>
      <c r="BA295" s="8">
        <f>+MINVU_Mes_Corriente!BA295*SALUD_Mes_Constante!$AP$1</f>
        <v>0</v>
      </c>
      <c r="BB295" s="9">
        <f t="shared" si="136"/>
        <v>0</v>
      </c>
      <c r="BC295" s="8">
        <f>+MINVU_Mes_Corriente!BC295*SALUD_Mes_Constante!$BC$1</f>
        <v>0</v>
      </c>
      <c r="BD295" s="8">
        <f>+MINVU_Mes_Corriente!BD295*SALUD_Mes_Constante!$BC$1</f>
        <v>0</v>
      </c>
      <c r="BE295" s="8">
        <f>+MINVU_Mes_Corriente!BE295*SALUD_Mes_Constante!$BC$1</f>
        <v>0</v>
      </c>
      <c r="BF295" s="8">
        <f>+MINVU_Mes_Corriente!BF295*SALUD_Mes_Constante!$BC$1</f>
        <v>0</v>
      </c>
      <c r="BG295" s="8">
        <f>+MINVU_Mes_Corriente!BG295*SALUD_Mes_Constante!$BC$1</f>
        <v>0</v>
      </c>
      <c r="BH295" s="8">
        <f>+MINVU_Mes_Corriente!BH295*SALUD_Mes_Constante!$BC$1</f>
        <v>0</v>
      </c>
      <c r="BI295" s="8">
        <f>+MINVU_Mes_Corriente!BI295*SALUD_Mes_Constante!$BC$1</f>
        <v>0</v>
      </c>
      <c r="BJ295" s="8">
        <f>+MINVU_Mes_Corriente!BJ295*SALUD_Mes_Constante!$BC$1</f>
        <v>0</v>
      </c>
      <c r="BK295" s="8">
        <f>+MINVU_Mes_Corriente!BK295*SALUD_Mes_Constante!$BC$1</f>
        <v>0</v>
      </c>
      <c r="BL295" s="8">
        <f>+MINVU_Mes_Corriente!BL295*SALUD_Mes_Constante!$BC$1</f>
        <v>0</v>
      </c>
      <c r="BM295" s="8">
        <f>+MINVU_Mes_Corriente!BM295*SALUD_Mes_Constante!$BC$1</f>
        <v>0</v>
      </c>
      <c r="BN295" s="8">
        <f>+MINVU_Mes_Corriente!BN295*SALUD_Mes_Constante!$BC$1</f>
        <v>0</v>
      </c>
      <c r="BO295" s="9">
        <f t="shared" si="137"/>
        <v>0</v>
      </c>
      <c r="BP295" s="8">
        <f>+MINVU_Mes_Corriente!BP295*SALUD_Mes_Constante!$BP$1</f>
        <v>0</v>
      </c>
      <c r="BQ295" s="8">
        <f>+MINVU_Mes_Corriente!BQ295*SALUD_Mes_Constante!$BP$1</f>
        <v>0</v>
      </c>
      <c r="BR295" s="8">
        <f>+MINVU_Mes_Corriente!BR295*SALUD_Mes_Constante!$BP$1</f>
        <v>0</v>
      </c>
      <c r="BS295" s="8">
        <f>+MINVU_Mes_Corriente!BS295*SALUD_Mes_Constante!$BP$1</f>
        <v>0</v>
      </c>
      <c r="BT295" s="8">
        <f>+MINVU_Mes_Corriente!BT295*SALUD_Mes_Constante!$BP$1</f>
        <v>0</v>
      </c>
      <c r="BU295" s="8">
        <f>+MINVU_Mes_Corriente!BU295*SALUD_Mes_Constante!$BP$1</f>
        <v>0</v>
      </c>
      <c r="BV295" s="8">
        <f>+MINVU_Mes_Corriente!BV295*SALUD_Mes_Constante!$BP$1</f>
        <v>0</v>
      </c>
      <c r="BW295" s="8">
        <f>+MINVU_Mes_Corriente!BW295*SALUD_Mes_Constante!$BP$1</f>
        <v>0</v>
      </c>
      <c r="BX295" s="8">
        <f>+MINVU_Mes_Corriente!BX295*SALUD_Mes_Constante!$BP$1</f>
        <v>0</v>
      </c>
      <c r="BY295" s="8">
        <f>+MINVU_Mes_Corriente!BY295*SALUD_Mes_Constante!$BP$1</f>
        <v>0</v>
      </c>
      <c r="BZ295" s="8">
        <f>+MINVU_Mes_Corriente!BZ295*SALUD_Mes_Constante!$BP$1</f>
        <v>0</v>
      </c>
      <c r="CA295" s="8">
        <f>+MINVU_Mes_Corriente!CA295*SALUD_Mes_Constante!$BP$1</f>
        <v>0</v>
      </c>
      <c r="CB295" s="9">
        <f t="shared" si="138"/>
        <v>0</v>
      </c>
      <c r="CC295" s="8">
        <f>+MINVU_Mes_Corriente!CC295*SALUD_Mes_Constante!$CC$1</f>
        <v>0</v>
      </c>
      <c r="CD295" s="8">
        <f>+MINVU_Mes_Corriente!CD295*SALUD_Mes_Constante!$CC$1</f>
        <v>0</v>
      </c>
      <c r="CE295" s="8">
        <f>+MINVU_Mes_Corriente!CE295*SALUD_Mes_Constante!$CC$1</f>
        <v>0</v>
      </c>
      <c r="CF295" s="8">
        <f>+MINVU_Mes_Corriente!CF295*SALUD_Mes_Constante!$CC$1</f>
        <v>0</v>
      </c>
      <c r="CG295" s="8">
        <f>+MINVU_Mes_Corriente!CG295*SALUD_Mes_Constante!$CC$1</f>
        <v>0</v>
      </c>
      <c r="CH295" s="8">
        <f>+MINVU_Mes_Corriente!CH295*SALUD_Mes_Constante!$CC$1</f>
        <v>0</v>
      </c>
      <c r="CI295" s="8">
        <f>+MINVU_Mes_Corriente!CI295*SALUD_Mes_Constante!$CC$1</f>
        <v>0</v>
      </c>
      <c r="CJ295" s="8">
        <f>+MINVU_Mes_Corriente!CJ295*SALUD_Mes_Constante!$CC$1</f>
        <v>0</v>
      </c>
      <c r="CK295" s="8">
        <f>+MINVU_Mes_Corriente!CK295*SALUD_Mes_Constante!$CC$1</f>
        <v>0</v>
      </c>
      <c r="CL295" s="8">
        <f>+MINVU_Mes_Corriente!CL295*SALUD_Mes_Constante!$CC$1</f>
        <v>0</v>
      </c>
      <c r="CM295" s="8">
        <f>+MINVU_Mes_Corriente!CM295*SALUD_Mes_Constante!$CC$1</f>
        <v>0</v>
      </c>
      <c r="CN295" s="8">
        <f>+MINVU_Mes_Corriente!CN295*SALUD_Mes_Constante!$CC$1</f>
        <v>0</v>
      </c>
      <c r="CO295" s="9">
        <f t="shared" si="139"/>
        <v>0</v>
      </c>
      <c r="CP295" s="8">
        <f>+MINVU_Mes_Corriente!CP295*SALUD_Mes_Constante!$CP$1</f>
        <v>0</v>
      </c>
      <c r="CQ295" s="8">
        <f>+MINVU_Mes_Corriente!CQ295*SALUD_Mes_Constante!$CP$1</f>
        <v>0</v>
      </c>
      <c r="CR295" s="8">
        <f>+MINVU_Mes_Corriente!CR295*SALUD_Mes_Constante!$CP$1</f>
        <v>0</v>
      </c>
      <c r="CS295" s="8">
        <f>+MINVU_Mes_Corriente!CS295*SALUD_Mes_Constante!$CP$1</f>
        <v>0</v>
      </c>
      <c r="CT295" s="8">
        <f>+MINVU_Mes_Corriente!CT295*SALUD_Mes_Constante!$CP$1</f>
        <v>0</v>
      </c>
      <c r="CU295" s="8">
        <f>+MINVU_Mes_Corriente!CU295*SALUD_Mes_Constante!$CP$1</f>
        <v>0</v>
      </c>
      <c r="CV295" s="8">
        <f>+MINVU_Mes_Corriente!CV295*SALUD_Mes_Constante!$CP$1</f>
        <v>0</v>
      </c>
      <c r="CW295" s="8">
        <f>+MINVU_Mes_Corriente!CW295*SALUD_Mes_Constante!$CP$1</f>
        <v>0</v>
      </c>
      <c r="CX295" s="8">
        <f>+MINVU_Mes_Corriente!CX295*SALUD_Mes_Constante!$CP$1</f>
        <v>0</v>
      </c>
      <c r="CY295" s="8">
        <f>+MINVU_Mes_Corriente!CY295*SALUD_Mes_Constante!$CP$1</f>
        <v>0</v>
      </c>
      <c r="CZ295" s="8">
        <f>+MINVU_Mes_Corriente!CZ295*SALUD_Mes_Constante!$CP$1</f>
        <v>0</v>
      </c>
      <c r="DA295" s="8">
        <f>+MINVU_Mes_Corriente!DA295*SALUD_Mes_Constante!$CP$1</f>
        <v>0</v>
      </c>
      <c r="DB295" s="9">
        <f t="shared" si="140"/>
        <v>0</v>
      </c>
      <c r="DC295" s="8">
        <f>+MINVU_Mes_Corriente!DC295*SALUD_Mes_Constante!$DC$1</f>
        <v>0</v>
      </c>
      <c r="DD295" s="8">
        <f>+MINVU_Mes_Corriente!DD295*SALUD_Mes_Constante!$DC$1</f>
        <v>0</v>
      </c>
      <c r="DE295" s="8">
        <f>+MINVU_Mes_Corriente!DE295*SALUD_Mes_Constante!$DC$1</f>
        <v>0</v>
      </c>
      <c r="DF295" s="8">
        <f>+MINVU_Mes_Corriente!DF295*SALUD_Mes_Constante!$DC$1</f>
        <v>0</v>
      </c>
      <c r="DG295" s="8">
        <f>+MINVU_Mes_Corriente!DG295*SALUD_Mes_Constante!$DC$1</f>
        <v>0</v>
      </c>
      <c r="DH295" s="8">
        <f>+MINVU_Mes_Corriente!DH295*SALUD_Mes_Constante!$DC$1</f>
        <v>0</v>
      </c>
      <c r="DI295" s="8">
        <f>+MINVU_Mes_Corriente!DI295*SALUD_Mes_Constante!$DC$1</f>
        <v>0</v>
      </c>
      <c r="DJ295" s="8">
        <f>+MINVU_Mes_Corriente!DJ295*SALUD_Mes_Constante!$DC$1</f>
        <v>0</v>
      </c>
      <c r="DK295" s="8">
        <f>+MINVU_Mes_Corriente!DK295*SALUD_Mes_Constante!$DC$1</f>
        <v>0</v>
      </c>
      <c r="DL295" s="8">
        <f>+MINVU_Mes_Corriente!DL295*SALUD_Mes_Constante!$DC$1</f>
        <v>0</v>
      </c>
      <c r="DM295" s="8">
        <f>+MINVU_Mes_Corriente!DM295*SALUD_Mes_Constante!$DC$1</f>
        <v>0</v>
      </c>
      <c r="DN295" s="8">
        <f>+MINVU_Mes_Corriente!DN295*SALUD_Mes_Constante!$DC$1</f>
        <v>0</v>
      </c>
      <c r="DO295" s="9">
        <f t="shared" si="141"/>
        <v>0</v>
      </c>
      <c r="DP295" s="8">
        <f>+MINVU_Mes_Corriente!DP295*SALUD_Mes_Constante!$DP$1</f>
        <v>0</v>
      </c>
      <c r="DQ295" s="8">
        <f>+MINVU_Mes_Corriente!DQ295*SALUD_Mes_Constante!$DP$1</f>
        <v>0</v>
      </c>
      <c r="DR295" s="8">
        <f>+MINVU_Mes_Corriente!DR295*SALUD_Mes_Constante!$DP$1</f>
        <v>0</v>
      </c>
      <c r="DS295" s="8">
        <f>+MINVU_Mes_Corriente!DS295*SALUD_Mes_Constante!$DP$1</f>
        <v>0</v>
      </c>
      <c r="DT295" s="8">
        <f>+MINVU_Mes_Corriente!DT295*SALUD_Mes_Constante!$DP$1</f>
        <v>0</v>
      </c>
      <c r="DU295" s="8">
        <f>+MINVU_Mes_Corriente!DU295*SALUD_Mes_Constante!$DP$1</f>
        <v>0</v>
      </c>
      <c r="DV295" s="8">
        <f>+MINVU_Mes_Corriente!DV295*SALUD_Mes_Constante!$DP$1</f>
        <v>0</v>
      </c>
      <c r="DW295" s="8">
        <f>+MINVU_Mes_Corriente!DW295*SALUD_Mes_Constante!$DP$1</f>
        <v>0</v>
      </c>
      <c r="DX295" s="8">
        <f>+MINVU_Mes_Corriente!DX295*SALUD_Mes_Constante!$DP$1</f>
        <v>0</v>
      </c>
      <c r="DY295" s="8">
        <f>+MINVU_Mes_Corriente!DY295*SALUD_Mes_Constante!$DP$1</f>
        <v>0</v>
      </c>
      <c r="DZ295" s="8">
        <f>+MINVU_Mes_Corriente!DZ295*SALUD_Mes_Constante!$DP$1</f>
        <v>0</v>
      </c>
      <c r="EA295" s="8">
        <f>+MINVU_Mes_Corriente!EA295*SALUD_Mes_Constante!$DP$1</f>
        <v>0</v>
      </c>
      <c r="EB295" s="9">
        <f t="shared" si="142"/>
        <v>0</v>
      </c>
      <c r="EC295" s="8">
        <f>+MINVU_Mes_Corriente!EC295*SALUD_Mes_Constante!$EC$1</f>
        <v>0</v>
      </c>
      <c r="ED295" s="8">
        <f>+MINVU_Mes_Corriente!ED295*SALUD_Mes_Constante!$EC$1</f>
        <v>0</v>
      </c>
      <c r="EE295" s="8">
        <f>+MINVU_Mes_Corriente!EE295*SALUD_Mes_Constante!$EC$1</f>
        <v>0</v>
      </c>
      <c r="EF295" s="8">
        <f>+MINVU_Mes_Corriente!EF295*SALUD_Mes_Constante!$EC$1</f>
        <v>0</v>
      </c>
      <c r="EG295" s="8">
        <f>+MINVU_Mes_Corriente!EG295*SALUD_Mes_Constante!$EC$1</f>
        <v>0</v>
      </c>
      <c r="EH295" s="8">
        <f>+MINVU_Mes_Corriente!EH295*SALUD_Mes_Constante!$EC$1</f>
        <v>0</v>
      </c>
      <c r="EI295" s="8">
        <f>+MINVU_Mes_Corriente!EI295*SALUD_Mes_Constante!$EC$1</f>
        <v>0</v>
      </c>
      <c r="EJ295" s="8">
        <f>+MINVU_Mes_Corriente!EJ295*SALUD_Mes_Constante!$EC$1</f>
        <v>0</v>
      </c>
      <c r="EK295" s="8">
        <f>+MINVU_Mes_Corriente!EK295*SALUD_Mes_Constante!$EC$1</f>
        <v>0</v>
      </c>
      <c r="EL295" s="8">
        <f>+MINVU_Mes_Corriente!EL295*SALUD_Mes_Constante!$EC$1</f>
        <v>0</v>
      </c>
      <c r="EM295" s="8">
        <f>+MINVU_Mes_Corriente!EM295*SALUD_Mes_Constante!$EC$1</f>
        <v>0</v>
      </c>
      <c r="EN295" s="8">
        <f>+MINVU_Mes_Corriente!EN295*SALUD_Mes_Constante!$EC$1</f>
        <v>0</v>
      </c>
      <c r="EO295" s="9">
        <f t="shared" si="143"/>
        <v>0</v>
      </c>
      <c r="EP295" s="8">
        <f>+MINVU_Mes_Corriente!EP295*SALUD_Mes_Constante!$EP$1</f>
        <v>0</v>
      </c>
      <c r="EQ295" s="8">
        <f>+MINVU_Mes_Corriente!EQ295*SALUD_Mes_Constante!$EP$1</f>
        <v>0</v>
      </c>
      <c r="ER295" s="8">
        <f>+MINVU_Mes_Corriente!ER295*SALUD_Mes_Constante!$EP$1</f>
        <v>0</v>
      </c>
      <c r="ES295" s="8">
        <f>+MINVU_Mes_Corriente!ES295*SALUD_Mes_Constante!$EP$1</f>
        <v>0</v>
      </c>
      <c r="ET295" s="8">
        <f>+MINVU_Mes_Corriente!ET295*SALUD_Mes_Constante!$EP$1</f>
        <v>0</v>
      </c>
      <c r="EU295" s="8">
        <f>+MINVU_Mes_Corriente!EU295*SALUD_Mes_Constante!$EP$1</f>
        <v>0</v>
      </c>
      <c r="EV295" s="8">
        <f>+MINVU_Mes_Corriente!EV295*SALUD_Mes_Constante!$EP$1</f>
        <v>0</v>
      </c>
      <c r="EW295" s="8">
        <f>+MINVU_Mes_Corriente!EW295*SALUD_Mes_Constante!$EP$1</f>
        <v>0</v>
      </c>
      <c r="EX295" s="8">
        <f>+MINVU_Mes_Corriente!EX295*SALUD_Mes_Constante!$EP$1</f>
        <v>0</v>
      </c>
      <c r="EY295" s="8">
        <f>+MINVU_Mes_Corriente!EY295*SALUD_Mes_Constante!$EP$1</f>
        <v>0</v>
      </c>
      <c r="EZ295" s="8">
        <f>+MINVU_Mes_Corriente!EZ295*SALUD_Mes_Constante!$EP$1</f>
        <v>0</v>
      </c>
      <c r="FA295" s="8">
        <f>+MINVU_Mes_Corriente!FA295*SALUD_Mes_Constante!$EP$1</f>
        <v>0</v>
      </c>
      <c r="FB295" s="9">
        <f t="shared" si="144"/>
        <v>0</v>
      </c>
      <c r="FC295" s="8">
        <f>+MINVU_Mes_Corriente!FC295*SALUD_Mes_Constante!$FC$1</f>
        <v>0</v>
      </c>
      <c r="FD295" s="8">
        <f>+MINVU_Mes_Corriente!FD295*SALUD_Mes_Constante!$FC$1</f>
        <v>0</v>
      </c>
      <c r="FE295" s="8">
        <f>+MINVU_Mes_Corriente!FE295*SALUD_Mes_Constante!$FC$1</f>
        <v>0</v>
      </c>
      <c r="FF295" s="8">
        <f>+MINVU_Mes_Corriente!FF295*SALUD_Mes_Constante!$FC$1</f>
        <v>0</v>
      </c>
      <c r="FG295" s="8">
        <f>+MINVU_Mes_Corriente!FG295*SALUD_Mes_Constante!$FC$1</f>
        <v>0</v>
      </c>
      <c r="FH295" s="8">
        <f>+MINVU_Mes_Corriente!FH295*SALUD_Mes_Constante!$FC$1</f>
        <v>0</v>
      </c>
      <c r="FI295" s="8">
        <f>+MINVU_Mes_Corriente!FI295*SALUD_Mes_Constante!$FC$1</f>
        <v>0</v>
      </c>
      <c r="FJ295" s="8"/>
      <c r="FK295" s="8"/>
      <c r="FL295" s="8"/>
      <c r="FM295" s="8"/>
      <c r="FN295" s="8"/>
      <c r="FO295" s="9">
        <f t="shared" si="145"/>
        <v>0</v>
      </c>
    </row>
    <row r="296" spans="2:171" ht="14.25" customHeight="1" x14ac:dyDescent="0.3">
      <c r="B296" s="7" t="s">
        <v>73</v>
      </c>
      <c r="C296" s="8">
        <f>+MINVU_Mes_Corriente!C296*SALUD_Mes_Constante!$C$1</f>
        <v>0</v>
      </c>
      <c r="D296" s="8">
        <f>+MINVU_Mes_Corriente!D296*SALUD_Mes_Constante!$C$1</f>
        <v>0</v>
      </c>
      <c r="E296" s="8">
        <f>+MINVU_Mes_Corriente!E296*SALUD_Mes_Constante!$C$1</f>
        <v>0</v>
      </c>
      <c r="F296" s="8">
        <f>+MINVU_Mes_Corriente!F296*SALUD_Mes_Constante!$C$1</f>
        <v>0</v>
      </c>
      <c r="G296" s="8">
        <f>+MINVU_Mes_Corriente!G296*SALUD_Mes_Constante!$C$1</f>
        <v>0</v>
      </c>
      <c r="H296" s="8">
        <f>+MINVU_Mes_Corriente!H296*SALUD_Mes_Constante!$C$1</f>
        <v>0</v>
      </c>
      <c r="I296" s="8">
        <f>+MINVU_Mes_Corriente!I296*SALUD_Mes_Constante!$C$1</f>
        <v>0</v>
      </c>
      <c r="J296" s="8">
        <f>+MINVU_Mes_Corriente!J296*SALUD_Mes_Constante!$C$1</f>
        <v>0</v>
      </c>
      <c r="K296" s="8">
        <f>+MINVU_Mes_Corriente!K296*SALUD_Mes_Constante!$C$1</f>
        <v>0</v>
      </c>
      <c r="L296" s="8">
        <f>+MINVU_Mes_Corriente!L296*SALUD_Mes_Constante!$C$1</f>
        <v>0</v>
      </c>
      <c r="M296" s="8">
        <f>+MINVU_Mes_Corriente!M296*SALUD_Mes_Constante!$C$1</f>
        <v>0</v>
      </c>
      <c r="N296" s="8">
        <f>+MINVU_Mes_Corriente!N296*SALUD_Mes_Constante!$C$1</f>
        <v>0</v>
      </c>
      <c r="O296" s="9">
        <f t="shared" si="133"/>
        <v>0</v>
      </c>
      <c r="P296" s="8">
        <f>+MINVU_Mes_Corriente!P296*SALUD_Mes_Constante!$P$1</f>
        <v>0</v>
      </c>
      <c r="Q296" s="8">
        <f>+MINVU_Mes_Corriente!Q296*SALUD_Mes_Constante!$P$1</f>
        <v>0</v>
      </c>
      <c r="R296" s="8">
        <f>+MINVU_Mes_Corriente!R296*SALUD_Mes_Constante!$P$1</f>
        <v>0</v>
      </c>
      <c r="S296" s="8">
        <f>+MINVU_Mes_Corriente!S296*SALUD_Mes_Constante!$P$1</f>
        <v>0</v>
      </c>
      <c r="T296" s="8">
        <f>+MINVU_Mes_Corriente!T296*SALUD_Mes_Constante!$P$1</f>
        <v>0</v>
      </c>
      <c r="U296" s="8">
        <f>+MINVU_Mes_Corriente!U296*SALUD_Mes_Constante!$P$1</f>
        <v>0</v>
      </c>
      <c r="V296" s="8">
        <f>+MINVU_Mes_Corriente!V296*SALUD_Mes_Constante!$P$1</f>
        <v>0</v>
      </c>
      <c r="W296" s="8">
        <f>+MINVU_Mes_Corriente!W296*SALUD_Mes_Constante!$P$1</f>
        <v>0</v>
      </c>
      <c r="X296" s="8">
        <f>+MINVU_Mes_Corriente!X296*SALUD_Mes_Constante!$P$1</f>
        <v>0</v>
      </c>
      <c r="Y296" s="8">
        <f>+MINVU_Mes_Corriente!Y296*SALUD_Mes_Constante!$P$1</f>
        <v>0</v>
      </c>
      <c r="Z296" s="8">
        <f>+MINVU_Mes_Corriente!Z296*SALUD_Mes_Constante!$P$1</f>
        <v>0</v>
      </c>
      <c r="AA296" s="8">
        <f>+MINVU_Mes_Corriente!AA296*SALUD_Mes_Constante!$P$1</f>
        <v>0</v>
      </c>
      <c r="AB296" s="9">
        <f t="shared" si="134"/>
        <v>0</v>
      </c>
      <c r="AC296" s="8">
        <f>+MINVU_Mes_Corriente!AC296*SALUD_Mes_Constante!$AC$1</f>
        <v>0</v>
      </c>
      <c r="AD296" s="8">
        <f>+MINVU_Mes_Corriente!AD296*SALUD_Mes_Constante!$AC$1</f>
        <v>0</v>
      </c>
      <c r="AE296" s="8">
        <f>+MINVU_Mes_Corriente!AE296*SALUD_Mes_Constante!$AC$1</f>
        <v>0</v>
      </c>
      <c r="AF296" s="8">
        <f>+MINVU_Mes_Corriente!AF296*SALUD_Mes_Constante!$AC$1</f>
        <v>0</v>
      </c>
      <c r="AG296" s="8">
        <f>+MINVU_Mes_Corriente!AG296*SALUD_Mes_Constante!$AC$1</f>
        <v>0</v>
      </c>
      <c r="AH296" s="8">
        <f>+MINVU_Mes_Corriente!AH296*SALUD_Mes_Constante!$AC$1</f>
        <v>0</v>
      </c>
      <c r="AI296" s="8">
        <f>+MINVU_Mes_Corriente!AI296*SALUD_Mes_Constante!$AC$1</f>
        <v>0</v>
      </c>
      <c r="AJ296" s="8">
        <f>+MINVU_Mes_Corriente!AJ296*SALUD_Mes_Constante!$AC$1</f>
        <v>0</v>
      </c>
      <c r="AK296" s="8">
        <f>+MINVU_Mes_Corriente!AK296*SALUD_Mes_Constante!$AC$1</f>
        <v>0</v>
      </c>
      <c r="AL296" s="8">
        <f>+MINVU_Mes_Corriente!AL296*SALUD_Mes_Constante!$AC$1</f>
        <v>0</v>
      </c>
      <c r="AM296" s="8">
        <f>+MINVU_Mes_Corriente!AM296*SALUD_Mes_Constante!$AC$1</f>
        <v>0</v>
      </c>
      <c r="AN296" s="8">
        <f>+MINVU_Mes_Corriente!AN296*SALUD_Mes_Constante!$AC$1</f>
        <v>0</v>
      </c>
      <c r="AO296" s="9">
        <f t="shared" si="135"/>
        <v>0</v>
      </c>
      <c r="AP296" s="8">
        <f>+MINVU_Mes_Corriente!AP296*SALUD_Mes_Constante!$AP$1</f>
        <v>0</v>
      </c>
      <c r="AQ296" s="8">
        <f>+MINVU_Mes_Corriente!AQ296*SALUD_Mes_Constante!$AP$1</f>
        <v>0</v>
      </c>
      <c r="AR296" s="8">
        <f>+MINVU_Mes_Corriente!AR296*SALUD_Mes_Constante!$AP$1</f>
        <v>0</v>
      </c>
      <c r="AS296" s="8">
        <f>+MINVU_Mes_Corriente!AS296*SALUD_Mes_Constante!$AP$1</f>
        <v>0</v>
      </c>
      <c r="AT296" s="8">
        <f>+MINVU_Mes_Corriente!AT296*SALUD_Mes_Constante!$AP$1</f>
        <v>0</v>
      </c>
      <c r="AU296" s="8">
        <f>+MINVU_Mes_Corriente!AU296*SALUD_Mes_Constante!$AP$1</f>
        <v>0</v>
      </c>
      <c r="AV296" s="8">
        <f>+MINVU_Mes_Corriente!AV296*SALUD_Mes_Constante!$AP$1</f>
        <v>0</v>
      </c>
      <c r="AW296" s="8">
        <f>+MINVU_Mes_Corriente!AW296*SALUD_Mes_Constante!$AP$1</f>
        <v>0</v>
      </c>
      <c r="AX296" s="8">
        <f>+MINVU_Mes_Corriente!AX296*SALUD_Mes_Constante!$AP$1</f>
        <v>0</v>
      </c>
      <c r="AY296" s="8">
        <f>+MINVU_Mes_Corriente!AY296*SALUD_Mes_Constante!$AP$1</f>
        <v>0</v>
      </c>
      <c r="AZ296" s="8">
        <f>+MINVU_Mes_Corriente!AZ296*SALUD_Mes_Constante!$AP$1</f>
        <v>0</v>
      </c>
      <c r="BA296" s="8">
        <f>+MINVU_Mes_Corriente!BA296*SALUD_Mes_Constante!$AP$1</f>
        <v>0</v>
      </c>
      <c r="BB296" s="9">
        <f t="shared" si="136"/>
        <v>0</v>
      </c>
      <c r="BC296" s="8">
        <f>+MINVU_Mes_Corriente!BC296*SALUD_Mes_Constante!$BC$1</f>
        <v>0</v>
      </c>
      <c r="BD296" s="8">
        <f>+MINVU_Mes_Corriente!BD296*SALUD_Mes_Constante!$BC$1</f>
        <v>0</v>
      </c>
      <c r="BE296" s="8">
        <f>+MINVU_Mes_Corriente!BE296*SALUD_Mes_Constante!$BC$1</f>
        <v>0</v>
      </c>
      <c r="BF296" s="8">
        <f>+MINVU_Mes_Corriente!BF296*SALUD_Mes_Constante!$BC$1</f>
        <v>0</v>
      </c>
      <c r="BG296" s="8">
        <f>+MINVU_Mes_Corriente!BG296*SALUD_Mes_Constante!$BC$1</f>
        <v>0</v>
      </c>
      <c r="BH296" s="8">
        <f>+MINVU_Mes_Corriente!BH296*SALUD_Mes_Constante!$BC$1</f>
        <v>0</v>
      </c>
      <c r="BI296" s="8">
        <f>+MINVU_Mes_Corriente!BI296*SALUD_Mes_Constante!$BC$1</f>
        <v>0</v>
      </c>
      <c r="BJ296" s="8">
        <f>+MINVU_Mes_Corriente!BJ296*SALUD_Mes_Constante!$BC$1</f>
        <v>0</v>
      </c>
      <c r="BK296" s="8">
        <f>+MINVU_Mes_Corriente!BK296*SALUD_Mes_Constante!$BC$1</f>
        <v>0</v>
      </c>
      <c r="BL296" s="8">
        <f>+MINVU_Mes_Corriente!BL296*SALUD_Mes_Constante!$BC$1</f>
        <v>0</v>
      </c>
      <c r="BM296" s="8">
        <f>+MINVU_Mes_Corriente!BM296*SALUD_Mes_Constante!$BC$1</f>
        <v>0</v>
      </c>
      <c r="BN296" s="8">
        <f>+MINVU_Mes_Corriente!BN296*SALUD_Mes_Constante!$BC$1</f>
        <v>0</v>
      </c>
      <c r="BO296" s="9">
        <f t="shared" si="137"/>
        <v>0</v>
      </c>
      <c r="BP296" s="8">
        <f>+MINVU_Mes_Corriente!BP296*SALUD_Mes_Constante!$BP$1</f>
        <v>0</v>
      </c>
      <c r="BQ296" s="8">
        <f>+MINVU_Mes_Corriente!BQ296*SALUD_Mes_Constante!$BP$1</f>
        <v>0</v>
      </c>
      <c r="BR296" s="8">
        <f>+MINVU_Mes_Corriente!BR296*SALUD_Mes_Constante!$BP$1</f>
        <v>0</v>
      </c>
      <c r="BS296" s="8">
        <f>+MINVU_Mes_Corriente!BS296*SALUD_Mes_Constante!$BP$1</f>
        <v>0</v>
      </c>
      <c r="BT296" s="8">
        <f>+MINVU_Mes_Corriente!BT296*SALUD_Mes_Constante!$BP$1</f>
        <v>0</v>
      </c>
      <c r="BU296" s="8">
        <f>+MINVU_Mes_Corriente!BU296*SALUD_Mes_Constante!$BP$1</f>
        <v>0</v>
      </c>
      <c r="BV296" s="8">
        <f>+MINVU_Mes_Corriente!BV296*SALUD_Mes_Constante!$BP$1</f>
        <v>0</v>
      </c>
      <c r="BW296" s="8">
        <f>+MINVU_Mes_Corriente!BW296*SALUD_Mes_Constante!$BP$1</f>
        <v>0</v>
      </c>
      <c r="BX296" s="8">
        <f>+MINVU_Mes_Corriente!BX296*SALUD_Mes_Constante!$BP$1</f>
        <v>0</v>
      </c>
      <c r="BY296" s="8">
        <f>+MINVU_Mes_Corriente!BY296*SALUD_Mes_Constante!$BP$1</f>
        <v>0</v>
      </c>
      <c r="BZ296" s="8">
        <f>+MINVU_Mes_Corriente!BZ296*SALUD_Mes_Constante!$BP$1</f>
        <v>0</v>
      </c>
      <c r="CA296" s="8">
        <f>+MINVU_Mes_Corriente!CA296*SALUD_Mes_Constante!$BP$1</f>
        <v>0</v>
      </c>
      <c r="CB296" s="9">
        <f t="shared" si="138"/>
        <v>0</v>
      </c>
      <c r="CC296" s="8">
        <f>+MINVU_Mes_Corriente!CC296*SALUD_Mes_Constante!$CC$1</f>
        <v>0</v>
      </c>
      <c r="CD296" s="8">
        <f>+MINVU_Mes_Corriente!CD296*SALUD_Mes_Constante!$CC$1</f>
        <v>0</v>
      </c>
      <c r="CE296" s="8">
        <f>+MINVU_Mes_Corriente!CE296*SALUD_Mes_Constante!$CC$1</f>
        <v>0</v>
      </c>
      <c r="CF296" s="8">
        <f>+MINVU_Mes_Corriente!CF296*SALUD_Mes_Constante!$CC$1</f>
        <v>0</v>
      </c>
      <c r="CG296" s="8">
        <f>+MINVU_Mes_Corriente!CG296*SALUD_Mes_Constante!$CC$1</f>
        <v>0</v>
      </c>
      <c r="CH296" s="8">
        <f>+MINVU_Mes_Corriente!CH296*SALUD_Mes_Constante!$CC$1</f>
        <v>0</v>
      </c>
      <c r="CI296" s="8">
        <f>+MINVU_Mes_Corriente!CI296*SALUD_Mes_Constante!$CC$1</f>
        <v>0</v>
      </c>
      <c r="CJ296" s="8">
        <f>+MINVU_Mes_Corriente!CJ296*SALUD_Mes_Constante!$CC$1</f>
        <v>0</v>
      </c>
      <c r="CK296" s="8">
        <f>+MINVU_Mes_Corriente!CK296*SALUD_Mes_Constante!$CC$1</f>
        <v>0</v>
      </c>
      <c r="CL296" s="8">
        <f>+MINVU_Mes_Corriente!CL296*SALUD_Mes_Constante!$CC$1</f>
        <v>0</v>
      </c>
      <c r="CM296" s="8">
        <f>+MINVU_Mes_Corriente!CM296*SALUD_Mes_Constante!$CC$1</f>
        <v>0</v>
      </c>
      <c r="CN296" s="8">
        <f>+MINVU_Mes_Corriente!CN296*SALUD_Mes_Constante!$CC$1</f>
        <v>0</v>
      </c>
      <c r="CO296" s="9">
        <f t="shared" si="139"/>
        <v>0</v>
      </c>
      <c r="CP296" s="8">
        <f>+MINVU_Mes_Corriente!CP296*SALUD_Mes_Constante!$CP$1</f>
        <v>0</v>
      </c>
      <c r="CQ296" s="8">
        <f>+MINVU_Mes_Corriente!CQ296*SALUD_Mes_Constante!$CP$1</f>
        <v>0</v>
      </c>
      <c r="CR296" s="8">
        <f>+MINVU_Mes_Corriente!CR296*SALUD_Mes_Constante!$CP$1</f>
        <v>0</v>
      </c>
      <c r="CS296" s="8">
        <f>+MINVU_Mes_Corriente!CS296*SALUD_Mes_Constante!$CP$1</f>
        <v>0</v>
      </c>
      <c r="CT296" s="8">
        <f>+MINVU_Mes_Corriente!CT296*SALUD_Mes_Constante!$CP$1</f>
        <v>0</v>
      </c>
      <c r="CU296" s="8">
        <f>+MINVU_Mes_Corriente!CU296*SALUD_Mes_Constante!$CP$1</f>
        <v>0</v>
      </c>
      <c r="CV296" s="8">
        <f>+MINVU_Mes_Corriente!CV296*SALUD_Mes_Constante!$CP$1</f>
        <v>0</v>
      </c>
      <c r="CW296" s="8">
        <f>+MINVU_Mes_Corriente!CW296*SALUD_Mes_Constante!$CP$1</f>
        <v>0</v>
      </c>
      <c r="CX296" s="8">
        <f>+MINVU_Mes_Corriente!CX296*SALUD_Mes_Constante!$CP$1</f>
        <v>0</v>
      </c>
      <c r="CY296" s="8">
        <f>+MINVU_Mes_Corriente!CY296*SALUD_Mes_Constante!$CP$1</f>
        <v>0</v>
      </c>
      <c r="CZ296" s="8">
        <f>+MINVU_Mes_Corriente!CZ296*SALUD_Mes_Constante!$CP$1</f>
        <v>0</v>
      </c>
      <c r="DA296" s="8">
        <f>+MINVU_Mes_Corriente!DA296*SALUD_Mes_Constante!$CP$1</f>
        <v>0</v>
      </c>
      <c r="DB296" s="9">
        <f t="shared" si="140"/>
        <v>0</v>
      </c>
      <c r="DC296" s="8">
        <f>+MINVU_Mes_Corriente!DC296*SALUD_Mes_Constante!$DC$1</f>
        <v>0</v>
      </c>
      <c r="DD296" s="8">
        <f>+MINVU_Mes_Corriente!DD296*SALUD_Mes_Constante!$DC$1</f>
        <v>0</v>
      </c>
      <c r="DE296" s="8">
        <f>+MINVU_Mes_Corriente!DE296*SALUD_Mes_Constante!$DC$1</f>
        <v>0</v>
      </c>
      <c r="DF296" s="8">
        <f>+MINVU_Mes_Corriente!DF296*SALUD_Mes_Constante!$DC$1</f>
        <v>0</v>
      </c>
      <c r="DG296" s="8">
        <f>+MINVU_Mes_Corriente!DG296*SALUD_Mes_Constante!$DC$1</f>
        <v>0</v>
      </c>
      <c r="DH296" s="8">
        <f>+MINVU_Mes_Corriente!DH296*SALUD_Mes_Constante!$DC$1</f>
        <v>0</v>
      </c>
      <c r="DI296" s="8">
        <f>+MINVU_Mes_Corriente!DI296*SALUD_Mes_Constante!$DC$1</f>
        <v>0</v>
      </c>
      <c r="DJ296" s="8">
        <f>+MINVU_Mes_Corriente!DJ296*SALUD_Mes_Constante!$DC$1</f>
        <v>0</v>
      </c>
      <c r="DK296" s="8">
        <f>+MINVU_Mes_Corriente!DK296*SALUD_Mes_Constante!$DC$1</f>
        <v>0</v>
      </c>
      <c r="DL296" s="8">
        <f>+MINVU_Mes_Corriente!DL296*SALUD_Mes_Constante!$DC$1</f>
        <v>0</v>
      </c>
      <c r="DM296" s="8">
        <f>+MINVU_Mes_Corriente!DM296*SALUD_Mes_Constante!$DC$1</f>
        <v>0</v>
      </c>
      <c r="DN296" s="8">
        <f>+MINVU_Mes_Corriente!DN296*SALUD_Mes_Constante!$DC$1</f>
        <v>0</v>
      </c>
      <c r="DO296" s="9">
        <f t="shared" si="141"/>
        <v>0</v>
      </c>
      <c r="DP296" s="8">
        <f>+MINVU_Mes_Corriente!DP296*SALUD_Mes_Constante!$DP$1</f>
        <v>0</v>
      </c>
      <c r="DQ296" s="8">
        <f>+MINVU_Mes_Corriente!DQ296*SALUD_Mes_Constante!$DP$1</f>
        <v>0</v>
      </c>
      <c r="DR296" s="8">
        <f>+MINVU_Mes_Corriente!DR296*SALUD_Mes_Constante!$DP$1</f>
        <v>0</v>
      </c>
      <c r="DS296" s="8">
        <f>+MINVU_Mes_Corriente!DS296*SALUD_Mes_Constante!$DP$1</f>
        <v>0</v>
      </c>
      <c r="DT296" s="8">
        <f>+MINVU_Mes_Corriente!DT296*SALUD_Mes_Constante!$DP$1</f>
        <v>0</v>
      </c>
      <c r="DU296" s="8">
        <f>+MINVU_Mes_Corriente!DU296*SALUD_Mes_Constante!$DP$1</f>
        <v>0</v>
      </c>
      <c r="DV296" s="8">
        <f>+MINVU_Mes_Corriente!DV296*SALUD_Mes_Constante!$DP$1</f>
        <v>0</v>
      </c>
      <c r="DW296" s="8">
        <f>+MINVU_Mes_Corriente!DW296*SALUD_Mes_Constante!$DP$1</f>
        <v>0</v>
      </c>
      <c r="DX296" s="8">
        <f>+MINVU_Mes_Corriente!DX296*SALUD_Mes_Constante!$DP$1</f>
        <v>0</v>
      </c>
      <c r="DY296" s="8">
        <f>+MINVU_Mes_Corriente!DY296*SALUD_Mes_Constante!$DP$1</f>
        <v>0</v>
      </c>
      <c r="DZ296" s="8">
        <f>+MINVU_Mes_Corriente!DZ296*SALUD_Mes_Constante!$DP$1</f>
        <v>0</v>
      </c>
      <c r="EA296" s="8">
        <f>+MINVU_Mes_Corriente!EA296*SALUD_Mes_Constante!$DP$1</f>
        <v>0</v>
      </c>
      <c r="EB296" s="9">
        <f t="shared" si="142"/>
        <v>0</v>
      </c>
      <c r="EC296" s="8">
        <f>+MINVU_Mes_Corriente!EC296*SALUD_Mes_Constante!$EC$1</f>
        <v>0</v>
      </c>
      <c r="ED296" s="8">
        <f>+MINVU_Mes_Corriente!ED296*SALUD_Mes_Constante!$EC$1</f>
        <v>0</v>
      </c>
      <c r="EE296" s="8">
        <f>+MINVU_Mes_Corriente!EE296*SALUD_Mes_Constante!$EC$1</f>
        <v>0</v>
      </c>
      <c r="EF296" s="8">
        <f>+MINVU_Mes_Corriente!EF296*SALUD_Mes_Constante!$EC$1</f>
        <v>0</v>
      </c>
      <c r="EG296" s="8">
        <f>+MINVU_Mes_Corriente!EG296*SALUD_Mes_Constante!$EC$1</f>
        <v>0</v>
      </c>
      <c r="EH296" s="8">
        <f>+MINVU_Mes_Corriente!EH296*SALUD_Mes_Constante!$EC$1</f>
        <v>0</v>
      </c>
      <c r="EI296" s="8">
        <f>+MINVU_Mes_Corriente!EI296*SALUD_Mes_Constante!$EC$1</f>
        <v>0</v>
      </c>
      <c r="EJ296" s="8">
        <f>+MINVU_Mes_Corriente!EJ296*SALUD_Mes_Constante!$EC$1</f>
        <v>0</v>
      </c>
      <c r="EK296" s="8">
        <f>+MINVU_Mes_Corriente!EK296*SALUD_Mes_Constante!$EC$1</f>
        <v>0</v>
      </c>
      <c r="EL296" s="8">
        <f>+MINVU_Mes_Corriente!EL296*SALUD_Mes_Constante!$EC$1</f>
        <v>0</v>
      </c>
      <c r="EM296" s="8">
        <f>+MINVU_Mes_Corriente!EM296*SALUD_Mes_Constante!$EC$1</f>
        <v>0</v>
      </c>
      <c r="EN296" s="8">
        <f>+MINVU_Mes_Corriente!EN296*SALUD_Mes_Constante!$EC$1</f>
        <v>0</v>
      </c>
      <c r="EO296" s="9">
        <f t="shared" si="143"/>
        <v>0</v>
      </c>
      <c r="EP296" s="8">
        <f>+MINVU_Mes_Corriente!EP296*SALUD_Mes_Constante!$EP$1</f>
        <v>0</v>
      </c>
      <c r="EQ296" s="8">
        <f>+MINVU_Mes_Corriente!EQ296*SALUD_Mes_Constante!$EP$1</f>
        <v>0</v>
      </c>
      <c r="ER296" s="8">
        <f>+MINVU_Mes_Corriente!ER296*SALUD_Mes_Constante!$EP$1</f>
        <v>0</v>
      </c>
      <c r="ES296" s="8">
        <f>+MINVU_Mes_Corriente!ES296*SALUD_Mes_Constante!$EP$1</f>
        <v>0</v>
      </c>
      <c r="ET296" s="8">
        <f>+MINVU_Mes_Corriente!ET296*SALUD_Mes_Constante!$EP$1</f>
        <v>0</v>
      </c>
      <c r="EU296" s="8">
        <f>+MINVU_Mes_Corriente!EU296*SALUD_Mes_Constante!$EP$1</f>
        <v>0</v>
      </c>
      <c r="EV296" s="8">
        <f>+MINVU_Mes_Corriente!EV296*SALUD_Mes_Constante!$EP$1</f>
        <v>0</v>
      </c>
      <c r="EW296" s="8">
        <f>+MINVU_Mes_Corriente!EW296*SALUD_Mes_Constante!$EP$1</f>
        <v>0</v>
      </c>
      <c r="EX296" s="8">
        <f>+MINVU_Mes_Corriente!EX296*SALUD_Mes_Constante!$EP$1</f>
        <v>0</v>
      </c>
      <c r="EY296" s="8">
        <f>+MINVU_Mes_Corriente!EY296*SALUD_Mes_Constante!$EP$1</f>
        <v>0</v>
      </c>
      <c r="EZ296" s="8">
        <f>+MINVU_Mes_Corriente!EZ296*SALUD_Mes_Constante!$EP$1</f>
        <v>0</v>
      </c>
      <c r="FA296" s="8">
        <f>+MINVU_Mes_Corriente!FA296*SALUD_Mes_Constante!$EP$1</f>
        <v>0</v>
      </c>
      <c r="FB296" s="9">
        <f t="shared" si="144"/>
        <v>0</v>
      </c>
      <c r="FC296" s="8">
        <f>+MINVU_Mes_Corriente!FC296*SALUD_Mes_Constante!$FC$1</f>
        <v>0</v>
      </c>
      <c r="FD296" s="8">
        <f>+MINVU_Mes_Corriente!FD296*SALUD_Mes_Constante!$FC$1</f>
        <v>0</v>
      </c>
      <c r="FE296" s="8">
        <f>+MINVU_Mes_Corriente!FE296*SALUD_Mes_Constante!$FC$1</f>
        <v>0</v>
      </c>
      <c r="FF296" s="8">
        <f>+MINVU_Mes_Corriente!FF296*SALUD_Mes_Constante!$FC$1</f>
        <v>0</v>
      </c>
      <c r="FG296" s="8">
        <f>+MINVU_Mes_Corriente!FG296*SALUD_Mes_Constante!$FC$1</f>
        <v>0</v>
      </c>
      <c r="FH296" s="8">
        <f>+MINVU_Mes_Corriente!FH296*SALUD_Mes_Constante!$FC$1</f>
        <v>0</v>
      </c>
      <c r="FI296" s="8">
        <f>+MINVU_Mes_Corriente!FI296*SALUD_Mes_Constante!$FC$1</f>
        <v>0</v>
      </c>
      <c r="FJ296" s="8"/>
      <c r="FK296" s="8"/>
      <c r="FL296" s="8"/>
      <c r="FM296" s="8"/>
      <c r="FN296" s="8"/>
      <c r="FO296" s="9">
        <f t="shared" si="145"/>
        <v>0</v>
      </c>
    </row>
    <row r="297" spans="2:171" ht="14.25" customHeight="1" x14ac:dyDescent="0.3">
      <c r="B297" s="7" t="s">
        <v>74</v>
      </c>
      <c r="C297" s="8">
        <f>+MINVU_Mes_Corriente!C297*SALUD_Mes_Constante!$C$1</f>
        <v>0</v>
      </c>
      <c r="D297" s="8">
        <f>+MINVU_Mes_Corriente!D297*SALUD_Mes_Constante!$C$1</f>
        <v>0</v>
      </c>
      <c r="E297" s="8">
        <f>+MINVU_Mes_Corriente!E297*SALUD_Mes_Constante!$C$1</f>
        <v>0</v>
      </c>
      <c r="F297" s="8">
        <f>+MINVU_Mes_Corriente!F297*SALUD_Mes_Constante!$C$1</f>
        <v>0</v>
      </c>
      <c r="G297" s="8">
        <f>+MINVU_Mes_Corriente!G297*SALUD_Mes_Constante!$C$1</f>
        <v>0</v>
      </c>
      <c r="H297" s="8">
        <f>+MINVU_Mes_Corriente!H297*SALUD_Mes_Constante!$C$1</f>
        <v>0</v>
      </c>
      <c r="I297" s="8">
        <f>+MINVU_Mes_Corriente!I297*SALUD_Mes_Constante!$C$1</f>
        <v>0</v>
      </c>
      <c r="J297" s="8">
        <f>+MINVU_Mes_Corriente!J297*SALUD_Mes_Constante!$C$1</f>
        <v>0</v>
      </c>
      <c r="K297" s="8">
        <f>+MINVU_Mes_Corriente!K297*SALUD_Mes_Constante!$C$1</f>
        <v>0</v>
      </c>
      <c r="L297" s="8">
        <f>+MINVU_Mes_Corriente!L297*SALUD_Mes_Constante!$C$1</f>
        <v>0</v>
      </c>
      <c r="M297" s="8">
        <f>+MINVU_Mes_Corriente!M297*SALUD_Mes_Constante!$C$1</f>
        <v>0</v>
      </c>
      <c r="N297" s="8">
        <f>+MINVU_Mes_Corriente!N297*SALUD_Mes_Constante!$C$1</f>
        <v>0</v>
      </c>
      <c r="O297" s="9">
        <f t="shared" si="133"/>
        <v>0</v>
      </c>
      <c r="P297" s="8">
        <f>+MINVU_Mes_Corriente!P297*SALUD_Mes_Constante!$P$1</f>
        <v>0</v>
      </c>
      <c r="Q297" s="8">
        <f>+MINVU_Mes_Corriente!Q297*SALUD_Mes_Constante!$P$1</f>
        <v>0</v>
      </c>
      <c r="R297" s="8">
        <f>+MINVU_Mes_Corriente!R297*SALUD_Mes_Constante!$P$1</f>
        <v>0</v>
      </c>
      <c r="S297" s="8">
        <f>+MINVU_Mes_Corriente!S297*SALUD_Mes_Constante!$P$1</f>
        <v>0</v>
      </c>
      <c r="T297" s="8">
        <f>+MINVU_Mes_Corriente!T297*SALUD_Mes_Constante!$P$1</f>
        <v>0</v>
      </c>
      <c r="U297" s="8">
        <f>+MINVU_Mes_Corriente!U297*SALUD_Mes_Constante!$P$1</f>
        <v>0</v>
      </c>
      <c r="V297" s="8">
        <f>+MINVU_Mes_Corriente!V297*SALUD_Mes_Constante!$P$1</f>
        <v>0</v>
      </c>
      <c r="W297" s="8">
        <f>+MINVU_Mes_Corriente!W297*SALUD_Mes_Constante!$P$1</f>
        <v>0</v>
      </c>
      <c r="X297" s="8">
        <f>+MINVU_Mes_Corriente!X297*SALUD_Mes_Constante!$P$1</f>
        <v>0</v>
      </c>
      <c r="Y297" s="8">
        <f>+MINVU_Mes_Corriente!Y297*SALUD_Mes_Constante!$P$1</f>
        <v>0</v>
      </c>
      <c r="Z297" s="8">
        <f>+MINVU_Mes_Corriente!Z297*SALUD_Mes_Constante!$P$1</f>
        <v>0</v>
      </c>
      <c r="AA297" s="8">
        <f>+MINVU_Mes_Corriente!AA297*SALUD_Mes_Constante!$P$1</f>
        <v>0</v>
      </c>
      <c r="AB297" s="9">
        <f t="shared" si="134"/>
        <v>0</v>
      </c>
      <c r="AC297" s="8">
        <f>+MINVU_Mes_Corriente!AC297*SALUD_Mes_Constante!$AC$1</f>
        <v>0</v>
      </c>
      <c r="AD297" s="8">
        <f>+MINVU_Mes_Corriente!AD297*SALUD_Mes_Constante!$AC$1</f>
        <v>0</v>
      </c>
      <c r="AE297" s="8">
        <f>+MINVU_Mes_Corriente!AE297*SALUD_Mes_Constante!$AC$1</f>
        <v>0</v>
      </c>
      <c r="AF297" s="8">
        <f>+MINVU_Mes_Corriente!AF297*SALUD_Mes_Constante!$AC$1</f>
        <v>0</v>
      </c>
      <c r="AG297" s="8">
        <f>+MINVU_Mes_Corriente!AG297*SALUD_Mes_Constante!$AC$1</f>
        <v>0</v>
      </c>
      <c r="AH297" s="8">
        <f>+MINVU_Mes_Corriente!AH297*SALUD_Mes_Constante!$AC$1</f>
        <v>0</v>
      </c>
      <c r="AI297" s="8">
        <f>+MINVU_Mes_Corriente!AI297*SALUD_Mes_Constante!$AC$1</f>
        <v>0</v>
      </c>
      <c r="AJ297" s="8">
        <f>+MINVU_Mes_Corriente!AJ297*SALUD_Mes_Constante!$AC$1</f>
        <v>0</v>
      </c>
      <c r="AK297" s="8">
        <f>+MINVU_Mes_Corriente!AK297*SALUD_Mes_Constante!$AC$1</f>
        <v>0</v>
      </c>
      <c r="AL297" s="8">
        <f>+MINVU_Mes_Corriente!AL297*SALUD_Mes_Constante!$AC$1</f>
        <v>0</v>
      </c>
      <c r="AM297" s="8">
        <f>+MINVU_Mes_Corriente!AM297*SALUD_Mes_Constante!$AC$1</f>
        <v>0</v>
      </c>
      <c r="AN297" s="8">
        <f>+MINVU_Mes_Corriente!AN297*SALUD_Mes_Constante!$AC$1</f>
        <v>0</v>
      </c>
      <c r="AO297" s="9">
        <f t="shared" si="135"/>
        <v>0</v>
      </c>
      <c r="AP297" s="8">
        <f>+MINVU_Mes_Corriente!AP297*SALUD_Mes_Constante!$AP$1</f>
        <v>0</v>
      </c>
      <c r="AQ297" s="8">
        <f>+MINVU_Mes_Corriente!AQ297*SALUD_Mes_Constante!$AP$1</f>
        <v>0</v>
      </c>
      <c r="AR297" s="8">
        <f>+MINVU_Mes_Corriente!AR297*SALUD_Mes_Constante!$AP$1</f>
        <v>0</v>
      </c>
      <c r="AS297" s="8">
        <f>+MINVU_Mes_Corriente!AS297*SALUD_Mes_Constante!$AP$1</f>
        <v>0</v>
      </c>
      <c r="AT297" s="8">
        <f>+MINVU_Mes_Corriente!AT297*SALUD_Mes_Constante!$AP$1</f>
        <v>0</v>
      </c>
      <c r="AU297" s="8">
        <f>+MINVU_Mes_Corriente!AU297*SALUD_Mes_Constante!$AP$1</f>
        <v>0</v>
      </c>
      <c r="AV297" s="8">
        <f>+MINVU_Mes_Corriente!AV297*SALUD_Mes_Constante!$AP$1</f>
        <v>0</v>
      </c>
      <c r="AW297" s="8">
        <f>+MINVU_Mes_Corriente!AW297*SALUD_Mes_Constante!$AP$1</f>
        <v>0</v>
      </c>
      <c r="AX297" s="8">
        <f>+MINVU_Mes_Corriente!AX297*SALUD_Mes_Constante!$AP$1</f>
        <v>0</v>
      </c>
      <c r="AY297" s="8">
        <f>+MINVU_Mes_Corriente!AY297*SALUD_Mes_Constante!$AP$1</f>
        <v>0</v>
      </c>
      <c r="AZ297" s="8">
        <f>+MINVU_Mes_Corriente!AZ297*SALUD_Mes_Constante!$AP$1</f>
        <v>0</v>
      </c>
      <c r="BA297" s="8">
        <f>+MINVU_Mes_Corriente!BA297*SALUD_Mes_Constante!$AP$1</f>
        <v>0</v>
      </c>
      <c r="BB297" s="9">
        <f t="shared" si="136"/>
        <v>0</v>
      </c>
      <c r="BC297" s="8">
        <f>+MINVU_Mes_Corriente!BC297*SALUD_Mes_Constante!$BC$1</f>
        <v>0</v>
      </c>
      <c r="BD297" s="8">
        <f>+MINVU_Mes_Corriente!BD297*SALUD_Mes_Constante!$BC$1</f>
        <v>0</v>
      </c>
      <c r="BE297" s="8">
        <f>+MINVU_Mes_Corriente!BE297*SALUD_Mes_Constante!$BC$1</f>
        <v>0</v>
      </c>
      <c r="BF297" s="8">
        <f>+MINVU_Mes_Corriente!BF297*SALUD_Mes_Constante!$BC$1</f>
        <v>0</v>
      </c>
      <c r="BG297" s="8">
        <f>+MINVU_Mes_Corriente!BG297*SALUD_Mes_Constante!$BC$1</f>
        <v>0</v>
      </c>
      <c r="BH297" s="8">
        <f>+MINVU_Mes_Corriente!BH297*SALUD_Mes_Constante!$BC$1</f>
        <v>0</v>
      </c>
      <c r="BI297" s="8">
        <f>+MINVU_Mes_Corriente!BI297*SALUD_Mes_Constante!$BC$1</f>
        <v>0</v>
      </c>
      <c r="BJ297" s="8">
        <f>+MINVU_Mes_Corriente!BJ297*SALUD_Mes_Constante!$BC$1</f>
        <v>0</v>
      </c>
      <c r="BK297" s="8">
        <f>+MINVU_Mes_Corriente!BK297*SALUD_Mes_Constante!$BC$1</f>
        <v>0</v>
      </c>
      <c r="BL297" s="8">
        <f>+MINVU_Mes_Corriente!BL297*SALUD_Mes_Constante!$BC$1</f>
        <v>0</v>
      </c>
      <c r="BM297" s="8">
        <f>+MINVU_Mes_Corriente!BM297*SALUD_Mes_Constante!$BC$1</f>
        <v>0</v>
      </c>
      <c r="BN297" s="8">
        <f>+MINVU_Mes_Corriente!BN297*SALUD_Mes_Constante!$BC$1</f>
        <v>0</v>
      </c>
      <c r="BO297" s="9">
        <f t="shared" si="137"/>
        <v>0</v>
      </c>
      <c r="BP297" s="8">
        <f>+MINVU_Mes_Corriente!BP297*SALUD_Mes_Constante!$BP$1</f>
        <v>0</v>
      </c>
      <c r="BQ297" s="8">
        <f>+MINVU_Mes_Corriente!BQ297*SALUD_Mes_Constante!$BP$1</f>
        <v>0</v>
      </c>
      <c r="BR297" s="8">
        <f>+MINVU_Mes_Corriente!BR297*SALUD_Mes_Constante!$BP$1</f>
        <v>0</v>
      </c>
      <c r="BS297" s="8">
        <f>+MINVU_Mes_Corriente!BS297*SALUD_Mes_Constante!$BP$1</f>
        <v>0</v>
      </c>
      <c r="BT297" s="8">
        <f>+MINVU_Mes_Corriente!BT297*SALUD_Mes_Constante!$BP$1</f>
        <v>0</v>
      </c>
      <c r="BU297" s="8">
        <f>+MINVU_Mes_Corriente!BU297*SALUD_Mes_Constante!$BP$1</f>
        <v>0</v>
      </c>
      <c r="BV297" s="8">
        <f>+MINVU_Mes_Corriente!BV297*SALUD_Mes_Constante!$BP$1</f>
        <v>0</v>
      </c>
      <c r="BW297" s="8">
        <f>+MINVU_Mes_Corriente!BW297*SALUD_Mes_Constante!$BP$1</f>
        <v>0</v>
      </c>
      <c r="BX297" s="8">
        <f>+MINVU_Mes_Corriente!BX297*SALUD_Mes_Constante!$BP$1</f>
        <v>0</v>
      </c>
      <c r="BY297" s="8">
        <f>+MINVU_Mes_Corriente!BY297*SALUD_Mes_Constante!$BP$1</f>
        <v>0</v>
      </c>
      <c r="BZ297" s="8">
        <f>+MINVU_Mes_Corriente!BZ297*SALUD_Mes_Constante!$BP$1</f>
        <v>0</v>
      </c>
      <c r="CA297" s="8">
        <f>+MINVU_Mes_Corriente!CA297*SALUD_Mes_Constante!$BP$1</f>
        <v>0</v>
      </c>
      <c r="CB297" s="9">
        <f t="shared" si="138"/>
        <v>0</v>
      </c>
      <c r="CC297" s="8">
        <f>+MINVU_Mes_Corriente!CC297*SALUD_Mes_Constante!$CC$1</f>
        <v>0</v>
      </c>
      <c r="CD297" s="8">
        <f>+MINVU_Mes_Corriente!CD297*SALUD_Mes_Constante!$CC$1</f>
        <v>0</v>
      </c>
      <c r="CE297" s="8">
        <f>+MINVU_Mes_Corriente!CE297*SALUD_Mes_Constante!$CC$1</f>
        <v>0</v>
      </c>
      <c r="CF297" s="8">
        <f>+MINVU_Mes_Corriente!CF297*SALUD_Mes_Constante!$CC$1</f>
        <v>0</v>
      </c>
      <c r="CG297" s="8">
        <f>+MINVU_Mes_Corriente!CG297*SALUD_Mes_Constante!$CC$1</f>
        <v>0</v>
      </c>
      <c r="CH297" s="8">
        <f>+MINVU_Mes_Corriente!CH297*SALUD_Mes_Constante!$CC$1</f>
        <v>0</v>
      </c>
      <c r="CI297" s="8">
        <f>+MINVU_Mes_Corriente!CI297*SALUD_Mes_Constante!$CC$1</f>
        <v>0</v>
      </c>
      <c r="CJ297" s="8">
        <f>+MINVU_Mes_Corriente!CJ297*SALUD_Mes_Constante!$CC$1</f>
        <v>0</v>
      </c>
      <c r="CK297" s="8">
        <f>+MINVU_Mes_Corriente!CK297*SALUD_Mes_Constante!$CC$1</f>
        <v>0</v>
      </c>
      <c r="CL297" s="8">
        <f>+MINVU_Mes_Corriente!CL297*SALUD_Mes_Constante!$CC$1</f>
        <v>0</v>
      </c>
      <c r="CM297" s="8">
        <f>+MINVU_Mes_Corriente!CM297*SALUD_Mes_Constante!$CC$1</f>
        <v>0</v>
      </c>
      <c r="CN297" s="8">
        <f>+MINVU_Mes_Corriente!CN297*SALUD_Mes_Constante!$CC$1</f>
        <v>0</v>
      </c>
      <c r="CO297" s="9">
        <f t="shared" si="139"/>
        <v>0</v>
      </c>
      <c r="CP297" s="8">
        <f>+MINVU_Mes_Corriente!CP297*SALUD_Mes_Constante!$CP$1</f>
        <v>0</v>
      </c>
      <c r="CQ297" s="8">
        <f>+MINVU_Mes_Corriente!CQ297*SALUD_Mes_Constante!$CP$1</f>
        <v>0</v>
      </c>
      <c r="CR297" s="8">
        <f>+MINVU_Mes_Corriente!CR297*SALUD_Mes_Constante!$CP$1</f>
        <v>0</v>
      </c>
      <c r="CS297" s="8">
        <f>+MINVU_Mes_Corriente!CS297*SALUD_Mes_Constante!$CP$1</f>
        <v>0</v>
      </c>
      <c r="CT297" s="8">
        <f>+MINVU_Mes_Corriente!CT297*SALUD_Mes_Constante!$CP$1</f>
        <v>0</v>
      </c>
      <c r="CU297" s="8">
        <f>+MINVU_Mes_Corriente!CU297*SALUD_Mes_Constante!$CP$1</f>
        <v>0</v>
      </c>
      <c r="CV297" s="8">
        <f>+MINVU_Mes_Corriente!CV297*SALUD_Mes_Constante!$CP$1</f>
        <v>0</v>
      </c>
      <c r="CW297" s="8">
        <f>+MINVU_Mes_Corriente!CW297*SALUD_Mes_Constante!$CP$1</f>
        <v>0</v>
      </c>
      <c r="CX297" s="8">
        <f>+MINVU_Mes_Corriente!CX297*SALUD_Mes_Constante!$CP$1</f>
        <v>0</v>
      </c>
      <c r="CY297" s="8">
        <f>+MINVU_Mes_Corriente!CY297*SALUD_Mes_Constante!$CP$1</f>
        <v>0</v>
      </c>
      <c r="CZ297" s="8">
        <f>+MINVU_Mes_Corriente!CZ297*SALUD_Mes_Constante!$CP$1</f>
        <v>0</v>
      </c>
      <c r="DA297" s="8">
        <f>+MINVU_Mes_Corriente!DA297*SALUD_Mes_Constante!$CP$1</f>
        <v>0</v>
      </c>
      <c r="DB297" s="9">
        <f t="shared" si="140"/>
        <v>0</v>
      </c>
      <c r="DC297" s="8">
        <f>+MINVU_Mes_Corriente!DC297*SALUD_Mes_Constante!$DC$1</f>
        <v>0</v>
      </c>
      <c r="DD297" s="8">
        <f>+MINVU_Mes_Corriente!DD297*SALUD_Mes_Constante!$DC$1</f>
        <v>0</v>
      </c>
      <c r="DE297" s="8">
        <f>+MINVU_Mes_Corriente!DE297*SALUD_Mes_Constante!$DC$1</f>
        <v>0</v>
      </c>
      <c r="DF297" s="8">
        <f>+MINVU_Mes_Corriente!DF297*SALUD_Mes_Constante!$DC$1</f>
        <v>0</v>
      </c>
      <c r="DG297" s="8">
        <f>+MINVU_Mes_Corriente!DG297*SALUD_Mes_Constante!$DC$1</f>
        <v>0</v>
      </c>
      <c r="DH297" s="8">
        <f>+MINVU_Mes_Corriente!DH297*SALUD_Mes_Constante!$DC$1</f>
        <v>0</v>
      </c>
      <c r="DI297" s="8">
        <f>+MINVU_Mes_Corriente!DI297*SALUD_Mes_Constante!$DC$1</f>
        <v>0</v>
      </c>
      <c r="DJ297" s="8">
        <f>+MINVU_Mes_Corriente!DJ297*SALUD_Mes_Constante!$DC$1</f>
        <v>0</v>
      </c>
      <c r="DK297" s="8">
        <f>+MINVU_Mes_Corriente!DK297*SALUD_Mes_Constante!$DC$1</f>
        <v>0</v>
      </c>
      <c r="DL297" s="8">
        <f>+MINVU_Mes_Corriente!DL297*SALUD_Mes_Constante!$DC$1</f>
        <v>0</v>
      </c>
      <c r="DM297" s="8">
        <f>+MINVU_Mes_Corriente!DM297*SALUD_Mes_Constante!$DC$1</f>
        <v>0</v>
      </c>
      <c r="DN297" s="8">
        <f>+MINVU_Mes_Corriente!DN297*SALUD_Mes_Constante!$DC$1</f>
        <v>0</v>
      </c>
      <c r="DO297" s="9">
        <f t="shared" si="141"/>
        <v>0</v>
      </c>
      <c r="DP297" s="8">
        <f>+MINVU_Mes_Corriente!DP297*SALUD_Mes_Constante!$DP$1</f>
        <v>0</v>
      </c>
      <c r="DQ297" s="8">
        <f>+MINVU_Mes_Corriente!DQ297*SALUD_Mes_Constante!$DP$1</f>
        <v>0</v>
      </c>
      <c r="DR297" s="8">
        <f>+MINVU_Mes_Corriente!DR297*SALUD_Mes_Constante!$DP$1</f>
        <v>0</v>
      </c>
      <c r="DS297" s="8">
        <f>+MINVU_Mes_Corriente!DS297*SALUD_Mes_Constante!$DP$1</f>
        <v>0</v>
      </c>
      <c r="DT297" s="8">
        <f>+MINVU_Mes_Corriente!DT297*SALUD_Mes_Constante!$DP$1</f>
        <v>0</v>
      </c>
      <c r="DU297" s="8">
        <f>+MINVU_Mes_Corriente!DU297*SALUD_Mes_Constante!$DP$1</f>
        <v>0</v>
      </c>
      <c r="DV297" s="8">
        <f>+MINVU_Mes_Corriente!DV297*SALUD_Mes_Constante!$DP$1</f>
        <v>0</v>
      </c>
      <c r="DW297" s="8">
        <f>+MINVU_Mes_Corriente!DW297*SALUD_Mes_Constante!$DP$1</f>
        <v>0</v>
      </c>
      <c r="DX297" s="8">
        <f>+MINVU_Mes_Corriente!DX297*SALUD_Mes_Constante!$DP$1</f>
        <v>0</v>
      </c>
      <c r="DY297" s="8">
        <f>+MINVU_Mes_Corriente!DY297*SALUD_Mes_Constante!$DP$1</f>
        <v>0</v>
      </c>
      <c r="DZ297" s="8">
        <f>+MINVU_Mes_Corriente!DZ297*SALUD_Mes_Constante!$DP$1</f>
        <v>0</v>
      </c>
      <c r="EA297" s="8">
        <f>+MINVU_Mes_Corriente!EA297*SALUD_Mes_Constante!$DP$1</f>
        <v>0</v>
      </c>
      <c r="EB297" s="9">
        <f t="shared" si="142"/>
        <v>0</v>
      </c>
      <c r="EC297" s="8">
        <f>+MINVU_Mes_Corriente!EC297*SALUD_Mes_Constante!$EC$1</f>
        <v>0</v>
      </c>
      <c r="ED297" s="8">
        <f>+MINVU_Mes_Corriente!ED297*SALUD_Mes_Constante!$EC$1</f>
        <v>0</v>
      </c>
      <c r="EE297" s="8">
        <f>+MINVU_Mes_Corriente!EE297*SALUD_Mes_Constante!$EC$1</f>
        <v>0</v>
      </c>
      <c r="EF297" s="8">
        <f>+MINVU_Mes_Corriente!EF297*SALUD_Mes_Constante!$EC$1</f>
        <v>0</v>
      </c>
      <c r="EG297" s="8">
        <f>+MINVU_Mes_Corriente!EG297*SALUD_Mes_Constante!$EC$1</f>
        <v>0</v>
      </c>
      <c r="EH297" s="8">
        <f>+MINVU_Mes_Corriente!EH297*SALUD_Mes_Constante!$EC$1</f>
        <v>0</v>
      </c>
      <c r="EI297" s="8">
        <f>+MINVU_Mes_Corriente!EI297*SALUD_Mes_Constante!$EC$1</f>
        <v>0</v>
      </c>
      <c r="EJ297" s="8">
        <f>+MINVU_Mes_Corriente!EJ297*SALUD_Mes_Constante!$EC$1</f>
        <v>0</v>
      </c>
      <c r="EK297" s="8">
        <f>+MINVU_Mes_Corriente!EK297*SALUD_Mes_Constante!$EC$1</f>
        <v>0</v>
      </c>
      <c r="EL297" s="8">
        <f>+MINVU_Mes_Corriente!EL297*SALUD_Mes_Constante!$EC$1</f>
        <v>0</v>
      </c>
      <c r="EM297" s="8">
        <f>+MINVU_Mes_Corriente!EM297*SALUD_Mes_Constante!$EC$1</f>
        <v>0</v>
      </c>
      <c r="EN297" s="8">
        <f>+MINVU_Mes_Corriente!EN297*SALUD_Mes_Constante!$EC$1</f>
        <v>0</v>
      </c>
      <c r="EO297" s="9">
        <f t="shared" si="143"/>
        <v>0</v>
      </c>
      <c r="EP297" s="8">
        <f>+MINVU_Mes_Corriente!EP297*SALUD_Mes_Constante!$EP$1</f>
        <v>0</v>
      </c>
      <c r="EQ297" s="8">
        <f>+MINVU_Mes_Corriente!EQ297*SALUD_Mes_Constante!$EP$1</f>
        <v>0</v>
      </c>
      <c r="ER297" s="8">
        <f>+MINVU_Mes_Corriente!ER297*SALUD_Mes_Constante!$EP$1</f>
        <v>0</v>
      </c>
      <c r="ES297" s="8">
        <f>+MINVU_Mes_Corriente!ES297*SALUD_Mes_Constante!$EP$1</f>
        <v>0</v>
      </c>
      <c r="ET297" s="8">
        <f>+MINVU_Mes_Corriente!ET297*SALUD_Mes_Constante!$EP$1</f>
        <v>0</v>
      </c>
      <c r="EU297" s="8">
        <f>+MINVU_Mes_Corriente!EU297*SALUD_Mes_Constante!$EP$1</f>
        <v>0</v>
      </c>
      <c r="EV297" s="8">
        <f>+MINVU_Mes_Corriente!EV297*SALUD_Mes_Constante!$EP$1</f>
        <v>0</v>
      </c>
      <c r="EW297" s="8">
        <f>+MINVU_Mes_Corriente!EW297*SALUD_Mes_Constante!$EP$1</f>
        <v>0</v>
      </c>
      <c r="EX297" s="8">
        <f>+MINVU_Mes_Corriente!EX297*SALUD_Mes_Constante!$EP$1</f>
        <v>0</v>
      </c>
      <c r="EY297" s="8">
        <f>+MINVU_Mes_Corriente!EY297*SALUD_Mes_Constante!$EP$1</f>
        <v>0</v>
      </c>
      <c r="EZ297" s="8">
        <f>+MINVU_Mes_Corriente!EZ297*SALUD_Mes_Constante!$EP$1</f>
        <v>0</v>
      </c>
      <c r="FA297" s="8">
        <f>+MINVU_Mes_Corriente!FA297*SALUD_Mes_Constante!$EP$1</f>
        <v>0</v>
      </c>
      <c r="FB297" s="9">
        <f t="shared" si="144"/>
        <v>0</v>
      </c>
      <c r="FC297" s="8">
        <f>+MINVU_Mes_Corriente!FC297*SALUD_Mes_Constante!$FC$1</f>
        <v>0</v>
      </c>
      <c r="FD297" s="8">
        <f>+MINVU_Mes_Corriente!FD297*SALUD_Mes_Constante!$FC$1</f>
        <v>0</v>
      </c>
      <c r="FE297" s="8">
        <f>+MINVU_Mes_Corriente!FE297*SALUD_Mes_Constante!$FC$1</f>
        <v>0</v>
      </c>
      <c r="FF297" s="8">
        <f>+MINVU_Mes_Corriente!FF297*SALUD_Mes_Constante!$FC$1</f>
        <v>0</v>
      </c>
      <c r="FG297" s="8">
        <f>+MINVU_Mes_Corriente!FG297*SALUD_Mes_Constante!$FC$1</f>
        <v>0</v>
      </c>
      <c r="FH297" s="8">
        <f>+MINVU_Mes_Corriente!FH297*SALUD_Mes_Constante!$FC$1</f>
        <v>0</v>
      </c>
      <c r="FI297" s="8">
        <f>+MINVU_Mes_Corriente!FI297*SALUD_Mes_Constante!$FC$1</f>
        <v>0</v>
      </c>
      <c r="FJ297" s="8"/>
      <c r="FK297" s="8"/>
      <c r="FL297" s="8"/>
      <c r="FM297" s="8"/>
      <c r="FN297" s="8"/>
      <c r="FO297" s="9">
        <f t="shared" si="145"/>
        <v>0</v>
      </c>
    </row>
    <row r="298" spans="2:171" ht="14.25" customHeight="1" thickBot="1" x14ac:dyDescent="0.35">
      <c r="B298" s="14" t="s">
        <v>91</v>
      </c>
      <c r="C298" s="16">
        <f t="shared" ref="C298:AH298" si="146">SUM(C266:C297)</f>
        <v>53152773.365267694</v>
      </c>
      <c r="D298" s="16">
        <f t="shared" si="146"/>
        <v>253552281.87512982</v>
      </c>
      <c r="E298" s="16">
        <f t="shared" si="146"/>
        <v>446221215.18285638</v>
      </c>
      <c r="F298" s="16">
        <f t="shared" si="146"/>
        <v>446221215.18285638</v>
      </c>
      <c r="G298" s="16">
        <f t="shared" si="146"/>
        <v>446221215.18285638</v>
      </c>
      <c r="H298" s="16">
        <f t="shared" si="146"/>
        <v>435787167.12323898</v>
      </c>
      <c r="I298" s="16">
        <f t="shared" si="146"/>
        <v>436237275.22200811</v>
      </c>
      <c r="J298" s="16">
        <f t="shared" si="146"/>
        <v>440653172.94616652</v>
      </c>
      <c r="K298" s="16">
        <f t="shared" si="146"/>
        <v>500785774.22749531</v>
      </c>
      <c r="L298" s="16">
        <f t="shared" si="146"/>
        <v>500872816.02906728</v>
      </c>
      <c r="M298" s="16">
        <f t="shared" si="146"/>
        <v>479879601.57348371</v>
      </c>
      <c r="N298" s="16">
        <f t="shared" si="146"/>
        <v>500895878.42829609</v>
      </c>
      <c r="O298" s="16">
        <f t="shared" si="146"/>
        <v>500895878.42829609</v>
      </c>
      <c r="P298" s="16">
        <f t="shared" si="146"/>
        <v>65480739.588577896</v>
      </c>
      <c r="Q298" s="16">
        <f t="shared" si="146"/>
        <v>324714914.73788875</v>
      </c>
      <c r="R298" s="16">
        <f t="shared" si="146"/>
        <v>643520954.30146301</v>
      </c>
      <c r="S298" s="16">
        <f t="shared" si="146"/>
        <v>688267472.27418637</v>
      </c>
      <c r="T298" s="16">
        <f t="shared" si="146"/>
        <v>694712382.68958628</v>
      </c>
      <c r="U298" s="16">
        <f t="shared" si="146"/>
        <v>712663917.10527039</v>
      </c>
      <c r="V298" s="16">
        <f t="shared" si="146"/>
        <v>755516522.64156806</v>
      </c>
      <c r="W298" s="16">
        <f t="shared" si="146"/>
        <v>754857263.72723365</v>
      </c>
      <c r="X298" s="16">
        <f t="shared" si="146"/>
        <v>766217002.17843413</v>
      </c>
      <c r="Y298" s="16">
        <f t="shared" si="146"/>
        <v>788029323.0566839</v>
      </c>
      <c r="Z298" s="16">
        <f t="shared" si="146"/>
        <v>796460609.45361531</v>
      </c>
      <c r="AA298" s="16">
        <f t="shared" si="146"/>
        <v>816033825.21352434</v>
      </c>
      <c r="AB298" s="16">
        <f t="shared" si="146"/>
        <v>816033825.21352434</v>
      </c>
      <c r="AC298" s="16">
        <f t="shared" si="146"/>
        <v>77513161.087287307</v>
      </c>
      <c r="AD298" s="16">
        <f t="shared" si="146"/>
        <v>473602537.26988518</v>
      </c>
      <c r="AE298" s="16">
        <f t="shared" si="146"/>
        <v>508905248.85267669</v>
      </c>
      <c r="AF298" s="16">
        <f t="shared" si="146"/>
        <v>662890020.49135423</v>
      </c>
      <c r="AG298" s="16">
        <f t="shared" si="146"/>
        <v>749603659.51307237</v>
      </c>
      <c r="AH298" s="16">
        <f t="shared" si="146"/>
        <v>756716279.96099043</v>
      </c>
      <c r="AI298" s="16">
        <f t="shared" ref="AI298:BN298" si="147">SUM(AI266:AI297)</f>
        <v>787566317.81159222</v>
      </c>
      <c r="AJ298" s="16">
        <f t="shared" si="147"/>
        <v>811070896.09351218</v>
      </c>
      <c r="AK298" s="16">
        <f t="shared" si="147"/>
        <v>815738223.63286757</v>
      </c>
      <c r="AL298" s="16">
        <f t="shared" si="147"/>
        <v>805209991.09392726</v>
      </c>
      <c r="AM298" s="16">
        <f t="shared" si="147"/>
        <v>794627560.81892383</v>
      </c>
      <c r="AN298" s="16">
        <f t="shared" si="147"/>
        <v>766303080.94203901</v>
      </c>
      <c r="AO298" s="16">
        <f t="shared" si="147"/>
        <v>766303080.94203901</v>
      </c>
      <c r="AP298" s="16">
        <f t="shared" si="147"/>
        <v>92540292.310834572</v>
      </c>
      <c r="AQ298" s="16">
        <f t="shared" si="147"/>
        <v>362426056.33464086</v>
      </c>
      <c r="AR298" s="16">
        <f t="shared" si="147"/>
        <v>520567073.86365479</v>
      </c>
      <c r="AS298" s="16">
        <f t="shared" si="147"/>
        <v>527681757.56445283</v>
      </c>
      <c r="AT298" s="16">
        <f t="shared" si="147"/>
        <v>540491590.31597459</v>
      </c>
      <c r="AU298" s="16">
        <f t="shared" si="147"/>
        <v>576913299.73569584</v>
      </c>
      <c r="AV298" s="16">
        <f t="shared" si="147"/>
        <v>585591495.07101309</v>
      </c>
      <c r="AW298" s="16">
        <f t="shared" si="147"/>
        <v>589560634.65440273</v>
      </c>
      <c r="AX298" s="16">
        <f t="shared" si="147"/>
        <v>582793617.36723924</v>
      </c>
      <c r="AY298" s="16">
        <f t="shared" si="147"/>
        <v>590819993.22818875</v>
      </c>
      <c r="AZ298" s="16">
        <f t="shared" si="147"/>
        <v>590819993.22818875</v>
      </c>
      <c r="BA298" s="16">
        <f t="shared" si="147"/>
        <v>580272859.26119304</v>
      </c>
      <c r="BB298" s="16">
        <f t="shared" si="147"/>
        <v>580272859.26119304</v>
      </c>
      <c r="BC298" s="16">
        <f t="shared" si="147"/>
        <v>111329104.58604777</v>
      </c>
      <c r="BD298" s="16">
        <f t="shared" si="147"/>
        <v>111329104.58604777</v>
      </c>
      <c r="BE298" s="16">
        <f t="shared" si="147"/>
        <v>290570520.73506534</v>
      </c>
      <c r="BF298" s="16">
        <f t="shared" si="147"/>
        <v>511932796.5140447</v>
      </c>
      <c r="BG298" s="16">
        <f t="shared" si="147"/>
        <v>642476287.18211806</v>
      </c>
      <c r="BH298" s="16">
        <f t="shared" si="147"/>
        <v>709571405.12330222</v>
      </c>
      <c r="BI298" s="16">
        <f t="shared" si="147"/>
        <v>709577544.60451019</v>
      </c>
      <c r="BJ298" s="16">
        <f t="shared" si="147"/>
        <v>733237227.74653852</v>
      </c>
      <c r="BK298" s="16">
        <f t="shared" si="147"/>
        <v>757492184.09363067</v>
      </c>
      <c r="BL298" s="16">
        <f t="shared" si="147"/>
        <v>741951978.53725457</v>
      </c>
      <c r="BM298" s="16">
        <f t="shared" si="147"/>
        <v>742375114.29091406</v>
      </c>
      <c r="BN298" s="16">
        <f t="shared" si="147"/>
        <v>689388643.75656092</v>
      </c>
      <c r="BO298" s="16">
        <f t="shared" ref="BO298:CT298" si="148">SUM(BO266:BO297)</f>
        <v>689388643.75656092</v>
      </c>
      <c r="BP298" s="16">
        <f t="shared" si="148"/>
        <v>161362718.27170298</v>
      </c>
      <c r="BQ298" s="16">
        <f t="shared" si="148"/>
        <v>209760613.20921898</v>
      </c>
      <c r="BR298" s="16">
        <f t="shared" si="148"/>
        <v>750862917.75364923</v>
      </c>
      <c r="BS298" s="16">
        <f t="shared" si="148"/>
        <v>826462158.50857878</v>
      </c>
      <c r="BT298" s="16">
        <f t="shared" si="148"/>
        <v>856709522.03661978</v>
      </c>
      <c r="BU298" s="16">
        <f t="shared" si="148"/>
        <v>959801866.38437915</v>
      </c>
      <c r="BV298" s="16">
        <f t="shared" si="148"/>
        <v>1064692868.1580027</v>
      </c>
      <c r="BW298" s="16">
        <f t="shared" si="148"/>
        <v>1171448496.0553138</v>
      </c>
      <c r="BX298" s="16">
        <f t="shared" si="148"/>
        <v>1172663553.9918056</v>
      </c>
      <c r="BY298" s="16">
        <f t="shared" si="148"/>
        <v>1172663553.9918056</v>
      </c>
      <c r="BZ298" s="16">
        <f t="shared" si="148"/>
        <v>1225398550.5103714</v>
      </c>
      <c r="CA298" s="16">
        <f t="shared" si="148"/>
        <v>1127240091.1797695</v>
      </c>
      <c r="CB298" s="16">
        <f t="shared" si="148"/>
        <v>1127240091.1797695</v>
      </c>
      <c r="CC298" s="16">
        <f t="shared" si="148"/>
        <v>156373111.69190601</v>
      </c>
      <c r="CD298" s="16">
        <f t="shared" si="148"/>
        <v>373867542.96680349</v>
      </c>
      <c r="CE298" s="16">
        <f t="shared" si="148"/>
        <v>1041605133.0436405</v>
      </c>
      <c r="CF298" s="16">
        <f t="shared" si="148"/>
        <v>1057719908.5110035</v>
      </c>
      <c r="CG298" s="16">
        <f t="shared" si="148"/>
        <v>1078482987.1891086</v>
      </c>
      <c r="CH298" s="16">
        <f t="shared" si="148"/>
        <v>1109279172.7161508</v>
      </c>
      <c r="CI298" s="16">
        <f t="shared" si="148"/>
        <v>1111049797.3763523</v>
      </c>
      <c r="CJ298" s="16">
        <f t="shared" si="148"/>
        <v>1093052481.4822829</v>
      </c>
      <c r="CK298" s="16">
        <f t="shared" si="148"/>
        <v>1118214438.6713915</v>
      </c>
      <c r="CL298" s="16">
        <f t="shared" si="148"/>
        <v>1116994557.4957108</v>
      </c>
      <c r="CM298" s="16">
        <f t="shared" si="148"/>
        <v>1063123822.8004477</v>
      </c>
      <c r="CN298" s="16">
        <f t="shared" si="148"/>
        <v>918502298.57814264</v>
      </c>
      <c r="CO298" s="16">
        <f t="shared" si="148"/>
        <v>918502298.57814264</v>
      </c>
      <c r="CP298" s="16">
        <f t="shared" si="148"/>
        <v>163172815.8389791</v>
      </c>
      <c r="CQ298" s="16">
        <f t="shared" si="148"/>
        <v>909538266.9466356</v>
      </c>
      <c r="CR298" s="16">
        <f t="shared" si="148"/>
        <v>949649268.3243618</v>
      </c>
      <c r="CS298" s="16">
        <f t="shared" si="148"/>
        <v>990276646.15127587</v>
      </c>
      <c r="CT298" s="16">
        <f t="shared" si="148"/>
        <v>1007612439.8220415</v>
      </c>
      <c r="CU298" s="16">
        <f t="shared" ref="CU298:DZ298" si="149">SUM(CU266:CU297)</f>
        <v>1016686042.9935033</v>
      </c>
      <c r="CV298" s="16">
        <f t="shared" si="149"/>
        <v>1016092022.2308583</v>
      </c>
      <c r="CW298" s="16">
        <f t="shared" si="149"/>
        <v>1012330342.3928071</v>
      </c>
      <c r="CX298" s="16">
        <f t="shared" si="149"/>
        <v>1012465644.8053361</v>
      </c>
      <c r="CY298" s="16">
        <f t="shared" si="149"/>
        <v>932488408.53271437</v>
      </c>
      <c r="CZ298" s="16">
        <f t="shared" si="149"/>
        <v>924779063.49327123</v>
      </c>
      <c r="DA298" s="16">
        <f t="shared" si="149"/>
        <v>707919696.34663558</v>
      </c>
      <c r="DB298" s="16">
        <f t="shared" si="149"/>
        <v>707919696.34663558</v>
      </c>
      <c r="DC298" s="16">
        <f t="shared" si="149"/>
        <v>117435683.81174782</v>
      </c>
      <c r="DD298" s="16">
        <f t="shared" si="149"/>
        <v>648570251.94506764</v>
      </c>
      <c r="DE298" s="16">
        <f t="shared" si="149"/>
        <v>710676826.86308026</v>
      </c>
      <c r="DF298" s="16">
        <f t="shared" si="149"/>
        <v>710676826.86308026</v>
      </c>
      <c r="DG298" s="16">
        <f t="shared" si="149"/>
        <v>725007175.5918119</v>
      </c>
      <c r="DH298" s="16">
        <f t="shared" si="149"/>
        <v>723983139.30459869</v>
      </c>
      <c r="DI298" s="16">
        <f t="shared" si="149"/>
        <v>710721385.07149506</v>
      </c>
      <c r="DJ298" s="16">
        <f t="shared" si="149"/>
        <v>735310659.96996224</v>
      </c>
      <c r="DK298" s="16">
        <f t="shared" si="149"/>
        <v>665041633.60292184</v>
      </c>
      <c r="DL298" s="16">
        <f t="shared" si="149"/>
        <v>741476790.38699758</v>
      </c>
      <c r="DM298" s="16">
        <f t="shared" si="149"/>
        <v>726825514.43287754</v>
      </c>
      <c r="DN298" s="16">
        <f t="shared" si="149"/>
        <v>597996844.99639976</v>
      </c>
      <c r="DO298" s="16">
        <f t="shared" si="149"/>
        <v>597996844.99639976</v>
      </c>
      <c r="DP298" s="16">
        <f t="shared" si="149"/>
        <v>171674949.09798101</v>
      </c>
      <c r="DQ298" s="16">
        <f t="shared" si="149"/>
        <v>639529062.23515451</v>
      </c>
      <c r="DR298" s="16">
        <f t="shared" si="149"/>
        <v>654214203.14251792</v>
      </c>
      <c r="DS298" s="16">
        <f t="shared" si="149"/>
        <v>675964060.61401427</v>
      </c>
      <c r="DT298" s="16">
        <f t="shared" si="149"/>
        <v>694688765.61520195</v>
      </c>
      <c r="DU298" s="16">
        <f t="shared" si="149"/>
        <v>704327046.11401427</v>
      </c>
      <c r="DV298" s="16">
        <f t="shared" si="149"/>
        <v>787470734.50296926</v>
      </c>
      <c r="DW298" s="16">
        <f t="shared" si="149"/>
        <v>839980431.95843244</v>
      </c>
      <c r="DX298" s="16">
        <f t="shared" si="149"/>
        <v>842554054.28622341</v>
      </c>
      <c r="DY298" s="16">
        <f t="shared" si="149"/>
        <v>870397496.80760109</v>
      </c>
      <c r="DZ298" s="16">
        <f t="shared" si="149"/>
        <v>833053681.01543951</v>
      </c>
      <c r="EA298" s="16">
        <f t="shared" ref="EA298:FF298" si="150">SUM(EA266:EA297)</f>
        <v>699145770.16924</v>
      </c>
      <c r="EB298" s="16">
        <f t="shared" si="150"/>
        <v>699145770.16924</v>
      </c>
      <c r="EC298" s="16">
        <f t="shared" si="150"/>
        <v>242347630.17534551</v>
      </c>
      <c r="ED298" s="16">
        <f t="shared" si="150"/>
        <v>819691321.63718963</v>
      </c>
      <c r="EE298" s="16">
        <f t="shared" si="150"/>
        <v>893810431.89850378</v>
      </c>
      <c r="EF298" s="16">
        <f t="shared" si="150"/>
        <v>971663485.59117556</v>
      </c>
      <c r="EG298" s="16">
        <f t="shared" si="150"/>
        <v>985876539.89869308</v>
      </c>
      <c r="EH298" s="16">
        <f t="shared" si="150"/>
        <v>982191491.40352178</v>
      </c>
      <c r="EI298" s="16">
        <f t="shared" si="150"/>
        <v>985446067.70535851</v>
      </c>
      <c r="EJ298" s="16">
        <f t="shared" si="150"/>
        <v>1069418635.1730729</v>
      </c>
      <c r="EK298" s="16">
        <f t="shared" si="150"/>
        <v>1053301263.4777501</v>
      </c>
      <c r="EL298" s="16">
        <f t="shared" si="150"/>
        <v>924600400.57867801</v>
      </c>
      <c r="EM298" s="16">
        <f t="shared" si="150"/>
        <v>917643897.48059046</v>
      </c>
      <c r="EN298" s="16">
        <f t="shared" si="150"/>
        <v>863097913.47585654</v>
      </c>
      <c r="EO298" s="16">
        <f t="shared" si="150"/>
        <v>863097913.47585654</v>
      </c>
      <c r="EP298" s="16">
        <f t="shared" si="150"/>
        <v>317360596</v>
      </c>
      <c r="EQ298" s="16">
        <f t="shared" si="150"/>
        <v>875953216</v>
      </c>
      <c r="ER298" s="16">
        <f t="shared" si="150"/>
        <v>890547541</v>
      </c>
      <c r="ES298" s="16">
        <f t="shared" si="150"/>
        <v>924918123</v>
      </c>
      <c r="ET298" s="16">
        <f t="shared" si="150"/>
        <v>951372365</v>
      </c>
      <c r="EU298" s="16">
        <f t="shared" si="150"/>
        <v>968306096</v>
      </c>
      <c r="EV298" s="16">
        <f t="shared" si="150"/>
        <v>953536721</v>
      </c>
      <c r="EW298" s="16">
        <f t="shared" si="150"/>
        <v>971671985</v>
      </c>
      <c r="EX298" s="16">
        <f t="shared" si="150"/>
        <v>950091503</v>
      </c>
      <c r="EY298" s="16">
        <f t="shared" si="150"/>
        <v>941750120</v>
      </c>
      <c r="EZ298" s="16">
        <f t="shared" si="150"/>
        <v>933757084</v>
      </c>
      <c r="FA298" s="16">
        <f t="shared" si="150"/>
        <v>900779159</v>
      </c>
      <c r="FB298" s="16">
        <f t="shared" si="150"/>
        <v>900779159</v>
      </c>
      <c r="FC298" s="16">
        <f t="shared" si="150"/>
        <v>831376361</v>
      </c>
      <c r="FD298" s="16">
        <f t="shared" si="150"/>
        <v>828407144</v>
      </c>
      <c r="FE298" s="16">
        <f t="shared" si="150"/>
        <v>836170277</v>
      </c>
      <c r="FF298" s="16">
        <f t="shared" si="150"/>
        <v>836170277</v>
      </c>
      <c r="FG298" s="16">
        <f t="shared" ref="FG298:GL298" si="151">SUM(FG266:FG297)</f>
        <v>804033231</v>
      </c>
      <c r="FH298" s="16">
        <f t="shared" si="151"/>
        <v>886721464</v>
      </c>
      <c r="FI298" s="16">
        <f t="shared" si="151"/>
        <v>915223020</v>
      </c>
      <c r="FJ298" s="16">
        <f t="shared" si="151"/>
        <v>0</v>
      </c>
      <c r="FK298" s="16">
        <f t="shared" si="151"/>
        <v>0</v>
      </c>
      <c r="FL298" s="16">
        <f t="shared" si="151"/>
        <v>0</v>
      </c>
      <c r="FM298" s="16">
        <f t="shared" si="151"/>
        <v>0</v>
      </c>
      <c r="FN298" s="16">
        <f t="shared" si="151"/>
        <v>0</v>
      </c>
      <c r="FO298" s="16">
        <f t="shared" si="151"/>
        <v>915223020</v>
      </c>
    </row>
    <row r="299" spans="2:171" ht="14.25" customHeight="1" thickTop="1" x14ac:dyDescent="0.3">
      <c r="B299" s="4" t="s">
        <v>92</v>
      </c>
    </row>
    <row r="300" spans="2:171" ht="14.25" customHeight="1" x14ac:dyDescent="0.3">
      <c r="C300" s="38" t="s">
        <v>4</v>
      </c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8" t="s">
        <v>5</v>
      </c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8" t="s">
        <v>6</v>
      </c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8" t="s">
        <v>7</v>
      </c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8" t="s">
        <v>8</v>
      </c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8" t="s">
        <v>9</v>
      </c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  <c r="CC300" s="38" t="s">
        <v>10</v>
      </c>
      <c r="CD300" s="39"/>
      <c r="CE300" s="39"/>
      <c r="CF300" s="39"/>
      <c r="CG300" s="39"/>
      <c r="CH300" s="39"/>
      <c r="CI300" s="39"/>
      <c r="CJ300" s="39"/>
      <c r="CK300" s="39"/>
      <c r="CL300" s="39"/>
      <c r="CM300" s="39"/>
      <c r="CN300" s="39"/>
      <c r="CO300" s="39"/>
      <c r="CP300" s="38" t="s">
        <v>11</v>
      </c>
      <c r="CQ300" s="39"/>
      <c r="CR300" s="39"/>
      <c r="CS300" s="39"/>
      <c r="CT300" s="39"/>
      <c r="CU300" s="39"/>
      <c r="CV300" s="39"/>
      <c r="CW300" s="39"/>
      <c r="CX300" s="39"/>
      <c r="CY300" s="39"/>
      <c r="CZ300" s="39"/>
      <c r="DA300" s="39"/>
      <c r="DB300" s="39"/>
      <c r="DC300" s="38" t="s">
        <v>12</v>
      </c>
      <c r="DD300" s="39"/>
      <c r="DE300" s="39"/>
      <c r="DF300" s="39"/>
      <c r="DG300" s="39"/>
      <c r="DH300" s="39"/>
      <c r="DI300" s="39"/>
      <c r="DJ300" s="39"/>
      <c r="DK300" s="39"/>
      <c r="DL300" s="39"/>
      <c r="DM300" s="39"/>
      <c r="DN300" s="39"/>
      <c r="DO300" s="39"/>
      <c r="DP300" s="38" t="s">
        <v>13</v>
      </c>
      <c r="DQ300" s="39"/>
      <c r="DR300" s="39"/>
      <c r="DS300" s="39"/>
      <c r="DT300" s="39"/>
      <c r="DU300" s="39"/>
      <c r="DV300" s="39"/>
      <c r="DW300" s="39"/>
      <c r="DX300" s="39"/>
      <c r="DY300" s="39"/>
      <c r="DZ300" s="39"/>
      <c r="EA300" s="39"/>
      <c r="EB300" s="39"/>
      <c r="EC300" s="38" t="s">
        <v>14</v>
      </c>
      <c r="ED300" s="39"/>
      <c r="EE300" s="39"/>
      <c r="EF300" s="39"/>
      <c r="EG300" s="39"/>
      <c r="EH300" s="39"/>
      <c r="EI300" s="39"/>
      <c r="EJ300" s="39"/>
      <c r="EK300" s="39"/>
      <c r="EL300" s="39"/>
      <c r="EM300" s="39"/>
      <c r="EN300" s="39"/>
      <c r="EO300" s="39"/>
      <c r="EP300" s="38" t="s">
        <v>15</v>
      </c>
      <c r="EQ300" s="39"/>
      <c r="ER300" s="39"/>
      <c r="ES300" s="39"/>
      <c r="ET300" s="39"/>
      <c r="EU300" s="39"/>
      <c r="EV300" s="39"/>
      <c r="EW300" s="39"/>
      <c r="EX300" s="39"/>
      <c r="EY300" s="39"/>
      <c r="EZ300" s="39"/>
      <c r="FA300" s="39"/>
      <c r="FB300" s="39"/>
      <c r="FC300" s="38" t="s">
        <v>16</v>
      </c>
      <c r="FD300" s="39"/>
      <c r="FE300" s="39"/>
      <c r="FF300" s="39"/>
      <c r="FG300" s="39"/>
      <c r="FH300" s="39"/>
      <c r="FI300" s="39"/>
      <c r="FJ300" s="39"/>
      <c r="FK300" s="39"/>
      <c r="FL300" s="39"/>
      <c r="FM300" s="39"/>
      <c r="FN300" s="39"/>
      <c r="FO300" s="39"/>
    </row>
    <row r="301" spans="2:171" ht="14.25" customHeight="1" x14ac:dyDescent="0.3">
      <c r="B301" s="5" t="s">
        <v>17</v>
      </c>
      <c r="C301" s="6" t="s">
        <v>18</v>
      </c>
      <c r="D301" s="6" t="s">
        <v>19</v>
      </c>
      <c r="E301" s="6" t="s">
        <v>20</v>
      </c>
      <c r="F301" s="6" t="s">
        <v>21</v>
      </c>
      <c r="G301" s="6" t="s">
        <v>22</v>
      </c>
      <c r="H301" s="6" t="s">
        <v>23</v>
      </c>
      <c r="I301" s="6" t="s">
        <v>24</v>
      </c>
      <c r="J301" s="6" t="s">
        <v>25</v>
      </c>
      <c r="K301" s="6" t="s">
        <v>26</v>
      </c>
      <c r="L301" s="6" t="s">
        <v>27</v>
      </c>
      <c r="M301" s="6" t="s">
        <v>28</v>
      </c>
      <c r="N301" s="6" t="s">
        <v>29</v>
      </c>
      <c r="O301" s="6" t="s">
        <v>30</v>
      </c>
      <c r="P301" s="6" t="s">
        <v>18</v>
      </c>
      <c r="Q301" s="6" t="s">
        <v>19</v>
      </c>
      <c r="R301" s="6" t="s">
        <v>20</v>
      </c>
      <c r="S301" s="6" t="s">
        <v>21</v>
      </c>
      <c r="T301" s="6" t="s">
        <v>22</v>
      </c>
      <c r="U301" s="6" t="s">
        <v>23</v>
      </c>
      <c r="V301" s="6" t="s">
        <v>24</v>
      </c>
      <c r="W301" s="6" t="s">
        <v>25</v>
      </c>
      <c r="X301" s="6" t="s">
        <v>26</v>
      </c>
      <c r="Y301" s="6" t="s">
        <v>27</v>
      </c>
      <c r="Z301" s="6" t="s">
        <v>28</v>
      </c>
      <c r="AA301" s="6" t="s">
        <v>29</v>
      </c>
      <c r="AB301" s="6" t="s">
        <v>31</v>
      </c>
      <c r="AC301" s="6" t="s">
        <v>18</v>
      </c>
      <c r="AD301" s="6" t="s">
        <v>19</v>
      </c>
      <c r="AE301" s="6" t="s">
        <v>20</v>
      </c>
      <c r="AF301" s="6" t="s">
        <v>21</v>
      </c>
      <c r="AG301" s="6" t="s">
        <v>22</v>
      </c>
      <c r="AH301" s="6" t="s">
        <v>23</v>
      </c>
      <c r="AI301" s="6" t="s">
        <v>24</v>
      </c>
      <c r="AJ301" s="6" t="s">
        <v>25</v>
      </c>
      <c r="AK301" s="6" t="s">
        <v>26</v>
      </c>
      <c r="AL301" s="6" t="s">
        <v>27</v>
      </c>
      <c r="AM301" s="6" t="s">
        <v>28</v>
      </c>
      <c r="AN301" s="6" t="s">
        <v>29</v>
      </c>
      <c r="AO301" s="6" t="s">
        <v>32</v>
      </c>
      <c r="AP301" s="6" t="s">
        <v>18</v>
      </c>
      <c r="AQ301" s="6" t="s">
        <v>19</v>
      </c>
      <c r="AR301" s="6" t="s">
        <v>20</v>
      </c>
      <c r="AS301" s="6" t="s">
        <v>21</v>
      </c>
      <c r="AT301" s="6" t="s">
        <v>22</v>
      </c>
      <c r="AU301" s="6" t="s">
        <v>23</v>
      </c>
      <c r="AV301" s="6" t="s">
        <v>24</v>
      </c>
      <c r="AW301" s="6" t="s">
        <v>25</v>
      </c>
      <c r="AX301" s="6" t="s">
        <v>26</v>
      </c>
      <c r="AY301" s="6" t="s">
        <v>27</v>
      </c>
      <c r="AZ301" s="6" t="s">
        <v>28</v>
      </c>
      <c r="BA301" s="6" t="s">
        <v>29</v>
      </c>
      <c r="BB301" s="6" t="s">
        <v>33</v>
      </c>
      <c r="BC301" s="6" t="s">
        <v>18</v>
      </c>
      <c r="BD301" s="6" t="s">
        <v>19</v>
      </c>
      <c r="BE301" s="6" t="s">
        <v>20</v>
      </c>
      <c r="BF301" s="6" t="s">
        <v>21</v>
      </c>
      <c r="BG301" s="6" t="s">
        <v>22</v>
      </c>
      <c r="BH301" s="6" t="s">
        <v>23</v>
      </c>
      <c r="BI301" s="6" t="s">
        <v>24</v>
      </c>
      <c r="BJ301" s="6" t="s">
        <v>25</v>
      </c>
      <c r="BK301" s="6" t="s">
        <v>26</v>
      </c>
      <c r="BL301" s="6" t="s">
        <v>27</v>
      </c>
      <c r="BM301" s="6" t="s">
        <v>28</v>
      </c>
      <c r="BN301" s="6" t="s">
        <v>29</v>
      </c>
      <c r="BO301" s="6" t="s">
        <v>34</v>
      </c>
      <c r="BP301" s="6" t="s">
        <v>18</v>
      </c>
      <c r="BQ301" s="6" t="s">
        <v>19</v>
      </c>
      <c r="BR301" s="6" t="s">
        <v>20</v>
      </c>
      <c r="BS301" s="6" t="s">
        <v>21</v>
      </c>
      <c r="BT301" s="6" t="s">
        <v>22</v>
      </c>
      <c r="BU301" s="6" t="s">
        <v>23</v>
      </c>
      <c r="BV301" s="6" t="s">
        <v>24</v>
      </c>
      <c r="BW301" s="6" t="s">
        <v>25</v>
      </c>
      <c r="BX301" s="6" t="s">
        <v>26</v>
      </c>
      <c r="BY301" s="6" t="s">
        <v>27</v>
      </c>
      <c r="BZ301" s="6" t="s">
        <v>28</v>
      </c>
      <c r="CA301" s="6" t="s">
        <v>29</v>
      </c>
      <c r="CB301" s="6" t="s">
        <v>35</v>
      </c>
      <c r="CC301" s="6" t="s">
        <v>18</v>
      </c>
      <c r="CD301" s="6" t="s">
        <v>19</v>
      </c>
      <c r="CE301" s="6" t="s">
        <v>20</v>
      </c>
      <c r="CF301" s="6" t="s">
        <v>21</v>
      </c>
      <c r="CG301" s="6" t="s">
        <v>22</v>
      </c>
      <c r="CH301" s="6" t="s">
        <v>23</v>
      </c>
      <c r="CI301" s="6" t="s">
        <v>24</v>
      </c>
      <c r="CJ301" s="6" t="s">
        <v>25</v>
      </c>
      <c r="CK301" s="6" t="s">
        <v>26</v>
      </c>
      <c r="CL301" s="6" t="s">
        <v>27</v>
      </c>
      <c r="CM301" s="6" t="s">
        <v>28</v>
      </c>
      <c r="CN301" s="6" t="s">
        <v>29</v>
      </c>
      <c r="CO301" s="6" t="s">
        <v>36</v>
      </c>
      <c r="CP301" s="6" t="s">
        <v>18</v>
      </c>
      <c r="CQ301" s="6" t="s">
        <v>19</v>
      </c>
      <c r="CR301" s="6" t="s">
        <v>20</v>
      </c>
      <c r="CS301" s="6" t="s">
        <v>21</v>
      </c>
      <c r="CT301" s="6" t="s">
        <v>22</v>
      </c>
      <c r="CU301" s="6" t="s">
        <v>23</v>
      </c>
      <c r="CV301" s="6" t="s">
        <v>24</v>
      </c>
      <c r="CW301" s="6" t="s">
        <v>25</v>
      </c>
      <c r="CX301" s="6" t="s">
        <v>26</v>
      </c>
      <c r="CY301" s="6" t="s">
        <v>27</v>
      </c>
      <c r="CZ301" s="6" t="s">
        <v>28</v>
      </c>
      <c r="DA301" s="6" t="s">
        <v>29</v>
      </c>
      <c r="DB301" s="6" t="s">
        <v>37</v>
      </c>
      <c r="DC301" s="6" t="s">
        <v>18</v>
      </c>
      <c r="DD301" s="6" t="s">
        <v>19</v>
      </c>
      <c r="DE301" s="6" t="s">
        <v>20</v>
      </c>
      <c r="DF301" s="6" t="s">
        <v>21</v>
      </c>
      <c r="DG301" s="6" t="s">
        <v>22</v>
      </c>
      <c r="DH301" s="6" t="s">
        <v>23</v>
      </c>
      <c r="DI301" s="6" t="s">
        <v>24</v>
      </c>
      <c r="DJ301" s="6" t="s">
        <v>25</v>
      </c>
      <c r="DK301" s="6" t="s">
        <v>26</v>
      </c>
      <c r="DL301" s="6" t="s">
        <v>27</v>
      </c>
      <c r="DM301" s="6" t="s">
        <v>28</v>
      </c>
      <c r="DN301" s="6" t="s">
        <v>29</v>
      </c>
      <c r="DO301" s="6" t="s">
        <v>38</v>
      </c>
      <c r="DP301" s="6" t="s">
        <v>18</v>
      </c>
      <c r="DQ301" s="6" t="s">
        <v>19</v>
      </c>
      <c r="DR301" s="6" t="s">
        <v>20</v>
      </c>
      <c r="DS301" s="6" t="s">
        <v>21</v>
      </c>
      <c r="DT301" s="6" t="s">
        <v>22</v>
      </c>
      <c r="DU301" s="6" t="s">
        <v>23</v>
      </c>
      <c r="DV301" s="6" t="s">
        <v>24</v>
      </c>
      <c r="DW301" s="6" t="s">
        <v>25</v>
      </c>
      <c r="DX301" s="6" t="s">
        <v>26</v>
      </c>
      <c r="DY301" s="6" t="s">
        <v>27</v>
      </c>
      <c r="DZ301" s="6" t="s">
        <v>28</v>
      </c>
      <c r="EA301" s="6" t="s">
        <v>29</v>
      </c>
      <c r="EB301" s="6" t="s">
        <v>39</v>
      </c>
      <c r="EC301" s="6" t="s">
        <v>18</v>
      </c>
      <c r="ED301" s="6" t="s">
        <v>19</v>
      </c>
      <c r="EE301" s="6" t="s">
        <v>20</v>
      </c>
      <c r="EF301" s="6" t="s">
        <v>21</v>
      </c>
      <c r="EG301" s="6" t="s">
        <v>22</v>
      </c>
      <c r="EH301" s="6" t="s">
        <v>23</v>
      </c>
      <c r="EI301" s="6" t="s">
        <v>24</v>
      </c>
      <c r="EJ301" s="6" t="s">
        <v>25</v>
      </c>
      <c r="EK301" s="6" t="s">
        <v>26</v>
      </c>
      <c r="EL301" s="6" t="s">
        <v>27</v>
      </c>
      <c r="EM301" s="6" t="s">
        <v>28</v>
      </c>
      <c r="EN301" s="6" t="s">
        <v>29</v>
      </c>
      <c r="EO301" s="6" t="s">
        <v>40</v>
      </c>
      <c r="EP301" s="6" t="s">
        <v>18</v>
      </c>
      <c r="EQ301" s="6" t="s">
        <v>19</v>
      </c>
      <c r="ER301" s="6" t="s">
        <v>20</v>
      </c>
      <c r="ES301" s="6" t="s">
        <v>21</v>
      </c>
      <c r="ET301" s="6" t="s">
        <v>22</v>
      </c>
      <c r="EU301" s="6" t="s">
        <v>23</v>
      </c>
      <c r="EV301" s="6" t="s">
        <v>24</v>
      </c>
      <c r="EW301" s="6" t="s">
        <v>25</v>
      </c>
      <c r="EX301" s="6" t="s">
        <v>26</v>
      </c>
      <c r="EY301" s="6" t="s">
        <v>27</v>
      </c>
      <c r="EZ301" s="6" t="s">
        <v>28</v>
      </c>
      <c r="FA301" s="6" t="s">
        <v>29</v>
      </c>
      <c r="FB301" s="6" t="s">
        <v>41</v>
      </c>
      <c r="FC301" s="6" t="s">
        <v>18</v>
      </c>
      <c r="FD301" s="6" t="s">
        <v>19</v>
      </c>
      <c r="FE301" s="6" t="s">
        <v>20</v>
      </c>
      <c r="FF301" s="6" t="s">
        <v>21</v>
      </c>
      <c r="FG301" s="6" t="s">
        <v>22</v>
      </c>
      <c r="FH301" s="6" t="s">
        <v>23</v>
      </c>
      <c r="FI301" s="6" t="s">
        <v>24</v>
      </c>
      <c r="FJ301" s="6" t="s">
        <v>25</v>
      </c>
      <c r="FK301" s="6" t="s">
        <v>26</v>
      </c>
      <c r="FL301" s="6" t="s">
        <v>27</v>
      </c>
      <c r="FM301" s="6" t="s">
        <v>28</v>
      </c>
      <c r="FN301" s="6" t="s">
        <v>29</v>
      </c>
      <c r="FO301" s="6" t="s">
        <v>42</v>
      </c>
    </row>
    <row r="302" spans="2:171" ht="14.25" customHeight="1" x14ac:dyDescent="0.3">
      <c r="B302" s="7" t="s">
        <v>43</v>
      </c>
      <c r="C302" s="8">
        <f>+MINVU_Mes_Corriente!C302*SALUD_Mes_Constante!$C$1</f>
        <v>0</v>
      </c>
      <c r="D302" s="8">
        <f>+MINVU_Mes_Corriente!D302*SALUD_Mes_Constante!$C$1</f>
        <v>0</v>
      </c>
      <c r="E302" s="8">
        <f>+MINVU_Mes_Corriente!E302*SALUD_Mes_Constante!$C$1</f>
        <v>0</v>
      </c>
      <c r="F302" s="8">
        <f>+MINVU_Mes_Corriente!F302*SALUD_Mes_Constante!$C$1</f>
        <v>0</v>
      </c>
      <c r="G302" s="8">
        <f>+MINVU_Mes_Corriente!G302*SALUD_Mes_Constante!$C$1</f>
        <v>0</v>
      </c>
      <c r="H302" s="8">
        <f>+MINVU_Mes_Corriente!H302*SALUD_Mes_Constante!$C$1</f>
        <v>0</v>
      </c>
      <c r="I302" s="8">
        <f>+MINVU_Mes_Corriente!I302*SALUD_Mes_Constante!$C$1</f>
        <v>0</v>
      </c>
      <c r="J302" s="8">
        <f>+MINVU_Mes_Corriente!J302*SALUD_Mes_Constante!$C$1</f>
        <v>0</v>
      </c>
      <c r="K302" s="8">
        <f>+MINVU_Mes_Corriente!K302*SALUD_Mes_Constante!$C$1</f>
        <v>0</v>
      </c>
      <c r="L302" s="8">
        <f>+MINVU_Mes_Corriente!L302*SALUD_Mes_Constante!$C$1</f>
        <v>0</v>
      </c>
      <c r="M302" s="8">
        <f>+MINVU_Mes_Corriente!M302*SALUD_Mes_Constante!$C$1</f>
        <v>0</v>
      </c>
      <c r="N302" s="8">
        <f>+MINVU_Mes_Corriente!N302*SALUD_Mes_Constante!$C$1</f>
        <v>0</v>
      </c>
      <c r="O302" s="9">
        <f t="shared" ref="O302:O333" si="152">N302</f>
        <v>0</v>
      </c>
      <c r="P302" s="8">
        <f>+MINVU_Mes_Corriente!P302*SALUD_Mes_Constante!$P$1</f>
        <v>0</v>
      </c>
      <c r="Q302" s="8">
        <f>+MINVU_Mes_Corriente!Q302*SALUD_Mes_Constante!$P$1</f>
        <v>0</v>
      </c>
      <c r="R302" s="8">
        <f>+MINVU_Mes_Corriente!R302*SALUD_Mes_Constante!$P$1</f>
        <v>0</v>
      </c>
      <c r="S302" s="8">
        <f>+MINVU_Mes_Corriente!S302*SALUD_Mes_Constante!$P$1</f>
        <v>0</v>
      </c>
      <c r="T302" s="8">
        <f>+MINVU_Mes_Corriente!T302*SALUD_Mes_Constante!$P$1</f>
        <v>0</v>
      </c>
      <c r="U302" s="8">
        <f>+MINVU_Mes_Corriente!U302*SALUD_Mes_Constante!$P$1</f>
        <v>0</v>
      </c>
      <c r="V302" s="8">
        <f>+MINVU_Mes_Corriente!V302*SALUD_Mes_Constante!$P$1</f>
        <v>0</v>
      </c>
      <c r="W302" s="8">
        <f>+MINVU_Mes_Corriente!W302*SALUD_Mes_Constante!$P$1</f>
        <v>0</v>
      </c>
      <c r="X302" s="8">
        <f>+MINVU_Mes_Corriente!X302*SALUD_Mes_Constante!$P$1</f>
        <v>0</v>
      </c>
      <c r="Y302" s="8">
        <f>+MINVU_Mes_Corriente!Y302*SALUD_Mes_Constante!$P$1</f>
        <v>0</v>
      </c>
      <c r="Z302" s="8">
        <f>+MINVU_Mes_Corriente!Z302*SALUD_Mes_Constante!$P$1</f>
        <v>0</v>
      </c>
      <c r="AA302" s="8">
        <f>+MINVU_Mes_Corriente!AA302*SALUD_Mes_Constante!$P$1</f>
        <v>0</v>
      </c>
      <c r="AB302" s="9">
        <f t="shared" ref="AB302:AB333" si="153">AA302</f>
        <v>0</v>
      </c>
      <c r="AC302" s="8">
        <f>+MINVU_Mes_Corriente!AC302*SALUD_Mes_Constante!$AC$1</f>
        <v>0</v>
      </c>
      <c r="AD302" s="8">
        <f>+MINVU_Mes_Corriente!AD302*SALUD_Mes_Constante!$AC$1</f>
        <v>0</v>
      </c>
      <c r="AE302" s="8">
        <f>+MINVU_Mes_Corriente!AE302*SALUD_Mes_Constante!$AC$1</f>
        <v>0</v>
      </c>
      <c r="AF302" s="8">
        <f>+MINVU_Mes_Corriente!AF302*SALUD_Mes_Constante!$AC$1</f>
        <v>0</v>
      </c>
      <c r="AG302" s="8">
        <f>+MINVU_Mes_Corriente!AG302*SALUD_Mes_Constante!$AC$1</f>
        <v>0</v>
      </c>
      <c r="AH302" s="8">
        <f>+MINVU_Mes_Corriente!AH302*SALUD_Mes_Constante!$AC$1</f>
        <v>0</v>
      </c>
      <c r="AI302" s="8">
        <f>+MINVU_Mes_Corriente!AI302*SALUD_Mes_Constante!$AC$1</f>
        <v>0</v>
      </c>
      <c r="AJ302" s="8">
        <f>+MINVU_Mes_Corriente!AJ302*SALUD_Mes_Constante!$AC$1</f>
        <v>0</v>
      </c>
      <c r="AK302" s="8">
        <f>+MINVU_Mes_Corriente!AK302*SALUD_Mes_Constante!$AC$1</f>
        <v>0</v>
      </c>
      <c r="AL302" s="8">
        <f>+MINVU_Mes_Corriente!AL302*SALUD_Mes_Constante!$AC$1</f>
        <v>0</v>
      </c>
      <c r="AM302" s="8">
        <f>+MINVU_Mes_Corriente!AM302*SALUD_Mes_Constante!$AC$1</f>
        <v>0</v>
      </c>
      <c r="AN302" s="8">
        <f>+MINVU_Mes_Corriente!AN302*SALUD_Mes_Constante!$AC$1</f>
        <v>0</v>
      </c>
      <c r="AO302" s="9">
        <f t="shared" ref="AO302:AO333" si="154">AN302</f>
        <v>0</v>
      </c>
      <c r="AP302" s="8">
        <f>+MINVU_Mes_Corriente!AP302*SALUD_Mes_Constante!$AP$1</f>
        <v>0</v>
      </c>
      <c r="AQ302" s="8">
        <f>+MINVU_Mes_Corriente!AQ302*SALUD_Mes_Constante!$AP$1</f>
        <v>0</v>
      </c>
      <c r="AR302" s="8">
        <f>+MINVU_Mes_Corriente!AR302*SALUD_Mes_Constante!$AP$1</f>
        <v>0</v>
      </c>
      <c r="AS302" s="8">
        <f>+MINVU_Mes_Corriente!AS302*SALUD_Mes_Constante!$AP$1</f>
        <v>0</v>
      </c>
      <c r="AT302" s="8">
        <f>+MINVU_Mes_Corriente!AT302*SALUD_Mes_Constante!$AP$1</f>
        <v>0</v>
      </c>
      <c r="AU302" s="8">
        <f>+MINVU_Mes_Corriente!AU302*SALUD_Mes_Constante!$AP$1</f>
        <v>0</v>
      </c>
      <c r="AV302" s="8">
        <f>+MINVU_Mes_Corriente!AV302*SALUD_Mes_Constante!$AP$1</f>
        <v>0</v>
      </c>
      <c r="AW302" s="8">
        <f>+MINVU_Mes_Corriente!AW302*SALUD_Mes_Constante!$AP$1</f>
        <v>0</v>
      </c>
      <c r="AX302" s="8">
        <f>+MINVU_Mes_Corriente!AX302*SALUD_Mes_Constante!$AP$1</f>
        <v>0</v>
      </c>
      <c r="AY302" s="8">
        <f>+MINVU_Mes_Corriente!AY302*SALUD_Mes_Constante!$AP$1</f>
        <v>0</v>
      </c>
      <c r="AZ302" s="8">
        <f>+MINVU_Mes_Corriente!AZ302*SALUD_Mes_Constante!$AP$1</f>
        <v>0</v>
      </c>
      <c r="BA302" s="8">
        <f>+MINVU_Mes_Corriente!BA302*SALUD_Mes_Constante!$AP$1</f>
        <v>0</v>
      </c>
      <c r="BB302" s="9">
        <f t="shared" ref="BB302:BB333" si="155">BA302</f>
        <v>0</v>
      </c>
      <c r="BC302" s="8">
        <f>+MINVU_Mes_Corriente!BC302*SALUD_Mes_Constante!$BC$1</f>
        <v>0</v>
      </c>
      <c r="BD302" s="8">
        <f>+MINVU_Mes_Corriente!BD302*SALUD_Mes_Constante!$BC$1</f>
        <v>0</v>
      </c>
      <c r="BE302" s="8">
        <f>+MINVU_Mes_Corriente!BE302*SALUD_Mes_Constante!$BC$1</f>
        <v>0</v>
      </c>
      <c r="BF302" s="8">
        <f>+MINVU_Mes_Corriente!BF302*SALUD_Mes_Constante!$BC$1</f>
        <v>0</v>
      </c>
      <c r="BG302" s="8">
        <f>+MINVU_Mes_Corriente!BG302*SALUD_Mes_Constante!$BC$1</f>
        <v>0</v>
      </c>
      <c r="BH302" s="8">
        <f>+MINVU_Mes_Corriente!BH302*SALUD_Mes_Constante!$BC$1</f>
        <v>0</v>
      </c>
      <c r="BI302" s="8">
        <f>+MINVU_Mes_Corriente!BI302*SALUD_Mes_Constante!$BC$1</f>
        <v>0</v>
      </c>
      <c r="BJ302" s="8">
        <f>+MINVU_Mes_Corriente!BJ302*SALUD_Mes_Constante!$BC$1</f>
        <v>0</v>
      </c>
      <c r="BK302" s="8">
        <f>+MINVU_Mes_Corriente!BK302*SALUD_Mes_Constante!$BC$1</f>
        <v>0</v>
      </c>
      <c r="BL302" s="8">
        <f>+MINVU_Mes_Corriente!BL302*SALUD_Mes_Constante!$BC$1</f>
        <v>0</v>
      </c>
      <c r="BM302" s="8">
        <f>+MINVU_Mes_Corriente!BM302*SALUD_Mes_Constante!$BC$1</f>
        <v>0</v>
      </c>
      <c r="BN302" s="8">
        <f>+MINVU_Mes_Corriente!BN302*SALUD_Mes_Constante!$BC$1</f>
        <v>0</v>
      </c>
      <c r="BO302" s="9">
        <f t="shared" ref="BO302:BO333" si="156">BN302</f>
        <v>0</v>
      </c>
      <c r="BP302" s="8">
        <f>+MINVU_Mes_Corriente!BP302*SALUD_Mes_Constante!$BP$1</f>
        <v>0</v>
      </c>
      <c r="BQ302" s="8">
        <f>+MINVU_Mes_Corriente!BQ302*SALUD_Mes_Constante!$BP$1</f>
        <v>0</v>
      </c>
      <c r="BR302" s="8">
        <f>+MINVU_Mes_Corriente!BR302*SALUD_Mes_Constante!$BP$1</f>
        <v>0</v>
      </c>
      <c r="BS302" s="8">
        <f>+MINVU_Mes_Corriente!BS302*SALUD_Mes_Constante!$BP$1</f>
        <v>0</v>
      </c>
      <c r="BT302" s="8">
        <f>+MINVU_Mes_Corriente!BT302*SALUD_Mes_Constante!$BP$1</f>
        <v>0</v>
      </c>
      <c r="BU302" s="8">
        <f>+MINVU_Mes_Corriente!BU302*SALUD_Mes_Constante!$BP$1</f>
        <v>0</v>
      </c>
      <c r="BV302" s="8">
        <f>+MINVU_Mes_Corriente!BV302*SALUD_Mes_Constante!$BP$1</f>
        <v>0</v>
      </c>
      <c r="BW302" s="8">
        <f>+MINVU_Mes_Corriente!BW302*SALUD_Mes_Constante!$BP$1</f>
        <v>0</v>
      </c>
      <c r="BX302" s="8">
        <f>+MINVU_Mes_Corriente!BX302*SALUD_Mes_Constante!$BP$1</f>
        <v>0</v>
      </c>
      <c r="BY302" s="8">
        <f>+MINVU_Mes_Corriente!BY302*SALUD_Mes_Constante!$BP$1</f>
        <v>0</v>
      </c>
      <c r="BZ302" s="8">
        <f>+MINVU_Mes_Corriente!BZ302*SALUD_Mes_Constante!$BP$1</f>
        <v>0</v>
      </c>
      <c r="CA302" s="8">
        <f>+MINVU_Mes_Corriente!CA302*SALUD_Mes_Constante!$BP$1</f>
        <v>0</v>
      </c>
      <c r="CB302" s="9">
        <f t="shared" ref="CB302:CB333" si="157">CA302</f>
        <v>0</v>
      </c>
      <c r="CC302" s="8">
        <f>+MINVU_Mes_Corriente!CC302*SALUD_Mes_Constante!$CC$1</f>
        <v>0</v>
      </c>
      <c r="CD302" s="8">
        <f>+MINVU_Mes_Corriente!CD302*SALUD_Mes_Constante!$CC$1</f>
        <v>0</v>
      </c>
      <c r="CE302" s="8">
        <f>+MINVU_Mes_Corriente!CE302*SALUD_Mes_Constante!$CC$1</f>
        <v>0</v>
      </c>
      <c r="CF302" s="8">
        <f>+MINVU_Mes_Corriente!CF302*SALUD_Mes_Constante!$CC$1</f>
        <v>0</v>
      </c>
      <c r="CG302" s="8">
        <f>+MINVU_Mes_Corriente!CG302*SALUD_Mes_Constante!$CC$1</f>
        <v>0</v>
      </c>
      <c r="CH302" s="8">
        <f>+MINVU_Mes_Corriente!CH302*SALUD_Mes_Constante!$CC$1</f>
        <v>0</v>
      </c>
      <c r="CI302" s="8">
        <f>+MINVU_Mes_Corriente!CI302*SALUD_Mes_Constante!$CC$1</f>
        <v>0</v>
      </c>
      <c r="CJ302" s="8">
        <f>+MINVU_Mes_Corriente!CJ302*SALUD_Mes_Constante!$CC$1</f>
        <v>0</v>
      </c>
      <c r="CK302" s="8">
        <f>+MINVU_Mes_Corriente!CK302*SALUD_Mes_Constante!$CC$1</f>
        <v>0</v>
      </c>
      <c r="CL302" s="8">
        <f>+MINVU_Mes_Corriente!CL302*SALUD_Mes_Constante!$CC$1</f>
        <v>0</v>
      </c>
      <c r="CM302" s="8">
        <f>+MINVU_Mes_Corriente!CM302*SALUD_Mes_Constante!$CC$1</f>
        <v>0</v>
      </c>
      <c r="CN302" s="8">
        <f>+MINVU_Mes_Corriente!CN302*SALUD_Mes_Constante!$CC$1</f>
        <v>0</v>
      </c>
      <c r="CO302" s="9">
        <f t="shared" ref="CO302:CO333" si="158">CN302</f>
        <v>0</v>
      </c>
      <c r="CP302" s="8">
        <f>+MINVU_Mes_Corriente!CP302*SALUD_Mes_Constante!$CP$1</f>
        <v>0</v>
      </c>
      <c r="CQ302" s="8">
        <f>+MINVU_Mes_Corriente!CQ302*SALUD_Mes_Constante!$CP$1</f>
        <v>0</v>
      </c>
      <c r="CR302" s="8">
        <f>+MINVU_Mes_Corriente!CR302*SALUD_Mes_Constante!$CP$1</f>
        <v>0</v>
      </c>
      <c r="CS302" s="8">
        <f>+MINVU_Mes_Corriente!CS302*SALUD_Mes_Constante!$CP$1</f>
        <v>0</v>
      </c>
      <c r="CT302" s="8">
        <f>+MINVU_Mes_Corriente!CT302*SALUD_Mes_Constante!$CP$1</f>
        <v>0</v>
      </c>
      <c r="CU302" s="8">
        <f>+MINVU_Mes_Corriente!CU302*SALUD_Mes_Constante!$CP$1</f>
        <v>0</v>
      </c>
      <c r="CV302" s="8">
        <f>+MINVU_Mes_Corriente!CV302*SALUD_Mes_Constante!$CP$1</f>
        <v>0</v>
      </c>
      <c r="CW302" s="8">
        <f>+MINVU_Mes_Corriente!CW302*SALUD_Mes_Constante!$CP$1</f>
        <v>0</v>
      </c>
      <c r="CX302" s="8">
        <f>+MINVU_Mes_Corriente!CX302*SALUD_Mes_Constante!$CP$1</f>
        <v>0</v>
      </c>
      <c r="CY302" s="8">
        <f>+MINVU_Mes_Corriente!CY302*SALUD_Mes_Constante!$CP$1</f>
        <v>0</v>
      </c>
      <c r="CZ302" s="8">
        <f>+MINVU_Mes_Corriente!CZ302*SALUD_Mes_Constante!$CP$1</f>
        <v>0</v>
      </c>
      <c r="DA302" s="8">
        <f>+MINVU_Mes_Corriente!DA302*SALUD_Mes_Constante!$CP$1</f>
        <v>0</v>
      </c>
      <c r="DB302" s="9">
        <f t="shared" ref="DB302:DB333" si="159">DA302</f>
        <v>0</v>
      </c>
      <c r="DC302" s="8">
        <f>+MINVU_Mes_Corriente!DC302*SALUD_Mes_Constante!$DC$1</f>
        <v>0</v>
      </c>
      <c r="DD302" s="8">
        <f>+MINVU_Mes_Corriente!DD302*SALUD_Mes_Constante!$DC$1</f>
        <v>0</v>
      </c>
      <c r="DE302" s="8">
        <f>+MINVU_Mes_Corriente!DE302*SALUD_Mes_Constante!$DC$1</f>
        <v>0</v>
      </c>
      <c r="DF302" s="8">
        <f>+MINVU_Mes_Corriente!DF302*SALUD_Mes_Constante!$DC$1</f>
        <v>0</v>
      </c>
      <c r="DG302" s="8">
        <f>+MINVU_Mes_Corriente!DG302*SALUD_Mes_Constante!$DC$1</f>
        <v>0</v>
      </c>
      <c r="DH302" s="8">
        <f>+MINVU_Mes_Corriente!DH302*SALUD_Mes_Constante!$DC$1</f>
        <v>0</v>
      </c>
      <c r="DI302" s="8">
        <f>+MINVU_Mes_Corriente!DI302*SALUD_Mes_Constante!$DC$1</f>
        <v>0</v>
      </c>
      <c r="DJ302" s="8">
        <f>+MINVU_Mes_Corriente!DJ302*SALUD_Mes_Constante!$DC$1</f>
        <v>0</v>
      </c>
      <c r="DK302" s="8">
        <f>+MINVU_Mes_Corriente!DK302*SALUD_Mes_Constante!$DC$1</f>
        <v>0</v>
      </c>
      <c r="DL302" s="8">
        <f>+MINVU_Mes_Corriente!DL302*SALUD_Mes_Constante!$DC$1</f>
        <v>0</v>
      </c>
      <c r="DM302" s="8">
        <f>+MINVU_Mes_Corriente!DM302*SALUD_Mes_Constante!$DC$1</f>
        <v>0</v>
      </c>
      <c r="DN302" s="8">
        <f>+MINVU_Mes_Corriente!DN302*SALUD_Mes_Constante!$DC$1</f>
        <v>0</v>
      </c>
      <c r="DO302" s="9">
        <f t="shared" ref="DO302:DO333" si="160">DN302</f>
        <v>0</v>
      </c>
      <c r="DP302" s="8">
        <f>+MINVU_Mes_Corriente!DP302*SALUD_Mes_Constante!$DP$1</f>
        <v>0</v>
      </c>
      <c r="DQ302" s="8">
        <f>+MINVU_Mes_Corriente!DQ302*SALUD_Mes_Constante!$DP$1</f>
        <v>0</v>
      </c>
      <c r="DR302" s="8">
        <f>+MINVU_Mes_Corriente!DR302*SALUD_Mes_Constante!$DP$1</f>
        <v>0</v>
      </c>
      <c r="DS302" s="8">
        <f>+MINVU_Mes_Corriente!DS302*SALUD_Mes_Constante!$DP$1</f>
        <v>0</v>
      </c>
      <c r="DT302" s="8">
        <f>+MINVU_Mes_Corriente!DT302*SALUD_Mes_Constante!$DP$1</f>
        <v>0</v>
      </c>
      <c r="DU302" s="8">
        <f>+MINVU_Mes_Corriente!DU302*SALUD_Mes_Constante!$DP$1</f>
        <v>0</v>
      </c>
      <c r="DV302" s="8">
        <f>+MINVU_Mes_Corriente!DV302*SALUD_Mes_Constante!$DP$1</f>
        <v>0</v>
      </c>
      <c r="DW302" s="8">
        <f>+MINVU_Mes_Corriente!DW302*SALUD_Mes_Constante!$DP$1</f>
        <v>0</v>
      </c>
      <c r="DX302" s="8">
        <f>+MINVU_Mes_Corriente!DX302*SALUD_Mes_Constante!$DP$1</f>
        <v>0</v>
      </c>
      <c r="DY302" s="8">
        <f>+MINVU_Mes_Corriente!DY302*SALUD_Mes_Constante!$DP$1</f>
        <v>0</v>
      </c>
      <c r="DZ302" s="8">
        <f>+MINVU_Mes_Corriente!DZ302*SALUD_Mes_Constante!$DP$1</f>
        <v>0</v>
      </c>
      <c r="EA302" s="8">
        <f>+MINVU_Mes_Corriente!EA302*SALUD_Mes_Constante!$DP$1</f>
        <v>0</v>
      </c>
      <c r="EB302" s="9">
        <f t="shared" ref="EB302:EB333" si="161">EA302</f>
        <v>0</v>
      </c>
      <c r="EC302" s="8">
        <f>+MINVU_Mes_Corriente!EC302*SALUD_Mes_Constante!$EC$1</f>
        <v>0</v>
      </c>
      <c r="ED302" s="8">
        <f>+MINVU_Mes_Corriente!ED302*SALUD_Mes_Constante!$EC$1</f>
        <v>0</v>
      </c>
      <c r="EE302" s="8">
        <f>+MINVU_Mes_Corriente!EE302*SALUD_Mes_Constante!$EC$1</f>
        <v>0</v>
      </c>
      <c r="EF302" s="8">
        <f>+MINVU_Mes_Corriente!EF302*SALUD_Mes_Constante!$EC$1</f>
        <v>0</v>
      </c>
      <c r="EG302" s="8">
        <f>+MINVU_Mes_Corriente!EG302*SALUD_Mes_Constante!$EC$1</f>
        <v>0</v>
      </c>
      <c r="EH302" s="8">
        <f>+MINVU_Mes_Corriente!EH302*SALUD_Mes_Constante!$EC$1</f>
        <v>0</v>
      </c>
      <c r="EI302" s="8">
        <f>+MINVU_Mes_Corriente!EI302*SALUD_Mes_Constante!$EC$1</f>
        <v>0</v>
      </c>
      <c r="EJ302" s="8">
        <f>+MINVU_Mes_Corriente!EJ302*SALUD_Mes_Constante!$EC$1</f>
        <v>0</v>
      </c>
      <c r="EK302" s="8">
        <f>+MINVU_Mes_Corriente!EK302*SALUD_Mes_Constante!$EC$1</f>
        <v>0</v>
      </c>
      <c r="EL302" s="8">
        <f>+MINVU_Mes_Corriente!EL302*SALUD_Mes_Constante!$EC$1</f>
        <v>0</v>
      </c>
      <c r="EM302" s="8">
        <f>+MINVU_Mes_Corriente!EM302*SALUD_Mes_Constante!$EC$1</f>
        <v>0</v>
      </c>
      <c r="EN302" s="8">
        <f>+MINVU_Mes_Corriente!EN302*SALUD_Mes_Constante!$EC$1</f>
        <v>0</v>
      </c>
      <c r="EO302" s="9">
        <f t="shared" ref="EO302:EO333" si="162">EN302</f>
        <v>0</v>
      </c>
      <c r="EP302" s="8">
        <f>+MINVU_Mes_Corriente!EP302*SALUD_Mes_Constante!$EP$1</f>
        <v>0</v>
      </c>
      <c r="EQ302" s="8">
        <f>+MINVU_Mes_Corriente!EQ302*SALUD_Mes_Constante!$EP$1</f>
        <v>0</v>
      </c>
      <c r="ER302" s="8">
        <f>+MINVU_Mes_Corriente!ER302*SALUD_Mes_Constante!$EP$1</f>
        <v>0</v>
      </c>
      <c r="ES302" s="8">
        <f>+MINVU_Mes_Corriente!ES302*SALUD_Mes_Constante!$EP$1</f>
        <v>0</v>
      </c>
      <c r="ET302" s="8">
        <f>+MINVU_Mes_Corriente!ET302*SALUD_Mes_Constante!$EP$1</f>
        <v>0</v>
      </c>
      <c r="EU302" s="8">
        <f>+MINVU_Mes_Corriente!EU302*SALUD_Mes_Constante!$EP$1</f>
        <v>0</v>
      </c>
      <c r="EV302" s="8">
        <f>+MINVU_Mes_Corriente!EV302*SALUD_Mes_Constante!$EP$1</f>
        <v>0</v>
      </c>
      <c r="EW302" s="8">
        <f>+MINVU_Mes_Corriente!EW302*SALUD_Mes_Constante!$EP$1</f>
        <v>0</v>
      </c>
      <c r="EX302" s="8">
        <f>+MINVU_Mes_Corriente!EX302*SALUD_Mes_Constante!$EP$1</f>
        <v>0</v>
      </c>
      <c r="EY302" s="8">
        <f>+MINVU_Mes_Corriente!EY302*SALUD_Mes_Constante!$EP$1</f>
        <v>0</v>
      </c>
      <c r="EZ302" s="8">
        <f>+MINVU_Mes_Corriente!EZ302*SALUD_Mes_Constante!$EP$1</f>
        <v>0</v>
      </c>
      <c r="FA302" s="8">
        <f>+MINVU_Mes_Corriente!FA302*SALUD_Mes_Constante!$EP$1</f>
        <v>0</v>
      </c>
      <c r="FB302" s="9">
        <f t="shared" ref="FB302:FB333" si="163">FA302</f>
        <v>0</v>
      </c>
      <c r="FC302" s="8">
        <f>+MINVU_Mes_Corriente!FC302*SALUD_Mes_Constante!$FC$1</f>
        <v>0</v>
      </c>
      <c r="FD302" s="8">
        <f>+MINVU_Mes_Corriente!FD302*SALUD_Mes_Constante!$FC$1</f>
        <v>0</v>
      </c>
      <c r="FE302" s="8">
        <f>+MINVU_Mes_Corriente!FE302*SALUD_Mes_Constante!$FC$1</f>
        <v>0</v>
      </c>
      <c r="FF302" s="8">
        <f>+MINVU_Mes_Corriente!FF302*SALUD_Mes_Constante!$FC$1</f>
        <v>0</v>
      </c>
      <c r="FG302" s="8">
        <f>+MINVU_Mes_Corriente!FG302*SALUD_Mes_Constante!$FC$1</f>
        <v>0</v>
      </c>
      <c r="FH302" s="8">
        <f>+MINVU_Mes_Corriente!FH302*SALUD_Mes_Constante!$FC$1</f>
        <v>0</v>
      </c>
      <c r="FI302" s="8">
        <f>+MINVU_Mes_Corriente!FI302*SALUD_Mes_Constante!$FC$1</f>
        <v>0</v>
      </c>
      <c r="FJ302" s="8"/>
      <c r="FK302" s="8"/>
      <c r="FL302" s="8"/>
      <c r="FM302" s="8"/>
      <c r="FN302" s="8"/>
      <c r="FO302" s="9">
        <f t="shared" ref="FO302:FO333" si="164">FI302</f>
        <v>0</v>
      </c>
    </row>
    <row r="303" spans="2:171" ht="14.25" customHeight="1" x14ac:dyDescent="0.3">
      <c r="B303" s="7" t="s">
        <v>44</v>
      </c>
      <c r="C303" s="8">
        <f>+MINVU_Mes_Corriente!C303*SALUD_Mes_Constante!$C$1</f>
        <v>0</v>
      </c>
      <c r="D303" s="8">
        <f>+MINVU_Mes_Corriente!D303*SALUD_Mes_Constante!$C$1</f>
        <v>0</v>
      </c>
      <c r="E303" s="8">
        <f>+MINVU_Mes_Corriente!E303*SALUD_Mes_Constante!$C$1</f>
        <v>0</v>
      </c>
      <c r="F303" s="8">
        <f>+MINVU_Mes_Corriente!F303*SALUD_Mes_Constante!$C$1</f>
        <v>0</v>
      </c>
      <c r="G303" s="8">
        <f>+MINVU_Mes_Corriente!G303*SALUD_Mes_Constante!$C$1</f>
        <v>0</v>
      </c>
      <c r="H303" s="8">
        <f>+MINVU_Mes_Corriente!H303*SALUD_Mes_Constante!$C$1</f>
        <v>0</v>
      </c>
      <c r="I303" s="8">
        <f>+MINVU_Mes_Corriente!I303*SALUD_Mes_Constante!$C$1</f>
        <v>0</v>
      </c>
      <c r="J303" s="8">
        <f>+MINVU_Mes_Corriente!J303*SALUD_Mes_Constante!$C$1</f>
        <v>0</v>
      </c>
      <c r="K303" s="8">
        <f>+MINVU_Mes_Corriente!K303*SALUD_Mes_Constante!$C$1</f>
        <v>0</v>
      </c>
      <c r="L303" s="8">
        <f>+MINVU_Mes_Corriente!L303*SALUD_Mes_Constante!$C$1</f>
        <v>0</v>
      </c>
      <c r="M303" s="8">
        <f>+MINVU_Mes_Corriente!M303*SALUD_Mes_Constante!$C$1</f>
        <v>0</v>
      </c>
      <c r="N303" s="8">
        <f>+MINVU_Mes_Corriente!N303*SALUD_Mes_Constante!$C$1</f>
        <v>1517762.8562954178</v>
      </c>
      <c r="O303" s="9">
        <f t="shared" si="152"/>
        <v>1517762.8562954178</v>
      </c>
      <c r="P303" s="8">
        <f>+MINVU_Mes_Corriente!P303*SALUD_Mes_Constante!$P$1</f>
        <v>0</v>
      </c>
      <c r="Q303" s="8">
        <f>+MINVU_Mes_Corriente!Q303*SALUD_Mes_Constante!$P$1</f>
        <v>0</v>
      </c>
      <c r="R303" s="8">
        <f>+MINVU_Mes_Corriente!R303*SALUD_Mes_Constante!$P$1</f>
        <v>0</v>
      </c>
      <c r="S303" s="8">
        <f>+MINVU_Mes_Corriente!S303*SALUD_Mes_Constante!$P$1</f>
        <v>0</v>
      </c>
      <c r="T303" s="8">
        <f>+MINVU_Mes_Corriente!T303*SALUD_Mes_Constante!$P$1</f>
        <v>0</v>
      </c>
      <c r="U303" s="8">
        <f>+MINVU_Mes_Corriente!U303*SALUD_Mes_Constante!$P$1</f>
        <v>0</v>
      </c>
      <c r="V303" s="8">
        <f>+MINVU_Mes_Corriente!V303*SALUD_Mes_Constante!$P$1</f>
        <v>0</v>
      </c>
      <c r="W303" s="8">
        <f>+MINVU_Mes_Corriente!W303*SALUD_Mes_Constante!$P$1</f>
        <v>0</v>
      </c>
      <c r="X303" s="8">
        <f>+MINVU_Mes_Corriente!X303*SALUD_Mes_Constante!$P$1</f>
        <v>0</v>
      </c>
      <c r="Y303" s="8">
        <f>+MINVU_Mes_Corriente!Y303*SALUD_Mes_Constante!$P$1</f>
        <v>0</v>
      </c>
      <c r="Z303" s="8">
        <f>+MINVU_Mes_Corriente!Z303*SALUD_Mes_Constante!$P$1</f>
        <v>0</v>
      </c>
      <c r="AA303" s="8">
        <f>+MINVU_Mes_Corriente!AA303*SALUD_Mes_Constante!$P$1</f>
        <v>0</v>
      </c>
      <c r="AB303" s="9">
        <f t="shared" si="153"/>
        <v>0</v>
      </c>
      <c r="AC303" s="8">
        <f>+MINVU_Mes_Corriente!AC303*SALUD_Mes_Constante!$AC$1</f>
        <v>0</v>
      </c>
      <c r="AD303" s="8">
        <f>+MINVU_Mes_Corriente!AD303*SALUD_Mes_Constante!$AC$1</f>
        <v>0</v>
      </c>
      <c r="AE303" s="8">
        <f>+MINVU_Mes_Corriente!AE303*SALUD_Mes_Constante!$AC$1</f>
        <v>0</v>
      </c>
      <c r="AF303" s="8">
        <f>+MINVU_Mes_Corriente!AF303*SALUD_Mes_Constante!$AC$1</f>
        <v>0</v>
      </c>
      <c r="AG303" s="8">
        <f>+MINVU_Mes_Corriente!AG303*SALUD_Mes_Constante!$AC$1</f>
        <v>0</v>
      </c>
      <c r="AH303" s="8">
        <f>+MINVU_Mes_Corriente!AH303*SALUD_Mes_Constante!$AC$1</f>
        <v>0</v>
      </c>
      <c r="AI303" s="8">
        <f>+MINVU_Mes_Corriente!AI303*SALUD_Mes_Constante!$AC$1</f>
        <v>0</v>
      </c>
      <c r="AJ303" s="8">
        <f>+MINVU_Mes_Corriente!AJ303*SALUD_Mes_Constante!$AC$1</f>
        <v>0</v>
      </c>
      <c r="AK303" s="8">
        <f>+MINVU_Mes_Corriente!AK303*SALUD_Mes_Constante!$AC$1</f>
        <v>0</v>
      </c>
      <c r="AL303" s="8">
        <f>+MINVU_Mes_Corriente!AL303*SALUD_Mes_Constante!$AC$1</f>
        <v>0</v>
      </c>
      <c r="AM303" s="8">
        <f>+MINVU_Mes_Corriente!AM303*SALUD_Mes_Constante!$AC$1</f>
        <v>0</v>
      </c>
      <c r="AN303" s="8">
        <f>+MINVU_Mes_Corriente!AN303*SALUD_Mes_Constante!$AC$1</f>
        <v>0</v>
      </c>
      <c r="AO303" s="9">
        <f t="shared" si="154"/>
        <v>0</v>
      </c>
      <c r="AP303" s="8">
        <f>+MINVU_Mes_Corriente!AP303*SALUD_Mes_Constante!$AP$1</f>
        <v>0</v>
      </c>
      <c r="AQ303" s="8">
        <f>+MINVU_Mes_Corriente!AQ303*SALUD_Mes_Constante!$AP$1</f>
        <v>0</v>
      </c>
      <c r="AR303" s="8">
        <f>+MINVU_Mes_Corriente!AR303*SALUD_Mes_Constante!$AP$1</f>
        <v>0</v>
      </c>
      <c r="AS303" s="8">
        <f>+MINVU_Mes_Corriente!AS303*SALUD_Mes_Constante!$AP$1</f>
        <v>0</v>
      </c>
      <c r="AT303" s="8">
        <f>+MINVU_Mes_Corriente!AT303*SALUD_Mes_Constante!$AP$1</f>
        <v>0</v>
      </c>
      <c r="AU303" s="8">
        <f>+MINVU_Mes_Corriente!AU303*SALUD_Mes_Constante!$AP$1</f>
        <v>0</v>
      </c>
      <c r="AV303" s="8">
        <f>+MINVU_Mes_Corriente!AV303*SALUD_Mes_Constante!$AP$1</f>
        <v>0</v>
      </c>
      <c r="AW303" s="8">
        <f>+MINVU_Mes_Corriente!AW303*SALUD_Mes_Constante!$AP$1</f>
        <v>0</v>
      </c>
      <c r="AX303" s="8">
        <f>+MINVU_Mes_Corriente!AX303*SALUD_Mes_Constante!$AP$1</f>
        <v>0</v>
      </c>
      <c r="AY303" s="8">
        <f>+MINVU_Mes_Corriente!AY303*SALUD_Mes_Constante!$AP$1</f>
        <v>0</v>
      </c>
      <c r="AZ303" s="8">
        <f>+MINVU_Mes_Corriente!AZ303*SALUD_Mes_Constante!$AP$1</f>
        <v>0</v>
      </c>
      <c r="BA303" s="8">
        <f>+MINVU_Mes_Corriente!BA303*SALUD_Mes_Constante!$AP$1</f>
        <v>0</v>
      </c>
      <c r="BB303" s="9">
        <f t="shared" si="155"/>
        <v>0</v>
      </c>
      <c r="BC303" s="8">
        <f>+MINVU_Mes_Corriente!BC303*SALUD_Mes_Constante!$BC$1</f>
        <v>0</v>
      </c>
      <c r="BD303" s="8">
        <f>+MINVU_Mes_Corriente!BD303*SALUD_Mes_Constante!$BC$1</f>
        <v>0</v>
      </c>
      <c r="BE303" s="8">
        <f>+MINVU_Mes_Corriente!BE303*SALUD_Mes_Constante!$BC$1</f>
        <v>0</v>
      </c>
      <c r="BF303" s="8">
        <f>+MINVU_Mes_Corriente!BF303*SALUD_Mes_Constante!$BC$1</f>
        <v>0</v>
      </c>
      <c r="BG303" s="8">
        <f>+MINVU_Mes_Corriente!BG303*SALUD_Mes_Constante!$BC$1</f>
        <v>0</v>
      </c>
      <c r="BH303" s="8">
        <f>+MINVU_Mes_Corriente!BH303*SALUD_Mes_Constante!$BC$1</f>
        <v>0</v>
      </c>
      <c r="BI303" s="8">
        <f>+MINVU_Mes_Corriente!BI303*SALUD_Mes_Constante!$BC$1</f>
        <v>0</v>
      </c>
      <c r="BJ303" s="8">
        <f>+MINVU_Mes_Corriente!BJ303*SALUD_Mes_Constante!$BC$1</f>
        <v>0</v>
      </c>
      <c r="BK303" s="8">
        <f>+MINVU_Mes_Corriente!BK303*SALUD_Mes_Constante!$BC$1</f>
        <v>0</v>
      </c>
      <c r="BL303" s="8">
        <f>+MINVU_Mes_Corriente!BL303*SALUD_Mes_Constante!$BC$1</f>
        <v>0</v>
      </c>
      <c r="BM303" s="8">
        <f>+MINVU_Mes_Corriente!BM303*SALUD_Mes_Constante!$BC$1</f>
        <v>319719.85968614015</v>
      </c>
      <c r="BN303" s="8">
        <f>+MINVU_Mes_Corriente!BN303*SALUD_Mes_Constante!$BC$1</f>
        <v>769266.47711987363</v>
      </c>
      <c r="BO303" s="9">
        <f t="shared" si="156"/>
        <v>769266.47711987363</v>
      </c>
      <c r="BP303" s="8">
        <f>+MINVU_Mes_Corriente!BP303*SALUD_Mes_Constante!$BP$1</f>
        <v>0</v>
      </c>
      <c r="BQ303" s="8">
        <f>+MINVU_Mes_Corriente!BQ303*SALUD_Mes_Constante!$BP$1</f>
        <v>0</v>
      </c>
      <c r="BR303" s="8">
        <f>+MINVU_Mes_Corriente!BR303*SALUD_Mes_Constante!$BP$1</f>
        <v>0</v>
      </c>
      <c r="BS303" s="8">
        <f>+MINVU_Mes_Corriente!BS303*SALUD_Mes_Constante!$BP$1</f>
        <v>0</v>
      </c>
      <c r="BT303" s="8">
        <f>+MINVU_Mes_Corriente!BT303*SALUD_Mes_Constante!$BP$1</f>
        <v>0</v>
      </c>
      <c r="BU303" s="8">
        <f>+MINVU_Mes_Corriente!BU303*SALUD_Mes_Constante!$BP$1</f>
        <v>0</v>
      </c>
      <c r="BV303" s="8">
        <f>+MINVU_Mes_Corriente!BV303*SALUD_Mes_Constante!$BP$1</f>
        <v>0</v>
      </c>
      <c r="BW303" s="8">
        <f>+MINVU_Mes_Corriente!BW303*SALUD_Mes_Constante!$BP$1</f>
        <v>0</v>
      </c>
      <c r="BX303" s="8">
        <f>+MINVU_Mes_Corriente!BX303*SALUD_Mes_Constante!$BP$1</f>
        <v>0</v>
      </c>
      <c r="BY303" s="8">
        <f>+MINVU_Mes_Corriente!BY303*SALUD_Mes_Constante!$BP$1</f>
        <v>0</v>
      </c>
      <c r="BZ303" s="8">
        <f>+MINVU_Mes_Corriente!BZ303*SALUD_Mes_Constante!$BP$1</f>
        <v>761196.65300896298</v>
      </c>
      <c r="CA303" s="8">
        <f>+MINVU_Mes_Corriente!CA303*SALUD_Mes_Constante!$BP$1</f>
        <v>761196.65300896298</v>
      </c>
      <c r="CB303" s="9">
        <f t="shared" si="157"/>
        <v>761196.65300896298</v>
      </c>
      <c r="CC303" s="8">
        <f>+MINVU_Mes_Corriente!CC303*SALUD_Mes_Constante!$CC$1</f>
        <v>0</v>
      </c>
      <c r="CD303" s="8">
        <f>+MINVU_Mes_Corriente!CD303*SALUD_Mes_Constante!$CC$1</f>
        <v>0</v>
      </c>
      <c r="CE303" s="8">
        <f>+MINVU_Mes_Corriente!CE303*SALUD_Mes_Constante!$CC$1</f>
        <v>0</v>
      </c>
      <c r="CF303" s="8">
        <f>+MINVU_Mes_Corriente!CF303*SALUD_Mes_Constante!$CC$1</f>
        <v>0</v>
      </c>
      <c r="CG303" s="8">
        <f>+MINVU_Mes_Corriente!CG303*SALUD_Mes_Constante!$CC$1</f>
        <v>0</v>
      </c>
      <c r="CH303" s="8">
        <f>+MINVU_Mes_Corriente!CH303*SALUD_Mes_Constante!$CC$1</f>
        <v>0</v>
      </c>
      <c r="CI303" s="8">
        <f>+MINVU_Mes_Corriente!CI303*SALUD_Mes_Constante!$CC$1</f>
        <v>0</v>
      </c>
      <c r="CJ303" s="8">
        <f>+MINVU_Mes_Corriente!CJ303*SALUD_Mes_Constante!$CC$1</f>
        <v>0</v>
      </c>
      <c r="CK303" s="8">
        <f>+MINVU_Mes_Corriente!CK303*SALUD_Mes_Constante!$CC$1</f>
        <v>0</v>
      </c>
      <c r="CL303" s="8">
        <f>+MINVU_Mes_Corriente!CL303*SALUD_Mes_Constante!$CC$1</f>
        <v>0</v>
      </c>
      <c r="CM303" s="8">
        <f>+MINVU_Mes_Corriente!CM303*SALUD_Mes_Constante!$CC$1</f>
        <v>447096.59306229022</v>
      </c>
      <c r="CN303" s="8">
        <f>+MINVU_Mes_Corriente!CN303*SALUD_Mes_Constante!$CC$1</f>
        <v>503037.49571055581</v>
      </c>
      <c r="CO303" s="9">
        <f t="shared" si="158"/>
        <v>503037.49571055581</v>
      </c>
      <c r="CP303" s="8">
        <f>+MINVU_Mes_Corriente!CP303*SALUD_Mes_Constante!$CP$1</f>
        <v>0</v>
      </c>
      <c r="CQ303" s="8">
        <f>+MINVU_Mes_Corriente!CQ303*SALUD_Mes_Constante!$CP$1</f>
        <v>0</v>
      </c>
      <c r="CR303" s="8">
        <f>+MINVU_Mes_Corriente!CR303*SALUD_Mes_Constante!$CP$1</f>
        <v>0</v>
      </c>
      <c r="CS303" s="8">
        <f>+MINVU_Mes_Corriente!CS303*SALUD_Mes_Constante!$CP$1</f>
        <v>0</v>
      </c>
      <c r="CT303" s="8">
        <f>+MINVU_Mes_Corriente!CT303*SALUD_Mes_Constante!$CP$1</f>
        <v>0</v>
      </c>
      <c r="CU303" s="8">
        <f>+MINVU_Mes_Corriente!CU303*SALUD_Mes_Constante!$CP$1</f>
        <v>0</v>
      </c>
      <c r="CV303" s="8">
        <f>+MINVU_Mes_Corriente!CV303*SALUD_Mes_Constante!$CP$1</f>
        <v>0</v>
      </c>
      <c r="CW303" s="8">
        <f>+MINVU_Mes_Corriente!CW303*SALUD_Mes_Constante!$CP$1</f>
        <v>0</v>
      </c>
      <c r="CX303" s="8">
        <f>+MINVU_Mes_Corriente!CX303*SALUD_Mes_Constante!$CP$1</f>
        <v>0</v>
      </c>
      <c r="CY303" s="8">
        <f>+MINVU_Mes_Corriente!CY303*SALUD_Mes_Constante!$CP$1</f>
        <v>190444.48955916471</v>
      </c>
      <c r="CZ303" s="8">
        <f>+MINVU_Mes_Corriente!CZ303*SALUD_Mes_Constante!$CP$1</f>
        <v>724969.25290023186</v>
      </c>
      <c r="DA303" s="8">
        <f>+MINVU_Mes_Corriente!DA303*SALUD_Mes_Constante!$CP$1</f>
        <v>740179.46171693725</v>
      </c>
      <c r="DB303" s="9">
        <f t="shared" si="159"/>
        <v>740179.46171693725</v>
      </c>
      <c r="DC303" s="8">
        <f>+MINVU_Mes_Corriente!DC303*SALUD_Mes_Constante!$DC$1</f>
        <v>0</v>
      </c>
      <c r="DD303" s="8">
        <f>+MINVU_Mes_Corriente!DD303*SALUD_Mes_Constante!$DC$1</f>
        <v>0</v>
      </c>
      <c r="DE303" s="8">
        <f>+MINVU_Mes_Corriente!DE303*SALUD_Mes_Constante!$DC$1</f>
        <v>0</v>
      </c>
      <c r="DF303" s="8">
        <f>+MINVU_Mes_Corriente!DF303*SALUD_Mes_Constante!$DC$1</f>
        <v>0</v>
      </c>
      <c r="DG303" s="8">
        <f>+MINVU_Mes_Corriente!DG303*SALUD_Mes_Constante!$DC$1</f>
        <v>0</v>
      </c>
      <c r="DH303" s="8">
        <f>+MINVU_Mes_Corriente!DH303*SALUD_Mes_Constante!$DC$1</f>
        <v>0</v>
      </c>
      <c r="DI303" s="8">
        <f>+MINVU_Mes_Corriente!DI303*SALUD_Mes_Constante!$DC$1</f>
        <v>0</v>
      </c>
      <c r="DJ303" s="8">
        <f>+MINVU_Mes_Corriente!DJ303*SALUD_Mes_Constante!$DC$1</f>
        <v>0</v>
      </c>
      <c r="DK303" s="8">
        <f>+MINVU_Mes_Corriente!DK303*SALUD_Mes_Constante!$DC$1</f>
        <v>0</v>
      </c>
      <c r="DL303" s="8">
        <f>+MINVU_Mes_Corriente!DL303*SALUD_Mes_Constante!$DC$1</f>
        <v>87162.977059973302</v>
      </c>
      <c r="DM303" s="8">
        <f>+MINVU_Mes_Corriente!DM303*SALUD_Mes_Constante!$DC$1</f>
        <v>87162.977059973302</v>
      </c>
      <c r="DN303" s="8">
        <f>+MINVU_Mes_Corriente!DN303*SALUD_Mes_Constante!$DC$1</f>
        <v>431875.41096595023</v>
      </c>
      <c r="DO303" s="9">
        <f t="shared" si="160"/>
        <v>431875.41096595023</v>
      </c>
      <c r="DP303" s="8">
        <f>+MINVU_Mes_Corriente!DP303*SALUD_Mes_Constante!$DP$1</f>
        <v>0</v>
      </c>
      <c r="DQ303" s="8">
        <f>+MINVU_Mes_Corriente!DQ303*SALUD_Mes_Constante!$DP$1</f>
        <v>0</v>
      </c>
      <c r="DR303" s="8">
        <f>+MINVU_Mes_Corriente!DR303*SALUD_Mes_Constante!$DP$1</f>
        <v>0</v>
      </c>
      <c r="DS303" s="8">
        <f>+MINVU_Mes_Corriente!DS303*SALUD_Mes_Constante!$DP$1</f>
        <v>0</v>
      </c>
      <c r="DT303" s="8">
        <f>+MINVU_Mes_Corriente!DT303*SALUD_Mes_Constante!$DP$1</f>
        <v>0</v>
      </c>
      <c r="DU303" s="8">
        <f>+MINVU_Mes_Corriente!DU303*SALUD_Mes_Constante!$DP$1</f>
        <v>0</v>
      </c>
      <c r="DV303" s="8">
        <f>+MINVU_Mes_Corriente!DV303*SALUD_Mes_Constante!$DP$1</f>
        <v>0</v>
      </c>
      <c r="DW303" s="8">
        <f>+MINVU_Mes_Corriente!DW303*SALUD_Mes_Constante!$DP$1</f>
        <v>0</v>
      </c>
      <c r="DX303" s="8">
        <f>+MINVU_Mes_Corriente!DX303*SALUD_Mes_Constante!$DP$1</f>
        <v>0</v>
      </c>
      <c r="DY303" s="8">
        <f>+MINVU_Mes_Corriente!DY303*SALUD_Mes_Constante!$DP$1</f>
        <v>0</v>
      </c>
      <c r="DZ303" s="8">
        <f>+MINVU_Mes_Corriente!DZ303*SALUD_Mes_Constante!$DP$1</f>
        <v>0</v>
      </c>
      <c r="EA303" s="8">
        <f>+MINVU_Mes_Corriente!EA303*SALUD_Mes_Constante!$DP$1</f>
        <v>575428.43052256538</v>
      </c>
      <c r="EB303" s="9">
        <f t="shared" si="161"/>
        <v>575428.43052256538</v>
      </c>
      <c r="EC303" s="8">
        <f>+MINVU_Mes_Corriente!EC303*SALUD_Mes_Constante!$EC$1</f>
        <v>0</v>
      </c>
      <c r="ED303" s="8">
        <f>+MINVU_Mes_Corriente!ED303*SALUD_Mes_Constante!$EC$1</f>
        <v>0</v>
      </c>
      <c r="EE303" s="8">
        <f>+MINVU_Mes_Corriente!EE303*SALUD_Mes_Constante!$EC$1</f>
        <v>0</v>
      </c>
      <c r="EF303" s="8">
        <f>+MINVU_Mes_Corriente!EF303*SALUD_Mes_Constante!$EC$1</f>
        <v>0</v>
      </c>
      <c r="EG303" s="8">
        <f>+MINVU_Mes_Corriente!EG303*SALUD_Mes_Constante!$EC$1</f>
        <v>0</v>
      </c>
      <c r="EH303" s="8">
        <f>+MINVU_Mes_Corriente!EH303*SALUD_Mes_Constante!$EC$1</f>
        <v>0</v>
      </c>
      <c r="EI303" s="8">
        <f>+MINVU_Mes_Corriente!EI303*SALUD_Mes_Constante!$EC$1</f>
        <v>0</v>
      </c>
      <c r="EJ303" s="8">
        <f>+MINVU_Mes_Corriente!EJ303*SALUD_Mes_Constante!$EC$1</f>
        <v>0</v>
      </c>
      <c r="EK303" s="8">
        <f>+MINVU_Mes_Corriente!EK303*SALUD_Mes_Constante!$EC$1</f>
        <v>0</v>
      </c>
      <c r="EL303" s="8">
        <f>+MINVU_Mes_Corriente!EL303*SALUD_Mes_Constante!$EC$1</f>
        <v>0</v>
      </c>
      <c r="EM303" s="8">
        <f>+MINVU_Mes_Corriente!EM303*SALUD_Mes_Constante!$EC$1</f>
        <v>235909.32588524892</v>
      </c>
      <c r="EN303" s="8">
        <f>+MINVU_Mes_Corriente!EN303*SALUD_Mes_Constante!$EC$1</f>
        <v>587228.53531528101</v>
      </c>
      <c r="EO303" s="9">
        <f t="shared" si="162"/>
        <v>587228.53531528101</v>
      </c>
      <c r="EP303" s="8">
        <f>+MINVU_Mes_Corriente!EP303*SALUD_Mes_Constante!$EP$1</f>
        <v>0</v>
      </c>
      <c r="EQ303" s="8">
        <f>+MINVU_Mes_Corriente!EQ303*SALUD_Mes_Constante!$EP$1</f>
        <v>0</v>
      </c>
      <c r="ER303" s="8">
        <f>+MINVU_Mes_Corriente!ER303*SALUD_Mes_Constante!$EP$1</f>
        <v>0</v>
      </c>
      <c r="ES303" s="8">
        <f>+MINVU_Mes_Corriente!ES303*SALUD_Mes_Constante!$EP$1</f>
        <v>0</v>
      </c>
      <c r="ET303" s="8">
        <f>+MINVU_Mes_Corriente!ET303*SALUD_Mes_Constante!$EP$1</f>
        <v>0</v>
      </c>
      <c r="EU303" s="8">
        <f>+MINVU_Mes_Corriente!EU303*SALUD_Mes_Constante!$EP$1</f>
        <v>0</v>
      </c>
      <c r="EV303" s="8">
        <f>+MINVU_Mes_Corriente!EV303*SALUD_Mes_Constante!$EP$1</f>
        <v>0</v>
      </c>
      <c r="EW303" s="8">
        <f>+MINVU_Mes_Corriente!EW303*SALUD_Mes_Constante!$EP$1</f>
        <v>288056</v>
      </c>
      <c r="EX303" s="8">
        <f>+MINVU_Mes_Corriente!EX303*SALUD_Mes_Constante!$EP$1</f>
        <v>288056</v>
      </c>
      <c r="EY303" s="8">
        <f>+MINVU_Mes_Corriente!EY303*SALUD_Mes_Constante!$EP$1</f>
        <v>457257</v>
      </c>
      <c r="EZ303" s="8">
        <f>+MINVU_Mes_Corriente!EZ303*SALUD_Mes_Constante!$EP$1</f>
        <v>457257</v>
      </c>
      <c r="FA303" s="8">
        <f>+MINVU_Mes_Corriente!FA303*SALUD_Mes_Constante!$EP$1</f>
        <v>512000</v>
      </c>
      <c r="FB303" s="9">
        <f t="shared" si="163"/>
        <v>512000</v>
      </c>
      <c r="FC303" s="8">
        <f>+MINVU_Mes_Corriente!FC303*SALUD_Mes_Constante!$FC$1</f>
        <v>0</v>
      </c>
      <c r="FD303" s="8">
        <f>+MINVU_Mes_Corriente!FD303*SALUD_Mes_Constante!$FC$1</f>
        <v>0</v>
      </c>
      <c r="FE303" s="8">
        <f>+MINVU_Mes_Corriente!FE303*SALUD_Mes_Constante!$FC$1</f>
        <v>0</v>
      </c>
      <c r="FF303" s="8">
        <f>+MINVU_Mes_Corriente!FF303*SALUD_Mes_Constante!$FC$1</f>
        <v>0</v>
      </c>
      <c r="FG303" s="8">
        <f>+MINVU_Mes_Corriente!FG303*SALUD_Mes_Constante!$FC$1</f>
        <v>0</v>
      </c>
      <c r="FH303" s="8">
        <f>+MINVU_Mes_Corriente!FH303*SALUD_Mes_Constante!$FC$1</f>
        <v>0</v>
      </c>
      <c r="FI303" s="8">
        <f>+MINVU_Mes_Corriente!FI303*SALUD_Mes_Constante!$FC$1</f>
        <v>0</v>
      </c>
      <c r="FJ303" s="8"/>
      <c r="FK303" s="8"/>
      <c r="FL303" s="8"/>
      <c r="FM303" s="8"/>
      <c r="FN303" s="8"/>
      <c r="FO303" s="9">
        <f t="shared" si="164"/>
        <v>0</v>
      </c>
    </row>
    <row r="304" spans="2:171" ht="14.25" customHeight="1" x14ac:dyDescent="0.3">
      <c r="B304" s="7" t="s">
        <v>45</v>
      </c>
      <c r="C304" s="8">
        <f>+MINVU_Mes_Corriente!C304*SALUD_Mes_Constante!$C$1</f>
        <v>0</v>
      </c>
      <c r="D304" s="8">
        <f>+MINVU_Mes_Corriente!D304*SALUD_Mes_Constante!$C$1</f>
        <v>42284825.538187757</v>
      </c>
      <c r="E304" s="8">
        <f>+MINVU_Mes_Corriente!E304*SALUD_Mes_Constante!$C$1</f>
        <v>90806885.292599753</v>
      </c>
      <c r="F304" s="8">
        <f>+MINVU_Mes_Corriente!F304*SALUD_Mes_Constante!$C$1</f>
        <v>109078895.43318999</v>
      </c>
      <c r="G304" s="8">
        <f>+MINVU_Mes_Corriente!G304*SALUD_Mes_Constante!$C$1</f>
        <v>122952471.94987397</v>
      </c>
      <c r="H304" s="8">
        <f>+MINVU_Mes_Corriente!H304*SALUD_Mes_Constante!$C$1</f>
        <v>141740470.25863862</v>
      </c>
      <c r="I304" s="8">
        <f>+MINVU_Mes_Corriente!I304*SALUD_Mes_Constante!$C$1</f>
        <v>163306273.22438085</v>
      </c>
      <c r="J304" s="8">
        <f>+MINVU_Mes_Corriente!J304*SALUD_Mes_Constante!$C$1</f>
        <v>180623788.78273767</v>
      </c>
      <c r="K304" s="8">
        <f>+MINVU_Mes_Corriente!K304*SALUD_Mes_Constante!$C$1</f>
        <v>205020023.65653273</v>
      </c>
      <c r="L304" s="8">
        <f>+MINVU_Mes_Corriente!L304*SALUD_Mes_Constante!$C$1</f>
        <v>221761943.3406496</v>
      </c>
      <c r="M304" s="8">
        <f>+MINVU_Mes_Corriente!M304*SALUD_Mes_Constante!$C$1</f>
        <v>247478871.22467747</v>
      </c>
      <c r="N304" s="8">
        <f>+MINVU_Mes_Corriente!N304*SALUD_Mes_Constante!$C$1</f>
        <v>471728026.18656391</v>
      </c>
      <c r="O304" s="9">
        <f t="shared" si="152"/>
        <v>471728026.18656391</v>
      </c>
      <c r="P304" s="8">
        <f>+MINVU_Mes_Corriente!P304*SALUD_Mes_Constante!$P$1</f>
        <v>0</v>
      </c>
      <c r="Q304" s="8">
        <f>+MINVU_Mes_Corriente!Q304*SALUD_Mes_Constante!$P$1</f>
        <v>0</v>
      </c>
      <c r="R304" s="8">
        <f>+MINVU_Mes_Corriente!R304*SALUD_Mes_Constante!$P$1</f>
        <v>76150800.483307257</v>
      </c>
      <c r="S304" s="8">
        <f>+MINVU_Mes_Corriente!S304*SALUD_Mes_Constante!$P$1</f>
        <v>95307108.395510688</v>
      </c>
      <c r="T304" s="8">
        <f>+MINVU_Mes_Corriente!T304*SALUD_Mes_Constante!$P$1</f>
        <v>107751611.29507028</v>
      </c>
      <c r="U304" s="8">
        <f>+MINVU_Mes_Corriente!U304*SALUD_Mes_Constante!$P$1</f>
        <v>137231747.43997723</v>
      </c>
      <c r="V304" s="8">
        <f>+MINVU_Mes_Corriente!V304*SALUD_Mes_Constante!$P$1</f>
        <v>156077265.83321488</v>
      </c>
      <c r="W304" s="8">
        <f>+MINVU_Mes_Corriente!W304*SALUD_Mes_Constante!$P$1</f>
        <v>194704713.12913758</v>
      </c>
      <c r="X304" s="8">
        <f>+MINVU_Mes_Corriente!X304*SALUD_Mes_Constante!$P$1</f>
        <v>230357008.60718843</v>
      </c>
      <c r="Y304" s="8">
        <f>+MINVU_Mes_Corriente!Y304*SALUD_Mes_Constante!$P$1</f>
        <v>265312961.34280428</v>
      </c>
      <c r="Z304" s="8">
        <f>+MINVU_Mes_Corriente!Z304*SALUD_Mes_Constante!$P$1</f>
        <v>341907403.37150151</v>
      </c>
      <c r="AA304" s="8">
        <f>+MINVU_Mes_Corriente!AA304*SALUD_Mes_Constante!$P$1</f>
        <v>733580919.10612273</v>
      </c>
      <c r="AB304" s="9">
        <f t="shared" si="153"/>
        <v>733580919.10612273</v>
      </c>
      <c r="AC304" s="8">
        <f>+MINVU_Mes_Corriente!AC304*SALUD_Mes_Constante!$AC$1</f>
        <v>0</v>
      </c>
      <c r="AD304" s="8">
        <f>+MINVU_Mes_Corriente!AD304*SALUD_Mes_Constante!$AC$1</f>
        <v>0</v>
      </c>
      <c r="AE304" s="8">
        <f>+MINVU_Mes_Corriente!AE304*SALUD_Mes_Constante!$AC$1</f>
        <v>78222338.44100152</v>
      </c>
      <c r="AF304" s="8">
        <f>+MINVU_Mes_Corriente!AF304*SALUD_Mes_Constante!$AC$1</f>
        <v>109966325.31857795</v>
      </c>
      <c r="AG304" s="8">
        <f>+MINVU_Mes_Corriente!AG304*SALUD_Mes_Constante!$AC$1</f>
        <v>143252459.13349012</v>
      </c>
      <c r="AH304" s="8">
        <f>+MINVU_Mes_Corriente!AH304*SALUD_Mes_Constante!$AC$1</f>
        <v>174777185.41900676</v>
      </c>
      <c r="AI304" s="8">
        <f>+MINVU_Mes_Corriente!AI304*SALUD_Mes_Constante!$AC$1</f>
        <v>211135072.92018259</v>
      </c>
      <c r="AJ304" s="8">
        <f>+MINVU_Mes_Corriente!AJ304*SALUD_Mes_Constante!$AC$1</f>
        <v>253459649.17249966</v>
      </c>
      <c r="AK304" s="8">
        <f>+MINVU_Mes_Corriente!AK304*SALUD_Mes_Constante!$AC$1</f>
        <v>287610404.56882</v>
      </c>
      <c r="AL304" s="8">
        <f>+MINVU_Mes_Corriente!AL304*SALUD_Mes_Constante!$AC$1</f>
        <v>341977773.99889332</v>
      </c>
      <c r="AM304" s="8">
        <f>+MINVU_Mes_Corriente!AM304*SALUD_Mes_Constante!$AC$1</f>
        <v>408281057.08120072</v>
      </c>
      <c r="AN304" s="8">
        <f>+MINVU_Mes_Corriente!AN304*SALUD_Mes_Constante!$AC$1</f>
        <v>690800371.86830819</v>
      </c>
      <c r="AO304" s="9">
        <f t="shared" si="154"/>
        <v>690800371.86830819</v>
      </c>
      <c r="AP304" s="8">
        <f>+MINVU_Mes_Corriente!AP304*SALUD_Mes_Constante!$AP$1</f>
        <v>3094638.3863113755</v>
      </c>
      <c r="AQ304" s="8">
        <f>+MINVU_Mes_Corriente!AQ304*SALUD_Mes_Constante!$AP$1</f>
        <v>3094638.3863113755</v>
      </c>
      <c r="AR304" s="8">
        <f>+MINVU_Mes_Corriente!AR304*SALUD_Mes_Constante!$AP$1</f>
        <v>46617801.484918162</v>
      </c>
      <c r="AS304" s="8">
        <f>+MINVU_Mes_Corriente!AS304*SALUD_Mes_Constante!$AP$1</f>
        <v>110035564.2202083</v>
      </c>
      <c r="AT304" s="8">
        <f>+MINVU_Mes_Corriente!AT304*SALUD_Mes_Constante!$AP$1</f>
        <v>145367342.69931015</v>
      </c>
      <c r="AU304" s="8">
        <f>+MINVU_Mes_Corriente!AU304*SALUD_Mes_Constante!$AP$1</f>
        <v>187864181.52766129</v>
      </c>
      <c r="AV304" s="8">
        <f>+MINVU_Mes_Corriente!AV304*SALUD_Mes_Constante!$AP$1</f>
        <v>233475375.1992425</v>
      </c>
      <c r="AW304" s="8">
        <f>+MINVU_Mes_Corriente!AW304*SALUD_Mes_Constante!$AP$1</f>
        <v>276911826.38144189</v>
      </c>
      <c r="AX304" s="8">
        <f>+MINVU_Mes_Corriente!AX304*SALUD_Mes_Constante!$AP$1</f>
        <v>312907992.26457459</v>
      </c>
      <c r="AY304" s="8">
        <f>+MINVU_Mes_Corriente!AY304*SALUD_Mes_Constante!$AP$1</f>
        <v>349956512.39740294</v>
      </c>
      <c r="AZ304" s="8">
        <f>+MINVU_Mes_Corriente!AZ304*SALUD_Mes_Constante!$AP$1</f>
        <v>385433293.51278234</v>
      </c>
      <c r="BA304" s="8">
        <f>+MINVU_Mes_Corriente!BA304*SALUD_Mes_Constante!$AP$1</f>
        <v>514812286.26241034</v>
      </c>
      <c r="BB304" s="9">
        <f t="shared" si="155"/>
        <v>514812286.26241034</v>
      </c>
      <c r="BC304" s="8">
        <f>+MINVU_Mes_Corriente!BC304*SALUD_Mes_Constante!$BC$1</f>
        <v>0</v>
      </c>
      <c r="BD304" s="8">
        <f>+MINVU_Mes_Corriente!BD304*SALUD_Mes_Constante!$BC$1</f>
        <v>0</v>
      </c>
      <c r="BE304" s="8">
        <f>+MINVU_Mes_Corriente!BE304*SALUD_Mes_Constante!$BC$1</f>
        <v>91143573.896874607</v>
      </c>
      <c r="BF304" s="8">
        <f>+MINVU_Mes_Corriente!BF304*SALUD_Mes_Constante!$BC$1</f>
        <v>144904240.07173946</v>
      </c>
      <c r="BG304" s="8">
        <f>+MINVU_Mes_Corriente!BG304*SALUD_Mes_Constante!$BC$1</f>
        <v>198186036.79836482</v>
      </c>
      <c r="BH304" s="8">
        <f>+MINVU_Mes_Corriente!BH304*SALUD_Mes_Constante!$BC$1</f>
        <v>232398037.19636035</v>
      </c>
      <c r="BI304" s="8">
        <f>+MINVU_Mes_Corriente!BI304*SALUD_Mes_Constante!$BC$1</f>
        <v>269366536.4206779</v>
      </c>
      <c r="BJ304" s="8">
        <f>+MINVU_Mes_Corriente!BJ304*SALUD_Mes_Constante!$BC$1</f>
        <v>313756414.88197291</v>
      </c>
      <c r="BK304" s="8">
        <f>+MINVU_Mes_Corriente!BK304*SALUD_Mes_Constante!$BC$1</f>
        <v>359805966.14321518</v>
      </c>
      <c r="BL304" s="8">
        <f>+MINVU_Mes_Corriente!BL304*SALUD_Mes_Constante!$BC$1</f>
        <v>404534896.4096005</v>
      </c>
      <c r="BM304" s="8">
        <f>+MINVU_Mes_Corriente!BM304*SALUD_Mes_Constante!$BC$1</f>
        <v>460552906.17143625</v>
      </c>
      <c r="BN304" s="8">
        <f>+MINVU_Mes_Corriente!BN304*SALUD_Mes_Constante!$BC$1</f>
        <v>659596317.70222878</v>
      </c>
      <c r="BO304" s="9">
        <f t="shared" si="156"/>
        <v>659596317.70222878</v>
      </c>
      <c r="BP304" s="8">
        <f>+MINVU_Mes_Corriente!BP304*SALUD_Mes_Constante!$BP$1</f>
        <v>2265747.4233034574</v>
      </c>
      <c r="BQ304" s="8">
        <f>+MINVU_Mes_Corriente!BQ304*SALUD_Mes_Constante!$BP$1</f>
        <v>2265747.4233034574</v>
      </c>
      <c r="BR304" s="8">
        <f>+MINVU_Mes_Corriente!BR304*SALUD_Mes_Constante!$BP$1</f>
        <v>183106820.8740077</v>
      </c>
      <c r="BS304" s="8">
        <f>+MINVU_Mes_Corriente!BS304*SALUD_Mes_Constante!$BP$1</f>
        <v>233027907.93265048</v>
      </c>
      <c r="BT304" s="8">
        <f>+MINVU_Mes_Corriente!BT304*SALUD_Mes_Constante!$BP$1</f>
        <v>296652570.25505763</v>
      </c>
      <c r="BU304" s="8">
        <f>+MINVU_Mes_Corriente!BU304*SALUD_Mes_Constante!$BP$1</f>
        <v>360214678.77925742</v>
      </c>
      <c r="BV304" s="8">
        <f>+MINVU_Mes_Corriente!BV304*SALUD_Mes_Constante!$BP$1</f>
        <v>398104783.50422537</v>
      </c>
      <c r="BW304" s="8">
        <f>+MINVU_Mes_Corriente!BW304*SALUD_Mes_Constante!$BP$1</f>
        <v>472224011.52215111</v>
      </c>
      <c r="BX304" s="8">
        <f>+MINVU_Mes_Corriente!BX304*SALUD_Mes_Constante!$BP$1</f>
        <v>586294869.21971834</v>
      </c>
      <c r="BY304" s="8">
        <f>+MINVU_Mes_Corriente!BY304*SALUD_Mes_Constante!$BP$1</f>
        <v>636709184.73725998</v>
      </c>
      <c r="BZ304" s="8">
        <f>+MINVU_Mes_Corriente!BZ304*SALUD_Mes_Constante!$BP$1</f>
        <v>699660299.03047383</v>
      </c>
      <c r="CA304" s="8">
        <f>+MINVU_Mes_Corriente!CA304*SALUD_Mes_Constante!$BP$1</f>
        <v>995270611.42509615</v>
      </c>
      <c r="CB304" s="9">
        <f t="shared" si="157"/>
        <v>995270611.42509615</v>
      </c>
      <c r="CC304" s="8">
        <f>+MINVU_Mes_Corriente!CC304*SALUD_Mes_Constante!$CC$1</f>
        <v>0</v>
      </c>
      <c r="CD304" s="8">
        <f>+MINVU_Mes_Corriente!CD304*SALUD_Mes_Constante!$CC$1</f>
        <v>0</v>
      </c>
      <c r="CE304" s="8">
        <f>+MINVU_Mes_Corriente!CE304*SALUD_Mes_Constante!$CC$1</f>
        <v>71689276.070869088</v>
      </c>
      <c r="CF304" s="8">
        <f>+MINVU_Mes_Corriente!CF304*SALUD_Mes_Constante!$CC$1</f>
        <v>233870746.08429691</v>
      </c>
      <c r="CG304" s="8">
        <f>+MINVU_Mes_Corriente!CG304*SALUD_Mes_Constante!$CC$1</f>
        <v>309153787.72995156</v>
      </c>
      <c r="CH304" s="8">
        <f>+MINVU_Mes_Corriente!CH304*SALUD_Mes_Constante!$CC$1</f>
        <v>385704514.34837753</v>
      </c>
      <c r="CI304" s="8">
        <f>+MINVU_Mes_Corriente!CI304*SALUD_Mes_Constante!$CC$1</f>
        <v>439084838.32525182</v>
      </c>
      <c r="CJ304" s="8">
        <f>+MINVU_Mes_Corriente!CJ304*SALUD_Mes_Constante!$CC$1</f>
        <v>487141399.18164867</v>
      </c>
      <c r="CK304" s="8">
        <f>+MINVU_Mes_Corriente!CK304*SALUD_Mes_Constante!$CC$1</f>
        <v>530949598.96158153</v>
      </c>
      <c r="CL304" s="8">
        <f>+MINVU_Mes_Corriente!CL304*SALUD_Mes_Constante!$CC$1</f>
        <v>565855946.540097</v>
      </c>
      <c r="CM304" s="8">
        <f>+MINVU_Mes_Corriente!CM304*SALUD_Mes_Constante!$CC$1</f>
        <v>616701608.3230139</v>
      </c>
      <c r="CN304" s="8">
        <f>+MINVU_Mes_Corriente!CN304*SALUD_Mes_Constante!$CC$1</f>
        <v>834487422.69153309</v>
      </c>
      <c r="CO304" s="9">
        <f t="shared" si="158"/>
        <v>834487422.69153309</v>
      </c>
      <c r="CP304" s="8">
        <f>+MINVU_Mes_Corriente!CP304*SALUD_Mes_Constante!$CP$1</f>
        <v>104078.38886310902</v>
      </c>
      <c r="CQ304" s="8">
        <f>+MINVU_Mes_Corriente!CQ304*SALUD_Mes_Constante!$CP$1</f>
        <v>521691.14965197205</v>
      </c>
      <c r="CR304" s="8">
        <f>+MINVU_Mes_Corriente!CR304*SALUD_Mes_Constante!$CP$1</f>
        <v>111861773.39651971</v>
      </c>
      <c r="CS304" s="8">
        <f>+MINVU_Mes_Corriente!CS304*SALUD_Mes_Constante!$CP$1</f>
        <v>207648210.45174009</v>
      </c>
      <c r="CT304" s="8">
        <f>+MINVU_Mes_Corriente!CT304*SALUD_Mes_Constante!$CP$1</f>
        <v>256661232.43781897</v>
      </c>
      <c r="CU304" s="8">
        <f>+MINVU_Mes_Corriente!CU304*SALUD_Mes_Constante!$CP$1</f>
        <v>303347818.76241291</v>
      </c>
      <c r="CV304" s="8">
        <f>+MINVU_Mes_Corriente!CV304*SALUD_Mes_Constante!$CP$1</f>
        <v>336713537.4285382</v>
      </c>
      <c r="CW304" s="8">
        <f>+MINVU_Mes_Corriente!CW304*SALUD_Mes_Constante!$CP$1</f>
        <v>388552475.51832938</v>
      </c>
      <c r="CX304" s="8">
        <f>+MINVU_Mes_Corriente!CX304*SALUD_Mes_Constante!$CP$1</f>
        <v>421763269.33503473</v>
      </c>
      <c r="CY304" s="8">
        <f>+MINVU_Mes_Corriente!CY304*SALUD_Mes_Constante!$CP$1</f>
        <v>485308394.80580038</v>
      </c>
      <c r="CZ304" s="8">
        <f>+MINVU_Mes_Corriente!CZ304*SALUD_Mes_Constante!$CP$1</f>
        <v>523603815.66542912</v>
      </c>
      <c r="DA304" s="8">
        <f>+MINVU_Mes_Corriente!DA304*SALUD_Mes_Constante!$CP$1</f>
        <v>620739149.80928063</v>
      </c>
      <c r="DB304" s="9">
        <f t="shared" si="159"/>
        <v>620739149.80928063</v>
      </c>
      <c r="DC304" s="8">
        <f>+MINVU_Mes_Corriente!DC304*SALUD_Mes_Constante!$DC$1</f>
        <v>0</v>
      </c>
      <c r="DD304" s="8">
        <f>+MINVU_Mes_Corriente!DD304*SALUD_Mes_Constante!$DC$1</f>
        <v>2096.1824915132197</v>
      </c>
      <c r="DE304" s="8">
        <f>+MINVU_Mes_Corriente!DE304*SALUD_Mes_Constante!$DC$1</f>
        <v>107357774.52072836</v>
      </c>
      <c r="DF304" s="8">
        <f>+MINVU_Mes_Corriente!DF304*SALUD_Mes_Constante!$DC$1</f>
        <v>133415511.23732133</v>
      </c>
      <c r="DG304" s="8">
        <f>+MINVU_Mes_Corriente!DG304*SALUD_Mes_Constante!$DC$1</f>
        <v>144093298.50324047</v>
      </c>
      <c r="DH304" s="8">
        <f>+MINVU_Mes_Corriente!DH304*SALUD_Mes_Constante!$DC$1</f>
        <v>166688560.9803519</v>
      </c>
      <c r="DI304" s="8">
        <f>+MINVU_Mes_Corriente!DI304*SALUD_Mes_Constante!$DC$1</f>
        <v>198320832.58882841</v>
      </c>
      <c r="DJ304" s="8">
        <f>+MINVU_Mes_Corriente!DJ304*SALUD_Mes_Constante!$DC$1</f>
        <v>232238425.29122528</v>
      </c>
      <c r="DK304" s="8">
        <f>+MINVU_Mes_Corriente!DK304*SALUD_Mes_Constante!$DC$1</f>
        <v>266448802.42361909</v>
      </c>
      <c r="DL304" s="8">
        <f>+MINVU_Mes_Corriente!DL304*SALUD_Mes_Constante!$DC$1</f>
        <v>314373075.29472291</v>
      </c>
      <c r="DM304" s="8">
        <f>+MINVU_Mes_Corriente!DM304*SALUD_Mes_Constante!$DC$1</f>
        <v>437344352.21026665</v>
      </c>
      <c r="DN304" s="8">
        <f>+MINVU_Mes_Corriente!DN304*SALUD_Mes_Constante!$DC$1</f>
        <v>511386712.74642551</v>
      </c>
      <c r="DO304" s="9">
        <f t="shared" si="160"/>
        <v>511386712.74642551</v>
      </c>
      <c r="DP304" s="8">
        <f>+MINVU_Mes_Corriente!DP304*SALUD_Mes_Constante!$DP$1</f>
        <v>184378.41270783849</v>
      </c>
      <c r="DQ304" s="8">
        <f>+MINVU_Mes_Corriente!DQ304*SALUD_Mes_Constante!$DP$1</f>
        <v>19281756.903206654</v>
      </c>
      <c r="DR304" s="8">
        <f>+MINVU_Mes_Corriente!DR304*SALUD_Mes_Constante!$DP$1</f>
        <v>114997739.5902613</v>
      </c>
      <c r="DS304" s="8">
        <f>+MINVU_Mes_Corriente!DS304*SALUD_Mes_Constante!$DP$1</f>
        <v>150558094.58372924</v>
      </c>
      <c r="DT304" s="8">
        <f>+MINVU_Mes_Corriente!DT304*SALUD_Mes_Constante!$DP$1</f>
        <v>191747007.02494064</v>
      </c>
      <c r="DU304" s="8">
        <f>+MINVU_Mes_Corriente!DU304*SALUD_Mes_Constante!$DP$1</f>
        <v>234393472.08847985</v>
      </c>
      <c r="DV304" s="8">
        <f>+MINVU_Mes_Corriente!DV304*SALUD_Mes_Constante!$DP$1</f>
        <v>280248813.81591451</v>
      </c>
      <c r="DW304" s="8">
        <f>+MINVU_Mes_Corriente!DW304*SALUD_Mes_Constante!$DP$1</f>
        <v>325128843.51484561</v>
      </c>
      <c r="DX304" s="8">
        <f>+MINVU_Mes_Corriente!DX304*SALUD_Mes_Constante!$DP$1</f>
        <v>366477144.27969122</v>
      </c>
      <c r="DY304" s="8">
        <f>+MINVU_Mes_Corriente!DY304*SALUD_Mes_Constante!$DP$1</f>
        <v>366477144.27969122</v>
      </c>
      <c r="DZ304" s="8">
        <f>+MINVU_Mes_Corriente!DZ304*SALUD_Mes_Constante!$DP$1</f>
        <v>460888756.77790976</v>
      </c>
      <c r="EA304" s="8">
        <f>+MINVU_Mes_Corriente!EA304*SALUD_Mes_Constante!$DP$1</f>
        <v>620418870.78206658</v>
      </c>
      <c r="EB304" s="9">
        <f t="shared" si="161"/>
        <v>620418870.78206658</v>
      </c>
      <c r="EC304" s="8">
        <f>+MINVU_Mes_Corriente!EC304*SALUD_Mes_Constante!$EC$1</f>
        <v>184294.78602537393</v>
      </c>
      <c r="ED304" s="8">
        <f>+MINVU_Mes_Corriente!ED304*SALUD_Mes_Constante!$EC$1</f>
        <v>4432698.4754781276</v>
      </c>
      <c r="EE304" s="8">
        <f>+MINVU_Mes_Corriente!EE304*SALUD_Mes_Constante!$EC$1</f>
        <v>141231363.89528495</v>
      </c>
      <c r="EF304" s="8">
        <f>+MINVU_Mes_Corriente!EF304*SALUD_Mes_Constante!$EC$1</f>
        <v>171200438.46487403</v>
      </c>
      <c r="EG304" s="8">
        <f>+MINVU_Mes_Corriente!EG304*SALUD_Mes_Constante!$EC$1</f>
        <v>235654031.75402379</v>
      </c>
      <c r="EH304" s="8">
        <f>+MINVU_Mes_Corriente!EH304*SALUD_Mes_Constante!$EC$1</f>
        <v>336965267.44555944</v>
      </c>
      <c r="EI304" s="8">
        <f>+MINVU_Mes_Corriente!EI304*SALUD_Mes_Constante!$EC$1</f>
        <v>414550384.83260733</v>
      </c>
      <c r="EJ304" s="8">
        <f>+MINVU_Mes_Corriente!EJ304*SALUD_Mes_Constante!$EC$1</f>
        <v>523273584.30789608</v>
      </c>
      <c r="EK304" s="8">
        <f>+MINVU_Mes_Corriente!EK304*SALUD_Mes_Constante!$EC$1</f>
        <v>600764207.62223041</v>
      </c>
      <c r="EL304" s="8">
        <f>+MINVU_Mes_Corriente!EL304*SALUD_Mes_Constante!$EC$1</f>
        <v>642206465.62336659</v>
      </c>
      <c r="EM304" s="8">
        <f>+MINVU_Mes_Corriente!EM304*SALUD_Mes_Constante!$EC$1</f>
        <v>731944962.18235159</v>
      </c>
      <c r="EN304" s="8">
        <f>+MINVU_Mes_Corriente!EN304*SALUD_Mes_Constante!$EC$1</f>
        <v>851238162.53682983</v>
      </c>
      <c r="EO304" s="9">
        <f t="shared" si="162"/>
        <v>851238162.53682983</v>
      </c>
      <c r="EP304" s="8">
        <f>+MINVU_Mes_Corriente!EP304*SALUD_Mes_Constante!$EP$1</f>
        <v>32596643</v>
      </c>
      <c r="EQ304" s="8">
        <f>+MINVU_Mes_Corriente!EQ304*SALUD_Mes_Constante!$EP$1</f>
        <v>33349248</v>
      </c>
      <c r="ER304" s="8">
        <f>+MINVU_Mes_Corriente!ER304*SALUD_Mes_Constante!$EP$1</f>
        <v>221590125</v>
      </c>
      <c r="ES304" s="8">
        <f>+MINVU_Mes_Corriente!ES304*SALUD_Mes_Constante!$EP$1</f>
        <v>240622045</v>
      </c>
      <c r="ET304" s="8">
        <f>+MINVU_Mes_Corriente!ET304*SALUD_Mes_Constante!$EP$1</f>
        <v>297003296</v>
      </c>
      <c r="EU304" s="8">
        <f>+MINVU_Mes_Corriente!EU304*SALUD_Mes_Constante!$EP$1</f>
        <v>387489250</v>
      </c>
      <c r="EV304" s="8">
        <f>+MINVU_Mes_Corriente!EV304*SALUD_Mes_Constante!$EP$1</f>
        <v>434690307</v>
      </c>
      <c r="EW304" s="8">
        <f>+MINVU_Mes_Corriente!EW304*SALUD_Mes_Constante!$EP$1</f>
        <v>488747226</v>
      </c>
      <c r="EX304" s="8">
        <f>+MINVU_Mes_Corriente!EX304*SALUD_Mes_Constante!$EP$1</f>
        <v>564069996</v>
      </c>
      <c r="EY304" s="8">
        <f>+MINVU_Mes_Corriente!EY304*SALUD_Mes_Constante!$EP$1</f>
        <v>607875728</v>
      </c>
      <c r="EZ304" s="8">
        <f>+MINVU_Mes_Corriente!EZ304*SALUD_Mes_Constante!$EP$1</f>
        <v>700072654</v>
      </c>
      <c r="FA304" s="8">
        <f>+MINVU_Mes_Corriente!FA304*SALUD_Mes_Constante!$EP$1</f>
        <v>822320872</v>
      </c>
      <c r="FB304" s="9">
        <f t="shared" si="163"/>
        <v>822320872</v>
      </c>
      <c r="FC304" s="8">
        <f>+MINVU_Mes_Corriente!FC304*SALUD_Mes_Constante!$FC$1</f>
        <v>7514415</v>
      </c>
      <c r="FD304" s="8">
        <f>+MINVU_Mes_Corriente!FD304*SALUD_Mes_Constante!$FC$1</f>
        <v>10771323</v>
      </c>
      <c r="FE304" s="8">
        <f>+MINVU_Mes_Corriente!FE304*SALUD_Mes_Constante!$FC$1</f>
        <v>61771964</v>
      </c>
      <c r="FF304" s="8">
        <f>+MINVU_Mes_Corriente!FF304*SALUD_Mes_Constante!$FC$1</f>
        <v>160009564</v>
      </c>
      <c r="FG304" s="8">
        <f>+MINVU_Mes_Corriente!FG304*SALUD_Mes_Constante!$FC$1</f>
        <v>192473239</v>
      </c>
      <c r="FH304" s="8">
        <f>+MINVU_Mes_Corriente!FH304*SALUD_Mes_Constante!$FC$1</f>
        <v>274896219</v>
      </c>
      <c r="FI304" s="8">
        <f>+MINVU_Mes_Corriente!FI304*SALUD_Mes_Constante!$FC$1</f>
        <v>293615144</v>
      </c>
      <c r="FJ304" s="8"/>
      <c r="FK304" s="8"/>
      <c r="FL304" s="8"/>
      <c r="FM304" s="8"/>
      <c r="FN304" s="8"/>
      <c r="FO304" s="9">
        <f t="shared" si="164"/>
        <v>293615144</v>
      </c>
    </row>
    <row r="305" spans="2:171" ht="14.25" customHeight="1" x14ac:dyDescent="0.3">
      <c r="B305" s="7" t="s">
        <v>46</v>
      </c>
      <c r="C305" s="8">
        <f>+MINVU_Mes_Corriente!C305*SALUD_Mes_Constante!$C$1</f>
        <v>0</v>
      </c>
      <c r="D305" s="8">
        <f>+MINVU_Mes_Corriente!D305*SALUD_Mes_Constante!$C$1</f>
        <v>0</v>
      </c>
      <c r="E305" s="8">
        <f>+MINVU_Mes_Corriente!E305*SALUD_Mes_Constante!$C$1</f>
        <v>0</v>
      </c>
      <c r="F305" s="8">
        <f>+MINVU_Mes_Corriente!F305*SALUD_Mes_Constante!$C$1</f>
        <v>0</v>
      </c>
      <c r="G305" s="8">
        <f>+MINVU_Mes_Corriente!G305*SALUD_Mes_Constante!$C$1</f>
        <v>0</v>
      </c>
      <c r="H305" s="8">
        <f>+MINVU_Mes_Corriente!H305*SALUD_Mes_Constante!$C$1</f>
        <v>0</v>
      </c>
      <c r="I305" s="8">
        <f>+MINVU_Mes_Corriente!I305*SALUD_Mes_Constante!$C$1</f>
        <v>0</v>
      </c>
      <c r="J305" s="8">
        <f>+MINVU_Mes_Corriente!J305*SALUD_Mes_Constante!$C$1</f>
        <v>0</v>
      </c>
      <c r="K305" s="8">
        <f>+MINVU_Mes_Corriente!K305*SALUD_Mes_Constante!$C$1</f>
        <v>0</v>
      </c>
      <c r="L305" s="8">
        <f>+MINVU_Mes_Corriente!L305*SALUD_Mes_Constante!$C$1</f>
        <v>0</v>
      </c>
      <c r="M305" s="8">
        <f>+MINVU_Mes_Corriente!M305*SALUD_Mes_Constante!$C$1</f>
        <v>0</v>
      </c>
      <c r="N305" s="8">
        <f>+MINVU_Mes_Corriente!N305*SALUD_Mes_Constante!$C$1</f>
        <v>0</v>
      </c>
      <c r="O305" s="9">
        <f t="shared" si="152"/>
        <v>0</v>
      </c>
      <c r="P305" s="8">
        <f>+MINVU_Mes_Corriente!P305*SALUD_Mes_Constante!$P$1</f>
        <v>0</v>
      </c>
      <c r="Q305" s="8">
        <f>+MINVU_Mes_Corriente!Q305*SALUD_Mes_Constante!$P$1</f>
        <v>0</v>
      </c>
      <c r="R305" s="8">
        <f>+MINVU_Mes_Corriente!R305*SALUD_Mes_Constante!$P$1</f>
        <v>0</v>
      </c>
      <c r="S305" s="8">
        <f>+MINVU_Mes_Corriente!S305*SALUD_Mes_Constante!$P$1</f>
        <v>0</v>
      </c>
      <c r="T305" s="8">
        <f>+MINVU_Mes_Corriente!T305*SALUD_Mes_Constante!$P$1</f>
        <v>0</v>
      </c>
      <c r="U305" s="8">
        <f>+MINVU_Mes_Corriente!U305*SALUD_Mes_Constante!$P$1</f>
        <v>0</v>
      </c>
      <c r="V305" s="8">
        <f>+MINVU_Mes_Corriente!V305*SALUD_Mes_Constante!$P$1</f>
        <v>0</v>
      </c>
      <c r="W305" s="8">
        <f>+MINVU_Mes_Corriente!W305*SALUD_Mes_Constante!$P$1</f>
        <v>0</v>
      </c>
      <c r="X305" s="8">
        <f>+MINVU_Mes_Corriente!X305*SALUD_Mes_Constante!$P$1</f>
        <v>0</v>
      </c>
      <c r="Y305" s="8">
        <f>+MINVU_Mes_Corriente!Y305*SALUD_Mes_Constante!$P$1</f>
        <v>0</v>
      </c>
      <c r="Z305" s="8">
        <f>+MINVU_Mes_Corriente!Z305*SALUD_Mes_Constante!$P$1</f>
        <v>0</v>
      </c>
      <c r="AA305" s="8">
        <f>+MINVU_Mes_Corriente!AA305*SALUD_Mes_Constante!$P$1</f>
        <v>0</v>
      </c>
      <c r="AB305" s="9">
        <f t="shared" si="153"/>
        <v>0</v>
      </c>
      <c r="AC305" s="8">
        <f>+MINVU_Mes_Corriente!AC305*SALUD_Mes_Constante!$AC$1</f>
        <v>0</v>
      </c>
      <c r="AD305" s="8">
        <f>+MINVU_Mes_Corriente!AD305*SALUD_Mes_Constante!$AC$1</f>
        <v>0</v>
      </c>
      <c r="AE305" s="8">
        <f>+MINVU_Mes_Corriente!AE305*SALUD_Mes_Constante!$AC$1</f>
        <v>0</v>
      </c>
      <c r="AF305" s="8">
        <f>+MINVU_Mes_Corriente!AF305*SALUD_Mes_Constante!$AC$1</f>
        <v>0</v>
      </c>
      <c r="AG305" s="8">
        <f>+MINVU_Mes_Corriente!AG305*SALUD_Mes_Constante!$AC$1</f>
        <v>0</v>
      </c>
      <c r="AH305" s="8">
        <f>+MINVU_Mes_Corriente!AH305*SALUD_Mes_Constante!$AC$1</f>
        <v>0</v>
      </c>
      <c r="AI305" s="8">
        <f>+MINVU_Mes_Corriente!AI305*SALUD_Mes_Constante!$AC$1</f>
        <v>0</v>
      </c>
      <c r="AJ305" s="8">
        <f>+MINVU_Mes_Corriente!AJ305*SALUD_Mes_Constante!$AC$1</f>
        <v>0</v>
      </c>
      <c r="AK305" s="8">
        <f>+MINVU_Mes_Corriente!AK305*SALUD_Mes_Constante!$AC$1</f>
        <v>0</v>
      </c>
      <c r="AL305" s="8">
        <f>+MINVU_Mes_Corriente!AL305*SALUD_Mes_Constante!$AC$1</f>
        <v>0</v>
      </c>
      <c r="AM305" s="8">
        <f>+MINVU_Mes_Corriente!AM305*SALUD_Mes_Constante!$AC$1</f>
        <v>0</v>
      </c>
      <c r="AN305" s="8">
        <f>+MINVU_Mes_Corriente!AN305*SALUD_Mes_Constante!$AC$1</f>
        <v>0</v>
      </c>
      <c r="AO305" s="9">
        <f t="shared" si="154"/>
        <v>0</v>
      </c>
      <c r="AP305" s="8">
        <f>+MINVU_Mes_Corriente!AP305*SALUD_Mes_Constante!$AP$1</f>
        <v>0</v>
      </c>
      <c r="AQ305" s="8">
        <f>+MINVU_Mes_Corriente!AQ305*SALUD_Mes_Constante!$AP$1</f>
        <v>0</v>
      </c>
      <c r="AR305" s="8">
        <f>+MINVU_Mes_Corriente!AR305*SALUD_Mes_Constante!$AP$1</f>
        <v>0</v>
      </c>
      <c r="AS305" s="8">
        <f>+MINVU_Mes_Corriente!AS305*SALUD_Mes_Constante!$AP$1</f>
        <v>0</v>
      </c>
      <c r="AT305" s="8">
        <f>+MINVU_Mes_Corriente!AT305*SALUD_Mes_Constante!$AP$1</f>
        <v>0</v>
      </c>
      <c r="AU305" s="8">
        <f>+MINVU_Mes_Corriente!AU305*SALUD_Mes_Constante!$AP$1</f>
        <v>0</v>
      </c>
      <c r="AV305" s="8">
        <f>+MINVU_Mes_Corriente!AV305*SALUD_Mes_Constante!$AP$1</f>
        <v>0</v>
      </c>
      <c r="AW305" s="8">
        <f>+MINVU_Mes_Corriente!AW305*SALUD_Mes_Constante!$AP$1</f>
        <v>0</v>
      </c>
      <c r="AX305" s="8">
        <f>+MINVU_Mes_Corriente!AX305*SALUD_Mes_Constante!$AP$1</f>
        <v>0</v>
      </c>
      <c r="AY305" s="8">
        <f>+MINVU_Mes_Corriente!AY305*SALUD_Mes_Constante!$AP$1</f>
        <v>0</v>
      </c>
      <c r="AZ305" s="8">
        <f>+MINVU_Mes_Corriente!AZ305*SALUD_Mes_Constante!$AP$1</f>
        <v>0</v>
      </c>
      <c r="BA305" s="8">
        <f>+MINVU_Mes_Corriente!BA305*SALUD_Mes_Constante!$AP$1</f>
        <v>0</v>
      </c>
      <c r="BB305" s="9">
        <f t="shared" si="155"/>
        <v>0</v>
      </c>
      <c r="BC305" s="8">
        <f>+MINVU_Mes_Corriente!BC305*SALUD_Mes_Constante!$BC$1</f>
        <v>0</v>
      </c>
      <c r="BD305" s="8">
        <f>+MINVU_Mes_Corriente!BD305*SALUD_Mes_Constante!$BC$1</f>
        <v>0</v>
      </c>
      <c r="BE305" s="8">
        <f>+MINVU_Mes_Corriente!BE305*SALUD_Mes_Constante!$BC$1</f>
        <v>0</v>
      </c>
      <c r="BF305" s="8">
        <f>+MINVU_Mes_Corriente!BF305*SALUD_Mes_Constante!$BC$1</f>
        <v>0</v>
      </c>
      <c r="BG305" s="8">
        <f>+MINVU_Mes_Corriente!BG305*SALUD_Mes_Constante!$BC$1</f>
        <v>0</v>
      </c>
      <c r="BH305" s="8">
        <f>+MINVU_Mes_Corriente!BH305*SALUD_Mes_Constante!$BC$1</f>
        <v>0</v>
      </c>
      <c r="BI305" s="8">
        <f>+MINVU_Mes_Corriente!BI305*SALUD_Mes_Constante!$BC$1</f>
        <v>0</v>
      </c>
      <c r="BJ305" s="8">
        <f>+MINVU_Mes_Corriente!BJ305*SALUD_Mes_Constante!$BC$1</f>
        <v>0</v>
      </c>
      <c r="BK305" s="8">
        <f>+MINVU_Mes_Corriente!BK305*SALUD_Mes_Constante!$BC$1</f>
        <v>0</v>
      </c>
      <c r="BL305" s="8">
        <f>+MINVU_Mes_Corriente!BL305*SALUD_Mes_Constante!$BC$1</f>
        <v>0</v>
      </c>
      <c r="BM305" s="8">
        <f>+MINVU_Mes_Corriente!BM305*SALUD_Mes_Constante!$BC$1</f>
        <v>0</v>
      </c>
      <c r="BN305" s="8">
        <f>+MINVU_Mes_Corriente!BN305*SALUD_Mes_Constante!$BC$1</f>
        <v>0</v>
      </c>
      <c r="BO305" s="9">
        <f t="shared" si="156"/>
        <v>0</v>
      </c>
      <c r="BP305" s="8">
        <f>+MINVU_Mes_Corriente!BP305*SALUD_Mes_Constante!$BP$1</f>
        <v>0</v>
      </c>
      <c r="BQ305" s="8">
        <f>+MINVU_Mes_Corriente!BQ305*SALUD_Mes_Constante!$BP$1</f>
        <v>0</v>
      </c>
      <c r="BR305" s="8">
        <f>+MINVU_Mes_Corriente!BR305*SALUD_Mes_Constante!$BP$1</f>
        <v>0</v>
      </c>
      <c r="BS305" s="8">
        <f>+MINVU_Mes_Corriente!BS305*SALUD_Mes_Constante!$BP$1</f>
        <v>0</v>
      </c>
      <c r="BT305" s="8">
        <f>+MINVU_Mes_Corriente!BT305*SALUD_Mes_Constante!$BP$1</f>
        <v>0</v>
      </c>
      <c r="BU305" s="8">
        <f>+MINVU_Mes_Corriente!BU305*SALUD_Mes_Constante!$BP$1</f>
        <v>0</v>
      </c>
      <c r="BV305" s="8">
        <f>+MINVU_Mes_Corriente!BV305*SALUD_Mes_Constante!$BP$1</f>
        <v>0</v>
      </c>
      <c r="BW305" s="8">
        <f>+MINVU_Mes_Corriente!BW305*SALUD_Mes_Constante!$BP$1</f>
        <v>0</v>
      </c>
      <c r="BX305" s="8">
        <f>+MINVU_Mes_Corriente!BX305*SALUD_Mes_Constante!$BP$1</f>
        <v>0</v>
      </c>
      <c r="BY305" s="8">
        <f>+MINVU_Mes_Corriente!BY305*SALUD_Mes_Constante!$BP$1</f>
        <v>0</v>
      </c>
      <c r="BZ305" s="8">
        <f>+MINVU_Mes_Corriente!BZ305*SALUD_Mes_Constante!$BP$1</f>
        <v>0</v>
      </c>
      <c r="CA305" s="8">
        <f>+MINVU_Mes_Corriente!CA305*SALUD_Mes_Constante!$BP$1</f>
        <v>0</v>
      </c>
      <c r="CB305" s="9">
        <f t="shared" si="157"/>
        <v>0</v>
      </c>
      <c r="CC305" s="8">
        <f>+MINVU_Mes_Corriente!CC305*SALUD_Mes_Constante!$CC$1</f>
        <v>0</v>
      </c>
      <c r="CD305" s="8">
        <f>+MINVU_Mes_Corriente!CD305*SALUD_Mes_Constante!$CC$1</f>
        <v>0</v>
      </c>
      <c r="CE305" s="8">
        <f>+MINVU_Mes_Corriente!CE305*SALUD_Mes_Constante!$CC$1</f>
        <v>0</v>
      </c>
      <c r="CF305" s="8">
        <f>+MINVU_Mes_Corriente!CF305*SALUD_Mes_Constante!$CC$1</f>
        <v>0</v>
      </c>
      <c r="CG305" s="8">
        <f>+MINVU_Mes_Corriente!CG305*SALUD_Mes_Constante!$CC$1</f>
        <v>0</v>
      </c>
      <c r="CH305" s="8">
        <f>+MINVU_Mes_Corriente!CH305*SALUD_Mes_Constante!$CC$1</f>
        <v>0</v>
      </c>
      <c r="CI305" s="8">
        <f>+MINVU_Mes_Corriente!CI305*SALUD_Mes_Constante!$CC$1</f>
        <v>0</v>
      </c>
      <c r="CJ305" s="8">
        <f>+MINVU_Mes_Corriente!CJ305*SALUD_Mes_Constante!$CC$1</f>
        <v>0</v>
      </c>
      <c r="CK305" s="8">
        <f>+MINVU_Mes_Corriente!CK305*SALUD_Mes_Constante!$CC$1</f>
        <v>0</v>
      </c>
      <c r="CL305" s="8">
        <f>+MINVU_Mes_Corriente!CL305*SALUD_Mes_Constante!$CC$1</f>
        <v>0</v>
      </c>
      <c r="CM305" s="8">
        <f>+MINVU_Mes_Corriente!CM305*SALUD_Mes_Constante!$CC$1</f>
        <v>0</v>
      </c>
      <c r="CN305" s="8">
        <f>+MINVU_Mes_Corriente!CN305*SALUD_Mes_Constante!$CC$1</f>
        <v>0</v>
      </c>
      <c r="CO305" s="9">
        <f t="shared" si="158"/>
        <v>0</v>
      </c>
      <c r="CP305" s="8">
        <f>+MINVU_Mes_Corriente!CP305*SALUD_Mes_Constante!$CP$1</f>
        <v>0</v>
      </c>
      <c r="CQ305" s="8">
        <f>+MINVU_Mes_Corriente!CQ305*SALUD_Mes_Constante!$CP$1</f>
        <v>0</v>
      </c>
      <c r="CR305" s="8">
        <f>+MINVU_Mes_Corriente!CR305*SALUD_Mes_Constante!$CP$1</f>
        <v>0</v>
      </c>
      <c r="CS305" s="8">
        <f>+MINVU_Mes_Corriente!CS305*SALUD_Mes_Constante!$CP$1</f>
        <v>0</v>
      </c>
      <c r="CT305" s="8">
        <f>+MINVU_Mes_Corriente!CT305*SALUD_Mes_Constante!$CP$1</f>
        <v>0</v>
      </c>
      <c r="CU305" s="8">
        <f>+MINVU_Mes_Corriente!CU305*SALUD_Mes_Constante!$CP$1</f>
        <v>0</v>
      </c>
      <c r="CV305" s="8">
        <f>+MINVU_Mes_Corriente!CV305*SALUD_Mes_Constante!$CP$1</f>
        <v>0</v>
      </c>
      <c r="CW305" s="8">
        <f>+MINVU_Mes_Corriente!CW305*SALUD_Mes_Constante!$CP$1</f>
        <v>0</v>
      </c>
      <c r="CX305" s="8">
        <f>+MINVU_Mes_Corriente!CX305*SALUD_Mes_Constante!$CP$1</f>
        <v>0</v>
      </c>
      <c r="CY305" s="8">
        <f>+MINVU_Mes_Corriente!CY305*SALUD_Mes_Constante!$CP$1</f>
        <v>0</v>
      </c>
      <c r="CZ305" s="8">
        <f>+MINVU_Mes_Corriente!CZ305*SALUD_Mes_Constante!$CP$1</f>
        <v>0</v>
      </c>
      <c r="DA305" s="8">
        <f>+MINVU_Mes_Corriente!DA305*SALUD_Mes_Constante!$CP$1</f>
        <v>0</v>
      </c>
      <c r="DB305" s="9">
        <f t="shared" si="159"/>
        <v>0</v>
      </c>
      <c r="DC305" s="8">
        <f>+MINVU_Mes_Corriente!DC305*SALUD_Mes_Constante!$DC$1</f>
        <v>0</v>
      </c>
      <c r="DD305" s="8">
        <f>+MINVU_Mes_Corriente!DD305*SALUD_Mes_Constante!$DC$1</f>
        <v>0</v>
      </c>
      <c r="DE305" s="8">
        <f>+MINVU_Mes_Corriente!DE305*SALUD_Mes_Constante!$DC$1</f>
        <v>0</v>
      </c>
      <c r="DF305" s="8">
        <f>+MINVU_Mes_Corriente!DF305*SALUD_Mes_Constante!$DC$1</f>
        <v>0</v>
      </c>
      <c r="DG305" s="8">
        <f>+MINVU_Mes_Corriente!DG305*SALUD_Mes_Constante!$DC$1</f>
        <v>0</v>
      </c>
      <c r="DH305" s="8">
        <f>+MINVU_Mes_Corriente!DH305*SALUD_Mes_Constante!$DC$1</f>
        <v>0</v>
      </c>
      <c r="DI305" s="8">
        <f>+MINVU_Mes_Corriente!DI305*SALUD_Mes_Constante!$DC$1</f>
        <v>0</v>
      </c>
      <c r="DJ305" s="8">
        <f>+MINVU_Mes_Corriente!DJ305*SALUD_Mes_Constante!$DC$1</f>
        <v>0</v>
      </c>
      <c r="DK305" s="8">
        <f>+MINVU_Mes_Corriente!DK305*SALUD_Mes_Constante!$DC$1</f>
        <v>0</v>
      </c>
      <c r="DL305" s="8">
        <f>+MINVU_Mes_Corriente!DL305*SALUD_Mes_Constante!$DC$1</f>
        <v>0</v>
      </c>
      <c r="DM305" s="8">
        <f>+MINVU_Mes_Corriente!DM305*SALUD_Mes_Constante!$DC$1</f>
        <v>0</v>
      </c>
      <c r="DN305" s="8">
        <f>+MINVU_Mes_Corriente!DN305*SALUD_Mes_Constante!$DC$1</f>
        <v>0</v>
      </c>
      <c r="DO305" s="9">
        <f t="shared" si="160"/>
        <v>0</v>
      </c>
      <c r="DP305" s="8">
        <f>+MINVU_Mes_Corriente!DP305*SALUD_Mes_Constante!$DP$1</f>
        <v>0</v>
      </c>
      <c r="DQ305" s="8">
        <f>+MINVU_Mes_Corriente!DQ305*SALUD_Mes_Constante!$DP$1</f>
        <v>0</v>
      </c>
      <c r="DR305" s="8">
        <f>+MINVU_Mes_Corriente!DR305*SALUD_Mes_Constante!$DP$1</f>
        <v>0</v>
      </c>
      <c r="DS305" s="8">
        <f>+MINVU_Mes_Corriente!DS305*SALUD_Mes_Constante!$DP$1</f>
        <v>0</v>
      </c>
      <c r="DT305" s="8">
        <f>+MINVU_Mes_Corriente!DT305*SALUD_Mes_Constante!$DP$1</f>
        <v>0</v>
      </c>
      <c r="DU305" s="8">
        <f>+MINVU_Mes_Corriente!DU305*SALUD_Mes_Constante!$DP$1</f>
        <v>0</v>
      </c>
      <c r="DV305" s="8">
        <f>+MINVU_Mes_Corriente!DV305*SALUD_Mes_Constante!$DP$1</f>
        <v>0</v>
      </c>
      <c r="DW305" s="8">
        <f>+MINVU_Mes_Corriente!DW305*SALUD_Mes_Constante!$DP$1</f>
        <v>0</v>
      </c>
      <c r="DX305" s="8">
        <f>+MINVU_Mes_Corriente!DX305*SALUD_Mes_Constante!$DP$1</f>
        <v>0</v>
      </c>
      <c r="DY305" s="8">
        <f>+MINVU_Mes_Corriente!DY305*SALUD_Mes_Constante!$DP$1</f>
        <v>0</v>
      </c>
      <c r="DZ305" s="8">
        <f>+MINVU_Mes_Corriente!DZ305*SALUD_Mes_Constante!$DP$1</f>
        <v>0</v>
      </c>
      <c r="EA305" s="8">
        <f>+MINVU_Mes_Corriente!EA305*SALUD_Mes_Constante!$DP$1</f>
        <v>0</v>
      </c>
      <c r="EB305" s="9">
        <f t="shared" si="161"/>
        <v>0</v>
      </c>
      <c r="EC305" s="8">
        <f>+MINVU_Mes_Corriente!EC305*SALUD_Mes_Constante!$EC$1</f>
        <v>0</v>
      </c>
      <c r="ED305" s="8">
        <f>+MINVU_Mes_Corriente!ED305*SALUD_Mes_Constante!$EC$1</f>
        <v>0</v>
      </c>
      <c r="EE305" s="8">
        <f>+MINVU_Mes_Corriente!EE305*SALUD_Mes_Constante!$EC$1</f>
        <v>0</v>
      </c>
      <c r="EF305" s="8">
        <f>+MINVU_Mes_Corriente!EF305*SALUD_Mes_Constante!$EC$1</f>
        <v>0</v>
      </c>
      <c r="EG305" s="8">
        <f>+MINVU_Mes_Corriente!EG305*SALUD_Mes_Constante!$EC$1</f>
        <v>0</v>
      </c>
      <c r="EH305" s="8">
        <f>+MINVU_Mes_Corriente!EH305*SALUD_Mes_Constante!$EC$1</f>
        <v>0</v>
      </c>
      <c r="EI305" s="8">
        <f>+MINVU_Mes_Corriente!EI305*SALUD_Mes_Constante!$EC$1</f>
        <v>0</v>
      </c>
      <c r="EJ305" s="8">
        <f>+MINVU_Mes_Corriente!EJ305*SALUD_Mes_Constante!$EC$1</f>
        <v>0</v>
      </c>
      <c r="EK305" s="8">
        <f>+MINVU_Mes_Corriente!EK305*SALUD_Mes_Constante!$EC$1</f>
        <v>0</v>
      </c>
      <c r="EL305" s="8">
        <f>+MINVU_Mes_Corriente!EL305*SALUD_Mes_Constante!$EC$1</f>
        <v>0</v>
      </c>
      <c r="EM305" s="8">
        <f>+MINVU_Mes_Corriente!EM305*SALUD_Mes_Constante!$EC$1</f>
        <v>0</v>
      </c>
      <c r="EN305" s="8">
        <f>+MINVU_Mes_Corriente!EN305*SALUD_Mes_Constante!$EC$1</f>
        <v>0</v>
      </c>
      <c r="EO305" s="9">
        <f t="shared" si="162"/>
        <v>0</v>
      </c>
      <c r="EP305" s="8">
        <f>+MINVU_Mes_Corriente!EP305*SALUD_Mes_Constante!$EP$1</f>
        <v>0</v>
      </c>
      <c r="EQ305" s="8">
        <f>+MINVU_Mes_Corriente!EQ305*SALUD_Mes_Constante!$EP$1</f>
        <v>0</v>
      </c>
      <c r="ER305" s="8">
        <f>+MINVU_Mes_Corriente!ER305*SALUD_Mes_Constante!$EP$1</f>
        <v>0</v>
      </c>
      <c r="ES305" s="8">
        <f>+MINVU_Mes_Corriente!ES305*SALUD_Mes_Constante!$EP$1</f>
        <v>0</v>
      </c>
      <c r="ET305" s="8">
        <f>+MINVU_Mes_Corriente!ET305*SALUD_Mes_Constante!$EP$1</f>
        <v>0</v>
      </c>
      <c r="EU305" s="8">
        <f>+MINVU_Mes_Corriente!EU305*SALUD_Mes_Constante!$EP$1</f>
        <v>0</v>
      </c>
      <c r="EV305" s="8">
        <f>+MINVU_Mes_Corriente!EV305*SALUD_Mes_Constante!$EP$1</f>
        <v>0</v>
      </c>
      <c r="EW305" s="8">
        <f>+MINVU_Mes_Corriente!EW305*SALUD_Mes_Constante!$EP$1</f>
        <v>0</v>
      </c>
      <c r="EX305" s="8">
        <f>+MINVU_Mes_Corriente!EX305*SALUD_Mes_Constante!$EP$1</f>
        <v>0</v>
      </c>
      <c r="EY305" s="8">
        <f>+MINVU_Mes_Corriente!EY305*SALUD_Mes_Constante!$EP$1</f>
        <v>0</v>
      </c>
      <c r="EZ305" s="8">
        <f>+MINVU_Mes_Corriente!EZ305*SALUD_Mes_Constante!$EP$1</f>
        <v>0</v>
      </c>
      <c r="FA305" s="8">
        <f>+MINVU_Mes_Corriente!FA305*SALUD_Mes_Constante!$EP$1</f>
        <v>0</v>
      </c>
      <c r="FB305" s="9">
        <f t="shared" si="163"/>
        <v>0</v>
      </c>
      <c r="FC305" s="8">
        <f>+MINVU_Mes_Corriente!FC305*SALUD_Mes_Constante!$FC$1</f>
        <v>0</v>
      </c>
      <c r="FD305" s="8">
        <f>+MINVU_Mes_Corriente!FD305*SALUD_Mes_Constante!$FC$1</f>
        <v>0</v>
      </c>
      <c r="FE305" s="8">
        <f>+MINVU_Mes_Corriente!FE305*SALUD_Mes_Constante!$FC$1</f>
        <v>0</v>
      </c>
      <c r="FF305" s="8">
        <f>+MINVU_Mes_Corriente!FF305*SALUD_Mes_Constante!$FC$1</f>
        <v>0</v>
      </c>
      <c r="FG305" s="8">
        <f>+MINVU_Mes_Corriente!FG305*SALUD_Mes_Constante!$FC$1</f>
        <v>0</v>
      </c>
      <c r="FH305" s="8">
        <f>+MINVU_Mes_Corriente!FH305*SALUD_Mes_Constante!$FC$1</f>
        <v>0</v>
      </c>
      <c r="FI305" s="8">
        <f>+MINVU_Mes_Corriente!FI305*SALUD_Mes_Constante!$FC$1</f>
        <v>0</v>
      </c>
      <c r="FJ305" s="8"/>
      <c r="FK305" s="8"/>
      <c r="FL305" s="8"/>
      <c r="FM305" s="8"/>
      <c r="FN305" s="8"/>
      <c r="FO305" s="9">
        <f t="shared" si="164"/>
        <v>0</v>
      </c>
    </row>
    <row r="306" spans="2:171" ht="14.25" customHeight="1" x14ac:dyDescent="0.3">
      <c r="B306" s="7" t="s">
        <v>47</v>
      </c>
      <c r="C306" s="8">
        <f>+MINVU_Mes_Corriente!C306*SALUD_Mes_Constante!$C$1</f>
        <v>0</v>
      </c>
      <c r="D306" s="8">
        <f>+MINVU_Mes_Corriente!D306*SALUD_Mes_Constante!$C$1</f>
        <v>0</v>
      </c>
      <c r="E306" s="8">
        <f>+MINVU_Mes_Corriente!E306*SALUD_Mes_Constante!$C$1</f>
        <v>0</v>
      </c>
      <c r="F306" s="8">
        <f>+MINVU_Mes_Corriente!F306*SALUD_Mes_Constante!$C$1</f>
        <v>0</v>
      </c>
      <c r="G306" s="8">
        <f>+MINVU_Mes_Corriente!G306*SALUD_Mes_Constante!$C$1</f>
        <v>0</v>
      </c>
      <c r="H306" s="8">
        <f>+MINVU_Mes_Corriente!H306*SALUD_Mes_Constante!$C$1</f>
        <v>0</v>
      </c>
      <c r="I306" s="8">
        <f>+MINVU_Mes_Corriente!I306*SALUD_Mes_Constante!$C$1</f>
        <v>0</v>
      </c>
      <c r="J306" s="8">
        <f>+MINVU_Mes_Corriente!J306*SALUD_Mes_Constante!$C$1</f>
        <v>0</v>
      </c>
      <c r="K306" s="8">
        <f>+MINVU_Mes_Corriente!K306*SALUD_Mes_Constante!$C$1</f>
        <v>0</v>
      </c>
      <c r="L306" s="8">
        <f>+MINVU_Mes_Corriente!L306*SALUD_Mes_Constante!$C$1</f>
        <v>0</v>
      </c>
      <c r="M306" s="8">
        <f>+MINVU_Mes_Corriente!M306*SALUD_Mes_Constante!$C$1</f>
        <v>0</v>
      </c>
      <c r="N306" s="8">
        <f>+MINVU_Mes_Corriente!N306*SALUD_Mes_Constante!$C$1</f>
        <v>0</v>
      </c>
      <c r="O306" s="9">
        <f t="shared" si="152"/>
        <v>0</v>
      </c>
      <c r="P306" s="8">
        <f>+MINVU_Mes_Corriente!P306*SALUD_Mes_Constante!$P$1</f>
        <v>0</v>
      </c>
      <c r="Q306" s="8">
        <f>+MINVU_Mes_Corriente!Q306*SALUD_Mes_Constante!$P$1</f>
        <v>0</v>
      </c>
      <c r="R306" s="8">
        <f>+MINVU_Mes_Corriente!R306*SALUD_Mes_Constante!$P$1</f>
        <v>0</v>
      </c>
      <c r="S306" s="8">
        <f>+MINVU_Mes_Corriente!S306*SALUD_Mes_Constante!$P$1</f>
        <v>0</v>
      </c>
      <c r="T306" s="8">
        <f>+MINVU_Mes_Corriente!T306*SALUD_Mes_Constante!$P$1</f>
        <v>0</v>
      </c>
      <c r="U306" s="8">
        <f>+MINVU_Mes_Corriente!U306*SALUD_Mes_Constante!$P$1</f>
        <v>0</v>
      </c>
      <c r="V306" s="8">
        <f>+MINVU_Mes_Corriente!V306*SALUD_Mes_Constante!$P$1</f>
        <v>0</v>
      </c>
      <c r="W306" s="8">
        <f>+MINVU_Mes_Corriente!W306*SALUD_Mes_Constante!$P$1</f>
        <v>0</v>
      </c>
      <c r="X306" s="8">
        <f>+MINVU_Mes_Corriente!X306*SALUD_Mes_Constante!$P$1</f>
        <v>0</v>
      </c>
      <c r="Y306" s="8">
        <f>+MINVU_Mes_Corriente!Y306*SALUD_Mes_Constante!$P$1</f>
        <v>0</v>
      </c>
      <c r="Z306" s="8">
        <f>+MINVU_Mes_Corriente!Z306*SALUD_Mes_Constante!$P$1</f>
        <v>0</v>
      </c>
      <c r="AA306" s="8">
        <f>+MINVU_Mes_Corriente!AA306*SALUD_Mes_Constante!$P$1</f>
        <v>0</v>
      </c>
      <c r="AB306" s="9">
        <f t="shared" si="153"/>
        <v>0</v>
      </c>
      <c r="AC306" s="8">
        <f>+MINVU_Mes_Corriente!AC306*SALUD_Mes_Constante!$AC$1</f>
        <v>0</v>
      </c>
      <c r="AD306" s="8">
        <f>+MINVU_Mes_Corriente!AD306*SALUD_Mes_Constante!$AC$1</f>
        <v>0</v>
      </c>
      <c r="AE306" s="8">
        <f>+MINVU_Mes_Corriente!AE306*SALUD_Mes_Constante!$AC$1</f>
        <v>0</v>
      </c>
      <c r="AF306" s="8">
        <f>+MINVU_Mes_Corriente!AF306*SALUD_Mes_Constante!$AC$1</f>
        <v>0</v>
      </c>
      <c r="AG306" s="8">
        <f>+MINVU_Mes_Corriente!AG306*SALUD_Mes_Constante!$AC$1</f>
        <v>0</v>
      </c>
      <c r="AH306" s="8">
        <f>+MINVU_Mes_Corriente!AH306*SALUD_Mes_Constante!$AC$1</f>
        <v>0</v>
      </c>
      <c r="AI306" s="8">
        <f>+MINVU_Mes_Corriente!AI306*SALUD_Mes_Constante!$AC$1</f>
        <v>0</v>
      </c>
      <c r="AJ306" s="8">
        <f>+MINVU_Mes_Corriente!AJ306*SALUD_Mes_Constante!$AC$1</f>
        <v>0</v>
      </c>
      <c r="AK306" s="8">
        <f>+MINVU_Mes_Corriente!AK306*SALUD_Mes_Constante!$AC$1</f>
        <v>0</v>
      </c>
      <c r="AL306" s="8">
        <f>+MINVU_Mes_Corriente!AL306*SALUD_Mes_Constante!$AC$1</f>
        <v>0</v>
      </c>
      <c r="AM306" s="8">
        <f>+MINVU_Mes_Corriente!AM306*SALUD_Mes_Constante!$AC$1</f>
        <v>0</v>
      </c>
      <c r="AN306" s="8">
        <f>+MINVU_Mes_Corriente!AN306*SALUD_Mes_Constante!$AC$1</f>
        <v>0</v>
      </c>
      <c r="AO306" s="9">
        <f t="shared" si="154"/>
        <v>0</v>
      </c>
      <c r="AP306" s="8">
        <f>+MINVU_Mes_Corriente!AP306*SALUD_Mes_Constante!$AP$1</f>
        <v>0</v>
      </c>
      <c r="AQ306" s="8">
        <f>+MINVU_Mes_Corriente!AQ306*SALUD_Mes_Constante!$AP$1</f>
        <v>0</v>
      </c>
      <c r="AR306" s="8">
        <f>+MINVU_Mes_Corriente!AR306*SALUD_Mes_Constante!$AP$1</f>
        <v>0</v>
      </c>
      <c r="AS306" s="8">
        <f>+MINVU_Mes_Corriente!AS306*SALUD_Mes_Constante!$AP$1</f>
        <v>0</v>
      </c>
      <c r="AT306" s="8">
        <f>+MINVU_Mes_Corriente!AT306*SALUD_Mes_Constante!$AP$1</f>
        <v>0</v>
      </c>
      <c r="AU306" s="8">
        <f>+MINVU_Mes_Corriente!AU306*SALUD_Mes_Constante!$AP$1</f>
        <v>0</v>
      </c>
      <c r="AV306" s="8">
        <f>+MINVU_Mes_Corriente!AV306*SALUD_Mes_Constante!$AP$1</f>
        <v>0</v>
      </c>
      <c r="AW306" s="8">
        <f>+MINVU_Mes_Corriente!AW306*SALUD_Mes_Constante!$AP$1</f>
        <v>0</v>
      </c>
      <c r="AX306" s="8">
        <f>+MINVU_Mes_Corriente!AX306*SALUD_Mes_Constante!$AP$1</f>
        <v>0</v>
      </c>
      <c r="AY306" s="8">
        <f>+MINVU_Mes_Corriente!AY306*SALUD_Mes_Constante!$AP$1</f>
        <v>0</v>
      </c>
      <c r="AZ306" s="8">
        <f>+MINVU_Mes_Corriente!AZ306*SALUD_Mes_Constante!$AP$1</f>
        <v>0</v>
      </c>
      <c r="BA306" s="8">
        <f>+MINVU_Mes_Corriente!BA306*SALUD_Mes_Constante!$AP$1</f>
        <v>0</v>
      </c>
      <c r="BB306" s="9">
        <f t="shared" si="155"/>
        <v>0</v>
      </c>
      <c r="BC306" s="8">
        <f>+MINVU_Mes_Corriente!BC306*SALUD_Mes_Constante!$BC$1</f>
        <v>0</v>
      </c>
      <c r="BD306" s="8">
        <f>+MINVU_Mes_Corriente!BD306*SALUD_Mes_Constante!$BC$1</f>
        <v>0</v>
      </c>
      <c r="BE306" s="8">
        <f>+MINVU_Mes_Corriente!BE306*SALUD_Mes_Constante!$BC$1</f>
        <v>0</v>
      </c>
      <c r="BF306" s="8">
        <f>+MINVU_Mes_Corriente!BF306*SALUD_Mes_Constante!$BC$1</f>
        <v>0</v>
      </c>
      <c r="BG306" s="8">
        <f>+MINVU_Mes_Corriente!BG306*SALUD_Mes_Constante!$BC$1</f>
        <v>0</v>
      </c>
      <c r="BH306" s="8">
        <f>+MINVU_Mes_Corriente!BH306*SALUD_Mes_Constante!$BC$1</f>
        <v>0</v>
      </c>
      <c r="BI306" s="8">
        <f>+MINVU_Mes_Corriente!BI306*SALUD_Mes_Constante!$BC$1</f>
        <v>0</v>
      </c>
      <c r="BJ306" s="8">
        <f>+MINVU_Mes_Corriente!BJ306*SALUD_Mes_Constante!$BC$1</f>
        <v>0</v>
      </c>
      <c r="BK306" s="8">
        <f>+MINVU_Mes_Corriente!BK306*SALUD_Mes_Constante!$BC$1</f>
        <v>0</v>
      </c>
      <c r="BL306" s="8">
        <f>+MINVU_Mes_Corriente!BL306*SALUD_Mes_Constante!$BC$1</f>
        <v>0</v>
      </c>
      <c r="BM306" s="8">
        <f>+MINVU_Mes_Corriente!BM306*SALUD_Mes_Constante!$BC$1</f>
        <v>0</v>
      </c>
      <c r="BN306" s="8">
        <f>+MINVU_Mes_Corriente!BN306*SALUD_Mes_Constante!$BC$1</f>
        <v>0</v>
      </c>
      <c r="BO306" s="9">
        <f t="shared" si="156"/>
        <v>0</v>
      </c>
      <c r="BP306" s="8">
        <f>+MINVU_Mes_Corriente!BP306*SALUD_Mes_Constante!$BP$1</f>
        <v>0</v>
      </c>
      <c r="BQ306" s="8">
        <f>+MINVU_Mes_Corriente!BQ306*SALUD_Mes_Constante!$BP$1</f>
        <v>0</v>
      </c>
      <c r="BR306" s="8">
        <f>+MINVU_Mes_Corriente!BR306*SALUD_Mes_Constante!$BP$1</f>
        <v>0</v>
      </c>
      <c r="BS306" s="8">
        <f>+MINVU_Mes_Corriente!BS306*SALUD_Mes_Constante!$BP$1</f>
        <v>0</v>
      </c>
      <c r="BT306" s="8">
        <f>+MINVU_Mes_Corriente!BT306*SALUD_Mes_Constante!$BP$1</f>
        <v>0</v>
      </c>
      <c r="BU306" s="8">
        <f>+MINVU_Mes_Corriente!BU306*SALUD_Mes_Constante!$BP$1</f>
        <v>0</v>
      </c>
      <c r="BV306" s="8">
        <f>+MINVU_Mes_Corriente!BV306*SALUD_Mes_Constante!$BP$1</f>
        <v>0</v>
      </c>
      <c r="BW306" s="8">
        <f>+MINVU_Mes_Corriente!BW306*SALUD_Mes_Constante!$BP$1</f>
        <v>0</v>
      </c>
      <c r="BX306" s="8">
        <f>+MINVU_Mes_Corriente!BX306*SALUD_Mes_Constante!$BP$1</f>
        <v>0</v>
      </c>
      <c r="BY306" s="8">
        <f>+MINVU_Mes_Corriente!BY306*SALUD_Mes_Constante!$BP$1</f>
        <v>0</v>
      </c>
      <c r="BZ306" s="8">
        <f>+MINVU_Mes_Corriente!BZ306*SALUD_Mes_Constante!$BP$1</f>
        <v>0</v>
      </c>
      <c r="CA306" s="8">
        <f>+MINVU_Mes_Corriente!CA306*SALUD_Mes_Constante!$BP$1</f>
        <v>0</v>
      </c>
      <c r="CB306" s="9">
        <f t="shared" si="157"/>
        <v>0</v>
      </c>
      <c r="CC306" s="8">
        <f>+MINVU_Mes_Corriente!CC306*SALUD_Mes_Constante!$CC$1</f>
        <v>0</v>
      </c>
      <c r="CD306" s="8">
        <f>+MINVU_Mes_Corriente!CD306*SALUD_Mes_Constante!$CC$1</f>
        <v>0</v>
      </c>
      <c r="CE306" s="8">
        <f>+MINVU_Mes_Corriente!CE306*SALUD_Mes_Constante!$CC$1</f>
        <v>0</v>
      </c>
      <c r="CF306" s="8">
        <f>+MINVU_Mes_Corriente!CF306*SALUD_Mes_Constante!$CC$1</f>
        <v>0</v>
      </c>
      <c r="CG306" s="8">
        <f>+MINVU_Mes_Corriente!CG306*SALUD_Mes_Constante!$CC$1</f>
        <v>0</v>
      </c>
      <c r="CH306" s="8">
        <f>+MINVU_Mes_Corriente!CH306*SALUD_Mes_Constante!$CC$1</f>
        <v>0</v>
      </c>
      <c r="CI306" s="8">
        <f>+MINVU_Mes_Corriente!CI306*SALUD_Mes_Constante!$CC$1</f>
        <v>0</v>
      </c>
      <c r="CJ306" s="8">
        <f>+MINVU_Mes_Corriente!CJ306*SALUD_Mes_Constante!$CC$1</f>
        <v>0</v>
      </c>
      <c r="CK306" s="8">
        <f>+MINVU_Mes_Corriente!CK306*SALUD_Mes_Constante!$CC$1</f>
        <v>0</v>
      </c>
      <c r="CL306" s="8">
        <f>+MINVU_Mes_Corriente!CL306*SALUD_Mes_Constante!$CC$1</f>
        <v>0</v>
      </c>
      <c r="CM306" s="8">
        <f>+MINVU_Mes_Corriente!CM306*SALUD_Mes_Constante!$CC$1</f>
        <v>0</v>
      </c>
      <c r="CN306" s="8">
        <f>+MINVU_Mes_Corriente!CN306*SALUD_Mes_Constante!$CC$1</f>
        <v>0</v>
      </c>
      <c r="CO306" s="9">
        <f t="shared" si="158"/>
        <v>0</v>
      </c>
      <c r="CP306" s="8">
        <f>+MINVU_Mes_Corriente!CP306*SALUD_Mes_Constante!$CP$1</f>
        <v>0</v>
      </c>
      <c r="CQ306" s="8">
        <f>+MINVU_Mes_Corriente!CQ306*SALUD_Mes_Constante!$CP$1</f>
        <v>0</v>
      </c>
      <c r="CR306" s="8">
        <f>+MINVU_Mes_Corriente!CR306*SALUD_Mes_Constante!$CP$1</f>
        <v>0</v>
      </c>
      <c r="CS306" s="8">
        <f>+MINVU_Mes_Corriente!CS306*SALUD_Mes_Constante!$CP$1</f>
        <v>0</v>
      </c>
      <c r="CT306" s="8">
        <f>+MINVU_Mes_Corriente!CT306*SALUD_Mes_Constante!$CP$1</f>
        <v>0</v>
      </c>
      <c r="CU306" s="8">
        <f>+MINVU_Mes_Corriente!CU306*SALUD_Mes_Constante!$CP$1</f>
        <v>0</v>
      </c>
      <c r="CV306" s="8">
        <f>+MINVU_Mes_Corriente!CV306*SALUD_Mes_Constante!$CP$1</f>
        <v>0</v>
      </c>
      <c r="CW306" s="8">
        <f>+MINVU_Mes_Corriente!CW306*SALUD_Mes_Constante!$CP$1</f>
        <v>0</v>
      </c>
      <c r="CX306" s="8">
        <f>+MINVU_Mes_Corriente!CX306*SALUD_Mes_Constante!$CP$1</f>
        <v>0</v>
      </c>
      <c r="CY306" s="8">
        <f>+MINVU_Mes_Corriente!CY306*SALUD_Mes_Constante!$CP$1</f>
        <v>0</v>
      </c>
      <c r="CZ306" s="8">
        <f>+MINVU_Mes_Corriente!CZ306*SALUD_Mes_Constante!$CP$1</f>
        <v>0</v>
      </c>
      <c r="DA306" s="8">
        <f>+MINVU_Mes_Corriente!DA306*SALUD_Mes_Constante!$CP$1</f>
        <v>0</v>
      </c>
      <c r="DB306" s="9">
        <f t="shared" si="159"/>
        <v>0</v>
      </c>
      <c r="DC306" s="8">
        <f>+MINVU_Mes_Corriente!DC306*SALUD_Mes_Constante!$DC$1</f>
        <v>0</v>
      </c>
      <c r="DD306" s="8">
        <f>+MINVU_Mes_Corriente!DD306*SALUD_Mes_Constante!$DC$1</f>
        <v>0</v>
      </c>
      <c r="DE306" s="8">
        <f>+MINVU_Mes_Corriente!DE306*SALUD_Mes_Constante!$DC$1</f>
        <v>0</v>
      </c>
      <c r="DF306" s="8">
        <f>+MINVU_Mes_Corriente!DF306*SALUD_Mes_Constante!$DC$1</f>
        <v>0</v>
      </c>
      <c r="DG306" s="8">
        <f>+MINVU_Mes_Corriente!DG306*SALUD_Mes_Constante!$DC$1</f>
        <v>0</v>
      </c>
      <c r="DH306" s="8">
        <f>+MINVU_Mes_Corriente!DH306*SALUD_Mes_Constante!$DC$1</f>
        <v>0</v>
      </c>
      <c r="DI306" s="8">
        <f>+MINVU_Mes_Corriente!DI306*SALUD_Mes_Constante!$DC$1</f>
        <v>0</v>
      </c>
      <c r="DJ306" s="8">
        <f>+MINVU_Mes_Corriente!DJ306*SALUD_Mes_Constante!$DC$1</f>
        <v>0</v>
      </c>
      <c r="DK306" s="8">
        <f>+MINVU_Mes_Corriente!DK306*SALUD_Mes_Constante!$DC$1</f>
        <v>0</v>
      </c>
      <c r="DL306" s="8">
        <f>+MINVU_Mes_Corriente!DL306*SALUD_Mes_Constante!$DC$1</f>
        <v>0</v>
      </c>
      <c r="DM306" s="8">
        <f>+MINVU_Mes_Corriente!DM306*SALUD_Mes_Constante!$DC$1</f>
        <v>0</v>
      </c>
      <c r="DN306" s="8">
        <f>+MINVU_Mes_Corriente!DN306*SALUD_Mes_Constante!$DC$1</f>
        <v>0</v>
      </c>
      <c r="DO306" s="9">
        <f t="shared" si="160"/>
        <v>0</v>
      </c>
      <c r="DP306" s="8">
        <f>+MINVU_Mes_Corriente!DP306*SALUD_Mes_Constante!$DP$1</f>
        <v>0</v>
      </c>
      <c r="DQ306" s="8">
        <f>+MINVU_Mes_Corriente!DQ306*SALUD_Mes_Constante!$DP$1</f>
        <v>0</v>
      </c>
      <c r="DR306" s="8">
        <f>+MINVU_Mes_Corriente!DR306*SALUD_Mes_Constante!$DP$1</f>
        <v>0</v>
      </c>
      <c r="DS306" s="8">
        <f>+MINVU_Mes_Corriente!DS306*SALUD_Mes_Constante!$DP$1</f>
        <v>0</v>
      </c>
      <c r="DT306" s="8">
        <f>+MINVU_Mes_Corriente!DT306*SALUD_Mes_Constante!$DP$1</f>
        <v>0</v>
      </c>
      <c r="DU306" s="8">
        <f>+MINVU_Mes_Corriente!DU306*SALUD_Mes_Constante!$DP$1</f>
        <v>0</v>
      </c>
      <c r="DV306" s="8">
        <f>+MINVU_Mes_Corriente!DV306*SALUD_Mes_Constante!$DP$1</f>
        <v>0</v>
      </c>
      <c r="DW306" s="8">
        <f>+MINVU_Mes_Corriente!DW306*SALUD_Mes_Constante!$DP$1</f>
        <v>0</v>
      </c>
      <c r="DX306" s="8">
        <f>+MINVU_Mes_Corriente!DX306*SALUD_Mes_Constante!$DP$1</f>
        <v>0</v>
      </c>
      <c r="DY306" s="8">
        <f>+MINVU_Mes_Corriente!DY306*SALUD_Mes_Constante!$DP$1</f>
        <v>0</v>
      </c>
      <c r="DZ306" s="8">
        <f>+MINVU_Mes_Corriente!DZ306*SALUD_Mes_Constante!$DP$1</f>
        <v>0</v>
      </c>
      <c r="EA306" s="8">
        <f>+MINVU_Mes_Corriente!EA306*SALUD_Mes_Constante!$DP$1</f>
        <v>0</v>
      </c>
      <c r="EB306" s="9">
        <f t="shared" si="161"/>
        <v>0</v>
      </c>
      <c r="EC306" s="8">
        <f>+MINVU_Mes_Corriente!EC306*SALUD_Mes_Constante!$EC$1</f>
        <v>0</v>
      </c>
      <c r="ED306" s="8">
        <f>+MINVU_Mes_Corriente!ED306*SALUD_Mes_Constante!$EC$1</f>
        <v>0</v>
      </c>
      <c r="EE306" s="8">
        <f>+MINVU_Mes_Corriente!EE306*SALUD_Mes_Constante!$EC$1</f>
        <v>0</v>
      </c>
      <c r="EF306" s="8">
        <f>+MINVU_Mes_Corriente!EF306*SALUD_Mes_Constante!$EC$1</f>
        <v>0</v>
      </c>
      <c r="EG306" s="8">
        <f>+MINVU_Mes_Corriente!EG306*SALUD_Mes_Constante!$EC$1</f>
        <v>0</v>
      </c>
      <c r="EH306" s="8">
        <f>+MINVU_Mes_Corriente!EH306*SALUD_Mes_Constante!$EC$1</f>
        <v>0</v>
      </c>
      <c r="EI306" s="8">
        <f>+MINVU_Mes_Corriente!EI306*SALUD_Mes_Constante!$EC$1</f>
        <v>0</v>
      </c>
      <c r="EJ306" s="8">
        <f>+MINVU_Mes_Corriente!EJ306*SALUD_Mes_Constante!$EC$1</f>
        <v>0</v>
      </c>
      <c r="EK306" s="8">
        <f>+MINVU_Mes_Corriente!EK306*SALUD_Mes_Constante!$EC$1</f>
        <v>0</v>
      </c>
      <c r="EL306" s="8">
        <f>+MINVU_Mes_Corriente!EL306*SALUD_Mes_Constante!$EC$1</f>
        <v>0</v>
      </c>
      <c r="EM306" s="8">
        <f>+MINVU_Mes_Corriente!EM306*SALUD_Mes_Constante!$EC$1</f>
        <v>0</v>
      </c>
      <c r="EN306" s="8">
        <f>+MINVU_Mes_Corriente!EN306*SALUD_Mes_Constante!$EC$1</f>
        <v>0</v>
      </c>
      <c r="EO306" s="9">
        <f t="shared" si="162"/>
        <v>0</v>
      </c>
      <c r="EP306" s="8">
        <f>+MINVU_Mes_Corriente!EP306*SALUD_Mes_Constante!$EP$1</f>
        <v>0</v>
      </c>
      <c r="EQ306" s="8">
        <f>+MINVU_Mes_Corriente!EQ306*SALUD_Mes_Constante!$EP$1</f>
        <v>0</v>
      </c>
      <c r="ER306" s="8">
        <f>+MINVU_Mes_Corriente!ER306*SALUD_Mes_Constante!$EP$1</f>
        <v>0</v>
      </c>
      <c r="ES306" s="8">
        <f>+MINVU_Mes_Corriente!ES306*SALUD_Mes_Constante!$EP$1</f>
        <v>0</v>
      </c>
      <c r="ET306" s="8">
        <f>+MINVU_Mes_Corriente!ET306*SALUD_Mes_Constante!$EP$1</f>
        <v>0</v>
      </c>
      <c r="EU306" s="8">
        <f>+MINVU_Mes_Corriente!EU306*SALUD_Mes_Constante!$EP$1</f>
        <v>0</v>
      </c>
      <c r="EV306" s="8">
        <f>+MINVU_Mes_Corriente!EV306*SALUD_Mes_Constante!$EP$1</f>
        <v>0</v>
      </c>
      <c r="EW306" s="8">
        <f>+MINVU_Mes_Corriente!EW306*SALUD_Mes_Constante!$EP$1</f>
        <v>0</v>
      </c>
      <c r="EX306" s="8">
        <f>+MINVU_Mes_Corriente!EX306*SALUD_Mes_Constante!$EP$1</f>
        <v>0</v>
      </c>
      <c r="EY306" s="8">
        <f>+MINVU_Mes_Corriente!EY306*SALUD_Mes_Constante!$EP$1</f>
        <v>0</v>
      </c>
      <c r="EZ306" s="8">
        <f>+MINVU_Mes_Corriente!EZ306*SALUD_Mes_Constante!$EP$1</f>
        <v>0</v>
      </c>
      <c r="FA306" s="8">
        <f>+MINVU_Mes_Corriente!FA306*SALUD_Mes_Constante!$EP$1</f>
        <v>0</v>
      </c>
      <c r="FB306" s="9">
        <f t="shared" si="163"/>
        <v>0</v>
      </c>
      <c r="FC306" s="8">
        <f>+MINVU_Mes_Corriente!FC306*SALUD_Mes_Constante!$FC$1</f>
        <v>0</v>
      </c>
      <c r="FD306" s="8">
        <f>+MINVU_Mes_Corriente!FD306*SALUD_Mes_Constante!$FC$1</f>
        <v>0</v>
      </c>
      <c r="FE306" s="8">
        <f>+MINVU_Mes_Corriente!FE306*SALUD_Mes_Constante!$FC$1</f>
        <v>0</v>
      </c>
      <c r="FF306" s="8">
        <f>+MINVU_Mes_Corriente!FF306*SALUD_Mes_Constante!$FC$1</f>
        <v>0</v>
      </c>
      <c r="FG306" s="8">
        <f>+MINVU_Mes_Corriente!FG306*SALUD_Mes_Constante!$FC$1</f>
        <v>0</v>
      </c>
      <c r="FH306" s="8">
        <f>+MINVU_Mes_Corriente!FH306*SALUD_Mes_Constante!$FC$1</f>
        <v>0</v>
      </c>
      <c r="FI306" s="8">
        <f>+MINVU_Mes_Corriente!FI306*SALUD_Mes_Constante!$FC$1</f>
        <v>0</v>
      </c>
      <c r="FJ306" s="8"/>
      <c r="FK306" s="8"/>
      <c r="FL306" s="8"/>
      <c r="FM306" s="8"/>
      <c r="FN306" s="8"/>
      <c r="FO306" s="9">
        <f t="shared" si="164"/>
        <v>0</v>
      </c>
    </row>
    <row r="307" spans="2:171" ht="14.25" customHeight="1" x14ac:dyDescent="0.3">
      <c r="B307" s="7" t="s">
        <v>48</v>
      </c>
      <c r="C307" s="8">
        <f>+MINVU_Mes_Corriente!C307*SALUD_Mes_Constante!$C$1</f>
        <v>0</v>
      </c>
      <c r="D307" s="8">
        <f>+MINVU_Mes_Corriente!D307*SALUD_Mes_Constante!$C$1</f>
        <v>0</v>
      </c>
      <c r="E307" s="8">
        <f>+MINVU_Mes_Corriente!E307*SALUD_Mes_Constante!$C$1</f>
        <v>0</v>
      </c>
      <c r="F307" s="8">
        <f>+MINVU_Mes_Corriente!F307*SALUD_Mes_Constante!$C$1</f>
        <v>0</v>
      </c>
      <c r="G307" s="8">
        <f>+MINVU_Mes_Corriente!G307*SALUD_Mes_Constante!$C$1</f>
        <v>0</v>
      </c>
      <c r="H307" s="8">
        <f>+MINVU_Mes_Corriente!H307*SALUD_Mes_Constante!$C$1</f>
        <v>0</v>
      </c>
      <c r="I307" s="8">
        <f>+MINVU_Mes_Corriente!I307*SALUD_Mes_Constante!$C$1</f>
        <v>0</v>
      </c>
      <c r="J307" s="8">
        <f>+MINVU_Mes_Corriente!J307*SALUD_Mes_Constante!$C$1</f>
        <v>0</v>
      </c>
      <c r="K307" s="8">
        <f>+MINVU_Mes_Corriente!K307*SALUD_Mes_Constante!$C$1</f>
        <v>0</v>
      </c>
      <c r="L307" s="8">
        <f>+MINVU_Mes_Corriente!L307*SALUD_Mes_Constante!$C$1</f>
        <v>0</v>
      </c>
      <c r="M307" s="8">
        <f>+MINVU_Mes_Corriente!M307*SALUD_Mes_Constante!$C$1</f>
        <v>0</v>
      </c>
      <c r="N307" s="8">
        <f>+MINVU_Mes_Corriente!N307*SALUD_Mes_Constante!$C$1</f>
        <v>0</v>
      </c>
      <c r="O307" s="9">
        <f t="shared" si="152"/>
        <v>0</v>
      </c>
      <c r="P307" s="8">
        <f>+MINVU_Mes_Corriente!P307*SALUD_Mes_Constante!$P$1</f>
        <v>0</v>
      </c>
      <c r="Q307" s="8">
        <f>+MINVU_Mes_Corriente!Q307*SALUD_Mes_Constante!$P$1</f>
        <v>0</v>
      </c>
      <c r="R307" s="8">
        <f>+MINVU_Mes_Corriente!R307*SALUD_Mes_Constante!$P$1</f>
        <v>0</v>
      </c>
      <c r="S307" s="8">
        <f>+MINVU_Mes_Corriente!S307*SALUD_Mes_Constante!$P$1</f>
        <v>0</v>
      </c>
      <c r="T307" s="8">
        <f>+MINVU_Mes_Corriente!T307*SALUD_Mes_Constante!$P$1</f>
        <v>0</v>
      </c>
      <c r="U307" s="8">
        <f>+MINVU_Mes_Corriente!U307*SALUD_Mes_Constante!$P$1</f>
        <v>0</v>
      </c>
      <c r="V307" s="8">
        <f>+MINVU_Mes_Corriente!V307*SALUD_Mes_Constante!$P$1</f>
        <v>0</v>
      </c>
      <c r="W307" s="8">
        <f>+MINVU_Mes_Corriente!W307*SALUD_Mes_Constante!$P$1</f>
        <v>0</v>
      </c>
      <c r="X307" s="8">
        <f>+MINVU_Mes_Corriente!X307*SALUD_Mes_Constante!$P$1</f>
        <v>0</v>
      </c>
      <c r="Y307" s="8">
        <f>+MINVU_Mes_Corriente!Y307*SALUD_Mes_Constante!$P$1</f>
        <v>0</v>
      </c>
      <c r="Z307" s="8">
        <f>+MINVU_Mes_Corriente!Z307*SALUD_Mes_Constante!$P$1</f>
        <v>0</v>
      </c>
      <c r="AA307" s="8">
        <f>+MINVU_Mes_Corriente!AA307*SALUD_Mes_Constante!$P$1</f>
        <v>0</v>
      </c>
      <c r="AB307" s="9">
        <f t="shared" si="153"/>
        <v>0</v>
      </c>
      <c r="AC307" s="8">
        <f>+MINVU_Mes_Corriente!AC307*SALUD_Mes_Constante!$AC$1</f>
        <v>0</v>
      </c>
      <c r="AD307" s="8">
        <f>+MINVU_Mes_Corriente!AD307*SALUD_Mes_Constante!$AC$1</f>
        <v>0</v>
      </c>
      <c r="AE307" s="8">
        <f>+MINVU_Mes_Corriente!AE307*SALUD_Mes_Constante!$AC$1</f>
        <v>0</v>
      </c>
      <c r="AF307" s="8">
        <f>+MINVU_Mes_Corriente!AF307*SALUD_Mes_Constante!$AC$1</f>
        <v>0</v>
      </c>
      <c r="AG307" s="8">
        <f>+MINVU_Mes_Corriente!AG307*SALUD_Mes_Constante!$AC$1</f>
        <v>0</v>
      </c>
      <c r="AH307" s="8">
        <f>+MINVU_Mes_Corriente!AH307*SALUD_Mes_Constante!$AC$1</f>
        <v>0</v>
      </c>
      <c r="AI307" s="8">
        <f>+MINVU_Mes_Corriente!AI307*SALUD_Mes_Constante!$AC$1</f>
        <v>0</v>
      </c>
      <c r="AJ307" s="8">
        <f>+MINVU_Mes_Corriente!AJ307*SALUD_Mes_Constante!$AC$1</f>
        <v>0</v>
      </c>
      <c r="AK307" s="8">
        <f>+MINVU_Mes_Corriente!AK307*SALUD_Mes_Constante!$AC$1</f>
        <v>0</v>
      </c>
      <c r="AL307" s="8">
        <f>+MINVU_Mes_Corriente!AL307*SALUD_Mes_Constante!$AC$1</f>
        <v>0</v>
      </c>
      <c r="AM307" s="8">
        <f>+MINVU_Mes_Corriente!AM307*SALUD_Mes_Constante!$AC$1</f>
        <v>0</v>
      </c>
      <c r="AN307" s="8">
        <f>+MINVU_Mes_Corriente!AN307*SALUD_Mes_Constante!$AC$1</f>
        <v>0</v>
      </c>
      <c r="AO307" s="9">
        <f t="shared" si="154"/>
        <v>0</v>
      </c>
      <c r="AP307" s="8">
        <f>+MINVU_Mes_Corriente!AP307*SALUD_Mes_Constante!$AP$1</f>
        <v>0</v>
      </c>
      <c r="AQ307" s="8">
        <f>+MINVU_Mes_Corriente!AQ307*SALUD_Mes_Constante!$AP$1</f>
        <v>0</v>
      </c>
      <c r="AR307" s="8">
        <f>+MINVU_Mes_Corriente!AR307*SALUD_Mes_Constante!$AP$1</f>
        <v>0</v>
      </c>
      <c r="AS307" s="8">
        <f>+MINVU_Mes_Corriente!AS307*SALUD_Mes_Constante!$AP$1</f>
        <v>0</v>
      </c>
      <c r="AT307" s="8">
        <f>+MINVU_Mes_Corriente!AT307*SALUD_Mes_Constante!$AP$1</f>
        <v>0</v>
      </c>
      <c r="AU307" s="8">
        <f>+MINVU_Mes_Corriente!AU307*SALUD_Mes_Constante!$AP$1</f>
        <v>0</v>
      </c>
      <c r="AV307" s="8">
        <f>+MINVU_Mes_Corriente!AV307*SALUD_Mes_Constante!$AP$1</f>
        <v>0</v>
      </c>
      <c r="AW307" s="8">
        <f>+MINVU_Mes_Corriente!AW307*SALUD_Mes_Constante!$AP$1</f>
        <v>0</v>
      </c>
      <c r="AX307" s="8">
        <f>+MINVU_Mes_Corriente!AX307*SALUD_Mes_Constante!$AP$1</f>
        <v>0</v>
      </c>
      <c r="AY307" s="8">
        <f>+MINVU_Mes_Corriente!AY307*SALUD_Mes_Constante!$AP$1</f>
        <v>0</v>
      </c>
      <c r="AZ307" s="8">
        <f>+MINVU_Mes_Corriente!AZ307*SALUD_Mes_Constante!$AP$1</f>
        <v>0</v>
      </c>
      <c r="BA307" s="8">
        <f>+MINVU_Mes_Corriente!BA307*SALUD_Mes_Constante!$AP$1</f>
        <v>0</v>
      </c>
      <c r="BB307" s="9">
        <f t="shared" si="155"/>
        <v>0</v>
      </c>
      <c r="BC307" s="8">
        <f>+MINVU_Mes_Corriente!BC307*SALUD_Mes_Constante!$BC$1</f>
        <v>0</v>
      </c>
      <c r="BD307" s="8">
        <f>+MINVU_Mes_Corriente!BD307*SALUD_Mes_Constante!$BC$1</f>
        <v>0</v>
      </c>
      <c r="BE307" s="8">
        <f>+MINVU_Mes_Corriente!BE307*SALUD_Mes_Constante!$BC$1</f>
        <v>0</v>
      </c>
      <c r="BF307" s="8">
        <f>+MINVU_Mes_Corriente!BF307*SALUD_Mes_Constante!$BC$1</f>
        <v>4226241.062112621</v>
      </c>
      <c r="BG307" s="8">
        <f>+MINVU_Mes_Corriente!BG307*SALUD_Mes_Constante!$BC$1</f>
        <v>4226241.062112621</v>
      </c>
      <c r="BH307" s="8">
        <f>+MINVU_Mes_Corriente!BH307*SALUD_Mes_Constante!$BC$1</f>
        <v>4226241.062112621</v>
      </c>
      <c r="BI307" s="8">
        <f>+MINVU_Mes_Corriente!BI307*SALUD_Mes_Constante!$BC$1</f>
        <v>4226241.062112621</v>
      </c>
      <c r="BJ307" s="8">
        <f>+MINVU_Mes_Corriente!BJ307*SALUD_Mes_Constante!$BC$1</f>
        <v>4226241.062112621</v>
      </c>
      <c r="BK307" s="8">
        <f>+MINVU_Mes_Corriente!BK307*SALUD_Mes_Constante!$BC$1</f>
        <v>4226241.062112621</v>
      </c>
      <c r="BL307" s="8">
        <f>+MINVU_Mes_Corriente!BL307*SALUD_Mes_Constante!$BC$1</f>
        <v>4226241.062112621</v>
      </c>
      <c r="BM307" s="8">
        <f>+MINVU_Mes_Corriente!BM307*SALUD_Mes_Constante!$BC$1</f>
        <v>4226241.062112621</v>
      </c>
      <c r="BN307" s="8">
        <f>+MINVU_Mes_Corriente!BN307*SALUD_Mes_Constante!$BC$1</f>
        <v>4226241.062112621</v>
      </c>
      <c r="BO307" s="9">
        <f t="shared" si="156"/>
        <v>4226241.062112621</v>
      </c>
      <c r="BP307" s="8">
        <f>+MINVU_Mes_Corriente!BP307*SALUD_Mes_Constante!$BP$1</f>
        <v>0</v>
      </c>
      <c r="BQ307" s="8">
        <f>+MINVU_Mes_Corriente!BQ307*SALUD_Mes_Constante!$BP$1</f>
        <v>0</v>
      </c>
      <c r="BR307" s="8">
        <f>+MINVU_Mes_Corriente!BR307*SALUD_Mes_Constante!$BP$1</f>
        <v>0</v>
      </c>
      <c r="BS307" s="8">
        <f>+MINVU_Mes_Corriente!BS307*SALUD_Mes_Constante!$BP$1</f>
        <v>0</v>
      </c>
      <c r="BT307" s="8">
        <f>+MINVU_Mes_Corriente!BT307*SALUD_Mes_Constante!$BP$1</f>
        <v>0</v>
      </c>
      <c r="BU307" s="8">
        <f>+MINVU_Mes_Corriente!BU307*SALUD_Mes_Constante!$BP$1</f>
        <v>0</v>
      </c>
      <c r="BV307" s="8">
        <f>+MINVU_Mes_Corriente!BV307*SALUD_Mes_Constante!$BP$1</f>
        <v>0</v>
      </c>
      <c r="BW307" s="8">
        <f>+MINVU_Mes_Corriente!BW307*SALUD_Mes_Constante!$BP$1</f>
        <v>0</v>
      </c>
      <c r="BX307" s="8">
        <f>+MINVU_Mes_Corriente!BX307*SALUD_Mes_Constante!$BP$1</f>
        <v>0</v>
      </c>
      <c r="BY307" s="8">
        <f>+MINVU_Mes_Corriente!BY307*SALUD_Mes_Constante!$BP$1</f>
        <v>0</v>
      </c>
      <c r="BZ307" s="8">
        <f>+MINVU_Mes_Corriente!BZ307*SALUD_Mes_Constante!$BP$1</f>
        <v>0</v>
      </c>
      <c r="CA307" s="8">
        <f>+MINVU_Mes_Corriente!CA307*SALUD_Mes_Constante!$BP$1</f>
        <v>0</v>
      </c>
      <c r="CB307" s="9">
        <f t="shared" si="157"/>
        <v>0</v>
      </c>
      <c r="CC307" s="8">
        <f>+MINVU_Mes_Corriente!CC307*SALUD_Mes_Constante!$CC$1</f>
        <v>0</v>
      </c>
      <c r="CD307" s="8">
        <f>+MINVU_Mes_Corriente!CD307*SALUD_Mes_Constante!$CC$1</f>
        <v>0</v>
      </c>
      <c r="CE307" s="8">
        <f>+MINVU_Mes_Corriente!CE307*SALUD_Mes_Constante!$CC$1</f>
        <v>0</v>
      </c>
      <c r="CF307" s="8">
        <f>+MINVU_Mes_Corriente!CF307*SALUD_Mes_Constante!$CC$1</f>
        <v>0</v>
      </c>
      <c r="CG307" s="8">
        <f>+MINVU_Mes_Corriente!CG307*SALUD_Mes_Constante!$CC$1</f>
        <v>0</v>
      </c>
      <c r="CH307" s="8">
        <f>+MINVU_Mes_Corriente!CH307*SALUD_Mes_Constante!$CC$1</f>
        <v>0</v>
      </c>
      <c r="CI307" s="8">
        <f>+MINVU_Mes_Corriente!CI307*SALUD_Mes_Constante!$CC$1</f>
        <v>0</v>
      </c>
      <c r="CJ307" s="8">
        <f>+MINVU_Mes_Corriente!CJ307*SALUD_Mes_Constante!$CC$1</f>
        <v>0</v>
      </c>
      <c r="CK307" s="8">
        <f>+MINVU_Mes_Corriente!CK307*SALUD_Mes_Constante!$CC$1</f>
        <v>0</v>
      </c>
      <c r="CL307" s="8">
        <f>+MINVU_Mes_Corriente!CL307*SALUD_Mes_Constante!$CC$1</f>
        <v>0</v>
      </c>
      <c r="CM307" s="8">
        <f>+MINVU_Mes_Corriente!CM307*SALUD_Mes_Constante!$CC$1</f>
        <v>0</v>
      </c>
      <c r="CN307" s="8">
        <f>+MINVU_Mes_Corriente!CN307*SALUD_Mes_Constante!$CC$1</f>
        <v>0</v>
      </c>
      <c r="CO307" s="9">
        <f t="shared" si="158"/>
        <v>0</v>
      </c>
      <c r="CP307" s="8">
        <f>+MINVU_Mes_Corriente!CP307*SALUD_Mes_Constante!$CP$1</f>
        <v>0</v>
      </c>
      <c r="CQ307" s="8">
        <f>+MINVU_Mes_Corriente!CQ307*SALUD_Mes_Constante!$CP$1</f>
        <v>0</v>
      </c>
      <c r="CR307" s="8">
        <f>+MINVU_Mes_Corriente!CR307*SALUD_Mes_Constante!$CP$1</f>
        <v>0</v>
      </c>
      <c r="CS307" s="8">
        <f>+MINVU_Mes_Corriente!CS307*SALUD_Mes_Constante!$CP$1</f>
        <v>0</v>
      </c>
      <c r="CT307" s="8">
        <f>+MINVU_Mes_Corriente!CT307*SALUD_Mes_Constante!$CP$1</f>
        <v>0</v>
      </c>
      <c r="CU307" s="8">
        <f>+MINVU_Mes_Corriente!CU307*SALUD_Mes_Constante!$CP$1</f>
        <v>0</v>
      </c>
      <c r="CV307" s="8">
        <f>+MINVU_Mes_Corriente!CV307*SALUD_Mes_Constante!$CP$1</f>
        <v>0</v>
      </c>
      <c r="CW307" s="8">
        <f>+MINVU_Mes_Corriente!CW307*SALUD_Mes_Constante!$CP$1</f>
        <v>0</v>
      </c>
      <c r="CX307" s="8">
        <f>+MINVU_Mes_Corriente!CX307*SALUD_Mes_Constante!$CP$1</f>
        <v>0</v>
      </c>
      <c r="CY307" s="8">
        <f>+MINVU_Mes_Corriente!CY307*SALUD_Mes_Constante!$CP$1</f>
        <v>0</v>
      </c>
      <c r="CZ307" s="8">
        <f>+MINVU_Mes_Corriente!CZ307*SALUD_Mes_Constante!$CP$1</f>
        <v>0</v>
      </c>
      <c r="DA307" s="8">
        <f>+MINVU_Mes_Corriente!DA307*SALUD_Mes_Constante!$CP$1</f>
        <v>0</v>
      </c>
      <c r="DB307" s="9">
        <f t="shared" si="159"/>
        <v>0</v>
      </c>
      <c r="DC307" s="8">
        <f>+MINVU_Mes_Corriente!DC307*SALUD_Mes_Constante!$DC$1</f>
        <v>0</v>
      </c>
      <c r="DD307" s="8">
        <f>+MINVU_Mes_Corriente!DD307*SALUD_Mes_Constante!$DC$1</f>
        <v>0</v>
      </c>
      <c r="DE307" s="8">
        <f>+MINVU_Mes_Corriente!DE307*SALUD_Mes_Constante!$DC$1</f>
        <v>0</v>
      </c>
      <c r="DF307" s="8">
        <f>+MINVU_Mes_Corriente!DF307*SALUD_Mes_Constante!$DC$1</f>
        <v>0</v>
      </c>
      <c r="DG307" s="8">
        <f>+MINVU_Mes_Corriente!DG307*SALUD_Mes_Constante!$DC$1</f>
        <v>0</v>
      </c>
      <c r="DH307" s="8">
        <f>+MINVU_Mes_Corriente!DH307*SALUD_Mes_Constante!$DC$1</f>
        <v>0</v>
      </c>
      <c r="DI307" s="8">
        <f>+MINVU_Mes_Corriente!DI307*SALUD_Mes_Constante!$DC$1</f>
        <v>0</v>
      </c>
      <c r="DJ307" s="8">
        <f>+MINVU_Mes_Corriente!DJ307*SALUD_Mes_Constante!$DC$1</f>
        <v>0</v>
      </c>
      <c r="DK307" s="8">
        <f>+MINVU_Mes_Corriente!DK307*SALUD_Mes_Constante!$DC$1</f>
        <v>0</v>
      </c>
      <c r="DL307" s="8">
        <f>+MINVU_Mes_Corriente!DL307*SALUD_Mes_Constante!$DC$1</f>
        <v>0</v>
      </c>
      <c r="DM307" s="8">
        <f>+MINVU_Mes_Corriente!DM307*SALUD_Mes_Constante!$DC$1</f>
        <v>0</v>
      </c>
      <c r="DN307" s="8">
        <f>+MINVU_Mes_Corriente!DN307*SALUD_Mes_Constante!$DC$1</f>
        <v>0</v>
      </c>
      <c r="DO307" s="9">
        <f t="shared" si="160"/>
        <v>0</v>
      </c>
      <c r="DP307" s="8">
        <f>+MINVU_Mes_Corriente!DP307*SALUD_Mes_Constante!$DP$1</f>
        <v>0</v>
      </c>
      <c r="DQ307" s="8">
        <f>+MINVU_Mes_Corriente!DQ307*SALUD_Mes_Constante!$DP$1</f>
        <v>0</v>
      </c>
      <c r="DR307" s="8">
        <f>+MINVU_Mes_Corriente!DR307*SALUD_Mes_Constante!$DP$1</f>
        <v>0</v>
      </c>
      <c r="DS307" s="8">
        <f>+MINVU_Mes_Corriente!DS307*SALUD_Mes_Constante!$DP$1</f>
        <v>0</v>
      </c>
      <c r="DT307" s="8">
        <f>+MINVU_Mes_Corriente!DT307*SALUD_Mes_Constante!$DP$1</f>
        <v>0</v>
      </c>
      <c r="DU307" s="8">
        <f>+MINVU_Mes_Corriente!DU307*SALUD_Mes_Constante!$DP$1</f>
        <v>0</v>
      </c>
      <c r="DV307" s="8">
        <f>+MINVU_Mes_Corriente!DV307*SALUD_Mes_Constante!$DP$1</f>
        <v>0</v>
      </c>
      <c r="DW307" s="8">
        <f>+MINVU_Mes_Corriente!DW307*SALUD_Mes_Constante!$DP$1</f>
        <v>0</v>
      </c>
      <c r="DX307" s="8">
        <f>+MINVU_Mes_Corriente!DX307*SALUD_Mes_Constante!$DP$1</f>
        <v>0</v>
      </c>
      <c r="DY307" s="8">
        <f>+MINVU_Mes_Corriente!DY307*SALUD_Mes_Constante!$DP$1</f>
        <v>0</v>
      </c>
      <c r="DZ307" s="8">
        <f>+MINVU_Mes_Corriente!DZ307*SALUD_Mes_Constante!$DP$1</f>
        <v>0</v>
      </c>
      <c r="EA307" s="8">
        <f>+MINVU_Mes_Corriente!EA307*SALUD_Mes_Constante!$DP$1</f>
        <v>0</v>
      </c>
      <c r="EB307" s="9">
        <f t="shared" si="161"/>
        <v>0</v>
      </c>
      <c r="EC307" s="8">
        <f>+MINVU_Mes_Corriente!EC307*SALUD_Mes_Constante!$EC$1</f>
        <v>0</v>
      </c>
      <c r="ED307" s="8">
        <f>+MINVU_Mes_Corriente!ED307*SALUD_Mes_Constante!$EC$1</f>
        <v>0</v>
      </c>
      <c r="EE307" s="8">
        <f>+MINVU_Mes_Corriente!EE307*SALUD_Mes_Constante!$EC$1</f>
        <v>0</v>
      </c>
      <c r="EF307" s="8">
        <f>+MINVU_Mes_Corriente!EF307*SALUD_Mes_Constante!$EC$1</f>
        <v>0</v>
      </c>
      <c r="EG307" s="8">
        <f>+MINVU_Mes_Corriente!EG307*SALUD_Mes_Constante!$EC$1</f>
        <v>0</v>
      </c>
      <c r="EH307" s="8">
        <f>+MINVU_Mes_Corriente!EH307*SALUD_Mes_Constante!$EC$1</f>
        <v>0</v>
      </c>
      <c r="EI307" s="8">
        <f>+MINVU_Mes_Corriente!EI307*SALUD_Mes_Constante!$EC$1</f>
        <v>0</v>
      </c>
      <c r="EJ307" s="8">
        <f>+MINVU_Mes_Corriente!EJ307*SALUD_Mes_Constante!$EC$1</f>
        <v>0</v>
      </c>
      <c r="EK307" s="8">
        <f>+MINVU_Mes_Corriente!EK307*SALUD_Mes_Constante!$EC$1</f>
        <v>0</v>
      </c>
      <c r="EL307" s="8">
        <f>+MINVU_Mes_Corriente!EL307*SALUD_Mes_Constante!$EC$1</f>
        <v>0</v>
      </c>
      <c r="EM307" s="8">
        <f>+MINVU_Mes_Corriente!EM307*SALUD_Mes_Constante!$EC$1</f>
        <v>0</v>
      </c>
      <c r="EN307" s="8">
        <f>+MINVU_Mes_Corriente!EN307*SALUD_Mes_Constante!$EC$1</f>
        <v>0</v>
      </c>
      <c r="EO307" s="9">
        <f t="shared" si="162"/>
        <v>0</v>
      </c>
      <c r="EP307" s="8">
        <f>+MINVU_Mes_Corriente!EP307*SALUD_Mes_Constante!$EP$1</f>
        <v>0</v>
      </c>
      <c r="EQ307" s="8">
        <f>+MINVU_Mes_Corriente!EQ307*SALUD_Mes_Constante!$EP$1</f>
        <v>0</v>
      </c>
      <c r="ER307" s="8">
        <f>+MINVU_Mes_Corriente!ER307*SALUD_Mes_Constante!$EP$1</f>
        <v>0</v>
      </c>
      <c r="ES307" s="8">
        <f>+MINVU_Mes_Corriente!ES307*SALUD_Mes_Constante!$EP$1</f>
        <v>0</v>
      </c>
      <c r="ET307" s="8">
        <f>+MINVU_Mes_Corriente!ET307*SALUD_Mes_Constante!$EP$1</f>
        <v>0</v>
      </c>
      <c r="EU307" s="8">
        <f>+MINVU_Mes_Corriente!EU307*SALUD_Mes_Constante!$EP$1</f>
        <v>0</v>
      </c>
      <c r="EV307" s="8">
        <f>+MINVU_Mes_Corriente!EV307*SALUD_Mes_Constante!$EP$1</f>
        <v>0</v>
      </c>
      <c r="EW307" s="8">
        <f>+MINVU_Mes_Corriente!EW307*SALUD_Mes_Constante!$EP$1</f>
        <v>0</v>
      </c>
      <c r="EX307" s="8">
        <f>+MINVU_Mes_Corriente!EX307*SALUD_Mes_Constante!$EP$1</f>
        <v>0</v>
      </c>
      <c r="EY307" s="8">
        <f>+MINVU_Mes_Corriente!EY307*SALUD_Mes_Constante!$EP$1</f>
        <v>0</v>
      </c>
      <c r="EZ307" s="8">
        <f>+MINVU_Mes_Corriente!EZ307*SALUD_Mes_Constante!$EP$1</f>
        <v>0</v>
      </c>
      <c r="FA307" s="8">
        <f>+MINVU_Mes_Corriente!FA307*SALUD_Mes_Constante!$EP$1</f>
        <v>0</v>
      </c>
      <c r="FB307" s="9">
        <f t="shared" si="163"/>
        <v>0</v>
      </c>
      <c r="FC307" s="8">
        <f>+MINVU_Mes_Corriente!FC307*SALUD_Mes_Constante!$FC$1</f>
        <v>0</v>
      </c>
      <c r="FD307" s="8">
        <f>+MINVU_Mes_Corriente!FD307*SALUD_Mes_Constante!$FC$1</f>
        <v>0</v>
      </c>
      <c r="FE307" s="8">
        <f>+MINVU_Mes_Corriente!FE307*SALUD_Mes_Constante!$FC$1</f>
        <v>0</v>
      </c>
      <c r="FF307" s="8">
        <f>+MINVU_Mes_Corriente!FF307*SALUD_Mes_Constante!$FC$1</f>
        <v>0</v>
      </c>
      <c r="FG307" s="8">
        <f>+MINVU_Mes_Corriente!FG307*SALUD_Mes_Constante!$FC$1</f>
        <v>0</v>
      </c>
      <c r="FH307" s="8">
        <f>+MINVU_Mes_Corriente!FH307*SALUD_Mes_Constante!$FC$1</f>
        <v>0</v>
      </c>
      <c r="FI307" s="8">
        <f>+MINVU_Mes_Corriente!FI307*SALUD_Mes_Constante!$FC$1</f>
        <v>0</v>
      </c>
      <c r="FJ307" s="8"/>
      <c r="FK307" s="8"/>
      <c r="FL307" s="8"/>
      <c r="FM307" s="8"/>
      <c r="FN307" s="8"/>
      <c r="FO307" s="9">
        <f t="shared" si="164"/>
        <v>0</v>
      </c>
    </row>
    <row r="308" spans="2:171" ht="14.25" customHeight="1" x14ac:dyDescent="0.3">
      <c r="B308" s="7" t="s">
        <v>49</v>
      </c>
      <c r="C308" s="8">
        <f>+MINVU_Mes_Corriente!C308*SALUD_Mes_Constante!$C$1</f>
        <v>0</v>
      </c>
      <c r="D308" s="8">
        <f>+MINVU_Mes_Corriente!D308*SALUD_Mes_Constante!$C$1</f>
        <v>0</v>
      </c>
      <c r="E308" s="8">
        <f>+MINVU_Mes_Corriente!E308*SALUD_Mes_Constante!$C$1</f>
        <v>0</v>
      </c>
      <c r="F308" s="8">
        <f>+MINVU_Mes_Corriente!F308*SALUD_Mes_Constante!$C$1</f>
        <v>0</v>
      </c>
      <c r="G308" s="8">
        <f>+MINVU_Mes_Corriente!G308*SALUD_Mes_Constante!$C$1</f>
        <v>0</v>
      </c>
      <c r="H308" s="8">
        <f>+MINVU_Mes_Corriente!H308*SALUD_Mes_Constante!$C$1</f>
        <v>0</v>
      </c>
      <c r="I308" s="8">
        <f>+MINVU_Mes_Corriente!I308*SALUD_Mes_Constante!$C$1</f>
        <v>0</v>
      </c>
      <c r="J308" s="8">
        <f>+MINVU_Mes_Corriente!J308*SALUD_Mes_Constante!$C$1</f>
        <v>0</v>
      </c>
      <c r="K308" s="8">
        <f>+MINVU_Mes_Corriente!K308*SALUD_Mes_Constante!$C$1</f>
        <v>0</v>
      </c>
      <c r="L308" s="8">
        <f>+MINVU_Mes_Corriente!L308*SALUD_Mes_Constante!$C$1</f>
        <v>0</v>
      </c>
      <c r="M308" s="8">
        <f>+MINVU_Mes_Corriente!M308*SALUD_Mes_Constante!$C$1</f>
        <v>0</v>
      </c>
      <c r="N308" s="8">
        <f>+MINVU_Mes_Corriente!N308*SALUD_Mes_Constante!$C$1</f>
        <v>0</v>
      </c>
      <c r="O308" s="9">
        <f t="shared" si="152"/>
        <v>0</v>
      </c>
      <c r="P308" s="8">
        <f>+MINVU_Mes_Corriente!P308*SALUD_Mes_Constante!$P$1</f>
        <v>0</v>
      </c>
      <c r="Q308" s="8">
        <f>+MINVU_Mes_Corriente!Q308*SALUD_Mes_Constante!$P$1</f>
        <v>0</v>
      </c>
      <c r="R308" s="8">
        <f>+MINVU_Mes_Corriente!R308*SALUD_Mes_Constante!$P$1</f>
        <v>0</v>
      </c>
      <c r="S308" s="8">
        <f>+MINVU_Mes_Corriente!S308*SALUD_Mes_Constante!$P$1</f>
        <v>0</v>
      </c>
      <c r="T308" s="8">
        <f>+MINVU_Mes_Corriente!T308*SALUD_Mes_Constante!$P$1</f>
        <v>0</v>
      </c>
      <c r="U308" s="8">
        <f>+MINVU_Mes_Corriente!U308*SALUD_Mes_Constante!$P$1</f>
        <v>0</v>
      </c>
      <c r="V308" s="8">
        <f>+MINVU_Mes_Corriente!V308*SALUD_Mes_Constante!$P$1</f>
        <v>0</v>
      </c>
      <c r="W308" s="8">
        <f>+MINVU_Mes_Corriente!W308*SALUD_Mes_Constante!$P$1</f>
        <v>0</v>
      </c>
      <c r="X308" s="8">
        <f>+MINVU_Mes_Corriente!X308*SALUD_Mes_Constante!$P$1</f>
        <v>0</v>
      </c>
      <c r="Y308" s="8">
        <f>+MINVU_Mes_Corriente!Y308*SALUD_Mes_Constante!$P$1</f>
        <v>0</v>
      </c>
      <c r="Z308" s="8">
        <f>+MINVU_Mes_Corriente!Z308*SALUD_Mes_Constante!$P$1</f>
        <v>0</v>
      </c>
      <c r="AA308" s="8">
        <f>+MINVU_Mes_Corriente!AA308*SALUD_Mes_Constante!$P$1</f>
        <v>0</v>
      </c>
      <c r="AB308" s="9">
        <f t="shared" si="153"/>
        <v>0</v>
      </c>
      <c r="AC308" s="8">
        <f>+MINVU_Mes_Corriente!AC308*SALUD_Mes_Constante!$AC$1</f>
        <v>0</v>
      </c>
      <c r="AD308" s="8">
        <f>+MINVU_Mes_Corriente!AD308*SALUD_Mes_Constante!$AC$1</f>
        <v>0</v>
      </c>
      <c r="AE308" s="8">
        <f>+MINVU_Mes_Corriente!AE308*SALUD_Mes_Constante!$AC$1</f>
        <v>0</v>
      </c>
      <c r="AF308" s="8">
        <f>+MINVU_Mes_Corriente!AF308*SALUD_Mes_Constante!$AC$1</f>
        <v>0</v>
      </c>
      <c r="AG308" s="8">
        <f>+MINVU_Mes_Corriente!AG308*SALUD_Mes_Constante!$AC$1</f>
        <v>0</v>
      </c>
      <c r="AH308" s="8">
        <f>+MINVU_Mes_Corriente!AH308*SALUD_Mes_Constante!$AC$1</f>
        <v>0</v>
      </c>
      <c r="AI308" s="8">
        <f>+MINVU_Mes_Corriente!AI308*SALUD_Mes_Constante!$AC$1</f>
        <v>0</v>
      </c>
      <c r="AJ308" s="8">
        <f>+MINVU_Mes_Corriente!AJ308*SALUD_Mes_Constante!$AC$1</f>
        <v>0</v>
      </c>
      <c r="AK308" s="8">
        <f>+MINVU_Mes_Corriente!AK308*SALUD_Mes_Constante!$AC$1</f>
        <v>0</v>
      </c>
      <c r="AL308" s="8">
        <f>+MINVU_Mes_Corriente!AL308*SALUD_Mes_Constante!$AC$1</f>
        <v>0</v>
      </c>
      <c r="AM308" s="8">
        <f>+MINVU_Mes_Corriente!AM308*SALUD_Mes_Constante!$AC$1</f>
        <v>0</v>
      </c>
      <c r="AN308" s="8">
        <f>+MINVU_Mes_Corriente!AN308*SALUD_Mes_Constante!$AC$1</f>
        <v>0</v>
      </c>
      <c r="AO308" s="9">
        <f t="shared" si="154"/>
        <v>0</v>
      </c>
      <c r="AP308" s="8">
        <f>+MINVU_Mes_Corriente!AP308*SALUD_Mes_Constante!$AP$1</f>
        <v>0</v>
      </c>
      <c r="AQ308" s="8">
        <f>+MINVU_Mes_Corriente!AQ308*SALUD_Mes_Constante!$AP$1</f>
        <v>0</v>
      </c>
      <c r="AR308" s="8">
        <f>+MINVU_Mes_Corriente!AR308*SALUD_Mes_Constante!$AP$1</f>
        <v>0</v>
      </c>
      <c r="AS308" s="8">
        <f>+MINVU_Mes_Corriente!AS308*SALUD_Mes_Constante!$AP$1</f>
        <v>0</v>
      </c>
      <c r="AT308" s="8">
        <f>+MINVU_Mes_Corriente!AT308*SALUD_Mes_Constante!$AP$1</f>
        <v>0</v>
      </c>
      <c r="AU308" s="8">
        <f>+MINVU_Mes_Corriente!AU308*SALUD_Mes_Constante!$AP$1</f>
        <v>0</v>
      </c>
      <c r="AV308" s="8">
        <f>+MINVU_Mes_Corriente!AV308*SALUD_Mes_Constante!$AP$1</f>
        <v>0</v>
      </c>
      <c r="AW308" s="8">
        <f>+MINVU_Mes_Corriente!AW308*SALUD_Mes_Constante!$AP$1</f>
        <v>0</v>
      </c>
      <c r="AX308" s="8">
        <f>+MINVU_Mes_Corriente!AX308*SALUD_Mes_Constante!$AP$1</f>
        <v>0</v>
      </c>
      <c r="AY308" s="8">
        <f>+MINVU_Mes_Corriente!AY308*SALUD_Mes_Constante!$AP$1</f>
        <v>0</v>
      </c>
      <c r="AZ308" s="8">
        <f>+MINVU_Mes_Corriente!AZ308*SALUD_Mes_Constante!$AP$1</f>
        <v>0</v>
      </c>
      <c r="BA308" s="8">
        <f>+MINVU_Mes_Corriente!BA308*SALUD_Mes_Constante!$AP$1</f>
        <v>0</v>
      </c>
      <c r="BB308" s="9">
        <f t="shared" si="155"/>
        <v>0</v>
      </c>
      <c r="BC308" s="8">
        <f>+MINVU_Mes_Corriente!BC308*SALUD_Mes_Constante!$BC$1</f>
        <v>0</v>
      </c>
      <c r="BD308" s="8">
        <f>+MINVU_Mes_Corriente!BD308*SALUD_Mes_Constante!$BC$1</f>
        <v>0</v>
      </c>
      <c r="BE308" s="8">
        <f>+MINVU_Mes_Corriente!BE308*SALUD_Mes_Constante!$BC$1</f>
        <v>0</v>
      </c>
      <c r="BF308" s="8">
        <f>+MINVU_Mes_Corriente!BF308*SALUD_Mes_Constante!$BC$1</f>
        <v>0</v>
      </c>
      <c r="BG308" s="8">
        <f>+MINVU_Mes_Corriente!BG308*SALUD_Mes_Constante!$BC$1</f>
        <v>0</v>
      </c>
      <c r="BH308" s="8">
        <f>+MINVU_Mes_Corriente!BH308*SALUD_Mes_Constante!$BC$1</f>
        <v>0</v>
      </c>
      <c r="BI308" s="8">
        <f>+MINVU_Mes_Corriente!BI308*SALUD_Mes_Constante!$BC$1</f>
        <v>0</v>
      </c>
      <c r="BJ308" s="8">
        <f>+MINVU_Mes_Corriente!BJ308*SALUD_Mes_Constante!$BC$1</f>
        <v>0</v>
      </c>
      <c r="BK308" s="8">
        <f>+MINVU_Mes_Corriente!BK308*SALUD_Mes_Constante!$BC$1</f>
        <v>0</v>
      </c>
      <c r="BL308" s="8">
        <f>+MINVU_Mes_Corriente!BL308*SALUD_Mes_Constante!$BC$1</f>
        <v>0</v>
      </c>
      <c r="BM308" s="8">
        <f>+MINVU_Mes_Corriente!BM308*SALUD_Mes_Constante!$BC$1</f>
        <v>0</v>
      </c>
      <c r="BN308" s="8">
        <f>+MINVU_Mes_Corriente!BN308*SALUD_Mes_Constante!$BC$1</f>
        <v>0</v>
      </c>
      <c r="BO308" s="9">
        <f t="shared" si="156"/>
        <v>0</v>
      </c>
      <c r="BP308" s="8">
        <f>+MINVU_Mes_Corriente!BP308*SALUD_Mes_Constante!$BP$1</f>
        <v>0</v>
      </c>
      <c r="BQ308" s="8">
        <f>+MINVU_Mes_Corriente!BQ308*SALUD_Mes_Constante!$BP$1</f>
        <v>0</v>
      </c>
      <c r="BR308" s="8">
        <f>+MINVU_Mes_Corriente!BR308*SALUD_Mes_Constante!$BP$1</f>
        <v>0</v>
      </c>
      <c r="BS308" s="8">
        <f>+MINVU_Mes_Corriente!BS308*SALUD_Mes_Constante!$BP$1</f>
        <v>0</v>
      </c>
      <c r="BT308" s="8">
        <f>+MINVU_Mes_Corriente!BT308*SALUD_Mes_Constante!$BP$1</f>
        <v>0</v>
      </c>
      <c r="BU308" s="8">
        <f>+MINVU_Mes_Corriente!BU308*SALUD_Mes_Constante!$BP$1</f>
        <v>0</v>
      </c>
      <c r="BV308" s="8">
        <f>+MINVU_Mes_Corriente!BV308*SALUD_Mes_Constante!$BP$1</f>
        <v>0</v>
      </c>
      <c r="BW308" s="8">
        <f>+MINVU_Mes_Corriente!BW308*SALUD_Mes_Constante!$BP$1</f>
        <v>0</v>
      </c>
      <c r="BX308" s="8">
        <f>+MINVU_Mes_Corriente!BX308*SALUD_Mes_Constante!$BP$1</f>
        <v>0</v>
      </c>
      <c r="BY308" s="8">
        <f>+MINVU_Mes_Corriente!BY308*SALUD_Mes_Constante!$BP$1</f>
        <v>0</v>
      </c>
      <c r="BZ308" s="8">
        <f>+MINVU_Mes_Corriente!BZ308*SALUD_Mes_Constante!$BP$1</f>
        <v>0</v>
      </c>
      <c r="CA308" s="8">
        <f>+MINVU_Mes_Corriente!CA308*SALUD_Mes_Constante!$BP$1</f>
        <v>0</v>
      </c>
      <c r="CB308" s="9">
        <f t="shared" si="157"/>
        <v>0</v>
      </c>
      <c r="CC308" s="8">
        <f>+MINVU_Mes_Corriente!CC308*SALUD_Mes_Constante!$CC$1</f>
        <v>0</v>
      </c>
      <c r="CD308" s="8">
        <f>+MINVU_Mes_Corriente!CD308*SALUD_Mes_Constante!$CC$1</f>
        <v>0</v>
      </c>
      <c r="CE308" s="8">
        <f>+MINVU_Mes_Corriente!CE308*SALUD_Mes_Constante!$CC$1</f>
        <v>0</v>
      </c>
      <c r="CF308" s="8">
        <f>+MINVU_Mes_Corriente!CF308*SALUD_Mes_Constante!$CC$1</f>
        <v>0</v>
      </c>
      <c r="CG308" s="8">
        <f>+MINVU_Mes_Corriente!CG308*SALUD_Mes_Constante!$CC$1</f>
        <v>0</v>
      </c>
      <c r="CH308" s="8">
        <f>+MINVU_Mes_Corriente!CH308*SALUD_Mes_Constante!$CC$1</f>
        <v>0</v>
      </c>
      <c r="CI308" s="8">
        <f>+MINVU_Mes_Corriente!CI308*SALUD_Mes_Constante!$CC$1</f>
        <v>0</v>
      </c>
      <c r="CJ308" s="8">
        <f>+MINVU_Mes_Corriente!CJ308*SALUD_Mes_Constante!$CC$1</f>
        <v>0</v>
      </c>
      <c r="CK308" s="8">
        <f>+MINVU_Mes_Corriente!CK308*SALUD_Mes_Constante!$CC$1</f>
        <v>0</v>
      </c>
      <c r="CL308" s="8">
        <f>+MINVU_Mes_Corriente!CL308*SALUD_Mes_Constante!$CC$1</f>
        <v>0</v>
      </c>
      <c r="CM308" s="8">
        <f>+MINVU_Mes_Corriente!CM308*SALUD_Mes_Constante!$CC$1</f>
        <v>0</v>
      </c>
      <c r="CN308" s="8">
        <f>+MINVU_Mes_Corriente!CN308*SALUD_Mes_Constante!$CC$1</f>
        <v>0</v>
      </c>
      <c r="CO308" s="9">
        <f t="shared" si="158"/>
        <v>0</v>
      </c>
      <c r="CP308" s="8">
        <f>+MINVU_Mes_Corriente!CP308*SALUD_Mes_Constante!$CP$1</f>
        <v>0</v>
      </c>
      <c r="CQ308" s="8">
        <f>+MINVU_Mes_Corriente!CQ308*SALUD_Mes_Constante!$CP$1</f>
        <v>0</v>
      </c>
      <c r="CR308" s="8">
        <f>+MINVU_Mes_Corriente!CR308*SALUD_Mes_Constante!$CP$1</f>
        <v>0</v>
      </c>
      <c r="CS308" s="8">
        <f>+MINVU_Mes_Corriente!CS308*SALUD_Mes_Constante!$CP$1</f>
        <v>0</v>
      </c>
      <c r="CT308" s="8">
        <f>+MINVU_Mes_Corriente!CT308*SALUD_Mes_Constante!$CP$1</f>
        <v>0</v>
      </c>
      <c r="CU308" s="8">
        <f>+MINVU_Mes_Corriente!CU308*SALUD_Mes_Constante!$CP$1</f>
        <v>0</v>
      </c>
      <c r="CV308" s="8">
        <f>+MINVU_Mes_Corriente!CV308*SALUD_Mes_Constante!$CP$1</f>
        <v>0</v>
      </c>
      <c r="CW308" s="8">
        <f>+MINVU_Mes_Corriente!CW308*SALUD_Mes_Constante!$CP$1</f>
        <v>0</v>
      </c>
      <c r="CX308" s="8">
        <f>+MINVU_Mes_Corriente!CX308*SALUD_Mes_Constante!$CP$1</f>
        <v>0</v>
      </c>
      <c r="CY308" s="8">
        <f>+MINVU_Mes_Corriente!CY308*SALUD_Mes_Constante!$CP$1</f>
        <v>0</v>
      </c>
      <c r="CZ308" s="8">
        <f>+MINVU_Mes_Corriente!CZ308*SALUD_Mes_Constante!$CP$1</f>
        <v>0</v>
      </c>
      <c r="DA308" s="8">
        <f>+MINVU_Mes_Corriente!DA308*SALUD_Mes_Constante!$CP$1</f>
        <v>0</v>
      </c>
      <c r="DB308" s="9">
        <f t="shared" si="159"/>
        <v>0</v>
      </c>
      <c r="DC308" s="8">
        <f>+MINVU_Mes_Corriente!DC308*SALUD_Mes_Constante!$DC$1</f>
        <v>0</v>
      </c>
      <c r="DD308" s="8">
        <f>+MINVU_Mes_Corriente!DD308*SALUD_Mes_Constante!$DC$1</f>
        <v>0</v>
      </c>
      <c r="DE308" s="8">
        <f>+MINVU_Mes_Corriente!DE308*SALUD_Mes_Constante!$DC$1</f>
        <v>0</v>
      </c>
      <c r="DF308" s="8">
        <f>+MINVU_Mes_Corriente!DF308*SALUD_Mes_Constante!$DC$1</f>
        <v>0</v>
      </c>
      <c r="DG308" s="8">
        <f>+MINVU_Mes_Corriente!DG308*SALUD_Mes_Constante!$DC$1</f>
        <v>0</v>
      </c>
      <c r="DH308" s="8">
        <f>+MINVU_Mes_Corriente!DH308*SALUD_Mes_Constante!$DC$1</f>
        <v>0</v>
      </c>
      <c r="DI308" s="8">
        <f>+MINVU_Mes_Corriente!DI308*SALUD_Mes_Constante!$DC$1</f>
        <v>0</v>
      </c>
      <c r="DJ308" s="8">
        <f>+MINVU_Mes_Corriente!DJ308*SALUD_Mes_Constante!$DC$1</f>
        <v>0</v>
      </c>
      <c r="DK308" s="8">
        <f>+MINVU_Mes_Corriente!DK308*SALUD_Mes_Constante!$DC$1</f>
        <v>0</v>
      </c>
      <c r="DL308" s="8">
        <f>+MINVU_Mes_Corriente!DL308*SALUD_Mes_Constante!$DC$1</f>
        <v>0</v>
      </c>
      <c r="DM308" s="8">
        <f>+MINVU_Mes_Corriente!DM308*SALUD_Mes_Constante!$DC$1</f>
        <v>0</v>
      </c>
      <c r="DN308" s="8">
        <f>+MINVU_Mes_Corriente!DN308*SALUD_Mes_Constante!$DC$1</f>
        <v>0</v>
      </c>
      <c r="DO308" s="9">
        <f t="shared" si="160"/>
        <v>0</v>
      </c>
      <c r="DP308" s="8">
        <f>+MINVU_Mes_Corriente!DP308*SALUD_Mes_Constante!$DP$1</f>
        <v>0</v>
      </c>
      <c r="DQ308" s="8">
        <f>+MINVU_Mes_Corriente!DQ308*SALUD_Mes_Constante!$DP$1</f>
        <v>0</v>
      </c>
      <c r="DR308" s="8">
        <f>+MINVU_Mes_Corriente!DR308*SALUD_Mes_Constante!$DP$1</f>
        <v>0</v>
      </c>
      <c r="DS308" s="8">
        <f>+MINVU_Mes_Corriente!DS308*SALUD_Mes_Constante!$DP$1</f>
        <v>0</v>
      </c>
      <c r="DT308" s="8">
        <f>+MINVU_Mes_Corriente!DT308*SALUD_Mes_Constante!$DP$1</f>
        <v>0</v>
      </c>
      <c r="DU308" s="8">
        <f>+MINVU_Mes_Corriente!DU308*SALUD_Mes_Constante!$DP$1</f>
        <v>0</v>
      </c>
      <c r="DV308" s="8">
        <f>+MINVU_Mes_Corriente!DV308*SALUD_Mes_Constante!$DP$1</f>
        <v>0</v>
      </c>
      <c r="DW308" s="8">
        <f>+MINVU_Mes_Corriente!DW308*SALUD_Mes_Constante!$DP$1</f>
        <v>0</v>
      </c>
      <c r="DX308" s="8">
        <f>+MINVU_Mes_Corriente!DX308*SALUD_Mes_Constante!$DP$1</f>
        <v>0</v>
      </c>
      <c r="DY308" s="8">
        <f>+MINVU_Mes_Corriente!DY308*SALUD_Mes_Constante!$DP$1</f>
        <v>0</v>
      </c>
      <c r="DZ308" s="8">
        <f>+MINVU_Mes_Corriente!DZ308*SALUD_Mes_Constante!$DP$1</f>
        <v>0</v>
      </c>
      <c r="EA308" s="8">
        <f>+MINVU_Mes_Corriente!EA308*SALUD_Mes_Constante!$DP$1</f>
        <v>0</v>
      </c>
      <c r="EB308" s="9">
        <f t="shared" si="161"/>
        <v>0</v>
      </c>
      <c r="EC308" s="8">
        <f>+MINVU_Mes_Corriente!EC308*SALUD_Mes_Constante!$EC$1</f>
        <v>0</v>
      </c>
      <c r="ED308" s="8">
        <f>+MINVU_Mes_Corriente!ED308*SALUD_Mes_Constante!$EC$1</f>
        <v>0</v>
      </c>
      <c r="EE308" s="8">
        <f>+MINVU_Mes_Corriente!EE308*SALUD_Mes_Constante!$EC$1</f>
        <v>0</v>
      </c>
      <c r="EF308" s="8">
        <f>+MINVU_Mes_Corriente!EF308*SALUD_Mes_Constante!$EC$1</f>
        <v>0</v>
      </c>
      <c r="EG308" s="8">
        <f>+MINVU_Mes_Corriente!EG308*SALUD_Mes_Constante!$EC$1</f>
        <v>0</v>
      </c>
      <c r="EH308" s="8">
        <f>+MINVU_Mes_Corriente!EH308*SALUD_Mes_Constante!$EC$1</f>
        <v>0</v>
      </c>
      <c r="EI308" s="8">
        <f>+MINVU_Mes_Corriente!EI308*SALUD_Mes_Constante!$EC$1</f>
        <v>0</v>
      </c>
      <c r="EJ308" s="8">
        <f>+MINVU_Mes_Corriente!EJ308*SALUD_Mes_Constante!$EC$1</f>
        <v>0</v>
      </c>
      <c r="EK308" s="8">
        <f>+MINVU_Mes_Corriente!EK308*SALUD_Mes_Constante!$EC$1</f>
        <v>0</v>
      </c>
      <c r="EL308" s="8">
        <f>+MINVU_Mes_Corriente!EL308*SALUD_Mes_Constante!$EC$1</f>
        <v>0</v>
      </c>
      <c r="EM308" s="8">
        <f>+MINVU_Mes_Corriente!EM308*SALUD_Mes_Constante!$EC$1</f>
        <v>0</v>
      </c>
      <c r="EN308" s="8">
        <f>+MINVU_Mes_Corriente!EN308*SALUD_Mes_Constante!$EC$1</f>
        <v>0</v>
      </c>
      <c r="EO308" s="9">
        <f t="shared" si="162"/>
        <v>0</v>
      </c>
      <c r="EP308" s="8">
        <f>+MINVU_Mes_Corriente!EP308*SALUD_Mes_Constante!$EP$1</f>
        <v>0</v>
      </c>
      <c r="EQ308" s="8">
        <f>+MINVU_Mes_Corriente!EQ308*SALUD_Mes_Constante!$EP$1</f>
        <v>0</v>
      </c>
      <c r="ER308" s="8">
        <f>+MINVU_Mes_Corriente!ER308*SALUD_Mes_Constante!$EP$1</f>
        <v>0</v>
      </c>
      <c r="ES308" s="8">
        <f>+MINVU_Mes_Corriente!ES308*SALUD_Mes_Constante!$EP$1</f>
        <v>0</v>
      </c>
      <c r="ET308" s="8">
        <f>+MINVU_Mes_Corriente!ET308*SALUD_Mes_Constante!$EP$1</f>
        <v>0</v>
      </c>
      <c r="EU308" s="8">
        <f>+MINVU_Mes_Corriente!EU308*SALUD_Mes_Constante!$EP$1</f>
        <v>0</v>
      </c>
      <c r="EV308" s="8">
        <f>+MINVU_Mes_Corriente!EV308*SALUD_Mes_Constante!$EP$1</f>
        <v>0</v>
      </c>
      <c r="EW308" s="8">
        <f>+MINVU_Mes_Corriente!EW308*SALUD_Mes_Constante!$EP$1</f>
        <v>0</v>
      </c>
      <c r="EX308" s="8">
        <f>+MINVU_Mes_Corriente!EX308*SALUD_Mes_Constante!$EP$1</f>
        <v>0</v>
      </c>
      <c r="EY308" s="8">
        <f>+MINVU_Mes_Corriente!EY308*SALUD_Mes_Constante!$EP$1</f>
        <v>0</v>
      </c>
      <c r="EZ308" s="8">
        <f>+MINVU_Mes_Corriente!EZ308*SALUD_Mes_Constante!$EP$1</f>
        <v>0</v>
      </c>
      <c r="FA308" s="8">
        <f>+MINVU_Mes_Corriente!FA308*SALUD_Mes_Constante!$EP$1</f>
        <v>0</v>
      </c>
      <c r="FB308" s="9">
        <f t="shared" si="163"/>
        <v>0</v>
      </c>
      <c r="FC308" s="8">
        <f>+MINVU_Mes_Corriente!FC308*SALUD_Mes_Constante!$FC$1</f>
        <v>0</v>
      </c>
      <c r="FD308" s="8">
        <f>+MINVU_Mes_Corriente!FD308*SALUD_Mes_Constante!$FC$1</f>
        <v>0</v>
      </c>
      <c r="FE308" s="8">
        <f>+MINVU_Mes_Corriente!FE308*SALUD_Mes_Constante!$FC$1</f>
        <v>0</v>
      </c>
      <c r="FF308" s="8">
        <f>+MINVU_Mes_Corriente!FF308*SALUD_Mes_Constante!$FC$1</f>
        <v>0</v>
      </c>
      <c r="FG308" s="8">
        <f>+MINVU_Mes_Corriente!FG308*SALUD_Mes_Constante!$FC$1</f>
        <v>0</v>
      </c>
      <c r="FH308" s="8">
        <f>+MINVU_Mes_Corriente!FH308*SALUD_Mes_Constante!$FC$1</f>
        <v>0</v>
      </c>
      <c r="FI308" s="8">
        <f>+MINVU_Mes_Corriente!FI308*SALUD_Mes_Constante!$FC$1</f>
        <v>0</v>
      </c>
      <c r="FJ308" s="8"/>
      <c r="FK308" s="8"/>
      <c r="FL308" s="8"/>
      <c r="FM308" s="8"/>
      <c r="FN308" s="8"/>
      <c r="FO308" s="9">
        <f t="shared" si="164"/>
        <v>0</v>
      </c>
    </row>
    <row r="309" spans="2:171" ht="14.25" customHeight="1" x14ac:dyDescent="0.3">
      <c r="B309" s="7" t="s">
        <v>50</v>
      </c>
      <c r="C309" s="8">
        <f>+MINVU_Mes_Corriente!C309*SALUD_Mes_Constante!$C$1</f>
        <v>0</v>
      </c>
      <c r="D309" s="8">
        <f>+MINVU_Mes_Corriente!D309*SALUD_Mes_Constante!$C$1</f>
        <v>0</v>
      </c>
      <c r="E309" s="8">
        <f>+MINVU_Mes_Corriente!E309*SALUD_Mes_Constante!$C$1</f>
        <v>0</v>
      </c>
      <c r="F309" s="8">
        <f>+MINVU_Mes_Corriente!F309*SALUD_Mes_Constante!$C$1</f>
        <v>0</v>
      </c>
      <c r="G309" s="8">
        <f>+MINVU_Mes_Corriente!G309*SALUD_Mes_Constante!$C$1</f>
        <v>0</v>
      </c>
      <c r="H309" s="8">
        <f>+MINVU_Mes_Corriente!H309*SALUD_Mes_Constante!$C$1</f>
        <v>0</v>
      </c>
      <c r="I309" s="8">
        <f>+MINVU_Mes_Corriente!I309*SALUD_Mes_Constante!$C$1</f>
        <v>0</v>
      </c>
      <c r="J309" s="8">
        <f>+MINVU_Mes_Corriente!J309*SALUD_Mes_Constante!$C$1</f>
        <v>0</v>
      </c>
      <c r="K309" s="8">
        <f>+MINVU_Mes_Corriente!K309*SALUD_Mes_Constante!$C$1</f>
        <v>0</v>
      </c>
      <c r="L309" s="8">
        <f>+MINVU_Mes_Corriente!L309*SALUD_Mes_Constante!$C$1</f>
        <v>0</v>
      </c>
      <c r="M309" s="8">
        <f>+MINVU_Mes_Corriente!M309*SALUD_Mes_Constante!$C$1</f>
        <v>0</v>
      </c>
      <c r="N309" s="8">
        <f>+MINVU_Mes_Corriente!N309*SALUD_Mes_Constante!$C$1</f>
        <v>0</v>
      </c>
      <c r="O309" s="9">
        <f t="shared" si="152"/>
        <v>0</v>
      </c>
      <c r="P309" s="8">
        <f>+MINVU_Mes_Corriente!P309*SALUD_Mes_Constante!$P$1</f>
        <v>0</v>
      </c>
      <c r="Q309" s="8">
        <f>+MINVU_Mes_Corriente!Q309*SALUD_Mes_Constante!$P$1</f>
        <v>0</v>
      </c>
      <c r="R309" s="8">
        <f>+MINVU_Mes_Corriente!R309*SALUD_Mes_Constante!$P$1</f>
        <v>0</v>
      </c>
      <c r="S309" s="8">
        <f>+MINVU_Mes_Corriente!S309*SALUD_Mes_Constante!$P$1</f>
        <v>0</v>
      </c>
      <c r="T309" s="8">
        <f>+MINVU_Mes_Corriente!T309*SALUD_Mes_Constante!$P$1</f>
        <v>0</v>
      </c>
      <c r="U309" s="8">
        <f>+MINVU_Mes_Corriente!U309*SALUD_Mes_Constante!$P$1</f>
        <v>0</v>
      </c>
      <c r="V309" s="8">
        <f>+MINVU_Mes_Corriente!V309*SALUD_Mes_Constante!$P$1</f>
        <v>0</v>
      </c>
      <c r="W309" s="8">
        <f>+MINVU_Mes_Corriente!W309*SALUD_Mes_Constante!$P$1</f>
        <v>0</v>
      </c>
      <c r="X309" s="8">
        <f>+MINVU_Mes_Corriente!X309*SALUD_Mes_Constante!$P$1</f>
        <v>0</v>
      </c>
      <c r="Y309" s="8">
        <f>+MINVU_Mes_Corriente!Y309*SALUD_Mes_Constante!$P$1</f>
        <v>0</v>
      </c>
      <c r="Z309" s="8">
        <f>+MINVU_Mes_Corriente!Z309*SALUD_Mes_Constante!$P$1</f>
        <v>0</v>
      </c>
      <c r="AA309" s="8">
        <f>+MINVU_Mes_Corriente!AA309*SALUD_Mes_Constante!$P$1</f>
        <v>0</v>
      </c>
      <c r="AB309" s="9">
        <f t="shared" si="153"/>
        <v>0</v>
      </c>
      <c r="AC309" s="8">
        <f>+MINVU_Mes_Corriente!AC309*SALUD_Mes_Constante!$AC$1</f>
        <v>0</v>
      </c>
      <c r="AD309" s="8">
        <f>+MINVU_Mes_Corriente!AD309*SALUD_Mes_Constante!$AC$1</f>
        <v>0</v>
      </c>
      <c r="AE309" s="8">
        <f>+MINVU_Mes_Corriente!AE309*SALUD_Mes_Constante!$AC$1</f>
        <v>0</v>
      </c>
      <c r="AF309" s="8">
        <f>+MINVU_Mes_Corriente!AF309*SALUD_Mes_Constante!$AC$1</f>
        <v>0</v>
      </c>
      <c r="AG309" s="8">
        <f>+MINVU_Mes_Corriente!AG309*SALUD_Mes_Constante!$AC$1</f>
        <v>0</v>
      </c>
      <c r="AH309" s="8">
        <f>+MINVU_Mes_Corriente!AH309*SALUD_Mes_Constante!$AC$1</f>
        <v>0</v>
      </c>
      <c r="AI309" s="8">
        <f>+MINVU_Mes_Corriente!AI309*SALUD_Mes_Constante!$AC$1</f>
        <v>0</v>
      </c>
      <c r="AJ309" s="8">
        <f>+MINVU_Mes_Corriente!AJ309*SALUD_Mes_Constante!$AC$1</f>
        <v>0</v>
      </c>
      <c r="AK309" s="8">
        <f>+MINVU_Mes_Corriente!AK309*SALUD_Mes_Constante!$AC$1</f>
        <v>0</v>
      </c>
      <c r="AL309" s="8">
        <f>+MINVU_Mes_Corriente!AL309*SALUD_Mes_Constante!$AC$1</f>
        <v>0</v>
      </c>
      <c r="AM309" s="8">
        <f>+MINVU_Mes_Corriente!AM309*SALUD_Mes_Constante!$AC$1</f>
        <v>0</v>
      </c>
      <c r="AN309" s="8">
        <f>+MINVU_Mes_Corriente!AN309*SALUD_Mes_Constante!$AC$1</f>
        <v>0</v>
      </c>
      <c r="AO309" s="9">
        <f t="shared" si="154"/>
        <v>0</v>
      </c>
      <c r="AP309" s="8">
        <f>+MINVU_Mes_Corriente!AP309*SALUD_Mes_Constante!$AP$1</f>
        <v>0</v>
      </c>
      <c r="AQ309" s="8">
        <f>+MINVU_Mes_Corriente!AQ309*SALUD_Mes_Constante!$AP$1</f>
        <v>0</v>
      </c>
      <c r="AR309" s="8">
        <f>+MINVU_Mes_Corriente!AR309*SALUD_Mes_Constante!$AP$1</f>
        <v>0</v>
      </c>
      <c r="AS309" s="8">
        <f>+MINVU_Mes_Corriente!AS309*SALUD_Mes_Constante!$AP$1</f>
        <v>0</v>
      </c>
      <c r="AT309" s="8">
        <f>+MINVU_Mes_Corriente!AT309*SALUD_Mes_Constante!$AP$1</f>
        <v>0</v>
      </c>
      <c r="AU309" s="8">
        <f>+MINVU_Mes_Corriente!AU309*SALUD_Mes_Constante!$AP$1</f>
        <v>0</v>
      </c>
      <c r="AV309" s="8">
        <f>+MINVU_Mes_Corriente!AV309*SALUD_Mes_Constante!$AP$1</f>
        <v>0</v>
      </c>
      <c r="AW309" s="8">
        <f>+MINVU_Mes_Corriente!AW309*SALUD_Mes_Constante!$AP$1</f>
        <v>0</v>
      </c>
      <c r="AX309" s="8">
        <f>+MINVU_Mes_Corriente!AX309*SALUD_Mes_Constante!$AP$1</f>
        <v>0</v>
      </c>
      <c r="AY309" s="8">
        <f>+MINVU_Mes_Corriente!AY309*SALUD_Mes_Constante!$AP$1</f>
        <v>0</v>
      </c>
      <c r="AZ309" s="8">
        <f>+MINVU_Mes_Corriente!AZ309*SALUD_Mes_Constante!$AP$1</f>
        <v>0</v>
      </c>
      <c r="BA309" s="8">
        <f>+MINVU_Mes_Corriente!BA309*SALUD_Mes_Constante!$AP$1</f>
        <v>0</v>
      </c>
      <c r="BB309" s="9">
        <f t="shared" si="155"/>
        <v>0</v>
      </c>
      <c r="BC309" s="8">
        <f>+MINVU_Mes_Corriente!BC309*SALUD_Mes_Constante!$BC$1</f>
        <v>0</v>
      </c>
      <c r="BD309" s="8">
        <f>+MINVU_Mes_Corriente!BD309*SALUD_Mes_Constante!$BC$1</f>
        <v>0</v>
      </c>
      <c r="BE309" s="8">
        <f>+MINVU_Mes_Corriente!BE309*SALUD_Mes_Constante!$BC$1</f>
        <v>0</v>
      </c>
      <c r="BF309" s="8">
        <f>+MINVU_Mes_Corriente!BF309*SALUD_Mes_Constante!$BC$1</f>
        <v>0</v>
      </c>
      <c r="BG309" s="8">
        <f>+MINVU_Mes_Corriente!BG309*SALUD_Mes_Constante!$BC$1</f>
        <v>0</v>
      </c>
      <c r="BH309" s="8">
        <f>+MINVU_Mes_Corriente!BH309*SALUD_Mes_Constante!$BC$1</f>
        <v>0</v>
      </c>
      <c r="BI309" s="8">
        <f>+MINVU_Mes_Corriente!BI309*SALUD_Mes_Constante!$BC$1</f>
        <v>0</v>
      </c>
      <c r="BJ309" s="8">
        <f>+MINVU_Mes_Corriente!BJ309*SALUD_Mes_Constante!$BC$1</f>
        <v>0</v>
      </c>
      <c r="BK309" s="8">
        <f>+MINVU_Mes_Corriente!BK309*SALUD_Mes_Constante!$BC$1</f>
        <v>0</v>
      </c>
      <c r="BL309" s="8">
        <f>+MINVU_Mes_Corriente!BL309*SALUD_Mes_Constante!$BC$1</f>
        <v>0</v>
      </c>
      <c r="BM309" s="8">
        <f>+MINVU_Mes_Corriente!BM309*SALUD_Mes_Constante!$BC$1</f>
        <v>0</v>
      </c>
      <c r="BN309" s="8">
        <f>+MINVU_Mes_Corriente!BN309*SALUD_Mes_Constante!$BC$1</f>
        <v>0</v>
      </c>
      <c r="BO309" s="9">
        <f t="shared" si="156"/>
        <v>0</v>
      </c>
      <c r="BP309" s="8">
        <f>+MINVU_Mes_Corriente!BP309*SALUD_Mes_Constante!$BP$1</f>
        <v>0</v>
      </c>
      <c r="BQ309" s="8">
        <f>+MINVU_Mes_Corriente!BQ309*SALUD_Mes_Constante!$BP$1</f>
        <v>0</v>
      </c>
      <c r="BR309" s="8">
        <f>+MINVU_Mes_Corriente!BR309*SALUD_Mes_Constante!$BP$1</f>
        <v>0</v>
      </c>
      <c r="BS309" s="8">
        <f>+MINVU_Mes_Corriente!BS309*SALUD_Mes_Constante!$BP$1</f>
        <v>0</v>
      </c>
      <c r="BT309" s="8">
        <f>+MINVU_Mes_Corriente!BT309*SALUD_Mes_Constante!$BP$1</f>
        <v>0</v>
      </c>
      <c r="BU309" s="8">
        <f>+MINVU_Mes_Corriente!BU309*SALUD_Mes_Constante!$BP$1</f>
        <v>0</v>
      </c>
      <c r="BV309" s="8">
        <f>+MINVU_Mes_Corriente!BV309*SALUD_Mes_Constante!$BP$1</f>
        <v>0</v>
      </c>
      <c r="BW309" s="8">
        <f>+MINVU_Mes_Corriente!BW309*SALUD_Mes_Constante!$BP$1</f>
        <v>0</v>
      </c>
      <c r="BX309" s="8">
        <f>+MINVU_Mes_Corriente!BX309*SALUD_Mes_Constante!$BP$1</f>
        <v>0</v>
      </c>
      <c r="BY309" s="8">
        <f>+MINVU_Mes_Corriente!BY309*SALUD_Mes_Constante!$BP$1</f>
        <v>0</v>
      </c>
      <c r="BZ309" s="8">
        <f>+MINVU_Mes_Corriente!BZ309*SALUD_Mes_Constante!$BP$1</f>
        <v>0</v>
      </c>
      <c r="CA309" s="8">
        <f>+MINVU_Mes_Corriente!CA309*SALUD_Mes_Constante!$BP$1</f>
        <v>0</v>
      </c>
      <c r="CB309" s="9">
        <f t="shared" si="157"/>
        <v>0</v>
      </c>
      <c r="CC309" s="8">
        <f>+MINVU_Mes_Corriente!CC309*SALUD_Mes_Constante!$CC$1</f>
        <v>0</v>
      </c>
      <c r="CD309" s="8">
        <f>+MINVU_Mes_Corriente!CD309*SALUD_Mes_Constante!$CC$1</f>
        <v>0</v>
      </c>
      <c r="CE309" s="8">
        <f>+MINVU_Mes_Corriente!CE309*SALUD_Mes_Constante!$CC$1</f>
        <v>0</v>
      </c>
      <c r="CF309" s="8">
        <f>+MINVU_Mes_Corriente!CF309*SALUD_Mes_Constante!$CC$1</f>
        <v>0</v>
      </c>
      <c r="CG309" s="8">
        <f>+MINVU_Mes_Corriente!CG309*SALUD_Mes_Constante!$CC$1</f>
        <v>0</v>
      </c>
      <c r="CH309" s="8">
        <f>+MINVU_Mes_Corriente!CH309*SALUD_Mes_Constante!$CC$1</f>
        <v>0</v>
      </c>
      <c r="CI309" s="8">
        <f>+MINVU_Mes_Corriente!CI309*SALUD_Mes_Constante!$CC$1</f>
        <v>0</v>
      </c>
      <c r="CJ309" s="8">
        <f>+MINVU_Mes_Corriente!CJ309*SALUD_Mes_Constante!$CC$1</f>
        <v>0</v>
      </c>
      <c r="CK309" s="8">
        <f>+MINVU_Mes_Corriente!CK309*SALUD_Mes_Constante!$CC$1</f>
        <v>0</v>
      </c>
      <c r="CL309" s="8">
        <f>+MINVU_Mes_Corriente!CL309*SALUD_Mes_Constante!$CC$1</f>
        <v>0</v>
      </c>
      <c r="CM309" s="8">
        <f>+MINVU_Mes_Corriente!CM309*SALUD_Mes_Constante!$CC$1</f>
        <v>0</v>
      </c>
      <c r="CN309" s="8">
        <f>+MINVU_Mes_Corriente!CN309*SALUD_Mes_Constante!$CC$1</f>
        <v>0</v>
      </c>
      <c r="CO309" s="9">
        <f t="shared" si="158"/>
        <v>0</v>
      </c>
      <c r="CP309" s="8">
        <f>+MINVU_Mes_Corriente!CP309*SALUD_Mes_Constante!$CP$1</f>
        <v>0</v>
      </c>
      <c r="CQ309" s="8">
        <f>+MINVU_Mes_Corriente!CQ309*SALUD_Mes_Constante!$CP$1</f>
        <v>0</v>
      </c>
      <c r="CR309" s="8">
        <f>+MINVU_Mes_Corriente!CR309*SALUD_Mes_Constante!$CP$1</f>
        <v>0</v>
      </c>
      <c r="CS309" s="8">
        <f>+MINVU_Mes_Corriente!CS309*SALUD_Mes_Constante!$CP$1</f>
        <v>0</v>
      </c>
      <c r="CT309" s="8">
        <f>+MINVU_Mes_Corriente!CT309*SALUD_Mes_Constante!$CP$1</f>
        <v>0</v>
      </c>
      <c r="CU309" s="8">
        <f>+MINVU_Mes_Corriente!CU309*SALUD_Mes_Constante!$CP$1</f>
        <v>0</v>
      </c>
      <c r="CV309" s="8">
        <f>+MINVU_Mes_Corriente!CV309*SALUD_Mes_Constante!$CP$1</f>
        <v>0</v>
      </c>
      <c r="CW309" s="8">
        <f>+MINVU_Mes_Corriente!CW309*SALUD_Mes_Constante!$CP$1</f>
        <v>0</v>
      </c>
      <c r="CX309" s="8">
        <f>+MINVU_Mes_Corriente!CX309*SALUD_Mes_Constante!$CP$1</f>
        <v>0</v>
      </c>
      <c r="CY309" s="8">
        <f>+MINVU_Mes_Corriente!CY309*SALUD_Mes_Constante!$CP$1</f>
        <v>0</v>
      </c>
      <c r="CZ309" s="8">
        <f>+MINVU_Mes_Corriente!CZ309*SALUD_Mes_Constante!$CP$1</f>
        <v>0</v>
      </c>
      <c r="DA309" s="8">
        <f>+MINVU_Mes_Corriente!DA309*SALUD_Mes_Constante!$CP$1</f>
        <v>0</v>
      </c>
      <c r="DB309" s="9">
        <f t="shared" si="159"/>
        <v>0</v>
      </c>
      <c r="DC309" s="8">
        <f>+MINVU_Mes_Corriente!DC309*SALUD_Mes_Constante!$DC$1</f>
        <v>0</v>
      </c>
      <c r="DD309" s="8">
        <f>+MINVU_Mes_Corriente!DD309*SALUD_Mes_Constante!$DC$1</f>
        <v>0</v>
      </c>
      <c r="DE309" s="8">
        <f>+MINVU_Mes_Corriente!DE309*SALUD_Mes_Constante!$DC$1</f>
        <v>0</v>
      </c>
      <c r="DF309" s="8">
        <f>+MINVU_Mes_Corriente!DF309*SALUD_Mes_Constante!$DC$1</f>
        <v>0</v>
      </c>
      <c r="DG309" s="8">
        <f>+MINVU_Mes_Corriente!DG309*SALUD_Mes_Constante!$DC$1</f>
        <v>0</v>
      </c>
      <c r="DH309" s="8">
        <f>+MINVU_Mes_Corriente!DH309*SALUD_Mes_Constante!$DC$1</f>
        <v>0</v>
      </c>
      <c r="DI309" s="8">
        <f>+MINVU_Mes_Corriente!DI309*SALUD_Mes_Constante!$DC$1</f>
        <v>0</v>
      </c>
      <c r="DJ309" s="8">
        <f>+MINVU_Mes_Corriente!DJ309*SALUD_Mes_Constante!$DC$1</f>
        <v>0</v>
      </c>
      <c r="DK309" s="8">
        <f>+MINVU_Mes_Corriente!DK309*SALUD_Mes_Constante!$DC$1</f>
        <v>0</v>
      </c>
      <c r="DL309" s="8">
        <f>+MINVU_Mes_Corriente!DL309*SALUD_Mes_Constante!$DC$1</f>
        <v>0</v>
      </c>
      <c r="DM309" s="8">
        <f>+MINVU_Mes_Corriente!DM309*SALUD_Mes_Constante!$DC$1</f>
        <v>0</v>
      </c>
      <c r="DN309" s="8">
        <f>+MINVU_Mes_Corriente!DN309*SALUD_Mes_Constante!$DC$1</f>
        <v>0</v>
      </c>
      <c r="DO309" s="9">
        <f t="shared" si="160"/>
        <v>0</v>
      </c>
      <c r="DP309" s="8">
        <f>+MINVU_Mes_Corriente!DP309*SALUD_Mes_Constante!$DP$1</f>
        <v>0</v>
      </c>
      <c r="DQ309" s="8">
        <f>+MINVU_Mes_Corriente!DQ309*SALUD_Mes_Constante!$DP$1</f>
        <v>0</v>
      </c>
      <c r="DR309" s="8">
        <f>+MINVU_Mes_Corriente!DR309*SALUD_Mes_Constante!$DP$1</f>
        <v>0</v>
      </c>
      <c r="DS309" s="8">
        <f>+MINVU_Mes_Corriente!DS309*SALUD_Mes_Constante!$DP$1</f>
        <v>0</v>
      </c>
      <c r="DT309" s="8">
        <f>+MINVU_Mes_Corriente!DT309*SALUD_Mes_Constante!$DP$1</f>
        <v>0</v>
      </c>
      <c r="DU309" s="8">
        <f>+MINVU_Mes_Corriente!DU309*SALUD_Mes_Constante!$DP$1</f>
        <v>0</v>
      </c>
      <c r="DV309" s="8">
        <f>+MINVU_Mes_Corriente!DV309*SALUD_Mes_Constante!$DP$1</f>
        <v>0</v>
      </c>
      <c r="DW309" s="8">
        <f>+MINVU_Mes_Corriente!DW309*SALUD_Mes_Constante!$DP$1</f>
        <v>0</v>
      </c>
      <c r="DX309" s="8">
        <f>+MINVU_Mes_Corriente!DX309*SALUD_Mes_Constante!$DP$1</f>
        <v>0</v>
      </c>
      <c r="DY309" s="8">
        <f>+MINVU_Mes_Corriente!DY309*SALUD_Mes_Constante!$DP$1</f>
        <v>0</v>
      </c>
      <c r="DZ309" s="8">
        <f>+MINVU_Mes_Corriente!DZ309*SALUD_Mes_Constante!$DP$1</f>
        <v>0</v>
      </c>
      <c r="EA309" s="8">
        <f>+MINVU_Mes_Corriente!EA309*SALUD_Mes_Constante!$DP$1</f>
        <v>0</v>
      </c>
      <c r="EB309" s="9">
        <f t="shared" si="161"/>
        <v>0</v>
      </c>
      <c r="EC309" s="8">
        <f>+MINVU_Mes_Corriente!EC309*SALUD_Mes_Constante!$EC$1</f>
        <v>0</v>
      </c>
      <c r="ED309" s="8">
        <f>+MINVU_Mes_Corriente!ED309*SALUD_Mes_Constante!$EC$1</f>
        <v>0</v>
      </c>
      <c r="EE309" s="8">
        <f>+MINVU_Mes_Corriente!EE309*SALUD_Mes_Constante!$EC$1</f>
        <v>0</v>
      </c>
      <c r="EF309" s="8">
        <f>+MINVU_Mes_Corriente!EF309*SALUD_Mes_Constante!$EC$1</f>
        <v>0</v>
      </c>
      <c r="EG309" s="8">
        <f>+MINVU_Mes_Corriente!EG309*SALUD_Mes_Constante!$EC$1</f>
        <v>0</v>
      </c>
      <c r="EH309" s="8">
        <f>+MINVU_Mes_Corriente!EH309*SALUD_Mes_Constante!$EC$1</f>
        <v>0</v>
      </c>
      <c r="EI309" s="8">
        <f>+MINVU_Mes_Corriente!EI309*SALUD_Mes_Constante!$EC$1</f>
        <v>0</v>
      </c>
      <c r="EJ309" s="8">
        <f>+MINVU_Mes_Corriente!EJ309*SALUD_Mes_Constante!$EC$1</f>
        <v>0</v>
      </c>
      <c r="EK309" s="8">
        <f>+MINVU_Mes_Corriente!EK309*SALUD_Mes_Constante!$EC$1</f>
        <v>0</v>
      </c>
      <c r="EL309" s="8">
        <f>+MINVU_Mes_Corriente!EL309*SALUD_Mes_Constante!$EC$1</f>
        <v>0</v>
      </c>
      <c r="EM309" s="8">
        <f>+MINVU_Mes_Corriente!EM309*SALUD_Mes_Constante!$EC$1</f>
        <v>0</v>
      </c>
      <c r="EN309" s="8">
        <f>+MINVU_Mes_Corriente!EN309*SALUD_Mes_Constante!$EC$1</f>
        <v>0</v>
      </c>
      <c r="EO309" s="9">
        <f t="shared" si="162"/>
        <v>0</v>
      </c>
      <c r="EP309" s="8">
        <f>+MINVU_Mes_Corriente!EP309*SALUD_Mes_Constante!$EP$1</f>
        <v>0</v>
      </c>
      <c r="EQ309" s="8">
        <f>+MINVU_Mes_Corriente!EQ309*SALUD_Mes_Constante!$EP$1</f>
        <v>0</v>
      </c>
      <c r="ER309" s="8">
        <f>+MINVU_Mes_Corriente!ER309*SALUD_Mes_Constante!$EP$1</f>
        <v>0</v>
      </c>
      <c r="ES309" s="8">
        <f>+MINVU_Mes_Corriente!ES309*SALUD_Mes_Constante!$EP$1</f>
        <v>0</v>
      </c>
      <c r="ET309" s="8">
        <f>+MINVU_Mes_Corriente!ET309*SALUD_Mes_Constante!$EP$1</f>
        <v>0</v>
      </c>
      <c r="EU309" s="8">
        <f>+MINVU_Mes_Corriente!EU309*SALUD_Mes_Constante!$EP$1</f>
        <v>0</v>
      </c>
      <c r="EV309" s="8">
        <f>+MINVU_Mes_Corriente!EV309*SALUD_Mes_Constante!$EP$1</f>
        <v>0</v>
      </c>
      <c r="EW309" s="8">
        <f>+MINVU_Mes_Corriente!EW309*SALUD_Mes_Constante!$EP$1</f>
        <v>0</v>
      </c>
      <c r="EX309" s="8">
        <f>+MINVU_Mes_Corriente!EX309*SALUD_Mes_Constante!$EP$1</f>
        <v>0</v>
      </c>
      <c r="EY309" s="8">
        <f>+MINVU_Mes_Corriente!EY309*SALUD_Mes_Constante!$EP$1</f>
        <v>0</v>
      </c>
      <c r="EZ309" s="8">
        <f>+MINVU_Mes_Corriente!EZ309*SALUD_Mes_Constante!$EP$1</f>
        <v>0</v>
      </c>
      <c r="FA309" s="8">
        <f>+MINVU_Mes_Corriente!FA309*SALUD_Mes_Constante!$EP$1</f>
        <v>0</v>
      </c>
      <c r="FB309" s="9">
        <f t="shared" si="163"/>
        <v>0</v>
      </c>
      <c r="FC309" s="8">
        <f>+MINVU_Mes_Corriente!FC309*SALUD_Mes_Constante!$FC$1</f>
        <v>0</v>
      </c>
      <c r="FD309" s="8">
        <f>+MINVU_Mes_Corriente!FD309*SALUD_Mes_Constante!$FC$1</f>
        <v>0</v>
      </c>
      <c r="FE309" s="8">
        <f>+MINVU_Mes_Corriente!FE309*SALUD_Mes_Constante!$FC$1</f>
        <v>0</v>
      </c>
      <c r="FF309" s="8">
        <f>+MINVU_Mes_Corriente!FF309*SALUD_Mes_Constante!$FC$1</f>
        <v>0</v>
      </c>
      <c r="FG309" s="8">
        <f>+MINVU_Mes_Corriente!FG309*SALUD_Mes_Constante!$FC$1</f>
        <v>0</v>
      </c>
      <c r="FH309" s="8">
        <f>+MINVU_Mes_Corriente!FH309*SALUD_Mes_Constante!$FC$1</f>
        <v>0</v>
      </c>
      <c r="FI309" s="8">
        <f>+MINVU_Mes_Corriente!FI309*SALUD_Mes_Constante!$FC$1</f>
        <v>0</v>
      </c>
      <c r="FJ309" s="8"/>
      <c r="FK309" s="8"/>
      <c r="FL309" s="8"/>
      <c r="FM309" s="8"/>
      <c r="FN309" s="8"/>
      <c r="FO309" s="9">
        <f t="shared" si="164"/>
        <v>0</v>
      </c>
    </row>
    <row r="310" spans="2:171" ht="14.25" customHeight="1" x14ac:dyDescent="0.3">
      <c r="B310" s="7" t="s">
        <v>51</v>
      </c>
      <c r="C310" s="8">
        <f>+MINVU_Mes_Corriente!C310*SALUD_Mes_Constante!$C$1</f>
        <v>0</v>
      </c>
      <c r="D310" s="8">
        <f>+MINVU_Mes_Corriente!D310*SALUD_Mes_Constante!$C$1</f>
        <v>0</v>
      </c>
      <c r="E310" s="8">
        <f>+MINVU_Mes_Corriente!E310*SALUD_Mes_Constante!$C$1</f>
        <v>0</v>
      </c>
      <c r="F310" s="8">
        <f>+MINVU_Mes_Corriente!F310*SALUD_Mes_Constante!$C$1</f>
        <v>0</v>
      </c>
      <c r="G310" s="8">
        <f>+MINVU_Mes_Corriente!G310*SALUD_Mes_Constante!$C$1</f>
        <v>0</v>
      </c>
      <c r="H310" s="8">
        <f>+MINVU_Mes_Corriente!H310*SALUD_Mes_Constante!$C$1</f>
        <v>0</v>
      </c>
      <c r="I310" s="8">
        <f>+MINVU_Mes_Corriente!I310*SALUD_Mes_Constante!$C$1</f>
        <v>0</v>
      </c>
      <c r="J310" s="8">
        <f>+MINVU_Mes_Corriente!J310*SALUD_Mes_Constante!$C$1</f>
        <v>0</v>
      </c>
      <c r="K310" s="8">
        <f>+MINVU_Mes_Corriente!K310*SALUD_Mes_Constante!$C$1</f>
        <v>0</v>
      </c>
      <c r="L310" s="8">
        <f>+MINVU_Mes_Corriente!L310*SALUD_Mes_Constante!$C$1</f>
        <v>0</v>
      </c>
      <c r="M310" s="8">
        <f>+MINVU_Mes_Corriente!M310*SALUD_Mes_Constante!$C$1</f>
        <v>0</v>
      </c>
      <c r="N310" s="8">
        <f>+MINVU_Mes_Corriente!N310*SALUD_Mes_Constante!$C$1</f>
        <v>0</v>
      </c>
      <c r="O310" s="9">
        <f t="shared" si="152"/>
        <v>0</v>
      </c>
      <c r="P310" s="8">
        <f>+MINVU_Mes_Corriente!P310*SALUD_Mes_Constante!$P$1</f>
        <v>0</v>
      </c>
      <c r="Q310" s="8">
        <f>+MINVU_Mes_Corriente!Q310*SALUD_Mes_Constante!$P$1</f>
        <v>0</v>
      </c>
      <c r="R310" s="8">
        <f>+MINVU_Mes_Corriente!R310*SALUD_Mes_Constante!$P$1</f>
        <v>0</v>
      </c>
      <c r="S310" s="8">
        <f>+MINVU_Mes_Corriente!S310*SALUD_Mes_Constante!$P$1</f>
        <v>0</v>
      </c>
      <c r="T310" s="8">
        <f>+MINVU_Mes_Corriente!T310*SALUD_Mes_Constante!$P$1</f>
        <v>0</v>
      </c>
      <c r="U310" s="8">
        <f>+MINVU_Mes_Corriente!U310*SALUD_Mes_Constante!$P$1</f>
        <v>0</v>
      </c>
      <c r="V310" s="8">
        <f>+MINVU_Mes_Corriente!V310*SALUD_Mes_Constante!$P$1</f>
        <v>0</v>
      </c>
      <c r="W310" s="8">
        <f>+MINVU_Mes_Corriente!W310*SALUD_Mes_Constante!$P$1</f>
        <v>0</v>
      </c>
      <c r="X310" s="8">
        <f>+MINVU_Mes_Corriente!X310*SALUD_Mes_Constante!$P$1</f>
        <v>0</v>
      </c>
      <c r="Y310" s="8">
        <f>+MINVU_Mes_Corriente!Y310*SALUD_Mes_Constante!$P$1</f>
        <v>0</v>
      </c>
      <c r="Z310" s="8">
        <f>+MINVU_Mes_Corriente!Z310*SALUD_Mes_Constante!$P$1</f>
        <v>0</v>
      </c>
      <c r="AA310" s="8">
        <f>+MINVU_Mes_Corriente!AA310*SALUD_Mes_Constante!$P$1</f>
        <v>0</v>
      </c>
      <c r="AB310" s="9">
        <f t="shared" si="153"/>
        <v>0</v>
      </c>
      <c r="AC310" s="8">
        <f>+MINVU_Mes_Corriente!AC310*SALUD_Mes_Constante!$AC$1</f>
        <v>0</v>
      </c>
      <c r="AD310" s="8">
        <f>+MINVU_Mes_Corriente!AD310*SALUD_Mes_Constante!$AC$1</f>
        <v>0</v>
      </c>
      <c r="AE310" s="8">
        <f>+MINVU_Mes_Corriente!AE310*SALUD_Mes_Constante!$AC$1</f>
        <v>0</v>
      </c>
      <c r="AF310" s="8">
        <f>+MINVU_Mes_Corriente!AF310*SALUD_Mes_Constante!$AC$1</f>
        <v>0</v>
      </c>
      <c r="AG310" s="8">
        <f>+MINVU_Mes_Corriente!AG310*SALUD_Mes_Constante!$AC$1</f>
        <v>0</v>
      </c>
      <c r="AH310" s="8">
        <f>+MINVU_Mes_Corriente!AH310*SALUD_Mes_Constante!$AC$1</f>
        <v>0</v>
      </c>
      <c r="AI310" s="8">
        <f>+MINVU_Mes_Corriente!AI310*SALUD_Mes_Constante!$AC$1</f>
        <v>0</v>
      </c>
      <c r="AJ310" s="8">
        <f>+MINVU_Mes_Corriente!AJ310*SALUD_Mes_Constante!$AC$1</f>
        <v>0</v>
      </c>
      <c r="AK310" s="8">
        <f>+MINVU_Mes_Corriente!AK310*SALUD_Mes_Constante!$AC$1</f>
        <v>0</v>
      </c>
      <c r="AL310" s="8">
        <f>+MINVU_Mes_Corriente!AL310*SALUD_Mes_Constante!$AC$1</f>
        <v>0</v>
      </c>
      <c r="AM310" s="8">
        <f>+MINVU_Mes_Corriente!AM310*SALUD_Mes_Constante!$AC$1</f>
        <v>0</v>
      </c>
      <c r="AN310" s="8">
        <f>+MINVU_Mes_Corriente!AN310*SALUD_Mes_Constante!$AC$1</f>
        <v>0</v>
      </c>
      <c r="AO310" s="9">
        <f t="shared" si="154"/>
        <v>0</v>
      </c>
      <c r="AP310" s="8">
        <f>+MINVU_Mes_Corriente!AP310*SALUD_Mes_Constante!$AP$1</f>
        <v>0</v>
      </c>
      <c r="AQ310" s="8">
        <f>+MINVU_Mes_Corriente!AQ310*SALUD_Mes_Constante!$AP$1</f>
        <v>0</v>
      </c>
      <c r="AR310" s="8">
        <f>+MINVU_Mes_Corriente!AR310*SALUD_Mes_Constante!$AP$1</f>
        <v>0</v>
      </c>
      <c r="AS310" s="8">
        <f>+MINVU_Mes_Corriente!AS310*SALUD_Mes_Constante!$AP$1</f>
        <v>0</v>
      </c>
      <c r="AT310" s="8">
        <f>+MINVU_Mes_Corriente!AT310*SALUD_Mes_Constante!$AP$1</f>
        <v>0</v>
      </c>
      <c r="AU310" s="8">
        <f>+MINVU_Mes_Corriente!AU310*SALUD_Mes_Constante!$AP$1</f>
        <v>0</v>
      </c>
      <c r="AV310" s="8">
        <f>+MINVU_Mes_Corriente!AV310*SALUD_Mes_Constante!$AP$1</f>
        <v>0</v>
      </c>
      <c r="AW310" s="8">
        <f>+MINVU_Mes_Corriente!AW310*SALUD_Mes_Constante!$AP$1</f>
        <v>0</v>
      </c>
      <c r="AX310" s="8">
        <f>+MINVU_Mes_Corriente!AX310*SALUD_Mes_Constante!$AP$1</f>
        <v>0</v>
      </c>
      <c r="AY310" s="8">
        <f>+MINVU_Mes_Corriente!AY310*SALUD_Mes_Constante!$AP$1</f>
        <v>0</v>
      </c>
      <c r="AZ310" s="8">
        <f>+MINVU_Mes_Corriente!AZ310*SALUD_Mes_Constante!$AP$1</f>
        <v>0</v>
      </c>
      <c r="BA310" s="8">
        <f>+MINVU_Mes_Corriente!BA310*SALUD_Mes_Constante!$AP$1</f>
        <v>0</v>
      </c>
      <c r="BB310" s="9">
        <f t="shared" si="155"/>
        <v>0</v>
      </c>
      <c r="BC310" s="8">
        <f>+MINVU_Mes_Corriente!BC310*SALUD_Mes_Constante!$BC$1</f>
        <v>0</v>
      </c>
      <c r="BD310" s="8">
        <f>+MINVU_Mes_Corriente!BD310*SALUD_Mes_Constante!$BC$1</f>
        <v>0</v>
      </c>
      <c r="BE310" s="8">
        <f>+MINVU_Mes_Corriente!BE310*SALUD_Mes_Constante!$BC$1</f>
        <v>0</v>
      </c>
      <c r="BF310" s="8">
        <f>+MINVU_Mes_Corriente!BF310*SALUD_Mes_Constante!$BC$1</f>
        <v>0</v>
      </c>
      <c r="BG310" s="8">
        <f>+MINVU_Mes_Corriente!BG310*SALUD_Mes_Constante!$BC$1</f>
        <v>0</v>
      </c>
      <c r="BH310" s="8">
        <f>+MINVU_Mes_Corriente!BH310*SALUD_Mes_Constante!$BC$1</f>
        <v>0</v>
      </c>
      <c r="BI310" s="8">
        <f>+MINVU_Mes_Corriente!BI310*SALUD_Mes_Constante!$BC$1</f>
        <v>0</v>
      </c>
      <c r="BJ310" s="8">
        <f>+MINVU_Mes_Corriente!BJ310*SALUD_Mes_Constante!$BC$1</f>
        <v>0</v>
      </c>
      <c r="BK310" s="8">
        <f>+MINVU_Mes_Corriente!BK310*SALUD_Mes_Constante!$BC$1</f>
        <v>0</v>
      </c>
      <c r="BL310" s="8">
        <f>+MINVU_Mes_Corriente!BL310*SALUD_Mes_Constante!$BC$1</f>
        <v>0</v>
      </c>
      <c r="BM310" s="8">
        <f>+MINVU_Mes_Corriente!BM310*SALUD_Mes_Constante!$BC$1</f>
        <v>0</v>
      </c>
      <c r="BN310" s="8">
        <f>+MINVU_Mes_Corriente!BN310*SALUD_Mes_Constante!$BC$1</f>
        <v>0</v>
      </c>
      <c r="BO310" s="9">
        <f t="shared" si="156"/>
        <v>0</v>
      </c>
      <c r="BP310" s="8">
        <f>+MINVU_Mes_Corriente!BP310*SALUD_Mes_Constante!$BP$1</f>
        <v>0</v>
      </c>
      <c r="BQ310" s="8">
        <f>+MINVU_Mes_Corriente!BQ310*SALUD_Mes_Constante!$BP$1</f>
        <v>0</v>
      </c>
      <c r="BR310" s="8">
        <f>+MINVU_Mes_Corriente!BR310*SALUD_Mes_Constante!$BP$1</f>
        <v>0</v>
      </c>
      <c r="BS310" s="8">
        <f>+MINVU_Mes_Corriente!BS310*SALUD_Mes_Constante!$BP$1</f>
        <v>0</v>
      </c>
      <c r="BT310" s="8">
        <f>+MINVU_Mes_Corriente!BT310*SALUD_Mes_Constante!$BP$1</f>
        <v>0</v>
      </c>
      <c r="BU310" s="8">
        <f>+MINVU_Mes_Corriente!BU310*SALUD_Mes_Constante!$BP$1</f>
        <v>0</v>
      </c>
      <c r="BV310" s="8">
        <f>+MINVU_Mes_Corriente!BV310*SALUD_Mes_Constante!$BP$1</f>
        <v>0</v>
      </c>
      <c r="BW310" s="8">
        <f>+MINVU_Mes_Corriente!BW310*SALUD_Mes_Constante!$BP$1</f>
        <v>0</v>
      </c>
      <c r="BX310" s="8">
        <f>+MINVU_Mes_Corriente!BX310*SALUD_Mes_Constante!$BP$1</f>
        <v>0</v>
      </c>
      <c r="BY310" s="8">
        <f>+MINVU_Mes_Corriente!BY310*SALUD_Mes_Constante!$BP$1</f>
        <v>0</v>
      </c>
      <c r="BZ310" s="8">
        <f>+MINVU_Mes_Corriente!BZ310*SALUD_Mes_Constante!$BP$1</f>
        <v>0</v>
      </c>
      <c r="CA310" s="8">
        <f>+MINVU_Mes_Corriente!CA310*SALUD_Mes_Constante!$BP$1</f>
        <v>0</v>
      </c>
      <c r="CB310" s="9">
        <f t="shared" si="157"/>
        <v>0</v>
      </c>
      <c r="CC310" s="8">
        <f>+MINVU_Mes_Corriente!CC310*SALUD_Mes_Constante!$CC$1</f>
        <v>0</v>
      </c>
      <c r="CD310" s="8">
        <f>+MINVU_Mes_Corriente!CD310*SALUD_Mes_Constante!$CC$1</f>
        <v>0</v>
      </c>
      <c r="CE310" s="8">
        <f>+MINVU_Mes_Corriente!CE310*SALUD_Mes_Constante!$CC$1</f>
        <v>0</v>
      </c>
      <c r="CF310" s="8">
        <f>+MINVU_Mes_Corriente!CF310*SALUD_Mes_Constante!$CC$1</f>
        <v>0</v>
      </c>
      <c r="CG310" s="8">
        <f>+MINVU_Mes_Corriente!CG310*SALUD_Mes_Constante!$CC$1</f>
        <v>0</v>
      </c>
      <c r="CH310" s="8">
        <f>+MINVU_Mes_Corriente!CH310*SALUD_Mes_Constante!$CC$1</f>
        <v>0</v>
      </c>
      <c r="CI310" s="8">
        <f>+MINVU_Mes_Corriente!CI310*SALUD_Mes_Constante!$CC$1</f>
        <v>0</v>
      </c>
      <c r="CJ310" s="8">
        <f>+MINVU_Mes_Corriente!CJ310*SALUD_Mes_Constante!$CC$1</f>
        <v>0</v>
      </c>
      <c r="CK310" s="8">
        <f>+MINVU_Mes_Corriente!CK310*SALUD_Mes_Constante!$CC$1</f>
        <v>0</v>
      </c>
      <c r="CL310" s="8">
        <f>+MINVU_Mes_Corriente!CL310*SALUD_Mes_Constante!$CC$1</f>
        <v>0</v>
      </c>
      <c r="CM310" s="8">
        <f>+MINVU_Mes_Corriente!CM310*SALUD_Mes_Constante!$CC$1</f>
        <v>0</v>
      </c>
      <c r="CN310" s="8">
        <f>+MINVU_Mes_Corriente!CN310*SALUD_Mes_Constante!$CC$1</f>
        <v>0</v>
      </c>
      <c r="CO310" s="9">
        <f t="shared" si="158"/>
        <v>0</v>
      </c>
      <c r="CP310" s="8">
        <f>+MINVU_Mes_Corriente!CP310*SALUD_Mes_Constante!$CP$1</f>
        <v>0</v>
      </c>
      <c r="CQ310" s="8">
        <f>+MINVU_Mes_Corriente!CQ310*SALUD_Mes_Constante!$CP$1</f>
        <v>0</v>
      </c>
      <c r="CR310" s="8">
        <f>+MINVU_Mes_Corriente!CR310*SALUD_Mes_Constante!$CP$1</f>
        <v>0</v>
      </c>
      <c r="CS310" s="8">
        <f>+MINVU_Mes_Corriente!CS310*SALUD_Mes_Constante!$CP$1</f>
        <v>0</v>
      </c>
      <c r="CT310" s="8">
        <f>+MINVU_Mes_Corriente!CT310*SALUD_Mes_Constante!$CP$1</f>
        <v>0</v>
      </c>
      <c r="CU310" s="8">
        <f>+MINVU_Mes_Corriente!CU310*SALUD_Mes_Constante!$CP$1</f>
        <v>0</v>
      </c>
      <c r="CV310" s="8">
        <f>+MINVU_Mes_Corriente!CV310*SALUD_Mes_Constante!$CP$1</f>
        <v>0</v>
      </c>
      <c r="CW310" s="8">
        <f>+MINVU_Mes_Corriente!CW310*SALUD_Mes_Constante!$CP$1</f>
        <v>0</v>
      </c>
      <c r="CX310" s="8">
        <f>+MINVU_Mes_Corriente!CX310*SALUD_Mes_Constante!$CP$1</f>
        <v>0</v>
      </c>
      <c r="CY310" s="8">
        <f>+MINVU_Mes_Corriente!CY310*SALUD_Mes_Constante!$CP$1</f>
        <v>0</v>
      </c>
      <c r="CZ310" s="8">
        <f>+MINVU_Mes_Corriente!CZ310*SALUD_Mes_Constante!$CP$1</f>
        <v>0</v>
      </c>
      <c r="DA310" s="8">
        <f>+MINVU_Mes_Corriente!DA310*SALUD_Mes_Constante!$CP$1</f>
        <v>0</v>
      </c>
      <c r="DB310" s="9">
        <f t="shared" si="159"/>
        <v>0</v>
      </c>
      <c r="DC310" s="8">
        <f>+MINVU_Mes_Corriente!DC310*SALUD_Mes_Constante!$DC$1</f>
        <v>0</v>
      </c>
      <c r="DD310" s="8">
        <f>+MINVU_Mes_Corriente!DD310*SALUD_Mes_Constante!$DC$1</f>
        <v>0</v>
      </c>
      <c r="DE310" s="8">
        <f>+MINVU_Mes_Corriente!DE310*SALUD_Mes_Constante!$DC$1</f>
        <v>0</v>
      </c>
      <c r="DF310" s="8">
        <f>+MINVU_Mes_Corriente!DF310*SALUD_Mes_Constante!$DC$1</f>
        <v>0</v>
      </c>
      <c r="DG310" s="8">
        <f>+MINVU_Mes_Corriente!DG310*SALUD_Mes_Constante!$DC$1</f>
        <v>0</v>
      </c>
      <c r="DH310" s="8">
        <f>+MINVU_Mes_Corriente!DH310*SALUD_Mes_Constante!$DC$1</f>
        <v>0</v>
      </c>
      <c r="DI310" s="8">
        <f>+MINVU_Mes_Corriente!DI310*SALUD_Mes_Constante!$DC$1</f>
        <v>0</v>
      </c>
      <c r="DJ310" s="8">
        <f>+MINVU_Mes_Corriente!DJ310*SALUD_Mes_Constante!$DC$1</f>
        <v>0</v>
      </c>
      <c r="DK310" s="8">
        <f>+MINVU_Mes_Corriente!DK310*SALUD_Mes_Constante!$DC$1</f>
        <v>0</v>
      </c>
      <c r="DL310" s="8">
        <f>+MINVU_Mes_Corriente!DL310*SALUD_Mes_Constante!$DC$1</f>
        <v>0</v>
      </c>
      <c r="DM310" s="8">
        <f>+MINVU_Mes_Corriente!DM310*SALUD_Mes_Constante!$DC$1</f>
        <v>0</v>
      </c>
      <c r="DN310" s="8">
        <f>+MINVU_Mes_Corriente!DN310*SALUD_Mes_Constante!$DC$1</f>
        <v>0</v>
      </c>
      <c r="DO310" s="9">
        <f t="shared" si="160"/>
        <v>0</v>
      </c>
      <c r="DP310" s="8">
        <f>+MINVU_Mes_Corriente!DP310*SALUD_Mes_Constante!$DP$1</f>
        <v>0</v>
      </c>
      <c r="DQ310" s="8">
        <f>+MINVU_Mes_Corriente!DQ310*SALUD_Mes_Constante!$DP$1</f>
        <v>0</v>
      </c>
      <c r="DR310" s="8">
        <f>+MINVU_Mes_Corriente!DR310*SALUD_Mes_Constante!$DP$1</f>
        <v>0</v>
      </c>
      <c r="DS310" s="8">
        <f>+MINVU_Mes_Corriente!DS310*SALUD_Mes_Constante!$DP$1</f>
        <v>0</v>
      </c>
      <c r="DT310" s="8">
        <f>+MINVU_Mes_Corriente!DT310*SALUD_Mes_Constante!$DP$1</f>
        <v>0</v>
      </c>
      <c r="DU310" s="8">
        <f>+MINVU_Mes_Corriente!DU310*SALUD_Mes_Constante!$DP$1</f>
        <v>0</v>
      </c>
      <c r="DV310" s="8">
        <f>+MINVU_Mes_Corriente!DV310*SALUD_Mes_Constante!$DP$1</f>
        <v>0</v>
      </c>
      <c r="DW310" s="8">
        <f>+MINVU_Mes_Corriente!DW310*SALUD_Mes_Constante!$DP$1</f>
        <v>0</v>
      </c>
      <c r="DX310" s="8">
        <f>+MINVU_Mes_Corriente!DX310*SALUD_Mes_Constante!$DP$1</f>
        <v>0</v>
      </c>
      <c r="DY310" s="8">
        <f>+MINVU_Mes_Corriente!DY310*SALUD_Mes_Constante!$DP$1</f>
        <v>0</v>
      </c>
      <c r="DZ310" s="8">
        <f>+MINVU_Mes_Corriente!DZ310*SALUD_Mes_Constante!$DP$1</f>
        <v>0</v>
      </c>
      <c r="EA310" s="8">
        <f>+MINVU_Mes_Corriente!EA310*SALUD_Mes_Constante!$DP$1</f>
        <v>0</v>
      </c>
      <c r="EB310" s="9">
        <f t="shared" si="161"/>
        <v>0</v>
      </c>
      <c r="EC310" s="8">
        <f>+MINVU_Mes_Corriente!EC310*SALUD_Mes_Constante!$EC$1</f>
        <v>0</v>
      </c>
      <c r="ED310" s="8">
        <f>+MINVU_Mes_Corriente!ED310*SALUD_Mes_Constante!$EC$1</f>
        <v>0</v>
      </c>
      <c r="EE310" s="8">
        <f>+MINVU_Mes_Corriente!EE310*SALUD_Mes_Constante!$EC$1</f>
        <v>0</v>
      </c>
      <c r="EF310" s="8">
        <f>+MINVU_Mes_Corriente!EF310*SALUD_Mes_Constante!$EC$1</f>
        <v>0</v>
      </c>
      <c r="EG310" s="8">
        <f>+MINVU_Mes_Corriente!EG310*SALUD_Mes_Constante!$EC$1</f>
        <v>0</v>
      </c>
      <c r="EH310" s="8">
        <f>+MINVU_Mes_Corriente!EH310*SALUD_Mes_Constante!$EC$1</f>
        <v>0</v>
      </c>
      <c r="EI310" s="8">
        <f>+MINVU_Mes_Corriente!EI310*SALUD_Mes_Constante!$EC$1</f>
        <v>0</v>
      </c>
      <c r="EJ310" s="8">
        <f>+MINVU_Mes_Corriente!EJ310*SALUD_Mes_Constante!$EC$1</f>
        <v>0</v>
      </c>
      <c r="EK310" s="8">
        <f>+MINVU_Mes_Corriente!EK310*SALUD_Mes_Constante!$EC$1</f>
        <v>0</v>
      </c>
      <c r="EL310" s="8">
        <f>+MINVU_Mes_Corriente!EL310*SALUD_Mes_Constante!$EC$1</f>
        <v>0</v>
      </c>
      <c r="EM310" s="8">
        <f>+MINVU_Mes_Corriente!EM310*SALUD_Mes_Constante!$EC$1</f>
        <v>0</v>
      </c>
      <c r="EN310" s="8">
        <f>+MINVU_Mes_Corriente!EN310*SALUD_Mes_Constante!$EC$1</f>
        <v>0</v>
      </c>
      <c r="EO310" s="9">
        <f t="shared" si="162"/>
        <v>0</v>
      </c>
      <c r="EP310" s="8">
        <f>+MINVU_Mes_Corriente!EP310*SALUD_Mes_Constante!$EP$1</f>
        <v>0</v>
      </c>
      <c r="EQ310" s="8">
        <f>+MINVU_Mes_Corriente!EQ310*SALUD_Mes_Constante!$EP$1</f>
        <v>0</v>
      </c>
      <c r="ER310" s="8">
        <f>+MINVU_Mes_Corriente!ER310*SALUD_Mes_Constante!$EP$1</f>
        <v>0</v>
      </c>
      <c r="ES310" s="8">
        <f>+MINVU_Mes_Corriente!ES310*SALUD_Mes_Constante!$EP$1</f>
        <v>0</v>
      </c>
      <c r="ET310" s="8">
        <f>+MINVU_Mes_Corriente!ET310*SALUD_Mes_Constante!$EP$1</f>
        <v>0</v>
      </c>
      <c r="EU310" s="8">
        <f>+MINVU_Mes_Corriente!EU310*SALUD_Mes_Constante!$EP$1</f>
        <v>0</v>
      </c>
      <c r="EV310" s="8">
        <f>+MINVU_Mes_Corriente!EV310*SALUD_Mes_Constante!$EP$1</f>
        <v>0</v>
      </c>
      <c r="EW310" s="8">
        <f>+MINVU_Mes_Corriente!EW310*SALUD_Mes_Constante!$EP$1</f>
        <v>0</v>
      </c>
      <c r="EX310" s="8">
        <f>+MINVU_Mes_Corriente!EX310*SALUD_Mes_Constante!$EP$1</f>
        <v>0</v>
      </c>
      <c r="EY310" s="8">
        <f>+MINVU_Mes_Corriente!EY310*SALUD_Mes_Constante!$EP$1</f>
        <v>0</v>
      </c>
      <c r="EZ310" s="8">
        <f>+MINVU_Mes_Corriente!EZ310*SALUD_Mes_Constante!$EP$1</f>
        <v>0</v>
      </c>
      <c r="FA310" s="8">
        <f>+MINVU_Mes_Corriente!FA310*SALUD_Mes_Constante!$EP$1</f>
        <v>0</v>
      </c>
      <c r="FB310" s="9">
        <f t="shared" si="163"/>
        <v>0</v>
      </c>
      <c r="FC310" s="8">
        <f>+MINVU_Mes_Corriente!FC310*SALUD_Mes_Constante!$FC$1</f>
        <v>0</v>
      </c>
      <c r="FD310" s="8">
        <f>+MINVU_Mes_Corriente!FD310*SALUD_Mes_Constante!$FC$1</f>
        <v>0</v>
      </c>
      <c r="FE310" s="8">
        <f>+MINVU_Mes_Corriente!FE310*SALUD_Mes_Constante!$FC$1</f>
        <v>0</v>
      </c>
      <c r="FF310" s="8">
        <f>+MINVU_Mes_Corriente!FF310*SALUD_Mes_Constante!$FC$1</f>
        <v>0</v>
      </c>
      <c r="FG310" s="8">
        <f>+MINVU_Mes_Corriente!FG310*SALUD_Mes_Constante!$FC$1</f>
        <v>0</v>
      </c>
      <c r="FH310" s="8">
        <f>+MINVU_Mes_Corriente!FH310*SALUD_Mes_Constante!$FC$1</f>
        <v>0</v>
      </c>
      <c r="FI310" s="8">
        <f>+MINVU_Mes_Corriente!FI310*SALUD_Mes_Constante!$FC$1</f>
        <v>0</v>
      </c>
      <c r="FJ310" s="8"/>
      <c r="FK310" s="8"/>
      <c r="FL310" s="8"/>
      <c r="FM310" s="8"/>
      <c r="FN310" s="8"/>
      <c r="FO310" s="9">
        <f t="shared" si="164"/>
        <v>0</v>
      </c>
    </row>
    <row r="311" spans="2:171" ht="14.25" customHeight="1" x14ac:dyDescent="0.3">
      <c r="B311" s="7" t="s">
        <v>52</v>
      </c>
      <c r="C311" s="8">
        <f>+MINVU_Mes_Corriente!C311*SALUD_Mes_Constante!$C$1</f>
        <v>0</v>
      </c>
      <c r="D311" s="8">
        <f>+MINVU_Mes_Corriente!D311*SALUD_Mes_Constante!$C$1</f>
        <v>0</v>
      </c>
      <c r="E311" s="8">
        <f>+MINVU_Mes_Corriente!E311*SALUD_Mes_Constante!$C$1</f>
        <v>0</v>
      </c>
      <c r="F311" s="8">
        <f>+MINVU_Mes_Corriente!F311*SALUD_Mes_Constante!$C$1</f>
        <v>0</v>
      </c>
      <c r="G311" s="8">
        <f>+MINVU_Mes_Corriente!G311*SALUD_Mes_Constante!$C$1</f>
        <v>0</v>
      </c>
      <c r="H311" s="8">
        <f>+MINVU_Mes_Corriente!H311*SALUD_Mes_Constante!$C$1</f>
        <v>0</v>
      </c>
      <c r="I311" s="8">
        <f>+MINVU_Mes_Corriente!I311*SALUD_Mes_Constante!$C$1</f>
        <v>0</v>
      </c>
      <c r="J311" s="8">
        <f>+MINVU_Mes_Corriente!J311*SALUD_Mes_Constante!$C$1</f>
        <v>0</v>
      </c>
      <c r="K311" s="8">
        <f>+MINVU_Mes_Corriente!K311*SALUD_Mes_Constante!$C$1</f>
        <v>0</v>
      </c>
      <c r="L311" s="8">
        <f>+MINVU_Mes_Corriente!L311*SALUD_Mes_Constante!$C$1</f>
        <v>0</v>
      </c>
      <c r="M311" s="8">
        <f>+MINVU_Mes_Corriente!M311*SALUD_Mes_Constante!$C$1</f>
        <v>0</v>
      </c>
      <c r="N311" s="8">
        <f>+MINVU_Mes_Corriente!N311*SALUD_Mes_Constante!$C$1</f>
        <v>0</v>
      </c>
      <c r="O311" s="9">
        <f t="shared" si="152"/>
        <v>0</v>
      </c>
      <c r="P311" s="8">
        <f>+MINVU_Mes_Corriente!P311*SALUD_Mes_Constante!$P$1</f>
        <v>0</v>
      </c>
      <c r="Q311" s="8">
        <f>+MINVU_Mes_Corriente!Q311*SALUD_Mes_Constante!$P$1</f>
        <v>0</v>
      </c>
      <c r="R311" s="8">
        <f>+MINVU_Mes_Corriente!R311*SALUD_Mes_Constante!$P$1</f>
        <v>0</v>
      </c>
      <c r="S311" s="8">
        <f>+MINVU_Mes_Corriente!S311*SALUD_Mes_Constante!$P$1</f>
        <v>0</v>
      </c>
      <c r="T311" s="8">
        <f>+MINVU_Mes_Corriente!T311*SALUD_Mes_Constante!$P$1</f>
        <v>0</v>
      </c>
      <c r="U311" s="8">
        <f>+MINVU_Mes_Corriente!U311*SALUD_Mes_Constante!$P$1</f>
        <v>0</v>
      </c>
      <c r="V311" s="8">
        <f>+MINVU_Mes_Corriente!V311*SALUD_Mes_Constante!$P$1</f>
        <v>0</v>
      </c>
      <c r="W311" s="8">
        <f>+MINVU_Mes_Corriente!W311*SALUD_Mes_Constante!$P$1</f>
        <v>0</v>
      </c>
      <c r="X311" s="8">
        <f>+MINVU_Mes_Corriente!X311*SALUD_Mes_Constante!$P$1</f>
        <v>0</v>
      </c>
      <c r="Y311" s="8">
        <f>+MINVU_Mes_Corriente!Y311*SALUD_Mes_Constante!$P$1</f>
        <v>0</v>
      </c>
      <c r="Z311" s="8">
        <f>+MINVU_Mes_Corriente!Z311*SALUD_Mes_Constante!$P$1</f>
        <v>0</v>
      </c>
      <c r="AA311" s="8">
        <f>+MINVU_Mes_Corriente!AA311*SALUD_Mes_Constante!$P$1</f>
        <v>0</v>
      </c>
      <c r="AB311" s="9">
        <f t="shared" si="153"/>
        <v>0</v>
      </c>
      <c r="AC311" s="8">
        <f>+MINVU_Mes_Corriente!AC311*SALUD_Mes_Constante!$AC$1</f>
        <v>0</v>
      </c>
      <c r="AD311" s="8">
        <f>+MINVU_Mes_Corriente!AD311*SALUD_Mes_Constante!$AC$1</f>
        <v>0</v>
      </c>
      <c r="AE311" s="8">
        <f>+MINVU_Mes_Corriente!AE311*SALUD_Mes_Constante!$AC$1</f>
        <v>0</v>
      </c>
      <c r="AF311" s="8">
        <f>+MINVU_Mes_Corriente!AF311*SALUD_Mes_Constante!$AC$1</f>
        <v>0</v>
      </c>
      <c r="AG311" s="8">
        <f>+MINVU_Mes_Corriente!AG311*SALUD_Mes_Constante!$AC$1</f>
        <v>0</v>
      </c>
      <c r="AH311" s="8">
        <f>+MINVU_Mes_Corriente!AH311*SALUD_Mes_Constante!$AC$1</f>
        <v>0</v>
      </c>
      <c r="AI311" s="8">
        <f>+MINVU_Mes_Corriente!AI311*SALUD_Mes_Constante!$AC$1</f>
        <v>0</v>
      </c>
      <c r="AJ311" s="8">
        <f>+MINVU_Mes_Corriente!AJ311*SALUD_Mes_Constante!$AC$1</f>
        <v>0</v>
      </c>
      <c r="AK311" s="8">
        <f>+MINVU_Mes_Corriente!AK311*SALUD_Mes_Constante!$AC$1</f>
        <v>0</v>
      </c>
      <c r="AL311" s="8">
        <f>+MINVU_Mes_Corriente!AL311*SALUD_Mes_Constante!$AC$1</f>
        <v>0</v>
      </c>
      <c r="AM311" s="8">
        <f>+MINVU_Mes_Corriente!AM311*SALUD_Mes_Constante!$AC$1</f>
        <v>0</v>
      </c>
      <c r="AN311" s="8">
        <f>+MINVU_Mes_Corriente!AN311*SALUD_Mes_Constante!$AC$1</f>
        <v>0</v>
      </c>
      <c r="AO311" s="9">
        <f t="shared" si="154"/>
        <v>0</v>
      </c>
      <c r="AP311" s="8">
        <f>+MINVU_Mes_Corriente!AP311*SALUD_Mes_Constante!$AP$1</f>
        <v>0</v>
      </c>
      <c r="AQ311" s="8">
        <f>+MINVU_Mes_Corriente!AQ311*SALUD_Mes_Constante!$AP$1</f>
        <v>0</v>
      </c>
      <c r="AR311" s="8">
        <f>+MINVU_Mes_Corriente!AR311*SALUD_Mes_Constante!$AP$1</f>
        <v>0</v>
      </c>
      <c r="AS311" s="8">
        <f>+MINVU_Mes_Corriente!AS311*SALUD_Mes_Constante!$AP$1</f>
        <v>0</v>
      </c>
      <c r="AT311" s="8">
        <f>+MINVU_Mes_Corriente!AT311*SALUD_Mes_Constante!$AP$1</f>
        <v>0</v>
      </c>
      <c r="AU311" s="8">
        <f>+MINVU_Mes_Corriente!AU311*SALUD_Mes_Constante!$AP$1</f>
        <v>0</v>
      </c>
      <c r="AV311" s="8">
        <f>+MINVU_Mes_Corriente!AV311*SALUD_Mes_Constante!$AP$1</f>
        <v>0</v>
      </c>
      <c r="AW311" s="8">
        <f>+MINVU_Mes_Corriente!AW311*SALUD_Mes_Constante!$AP$1</f>
        <v>0</v>
      </c>
      <c r="AX311" s="8">
        <f>+MINVU_Mes_Corriente!AX311*SALUD_Mes_Constante!$AP$1</f>
        <v>0</v>
      </c>
      <c r="AY311" s="8">
        <f>+MINVU_Mes_Corriente!AY311*SALUD_Mes_Constante!$AP$1</f>
        <v>0</v>
      </c>
      <c r="AZ311" s="8">
        <f>+MINVU_Mes_Corriente!AZ311*SALUD_Mes_Constante!$AP$1</f>
        <v>0</v>
      </c>
      <c r="BA311" s="8">
        <f>+MINVU_Mes_Corriente!BA311*SALUD_Mes_Constante!$AP$1</f>
        <v>0</v>
      </c>
      <c r="BB311" s="9">
        <f t="shared" si="155"/>
        <v>0</v>
      </c>
      <c r="BC311" s="8">
        <f>+MINVU_Mes_Corriente!BC311*SALUD_Mes_Constante!$BC$1</f>
        <v>0</v>
      </c>
      <c r="BD311" s="8">
        <f>+MINVU_Mes_Corriente!BD311*SALUD_Mes_Constante!$BC$1</f>
        <v>0</v>
      </c>
      <c r="BE311" s="8">
        <f>+MINVU_Mes_Corriente!BE311*SALUD_Mes_Constante!$BC$1</f>
        <v>0</v>
      </c>
      <c r="BF311" s="8">
        <f>+MINVU_Mes_Corriente!BF311*SALUD_Mes_Constante!$BC$1</f>
        <v>0</v>
      </c>
      <c r="BG311" s="8">
        <f>+MINVU_Mes_Corriente!BG311*SALUD_Mes_Constante!$BC$1</f>
        <v>0</v>
      </c>
      <c r="BH311" s="8">
        <f>+MINVU_Mes_Corriente!BH311*SALUD_Mes_Constante!$BC$1</f>
        <v>0</v>
      </c>
      <c r="BI311" s="8">
        <f>+MINVU_Mes_Corriente!BI311*SALUD_Mes_Constante!$BC$1</f>
        <v>0</v>
      </c>
      <c r="BJ311" s="8">
        <f>+MINVU_Mes_Corriente!BJ311*SALUD_Mes_Constante!$BC$1</f>
        <v>0</v>
      </c>
      <c r="BK311" s="8">
        <f>+MINVU_Mes_Corriente!BK311*SALUD_Mes_Constante!$BC$1</f>
        <v>0</v>
      </c>
      <c r="BL311" s="8">
        <f>+MINVU_Mes_Corriente!BL311*SALUD_Mes_Constante!$BC$1</f>
        <v>0</v>
      </c>
      <c r="BM311" s="8">
        <f>+MINVU_Mes_Corriente!BM311*SALUD_Mes_Constante!$BC$1</f>
        <v>0</v>
      </c>
      <c r="BN311" s="8">
        <f>+MINVU_Mes_Corriente!BN311*SALUD_Mes_Constante!$BC$1</f>
        <v>0</v>
      </c>
      <c r="BO311" s="9">
        <f t="shared" si="156"/>
        <v>0</v>
      </c>
      <c r="BP311" s="8">
        <f>+MINVU_Mes_Corriente!BP311*SALUD_Mes_Constante!$BP$1</f>
        <v>0</v>
      </c>
      <c r="BQ311" s="8">
        <f>+MINVU_Mes_Corriente!BQ311*SALUD_Mes_Constante!$BP$1</f>
        <v>0</v>
      </c>
      <c r="BR311" s="8">
        <f>+MINVU_Mes_Corriente!BR311*SALUD_Mes_Constante!$BP$1</f>
        <v>0</v>
      </c>
      <c r="BS311" s="8">
        <f>+MINVU_Mes_Corriente!BS311*SALUD_Mes_Constante!$BP$1</f>
        <v>0</v>
      </c>
      <c r="BT311" s="8">
        <f>+MINVU_Mes_Corriente!BT311*SALUD_Mes_Constante!$BP$1</f>
        <v>0</v>
      </c>
      <c r="BU311" s="8">
        <f>+MINVU_Mes_Corriente!BU311*SALUD_Mes_Constante!$BP$1</f>
        <v>0</v>
      </c>
      <c r="BV311" s="8">
        <f>+MINVU_Mes_Corriente!BV311*SALUD_Mes_Constante!$BP$1</f>
        <v>0</v>
      </c>
      <c r="BW311" s="8">
        <f>+MINVU_Mes_Corriente!BW311*SALUD_Mes_Constante!$BP$1</f>
        <v>0</v>
      </c>
      <c r="BX311" s="8">
        <f>+MINVU_Mes_Corriente!BX311*SALUD_Mes_Constante!$BP$1</f>
        <v>0</v>
      </c>
      <c r="BY311" s="8">
        <f>+MINVU_Mes_Corriente!BY311*SALUD_Mes_Constante!$BP$1</f>
        <v>0</v>
      </c>
      <c r="BZ311" s="8">
        <f>+MINVU_Mes_Corriente!BZ311*SALUD_Mes_Constante!$BP$1</f>
        <v>0</v>
      </c>
      <c r="CA311" s="8">
        <f>+MINVU_Mes_Corriente!CA311*SALUD_Mes_Constante!$BP$1</f>
        <v>0</v>
      </c>
      <c r="CB311" s="9">
        <f t="shared" si="157"/>
        <v>0</v>
      </c>
      <c r="CC311" s="8">
        <f>+MINVU_Mes_Corriente!CC311*SALUD_Mes_Constante!$CC$1</f>
        <v>0</v>
      </c>
      <c r="CD311" s="8">
        <f>+MINVU_Mes_Corriente!CD311*SALUD_Mes_Constante!$CC$1</f>
        <v>0</v>
      </c>
      <c r="CE311" s="8">
        <f>+MINVU_Mes_Corriente!CE311*SALUD_Mes_Constante!$CC$1</f>
        <v>0</v>
      </c>
      <c r="CF311" s="8">
        <f>+MINVU_Mes_Corriente!CF311*SALUD_Mes_Constante!$CC$1</f>
        <v>0</v>
      </c>
      <c r="CG311" s="8">
        <f>+MINVU_Mes_Corriente!CG311*SALUD_Mes_Constante!$CC$1</f>
        <v>0</v>
      </c>
      <c r="CH311" s="8">
        <f>+MINVU_Mes_Corriente!CH311*SALUD_Mes_Constante!$CC$1</f>
        <v>0</v>
      </c>
      <c r="CI311" s="8">
        <f>+MINVU_Mes_Corriente!CI311*SALUD_Mes_Constante!$CC$1</f>
        <v>0</v>
      </c>
      <c r="CJ311" s="8">
        <f>+MINVU_Mes_Corriente!CJ311*SALUD_Mes_Constante!$CC$1</f>
        <v>0</v>
      </c>
      <c r="CK311" s="8">
        <f>+MINVU_Mes_Corriente!CK311*SALUD_Mes_Constante!$CC$1</f>
        <v>0</v>
      </c>
      <c r="CL311" s="8">
        <f>+MINVU_Mes_Corriente!CL311*SALUD_Mes_Constante!$CC$1</f>
        <v>0</v>
      </c>
      <c r="CM311" s="8">
        <f>+MINVU_Mes_Corriente!CM311*SALUD_Mes_Constante!$CC$1</f>
        <v>0</v>
      </c>
      <c r="CN311" s="8">
        <f>+MINVU_Mes_Corriente!CN311*SALUD_Mes_Constante!$CC$1</f>
        <v>0</v>
      </c>
      <c r="CO311" s="9">
        <f t="shared" si="158"/>
        <v>0</v>
      </c>
      <c r="CP311" s="8">
        <f>+MINVU_Mes_Corriente!CP311*SALUD_Mes_Constante!$CP$1</f>
        <v>0</v>
      </c>
      <c r="CQ311" s="8">
        <f>+MINVU_Mes_Corriente!CQ311*SALUD_Mes_Constante!$CP$1</f>
        <v>0</v>
      </c>
      <c r="CR311" s="8">
        <f>+MINVU_Mes_Corriente!CR311*SALUD_Mes_Constante!$CP$1</f>
        <v>0</v>
      </c>
      <c r="CS311" s="8">
        <f>+MINVU_Mes_Corriente!CS311*SALUD_Mes_Constante!$CP$1</f>
        <v>0</v>
      </c>
      <c r="CT311" s="8">
        <f>+MINVU_Mes_Corriente!CT311*SALUD_Mes_Constante!$CP$1</f>
        <v>0</v>
      </c>
      <c r="CU311" s="8">
        <f>+MINVU_Mes_Corriente!CU311*SALUD_Mes_Constante!$CP$1</f>
        <v>0</v>
      </c>
      <c r="CV311" s="8">
        <f>+MINVU_Mes_Corriente!CV311*SALUD_Mes_Constante!$CP$1</f>
        <v>0</v>
      </c>
      <c r="CW311" s="8">
        <f>+MINVU_Mes_Corriente!CW311*SALUD_Mes_Constante!$CP$1</f>
        <v>0</v>
      </c>
      <c r="CX311" s="8">
        <f>+MINVU_Mes_Corriente!CX311*SALUD_Mes_Constante!$CP$1</f>
        <v>0</v>
      </c>
      <c r="CY311" s="8">
        <f>+MINVU_Mes_Corriente!CY311*SALUD_Mes_Constante!$CP$1</f>
        <v>0</v>
      </c>
      <c r="CZ311" s="8">
        <f>+MINVU_Mes_Corriente!CZ311*SALUD_Mes_Constante!$CP$1</f>
        <v>0</v>
      </c>
      <c r="DA311" s="8">
        <f>+MINVU_Mes_Corriente!DA311*SALUD_Mes_Constante!$CP$1</f>
        <v>0</v>
      </c>
      <c r="DB311" s="9">
        <f t="shared" si="159"/>
        <v>0</v>
      </c>
      <c r="DC311" s="8">
        <f>+MINVU_Mes_Corriente!DC311*SALUD_Mes_Constante!$DC$1</f>
        <v>0</v>
      </c>
      <c r="DD311" s="8">
        <f>+MINVU_Mes_Corriente!DD311*SALUD_Mes_Constante!$DC$1</f>
        <v>0</v>
      </c>
      <c r="DE311" s="8">
        <f>+MINVU_Mes_Corriente!DE311*SALUD_Mes_Constante!$DC$1</f>
        <v>0</v>
      </c>
      <c r="DF311" s="8">
        <f>+MINVU_Mes_Corriente!DF311*SALUD_Mes_Constante!$DC$1</f>
        <v>0</v>
      </c>
      <c r="DG311" s="8">
        <f>+MINVU_Mes_Corriente!DG311*SALUD_Mes_Constante!$DC$1</f>
        <v>0</v>
      </c>
      <c r="DH311" s="8">
        <f>+MINVU_Mes_Corriente!DH311*SALUD_Mes_Constante!$DC$1</f>
        <v>0</v>
      </c>
      <c r="DI311" s="8">
        <f>+MINVU_Mes_Corriente!DI311*SALUD_Mes_Constante!$DC$1</f>
        <v>0</v>
      </c>
      <c r="DJ311" s="8">
        <f>+MINVU_Mes_Corriente!DJ311*SALUD_Mes_Constante!$DC$1</f>
        <v>0</v>
      </c>
      <c r="DK311" s="8">
        <f>+MINVU_Mes_Corriente!DK311*SALUD_Mes_Constante!$DC$1</f>
        <v>0</v>
      </c>
      <c r="DL311" s="8">
        <f>+MINVU_Mes_Corriente!DL311*SALUD_Mes_Constante!$DC$1</f>
        <v>0</v>
      </c>
      <c r="DM311" s="8">
        <f>+MINVU_Mes_Corriente!DM311*SALUD_Mes_Constante!$DC$1</f>
        <v>0</v>
      </c>
      <c r="DN311" s="8">
        <f>+MINVU_Mes_Corriente!DN311*SALUD_Mes_Constante!$DC$1</f>
        <v>0</v>
      </c>
      <c r="DO311" s="9">
        <f t="shared" si="160"/>
        <v>0</v>
      </c>
      <c r="DP311" s="8">
        <f>+MINVU_Mes_Corriente!DP311*SALUD_Mes_Constante!$DP$1</f>
        <v>0</v>
      </c>
      <c r="DQ311" s="8">
        <f>+MINVU_Mes_Corriente!DQ311*SALUD_Mes_Constante!$DP$1</f>
        <v>0</v>
      </c>
      <c r="DR311" s="8">
        <f>+MINVU_Mes_Corriente!DR311*SALUD_Mes_Constante!$DP$1</f>
        <v>0</v>
      </c>
      <c r="DS311" s="8">
        <f>+MINVU_Mes_Corriente!DS311*SALUD_Mes_Constante!$DP$1</f>
        <v>0</v>
      </c>
      <c r="DT311" s="8">
        <f>+MINVU_Mes_Corriente!DT311*SALUD_Mes_Constante!$DP$1</f>
        <v>0</v>
      </c>
      <c r="DU311" s="8">
        <f>+MINVU_Mes_Corriente!DU311*SALUD_Mes_Constante!$DP$1</f>
        <v>0</v>
      </c>
      <c r="DV311" s="8">
        <f>+MINVU_Mes_Corriente!DV311*SALUD_Mes_Constante!$DP$1</f>
        <v>0</v>
      </c>
      <c r="DW311" s="8">
        <f>+MINVU_Mes_Corriente!DW311*SALUD_Mes_Constante!$DP$1</f>
        <v>0</v>
      </c>
      <c r="DX311" s="8">
        <f>+MINVU_Mes_Corriente!DX311*SALUD_Mes_Constante!$DP$1</f>
        <v>0</v>
      </c>
      <c r="DY311" s="8">
        <f>+MINVU_Mes_Corriente!DY311*SALUD_Mes_Constante!$DP$1</f>
        <v>0</v>
      </c>
      <c r="DZ311" s="8">
        <f>+MINVU_Mes_Corriente!DZ311*SALUD_Mes_Constante!$DP$1</f>
        <v>0</v>
      </c>
      <c r="EA311" s="8">
        <f>+MINVU_Mes_Corriente!EA311*SALUD_Mes_Constante!$DP$1</f>
        <v>0</v>
      </c>
      <c r="EB311" s="9">
        <f t="shared" si="161"/>
        <v>0</v>
      </c>
      <c r="EC311" s="8">
        <f>+MINVU_Mes_Corriente!EC311*SALUD_Mes_Constante!$EC$1</f>
        <v>0</v>
      </c>
      <c r="ED311" s="8">
        <f>+MINVU_Mes_Corriente!ED311*SALUD_Mes_Constante!$EC$1</f>
        <v>0</v>
      </c>
      <c r="EE311" s="8">
        <f>+MINVU_Mes_Corriente!EE311*SALUD_Mes_Constante!$EC$1</f>
        <v>0</v>
      </c>
      <c r="EF311" s="8">
        <f>+MINVU_Mes_Corriente!EF311*SALUD_Mes_Constante!$EC$1</f>
        <v>0</v>
      </c>
      <c r="EG311" s="8">
        <f>+MINVU_Mes_Corriente!EG311*SALUD_Mes_Constante!$EC$1</f>
        <v>0</v>
      </c>
      <c r="EH311" s="8">
        <f>+MINVU_Mes_Corriente!EH311*SALUD_Mes_Constante!$EC$1</f>
        <v>0</v>
      </c>
      <c r="EI311" s="8">
        <f>+MINVU_Mes_Corriente!EI311*SALUD_Mes_Constante!$EC$1</f>
        <v>0</v>
      </c>
      <c r="EJ311" s="8">
        <f>+MINVU_Mes_Corriente!EJ311*SALUD_Mes_Constante!$EC$1</f>
        <v>0</v>
      </c>
      <c r="EK311" s="8">
        <f>+MINVU_Mes_Corriente!EK311*SALUD_Mes_Constante!$EC$1</f>
        <v>0</v>
      </c>
      <c r="EL311" s="8">
        <f>+MINVU_Mes_Corriente!EL311*SALUD_Mes_Constante!$EC$1</f>
        <v>0</v>
      </c>
      <c r="EM311" s="8">
        <f>+MINVU_Mes_Corriente!EM311*SALUD_Mes_Constante!$EC$1</f>
        <v>0</v>
      </c>
      <c r="EN311" s="8">
        <f>+MINVU_Mes_Corriente!EN311*SALUD_Mes_Constante!$EC$1</f>
        <v>0</v>
      </c>
      <c r="EO311" s="9">
        <f t="shared" si="162"/>
        <v>0</v>
      </c>
      <c r="EP311" s="8">
        <f>+MINVU_Mes_Corriente!EP311*SALUD_Mes_Constante!$EP$1</f>
        <v>0</v>
      </c>
      <c r="EQ311" s="8">
        <f>+MINVU_Mes_Corriente!EQ311*SALUD_Mes_Constante!$EP$1</f>
        <v>0</v>
      </c>
      <c r="ER311" s="8">
        <f>+MINVU_Mes_Corriente!ER311*SALUD_Mes_Constante!$EP$1</f>
        <v>0</v>
      </c>
      <c r="ES311" s="8">
        <f>+MINVU_Mes_Corriente!ES311*SALUD_Mes_Constante!$EP$1</f>
        <v>0</v>
      </c>
      <c r="ET311" s="8">
        <f>+MINVU_Mes_Corriente!ET311*SALUD_Mes_Constante!$EP$1</f>
        <v>0</v>
      </c>
      <c r="EU311" s="8">
        <f>+MINVU_Mes_Corriente!EU311*SALUD_Mes_Constante!$EP$1</f>
        <v>0</v>
      </c>
      <c r="EV311" s="8">
        <f>+MINVU_Mes_Corriente!EV311*SALUD_Mes_Constante!$EP$1</f>
        <v>0</v>
      </c>
      <c r="EW311" s="8">
        <f>+MINVU_Mes_Corriente!EW311*SALUD_Mes_Constante!$EP$1</f>
        <v>0</v>
      </c>
      <c r="EX311" s="8">
        <f>+MINVU_Mes_Corriente!EX311*SALUD_Mes_Constante!$EP$1</f>
        <v>0</v>
      </c>
      <c r="EY311" s="8">
        <f>+MINVU_Mes_Corriente!EY311*SALUD_Mes_Constante!$EP$1</f>
        <v>0</v>
      </c>
      <c r="EZ311" s="8">
        <f>+MINVU_Mes_Corriente!EZ311*SALUD_Mes_Constante!$EP$1</f>
        <v>0</v>
      </c>
      <c r="FA311" s="8">
        <f>+MINVU_Mes_Corriente!FA311*SALUD_Mes_Constante!$EP$1</f>
        <v>0</v>
      </c>
      <c r="FB311" s="9">
        <f t="shared" si="163"/>
        <v>0</v>
      </c>
      <c r="FC311" s="8">
        <f>+MINVU_Mes_Corriente!FC311*SALUD_Mes_Constante!$FC$1</f>
        <v>0</v>
      </c>
      <c r="FD311" s="8">
        <f>+MINVU_Mes_Corriente!FD311*SALUD_Mes_Constante!$FC$1</f>
        <v>0</v>
      </c>
      <c r="FE311" s="8">
        <f>+MINVU_Mes_Corriente!FE311*SALUD_Mes_Constante!$FC$1</f>
        <v>0</v>
      </c>
      <c r="FF311" s="8">
        <f>+MINVU_Mes_Corriente!FF311*SALUD_Mes_Constante!$FC$1</f>
        <v>0</v>
      </c>
      <c r="FG311" s="8">
        <f>+MINVU_Mes_Corriente!FG311*SALUD_Mes_Constante!$FC$1</f>
        <v>0</v>
      </c>
      <c r="FH311" s="8">
        <f>+MINVU_Mes_Corriente!FH311*SALUD_Mes_Constante!$FC$1</f>
        <v>0</v>
      </c>
      <c r="FI311" s="8">
        <f>+MINVU_Mes_Corriente!FI311*SALUD_Mes_Constante!$FC$1</f>
        <v>0</v>
      </c>
      <c r="FJ311" s="8"/>
      <c r="FK311" s="8"/>
      <c r="FL311" s="8"/>
      <c r="FM311" s="8"/>
      <c r="FN311" s="8"/>
      <c r="FO311" s="9">
        <f t="shared" si="164"/>
        <v>0</v>
      </c>
    </row>
    <row r="312" spans="2:171" ht="14.25" customHeight="1" x14ac:dyDescent="0.3">
      <c r="B312" s="7" t="s">
        <v>53</v>
      </c>
      <c r="C312" s="8">
        <f>+MINVU_Mes_Corriente!C312*SALUD_Mes_Constante!$C$1</f>
        <v>0</v>
      </c>
      <c r="D312" s="8">
        <f>+MINVU_Mes_Corriente!D312*SALUD_Mes_Constante!$C$1</f>
        <v>0</v>
      </c>
      <c r="E312" s="8">
        <f>+MINVU_Mes_Corriente!E312*SALUD_Mes_Constante!$C$1</f>
        <v>0</v>
      </c>
      <c r="F312" s="8">
        <f>+MINVU_Mes_Corriente!F312*SALUD_Mes_Constante!$C$1</f>
        <v>0</v>
      </c>
      <c r="G312" s="8">
        <f>+MINVU_Mes_Corriente!G312*SALUD_Mes_Constante!$C$1</f>
        <v>0</v>
      </c>
      <c r="H312" s="8">
        <f>+MINVU_Mes_Corriente!H312*SALUD_Mes_Constante!$C$1</f>
        <v>0</v>
      </c>
      <c r="I312" s="8">
        <f>+MINVU_Mes_Corriente!I312*SALUD_Mes_Constante!$C$1</f>
        <v>0</v>
      </c>
      <c r="J312" s="8">
        <f>+MINVU_Mes_Corriente!J312*SALUD_Mes_Constante!$C$1</f>
        <v>0</v>
      </c>
      <c r="K312" s="8">
        <f>+MINVU_Mes_Corriente!K312*SALUD_Mes_Constante!$C$1</f>
        <v>0</v>
      </c>
      <c r="L312" s="8">
        <f>+MINVU_Mes_Corriente!L312*SALUD_Mes_Constante!$C$1</f>
        <v>0</v>
      </c>
      <c r="M312" s="8">
        <f>+MINVU_Mes_Corriente!M312*SALUD_Mes_Constante!$C$1</f>
        <v>0</v>
      </c>
      <c r="N312" s="8">
        <f>+MINVU_Mes_Corriente!N312*SALUD_Mes_Constante!$C$1</f>
        <v>0</v>
      </c>
      <c r="O312" s="9">
        <f t="shared" si="152"/>
        <v>0</v>
      </c>
      <c r="P312" s="8">
        <f>+MINVU_Mes_Corriente!P312*SALUD_Mes_Constante!$P$1</f>
        <v>0</v>
      </c>
      <c r="Q312" s="8">
        <f>+MINVU_Mes_Corriente!Q312*SALUD_Mes_Constante!$P$1</f>
        <v>0</v>
      </c>
      <c r="R312" s="8">
        <f>+MINVU_Mes_Corriente!R312*SALUD_Mes_Constante!$P$1</f>
        <v>0</v>
      </c>
      <c r="S312" s="8">
        <f>+MINVU_Mes_Corriente!S312*SALUD_Mes_Constante!$P$1</f>
        <v>0</v>
      </c>
      <c r="T312" s="8">
        <f>+MINVU_Mes_Corriente!T312*SALUD_Mes_Constante!$P$1</f>
        <v>0</v>
      </c>
      <c r="U312" s="8">
        <f>+MINVU_Mes_Corriente!U312*SALUD_Mes_Constante!$P$1</f>
        <v>0</v>
      </c>
      <c r="V312" s="8">
        <f>+MINVU_Mes_Corriente!V312*SALUD_Mes_Constante!$P$1</f>
        <v>0</v>
      </c>
      <c r="W312" s="8">
        <f>+MINVU_Mes_Corriente!W312*SALUD_Mes_Constante!$P$1</f>
        <v>0</v>
      </c>
      <c r="X312" s="8">
        <f>+MINVU_Mes_Corriente!X312*SALUD_Mes_Constante!$P$1</f>
        <v>0</v>
      </c>
      <c r="Y312" s="8">
        <f>+MINVU_Mes_Corriente!Y312*SALUD_Mes_Constante!$P$1</f>
        <v>0</v>
      </c>
      <c r="Z312" s="8">
        <f>+MINVU_Mes_Corriente!Z312*SALUD_Mes_Constante!$P$1</f>
        <v>0</v>
      </c>
      <c r="AA312" s="8">
        <f>+MINVU_Mes_Corriente!AA312*SALUD_Mes_Constante!$P$1</f>
        <v>0</v>
      </c>
      <c r="AB312" s="9">
        <f t="shared" si="153"/>
        <v>0</v>
      </c>
      <c r="AC312" s="8">
        <f>+MINVU_Mes_Corriente!AC312*SALUD_Mes_Constante!$AC$1</f>
        <v>0</v>
      </c>
      <c r="AD312" s="8">
        <f>+MINVU_Mes_Corriente!AD312*SALUD_Mes_Constante!$AC$1</f>
        <v>0</v>
      </c>
      <c r="AE312" s="8">
        <f>+MINVU_Mes_Corriente!AE312*SALUD_Mes_Constante!$AC$1</f>
        <v>0</v>
      </c>
      <c r="AF312" s="8">
        <f>+MINVU_Mes_Corriente!AF312*SALUD_Mes_Constante!$AC$1</f>
        <v>0</v>
      </c>
      <c r="AG312" s="8">
        <f>+MINVU_Mes_Corriente!AG312*SALUD_Mes_Constante!$AC$1</f>
        <v>0</v>
      </c>
      <c r="AH312" s="8">
        <f>+MINVU_Mes_Corriente!AH312*SALUD_Mes_Constante!$AC$1</f>
        <v>0</v>
      </c>
      <c r="AI312" s="8">
        <f>+MINVU_Mes_Corriente!AI312*SALUD_Mes_Constante!$AC$1</f>
        <v>0</v>
      </c>
      <c r="AJ312" s="8">
        <f>+MINVU_Mes_Corriente!AJ312*SALUD_Mes_Constante!$AC$1</f>
        <v>0</v>
      </c>
      <c r="AK312" s="8">
        <f>+MINVU_Mes_Corriente!AK312*SALUD_Mes_Constante!$AC$1</f>
        <v>0</v>
      </c>
      <c r="AL312" s="8">
        <f>+MINVU_Mes_Corriente!AL312*SALUD_Mes_Constante!$AC$1</f>
        <v>0</v>
      </c>
      <c r="AM312" s="8">
        <f>+MINVU_Mes_Corriente!AM312*SALUD_Mes_Constante!$AC$1</f>
        <v>0</v>
      </c>
      <c r="AN312" s="8">
        <f>+MINVU_Mes_Corriente!AN312*SALUD_Mes_Constante!$AC$1</f>
        <v>0</v>
      </c>
      <c r="AO312" s="9">
        <f t="shared" si="154"/>
        <v>0</v>
      </c>
      <c r="AP312" s="8">
        <f>+MINVU_Mes_Corriente!AP312*SALUD_Mes_Constante!$AP$1</f>
        <v>0</v>
      </c>
      <c r="AQ312" s="8">
        <f>+MINVU_Mes_Corriente!AQ312*SALUD_Mes_Constante!$AP$1</f>
        <v>0</v>
      </c>
      <c r="AR312" s="8">
        <f>+MINVU_Mes_Corriente!AR312*SALUD_Mes_Constante!$AP$1</f>
        <v>0</v>
      </c>
      <c r="AS312" s="8">
        <f>+MINVU_Mes_Corriente!AS312*SALUD_Mes_Constante!$AP$1</f>
        <v>0</v>
      </c>
      <c r="AT312" s="8">
        <f>+MINVU_Mes_Corriente!AT312*SALUD_Mes_Constante!$AP$1</f>
        <v>0</v>
      </c>
      <c r="AU312" s="8">
        <f>+MINVU_Mes_Corriente!AU312*SALUD_Mes_Constante!$AP$1</f>
        <v>0</v>
      </c>
      <c r="AV312" s="8">
        <f>+MINVU_Mes_Corriente!AV312*SALUD_Mes_Constante!$AP$1</f>
        <v>0</v>
      </c>
      <c r="AW312" s="8">
        <f>+MINVU_Mes_Corriente!AW312*SALUD_Mes_Constante!$AP$1</f>
        <v>0</v>
      </c>
      <c r="AX312" s="8">
        <f>+MINVU_Mes_Corriente!AX312*SALUD_Mes_Constante!$AP$1</f>
        <v>0</v>
      </c>
      <c r="AY312" s="8">
        <f>+MINVU_Mes_Corriente!AY312*SALUD_Mes_Constante!$AP$1</f>
        <v>0</v>
      </c>
      <c r="AZ312" s="8">
        <f>+MINVU_Mes_Corriente!AZ312*SALUD_Mes_Constante!$AP$1</f>
        <v>0</v>
      </c>
      <c r="BA312" s="8">
        <f>+MINVU_Mes_Corriente!BA312*SALUD_Mes_Constante!$AP$1</f>
        <v>0</v>
      </c>
      <c r="BB312" s="9">
        <f t="shared" si="155"/>
        <v>0</v>
      </c>
      <c r="BC312" s="8">
        <f>+MINVU_Mes_Corriente!BC312*SALUD_Mes_Constante!$BC$1</f>
        <v>0</v>
      </c>
      <c r="BD312" s="8">
        <f>+MINVU_Mes_Corriente!BD312*SALUD_Mes_Constante!$BC$1</f>
        <v>0</v>
      </c>
      <c r="BE312" s="8">
        <f>+MINVU_Mes_Corriente!BE312*SALUD_Mes_Constante!$BC$1</f>
        <v>0</v>
      </c>
      <c r="BF312" s="8">
        <f>+MINVU_Mes_Corriente!BF312*SALUD_Mes_Constante!$BC$1</f>
        <v>0</v>
      </c>
      <c r="BG312" s="8">
        <f>+MINVU_Mes_Corriente!BG312*SALUD_Mes_Constante!$BC$1</f>
        <v>0</v>
      </c>
      <c r="BH312" s="8">
        <f>+MINVU_Mes_Corriente!BH312*SALUD_Mes_Constante!$BC$1</f>
        <v>0</v>
      </c>
      <c r="BI312" s="8">
        <f>+MINVU_Mes_Corriente!BI312*SALUD_Mes_Constante!$BC$1</f>
        <v>0</v>
      </c>
      <c r="BJ312" s="8">
        <f>+MINVU_Mes_Corriente!BJ312*SALUD_Mes_Constante!$BC$1</f>
        <v>0</v>
      </c>
      <c r="BK312" s="8">
        <f>+MINVU_Mes_Corriente!BK312*SALUD_Mes_Constante!$BC$1</f>
        <v>0</v>
      </c>
      <c r="BL312" s="8">
        <f>+MINVU_Mes_Corriente!BL312*SALUD_Mes_Constante!$BC$1</f>
        <v>0</v>
      </c>
      <c r="BM312" s="8">
        <f>+MINVU_Mes_Corriente!BM312*SALUD_Mes_Constante!$BC$1</f>
        <v>0</v>
      </c>
      <c r="BN312" s="8">
        <f>+MINVU_Mes_Corriente!BN312*SALUD_Mes_Constante!$BC$1</f>
        <v>0</v>
      </c>
      <c r="BO312" s="9">
        <f t="shared" si="156"/>
        <v>0</v>
      </c>
      <c r="BP312" s="8">
        <f>+MINVU_Mes_Corriente!BP312*SALUD_Mes_Constante!$BP$1</f>
        <v>0</v>
      </c>
      <c r="BQ312" s="8">
        <f>+MINVU_Mes_Corriente!BQ312*SALUD_Mes_Constante!$BP$1</f>
        <v>0</v>
      </c>
      <c r="BR312" s="8">
        <f>+MINVU_Mes_Corriente!BR312*SALUD_Mes_Constante!$BP$1</f>
        <v>0</v>
      </c>
      <c r="BS312" s="8">
        <f>+MINVU_Mes_Corriente!BS312*SALUD_Mes_Constante!$BP$1</f>
        <v>0</v>
      </c>
      <c r="BT312" s="8">
        <f>+MINVU_Mes_Corriente!BT312*SALUD_Mes_Constante!$BP$1</f>
        <v>0</v>
      </c>
      <c r="BU312" s="8">
        <f>+MINVU_Mes_Corriente!BU312*SALUD_Mes_Constante!$BP$1</f>
        <v>0</v>
      </c>
      <c r="BV312" s="8">
        <f>+MINVU_Mes_Corriente!BV312*SALUD_Mes_Constante!$BP$1</f>
        <v>0</v>
      </c>
      <c r="BW312" s="8">
        <f>+MINVU_Mes_Corriente!BW312*SALUD_Mes_Constante!$BP$1</f>
        <v>0</v>
      </c>
      <c r="BX312" s="8">
        <f>+MINVU_Mes_Corriente!BX312*SALUD_Mes_Constante!$BP$1</f>
        <v>0</v>
      </c>
      <c r="BY312" s="8">
        <f>+MINVU_Mes_Corriente!BY312*SALUD_Mes_Constante!$BP$1</f>
        <v>0</v>
      </c>
      <c r="BZ312" s="8">
        <f>+MINVU_Mes_Corriente!BZ312*SALUD_Mes_Constante!$BP$1</f>
        <v>0</v>
      </c>
      <c r="CA312" s="8">
        <f>+MINVU_Mes_Corriente!CA312*SALUD_Mes_Constante!$BP$1</f>
        <v>0</v>
      </c>
      <c r="CB312" s="9">
        <f t="shared" si="157"/>
        <v>0</v>
      </c>
      <c r="CC312" s="8">
        <f>+MINVU_Mes_Corriente!CC312*SALUD_Mes_Constante!$CC$1</f>
        <v>0</v>
      </c>
      <c r="CD312" s="8">
        <f>+MINVU_Mes_Corriente!CD312*SALUD_Mes_Constante!$CC$1</f>
        <v>0</v>
      </c>
      <c r="CE312" s="8">
        <f>+MINVU_Mes_Corriente!CE312*SALUD_Mes_Constante!$CC$1</f>
        <v>0</v>
      </c>
      <c r="CF312" s="8">
        <f>+MINVU_Mes_Corriente!CF312*SALUD_Mes_Constante!$CC$1</f>
        <v>0</v>
      </c>
      <c r="CG312" s="8">
        <f>+MINVU_Mes_Corriente!CG312*SALUD_Mes_Constante!$CC$1</f>
        <v>0</v>
      </c>
      <c r="CH312" s="8">
        <f>+MINVU_Mes_Corriente!CH312*SALUD_Mes_Constante!$CC$1</f>
        <v>0</v>
      </c>
      <c r="CI312" s="8">
        <f>+MINVU_Mes_Corriente!CI312*SALUD_Mes_Constante!$CC$1</f>
        <v>0</v>
      </c>
      <c r="CJ312" s="8">
        <f>+MINVU_Mes_Corriente!CJ312*SALUD_Mes_Constante!$CC$1</f>
        <v>0</v>
      </c>
      <c r="CK312" s="8">
        <f>+MINVU_Mes_Corriente!CK312*SALUD_Mes_Constante!$CC$1</f>
        <v>0</v>
      </c>
      <c r="CL312" s="8">
        <f>+MINVU_Mes_Corriente!CL312*SALUD_Mes_Constante!$CC$1</f>
        <v>0</v>
      </c>
      <c r="CM312" s="8">
        <f>+MINVU_Mes_Corriente!CM312*SALUD_Mes_Constante!$CC$1</f>
        <v>0</v>
      </c>
      <c r="CN312" s="8">
        <f>+MINVU_Mes_Corriente!CN312*SALUD_Mes_Constante!$CC$1</f>
        <v>0</v>
      </c>
      <c r="CO312" s="9">
        <f t="shared" si="158"/>
        <v>0</v>
      </c>
      <c r="CP312" s="8">
        <f>+MINVU_Mes_Corriente!CP312*SALUD_Mes_Constante!$CP$1</f>
        <v>0</v>
      </c>
      <c r="CQ312" s="8">
        <f>+MINVU_Mes_Corriente!CQ312*SALUD_Mes_Constante!$CP$1</f>
        <v>0</v>
      </c>
      <c r="CR312" s="8">
        <f>+MINVU_Mes_Corriente!CR312*SALUD_Mes_Constante!$CP$1</f>
        <v>0</v>
      </c>
      <c r="CS312" s="8">
        <f>+MINVU_Mes_Corriente!CS312*SALUD_Mes_Constante!$CP$1</f>
        <v>0</v>
      </c>
      <c r="CT312" s="8">
        <f>+MINVU_Mes_Corriente!CT312*SALUD_Mes_Constante!$CP$1</f>
        <v>0</v>
      </c>
      <c r="CU312" s="8">
        <f>+MINVU_Mes_Corriente!CU312*SALUD_Mes_Constante!$CP$1</f>
        <v>0</v>
      </c>
      <c r="CV312" s="8">
        <f>+MINVU_Mes_Corriente!CV312*SALUD_Mes_Constante!$CP$1</f>
        <v>0</v>
      </c>
      <c r="CW312" s="8">
        <f>+MINVU_Mes_Corriente!CW312*SALUD_Mes_Constante!$CP$1</f>
        <v>0</v>
      </c>
      <c r="CX312" s="8">
        <f>+MINVU_Mes_Corriente!CX312*SALUD_Mes_Constante!$CP$1</f>
        <v>0</v>
      </c>
      <c r="CY312" s="8">
        <f>+MINVU_Mes_Corriente!CY312*SALUD_Mes_Constante!$CP$1</f>
        <v>0</v>
      </c>
      <c r="CZ312" s="8">
        <f>+MINVU_Mes_Corriente!CZ312*SALUD_Mes_Constante!$CP$1</f>
        <v>0</v>
      </c>
      <c r="DA312" s="8">
        <f>+MINVU_Mes_Corriente!DA312*SALUD_Mes_Constante!$CP$1</f>
        <v>0</v>
      </c>
      <c r="DB312" s="9">
        <f t="shared" si="159"/>
        <v>0</v>
      </c>
      <c r="DC312" s="8">
        <f>+MINVU_Mes_Corriente!DC312*SALUD_Mes_Constante!$DC$1</f>
        <v>0</v>
      </c>
      <c r="DD312" s="8">
        <f>+MINVU_Mes_Corriente!DD312*SALUD_Mes_Constante!$DC$1</f>
        <v>0</v>
      </c>
      <c r="DE312" s="8">
        <f>+MINVU_Mes_Corriente!DE312*SALUD_Mes_Constante!$DC$1</f>
        <v>0</v>
      </c>
      <c r="DF312" s="8">
        <f>+MINVU_Mes_Corriente!DF312*SALUD_Mes_Constante!$DC$1</f>
        <v>0</v>
      </c>
      <c r="DG312" s="8">
        <f>+MINVU_Mes_Corriente!DG312*SALUD_Mes_Constante!$DC$1</f>
        <v>0</v>
      </c>
      <c r="DH312" s="8">
        <f>+MINVU_Mes_Corriente!DH312*SALUD_Mes_Constante!$DC$1</f>
        <v>0</v>
      </c>
      <c r="DI312" s="8">
        <f>+MINVU_Mes_Corriente!DI312*SALUD_Mes_Constante!$DC$1</f>
        <v>0</v>
      </c>
      <c r="DJ312" s="8">
        <f>+MINVU_Mes_Corriente!DJ312*SALUD_Mes_Constante!$DC$1</f>
        <v>0</v>
      </c>
      <c r="DK312" s="8">
        <f>+MINVU_Mes_Corriente!DK312*SALUD_Mes_Constante!$DC$1</f>
        <v>0</v>
      </c>
      <c r="DL312" s="8">
        <f>+MINVU_Mes_Corriente!DL312*SALUD_Mes_Constante!$DC$1</f>
        <v>0</v>
      </c>
      <c r="DM312" s="8">
        <f>+MINVU_Mes_Corriente!DM312*SALUD_Mes_Constante!$DC$1</f>
        <v>0</v>
      </c>
      <c r="DN312" s="8">
        <f>+MINVU_Mes_Corriente!DN312*SALUD_Mes_Constante!$DC$1</f>
        <v>0</v>
      </c>
      <c r="DO312" s="9">
        <f t="shared" si="160"/>
        <v>0</v>
      </c>
      <c r="DP312" s="8">
        <f>+MINVU_Mes_Corriente!DP312*SALUD_Mes_Constante!$DP$1</f>
        <v>0</v>
      </c>
      <c r="DQ312" s="8">
        <f>+MINVU_Mes_Corriente!DQ312*SALUD_Mes_Constante!$DP$1</f>
        <v>0</v>
      </c>
      <c r="DR312" s="8">
        <f>+MINVU_Mes_Corriente!DR312*SALUD_Mes_Constante!$DP$1</f>
        <v>0</v>
      </c>
      <c r="DS312" s="8">
        <f>+MINVU_Mes_Corriente!DS312*SALUD_Mes_Constante!$DP$1</f>
        <v>0</v>
      </c>
      <c r="DT312" s="8">
        <f>+MINVU_Mes_Corriente!DT312*SALUD_Mes_Constante!$DP$1</f>
        <v>0</v>
      </c>
      <c r="DU312" s="8">
        <f>+MINVU_Mes_Corriente!DU312*SALUD_Mes_Constante!$DP$1</f>
        <v>0</v>
      </c>
      <c r="DV312" s="8">
        <f>+MINVU_Mes_Corriente!DV312*SALUD_Mes_Constante!$DP$1</f>
        <v>0</v>
      </c>
      <c r="DW312" s="8">
        <f>+MINVU_Mes_Corriente!DW312*SALUD_Mes_Constante!$DP$1</f>
        <v>0</v>
      </c>
      <c r="DX312" s="8">
        <f>+MINVU_Mes_Corriente!DX312*SALUD_Mes_Constante!$DP$1</f>
        <v>0</v>
      </c>
      <c r="DY312" s="8">
        <f>+MINVU_Mes_Corriente!DY312*SALUD_Mes_Constante!$DP$1</f>
        <v>0</v>
      </c>
      <c r="DZ312" s="8">
        <f>+MINVU_Mes_Corriente!DZ312*SALUD_Mes_Constante!$DP$1</f>
        <v>0</v>
      </c>
      <c r="EA312" s="8">
        <f>+MINVU_Mes_Corriente!EA312*SALUD_Mes_Constante!$DP$1</f>
        <v>0</v>
      </c>
      <c r="EB312" s="9">
        <f t="shared" si="161"/>
        <v>0</v>
      </c>
      <c r="EC312" s="8">
        <f>+MINVU_Mes_Corriente!EC312*SALUD_Mes_Constante!$EC$1</f>
        <v>0</v>
      </c>
      <c r="ED312" s="8">
        <f>+MINVU_Mes_Corriente!ED312*SALUD_Mes_Constante!$EC$1</f>
        <v>0</v>
      </c>
      <c r="EE312" s="8">
        <f>+MINVU_Mes_Corriente!EE312*SALUD_Mes_Constante!$EC$1</f>
        <v>0</v>
      </c>
      <c r="EF312" s="8">
        <f>+MINVU_Mes_Corriente!EF312*SALUD_Mes_Constante!$EC$1</f>
        <v>0</v>
      </c>
      <c r="EG312" s="8">
        <f>+MINVU_Mes_Corriente!EG312*SALUD_Mes_Constante!$EC$1</f>
        <v>0</v>
      </c>
      <c r="EH312" s="8">
        <f>+MINVU_Mes_Corriente!EH312*SALUD_Mes_Constante!$EC$1</f>
        <v>0</v>
      </c>
      <c r="EI312" s="8">
        <f>+MINVU_Mes_Corriente!EI312*SALUD_Mes_Constante!$EC$1</f>
        <v>0</v>
      </c>
      <c r="EJ312" s="8">
        <f>+MINVU_Mes_Corriente!EJ312*SALUD_Mes_Constante!$EC$1</f>
        <v>0</v>
      </c>
      <c r="EK312" s="8">
        <f>+MINVU_Mes_Corriente!EK312*SALUD_Mes_Constante!$EC$1</f>
        <v>0</v>
      </c>
      <c r="EL312" s="8">
        <f>+MINVU_Mes_Corriente!EL312*SALUD_Mes_Constante!$EC$1</f>
        <v>0</v>
      </c>
      <c r="EM312" s="8">
        <f>+MINVU_Mes_Corriente!EM312*SALUD_Mes_Constante!$EC$1</f>
        <v>0</v>
      </c>
      <c r="EN312" s="8">
        <f>+MINVU_Mes_Corriente!EN312*SALUD_Mes_Constante!$EC$1</f>
        <v>0</v>
      </c>
      <c r="EO312" s="9">
        <f t="shared" si="162"/>
        <v>0</v>
      </c>
      <c r="EP312" s="8">
        <f>+MINVU_Mes_Corriente!EP312*SALUD_Mes_Constante!$EP$1</f>
        <v>0</v>
      </c>
      <c r="EQ312" s="8">
        <f>+MINVU_Mes_Corriente!EQ312*SALUD_Mes_Constante!$EP$1</f>
        <v>0</v>
      </c>
      <c r="ER312" s="8">
        <f>+MINVU_Mes_Corriente!ER312*SALUD_Mes_Constante!$EP$1</f>
        <v>0</v>
      </c>
      <c r="ES312" s="8">
        <f>+MINVU_Mes_Corriente!ES312*SALUD_Mes_Constante!$EP$1</f>
        <v>0</v>
      </c>
      <c r="ET312" s="8">
        <f>+MINVU_Mes_Corriente!ET312*SALUD_Mes_Constante!$EP$1</f>
        <v>0</v>
      </c>
      <c r="EU312" s="8">
        <f>+MINVU_Mes_Corriente!EU312*SALUD_Mes_Constante!$EP$1</f>
        <v>0</v>
      </c>
      <c r="EV312" s="8">
        <f>+MINVU_Mes_Corriente!EV312*SALUD_Mes_Constante!$EP$1</f>
        <v>0</v>
      </c>
      <c r="EW312" s="8">
        <f>+MINVU_Mes_Corriente!EW312*SALUD_Mes_Constante!$EP$1</f>
        <v>0</v>
      </c>
      <c r="EX312" s="8">
        <f>+MINVU_Mes_Corriente!EX312*SALUD_Mes_Constante!$EP$1</f>
        <v>0</v>
      </c>
      <c r="EY312" s="8">
        <f>+MINVU_Mes_Corriente!EY312*SALUD_Mes_Constante!$EP$1</f>
        <v>0</v>
      </c>
      <c r="EZ312" s="8">
        <f>+MINVU_Mes_Corriente!EZ312*SALUD_Mes_Constante!$EP$1</f>
        <v>0</v>
      </c>
      <c r="FA312" s="8">
        <f>+MINVU_Mes_Corriente!FA312*SALUD_Mes_Constante!$EP$1</f>
        <v>0</v>
      </c>
      <c r="FB312" s="9">
        <f t="shared" si="163"/>
        <v>0</v>
      </c>
      <c r="FC312" s="8">
        <f>+MINVU_Mes_Corriente!FC312*SALUD_Mes_Constante!$FC$1</f>
        <v>0</v>
      </c>
      <c r="FD312" s="8">
        <f>+MINVU_Mes_Corriente!FD312*SALUD_Mes_Constante!$FC$1</f>
        <v>0</v>
      </c>
      <c r="FE312" s="8">
        <f>+MINVU_Mes_Corriente!FE312*SALUD_Mes_Constante!$FC$1</f>
        <v>0</v>
      </c>
      <c r="FF312" s="8">
        <f>+MINVU_Mes_Corriente!FF312*SALUD_Mes_Constante!$FC$1</f>
        <v>0</v>
      </c>
      <c r="FG312" s="8">
        <f>+MINVU_Mes_Corriente!FG312*SALUD_Mes_Constante!$FC$1</f>
        <v>0</v>
      </c>
      <c r="FH312" s="8">
        <f>+MINVU_Mes_Corriente!FH312*SALUD_Mes_Constante!$FC$1</f>
        <v>0</v>
      </c>
      <c r="FI312" s="8">
        <f>+MINVU_Mes_Corriente!FI312*SALUD_Mes_Constante!$FC$1</f>
        <v>0</v>
      </c>
      <c r="FJ312" s="8"/>
      <c r="FK312" s="8"/>
      <c r="FL312" s="8"/>
      <c r="FM312" s="8"/>
      <c r="FN312" s="8"/>
      <c r="FO312" s="9">
        <f t="shared" si="164"/>
        <v>0</v>
      </c>
    </row>
    <row r="313" spans="2:171" ht="14.25" customHeight="1" x14ac:dyDescent="0.3">
      <c r="B313" s="7" t="s">
        <v>54</v>
      </c>
      <c r="C313" s="8">
        <f>+MINVU_Mes_Corriente!C313*SALUD_Mes_Constante!$C$1</f>
        <v>0</v>
      </c>
      <c r="D313" s="8">
        <f>+MINVU_Mes_Corriente!D313*SALUD_Mes_Constante!$C$1</f>
        <v>0</v>
      </c>
      <c r="E313" s="8">
        <f>+MINVU_Mes_Corriente!E313*SALUD_Mes_Constante!$C$1</f>
        <v>0</v>
      </c>
      <c r="F313" s="8">
        <f>+MINVU_Mes_Corriente!F313*SALUD_Mes_Constante!$C$1</f>
        <v>0</v>
      </c>
      <c r="G313" s="8">
        <f>+MINVU_Mes_Corriente!G313*SALUD_Mes_Constante!$C$1</f>
        <v>0</v>
      </c>
      <c r="H313" s="8">
        <f>+MINVU_Mes_Corriente!H313*SALUD_Mes_Constante!$C$1</f>
        <v>0</v>
      </c>
      <c r="I313" s="8">
        <f>+MINVU_Mes_Corriente!I313*SALUD_Mes_Constante!$C$1</f>
        <v>0</v>
      </c>
      <c r="J313" s="8">
        <f>+MINVU_Mes_Corriente!J313*SALUD_Mes_Constante!$C$1</f>
        <v>0</v>
      </c>
      <c r="K313" s="8">
        <f>+MINVU_Mes_Corriente!K313*SALUD_Mes_Constante!$C$1</f>
        <v>0</v>
      </c>
      <c r="L313" s="8">
        <f>+MINVU_Mes_Corriente!L313*SALUD_Mes_Constante!$C$1</f>
        <v>0</v>
      </c>
      <c r="M313" s="8">
        <f>+MINVU_Mes_Corriente!M313*SALUD_Mes_Constante!$C$1</f>
        <v>0</v>
      </c>
      <c r="N313" s="8">
        <f>+MINVU_Mes_Corriente!N313*SALUD_Mes_Constante!$C$1</f>
        <v>0</v>
      </c>
      <c r="O313" s="9">
        <f t="shared" si="152"/>
        <v>0</v>
      </c>
      <c r="P313" s="8">
        <f>+MINVU_Mes_Corriente!P313*SALUD_Mes_Constante!$P$1</f>
        <v>0</v>
      </c>
      <c r="Q313" s="8">
        <f>+MINVU_Mes_Corriente!Q313*SALUD_Mes_Constante!$P$1</f>
        <v>0</v>
      </c>
      <c r="R313" s="8">
        <f>+MINVU_Mes_Corriente!R313*SALUD_Mes_Constante!$P$1</f>
        <v>0</v>
      </c>
      <c r="S313" s="8">
        <f>+MINVU_Mes_Corriente!S313*SALUD_Mes_Constante!$P$1</f>
        <v>0</v>
      </c>
      <c r="T313" s="8">
        <f>+MINVU_Mes_Corriente!T313*SALUD_Mes_Constante!$P$1</f>
        <v>0</v>
      </c>
      <c r="U313" s="8">
        <f>+MINVU_Mes_Corriente!U313*SALUD_Mes_Constante!$P$1</f>
        <v>0</v>
      </c>
      <c r="V313" s="8">
        <f>+MINVU_Mes_Corriente!V313*SALUD_Mes_Constante!$P$1</f>
        <v>0</v>
      </c>
      <c r="W313" s="8">
        <f>+MINVU_Mes_Corriente!W313*SALUD_Mes_Constante!$P$1</f>
        <v>0</v>
      </c>
      <c r="X313" s="8">
        <f>+MINVU_Mes_Corriente!X313*SALUD_Mes_Constante!$P$1</f>
        <v>0</v>
      </c>
      <c r="Y313" s="8">
        <f>+MINVU_Mes_Corriente!Y313*SALUD_Mes_Constante!$P$1</f>
        <v>0</v>
      </c>
      <c r="Z313" s="8">
        <f>+MINVU_Mes_Corriente!Z313*SALUD_Mes_Constante!$P$1</f>
        <v>0</v>
      </c>
      <c r="AA313" s="8">
        <f>+MINVU_Mes_Corriente!AA313*SALUD_Mes_Constante!$P$1</f>
        <v>0</v>
      </c>
      <c r="AB313" s="9">
        <f t="shared" si="153"/>
        <v>0</v>
      </c>
      <c r="AC313" s="8">
        <f>+MINVU_Mes_Corriente!AC313*SALUD_Mes_Constante!$AC$1</f>
        <v>0</v>
      </c>
      <c r="AD313" s="8">
        <f>+MINVU_Mes_Corriente!AD313*SALUD_Mes_Constante!$AC$1</f>
        <v>0</v>
      </c>
      <c r="AE313" s="8">
        <f>+MINVU_Mes_Corriente!AE313*SALUD_Mes_Constante!$AC$1</f>
        <v>0</v>
      </c>
      <c r="AF313" s="8">
        <f>+MINVU_Mes_Corriente!AF313*SALUD_Mes_Constante!$AC$1</f>
        <v>0</v>
      </c>
      <c r="AG313" s="8">
        <f>+MINVU_Mes_Corriente!AG313*SALUD_Mes_Constante!$AC$1</f>
        <v>0</v>
      </c>
      <c r="AH313" s="8">
        <f>+MINVU_Mes_Corriente!AH313*SALUD_Mes_Constante!$AC$1</f>
        <v>0</v>
      </c>
      <c r="AI313" s="8">
        <f>+MINVU_Mes_Corriente!AI313*SALUD_Mes_Constante!$AC$1</f>
        <v>0</v>
      </c>
      <c r="AJ313" s="8">
        <f>+MINVU_Mes_Corriente!AJ313*SALUD_Mes_Constante!$AC$1</f>
        <v>0</v>
      </c>
      <c r="AK313" s="8">
        <f>+MINVU_Mes_Corriente!AK313*SALUD_Mes_Constante!$AC$1</f>
        <v>0</v>
      </c>
      <c r="AL313" s="8">
        <f>+MINVU_Mes_Corriente!AL313*SALUD_Mes_Constante!$AC$1</f>
        <v>0</v>
      </c>
      <c r="AM313" s="8">
        <f>+MINVU_Mes_Corriente!AM313*SALUD_Mes_Constante!$AC$1</f>
        <v>0</v>
      </c>
      <c r="AN313" s="8">
        <f>+MINVU_Mes_Corriente!AN313*SALUD_Mes_Constante!$AC$1</f>
        <v>0</v>
      </c>
      <c r="AO313" s="9">
        <f t="shared" si="154"/>
        <v>0</v>
      </c>
      <c r="AP313" s="8">
        <f>+MINVU_Mes_Corriente!AP313*SALUD_Mes_Constante!$AP$1</f>
        <v>0</v>
      </c>
      <c r="AQ313" s="8">
        <f>+MINVU_Mes_Corriente!AQ313*SALUD_Mes_Constante!$AP$1</f>
        <v>0</v>
      </c>
      <c r="AR313" s="8">
        <f>+MINVU_Mes_Corriente!AR313*SALUD_Mes_Constante!$AP$1</f>
        <v>0</v>
      </c>
      <c r="AS313" s="8">
        <f>+MINVU_Mes_Corriente!AS313*SALUD_Mes_Constante!$AP$1</f>
        <v>0</v>
      </c>
      <c r="AT313" s="8">
        <f>+MINVU_Mes_Corriente!AT313*SALUD_Mes_Constante!$AP$1</f>
        <v>0</v>
      </c>
      <c r="AU313" s="8">
        <f>+MINVU_Mes_Corriente!AU313*SALUD_Mes_Constante!$AP$1</f>
        <v>0</v>
      </c>
      <c r="AV313" s="8">
        <f>+MINVU_Mes_Corriente!AV313*SALUD_Mes_Constante!$AP$1</f>
        <v>0</v>
      </c>
      <c r="AW313" s="8">
        <f>+MINVU_Mes_Corriente!AW313*SALUD_Mes_Constante!$AP$1</f>
        <v>0</v>
      </c>
      <c r="AX313" s="8">
        <f>+MINVU_Mes_Corriente!AX313*SALUD_Mes_Constante!$AP$1</f>
        <v>0</v>
      </c>
      <c r="AY313" s="8">
        <f>+MINVU_Mes_Corriente!AY313*SALUD_Mes_Constante!$AP$1</f>
        <v>0</v>
      </c>
      <c r="AZ313" s="8">
        <f>+MINVU_Mes_Corriente!AZ313*SALUD_Mes_Constante!$AP$1</f>
        <v>0</v>
      </c>
      <c r="BA313" s="8">
        <f>+MINVU_Mes_Corriente!BA313*SALUD_Mes_Constante!$AP$1</f>
        <v>0</v>
      </c>
      <c r="BB313" s="9">
        <f t="shared" si="155"/>
        <v>0</v>
      </c>
      <c r="BC313" s="8">
        <f>+MINVU_Mes_Corriente!BC313*SALUD_Mes_Constante!$BC$1</f>
        <v>0</v>
      </c>
      <c r="BD313" s="8">
        <f>+MINVU_Mes_Corriente!BD313*SALUD_Mes_Constante!$BC$1</f>
        <v>0</v>
      </c>
      <c r="BE313" s="8">
        <f>+MINVU_Mes_Corriente!BE313*SALUD_Mes_Constante!$BC$1</f>
        <v>0</v>
      </c>
      <c r="BF313" s="8">
        <f>+MINVU_Mes_Corriente!BF313*SALUD_Mes_Constante!$BC$1</f>
        <v>0</v>
      </c>
      <c r="BG313" s="8">
        <f>+MINVU_Mes_Corriente!BG313*SALUD_Mes_Constante!$BC$1</f>
        <v>0</v>
      </c>
      <c r="BH313" s="8">
        <f>+MINVU_Mes_Corriente!BH313*SALUD_Mes_Constante!$BC$1</f>
        <v>0</v>
      </c>
      <c r="BI313" s="8">
        <f>+MINVU_Mes_Corriente!BI313*SALUD_Mes_Constante!$BC$1</f>
        <v>0</v>
      </c>
      <c r="BJ313" s="8">
        <f>+MINVU_Mes_Corriente!BJ313*SALUD_Mes_Constante!$BC$1</f>
        <v>0</v>
      </c>
      <c r="BK313" s="8">
        <f>+MINVU_Mes_Corriente!BK313*SALUD_Mes_Constante!$BC$1</f>
        <v>0</v>
      </c>
      <c r="BL313" s="8">
        <f>+MINVU_Mes_Corriente!BL313*SALUD_Mes_Constante!$BC$1</f>
        <v>0</v>
      </c>
      <c r="BM313" s="8">
        <f>+MINVU_Mes_Corriente!BM313*SALUD_Mes_Constante!$BC$1</f>
        <v>0</v>
      </c>
      <c r="BN313" s="8">
        <f>+MINVU_Mes_Corriente!BN313*SALUD_Mes_Constante!$BC$1</f>
        <v>0</v>
      </c>
      <c r="BO313" s="9">
        <f t="shared" si="156"/>
        <v>0</v>
      </c>
      <c r="BP313" s="8">
        <f>+MINVU_Mes_Corriente!BP313*SALUD_Mes_Constante!$BP$1</f>
        <v>0</v>
      </c>
      <c r="BQ313" s="8">
        <f>+MINVU_Mes_Corriente!BQ313*SALUD_Mes_Constante!$BP$1</f>
        <v>0</v>
      </c>
      <c r="BR313" s="8">
        <f>+MINVU_Mes_Corriente!BR313*SALUD_Mes_Constante!$BP$1</f>
        <v>0</v>
      </c>
      <c r="BS313" s="8">
        <f>+MINVU_Mes_Corriente!BS313*SALUD_Mes_Constante!$BP$1</f>
        <v>0</v>
      </c>
      <c r="BT313" s="8">
        <f>+MINVU_Mes_Corriente!BT313*SALUD_Mes_Constante!$BP$1</f>
        <v>0</v>
      </c>
      <c r="BU313" s="8">
        <f>+MINVU_Mes_Corriente!BU313*SALUD_Mes_Constante!$BP$1</f>
        <v>0</v>
      </c>
      <c r="BV313" s="8">
        <f>+MINVU_Mes_Corriente!BV313*SALUD_Mes_Constante!$BP$1</f>
        <v>0</v>
      </c>
      <c r="BW313" s="8">
        <f>+MINVU_Mes_Corriente!BW313*SALUD_Mes_Constante!$BP$1</f>
        <v>0</v>
      </c>
      <c r="BX313" s="8">
        <f>+MINVU_Mes_Corriente!BX313*SALUD_Mes_Constante!$BP$1</f>
        <v>0</v>
      </c>
      <c r="BY313" s="8">
        <f>+MINVU_Mes_Corriente!BY313*SALUD_Mes_Constante!$BP$1</f>
        <v>0</v>
      </c>
      <c r="BZ313" s="8">
        <f>+MINVU_Mes_Corriente!BZ313*SALUD_Mes_Constante!$BP$1</f>
        <v>0</v>
      </c>
      <c r="CA313" s="8">
        <f>+MINVU_Mes_Corriente!CA313*SALUD_Mes_Constante!$BP$1</f>
        <v>0</v>
      </c>
      <c r="CB313" s="9">
        <f t="shared" si="157"/>
        <v>0</v>
      </c>
      <c r="CC313" s="8">
        <f>+MINVU_Mes_Corriente!CC313*SALUD_Mes_Constante!$CC$1</f>
        <v>0</v>
      </c>
      <c r="CD313" s="8">
        <f>+MINVU_Mes_Corriente!CD313*SALUD_Mes_Constante!$CC$1</f>
        <v>0</v>
      </c>
      <c r="CE313" s="8">
        <f>+MINVU_Mes_Corriente!CE313*SALUD_Mes_Constante!$CC$1</f>
        <v>0</v>
      </c>
      <c r="CF313" s="8">
        <f>+MINVU_Mes_Corriente!CF313*SALUD_Mes_Constante!$CC$1</f>
        <v>0</v>
      </c>
      <c r="CG313" s="8">
        <f>+MINVU_Mes_Corriente!CG313*SALUD_Mes_Constante!$CC$1</f>
        <v>0</v>
      </c>
      <c r="CH313" s="8">
        <f>+MINVU_Mes_Corriente!CH313*SALUD_Mes_Constante!$CC$1</f>
        <v>0</v>
      </c>
      <c r="CI313" s="8">
        <f>+MINVU_Mes_Corriente!CI313*SALUD_Mes_Constante!$CC$1</f>
        <v>0</v>
      </c>
      <c r="CJ313" s="8">
        <f>+MINVU_Mes_Corriente!CJ313*SALUD_Mes_Constante!$CC$1</f>
        <v>0</v>
      </c>
      <c r="CK313" s="8">
        <f>+MINVU_Mes_Corriente!CK313*SALUD_Mes_Constante!$CC$1</f>
        <v>0</v>
      </c>
      <c r="CL313" s="8">
        <f>+MINVU_Mes_Corriente!CL313*SALUD_Mes_Constante!$CC$1</f>
        <v>0</v>
      </c>
      <c r="CM313" s="8">
        <f>+MINVU_Mes_Corriente!CM313*SALUD_Mes_Constante!$CC$1</f>
        <v>0</v>
      </c>
      <c r="CN313" s="8">
        <f>+MINVU_Mes_Corriente!CN313*SALUD_Mes_Constante!$CC$1</f>
        <v>0</v>
      </c>
      <c r="CO313" s="9">
        <f t="shared" si="158"/>
        <v>0</v>
      </c>
      <c r="CP313" s="8">
        <f>+MINVU_Mes_Corriente!CP313*SALUD_Mes_Constante!$CP$1</f>
        <v>0</v>
      </c>
      <c r="CQ313" s="8">
        <f>+MINVU_Mes_Corriente!CQ313*SALUD_Mes_Constante!$CP$1</f>
        <v>0</v>
      </c>
      <c r="CR313" s="8">
        <f>+MINVU_Mes_Corriente!CR313*SALUD_Mes_Constante!$CP$1</f>
        <v>0</v>
      </c>
      <c r="CS313" s="8">
        <f>+MINVU_Mes_Corriente!CS313*SALUD_Mes_Constante!$CP$1</f>
        <v>0</v>
      </c>
      <c r="CT313" s="8">
        <f>+MINVU_Mes_Corriente!CT313*SALUD_Mes_Constante!$CP$1</f>
        <v>0</v>
      </c>
      <c r="CU313" s="8">
        <f>+MINVU_Mes_Corriente!CU313*SALUD_Mes_Constante!$CP$1</f>
        <v>0</v>
      </c>
      <c r="CV313" s="8">
        <f>+MINVU_Mes_Corriente!CV313*SALUD_Mes_Constante!$CP$1</f>
        <v>0</v>
      </c>
      <c r="CW313" s="8">
        <f>+MINVU_Mes_Corriente!CW313*SALUD_Mes_Constante!$CP$1</f>
        <v>0</v>
      </c>
      <c r="CX313" s="8">
        <f>+MINVU_Mes_Corriente!CX313*SALUD_Mes_Constante!$CP$1</f>
        <v>0</v>
      </c>
      <c r="CY313" s="8">
        <f>+MINVU_Mes_Corriente!CY313*SALUD_Mes_Constante!$CP$1</f>
        <v>0</v>
      </c>
      <c r="CZ313" s="8">
        <f>+MINVU_Mes_Corriente!CZ313*SALUD_Mes_Constante!$CP$1</f>
        <v>0</v>
      </c>
      <c r="DA313" s="8">
        <f>+MINVU_Mes_Corriente!DA313*SALUD_Mes_Constante!$CP$1</f>
        <v>0</v>
      </c>
      <c r="DB313" s="9">
        <f t="shared" si="159"/>
        <v>0</v>
      </c>
      <c r="DC313" s="8">
        <f>+MINVU_Mes_Corriente!DC313*SALUD_Mes_Constante!$DC$1</f>
        <v>0</v>
      </c>
      <c r="DD313" s="8">
        <f>+MINVU_Mes_Corriente!DD313*SALUD_Mes_Constante!$DC$1</f>
        <v>0</v>
      </c>
      <c r="DE313" s="8">
        <f>+MINVU_Mes_Corriente!DE313*SALUD_Mes_Constante!$DC$1</f>
        <v>0</v>
      </c>
      <c r="DF313" s="8">
        <f>+MINVU_Mes_Corriente!DF313*SALUD_Mes_Constante!$DC$1</f>
        <v>0</v>
      </c>
      <c r="DG313" s="8">
        <f>+MINVU_Mes_Corriente!DG313*SALUD_Mes_Constante!$DC$1</f>
        <v>0</v>
      </c>
      <c r="DH313" s="8">
        <f>+MINVU_Mes_Corriente!DH313*SALUD_Mes_Constante!$DC$1</f>
        <v>0</v>
      </c>
      <c r="DI313" s="8">
        <f>+MINVU_Mes_Corriente!DI313*SALUD_Mes_Constante!$DC$1</f>
        <v>0</v>
      </c>
      <c r="DJ313" s="8">
        <f>+MINVU_Mes_Corriente!DJ313*SALUD_Mes_Constante!$DC$1</f>
        <v>0</v>
      </c>
      <c r="DK313" s="8">
        <f>+MINVU_Mes_Corriente!DK313*SALUD_Mes_Constante!$DC$1</f>
        <v>0</v>
      </c>
      <c r="DL313" s="8">
        <f>+MINVU_Mes_Corriente!DL313*SALUD_Mes_Constante!$DC$1</f>
        <v>0</v>
      </c>
      <c r="DM313" s="8">
        <f>+MINVU_Mes_Corriente!DM313*SALUD_Mes_Constante!$DC$1</f>
        <v>0</v>
      </c>
      <c r="DN313" s="8">
        <f>+MINVU_Mes_Corriente!DN313*SALUD_Mes_Constante!$DC$1</f>
        <v>0</v>
      </c>
      <c r="DO313" s="9">
        <f t="shared" si="160"/>
        <v>0</v>
      </c>
      <c r="DP313" s="8">
        <f>+MINVU_Mes_Corriente!DP313*SALUD_Mes_Constante!$DP$1</f>
        <v>0</v>
      </c>
      <c r="DQ313" s="8">
        <f>+MINVU_Mes_Corriente!DQ313*SALUD_Mes_Constante!$DP$1</f>
        <v>0</v>
      </c>
      <c r="DR313" s="8">
        <f>+MINVU_Mes_Corriente!DR313*SALUD_Mes_Constante!$DP$1</f>
        <v>0</v>
      </c>
      <c r="DS313" s="8">
        <f>+MINVU_Mes_Corriente!DS313*SALUD_Mes_Constante!$DP$1</f>
        <v>0</v>
      </c>
      <c r="DT313" s="8">
        <f>+MINVU_Mes_Corriente!DT313*SALUD_Mes_Constante!$DP$1</f>
        <v>0</v>
      </c>
      <c r="DU313" s="8">
        <f>+MINVU_Mes_Corriente!DU313*SALUD_Mes_Constante!$DP$1</f>
        <v>0</v>
      </c>
      <c r="DV313" s="8">
        <f>+MINVU_Mes_Corriente!DV313*SALUD_Mes_Constante!$DP$1</f>
        <v>0</v>
      </c>
      <c r="DW313" s="8">
        <f>+MINVU_Mes_Corriente!DW313*SALUD_Mes_Constante!$DP$1</f>
        <v>0</v>
      </c>
      <c r="DX313" s="8">
        <f>+MINVU_Mes_Corriente!DX313*SALUD_Mes_Constante!$DP$1</f>
        <v>0</v>
      </c>
      <c r="DY313" s="8">
        <f>+MINVU_Mes_Corriente!DY313*SALUD_Mes_Constante!$DP$1</f>
        <v>0</v>
      </c>
      <c r="DZ313" s="8">
        <f>+MINVU_Mes_Corriente!DZ313*SALUD_Mes_Constante!$DP$1</f>
        <v>0</v>
      </c>
      <c r="EA313" s="8">
        <f>+MINVU_Mes_Corriente!EA313*SALUD_Mes_Constante!$DP$1</f>
        <v>0</v>
      </c>
      <c r="EB313" s="9">
        <f t="shared" si="161"/>
        <v>0</v>
      </c>
      <c r="EC313" s="8">
        <f>+MINVU_Mes_Corriente!EC313*SALUD_Mes_Constante!$EC$1</f>
        <v>0</v>
      </c>
      <c r="ED313" s="8">
        <f>+MINVU_Mes_Corriente!ED313*SALUD_Mes_Constante!$EC$1</f>
        <v>0</v>
      </c>
      <c r="EE313" s="8">
        <f>+MINVU_Mes_Corriente!EE313*SALUD_Mes_Constante!$EC$1</f>
        <v>0</v>
      </c>
      <c r="EF313" s="8">
        <f>+MINVU_Mes_Corriente!EF313*SALUD_Mes_Constante!$EC$1</f>
        <v>0</v>
      </c>
      <c r="EG313" s="8">
        <f>+MINVU_Mes_Corriente!EG313*SALUD_Mes_Constante!$EC$1</f>
        <v>0</v>
      </c>
      <c r="EH313" s="8">
        <f>+MINVU_Mes_Corriente!EH313*SALUD_Mes_Constante!$EC$1</f>
        <v>0</v>
      </c>
      <c r="EI313" s="8">
        <f>+MINVU_Mes_Corriente!EI313*SALUD_Mes_Constante!$EC$1</f>
        <v>0</v>
      </c>
      <c r="EJ313" s="8">
        <f>+MINVU_Mes_Corriente!EJ313*SALUD_Mes_Constante!$EC$1</f>
        <v>0</v>
      </c>
      <c r="EK313" s="8">
        <f>+MINVU_Mes_Corriente!EK313*SALUD_Mes_Constante!$EC$1</f>
        <v>0</v>
      </c>
      <c r="EL313" s="8">
        <f>+MINVU_Mes_Corriente!EL313*SALUD_Mes_Constante!$EC$1</f>
        <v>0</v>
      </c>
      <c r="EM313" s="8">
        <f>+MINVU_Mes_Corriente!EM313*SALUD_Mes_Constante!$EC$1</f>
        <v>0</v>
      </c>
      <c r="EN313" s="8">
        <f>+MINVU_Mes_Corriente!EN313*SALUD_Mes_Constante!$EC$1</f>
        <v>0</v>
      </c>
      <c r="EO313" s="9">
        <f t="shared" si="162"/>
        <v>0</v>
      </c>
      <c r="EP313" s="8">
        <f>+MINVU_Mes_Corriente!EP313*SALUD_Mes_Constante!$EP$1</f>
        <v>0</v>
      </c>
      <c r="EQ313" s="8">
        <f>+MINVU_Mes_Corriente!EQ313*SALUD_Mes_Constante!$EP$1</f>
        <v>0</v>
      </c>
      <c r="ER313" s="8">
        <f>+MINVU_Mes_Corriente!ER313*SALUD_Mes_Constante!$EP$1</f>
        <v>0</v>
      </c>
      <c r="ES313" s="8">
        <f>+MINVU_Mes_Corriente!ES313*SALUD_Mes_Constante!$EP$1</f>
        <v>0</v>
      </c>
      <c r="ET313" s="8">
        <f>+MINVU_Mes_Corriente!ET313*SALUD_Mes_Constante!$EP$1</f>
        <v>0</v>
      </c>
      <c r="EU313" s="8">
        <f>+MINVU_Mes_Corriente!EU313*SALUD_Mes_Constante!$EP$1</f>
        <v>0</v>
      </c>
      <c r="EV313" s="8">
        <f>+MINVU_Mes_Corriente!EV313*SALUD_Mes_Constante!$EP$1</f>
        <v>0</v>
      </c>
      <c r="EW313" s="8">
        <f>+MINVU_Mes_Corriente!EW313*SALUD_Mes_Constante!$EP$1</f>
        <v>0</v>
      </c>
      <c r="EX313" s="8">
        <f>+MINVU_Mes_Corriente!EX313*SALUD_Mes_Constante!$EP$1</f>
        <v>0</v>
      </c>
      <c r="EY313" s="8">
        <f>+MINVU_Mes_Corriente!EY313*SALUD_Mes_Constante!$EP$1</f>
        <v>0</v>
      </c>
      <c r="EZ313" s="8">
        <f>+MINVU_Mes_Corriente!EZ313*SALUD_Mes_Constante!$EP$1</f>
        <v>0</v>
      </c>
      <c r="FA313" s="8">
        <f>+MINVU_Mes_Corriente!FA313*SALUD_Mes_Constante!$EP$1</f>
        <v>0</v>
      </c>
      <c r="FB313" s="9">
        <f t="shared" si="163"/>
        <v>0</v>
      </c>
      <c r="FC313" s="8">
        <f>+MINVU_Mes_Corriente!FC313*SALUD_Mes_Constante!$FC$1</f>
        <v>0</v>
      </c>
      <c r="FD313" s="8">
        <f>+MINVU_Mes_Corriente!FD313*SALUD_Mes_Constante!$FC$1</f>
        <v>0</v>
      </c>
      <c r="FE313" s="8">
        <f>+MINVU_Mes_Corriente!FE313*SALUD_Mes_Constante!$FC$1</f>
        <v>0</v>
      </c>
      <c r="FF313" s="8">
        <f>+MINVU_Mes_Corriente!FF313*SALUD_Mes_Constante!$FC$1</f>
        <v>0</v>
      </c>
      <c r="FG313" s="8">
        <f>+MINVU_Mes_Corriente!FG313*SALUD_Mes_Constante!$FC$1</f>
        <v>0</v>
      </c>
      <c r="FH313" s="8">
        <f>+MINVU_Mes_Corriente!FH313*SALUD_Mes_Constante!$FC$1</f>
        <v>0</v>
      </c>
      <c r="FI313" s="8">
        <f>+MINVU_Mes_Corriente!FI313*SALUD_Mes_Constante!$FC$1</f>
        <v>0</v>
      </c>
      <c r="FJ313" s="8"/>
      <c r="FK313" s="8"/>
      <c r="FL313" s="8"/>
      <c r="FM313" s="8"/>
      <c r="FN313" s="8"/>
      <c r="FO313" s="9">
        <f t="shared" si="164"/>
        <v>0</v>
      </c>
    </row>
    <row r="314" spans="2:171" ht="14.25" customHeight="1" x14ac:dyDescent="0.3">
      <c r="B314" s="7" t="s">
        <v>55</v>
      </c>
      <c r="C314" s="8">
        <f>+MINVU_Mes_Corriente!C314*SALUD_Mes_Constante!$C$1</f>
        <v>0</v>
      </c>
      <c r="D314" s="8">
        <f>+MINVU_Mes_Corriente!D314*SALUD_Mes_Constante!$C$1</f>
        <v>0</v>
      </c>
      <c r="E314" s="8">
        <f>+MINVU_Mes_Corriente!E314*SALUD_Mes_Constante!$C$1</f>
        <v>0</v>
      </c>
      <c r="F314" s="8">
        <f>+MINVU_Mes_Corriente!F314*SALUD_Mes_Constante!$C$1</f>
        <v>0</v>
      </c>
      <c r="G314" s="8">
        <f>+MINVU_Mes_Corriente!G314*SALUD_Mes_Constante!$C$1</f>
        <v>0</v>
      </c>
      <c r="H314" s="8">
        <f>+MINVU_Mes_Corriente!H314*SALUD_Mes_Constante!$C$1</f>
        <v>0</v>
      </c>
      <c r="I314" s="8">
        <f>+MINVU_Mes_Corriente!I314*SALUD_Mes_Constante!$C$1</f>
        <v>0</v>
      </c>
      <c r="J314" s="8">
        <f>+MINVU_Mes_Corriente!J314*SALUD_Mes_Constante!$C$1</f>
        <v>0</v>
      </c>
      <c r="K314" s="8">
        <f>+MINVU_Mes_Corriente!K314*SALUD_Mes_Constante!$C$1</f>
        <v>0</v>
      </c>
      <c r="L314" s="8">
        <f>+MINVU_Mes_Corriente!L314*SALUD_Mes_Constante!$C$1</f>
        <v>0</v>
      </c>
      <c r="M314" s="8">
        <f>+MINVU_Mes_Corriente!M314*SALUD_Mes_Constante!$C$1</f>
        <v>0</v>
      </c>
      <c r="N314" s="8">
        <f>+MINVU_Mes_Corriente!N314*SALUD_Mes_Constante!$C$1</f>
        <v>0</v>
      </c>
      <c r="O314" s="9">
        <f t="shared" si="152"/>
        <v>0</v>
      </c>
      <c r="P314" s="8">
        <f>+MINVU_Mes_Corriente!P314*SALUD_Mes_Constante!$P$1</f>
        <v>0</v>
      </c>
      <c r="Q314" s="8">
        <f>+MINVU_Mes_Corriente!Q314*SALUD_Mes_Constante!$P$1</f>
        <v>0</v>
      </c>
      <c r="R314" s="8">
        <f>+MINVU_Mes_Corriente!R314*SALUD_Mes_Constante!$P$1</f>
        <v>0</v>
      </c>
      <c r="S314" s="8">
        <f>+MINVU_Mes_Corriente!S314*SALUD_Mes_Constante!$P$1</f>
        <v>0</v>
      </c>
      <c r="T314" s="8">
        <f>+MINVU_Mes_Corriente!T314*SALUD_Mes_Constante!$P$1</f>
        <v>0</v>
      </c>
      <c r="U314" s="8">
        <f>+MINVU_Mes_Corriente!U314*SALUD_Mes_Constante!$P$1</f>
        <v>0</v>
      </c>
      <c r="V314" s="8">
        <f>+MINVU_Mes_Corriente!V314*SALUD_Mes_Constante!$P$1</f>
        <v>0</v>
      </c>
      <c r="W314" s="8">
        <f>+MINVU_Mes_Corriente!W314*SALUD_Mes_Constante!$P$1</f>
        <v>0</v>
      </c>
      <c r="X314" s="8">
        <f>+MINVU_Mes_Corriente!X314*SALUD_Mes_Constante!$P$1</f>
        <v>0</v>
      </c>
      <c r="Y314" s="8">
        <f>+MINVU_Mes_Corriente!Y314*SALUD_Mes_Constante!$P$1</f>
        <v>0</v>
      </c>
      <c r="Z314" s="8">
        <f>+MINVU_Mes_Corriente!Z314*SALUD_Mes_Constante!$P$1</f>
        <v>0</v>
      </c>
      <c r="AA314" s="8">
        <f>+MINVU_Mes_Corriente!AA314*SALUD_Mes_Constante!$P$1</f>
        <v>0</v>
      </c>
      <c r="AB314" s="9">
        <f t="shared" si="153"/>
        <v>0</v>
      </c>
      <c r="AC314" s="8">
        <f>+MINVU_Mes_Corriente!AC314*SALUD_Mes_Constante!$AC$1</f>
        <v>0</v>
      </c>
      <c r="AD314" s="8">
        <f>+MINVU_Mes_Corriente!AD314*SALUD_Mes_Constante!$AC$1</f>
        <v>0</v>
      </c>
      <c r="AE314" s="8">
        <f>+MINVU_Mes_Corriente!AE314*SALUD_Mes_Constante!$AC$1</f>
        <v>0</v>
      </c>
      <c r="AF314" s="8">
        <f>+MINVU_Mes_Corriente!AF314*SALUD_Mes_Constante!$AC$1</f>
        <v>0</v>
      </c>
      <c r="AG314" s="8">
        <f>+MINVU_Mes_Corriente!AG314*SALUD_Mes_Constante!$AC$1</f>
        <v>0</v>
      </c>
      <c r="AH314" s="8">
        <f>+MINVU_Mes_Corriente!AH314*SALUD_Mes_Constante!$AC$1</f>
        <v>0</v>
      </c>
      <c r="AI314" s="8">
        <f>+MINVU_Mes_Corriente!AI314*SALUD_Mes_Constante!$AC$1</f>
        <v>0</v>
      </c>
      <c r="AJ314" s="8">
        <f>+MINVU_Mes_Corriente!AJ314*SALUD_Mes_Constante!$AC$1</f>
        <v>0</v>
      </c>
      <c r="AK314" s="8">
        <f>+MINVU_Mes_Corriente!AK314*SALUD_Mes_Constante!$AC$1</f>
        <v>0</v>
      </c>
      <c r="AL314" s="8">
        <f>+MINVU_Mes_Corriente!AL314*SALUD_Mes_Constante!$AC$1</f>
        <v>0</v>
      </c>
      <c r="AM314" s="8">
        <f>+MINVU_Mes_Corriente!AM314*SALUD_Mes_Constante!$AC$1</f>
        <v>0</v>
      </c>
      <c r="AN314" s="8">
        <f>+MINVU_Mes_Corriente!AN314*SALUD_Mes_Constante!$AC$1</f>
        <v>0</v>
      </c>
      <c r="AO314" s="9">
        <f t="shared" si="154"/>
        <v>0</v>
      </c>
      <c r="AP314" s="8">
        <f>+MINVU_Mes_Corriente!AP314*SALUD_Mes_Constante!$AP$1</f>
        <v>0</v>
      </c>
      <c r="AQ314" s="8">
        <f>+MINVU_Mes_Corriente!AQ314*SALUD_Mes_Constante!$AP$1</f>
        <v>0</v>
      </c>
      <c r="AR314" s="8">
        <f>+MINVU_Mes_Corriente!AR314*SALUD_Mes_Constante!$AP$1</f>
        <v>0</v>
      </c>
      <c r="AS314" s="8">
        <f>+MINVU_Mes_Corriente!AS314*SALUD_Mes_Constante!$AP$1</f>
        <v>0</v>
      </c>
      <c r="AT314" s="8">
        <f>+MINVU_Mes_Corriente!AT314*SALUD_Mes_Constante!$AP$1</f>
        <v>0</v>
      </c>
      <c r="AU314" s="8">
        <f>+MINVU_Mes_Corriente!AU314*SALUD_Mes_Constante!$AP$1</f>
        <v>0</v>
      </c>
      <c r="AV314" s="8">
        <f>+MINVU_Mes_Corriente!AV314*SALUD_Mes_Constante!$AP$1</f>
        <v>0</v>
      </c>
      <c r="AW314" s="8">
        <f>+MINVU_Mes_Corriente!AW314*SALUD_Mes_Constante!$AP$1</f>
        <v>0</v>
      </c>
      <c r="AX314" s="8">
        <f>+MINVU_Mes_Corriente!AX314*SALUD_Mes_Constante!$AP$1</f>
        <v>0</v>
      </c>
      <c r="AY314" s="8">
        <f>+MINVU_Mes_Corriente!AY314*SALUD_Mes_Constante!$AP$1</f>
        <v>0</v>
      </c>
      <c r="AZ314" s="8">
        <f>+MINVU_Mes_Corriente!AZ314*SALUD_Mes_Constante!$AP$1</f>
        <v>0</v>
      </c>
      <c r="BA314" s="8">
        <f>+MINVU_Mes_Corriente!BA314*SALUD_Mes_Constante!$AP$1</f>
        <v>0</v>
      </c>
      <c r="BB314" s="9">
        <f t="shared" si="155"/>
        <v>0</v>
      </c>
      <c r="BC314" s="8">
        <f>+MINVU_Mes_Corriente!BC314*SALUD_Mes_Constante!$BC$1</f>
        <v>0</v>
      </c>
      <c r="BD314" s="8">
        <f>+MINVU_Mes_Corriente!BD314*SALUD_Mes_Constante!$BC$1</f>
        <v>0</v>
      </c>
      <c r="BE314" s="8">
        <f>+MINVU_Mes_Corriente!BE314*SALUD_Mes_Constante!$BC$1</f>
        <v>0</v>
      </c>
      <c r="BF314" s="8">
        <f>+MINVU_Mes_Corriente!BF314*SALUD_Mes_Constante!$BC$1</f>
        <v>0</v>
      </c>
      <c r="BG314" s="8">
        <f>+MINVU_Mes_Corriente!BG314*SALUD_Mes_Constante!$BC$1</f>
        <v>0</v>
      </c>
      <c r="BH314" s="8">
        <f>+MINVU_Mes_Corriente!BH314*SALUD_Mes_Constante!$BC$1</f>
        <v>0</v>
      </c>
      <c r="BI314" s="8">
        <f>+MINVU_Mes_Corriente!BI314*SALUD_Mes_Constante!$BC$1</f>
        <v>0</v>
      </c>
      <c r="BJ314" s="8">
        <f>+MINVU_Mes_Corriente!BJ314*SALUD_Mes_Constante!$BC$1</f>
        <v>0</v>
      </c>
      <c r="BK314" s="8">
        <f>+MINVU_Mes_Corriente!BK314*SALUD_Mes_Constante!$BC$1</f>
        <v>0</v>
      </c>
      <c r="BL314" s="8">
        <f>+MINVU_Mes_Corriente!BL314*SALUD_Mes_Constante!$BC$1</f>
        <v>0</v>
      </c>
      <c r="BM314" s="8">
        <f>+MINVU_Mes_Corriente!BM314*SALUD_Mes_Constante!$BC$1</f>
        <v>0</v>
      </c>
      <c r="BN314" s="8">
        <f>+MINVU_Mes_Corriente!BN314*SALUD_Mes_Constante!$BC$1</f>
        <v>0</v>
      </c>
      <c r="BO314" s="9">
        <f t="shared" si="156"/>
        <v>0</v>
      </c>
      <c r="BP314" s="8">
        <f>+MINVU_Mes_Corriente!BP314*SALUD_Mes_Constante!$BP$1</f>
        <v>0</v>
      </c>
      <c r="BQ314" s="8">
        <f>+MINVU_Mes_Corriente!BQ314*SALUD_Mes_Constante!$BP$1</f>
        <v>0</v>
      </c>
      <c r="BR314" s="8">
        <f>+MINVU_Mes_Corriente!BR314*SALUD_Mes_Constante!$BP$1</f>
        <v>0</v>
      </c>
      <c r="BS314" s="8">
        <f>+MINVU_Mes_Corriente!BS314*SALUD_Mes_Constante!$BP$1</f>
        <v>0</v>
      </c>
      <c r="BT314" s="8">
        <f>+MINVU_Mes_Corriente!BT314*SALUD_Mes_Constante!$BP$1</f>
        <v>0</v>
      </c>
      <c r="BU314" s="8">
        <f>+MINVU_Mes_Corriente!BU314*SALUD_Mes_Constante!$BP$1</f>
        <v>0</v>
      </c>
      <c r="BV314" s="8">
        <f>+MINVU_Mes_Corriente!BV314*SALUD_Mes_Constante!$BP$1</f>
        <v>0</v>
      </c>
      <c r="BW314" s="8">
        <f>+MINVU_Mes_Corriente!BW314*SALUD_Mes_Constante!$BP$1</f>
        <v>0</v>
      </c>
      <c r="BX314" s="8">
        <f>+MINVU_Mes_Corriente!BX314*SALUD_Mes_Constante!$BP$1</f>
        <v>0</v>
      </c>
      <c r="BY314" s="8">
        <f>+MINVU_Mes_Corriente!BY314*SALUD_Mes_Constante!$BP$1</f>
        <v>0</v>
      </c>
      <c r="BZ314" s="8">
        <f>+MINVU_Mes_Corriente!BZ314*SALUD_Mes_Constante!$BP$1</f>
        <v>0</v>
      </c>
      <c r="CA314" s="8">
        <f>+MINVU_Mes_Corriente!CA314*SALUD_Mes_Constante!$BP$1</f>
        <v>0</v>
      </c>
      <c r="CB314" s="9">
        <f t="shared" si="157"/>
        <v>0</v>
      </c>
      <c r="CC314" s="8">
        <f>+MINVU_Mes_Corriente!CC314*SALUD_Mes_Constante!$CC$1</f>
        <v>0</v>
      </c>
      <c r="CD314" s="8">
        <f>+MINVU_Mes_Corriente!CD314*SALUD_Mes_Constante!$CC$1</f>
        <v>0</v>
      </c>
      <c r="CE314" s="8">
        <f>+MINVU_Mes_Corriente!CE314*SALUD_Mes_Constante!$CC$1</f>
        <v>0</v>
      </c>
      <c r="CF314" s="8">
        <f>+MINVU_Mes_Corriente!CF314*SALUD_Mes_Constante!$CC$1</f>
        <v>0</v>
      </c>
      <c r="CG314" s="8">
        <f>+MINVU_Mes_Corriente!CG314*SALUD_Mes_Constante!$CC$1</f>
        <v>0</v>
      </c>
      <c r="CH314" s="8">
        <f>+MINVU_Mes_Corriente!CH314*SALUD_Mes_Constante!$CC$1</f>
        <v>0</v>
      </c>
      <c r="CI314" s="8">
        <f>+MINVU_Mes_Corriente!CI314*SALUD_Mes_Constante!$CC$1</f>
        <v>0</v>
      </c>
      <c r="CJ314" s="8">
        <f>+MINVU_Mes_Corriente!CJ314*SALUD_Mes_Constante!$CC$1</f>
        <v>0</v>
      </c>
      <c r="CK314" s="8">
        <f>+MINVU_Mes_Corriente!CK314*SALUD_Mes_Constante!$CC$1</f>
        <v>0</v>
      </c>
      <c r="CL314" s="8">
        <f>+MINVU_Mes_Corriente!CL314*SALUD_Mes_Constante!$CC$1</f>
        <v>0</v>
      </c>
      <c r="CM314" s="8">
        <f>+MINVU_Mes_Corriente!CM314*SALUD_Mes_Constante!$CC$1</f>
        <v>0</v>
      </c>
      <c r="CN314" s="8">
        <f>+MINVU_Mes_Corriente!CN314*SALUD_Mes_Constante!$CC$1</f>
        <v>0</v>
      </c>
      <c r="CO314" s="9">
        <f t="shared" si="158"/>
        <v>0</v>
      </c>
      <c r="CP314" s="8">
        <f>+MINVU_Mes_Corriente!CP314*SALUD_Mes_Constante!$CP$1</f>
        <v>0</v>
      </c>
      <c r="CQ314" s="8">
        <f>+MINVU_Mes_Corriente!CQ314*SALUD_Mes_Constante!$CP$1</f>
        <v>0</v>
      </c>
      <c r="CR314" s="8">
        <f>+MINVU_Mes_Corriente!CR314*SALUD_Mes_Constante!$CP$1</f>
        <v>0</v>
      </c>
      <c r="CS314" s="8">
        <f>+MINVU_Mes_Corriente!CS314*SALUD_Mes_Constante!$CP$1</f>
        <v>0</v>
      </c>
      <c r="CT314" s="8">
        <f>+MINVU_Mes_Corriente!CT314*SALUD_Mes_Constante!$CP$1</f>
        <v>0</v>
      </c>
      <c r="CU314" s="8">
        <f>+MINVU_Mes_Corriente!CU314*SALUD_Mes_Constante!$CP$1</f>
        <v>0</v>
      </c>
      <c r="CV314" s="8">
        <f>+MINVU_Mes_Corriente!CV314*SALUD_Mes_Constante!$CP$1</f>
        <v>0</v>
      </c>
      <c r="CW314" s="8">
        <f>+MINVU_Mes_Corriente!CW314*SALUD_Mes_Constante!$CP$1</f>
        <v>0</v>
      </c>
      <c r="CX314" s="8">
        <f>+MINVU_Mes_Corriente!CX314*SALUD_Mes_Constante!$CP$1</f>
        <v>0</v>
      </c>
      <c r="CY314" s="8">
        <f>+MINVU_Mes_Corriente!CY314*SALUD_Mes_Constante!$CP$1</f>
        <v>0</v>
      </c>
      <c r="CZ314" s="8">
        <f>+MINVU_Mes_Corriente!CZ314*SALUD_Mes_Constante!$CP$1</f>
        <v>0</v>
      </c>
      <c r="DA314" s="8">
        <f>+MINVU_Mes_Corriente!DA314*SALUD_Mes_Constante!$CP$1</f>
        <v>0</v>
      </c>
      <c r="DB314" s="9">
        <f t="shared" si="159"/>
        <v>0</v>
      </c>
      <c r="DC314" s="8">
        <f>+MINVU_Mes_Corriente!DC314*SALUD_Mes_Constante!$DC$1</f>
        <v>0</v>
      </c>
      <c r="DD314" s="8">
        <f>+MINVU_Mes_Corriente!DD314*SALUD_Mes_Constante!$DC$1</f>
        <v>0</v>
      </c>
      <c r="DE314" s="8">
        <f>+MINVU_Mes_Corriente!DE314*SALUD_Mes_Constante!$DC$1</f>
        <v>0</v>
      </c>
      <c r="DF314" s="8">
        <f>+MINVU_Mes_Corriente!DF314*SALUD_Mes_Constante!$DC$1</f>
        <v>0</v>
      </c>
      <c r="DG314" s="8">
        <f>+MINVU_Mes_Corriente!DG314*SALUD_Mes_Constante!$DC$1</f>
        <v>0</v>
      </c>
      <c r="DH314" s="8">
        <f>+MINVU_Mes_Corriente!DH314*SALUD_Mes_Constante!$DC$1</f>
        <v>0</v>
      </c>
      <c r="DI314" s="8">
        <f>+MINVU_Mes_Corriente!DI314*SALUD_Mes_Constante!$DC$1</f>
        <v>0</v>
      </c>
      <c r="DJ314" s="8">
        <f>+MINVU_Mes_Corriente!DJ314*SALUD_Mes_Constante!$DC$1</f>
        <v>0</v>
      </c>
      <c r="DK314" s="8">
        <f>+MINVU_Mes_Corriente!DK314*SALUD_Mes_Constante!$DC$1</f>
        <v>0</v>
      </c>
      <c r="DL314" s="8">
        <f>+MINVU_Mes_Corriente!DL314*SALUD_Mes_Constante!$DC$1</f>
        <v>0</v>
      </c>
      <c r="DM314" s="8">
        <f>+MINVU_Mes_Corriente!DM314*SALUD_Mes_Constante!$DC$1</f>
        <v>0</v>
      </c>
      <c r="DN314" s="8">
        <f>+MINVU_Mes_Corriente!DN314*SALUD_Mes_Constante!$DC$1</f>
        <v>0</v>
      </c>
      <c r="DO314" s="9">
        <f t="shared" si="160"/>
        <v>0</v>
      </c>
      <c r="DP314" s="8">
        <f>+MINVU_Mes_Corriente!DP314*SALUD_Mes_Constante!$DP$1</f>
        <v>0</v>
      </c>
      <c r="DQ314" s="8">
        <f>+MINVU_Mes_Corriente!DQ314*SALUD_Mes_Constante!$DP$1</f>
        <v>0</v>
      </c>
      <c r="DR314" s="8">
        <f>+MINVU_Mes_Corriente!DR314*SALUD_Mes_Constante!$DP$1</f>
        <v>0</v>
      </c>
      <c r="DS314" s="8">
        <f>+MINVU_Mes_Corriente!DS314*SALUD_Mes_Constante!$DP$1</f>
        <v>0</v>
      </c>
      <c r="DT314" s="8">
        <f>+MINVU_Mes_Corriente!DT314*SALUD_Mes_Constante!$DP$1</f>
        <v>0</v>
      </c>
      <c r="DU314" s="8">
        <f>+MINVU_Mes_Corriente!DU314*SALUD_Mes_Constante!$DP$1</f>
        <v>0</v>
      </c>
      <c r="DV314" s="8">
        <f>+MINVU_Mes_Corriente!DV314*SALUD_Mes_Constante!$DP$1</f>
        <v>0</v>
      </c>
      <c r="DW314" s="8">
        <f>+MINVU_Mes_Corriente!DW314*SALUD_Mes_Constante!$DP$1</f>
        <v>0</v>
      </c>
      <c r="DX314" s="8">
        <f>+MINVU_Mes_Corriente!DX314*SALUD_Mes_Constante!$DP$1</f>
        <v>0</v>
      </c>
      <c r="DY314" s="8">
        <f>+MINVU_Mes_Corriente!DY314*SALUD_Mes_Constante!$DP$1</f>
        <v>0</v>
      </c>
      <c r="DZ314" s="8">
        <f>+MINVU_Mes_Corriente!DZ314*SALUD_Mes_Constante!$DP$1</f>
        <v>0</v>
      </c>
      <c r="EA314" s="8">
        <f>+MINVU_Mes_Corriente!EA314*SALUD_Mes_Constante!$DP$1</f>
        <v>0</v>
      </c>
      <c r="EB314" s="9">
        <f t="shared" si="161"/>
        <v>0</v>
      </c>
      <c r="EC314" s="8">
        <f>+MINVU_Mes_Corriente!EC314*SALUD_Mes_Constante!$EC$1</f>
        <v>0</v>
      </c>
      <c r="ED314" s="8">
        <f>+MINVU_Mes_Corriente!ED314*SALUD_Mes_Constante!$EC$1</f>
        <v>0</v>
      </c>
      <c r="EE314" s="8">
        <f>+MINVU_Mes_Corriente!EE314*SALUD_Mes_Constante!$EC$1</f>
        <v>0</v>
      </c>
      <c r="EF314" s="8">
        <f>+MINVU_Mes_Corriente!EF314*SALUD_Mes_Constante!$EC$1</f>
        <v>0</v>
      </c>
      <c r="EG314" s="8">
        <f>+MINVU_Mes_Corriente!EG314*SALUD_Mes_Constante!$EC$1</f>
        <v>0</v>
      </c>
      <c r="EH314" s="8">
        <f>+MINVU_Mes_Corriente!EH314*SALUD_Mes_Constante!$EC$1</f>
        <v>0</v>
      </c>
      <c r="EI314" s="8">
        <f>+MINVU_Mes_Corriente!EI314*SALUD_Mes_Constante!$EC$1</f>
        <v>0</v>
      </c>
      <c r="EJ314" s="8">
        <f>+MINVU_Mes_Corriente!EJ314*SALUD_Mes_Constante!$EC$1</f>
        <v>0</v>
      </c>
      <c r="EK314" s="8">
        <f>+MINVU_Mes_Corriente!EK314*SALUD_Mes_Constante!$EC$1</f>
        <v>0</v>
      </c>
      <c r="EL314" s="8">
        <f>+MINVU_Mes_Corriente!EL314*SALUD_Mes_Constante!$EC$1</f>
        <v>0</v>
      </c>
      <c r="EM314" s="8">
        <f>+MINVU_Mes_Corriente!EM314*SALUD_Mes_Constante!$EC$1</f>
        <v>0</v>
      </c>
      <c r="EN314" s="8">
        <f>+MINVU_Mes_Corriente!EN314*SALUD_Mes_Constante!$EC$1</f>
        <v>0</v>
      </c>
      <c r="EO314" s="9">
        <f t="shared" si="162"/>
        <v>0</v>
      </c>
      <c r="EP314" s="8">
        <f>+MINVU_Mes_Corriente!EP314*SALUD_Mes_Constante!$EP$1</f>
        <v>0</v>
      </c>
      <c r="EQ314" s="8">
        <f>+MINVU_Mes_Corriente!EQ314*SALUD_Mes_Constante!$EP$1</f>
        <v>0</v>
      </c>
      <c r="ER314" s="8">
        <f>+MINVU_Mes_Corriente!ER314*SALUD_Mes_Constante!$EP$1</f>
        <v>0</v>
      </c>
      <c r="ES314" s="8">
        <f>+MINVU_Mes_Corriente!ES314*SALUD_Mes_Constante!$EP$1</f>
        <v>0</v>
      </c>
      <c r="ET314" s="8">
        <f>+MINVU_Mes_Corriente!ET314*SALUD_Mes_Constante!$EP$1</f>
        <v>0</v>
      </c>
      <c r="EU314" s="8">
        <f>+MINVU_Mes_Corriente!EU314*SALUD_Mes_Constante!$EP$1</f>
        <v>0</v>
      </c>
      <c r="EV314" s="8">
        <f>+MINVU_Mes_Corriente!EV314*SALUD_Mes_Constante!$EP$1</f>
        <v>0</v>
      </c>
      <c r="EW314" s="8">
        <f>+MINVU_Mes_Corriente!EW314*SALUD_Mes_Constante!$EP$1</f>
        <v>0</v>
      </c>
      <c r="EX314" s="8">
        <f>+MINVU_Mes_Corriente!EX314*SALUD_Mes_Constante!$EP$1</f>
        <v>0</v>
      </c>
      <c r="EY314" s="8">
        <f>+MINVU_Mes_Corriente!EY314*SALUD_Mes_Constante!$EP$1</f>
        <v>0</v>
      </c>
      <c r="EZ314" s="8">
        <f>+MINVU_Mes_Corriente!EZ314*SALUD_Mes_Constante!$EP$1</f>
        <v>0</v>
      </c>
      <c r="FA314" s="8">
        <f>+MINVU_Mes_Corriente!FA314*SALUD_Mes_Constante!$EP$1</f>
        <v>0</v>
      </c>
      <c r="FB314" s="9">
        <f t="shared" si="163"/>
        <v>0</v>
      </c>
      <c r="FC314" s="8">
        <f>+MINVU_Mes_Corriente!FC314*SALUD_Mes_Constante!$FC$1</f>
        <v>0</v>
      </c>
      <c r="FD314" s="8">
        <f>+MINVU_Mes_Corriente!FD314*SALUD_Mes_Constante!$FC$1</f>
        <v>0</v>
      </c>
      <c r="FE314" s="8">
        <f>+MINVU_Mes_Corriente!FE314*SALUD_Mes_Constante!$FC$1</f>
        <v>0</v>
      </c>
      <c r="FF314" s="8">
        <f>+MINVU_Mes_Corriente!FF314*SALUD_Mes_Constante!$FC$1</f>
        <v>0</v>
      </c>
      <c r="FG314" s="8">
        <f>+MINVU_Mes_Corriente!FG314*SALUD_Mes_Constante!$FC$1</f>
        <v>0</v>
      </c>
      <c r="FH314" s="8">
        <f>+MINVU_Mes_Corriente!FH314*SALUD_Mes_Constante!$FC$1</f>
        <v>0</v>
      </c>
      <c r="FI314" s="8">
        <f>+MINVU_Mes_Corriente!FI314*SALUD_Mes_Constante!$FC$1</f>
        <v>0</v>
      </c>
      <c r="FJ314" s="8"/>
      <c r="FK314" s="8"/>
      <c r="FL314" s="8"/>
      <c r="FM314" s="8"/>
      <c r="FN314" s="8"/>
      <c r="FO314" s="9">
        <f t="shared" si="164"/>
        <v>0</v>
      </c>
    </row>
    <row r="315" spans="2:171" ht="14.25" customHeight="1" x14ac:dyDescent="0.3">
      <c r="B315" s="7" t="s">
        <v>56</v>
      </c>
      <c r="C315" s="8">
        <f>+MINVU_Mes_Corriente!C315*SALUD_Mes_Constante!$C$1</f>
        <v>0</v>
      </c>
      <c r="D315" s="8">
        <f>+MINVU_Mes_Corriente!D315*SALUD_Mes_Constante!$C$1</f>
        <v>0</v>
      </c>
      <c r="E315" s="8">
        <f>+MINVU_Mes_Corriente!E315*SALUD_Mes_Constante!$C$1</f>
        <v>0</v>
      </c>
      <c r="F315" s="8">
        <f>+MINVU_Mes_Corriente!F315*SALUD_Mes_Constante!$C$1</f>
        <v>0</v>
      </c>
      <c r="G315" s="8">
        <f>+MINVU_Mes_Corriente!G315*SALUD_Mes_Constante!$C$1</f>
        <v>0</v>
      </c>
      <c r="H315" s="8">
        <f>+MINVU_Mes_Corriente!H315*SALUD_Mes_Constante!$C$1</f>
        <v>0</v>
      </c>
      <c r="I315" s="8">
        <f>+MINVU_Mes_Corriente!I315*SALUD_Mes_Constante!$C$1</f>
        <v>0</v>
      </c>
      <c r="J315" s="8">
        <f>+MINVU_Mes_Corriente!J315*SALUD_Mes_Constante!$C$1</f>
        <v>0</v>
      </c>
      <c r="K315" s="8">
        <f>+MINVU_Mes_Corriente!K315*SALUD_Mes_Constante!$C$1</f>
        <v>0</v>
      </c>
      <c r="L315" s="8">
        <f>+MINVU_Mes_Corriente!L315*SALUD_Mes_Constante!$C$1</f>
        <v>0</v>
      </c>
      <c r="M315" s="8">
        <f>+MINVU_Mes_Corriente!M315*SALUD_Mes_Constante!$C$1</f>
        <v>0</v>
      </c>
      <c r="N315" s="8">
        <f>+MINVU_Mes_Corriente!N315*SALUD_Mes_Constante!$C$1</f>
        <v>0</v>
      </c>
      <c r="O315" s="9">
        <f t="shared" si="152"/>
        <v>0</v>
      </c>
      <c r="P315" s="8">
        <f>+MINVU_Mes_Corriente!P315*SALUD_Mes_Constante!$P$1</f>
        <v>0</v>
      </c>
      <c r="Q315" s="8">
        <f>+MINVU_Mes_Corriente!Q315*SALUD_Mes_Constante!$P$1</f>
        <v>0</v>
      </c>
      <c r="R315" s="8">
        <f>+MINVU_Mes_Corriente!R315*SALUD_Mes_Constante!$P$1</f>
        <v>0</v>
      </c>
      <c r="S315" s="8">
        <f>+MINVU_Mes_Corriente!S315*SALUD_Mes_Constante!$P$1</f>
        <v>0</v>
      </c>
      <c r="T315" s="8">
        <f>+MINVU_Mes_Corriente!T315*SALUD_Mes_Constante!$P$1</f>
        <v>0</v>
      </c>
      <c r="U315" s="8">
        <f>+MINVU_Mes_Corriente!U315*SALUD_Mes_Constante!$P$1</f>
        <v>0</v>
      </c>
      <c r="V315" s="8">
        <f>+MINVU_Mes_Corriente!V315*SALUD_Mes_Constante!$P$1</f>
        <v>0</v>
      </c>
      <c r="W315" s="8">
        <f>+MINVU_Mes_Corriente!W315*SALUD_Mes_Constante!$P$1</f>
        <v>0</v>
      </c>
      <c r="X315" s="8">
        <f>+MINVU_Mes_Corriente!X315*SALUD_Mes_Constante!$P$1</f>
        <v>0</v>
      </c>
      <c r="Y315" s="8">
        <f>+MINVU_Mes_Corriente!Y315*SALUD_Mes_Constante!$P$1</f>
        <v>0</v>
      </c>
      <c r="Z315" s="8">
        <f>+MINVU_Mes_Corriente!Z315*SALUD_Mes_Constante!$P$1</f>
        <v>0</v>
      </c>
      <c r="AA315" s="8">
        <f>+MINVU_Mes_Corriente!AA315*SALUD_Mes_Constante!$P$1</f>
        <v>0</v>
      </c>
      <c r="AB315" s="9">
        <f t="shared" si="153"/>
        <v>0</v>
      </c>
      <c r="AC315" s="8">
        <f>+MINVU_Mes_Corriente!AC315*SALUD_Mes_Constante!$AC$1</f>
        <v>0</v>
      </c>
      <c r="AD315" s="8">
        <f>+MINVU_Mes_Corriente!AD315*SALUD_Mes_Constante!$AC$1</f>
        <v>0</v>
      </c>
      <c r="AE315" s="8">
        <f>+MINVU_Mes_Corriente!AE315*SALUD_Mes_Constante!$AC$1</f>
        <v>0</v>
      </c>
      <c r="AF315" s="8">
        <f>+MINVU_Mes_Corriente!AF315*SALUD_Mes_Constante!$AC$1</f>
        <v>0</v>
      </c>
      <c r="AG315" s="8">
        <f>+MINVU_Mes_Corriente!AG315*SALUD_Mes_Constante!$AC$1</f>
        <v>0</v>
      </c>
      <c r="AH315" s="8">
        <f>+MINVU_Mes_Corriente!AH315*SALUD_Mes_Constante!$AC$1</f>
        <v>0</v>
      </c>
      <c r="AI315" s="8">
        <f>+MINVU_Mes_Corriente!AI315*SALUD_Mes_Constante!$AC$1</f>
        <v>0</v>
      </c>
      <c r="AJ315" s="8">
        <f>+MINVU_Mes_Corriente!AJ315*SALUD_Mes_Constante!$AC$1</f>
        <v>0</v>
      </c>
      <c r="AK315" s="8">
        <f>+MINVU_Mes_Corriente!AK315*SALUD_Mes_Constante!$AC$1</f>
        <v>0</v>
      </c>
      <c r="AL315" s="8">
        <f>+MINVU_Mes_Corriente!AL315*SALUD_Mes_Constante!$AC$1</f>
        <v>0</v>
      </c>
      <c r="AM315" s="8">
        <f>+MINVU_Mes_Corriente!AM315*SALUD_Mes_Constante!$AC$1</f>
        <v>0</v>
      </c>
      <c r="AN315" s="8">
        <f>+MINVU_Mes_Corriente!AN315*SALUD_Mes_Constante!$AC$1</f>
        <v>0</v>
      </c>
      <c r="AO315" s="9">
        <f t="shared" si="154"/>
        <v>0</v>
      </c>
      <c r="AP315" s="8">
        <f>+MINVU_Mes_Corriente!AP315*SALUD_Mes_Constante!$AP$1</f>
        <v>0</v>
      </c>
      <c r="AQ315" s="8">
        <f>+MINVU_Mes_Corriente!AQ315*SALUD_Mes_Constante!$AP$1</f>
        <v>0</v>
      </c>
      <c r="AR315" s="8">
        <f>+MINVU_Mes_Corriente!AR315*SALUD_Mes_Constante!$AP$1</f>
        <v>0</v>
      </c>
      <c r="AS315" s="8">
        <f>+MINVU_Mes_Corriente!AS315*SALUD_Mes_Constante!$AP$1</f>
        <v>0</v>
      </c>
      <c r="AT315" s="8">
        <f>+MINVU_Mes_Corriente!AT315*SALUD_Mes_Constante!$AP$1</f>
        <v>0</v>
      </c>
      <c r="AU315" s="8">
        <f>+MINVU_Mes_Corriente!AU315*SALUD_Mes_Constante!$AP$1</f>
        <v>0</v>
      </c>
      <c r="AV315" s="8">
        <f>+MINVU_Mes_Corriente!AV315*SALUD_Mes_Constante!$AP$1</f>
        <v>0</v>
      </c>
      <c r="AW315" s="8">
        <f>+MINVU_Mes_Corriente!AW315*SALUD_Mes_Constante!$AP$1</f>
        <v>0</v>
      </c>
      <c r="AX315" s="8">
        <f>+MINVU_Mes_Corriente!AX315*SALUD_Mes_Constante!$AP$1</f>
        <v>0</v>
      </c>
      <c r="AY315" s="8">
        <f>+MINVU_Mes_Corriente!AY315*SALUD_Mes_Constante!$AP$1</f>
        <v>0</v>
      </c>
      <c r="AZ315" s="8">
        <f>+MINVU_Mes_Corriente!AZ315*SALUD_Mes_Constante!$AP$1</f>
        <v>0</v>
      </c>
      <c r="BA315" s="8">
        <f>+MINVU_Mes_Corriente!BA315*SALUD_Mes_Constante!$AP$1</f>
        <v>0</v>
      </c>
      <c r="BB315" s="9">
        <f t="shared" si="155"/>
        <v>0</v>
      </c>
      <c r="BC315" s="8">
        <f>+MINVU_Mes_Corriente!BC315*SALUD_Mes_Constante!$BC$1</f>
        <v>0</v>
      </c>
      <c r="BD315" s="8">
        <f>+MINVU_Mes_Corriente!BD315*SALUD_Mes_Constante!$BC$1</f>
        <v>0</v>
      </c>
      <c r="BE315" s="8">
        <f>+MINVU_Mes_Corriente!BE315*SALUD_Mes_Constante!$BC$1</f>
        <v>0</v>
      </c>
      <c r="BF315" s="8">
        <f>+MINVU_Mes_Corriente!BF315*SALUD_Mes_Constante!$BC$1</f>
        <v>0</v>
      </c>
      <c r="BG315" s="8">
        <f>+MINVU_Mes_Corriente!BG315*SALUD_Mes_Constante!$BC$1</f>
        <v>0</v>
      </c>
      <c r="BH315" s="8">
        <f>+MINVU_Mes_Corriente!BH315*SALUD_Mes_Constante!$BC$1</f>
        <v>0</v>
      </c>
      <c r="BI315" s="8">
        <f>+MINVU_Mes_Corriente!BI315*SALUD_Mes_Constante!$BC$1</f>
        <v>0</v>
      </c>
      <c r="BJ315" s="8">
        <f>+MINVU_Mes_Corriente!BJ315*SALUD_Mes_Constante!$BC$1</f>
        <v>0</v>
      </c>
      <c r="BK315" s="8">
        <f>+MINVU_Mes_Corriente!BK315*SALUD_Mes_Constante!$BC$1</f>
        <v>0</v>
      </c>
      <c r="BL315" s="8">
        <f>+MINVU_Mes_Corriente!BL315*SALUD_Mes_Constante!$BC$1</f>
        <v>0</v>
      </c>
      <c r="BM315" s="8">
        <f>+MINVU_Mes_Corriente!BM315*SALUD_Mes_Constante!$BC$1</f>
        <v>0</v>
      </c>
      <c r="BN315" s="8">
        <f>+MINVU_Mes_Corriente!BN315*SALUD_Mes_Constante!$BC$1</f>
        <v>0</v>
      </c>
      <c r="BO315" s="9">
        <f t="shared" si="156"/>
        <v>0</v>
      </c>
      <c r="BP315" s="8">
        <f>+MINVU_Mes_Corriente!BP315*SALUD_Mes_Constante!$BP$1</f>
        <v>0</v>
      </c>
      <c r="BQ315" s="8">
        <f>+MINVU_Mes_Corriente!BQ315*SALUD_Mes_Constante!$BP$1</f>
        <v>0</v>
      </c>
      <c r="BR315" s="8">
        <f>+MINVU_Mes_Corriente!BR315*SALUD_Mes_Constante!$BP$1</f>
        <v>0</v>
      </c>
      <c r="BS315" s="8">
        <f>+MINVU_Mes_Corriente!BS315*SALUD_Mes_Constante!$BP$1</f>
        <v>0</v>
      </c>
      <c r="BT315" s="8">
        <f>+MINVU_Mes_Corriente!BT315*SALUD_Mes_Constante!$BP$1</f>
        <v>0</v>
      </c>
      <c r="BU315" s="8">
        <f>+MINVU_Mes_Corriente!BU315*SALUD_Mes_Constante!$BP$1</f>
        <v>0</v>
      </c>
      <c r="BV315" s="8">
        <f>+MINVU_Mes_Corriente!BV315*SALUD_Mes_Constante!$BP$1</f>
        <v>0</v>
      </c>
      <c r="BW315" s="8">
        <f>+MINVU_Mes_Corriente!BW315*SALUD_Mes_Constante!$BP$1</f>
        <v>0</v>
      </c>
      <c r="BX315" s="8">
        <f>+MINVU_Mes_Corriente!BX315*SALUD_Mes_Constante!$BP$1</f>
        <v>0</v>
      </c>
      <c r="BY315" s="8">
        <f>+MINVU_Mes_Corriente!BY315*SALUD_Mes_Constante!$BP$1</f>
        <v>0</v>
      </c>
      <c r="BZ315" s="8">
        <f>+MINVU_Mes_Corriente!BZ315*SALUD_Mes_Constante!$BP$1</f>
        <v>0</v>
      </c>
      <c r="CA315" s="8">
        <f>+MINVU_Mes_Corriente!CA315*SALUD_Mes_Constante!$BP$1</f>
        <v>0</v>
      </c>
      <c r="CB315" s="9">
        <f t="shared" si="157"/>
        <v>0</v>
      </c>
      <c r="CC315" s="8">
        <f>+MINVU_Mes_Corriente!CC315*SALUD_Mes_Constante!$CC$1</f>
        <v>0</v>
      </c>
      <c r="CD315" s="8">
        <f>+MINVU_Mes_Corriente!CD315*SALUD_Mes_Constante!$CC$1</f>
        <v>0</v>
      </c>
      <c r="CE315" s="8">
        <f>+MINVU_Mes_Corriente!CE315*SALUD_Mes_Constante!$CC$1</f>
        <v>0</v>
      </c>
      <c r="CF315" s="8">
        <f>+MINVU_Mes_Corriente!CF315*SALUD_Mes_Constante!$CC$1</f>
        <v>0</v>
      </c>
      <c r="CG315" s="8">
        <f>+MINVU_Mes_Corriente!CG315*SALUD_Mes_Constante!$CC$1</f>
        <v>0</v>
      </c>
      <c r="CH315" s="8">
        <f>+MINVU_Mes_Corriente!CH315*SALUD_Mes_Constante!$CC$1</f>
        <v>0</v>
      </c>
      <c r="CI315" s="8">
        <f>+MINVU_Mes_Corriente!CI315*SALUD_Mes_Constante!$CC$1</f>
        <v>0</v>
      </c>
      <c r="CJ315" s="8">
        <f>+MINVU_Mes_Corriente!CJ315*SALUD_Mes_Constante!$CC$1</f>
        <v>0</v>
      </c>
      <c r="CK315" s="8">
        <f>+MINVU_Mes_Corriente!CK315*SALUD_Mes_Constante!$CC$1</f>
        <v>0</v>
      </c>
      <c r="CL315" s="8">
        <f>+MINVU_Mes_Corriente!CL315*SALUD_Mes_Constante!$CC$1</f>
        <v>0</v>
      </c>
      <c r="CM315" s="8">
        <f>+MINVU_Mes_Corriente!CM315*SALUD_Mes_Constante!$CC$1</f>
        <v>0</v>
      </c>
      <c r="CN315" s="8">
        <f>+MINVU_Mes_Corriente!CN315*SALUD_Mes_Constante!$CC$1</f>
        <v>0</v>
      </c>
      <c r="CO315" s="9">
        <f t="shared" si="158"/>
        <v>0</v>
      </c>
      <c r="CP315" s="8">
        <f>+MINVU_Mes_Corriente!CP315*SALUD_Mes_Constante!$CP$1</f>
        <v>0</v>
      </c>
      <c r="CQ315" s="8">
        <f>+MINVU_Mes_Corriente!CQ315*SALUD_Mes_Constante!$CP$1</f>
        <v>0</v>
      </c>
      <c r="CR315" s="8">
        <f>+MINVU_Mes_Corriente!CR315*SALUD_Mes_Constante!$CP$1</f>
        <v>0</v>
      </c>
      <c r="CS315" s="8">
        <f>+MINVU_Mes_Corriente!CS315*SALUD_Mes_Constante!$CP$1</f>
        <v>0</v>
      </c>
      <c r="CT315" s="8">
        <f>+MINVU_Mes_Corriente!CT315*SALUD_Mes_Constante!$CP$1</f>
        <v>0</v>
      </c>
      <c r="CU315" s="8">
        <f>+MINVU_Mes_Corriente!CU315*SALUD_Mes_Constante!$CP$1</f>
        <v>0</v>
      </c>
      <c r="CV315" s="8">
        <f>+MINVU_Mes_Corriente!CV315*SALUD_Mes_Constante!$CP$1</f>
        <v>0</v>
      </c>
      <c r="CW315" s="8">
        <f>+MINVU_Mes_Corriente!CW315*SALUD_Mes_Constante!$CP$1</f>
        <v>0</v>
      </c>
      <c r="CX315" s="8">
        <f>+MINVU_Mes_Corriente!CX315*SALUD_Mes_Constante!$CP$1</f>
        <v>0</v>
      </c>
      <c r="CY315" s="8">
        <f>+MINVU_Mes_Corriente!CY315*SALUD_Mes_Constante!$CP$1</f>
        <v>0</v>
      </c>
      <c r="CZ315" s="8">
        <f>+MINVU_Mes_Corriente!CZ315*SALUD_Mes_Constante!$CP$1</f>
        <v>0</v>
      </c>
      <c r="DA315" s="8">
        <f>+MINVU_Mes_Corriente!DA315*SALUD_Mes_Constante!$CP$1</f>
        <v>0</v>
      </c>
      <c r="DB315" s="9">
        <f t="shared" si="159"/>
        <v>0</v>
      </c>
      <c r="DC315" s="8">
        <f>+MINVU_Mes_Corriente!DC315*SALUD_Mes_Constante!$DC$1</f>
        <v>0</v>
      </c>
      <c r="DD315" s="8">
        <f>+MINVU_Mes_Corriente!DD315*SALUD_Mes_Constante!$DC$1</f>
        <v>0</v>
      </c>
      <c r="DE315" s="8">
        <f>+MINVU_Mes_Corriente!DE315*SALUD_Mes_Constante!$DC$1</f>
        <v>0</v>
      </c>
      <c r="DF315" s="8">
        <f>+MINVU_Mes_Corriente!DF315*SALUD_Mes_Constante!$DC$1</f>
        <v>0</v>
      </c>
      <c r="DG315" s="8">
        <f>+MINVU_Mes_Corriente!DG315*SALUD_Mes_Constante!$DC$1</f>
        <v>0</v>
      </c>
      <c r="DH315" s="8">
        <f>+MINVU_Mes_Corriente!DH315*SALUD_Mes_Constante!$DC$1</f>
        <v>0</v>
      </c>
      <c r="DI315" s="8">
        <f>+MINVU_Mes_Corriente!DI315*SALUD_Mes_Constante!$DC$1</f>
        <v>0</v>
      </c>
      <c r="DJ315" s="8">
        <f>+MINVU_Mes_Corriente!DJ315*SALUD_Mes_Constante!$DC$1</f>
        <v>0</v>
      </c>
      <c r="DK315" s="8">
        <f>+MINVU_Mes_Corriente!DK315*SALUD_Mes_Constante!$DC$1</f>
        <v>0</v>
      </c>
      <c r="DL315" s="8">
        <f>+MINVU_Mes_Corriente!DL315*SALUD_Mes_Constante!$DC$1</f>
        <v>0</v>
      </c>
      <c r="DM315" s="8">
        <f>+MINVU_Mes_Corriente!DM315*SALUD_Mes_Constante!$DC$1</f>
        <v>0</v>
      </c>
      <c r="DN315" s="8">
        <f>+MINVU_Mes_Corriente!DN315*SALUD_Mes_Constante!$DC$1</f>
        <v>0</v>
      </c>
      <c r="DO315" s="9">
        <f t="shared" si="160"/>
        <v>0</v>
      </c>
      <c r="DP315" s="8">
        <f>+MINVU_Mes_Corriente!DP315*SALUD_Mes_Constante!$DP$1</f>
        <v>0</v>
      </c>
      <c r="DQ315" s="8">
        <f>+MINVU_Mes_Corriente!DQ315*SALUD_Mes_Constante!$DP$1</f>
        <v>0</v>
      </c>
      <c r="DR315" s="8">
        <f>+MINVU_Mes_Corriente!DR315*SALUD_Mes_Constante!$DP$1</f>
        <v>0</v>
      </c>
      <c r="DS315" s="8">
        <f>+MINVU_Mes_Corriente!DS315*SALUD_Mes_Constante!$DP$1</f>
        <v>0</v>
      </c>
      <c r="DT315" s="8">
        <f>+MINVU_Mes_Corriente!DT315*SALUD_Mes_Constante!$DP$1</f>
        <v>0</v>
      </c>
      <c r="DU315" s="8">
        <f>+MINVU_Mes_Corriente!DU315*SALUD_Mes_Constante!$DP$1</f>
        <v>0</v>
      </c>
      <c r="DV315" s="8">
        <f>+MINVU_Mes_Corriente!DV315*SALUD_Mes_Constante!$DP$1</f>
        <v>0</v>
      </c>
      <c r="DW315" s="8">
        <f>+MINVU_Mes_Corriente!DW315*SALUD_Mes_Constante!$DP$1</f>
        <v>0</v>
      </c>
      <c r="DX315" s="8">
        <f>+MINVU_Mes_Corriente!DX315*SALUD_Mes_Constante!$DP$1</f>
        <v>0</v>
      </c>
      <c r="DY315" s="8">
        <f>+MINVU_Mes_Corriente!DY315*SALUD_Mes_Constante!$DP$1</f>
        <v>0</v>
      </c>
      <c r="DZ315" s="8">
        <f>+MINVU_Mes_Corriente!DZ315*SALUD_Mes_Constante!$DP$1</f>
        <v>0</v>
      </c>
      <c r="EA315" s="8">
        <f>+MINVU_Mes_Corriente!EA315*SALUD_Mes_Constante!$DP$1</f>
        <v>0</v>
      </c>
      <c r="EB315" s="9">
        <f t="shared" si="161"/>
        <v>0</v>
      </c>
      <c r="EC315" s="8">
        <f>+MINVU_Mes_Corriente!EC315*SALUD_Mes_Constante!$EC$1</f>
        <v>0</v>
      </c>
      <c r="ED315" s="8">
        <f>+MINVU_Mes_Corriente!ED315*SALUD_Mes_Constante!$EC$1</f>
        <v>0</v>
      </c>
      <c r="EE315" s="8">
        <f>+MINVU_Mes_Corriente!EE315*SALUD_Mes_Constante!$EC$1</f>
        <v>0</v>
      </c>
      <c r="EF315" s="8">
        <f>+MINVU_Mes_Corriente!EF315*SALUD_Mes_Constante!$EC$1</f>
        <v>0</v>
      </c>
      <c r="EG315" s="8">
        <f>+MINVU_Mes_Corriente!EG315*SALUD_Mes_Constante!$EC$1</f>
        <v>0</v>
      </c>
      <c r="EH315" s="8">
        <f>+MINVU_Mes_Corriente!EH315*SALUD_Mes_Constante!$EC$1</f>
        <v>0</v>
      </c>
      <c r="EI315" s="8">
        <f>+MINVU_Mes_Corriente!EI315*SALUD_Mes_Constante!$EC$1</f>
        <v>0</v>
      </c>
      <c r="EJ315" s="8">
        <f>+MINVU_Mes_Corriente!EJ315*SALUD_Mes_Constante!$EC$1</f>
        <v>0</v>
      </c>
      <c r="EK315" s="8">
        <f>+MINVU_Mes_Corriente!EK315*SALUD_Mes_Constante!$EC$1</f>
        <v>0</v>
      </c>
      <c r="EL315" s="8">
        <f>+MINVU_Mes_Corriente!EL315*SALUD_Mes_Constante!$EC$1</f>
        <v>0</v>
      </c>
      <c r="EM315" s="8">
        <f>+MINVU_Mes_Corriente!EM315*SALUD_Mes_Constante!$EC$1</f>
        <v>0</v>
      </c>
      <c r="EN315" s="8">
        <f>+MINVU_Mes_Corriente!EN315*SALUD_Mes_Constante!$EC$1</f>
        <v>0</v>
      </c>
      <c r="EO315" s="9">
        <f t="shared" si="162"/>
        <v>0</v>
      </c>
      <c r="EP315" s="8">
        <f>+MINVU_Mes_Corriente!EP315*SALUD_Mes_Constante!$EP$1</f>
        <v>0</v>
      </c>
      <c r="EQ315" s="8">
        <f>+MINVU_Mes_Corriente!EQ315*SALUD_Mes_Constante!$EP$1</f>
        <v>0</v>
      </c>
      <c r="ER315" s="8">
        <f>+MINVU_Mes_Corriente!ER315*SALUD_Mes_Constante!$EP$1</f>
        <v>0</v>
      </c>
      <c r="ES315" s="8">
        <f>+MINVU_Mes_Corriente!ES315*SALUD_Mes_Constante!$EP$1</f>
        <v>0</v>
      </c>
      <c r="ET315" s="8">
        <f>+MINVU_Mes_Corriente!ET315*SALUD_Mes_Constante!$EP$1</f>
        <v>0</v>
      </c>
      <c r="EU315" s="8">
        <f>+MINVU_Mes_Corriente!EU315*SALUD_Mes_Constante!$EP$1</f>
        <v>0</v>
      </c>
      <c r="EV315" s="8">
        <f>+MINVU_Mes_Corriente!EV315*SALUD_Mes_Constante!$EP$1</f>
        <v>0</v>
      </c>
      <c r="EW315" s="8">
        <f>+MINVU_Mes_Corriente!EW315*SALUD_Mes_Constante!$EP$1</f>
        <v>0</v>
      </c>
      <c r="EX315" s="8">
        <f>+MINVU_Mes_Corriente!EX315*SALUD_Mes_Constante!$EP$1</f>
        <v>0</v>
      </c>
      <c r="EY315" s="8">
        <f>+MINVU_Mes_Corriente!EY315*SALUD_Mes_Constante!$EP$1</f>
        <v>0</v>
      </c>
      <c r="EZ315" s="8">
        <f>+MINVU_Mes_Corriente!EZ315*SALUD_Mes_Constante!$EP$1</f>
        <v>0</v>
      </c>
      <c r="FA315" s="8">
        <f>+MINVU_Mes_Corriente!FA315*SALUD_Mes_Constante!$EP$1</f>
        <v>0</v>
      </c>
      <c r="FB315" s="9">
        <f t="shared" si="163"/>
        <v>0</v>
      </c>
      <c r="FC315" s="8">
        <f>+MINVU_Mes_Corriente!FC315*SALUD_Mes_Constante!$FC$1</f>
        <v>0</v>
      </c>
      <c r="FD315" s="8">
        <f>+MINVU_Mes_Corriente!FD315*SALUD_Mes_Constante!$FC$1</f>
        <v>0</v>
      </c>
      <c r="FE315" s="8">
        <f>+MINVU_Mes_Corriente!FE315*SALUD_Mes_Constante!$FC$1</f>
        <v>0</v>
      </c>
      <c r="FF315" s="8">
        <f>+MINVU_Mes_Corriente!FF315*SALUD_Mes_Constante!$FC$1</f>
        <v>0</v>
      </c>
      <c r="FG315" s="8">
        <f>+MINVU_Mes_Corriente!FG315*SALUD_Mes_Constante!$FC$1</f>
        <v>0</v>
      </c>
      <c r="FH315" s="8">
        <f>+MINVU_Mes_Corriente!FH315*SALUD_Mes_Constante!$FC$1</f>
        <v>0</v>
      </c>
      <c r="FI315" s="8">
        <f>+MINVU_Mes_Corriente!FI315*SALUD_Mes_Constante!$FC$1</f>
        <v>0</v>
      </c>
      <c r="FJ315" s="8"/>
      <c r="FK315" s="8"/>
      <c r="FL315" s="8"/>
      <c r="FM315" s="8"/>
      <c r="FN315" s="8"/>
      <c r="FO315" s="9">
        <f t="shared" si="164"/>
        <v>0</v>
      </c>
    </row>
    <row r="316" spans="2:171" ht="14.25" customHeight="1" x14ac:dyDescent="0.3">
      <c r="B316" s="7" t="s">
        <v>57</v>
      </c>
      <c r="C316" s="8">
        <f>+MINVU_Mes_Corriente!C316*SALUD_Mes_Constante!$C$1</f>
        <v>0</v>
      </c>
      <c r="D316" s="8">
        <f>+MINVU_Mes_Corriente!D316*SALUD_Mes_Constante!$C$1</f>
        <v>0</v>
      </c>
      <c r="E316" s="8">
        <f>+MINVU_Mes_Corriente!E316*SALUD_Mes_Constante!$C$1</f>
        <v>0</v>
      </c>
      <c r="F316" s="8">
        <f>+MINVU_Mes_Corriente!F316*SALUD_Mes_Constante!$C$1</f>
        <v>0</v>
      </c>
      <c r="G316" s="8">
        <f>+MINVU_Mes_Corriente!G316*SALUD_Mes_Constante!$C$1</f>
        <v>0</v>
      </c>
      <c r="H316" s="8">
        <f>+MINVU_Mes_Corriente!H316*SALUD_Mes_Constante!$C$1</f>
        <v>0</v>
      </c>
      <c r="I316" s="8">
        <f>+MINVU_Mes_Corriente!I316*SALUD_Mes_Constante!$C$1</f>
        <v>0</v>
      </c>
      <c r="J316" s="8">
        <f>+MINVU_Mes_Corriente!J316*SALUD_Mes_Constante!$C$1</f>
        <v>0</v>
      </c>
      <c r="K316" s="8">
        <f>+MINVU_Mes_Corriente!K316*SALUD_Mes_Constante!$C$1</f>
        <v>0</v>
      </c>
      <c r="L316" s="8">
        <f>+MINVU_Mes_Corriente!L316*SALUD_Mes_Constante!$C$1</f>
        <v>0</v>
      </c>
      <c r="M316" s="8">
        <f>+MINVU_Mes_Corriente!M316*SALUD_Mes_Constante!$C$1</f>
        <v>0</v>
      </c>
      <c r="N316" s="8">
        <f>+MINVU_Mes_Corriente!N316*SALUD_Mes_Constante!$C$1</f>
        <v>0</v>
      </c>
      <c r="O316" s="9">
        <f t="shared" si="152"/>
        <v>0</v>
      </c>
      <c r="P316" s="8">
        <f>+MINVU_Mes_Corriente!P316*SALUD_Mes_Constante!$P$1</f>
        <v>0</v>
      </c>
      <c r="Q316" s="8">
        <f>+MINVU_Mes_Corriente!Q316*SALUD_Mes_Constante!$P$1</f>
        <v>0</v>
      </c>
      <c r="R316" s="8">
        <f>+MINVU_Mes_Corriente!R316*SALUD_Mes_Constante!$P$1</f>
        <v>0</v>
      </c>
      <c r="S316" s="8">
        <f>+MINVU_Mes_Corriente!S316*SALUD_Mes_Constante!$P$1</f>
        <v>0</v>
      </c>
      <c r="T316" s="8">
        <f>+MINVU_Mes_Corriente!T316*SALUD_Mes_Constante!$P$1</f>
        <v>0</v>
      </c>
      <c r="U316" s="8">
        <f>+MINVU_Mes_Corriente!U316*SALUD_Mes_Constante!$P$1</f>
        <v>0</v>
      </c>
      <c r="V316" s="8">
        <f>+MINVU_Mes_Corriente!V316*SALUD_Mes_Constante!$P$1</f>
        <v>0</v>
      </c>
      <c r="W316" s="8">
        <f>+MINVU_Mes_Corriente!W316*SALUD_Mes_Constante!$P$1</f>
        <v>0</v>
      </c>
      <c r="X316" s="8">
        <f>+MINVU_Mes_Corriente!X316*SALUD_Mes_Constante!$P$1</f>
        <v>0</v>
      </c>
      <c r="Y316" s="8">
        <f>+MINVU_Mes_Corriente!Y316*SALUD_Mes_Constante!$P$1</f>
        <v>0</v>
      </c>
      <c r="Z316" s="8">
        <f>+MINVU_Mes_Corriente!Z316*SALUD_Mes_Constante!$P$1</f>
        <v>0</v>
      </c>
      <c r="AA316" s="8">
        <f>+MINVU_Mes_Corriente!AA316*SALUD_Mes_Constante!$P$1</f>
        <v>0</v>
      </c>
      <c r="AB316" s="9">
        <f t="shared" si="153"/>
        <v>0</v>
      </c>
      <c r="AC316" s="8">
        <f>+MINVU_Mes_Corriente!AC316*SALUD_Mes_Constante!$AC$1</f>
        <v>0</v>
      </c>
      <c r="AD316" s="8">
        <f>+MINVU_Mes_Corriente!AD316*SALUD_Mes_Constante!$AC$1</f>
        <v>0</v>
      </c>
      <c r="AE316" s="8">
        <f>+MINVU_Mes_Corriente!AE316*SALUD_Mes_Constante!$AC$1</f>
        <v>0</v>
      </c>
      <c r="AF316" s="8">
        <f>+MINVU_Mes_Corriente!AF316*SALUD_Mes_Constante!$AC$1</f>
        <v>0</v>
      </c>
      <c r="AG316" s="8">
        <f>+MINVU_Mes_Corriente!AG316*SALUD_Mes_Constante!$AC$1</f>
        <v>0</v>
      </c>
      <c r="AH316" s="8">
        <f>+MINVU_Mes_Corriente!AH316*SALUD_Mes_Constante!$AC$1</f>
        <v>0</v>
      </c>
      <c r="AI316" s="8">
        <f>+MINVU_Mes_Corriente!AI316*SALUD_Mes_Constante!$AC$1</f>
        <v>0</v>
      </c>
      <c r="AJ316" s="8">
        <f>+MINVU_Mes_Corriente!AJ316*SALUD_Mes_Constante!$AC$1</f>
        <v>0</v>
      </c>
      <c r="AK316" s="8">
        <f>+MINVU_Mes_Corriente!AK316*SALUD_Mes_Constante!$AC$1</f>
        <v>0</v>
      </c>
      <c r="AL316" s="8">
        <f>+MINVU_Mes_Corriente!AL316*SALUD_Mes_Constante!$AC$1</f>
        <v>0</v>
      </c>
      <c r="AM316" s="8">
        <f>+MINVU_Mes_Corriente!AM316*SALUD_Mes_Constante!$AC$1</f>
        <v>0</v>
      </c>
      <c r="AN316" s="8">
        <f>+MINVU_Mes_Corriente!AN316*SALUD_Mes_Constante!$AC$1</f>
        <v>0</v>
      </c>
      <c r="AO316" s="9">
        <f t="shared" si="154"/>
        <v>0</v>
      </c>
      <c r="AP316" s="8">
        <f>+MINVU_Mes_Corriente!AP316*SALUD_Mes_Constante!$AP$1</f>
        <v>0</v>
      </c>
      <c r="AQ316" s="8">
        <f>+MINVU_Mes_Corriente!AQ316*SALUD_Mes_Constante!$AP$1</f>
        <v>0</v>
      </c>
      <c r="AR316" s="8">
        <f>+MINVU_Mes_Corriente!AR316*SALUD_Mes_Constante!$AP$1</f>
        <v>0</v>
      </c>
      <c r="AS316" s="8">
        <f>+MINVU_Mes_Corriente!AS316*SALUD_Mes_Constante!$AP$1</f>
        <v>0</v>
      </c>
      <c r="AT316" s="8">
        <f>+MINVU_Mes_Corriente!AT316*SALUD_Mes_Constante!$AP$1</f>
        <v>0</v>
      </c>
      <c r="AU316" s="8">
        <f>+MINVU_Mes_Corriente!AU316*SALUD_Mes_Constante!$AP$1</f>
        <v>0</v>
      </c>
      <c r="AV316" s="8">
        <f>+MINVU_Mes_Corriente!AV316*SALUD_Mes_Constante!$AP$1</f>
        <v>0</v>
      </c>
      <c r="AW316" s="8">
        <f>+MINVU_Mes_Corriente!AW316*SALUD_Mes_Constante!$AP$1</f>
        <v>0</v>
      </c>
      <c r="AX316" s="8">
        <f>+MINVU_Mes_Corriente!AX316*SALUD_Mes_Constante!$AP$1</f>
        <v>0</v>
      </c>
      <c r="AY316" s="8">
        <f>+MINVU_Mes_Corriente!AY316*SALUD_Mes_Constante!$AP$1</f>
        <v>0</v>
      </c>
      <c r="AZ316" s="8">
        <f>+MINVU_Mes_Corriente!AZ316*SALUD_Mes_Constante!$AP$1</f>
        <v>0</v>
      </c>
      <c r="BA316" s="8">
        <f>+MINVU_Mes_Corriente!BA316*SALUD_Mes_Constante!$AP$1</f>
        <v>0</v>
      </c>
      <c r="BB316" s="9">
        <f t="shared" si="155"/>
        <v>0</v>
      </c>
      <c r="BC316" s="8">
        <f>+MINVU_Mes_Corriente!BC316*SALUD_Mes_Constante!$BC$1</f>
        <v>0</v>
      </c>
      <c r="BD316" s="8">
        <f>+MINVU_Mes_Corriente!BD316*SALUD_Mes_Constante!$BC$1</f>
        <v>0</v>
      </c>
      <c r="BE316" s="8">
        <f>+MINVU_Mes_Corriente!BE316*SALUD_Mes_Constante!$BC$1</f>
        <v>0</v>
      </c>
      <c r="BF316" s="8">
        <f>+MINVU_Mes_Corriente!BF316*SALUD_Mes_Constante!$BC$1</f>
        <v>0</v>
      </c>
      <c r="BG316" s="8">
        <f>+MINVU_Mes_Corriente!BG316*SALUD_Mes_Constante!$BC$1</f>
        <v>0</v>
      </c>
      <c r="BH316" s="8">
        <f>+MINVU_Mes_Corriente!BH316*SALUD_Mes_Constante!$BC$1</f>
        <v>0</v>
      </c>
      <c r="BI316" s="8">
        <f>+MINVU_Mes_Corriente!BI316*SALUD_Mes_Constante!$BC$1</f>
        <v>0</v>
      </c>
      <c r="BJ316" s="8">
        <f>+MINVU_Mes_Corriente!BJ316*SALUD_Mes_Constante!$BC$1</f>
        <v>0</v>
      </c>
      <c r="BK316" s="8">
        <f>+MINVU_Mes_Corriente!BK316*SALUD_Mes_Constante!$BC$1</f>
        <v>0</v>
      </c>
      <c r="BL316" s="8">
        <f>+MINVU_Mes_Corriente!BL316*SALUD_Mes_Constante!$BC$1</f>
        <v>0</v>
      </c>
      <c r="BM316" s="8">
        <f>+MINVU_Mes_Corriente!BM316*SALUD_Mes_Constante!$BC$1</f>
        <v>0</v>
      </c>
      <c r="BN316" s="8">
        <f>+MINVU_Mes_Corriente!BN316*SALUD_Mes_Constante!$BC$1</f>
        <v>0</v>
      </c>
      <c r="BO316" s="9">
        <f t="shared" si="156"/>
        <v>0</v>
      </c>
      <c r="BP316" s="8">
        <f>+MINVU_Mes_Corriente!BP316*SALUD_Mes_Constante!$BP$1</f>
        <v>0</v>
      </c>
      <c r="BQ316" s="8">
        <f>+MINVU_Mes_Corriente!BQ316*SALUD_Mes_Constante!$BP$1</f>
        <v>0</v>
      </c>
      <c r="BR316" s="8">
        <f>+MINVU_Mes_Corriente!BR316*SALUD_Mes_Constante!$BP$1</f>
        <v>0</v>
      </c>
      <c r="BS316" s="8">
        <f>+MINVU_Mes_Corriente!BS316*SALUD_Mes_Constante!$BP$1</f>
        <v>0</v>
      </c>
      <c r="BT316" s="8">
        <f>+MINVU_Mes_Corriente!BT316*SALUD_Mes_Constante!$BP$1</f>
        <v>0</v>
      </c>
      <c r="BU316" s="8">
        <f>+MINVU_Mes_Corriente!BU316*SALUD_Mes_Constante!$BP$1</f>
        <v>0</v>
      </c>
      <c r="BV316" s="8">
        <f>+MINVU_Mes_Corriente!BV316*SALUD_Mes_Constante!$BP$1</f>
        <v>0</v>
      </c>
      <c r="BW316" s="8">
        <f>+MINVU_Mes_Corriente!BW316*SALUD_Mes_Constante!$BP$1</f>
        <v>0</v>
      </c>
      <c r="BX316" s="8">
        <f>+MINVU_Mes_Corriente!BX316*SALUD_Mes_Constante!$BP$1</f>
        <v>0</v>
      </c>
      <c r="BY316" s="8">
        <f>+MINVU_Mes_Corriente!BY316*SALUD_Mes_Constante!$BP$1</f>
        <v>0</v>
      </c>
      <c r="BZ316" s="8">
        <f>+MINVU_Mes_Corriente!BZ316*SALUD_Mes_Constante!$BP$1</f>
        <v>0</v>
      </c>
      <c r="CA316" s="8">
        <f>+MINVU_Mes_Corriente!CA316*SALUD_Mes_Constante!$BP$1</f>
        <v>0</v>
      </c>
      <c r="CB316" s="9">
        <f t="shared" si="157"/>
        <v>0</v>
      </c>
      <c r="CC316" s="8">
        <f>+MINVU_Mes_Corriente!CC316*SALUD_Mes_Constante!$CC$1</f>
        <v>0</v>
      </c>
      <c r="CD316" s="8">
        <f>+MINVU_Mes_Corriente!CD316*SALUD_Mes_Constante!$CC$1</f>
        <v>0</v>
      </c>
      <c r="CE316" s="8">
        <f>+MINVU_Mes_Corriente!CE316*SALUD_Mes_Constante!$CC$1</f>
        <v>0</v>
      </c>
      <c r="CF316" s="8">
        <f>+MINVU_Mes_Corriente!CF316*SALUD_Mes_Constante!$CC$1</f>
        <v>0</v>
      </c>
      <c r="CG316" s="8">
        <f>+MINVU_Mes_Corriente!CG316*SALUD_Mes_Constante!$CC$1</f>
        <v>0</v>
      </c>
      <c r="CH316" s="8">
        <f>+MINVU_Mes_Corriente!CH316*SALUD_Mes_Constante!$CC$1</f>
        <v>0</v>
      </c>
      <c r="CI316" s="8">
        <f>+MINVU_Mes_Corriente!CI316*SALUD_Mes_Constante!$CC$1</f>
        <v>0</v>
      </c>
      <c r="CJ316" s="8">
        <f>+MINVU_Mes_Corriente!CJ316*SALUD_Mes_Constante!$CC$1</f>
        <v>0</v>
      </c>
      <c r="CK316" s="8">
        <f>+MINVU_Mes_Corriente!CK316*SALUD_Mes_Constante!$CC$1</f>
        <v>0</v>
      </c>
      <c r="CL316" s="8">
        <f>+MINVU_Mes_Corriente!CL316*SALUD_Mes_Constante!$CC$1</f>
        <v>0</v>
      </c>
      <c r="CM316" s="8">
        <f>+MINVU_Mes_Corriente!CM316*SALUD_Mes_Constante!$CC$1</f>
        <v>0</v>
      </c>
      <c r="CN316" s="8">
        <f>+MINVU_Mes_Corriente!CN316*SALUD_Mes_Constante!$CC$1</f>
        <v>0</v>
      </c>
      <c r="CO316" s="9">
        <f t="shared" si="158"/>
        <v>0</v>
      </c>
      <c r="CP316" s="8">
        <f>+MINVU_Mes_Corriente!CP316*SALUD_Mes_Constante!$CP$1</f>
        <v>0</v>
      </c>
      <c r="CQ316" s="8">
        <f>+MINVU_Mes_Corriente!CQ316*SALUD_Mes_Constante!$CP$1</f>
        <v>0</v>
      </c>
      <c r="CR316" s="8">
        <f>+MINVU_Mes_Corriente!CR316*SALUD_Mes_Constante!$CP$1</f>
        <v>0</v>
      </c>
      <c r="CS316" s="8">
        <f>+MINVU_Mes_Corriente!CS316*SALUD_Mes_Constante!$CP$1</f>
        <v>0</v>
      </c>
      <c r="CT316" s="8">
        <f>+MINVU_Mes_Corriente!CT316*SALUD_Mes_Constante!$CP$1</f>
        <v>0</v>
      </c>
      <c r="CU316" s="8">
        <f>+MINVU_Mes_Corriente!CU316*SALUD_Mes_Constante!$CP$1</f>
        <v>0</v>
      </c>
      <c r="CV316" s="8">
        <f>+MINVU_Mes_Corriente!CV316*SALUD_Mes_Constante!$CP$1</f>
        <v>0</v>
      </c>
      <c r="CW316" s="8">
        <f>+MINVU_Mes_Corriente!CW316*SALUD_Mes_Constante!$CP$1</f>
        <v>0</v>
      </c>
      <c r="CX316" s="8">
        <f>+MINVU_Mes_Corriente!CX316*SALUD_Mes_Constante!$CP$1</f>
        <v>0</v>
      </c>
      <c r="CY316" s="8">
        <f>+MINVU_Mes_Corriente!CY316*SALUD_Mes_Constante!$CP$1</f>
        <v>0</v>
      </c>
      <c r="CZ316" s="8">
        <f>+MINVU_Mes_Corriente!CZ316*SALUD_Mes_Constante!$CP$1</f>
        <v>0</v>
      </c>
      <c r="DA316" s="8">
        <f>+MINVU_Mes_Corriente!DA316*SALUD_Mes_Constante!$CP$1</f>
        <v>0</v>
      </c>
      <c r="DB316" s="9">
        <f t="shared" si="159"/>
        <v>0</v>
      </c>
      <c r="DC316" s="8">
        <f>+MINVU_Mes_Corriente!DC316*SALUD_Mes_Constante!$DC$1</f>
        <v>0</v>
      </c>
      <c r="DD316" s="8">
        <f>+MINVU_Mes_Corriente!DD316*SALUD_Mes_Constante!$DC$1</f>
        <v>0</v>
      </c>
      <c r="DE316" s="8">
        <f>+MINVU_Mes_Corriente!DE316*SALUD_Mes_Constante!$DC$1</f>
        <v>0</v>
      </c>
      <c r="DF316" s="8">
        <f>+MINVU_Mes_Corriente!DF316*SALUD_Mes_Constante!$DC$1</f>
        <v>0</v>
      </c>
      <c r="DG316" s="8">
        <f>+MINVU_Mes_Corriente!DG316*SALUD_Mes_Constante!$DC$1</f>
        <v>0</v>
      </c>
      <c r="DH316" s="8">
        <f>+MINVU_Mes_Corriente!DH316*SALUD_Mes_Constante!$DC$1</f>
        <v>0</v>
      </c>
      <c r="DI316" s="8">
        <f>+MINVU_Mes_Corriente!DI316*SALUD_Mes_Constante!$DC$1</f>
        <v>0</v>
      </c>
      <c r="DJ316" s="8">
        <f>+MINVU_Mes_Corriente!DJ316*SALUD_Mes_Constante!$DC$1</f>
        <v>0</v>
      </c>
      <c r="DK316" s="8">
        <f>+MINVU_Mes_Corriente!DK316*SALUD_Mes_Constante!$DC$1</f>
        <v>0</v>
      </c>
      <c r="DL316" s="8">
        <f>+MINVU_Mes_Corriente!DL316*SALUD_Mes_Constante!$DC$1</f>
        <v>0</v>
      </c>
      <c r="DM316" s="8">
        <f>+MINVU_Mes_Corriente!DM316*SALUD_Mes_Constante!$DC$1</f>
        <v>0</v>
      </c>
      <c r="DN316" s="8">
        <f>+MINVU_Mes_Corriente!DN316*SALUD_Mes_Constante!$DC$1</f>
        <v>0</v>
      </c>
      <c r="DO316" s="9">
        <f t="shared" si="160"/>
        <v>0</v>
      </c>
      <c r="DP316" s="8">
        <f>+MINVU_Mes_Corriente!DP316*SALUD_Mes_Constante!$DP$1</f>
        <v>0</v>
      </c>
      <c r="DQ316" s="8">
        <f>+MINVU_Mes_Corriente!DQ316*SALUD_Mes_Constante!$DP$1</f>
        <v>0</v>
      </c>
      <c r="DR316" s="8">
        <f>+MINVU_Mes_Corriente!DR316*SALUD_Mes_Constante!$DP$1</f>
        <v>0</v>
      </c>
      <c r="DS316" s="8">
        <f>+MINVU_Mes_Corriente!DS316*SALUD_Mes_Constante!$DP$1</f>
        <v>0</v>
      </c>
      <c r="DT316" s="8">
        <f>+MINVU_Mes_Corriente!DT316*SALUD_Mes_Constante!$DP$1</f>
        <v>0</v>
      </c>
      <c r="DU316" s="8">
        <f>+MINVU_Mes_Corriente!DU316*SALUD_Mes_Constante!$DP$1</f>
        <v>0</v>
      </c>
      <c r="DV316" s="8">
        <f>+MINVU_Mes_Corriente!DV316*SALUD_Mes_Constante!$DP$1</f>
        <v>0</v>
      </c>
      <c r="DW316" s="8">
        <f>+MINVU_Mes_Corriente!DW316*SALUD_Mes_Constante!$DP$1</f>
        <v>0</v>
      </c>
      <c r="DX316" s="8">
        <f>+MINVU_Mes_Corriente!DX316*SALUD_Mes_Constante!$DP$1</f>
        <v>0</v>
      </c>
      <c r="DY316" s="8">
        <f>+MINVU_Mes_Corriente!DY316*SALUD_Mes_Constante!$DP$1</f>
        <v>0</v>
      </c>
      <c r="DZ316" s="8">
        <f>+MINVU_Mes_Corriente!DZ316*SALUD_Mes_Constante!$DP$1</f>
        <v>0</v>
      </c>
      <c r="EA316" s="8">
        <f>+MINVU_Mes_Corriente!EA316*SALUD_Mes_Constante!$DP$1</f>
        <v>0</v>
      </c>
      <c r="EB316" s="9">
        <f t="shared" si="161"/>
        <v>0</v>
      </c>
      <c r="EC316" s="8">
        <f>+MINVU_Mes_Corriente!EC316*SALUD_Mes_Constante!$EC$1</f>
        <v>0</v>
      </c>
      <c r="ED316" s="8">
        <f>+MINVU_Mes_Corriente!ED316*SALUD_Mes_Constante!$EC$1</f>
        <v>0</v>
      </c>
      <c r="EE316" s="8">
        <f>+MINVU_Mes_Corriente!EE316*SALUD_Mes_Constante!$EC$1</f>
        <v>0</v>
      </c>
      <c r="EF316" s="8">
        <f>+MINVU_Mes_Corriente!EF316*SALUD_Mes_Constante!$EC$1</f>
        <v>0</v>
      </c>
      <c r="EG316" s="8">
        <f>+MINVU_Mes_Corriente!EG316*SALUD_Mes_Constante!$EC$1</f>
        <v>0</v>
      </c>
      <c r="EH316" s="8">
        <f>+MINVU_Mes_Corriente!EH316*SALUD_Mes_Constante!$EC$1</f>
        <v>0</v>
      </c>
      <c r="EI316" s="8">
        <f>+MINVU_Mes_Corriente!EI316*SALUD_Mes_Constante!$EC$1</f>
        <v>0</v>
      </c>
      <c r="EJ316" s="8">
        <f>+MINVU_Mes_Corriente!EJ316*SALUD_Mes_Constante!$EC$1</f>
        <v>0</v>
      </c>
      <c r="EK316" s="8">
        <f>+MINVU_Mes_Corriente!EK316*SALUD_Mes_Constante!$EC$1</f>
        <v>0</v>
      </c>
      <c r="EL316" s="8">
        <f>+MINVU_Mes_Corriente!EL316*SALUD_Mes_Constante!$EC$1</f>
        <v>0</v>
      </c>
      <c r="EM316" s="8">
        <f>+MINVU_Mes_Corriente!EM316*SALUD_Mes_Constante!$EC$1</f>
        <v>0</v>
      </c>
      <c r="EN316" s="8">
        <f>+MINVU_Mes_Corriente!EN316*SALUD_Mes_Constante!$EC$1</f>
        <v>0</v>
      </c>
      <c r="EO316" s="9">
        <f t="shared" si="162"/>
        <v>0</v>
      </c>
      <c r="EP316" s="8">
        <f>+MINVU_Mes_Corriente!EP316*SALUD_Mes_Constante!$EP$1</f>
        <v>0</v>
      </c>
      <c r="EQ316" s="8">
        <f>+MINVU_Mes_Corriente!EQ316*SALUD_Mes_Constante!$EP$1</f>
        <v>0</v>
      </c>
      <c r="ER316" s="8">
        <f>+MINVU_Mes_Corriente!ER316*SALUD_Mes_Constante!$EP$1</f>
        <v>0</v>
      </c>
      <c r="ES316" s="8">
        <f>+MINVU_Mes_Corriente!ES316*SALUD_Mes_Constante!$EP$1</f>
        <v>0</v>
      </c>
      <c r="ET316" s="8">
        <f>+MINVU_Mes_Corriente!ET316*SALUD_Mes_Constante!$EP$1</f>
        <v>0</v>
      </c>
      <c r="EU316" s="8">
        <f>+MINVU_Mes_Corriente!EU316*SALUD_Mes_Constante!$EP$1</f>
        <v>0</v>
      </c>
      <c r="EV316" s="8">
        <f>+MINVU_Mes_Corriente!EV316*SALUD_Mes_Constante!$EP$1</f>
        <v>0</v>
      </c>
      <c r="EW316" s="8">
        <f>+MINVU_Mes_Corriente!EW316*SALUD_Mes_Constante!$EP$1</f>
        <v>0</v>
      </c>
      <c r="EX316" s="8">
        <f>+MINVU_Mes_Corriente!EX316*SALUD_Mes_Constante!$EP$1</f>
        <v>0</v>
      </c>
      <c r="EY316" s="8">
        <f>+MINVU_Mes_Corriente!EY316*SALUD_Mes_Constante!$EP$1</f>
        <v>0</v>
      </c>
      <c r="EZ316" s="8">
        <f>+MINVU_Mes_Corriente!EZ316*SALUD_Mes_Constante!$EP$1</f>
        <v>0</v>
      </c>
      <c r="FA316" s="8">
        <f>+MINVU_Mes_Corriente!FA316*SALUD_Mes_Constante!$EP$1</f>
        <v>0</v>
      </c>
      <c r="FB316" s="9">
        <f t="shared" si="163"/>
        <v>0</v>
      </c>
      <c r="FC316" s="8">
        <f>+MINVU_Mes_Corriente!FC316*SALUD_Mes_Constante!$FC$1</f>
        <v>0</v>
      </c>
      <c r="FD316" s="8">
        <f>+MINVU_Mes_Corriente!FD316*SALUD_Mes_Constante!$FC$1</f>
        <v>0</v>
      </c>
      <c r="FE316" s="8">
        <f>+MINVU_Mes_Corriente!FE316*SALUD_Mes_Constante!$FC$1</f>
        <v>0</v>
      </c>
      <c r="FF316" s="8">
        <f>+MINVU_Mes_Corriente!FF316*SALUD_Mes_Constante!$FC$1</f>
        <v>0</v>
      </c>
      <c r="FG316" s="8">
        <f>+MINVU_Mes_Corriente!FG316*SALUD_Mes_Constante!$FC$1</f>
        <v>0</v>
      </c>
      <c r="FH316" s="8">
        <f>+MINVU_Mes_Corriente!FH316*SALUD_Mes_Constante!$FC$1</f>
        <v>0</v>
      </c>
      <c r="FI316" s="8">
        <f>+MINVU_Mes_Corriente!FI316*SALUD_Mes_Constante!$FC$1</f>
        <v>0</v>
      </c>
      <c r="FJ316" s="8"/>
      <c r="FK316" s="8"/>
      <c r="FL316" s="8"/>
      <c r="FM316" s="8"/>
      <c r="FN316" s="8"/>
      <c r="FO316" s="9">
        <f t="shared" si="164"/>
        <v>0</v>
      </c>
    </row>
    <row r="317" spans="2:171" ht="14.25" customHeight="1" x14ac:dyDescent="0.3">
      <c r="B317" s="7" t="s">
        <v>58</v>
      </c>
      <c r="C317" s="8">
        <f>+MINVU_Mes_Corriente!C317*SALUD_Mes_Constante!$C$1</f>
        <v>0</v>
      </c>
      <c r="D317" s="8">
        <f>+MINVU_Mes_Corriente!D317*SALUD_Mes_Constante!$C$1</f>
        <v>0</v>
      </c>
      <c r="E317" s="8">
        <f>+MINVU_Mes_Corriente!E317*SALUD_Mes_Constante!$C$1</f>
        <v>0</v>
      </c>
      <c r="F317" s="8">
        <f>+MINVU_Mes_Corriente!F317*SALUD_Mes_Constante!$C$1</f>
        <v>0</v>
      </c>
      <c r="G317" s="8">
        <f>+MINVU_Mes_Corriente!G317*SALUD_Mes_Constante!$C$1</f>
        <v>0</v>
      </c>
      <c r="H317" s="8">
        <f>+MINVU_Mes_Corriente!H317*SALUD_Mes_Constante!$C$1</f>
        <v>0</v>
      </c>
      <c r="I317" s="8">
        <f>+MINVU_Mes_Corriente!I317*SALUD_Mes_Constante!$C$1</f>
        <v>0</v>
      </c>
      <c r="J317" s="8">
        <f>+MINVU_Mes_Corriente!J317*SALUD_Mes_Constante!$C$1</f>
        <v>0</v>
      </c>
      <c r="K317" s="8">
        <f>+MINVU_Mes_Corriente!K317*SALUD_Mes_Constante!$C$1</f>
        <v>0</v>
      </c>
      <c r="L317" s="8">
        <f>+MINVU_Mes_Corriente!L317*SALUD_Mes_Constante!$C$1</f>
        <v>0</v>
      </c>
      <c r="M317" s="8">
        <f>+MINVU_Mes_Corriente!M317*SALUD_Mes_Constante!$C$1</f>
        <v>0</v>
      </c>
      <c r="N317" s="8">
        <f>+MINVU_Mes_Corriente!N317*SALUD_Mes_Constante!$C$1</f>
        <v>0</v>
      </c>
      <c r="O317" s="9">
        <f t="shared" si="152"/>
        <v>0</v>
      </c>
      <c r="P317" s="8">
        <f>+MINVU_Mes_Corriente!P317*SALUD_Mes_Constante!$P$1</f>
        <v>0</v>
      </c>
      <c r="Q317" s="8">
        <f>+MINVU_Mes_Corriente!Q317*SALUD_Mes_Constante!$P$1</f>
        <v>0</v>
      </c>
      <c r="R317" s="8">
        <f>+MINVU_Mes_Corriente!R317*SALUD_Mes_Constante!$P$1</f>
        <v>0</v>
      </c>
      <c r="S317" s="8">
        <f>+MINVU_Mes_Corriente!S317*SALUD_Mes_Constante!$P$1</f>
        <v>0</v>
      </c>
      <c r="T317" s="8">
        <f>+MINVU_Mes_Corriente!T317*SALUD_Mes_Constante!$P$1</f>
        <v>0</v>
      </c>
      <c r="U317" s="8">
        <f>+MINVU_Mes_Corriente!U317*SALUD_Mes_Constante!$P$1</f>
        <v>0</v>
      </c>
      <c r="V317" s="8">
        <f>+MINVU_Mes_Corriente!V317*SALUD_Mes_Constante!$P$1</f>
        <v>0</v>
      </c>
      <c r="W317" s="8">
        <f>+MINVU_Mes_Corriente!W317*SALUD_Mes_Constante!$P$1</f>
        <v>0</v>
      </c>
      <c r="X317" s="8">
        <f>+MINVU_Mes_Corriente!X317*SALUD_Mes_Constante!$P$1</f>
        <v>0</v>
      </c>
      <c r="Y317" s="8">
        <f>+MINVU_Mes_Corriente!Y317*SALUD_Mes_Constante!$P$1</f>
        <v>0</v>
      </c>
      <c r="Z317" s="8">
        <f>+MINVU_Mes_Corriente!Z317*SALUD_Mes_Constante!$P$1</f>
        <v>0</v>
      </c>
      <c r="AA317" s="8">
        <f>+MINVU_Mes_Corriente!AA317*SALUD_Mes_Constante!$P$1</f>
        <v>0</v>
      </c>
      <c r="AB317" s="9">
        <f t="shared" si="153"/>
        <v>0</v>
      </c>
      <c r="AC317" s="8">
        <f>+MINVU_Mes_Corriente!AC317*SALUD_Mes_Constante!$AC$1</f>
        <v>0</v>
      </c>
      <c r="AD317" s="8">
        <f>+MINVU_Mes_Corriente!AD317*SALUD_Mes_Constante!$AC$1</f>
        <v>0</v>
      </c>
      <c r="AE317" s="8">
        <f>+MINVU_Mes_Corriente!AE317*SALUD_Mes_Constante!$AC$1</f>
        <v>0</v>
      </c>
      <c r="AF317" s="8">
        <f>+MINVU_Mes_Corriente!AF317*SALUD_Mes_Constante!$AC$1</f>
        <v>0</v>
      </c>
      <c r="AG317" s="8">
        <f>+MINVU_Mes_Corriente!AG317*SALUD_Mes_Constante!$AC$1</f>
        <v>0</v>
      </c>
      <c r="AH317" s="8">
        <f>+MINVU_Mes_Corriente!AH317*SALUD_Mes_Constante!$AC$1</f>
        <v>0</v>
      </c>
      <c r="AI317" s="8">
        <f>+MINVU_Mes_Corriente!AI317*SALUD_Mes_Constante!$AC$1</f>
        <v>0</v>
      </c>
      <c r="AJ317" s="8">
        <f>+MINVU_Mes_Corriente!AJ317*SALUD_Mes_Constante!$AC$1</f>
        <v>0</v>
      </c>
      <c r="AK317" s="8">
        <f>+MINVU_Mes_Corriente!AK317*SALUD_Mes_Constante!$AC$1</f>
        <v>0</v>
      </c>
      <c r="AL317" s="8">
        <f>+MINVU_Mes_Corriente!AL317*SALUD_Mes_Constante!$AC$1</f>
        <v>0</v>
      </c>
      <c r="AM317" s="8">
        <f>+MINVU_Mes_Corriente!AM317*SALUD_Mes_Constante!$AC$1</f>
        <v>0</v>
      </c>
      <c r="AN317" s="8">
        <f>+MINVU_Mes_Corriente!AN317*SALUD_Mes_Constante!$AC$1</f>
        <v>0</v>
      </c>
      <c r="AO317" s="9">
        <f t="shared" si="154"/>
        <v>0</v>
      </c>
      <c r="AP317" s="8">
        <f>+MINVU_Mes_Corriente!AP317*SALUD_Mes_Constante!$AP$1</f>
        <v>0</v>
      </c>
      <c r="AQ317" s="8">
        <f>+MINVU_Mes_Corriente!AQ317*SALUD_Mes_Constante!$AP$1</f>
        <v>0</v>
      </c>
      <c r="AR317" s="8">
        <f>+MINVU_Mes_Corriente!AR317*SALUD_Mes_Constante!$AP$1</f>
        <v>0</v>
      </c>
      <c r="AS317" s="8">
        <f>+MINVU_Mes_Corriente!AS317*SALUD_Mes_Constante!$AP$1</f>
        <v>0</v>
      </c>
      <c r="AT317" s="8">
        <f>+MINVU_Mes_Corriente!AT317*SALUD_Mes_Constante!$AP$1</f>
        <v>0</v>
      </c>
      <c r="AU317" s="8">
        <f>+MINVU_Mes_Corriente!AU317*SALUD_Mes_Constante!$AP$1</f>
        <v>0</v>
      </c>
      <c r="AV317" s="8">
        <f>+MINVU_Mes_Corriente!AV317*SALUD_Mes_Constante!$AP$1</f>
        <v>0</v>
      </c>
      <c r="AW317" s="8">
        <f>+MINVU_Mes_Corriente!AW317*SALUD_Mes_Constante!$AP$1</f>
        <v>0</v>
      </c>
      <c r="AX317" s="8">
        <f>+MINVU_Mes_Corriente!AX317*SALUD_Mes_Constante!$AP$1</f>
        <v>0</v>
      </c>
      <c r="AY317" s="8">
        <f>+MINVU_Mes_Corriente!AY317*SALUD_Mes_Constante!$AP$1</f>
        <v>0</v>
      </c>
      <c r="AZ317" s="8">
        <f>+MINVU_Mes_Corriente!AZ317*SALUD_Mes_Constante!$AP$1</f>
        <v>0</v>
      </c>
      <c r="BA317" s="8">
        <f>+MINVU_Mes_Corriente!BA317*SALUD_Mes_Constante!$AP$1</f>
        <v>0</v>
      </c>
      <c r="BB317" s="9">
        <f t="shared" si="155"/>
        <v>0</v>
      </c>
      <c r="BC317" s="8">
        <f>+MINVU_Mes_Corriente!BC317*SALUD_Mes_Constante!$BC$1</f>
        <v>0</v>
      </c>
      <c r="BD317" s="8">
        <f>+MINVU_Mes_Corriente!BD317*SALUD_Mes_Constante!$BC$1</f>
        <v>0</v>
      </c>
      <c r="BE317" s="8">
        <f>+MINVU_Mes_Corriente!BE317*SALUD_Mes_Constante!$BC$1</f>
        <v>0</v>
      </c>
      <c r="BF317" s="8">
        <f>+MINVU_Mes_Corriente!BF317*SALUD_Mes_Constante!$BC$1</f>
        <v>0</v>
      </c>
      <c r="BG317" s="8">
        <f>+MINVU_Mes_Corriente!BG317*SALUD_Mes_Constante!$BC$1</f>
        <v>0</v>
      </c>
      <c r="BH317" s="8">
        <f>+MINVU_Mes_Corriente!BH317*SALUD_Mes_Constante!$BC$1</f>
        <v>0</v>
      </c>
      <c r="BI317" s="8">
        <f>+MINVU_Mes_Corriente!BI317*SALUD_Mes_Constante!$BC$1</f>
        <v>0</v>
      </c>
      <c r="BJ317" s="8">
        <f>+MINVU_Mes_Corriente!BJ317*SALUD_Mes_Constante!$BC$1</f>
        <v>0</v>
      </c>
      <c r="BK317" s="8">
        <f>+MINVU_Mes_Corriente!BK317*SALUD_Mes_Constante!$BC$1</f>
        <v>0</v>
      </c>
      <c r="BL317" s="8">
        <f>+MINVU_Mes_Corriente!BL317*SALUD_Mes_Constante!$BC$1</f>
        <v>0</v>
      </c>
      <c r="BM317" s="8">
        <f>+MINVU_Mes_Corriente!BM317*SALUD_Mes_Constante!$BC$1</f>
        <v>0</v>
      </c>
      <c r="BN317" s="8">
        <f>+MINVU_Mes_Corriente!BN317*SALUD_Mes_Constante!$BC$1</f>
        <v>0</v>
      </c>
      <c r="BO317" s="9">
        <f t="shared" si="156"/>
        <v>0</v>
      </c>
      <c r="BP317" s="8">
        <f>+MINVU_Mes_Corriente!BP317*SALUD_Mes_Constante!$BP$1</f>
        <v>0</v>
      </c>
      <c r="BQ317" s="8">
        <f>+MINVU_Mes_Corriente!BQ317*SALUD_Mes_Constante!$BP$1</f>
        <v>0</v>
      </c>
      <c r="BR317" s="8">
        <f>+MINVU_Mes_Corriente!BR317*SALUD_Mes_Constante!$BP$1</f>
        <v>0</v>
      </c>
      <c r="BS317" s="8">
        <f>+MINVU_Mes_Corriente!BS317*SALUD_Mes_Constante!$BP$1</f>
        <v>0</v>
      </c>
      <c r="BT317" s="8">
        <f>+MINVU_Mes_Corriente!BT317*SALUD_Mes_Constante!$BP$1</f>
        <v>0</v>
      </c>
      <c r="BU317" s="8">
        <f>+MINVU_Mes_Corriente!BU317*SALUD_Mes_Constante!$BP$1</f>
        <v>0</v>
      </c>
      <c r="BV317" s="8">
        <f>+MINVU_Mes_Corriente!BV317*SALUD_Mes_Constante!$BP$1</f>
        <v>0</v>
      </c>
      <c r="BW317" s="8">
        <f>+MINVU_Mes_Corriente!BW317*SALUD_Mes_Constante!$BP$1</f>
        <v>0</v>
      </c>
      <c r="BX317" s="8">
        <f>+MINVU_Mes_Corriente!BX317*SALUD_Mes_Constante!$BP$1</f>
        <v>0</v>
      </c>
      <c r="BY317" s="8">
        <f>+MINVU_Mes_Corriente!BY317*SALUD_Mes_Constante!$BP$1</f>
        <v>0</v>
      </c>
      <c r="BZ317" s="8">
        <f>+MINVU_Mes_Corriente!BZ317*SALUD_Mes_Constante!$BP$1</f>
        <v>0</v>
      </c>
      <c r="CA317" s="8">
        <f>+MINVU_Mes_Corriente!CA317*SALUD_Mes_Constante!$BP$1</f>
        <v>0</v>
      </c>
      <c r="CB317" s="9">
        <f t="shared" si="157"/>
        <v>0</v>
      </c>
      <c r="CC317" s="8">
        <f>+MINVU_Mes_Corriente!CC317*SALUD_Mes_Constante!$CC$1</f>
        <v>0</v>
      </c>
      <c r="CD317" s="8">
        <f>+MINVU_Mes_Corriente!CD317*SALUD_Mes_Constante!$CC$1</f>
        <v>0</v>
      </c>
      <c r="CE317" s="8">
        <f>+MINVU_Mes_Corriente!CE317*SALUD_Mes_Constante!$CC$1</f>
        <v>0</v>
      </c>
      <c r="CF317" s="8">
        <f>+MINVU_Mes_Corriente!CF317*SALUD_Mes_Constante!$CC$1</f>
        <v>0</v>
      </c>
      <c r="CG317" s="8">
        <f>+MINVU_Mes_Corriente!CG317*SALUD_Mes_Constante!$CC$1</f>
        <v>0</v>
      </c>
      <c r="CH317" s="8">
        <f>+MINVU_Mes_Corriente!CH317*SALUD_Mes_Constante!$CC$1</f>
        <v>0</v>
      </c>
      <c r="CI317" s="8">
        <f>+MINVU_Mes_Corriente!CI317*SALUD_Mes_Constante!$CC$1</f>
        <v>0</v>
      </c>
      <c r="CJ317" s="8">
        <f>+MINVU_Mes_Corriente!CJ317*SALUD_Mes_Constante!$CC$1</f>
        <v>0</v>
      </c>
      <c r="CK317" s="8">
        <f>+MINVU_Mes_Corriente!CK317*SALUD_Mes_Constante!$CC$1</f>
        <v>0</v>
      </c>
      <c r="CL317" s="8">
        <f>+MINVU_Mes_Corriente!CL317*SALUD_Mes_Constante!$CC$1</f>
        <v>0</v>
      </c>
      <c r="CM317" s="8">
        <f>+MINVU_Mes_Corriente!CM317*SALUD_Mes_Constante!$CC$1</f>
        <v>0</v>
      </c>
      <c r="CN317" s="8">
        <f>+MINVU_Mes_Corriente!CN317*SALUD_Mes_Constante!$CC$1</f>
        <v>0</v>
      </c>
      <c r="CO317" s="9">
        <f t="shared" si="158"/>
        <v>0</v>
      </c>
      <c r="CP317" s="8">
        <f>+MINVU_Mes_Corriente!CP317*SALUD_Mes_Constante!$CP$1</f>
        <v>0</v>
      </c>
      <c r="CQ317" s="8">
        <f>+MINVU_Mes_Corriente!CQ317*SALUD_Mes_Constante!$CP$1</f>
        <v>0</v>
      </c>
      <c r="CR317" s="8">
        <f>+MINVU_Mes_Corriente!CR317*SALUD_Mes_Constante!$CP$1</f>
        <v>0</v>
      </c>
      <c r="CS317" s="8">
        <f>+MINVU_Mes_Corriente!CS317*SALUD_Mes_Constante!$CP$1</f>
        <v>0</v>
      </c>
      <c r="CT317" s="8">
        <f>+MINVU_Mes_Corriente!CT317*SALUD_Mes_Constante!$CP$1</f>
        <v>0</v>
      </c>
      <c r="CU317" s="8">
        <f>+MINVU_Mes_Corriente!CU317*SALUD_Mes_Constante!$CP$1</f>
        <v>0</v>
      </c>
      <c r="CV317" s="8">
        <f>+MINVU_Mes_Corriente!CV317*SALUD_Mes_Constante!$CP$1</f>
        <v>0</v>
      </c>
      <c r="CW317" s="8">
        <f>+MINVU_Mes_Corriente!CW317*SALUD_Mes_Constante!$CP$1</f>
        <v>0</v>
      </c>
      <c r="CX317" s="8">
        <f>+MINVU_Mes_Corriente!CX317*SALUD_Mes_Constante!$CP$1</f>
        <v>0</v>
      </c>
      <c r="CY317" s="8">
        <f>+MINVU_Mes_Corriente!CY317*SALUD_Mes_Constante!$CP$1</f>
        <v>0</v>
      </c>
      <c r="CZ317" s="8">
        <f>+MINVU_Mes_Corriente!CZ317*SALUD_Mes_Constante!$CP$1</f>
        <v>0</v>
      </c>
      <c r="DA317" s="8">
        <f>+MINVU_Mes_Corriente!DA317*SALUD_Mes_Constante!$CP$1</f>
        <v>0</v>
      </c>
      <c r="DB317" s="9">
        <f t="shared" si="159"/>
        <v>0</v>
      </c>
      <c r="DC317" s="8">
        <f>+MINVU_Mes_Corriente!DC317*SALUD_Mes_Constante!$DC$1</f>
        <v>0</v>
      </c>
      <c r="DD317" s="8">
        <f>+MINVU_Mes_Corriente!DD317*SALUD_Mes_Constante!$DC$1</f>
        <v>0</v>
      </c>
      <c r="DE317" s="8">
        <f>+MINVU_Mes_Corriente!DE317*SALUD_Mes_Constante!$DC$1</f>
        <v>0</v>
      </c>
      <c r="DF317" s="8">
        <f>+MINVU_Mes_Corriente!DF317*SALUD_Mes_Constante!$DC$1</f>
        <v>0</v>
      </c>
      <c r="DG317" s="8">
        <f>+MINVU_Mes_Corriente!DG317*SALUD_Mes_Constante!$DC$1</f>
        <v>0</v>
      </c>
      <c r="DH317" s="8">
        <f>+MINVU_Mes_Corriente!DH317*SALUD_Mes_Constante!$DC$1</f>
        <v>0</v>
      </c>
      <c r="DI317" s="8">
        <f>+MINVU_Mes_Corriente!DI317*SALUD_Mes_Constante!$DC$1</f>
        <v>0</v>
      </c>
      <c r="DJ317" s="8">
        <f>+MINVU_Mes_Corriente!DJ317*SALUD_Mes_Constante!$DC$1</f>
        <v>0</v>
      </c>
      <c r="DK317" s="8">
        <f>+MINVU_Mes_Corriente!DK317*SALUD_Mes_Constante!$DC$1</f>
        <v>0</v>
      </c>
      <c r="DL317" s="8">
        <f>+MINVU_Mes_Corriente!DL317*SALUD_Mes_Constante!$DC$1</f>
        <v>0</v>
      </c>
      <c r="DM317" s="8">
        <f>+MINVU_Mes_Corriente!DM317*SALUD_Mes_Constante!$DC$1</f>
        <v>0</v>
      </c>
      <c r="DN317" s="8">
        <f>+MINVU_Mes_Corriente!DN317*SALUD_Mes_Constante!$DC$1</f>
        <v>0</v>
      </c>
      <c r="DO317" s="9">
        <f t="shared" si="160"/>
        <v>0</v>
      </c>
      <c r="DP317" s="8">
        <f>+MINVU_Mes_Corriente!DP317*SALUD_Mes_Constante!$DP$1</f>
        <v>0</v>
      </c>
      <c r="DQ317" s="8">
        <f>+MINVU_Mes_Corriente!DQ317*SALUD_Mes_Constante!$DP$1</f>
        <v>0</v>
      </c>
      <c r="DR317" s="8">
        <f>+MINVU_Mes_Corriente!DR317*SALUD_Mes_Constante!$DP$1</f>
        <v>0</v>
      </c>
      <c r="DS317" s="8">
        <f>+MINVU_Mes_Corriente!DS317*SALUD_Mes_Constante!$DP$1</f>
        <v>0</v>
      </c>
      <c r="DT317" s="8">
        <f>+MINVU_Mes_Corriente!DT317*SALUD_Mes_Constante!$DP$1</f>
        <v>0</v>
      </c>
      <c r="DU317" s="8">
        <f>+MINVU_Mes_Corriente!DU317*SALUD_Mes_Constante!$DP$1</f>
        <v>0</v>
      </c>
      <c r="DV317" s="8">
        <f>+MINVU_Mes_Corriente!DV317*SALUD_Mes_Constante!$DP$1</f>
        <v>0</v>
      </c>
      <c r="DW317" s="8">
        <f>+MINVU_Mes_Corriente!DW317*SALUD_Mes_Constante!$DP$1</f>
        <v>0</v>
      </c>
      <c r="DX317" s="8">
        <f>+MINVU_Mes_Corriente!DX317*SALUD_Mes_Constante!$DP$1</f>
        <v>0</v>
      </c>
      <c r="DY317" s="8">
        <f>+MINVU_Mes_Corriente!DY317*SALUD_Mes_Constante!$DP$1</f>
        <v>0</v>
      </c>
      <c r="DZ317" s="8">
        <f>+MINVU_Mes_Corriente!DZ317*SALUD_Mes_Constante!$DP$1</f>
        <v>0</v>
      </c>
      <c r="EA317" s="8">
        <f>+MINVU_Mes_Corriente!EA317*SALUD_Mes_Constante!$DP$1</f>
        <v>0</v>
      </c>
      <c r="EB317" s="9">
        <f t="shared" si="161"/>
        <v>0</v>
      </c>
      <c r="EC317" s="8">
        <f>+MINVU_Mes_Corriente!EC317*SALUD_Mes_Constante!$EC$1</f>
        <v>0</v>
      </c>
      <c r="ED317" s="8">
        <f>+MINVU_Mes_Corriente!ED317*SALUD_Mes_Constante!$EC$1</f>
        <v>0</v>
      </c>
      <c r="EE317" s="8">
        <f>+MINVU_Mes_Corriente!EE317*SALUD_Mes_Constante!$EC$1</f>
        <v>0</v>
      </c>
      <c r="EF317" s="8">
        <f>+MINVU_Mes_Corriente!EF317*SALUD_Mes_Constante!$EC$1</f>
        <v>0</v>
      </c>
      <c r="EG317" s="8">
        <f>+MINVU_Mes_Corriente!EG317*SALUD_Mes_Constante!$EC$1</f>
        <v>0</v>
      </c>
      <c r="EH317" s="8">
        <f>+MINVU_Mes_Corriente!EH317*SALUD_Mes_Constante!$EC$1</f>
        <v>0</v>
      </c>
      <c r="EI317" s="8">
        <f>+MINVU_Mes_Corriente!EI317*SALUD_Mes_Constante!$EC$1</f>
        <v>0</v>
      </c>
      <c r="EJ317" s="8">
        <f>+MINVU_Mes_Corriente!EJ317*SALUD_Mes_Constante!$EC$1</f>
        <v>0</v>
      </c>
      <c r="EK317" s="8">
        <f>+MINVU_Mes_Corriente!EK317*SALUD_Mes_Constante!$EC$1</f>
        <v>0</v>
      </c>
      <c r="EL317" s="8">
        <f>+MINVU_Mes_Corriente!EL317*SALUD_Mes_Constante!$EC$1</f>
        <v>0</v>
      </c>
      <c r="EM317" s="8">
        <f>+MINVU_Mes_Corriente!EM317*SALUD_Mes_Constante!$EC$1</f>
        <v>0</v>
      </c>
      <c r="EN317" s="8">
        <f>+MINVU_Mes_Corriente!EN317*SALUD_Mes_Constante!$EC$1</f>
        <v>0</v>
      </c>
      <c r="EO317" s="9">
        <f t="shared" si="162"/>
        <v>0</v>
      </c>
      <c r="EP317" s="8">
        <f>+MINVU_Mes_Corriente!EP317*SALUD_Mes_Constante!$EP$1</f>
        <v>0</v>
      </c>
      <c r="EQ317" s="8">
        <f>+MINVU_Mes_Corriente!EQ317*SALUD_Mes_Constante!$EP$1</f>
        <v>0</v>
      </c>
      <c r="ER317" s="8">
        <f>+MINVU_Mes_Corriente!ER317*SALUD_Mes_Constante!$EP$1</f>
        <v>0</v>
      </c>
      <c r="ES317" s="8">
        <f>+MINVU_Mes_Corriente!ES317*SALUD_Mes_Constante!$EP$1</f>
        <v>0</v>
      </c>
      <c r="ET317" s="8">
        <f>+MINVU_Mes_Corriente!ET317*SALUD_Mes_Constante!$EP$1</f>
        <v>0</v>
      </c>
      <c r="EU317" s="8">
        <f>+MINVU_Mes_Corriente!EU317*SALUD_Mes_Constante!$EP$1</f>
        <v>0</v>
      </c>
      <c r="EV317" s="8">
        <f>+MINVU_Mes_Corriente!EV317*SALUD_Mes_Constante!$EP$1</f>
        <v>0</v>
      </c>
      <c r="EW317" s="8">
        <f>+MINVU_Mes_Corriente!EW317*SALUD_Mes_Constante!$EP$1</f>
        <v>0</v>
      </c>
      <c r="EX317" s="8">
        <f>+MINVU_Mes_Corriente!EX317*SALUD_Mes_Constante!$EP$1</f>
        <v>0</v>
      </c>
      <c r="EY317" s="8">
        <f>+MINVU_Mes_Corriente!EY317*SALUD_Mes_Constante!$EP$1</f>
        <v>0</v>
      </c>
      <c r="EZ317" s="8">
        <f>+MINVU_Mes_Corriente!EZ317*SALUD_Mes_Constante!$EP$1</f>
        <v>0</v>
      </c>
      <c r="FA317" s="8">
        <f>+MINVU_Mes_Corriente!FA317*SALUD_Mes_Constante!$EP$1</f>
        <v>0</v>
      </c>
      <c r="FB317" s="9">
        <f t="shared" si="163"/>
        <v>0</v>
      </c>
      <c r="FC317" s="8">
        <f>+MINVU_Mes_Corriente!FC317*SALUD_Mes_Constante!$FC$1</f>
        <v>0</v>
      </c>
      <c r="FD317" s="8">
        <f>+MINVU_Mes_Corriente!FD317*SALUD_Mes_Constante!$FC$1</f>
        <v>0</v>
      </c>
      <c r="FE317" s="8">
        <f>+MINVU_Mes_Corriente!FE317*SALUD_Mes_Constante!$FC$1</f>
        <v>0</v>
      </c>
      <c r="FF317" s="8">
        <f>+MINVU_Mes_Corriente!FF317*SALUD_Mes_Constante!$FC$1</f>
        <v>0</v>
      </c>
      <c r="FG317" s="8">
        <f>+MINVU_Mes_Corriente!FG317*SALUD_Mes_Constante!$FC$1</f>
        <v>0</v>
      </c>
      <c r="FH317" s="8">
        <f>+MINVU_Mes_Corriente!FH317*SALUD_Mes_Constante!$FC$1</f>
        <v>0</v>
      </c>
      <c r="FI317" s="8">
        <f>+MINVU_Mes_Corriente!FI317*SALUD_Mes_Constante!$FC$1</f>
        <v>0</v>
      </c>
      <c r="FJ317" s="8"/>
      <c r="FK317" s="8"/>
      <c r="FL317" s="8"/>
      <c r="FM317" s="8"/>
      <c r="FN317" s="8"/>
      <c r="FO317" s="9">
        <f t="shared" si="164"/>
        <v>0</v>
      </c>
    </row>
    <row r="318" spans="2:171" ht="14.25" customHeight="1" x14ac:dyDescent="0.3">
      <c r="B318" s="7" t="s">
        <v>59</v>
      </c>
      <c r="C318" s="8">
        <f>+MINVU_Mes_Corriente!C318*SALUD_Mes_Constante!$C$1</f>
        <v>0</v>
      </c>
      <c r="D318" s="8">
        <f>+MINVU_Mes_Corriente!D318*SALUD_Mes_Constante!$C$1</f>
        <v>0</v>
      </c>
      <c r="E318" s="8">
        <f>+MINVU_Mes_Corriente!E318*SALUD_Mes_Constante!$C$1</f>
        <v>0</v>
      </c>
      <c r="F318" s="8">
        <f>+MINVU_Mes_Corriente!F318*SALUD_Mes_Constante!$C$1</f>
        <v>0</v>
      </c>
      <c r="G318" s="8">
        <f>+MINVU_Mes_Corriente!G318*SALUD_Mes_Constante!$C$1</f>
        <v>0</v>
      </c>
      <c r="H318" s="8">
        <f>+MINVU_Mes_Corriente!H318*SALUD_Mes_Constante!$C$1</f>
        <v>0</v>
      </c>
      <c r="I318" s="8">
        <f>+MINVU_Mes_Corriente!I318*SALUD_Mes_Constante!$C$1</f>
        <v>0</v>
      </c>
      <c r="J318" s="8">
        <f>+MINVU_Mes_Corriente!J318*SALUD_Mes_Constante!$C$1</f>
        <v>0</v>
      </c>
      <c r="K318" s="8">
        <f>+MINVU_Mes_Corriente!K318*SALUD_Mes_Constante!$C$1</f>
        <v>0</v>
      </c>
      <c r="L318" s="8">
        <f>+MINVU_Mes_Corriente!L318*SALUD_Mes_Constante!$C$1</f>
        <v>0</v>
      </c>
      <c r="M318" s="8">
        <f>+MINVU_Mes_Corriente!M318*SALUD_Mes_Constante!$C$1</f>
        <v>0</v>
      </c>
      <c r="N318" s="8">
        <f>+MINVU_Mes_Corriente!N318*SALUD_Mes_Constante!$C$1</f>
        <v>0</v>
      </c>
      <c r="O318" s="9">
        <f t="shared" si="152"/>
        <v>0</v>
      </c>
      <c r="P318" s="8">
        <f>+MINVU_Mes_Corriente!P318*SALUD_Mes_Constante!$P$1</f>
        <v>0</v>
      </c>
      <c r="Q318" s="8">
        <f>+MINVU_Mes_Corriente!Q318*SALUD_Mes_Constante!$P$1</f>
        <v>0</v>
      </c>
      <c r="R318" s="8">
        <f>+MINVU_Mes_Corriente!R318*SALUD_Mes_Constante!$P$1</f>
        <v>0</v>
      </c>
      <c r="S318" s="8">
        <f>+MINVU_Mes_Corriente!S318*SALUD_Mes_Constante!$P$1</f>
        <v>0</v>
      </c>
      <c r="T318" s="8">
        <f>+MINVU_Mes_Corriente!T318*SALUD_Mes_Constante!$P$1</f>
        <v>0</v>
      </c>
      <c r="U318" s="8">
        <f>+MINVU_Mes_Corriente!U318*SALUD_Mes_Constante!$P$1</f>
        <v>0</v>
      </c>
      <c r="V318" s="8">
        <f>+MINVU_Mes_Corriente!V318*SALUD_Mes_Constante!$P$1</f>
        <v>0</v>
      </c>
      <c r="W318" s="8">
        <f>+MINVU_Mes_Corriente!W318*SALUD_Mes_Constante!$P$1</f>
        <v>0</v>
      </c>
      <c r="X318" s="8">
        <f>+MINVU_Mes_Corriente!X318*SALUD_Mes_Constante!$P$1</f>
        <v>0</v>
      </c>
      <c r="Y318" s="8">
        <f>+MINVU_Mes_Corriente!Y318*SALUD_Mes_Constante!$P$1</f>
        <v>0</v>
      </c>
      <c r="Z318" s="8">
        <f>+MINVU_Mes_Corriente!Z318*SALUD_Mes_Constante!$P$1</f>
        <v>0</v>
      </c>
      <c r="AA318" s="8">
        <f>+MINVU_Mes_Corriente!AA318*SALUD_Mes_Constante!$P$1</f>
        <v>0</v>
      </c>
      <c r="AB318" s="9">
        <f t="shared" si="153"/>
        <v>0</v>
      </c>
      <c r="AC318" s="8">
        <f>+MINVU_Mes_Corriente!AC318*SALUD_Mes_Constante!$AC$1</f>
        <v>0</v>
      </c>
      <c r="AD318" s="8">
        <f>+MINVU_Mes_Corriente!AD318*SALUD_Mes_Constante!$AC$1</f>
        <v>0</v>
      </c>
      <c r="AE318" s="8">
        <f>+MINVU_Mes_Corriente!AE318*SALUD_Mes_Constante!$AC$1</f>
        <v>0</v>
      </c>
      <c r="AF318" s="8">
        <f>+MINVU_Mes_Corriente!AF318*SALUD_Mes_Constante!$AC$1</f>
        <v>0</v>
      </c>
      <c r="AG318" s="8">
        <f>+MINVU_Mes_Corriente!AG318*SALUD_Mes_Constante!$AC$1</f>
        <v>0</v>
      </c>
      <c r="AH318" s="8">
        <f>+MINVU_Mes_Corriente!AH318*SALUD_Mes_Constante!$AC$1</f>
        <v>0</v>
      </c>
      <c r="AI318" s="8">
        <f>+MINVU_Mes_Corriente!AI318*SALUD_Mes_Constante!$AC$1</f>
        <v>0</v>
      </c>
      <c r="AJ318" s="8">
        <f>+MINVU_Mes_Corriente!AJ318*SALUD_Mes_Constante!$AC$1</f>
        <v>0</v>
      </c>
      <c r="AK318" s="8">
        <f>+MINVU_Mes_Corriente!AK318*SALUD_Mes_Constante!$AC$1</f>
        <v>0</v>
      </c>
      <c r="AL318" s="8">
        <f>+MINVU_Mes_Corriente!AL318*SALUD_Mes_Constante!$AC$1</f>
        <v>0</v>
      </c>
      <c r="AM318" s="8">
        <f>+MINVU_Mes_Corriente!AM318*SALUD_Mes_Constante!$AC$1</f>
        <v>0</v>
      </c>
      <c r="AN318" s="8">
        <f>+MINVU_Mes_Corriente!AN318*SALUD_Mes_Constante!$AC$1</f>
        <v>0</v>
      </c>
      <c r="AO318" s="9">
        <f t="shared" si="154"/>
        <v>0</v>
      </c>
      <c r="AP318" s="8">
        <f>+MINVU_Mes_Corriente!AP318*SALUD_Mes_Constante!$AP$1</f>
        <v>0</v>
      </c>
      <c r="AQ318" s="8">
        <f>+MINVU_Mes_Corriente!AQ318*SALUD_Mes_Constante!$AP$1</f>
        <v>0</v>
      </c>
      <c r="AR318" s="8">
        <f>+MINVU_Mes_Corriente!AR318*SALUD_Mes_Constante!$AP$1</f>
        <v>0</v>
      </c>
      <c r="AS318" s="8">
        <f>+MINVU_Mes_Corriente!AS318*SALUD_Mes_Constante!$AP$1</f>
        <v>0</v>
      </c>
      <c r="AT318" s="8">
        <f>+MINVU_Mes_Corriente!AT318*SALUD_Mes_Constante!$AP$1</f>
        <v>0</v>
      </c>
      <c r="AU318" s="8">
        <f>+MINVU_Mes_Corriente!AU318*SALUD_Mes_Constante!$AP$1</f>
        <v>0</v>
      </c>
      <c r="AV318" s="8">
        <f>+MINVU_Mes_Corriente!AV318*SALUD_Mes_Constante!$AP$1</f>
        <v>0</v>
      </c>
      <c r="AW318" s="8">
        <f>+MINVU_Mes_Corriente!AW318*SALUD_Mes_Constante!$AP$1</f>
        <v>0</v>
      </c>
      <c r="AX318" s="8">
        <f>+MINVU_Mes_Corriente!AX318*SALUD_Mes_Constante!$AP$1</f>
        <v>0</v>
      </c>
      <c r="AY318" s="8">
        <f>+MINVU_Mes_Corriente!AY318*SALUD_Mes_Constante!$AP$1</f>
        <v>0</v>
      </c>
      <c r="AZ318" s="8">
        <f>+MINVU_Mes_Corriente!AZ318*SALUD_Mes_Constante!$AP$1</f>
        <v>0</v>
      </c>
      <c r="BA318" s="8">
        <f>+MINVU_Mes_Corriente!BA318*SALUD_Mes_Constante!$AP$1</f>
        <v>0</v>
      </c>
      <c r="BB318" s="9">
        <f t="shared" si="155"/>
        <v>0</v>
      </c>
      <c r="BC318" s="8">
        <f>+MINVU_Mes_Corriente!BC318*SALUD_Mes_Constante!$BC$1</f>
        <v>0</v>
      </c>
      <c r="BD318" s="8">
        <f>+MINVU_Mes_Corriente!BD318*SALUD_Mes_Constante!$BC$1</f>
        <v>0</v>
      </c>
      <c r="BE318" s="8">
        <f>+MINVU_Mes_Corriente!BE318*SALUD_Mes_Constante!$BC$1</f>
        <v>0</v>
      </c>
      <c r="BF318" s="8">
        <f>+MINVU_Mes_Corriente!BF318*SALUD_Mes_Constante!$BC$1</f>
        <v>0</v>
      </c>
      <c r="BG318" s="8">
        <f>+MINVU_Mes_Corriente!BG318*SALUD_Mes_Constante!$BC$1</f>
        <v>0</v>
      </c>
      <c r="BH318" s="8">
        <f>+MINVU_Mes_Corriente!BH318*SALUD_Mes_Constante!$BC$1</f>
        <v>0</v>
      </c>
      <c r="BI318" s="8">
        <f>+MINVU_Mes_Corriente!BI318*SALUD_Mes_Constante!$BC$1</f>
        <v>0</v>
      </c>
      <c r="BJ318" s="8">
        <f>+MINVU_Mes_Corriente!BJ318*SALUD_Mes_Constante!$BC$1</f>
        <v>0</v>
      </c>
      <c r="BK318" s="8">
        <f>+MINVU_Mes_Corriente!BK318*SALUD_Mes_Constante!$BC$1</f>
        <v>0</v>
      </c>
      <c r="BL318" s="8">
        <f>+MINVU_Mes_Corriente!BL318*SALUD_Mes_Constante!$BC$1</f>
        <v>0</v>
      </c>
      <c r="BM318" s="8">
        <f>+MINVU_Mes_Corriente!BM318*SALUD_Mes_Constante!$BC$1</f>
        <v>0</v>
      </c>
      <c r="BN318" s="8">
        <f>+MINVU_Mes_Corriente!BN318*SALUD_Mes_Constante!$BC$1</f>
        <v>0</v>
      </c>
      <c r="BO318" s="9">
        <f t="shared" si="156"/>
        <v>0</v>
      </c>
      <c r="BP318" s="8">
        <f>+MINVU_Mes_Corriente!BP318*SALUD_Mes_Constante!$BP$1</f>
        <v>0</v>
      </c>
      <c r="BQ318" s="8">
        <f>+MINVU_Mes_Corriente!BQ318*SALUD_Mes_Constante!$BP$1</f>
        <v>0</v>
      </c>
      <c r="BR318" s="8">
        <f>+MINVU_Mes_Corriente!BR318*SALUD_Mes_Constante!$BP$1</f>
        <v>0</v>
      </c>
      <c r="BS318" s="8">
        <f>+MINVU_Mes_Corriente!BS318*SALUD_Mes_Constante!$BP$1</f>
        <v>0</v>
      </c>
      <c r="BT318" s="8">
        <f>+MINVU_Mes_Corriente!BT318*SALUD_Mes_Constante!$BP$1</f>
        <v>0</v>
      </c>
      <c r="BU318" s="8">
        <f>+MINVU_Mes_Corriente!BU318*SALUD_Mes_Constante!$BP$1</f>
        <v>0</v>
      </c>
      <c r="BV318" s="8">
        <f>+MINVU_Mes_Corriente!BV318*SALUD_Mes_Constante!$BP$1</f>
        <v>0</v>
      </c>
      <c r="BW318" s="8">
        <f>+MINVU_Mes_Corriente!BW318*SALUD_Mes_Constante!$BP$1</f>
        <v>0</v>
      </c>
      <c r="BX318" s="8">
        <f>+MINVU_Mes_Corriente!BX318*SALUD_Mes_Constante!$BP$1</f>
        <v>0</v>
      </c>
      <c r="BY318" s="8">
        <f>+MINVU_Mes_Corriente!BY318*SALUD_Mes_Constante!$BP$1</f>
        <v>0</v>
      </c>
      <c r="BZ318" s="8">
        <f>+MINVU_Mes_Corriente!BZ318*SALUD_Mes_Constante!$BP$1</f>
        <v>0</v>
      </c>
      <c r="CA318" s="8">
        <f>+MINVU_Mes_Corriente!CA318*SALUD_Mes_Constante!$BP$1</f>
        <v>0</v>
      </c>
      <c r="CB318" s="9">
        <f t="shared" si="157"/>
        <v>0</v>
      </c>
      <c r="CC318" s="8">
        <f>+MINVU_Mes_Corriente!CC318*SALUD_Mes_Constante!$CC$1</f>
        <v>0</v>
      </c>
      <c r="CD318" s="8">
        <f>+MINVU_Mes_Corriente!CD318*SALUD_Mes_Constante!$CC$1</f>
        <v>0</v>
      </c>
      <c r="CE318" s="8">
        <f>+MINVU_Mes_Corriente!CE318*SALUD_Mes_Constante!$CC$1</f>
        <v>0</v>
      </c>
      <c r="CF318" s="8">
        <f>+MINVU_Mes_Corriente!CF318*SALUD_Mes_Constante!$CC$1</f>
        <v>0</v>
      </c>
      <c r="CG318" s="8">
        <f>+MINVU_Mes_Corriente!CG318*SALUD_Mes_Constante!$CC$1</f>
        <v>0</v>
      </c>
      <c r="CH318" s="8">
        <f>+MINVU_Mes_Corriente!CH318*SALUD_Mes_Constante!$CC$1</f>
        <v>0</v>
      </c>
      <c r="CI318" s="8">
        <f>+MINVU_Mes_Corriente!CI318*SALUD_Mes_Constante!$CC$1</f>
        <v>0</v>
      </c>
      <c r="CJ318" s="8">
        <f>+MINVU_Mes_Corriente!CJ318*SALUD_Mes_Constante!$CC$1</f>
        <v>0</v>
      </c>
      <c r="CK318" s="8">
        <f>+MINVU_Mes_Corriente!CK318*SALUD_Mes_Constante!$CC$1</f>
        <v>0</v>
      </c>
      <c r="CL318" s="8">
        <f>+MINVU_Mes_Corriente!CL318*SALUD_Mes_Constante!$CC$1</f>
        <v>0</v>
      </c>
      <c r="CM318" s="8">
        <f>+MINVU_Mes_Corriente!CM318*SALUD_Mes_Constante!$CC$1</f>
        <v>0</v>
      </c>
      <c r="CN318" s="8">
        <f>+MINVU_Mes_Corriente!CN318*SALUD_Mes_Constante!$CC$1</f>
        <v>0</v>
      </c>
      <c r="CO318" s="9">
        <f t="shared" si="158"/>
        <v>0</v>
      </c>
      <c r="CP318" s="8">
        <f>+MINVU_Mes_Corriente!CP318*SALUD_Mes_Constante!$CP$1</f>
        <v>0</v>
      </c>
      <c r="CQ318" s="8">
        <f>+MINVU_Mes_Corriente!CQ318*SALUD_Mes_Constante!$CP$1</f>
        <v>0</v>
      </c>
      <c r="CR318" s="8">
        <f>+MINVU_Mes_Corriente!CR318*SALUD_Mes_Constante!$CP$1</f>
        <v>0</v>
      </c>
      <c r="CS318" s="8">
        <f>+MINVU_Mes_Corriente!CS318*SALUD_Mes_Constante!$CP$1</f>
        <v>0</v>
      </c>
      <c r="CT318" s="8">
        <f>+MINVU_Mes_Corriente!CT318*SALUD_Mes_Constante!$CP$1</f>
        <v>0</v>
      </c>
      <c r="CU318" s="8">
        <f>+MINVU_Mes_Corriente!CU318*SALUD_Mes_Constante!$CP$1</f>
        <v>0</v>
      </c>
      <c r="CV318" s="8">
        <f>+MINVU_Mes_Corriente!CV318*SALUD_Mes_Constante!$CP$1</f>
        <v>0</v>
      </c>
      <c r="CW318" s="8">
        <f>+MINVU_Mes_Corriente!CW318*SALUD_Mes_Constante!$CP$1</f>
        <v>0</v>
      </c>
      <c r="CX318" s="8">
        <f>+MINVU_Mes_Corriente!CX318*SALUD_Mes_Constante!$CP$1</f>
        <v>0</v>
      </c>
      <c r="CY318" s="8">
        <f>+MINVU_Mes_Corriente!CY318*SALUD_Mes_Constante!$CP$1</f>
        <v>0</v>
      </c>
      <c r="CZ318" s="8">
        <f>+MINVU_Mes_Corriente!CZ318*SALUD_Mes_Constante!$CP$1</f>
        <v>0</v>
      </c>
      <c r="DA318" s="8">
        <f>+MINVU_Mes_Corriente!DA318*SALUD_Mes_Constante!$CP$1</f>
        <v>0</v>
      </c>
      <c r="DB318" s="9">
        <f t="shared" si="159"/>
        <v>0</v>
      </c>
      <c r="DC318" s="8">
        <f>+MINVU_Mes_Corriente!DC318*SALUD_Mes_Constante!$DC$1</f>
        <v>0</v>
      </c>
      <c r="DD318" s="8">
        <f>+MINVU_Mes_Corriente!DD318*SALUD_Mes_Constante!$DC$1</f>
        <v>0</v>
      </c>
      <c r="DE318" s="8">
        <f>+MINVU_Mes_Corriente!DE318*SALUD_Mes_Constante!$DC$1</f>
        <v>0</v>
      </c>
      <c r="DF318" s="8">
        <f>+MINVU_Mes_Corriente!DF318*SALUD_Mes_Constante!$DC$1</f>
        <v>0</v>
      </c>
      <c r="DG318" s="8">
        <f>+MINVU_Mes_Corriente!DG318*SALUD_Mes_Constante!$DC$1</f>
        <v>0</v>
      </c>
      <c r="DH318" s="8">
        <f>+MINVU_Mes_Corriente!DH318*SALUD_Mes_Constante!$DC$1</f>
        <v>0</v>
      </c>
      <c r="DI318" s="8">
        <f>+MINVU_Mes_Corriente!DI318*SALUD_Mes_Constante!$DC$1</f>
        <v>0</v>
      </c>
      <c r="DJ318" s="8">
        <f>+MINVU_Mes_Corriente!DJ318*SALUD_Mes_Constante!$DC$1</f>
        <v>0</v>
      </c>
      <c r="DK318" s="8">
        <f>+MINVU_Mes_Corriente!DK318*SALUD_Mes_Constante!$DC$1</f>
        <v>0</v>
      </c>
      <c r="DL318" s="8">
        <f>+MINVU_Mes_Corriente!DL318*SALUD_Mes_Constante!$DC$1</f>
        <v>0</v>
      </c>
      <c r="DM318" s="8">
        <f>+MINVU_Mes_Corriente!DM318*SALUD_Mes_Constante!$DC$1</f>
        <v>0</v>
      </c>
      <c r="DN318" s="8">
        <f>+MINVU_Mes_Corriente!DN318*SALUD_Mes_Constante!$DC$1</f>
        <v>0</v>
      </c>
      <c r="DO318" s="9">
        <f t="shared" si="160"/>
        <v>0</v>
      </c>
      <c r="DP318" s="8">
        <f>+MINVU_Mes_Corriente!DP318*SALUD_Mes_Constante!$DP$1</f>
        <v>0</v>
      </c>
      <c r="DQ318" s="8">
        <f>+MINVU_Mes_Corriente!DQ318*SALUD_Mes_Constante!$DP$1</f>
        <v>0</v>
      </c>
      <c r="DR318" s="8">
        <f>+MINVU_Mes_Corriente!DR318*SALUD_Mes_Constante!$DP$1</f>
        <v>0</v>
      </c>
      <c r="DS318" s="8">
        <f>+MINVU_Mes_Corriente!DS318*SALUD_Mes_Constante!$DP$1</f>
        <v>0</v>
      </c>
      <c r="DT318" s="8">
        <f>+MINVU_Mes_Corriente!DT318*SALUD_Mes_Constante!$DP$1</f>
        <v>0</v>
      </c>
      <c r="DU318" s="8">
        <f>+MINVU_Mes_Corriente!DU318*SALUD_Mes_Constante!$DP$1</f>
        <v>0</v>
      </c>
      <c r="DV318" s="8">
        <f>+MINVU_Mes_Corriente!DV318*SALUD_Mes_Constante!$DP$1</f>
        <v>0</v>
      </c>
      <c r="DW318" s="8">
        <f>+MINVU_Mes_Corriente!DW318*SALUD_Mes_Constante!$DP$1</f>
        <v>0</v>
      </c>
      <c r="DX318" s="8">
        <f>+MINVU_Mes_Corriente!DX318*SALUD_Mes_Constante!$DP$1</f>
        <v>0</v>
      </c>
      <c r="DY318" s="8">
        <f>+MINVU_Mes_Corriente!DY318*SALUD_Mes_Constante!$DP$1</f>
        <v>0</v>
      </c>
      <c r="DZ318" s="8">
        <f>+MINVU_Mes_Corriente!DZ318*SALUD_Mes_Constante!$DP$1</f>
        <v>0</v>
      </c>
      <c r="EA318" s="8">
        <f>+MINVU_Mes_Corriente!EA318*SALUD_Mes_Constante!$DP$1</f>
        <v>0</v>
      </c>
      <c r="EB318" s="9">
        <f t="shared" si="161"/>
        <v>0</v>
      </c>
      <c r="EC318" s="8">
        <f>+MINVU_Mes_Corriente!EC318*SALUD_Mes_Constante!$EC$1</f>
        <v>0</v>
      </c>
      <c r="ED318" s="8">
        <f>+MINVU_Mes_Corriente!ED318*SALUD_Mes_Constante!$EC$1</f>
        <v>0</v>
      </c>
      <c r="EE318" s="8">
        <f>+MINVU_Mes_Corriente!EE318*SALUD_Mes_Constante!$EC$1</f>
        <v>0</v>
      </c>
      <c r="EF318" s="8">
        <f>+MINVU_Mes_Corriente!EF318*SALUD_Mes_Constante!$EC$1</f>
        <v>0</v>
      </c>
      <c r="EG318" s="8">
        <f>+MINVU_Mes_Corriente!EG318*SALUD_Mes_Constante!$EC$1</f>
        <v>0</v>
      </c>
      <c r="EH318" s="8">
        <f>+MINVU_Mes_Corriente!EH318*SALUD_Mes_Constante!$EC$1</f>
        <v>0</v>
      </c>
      <c r="EI318" s="8">
        <f>+MINVU_Mes_Corriente!EI318*SALUD_Mes_Constante!$EC$1</f>
        <v>0</v>
      </c>
      <c r="EJ318" s="8">
        <f>+MINVU_Mes_Corriente!EJ318*SALUD_Mes_Constante!$EC$1</f>
        <v>0</v>
      </c>
      <c r="EK318" s="8">
        <f>+MINVU_Mes_Corriente!EK318*SALUD_Mes_Constante!$EC$1</f>
        <v>0</v>
      </c>
      <c r="EL318" s="8">
        <f>+MINVU_Mes_Corriente!EL318*SALUD_Mes_Constante!$EC$1</f>
        <v>0</v>
      </c>
      <c r="EM318" s="8">
        <f>+MINVU_Mes_Corriente!EM318*SALUD_Mes_Constante!$EC$1</f>
        <v>0</v>
      </c>
      <c r="EN318" s="8">
        <f>+MINVU_Mes_Corriente!EN318*SALUD_Mes_Constante!$EC$1</f>
        <v>0</v>
      </c>
      <c r="EO318" s="9">
        <f t="shared" si="162"/>
        <v>0</v>
      </c>
      <c r="EP318" s="8">
        <f>+MINVU_Mes_Corriente!EP318*SALUD_Mes_Constante!$EP$1</f>
        <v>0</v>
      </c>
      <c r="EQ318" s="8">
        <f>+MINVU_Mes_Corriente!EQ318*SALUD_Mes_Constante!$EP$1</f>
        <v>0</v>
      </c>
      <c r="ER318" s="8">
        <f>+MINVU_Mes_Corriente!ER318*SALUD_Mes_Constante!$EP$1</f>
        <v>0</v>
      </c>
      <c r="ES318" s="8">
        <f>+MINVU_Mes_Corriente!ES318*SALUD_Mes_Constante!$EP$1</f>
        <v>0</v>
      </c>
      <c r="ET318" s="8">
        <f>+MINVU_Mes_Corriente!ET318*SALUD_Mes_Constante!$EP$1</f>
        <v>0</v>
      </c>
      <c r="EU318" s="8">
        <f>+MINVU_Mes_Corriente!EU318*SALUD_Mes_Constante!$EP$1</f>
        <v>0</v>
      </c>
      <c r="EV318" s="8">
        <f>+MINVU_Mes_Corriente!EV318*SALUD_Mes_Constante!$EP$1</f>
        <v>0</v>
      </c>
      <c r="EW318" s="8">
        <f>+MINVU_Mes_Corriente!EW318*SALUD_Mes_Constante!$EP$1</f>
        <v>0</v>
      </c>
      <c r="EX318" s="8">
        <f>+MINVU_Mes_Corriente!EX318*SALUD_Mes_Constante!$EP$1</f>
        <v>0</v>
      </c>
      <c r="EY318" s="8">
        <f>+MINVU_Mes_Corriente!EY318*SALUD_Mes_Constante!$EP$1</f>
        <v>0</v>
      </c>
      <c r="EZ318" s="8">
        <f>+MINVU_Mes_Corriente!EZ318*SALUD_Mes_Constante!$EP$1</f>
        <v>0</v>
      </c>
      <c r="FA318" s="8">
        <f>+MINVU_Mes_Corriente!FA318*SALUD_Mes_Constante!$EP$1</f>
        <v>0</v>
      </c>
      <c r="FB318" s="9">
        <f t="shared" si="163"/>
        <v>0</v>
      </c>
      <c r="FC318" s="8">
        <f>+MINVU_Mes_Corriente!FC318*SALUD_Mes_Constante!$FC$1</f>
        <v>0</v>
      </c>
      <c r="FD318" s="8">
        <f>+MINVU_Mes_Corriente!FD318*SALUD_Mes_Constante!$FC$1</f>
        <v>0</v>
      </c>
      <c r="FE318" s="8">
        <f>+MINVU_Mes_Corriente!FE318*SALUD_Mes_Constante!$FC$1</f>
        <v>0</v>
      </c>
      <c r="FF318" s="8">
        <f>+MINVU_Mes_Corriente!FF318*SALUD_Mes_Constante!$FC$1</f>
        <v>0</v>
      </c>
      <c r="FG318" s="8">
        <f>+MINVU_Mes_Corriente!FG318*SALUD_Mes_Constante!$FC$1</f>
        <v>0</v>
      </c>
      <c r="FH318" s="8">
        <f>+MINVU_Mes_Corriente!FH318*SALUD_Mes_Constante!$FC$1</f>
        <v>0</v>
      </c>
      <c r="FI318" s="8">
        <f>+MINVU_Mes_Corriente!FI318*SALUD_Mes_Constante!$FC$1</f>
        <v>0</v>
      </c>
      <c r="FJ318" s="8"/>
      <c r="FK318" s="8"/>
      <c r="FL318" s="8"/>
      <c r="FM318" s="8"/>
      <c r="FN318" s="8"/>
      <c r="FO318" s="9">
        <f t="shared" si="164"/>
        <v>0</v>
      </c>
    </row>
    <row r="319" spans="2:171" ht="14.25" customHeight="1" x14ac:dyDescent="0.3">
      <c r="B319" s="7" t="s">
        <v>60</v>
      </c>
      <c r="C319" s="8">
        <f>+MINVU_Mes_Corriente!C319*SALUD_Mes_Constante!$C$1</f>
        <v>0</v>
      </c>
      <c r="D319" s="8">
        <f>+MINVU_Mes_Corriente!D319*SALUD_Mes_Constante!$C$1</f>
        <v>0</v>
      </c>
      <c r="E319" s="8">
        <f>+MINVU_Mes_Corriente!E319*SALUD_Mes_Constante!$C$1</f>
        <v>0</v>
      </c>
      <c r="F319" s="8">
        <f>+MINVU_Mes_Corriente!F319*SALUD_Mes_Constante!$C$1</f>
        <v>0</v>
      </c>
      <c r="G319" s="8">
        <f>+MINVU_Mes_Corriente!G319*SALUD_Mes_Constante!$C$1</f>
        <v>0</v>
      </c>
      <c r="H319" s="8">
        <f>+MINVU_Mes_Corriente!H319*SALUD_Mes_Constante!$C$1</f>
        <v>0</v>
      </c>
      <c r="I319" s="8">
        <f>+MINVU_Mes_Corriente!I319*SALUD_Mes_Constante!$C$1</f>
        <v>0</v>
      </c>
      <c r="J319" s="8">
        <f>+MINVU_Mes_Corriente!J319*SALUD_Mes_Constante!$C$1</f>
        <v>0</v>
      </c>
      <c r="K319" s="8">
        <f>+MINVU_Mes_Corriente!K319*SALUD_Mes_Constante!$C$1</f>
        <v>0</v>
      </c>
      <c r="L319" s="8">
        <f>+MINVU_Mes_Corriente!L319*SALUD_Mes_Constante!$C$1</f>
        <v>0</v>
      </c>
      <c r="M319" s="8">
        <f>+MINVU_Mes_Corriente!M319*SALUD_Mes_Constante!$C$1</f>
        <v>0</v>
      </c>
      <c r="N319" s="8">
        <f>+MINVU_Mes_Corriente!N319*SALUD_Mes_Constante!$C$1</f>
        <v>0</v>
      </c>
      <c r="O319" s="9">
        <f t="shared" si="152"/>
        <v>0</v>
      </c>
      <c r="P319" s="8">
        <f>+MINVU_Mes_Corriente!P319*SALUD_Mes_Constante!$P$1</f>
        <v>0</v>
      </c>
      <c r="Q319" s="8">
        <f>+MINVU_Mes_Corriente!Q319*SALUD_Mes_Constante!$P$1</f>
        <v>0</v>
      </c>
      <c r="R319" s="8">
        <f>+MINVU_Mes_Corriente!R319*SALUD_Mes_Constante!$P$1</f>
        <v>0</v>
      </c>
      <c r="S319" s="8">
        <f>+MINVU_Mes_Corriente!S319*SALUD_Mes_Constante!$P$1</f>
        <v>0</v>
      </c>
      <c r="T319" s="8">
        <f>+MINVU_Mes_Corriente!T319*SALUD_Mes_Constante!$P$1</f>
        <v>0</v>
      </c>
      <c r="U319" s="8">
        <f>+MINVU_Mes_Corriente!U319*SALUD_Mes_Constante!$P$1</f>
        <v>0</v>
      </c>
      <c r="V319" s="8">
        <f>+MINVU_Mes_Corriente!V319*SALUD_Mes_Constante!$P$1</f>
        <v>0</v>
      </c>
      <c r="W319" s="8">
        <f>+MINVU_Mes_Corriente!W319*SALUD_Mes_Constante!$P$1</f>
        <v>0</v>
      </c>
      <c r="X319" s="8">
        <f>+MINVU_Mes_Corriente!X319*SALUD_Mes_Constante!$P$1</f>
        <v>0</v>
      </c>
      <c r="Y319" s="8">
        <f>+MINVU_Mes_Corriente!Y319*SALUD_Mes_Constante!$P$1</f>
        <v>0</v>
      </c>
      <c r="Z319" s="8">
        <f>+MINVU_Mes_Corriente!Z319*SALUD_Mes_Constante!$P$1</f>
        <v>0</v>
      </c>
      <c r="AA319" s="8">
        <f>+MINVU_Mes_Corriente!AA319*SALUD_Mes_Constante!$P$1</f>
        <v>0</v>
      </c>
      <c r="AB319" s="9">
        <f t="shared" si="153"/>
        <v>0</v>
      </c>
      <c r="AC319" s="8">
        <f>+MINVU_Mes_Corriente!AC319*SALUD_Mes_Constante!$AC$1</f>
        <v>0</v>
      </c>
      <c r="AD319" s="8">
        <f>+MINVU_Mes_Corriente!AD319*SALUD_Mes_Constante!$AC$1</f>
        <v>0</v>
      </c>
      <c r="AE319" s="8">
        <f>+MINVU_Mes_Corriente!AE319*SALUD_Mes_Constante!$AC$1</f>
        <v>0</v>
      </c>
      <c r="AF319" s="8">
        <f>+MINVU_Mes_Corriente!AF319*SALUD_Mes_Constante!$AC$1</f>
        <v>0</v>
      </c>
      <c r="AG319" s="8">
        <f>+MINVU_Mes_Corriente!AG319*SALUD_Mes_Constante!$AC$1</f>
        <v>0</v>
      </c>
      <c r="AH319" s="8">
        <f>+MINVU_Mes_Corriente!AH319*SALUD_Mes_Constante!$AC$1</f>
        <v>0</v>
      </c>
      <c r="AI319" s="8">
        <f>+MINVU_Mes_Corriente!AI319*SALUD_Mes_Constante!$AC$1</f>
        <v>0</v>
      </c>
      <c r="AJ319" s="8">
        <f>+MINVU_Mes_Corriente!AJ319*SALUD_Mes_Constante!$AC$1</f>
        <v>0</v>
      </c>
      <c r="AK319" s="8">
        <f>+MINVU_Mes_Corriente!AK319*SALUD_Mes_Constante!$AC$1</f>
        <v>0</v>
      </c>
      <c r="AL319" s="8">
        <f>+MINVU_Mes_Corriente!AL319*SALUD_Mes_Constante!$AC$1</f>
        <v>0</v>
      </c>
      <c r="AM319" s="8">
        <f>+MINVU_Mes_Corriente!AM319*SALUD_Mes_Constante!$AC$1</f>
        <v>0</v>
      </c>
      <c r="AN319" s="8">
        <f>+MINVU_Mes_Corriente!AN319*SALUD_Mes_Constante!$AC$1</f>
        <v>0</v>
      </c>
      <c r="AO319" s="9">
        <f t="shared" si="154"/>
        <v>0</v>
      </c>
      <c r="AP319" s="8">
        <f>+MINVU_Mes_Corriente!AP319*SALUD_Mes_Constante!$AP$1</f>
        <v>0</v>
      </c>
      <c r="AQ319" s="8">
        <f>+MINVU_Mes_Corriente!AQ319*SALUD_Mes_Constante!$AP$1</f>
        <v>0</v>
      </c>
      <c r="AR319" s="8">
        <f>+MINVU_Mes_Corriente!AR319*SALUD_Mes_Constante!$AP$1</f>
        <v>0</v>
      </c>
      <c r="AS319" s="8">
        <f>+MINVU_Mes_Corriente!AS319*SALUD_Mes_Constante!$AP$1</f>
        <v>0</v>
      </c>
      <c r="AT319" s="8">
        <f>+MINVU_Mes_Corriente!AT319*SALUD_Mes_Constante!$AP$1</f>
        <v>0</v>
      </c>
      <c r="AU319" s="8">
        <f>+MINVU_Mes_Corriente!AU319*SALUD_Mes_Constante!$AP$1</f>
        <v>0</v>
      </c>
      <c r="AV319" s="8">
        <f>+MINVU_Mes_Corriente!AV319*SALUD_Mes_Constante!$AP$1</f>
        <v>0</v>
      </c>
      <c r="AW319" s="8">
        <f>+MINVU_Mes_Corriente!AW319*SALUD_Mes_Constante!$AP$1</f>
        <v>0</v>
      </c>
      <c r="AX319" s="8">
        <f>+MINVU_Mes_Corriente!AX319*SALUD_Mes_Constante!$AP$1</f>
        <v>0</v>
      </c>
      <c r="AY319" s="8">
        <f>+MINVU_Mes_Corriente!AY319*SALUD_Mes_Constante!$AP$1</f>
        <v>0</v>
      </c>
      <c r="AZ319" s="8">
        <f>+MINVU_Mes_Corriente!AZ319*SALUD_Mes_Constante!$AP$1</f>
        <v>0</v>
      </c>
      <c r="BA319" s="8">
        <f>+MINVU_Mes_Corriente!BA319*SALUD_Mes_Constante!$AP$1</f>
        <v>0</v>
      </c>
      <c r="BB319" s="9">
        <f t="shared" si="155"/>
        <v>0</v>
      </c>
      <c r="BC319" s="8">
        <f>+MINVU_Mes_Corriente!BC319*SALUD_Mes_Constante!$BC$1</f>
        <v>0</v>
      </c>
      <c r="BD319" s="8">
        <f>+MINVU_Mes_Corriente!BD319*SALUD_Mes_Constante!$BC$1</f>
        <v>0</v>
      </c>
      <c r="BE319" s="8">
        <f>+MINVU_Mes_Corriente!BE319*SALUD_Mes_Constante!$BC$1</f>
        <v>0</v>
      </c>
      <c r="BF319" s="8">
        <f>+MINVU_Mes_Corriente!BF319*SALUD_Mes_Constante!$BC$1</f>
        <v>0</v>
      </c>
      <c r="BG319" s="8">
        <f>+MINVU_Mes_Corriente!BG319*SALUD_Mes_Constante!$BC$1</f>
        <v>0</v>
      </c>
      <c r="BH319" s="8">
        <f>+MINVU_Mes_Corriente!BH319*SALUD_Mes_Constante!$BC$1</f>
        <v>0</v>
      </c>
      <c r="BI319" s="8">
        <f>+MINVU_Mes_Corriente!BI319*SALUD_Mes_Constante!$BC$1</f>
        <v>0</v>
      </c>
      <c r="BJ319" s="8">
        <f>+MINVU_Mes_Corriente!BJ319*SALUD_Mes_Constante!$BC$1</f>
        <v>0</v>
      </c>
      <c r="BK319" s="8">
        <f>+MINVU_Mes_Corriente!BK319*SALUD_Mes_Constante!$BC$1</f>
        <v>0</v>
      </c>
      <c r="BL319" s="8">
        <f>+MINVU_Mes_Corriente!BL319*SALUD_Mes_Constante!$BC$1</f>
        <v>0</v>
      </c>
      <c r="BM319" s="8">
        <f>+MINVU_Mes_Corriente!BM319*SALUD_Mes_Constante!$BC$1</f>
        <v>0</v>
      </c>
      <c r="BN319" s="8">
        <f>+MINVU_Mes_Corriente!BN319*SALUD_Mes_Constante!$BC$1</f>
        <v>0</v>
      </c>
      <c r="BO319" s="9">
        <f t="shared" si="156"/>
        <v>0</v>
      </c>
      <c r="BP319" s="8">
        <f>+MINVU_Mes_Corriente!BP319*SALUD_Mes_Constante!$BP$1</f>
        <v>0</v>
      </c>
      <c r="BQ319" s="8">
        <f>+MINVU_Mes_Corriente!BQ319*SALUD_Mes_Constante!$BP$1</f>
        <v>0</v>
      </c>
      <c r="BR319" s="8">
        <f>+MINVU_Mes_Corriente!BR319*SALUD_Mes_Constante!$BP$1</f>
        <v>0</v>
      </c>
      <c r="BS319" s="8">
        <f>+MINVU_Mes_Corriente!BS319*SALUD_Mes_Constante!$BP$1</f>
        <v>0</v>
      </c>
      <c r="BT319" s="8">
        <f>+MINVU_Mes_Corriente!BT319*SALUD_Mes_Constante!$BP$1</f>
        <v>0</v>
      </c>
      <c r="BU319" s="8">
        <f>+MINVU_Mes_Corriente!BU319*SALUD_Mes_Constante!$BP$1</f>
        <v>0</v>
      </c>
      <c r="BV319" s="8">
        <f>+MINVU_Mes_Corriente!BV319*SALUD_Mes_Constante!$BP$1</f>
        <v>0</v>
      </c>
      <c r="BW319" s="8">
        <f>+MINVU_Mes_Corriente!BW319*SALUD_Mes_Constante!$BP$1</f>
        <v>0</v>
      </c>
      <c r="BX319" s="8">
        <f>+MINVU_Mes_Corriente!BX319*SALUD_Mes_Constante!$BP$1</f>
        <v>0</v>
      </c>
      <c r="BY319" s="8">
        <f>+MINVU_Mes_Corriente!BY319*SALUD_Mes_Constante!$BP$1</f>
        <v>0</v>
      </c>
      <c r="BZ319" s="8">
        <f>+MINVU_Mes_Corriente!BZ319*SALUD_Mes_Constante!$BP$1</f>
        <v>0</v>
      </c>
      <c r="CA319" s="8">
        <f>+MINVU_Mes_Corriente!CA319*SALUD_Mes_Constante!$BP$1</f>
        <v>0</v>
      </c>
      <c r="CB319" s="9">
        <f t="shared" si="157"/>
        <v>0</v>
      </c>
      <c r="CC319" s="8">
        <f>+MINVU_Mes_Corriente!CC319*SALUD_Mes_Constante!$CC$1</f>
        <v>0</v>
      </c>
      <c r="CD319" s="8">
        <f>+MINVU_Mes_Corriente!CD319*SALUD_Mes_Constante!$CC$1</f>
        <v>0</v>
      </c>
      <c r="CE319" s="8">
        <f>+MINVU_Mes_Corriente!CE319*SALUD_Mes_Constante!$CC$1</f>
        <v>0</v>
      </c>
      <c r="CF319" s="8">
        <f>+MINVU_Mes_Corriente!CF319*SALUD_Mes_Constante!$CC$1</f>
        <v>0</v>
      </c>
      <c r="CG319" s="8">
        <f>+MINVU_Mes_Corriente!CG319*SALUD_Mes_Constante!$CC$1</f>
        <v>0</v>
      </c>
      <c r="CH319" s="8">
        <f>+MINVU_Mes_Corriente!CH319*SALUD_Mes_Constante!$CC$1</f>
        <v>0</v>
      </c>
      <c r="CI319" s="8">
        <f>+MINVU_Mes_Corriente!CI319*SALUD_Mes_Constante!$CC$1</f>
        <v>0</v>
      </c>
      <c r="CJ319" s="8">
        <f>+MINVU_Mes_Corriente!CJ319*SALUD_Mes_Constante!$CC$1</f>
        <v>0</v>
      </c>
      <c r="CK319" s="8">
        <f>+MINVU_Mes_Corriente!CK319*SALUD_Mes_Constante!$CC$1</f>
        <v>0</v>
      </c>
      <c r="CL319" s="8">
        <f>+MINVU_Mes_Corriente!CL319*SALUD_Mes_Constante!$CC$1</f>
        <v>0</v>
      </c>
      <c r="CM319" s="8">
        <f>+MINVU_Mes_Corriente!CM319*SALUD_Mes_Constante!$CC$1</f>
        <v>0</v>
      </c>
      <c r="CN319" s="8">
        <f>+MINVU_Mes_Corriente!CN319*SALUD_Mes_Constante!$CC$1</f>
        <v>0</v>
      </c>
      <c r="CO319" s="9">
        <f t="shared" si="158"/>
        <v>0</v>
      </c>
      <c r="CP319" s="8">
        <f>+MINVU_Mes_Corriente!CP319*SALUD_Mes_Constante!$CP$1</f>
        <v>0</v>
      </c>
      <c r="CQ319" s="8">
        <f>+MINVU_Mes_Corriente!CQ319*SALUD_Mes_Constante!$CP$1</f>
        <v>0</v>
      </c>
      <c r="CR319" s="8">
        <f>+MINVU_Mes_Corriente!CR319*SALUD_Mes_Constante!$CP$1</f>
        <v>0</v>
      </c>
      <c r="CS319" s="8">
        <f>+MINVU_Mes_Corriente!CS319*SALUD_Mes_Constante!$CP$1</f>
        <v>0</v>
      </c>
      <c r="CT319" s="8">
        <f>+MINVU_Mes_Corriente!CT319*SALUD_Mes_Constante!$CP$1</f>
        <v>0</v>
      </c>
      <c r="CU319" s="8">
        <f>+MINVU_Mes_Corriente!CU319*SALUD_Mes_Constante!$CP$1</f>
        <v>0</v>
      </c>
      <c r="CV319" s="8">
        <f>+MINVU_Mes_Corriente!CV319*SALUD_Mes_Constante!$CP$1</f>
        <v>0</v>
      </c>
      <c r="CW319" s="8">
        <f>+MINVU_Mes_Corriente!CW319*SALUD_Mes_Constante!$CP$1</f>
        <v>0</v>
      </c>
      <c r="CX319" s="8">
        <f>+MINVU_Mes_Corriente!CX319*SALUD_Mes_Constante!$CP$1</f>
        <v>0</v>
      </c>
      <c r="CY319" s="8">
        <f>+MINVU_Mes_Corriente!CY319*SALUD_Mes_Constante!$CP$1</f>
        <v>0</v>
      </c>
      <c r="CZ319" s="8">
        <f>+MINVU_Mes_Corriente!CZ319*SALUD_Mes_Constante!$CP$1</f>
        <v>0</v>
      </c>
      <c r="DA319" s="8">
        <f>+MINVU_Mes_Corriente!DA319*SALUD_Mes_Constante!$CP$1</f>
        <v>0</v>
      </c>
      <c r="DB319" s="9">
        <f t="shared" si="159"/>
        <v>0</v>
      </c>
      <c r="DC319" s="8">
        <f>+MINVU_Mes_Corriente!DC319*SALUD_Mes_Constante!$DC$1</f>
        <v>0</v>
      </c>
      <c r="DD319" s="8">
        <f>+MINVU_Mes_Corriente!DD319*SALUD_Mes_Constante!$DC$1</f>
        <v>0</v>
      </c>
      <c r="DE319" s="8">
        <f>+MINVU_Mes_Corriente!DE319*SALUD_Mes_Constante!$DC$1</f>
        <v>0</v>
      </c>
      <c r="DF319" s="8">
        <f>+MINVU_Mes_Corriente!DF319*SALUD_Mes_Constante!$DC$1</f>
        <v>0</v>
      </c>
      <c r="DG319" s="8">
        <f>+MINVU_Mes_Corriente!DG319*SALUD_Mes_Constante!$DC$1</f>
        <v>0</v>
      </c>
      <c r="DH319" s="8">
        <f>+MINVU_Mes_Corriente!DH319*SALUD_Mes_Constante!$DC$1</f>
        <v>0</v>
      </c>
      <c r="DI319" s="8">
        <f>+MINVU_Mes_Corriente!DI319*SALUD_Mes_Constante!$DC$1</f>
        <v>0</v>
      </c>
      <c r="DJ319" s="8">
        <f>+MINVU_Mes_Corriente!DJ319*SALUD_Mes_Constante!$DC$1</f>
        <v>0</v>
      </c>
      <c r="DK319" s="8">
        <f>+MINVU_Mes_Corriente!DK319*SALUD_Mes_Constante!$DC$1</f>
        <v>0</v>
      </c>
      <c r="DL319" s="8">
        <f>+MINVU_Mes_Corriente!DL319*SALUD_Mes_Constante!$DC$1</f>
        <v>0</v>
      </c>
      <c r="DM319" s="8">
        <f>+MINVU_Mes_Corriente!DM319*SALUD_Mes_Constante!$DC$1</f>
        <v>0</v>
      </c>
      <c r="DN319" s="8">
        <f>+MINVU_Mes_Corriente!DN319*SALUD_Mes_Constante!$DC$1</f>
        <v>0</v>
      </c>
      <c r="DO319" s="9">
        <f t="shared" si="160"/>
        <v>0</v>
      </c>
      <c r="DP319" s="8">
        <f>+MINVU_Mes_Corriente!DP319*SALUD_Mes_Constante!$DP$1</f>
        <v>0</v>
      </c>
      <c r="DQ319" s="8">
        <f>+MINVU_Mes_Corriente!DQ319*SALUD_Mes_Constante!$DP$1</f>
        <v>0</v>
      </c>
      <c r="DR319" s="8">
        <f>+MINVU_Mes_Corriente!DR319*SALUD_Mes_Constante!$DP$1</f>
        <v>0</v>
      </c>
      <c r="DS319" s="8">
        <f>+MINVU_Mes_Corriente!DS319*SALUD_Mes_Constante!$DP$1</f>
        <v>0</v>
      </c>
      <c r="DT319" s="8">
        <f>+MINVU_Mes_Corriente!DT319*SALUD_Mes_Constante!$DP$1</f>
        <v>0</v>
      </c>
      <c r="DU319" s="8">
        <f>+MINVU_Mes_Corriente!DU319*SALUD_Mes_Constante!$DP$1</f>
        <v>0</v>
      </c>
      <c r="DV319" s="8">
        <f>+MINVU_Mes_Corriente!DV319*SALUD_Mes_Constante!$DP$1</f>
        <v>0</v>
      </c>
      <c r="DW319" s="8">
        <f>+MINVU_Mes_Corriente!DW319*SALUD_Mes_Constante!$DP$1</f>
        <v>0</v>
      </c>
      <c r="DX319" s="8">
        <f>+MINVU_Mes_Corriente!DX319*SALUD_Mes_Constante!$DP$1</f>
        <v>0</v>
      </c>
      <c r="DY319" s="8">
        <f>+MINVU_Mes_Corriente!DY319*SALUD_Mes_Constante!$DP$1</f>
        <v>0</v>
      </c>
      <c r="DZ319" s="8">
        <f>+MINVU_Mes_Corriente!DZ319*SALUD_Mes_Constante!$DP$1</f>
        <v>0</v>
      </c>
      <c r="EA319" s="8">
        <f>+MINVU_Mes_Corriente!EA319*SALUD_Mes_Constante!$DP$1</f>
        <v>0</v>
      </c>
      <c r="EB319" s="9">
        <f t="shared" si="161"/>
        <v>0</v>
      </c>
      <c r="EC319" s="8">
        <f>+MINVU_Mes_Corriente!EC319*SALUD_Mes_Constante!$EC$1</f>
        <v>0</v>
      </c>
      <c r="ED319" s="8">
        <f>+MINVU_Mes_Corriente!ED319*SALUD_Mes_Constante!$EC$1</f>
        <v>0</v>
      </c>
      <c r="EE319" s="8">
        <f>+MINVU_Mes_Corriente!EE319*SALUD_Mes_Constante!$EC$1</f>
        <v>0</v>
      </c>
      <c r="EF319" s="8">
        <f>+MINVU_Mes_Corriente!EF319*SALUD_Mes_Constante!$EC$1</f>
        <v>0</v>
      </c>
      <c r="EG319" s="8">
        <f>+MINVU_Mes_Corriente!EG319*SALUD_Mes_Constante!$EC$1</f>
        <v>0</v>
      </c>
      <c r="EH319" s="8">
        <f>+MINVU_Mes_Corriente!EH319*SALUD_Mes_Constante!$EC$1</f>
        <v>0</v>
      </c>
      <c r="EI319" s="8">
        <f>+MINVU_Mes_Corriente!EI319*SALUD_Mes_Constante!$EC$1</f>
        <v>0</v>
      </c>
      <c r="EJ319" s="8">
        <f>+MINVU_Mes_Corriente!EJ319*SALUD_Mes_Constante!$EC$1</f>
        <v>0</v>
      </c>
      <c r="EK319" s="8">
        <f>+MINVU_Mes_Corriente!EK319*SALUD_Mes_Constante!$EC$1</f>
        <v>0</v>
      </c>
      <c r="EL319" s="8">
        <f>+MINVU_Mes_Corriente!EL319*SALUD_Mes_Constante!$EC$1</f>
        <v>0</v>
      </c>
      <c r="EM319" s="8">
        <f>+MINVU_Mes_Corriente!EM319*SALUD_Mes_Constante!$EC$1</f>
        <v>0</v>
      </c>
      <c r="EN319" s="8">
        <f>+MINVU_Mes_Corriente!EN319*SALUD_Mes_Constante!$EC$1</f>
        <v>0</v>
      </c>
      <c r="EO319" s="9">
        <f t="shared" si="162"/>
        <v>0</v>
      </c>
      <c r="EP319" s="8">
        <f>+MINVU_Mes_Corriente!EP319*SALUD_Mes_Constante!$EP$1</f>
        <v>0</v>
      </c>
      <c r="EQ319" s="8">
        <f>+MINVU_Mes_Corriente!EQ319*SALUD_Mes_Constante!$EP$1</f>
        <v>0</v>
      </c>
      <c r="ER319" s="8">
        <f>+MINVU_Mes_Corriente!ER319*SALUD_Mes_Constante!$EP$1</f>
        <v>0</v>
      </c>
      <c r="ES319" s="8">
        <f>+MINVU_Mes_Corriente!ES319*SALUD_Mes_Constante!$EP$1</f>
        <v>0</v>
      </c>
      <c r="ET319" s="8">
        <f>+MINVU_Mes_Corriente!ET319*SALUD_Mes_Constante!$EP$1</f>
        <v>0</v>
      </c>
      <c r="EU319" s="8">
        <f>+MINVU_Mes_Corriente!EU319*SALUD_Mes_Constante!$EP$1</f>
        <v>0</v>
      </c>
      <c r="EV319" s="8">
        <f>+MINVU_Mes_Corriente!EV319*SALUD_Mes_Constante!$EP$1</f>
        <v>0</v>
      </c>
      <c r="EW319" s="8">
        <f>+MINVU_Mes_Corriente!EW319*SALUD_Mes_Constante!$EP$1</f>
        <v>0</v>
      </c>
      <c r="EX319" s="8">
        <f>+MINVU_Mes_Corriente!EX319*SALUD_Mes_Constante!$EP$1</f>
        <v>0</v>
      </c>
      <c r="EY319" s="8">
        <f>+MINVU_Mes_Corriente!EY319*SALUD_Mes_Constante!$EP$1</f>
        <v>0</v>
      </c>
      <c r="EZ319" s="8">
        <f>+MINVU_Mes_Corriente!EZ319*SALUD_Mes_Constante!$EP$1</f>
        <v>0</v>
      </c>
      <c r="FA319" s="8">
        <f>+MINVU_Mes_Corriente!FA319*SALUD_Mes_Constante!$EP$1</f>
        <v>0</v>
      </c>
      <c r="FB319" s="9">
        <f t="shared" si="163"/>
        <v>0</v>
      </c>
      <c r="FC319" s="8">
        <f>+MINVU_Mes_Corriente!FC319*SALUD_Mes_Constante!$FC$1</f>
        <v>0</v>
      </c>
      <c r="FD319" s="8">
        <f>+MINVU_Mes_Corriente!FD319*SALUD_Mes_Constante!$FC$1</f>
        <v>0</v>
      </c>
      <c r="FE319" s="8">
        <f>+MINVU_Mes_Corriente!FE319*SALUD_Mes_Constante!$FC$1</f>
        <v>0</v>
      </c>
      <c r="FF319" s="8">
        <f>+MINVU_Mes_Corriente!FF319*SALUD_Mes_Constante!$FC$1</f>
        <v>0</v>
      </c>
      <c r="FG319" s="8">
        <f>+MINVU_Mes_Corriente!FG319*SALUD_Mes_Constante!$FC$1</f>
        <v>0</v>
      </c>
      <c r="FH319" s="8">
        <f>+MINVU_Mes_Corriente!FH319*SALUD_Mes_Constante!$FC$1</f>
        <v>0</v>
      </c>
      <c r="FI319" s="8">
        <f>+MINVU_Mes_Corriente!FI319*SALUD_Mes_Constante!$FC$1</f>
        <v>0</v>
      </c>
      <c r="FJ319" s="8"/>
      <c r="FK319" s="8"/>
      <c r="FL319" s="8"/>
      <c r="FM319" s="8"/>
      <c r="FN319" s="8"/>
      <c r="FO319" s="9">
        <f t="shared" si="164"/>
        <v>0</v>
      </c>
    </row>
    <row r="320" spans="2:171" ht="14.25" customHeight="1" x14ac:dyDescent="0.3">
      <c r="B320" s="7" t="s">
        <v>61</v>
      </c>
      <c r="C320" s="8">
        <f>+MINVU_Mes_Corriente!C320*SALUD_Mes_Constante!$C$1</f>
        <v>0</v>
      </c>
      <c r="D320" s="8">
        <f>+MINVU_Mes_Corriente!D320*SALUD_Mes_Constante!$C$1</f>
        <v>0</v>
      </c>
      <c r="E320" s="8">
        <f>+MINVU_Mes_Corriente!E320*SALUD_Mes_Constante!$C$1</f>
        <v>0</v>
      </c>
      <c r="F320" s="8">
        <f>+MINVU_Mes_Corriente!F320*SALUD_Mes_Constante!$C$1</f>
        <v>0</v>
      </c>
      <c r="G320" s="8">
        <f>+MINVU_Mes_Corriente!G320*SALUD_Mes_Constante!$C$1</f>
        <v>0</v>
      </c>
      <c r="H320" s="8">
        <f>+MINVU_Mes_Corriente!H320*SALUD_Mes_Constante!$C$1</f>
        <v>0</v>
      </c>
      <c r="I320" s="8">
        <f>+MINVU_Mes_Corriente!I320*SALUD_Mes_Constante!$C$1</f>
        <v>0</v>
      </c>
      <c r="J320" s="8">
        <f>+MINVU_Mes_Corriente!J320*SALUD_Mes_Constante!$C$1</f>
        <v>0</v>
      </c>
      <c r="K320" s="8">
        <f>+MINVU_Mes_Corriente!K320*SALUD_Mes_Constante!$C$1</f>
        <v>0</v>
      </c>
      <c r="L320" s="8">
        <f>+MINVU_Mes_Corriente!L320*SALUD_Mes_Constante!$C$1</f>
        <v>0</v>
      </c>
      <c r="M320" s="8">
        <f>+MINVU_Mes_Corriente!M320*SALUD_Mes_Constante!$C$1</f>
        <v>0</v>
      </c>
      <c r="N320" s="8">
        <f>+MINVU_Mes_Corriente!N320*SALUD_Mes_Constante!$C$1</f>
        <v>0</v>
      </c>
      <c r="O320" s="9">
        <f t="shared" si="152"/>
        <v>0</v>
      </c>
      <c r="P320" s="8">
        <f>+MINVU_Mes_Corriente!P320*SALUD_Mes_Constante!$P$1</f>
        <v>0</v>
      </c>
      <c r="Q320" s="8">
        <f>+MINVU_Mes_Corriente!Q320*SALUD_Mes_Constante!$P$1</f>
        <v>0</v>
      </c>
      <c r="R320" s="8">
        <f>+MINVU_Mes_Corriente!R320*SALUD_Mes_Constante!$P$1</f>
        <v>0</v>
      </c>
      <c r="S320" s="8">
        <f>+MINVU_Mes_Corriente!S320*SALUD_Mes_Constante!$P$1</f>
        <v>0</v>
      </c>
      <c r="T320" s="8">
        <f>+MINVU_Mes_Corriente!T320*SALUD_Mes_Constante!$P$1</f>
        <v>0</v>
      </c>
      <c r="U320" s="8">
        <f>+MINVU_Mes_Corriente!U320*SALUD_Mes_Constante!$P$1</f>
        <v>0</v>
      </c>
      <c r="V320" s="8">
        <f>+MINVU_Mes_Corriente!V320*SALUD_Mes_Constante!$P$1</f>
        <v>0</v>
      </c>
      <c r="W320" s="8">
        <f>+MINVU_Mes_Corriente!W320*SALUD_Mes_Constante!$P$1</f>
        <v>0</v>
      </c>
      <c r="X320" s="8">
        <f>+MINVU_Mes_Corriente!X320*SALUD_Mes_Constante!$P$1</f>
        <v>0</v>
      </c>
      <c r="Y320" s="8">
        <f>+MINVU_Mes_Corriente!Y320*SALUD_Mes_Constante!$P$1</f>
        <v>0</v>
      </c>
      <c r="Z320" s="8">
        <f>+MINVU_Mes_Corriente!Z320*SALUD_Mes_Constante!$P$1</f>
        <v>0</v>
      </c>
      <c r="AA320" s="8">
        <f>+MINVU_Mes_Corriente!AA320*SALUD_Mes_Constante!$P$1</f>
        <v>0</v>
      </c>
      <c r="AB320" s="9">
        <f t="shared" si="153"/>
        <v>0</v>
      </c>
      <c r="AC320" s="8">
        <f>+MINVU_Mes_Corriente!AC320*SALUD_Mes_Constante!$AC$1</f>
        <v>0</v>
      </c>
      <c r="AD320" s="8">
        <f>+MINVU_Mes_Corriente!AD320*SALUD_Mes_Constante!$AC$1</f>
        <v>0</v>
      </c>
      <c r="AE320" s="8">
        <f>+MINVU_Mes_Corriente!AE320*SALUD_Mes_Constante!$AC$1</f>
        <v>0</v>
      </c>
      <c r="AF320" s="8">
        <f>+MINVU_Mes_Corriente!AF320*SALUD_Mes_Constante!$AC$1</f>
        <v>0</v>
      </c>
      <c r="AG320" s="8">
        <f>+MINVU_Mes_Corriente!AG320*SALUD_Mes_Constante!$AC$1</f>
        <v>0</v>
      </c>
      <c r="AH320" s="8">
        <f>+MINVU_Mes_Corriente!AH320*SALUD_Mes_Constante!$AC$1</f>
        <v>0</v>
      </c>
      <c r="AI320" s="8">
        <f>+MINVU_Mes_Corriente!AI320*SALUD_Mes_Constante!$AC$1</f>
        <v>0</v>
      </c>
      <c r="AJ320" s="8">
        <f>+MINVU_Mes_Corriente!AJ320*SALUD_Mes_Constante!$AC$1</f>
        <v>0</v>
      </c>
      <c r="AK320" s="8">
        <f>+MINVU_Mes_Corriente!AK320*SALUD_Mes_Constante!$AC$1</f>
        <v>0</v>
      </c>
      <c r="AL320" s="8">
        <f>+MINVU_Mes_Corriente!AL320*SALUD_Mes_Constante!$AC$1</f>
        <v>0</v>
      </c>
      <c r="AM320" s="8">
        <f>+MINVU_Mes_Corriente!AM320*SALUD_Mes_Constante!$AC$1</f>
        <v>0</v>
      </c>
      <c r="AN320" s="8">
        <f>+MINVU_Mes_Corriente!AN320*SALUD_Mes_Constante!$AC$1</f>
        <v>0</v>
      </c>
      <c r="AO320" s="9">
        <f t="shared" si="154"/>
        <v>0</v>
      </c>
      <c r="AP320" s="8">
        <f>+MINVU_Mes_Corriente!AP320*SALUD_Mes_Constante!$AP$1</f>
        <v>0</v>
      </c>
      <c r="AQ320" s="8">
        <f>+MINVU_Mes_Corriente!AQ320*SALUD_Mes_Constante!$AP$1</f>
        <v>0</v>
      </c>
      <c r="AR320" s="8">
        <f>+MINVU_Mes_Corriente!AR320*SALUD_Mes_Constante!$AP$1</f>
        <v>0</v>
      </c>
      <c r="AS320" s="8">
        <f>+MINVU_Mes_Corriente!AS320*SALUD_Mes_Constante!$AP$1</f>
        <v>0</v>
      </c>
      <c r="AT320" s="8">
        <f>+MINVU_Mes_Corriente!AT320*SALUD_Mes_Constante!$AP$1</f>
        <v>0</v>
      </c>
      <c r="AU320" s="8">
        <f>+MINVU_Mes_Corriente!AU320*SALUD_Mes_Constante!$AP$1</f>
        <v>0</v>
      </c>
      <c r="AV320" s="8">
        <f>+MINVU_Mes_Corriente!AV320*SALUD_Mes_Constante!$AP$1</f>
        <v>0</v>
      </c>
      <c r="AW320" s="8">
        <f>+MINVU_Mes_Corriente!AW320*SALUD_Mes_Constante!$AP$1</f>
        <v>0</v>
      </c>
      <c r="AX320" s="8">
        <f>+MINVU_Mes_Corriente!AX320*SALUD_Mes_Constante!$AP$1</f>
        <v>0</v>
      </c>
      <c r="AY320" s="8">
        <f>+MINVU_Mes_Corriente!AY320*SALUD_Mes_Constante!$AP$1</f>
        <v>0</v>
      </c>
      <c r="AZ320" s="8">
        <f>+MINVU_Mes_Corriente!AZ320*SALUD_Mes_Constante!$AP$1</f>
        <v>0</v>
      </c>
      <c r="BA320" s="8">
        <f>+MINVU_Mes_Corriente!BA320*SALUD_Mes_Constante!$AP$1</f>
        <v>0</v>
      </c>
      <c r="BB320" s="9">
        <f t="shared" si="155"/>
        <v>0</v>
      </c>
      <c r="BC320" s="8">
        <f>+MINVU_Mes_Corriente!BC320*SALUD_Mes_Constante!$BC$1</f>
        <v>0</v>
      </c>
      <c r="BD320" s="8">
        <f>+MINVU_Mes_Corriente!BD320*SALUD_Mes_Constante!$BC$1</f>
        <v>0</v>
      </c>
      <c r="BE320" s="8">
        <f>+MINVU_Mes_Corriente!BE320*SALUD_Mes_Constante!$BC$1</f>
        <v>0</v>
      </c>
      <c r="BF320" s="8">
        <f>+MINVU_Mes_Corriente!BF320*SALUD_Mes_Constante!$BC$1</f>
        <v>0</v>
      </c>
      <c r="BG320" s="8">
        <f>+MINVU_Mes_Corriente!BG320*SALUD_Mes_Constante!$BC$1</f>
        <v>0</v>
      </c>
      <c r="BH320" s="8">
        <f>+MINVU_Mes_Corriente!BH320*SALUD_Mes_Constante!$BC$1</f>
        <v>0</v>
      </c>
      <c r="BI320" s="8">
        <f>+MINVU_Mes_Corriente!BI320*SALUD_Mes_Constante!$BC$1</f>
        <v>0</v>
      </c>
      <c r="BJ320" s="8">
        <f>+MINVU_Mes_Corriente!BJ320*SALUD_Mes_Constante!$BC$1</f>
        <v>0</v>
      </c>
      <c r="BK320" s="8">
        <f>+MINVU_Mes_Corriente!BK320*SALUD_Mes_Constante!$BC$1</f>
        <v>0</v>
      </c>
      <c r="BL320" s="8">
        <f>+MINVU_Mes_Corriente!BL320*SALUD_Mes_Constante!$BC$1</f>
        <v>0</v>
      </c>
      <c r="BM320" s="8">
        <f>+MINVU_Mes_Corriente!BM320*SALUD_Mes_Constante!$BC$1</f>
        <v>0</v>
      </c>
      <c r="BN320" s="8">
        <f>+MINVU_Mes_Corriente!BN320*SALUD_Mes_Constante!$BC$1</f>
        <v>0</v>
      </c>
      <c r="BO320" s="9">
        <f t="shared" si="156"/>
        <v>0</v>
      </c>
      <c r="BP320" s="8">
        <f>+MINVU_Mes_Corriente!BP320*SALUD_Mes_Constante!$BP$1</f>
        <v>0</v>
      </c>
      <c r="BQ320" s="8">
        <f>+MINVU_Mes_Corriente!BQ320*SALUD_Mes_Constante!$BP$1</f>
        <v>0</v>
      </c>
      <c r="BR320" s="8">
        <f>+MINVU_Mes_Corriente!BR320*SALUD_Mes_Constante!$BP$1</f>
        <v>0</v>
      </c>
      <c r="BS320" s="8">
        <f>+MINVU_Mes_Corriente!BS320*SALUD_Mes_Constante!$BP$1</f>
        <v>0</v>
      </c>
      <c r="BT320" s="8">
        <f>+MINVU_Mes_Corriente!BT320*SALUD_Mes_Constante!$BP$1</f>
        <v>0</v>
      </c>
      <c r="BU320" s="8">
        <f>+MINVU_Mes_Corriente!BU320*SALUD_Mes_Constante!$BP$1</f>
        <v>0</v>
      </c>
      <c r="BV320" s="8">
        <f>+MINVU_Mes_Corriente!BV320*SALUD_Mes_Constante!$BP$1</f>
        <v>0</v>
      </c>
      <c r="BW320" s="8">
        <f>+MINVU_Mes_Corriente!BW320*SALUD_Mes_Constante!$BP$1</f>
        <v>0</v>
      </c>
      <c r="BX320" s="8">
        <f>+MINVU_Mes_Corriente!BX320*SALUD_Mes_Constante!$BP$1</f>
        <v>0</v>
      </c>
      <c r="BY320" s="8">
        <f>+MINVU_Mes_Corriente!BY320*SALUD_Mes_Constante!$BP$1</f>
        <v>0</v>
      </c>
      <c r="BZ320" s="8">
        <f>+MINVU_Mes_Corriente!BZ320*SALUD_Mes_Constante!$BP$1</f>
        <v>0</v>
      </c>
      <c r="CA320" s="8">
        <f>+MINVU_Mes_Corriente!CA320*SALUD_Mes_Constante!$BP$1</f>
        <v>0</v>
      </c>
      <c r="CB320" s="9">
        <f t="shared" si="157"/>
        <v>0</v>
      </c>
      <c r="CC320" s="8">
        <f>+MINVU_Mes_Corriente!CC320*SALUD_Mes_Constante!$CC$1</f>
        <v>0</v>
      </c>
      <c r="CD320" s="8">
        <f>+MINVU_Mes_Corriente!CD320*SALUD_Mes_Constante!$CC$1</f>
        <v>0</v>
      </c>
      <c r="CE320" s="8">
        <f>+MINVU_Mes_Corriente!CE320*SALUD_Mes_Constante!$CC$1</f>
        <v>0</v>
      </c>
      <c r="CF320" s="8">
        <f>+MINVU_Mes_Corriente!CF320*SALUD_Mes_Constante!$CC$1</f>
        <v>0</v>
      </c>
      <c r="CG320" s="8">
        <f>+MINVU_Mes_Corriente!CG320*SALUD_Mes_Constante!$CC$1</f>
        <v>0</v>
      </c>
      <c r="CH320" s="8">
        <f>+MINVU_Mes_Corriente!CH320*SALUD_Mes_Constante!$CC$1</f>
        <v>0</v>
      </c>
      <c r="CI320" s="8">
        <f>+MINVU_Mes_Corriente!CI320*SALUD_Mes_Constante!$CC$1</f>
        <v>0</v>
      </c>
      <c r="CJ320" s="8">
        <f>+MINVU_Mes_Corriente!CJ320*SALUD_Mes_Constante!$CC$1</f>
        <v>0</v>
      </c>
      <c r="CK320" s="8">
        <f>+MINVU_Mes_Corriente!CK320*SALUD_Mes_Constante!$CC$1</f>
        <v>0</v>
      </c>
      <c r="CL320" s="8">
        <f>+MINVU_Mes_Corriente!CL320*SALUD_Mes_Constante!$CC$1</f>
        <v>0</v>
      </c>
      <c r="CM320" s="8">
        <f>+MINVU_Mes_Corriente!CM320*SALUD_Mes_Constante!$CC$1</f>
        <v>0</v>
      </c>
      <c r="CN320" s="8">
        <f>+MINVU_Mes_Corriente!CN320*SALUD_Mes_Constante!$CC$1</f>
        <v>0</v>
      </c>
      <c r="CO320" s="9">
        <f t="shared" si="158"/>
        <v>0</v>
      </c>
      <c r="CP320" s="8">
        <f>+MINVU_Mes_Corriente!CP320*SALUD_Mes_Constante!$CP$1</f>
        <v>0</v>
      </c>
      <c r="CQ320" s="8">
        <f>+MINVU_Mes_Corriente!CQ320*SALUD_Mes_Constante!$CP$1</f>
        <v>0</v>
      </c>
      <c r="CR320" s="8">
        <f>+MINVU_Mes_Corriente!CR320*SALUD_Mes_Constante!$CP$1</f>
        <v>0</v>
      </c>
      <c r="CS320" s="8">
        <f>+MINVU_Mes_Corriente!CS320*SALUD_Mes_Constante!$CP$1</f>
        <v>0</v>
      </c>
      <c r="CT320" s="8">
        <f>+MINVU_Mes_Corriente!CT320*SALUD_Mes_Constante!$CP$1</f>
        <v>0</v>
      </c>
      <c r="CU320" s="8">
        <f>+MINVU_Mes_Corriente!CU320*SALUD_Mes_Constante!$CP$1</f>
        <v>0</v>
      </c>
      <c r="CV320" s="8">
        <f>+MINVU_Mes_Corriente!CV320*SALUD_Mes_Constante!$CP$1</f>
        <v>0</v>
      </c>
      <c r="CW320" s="8">
        <f>+MINVU_Mes_Corriente!CW320*SALUD_Mes_Constante!$CP$1</f>
        <v>0</v>
      </c>
      <c r="CX320" s="8">
        <f>+MINVU_Mes_Corriente!CX320*SALUD_Mes_Constante!$CP$1</f>
        <v>0</v>
      </c>
      <c r="CY320" s="8">
        <f>+MINVU_Mes_Corriente!CY320*SALUD_Mes_Constante!$CP$1</f>
        <v>0</v>
      </c>
      <c r="CZ320" s="8">
        <f>+MINVU_Mes_Corriente!CZ320*SALUD_Mes_Constante!$CP$1</f>
        <v>0</v>
      </c>
      <c r="DA320" s="8">
        <f>+MINVU_Mes_Corriente!DA320*SALUD_Mes_Constante!$CP$1</f>
        <v>0</v>
      </c>
      <c r="DB320" s="9">
        <f t="shared" si="159"/>
        <v>0</v>
      </c>
      <c r="DC320" s="8">
        <f>+MINVU_Mes_Corriente!DC320*SALUD_Mes_Constante!$DC$1</f>
        <v>0</v>
      </c>
      <c r="DD320" s="8">
        <f>+MINVU_Mes_Corriente!DD320*SALUD_Mes_Constante!$DC$1</f>
        <v>0</v>
      </c>
      <c r="DE320" s="8">
        <f>+MINVU_Mes_Corriente!DE320*SALUD_Mes_Constante!$DC$1</f>
        <v>0</v>
      </c>
      <c r="DF320" s="8">
        <f>+MINVU_Mes_Corriente!DF320*SALUD_Mes_Constante!$DC$1</f>
        <v>0</v>
      </c>
      <c r="DG320" s="8">
        <f>+MINVU_Mes_Corriente!DG320*SALUD_Mes_Constante!$DC$1</f>
        <v>0</v>
      </c>
      <c r="DH320" s="8">
        <f>+MINVU_Mes_Corriente!DH320*SALUD_Mes_Constante!$DC$1</f>
        <v>0</v>
      </c>
      <c r="DI320" s="8">
        <f>+MINVU_Mes_Corriente!DI320*SALUD_Mes_Constante!$DC$1</f>
        <v>0</v>
      </c>
      <c r="DJ320" s="8">
        <f>+MINVU_Mes_Corriente!DJ320*SALUD_Mes_Constante!$DC$1</f>
        <v>0</v>
      </c>
      <c r="DK320" s="8">
        <f>+MINVU_Mes_Corriente!DK320*SALUD_Mes_Constante!$DC$1</f>
        <v>0</v>
      </c>
      <c r="DL320" s="8">
        <f>+MINVU_Mes_Corriente!DL320*SALUD_Mes_Constante!$DC$1</f>
        <v>0</v>
      </c>
      <c r="DM320" s="8">
        <f>+MINVU_Mes_Corriente!DM320*SALUD_Mes_Constante!$DC$1</f>
        <v>0</v>
      </c>
      <c r="DN320" s="8">
        <f>+MINVU_Mes_Corriente!DN320*SALUD_Mes_Constante!$DC$1</f>
        <v>0</v>
      </c>
      <c r="DO320" s="9">
        <f t="shared" si="160"/>
        <v>0</v>
      </c>
      <c r="DP320" s="8">
        <f>+MINVU_Mes_Corriente!DP320*SALUD_Mes_Constante!$DP$1</f>
        <v>0</v>
      </c>
      <c r="DQ320" s="8">
        <f>+MINVU_Mes_Corriente!DQ320*SALUD_Mes_Constante!$DP$1</f>
        <v>0</v>
      </c>
      <c r="DR320" s="8">
        <f>+MINVU_Mes_Corriente!DR320*SALUD_Mes_Constante!$DP$1</f>
        <v>0</v>
      </c>
      <c r="DS320" s="8">
        <f>+MINVU_Mes_Corriente!DS320*SALUD_Mes_Constante!$DP$1</f>
        <v>0</v>
      </c>
      <c r="DT320" s="8">
        <f>+MINVU_Mes_Corriente!DT320*SALUD_Mes_Constante!$DP$1</f>
        <v>0</v>
      </c>
      <c r="DU320" s="8">
        <f>+MINVU_Mes_Corriente!DU320*SALUD_Mes_Constante!$DP$1</f>
        <v>0</v>
      </c>
      <c r="DV320" s="8">
        <f>+MINVU_Mes_Corriente!DV320*SALUD_Mes_Constante!$DP$1</f>
        <v>0</v>
      </c>
      <c r="DW320" s="8">
        <f>+MINVU_Mes_Corriente!DW320*SALUD_Mes_Constante!$DP$1</f>
        <v>0</v>
      </c>
      <c r="DX320" s="8">
        <f>+MINVU_Mes_Corriente!DX320*SALUD_Mes_Constante!$DP$1</f>
        <v>0</v>
      </c>
      <c r="DY320" s="8">
        <f>+MINVU_Mes_Corriente!DY320*SALUD_Mes_Constante!$DP$1</f>
        <v>0</v>
      </c>
      <c r="DZ320" s="8">
        <f>+MINVU_Mes_Corriente!DZ320*SALUD_Mes_Constante!$DP$1</f>
        <v>0</v>
      </c>
      <c r="EA320" s="8">
        <f>+MINVU_Mes_Corriente!EA320*SALUD_Mes_Constante!$DP$1</f>
        <v>0</v>
      </c>
      <c r="EB320" s="9">
        <f t="shared" si="161"/>
        <v>0</v>
      </c>
      <c r="EC320" s="8">
        <f>+MINVU_Mes_Corriente!EC320*SALUD_Mes_Constante!$EC$1</f>
        <v>0</v>
      </c>
      <c r="ED320" s="8">
        <f>+MINVU_Mes_Corriente!ED320*SALUD_Mes_Constante!$EC$1</f>
        <v>0</v>
      </c>
      <c r="EE320" s="8">
        <f>+MINVU_Mes_Corriente!EE320*SALUD_Mes_Constante!$EC$1</f>
        <v>0</v>
      </c>
      <c r="EF320" s="8">
        <f>+MINVU_Mes_Corriente!EF320*SALUD_Mes_Constante!$EC$1</f>
        <v>0</v>
      </c>
      <c r="EG320" s="8">
        <f>+MINVU_Mes_Corriente!EG320*SALUD_Mes_Constante!$EC$1</f>
        <v>0</v>
      </c>
      <c r="EH320" s="8">
        <f>+MINVU_Mes_Corriente!EH320*SALUD_Mes_Constante!$EC$1</f>
        <v>0</v>
      </c>
      <c r="EI320" s="8">
        <f>+MINVU_Mes_Corriente!EI320*SALUD_Mes_Constante!$EC$1</f>
        <v>0</v>
      </c>
      <c r="EJ320" s="8">
        <f>+MINVU_Mes_Corriente!EJ320*SALUD_Mes_Constante!$EC$1</f>
        <v>0</v>
      </c>
      <c r="EK320" s="8">
        <f>+MINVU_Mes_Corriente!EK320*SALUD_Mes_Constante!$EC$1</f>
        <v>0</v>
      </c>
      <c r="EL320" s="8">
        <f>+MINVU_Mes_Corriente!EL320*SALUD_Mes_Constante!$EC$1</f>
        <v>0</v>
      </c>
      <c r="EM320" s="8">
        <f>+MINVU_Mes_Corriente!EM320*SALUD_Mes_Constante!$EC$1</f>
        <v>0</v>
      </c>
      <c r="EN320" s="8">
        <f>+MINVU_Mes_Corriente!EN320*SALUD_Mes_Constante!$EC$1</f>
        <v>0</v>
      </c>
      <c r="EO320" s="9">
        <f t="shared" si="162"/>
        <v>0</v>
      </c>
      <c r="EP320" s="8">
        <f>+MINVU_Mes_Corriente!EP320*SALUD_Mes_Constante!$EP$1</f>
        <v>0</v>
      </c>
      <c r="EQ320" s="8">
        <f>+MINVU_Mes_Corriente!EQ320*SALUD_Mes_Constante!$EP$1</f>
        <v>0</v>
      </c>
      <c r="ER320" s="8">
        <f>+MINVU_Mes_Corriente!ER320*SALUD_Mes_Constante!$EP$1</f>
        <v>0</v>
      </c>
      <c r="ES320" s="8">
        <f>+MINVU_Mes_Corriente!ES320*SALUD_Mes_Constante!$EP$1</f>
        <v>0</v>
      </c>
      <c r="ET320" s="8">
        <f>+MINVU_Mes_Corriente!ET320*SALUD_Mes_Constante!$EP$1</f>
        <v>0</v>
      </c>
      <c r="EU320" s="8">
        <f>+MINVU_Mes_Corriente!EU320*SALUD_Mes_Constante!$EP$1</f>
        <v>0</v>
      </c>
      <c r="EV320" s="8">
        <f>+MINVU_Mes_Corriente!EV320*SALUD_Mes_Constante!$EP$1</f>
        <v>0</v>
      </c>
      <c r="EW320" s="8">
        <f>+MINVU_Mes_Corriente!EW320*SALUD_Mes_Constante!$EP$1</f>
        <v>0</v>
      </c>
      <c r="EX320" s="8">
        <f>+MINVU_Mes_Corriente!EX320*SALUD_Mes_Constante!$EP$1</f>
        <v>0</v>
      </c>
      <c r="EY320" s="8">
        <f>+MINVU_Mes_Corriente!EY320*SALUD_Mes_Constante!$EP$1</f>
        <v>0</v>
      </c>
      <c r="EZ320" s="8">
        <f>+MINVU_Mes_Corriente!EZ320*SALUD_Mes_Constante!$EP$1</f>
        <v>0</v>
      </c>
      <c r="FA320" s="8">
        <f>+MINVU_Mes_Corriente!FA320*SALUD_Mes_Constante!$EP$1</f>
        <v>0</v>
      </c>
      <c r="FB320" s="9">
        <f t="shared" si="163"/>
        <v>0</v>
      </c>
      <c r="FC320" s="8">
        <f>+MINVU_Mes_Corriente!FC320*SALUD_Mes_Constante!$FC$1</f>
        <v>0</v>
      </c>
      <c r="FD320" s="8">
        <f>+MINVU_Mes_Corriente!FD320*SALUD_Mes_Constante!$FC$1</f>
        <v>0</v>
      </c>
      <c r="FE320" s="8">
        <f>+MINVU_Mes_Corriente!FE320*SALUD_Mes_Constante!$FC$1</f>
        <v>0</v>
      </c>
      <c r="FF320" s="8">
        <f>+MINVU_Mes_Corriente!FF320*SALUD_Mes_Constante!$FC$1</f>
        <v>0</v>
      </c>
      <c r="FG320" s="8">
        <f>+MINVU_Mes_Corriente!FG320*SALUD_Mes_Constante!$FC$1</f>
        <v>0</v>
      </c>
      <c r="FH320" s="8">
        <f>+MINVU_Mes_Corriente!FH320*SALUD_Mes_Constante!$FC$1</f>
        <v>0</v>
      </c>
      <c r="FI320" s="8">
        <f>+MINVU_Mes_Corriente!FI320*SALUD_Mes_Constante!$FC$1</f>
        <v>0</v>
      </c>
      <c r="FJ320" s="8"/>
      <c r="FK320" s="8"/>
      <c r="FL320" s="8"/>
      <c r="FM320" s="8"/>
      <c r="FN320" s="8"/>
      <c r="FO320" s="9">
        <f t="shared" si="164"/>
        <v>0</v>
      </c>
    </row>
    <row r="321" spans="2:171" ht="14.25" customHeight="1" x14ac:dyDescent="0.3">
      <c r="B321" s="7" t="s">
        <v>62</v>
      </c>
      <c r="C321" s="8">
        <f>+MINVU_Mes_Corriente!C321*SALUD_Mes_Constante!$C$1</f>
        <v>0</v>
      </c>
      <c r="D321" s="8">
        <f>+MINVU_Mes_Corriente!D321*SALUD_Mes_Constante!$C$1</f>
        <v>0</v>
      </c>
      <c r="E321" s="8">
        <f>+MINVU_Mes_Corriente!E321*SALUD_Mes_Constante!$C$1</f>
        <v>0</v>
      </c>
      <c r="F321" s="8">
        <f>+MINVU_Mes_Corriente!F321*SALUD_Mes_Constante!$C$1</f>
        <v>0</v>
      </c>
      <c r="G321" s="8">
        <f>+MINVU_Mes_Corriente!G321*SALUD_Mes_Constante!$C$1</f>
        <v>0</v>
      </c>
      <c r="H321" s="8">
        <f>+MINVU_Mes_Corriente!H321*SALUD_Mes_Constante!$C$1</f>
        <v>0</v>
      </c>
      <c r="I321" s="8">
        <f>+MINVU_Mes_Corriente!I321*SALUD_Mes_Constante!$C$1</f>
        <v>0</v>
      </c>
      <c r="J321" s="8">
        <f>+MINVU_Mes_Corriente!J321*SALUD_Mes_Constante!$C$1</f>
        <v>0</v>
      </c>
      <c r="K321" s="8">
        <f>+MINVU_Mes_Corriente!K321*SALUD_Mes_Constante!$C$1</f>
        <v>0</v>
      </c>
      <c r="L321" s="8">
        <f>+MINVU_Mes_Corriente!L321*SALUD_Mes_Constante!$C$1</f>
        <v>0</v>
      </c>
      <c r="M321" s="8">
        <f>+MINVU_Mes_Corriente!M321*SALUD_Mes_Constante!$C$1</f>
        <v>0</v>
      </c>
      <c r="N321" s="8">
        <f>+MINVU_Mes_Corriente!N321*SALUD_Mes_Constante!$C$1</f>
        <v>0</v>
      </c>
      <c r="O321" s="9">
        <f t="shared" si="152"/>
        <v>0</v>
      </c>
      <c r="P321" s="8">
        <f>+MINVU_Mes_Corriente!P321*SALUD_Mes_Constante!$P$1</f>
        <v>0</v>
      </c>
      <c r="Q321" s="8">
        <f>+MINVU_Mes_Corriente!Q321*SALUD_Mes_Constante!$P$1</f>
        <v>0</v>
      </c>
      <c r="R321" s="8">
        <f>+MINVU_Mes_Corriente!R321*SALUD_Mes_Constante!$P$1</f>
        <v>0</v>
      </c>
      <c r="S321" s="8">
        <f>+MINVU_Mes_Corriente!S321*SALUD_Mes_Constante!$P$1</f>
        <v>0</v>
      </c>
      <c r="T321" s="8">
        <f>+MINVU_Mes_Corriente!T321*SALUD_Mes_Constante!$P$1</f>
        <v>0</v>
      </c>
      <c r="U321" s="8">
        <f>+MINVU_Mes_Corriente!U321*SALUD_Mes_Constante!$P$1</f>
        <v>0</v>
      </c>
      <c r="V321" s="8">
        <f>+MINVU_Mes_Corriente!V321*SALUD_Mes_Constante!$P$1</f>
        <v>0</v>
      </c>
      <c r="W321" s="8">
        <f>+MINVU_Mes_Corriente!W321*SALUD_Mes_Constante!$P$1</f>
        <v>0</v>
      </c>
      <c r="X321" s="8">
        <f>+MINVU_Mes_Corriente!X321*SALUD_Mes_Constante!$P$1</f>
        <v>0</v>
      </c>
      <c r="Y321" s="8">
        <f>+MINVU_Mes_Corriente!Y321*SALUD_Mes_Constante!$P$1</f>
        <v>0</v>
      </c>
      <c r="Z321" s="8">
        <f>+MINVU_Mes_Corriente!Z321*SALUD_Mes_Constante!$P$1</f>
        <v>0</v>
      </c>
      <c r="AA321" s="8">
        <f>+MINVU_Mes_Corriente!AA321*SALUD_Mes_Constante!$P$1</f>
        <v>0</v>
      </c>
      <c r="AB321" s="9">
        <f t="shared" si="153"/>
        <v>0</v>
      </c>
      <c r="AC321" s="8">
        <f>+MINVU_Mes_Corriente!AC321*SALUD_Mes_Constante!$AC$1</f>
        <v>0</v>
      </c>
      <c r="AD321" s="8">
        <f>+MINVU_Mes_Corriente!AD321*SALUD_Mes_Constante!$AC$1</f>
        <v>0</v>
      </c>
      <c r="AE321" s="8">
        <f>+MINVU_Mes_Corriente!AE321*SALUD_Mes_Constante!$AC$1</f>
        <v>0</v>
      </c>
      <c r="AF321" s="8">
        <f>+MINVU_Mes_Corriente!AF321*SALUD_Mes_Constante!$AC$1</f>
        <v>0</v>
      </c>
      <c r="AG321" s="8">
        <f>+MINVU_Mes_Corriente!AG321*SALUD_Mes_Constante!$AC$1</f>
        <v>0</v>
      </c>
      <c r="AH321" s="8">
        <f>+MINVU_Mes_Corriente!AH321*SALUD_Mes_Constante!$AC$1</f>
        <v>0</v>
      </c>
      <c r="AI321" s="8">
        <f>+MINVU_Mes_Corriente!AI321*SALUD_Mes_Constante!$AC$1</f>
        <v>0</v>
      </c>
      <c r="AJ321" s="8">
        <f>+MINVU_Mes_Corriente!AJ321*SALUD_Mes_Constante!$AC$1</f>
        <v>0</v>
      </c>
      <c r="AK321" s="8">
        <f>+MINVU_Mes_Corriente!AK321*SALUD_Mes_Constante!$AC$1</f>
        <v>0</v>
      </c>
      <c r="AL321" s="8">
        <f>+MINVU_Mes_Corriente!AL321*SALUD_Mes_Constante!$AC$1</f>
        <v>0</v>
      </c>
      <c r="AM321" s="8">
        <f>+MINVU_Mes_Corriente!AM321*SALUD_Mes_Constante!$AC$1</f>
        <v>0</v>
      </c>
      <c r="AN321" s="8">
        <f>+MINVU_Mes_Corriente!AN321*SALUD_Mes_Constante!$AC$1</f>
        <v>0</v>
      </c>
      <c r="AO321" s="9">
        <f t="shared" si="154"/>
        <v>0</v>
      </c>
      <c r="AP321" s="8">
        <f>+MINVU_Mes_Corriente!AP321*SALUD_Mes_Constante!$AP$1</f>
        <v>0</v>
      </c>
      <c r="AQ321" s="8">
        <f>+MINVU_Mes_Corriente!AQ321*SALUD_Mes_Constante!$AP$1</f>
        <v>0</v>
      </c>
      <c r="AR321" s="8">
        <f>+MINVU_Mes_Corriente!AR321*SALUD_Mes_Constante!$AP$1</f>
        <v>0</v>
      </c>
      <c r="AS321" s="8">
        <f>+MINVU_Mes_Corriente!AS321*SALUD_Mes_Constante!$AP$1</f>
        <v>0</v>
      </c>
      <c r="AT321" s="8">
        <f>+MINVU_Mes_Corriente!AT321*SALUD_Mes_Constante!$AP$1</f>
        <v>0</v>
      </c>
      <c r="AU321" s="8">
        <f>+MINVU_Mes_Corriente!AU321*SALUD_Mes_Constante!$AP$1</f>
        <v>0</v>
      </c>
      <c r="AV321" s="8">
        <f>+MINVU_Mes_Corriente!AV321*SALUD_Mes_Constante!$AP$1</f>
        <v>0</v>
      </c>
      <c r="AW321" s="8">
        <f>+MINVU_Mes_Corriente!AW321*SALUD_Mes_Constante!$AP$1</f>
        <v>0</v>
      </c>
      <c r="AX321" s="8">
        <f>+MINVU_Mes_Corriente!AX321*SALUD_Mes_Constante!$AP$1</f>
        <v>0</v>
      </c>
      <c r="AY321" s="8">
        <f>+MINVU_Mes_Corriente!AY321*SALUD_Mes_Constante!$AP$1</f>
        <v>0</v>
      </c>
      <c r="AZ321" s="8">
        <f>+MINVU_Mes_Corriente!AZ321*SALUD_Mes_Constante!$AP$1</f>
        <v>0</v>
      </c>
      <c r="BA321" s="8">
        <f>+MINVU_Mes_Corriente!BA321*SALUD_Mes_Constante!$AP$1</f>
        <v>0</v>
      </c>
      <c r="BB321" s="9">
        <f t="shared" si="155"/>
        <v>0</v>
      </c>
      <c r="BC321" s="8">
        <f>+MINVU_Mes_Corriente!BC321*SALUD_Mes_Constante!$BC$1</f>
        <v>0</v>
      </c>
      <c r="BD321" s="8">
        <f>+MINVU_Mes_Corriente!BD321*SALUD_Mes_Constante!$BC$1</f>
        <v>0</v>
      </c>
      <c r="BE321" s="8">
        <f>+MINVU_Mes_Corriente!BE321*SALUD_Mes_Constante!$BC$1</f>
        <v>0</v>
      </c>
      <c r="BF321" s="8">
        <f>+MINVU_Mes_Corriente!BF321*SALUD_Mes_Constante!$BC$1</f>
        <v>0</v>
      </c>
      <c r="BG321" s="8">
        <f>+MINVU_Mes_Corriente!BG321*SALUD_Mes_Constante!$BC$1</f>
        <v>0</v>
      </c>
      <c r="BH321" s="8">
        <f>+MINVU_Mes_Corriente!BH321*SALUD_Mes_Constante!$BC$1</f>
        <v>0</v>
      </c>
      <c r="BI321" s="8">
        <f>+MINVU_Mes_Corriente!BI321*SALUD_Mes_Constante!$BC$1</f>
        <v>0</v>
      </c>
      <c r="BJ321" s="8">
        <f>+MINVU_Mes_Corriente!BJ321*SALUD_Mes_Constante!$BC$1</f>
        <v>0</v>
      </c>
      <c r="BK321" s="8">
        <f>+MINVU_Mes_Corriente!BK321*SALUD_Mes_Constante!$BC$1</f>
        <v>0</v>
      </c>
      <c r="BL321" s="8">
        <f>+MINVU_Mes_Corriente!BL321*SALUD_Mes_Constante!$BC$1</f>
        <v>0</v>
      </c>
      <c r="BM321" s="8">
        <f>+MINVU_Mes_Corriente!BM321*SALUD_Mes_Constante!$BC$1</f>
        <v>0</v>
      </c>
      <c r="BN321" s="8">
        <f>+MINVU_Mes_Corriente!BN321*SALUD_Mes_Constante!$BC$1</f>
        <v>0</v>
      </c>
      <c r="BO321" s="9">
        <f t="shared" si="156"/>
        <v>0</v>
      </c>
      <c r="BP321" s="8">
        <f>+MINVU_Mes_Corriente!BP321*SALUD_Mes_Constante!$BP$1</f>
        <v>0</v>
      </c>
      <c r="BQ321" s="8">
        <f>+MINVU_Mes_Corriente!BQ321*SALUD_Mes_Constante!$BP$1</f>
        <v>0</v>
      </c>
      <c r="BR321" s="8">
        <f>+MINVU_Mes_Corriente!BR321*SALUD_Mes_Constante!$BP$1</f>
        <v>0</v>
      </c>
      <c r="BS321" s="8">
        <f>+MINVU_Mes_Corriente!BS321*SALUD_Mes_Constante!$BP$1</f>
        <v>0</v>
      </c>
      <c r="BT321" s="8">
        <f>+MINVU_Mes_Corriente!BT321*SALUD_Mes_Constante!$BP$1</f>
        <v>0</v>
      </c>
      <c r="BU321" s="8">
        <f>+MINVU_Mes_Corriente!BU321*SALUD_Mes_Constante!$BP$1</f>
        <v>0</v>
      </c>
      <c r="BV321" s="8">
        <f>+MINVU_Mes_Corriente!BV321*SALUD_Mes_Constante!$BP$1</f>
        <v>0</v>
      </c>
      <c r="BW321" s="8">
        <f>+MINVU_Mes_Corriente!BW321*SALUD_Mes_Constante!$BP$1</f>
        <v>0</v>
      </c>
      <c r="BX321" s="8">
        <f>+MINVU_Mes_Corriente!BX321*SALUD_Mes_Constante!$BP$1</f>
        <v>0</v>
      </c>
      <c r="BY321" s="8">
        <f>+MINVU_Mes_Corriente!BY321*SALUD_Mes_Constante!$BP$1</f>
        <v>0</v>
      </c>
      <c r="BZ321" s="8">
        <f>+MINVU_Mes_Corriente!BZ321*SALUD_Mes_Constante!$BP$1</f>
        <v>0</v>
      </c>
      <c r="CA321" s="8">
        <f>+MINVU_Mes_Corriente!CA321*SALUD_Mes_Constante!$BP$1</f>
        <v>0</v>
      </c>
      <c r="CB321" s="9">
        <f t="shared" si="157"/>
        <v>0</v>
      </c>
      <c r="CC321" s="8">
        <f>+MINVU_Mes_Corriente!CC321*SALUD_Mes_Constante!$CC$1</f>
        <v>0</v>
      </c>
      <c r="CD321" s="8">
        <f>+MINVU_Mes_Corriente!CD321*SALUD_Mes_Constante!$CC$1</f>
        <v>0</v>
      </c>
      <c r="CE321" s="8">
        <f>+MINVU_Mes_Corriente!CE321*SALUD_Mes_Constante!$CC$1</f>
        <v>0</v>
      </c>
      <c r="CF321" s="8">
        <f>+MINVU_Mes_Corriente!CF321*SALUD_Mes_Constante!$CC$1</f>
        <v>0</v>
      </c>
      <c r="CG321" s="8">
        <f>+MINVU_Mes_Corriente!CG321*SALUD_Mes_Constante!$CC$1</f>
        <v>0</v>
      </c>
      <c r="CH321" s="8">
        <f>+MINVU_Mes_Corriente!CH321*SALUD_Mes_Constante!$CC$1</f>
        <v>0</v>
      </c>
      <c r="CI321" s="8">
        <f>+MINVU_Mes_Corriente!CI321*SALUD_Mes_Constante!$CC$1</f>
        <v>0</v>
      </c>
      <c r="CJ321" s="8">
        <f>+MINVU_Mes_Corriente!CJ321*SALUD_Mes_Constante!$CC$1</f>
        <v>0</v>
      </c>
      <c r="CK321" s="8">
        <f>+MINVU_Mes_Corriente!CK321*SALUD_Mes_Constante!$CC$1</f>
        <v>0</v>
      </c>
      <c r="CL321" s="8">
        <f>+MINVU_Mes_Corriente!CL321*SALUD_Mes_Constante!$CC$1</f>
        <v>0</v>
      </c>
      <c r="CM321" s="8">
        <f>+MINVU_Mes_Corriente!CM321*SALUD_Mes_Constante!$CC$1</f>
        <v>0</v>
      </c>
      <c r="CN321" s="8">
        <f>+MINVU_Mes_Corriente!CN321*SALUD_Mes_Constante!$CC$1</f>
        <v>0</v>
      </c>
      <c r="CO321" s="9">
        <f t="shared" si="158"/>
        <v>0</v>
      </c>
      <c r="CP321" s="8">
        <f>+MINVU_Mes_Corriente!CP321*SALUD_Mes_Constante!$CP$1</f>
        <v>0</v>
      </c>
      <c r="CQ321" s="8">
        <f>+MINVU_Mes_Corriente!CQ321*SALUD_Mes_Constante!$CP$1</f>
        <v>0</v>
      </c>
      <c r="CR321" s="8">
        <f>+MINVU_Mes_Corriente!CR321*SALUD_Mes_Constante!$CP$1</f>
        <v>0</v>
      </c>
      <c r="CS321" s="8">
        <f>+MINVU_Mes_Corriente!CS321*SALUD_Mes_Constante!$CP$1</f>
        <v>0</v>
      </c>
      <c r="CT321" s="8">
        <f>+MINVU_Mes_Corriente!CT321*SALUD_Mes_Constante!$CP$1</f>
        <v>0</v>
      </c>
      <c r="CU321" s="8">
        <f>+MINVU_Mes_Corriente!CU321*SALUD_Mes_Constante!$CP$1</f>
        <v>0</v>
      </c>
      <c r="CV321" s="8">
        <f>+MINVU_Mes_Corriente!CV321*SALUD_Mes_Constante!$CP$1</f>
        <v>0</v>
      </c>
      <c r="CW321" s="8">
        <f>+MINVU_Mes_Corriente!CW321*SALUD_Mes_Constante!$CP$1</f>
        <v>0</v>
      </c>
      <c r="CX321" s="8">
        <f>+MINVU_Mes_Corriente!CX321*SALUD_Mes_Constante!$CP$1</f>
        <v>0</v>
      </c>
      <c r="CY321" s="8">
        <f>+MINVU_Mes_Corriente!CY321*SALUD_Mes_Constante!$CP$1</f>
        <v>0</v>
      </c>
      <c r="CZ321" s="8">
        <f>+MINVU_Mes_Corriente!CZ321*SALUD_Mes_Constante!$CP$1</f>
        <v>0</v>
      </c>
      <c r="DA321" s="8">
        <f>+MINVU_Mes_Corriente!DA321*SALUD_Mes_Constante!$CP$1</f>
        <v>0</v>
      </c>
      <c r="DB321" s="9">
        <f t="shared" si="159"/>
        <v>0</v>
      </c>
      <c r="DC321" s="8">
        <f>+MINVU_Mes_Corriente!DC321*SALUD_Mes_Constante!$DC$1</f>
        <v>0</v>
      </c>
      <c r="DD321" s="8">
        <f>+MINVU_Mes_Corriente!DD321*SALUD_Mes_Constante!$DC$1</f>
        <v>0</v>
      </c>
      <c r="DE321" s="8">
        <f>+MINVU_Mes_Corriente!DE321*SALUD_Mes_Constante!$DC$1</f>
        <v>0</v>
      </c>
      <c r="DF321" s="8">
        <f>+MINVU_Mes_Corriente!DF321*SALUD_Mes_Constante!$DC$1</f>
        <v>0</v>
      </c>
      <c r="DG321" s="8">
        <f>+MINVU_Mes_Corriente!DG321*SALUD_Mes_Constante!$DC$1</f>
        <v>0</v>
      </c>
      <c r="DH321" s="8">
        <f>+MINVU_Mes_Corriente!DH321*SALUD_Mes_Constante!$DC$1</f>
        <v>0</v>
      </c>
      <c r="DI321" s="8">
        <f>+MINVU_Mes_Corriente!DI321*SALUD_Mes_Constante!$DC$1</f>
        <v>0</v>
      </c>
      <c r="DJ321" s="8">
        <f>+MINVU_Mes_Corriente!DJ321*SALUD_Mes_Constante!$DC$1</f>
        <v>0</v>
      </c>
      <c r="DK321" s="8">
        <f>+MINVU_Mes_Corriente!DK321*SALUD_Mes_Constante!$DC$1</f>
        <v>0</v>
      </c>
      <c r="DL321" s="8">
        <f>+MINVU_Mes_Corriente!DL321*SALUD_Mes_Constante!$DC$1</f>
        <v>0</v>
      </c>
      <c r="DM321" s="8">
        <f>+MINVU_Mes_Corriente!DM321*SALUD_Mes_Constante!$DC$1</f>
        <v>0</v>
      </c>
      <c r="DN321" s="8">
        <f>+MINVU_Mes_Corriente!DN321*SALUD_Mes_Constante!$DC$1</f>
        <v>0</v>
      </c>
      <c r="DO321" s="9">
        <f t="shared" si="160"/>
        <v>0</v>
      </c>
      <c r="DP321" s="8">
        <f>+MINVU_Mes_Corriente!DP321*SALUD_Mes_Constante!$DP$1</f>
        <v>0</v>
      </c>
      <c r="DQ321" s="8">
        <f>+MINVU_Mes_Corriente!DQ321*SALUD_Mes_Constante!$DP$1</f>
        <v>0</v>
      </c>
      <c r="DR321" s="8">
        <f>+MINVU_Mes_Corriente!DR321*SALUD_Mes_Constante!$DP$1</f>
        <v>0</v>
      </c>
      <c r="DS321" s="8">
        <f>+MINVU_Mes_Corriente!DS321*SALUD_Mes_Constante!$DP$1</f>
        <v>0</v>
      </c>
      <c r="DT321" s="8">
        <f>+MINVU_Mes_Corriente!DT321*SALUD_Mes_Constante!$DP$1</f>
        <v>0</v>
      </c>
      <c r="DU321" s="8">
        <f>+MINVU_Mes_Corriente!DU321*SALUD_Mes_Constante!$DP$1</f>
        <v>0</v>
      </c>
      <c r="DV321" s="8">
        <f>+MINVU_Mes_Corriente!DV321*SALUD_Mes_Constante!$DP$1</f>
        <v>0</v>
      </c>
      <c r="DW321" s="8">
        <f>+MINVU_Mes_Corriente!DW321*SALUD_Mes_Constante!$DP$1</f>
        <v>0</v>
      </c>
      <c r="DX321" s="8">
        <f>+MINVU_Mes_Corriente!DX321*SALUD_Mes_Constante!$DP$1</f>
        <v>0</v>
      </c>
      <c r="DY321" s="8">
        <f>+MINVU_Mes_Corriente!DY321*SALUD_Mes_Constante!$DP$1</f>
        <v>0</v>
      </c>
      <c r="DZ321" s="8">
        <f>+MINVU_Mes_Corriente!DZ321*SALUD_Mes_Constante!$DP$1</f>
        <v>0</v>
      </c>
      <c r="EA321" s="8">
        <f>+MINVU_Mes_Corriente!EA321*SALUD_Mes_Constante!$DP$1</f>
        <v>0</v>
      </c>
      <c r="EB321" s="9">
        <f t="shared" si="161"/>
        <v>0</v>
      </c>
      <c r="EC321" s="8">
        <f>+MINVU_Mes_Corriente!EC321*SALUD_Mes_Constante!$EC$1</f>
        <v>0</v>
      </c>
      <c r="ED321" s="8">
        <f>+MINVU_Mes_Corriente!ED321*SALUD_Mes_Constante!$EC$1</f>
        <v>0</v>
      </c>
      <c r="EE321" s="8">
        <f>+MINVU_Mes_Corriente!EE321*SALUD_Mes_Constante!$EC$1</f>
        <v>0</v>
      </c>
      <c r="EF321" s="8">
        <f>+MINVU_Mes_Corriente!EF321*SALUD_Mes_Constante!$EC$1</f>
        <v>0</v>
      </c>
      <c r="EG321" s="8">
        <f>+MINVU_Mes_Corriente!EG321*SALUD_Mes_Constante!$EC$1</f>
        <v>0</v>
      </c>
      <c r="EH321" s="8">
        <f>+MINVU_Mes_Corriente!EH321*SALUD_Mes_Constante!$EC$1</f>
        <v>0</v>
      </c>
      <c r="EI321" s="8">
        <f>+MINVU_Mes_Corriente!EI321*SALUD_Mes_Constante!$EC$1</f>
        <v>0</v>
      </c>
      <c r="EJ321" s="8">
        <f>+MINVU_Mes_Corriente!EJ321*SALUD_Mes_Constante!$EC$1</f>
        <v>0</v>
      </c>
      <c r="EK321" s="8">
        <f>+MINVU_Mes_Corriente!EK321*SALUD_Mes_Constante!$EC$1</f>
        <v>0</v>
      </c>
      <c r="EL321" s="8">
        <f>+MINVU_Mes_Corriente!EL321*SALUD_Mes_Constante!$EC$1</f>
        <v>0</v>
      </c>
      <c r="EM321" s="8">
        <f>+MINVU_Mes_Corriente!EM321*SALUD_Mes_Constante!$EC$1</f>
        <v>0</v>
      </c>
      <c r="EN321" s="8">
        <f>+MINVU_Mes_Corriente!EN321*SALUD_Mes_Constante!$EC$1</f>
        <v>0</v>
      </c>
      <c r="EO321" s="9">
        <f t="shared" si="162"/>
        <v>0</v>
      </c>
      <c r="EP321" s="8">
        <f>+MINVU_Mes_Corriente!EP321*SALUD_Mes_Constante!$EP$1</f>
        <v>0</v>
      </c>
      <c r="EQ321" s="8">
        <f>+MINVU_Mes_Corriente!EQ321*SALUD_Mes_Constante!$EP$1</f>
        <v>0</v>
      </c>
      <c r="ER321" s="8">
        <f>+MINVU_Mes_Corriente!ER321*SALUD_Mes_Constante!$EP$1</f>
        <v>0</v>
      </c>
      <c r="ES321" s="8">
        <f>+MINVU_Mes_Corriente!ES321*SALUD_Mes_Constante!$EP$1</f>
        <v>0</v>
      </c>
      <c r="ET321" s="8">
        <f>+MINVU_Mes_Corriente!ET321*SALUD_Mes_Constante!$EP$1</f>
        <v>0</v>
      </c>
      <c r="EU321" s="8">
        <f>+MINVU_Mes_Corriente!EU321*SALUD_Mes_Constante!$EP$1</f>
        <v>0</v>
      </c>
      <c r="EV321" s="8">
        <f>+MINVU_Mes_Corriente!EV321*SALUD_Mes_Constante!$EP$1</f>
        <v>0</v>
      </c>
      <c r="EW321" s="8">
        <f>+MINVU_Mes_Corriente!EW321*SALUD_Mes_Constante!$EP$1</f>
        <v>0</v>
      </c>
      <c r="EX321" s="8">
        <f>+MINVU_Mes_Corriente!EX321*SALUD_Mes_Constante!$EP$1</f>
        <v>0</v>
      </c>
      <c r="EY321" s="8">
        <f>+MINVU_Mes_Corriente!EY321*SALUD_Mes_Constante!$EP$1</f>
        <v>0</v>
      </c>
      <c r="EZ321" s="8">
        <f>+MINVU_Mes_Corriente!EZ321*SALUD_Mes_Constante!$EP$1</f>
        <v>0</v>
      </c>
      <c r="FA321" s="8">
        <f>+MINVU_Mes_Corriente!FA321*SALUD_Mes_Constante!$EP$1</f>
        <v>0</v>
      </c>
      <c r="FB321" s="9">
        <f t="shared" si="163"/>
        <v>0</v>
      </c>
      <c r="FC321" s="8">
        <f>+MINVU_Mes_Corriente!FC321*SALUD_Mes_Constante!$FC$1</f>
        <v>0</v>
      </c>
      <c r="FD321" s="8">
        <f>+MINVU_Mes_Corriente!FD321*SALUD_Mes_Constante!$FC$1</f>
        <v>0</v>
      </c>
      <c r="FE321" s="8">
        <f>+MINVU_Mes_Corriente!FE321*SALUD_Mes_Constante!$FC$1</f>
        <v>0</v>
      </c>
      <c r="FF321" s="8">
        <f>+MINVU_Mes_Corriente!FF321*SALUD_Mes_Constante!$FC$1</f>
        <v>0</v>
      </c>
      <c r="FG321" s="8">
        <f>+MINVU_Mes_Corriente!FG321*SALUD_Mes_Constante!$FC$1</f>
        <v>0</v>
      </c>
      <c r="FH321" s="8">
        <f>+MINVU_Mes_Corriente!FH321*SALUD_Mes_Constante!$FC$1</f>
        <v>0</v>
      </c>
      <c r="FI321" s="8">
        <f>+MINVU_Mes_Corriente!FI321*SALUD_Mes_Constante!$FC$1</f>
        <v>0</v>
      </c>
      <c r="FJ321" s="8"/>
      <c r="FK321" s="8"/>
      <c r="FL321" s="8"/>
      <c r="FM321" s="8"/>
      <c r="FN321" s="8"/>
      <c r="FO321" s="9">
        <f t="shared" si="164"/>
        <v>0</v>
      </c>
    </row>
    <row r="322" spans="2:171" ht="14.25" customHeight="1" x14ac:dyDescent="0.3">
      <c r="B322" s="7" t="s">
        <v>63</v>
      </c>
      <c r="C322" s="8">
        <f>+MINVU_Mes_Corriente!C322*SALUD_Mes_Constante!$C$1</f>
        <v>0</v>
      </c>
      <c r="D322" s="8">
        <f>+MINVU_Mes_Corriente!D322*SALUD_Mes_Constante!$C$1</f>
        <v>0</v>
      </c>
      <c r="E322" s="8">
        <f>+MINVU_Mes_Corriente!E322*SALUD_Mes_Constante!$C$1</f>
        <v>0</v>
      </c>
      <c r="F322" s="8">
        <f>+MINVU_Mes_Corriente!F322*SALUD_Mes_Constante!$C$1</f>
        <v>0</v>
      </c>
      <c r="G322" s="8">
        <f>+MINVU_Mes_Corriente!G322*SALUD_Mes_Constante!$C$1</f>
        <v>0</v>
      </c>
      <c r="H322" s="8">
        <f>+MINVU_Mes_Corriente!H322*SALUD_Mes_Constante!$C$1</f>
        <v>0</v>
      </c>
      <c r="I322" s="8">
        <f>+MINVU_Mes_Corriente!I322*SALUD_Mes_Constante!$C$1</f>
        <v>0</v>
      </c>
      <c r="J322" s="8">
        <f>+MINVU_Mes_Corriente!J322*SALUD_Mes_Constante!$C$1</f>
        <v>0</v>
      </c>
      <c r="K322" s="8">
        <f>+MINVU_Mes_Corriente!K322*SALUD_Mes_Constante!$C$1</f>
        <v>0</v>
      </c>
      <c r="L322" s="8">
        <f>+MINVU_Mes_Corriente!L322*SALUD_Mes_Constante!$C$1</f>
        <v>0</v>
      </c>
      <c r="M322" s="8">
        <f>+MINVU_Mes_Corriente!M322*SALUD_Mes_Constante!$C$1</f>
        <v>0</v>
      </c>
      <c r="N322" s="8">
        <f>+MINVU_Mes_Corriente!N322*SALUD_Mes_Constante!$C$1</f>
        <v>0</v>
      </c>
      <c r="O322" s="9">
        <f t="shared" si="152"/>
        <v>0</v>
      </c>
      <c r="P322" s="8">
        <f>+MINVU_Mes_Corriente!P322*SALUD_Mes_Constante!$P$1</f>
        <v>0</v>
      </c>
      <c r="Q322" s="8">
        <f>+MINVU_Mes_Corriente!Q322*SALUD_Mes_Constante!$P$1</f>
        <v>0</v>
      </c>
      <c r="R322" s="8">
        <f>+MINVU_Mes_Corriente!R322*SALUD_Mes_Constante!$P$1</f>
        <v>0</v>
      </c>
      <c r="S322" s="8">
        <f>+MINVU_Mes_Corriente!S322*SALUD_Mes_Constante!$P$1</f>
        <v>0</v>
      </c>
      <c r="T322" s="8">
        <f>+MINVU_Mes_Corriente!T322*SALUD_Mes_Constante!$P$1</f>
        <v>0</v>
      </c>
      <c r="U322" s="8">
        <f>+MINVU_Mes_Corriente!U322*SALUD_Mes_Constante!$P$1</f>
        <v>0</v>
      </c>
      <c r="V322" s="8">
        <f>+MINVU_Mes_Corriente!V322*SALUD_Mes_Constante!$P$1</f>
        <v>0</v>
      </c>
      <c r="W322" s="8">
        <f>+MINVU_Mes_Corriente!W322*SALUD_Mes_Constante!$P$1</f>
        <v>0</v>
      </c>
      <c r="X322" s="8">
        <f>+MINVU_Mes_Corriente!X322*SALUD_Mes_Constante!$P$1</f>
        <v>0</v>
      </c>
      <c r="Y322" s="8">
        <f>+MINVU_Mes_Corriente!Y322*SALUD_Mes_Constante!$P$1</f>
        <v>0</v>
      </c>
      <c r="Z322" s="8">
        <f>+MINVU_Mes_Corriente!Z322*SALUD_Mes_Constante!$P$1</f>
        <v>0</v>
      </c>
      <c r="AA322" s="8">
        <f>+MINVU_Mes_Corriente!AA322*SALUD_Mes_Constante!$P$1</f>
        <v>0</v>
      </c>
      <c r="AB322" s="9">
        <f t="shared" si="153"/>
        <v>0</v>
      </c>
      <c r="AC322" s="8">
        <f>+MINVU_Mes_Corriente!AC322*SALUD_Mes_Constante!$AC$1</f>
        <v>0</v>
      </c>
      <c r="AD322" s="8">
        <f>+MINVU_Mes_Corriente!AD322*SALUD_Mes_Constante!$AC$1</f>
        <v>0</v>
      </c>
      <c r="AE322" s="8">
        <f>+MINVU_Mes_Corriente!AE322*SALUD_Mes_Constante!$AC$1</f>
        <v>0</v>
      </c>
      <c r="AF322" s="8">
        <f>+MINVU_Mes_Corriente!AF322*SALUD_Mes_Constante!$AC$1</f>
        <v>0</v>
      </c>
      <c r="AG322" s="8">
        <f>+MINVU_Mes_Corriente!AG322*SALUD_Mes_Constante!$AC$1</f>
        <v>0</v>
      </c>
      <c r="AH322" s="8">
        <f>+MINVU_Mes_Corriente!AH322*SALUD_Mes_Constante!$AC$1</f>
        <v>0</v>
      </c>
      <c r="AI322" s="8">
        <f>+MINVU_Mes_Corriente!AI322*SALUD_Mes_Constante!$AC$1</f>
        <v>0</v>
      </c>
      <c r="AJ322" s="8">
        <f>+MINVU_Mes_Corriente!AJ322*SALUD_Mes_Constante!$AC$1</f>
        <v>0</v>
      </c>
      <c r="AK322" s="8">
        <f>+MINVU_Mes_Corriente!AK322*SALUD_Mes_Constante!$AC$1</f>
        <v>0</v>
      </c>
      <c r="AL322" s="8">
        <f>+MINVU_Mes_Corriente!AL322*SALUD_Mes_Constante!$AC$1</f>
        <v>0</v>
      </c>
      <c r="AM322" s="8">
        <f>+MINVU_Mes_Corriente!AM322*SALUD_Mes_Constante!$AC$1</f>
        <v>0</v>
      </c>
      <c r="AN322" s="8">
        <f>+MINVU_Mes_Corriente!AN322*SALUD_Mes_Constante!$AC$1</f>
        <v>0</v>
      </c>
      <c r="AO322" s="9">
        <f t="shared" si="154"/>
        <v>0</v>
      </c>
      <c r="AP322" s="8">
        <f>+MINVU_Mes_Corriente!AP322*SALUD_Mes_Constante!$AP$1</f>
        <v>0</v>
      </c>
      <c r="AQ322" s="8">
        <f>+MINVU_Mes_Corriente!AQ322*SALUD_Mes_Constante!$AP$1</f>
        <v>0</v>
      </c>
      <c r="AR322" s="8">
        <f>+MINVU_Mes_Corriente!AR322*SALUD_Mes_Constante!$AP$1</f>
        <v>0</v>
      </c>
      <c r="AS322" s="8">
        <f>+MINVU_Mes_Corriente!AS322*SALUD_Mes_Constante!$AP$1</f>
        <v>0</v>
      </c>
      <c r="AT322" s="8">
        <f>+MINVU_Mes_Corriente!AT322*SALUD_Mes_Constante!$AP$1</f>
        <v>0</v>
      </c>
      <c r="AU322" s="8">
        <f>+MINVU_Mes_Corriente!AU322*SALUD_Mes_Constante!$AP$1</f>
        <v>0</v>
      </c>
      <c r="AV322" s="8">
        <f>+MINVU_Mes_Corriente!AV322*SALUD_Mes_Constante!$AP$1</f>
        <v>0</v>
      </c>
      <c r="AW322" s="8">
        <f>+MINVU_Mes_Corriente!AW322*SALUD_Mes_Constante!$AP$1</f>
        <v>0</v>
      </c>
      <c r="AX322" s="8">
        <f>+MINVU_Mes_Corriente!AX322*SALUD_Mes_Constante!$AP$1</f>
        <v>0</v>
      </c>
      <c r="AY322" s="8">
        <f>+MINVU_Mes_Corriente!AY322*SALUD_Mes_Constante!$AP$1</f>
        <v>0</v>
      </c>
      <c r="AZ322" s="8">
        <f>+MINVU_Mes_Corriente!AZ322*SALUD_Mes_Constante!$AP$1</f>
        <v>0</v>
      </c>
      <c r="BA322" s="8">
        <f>+MINVU_Mes_Corriente!BA322*SALUD_Mes_Constante!$AP$1</f>
        <v>0</v>
      </c>
      <c r="BB322" s="9">
        <f t="shared" si="155"/>
        <v>0</v>
      </c>
      <c r="BC322" s="8">
        <f>+MINVU_Mes_Corriente!BC322*SALUD_Mes_Constante!$BC$1</f>
        <v>0</v>
      </c>
      <c r="BD322" s="8">
        <f>+MINVU_Mes_Corriente!BD322*SALUD_Mes_Constante!$BC$1</f>
        <v>0</v>
      </c>
      <c r="BE322" s="8">
        <f>+MINVU_Mes_Corriente!BE322*SALUD_Mes_Constante!$BC$1</f>
        <v>0</v>
      </c>
      <c r="BF322" s="8">
        <f>+MINVU_Mes_Corriente!BF322*SALUD_Mes_Constante!$BC$1</f>
        <v>0</v>
      </c>
      <c r="BG322" s="8">
        <f>+MINVU_Mes_Corriente!BG322*SALUD_Mes_Constante!$BC$1</f>
        <v>0</v>
      </c>
      <c r="BH322" s="8">
        <f>+MINVU_Mes_Corriente!BH322*SALUD_Mes_Constante!$BC$1</f>
        <v>0</v>
      </c>
      <c r="BI322" s="8">
        <f>+MINVU_Mes_Corriente!BI322*SALUD_Mes_Constante!$BC$1</f>
        <v>0</v>
      </c>
      <c r="BJ322" s="8">
        <f>+MINVU_Mes_Corriente!BJ322*SALUD_Mes_Constante!$BC$1</f>
        <v>0</v>
      </c>
      <c r="BK322" s="8">
        <f>+MINVU_Mes_Corriente!BK322*SALUD_Mes_Constante!$BC$1</f>
        <v>0</v>
      </c>
      <c r="BL322" s="8">
        <f>+MINVU_Mes_Corriente!BL322*SALUD_Mes_Constante!$BC$1</f>
        <v>0</v>
      </c>
      <c r="BM322" s="8">
        <f>+MINVU_Mes_Corriente!BM322*SALUD_Mes_Constante!$BC$1</f>
        <v>0</v>
      </c>
      <c r="BN322" s="8">
        <f>+MINVU_Mes_Corriente!BN322*SALUD_Mes_Constante!$BC$1</f>
        <v>0</v>
      </c>
      <c r="BO322" s="9">
        <f t="shared" si="156"/>
        <v>0</v>
      </c>
      <c r="BP322" s="8">
        <f>+MINVU_Mes_Corriente!BP322*SALUD_Mes_Constante!$BP$1</f>
        <v>0</v>
      </c>
      <c r="BQ322" s="8">
        <f>+MINVU_Mes_Corriente!BQ322*SALUD_Mes_Constante!$BP$1</f>
        <v>0</v>
      </c>
      <c r="BR322" s="8">
        <f>+MINVU_Mes_Corriente!BR322*SALUD_Mes_Constante!$BP$1</f>
        <v>0</v>
      </c>
      <c r="BS322" s="8">
        <f>+MINVU_Mes_Corriente!BS322*SALUD_Mes_Constante!$BP$1</f>
        <v>0</v>
      </c>
      <c r="BT322" s="8">
        <f>+MINVU_Mes_Corriente!BT322*SALUD_Mes_Constante!$BP$1</f>
        <v>0</v>
      </c>
      <c r="BU322" s="8">
        <f>+MINVU_Mes_Corriente!BU322*SALUD_Mes_Constante!$BP$1</f>
        <v>0</v>
      </c>
      <c r="BV322" s="8">
        <f>+MINVU_Mes_Corriente!BV322*SALUD_Mes_Constante!$BP$1</f>
        <v>0</v>
      </c>
      <c r="BW322" s="8">
        <f>+MINVU_Mes_Corriente!BW322*SALUD_Mes_Constante!$BP$1</f>
        <v>0</v>
      </c>
      <c r="BX322" s="8">
        <f>+MINVU_Mes_Corriente!BX322*SALUD_Mes_Constante!$BP$1</f>
        <v>0</v>
      </c>
      <c r="BY322" s="8">
        <f>+MINVU_Mes_Corriente!BY322*SALUD_Mes_Constante!$BP$1</f>
        <v>0</v>
      </c>
      <c r="BZ322" s="8">
        <f>+MINVU_Mes_Corriente!BZ322*SALUD_Mes_Constante!$BP$1</f>
        <v>0</v>
      </c>
      <c r="CA322" s="8">
        <f>+MINVU_Mes_Corriente!CA322*SALUD_Mes_Constante!$BP$1</f>
        <v>0</v>
      </c>
      <c r="CB322" s="9">
        <f t="shared" si="157"/>
        <v>0</v>
      </c>
      <c r="CC322" s="8">
        <f>+MINVU_Mes_Corriente!CC322*SALUD_Mes_Constante!$CC$1</f>
        <v>0</v>
      </c>
      <c r="CD322" s="8">
        <f>+MINVU_Mes_Corriente!CD322*SALUD_Mes_Constante!$CC$1</f>
        <v>0</v>
      </c>
      <c r="CE322" s="8">
        <f>+MINVU_Mes_Corriente!CE322*SALUD_Mes_Constante!$CC$1</f>
        <v>0</v>
      </c>
      <c r="CF322" s="8">
        <f>+MINVU_Mes_Corriente!CF322*SALUD_Mes_Constante!$CC$1</f>
        <v>0</v>
      </c>
      <c r="CG322" s="8">
        <f>+MINVU_Mes_Corriente!CG322*SALUD_Mes_Constante!$CC$1</f>
        <v>0</v>
      </c>
      <c r="CH322" s="8">
        <f>+MINVU_Mes_Corriente!CH322*SALUD_Mes_Constante!$CC$1</f>
        <v>0</v>
      </c>
      <c r="CI322" s="8">
        <f>+MINVU_Mes_Corriente!CI322*SALUD_Mes_Constante!$CC$1</f>
        <v>0</v>
      </c>
      <c r="CJ322" s="8">
        <f>+MINVU_Mes_Corriente!CJ322*SALUD_Mes_Constante!$CC$1</f>
        <v>0</v>
      </c>
      <c r="CK322" s="8">
        <f>+MINVU_Mes_Corriente!CK322*SALUD_Mes_Constante!$CC$1</f>
        <v>0</v>
      </c>
      <c r="CL322" s="8">
        <f>+MINVU_Mes_Corriente!CL322*SALUD_Mes_Constante!$CC$1</f>
        <v>0</v>
      </c>
      <c r="CM322" s="8">
        <f>+MINVU_Mes_Corriente!CM322*SALUD_Mes_Constante!$CC$1</f>
        <v>0</v>
      </c>
      <c r="CN322" s="8">
        <f>+MINVU_Mes_Corriente!CN322*SALUD_Mes_Constante!$CC$1</f>
        <v>0</v>
      </c>
      <c r="CO322" s="9">
        <f t="shared" si="158"/>
        <v>0</v>
      </c>
      <c r="CP322" s="8">
        <f>+MINVU_Mes_Corriente!CP322*SALUD_Mes_Constante!$CP$1</f>
        <v>0</v>
      </c>
      <c r="CQ322" s="8">
        <f>+MINVU_Mes_Corriente!CQ322*SALUD_Mes_Constante!$CP$1</f>
        <v>0</v>
      </c>
      <c r="CR322" s="8">
        <f>+MINVU_Mes_Corriente!CR322*SALUD_Mes_Constante!$CP$1</f>
        <v>0</v>
      </c>
      <c r="CS322" s="8">
        <f>+MINVU_Mes_Corriente!CS322*SALUD_Mes_Constante!$CP$1</f>
        <v>0</v>
      </c>
      <c r="CT322" s="8">
        <f>+MINVU_Mes_Corriente!CT322*SALUD_Mes_Constante!$CP$1</f>
        <v>0</v>
      </c>
      <c r="CU322" s="8">
        <f>+MINVU_Mes_Corriente!CU322*SALUD_Mes_Constante!$CP$1</f>
        <v>0</v>
      </c>
      <c r="CV322" s="8">
        <f>+MINVU_Mes_Corriente!CV322*SALUD_Mes_Constante!$CP$1</f>
        <v>0</v>
      </c>
      <c r="CW322" s="8">
        <f>+MINVU_Mes_Corriente!CW322*SALUD_Mes_Constante!$CP$1</f>
        <v>0</v>
      </c>
      <c r="CX322" s="8">
        <f>+MINVU_Mes_Corriente!CX322*SALUD_Mes_Constante!$CP$1</f>
        <v>0</v>
      </c>
      <c r="CY322" s="8">
        <f>+MINVU_Mes_Corriente!CY322*SALUD_Mes_Constante!$CP$1</f>
        <v>0</v>
      </c>
      <c r="CZ322" s="8">
        <f>+MINVU_Mes_Corriente!CZ322*SALUD_Mes_Constante!$CP$1</f>
        <v>0</v>
      </c>
      <c r="DA322" s="8">
        <f>+MINVU_Mes_Corriente!DA322*SALUD_Mes_Constante!$CP$1</f>
        <v>0</v>
      </c>
      <c r="DB322" s="9">
        <f t="shared" si="159"/>
        <v>0</v>
      </c>
      <c r="DC322" s="8">
        <f>+MINVU_Mes_Corriente!DC322*SALUD_Mes_Constante!$DC$1</f>
        <v>0</v>
      </c>
      <c r="DD322" s="8">
        <f>+MINVU_Mes_Corriente!DD322*SALUD_Mes_Constante!$DC$1</f>
        <v>0</v>
      </c>
      <c r="DE322" s="8">
        <f>+MINVU_Mes_Corriente!DE322*SALUD_Mes_Constante!$DC$1</f>
        <v>0</v>
      </c>
      <c r="DF322" s="8">
        <f>+MINVU_Mes_Corriente!DF322*SALUD_Mes_Constante!$DC$1</f>
        <v>0</v>
      </c>
      <c r="DG322" s="8">
        <f>+MINVU_Mes_Corriente!DG322*SALUD_Mes_Constante!$DC$1</f>
        <v>0</v>
      </c>
      <c r="DH322" s="8">
        <f>+MINVU_Mes_Corriente!DH322*SALUD_Mes_Constante!$DC$1</f>
        <v>0</v>
      </c>
      <c r="DI322" s="8">
        <f>+MINVU_Mes_Corriente!DI322*SALUD_Mes_Constante!$DC$1</f>
        <v>0</v>
      </c>
      <c r="DJ322" s="8">
        <f>+MINVU_Mes_Corriente!DJ322*SALUD_Mes_Constante!$DC$1</f>
        <v>0</v>
      </c>
      <c r="DK322" s="8">
        <f>+MINVU_Mes_Corriente!DK322*SALUD_Mes_Constante!$DC$1</f>
        <v>0</v>
      </c>
      <c r="DL322" s="8">
        <f>+MINVU_Mes_Corriente!DL322*SALUD_Mes_Constante!$DC$1</f>
        <v>0</v>
      </c>
      <c r="DM322" s="8">
        <f>+MINVU_Mes_Corriente!DM322*SALUD_Mes_Constante!$DC$1</f>
        <v>0</v>
      </c>
      <c r="DN322" s="8">
        <f>+MINVU_Mes_Corriente!DN322*SALUD_Mes_Constante!$DC$1</f>
        <v>0</v>
      </c>
      <c r="DO322" s="9">
        <f t="shared" si="160"/>
        <v>0</v>
      </c>
      <c r="DP322" s="8">
        <f>+MINVU_Mes_Corriente!DP322*SALUD_Mes_Constante!$DP$1</f>
        <v>0</v>
      </c>
      <c r="DQ322" s="8">
        <f>+MINVU_Mes_Corriente!DQ322*SALUD_Mes_Constante!$DP$1</f>
        <v>0</v>
      </c>
      <c r="DR322" s="8">
        <f>+MINVU_Mes_Corriente!DR322*SALUD_Mes_Constante!$DP$1</f>
        <v>0</v>
      </c>
      <c r="DS322" s="8">
        <f>+MINVU_Mes_Corriente!DS322*SALUD_Mes_Constante!$DP$1</f>
        <v>0</v>
      </c>
      <c r="DT322" s="8">
        <f>+MINVU_Mes_Corriente!DT322*SALUD_Mes_Constante!$DP$1</f>
        <v>0</v>
      </c>
      <c r="DU322" s="8">
        <f>+MINVU_Mes_Corriente!DU322*SALUD_Mes_Constante!$DP$1</f>
        <v>0</v>
      </c>
      <c r="DV322" s="8">
        <f>+MINVU_Mes_Corriente!DV322*SALUD_Mes_Constante!$DP$1</f>
        <v>0</v>
      </c>
      <c r="DW322" s="8">
        <f>+MINVU_Mes_Corriente!DW322*SALUD_Mes_Constante!$DP$1</f>
        <v>0</v>
      </c>
      <c r="DX322" s="8">
        <f>+MINVU_Mes_Corriente!DX322*SALUD_Mes_Constante!$DP$1</f>
        <v>0</v>
      </c>
      <c r="DY322" s="8">
        <f>+MINVU_Mes_Corriente!DY322*SALUD_Mes_Constante!$DP$1</f>
        <v>0</v>
      </c>
      <c r="DZ322" s="8">
        <f>+MINVU_Mes_Corriente!DZ322*SALUD_Mes_Constante!$DP$1</f>
        <v>0</v>
      </c>
      <c r="EA322" s="8">
        <f>+MINVU_Mes_Corriente!EA322*SALUD_Mes_Constante!$DP$1</f>
        <v>0</v>
      </c>
      <c r="EB322" s="9">
        <f t="shared" si="161"/>
        <v>0</v>
      </c>
      <c r="EC322" s="8">
        <f>+MINVU_Mes_Corriente!EC322*SALUD_Mes_Constante!$EC$1</f>
        <v>0</v>
      </c>
      <c r="ED322" s="8">
        <f>+MINVU_Mes_Corriente!ED322*SALUD_Mes_Constante!$EC$1</f>
        <v>0</v>
      </c>
      <c r="EE322" s="8">
        <f>+MINVU_Mes_Corriente!EE322*SALUD_Mes_Constante!$EC$1</f>
        <v>0</v>
      </c>
      <c r="EF322" s="8">
        <f>+MINVU_Mes_Corriente!EF322*SALUD_Mes_Constante!$EC$1</f>
        <v>0</v>
      </c>
      <c r="EG322" s="8">
        <f>+MINVU_Mes_Corriente!EG322*SALUD_Mes_Constante!$EC$1</f>
        <v>0</v>
      </c>
      <c r="EH322" s="8">
        <f>+MINVU_Mes_Corriente!EH322*SALUD_Mes_Constante!$EC$1</f>
        <v>0</v>
      </c>
      <c r="EI322" s="8">
        <f>+MINVU_Mes_Corriente!EI322*SALUD_Mes_Constante!$EC$1</f>
        <v>0</v>
      </c>
      <c r="EJ322" s="8">
        <f>+MINVU_Mes_Corriente!EJ322*SALUD_Mes_Constante!$EC$1</f>
        <v>0</v>
      </c>
      <c r="EK322" s="8">
        <f>+MINVU_Mes_Corriente!EK322*SALUD_Mes_Constante!$EC$1</f>
        <v>0</v>
      </c>
      <c r="EL322" s="8">
        <f>+MINVU_Mes_Corriente!EL322*SALUD_Mes_Constante!$EC$1</f>
        <v>0</v>
      </c>
      <c r="EM322" s="8">
        <f>+MINVU_Mes_Corriente!EM322*SALUD_Mes_Constante!$EC$1</f>
        <v>0</v>
      </c>
      <c r="EN322" s="8">
        <f>+MINVU_Mes_Corriente!EN322*SALUD_Mes_Constante!$EC$1</f>
        <v>0</v>
      </c>
      <c r="EO322" s="9">
        <f t="shared" si="162"/>
        <v>0</v>
      </c>
      <c r="EP322" s="8">
        <f>+MINVU_Mes_Corriente!EP322*SALUD_Mes_Constante!$EP$1</f>
        <v>0</v>
      </c>
      <c r="EQ322" s="8">
        <f>+MINVU_Mes_Corriente!EQ322*SALUD_Mes_Constante!$EP$1</f>
        <v>0</v>
      </c>
      <c r="ER322" s="8">
        <f>+MINVU_Mes_Corriente!ER322*SALUD_Mes_Constante!$EP$1</f>
        <v>0</v>
      </c>
      <c r="ES322" s="8">
        <f>+MINVU_Mes_Corriente!ES322*SALUD_Mes_Constante!$EP$1</f>
        <v>0</v>
      </c>
      <c r="ET322" s="8">
        <f>+MINVU_Mes_Corriente!ET322*SALUD_Mes_Constante!$EP$1</f>
        <v>0</v>
      </c>
      <c r="EU322" s="8">
        <f>+MINVU_Mes_Corriente!EU322*SALUD_Mes_Constante!$EP$1</f>
        <v>0</v>
      </c>
      <c r="EV322" s="8">
        <f>+MINVU_Mes_Corriente!EV322*SALUD_Mes_Constante!$EP$1</f>
        <v>0</v>
      </c>
      <c r="EW322" s="8">
        <f>+MINVU_Mes_Corriente!EW322*SALUD_Mes_Constante!$EP$1</f>
        <v>0</v>
      </c>
      <c r="EX322" s="8">
        <f>+MINVU_Mes_Corriente!EX322*SALUD_Mes_Constante!$EP$1</f>
        <v>0</v>
      </c>
      <c r="EY322" s="8">
        <f>+MINVU_Mes_Corriente!EY322*SALUD_Mes_Constante!$EP$1</f>
        <v>0</v>
      </c>
      <c r="EZ322" s="8">
        <f>+MINVU_Mes_Corriente!EZ322*SALUD_Mes_Constante!$EP$1</f>
        <v>0</v>
      </c>
      <c r="FA322" s="8">
        <f>+MINVU_Mes_Corriente!FA322*SALUD_Mes_Constante!$EP$1</f>
        <v>0</v>
      </c>
      <c r="FB322" s="9">
        <f t="shared" si="163"/>
        <v>0</v>
      </c>
      <c r="FC322" s="8">
        <f>+MINVU_Mes_Corriente!FC322*SALUD_Mes_Constante!$FC$1</f>
        <v>0</v>
      </c>
      <c r="FD322" s="8">
        <f>+MINVU_Mes_Corriente!FD322*SALUD_Mes_Constante!$FC$1</f>
        <v>0</v>
      </c>
      <c r="FE322" s="8">
        <f>+MINVU_Mes_Corriente!FE322*SALUD_Mes_Constante!$FC$1</f>
        <v>0</v>
      </c>
      <c r="FF322" s="8">
        <f>+MINVU_Mes_Corriente!FF322*SALUD_Mes_Constante!$FC$1</f>
        <v>0</v>
      </c>
      <c r="FG322" s="8">
        <f>+MINVU_Mes_Corriente!FG322*SALUD_Mes_Constante!$FC$1</f>
        <v>0</v>
      </c>
      <c r="FH322" s="8">
        <f>+MINVU_Mes_Corriente!FH322*SALUD_Mes_Constante!$FC$1</f>
        <v>0</v>
      </c>
      <c r="FI322" s="8">
        <f>+MINVU_Mes_Corriente!FI322*SALUD_Mes_Constante!$FC$1</f>
        <v>0</v>
      </c>
      <c r="FJ322" s="8"/>
      <c r="FK322" s="8"/>
      <c r="FL322" s="8"/>
      <c r="FM322" s="8"/>
      <c r="FN322" s="8"/>
      <c r="FO322" s="9">
        <f t="shared" si="164"/>
        <v>0</v>
      </c>
    </row>
    <row r="323" spans="2:171" ht="14.25" customHeight="1" x14ac:dyDescent="0.3">
      <c r="B323" s="7" t="s">
        <v>64</v>
      </c>
      <c r="C323" s="8">
        <f>+MINVU_Mes_Corriente!C323*SALUD_Mes_Constante!$C$1</f>
        <v>0</v>
      </c>
      <c r="D323" s="8">
        <f>+MINVU_Mes_Corriente!D323*SALUD_Mes_Constante!$C$1</f>
        <v>0</v>
      </c>
      <c r="E323" s="8">
        <f>+MINVU_Mes_Corriente!E323*SALUD_Mes_Constante!$C$1</f>
        <v>0</v>
      </c>
      <c r="F323" s="8">
        <f>+MINVU_Mes_Corriente!F323*SALUD_Mes_Constante!$C$1</f>
        <v>0</v>
      </c>
      <c r="G323" s="8">
        <f>+MINVU_Mes_Corriente!G323*SALUD_Mes_Constante!$C$1</f>
        <v>0</v>
      </c>
      <c r="H323" s="8">
        <f>+MINVU_Mes_Corriente!H323*SALUD_Mes_Constante!$C$1</f>
        <v>0</v>
      </c>
      <c r="I323" s="8">
        <f>+MINVU_Mes_Corriente!I323*SALUD_Mes_Constante!$C$1</f>
        <v>0</v>
      </c>
      <c r="J323" s="8">
        <f>+MINVU_Mes_Corriente!J323*SALUD_Mes_Constante!$C$1</f>
        <v>0</v>
      </c>
      <c r="K323" s="8">
        <f>+MINVU_Mes_Corriente!K323*SALUD_Mes_Constante!$C$1</f>
        <v>0</v>
      </c>
      <c r="L323" s="8">
        <f>+MINVU_Mes_Corriente!L323*SALUD_Mes_Constante!$C$1</f>
        <v>0</v>
      </c>
      <c r="M323" s="8">
        <f>+MINVU_Mes_Corriente!M323*SALUD_Mes_Constante!$C$1</f>
        <v>0</v>
      </c>
      <c r="N323" s="8">
        <f>+MINVU_Mes_Corriente!N323*SALUD_Mes_Constante!$C$1</f>
        <v>0</v>
      </c>
      <c r="O323" s="9">
        <f t="shared" si="152"/>
        <v>0</v>
      </c>
      <c r="P323" s="8">
        <f>+MINVU_Mes_Corriente!P323*SALUD_Mes_Constante!$P$1</f>
        <v>0</v>
      </c>
      <c r="Q323" s="8">
        <f>+MINVU_Mes_Corriente!Q323*SALUD_Mes_Constante!$P$1</f>
        <v>0</v>
      </c>
      <c r="R323" s="8">
        <f>+MINVU_Mes_Corriente!R323*SALUD_Mes_Constante!$P$1</f>
        <v>0</v>
      </c>
      <c r="S323" s="8">
        <f>+MINVU_Mes_Corriente!S323*SALUD_Mes_Constante!$P$1</f>
        <v>0</v>
      </c>
      <c r="T323" s="8">
        <f>+MINVU_Mes_Corriente!T323*SALUD_Mes_Constante!$P$1</f>
        <v>0</v>
      </c>
      <c r="U323" s="8">
        <f>+MINVU_Mes_Corriente!U323*SALUD_Mes_Constante!$P$1</f>
        <v>0</v>
      </c>
      <c r="V323" s="8">
        <f>+MINVU_Mes_Corriente!V323*SALUD_Mes_Constante!$P$1</f>
        <v>0</v>
      </c>
      <c r="W323" s="8">
        <f>+MINVU_Mes_Corriente!W323*SALUD_Mes_Constante!$P$1</f>
        <v>0</v>
      </c>
      <c r="X323" s="8">
        <f>+MINVU_Mes_Corriente!X323*SALUD_Mes_Constante!$P$1</f>
        <v>0</v>
      </c>
      <c r="Y323" s="8">
        <f>+MINVU_Mes_Corriente!Y323*SALUD_Mes_Constante!$P$1</f>
        <v>0</v>
      </c>
      <c r="Z323" s="8">
        <f>+MINVU_Mes_Corriente!Z323*SALUD_Mes_Constante!$P$1</f>
        <v>0</v>
      </c>
      <c r="AA323" s="8">
        <f>+MINVU_Mes_Corriente!AA323*SALUD_Mes_Constante!$P$1</f>
        <v>0</v>
      </c>
      <c r="AB323" s="9">
        <f t="shared" si="153"/>
        <v>0</v>
      </c>
      <c r="AC323" s="8">
        <f>+MINVU_Mes_Corriente!AC323*SALUD_Mes_Constante!$AC$1</f>
        <v>0</v>
      </c>
      <c r="AD323" s="8">
        <f>+MINVU_Mes_Corriente!AD323*SALUD_Mes_Constante!$AC$1</f>
        <v>0</v>
      </c>
      <c r="AE323" s="8">
        <f>+MINVU_Mes_Corriente!AE323*SALUD_Mes_Constante!$AC$1</f>
        <v>0</v>
      </c>
      <c r="AF323" s="8">
        <f>+MINVU_Mes_Corriente!AF323*SALUD_Mes_Constante!$AC$1</f>
        <v>0</v>
      </c>
      <c r="AG323" s="8">
        <f>+MINVU_Mes_Corriente!AG323*SALUD_Mes_Constante!$AC$1</f>
        <v>0</v>
      </c>
      <c r="AH323" s="8">
        <f>+MINVU_Mes_Corriente!AH323*SALUD_Mes_Constante!$AC$1</f>
        <v>0</v>
      </c>
      <c r="AI323" s="8">
        <f>+MINVU_Mes_Corriente!AI323*SALUD_Mes_Constante!$AC$1</f>
        <v>0</v>
      </c>
      <c r="AJ323" s="8">
        <f>+MINVU_Mes_Corriente!AJ323*SALUD_Mes_Constante!$AC$1</f>
        <v>0</v>
      </c>
      <c r="AK323" s="8">
        <f>+MINVU_Mes_Corriente!AK323*SALUD_Mes_Constante!$AC$1</f>
        <v>0</v>
      </c>
      <c r="AL323" s="8">
        <f>+MINVU_Mes_Corriente!AL323*SALUD_Mes_Constante!$AC$1</f>
        <v>0</v>
      </c>
      <c r="AM323" s="8">
        <f>+MINVU_Mes_Corriente!AM323*SALUD_Mes_Constante!$AC$1</f>
        <v>0</v>
      </c>
      <c r="AN323" s="8">
        <f>+MINVU_Mes_Corriente!AN323*SALUD_Mes_Constante!$AC$1</f>
        <v>0</v>
      </c>
      <c r="AO323" s="9">
        <f t="shared" si="154"/>
        <v>0</v>
      </c>
      <c r="AP323" s="8">
        <f>+MINVU_Mes_Corriente!AP323*SALUD_Mes_Constante!$AP$1</f>
        <v>0</v>
      </c>
      <c r="AQ323" s="8">
        <f>+MINVU_Mes_Corriente!AQ323*SALUD_Mes_Constante!$AP$1</f>
        <v>0</v>
      </c>
      <c r="AR323" s="8">
        <f>+MINVU_Mes_Corriente!AR323*SALUD_Mes_Constante!$AP$1</f>
        <v>0</v>
      </c>
      <c r="AS323" s="8">
        <f>+MINVU_Mes_Corriente!AS323*SALUD_Mes_Constante!$AP$1</f>
        <v>0</v>
      </c>
      <c r="AT323" s="8">
        <f>+MINVU_Mes_Corriente!AT323*SALUD_Mes_Constante!$AP$1</f>
        <v>0</v>
      </c>
      <c r="AU323" s="8">
        <f>+MINVU_Mes_Corriente!AU323*SALUD_Mes_Constante!$AP$1</f>
        <v>0</v>
      </c>
      <c r="AV323" s="8">
        <f>+MINVU_Mes_Corriente!AV323*SALUD_Mes_Constante!$AP$1</f>
        <v>0</v>
      </c>
      <c r="AW323" s="8">
        <f>+MINVU_Mes_Corriente!AW323*SALUD_Mes_Constante!$AP$1</f>
        <v>0</v>
      </c>
      <c r="AX323" s="8">
        <f>+MINVU_Mes_Corriente!AX323*SALUD_Mes_Constante!$AP$1</f>
        <v>0</v>
      </c>
      <c r="AY323" s="8">
        <f>+MINVU_Mes_Corriente!AY323*SALUD_Mes_Constante!$AP$1</f>
        <v>0</v>
      </c>
      <c r="AZ323" s="8">
        <f>+MINVU_Mes_Corriente!AZ323*SALUD_Mes_Constante!$AP$1</f>
        <v>0</v>
      </c>
      <c r="BA323" s="8">
        <f>+MINVU_Mes_Corriente!BA323*SALUD_Mes_Constante!$AP$1</f>
        <v>0</v>
      </c>
      <c r="BB323" s="9">
        <f t="shared" si="155"/>
        <v>0</v>
      </c>
      <c r="BC323" s="8">
        <f>+MINVU_Mes_Corriente!BC323*SALUD_Mes_Constante!$BC$1</f>
        <v>0</v>
      </c>
      <c r="BD323" s="8">
        <f>+MINVU_Mes_Corriente!BD323*SALUD_Mes_Constante!$BC$1</f>
        <v>0</v>
      </c>
      <c r="BE323" s="8">
        <f>+MINVU_Mes_Corriente!BE323*SALUD_Mes_Constante!$BC$1</f>
        <v>0</v>
      </c>
      <c r="BF323" s="8">
        <f>+MINVU_Mes_Corriente!BF323*SALUD_Mes_Constante!$BC$1</f>
        <v>0</v>
      </c>
      <c r="BG323" s="8">
        <f>+MINVU_Mes_Corriente!BG323*SALUD_Mes_Constante!$BC$1</f>
        <v>0</v>
      </c>
      <c r="BH323" s="8">
        <f>+MINVU_Mes_Corriente!BH323*SALUD_Mes_Constante!$BC$1</f>
        <v>0</v>
      </c>
      <c r="BI323" s="8">
        <f>+MINVU_Mes_Corriente!BI323*SALUD_Mes_Constante!$BC$1</f>
        <v>0</v>
      </c>
      <c r="BJ323" s="8">
        <f>+MINVU_Mes_Corriente!BJ323*SALUD_Mes_Constante!$BC$1</f>
        <v>0</v>
      </c>
      <c r="BK323" s="8">
        <f>+MINVU_Mes_Corriente!BK323*SALUD_Mes_Constante!$BC$1</f>
        <v>0</v>
      </c>
      <c r="BL323" s="8">
        <f>+MINVU_Mes_Corriente!BL323*SALUD_Mes_Constante!$BC$1</f>
        <v>0</v>
      </c>
      <c r="BM323" s="8">
        <f>+MINVU_Mes_Corriente!BM323*SALUD_Mes_Constante!$BC$1</f>
        <v>0</v>
      </c>
      <c r="BN323" s="8">
        <f>+MINVU_Mes_Corriente!BN323*SALUD_Mes_Constante!$BC$1</f>
        <v>0</v>
      </c>
      <c r="BO323" s="9">
        <f t="shared" si="156"/>
        <v>0</v>
      </c>
      <c r="BP323" s="8">
        <f>+MINVU_Mes_Corriente!BP323*SALUD_Mes_Constante!$BP$1</f>
        <v>0</v>
      </c>
      <c r="BQ323" s="8">
        <f>+MINVU_Mes_Corriente!BQ323*SALUD_Mes_Constante!$BP$1</f>
        <v>0</v>
      </c>
      <c r="BR323" s="8">
        <f>+MINVU_Mes_Corriente!BR323*SALUD_Mes_Constante!$BP$1</f>
        <v>0</v>
      </c>
      <c r="BS323" s="8">
        <f>+MINVU_Mes_Corriente!BS323*SALUD_Mes_Constante!$BP$1</f>
        <v>0</v>
      </c>
      <c r="BT323" s="8">
        <f>+MINVU_Mes_Corriente!BT323*SALUD_Mes_Constante!$BP$1</f>
        <v>0</v>
      </c>
      <c r="BU323" s="8">
        <f>+MINVU_Mes_Corriente!BU323*SALUD_Mes_Constante!$BP$1</f>
        <v>0</v>
      </c>
      <c r="BV323" s="8">
        <f>+MINVU_Mes_Corriente!BV323*SALUD_Mes_Constante!$BP$1</f>
        <v>0</v>
      </c>
      <c r="BW323" s="8">
        <f>+MINVU_Mes_Corriente!BW323*SALUD_Mes_Constante!$BP$1</f>
        <v>0</v>
      </c>
      <c r="BX323" s="8">
        <f>+MINVU_Mes_Corriente!BX323*SALUD_Mes_Constante!$BP$1</f>
        <v>0</v>
      </c>
      <c r="BY323" s="8">
        <f>+MINVU_Mes_Corriente!BY323*SALUD_Mes_Constante!$BP$1</f>
        <v>0</v>
      </c>
      <c r="BZ323" s="8">
        <f>+MINVU_Mes_Corriente!BZ323*SALUD_Mes_Constante!$BP$1</f>
        <v>0</v>
      </c>
      <c r="CA323" s="8">
        <f>+MINVU_Mes_Corriente!CA323*SALUD_Mes_Constante!$BP$1</f>
        <v>0</v>
      </c>
      <c r="CB323" s="9">
        <f t="shared" si="157"/>
        <v>0</v>
      </c>
      <c r="CC323" s="8">
        <f>+MINVU_Mes_Corriente!CC323*SALUD_Mes_Constante!$CC$1</f>
        <v>0</v>
      </c>
      <c r="CD323" s="8">
        <f>+MINVU_Mes_Corriente!CD323*SALUD_Mes_Constante!$CC$1</f>
        <v>0</v>
      </c>
      <c r="CE323" s="8">
        <f>+MINVU_Mes_Corriente!CE323*SALUD_Mes_Constante!$CC$1</f>
        <v>0</v>
      </c>
      <c r="CF323" s="8">
        <f>+MINVU_Mes_Corriente!CF323*SALUD_Mes_Constante!$CC$1</f>
        <v>0</v>
      </c>
      <c r="CG323" s="8">
        <f>+MINVU_Mes_Corriente!CG323*SALUD_Mes_Constante!$CC$1</f>
        <v>0</v>
      </c>
      <c r="CH323" s="8">
        <f>+MINVU_Mes_Corriente!CH323*SALUD_Mes_Constante!$CC$1</f>
        <v>0</v>
      </c>
      <c r="CI323" s="8">
        <f>+MINVU_Mes_Corriente!CI323*SALUD_Mes_Constante!$CC$1</f>
        <v>0</v>
      </c>
      <c r="CJ323" s="8">
        <f>+MINVU_Mes_Corriente!CJ323*SALUD_Mes_Constante!$CC$1</f>
        <v>0</v>
      </c>
      <c r="CK323" s="8">
        <f>+MINVU_Mes_Corriente!CK323*SALUD_Mes_Constante!$CC$1</f>
        <v>0</v>
      </c>
      <c r="CL323" s="8">
        <f>+MINVU_Mes_Corriente!CL323*SALUD_Mes_Constante!$CC$1</f>
        <v>0</v>
      </c>
      <c r="CM323" s="8">
        <f>+MINVU_Mes_Corriente!CM323*SALUD_Mes_Constante!$CC$1</f>
        <v>0</v>
      </c>
      <c r="CN323" s="8">
        <f>+MINVU_Mes_Corriente!CN323*SALUD_Mes_Constante!$CC$1</f>
        <v>0</v>
      </c>
      <c r="CO323" s="9">
        <f t="shared" si="158"/>
        <v>0</v>
      </c>
      <c r="CP323" s="8">
        <f>+MINVU_Mes_Corriente!CP323*SALUD_Mes_Constante!$CP$1</f>
        <v>0</v>
      </c>
      <c r="CQ323" s="8">
        <f>+MINVU_Mes_Corriente!CQ323*SALUD_Mes_Constante!$CP$1</f>
        <v>0</v>
      </c>
      <c r="CR323" s="8">
        <f>+MINVU_Mes_Corriente!CR323*SALUD_Mes_Constante!$CP$1</f>
        <v>0</v>
      </c>
      <c r="CS323" s="8">
        <f>+MINVU_Mes_Corriente!CS323*SALUD_Mes_Constante!$CP$1</f>
        <v>0</v>
      </c>
      <c r="CT323" s="8">
        <f>+MINVU_Mes_Corriente!CT323*SALUD_Mes_Constante!$CP$1</f>
        <v>0</v>
      </c>
      <c r="CU323" s="8">
        <f>+MINVU_Mes_Corriente!CU323*SALUD_Mes_Constante!$CP$1</f>
        <v>0</v>
      </c>
      <c r="CV323" s="8">
        <f>+MINVU_Mes_Corriente!CV323*SALUD_Mes_Constante!$CP$1</f>
        <v>0</v>
      </c>
      <c r="CW323" s="8">
        <f>+MINVU_Mes_Corriente!CW323*SALUD_Mes_Constante!$CP$1</f>
        <v>0</v>
      </c>
      <c r="CX323" s="8">
        <f>+MINVU_Mes_Corriente!CX323*SALUD_Mes_Constante!$CP$1</f>
        <v>0</v>
      </c>
      <c r="CY323" s="8">
        <f>+MINVU_Mes_Corriente!CY323*SALUD_Mes_Constante!$CP$1</f>
        <v>0</v>
      </c>
      <c r="CZ323" s="8">
        <f>+MINVU_Mes_Corriente!CZ323*SALUD_Mes_Constante!$CP$1</f>
        <v>0</v>
      </c>
      <c r="DA323" s="8">
        <f>+MINVU_Mes_Corriente!DA323*SALUD_Mes_Constante!$CP$1</f>
        <v>0</v>
      </c>
      <c r="DB323" s="9">
        <f t="shared" si="159"/>
        <v>0</v>
      </c>
      <c r="DC323" s="8">
        <f>+MINVU_Mes_Corriente!DC323*SALUD_Mes_Constante!$DC$1</f>
        <v>0</v>
      </c>
      <c r="DD323" s="8">
        <f>+MINVU_Mes_Corriente!DD323*SALUD_Mes_Constante!$DC$1</f>
        <v>0</v>
      </c>
      <c r="DE323" s="8">
        <f>+MINVU_Mes_Corriente!DE323*SALUD_Mes_Constante!$DC$1</f>
        <v>0</v>
      </c>
      <c r="DF323" s="8">
        <f>+MINVU_Mes_Corriente!DF323*SALUD_Mes_Constante!$DC$1</f>
        <v>0</v>
      </c>
      <c r="DG323" s="8">
        <f>+MINVU_Mes_Corriente!DG323*SALUD_Mes_Constante!$DC$1</f>
        <v>0</v>
      </c>
      <c r="DH323" s="8">
        <f>+MINVU_Mes_Corriente!DH323*SALUD_Mes_Constante!$DC$1</f>
        <v>0</v>
      </c>
      <c r="DI323" s="8">
        <f>+MINVU_Mes_Corriente!DI323*SALUD_Mes_Constante!$DC$1</f>
        <v>0</v>
      </c>
      <c r="DJ323" s="8">
        <f>+MINVU_Mes_Corriente!DJ323*SALUD_Mes_Constante!$DC$1</f>
        <v>0</v>
      </c>
      <c r="DK323" s="8">
        <f>+MINVU_Mes_Corriente!DK323*SALUD_Mes_Constante!$DC$1</f>
        <v>0</v>
      </c>
      <c r="DL323" s="8">
        <f>+MINVU_Mes_Corriente!DL323*SALUD_Mes_Constante!$DC$1</f>
        <v>0</v>
      </c>
      <c r="DM323" s="8">
        <f>+MINVU_Mes_Corriente!DM323*SALUD_Mes_Constante!$DC$1</f>
        <v>0</v>
      </c>
      <c r="DN323" s="8">
        <f>+MINVU_Mes_Corriente!DN323*SALUD_Mes_Constante!$DC$1</f>
        <v>0</v>
      </c>
      <c r="DO323" s="9">
        <f t="shared" si="160"/>
        <v>0</v>
      </c>
      <c r="DP323" s="8">
        <f>+MINVU_Mes_Corriente!DP323*SALUD_Mes_Constante!$DP$1</f>
        <v>0</v>
      </c>
      <c r="DQ323" s="8">
        <f>+MINVU_Mes_Corriente!DQ323*SALUD_Mes_Constante!$DP$1</f>
        <v>0</v>
      </c>
      <c r="DR323" s="8">
        <f>+MINVU_Mes_Corriente!DR323*SALUD_Mes_Constante!$DP$1</f>
        <v>0</v>
      </c>
      <c r="DS323" s="8">
        <f>+MINVU_Mes_Corriente!DS323*SALUD_Mes_Constante!$DP$1</f>
        <v>0</v>
      </c>
      <c r="DT323" s="8">
        <f>+MINVU_Mes_Corriente!DT323*SALUD_Mes_Constante!$DP$1</f>
        <v>0</v>
      </c>
      <c r="DU323" s="8">
        <f>+MINVU_Mes_Corriente!DU323*SALUD_Mes_Constante!$DP$1</f>
        <v>0</v>
      </c>
      <c r="DV323" s="8">
        <f>+MINVU_Mes_Corriente!DV323*SALUD_Mes_Constante!$DP$1</f>
        <v>0</v>
      </c>
      <c r="DW323" s="8">
        <f>+MINVU_Mes_Corriente!DW323*SALUD_Mes_Constante!$DP$1</f>
        <v>0</v>
      </c>
      <c r="DX323" s="8">
        <f>+MINVU_Mes_Corriente!DX323*SALUD_Mes_Constante!$DP$1</f>
        <v>0</v>
      </c>
      <c r="DY323" s="8">
        <f>+MINVU_Mes_Corriente!DY323*SALUD_Mes_Constante!$DP$1</f>
        <v>0</v>
      </c>
      <c r="DZ323" s="8">
        <f>+MINVU_Mes_Corriente!DZ323*SALUD_Mes_Constante!$DP$1</f>
        <v>0</v>
      </c>
      <c r="EA323" s="8">
        <f>+MINVU_Mes_Corriente!EA323*SALUD_Mes_Constante!$DP$1</f>
        <v>0</v>
      </c>
      <c r="EB323" s="9">
        <f t="shared" si="161"/>
        <v>0</v>
      </c>
      <c r="EC323" s="8">
        <f>+MINVU_Mes_Corriente!EC323*SALUD_Mes_Constante!$EC$1</f>
        <v>0</v>
      </c>
      <c r="ED323" s="8">
        <f>+MINVU_Mes_Corriente!ED323*SALUD_Mes_Constante!$EC$1</f>
        <v>0</v>
      </c>
      <c r="EE323" s="8">
        <f>+MINVU_Mes_Corriente!EE323*SALUD_Mes_Constante!$EC$1</f>
        <v>0</v>
      </c>
      <c r="EF323" s="8">
        <f>+MINVU_Mes_Corriente!EF323*SALUD_Mes_Constante!$EC$1</f>
        <v>0</v>
      </c>
      <c r="EG323" s="8">
        <f>+MINVU_Mes_Corriente!EG323*SALUD_Mes_Constante!$EC$1</f>
        <v>0</v>
      </c>
      <c r="EH323" s="8">
        <f>+MINVU_Mes_Corriente!EH323*SALUD_Mes_Constante!$EC$1</f>
        <v>0</v>
      </c>
      <c r="EI323" s="8">
        <f>+MINVU_Mes_Corriente!EI323*SALUD_Mes_Constante!$EC$1</f>
        <v>0</v>
      </c>
      <c r="EJ323" s="8">
        <f>+MINVU_Mes_Corriente!EJ323*SALUD_Mes_Constante!$EC$1</f>
        <v>0</v>
      </c>
      <c r="EK323" s="8">
        <f>+MINVU_Mes_Corriente!EK323*SALUD_Mes_Constante!$EC$1</f>
        <v>0</v>
      </c>
      <c r="EL323" s="8">
        <f>+MINVU_Mes_Corriente!EL323*SALUD_Mes_Constante!$EC$1</f>
        <v>0</v>
      </c>
      <c r="EM323" s="8">
        <f>+MINVU_Mes_Corriente!EM323*SALUD_Mes_Constante!$EC$1</f>
        <v>0</v>
      </c>
      <c r="EN323" s="8">
        <f>+MINVU_Mes_Corriente!EN323*SALUD_Mes_Constante!$EC$1</f>
        <v>0</v>
      </c>
      <c r="EO323" s="9">
        <f t="shared" si="162"/>
        <v>0</v>
      </c>
      <c r="EP323" s="8">
        <f>+MINVU_Mes_Corriente!EP323*SALUD_Mes_Constante!$EP$1</f>
        <v>0</v>
      </c>
      <c r="EQ323" s="8">
        <f>+MINVU_Mes_Corriente!EQ323*SALUD_Mes_Constante!$EP$1</f>
        <v>0</v>
      </c>
      <c r="ER323" s="8">
        <f>+MINVU_Mes_Corriente!ER323*SALUD_Mes_Constante!$EP$1</f>
        <v>0</v>
      </c>
      <c r="ES323" s="8">
        <f>+MINVU_Mes_Corriente!ES323*SALUD_Mes_Constante!$EP$1</f>
        <v>0</v>
      </c>
      <c r="ET323" s="8">
        <f>+MINVU_Mes_Corriente!ET323*SALUD_Mes_Constante!$EP$1</f>
        <v>0</v>
      </c>
      <c r="EU323" s="8">
        <f>+MINVU_Mes_Corriente!EU323*SALUD_Mes_Constante!$EP$1</f>
        <v>0</v>
      </c>
      <c r="EV323" s="8">
        <f>+MINVU_Mes_Corriente!EV323*SALUD_Mes_Constante!$EP$1</f>
        <v>0</v>
      </c>
      <c r="EW323" s="8">
        <f>+MINVU_Mes_Corriente!EW323*SALUD_Mes_Constante!$EP$1</f>
        <v>0</v>
      </c>
      <c r="EX323" s="8">
        <f>+MINVU_Mes_Corriente!EX323*SALUD_Mes_Constante!$EP$1</f>
        <v>0</v>
      </c>
      <c r="EY323" s="8">
        <f>+MINVU_Mes_Corriente!EY323*SALUD_Mes_Constante!$EP$1</f>
        <v>0</v>
      </c>
      <c r="EZ323" s="8">
        <f>+MINVU_Mes_Corriente!EZ323*SALUD_Mes_Constante!$EP$1</f>
        <v>0</v>
      </c>
      <c r="FA323" s="8">
        <f>+MINVU_Mes_Corriente!FA323*SALUD_Mes_Constante!$EP$1</f>
        <v>0</v>
      </c>
      <c r="FB323" s="9">
        <f t="shared" si="163"/>
        <v>0</v>
      </c>
      <c r="FC323" s="8">
        <f>+MINVU_Mes_Corriente!FC323*SALUD_Mes_Constante!$FC$1</f>
        <v>0</v>
      </c>
      <c r="FD323" s="8">
        <f>+MINVU_Mes_Corriente!FD323*SALUD_Mes_Constante!$FC$1</f>
        <v>0</v>
      </c>
      <c r="FE323" s="8">
        <f>+MINVU_Mes_Corriente!FE323*SALUD_Mes_Constante!$FC$1</f>
        <v>0</v>
      </c>
      <c r="FF323" s="8">
        <f>+MINVU_Mes_Corriente!FF323*SALUD_Mes_Constante!$FC$1</f>
        <v>0</v>
      </c>
      <c r="FG323" s="8">
        <f>+MINVU_Mes_Corriente!FG323*SALUD_Mes_Constante!$FC$1</f>
        <v>0</v>
      </c>
      <c r="FH323" s="8">
        <f>+MINVU_Mes_Corriente!FH323*SALUD_Mes_Constante!$FC$1</f>
        <v>0</v>
      </c>
      <c r="FI323" s="8">
        <f>+MINVU_Mes_Corriente!FI323*SALUD_Mes_Constante!$FC$1</f>
        <v>0</v>
      </c>
      <c r="FJ323" s="8"/>
      <c r="FK323" s="8"/>
      <c r="FL323" s="8"/>
      <c r="FM323" s="8"/>
      <c r="FN323" s="8"/>
      <c r="FO323" s="9">
        <f t="shared" si="164"/>
        <v>0</v>
      </c>
    </row>
    <row r="324" spans="2:171" ht="14.25" customHeight="1" x14ac:dyDescent="0.3">
      <c r="B324" s="7" t="s">
        <v>65</v>
      </c>
      <c r="C324" s="8">
        <f>+MINVU_Mes_Corriente!C324*SALUD_Mes_Constante!$C$1</f>
        <v>0</v>
      </c>
      <c r="D324" s="8">
        <f>+MINVU_Mes_Corriente!D324*SALUD_Mes_Constante!$C$1</f>
        <v>0</v>
      </c>
      <c r="E324" s="8">
        <f>+MINVU_Mes_Corriente!E324*SALUD_Mes_Constante!$C$1</f>
        <v>0</v>
      </c>
      <c r="F324" s="8">
        <f>+MINVU_Mes_Corriente!F324*SALUD_Mes_Constante!$C$1</f>
        <v>0</v>
      </c>
      <c r="G324" s="8">
        <f>+MINVU_Mes_Corriente!G324*SALUD_Mes_Constante!$C$1</f>
        <v>0</v>
      </c>
      <c r="H324" s="8">
        <f>+MINVU_Mes_Corriente!H324*SALUD_Mes_Constante!$C$1</f>
        <v>0</v>
      </c>
      <c r="I324" s="8">
        <f>+MINVU_Mes_Corriente!I324*SALUD_Mes_Constante!$C$1</f>
        <v>0</v>
      </c>
      <c r="J324" s="8">
        <f>+MINVU_Mes_Corriente!J324*SALUD_Mes_Constante!$C$1</f>
        <v>0</v>
      </c>
      <c r="K324" s="8">
        <f>+MINVU_Mes_Corriente!K324*SALUD_Mes_Constante!$C$1</f>
        <v>0</v>
      </c>
      <c r="L324" s="8">
        <f>+MINVU_Mes_Corriente!L324*SALUD_Mes_Constante!$C$1</f>
        <v>0</v>
      </c>
      <c r="M324" s="8">
        <f>+MINVU_Mes_Corriente!M324*SALUD_Mes_Constante!$C$1</f>
        <v>0</v>
      </c>
      <c r="N324" s="8">
        <f>+MINVU_Mes_Corriente!N324*SALUD_Mes_Constante!$C$1</f>
        <v>0</v>
      </c>
      <c r="O324" s="9">
        <f t="shared" si="152"/>
        <v>0</v>
      </c>
      <c r="P324" s="8">
        <f>+MINVU_Mes_Corriente!P324*SALUD_Mes_Constante!$P$1</f>
        <v>0</v>
      </c>
      <c r="Q324" s="8">
        <f>+MINVU_Mes_Corriente!Q324*SALUD_Mes_Constante!$P$1</f>
        <v>0</v>
      </c>
      <c r="R324" s="8">
        <f>+MINVU_Mes_Corriente!R324*SALUD_Mes_Constante!$P$1</f>
        <v>0</v>
      </c>
      <c r="S324" s="8">
        <f>+MINVU_Mes_Corriente!S324*SALUD_Mes_Constante!$P$1</f>
        <v>0</v>
      </c>
      <c r="T324" s="8">
        <f>+MINVU_Mes_Corriente!T324*SALUD_Mes_Constante!$P$1</f>
        <v>0</v>
      </c>
      <c r="U324" s="8">
        <f>+MINVU_Mes_Corriente!U324*SALUD_Mes_Constante!$P$1</f>
        <v>0</v>
      </c>
      <c r="V324" s="8">
        <f>+MINVU_Mes_Corriente!V324*SALUD_Mes_Constante!$P$1</f>
        <v>0</v>
      </c>
      <c r="W324" s="8">
        <f>+MINVU_Mes_Corriente!W324*SALUD_Mes_Constante!$P$1</f>
        <v>0</v>
      </c>
      <c r="X324" s="8">
        <f>+MINVU_Mes_Corriente!X324*SALUD_Mes_Constante!$P$1</f>
        <v>0</v>
      </c>
      <c r="Y324" s="8">
        <f>+MINVU_Mes_Corriente!Y324*SALUD_Mes_Constante!$P$1</f>
        <v>0</v>
      </c>
      <c r="Z324" s="8">
        <f>+MINVU_Mes_Corriente!Z324*SALUD_Mes_Constante!$P$1</f>
        <v>0</v>
      </c>
      <c r="AA324" s="8">
        <f>+MINVU_Mes_Corriente!AA324*SALUD_Mes_Constante!$P$1</f>
        <v>0</v>
      </c>
      <c r="AB324" s="9">
        <f t="shared" si="153"/>
        <v>0</v>
      </c>
      <c r="AC324" s="8">
        <f>+MINVU_Mes_Corriente!AC324*SALUD_Mes_Constante!$AC$1</f>
        <v>0</v>
      </c>
      <c r="AD324" s="8">
        <f>+MINVU_Mes_Corriente!AD324*SALUD_Mes_Constante!$AC$1</f>
        <v>0</v>
      </c>
      <c r="AE324" s="8">
        <f>+MINVU_Mes_Corriente!AE324*SALUD_Mes_Constante!$AC$1</f>
        <v>0</v>
      </c>
      <c r="AF324" s="8">
        <f>+MINVU_Mes_Corriente!AF324*SALUD_Mes_Constante!$AC$1</f>
        <v>0</v>
      </c>
      <c r="AG324" s="8">
        <f>+MINVU_Mes_Corriente!AG324*SALUD_Mes_Constante!$AC$1</f>
        <v>0</v>
      </c>
      <c r="AH324" s="8">
        <f>+MINVU_Mes_Corriente!AH324*SALUD_Mes_Constante!$AC$1</f>
        <v>0</v>
      </c>
      <c r="AI324" s="8">
        <f>+MINVU_Mes_Corriente!AI324*SALUD_Mes_Constante!$AC$1</f>
        <v>0</v>
      </c>
      <c r="AJ324" s="8">
        <f>+MINVU_Mes_Corriente!AJ324*SALUD_Mes_Constante!$AC$1</f>
        <v>0</v>
      </c>
      <c r="AK324" s="8">
        <f>+MINVU_Mes_Corriente!AK324*SALUD_Mes_Constante!$AC$1</f>
        <v>0</v>
      </c>
      <c r="AL324" s="8">
        <f>+MINVU_Mes_Corriente!AL324*SALUD_Mes_Constante!$AC$1</f>
        <v>0</v>
      </c>
      <c r="AM324" s="8">
        <f>+MINVU_Mes_Corriente!AM324*SALUD_Mes_Constante!$AC$1</f>
        <v>0</v>
      </c>
      <c r="AN324" s="8">
        <f>+MINVU_Mes_Corriente!AN324*SALUD_Mes_Constante!$AC$1</f>
        <v>0</v>
      </c>
      <c r="AO324" s="9">
        <f t="shared" si="154"/>
        <v>0</v>
      </c>
      <c r="AP324" s="8">
        <f>+MINVU_Mes_Corriente!AP324*SALUD_Mes_Constante!$AP$1</f>
        <v>0</v>
      </c>
      <c r="AQ324" s="8">
        <f>+MINVU_Mes_Corriente!AQ324*SALUD_Mes_Constante!$AP$1</f>
        <v>0</v>
      </c>
      <c r="AR324" s="8">
        <f>+MINVU_Mes_Corriente!AR324*SALUD_Mes_Constante!$AP$1</f>
        <v>0</v>
      </c>
      <c r="AS324" s="8">
        <f>+MINVU_Mes_Corriente!AS324*SALUD_Mes_Constante!$AP$1</f>
        <v>0</v>
      </c>
      <c r="AT324" s="8">
        <f>+MINVU_Mes_Corriente!AT324*SALUD_Mes_Constante!$AP$1</f>
        <v>0</v>
      </c>
      <c r="AU324" s="8">
        <f>+MINVU_Mes_Corriente!AU324*SALUD_Mes_Constante!$AP$1</f>
        <v>0</v>
      </c>
      <c r="AV324" s="8">
        <f>+MINVU_Mes_Corriente!AV324*SALUD_Mes_Constante!$AP$1</f>
        <v>0</v>
      </c>
      <c r="AW324" s="8">
        <f>+MINVU_Mes_Corriente!AW324*SALUD_Mes_Constante!$AP$1</f>
        <v>0</v>
      </c>
      <c r="AX324" s="8">
        <f>+MINVU_Mes_Corriente!AX324*SALUD_Mes_Constante!$AP$1</f>
        <v>0</v>
      </c>
      <c r="AY324" s="8">
        <f>+MINVU_Mes_Corriente!AY324*SALUD_Mes_Constante!$AP$1</f>
        <v>0</v>
      </c>
      <c r="AZ324" s="8">
        <f>+MINVU_Mes_Corriente!AZ324*SALUD_Mes_Constante!$AP$1</f>
        <v>0</v>
      </c>
      <c r="BA324" s="8">
        <f>+MINVU_Mes_Corriente!BA324*SALUD_Mes_Constante!$AP$1</f>
        <v>0</v>
      </c>
      <c r="BB324" s="9">
        <f t="shared" si="155"/>
        <v>0</v>
      </c>
      <c r="BC324" s="8">
        <f>+MINVU_Mes_Corriente!BC324*SALUD_Mes_Constante!$BC$1</f>
        <v>0</v>
      </c>
      <c r="BD324" s="8">
        <f>+MINVU_Mes_Corriente!BD324*SALUD_Mes_Constante!$BC$1</f>
        <v>0</v>
      </c>
      <c r="BE324" s="8">
        <f>+MINVU_Mes_Corriente!BE324*SALUD_Mes_Constante!$BC$1</f>
        <v>0</v>
      </c>
      <c r="BF324" s="8">
        <f>+MINVU_Mes_Corriente!BF324*SALUD_Mes_Constante!$BC$1</f>
        <v>0</v>
      </c>
      <c r="BG324" s="8">
        <f>+MINVU_Mes_Corriente!BG324*SALUD_Mes_Constante!$BC$1</f>
        <v>0</v>
      </c>
      <c r="BH324" s="8">
        <f>+MINVU_Mes_Corriente!BH324*SALUD_Mes_Constante!$BC$1</f>
        <v>0</v>
      </c>
      <c r="BI324" s="8">
        <f>+MINVU_Mes_Corriente!BI324*SALUD_Mes_Constante!$BC$1</f>
        <v>0</v>
      </c>
      <c r="BJ324" s="8">
        <f>+MINVU_Mes_Corriente!BJ324*SALUD_Mes_Constante!$BC$1</f>
        <v>0</v>
      </c>
      <c r="BK324" s="8">
        <f>+MINVU_Mes_Corriente!BK324*SALUD_Mes_Constante!$BC$1</f>
        <v>0</v>
      </c>
      <c r="BL324" s="8">
        <f>+MINVU_Mes_Corriente!BL324*SALUD_Mes_Constante!$BC$1</f>
        <v>0</v>
      </c>
      <c r="BM324" s="8">
        <f>+MINVU_Mes_Corriente!BM324*SALUD_Mes_Constante!$BC$1</f>
        <v>0</v>
      </c>
      <c r="BN324" s="8">
        <f>+MINVU_Mes_Corriente!BN324*SALUD_Mes_Constante!$BC$1</f>
        <v>0</v>
      </c>
      <c r="BO324" s="9">
        <f t="shared" si="156"/>
        <v>0</v>
      </c>
      <c r="BP324" s="8">
        <f>+MINVU_Mes_Corriente!BP324*SALUD_Mes_Constante!$BP$1</f>
        <v>0</v>
      </c>
      <c r="BQ324" s="8">
        <f>+MINVU_Mes_Corriente!BQ324*SALUD_Mes_Constante!$BP$1</f>
        <v>0</v>
      </c>
      <c r="BR324" s="8">
        <f>+MINVU_Mes_Corriente!BR324*SALUD_Mes_Constante!$BP$1</f>
        <v>0</v>
      </c>
      <c r="BS324" s="8">
        <f>+MINVU_Mes_Corriente!BS324*SALUD_Mes_Constante!$BP$1</f>
        <v>0</v>
      </c>
      <c r="BT324" s="8">
        <f>+MINVU_Mes_Corriente!BT324*SALUD_Mes_Constante!$BP$1</f>
        <v>0</v>
      </c>
      <c r="BU324" s="8">
        <f>+MINVU_Mes_Corriente!BU324*SALUD_Mes_Constante!$BP$1</f>
        <v>0</v>
      </c>
      <c r="BV324" s="8">
        <f>+MINVU_Mes_Corriente!BV324*SALUD_Mes_Constante!$BP$1</f>
        <v>0</v>
      </c>
      <c r="BW324" s="8">
        <f>+MINVU_Mes_Corriente!BW324*SALUD_Mes_Constante!$BP$1</f>
        <v>0</v>
      </c>
      <c r="BX324" s="8">
        <f>+MINVU_Mes_Corriente!BX324*SALUD_Mes_Constante!$BP$1</f>
        <v>0</v>
      </c>
      <c r="BY324" s="8">
        <f>+MINVU_Mes_Corriente!BY324*SALUD_Mes_Constante!$BP$1</f>
        <v>0</v>
      </c>
      <c r="BZ324" s="8">
        <f>+MINVU_Mes_Corriente!BZ324*SALUD_Mes_Constante!$BP$1</f>
        <v>0</v>
      </c>
      <c r="CA324" s="8">
        <f>+MINVU_Mes_Corriente!CA324*SALUD_Mes_Constante!$BP$1</f>
        <v>0</v>
      </c>
      <c r="CB324" s="9">
        <f t="shared" si="157"/>
        <v>0</v>
      </c>
      <c r="CC324" s="8">
        <f>+MINVU_Mes_Corriente!CC324*SALUD_Mes_Constante!$CC$1</f>
        <v>0</v>
      </c>
      <c r="CD324" s="8">
        <f>+MINVU_Mes_Corriente!CD324*SALUD_Mes_Constante!$CC$1</f>
        <v>0</v>
      </c>
      <c r="CE324" s="8">
        <f>+MINVU_Mes_Corriente!CE324*SALUD_Mes_Constante!$CC$1</f>
        <v>0</v>
      </c>
      <c r="CF324" s="8">
        <f>+MINVU_Mes_Corriente!CF324*SALUD_Mes_Constante!$CC$1</f>
        <v>0</v>
      </c>
      <c r="CG324" s="8">
        <f>+MINVU_Mes_Corriente!CG324*SALUD_Mes_Constante!$CC$1</f>
        <v>0</v>
      </c>
      <c r="CH324" s="8">
        <f>+MINVU_Mes_Corriente!CH324*SALUD_Mes_Constante!$CC$1</f>
        <v>0</v>
      </c>
      <c r="CI324" s="8">
        <f>+MINVU_Mes_Corriente!CI324*SALUD_Mes_Constante!$CC$1</f>
        <v>0</v>
      </c>
      <c r="CJ324" s="8">
        <f>+MINVU_Mes_Corriente!CJ324*SALUD_Mes_Constante!$CC$1</f>
        <v>0</v>
      </c>
      <c r="CK324" s="8">
        <f>+MINVU_Mes_Corriente!CK324*SALUD_Mes_Constante!$CC$1</f>
        <v>0</v>
      </c>
      <c r="CL324" s="8">
        <f>+MINVU_Mes_Corriente!CL324*SALUD_Mes_Constante!$CC$1</f>
        <v>0</v>
      </c>
      <c r="CM324" s="8">
        <f>+MINVU_Mes_Corriente!CM324*SALUD_Mes_Constante!$CC$1</f>
        <v>0</v>
      </c>
      <c r="CN324" s="8">
        <f>+MINVU_Mes_Corriente!CN324*SALUD_Mes_Constante!$CC$1</f>
        <v>0</v>
      </c>
      <c r="CO324" s="9">
        <f t="shared" si="158"/>
        <v>0</v>
      </c>
      <c r="CP324" s="8">
        <f>+MINVU_Mes_Corriente!CP324*SALUD_Mes_Constante!$CP$1</f>
        <v>0</v>
      </c>
      <c r="CQ324" s="8">
        <f>+MINVU_Mes_Corriente!CQ324*SALUD_Mes_Constante!$CP$1</f>
        <v>0</v>
      </c>
      <c r="CR324" s="8">
        <f>+MINVU_Mes_Corriente!CR324*SALUD_Mes_Constante!$CP$1</f>
        <v>0</v>
      </c>
      <c r="CS324" s="8">
        <f>+MINVU_Mes_Corriente!CS324*SALUD_Mes_Constante!$CP$1</f>
        <v>0</v>
      </c>
      <c r="CT324" s="8">
        <f>+MINVU_Mes_Corriente!CT324*SALUD_Mes_Constante!$CP$1</f>
        <v>0</v>
      </c>
      <c r="CU324" s="8">
        <f>+MINVU_Mes_Corriente!CU324*SALUD_Mes_Constante!$CP$1</f>
        <v>0</v>
      </c>
      <c r="CV324" s="8">
        <f>+MINVU_Mes_Corriente!CV324*SALUD_Mes_Constante!$CP$1</f>
        <v>0</v>
      </c>
      <c r="CW324" s="8">
        <f>+MINVU_Mes_Corriente!CW324*SALUD_Mes_Constante!$CP$1</f>
        <v>0</v>
      </c>
      <c r="CX324" s="8">
        <f>+MINVU_Mes_Corriente!CX324*SALUD_Mes_Constante!$CP$1</f>
        <v>0</v>
      </c>
      <c r="CY324" s="8">
        <f>+MINVU_Mes_Corriente!CY324*SALUD_Mes_Constante!$CP$1</f>
        <v>0</v>
      </c>
      <c r="CZ324" s="8">
        <f>+MINVU_Mes_Corriente!CZ324*SALUD_Mes_Constante!$CP$1</f>
        <v>0</v>
      </c>
      <c r="DA324" s="8">
        <f>+MINVU_Mes_Corriente!DA324*SALUD_Mes_Constante!$CP$1</f>
        <v>0</v>
      </c>
      <c r="DB324" s="9">
        <f t="shared" si="159"/>
        <v>0</v>
      </c>
      <c r="DC324" s="8">
        <f>+MINVU_Mes_Corriente!DC324*SALUD_Mes_Constante!$DC$1</f>
        <v>0</v>
      </c>
      <c r="DD324" s="8">
        <f>+MINVU_Mes_Corriente!DD324*SALUD_Mes_Constante!$DC$1</f>
        <v>0</v>
      </c>
      <c r="DE324" s="8">
        <f>+MINVU_Mes_Corriente!DE324*SALUD_Mes_Constante!$DC$1</f>
        <v>0</v>
      </c>
      <c r="DF324" s="8">
        <f>+MINVU_Mes_Corriente!DF324*SALUD_Mes_Constante!$DC$1</f>
        <v>0</v>
      </c>
      <c r="DG324" s="8">
        <f>+MINVU_Mes_Corriente!DG324*SALUD_Mes_Constante!$DC$1</f>
        <v>0</v>
      </c>
      <c r="DH324" s="8">
        <f>+MINVU_Mes_Corriente!DH324*SALUD_Mes_Constante!$DC$1</f>
        <v>0</v>
      </c>
      <c r="DI324" s="8">
        <f>+MINVU_Mes_Corriente!DI324*SALUD_Mes_Constante!$DC$1</f>
        <v>0</v>
      </c>
      <c r="DJ324" s="8">
        <f>+MINVU_Mes_Corriente!DJ324*SALUD_Mes_Constante!$DC$1</f>
        <v>0</v>
      </c>
      <c r="DK324" s="8">
        <f>+MINVU_Mes_Corriente!DK324*SALUD_Mes_Constante!$DC$1</f>
        <v>0</v>
      </c>
      <c r="DL324" s="8">
        <f>+MINVU_Mes_Corriente!DL324*SALUD_Mes_Constante!$DC$1</f>
        <v>0</v>
      </c>
      <c r="DM324" s="8">
        <f>+MINVU_Mes_Corriente!DM324*SALUD_Mes_Constante!$DC$1</f>
        <v>0</v>
      </c>
      <c r="DN324" s="8">
        <f>+MINVU_Mes_Corriente!DN324*SALUD_Mes_Constante!$DC$1</f>
        <v>0</v>
      </c>
      <c r="DO324" s="9">
        <f t="shared" si="160"/>
        <v>0</v>
      </c>
      <c r="DP324" s="8">
        <f>+MINVU_Mes_Corriente!DP324*SALUD_Mes_Constante!$DP$1</f>
        <v>0</v>
      </c>
      <c r="DQ324" s="8">
        <f>+MINVU_Mes_Corriente!DQ324*SALUD_Mes_Constante!$DP$1</f>
        <v>0</v>
      </c>
      <c r="DR324" s="8">
        <f>+MINVU_Mes_Corriente!DR324*SALUD_Mes_Constante!$DP$1</f>
        <v>0</v>
      </c>
      <c r="DS324" s="8">
        <f>+MINVU_Mes_Corriente!DS324*SALUD_Mes_Constante!$DP$1</f>
        <v>0</v>
      </c>
      <c r="DT324" s="8">
        <f>+MINVU_Mes_Corriente!DT324*SALUD_Mes_Constante!$DP$1</f>
        <v>0</v>
      </c>
      <c r="DU324" s="8">
        <f>+MINVU_Mes_Corriente!DU324*SALUD_Mes_Constante!$DP$1</f>
        <v>0</v>
      </c>
      <c r="DV324" s="8">
        <f>+MINVU_Mes_Corriente!DV324*SALUD_Mes_Constante!$DP$1</f>
        <v>0</v>
      </c>
      <c r="DW324" s="8">
        <f>+MINVU_Mes_Corriente!DW324*SALUD_Mes_Constante!$DP$1</f>
        <v>0</v>
      </c>
      <c r="DX324" s="8">
        <f>+MINVU_Mes_Corriente!DX324*SALUD_Mes_Constante!$DP$1</f>
        <v>0</v>
      </c>
      <c r="DY324" s="8">
        <f>+MINVU_Mes_Corriente!DY324*SALUD_Mes_Constante!$DP$1</f>
        <v>0</v>
      </c>
      <c r="DZ324" s="8">
        <f>+MINVU_Mes_Corriente!DZ324*SALUD_Mes_Constante!$DP$1</f>
        <v>0</v>
      </c>
      <c r="EA324" s="8">
        <f>+MINVU_Mes_Corriente!EA324*SALUD_Mes_Constante!$DP$1</f>
        <v>0</v>
      </c>
      <c r="EB324" s="9">
        <f t="shared" si="161"/>
        <v>0</v>
      </c>
      <c r="EC324" s="8">
        <f>+MINVU_Mes_Corriente!EC324*SALUD_Mes_Constante!$EC$1</f>
        <v>0</v>
      </c>
      <c r="ED324" s="8">
        <f>+MINVU_Mes_Corriente!ED324*SALUD_Mes_Constante!$EC$1</f>
        <v>0</v>
      </c>
      <c r="EE324" s="8">
        <f>+MINVU_Mes_Corriente!EE324*SALUD_Mes_Constante!$EC$1</f>
        <v>0</v>
      </c>
      <c r="EF324" s="8">
        <f>+MINVU_Mes_Corriente!EF324*SALUD_Mes_Constante!$EC$1</f>
        <v>0</v>
      </c>
      <c r="EG324" s="8">
        <f>+MINVU_Mes_Corriente!EG324*SALUD_Mes_Constante!$EC$1</f>
        <v>0</v>
      </c>
      <c r="EH324" s="8">
        <f>+MINVU_Mes_Corriente!EH324*SALUD_Mes_Constante!$EC$1</f>
        <v>0</v>
      </c>
      <c r="EI324" s="8">
        <f>+MINVU_Mes_Corriente!EI324*SALUD_Mes_Constante!$EC$1</f>
        <v>0</v>
      </c>
      <c r="EJ324" s="8">
        <f>+MINVU_Mes_Corriente!EJ324*SALUD_Mes_Constante!$EC$1</f>
        <v>0</v>
      </c>
      <c r="EK324" s="8">
        <f>+MINVU_Mes_Corriente!EK324*SALUD_Mes_Constante!$EC$1</f>
        <v>0</v>
      </c>
      <c r="EL324" s="8">
        <f>+MINVU_Mes_Corriente!EL324*SALUD_Mes_Constante!$EC$1</f>
        <v>0</v>
      </c>
      <c r="EM324" s="8">
        <f>+MINVU_Mes_Corriente!EM324*SALUD_Mes_Constante!$EC$1</f>
        <v>0</v>
      </c>
      <c r="EN324" s="8">
        <f>+MINVU_Mes_Corriente!EN324*SALUD_Mes_Constante!$EC$1</f>
        <v>0</v>
      </c>
      <c r="EO324" s="9">
        <f t="shared" si="162"/>
        <v>0</v>
      </c>
      <c r="EP324" s="8">
        <f>+MINVU_Mes_Corriente!EP324*SALUD_Mes_Constante!$EP$1</f>
        <v>0</v>
      </c>
      <c r="EQ324" s="8">
        <f>+MINVU_Mes_Corriente!EQ324*SALUD_Mes_Constante!$EP$1</f>
        <v>0</v>
      </c>
      <c r="ER324" s="8">
        <f>+MINVU_Mes_Corriente!ER324*SALUD_Mes_Constante!$EP$1</f>
        <v>0</v>
      </c>
      <c r="ES324" s="8">
        <f>+MINVU_Mes_Corriente!ES324*SALUD_Mes_Constante!$EP$1</f>
        <v>0</v>
      </c>
      <c r="ET324" s="8">
        <f>+MINVU_Mes_Corriente!ET324*SALUD_Mes_Constante!$EP$1</f>
        <v>0</v>
      </c>
      <c r="EU324" s="8">
        <f>+MINVU_Mes_Corriente!EU324*SALUD_Mes_Constante!$EP$1</f>
        <v>0</v>
      </c>
      <c r="EV324" s="8">
        <f>+MINVU_Mes_Corriente!EV324*SALUD_Mes_Constante!$EP$1</f>
        <v>0</v>
      </c>
      <c r="EW324" s="8">
        <f>+MINVU_Mes_Corriente!EW324*SALUD_Mes_Constante!$EP$1</f>
        <v>0</v>
      </c>
      <c r="EX324" s="8">
        <f>+MINVU_Mes_Corriente!EX324*SALUD_Mes_Constante!$EP$1</f>
        <v>0</v>
      </c>
      <c r="EY324" s="8">
        <f>+MINVU_Mes_Corriente!EY324*SALUD_Mes_Constante!$EP$1</f>
        <v>0</v>
      </c>
      <c r="EZ324" s="8">
        <f>+MINVU_Mes_Corriente!EZ324*SALUD_Mes_Constante!$EP$1</f>
        <v>0</v>
      </c>
      <c r="FA324" s="8">
        <f>+MINVU_Mes_Corriente!FA324*SALUD_Mes_Constante!$EP$1</f>
        <v>0</v>
      </c>
      <c r="FB324" s="9">
        <f t="shared" si="163"/>
        <v>0</v>
      </c>
      <c r="FC324" s="8">
        <f>+MINVU_Mes_Corriente!FC324*SALUD_Mes_Constante!$FC$1</f>
        <v>0</v>
      </c>
      <c r="FD324" s="8">
        <f>+MINVU_Mes_Corriente!FD324*SALUD_Mes_Constante!$FC$1</f>
        <v>0</v>
      </c>
      <c r="FE324" s="8">
        <f>+MINVU_Mes_Corriente!FE324*SALUD_Mes_Constante!$FC$1</f>
        <v>0</v>
      </c>
      <c r="FF324" s="8">
        <f>+MINVU_Mes_Corriente!FF324*SALUD_Mes_Constante!$FC$1</f>
        <v>0</v>
      </c>
      <c r="FG324" s="8">
        <f>+MINVU_Mes_Corriente!FG324*SALUD_Mes_Constante!$FC$1</f>
        <v>0</v>
      </c>
      <c r="FH324" s="8">
        <f>+MINVU_Mes_Corriente!FH324*SALUD_Mes_Constante!$FC$1</f>
        <v>0</v>
      </c>
      <c r="FI324" s="8">
        <f>+MINVU_Mes_Corriente!FI324*SALUD_Mes_Constante!$FC$1</f>
        <v>0</v>
      </c>
      <c r="FJ324" s="8"/>
      <c r="FK324" s="8"/>
      <c r="FL324" s="8"/>
      <c r="FM324" s="8"/>
      <c r="FN324" s="8"/>
      <c r="FO324" s="9">
        <f t="shared" si="164"/>
        <v>0</v>
      </c>
    </row>
    <row r="325" spans="2:171" ht="14.25" customHeight="1" x14ac:dyDescent="0.3">
      <c r="B325" s="7" t="s">
        <v>66</v>
      </c>
      <c r="C325" s="8">
        <f>+MINVU_Mes_Corriente!C325*SALUD_Mes_Constante!$C$1</f>
        <v>0</v>
      </c>
      <c r="D325" s="8">
        <f>+MINVU_Mes_Corriente!D325*SALUD_Mes_Constante!$C$1</f>
        <v>0</v>
      </c>
      <c r="E325" s="8">
        <f>+MINVU_Mes_Corriente!E325*SALUD_Mes_Constante!$C$1</f>
        <v>0</v>
      </c>
      <c r="F325" s="8">
        <f>+MINVU_Mes_Corriente!F325*SALUD_Mes_Constante!$C$1</f>
        <v>0</v>
      </c>
      <c r="G325" s="8">
        <f>+MINVU_Mes_Corriente!G325*SALUD_Mes_Constante!$C$1</f>
        <v>0</v>
      </c>
      <c r="H325" s="8">
        <f>+MINVU_Mes_Corriente!H325*SALUD_Mes_Constante!$C$1</f>
        <v>0</v>
      </c>
      <c r="I325" s="8">
        <f>+MINVU_Mes_Corriente!I325*SALUD_Mes_Constante!$C$1</f>
        <v>0</v>
      </c>
      <c r="J325" s="8">
        <f>+MINVU_Mes_Corriente!J325*SALUD_Mes_Constante!$C$1</f>
        <v>0</v>
      </c>
      <c r="K325" s="8">
        <f>+MINVU_Mes_Corriente!K325*SALUD_Mes_Constante!$C$1</f>
        <v>0</v>
      </c>
      <c r="L325" s="8">
        <f>+MINVU_Mes_Corriente!L325*SALUD_Mes_Constante!$C$1</f>
        <v>0</v>
      </c>
      <c r="M325" s="8">
        <f>+MINVU_Mes_Corriente!M325*SALUD_Mes_Constante!$C$1</f>
        <v>0</v>
      </c>
      <c r="N325" s="8">
        <f>+MINVU_Mes_Corriente!N325*SALUD_Mes_Constante!$C$1</f>
        <v>0</v>
      </c>
      <c r="O325" s="9">
        <f t="shared" si="152"/>
        <v>0</v>
      </c>
      <c r="P325" s="8">
        <f>+MINVU_Mes_Corriente!P325*SALUD_Mes_Constante!$P$1</f>
        <v>0</v>
      </c>
      <c r="Q325" s="8">
        <f>+MINVU_Mes_Corriente!Q325*SALUD_Mes_Constante!$P$1</f>
        <v>0</v>
      </c>
      <c r="R325" s="8">
        <f>+MINVU_Mes_Corriente!R325*SALUD_Mes_Constante!$P$1</f>
        <v>0</v>
      </c>
      <c r="S325" s="8">
        <f>+MINVU_Mes_Corriente!S325*SALUD_Mes_Constante!$P$1</f>
        <v>0</v>
      </c>
      <c r="T325" s="8">
        <f>+MINVU_Mes_Corriente!T325*SALUD_Mes_Constante!$P$1</f>
        <v>0</v>
      </c>
      <c r="U325" s="8">
        <f>+MINVU_Mes_Corriente!U325*SALUD_Mes_Constante!$P$1</f>
        <v>0</v>
      </c>
      <c r="V325" s="8">
        <f>+MINVU_Mes_Corriente!V325*SALUD_Mes_Constante!$P$1</f>
        <v>0</v>
      </c>
      <c r="W325" s="8">
        <f>+MINVU_Mes_Corriente!W325*SALUD_Mes_Constante!$P$1</f>
        <v>0</v>
      </c>
      <c r="X325" s="8">
        <f>+MINVU_Mes_Corriente!X325*SALUD_Mes_Constante!$P$1</f>
        <v>0</v>
      </c>
      <c r="Y325" s="8">
        <f>+MINVU_Mes_Corriente!Y325*SALUD_Mes_Constante!$P$1</f>
        <v>0</v>
      </c>
      <c r="Z325" s="8">
        <f>+MINVU_Mes_Corriente!Z325*SALUD_Mes_Constante!$P$1</f>
        <v>0</v>
      </c>
      <c r="AA325" s="8">
        <f>+MINVU_Mes_Corriente!AA325*SALUD_Mes_Constante!$P$1</f>
        <v>0</v>
      </c>
      <c r="AB325" s="9">
        <f t="shared" si="153"/>
        <v>0</v>
      </c>
      <c r="AC325" s="8">
        <f>+MINVU_Mes_Corriente!AC325*SALUD_Mes_Constante!$AC$1</f>
        <v>0</v>
      </c>
      <c r="AD325" s="8">
        <f>+MINVU_Mes_Corriente!AD325*SALUD_Mes_Constante!$AC$1</f>
        <v>0</v>
      </c>
      <c r="AE325" s="8">
        <f>+MINVU_Mes_Corriente!AE325*SALUD_Mes_Constante!$AC$1</f>
        <v>0</v>
      </c>
      <c r="AF325" s="8">
        <f>+MINVU_Mes_Corriente!AF325*SALUD_Mes_Constante!$AC$1</f>
        <v>0</v>
      </c>
      <c r="AG325" s="8">
        <f>+MINVU_Mes_Corriente!AG325*SALUD_Mes_Constante!$AC$1</f>
        <v>0</v>
      </c>
      <c r="AH325" s="8">
        <f>+MINVU_Mes_Corriente!AH325*SALUD_Mes_Constante!$AC$1</f>
        <v>0</v>
      </c>
      <c r="AI325" s="8">
        <f>+MINVU_Mes_Corriente!AI325*SALUD_Mes_Constante!$AC$1</f>
        <v>0</v>
      </c>
      <c r="AJ325" s="8">
        <f>+MINVU_Mes_Corriente!AJ325*SALUD_Mes_Constante!$AC$1</f>
        <v>0</v>
      </c>
      <c r="AK325" s="8">
        <f>+MINVU_Mes_Corriente!AK325*SALUD_Mes_Constante!$AC$1</f>
        <v>0</v>
      </c>
      <c r="AL325" s="8">
        <f>+MINVU_Mes_Corriente!AL325*SALUD_Mes_Constante!$AC$1</f>
        <v>0</v>
      </c>
      <c r="AM325" s="8">
        <f>+MINVU_Mes_Corriente!AM325*SALUD_Mes_Constante!$AC$1</f>
        <v>0</v>
      </c>
      <c r="AN325" s="8">
        <f>+MINVU_Mes_Corriente!AN325*SALUD_Mes_Constante!$AC$1</f>
        <v>0</v>
      </c>
      <c r="AO325" s="9">
        <f t="shared" si="154"/>
        <v>0</v>
      </c>
      <c r="AP325" s="8">
        <f>+MINVU_Mes_Corriente!AP325*SALUD_Mes_Constante!$AP$1</f>
        <v>0</v>
      </c>
      <c r="AQ325" s="8">
        <f>+MINVU_Mes_Corriente!AQ325*SALUD_Mes_Constante!$AP$1</f>
        <v>0</v>
      </c>
      <c r="AR325" s="8">
        <f>+MINVU_Mes_Corriente!AR325*SALUD_Mes_Constante!$AP$1</f>
        <v>0</v>
      </c>
      <c r="AS325" s="8">
        <f>+MINVU_Mes_Corriente!AS325*SALUD_Mes_Constante!$AP$1</f>
        <v>0</v>
      </c>
      <c r="AT325" s="8">
        <f>+MINVU_Mes_Corriente!AT325*SALUD_Mes_Constante!$AP$1</f>
        <v>0</v>
      </c>
      <c r="AU325" s="8">
        <f>+MINVU_Mes_Corriente!AU325*SALUD_Mes_Constante!$AP$1</f>
        <v>0</v>
      </c>
      <c r="AV325" s="8">
        <f>+MINVU_Mes_Corriente!AV325*SALUD_Mes_Constante!$AP$1</f>
        <v>0</v>
      </c>
      <c r="AW325" s="8">
        <f>+MINVU_Mes_Corriente!AW325*SALUD_Mes_Constante!$AP$1</f>
        <v>0</v>
      </c>
      <c r="AX325" s="8">
        <f>+MINVU_Mes_Corriente!AX325*SALUD_Mes_Constante!$AP$1</f>
        <v>0</v>
      </c>
      <c r="AY325" s="8">
        <f>+MINVU_Mes_Corriente!AY325*SALUD_Mes_Constante!$AP$1</f>
        <v>0</v>
      </c>
      <c r="AZ325" s="8">
        <f>+MINVU_Mes_Corriente!AZ325*SALUD_Mes_Constante!$AP$1</f>
        <v>0</v>
      </c>
      <c r="BA325" s="8">
        <f>+MINVU_Mes_Corriente!BA325*SALUD_Mes_Constante!$AP$1</f>
        <v>0</v>
      </c>
      <c r="BB325" s="9">
        <f t="shared" si="155"/>
        <v>0</v>
      </c>
      <c r="BC325" s="8">
        <f>+MINVU_Mes_Corriente!BC325*SALUD_Mes_Constante!$BC$1</f>
        <v>0</v>
      </c>
      <c r="BD325" s="8">
        <f>+MINVU_Mes_Corriente!BD325*SALUD_Mes_Constante!$BC$1</f>
        <v>0</v>
      </c>
      <c r="BE325" s="8">
        <f>+MINVU_Mes_Corriente!BE325*SALUD_Mes_Constante!$BC$1</f>
        <v>0</v>
      </c>
      <c r="BF325" s="8">
        <f>+MINVU_Mes_Corriente!BF325*SALUD_Mes_Constante!$BC$1</f>
        <v>0</v>
      </c>
      <c r="BG325" s="8">
        <f>+MINVU_Mes_Corriente!BG325*SALUD_Mes_Constante!$BC$1</f>
        <v>0</v>
      </c>
      <c r="BH325" s="8">
        <f>+MINVU_Mes_Corriente!BH325*SALUD_Mes_Constante!$BC$1</f>
        <v>0</v>
      </c>
      <c r="BI325" s="8">
        <f>+MINVU_Mes_Corriente!BI325*SALUD_Mes_Constante!$BC$1</f>
        <v>0</v>
      </c>
      <c r="BJ325" s="8">
        <f>+MINVU_Mes_Corriente!BJ325*SALUD_Mes_Constante!$BC$1</f>
        <v>0</v>
      </c>
      <c r="BK325" s="8">
        <f>+MINVU_Mes_Corriente!BK325*SALUD_Mes_Constante!$BC$1</f>
        <v>0</v>
      </c>
      <c r="BL325" s="8">
        <f>+MINVU_Mes_Corriente!BL325*SALUD_Mes_Constante!$BC$1</f>
        <v>0</v>
      </c>
      <c r="BM325" s="8">
        <f>+MINVU_Mes_Corriente!BM325*SALUD_Mes_Constante!$BC$1</f>
        <v>0</v>
      </c>
      <c r="BN325" s="8">
        <f>+MINVU_Mes_Corriente!BN325*SALUD_Mes_Constante!$BC$1</f>
        <v>0</v>
      </c>
      <c r="BO325" s="9">
        <f t="shared" si="156"/>
        <v>0</v>
      </c>
      <c r="BP325" s="8">
        <f>+MINVU_Mes_Corriente!BP325*SALUD_Mes_Constante!$BP$1</f>
        <v>0</v>
      </c>
      <c r="BQ325" s="8">
        <f>+MINVU_Mes_Corriente!BQ325*SALUD_Mes_Constante!$BP$1</f>
        <v>0</v>
      </c>
      <c r="BR325" s="8">
        <f>+MINVU_Mes_Corriente!BR325*SALUD_Mes_Constante!$BP$1</f>
        <v>0</v>
      </c>
      <c r="BS325" s="8">
        <f>+MINVU_Mes_Corriente!BS325*SALUD_Mes_Constante!$BP$1</f>
        <v>0</v>
      </c>
      <c r="BT325" s="8">
        <f>+MINVU_Mes_Corriente!BT325*SALUD_Mes_Constante!$BP$1</f>
        <v>0</v>
      </c>
      <c r="BU325" s="8">
        <f>+MINVU_Mes_Corriente!BU325*SALUD_Mes_Constante!$BP$1</f>
        <v>0</v>
      </c>
      <c r="BV325" s="8">
        <f>+MINVU_Mes_Corriente!BV325*SALUD_Mes_Constante!$BP$1</f>
        <v>0</v>
      </c>
      <c r="BW325" s="8">
        <f>+MINVU_Mes_Corriente!BW325*SALUD_Mes_Constante!$BP$1</f>
        <v>0</v>
      </c>
      <c r="BX325" s="8">
        <f>+MINVU_Mes_Corriente!BX325*SALUD_Mes_Constante!$BP$1</f>
        <v>0</v>
      </c>
      <c r="BY325" s="8">
        <f>+MINVU_Mes_Corriente!BY325*SALUD_Mes_Constante!$BP$1</f>
        <v>0</v>
      </c>
      <c r="BZ325" s="8">
        <f>+MINVU_Mes_Corriente!BZ325*SALUD_Mes_Constante!$BP$1</f>
        <v>0</v>
      </c>
      <c r="CA325" s="8">
        <f>+MINVU_Mes_Corriente!CA325*SALUD_Mes_Constante!$BP$1</f>
        <v>0</v>
      </c>
      <c r="CB325" s="9">
        <f t="shared" si="157"/>
        <v>0</v>
      </c>
      <c r="CC325" s="8">
        <f>+MINVU_Mes_Corriente!CC325*SALUD_Mes_Constante!$CC$1</f>
        <v>0</v>
      </c>
      <c r="CD325" s="8">
        <f>+MINVU_Mes_Corriente!CD325*SALUD_Mes_Constante!$CC$1</f>
        <v>0</v>
      </c>
      <c r="CE325" s="8">
        <f>+MINVU_Mes_Corriente!CE325*SALUD_Mes_Constante!$CC$1</f>
        <v>0</v>
      </c>
      <c r="CF325" s="8">
        <f>+MINVU_Mes_Corriente!CF325*SALUD_Mes_Constante!$CC$1</f>
        <v>0</v>
      </c>
      <c r="CG325" s="8">
        <f>+MINVU_Mes_Corriente!CG325*SALUD_Mes_Constante!$CC$1</f>
        <v>0</v>
      </c>
      <c r="CH325" s="8">
        <f>+MINVU_Mes_Corriente!CH325*SALUD_Mes_Constante!$CC$1</f>
        <v>0</v>
      </c>
      <c r="CI325" s="8">
        <f>+MINVU_Mes_Corriente!CI325*SALUD_Mes_Constante!$CC$1</f>
        <v>0</v>
      </c>
      <c r="CJ325" s="8">
        <f>+MINVU_Mes_Corriente!CJ325*SALUD_Mes_Constante!$CC$1</f>
        <v>0</v>
      </c>
      <c r="CK325" s="8">
        <f>+MINVU_Mes_Corriente!CK325*SALUD_Mes_Constante!$CC$1</f>
        <v>0</v>
      </c>
      <c r="CL325" s="8">
        <f>+MINVU_Mes_Corriente!CL325*SALUD_Mes_Constante!$CC$1</f>
        <v>0</v>
      </c>
      <c r="CM325" s="8">
        <f>+MINVU_Mes_Corriente!CM325*SALUD_Mes_Constante!$CC$1</f>
        <v>0</v>
      </c>
      <c r="CN325" s="8">
        <f>+MINVU_Mes_Corriente!CN325*SALUD_Mes_Constante!$CC$1</f>
        <v>0</v>
      </c>
      <c r="CO325" s="9">
        <f t="shared" si="158"/>
        <v>0</v>
      </c>
      <c r="CP325" s="8">
        <f>+MINVU_Mes_Corriente!CP325*SALUD_Mes_Constante!$CP$1</f>
        <v>0</v>
      </c>
      <c r="CQ325" s="8">
        <f>+MINVU_Mes_Corriente!CQ325*SALUD_Mes_Constante!$CP$1</f>
        <v>0</v>
      </c>
      <c r="CR325" s="8">
        <f>+MINVU_Mes_Corriente!CR325*SALUD_Mes_Constante!$CP$1</f>
        <v>0</v>
      </c>
      <c r="CS325" s="8">
        <f>+MINVU_Mes_Corriente!CS325*SALUD_Mes_Constante!$CP$1</f>
        <v>0</v>
      </c>
      <c r="CT325" s="8">
        <f>+MINVU_Mes_Corriente!CT325*SALUD_Mes_Constante!$CP$1</f>
        <v>0</v>
      </c>
      <c r="CU325" s="8">
        <f>+MINVU_Mes_Corriente!CU325*SALUD_Mes_Constante!$CP$1</f>
        <v>0</v>
      </c>
      <c r="CV325" s="8">
        <f>+MINVU_Mes_Corriente!CV325*SALUD_Mes_Constante!$CP$1</f>
        <v>0</v>
      </c>
      <c r="CW325" s="8">
        <f>+MINVU_Mes_Corriente!CW325*SALUD_Mes_Constante!$CP$1</f>
        <v>0</v>
      </c>
      <c r="CX325" s="8">
        <f>+MINVU_Mes_Corriente!CX325*SALUD_Mes_Constante!$CP$1</f>
        <v>0</v>
      </c>
      <c r="CY325" s="8">
        <f>+MINVU_Mes_Corriente!CY325*SALUD_Mes_Constante!$CP$1</f>
        <v>0</v>
      </c>
      <c r="CZ325" s="8">
        <f>+MINVU_Mes_Corriente!CZ325*SALUD_Mes_Constante!$CP$1</f>
        <v>0</v>
      </c>
      <c r="DA325" s="8">
        <f>+MINVU_Mes_Corriente!DA325*SALUD_Mes_Constante!$CP$1</f>
        <v>0</v>
      </c>
      <c r="DB325" s="9">
        <f t="shared" si="159"/>
        <v>0</v>
      </c>
      <c r="DC325" s="8">
        <f>+MINVU_Mes_Corriente!DC325*SALUD_Mes_Constante!$DC$1</f>
        <v>0</v>
      </c>
      <c r="DD325" s="8">
        <f>+MINVU_Mes_Corriente!DD325*SALUD_Mes_Constante!$DC$1</f>
        <v>0</v>
      </c>
      <c r="DE325" s="8">
        <f>+MINVU_Mes_Corriente!DE325*SALUD_Mes_Constante!$DC$1</f>
        <v>0</v>
      </c>
      <c r="DF325" s="8">
        <f>+MINVU_Mes_Corriente!DF325*SALUD_Mes_Constante!$DC$1</f>
        <v>0</v>
      </c>
      <c r="DG325" s="8">
        <f>+MINVU_Mes_Corriente!DG325*SALUD_Mes_Constante!$DC$1</f>
        <v>0</v>
      </c>
      <c r="DH325" s="8">
        <f>+MINVU_Mes_Corriente!DH325*SALUD_Mes_Constante!$DC$1</f>
        <v>0</v>
      </c>
      <c r="DI325" s="8">
        <f>+MINVU_Mes_Corriente!DI325*SALUD_Mes_Constante!$DC$1</f>
        <v>0</v>
      </c>
      <c r="DJ325" s="8">
        <f>+MINVU_Mes_Corriente!DJ325*SALUD_Mes_Constante!$DC$1</f>
        <v>0</v>
      </c>
      <c r="DK325" s="8">
        <f>+MINVU_Mes_Corriente!DK325*SALUD_Mes_Constante!$DC$1</f>
        <v>0</v>
      </c>
      <c r="DL325" s="8">
        <f>+MINVU_Mes_Corriente!DL325*SALUD_Mes_Constante!$DC$1</f>
        <v>0</v>
      </c>
      <c r="DM325" s="8">
        <f>+MINVU_Mes_Corriente!DM325*SALUD_Mes_Constante!$DC$1</f>
        <v>0</v>
      </c>
      <c r="DN325" s="8">
        <f>+MINVU_Mes_Corriente!DN325*SALUD_Mes_Constante!$DC$1</f>
        <v>0</v>
      </c>
      <c r="DO325" s="9">
        <f t="shared" si="160"/>
        <v>0</v>
      </c>
      <c r="DP325" s="8">
        <f>+MINVU_Mes_Corriente!DP325*SALUD_Mes_Constante!$DP$1</f>
        <v>0</v>
      </c>
      <c r="DQ325" s="8">
        <f>+MINVU_Mes_Corriente!DQ325*SALUD_Mes_Constante!$DP$1</f>
        <v>0</v>
      </c>
      <c r="DR325" s="8">
        <f>+MINVU_Mes_Corriente!DR325*SALUD_Mes_Constante!$DP$1</f>
        <v>0</v>
      </c>
      <c r="DS325" s="8">
        <f>+MINVU_Mes_Corriente!DS325*SALUD_Mes_Constante!$DP$1</f>
        <v>0</v>
      </c>
      <c r="DT325" s="8">
        <f>+MINVU_Mes_Corriente!DT325*SALUD_Mes_Constante!$DP$1</f>
        <v>0</v>
      </c>
      <c r="DU325" s="8">
        <f>+MINVU_Mes_Corriente!DU325*SALUD_Mes_Constante!$DP$1</f>
        <v>0</v>
      </c>
      <c r="DV325" s="8">
        <f>+MINVU_Mes_Corriente!DV325*SALUD_Mes_Constante!$DP$1</f>
        <v>0</v>
      </c>
      <c r="DW325" s="8">
        <f>+MINVU_Mes_Corriente!DW325*SALUD_Mes_Constante!$DP$1</f>
        <v>0</v>
      </c>
      <c r="DX325" s="8">
        <f>+MINVU_Mes_Corriente!DX325*SALUD_Mes_Constante!$DP$1</f>
        <v>0</v>
      </c>
      <c r="DY325" s="8">
        <f>+MINVU_Mes_Corriente!DY325*SALUD_Mes_Constante!$DP$1</f>
        <v>0</v>
      </c>
      <c r="DZ325" s="8">
        <f>+MINVU_Mes_Corriente!DZ325*SALUD_Mes_Constante!$DP$1</f>
        <v>0</v>
      </c>
      <c r="EA325" s="8">
        <f>+MINVU_Mes_Corriente!EA325*SALUD_Mes_Constante!$DP$1</f>
        <v>0</v>
      </c>
      <c r="EB325" s="9">
        <f t="shared" si="161"/>
        <v>0</v>
      </c>
      <c r="EC325" s="8">
        <f>+MINVU_Mes_Corriente!EC325*SALUD_Mes_Constante!$EC$1</f>
        <v>0</v>
      </c>
      <c r="ED325" s="8">
        <f>+MINVU_Mes_Corriente!ED325*SALUD_Mes_Constante!$EC$1</f>
        <v>0</v>
      </c>
      <c r="EE325" s="8">
        <f>+MINVU_Mes_Corriente!EE325*SALUD_Mes_Constante!$EC$1</f>
        <v>0</v>
      </c>
      <c r="EF325" s="8">
        <f>+MINVU_Mes_Corriente!EF325*SALUD_Mes_Constante!$EC$1</f>
        <v>0</v>
      </c>
      <c r="EG325" s="8">
        <f>+MINVU_Mes_Corriente!EG325*SALUD_Mes_Constante!$EC$1</f>
        <v>0</v>
      </c>
      <c r="EH325" s="8">
        <f>+MINVU_Mes_Corriente!EH325*SALUD_Mes_Constante!$EC$1</f>
        <v>0</v>
      </c>
      <c r="EI325" s="8">
        <f>+MINVU_Mes_Corriente!EI325*SALUD_Mes_Constante!$EC$1</f>
        <v>0</v>
      </c>
      <c r="EJ325" s="8">
        <f>+MINVU_Mes_Corriente!EJ325*SALUD_Mes_Constante!$EC$1</f>
        <v>0</v>
      </c>
      <c r="EK325" s="8">
        <f>+MINVU_Mes_Corriente!EK325*SALUD_Mes_Constante!$EC$1</f>
        <v>0</v>
      </c>
      <c r="EL325" s="8">
        <f>+MINVU_Mes_Corriente!EL325*SALUD_Mes_Constante!$EC$1</f>
        <v>0</v>
      </c>
      <c r="EM325" s="8">
        <f>+MINVU_Mes_Corriente!EM325*SALUD_Mes_Constante!$EC$1</f>
        <v>0</v>
      </c>
      <c r="EN325" s="8">
        <f>+MINVU_Mes_Corriente!EN325*SALUD_Mes_Constante!$EC$1</f>
        <v>0</v>
      </c>
      <c r="EO325" s="9">
        <f t="shared" si="162"/>
        <v>0</v>
      </c>
      <c r="EP325" s="8">
        <f>+MINVU_Mes_Corriente!EP325*SALUD_Mes_Constante!$EP$1</f>
        <v>0</v>
      </c>
      <c r="EQ325" s="8">
        <f>+MINVU_Mes_Corriente!EQ325*SALUD_Mes_Constante!$EP$1</f>
        <v>0</v>
      </c>
      <c r="ER325" s="8">
        <f>+MINVU_Mes_Corriente!ER325*SALUD_Mes_Constante!$EP$1</f>
        <v>0</v>
      </c>
      <c r="ES325" s="8">
        <f>+MINVU_Mes_Corriente!ES325*SALUD_Mes_Constante!$EP$1</f>
        <v>0</v>
      </c>
      <c r="ET325" s="8">
        <f>+MINVU_Mes_Corriente!ET325*SALUD_Mes_Constante!$EP$1</f>
        <v>0</v>
      </c>
      <c r="EU325" s="8">
        <f>+MINVU_Mes_Corriente!EU325*SALUD_Mes_Constante!$EP$1</f>
        <v>0</v>
      </c>
      <c r="EV325" s="8">
        <f>+MINVU_Mes_Corriente!EV325*SALUD_Mes_Constante!$EP$1</f>
        <v>0</v>
      </c>
      <c r="EW325" s="8">
        <f>+MINVU_Mes_Corriente!EW325*SALUD_Mes_Constante!$EP$1</f>
        <v>0</v>
      </c>
      <c r="EX325" s="8">
        <f>+MINVU_Mes_Corriente!EX325*SALUD_Mes_Constante!$EP$1</f>
        <v>0</v>
      </c>
      <c r="EY325" s="8">
        <f>+MINVU_Mes_Corriente!EY325*SALUD_Mes_Constante!$EP$1</f>
        <v>0</v>
      </c>
      <c r="EZ325" s="8">
        <f>+MINVU_Mes_Corriente!EZ325*SALUD_Mes_Constante!$EP$1</f>
        <v>0</v>
      </c>
      <c r="FA325" s="8">
        <f>+MINVU_Mes_Corriente!FA325*SALUD_Mes_Constante!$EP$1</f>
        <v>0</v>
      </c>
      <c r="FB325" s="9">
        <f t="shared" si="163"/>
        <v>0</v>
      </c>
      <c r="FC325" s="8">
        <f>+MINVU_Mes_Corriente!FC325*SALUD_Mes_Constante!$FC$1</f>
        <v>0</v>
      </c>
      <c r="FD325" s="8">
        <f>+MINVU_Mes_Corriente!FD325*SALUD_Mes_Constante!$FC$1</f>
        <v>0</v>
      </c>
      <c r="FE325" s="8">
        <f>+MINVU_Mes_Corriente!FE325*SALUD_Mes_Constante!$FC$1</f>
        <v>0</v>
      </c>
      <c r="FF325" s="8">
        <f>+MINVU_Mes_Corriente!FF325*SALUD_Mes_Constante!$FC$1</f>
        <v>0</v>
      </c>
      <c r="FG325" s="8">
        <f>+MINVU_Mes_Corriente!FG325*SALUD_Mes_Constante!$FC$1</f>
        <v>0</v>
      </c>
      <c r="FH325" s="8">
        <f>+MINVU_Mes_Corriente!FH325*SALUD_Mes_Constante!$FC$1</f>
        <v>0</v>
      </c>
      <c r="FI325" s="8">
        <f>+MINVU_Mes_Corriente!FI325*SALUD_Mes_Constante!$FC$1</f>
        <v>0</v>
      </c>
      <c r="FJ325" s="8"/>
      <c r="FK325" s="8"/>
      <c r="FL325" s="8"/>
      <c r="FM325" s="8"/>
      <c r="FN325" s="8"/>
      <c r="FO325" s="9">
        <f t="shared" si="164"/>
        <v>0</v>
      </c>
    </row>
    <row r="326" spans="2:171" ht="14.25" customHeight="1" x14ac:dyDescent="0.3">
      <c r="B326" s="7" t="s">
        <v>67</v>
      </c>
      <c r="C326" s="8">
        <f>+MINVU_Mes_Corriente!C326*SALUD_Mes_Constante!$C$1</f>
        <v>0</v>
      </c>
      <c r="D326" s="8">
        <f>+MINVU_Mes_Corriente!D326*SALUD_Mes_Constante!$C$1</f>
        <v>0</v>
      </c>
      <c r="E326" s="8">
        <f>+MINVU_Mes_Corriente!E326*SALUD_Mes_Constante!$C$1</f>
        <v>0</v>
      </c>
      <c r="F326" s="8">
        <f>+MINVU_Mes_Corriente!F326*SALUD_Mes_Constante!$C$1</f>
        <v>0</v>
      </c>
      <c r="G326" s="8">
        <f>+MINVU_Mes_Corriente!G326*SALUD_Mes_Constante!$C$1</f>
        <v>0</v>
      </c>
      <c r="H326" s="8">
        <f>+MINVU_Mes_Corriente!H326*SALUD_Mes_Constante!$C$1</f>
        <v>0</v>
      </c>
      <c r="I326" s="8">
        <f>+MINVU_Mes_Corriente!I326*SALUD_Mes_Constante!$C$1</f>
        <v>0</v>
      </c>
      <c r="J326" s="8">
        <f>+MINVU_Mes_Corriente!J326*SALUD_Mes_Constante!$C$1</f>
        <v>0</v>
      </c>
      <c r="K326" s="8">
        <f>+MINVU_Mes_Corriente!K326*SALUD_Mes_Constante!$C$1</f>
        <v>0</v>
      </c>
      <c r="L326" s="8">
        <f>+MINVU_Mes_Corriente!L326*SALUD_Mes_Constante!$C$1</f>
        <v>0</v>
      </c>
      <c r="M326" s="8">
        <f>+MINVU_Mes_Corriente!M326*SALUD_Mes_Constante!$C$1</f>
        <v>0</v>
      </c>
      <c r="N326" s="8">
        <f>+MINVU_Mes_Corriente!N326*SALUD_Mes_Constante!$C$1</f>
        <v>0</v>
      </c>
      <c r="O326" s="9">
        <f t="shared" si="152"/>
        <v>0</v>
      </c>
      <c r="P326" s="8">
        <f>+MINVU_Mes_Corriente!P326*SALUD_Mes_Constante!$P$1</f>
        <v>0</v>
      </c>
      <c r="Q326" s="8">
        <f>+MINVU_Mes_Corriente!Q326*SALUD_Mes_Constante!$P$1</f>
        <v>0</v>
      </c>
      <c r="R326" s="8">
        <f>+MINVU_Mes_Corriente!R326*SALUD_Mes_Constante!$P$1</f>
        <v>0</v>
      </c>
      <c r="S326" s="8">
        <f>+MINVU_Mes_Corriente!S326*SALUD_Mes_Constante!$P$1</f>
        <v>0</v>
      </c>
      <c r="T326" s="8">
        <f>+MINVU_Mes_Corriente!T326*SALUD_Mes_Constante!$P$1</f>
        <v>0</v>
      </c>
      <c r="U326" s="8">
        <f>+MINVU_Mes_Corriente!U326*SALUD_Mes_Constante!$P$1</f>
        <v>0</v>
      </c>
      <c r="V326" s="8">
        <f>+MINVU_Mes_Corriente!V326*SALUD_Mes_Constante!$P$1</f>
        <v>0</v>
      </c>
      <c r="W326" s="8">
        <f>+MINVU_Mes_Corriente!W326*SALUD_Mes_Constante!$P$1</f>
        <v>0</v>
      </c>
      <c r="X326" s="8">
        <f>+MINVU_Mes_Corriente!X326*SALUD_Mes_Constante!$P$1</f>
        <v>0</v>
      </c>
      <c r="Y326" s="8">
        <f>+MINVU_Mes_Corriente!Y326*SALUD_Mes_Constante!$P$1</f>
        <v>0</v>
      </c>
      <c r="Z326" s="8">
        <f>+MINVU_Mes_Corriente!Z326*SALUD_Mes_Constante!$P$1</f>
        <v>0</v>
      </c>
      <c r="AA326" s="8">
        <f>+MINVU_Mes_Corriente!AA326*SALUD_Mes_Constante!$P$1</f>
        <v>0</v>
      </c>
      <c r="AB326" s="9">
        <f t="shared" si="153"/>
        <v>0</v>
      </c>
      <c r="AC326" s="8">
        <f>+MINVU_Mes_Corriente!AC326*SALUD_Mes_Constante!$AC$1</f>
        <v>0</v>
      </c>
      <c r="AD326" s="8">
        <f>+MINVU_Mes_Corriente!AD326*SALUD_Mes_Constante!$AC$1</f>
        <v>0</v>
      </c>
      <c r="AE326" s="8">
        <f>+MINVU_Mes_Corriente!AE326*SALUD_Mes_Constante!$AC$1</f>
        <v>0</v>
      </c>
      <c r="AF326" s="8">
        <f>+MINVU_Mes_Corriente!AF326*SALUD_Mes_Constante!$AC$1</f>
        <v>0</v>
      </c>
      <c r="AG326" s="8">
        <f>+MINVU_Mes_Corriente!AG326*SALUD_Mes_Constante!$AC$1</f>
        <v>0</v>
      </c>
      <c r="AH326" s="8">
        <f>+MINVU_Mes_Corriente!AH326*SALUD_Mes_Constante!$AC$1</f>
        <v>0</v>
      </c>
      <c r="AI326" s="8">
        <f>+MINVU_Mes_Corriente!AI326*SALUD_Mes_Constante!$AC$1</f>
        <v>0</v>
      </c>
      <c r="AJ326" s="8">
        <f>+MINVU_Mes_Corriente!AJ326*SALUD_Mes_Constante!$AC$1</f>
        <v>0</v>
      </c>
      <c r="AK326" s="8">
        <f>+MINVU_Mes_Corriente!AK326*SALUD_Mes_Constante!$AC$1</f>
        <v>0</v>
      </c>
      <c r="AL326" s="8">
        <f>+MINVU_Mes_Corriente!AL326*SALUD_Mes_Constante!$AC$1</f>
        <v>0</v>
      </c>
      <c r="AM326" s="8">
        <f>+MINVU_Mes_Corriente!AM326*SALUD_Mes_Constante!$AC$1</f>
        <v>0</v>
      </c>
      <c r="AN326" s="8">
        <f>+MINVU_Mes_Corriente!AN326*SALUD_Mes_Constante!$AC$1</f>
        <v>0</v>
      </c>
      <c r="AO326" s="9">
        <f t="shared" si="154"/>
        <v>0</v>
      </c>
      <c r="AP326" s="8">
        <f>+MINVU_Mes_Corriente!AP326*SALUD_Mes_Constante!$AP$1</f>
        <v>0</v>
      </c>
      <c r="AQ326" s="8">
        <f>+MINVU_Mes_Corriente!AQ326*SALUD_Mes_Constante!$AP$1</f>
        <v>0</v>
      </c>
      <c r="AR326" s="8">
        <f>+MINVU_Mes_Corriente!AR326*SALUD_Mes_Constante!$AP$1</f>
        <v>0</v>
      </c>
      <c r="AS326" s="8">
        <f>+MINVU_Mes_Corriente!AS326*SALUD_Mes_Constante!$AP$1</f>
        <v>0</v>
      </c>
      <c r="AT326" s="8">
        <f>+MINVU_Mes_Corriente!AT326*SALUD_Mes_Constante!$AP$1</f>
        <v>0</v>
      </c>
      <c r="AU326" s="8">
        <f>+MINVU_Mes_Corriente!AU326*SALUD_Mes_Constante!$AP$1</f>
        <v>0</v>
      </c>
      <c r="AV326" s="8">
        <f>+MINVU_Mes_Corriente!AV326*SALUD_Mes_Constante!$AP$1</f>
        <v>0</v>
      </c>
      <c r="AW326" s="8">
        <f>+MINVU_Mes_Corriente!AW326*SALUD_Mes_Constante!$AP$1</f>
        <v>0</v>
      </c>
      <c r="AX326" s="8">
        <f>+MINVU_Mes_Corriente!AX326*SALUD_Mes_Constante!$AP$1</f>
        <v>0</v>
      </c>
      <c r="AY326" s="8">
        <f>+MINVU_Mes_Corriente!AY326*SALUD_Mes_Constante!$AP$1</f>
        <v>0</v>
      </c>
      <c r="AZ326" s="8">
        <f>+MINVU_Mes_Corriente!AZ326*SALUD_Mes_Constante!$AP$1</f>
        <v>0</v>
      </c>
      <c r="BA326" s="8">
        <f>+MINVU_Mes_Corriente!BA326*SALUD_Mes_Constante!$AP$1</f>
        <v>0</v>
      </c>
      <c r="BB326" s="9">
        <f t="shared" si="155"/>
        <v>0</v>
      </c>
      <c r="BC326" s="8">
        <f>+MINVU_Mes_Corriente!BC326*SALUD_Mes_Constante!$BC$1</f>
        <v>0</v>
      </c>
      <c r="BD326" s="8">
        <f>+MINVU_Mes_Corriente!BD326*SALUD_Mes_Constante!$BC$1</f>
        <v>0</v>
      </c>
      <c r="BE326" s="8">
        <f>+MINVU_Mes_Corriente!BE326*SALUD_Mes_Constante!$BC$1</f>
        <v>0</v>
      </c>
      <c r="BF326" s="8">
        <f>+MINVU_Mes_Corriente!BF326*SALUD_Mes_Constante!$BC$1</f>
        <v>0</v>
      </c>
      <c r="BG326" s="8">
        <f>+MINVU_Mes_Corriente!BG326*SALUD_Mes_Constante!$BC$1</f>
        <v>0</v>
      </c>
      <c r="BH326" s="8">
        <f>+MINVU_Mes_Corriente!BH326*SALUD_Mes_Constante!$BC$1</f>
        <v>0</v>
      </c>
      <c r="BI326" s="8">
        <f>+MINVU_Mes_Corriente!BI326*SALUD_Mes_Constante!$BC$1</f>
        <v>0</v>
      </c>
      <c r="BJ326" s="8">
        <f>+MINVU_Mes_Corriente!BJ326*SALUD_Mes_Constante!$BC$1</f>
        <v>0</v>
      </c>
      <c r="BK326" s="8">
        <f>+MINVU_Mes_Corriente!BK326*SALUD_Mes_Constante!$BC$1</f>
        <v>0</v>
      </c>
      <c r="BL326" s="8">
        <f>+MINVU_Mes_Corriente!BL326*SALUD_Mes_Constante!$BC$1</f>
        <v>0</v>
      </c>
      <c r="BM326" s="8">
        <f>+MINVU_Mes_Corriente!BM326*SALUD_Mes_Constante!$BC$1</f>
        <v>0</v>
      </c>
      <c r="BN326" s="8">
        <f>+MINVU_Mes_Corriente!BN326*SALUD_Mes_Constante!$BC$1</f>
        <v>0</v>
      </c>
      <c r="BO326" s="9">
        <f t="shared" si="156"/>
        <v>0</v>
      </c>
      <c r="BP326" s="8">
        <f>+MINVU_Mes_Corriente!BP326*SALUD_Mes_Constante!$BP$1</f>
        <v>0</v>
      </c>
      <c r="BQ326" s="8">
        <f>+MINVU_Mes_Corriente!BQ326*SALUD_Mes_Constante!$BP$1</f>
        <v>0</v>
      </c>
      <c r="BR326" s="8">
        <f>+MINVU_Mes_Corriente!BR326*SALUD_Mes_Constante!$BP$1</f>
        <v>0</v>
      </c>
      <c r="BS326" s="8">
        <f>+MINVU_Mes_Corriente!BS326*SALUD_Mes_Constante!$BP$1</f>
        <v>0</v>
      </c>
      <c r="BT326" s="8">
        <f>+MINVU_Mes_Corriente!BT326*SALUD_Mes_Constante!$BP$1</f>
        <v>0</v>
      </c>
      <c r="BU326" s="8">
        <f>+MINVU_Mes_Corriente!BU326*SALUD_Mes_Constante!$BP$1</f>
        <v>0</v>
      </c>
      <c r="BV326" s="8">
        <f>+MINVU_Mes_Corriente!BV326*SALUD_Mes_Constante!$BP$1</f>
        <v>0</v>
      </c>
      <c r="BW326" s="8">
        <f>+MINVU_Mes_Corriente!BW326*SALUD_Mes_Constante!$BP$1</f>
        <v>0</v>
      </c>
      <c r="BX326" s="8">
        <f>+MINVU_Mes_Corriente!BX326*SALUD_Mes_Constante!$BP$1</f>
        <v>0</v>
      </c>
      <c r="BY326" s="8">
        <f>+MINVU_Mes_Corriente!BY326*SALUD_Mes_Constante!$BP$1</f>
        <v>0</v>
      </c>
      <c r="BZ326" s="8">
        <f>+MINVU_Mes_Corriente!BZ326*SALUD_Mes_Constante!$BP$1</f>
        <v>0</v>
      </c>
      <c r="CA326" s="8">
        <f>+MINVU_Mes_Corriente!CA326*SALUD_Mes_Constante!$BP$1</f>
        <v>0</v>
      </c>
      <c r="CB326" s="9">
        <f t="shared" si="157"/>
        <v>0</v>
      </c>
      <c r="CC326" s="8">
        <f>+MINVU_Mes_Corriente!CC326*SALUD_Mes_Constante!$CC$1</f>
        <v>0</v>
      </c>
      <c r="CD326" s="8">
        <f>+MINVU_Mes_Corriente!CD326*SALUD_Mes_Constante!$CC$1</f>
        <v>0</v>
      </c>
      <c r="CE326" s="8">
        <f>+MINVU_Mes_Corriente!CE326*SALUD_Mes_Constante!$CC$1</f>
        <v>0</v>
      </c>
      <c r="CF326" s="8">
        <f>+MINVU_Mes_Corriente!CF326*SALUD_Mes_Constante!$CC$1</f>
        <v>0</v>
      </c>
      <c r="CG326" s="8">
        <f>+MINVU_Mes_Corriente!CG326*SALUD_Mes_Constante!$CC$1</f>
        <v>0</v>
      </c>
      <c r="CH326" s="8">
        <f>+MINVU_Mes_Corriente!CH326*SALUD_Mes_Constante!$CC$1</f>
        <v>0</v>
      </c>
      <c r="CI326" s="8">
        <f>+MINVU_Mes_Corriente!CI326*SALUD_Mes_Constante!$CC$1</f>
        <v>0</v>
      </c>
      <c r="CJ326" s="8">
        <f>+MINVU_Mes_Corriente!CJ326*SALUD_Mes_Constante!$CC$1</f>
        <v>0</v>
      </c>
      <c r="CK326" s="8">
        <f>+MINVU_Mes_Corriente!CK326*SALUD_Mes_Constante!$CC$1</f>
        <v>0</v>
      </c>
      <c r="CL326" s="8">
        <f>+MINVU_Mes_Corriente!CL326*SALUD_Mes_Constante!$CC$1</f>
        <v>0</v>
      </c>
      <c r="CM326" s="8">
        <f>+MINVU_Mes_Corriente!CM326*SALUD_Mes_Constante!$CC$1</f>
        <v>0</v>
      </c>
      <c r="CN326" s="8">
        <f>+MINVU_Mes_Corriente!CN326*SALUD_Mes_Constante!$CC$1</f>
        <v>0</v>
      </c>
      <c r="CO326" s="9">
        <f t="shared" si="158"/>
        <v>0</v>
      </c>
      <c r="CP326" s="8">
        <f>+MINVU_Mes_Corriente!CP326*SALUD_Mes_Constante!$CP$1</f>
        <v>0</v>
      </c>
      <c r="CQ326" s="8">
        <f>+MINVU_Mes_Corriente!CQ326*SALUD_Mes_Constante!$CP$1</f>
        <v>0</v>
      </c>
      <c r="CR326" s="8">
        <f>+MINVU_Mes_Corriente!CR326*SALUD_Mes_Constante!$CP$1</f>
        <v>0</v>
      </c>
      <c r="CS326" s="8">
        <f>+MINVU_Mes_Corriente!CS326*SALUD_Mes_Constante!$CP$1</f>
        <v>0</v>
      </c>
      <c r="CT326" s="8">
        <f>+MINVU_Mes_Corriente!CT326*SALUD_Mes_Constante!$CP$1</f>
        <v>0</v>
      </c>
      <c r="CU326" s="8">
        <f>+MINVU_Mes_Corriente!CU326*SALUD_Mes_Constante!$CP$1</f>
        <v>0</v>
      </c>
      <c r="CV326" s="8">
        <f>+MINVU_Mes_Corriente!CV326*SALUD_Mes_Constante!$CP$1</f>
        <v>0</v>
      </c>
      <c r="CW326" s="8">
        <f>+MINVU_Mes_Corriente!CW326*SALUD_Mes_Constante!$CP$1</f>
        <v>0</v>
      </c>
      <c r="CX326" s="8">
        <f>+MINVU_Mes_Corriente!CX326*SALUD_Mes_Constante!$CP$1</f>
        <v>0</v>
      </c>
      <c r="CY326" s="8">
        <f>+MINVU_Mes_Corriente!CY326*SALUD_Mes_Constante!$CP$1</f>
        <v>0</v>
      </c>
      <c r="CZ326" s="8">
        <f>+MINVU_Mes_Corriente!CZ326*SALUD_Mes_Constante!$CP$1</f>
        <v>0</v>
      </c>
      <c r="DA326" s="8">
        <f>+MINVU_Mes_Corriente!DA326*SALUD_Mes_Constante!$CP$1</f>
        <v>0</v>
      </c>
      <c r="DB326" s="9">
        <f t="shared" si="159"/>
        <v>0</v>
      </c>
      <c r="DC326" s="8">
        <f>+MINVU_Mes_Corriente!DC326*SALUD_Mes_Constante!$DC$1</f>
        <v>0</v>
      </c>
      <c r="DD326" s="8">
        <f>+MINVU_Mes_Corriente!DD326*SALUD_Mes_Constante!$DC$1</f>
        <v>0</v>
      </c>
      <c r="DE326" s="8">
        <f>+MINVU_Mes_Corriente!DE326*SALUD_Mes_Constante!$DC$1</f>
        <v>0</v>
      </c>
      <c r="DF326" s="8">
        <f>+MINVU_Mes_Corriente!DF326*SALUD_Mes_Constante!$DC$1</f>
        <v>0</v>
      </c>
      <c r="DG326" s="8">
        <f>+MINVU_Mes_Corriente!DG326*SALUD_Mes_Constante!$DC$1</f>
        <v>0</v>
      </c>
      <c r="DH326" s="8">
        <f>+MINVU_Mes_Corriente!DH326*SALUD_Mes_Constante!$DC$1</f>
        <v>0</v>
      </c>
      <c r="DI326" s="8">
        <f>+MINVU_Mes_Corriente!DI326*SALUD_Mes_Constante!$DC$1</f>
        <v>0</v>
      </c>
      <c r="DJ326" s="8">
        <f>+MINVU_Mes_Corriente!DJ326*SALUD_Mes_Constante!$DC$1</f>
        <v>0</v>
      </c>
      <c r="DK326" s="8">
        <f>+MINVU_Mes_Corriente!DK326*SALUD_Mes_Constante!$DC$1</f>
        <v>0</v>
      </c>
      <c r="DL326" s="8">
        <f>+MINVU_Mes_Corriente!DL326*SALUD_Mes_Constante!$DC$1</f>
        <v>0</v>
      </c>
      <c r="DM326" s="8">
        <f>+MINVU_Mes_Corriente!DM326*SALUD_Mes_Constante!$DC$1</f>
        <v>0</v>
      </c>
      <c r="DN326" s="8">
        <f>+MINVU_Mes_Corriente!DN326*SALUD_Mes_Constante!$DC$1</f>
        <v>0</v>
      </c>
      <c r="DO326" s="9">
        <f t="shared" si="160"/>
        <v>0</v>
      </c>
      <c r="DP326" s="8">
        <f>+MINVU_Mes_Corriente!DP326*SALUD_Mes_Constante!$DP$1</f>
        <v>0</v>
      </c>
      <c r="DQ326" s="8">
        <f>+MINVU_Mes_Corriente!DQ326*SALUD_Mes_Constante!$DP$1</f>
        <v>0</v>
      </c>
      <c r="DR326" s="8">
        <f>+MINVU_Mes_Corriente!DR326*SALUD_Mes_Constante!$DP$1</f>
        <v>0</v>
      </c>
      <c r="DS326" s="8">
        <f>+MINVU_Mes_Corriente!DS326*SALUD_Mes_Constante!$DP$1</f>
        <v>0</v>
      </c>
      <c r="DT326" s="8">
        <f>+MINVU_Mes_Corriente!DT326*SALUD_Mes_Constante!$DP$1</f>
        <v>0</v>
      </c>
      <c r="DU326" s="8">
        <f>+MINVU_Mes_Corriente!DU326*SALUD_Mes_Constante!$DP$1</f>
        <v>0</v>
      </c>
      <c r="DV326" s="8">
        <f>+MINVU_Mes_Corriente!DV326*SALUD_Mes_Constante!$DP$1</f>
        <v>0</v>
      </c>
      <c r="DW326" s="8">
        <f>+MINVU_Mes_Corriente!DW326*SALUD_Mes_Constante!$DP$1</f>
        <v>0</v>
      </c>
      <c r="DX326" s="8">
        <f>+MINVU_Mes_Corriente!DX326*SALUD_Mes_Constante!$DP$1</f>
        <v>0</v>
      </c>
      <c r="DY326" s="8">
        <f>+MINVU_Mes_Corriente!DY326*SALUD_Mes_Constante!$DP$1</f>
        <v>0</v>
      </c>
      <c r="DZ326" s="8">
        <f>+MINVU_Mes_Corriente!DZ326*SALUD_Mes_Constante!$DP$1</f>
        <v>0</v>
      </c>
      <c r="EA326" s="8">
        <f>+MINVU_Mes_Corriente!EA326*SALUD_Mes_Constante!$DP$1</f>
        <v>0</v>
      </c>
      <c r="EB326" s="9">
        <f t="shared" si="161"/>
        <v>0</v>
      </c>
      <c r="EC326" s="8">
        <f>+MINVU_Mes_Corriente!EC326*SALUD_Mes_Constante!$EC$1</f>
        <v>0</v>
      </c>
      <c r="ED326" s="8">
        <f>+MINVU_Mes_Corriente!ED326*SALUD_Mes_Constante!$EC$1</f>
        <v>0</v>
      </c>
      <c r="EE326" s="8">
        <f>+MINVU_Mes_Corriente!EE326*SALUD_Mes_Constante!$EC$1</f>
        <v>0</v>
      </c>
      <c r="EF326" s="8">
        <f>+MINVU_Mes_Corriente!EF326*SALUD_Mes_Constante!$EC$1</f>
        <v>0</v>
      </c>
      <c r="EG326" s="8">
        <f>+MINVU_Mes_Corriente!EG326*SALUD_Mes_Constante!$EC$1</f>
        <v>0</v>
      </c>
      <c r="EH326" s="8">
        <f>+MINVU_Mes_Corriente!EH326*SALUD_Mes_Constante!$EC$1</f>
        <v>0</v>
      </c>
      <c r="EI326" s="8">
        <f>+MINVU_Mes_Corriente!EI326*SALUD_Mes_Constante!$EC$1</f>
        <v>0</v>
      </c>
      <c r="EJ326" s="8">
        <f>+MINVU_Mes_Corriente!EJ326*SALUD_Mes_Constante!$EC$1</f>
        <v>0</v>
      </c>
      <c r="EK326" s="8">
        <f>+MINVU_Mes_Corriente!EK326*SALUD_Mes_Constante!$EC$1</f>
        <v>0</v>
      </c>
      <c r="EL326" s="8">
        <f>+MINVU_Mes_Corriente!EL326*SALUD_Mes_Constante!$EC$1</f>
        <v>0</v>
      </c>
      <c r="EM326" s="8">
        <f>+MINVU_Mes_Corriente!EM326*SALUD_Mes_Constante!$EC$1</f>
        <v>0</v>
      </c>
      <c r="EN326" s="8">
        <f>+MINVU_Mes_Corriente!EN326*SALUD_Mes_Constante!$EC$1</f>
        <v>0</v>
      </c>
      <c r="EO326" s="9">
        <f t="shared" si="162"/>
        <v>0</v>
      </c>
      <c r="EP326" s="8">
        <f>+MINVU_Mes_Corriente!EP326*SALUD_Mes_Constante!$EP$1</f>
        <v>0</v>
      </c>
      <c r="EQ326" s="8">
        <f>+MINVU_Mes_Corriente!EQ326*SALUD_Mes_Constante!$EP$1</f>
        <v>0</v>
      </c>
      <c r="ER326" s="8">
        <f>+MINVU_Mes_Corriente!ER326*SALUD_Mes_Constante!$EP$1</f>
        <v>0</v>
      </c>
      <c r="ES326" s="8">
        <f>+MINVU_Mes_Corriente!ES326*SALUD_Mes_Constante!$EP$1</f>
        <v>0</v>
      </c>
      <c r="ET326" s="8">
        <f>+MINVU_Mes_Corriente!ET326*SALUD_Mes_Constante!$EP$1</f>
        <v>0</v>
      </c>
      <c r="EU326" s="8">
        <f>+MINVU_Mes_Corriente!EU326*SALUD_Mes_Constante!$EP$1</f>
        <v>0</v>
      </c>
      <c r="EV326" s="8">
        <f>+MINVU_Mes_Corriente!EV326*SALUD_Mes_Constante!$EP$1</f>
        <v>0</v>
      </c>
      <c r="EW326" s="8">
        <f>+MINVU_Mes_Corriente!EW326*SALUD_Mes_Constante!$EP$1</f>
        <v>0</v>
      </c>
      <c r="EX326" s="8">
        <f>+MINVU_Mes_Corriente!EX326*SALUD_Mes_Constante!$EP$1</f>
        <v>0</v>
      </c>
      <c r="EY326" s="8">
        <f>+MINVU_Mes_Corriente!EY326*SALUD_Mes_Constante!$EP$1</f>
        <v>0</v>
      </c>
      <c r="EZ326" s="8">
        <f>+MINVU_Mes_Corriente!EZ326*SALUD_Mes_Constante!$EP$1</f>
        <v>0</v>
      </c>
      <c r="FA326" s="8">
        <f>+MINVU_Mes_Corriente!FA326*SALUD_Mes_Constante!$EP$1</f>
        <v>0</v>
      </c>
      <c r="FB326" s="9">
        <f t="shared" si="163"/>
        <v>0</v>
      </c>
      <c r="FC326" s="8">
        <f>+MINVU_Mes_Corriente!FC326*SALUD_Mes_Constante!$FC$1</f>
        <v>0</v>
      </c>
      <c r="FD326" s="8">
        <f>+MINVU_Mes_Corriente!FD326*SALUD_Mes_Constante!$FC$1</f>
        <v>0</v>
      </c>
      <c r="FE326" s="8">
        <f>+MINVU_Mes_Corriente!FE326*SALUD_Mes_Constante!$FC$1</f>
        <v>0</v>
      </c>
      <c r="FF326" s="8">
        <f>+MINVU_Mes_Corriente!FF326*SALUD_Mes_Constante!$FC$1</f>
        <v>0</v>
      </c>
      <c r="FG326" s="8">
        <f>+MINVU_Mes_Corriente!FG326*SALUD_Mes_Constante!$FC$1</f>
        <v>0</v>
      </c>
      <c r="FH326" s="8">
        <f>+MINVU_Mes_Corriente!FH326*SALUD_Mes_Constante!$FC$1</f>
        <v>0</v>
      </c>
      <c r="FI326" s="8">
        <f>+MINVU_Mes_Corriente!FI326*SALUD_Mes_Constante!$FC$1</f>
        <v>0</v>
      </c>
      <c r="FJ326" s="8"/>
      <c r="FK326" s="8"/>
      <c r="FL326" s="8"/>
      <c r="FM326" s="8"/>
      <c r="FN326" s="8"/>
      <c r="FO326" s="9">
        <f t="shared" si="164"/>
        <v>0</v>
      </c>
    </row>
    <row r="327" spans="2:171" ht="14.25" customHeight="1" x14ac:dyDescent="0.3">
      <c r="B327" s="7" t="s">
        <v>68</v>
      </c>
      <c r="C327" s="8">
        <f>+MINVU_Mes_Corriente!C327*SALUD_Mes_Constante!$C$1</f>
        <v>0</v>
      </c>
      <c r="D327" s="8">
        <f>+MINVU_Mes_Corriente!D327*SALUD_Mes_Constante!$C$1</f>
        <v>0</v>
      </c>
      <c r="E327" s="8">
        <f>+MINVU_Mes_Corriente!E327*SALUD_Mes_Constante!$C$1</f>
        <v>0</v>
      </c>
      <c r="F327" s="8">
        <f>+MINVU_Mes_Corriente!F327*SALUD_Mes_Constante!$C$1</f>
        <v>0</v>
      </c>
      <c r="G327" s="8">
        <f>+MINVU_Mes_Corriente!G327*SALUD_Mes_Constante!$C$1</f>
        <v>0</v>
      </c>
      <c r="H327" s="8">
        <f>+MINVU_Mes_Corriente!H327*SALUD_Mes_Constante!$C$1</f>
        <v>0</v>
      </c>
      <c r="I327" s="8">
        <f>+MINVU_Mes_Corriente!I327*SALUD_Mes_Constante!$C$1</f>
        <v>0</v>
      </c>
      <c r="J327" s="8">
        <f>+MINVU_Mes_Corriente!J327*SALUD_Mes_Constante!$C$1</f>
        <v>0</v>
      </c>
      <c r="K327" s="8">
        <f>+MINVU_Mes_Corriente!K327*SALUD_Mes_Constante!$C$1</f>
        <v>0</v>
      </c>
      <c r="L327" s="8">
        <f>+MINVU_Mes_Corriente!L327*SALUD_Mes_Constante!$C$1</f>
        <v>0</v>
      </c>
      <c r="M327" s="8">
        <f>+MINVU_Mes_Corriente!M327*SALUD_Mes_Constante!$C$1</f>
        <v>0</v>
      </c>
      <c r="N327" s="8">
        <f>+MINVU_Mes_Corriente!N327*SALUD_Mes_Constante!$C$1</f>
        <v>0</v>
      </c>
      <c r="O327" s="9">
        <f t="shared" si="152"/>
        <v>0</v>
      </c>
      <c r="P327" s="8">
        <f>+MINVU_Mes_Corriente!P327*SALUD_Mes_Constante!$P$1</f>
        <v>0</v>
      </c>
      <c r="Q327" s="8">
        <f>+MINVU_Mes_Corriente!Q327*SALUD_Mes_Constante!$P$1</f>
        <v>0</v>
      </c>
      <c r="R327" s="8">
        <f>+MINVU_Mes_Corriente!R327*SALUD_Mes_Constante!$P$1</f>
        <v>0</v>
      </c>
      <c r="S327" s="8">
        <f>+MINVU_Mes_Corriente!S327*SALUD_Mes_Constante!$P$1</f>
        <v>0</v>
      </c>
      <c r="T327" s="8">
        <f>+MINVU_Mes_Corriente!T327*SALUD_Mes_Constante!$P$1</f>
        <v>0</v>
      </c>
      <c r="U327" s="8">
        <f>+MINVU_Mes_Corriente!U327*SALUD_Mes_Constante!$P$1</f>
        <v>0</v>
      </c>
      <c r="V327" s="8">
        <f>+MINVU_Mes_Corriente!V327*SALUD_Mes_Constante!$P$1</f>
        <v>0</v>
      </c>
      <c r="W327" s="8">
        <f>+MINVU_Mes_Corriente!W327*SALUD_Mes_Constante!$P$1</f>
        <v>0</v>
      </c>
      <c r="X327" s="8">
        <f>+MINVU_Mes_Corriente!X327*SALUD_Mes_Constante!$P$1</f>
        <v>0</v>
      </c>
      <c r="Y327" s="8">
        <f>+MINVU_Mes_Corriente!Y327*SALUD_Mes_Constante!$P$1</f>
        <v>0</v>
      </c>
      <c r="Z327" s="8">
        <f>+MINVU_Mes_Corriente!Z327*SALUD_Mes_Constante!$P$1</f>
        <v>0</v>
      </c>
      <c r="AA327" s="8">
        <f>+MINVU_Mes_Corriente!AA327*SALUD_Mes_Constante!$P$1</f>
        <v>0</v>
      </c>
      <c r="AB327" s="9">
        <f t="shared" si="153"/>
        <v>0</v>
      </c>
      <c r="AC327" s="8">
        <f>+MINVU_Mes_Corriente!AC327*SALUD_Mes_Constante!$AC$1</f>
        <v>0</v>
      </c>
      <c r="AD327" s="8">
        <f>+MINVU_Mes_Corriente!AD327*SALUD_Mes_Constante!$AC$1</f>
        <v>0</v>
      </c>
      <c r="AE327" s="8">
        <f>+MINVU_Mes_Corriente!AE327*SALUD_Mes_Constante!$AC$1</f>
        <v>0</v>
      </c>
      <c r="AF327" s="8">
        <f>+MINVU_Mes_Corriente!AF327*SALUD_Mes_Constante!$AC$1</f>
        <v>0</v>
      </c>
      <c r="AG327" s="8">
        <f>+MINVU_Mes_Corriente!AG327*SALUD_Mes_Constante!$AC$1</f>
        <v>0</v>
      </c>
      <c r="AH327" s="8">
        <f>+MINVU_Mes_Corriente!AH327*SALUD_Mes_Constante!$AC$1</f>
        <v>0</v>
      </c>
      <c r="AI327" s="8">
        <f>+MINVU_Mes_Corriente!AI327*SALUD_Mes_Constante!$AC$1</f>
        <v>0</v>
      </c>
      <c r="AJ327" s="8">
        <f>+MINVU_Mes_Corriente!AJ327*SALUD_Mes_Constante!$AC$1</f>
        <v>0</v>
      </c>
      <c r="AK327" s="8">
        <f>+MINVU_Mes_Corriente!AK327*SALUD_Mes_Constante!$AC$1</f>
        <v>0</v>
      </c>
      <c r="AL327" s="8">
        <f>+MINVU_Mes_Corriente!AL327*SALUD_Mes_Constante!$AC$1</f>
        <v>0</v>
      </c>
      <c r="AM327" s="8">
        <f>+MINVU_Mes_Corriente!AM327*SALUD_Mes_Constante!$AC$1</f>
        <v>0</v>
      </c>
      <c r="AN327" s="8">
        <f>+MINVU_Mes_Corriente!AN327*SALUD_Mes_Constante!$AC$1</f>
        <v>0</v>
      </c>
      <c r="AO327" s="9">
        <f t="shared" si="154"/>
        <v>0</v>
      </c>
      <c r="AP327" s="8">
        <f>+MINVU_Mes_Corriente!AP327*SALUD_Mes_Constante!$AP$1</f>
        <v>0</v>
      </c>
      <c r="AQ327" s="8">
        <f>+MINVU_Mes_Corriente!AQ327*SALUD_Mes_Constante!$AP$1</f>
        <v>0</v>
      </c>
      <c r="AR327" s="8">
        <f>+MINVU_Mes_Corriente!AR327*SALUD_Mes_Constante!$AP$1</f>
        <v>0</v>
      </c>
      <c r="AS327" s="8">
        <f>+MINVU_Mes_Corriente!AS327*SALUD_Mes_Constante!$AP$1</f>
        <v>0</v>
      </c>
      <c r="AT327" s="8">
        <f>+MINVU_Mes_Corriente!AT327*SALUD_Mes_Constante!$AP$1</f>
        <v>0</v>
      </c>
      <c r="AU327" s="8">
        <f>+MINVU_Mes_Corriente!AU327*SALUD_Mes_Constante!$AP$1</f>
        <v>0</v>
      </c>
      <c r="AV327" s="8">
        <f>+MINVU_Mes_Corriente!AV327*SALUD_Mes_Constante!$AP$1</f>
        <v>0</v>
      </c>
      <c r="AW327" s="8">
        <f>+MINVU_Mes_Corriente!AW327*SALUD_Mes_Constante!$AP$1</f>
        <v>0</v>
      </c>
      <c r="AX327" s="8">
        <f>+MINVU_Mes_Corriente!AX327*SALUD_Mes_Constante!$AP$1</f>
        <v>0</v>
      </c>
      <c r="AY327" s="8">
        <f>+MINVU_Mes_Corriente!AY327*SALUD_Mes_Constante!$AP$1</f>
        <v>0</v>
      </c>
      <c r="AZ327" s="8">
        <f>+MINVU_Mes_Corriente!AZ327*SALUD_Mes_Constante!$AP$1</f>
        <v>0</v>
      </c>
      <c r="BA327" s="8">
        <f>+MINVU_Mes_Corriente!BA327*SALUD_Mes_Constante!$AP$1</f>
        <v>0</v>
      </c>
      <c r="BB327" s="9">
        <f t="shared" si="155"/>
        <v>0</v>
      </c>
      <c r="BC327" s="8">
        <f>+MINVU_Mes_Corriente!BC327*SALUD_Mes_Constante!$BC$1</f>
        <v>0</v>
      </c>
      <c r="BD327" s="8">
        <f>+MINVU_Mes_Corriente!BD327*SALUD_Mes_Constante!$BC$1</f>
        <v>0</v>
      </c>
      <c r="BE327" s="8">
        <f>+MINVU_Mes_Corriente!BE327*SALUD_Mes_Constante!$BC$1</f>
        <v>0</v>
      </c>
      <c r="BF327" s="8">
        <f>+MINVU_Mes_Corriente!BF327*SALUD_Mes_Constante!$BC$1</f>
        <v>0</v>
      </c>
      <c r="BG327" s="8">
        <f>+MINVU_Mes_Corriente!BG327*SALUD_Mes_Constante!$BC$1</f>
        <v>0</v>
      </c>
      <c r="BH327" s="8">
        <f>+MINVU_Mes_Corriente!BH327*SALUD_Mes_Constante!$BC$1</f>
        <v>0</v>
      </c>
      <c r="BI327" s="8">
        <f>+MINVU_Mes_Corriente!BI327*SALUD_Mes_Constante!$BC$1</f>
        <v>0</v>
      </c>
      <c r="BJ327" s="8">
        <f>+MINVU_Mes_Corriente!BJ327*SALUD_Mes_Constante!$BC$1</f>
        <v>0</v>
      </c>
      <c r="BK327" s="8">
        <f>+MINVU_Mes_Corriente!BK327*SALUD_Mes_Constante!$BC$1</f>
        <v>0</v>
      </c>
      <c r="BL327" s="8">
        <f>+MINVU_Mes_Corriente!BL327*SALUD_Mes_Constante!$BC$1</f>
        <v>0</v>
      </c>
      <c r="BM327" s="8">
        <f>+MINVU_Mes_Corriente!BM327*SALUD_Mes_Constante!$BC$1</f>
        <v>0</v>
      </c>
      <c r="BN327" s="8">
        <f>+MINVU_Mes_Corriente!BN327*SALUD_Mes_Constante!$BC$1</f>
        <v>0</v>
      </c>
      <c r="BO327" s="9">
        <f t="shared" si="156"/>
        <v>0</v>
      </c>
      <c r="BP327" s="8">
        <f>+MINVU_Mes_Corriente!BP327*SALUD_Mes_Constante!$BP$1</f>
        <v>0</v>
      </c>
      <c r="BQ327" s="8">
        <f>+MINVU_Mes_Corriente!BQ327*SALUD_Mes_Constante!$BP$1</f>
        <v>0</v>
      </c>
      <c r="BR327" s="8">
        <f>+MINVU_Mes_Corriente!BR327*SALUD_Mes_Constante!$BP$1</f>
        <v>0</v>
      </c>
      <c r="BS327" s="8">
        <f>+MINVU_Mes_Corriente!BS327*SALUD_Mes_Constante!$BP$1</f>
        <v>0</v>
      </c>
      <c r="BT327" s="8">
        <f>+MINVU_Mes_Corriente!BT327*SALUD_Mes_Constante!$BP$1</f>
        <v>0</v>
      </c>
      <c r="BU327" s="8">
        <f>+MINVU_Mes_Corriente!BU327*SALUD_Mes_Constante!$BP$1</f>
        <v>0</v>
      </c>
      <c r="BV327" s="8">
        <f>+MINVU_Mes_Corriente!BV327*SALUD_Mes_Constante!$BP$1</f>
        <v>0</v>
      </c>
      <c r="BW327" s="8">
        <f>+MINVU_Mes_Corriente!BW327*SALUD_Mes_Constante!$BP$1</f>
        <v>0</v>
      </c>
      <c r="BX327" s="8">
        <f>+MINVU_Mes_Corriente!BX327*SALUD_Mes_Constante!$BP$1</f>
        <v>0</v>
      </c>
      <c r="BY327" s="8">
        <f>+MINVU_Mes_Corriente!BY327*SALUD_Mes_Constante!$BP$1</f>
        <v>0</v>
      </c>
      <c r="BZ327" s="8">
        <f>+MINVU_Mes_Corriente!BZ327*SALUD_Mes_Constante!$BP$1</f>
        <v>0</v>
      </c>
      <c r="CA327" s="8">
        <f>+MINVU_Mes_Corriente!CA327*SALUD_Mes_Constante!$BP$1</f>
        <v>0</v>
      </c>
      <c r="CB327" s="9">
        <f t="shared" si="157"/>
        <v>0</v>
      </c>
      <c r="CC327" s="8">
        <f>+MINVU_Mes_Corriente!CC327*SALUD_Mes_Constante!$CC$1</f>
        <v>0</v>
      </c>
      <c r="CD327" s="8">
        <f>+MINVU_Mes_Corriente!CD327*SALUD_Mes_Constante!$CC$1</f>
        <v>0</v>
      </c>
      <c r="CE327" s="8">
        <f>+MINVU_Mes_Corriente!CE327*SALUD_Mes_Constante!$CC$1</f>
        <v>0</v>
      </c>
      <c r="CF327" s="8">
        <f>+MINVU_Mes_Corriente!CF327*SALUD_Mes_Constante!$CC$1</f>
        <v>0</v>
      </c>
      <c r="CG327" s="8">
        <f>+MINVU_Mes_Corriente!CG327*SALUD_Mes_Constante!$CC$1</f>
        <v>0</v>
      </c>
      <c r="CH327" s="8">
        <f>+MINVU_Mes_Corriente!CH327*SALUD_Mes_Constante!$CC$1</f>
        <v>0</v>
      </c>
      <c r="CI327" s="8">
        <f>+MINVU_Mes_Corriente!CI327*SALUD_Mes_Constante!$CC$1</f>
        <v>0</v>
      </c>
      <c r="CJ327" s="8">
        <f>+MINVU_Mes_Corriente!CJ327*SALUD_Mes_Constante!$CC$1</f>
        <v>0</v>
      </c>
      <c r="CK327" s="8">
        <f>+MINVU_Mes_Corriente!CK327*SALUD_Mes_Constante!$CC$1</f>
        <v>0</v>
      </c>
      <c r="CL327" s="8">
        <f>+MINVU_Mes_Corriente!CL327*SALUD_Mes_Constante!$CC$1</f>
        <v>0</v>
      </c>
      <c r="CM327" s="8">
        <f>+MINVU_Mes_Corriente!CM327*SALUD_Mes_Constante!$CC$1</f>
        <v>0</v>
      </c>
      <c r="CN327" s="8">
        <f>+MINVU_Mes_Corriente!CN327*SALUD_Mes_Constante!$CC$1</f>
        <v>0</v>
      </c>
      <c r="CO327" s="9">
        <f t="shared" si="158"/>
        <v>0</v>
      </c>
      <c r="CP327" s="8">
        <f>+MINVU_Mes_Corriente!CP327*SALUD_Mes_Constante!$CP$1</f>
        <v>0</v>
      </c>
      <c r="CQ327" s="8">
        <f>+MINVU_Mes_Corriente!CQ327*SALUD_Mes_Constante!$CP$1</f>
        <v>0</v>
      </c>
      <c r="CR327" s="8">
        <f>+MINVU_Mes_Corriente!CR327*SALUD_Mes_Constante!$CP$1</f>
        <v>0</v>
      </c>
      <c r="CS327" s="8">
        <f>+MINVU_Mes_Corriente!CS327*SALUD_Mes_Constante!$CP$1</f>
        <v>0</v>
      </c>
      <c r="CT327" s="8">
        <f>+MINVU_Mes_Corriente!CT327*SALUD_Mes_Constante!$CP$1</f>
        <v>0</v>
      </c>
      <c r="CU327" s="8">
        <f>+MINVU_Mes_Corriente!CU327*SALUD_Mes_Constante!$CP$1</f>
        <v>0</v>
      </c>
      <c r="CV327" s="8">
        <f>+MINVU_Mes_Corriente!CV327*SALUD_Mes_Constante!$CP$1</f>
        <v>0</v>
      </c>
      <c r="CW327" s="8">
        <f>+MINVU_Mes_Corriente!CW327*SALUD_Mes_Constante!$CP$1</f>
        <v>0</v>
      </c>
      <c r="CX327" s="8">
        <f>+MINVU_Mes_Corriente!CX327*SALUD_Mes_Constante!$CP$1</f>
        <v>0</v>
      </c>
      <c r="CY327" s="8">
        <f>+MINVU_Mes_Corriente!CY327*SALUD_Mes_Constante!$CP$1</f>
        <v>0</v>
      </c>
      <c r="CZ327" s="8">
        <f>+MINVU_Mes_Corriente!CZ327*SALUD_Mes_Constante!$CP$1</f>
        <v>0</v>
      </c>
      <c r="DA327" s="8">
        <f>+MINVU_Mes_Corriente!DA327*SALUD_Mes_Constante!$CP$1</f>
        <v>0</v>
      </c>
      <c r="DB327" s="9">
        <f t="shared" si="159"/>
        <v>0</v>
      </c>
      <c r="DC327" s="8">
        <f>+MINVU_Mes_Corriente!DC327*SALUD_Mes_Constante!$DC$1</f>
        <v>0</v>
      </c>
      <c r="DD327" s="8">
        <f>+MINVU_Mes_Corriente!DD327*SALUD_Mes_Constante!$DC$1</f>
        <v>0</v>
      </c>
      <c r="DE327" s="8">
        <f>+MINVU_Mes_Corriente!DE327*SALUD_Mes_Constante!$DC$1</f>
        <v>0</v>
      </c>
      <c r="DF327" s="8">
        <f>+MINVU_Mes_Corriente!DF327*SALUD_Mes_Constante!$DC$1</f>
        <v>0</v>
      </c>
      <c r="DG327" s="8">
        <f>+MINVU_Mes_Corriente!DG327*SALUD_Mes_Constante!$DC$1</f>
        <v>0</v>
      </c>
      <c r="DH327" s="8">
        <f>+MINVU_Mes_Corriente!DH327*SALUD_Mes_Constante!$DC$1</f>
        <v>0</v>
      </c>
      <c r="DI327" s="8">
        <f>+MINVU_Mes_Corriente!DI327*SALUD_Mes_Constante!$DC$1</f>
        <v>0</v>
      </c>
      <c r="DJ327" s="8">
        <f>+MINVU_Mes_Corriente!DJ327*SALUD_Mes_Constante!$DC$1</f>
        <v>0</v>
      </c>
      <c r="DK327" s="8">
        <f>+MINVU_Mes_Corriente!DK327*SALUD_Mes_Constante!$DC$1</f>
        <v>0</v>
      </c>
      <c r="DL327" s="8">
        <f>+MINVU_Mes_Corriente!DL327*SALUD_Mes_Constante!$DC$1</f>
        <v>0</v>
      </c>
      <c r="DM327" s="8">
        <f>+MINVU_Mes_Corriente!DM327*SALUD_Mes_Constante!$DC$1</f>
        <v>0</v>
      </c>
      <c r="DN327" s="8">
        <f>+MINVU_Mes_Corriente!DN327*SALUD_Mes_Constante!$DC$1</f>
        <v>0</v>
      </c>
      <c r="DO327" s="9">
        <f t="shared" si="160"/>
        <v>0</v>
      </c>
      <c r="DP327" s="8">
        <f>+MINVU_Mes_Corriente!DP327*SALUD_Mes_Constante!$DP$1</f>
        <v>0</v>
      </c>
      <c r="DQ327" s="8">
        <f>+MINVU_Mes_Corriente!DQ327*SALUD_Mes_Constante!$DP$1</f>
        <v>0</v>
      </c>
      <c r="DR327" s="8">
        <f>+MINVU_Mes_Corriente!DR327*SALUD_Mes_Constante!$DP$1</f>
        <v>0</v>
      </c>
      <c r="DS327" s="8">
        <f>+MINVU_Mes_Corriente!DS327*SALUD_Mes_Constante!$DP$1</f>
        <v>0</v>
      </c>
      <c r="DT327" s="8">
        <f>+MINVU_Mes_Corriente!DT327*SALUD_Mes_Constante!$DP$1</f>
        <v>0</v>
      </c>
      <c r="DU327" s="8">
        <f>+MINVU_Mes_Corriente!DU327*SALUD_Mes_Constante!$DP$1</f>
        <v>0</v>
      </c>
      <c r="DV327" s="8">
        <f>+MINVU_Mes_Corriente!DV327*SALUD_Mes_Constante!$DP$1</f>
        <v>0</v>
      </c>
      <c r="DW327" s="8">
        <f>+MINVU_Mes_Corriente!DW327*SALUD_Mes_Constante!$DP$1</f>
        <v>0</v>
      </c>
      <c r="DX327" s="8">
        <f>+MINVU_Mes_Corriente!DX327*SALUD_Mes_Constante!$DP$1</f>
        <v>0</v>
      </c>
      <c r="DY327" s="8">
        <f>+MINVU_Mes_Corriente!DY327*SALUD_Mes_Constante!$DP$1</f>
        <v>0</v>
      </c>
      <c r="DZ327" s="8">
        <f>+MINVU_Mes_Corriente!DZ327*SALUD_Mes_Constante!$DP$1</f>
        <v>0</v>
      </c>
      <c r="EA327" s="8">
        <f>+MINVU_Mes_Corriente!EA327*SALUD_Mes_Constante!$DP$1</f>
        <v>0</v>
      </c>
      <c r="EB327" s="9">
        <f t="shared" si="161"/>
        <v>0</v>
      </c>
      <c r="EC327" s="8">
        <f>+MINVU_Mes_Corriente!EC327*SALUD_Mes_Constante!$EC$1</f>
        <v>0</v>
      </c>
      <c r="ED327" s="8">
        <f>+MINVU_Mes_Corriente!ED327*SALUD_Mes_Constante!$EC$1</f>
        <v>0</v>
      </c>
      <c r="EE327" s="8">
        <f>+MINVU_Mes_Corriente!EE327*SALUD_Mes_Constante!$EC$1</f>
        <v>0</v>
      </c>
      <c r="EF327" s="8">
        <f>+MINVU_Mes_Corriente!EF327*SALUD_Mes_Constante!$EC$1</f>
        <v>0</v>
      </c>
      <c r="EG327" s="8">
        <f>+MINVU_Mes_Corriente!EG327*SALUD_Mes_Constante!$EC$1</f>
        <v>0</v>
      </c>
      <c r="EH327" s="8">
        <f>+MINVU_Mes_Corriente!EH327*SALUD_Mes_Constante!$EC$1</f>
        <v>0</v>
      </c>
      <c r="EI327" s="8">
        <f>+MINVU_Mes_Corriente!EI327*SALUD_Mes_Constante!$EC$1</f>
        <v>0</v>
      </c>
      <c r="EJ327" s="8">
        <f>+MINVU_Mes_Corriente!EJ327*SALUD_Mes_Constante!$EC$1</f>
        <v>0</v>
      </c>
      <c r="EK327" s="8">
        <f>+MINVU_Mes_Corriente!EK327*SALUD_Mes_Constante!$EC$1</f>
        <v>0</v>
      </c>
      <c r="EL327" s="8">
        <f>+MINVU_Mes_Corriente!EL327*SALUD_Mes_Constante!$EC$1</f>
        <v>0</v>
      </c>
      <c r="EM327" s="8">
        <f>+MINVU_Mes_Corriente!EM327*SALUD_Mes_Constante!$EC$1</f>
        <v>0</v>
      </c>
      <c r="EN327" s="8">
        <f>+MINVU_Mes_Corriente!EN327*SALUD_Mes_Constante!$EC$1</f>
        <v>0</v>
      </c>
      <c r="EO327" s="9">
        <f t="shared" si="162"/>
        <v>0</v>
      </c>
      <c r="EP327" s="8">
        <f>+MINVU_Mes_Corriente!EP327*SALUD_Mes_Constante!$EP$1</f>
        <v>0</v>
      </c>
      <c r="EQ327" s="8">
        <f>+MINVU_Mes_Corriente!EQ327*SALUD_Mes_Constante!$EP$1</f>
        <v>0</v>
      </c>
      <c r="ER327" s="8">
        <f>+MINVU_Mes_Corriente!ER327*SALUD_Mes_Constante!$EP$1</f>
        <v>0</v>
      </c>
      <c r="ES327" s="8">
        <f>+MINVU_Mes_Corriente!ES327*SALUD_Mes_Constante!$EP$1</f>
        <v>0</v>
      </c>
      <c r="ET327" s="8">
        <f>+MINVU_Mes_Corriente!ET327*SALUD_Mes_Constante!$EP$1</f>
        <v>0</v>
      </c>
      <c r="EU327" s="8">
        <f>+MINVU_Mes_Corriente!EU327*SALUD_Mes_Constante!$EP$1</f>
        <v>0</v>
      </c>
      <c r="EV327" s="8">
        <f>+MINVU_Mes_Corriente!EV327*SALUD_Mes_Constante!$EP$1</f>
        <v>0</v>
      </c>
      <c r="EW327" s="8">
        <f>+MINVU_Mes_Corriente!EW327*SALUD_Mes_Constante!$EP$1</f>
        <v>0</v>
      </c>
      <c r="EX327" s="8">
        <f>+MINVU_Mes_Corriente!EX327*SALUD_Mes_Constante!$EP$1</f>
        <v>0</v>
      </c>
      <c r="EY327" s="8">
        <f>+MINVU_Mes_Corriente!EY327*SALUD_Mes_Constante!$EP$1</f>
        <v>0</v>
      </c>
      <c r="EZ327" s="8">
        <f>+MINVU_Mes_Corriente!EZ327*SALUD_Mes_Constante!$EP$1</f>
        <v>0</v>
      </c>
      <c r="FA327" s="8">
        <f>+MINVU_Mes_Corriente!FA327*SALUD_Mes_Constante!$EP$1</f>
        <v>0</v>
      </c>
      <c r="FB327" s="9">
        <f t="shared" si="163"/>
        <v>0</v>
      </c>
      <c r="FC327" s="8">
        <f>+MINVU_Mes_Corriente!FC327*SALUD_Mes_Constante!$FC$1</f>
        <v>0</v>
      </c>
      <c r="FD327" s="8">
        <f>+MINVU_Mes_Corriente!FD327*SALUD_Mes_Constante!$FC$1</f>
        <v>0</v>
      </c>
      <c r="FE327" s="8">
        <f>+MINVU_Mes_Corriente!FE327*SALUD_Mes_Constante!$FC$1</f>
        <v>0</v>
      </c>
      <c r="FF327" s="8">
        <f>+MINVU_Mes_Corriente!FF327*SALUD_Mes_Constante!$FC$1</f>
        <v>0</v>
      </c>
      <c r="FG327" s="8">
        <f>+MINVU_Mes_Corriente!FG327*SALUD_Mes_Constante!$FC$1</f>
        <v>0</v>
      </c>
      <c r="FH327" s="8">
        <f>+MINVU_Mes_Corriente!FH327*SALUD_Mes_Constante!$FC$1</f>
        <v>0</v>
      </c>
      <c r="FI327" s="8">
        <f>+MINVU_Mes_Corriente!FI327*SALUD_Mes_Constante!$FC$1</f>
        <v>0</v>
      </c>
      <c r="FJ327" s="8"/>
      <c r="FK327" s="8"/>
      <c r="FL327" s="8"/>
      <c r="FM327" s="8"/>
      <c r="FN327" s="8"/>
      <c r="FO327" s="9">
        <f t="shared" si="164"/>
        <v>0</v>
      </c>
    </row>
    <row r="328" spans="2:171" ht="14.25" customHeight="1" x14ac:dyDescent="0.3">
      <c r="B328" s="7" t="s">
        <v>69</v>
      </c>
      <c r="C328" s="8">
        <f>+MINVU_Mes_Corriente!C328*SALUD_Mes_Constante!$C$1</f>
        <v>0</v>
      </c>
      <c r="D328" s="8">
        <f>+MINVU_Mes_Corriente!D328*SALUD_Mes_Constante!$C$1</f>
        <v>0</v>
      </c>
      <c r="E328" s="8">
        <f>+MINVU_Mes_Corriente!E328*SALUD_Mes_Constante!$C$1</f>
        <v>0</v>
      </c>
      <c r="F328" s="8">
        <f>+MINVU_Mes_Corriente!F328*SALUD_Mes_Constante!$C$1</f>
        <v>0</v>
      </c>
      <c r="G328" s="8">
        <f>+MINVU_Mes_Corriente!G328*SALUD_Mes_Constante!$C$1</f>
        <v>0</v>
      </c>
      <c r="H328" s="8">
        <f>+MINVU_Mes_Corriente!H328*SALUD_Mes_Constante!$C$1</f>
        <v>0</v>
      </c>
      <c r="I328" s="8">
        <f>+MINVU_Mes_Corriente!I328*SALUD_Mes_Constante!$C$1</f>
        <v>0</v>
      </c>
      <c r="J328" s="8">
        <f>+MINVU_Mes_Corriente!J328*SALUD_Mes_Constante!$C$1</f>
        <v>0</v>
      </c>
      <c r="K328" s="8">
        <f>+MINVU_Mes_Corriente!K328*SALUD_Mes_Constante!$C$1</f>
        <v>0</v>
      </c>
      <c r="L328" s="8">
        <f>+MINVU_Mes_Corriente!L328*SALUD_Mes_Constante!$C$1</f>
        <v>0</v>
      </c>
      <c r="M328" s="8">
        <f>+MINVU_Mes_Corriente!M328*SALUD_Mes_Constante!$C$1</f>
        <v>0</v>
      </c>
      <c r="N328" s="8">
        <f>+MINVU_Mes_Corriente!N328*SALUD_Mes_Constante!$C$1</f>
        <v>0</v>
      </c>
      <c r="O328" s="9">
        <f t="shared" si="152"/>
        <v>0</v>
      </c>
      <c r="P328" s="8">
        <f>+MINVU_Mes_Corriente!P328*SALUD_Mes_Constante!$P$1</f>
        <v>0</v>
      </c>
      <c r="Q328" s="8">
        <f>+MINVU_Mes_Corriente!Q328*SALUD_Mes_Constante!$P$1</f>
        <v>0</v>
      </c>
      <c r="R328" s="8">
        <f>+MINVU_Mes_Corriente!R328*SALUD_Mes_Constante!$P$1</f>
        <v>0</v>
      </c>
      <c r="S328" s="8">
        <f>+MINVU_Mes_Corriente!S328*SALUD_Mes_Constante!$P$1</f>
        <v>0</v>
      </c>
      <c r="T328" s="8">
        <f>+MINVU_Mes_Corriente!T328*SALUD_Mes_Constante!$P$1</f>
        <v>0</v>
      </c>
      <c r="U328" s="8">
        <f>+MINVU_Mes_Corriente!U328*SALUD_Mes_Constante!$P$1</f>
        <v>0</v>
      </c>
      <c r="V328" s="8">
        <f>+MINVU_Mes_Corriente!V328*SALUD_Mes_Constante!$P$1</f>
        <v>0</v>
      </c>
      <c r="W328" s="8">
        <f>+MINVU_Mes_Corriente!W328*SALUD_Mes_Constante!$P$1</f>
        <v>0</v>
      </c>
      <c r="X328" s="8">
        <f>+MINVU_Mes_Corriente!X328*SALUD_Mes_Constante!$P$1</f>
        <v>0</v>
      </c>
      <c r="Y328" s="8">
        <f>+MINVU_Mes_Corriente!Y328*SALUD_Mes_Constante!$P$1</f>
        <v>0</v>
      </c>
      <c r="Z328" s="8">
        <f>+MINVU_Mes_Corriente!Z328*SALUD_Mes_Constante!$P$1</f>
        <v>0</v>
      </c>
      <c r="AA328" s="8">
        <f>+MINVU_Mes_Corriente!AA328*SALUD_Mes_Constante!$P$1</f>
        <v>0</v>
      </c>
      <c r="AB328" s="9">
        <f t="shared" si="153"/>
        <v>0</v>
      </c>
      <c r="AC328" s="8">
        <f>+MINVU_Mes_Corriente!AC328*SALUD_Mes_Constante!$AC$1</f>
        <v>0</v>
      </c>
      <c r="AD328" s="8">
        <f>+MINVU_Mes_Corriente!AD328*SALUD_Mes_Constante!$AC$1</f>
        <v>0</v>
      </c>
      <c r="AE328" s="8">
        <f>+MINVU_Mes_Corriente!AE328*SALUD_Mes_Constante!$AC$1</f>
        <v>0</v>
      </c>
      <c r="AF328" s="8">
        <f>+MINVU_Mes_Corriente!AF328*SALUD_Mes_Constante!$AC$1</f>
        <v>0</v>
      </c>
      <c r="AG328" s="8">
        <f>+MINVU_Mes_Corriente!AG328*SALUD_Mes_Constante!$AC$1</f>
        <v>0</v>
      </c>
      <c r="AH328" s="8">
        <f>+MINVU_Mes_Corriente!AH328*SALUD_Mes_Constante!$AC$1</f>
        <v>0</v>
      </c>
      <c r="AI328" s="8">
        <f>+MINVU_Mes_Corriente!AI328*SALUD_Mes_Constante!$AC$1</f>
        <v>0</v>
      </c>
      <c r="AJ328" s="8">
        <f>+MINVU_Mes_Corriente!AJ328*SALUD_Mes_Constante!$AC$1</f>
        <v>0</v>
      </c>
      <c r="AK328" s="8">
        <f>+MINVU_Mes_Corriente!AK328*SALUD_Mes_Constante!$AC$1</f>
        <v>0</v>
      </c>
      <c r="AL328" s="8">
        <f>+MINVU_Mes_Corriente!AL328*SALUD_Mes_Constante!$AC$1</f>
        <v>0</v>
      </c>
      <c r="AM328" s="8">
        <f>+MINVU_Mes_Corriente!AM328*SALUD_Mes_Constante!$AC$1</f>
        <v>0</v>
      </c>
      <c r="AN328" s="8">
        <f>+MINVU_Mes_Corriente!AN328*SALUD_Mes_Constante!$AC$1</f>
        <v>0</v>
      </c>
      <c r="AO328" s="9">
        <f t="shared" si="154"/>
        <v>0</v>
      </c>
      <c r="AP328" s="8">
        <f>+MINVU_Mes_Corriente!AP328*SALUD_Mes_Constante!$AP$1</f>
        <v>0</v>
      </c>
      <c r="AQ328" s="8">
        <f>+MINVU_Mes_Corriente!AQ328*SALUD_Mes_Constante!$AP$1</f>
        <v>0</v>
      </c>
      <c r="AR328" s="8">
        <f>+MINVU_Mes_Corriente!AR328*SALUD_Mes_Constante!$AP$1</f>
        <v>0</v>
      </c>
      <c r="AS328" s="8">
        <f>+MINVU_Mes_Corriente!AS328*SALUD_Mes_Constante!$AP$1</f>
        <v>0</v>
      </c>
      <c r="AT328" s="8">
        <f>+MINVU_Mes_Corriente!AT328*SALUD_Mes_Constante!$AP$1</f>
        <v>0</v>
      </c>
      <c r="AU328" s="8">
        <f>+MINVU_Mes_Corriente!AU328*SALUD_Mes_Constante!$AP$1</f>
        <v>0</v>
      </c>
      <c r="AV328" s="8">
        <f>+MINVU_Mes_Corriente!AV328*SALUD_Mes_Constante!$AP$1</f>
        <v>0</v>
      </c>
      <c r="AW328" s="8">
        <f>+MINVU_Mes_Corriente!AW328*SALUD_Mes_Constante!$AP$1</f>
        <v>0</v>
      </c>
      <c r="AX328" s="8">
        <f>+MINVU_Mes_Corriente!AX328*SALUD_Mes_Constante!$AP$1</f>
        <v>0</v>
      </c>
      <c r="AY328" s="8">
        <f>+MINVU_Mes_Corriente!AY328*SALUD_Mes_Constante!$AP$1</f>
        <v>0</v>
      </c>
      <c r="AZ328" s="8">
        <f>+MINVU_Mes_Corriente!AZ328*SALUD_Mes_Constante!$AP$1</f>
        <v>0</v>
      </c>
      <c r="BA328" s="8">
        <f>+MINVU_Mes_Corriente!BA328*SALUD_Mes_Constante!$AP$1</f>
        <v>0</v>
      </c>
      <c r="BB328" s="9">
        <f t="shared" si="155"/>
        <v>0</v>
      </c>
      <c r="BC328" s="8">
        <f>+MINVU_Mes_Corriente!BC328*SALUD_Mes_Constante!$BC$1</f>
        <v>0</v>
      </c>
      <c r="BD328" s="8">
        <f>+MINVU_Mes_Corriente!BD328*SALUD_Mes_Constante!$BC$1</f>
        <v>0</v>
      </c>
      <c r="BE328" s="8">
        <f>+MINVU_Mes_Corriente!BE328*SALUD_Mes_Constante!$BC$1</f>
        <v>0</v>
      </c>
      <c r="BF328" s="8">
        <f>+MINVU_Mes_Corriente!BF328*SALUD_Mes_Constante!$BC$1</f>
        <v>0</v>
      </c>
      <c r="BG328" s="8">
        <f>+MINVU_Mes_Corriente!BG328*SALUD_Mes_Constante!$BC$1</f>
        <v>0</v>
      </c>
      <c r="BH328" s="8">
        <f>+MINVU_Mes_Corriente!BH328*SALUD_Mes_Constante!$BC$1</f>
        <v>0</v>
      </c>
      <c r="BI328" s="8">
        <f>+MINVU_Mes_Corriente!BI328*SALUD_Mes_Constante!$BC$1</f>
        <v>0</v>
      </c>
      <c r="BJ328" s="8">
        <f>+MINVU_Mes_Corriente!BJ328*SALUD_Mes_Constante!$BC$1</f>
        <v>0</v>
      </c>
      <c r="BK328" s="8">
        <f>+MINVU_Mes_Corriente!BK328*SALUD_Mes_Constante!$BC$1</f>
        <v>0</v>
      </c>
      <c r="BL328" s="8">
        <f>+MINVU_Mes_Corriente!BL328*SALUD_Mes_Constante!$BC$1</f>
        <v>0</v>
      </c>
      <c r="BM328" s="8">
        <f>+MINVU_Mes_Corriente!BM328*SALUD_Mes_Constante!$BC$1</f>
        <v>0</v>
      </c>
      <c r="BN328" s="8">
        <f>+MINVU_Mes_Corriente!BN328*SALUD_Mes_Constante!$BC$1</f>
        <v>0</v>
      </c>
      <c r="BO328" s="9">
        <f t="shared" si="156"/>
        <v>0</v>
      </c>
      <c r="BP328" s="8">
        <f>+MINVU_Mes_Corriente!BP328*SALUD_Mes_Constante!$BP$1</f>
        <v>0</v>
      </c>
      <c r="BQ328" s="8">
        <f>+MINVU_Mes_Corriente!BQ328*SALUD_Mes_Constante!$BP$1</f>
        <v>0</v>
      </c>
      <c r="BR328" s="8">
        <f>+MINVU_Mes_Corriente!BR328*SALUD_Mes_Constante!$BP$1</f>
        <v>0</v>
      </c>
      <c r="BS328" s="8">
        <f>+MINVU_Mes_Corriente!BS328*SALUD_Mes_Constante!$BP$1</f>
        <v>0</v>
      </c>
      <c r="BT328" s="8">
        <f>+MINVU_Mes_Corriente!BT328*SALUD_Mes_Constante!$BP$1</f>
        <v>0</v>
      </c>
      <c r="BU328" s="8">
        <f>+MINVU_Mes_Corriente!BU328*SALUD_Mes_Constante!$BP$1</f>
        <v>0</v>
      </c>
      <c r="BV328" s="8">
        <f>+MINVU_Mes_Corriente!BV328*SALUD_Mes_Constante!$BP$1</f>
        <v>0</v>
      </c>
      <c r="BW328" s="8">
        <f>+MINVU_Mes_Corriente!BW328*SALUD_Mes_Constante!$BP$1</f>
        <v>0</v>
      </c>
      <c r="BX328" s="8">
        <f>+MINVU_Mes_Corriente!BX328*SALUD_Mes_Constante!$BP$1</f>
        <v>0</v>
      </c>
      <c r="BY328" s="8">
        <f>+MINVU_Mes_Corriente!BY328*SALUD_Mes_Constante!$BP$1</f>
        <v>0</v>
      </c>
      <c r="BZ328" s="8">
        <f>+MINVU_Mes_Corriente!BZ328*SALUD_Mes_Constante!$BP$1</f>
        <v>0</v>
      </c>
      <c r="CA328" s="8">
        <f>+MINVU_Mes_Corriente!CA328*SALUD_Mes_Constante!$BP$1</f>
        <v>0</v>
      </c>
      <c r="CB328" s="9">
        <f t="shared" si="157"/>
        <v>0</v>
      </c>
      <c r="CC328" s="8">
        <f>+MINVU_Mes_Corriente!CC328*SALUD_Mes_Constante!$CC$1</f>
        <v>0</v>
      </c>
      <c r="CD328" s="8">
        <f>+MINVU_Mes_Corriente!CD328*SALUD_Mes_Constante!$CC$1</f>
        <v>0</v>
      </c>
      <c r="CE328" s="8">
        <f>+MINVU_Mes_Corriente!CE328*SALUD_Mes_Constante!$CC$1</f>
        <v>0</v>
      </c>
      <c r="CF328" s="8">
        <f>+MINVU_Mes_Corriente!CF328*SALUD_Mes_Constante!$CC$1</f>
        <v>0</v>
      </c>
      <c r="CG328" s="8">
        <f>+MINVU_Mes_Corriente!CG328*SALUD_Mes_Constante!$CC$1</f>
        <v>0</v>
      </c>
      <c r="CH328" s="8">
        <f>+MINVU_Mes_Corriente!CH328*SALUD_Mes_Constante!$CC$1</f>
        <v>0</v>
      </c>
      <c r="CI328" s="8">
        <f>+MINVU_Mes_Corriente!CI328*SALUD_Mes_Constante!$CC$1</f>
        <v>0</v>
      </c>
      <c r="CJ328" s="8">
        <f>+MINVU_Mes_Corriente!CJ328*SALUD_Mes_Constante!$CC$1</f>
        <v>0</v>
      </c>
      <c r="CK328" s="8">
        <f>+MINVU_Mes_Corriente!CK328*SALUD_Mes_Constante!$CC$1</f>
        <v>0</v>
      </c>
      <c r="CL328" s="8">
        <f>+MINVU_Mes_Corriente!CL328*SALUD_Mes_Constante!$CC$1</f>
        <v>0</v>
      </c>
      <c r="CM328" s="8">
        <f>+MINVU_Mes_Corriente!CM328*SALUD_Mes_Constante!$CC$1</f>
        <v>0</v>
      </c>
      <c r="CN328" s="8">
        <f>+MINVU_Mes_Corriente!CN328*SALUD_Mes_Constante!$CC$1</f>
        <v>0</v>
      </c>
      <c r="CO328" s="9">
        <f t="shared" si="158"/>
        <v>0</v>
      </c>
      <c r="CP328" s="8">
        <f>+MINVU_Mes_Corriente!CP328*SALUD_Mes_Constante!$CP$1</f>
        <v>0</v>
      </c>
      <c r="CQ328" s="8">
        <f>+MINVU_Mes_Corriente!CQ328*SALUD_Mes_Constante!$CP$1</f>
        <v>0</v>
      </c>
      <c r="CR328" s="8">
        <f>+MINVU_Mes_Corriente!CR328*SALUD_Mes_Constante!$CP$1</f>
        <v>0</v>
      </c>
      <c r="CS328" s="8">
        <f>+MINVU_Mes_Corriente!CS328*SALUD_Mes_Constante!$CP$1</f>
        <v>0</v>
      </c>
      <c r="CT328" s="8">
        <f>+MINVU_Mes_Corriente!CT328*SALUD_Mes_Constante!$CP$1</f>
        <v>0</v>
      </c>
      <c r="CU328" s="8">
        <f>+MINVU_Mes_Corriente!CU328*SALUD_Mes_Constante!$CP$1</f>
        <v>0</v>
      </c>
      <c r="CV328" s="8">
        <f>+MINVU_Mes_Corriente!CV328*SALUD_Mes_Constante!$CP$1</f>
        <v>0</v>
      </c>
      <c r="CW328" s="8">
        <f>+MINVU_Mes_Corriente!CW328*SALUD_Mes_Constante!$CP$1</f>
        <v>0</v>
      </c>
      <c r="CX328" s="8">
        <f>+MINVU_Mes_Corriente!CX328*SALUD_Mes_Constante!$CP$1</f>
        <v>0</v>
      </c>
      <c r="CY328" s="8">
        <f>+MINVU_Mes_Corriente!CY328*SALUD_Mes_Constante!$CP$1</f>
        <v>0</v>
      </c>
      <c r="CZ328" s="8">
        <f>+MINVU_Mes_Corriente!CZ328*SALUD_Mes_Constante!$CP$1</f>
        <v>0</v>
      </c>
      <c r="DA328" s="8">
        <f>+MINVU_Mes_Corriente!DA328*SALUD_Mes_Constante!$CP$1</f>
        <v>0</v>
      </c>
      <c r="DB328" s="9">
        <f t="shared" si="159"/>
        <v>0</v>
      </c>
      <c r="DC328" s="8">
        <f>+MINVU_Mes_Corriente!DC328*SALUD_Mes_Constante!$DC$1</f>
        <v>0</v>
      </c>
      <c r="DD328" s="8">
        <f>+MINVU_Mes_Corriente!DD328*SALUD_Mes_Constante!$DC$1</f>
        <v>0</v>
      </c>
      <c r="DE328" s="8">
        <f>+MINVU_Mes_Corriente!DE328*SALUD_Mes_Constante!$DC$1</f>
        <v>0</v>
      </c>
      <c r="DF328" s="8">
        <f>+MINVU_Mes_Corriente!DF328*SALUD_Mes_Constante!$DC$1</f>
        <v>0</v>
      </c>
      <c r="DG328" s="8">
        <f>+MINVU_Mes_Corriente!DG328*SALUD_Mes_Constante!$DC$1</f>
        <v>0</v>
      </c>
      <c r="DH328" s="8">
        <f>+MINVU_Mes_Corriente!DH328*SALUD_Mes_Constante!$DC$1</f>
        <v>0</v>
      </c>
      <c r="DI328" s="8">
        <f>+MINVU_Mes_Corriente!DI328*SALUD_Mes_Constante!$DC$1</f>
        <v>0</v>
      </c>
      <c r="DJ328" s="8">
        <f>+MINVU_Mes_Corriente!DJ328*SALUD_Mes_Constante!$DC$1</f>
        <v>0</v>
      </c>
      <c r="DK328" s="8">
        <f>+MINVU_Mes_Corriente!DK328*SALUD_Mes_Constante!$DC$1</f>
        <v>0</v>
      </c>
      <c r="DL328" s="8">
        <f>+MINVU_Mes_Corriente!DL328*SALUD_Mes_Constante!$DC$1</f>
        <v>0</v>
      </c>
      <c r="DM328" s="8">
        <f>+MINVU_Mes_Corriente!DM328*SALUD_Mes_Constante!$DC$1</f>
        <v>0</v>
      </c>
      <c r="DN328" s="8">
        <f>+MINVU_Mes_Corriente!DN328*SALUD_Mes_Constante!$DC$1</f>
        <v>0</v>
      </c>
      <c r="DO328" s="9">
        <f t="shared" si="160"/>
        <v>0</v>
      </c>
      <c r="DP328" s="8">
        <f>+MINVU_Mes_Corriente!DP328*SALUD_Mes_Constante!$DP$1</f>
        <v>0</v>
      </c>
      <c r="DQ328" s="8">
        <f>+MINVU_Mes_Corriente!DQ328*SALUD_Mes_Constante!$DP$1</f>
        <v>0</v>
      </c>
      <c r="DR328" s="8">
        <f>+MINVU_Mes_Corriente!DR328*SALUD_Mes_Constante!$DP$1</f>
        <v>0</v>
      </c>
      <c r="DS328" s="8">
        <f>+MINVU_Mes_Corriente!DS328*SALUD_Mes_Constante!$DP$1</f>
        <v>0</v>
      </c>
      <c r="DT328" s="8">
        <f>+MINVU_Mes_Corriente!DT328*SALUD_Mes_Constante!$DP$1</f>
        <v>0</v>
      </c>
      <c r="DU328" s="8">
        <f>+MINVU_Mes_Corriente!DU328*SALUD_Mes_Constante!$DP$1</f>
        <v>0</v>
      </c>
      <c r="DV328" s="8">
        <f>+MINVU_Mes_Corriente!DV328*SALUD_Mes_Constante!$DP$1</f>
        <v>0</v>
      </c>
      <c r="DW328" s="8">
        <f>+MINVU_Mes_Corriente!DW328*SALUD_Mes_Constante!$DP$1</f>
        <v>0</v>
      </c>
      <c r="DX328" s="8">
        <f>+MINVU_Mes_Corriente!DX328*SALUD_Mes_Constante!$DP$1</f>
        <v>0</v>
      </c>
      <c r="DY328" s="8">
        <f>+MINVU_Mes_Corriente!DY328*SALUD_Mes_Constante!$DP$1</f>
        <v>0</v>
      </c>
      <c r="DZ328" s="8">
        <f>+MINVU_Mes_Corriente!DZ328*SALUD_Mes_Constante!$DP$1</f>
        <v>0</v>
      </c>
      <c r="EA328" s="8">
        <f>+MINVU_Mes_Corriente!EA328*SALUD_Mes_Constante!$DP$1</f>
        <v>0</v>
      </c>
      <c r="EB328" s="9">
        <f t="shared" si="161"/>
        <v>0</v>
      </c>
      <c r="EC328" s="8">
        <f>+MINVU_Mes_Corriente!EC328*SALUD_Mes_Constante!$EC$1</f>
        <v>0</v>
      </c>
      <c r="ED328" s="8">
        <f>+MINVU_Mes_Corriente!ED328*SALUD_Mes_Constante!$EC$1</f>
        <v>0</v>
      </c>
      <c r="EE328" s="8">
        <f>+MINVU_Mes_Corriente!EE328*SALUD_Mes_Constante!$EC$1</f>
        <v>0</v>
      </c>
      <c r="EF328" s="8">
        <f>+MINVU_Mes_Corriente!EF328*SALUD_Mes_Constante!$EC$1</f>
        <v>0</v>
      </c>
      <c r="EG328" s="8">
        <f>+MINVU_Mes_Corriente!EG328*SALUD_Mes_Constante!$EC$1</f>
        <v>0</v>
      </c>
      <c r="EH328" s="8">
        <f>+MINVU_Mes_Corriente!EH328*SALUD_Mes_Constante!$EC$1</f>
        <v>0</v>
      </c>
      <c r="EI328" s="8">
        <f>+MINVU_Mes_Corriente!EI328*SALUD_Mes_Constante!$EC$1</f>
        <v>0</v>
      </c>
      <c r="EJ328" s="8">
        <f>+MINVU_Mes_Corriente!EJ328*SALUD_Mes_Constante!$EC$1</f>
        <v>0</v>
      </c>
      <c r="EK328" s="8">
        <f>+MINVU_Mes_Corriente!EK328*SALUD_Mes_Constante!$EC$1</f>
        <v>0</v>
      </c>
      <c r="EL328" s="8">
        <f>+MINVU_Mes_Corriente!EL328*SALUD_Mes_Constante!$EC$1</f>
        <v>0</v>
      </c>
      <c r="EM328" s="8">
        <f>+MINVU_Mes_Corriente!EM328*SALUD_Mes_Constante!$EC$1</f>
        <v>0</v>
      </c>
      <c r="EN328" s="8">
        <f>+MINVU_Mes_Corriente!EN328*SALUD_Mes_Constante!$EC$1</f>
        <v>0</v>
      </c>
      <c r="EO328" s="9">
        <f t="shared" si="162"/>
        <v>0</v>
      </c>
      <c r="EP328" s="8">
        <f>+MINVU_Mes_Corriente!EP328*SALUD_Mes_Constante!$EP$1</f>
        <v>0</v>
      </c>
      <c r="EQ328" s="8">
        <f>+MINVU_Mes_Corriente!EQ328*SALUD_Mes_Constante!$EP$1</f>
        <v>0</v>
      </c>
      <c r="ER328" s="8">
        <f>+MINVU_Mes_Corriente!ER328*SALUD_Mes_Constante!$EP$1</f>
        <v>0</v>
      </c>
      <c r="ES328" s="8">
        <f>+MINVU_Mes_Corriente!ES328*SALUD_Mes_Constante!$EP$1</f>
        <v>0</v>
      </c>
      <c r="ET328" s="8">
        <f>+MINVU_Mes_Corriente!ET328*SALUD_Mes_Constante!$EP$1</f>
        <v>0</v>
      </c>
      <c r="EU328" s="8">
        <f>+MINVU_Mes_Corriente!EU328*SALUD_Mes_Constante!$EP$1</f>
        <v>0</v>
      </c>
      <c r="EV328" s="8">
        <f>+MINVU_Mes_Corriente!EV328*SALUD_Mes_Constante!$EP$1</f>
        <v>0</v>
      </c>
      <c r="EW328" s="8">
        <f>+MINVU_Mes_Corriente!EW328*SALUD_Mes_Constante!$EP$1</f>
        <v>0</v>
      </c>
      <c r="EX328" s="8">
        <f>+MINVU_Mes_Corriente!EX328*SALUD_Mes_Constante!$EP$1</f>
        <v>0</v>
      </c>
      <c r="EY328" s="8">
        <f>+MINVU_Mes_Corriente!EY328*SALUD_Mes_Constante!$EP$1</f>
        <v>0</v>
      </c>
      <c r="EZ328" s="8">
        <f>+MINVU_Mes_Corriente!EZ328*SALUD_Mes_Constante!$EP$1</f>
        <v>0</v>
      </c>
      <c r="FA328" s="8">
        <f>+MINVU_Mes_Corriente!FA328*SALUD_Mes_Constante!$EP$1</f>
        <v>0</v>
      </c>
      <c r="FB328" s="9">
        <f t="shared" si="163"/>
        <v>0</v>
      </c>
      <c r="FC328" s="8">
        <f>+MINVU_Mes_Corriente!FC328*SALUD_Mes_Constante!$FC$1</f>
        <v>0</v>
      </c>
      <c r="FD328" s="8">
        <f>+MINVU_Mes_Corriente!FD328*SALUD_Mes_Constante!$FC$1</f>
        <v>0</v>
      </c>
      <c r="FE328" s="8">
        <f>+MINVU_Mes_Corriente!FE328*SALUD_Mes_Constante!$FC$1</f>
        <v>0</v>
      </c>
      <c r="FF328" s="8">
        <f>+MINVU_Mes_Corriente!FF328*SALUD_Mes_Constante!$FC$1</f>
        <v>0</v>
      </c>
      <c r="FG328" s="8">
        <f>+MINVU_Mes_Corriente!FG328*SALUD_Mes_Constante!$FC$1</f>
        <v>0</v>
      </c>
      <c r="FH328" s="8">
        <f>+MINVU_Mes_Corriente!FH328*SALUD_Mes_Constante!$FC$1</f>
        <v>0</v>
      </c>
      <c r="FI328" s="8">
        <f>+MINVU_Mes_Corriente!FI328*SALUD_Mes_Constante!$FC$1</f>
        <v>0</v>
      </c>
      <c r="FJ328" s="8"/>
      <c r="FK328" s="8"/>
      <c r="FL328" s="8"/>
      <c r="FM328" s="8"/>
      <c r="FN328" s="8"/>
      <c r="FO328" s="9">
        <f t="shared" si="164"/>
        <v>0</v>
      </c>
    </row>
    <row r="329" spans="2:171" ht="14.25" customHeight="1" x14ac:dyDescent="0.3">
      <c r="B329" s="7" t="s">
        <v>70</v>
      </c>
      <c r="C329" s="8">
        <f>+MINVU_Mes_Corriente!C329*SALUD_Mes_Constante!$C$1</f>
        <v>0</v>
      </c>
      <c r="D329" s="8">
        <f>+MINVU_Mes_Corriente!D329*SALUD_Mes_Constante!$C$1</f>
        <v>0</v>
      </c>
      <c r="E329" s="8">
        <f>+MINVU_Mes_Corriente!E329*SALUD_Mes_Constante!$C$1</f>
        <v>0</v>
      </c>
      <c r="F329" s="8">
        <f>+MINVU_Mes_Corriente!F329*SALUD_Mes_Constante!$C$1</f>
        <v>0</v>
      </c>
      <c r="G329" s="8">
        <f>+MINVU_Mes_Corriente!G329*SALUD_Mes_Constante!$C$1</f>
        <v>0</v>
      </c>
      <c r="H329" s="8">
        <f>+MINVU_Mes_Corriente!H329*SALUD_Mes_Constante!$C$1</f>
        <v>0</v>
      </c>
      <c r="I329" s="8">
        <f>+MINVU_Mes_Corriente!I329*SALUD_Mes_Constante!$C$1</f>
        <v>0</v>
      </c>
      <c r="J329" s="8">
        <f>+MINVU_Mes_Corriente!J329*SALUD_Mes_Constante!$C$1</f>
        <v>0</v>
      </c>
      <c r="K329" s="8">
        <f>+MINVU_Mes_Corriente!K329*SALUD_Mes_Constante!$C$1</f>
        <v>0</v>
      </c>
      <c r="L329" s="8">
        <f>+MINVU_Mes_Corriente!L329*SALUD_Mes_Constante!$C$1</f>
        <v>0</v>
      </c>
      <c r="M329" s="8">
        <f>+MINVU_Mes_Corriente!M329*SALUD_Mes_Constante!$C$1</f>
        <v>0</v>
      </c>
      <c r="N329" s="8">
        <f>+MINVU_Mes_Corriente!N329*SALUD_Mes_Constante!$C$1</f>
        <v>0</v>
      </c>
      <c r="O329" s="9">
        <f t="shared" si="152"/>
        <v>0</v>
      </c>
      <c r="P329" s="8">
        <f>+MINVU_Mes_Corriente!P329*SALUD_Mes_Constante!$P$1</f>
        <v>0</v>
      </c>
      <c r="Q329" s="8">
        <f>+MINVU_Mes_Corriente!Q329*SALUD_Mes_Constante!$P$1</f>
        <v>0</v>
      </c>
      <c r="R329" s="8">
        <f>+MINVU_Mes_Corriente!R329*SALUD_Mes_Constante!$P$1</f>
        <v>0</v>
      </c>
      <c r="S329" s="8">
        <f>+MINVU_Mes_Corriente!S329*SALUD_Mes_Constante!$P$1</f>
        <v>0</v>
      </c>
      <c r="T329" s="8">
        <f>+MINVU_Mes_Corriente!T329*SALUD_Mes_Constante!$P$1</f>
        <v>0</v>
      </c>
      <c r="U329" s="8">
        <f>+MINVU_Mes_Corriente!U329*SALUD_Mes_Constante!$P$1</f>
        <v>0</v>
      </c>
      <c r="V329" s="8">
        <f>+MINVU_Mes_Corriente!V329*SALUD_Mes_Constante!$P$1</f>
        <v>0</v>
      </c>
      <c r="W329" s="8">
        <f>+MINVU_Mes_Corriente!W329*SALUD_Mes_Constante!$P$1</f>
        <v>0</v>
      </c>
      <c r="X329" s="8">
        <f>+MINVU_Mes_Corriente!X329*SALUD_Mes_Constante!$P$1</f>
        <v>0</v>
      </c>
      <c r="Y329" s="8">
        <f>+MINVU_Mes_Corriente!Y329*SALUD_Mes_Constante!$P$1</f>
        <v>0</v>
      </c>
      <c r="Z329" s="8">
        <f>+MINVU_Mes_Corriente!Z329*SALUD_Mes_Constante!$P$1</f>
        <v>0</v>
      </c>
      <c r="AA329" s="8">
        <f>+MINVU_Mes_Corriente!AA329*SALUD_Mes_Constante!$P$1</f>
        <v>0</v>
      </c>
      <c r="AB329" s="9">
        <f t="shared" si="153"/>
        <v>0</v>
      </c>
      <c r="AC329" s="8">
        <f>+MINVU_Mes_Corriente!AC329*SALUD_Mes_Constante!$AC$1</f>
        <v>0</v>
      </c>
      <c r="AD329" s="8">
        <f>+MINVU_Mes_Corriente!AD329*SALUD_Mes_Constante!$AC$1</f>
        <v>0</v>
      </c>
      <c r="AE329" s="8">
        <f>+MINVU_Mes_Corriente!AE329*SALUD_Mes_Constante!$AC$1</f>
        <v>0</v>
      </c>
      <c r="AF329" s="8">
        <f>+MINVU_Mes_Corriente!AF329*SALUD_Mes_Constante!$AC$1</f>
        <v>0</v>
      </c>
      <c r="AG329" s="8">
        <f>+MINVU_Mes_Corriente!AG329*SALUD_Mes_Constante!$AC$1</f>
        <v>0</v>
      </c>
      <c r="AH329" s="8">
        <f>+MINVU_Mes_Corriente!AH329*SALUD_Mes_Constante!$AC$1</f>
        <v>0</v>
      </c>
      <c r="AI329" s="8">
        <f>+MINVU_Mes_Corriente!AI329*SALUD_Mes_Constante!$AC$1</f>
        <v>0</v>
      </c>
      <c r="AJ329" s="8">
        <f>+MINVU_Mes_Corriente!AJ329*SALUD_Mes_Constante!$AC$1</f>
        <v>0</v>
      </c>
      <c r="AK329" s="8">
        <f>+MINVU_Mes_Corriente!AK329*SALUD_Mes_Constante!$AC$1</f>
        <v>0</v>
      </c>
      <c r="AL329" s="8">
        <f>+MINVU_Mes_Corriente!AL329*SALUD_Mes_Constante!$AC$1</f>
        <v>0</v>
      </c>
      <c r="AM329" s="8">
        <f>+MINVU_Mes_Corriente!AM329*SALUD_Mes_Constante!$AC$1</f>
        <v>0</v>
      </c>
      <c r="AN329" s="8">
        <f>+MINVU_Mes_Corriente!AN329*SALUD_Mes_Constante!$AC$1</f>
        <v>0</v>
      </c>
      <c r="AO329" s="9">
        <f t="shared" si="154"/>
        <v>0</v>
      </c>
      <c r="AP329" s="8">
        <f>+MINVU_Mes_Corriente!AP329*SALUD_Mes_Constante!$AP$1</f>
        <v>0</v>
      </c>
      <c r="AQ329" s="8">
        <f>+MINVU_Mes_Corriente!AQ329*SALUD_Mes_Constante!$AP$1</f>
        <v>0</v>
      </c>
      <c r="AR329" s="8">
        <f>+MINVU_Mes_Corriente!AR329*SALUD_Mes_Constante!$AP$1</f>
        <v>0</v>
      </c>
      <c r="AS329" s="8">
        <f>+MINVU_Mes_Corriente!AS329*SALUD_Mes_Constante!$AP$1</f>
        <v>0</v>
      </c>
      <c r="AT329" s="8">
        <f>+MINVU_Mes_Corriente!AT329*SALUD_Mes_Constante!$AP$1</f>
        <v>0</v>
      </c>
      <c r="AU329" s="8">
        <f>+MINVU_Mes_Corriente!AU329*SALUD_Mes_Constante!$AP$1</f>
        <v>0</v>
      </c>
      <c r="AV329" s="8">
        <f>+MINVU_Mes_Corriente!AV329*SALUD_Mes_Constante!$AP$1</f>
        <v>0</v>
      </c>
      <c r="AW329" s="8">
        <f>+MINVU_Mes_Corriente!AW329*SALUD_Mes_Constante!$AP$1</f>
        <v>0</v>
      </c>
      <c r="AX329" s="8">
        <f>+MINVU_Mes_Corriente!AX329*SALUD_Mes_Constante!$AP$1</f>
        <v>0</v>
      </c>
      <c r="AY329" s="8">
        <f>+MINVU_Mes_Corriente!AY329*SALUD_Mes_Constante!$AP$1</f>
        <v>0</v>
      </c>
      <c r="AZ329" s="8">
        <f>+MINVU_Mes_Corriente!AZ329*SALUD_Mes_Constante!$AP$1</f>
        <v>0</v>
      </c>
      <c r="BA329" s="8">
        <f>+MINVU_Mes_Corriente!BA329*SALUD_Mes_Constante!$AP$1</f>
        <v>0</v>
      </c>
      <c r="BB329" s="9">
        <f t="shared" si="155"/>
        <v>0</v>
      </c>
      <c r="BC329" s="8">
        <f>+MINVU_Mes_Corriente!BC329*SALUD_Mes_Constante!$BC$1</f>
        <v>0</v>
      </c>
      <c r="BD329" s="8">
        <f>+MINVU_Mes_Corriente!BD329*SALUD_Mes_Constante!$BC$1</f>
        <v>0</v>
      </c>
      <c r="BE329" s="8">
        <f>+MINVU_Mes_Corriente!BE329*SALUD_Mes_Constante!$BC$1</f>
        <v>0</v>
      </c>
      <c r="BF329" s="8">
        <f>+MINVU_Mes_Corriente!BF329*SALUD_Mes_Constante!$BC$1</f>
        <v>0</v>
      </c>
      <c r="BG329" s="8">
        <f>+MINVU_Mes_Corriente!BG329*SALUD_Mes_Constante!$BC$1</f>
        <v>0</v>
      </c>
      <c r="BH329" s="8">
        <f>+MINVU_Mes_Corriente!BH329*SALUD_Mes_Constante!$BC$1</f>
        <v>0</v>
      </c>
      <c r="BI329" s="8">
        <f>+MINVU_Mes_Corriente!BI329*SALUD_Mes_Constante!$BC$1</f>
        <v>0</v>
      </c>
      <c r="BJ329" s="8">
        <f>+MINVU_Mes_Corriente!BJ329*SALUD_Mes_Constante!$BC$1</f>
        <v>0</v>
      </c>
      <c r="BK329" s="8">
        <f>+MINVU_Mes_Corriente!BK329*SALUD_Mes_Constante!$BC$1</f>
        <v>0</v>
      </c>
      <c r="BL329" s="8">
        <f>+MINVU_Mes_Corriente!BL329*SALUD_Mes_Constante!$BC$1</f>
        <v>0</v>
      </c>
      <c r="BM329" s="8">
        <f>+MINVU_Mes_Corriente!BM329*SALUD_Mes_Constante!$BC$1</f>
        <v>0</v>
      </c>
      <c r="BN329" s="8">
        <f>+MINVU_Mes_Corriente!BN329*SALUD_Mes_Constante!$BC$1</f>
        <v>0</v>
      </c>
      <c r="BO329" s="9">
        <f t="shared" si="156"/>
        <v>0</v>
      </c>
      <c r="BP329" s="8">
        <f>+MINVU_Mes_Corriente!BP329*SALUD_Mes_Constante!$BP$1</f>
        <v>0</v>
      </c>
      <c r="BQ329" s="8">
        <f>+MINVU_Mes_Corriente!BQ329*SALUD_Mes_Constante!$BP$1</f>
        <v>0</v>
      </c>
      <c r="BR329" s="8">
        <f>+MINVU_Mes_Corriente!BR329*SALUD_Mes_Constante!$BP$1</f>
        <v>0</v>
      </c>
      <c r="BS329" s="8">
        <f>+MINVU_Mes_Corriente!BS329*SALUD_Mes_Constante!$BP$1</f>
        <v>0</v>
      </c>
      <c r="BT329" s="8">
        <f>+MINVU_Mes_Corriente!BT329*SALUD_Mes_Constante!$BP$1</f>
        <v>0</v>
      </c>
      <c r="BU329" s="8">
        <f>+MINVU_Mes_Corriente!BU329*SALUD_Mes_Constante!$BP$1</f>
        <v>0</v>
      </c>
      <c r="BV329" s="8">
        <f>+MINVU_Mes_Corriente!BV329*SALUD_Mes_Constante!$BP$1</f>
        <v>0</v>
      </c>
      <c r="BW329" s="8">
        <f>+MINVU_Mes_Corriente!BW329*SALUD_Mes_Constante!$BP$1</f>
        <v>0</v>
      </c>
      <c r="BX329" s="8">
        <f>+MINVU_Mes_Corriente!BX329*SALUD_Mes_Constante!$BP$1</f>
        <v>0</v>
      </c>
      <c r="BY329" s="8">
        <f>+MINVU_Mes_Corriente!BY329*SALUD_Mes_Constante!$BP$1</f>
        <v>0</v>
      </c>
      <c r="BZ329" s="8">
        <f>+MINVU_Mes_Corriente!BZ329*SALUD_Mes_Constante!$BP$1</f>
        <v>0</v>
      </c>
      <c r="CA329" s="8">
        <f>+MINVU_Mes_Corriente!CA329*SALUD_Mes_Constante!$BP$1</f>
        <v>0</v>
      </c>
      <c r="CB329" s="9">
        <f t="shared" si="157"/>
        <v>0</v>
      </c>
      <c r="CC329" s="8">
        <f>+MINVU_Mes_Corriente!CC329*SALUD_Mes_Constante!$CC$1</f>
        <v>0</v>
      </c>
      <c r="CD329" s="8">
        <f>+MINVU_Mes_Corriente!CD329*SALUD_Mes_Constante!$CC$1</f>
        <v>0</v>
      </c>
      <c r="CE329" s="8">
        <f>+MINVU_Mes_Corriente!CE329*SALUD_Mes_Constante!$CC$1</f>
        <v>0</v>
      </c>
      <c r="CF329" s="8">
        <f>+MINVU_Mes_Corriente!CF329*SALUD_Mes_Constante!$CC$1</f>
        <v>0</v>
      </c>
      <c r="CG329" s="8">
        <f>+MINVU_Mes_Corriente!CG329*SALUD_Mes_Constante!$CC$1</f>
        <v>0</v>
      </c>
      <c r="CH329" s="8">
        <f>+MINVU_Mes_Corriente!CH329*SALUD_Mes_Constante!$CC$1</f>
        <v>0</v>
      </c>
      <c r="CI329" s="8">
        <f>+MINVU_Mes_Corriente!CI329*SALUD_Mes_Constante!$CC$1</f>
        <v>0</v>
      </c>
      <c r="CJ329" s="8">
        <f>+MINVU_Mes_Corriente!CJ329*SALUD_Mes_Constante!$CC$1</f>
        <v>0</v>
      </c>
      <c r="CK329" s="8">
        <f>+MINVU_Mes_Corriente!CK329*SALUD_Mes_Constante!$CC$1</f>
        <v>0</v>
      </c>
      <c r="CL329" s="8">
        <f>+MINVU_Mes_Corriente!CL329*SALUD_Mes_Constante!$CC$1</f>
        <v>0</v>
      </c>
      <c r="CM329" s="8">
        <f>+MINVU_Mes_Corriente!CM329*SALUD_Mes_Constante!$CC$1</f>
        <v>0</v>
      </c>
      <c r="CN329" s="8">
        <f>+MINVU_Mes_Corriente!CN329*SALUD_Mes_Constante!$CC$1</f>
        <v>0</v>
      </c>
      <c r="CO329" s="9">
        <f t="shared" si="158"/>
        <v>0</v>
      </c>
      <c r="CP329" s="8">
        <f>+MINVU_Mes_Corriente!CP329*SALUD_Mes_Constante!$CP$1</f>
        <v>0</v>
      </c>
      <c r="CQ329" s="8">
        <f>+MINVU_Mes_Corriente!CQ329*SALUD_Mes_Constante!$CP$1</f>
        <v>0</v>
      </c>
      <c r="CR329" s="8">
        <f>+MINVU_Mes_Corriente!CR329*SALUD_Mes_Constante!$CP$1</f>
        <v>0</v>
      </c>
      <c r="CS329" s="8">
        <f>+MINVU_Mes_Corriente!CS329*SALUD_Mes_Constante!$CP$1</f>
        <v>0</v>
      </c>
      <c r="CT329" s="8">
        <f>+MINVU_Mes_Corriente!CT329*SALUD_Mes_Constante!$CP$1</f>
        <v>0</v>
      </c>
      <c r="CU329" s="8">
        <f>+MINVU_Mes_Corriente!CU329*SALUD_Mes_Constante!$CP$1</f>
        <v>0</v>
      </c>
      <c r="CV329" s="8">
        <f>+MINVU_Mes_Corriente!CV329*SALUD_Mes_Constante!$CP$1</f>
        <v>0</v>
      </c>
      <c r="CW329" s="8">
        <f>+MINVU_Mes_Corriente!CW329*SALUD_Mes_Constante!$CP$1</f>
        <v>0</v>
      </c>
      <c r="CX329" s="8">
        <f>+MINVU_Mes_Corriente!CX329*SALUD_Mes_Constante!$CP$1</f>
        <v>0</v>
      </c>
      <c r="CY329" s="8">
        <f>+MINVU_Mes_Corriente!CY329*SALUD_Mes_Constante!$CP$1</f>
        <v>0</v>
      </c>
      <c r="CZ329" s="8">
        <f>+MINVU_Mes_Corriente!CZ329*SALUD_Mes_Constante!$CP$1</f>
        <v>0</v>
      </c>
      <c r="DA329" s="8">
        <f>+MINVU_Mes_Corriente!DA329*SALUD_Mes_Constante!$CP$1</f>
        <v>0</v>
      </c>
      <c r="DB329" s="9">
        <f t="shared" si="159"/>
        <v>0</v>
      </c>
      <c r="DC329" s="8">
        <f>+MINVU_Mes_Corriente!DC329*SALUD_Mes_Constante!$DC$1</f>
        <v>0</v>
      </c>
      <c r="DD329" s="8">
        <f>+MINVU_Mes_Corriente!DD329*SALUD_Mes_Constante!$DC$1</f>
        <v>0</v>
      </c>
      <c r="DE329" s="8">
        <f>+MINVU_Mes_Corriente!DE329*SALUD_Mes_Constante!$DC$1</f>
        <v>0</v>
      </c>
      <c r="DF329" s="8">
        <f>+MINVU_Mes_Corriente!DF329*SALUD_Mes_Constante!$DC$1</f>
        <v>0</v>
      </c>
      <c r="DG329" s="8">
        <f>+MINVU_Mes_Corriente!DG329*SALUD_Mes_Constante!$DC$1</f>
        <v>0</v>
      </c>
      <c r="DH329" s="8">
        <f>+MINVU_Mes_Corriente!DH329*SALUD_Mes_Constante!$DC$1</f>
        <v>0</v>
      </c>
      <c r="DI329" s="8">
        <f>+MINVU_Mes_Corriente!DI329*SALUD_Mes_Constante!$DC$1</f>
        <v>0</v>
      </c>
      <c r="DJ329" s="8">
        <f>+MINVU_Mes_Corriente!DJ329*SALUD_Mes_Constante!$DC$1</f>
        <v>0</v>
      </c>
      <c r="DK329" s="8">
        <f>+MINVU_Mes_Corriente!DK329*SALUD_Mes_Constante!$DC$1</f>
        <v>0</v>
      </c>
      <c r="DL329" s="8">
        <f>+MINVU_Mes_Corriente!DL329*SALUD_Mes_Constante!$DC$1</f>
        <v>0</v>
      </c>
      <c r="DM329" s="8">
        <f>+MINVU_Mes_Corriente!DM329*SALUD_Mes_Constante!$DC$1</f>
        <v>0</v>
      </c>
      <c r="DN329" s="8">
        <f>+MINVU_Mes_Corriente!DN329*SALUD_Mes_Constante!$DC$1</f>
        <v>0</v>
      </c>
      <c r="DO329" s="9">
        <f t="shared" si="160"/>
        <v>0</v>
      </c>
      <c r="DP329" s="8">
        <f>+MINVU_Mes_Corriente!DP329*SALUD_Mes_Constante!$DP$1</f>
        <v>0</v>
      </c>
      <c r="DQ329" s="8">
        <f>+MINVU_Mes_Corriente!DQ329*SALUD_Mes_Constante!$DP$1</f>
        <v>0</v>
      </c>
      <c r="DR329" s="8">
        <f>+MINVU_Mes_Corriente!DR329*SALUD_Mes_Constante!$DP$1</f>
        <v>0</v>
      </c>
      <c r="DS329" s="8">
        <f>+MINVU_Mes_Corriente!DS329*SALUD_Mes_Constante!$DP$1</f>
        <v>0</v>
      </c>
      <c r="DT329" s="8">
        <f>+MINVU_Mes_Corriente!DT329*SALUD_Mes_Constante!$DP$1</f>
        <v>0</v>
      </c>
      <c r="DU329" s="8">
        <f>+MINVU_Mes_Corriente!DU329*SALUD_Mes_Constante!$DP$1</f>
        <v>0</v>
      </c>
      <c r="DV329" s="8">
        <f>+MINVU_Mes_Corriente!DV329*SALUD_Mes_Constante!$DP$1</f>
        <v>0</v>
      </c>
      <c r="DW329" s="8">
        <f>+MINVU_Mes_Corriente!DW329*SALUD_Mes_Constante!$DP$1</f>
        <v>0</v>
      </c>
      <c r="DX329" s="8">
        <f>+MINVU_Mes_Corriente!DX329*SALUD_Mes_Constante!$DP$1</f>
        <v>0</v>
      </c>
      <c r="DY329" s="8">
        <f>+MINVU_Mes_Corriente!DY329*SALUD_Mes_Constante!$DP$1</f>
        <v>0</v>
      </c>
      <c r="DZ329" s="8">
        <f>+MINVU_Mes_Corriente!DZ329*SALUD_Mes_Constante!$DP$1</f>
        <v>0</v>
      </c>
      <c r="EA329" s="8">
        <f>+MINVU_Mes_Corriente!EA329*SALUD_Mes_Constante!$DP$1</f>
        <v>0</v>
      </c>
      <c r="EB329" s="9">
        <f t="shared" si="161"/>
        <v>0</v>
      </c>
      <c r="EC329" s="8">
        <f>+MINVU_Mes_Corriente!EC329*SALUD_Mes_Constante!$EC$1</f>
        <v>0</v>
      </c>
      <c r="ED329" s="8">
        <f>+MINVU_Mes_Corriente!ED329*SALUD_Mes_Constante!$EC$1</f>
        <v>0</v>
      </c>
      <c r="EE329" s="8">
        <f>+MINVU_Mes_Corriente!EE329*SALUD_Mes_Constante!$EC$1</f>
        <v>0</v>
      </c>
      <c r="EF329" s="8">
        <f>+MINVU_Mes_Corriente!EF329*SALUD_Mes_Constante!$EC$1</f>
        <v>0</v>
      </c>
      <c r="EG329" s="8">
        <f>+MINVU_Mes_Corriente!EG329*SALUD_Mes_Constante!$EC$1</f>
        <v>0</v>
      </c>
      <c r="EH329" s="8">
        <f>+MINVU_Mes_Corriente!EH329*SALUD_Mes_Constante!$EC$1</f>
        <v>0</v>
      </c>
      <c r="EI329" s="8">
        <f>+MINVU_Mes_Corriente!EI329*SALUD_Mes_Constante!$EC$1</f>
        <v>0</v>
      </c>
      <c r="EJ329" s="8">
        <f>+MINVU_Mes_Corriente!EJ329*SALUD_Mes_Constante!$EC$1</f>
        <v>0</v>
      </c>
      <c r="EK329" s="8">
        <f>+MINVU_Mes_Corriente!EK329*SALUD_Mes_Constante!$EC$1</f>
        <v>0</v>
      </c>
      <c r="EL329" s="8">
        <f>+MINVU_Mes_Corriente!EL329*SALUD_Mes_Constante!$EC$1</f>
        <v>0</v>
      </c>
      <c r="EM329" s="8">
        <f>+MINVU_Mes_Corriente!EM329*SALUD_Mes_Constante!$EC$1</f>
        <v>0</v>
      </c>
      <c r="EN329" s="8">
        <f>+MINVU_Mes_Corriente!EN329*SALUD_Mes_Constante!$EC$1</f>
        <v>0</v>
      </c>
      <c r="EO329" s="9">
        <f t="shared" si="162"/>
        <v>0</v>
      </c>
      <c r="EP329" s="8">
        <f>+MINVU_Mes_Corriente!EP329*SALUD_Mes_Constante!$EP$1</f>
        <v>0</v>
      </c>
      <c r="EQ329" s="8">
        <f>+MINVU_Mes_Corriente!EQ329*SALUD_Mes_Constante!$EP$1</f>
        <v>0</v>
      </c>
      <c r="ER329" s="8">
        <f>+MINVU_Mes_Corriente!ER329*SALUD_Mes_Constante!$EP$1</f>
        <v>0</v>
      </c>
      <c r="ES329" s="8">
        <f>+MINVU_Mes_Corriente!ES329*SALUD_Mes_Constante!$EP$1</f>
        <v>0</v>
      </c>
      <c r="ET329" s="8">
        <f>+MINVU_Mes_Corriente!ET329*SALUD_Mes_Constante!$EP$1</f>
        <v>0</v>
      </c>
      <c r="EU329" s="8">
        <f>+MINVU_Mes_Corriente!EU329*SALUD_Mes_Constante!$EP$1</f>
        <v>0</v>
      </c>
      <c r="EV329" s="8">
        <f>+MINVU_Mes_Corriente!EV329*SALUD_Mes_Constante!$EP$1</f>
        <v>0</v>
      </c>
      <c r="EW329" s="8">
        <f>+MINVU_Mes_Corriente!EW329*SALUD_Mes_Constante!$EP$1</f>
        <v>0</v>
      </c>
      <c r="EX329" s="8">
        <f>+MINVU_Mes_Corriente!EX329*SALUD_Mes_Constante!$EP$1</f>
        <v>0</v>
      </c>
      <c r="EY329" s="8">
        <f>+MINVU_Mes_Corriente!EY329*SALUD_Mes_Constante!$EP$1</f>
        <v>0</v>
      </c>
      <c r="EZ329" s="8">
        <f>+MINVU_Mes_Corriente!EZ329*SALUD_Mes_Constante!$EP$1</f>
        <v>0</v>
      </c>
      <c r="FA329" s="8">
        <f>+MINVU_Mes_Corriente!FA329*SALUD_Mes_Constante!$EP$1</f>
        <v>0</v>
      </c>
      <c r="FB329" s="9">
        <f t="shared" si="163"/>
        <v>0</v>
      </c>
      <c r="FC329" s="8">
        <f>+MINVU_Mes_Corriente!FC329*SALUD_Mes_Constante!$FC$1</f>
        <v>0</v>
      </c>
      <c r="FD329" s="8">
        <f>+MINVU_Mes_Corriente!FD329*SALUD_Mes_Constante!$FC$1</f>
        <v>0</v>
      </c>
      <c r="FE329" s="8">
        <f>+MINVU_Mes_Corriente!FE329*SALUD_Mes_Constante!$FC$1</f>
        <v>0</v>
      </c>
      <c r="FF329" s="8">
        <f>+MINVU_Mes_Corriente!FF329*SALUD_Mes_Constante!$FC$1</f>
        <v>0</v>
      </c>
      <c r="FG329" s="8">
        <f>+MINVU_Mes_Corriente!FG329*SALUD_Mes_Constante!$FC$1</f>
        <v>0</v>
      </c>
      <c r="FH329" s="8">
        <f>+MINVU_Mes_Corriente!FH329*SALUD_Mes_Constante!$FC$1</f>
        <v>0</v>
      </c>
      <c r="FI329" s="8">
        <f>+MINVU_Mes_Corriente!FI329*SALUD_Mes_Constante!$FC$1</f>
        <v>0</v>
      </c>
      <c r="FJ329" s="8"/>
      <c r="FK329" s="8"/>
      <c r="FL329" s="8"/>
      <c r="FM329" s="8"/>
      <c r="FN329" s="8"/>
      <c r="FO329" s="9">
        <f t="shared" si="164"/>
        <v>0</v>
      </c>
    </row>
    <row r="330" spans="2:171" ht="14.25" customHeight="1" x14ac:dyDescent="0.3">
      <c r="B330" s="7" t="s">
        <v>71</v>
      </c>
      <c r="C330" s="8">
        <f>+MINVU_Mes_Corriente!C330*SALUD_Mes_Constante!$C$1</f>
        <v>0</v>
      </c>
      <c r="D330" s="8">
        <f>+MINVU_Mes_Corriente!D330*SALUD_Mes_Constante!$C$1</f>
        <v>0</v>
      </c>
      <c r="E330" s="8">
        <f>+MINVU_Mes_Corriente!E330*SALUD_Mes_Constante!$C$1</f>
        <v>0</v>
      </c>
      <c r="F330" s="8">
        <f>+MINVU_Mes_Corriente!F330*SALUD_Mes_Constante!$C$1</f>
        <v>0</v>
      </c>
      <c r="G330" s="8">
        <f>+MINVU_Mes_Corriente!G330*SALUD_Mes_Constante!$C$1</f>
        <v>0</v>
      </c>
      <c r="H330" s="8">
        <f>+MINVU_Mes_Corriente!H330*SALUD_Mes_Constante!$C$1</f>
        <v>0</v>
      </c>
      <c r="I330" s="8">
        <f>+MINVU_Mes_Corriente!I330*SALUD_Mes_Constante!$C$1</f>
        <v>0</v>
      </c>
      <c r="J330" s="8">
        <f>+MINVU_Mes_Corriente!J330*SALUD_Mes_Constante!$C$1</f>
        <v>0</v>
      </c>
      <c r="K330" s="8">
        <f>+MINVU_Mes_Corriente!K330*SALUD_Mes_Constante!$C$1</f>
        <v>0</v>
      </c>
      <c r="L330" s="8">
        <f>+MINVU_Mes_Corriente!L330*SALUD_Mes_Constante!$C$1</f>
        <v>0</v>
      </c>
      <c r="M330" s="8">
        <f>+MINVU_Mes_Corriente!M330*SALUD_Mes_Constante!$C$1</f>
        <v>0</v>
      </c>
      <c r="N330" s="8">
        <f>+MINVU_Mes_Corriente!N330*SALUD_Mes_Constante!$C$1</f>
        <v>0</v>
      </c>
      <c r="O330" s="9">
        <f t="shared" si="152"/>
        <v>0</v>
      </c>
      <c r="P330" s="8">
        <f>+MINVU_Mes_Corriente!P330*SALUD_Mes_Constante!$P$1</f>
        <v>0</v>
      </c>
      <c r="Q330" s="8">
        <f>+MINVU_Mes_Corriente!Q330*SALUD_Mes_Constante!$P$1</f>
        <v>0</v>
      </c>
      <c r="R330" s="8">
        <f>+MINVU_Mes_Corriente!R330*SALUD_Mes_Constante!$P$1</f>
        <v>0</v>
      </c>
      <c r="S330" s="8">
        <f>+MINVU_Mes_Corriente!S330*SALUD_Mes_Constante!$P$1</f>
        <v>0</v>
      </c>
      <c r="T330" s="8">
        <f>+MINVU_Mes_Corriente!T330*SALUD_Mes_Constante!$P$1</f>
        <v>0</v>
      </c>
      <c r="U330" s="8">
        <f>+MINVU_Mes_Corriente!U330*SALUD_Mes_Constante!$P$1</f>
        <v>0</v>
      </c>
      <c r="V330" s="8">
        <f>+MINVU_Mes_Corriente!V330*SALUD_Mes_Constante!$P$1</f>
        <v>0</v>
      </c>
      <c r="W330" s="8">
        <f>+MINVU_Mes_Corriente!W330*SALUD_Mes_Constante!$P$1</f>
        <v>0</v>
      </c>
      <c r="X330" s="8">
        <f>+MINVU_Mes_Corriente!X330*SALUD_Mes_Constante!$P$1</f>
        <v>0</v>
      </c>
      <c r="Y330" s="8">
        <f>+MINVU_Mes_Corriente!Y330*SALUD_Mes_Constante!$P$1</f>
        <v>0</v>
      </c>
      <c r="Z330" s="8">
        <f>+MINVU_Mes_Corriente!Z330*SALUD_Mes_Constante!$P$1</f>
        <v>0</v>
      </c>
      <c r="AA330" s="8">
        <f>+MINVU_Mes_Corriente!AA330*SALUD_Mes_Constante!$P$1</f>
        <v>0</v>
      </c>
      <c r="AB330" s="9">
        <f t="shared" si="153"/>
        <v>0</v>
      </c>
      <c r="AC330" s="8">
        <f>+MINVU_Mes_Corriente!AC330*SALUD_Mes_Constante!$AC$1</f>
        <v>0</v>
      </c>
      <c r="AD330" s="8">
        <f>+MINVU_Mes_Corriente!AD330*SALUD_Mes_Constante!$AC$1</f>
        <v>0</v>
      </c>
      <c r="AE330" s="8">
        <f>+MINVU_Mes_Corriente!AE330*SALUD_Mes_Constante!$AC$1</f>
        <v>0</v>
      </c>
      <c r="AF330" s="8">
        <f>+MINVU_Mes_Corriente!AF330*SALUD_Mes_Constante!$AC$1</f>
        <v>0</v>
      </c>
      <c r="AG330" s="8">
        <f>+MINVU_Mes_Corriente!AG330*SALUD_Mes_Constante!$AC$1</f>
        <v>0</v>
      </c>
      <c r="AH330" s="8">
        <f>+MINVU_Mes_Corriente!AH330*SALUD_Mes_Constante!$AC$1</f>
        <v>0</v>
      </c>
      <c r="AI330" s="8">
        <f>+MINVU_Mes_Corriente!AI330*SALUD_Mes_Constante!$AC$1</f>
        <v>0</v>
      </c>
      <c r="AJ330" s="8">
        <f>+MINVU_Mes_Corriente!AJ330*SALUD_Mes_Constante!$AC$1</f>
        <v>0</v>
      </c>
      <c r="AK330" s="8">
        <f>+MINVU_Mes_Corriente!AK330*SALUD_Mes_Constante!$AC$1</f>
        <v>0</v>
      </c>
      <c r="AL330" s="8">
        <f>+MINVU_Mes_Corriente!AL330*SALUD_Mes_Constante!$AC$1</f>
        <v>0</v>
      </c>
      <c r="AM330" s="8">
        <f>+MINVU_Mes_Corriente!AM330*SALUD_Mes_Constante!$AC$1</f>
        <v>0</v>
      </c>
      <c r="AN330" s="8">
        <f>+MINVU_Mes_Corriente!AN330*SALUD_Mes_Constante!$AC$1</f>
        <v>0</v>
      </c>
      <c r="AO330" s="9">
        <f t="shared" si="154"/>
        <v>0</v>
      </c>
      <c r="AP330" s="8">
        <f>+MINVU_Mes_Corriente!AP330*SALUD_Mes_Constante!$AP$1</f>
        <v>0</v>
      </c>
      <c r="AQ330" s="8">
        <f>+MINVU_Mes_Corriente!AQ330*SALUD_Mes_Constante!$AP$1</f>
        <v>0</v>
      </c>
      <c r="AR330" s="8">
        <f>+MINVU_Mes_Corriente!AR330*SALUD_Mes_Constante!$AP$1</f>
        <v>0</v>
      </c>
      <c r="AS330" s="8">
        <f>+MINVU_Mes_Corriente!AS330*SALUD_Mes_Constante!$AP$1</f>
        <v>0</v>
      </c>
      <c r="AT330" s="8">
        <f>+MINVU_Mes_Corriente!AT330*SALUD_Mes_Constante!$AP$1</f>
        <v>0</v>
      </c>
      <c r="AU330" s="8">
        <f>+MINVU_Mes_Corriente!AU330*SALUD_Mes_Constante!$AP$1</f>
        <v>0</v>
      </c>
      <c r="AV330" s="8">
        <f>+MINVU_Mes_Corriente!AV330*SALUD_Mes_Constante!$AP$1</f>
        <v>0</v>
      </c>
      <c r="AW330" s="8">
        <f>+MINVU_Mes_Corriente!AW330*SALUD_Mes_Constante!$AP$1</f>
        <v>0</v>
      </c>
      <c r="AX330" s="8">
        <f>+MINVU_Mes_Corriente!AX330*SALUD_Mes_Constante!$AP$1</f>
        <v>0</v>
      </c>
      <c r="AY330" s="8">
        <f>+MINVU_Mes_Corriente!AY330*SALUD_Mes_Constante!$AP$1</f>
        <v>0</v>
      </c>
      <c r="AZ330" s="8">
        <f>+MINVU_Mes_Corriente!AZ330*SALUD_Mes_Constante!$AP$1</f>
        <v>0</v>
      </c>
      <c r="BA330" s="8">
        <f>+MINVU_Mes_Corriente!BA330*SALUD_Mes_Constante!$AP$1</f>
        <v>0</v>
      </c>
      <c r="BB330" s="9">
        <f t="shared" si="155"/>
        <v>0</v>
      </c>
      <c r="BC330" s="8">
        <f>+MINVU_Mes_Corriente!BC330*SALUD_Mes_Constante!$BC$1</f>
        <v>0</v>
      </c>
      <c r="BD330" s="8">
        <f>+MINVU_Mes_Corriente!BD330*SALUD_Mes_Constante!$BC$1</f>
        <v>0</v>
      </c>
      <c r="BE330" s="8">
        <f>+MINVU_Mes_Corriente!BE330*SALUD_Mes_Constante!$BC$1</f>
        <v>0</v>
      </c>
      <c r="BF330" s="8">
        <f>+MINVU_Mes_Corriente!BF330*SALUD_Mes_Constante!$BC$1</f>
        <v>0</v>
      </c>
      <c r="BG330" s="8">
        <f>+MINVU_Mes_Corriente!BG330*SALUD_Mes_Constante!$BC$1</f>
        <v>0</v>
      </c>
      <c r="BH330" s="8">
        <f>+MINVU_Mes_Corriente!BH330*SALUD_Mes_Constante!$BC$1</f>
        <v>0</v>
      </c>
      <c r="BI330" s="8">
        <f>+MINVU_Mes_Corriente!BI330*SALUD_Mes_Constante!$BC$1</f>
        <v>0</v>
      </c>
      <c r="BJ330" s="8">
        <f>+MINVU_Mes_Corriente!BJ330*SALUD_Mes_Constante!$BC$1</f>
        <v>0</v>
      </c>
      <c r="BK330" s="8">
        <f>+MINVU_Mes_Corriente!BK330*SALUD_Mes_Constante!$BC$1</f>
        <v>0</v>
      </c>
      <c r="BL330" s="8">
        <f>+MINVU_Mes_Corriente!BL330*SALUD_Mes_Constante!$BC$1</f>
        <v>0</v>
      </c>
      <c r="BM330" s="8">
        <f>+MINVU_Mes_Corriente!BM330*SALUD_Mes_Constante!$BC$1</f>
        <v>0</v>
      </c>
      <c r="BN330" s="8">
        <f>+MINVU_Mes_Corriente!BN330*SALUD_Mes_Constante!$BC$1</f>
        <v>0</v>
      </c>
      <c r="BO330" s="9">
        <f t="shared" si="156"/>
        <v>0</v>
      </c>
      <c r="BP330" s="8">
        <f>+MINVU_Mes_Corriente!BP330*SALUD_Mes_Constante!$BP$1</f>
        <v>0</v>
      </c>
      <c r="BQ330" s="8">
        <f>+MINVU_Mes_Corriente!BQ330*SALUD_Mes_Constante!$BP$1</f>
        <v>0</v>
      </c>
      <c r="BR330" s="8">
        <f>+MINVU_Mes_Corriente!BR330*SALUD_Mes_Constante!$BP$1</f>
        <v>0</v>
      </c>
      <c r="BS330" s="8">
        <f>+MINVU_Mes_Corriente!BS330*SALUD_Mes_Constante!$BP$1</f>
        <v>0</v>
      </c>
      <c r="BT330" s="8">
        <f>+MINVU_Mes_Corriente!BT330*SALUD_Mes_Constante!$BP$1</f>
        <v>0</v>
      </c>
      <c r="BU330" s="8">
        <f>+MINVU_Mes_Corriente!BU330*SALUD_Mes_Constante!$BP$1</f>
        <v>0</v>
      </c>
      <c r="BV330" s="8">
        <f>+MINVU_Mes_Corriente!BV330*SALUD_Mes_Constante!$BP$1</f>
        <v>0</v>
      </c>
      <c r="BW330" s="8">
        <f>+MINVU_Mes_Corriente!BW330*SALUD_Mes_Constante!$BP$1</f>
        <v>0</v>
      </c>
      <c r="BX330" s="8">
        <f>+MINVU_Mes_Corriente!BX330*SALUD_Mes_Constante!$BP$1</f>
        <v>0</v>
      </c>
      <c r="BY330" s="8">
        <f>+MINVU_Mes_Corriente!BY330*SALUD_Mes_Constante!$BP$1</f>
        <v>0</v>
      </c>
      <c r="BZ330" s="8">
        <f>+MINVU_Mes_Corriente!BZ330*SALUD_Mes_Constante!$BP$1</f>
        <v>0</v>
      </c>
      <c r="CA330" s="8">
        <f>+MINVU_Mes_Corriente!CA330*SALUD_Mes_Constante!$BP$1</f>
        <v>0</v>
      </c>
      <c r="CB330" s="9">
        <f t="shared" si="157"/>
        <v>0</v>
      </c>
      <c r="CC330" s="8">
        <f>+MINVU_Mes_Corriente!CC330*SALUD_Mes_Constante!$CC$1</f>
        <v>0</v>
      </c>
      <c r="CD330" s="8">
        <f>+MINVU_Mes_Corriente!CD330*SALUD_Mes_Constante!$CC$1</f>
        <v>0</v>
      </c>
      <c r="CE330" s="8">
        <f>+MINVU_Mes_Corriente!CE330*SALUD_Mes_Constante!$CC$1</f>
        <v>0</v>
      </c>
      <c r="CF330" s="8">
        <f>+MINVU_Mes_Corriente!CF330*SALUD_Mes_Constante!$CC$1</f>
        <v>0</v>
      </c>
      <c r="CG330" s="8">
        <f>+MINVU_Mes_Corriente!CG330*SALUD_Mes_Constante!$CC$1</f>
        <v>0</v>
      </c>
      <c r="CH330" s="8">
        <f>+MINVU_Mes_Corriente!CH330*SALUD_Mes_Constante!$CC$1</f>
        <v>0</v>
      </c>
      <c r="CI330" s="8">
        <f>+MINVU_Mes_Corriente!CI330*SALUD_Mes_Constante!$CC$1</f>
        <v>0</v>
      </c>
      <c r="CJ330" s="8">
        <f>+MINVU_Mes_Corriente!CJ330*SALUD_Mes_Constante!$CC$1</f>
        <v>0</v>
      </c>
      <c r="CK330" s="8">
        <f>+MINVU_Mes_Corriente!CK330*SALUD_Mes_Constante!$CC$1</f>
        <v>0</v>
      </c>
      <c r="CL330" s="8">
        <f>+MINVU_Mes_Corriente!CL330*SALUD_Mes_Constante!$CC$1</f>
        <v>0</v>
      </c>
      <c r="CM330" s="8">
        <f>+MINVU_Mes_Corriente!CM330*SALUD_Mes_Constante!$CC$1</f>
        <v>0</v>
      </c>
      <c r="CN330" s="8">
        <f>+MINVU_Mes_Corriente!CN330*SALUD_Mes_Constante!$CC$1</f>
        <v>0</v>
      </c>
      <c r="CO330" s="9">
        <f t="shared" si="158"/>
        <v>0</v>
      </c>
      <c r="CP330" s="8">
        <f>+MINVU_Mes_Corriente!CP330*SALUD_Mes_Constante!$CP$1</f>
        <v>0</v>
      </c>
      <c r="CQ330" s="8">
        <f>+MINVU_Mes_Corriente!CQ330*SALUD_Mes_Constante!$CP$1</f>
        <v>0</v>
      </c>
      <c r="CR330" s="8">
        <f>+MINVU_Mes_Corriente!CR330*SALUD_Mes_Constante!$CP$1</f>
        <v>0</v>
      </c>
      <c r="CS330" s="8">
        <f>+MINVU_Mes_Corriente!CS330*SALUD_Mes_Constante!$CP$1</f>
        <v>0</v>
      </c>
      <c r="CT330" s="8">
        <f>+MINVU_Mes_Corriente!CT330*SALUD_Mes_Constante!$CP$1</f>
        <v>0</v>
      </c>
      <c r="CU330" s="8">
        <f>+MINVU_Mes_Corriente!CU330*SALUD_Mes_Constante!$CP$1</f>
        <v>0</v>
      </c>
      <c r="CV330" s="8">
        <f>+MINVU_Mes_Corriente!CV330*SALUD_Mes_Constante!$CP$1</f>
        <v>0</v>
      </c>
      <c r="CW330" s="8">
        <f>+MINVU_Mes_Corriente!CW330*SALUD_Mes_Constante!$CP$1</f>
        <v>0</v>
      </c>
      <c r="CX330" s="8">
        <f>+MINVU_Mes_Corriente!CX330*SALUD_Mes_Constante!$CP$1</f>
        <v>0</v>
      </c>
      <c r="CY330" s="8">
        <f>+MINVU_Mes_Corriente!CY330*SALUD_Mes_Constante!$CP$1</f>
        <v>0</v>
      </c>
      <c r="CZ330" s="8">
        <f>+MINVU_Mes_Corriente!CZ330*SALUD_Mes_Constante!$CP$1</f>
        <v>0</v>
      </c>
      <c r="DA330" s="8">
        <f>+MINVU_Mes_Corriente!DA330*SALUD_Mes_Constante!$CP$1</f>
        <v>0</v>
      </c>
      <c r="DB330" s="9">
        <f t="shared" si="159"/>
        <v>0</v>
      </c>
      <c r="DC330" s="8">
        <f>+MINVU_Mes_Corriente!DC330*SALUD_Mes_Constante!$DC$1</f>
        <v>0</v>
      </c>
      <c r="DD330" s="8">
        <f>+MINVU_Mes_Corriente!DD330*SALUD_Mes_Constante!$DC$1</f>
        <v>0</v>
      </c>
      <c r="DE330" s="8">
        <f>+MINVU_Mes_Corriente!DE330*SALUD_Mes_Constante!$DC$1</f>
        <v>0</v>
      </c>
      <c r="DF330" s="8">
        <f>+MINVU_Mes_Corriente!DF330*SALUD_Mes_Constante!$DC$1</f>
        <v>0</v>
      </c>
      <c r="DG330" s="8">
        <f>+MINVU_Mes_Corriente!DG330*SALUD_Mes_Constante!$DC$1</f>
        <v>0</v>
      </c>
      <c r="DH330" s="8">
        <f>+MINVU_Mes_Corriente!DH330*SALUD_Mes_Constante!$DC$1</f>
        <v>0</v>
      </c>
      <c r="DI330" s="8">
        <f>+MINVU_Mes_Corriente!DI330*SALUD_Mes_Constante!$DC$1</f>
        <v>0</v>
      </c>
      <c r="DJ330" s="8">
        <f>+MINVU_Mes_Corriente!DJ330*SALUD_Mes_Constante!$DC$1</f>
        <v>0</v>
      </c>
      <c r="DK330" s="8">
        <f>+MINVU_Mes_Corriente!DK330*SALUD_Mes_Constante!$DC$1</f>
        <v>0</v>
      </c>
      <c r="DL330" s="8">
        <f>+MINVU_Mes_Corriente!DL330*SALUD_Mes_Constante!$DC$1</f>
        <v>0</v>
      </c>
      <c r="DM330" s="8">
        <f>+MINVU_Mes_Corriente!DM330*SALUD_Mes_Constante!$DC$1</f>
        <v>0</v>
      </c>
      <c r="DN330" s="8">
        <f>+MINVU_Mes_Corriente!DN330*SALUD_Mes_Constante!$DC$1</f>
        <v>0</v>
      </c>
      <c r="DO330" s="9">
        <f t="shared" si="160"/>
        <v>0</v>
      </c>
      <c r="DP330" s="8">
        <f>+MINVU_Mes_Corriente!DP330*SALUD_Mes_Constante!$DP$1</f>
        <v>0</v>
      </c>
      <c r="DQ330" s="8">
        <f>+MINVU_Mes_Corriente!DQ330*SALUD_Mes_Constante!$DP$1</f>
        <v>0</v>
      </c>
      <c r="DR330" s="8">
        <f>+MINVU_Mes_Corriente!DR330*SALUD_Mes_Constante!$DP$1</f>
        <v>0</v>
      </c>
      <c r="DS330" s="8">
        <f>+MINVU_Mes_Corriente!DS330*SALUD_Mes_Constante!$DP$1</f>
        <v>0</v>
      </c>
      <c r="DT330" s="8">
        <f>+MINVU_Mes_Corriente!DT330*SALUD_Mes_Constante!$DP$1</f>
        <v>0</v>
      </c>
      <c r="DU330" s="8">
        <f>+MINVU_Mes_Corriente!DU330*SALUD_Mes_Constante!$DP$1</f>
        <v>0</v>
      </c>
      <c r="DV330" s="8">
        <f>+MINVU_Mes_Corriente!DV330*SALUD_Mes_Constante!$DP$1</f>
        <v>0</v>
      </c>
      <c r="DW330" s="8">
        <f>+MINVU_Mes_Corriente!DW330*SALUD_Mes_Constante!$DP$1</f>
        <v>0</v>
      </c>
      <c r="DX330" s="8">
        <f>+MINVU_Mes_Corriente!DX330*SALUD_Mes_Constante!$DP$1</f>
        <v>0</v>
      </c>
      <c r="DY330" s="8">
        <f>+MINVU_Mes_Corriente!DY330*SALUD_Mes_Constante!$DP$1</f>
        <v>0</v>
      </c>
      <c r="DZ330" s="8">
        <f>+MINVU_Mes_Corriente!DZ330*SALUD_Mes_Constante!$DP$1</f>
        <v>0</v>
      </c>
      <c r="EA330" s="8">
        <f>+MINVU_Mes_Corriente!EA330*SALUD_Mes_Constante!$DP$1</f>
        <v>0</v>
      </c>
      <c r="EB330" s="9">
        <f t="shared" si="161"/>
        <v>0</v>
      </c>
      <c r="EC330" s="8">
        <f>+MINVU_Mes_Corriente!EC330*SALUD_Mes_Constante!$EC$1</f>
        <v>0</v>
      </c>
      <c r="ED330" s="8">
        <f>+MINVU_Mes_Corriente!ED330*SALUD_Mes_Constante!$EC$1</f>
        <v>0</v>
      </c>
      <c r="EE330" s="8">
        <f>+MINVU_Mes_Corriente!EE330*SALUD_Mes_Constante!$EC$1</f>
        <v>0</v>
      </c>
      <c r="EF330" s="8">
        <f>+MINVU_Mes_Corriente!EF330*SALUD_Mes_Constante!$EC$1</f>
        <v>0</v>
      </c>
      <c r="EG330" s="8">
        <f>+MINVU_Mes_Corriente!EG330*SALUD_Mes_Constante!$EC$1</f>
        <v>0</v>
      </c>
      <c r="EH330" s="8">
        <f>+MINVU_Mes_Corriente!EH330*SALUD_Mes_Constante!$EC$1</f>
        <v>0</v>
      </c>
      <c r="EI330" s="8">
        <f>+MINVU_Mes_Corriente!EI330*SALUD_Mes_Constante!$EC$1</f>
        <v>0</v>
      </c>
      <c r="EJ330" s="8">
        <f>+MINVU_Mes_Corriente!EJ330*SALUD_Mes_Constante!$EC$1</f>
        <v>0</v>
      </c>
      <c r="EK330" s="8">
        <f>+MINVU_Mes_Corriente!EK330*SALUD_Mes_Constante!$EC$1</f>
        <v>0</v>
      </c>
      <c r="EL330" s="8">
        <f>+MINVU_Mes_Corriente!EL330*SALUD_Mes_Constante!$EC$1</f>
        <v>0</v>
      </c>
      <c r="EM330" s="8">
        <f>+MINVU_Mes_Corriente!EM330*SALUD_Mes_Constante!$EC$1</f>
        <v>0</v>
      </c>
      <c r="EN330" s="8">
        <f>+MINVU_Mes_Corriente!EN330*SALUD_Mes_Constante!$EC$1</f>
        <v>0</v>
      </c>
      <c r="EO330" s="9">
        <f t="shared" si="162"/>
        <v>0</v>
      </c>
      <c r="EP330" s="8">
        <f>+MINVU_Mes_Corriente!EP330*SALUD_Mes_Constante!$EP$1</f>
        <v>0</v>
      </c>
      <c r="EQ330" s="8">
        <f>+MINVU_Mes_Corriente!EQ330*SALUD_Mes_Constante!$EP$1</f>
        <v>0</v>
      </c>
      <c r="ER330" s="8">
        <f>+MINVU_Mes_Corriente!ER330*SALUD_Mes_Constante!$EP$1</f>
        <v>0</v>
      </c>
      <c r="ES330" s="8">
        <f>+MINVU_Mes_Corriente!ES330*SALUD_Mes_Constante!$EP$1</f>
        <v>0</v>
      </c>
      <c r="ET330" s="8">
        <f>+MINVU_Mes_Corriente!ET330*SALUD_Mes_Constante!$EP$1</f>
        <v>0</v>
      </c>
      <c r="EU330" s="8">
        <f>+MINVU_Mes_Corriente!EU330*SALUD_Mes_Constante!$EP$1</f>
        <v>0</v>
      </c>
      <c r="EV330" s="8">
        <f>+MINVU_Mes_Corriente!EV330*SALUD_Mes_Constante!$EP$1</f>
        <v>0</v>
      </c>
      <c r="EW330" s="8">
        <f>+MINVU_Mes_Corriente!EW330*SALUD_Mes_Constante!$EP$1</f>
        <v>0</v>
      </c>
      <c r="EX330" s="8">
        <f>+MINVU_Mes_Corriente!EX330*SALUD_Mes_Constante!$EP$1</f>
        <v>0</v>
      </c>
      <c r="EY330" s="8">
        <f>+MINVU_Mes_Corriente!EY330*SALUD_Mes_Constante!$EP$1</f>
        <v>0</v>
      </c>
      <c r="EZ330" s="8">
        <f>+MINVU_Mes_Corriente!EZ330*SALUD_Mes_Constante!$EP$1</f>
        <v>0</v>
      </c>
      <c r="FA330" s="8">
        <f>+MINVU_Mes_Corriente!FA330*SALUD_Mes_Constante!$EP$1</f>
        <v>0</v>
      </c>
      <c r="FB330" s="9">
        <f t="shared" si="163"/>
        <v>0</v>
      </c>
      <c r="FC330" s="8">
        <f>+MINVU_Mes_Corriente!FC330*SALUD_Mes_Constante!$FC$1</f>
        <v>0</v>
      </c>
      <c r="FD330" s="8">
        <f>+MINVU_Mes_Corriente!FD330*SALUD_Mes_Constante!$FC$1</f>
        <v>0</v>
      </c>
      <c r="FE330" s="8">
        <f>+MINVU_Mes_Corriente!FE330*SALUD_Mes_Constante!$FC$1</f>
        <v>0</v>
      </c>
      <c r="FF330" s="8">
        <f>+MINVU_Mes_Corriente!FF330*SALUD_Mes_Constante!$FC$1</f>
        <v>0</v>
      </c>
      <c r="FG330" s="8">
        <f>+MINVU_Mes_Corriente!FG330*SALUD_Mes_Constante!$FC$1</f>
        <v>0</v>
      </c>
      <c r="FH330" s="8">
        <f>+MINVU_Mes_Corriente!FH330*SALUD_Mes_Constante!$FC$1</f>
        <v>0</v>
      </c>
      <c r="FI330" s="8">
        <f>+MINVU_Mes_Corriente!FI330*SALUD_Mes_Constante!$FC$1</f>
        <v>0</v>
      </c>
      <c r="FJ330" s="8"/>
      <c r="FK330" s="8"/>
      <c r="FL330" s="8"/>
      <c r="FM330" s="8"/>
      <c r="FN330" s="8"/>
      <c r="FO330" s="9">
        <f t="shared" si="164"/>
        <v>0</v>
      </c>
    </row>
    <row r="331" spans="2:171" ht="14.25" customHeight="1" x14ac:dyDescent="0.3">
      <c r="B331" s="7" t="s">
        <v>72</v>
      </c>
      <c r="C331" s="8">
        <f>+MINVU_Mes_Corriente!C331*SALUD_Mes_Constante!$C$1</f>
        <v>0</v>
      </c>
      <c r="D331" s="8">
        <f>+MINVU_Mes_Corriente!D331*SALUD_Mes_Constante!$C$1</f>
        <v>0</v>
      </c>
      <c r="E331" s="8">
        <f>+MINVU_Mes_Corriente!E331*SALUD_Mes_Constante!$C$1</f>
        <v>0</v>
      </c>
      <c r="F331" s="8">
        <f>+MINVU_Mes_Corriente!F331*SALUD_Mes_Constante!$C$1</f>
        <v>0</v>
      </c>
      <c r="G331" s="8">
        <f>+MINVU_Mes_Corriente!G331*SALUD_Mes_Constante!$C$1</f>
        <v>0</v>
      </c>
      <c r="H331" s="8">
        <f>+MINVU_Mes_Corriente!H331*SALUD_Mes_Constante!$C$1</f>
        <v>0</v>
      </c>
      <c r="I331" s="8">
        <f>+MINVU_Mes_Corriente!I331*SALUD_Mes_Constante!$C$1</f>
        <v>0</v>
      </c>
      <c r="J331" s="8">
        <f>+MINVU_Mes_Corriente!J331*SALUD_Mes_Constante!$C$1</f>
        <v>0</v>
      </c>
      <c r="K331" s="8">
        <f>+MINVU_Mes_Corriente!K331*SALUD_Mes_Constante!$C$1</f>
        <v>0</v>
      </c>
      <c r="L331" s="8">
        <f>+MINVU_Mes_Corriente!L331*SALUD_Mes_Constante!$C$1</f>
        <v>0</v>
      </c>
      <c r="M331" s="8">
        <f>+MINVU_Mes_Corriente!M331*SALUD_Mes_Constante!$C$1</f>
        <v>0</v>
      </c>
      <c r="N331" s="8">
        <f>+MINVU_Mes_Corriente!N331*SALUD_Mes_Constante!$C$1</f>
        <v>0</v>
      </c>
      <c r="O331" s="9">
        <f t="shared" si="152"/>
        <v>0</v>
      </c>
      <c r="P331" s="8">
        <f>+MINVU_Mes_Corriente!P331*SALUD_Mes_Constante!$P$1</f>
        <v>0</v>
      </c>
      <c r="Q331" s="8">
        <f>+MINVU_Mes_Corriente!Q331*SALUD_Mes_Constante!$P$1</f>
        <v>0</v>
      </c>
      <c r="R331" s="8">
        <f>+MINVU_Mes_Corriente!R331*SALUD_Mes_Constante!$P$1</f>
        <v>0</v>
      </c>
      <c r="S331" s="8">
        <f>+MINVU_Mes_Corriente!S331*SALUD_Mes_Constante!$P$1</f>
        <v>0</v>
      </c>
      <c r="T331" s="8">
        <f>+MINVU_Mes_Corriente!T331*SALUD_Mes_Constante!$P$1</f>
        <v>0</v>
      </c>
      <c r="U331" s="8">
        <f>+MINVU_Mes_Corriente!U331*SALUD_Mes_Constante!$P$1</f>
        <v>0</v>
      </c>
      <c r="V331" s="8">
        <f>+MINVU_Mes_Corriente!V331*SALUD_Mes_Constante!$P$1</f>
        <v>0</v>
      </c>
      <c r="W331" s="8">
        <f>+MINVU_Mes_Corriente!W331*SALUD_Mes_Constante!$P$1</f>
        <v>0</v>
      </c>
      <c r="X331" s="8">
        <f>+MINVU_Mes_Corriente!X331*SALUD_Mes_Constante!$P$1</f>
        <v>0</v>
      </c>
      <c r="Y331" s="8">
        <f>+MINVU_Mes_Corriente!Y331*SALUD_Mes_Constante!$P$1</f>
        <v>0</v>
      </c>
      <c r="Z331" s="8">
        <f>+MINVU_Mes_Corriente!Z331*SALUD_Mes_Constante!$P$1</f>
        <v>0</v>
      </c>
      <c r="AA331" s="8">
        <f>+MINVU_Mes_Corriente!AA331*SALUD_Mes_Constante!$P$1</f>
        <v>0</v>
      </c>
      <c r="AB331" s="9">
        <f t="shared" si="153"/>
        <v>0</v>
      </c>
      <c r="AC331" s="8">
        <f>+MINVU_Mes_Corriente!AC331*SALUD_Mes_Constante!$AC$1</f>
        <v>0</v>
      </c>
      <c r="AD331" s="8">
        <f>+MINVU_Mes_Corriente!AD331*SALUD_Mes_Constante!$AC$1</f>
        <v>0</v>
      </c>
      <c r="AE331" s="8">
        <f>+MINVU_Mes_Corriente!AE331*SALUD_Mes_Constante!$AC$1</f>
        <v>0</v>
      </c>
      <c r="AF331" s="8">
        <f>+MINVU_Mes_Corriente!AF331*SALUD_Mes_Constante!$AC$1</f>
        <v>0</v>
      </c>
      <c r="AG331" s="8">
        <f>+MINVU_Mes_Corriente!AG331*SALUD_Mes_Constante!$AC$1</f>
        <v>0</v>
      </c>
      <c r="AH331" s="8">
        <f>+MINVU_Mes_Corriente!AH331*SALUD_Mes_Constante!$AC$1</f>
        <v>0</v>
      </c>
      <c r="AI331" s="8">
        <f>+MINVU_Mes_Corriente!AI331*SALUD_Mes_Constante!$AC$1</f>
        <v>0</v>
      </c>
      <c r="AJ331" s="8">
        <f>+MINVU_Mes_Corriente!AJ331*SALUD_Mes_Constante!$AC$1</f>
        <v>0</v>
      </c>
      <c r="AK331" s="8">
        <f>+MINVU_Mes_Corriente!AK331*SALUD_Mes_Constante!$AC$1</f>
        <v>0</v>
      </c>
      <c r="AL331" s="8">
        <f>+MINVU_Mes_Corriente!AL331*SALUD_Mes_Constante!$AC$1</f>
        <v>0</v>
      </c>
      <c r="AM331" s="8">
        <f>+MINVU_Mes_Corriente!AM331*SALUD_Mes_Constante!$AC$1</f>
        <v>0</v>
      </c>
      <c r="AN331" s="8">
        <f>+MINVU_Mes_Corriente!AN331*SALUD_Mes_Constante!$AC$1</f>
        <v>0</v>
      </c>
      <c r="AO331" s="9">
        <f t="shared" si="154"/>
        <v>0</v>
      </c>
      <c r="AP331" s="8">
        <f>+MINVU_Mes_Corriente!AP331*SALUD_Mes_Constante!$AP$1</f>
        <v>0</v>
      </c>
      <c r="AQ331" s="8">
        <f>+MINVU_Mes_Corriente!AQ331*SALUD_Mes_Constante!$AP$1</f>
        <v>0</v>
      </c>
      <c r="AR331" s="8">
        <f>+MINVU_Mes_Corriente!AR331*SALUD_Mes_Constante!$AP$1</f>
        <v>0</v>
      </c>
      <c r="AS331" s="8">
        <f>+MINVU_Mes_Corriente!AS331*SALUD_Mes_Constante!$AP$1</f>
        <v>0</v>
      </c>
      <c r="AT331" s="8">
        <f>+MINVU_Mes_Corriente!AT331*SALUD_Mes_Constante!$AP$1</f>
        <v>0</v>
      </c>
      <c r="AU331" s="8">
        <f>+MINVU_Mes_Corriente!AU331*SALUD_Mes_Constante!$AP$1</f>
        <v>0</v>
      </c>
      <c r="AV331" s="8">
        <f>+MINVU_Mes_Corriente!AV331*SALUD_Mes_Constante!$AP$1</f>
        <v>0</v>
      </c>
      <c r="AW331" s="8">
        <f>+MINVU_Mes_Corriente!AW331*SALUD_Mes_Constante!$AP$1</f>
        <v>0</v>
      </c>
      <c r="AX331" s="8">
        <f>+MINVU_Mes_Corriente!AX331*SALUD_Mes_Constante!$AP$1</f>
        <v>0</v>
      </c>
      <c r="AY331" s="8">
        <f>+MINVU_Mes_Corriente!AY331*SALUD_Mes_Constante!$AP$1</f>
        <v>0</v>
      </c>
      <c r="AZ331" s="8">
        <f>+MINVU_Mes_Corriente!AZ331*SALUD_Mes_Constante!$AP$1</f>
        <v>0</v>
      </c>
      <c r="BA331" s="8">
        <f>+MINVU_Mes_Corriente!BA331*SALUD_Mes_Constante!$AP$1</f>
        <v>0</v>
      </c>
      <c r="BB331" s="9">
        <f t="shared" si="155"/>
        <v>0</v>
      </c>
      <c r="BC331" s="8">
        <f>+MINVU_Mes_Corriente!BC331*SALUD_Mes_Constante!$BC$1</f>
        <v>0</v>
      </c>
      <c r="BD331" s="8">
        <f>+MINVU_Mes_Corriente!BD331*SALUD_Mes_Constante!$BC$1</f>
        <v>0</v>
      </c>
      <c r="BE331" s="8">
        <f>+MINVU_Mes_Corriente!BE331*SALUD_Mes_Constante!$BC$1</f>
        <v>0</v>
      </c>
      <c r="BF331" s="8">
        <f>+MINVU_Mes_Corriente!BF331*SALUD_Mes_Constante!$BC$1</f>
        <v>0</v>
      </c>
      <c r="BG331" s="8">
        <f>+MINVU_Mes_Corriente!BG331*SALUD_Mes_Constante!$BC$1</f>
        <v>0</v>
      </c>
      <c r="BH331" s="8">
        <f>+MINVU_Mes_Corriente!BH331*SALUD_Mes_Constante!$BC$1</f>
        <v>0</v>
      </c>
      <c r="BI331" s="8">
        <f>+MINVU_Mes_Corriente!BI331*SALUD_Mes_Constante!$BC$1</f>
        <v>0</v>
      </c>
      <c r="BJ331" s="8">
        <f>+MINVU_Mes_Corriente!BJ331*SALUD_Mes_Constante!$BC$1</f>
        <v>0</v>
      </c>
      <c r="BK331" s="8">
        <f>+MINVU_Mes_Corriente!BK331*SALUD_Mes_Constante!$BC$1</f>
        <v>0</v>
      </c>
      <c r="BL331" s="8">
        <f>+MINVU_Mes_Corriente!BL331*SALUD_Mes_Constante!$BC$1</f>
        <v>0</v>
      </c>
      <c r="BM331" s="8">
        <f>+MINVU_Mes_Corriente!BM331*SALUD_Mes_Constante!$BC$1</f>
        <v>0</v>
      </c>
      <c r="BN331" s="8">
        <f>+MINVU_Mes_Corriente!BN331*SALUD_Mes_Constante!$BC$1</f>
        <v>0</v>
      </c>
      <c r="BO331" s="9">
        <f t="shared" si="156"/>
        <v>0</v>
      </c>
      <c r="BP331" s="8">
        <f>+MINVU_Mes_Corriente!BP331*SALUD_Mes_Constante!$BP$1</f>
        <v>0</v>
      </c>
      <c r="BQ331" s="8">
        <f>+MINVU_Mes_Corriente!BQ331*SALUD_Mes_Constante!$BP$1</f>
        <v>0</v>
      </c>
      <c r="BR331" s="8">
        <f>+MINVU_Mes_Corriente!BR331*SALUD_Mes_Constante!$BP$1</f>
        <v>0</v>
      </c>
      <c r="BS331" s="8">
        <f>+MINVU_Mes_Corriente!BS331*SALUD_Mes_Constante!$BP$1</f>
        <v>0</v>
      </c>
      <c r="BT331" s="8">
        <f>+MINVU_Mes_Corriente!BT331*SALUD_Mes_Constante!$BP$1</f>
        <v>0</v>
      </c>
      <c r="BU331" s="8">
        <f>+MINVU_Mes_Corriente!BU331*SALUD_Mes_Constante!$BP$1</f>
        <v>0</v>
      </c>
      <c r="BV331" s="8">
        <f>+MINVU_Mes_Corriente!BV331*SALUD_Mes_Constante!$BP$1</f>
        <v>0</v>
      </c>
      <c r="BW331" s="8">
        <f>+MINVU_Mes_Corriente!BW331*SALUD_Mes_Constante!$BP$1</f>
        <v>0</v>
      </c>
      <c r="BX331" s="8">
        <f>+MINVU_Mes_Corriente!BX331*SALUD_Mes_Constante!$BP$1</f>
        <v>0</v>
      </c>
      <c r="BY331" s="8">
        <f>+MINVU_Mes_Corriente!BY331*SALUD_Mes_Constante!$BP$1</f>
        <v>0</v>
      </c>
      <c r="BZ331" s="8">
        <f>+MINVU_Mes_Corriente!BZ331*SALUD_Mes_Constante!$BP$1</f>
        <v>0</v>
      </c>
      <c r="CA331" s="8">
        <f>+MINVU_Mes_Corriente!CA331*SALUD_Mes_Constante!$BP$1</f>
        <v>0</v>
      </c>
      <c r="CB331" s="9">
        <f t="shared" si="157"/>
        <v>0</v>
      </c>
      <c r="CC331" s="8">
        <f>+MINVU_Mes_Corriente!CC331*SALUD_Mes_Constante!$CC$1</f>
        <v>0</v>
      </c>
      <c r="CD331" s="8">
        <f>+MINVU_Mes_Corriente!CD331*SALUD_Mes_Constante!$CC$1</f>
        <v>0</v>
      </c>
      <c r="CE331" s="8">
        <f>+MINVU_Mes_Corriente!CE331*SALUD_Mes_Constante!$CC$1</f>
        <v>0</v>
      </c>
      <c r="CF331" s="8">
        <f>+MINVU_Mes_Corriente!CF331*SALUD_Mes_Constante!$CC$1</f>
        <v>0</v>
      </c>
      <c r="CG331" s="8">
        <f>+MINVU_Mes_Corriente!CG331*SALUD_Mes_Constante!$CC$1</f>
        <v>0</v>
      </c>
      <c r="CH331" s="8">
        <f>+MINVU_Mes_Corriente!CH331*SALUD_Mes_Constante!$CC$1</f>
        <v>0</v>
      </c>
      <c r="CI331" s="8">
        <f>+MINVU_Mes_Corriente!CI331*SALUD_Mes_Constante!$CC$1</f>
        <v>0</v>
      </c>
      <c r="CJ331" s="8">
        <f>+MINVU_Mes_Corriente!CJ331*SALUD_Mes_Constante!$CC$1</f>
        <v>0</v>
      </c>
      <c r="CK331" s="8">
        <f>+MINVU_Mes_Corriente!CK331*SALUD_Mes_Constante!$CC$1</f>
        <v>0</v>
      </c>
      <c r="CL331" s="8">
        <f>+MINVU_Mes_Corriente!CL331*SALUD_Mes_Constante!$CC$1</f>
        <v>0</v>
      </c>
      <c r="CM331" s="8">
        <f>+MINVU_Mes_Corriente!CM331*SALUD_Mes_Constante!$CC$1</f>
        <v>0</v>
      </c>
      <c r="CN331" s="8">
        <f>+MINVU_Mes_Corriente!CN331*SALUD_Mes_Constante!$CC$1</f>
        <v>0</v>
      </c>
      <c r="CO331" s="9">
        <f t="shared" si="158"/>
        <v>0</v>
      </c>
      <c r="CP331" s="8">
        <f>+MINVU_Mes_Corriente!CP331*SALUD_Mes_Constante!$CP$1</f>
        <v>0</v>
      </c>
      <c r="CQ331" s="8">
        <f>+MINVU_Mes_Corriente!CQ331*SALUD_Mes_Constante!$CP$1</f>
        <v>0</v>
      </c>
      <c r="CR331" s="8">
        <f>+MINVU_Mes_Corriente!CR331*SALUD_Mes_Constante!$CP$1</f>
        <v>0</v>
      </c>
      <c r="CS331" s="8">
        <f>+MINVU_Mes_Corriente!CS331*SALUD_Mes_Constante!$CP$1</f>
        <v>0</v>
      </c>
      <c r="CT331" s="8">
        <f>+MINVU_Mes_Corriente!CT331*SALUD_Mes_Constante!$CP$1</f>
        <v>0</v>
      </c>
      <c r="CU331" s="8">
        <f>+MINVU_Mes_Corriente!CU331*SALUD_Mes_Constante!$CP$1</f>
        <v>0</v>
      </c>
      <c r="CV331" s="8">
        <f>+MINVU_Mes_Corriente!CV331*SALUD_Mes_Constante!$CP$1</f>
        <v>0</v>
      </c>
      <c r="CW331" s="8">
        <f>+MINVU_Mes_Corriente!CW331*SALUD_Mes_Constante!$CP$1</f>
        <v>0</v>
      </c>
      <c r="CX331" s="8">
        <f>+MINVU_Mes_Corriente!CX331*SALUD_Mes_Constante!$CP$1</f>
        <v>0</v>
      </c>
      <c r="CY331" s="8">
        <f>+MINVU_Mes_Corriente!CY331*SALUD_Mes_Constante!$CP$1</f>
        <v>0</v>
      </c>
      <c r="CZ331" s="8">
        <f>+MINVU_Mes_Corriente!CZ331*SALUD_Mes_Constante!$CP$1</f>
        <v>0</v>
      </c>
      <c r="DA331" s="8">
        <f>+MINVU_Mes_Corriente!DA331*SALUD_Mes_Constante!$CP$1</f>
        <v>0</v>
      </c>
      <c r="DB331" s="9">
        <f t="shared" si="159"/>
        <v>0</v>
      </c>
      <c r="DC331" s="8">
        <f>+MINVU_Mes_Corriente!DC331*SALUD_Mes_Constante!$DC$1</f>
        <v>0</v>
      </c>
      <c r="DD331" s="8">
        <f>+MINVU_Mes_Corriente!DD331*SALUD_Mes_Constante!$DC$1</f>
        <v>0</v>
      </c>
      <c r="DE331" s="8">
        <f>+MINVU_Mes_Corriente!DE331*SALUD_Mes_Constante!$DC$1</f>
        <v>0</v>
      </c>
      <c r="DF331" s="8">
        <f>+MINVU_Mes_Corriente!DF331*SALUD_Mes_Constante!$DC$1</f>
        <v>0</v>
      </c>
      <c r="DG331" s="8">
        <f>+MINVU_Mes_Corriente!DG331*SALUD_Mes_Constante!$DC$1</f>
        <v>0</v>
      </c>
      <c r="DH331" s="8">
        <f>+MINVU_Mes_Corriente!DH331*SALUD_Mes_Constante!$DC$1</f>
        <v>0</v>
      </c>
      <c r="DI331" s="8">
        <f>+MINVU_Mes_Corriente!DI331*SALUD_Mes_Constante!$DC$1</f>
        <v>0</v>
      </c>
      <c r="DJ331" s="8">
        <f>+MINVU_Mes_Corriente!DJ331*SALUD_Mes_Constante!$DC$1</f>
        <v>0</v>
      </c>
      <c r="DK331" s="8">
        <f>+MINVU_Mes_Corriente!DK331*SALUD_Mes_Constante!$DC$1</f>
        <v>0</v>
      </c>
      <c r="DL331" s="8">
        <f>+MINVU_Mes_Corriente!DL331*SALUD_Mes_Constante!$DC$1</f>
        <v>0</v>
      </c>
      <c r="DM331" s="8">
        <f>+MINVU_Mes_Corriente!DM331*SALUD_Mes_Constante!$DC$1</f>
        <v>0</v>
      </c>
      <c r="DN331" s="8">
        <f>+MINVU_Mes_Corriente!DN331*SALUD_Mes_Constante!$DC$1</f>
        <v>0</v>
      </c>
      <c r="DO331" s="9">
        <f t="shared" si="160"/>
        <v>0</v>
      </c>
      <c r="DP331" s="8">
        <f>+MINVU_Mes_Corriente!DP331*SALUD_Mes_Constante!$DP$1</f>
        <v>0</v>
      </c>
      <c r="DQ331" s="8">
        <f>+MINVU_Mes_Corriente!DQ331*SALUD_Mes_Constante!$DP$1</f>
        <v>0</v>
      </c>
      <c r="DR331" s="8">
        <f>+MINVU_Mes_Corriente!DR331*SALUD_Mes_Constante!$DP$1</f>
        <v>0</v>
      </c>
      <c r="DS331" s="8">
        <f>+MINVU_Mes_Corriente!DS331*SALUD_Mes_Constante!$DP$1</f>
        <v>0</v>
      </c>
      <c r="DT331" s="8">
        <f>+MINVU_Mes_Corriente!DT331*SALUD_Mes_Constante!$DP$1</f>
        <v>0</v>
      </c>
      <c r="DU331" s="8">
        <f>+MINVU_Mes_Corriente!DU331*SALUD_Mes_Constante!$DP$1</f>
        <v>0</v>
      </c>
      <c r="DV331" s="8">
        <f>+MINVU_Mes_Corriente!DV331*SALUD_Mes_Constante!$DP$1</f>
        <v>0</v>
      </c>
      <c r="DW331" s="8">
        <f>+MINVU_Mes_Corriente!DW331*SALUD_Mes_Constante!$DP$1</f>
        <v>0</v>
      </c>
      <c r="DX331" s="8">
        <f>+MINVU_Mes_Corriente!DX331*SALUD_Mes_Constante!$DP$1</f>
        <v>0</v>
      </c>
      <c r="DY331" s="8">
        <f>+MINVU_Mes_Corriente!DY331*SALUD_Mes_Constante!$DP$1</f>
        <v>0</v>
      </c>
      <c r="DZ331" s="8">
        <f>+MINVU_Mes_Corriente!DZ331*SALUD_Mes_Constante!$DP$1</f>
        <v>0</v>
      </c>
      <c r="EA331" s="8">
        <f>+MINVU_Mes_Corriente!EA331*SALUD_Mes_Constante!$DP$1</f>
        <v>0</v>
      </c>
      <c r="EB331" s="9">
        <f t="shared" si="161"/>
        <v>0</v>
      </c>
      <c r="EC331" s="8">
        <f>+MINVU_Mes_Corriente!EC331*SALUD_Mes_Constante!$EC$1</f>
        <v>0</v>
      </c>
      <c r="ED331" s="8">
        <f>+MINVU_Mes_Corriente!ED331*SALUD_Mes_Constante!$EC$1</f>
        <v>0</v>
      </c>
      <c r="EE331" s="8">
        <f>+MINVU_Mes_Corriente!EE331*SALUD_Mes_Constante!$EC$1</f>
        <v>0</v>
      </c>
      <c r="EF331" s="8">
        <f>+MINVU_Mes_Corriente!EF331*SALUD_Mes_Constante!$EC$1</f>
        <v>0</v>
      </c>
      <c r="EG331" s="8">
        <f>+MINVU_Mes_Corriente!EG331*SALUD_Mes_Constante!$EC$1</f>
        <v>0</v>
      </c>
      <c r="EH331" s="8">
        <f>+MINVU_Mes_Corriente!EH331*SALUD_Mes_Constante!$EC$1</f>
        <v>0</v>
      </c>
      <c r="EI331" s="8">
        <f>+MINVU_Mes_Corriente!EI331*SALUD_Mes_Constante!$EC$1</f>
        <v>0</v>
      </c>
      <c r="EJ331" s="8">
        <f>+MINVU_Mes_Corriente!EJ331*SALUD_Mes_Constante!$EC$1</f>
        <v>0</v>
      </c>
      <c r="EK331" s="8">
        <f>+MINVU_Mes_Corriente!EK331*SALUD_Mes_Constante!$EC$1</f>
        <v>0</v>
      </c>
      <c r="EL331" s="8">
        <f>+MINVU_Mes_Corriente!EL331*SALUD_Mes_Constante!$EC$1</f>
        <v>0</v>
      </c>
      <c r="EM331" s="8">
        <f>+MINVU_Mes_Corriente!EM331*SALUD_Mes_Constante!$EC$1</f>
        <v>0</v>
      </c>
      <c r="EN331" s="8">
        <f>+MINVU_Mes_Corriente!EN331*SALUD_Mes_Constante!$EC$1</f>
        <v>0</v>
      </c>
      <c r="EO331" s="9">
        <f t="shared" si="162"/>
        <v>0</v>
      </c>
      <c r="EP331" s="8">
        <f>+MINVU_Mes_Corriente!EP331*SALUD_Mes_Constante!$EP$1</f>
        <v>0</v>
      </c>
      <c r="EQ331" s="8">
        <f>+MINVU_Mes_Corriente!EQ331*SALUD_Mes_Constante!$EP$1</f>
        <v>0</v>
      </c>
      <c r="ER331" s="8">
        <f>+MINVU_Mes_Corriente!ER331*SALUD_Mes_Constante!$EP$1</f>
        <v>0</v>
      </c>
      <c r="ES331" s="8">
        <f>+MINVU_Mes_Corriente!ES331*SALUD_Mes_Constante!$EP$1</f>
        <v>0</v>
      </c>
      <c r="ET331" s="8">
        <f>+MINVU_Mes_Corriente!ET331*SALUD_Mes_Constante!$EP$1</f>
        <v>0</v>
      </c>
      <c r="EU331" s="8">
        <f>+MINVU_Mes_Corriente!EU331*SALUD_Mes_Constante!$EP$1</f>
        <v>0</v>
      </c>
      <c r="EV331" s="8">
        <f>+MINVU_Mes_Corriente!EV331*SALUD_Mes_Constante!$EP$1</f>
        <v>0</v>
      </c>
      <c r="EW331" s="8">
        <f>+MINVU_Mes_Corriente!EW331*SALUD_Mes_Constante!$EP$1</f>
        <v>0</v>
      </c>
      <c r="EX331" s="8">
        <f>+MINVU_Mes_Corriente!EX331*SALUD_Mes_Constante!$EP$1</f>
        <v>0</v>
      </c>
      <c r="EY331" s="8">
        <f>+MINVU_Mes_Corriente!EY331*SALUD_Mes_Constante!$EP$1</f>
        <v>0</v>
      </c>
      <c r="EZ331" s="8">
        <f>+MINVU_Mes_Corriente!EZ331*SALUD_Mes_Constante!$EP$1</f>
        <v>0</v>
      </c>
      <c r="FA331" s="8">
        <f>+MINVU_Mes_Corriente!FA331*SALUD_Mes_Constante!$EP$1</f>
        <v>0</v>
      </c>
      <c r="FB331" s="9">
        <f t="shared" si="163"/>
        <v>0</v>
      </c>
      <c r="FC331" s="8">
        <f>+MINVU_Mes_Corriente!FC331*SALUD_Mes_Constante!$FC$1</f>
        <v>0</v>
      </c>
      <c r="FD331" s="8">
        <f>+MINVU_Mes_Corriente!FD331*SALUD_Mes_Constante!$FC$1</f>
        <v>0</v>
      </c>
      <c r="FE331" s="8">
        <f>+MINVU_Mes_Corriente!FE331*SALUD_Mes_Constante!$FC$1</f>
        <v>0</v>
      </c>
      <c r="FF331" s="8">
        <f>+MINVU_Mes_Corriente!FF331*SALUD_Mes_Constante!$FC$1</f>
        <v>0</v>
      </c>
      <c r="FG331" s="8">
        <f>+MINVU_Mes_Corriente!FG331*SALUD_Mes_Constante!$FC$1</f>
        <v>0</v>
      </c>
      <c r="FH331" s="8">
        <f>+MINVU_Mes_Corriente!FH331*SALUD_Mes_Constante!$FC$1</f>
        <v>0</v>
      </c>
      <c r="FI331" s="8">
        <f>+MINVU_Mes_Corriente!FI331*SALUD_Mes_Constante!$FC$1</f>
        <v>0</v>
      </c>
      <c r="FJ331" s="8"/>
      <c r="FK331" s="8"/>
      <c r="FL331" s="8"/>
      <c r="FM331" s="8"/>
      <c r="FN331" s="8"/>
      <c r="FO331" s="9">
        <f t="shared" si="164"/>
        <v>0</v>
      </c>
    </row>
    <row r="332" spans="2:171" ht="14.25" customHeight="1" x14ac:dyDescent="0.3">
      <c r="B332" s="7" t="s">
        <v>73</v>
      </c>
      <c r="C332" s="8">
        <f>+MINVU_Mes_Corriente!C332*SALUD_Mes_Constante!$C$1</f>
        <v>0</v>
      </c>
      <c r="D332" s="8">
        <f>+MINVU_Mes_Corriente!D332*SALUD_Mes_Constante!$C$1</f>
        <v>0</v>
      </c>
      <c r="E332" s="8">
        <f>+MINVU_Mes_Corriente!E332*SALUD_Mes_Constante!$C$1</f>
        <v>0</v>
      </c>
      <c r="F332" s="8">
        <f>+MINVU_Mes_Corriente!F332*SALUD_Mes_Constante!$C$1</f>
        <v>0</v>
      </c>
      <c r="G332" s="8">
        <f>+MINVU_Mes_Corriente!G332*SALUD_Mes_Constante!$C$1</f>
        <v>0</v>
      </c>
      <c r="H332" s="8">
        <f>+MINVU_Mes_Corriente!H332*SALUD_Mes_Constante!$C$1</f>
        <v>0</v>
      </c>
      <c r="I332" s="8">
        <f>+MINVU_Mes_Corriente!I332*SALUD_Mes_Constante!$C$1</f>
        <v>0</v>
      </c>
      <c r="J332" s="8">
        <f>+MINVU_Mes_Corriente!J332*SALUD_Mes_Constante!$C$1</f>
        <v>0</v>
      </c>
      <c r="K332" s="8">
        <f>+MINVU_Mes_Corriente!K332*SALUD_Mes_Constante!$C$1</f>
        <v>0</v>
      </c>
      <c r="L332" s="8">
        <f>+MINVU_Mes_Corriente!L332*SALUD_Mes_Constante!$C$1</f>
        <v>0</v>
      </c>
      <c r="M332" s="8">
        <f>+MINVU_Mes_Corriente!M332*SALUD_Mes_Constante!$C$1</f>
        <v>0</v>
      </c>
      <c r="N332" s="8">
        <f>+MINVU_Mes_Corriente!N332*SALUD_Mes_Constante!$C$1</f>
        <v>0</v>
      </c>
      <c r="O332" s="9">
        <f t="shared" si="152"/>
        <v>0</v>
      </c>
      <c r="P332" s="8">
        <f>+MINVU_Mes_Corriente!P332*SALUD_Mes_Constante!$P$1</f>
        <v>0</v>
      </c>
      <c r="Q332" s="8">
        <f>+MINVU_Mes_Corriente!Q332*SALUD_Mes_Constante!$P$1</f>
        <v>0</v>
      </c>
      <c r="R332" s="8">
        <f>+MINVU_Mes_Corriente!R332*SALUD_Mes_Constante!$P$1</f>
        <v>0</v>
      </c>
      <c r="S332" s="8">
        <f>+MINVU_Mes_Corriente!S332*SALUD_Mes_Constante!$P$1</f>
        <v>0</v>
      </c>
      <c r="T332" s="8">
        <f>+MINVU_Mes_Corriente!T332*SALUD_Mes_Constante!$P$1</f>
        <v>0</v>
      </c>
      <c r="U332" s="8">
        <f>+MINVU_Mes_Corriente!U332*SALUD_Mes_Constante!$P$1</f>
        <v>0</v>
      </c>
      <c r="V332" s="8">
        <f>+MINVU_Mes_Corriente!V332*SALUD_Mes_Constante!$P$1</f>
        <v>0</v>
      </c>
      <c r="W332" s="8">
        <f>+MINVU_Mes_Corriente!W332*SALUD_Mes_Constante!$P$1</f>
        <v>0</v>
      </c>
      <c r="X332" s="8">
        <f>+MINVU_Mes_Corriente!X332*SALUD_Mes_Constante!$P$1</f>
        <v>0</v>
      </c>
      <c r="Y332" s="8">
        <f>+MINVU_Mes_Corriente!Y332*SALUD_Mes_Constante!$P$1</f>
        <v>0</v>
      </c>
      <c r="Z332" s="8">
        <f>+MINVU_Mes_Corriente!Z332*SALUD_Mes_Constante!$P$1</f>
        <v>0</v>
      </c>
      <c r="AA332" s="8">
        <f>+MINVU_Mes_Corriente!AA332*SALUD_Mes_Constante!$P$1</f>
        <v>0</v>
      </c>
      <c r="AB332" s="9">
        <f t="shared" si="153"/>
        <v>0</v>
      </c>
      <c r="AC332" s="8">
        <f>+MINVU_Mes_Corriente!AC332*SALUD_Mes_Constante!$AC$1</f>
        <v>0</v>
      </c>
      <c r="AD332" s="8">
        <f>+MINVU_Mes_Corriente!AD332*SALUD_Mes_Constante!$AC$1</f>
        <v>0</v>
      </c>
      <c r="AE332" s="8">
        <f>+MINVU_Mes_Corriente!AE332*SALUD_Mes_Constante!$AC$1</f>
        <v>0</v>
      </c>
      <c r="AF332" s="8">
        <f>+MINVU_Mes_Corriente!AF332*SALUD_Mes_Constante!$AC$1</f>
        <v>0</v>
      </c>
      <c r="AG332" s="8">
        <f>+MINVU_Mes_Corriente!AG332*SALUD_Mes_Constante!$AC$1</f>
        <v>0</v>
      </c>
      <c r="AH332" s="8">
        <f>+MINVU_Mes_Corriente!AH332*SALUD_Mes_Constante!$AC$1</f>
        <v>0</v>
      </c>
      <c r="AI332" s="8">
        <f>+MINVU_Mes_Corriente!AI332*SALUD_Mes_Constante!$AC$1</f>
        <v>0</v>
      </c>
      <c r="AJ332" s="8">
        <f>+MINVU_Mes_Corriente!AJ332*SALUD_Mes_Constante!$AC$1</f>
        <v>0</v>
      </c>
      <c r="AK332" s="8">
        <f>+MINVU_Mes_Corriente!AK332*SALUD_Mes_Constante!$AC$1</f>
        <v>0</v>
      </c>
      <c r="AL332" s="8">
        <f>+MINVU_Mes_Corriente!AL332*SALUD_Mes_Constante!$AC$1</f>
        <v>0</v>
      </c>
      <c r="AM332" s="8">
        <f>+MINVU_Mes_Corriente!AM332*SALUD_Mes_Constante!$AC$1</f>
        <v>0</v>
      </c>
      <c r="AN332" s="8">
        <f>+MINVU_Mes_Corriente!AN332*SALUD_Mes_Constante!$AC$1</f>
        <v>0</v>
      </c>
      <c r="AO332" s="9">
        <f t="shared" si="154"/>
        <v>0</v>
      </c>
      <c r="AP332" s="8">
        <f>+MINVU_Mes_Corriente!AP332*SALUD_Mes_Constante!$AP$1</f>
        <v>0</v>
      </c>
      <c r="AQ332" s="8">
        <f>+MINVU_Mes_Corriente!AQ332*SALUD_Mes_Constante!$AP$1</f>
        <v>0</v>
      </c>
      <c r="AR332" s="8">
        <f>+MINVU_Mes_Corriente!AR332*SALUD_Mes_Constante!$AP$1</f>
        <v>0</v>
      </c>
      <c r="AS332" s="8">
        <f>+MINVU_Mes_Corriente!AS332*SALUD_Mes_Constante!$AP$1</f>
        <v>0</v>
      </c>
      <c r="AT332" s="8">
        <f>+MINVU_Mes_Corriente!AT332*SALUD_Mes_Constante!$AP$1</f>
        <v>0</v>
      </c>
      <c r="AU332" s="8">
        <f>+MINVU_Mes_Corriente!AU332*SALUD_Mes_Constante!$AP$1</f>
        <v>0</v>
      </c>
      <c r="AV332" s="8">
        <f>+MINVU_Mes_Corriente!AV332*SALUD_Mes_Constante!$AP$1</f>
        <v>0</v>
      </c>
      <c r="AW332" s="8">
        <f>+MINVU_Mes_Corriente!AW332*SALUD_Mes_Constante!$AP$1</f>
        <v>0</v>
      </c>
      <c r="AX332" s="8">
        <f>+MINVU_Mes_Corriente!AX332*SALUD_Mes_Constante!$AP$1</f>
        <v>0</v>
      </c>
      <c r="AY332" s="8">
        <f>+MINVU_Mes_Corriente!AY332*SALUD_Mes_Constante!$AP$1</f>
        <v>0</v>
      </c>
      <c r="AZ332" s="8">
        <f>+MINVU_Mes_Corriente!AZ332*SALUD_Mes_Constante!$AP$1</f>
        <v>0</v>
      </c>
      <c r="BA332" s="8">
        <f>+MINVU_Mes_Corriente!BA332*SALUD_Mes_Constante!$AP$1</f>
        <v>0</v>
      </c>
      <c r="BB332" s="9">
        <f t="shared" si="155"/>
        <v>0</v>
      </c>
      <c r="BC332" s="8">
        <f>+MINVU_Mes_Corriente!BC332*SALUD_Mes_Constante!$BC$1</f>
        <v>0</v>
      </c>
      <c r="BD332" s="8">
        <f>+MINVU_Mes_Corriente!BD332*SALUD_Mes_Constante!$BC$1</f>
        <v>0</v>
      </c>
      <c r="BE332" s="8">
        <f>+MINVU_Mes_Corriente!BE332*SALUD_Mes_Constante!$BC$1</f>
        <v>0</v>
      </c>
      <c r="BF332" s="8">
        <f>+MINVU_Mes_Corriente!BF332*SALUD_Mes_Constante!$BC$1</f>
        <v>0</v>
      </c>
      <c r="BG332" s="8">
        <f>+MINVU_Mes_Corriente!BG332*SALUD_Mes_Constante!$BC$1</f>
        <v>0</v>
      </c>
      <c r="BH332" s="8">
        <f>+MINVU_Mes_Corriente!BH332*SALUD_Mes_Constante!$BC$1</f>
        <v>0</v>
      </c>
      <c r="BI332" s="8">
        <f>+MINVU_Mes_Corriente!BI332*SALUD_Mes_Constante!$BC$1</f>
        <v>0</v>
      </c>
      <c r="BJ332" s="8">
        <f>+MINVU_Mes_Corriente!BJ332*SALUD_Mes_Constante!$BC$1</f>
        <v>0</v>
      </c>
      <c r="BK332" s="8">
        <f>+MINVU_Mes_Corriente!BK332*SALUD_Mes_Constante!$BC$1</f>
        <v>0</v>
      </c>
      <c r="BL332" s="8">
        <f>+MINVU_Mes_Corriente!BL332*SALUD_Mes_Constante!$BC$1</f>
        <v>0</v>
      </c>
      <c r="BM332" s="8">
        <f>+MINVU_Mes_Corriente!BM332*SALUD_Mes_Constante!$BC$1</f>
        <v>0</v>
      </c>
      <c r="BN332" s="8">
        <f>+MINVU_Mes_Corriente!BN332*SALUD_Mes_Constante!$BC$1</f>
        <v>0</v>
      </c>
      <c r="BO332" s="9">
        <f t="shared" si="156"/>
        <v>0</v>
      </c>
      <c r="BP332" s="8">
        <f>+MINVU_Mes_Corriente!BP332*SALUD_Mes_Constante!$BP$1</f>
        <v>0</v>
      </c>
      <c r="BQ332" s="8">
        <f>+MINVU_Mes_Corriente!BQ332*SALUD_Mes_Constante!$BP$1</f>
        <v>0</v>
      </c>
      <c r="BR332" s="8">
        <f>+MINVU_Mes_Corriente!BR332*SALUD_Mes_Constante!$BP$1</f>
        <v>0</v>
      </c>
      <c r="BS332" s="8">
        <f>+MINVU_Mes_Corriente!BS332*SALUD_Mes_Constante!$BP$1</f>
        <v>0</v>
      </c>
      <c r="BT332" s="8">
        <f>+MINVU_Mes_Corriente!BT332*SALUD_Mes_Constante!$BP$1</f>
        <v>0</v>
      </c>
      <c r="BU332" s="8">
        <f>+MINVU_Mes_Corriente!BU332*SALUD_Mes_Constante!$BP$1</f>
        <v>0</v>
      </c>
      <c r="BV332" s="8">
        <f>+MINVU_Mes_Corriente!BV332*SALUD_Mes_Constante!$BP$1</f>
        <v>0</v>
      </c>
      <c r="BW332" s="8">
        <f>+MINVU_Mes_Corriente!BW332*SALUD_Mes_Constante!$BP$1</f>
        <v>0</v>
      </c>
      <c r="BX332" s="8">
        <f>+MINVU_Mes_Corriente!BX332*SALUD_Mes_Constante!$BP$1</f>
        <v>0</v>
      </c>
      <c r="BY332" s="8">
        <f>+MINVU_Mes_Corriente!BY332*SALUD_Mes_Constante!$BP$1</f>
        <v>0</v>
      </c>
      <c r="BZ332" s="8">
        <f>+MINVU_Mes_Corriente!BZ332*SALUD_Mes_Constante!$BP$1</f>
        <v>0</v>
      </c>
      <c r="CA332" s="8">
        <f>+MINVU_Mes_Corriente!CA332*SALUD_Mes_Constante!$BP$1</f>
        <v>0</v>
      </c>
      <c r="CB332" s="9">
        <f t="shared" si="157"/>
        <v>0</v>
      </c>
      <c r="CC332" s="8">
        <f>+MINVU_Mes_Corriente!CC332*SALUD_Mes_Constante!$CC$1</f>
        <v>0</v>
      </c>
      <c r="CD332" s="8">
        <f>+MINVU_Mes_Corriente!CD332*SALUD_Mes_Constante!$CC$1</f>
        <v>0</v>
      </c>
      <c r="CE332" s="8">
        <f>+MINVU_Mes_Corriente!CE332*SALUD_Mes_Constante!$CC$1</f>
        <v>0</v>
      </c>
      <c r="CF332" s="8">
        <f>+MINVU_Mes_Corriente!CF332*SALUD_Mes_Constante!$CC$1</f>
        <v>0</v>
      </c>
      <c r="CG332" s="8">
        <f>+MINVU_Mes_Corriente!CG332*SALUD_Mes_Constante!$CC$1</f>
        <v>0</v>
      </c>
      <c r="CH332" s="8">
        <f>+MINVU_Mes_Corriente!CH332*SALUD_Mes_Constante!$CC$1</f>
        <v>0</v>
      </c>
      <c r="CI332" s="8">
        <f>+MINVU_Mes_Corriente!CI332*SALUD_Mes_Constante!$CC$1</f>
        <v>0</v>
      </c>
      <c r="CJ332" s="8">
        <f>+MINVU_Mes_Corriente!CJ332*SALUD_Mes_Constante!$CC$1</f>
        <v>0</v>
      </c>
      <c r="CK332" s="8">
        <f>+MINVU_Mes_Corriente!CK332*SALUD_Mes_Constante!$CC$1</f>
        <v>0</v>
      </c>
      <c r="CL332" s="8">
        <f>+MINVU_Mes_Corriente!CL332*SALUD_Mes_Constante!$CC$1</f>
        <v>0</v>
      </c>
      <c r="CM332" s="8">
        <f>+MINVU_Mes_Corriente!CM332*SALUD_Mes_Constante!$CC$1</f>
        <v>0</v>
      </c>
      <c r="CN332" s="8">
        <f>+MINVU_Mes_Corriente!CN332*SALUD_Mes_Constante!$CC$1</f>
        <v>0</v>
      </c>
      <c r="CO332" s="9">
        <f t="shared" si="158"/>
        <v>0</v>
      </c>
      <c r="CP332" s="8">
        <f>+MINVU_Mes_Corriente!CP332*SALUD_Mes_Constante!$CP$1</f>
        <v>0</v>
      </c>
      <c r="CQ332" s="8">
        <f>+MINVU_Mes_Corriente!CQ332*SALUD_Mes_Constante!$CP$1</f>
        <v>0</v>
      </c>
      <c r="CR332" s="8">
        <f>+MINVU_Mes_Corriente!CR332*SALUD_Mes_Constante!$CP$1</f>
        <v>0</v>
      </c>
      <c r="CS332" s="8">
        <f>+MINVU_Mes_Corriente!CS332*SALUD_Mes_Constante!$CP$1</f>
        <v>0</v>
      </c>
      <c r="CT332" s="8">
        <f>+MINVU_Mes_Corriente!CT332*SALUD_Mes_Constante!$CP$1</f>
        <v>0</v>
      </c>
      <c r="CU332" s="8">
        <f>+MINVU_Mes_Corriente!CU332*SALUD_Mes_Constante!$CP$1</f>
        <v>0</v>
      </c>
      <c r="CV332" s="8">
        <f>+MINVU_Mes_Corriente!CV332*SALUD_Mes_Constante!$CP$1</f>
        <v>0</v>
      </c>
      <c r="CW332" s="8">
        <f>+MINVU_Mes_Corriente!CW332*SALUD_Mes_Constante!$CP$1</f>
        <v>0</v>
      </c>
      <c r="CX332" s="8">
        <f>+MINVU_Mes_Corriente!CX332*SALUD_Mes_Constante!$CP$1</f>
        <v>0</v>
      </c>
      <c r="CY332" s="8">
        <f>+MINVU_Mes_Corriente!CY332*SALUD_Mes_Constante!$CP$1</f>
        <v>0</v>
      </c>
      <c r="CZ332" s="8">
        <f>+MINVU_Mes_Corriente!CZ332*SALUD_Mes_Constante!$CP$1</f>
        <v>0</v>
      </c>
      <c r="DA332" s="8">
        <f>+MINVU_Mes_Corriente!DA332*SALUD_Mes_Constante!$CP$1</f>
        <v>0</v>
      </c>
      <c r="DB332" s="9">
        <f t="shared" si="159"/>
        <v>0</v>
      </c>
      <c r="DC332" s="8">
        <f>+MINVU_Mes_Corriente!DC332*SALUD_Mes_Constante!$DC$1</f>
        <v>0</v>
      </c>
      <c r="DD332" s="8">
        <f>+MINVU_Mes_Corriente!DD332*SALUD_Mes_Constante!$DC$1</f>
        <v>0</v>
      </c>
      <c r="DE332" s="8">
        <f>+MINVU_Mes_Corriente!DE332*SALUD_Mes_Constante!$DC$1</f>
        <v>0</v>
      </c>
      <c r="DF332" s="8">
        <f>+MINVU_Mes_Corriente!DF332*SALUD_Mes_Constante!$DC$1</f>
        <v>0</v>
      </c>
      <c r="DG332" s="8">
        <f>+MINVU_Mes_Corriente!DG332*SALUD_Mes_Constante!$DC$1</f>
        <v>0</v>
      </c>
      <c r="DH332" s="8">
        <f>+MINVU_Mes_Corriente!DH332*SALUD_Mes_Constante!$DC$1</f>
        <v>0</v>
      </c>
      <c r="DI332" s="8">
        <f>+MINVU_Mes_Corriente!DI332*SALUD_Mes_Constante!$DC$1</f>
        <v>0</v>
      </c>
      <c r="DJ332" s="8">
        <f>+MINVU_Mes_Corriente!DJ332*SALUD_Mes_Constante!$DC$1</f>
        <v>0</v>
      </c>
      <c r="DK332" s="8">
        <f>+MINVU_Mes_Corriente!DK332*SALUD_Mes_Constante!$DC$1</f>
        <v>0</v>
      </c>
      <c r="DL332" s="8">
        <f>+MINVU_Mes_Corriente!DL332*SALUD_Mes_Constante!$DC$1</f>
        <v>0</v>
      </c>
      <c r="DM332" s="8">
        <f>+MINVU_Mes_Corriente!DM332*SALUD_Mes_Constante!$DC$1</f>
        <v>0</v>
      </c>
      <c r="DN332" s="8">
        <f>+MINVU_Mes_Corriente!DN332*SALUD_Mes_Constante!$DC$1</f>
        <v>0</v>
      </c>
      <c r="DO332" s="9">
        <f t="shared" si="160"/>
        <v>0</v>
      </c>
      <c r="DP332" s="8">
        <f>+MINVU_Mes_Corriente!DP332*SALUD_Mes_Constante!$DP$1</f>
        <v>0</v>
      </c>
      <c r="DQ332" s="8">
        <f>+MINVU_Mes_Corriente!DQ332*SALUD_Mes_Constante!$DP$1</f>
        <v>0</v>
      </c>
      <c r="DR332" s="8">
        <f>+MINVU_Mes_Corriente!DR332*SALUD_Mes_Constante!$DP$1</f>
        <v>0</v>
      </c>
      <c r="DS332" s="8">
        <f>+MINVU_Mes_Corriente!DS332*SALUD_Mes_Constante!$DP$1</f>
        <v>0</v>
      </c>
      <c r="DT332" s="8">
        <f>+MINVU_Mes_Corriente!DT332*SALUD_Mes_Constante!$DP$1</f>
        <v>0</v>
      </c>
      <c r="DU332" s="8">
        <f>+MINVU_Mes_Corriente!DU332*SALUD_Mes_Constante!$DP$1</f>
        <v>0</v>
      </c>
      <c r="DV332" s="8">
        <f>+MINVU_Mes_Corriente!DV332*SALUD_Mes_Constante!$DP$1</f>
        <v>0</v>
      </c>
      <c r="DW332" s="8">
        <f>+MINVU_Mes_Corriente!DW332*SALUD_Mes_Constante!$DP$1</f>
        <v>0</v>
      </c>
      <c r="DX332" s="8">
        <f>+MINVU_Mes_Corriente!DX332*SALUD_Mes_Constante!$DP$1</f>
        <v>0</v>
      </c>
      <c r="DY332" s="8">
        <f>+MINVU_Mes_Corriente!DY332*SALUD_Mes_Constante!$DP$1</f>
        <v>0</v>
      </c>
      <c r="DZ332" s="8">
        <f>+MINVU_Mes_Corriente!DZ332*SALUD_Mes_Constante!$DP$1</f>
        <v>0</v>
      </c>
      <c r="EA332" s="8">
        <f>+MINVU_Mes_Corriente!EA332*SALUD_Mes_Constante!$DP$1</f>
        <v>0</v>
      </c>
      <c r="EB332" s="9">
        <f t="shared" si="161"/>
        <v>0</v>
      </c>
      <c r="EC332" s="8">
        <f>+MINVU_Mes_Corriente!EC332*SALUD_Mes_Constante!$EC$1</f>
        <v>0</v>
      </c>
      <c r="ED332" s="8">
        <f>+MINVU_Mes_Corriente!ED332*SALUD_Mes_Constante!$EC$1</f>
        <v>0</v>
      </c>
      <c r="EE332" s="8">
        <f>+MINVU_Mes_Corriente!EE332*SALUD_Mes_Constante!$EC$1</f>
        <v>0</v>
      </c>
      <c r="EF332" s="8">
        <f>+MINVU_Mes_Corriente!EF332*SALUD_Mes_Constante!$EC$1</f>
        <v>0</v>
      </c>
      <c r="EG332" s="8">
        <f>+MINVU_Mes_Corriente!EG332*SALUD_Mes_Constante!$EC$1</f>
        <v>0</v>
      </c>
      <c r="EH332" s="8">
        <f>+MINVU_Mes_Corriente!EH332*SALUD_Mes_Constante!$EC$1</f>
        <v>0</v>
      </c>
      <c r="EI332" s="8">
        <f>+MINVU_Mes_Corriente!EI332*SALUD_Mes_Constante!$EC$1</f>
        <v>0</v>
      </c>
      <c r="EJ332" s="8">
        <f>+MINVU_Mes_Corriente!EJ332*SALUD_Mes_Constante!$EC$1</f>
        <v>0</v>
      </c>
      <c r="EK332" s="8">
        <f>+MINVU_Mes_Corriente!EK332*SALUD_Mes_Constante!$EC$1</f>
        <v>0</v>
      </c>
      <c r="EL332" s="8">
        <f>+MINVU_Mes_Corriente!EL332*SALUD_Mes_Constante!$EC$1</f>
        <v>0</v>
      </c>
      <c r="EM332" s="8">
        <f>+MINVU_Mes_Corriente!EM332*SALUD_Mes_Constante!$EC$1</f>
        <v>0</v>
      </c>
      <c r="EN332" s="8">
        <f>+MINVU_Mes_Corriente!EN332*SALUD_Mes_Constante!$EC$1</f>
        <v>0</v>
      </c>
      <c r="EO332" s="9">
        <f t="shared" si="162"/>
        <v>0</v>
      </c>
      <c r="EP332" s="8">
        <f>+MINVU_Mes_Corriente!EP332*SALUD_Mes_Constante!$EP$1</f>
        <v>0</v>
      </c>
      <c r="EQ332" s="8">
        <f>+MINVU_Mes_Corriente!EQ332*SALUD_Mes_Constante!$EP$1</f>
        <v>0</v>
      </c>
      <c r="ER332" s="8">
        <f>+MINVU_Mes_Corriente!ER332*SALUD_Mes_Constante!$EP$1</f>
        <v>0</v>
      </c>
      <c r="ES332" s="8">
        <f>+MINVU_Mes_Corriente!ES332*SALUD_Mes_Constante!$EP$1</f>
        <v>0</v>
      </c>
      <c r="ET332" s="8">
        <f>+MINVU_Mes_Corriente!ET332*SALUD_Mes_Constante!$EP$1</f>
        <v>0</v>
      </c>
      <c r="EU332" s="8">
        <f>+MINVU_Mes_Corriente!EU332*SALUD_Mes_Constante!$EP$1</f>
        <v>0</v>
      </c>
      <c r="EV332" s="8">
        <f>+MINVU_Mes_Corriente!EV332*SALUD_Mes_Constante!$EP$1</f>
        <v>0</v>
      </c>
      <c r="EW332" s="8">
        <f>+MINVU_Mes_Corriente!EW332*SALUD_Mes_Constante!$EP$1</f>
        <v>0</v>
      </c>
      <c r="EX332" s="8">
        <f>+MINVU_Mes_Corriente!EX332*SALUD_Mes_Constante!$EP$1</f>
        <v>0</v>
      </c>
      <c r="EY332" s="8">
        <f>+MINVU_Mes_Corriente!EY332*SALUD_Mes_Constante!$EP$1</f>
        <v>0</v>
      </c>
      <c r="EZ332" s="8">
        <f>+MINVU_Mes_Corriente!EZ332*SALUD_Mes_Constante!$EP$1</f>
        <v>0</v>
      </c>
      <c r="FA332" s="8">
        <f>+MINVU_Mes_Corriente!FA332*SALUD_Mes_Constante!$EP$1</f>
        <v>0</v>
      </c>
      <c r="FB332" s="9">
        <f t="shared" si="163"/>
        <v>0</v>
      </c>
      <c r="FC332" s="8">
        <f>+MINVU_Mes_Corriente!FC332*SALUD_Mes_Constante!$FC$1</f>
        <v>0</v>
      </c>
      <c r="FD332" s="8">
        <f>+MINVU_Mes_Corriente!FD332*SALUD_Mes_Constante!$FC$1</f>
        <v>0</v>
      </c>
      <c r="FE332" s="8">
        <f>+MINVU_Mes_Corriente!FE332*SALUD_Mes_Constante!$FC$1</f>
        <v>0</v>
      </c>
      <c r="FF332" s="8">
        <f>+MINVU_Mes_Corriente!FF332*SALUD_Mes_Constante!$FC$1</f>
        <v>0</v>
      </c>
      <c r="FG332" s="8">
        <f>+MINVU_Mes_Corriente!FG332*SALUD_Mes_Constante!$FC$1</f>
        <v>0</v>
      </c>
      <c r="FH332" s="8">
        <f>+MINVU_Mes_Corriente!FH332*SALUD_Mes_Constante!$FC$1</f>
        <v>0</v>
      </c>
      <c r="FI332" s="8">
        <f>+MINVU_Mes_Corriente!FI332*SALUD_Mes_Constante!$FC$1</f>
        <v>0</v>
      </c>
      <c r="FJ332" s="8"/>
      <c r="FK332" s="8"/>
      <c r="FL332" s="8"/>
      <c r="FM332" s="8"/>
      <c r="FN332" s="8"/>
      <c r="FO332" s="9">
        <f t="shared" si="164"/>
        <v>0</v>
      </c>
    </row>
    <row r="333" spans="2:171" ht="14.25" customHeight="1" x14ac:dyDescent="0.3">
      <c r="B333" s="7" t="s">
        <v>74</v>
      </c>
      <c r="C333" s="8">
        <f>+MINVU_Mes_Corriente!C333*SALUD_Mes_Constante!$C$1</f>
        <v>0</v>
      </c>
      <c r="D333" s="8">
        <f>+MINVU_Mes_Corriente!D333*SALUD_Mes_Constante!$C$1</f>
        <v>0</v>
      </c>
      <c r="E333" s="8">
        <f>+MINVU_Mes_Corriente!E333*SALUD_Mes_Constante!$C$1</f>
        <v>0</v>
      </c>
      <c r="F333" s="8">
        <f>+MINVU_Mes_Corriente!F333*SALUD_Mes_Constante!$C$1</f>
        <v>0</v>
      </c>
      <c r="G333" s="8">
        <f>+MINVU_Mes_Corriente!G333*SALUD_Mes_Constante!$C$1</f>
        <v>0</v>
      </c>
      <c r="H333" s="8">
        <f>+MINVU_Mes_Corriente!H333*SALUD_Mes_Constante!$C$1</f>
        <v>0</v>
      </c>
      <c r="I333" s="8">
        <f>+MINVU_Mes_Corriente!I333*SALUD_Mes_Constante!$C$1</f>
        <v>0</v>
      </c>
      <c r="J333" s="8">
        <f>+MINVU_Mes_Corriente!J333*SALUD_Mes_Constante!$C$1</f>
        <v>0</v>
      </c>
      <c r="K333" s="8">
        <f>+MINVU_Mes_Corriente!K333*SALUD_Mes_Constante!$C$1</f>
        <v>0</v>
      </c>
      <c r="L333" s="8">
        <f>+MINVU_Mes_Corriente!L333*SALUD_Mes_Constante!$C$1</f>
        <v>0</v>
      </c>
      <c r="M333" s="8">
        <f>+MINVU_Mes_Corriente!M333*SALUD_Mes_Constante!$C$1</f>
        <v>0</v>
      </c>
      <c r="N333" s="8">
        <f>+MINVU_Mes_Corriente!N333*SALUD_Mes_Constante!$C$1</f>
        <v>0</v>
      </c>
      <c r="O333" s="9">
        <f t="shared" si="152"/>
        <v>0</v>
      </c>
      <c r="P333" s="8">
        <f>+MINVU_Mes_Corriente!P333*SALUD_Mes_Constante!$P$1</f>
        <v>0</v>
      </c>
      <c r="Q333" s="8">
        <f>+MINVU_Mes_Corriente!Q333*SALUD_Mes_Constante!$P$1</f>
        <v>0</v>
      </c>
      <c r="R333" s="8">
        <f>+MINVU_Mes_Corriente!R333*SALUD_Mes_Constante!$P$1</f>
        <v>0</v>
      </c>
      <c r="S333" s="8">
        <f>+MINVU_Mes_Corriente!S333*SALUD_Mes_Constante!$P$1</f>
        <v>0</v>
      </c>
      <c r="T333" s="8">
        <f>+MINVU_Mes_Corriente!T333*SALUD_Mes_Constante!$P$1</f>
        <v>0</v>
      </c>
      <c r="U333" s="8">
        <f>+MINVU_Mes_Corriente!U333*SALUD_Mes_Constante!$P$1</f>
        <v>0</v>
      </c>
      <c r="V333" s="8">
        <f>+MINVU_Mes_Corriente!V333*SALUD_Mes_Constante!$P$1</f>
        <v>0</v>
      </c>
      <c r="W333" s="8">
        <f>+MINVU_Mes_Corriente!W333*SALUD_Mes_Constante!$P$1</f>
        <v>0</v>
      </c>
      <c r="X333" s="8">
        <f>+MINVU_Mes_Corriente!X333*SALUD_Mes_Constante!$P$1</f>
        <v>0</v>
      </c>
      <c r="Y333" s="8">
        <f>+MINVU_Mes_Corriente!Y333*SALUD_Mes_Constante!$P$1</f>
        <v>0</v>
      </c>
      <c r="Z333" s="8">
        <f>+MINVU_Mes_Corriente!Z333*SALUD_Mes_Constante!$P$1</f>
        <v>0</v>
      </c>
      <c r="AA333" s="8">
        <f>+MINVU_Mes_Corriente!AA333*SALUD_Mes_Constante!$P$1</f>
        <v>0</v>
      </c>
      <c r="AB333" s="9">
        <f t="shared" si="153"/>
        <v>0</v>
      </c>
      <c r="AC333" s="8">
        <f>+MINVU_Mes_Corriente!AC333*SALUD_Mes_Constante!$AC$1</f>
        <v>0</v>
      </c>
      <c r="AD333" s="8">
        <f>+MINVU_Mes_Corriente!AD333*SALUD_Mes_Constante!$AC$1</f>
        <v>0</v>
      </c>
      <c r="AE333" s="8">
        <f>+MINVU_Mes_Corriente!AE333*SALUD_Mes_Constante!$AC$1</f>
        <v>0</v>
      </c>
      <c r="AF333" s="8">
        <f>+MINVU_Mes_Corriente!AF333*SALUD_Mes_Constante!$AC$1</f>
        <v>0</v>
      </c>
      <c r="AG333" s="8">
        <f>+MINVU_Mes_Corriente!AG333*SALUD_Mes_Constante!$AC$1</f>
        <v>0</v>
      </c>
      <c r="AH333" s="8">
        <f>+MINVU_Mes_Corriente!AH333*SALUD_Mes_Constante!$AC$1</f>
        <v>0</v>
      </c>
      <c r="AI333" s="8">
        <f>+MINVU_Mes_Corriente!AI333*SALUD_Mes_Constante!$AC$1</f>
        <v>0</v>
      </c>
      <c r="AJ333" s="8">
        <f>+MINVU_Mes_Corriente!AJ333*SALUD_Mes_Constante!$AC$1</f>
        <v>0</v>
      </c>
      <c r="AK333" s="8">
        <f>+MINVU_Mes_Corriente!AK333*SALUD_Mes_Constante!$AC$1</f>
        <v>0</v>
      </c>
      <c r="AL333" s="8">
        <f>+MINVU_Mes_Corriente!AL333*SALUD_Mes_Constante!$AC$1</f>
        <v>0</v>
      </c>
      <c r="AM333" s="8">
        <f>+MINVU_Mes_Corriente!AM333*SALUD_Mes_Constante!$AC$1</f>
        <v>0</v>
      </c>
      <c r="AN333" s="8">
        <f>+MINVU_Mes_Corriente!AN333*SALUD_Mes_Constante!$AC$1</f>
        <v>0</v>
      </c>
      <c r="AO333" s="9">
        <f t="shared" si="154"/>
        <v>0</v>
      </c>
      <c r="AP333" s="8">
        <f>+MINVU_Mes_Corriente!AP333*SALUD_Mes_Constante!$AP$1</f>
        <v>0</v>
      </c>
      <c r="AQ333" s="8">
        <f>+MINVU_Mes_Corriente!AQ333*SALUD_Mes_Constante!$AP$1</f>
        <v>0</v>
      </c>
      <c r="AR333" s="8">
        <f>+MINVU_Mes_Corriente!AR333*SALUD_Mes_Constante!$AP$1</f>
        <v>0</v>
      </c>
      <c r="AS333" s="8">
        <f>+MINVU_Mes_Corriente!AS333*SALUD_Mes_Constante!$AP$1</f>
        <v>0</v>
      </c>
      <c r="AT333" s="8">
        <f>+MINVU_Mes_Corriente!AT333*SALUD_Mes_Constante!$AP$1</f>
        <v>0</v>
      </c>
      <c r="AU333" s="8">
        <f>+MINVU_Mes_Corriente!AU333*SALUD_Mes_Constante!$AP$1</f>
        <v>0</v>
      </c>
      <c r="AV333" s="8">
        <f>+MINVU_Mes_Corriente!AV333*SALUD_Mes_Constante!$AP$1</f>
        <v>0</v>
      </c>
      <c r="AW333" s="8">
        <f>+MINVU_Mes_Corriente!AW333*SALUD_Mes_Constante!$AP$1</f>
        <v>0</v>
      </c>
      <c r="AX333" s="8">
        <f>+MINVU_Mes_Corriente!AX333*SALUD_Mes_Constante!$AP$1</f>
        <v>0</v>
      </c>
      <c r="AY333" s="8">
        <f>+MINVU_Mes_Corriente!AY333*SALUD_Mes_Constante!$AP$1</f>
        <v>0</v>
      </c>
      <c r="AZ333" s="8">
        <f>+MINVU_Mes_Corriente!AZ333*SALUD_Mes_Constante!$AP$1</f>
        <v>0</v>
      </c>
      <c r="BA333" s="8">
        <f>+MINVU_Mes_Corriente!BA333*SALUD_Mes_Constante!$AP$1</f>
        <v>0</v>
      </c>
      <c r="BB333" s="9">
        <f t="shared" si="155"/>
        <v>0</v>
      </c>
      <c r="BC333" s="8">
        <f>+MINVU_Mes_Corriente!BC333*SALUD_Mes_Constante!$BC$1</f>
        <v>0</v>
      </c>
      <c r="BD333" s="8">
        <f>+MINVU_Mes_Corriente!BD333*SALUD_Mes_Constante!$BC$1</f>
        <v>0</v>
      </c>
      <c r="BE333" s="8">
        <f>+MINVU_Mes_Corriente!BE333*SALUD_Mes_Constante!$BC$1</f>
        <v>0</v>
      </c>
      <c r="BF333" s="8">
        <f>+MINVU_Mes_Corriente!BF333*SALUD_Mes_Constante!$BC$1</f>
        <v>0</v>
      </c>
      <c r="BG333" s="8">
        <f>+MINVU_Mes_Corriente!BG333*SALUD_Mes_Constante!$BC$1</f>
        <v>0</v>
      </c>
      <c r="BH333" s="8">
        <f>+MINVU_Mes_Corriente!BH333*SALUD_Mes_Constante!$BC$1</f>
        <v>0</v>
      </c>
      <c r="BI333" s="8">
        <f>+MINVU_Mes_Corriente!BI333*SALUD_Mes_Constante!$BC$1</f>
        <v>0</v>
      </c>
      <c r="BJ333" s="8">
        <f>+MINVU_Mes_Corriente!BJ333*SALUD_Mes_Constante!$BC$1</f>
        <v>0</v>
      </c>
      <c r="BK333" s="8">
        <f>+MINVU_Mes_Corriente!BK333*SALUD_Mes_Constante!$BC$1</f>
        <v>0</v>
      </c>
      <c r="BL333" s="8">
        <f>+MINVU_Mes_Corriente!BL333*SALUD_Mes_Constante!$BC$1</f>
        <v>0</v>
      </c>
      <c r="BM333" s="8">
        <f>+MINVU_Mes_Corriente!BM333*SALUD_Mes_Constante!$BC$1</f>
        <v>0</v>
      </c>
      <c r="BN333" s="8">
        <f>+MINVU_Mes_Corriente!BN333*SALUD_Mes_Constante!$BC$1</f>
        <v>0</v>
      </c>
      <c r="BO333" s="9">
        <f t="shared" si="156"/>
        <v>0</v>
      </c>
      <c r="BP333" s="8">
        <f>+MINVU_Mes_Corriente!BP333*SALUD_Mes_Constante!$BP$1</f>
        <v>0</v>
      </c>
      <c r="BQ333" s="8">
        <f>+MINVU_Mes_Corriente!BQ333*SALUD_Mes_Constante!$BP$1</f>
        <v>0</v>
      </c>
      <c r="BR333" s="8">
        <f>+MINVU_Mes_Corriente!BR333*SALUD_Mes_Constante!$BP$1</f>
        <v>0</v>
      </c>
      <c r="BS333" s="8">
        <f>+MINVU_Mes_Corriente!BS333*SALUD_Mes_Constante!$BP$1</f>
        <v>0</v>
      </c>
      <c r="BT333" s="8">
        <f>+MINVU_Mes_Corriente!BT333*SALUD_Mes_Constante!$BP$1</f>
        <v>0</v>
      </c>
      <c r="BU333" s="8">
        <f>+MINVU_Mes_Corriente!BU333*SALUD_Mes_Constante!$BP$1</f>
        <v>0</v>
      </c>
      <c r="BV333" s="8">
        <f>+MINVU_Mes_Corriente!BV333*SALUD_Mes_Constante!$BP$1</f>
        <v>0</v>
      </c>
      <c r="BW333" s="8">
        <f>+MINVU_Mes_Corriente!BW333*SALUD_Mes_Constante!$BP$1</f>
        <v>0</v>
      </c>
      <c r="BX333" s="8">
        <f>+MINVU_Mes_Corriente!BX333*SALUD_Mes_Constante!$BP$1</f>
        <v>0</v>
      </c>
      <c r="BY333" s="8">
        <f>+MINVU_Mes_Corriente!BY333*SALUD_Mes_Constante!$BP$1</f>
        <v>0</v>
      </c>
      <c r="BZ333" s="8">
        <f>+MINVU_Mes_Corriente!BZ333*SALUD_Mes_Constante!$BP$1</f>
        <v>0</v>
      </c>
      <c r="CA333" s="8">
        <f>+MINVU_Mes_Corriente!CA333*SALUD_Mes_Constante!$BP$1</f>
        <v>0</v>
      </c>
      <c r="CB333" s="9">
        <f t="shared" si="157"/>
        <v>0</v>
      </c>
      <c r="CC333" s="8">
        <f>+MINVU_Mes_Corriente!CC333*SALUD_Mes_Constante!$CC$1</f>
        <v>0</v>
      </c>
      <c r="CD333" s="8">
        <f>+MINVU_Mes_Corriente!CD333*SALUD_Mes_Constante!$CC$1</f>
        <v>0</v>
      </c>
      <c r="CE333" s="8">
        <f>+MINVU_Mes_Corriente!CE333*SALUD_Mes_Constante!$CC$1</f>
        <v>0</v>
      </c>
      <c r="CF333" s="8">
        <f>+MINVU_Mes_Corriente!CF333*SALUD_Mes_Constante!$CC$1</f>
        <v>0</v>
      </c>
      <c r="CG333" s="8">
        <f>+MINVU_Mes_Corriente!CG333*SALUD_Mes_Constante!$CC$1</f>
        <v>0</v>
      </c>
      <c r="CH333" s="8">
        <f>+MINVU_Mes_Corriente!CH333*SALUD_Mes_Constante!$CC$1</f>
        <v>0</v>
      </c>
      <c r="CI333" s="8">
        <f>+MINVU_Mes_Corriente!CI333*SALUD_Mes_Constante!$CC$1</f>
        <v>0</v>
      </c>
      <c r="CJ333" s="8">
        <f>+MINVU_Mes_Corriente!CJ333*SALUD_Mes_Constante!$CC$1</f>
        <v>0</v>
      </c>
      <c r="CK333" s="8">
        <f>+MINVU_Mes_Corriente!CK333*SALUD_Mes_Constante!$CC$1</f>
        <v>0</v>
      </c>
      <c r="CL333" s="8">
        <f>+MINVU_Mes_Corriente!CL333*SALUD_Mes_Constante!$CC$1</f>
        <v>0</v>
      </c>
      <c r="CM333" s="8">
        <f>+MINVU_Mes_Corriente!CM333*SALUD_Mes_Constante!$CC$1</f>
        <v>0</v>
      </c>
      <c r="CN333" s="8">
        <f>+MINVU_Mes_Corriente!CN333*SALUD_Mes_Constante!$CC$1</f>
        <v>0</v>
      </c>
      <c r="CO333" s="9">
        <f t="shared" si="158"/>
        <v>0</v>
      </c>
      <c r="CP333" s="8">
        <f>+MINVU_Mes_Corriente!CP333*SALUD_Mes_Constante!$CP$1</f>
        <v>0</v>
      </c>
      <c r="CQ333" s="8">
        <f>+MINVU_Mes_Corriente!CQ333*SALUD_Mes_Constante!$CP$1</f>
        <v>0</v>
      </c>
      <c r="CR333" s="8">
        <f>+MINVU_Mes_Corriente!CR333*SALUD_Mes_Constante!$CP$1</f>
        <v>0</v>
      </c>
      <c r="CS333" s="8">
        <f>+MINVU_Mes_Corriente!CS333*SALUD_Mes_Constante!$CP$1</f>
        <v>0</v>
      </c>
      <c r="CT333" s="8">
        <f>+MINVU_Mes_Corriente!CT333*SALUD_Mes_Constante!$CP$1</f>
        <v>0</v>
      </c>
      <c r="CU333" s="8">
        <f>+MINVU_Mes_Corriente!CU333*SALUD_Mes_Constante!$CP$1</f>
        <v>0</v>
      </c>
      <c r="CV333" s="8">
        <f>+MINVU_Mes_Corriente!CV333*SALUD_Mes_Constante!$CP$1</f>
        <v>0</v>
      </c>
      <c r="CW333" s="8">
        <f>+MINVU_Mes_Corriente!CW333*SALUD_Mes_Constante!$CP$1</f>
        <v>0</v>
      </c>
      <c r="CX333" s="8">
        <f>+MINVU_Mes_Corriente!CX333*SALUD_Mes_Constante!$CP$1</f>
        <v>0</v>
      </c>
      <c r="CY333" s="8">
        <f>+MINVU_Mes_Corriente!CY333*SALUD_Mes_Constante!$CP$1</f>
        <v>0</v>
      </c>
      <c r="CZ333" s="8">
        <f>+MINVU_Mes_Corriente!CZ333*SALUD_Mes_Constante!$CP$1</f>
        <v>0</v>
      </c>
      <c r="DA333" s="8">
        <f>+MINVU_Mes_Corriente!DA333*SALUD_Mes_Constante!$CP$1</f>
        <v>0</v>
      </c>
      <c r="DB333" s="9">
        <f t="shared" si="159"/>
        <v>0</v>
      </c>
      <c r="DC333" s="8">
        <f>+MINVU_Mes_Corriente!DC333*SALUD_Mes_Constante!$DC$1</f>
        <v>0</v>
      </c>
      <c r="DD333" s="8">
        <f>+MINVU_Mes_Corriente!DD333*SALUD_Mes_Constante!$DC$1</f>
        <v>0</v>
      </c>
      <c r="DE333" s="8">
        <f>+MINVU_Mes_Corriente!DE333*SALUD_Mes_Constante!$DC$1</f>
        <v>0</v>
      </c>
      <c r="DF333" s="8">
        <f>+MINVU_Mes_Corriente!DF333*SALUD_Mes_Constante!$DC$1</f>
        <v>0</v>
      </c>
      <c r="DG333" s="8">
        <f>+MINVU_Mes_Corriente!DG333*SALUD_Mes_Constante!$DC$1</f>
        <v>0</v>
      </c>
      <c r="DH333" s="8">
        <f>+MINVU_Mes_Corriente!DH333*SALUD_Mes_Constante!$DC$1</f>
        <v>0</v>
      </c>
      <c r="DI333" s="8">
        <f>+MINVU_Mes_Corriente!DI333*SALUD_Mes_Constante!$DC$1</f>
        <v>0</v>
      </c>
      <c r="DJ333" s="8">
        <f>+MINVU_Mes_Corriente!DJ333*SALUD_Mes_Constante!$DC$1</f>
        <v>0</v>
      </c>
      <c r="DK333" s="8">
        <f>+MINVU_Mes_Corriente!DK333*SALUD_Mes_Constante!$DC$1</f>
        <v>0</v>
      </c>
      <c r="DL333" s="8">
        <f>+MINVU_Mes_Corriente!DL333*SALUD_Mes_Constante!$DC$1</f>
        <v>0</v>
      </c>
      <c r="DM333" s="8">
        <f>+MINVU_Mes_Corriente!DM333*SALUD_Mes_Constante!$DC$1</f>
        <v>0</v>
      </c>
      <c r="DN333" s="8">
        <f>+MINVU_Mes_Corriente!DN333*SALUD_Mes_Constante!$DC$1</f>
        <v>0</v>
      </c>
      <c r="DO333" s="9">
        <f t="shared" si="160"/>
        <v>0</v>
      </c>
      <c r="DP333" s="8">
        <f>+MINVU_Mes_Corriente!DP333*SALUD_Mes_Constante!$DP$1</f>
        <v>0</v>
      </c>
      <c r="DQ333" s="8">
        <f>+MINVU_Mes_Corriente!DQ333*SALUD_Mes_Constante!$DP$1</f>
        <v>0</v>
      </c>
      <c r="DR333" s="8">
        <f>+MINVU_Mes_Corriente!DR333*SALUD_Mes_Constante!$DP$1</f>
        <v>0</v>
      </c>
      <c r="DS333" s="8">
        <f>+MINVU_Mes_Corriente!DS333*SALUD_Mes_Constante!$DP$1</f>
        <v>0</v>
      </c>
      <c r="DT333" s="8">
        <f>+MINVU_Mes_Corriente!DT333*SALUD_Mes_Constante!$DP$1</f>
        <v>0</v>
      </c>
      <c r="DU333" s="8">
        <f>+MINVU_Mes_Corriente!DU333*SALUD_Mes_Constante!$DP$1</f>
        <v>0</v>
      </c>
      <c r="DV333" s="8">
        <f>+MINVU_Mes_Corriente!DV333*SALUD_Mes_Constante!$DP$1</f>
        <v>0</v>
      </c>
      <c r="DW333" s="8">
        <f>+MINVU_Mes_Corriente!DW333*SALUD_Mes_Constante!$DP$1</f>
        <v>0</v>
      </c>
      <c r="DX333" s="8">
        <f>+MINVU_Mes_Corriente!DX333*SALUD_Mes_Constante!$DP$1</f>
        <v>0</v>
      </c>
      <c r="DY333" s="8">
        <f>+MINVU_Mes_Corriente!DY333*SALUD_Mes_Constante!$DP$1</f>
        <v>0</v>
      </c>
      <c r="DZ333" s="8">
        <f>+MINVU_Mes_Corriente!DZ333*SALUD_Mes_Constante!$DP$1</f>
        <v>0</v>
      </c>
      <c r="EA333" s="8">
        <f>+MINVU_Mes_Corriente!EA333*SALUD_Mes_Constante!$DP$1</f>
        <v>0</v>
      </c>
      <c r="EB333" s="9">
        <f t="shared" si="161"/>
        <v>0</v>
      </c>
      <c r="EC333" s="8">
        <f>+MINVU_Mes_Corriente!EC333*SALUD_Mes_Constante!$EC$1</f>
        <v>0</v>
      </c>
      <c r="ED333" s="8">
        <f>+MINVU_Mes_Corriente!ED333*SALUD_Mes_Constante!$EC$1</f>
        <v>0</v>
      </c>
      <c r="EE333" s="8">
        <f>+MINVU_Mes_Corriente!EE333*SALUD_Mes_Constante!$EC$1</f>
        <v>0</v>
      </c>
      <c r="EF333" s="8">
        <f>+MINVU_Mes_Corriente!EF333*SALUD_Mes_Constante!$EC$1</f>
        <v>0</v>
      </c>
      <c r="EG333" s="8">
        <f>+MINVU_Mes_Corriente!EG333*SALUD_Mes_Constante!$EC$1</f>
        <v>0</v>
      </c>
      <c r="EH333" s="8">
        <f>+MINVU_Mes_Corriente!EH333*SALUD_Mes_Constante!$EC$1</f>
        <v>0</v>
      </c>
      <c r="EI333" s="8">
        <f>+MINVU_Mes_Corriente!EI333*SALUD_Mes_Constante!$EC$1</f>
        <v>0</v>
      </c>
      <c r="EJ333" s="8">
        <f>+MINVU_Mes_Corriente!EJ333*SALUD_Mes_Constante!$EC$1</f>
        <v>0</v>
      </c>
      <c r="EK333" s="8">
        <f>+MINVU_Mes_Corriente!EK333*SALUD_Mes_Constante!$EC$1</f>
        <v>0</v>
      </c>
      <c r="EL333" s="8">
        <f>+MINVU_Mes_Corriente!EL333*SALUD_Mes_Constante!$EC$1</f>
        <v>0</v>
      </c>
      <c r="EM333" s="8">
        <f>+MINVU_Mes_Corriente!EM333*SALUD_Mes_Constante!$EC$1</f>
        <v>0</v>
      </c>
      <c r="EN333" s="8">
        <f>+MINVU_Mes_Corriente!EN333*SALUD_Mes_Constante!$EC$1</f>
        <v>0</v>
      </c>
      <c r="EO333" s="9">
        <f t="shared" si="162"/>
        <v>0</v>
      </c>
      <c r="EP333" s="8">
        <f>+MINVU_Mes_Corriente!EP333*SALUD_Mes_Constante!$EP$1</f>
        <v>0</v>
      </c>
      <c r="EQ333" s="8">
        <f>+MINVU_Mes_Corriente!EQ333*SALUD_Mes_Constante!$EP$1</f>
        <v>0</v>
      </c>
      <c r="ER333" s="8">
        <f>+MINVU_Mes_Corriente!ER333*SALUD_Mes_Constante!$EP$1</f>
        <v>0</v>
      </c>
      <c r="ES333" s="8">
        <f>+MINVU_Mes_Corriente!ES333*SALUD_Mes_Constante!$EP$1</f>
        <v>0</v>
      </c>
      <c r="ET333" s="8">
        <f>+MINVU_Mes_Corriente!ET333*SALUD_Mes_Constante!$EP$1</f>
        <v>0</v>
      </c>
      <c r="EU333" s="8">
        <f>+MINVU_Mes_Corriente!EU333*SALUD_Mes_Constante!$EP$1</f>
        <v>0</v>
      </c>
      <c r="EV333" s="8">
        <f>+MINVU_Mes_Corriente!EV333*SALUD_Mes_Constante!$EP$1</f>
        <v>0</v>
      </c>
      <c r="EW333" s="8">
        <f>+MINVU_Mes_Corriente!EW333*SALUD_Mes_Constante!$EP$1</f>
        <v>0</v>
      </c>
      <c r="EX333" s="8">
        <f>+MINVU_Mes_Corriente!EX333*SALUD_Mes_Constante!$EP$1</f>
        <v>0</v>
      </c>
      <c r="EY333" s="8">
        <f>+MINVU_Mes_Corriente!EY333*SALUD_Mes_Constante!$EP$1</f>
        <v>0</v>
      </c>
      <c r="EZ333" s="8">
        <f>+MINVU_Mes_Corriente!EZ333*SALUD_Mes_Constante!$EP$1</f>
        <v>0</v>
      </c>
      <c r="FA333" s="8">
        <f>+MINVU_Mes_Corriente!FA333*SALUD_Mes_Constante!$EP$1</f>
        <v>0</v>
      </c>
      <c r="FB333" s="9">
        <f t="shared" si="163"/>
        <v>0</v>
      </c>
      <c r="FC333" s="8">
        <f>+MINVU_Mes_Corriente!FC333*SALUD_Mes_Constante!$FC$1</f>
        <v>0</v>
      </c>
      <c r="FD333" s="8">
        <f>+MINVU_Mes_Corriente!FD333*SALUD_Mes_Constante!$FC$1</f>
        <v>0</v>
      </c>
      <c r="FE333" s="8">
        <f>+MINVU_Mes_Corriente!FE333*SALUD_Mes_Constante!$FC$1</f>
        <v>0</v>
      </c>
      <c r="FF333" s="8">
        <f>+MINVU_Mes_Corriente!FF333*SALUD_Mes_Constante!$FC$1</f>
        <v>0</v>
      </c>
      <c r="FG333" s="8">
        <f>+MINVU_Mes_Corriente!FG333*SALUD_Mes_Constante!$FC$1</f>
        <v>0</v>
      </c>
      <c r="FH333" s="8">
        <f>+MINVU_Mes_Corriente!FH333*SALUD_Mes_Constante!$FC$1</f>
        <v>0</v>
      </c>
      <c r="FI333" s="8">
        <f>+MINVU_Mes_Corriente!FI333*SALUD_Mes_Constante!$FC$1</f>
        <v>0</v>
      </c>
      <c r="FJ333" s="8"/>
      <c r="FK333" s="8"/>
      <c r="FL333" s="8"/>
      <c r="FM333" s="8"/>
      <c r="FN333" s="8"/>
      <c r="FO333" s="9">
        <f t="shared" si="164"/>
        <v>0</v>
      </c>
    </row>
    <row r="334" spans="2:171" ht="14.25" customHeight="1" thickBot="1" x14ac:dyDescent="0.35">
      <c r="B334" s="14" t="s">
        <v>93</v>
      </c>
      <c r="C334" s="16">
        <f t="shared" ref="C334:AH334" si="165">SUM(C302:C333)</f>
        <v>0</v>
      </c>
      <c r="D334" s="16">
        <f t="shared" si="165"/>
        <v>42284825.538187757</v>
      </c>
      <c r="E334" s="16">
        <f t="shared" si="165"/>
        <v>90806885.292599753</v>
      </c>
      <c r="F334" s="16">
        <f t="shared" si="165"/>
        <v>109078895.43318999</v>
      </c>
      <c r="G334" s="16">
        <f t="shared" si="165"/>
        <v>122952471.94987397</v>
      </c>
      <c r="H334" s="16">
        <f t="shared" si="165"/>
        <v>141740470.25863862</v>
      </c>
      <c r="I334" s="16">
        <f t="shared" si="165"/>
        <v>163306273.22438085</v>
      </c>
      <c r="J334" s="16">
        <f t="shared" si="165"/>
        <v>180623788.78273767</v>
      </c>
      <c r="K334" s="16">
        <f t="shared" si="165"/>
        <v>205020023.65653273</v>
      </c>
      <c r="L334" s="16">
        <f t="shared" si="165"/>
        <v>221761943.3406496</v>
      </c>
      <c r="M334" s="16">
        <f t="shared" si="165"/>
        <v>247478871.22467747</v>
      </c>
      <c r="N334" s="16">
        <f t="shared" si="165"/>
        <v>473245789.04285932</v>
      </c>
      <c r="O334" s="16">
        <f t="shared" si="165"/>
        <v>473245789.04285932</v>
      </c>
      <c r="P334" s="16">
        <f t="shared" si="165"/>
        <v>0</v>
      </c>
      <c r="Q334" s="16">
        <f t="shared" si="165"/>
        <v>0</v>
      </c>
      <c r="R334" s="16">
        <f t="shared" si="165"/>
        <v>76150800.483307257</v>
      </c>
      <c r="S334" s="16">
        <f t="shared" si="165"/>
        <v>95307108.395510688</v>
      </c>
      <c r="T334" s="16">
        <f t="shared" si="165"/>
        <v>107751611.29507028</v>
      </c>
      <c r="U334" s="16">
        <f t="shared" si="165"/>
        <v>137231747.43997723</v>
      </c>
      <c r="V334" s="16">
        <f t="shared" si="165"/>
        <v>156077265.83321488</v>
      </c>
      <c r="W334" s="16">
        <f t="shared" si="165"/>
        <v>194704713.12913758</v>
      </c>
      <c r="X334" s="16">
        <f t="shared" si="165"/>
        <v>230357008.60718843</v>
      </c>
      <c r="Y334" s="16">
        <f t="shared" si="165"/>
        <v>265312961.34280428</v>
      </c>
      <c r="Z334" s="16">
        <f t="shared" si="165"/>
        <v>341907403.37150151</v>
      </c>
      <c r="AA334" s="16">
        <f t="shared" si="165"/>
        <v>733580919.10612273</v>
      </c>
      <c r="AB334" s="16">
        <f t="shared" si="165"/>
        <v>733580919.10612273</v>
      </c>
      <c r="AC334" s="16">
        <f t="shared" si="165"/>
        <v>0</v>
      </c>
      <c r="AD334" s="16">
        <f t="shared" si="165"/>
        <v>0</v>
      </c>
      <c r="AE334" s="16">
        <f t="shared" si="165"/>
        <v>78222338.44100152</v>
      </c>
      <c r="AF334" s="16">
        <f t="shared" si="165"/>
        <v>109966325.31857795</v>
      </c>
      <c r="AG334" s="16">
        <f t="shared" si="165"/>
        <v>143252459.13349012</v>
      </c>
      <c r="AH334" s="16">
        <f t="shared" si="165"/>
        <v>174777185.41900676</v>
      </c>
      <c r="AI334" s="16">
        <f t="shared" ref="AI334:BN334" si="166">SUM(AI302:AI333)</f>
        <v>211135072.92018259</v>
      </c>
      <c r="AJ334" s="16">
        <f t="shared" si="166"/>
        <v>253459649.17249966</v>
      </c>
      <c r="AK334" s="16">
        <f t="shared" si="166"/>
        <v>287610404.56882</v>
      </c>
      <c r="AL334" s="16">
        <f t="shared" si="166"/>
        <v>341977773.99889332</v>
      </c>
      <c r="AM334" s="16">
        <f t="shared" si="166"/>
        <v>408281057.08120072</v>
      </c>
      <c r="AN334" s="16">
        <f t="shared" si="166"/>
        <v>690800371.86830819</v>
      </c>
      <c r="AO334" s="16">
        <f t="shared" si="166"/>
        <v>690800371.86830819</v>
      </c>
      <c r="AP334" s="16">
        <f t="shared" si="166"/>
        <v>3094638.3863113755</v>
      </c>
      <c r="AQ334" s="16">
        <f t="shared" si="166"/>
        <v>3094638.3863113755</v>
      </c>
      <c r="AR334" s="16">
        <f t="shared" si="166"/>
        <v>46617801.484918162</v>
      </c>
      <c r="AS334" s="16">
        <f t="shared" si="166"/>
        <v>110035564.2202083</v>
      </c>
      <c r="AT334" s="16">
        <f t="shared" si="166"/>
        <v>145367342.69931015</v>
      </c>
      <c r="AU334" s="16">
        <f t="shared" si="166"/>
        <v>187864181.52766129</v>
      </c>
      <c r="AV334" s="16">
        <f t="shared" si="166"/>
        <v>233475375.1992425</v>
      </c>
      <c r="AW334" s="16">
        <f t="shared" si="166"/>
        <v>276911826.38144189</v>
      </c>
      <c r="AX334" s="16">
        <f t="shared" si="166"/>
        <v>312907992.26457459</v>
      </c>
      <c r="AY334" s="16">
        <f t="shared" si="166"/>
        <v>349956512.39740294</v>
      </c>
      <c r="AZ334" s="16">
        <f t="shared" si="166"/>
        <v>385433293.51278234</v>
      </c>
      <c r="BA334" s="16">
        <f t="shared" si="166"/>
        <v>514812286.26241034</v>
      </c>
      <c r="BB334" s="16">
        <f t="shared" si="166"/>
        <v>514812286.26241034</v>
      </c>
      <c r="BC334" s="16">
        <f t="shared" si="166"/>
        <v>0</v>
      </c>
      <c r="BD334" s="16">
        <f t="shared" si="166"/>
        <v>0</v>
      </c>
      <c r="BE334" s="16">
        <f t="shared" si="166"/>
        <v>91143573.896874607</v>
      </c>
      <c r="BF334" s="16">
        <f t="shared" si="166"/>
        <v>149130481.13385209</v>
      </c>
      <c r="BG334" s="16">
        <f t="shared" si="166"/>
        <v>202412277.86047745</v>
      </c>
      <c r="BH334" s="16">
        <f t="shared" si="166"/>
        <v>236624278.25847298</v>
      </c>
      <c r="BI334" s="16">
        <f t="shared" si="166"/>
        <v>273592777.48279053</v>
      </c>
      <c r="BJ334" s="16">
        <f t="shared" si="166"/>
        <v>317982655.94408554</v>
      </c>
      <c r="BK334" s="16">
        <f t="shared" si="166"/>
        <v>364032207.20532781</v>
      </c>
      <c r="BL334" s="16">
        <f t="shared" si="166"/>
        <v>408761137.47171313</v>
      </c>
      <c r="BM334" s="16">
        <f t="shared" si="166"/>
        <v>465098867.09323502</v>
      </c>
      <c r="BN334" s="16">
        <f t="shared" si="166"/>
        <v>664591825.24146128</v>
      </c>
      <c r="BO334" s="16">
        <f t="shared" ref="BO334:CT334" si="167">SUM(BO302:BO333)</f>
        <v>664591825.24146128</v>
      </c>
      <c r="BP334" s="16">
        <f t="shared" si="167"/>
        <v>2265747.4233034574</v>
      </c>
      <c r="BQ334" s="16">
        <f t="shared" si="167"/>
        <v>2265747.4233034574</v>
      </c>
      <c r="BR334" s="16">
        <f t="shared" si="167"/>
        <v>183106820.8740077</v>
      </c>
      <c r="BS334" s="16">
        <f t="shared" si="167"/>
        <v>233027907.93265048</v>
      </c>
      <c r="BT334" s="16">
        <f t="shared" si="167"/>
        <v>296652570.25505763</v>
      </c>
      <c r="BU334" s="16">
        <f t="shared" si="167"/>
        <v>360214678.77925742</v>
      </c>
      <c r="BV334" s="16">
        <f t="shared" si="167"/>
        <v>398104783.50422537</v>
      </c>
      <c r="BW334" s="16">
        <f t="shared" si="167"/>
        <v>472224011.52215111</v>
      </c>
      <c r="BX334" s="16">
        <f t="shared" si="167"/>
        <v>586294869.21971834</v>
      </c>
      <c r="BY334" s="16">
        <f t="shared" si="167"/>
        <v>636709184.73725998</v>
      </c>
      <c r="BZ334" s="16">
        <f t="shared" si="167"/>
        <v>700421495.68348277</v>
      </c>
      <c r="CA334" s="16">
        <f t="shared" si="167"/>
        <v>996031808.07810509</v>
      </c>
      <c r="CB334" s="16">
        <f t="shared" si="167"/>
        <v>996031808.07810509</v>
      </c>
      <c r="CC334" s="16">
        <f t="shared" si="167"/>
        <v>0</v>
      </c>
      <c r="CD334" s="16">
        <f t="shared" si="167"/>
        <v>0</v>
      </c>
      <c r="CE334" s="16">
        <f t="shared" si="167"/>
        <v>71689276.070869088</v>
      </c>
      <c r="CF334" s="16">
        <f t="shared" si="167"/>
        <v>233870746.08429691</v>
      </c>
      <c r="CG334" s="16">
        <f t="shared" si="167"/>
        <v>309153787.72995156</v>
      </c>
      <c r="CH334" s="16">
        <f t="shared" si="167"/>
        <v>385704514.34837753</v>
      </c>
      <c r="CI334" s="16">
        <f t="shared" si="167"/>
        <v>439084838.32525182</v>
      </c>
      <c r="CJ334" s="16">
        <f t="shared" si="167"/>
        <v>487141399.18164867</v>
      </c>
      <c r="CK334" s="16">
        <f t="shared" si="167"/>
        <v>530949598.96158153</v>
      </c>
      <c r="CL334" s="16">
        <f t="shared" si="167"/>
        <v>565855946.540097</v>
      </c>
      <c r="CM334" s="16">
        <f t="shared" si="167"/>
        <v>617148704.91607618</v>
      </c>
      <c r="CN334" s="16">
        <f t="shared" si="167"/>
        <v>834990460.1872437</v>
      </c>
      <c r="CO334" s="16">
        <f t="shared" si="167"/>
        <v>834990460.1872437</v>
      </c>
      <c r="CP334" s="16">
        <f t="shared" si="167"/>
        <v>104078.38886310902</v>
      </c>
      <c r="CQ334" s="16">
        <f t="shared" si="167"/>
        <v>521691.14965197205</v>
      </c>
      <c r="CR334" s="16">
        <f t="shared" si="167"/>
        <v>111861773.39651971</v>
      </c>
      <c r="CS334" s="16">
        <f t="shared" si="167"/>
        <v>207648210.45174009</v>
      </c>
      <c r="CT334" s="16">
        <f t="shared" si="167"/>
        <v>256661232.43781897</v>
      </c>
      <c r="CU334" s="16">
        <f t="shared" ref="CU334:DZ334" si="168">SUM(CU302:CU333)</f>
        <v>303347818.76241291</v>
      </c>
      <c r="CV334" s="16">
        <f t="shared" si="168"/>
        <v>336713537.4285382</v>
      </c>
      <c r="CW334" s="16">
        <f t="shared" si="168"/>
        <v>388552475.51832938</v>
      </c>
      <c r="CX334" s="16">
        <f t="shared" si="168"/>
        <v>421763269.33503473</v>
      </c>
      <c r="CY334" s="16">
        <f t="shared" si="168"/>
        <v>485498839.29535955</v>
      </c>
      <c r="CZ334" s="16">
        <f t="shared" si="168"/>
        <v>524328784.91832936</v>
      </c>
      <c r="DA334" s="16">
        <f t="shared" si="168"/>
        <v>621479329.27099752</v>
      </c>
      <c r="DB334" s="16">
        <f t="shared" si="168"/>
        <v>621479329.27099752</v>
      </c>
      <c r="DC334" s="16">
        <f t="shared" si="168"/>
        <v>0</v>
      </c>
      <c r="DD334" s="16">
        <f t="shared" si="168"/>
        <v>2096.1824915132197</v>
      </c>
      <c r="DE334" s="16">
        <f t="shared" si="168"/>
        <v>107357774.52072836</v>
      </c>
      <c r="DF334" s="16">
        <f t="shared" si="168"/>
        <v>133415511.23732133</v>
      </c>
      <c r="DG334" s="16">
        <f t="shared" si="168"/>
        <v>144093298.50324047</v>
      </c>
      <c r="DH334" s="16">
        <f t="shared" si="168"/>
        <v>166688560.9803519</v>
      </c>
      <c r="DI334" s="16">
        <f t="shared" si="168"/>
        <v>198320832.58882841</v>
      </c>
      <c r="DJ334" s="16">
        <f t="shared" si="168"/>
        <v>232238425.29122528</v>
      </c>
      <c r="DK334" s="16">
        <f t="shared" si="168"/>
        <v>266448802.42361909</v>
      </c>
      <c r="DL334" s="16">
        <f t="shared" si="168"/>
        <v>314460238.27178288</v>
      </c>
      <c r="DM334" s="16">
        <f t="shared" si="168"/>
        <v>437431515.18732661</v>
      </c>
      <c r="DN334" s="16">
        <f t="shared" si="168"/>
        <v>511818588.15739149</v>
      </c>
      <c r="DO334" s="16">
        <f t="shared" si="168"/>
        <v>511818588.15739149</v>
      </c>
      <c r="DP334" s="16">
        <f t="shared" si="168"/>
        <v>184378.41270783849</v>
      </c>
      <c r="DQ334" s="16">
        <f t="shared" si="168"/>
        <v>19281756.903206654</v>
      </c>
      <c r="DR334" s="16">
        <f t="shared" si="168"/>
        <v>114997739.5902613</v>
      </c>
      <c r="DS334" s="16">
        <f t="shared" si="168"/>
        <v>150558094.58372924</v>
      </c>
      <c r="DT334" s="16">
        <f t="shared" si="168"/>
        <v>191747007.02494064</v>
      </c>
      <c r="DU334" s="16">
        <f t="shared" si="168"/>
        <v>234393472.08847985</v>
      </c>
      <c r="DV334" s="16">
        <f t="shared" si="168"/>
        <v>280248813.81591451</v>
      </c>
      <c r="DW334" s="16">
        <f t="shared" si="168"/>
        <v>325128843.51484561</v>
      </c>
      <c r="DX334" s="16">
        <f t="shared" si="168"/>
        <v>366477144.27969122</v>
      </c>
      <c r="DY334" s="16">
        <f t="shared" si="168"/>
        <v>366477144.27969122</v>
      </c>
      <c r="DZ334" s="16">
        <f t="shared" si="168"/>
        <v>460888756.77790976</v>
      </c>
      <c r="EA334" s="16">
        <f t="shared" ref="EA334:FF334" si="169">SUM(EA302:EA333)</f>
        <v>620994299.21258914</v>
      </c>
      <c r="EB334" s="16">
        <f t="shared" si="169"/>
        <v>620994299.21258914</v>
      </c>
      <c r="EC334" s="16">
        <f t="shared" si="169"/>
        <v>184294.78602537393</v>
      </c>
      <c r="ED334" s="16">
        <f t="shared" si="169"/>
        <v>4432698.4754781276</v>
      </c>
      <c r="EE334" s="16">
        <f t="shared" si="169"/>
        <v>141231363.89528495</v>
      </c>
      <c r="EF334" s="16">
        <f t="shared" si="169"/>
        <v>171200438.46487403</v>
      </c>
      <c r="EG334" s="16">
        <f t="shared" si="169"/>
        <v>235654031.75402379</v>
      </c>
      <c r="EH334" s="16">
        <f t="shared" si="169"/>
        <v>336965267.44555944</v>
      </c>
      <c r="EI334" s="16">
        <f t="shared" si="169"/>
        <v>414550384.83260733</v>
      </c>
      <c r="EJ334" s="16">
        <f t="shared" si="169"/>
        <v>523273584.30789608</v>
      </c>
      <c r="EK334" s="16">
        <f t="shared" si="169"/>
        <v>600764207.62223041</v>
      </c>
      <c r="EL334" s="16">
        <f t="shared" si="169"/>
        <v>642206465.62336659</v>
      </c>
      <c r="EM334" s="16">
        <f t="shared" si="169"/>
        <v>732180871.50823689</v>
      </c>
      <c r="EN334" s="16">
        <f t="shared" si="169"/>
        <v>851825391.0721451</v>
      </c>
      <c r="EO334" s="16">
        <f t="shared" si="169"/>
        <v>851825391.0721451</v>
      </c>
      <c r="EP334" s="16">
        <f t="shared" si="169"/>
        <v>32596643</v>
      </c>
      <c r="EQ334" s="16">
        <f t="shared" si="169"/>
        <v>33349248</v>
      </c>
      <c r="ER334" s="16">
        <f t="shared" si="169"/>
        <v>221590125</v>
      </c>
      <c r="ES334" s="16">
        <f t="shared" si="169"/>
        <v>240622045</v>
      </c>
      <c r="ET334" s="16">
        <f t="shared" si="169"/>
        <v>297003296</v>
      </c>
      <c r="EU334" s="16">
        <f t="shared" si="169"/>
        <v>387489250</v>
      </c>
      <c r="EV334" s="16">
        <f t="shared" si="169"/>
        <v>434690307</v>
      </c>
      <c r="EW334" s="16">
        <f t="shared" si="169"/>
        <v>489035282</v>
      </c>
      <c r="EX334" s="16">
        <f t="shared" si="169"/>
        <v>564358052</v>
      </c>
      <c r="EY334" s="16">
        <f t="shared" si="169"/>
        <v>608332985</v>
      </c>
      <c r="EZ334" s="16">
        <f t="shared" si="169"/>
        <v>700529911</v>
      </c>
      <c r="FA334" s="16">
        <f t="shared" si="169"/>
        <v>822832872</v>
      </c>
      <c r="FB334" s="16">
        <f t="shared" si="169"/>
        <v>822832872</v>
      </c>
      <c r="FC334" s="16">
        <f t="shared" si="169"/>
        <v>7514415</v>
      </c>
      <c r="FD334" s="16">
        <f t="shared" si="169"/>
        <v>10771323</v>
      </c>
      <c r="FE334" s="16">
        <f t="shared" si="169"/>
        <v>61771964</v>
      </c>
      <c r="FF334" s="16">
        <f t="shared" si="169"/>
        <v>160009564</v>
      </c>
      <c r="FG334" s="16">
        <f t="shared" ref="FG334:GL334" si="170">SUM(FG302:FG333)</f>
        <v>192473239</v>
      </c>
      <c r="FH334" s="16">
        <f t="shared" si="170"/>
        <v>274896219</v>
      </c>
      <c r="FI334" s="16">
        <f t="shared" si="170"/>
        <v>293615144</v>
      </c>
      <c r="FJ334" s="16">
        <f t="shared" si="170"/>
        <v>0</v>
      </c>
      <c r="FK334" s="16">
        <f t="shared" si="170"/>
        <v>0</v>
      </c>
      <c r="FL334" s="16">
        <f t="shared" si="170"/>
        <v>0</v>
      </c>
      <c r="FM334" s="16">
        <f t="shared" si="170"/>
        <v>0</v>
      </c>
      <c r="FN334" s="16">
        <f t="shared" si="170"/>
        <v>0</v>
      </c>
      <c r="FO334" s="16">
        <f t="shared" si="170"/>
        <v>293615144</v>
      </c>
    </row>
  </sheetData>
  <mergeCells count="117">
    <mergeCell ref="EP300:FB300"/>
    <mergeCell ref="P117:AB117"/>
    <mergeCell ref="EP228:FB228"/>
    <mergeCell ref="C42:O42"/>
    <mergeCell ref="CP6:DB6"/>
    <mergeCell ref="FC117:FO117"/>
    <mergeCell ref="AC189:AO189"/>
    <mergeCell ref="AP117:BB117"/>
    <mergeCell ref="DC153:DO153"/>
    <mergeCell ref="C117:O117"/>
    <mergeCell ref="BC189:BO189"/>
    <mergeCell ref="CC300:CO300"/>
    <mergeCell ref="EC300:EO300"/>
    <mergeCell ref="EP78:FB78"/>
    <mergeCell ref="AC42:AO42"/>
    <mergeCell ref="P300:AB300"/>
    <mergeCell ref="FC153:FO153"/>
    <mergeCell ref="AP300:BB300"/>
    <mergeCell ref="AP189:BB189"/>
    <mergeCell ref="C228:O228"/>
    <mergeCell ref="CP42:DB42"/>
    <mergeCell ref="DP153:EB153"/>
    <mergeCell ref="BC78:BO78"/>
    <mergeCell ref="CC153:CO153"/>
    <mergeCell ref="EC117:EO117"/>
    <mergeCell ref="AP264:BB264"/>
    <mergeCell ref="CP300:DB300"/>
    <mergeCell ref="BP189:CB189"/>
    <mergeCell ref="DP300:EB300"/>
    <mergeCell ref="EC78:EO78"/>
    <mergeCell ref="P78:AB78"/>
    <mergeCell ref="DP228:EB228"/>
    <mergeCell ref="BP78:CB78"/>
    <mergeCell ref="BP6:CB6"/>
    <mergeCell ref="CP117:DB117"/>
    <mergeCell ref="EP117:FB117"/>
    <mergeCell ref="C189:O189"/>
    <mergeCell ref="CP78:DB78"/>
    <mergeCell ref="BC117:BO117"/>
    <mergeCell ref="CC228:CO228"/>
    <mergeCell ref="EP6:FB6"/>
    <mergeCell ref="DC189:DO189"/>
    <mergeCell ref="P153:AB153"/>
    <mergeCell ref="BC300:BO300"/>
    <mergeCell ref="AC264:AO264"/>
    <mergeCell ref="DC300:DO300"/>
    <mergeCell ref="DP78:EB78"/>
    <mergeCell ref="DC228:DO228"/>
    <mergeCell ref="EC153:EO153"/>
    <mergeCell ref="AP153:BB153"/>
    <mergeCell ref="DC42:DO42"/>
    <mergeCell ref="BC264:BO264"/>
    <mergeCell ref="AC78:AO78"/>
    <mergeCell ref="AP228:BB228"/>
    <mergeCell ref="CC6:CO6"/>
    <mergeCell ref="P189:AB189"/>
    <mergeCell ref="DC78:DO78"/>
    <mergeCell ref="CP228:DB228"/>
    <mergeCell ref="AP78:BB78"/>
    <mergeCell ref="FC6:FO6"/>
    <mergeCell ref="CP264:DB264"/>
    <mergeCell ref="EP264:FB264"/>
    <mergeCell ref="AP6:BB6"/>
    <mergeCell ref="DP42:EB42"/>
    <mergeCell ref="FC189:FO189"/>
    <mergeCell ref="BP42:CB42"/>
    <mergeCell ref="CP153:DB153"/>
    <mergeCell ref="BP228:CB228"/>
    <mergeCell ref="DC6:DO6"/>
    <mergeCell ref="DC117:DO117"/>
    <mergeCell ref="P6:AB6"/>
    <mergeCell ref="DP6:EB6"/>
    <mergeCell ref="P228:AB228"/>
    <mergeCell ref="BP117:CB117"/>
    <mergeCell ref="FC78:FO78"/>
    <mergeCell ref="DP117:EB117"/>
    <mergeCell ref="C300:O300"/>
    <mergeCell ref="AC117:AO117"/>
    <mergeCell ref="EP42:FB42"/>
    <mergeCell ref="CC189:CO189"/>
    <mergeCell ref="EC189:EO189"/>
    <mergeCell ref="AC300:AO300"/>
    <mergeCell ref="C264:O264"/>
    <mergeCell ref="P42:AB42"/>
    <mergeCell ref="C78:O78"/>
    <mergeCell ref="DC264:DO264"/>
    <mergeCell ref="AC153:AO153"/>
    <mergeCell ref="FC264:FO264"/>
    <mergeCell ref="C6:O6"/>
    <mergeCell ref="CC42:CO42"/>
    <mergeCell ref="BC6:BO6"/>
    <mergeCell ref="EC228:EO228"/>
    <mergeCell ref="AP42:BB42"/>
    <mergeCell ref="BP153:CB153"/>
    <mergeCell ref="CC264:CO264"/>
    <mergeCell ref="FC300:FO300"/>
    <mergeCell ref="C153:O153"/>
    <mergeCell ref="EC264:EO264"/>
    <mergeCell ref="BC42:BO42"/>
    <mergeCell ref="AC6:AO6"/>
    <mergeCell ref="FC228:FO228"/>
    <mergeCell ref="P264:AB264"/>
    <mergeCell ref="EC42:EO42"/>
    <mergeCell ref="BP300:CB300"/>
    <mergeCell ref="AC228:AO228"/>
    <mergeCell ref="DP189:EB189"/>
    <mergeCell ref="CC117:CO117"/>
    <mergeCell ref="EP153:FB153"/>
    <mergeCell ref="CC78:CO78"/>
    <mergeCell ref="BC153:BO153"/>
    <mergeCell ref="FC42:FO42"/>
    <mergeCell ref="EC6:EO6"/>
    <mergeCell ref="BP264:CB264"/>
    <mergeCell ref="BC228:BO228"/>
    <mergeCell ref="CP189:DB189"/>
    <mergeCell ref="DP264:EB264"/>
    <mergeCell ref="EP189:FB189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65D"/>
  </sheetPr>
  <dimension ref="A1:AA1000"/>
  <sheetViews>
    <sheetView workbookViewId="0"/>
  </sheetViews>
  <sheetFormatPr baseColWidth="10" defaultColWidth="14.44140625" defaultRowHeight="15" customHeight="1" x14ac:dyDescent="0.3"/>
  <cols>
    <col min="1" max="1" width="3" style="36" customWidth="1"/>
    <col min="2" max="2" width="36" style="36" customWidth="1"/>
    <col min="3" max="13" width="16" style="36" customWidth="1"/>
    <col min="14" max="15" width="18" style="36" customWidth="1"/>
    <col min="16" max="27" width="8.77734375" style="36" customWidth="1"/>
  </cols>
  <sheetData>
    <row r="1" spans="2:12" ht="14.25" customHeight="1" x14ac:dyDescent="0.3"/>
    <row r="2" spans="2:12" ht="14.25" customHeight="1" x14ac:dyDescent="0.4">
      <c r="B2" s="1" t="s">
        <v>95</v>
      </c>
    </row>
    <row r="3" spans="2:12" ht="14.25" customHeight="1" x14ac:dyDescent="0.3">
      <c r="B3" s="2" t="s">
        <v>96</v>
      </c>
    </row>
    <row r="4" spans="2:12" ht="14.25" customHeight="1" x14ac:dyDescent="0.3">
      <c r="B4" s="37" t="s">
        <v>97</v>
      </c>
      <c r="C4" s="10">
        <v>2024</v>
      </c>
      <c r="D4" s="51" t="s">
        <v>98</v>
      </c>
      <c r="E4" s="41"/>
      <c r="F4" s="40" t="s">
        <v>99</v>
      </c>
      <c r="G4" s="41"/>
      <c r="H4" s="51" t="s">
        <v>100</v>
      </c>
      <c r="I4" s="41"/>
      <c r="J4" s="49" t="s">
        <v>101</v>
      </c>
      <c r="K4" s="50"/>
      <c r="L4" s="41"/>
    </row>
    <row r="5" spans="2:12" ht="14.25" customHeight="1" x14ac:dyDescent="0.3"/>
    <row r="6" spans="2:12" ht="14.25" customHeight="1" x14ac:dyDescent="0.3">
      <c r="B6" s="42" t="s">
        <v>102</v>
      </c>
      <c r="C6" s="44"/>
      <c r="D6" s="42" t="s">
        <v>103</v>
      </c>
      <c r="E6" s="44"/>
      <c r="F6" s="42" t="s">
        <v>104</v>
      </c>
      <c r="G6" s="44"/>
      <c r="H6" s="42" t="s">
        <v>105</v>
      </c>
      <c r="I6" s="44"/>
      <c r="J6" s="42" t="s">
        <v>106</v>
      </c>
      <c r="K6" s="43"/>
      <c r="L6" s="44"/>
    </row>
    <row r="7" spans="2:12" ht="14.25" customHeight="1" x14ac:dyDescent="0.3">
      <c r="B7" s="45">
        <f>D17</f>
        <v>874957749</v>
      </c>
      <c r="C7" s="46"/>
      <c r="D7" s="45">
        <f>E17</f>
        <v>1433711234</v>
      </c>
      <c r="E7" s="46"/>
      <c r="F7" s="54">
        <f>F17</f>
        <v>1410933263</v>
      </c>
      <c r="G7" s="46"/>
      <c r="H7" s="48">
        <f>H17</f>
        <v>0.98411258106944566</v>
      </c>
      <c r="I7" s="46"/>
      <c r="J7" s="55">
        <f>G17</f>
        <v>22777971</v>
      </c>
      <c r="K7" s="39"/>
      <c r="L7" s="46"/>
    </row>
    <row r="8" spans="2:12" ht="14.25" customHeight="1" x14ac:dyDescent="0.3">
      <c r="B8" s="47"/>
      <c r="C8" s="46"/>
      <c r="D8" s="47"/>
      <c r="E8" s="46"/>
      <c r="F8" s="47"/>
      <c r="G8" s="46"/>
      <c r="H8" s="47"/>
      <c r="I8" s="46"/>
      <c r="J8" s="47"/>
      <c r="K8" s="39"/>
      <c r="L8" s="46"/>
    </row>
    <row r="9" spans="2:12" ht="14.25" customHeight="1" x14ac:dyDescent="0.3">
      <c r="B9" s="52" t="s">
        <v>107</v>
      </c>
      <c r="C9" s="53"/>
      <c r="D9" s="52" t="s">
        <v>108</v>
      </c>
      <c r="E9" s="53"/>
      <c r="F9" s="52" t="s">
        <v>109</v>
      </c>
      <c r="G9" s="53"/>
      <c r="H9" s="52" t="s">
        <v>110</v>
      </c>
      <c r="I9" s="53"/>
      <c r="J9" s="52" t="s">
        <v>111</v>
      </c>
      <c r="K9" s="56"/>
      <c r="L9" s="53"/>
    </row>
    <row r="10" spans="2:12" ht="14.25" customHeight="1" x14ac:dyDescent="0.3"/>
    <row r="11" spans="2:12" ht="14.25" customHeight="1" x14ac:dyDescent="0.3">
      <c r="B11" s="4" t="s">
        <v>112</v>
      </c>
    </row>
    <row r="12" spans="2:12" ht="14.25" customHeight="1" x14ac:dyDescent="0.3"/>
    <row r="13" spans="2:12" ht="14.25" customHeight="1" x14ac:dyDescent="0.3">
      <c r="B13" s="11" t="s">
        <v>113</v>
      </c>
      <c r="C13" s="11" t="s">
        <v>114</v>
      </c>
      <c r="D13" s="11" t="s">
        <v>115</v>
      </c>
      <c r="E13" s="11" t="s">
        <v>116</v>
      </c>
      <c r="F13" s="11" t="s">
        <v>117</v>
      </c>
      <c r="G13" s="11" t="s">
        <v>118</v>
      </c>
      <c r="H13" s="11" t="s">
        <v>119</v>
      </c>
      <c r="I13" s="11" t="s">
        <v>120</v>
      </c>
    </row>
    <row r="14" spans="2:12" ht="14.25" customHeight="1" x14ac:dyDescent="0.3">
      <c r="B14" s="7" t="s">
        <v>121</v>
      </c>
      <c r="C14" s="12" t="s">
        <v>122</v>
      </c>
      <c r="D14" s="8">
        <f t="array" ref="D14">INDEX(MINVU_Mes_Corriente!$1:$426, 262, 3 + ($C$4 - 2014)*13 + 12)</f>
        <v>234273812</v>
      </c>
      <c r="E14" s="8">
        <f t="array" ref="E14">INDEX(MINVU_Mes_Corriente!$1:$426, 298, 3 + ($C$4 - 2014)*13 + 12)</f>
        <v>834343782</v>
      </c>
      <c r="F14" s="8">
        <f t="array" ref="F14">INDEX(MINVU_Mes_Corriente!$1:$426, 334, 3 + ($C$4 - 2014)*13 + 12)</f>
        <v>823446804</v>
      </c>
      <c r="G14" s="8">
        <f>E14 - F14</f>
        <v>10896978</v>
      </c>
      <c r="H14" s="13">
        <f>IF(E14&gt;0, F14/E14, 0)</f>
        <v>0.98693946280287614</v>
      </c>
      <c r="I14" s="13">
        <f>IF($E$17&gt;0, E14/$E$17, 0)</f>
        <v>0.58194688178051901</v>
      </c>
    </row>
    <row r="15" spans="2:12" ht="14.25" customHeight="1" x14ac:dyDescent="0.3">
      <c r="B15" s="7" t="s">
        <v>123</v>
      </c>
      <c r="C15" s="12" t="s">
        <v>124</v>
      </c>
      <c r="D15" s="8">
        <f t="array" ref="D15">INDEX(MINVU_Mes_Corriente!$1:$426, 40, 3 + ($C$4 - 2014)*13 + 12)</f>
        <v>583310872</v>
      </c>
      <c r="E15" s="8">
        <f t="array" ref="E15">INDEX(MINVU_Mes_Corriente!$1:$426, 76, 3 + ($C$4 - 2014)*13 + 12)</f>
        <v>549547599</v>
      </c>
      <c r="F15" s="8">
        <f t="array" ref="F15">INDEX(MINVU_Mes_Corriente!$1:$426, 112, 3 + ($C$4 - 2014)*13 + 12)</f>
        <v>540455723</v>
      </c>
      <c r="G15" s="8">
        <f>E15 - F15</f>
        <v>9091876</v>
      </c>
      <c r="H15" s="13">
        <f>IF(E15&gt;0, F15/E15, 0)</f>
        <v>0.98345570790129133</v>
      </c>
      <c r="I15" s="13">
        <f>IF($E$17&gt;0, E15/$E$17, 0)</f>
        <v>0.38330424284029846</v>
      </c>
    </row>
    <row r="16" spans="2:12" ht="14.25" customHeight="1" x14ac:dyDescent="0.3">
      <c r="B16" s="7" t="s">
        <v>125</v>
      </c>
      <c r="C16" s="12" t="s">
        <v>126</v>
      </c>
      <c r="D16" s="8">
        <f t="array" ref="D16">INDEX(MINVU_Mes_Corriente!$1:$426, 151, 3 + ($C$4 - 2014)*13 + 12)</f>
        <v>57373065</v>
      </c>
      <c r="E16" s="8">
        <f t="array" ref="E16">INDEX(MINVU_Mes_Corriente!$1:$426, 187, 3 + ($C$4 - 2014)*13 + 12)</f>
        <v>49819853</v>
      </c>
      <c r="F16" s="8">
        <f t="array" ref="F16">INDEX(MINVU_Mes_Corriente!$1:$426, 223, 3 + ($C$4 - 2014)*13 + 12)</f>
        <v>47030736</v>
      </c>
      <c r="G16" s="8">
        <f>E16 - F16</f>
        <v>2789117</v>
      </c>
      <c r="H16" s="13">
        <f>IF(E16&gt;0, F16/E16, 0)</f>
        <v>0.94401595283711492</v>
      </c>
      <c r="I16" s="13">
        <f>IF($E$17&gt;0, E16/$E$17, 0)</f>
        <v>3.4748875379182531E-2</v>
      </c>
    </row>
    <row r="17" spans="2:13" ht="14.25" customHeight="1" x14ac:dyDescent="0.3">
      <c r="B17" s="14" t="s">
        <v>127</v>
      </c>
      <c r="C17" s="15" t="s">
        <v>128</v>
      </c>
      <c r="D17" s="16">
        <f>SUM(D14:D16)</f>
        <v>874957749</v>
      </c>
      <c r="E17" s="16">
        <f>SUM(E14:E16)</f>
        <v>1433711234</v>
      </c>
      <c r="F17" s="16">
        <f>SUM(F14:F16)</f>
        <v>1410933263</v>
      </c>
      <c r="G17" s="16">
        <f>E17 - F17</f>
        <v>22777971</v>
      </c>
      <c r="H17" s="17">
        <f>IF(E17&gt;0, F17/E17, 0)</f>
        <v>0.98411258106944566</v>
      </c>
      <c r="I17" s="17">
        <f>SUM(I14:I16)</f>
        <v>1</v>
      </c>
    </row>
    <row r="18" spans="2:13" ht="14.25" customHeight="1" x14ac:dyDescent="0.3"/>
    <row r="19" spans="2:13" ht="14.25" customHeight="1" x14ac:dyDescent="0.3">
      <c r="B19" s="4" t="s">
        <v>129</v>
      </c>
    </row>
    <row r="20" spans="2:13" ht="14.25" customHeight="1" x14ac:dyDescent="0.3"/>
    <row r="21" spans="2:13" ht="14.25" customHeight="1" x14ac:dyDescent="0.3">
      <c r="B21" s="18" t="s">
        <v>130</v>
      </c>
      <c r="C21" s="18" t="s">
        <v>131</v>
      </c>
      <c r="D21" s="18" t="s">
        <v>132</v>
      </c>
      <c r="E21" s="18" t="s">
        <v>133</v>
      </c>
      <c r="F21" s="18" t="s">
        <v>134</v>
      </c>
      <c r="G21" s="18" t="s">
        <v>135</v>
      </c>
      <c r="H21" s="18" t="s">
        <v>136</v>
      </c>
      <c r="I21" s="18" t="s">
        <v>137</v>
      </c>
      <c r="J21" s="18" t="s">
        <v>138</v>
      </c>
      <c r="K21" s="18" t="s">
        <v>139</v>
      </c>
      <c r="L21" s="18" t="s">
        <v>119</v>
      </c>
      <c r="M21" s="18" t="s">
        <v>140</v>
      </c>
    </row>
    <row r="22" spans="2:13" ht="14.25" customHeight="1" x14ac:dyDescent="0.3">
      <c r="B22" s="7" t="s">
        <v>43</v>
      </c>
      <c r="C22" s="8">
        <f t="array" ref="C22">INDEX(MINVU_Mes_Corriente!$1:$426, 266, 3 + ($C$4 - 2014)*13 + 12)</f>
        <v>0</v>
      </c>
      <c r="D22" s="8">
        <f t="array" ref="D22">INDEX(MINVU_Mes_Corriente!$1:$426, 302, 3 + ($C$4 - 2014)*13 + 12)</f>
        <v>0</v>
      </c>
      <c r="E22" s="8">
        <f t="array" ref="E22">INDEX(MINVU_Mes_Corriente!$1:$426, 44, 3 + ($C$4 - 2014)*13 + 12)</f>
        <v>788149</v>
      </c>
      <c r="F22" s="8">
        <f t="array" ref="F22">INDEX(MINVU_Mes_Corriente!$1:$426, 80, 3 + ($C$4 - 2014)*13 + 12)</f>
        <v>655474</v>
      </c>
      <c r="G22" s="8">
        <f t="array" ref="G22">INDEX(MINVU_Mes_Corriente!$1:$426, 155, 3 + ($C$4 - 2014)*13 + 12)</f>
        <v>1895469</v>
      </c>
      <c r="H22" s="8">
        <f t="array" ref="H22">INDEX(MINVU_Mes_Corriente!$1:$426, 191, 3 + ($C$4 - 2014)*13 + 12)</f>
        <v>1866164</v>
      </c>
      <c r="I22" s="8">
        <f t="shared" ref="I22:I39" si="0">C22 + E22 + G22</f>
        <v>2683618</v>
      </c>
      <c r="J22" s="8">
        <f t="shared" ref="J22:J39" si="1">D22 + F22 + H22</f>
        <v>2521638</v>
      </c>
      <c r="K22" s="8">
        <f t="shared" ref="K22:K39" si="2">I22 - J22</f>
        <v>161980</v>
      </c>
      <c r="L22" s="13">
        <f t="shared" ref="L22:L40" si="3">IF(I22&gt;0, J22/I22, 0)</f>
        <v>0.93964118589158363</v>
      </c>
      <c r="M22" s="13">
        <f t="shared" ref="M22:M39" si="4">IF($I$40&gt;0, I22/$I$40, 0)</f>
        <v>2.356845167295184E-3</v>
      </c>
    </row>
    <row r="23" spans="2:13" ht="14.25" customHeight="1" x14ac:dyDescent="0.3">
      <c r="B23" s="19" t="s">
        <v>44</v>
      </c>
      <c r="C23" s="20">
        <f t="array" ref="C23">INDEX(MINVU_Mes_Corriente!$1:$426, 267, 3 + ($C$4 - 2014)*13 + 12)</f>
        <v>567665</v>
      </c>
      <c r="D23" s="20">
        <f t="array" ref="D23">INDEX(MINVU_Mes_Corriente!$1:$426, 303, 3 + ($C$4 - 2014)*13 + 12)</f>
        <v>567665</v>
      </c>
      <c r="E23" s="20">
        <f t="array" ref="E23">INDEX(MINVU_Mes_Corriente!$1:$426, 45, 3 + ($C$4 - 2014)*13 + 12)</f>
        <v>3670742</v>
      </c>
      <c r="F23" s="20">
        <f t="array" ref="F23">INDEX(MINVU_Mes_Corriente!$1:$426, 81, 3 + ($C$4 - 2014)*13 + 12)</f>
        <v>3622691</v>
      </c>
      <c r="G23" s="20">
        <f t="array" ref="G23">INDEX(MINVU_Mes_Corriente!$1:$426, 156, 3 + ($C$4 - 2014)*13 + 12)</f>
        <v>795228</v>
      </c>
      <c r="H23" s="20">
        <f t="array" ref="H23">INDEX(MINVU_Mes_Corriente!$1:$426, 192, 3 + ($C$4 - 2014)*13 + 12)</f>
        <v>733331</v>
      </c>
      <c r="I23" s="20">
        <f t="shared" si="0"/>
        <v>5033635</v>
      </c>
      <c r="J23" s="20">
        <f t="shared" si="1"/>
        <v>4923687</v>
      </c>
      <c r="K23" s="20">
        <f t="shared" si="2"/>
        <v>109948</v>
      </c>
      <c r="L23" s="21">
        <f t="shared" si="3"/>
        <v>0.97815733560339591</v>
      </c>
      <c r="M23" s="21">
        <f t="shared" si="4"/>
        <v>4.420710519782582E-3</v>
      </c>
    </row>
    <row r="24" spans="2:13" ht="14.25" customHeight="1" x14ac:dyDescent="0.3">
      <c r="B24" s="7" t="s">
        <v>45</v>
      </c>
      <c r="C24" s="8">
        <f t="array" ref="C24">INDEX(MINVU_Mes_Corriente!$1:$426, 268, 3 + ($C$4 - 2014)*13 + 12)</f>
        <v>833776117</v>
      </c>
      <c r="D24" s="8">
        <f t="array" ref="D24">INDEX(MINVU_Mes_Corriente!$1:$426, 304, 3 + ($C$4 - 2014)*13 + 12)</f>
        <v>822879139</v>
      </c>
      <c r="E24" s="8">
        <f t="array" ref="E24">INDEX(MINVU_Mes_Corriente!$1:$426, 46, 3 + ($C$4 - 2014)*13 + 12)</f>
        <v>0</v>
      </c>
      <c r="F24" s="8">
        <f t="array" ref="F24">INDEX(MINVU_Mes_Corriente!$1:$426, 82, 3 + ($C$4 - 2014)*13 + 12)</f>
        <v>0</v>
      </c>
      <c r="G24" s="8">
        <f t="array" ref="G24">INDEX(MINVU_Mes_Corriente!$1:$426, 157, 3 + ($C$4 - 2014)*13 + 12)</f>
        <v>584578</v>
      </c>
      <c r="H24" s="8">
        <f t="array" ref="H24">INDEX(MINVU_Mes_Corriente!$1:$426, 193, 3 + ($C$4 - 2014)*13 + 12)</f>
        <v>581899</v>
      </c>
      <c r="I24" s="8">
        <f t="shared" si="0"/>
        <v>834360695</v>
      </c>
      <c r="J24" s="8">
        <f t="shared" si="1"/>
        <v>823461038</v>
      </c>
      <c r="K24" s="8">
        <f t="shared" si="2"/>
        <v>10899657</v>
      </c>
      <c r="L24" s="13">
        <f t="shared" si="3"/>
        <v>0.98693651670636284</v>
      </c>
      <c r="M24" s="13">
        <f t="shared" si="4"/>
        <v>0.73276411612673675</v>
      </c>
    </row>
    <row r="25" spans="2:13" ht="14.25" customHeight="1" x14ac:dyDescent="0.3">
      <c r="B25" s="19" t="s">
        <v>46</v>
      </c>
      <c r="C25" s="20">
        <f t="array" ref="C25">INDEX(MINVU_Mes_Corriente!$1:$426, 269, 3 + ($C$4 - 2014)*13 + 12)</f>
        <v>0</v>
      </c>
      <c r="D25" s="20">
        <f t="array" ref="D25">INDEX(MINVU_Mes_Corriente!$1:$426, 305, 3 + ($C$4 - 2014)*13 + 12)</f>
        <v>0</v>
      </c>
      <c r="E25" s="20">
        <f t="array" ref="E25">INDEX(MINVU_Mes_Corriente!$1:$426, 47, 3 + ($C$4 - 2014)*13 + 12)</f>
        <v>40227</v>
      </c>
      <c r="F25" s="20">
        <f t="array" ref="F25">INDEX(MINVU_Mes_Corriente!$1:$426, 83, 3 + ($C$4 - 2014)*13 + 12)</f>
        <v>31725</v>
      </c>
      <c r="G25" s="20">
        <f t="array" ref="G25">INDEX(MINVU_Mes_Corriente!$1:$426, 158, 3 + ($C$4 - 2014)*13 + 12)</f>
        <v>551164</v>
      </c>
      <c r="H25" s="20">
        <f t="array" ref="H25">INDEX(MINVU_Mes_Corriente!$1:$426, 194, 3 + ($C$4 - 2014)*13 + 12)</f>
        <v>512541</v>
      </c>
      <c r="I25" s="20">
        <f t="shared" si="0"/>
        <v>591391</v>
      </c>
      <c r="J25" s="20">
        <f t="shared" si="1"/>
        <v>544266</v>
      </c>
      <c r="K25" s="20">
        <f t="shared" si="2"/>
        <v>47125</v>
      </c>
      <c r="L25" s="21">
        <f t="shared" si="3"/>
        <v>0.92031498619356733</v>
      </c>
      <c r="M25" s="21">
        <f t="shared" si="4"/>
        <v>5.1937981498554047E-4</v>
      </c>
    </row>
    <row r="26" spans="2:13" ht="14.25" customHeight="1" x14ac:dyDescent="0.3">
      <c r="B26" s="7" t="s">
        <v>47</v>
      </c>
      <c r="C26" s="8">
        <f t="array" ref="C26">INDEX(MINVU_Mes_Corriente!$1:$426, 270, 3 + ($C$4 - 2014)*13 + 12)</f>
        <v>0</v>
      </c>
      <c r="D26" s="8">
        <f t="array" ref="D26">INDEX(MINVU_Mes_Corriente!$1:$426, 306, 3 + ($C$4 - 2014)*13 + 12)</f>
        <v>0</v>
      </c>
      <c r="E26" s="8">
        <f t="array" ref="E26">INDEX(MINVU_Mes_Corriente!$1:$426, 48, 3 + ($C$4 - 2014)*13 + 12)</f>
        <v>10745147</v>
      </c>
      <c r="F26" s="8">
        <f t="array" ref="F26">INDEX(MINVU_Mes_Corriente!$1:$426, 84, 3 + ($C$4 - 2014)*13 + 12)</f>
        <v>10095390</v>
      </c>
      <c r="G26" s="8">
        <f t="array" ref="G26">INDEX(MINVU_Mes_Corriente!$1:$426, 159, 3 + ($C$4 - 2014)*13 + 12)</f>
        <v>626430</v>
      </c>
      <c r="H26" s="8">
        <f t="array" ref="H26">INDEX(MINVU_Mes_Corriente!$1:$426, 195, 3 + ($C$4 - 2014)*13 + 12)</f>
        <v>520963</v>
      </c>
      <c r="I26" s="8">
        <f t="shared" si="0"/>
        <v>11371577</v>
      </c>
      <c r="J26" s="8">
        <f t="shared" si="1"/>
        <v>10616353</v>
      </c>
      <c r="K26" s="8">
        <f t="shared" si="2"/>
        <v>755224</v>
      </c>
      <c r="L26" s="13">
        <f t="shared" si="3"/>
        <v>0.9335866960228999</v>
      </c>
      <c r="M26" s="13">
        <f t="shared" si="4"/>
        <v>9.9869080834064563E-3</v>
      </c>
    </row>
    <row r="27" spans="2:13" ht="14.25" customHeight="1" x14ac:dyDescent="0.3">
      <c r="B27" s="19" t="s">
        <v>48</v>
      </c>
      <c r="C27" s="20">
        <f t="array" ref="C27">INDEX(MINVU_Mes_Corriente!$1:$426, 271, 3 + ($C$4 - 2014)*13 + 12)</f>
        <v>0</v>
      </c>
      <c r="D27" s="20">
        <f t="array" ref="D27">INDEX(MINVU_Mes_Corriente!$1:$426, 307, 3 + ($C$4 - 2014)*13 + 12)</f>
        <v>0</v>
      </c>
      <c r="E27" s="20">
        <f t="array" ref="E27">INDEX(MINVU_Mes_Corriente!$1:$426, 49, 3 + ($C$4 - 2014)*13 + 12)</f>
        <v>361585</v>
      </c>
      <c r="F27" s="20">
        <f t="array" ref="F27">INDEX(MINVU_Mes_Corriente!$1:$426, 85, 3 + ($C$4 - 2014)*13 + 12)</f>
        <v>345022</v>
      </c>
      <c r="G27" s="20">
        <f t="array" ref="G27">INDEX(MINVU_Mes_Corriente!$1:$426, 160, 3 + ($C$4 - 2014)*13 + 12)</f>
        <v>1681782</v>
      </c>
      <c r="H27" s="20">
        <f t="array" ref="H27">INDEX(MINVU_Mes_Corriente!$1:$426, 196, 3 + ($C$4 - 2014)*13 + 12)</f>
        <v>1522298</v>
      </c>
      <c r="I27" s="20">
        <f t="shared" si="0"/>
        <v>2043367</v>
      </c>
      <c r="J27" s="20">
        <f t="shared" si="1"/>
        <v>1867320</v>
      </c>
      <c r="K27" s="20">
        <f t="shared" si="2"/>
        <v>176047</v>
      </c>
      <c r="L27" s="21">
        <f t="shared" si="3"/>
        <v>0.91384464954166333</v>
      </c>
      <c r="M27" s="21">
        <f t="shared" si="4"/>
        <v>1.7945548282059735E-3</v>
      </c>
    </row>
    <row r="28" spans="2:13" ht="14.25" customHeight="1" x14ac:dyDescent="0.3">
      <c r="B28" s="7" t="s">
        <v>49</v>
      </c>
      <c r="C28" s="8">
        <f t="array" ref="C28">INDEX(MINVU_Mes_Corriente!$1:$426, 272, 3 + ($C$4 - 2014)*13 + 12)</f>
        <v>0</v>
      </c>
      <c r="D28" s="8">
        <f t="array" ref="D28">INDEX(MINVU_Mes_Corriente!$1:$426, 308, 3 + ($C$4 - 2014)*13 + 12)</f>
        <v>0</v>
      </c>
      <c r="E28" s="8">
        <f t="array" ref="E28">INDEX(MINVU_Mes_Corriente!$1:$426, 50, 3 + ($C$4 - 2014)*13 + 12)</f>
        <v>8848694</v>
      </c>
      <c r="F28" s="8">
        <f t="array" ref="F28">INDEX(MINVU_Mes_Corriente!$1:$426, 86, 3 + ($C$4 - 2014)*13 + 12)</f>
        <v>8835329</v>
      </c>
      <c r="G28" s="8">
        <f t="array" ref="G28">INDEX(MINVU_Mes_Corriente!$1:$426, 161, 3 + ($C$4 - 2014)*13 + 12)</f>
        <v>763247</v>
      </c>
      <c r="H28" s="8">
        <f t="array" ref="H28">INDEX(MINVU_Mes_Corriente!$1:$426, 197, 3 + ($C$4 - 2014)*13 + 12)</f>
        <v>713431</v>
      </c>
      <c r="I28" s="8">
        <f t="shared" si="0"/>
        <v>9611941</v>
      </c>
      <c r="J28" s="8">
        <f t="shared" si="1"/>
        <v>9548760</v>
      </c>
      <c r="K28" s="8">
        <f t="shared" si="2"/>
        <v>63181</v>
      </c>
      <c r="L28" s="13">
        <f t="shared" si="3"/>
        <v>0.9934268219082909</v>
      </c>
      <c r="M28" s="13">
        <f t="shared" si="4"/>
        <v>8.4415355293400319E-3</v>
      </c>
    </row>
    <row r="29" spans="2:13" ht="14.25" customHeight="1" x14ac:dyDescent="0.3">
      <c r="B29" s="19" t="s">
        <v>50</v>
      </c>
      <c r="C29" s="20">
        <f t="array" ref="C29">INDEX(MINVU_Mes_Corriente!$1:$426, 273, 3 + ($C$4 - 2014)*13 + 12)</f>
        <v>0</v>
      </c>
      <c r="D29" s="20">
        <f t="array" ref="D29">INDEX(MINVU_Mes_Corriente!$1:$426, 309, 3 + ($C$4 - 2014)*13 + 12)</f>
        <v>0</v>
      </c>
      <c r="E29" s="20">
        <f t="array" ref="E29">INDEX(MINVU_Mes_Corriente!$1:$426, 51, 3 + ($C$4 - 2014)*13 + 12)</f>
        <v>4432051</v>
      </c>
      <c r="F29" s="20">
        <f t="array" ref="F29">INDEX(MINVU_Mes_Corriente!$1:$426, 87, 3 + ($C$4 - 2014)*13 + 12)</f>
        <v>4265327</v>
      </c>
      <c r="G29" s="20">
        <f t="array" ref="G29">INDEX(MINVU_Mes_Corriente!$1:$426, 162, 3 + ($C$4 - 2014)*13 + 12)</f>
        <v>1400867</v>
      </c>
      <c r="H29" s="20">
        <f t="array" ref="H29">INDEX(MINVU_Mes_Corriente!$1:$426, 198, 3 + ($C$4 - 2014)*13 + 12)</f>
        <v>1512651</v>
      </c>
      <c r="I29" s="20">
        <f t="shared" si="0"/>
        <v>5832918</v>
      </c>
      <c r="J29" s="20">
        <f t="shared" si="1"/>
        <v>5777978</v>
      </c>
      <c r="K29" s="20">
        <f t="shared" si="2"/>
        <v>54940</v>
      </c>
      <c r="L29" s="21">
        <f t="shared" si="3"/>
        <v>0.99058104365602262</v>
      </c>
      <c r="M29" s="21">
        <f t="shared" si="4"/>
        <v>5.122668203719415E-3</v>
      </c>
    </row>
    <row r="30" spans="2:13" ht="14.25" customHeight="1" x14ac:dyDescent="0.3">
      <c r="B30" s="7" t="s">
        <v>51</v>
      </c>
      <c r="C30" s="8">
        <f t="array" ref="C30">INDEX(MINVU_Mes_Corriente!$1:$426, 274, 3 + ($C$4 - 2014)*13 + 12)</f>
        <v>0</v>
      </c>
      <c r="D30" s="8">
        <f t="array" ref="D30">INDEX(MINVU_Mes_Corriente!$1:$426, 310, 3 + ($C$4 - 2014)*13 + 12)</f>
        <v>0</v>
      </c>
      <c r="E30" s="8">
        <f t="array" ref="E30">INDEX(MINVU_Mes_Corriente!$1:$426, 52, 3 + ($C$4 - 2014)*13 + 12)</f>
        <v>16696164</v>
      </c>
      <c r="F30" s="8">
        <f t="array" ref="F30">INDEX(MINVU_Mes_Corriente!$1:$426, 88, 3 + ($C$4 - 2014)*13 + 12)</f>
        <v>15745622</v>
      </c>
      <c r="G30" s="8">
        <f t="array" ref="G30">INDEX(MINVU_Mes_Corriente!$1:$426, 163, 3 + ($C$4 - 2014)*13 + 12)</f>
        <v>2727496</v>
      </c>
      <c r="H30" s="8">
        <f t="array" ref="H30">INDEX(MINVU_Mes_Corriente!$1:$426, 199, 3 + ($C$4 - 2014)*13 + 12)</f>
        <v>2597210</v>
      </c>
      <c r="I30" s="8">
        <f t="shared" si="0"/>
        <v>19423660</v>
      </c>
      <c r="J30" s="8">
        <f t="shared" si="1"/>
        <v>18342832</v>
      </c>
      <c r="K30" s="8">
        <f t="shared" si="2"/>
        <v>1080828</v>
      </c>
      <c r="L30" s="13">
        <f t="shared" si="3"/>
        <v>0.94435508035045923</v>
      </c>
      <c r="M30" s="13">
        <f t="shared" si="4"/>
        <v>1.7058522935151265E-2</v>
      </c>
    </row>
    <row r="31" spans="2:13" ht="14.25" customHeight="1" x14ac:dyDescent="0.3">
      <c r="B31" s="19" t="s">
        <v>52</v>
      </c>
      <c r="C31" s="20">
        <f t="array" ref="C31">INDEX(MINVU_Mes_Corriente!$1:$426, 275, 3 + ($C$4 - 2014)*13 + 12)</f>
        <v>0</v>
      </c>
      <c r="D31" s="20">
        <f t="array" ref="D31">INDEX(MINVU_Mes_Corriente!$1:$426, 311, 3 + ($C$4 - 2014)*13 + 12)</f>
        <v>0</v>
      </c>
      <c r="E31" s="20">
        <f t="array" ref="E31">INDEX(MINVU_Mes_Corriente!$1:$426, 53, 3 + ($C$4 - 2014)*13 + 12)</f>
        <v>86176977</v>
      </c>
      <c r="F31" s="20">
        <f t="array" ref="F31">INDEX(MINVU_Mes_Corriente!$1:$426, 89, 3 + ($C$4 - 2014)*13 + 12)</f>
        <v>84834322</v>
      </c>
      <c r="G31" s="20">
        <f t="array" ref="G31">INDEX(MINVU_Mes_Corriente!$1:$426, 164, 3 + ($C$4 - 2014)*13 + 12)</f>
        <v>1758674</v>
      </c>
      <c r="H31" s="20">
        <f t="array" ref="H31">INDEX(MINVU_Mes_Corriente!$1:$426, 200, 3 + ($C$4 - 2014)*13 + 12)</f>
        <v>1680872</v>
      </c>
      <c r="I31" s="20">
        <f t="shared" si="0"/>
        <v>87935651</v>
      </c>
      <c r="J31" s="20">
        <f t="shared" si="1"/>
        <v>86515194</v>
      </c>
      <c r="K31" s="20">
        <f t="shared" si="2"/>
        <v>1420457</v>
      </c>
      <c r="L31" s="21">
        <f t="shared" si="3"/>
        <v>0.98384663121445481</v>
      </c>
      <c r="M31" s="21">
        <f t="shared" si="4"/>
        <v>7.7228098072194287E-2</v>
      </c>
    </row>
    <row r="32" spans="2:13" ht="14.25" customHeight="1" x14ac:dyDescent="0.3">
      <c r="B32" s="7" t="s">
        <v>53</v>
      </c>
      <c r="C32" s="8">
        <f t="array" ref="C32">INDEX(MINVU_Mes_Corriente!$1:$426, 276, 3 + ($C$4 - 2014)*13 + 12)</f>
        <v>0</v>
      </c>
      <c r="D32" s="8">
        <f t="array" ref="D32">INDEX(MINVU_Mes_Corriente!$1:$426, 312, 3 + ($C$4 - 2014)*13 + 12)</f>
        <v>0</v>
      </c>
      <c r="E32" s="8">
        <f t="array" ref="E32">INDEX(MINVU_Mes_Corriente!$1:$426, 54, 3 + ($C$4 - 2014)*13 + 12)</f>
        <v>1335225</v>
      </c>
      <c r="F32" s="8">
        <f t="array" ref="F32">INDEX(MINVU_Mes_Corriente!$1:$426, 90, 3 + ($C$4 - 2014)*13 + 12)</f>
        <v>1324722</v>
      </c>
      <c r="G32" s="8">
        <f t="array" ref="G32">INDEX(MINVU_Mes_Corriente!$1:$426, 165, 3 + ($C$4 - 2014)*13 + 12)</f>
        <v>801033</v>
      </c>
      <c r="H32" s="8">
        <f t="array" ref="H32">INDEX(MINVU_Mes_Corriente!$1:$426, 201, 3 + ($C$4 - 2014)*13 + 12)</f>
        <v>777754</v>
      </c>
      <c r="I32" s="8">
        <f t="shared" si="0"/>
        <v>2136258</v>
      </c>
      <c r="J32" s="8">
        <f t="shared" si="1"/>
        <v>2102476</v>
      </c>
      <c r="K32" s="8">
        <f t="shared" si="2"/>
        <v>33782</v>
      </c>
      <c r="L32" s="13">
        <f t="shared" si="3"/>
        <v>0.98418636700248752</v>
      </c>
      <c r="M32" s="13">
        <f t="shared" si="4"/>
        <v>1.8761348833536201E-3</v>
      </c>
    </row>
    <row r="33" spans="2:15" ht="14.25" customHeight="1" x14ac:dyDescent="0.3">
      <c r="B33" s="19" t="s">
        <v>54</v>
      </c>
      <c r="C33" s="20">
        <f t="array" ref="C33">INDEX(MINVU_Mes_Corriente!$1:$426, 277, 3 + ($C$4 - 2014)*13 + 12)</f>
        <v>0</v>
      </c>
      <c r="D33" s="20">
        <f t="array" ref="D33">INDEX(MINVU_Mes_Corriente!$1:$426, 313, 3 + ($C$4 - 2014)*13 + 12)</f>
        <v>0</v>
      </c>
      <c r="E33" s="20">
        <f t="array" ref="E33">INDEX(MINVU_Mes_Corriente!$1:$426, 55, 3 + ($C$4 - 2014)*13 + 12)</f>
        <v>5139751</v>
      </c>
      <c r="F33" s="20">
        <f t="array" ref="F33">INDEX(MINVU_Mes_Corriente!$1:$426, 91, 3 + ($C$4 - 2014)*13 + 12)</f>
        <v>5132360</v>
      </c>
      <c r="G33" s="20">
        <f t="array" ref="G33">INDEX(MINVU_Mes_Corriente!$1:$426, 166, 3 + ($C$4 - 2014)*13 + 12)</f>
        <v>1196010</v>
      </c>
      <c r="H33" s="20">
        <f t="array" ref="H33">INDEX(MINVU_Mes_Corriente!$1:$426, 202, 3 + ($C$4 - 2014)*13 + 12)</f>
        <v>1039925</v>
      </c>
      <c r="I33" s="20">
        <f t="shared" si="0"/>
        <v>6335761</v>
      </c>
      <c r="J33" s="20">
        <f t="shared" si="1"/>
        <v>6172285</v>
      </c>
      <c r="K33" s="20">
        <f t="shared" si="2"/>
        <v>163476</v>
      </c>
      <c r="L33" s="21">
        <f t="shared" si="3"/>
        <v>0.97419789035602822</v>
      </c>
      <c r="M33" s="21">
        <f t="shared" si="4"/>
        <v>5.5642821347849439E-3</v>
      </c>
    </row>
    <row r="34" spans="2:15" ht="14.25" customHeight="1" x14ac:dyDescent="0.3">
      <c r="B34" s="7" t="s">
        <v>55</v>
      </c>
      <c r="C34" s="8">
        <f t="array" ref="C34">INDEX(MINVU_Mes_Corriente!$1:$426, 278, 3 + ($C$4 - 2014)*13 + 12)</f>
        <v>0</v>
      </c>
      <c r="D34" s="8">
        <f t="array" ref="D34">INDEX(MINVU_Mes_Corriente!$1:$426, 314, 3 + ($C$4 - 2014)*13 + 12)</f>
        <v>0</v>
      </c>
      <c r="E34" s="8">
        <f t="array" ref="E34">INDEX(MINVU_Mes_Corriente!$1:$426, 56, 3 + ($C$4 - 2014)*13 + 12)</f>
        <v>19433127</v>
      </c>
      <c r="F34" s="8">
        <f t="array" ref="F34">INDEX(MINVU_Mes_Corriente!$1:$426, 92, 3 + ($C$4 - 2014)*13 + 12)</f>
        <v>19388865</v>
      </c>
      <c r="G34" s="8">
        <f t="array" ref="G34">INDEX(MINVU_Mes_Corriente!$1:$426, 167, 3 + ($C$4 - 2014)*13 + 12)</f>
        <v>2116054</v>
      </c>
      <c r="H34" s="8">
        <f t="array" ref="H34">INDEX(MINVU_Mes_Corriente!$1:$426, 203, 3 + ($C$4 - 2014)*13 + 12)</f>
        <v>2065507</v>
      </c>
      <c r="I34" s="8">
        <f t="shared" si="0"/>
        <v>21549181</v>
      </c>
      <c r="J34" s="8">
        <f t="shared" si="1"/>
        <v>21454372</v>
      </c>
      <c r="K34" s="8">
        <f t="shared" si="2"/>
        <v>94809</v>
      </c>
      <c r="L34" s="13">
        <f t="shared" si="3"/>
        <v>0.99560034323346214</v>
      </c>
      <c r="M34" s="13">
        <f t="shared" si="4"/>
        <v>1.8925228217659591E-2</v>
      </c>
    </row>
    <row r="35" spans="2:15" ht="14.25" customHeight="1" x14ac:dyDescent="0.3">
      <c r="B35" s="19" t="s">
        <v>56</v>
      </c>
      <c r="C35" s="20">
        <f t="array" ref="C35">INDEX(MINVU_Mes_Corriente!$1:$426, 279, 3 + ($C$4 - 2014)*13 + 12)</f>
        <v>0</v>
      </c>
      <c r="D35" s="20">
        <f t="array" ref="D35">INDEX(MINVU_Mes_Corriente!$1:$426, 315, 3 + ($C$4 - 2014)*13 + 12)</f>
        <v>0</v>
      </c>
      <c r="E35" s="20">
        <f t="array" ref="E35">INDEX(MINVU_Mes_Corriente!$1:$426, 57, 3 + ($C$4 - 2014)*13 + 12)</f>
        <v>84598812</v>
      </c>
      <c r="F35" s="20">
        <f t="array" ref="F35">INDEX(MINVU_Mes_Corriente!$1:$426, 93, 3 + ($C$4 - 2014)*13 + 12)</f>
        <v>84530480</v>
      </c>
      <c r="G35" s="20">
        <f t="array" ref="G35">INDEX(MINVU_Mes_Corriente!$1:$426, 168, 3 + ($C$4 - 2014)*13 + 12)</f>
        <v>838816</v>
      </c>
      <c r="H35" s="20">
        <f t="array" ref="H35">INDEX(MINVU_Mes_Corriente!$1:$426, 204, 3 + ($C$4 - 2014)*13 + 12)</f>
        <v>835835</v>
      </c>
      <c r="I35" s="20">
        <f t="shared" si="0"/>
        <v>85437628</v>
      </c>
      <c r="J35" s="20">
        <f t="shared" si="1"/>
        <v>85366315</v>
      </c>
      <c r="K35" s="20">
        <f t="shared" si="2"/>
        <v>71313</v>
      </c>
      <c r="L35" s="21">
        <f t="shared" si="3"/>
        <v>0.99916532092861943</v>
      </c>
      <c r="M35" s="21">
        <f t="shared" si="4"/>
        <v>7.503424878539483E-2</v>
      </c>
    </row>
    <row r="36" spans="2:15" ht="14.25" customHeight="1" x14ac:dyDescent="0.3">
      <c r="B36" s="7" t="s">
        <v>57</v>
      </c>
      <c r="C36" s="8">
        <f t="array" ref="C36">INDEX(MINVU_Mes_Corriente!$1:$426, 280, 3 + ($C$4 - 2014)*13 + 12)</f>
        <v>0</v>
      </c>
      <c r="D36" s="8">
        <f t="array" ref="D36">INDEX(MINVU_Mes_Corriente!$1:$426, 316, 3 + ($C$4 - 2014)*13 + 12)</f>
        <v>0</v>
      </c>
      <c r="E36" s="8">
        <f t="array" ref="E36">INDEX(MINVU_Mes_Corriente!$1:$426, 58, 3 + ($C$4 - 2014)*13 + 12)</f>
        <v>4207717</v>
      </c>
      <c r="F36" s="8">
        <f t="array" ref="F36">INDEX(MINVU_Mes_Corriente!$1:$426, 94, 3 + ($C$4 - 2014)*13 + 12)</f>
        <v>4120820</v>
      </c>
      <c r="G36" s="8">
        <f t="array" ref="G36">INDEX(MINVU_Mes_Corriente!$1:$426, 169, 3 + ($C$4 - 2014)*13 + 12)</f>
        <v>2575753</v>
      </c>
      <c r="H36" s="8">
        <f t="array" ref="H36">INDEX(MINVU_Mes_Corriente!$1:$426, 205, 3 + ($C$4 - 2014)*13 + 12)</f>
        <v>1476328</v>
      </c>
      <c r="I36" s="8">
        <f t="shared" si="0"/>
        <v>6783470</v>
      </c>
      <c r="J36" s="8">
        <f t="shared" si="1"/>
        <v>5597148</v>
      </c>
      <c r="K36" s="8">
        <f t="shared" si="2"/>
        <v>1186322</v>
      </c>
      <c r="L36" s="13">
        <f t="shared" si="3"/>
        <v>0.82511575933850967</v>
      </c>
      <c r="M36" s="13">
        <f t="shared" si="4"/>
        <v>5.9574755002358235E-3</v>
      </c>
    </row>
    <row r="37" spans="2:15" ht="14.25" customHeight="1" x14ac:dyDescent="0.3">
      <c r="B37" s="19" t="s">
        <v>58</v>
      </c>
      <c r="C37" s="20">
        <f t="array" ref="C37">INDEX(MINVU_Mes_Corriente!$1:$426, 281, 3 + ($C$4 - 2014)*13 + 12)</f>
        <v>0</v>
      </c>
      <c r="D37" s="20">
        <f t="array" ref="D37">INDEX(MINVU_Mes_Corriente!$1:$426, 317, 3 + ($C$4 - 2014)*13 + 12)</f>
        <v>0</v>
      </c>
      <c r="E37" s="20">
        <f t="array" ref="E37">INDEX(MINVU_Mes_Corriente!$1:$426, 59, 3 + ($C$4 - 2014)*13 + 12)</f>
        <v>29677094</v>
      </c>
      <c r="F37" s="20">
        <f t="array" ref="F37">INDEX(MINVU_Mes_Corriente!$1:$426, 95, 3 + ($C$4 - 2014)*13 + 12)</f>
        <v>29613796</v>
      </c>
      <c r="G37" s="20">
        <f t="array" ref="G37">INDEX(MINVU_Mes_Corriente!$1:$426, 170, 3 + ($C$4 - 2014)*13 + 12)</f>
        <v>658001</v>
      </c>
      <c r="H37" s="20">
        <f t="array" ref="H37">INDEX(MINVU_Mes_Corriente!$1:$426, 206, 3 + ($C$4 - 2014)*13 + 12)</f>
        <v>646116</v>
      </c>
      <c r="I37" s="20">
        <f t="shared" si="0"/>
        <v>30335095</v>
      </c>
      <c r="J37" s="20">
        <f t="shared" si="1"/>
        <v>30259912</v>
      </c>
      <c r="K37" s="20">
        <f t="shared" si="2"/>
        <v>75183</v>
      </c>
      <c r="L37" s="21">
        <f t="shared" si="3"/>
        <v>0.99752158349924402</v>
      </c>
      <c r="M37" s="21">
        <f t="shared" si="4"/>
        <v>2.6641318567020456E-2</v>
      </c>
    </row>
    <row r="38" spans="2:15" ht="14.25" customHeight="1" x14ac:dyDescent="0.3">
      <c r="B38" s="7" t="s">
        <v>59</v>
      </c>
      <c r="C38" s="8">
        <f t="array" ref="C38">INDEX(MINVU_Mes_Corriente!$1:$426, 282, 3 + ($C$4 - 2014)*13 + 12)</f>
        <v>0</v>
      </c>
      <c r="D38" s="8">
        <f t="array" ref="D38">INDEX(MINVU_Mes_Corriente!$1:$426, 318, 3 + ($C$4 - 2014)*13 + 12)</f>
        <v>0</v>
      </c>
      <c r="E38" s="8">
        <f t="array" ref="E38">INDEX(MINVU_Mes_Corriente!$1:$426, 60, 3 + ($C$4 - 2014)*13 + 12)</f>
        <v>2780377</v>
      </c>
      <c r="F38" s="8">
        <f t="array" ref="F38">INDEX(MINVU_Mes_Corriente!$1:$426, 96, 3 + ($C$4 - 2014)*13 + 12)</f>
        <v>2751676</v>
      </c>
      <c r="G38" s="8">
        <f t="array" ref="G38">INDEX(MINVU_Mes_Corriente!$1:$426, 171, 3 + ($C$4 - 2014)*13 + 12)</f>
        <v>1000652</v>
      </c>
      <c r="H38" s="8">
        <f t="array" ref="H38">INDEX(MINVU_Mes_Corriente!$1:$426, 207, 3 + ($C$4 - 2014)*13 + 12)</f>
        <v>857056</v>
      </c>
      <c r="I38" s="8">
        <f t="shared" si="0"/>
        <v>3781029</v>
      </c>
      <c r="J38" s="8">
        <f t="shared" si="1"/>
        <v>3608732</v>
      </c>
      <c r="K38" s="8">
        <f t="shared" si="2"/>
        <v>172297</v>
      </c>
      <c r="L38" s="13">
        <f t="shared" si="3"/>
        <v>0.95443118791207371</v>
      </c>
      <c r="M38" s="13">
        <f t="shared" si="4"/>
        <v>3.3206290634706362E-3</v>
      </c>
    </row>
    <row r="39" spans="2:15" ht="14.25" customHeight="1" x14ac:dyDescent="0.3">
      <c r="B39" s="19" t="s">
        <v>60</v>
      </c>
      <c r="C39" s="20">
        <f t="array" ref="C39">INDEX(MINVU_Mes_Corriente!$1:$426, 283, 3 + ($C$4 - 2014)*13 + 12)</f>
        <v>0</v>
      </c>
      <c r="D39" s="20">
        <f t="array" ref="D39">INDEX(MINVU_Mes_Corriente!$1:$426, 319, 3 + ($C$4 - 2014)*13 + 12)</f>
        <v>0</v>
      </c>
      <c r="E39" s="20">
        <f t="array" ref="E39">INDEX(MINVU_Mes_Corriente!$1:$426, 61, 3 + ($C$4 - 2014)*13 + 12)</f>
        <v>2892898</v>
      </c>
      <c r="F39" s="20">
        <f t="array" ref="F39">INDEX(MINVU_Mes_Corriente!$1:$426, 97, 3 + ($C$4 - 2014)*13 + 12)</f>
        <v>2776197</v>
      </c>
      <c r="G39" s="20">
        <f t="array" ref="G39">INDEX(MINVU_Mes_Corriente!$1:$426, 172, 3 + ($C$4 - 2014)*13 + 12)</f>
        <v>508636</v>
      </c>
      <c r="H39" s="20">
        <f t="array" ref="H39">INDEX(MINVU_Mes_Corriente!$1:$426, 208, 3 + ($C$4 - 2014)*13 + 12)</f>
        <v>499094</v>
      </c>
      <c r="I39" s="20">
        <f t="shared" si="0"/>
        <v>3401534</v>
      </c>
      <c r="J39" s="20">
        <f t="shared" si="1"/>
        <v>3275291</v>
      </c>
      <c r="K39" s="20">
        <f t="shared" si="2"/>
        <v>126243</v>
      </c>
      <c r="L39" s="21">
        <f t="shared" si="3"/>
        <v>0.96288645064256306</v>
      </c>
      <c r="M39" s="21">
        <f t="shared" si="4"/>
        <v>2.9873435672626491E-3</v>
      </c>
    </row>
    <row r="40" spans="2:15" ht="14.25" customHeight="1" x14ac:dyDescent="0.3">
      <c r="B40" s="14" t="s">
        <v>141</v>
      </c>
      <c r="C40" s="16">
        <f t="shared" ref="C40:K40" si="5">SUM(C22:C39)</f>
        <v>834343782</v>
      </c>
      <c r="D40" s="16">
        <f t="shared" si="5"/>
        <v>823446804</v>
      </c>
      <c r="E40" s="16">
        <f t="shared" si="5"/>
        <v>281824737</v>
      </c>
      <c r="F40" s="16">
        <f t="shared" si="5"/>
        <v>278069818</v>
      </c>
      <c r="G40" s="16">
        <f t="shared" si="5"/>
        <v>22479890</v>
      </c>
      <c r="H40" s="16">
        <f t="shared" si="5"/>
        <v>20438975</v>
      </c>
      <c r="I40" s="16">
        <f t="shared" si="5"/>
        <v>1138648409</v>
      </c>
      <c r="J40" s="16">
        <f t="shared" si="5"/>
        <v>1121955597</v>
      </c>
      <c r="K40" s="16">
        <f t="shared" si="5"/>
        <v>16692812</v>
      </c>
      <c r="L40" s="17">
        <f t="shared" si="3"/>
        <v>0.98533980123446518</v>
      </c>
      <c r="M40" s="17">
        <f>SUM(M22:M39)</f>
        <v>1.0000000000000002</v>
      </c>
    </row>
    <row r="41" spans="2:15" ht="14.25" customHeight="1" x14ac:dyDescent="0.3"/>
    <row r="42" spans="2:15" ht="14.25" customHeight="1" x14ac:dyDescent="0.3">
      <c r="B42" s="4" t="s">
        <v>142</v>
      </c>
    </row>
    <row r="43" spans="2:15" ht="14.25" customHeight="1" x14ac:dyDescent="0.3"/>
    <row r="44" spans="2:15" ht="14.25" customHeight="1" x14ac:dyDescent="0.3">
      <c r="B44" s="5" t="s">
        <v>143</v>
      </c>
      <c r="C44" s="5" t="s">
        <v>18</v>
      </c>
      <c r="D44" s="5" t="s">
        <v>19</v>
      </c>
      <c r="E44" s="5" t="s">
        <v>20</v>
      </c>
      <c r="F44" s="5" t="s">
        <v>21</v>
      </c>
      <c r="G44" s="5" t="s">
        <v>22</v>
      </c>
      <c r="H44" s="5" t="s">
        <v>23</v>
      </c>
      <c r="I44" s="5" t="s">
        <v>24</v>
      </c>
      <c r="J44" s="5" t="s">
        <v>25</v>
      </c>
      <c r="K44" s="5" t="s">
        <v>26</v>
      </c>
      <c r="L44" s="5" t="s">
        <v>27</v>
      </c>
      <c r="M44" s="5" t="s">
        <v>28</v>
      </c>
      <c r="N44" s="5" t="s">
        <v>29</v>
      </c>
      <c r="O44" s="5" t="s">
        <v>144</v>
      </c>
    </row>
    <row r="45" spans="2:15" ht="14.25" customHeight="1" x14ac:dyDescent="0.3">
      <c r="B45" s="7" t="s">
        <v>115</v>
      </c>
      <c r="C45" s="8">
        <f t="array" ref="C45">INDEX(MINVU_Mes_Corriente!$1:$426, 262, 3 + ($C$4 - 2014)*13 + 0) + INDEX(MINVU_Mes_Corriente!$1:$426, 40, 3 + ($C$4 - 2014)*13 + 0) + INDEX(MINVU_Mes_Corriente!$1:$426, 151, 3 + ($C$4 - 2014)*13 + 0)</f>
        <v>874957749</v>
      </c>
      <c r="D45" s="8">
        <f t="array" ref="D45">INDEX(MINVU_Mes_Corriente!$1:$426, 262, 3 + ($C$4 - 2014)*13 + 1) + INDEX(MINVU_Mes_Corriente!$1:$426, 40, 3 + ($C$4 - 2014)*13 + 1) + INDEX(MINVU_Mes_Corriente!$1:$426, 151, 3 + ($C$4 - 2014)*13 + 1)</f>
        <v>874957749</v>
      </c>
      <c r="E45" s="8">
        <f t="array" ref="E45">INDEX(MINVU_Mes_Corriente!$1:$426, 262, 3 + ($C$4 - 2014)*13 + 2) + INDEX(MINVU_Mes_Corriente!$1:$426, 40, 3 + ($C$4 - 2014)*13 + 2) + INDEX(MINVU_Mes_Corriente!$1:$426, 151, 3 + ($C$4 - 2014)*13 + 2)</f>
        <v>874957749</v>
      </c>
      <c r="F45" s="8">
        <f t="array" ref="F45">INDEX(MINVU_Mes_Corriente!$1:$426, 262, 3 + ($C$4 - 2014)*13 + 3) + INDEX(MINVU_Mes_Corriente!$1:$426, 40, 3 + ($C$4 - 2014)*13 + 3) + INDEX(MINVU_Mes_Corriente!$1:$426, 151, 3 + ($C$4 - 2014)*13 + 3)</f>
        <v>874957749</v>
      </c>
      <c r="G45" s="8">
        <f t="array" ref="G45">INDEX(MINVU_Mes_Corriente!$1:$426, 262, 3 + ($C$4 - 2014)*13 + 4) + INDEX(MINVU_Mes_Corriente!$1:$426, 40, 3 + ($C$4 - 2014)*13 + 4) + INDEX(MINVU_Mes_Corriente!$1:$426, 151, 3 + ($C$4 - 2014)*13 + 4)</f>
        <v>874957749</v>
      </c>
      <c r="H45" s="8">
        <f t="array" ref="H45">INDEX(MINVU_Mes_Corriente!$1:$426, 262, 3 + ($C$4 - 2014)*13 + 5) + INDEX(MINVU_Mes_Corriente!$1:$426, 40, 3 + ($C$4 - 2014)*13 + 5) + INDEX(MINVU_Mes_Corriente!$1:$426, 151, 3 + ($C$4 - 2014)*13 + 5)</f>
        <v>874957749</v>
      </c>
      <c r="I45" s="8">
        <f t="array" ref="I45">INDEX(MINVU_Mes_Corriente!$1:$426, 262, 3 + ($C$4 - 2014)*13 + 6) + INDEX(MINVU_Mes_Corriente!$1:$426, 40, 3 + ($C$4 - 2014)*13 + 6) + INDEX(MINVU_Mes_Corriente!$1:$426, 151, 3 + ($C$4 - 2014)*13 + 6)</f>
        <v>874957749</v>
      </c>
      <c r="J45" s="8">
        <f t="array" ref="J45">INDEX(MINVU_Mes_Corriente!$1:$426, 262, 3 + ($C$4 - 2014)*13 + 7) + INDEX(MINVU_Mes_Corriente!$1:$426, 40, 3 + ($C$4 - 2014)*13 + 7) + INDEX(MINVU_Mes_Corriente!$1:$426, 151, 3 + ($C$4 - 2014)*13 + 7)</f>
        <v>874957749</v>
      </c>
      <c r="K45" s="8">
        <f t="array" ref="K45">INDEX(MINVU_Mes_Corriente!$1:$426, 262, 3 + ($C$4 - 2014)*13 + 8) + INDEX(MINVU_Mes_Corriente!$1:$426, 40, 3 + ($C$4 - 2014)*13 + 8) + INDEX(MINVU_Mes_Corriente!$1:$426, 151, 3 + ($C$4 - 2014)*13 + 8)</f>
        <v>874957749</v>
      </c>
      <c r="L45" s="8">
        <f t="array" ref="L45">INDEX(MINVU_Mes_Corriente!$1:$426, 262, 3 + ($C$4 - 2014)*13 + 9) + INDEX(MINVU_Mes_Corriente!$1:$426, 40, 3 + ($C$4 - 2014)*13 + 9) + INDEX(MINVU_Mes_Corriente!$1:$426, 151, 3 + ($C$4 - 2014)*13 + 9)</f>
        <v>874957749</v>
      </c>
      <c r="M45" s="8">
        <f t="array" ref="M45">INDEX(MINVU_Mes_Corriente!$1:$426, 262, 3 + ($C$4 - 2014)*13 + 10) + INDEX(MINVU_Mes_Corriente!$1:$426, 40, 3 + ($C$4 - 2014)*13 + 10) + INDEX(MINVU_Mes_Corriente!$1:$426, 151, 3 + ($C$4 - 2014)*13 + 10)</f>
        <v>874957749</v>
      </c>
      <c r="N45" s="8">
        <f t="array" ref="N45">INDEX(MINVU_Mes_Corriente!$1:$426, 262, 3 + ($C$4 - 2014)*13 + 11) + INDEX(MINVU_Mes_Corriente!$1:$426, 40, 3 + ($C$4 - 2014)*13 + 11) + INDEX(MINVU_Mes_Corriente!$1:$426, 151, 3 + ($C$4 - 2014)*13 + 11)</f>
        <v>874957749</v>
      </c>
      <c r="O45" s="22">
        <f t="array" ref="O45">INDEX(MINVU_Mes_Corriente!$1:$426, 262, 3 + ($C$4 - 2014)*13 + 12) + INDEX(MINVU_Mes_Corriente!$1:$426, 40, 3 + ($C$4 - 2014)*13 + 12) + INDEX(MINVU_Mes_Corriente!$1:$426, 151, 3 + ($C$4 - 2014)*13 + 12)</f>
        <v>874957749</v>
      </c>
    </row>
    <row r="46" spans="2:15" ht="14.25" customHeight="1" x14ac:dyDescent="0.3">
      <c r="B46" s="7" t="s">
        <v>116</v>
      </c>
      <c r="C46" s="8">
        <f t="array" ref="C46">INDEX(MINVU_Mes_Corriente!$1:$426, 298, 3 + ($C$4 - 2014)*13 + 0) + INDEX(MINVU_Mes_Corriente!$1:$426, 76, 3 + ($C$4 - 2014)*13 + 0) + INDEX(MINVU_Mes_Corriente!$1:$426, 187, 3 + ($C$4 - 2014)*13 + 0)</f>
        <v>874957749</v>
      </c>
      <c r="D46" s="8">
        <f t="array" ref="D46">INDEX(MINVU_Mes_Corriente!$1:$426, 298, 3 + ($C$4 - 2014)*13 + 1) + INDEX(MINVU_Mes_Corriente!$1:$426, 76, 3 + ($C$4 - 2014)*13 + 1) + INDEX(MINVU_Mes_Corriente!$1:$426, 187, 3 + ($C$4 - 2014)*13 + 1)</f>
        <v>1433285204</v>
      </c>
      <c r="E46" s="8">
        <f t="array" ref="E46">INDEX(MINVU_Mes_Corriente!$1:$426, 298, 3 + ($C$4 - 2014)*13 + 2) + INDEX(MINVU_Mes_Corriente!$1:$426, 76, 3 + ($C$4 - 2014)*13 + 2) + INDEX(MINVU_Mes_Corriente!$1:$426, 187, 3 + ($C$4 - 2014)*13 + 2)</f>
        <v>1504961274</v>
      </c>
      <c r="F46" s="8">
        <f t="array" ref="F46">INDEX(MINVU_Mes_Corriente!$1:$426, 298, 3 + ($C$4 - 2014)*13 + 3) + INDEX(MINVU_Mes_Corriente!$1:$426, 76, 3 + ($C$4 - 2014)*13 + 3) + INDEX(MINVU_Mes_Corriente!$1:$426, 187, 3 + ($C$4 - 2014)*13 + 3)</f>
        <v>1635239178</v>
      </c>
      <c r="G46" s="8">
        <f t="array" ref="G46">INDEX(MINVU_Mes_Corriente!$1:$426, 298, 3 + ($C$4 - 2014)*13 + 4) + INDEX(MINVU_Mes_Corriente!$1:$426, 76, 3 + ($C$4 - 2014)*13 + 4) + INDEX(MINVU_Mes_Corriente!$1:$426, 187, 3 + ($C$4 - 2014)*13 + 4)</f>
        <v>1642778724</v>
      </c>
      <c r="H46" s="8">
        <f t="array" ref="H46">INDEX(MINVU_Mes_Corriente!$1:$426, 298, 3 + ($C$4 - 2014)*13 + 5) + INDEX(MINVU_Mes_Corriente!$1:$426, 76, 3 + ($C$4 - 2014)*13 + 5) + INDEX(MINVU_Mes_Corriente!$1:$426, 187, 3 + ($C$4 - 2014)*13 + 5)</f>
        <v>1639672750</v>
      </c>
      <c r="I46" s="8">
        <f t="array" ref="I46">INDEX(MINVU_Mes_Corriente!$1:$426, 298, 3 + ($C$4 - 2014)*13 + 6) + INDEX(MINVU_Mes_Corriente!$1:$426, 76, 3 + ($C$4 - 2014)*13 + 6) + INDEX(MINVU_Mes_Corriente!$1:$426, 187, 3 + ($C$4 - 2014)*13 + 6)</f>
        <v>1657864880</v>
      </c>
      <c r="J46" s="8">
        <f t="array" ref="J46">INDEX(MINVU_Mes_Corriente!$1:$426, 298, 3 + ($C$4 - 2014)*13 + 7) + INDEX(MINVU_Mes_Corriente!$1:$426, 76, 3 + ($C$4 - 2014)*13 + 7) + INDEX(MINVU_Mes_Corriente!$1:$426, 187, 3 + ($C$4 - 2014)*13 + 7)</f>
        <v>1739463650</v>
      </c>
      <c r="K46" s="8">
        <f t="array" ref="K46">INDEX(MINVU_Mes_Corriente!$1:$426, 298, 3 + ($C$4 - 2014)*13 + 8) + INDEX(MINVU_Mes_Corriente!$1:$426, 76, 3 + ($C$4 - 2014)*13 + 8) + INDEX(MINVU_Mes_Corriente!$1:$426, 187, 3 + ($C$4 - 2014)*13 + 8)</f>
        <v>1724321326</v>
      </c>
      <c r="L46" s="8">
        <f t="array" ref="L46">INDEX(MINVU_Mes_Corriente!$1:$426, 298, 3 + ($C$4 - 2014)*13 + 9) + INDEX(MINVU_Mes_Corriente!$1:$426, 76, 3 + ($C$4 - 2014)*13 + 9) + INDEX(MINVU_Mes_Corriente!$1:$426, 187, 3 + ($C$4 - 2014)*13 + 9)</f>
        <v>1560345908</v>
      </c>
      <c r="M46" s="8">
        <f t="array" ref="M46">INDEX(MINVU_Mes_Corriente!$1:$426, 298, 3 + ($C$4 - 2014)*13 + 10) + INDEX(MINVU_Mes_Corriente!$1:$426, 76, 3 + ($C$4 - 2014)*13 + 10) + INDEX(MINVU_Mes_Corriente!$1:$426, 187, 3 + ($C$4 - 2014)*13 + 10)</f>
        <v>1543397059</v>
      </c>
      <c r="N46" s="8">
        <f t="array" ref="N46">INDEX(MINVU_Mes_Corriente!$1:$426, 298, 3 + ($C$4 - 2014)*13 + 11) + INDEX(MINVU_Mes_Corriente!$1:$426, 76, 3 + ($C$4 - 2014)*13 + 11) + INDEX(MINVU_Mes_Corriente!$1:$426, 187, 3 + ($C$4 - 2014)*13 + 11)</f>
        <v>1433711234</v>
      </c>
      <c r="O46" s="22">
        <f t="array" ref="O46">INDEX(MINVU_Mes_Corriente!$1:$426, 298, 3 + ($C$4 - 2014)*13 + 12) + INDEX(MINVU_Mes_Corriente!$1:$426, 76, 3 + ($C$4 - 2014)*13 + 12) + INDEX(MINVU_Mes_Corriente!$1:$426, 187, 3 + ($C$4 - 2014)*13 + 12)</f>
        <v>1433711234</v>
      </c>
    </row>
    <row r="47" spans="2:15" ht="14.25" customHeight="1" x14ac:dyDescent="0.3">
      <c r="B47" s="23" t="s">
        <v>117</v>
      </c>
      <c r="C47" s="24">
        <f t="array" ref="C47">INDEX(MINVU_Mes_Corriente!$1:$426, 334, 3 + ($C$4 - 2014)*13 + 0) + INDEX(MINVU_Mes_Corriente!$1:$426, 112, 3 + ($C$4 - 2014)*13 + 0) + INDEX(MINVU_Mes_Corriente!$1:$426, 223, 3 + ($C$4 - 2014)*13 + 0)</f>
        <v>638848</v>
      </c>
      <c r="D47" s="24">
        <f t="array" ref="D47">INDEX(MINVU_Mes_Corriente!$1:$426, 334, 3 + ($C$4 - 2014)*13 + 1) + INDEX(MINVU_Mes_Corriente!$1:$426, 112, 3 + ($C$4 - 2014)*13 + 1) + INDEX(MINVU_Mes_Corriente!$1:$426, 223, 3 + ($C$4 - 2014)*13 + 1)</f>
        <v>12686671</v>
      </c>
      <c r="E47" s="24">
        <f t="array" ref="E47">INDEX(MINVU_Mes_Corriente!$1:$426, 334, 3 + ($C$4 - 2014)*13 + 2) + INDEX(MINVU_Mes_Corriente!$1:$426, 112, 3 + ($C$4 - 2014)*13 + 2) + INDEX(MINVU_Mes_Corriente!$1:$426, 223, 3 + ($C$4 - 2014)*13 + 2)</f>
        <v>191690542</v>
      </c>
      <c r="F47" s="24">
        <f t="array" ref="F47">INDEX(MINVU_Mes_Corriente!$1:$426, 334, 3 + ($C$4 - 2014)*13 + 3) + INDEX(MINVU_Mes_Corriente!$1:$426, 112, 3 + ($C$4 - 2014)*13 + 3) + INDEX(MINVU_Mes_Corriente!$1:$426, 223, 3 + ($C$4 - 2014)*13 + 3)</f>
        <v>254699751</v>
      </c>
      <c r="G47" s="24">
        <f t="array" ref="G47">INDEX(MINVU_Mes_Corriente!$1:$426, 334, 3 + ($C$4 - 2014)*13 + 4) + INDEX(MINVU_Mes_Corriente!$1:$426, 112, 3 + ($C$4 - 2014)*13 + 4) + INDEX(MINVU_Mes_Corriente!$1:$426, 223, 3 + ($C$4 - 2014)*13 + 4)</f>
        <v>347204772</v>
      </c>
      <c r="H47" s="24">
        <f t="array" ref="H47">INDEX(MINVU_Mes_Corriente!$1:$426, 334, 3 + ($C$4 - 2014)*13 + 5) + INDEX(MINVU_Mes_Corriente!$1:$426, 112, 3 + ($C$4 - 2014)*13 + 5) + INDEX(MINVU_Mes_Corriente!$1:$426, 223, 3 + ($C$4 - 2014)*13 + 5)</f>
        <v>490224825</v>
      </c>
      <c r="I47" s="24">
        <f t="array" ref="I47">INDEX(MINVU_Mes_Corriente!$1:$426, 334, 3 + ($C$4 - 2014)*13 + 6) + INDEX(MINVU_Mes_Corriente!$1:$426, 112, 3 + ($C$4 - 2014)*13 + 6) + INDEX(MINVU_Mes_Corriente!$1:$426, 223, 3 + ($C$4 - 2014)*13 + 6)</f>
        <v>624869940</v>
      </c>
      <c r="J47" s="24">
        <f t="array" ref="J47">INDEX(MINVU_Mes_Corriente!$1:$426, 334, 3 + ($C$4 - 2014)*13 + 7) + INDEX(MINVU_Mes_Corriente!$1:$426, 112, 3 + ($C$4 - 2014)*13 + 7) + INDEX(MINVU_Mes_Corriente!$1:$426, 223, 3 + ($C$4 - 2014)*13 + 7)</f>
        <v>816384581</v>
      </c>
      <c r="K47" s="24">
        <f t="array" ref="K47">INDEX(MINVU_Mes_Corriente!$1:$426, 334, 3 + ($C$4 - 2014)*13 + 8) + INDEX(MINVU_Mes_Corriente!$1:$426, 112, 3 + ($C$4 - 2014)*13 + 8) + INDEX(MINVU_Mes_Corriente!$1:$426, 223, 3 + ($C$4 - 2014)*13 + 8)</f>
        <v>940101985</v>
      </c>
      <c r="L47" s="24">
        <f t="array" ref="L47">INDEX(MINVU_Mes_Corriente!$1:$426, 334, 3 + ($C$4 - 2014)*13 + 9) + INDEX(MINVU_Mes_Corriente!$1:$426, 112, 3 + ($C$4 - 2014)*13 + 9) + INDEX(MINVU_Mes_Corriente!$1:$426, 223, 3 + ($C$4 - 2014)*13 + 9)</f>
        <v>1023720338</v>
      </c>
      <c r="M47" s="24">
        <f t="array" ref="M47">INDEX(MINVU_Mes_Corriente!$1:$426, 334, 3 + ($C$4 - 2014)*13 + 10) + INDEX(MINVU_Mes_Corriente!$1:$426, 112, 3 + ($C$4 - 2014)*13 + 10) + INDEX(MINVU_Mes_Corriente!$1:$426, 223, 3 + ($C$4 - 2014)*13 + 10)</f>
        <v>1160196129</v>
      </c>
      <c r="N47" s="24">
        <f t="array" ref="N47">INDEX(MINVU_Mes_Corriente!$1:$426, 334, 3 + ($C$4 - 2014)*13 + 11) + INDEX(MINVU_Mes_Corriente!$1:$426, 112, 3 + ($C$4 - 2014)*13 + 11) + INDEX(MINVU_Mes_Corriente!$1:$426, 223, 3 + ($C$4 - 2014)*13 + 11)</f>
        <v>1410933263</v>
      </c>
      <c r="O47" s="25">
        <f t="array" ref="O47">INDEX(MINVU_Mes_Corriente!$1:$426, 334, 3 + ($C$4 - 2014)*13 + 12) + INDEX(MINVU_Mes_Corriente!$1:$426, 112, 3 + ($C$4 - 2014)*13 + 12) + INDEX(MINVU_Mes_Corriente!$1:$426, 223, 3 + ($C$4 - 2014)*13 + 12)</f>
        <v>1410933263</v>
      </c>
    </row>
    <row r="48" spans="2:15" ht="14.25" customHeight="1" x14ac:dyDescent="0.3">
      <c r="B48" s="26" t="s">
        <v>145</v>
      </c>
      <c r="C48" s="27">
        <f t="shared" ref="C48:O48" si="6">IF(C46&gt;0, C47/C46, 0)</f>
        <v>7.3014725651626862E-4</v>
      </c>
      <c r="D48" s="27">
        <f t="shared" si="6"/>
        <v>8.851463033731282E-3</v>
      </c>
      <c r="E48" s="27">
        <f t="shared" si="6"/>
        <v>0.12737240838796493</v>
      </c>
      <c r="F48" s="27">
        <f t="shared" si="6"/>
        <v>0.15575687913220973</v>
      </c>
      <c r="G48" s="27">
        <f t="shared" si="6"/>
        <v>0.21135212364729894</v>
      </c>
      <c r="H48" s="27">
        <f t="shared" si="6"/>
        <v>0.298977234939106</v>
      </c>
      <c r="I48" s="27">
        <f t="shared" si="6"/>
        <v>0.3769124658699568</v>
      </c>
      <c r="J48" s="27">
        <f t="shared" si="6"/>
        <v>0.46933121080167439</v>
      </c>
      <c r="K48" s="27">
        <f t="shared" si="6"/>
        <v>0.5452011587543284</v>
      </c>
      <c r="L48" s="27">
        <f t="shared" si="6"/>
        <v>0.65608550818848299</v>
      </c>
      <c r="M48" s="27">
        <f t="shared" si="6"/>
        <v>0.75171591278767624</v>
      </c>
      <c r="N48" s="27">
        <f t="shared" si="6"/>
        <v>0.98411258106944566</v>
      </c>
      <c r="O48" s="17">
        <f t="shared" si="6"/>
        <v>0.98411258106944566</v>
      </c>
    </row>
    <row r="49" spans="2:9" ht="14.25" customHeight="1" x14ac:dyDescent="0.3"/>
    <row r="50" spans="2:9" ht="14.25" customHeight="1" x14ac:dyDescent="0.3">
      <c r="B50" s="4" t="s">
        <v>146</v>
      </c>
    </row>
    <row r="51" spans="2:9" ht="14.25" customHeight="1" x14ac:dyDescent="0.3"/>
    <row r="52" spans="2:9" ht="14.25" customHeight="1" x14ac:dyDescent="0.3">
      <c r="B52" s="11" t="s">
        <v>147</v>
      </c>
      <c r="C52" s="11" t="s">
        <v>115</v>
      </c>
      <c r="D52" s="11" t="s">
        <v>116</v>
      </c>
      <c r="E52" s="11" t="s">
        <v>117</v>
      </c>
      <c r="F52" s="11" t="s">
        <v>118</v>
      </c>
      <c r="G52" s="11" t="s">
        <v>119</v>
      </c>
      <c r="H52" s="11" t="s">
        <v>148</v>
      </c>
      <c r="I52" s="11" t="s">
        <v>149</v>
      </c>
    </row>
    <row r="53" spans="2:9" ht="14.25" customHeight="1" x14ac:dyDescent="0.3">
      <c r="B53" s="28">
        <v>2014</v>
      </c>
      <c r="C53" s="20">
        <f>MINVU_Mes_Corriente!O262 + MINVU_Mes_Corriente!O40 + MINVU_Mes_Corriente!O151</f>
        <v>324422704</v>
      </c>
      <c r="D53" s="20">
        <f>MINVU_Mes_Corriente!O298 + MINVU_Mes_Corriente!O76 + MINVU_Mes_Corriente!O187</f>
        <v>616284642</v>
      </c>
      <c r="E53" s="20">
        <f>MINVU_Mes_Corriente!O334 + MINVU_Mes_Corriente!O112 + MINVU_Mes_Corriente!O223</f>
        <v>583919079</v>
      </c>
      <c r="F53" s="20">
        <f t="shared" ref="F53:F65" si="7">D53 - E53</f>
        <v>32365563</v>
      </c>
      <c r="G53" s="21">
        <f t="shared" ref="G53:G65" si="8">IF(D53&gt;0, E53/D53, 0)</f>
        <v>0.94748276884693161</v>
      </c>
      <c r="H53" s="29" t="s">
        <v>150</v>
      </c>
      <c r="I53" s="29" t="s">
        <v>150</v>
      </c>
    </row>
    <row r="54" spans="2:9" ht="14.25" customHeight="1" x14ac:dyDescent="0.3">
      <c r="B54" s="30">
        <v>2015</v>
      </c>
      <c r="C54" s="8">
        <f>MINVU_Mes_Corriente!AB262 + MINVU_Mes_Corriente!AB40 + MINVU_Mes_Corriente!AB151</f>
        <v>590013273</v>
      </c>
      <c r="D54" s="8">
        <f>MINVU_Mes_Corriente!AB298 + MINVU_Mes_Corriente!AB76 + MINVU_Mes_Corriente!AB187</f>
        <v>1034056063</v>
      </c>
      <c r="E54" s="8">
        <f>MINVU_Mes_Corriente!AB334 + MINVU_Mes_Corriente!AB112 + MINVU_Mes_Corriente!AB223</f>
        <v>935030488</v>
      </c>
      <c r="F54" s="8">
        <f t="shared" si="7"/>
        <v>99025575</v>
      </c>
      <c r="G54" s="13">
        <f t="shared" si="8"/>
        <v>0.90423577739807715</v>
      </c>
      <c r="H54" s="13">
        <f t="shared" ref="H54:H65" si="9">IF(D53&gt;0, (D54-D53)/D53, 0)</f>
        <v>0.67788711989353778</v>
      </c>
      <c r="I54" s="13">
        <f t="shared" ref="I54:I65" si="10">IF(E53&gt;0, (E54-E53)/E53, 0)</f>
        <v>0.60130148444764209</v>
      </c>
    </row>
    <row r="55" spans="2:9" ht="14.25" customHeight="1" x14ac:dyDescent="0.3">
      <c r="B55" s="28">
        <v>2016</v>
      </c>
      <c r="C55" s="20">
        <f>MINVU_Mes_Corriente!AO262 + MINVU_Mes_Corriente!AO40 + MINVU_Mes_Corriente!AO151</f>
        <v>566758585</v>
      </c>
      <c r="D55" s="20">
        <f>MINVU_Mes_Corriente!AO298 + MINVU_Mes_Corriente!AO76 + MINVU_Mes_Corriente!AO187</f>
        <v>924494965</v>
      </c>
      <c r="E55" s="20">
        <f>MINVU_Mes_Corriente!AO334 + MINVU_Mes_Corriente!AO112 + MINVU_Mes_Corriente!AO223</f>
        <v>805206756</v>
      </c>
      <c r="F55" s="20">
        <f t="shared" si="7"/>
        <v>119288209</v>
      </c>
      <c r="G55" s="21">
        <f t="shared" si="8"/>
        <v>0.87096932539811078</v>
      </c>
      <c r="H55" s="21">
        <f t="shared" si="9"/>
        <v>-0.10595276399438315</v>
      </c>
      <c r="I55" s="21">
        <f t="shared" si="10"/>
        <v>-0.13884438386355591</v>
      </c>
    </row>
    <row r="56" spans="2:9" ht="14.25" customHeight="1" x14ac:dyDescent="0.3">
      <c r="B56" s="30">
        <v>2017</v>
      </c>
      <c r="C56" s="8">
        <f>MINVU_Mes_Corriente!BB262 + MINVU_Mes_Corriente!BB40 + MINVU_Mes_Corriente!BB151</f>
        <v>432909681</v>
      </c>
      <c r="D56" s="8">
        <f>MINVU_Mes_Corriente!BB298 + MINVU_Mes_Corriente!BB76 + MINVU_Mes_Corriente!BB187</f>
        <v>821777268</v>
      </c>
      <c r="E56" s="8">
        <f>MINVU_Mes_Corriente!BB334 + MINVU_Mes_Corriente!BB112 + MINVU_Mes_Corriente!BB223</f>
        <v>717205377</v>
      </c>
      <c r="F56" s="8">
        <f t="shared" si="7"/>
        <v>104571891</v>
      </c>
      <c r="G56" s="13">
        <f t="shared" si="8"/>
        <v>0.87274910724349708</v>
      </c>
      <c r="H56" s="13">
        <f t="shared" si="9"/>
        <v>-0.11110682144169384</v>
      </c>
      <c r="I56" s="13">
        <f t="shared" si="10"/>
        <v>-0.10929041310726409</v>
      </c>
    </row>
    <row r="57" spans="2:9" ht="14.25" customHeight="1" x14ac:dyDescent="0.3">
      <c r="B57" s="28">
        <v>2018</v>
      </c>
      <c r="C57" s="20">
        <f>MINVU_Mes_Corriente!BO262 + MINVU_Mes_Corriente!BO40 + MINVU_Mes_Corriente!BO151</f>
        <v>548215539</v>
      </c>
      <c r="D57" s="20">
        <f>MINVU_Mes_Corriente!BO298 + MINVU_Mes_Corriente!BO76 + MINVU_Mes_Corriente!BO187</f>
        <v>935243997</v>
      </c>
      <c r="E57" s="20">
        <f>MINVU_Mes_Corriente!BO334 + MINVU_Mes_Corriente!BO112 + MINVU_Mes_Corriente!BO223</f>
        <v>843613005</v>
      </c>
      <c r="F57" s="20">
        <f t="shared" si="7"/>
        <v>91630992</v>
      </c>
      <c r="G57" s="21">
        <f t="shared" si="8"/>
        <v>0.90202450665930334</v>
      </c>
      <c r="H57" s="21">
        <f t="shared" si="9"/>
        <v>0.13807479644228854</v>
      </c>
      <c r="I57" s="21">
        <f t="shared" si="10"/>
        <v>0.1762502513976551</v>
      </c>
    </row>
    <row r="58" spans="2:9" ht="14.25" customHeight="1" x14ac:dyDescent="0.3">
      <c r="B58" s="30">
        <v>2019</v>
      </c>
      <c r="C58" s="8">
        <f>MINVU_Mes_Corriente!CB262 + MINVU_Mes_Corriente!CB40 + MINVU_Mes_Corriente!CB151</f>
        <v>578238758</v>
      </c>
      <c r="D58" s="8">
        <f>MINVU_Mes_Corriente!CB298 + MINVU_Mes_Corriente!CB76 + MINVU_Mes_Corriente!CB187</f>
        <v>1472616213</v>
      </c>
      <c r="E58" s="8">
        <f>MINVU_Mes_Corriente!CB334 + MINVU_Mes_Corriente!CB112 + MINVU_Mes_Corriente!CB223</f>
        <v>1345400178</v>
      </c>
      <c r="F58" s="8">
        <f t="shared" si="7"/>
        <v>127216035</v>
      </c>
      <c r="G58" s="13">
        <f t="shared" si="8"/>
        <v>0.91361222708472245</v>
      </c>
      <c r="H58" s="13">
        <f t="shared" si="9"/>
        <v>0.57457970083073417</v>
      </c>
      <c r="I58" s="13">
        <f t="shared" si="10"/>
        <v>0.59480729911222741</v>
      </c>
    </row>
    <row r="59" spans="2:9" ht="14.25" customHeight="1" x14ac:dyDescent="0.3">
      <c r="B59" s="28">
        <v>2020</v>
      </c>
      <c r="C59" s="20">
        <f>MINVU_Mes_Corriente!CO262 + MINVU_Mes_Corriente!CO40 + MINVU_Mes_Corriente!CO151</f>
        <v>922615201</v>
      </c>
      <c r="D59" s="20">
        <f>MINVU_Mes_Corriente!CO298 + MINVU_Mes_Corriente!CO76 + MINVU_Mes_Corriente!CO187</f>
        <v>1366357347</v>
      </c>
      <c r="E59" s="20">
        <f>MINVU_Mes_Corriente!CO334 + MINVU_Mes_Corriente!CO112 + MINVU_Mes_Corriente!CO223</f>
        <v>1265398673</v>
      </c>
      <c r="F59" s="20">
        <f t="shared" si="7"/>
        <v>100958674</v>
      </c>
      <c r="G59" s="21">
        <f t="shared" si="8"/>
        <v>0.92611107612392407</v>
      </c>
      <c r="H59" s="21">
        <f t="shared" si="9"/>
        <v>-7.2156523242081133E-2</v>
      </c>
      <c r="I59" s="21">
        <f t="shared" si="10"/>
        <v>-5.9462980835134092E-2</v>
      </c>
    </row>
    <row r="60" spans="2:9" ht="14.25" customHeight="1" x14ac:dyDescent="0.3">
      <c r="B60" s="30">
        <v>2021</v>
      </c>
      <c r="C60" s="8">
        <f>MINVU_Mes_Corriente!DB262 + MINVU_Mes_Corriente!DB40 + MINVU_Mes_Corriente!DB151</f>
        <v>838089051</v>
      </c>
      <c r="D60" s="8">
        <f>MINVU_Mes_Corriente!DB298 + MINVU_Mes_Corriente!DB76 + MINVU_Mes_Corriente!DB187</f>
        <v>1066329907</v>
      </c>
      <c r="E60" s="8">
        <f>MINVU_Mes_Corriente!DB334 + MINVU_Mes_Corriente!DB112 + MINVU_Mes_Corriente!DB223</f>
        <v>976412098</v>
      </c>
      <c r="F60" s="8">
        <f t="shared" si="7"/>
        <v>89917809</v>
      </c>
      <c r="G60" s="13">
        <f t="shared" si="8"/>
        <v>0.91567543176860366</v>
      </c>
      <c r="H60" s="13">
        <f t="shared" si="9"/>
        <v>-0.21958197147967617</v>
      </c>
      <c r="I60" s="13">
        <f t="shared" si="10"/>
        <v>-0.22837591121766571</v>
      </c>
    </row>
    <row r="61" spans="2:9" ht="14.25" customHeight="1" x14ac:dyDescent="0.3">
      <c r="B61" s="28">
        <v>2022</v>
      </c>
      <c r="C61" s="20">
        <f>MINVU_Mes_Corriente!DO262 + MINVU_Mes_Corriente!DO40 + MINVU_Mes_Corriente!DO151</f>
        <v>829509617</v>
      </c>
      <c r="D61" s="20">
        <f>MINVU_Mes_Corriente!DO298 + MINVU_Mes_Corriente!DO76 + MINVU_Mes_Corriente!DO187</f>
        <v>937089371</v>
      </c>
      <c r="E61" s="20">
        <f>MINVU_Mes_Corriente!DO334 + MINVU_Mes_Corriente!DO112 + MINVU_Mes_Corriente!DO223</f>
        <v>838742494</v>
      </c>
      <c r="F61" s="20">
        <f t="shared" si="7"/>
        <v>98346877</v>
      </c>
      <c r="G61" s="21">
        <f t="shared" si="8"/>
        <v>0.89505069629052492</v>
      </c>
      <c r="H61" s="21">
        <f t="shared" si="9"/>
        <v>-0.12120126721720091</v>
      </c>
      <c r="I61" s="21">
        <f t="shared" si="10"/>
        <v>-0.14099538942828624</v>
      </c>
    </row>
    <row r="62" spans="2:9" ht="14.25" customHeight="1" x14ac:dyDescent="0.3">
      <c r="B62" s="30">
        <v>2023</v>
      </c>
      <c r="C62" s="8">
        <f>MINVU_Mes_Corriente!EB262 + MINVU_Mes_Corriente!EB40 + MINVU_Mes_Corriente!EB151</f>
        <v>950146060</v>
      </c>
      <c r="D62" s="8">
        <f>MINVU_Mes_Corriente!EB298 + MINVU_Mes_Corriente!EB76 + MINVU_Mes_Corriente!EB187</f>
        <v>1183363219</v>
      </c>
      <c r="E62" s="8">
        <f>MINVU_Mes_Corriente!EB334 + MINVU_Mes_Corriente!EB112 + MINVU_Mes_Corriente!EB223</f>
        <v>1062128889</v>
      </c>
      <c r="F62" s="8">
        <f t="shared" si="7"/>
        <v>121234330</v>
      </c>
      <c r="G62" s="13">
        <f t="shared" si="8"/>
        <v>0.8975510409200913</v>
      </c>
      <c r="H62" s="13">
        <f t="shared" si="9"/>
        <v>0.26280721521490824</v>
      </c>
      <c r="I62" s="13">
        <f t="shared" si="10"/>
        <v>0.26633489610698086</v>
      </c>
    </row>
    <row r="63" spans="2:9" ht="14.25" customHeight="1" x14ac:dyDescent="0.3">
      <c r="B63" s="28">
        <v>2024</v>
      </c>
      <c r="C63" s="20">
        <f>MINVU_Mes_Corriente!EO262 + MINVU_Mes_Corriente!EO40 + MINVU_Mes_Corriente!EO151</f>
        <v>874957749</v>
      </c>
      <c r="D63" s="20">
        <f>MINVU_Mes_Corriente!EO298 + MINVU_Mes_Corriente!EO76 + MINVU_Mes_Corriente!EO187</f>
        <v>1433711234</v>
      </c>
      <c r="E63" s="20">
        <f>MINVU_Mes_Corriente!EO334 + MINVU_Mes_Corriente!EO112 + MINVU_Mes_Corriente!EO223</f>
        <v>1410933263</v>
      </c>
      <c r="F63" s="20">
        <f t="shared" si="7"/>
        <v>22777971</v>
      </c>
      <c r="G63" s="21">
        <f t="shared" si="8"/>
        <v>0.98411258106944566</v>
      </c>
      <c r="H63" s="21">
        <f t="shared" si="9"/>
        <v>0.21155635985674487</v>
      </c>
      <c r="I63" s="21">
        <f t="shared" si="10"/>
        <v>0.32840117391816842</v>
      </c>
    </row>
    <row r="64" spans="2:9" ht="14.25" customHeight="1" x14ac:dyDescent="0.3">
      <c r="B64" s="30">
        <v>2025</v>
      </c>
      <c r="C64" s="8">
        <f>MINVU_Mes_Corriente!FB262 + MINVU_Mes_Corriente!FB40 + MINVU_Mes_Corriente!FB151</f>
        <v>961908744</v>
      </c>
      <c r="D64" s="8">
        <f>MINVU_Mes_Corriente!FB298 + MINVU_Mes_Corriente!FB76 + MINVU_Mes_Corriente!FB187</f>
        <v>1497045177</v>
      </c>
      <c r="E64" s="8">
        <f>MINVU_Mes_Corriente!FB334 + MINVU_Mes_Corriente!FB112 + MINVU_Mes_Corriente!FB223</f>
        <v>1388991464</v>
      </c>
      <c r="F64" s="8">
        <f t="shared" si="7"/>
        <v>108053713</v>
      </c>
      <c r="G64" s="13">
        <f t="shared" si="8"/>
        <v>0.92782200920847691</v>
      </c>
      <c r="H64" s="13">
        <f t="shared" si="9"/>
        <v>4.4174825095916075E-2</v>
      </c>
      <c r="I64" s="13">
        <f t="shared" si="10"/>
        <v>-1.5551266367727558E-2</v>
      </c>
    </row>
    <row r="65" spans="2:9" ht="14.25" customHeight="1" x14ac:dyDescent="0.3">
      <c r="B65" s="28">
        <v>2026</v>
      </c>
      <c r="C65" s="20">
        <f>MINVU_Mes_Corriente!FO262 + MINVU_Mes_Corriente!FO40 + MINVU_Mes_Corriente!FO151</f>
        <v>1548632165</v>
      </c>
      <c r="D65" s="20">
        <f>MINVU_Mes_Corriente!FO298 + MINVU_Mes_Corriente!FO76 + MINVU_Mes_Corriente!FO187</f>
        <v>1519492531</v>
      </c>
      <c r="E65" s="20">
        <f>MINVU_Mes_Corriente!FO334 + MINVU_Mes_Corriente!FO112 + MINVU_Mes_Corriente!FO223</f>
        <v>486989172</v>
      </c>
      <c r="F65" s="20">
        <f t="shared" si="7"/>
        <v>1032503359</v>
      </c>
      <c r="G65" s="21">
        <f t="shared" si="8"/>
        <v>0.32049461386921418</v>
      </c>
      <c r="H65" s="21">
        <f t="shared" si="9"/>
        <v>1.4994439944012459E-2</v>
      </c>
      <c r="I65" s="21">
        <f t="shared" si="10"/>
        <v>-0.64939368986647705</v>
      </c>
    </row>
    <row r="66" spans="2:9" ht="14.25" customHeight="1" x14ac:dyDescent="0.3"/>
    <row r="67" spans="2:9" ht="14.25" customHeight="1" x14ac:dyDescent="0.3"/>
    <row r="68" spans="2:9" ht="14.25" customHeight="1" x14ac:dyDescent="0.3"/>
    <row r="69" spans="2:9" ht="14.25" customHeight="1" x14ac:dyDescent="0.3"/>
    <row r="70" spans="2:9" ht="14.25" customHeight="1" x14ac:dyDescent="0.3"/>
    <row r="71" spans="2:9" ht="14.25" customHeight="1" x14ac:dyDescent="0.3"/>
    <row r="72" spans="2:9" ht="14.25" customHeight="1" x14ac:dyDescent="0.3"/>
    <row r="73" spans="2:9" ht="14.25" customHeight="1" x14ac:dyDescent="0.3"/>
    <row r="74" spans="2:9" ht="14.25" customHeight="1" x14ac:dyDescent="0.3"/>
    <row r="75" spans="2:9" ht="14.25" customHeight="1" x14ac:dyDescent="0.3"/>
    <row r="76" spans="2:9" ht="14.25" customHeight="1" x14ac:dyDescent="0.3"/>
    <row r="77" spans="2:9" ht="14.25" customHeight="1" x14ac:dyDescent="0.3"/>
    <row r="78" spans="2:9" ht="14.25" customHeight="1" x14ac:dyDescent="0.3"/>
    <row r="79" spans="2:9" ht="14.25" customHeight="1" x14ac:dyDescent="0.3"/>
    <row r="80" spans="2:9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9">
    <mergeCell ref="J9:L9"/>
    <mergeCell ref="H9:I9"/>
    <mergeCell ref="D6:E6"/>
    <mergeCell ref="H6:I6"/>
    <mergeCell ref="B7:C8"/>
    <mergeCell ref="F7:G8"/>
    <mergeCell ref="B9:C9"/>
    <mergeCell ref="D9:E9"/>
    <mergeCell ref="F9:G9"/>
    <mergeCell ref="B6:C6"/>
    <mergeCell ref="F4:G4"/>
    <mergeCell ref="J6:L6"/>
    <mergeCell ref="D7:E8"/>
    <mergeCell ref="H7:I8"/>
    <mergeCell ref="F6:G6"/>
    <mergeCell ref="J4:L4"/>
    <mergeCell ref="H4:I4"/>
    <mergeCell ref="D4:E4"/>
    <mergeCell ref="J7:L8"/>
  </mergeCells>
  <dataValidations count="1">
    <dataValidation type="list" allowBlank="1" sqref="C4" xr:uid="{00000000-0002-0000-0200-000000000000}">
      <formula1>"2014,2015,2016,2017,2018,2019,2020,2021,2022,2023,2024,2025,2026"</formula1>
    </dataValidation>
  </dataValidations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MINVU_Mes_Corriente</vt:lpstr>
      <vt:lpstr>SALUD_Mes_Constante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Manuel Herrera Hernandez</cp:lastModifiedBy>
  <dcterms:created xsi:type="dcterms:W3CDTF">2026-09-16T14:51:49Z</dcterms:created>
  <dcterms:modified xsi:type="dcterms:W3CDTF">2026-09-16T16:22:37Z</dcterms:modified>
</cp:coreProperties>
</file>